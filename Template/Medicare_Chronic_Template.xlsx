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Line'!$A$1:$AN$4001</definedName>
    <definedName name="_xlnm._FilterDatabase" localSheetId="3" hidden="1">'Per Invoice'!$A$1:$AC$1001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808080"/>
    </font>
    <font>
      <color rgb="FF0000FF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MEDICARE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A-L, N-T, V-W, Y-AF (same order as the system export).</t>
        </is>
      </c>
    </row>
    <row r="6">
      <c r="A6" s="3" t="inlineStr">
        <is>
          <t>3. Green columns (M, U, X, AG, AH, AI) and the grey helper columns (AJ-AN)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(14%) if Local is TRUE, otherwise Imported rate (6%).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4,000 lines and 1,000 invoices per month. A line with an empty Order # is ignored.</t>
        </is>
      </c>
    </row>
    <row r="21">
      <c r="A21" s="3" t="inlineStr">
        <is>
          <t>Max Limit rule (as in the old sheet): if an invoice's Grand Total is above its Max Limit, Co val = Co Payment x Max Limit / 100 + (Grand Total - Max Limit). Per Line keeps the plain Co val, so 'Settings' shows the difference as 'Max Limit adjustment'.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MEDICARE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Sanipure; Orascom Construction; الإدارة الطبية لميدي كير; Purex Health Care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0.14</v>
      </c>
      <c r="D6" t="inlineStr">
        <is>
          <t>Source: Sep sheet (Rebates = 14 on Local lines).</t>
        </is>
      </c>
    </row>
    <row r="7">
      <c r="B7" t="inlineStr">
        <is>
          <t>Imported (IMP) products rebate %</t>
        </is>
      </c>
      <c r="C7" s="5" t="n">
        <v>0.06</v>
      </c>
      <c r="D7" t="inlineStr">
        <is>
          <t>Source: Sep sheet (Rebates = 6 on non-local lines; 0 on Special Rebates = Yes).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Line'!$C$2:$C$4001)</f>
        <v/>
      </c>
    </row>
    <row r="11">
      <c r="B11" t="inlineStr">
        <is>
          <t>Invoices (unique Order #)</t>
        </is>
      </c>
      <c r="C11">
        <f>MAX('Per Line'!$AK$2:$AK$4001)</f>
        <v/>
      </c>
    </row>
    <row r="12">
      <c r="B12" t="inlineStr">
        <is>
          <t>Invoices shown in Per Invoice</t>
        </is>
      </c>
      <c r="C12">
        <f>SUMPRODUCT(--('Per Invoice'!$B$2:$B$1001&lt;&gt;""))</f>
        <v/>
      </c>
    </row>
    <row r="13">
      <c r="B13" t="inlineStr">
        <is>
          <t>Grand Total - Per Line (Product Total)</t>
        </is>
      </c>
      <c r="C13" s="7">
        <f>SUM('Per Line'!$U$2:$U$4001)</f>
        <v/>
      </c>
    </row>
    <row r="14">
      <c r="B14" t="inlineStr">
        <is>
          <t>Grand Total - Per Invoice</t>
        </is>
      </c>
      <c r="C14" s="7">
        <f>SUM('Per Invoice'!$Z$2:$Z$1001)</f>
        <v/>
      </c>
    </row>
    <row r="15">
      <c r="B15" t="inlineStr">
        <is>
          <t>Discount - Per Line</t>
        </is>
      </c>
      <c r="C15" s="7">
        <f>SUM('Per Line'!$AG$2:$AG$4001)</f>
        <v/>
      </c>
    </row>
    <row r="16">
      <c r="B16" t="inlineStr">
        <is>
          <t>Discount - Per Invoice</t>
        </is>
      </c>
      <c r="C16" s="7">
        <f>SUM('Per Invoice'!$X$2:$X$1001)</f>
        <v/>
      </c>
    </row>
    <row r="17">
      <c r="B17" t="inlineStr">
        <is>
          <t>Co val - Per Line</t>
        </is>
      </c>
      <c r="C17" s="7">
        <f>SUM('Per Line'!$M$2:$M$4001)</f>
        <v/>
      </c>
    </row>
    <row r="18">
      <c r="B18" t="inlineStr">
        <is>
          <t>Co val - Per Invoice</t>
        </is>
      </c>
      <c r="C18" s="7">
        <f>SUM('Per Invoice'!$M$2:$M$1001)</f>
        <v/>
      </c>
    </row>
    <row r="19">
      <c r="B19" t="inlineStr">
        <is>
          <t>Net - Per Line</t>
        </is>
      </c>
      <c r="C19" s="7">
        <f>SUM('Per Line'!$AI$2:$AI$4001)</f>
        <v/>
      </c>
    </row>
    <row r="20">
      <c r="B20" t="inlineStr">
        <is>
          <t>Net - Per Invoice</t>
        </is>
      </c>
      <c r="C20" s="7">
        <f>SUM('Per Invoice'!$AA$2:$AA$1001)</f>
        <v/>
      </c>
    </row>
    <row r="21">
      <c r="B21" t="inlineStr">
        <is>
          <t>Max Limit adjustment (Co val, Per Invoice only)</t>
        </is>
      </c>
      <c r="C21" s="7">
        <f>SUM('Per Invoice'!$AC$2:$AC$1001)</f>
        <v/>
      </c>
      <c r="D21" t="inlineStr">
        <is>
          <t>Invoices whose Grand Total is above the Max Limit: Co val = Co% x Max Limit / 100 + (Grand Total - Max Limit). This difference exists only in Per Invoice, as in the old sheet.</t>
        </is>
      </c>
    </row>
    <row r="23">
      <c r="B23" s="6" t="inlineStr">
        <is>
          <t>STATUS</t>
        </is>
      </c>
      <c r="C23" s="6">
        <f>IF(C10=0,"No data loaded",IF(COUNTA('Per Line'!$C:$C)-1&gt;4000,"TOO MANY LINES - extend template",IF(C11&gt;1000,"TOO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7" customWidth="1" min="5" max="5"/>
    <col width="18" customWidth="1" min="6" max="6"/>
    <col width="12" customWidth="1" min="7" max="7"/>
    <col width="24" customWidth="1" min="8" max="8"/>
    <col width="12" customWidth="1" min="9" max="9"/>
    <col width="26" customWidth="1" min="10" max="10"/>
    <col width="14" customWidth="1" min="11" max="11"/>
    <col width="12" customWidth="1" min="12" max="12"/>
    <col width="11" customWidth="1" min="13" max="13"/>
    <col width="12" customWidth="1" min="14" max="14"/>
    <col width="12" customWidth="1" min="15" max="15"/>
    <col width="44" customWidth="1" min="16" max="16"/>
    <col width="12" customWidth="1" min="17" max="17"/>
    <col width="20" customWidth="1" min="18" max="18"/>
    <col width="12" customWidth="1" min="19" max="19"/>
    <col width="12" customWidth="1" min="20" max="20"/>
    <col width="11" customWidth="1" min="21" max="21"/>
    <col width="36" customWidth="1" min="22" max="22"/>
    <col width="12" customWidth="1" min="23" max="23"/>
    <col width="11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7" customWidth="1" min="31" max="31"/>
    <col width="12" customWidth="1" min="32" max="32"/>
    <col width="11" customWidth="1" min="33" max="33"/>
    <col width="11" customWidth="1" min="34" max="34"/>
    <col width="11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 ht="32" customHeight="1">
      <c r="A1" s="8" t="inlineStr">
        <is>
          <t>Ticket #</t>
        </is>
      </c>
      <c r="B1" s="8" t="inlineStr">
        <is>
          <t>Stage</t>
        </is>
      </c>
      <c r="C1" s="8" t="inlineStr">
        <is>
          <t>Order #</t>
        </is>
      </c>
      <c r="D1" s="8" t="inlineStr">
        <is>
          <t>Channel</t>
        </is>
      </c>
      <c r="E1" s="8" t="inlineStr">
        <is>
          <t>Create At</t>
        </is>
      </c>
      <c r="F1" s="8" t="inlineStr">
        <is>
          <t>Insurance Company</t>
        </is>
      </c>
      <c r="G1" s="8" t="inlineStr">
        <is>
          <t>Country Portal ID</t>
        </is>
      </c>
      <c r="H1" s="8" t="inlineStr">
        <is>
          <t>Corporate</t>
        </is>
      </c>
      <c r="I1" s="8" t="inlineStr">
        <is>
          <t>Card</t>
        </is>
      </c>
      <c r="J1" s="8" t="inlineStr">
        <is>
          <t>Name</t>
        </is>
      </c>
      <c r="K1" s="8" t="inlineStr">
        <is>
          <t>Status</t>
        </is>
      </c>
      <c r="L1" s="8" t="inlineStr">
        <is>
          <t>Order Co Payment</t>
        </is>
      </c>
      <c r="M1" s="9" t="inlineStr">
        <is>
          <t>Co val</t>
        </is>
      </c>
      <c r="N1" s="8" t="inlineStr">
        <is>
          <t>By Patient</t>
        </is>
      </c>
      <c r="O1" s="8" t="inlineStr">
        <is>
          <t>heisenberg id</t>
        </is>
      </c>
      <c r="P1" s="8" t="inlineStr">
        <is>
          <t>Product Name</t>
        </is>
      </c>
      <c r="Q1" s="8" t="inlineStr">
        <is>
          <t>Local</t>
        </is>
      </c>
      <c r="R1" s="8" t="inlineStr">
        <is>
          <t>Unit</t>
        </is>
      </c>
      <c r="S1" s="8" t="inlineStr">
        <is>
          <t>Quantity</t>
        </is>
      </c>
      <c r="T1" s="8" t="inlineStr">
        <is>
          <t>Unit Price</t>
        </is>
      </c>
      <c r="U1" s="9" t="inlineStr">
        <is>
          <t>Product Total</t>
        </is>
      </c>
      <c r="V1" s="8" t="inlineStr">
        <is>
          <t>ERX ID</t>
        </is>
      </c>
      <c r="W1" s="8" t="inlineStr">
        <is>
          <t>Special Rebates?</t>
        </is>
      </c>
      <c r="X1" s="9" t="inlineStr">
        <is>
          <t>Rebates</t>
        </is>
      </c>
      <c r="Y1" s="8" t="inlineStr">
        <is>
          <t>Approval Type</t>
        </is>
      </c>
      <c r="Z1" s="8" t="inlineStr">
        <is>
          <t>Max Limit</t>
        </is>
      </c>
      <c r="AA1" s="8" t="inlineStr">
        <is>
          <t>Exceeding Limit</t>
        </is>
      </c>
      <c r="AB1" s="8" t="inlineStr">
        <is>
          <t>Amount collected from customer</t>
        </is>
      </c>
      <c r="AC1" s="8" t="inlineStr">
        <is>
          <t>By Patient (Delivered)</t>
        </is>
      </c>
      <c r="AD1" s="8" t="inlineStr">
        <is>
          <t>Dispense Number</t>
        </is>
      </c>
      <c r="AE1" s="8" t="inlineStr">
        <is>
          <t>Dispense Date</t>
        </is>
      </c>
      <c r="AF1" s="8" t="inlineStr">
        <is>
          <t>Has OTP?</t>
        </is>
      </c>
      <c r="AG1" s="9" t="inlineStr">
        <is>
          <t>Discount</t>
        </is>
      </c>
      <c r="AH1" s="9" t="inlineStr">
        <is>
          <t>Subtotal</t>
        </is>
      </c>
      <c r="AI1" s="9" t="inlineStr">
        <is>
          <t>Net</t>
        </is>
      </c>
      <c r="AJ1" s="10" t="inlineStr">
        <is>
          <t>Order 1st Row (helper)</t>
        </is>
      </c>
      <c r="AK1" s="10" t="inlineStr">
        <is>
          <t>Invoice # (helper)</t>
        </is>
      </c>
      <c r="AL1" s="10" t="inlineStr">
        <is>
          <t>Is Local (helper)</t>
        </is>
      </c>
      <c r="AM1" s="10" t="inlineStr">
        <is>
          <t>Is Special (helper)</t>
        </is>
      </c>
      <c r="AN1" s="10" t="inlineStr">
        <is>
          <t>Sort Key (helper)</t>
        </is>
      </c>
    </row>
    <row r="2">
      <c r="E2" s="11" t="n"/>
      <c r="M2" s="7">
        <f>IF($C2="","",L2*U2/100)</f>
        <v/>
      </c>
      <c r="N2" s="7" t="n"/>
      <c r="T2" s="7" t="n"/>
      <c r="U2" s="7">
        <f>IF($C2="","",S2*T2)</f>
        <v/>
      </c>
      <c r="X2">
        <f>IF($C2="","",IF($AM2=1,0,IF($AL2=1,Settings!$C$6,Settings!$C$7))*100)</f>
        <v/>
      </c>
      <c r="AB2" s="7" t="n"/>
      <c r="AE2" s="11" t="n"/>
      <c r="AG2" s="7">
        <f>IF($C2="","",U2*X2/100)</f>
        <v/>
      </c>
      <c r="AH2" s="7">
        <f>IF($C2="","",U2-AG2)</f>
        <v/>
      </c>
      <c r="AI2" s="7">
        <f>IF($C2="","",AH2-M2)</f>
        <v/>
      </c>
      <c r="AJ2">
        <f>IF($C2="","",IF(COUNTIF($C$2:$C2,$C2)=1,1,0))</f>
        <v/>
      </c>
      <c r="AK2">
        <f>IF($AJ2=1,SUMPRODUCT(--($AN$2:$AN$4001&lt;$AN2))+1,"")</f>
        <v/>
      </c>
      <c r="AL2">
        <f>IF($C2="","",IF(OR($Q2=TRUE(),$Q2="TRUE"),1,0))</f>
        <v/>
      </c>
      <c r="AM2">
        <f>IF($C2="","",IF($W2="Yes",1,0))</f>
        <v/>
      </c>
      <c r="AN2">
        <f>IF($AJ2=1,IFERROR(IF(VALUE($C2)&lt;100000000,VALUE($C2),1000000000),IFERROR(IF(VALUE(MID($C2,2,20))&lt;100000000,VALUE(MID($C2,2,20)),1000000000),1000000000))+ROW()/100000,"")</f>
        <v/>
      </c>
    </row>
    <row r="3">
      <c r="E3" s="11" t="n"/>
      <c r="M3" s="7">
        <f>IF($C3="","",L3*U3/100)</f>
        <v/>
      </c>
      <c r="N3" s="7" t="n"/>
      <c r="T3" s="7" t="n"/>
      <c r="U3" s="7">
        <f>IF($C3="","",S3*T3)</f>
        <v/>
      </c>
      <c r="X3">
        <f>IF($C3="","",IF($AM3=1,0,IF($AL3=1,Settings!$C$6,Settings!$C$7))*100)</f>
        <v/>
      </c>
      <c r="AB3" s="7" t="n"/>
      <c r="AE3" s="11" t="n"/>
      <c r="AG3" s="7">
        <f>IF($C3="","",U3*X3/100)</f>
        <v/>
      </c>
      <c r="AH3" s="7">
        <f>IF($C3="","",U3-AG3)</f>
        <v/>
      </c>
      <c r="AI3" s="7">
        <f>IF($C3="","",AH3-M3)</f>
        <v/>
      </c>
      <c r="AJ3">
        <f>IF($C3="","",IF(COUNTIF($C$2:$C3,$C3)=1,1,0))</f>
        <v/>
      </c>
      <c r="AK3">
        <f>IF($AJ3=1,SUMPRODUCT(--($AN$2:$AN$4001&lt;$AN3))+1,"")</f>
        <v/>
      </c>
      <c r="AL3">
        <f>IF($C3="","",IF(OR($Q3=TRUE(),$Q3="TRUE"),1,0))</f>
        <v/>
      </c>
      <c r="AM3">
        <f>IF($C3="","",IF($W3="Yes",1,0))</f>
        <v/>
      </c>
      <c r="AN3">
        <f>IF($AJ3=1,IFERROR(IF(VALUE($C3)&lt;100000000,VALUE($C3),1000000000),IFERROR(IF(VALUE(MID($C3,2,20))&lt;100000000,VALUE(MID($C3,2,20)),1000000000),1000000000))+ROW()/100000,"")</f>
        <v/>
      </c>
    </row>
    <row r="4">
      <c r="E4" s="11" t="n"/>
      <c r="M4" s="7">
        <f>IF($C4="","",L4*U4/100)</f>
        <v/>
      </c>
      <c r="N4" s="7" t="n"/>
      <c r="T4" s="7" t="n"/>
      <c r="U4" s="7">
        <f>IF($C4="","",S4*T4)</f>
        <v/>
      </c>
      <c r="X4">
        <f>IF($C4="","",IF($AM4=1,0,IF($AL4=1,Settings!$C$6,Settings!$C$7))*100)</f>
        <v/>
      </c>
      <c r="AB4" s="7" t="n"/>
      <c r="AE4" s="11" t="n"/>
      <c r="AG4" s="7">
        <f>IF($C4="","",U4*X4/100)</f>
        <v/>
      </c>
      <c r="AH4" s="7">
        <f>IF($C4="","",U4-AG4)</f>
        <v/>
      </c>
      <c r="AI4" s="7">
        <f>IF($C4="","",AH4-M4)</f>
        <v/>
      </c>
      <c r="AJ4">
        <f>IF($C4="","",IF(COUNTIF($C$2:$C4,$C4)=1,1,0))</f>
        <v/>
      </c>
      <c r="AK4">
        <f>IF($AJ4=1,SUMPRODUCT(--($AN$2:$AN$4001&lt;$AN4))+1,"")</f>
        <v/>
      </c>
      <c r="AL4">
        <f>IF($C4="","",IF(OR($Q4=TRUE(),$Q4="TRUE"),1,0))</f>
        <v/>
      </c>
      <c r="AM4">
        <f>IF($C4="","",IF($W4="Yes",1,0))</f>
        <v/>
      </c>
      <c r="AN4">
        <f>IF($AJ4=1,IFERROR(IF(VALUE($C4)&lt;100000000,VALUE($C4),1000000000),IFERROR(IF(VALUE(MID($C4,2,20))&lt;100000000,VALUE(MID($C4,2,20)),1000000000),1000000000))+ROW()/100000,"")</f>
        <v/>
      </c>
    </row>
    <row r="5">
      <c r="E5" s="11" t="n"/>
      <c r="M5" s="7">
        <f>IF($C5="","",L5*U5/100)</f>
        <v/>
      </c>
      <c r="N5" s="7" t="n"/>
      <c r="T5" s="7" t="n"/>
      <c r="U5" s="7">
        <f>IF($C5="","",S5*T5)</f>
        <v/>
      </c>
      <c r="X5">
        <f>IF($C5="","",IF($AM5=1,0,IF($AL5=1,Settings!$C$6,Settings!$C$7))*100)</f>
        <v/>
      </c>
      <c r="AB5" s="7" t="n"/>
      <c r="AE5" s="11" t="n"/>
      <c r="AG5" s="7">
        <f>IF($C5="","",U5*X5/100)</f>
        <v/>
      </c>
      <c r="AH5" s="7">
        <f>IF($C5="","",U5-AG5)</f>
        <v/>
      </c>
      <c r="AI5" s="7">
        <f>IF($C5="","",AH5-M5)</f>
        <v/>
      </c>
      <c r="AJ5">
        <f>IF($C5="","",IF(COUNTIF($C$2:$C5,$C5)=1,1,0))</f>
        <v/>
      </c>
      <c r="AK5">
        <f>IF($AJ5=1,SUMPRODUCT(--($AN$2:$AN$4001&lt;$AN5))+1,"")</f>
        <v/>
      </c>
      <c r="AL5">
        <f>IF($C5="","",IF(OR($Q5=TRUE(),$Q5="TRUE"),1,0))</f>
        <v/>
      </c>
      <c r="AM5">
        <f>IF($C5="","",IF($W5="Yes",1,0))</f>
        <v/>
      </c>
      <c r="AN5">
        <f>IF($AJ5=1,IFERROR(IF(VALUE($C5)&lt;100000000,VALUE($C5),1000000000),IFERROR(IF(VALUE(MID($C5,2,20))&lt;100000000,VALUE(MID($C5,2,20)),1000000000),1000000000))+ROW()/100000,"")</f>
        <v/>
      </c>
    </row>
    <row r="6">
      <c r="E6" s="11" t="n"/>
      <c r="M6" s="7">
        <f>IF($C6="","",L6*U6/100)</f>
        <v/>
      </c>
      <c r="N6" s="7" t="n"/>
      <c r="T6" s="7" t="n"/>
      <c r="U6" s="7">
        <f>IF($C6="","",S6*T6)</f>
        <v/>
      </c>
      <c r="X6">
        <f>IF($C6="","",IF($AM6=1,0,IF($AL6=1,Settings!$C$6,Settings!$C$7))*100)</f>
        <v/>
      </c>
      <c r="AB6" s="7" t="n"/>
      <c r="AE6" s="11" t="n"/>
      <c r="AG6" s="7">
        <f>IF($C6="","",U6*X6/100)</f>
        <v/>
      </c>
      <c r="AH6" s="7">
        <f>IF($C6="","",U6-AG6)</f>
        <v/>
      </c>
      <c r="AI6" s="7">
        <f>IF($C6="","",AH6-M6)</f>
        <v/>
      </c>
      <c r="AJ6">
        <f>IF($C6="","",IF(COUNTIF($C$2:$C6,$C6)=1,1,0))</f>
        <v/>
      </c>
      <c r="AK6">
        <f>IF($AJ6=1,SUMPRODUCT(--($AN$2:$AN$4001&lt;$AN6))+1,"")</f>
        <v/>
      </c>
      <c r="AL6">
        <f>IF($C6="","",IF(OR($Q6=TRUE(),$Q6="TRUE"),1,0))</f>
        <v/>
      </c>
      <c r="AM6">
        <f>IF($C6="","",IF($W6="Yes",1,0))</f>
        <v/>
      </c>
      <c r="AN6">
        <f>IF($AJ6=1,IFERROR(IF(VALUE($C6)&lt;100000000,VALUE($C6),1000000000),IFERROR(IF(VALUE(MID($C6,2,20))&lt;100000000,VALUE(MID($C6,2,20)),1000000000),1000000000))+ROW()/100000,"")</f>
        <v/>
      </c>
    </row>
    <row r="7">
      <c r="E7" s="11" t="n"/>
      <c r="M7" s="7">
        <f>IF($C7="","",L7*U7/100)</f>
        <v/>
      </c>
      <c r="N7" s="7" t="n"/>
      <c r="T7" s="7" t="n"/>
      <c r="U7" s="7">
        <f>IF($C7="","",S7*T7)</f>
        <v/>
      </c>
      <c r="X7">
        <f>IF($C7="","",IF($AM7=1,0,IF($AL7=1,Settings!$C$6,Settings!$C$7))*100)</f>
        <v/>
      </c>
      <c r="AB7" s="7" t="n"/>
      <c r="AE7" s="11" t="n"/>
      <c r="AG7" s="7">
        <f>IF($C7="","",U7*X7/100)</f>
        <v/>
      </c>
      <c r="AH7" s="7">
        <f>IF($C7="","",U7-AG7)</f>
        <v/>
      </c>
      <c r="AI7" s="7">
        <f>IF($C7="","",AH7-M7)</f>
        <v/>
      </c>
      <c r="AJ7">
        <f>IF($C7="","",IF(COUNTIF($C$2:$C7,$C7)=1,1,0))</f>
        <v/>
      </c>
      <c r="AK7">
        <f>IF($AJ7=1,SUMPRODUCT(--($AN$2:$AN$4001&lt;$AN7))+1,"")</f>
        <v/>
      </c>
      <c r="AL7">
        <f>IF($C7="","",IF(OR($Q7=TRUE(),$Q7="TRUE"),1,0))</f>
        <v/>
      </c>
      <c r="AM7">
        <f>IF($C7="","",IF($W7="Yes",1,0))</f>
        <v/>
      </c>
      <c r="AN7">
        <f>IF($AJ7=1,IFERROR(IF(VALUE($C7)&lt;100000000,VALUE($C7),1000000000),IFERROR(IF(VALUE(MID($C7,2,20))&lt;100000000,VALUE(MID($C7,2,20)),1000000000),1000000000))+ROW()/100000,"")</f>
        <v/>
      </c>
    </row>
    <row r="8">
      <c r="E8" s="11" t="n"/>
      <c r="M8" s="7">
        <f>IF($C8="","",L8*U8/100)</f>
        <v/>
      </c>
      <c r="N8" s="7" t="n"/>
      <c r="T8" s="7" t="n"/>
      <c r="U8" s="7">
        <f>IF($C8="","",S8*T8)</f>
        <v/>
      </c>
      <c r="X8">
        <f>IF($C8="","",IF($AM8=1,0,IF($AL8=1,Settings!$C$6,Settings!$C$7))*100)</f>
        <v/>
      </c>
      <c r="AB8" s="7" t="n"/>
      <c r="AE8" s="11" t="n"/>
      <c r="AG8" s="7">
        <f>IF($C8="","",U8*X8/100)</f>
        <v/>
      </c>
      <c r="AH8" s="7">
        <f>IF($C8="","",U8-AG8)</f>
        <v/>
      </c>
      <c r="AI8" s="7">
        <f>IF($C8="","",AH8-M8)</f>
        <v/>
      </c>
      <c r="AJ8">
        <f>IF($C8="","",IF(COUNTIF($C$2:$C8,$C8)=1,1,0))</f>
        <v/>
      </c>
      <c r="AK8">
        <f>IF($AJ8=1,SUMPRODUCT(--($AN$2:$AN$4001&lt;$AN8))+1,"")</f>
        <v/>
      </c>
      <c r="AL8">
        <f>IF($C8="","",IF(OR($Q8=TRUE(),$Q8="TRUE"),1,0))</f>
        <v/>
      </c>
      <c r="AM8">
        <f>IF($C8="","",IF($W8="Yes",1,0))</f>
        <v/>
      </c>
      <c r="AN8">
        <f>IF($AJ8=1,IFERROR(IF(VALUE($C8)&lt;100000000,VALUE($C8),1000000000),IFERROR(IF(VALUE(MID($C8,2,20))&lt;100000000,VALUE(MID($C8,2,20)),1000000000),1000000000))+ROW()/100000,"")</f>
        <v/>
      </c>
    </row>
    <row r="9">
      <c r="E9" s="11" t="n"/>
      <c r="M9" s="7">
        <f>IF($C9="","",L9*U9/100)</f>
        <v/>
      </c>
      <c r="N9" s="7" t="n"/>
      <c r="T9" s="7" t="n"/>
      <c r="U9" s="7">
        <f>IF($C9="","",S9*T9)</f>
        <v/>
      </c>
      <c r="X9">
        <f>IF($C9="","",IF($AM9=1,0,IF($AL9=1,Settings!$C$6,Settings!$C$7))*100)</f>
        <v/>
      </c>
      <c r="AB9" s="7" t="n"/>
      <c r="AE9" s="11" t="n"/>
      <c r="AG9" s="7">
        <f>IF($C9="","",U9*X9/100)</f>
        <v/>
      </c>
      <c r="AH9" s="7">
        <f>IF($C9="","",U9-AG9)</f>
        <v/>
      </c>
      <c r="AI9" s="7">
        <f>IF($C9="","",AH9-M9)</f>
        <v/>
      </c>
      <c r="AJ9">
        <f>IF($C9="","",IF(COUNTIF($C$2:$C9,$C9)=1,1,0))</f>
        <v/>
      </c>
      <c r="AK9">
        <f>IF($AJ9=1,SUMPRODUCT(--($AN$2:$AN$4001&lt;$AN9))+1,"")</f>
        <v/>
      </c>
      <c r="AL9">
        <f>IF($C9="","",IF(OR($Q9=TRUE(),$Q9="TRUE"),1,0))</f>
        <v/>
      </c>
      <c r="AM9">
        <f>IF($C9="","",IF($W9="Yes",1,0))</f>
        <v/>
      </c>
      <c r="AN9">
        <f>IF($AJ9=1,IFERROR(IF(VALUE($C9)&lt;100000000,VALUE($C9),1000000000),IFERROR(IF(VALUE(MID($C9,2,20))&lt;100000000,VALUE(MID($C9,2,20)),1000000000),1000000000))+ROW()/100000,"")</f>
        <v/>
      </c>
    </row>
    <row r="10">
      <c r="E10" s="11" t="n"/>
      <c r="M10" s="7">
        <f>IF($C10="","",L10*U10/100)</f>
        <v/>
      </c>
      <c r="N10" s="7" t="n"/>
      <c r="T10" s="7" t="n"/>
      <c r="U10" s="7">
        <f>IF($C10="","",S10*T10)</f>
        <v/>
      </c>
      <c r="X10">
        <f>IF($C10="","",IF($AM10=1,0,IF($AL10=1,Settings!$C$6,Settings!$C$7))*100)</f>
        <v/>
      </c>
      <c r="AB10" s="7" t="n"/>
      <c r="AE10" s="11" t="n"/>
      <c r="AG10" s="7">
        <f>IF($C10="","",U10*X10/100)</f>
        <v/>
      </c>
      <c r="AH10" s="7">
        <f>IF($C10="","",U10-AG10)</f>
        <v/>
      </c>
      <c r="AI10" s="7">
        <f>IF($C10="","",AH10-M10)</f>
        <v/>
      </c>
      <c r="AJ10">
        <f>IF($C10="","",IF(COUNTIF($C$2:$C10,$C10)=1,1,0))</f>
        <v/>
      </c>
      <c r="AK10">
        <f>IF($AJ10=1,SUMPRODUCT(--($AN$2:$AN$4001&lt;$AN10))+1,"")</f>
        <v/>
      </c>
      <c r="AL10">
        <f>IF($C10="","",IF(OR($Q10=TRUE(),$Q10="TRUE"),1,0))</f>
        <v/>
      </c>
      <c r="AM10">
        <f>IF($C10="","",IF($W10="Yes",1,0))</f>
        <v/>
      </c>
      <c r="AN10">
        <f>IF($AJ10=1,IFERROR(IF(VALUE($C10)&lt;100000000,VALUE($C10),1000000000),IFERROR(IF(VALUE(MID($C10,2,20))&lt;100000000,VALUE(MID($C10,2,20)),1000000000),1000000000))+ROW()/100000,"")</f>
        <v/>
      </c>
    </row>
    <row r="11">
      <c r="E11" s="11" t="n"/>
      <c r="M11" s="7">
        <f>IF($C11="","",L11*U11/100)</f>
        <v/>
      </c>
      <c r="N11" s="7" t="n"/>
      <c r="T11" s="7" t="n"/>
      <c r="U11" s="7">
        <f>IF($C11="","",S11*T11)</f>
        <v/>
      </c>
      <c r="X11">
        <f>IF($C11="","",IF($AM11=1,0,IF($AL11=1,Settings!$C$6,Settings!$C$7))*100)</f>
        <v/>
      </c>
      <c r="AB11" s="7" t="n"/>
      <c r="AE11" s="11" t="n"/>
      <c r="AG11" s="7">
        <f>IF($C11="","",U11*X11/100)</f>
        <v/>
      </c>
      <c r="AH11" s="7">
        <f>IF($C11="","",U11-AG11)</f>
        <v/>
      </c>
      <c r="AI11" s="7">
        <f>IF($C11="","",AH11-M11)</f>
        <v/>
      </c>
      <c r="AJ11">
        <f>IF($C11="","",IF(COUNTIF($C$2:$C11,$C11)=1,1,0))</f>
        <v/>
      </c>
      <c r="AK11">
        <f>IF($AJ11=1,SUMPRODUCT(--($AN$2:$AN$4001&lt;$AN11))+1,"")</f>
        <v/>
      </c>
      <c r="AL11">
        <f>IF($C11="","",IF(OR($Q11=TRUE(),$Q11="TRUE"),1,0))</f>
        <v/>
      </c>
      <c r="AM11">
        <f>IF($C11="","",IF($W11="Yes",1,0))</f>
        <v/>
      </c>
      <c r="AN11">
        <f>IF($AJ11=1,IFERROR(IF(VALUE($C11)&lt;100000000,VALUE($C11),1000000000),IFERROR(IF(VALUE(MID($C11,2,20))&lt;100000000,VALUE(MID($C11,2,20)),1000000000),1000000000))+ROW()/100000,"")</f>
        <v/>
      </c>
    </row>
    <row r="12">
      <c r="E12" s="11" t="n"/>
      <c r="M12" s="7">
        <f>IF($C12="","",L12*U12/100)</f>
        <v/>
      </c>
      <c r="N12" s="7" t="n"/>
      <c r="T12" s="7" t="n"/>
      <c r="U12" s="7">
        <f>IF($C12="","",S12*T12)</f>
        <v/>
      </c>
      <c r="X12">
        <f>IF($C12="","",IF($AM12=1,0,IF($AL12=1,Settings!$C$6,Settings!$C$7))*100)</f>
        <v/>
      </c>
      <c r="AB12" s="7" t="n"/>
      <c r="AE12" s="11" t="n"/>
      <c r="AG12" s="7">
        <f>IF($C12="","",U12*X12/100)</f>
        <v/>
      </c>
      <c r="AH12" s="7">
        <f>IF($C12="","",U12-AG12)</f>
        <v/>
      </c>
      <c r="AI12" s="7">
        <f>IF($C12="","",AH12-M12)</f>
        <v/>
      </c>
      <c r="AJ12">
        <f>IF($C12="","",IF(COUNTIF($C$2:$C12,$C12)=1,1,0))</f>
        <v/>
      </c>
      <c r="AK12">
        <f>IF($AJ12=1,SUMPRODUCT(--($AN$2:$AN$4001&lt;$AN12))+1,"")</f>
        <v/>
      </c>
      <c r="AL12">
        <f>IF($C12="","",IF(OR($Q12=TRUE(),$Q12="TRUE"),1,0))</f>
        <v/>
      </c>
      <c r="AM12">
        <f>IF($C12="","",IF($W12="Yes",1,0))</f>
        <v/>
      </c>
      <c r="AN12">
        <f>IF($AJ12=1,IFERROR(IF(VALUE($C12)&lt;100000000,VALUE($C12),1000000000),IFERROR(IF(VALUE(MID($C12,2,20))&lt;100000000,VALUE(MID($C12,2,20)),1000000000),1000000000))+ROW()/100000,"")</f>
        <v/>
      </c>
    </row>
    <row r="13">
      <c r="E13" s="11" t="n"/>
      <c r="M13" s="7">
        <f>IF($C13="","",L13*U13/100)</f>
        <v/>
      </c>
      <c r="N13" s="7" t="n"/>
      <c r="T13" s="7" t="n"/>
      <c r="U13" s="7">
        <f>IF($C13="","",S13*T13)</f>
        <v/>
      </c>
      <c r="X13">
        <f>IF($C13="","",IF($AM13=1,0,IF($AL13=1,Settings!$C$6,Settings!$C$7))*100)</f>
        <v/>
      </c>
      <c r="AB13" s="7" t="n"/>
      <c r="AE13" s="11" t="n"/>
      <c r="AG13" s="7">
        <f>IF($C13="","",U13*X13/100)</f>
        <v/>
      </c>
      <c r="AH13" s="7">
        <f>IF($C13="","",U13-AG13)</f>
        <v/>
      </c>
      <c r="AI13" s="7">
        <f>IF($C13="","",AH13-M13)</f>
        <v/>
      </c>
      <c r="AJ13">
        <f>IF($C13="","",IF(COUNTIF($C$2:$C13,$C13)=1,1,0))</f>
        <v/>
      </c>
      <c r="AK13">
        <f>IF($AJ13=1,SUMPRODUCT(--($AN$2:$AN$4001&lt;$AN13))+1,"")</f>
        <v/>
      </c>
      <c r="AL13">
        <f>IF($C13="","",IF(OR($Q13=TRUE(),$Q13="TRUE"),1,0))</f>
        <v/>
      </c>
      <c r="AM13">
        <f>IF($C13="","",IF($W13="Yes",1,0))</f>
        <v/>
      </c>
      <c r="AN13">
        <f>IF($AJ13=1,IFERROR(IF(VALUE($C13)&lt;100000000,VALUE($C13),1000000000),IFERROR(IF(VALUE(MID($C13,2,20))&lt;100000000,VALUE(MID($C13,2,20)),1000000000),1000000000))+ROW()/100000,"")</f>
        <v/>
      </c>
    </row>
    <row r="14">
      <c r="E14" s="11" t="n"/>
      <c r="M14" s="7">
        <f>IF($C14="","",L14*U14/100)</f>
        <v/>
      </c>
      <c r="N14" s="7" t="n"/>
      <c r="T14" s="7" t="n"/>
      <c r="U14" s="7">
        <f>IF($C14="","",S14*T14)</f>
        <v/>
      </c>
      <c r="X14">
        <f>IF($C14="","",IF($AM14=1,0,IF($AL14=1,Settings!$C$6,Settings!$C$7))*100)</f>
        <v/>
      </c>
      <c r="AB14" s="7" t="n"/>
      <c r="AE14" s="11" t="n"/>
      <c r="AG14" s="7">
        <f>IF($C14="","",U14*X14/100)</f>
        <v/>
      </c>
      <c r="AH14" s="7">
        <f>IF($C14="","",U14-AG14)</f>
        <v/>
      </c>
      <c r="AI14" s="7">
        <f>IF($C14="","",AH14-M14)</f>
        <v/>
      </c>
      <c r="AJ14">
        <f>IF($C14="","",IF(COUNTIF($C$2:$C14,$C14)=1,1,0))</f>
        <v/>
      </c>
      <c r="AK14">
        <f>IF($AJ14=1,SUMPRODUCT(--($AN$2:$AN$4001&lt;$AN14))+1,"")</f>
        <v/>
      </c>
      <c r="AL14">
        <f>IF($C14="","",IF(OR($Q14=TRUE(),$Q14="TRUE"),1,0))</f>
        <v/>
      </c>
      <c r="AM14">
        <f>IF($C14="","",IF($W14="Yes",1,0))</f>
        <v/>
      </c>
      <c r="AN14">
        <f>IF($AJ14=1,IFERROR(IF(VALUE($C14)&lt;100000000,VALUE($C14),1000000000),IFERROR(IF(VALUE(MID($C14,2,20))&lt;100000000,VALUE(MID($C14,2,20)),1000000000),1000000000))+ROW()/100000,"")</f>
        <v/>
      </c>
    </row>
    <row r="15">
      <c r="E15" s="11" t="n"/>
      <c r="M15" s="7">
        <f>IF($C15="","",L15*U15/100)</f>
        <v/>
      </c>
      <c r="N15" s="7" t="n"/>
      <c r="T15" s="7" t="n"/>
      <c r="U15" s="7">
        <f>IF($C15="","",S15*T15)</f>
        <v/>
      </c>
      <c r="X15">
        <f>IF($C15="","",IF($AM15=1,0,IF($AL15=1,Settings!$C$6,Settings!$C$7))*100)</f>
        <v/>
      </c>
      <c r="AB15" s="7" t="n"/>
      <c r="AE15" s="11" t="n"/>
      <c r="AG15" s="7">
        <f>IF($C15="","",U15*X15/100)</f>
        <v/>
      </c>
      <c r="AH15" s="7">
        <f>IF($C15="","",U15-AG15)</f>
        <v/>
      </c>
      <c r="AI15" s="7">
        <f>IF($C15="","",AH15-M15)</f>
        <v/>
      </c>
      <c r="AJ15">
        <f>IF($C15="","",IF(COUNTIF($C$2:$C15,$C15)=1,1,0))</f>
        <v/>
      </c>
      <c r="AK15">
        <f>IF($AJ15=1,SUMPRODUCT(--($AN$2:$AN$4001&lt;$AN15))+1,"")</f>
        <v/>
      </c>
      <c r="AL15">
        <f>IF($C15="","",IF(OR($Q15=TRUE(),$Q15="TRUE"),1,0))</f>
        <v/>
      </c>
      <c r="AM15">
        <f>IF($C15="","",IF($W15="Yes",1,0))</f>
        <v/>
      </c>
      <c r="AN15">
        <f>IF($AJ15=1,IFERROR(IF(VALUE($C15)&lt;100000000,VALUE($C15),1000000000),IFERROR(IF(VALUE(MID($C15,2,20))&lt;100000000,VALUE(MID($C15,2,20)),1000000000),1000000000))+ROW()/100000,"")</f>
        <v/>
      </c>
    </row>
    <row r="16">
      <c r="E16" s="11" t="n"/>
      <c r="M16" s="7">
        <f>IF($C16="","",L16*U16/100)</f>
        <v/>
      </c>
      <c r="N16" s="7" t="n"/>
      <c r="T16" s="7" t="n"/>
      <c r="U16" s="7">
        <f>IF($C16="","",S16*T16)</f>
        <v/>
      </c>
      <c r="X16">
        <f>IF($C16="","",IF($AM16=1,0,IF($AL16=1,Settings!$C$6,Settings!$C$7))*100)</f>
        <v/>
      </c>
      <c r="AB16" s="7" t="n"/>
      <c r="AE16" s="11" t="n"/>
      <c r="AG16" s="7">
        <f>IF($C16="","",U16*X16/100)</f>
        <v/>
      </c>
      <c r="AH16" s="7">
        <f>IF($C16="","",U16-AG16)</f>
        <v/>
      </c>
      <c r="AI16" s="7">
        <f>IF($C16="","",AH16-M16)</f>
        <v/>
      </c>
      <c r="AJ16">
        <f>IF($C16="","",IF(COUNTIF($C$2:$C16,$C16)=1,1,0))</f>
        <v/>
      </c>
      <c r="AK16">
        <f>IF($AJ16=1,SUMPRODUCT(--($AN$2:$AN$4001&lt;$AN16))+1,"")</f>
        <v/>
      </c>
      <c r="AL16">
        <f>IF($C16="","",IF(OR($Q16=TRUE(),$Q16="TRUE"),1,0))</f>
        <v/>
      </c>
      <c r="AM16">
        <f>IF($C16="","",IF($W16="Yes",1,0))</f>
        <v/>
      </c>
      <c r="AN16">
        <f>IF($AJ16=1,IFERROR(IF(VALUE($C16)&lt;100000000,VALUE($C16),1000000000),IFERROR(IF(VALUE(MID($C16,2,20))&lt;100000000,VALUE(MID($C16,2,20)),1000000000),1000000000))+ROW()/100000,"")</f>
        <v/>
      </c>
    </row>
    <row r="17">
      <c r="E17" s="11" t="n"/>
      <c r="M17" s="7">
        <f>IF($C17="","",L17*U17/100)</f>
        <v/>
      </c>
      <c r="N17" s="7" t="n"/>
      <c r="T17" s="7" t="n"/>
      <c r="U17" s="7">
        <f>IF($C17="","",S17*T17)</f>
        <v/>
      </c>
      <c r="X17">
        <f>IF($C17="","",IF($AM17=1,0,IF($AL17=1,Settings!$C$6,Settings!$C$7))*100)</f>
        <v/>
      </c>
      <c r="AB17" s="7" t="n"/>
      <c r="AE17" s="11" t="n"/>
      <c r="AG17" s="7">
        <f>IF($C17="","",U17*X17/100)</f>
        <v/>
      </c>
      <c r="AH17" s="7">
        <f>IF($C17="","",U17-AG17)</f>
        <v/>
      </c>
      <c r="AI17" s="7">
        <f>IF($C17="","",AH17-M17)</f>
        <v/>
      </c>
      <c r="AJ17">
        <f>IF($C17="","",IF(COUNTIF($C$2:$C17,$C17)=1,1,0))</f>
        <v/>
      </c>
      <c r="AK17">
        <f>IF($AJ17=1,SUMPRODUCT(--($AN$2:$AN$4001&lt;$AN17))+1,"")</f>
        <v/>
      </c>
      <c r="AL17">
        <f>IF($C17="","",IF(OR($Q17=TRUE(),$Q17="TRUE"),1,0))</f>
        <v/>
      </c>
      <c r="AM17">
        <f>IF($C17="","",IF($W17="Yes",1,0))</f>
        <v/>
      </c>
      <c r="AN17">
        <f>IF($AJ17=1,IFERROR(IF(VALUE($C17)&lt;100000000,VALUE($C17),1000000000),IFERROR(IF(VALUE(MID($C17,2,20))&lt;100000000,VALUE(MID($C17,2,20)),1000000000),1000000000))+ROW()/100000,"")</f>
        <v/>
      </c>
    </row>
    <row r="18">
      <c r="E18" s="11" t="n"/>
      <c r="M18" s="7">
        <f>IF($C18="","",L18*U18/100)</f>
        <v/>
      </c>
      <c r="N18" s="7" t="n"/>
      <c r="T18" s="7" t="n"/>
      <c r="U18" s="7">
        <f>IF($C18="","",S18*T18)</f>
        <v/>
      </c>
      <c r="X18">
        <f>IF($C18="","",IF($AM18=1,0,IF($AL18=1,Settings!$C$6,Settings!$C$7))*100)</f>
        <v/>
      </c>
      <c r="AB18" s="7" t="n"/>
      <c r="AE18" s="11" t="n"/>
      <c r="AG18" s="7">
        <f>IF($C18="","",U18*X18/100)</f>
        <v/>
      </c>
      <c r="AH18" s="7">
        <f>IF($C18="","",U18-AG18)</f>
        <v/>
      </c>
      <c r="AI18" s="7">
        <f>IF($C18="","",AH18-M18)</f>
        <v/>
      </c>
      <c r="AJ18">
        <f>IF($C18="","",IF(COUNTIF($C$2:$C18,$C18)=1,1,0))</f>
        <v/>
      </c>
      <c r="AK18">
        <f>IF($AJ18=1,SUMPRODUCT(--($AN$2:$AN$4001&lt;$AN18))+1,"")</f>
        <v/>
      </c>
      <c r="AL18">
        <f>IF($C18="","",IF(OR($Q18=TRUE(),$Q18="TRUE"),1,0))</f>
        <v/>
      </c>
      <c r="AM18">
        <f>IF($C18="","",IF($W18="Yes",1,0))</f>
        <v/>
      </c>
      <c r="AN18">
        <f>IF($AJ18=1,IFERROR(IF(VALUE($C18)&lt;100000000,VALUE($C18),1000000000),IFERROR(IF(VALUE(MID($C18,2,20))&lt;100000000,VALUE(MID($C18,2,20)),1000000000),1000000000))+ROW()/100000,"")</f>
        <v/>
      </c>
    </row>
    <row r="19">
      <c r="E19" s="11" t="n"/>
      <c r="M19" s="7">
        <f>IF($C19="","",L19*U19/100)</f>
        <v/>
      </c>
      <c r="N19" s="7" t="n"/>
      <c r="T19" s="7" t="n"/>
      <c r="U19" s="7">
        <f>IF($C19="","",S19*T19)</f>
        <v/>
      </c>
      <c r="X19">
        <f>IF($C19="","",IF($AM19=1,0,IF($AL19=1,Settings!$C$6,Settings!$C$7))*100)</f>
        <v/>
      </c>
      <c r="AB19" s="7" t="n"/>
      <c r="AE19" s="11" t="n"/>
      <c r="AG19" s="7">
        <f>IF($C19="","",U19*X19/100)</f>
        <v/>
      </c>
      <c r="AH19" s="7">
        <f>IF($C19="","",U19-AG19)</f>
        <v/>
      </c>
      <c r="AI19" s="7">
        <f>IF($C19="","",AH19-M19)</f>
        <v/>
      </c>
      <c r="AJ19">
        <f>IF($C19="","",IF(COUNTIF($C$2:$C19,$C19)=1,1,0))</f>
        <v/>
      </c>
      <c r="AK19">
        <f>IF($AJ19=1,SUMPRODUCT(--($AN$2:$AN$4001&lt;$AN19))+1,"")</f>
        <v/>
      </c>
      <c r="AL19">
        <f>IF($C19="","",IF(OR($Q19=TRUE(),$Q19="TRUE"),1,0))</f>
        <v/>
      </c>
      <c r="AM19">
        <f>IF($C19="","",IF($W19="Yes",1,0))</f>
        <v/>
      </c>
      <c r="AN19">
        <f>IF($AJ19=1,IFERROR(IF(VALUE($C19)&lt;100000000,VALUE($C19),1000000000),IFERROR(IF(VALUE(MID($C19,2,20))&lt;100000000,VALUE(MID($C19,2,20)),1000000000),1000000000))+ROW()/100000,"")</f>
        <v/>
      </c>
    </row>
    <row r="20">
      <c r="E20" s="11" t="n"/>
      <c r="M20" s="7">
        <f>IF($C20="","",L20*U20/100)</f>
        <v/>
      </c>
      <c r="N20" s="7" t="n"/>
      <c r="T20" s="7" t="n"/>
      <c r="U20" s="7">
        <f>IF($C20="","",S20*T20)</f>
        <v/>
      </c>
      <c r="X20">
        <f>IF($C20="","",IF($AM20=1,0,IF($AL20=1,Settings!$C$6,Settings!$C$7))*100)</f>
        <v/>
      </c>
      <c r="AB20" s="7" t="n"/>
      <c r="AE20" s="11" t="n"/>
      <c r="AG20" s="7">
        <f>IF($C20="","",U20*X20/100)</f>
        <v/>
      </c>
      <c r="AH20" s="7">
        <f>IF($C20="","",U20-AG20)</f>
        <v/>
      </c>
      <c r="AI20" s="7">
        <f>IF($C20="","",AH20-M20)</f>
        <v/>
      </c>
      <c r="AJ20">
        <f>IF($C20="","",IF(COUNTIF($C$2:$C20,$C20)=1,1,0))</f>
        <v/>
      </c>
      <c r="AK20">
        <f>IF($AJ20=1,SUMPRODUCT(--($AN$2:$AN$4001&lt;$AN20))+1,"")</f>
        <v/>
      </c>
      <c r="AL20">
        <f>IF($C20="","",IF(OR($Q20=TRUE(),$Q20="TRUE"),1,0))</f>
        <v/>
      </c>
      <c r="AM20">
        <f>IF($C20="","",IF($W20="Yes",1,0))</f>
        <v/>
      </c>
      <c r="AN20">
        <f>IF($AJ20=1,IFERROR(IF(VALUE($C20)&lt;100000000,VALUE($C20),1000000000),IFERROR(IF(VALUE(MID($C20,2,20))&lt;100000000,VALUE(MID($C20,2,20)),1000000000),1000000000))+ROW()/100000,"")</f>
        <v/>
      </c>
    </row>
    <row r="21">
      <c r="E21" s="11" t="n"/>
      <c r="M21" s="7">
        <f>IF($C21="","",L21*U21/100)</f>
        <v/>
      </c>
      <c r="N21" s="7" t="n"/>
      <c r="T21" s="7" t="n"/>
      <c r="U21" s="7">
        <f>IF($C21="","",S21*T21)</f>
        <v/>
      </c>
      <c r="X21">
        <f>IF($C21="","",IF($AM21=1,0,IF($AL21=1,Settings!$C$6,Settings!$C$7))*100)</f>
        <v/>
      </c>
      <c r="AB21" s="7" t="n"/>
      <c r="AE21" s="11" t="n"/>
      <c r="AG21" s="7">
        <f>IF($C21="","",U21*X21/100)</f>
        <v/>
      </c>
      <c r="AH21" s="7">
        <f>IF($C21="","",U21-AG21)</f>
        <v/>
      </c>
      <c r="AI21" s="7">
        <f>IF($C21="","",AH21-M21)</f>
        <v/>
      </c>
      <c r="AJ21">
        <f>IF($C21="","",IF(COUNTIF($C$2:$C21,$C21)=1,1,0))</f>
        <v/>
      </c>
      <c r="AK21">
        <f>IF($AJ21=1,SUMPRODUCT(--($AN$2:$AN$4001&lt;$AN21))+1,"")</f>
        <v/>
      </c>
      <c r="AL21">
        <f>IF($C21="","",IF(OR($Q21=TRUE(),$Q21="TRUE"),1,0))</f>
        <v/>
      </c>
      <c r="AM21">
        <f>IF($C21="","",IF($W21="Yes",1,0))</f>
        <v/>
      </c>
      <c r="AN21">
        <f>IF($AJ21=1,IFERROR(IF(VALUE($C21)&lt;100000000,VALUE($C21),1000000000),IFERROR(IF(VALUE(MID($C21,2,20))&lt;100000000,VALUE(MID($C21,2,20)),1000000000),1000000000))+ROW()/100000,"")</f>
        <v/>
      </c>
    </row>
    <row r="22">
      <c r="E22" s="11" t="n"/>
      <c r="M22" s="7">
        <f>IF($C22="","",L22*U22/100)</f>
        <v/>
      </c>
      <c r="N22" s="7" t="n"/>
      <c r="T22" s="7" t="n"/>
      <c r="U22" s="7">
        <f>IF($C22="","",S22*T22)</f>
        <v/>
      </c>
      <c r="X22">
        <f>IF($C22="","",IF($AM22=1,0,IF($AL22=1,Settings!$C$6,Settings!$C$7))*100)</f>
        <v/>
      </c>
      <c r="AB22" s="7" t="n"/>
      <c r="AE22" s="11" t="n"/>
      <c r="AG22" s="7">
        <f>IF($C22="","",U22*X22/100)</f>
        <v/>
      </c>
      <c r="AH22" s="7">
        <f>IF($C22="","",U22-AG22)</f>
        <v/>
      </c>
      <c r="AI22" s="7">
        <f>IF($C22="","",AH22-M22)</f>
        <v/>
      </c>
      <c r="AJ22">
        <f>IF($C22="","",IF(COUNTIF($C$2:$C22,$C22)=1,1,0))</f>
        <v/>
      </c>
      <c r="AK22">
        <f>IF($AJ22=1,SUMPRODUCT(--($AN$2:$AN$4001&lt;$AN22))+1,"")</f>
        <v/>
      </c>
      <c r="AL22">
        <f>IF($C22="","",IF(OR($Q22=TRUE(),$Q22="TRUE"),1,0))</f>
        <v/>
      </c>
      <c r="AM22">
        <f>IF($C22="","",IF($W22="Yes",1,0))</f>
        <v/>
      </c>
      <c r="AN22">
        <f>IF($AJ22=1,IFERROR(IF(VALUE($C22)&lt;100000000,VALUE($C22),1000000000),IFERROR(IF(VALUE(MID($C22,2,20))&lt;100000000,VALUE(MID($C22,2,20)),1000000000),1000000000))+ROW()/100000,"")</f>
        <v/>
      </c>
    </row>
    <row r="23">
      <c r="E23" s="11" t="n"/>
      <c r="M23" s="7">
        <f>IF($C23="","",L23*U23/100)</f>
        <v/>
      </c>
      <c r="N23" s="7" t="n"/>
      <c r="T23" s="7" t="n"/>
      <c r="U23" s="7">
        <f>IF($C23="","",S23*T23)</f>
        <v/>
      </c>
      <c r="X23">
        <f>IF($C23="","",IF($AM23=1,0,IF($AL23=1,Settings!$C$6,Settings!$C$7))*100)</f>
        <v/>
      </c>
      <c r="AB23" s="7" t="n"/>
      <c r="AE23" s="11" t="n"/>
      <c r="AG23" s="7">
        <f>IF($C23="","",U23*X23/100)</f>
        <v/>
      </c>
      <c r="AH23" s="7">
        <f>IF($C23="","",U23-AG23)</f>
        <v/>
      </c>
      <c r="AI23" s="7">
        <f>IF($C23="","",AH23-M23)</f>
        <v/>
      </c>
      <c r="AJ23">
        <f>IF($C23="","",IF(COUNTIF($C$2:$C23,$C23)=1,1,0))</f>
        <v/>
      </c>
      <c r="AK23">
        <f>IF($AJ23=1,SUMPRODUCT(--($AN$2:$AN$4001&lt;$AN23))+1,"")</f>
        <v/>
      </c>
      <c r="AL23">
        <f>IF($C23="","",IF(OR($Q23=TRUE(),$Q23="TRUE"),1,0))</f>
        <v/>
      </c>
      <c r="AM23">
        <f>IF($C23="","",IF($W23="Yes",1,0))</f>
        <v/>
      </c>
      <c r="AN23">
        <f>IF($AJ23=1,IFERROR(IF(VALUE($C23)&lt;100000000,VALUE($C23),1000000000),IFERROR(IF(VALUE(MID($C23,2,20))&lt;100000000,VALUE(MID($C23,2,20)),1000000000),1000000000))+ROW()/100000,"")</f>
        <v/>
      </c>
    </row>
    <row r="24">
      <c r="E24" s="11" t="n"/>
      <c r="M24" s="7">
        <f>IF($C24="","",L24*U24/100)</f>
        <v/>
      </c>
      <c r="N24" s="7" t="n"/>
      <c r="T24" s="7" t="n"/>
      <c r="U24" s="7">
        <f>IF($C24="","",S24*T24)</f>
        <v/>
      </c>
      <c r="X24">
        <f>IF($C24="","",IF($AM24=1,0,IF($AL24=1,Settings!$C$6,Settings!$C$7))*100)</f>
        <v/>
      </c>
      <c r="AB24" s="7" t="n"/>
      <c r="AE24" s="11" t="n"/>
      <c r="AG24" s="7">
        <f>IF($C24="","",U24*X24/100)</f>
        <v/>
      </c>
      <c r="AH24" s="7">
        <f>IF($C24="","",U24-AG24)</f>
        <v/>
      </c>
      <c r="AI24" s="7">
        <f>IF($C24="","",AH24-M24)</f>
        <v/>
      </c>
      <c r="AJ24">
        <f>IF($C24="","",IF(COUNTIF($C$2:$C24,$C24)=1,1,0))</f>
        <v/>
      </c>
      <c r="AK24">
        <f>IF($AJ24=1,SUMPRODUCT(--($AN$2:$AN$4001&lt;$AN24))+1,"")</f>
        <v/>
      </c>
      <c r="AL24">
        <f>IF($C24="","",IF(OR($Q24=TRUE(),$Q24="TRUE"),1,0))</f>
        <v/>
      </c>
      <c r="AM24">
        <f>IF($C24="","",IF($W24="Yes",1,0))</f>
        <v/>
      </c>
      <c r="AN24">
        <f>IF($AJ24=1,IFERROR(IF(VALUE($C24)&lt;100000000,VALUE($C24),1000000000),IFERROR(IF(VALUE(MID($C24,2,20))&lt;100000000,VALUE(MID($C24,2,20)),1000000000),1000000000))+ROW()/100000,"")</f>
        <v/>
      </c>
    </row>
    <row r="25">
      <c r="E25" s="11" t="n"/>
      <c r="M25" s="7">
        <f>IF($C25="","",L25*U25/100)</f>
        <v/>
      </c>
      <c r="N25" s="7" t="n"/>
      <c r="T25" s="7" t="n"/>
      <c r="U25" s="7">
        <f>IF($C25="","",S25*T25)</f>
        <v/>
      </c>
      <c r="X25">
        <f>IF($C25="","",IF($AM25=1,0,IF($AL25=1,Settings!$C$6,Settings!$C$7))*100)</f>
        <v/>
      </c>
      <c r="AB25" s="7" t="n"/>
      <c r="AE25" s="11" t="n"/>
      <c r="AG25" s="7">
        <f>IF($C25="","",U25*X25/100)</f>
        <v/>
      </c>
      <c r="AH25" s="7">
        <f>IF($C25="","",U25-AG25)</f>
        <v/>
      </c>
      <c r="AI25" s="7">
        <f>IF($C25="","",AH25-M25)</f>
        <v/>
      </c>
      <c r="AJ25">
        <f>IF($C25="","",IF(COUNTIF($C$2:$C25,$C25)=1,1,0))</f>
        <v/>
      </c>
      <c r="AK25">
        <f>IF($AJ25=1,SUMPRODUCT(--($AN$2:$AN$4001&lt;$AN25))+1,"")</f>
        <v/>
      </c>
      <c r="AL25">
        <f>IF($C25="","",IF(OR($Q25=TRUE(),$Q25="TRUE"),1,0))</f>
        <v/>
      </c>
      <c r="AM25">
        <f>IF($C25="","",IF($W25="Yes",1,0))</f>
        <v/>
      </c>
      <c r="AN25">
        <f>IF($AJ25=1,IFERROR(IF(VALUE($C25)&lt;100000000,VALUE($C25),1000000000),IFERROR(IF(VALUE(MID($C25,2,20))&lt;100000000,VALUE(MID($C25,2,20)),1000000000),1000000000))+ROW()/100000,"")</f>
        <v/>
      </c>
    </row>
    <row r="26">
      <c r="E26" s="11" t="n"/>
      <c r="M26" s="7">
        <f>IF($C26="","",L26*U26/100)</f>
        <v/>
      </c>
      <c r="N26" s="7" t="n"/>
      <c r="T26" s="7" t="n"/>
      <c r="U26" s="7">
        <f>IF($C26="","",S26*T26)</f>
        <v/>
      </c>
      <c r="X26">
        <f>IF($C26="","",IF($AM26=1,0,IF($AL26=1,Settings!$C$6,Settings!$C$7))*100)</f>
        <v/>
      </c>
      <c r="AB26" s="7" t="n"/>
      <c r="AE26" s="11" t="n"/>
      <c r="AG26" s="7">
        <f>IF($C26="","",U26*X26/100)</f>
        <v/>
      </c>
      <c r="AH26" s="7">
        <f>IF($C26="","",U26-AG26)</f>
        <v/>
      </c>
      <c r="AI26" s="7">
        <f>IF($C26="","",AH26-M26)</f>
        <v/>
      </c>
      <c r="AJ26">
        <f>IF($C26="","",IF(COUNTIF($C$2:$C26,$C26)=1,1,0))</f>
        <v/>
      </c>
      <c r="AK26">
        <f>IF($AJ26=1,SUMPRODUCT(--($AN$2:$AN$4001&lt;$AN26))+1,"")</f>
        <v/>
      </c>
      <c r="AL26">
        <f>IF($C26="","",IF(OR($Q26=TRUE(),$Q26="TRUE"),1,0))</f>
        <v/>
      </c>
      <c r="AM26">
        <f>IF($C26="","",IF($W26="Yes",1,0))</f>
        <v/>
      </c>
      <c r="AN26">
        <f>IF($AJ26=1,IFERROR(IF(VALUE($C26)&lt;100000000,VALUE($C26),1000000000),IFERROR(IF(VALUE(MID($C26,2,20))&lt;100000000,VALUE(MID($C26,2,20)),1000000000),1000000000))+ROW()/100000,"")</f>
        <v/>
      </c>
    </row>
    <row r="27">
      <c r="E27" s="11" t="n"/>
      <c r="M27" s="7">
        <f>IF($C27="","",L27*U27/100)</f>
        <v/>
      </c>
      <c r="N27" s="7" t="n"/>
      <c r="T27" s="7" t="n"/>
      <c r="U27" s="7">
        <f>IF($C27="","",S27*T27)</f>
        <v/>
      </c>
      <c r="X27">
        <f>IF($C27="","",IF($AM27=1,0,IF($AL27=1,Settings!$C$6,Settings!$C$7))*100)</f>
        <v/>
      </c>
      <c r="AB27" s="7" t="n"/>
      <c r="AE27" s="11" t="n"/>
      <c r="AG27" s="7">
        <f>IF($C27="","",U27*X27/100)</f>
        <v/>
      </c>
      <c r="AH27" s="7">
        <f>IF($C27="","",U27-AG27)</f>
        <v/>
      </c>
      <c r="AI27" s="7">
        <f>IF($C27="","",AH27-M27)</f>
        <v/>
      </c>
      <c r="AJ27">
        <f>IF($C27="","",IF(COUNTIF($C$2:$C27,$C27)=1,1,0))</f>
        <v/>
      </c>
      <c r="AK27">
        <f>IF($AJ27=1,SUMPRODUCT(--($AN$2:$AN$4001&lt;$AN27))+1,"")</f>
        <v/>
      </c>
      <c r="AL27">
        <f>IF($C27="","",IF(OR($Q27=TRUE(),$Q27="TRUE"),1,0))</f>
        <v/>
      </c>
      <c r="AM27">
        <f>IF($C27="","",IF($W27="Yes",1,0))</f>
        <v/>
      </c>
      <c r="AN27">
        <f>IF($AJ27=1,IFERROR(IF(VALUE($C27)&lt;100000000,VALUE($C27),1000000000),IFERROR(IF(VALUE(MID($C27,2,20))&lt;100000000,VALUE(MID($C27,2,20)),1000000000),1000000000))+ROW()/100000,"")</f>
        <v/>
      </c>
    </row>
    <row r="28">
      <c r="E28" s="11" t="n"/>
      <c r="M28" s="7">
        <f>IF($C28="","",L28*U28/100)</f>
        <v/>
      </c>
      <c r="N28" s="7" t="n"/>
      <c r="T28" s="7" t="n"/>
      <c r="U28" s="7">
        <f>IF($C28="","",S28*T28)</f>
        <v/>
      </c>
      <c r="X28">
        <f>IF($C28="","",IF($AM28=1,0,IF($AL28=1,Settings!$C$6,Settings!$C$7))*100)</f>
        <v/>
      </c>
      <c r="AB28" s="7" t="n"/>
      <c r="AE28" s="11" t="n"/>
      <c r="AG28" s="7">
        <f>IF($C28="","",U28*X28/100)</f>
        <v/>
      </c>
      <c r="AH28" s="7">
        <f>IF($C28="","",U28-AG28)</f>
        <v/>
      </c>
      <c r="AI28" s="7">
        <f>IF($C28="","",AH28-M28)</f>
        <v/>
      </c>
      <c r="AJ28">
        <f>IF($C28="","",IF(COUNTIF($C$2:$C28,$C28)=1,1,0))</f>
        <v/>
      </c>
      <c r="AK28">
        <f>IF($AJ28=1,SUMPRODUCT(--($AN$2:$AN$4001&lt;$AN28))+1,"")</f>
        <v/>
      </c>
      <c r="AL28">
        <f>IF($C28="","",IF(OR($Q28=TRUE(),$Q28="TRUE"),1,0))</f>
        <v/>
      </c>
      <c r="AM28">
        <f>IF($C28="","",IF($W28="Yes",1,0))</f>
        <v/>
      </c>
      <c r="AN28">
        <f>IF($AJ28=1,IFERROR(IF(VALUE($C28)&lt;100000000,VALUE($C28),1000000000),IFERROR(IF(VALUE(MID($C28,2,20))&lt;100000000,VALUE(MID($C28,2,20)),1000000000),1000000000))+ROW()/100000,"")</f>
        <v/>
      </c>
    </row>
    <row r="29">
      <c r="E29" s="11" t="n"/>
      <c r="M29" s="7">
        <f>IF($C29="","",L29*U29/100)</f>
        <v/>
      </c>
      <c r="N29" s="7" t="n"/>
      <c r="T29" s="7" t="n"/>
      <c r="U29" s="7">
        <f>IF($C29="","",S29*T29)</f>
        <v/>
      </c>
      <c r="X29">
        <f>IF($C29="","",IF($AM29=1,0,IF($AL29=1,Settings!$C$6,Settings!$C$7))*100)</f>
        <v/>
      </c>
      <c r="AB29" s="7" t="n"/>
      <c r="AE29" s="11" t="n"/>
      <c r="AG29" s="7">
        <f>IF($C29="","",U29*X29/100)</f>
        <v/>
      </c>
      <c r="AH29" s="7">
        <f>IF($C29="","",U29-AG29)</f>
        <v/>
      </c>
      <c r="AI29" s="7">
        <f>IF($C29="","",AH29-M29)</f>
        <v/>
      </c>
      <c r="AJ29">
        <f>IF($C29="","",IF(COUNTIF($C$2:$C29,$C29)=1,1,0))</f>
        <v/>
      </c>
      <c r="AK29">
        <f>IF($AJ29=1,SUMPRODUCT(--($AN$2:$AN$4001&lt;$AN29))+1,"")</f>
        <v/>
      </c>
      <c r="AL29">
        <f>IF($C29="","",IF(OR($Q29=TRUE(),$Q29="TRUE"),1,0))</f>
        <v/>
      </c>
      <c r="AM29">
        <f>IF($C29="","",IF($W29="Yes",1,0))</f>
        <v/>
      </c>
      <c r="AN29">
        <f>IF($AJ29=1,IFERROR(IF(VALUE($C29)&lt;100000000,VALUE($C29),1000000000),IFERROR(IF(VALUE(MID($C29,2,20))&lt;100000000,VALUE(MID($C29,2,20)),1000000000),1000000000))+ROW()/100000,"")</f>
        <v/>
      </c>
    </row>
    <row r="30">
      <c r="E30" s="11" t="n"/>
      <c r="M30" s="7">
        <f>IF($C30="","",L30*U30/100)</f>
        <v/>
      </c>
      <c r="N30" s="7" t="n"/>
      <c r="T30" s="7" t="n"/>
      <c r="U30" s="7">
        <f>IF($C30="","",S30*T30)</f>
        <v/>
      </c>
      <c r="X30">
        <f>IF($C30="","",IF($AM30=1,0,IF($AL30=1,Settings!$C$6,Settings!$C$7))*100)</f>
        <v/>
      </c>
      <c r="AB30" s="7" t="n"/>
      <c r="AE30" s="11" t="n"/>
      <c r="AG30" s="7">
        <f>IF($C30="","",U30*X30/100)</f>
        <v/>
      </c>
      <c r="AH30" s="7">
        <f>IF($C30="","",U30-AG30)</f>
        <v/>
      </c>
      <c r="AI30" s="7">
        <f>IF($C30="","",AH30-M30)</f>
        <v/>
      </c>
      <c r="AJ30">
        <f>IF($C30="","",IF(COUNTIF($C$2:$C30,$C30)=1,1,0))</f>
        <v/>
      </c>
      <c r="AK30">
        <f>IF($AJ30=1,SUMPRODUCT(--($AN$2:$AN$4001&lt;$AN30))+1,"")</f>
        <v/>
      </c>
      <c r="AL30">
        <f>IF($C30="","",IF(OR($Q30=TRUE(),$Q30="TRUE"),1,0))</f>
        <v/>
      </c>
      <c r="AM30">
        <f>IF($C30="","",IF($W30="Yes",1,0))</f>
        <v/>
      </c>
      <c r="AN30">
        <f>IF($AJ30=1,IFERROR(IF(VALUE($C30)&lt;100000000,VALUE($C30),1000000000),IFERROR(IF(VALUE(MID($C30,2,20))&lt;100000000,VALUE(MID($C30,2,20)),1000000000),1000000000))+ROW()/100000,"")</f>
        <v/>
      </c>
    </row>
    <row r="31">
      <c r="E31" s="11" t="n"/>
      <c r="M31" s="7">
        <f>IF($C31="","",L31*U31/100)</f>
        <v/>
      </c>
      <c r="N31" s="7" t="n"/>
      <c r="T31" s="7" t="n"/>
      <c r="U31" s="7">
        <f>IF($C31="","",S31*T31)</f>
        <v/>
      </c>
      <c r="X31">
        <f>IF($C31="","",IF($AM31=1,0,IF($AL31=1,Settings!$C$6,Settings!$C$7))*100)</f>
        <v/>
      </c>
      <c r="AB31" s="7" t="n"/>
      <c r="AE31" s="11" t="n"/>
      <c r="AG31" s="7">
        <f>IF($C31="","",U31*X31/100)</f>
        <v/>
      </c>
      <c r="AH31" s="7">
        <f>IF($C31="","",U31-AG31)</f>
        <v/>
      </c>
      <c r="AI31" s="7">
        <f>IF($C31="","",AH31-M31)</f>
        <v/>
      </c>
      <c r="AJ31">
        <f>IF($C31="","",IF(COUNTIF($C$2:$C31,$C31)=1,1,0))</f>
        <v/>
      </c>
      <c r="AK31">
        <f>IF($AJ31=1,SUMPRODUCT(--($AN$2:$AN$4001&lt;$AN31))+1,"")</f>
        <v/>
      </c>
      <c r="AL31">
        <f>IF($C31="","",IF(OR($Q31=TRUE(),$Q31="TRUE"),1,0))</f>
        <v/>
      </c>
      <c r="AM31">
        <f>IF($C31="","",IF($W31="Yes",1,0))</f>
        <v/>
      </c>
      <c r="AN31">
        <f>IF($AJ31=1,IFERROR(IF(VALUE($C31)&lt;100000000,VALUE($C31),1000000000),IFERROR(IF(VALUE(MID($C31,2,20))&lt;100000000,VALUE(MID($C31,2,20)),1000000000),1000000000))+ROW()/100000,"")</f>
        <v/>
      </c>
    </row>
    <row r="32">
      <c r="E32" s="11" t="n"/>
      <c r="M32" s="7">
        <f>IF($C32="","",L32*U32/100)</f>
        <v/>
      </c>
      <c r="N32" s="7" t="n"/>
      <c r="T32" s="7" t="n"/>
      <c r="U32" s="7">
        <f>IF($C32="","",S32*T32)</f>
        <v/>
      </c>
      <c r="X32">
        <f>IF($C32="","",IF($AM32=1,0,IF($AL32=1,Settings!$C$6,Settings!$C$7))*100)</f>
        <v/>
      </c>
      <c r="AB32" s="7" t="n"/>
      <c r="AE32" s="11" t="n"/>
      <c r="AG32" s="7">
        <f>IF($C32="","",U32*X32/100)</f>
        <v/>
      </c>
      <c r="AH32" s="7">
        <f>IF($C32="","",U32-AG32)</f>
        <v/>
      </c>
      <c r="AI32" s="7">
        <f>IF($C32="","",AH32-M32)</f>
        <v/>
      </c>
      <c r="AJ32">
        <f>IF($C32="","",IF(COUNTIF($C$2:$C32,$C32)=1,1,0))</f>
        <v/>
      </c>
      <c r="AK32">
        <f>IF($AJ32=1,SUMPRODUCT(--($AN$2:$AN$4001&lt;$AN32))+1,"")</f>
        <v/>
      </c>
      <c r="AL32">
        <f>IF($C32="","",IF(OR($Q32=TRUE(),$Q32="TRUE"),1,0))</f>
        <v/>
      </c>
      <c r="AM32">
        <f>IF($C32="","",IF($W32="Yes",1,0))</f>
        <v/>
      </c>
      <c r="AN32">
        <f>IF($AJ32=1,IFERROR(IF(VALUE($C32)&lt;100000000,VALUE($C32),1000000000),IFERROR(IF(VALUE(MID($C32,2,20))&lt;100000000,VALUE(MID($C32,2,20)),1000000000),1000000000))+ROW()/100000,"")</f>
        <v/>
      </c>
    </row>
    <row r="33">
      <c r="E33" s="11" t="n"/>
      <c r="M33" s="7">
        <f>IF($C33="","",L33*U33/100)</f>
        <v/>
      </c>
      <c r="N33" s="7" t="n"/>
      <c r="T33" s="7" t="n"/>
      <c r="U33" s="7">
        <f>IF($C33="","",S33*T33)</f>
        <v/>
      </c>
      <c r="X33">
        <f>IF($C33="","",IF($AM33=1,0,IF($AL33=1,Settings!$C$6,Settings!$C$7))*100)</f>
        <v/>
      </c>
      <c r="AB33" s="7" t="n"/>
      <c r="AE33" s="11" t="n"/>
      <c r="AG33" s="7">
        <f>IF($C33="","",U33*X33/100)</f>
        <v/>
      </c>
      <c r="AH33" s="7">
        <f>IF($C33="","",U33-AG33)</f>
        <v/>
      </c>
      <c r="AI33" s="7">
        <f>IF($C33="","",AH33-M33)</f>
        <v/>
      </c>
      <c r="AJ33">
        <f>IF($C33="","",IF(COUNTIF($C$2:$C33,$C33)=1,1,0))</f>
        <v/>
      </c>
      <c r="AK33">
        <f>IF($AJ33=1,SUMPRODUCT(--($AN$2:$AN$4001&lt;$AN33))+1,"")</f>
        <v/>
      </c>
      <c r="AL33">
        <f>IF($C33="","",IF(OR($Q33=TRUE(),$Q33="TRUE"),1,0))</f>
        <v/>
      </c>
      <c r="AM33">
        <f>IF($C33="","",IF($W33="Yes",1,0))</f>
        <v/>
      </c>
      <c r="AN33">
        <f>IF($AJ33=1,IFERROR(IF(VALUE($C33)&lt;100000000,VALUE($C33),1000000000),IFERROR(IF(VALUE(MID($C33,2,20))&lt;100000000,VALUE(MID($C33,2,20)),1000000000),1000000000))+ROW()/100000,"")</f>
        <v/>
      </c>
    </row>
    <row r="34">
      <c r="E34" s="11" t="n"/>
      <c r="M34" s="7">
        <f>IF($C34="","",L34*U34/100)</f>
        <v/>
      </c>
      <c r="N34" s="7" t="n"/>
      <c r="T34" s="7" t="n"/>
      <c r="U34" s="7">
        <f>IF($C34="","",S34*T34)</f>
        <v/>
      </c>
      <c r="X34">
        <f>IF($C34="","",IF($AM34=1,0,IF($AL34=1,Settings!$C$6,Settings!$C$7))*100)</f>
        <v/>
      </c>
      <c r="AB34" s="7" t="n"/>
      <c r="AE34" s="11" t="n"/>
      <c r="AG34" s="7">
        <f>IF($C34="","",U34*X34/100)</f>
        <v/>
      </c>
      <c r="AH34" s="7">
        <f>IF($C34="","",U34-AG34)</f>
        <v/>
      </c>
      <c r="AI34" s="7">
        <f>IF($C34="","",AH34-M34)</f>
        <v/>
      </c>
      <c r="AJ34">
        <f>IF($C34="","",IF(COUNTIF($C$2:$C34,$C34)=1,1,0))</f>
        <v/>
      </c>
      <c r="AK34">
        <f>IF($AJ34=1,SUMPRODUCT(--($AN$2:$AN$4001&lt;$AN34))+1,"")</f>
        <v/>
      </c>
      <c r="AL34">
        <f>IF($C34="","",IF(OR($Q34=TRUE(),$Q34="TRUE"),1,0))</f>
        <v/>
      </c>
      <c r="AM34">
        <f>IF($C34="","",IF($W34="Yes",1,0))</f>
        <v/>
      </c>
      <c r="AN34">
        <f>IF($AJ34=1,IFERROR(IF(VALUE($C34)&lt;100000000,VALUE($C34),1000000000),IFERROR(IF(VALUE(MID($C34,2,20))&lt;100000000,VALUE(MID($C34,2,20)),1000000000),1000000000))+ROW()/100000,"")</f>
        <v/>
      </c>
    </row>
    <row r="35">
      <c r="E35" s="11" t="n"/>
      <c r="M35" s="7">
        <f>IF($C35="","",L35*U35/100)</f>
        <v/>
      </c>
      <c r="N35" s="7" t="n"/>
      <c r="T35" s="7" t="n"/>
      <c r="U35" s="7">
        <f>IF($C35="","",S35*T35)</f>
        <v/>
      </c>
      <c r="X35">
        <f>IF($C35="","",IF($AM35=1,0,IF($AL35=1,Settings!$C$6,Settings!$C$7))*100)</f>
        <v/>
      </c>
      <c r="AB35" s="7" t="n"/>
      <c r="AE35" s="11" t="n"/>
      <c r="AG35" s="7">
        <f>IF($C35="","",U35*X35/100)</f>
        <v/>
      </c>
      <c r="AH35" s="7">
        <f>IF($C35="","",U35-AG35)</f>
        <v/>
      </c>
      <c r="AI35" s="7">
        <f>IF($C35="","",AH35-M35)</f>
        <v/>
      </c>
      <c r="AJ35">
        <f>IF($C35="","",IF(COUNTIF($C$2:$C35,$C35)=1,1,0))</f>
        <v/>
      </c>
      <c r="AK35">
        <f>IF($AJ35=1,SUMPRODUCT(--($AN$2:$AN$4001&lt;$AN35))+1,"")</f>
        <v/>
      </c>
      <c r="AL35">
        <f>IF($C35="","",IF(OR($Q35=TRUE(),$Q35="TRUE"),1,0))</f>
        <v/>
      </c>
      <c r="AM35">
        <f>IF($C35="","",IF($W35="Yes",1,0))</f>
        <v/>
      </c>
      <c r="AN35">
        <f>IF($AJ35=1,IFERROR(IF(VALUE($C35)&lt;100000000,VALUE($C35),1000000000),IFERROR(IF(VALUE(MID($C35,2,20))&lt;100000000,VALUE(MID($C35,2,20)),1000000000),1000000000))+ROW()/100000,"")</f>
        <v/>
      </c>
    </row>
    <row r="36">
      <c r="E36" s="11" t="n"/>
      <c r="M36" s="7">
        <f>IF($C36="","",L36*U36/100)</f>
        <v/>
      </c>
      <c r="N36" s="7" t="n"/>
      <c r="T36" s="7" t="n"/>
      <c r="U36" s="7">
        <f>IF($C36="","",S36*T36)</f>
        <v/>
      </c>
      <c r="X36">
        <f>IF($C36="","",IF($AM36=1,0,IF($AL36=1,Settings!$C$6,Settings!$C$7))*100)</f>
        <v/>
      </c>
      <c r="AB36" s="7" t="n"/>
      <c r="AE36" s="11" t="n"/>
      <c r="AG36" s="7">
        <f>IF($C36="","",U36*X36/100)</f>
        <v/>
      </c>
      <c r="AH36" s="7">
        <f>IF($C36="","",U36-AG36)</f>
        <v/>
      </c>
      <c r="AI36" s="7">
        <f>IF($C36="","",AH36-M36)</f>
        <v/>
      </c>
      <c r="AJ36">
        <f>IF($C36="","",IF(COUNTIF($C$2:$C36,$C36)=1,1,0))</f>
        <v/>
      </c>
      <c r="AK36">
        <f>IF($AJ36=1,SUMPRODUCT(--($AN$2:$AN$4001&lt;$AN36))+1,"")</f>
        <v/>
      </c>
      <c r="AL36">
        <f>IF($C36="","",IF(OR($Q36=TRUE(),$Q36="TRUE"),1,0))</f>
        <v/>
      </c>
      <c r="AM36">
        <f>IF($C36="","",IF($W36="Yes",1,0))</f>
        <v/>
      </c>
      <c r="AN36">
        <f>IF($AJ36=1,IFERROR(IF(VALUE($C36)&lt;100000000,VALUE($C36),1000000000),IFERROR(IF(VALUE(MID($C36,2,20))&lt;100000000,VALUE(MID($C36,2,20)),1000000000),1000000000))+ROW()/100000,"")</f>
        <v/>
      </c>
    </row>
    <row r="37">
      <c r="E37" s="11" t="n"/>
      <c r="M37" s="7">
        <f>IF($C37="","",L37*U37/100)</f>
        <v/>
      </c>
      <c r="N37" s="7" t="n"/>
      <c r="T37" s="7" t="n"/>
      <c r="U37" s="7">
        <f>IF($C37="","",S37*T37)</f>
        <v/>
      </c>
      <c r="X37">
        <f>IF($C37="","",IF($AM37=1,0,IF($AL37=1,Settings!$C$6,Settings!$C$7))*100)</f>
        <v/>
      </c>
      <c r="AB37" s="7" t="n"/>
      <c r="AE37" s="11" t="n"/>
      <c r="AG37" s="7">
        <f>IF($C37="","",U37*X37/100)</f>
        <v/>
      </c>
      <c r="AH37" s="7">
        <f>IF($C37="","",U37-AG37)</f>
        <v/>
      </c>
      <c r="AI37" s="7">
        <f>IF($C37="","",AH37-M37)</f>
        <v/>
      </c>
      <c r="AJ37">
        <f>IF($C37="","",IF(COUNTIF($C$2:$C37,$C37)=1,1,0))</f>
        <v/>
      </c>
      <c r="AK37">
        <f>IF($AJ37=1,SUMPRODUCT(--($AN$2:$AN$4001&lt;$AN37))+1,"")</f>
        <v/>
      </c>
      <c r="AL37">
        <f>IF($C37="","",IF(OR($Q37=TRUE(),$Q37="TRUE"),1,0))</f>
        <v/>
      </c>
      <c r="AM37">
        <f>IF($C37="","",IF($W37="Yes",1,0))</f>
        <v/>
      </c>
      <c r="AN37">
        <f>IF($AJ37=1,IFERROR(IF(VALUE($C37)&lt;100000000,VALUE($C37),1000000000),IFERROR(IF(VALUE(MID($C37,2,20))&lt;100000000,VALUE(MID($C37,2,20)),1000000000),1000000000))+ROW()/100000,"")</f>
        <v/>
      </c>
    </row>
    <row r="38">
      <c r="E38" s="11" t="n"/>
      <c r="M38" s="7">
        <f>IF($C38="","",L38*U38/100)</f>
        <v/>
      </c>
      <c r="N38" s="7" t="n"/>
      <c r="T38" s="7" t="n"/>
      <c r="U38" s="7">
        <f>IF($C38="","",S38*T38)</f>
        <v/>
      </c>
      <c r="X38">
        <f>IF($C38="","",IF($AM38=1,0,IF($AL38=1,Settings!$C$6,Settings!$C$7))*100)</f>
        <v/>
      </c>
      <c r="AB38" s="7" t="n"/>
      <c r="AE38" s="11" t="n"/>
      <c r="AG38" s="7">
        <f>IF($C38="","",U38*X38/100)</f>
        <v/>
      </c>
      <c r="AH38" s="7">
        <f>IF($C38="","",U38-AG38)</f>
        <v/>
      </c>
      <c r="AI38" s="7">
        <f>IF($C38="","",AH38-M38)</f>
        <v/>
      </c>
      <c r="AJ38">
        <f>IF($C38="","",IF(COUNTIF($C$2:$C38,$C38)=1,1,0))</f>
        <v/>
      </c>
      <c r="AK38">
        <f>IF($AJ38=1,SUMPRODUCT(--($AN$2:$AN$4001&lt;$AN38))+1,"")</f>
        <v/>
      </c>
      <c r="AL38">
        <f>IF($C38="","",IF(OR($Q38=TRUE(),$Q38="TRUE"),1,0))</f>
        <v/>
      </c>
      <c r="AM38">
        <f>IF($C38="","",IF($W38="Yes",1,0))</f>
        <v/>
      </c>
      <c r="AN38">
        <f>IF($AJ38=1,IFERROR(IF(VALUE($C38)&lt;100000000,VALUE($C38),1000000000),IFERROR(IF(VALUE(MID($C38,2,20))&lt;100000000,VALUE(MID($C38,2,20)),1000000000),1000000000))+ROW()/100000,"")</f>
        <v/>
      </c>
    </row>
    <row r="39">
      <c r="E39" s="11" t="n"/>
      <c r="M39" s="7">
        <f>IF($C39="","",L39*U39/100)</f>
        <v/>
      </c>
      <c r="N39" s="7" t="n"/>
      <c r="T39" s="7" t="n"/>
      <c r="U39" s="7">
        <f>IF($C39="","",S39*T39)</f>
        <v/>
      </c>
      <c r="X39">
        <f>IF($C39="","",IF($AM39=1,0,IF($AL39=1,Settings!$C$6,Settings!$C$7))*100)</f>
        <v/>
      </c>
      <c r="AB39" s="7" t="n"/>
      <c r="AE39" s="11" t="n"/>
      <c r="AG39" s="7">
        <f>IF($C39="","",U39*X39/100)</f>
        <v/>
      </c>
      <c r="AH39" s="7">
        <f>IF($C39="","",U39-AG39)</f>
        <v/>
      </c>
      <c r="AI39" s="7">
        <f>IF($C39="","",AH39-M39)</f>
        <v/>
      </c>
      <c r="AJ39">
        <f>IF($C39="","",IF(COUNTIF($C$2:$C39,$C39)=1,1,0))</f>
        <v/>
      </c>
      <c r="AK39">
        <f>IF($AJ39=1,SUMPRODUCT(--($AN$2:$AN$4001&lt;$AN39))+1,"")</f>
        <v/>
      </c>
      <c r="AL39">
        <f>IF($C39="","",IF(OR($Q39=TRUE(),$Q39="TRUE"),1,0))</f>
        <v/>
      </c>
      <c r="AM39">
        <f>IF($C39="","",IF($W39="Yes",1,0))</f>
        <v/>
      </c>
      <c r="AN39">
        <f>IF($AJ39=1,IFERROR(IF(VALUE($C39)&lt;100000000,VALUE($C39),1000000000),IFERROR(IF(VALUE(MID($C39,2,20))&lt;100000000,VALUE(MID($C39,2,20)),1000000000),1000000000))+ROW()/100000,"")</f>
        <v/>
      </c>
    </row>
    <row r="40">
      <c r="E40" s="11" t="n"/>
      <c r="M40" s="7">
        <f>IF($C40="","",L40*U40/100)</f>
        <v/>
      </c>
      <c r="N40" s="7" t="n"/>
      <c r="T40" s="7" t="n"/>
      <c r="U40" s="7">
        <f>IF($C40="","",S40*T40)</f>
        <v/>
      </c>
      <c r="X40">
        <f>IF($C40="","",IF($AM40=1,0,IF($AL40=1,Settings!$C$6,Settings!$C$7))*100)</f>
        <v/>
      </c>
      <c r="AB40" s="7" t="n"/>
      <c r="AE40" s="11" t="n"/>
      <c r="AG40" s="7">
        <f>IF($C40="","",U40*X40/100)</f>
        <v/>
      </c>
      <c r="AH40" s="7">
        <f>IF($C40="","",U40-AG40)</f>
        <v/>
      </c>
      <c r="AI40" s="7">
        <f>IF($C40="","",AH40-M40)</f>
        <v/>
      </c>
      <c r="AJ40">
        <f>IF($C40="","",IF(COUNTIF($C$2:$C40,$C40)=1,1,0))</f>
        <v/>
      </c>
      <c r="AK40">
        <f>IF($AJ40=1,SUMPRODUCT(--($AN$2:$AN$4001&lt;$AN40))+1,"")</f>
        <v/>
      </c>
      <c r="AL40">
        <f>IF($C40="","",IF(OR($Q40=TRUE(),$Q40="TRUE"),1,0))</f>
        <v/>
      </c>
      <c r="AM40">
        <f>IF($C40="","",IF($W40="Yes",1,0))</f>
        <v/>
      </c>
      <c r="AN40">
        <f>IF($AJ40=1,IFERROR(IF(VALUE($C40)&lt;100000000,VALUE($C40),1000000000),IFERROR(IF(VALUE(MID($C40,2,20))&lt;100000000,VALUE(MID($C40,2,20)),1000000000),1000000000))+ROW()/100000,"")</f>
        <v/>
      </c>
    </row>
    <row r="41">
      <c r="E41" s="11" t="n"/>
      <c r="M41" s="7">
        <f>IF($C41="","",L41*U41/100)</f>
        <v/>
      </c>
      <c r="N41" s="7" t="n"/>
      <c r="T41" s="7" t="n"/>
      <c r="U41" s="7">
        <f>IF($C41="","",S41*T41)</f>
        <v/>
      </c>
      <c r="X41">
        <f>IF($C41="","",IF($AM41=1,0,IF($AL41=1,Settings!$C$6,Settings!$C$7))*100)</f>
        <v/>
      </c>
      <c r="AB41" s="7" t="n"/>
      <c r="AE41" s="11" t="n"/>
      <c r="AG41" s="7">
        <f>IF($C41="","",U41*X41/100)</f>
        <v/>
      </c>
      <c r="AH41" s="7">
        <f>IF($C41="","",U41-AG41)</f>
        <v/>
      </c>
      <c r="AI41" s="7">
        <f>IF($C41="","",AH41-M41)</f>
        <v/>
      </c>
      <c r="AJ41">
        <f>IF($C41="","",IF(COUNTIF($C$2:$C41,$C41)=1,1,0))</f>
        <v/>
      </c>
      <c r="AK41">
        <f>IF($AJ41=1,SUMPRODUCT(--($AN$2:$AN$4001&lt;$AN41))+1,"")</f>
        <v/>
      </c>
      <c r="AL41">
        <f>IF($C41="","",IF(OR($Q41=TRUE(),$Q41="TRUE"),1,0))</f>
        <v/>
      </c>
      <c r="AM41">
        <f>IF($C41="","",IF($W41="Yes",1,0))</f>
        <v/>
      </c>
      <c r="AN41">
        <f>IF($AJ41=1,IFERROR(IF(VALUE($C41)&lt;100000000,VALUE($C41),1000000000),IFERROR(IF(VALUE(MID($C41,2,20))&lt;100000000,VALUE(MID($C41,2,20)),1000000000),1000000000))+ROW()/100000,"")</f>
        <v/>
      </c>
    </row>
    <row r="42">
      <c r="E42" s="11" t="n"/>
      <c r="M42" s="7">
        <f>IF($C42="","",L42*U42/100)</f>
        <v/>
      </c>
      <c r="N42" s="7" t="n"/>
      <c r="T42" s="7" t="n"/>
      <c r="U42" s="7">
        <f>IF($C42="","",S42*T42)</f>
        <v/>
      </c>
      <c r="X42">
        <f>IF($C42="","",IF($AM42=1,0,IF($AL42=1,Settings!$C$6,Settings!$C$7))*100)</f>
        <v/>
      </c>
      <c r="AB42" s="7" t="n"/>
      <c r="AE42" s="11" t="n"/>
      <c r="AG42" s="7">
        <f>IF($C42="","",U42*X42/100)</f>
        <v/>
      </c>
      <c r="AH42" s="7">
        <f>IF($C42="","",U42-AG42)</f>
        <v/>
      </c>
      <c r="AI42" s="7">
        <f>IF($C42="","",AH42-M42)</f>
        <v/>
      </c>
      <c r="AJ42">
        <f>IF($C42="","",IF(COUNTIF($C$2:$C42,$C42)=1,1,0))</f>
        <v/>
      </c>
      <c r="AK42">
        <f>IF($AJ42=1,SUMPRODUCT(--($AN$2:$AN$4001&lt;$AN42))+1,"")</f>
        <v/>
      </c>
      <c r="AL42">
        <f>IF($C42="","",IF(OR($Q42=TRUE(),$Q42="TRUE"),1,0))</f>
        <v/>
      </c>
      <c r="AM42">
        <f>IF($C42="","",IF($W42="Yes",1,0))</f>
        <v/>
      </c>
      <c r="AN42">
        <f>IF($AJ42=1,IFERROR(IF(VALUE($C42)&lt;100000000,VALUE($C42),1000000000),IFERROR(IF(VALUE(MID($C42,2,20))&lt;100000000,VALUE(MID($C42,2,20)),1000000000),1000000000))+ROW()/100000,"")</f>
        <v/>
      </c>
    </row>
    <row r="43">
      <c r="E43" s="11" t="n"/>
      <c r="M43" s="7">
        <f>IF($C43="","",L43*U43/100)</f>
        <v/>
      </c>
      <c r="N43" s="7" t="n"/>
      <c r="T43" s="7" t="n"/>
      <c r="U43" s="7">
        <f>IF($C43="","",S43*T43)</f>
        <v/>
      </c>
      <c r="X43">
        <f>IF($C43="","",IF($AM43=1,0,IF($AL43=1,Settings!$C$6,Settings!$C$7))*100)</f>
        <v/>
      </c>
      <c r="AB43" s="7" t="n"/>
      <c r="AE43" s="11" t="n"/>
      <c r="AG43" s="7">
        <f>IF($C43="","",U43*X43/100)</f>
        <v/>
      </c>
      <c r="AH43" s="7">
        <f>IF($C43="","",U43-AG43)</f>
        <v/>
      </c>
      <c r="AI43" s="7">
        <f>IF($C43="","",AH43-M43)</f>
        <v/>
      </c>
      <c r="AJ43">
        <f>IF($C43="","",IF(COUNTIF($C$2:$C43,$C43)=1,1,0))</f>
        <v/>
      </c>
      <c r="AK43">
        <f>IF($AJ43=1,SUMPRODUCT(--($AN$2:$AN$4001&lt;$AN43))+1,"")</f>
        <v/>
      </c>
      <c r="AL43">
        <f>IF($C43="","",IF(OR($Q43=TRUE(),$Q43="TRUE"),1,0))</f>
        <v/>
      </c>
      <c r="AM43">
        <f>IF($C43="","",IF($W43="Yes",1,0))</f>
        <v/>
      </c>
      <c r="AN43">
        <f>IF($AJ43=1,IFERROR(IF(VALUE($C43)&lt;100000000,VALUE($C43),1000000000),IFERROR(IF(VALUE(MID($C43,2,20))&lt;100000000,VALUE(MID($C43,2,20)),1000000000),1000000000))+ROW()/100000,"")</f>
        <v/>
      </c>
    </row>
    <row r="44">
      <c r="E44" s="11" t="n"/>
      <c r="M44" s="7">
        <f>IF($C44="","",L44*U44/100)</f>
        <v/>
      </c>
      <c r="N44" s="7" t="n"/>
      <c r="T44" s="7" t="n"/>
      <c r="U44" s="7">
        <f>IF($C44="","",S44*T44)</f>
        <v/>
      </c>
      <c r="X44">
        <f>IF($C44="","",IF($AM44=1,0,IF($AL44=1,Settings!$C$6,Settings!$C$7))*100)</f>
        <v/>
      </c>
      <c r="AB44" s="7" t="n"/>
      <c r="AE44" s="11" t="n"/>
      <c r="AG44" s="7">
        <f>IF($C44="","",U44*X44/100)</f>
        <v/>
      </c>
      <c r="AH44" s="7">
        <f>IF($C44="","",U44-AG44)</f>
        <v/>
      </c>
      <c r="AI44" s="7">
        <f>IF($C44="","",AH44-M44)</f>
        <v/>
      </c>
      <c r="AJ44">
        <f>IF($C44="","",IF(COUNTIF($C$2:$C44,$C44)=1,1,0))</f>
        <v/>
      </c>
      <c r="AK44">
        <f>IF($AJ44=1,SUMPRODUCT(--($AN$2:$AN$4001&lt;$AN44))+1,"")</f>
        <v/>
      </c>
      <c r="AL44">
        <f>IF($C44="","",IF(OR($Q44=TRUE(),$Q44="TRUE"),1,0))</f>
        <v/>
      </c>
      <c r="AM44">
        <f>IF($C44="","",IF($W44="Yes",1,0))</f>
        <v/>
      </c>
      <c r="AN44">
        <f>IF($AJ44=1,IFERROR(IF(VALUE($C44)&lt;100000000,VALUE($C44),1000000000),IFERROR(IF(VALUE(MID($C44,2,20))&lt;100000000,VALUE(MID($C44,2,20)),1000000000),1000000000))+ROW()/100000,"")</f>
        <v/>
      </c>
    </row>
    <row r="45">
      <c r="E45" s="11" t="n"/>
      <c r="M45" s="7">
        <f>IF($C45="","",L45*U45/100)</f>
        <v/>
      </c>
      <c r="N45" s="7" t="n"/>
      <c r="T45" s="7" t="n"/>
      <c r="U45" s="7">
        <f>IF($C45="","",S45*T45)</f>
        <v/>
      </c>
      <c r="X45">
        <f>IF($C45="","",IF($AM45=1,0,IF($AL45=1,Settings!$C$6,Settings!$C$7))*100)</f>
        <v/>
      </c>
      <c r="AB45" s="7" t="n"/>
      <c r="AE45" s="11" t="n"/>
      <c r="AG45" s="7">
        <f>IF($C45="","",U45*X45/100)</f>
        <v/>
      </c>
      <c r="AH45" s="7">
        <f>IF($C45="","",U45-AG45)</f>
        <v/>
      </c>
      <c r="AI45" s="7">
        <f>IF($C45="","",AH45-M45)</f>
        <v/>
      </c>
      <c r="AJ45">
        <f>IF($C45="","",IF(COUNTIF($C$2:$C45,$C45)=1,1,0))</f>
        <v/>
      </c>
      <c r="AK45">
        <f>IF($AJ45=1,SUMPRODUCT(--($AN$2:$AN$4001&lt;$AN45))+1,"")</f>
        <v/>
      </c>
      <c r="AL45">
        <f>IF($C45="","",IF(OR($Q45=TRUE(),$Q45="TRUE"),1,0))</f>
        <v/>
      </c>
      <c r="AM45">
        <f>IF($C45="","",IF($W45="Yes",1,0))</f>
        <v/>
      </c>
      <c r="AN45">
        <f>IF($AJ45=1,IFERROR(IF(VALUE($C45)&lt;100000000,VALUE($C45),1000000000),IFERROR(IF(VALUE(MID($C45,2,20))&lt;100000000,VALUE(MID($C45,2,20)),1000000000),1000000000))+ROW()/100000,"")</f>
        <v/>
      </c>
    </row>
    <row r="46">
      <c r="E46" s="11" t="n"/>
      <c r="M46" s="7">
        <f>IF($C46="","",L46*U46/100)</f>
        <v/>
      </c>
      <c r="N46" s="7" t="n"/>
      <c r="T46" s="7" t="n"/>
      <c r="U46" s="7">
        <f>IF($C46="","",S46*T46)</f>
        <v/>
      </c>
      <c r="X46">
        <f>IF($C46="","",IF($AM46=1,0,IF($AL46=1,Settings!$C$6,Settings!$C$7))*100)</f>
        <v/>
      </c>
      <c r="AB46" s="7" t="n"/>
      <c r="AE46" s="11" t="n"/>
      <c r="AG46" s="7">
        <f>IF($C46="","",U46*X46/100)</f>
        <v/>
      </c>
      <c r="AH46" s="7">
        <f>IF($C46="","",U46-AG46)</f>
        <v/>
      </c>
      <c r="AI46" s="7">
        <f>IF($C46="","",AH46-M46)</f>
        <v/>
      </c>
      <c r="AJ46">
        <f>IF($C46="","",IF(COUNTIF($C$2:$C46,$C46)=1,1,0))</f>
        <v/>
      </c>
      <c r="AK46">
        <f>IF($AJ46=1,SUMPRODUCT(--($AN$2:$AN$4001&lt;$AN46))+1,"")</f>
        <v/>
      </c>
      <c r="AL46">
        <f>IF($C46="","",IF(OR($Q46=TRUE(),$Q46="TRUE"),1,0))</f>
        <v/>
      </c>
      <c r="AM46">
        <f>IF($C46="","",IF($W46="Yes",1,0))</f>
        <v/>
      </c>
      <c r="AN46">
        <f>IF($AJ46=1,IFERROR(IF(VALUE($C46)&lt;100000000,VALUE($C46),1000000000),IFERROR(IF(VALUE(MID($C46,2,20))&lt;100000000,VALUE(MID($C46,2,20)),1000000000),1000000000))+ROW()/100000,"")</f>
        <v/>
      </c>
    </row>
    <row r="47">
      <c r="E47" s="11" t="n"/>
      <c r="M47" s="7">
        <f>IF($C47="","",L47*U47/100)</f>
        <v/>
      </c>
      <c r="N47" s="7" t="n"/>
      <c r="T47" s="7" t="n"/>
      <c r="U47" s="7">
        <f>IF($C47="","",S47*T47)</f>
        <v/>
      </c>
      <c r="X47">
        <f>IF($C47="","",IF($AM47=1,0,IF($AL47=1,Settings!$C$6,Settings!$C$7))*100)</f>
        <v/>
      </c>
      <c r="AB47" s="7" t="n"/>
      <c r="AE47" s="11" t="n"/>
      <c r="AG47" s="7">
        <f>IF($C47="","",U47*X47/100)</f>
        <v/>
      </c>
      <c r="AH47" s="7">
        <f>IF($C47="","",U47-AG47)</f>
        <v/>
      </c>
      <c r="AI47" s="7">
        <f>IF($C47="","",AH47-M47)</f>
        <v/>
      </c>
      <c r="AJ47">
        <f>IF($C47="","",IF(COUNTIF($C$2:$C47,$C47)=1,1,0))</f>
        <v/>
      </c>
      <c r="AK47">
        <f>IF($AJ47=1,SUMPRODUCT(--($AN$2:$AN$4001&lt;$AN47))+1,"")</f>
        <v/>
      </c>
      <c r="AL47">
        <f>IF($C47="","",IF(OR($Q47=TRUE(),$Q47="TRUE"),1,0))</f>
        <v/>
      </c>
      <c r="AM47">
        <f>IF($C47="","",IF($W47="Yes",1,0))</f>
        <v/>
      </c>
      <c r="AN47">
        <f>IF($AJ47=1,IFERROR(IF(VALUE($C47)&lt;100000000,VALUE($C47),1000000000),IFERROR(IF(VALUE(MID($C47,2,20))&lt;100000000,VALUE(MID($C47,2,20)),1000000000),1000000000))+ROW()/100000,"")</f>
        <v/>
      </c>
    </row>
    <row r="48">
      <c r="E48" s="11" t="n"/>
      <c r="M48" s="7">
        <f>IF($C48="","",L48*U48/100)</f>
        <v/>
      </c>
      <c r="N48" s="7" t="n"/>
      <c r="T48" s="7" t="n"/>
      <c r="U48" s="7">
        <f>IF($C48="","",S48*T48)</f>
        <v/>
      </c>
      <c r="X48">
        <f>IF($C48="","",IF($AM48=1,0,IF($AL48=1,Settings!$C$6,Settings!$C$7))*100)</f>
        <v/>
      </c>
      <c r="AB48" s="7" t="n"/>
      <c r="AE48" s="11" t="n"/>
      <c r="AG48" s="7">
        <f>IF($C48="","",U48*X48/100)</f>
        <v/>
      </c>
      <c r="AH48" s="7">
        <f>IF($C48="","",U48-AG48)</f>
        <v/>
      </c>
      <c r="AI48" s="7">
        <f>IF($C48="","",AH48-M48)</f>
        <v/>
      </c>
      <c r="AJ48">
        <f>IF($C48="","",IF(COUNTIF($C$2:$C48,$C48)=1,1,0))</f>
        <v/>
      </c>
      <c r="AK48">
        <f>IF($AJ48=1,SUMPRODUCT(--($AN$2:$AN$4001&lt;$AN48))+1,"")</f>
        <v/>
      </c>
      <c r="AL48">
        <f>IF($C48="","",IF(OR($Q48=TRUE(),$Q48="TRUE"),1,0))</f>
        <v/>
      </c>
      <c r="AM48">
        <f>IF($C48="","",IF($W48="Yes",1,0))</f>
        <v/>
      </c>
      <c r="AN48">
        <f>IF($AJ48=1,IFERROR(IF(VALUE($C48)&lt;100000000,VALUE($C48),1000000000),IFERROR(IF(VALUE(MID($C48,2,20))&lt;100000000,VALUE(MID($C48,2,20)),1000000000),1000000000))+ROW()/100000,"")</f>
        <v/>
      </c>
    </row>
    <row r="49">
      <c r="E49" s="11" t="n"/>
      <c r="M49" s="7">
        <f>IF($C49="","",L49*U49/100)</f>
        <v/>
      </c>
      <c r="N49" s="7" t="n"/>
      <c r="T49" s="7" t="n"/>
      <c r="U49" s="7">
        <f>IF($C49="","",S49*T49)</f>
        <v/>
      </c>
      <c r="X49">
        <f>IF($C49="","",IF($AM49=1,0,IF($AL49=1,Settings!$C$6,Settings!$C$7))*100)</f>
        <v/>
      </c>
      <c r="AB49" s="7" t="n"/>
      <c r="AE49" s="11" t="n"/>
      <c r="AG49" s="7">
        <f>IF($C49="","",U49*X49/100)</f>
        <v/>
      </c>
      <c r="AH49" s="7">
        <f>IF($C49="","",U49-AG49)</f>
        <v/>
      </c>
      <c r="AI49" s="7">
        <f>IF($C49="","",AH49-M49)</f>
        <v/>
      </c>
      <c r="AJ49">
        <f>IF($C49="","",IF(COUNTIF($C$2:$C49,$C49)=1,1,0))</f>
        <v/>
      </c>
      <c r="AK49">
        <f>IF($AJ49=1,SUMPRODUCT(--($AN$2:$AN$4001&lt;$AN49))+1,"")</f>
        <v/>
      </c>
      <c r="AL49">
        <f>IF($C49="","",IF(OR($Q49=TRUE(),$Q49="TRUE"),1,0))</f>
        <v/>
      </c>
      <c r="AM49">
        <f>IF($C49="","",IF($W49="Yes",1,0))</f>
        <v/>
      </c>
      <c r="AN49">
        <f>IF($AJ49=1,IFERROR(IF(VALUE($C49)&lt;100000000,VALUE($C49),1000000000),IFERROR(IF(VALUE(MID($C49,2,20))&lt;100000000,VALUE(MID($C49,2,20)),1000000000),1000000000))+ROW()/100000,"")</f>
        <v/>
      </c>
    </row>
    <row r="50">
      <c r="E50" s="11" t="n"/>
      <c r="M50" s="7">
        <f>IF($C50="","",L50*U50/100)</f>
        <v/>
      </c>
      <c r="N50" s="7" t="n"/>
      <c r="T50" s="7" t="n"/>
      <c r="U50" s="7">
        <f>IF($C50="","",S50*T50)</f>
        <v/>
      </c>
      <c r="X50">
        <f>IF($C50="","",IF($AM50=1,0,IF($AL50=1,Settings!$C$6,Settings!$C$7))*100)</f>
        <v/>
      </c>
      <c r="AB50" s="7" t="n"/>
      <c r="AE50" s="11" t="n"/>
      <c r="AG50" s="7">
        <f>IF($C50="","",U50*X50/100)</f>
        <v/>
      </c>
      <c r="AH50" s="7">
        <f>IF($C50="","",U50-AG50)</f>
        <v/>
      </c>
      <c r="AI50" s="7">
        <f>IF($C50="","",AH50-M50)</f>
        <v/>
      </c>
      <c r="AJ50">
        <f>IF($C50="","",IF(COUNTIF($C$2:$C50,$C50)=1,1,0))</f>
        <v/>
      </c>
      <c r="AK50">
        <f>IF($AJ50=1,SUMPRODUCT(--($AN$2:$AN$4001&lt;$AN50))+1,"")</f>
        <v/>
      </c>
      <c r="AL50">
        <f>IF($C50="","",IF(OR($Q50=TRUE(),$Q50="TRUE"),1,0))</f>
        <v/>
      </c>
      <c r="AM50">
        <f>IF($C50="","",IF($W50="Yes",1,0))</f>
        <v/>
      </c>
      <c r="AN50">
        <f>IF($AJ50=1,IFERROR(IF(VALUE($C50)&lt;100000000,VALUE($C50),1000000000),IFERROR(IF(VALUE(MID($C50,2,20))&lt;100000000,VALUE(MID($C50,2,20)),1000000000),1000000000))+ROW()/100000,"")</f>
        <v/>
      </c>
    </row>
    <row r="51">
      <c r="E51" s="11" t="n"/>
      <c r="M51" s="7">
        <f>IF($C51="","",L51*U51/100)</f>
        <v/>
      </c>
      <c r="N51" s="7" t="n"/>
      <c r="T51" s="7" t="n"/>
      <c r="U51" s="7">
        <f>IF($C51="","",S51*T51)</f>
        <v/>
      </c>
      <c r="X51">
        <f>IF($C51="","",IF($AM51=1,0,IF($AL51=1,Settings!$C$6,Settings!$C$7))*100)</f>
        <v/>
      </c>
      <c r="AB51" s="7" t="n"/>
      <c r="AE51" s="11" t="n"/>
      <c r="AG51" s="7">
        <f>IF($C51="","",U51*X51/100)</f>
        <v/>
      </c>
      <c r="AH51" s="7">
        <f>IF($C51="","",U51-AG51)</f>
        <v/>
      </c>
      <c r="AI51" s="7">
        <f>IF($C51="","",AH51-M51)</f>
        <v/>
      </c>
      <c r="AJ51">
        <f>IF($C51="","",IF(COUNTIF($C$2:$C51,$C51)=1,1,0))</f>
        <v/>
      </c>
      <c r="AK51">
        <f>IF($AJ51=1,SUMPRODUCT(--($AN$2:$AN$4001&lt;$AN51))+1,"")</f>
        <v/>
      </c>
      <c r="AL51">
        <f>IF($C51="","",IF(OR($Q51=TRUE(),$Q51="TRUE"),1,0))</f>
        <v/>
      </c>
      <c r="AM51">
        <f>IF($C51="","",IF($W51="Yes",1,0))</f>
        <v/>
      </c>
      <c r="AN51">
        <f>IF($AJ51=1,IFERROR(IF(VALUE($C51)&lt;100000000,VALUE($C51),1000000000),IFERROR(IF(VALUE(MID($C51,2,20))&lt;100000000,VALUE(MID($C51,2,20)),1000000000),1000000000))+ROW()/100000,"")</f>
        <v/>
      </c>
    </row>
    <row r="52">
      <c r="E52" s="11" t="n"/>
      <c r="M52" s="7">
        <f>IF($C52="","",L52*U52/100)</f>
        <v/>
      </c>
      <c r="N52" s="7" t="n"/>
      <c r="T52" s="7" t="n"/>
      <c r="U52" s="7">
        <f>IF($C52="","",S52*T52)</f>
        <v/>
      </c>
      <c r="X52">
        <f>IF($C52="","",IF($AM52=1,0,IF($AL52=1,Settings!$C$6,Settings!$C$7))*100)</f>
        <v/>
      </c>
      <c r="AB52" s="7" t="n"/>
      <c r="AE52" s="11" t="n"/>
      <c r="AG52" s="7">
        <f>IF($C52="","",U52*X52/100)</f>
        <v/>
      </c>
      <c r="AH52" s="7">
        <f>IF($C52="","",U52-AG52)</f>
        <v/>
      </c>
      <c r="AI52" s="7">
        <f>IF($C52="","",AH52-M52)</f>
        <v/>
      </c>
      <c r="AJ52">
        <f>IF($C52="","",IF(COUNTIF($C$2:$C52,$C52)=1,1,0))</f>
        <v/>
      </c>
      <c r="AK52">
        <f>IF($AJ52=1,SUMPRODUCT(--($AN$2:$AN$4001&lt;$AN52))+1,"")</f>
        <v/>
      </c>
      <c r="AL52">
        <f>IF($C52="","",IF(OR($Q52=TRUE(),$Q52="TRUE"),1,0))</f>
        <v/>
      </c>
      <c r="AM52">
        <f>IF($C52="","",IF($W52="Yes",1,0))</f>
        <v/>
      </c>
      <c r="AN52">
        <f>IF($AJ52=1,IFERROR(IF(VALUE($C52)&lt;100000000,VALUE($C52),1000000000),IFERROR(IF(VALUE(MID($C52,2,20))&lt;100000000,VALUE(MID($C52,2,20)),1000000000),1000000000))+ROW()/100000,"")</f>
        <v/>
      </c>
    </row>
    <row r="53">
      <c r="E53" s="11" t="n"/>
      <c r="M53" s="7">
        <f>IF($C53="","",L53*U53/100)</f>
        <v/>
      </c>
      <c r="N53" s="7" t="n"/>
      <c r="T53" s="7" t="n"/>
      <c r="U53" s="7">
        <f>IF($C53="","",S53*T53)</f>
        <v/>
      </c>
      <c r="X53">
        <f>IF($C53="","",IF($AM53=1,0,IF($AL53=1,Settings!$C$6,Settings!$C$7))*100)</f>
        <v/>
      </c>
      <c r="AB53" s="7" t="n"/>
      <c r="AE53" s="11" t="n"/>
      <c r="AG53" s="7">
        <f>IF($C53="","",U53*X53/100)</f>
        <v/>
      </c>
      <c r="AH53" s="7">
        <f>IF($C53="","",U53-AG53)</f>
        <v/>
      </c>
      <c r="AI53" s="7">
        <f>IF($C53="","",AH53-M53)</f>
        <v/>
      </c>
      <c r="AJ53">
        <f>IF($C53="","",IF(COUNTIF($C$2:$C53,$C53)=1,1,0))</f>
        <v/>
      </c>
      <c r="AK53">
        <f>IF($AJ53=1,SUMPRODUCT(--($AN$2:$AN$4001&lt;$AN53))+1,"")</f>
        <v/>
      </c>
      <c r="AL53">
        <f>IF($C53="","",IF(OR($Q53=TRUE(),$Q53="TRUE"),1,0))</f>
        <v/>
      </c>
      <c r="AM53">
        <f>IF($C53="","",IF($W53="Yes",1,0))</f>
        <v/>
      </c>
      <c r="AN53">
        <f>IF($AJ53=1,IFERROR(IF(VALUE($C53)&lt;100000000,VALUE($C53),1000000000),IFERROR(IF(VALUE(MID($C53,2,20))&lt;100000000,VALUE(MID($C53,2,20)),1000000000),1000000000))+ROW()/100000,"")</f>
        <v/>
      </c>
    </row>
    <row r="54">
      <c r="E54" s="11" t="n"/>
      <c r="M54" s="7">
        <f>IF($C54="","",L54*U54/100)</f>
        <v/>
      </c>
      <c r="N54" s="7" t="n"/>
      <c r="T54" s="7" t="n"/>
      <c r="U54" s="7">
        <f>IF($C54="","",S54*T54)</f>
        <v/>
      </c>
      <c r="X54">
        <f>IF($C54="","",IF($AM54=1,0,IF($AL54=1,Settings!$C$6,Settings!$C$7))*100)</f>
        <v/>
      </c>
      <c r="AB54" s="7" t="n"/>
      <c r="AE54" s="11" t="n"/>
      <c r="AG54" s="7">
        <f>IF($C54="","",U54*X54/100)</f>
        <v/>
      </c>
      <c r="AH54" s="7">
        <f>IF($C54="","",U54-AG54)</f>
        <v/>
      </c>
      <c r="AI54" s="7">
        <f>IF($C54="","",AH54-M54)</f>
        <v/>
      </c>
      <c r="AJ54">
        <f>IF($C54="","",IF(COUNTIF($C$2:$C54,$C54)=1,1,0))</f>
        <v/>
      </c>
      <c r="AK54">
        <f>IF($AJ54=1,SUMPRODUCT(--($AN$2:$AN$4001&lt;$AN54))+1,"")</f>
        <v/>
      </c>
      <c r="AL54">
        <f>IF($C54="","",IF(OR($Q54=TRUE(),$Q54="TRUE"),1,0))</f>
        <v/>
      </c>
      <c r="AM54">
        <f>IF($C54="","",IF($W54="Yes",1,0))</f>
        <v/>
      </c>
      <c r="AN54">
        <f>IF($AJ54=1,IFERROR(IF(VALUE($C54)&lt;100000000,VALUE($C54),1000000000),IFERROR(IF(VALUE(MID($C54,2,20))&lt;100000000,VALUE(MID($C54,2,20)),1000000000),1000000000))+ROW()/100000,"")</f>
        <v/>
      </c>
    </row>
    <row r="55">
      <c r="E55" s="11" t="n"/>
      <c r="M55" s="7">
        <f>IF($C55="","",L55*U55/100)</f>
        <v/>
      </c>
      <c r="N55" s="7" t="n"/>
      <c r="T55" s="7" t="n"/>
      <c r="U55" s="7">
        <f>IF($C55="","",S55*T55)</f>
        <v/>
      </c>
      <c r="X55">
        <f>IF($C55="","",IF($AM55=1,0,IF($AL55=1,Settings!$C$6,Settings!$C$7))*100)</f>
        <v/>
      </c>
      <c r="AB55" s="7" t="n"/>
      <c r="AE55" s="11" t="n"/>
      <c r="AG55" s="7">
        <f>IF($C55="","",U55*X55/100)</f>
        <v/>
      </c>
      <c r="AH55" s="7">
        <f>IF($C55="","",U55-AG55)</f>
        <v/>
      </c>
      <c r="AI55" s="7">
        <f>IF($C55="","",AH55-M55)</f>
        <v/>
      </c>
      <c r="AJ55">
        <f>IF($C55="","",IF(COUNTIF($C$2:$C55,$C55)=1,1,0))</f>
        <v/>
      </c>
      <c r="AK55">
        <f>IF($AJ55=1,SUMPRODUCT(--($AN$2:$AN$4001&lt;$AN55))+1,"")</f>
        <v/>
      </c>
      <c r="AL55">
        <f>IF($C55="","",IF(OR($Q55=TRUE(),$Q55="TRUE"),1,0))</f>
        <v/>
      </c>
      <c r="AM55">
        <f>IF($C55="","",IF($W55="Yes",1,0))</f>
        <v/>
      </c>
      <c r="AN55">
        <f>IF($AJ55=1,IFERROR(IF(VALUE($C55)&lt;100000000,VALUE($C55),1000000000),IFERROR(IF(VALUE(MID($C55,2,20))&lt;100000000,VALUE(MID($C55,2,20)),1000000000),1000000000))+ROW()/100000,"")</f>
        <v/>
      </c>
    </row>
    <row r="56">
      <c r="E56" s="11" t="n"/>
      <c r="M56" s="7">
        <f>IF($C56="","",L56*U56/100)</f>
        <v/>
      </c>
      <c r="N56" s="7" t="n"/>
      <c r="T56" s="7" t="n"/>
      <c r="U56" s="7">
        <f>IF($C56="","",S56*T56)</f>
        <v/>
      </c>
      <c r="X56">
        <f>IF($C56="","",IF($AM56=1,0,IF($AL56=1,Settings!$C$6,Settings!$C$7))*100)</f>
        <v/>
      </c>
      <c r="AB56" s="7" t="n"/>
      <c r="AE56" s="11" t="n"/>
      <c r="AG56" s="7">
        <f>IF($C56="","",U56*X56/100)</f>
        <v/>
      </c>
      <c r="AH56" s="7">
        <f>IF($C56="","",U56-AG56)</f>
        <v/>
      </c>
      <c r="AI56" s="7">
        <f>IF($C56="","",AH56-M56)</f>
        <v/>
      </c>
      <c r="AJ56">
        <f>IF($C56="","",IF(COUNTIF($C$2:$C56,$C56)=1,1,0))</f>
        <v/>
      </c>
      <c r="AK56">
        <f>IF($AJ56=1,SUMPRODUCT(--($AN$2:$AN$4001&lt;$AN56))+1,"")</f>
        <v/>
      </c>
      <c r="AL56">
        <f>IF($C56="","",IF(OR($Q56=TRUE(),$Q56="TRUE"),1,0))</f>
        <v/>
      </c>
      <c r="AM56">
        <f>IF($C56="","",IF($W56="Yes",1,0))</f>
        <v/>
      </c>
      <c r="AN56">
        <f>IF($AJ56=1,IFERROR(IF(VALUE($C56)&lt;100000000,VALUE($C56),1000000000),IFERROR(IF(VALUE(MID($C56,2,20))&lt;100000000,VALUE(MID($C56,2,20)),1000000000),1000000000))+ROW()/100000,"")</f>
        <v/>
      </c>
    </row>
    <row r="57">
      <c r="E57" s="11" t="n"/>
      <c r="M57" s="7">
        <f>IF($C57="","",L57*U57/100)</f>
        <v/>
      </c>
      <c r="N57" s="7" t="n"/>
      <c r="T57" s="7" t="n"/>
      <c r="U57" s="7">
        <f>IF($C57="","",S57*T57)</f>
        <v/>
      </c>
      <c r="X57">
        <f>IF($C57="","",IF($AM57=1,0,IF($AL57=1,Settings!$C$6,Settings!$C$7))*100)</f>
        <v/>
      </c>
      <c r="AB57" s="7" t="n"/>
      <c r="AE57" s="11" t="n"/>
      <c r="AG57" s="7">
        <f>IF($C57="","",U57*X57/100)</f>
        <v/>
      </c>
      <c r="AH57" s="7">
        <f>IF($C57="","",U57-AG57)</f>
        <v/>
      </c>
      <c r="AI57" s="7">
        <f>IF($C57="","",AH57-M57)</f>
        <v/>
      </c>
      <c r="AJ57">
        <f>IF($C57="","",IF(COUNTIF($C$2:$C57,$C57)=1,1,0))</f>
        <v/>
      </c>
      <c r="AK57">
        <f>IF($AJ57=1,SUMPRODUCT(--($AN$2:$AN$4001&lt;$AN57))+1,"")</f>
        <v/>
      </c>
      <c r="AL57">
        <f>IF($C57="","",IF(OR($Q57=TRUE(),$Q57="TRUE"),1,0))</f>
        <v/>
      </c>
      <c r="AM57">
        <f>IF($C57="","",IF($W57="Yes",1,0))</f>
        <v/>
      </c>
      <c r="AN57">
        <f>IF($AJ57=1,IFERROR(IF(VALUE($C57)&lt;100000000,VALUE($C57),1000000000),IFERROR(IF(VALUE(MID($C57,2,20))&lt;100000000,VALUE(MID($C57,2,20)),1000000000),1000000000))+ROW()/100000,"")</f>
        <v/>
      </c>
    </row>
    <row r="58">
      <c r="E58" s="11" t="n"/>
      <c r="M58" s="7">
        <f>IF($C58="","",L58*U58/100)</f>
        <v/>
      </c>
      <c r="N58" s="7" t="n"/>
      <c r="T58" s="7" t="n"/>
      <c r="U58" s="7">
        <f>IF($C58="","",S58*T58)</f>
        <v/>
      </c>
      <c r="X58">
        <f>IF($C58="","",IF($AM58=1,0,IF($AL58=1,Settings!$C$6,Settings!$C$7))*100)</f>
        <v/>
      </c>
      <c r="AB58" s="7" t="n"/>
      <c r="AE58" s="11" t="n"/>
      <c r="AG58" s="7">
        <f>IF($C58="","",U58*X58/100)</f>
        <v/>
      </c>
      <c r="AH58" s="7">
        <f>IF($C58="","",U58-AG58)</f>
        <v/>
      </c>
      <c r="AI58" s="7">
        <f>IF($C58="","",AH58-M58)</f>
        <v/>
      </c>
      <c r="AJ58">
        <f>IF($C58="","",IF(COUNTIF($C$2:$C58,$C58)=1,1,0))</f>
        <v/>
      </c>
      <c r="AK58">
        <f>IF($AJ58=1,SUMPRODUCT(--($AN$2:$AN$4001&lt;$AN58))+1,"")</f>
        <v/>
      </c>
      <c r="AL58">
        <f>IF($C58="","",IF(OR($Q58=TRUE(),$Q58="TRUE"),1,0))</f>
        <v/>
      </c>
      <c r="AM58">
        <f>IF($C58="","",IF($W58="Yes",1,0))</f>
        <v/>
      </c>
      <c r="AN58">
        <f>IF($AJ58=1,IFERROR(IF(VALUE($C58)&lt;100000000,VALUE($C58),1000000000),IFERROR(IF(VALUE(MID($C58,2,20))&lt;100000000,VALUE(MID($C58,2,20)),1000000000),1000000000))+ROW()/100000,"")</f>
        <v/>
      </c>
    </row>
    <row r="59">
      <c r="E59" s="11" t="n"/>
      <c r="M59" s="7">
        <f>IF($C59="","",L59*U59/100)</f>
        <v/>
      </c>
      <c r="N59" s="7" t="n"/>
      <c r="T59" s="7" t="n"/>
      <c r="U59" s="7">
        <f>IF($C59="","",S59*T59)</f>
        <v/>
      </c>
      <c r="X59">
        <f>IF($C59="","",IF($AM59=1,0,IF($AL59=1,Settings!$C$6,Settings!$C$7))*100)</f>
        <v/>
      </c>
      <c r="AB59" s="7" t="n"/>
      <c r="AE59" s="11" t="n"/>
      <c r="AG59" s="7">
        <f>IF($C59="","",U59*X59/100)</f>
        <v/>
      </c>
      <c r="AH59" s="7">
        <f>IF($C59="","",U59-AG59)</f>
        <v/>
      </c>
      <c r="AI59" s="7">
        <f>IF($C59="","",AH59-M59)</f>
        <v/>
      </c>
      <c r="AJ59">
        <f>IF($C59="","",IF(COUNTIF($C$2:$C59,$C59)=1,1,0))</f>
        <v/>
      </c>
      <c r="AK59">
        <f>IF($AJ59=1,SUMPRODUCT(--($AN$2:$AN$4001&lt;$AN59))+1,"")</f>
        <v/>
      </c>
      <c r="AL59">
        <f>IF($C59="","",IF(OR($Q59=TRUE(),$Q59="TRUE"),1,0))</f>
        <v/>
      </c>
      <c r="AM59">
        <f>IF($C59="","",IF($W59="Yes",1,0))</f>
        <v/>
      </c>
      <c r="AN59">
        <f>IF($AJ59=1,IFERROR(IF(VALUE($C59)&lt;100000000,VALUE($C59),1000000000),IFERROR(IF(VALUE(MID($C59,2,20))&lt;100000000,VALUE(MID($C59,2,20)),1000000000),1000000000))+ROW()/100000,"")</f>
        <v/>
      </c>
    </row>
    <row r="60">
      <c r="E60" s="11" t="n"/>
      <c r="M60" s="7">
        <f>IF($C60="","",L60*U60/100)</f>
        <v/>
      </c>
      <c r="N60" s="7" t="n"/>
      <c r="T60" s="7" t="n"/>
      <c r="U60" s="7">
        <f>IF($C60="","",S60*T60)</f>
        <v/>
      </c>
      <c r="X60">
        <f>IF($C60="","",IF($AM60=1,0,IF($AL60=1,Settings!$C$6,Settings!$C$7))*100)</f>
        <v/>
      </c>
      <c r="AB60" s="7" t="n"/>
      <c r="AE60" s="11" t="n"/>
      <c r="AG60" s="7">
        <f>IF($C60="","",U60*X60/100)</f>
        <v/>
      </c>
      <c r="AH60" s="7">
        <f>IF($C60="","",U60-AG60)</f>
        <v/>
      </c>
      <c r="AI60" s="7">
        <f>IF($C60="","",AH60-M60)</f>
        <v/>
      </c>
      <c r="AJ60">
        <f>IF($C60="","",IF(COUNTIF($C$2:$C60,$C60)=1,1,0))</f>
        <v/>
      </c>
      <c r="AK60">
        <f>IF($AJ60=1,SUMPRODUCT(--($AN$2:$AN$4001&lt;$AN60))+1,"")</f>
        <v/>
      </c>
      <c r="AL60">
        <f>IF($C60="","",IF(OR($Q60=TRUE(),$Q60="TRUE"),1,0))</f>
        <v/>
      </c>
      <c r="AM60">
        <f>IF($C60="","",IF($W60="Yes",1,0))</f>
        <v/>
      </c>
      <c r="AN60">
        <f>IF($AJ60=1,IFERROR(IF(VALUE($C60)&lt;100000000,VALUE($C60),1000000000),IFERROR(IF(VALUE(MID($C60,2,20))&lt;100000000,VALUE(MID($C60,2,20)),1000000000),1000000000))+ROW()/100000,"")</f>
        <v/>
      </c>
    </row>
    <row r="61">
      <c r="E61" s="11" t="n"/>
      <c r="M61" s="7">
        <f>IF($C61="","",L61*U61/100)</f>
        <v/>
      </c>
      <c r="N61" s="7" t="n"/>
      <c r="T61" s="7" t="n"/>
      <c r="U61" s="7">
        <f>IF($C61="","",S61*T61)</f>
        <v/>
      </c>
      <c r="X61">
        <f>IF($C61="","",IF($AM61=1,0,IF($AL61=1,Settings!$C$6,Settings!$C$7))*100)</f>
        <v/>
      </c>
      <c r="AB61" s="7" t="n"/>
      <c r="AE61" s="11" t="n"/>
      <c r="AG61" s="7">
        <f>IF($C61="","",U61*X61/100)</f>
        <v/>
      </c>
      <c r="AH61" s="7">
        <f>IF($C61="","",U61-AG61)</f>
        <v/>
      </c>
      <c r="AI61" s="7">
        <f>IF($C61="","",AH61-M61)</f>
        <v/>
      </c>
      <c r="AJ61">
        <f>IF($C61="","",IF(COUNTIF($C$2:$C61,$C61)=1,1,0))</f>
        <v/>
      </c>
      <c r="AK61">
        <f>IF($AJ61=1,SUMPRODUCT(--($AN$2:$AN$4001&lt;$AN61))+1,"")</f>
        <v/>
      </c>
      <c r="AL61">
        <f>IF($C61="","",IF(OR($Q61=TRUE(),$Q61="TRUE"),1,0))</f>
        <v/>
      </c>
      <c r="AM61">
        <f>IF($C61="","",IF($W61="Yes",1,0))</f>
        <v/>
      </c>
      <c r="AN61">
        <f>IF($AJ61=1,IFERROR(IF(VALUE($C61)&lt;100000000,VALUE($C61),1000000000),IFERROR(IF(VALUE(MID($C61,2,20))&lt;100000000,VALUE(MID($C61,2,20)),1000000000),1000000000))+ROW()/100000,"")</f>
        <v/>
      </c>
    </row>
    <row r="62">
      <c r="E62" s="11" t="n"/>
      <c r="M62" s="7">
        <f>IF($C62="","",L62*U62/100)</f>
        <v/>
      </c>
      <c r="N62" s="7" t="n"/>
      <c r="T62" s="7" t="n"/>
      <c r="U62" s="7">
        <f>IF($C62="","",S62*T62)</f>
        <v/>
      </c>
      <c r="X62">
        <f>IF($C62="","",IF($AM62=1,0,IF($AL62=1,Settings!$C$6,Settings!$C$7))*100)</f>
        <v/>
      </c>
      <c r="AB62" s="7" t="n"/>
      <c r="AE62" s="11" t="n"/>
      <c r="AG62" s="7">
        <f>IF($C62="","",U62*X62/100)</f>
        <v/>
      </c>
      <c r="AH62" s="7">
        <f>IF($C62="","",U62-AG62)</f>
        <v/>
      </c>
      <c r="AI62" s="7">
        <f>IF($C62="","",AH62-M62)</f>
        <v/>
      </c>
      <c r="AJ62">
        <f>IF($C62="","",IF(COUNTIF($C$2:$C62,$C62)=1,1,0))</f>
        <v/>
      </c>
      <c r="AK62">
        <f>IF($AJ62=1,SUMPRODUCT(--($AN$2:$AN$4001&lt;$AN62))+1,"")</f>
        <v/>
      </c>
      <c r="AL62">
        <f>IF($C62="","",IF(OR($Q62=TRUE(),$Q62="TRUE"),1,0))</f>
        <v/>
      </c>
      <c r="AM62">
        <f>IF($C62="","",IF($W62="Yes",1,0))</f>
        <v/>
      </c>
      <c r="AN62">
        <f>IF($AJ62=1,IFERROR(IF(VALUE($C62)&lt;100000000,VALUE($C62),1000000000),IFERROR(IF(VALUE(MID($C62,2,20))&lt;100000000,VALUE(MID($C62,2,20)),1000000000),1000000000))+ROW()/100000,"")</f>
        <v/>
      </c>
    </row>
    <row r="63">
      <c r="E63" s="11" t="n"/>
      <c r="M63" s="7">
        <f>IF($C63="","",L63*U63/100)</f>
        <v/>
      </c>
      <c r="N63" s="7" t="n"/>
      <c r="T63" s="7" t="n"/>
      <c r="U63" s="7">
        <f>IF($C63="","",S63*T63)</f>
        <v/>
      </c>
      <c r="X63">
        <f>IF($C63="","",IF($AM63=1,0,IF($AL63=1,Settings!$C$6,Settings!$C$7))*100)</f>
        <v/>
      </c>
      <c r="AB63" s="7" t="n"/>
      <c r="AE63" s="11" t="n"/>
      <c r="AG63" s="7">
        <f>IF($C63="","",U63*X63/100)</f>
        <v/>
      </c>
      <c r="AH63" s="7">
        <f>IF($C63="","",U63-AG63)</f>
        <v/>
      </c>
      <c r="AI63" s="7">
        <f>IF($C63="","",AH63-M63)</f>
        <v/>
      </c>
      <c r="AJ63">
        <f>IF($C63="","",IF(COUNTIF($C$2:$C63,$C63)=1,1,0))</f>
        <v/>
      </c>
      <c r="AK63">
        <f>IF($AJ63=1,SUMPRODUCT(--($AN$2:$AN$4001&lt;$AN63))+1,"")</f>
        <v/>
      </c>
      <c r="AL63">
        <f>IF($C63="","",IF(OR($Q63=TRUE(),$Q63="TRUE"),1,0))</f>
        <v/>
      </c>
      <c r="AM63">
        <f>IF($C63="","",IF($W63="Yes",1,0))</f>
        <v/>
      </c>
      <c r="AN63">
        <f>IF($AJ63=1,IFERROR(IF(VALUE($C63)&lt;100000000,VALUE($C63),1000000000),IFERROR(IF(VALUE(MID($C63,2,20))&lt;100000000,VALUE(MID($C63,2,20)),1000000000),1000000000))+ROW()/100000,"")</f>
        <v/>
      </c>
    </row>
    <row r="64">
      <c r="E64" s="11" t="n"/>
      <c r="M64" s="7">
        <f>IF($C64="","",L64*U64/100)</f>
        <v/>
      </c>
      <c r="N64" s="7" t="n"/>
      <c r="T64" s="7" t="n"/>
      <c r="U64" s="7">
        <f>IF($C64="","",S64*T64)</f>
        <v/>
      </c>
      <c r="X64">
        <f>IF($C64="","",IF($AM64=1,0,IF($AL64=1,Settings!$C$6,Settings!$C$7))*100)</f>
        <v/>
      </c>
      <c r="AB64" s="7" t="n"/>
      <c r="AE64" s="11" t="n"/>
      <c r="AG64" s="7">
        <f>IF($C64="","",U64*X64/100)</f>
        <v/>
      </c>
      <c r="AH64" s="7">
        <f>IF($C64="","",U64-AG64)</f>
        <v/>
      </c>
      <c r="AI64" s="7">
        <f>IF($C64="","",AH64-M64)</f>
        <v/>
      </c>
      <c r="AJ64">
        <f>IF($C64="","",IF(COUNTIF($C$2:$C64,$C64)=1,1,0))</f>
        <v/>
      </c>
      <c r="AK64">
        <f>IF($AJ64=1,SUMPRODUCT(--($AN$2:$AN$4001&lt;$AN64))+1,"")</f>
        <v/>
      </c>
      <c r="AL64">
        <f>IF($C64="","",IF(OR($Q64=TRUE(),$Q64="TRUE"),1,0))</f>
        <v/>
      </c>
      <c r="AM64">
        <f>IF($C64="","",IF($W64="Yes",1,0))</f>
        <v/>
      </c>
      <c r="AN64">
        <f>IF($AJ64=1,IFERROR(IF(VALUE($C64)&lt;100000000,VALUE($C64),1000000000),IFERROR(IF(VALUE(MID($C64,2,20))&lt;100000000,VALUE(MID($C64,2,20)),1000000000),1000000000))+ROW()/100000,"")</f>
        <v/>
      </c>
    </row>
    <row r="65">
      <c r="E65" s="11" t="n"/>
      <c r="M65" s="7">
        <f>IF($C65="","",L65*U65/100)</f>
        <v/>
      </c>
      <c r="N65" s="7" t="n"/>
      <c r="T65" s="7" t="n"/>
      <c r="U65" s="7">
        <f>IF($C65="","",S65*T65)</f>
        <v/>
      </c>
      <c r="X65">
        <f>IF($C65="","",IF($AM65=1,0,IF($AL65=1,Settings!$C$6,Settings!$C$7))*100)</f>
        <v/>
      </c>
      <c r="AB65" s="7" t="n"/>
      <c r="AE65" s="11" t="n"/>
      <c r="AG65" s="7">
        <f>IF($C65="","",U65*X65/100)</f>
        <v/>
      </c>
      <c r="AH65" s="7">
        <f>IF($C65="","",U65-AG65)</f>
        <v/>
      </c>
      <c r="AI65" s="7">
        <f>IF($C65="","",AH65-M65)</f>
        <v/>
      </c>
      <c r="AJ65">
        <f>IF($C65="","",IF(COUNTIF($C$2:$C65,$C65)=1,1,0))</f>
        <v/>
      </c>
      <c r="AK65">
        <f>IF($AJ65=1,SUMPRODUCT(--($AN$2:$AN$4001&lt;$AN65))+1,"")</f>
        <v/>
      </c>
      <c r="AL65">
        <f>IF($C65="","",IF(OR($Q65=TRUE(),$Q65="TRUE"),1,0))</f>
        <v/>
      </c>
      <c r="AM65">
        <f>IF($C65="","",IF($W65="Yes",1,0))</f>
        <v/>
      </c>
      <c r="AN65">
        <f>IF($AJ65=1,IFERROR(IF(VALUE($C65)&lt;100000000,VALUE($C65),1000000000),IFERROR(IF(VALUE(MID($C65,2,20))&lt;100000000,VALUE(MID($C65,2,20)),1000000000),1000000000))+ROW()/100000,"")</f>
        <v/>
      </c>
    </row>
    <row r="66">
      <c r="E66" s="11" t="n"/>
      <c r="M66" s="7">
        <f>IF($C66="","",L66*U66/100)</f>
        <v/>
      </c>
      <c r="N66" s="7" t="n"/>
      <c r="T66" s="7" t="n"/>
      <c r="U66" s="7">
        <f>IF($C66="","",S66*T66)</f>
        <v/>
      </c>
      <c r="X66">
        <f>IF($C66="","",IF($AM66=1,0,IF($AL66=1,Settings!$C$6,Settings!$C$7))*100)</f>
        <v/>
      </c>
      <c r="AB66" s="7" t="n"/>
      <c r="AE66" s="11" t="n"/>
      <c r="AG66" s="7">
        <f>IF($C66="","",U66*X66/100)</f>
        <v/>
      </c>
      <c r="AH66" s="7">
        <f>IF($C66="","",U66-AG66)</f>
        <v/>
      </c>
      <c r="AI66" s="7">
        <f>IF($C66="","",AH66-M66)</f>
        <v/>
      </c>
      <c r="AJ66">
        <f>IF($C66="","",IF(COUNTIF($C$2:$C66,$C66)=1,1,0))</f>
        <v/>
      </c>
      <c r="AK66">
        <f>IF($AJ66=1,SUMPRODUCT(--($AN$2:$AN$4001&lt;$AN66))+1,"")</f>
        <v/>
      </c>
      <c r="AL66">
        <f>IF($C66="","",IF(OR($Q66=TRUE(),$Q66="TRUE"),1,0))</f>
        <v/>
      </c>
      <c r="AM66">
        <f>IF($C66="","",IF($W66="Yes",1,0))</f>
        <v/>
      </c>
      <c r="AN66">
        <f>IF($AJ66=1,IFERROR(IF(VALUE($C66)&lt;100000000,VALUE($C66),1000000000),IFERROR(IF(VALUE(MID($C66,2,20))&lt;100000000,VALUE(MID($C66,2,20)),1000000000),1000000000))+ROW()/100000,"")</f>
        <v/>
      </c>
    </row>
    <row r="67">
      <c r="E67" s="11" t="n"/>
      <c r="M67" s="7">
        <f>IF($C67="","",L67*U67/100)</f>
        <v/>
      </c>
      <c r="N67" s="7" t="n"/>
      <c r="T67" s="7" t="n"/>
      <c r="U67" s="7">
        <f>IF($C67="","",S67*T67)</f>
        <v/>
      </c>
      <c r="X67">
        <f>IF($C67="","",IF($AM67=1,0,IF($AL67=1,Settings!$C$6,Settings!$C$7))*100)</f>
        <v/>
      </c>
      <c r="AB67" s="7" t="n"/>
      <c r="AE67" s="11" t="n"/>
      <c r="AG67" s="7">
        <f>IF($C67="","",U67*X67/100)</f>
        <v/>
      </c>
      <c r="AH67" s="7">
        <f>IF($C67="","",U67-AG67)</f>
        <v/>
      </c>
      <c r="AI67" s="7">
        <f>IF($C67="","",AH67-M67)</f>
        <v/>
      </c>
      <c r="AJ67">
        <f>IF($C67="","",IF(COUNTIF($C$2:$C67,$C67)=1,1,0))</f>
        <v/>
      </c>
      <c r="AK67">
        <f>IF($AJ67=1,SUMPRODUCT(--($AN$2:$AN$4001&lt;$AN67))+1,"")</f>
        <v/>
      </c>
      <c r="AL67">
        <f>IF($C67="","",IF(OR($Q67=TRUE(),$Q67="TRUE"),1,0))</f>
        <v/>
      </c>
      <c r="AM67">
        <f>IF($C67="","",IF($W67="Yes",1,0))</f>
        <v/>
      </c>
      <c r="AN67">
        <f>IF($AJ67=1,IFERROR(IF(VALUE($C67)&lt;100000000,VALUE($C67),1000000000),IFERROR(IF(VALUE(MID($C67,2,20))&lt;100000000,VALUE(MID($C67,2,20)),1000000000),1000000000))+ROW()/100000,"")</f>
        <v/>
      </c>
    </row>
    <row r="68">
      <c r="E68" s="11" t="n"/>
      <c r="M68" s="7">
        <f>IF($C68="","",L68*U68/100)</f>
        <v/>
      </c>
      <c r="N68" s="7" t="n"/>
      <c r="T68" s="7" t="n"/>
      <c r="U68" s="7">
        <f>IF($C68="","",S68*T68)</f>
        <v/>
      </c>
      <c r="X68">
        <f>IF($C68="","",IF($AM68=1,0,IF($AL68=1,Settings!$C$6,Settings!$C$7))*100)</f>
        <v/>
      </c>
      <c r="AB68" s="7" t="n"/>
      <c r="AE68" s="11" t="n"/>
      <c r="AG68" s="7">
        <f>IF($C68="","",U68*X68/100)</f>
        <v/>
      </c>
      <c r="AH68" s="7">
        <f>IF($C68="","",U68-AG68)</f>
        <v/>
      </c>
      <c r="AI68" s="7">
        <f>IF($C68="","",AH68-M68)</f>
        <v/>
      </c>
      <c r="AJ68">
        <f>IF($C68="","",IF(COUNTIF($C$2:$C68,$C68)=1,1,0))</f>
        <v/>
      </c>
      <c r="AK68">
        <f>IF($AJ68=1,SUMPRODUCT(--($AN$2:$AN$4001&lt;$AN68))+1,"")</f>
        <v/>
      </c>
      <c r="AL68">
        <f>IF($C68="","",IF(OR($Q68=TRUE(),$Q68="TRUE"),1,0))</f>
        <v/>
      </c>
      <c r="AM68">
        <f>IF($C68="","",IF($W68="Yes",1,0))</f>
        <v/>
      </c>
      <c r="AN68">
        <f>IF($AJ68=1,IFERROR(IF(VALUE($C68)&lt;100000000,VALUE($C68),1000000000),IFERROR(IF(VALUE(MID($C68,2,20))&lt;100000000,VALUE(MID($C68,2,20)),1000000000),1000000000))+ROW()/100000,"")</f>
        <v/>
      </c>
    </row>
    <row r="69">
      <c r="E69" s="11" t="n"/>
      <c r="M69" s="7">
        <f>IF($C69="","",L69*U69/100)</f>
        <v/>
      </c>
      <c r="N69" s="7" t="n"/>
      <c r="T69" s="7" t="n"/>
      <c r="U69" s="7">
        <f>IF($C69="","",S69*T69)</f>
        <v/>
      </c>
      <c r="X69">
        <f>IF($C69="","",IF($AM69=1,0,IF($AL69=1,Settings!$C$6,Settings!$C$7))*100)</f>
        <v/>
      </c>
      <c r="AB69" s="7" t="n"/>
      <c r="AE69" s="11" t="n"/>
      <c r="AG69" s="7">
        <f>IF($C69="","",U69*X69/100)</f>
        <v/>
      </c>
      <c r="AH69" s="7">
        <f>IF($C69="","",U69-AG69)</f>
        <v/>
      </c>
      <c r="AI69" s="7">
        <f>IF($C69="","",AH69-M69)</f>
        <v/>
      </c>
      <c r="AJ69">
        <f>IF($C69="","",IF(COUNTIF($C$2:$C69,$C69)=1,1,0))</f>
        <v/>
      </c>
      <c r="AK69">
        <f>IF($AJ69=1,SUMPRODUCT(--($AN$2:$AN$4001&lt;$AN69))+1,"")</f>
        <v/>
      </c>
      <c r="AL69">
        <f>IF($C69="","",IF(OR($Q69=TRUE(),$Q69="TRUE"),1,0))</f>
        <v/>
      </c>
      <c r="AM69">
        <f>IF($C69="","",IF($W69="Yes",1,0))</f>
        <v/>
      </c>
      <c r="AN69">
        <f>IF($AJ69=1,IFERROR(IF(VALUE($C69)&lt;100000000,VALUE($C69),1000000000),IFERROR(IF(VALUE(MID($C69,2,20))&lt;100000000,VALUE(MID($C69,2,20)),1000000000),1000000000))+ROW()/100000,"")</f>
        <v/>
      </c>
    </row>
    <row r="70">
      <c r="E70" s="11" t="n"/>
      <c r="M70" s="7">
        <f>IF($C70="","",L70*U70/100)</f>
        <v/>
      </c>
      <c r="N70" s="7" t="n"/>
      <c r="T70" s="7" t="n"/>
      <c r="U70" s="7">
        <f>IF($C70="","",S70*T70)</f>
        <v/>
      </c>
      <c r="X70">
        <f>IF($C70="","",IF($AM70=1,0,IF($AL70=1,Settings!$C$6,Settings!$C$7))*100)</f>
        <v/>
      </c>
      <c r="AB70" s="7" t="n"/>
      <c r="AE70" s="11" t="n"/>
      <c r="AG70" s="7">
        <f>IF($C70="","",U70*X70/100)</f>
        <v/>
      </c>
      <c r="AH70" s="7">
        <f>IF($C70="","",U70-AG70)</f>
        <v/>
      </c>
      <c r="AI70" s="7">
        <f>IF($C70="","",AH70-M70)</f>
        <v/>
      </c>
      <c r="AJ70">
        <f>IF($C70="","",IF(COUNTIF($C$2:$C70,$C70)=1,1,0))</f>
        <v/>
      </c>
      <c r="AK70">
        <f>IF($AJ70=1,SUMPRODUCT(--($AN$2:$AN$4001&lt;$AN70))+1,"")</f>
        <v/>
      </c>
      <c r="AL70">
        <f>IF($C70="","",IF(OR($Q70=TRUE(),$Q70="TRUE"),1,0))</f>
        <v/>
      </c>
      <c r="AM70">
        <f>IF($C70="","",IF($W70="Yes",1,0))</f>
        <v/>
      </c>
      <c r="AN70">
        <f>IF($AJ70=1,IFERROR(IF(VALUE($C70)&lt;100000000,VALUE($C70),1000000000),IFERROR(IF(VALUE(MID($C70,2,20))&lt;100000000,VALUE(MID($C70,2,20)),1000000000),1000000000))+ROW()/100000,"")</f>
        <v/>
      </c>
    </row>
    <row r="71">
      <c r="E71" s="11" t="n"/>
      <c r="M71" s="7">
        <f>IF($C71="","",L71*U71/100)</f>
        <v/>
      </c>
      <c r="N71" s="7" t="n"/>
      <c r="T71" s="7" t="n"/>
      <c r="U71" s="7">
        <f>IF($C71="","",S71*T71)</f>
        <v/>
      </c>
      <c r="X71">
        <f>IF($C71="","",IF($AM71=1,0,IF($AL71=1,Settings!$C$6,Settings!$C$7))*100)</f>
        <v/>
      </c>
      <c r="AB71" s="7" t="n"/>
      <c r="AE71" s="11" t="n"/>
      <c r="AG71" s="7">
        <f>IF($C71="","",U71*X71/100)</f>
        <v/>
      </c>
      <c r="AH71" s="7">
        <f>IF($C71="","",U71-AG71)</f>
        <v/>
      </c>
      <c r="AI71" s="7">
        <f>IF($C71="","",AH71-M71)</f>
        <v/>
      </c>
      <c r="AJ71">
        <f>IF($C71="","",IF(COUNTIF($C$2:$C71,$C71)=1,1,0))</f>
        <v/>
      </c>
      <c r="AK71">
        <f>IF($AJ71=1,SUMPRODUCT(--($AN$2:$AN$4001&lt;$AN71))+1,"")</f>
        <v/>
      </c>
      <c r="AL71">
        <f>IF($C71="","",IF(OR($Q71=TRUE(),$Q71="TRUE"),1,0))</f>
        <v/>
      </c>
      <c r="AM71">
        <f>IF($C71="","",IF($W71="Yes",1,0))</f>
        <v/>
      </c>
      <c r="AN71">
        <f>IF($AJ71=1,IFERROR(IF(VALUE($C71)&lt;100000000,VALUE($C71),1000000000),IFERROR(IF(VALUE(MID($C71,2,20))&lt;100000000,VALUE(MID($C71,2,20)),1000000000),1000000000))+ROW()/100000,"")</f>
        <v/>
      </c>
    </row>
    <row r="72">
      <c r="E72" s="11" t="n"/>
      <c r="M72" s="7">
        <f>IF($C72="","",L72*U72/100)</f>
        <v/>
      </c>
      <c r="N72" s="7" t="n"/>
      <c r="T72" s="7" t="n"/>
      <c r="U72" s="7">
        <f>IF($C72="","",S72*T72)</f>
        <v/>
      </c>
      <c r="X72">
        <f>IF($C72="","",IF($AM72=1,0,IF($AL72=1,Settings!$C$6,Settings!$C$7))*100)</f>
        <v/>
      </c>
      <c r="AB72" s="7" t="n"/>
      <c r="AE72" s="11" t="n"/>
      <c r="AG72" s="7">
        <f>IF($C72="","",U72*X72/100)</f>
        <v/>
      </c>
      <c r="AH72" s="7">
        <f>IF($C72="","",U72-AG72)</f>
        <v/>
      </c>
      <c r="AI72" s="7">
        <f>IF($C72="","",AH72-M72)</f>
        <v/>
      </c>
      <c r="AJ72">
        <f>IF($C72="","",IF(COUNTIF($C$2:$C72,$C72)=1,1,0))</f>
        <v/>
      </c>
      <c r="AK72">
        <f>IF($AJ72=1,SUMPRODUCT(--($AN$2:$AN$4001&lt;$AN72))+1,"")</f>
        <v/>
      </c>
      <c r="AL72">
        <f>IF($C72="","",IF(OR($Q72=TRUE(),$Q72="TRUE"),1,0))</f>
        <v/>
      </c>
      <c r="AM72">
        <f>IF($C72="","",IF($W72="Yes",1,0))</f>
        <v/>
      </c>
      <c r="AN72">
        <f>IF($AJ72=1,IFERROR(IF(VALUE($C72)&lt;100000000,VALUE($C72),1000000000),IFERROR(IF(VALUE(MID($C72,2,20))&lt;100000000,VALUE(MID($C72,2,20)),1000000000),1000000000))+ROW()/100000,"")</f>
        <v/>
      </c>
    </row>
    <row r="73">
      <c r="E73" s="11" t="n"/>
      <c r="M73" s="7">
        <f>IF($C73="","",L73*U73/100)</f>
        <v/>
      </c>
      <c r="N73" s="7" t="n"/>
      <c r="T73" s="7" t="n"/>
      <c r="U73" s="7">
        <f>IF($C73="","",S73*T73)</f>
        <v/>
      </c>
      <c r="X73">
        <f>IF($C73="","",IF($AM73=1,0,IF($AL73=1,Settings!$C$6,Settings!$C$7))*100)</f>
        <v/>
      </c>
      <c r="AB73" s="7" t="n"/>
      <c r="AE73" s="11" t="n"/>
      <c r="AG73" s="7">
        <f>IF($C73="","",U73*X73/100)</f>
        <v/>
      </c>
      <c r="AH73" s="7">
        <f>IF($C73="","",U73-AG73)</f>
        <v/>
      </c>
      <c r="AI73" s="7">
        <f>IF($C73="","",AH73-M73)</f>
        <v/>
      </c>
      <c r="AJ73">
        <f>IF($C73="","",IF(COUNTIF($C$2:$C73,$C73)=1,1,0))</f>
        <v/>
      </c>
      <c r="AK73">
        <f>IF($AJ73=1,SUMPRODUCT(--($AN$2:$AN$4001&lt;$AN73))+1,"")</f>
        <v/>
      </c>
      <c r="AL73">
        <f>IF($C73="","",IF(OR($Q73=TRUE(),$Q73="TRUE"),1,0))</f>
        <v/>
      </c>
      <c r="AM73">
        <f>IF($C73="","",IF($W73="Yes",1,0))</f>
        <v/>
      </c>
      <c r="AN73">
        <f>IF($AJ73=1,IFERROR(IF(VALUE($C73)&lt;100000000,VALUE($C73),1000000000),IFERROR(IF(VALUE(MID($C73,2,20))&lt;100000000,VALUE(MID($C73,2,20)),1000000000),1000000000))+ROW()/100000,"")</f>
        <v/>
      </c>
    </row>
    <row r="74">
      <c r="E74" s="11" t="n"/>
      <c r="M74" s="7">
        <f>IF($C74="","",L74*U74/100)</f>
        <v/>
      </c>
      <c r="N74" s="7" t="n"/>
      <c r="T74" s="7" t="n"/>
      <c r="U74" s="7">
        <f>IF($C74="","",S74*T74)</f>
        <v/>
      </c>
      <c r="X74">
        <f>IF($C74="","",IF($AM74=1,0,IF($AL74=1,Settings!$C$6,Settings!$C$7))*100)</f>
        <v/>
      </c>
      <c r="AB74" s="7" t="n"/>
      <c r="AE74" s="11" t="n"/>
      <c r="AG74" s="7">
        <f>IF($C74="","",U74*X74/100)</f>
        <v/>
      </c>
      <c r="AH74" s="7">
        <f>IF($C74="","",U74-AG74)</f>
        <v/>
      </c>
      <c r="AI74" s="7">
        <f>IF($C74="","",AH74-M74)</f>
        <v/>
      </c>
      <c r="AJ74">
        <f>IF($C74="","",IF(COUNTIF($C$2:$C74,$C74)=1,1,0))</f>
        <v/>
      </c>
      <c r="AK74">
        <f>IF($AJ74=1,SUMPRODUCT(--($AN$2:$AN$4001&lt;$AN74))+1,"")</f>
        <v/>
      </c>
      <c r="AL74">
        <f>IF($C74="","",IF(OR($Q74=TRUE(),$Q74="TRUE"),1,0))</f>
        <v/>
      </c>
      <c r="AM74">
        <f>IF($C74="","",IF($W74="Yes",1,0))</f>
        <v/>
      </c>
      <c r="AN74">
        <f>IF($AJ74=1,IFERROR(IF(VALUE($C74)&lt;100000000,VALUE($C74),1000000000),IFERROR(IF(VALUE(MID($C74,2,20))&lt;100000000,VALUE(MID($C74,2,20)),1000000000),1000000000))+ROW()/100000,"")</f>
        <v/>
      </c>
    </row>
    <row r="75">
      <c r="E75" s="11" t="n"/>
      <c r="M75" s="7">
        <f>IF($C75="","",L75*U75/100)</f>
        <v/>
      </c>
      <c r="N75" s="7" t="n"/>
      <c r="T75" s="7" t="n"/>
      <c r="U75" s="7">
        <f>IF($C75="","",S75*T75)</f>
        <v/>
      </c>
      <c r="X75">
        <f>IF($C75="","",IF($AM75=1,0,IF($AL75=1,Settings!$C$6,Settings!$C$7))*100)</f>
        <v/>
      </c>
      <c r="AB75" s="7" t="n"/>
      <c r="AE75" s="11" t="n"/>
      <c r="AG75" s="7">
        <f>IF($C75="","",U75*X75/100)</f>
        <v/>
      </c>
      <c r="AH75" s="7">
        <f>IF($C75="","",U75-AG75)</f>
        <v/>
      </c>
      <c r="AI75" s="7">
        <f>IF($C75="","",AH75-M75)</f>
        <v/>
      </c>
      <c r="AJ75">
        <f>IF($C75="","",IF(COUNTIF($C$2:$C75,$C75)=1,1,0))</f>
        <v/>
      </c>
      <c r="AK75">
        <f>IF($AJ75=1,SUMPRODUCT(--($AN$2:$AN$4001&lt;$AN75))+1,"")</f>
        <v/>
      </c>
      <c r="AL75">
        <f>IF($C75="","",IF(OR($Q75=TRUE(),$Q75="TRUE"),1,0))</f>
        <v/>
      </c>
      <c r="AM75">
        <f>IF($C75="","",IF($W75="Yes",1,0))</f>
        <v/>
      </c>
      <c r="AN75">
        <f>IF($AJ75=1,IFERROR(IF(VALUE($C75)&lt;100000000,VALUE($C75),1000000000),IFERROR(IF(VALUE(MID($C75,2,20))&lt;100000000,VALUE(MID($C75,2,20)),1000000000),1000000000))+ROW()/100000,"")</f>
        <v/>
      </c>
    </row>
    <row r="76">
      <c r="E76" s="11" t="n"/>
      <c r="M76" s="7">
        <f>IF($C76="","",L76*U76/100)</f>
        <v/>
      </c>
      <c r="N76" s="7" t="n"/>
      <c r="T76" s="7" t="n"/>
      <c r="U76" s="7">
        <f>IF($C76="","",S76*T76)</f>
        <v/>
      </c>
      <c r="X76">
        <f>IF($C76="","",IF($AM76=1,0,IF($AL76=1,Settings!$C$6,Settings!$C$7))*100)</f>
        <v/>
      </c>
      <c r="AB76" s="7" t="n"/>
      <c r="AE76" s="11" t="n"/>
      <c r="AG76" s="7">
        <f>IF($C76="","",U76*X76/100)</f>
        <v/>
      </c>
      <c r="AH76" s="7">
        <f>IF($C76="","",U76-AG76)</f>
        <v/>
      </c>
      <c r="AI76" s="7">
        <f>IF($C76="","",AH76-M76)</f>
        <v/>
      </c>
      <c r="AJ76">
        <f>IF($C76="","",IF(COUNTIF($C$2:$C76,$C76)=1,1,0))</f>
        <v/>
      </c>
      <c r="AK76">
        <f>IF($AJ76=1,SUMPRODUCT(--($AN$2:$AN$4001&lt;$AN76))+1,"")</f>
        <v/>
      </c>
      <c r="AL76">
        <f>IF($C76="","",IF(OR($Q76=TRUE(),$Q76="TRUE"),1,0))</f>
        <v/>
      </c>
      <c r="AM76">
        <f>IF($C76="","",IF($W76="Yes",1,0))</f>
        <v/>
      </c>
      <c r="AN76">
        <f>IF($AJ76=1,IFERROR(IF(VALUE($C76)&lt;100000000,VALUE($C76),1000000000),IFERROR(IF(VALUE(MID($C76,2,20))&lt;100000000,VALUE(MID($C76,2,20)),1000000000),1000000000))+ROW()/100000,"")</f>
        <v/>
      </c>
    </row>
    <row r="77">
      <c r="E77" s="11" t="n"/>
      <c r="M77" s="7">
        <f>IF($C77="","",L77*U77/100)</f>
        <v/>
      </c>
      <c r="N77" s="7" t="n"/>
      <c r="T77" s="7" t="n"/>
      <c r="U77" s="7">
        <f>IF($C77="","",S77*T77)</f>
        <v/>
      </c>
      <c r="X77">
        <f>IF($C77="","",IF($AM77=1,0,IF($AL77=1,Settings!$C$6,Settings!$C$7))*100)</f>
        <v/>
      </c>
      <c r="AB77" s="7" t="n"/>
      <c r="AE77" s="11" t="n"/>
      <c r="AG77" s="7">
        <f>IF($C77="","",U77*X77/100)</f>
        <v/>
      </c>
      <c r="AH77" s="7">
        <f>IF($C77="","",U77-AG77)</f>
        <v/>
      </c>
      <c r="AI77" s="7">
        <f>IF($C77="","",AH77-M77)</f>
        <v/>
      </c>
      <c r="AJ77">
        <f>IF($C77="","",IF(COUNTIF($C$2:$C77,$C77)=1,1,0))</f>
        <v/>
      </c>
      <c r="AK77">
        <f>IF($AJ77=1,SUMPRODUCT(--($AN$2:$AN$4001&lt;$AN77))+1,"")</f>
        <v/>
      </c>
      <c r="AL77">
        <f>IF($C77="","",IF(OR($Q77=TRUE(),$Q77="TRUE"),1,0))</f>
        <v/>
      </c>
      <c r="AM77">
        <f>IF($C77="","",IF($W77="Yes",1,0))</f>
        <v/>
      </c>
      <c r="AN77">
        <f>IF($AJ77=1,IFERROR(IF(VALUE($C77)&lt;100000000,VALUE($C77),1000000000),IFERROR(IF(VALUE(MID($C77,2,20))&lt;100000000,VALUE(MID($C77,2,20)),1000000000),1000000000))+ROW()/100000,"")</f>
        <v/>
      </c>
    </row>
    <row r="78">
      <c r="E78" s="11" t="n"/>
      <c r="M78" s="7">
        <f>IF($C78="","",L78*U78/100)</f>
        <v/>
      </c>
      <c r="N78" s="7" t="n"/>
      <c r="T78" s="7" t="n"/>
      <c r="U78" s="7">
        <f>IF($C78="","",S78*T78)</f>
        <v/>
      </c>
      <c r="X78">
        <f>IF($C78="","",IF($AM78=1,0,IF($AL78=1,Settings!$C$6,Settings!$C$7))*100)</f>
        <v/>
      </c>
      <c r="AB78" s="7" t="n"/>
      <c r="AE78" s="11" t="n"/>
      <c r="AG78" s="7">
        <f>IF($C78="","",U78*X78/100)</f>
        <v/>
      </c>
      <c r="AH78" s="7">
        <f>IF($C78="","",U78-AG78)</f>
        <v/>
      </c>
      <c r="AI78" s="7">
        <f>IF($C78="","",AH78-M78)</f>
        <v/>
      </c>
      <c r="AJ78">
        <f>IF($C78="","",IF(COUNTIF($C$2:$C78,$C78)=1,1,0))</f>
        <v/>
      </c>
      <c r="AK78">
        <f>IF($AJ78=1,SUMPRODUCT(--($AN$2:$AN$4001&lt;$AN78))+1,"")</f>
        <v/>
      </c>
      <c r="AL78">
        <f>IF($C78="","",IF(OR($Q78=TRUE(),$Q78="TRUE"),1,0))</f>
        <v/>
      </c>
      <c r="AM78">
        <f>IF($C78="","",IF($W78="Yes",1,0))</f>
        <v/>
      </c>
      <c r="AN78">
        <f>IF($AJ78=1,IFERROR(IF(VALUE($C78)&lt;100000000,VALUE($C78),1000000000),IFERROR(IF(VALUE(MID($C78,2,20))&lt;100000000,VALUE(MID($C78,2,20)),1000000000),1000000000))+ROW()/100000,"")</f>
        <v/>
      </c>
    </row>
    <row r="79">
      <c r="E79" s="11" t="n"/>
      <c r="M79" s="7">
        <f>IF($C79="","",L79*U79/100)</f>
        <v/>
      </c>
      <c r="N79" s="7" t="n"/>
      <c r="T79" s="7" t="n"/>
      <c r="U79" s="7">
        <f>IF($C79="","",S79*T79)</f>
        <v/>
      </c>
      <c r="X79">
        <f>IF($C79="","",IF($AM79=1,0,IF($AL79=1,Settings!$C$6,Settings!$C$7))*100)</f>
        <v/>
      </c>
      <c r="AB79" s="7" t="n"/>
      <c r="AE79" s="11" t="n"/>
      <c r="AG79" s="7">
        <f>IF($C79="","",U79*X79/100)</f>
        <v/>
      </c>
      <c r="AH79" s="7">
        <f>IF($C79="","",U79-AG79)</f>
        <v/>
      </c>
      <c r="AI79" s="7">
        <f>IF($C79="","",AH79-M79)</f>
        <v/>
      </c>
      <c r="AJ79">
        <f>IF($C79="","",IF(COUNTIF($C$2:$C79,$C79)=1,1,0))</f>
        <v/>
      </c>
      <c r="AK79">
        <f>IF($AJ79=1,SUMPRODUCT(--($AN$2:$AN$4001&lt;$AN79))+1,"")</f>
        <v/>
      </c>
      <c r="AL79">
        <f>IF($C79="","",IF(OR($Q79=TRUE(),$Q79="TRUE"),1,0))</f>
        <v/>
      </c>
      <c r="AM79">
        <f>IF($C79="","",IF($W79="Yes",1,0))</f>
        <v/>
      </c>
      <c r="AN79">
        <f>IF($AJ79=1,IFERROR(IF(VALUE($C79)&lt;100000000,VALUE($C79),1000000000),IFERROR(IF(VALUE(MID($C79,2,20))&lt;100000000,VALUE(MID($C79,2,20)),1000000000),1000000000))+ROW()/100000,"")</f>
        <v/>
      </c>
    </row>
    <row r="80">
      <c r="E80" s="11" t="n"/>
      <c r="M80" s="7">
        <f>IF($C80="","",L80*U80/100)</f>
        <v/>
      </c>
      <c r="N80" s="7" t="n"/>
      <c r="T80" s="7" t="n"/>
      <c r="U80" s="7">
        <f>IF($C80="","",S80*T80)</f>
        <v/>
      </c>
      <c r="X80">
        <f>IF($C80="","",IF($AM80=1,0,IF($AL80=1,Settings!$C$6,Settings!$C$7))*100)</f>
        <v/>
      </c>
      <c r="AB80" s="7" t="n"/>
      <c r="AE80" s="11" t="n"/>
      <c r="AG80" s="7">
        <f>IF($C80="","",U80*X80/100)</f>
        <v/>
      </c>
      <c r="AH80" s="7">
        <f>IF($C80="","",U80-AG80)</f>
        <v/>
      </c>
      <c r="AI80" s="7">
        <f>IF($C80="","",AH80-M80)</f>
        <v/>
      </c>
      <c r="AJ80">
        <f>IF($C80="","",IF(COUNTIF($C$2:$C80,$C80)=1,1,0))</f>
        <v/>
      </c>
      <c r="AK80">
        <f>IF($AJ80=1,SUMPRODUCT(--($AN$2:$AN$4001&lt;$AN80))+1,"")</f>
        <v/>
      </c>
      <c r="AL80">
        <f>IF($C80="","",IF(OR($Q80=TRUE(),$Q80="TRUE"),1,0))</f>
        <v/>
      </c>
      <c r="AM80">
        <f>IF($C80="","",IF($W80="Yes",1,0))</f>
        <v/>
      </c>
      <c r="AN80">
        <f>IF($AJ80=1,IFERROR(IF(VALUE($C80)&lt;100000000,VALUE($C80),1000000000),IFERROR(IF(VALUE(MID($C80,2,20))&lt;100000000,VALUE(MID($C80,2,20)),1000000000),1000000000))+ROW()/100000,"")</f>
        <v/>
      </c>
    </row>
    <row r="81">
      <c r="E81" s="11" t="n"/>
      <c r="M81" s="7">
        <f>IF($C81="","",L81*U81/100)</f>
        <v/>
      </c>
      <c r="N81" s="7" t="n"/>
      <c r="T81" s="7" t="n"/>
      <c r="U81" s="7">
        <f>IF($C81="","",S81*T81)</f>
        <v/>
      </c>
      <c r="X81">
        <f>IF($C81="","",IF($AM81=1,0,IF($AL81=1,Settings!$C$6,Settings!$C$7))*100)</f>
        <v/>
      </c>
      <c r="AB81" s="7" t="n"/>
      <c r="AE81" s="11" t="n"/>
      <c r="AG81" s="7">
        <f>IF($C81="","",U81*X81/100)</f>
        <v/>
      </c>
      <c r="AH81" s="7">
        <f>IF($C81="","",U81-AG81)</f>
        <v/>
      </c>
      <c r="AI81" s="7">
        <f>IF($C81="","",AH81-M81)</f>
        <v/>
      </c>
      <c r="AJ81">
        <f>IF($C81="","",IF(COUNTIF($C$2:$C81,$C81)=1,1,0))</f>
        <v/>
      </c>
      <c r="AK81">
        <f>IF($AJ81=1,SUMPRODUCT(--($AN$2:$AN$4001&lt;$AN81))+1,"")</f>
        <v/>
      </c>
      <c r="AL81">
        <f>IF($C81="","",IF(OR($Q81=TRUE(),$Q81="TRUE"),1,0))</f>
        <v/>
      </c>
      <c r="AM81">
        <f>IF($C81="","",IF($W81="Yes",1,0))</f>
        <v/>
      </c>
      <c r="AN81">
        <f>IF($AJ81=1,IFERROR(IF(VALUE($C81)&lt;100000000,VALUE($C81),1000000000),IFERROR(IF(VALUE(MID($C81,2,20))&lt;100000000,VALUE(MID($C81,2,20)),1000000000),1000000000))+ROW()/100000,"")</f>
        <v/>
      </c>
    </row>
    <row r="82">
      <c r="E82" s="11" t="n"/>
      <c r="M82" s="7">
        <f>IF($C82="","",L82*U82/100)</f>
        <v/>
      </c>
      <c r="N82" s="7" t="n"/>
      <c r="T82" s="7" t="n"/>
      <c r="U82" s="7">
        <f>IF($C82="","",S82*T82)</f>
        <v/>
      </c>
      <c r="X82">
        <f>IF($C82="","",IF($AM82=1,0,IF($AL82=1,Settings!$C$6,Settings!$C$7))*100)</f>
        <v/>
      </c>
      <c r="AB82" s="7" t="n"/>
      <c r="AE82" s="11" t="n"/>
      <c r="AG82" s="7">
        <f>IF($C82="","",U82*X82/100)</f>
        <v/>
      </c>
      <c r="AH82" s="7">
        <f>IF($C82="","",U82-AG82)</f>
        <v/>
      </c>
      <c r="AI82" s="7">
        <f>IF($C82="","",AH82-M82)</f>
        <v/>
      </c>
      <c r="AJ82">
        <f>IF($C82="","",IF(COUNTIF($C$2:$C82,$C82)=1,1,0))</f>
        <v/>
      </c>
      <c r="AK82">
        <f>IF($AJ82=1,SUMPRODUCT(--($AN$2:$AN$4001&lt;$AN82))+1,"")</f>
        <v/>
      </c>
      <c r="AL82">
        <f>IF($C82="","",IF(OR($Q82=TRUE(),$Q82="TRUE"),1,0))</f>
        <v/>
      </c>
      <c r="AM82">
        <f>IF($C82="","",IF($W82="Yes",1,0))</f>
        <v/>
      </c>
      <c r="AN82">
        <f>IF($AJ82=1,IFERROR(IF(VALUE($C82)&lt;100000000,VALUE($C82),1000000000),IFERROR(IF(VALUE(MID($C82,2,20))&lt;100000000,VALUE(MID($C82,2,20)),1000000000),1000000000))+ROW()/100000,"")</f>
        <v/>
      </c>
    </row>
    <row r="83">
      <c r="E83" s="11" t="n"/>
      <c r="M83" s="7">
        <f>IF($C83="","",L83*U83/100)</f>
        <v/>
      </c>
      <c r="N83" s="7" t="n"/>
      <c r="T83" s="7" t="n"/>
      <c r="U83" s="7">
        <f>IF($C83="","",S83*T83)</f>
        <v/>
      </c>
      <c r="X83">
        <f>IF($C83="","",IF($AM83=1,0,IF($AL83=1,Settings!$C$6,Settings!$C$7))*100)</f>
        <v/>
      </c>
      <c r="AB83" s="7" t="n"/>
      <c r="AE83" s="11" t="n"/>
      <c r="AG83" s="7">
        <f>IF($C83="","",U83*X83/100)</f>
        <v/>
      </c>
      <c r="AH83" s="7">
        <f>IF($C83="","",U83-AG83)</f>
        <v/>
      </c>
      <c r="AI83" s="7">
        <f>IF($C83="","",AH83-M83)</f>
        <v/>
      </c>
      <c r="AJ83">
        <f>IF($C83="","",IF(COUNTIF($C$2:$C83,$C83)=1,1,0))</f>
        <v/>
      </c>
      <c r="AK83">
        <f>IF($AJ83=1,SUMPRODUCT(--($AN$2:$AN$4001&lt;$AN83))+1,"")</f>
        <v/>
      </c>
      <c r="AL83">
        <f>IF($C83="","",IF(OR($Q83=TRUE(),$Q83="TRUE"),1,0))</f>
        <v/>
      </c>
      <c r="AM83">
        <f>IF($C83="","",IF($W83="Yes",1,0))</f>
        <v/>
      </c>
      <c r="AN83">
        <f>IF($AJ83=1,IFERROR(IF(VALUE($C83)&lt;100000000,VALUE($C83),1000000000),IFERROR(IF(VALUE(MID($C83,2,20))&lt;100000000,VALUE(MID($C83,2,20)),1000000000),1000000000))+ROW()/100000,"")</f>
        <v/>
      </c>
    </row>
    <row r="84">
      <c r="E84" s="11" t="n"/>
      <c r="M84" s="7">
        <f>IF($C84="","",L84*U84/100)</f>
        <v/>
      </c>
      <c r="N84" s="7" t="n"/>
      <c r="T84" s="7" t="n"/>
      <c r="U84" s="7">
        <f>IF($C84="","",S84*T84)</f>
        <v/>
      </c>
      <c r="X84">
        <f>IF($C84="","",IF($AM84=1,0,IF($AL84=1,Settings!$C$6,Settings!$C$7))*100)</f>
        <v/>
      </c>
      <c r="AB84" s="7" t="n"/>
      <c r="AE84" s="11" t="n"/>
      <c r="AG84" s="7">
        <f>IF($C84="","",U84*X84/100)</f>
        <v/>
      </c>
      <c r="AH84" s="7">
        <f>IF($C84="","",U84-AG84)</f>
        <v/>
      </c>
      <c r="AI84" s="7">
        <f>IF($C84="","",AH84-M84)</f>
        <v/>
      </c>
      <c r="AJ84">
        <f>IF($C84="","",IF(COUNTIF($C$2:$C84,$C84)=1,1,0))</f>
        <v/>
      </c>
      <c r="AK84">
        <f>IF($AJ84=1,SUMPRODUCT(--($AN$2:$AN$4001&lt;$AN84))+1,"")</f>
        <v/>
      </c>
      <c r="AL84">
        <f>IF($C84="","",IF(OR($Q84=TRUE(),$Q84="TRUE"),1,0))</f>
        <v/>
      </c>
      <c r="AM84">
        <f>IF($C84="","",IF($W84="Yes",1,0))</f>
        <v/>
      </c>
      <c r="AN84">
        <f>IF($AJ84=1,IFERROR(IF(VALUE($C84)&lt;100000000,VALUE($C84),1000000000),IFERROR(IF(VALUE(MID($C84,2,20))&lt;100000000,VALUE(MID($C84,2,20)),1000000000),1000000000))+ROW()/100000,"")</f>
        <v/>
      </c>
    </row>
    <row r="85">
      <c r="E85" s="11" t="n"/>
      <c r="M85" s="7">
        <f>IF($C85="","",L85*U85/100)</f>
        <v/>
      </c>
      <c r="N85" s="7" t="n"/>
      <c r="T85" s="7" t="n"/>
      <c r="U85" s="7">
        <f>IF($C85="","",S85*T85)</f>
        <v/>
      </c>
      <c r="X85">
        <f>IF($C85="","",IF($AM85=1,0,IF($AL85=1,Settings!$C$6,Settings!$C$7))*100)</f>
        <v/>
      </c>
      <c r="AB85" s="7" t="n"/>
      <c r="AE85" s="11" t="n"/>
      <c r="AG85" s="7">
        <f>IF($C85="","",U85*X85/100)</f>
        <v/>
      </c>
      <c r="AH85" s="7">
        <f>IF($C85="","",U85-AG85)</f>
        <v/>
      </c>
      <c r="AI85" s="7">
        <f>IF($C85="","",AH85-M85)</f>
        <v/>
      </c>
      <c r="AJ85">
        <f>IF($C85="","",IF(COUNTIF($C$2:$C85,$C85)=1,1,0))</f>
        <v/>
      </c>
      <c r="AK85">
        <f>IF($AJ85=1,SUMPRODUCT(--($AN$2:$AN$4001&lt;$AN85))+1,"")</f>
        <v/>
      </c>
      <c r="AL85">
        <f>IF($C85="","",IF(OR($Q85=TRUE(),$Q85="TRUE"),1,0))</f>
        <v/>
      </c>
      <c r="AM85">
        <f>IF($C85="","",IF($W85="Yes",1,0))</f>
        <v/>
      </c>
      <c r="AN85">
        <f>IF($AJ85=1,IFERROR(IF(VALUE($C85)&lt;100000000,VALUE($C85),1000000000),IFERROR(IF(VALUE(MID($C85,2,20))&lt;100000000,VALUE(MID($C85,2,20)),1000000000),1000000000))+ROW()/100000,"")</f>
        <v/>
      </c>
    </row>
    <row r="86">
      <c r="E86" s="11" t="n"/>
      <c r="M86" s="7">
        <f>IF($C86="","",L86*U86/100)</f>
        <v/>
      </c>
      <c r="N86" s="7" t="n"/>
      <c r="T86" s="7" t="n"/>
      <c r="U86" s="7">
        <f>IF($C86="","",S86*T86)</f>
        <v/>
      </c>
      <c r="X86">
        <f>IF($C86="","",IF($AM86=1,0,IF($AL86=1,Settings!$C$6,Settings!$C$7))*100)</f>
        <v/>
      </c>
      <c r="AB86" s="7" t="n"/>
      <c r="AE86" s="11" t="n"/>
      <c r="AG86" s="7">
        <f>IF($C86="","",U86*X86/100)</f>
        <v/>
      </c>
      <c r="AH86" s="7">
        <f>IF($C86="","",U86-AG86)</f>
        <v/>
      </c>
      <c r="AI86" s="7">
        <f>IF($C86="","",AH86-M86)</f>
        <v/>
      </c>
      <c r="AJ86">
        <f>IF($C86="","",IF(COUNTIF($C$2:$C86,$C86)=1,1,0))</f>
        <v/>
      </c>
      <c r="AK86">
        <f>IF($AJ86=1,SUMPRODUCT(--($AN$2:$AN$4001&lt;$AN86))+1,"")</f>
        <v/>
      </c>
      <c r="AL86">
        <f>IF($C86="","",IF(OR($Q86=TRUE(),$Q86="TRUE"),1,0))</f>
        <v/>
      </c>
      <c r="AM86">
        <f>IF($C86="","",IF($W86="Yes",1,0))</f>
        <v/>
      </c>
      <c r="AN86">
        <f>IF($AJ86=1,IFERROR(IF(VALUE($C86)&lt;100000000,VALUE($C86),1000000000),IFERROR(IF(VALUE(MID($C86,2,20))&lt;100000000,VALUE(MID($C86,2,20)),1000000000),1000000000))+ROW()/100000,"")</f>
        <v/>
      </c>
    </row>
    <row r="87">
      <c r="E87" s="11" t="n"/>
      <c r="M87" s="7">
        <f>IF($C87="","",L87*U87/100)</f>
        <v/>
      </c>
      <c r="N87" s="7" t="n"/>
      <c r="T87" s="7" t="n"/>
      <c r="U87" s="7">
        <f>IF($C87="","",S87*T87)</f>
        <v/>
      </c>
      <c r="X87">
        <f>IF($C87="","",IF($AM87=1,0,IF($AL87=1,Settings!$C$6,Settings!$C$7))*100)</f>
        <v/>
      </c>
      <c r="AB87" s="7" t="n"/>
      <c r="AE87" s="11" t="n"/>
      <c r="AG87" s="7">
        <f>IF($C87="","",U87*X87/100)</f>
        <v/>
      </c>
      <c r="AH87" s="7">
        <f>IF($C87="","",U87-AG87)</f>
        <v/>
      </c>
      <c r="AI87" s="7">
        <f>IF($C87="","",AH87-M87)</f>
        <v/>
      </c>
      <c r="AJ87">
        <f>IF($C87="","",IF(COUNTIF($C$2:$C87,$C87)=1,1,0))</f>
        <v/>
      </c>
      <c r="AK87">
        <f>IF($AJ87=1,SUMPRODUCT(--($AN$2:$AN$4001&lt;$AN87))+1,"")</f>
        <v/>
      </c>
      <c r="AL87">
        <f>IF($C87="","",IF(OR($Q87=TRUE(),$Q87="TRUE"),1,0))</f>
        <v/>
      </c>
      <c r="AM87">
        <f>IF($C87="","",IF($W87="Yes",1,0))</f>
        <v/>
      </c>
      <c r="AN87">
        <f>IF($AJ87=1,IFERROR(IF(VALUE($C87)&lt;100000000,VALUE($C87),1000000000),IFERROR(IF(VALUE(MID($C87,2,20))&lt;100000000,VALUE(MID($C87,2,20)),1000000000),1000000000))+ROW()/100000,"")</f>
        <v/>
      </c>
    </row>
    <row r="88">
      <c r="E88" s="11" t="n"/>
      <c r="M88" s="7">
        <f>IF($C88="","",L88*U88/100)</f>
        <v/>
      </c>
      <c r="N88" s="7" t="n"/>
      <c r="T88" s="7" t="n"/>
      <c r="U88" s="7">
        <f>IF($C88="","",S88*T88)</f>
        <v/>
      </c>
      <c r="X88">
        <f>IF($C88="","",IF($AM88=1,0,IF($AL88=1,Settings!$C$6,Settings!$C$7))*100)</f>
        <v/>
      </c>
      <c r="AB88" s="7" t="n"/>
      <c r="AE88" s="11" t="n"/>
      <c r="AG88" s="7">
        <f>IF($C88="","",U88*X88/100)</f>
        <v/>
      </c>
      <c r="AH88" s="7">
        <f>IF($C88="","",U88-AG88)</f>
        <v/>
      </c>
      <c r="AI88" s="7">
        <f>IF($C88="","",AH88-M88)</f>
        <v/>
      </c>
      <c r="AJ88">
        <f>IF($C88="","",IF(COUNTIF($C$2:$C88,$C88)=1,1,0))</f>
        <v/>
      </c>
      <c r="AK88">
        <f>IF($AJ88=1,SUMPRODUCT(--($AN$2:$AN$4001&lt;$AN88))+1,"")</f>
        <v/>
      </c>
      <c r="AL88">
        <f>IF($C88="","",IF(OR($Q88=TRUE(),$Q88="TRUE"),1,0))</f>
        <v/>
      </c>
      <c r="AM88">
        <f>IF($C88="","",IF($W88="Yes",1,0))</f>
        <v/>
      </c>
      <c r="AN88">
        <f>IF($AJ88=1,IFERROR(IF(VALUE($C88)&lt;100000000,VALUE($C88),1000000000),IFERROR(IF(VALUE(MID($C88,2,20))&lt;100000000,VALUE(MID($C88,2,20)),1000000000),1000000000))+ROW()/100000,"")</f>
        <v/>
      </c>
    </row>
    <row r="89">
      <c r="E89" s="11" t="n"/>
      <c r="M89" s="7">
        <f>IF($C89="","",L89*U89/100)</f>
        <v/>
      </c>
      <c r="N89" s="7" t="n"/>
      <c r="T89" s="7" t="n"/>
      <c r="U89" s="7">
        <f>IF($C89="","",S89*T89)</f>
        <v/>
      </c>
      <c r="X89">
        <f>IF($C89="","",IF($AM89=1,0,IF($AL89=1,Settings!$C$6,Settings!$C$7))*100)</f>
        <v/>
      </c>
      <c r="AB89" s="7" t="n"/>
      <c r="AE89" s="11" t="n"/>
      <c r="AG89" s="7">
        <f>IF($C89="","",U89*X89/100)</f>
        <v/>
      </c>
      <c r="AH89" s="7">
        <f>IF($C89="","",U89-AG89)</f>
        <v/>
      </c>
      <c r="AI89" s="7">
        <f>IF($C89="","",AH89-M89)</f>
        <v/>
      </c>
      <c r="AJ89">
        <f>IF($C89="","",IF(COUNTIF($C$2:$C89,$C89)=1,1,0))</f>
        <v/>
      </c>
      <c r="AK89">
        <f>IF($AJ89=1,SUMPRODUCT(--($AN$2:$AN$4001&lt;$AN89))+1,"")</f>
        <v/>
      </c>
      <c r="AL89">
        <f>IF($C89="","",IF(OR($Q89=TRUE(),$Q89="TRUE"),1,0))</f>
        <v/>
      </c>
      <c r="AM89">
        <f>IF($C89="","",IF($W89="Yes",1,0))</f>
        <v/>
      </c>
      <c r="AN89">
        <f>IF($AJ89=1,IFERROR(IF(VALUE($C89)&lt;100000000,VALUE($C89),1000000000),IFERROR(IF(VALUE(MID($C89,2,20))&lt;100000000,VALUE(MID($C89,2,20)),1000000000),1000000000))+ROW()/100000,"")</f>
        <v/>
      </c>
    </row>
    <row r="90">
      <c r="E90" s="11" t="n"/>
      <c r="M90" s="7">
        <f>IF($C90="","",L90*U90/100)</f>
        <v/>
      </c>
      <c r="N90" s="7" t="n"/>
      <c r="T90" s="7" t="n"/>
      <c r="U90" s="7">
        <f>IF($C90="","",S90*T90)</f>
        <v/>
      </c>
      <c r="X90">
        <f>IF($C90="","",IF($AM90=1,0,IF($AL90=1,Settings!$C$6,Settings!$C$7))*100)</f>
        <v/>
      </c>
      <c r="AB90" s="7" t="n"/>
      <c r="AE90" s="11" t="n"/>
      <c r="AG90" s="7">
        <f>IF($C90="","",U90*X90/100)</f>
        <v/>
      </c>
      <c r="AH90" s="7">
        <f>IF($C90="","",U90-AG90)</f>
        <v/>
      </c>
      <c r="AI90" s="7">
        <f>IF($C90="","",AH90-M90)</f>
        <v/>
      </c>
      <c r="AJ90">
        <f>IF($C90="","",IF(COUNTIF($C$2:$C90,$C90)=1,1,0))</f>
        <v/>
      </c>
      <c r="AK90">
        <f>IF($AJ90=1,SUMPRODUCT(--($AN$2:$AN$4001&lt;$AN90))+1,"")</f>
        <v/>
      </c>
      <c r="AL90">
        <f>IF($C90="","",IF(OR($Q90=TRUE(),$Q90="TRUE"),1,0))</f>
        <v/>
      </c>
      <c r="AM90">
        <f>IF($C90="","",IF($W90="Yes",1,0))</f>
        <v/>
      </c>
      <c r="AN90">
        <f>IF($AJ90=1,IFERROR(IF(VALUE($C90)&lt;100000000,VALUE($C90),1000000000),IFERROR(IF(VALUE(MID($C90,2,20))&lt;100000000,VALUE(MID($C90,2,20)),1000000000),1000000000))+ROW()/100000,"")</f>
        <v/>
      </c>
    </row>
    <row r="91">
      <c r="E91" s="11" t="n"/>
      <c r="M91" s="7">
        <f>IF($C91="","",L91*U91/100)</f>
        <v/>
      </c>
      <c r="N91" s="7" t="n"/>
      <c r="T91" s="7" t="n"/>
      <c r="U91" s="7">
        <f>IF($C91="","",S91*T91)</f>
        <v/>
      </c>
      <c r="X91">
        <f>IF($C91="","",IF($AM91=1,0,IF($AL91=1,Settings!$C$6,Settings!$C$7))*100)</f>
        <v/>
      </c>
      <c r="AB91" s="7" t="n"/>
      <c r="AE91" s="11" t="n"/>
      <c r="AG91" s="7">
        <f>IF($C91="","",U91*X91/100)</f>
        <v/>
      </c>
      <c r="AH91" s="7">
        <f>IF($C91="","",U91-AG91)</f>
        <v/>
      </c>
      <c r="AI91" s="7">
        <f>IF($C91="","",AH91-M91)</f>
        <v/>
      </c>
      <c r="AJ91">
        <f>IF($C91="","",IF(COUNTIF($C$2:$C91,$C91)=1,1,0))</f>
        <v/>
      </c>
      <c r="AK91">
        <f>IF($AJ91=1,SUMPRODUCT(--($AN$2:$AN$4001&lt;$AN91))+1,"")</f>
        <v/>
      </c>
      <c r="AL91">
        <f>IF($C91="","",IF(OR($Q91=TRUE(),$Q91="TRUE"),1,0))</f>
        <v/>
      </c>
      <c r="AM91">
        <f>IF($C91="","",IF($W91="Yes",1,0))</f>
        <v/>
      </c>
      <c r="AN91">
        <f>IF($AJ91=1,IFERROR(IF(VALUE($C91)&lt;100000000,VALUE($C91),1000000000),IFERROR(IF(VALUE(MID($C91,2,20))&lt;100000000,VALUE(MID($C91,2,20)),1000000000),1000000000))+ROW()/100000,"")</f>
        <v/>
      </c>
    </row>
    <row r="92">
      <c r="E92" s="11" t="n"/>
      <c r="M92" s="7">
        <f>IF($C92="","",L92*U92/100)</f>
        <v/>
      </c>
      <c r="N92" s="7" t="n"/>
      <c r="T92" s="7" t="n"/>
      <c r="U92" s="7">
        <f>IF($C92="","",S92*T92)</f>
        <v/>
      </c>
      <c r="X92">
        <f>IF($C92="","",IF($AM92=1,0,IF($AL92=1,Settings!$C$6,Settings!$C$7))*100)</f>
        <v/>
      </c>
      <c r="AB92" s="7" t="n"/>
      <c r="AE92" s="11" t="n"/>
      <c r="AG92" s="7">
        <f>IF($C92="","",U92*X92/100)</f>
        <v/>
      </c>
      <c r="AH92" s="7">
        <f>IF($C92="","",U92-AG92)</f>
        <v/>
      </c>
      <c r="AI92" s="7">
        <f>IF($C92="","",AH92-M92)</f>
        <v/>
      </c>
      <c r="AJ92">
        <f>IF($C92="","",IF(COUNTIF($C$2:$C92,$C92)=1,1,0))</f>
        <v/>
      </c>
      <c r="AK92">
        <f>IF($AJ92=1,SUMPRODUCT(--($AN$2:$AN$4001&lt;$AN92))+1,"")</f>
        <v/>
      </c>
      <c r="AL92">
        <f>IF($C92="","",IF(OR($Q92=TRUE(),$Q92="TRUE"),1,0))</f>
        <v/>
      </c>
      <c r="AM92">
        <f>IF($C92="","",IF($W92="Yes",1,0))</f>
        <v/>
      </c>
      <c r="AN92">
        <f>IF($AJ92=1,IFERROR(IF(VALUE($C92)&lt;100000000,VALUE($C92),1000000000),IFERROR(IF(VALUE(MID($C92,2,20))&lt;100000000,VALUE(MID($C92,2,20)),1000000000),1000000000))+ROW()/100000,"")</f>
        <v/>
      </c>
    </row>
    <row r="93">
      <c r="E93" s="11" t="n"/>
      <c r="M93" s="7">
        <f>IF($C93="","",L93*U93/100)</f>
        <v/>
      </c>
      <c r="N93" s="7" t="n"/>
      <c r="T93" s="7" t="n"/>
      <c r="U93" s="7">
        <f>IF($C93="","",S93*T93)</f>
        <v/>
      </c>
      <c r="X93">
        <f>IF($C93="","",IF($AM93=1,0,IF($AL93=1,Settings!$C$6,Settings!$C$7))*100)</f>
        <v/>
      </c>
      <c r="AB93" s="7" t="n"/>
      <c r="AE93" s="11" t="n"/>
      <c r="AG93" s="7">
        <f>IF($C93="","",U93*X93/100)</f>
        <v/>
      </c>
      <c r="AH93" s="7">
        <f>IF($C93="","",U93-AG93)</f>
        <v/>
      </c>
      <c r="AI93" s="7">
        <f>IF($C93="","",AH93-M93)</f>
        <v/>
      </c>
      <c r="AJ93">
        <f>IF($C93="","",IF(COUNTIF($C$2:$C93,$C93)=1,1,0))</f>
        <v/>
      </c>
      <c r="AK93">
        <f>IF($AJ93=1,SUMPRODUCT(--($AN$2:$AN$4001&lt;$AN93))+1,"")</f>
        <v/>
      </c>
      <c r="AL93">
        <f>IF($C93="","",IF(OR($Q93=TRUE(),$Q93="TRUE"),1,0))</f>
        <v/>
      </c>
      <c r="AM93">
        <f>IF($C93="","",IF($W93="Yes",1,0))</f>
        <v/>
      </c>
      <c r="AN93">
        <f>IF($AJ93=1,IFERROR(IF(VALUE($C93)&lt;100000000,VALUE($C93),1000000000),IFERROR(IF(VALUE(MID($C93,2,20))&lt;100000000,VALUE(MID($C93,2,20)),1000000000),1000000000))+ROW()/100000,"")</f>
        <v/>
      </c>
    </row>
    <row r="94">
      <c r="E94" s="11" t="n"/>
      <c r="M94" s="7">
        <f>IF($C94="","",L94*U94/100)</f>
        <v/>
      </c>
      <c r="N94" s="7" t="n"/>
      <c r="T94" s="7" t="n"/>
      <c r="U94" s="7">
        <f>IF($C94="","",S94*T94)</f>
        <v/>
      </c>
      <c r="X94">
        <f>IF($C94="","",IF($AM94=1,0,IF($AL94=1,Settings!$C$6,Settings!$C$7))*100)</f>
        <v/>
      </c>
      <c r="AB94" s="7" t="n"/>
      <c r="AE94" s="11" t="n"/>
      <c r="AG94" s="7">
        <f>IF($C94="","",U94*X94/100)</f>
        <v/>
      </c>
      <c r="AH94" s="7">
        <f>IF($C94="","",U94-AG94)</f>
        <v/>
      </c>
      <c r="AI94" s="7">
        <f>IF($C94="","",AH94-M94)</f>
        <v/>
      </c>
      <c r="AJ94">
        <f>IF($C94="","",IF(COUNTIF($C$2:$C94,$C94)=1,1,0))</f>
        <v/>
      </c>
      <c r="AK94">
        <f>IF($AJ94=1,SUMPRODUCT(--($AN$2:$AN$4001&lt;$AN94))+1,"")</f>
        <v/>
      </c>
      <c r="AL94">
        <f>IF($C94="","",IF(OR($Q94=TRUE(),$Q94="TRUE"),1,0))</f>
        <v/>
      </c>
      <c r="AM94">
        <f>IF($C94="","",IF($W94="Yes",1,0))</f>
        <v/>
      </c>
      <c r="AN94">
        <f>IF($AJ94=1,IFERROR(IF(VALUE($C94)&lt;100000000,VALUE($C94),1000000000),IFERROR(IF(VALUE(MID($C94,2,20))&lt;100000000,VALUE(MID($C94,2,20)),1000000000),1000000000))+ROW()/100000,"")</f>
        <v/>
      </c>
    </row>
    <row r="95">
      <c r="E95" s="11" t="n"/>
      <c r="M95" s="7">
        <f>IF($C95="","",L95*U95/100)</f>
        <v/>
      </c>
      <c r="N95" s="7" t="n"/>
      <c r="T95" s="7" t="n"/>
      <c r="U95" s="7">
        <f>IF($C95="","",S95*T95)</f>
        <v/>
      </c>
      <c r="X95">
        <f>IF($C95="","",IF($AM95=1,0,IF($AL95=1,Settings!$C$6,Settings!$C$7))*100)</f>
        <v/>
      </c>
      <c r="AB95" s="7" t="n"/>
      <c r="AE95" s="11" t="n"/>
      <c r="AG95" s="7">
        <f>IF($C95="","",U95*X95/100)</f>
        <v/>
      </c>
      <c r="AH95" s="7">
        <f>IF($C95="","",U95-AG95)</f>
        <v/>
      </c>
      <c r="AI95" s="7">
        <f>IF($C95="","",AH95-M95)</f>
        <v/>
      </c>
      <c r="AJ95">
        <f>IF($C95="","",IF(COUNTIF($C$2:$C95,$C95)=1,1,0))</f>
        <v/>
      </c>
      <c r="AK95">
        <f>IF($AJ95=1,SUMPRODUCT(--($AN$2:$AN$4001&lt;$AN95))+1,"")</f>
        <v/>
      </c>
      <c r="AL95">
        <f>IF($C95="","",IF(OR($Q95=TRUE(),$Q95="TRUE"),1,0))</f>
        <v/>
      </c>
      <c r="AM95">
        <f>IF($C95="","",IF($W95="Yes",1,0))</f>
        <v/>
      </c>
      <c r="AN95">
        <f>IF($AJ95=1,IFERROR(IF(VALUE($C95)&lt;100000000,VALUE($C95),1000000000),IFERROR(IF(VALUE(MID($C95,2,20))&lt;100000000,VALUE(MID($C95,2,20)),1000000000),1000000000))+ROW()/100000,"")</f>
        <v/>
      </c>
    </row>
    <row r="96">
      <c r="E96" s="11" t="n"/>
      <c r="M96" s="7">
        <f>IF($C96="","",L96*U96/100)</f>
        <v/>
      </c>
      <c r="N96" s="7" t="n"/>
      <c r="T96" s="7" t="n"/>
      <c r="U96" s="7">
        <f>IF($C96="","",S96*T96)</f>
        <v/>
      </c>
      <c r="X96">
        <f>IF($C96="","",IF($AM96=1,0,IF($AL96=1,Settings!$C$6,Settings!$C$7))*100)</f>
        <v/>
      </c>
      <c r="AB96" s="7" t="n"/>
      <c r="AE96" s="11" t="n"/>
      <c r="AG96" s="7">
        <f>IF($C96="","",U96*X96/100)</f>
        <v/>
      </c>
      <c r="AH96" s="7">
        <f>IF($C96="","",U96-AG96)</f>
        <v/>
      </c>
      <c r="AI96" s="7">
        <f>IF($C96="","",AH96-M96)</f>
        <v/>
      </c>
      <c r="AJ96">
        <f>IF($C96="","",IF(COUNTIF($C$2:$C96,$C96)=1,1,0))</f>
        <v/>
      </c>
      <c r="AK96">
        <f>IF($AJ96=1,SUMPRODUCT(--($AN$2:$AN$4001&lt;$AN96))+1,"")</f>
        <v/>
      </c>
      <c r="AL96">
        <f>IF($C96="","",IF(OR($Q96=TRUE(),$Q96="TRUE"),1,0))</f>
        <v/>
      </c>
      <c r="AM96">
        <f>IF($C96="","",IF($W96="Yes",1,0))</f>
        <v/>
      </c>
      <c r="AN96">
        <f>IF($AJ96=1,IFERROR(IF(VALUE($C96)&lt;100000000,VALUE($C96),1000000000),IFERROR(IF(VALUE(MID($C96,2,20))&lt;100000000,VALUE(MID($C96,2,20)),1000000000),1000000000))+ROW()/100000,"")</f>
        <v/>
      </c>
    </row>
    <row r="97">
      <c r="E97" s="11" t="n"/>
      <c r="M97" s="7">
        <f>IF($C97="","",L97*U97/100)</f>
        <v/>
      </c>
      <c r="N97" s="7" t="n"/>
      <c r="T97" s="7" t="n"/>
      <c r="U97" s="7">
        <f>IF($C97="","",S97*T97)</f>
        <v/>
      </c>
      <c r="X97">
        <f>IF($C97="","",IF($AM97=1,0,IF($AL97=1,Settings!$C$6,Settings!$C$7))*100)</f>
        <v/>
      </c>
      <c r="AB97" s="7" t="n"/>
      <c r="AE97" s="11" t="n"/>
      <c r="AG97" s="7">
        <f>IF($C97="","",U97*X97/100)</f>
        <v/>
      </c>
      <c r="AH97" s="7">
        <f>IF($C97="","",U97-AG97)</f>
        <v/>
      </c>
      <c r="AI97" s="7">
        <f>IF($C97="","",AH97-M97)</f>
        <v/>
      </c>
      <c r="AJ97">
        <f>IF($C97="","",IF(COUNTIF($C$2:$C97,$C97)=1,1,0))</f>
        <v/>
      </c>
      <c r="AK97">
        <f>IF($AJ97=1,SUMPRODUCT(--($AN$2:$AN$4001&lt;$AN97))+1,"")</f>
        <v/>
      </c>
      <c r="AL97">
        <f>IF($C97="","",IF(OR($Q97=TRUE(),$Q97="TRUE"),1,0))</f>
        <v/>
      </c>
      <c r="AM97">
        <f>IF($C97="","",IF($W97="Yes",1,0))</f>
        <v/>
      </c>
      <c r="AN97">
        <f>IF($AJ97=1,IFERROR(IF(VALUE($C97)&lt;100000000,VALUE($C97),1000000000),IFERROR(IF(VALUE(MID($C97,2,20))&lt;100000000,VALUE(MID($C97,2,20)),1000000000),1000000000))+ROW()/100000,"")</f>
        <v/>
      </c>
    </row>
    <row r="98">
      <c r="E98" s="11" t="n"/>
      <c r="M98" s="7">
        <f>IF($C98="","",L98*U98/100)</f>
        <v/>
      </c>
      <c r="N98" s="7" t="n"/>
      <c r="T98" s="7" t="n"/>
      <c r="U98" s="7">
        <f>IF($C98="","",S98*T98)</f>
        <v/>
      </c>
      <c r="X98">
        <f>IF($C98="","",IF($AM98=1,0,IF($AL98=1,Settings!$C$6,Settings!$C$7))*100)</f>
        <v/>
      </c>
      <c r="AB98" s="7" t="n"/>
      <c r="AE98" s="11" t="n"/>
      <c r="AG98" s="7">
        <f>IF($C98="","",U98*X98/100)</f>
        <v/>
      </c>
      <c r="AH98" s="7">
        <f>IF($C98="","",U98-AG98)</f>
        <v/>
      </c>
      <c r="AI98" s="7">
        <f>IF($C98="","",AH98-M98)</f>
        <v/>
      </c>
      <c r="AJ98">
        <f>IF($C98="","",IF(COUNTIF($C$2:$C98,$C98)=1,1,0))</f>
        <v/>
      </c>
      <c r="AK98">
        <f>IF($AJ98=1,SUMPRODUCT(--($AN$2:$AN$4001&lt;$AN98))+1,"")</f>
        <v/>
      </c>
      <c r="AL98">
        <f>IF($C98="","",IF(OR($Q98=TRUE(),$Q98="TRUE"),1,0))</f>
        <v/>
      </c>
      <c r="AM98">
        <f>IF($C98="","",IF($W98="Yes",1,0))</f>
        <v/>
      </c>
      <c r="AN98">
        <f>IF($AJ98=1,IFERROR(IF(VALUE($C98)&lt;100000000,VALUE($C98),1000000000),IFERROR(IF(VALUE(MID($C98,2,20))&lt;100000000,VALUE(MID($C98,2,20)),1000000000),1000000000))+ROW()/100000,"")</f>
        <v/>
      </c>
    </row>
    <row r="99">
      <c r="E99" s="11" t="n"/>
      <c r="M99" s="7">
        <f>IF($C99="","",L99*U99/100)</f>
        <v/>
      </c>
      <c r="N99" s="7" t="n"/>
      <c r="T99" s="7" t="n"/>
      <c r="U99" s="7">
        <f>IF($C99="","",S99*T99)</f>
        <v/>
      </c>
      <c r="X99">
        <f>IF($C99="","",IF($AM99=1,0,IF($AL99=1,Settings!$C$6,Settings!$C$7))*100)</f>
        <v/>
      </c>
      <c r="AB99" s="7" t="n"/>
      <c r="AE99" s="11" t="n"/>
      <c r="AG99" s="7">
        <f>IF($C99="","",U99*X99/100)</f>
        <v/>
      </c>
      <c r="AH99" s="7">
        <f>IF($C99="","",U99-AG99)</f>
        <v/>
      </c>
      <c r="AI99" s="7">
        <f>IF($C99="","",AH99-M99)</f>
        <v/>
      </c>
      <c r="AJ99">
        <f>IF($C99="","",IF(COUNTIF($C$2:$C99,$C99)=1,1,0))</f>
        <v/>
      </c>
      <c r="AK99">
        <f>IF($AJ99=1,SUMPRODUCT(--($AN$2:$AN$4001&lt;$AN99))+1,"")</f>
        <v/>
      </c>
      <c r="AL99">
        <f>IF($C99="","",IF(OR($Q99=TRUE(),$Q99="TRUE"),1,0))</f>
        <v/>
      </c>
      <c r="AM99">
        <f>IF($C99="","",IF($W99="Yes",1,0))</f>
        <v/>
      </c>
      <c r="AN99">
        <f>IF($AJ99=1,IFERROR(IF(VALUE($C99)&lt;100000000,VALUE($C99),1000000000),IFERROR(IF(VALUE(MID($C99,2,20))&lt;100000000,VALUE(MID($C99,2,20)),1000000000),1000000000))+ROW()/100000,"")</f>
        <v/>
      </c>
    </row>
    <row r="100">
      <c r="E100" s="11" t="n"/>
      <c r="M100" s="7">
        <f>IF($C100="","",L100*U100/100)</f>
        <v/>
      </c>
      <c r="N100" s="7" t="n"/>
      <c r="T100" s="7" t="n"/>
      <c r="U100" s="7">
        <f>IF($C100="","",S100*T100)</f>
        <v/>
      </c>
      <c r="X100">
        <f>IF($C100="","",IF($AM100=1,0,IF($AL100=1,Settings!$C$6,Settings!$C$7))*100)</f>
        <v/>
      </c>
      <c r="AB100" s="7" t="n"/>
      <c r="AE100" s="11" t="n"/>
      <c r="AG100" s="7">
        <f>IF($C100="","",U100*X100/100)</f>
        <v/>
      </c>
      <c r="AH100" s="7">
        <f>IF($C100="","",U100-AG100)</f>
        <v/>
      </c>
      <c r="AI100" s="7">
        <f>IF($C100="","",AH100-M100)</f>
        <v/>
      </c>
      <c r="AJ100">
        <f>IF($C100="","",IF(COUNTIF($C$2:$C100,$C100)=1,1,0))</f>
        <v/>
      </c>
      <c r="AK100">
        <f>IF($AJ100=1,SUMPRODUCT(--($AN$2:$AN$4001&lt;$AN100))+1,"")</f>
        <v/>
      </c>
      <c r="AL100">
        <f>IF($C100="","",IF(OR($Q100=TRUE(),$Q100="TRUE"),1,0))</f>
        <v/>
      </c>
      <c r="AM100">
        <f>IF($C100="","",IF($W100="Yes",1,0))</f>
        <v/>
      </c>
      <c r="AN100">
        <f>IF($AJ100=1,IFERROR(IF(VALUE($C100)&lt;100000000,VALUE($C100),1000000000),IFERROR(IF(VALUE(MID($C100,2,20))&lt;100000000,VALUE(MID($C100,2,20)),1000000000),1000000000))+ROW()/100000,"")</f>
        <v/>
      </c>
    </row>
    <row r="101">
      <c r="E101" s="11" t="n"/>
      <c r="M101" s="7">
        <f>IF($C101="","",L101*U101/100)</f>
        <v/>
      </c>
      <c r="N101" s="7" t="n"/>
      <c r="T101" s="7" t="n"/>
      <c r="U101" s="7">
        <f>IF($C101="","",S101*T101)</f>
        <v/>
      </c>
      <c r="X101">
        <f>IF($C101="","",IF($AM101=1,0,IF($AL101=1,Settings!$C$6,Settings!$C$7))*100)</f>
        <v/>
      </c>
      <c r="AB101" s="7" t="n"/>
      <c r="AE101" s="11" t="n"/>
      <c r="AG101" s="7">
        <f>IF($C101="","",U101*X101/100)</f>
        <v/>
      </c>
      <c r="AH101" s="7">
        <f>IF($C101="","",U101-AG101)</f>
        <v/>
      </c>
      <c r="AI101" s="7">
        <f>IF($C101="","",AH101-M101)</f>
        <v/>
      </c>
      <c r="AJ101">
        <f>IF($C101="","",IF(COUNTIF($C$2:$C101,$C101)=1,1,0))</f>
        <v/>
      </c>
      <c r="AK101">
        <f>IF($AJ101=1,SUMPRODUCT(--($AN$2:$AN$4001&lt;$AN101))+1,"")</f>
        <v/>
      </c>
      <c r="AL101">
        <f>IF($C101="","",IF(OR($Q101=TRUE(),$Q101="TRUE"),1,0))</f>
        <v/>
      </c>
      <c r="AM101">
        <f>IF($C101="","",IF($W101="Yes",1,0))</f>
        <v/>
      </c>
      <c r="AN101">
        <f>IF($AJ101=1,IFERROR(IF(VALUE($C101)&lt;100000000,VALUE($C101),1000000000),IFERROR(IF(VALUE(MID($C101,2,20))&lt;100000000,VALUE(MID($C101,2,20)),1000000000),1000000000))+ROW()/100000,"")</f>
        <v/>
      </c>
    </row>
    <row r="102">
      <c r="E102" s="11" t="n"/>
      <c r="M102" s="7">
        <f>IF($C102="","",L102*U102/100)</f>
        <v/>
      </c>
      <c r="N102" s="7" t="n"/>
      <c r="T102" s="7" t="n"/>
      <c r="U102" s="7">
        <f>IF($C102="","",S102*T102)</f>
        <v/>
      </c>
      <c r="X102">
        <f>IF($C102="","",IF($AM102=1,0,IF($AL102=1,Settings!$C$6,Settings!$C$7))*100)</f>
        <v/>
      </c>
      <c r="AB102" s="7" t="n"/>
      <c r="AE102" s="11" t="n"/>
      <c r="AG102" s="7">
        <f>IF($C102="","",U102*X102/100)</f>
        <v/>
      </c>
      <c r="AH102" s="7">
        <f>IF($C102="","",U102-AG102)</f>
        <v/>
      </c>
      <c r="AI102" s="7">
        <f>IF($C102="","",AH102-M102)</f>
        <v/>
      </c>
      <c r="AJ102">
        <f>IF($C102="","",IF(COUNTIF($C$2:$C102,$C102)=1,1,0))</f>
        <v/>
      </c>
      <c r="AK102">
        <f>IF($AJ102=1,SUMPRODUCT(--($AN$2:$AN$4001&lt;$AN102))+1,"")</f>
        <v/>
      </c>
      <c r="AL102">
        <f>IF($C102="","",IF(OR($Q102=TRUE(),$Q102="TRUE"),1,0))</f>
        <v/>
      </c>
      <c r="AM102">
        <f>IF($C102="","",IF($W102="Yes",1,0))</f>
        <v/>
      </c>
      <c r="AN102">
        <f>IF($AJ102=1,IFERROR(IF(VALUE($C102)&lt;100000000,VALUE($C102),1000000000),IFERROR(IF(VALUE(MID($C102,2,20))&lt;100000000,VALUE(MID($C102,2,20)),1000000000),1000000000))+ROW()/100000,"")</f>
        <v/>
      </c>
    </row>
    <row r="103">
      <c r="E103" s="11" t="n"/>
      <c r="M103" s="7">
        <f>IF($C103="","",L103*U103/100)</f>
        <v/>
      </c>
      <c r="N103" s="7" t="n"/>
      <c r="T103" s="7" t="n"/>
      <c r="U103" s="7">
        <f>IF($C103="","",S103*T103)</f>
        <v/>
      </c>
      <c r="X103">
        <f>IF($C103="","",IF($AM103=1,0,IF($AL103=1,Settings!$C$6,Settings!$C$7))*100)</f>
        <v/>
      </c>
      <c r="AB103" s="7" t="n"/>
      <c r="AE103" s="11" t="n"/>
      <c r="AG103" s="7">
        <f>IF($C103="","",U103*X103/100)</f>
        <v/>
      </c>
      <c r="AH103" s="7">
        <f>IF($C103="","",U103-AG103)</f>
        <v/>
      </c>
      <c r="AI103" s="7">
        <f>IF($C103="","",AH103-M103)</f>
        <v/>
      </c>
      <c r="AJ103">
        <f>IF($C103="","",IF(COUNTIF($C$2:$C103,$C103)=1,1,0))</f>
        <v/>
      </c>
      <c r="AK103">
        <f>IF($AJ103=1,SUMPRODUCT(--($AN$2:$AN$4001&lt;$AN103))+1,"")</f>
        <v/>
      </c>
      <c r="AL103">
        <f>IF($C103="","",IF(OR($Q103=TRUE(),$Q103="TRUE"),1,0))</f>
        <v/>
      </c>
      <c r="AM103">
        <f>IF($C103="","",IF($W103="Yes",1,0))</f>
        <v/>
      </c>
      <c r="AN103">
        <f>IF($AJ103=1,IFERROR(IF(VALUE($C103)&lt;100000000,VALUE($C103),1000000000),IFERROR(IF(VALUE(MID($C103,2,20))&lt;100000000,VALUE(MID($C103,2,20)),1000000000),1000000000))+ROW()/100000,"")</f>
        <v/>
      </c>
    </row>
    <row r="104">
      <c r="E104" s="11" t="n"/>
      <c r="M104" s="7">
        <f>IF($C104="","",L104*U104/100)</f>
        <v/>
      </c>
      <c r="N104" s="7" t="n"/>
      <c r="T104" s="7" t="n"/>
      <c r="U104" s="7">
        <f>IF($C104="","",S104*T104)</f>
        <v/>
      </c>
      <c r="X104">
        <f>IF($C104="","",IF($AM104=1,0,IF($AL104=1,Settings!$C$6,Settings!$C$7))*100)</f>
        <v/>
      </c>
      <c r="AB104" s="7" t="n"/>
      <c r="AE104" s="11" t="n"/>
      <c r="AG104" s="7">
        <f>IF($C104="","",U104*X104/100)</f>
        <v/>
      </c>
      <c r="AH104" s="7">
        <f>IF($C104="","",U104-AG104)</f>
        <v/>
      </c>
      <c r="AI104" s="7">
        <f>IF($C104="","",AH104-M104)</f>
        <v/>
      </c>
      <c r="AJ104">
        <f>IF($C104="","",IF(COUNTIF($C$2:$C104,$C104)=1,1,0))</f>
        <v/>
      </c>
      <c r="AK104">
        <f>IF($AJ104=1,SUMPRODUCT(--($AN$2:$AN$4001&lt;$AN104))+1,"")</f>
        <v/>
      </c>
      <c r="AL104">
        <f>IF($C104="","",IF(OR($Q104=TRUE(),$Q104="TRUE"),1,0))</f>
        <v/>
      </c>
      <c r="AM104">
        <f>IF($C104="","",IF($W104="Yes",1,0))</f>
        <v/>
      </c>
      <c r="AN104">
        <f>IF($AJ104=1,IFERROR(IF(VALUE($C104)&lt;100000000,VALUE($C104),1000000000),IFERROR(IF(VALUE(MID($C104,2,20))&lt;100000000,VALUE(MID($C104,2,20)),1000000000),1000000000))+ROW()/100000,"")</f>
        <v/>
      </c>
    </row>
    <row r="105">
      <c r="E105" s="11" t="n"/>
      <c r="M105" s="7">
        <f>IF($C105="","",L105*U105/100)</f>
        <v/>
      </c>
      <c r="N105" s="7" t="n"/>
      <c r="T105" s="7" t="n"/>
      <c r="U105" s="7">
        <f>IF($C105="","",S105*T105)</f>
        <v/>
      </c>
      <c r="X105">
        <f>IF($C105="","",IF($AM105=1,0,IF($AL105=1,Settings!$C$6,Settings!$C$7))*100)</f>
        <v/>
      </c>
      <c r="AB105" s="7" t="n"/>
      <c r="AE105" s="11" t="n"/>
      <c r="AG105" s="7">
        <f>IF($C105="","",U105*X105/100)</f>
        <v/>
      </c>
      <c r="AH105" s="7">
        <f>IF($C105="","",U105-AG105)</f>
        <v/>
      </c>
      <c r="AI105" s="7">
        <f>IF($C105="","",AH105-M105)</f>
        <v/>
      </c>
      <c r="AJ105">
        <f>IF($C105="","",IF(COUNTIF($C$2:$C105,$C105)=1,1,0))</f>
        <v/>
      </c>
      <c r="AK105">
        <f>IF($AJ105=1,SUMPRODUCT(--($AN$2:$AN$4001&lt;$AN105))+1,"")</f>
        <v/>
      </c>
      <c r="AL105">
        <f>IF($C105="","",IF(OR($Q105=TRUE(),$Q105="TRUE"),1,0))</f>
        <v/>
      </c>
      <c r="AM105">
        <f>IF($C105="","",IF($W105="Yes",1,0))</f>
        <v/>
      </c>
      <c r="AN105">
        <f>IF($AJ105=1,IFERROR(IF(VALUE($C105)&lt;100000000,VALUE($C105),1000000000),IFERROR(IF(VALUE(MID($C105,2,20))&lt;100000000,VALUE(MID($C105,2,20)),1000000000),1000000000))+ROW()/100000,"")</f>
        <v/>
      </c>
    </row>
    <row r="106">
      <c r="E106" s="11" t="n"/>
      <c r="M106" s="7">
        <f>IF($C106="","",L106*U106/100)</f>
        <v/>
      </c>
      <c r="N106" s="7" t="n"/>
      <c r="T106" s="7" t="n"/>
      <c r="U106" s="7">
        <f>IF($C106="","",S106*T106)</f>
        <v/>
      </c>
      <c r="X106">
        <f>IF($C106="","",IF($AM106=1,0,IF($AL106=1,Settings!$C$6,Settings!$C$7))*100)</f>
        <v/>
      </c>
      <c r="AB106" s="7" t="n"/>
      <c r="AE106" s="11" t="n"/>
      <c r="AG106" s="7">
        <f>IF($C106="","",U106*X106/100)</f>
        <v/>
      </c>
      <c r="AH106" s="7">
        <f>IF($C106="","",U106-AG106)</f>
        <v/>
      </c>
      <c r="AI106" s="7">
        <f>IF($C106="","",AH106-M106)</f>
        <v/>
      </c>
      <c r="AJ106">
        <f>IF($C106="","",IF(COUNTIF($C$2:$C106,$C106)=1,1,0))</f>
        <v/>
      </c>
      <c r="AK106">
        <f>IF($AJ106=1,SUMPRODUCT(--($AN$2:$AN$4001&lt;$AN106))+1,"")</f>
        <v/>
      </c>
      <c r="AL106">
        <f>IF($C106="","",IF(OR($Q106=TRUE(),$Q106="TRUE"),1,0))</f>
        <v/>
      </c>
      <c r="AM106">
        <f>IF($C106="","",IF($W106="Yes",1,0))</f>
        <v/>
      </c>
      <c r="AN106">
        <f>IF($AJ106=1,IFERROR(IF(VALUE($C106)&lt;100000000,VALUE($C106),1000000000),IFERROR(IF(VALUE(MID($C106,2,20))&lt;100000000,VALUE(MID($C106,2,20)),1000000000),1000000000))+ROW()/100000,"")</f>
        <v/>
      </c>
    </row>
    <row r="107">
      <c r="E107" s="11" t="n"/>
      <c r="M107" s="7">
        <f>IF($C107="","",L107*U107/100)</f>
        <v/>
      </c>
      <c r="N107" s="7" t="n"/>
      <c r="T107" s="7" t="n"/>
      <c r="U107" s="7">
        <f>IF($C107="","",S107*T107)</f>
        <v/>
      </c>
      <c r="X107">
        <f>IF($C107="","",IF($AM107=1,0,IF($AL107=1,Settings!$C$6,Settings!$C$7))*100)</f>
        <v/>
      </c>
      <c r="AB107" s="7" t="n"/>
      <c r="AE107" s="11" t="n"/>
      <c r="AG107" s="7">
        <f>IF($C107="","",U107*X107/100)</f>
        <v/>
      </c>
      <c r="AH107" s="7">
        <f>IF($C107="","",U107-AG107)</f>
        <v/>
      </c>
      <c r="AI107" s="7">
        <f>IF($C107="","",AH107-M107)</f>
        <v/>
      </c>
      <c r="AJ107">
        <f>IF($C107="","",IF(COUNTIF($C$2:$C107,$C107)=1,1,0))</f>
        <v/>
      </c>
      <c r="AK107">
        <f>IF($AJ107=1,SUMPRODUCT(--($AN$2:$AN$4001&lt;$AN107))+1,"")</f>
        <v/>
      </c>
      <c r="AL107">
        <f>IF($C107="","",IF(OR($Q107=TRUE(),$Q107="TRUE"),1,0))</f>
        <v/>
      </c>
      <c r="AM107">
        <f>IF($C107="","",IF($W107="Yes",1,0))</f>
        <v/>
      </c>
      <c r="AN107">
        <f>IF($AJ107=1,IFERROR(IF(VALUE($C107)&lt;100000000,VALUE($C107),1000000000),IFERROR(IF(VALUE(MID($C107,2,20))&lt;100000000,VALUE(MID($C107,2,20)),1000000000),1000000000))+ROW()/100000,"")</f>
        <v/>
      </c>
    </row>
    <row r="108">
      <c r="E108" s="11" t="n"/>
      <c r="M108" s="7">
        <f>IF($C108="","",L108*U108/100)</f>
        <v/>
      </c>
      <c r="N108" s="7" t="n"/>
      <c r="T108" s="7" t="n"/>
      <c r="U108" s="7">
        <f>IF($C108="","",S108*T108)</f>
        <v/>
      </c>
      <c r="X108">
        <f>IF($C108="","",IF($AM108=1,0,IF($AL108=1,Settings!$C$6,Settings!$C$7))*100)</f>
        <v/>
      </c>
      <c r="AB108" s="7" t="n"/>
      <c r="AE108" s="11" t="n"/>
      <c r="AG108" s="7">
        <f>IF($C108="","",U108*X108/100)</f>
        <v/>
      </c>
      <c r="AH108" s="7">
        <f>IF($C108="","",U108-AG108)</f>
        <v/>
      </c>
      <c r="AI108" s="7">
        <f>IF($C108="","",AH108-M108)</f>
        <v/>
      </c>
      <c r="AJ108">
        <f>IF($C108="","",IF(COUNTIF($C$2:$C108,$C108)=1,1,0))</f>
        <v/>
      </c>
      <c r="AK108">
        <f>IF($AJ108=1,SUMPRODUCT(--($AN$2:$AN$4001&lt;$AN108))+1,"")</f>
        <v/>
      </c>
      <c r="AL108">
        <f>IF($C108="","",IF(OR($Q108=TRUE(),$Q108="TRUE"),1,0))</f>
        <v/>
      </c>
      <c r="AM108">
        <f>IF($C108="","",IF($W108="Yes",1,0))</f>
        <v/>
      </c>
      <c r="AN108">
        <f>IF($AJ108=1,IFERROR(IF(VALUE($C108)&lt;100000000,VALUE($C108),1000000000),IFERROR(IF(VALUE(MID($C108,2,20))&lt;100000000,VALUE(MID($C108,2,20)),1000000000),1000000000))+ROW()/100000,"")</f>
        <v/>
      </c>
    </row>
    <row r="109">
      <c r="E109" s="11" t="n"/>
      <c r="M109" s="7">
        <f>IF($C109="","",L109*U109/100)</f>
        <v/>
      </c>
      <c r="N109" s="7" t="n"/>
      <c r="T109" s="7" t="n"/>
      <c r="U109" s="7">
        <f>IF($C109="","",S109*T109)</f>
        <v/>
      </c>
      <c r="X109">
        <f>IF($C109="","",IF($AM109=1,0,IF($AL109=1,Settings!$C$6,Settings!$C$7))*100)</f>
        <v/>
      </c>
      <c r="AB109" s="7" t="n"/>
      <c r="AE109" s="11" t="n"/>
      <c r="AG109" s="7">
        <f>IF($C109="","",U109*X109/100)</f>
        <v/>
      </c>
      <c r="AH109" s="7">
        <f>IF($C109="","",U109-AG109)</f>
        <v/>
      </c>
      <c r="AI109" s="7">
        <f>IF($C109="","",AH109-M109)</f>
        <v/>
      </c>
      <c r="AJ109">
        <f>IF($C109="","",IF(COUNTIF($C$2:$C109,$C109)=1,1,0))</f>
        <v/>
      </c>
      <c r="AK109">
        <f>IF($AJ109=1,SUMPRODUCT(--($AN$2:$AN$4001&lt;$AN109))+1,"")</f>
        <v/>
      </c>
      <c r="AL109">
        <f>IF($C109="","",IF(OR($Q109=TRUE(),$Q109="TRUE"),1,0))</f>
        <v/>
      </c>
      <c r="AM109">
        <f>IF($C109="","",IF($W109="Yes",1,0))</f>
        <v/>
      </c>
      <c r="AN109">
        <f>IF($AJ109=1,IFERROR(IF(VALUE($C109)&lt;100000000,VALUE($C109),1000000000),IFERROR(IF(VALUE(MID($C109,2,20))&lt;100000000,VALUE(MID($C109,2,20)),1000000000),1000000000))+ROW()/100000,"")</f>
        <v/>
      </c>
    </row>
    <row r="110">
      <c r="E110" s="11" t="n"/>
      <c r="M110" s="7">
        <f>IF($C110="","",L110*U110/100)</f>
        <v/>
      </c>
      <c r="N110" s="7" t="n"/>
      <c r="T110" s="7" t="n"/>
      <c r="U110" s="7">
        <f>IF($C110="","",S110*T110)</f>
        <v/>
      </c>
      <c r="X110">
        <f>IF($C110="","",IF($AM110=1,0,IF($AL110=1,Settings!$C$6,Settings!$C$7))*100)</f>
        <v/>
      </c>
      <c r="AB110" s="7" t="n"/>
      <c r="AE110" s="11" t="n"/>
      <c r="AG110" s="7">
        <f>IF($C110="","",U110*X110/100)</f>
        <v/>
      </c>
      <c r="AH110" s="7">
        <f>IF($C110="","",U110-AG110)</f>
        <v/>
      </c>
      <c r="AI110" s="7">
        <f>IF($C110="","",AH110-M110)</f>
        <v/>
      </c>
      <c r="AJ110">
        <f>IF($C110="","",IF(COUNTIF($C$2:$C110,$C110)=1,1,0))</f>
        <v/>
      </c>
      <c r="AK110">
        <f>IF($AJ110=1,SUMPRODUCT(--($AN$2:$AN$4001&lt;$AN110))+1,"")</f>
        <v/>
      </c>
      <c r="AL110">
        <f>IF($C110="","",IF(OR($Q110=TRUE(),$Q110="TRUE"),1,0))</f>
        <v/>
      </c>
      <c r="AM110">
        <f>IF($C110="","",IF($W110="Yes",1,0))</f>
        <v/>
      </c>
      <c r="AN110">
        <f>IF($AJ110=1,IFERROR(IF(VALUE($C110)&lt;100000000,VALUE($C110),1000000000),IFERROR(IF(VALUE(MID($C110,2,20))&lt;100000000,VALUE(MID($C110,2,20)),1000000000),1000000000))+ROW()/100000,"")</f>
        <v/>
      </c>
    </row>
    <row r="111">
      <c r="E111" s="11" t="n"/>
      <c r="M111" s="7">
        <f>IF($C111="","",L111*U111/100)</f>
        <v/>
      </c>
      <c r="N111" s="7" t="n"/>
      <c r="T111" s="7" t="n"/>
      <c r="U111" s="7">
        <f>IF($C111="","",S111*T111)</f>
        <v/>
      </c>
      <c r="X111">
        <f>IF($C111="","",IF($AM111=1,0,IF($AL111=1,Settings!$C$6,Settings!$C$7))*100)</f>
        <v/>
      </c>
      <c r="AB111" s="7" t="n"/>
      <c r="AE111" s="11" t="n"/>
      <c r="AG111" s="7">
        <f>IF($C111="","",U111*X111/100)</f>
        <v/>
      </c>
      <c r="AH111" s="7">
        <f>IF($C111="","",U111-AG111)</f>
        <v/>
      </c>
      <c r="AI111" s="7">
        <f>IF($C111="","",AH111-M111)</f>
        <v/>
      </c>
      <c r="AJ111">
        <f>IF($C111="","",IF(COUNTIF($C$2:$C111,$C111)=1,1,0))</f>
        <v/>
      </c>
      <c r="AK111">
        <f>IF($AJ111=1,SUMPRODUCT(--($AN$2:$AN$4001&lt;$AN111))+1,"")</f>
        <v/>
      </c>
      <c r="AL111">
        <f>IF($C111="","",IF(OR($Q111=TRUE(),$Q111="TRUE"),1,0))</f>
        <v/>
      </c>
      <c r="AM111">
        <f>IF($C111="","",IF($W111="Yes",1,0))</f>
        <v/>
      </c>
      <c r="AN111">
        <f>IF($AJ111=1,IFERROR(IF(VALUE($C111)&lt;100000000,VALUE($C111),1000000000),IFERROR(IF(VALUE(MID($C111,2,20))&lt;100000000,VALUE(MID($C111,2,20)),1000000000),1000000000))+ROW()/100000,"")</f>
        <v/>
      </c>
    </row>
    <row r="112">
      <c r="E112" s="11" t="n"/>
      <c r="M112" s="7">
        <f>IF($C112="","",L112*U112/100)</f>
        <v/>
      </c>
      <c r="N112" s="7" t="n"/>
      <c r="T112" s="7" t="n"/>
      <c r="U112" s="7">
        <f>IF($C112="","",S112*T112)</f>
        <v/>
      </c>
      <c r="X112">
        <f>IF($C112="","",IF($AM112=1,0,IF($AL112=1,Settings!$C$6,Settings!$C$7))*100)</f>
        <v/>
      </c>
      <c r="AB112" s="7" t="n"/>
      <c r="AE112" s="11" t="n"/>
      <c r="AG112" s="7">
        <f>IF($C112="","",U112*X112/100)</f>
        <v/>
      </c>
      <c r="AH112" s="7">
        <f>IF($C112="","",U112-AG112)</f>
        <v/>
      </c>
      <c r="AI112" s="7">
        <f>IF($C112="","",AH112-M112)</f>
        <v/>
      </c>
      <c r="AJ112">
        <f>IF($C112="","",IF(COUNTIF($C$2:$C112,$C112)=1,1,0))</f>
        <v/>
      </c>
      <c r="AK112">
        <f>IF($AJ112=1,SUMPRODUCT(--($AN$2:$AN$4001&lt;$AN112))+1,"")</f>
        <v/>
      </c>
      <c r="AL112">
        <f>IF($C112="","",IF(OR($Q112=TRUE(),$Q112="TRUE"),1,0))</f>
        <v/>
      </c>
      <c r="AM112">
        <f>IF($C112="","",IF($W112="Yes",1,0))</f>
        <v/>
      </c>
      <c r="AN112">
        <f>IF($AJ112=1,IFERROR(IF(VALUE($C112)&lt;100000000,VALUE($C112),1000000000),IFERROR(IF(VALUE(MID($C112,2,20))&lt;100000000,VALUE(MID($C112,2,20)),1000000000),1000000000))+ROW()/100000,"")</f>
        <v/>
      </c>
    </row>
    <row r="113">
      <c r="E113" s="11" t="n"/>
      <c r="M113" s="7">
        <f>IF($C113="","",L113*U113/100)</f>
        <v/>
      </c>
      <c r="N113" s="7" t="n"/>
      <c r="T113" s="7" t="n"/>
      <c r="U113" s="7">
        <f>IF($C113="","",S113*T113)</f>
        <v/>
      </c>
      <c r="X113">
        <f>IF($C113="","",IF($AM113=1,0,IF($AL113=1,Settings!$C$6,Settings!$C$7))*100)</f>
        <v/>
      </c>
      <c r="AB113" s="7" t="n"/>
      <c r="AE113" s="11" t="n"/>
      <c r="AG113" s="7">
        <f>IF($C113="","",U113*X113/100)</f>
        <v/>
      </c>
      <c r="AH113" s="7">
        <f>IF($C113="","",U113-AG113)</f>
        <v/>
      </c>
      <c r="AI113" s="7">
        <f>IF($C113="","",AH113-M113)</f>
        <v/>
      </c>
      <c r="AJ113">
        <f>IF($C113="","",IF(COUNTIF($C$2:$C113,$C113)=1,1,0))</f>
        <v/>
      </c>
      <c r="AK113">
        <f>IF($AJ113=1,SUMPRODUCT(--($AN$2:$AN$4001&lt;$AN113))+1,"")</f>
        <v/>
      </c>
      <c r="AL113">
        <f>IF($C113="","",IF(OR($Q113=TRUE(),$Q113="TRUE"),1,0))</f>
        <v/>
      </c>
      <c r="AM113">
        <f>IF($C113="","",IF($W113="Yes",1,0))</f>
        <v/>
      </c>
      <c r="AN113">
        <f>IF($AJ113=1,IFERROR(IF(VALUE($C113)&lt;100000000,VALUE($C113),1000000000),IFERROR(IF(VALUE(MID($C113,2,20))&lt;100000000,VALUE(MID($C113,2,20)),1000000000),1000000000))+ROW()/100000,"")</f>
        <v/>
      </c>
    </row>
    <row r="114">
      <c r="E114" s="11" t="n"/>
      <c r="M114" s="7">
        <f>IF($C114="","",L114*U114/100)</f>
        <v/>
      </c>
      <c r="N114" s="7" t="n"/>
      <c r="T114" s="7" t="n"/>
      <c r="U114" s="7">
        <f>IF($C114="","",S114*T114)</f>
        <v/>
      </c>
      <c r="X114">
        <f>IF($C114="","",IF($AM114=1,0,IF($AL114=1,Settings!$C$6,Settings!$C$7))*100)</f>
        <v/>
      </c>
      <c r="AB114" s="7" t="n"/>
      <c r="AE114" s="11" t="n"/>
      <c r="AG114" s="7">
        <f>IF($C114="","",U114*X114/100)</f>
        <v/>
      </c>
      <c r="AH114" s="7">
        <f>IF($C114="","",U114-AG114)</f>
        <v/>
      </c>
      <c r="AI114" s="7">
        <f>IF($C114="","",AH114-M114)</f>
        <v/>
      </c>
      <c r="AJ114">
        <f>IF($C114="","",IF(COUNTIF($C$2:$C114,$C114)=1,1,0))</f>
        <v/>
      </c>
      <c r="AK114">
        <f>IF($AJ114=1,SUMPRODUCT(--($AN$2:$AN$4001&lt;$AN114))+1,"")</f>
        <v/>
      </c>
      <c r="AL114">
        <f>IF($C114="","",IF(OR($Q114=TRUE(),$Q114="TRUE"),1,0))</f>
        <v/>
      </c>
      <c r="AM114">
        <f>IF($C114="","",IF($W114="Yes",1,0))</f>
        <v/>
      </c>
      <c r="AN114">
        <f>IF($AJ114=1,IFERROR(IF(VALUE($C114)&lt;100000000,VALUE($C114),1000000000),IFERROR(IF(VALUE(MID($C114,2,20))&lt;100000000,VALUE(MID($C114,2,20)),1000000000),1000000000))+ROW()/100000,"")</f>
        <v/>
      </c>
    </row>
    <row r="115">
      <c r="E115" s="11" t="n"/>
      <c r="M115" s="7">
        <f>IF($C115="","",L115*U115/100)</f>
        <v/>
      </c>
      <c r="N115" s="7" t="n"/>
      <c r="T115" s="7" t="n"/>
      <c r="U115" s="7">
        <f>IF($C115="","",S115*T115)</f>
        <v/>
      </c>
      <c r="X115">
        <f>IF($C115="","",IF($AM115=1,0,IF($AL115=1,Settings!$C$6,Settings!$C$7))*100)</f>
        <v/>
      </c>
      <c r="AB115" s="7" t="n"/>
      <c r="AE115" s="11" t="n"/>
      <c r="AG115" s="7">
        <f>IF($C115="","",U115*X115/100)</f>
        <v/>
      </c>
      <c r="AH115" s="7">
        <f>IF($C115="","",U115-AG115)</f>
        <v/>
      </c>
      <c r="AI115" s="7">
        <f>IF($C115="","",AH115-M115)</f>
        <v/>
      </c>
      <c r="AJ115">
        <f>IF($C115="","",IF(COUNTIF($C$2:$C115,$C115)=1,1,0))</f>
        <v/>
      </c>
      <c r="AK115">
        <f>IF($AJ115=1,SUMPRODUCT(--($AN$2:$AN$4001&lt;$AN115))+1,"")</f>
        <v/>
      </c>
      <c r="AL115">
        <f>IF($C115="","",IF(OR($Q115=TRUE(),$Q115="TRUE"),1,0))</f>
        <v/>
      </c>
      <c r="AM115">
        <f>IF($C115="","",IF($W115="Yes",1,0))</f>
        <v/>
      </c>
      <c r="AN115">
        <f>IF($AJ115=1,IFERROR(IF(VALUE($C115)&lt;100000000,VALUE($C115),1000000000),IFERROR(IF(VALUE(MID($C115,2,20))&lt;100000000,VALUE(MID($C115,2,20)),1000000000),1000000000))+ROW()/100000,"")</f>
        <v/>
      </c>
    </row>
    <row r="116">
      <c r="E116" s="11" t="n"/>
      <c r="M116" s="7">
        <f>IF($C116="","",L116*U116/100)</f>
        <v/>
      </c>
      <c r="N116" s="7" t="n"/>
      <c r="T116" s="7" t="n"/>
      <c r="U116" s="7">
        <f>IF($C116="","",S116*T116)</f>
        <v/>
      </c>
      <c r="X116">
        <f>IF($C116="","",IF($AM116=1,0,IF($AL116=1,Settings!$C$6,Settings!$C$7))*100)</f>
        <v/>
      </c>
      <c r="AB116" s="7" t="n"/>
      <c r="AE116" s="11" t="n"/>
      <c r="AG116" s="7">
        <f>IF($C116="","",U116*X116/100)</f>
        <v/>
      </c>
      <c r="AH116" s="7">
        <f>IF($C116="","",U116-AG116)</f>
        <v/>
      </c>
      <c r="AI116" s="7">
        <f>IF($C116="","",AH116-M116)</f>
        <v/>
      </c>
      <c r="AJ116">
        <f>IF($C116="","",IF(COUNTIF($C$2:$C116,$C116)=1,1,0))</f>
        <v/>
      </c>
      <c r="AK116">
        <f>IF($AJ116=1,SUMPRODUCT(--($AN$2:$AN$4001&lt;$AN116))+1,"")</f>
        <v/>
      </c>
      <c r="AL116">
        <f>IF($C116="","",IF(OR($Q116=TRUE(),$Q116="TRUE"),1,0))</f>
        <v/>
      </c>
      <c r="AM116">
        <f>IF($C116="","",IF($W116="Yes",1,0))</f>
        <v/>
      </c>
      <c r="AN116">
        <f>IF($AJ116=1,IFERROR(IF(VALUE($C116)&lt;100000000,VALUE($C116),1000000000),IFERROR(IF(VALUE(MID($C116,2,20))&lt;100000000,VALUE(MID($C116,2,20)),1000000000),1000000000))+ROW()/100000,"")</f>
        <v/>
      </c>
    </row>
    <row r="117">
      <c r="E117" s="11" t="n"/>
      <c r="M117" s="7">
        <f>IF($C117="","",L117*U117/100)</f>
        <v/>
      </c>
      <c r="N117" s="7" t="n"/>
      <c r="T117" s="7" t="n"/>
      <c r="U117" s="7">
        <f>IF($C117="","",S117*T117)</f>
        <v/>
      </c>
      <c r="X117">
        <f>IF($C117="","",IF($AM117=1,0,IF($AL117=1,Settings!$C$6,Settings!$C$7))*100)</f>
        <v/>
      </c>
      <c r="AB117" s="7" t="n"/>
      <c r="AE117" s="11" t="n"/>
      <c r="AG117" s="7">
        <f>IF($C117="","",U117*X117/100)</f>
        <v/>
      </c>
      <c r="AH117" s="7">
        <f>IF($C117="","",U117-AG117)</f>
        <v/>
      </c>
      <c r="AI117" s="7">
        <f>IF($C117="","",AH117-M117)</f>
        <v/>
      </c>
      <c r="AJ117">
        <f>IF($C117="","",IF(COUNTIF($C$2:$C117,$C117)=1,1,0))</f>
        <v/>
      </c>
      <c r="AK117">
        <f>IF($AJ117=1,SUMPRODUCT(--($AN$2:$AN$4001&lt;$AN117))+1,"")</f>
        <v/>
      </c>
      <c r="AL117">
        <f>IF($C117="","",IF(OR($Q117=TRUE(),$Q117="TRUE"),1,0))</f>
        <v/>
      </c>
      <c r="AM117">
        <f>IF($C117="","",IF($W117="Yes",1,0))</f>
        <v/>
      </c>
      <c r="AN117">
        <f>IF($AJ117=1,IFERROR(IF(VALUE($C117)&lt;100000000,VALUE($C117),1000000000),IFERROR(IF(VALUE(MID($C117,2,20))&lt;100000000,VALUE(MID($C117,2,20)),1000000000),1000000000))+ROW()/100000,"")</f>
        <v/>
      </c>
    </row>
    <row r="118">
      <c r="E118" s="11" t="n"/>
      <c r="M118" s="7">
        <f>IF($C118="","",L118*U118/100)</f>
        <v/>
      </c>
      <c r="N118" s="7" t="n"/>
      <c r="T118" s="7" t="n"/>
      <c r="U118" s="7">
        <f>IF($C118="","",S118*T118)</f>
        <v/>
      </c>
      <c r="X118">
        <f>IF($C118="","",IF($AM118=1,0,IF($AL118=1,Settings!$C$6,Settings!$C$7))*100)</f>
        <v/>
      </c>
      <c r="AB118" s="7" t="n"/>
      <c r="AE118" s="11" t="n"/>
      <c r="AG118" s="7">
        <f>IF($C118="","",U118*X118/100)</f>
        <v/>
      </c>
      <c r="AH118" s="7">
        <f>IF($C118="","",U118-AG118)</f>
        <v/>
      </c>
      <c r="AI118" s="7">
        <f>IF($C118="","",AH118-M118)</f>
        <v/>
      </c>
      <c r="AJ118">
        <f>IF($C118="","",IF(COUNTIF($C$2:$C118,$C118)=1,1,0))</f>
        <v/>
      </c>
      <c r="AK118">
        <f>IF($AJ118=1,SUMPRODUCT(--($AN$2:$AN$4001&lt;$AN118))+1,"")</f>
        <v/>
      </c>
      <c r="AL118">
        <f>IF($C118="","",IF(OR($Q118=TRUE(),$Q118="TRUE"),1,0))</f>
        <v/>
      </c>
      <c r="AM118">
        <f>IF($C118="","",IF($W118="Yes",1,0))</f>
        <v/>
      </c>
      <c r="AN118">
        <f>IF($AJ118=1,IFERROR(IF(VALUE($C118)&lt;100000000,VALUE($C118),1000000000),IFERROR(IF(VALUE(MID($C118,2,20))&lt;100000000,VALUE(MID($C118,2,20)),1000000000),1000000000))+ROW()/100000,"")</f>
        <v/>
      </c>
    </row>
    <row r="119">
      <c r="E119" s="11" t="n"/>
      <c r="M119" s="7">
        <f>IF($C119="","",L119*U119/100)</f>
        <v/>
      </c>
      <c r="N119" s="7" t="n"/>
      <c r="T119" s="7" t="n"/>
      <c r="U119" s="7">
        <f>IF($C119="","",S119*T119)</f>
        <v/>
      </c>
      <c r="X119">
        <f>IF($C119="","",IF($AM119=1,0,IF($AL119=1,Settings!$C$6,Settings!$C$7))*100)</f>
        <v/>
      </c>
      <c r="AB119" s="7" t="n"/>
      <c r="AE119" s="11" t="n"/>
      <c r="AG119" s="7">
        <f>IF($C119="","",U119*X119/100)</f>
        <v/>
      </c>
      <c r="AH119" s="7">
        <f>IF($C119="","",U119-AG119)</f>
        <v/>
      </c>
      <c r="AI119" s="7">
        <f>IF($C119="","",AH119-M119)</f>
        <v/>
      </c>
      <c r="AJ119">
        <f>IF($C119="","",IF(COUNTIF($C$2:$C119,$C119)=1,1,0))</f>
        <v/>
      </c>
      <c r="AK119">
        <f>IF($AJ119=1,SUMPRODUCT(--($AN$2:$AN$4001&lt;$AN119))+1,"")</f>
        <v/>
      </c>
      <c r="AL119">
        <f>IF($C119="","",IF(OR($Q119=TRUE(),$Q119="TRUE"),1,0))</f>
        <v/>
      </c>
      <c r="AM119">
        <f>IF($C119="","",IF($W119="Yes",1,0))</f>
        <v/>
      </c>
      <c r="AN119">
        <f>IF($AJ119=1,IFERROR(IF(VALUE($C119)&lt;100000000,VALUE($C119),1000000000),IFERROR(IF(VALUE(MID($C119,2,20))&lt;100000000,VALUE(MID($C119,2,20)),1000000000),1000000000))+ROW()/100000,"")</f>
        <v/>
      </c>
    </row>
    <row r="120">
      <c r="E120" s="11" t="n"/>
      <c r="M120" s="7">
        <f>IF($C120="","",L120*U120/100)</f>
        <v/>
      </c>
      <c r="N120" s="7" t="n"/>
      <c r="T120" s="7" t="n"/>
      <c r="U120" s="7">
        <f>IF($C120="","",S120*T120)</f>
        <v/>
      </c>
      <c r="X120">
        <f>IF($C120="","",IF($AM120=1,0,IF($AL120=1,Settings!$C$6,Settings!$C$7))*100)</f>
        <v/>
      </c>
      <c r="AB120" s="7" t="n"/>
      <c r="AE120" s="11" t="n"/>
      <c r="AG120" s="7">
        <f>IF($C120="","",U120*X120/100)</f>
        <v/>
      </c>
      <c r="AH120" s="7">
        <f>IF($C120="","",U120-AG120)</f>
        <v/>
      </c>
      <c r="AI120" s="7">
        <f>IF($C120="","",AH120-M120)</f>
        <v/>
      </c>
      <c r="AJ120">
        <f>IF($C120="","",IF(COUNTIF($C$2:$C120,$C120)=1,1,0))</f>
        <v/>
      </c>
      <c r="AK120">
        <f>IF($AJ120=1,SUMPRODUCT(--($AN$2:$AN$4001&lt;$AN120))+1,"")</f>
        <v/>
      </c>
      <c r="AL120">
        <f>IF($C120="","",IF(OR($Q120=TRUE(),$Q120="TRUE"),1,0))</f>
        <v/>
      </c>
      <c r="AM120">
        <f>IF($C120="","",IF($W120="Yes",1,0))</f>
        <v/>
      </c>
      <c r="AN120">
        <f>IF($AJ120=1,IFERROR(IF(VALUE($C120)&lt;100000000,VALUE($C120),1000000000),IFERROR(IF(VALUE(MID($C120,2,20))&lt;100000000,VALUE(MID($C120,2,20)),1000000000),1000000000))+ROW()/100000,"")</f>
        <v/>
      </c>
    </row>
    <row r="121">
      <c r="E121" s="11" t="n"/>
      <c r="M121" s="7">
        <f>IF($C121="","",L121*U121/100)</f>
        <v/>
      </c>
      <c r="N121" s="7" t="n"/>
      <c r="T121" s="7" t="n"/>
      <c r="U121" s="7">
        <f>IF($C121="","",S121*T121)</f>
        <v/>
      </c>
      <c r="X121">
        <f>IF($C121="","",IF($AM121=1,0,IF($AL121=1,Settings!$C$6,Settings!$C$7))*100)</f>
        <v/>
      </c>
      <c r="AB121" s="7" t="n"/>
      <c r="AE121" s="11" t="n"/>
      <c r="AG121" s="7">
        <f>IF($C121="","",U121*X121/100)</f>
        <v/>
      </c>
      <c r="AH121" s="7">
        <f>IF($C121="","",U121-AG121)</f>
        <v/>
      </c>
      <c r="AI121" s="7">
        <f>IF($C121="","",AH121-M121)</f>
        <v/>
      </c>
      <c r="AJ121">
        <f>IF($C121="","",IF(COUNTIF($C$2:$C121,$C121)=1,1,0))</f>
        <v/>
      </c>
      <c r="AK121">
        <f>IF($AJ121=1,SUMPRODUCT(--($AN$2:$AN$4001&lt;$AN121))+1,"")</f>
        <v/>
      </c>
      <c r="AL121">
        <f>IF($C121="","",IF(OR($Q121=TRUE(),$Q121="TRUE"),1,0))</f>
        <v/>
      </c>
      <c r="AM121">
        <f>IF($C121="","",IF($W121="Yes",1,0))</f>
        <v/>
      </c>
      <c r="AN121">
        <f>IF($AJ121=1,IFERROR(IF(VALUE($C121)&lt;100000000,VALUE($C121),1000000000),IFERROR(IF(VALUE(MID($C121,2,20))&lt;100000000,VALUE(MID($C121,2,20)),1000000000),1000000000))+ROW()/100000,"")</f>
        <v/>
      </c>
    </row>
    <row r="122">
      <c r="E122" s="11" t="n"/>
      <c r="M122" s="7">
        <f>IF($C122="","",L122*U122/100)</f>
        <v/>
      </c>
      <c r="N122" s="7" t="n"/>
      <c r="T122" s="7" t="n"/>
      <c r="U122" s="7">
        <f>IF($C122="","",S122*T122)</f>
        <v/>
      </c>
      <c r="X122">
        <f>IF($C122="","",IF($AM122=1,0,IF($AL122=1,Settings!$C$6,Settings!$C$7))*100)</f>
        <v/>
      </c>
      <c r="AB122" s="7" t="n"/>
      <c r="AE122" s="11" t="n"/>
      <c r="AG122" s="7">
        <f>IF($C122="","",U122*X122/100)</f>
        <v/>
      </c>
      <c r="AH122" s="7">
        <f>IF($C122="","",U122-AG122)</f>
        <v/>
      </c>
      <c r="AI122" s="7">
        <f>IF($C122="","",AH122-M122)</f>
        <v/>
      </c>
      <c r="AJ122">
        <f>IF($C122="","",IF(COUNTIF($C$2:$C122,$C122)=1,1,0))</f>
        <v/>
      </c>
      <c r="AK122">
        <f>IF($AJ122=1,SUMPRODUCT(--($AN$2:$AN$4001&lt;$AN122))+1,"")</f>
        <v/>
      </c>
      <c r="AL122">
        <f>IF($C122="","",IF(OR($Q122=TRUE(),$Q122="TRUE"),1,0))</f>
        <v/>
      </c>
      <c r="AM122">
        <f>IF($C122="","",IF($W122="Yes",1,0))</f>
        <v/>
      </c>
      <c r="AN122">
        <f>IF($AJ122=1,IFERROR(IF(VALUE($C122)&lt;100000000,VALUE($C122),1000000000),IFERROR(IF(VALUE(MID($C122,2,20))&lt;100000000,VALUE(MID($C122,2,20)),1000000000),1000000000))+ROW()/100000,"")</f>
        <v/>
      </c>
    </row>
    <row r="123">
      <c r="E123" s="11" t="n"/>
      <c r="M123" s="7">
        <f>IF($C123="","",L123*U123/100)</f>
        <v/>
      </c>
      <c r="N123" s="7" t="n"/>
      <c r="T123" s="7" t="n"/>
      <c r="U123" s="7">
        <f>IF($C123="","",S123*T123)</f>
        <v/>
      </c>
      <c r="X123">
        <f>IF($C123="","",IF($AM123=1,0,IF($AL123=1,Settings!$C$6,Settings!$C$7))*100)</f>
        <v/>
      </c>
      <c r="AB123" s="7" t="n"/>
      <c r="AE123" s="11" t="n"/>
      <c r="AG123" s="7">
        <f>IF($C123="","",U123*X123/100)</f>
        <v/>
      </c>
      <c r="AH123" s="7">
        <f>IF($C123="","",U123-AG123)</f>
        <v/>
      </c>
      <c r="AI123" s="7">
        <f>IF($C123="","",AH123-M123)</f>
        <v/>
      </c>
      <c r="AJ123">
        <f>IF($C123="","",IF(COUNTIF($C$2:$C123,$C123)=1,1,0))</f>
        <v/>
      </c>
      <c r="AK123">
        <f>IF($AJ123=1,SUMPRODUCT(--($AN$2:$AN$4001&lt;$AN123))+1,"")</f>
        <v/>
      </c>
      <c r="AL123">
        <f>IF($C123="","",IF(OR($Q123=TRUE(),$Q123="TRUE"),1,0))</f>
        <v/>
      </c>
      <c r="AM123">
        <f>IF($C123="","",IF($W123="Yes",1,0))</f>
        <v/>
      </c>
      <c r="AN123">
        <f>IF($AJ123=1,IFERROR(IF(VALUE($C123)&lt;100000000,VALUE($C123),1000000000),IFERROR(IF(VALUE(MID($C123,2,20))&lt;100000000,VALUE(MID($C123,2,20)),1000000000),1000000000))+ROW()/100000,"")</f>
        <v/>
      </c>
    </row>
    <row r="124">
      <c r="E124" s="11" t="n"/>
      <c r="M124" s="7">
        <f>IF($C124="","",L124*U124/100)</f>
        <v/>
      </c>
      <c r="N124" s="7" t="n"/>
      <c r="T124" s="7" t="n"/>
      <c r="U124" s="7">
        <f>IF($C124="","",S124*T124)</f>
        <v/>
      </c>
      <c r="X124">
        <f>IF($C124="","",IF($AM124=1,0,IF($AL124=1,Settings!$C$6,Settings!$C$7))*100)</f>
        <v/>
      </c>
      <c r="AB124" s="7" t="n"/>
      <c r="AE124" s="11" t="n"/>
      <c r="AG124" s="7">
        <f>IF($C124="","",U124*X124/100)</f>
        <v/>
      </c>
      <c r="AH124" s="7">
        <f>IF($C124="","",U124-AG124)</f>
        <v/>
      </c>
      <c r="AI124" s="7">
        <f>IF($C124="","",AH124-M124)</f>
        <v/>
      </c>
      <c r="AJ124">
        <f>IF($C124="","",IF(COUNTIF($C$2:$C124,$C124)=1,1,0))</f>
        <v/>
      </c>
      <c r="AK124">
        <f>IF($AJ124=1,SUMPRODUCT(--($AN$2:$AN$4001&lt;$AN124))+1,"")</f>
        <v/>
      </c>
      <c r="AL124">
        <f>IF($C124="","",IF(OR($Q124=TRUE(),$Q124="TRUE"),1,0))</f>
        <v/>
      </c>
      <c r="AM124">
        <f>IF($C124="","",IF($W124="Yes",1,0))</f>
        <v/>
      </c>
      <c r="AN124">
        <f>IF($AJ124=1,IFERROR(IF(VALUE($C124)&lt;100000000,VALUE($C124),1000000000),IFERROR(IF(VALUE(MID($C124,2,20))&lt;100000000,VALUE(MID($C124,2,20)),1000000000),1000000000))+ROW()/100000,"")</f>
        <v/>
      </c>
    </row>
    <row r="125">
      <c r="E125" s="11" t="n"/>
      <c r="M125" s="7">
        <f>IF($C125="","",L125*U125/100)</f>
        <v/>
      </c>
      <c r="N125" s="7" t="n"/>
      <c r="T125" s="7" t="n"/>
      <c r="U125" s="7">
        <f>IF($C125="","",S125*T125)</f>
        <v/>
      </c>
      <c r="X125">
        <f>IF($C125="","",IF($AM125=1,0,IF($AL125=1,Settings!$C$6,Settings!$C$7))*100)</f>
        <v/>
      </c>
      <c r="AB125" s="7" t="n"/>
      <c r="AE125" s="11" t="n"/>
      <c r="AG125" s="7">
        <f>IF($C125="","",U125*X125/100)</f>
        <v/>
      </c>
      <c r="AH125" s="7">
        <f>IF($C125="","",U125-AG125)</f>
        <v/>
      </c>
      <c r="AI125" s="7">
        <f>IF($C125="","",AH125-M125)</f>
        <v/>
      </c>
      <c r="AJ125">
        <f>IF($C125="","",IF(COUNTIF($C$2:$C125,$C125)=1,1,0))</f>
        <v/>
      </c>
      <c r="AK125">
        <f>IF($AJ125=1,SUMPRODUCT(--($AN$2:$AN$4001&lt;$AN125))+1,"")</f>
        <v/>
      </c>
      <c r="AL125">
        <f>IF($C125="","",IF(OR($Q125=TRUE(),$Q125="TRUE"),1,0))</f>
        <v/>
      </c>
      <c r="AM125">
        <f>IF($C125="","",IF($W125="Yes",1,0))</f>
        <v/>
      </c>
      <c r="AN125">
        <f>IF($AJ125=1,IFERROR(IF(VALUE($C125)&lt;100000000,VALUE($C125),1000000000),IFERROR(IF(VALUE(MID($C125,2,20))&lt;100000000,VALUE(MID($C125,2,20)),1000000000),1000000000))+ROW()/100000,"")</f>
        <v/>
      </c>
    </row>
    <row r="126">
      <c r="E126" s="11" t="n"/>
      <c r="M126" s="7">
        <f>IF($C126="","",L126*U126/100)</f>
        <v/>
      </c>
      <c r="N126" s="7" t="n"/>
      <c r="T126" s="7" t="n"/>
      <c r="U126" s="7">
        <f>IF($C126="","",S126*T126)</f>
        <v/>
      </c>
      <c r="X126">
        <f>IF($C126="","",IF($AM126=1,0,IF($AL126=1,Settings!$C$6,Settings!$C$7))*100)</f>
        <v/>
      </c>
      <c r="AB126" s="7" t="n"/>
      <c r="AE126" s="11" t="n"/>
      <c r="AG126" s="7">
        <f>IF($C126="","",U126*X126/100)</f>
        <v/>
      </c>
      <c r="AH126" s="7">
        <f>IF($C126="","",U126-AG126)</f>
        <v/>
      </c>
      <c r="AI126" s="7">
        <f>IF($C126="","",AH126-M126)</f>
        <v/>
      </c>
      <c r="AJ126">
        <f>IF($C126="","",IF(COUNTIF($C$2:$C126,$C126)=1,1,0))</f>
        <v/>
      </c>
      <c r="AK126">
        <f>IF($AJ126=1,SUMPRODUCT(--($AN$2:$AN$4001&lt;$AN126))+1,"")</f>
        <v/>
      </c>
      <c r="AL126">
        <f>IF($C126="","",IF(OR($Q126=TRUE(),$Q126="TRUE"),1,0))</f>
        <v/>
      </c>
      <c r="AM126">
        <f>IF($C126="","",IF($W126="Yes",1,0))</f>
        <v/>
      </c>
      <c r="AN126">
        <f>IF($AJ126=1,IFERROR(IF(VALUE($C126)&lt;100000000,VALUE($C126),1000000000),IFERROR(IF(VALUE(MID($C126,2,20))&lt;100000000,VALUE(MID($C126,2,20)),1000000000),1000000000))+ROW()/100000,"")</f>
        <v/>
      </c>
    </row>
    <row r="127">
      <c r="E127" s="11" t="n"/>
      <c r="M127" s="7">
        <f>IF($C127="","",L127*U127/100)</f>
        <v/>
      </c>
      <c r="N127" s="7" t="n"/>
      <c r="T127" s="7" t="n"/>
      <c r="U127" s="7">
        <f>IF($C127="","",S127*T127)</f>
        <v/>
      </c>
      <c r="X127">
        <f>IF($C127="","",IF($AM127=1,0,IF($AL127=1,Settings!$C$6,Settings!$C$7))*100)</f>
        <v/>
      </c>
      <c r="AB127" s="7" t="n"/>
      <c r="AE127" s="11" t="n"/>
      <c r="AG127" s="7">
        <f>IF($C127="","",U127*X127/100)</f>
        <v/>
      </c>
      <c r="AH127" s="7">
        <f>IF($C127="","",U127-AG127)</f>
        <v/>
      </c>
      <c r="AI127" s="7">
        <f>IF($C127="","",AH127-M127)</f>
        <v/>
      </c>
      <c r="AJ127">
        <f>IF($C127="","",IF(COUNTIF($C$2:$C127,$C127)=1,1,0))</f>
        <v/>
      </c>
      <c r="AK127">
        <f>IF($AJ127=1,SUMPRODUCT(--($AN$2:$AN$4001&lt;$AN127))+1,"")</f>
        <v/>
      </c>
      <c r="AL127">
        <f>IF($C127="","",IF(OR($Q127=TRUE(),$Q127="TRUE"),1,0))</f>
        <v/>
      </c>
      <c r="AM127">
        <f>IF($C127="","",IF($W127="Yes",1,0))</f>
        <v/>
      </c>
      <c r="AN127">
        <f>IF($AJ127=1,IFERROR(IF(VALUE($C127)&lt;100000000,VALUE($C127),1000000000),IFERROR(IF(VALUE(MID($C127,2,20))&lt;100000000,VALUE(MID($C127,2,20)),1000000000),1000000000))+ROW()/100000,"")</f>
        <v/>
      </c>
    </row>
    <row r="128">
      <c r="E128" s="11" t="n"/>
      <c r="M128" s="7">
        <f>IF($C128="","",L128*U128/100)</f>
        <v/>
      </c>
      <c r="N128" s="7" t="n"/>
      <c r="T128" s="7" t="n"/>
      <c r="U128" s="7">
        <f>IF($C128="","",S128*T128)</f>
        <v/>
      </c>
      <c r="X128">
        <f>IF($C128="","",IF($AM128=1,0,IF($AL128=1,Settings!$C$6,Settings!$C$7))*100)</f>
        <v/>
      </c>
      <c r="AB128" s="7" t="n"/>
      <c r="AE128" s="11" t="n"/>
      <c r="AG128" s="7">
        <f>IF($C128="","",U128*X128/100)</f>
        <v/>
      </c>
      <c r="AH128" s="7">
        <f>IF($C128="","",U128-AG128)</f>
        <v/>
      </c>
      <c r="AI128" s="7">
        <f>IF($C128="","",AH128-M128)</f>
        <v/>
      </c>
      <c r="AJ128">
        <f>IF($C128="","",IF(COUNTIF($C$2:$C128,$C128)=1,1,0))</f>
        <v/>
      </c>
      <c r="AK128">
        <f>IF($AJ128=1,SUMPRODUCT(--($AN$2:$AN$4001&lt;$AN128))+1,"")</f>
        <v/>
      </c>
      <c r="AL128">
        <f>IF($C128="","",IF(OR($Q128=TRUE(),$Q128="TRUE"),1,0))</f>
        <v/>
      </c>
      <c r="AM128">
        <f>IF($C128="","",IF($W128="Yes",1,0))</f>
        <v/>
      </c>
      <c r="AN128">
        <f>IF($AJ128=1,IFERROR(IF(VALUE($C128)&lt;100000000,VALUE($C128),1000000000),IFERROR(IF(VALUE(MID($C128,2,20))&lt;100000000,VALUE(MID($C128,2,20)),1000000000),1000000000))+ROW()/100000,"")</f>
        <v/>
      </c>
    </row>
    <row r="129">
      <c r="E129" s="11" t="n"/>
      <c r="M129" s="7">
        <f>IF($C129="","",L129*U129/100)</f>
        <v/>
      </c>
      <c r="N129" s="7" t="n"/>
      <c r="T129" s="7" t="n"/>
      <c r="U129" s="7">
        <f>IF($C129="","",S129*T129)</f>
        <v/>
      </c>
      <c r="X129">
        <f>IF($C129="","",IF($AM129=1,0,IF($AL129=1,Settings!$C$6,Settings!$C$7))*100)</f>
        <v/>
      </c>
      <c r="AB129" s="7" t="n"/>
      <c r="AE129" s="11" t="n"/>
      <c r="AG129" s="7">
        <f>IF($C129="","",U129*X129/100)</f>
        <v/>
      </c>
      <c r="AH129" s="7">
        <f>IF($C129="","",U129-AG129)</f>
        <v/>
      </c>
      <c r="AI129" s="7">
        <f>IF($C129="","",AH129-M129)</f>
        <v/>
      </c>
      <c r="AJ129">
        <f>IF($C129="","",IF(COUNTIF($C$2:$C129,$C129)=1,1,0))</f>
        <v/>
      </c>
      <c r="AK129">
        <f>IF($AJ129=1,SUMPRODUCT(--($AN$2:$AN$4001&lt;$AN129))+1,"")</f>
        <v/>
      </c>
      <c r="AL129">
        <f>IF($C129="","",IF(OR($Q129=TRUE(),$Q129="TRUE"),1,0))</f>
        <v/>
      </c>
      <c r="AM129">
        <f>IF($C129="","",IF($W129="Yes",1,0))</f>
        <v/>
      </c>
      <c r="AN129">
        <f>IF($AJ129=1,IFERROR(IF(VALUE($C129)&lt;100000000,VALUE($C129),1000000000),IFERROR(IF(VALUE(MID($C129,2,20))&lt;100000000,VALUE(MID($C129,2,20)),1000000000),1000000000))+ROW()/100000,"")</f>
        <v/>
      </c>
    </row>
    <row r="130">
      <c r="E130" s="11" t="n"/>
      <c r="M130" s="7">
        <f>IF($C130="","",L130*U130/100)</f>
        <v/>
      </c>
      <c r="N130" s="7" t="n"/>
      <c r="T130" s="7" t="n"/>
      <c r="U130" s="7">
        <f>IF($C130="","",S130*T130)</f>
        <v/>
      </c>
      <c r="X130">
        <f>IF($C130="","",IF($AM130=1,0,IF($AL130=1,Settings!$C$6,Settings!$C$7))*100)</f>
        <v/>
      </c>
      <c r="AB130" s="7" t="n"/>
      <c r="AE130" s="11" t="n"/>
      <c r="AG130" s="7">
        <f>IF($C130="","",U130*X130/100)</f>
        <v/>
      </c>
      <c r="AH130" s="7">
        <f>IF($C130="","",U130-AG130)</f>
        <v/>
      </c>
      <c r="AI130" s="7">
        <f>IF($C130="","",AH130-M130)</f>
        <v/>
      </c>
      <c r="AJ130">
        <f>IF($C130="","",IF(COUNTIF($C$2:$C130,$C130)=1,1,0))</f>
        <v/>
      </c>
      <c r="AK130">
        <f>IF($AJ130=1,SUMPRODUCT(--($AN$2:$AN$4001&lt;$AN130))+1,"")</f>
        <v/>
      </c>
      <c r="AL130">
        <f>IF($C130="","",IF(OR($Q130=TRUE(),$Q130="TRUE"),1,0))</f>
        <v/>
      </c>
      <c r="AM130">
        <f>IF($C130="","",IF($W130="Yes",1,0))</f>
        <v/>
      </c>
      <c r="AN130">
        <f>IF($AJ130=1,IFERROR(IF(VALUE($C130)&lt;100000000,VALUE($C130),1000000000),IFERROR(IF(VALUE(MID($C130,2,20))&lt;100000000,VALUE(MID($C130,2,20)),1000000000),1000000000))+ROW()/100000,"")</f>
        <v/>
      </c>
    </row>
    <row r="131">
      <c r="E131" s="11" t="n"/>
      <c r="M131" s="7">
        <f>IF($C131="","",L131*U131/100)</f>
        <v/>
      </c>
      <c r="N131" s="7" t="n"/>
      <c r="T131" s="7" t="n"/>
      <c r="U131" s="7">
        <f>IF($C131="","",S131*T131)</f>
        <v/>
      </c>
      <c r="X131">
        <f>IF($C131="","",IF($AM131=1,0,IF($AL131=1,Settings!$C$6,Settings!$C$7))*100)</f>
        <v/>
      </c>
      <c r="AB131" s="7" t="n"/>
      <c r="AE131" s="11" t="n"/>
      <c r="AG131" s="7">
        <f>IF($C131="","",U131*X131/100)</f>
        <v/>
      </c>
      <c r="AH131" s="7">
        <f>IF($C131="","",U131-AG131)</f>
        <v/>
      </c>
      <c r="AI131" s="7">
        <f>IF($C131="","",AH131-M131)</f>
        <v/>
      </c>
      <c r="AJ131">
        <f>IF($C131="","",IF(COUNTIF($C$2:$C131,$C131)=1,1,0))</f>
        <v/>
      </c>
      <c r="AK131">
        <f>IF($AJ131=1,SUMPRODUCT(--($AN$2:$AN$4001&lt;$AN131))+1,"")</f>
        <v/>
      </c>
      <c r="AL131">
        <f>IF($C131="","",IF(OR($Q131=TRUE(),$Q131="TRUE"),1,0))</f>
        <v/>
      </c>
      <c r="AM131">
        <f>IF($C131="","",IF($W131="Yes",1,0))</f>
        <v/>
      </c>
      <c r="AN131">
        <f>IF($AJ131=1,IFERROR(IF(VALUE($C131)&lt;100000000,VALUE($C131),1000000000),IFERROR(IF(VALUE(MID($C131,2,20))&lt;100000000,VALUE(MID($C131,2,20)),1000000000),1000000000))+ROW()/100000,"")</f>
        <v/>
      </c>
    </row>
    <row r="132">
      <c r="E132" s="11" t="n"/>
      <c r="M132" s="7">
        <f>IF($C132="","",L132*U132/100)</f>
        <v/>
      </c>
      <c r="N132" s="7" t="n"/>
      <c r="T132" s="7" t="n"/>
      <c r="U132" s="7">
        <f>IF($C132="","",S132*T132)</f>
        <v/>
      </c>
      <c r="X132">
        <f>IF($C132="","",IF($AM132=1,0,IF($AL132=1,Settings!$C$6,Settings!$C$7))*100)</f>
        <v/>
      </c>
      <c r="AB132" s="7" t="n"/>
      <c r="AE132" s="11" t="n"/>
      <c r="AG132" s="7">
        <f>IF($C132="","",U132*X132/100)</f>
        <v/>
      </c>
      <c r="AH132" s="7">
        <f>IF($C132="","",U132-AG132)</f>
        <v/>
      </c>
      <c r="AI132" s="7">
        <f>IF($C132="","",AH132-M132)</f>
        <v/>
      </c>
      <c r="AJ132">
        <f>IF($C132="","",IF(COUNTIF($C$2:$C132,$C132)=1,1,0))</f>
        <v/>
      </c>
      <c r="AK132">
        <f>IF($AJ132=1,SUMPRODUCT(--($AN$2:$AN$4001&lt;$AN132))+1,"")</f>
        <v/>
      </c>
      <c r="AL132">
        <f>IF($C132="","",IF(OR($Q132=TRUE(),$Q132="TRUE"),1,0))</f>
        <v/>
      </c>
      <c r="AM132">
        <f>IF($C132="","",IF($W132="Yes",1,0))</f>
        <v/>
      </c>
      <c r="AN132">
        <f>IF($AJ132=1,IFERROR(IF(VALUE($C132)&lt;100000000,VALUE($C132),1000000000),IFERROR(IF(VALUE(MID($C132,2,20))&lt;100000000,VALUE(MID($C132,2,20)),1000000000),1000000000))+ROW()/100000,"")</f>
        <v/>
      </c>
    </row>
    <row r="133">
      <c r="E133" s="11" t="n"/>
      <c r="M133" s="7">
        <f>IF($C133="","",L133*U133/100)</f>
        <v/>
      </c>
      <c r="N133" s="7" t="n"/>
      <c r="T133" s="7" t="n"/>
      <c r="U133" s="7">
        <f>IF($C133="","",S133*T133)</f>
        <v/>
      </c>
      <c r="X133">
        <f>IF($C133="","",IF($AM133=1,0,IF($AL133=1,Settings!$C$6,Settings!$C$7))*100)</f>
        <v/>
      </c>
      <c r="AB133" s="7" t="n"/>
      <c r="AE133" s="11" t="n"/>
      <c r="AG133" s="7">
        <f>IF($C133="","",U133*X133/100)</f>
        <v/>
      </c>
      <c r="AH133" s="7">
        <f>IF($C133="","",U133-AG133)</f>
        <v/>
      </c>
      <c r="AI133" s="7">
        <f>IF($C133="","",AH133-M133)</f>
        <v/>
      </c>
      <c r="AJ133">
        <f>IF($C133="","",IF(COUNTIF($C$2:$C133,$C133)=1,1,0))</f>
        <v/>
      </c>
      <c r="AK133">
        <f>IF($AJ133=1,SUMPRODUCT(--($AN$2:$AN$4001&lt;$AN133))+1,"")</f>
        <v/>
      </c>
      <c r="AL133">
        <f>IF($C133="","",IF(OR($Q133=TRUE(),$Q133="TRUE"),1,0))</f>
        <v/>
      </c>
      <c r="AM133">
        <f>IF($C133="","",IF($W133="Yes",1,0))</f>
        <v/>
      </c>
      <c r="AN133">
        <f>IF($AJ133=1,IFERROR(IF(VALUE($C133)&lt;100000000,VALUE($C133),1000000000),IFERROR(IF(VALUE(MID($C133,2,20))&lt;100000000,VALUE(MID($C133,2,20)),1000000000),1000000000))+ROW()/100000,"")</f>
        <v/>
      </c>
    </row>
    <row r="134">
      <c r="E134" s="11" t="n"/>
      <c r="M134" s="7">
        <f>IF($C134="","",L134*U134/100)</f>
        <v/>
      </c>
      <c r="N134" s="7" t="n"/>
      <c r="T134" s="7" t="n"/>
      <c r="U134" s="7">
        <f>IF($C134="","",S134*T134)</f>
        <v/>
      </c>
      <c r="X134">
        <f>IF($C134="","",IF($AM134=1,0,IF($AL134=1,Settings!$C$6,Settings!$C$7))*100)</f>
        <v/>
      </c>
      <c r="AB134" s="7" t="n"/>
      <c r="AE134" s="11" t="n"/>
      <c r="AG134" s="7">
        <f>IF($C134="","",U134*X134/100)</f>
        <v/>
      </c>
      <c r="AH134" s="7">
        <f>IF($C134="","",U134-AG134)</f>
        <v/>
      </c>
      <c r="AI134" s="7">
        <f>IF($C134="","",AH134-M134)</f>
        <v/>
      </c>
      <c r="AJ134">
        <f>IF($C134="","",IF(COUNTIF($C$2:$C134,$C134)=1,1,0))</f>
        <v/>
      </c>
      <c r="AK134">
        <f>IF($AJ134=1,SUMPRODUCT(--($AN$2:$AN$4001&lt;$AN134))+1,"")</f>
        <v/>
      </c>
      <c r="AL134">
        <f>IF($C134="","",IF(OR($Q134=TRUE(),$Q134="TRUE"),1,0))</f>
        <v/>
      </c>
      <c r="AM134">
        <f>IF($C134="","",IF($W134="Yes",1,0))</f>
        <v/>
      </c>
      <c r="AN134">
        <f>IF($AJ134=1,IFERROR(IF(VALUE($C134)&lt;100000000,VALUE($C134),1000000000),IFERROR(IF(VALUE(MID($C134,2,20))&lt;100000000,VALUE(MID($C134,2,20)),1000000000),1000000000))+ROW()/100000,"")</f>
        <v/>
      </c>
    </row>
    <row r="135">
      <c r="E135" s="11" t="n"/>
      <c r="M135" s="7">
        <f>IF($C135="","",L135*U135/100)</f>
        <v/>
      </c>
      <c r="N135" s="7" t="n"/>
      <c r="T135" s="7" t="n"/>
      <c r="U135" s="7">
        <f>IF($C135="","",S135*T135)</f>
        <v/>
      </c>
      <c r="X135">
        <f>IF($C135="","",IF($AM135=1,0,IF($AL135=1,Settings!$C$6,Settings!$C$7))*100)</f>
        <v/>
      </c>
      <c r="AB135" s="7" t="n"/>
      <c r="AE135" s="11" t="n"/>
      <c r="AG135" s="7">
        <f>IF($C135="","",U135*X135/100)</f>
        <v/>
      </c>
      <c r="AH135" s="7">
        <f>IF($C135="","",U135-AG135)</f>
        <v/>
      </c>
      <c r="AI135" s="7">
        <f>IF($C135="","",AH135-M135)</f>
        <v/>
      </c>
      <c r="AJ135">
        <f>IF($C135="","",IF(COUNTIF($C$2:$C135,$C135)=1,1,0))</f>
        <v/>
      </c>
      <c r="AK135">
        <f>IF($AJ135=1,SUMPRODUCT(--($AN$2:$AN$4001&lt;$AN135))+1,"")</f>
        <v/>
      </c>
      <c r="AL135">
        <f>IF($C135="","",IF(OR($Q135=TRUE(),$Q135="TRUE"),1,0))</f>
        <v/>
      </c>
      <c r="AM135">
        <f>IF($C135="","",IF($W135="Yes",1,0))</f>
        <v/>
      </c>
      <c r="AN135">
        <f>IF($AJ135=1,IFERROR(IF(VALUE($C135)&lt;100000000,VALUE($C135),1000000000),IFERROR(IF(VALUE(MID($C135,2,20))&lt;100000000,VALUE(MID($C135,2,20)),1000000000),1000000000))+ROW()/100000,"")</f>
        <v/>
      </c>
    </row>
    <row r="136">
      <c r="E136" s="11" t="n"/>
      <c r="M136" s="7">
        <f>IF($C136="","",L136*U136/100)</f>
        <v/>
      </c>
      <c r="N136" s="7" t="n"/>
      <c r="T136" s="7" t="n"/>
      <c r="U136" s="7">
        <f>IF($C136="","",S136*T136)</f>
        <v/>
      </c>
      <c r="X136">
        <f>IF($C136="","",IF($AM136=1,0,IF($AL136=1,Settings!$C$6,Settings!$C$7))*100)</f>
        <v/>
      </c>
      <c r="AB136" s="7" t="n"/>
      <c r="AE136" s="11" t="n"/>
      <c r="AG136" s="7">
        <f>IF($C136="","",U136*X136/100)</f>
        <v/>
      </c>
      <c r="AH136" s="7">
        <f>IF($C136="","",U136-AG136)</f>
        <v/>
      </c>
      <c r="AI136" s="7">
        <f>IF($C136="","",AH136-M136)</f>
        <v/>
      </c>
      <c r="AJ136">
        <f>IF($C136="","",IF(COUNTIF($C$2:$C136,$C136)=1,1,0))</f>
        <v/>
      </c>
      <c r="AK136">
        <f>IF($AJ136=1,SUMPRODUCT(--($AN$2:$AN$4001&lt;$AN136))+1,"")</f>
        <v/>
      </c>
      <c r="AL136">
        <f>IF($C136="","",IF(OR($Q136=TRUE(),$Q136="TRUE"),1,0))</f>
        <v/>
      </c>
      <c r="AM136">
        <f>IF($C136="","",IF($W136="Yes",1,0))</f>
        <v/>
      </c>
      <c r="AN136">
        <f>IF($AJ136=1,IFERROR(IF(VALUE($C136)&lt;100000000,VALUE($C136),1000000000),IFERROR(IF(VALUE(MID($C136,2,20))&lt;100000000,VALUE(MID($C136,2,20)),1000000000),1000000000))+ROW()/100000,"")</f>
        <v/>
      </c>
    </row>
    <row r="137">
      <c r="E137" s="11" t="n"/>
      <c r="M137" s="7">
        <f>IF($C137="","",L137*U137/100)</f>
        <v/>
      </c>
      <c r="N137" s="7" t="n"/>
      <c r="T137" s="7" t="n"/>
      <c r="U137" s="7">
        <f>IF($C137="","",S137*T137)</f>
        <v/>
      </c>
      <c r="X137">
        <f>IF($C137="","",IF($AM137=1,0,IF($AL137=1,Settings!$C$6,Settings!$C$7))*100)</f>
        <v/>
      </c>
      <c r="AB137" s="7" t="n"/>
      <c r="AE137" s="11" t="n"/>
      <c r="AG137" s="7">
        <f>IF($C137="","",U137*X137/100)</f>
        <v/>
      </c>
      <c r="AH137" s="7">
        <f>IF($C137="","",U137-AG137)</f>
        <v/>
      </c>
      <c r="AI137" s="7">
        <f>IF($C137="","",AH137-M137)</f>
        <v/>
      </c>
      <c r="AJ137">
        <f>IF($C137="","",IF(COUNTIF($C$2:$C137,$C137)=1,1,0))</f>
        <v/>
      </c>
      <c r="AK137">
        <f>IF($AJ137=1,SUMPRODUCT(--($AN$2:$AN$4001&lt;$AN137))+1,"")</f>
        <v/>
      </c>
      <c r="AL137">
        <f>IF($C137="","",IF(OR($Q137=TRUE(),$Q137="TRUE"),1,0))</f>
        <v/>
      </c>
      <c r="AM137">
        <f>IF($C137="","",IF($W137="Yes",1,0))</f>
        <v/>
      </c>
      <c r="AN137">
        <f>IF($AJ137=1,IFERROR(IF(VALUE($C137)&lt;100000000,VALUE($C137),1000000000),IFERROR(IF(VALUE(MID($C137,2,20))&lt;100000000,VALUE(MID($C137,2,20)),1000000000),1000000000))+ROW()/100000,"")</f>
        <v/>
      </c>
    </row>
    <row r="138">
      <c r="E138" s="11" t="n"/>
      <c r="M138" s="7">
        <f>IF($C138="","",L138*U138/100)</f>
        <v/>
      </c>
      <c r="N138" s="7" t="n"/>
      <c r="T138" s="7" t="n"/>
      <c r="U138" s="7">
        <f>IF($C138="","",S138*T138)</f>
        <v/>
      </c>
      <c r="X138">
        <f>IF($C138="","",IF($AM138=1,0,IF($AL138=1,Settings!$C$6,Settings!$C$7))*100)</f>
        <v/>
      </c>
      <c r="AB138" s="7" t="n"/>
      <c r="AE138" s="11" t="n"/>
      <c r="AG138" s="7">
        <f>IF($C138="","",U138*X138/100)</f>
        <v/>
      </c>
      <c r="AH138" s="7">
        <f>IF($C138="","",U138-AG138)</f>
        <v/>
      </c>
      <c r="AI138" s="7">
        <f>IF($C138="","",AH138-M138)</f>
        <v/>
      </c>
      <c r="AJ138">
        <f>IF($C138="","",IF(COUNTIF($C$2:$C138,$C138)=1,1,0))</f>
        <v/>
      </c>
      <c r="AK138">
        <f>IF($AJ138=1,SUMPRODUCT(--($AN$2:$AN$4001&lt;$AN138))+1,"")</f>
        <v/>
      </c>
      <c r="AL138">
        <f>IF($C138="","",IF(OR($Q138=TRUE(),$Q138="TRUE"),1,0))</f>
        <v/>
      </c>
      <c r="AM138">
        <f>IF($C138="","",IF($W138="Yes",1,0))</f>
        <v/>
      </c>
      <c r="AN138">
        <f>IF($AJ138=1,IFERROR(IF(VALUE($C138)&lt;100000000,VALUE($C138),1000000000),IFERROR(IF(VALUE(MID($C138,2,20))&lt;100000000,VALUE(MID($C138,2,20)),1000000000),1000000000))+ROW()/100000,"")</f>
        <v/>
      </c>
    </row>
    <row r="139">
      <c r="E139" s="11" t="n"/>
      <c r="M139" s="7">
        <f>IF($C139="","",L139*U139/100)</f>
        <v/>
      </c>
      <c r="N139" s="7" t="n"/>
      <c r="T139" s="7" t="n"/>
      <c r="U139" s="7">
        <f>IF($C139="","",S139*T139)</f>
        <v/>
      </c>
      <c r="X139">
        <f>IF($C139="","",IF($AM139=1,0,IF($AL139=1,Settings!$C$6,Settings!$C$7))*100)</f>
        <v/>
      </c>
      <c r="AB139" s="7" t="n"/>
      <c r="AE139" s="11" t="n"/>
      <c r="AG139" s="7">
        <f>IF($C139="","",U139*X139/100)</f>
        <v/>
      </c>
      <c r="AH139" s="7">
        <f>IF($C139="","",U139-AG139)</f>
        <v/>
      </c>
      <c r="AI139" s="7">
        <f>IF($C139="","",AH139-M139)</f>
        <v/>
      </c>
      <c r="AJ139">
        <f>IF($C139="","",IF(COUNTIF($C$2:$C139,$C139)=1,1,0))</f>
        <v/>
      </c>
      <c r="AK139">
        <f>IF($AJ139=1,SUMPRODUCT(--($AN$2:$AN$4001&lt;$AN139))+1,"")</f>
        <v/>
      </c>
      <c r="AL139">
        <f>IF($C139="","",IF(OR($Q139=TRUE(),$Q139="TRUE"),1,0))</f>
        <v/>
      </c>
      <c r="AM139">
        <f>IF($C139="","",IF($W139="Yes",1,0))</f>
        <v/>
      </c>
      <c r="AN139">
        <f>IF($AJ139=1,IFERROR(IF(VALUE($C139)&lt;100000000,VALUE($C139),1000000000),IFERROR(IF(VALUE(MID($C139,2,20))&lt;100000000,VALUE(MID($C139,2,20)),1000000000),1000000000))+ROW()/100000,"")</f>
        <v/>
      </c>
    </row>
    <row r="140">
      <c r="E140" s="11" t="n"/>
      <c r="M140" s="7">
        <f>IF($C140="","",L140*U140/100)</f>
        <v/>
      </c>
      <c r="N140" s="7" t="n"/>
      <c r="T140" s="7" t="n"/>
      <c r="U140" s="7">
        <f>IF($C140="","",S140*T140)</f>
        <v/>
      </c>
      <c r="X140">
        <f>IF($C140="","",IF($AM140=1,0,IF($AL140=1,Settings!$C$6,Settings!$C$7))*100)</f>
        <v/>
      </c>
      <c r="AB140" s="7" t="n"/>
      <c r="AE140" s="11" t="n"/>
      <c r="AG140" s="7">
        <f>IF($C140="","",U140*X140/100)</f>
        <v/>
      </c>
      <c r="AH140" s="7">
        <f>IF($C140="","",U140-AG140)</f>
        <v/>
      </c>
      <c r="AI140" s="7">
        <f>IF($C140="","",AH140-M140)</f>
        <v/>
      </c>
      <c r="AJ140">
        <f>IF($C140="","",IF(COUNTIF($C$2:$C140,$C140)=1,1,0))</f>
        <v/>
      </c>
      <c r="AK140">
        <f>IF($AJ140=1,SUMPRODUCT(--($AN$2:$AN$4001&lt;$AN140))+1,"")</f>
        <v/>
      </c>
      <c r="AL140">
        <f>IF($C140="","",IF(OR($Q140=TRUE(),$Q140="TRUE"),1,0))</f>
        <v/>
      </c>
      <c r="AM140">
        <f>IF($C140="","",IF($W140="Yes",1,0))</f>
        <v/>
      </c>
      <c r="AN140">
        <f>IF($AJ140=1,IFERROR(IF(VALUE($C140)&lt;100000000,VALUE($C140),1000000000),IFERROR(IF(VALUE(MID($C140,2,20))&lt;100000000,VALUE(MID($C140,2,20)),1000000000),1000000000))+ROW()/100000,"")</f>
        <v/>
      </c>
    </row>
    <row r="141">
      <c r="E141" s="11" t="n"/>
      <c r="M141" s="7">
        <f>IF($C141="","",L141*U141/100)</f>
        <v/>
      </c>
      <c r="N141" s="7" t="n"/>
      <c r="T141" s="7" t="n"/>
      <c r="U141" s="7">
        <f>IF($C141="","",S141*T141)</f>
        <v/>
      </c>
      <c r="X141">
        <f>IF($C141="","",IF($AM141=1,0,IF($AL141=1,Settings!$C$6,Settings!$C$7))*100)</f>
        <v/>
      </c>
      <c r="AB141" s="7" t="n"/>
      <c r="AE141" s="11" t="n"/>
      <c r="AG141" s="7">
        <f>IF($C141="","",U141*X141/100)</f>
        <v/>
      </c>
      <c r="AH141" s="7">
        <f>IF($C141="","",U141-AG141)</f>
        <v/>
      </c>
      <c r="AI141" s="7">
        <f>IF($C141="","",AH141-M141)</f>
        <v/>
      </c>
      <c r="AJ141">
        <f>IF($C141="","",IF(COUNTIF($C$2:$C141,$C141)=1,1,0))</f>
        <v/>
      </c>
      <c r="AK141">
        <f>IF($AJ141=1,SUMPRODUCT(--($AN$2:$AN$4001&lt;$AN141))+1,"")</f>
        <v/>
      </c>
      <c r="AL141">
        <f>IF($C141="","",IF(OR($Q141=TRUE(),$Q141="TRUE"),1,0))</f>
        <v/>
      </c>
      <c r="AM141">
        <f>IF($C141="","",IF($W141="Yes",1,0))</f>
        <v/>
      </c>
      <c r="AN141">
        <f>IF($AJ141=1,IFERROR(IF(VALUE($C141)&lt;100000000,VALUE($C141),1000000000),IFERROR(IF(VALUE(MID($C141,2,20))&lt;100000000,VALUE(MID($C141,2,20)),1000000000),1000000000))+ROW()/100000,"")</f>
        <v/>
      </c>
    </row>
    <row r="142">
      <c r="E142" s="11" t="n"/>
      <c r="M142" s="7">
        <f>IF($C142="","",L142*U142/100)</f>
        <v/>
      </c>
      <c r="N142" s="7" t="n"/>
      <c r="T142" s="7" t="n"/>
      <c r="U142" s="7">
        <f>IF($C142="","",S142*T142)</f>
        <v/>
      </c>
      <c r="X142">
        <f>IF($C142="","",IF($AM142=1,0,IF($AL142=1,Settings!$C$6,Settings!$C$7))*100)</f>
        <v/>
      </c>
      <c r="AB142" s="7" t="n"/>
      <c r="AE142" s="11" t="n"/>
      <c r="AG142" s="7">
        <f>IF($C142="","",U142*X142/100)</f>
        <v/>
      </c>
      <c r="AH142" s="7">
        <f>IF($C142="","",U142-AG142)</f>
        <v/>
      </c>
      <c r="AI142" s="7">
        <f>IF($C142="","",AH142-M142)</f>
        <v/>
      </c>
      <c r="AJ142">
        <f>IF($C142="","",IF(COUNTIF($C$2:$C142,$C142)=1,1,0))</f>
        <v/>
      </c>
      <c r="AK142">
        <f>IF($AJ142=1,SUMPRODUCT(--($AN$2:$AN$4001&lt;$AN142))+1,"")</f>
        <v/>
      </c>
      <c r="AL142">
        <f>IF($C142="","",IF(OR($Q142=TRUE(),$Q142="TRUE"),1,0))</f>
        <v/>
      </c>
      <c r="AM142">
        <f>IF($C142="","",IF($W142="Yes",1,0))</f>
        <v/>
      </c>
      <c r="AN142">
        <f>IF($AJ142=1,IFERROR(IF(VALUE($C142)&lt;100000000,VALUE($C142),1000000000),IFERROR(IF(VALUE(MID($C142,2,20))&lt;100000000,VALUE(MID($C142,2,20)),1000000000),1000000000))+ROW()/100000,"")</f>
        <v/>
      </c>
    </row>
    <row r="143">
      <c r="E143" s="11" t="n"/>
      <c r="M143" s="7">
        <f>IF($C143="","",L143*U143/100)</f>
        <v/>
      </c>
      <c r="N143" s="7" t="n"/>
      <c r="T143" s="7" t="n"/>
      <c r="U143" s="7">
        <f>IF($C143="","",S143*T143)</f>
        <v/>
      </c>
      <c r="X143">
        <f>IF($C143="","",IF($AM143=1,0,IF($AL143=1,Settings!$C$6,Settings!$C$7))*100)</f>
        <v/>
      </c>
      <c r="AB143" s="7" t="n"/>
      <c r="AE143" s="11" t="n"/>
      <c r="AG143" s="7">
        <f>IF($C143="","",U143*X143/100)</f>
        <v/>
      </c>
      <c r="AH143" s="7">
        <f>IF($C143="","",U143-AG143)</f>
        <v/>
      </c>
      <c r="AI143" s="7">
        <f>IF($C143="","",AH143-M143)</f>
        <v/>
      </c>
      <c r="AJ143">
        <f>IF($C143="","",IF(COUNTIF($C$2:$C143,$C143)=1,1,0))</f>
        <v/>
      </c>
      <c r="AK143">
        <f>IF($AJ143=1,SUMPRODUCT(--($AN$2:$AN$4001&lt;$AN143))+1,"")</f>
        <v/>
      </c>
      <c r="AL143">
        <f>IF($C143="","",IF(OR($Q143=TRUE(),$Q143="TRUE"),1,0))</f>
        <v/>
      </c>
      <c r="AM143">
        <f>IF($C143="","",IF($W143="Yes",1,0))</f>
        <v/>
      </c>
      <c r="AN143">
        <f>IF($AJ143=1,IFERROR(IF(VALUE($C143)&lt;100000000,VALUE($C143),1000000000),IFERROR(IF(VALUE(MID($C143,2,20))&lt;100000000,VALUE(MID($C143,2,20)),1000000000),1000000000))+ROW()/100000,"")</f>
        <v/>
      </c>
    </row>
    <row r="144">
      <c r="E144" s="11" t="n"/>
      <c r="M144" s="7">
        <f>IF($C144="","",L144*U144/100)</f>
        <v/>
      </c>
      <c r="N144" s="7" t="n"/>
      <c r="T144" s="7" t="n"/>
      <c r="U144" s="7">
        <f>IF($C144="","",S144*T144)</f>
        <v/>
      </c>
      <c r="X144">
        <f>IF($C144="","",IF($AM144=1,0,IF($AL144=1,Settings!$C$6,Settings!$C$7))*100)</f>
        <v/>
      </c>
      <c r="AB144" s="7" t="n"/>
      <c r="AE144" s="11" t="n"/>
      <c r="AG144" s="7">
        <f>IF($C144="","",U144*X144/100)</f>
        <v/>
      </c>
      <c r="AH144" s="7">
        <f>IF($C144="","",U144-AG144)</f>
        <v/>
      </c>
      <c r="AI144" s="7">
        <f>IF($C144="","",AH144-M144)</f>
        <v/>
      </c>
      <c r="AJ144">
        <f>IF($C144="","",IF(COUNTIF($C$2:$C144,$C144)=1,1,0))</f>
        <v/>
      </c>
      <c r="AK144">
        <f>IF($AJ144=1,SUMPRODUCT(--($AN$2:$AN$4001&lt;$AN144))+1,"")</f>
        <v/>
      </c>
      <c r="AL144">
        <f>IF($C144="","",IF(OR($Q144=TRUE(),$Q144="TRUE"),1,0))</f>
        <v/>
      </c>
      <c r="AM144">
        <f>IF($C144="","",IF($W144="Yes",1,0))</f>
        <v/>
      </c>
      <c r="AN144">
        <f>IF($AJ144=1,IFERROR(IF(VALUE($C144)&lt;100000000,VALUE($C144),1000000000),IFERROR(IF(VALUE(MID($C144,2,20))&lt;100000000,VALUE(MID($C144,2,20)),1000000000),1000000000))+ROW()/100000,"")</f>
        <v/>
      </c>
    </row>
    <row r="145">
      <c r="E145" s="11" t="n"/>
      <c r="M145" s="7">
        <f>IF($C145="","",L145*U145/100)</f>
        <v/>
      </c>
      <c r="N145" s="7" t="n"/>
      <c r="T145" s="7" t="n"/>
      <c r="U145" s="7">
        <f>IF($C145="","",S145*T145)</f>
        <v/>
      </c>
      <c r="X145">
        <f>IF($C145="","",IF($AM145=1,0,IF($AL145=1,Settings!$C$6,Settings!$C$7))*100)</f>
        <v/>
      </c>
      <c r="AB145" s="7" t="n"/>
      <c r="AE145" s="11" t="n"/>
      <c r="AG145" s="7">
        <f>IF($C145="","",U145*X145/100)</f>
        <v/>
      </c>
      <c r="AH145" s="7">
        <f>IF($C145="","",U145-AG145)</f>
        <v/>
      </c>
      <c r="AI145" s="7">
        <f>IF($C145="","",AH145-M145)</f>
        <v/>
      </c>
      <c r="AJ145">
        <f>IF($C145="","",IF(COUNTIF($C$2:$C145,$C145)=1,1,0))</f>
        <v/>
      </c>
      <c r="AK145">
        <f>IF($AJ145=1,SUMPRODUCT(--($AN$2:$AN$4001&lt;$AN145))+1,"")</f>
        <v/>
      </c>
      <c r="AL145">
        <f>IF($C145="","",IF(OR($Q145=TRUE(),$Q145="TRUE"),1,0))</f>
        <v/>
      </c>
      <c r="AM145">
        <f>IF($C145="","",IF($W145="Yes",1,0))</f>
        <v/>
      </c>
      <c r="AN145">
        <f>IF($AJ145=1,IFERROR(IF(VALUE($C145)&lt;100000000,VALUE($C145),1000000000),IFERROR(IF(VALUE(MID($C145,2,20))&lt;100000000,VALUE(MID($C145,2,20)),1000000000),1000000000))+ROW()/100000,"")</f>
        <v/>
      </c>
    </row>
    <row r="146">
      <c r="E146" s="11" t="n"/>
      <c r="M146" s="7">
        <f>IF($C146="","",L146*U146/100)</f>
        <v/>
      </c>
      <c r="N146" s="7" t="n"/>
      <c r="T146" s="7" t="n"/>
      <c r="U146" s="7">
        <f>IF($C146="","",S146*T146)</f>
        <v/>
      </c>
      <c r="X146">
        <f>IF($C146="","",IF($AM146=1,0,IF($AL146=1,Settings!$C$6,Settings!$C$7))*100)</f>
        <v/>
      </c>
      <c r="AB146" s="7" t="n"/>
      <c r="AE146" s="11" t="n"/>
      <c r="AG146" s="7">
        <f>IF($C146="","",U146*X146/100)</f>
        <v/>
      </c>
      <c r="AH146" s="7">
        <f>IF($C146="","",U146-AG146)</f>
        <v/>
      </c>
      <c r="AI146" s="7">
        <f>IF($C146="","",AH146-M146)</f>
        <v/>
      </c>
      <c r="AJ146">
        <f>IF($C146="","",IF(COUNTIF($C$2:$C146,$C146)=1,1,0))</f>
        <v/>
      </c>
      <c r="AK146">
        <f>IF($AJ146=1,SUMPRODUCT(--($AN$2:$AN$4001&lt;$AN146))+1,"")</f>
        <v/>
      </c>
      <c r="AL146">
        <f>IF($C146="","",IF(OR($Q146=TRUE(),$Q146="TRUE"),1,0))</f>
        <v/>
      </c>
      <c r="AM146">
        <f>IF($C146="","",IF($W146="Yes",1,0))</f>
        <v/>
      </c>
      <c r="AN146">
        <f>IF($AJ146=1,IFERROR(IF(VALUE($C146)&lt;100000000,VALUE($C146),1000000000),IFERROR(IF(VALUE(MID($C146,2,20))&lt;100000000,VALUE(MID($C146,2,20)),1000000000),1000000000))+ROW()/100000,"")</f>
        <v/>
      </c>
    </row>
    <row r="147">
      <c r="E147" s="11" t="n"/>
      <c r="M147" s="7">
        <f>IF($C147="","",L147*U147/100)</f>
        <v/>
      </c>
      <c r="N147" s="7" t="n"/>
      <c r="T147" s="7" t="n"/>
      <c r="U147" s="7">
        <f>IF($C147="","",S147*T147)</f>
        <v/>
      </c>
      <c r="X147">
        <f>IF($C147="","",IF($AM147=1,0,IF($AL147=1,Settings!$C$6,Settings!$C$7))*100)</f>
        <v/>
      </c>
      <c r="AB147" s="7" t="n"/>
      <c r="AE147" s="11" t="n"/>
      <c r="AG147" s="7">
        <f>IF($C147="","",U147*X147/100)</f>
        <v/>
      </c>
      <c r="AH147" s="7">
        <f>IF($C147="","",U147-AG147)</f>
        <v/>
      </c>
      <c r="AI147" s="7">
        <f>IF($C147="","",AH147-M147)</f>
        <v/>
      </c>
      <c r="AJ147">
        <f>IF($C147="","",IF(COUNTIF($C$2:$C147,$C147)=1,1,0))</f>
        <v/>
      </c>
      <c r="AK147">
        <f>IF($AJ147=1,SUMPRODUCT(--($AN$2:$AN$4001&lt;$AN147))+1,"")</f>
        <v/>
      </c>
      <c r="AL147">
        <f>IF($C147="","",IF(OR($Q147=TRUE(),$Q147="TRUE"),1,0))</f>
        <v/>
      </c>
      <c r="AM147">
        <f>IF($C147="","",IF($W147="Yes",1,0))</f>
        <v/>
      </c>
      <c r="AN147">
        <f>IF($AJ147=1,IFERROR(IF(VALUE($C147)&lt;100000000,VALUE($C147),1000000000),IFERROR(IF(VALUE(MID($C147,2,20))&lt;100000000,VALUE(MID($C147,2,20)),1000000000),1000000000))+ROW()/100000,"")</f>
        <v/>
      </c>
    </row>
    <row r="148">
      <c r="E148" s="11" t="n"/>
      <c r="M148" s="7">
        <f>IF($C148="","",L148*U148/100)</f>
        <v/>
      </c>
      <c r="N148" s="7" t="n"/>
      <c r="T148" s="7" t="n"/>
      <c r="U148" s="7">
        <f>IF($C148="","",S148*T148)</f>
        <v/>
      </c>
      <c r="X148">
        <f>IF($C148="","",IF($AM148=1,0,IF($AL148=1,Settings!$C$6,Settings!$C$7))*100)</f>
        <v/>
      </c>
      <c r="AB148" s="7" t="n"/>
      <c r="AE148" s="11" t="n"/>
      <c r="AG148" s="7">
        <f>IF($C148="","",U148*X148/100)</f>
        <v/>
      </c>
      <c r="AH148" s="7">
        <f>IF($C148="","",U148-AG148)</f>
        <v/>
      </c>
      <c r="AI148" s="7">
        <f>IF($C148="","",AH148-M148)</f>
        <v/>
      </c>
      <c r="AJ148">
        <f>IF($C148="","",IF(COUNTIF($C$2:$C148,$C148)=1,1,0))</f>
        <v/>
      </c>
      <c r="AK148">
        <f>IF($AJ148=1,SUMPRODUCT(--($AN$2:$AN$4001&lt;$AN148))+1,"")</f>
        <v/>
      </c>
      <c r="AL148">
        <f>IF($C148="","",IF(OR($Q148=TRUE(),$Q148="TRUE"),1,0))</f>
        <v/>
      </c>
      <c r="AM148">
        <f>IF($C148="","",IF($W148="Yes",1,0))</f>
        <v/>
      </c>
      <c r="AN148">
        <f>IF($AJ148=1,IFERROR(IF(VALUE($C148)&lt;100000000,VALUE($C148),1000000000),IFERROR(IF(VALUE(MID($C148,2,20))&lt;100000000,VALUE(MID($C148,2,20)),1000000000),1000000000))+ROW()/100000,"")</f>
        <v/>
      </c>
    </row>
    <row r="149">
      <c r="E149" s="11" t="n"/>
      <c r="M149" s="7">
        <f>IF($C149="","",L149*U149/100)</f>
        <v/>
      </c>
      <c r="N149" s="7" t="n"/>
      <c r="T149" s="7" t="n"/>
      <c r="U149" s="7">
        <f>IF($C149="","",S149*T149)</f>
        <v/>
      </c>
      <c r="X149">
        <f>IF($C149="","",IF($AM149=1,0,IF($AL149=1,Settings!$C$6,Settings!$C$7))*100)</f>
        <v/>
      </c>
      <c r="AB149" s="7" t="n"/>
      <c r="AE149" s="11" t="n"/>
      <c r="AG149" s="7">
        <f>IF($C149="","",U149*X149/100)</f>
        <v/>
      </c>
      <c r="AH149" s="7">
        <f>IF($C149="","",U149-AG149)</f>
        <v/>
      </c>
      <c r="AI149" s="7">
        <f>IF($C149="","",AH149-M149)</f>
        <v/>
      </c>
      <c r="AJ149">
        <f>IF($C149="","",IF(COUNTIF($C$2:$C149,$C149)=1,1,0))</f>
        <v/>
      </c>
      <c r="AK149">
        <f>IF($AJ149=1,SUMPRODUCT(--($AN$2:$AN$4001&lt;$AN149))+1,"")</f>
        <v/>
      </c>
      <c r="AL149">
        <f>IF($C149="","",IF(OR($Q149=TRUE(),$Q149="TRUE"),1,0))</f>
        <v/>
      </c>
      <c r="AM149">
        <f>IF($C149="","",IF($W149="Yes",1,0))</f>
        <v/>
      </c>
      <c r="AN149">
        <f>IF($AJ149=1,IFERROR(IF(VALUE($C149)&lt;100000000,VALUE($C149),1000000000),IFERROR(IF(VALUE(MID($C149,2,20))&lt;100000000,VALUE(MID($C149,2,20)),1000000000),1000000000))+ROW()/100000,"")</f>
        <v/>
      </c>
    </row>
    <row r="150">
      <c r="E150" s="11" t="n"/>
      <c r="M150" s="7">
        <f>IF($C150="","",L150*U150/100)</f>
        <v/>
      </c>
      <c r="N150" s="7" t="n"/>
      <c r="T150" s="7" t="n"/>
      <c r="U150" s="7">
        <f>IF($C150="","",S150*T150)</f>
        <v/>
      </c>
      <c r="X150">
        <f>IF($C150="","",IF($AM150=1,0,IF($AL150=1,Settings!$C$6,Settings!$C$7))*100)</f>
        <v/>
      </c>
      <c r="AB150" s="7" t="n"/>
      <c r="AE150" s="11" t="n"/>
      <c r="AG150" s="7">
        <f>IF($C150="","",U150*X150/100)</f>
        <v/>
      </c>
      <c r="AH150" s="7">
        <f>IF($C150="","",U150-AG150)</f>
        <v/>
      </c>
      <c r="AI150" s="7">
        <f>IF($C150="","",AH150-M150)</f>
        <v/>
      </c>
      <c r="AJ150">
        <f>IF($C150="","",IF(COUNTIF($C$2:$C150,$C150)=1,1,0))</f>
        <v/>
      </c>
      <c r="AK150">
        <f>IF($AJ150=1,SUMPRODUCT(--($AN$2:$AN$4001&lt;$AN150))+1,"")</f>
        <v/>
      </c>
      <c r="AL150">
        <f>IF($C150="","",IF(OR($Q150=TRUE(),$Q150="TRUE"),1,0))</f>
        <v/>
      </c>
      <c r="AM150">
        <f>IF($C150="","",IF($W150="Yes",1,0))</f>
        <v/>
      </c>
      <c r="AN150">
        <f>IF($AJ150=1,IFERROR(IF(VALUE($C150)&lt;100000000,VALUE($C150),1000000000),IFERROR(IF(VALUE(MID($C150,2,20))&lt;100000000,VALUE(MID($C150,2,20)),1000000000),1000000000))+ROW()/100000,"")</f>
        <v/>
      </c>
    </row>
    <row r="151">
      <c r="E151" s="11" t="n"/>
      <c r="M151" s="7">
        <f>IF($C151="","",L151*U151/100)</f>
        <v/>
      </c>
      <c r="N151" s="7" t="n"/>
      <c r="T151" s="7" t="n"/>
      <c r="U151" s="7">
        <f>IF($C151="","",S151*T151)</f>
        <v/>
      </c>
      <c r="X151">
        <f>IF($C151="","",IF($AM151=1,0,IF($AL151=1,Settings!$C$6,Settings!$C$7))*100)</f>
        <v/>
      </c>
      <c r="AB151" s="7" t="n"/>
      <c r="AE151" s="11" t="n"/>
      <c r="AG151" s="7">
        <f>IF($C151="","",U151*X151/100)</f>
        <v/>
      </c>
      <c r="AH151" s="7">
        <f>IF($C151="","",U151-AG151)</f>
        <v/>
      </c>
      <c r="AI151" s="7">
        <f>IF($C151="","",AH151-M151)</f>
        <v/>
      </c>
      <c r="AJ151">
        <f>IF($C151="","",IF(COUNTIF($C$2:$C151,$C151)=1,1,0))</f>
        <v/>
      </c>
      <c r="AK151">
        <f>IF($AJ151=1,SUMPRODUCT(--($AN$2:$AN$4001&lt;$AN151))+1,"")</f>
        <v/>
      </c>
      <c r="AL151">
        <f>IF($C151="","",IF(OR($Q151=TRUE(),$Q151="TRUE"),1,0))</f>
        <v/>
      </c>
      <c r="AM151">
        <f>IF($C151="","",IF($W151="Yes",1,0))</f>
        <v/>
      </c>
      <c r="AN151">
        <f>IF($AJ151=1,IFERROR(IF(VALUE($C151)&lt;100000000,VALUE($C151),1000000000),IFERROR(IF(VALUE(MID($C151,2,20))&lt;100000000,VALUE(MID($C151,2,20)),1000000000),1000000000))+ROW()/100000,"")</f>
        <v/>
      </c>
    </row>
    <row r="152">
      <c r="E152" s="11" t="n"/>
      <c r="M152" s="7">
        <f>IF($C152="","",L152*U152/100)</f>
        <v/>
      </c>
      <c r="N152" s="7" t="n"/>
      <c r="T152" s="7" t="n"/>
      <c r="U152" s="7">
        <f>IF($C152="","",S152*T152)</f>
        <v/>
      </c>
      <c r="X152">
        <f>IF($C152="","",IF($AM152=1,0,IF($AL152=1,Settings!$C$6,Settings!$C$7))*100)</f>
        <v/>
      </c>
      <c r="AB152" s="7" t="n"/>
      <c r="AE152" s="11" t="n"/>
      <c r="AG152" s="7">
        <f>IF($C152="","",U152*X152/100)</f>
        <v/>
      </c>
      <c r="AH152" s="7">
        <f>IF($C152="","",U152-AG152)</f>
        <v/>
      </c>
      <c r="AI152" s="7">
        <f>IF($C152="","",AH152-M152)</f>
        <v/>
      </c>
      <c r="AJ152">
        <f>IF($C152="","",IF(COUNTIF($C$2:$C152,$C152)=1,1,0))</f>
        <v/>
      </c>
      <c r="AK152">
        <f>IF($AJ152=1,SUMPRODUCT(--($AN$2:$AN$4001&lt;$AN152))+1,"")</f>
        <v/>
      </c>
      <c r="AL152">
        <f>IF($C152="","",IF(OR($Q152=TRUE(),$Q152="TRUE"),1,0))</f>
        <v/>
      </c>
      <c r="AM152">
        <f>IF($C152="","",IF($W152="Yes",1,0))</f>
        <v/>
      </c>
      <c r="AN152">
        <f>IF($AJ152=1,IFERROR(IF(VALUE($C152)&lt;100000000,VALUE($C152),1000000000),IFERROR(IF(VALUE(MID($C152,2,20))&lt;100000000,VALUE(MID($C152,2,20)),1000000000),1000000000))+ROW()/100000,"")</f>
        <v/>
      </c>
    </row>
    <row r="153">
      <c r="E153" s="11" t="n"/>
      <c r="M153" s="7">
        <f>IF($C153="","",L153*U153/100)</f>
        <v/>
      </c>
      <c r="N153" s="7" t="n"/>
      <c r="T153" s="7" t="n"/>
      <c r="U153" s="7">
        <f>IF($C153="","",S153*T153)</f>
        <v/>
      </c>
      <c r="X153">
        <f>IF($C153="","",IF($AM153=1,0,IF($AL153=1,Settings!$C$6,Settings!$C$7))*100)</f>
        <v/>
      </c>
      <c r="AB153" s="7" t="n"/>
      <c r="AE153" s="11" t="n"/>
      <c r="AG153" s="7">
        <f>IF($C153="","",U153*X153/100)</f>
        <v/>
      </c>
      <c r="AH153" s="7">
        <f>IF($C153="","",U153-AG153)</f>
        <v/>
      </c>
      <c r="AI153" s="7">
        <f>IF($C153="","",AH153-M153)</f>
        <v/>
      </c>
      <c r="AJ153">
        <f>IF($C153="","",IF(COUNTIF($C$2:$C153,$C153)=1,1,0))</f>
        <v/>
      </c>
      <c r="AK153">
        <f>IF($AJ153=1,SUMPRODUCT(--($AN$2:$AN$4001&lt;$AN153))+1,"")</f>
        <v/>
      </c>
      <c r="AL153">
        <f>IF($C153="","",IF(OR($Q153=TRUE(),$Q153="TRUE"),1,0))</f>
        <v/>
      </c>
      <c r="AM153">
        <f>IF($C153="","",IF($W153="Yes",1,0))</f>
        <v/>
      </c>
      <c r="AN153">
        <f>IF($AJ153=1,IFERROR(IF(VALUE($C153)&lt;100000000,VALUE($C153),1000000000),IFERROR(IF(VALUE(MID($C153,2,20))&lt;100000000,VALUE(MID($C153,2,20)),1000000000),1000000000))+ROW()/100000,"")</f>
        <v/>
      </c>
    </row>
    <row r="154">
      <c r="E154" s="11" t="n"/>
      <c r="M154" s="7">
        <f>IF($C154="","",L154*U154/100)</f>
        <v/>
      </c>
      <c r="N154" s="7" t="n"/>
      <c r="T154" s="7" t="n"/>
      <c r="U154" s="7">
        <f>IF($C154="","",S154*T154)</f>
        <v/>
      </c>
      <c r="X154">
        <f>IF($C154="","",IF($AM154=1,0,IF($AL154=1,Settings!$C$6,Settings!$C$7))*100)</f>
        <v/>
      </c>
      <c r="AB154" s="7" t="n"/>
      <c r="AE154" s="11" t="n"/>
      <c r="AG154" s="7">
        <f>IF($C154="","",U154*X154/100)</f>
        <v/>
      </c>
      <c r="AH154" s="7">
        <f>IF($C154="","",U154-AG154)</f>
        <v/>
      </c>
      <c r="AI154" s="7">
        <f>IF($C154="","",AH154-M154)</f>
        <v/>
      </c>
      <c r="AJ154">
        <f>IF($C154="","",IF(COUNTIF($C$2:$C154,$C154)=1,1,0))</f>
        <v/>
      </c>
      <c r="AK154">
        <f>IF($AJ154=1,SUMPRODUCT(--($AN$2:$AN$4001&lt;$AN154))+1,"")</f>
        <v/>
      </c>
      <c r="AL154">
        <f>IF($C154="","",IF(OR($Q154=TRUE(),$Q154="TRUE"),1,0))</f>
        <v/>
      </c>
      <c r="AM154">
        <f>IF($C154="","",IF($W154="Yes",1,0))</f>
        <v/>
      </c>
      <c r="AN154">
        <f>IF($AJ154=1,IFERROR(IF(VALUE($C154)&lt;100000000,VALUE($C154),1000000000),IFERROR(IF(VALUE(MID($C154,2,20))&lt;100000000,VALUE(MID($C154,2,20)),1000000000),1000000000))+ROW()/100000,"")</f>
        <v/>
      </c>
    </row>
    <row r="155">
      <c r="E155" s="11" t="n"/>
      <c r="M155" s="7">
        <f>IF($C155="","",L155*U155/100)</f>
        <v/>
      </c>
      <c r="N155" s="7" t="n"/>
      <c r="T155" s="7" t="n"/>
      <c r="U155" s="7">
        <f>IF($C155="","",S155*T155)</f>
        <v/>
      </c>
      <c r="X155">
        <f>IF($C155="","",IF($AM155=1,0,IF($AL155=1,Settings!$C$6,Settings!$C$7))*100)</f>
        <v/>
      </c>
      <c r="AB155" s="7" t="n"/>
      <c r="AE155" s="11" t="n"/>
      <c r="AG155" s="7">
        <f>IF($C155="","",U155*X155/100)</f>
        <v/>
      </c>
      <c r="AH155" s="7">
        <f>IF($C155="","",U155-AG155)</f>
        <v/>
      </c>
      <c r="AI155" s="7">
        <f>IF($C155="","",AH155-M155)</f>
        <v/>
      </c>
      <c r="AJ155">
        <f>IF($C155="","",IF(COUNTIF($C$2:$C155,$C155)=1,1,0))</f>
        <v/>
      </c>
      <c r="AK155">
        <f>IF($AJ155=1,SUMPRODUCT(--($AN$2:$AN$4001&lt;$AN155))+1,"")</f>
        <v/>
      </c>
      <c r="AL155">
        <f>IF($C155="","",IF(OR($Q155=TRUE(),$Q155="TRUE"),1,0))</f>
        <v/>
      </c>
      <c r="AM155">
        <f>IF($C155="","",IF($W155="Yes",1,0))</f>
        <v/>
      </c>
      <c r="AN155">
        <f>IF($AJ155=1,IFERROR(IF(VALUE($C155)&lt;100000000,VALUE($C155),1000000000),IFERROR(IF(VALUE(MID($C155,2,20))&lt;100000000,VALUE(MID($C155,2,20)),1000000000),1000000000))+ROW()/100000,"")</f>
        <v/>
      </c>
    </row>
    <row r="156">
      <c r="E156" s="11" t="n"/>
      <c r="M156" s="7">
        <f>IF($C156="","",L156*U156/100)</f>
        <v/>
      </c>
      <c r="N156" s="7" t="n"/>
      <c r="T156" s="7" t="n"/>
      <c r="U156" s="7">
        <f>IF($C156="","",S156*T156)</f>
        <v/>
      </c>
      <c r="X156">
        <f>IF($C156="","",IF($AM156=1,0,IF($AL156=1,Settings!$C$6,Settings!$C$7))*100)</f>
        <v/>
      </c>
      <c r="AB156" s="7" t="n"/>
      <c r="AE156" s="11" t="n"/>
      <c r="AG156" s="7">
        <f>IF($C156="","",U156*X156/100)</f>
        <v/>
      </c>
      <c r="AH156" s="7">
        <f>IF($C156="","",U156-AG156)</f>
        <v/>
      </c>
      <c r="AI156" s="7">
        <f>IF($C156="","",AH156-M156)</f>
        <v/>
      </c>
      <c r="AJ156">
        <f>IF($C156="","",IF(COUNTIF($C$2:$C156,$C156)=1,1,0))</f>
        <v/>
      </c>
      <c r="AK156">
        <f>IF($AJ156=1,SUMPRODUCT(--($AN$2:$AN$4001&lt;$AN156))+1,"")</f>
        <v/>
      </c>
      <c r="AL156">
        <f>IF($C156="","",IF(OR($Q156=TRUE(),$Q156="TRUE"),1,0))</f>
        <v/>
      </c>
      <c r="AM156">
        <f>IF($C156="","",IF($W156="Yes",1,0))</f>
        <v/>
      </c>
      <c r="AN156">
        <f>IF($AJ156=1,IFERROR(IF(VALUE($C156)&lt;100000000,VALUE($C156),1000000000),IFERROR(IF(VALUE(MID($C156,2,20))&lt;100000000,VALUE(MID($C156,2,20)),1000000000),1000000000))+ROW()/100000,"")</f>
        <v/>
      </c>
    </row>
    <row r="157">
      <c r="E157" s="11" t="n"/>
      <c r="M157" s="7">
        <f>IF($C157="","",L157*U157/100)</f>
        <v/>
      </c>
      <c r="N157" s="7" t="n"/>
      <c r="T157" s="7" t="n"/>
      <c r="U157" s="7">
        <f>IF($C157="","",S157*T157)</f>
        <v/>
      </c>
      <c r="X157">
        <f>IF($C157="","",IF($AM157=1,0,IF($AL157=1,Settings!$C$6,Settings!$C$7))*100)</f>
        <v/>
      </c>
      <c r="AB157" s="7" t="n"/>
      <c r="AE157" s="11" t="n"/>
      <c r="AG157" s="7">
        <f>IF($C157="","",U157*X157/100)</f>
        <v/>
      </c>
      <c r="AH157" s="7">
        <f>IF($C157="","",U157-AG157)</f>
        <v/>
      </c>
      <c r="AI157" s="7">
        <f>IF($C157="","",AH157-M157)</f>
        <v/>
      </c>
      <c r="AJ157">
        <f>IF($C157="","",IF(COUNTIF($C$2:$C157,$C157)=1,1,0))</f>
        <v/>
      </c>
      <c r="AK157">
        <f>IF($AJ157=1,SUMPRODUCT(--($AN$2:$AN$4001&lt;$AN157))+1,"")</f>
        <v/>
      </c>
      <c r="AL157">
        <f>IF($C157="","",IF(OR($Q157=TRUE(),$Q157="TRUE"),1,0))</f>
        <v/>
      </c>
      <c r="AM157">
        <f>IF($C157="","",IF($W157="Yes",1,0))</f>
        <v/>
      </c>
      <c r="AN157">
        <f>IF($AJ157=1,IFERROR(IF(VALUE($C157)&lt;100000000,VALUE($C157),1000000000),IFERROR(IF(VALUE(MID($C157,2,20))&lt;100000000,VALUE(MID($C157,2,20)),1000000000),1000000000))+ROW()/100000,"")</f>
        <v/>
      </c>
    </row>
    <row r="158">
      <c r="E158" s="11" t="n"/>
      <c r="M158" s="7">
        <f>IF($C158="","",L158*U158/100)</f>
        <v/>
      </c>
      <c r="N158" s="7" t="n"/>
      <c r="T158" s="7" t="n"/>
      <c r="U158" s="7">
        <f>IF($C158="","",S158*T158)</f>
        <v/>
      </c>
      <c r="X158">
        <f>IF($C158="","",IF($AM158=1,0,IF($AL158=1,Settings!$C$6,Settings!$C$7))*100)</f>
        <v/>
      </c>
      <c r="AB158" s="7" t="n"/>
      <c r="AE158" s="11" t="n"/>
      <c r="AG158" s="7">
        <f>IF($C158="","",U158*X158/100)</f>
        <v/>
      </c>
      <c r="AH158" s="7">
        <f>IF($C158="","",U158-AG158)</f>
        <v/>
      </c>
      <c r="AI158" s="7">
        <f>IF($C158="","",AH158-M158)</f>
        <v/>
      </c>
      <c r="AJ158">
        <f>IF($C158="","",IF(COUNTIF($C$2:$C158,$C158)=1,1,0))</f>
        <v/>
      </c>
      <c r="AK158">
        <f>IF($AJ158=1,SUMPRODUCT(--($AN$2:$AN$4001&lt;$AN158))+1,"")</f>
        <v/>
      </c>
      <c r="AL158">
        <f>IF($C158="","",IF(OR($Q158=TRUE(),$Q158="TRUE"),1,0))</f>
        <v/>
      </c>
      <c r="AM158">
        <f>IF($C158="","",IF($W158="Yes",1,0))</f>
        <v/>
      </c>
      <c r="AN158">
        <f>IF($AJ158=1,IFERROR(IF(VALUE($C158)&lt;100000000,VALUE($C158),1000000000),IFERROR(IF(VALUE(MID($C158,2,20))&lt;100000000,VALUE(MID($C158,2,20)),1000000000),1000000000))+ROW()/100000,"")</f>
        <v/>
      </c>
    </row>
    <row r="159">
      <c r="E159" s="11" t="n"/>
      <c r="M159" s="7">
        <f>IF($C159="","",L159*U159/100)</f>
        <v/>
      </c>
      <c r="N159" s="7" t="n"/>
      <c r="T159" s="7" t="n"/>
      <c r="U159" s="7">
        <f>IF($C159="","",S159*T159)</f>
        <v/>
      </c>
      <c r="X159">
        <f>IF($C159="","",IF($AM159=1,0,IF($AL159=1,Settings!$C$6,Settings!$C$7))*100)</f>
        <v/>
      </c>
      <c r="AB159" s="7" t="n"/>
      <c r="AE159" s="11" t="n"/>
      <c r="AG159" s="7">
        <f>IF($C159="","",U159*X159/100)</f>
        <v/>
      </c>
      <c r="AH159" s="7">
        <f>IF($C159="","",U159-AG159)</f>
        <v/>
      </c>
      <c r="AI159" s="7">
        <f>IF($C159="","",AH159-M159)</f>
        <v/>
      </c>
      <c r="AJ159">
        <f>IF($C159="","",IF(COUNTIF($C$2:$C159,$C159)=1,1,0))</f>
        <v/>
      </c>
      <c r="AK159">
        <f>IF($AJ159=1,SUMPRODUCT(--($AN$2:$AN$4001&lt;$AN159))+1,"")</f>
        <v/>
      </c>
      <c r="AL159">
        <f>IF($C159="","",IF(OR($Q159=TRUE(),$Q159="TRUE"),1,0))</f>
        <v/>
      </c>
      <c r="AM159">
        <f>IF($C159="","",IF($W159="Yes",1,0))</f>
        <v/>
      </c>
      <c r="AN159">
        <f>IF($AJ159=1,IFERROR(IF(VALUE($C159)&lt;100000000,VALUE($C159),1000000000),IFERROR(IF(VALUE(MID($C159,2,20))&lt;100000000,VALUE(MID($C159,2,20)),1000000000),1000000000))+ROW()/100000,"")</f>
        <v/>
      </c>
    </row>
    <row r="160">
      <c r="E160" s="11" t="n"/>
      <c r="M160" s="7">
        <f>IF($C160="","",L160*U160/100)</f>
        <v/>
      </c>
      <c r="N160" s="7" t="n"/>
      <c r="T160" s="7" t="n"/>
      <c r="U160" s="7">
        <f>IF($C160="","",S160*T160)</f>
        <v/>
      </c>
      <c r="X160">
        <f>IF($C160="","",IF($AM160=1,0,IF($AL160=1,Settings!$C$6,Settings!$C$7))*100)</f>
        <v/>
      </c>
      <c r="AB160" s="7" t="n"/>
      <c r="AE160" s="11" t="n"/>
      <c r="AG160" s="7">
        <f>IF($C160="","",U160*X160/100)</f>
        <v/>
      </c>
      <c r="AH160" s="7">
        <f>IF($C160="","",U160-AG160)</f>
        <v/>
      </c>
      <c r="AI160" s="7">
        <f>IF($C160="","",AH160-M160)</f>
        <v/>
      </c>
      <c r="AJ160">
        <f>IF($C160="","",IF(COUNTIF($C$2:$C160,$C160)=1,1,0))</f>
        <v/>
      </c>
      <c r="AK160">
        <f>IF($AJ160=1,SUMPRODUCT(--($AN$2:$AN$4001&lt;$AN160))+1,"")</f>
        <v/>
      </c>
      <c r="AL160">
        <f>IF($C160="","",IF(OR($Q160=TRUE(),$Q160="TRUE"),1,0))</f>
        <v/>
      </c>
      <c r="AM160">
        <f>IF($C160="","",IF($W160="Yes",1,0))</f>
        <v/>
      </c>
      <c r="AN160">
        <f>IF($AJ160=1,IFERROR(IF(VALUE($C160)&lt;100000000,VALUE($C160),1000000000),IFERROR(IF(VALUE(MID($C160,2,20))&lt;100000000,VALUE(MID($C160,2,20)),1000000000),1000000000))+ROW()/100000,"")</f>
        <v/>
      </c>
    </row>
    <row r="161">
      <c r="E161" s="11" t="n"/>
      <c r="M161" s="7">
        <f>IF($C161="","",L161*U161/100)</f>
        <v/>
      </c>
      <c r="N161" s="7" t="n"/>
      <c r="T161" s="7" t="n"/>
      <c r="U161" s="7">
        <f>IF($C161="","",S161*T161)</f>
        <v/>
      </c>
      <c r="X161">
        <f>IF($C161="","",IF($AM161=1,0,IF($AL161=1,Settings!$C$6,Settings!$C$7))*100)</f>
        <v/>
      </c>
      <c r="AB161" s="7" t="n"/>
      <c r="AE161" s="11" t="n"/>
      <c r="AG161" s="7">
        <f>IF($C161="","",U161*X161/100)</f>
        <v/>
      </c>
      <c r="AH161" s="7">
        <f>IF($C161="","",U161-AG161)</f>
        <v/>
      </c>
      <c r="AI161" s="7">
        <f>IF($C161="","",AH161-M161)</f>
        <v/>
      </c>
      <c r="AJ161">
        <f>IF($C161="","",IF(COUNTIF($C$2:$C161,$C161)=1,1,0))</f>
        <v/>
      </c>
      <c r="AK161">
        <f>IF($AJ161=1,SUMPRODUCT(--($AN$2:$AN$4001&lt;$AN161))+1,"")</f>
        <v/>
      </c>
      <c r="AL161">
        <f>IF($C161="","",IF(OR($Q161=TRUE(),$Q161="TRUE"),1,0))</f>
        <v/>
      </c>
      <c r="AM161">
        <f>IF($C161="","",IF($W161="Yes",1,0))</f>
        <v/>
      </c>
      <c r="AN161">
        <f>IF($AJ161=1,IFERROR(IF(VALUE($C161)&lt;100000000,VALUE($C161),1000000000),IFERROR(IF(VALUE(MID($C161,2,20))&lt;100000000,VALUE(MID($C161,2,20)),1000000000),1000000000))+ROW()/100000,"")</f>
        <v/>
      </c>
    </row>
    <row r="162">
      <c r="E162" s="11" t="n"/>
      <c r="M162" s="7">
        <f>IF($C162="","",L162*U162/100)</f>
        <v/>
      </c>
      <c r="N162" s="7" t="n"/>
      <c r="T162" s="7" t="n"/>
      <c r="U162" s="7">
        <f>IF($C162="","",S162*T162)</f>
        <v/>
      </c>
      <c r="X162">
        <f>IF($C162="","",IF($AM162=1,0,IF($AL162=1,Settings!$C$6,Settings!$C$7))*100)</f>
        <v/>
      </c>
      <c r="AB162" s="7" t="n"/>
      <c r="AE162" s="11" t="n"/>
      <c r="AG162" s="7">
        <f>IF($C162="","",U162*X162/100)</f>
        <v/>
      </c>
      <c r="AH162" s="7">
        <f>IF($C162="","",U162-AG162)</f>
        <v/>
      </c>
      <c r="AI162" s="7">
        <f>IF($C162="","",AH162-M162)</f>
        <v/>
      </c>
      <c r="AJ162">
        <f>IF($C162="","",IF(COUNTIF($C$2:$C162,$C162)=1,1,0))</f>
        <v/>
      </c>
      <c r="AK162">
        <f>IF($AJ162=1,SUMPRODUCT(--($AN$2:$AN$4001&lt;$AN162))+1,"")</f>
        <v/>
      </c>
      <c r="AL162">
        <f>IF($C162="","",IF(OR($Q162=TRUE(),$Q162="TRUE"),1,0))</f>
        <v/>
      </c>
      <c r="AM162">
        <f>IF($C162="","",IF($W162="Yes",1,0))</f>
        <v/>
      </c>
      <c r="AN162">
        <f>IF($AJ162=1,IFERROR(IF(VALUE($C162)&lt;100000000,VALUE($C162),1000000000),IFERROR(IF(VALUE(MID($C162,2,20))&lt;100000000,VALUE(MID($C162,2,20)),1000000000),1000000000))+ROW()/100000,"")</f>
        <v/>
      </c>
    </row>
    <row r="163">
      <c r="E163" s="11" t="n"/>
      <c r="M163" s="7">
        <f>IF($C163="","",L163*U163/100)</f>
        <v/>
      </c>
      <c r="N163" s="7" t="n"/>
      <c r="T163" s="7" t="n"/>
      <c r="U163" s="7">
        <f>IF($C163="","",S163*T163)</f>
        <v/>
      </c>
      <c r="X163">
        <f>IF($C163="","",IF($AM163=1,0,IF($AL163=1,Settings!$C$6,Settings!$C$7))*100)</f>
        <v/>
      </c>
      <c r="AB163" s="7" t="n"/>
      <c r="AE163" s="11" t="n"/>
      <c r="AG163" s="7">
        <f>IF($C163="","",U163*X163/100)</f>
        <v/>
      </c>
      <c r="AH163" s="7">
        <f>IF($C163="","",U163-AG163)</f>
        <v/>
      </c>
      <c r="AI163" s="7">
        <f>IF($C163="","",AH163-M163)</f>
        <v/>
      </c>
      <c r="AJ163">
        <f>IF($C163="","",IF(COUNTIF($C$2:$C163,$C163)=1,1,0))</f>
        <v/>
      </c>
      <c r="AK163">
        <f>IF($AJ163=1,SUMPRODUCT(--($AN$2:$AN$4001&lt;$AN163))+1,"")</f>
        <v/>
      </c>
      <c r="AL163">
        <f>IF($C163="","",IF(OR($Q163=TRUE(),$Q163="TRUE"),1,0))</f>
        <v/>
      </c>
      <c r="AM163">
        <f>IF($C163="","",IF($W163="Yes",1,0))</f>
        <v/>
      </c>
      <c r="AN163">
        <f>IF($AJ163=1,IFERROR(IF(VALUE($C163)&lt;100000000,VALUE($C163),1000000000),IFERROR(IF(VALUE(MID($C163,2,20))&lt;100000000,VALUE(MID($C163,2,20)),1000000000),1000000000))+ROW()/100000,"")</f>
        <v/>
      </c>
    </row>
    <row r="164">
      <c r="E164" s="11" t="n"/>
      <c r="M164" s="7">
        <f>IF($C164="","",L164*U164/100)</f>
        <v/>
      </c>
      <c r="N164" s="7" t="n"/>
      <c r="T164" s="7" t="n"/>
      <c r="U164" s="7">
        <f>IF($C164="","",S164*T164)</f>
        <v/>
      </c>
      <c r="X164">
        <f>IF($C164="","",IF($AM164=1,0,IF($AL164=1,Settings!$C$6,Settings!$C$7))*100)</f>
        <v/>
      </c>
      <c r="AB164" s="7" t="n"/>
      <c r="AE164" s="11" t="n"/>
      <c r="AG164" s="7">
        <f>IF($C164="","",U164*X164/100)</f>
        <v/>
      </c>
      <c r="AH164" s="7">
        <f>IF($C164="","",U164-AG164)</f>
        <v/>
      </c>
      <c r="AI164" s="7">
        <f>IF($C164="","",AH164-M164)</f>
        <v/>
      </c>
      <c r="AJ164">
        <f>IF($C164="","",IF(COUNTIF($C$2:$C164,$C164)=1,1,0))</f>
        <v/>
      </c>
      <c r="AK164">
        <f>IF($AJ164=1,SUMPRODUCT(--($AN$2:$AN$4001&lt;$AN164))+1,"")</f>
        <v/>
      </c>
      <c r="AL164">
        <f>IF($C164="","",IF(OR($Q164=TRUE(),$Q164="TRUE"),1,0))</f>
        <v/>
      </c>
      <c r="AM164">
        <f>IF($C164="","",IF($W164="Yes",1,0))</f>
        <v/>
      </c>
      <c r="AN164">
        <f>IF($AJ164=1,IFERROR(IF(VALUE($C164)&lt;100000000,VALUE($C164),1000000000),IFERROR(IF(VALUE(MID($C164,2,20))&lt;100000000,VALUE(MID($C164,2,20)),1000000000),1000000000))+ROW()/100000,"")</f>
        <v/>
      </c>
    </row>
    <row r="165">
      <c r="E165" s="11" t="n"/>
      <c r="M165" s="7">
        <f>IF($C165="","",L165*U165/100)</f>
        <v/>
      </c>
      <c r="N165" s="7" t="n"/>
      <c r="T165" s="7" t="n"/>
      <c r="U165" s="7">
        <f>IF($C165="","",S165*T165)</f>
        <v/>
      </c>
      <c r="X165">
        <f>IF($C165="","",IF($AM165=1,0,IF($AL165=1,Settings!$C$6,Settings!$C$7))*100)</f>
        <v/>
      </c>
      <c r="AB165" s="7" t="n"/>
      <c r="AE165" s="11" t="n"/>
      <c r="AG165" s="7">
        <f>IF($C165="","",U165*X165/100)</f>
        <v/>
      </c>
      <c r="AH165" s="7">
        <f>IF($C165="","",U165-AG165)</f>
        <v/>
      </c>
      <c r="AI165" s="7">
        <f>IF($C165="","",AH165-M165)</f>
        <v/>
      </c>
      <c r="AJ165">
        <f>IF($C165="","",IF(COUNTIF($C$2:$C165,$C165)=1,1,0))</f>
        <v/>
      </c>
      <c r="AK165">
        <f>IF($AJ165=1,SUMPRODUCT(--($AN$2:$AN$4001&lt;$AN165))+1,"")</f>
        <v/>
      </c>
      <c r="AL165">
        <f>IF($C165="","",IF(OR($Q165=TRUE(),$Q165="TRUE"),1,0))</f>
        <v/>
      </c>
      <c r="AM165">
        <f>IF($C165="","",IF($W165="Yes",1,0))</f>
        <v/>
      </c>
      <c r="AN165">
        <f>IF($AJ165=1,IFERROR(IF(VALUE($C165)&lt;100000000,VALUE($C165),1000000000),IFERROR(IF(VALUE(MID($C165,2,20))&lt;100000000,VALUE(MID($C165,2,20)),1000000000),1000000000))+ROW()/100000,"")</f>
        <v/>
      </c>
    </row>
    <row r="166">
      <c r="E166" s="11" t="n"/>
      <c r="M166" s="7">
        <f>IF($C166="","",L166*U166/100)</f>
        <v/>
      </c>
      <c r="N166" s="7" t="n"/>
      <c r="T166" s="7" t="n"/>
      <c r="U166" s="7">
        <f>IF($C166="","",S166*T166)</f>
        <v/>
      </c>
      <c r="X166">
        <f>IF($C166="","",IF($AM166=1,0,IF($AL166=1,Settings!$C$6,Settings!$C$7))*100)</f>
        <v/>
      </c>
      <c r="AB166" s="7" t="n"/>
      <c r="AE166" s="11" t="n"/>
      <c r="AG166" s="7">
        <f>IF($C166="","",U166*X166/100)</f>
        <v/>
      </c>
      <c r="AH166" s="7">
        <f>IF($C166="","",U166-AG166)</f>
        <v/>
      </c>
      <c r="AI166" s="7">
        <f>IF($C166="","",AH166-M166)</f>
        <v/>
      </c>
      <c r="AJ166">
        <f>IF($C166="","",IF(COUNTIF($C$2:$C166,$C166)=1,1,0))</f>
        <v/>
      </c>
      <c r="AK166">
        <f>IF($AJ166=1,SUMPRODUCT(--($AN$2:$AN$4001&lt;$AN166))+1,"")</f>
        <v/>
      </c>
      <c r="AL166">
        <f>IF($C166="","",IF(OR($Q166=TRUE(),$Q166="TRUE"),1,0))</f>
        <v/>
      </c>
      <c r="AM166">
        <f>IF($C166="","",IF($W166="Yes",1,0))</f>
        <v/>
      </c>
      <c r="AN166">
        <f>IF($AJ166=1,IFERROR(IF(VALUE($C166)&lt;100000000,VALUE($C166),1000000000),IFERROR(IF(VALUE(MID($C166,2,20))&lt;100000000,VALUE(MID($C166,2,20)),1000000000),1000000000))+ROW()/100000,"")</f>
        <v/>
      </c>
    </row>
    <row r="167">
      <c r="E167" s="11" t="n"/>
      <c r="M167" s="7">
        <f>IF($C167="","",L167*U167/100)</f>
        <v/>
      </c>
      <c r="N167" s="7" t="n"/>
      <c r="T167" s="7" t="n"/>
      <c r="U167" s="7">
        <f>IF($C167="","",S167*T167)</f>
        <v/>
      </c>
      <c r="X167">
        <f>IF($C167="","",IF($AM167=1,0,IF($AL167=1,Settings!$C$6,Settings!$C$7))*100)</f>
        <v/>
      </c>
      <c r="AB167" s="7" t="n"/>
      <c r="AE167" s="11" t="n"/>
      <c r="AG167" s="7">
        <f>IF($C167="","",U167*X167/100)</f>
        <v/>
      </c>
      <c r="AH167" s="7">
        <f>IF($C167="","",U167-AG167)</f>
        <v/>
      </c>
      <c r="AI167" s="7">
        <f>IF($C167="","",AH167-M167)</f>
        <v/>
      </c>
      <c r="AJ167">
        <f>IF($C167="","",IF(COUNTIF($C$2:$C167,$C167)=1,1,0))</f>
        <v/>
      </c>
      <c r="AK167">
        <f>IF($AJ167=1,SUMPRODUCT(--($AN$2:$AN$4001&lt;$AN167))+1,"")</f>
        <v/>
      </c>
      <c r="AL167">
        <f>IF($C167="","",IF(OR($Q167=TRUE(),$Q167="TRUE"),1,0))</f>
        <v/>
      </c>
      <c r="AM167">
        <f>IF($C167="","",IF($W167="Yes",1,0))</f>
        <v/>
      </c>
      <c r="AN167">
        <f>IF($AJ167=1,IFERROR(IF(VALUE($C167)&lt;100000000,VALUE($C167),1000000000),IFERROR(IF(VALUE(MID($C167,2,20))&lt;100000000,VALUE(MID($C167,2,20)),1000000000),1000000000))+ROW()/100000,"")</f>
        <v/>
      </c>
    </row>
    <row r="168">
      <c r="E168" s="11" t="n"/>
      <c r="M168" s="7">
        <f>IF($C168="","",L168*U168/100)</f>
        <v/>
      </c>
      <c r="N168" s="7" t="n"/>
      <c r="T168" s="7" t="n"/>
      <c r="U168" s="7">
        <f>IF($C168="","",S168*T168)</f>
        <v/>
      </c>
      <c r="X168">
        <f>IF($C168="","",IF($AM168=1,0,IF($AL168=1,Settings!$C$6,Settings!$C$7))*100)</f>
        <v/>
      </c>
      <c r="AB168" s="7" t="n"/>
      <c r="AE168" s="11" t="n"/>
      <c r="AG168" s="7">
        <f>IF($C168="","",U168*X168/100)</f>
        <v/>
      </c>
      <c r="AH168" s="7">
        <f>IF($C168="","",U168-AG168)</f>
        <v/>
      </c>
      <c r="AI168" s="7">
        <f>IF($C168="","",AH168-M168)</f>
        <v/>
      </c>
      <c r="AJ168">
        <f>IF($C168="","",IF(COUNTIF($C$2:$C168,$C168)=1,1,0))</f>
        <v/>
      </c>
      <c r="AK168">
        <f>IF($AJ168=1,SUMPRODUCT(--($AN$2:$AN$4001&lt;$AN168))+1,"")</f>
        <v/>
      </c>
      <c r="AL168">
        <f>IF($C168="","",IF(OR($Q168=TRUE(),$Q168="TRUE"),1,0))</f>
        <v/>
      </c>
      <c r="AM168">
        <f>IF($C168="","",IF($W168="Yes",1,0))</f>
        <v/>
      </c>
      <c r="AN168">
        <f>IF($AJ168=1,IFERROR(IF(VALUE($C168)&lt;100000000,VALUE($C168),1000000000),IFERROR(IF(VALUE(MID($C168,2,20))&lt;100000000,VALUE(MID($C168,2,20)),1000000000),1000000000))+ROW()/100000,"")</f>
        <v/>
      </c>
    </row>
    <row r="169">
      <c r="E169" s="11" t="n"/>
      <c r="M169" s="7">
        <f>IF($C169="","",L169*U169/100)</f>
        <v/>
      </c>
      <c r="N169" s="7" t="n"/>
      <c r="T169" s="7" t="n"/>
      <c r="U169" s="7">
        <f>IF($C169="","",S169*T169)</f>
        <v/>
      </c>
      <c r="X169">
        <f>IF($C169="","",IF($AM169=1,0,IF($AL169=1,Settings!$C$6,Settings!$C$7))*100)</f>
        <v/>
      </c>
      <c r="AB169" s="7" t="n"/>
      <c r="AE169" s="11" t="n"/>
      <c r="AG169" s="7">
        <f>IF($C169="","",U169*X169/100)</f>
        <v/>
      </c>
      <c r="AH169" s="7">
        <f>IF($C169="","",U169-AG169)</f>
        <v/>
      </c>
      <c r="AI169" s="7">
        <f>IF($C169="","",AH169-M169)</f>
        <v/>
      </c>
      <c r="AJ169">
        <f>IF($C169="","",IF(COUNTIF($C$2:$C169,$C169)=1,1,0))</f>
        <v/>
      </c>
      <c r="AK169">
        <f>IF($AJ169=1,SUMPRODUCT(--($AN$2:$AN$4001&lt;$AN169))+1,"")</f>
        <v/>
      </c>
      <c r="AL169">
        <f>IF($C169="","",IF(OR($Q169=TRUE(),$Q169="TRUE"),1,0))</f>
        <v/>
      </c>
      <c r="AM169">
        <f>IF($C169="","",IF($W169="Yes",1,0))</f>
        <v/>
      </c>
      <c r="AN169">
        <f>IF($AJ169=1,IFERROR(IF(VALUE($C169)&lt;100000000,VALUE($C169),1000000000),IFERROR(IF(VALUE(MID($C169,2,20))&lt;100000000,VALUE(MID($C169,2,20)),1000000000),1000000000))+ROW()/100000,"")</f>
        <v/>
      </c>
    </row>
    <row r="170">
      <c r="E170" s="11" t="n"/>
      <c r="M170" s="7">
        <f>IF($C170="","",L170*U170/100)</f>
        <v/>
      </c>
      <c r="N170" s="7" t="n"/>
      <c r="T170" s="7" t="n"/>
      <c r="U170" s="7">
        <f>IF($C170="","",S170*T170)</f>
        <v/>
      </c>
      <c r="X170">
        <f>IF($C170="","",IF($AM170=1,0,IF($AL170=1,Settings!$C$6,Settings!$C$7))*100)</f>
        <v/>
      </c>
      <c r="AB170" s="7" t="n"/>
      <c r="AE170" s="11" t="n"/>
      <c r="AG170" s="7">
        <f>IF($C170="","",U170*X170/100)</f>
        <v/>
      </c>
      <c r="AH170" s="7">
        <f>IF($C170="","",U170-AG170)</f>
        <v/>
      </c>
      <c r="AI170" s="7">
        <f>IF($C170="","",AH170-M170)</f>
        <v/>
      </c>
      <c r="AJ170">
        <f>IF($C170="","",IF(COUNTIF($C$2:$C170,$C170)=1,1,0))</f>
        <v/>
      </c>
      <c r="AK170">
        <f>IF($AJ170=1,SUMPRODUCT(--($AN$2:$AN$4001&lt;$AN170))+1,"")</f>
        <v/>
      </c>
      <c r="AL170">
        <f>IF($C170="","",IF(OR($Q170=TRUE(),$Q170="TRUE"),1,0))</f>
        <v/>
      </c>
      <c r="AM170">
        <f>IF($C170="","",IF($W170="Yes",1,0))</f>
        <v/>
      </c>
      <c r="AN170">
        <f>IF($AJ170=1,IFERROR(IF(VALUE($C170)&lt;100000000,VALUE($C170),1000000000),IFERROR(IF(VALUE(MID($C170,2,20))&lt;100000000,VALUE(MID($C170,2,20)),1000000000),1000000000))+ROW()/100000,"")</f>
        <v/>
      </c>
    </row>
    <row r="171">
      <c r="E171" s="11" t="n"/>
      <c r="M171" s="7">
        <f>IF($C171="","",L171*U171/100)</f>
        <v/>
      </c>
      <c r="N171" s="7" t="n"/>
      <c r="T171" s="7" t="n"/>
      <c r="U171" s="7">
        <f>IF($C171="","",S171*T171)</f>
        <v/>
      </c>
      <c r="X171">
        <f>IF($C171="","",IF($AM171=1,0,IF($AL171=1,Settings!$C$6,Settings!$C$7))*100)</f>
        <v/>
      </c>
      <c r="AB171" s="7" t="n"/>
      <c r="AE171" s="11" t="n"/>
      <c r="AG171" s="7">
        <f>IF($C171="","",U171*X171/100)</f>
        <v/>
      </c>
      <c r="AH171" s="7">
        <f>IF($C171="","",U171-AG171)</f>
        <v/>
      </c>
      <c r="AI171" s="7">
        <f>IF($C171="","",AH171-M171)</f>
        <v/>
      </c>
      <c r="AJ171">
        <f>IF($C171="","",IF(COUNTIF($C$2:$C171,$C171)=1,1,0))</f>
        <v/>
      </c>
      <c r="AK171">
        <f>IF($AJ171=1,SUMPRODUCT(--($AN$2:$AN$4001&lt;$AN171))+1,"")</f>
        <v/>
      </c>
      <c r="AL171">
        <f>IF($C171="","",IF(OR($Q171=TRUE(),$Q171="TRUE"),1,0))</f>
        <v/>
      </c>
      <c r="AM171">
        <f>IF($C171="","",IF($W171="Yes",1,0))</f>
        <v/>
      </c>
      <c r="AN171">
        <f>IF($AJ171=1,IFERROR(IF(VALUE($C171)&lt;100000000,VALUE($C171),1000000000),IFERROR(IF(VALUE(MID($C171,2,20))&lt;100000000,VALUE(MID($C171,2,20)),1000000000),1000000000))+ROW()/100000,"")</f>
        <v/>
      </c>
    </row>
    <row r="172">
      <c r="E172" s="11" t="n"/>
      <c r="M172" s="7">
        <f>IF($C172="","",L172*U172/100)</f>
        <v/>
      </c>
      <c r="N172" s="7" t="n"/>
      <c r="T172" s="7" t="n"/>
      <c r="U172" s="7">
        <f>IF($C172="","",S172*T172)</f>
        <v/>
      </c>
      <c r="X172">
        <f>IF($C172="","",IF($AM172=1,0,IF($AL172=1,Settings!$C$6,Settings!$C$7))*100)</f>
        <v/>
      </c>
      <c r="AB172" s="7" t="n"/>
      <c r="AE172" s="11" t="n"/>
      <c r="AG172" s="7">
        <f>IF($C172="","",U172*X172/100)</f>
        <v/>
      </c>
      <c r="AH172" s="7">
        <f>IF($C172="","",U172-AG172)</f>
        <v/>
      </c>
      <c r="AI172" s="7">
        <f>IF($C172="","",AH172-M172)</f>
        <v/>
      </c>
      <c r="AJ172">
        <f>IF($C172="","",IF(COUNTIF($C$2:$C172,$C172)=1,1,0))</f>
        <v/>
      </c>
      <c r="AK172">
        <f>IF($AJ172=1,SUMPRODUCT(--($AN$2:$AN$4001&lt;$AN172))+1,"")</f>
        <v/>
      </c>
      <c r="AL172">
        <f>IF($C172="","",IF(OR($Q172=TRUE(),$Q172="TRUE"),1,0))</f>
        <v/>
      </c>
      <c r="AM172">
        <f>IF($C172="","",IF($W172="Yes",1,0))</f>
        <v/>
      </c>
      <c r="AN172">
        <f>IF($AJ172=1,IFERROR(IF(VALUE($C172)&lt;100000000,VALUE($C172),1000000000),IFERROR(IF(VALUE(MID($C172,2,20))&lt;100000000,VALUE(MID($C172,2,20)),1000000000),1000000000))+ROW()/100000,"")</f>
        <v/>
      </c>
    </row>
    <row r="173">
      <c r="E173" s="11" t="n"/>
      <c r="M173" s="7">
        <f>IF($C173="","",L173*U173/100)</f>
        <v/>
      </c>
      <c r="N173" s="7" t="n"/>
      <c r="T173" s="7" t="n"/>
      <c r="U173" s="7">
        <f>IF($C173="","",S173*T173)</f>
        <v/>
      </c>
      <c r="X173">
        <f>IF($C173="","",IF($AM173=1,0,IF($AL173=1,Settings!$C$6,Settings!$C$7))*100)</f>
        <v/>
      </c>
      <c r="AB173" s="7" t="n"/>
      <c r="AE173" s="11" t="n"/>
      <c r="AG173" s="7">
        <f>IF($C173="","",U173*X173/100)</f>
        <v/>
      </c>
      <c r="AH173" s="7">
        <f>IF($C173="","",U173-AG173)</f>
        <v/>
      </c>
      <c r="AI173" s="7">
        <f>IF($C173="","",AH173-M173)</f>
        <v/>
      </c>
      <c r="AJ173">
        <f>IF($C173="","",IF(COUNTIF($C$2:$C173,$C173)=1,1,0))</f>
        <v/>
      </c>
      <c r="AK173">
        <f>IF($AJ173=1,SUMPRODUCT(--($AN$2:$AN$4001&lt;$AN173))+1,"")</f>
        <v/>
      </c>
      <c r="AL173">
        <f>IF($C173="","",IF(OR($Q173=TRUE(),$Q173="TRUE"),1,0))</f>
        <v/>
      </c>
      <c r="AM173">
        <f>IF($C173="","",IF($W173="Yes",1,0))</f>
        <v/>
      </c>
      <c r="AN173">
        <f>IF($AJ173=1,IFERROR(IF(VALUE($C173)&lt;100000000,VALUE($C173),1000000000),IFERROR(IF(VALUE(MID($C173,2,20))&lt;100000000,VALUE(MID($C173,2,20)),1000000000),1000000000))+ROW()/100000,"")</f>
        <v/>
      </c>
    </row>
    <row r="174">
      <c r="E174" s="11" t="n"/>
      <c r="M174" s="7">
        <f>IF($C174="","",L174*U174/100)</f>
        <v/>
      </c>
      <c r="N174" s="7" t="n"/>
      <c r="T174" s="7" t="n"/>
      <c r="U174" s="7">
        <f>IF($C174="","",S174*T174)</f>
        <v/>
      </c>
      <c r="X174">
        <f>IF($C174="","",IF($AM174=1,0,IF($AL174=1,Settings!$C$6,Settings!$C$7))*100)</f>
        <v/>
      </c>
      <c r="AB174" s="7" t="n"/>
      <c r="AE174" s="11" t="n"/>
      <c r="AG174" s="7">
        <f>IF($C174="","",U174*X174/100)</f>
        <v/>
      </c>
      <c r="AH174" s="7">
        <f>IF($C174="","",U174-AG174)</f>
        <v/>
      </c>
      <c r="AI174" s="7">
        <f>IF($C174="","",AH174-M174)</f>
        <v/>
      </c>
      <c r="AJ174">
        <f>IF($C174="","",IF(COUNTIF($C$2:$C174,$C174)=1,1,0))</f>
        <v/>
      </c>
      <c r="AK174">
        <f>IF($AJ174=1,SUMPRODUCT(--($AN$2:$AN$4001&lt;$AN174))+1,"")</f>
        <v/>
      </c>
      <c r="AL174">
        <f>IF($C174="","",IF(OR($Q174=TRUE(),$Q174="TRUE"),1,0))</f>
        <v/>
      </c>
      <c r="AM174">
        <f>IF($C174="","",IF($W174="Yes",1,0))</f>
        <v/>
      </c>
      <c r="AN174">
        <f>IF($AJ174=1,IFERROR(IF(VALUE($C174)&lt;100000000,VALUE($C174),1000000000),IFERROR(IF(VALUE(MID($C174,2,20))&lt;100000000,VALUE(MID($C174,2,20)),1000000000),1000000000))+ROW()/100000,"")</f>
        <v/>
      </c>
    </row>
    <row r="175">
      <c r="E175" s="11" t="n"/>
      <c r="M175" s="7">
        <f>IF($C175="","",L175*U175/100)</f>
        <v/>
      </c>
      <c r="N175" s="7" t="n"/>
      <c r="T175" s="7" t="n"/>
      <c r="U175" s="7">
        <f>IF($C175="","",S175*T175)</f>
        <v/>
      </c>
      <c r="X175">
        <f>IF($C175="","",IF($AM175=1,0,IF($AL175=1,Settings!$C$6,Settings!$C$7))*100)</f>
        <v/>
      </c>
      <c r="AB175" s="7" t="n"/>
      <c r="AE175" s="11" t="n"/>
      <c r="AG175" s="7">
        <f>IF($C175="","",U175*X175/100)</f>
        <v/>
      </c>
      <c r="AH175" s="7">
        <f>IF($C175="","",U175-AG175)</f>
        <v/>
      </c>
      <c r="AI175" s="7">
        <f>IF($C175="","",AH175-M175)</f>
        <v/>
      </c>
      <c r="AJ175">
        <f>IF($C175="","",IF(COUNTIF($C$2:$C175,$C175)=1,1,0))</f>
        <v/>
      </c>
      <c r="AK175">
        <f>IF($AJ175=1,SUMPRODUCT(--($AN$2:$AN$4001&lt;$AN175))+1,"")</f>
        <v/>
      </c>
      <c r="AL175">
        <f>IF($C175="","",IF(OR($Q175=TRUE(),$Q175="TRUE"),1,0))</f>
        <v/>
      </c>
      <c r="AM175">
        <f>IF($C175="","",IF($W175="Yes",1,0))</f>
        <v/>
      </c>
      <c r="AN175">
        <f>IF($AJ175=1,IFERROR(IF(VALUE($C175)&lt;100000000,VALUE($C175),1000000000),IFERROR(IF(VALUE(MID($C175,2,20))&lt;100000000,VALUE(MID($C175,2,20)),1000000000),1000000000))+ROW()/100000,"")</f>
        <v/>
      </c>
    </row>
    <row r="176">
      <c r="E176" s="11" t="n"/>
      <c r="M176" s="7">
        <f>IF($C176="","",L176*U176/100)</f>
        <v/>
      </c>
      <c r="N176" s="7" t="n"/>
      <c r="T176" s="7" t="n"/>
      <c r="U176" s="7">
        <f>IF($C176="","",S176*T176)</f>
        <v/>
      </c>
      <c r="X176">
        <f>IF($C176="","",IF($AM176=1,0,IF($AL176=1,Settings!$C$6,Settings!$C$7))*100)</f>
        <v/>
      </c>
      <c r="AB176" s="7" t="n"/>
      <c r="AE176" s="11" t="n"/>
      <c r="AG176" s="7">
        <f>IF($C176="","",U176*X176/100)</f>
        <v/>
      </c>
      <c r="AH176" s="7">
        <f>IF($C176="","",U176-AG176)</f>
        <v/>
      </c>
      <c r="AI176" s="7">
        <f>IF($C176="","",AH176-M176)</f>
        <v/>
      </c>
      <c r="AJ176">
        <f>IF($C176="","",IF(COUNTIF($C$2:$C176,$C176)=1,1,0))</f>
        <v/>
      </c>
      <c r="AK176">
        <f>IF($AJ176=1,SUMPRODUCT(--($AN$2:$AN$4001&lt;$AN176))+1,"")</f>
        <v/>
      </c>
      <c r="AL176">
        <f>IF($C176="","",IF(OR($Q176=TRUE(),$Q176="TRUE"),1,0))</f>
        <v/>
      </c>
      <c r="AM176">
        <f>IF($C176="","",IF($W176="Yes",1,0))</f>
        <v/>
      </c>
      <c r="AN176">
        <f>IF($AJ176=1,IFERROR(IF(VALUE($C176)&lt;100000000,VALUE($C176),1000000000),IFERROR(IF(VALUE(MID($C176,2,20))&lt;100000000,VALUE(MID($C176,2,20)),1000000000),1000000000))+ROW()/100000,"")</f>
        <v/>
      </c>
    </row>
    <row r="177">
      <c r="E177" s="11" t="n"/>
      <c r="M177" s="7">
        <f>IF($C177="","",L177*U177/100)</f>
        <v/>
      </c>
      <c r="N177" s="7" t="n"/>
      <c r="T177" s="7" t="n"/>
      <c r="U177" s="7">
        <f>IF($C177="","",S177*T177)</f>
        <v/>
      </c>
      <c r="X177">
        <f>IF($C177="","",IF($AM177=1,0,IF($AL177=1,Settings!$C$6,Settings!$C$7))*100)</f>
        <v/>
      </c>
      <c r="AB177" s="7" t="n"/>
      <c r="AE177" s="11" t="n"/>
      <c r="AG177" s="7">
        <f>IF($C177="","",U177*X177/100)</f>
        <v/>
      </c>
      <c r="AH177" s="7">
        <f>IF($C177="","",U177-AG177)</f>
        <v/>
      </c>
      <c r="AI177" s="7">
        <f>IF($C177="","",AH177-M177)</f>
        <v/>
      </c>
      <c r="AJ177">
        <f>IF($C177="","",IF(COUNTIF($C$2:$C177,$C177)=1,1,0))</f>
        <v/>
      </c>
      <c r="AK177">
        <f>IF($AJ177=1,SUMPRODUCT(--($AN$2:$AN$4001&lt;$AN177))+1,"")</f>
        <v/>
      </c>
      <c r="AL177">
        <f>IF($C177="","",IF(OR($Q177=TRUE(),$Q177="TRUE"),1,0))</f>
        <v/>
      </c>
      <c r="AM177">
        <f>IF($C177="","",IF($W177="Yes",1,0))</f>
        <v/>
      </c>
      <c r="AN177">
        <f>IF($AJ177=1,IFERROR(IF(VALUE($C177)&lt;100000000,VALUE($C177),1000000000),IFERROR(IF(VALUE(MID($C177,2,20))&lt;100000000,VALUE(MID($C177,2,20)),1000000000),1000000000))+ROW()/100000,"")</f>
        <v/>
      </c>
    </row>
    <row r="178">
      <c r="E178" s="11" t="n"/>
      <c r="M178" s="7">
        <f>IF($C178="","",L178*U178/100)</f>
        <v/>
      </c>
      <c r="N178" s="7" t="n"/>
      <c r="T178" s="7" t="n"/>
      <c r="U178" s="7">
        <f>IF($C178="","",S178*T178)</f>
        <v/>
      </c>
      <c r="X178">
        <f>IF($C178="","",IF($AM178=1,0,IF($AL178=1,Settings!$C$6,Settings!$C$7))*100)</f>
        <v/>
      </c>
      <c r="AB178" s="7" t="n"/>
      <c r="AE178" s="11" t="n"/>
      <c r="AG178" s="7">
        <f>IF($C178="","",U178*X178/100)</f>
        <v/>
      </c>
      <c r="AH178" s="7">
        <f>IF($C178="","",U178-AG178)</f>
        <v/>
      </c>
      <c r="AI178" s="7">
        <f>IF($C178="","",AH178-M178)</f>
        <v/>
      </c>
      <c r="AJ178">
        <f>IF($C178="","",IF(COUNTIF($C$2:$C178,$C178)=1,1,0))</f>
        <v/>
      </c>
      <c r="AK178">
        <f>IF($AJ178=1,SUMPRODUCT(--($AN$2:$AN$4001&lt;$AN178))+1,"")</f>
        <v/>
      </c>
      <c r="AL178">
        <f>IF($C178="","",IF(OR($Q178=TRUE(),$Q178="TRUE"),1,0))</f>
        <v/>
      </c>
      <c r="AM178">
        <f>IF($C178="","",IF($W178="Yes",1,0))</f>
        <v/>
      </c>
      <c r="AN178">
        <f>IF($AJ178=1,IFERROR(IF(VALUE($C178)&lt;100000000,VALUE($C178),1000000000),IFERROR(IF(VALUE(MID($C178,2,20))&lt;100000000,VALUE(MID($C178,2,20)),1000000000),1000000000))+ROW()/100000,"")</f>
        <v/>
      </c>
    </row>
    <row r="179">
      <c r="E179" s="11" t="n"/>
      <c r="M179" s="7">
        <f>IF($C179="","",L179*U179/100)</f>
        <v/>
      </c>
      <c r="N179" s="7" t="n"/>
      <c r="T179" s="7" t="n"/>
      <c r="U179" s="7">
        <f>IF($C179="","",S179*T179)</f>
        <v/>
      </c>
      <c r="X179">
        <f>IF($C179="","",IF($AM179=1,0,IF($AL179=1,Settings!$C$6,Settings!$C$7))*100)</f>
        <v/>
      </c>
      <c r="AB179" s="7" t="n"/>
      <c r="AE179" s="11" t="n"/>
      <c r="AG179" s="7">
        <f>IF($C179="","",U179*X179/100)</f>
        <v/>
      </c>
      <c r="AH179" s="7">
        <f>IF($C179="","",U179-AG179)</f>
        <v/>
      </c>
      <c r="AI179" s="7">
        <f>IF($C179="","",AH179-M179)</f>
        <v/>
      </c>
      <c r="AJ179">
        <f>IF($C179="","",IF(COUNTIF($C$2:$C179,$C179)=1,1,0))</f>
        <v/>
      </c>
      <c r="AK179">
        <f>IF($AJ179=1,SUMPRODUCT(--($AN$2:$AN$4001&lt;$AN179))+1,"")</f>
        <v/>
      </c>
      <c r="AL179">
        <f>IF($C179="","",IF(OR($Q179=TRUE(),$Q179="TRUE"),1,0))</f>
        <v/>
      </c>
      <c r="AM179">
        <f>IF($C179="","",IF($W179="Yes",1,0))</f>
        <v/>
      </c>
      <c r="AN179">
        <f>IF($AJ179=1,IFERROR(IF(VALUE($C179)&lt;100000000,VALUE($C179),1000000000),IFERROR(IF(VALUE(MID($C179,2,20))&lt;100000000,VALUE(MID($C179,2,20)),1000000000),1000000000))+ROW()/100000,"")</f>
        <v/>
      </c>
    </row>
    <row r="180">
      <c r="E180" s="11" t="n"/>
      <c r="M180" s="7">
        <f>IF($C180="","",L180*U180/100)</f>
        <v/>
      </c>
      <c r="N180" s="7" t="n"/>
      <c r="T180" s="7" t="n"/>
      <c r="U180" s="7">
        <f>IF($C180="","",S180*T180)</f>
        <v/>
      </c>
      <c r="X180">
        <f>IF($C180="","",IF($AM180=1,0,IF($AL180=1,Settings!$C$6,Settings!$C$7))*100)</f>
        <v/>
      </c>
      <c r="AB180" s="7" t="n"/>
      <c r="AE180" s="11" t="n"/>
      <c r="AG180" s="7">
        <f>IF($C180="","",U180*X180/100)</f>
        <v/>
      </c>
      <c r="AH180" s="7">
        <f>IF($C180="","",U180-AG180)</f>
        <v/>
      </c>
      <c r="AI180" s="7">
        <f>IF($C180="","",AH180-M180)</f>
        <v/>
      </c>
      <c r="AJ180">
        <f>IF($C180="","",IF(COUNTIF($C$2:$C180,$C180)=1,1,0))</f>
        <v/>
      </c>
      <c r="AK180">
        <f>IF($AJ180=1,SUMPRODUCT(--($AN$2:$AN$4001&lt;$AN180))+1,"")</f>
        <v/>
      </c>
      <c r="AL180">
        <f>IF($C180="","",IF(OR($Q180=TRUE(),$Q180="TRUE"),1,0))</f>
        <v/>
      </c>
      <c r="AM180">
        <f>IF($C180="","",IF($W180="Yes",1,0))</f>
        <v/>
      </c>
      <c r="AN180">
        <f>IF($AJ180=1,IFERROR(IF(VALUE($C180)&lt;100000000,VALUE($C180),1000000000),IFERROR(IF(VALUE(MID($C180,2,20))&lt;100000000,VALUE(MID($C180,2,20)),1000000000),1000000000))+ROW()/100000,"")</f>
        <v/>
      </c>
    </row>
    <row r="181">
      <c r="E181" s="11" t="n"/>
      <c r="M181" s="7">
        <f>IF($C181="","",L181*U181/100)</f>
        <v/>
      </c>
      <c r="N181" s="7" t="n"/>
      <c r="T181" s="7" t="n"/>
      <c r="U181" s="7">
        <f>IF($C181="","",S181*T181)</f>
        <v/>
      </c>
      <c r="X181">
        <f>IF($C181="","",IF($AM181=1,0,IF($AL181=1,Settings!$C$6,Settings!$C$7))*100)</f>
        <v/>
      </c>
      <c r="AB181" s="7" t="n"/>
      <c r="AE181" s="11" t="n"/>
      <c r="AG181" s="7">
        <f>IF($C181="","",U181*X181/100)</f>
        <v/>
      </c>
      <c r="AH181" s="7">
        <f>IF($C181="","",U181-AG181)</f>
        <v/>
      </c>
      <c r="AI181" s="7">
        <f>IF($C181="","",AH181-M181)</f>
        <v/>
      </c>
      <c r="AJ181">
        <f>IF($C181="","",IF(COUNTIF($C$2:$C181,$C181)=1,1,0))</f>
        <v/>
      </c>
      <c r="AK181">
        <f>IF($AJ181=1,SUMPRODUCT(--($AN$2:$AN$4001&lt;$AN181))+1,"")</f>
        <v/>
      </c>
      <c r="AL181">
        <f>IF($C181="","",IF(OR($Q181=TRUE(),$Q181="TRUE"),1,0))</f>
        <v/>
      </c>
      <c r="AM181">
        <f>IF($C181="","",IF($W181="Yes",1,0))</f>
        <v/>
      </c>
      <c r="AN181">
        <f>IF($AJ181=1,IFERROR(IF(VALUE($C181)&lt;100000000,VALUE($C181),1000000000),IFERROR(IF(VALUE(MID($C181,2,20))&lt;100000000,VALUE(MID($C181,2,20)),1000000000),1000000000))+ROW()/100000,"")</f>
        <v/>
      </c>
    </row>
    <row r="182">
      <c r="E182" s="11" t="n"/>
      <c r="M182" s="7">
        <f>IF($C182="","",L182*U182/100)</f>
        <v/>
      </c>
      <c r="N182" s="7" t="n"/>
      <c r="T182" s="7" t="n"/>
      <c r="U182" s="7">
        <f>IF($C182="","",S182*T182)</f>
        <v/>
      </c>
      <c r="X182">
        <f>IF($C182="","",IF($AM182=1,0,IF($AL182=1,Settings!$C$6,Settings!$C$7))*100)</f>
        <v/>
      </c>
      <c r="AB182" s="7" t="n"/>
      <c r="AE182" s="11" t="n"/>
      <c r="AG182" s="7">
        <f>IF($C182="","",U182*X182/100)</f>
        <v/>
      </c>
      <c r="AH182" s="7">
        <f>IF($C182="","",U182-AG182)</f>
        <v/>
      </c>
      <c r="AI182" s="7">
        <f>IF($C182="","",AH182-M182)</f>
        <v/>
      </c>
      <c r="AJ182">
        <f>IF($C182="","",IF(COUNTIF($C$2:$C182,$C182)=1,1,0))</f>
        <v/>
      </c>
      <c r="AK182">
        <f>IF($AJ182=1,SUMPRODUCT(--($AN$2:$AN$4001&lt;$AN182))+1,"")</f>
        <v/>
      </c>
      <c r="AL182">
        <f>IF($C182="","",IF(OR($Q182=TRUE(),$Q182="TRUE"),1,0))</f>
        <v/>
      </c>
      <c r="AM182">
        <f>IF($C182="","",IF($W182="Yes",1,0))</f>
        <v/>
      </c>
      <c r="AN182">
        <f>IF($AJ182=1,IFERROR(IF(VALUE($C182)&lt;100000000,VALUE($C182),1000000000),IFERROR(IF(VALUE(MID($C182,2,20))&lt;100000000,VALUE(MID($C182,2,20)),1000000000),1000000000))+ROW()/100000,"")</f>
        <v/>
      </c>
    </row>
    <row r="183">
      <c r="E183" s="11" t="n"/>
      <c r="M183" s="7">
        <f>IF($C183="","",L183*U183/100)</f>
        <v/>
      </c>
      <c r="N183" s="7" t="n"/>
      <c r="T183" s="7" t="n"/>
      <c r="U183" s="7">
        <f>IF($C183="","",S183*T183)</f>
        <v/>
      </c>
      <c r="X183">
        <f>IF($C183="","",IF($AM183=1,0,IF($AL183=1,Settings!$C$6,Settings!$C$7))*100)</f>
        <v/>
      </c>
      <c r="AB183" s="7" t="n"/>
      <c r="AE183" s="11" t="n"/>
      <c r="AG183" s="7">
        <f>IF($C183="","",U183*X183/100)</f>
        <v/>
      </c>
      <c r="AH183" s="7">
        <f>IF($C183="","",U183-AG183)</f>
        <v/>
      </c>
      <c r="AI183" s="7">
        <f>IF($C183="","",AH183-M183)</f>
        <v/>
      </c>
      <c r="AJ183">
        <f>IF($C183="","",IF(COUNTIF($C$2:$C183,$C183)=1,1,0))</f>
        <v/>
      </c>
      <c r="AK183">
        <f>IF($AJ183=1,SUMPRODUCT(--($AN$2:$AN$4001&lt;$AN183))+1,"")</f>
        <v/>
      </c>
      <c r="AL183">
        <f>IF($C183="","",IF(OR($Q183=TRUE(),$Q183="TRUE"),1,0))</f>
        <v/>
      </c>
      <c r="AM183">
        <f>IF($C183="","",IF($W183="Yes",1,0))</f>
        <v/>
      </c>
      <c r="AN183">
        <f>IF($AJ183=1,IFERROR(IF(VALUE($C183)&lt;100000000,VALUE($C183),1000000000),IFERROR(IF(VALUE(MID($C183,2,20))&lt;100000000,VALUE(MID($C183,2,20)),1000000000),1000000000))+ROW()/100000,"")</f>
        <v/>
      </c>
    </row>
    <row r="184">
      <c r="E184" s="11" t="n"/>
      <c r="M184" s="7">
        <f>IF($C184="","",L184*U184/100)</f>
        <v/>
      </c>
      <c r="N184" s="7" t="n"/>
      <c r="T184" s="7" t="n"/>
      <c r="U184" s="7">
        <f>IF($C184="","",S184*T184)</f>
        <v/>
      </c>
      <c r="X184">
        <f>IF($C184="","",IF($AM184=1,0,IF($AL184=1,Settings!$C$6,Settings!$C$7))*100)</f>
        <v/>
      </c>
      <c r="AB184" s="7" t="n"/>
      <c r="AE184" s="11" t="n"/>
      <c r="AG184" s="7">
        <f>IF($C184="","",U184*X184/100)</f>
        <v/>
      </c>
      <c r="AH184" s="7">
        <f>IF($C184="","",U184-AG184)</f>
        <v/>
      </c>
      <c r="AI184" s="7">
        <f>IF($C184="","",AH184-M184)</f>
        <v/>
      </c>
      <c r="AJ184">
        <f>IF($C184="","",IF(COUNTIF($C$2:$C184,$C184)=1,1,0))</f>
        <v/>
      </c>
      <c r="AK184">
        <f>IF($AJ184=1,SUMPRODUCT(--($AN$2:$AN$4001&lt;$AN184))+1,"")</f>
        <v/>
      </c>
      <c r="AL184">
        <f>IF($C184="","",IF(OR($Q184=TRUE(),$Q184="TRUE"),1,0))</f>
        <v/>
      </c>
      <c r="AM184">
        <f>IF($C184="","",IF($W184="Yes",1,0))</f>
        <v/>
      </c>
      <c r="AN184">
        <f>IF($AJ184=1,IFERROR(IF(VALUE($C184)&lt;100000000,VALUE($C184),1000000000),IFERROR(IF(VALUE(MID($C184,2,20))&lt;100000000,VALUE(MID($C184,2,20)),1000000000),1000000000))+ROW()/100000,"")</f>
        <v/>
      </c>
    </row>
    <row r="185">
      <c r="E185" s="11" t="n"/>
      <c r="M185" s="7">
        <f>IF($C185="","",L185*U185/100)</f>
        <v/>
      </c>
      <c r="N185" s="7" t="n"/>
      <c r="T185" s="7" t="n"/>
      <c r="U185" s="7">
        <f>IF($C185="","",S185*T185)</f>
        <v/>
      </c>
      <c r="X185">
        <f>IF($C185="","",IF($AM185=1,0,IF($AL185=1,Settings!$C$6,Settings!$C$7))*100)</f>
        <v/>
      </c>
      <c r="AB185" s="7" t="n"/>
      <c r="AE185" s="11" t="n"/>
      <c r="AG185" s="7">
        <f>IF($C185="","",U185*X185/100)</f>
        <v/>
      </c>
      <c r="AH185" s="7">
        <f>IF($C185="","",U185-AG185)</f>
        <v/>
      </c>
      <c r="AI185" s="7">
        <f>IF($C185="","",AH185-M185)</f>
        <v/>
      </c>
      <c r="AJ185">
        <f>IF($C185="","",IF(COUNTIF($C$2:$C185,$C185)=1,1,0))</f>
        <v/>
      </c>
      <c r="AK185">
        <f>IF($AJ185=1,SUMPRODUCT(--($AN$2:$AN$4001&lt;$AN185))+1,"")</f>
        <v/>
      </c>
      <c r="AL185">
        <f>IF($C185="","",IF(OR($Q185=TRUE(),$Q185="TRUE"),1,0))</f>
        <v/>
      </c>
      <c r="AM185">
        <f>IF($C185="","",IF($W185="Yes",1,0))</f>
        <v/>
      </c>
      <c r="AN185">
        <f>IF($AJ185=1,IFERROR(IF(VALUE($C185)&lt;100000000,VALUE($C185),1000000000),IFERROR(IF(VALUE(MID($C185,2,20))&lt;100000000,VALUE(MID($C185,2,20)),1000000000),1000000000))+ROW()/100000,"")</f>
        <v/>
      </c>
    </row>
    <row r="186">
      <c r="E186" s="11" t="n"/>
      <c r="M186" s="7">
        <f>IF($C186="","",L186*U186/100)</f>
        <v/>
      </c>
      <c r="N186" s="7" t="n"/>
      <c r="T186" s="7" t="n"/>
      <c r="U186" s="7">
        <f>IF($C186="","",S186*T186)</f>
        <v/>
      </c>
      <c r="X186">
        <f>IF($C186="","",IF($AM186=1,0,IF($AL186=1,Settings!$C$6,Settings!$C$7))*100)</f>
        <v/>
      </c>
      <c r="AB186" s="7" t="n"/>
      <c r="AE186" s="11" t="n"/>
      <c r="AG186" s="7">
        <f>IF($C186="","",U186*X186/100)</f>
        <v/>
      </c>
      <c r="AH186" s="7">
        <f>IF($C186="","",U186-AG186)</f>
        <v/>
      </c>
      <c r="AI186" s="7">
        <f>IF($C186="","",AH186-M186)</f>
        <v/>
      </c>
      <c r="AJ186">
        <f>IF($C186="","",IF(COUNTIF($C$2:$C186,$C186)=1,1,0))</f>
        <v/>
      </c>
      <c r="AK186">
        <f>IF($AJ186=1,SUMPRODUCT(--($AN$2:$AN$4001&lt;$AN186))+1,"")</f>
        <v/>
      </c>
      <c r="AL186">
        <f>IF($C186="","",IF(OR($Q186=TRUE(),$Q186="TRUE"),1,0))</f>
        <v/>
      </c>
      <c r="AM186">
        <f>IF($C186="","",IF($W186="Yes",1,0))</f>
        <v/>
      </c>
      <c r="AN186">
        <f>IF($AJ186=1,IFERROR(IF(VALUE($C186)&lt;100000000,VALUE($C186),1000000000),IFERROR(IF(VALUE(MID($C186,2,20))&lt;100000000,VALUE(MID($C186,2,20)),1000000000),1000000000))+ROW()/100000,"")</f>
        <v/>
      </c>
    </row>
    <row r="187">
      <c r="E187" s="11" t="n"/>
      <c r="M187" s="7">
        <f>IF($C187="","",L187*U187/100)</f>
        <v/>
      </c>
      <c r="N187" s="7" t="n"/>
      <c r="T187" s="7" t="n"/>
      <c r="U187" s="7">
        <f>IF($C187="","",S187*T187)</f>
        <v/>
      </c>
      <c r="X187">
        <f>IF($C187="","",IF($AM187=1,0,IF($AL187=1,Settings!$C$6,Settings!$C$7))*100)</f>
        <v/>
      </c>
      <c r="AB187" s="7" t="n"/>
      <c r="AE187" s="11" t="n"/>
      <c r="AG187" s="7">
        <f>IF($C187="","",U187*X187/100)</f>
        <v/>
      </c>
      <c r="AH187" s="7">
        <f>IF($C187="","",U187-AG187)</f>
        <v/>
      </c>
      <c r="AI187" s="7">
        <f>IF($C187="","",AH187-M187)</f>
        <v/>
      </c>
      <c r="AJ187">
        <f>IF($C187="","",IF(COUNTIF($C$2:$C187,$C187)=1,1,0))</f>
        <v/>
      </c>
      <c r="AK187">
        <f>IF($AJ187=1,SUMPRODUCT(--($AN$2:$AN$4001&lt;$AN187))+1,"")</f>
        <v/>
      </c>
      <c r="AL187">
        <f>IF($C187="","",IF(OR($Q187=TRUE(),$Q187="TRUE"),1,0))</f>
        <v/>
      </c>
      <c r="AM187">
        <f>IF($C187="","",IF($W187="Yes",1,0))</f>
        <v/>
      </c>
      <c r="AN187">
        <f>IF($AJ187=1,IFERROR(IF(VALUE($C187)&lt;100000000,VALUE($C187),1000000000),IFERROR(IF(VALUE(MID($C187,2,20))&lt;100000000,VALUE(MID($C187,2,20)),1000000000),1000000000))+ROW()/100000,"")</f>
        <v/>
      </c>
    </row>
    <row r="188">
      <c r="E188" s="11" t="n"/>
      <c r="M188" s="7">
        <f>IF($C188="","",L188*U188/100)</f>
        <v/>
      </c>
      <c r="N188" s="7" t="n"/>
      <c r="T188" s="7" t="n"/>
      <c r="U188" s="7">
        <f>IF($C188="","",S188*T188)</f>
        <v/>
      </c>
      <c r="X188">
        <f>IF($C188="","",IF($AM188=1,0,IF($AL188=1,Settings!$C$6,Settings!$C$7))*100)</f>
        <v/>
      </c>
      <c r="AB188" s="7" t="n"/>
      <c r="AE188" s="11" t="n"/>
      <c r="AG188" s="7">
        <f>IF($C188="","",U188*X188/100)</f>
        <v/>
      </c>
      <c r="AH188" s="7">
        <f>IF($C188="","",U188-AG188)</f>
        <v/>
      </c>
      <c r="AI188" s="7">
        <f>IF($C188="","",AH188-M188)</f>
        <v/>
      </c>
      <c r="AJ188">
        <f>IF($C188="","",IF(COUNTIF($C$2:$C188,$C188)=1,1,0))</f>
        <v/>
      </c>
      <c r="AK188">
        <f>IF($AJ188=1,SUMPRODUCT(--($AN$2:$AN$4001&lt;$AN188))+1,"")</f>
        <v/>
      </c>
      <c r="AL188">
        <f>IF($C188="","",IF(OR($Q188=TRUE(),$Q188="TRUE"),1,0))</f>
        <v/>
      </c>
      <c r="AM188">
        <f>IF($C188="","",IF($W188="Yes",1,0))</f>
        <v/>
      </c>
      <c r="AN188">
        <f>IF($AJ188=1,IFERROR(IF(VALUE($C188)&lt;100000000,VALUE($C188),1000000000),IFERROR(IF(VALUE(MID($C188,2,20))&lt;100000000,VALUE(MID($C188,2,20)),1000000000),1000000000))+ROW()/100000,"")</f>
        <v/>
      </c>
    </row>
    <row r="189">
      <c r="E189" s="11" t="n"/>
      <c r="M189" s="7">
        <f>IF($C189="","",L189*U189/100)</f>
        <v/>
      </c>
      <c r="N189" s="7" t="n"/>
      <c r="T189" s="7" t="n"/>
      <c r="U189" s="7">
        <f>IF($C189="","",S189*T189)</f>
        <v/>
      </c>
      <c r="X189">
        <f>IF($C189="","",IF($AM189=1,0,IF($AL189=1,Settings!$C$6,Settings!$C$7))*100)</f>
        <v/>
      </c>
      <c r="AB189" s="7" t="n"/>
      <c r="AE189" s="11" t="n"/>
      <c r="AG189" s="7">
        <f>IF($C189="","",U189*X189/100)</f>
        <v/>
      </c>
      <c r="AH189" s="7">
        <f>IF($C189="","",U189-AG189)</f>
        <v/>
      </c>
      <c r="AI189" s="7">
        <f>IF($C189="","",AH189-M189)</f>
        <v/>
      </c>
      <c r="AJ189">
        <f>IF($C189="","",IF(COUNTIF($C$2:$C189,$C189)=1,1,0))</f>
        <v/>
      </c>
      <c r="AK189">
        <f>IF($AJ189=1,SUMPRODUCT(--($AN$2:$AN$4001&lt;$AN189))+1,"")</f>
        <v/>
      </c>
      <c r="AL189">
        <f>IF($C189="","",IF(OR($Q189=TRUE(),$Q189="TRUE"),1,0))</f>
        <v/>
      </c>
      <c r="AM189">
        <f>IF($C189="","",IF($W189="Yes",1,0))</f>
        <v/>
      </c>
      <c r="AN189">
        <f>IF($AJ189=1,IFERROR(IF(VALUE($C189)&lt;100000000,VALUE($C189),1000000000),IFERROR(IF(VALUE(MID($C189,2,20))&lt;100000000,VALUE(MID($C189,2,20)),1000000000),1000000000))+ROW()/100000,"")</f>
        <v/>
      </c>
    </row>
    <row r="190">
      <c r="E190" s="11" t="n"/>
      <c r="M190" s="7">
        <f>IF($C190="","",L190*U190/100)</f>
        <v/>
      </c>
      <c r="N190" s="7" t="n"/>
      <c r="T190" s="7" t="n"/>
      <c r="U190" s="7">
        <f>IF($C190="","",S190*T190)</f>
        <v/>
      </c>
      <c r="X190">
        <f>IF($C190="","",IF($AM190=1,0,IF($AL190=1,Settings!$C$6,Settings!$C$7))*100)</f>
        <v/>
      </c>
      <c r="AB190" s="7" t="n"/>
      <c r="AE190" s="11" t="n"/>
      <c r="AG190" s="7">
        <f>IF($C190="","",U190*X190/100)</f>
        <v/>
      </c>
      <c r="AH190" s="7">
        <f>IF($C190="","",U190-AG190)</f>
        <v/>
      </c>
      <c r="AI190" s="7">
        <f>IF($C190="","",AH190-M190)</f>
        <v/>
      </c>
      <c r="AJ190">
        <f>IF($C190="","",IF(COUNTIF($C$2:$C190,$C190)=1,1,0))</f>
        <v/>
      </c>
      <c r="AK190">
        <f>IF($AJ190=1,SUMPRODUCT(--($AN$2:$AN$4001&lt;$AN190))+1,"")</f>
        <v/>
      </c>
      <c r="AL190">
        <f>IF($C190="","",IF(OR($Q190=TRUE(),$Q190="TRUE"),1,0))</f>
        <v/>
      </c>
      <c r="AM190">
        <f>IF($C190="","",IF($W190="Yes",1,0))</f>
        <v/>
      </c>
      <c r="AN190">
        <f>IF($AJ190=1,IFERROR(IF(VALUE($C190)&lt;100000000,VALUE($C190),1000000000),IFERROR(IF(VALUE(MID($C190,2,20))&lt;100000000,VALUE(MID($C190,2,20)),1000000000),1000000000))+ROW()/100000,"")</f>
        <v/>
      </c>
    </row>
    <row r="191">
      <c r="E191" s="11" t="n"/>
      <c r="M191" s="7">
        <f>IF($C191="","",L191*U191/100)</f>
        <v/>
      </c>
      <c r="N191" s="7" t="n"/>
      <c r="T191" s="7" t="n"/>
      <c r="U191" s="7">
        <f>IF($C191="","",S191*T191)</f>
        <v/>
      </c>
      <c r="X191">
        <f>IF($C191="","",IF($AM191=1,0,IF($AL191=1,Settings!$C$6,Settings!$C$7))*100)</f>
        <v/>
      </c>
      <c r="AB191" s="7" t="n"/>
      <c r="AE191" s="11" t="n"/>
      <c r="AG191" s="7">
        <f>IF($C191="","",U191*X191/100)</f>
        <v/>
      </c>
      <c r="AH191" s="7">
        <f>IF($C191="","",U191-AG191)</f>
        <v/>
      </c>
      <c r="AI191" s="7">
        <f>IF($C191="","",AH191-M191)</f>
        <v/>
      </c>
      <c r="AJ191">
        <f>IF($C191="","",IF(COUNTIF($C$2:$C191,$C191)=1,1,0))</f>
        <v/>
      </c>
      <c r="AK191">
        <f>IF($AJ191=1,SUMPRODUCT(--($AN$2:$AN$4001&lt;$AN191))+1,"")</f>
        <v/>
      </c>
      <c r="AL191">
        <f>IF($C191="","",IF(OR($Q191=TRUE(),$Q191="TRUE"),1,0))</f>
        <v/>
      </c>
      <c r="AM191">
        <f>IF($C191="","",IF($W191="Yes",1,0))</f>
        <v/>
      </c>
      <c r="AN191">
        <f>IF($AJ191=1,IFERROR(IF(VALUE($C191)&lt;100000000,VALUE($C191),1000000000),IFERROR(IF(VALUE(MID($C191,2,20))&lt;100000000,VALUE(MID($C191,2,20)),1000000000),1000000000))+ROW()/100000,"")</f>
        <v/>
      </c>
    </row>
    <row r="192">
      <c r="E192" s="11" t="n"/>
      <c r="M192" s="7">
        <f>IF($C192="","",L192*U192/100)</f>
        <v/>
      </c>
      <c r="N192" s="7" t="n"/>
      <c r="T192" s="7" t="n"/>
      <c r="U192" s="7">
        <f>IF($C192="","",S192*T192)</f>
        <v/>
      </c>
      <c r="X192">
        <f>IF($C192="","",IF($AM192=1,0,IF($AL192=1,Settings!$C$6,Settings!$C$7))*100)</f>
        <v/>
      </c>
      <c r="AB192" s="7" t="n"/>
      <c r="AE192" s="11" t="n"/>
      <c r="AG192" s="7">
        <f>IF($C192="","",U192*X192/100)</f>
        <v/>
      </c>
      <c r="AH192" s="7">
        <f>IF($C192="","",U192-AG192)</f>
        <v/>
      </c>
      <c r="AI192" s="7">
        <f>IF($C192="","",AH192-M192)</f>
        <v/>
      </c>
      <c r="AJ192">
        <f>IF($C192="","",IF(COUNTIF($C$2:$C192,$C192)=1,1,0))</f>
        <v/>
      </c>
      <c r="AK192">
        <f>IF($AJ192=1,SUMPRODUCT(--($AN$2:$AN$4001&lt;$AN192))+1,"")</f>
        <v/>
      </c>
      <c r="AL192">
        <f>IF($C192="","",IF(OR($Q192=TRUE(),$Q192="TRUE"),1,0))</f>
        <v/>
      </c>
      <c r="AM192">
        <f>IF($C192="","",IF($W192="Yes",1,0))</f>
        <v/>
      </c>
      <c r="AN192">
        <f>IF($AJ192=1,IFERROR(IF(VALUE($C192)&lt;100000000,VALUE($C192),1000000000),IFERROR(IF(VALUE(MID($C192,2,20))&lt;100000000,VALUE(MID($C192,2,20)),1000000000),1000000000))+ROW()/100000,"")</f>
        <v/>
      </c>
    </row>
    <row r="193">
      <c r="E193" s="11" t="n"/>
      <c r="M193" s="7">
        <f>IF($C193="","",L193*U193/100)</f>
        <v/>
      </c>
      <c r="N193" s="7" t="n"/>
      <c r="T193" s="7" t="n"/>
      <c r="U193" s="7">
        <f>IF($C193="","",S193*T193)</f>
        <v/>
      </c>
      <c r="X193">
        <f>IF($C193="","",IF($AM193=1,0,IF($AL193=1,Settings!$C$6,Settings!$C$7))*100)</f>
        <v/>
      </c>
      <c r="AB193" s="7" t="n"/>
      <c r="AE193" s="11" t="n"/>
      <c r="AG193" s="7">
        <f>IF($C193="","",U193*X193/100)</f>
        <v/>
      </c>
      <c r="AH193" s="7">
        <f>IF($C193="","",U193-AG193)</f>
        <v/>
      </c>
      <c r="AI193" s="7">
        <f>IF($C193="","",AH193-M193)</f>
        <v/>
      </c>
      <c r="AJ193">
        <f>IF($C193="","",IF(COUNTIF($C$2:$C193,$C193)=1,1,0))</f>
        <v/>
      </c>
      <c r="AK193">
        <f>IF($AJ193=1,SUMPRODUCT(--($AN$2:$AN$4001&lt;$AN193))+1,"")</f>
        <v/>
      </c>
      <c r="AL193">
        <f>IF($C193="","",IF(OR($Q193=TRUE(),$Q193="TRUE"),1,0))</f>
        <v/>
      </c>
      <c r="AM193">
        <f>IF($C193="","",IF($W193="Yes",1,0))</f>
        <v/>
      </c>
      <c r="AN193">
        <f>IF($AJ193=1,IFERROR(IF(VALUE($C193)&lt;100000000,VALUE($C193),1000000000),IFERROR(IF(VALUE(MID($C193,2,20))&lt;100000000,VALUE(MID($C193,2,20)),1000000000),1000000000))+ROW()/100000,"")</f>
        <v/>
      </c>
    </row>
    <row r="194">
      <c r="E194" s="11" t="n"/>
      <c r="M194" s="7">
        <f>IF($C194="","",L194*U194/100)</f>
        <v/>
      </c>
      <c r="N194" s="7" t="n"/>
      <c r="T194" s="7" t="n"/>
      <c r="U194" s="7">
        <f>IF($C194="","",S194*T194)</f>
        <v/>
      </c>
      <c r="X194">
        <f>IF($C194="","",IF($AM194=1,0,IF($AL194=1,Settings!$C$6,Settings!$C$7))*100)</f>
        <v/>
      </c>
      <c r="AB194" s="7" t="n"/>
      <c r="AE194" s="11" t="n"/>
      <c r="AG194" s="7">
        <f>IF($C194="","",U194*X194/100)</f>
        <v/>
      </c>
      <c r="AH194" s="7">
        <f>IF($C194="","",U194-AG194)</f>
        <v/>
      </c>
      <c r="AI194" s="7">
        <f>IF($C194="","",AH194-M194)</f>
        <v/>
      </c>
      <c r="AJ194">
        <f>IF($C194="","",IF(COUNTIF($C$2:$C194,$C194)=1,1,0))</f>
        <v/>
      </c>
      <c r="AK194">
        <f>IF($AJ194=1,SUMPRODUCT(--($AN$2:$AN$4001&lt;$AN194))+1,"")</f>
        <v/>
      </c>
      <c r="AL194">
        <f>IF($C194="","",IF(OR($Q194=TRUE(),$Q194="TRUE"),1,0))</f>
        <v/>
      </c>
      <c r="AM194">
        <f>IF($C194="","",IF($W194="Yes",1,0))</f>
        <v/>
      </c>
      <c r="AN194">
        <f>IF($AJ194=1,IFERROR(IF(VALUE($C194)&lt;100000000,VALUE($C194),1000000000),IFERROR(IF(VALUE(MID($C194,2,20))&lt;100000000,VALUE(MID($C194,2,20)),1000000000),1000000000))+ROW()/100000,"")</f>
        <v/>
      </c>
    </row>
    <row r="195">
      <c r="E195" s="11" t="n"/>
      <c r="M195" s="7">
        <f>IF($C195="","",L195*U195/100)</f>
        <v/>
      </c>
      <c r="N195" s="7" t="n"/>
      <c r="T195" s="7" t="n"/>
      <c r="U195" s="7">
        <f>IF($C195="","",S195*T195)</f>
        <v/>
      </c>
      <c r="X195">
        <f>IF($C195="","",IF($AM195=1,0,IF($AL195=1,Settings!$C$6,Settings!$C$7))*100)</f>
        <v/>
      </c>
      <c r="AB195" s="7" t="n"/>
      <c r="AE195" s="11" t="n"/>
      <c r="AG195" s="7">
        <f>IF($C195="","",U195*X195/100)</f>
        <v/>
      </c>
      <c r="AH195" s="7">
        <f>IF($C195="","",U195-AG195)</f>
        <v/>
      </c>
      <c r="AI195" s="7">
        <f>IF($C195="","",AH195-M195)</f>
        <v/>
      </c>
      <c r="AJ195">
        <f>IF($C195="","",IF(COUNTIF($C$2:$C195,$C195)=1,1,0))</f>
        <v/>
      </c>
      <c r="AK195">
        <f>IF($AJ195=1,SUMPRODUCT(--($AN$2:$AN$4001&lt;$AN195))+1,"")</f>
        <v/>
      </c>
      <c r="AL195">
        <f>IF($C195="","",IF(OR($Q195=TRUE(),$Q195="TRUE"),1,0))</f>
        <v/>
      </c>
      <c r="AM195">
        <f>IF($C195="","",IF($W195="Yes",1,0))</f>
        <v/>
      </c>
      <c r="AN195">
        <f>IF($AJ195=1,IFERROR(IF(VALUE($C195)&lt;100000000,VALUE($C195),1000000000),IFERROR(IF(VALUE(MID($C195,2,20))&lt;100000000,VALUE(MID($C195,2,20)),1000000000),1000000000))+ROW()/100000,"")</f>
        <v/>
      </c>
    </row>
    <row r="196">
      <c r="E196" s="11" t="n"/>
      <c r="M196" s="7">
        <f>IF($C196="","",L196*U196/100)</f>
        <v/>
      </c>
      <c r="N196" s="7" t="n"/>
      <c r="T196" s="7" t="n"/>
      <c r="U196" s="7">
        <f>IF($C196="","",S196*T196)</f>
        <v/>
      </c>
      <c r="X196">
        <f>IF($C196="","",IF($AM196=1,0,IF($AL196=1,Settings!$C$6,Settings!$C$7))*100)</f>
        <v/>
      </c>
      <c r="AB196" s="7" t="n"/>
      <c r="AE196" s="11" t="n"/>
      <c r="AG196" s="7">
        <f>IF($C196="","",U196*X196/100)</f>
        <v/>
      </c>
      <c r="AH196" s="7">
        <f>IF($C196="","",U196-AG196)</f>
        <v/>
      </c>
      <c r="AI196" s="7">
        <f>IF($C196="","",AH196-M196)</f>
        <v/>
      </c>
      <c r="AJ196">
        <f>IF($C196="","",IF(COUNTIF($C$2:$C196,$C196)=1,1,0))</f>
        <v/>
      </c>
      <c r="AK196">
        <f>IF($AJ196=1,SUMPRODUCT(--($AN$2:$AN$4001&lt;$AN196))+1,"")</f>
        <v/>
      </c>
      <c r="AL196">
        <f>IF($C196="","",IF(OR($Q196=TRUE(),$Q196="TRUE"),1,0))</f>
        <v/>
      </c>
      <c r="AM196">
        <f>IF($C196="","",IF($W196="Yes",1,0))</f>
        <v/>
      </c>
      <c r="AN196">
        <f>IF($AJ196=1,IFERROR(IF(VALUE($C196)&lt;100000000,VALUE($C196),1000000000),IFERROR(IF(VALUE(MID($C196,2,20))&lt;100000000,VALUE(MID($C196,2,20)),1000000000),1000000000))+ROW()/100000,"")</f>
        <v/>
      </c>
    </row>
    <row r="197">
      <c r="E197" s="11" t="n"/>
      <c r="M197" s="7">
        <f>IF($C197="","",L197*U197/100)</f>
        <v/>
      </c>
      <c r="N197" s="7" t="n"/>
      <c r="T197" s="7" t="n"/>
      <c r="U197" s="7">
        <f>IF($C197="","",S197*T197)</f>
        <v/>
      </c>
      <c r="X197">
        <f>IF($C197="","",IF($AM197=1,0,IF($AL197=1,Settings!$C$6,Settings!$C$7))*100)</f>
        <v/>
      </c>
      <c r="AB197" s="7" t="n"/>
      <c r="AE197" s="11" t="n"/>
      <c r="AG197" s="7">
        <f>IF($C197="","",U197*X197/100)</f>
        <v/>
      </c>
      <c r="AH197" s="7">
        <f>IF($C197="","",U197-AG197)</f>
        <v/>
      </c>
      <c r="AI197" s="7">
        <f>IF($C197="","",AH197-M197)</f>
        <v/>
      </c>
      <c r="AJ197">
        <f>IF($C197="","",IF(COUNTIF($C$2:$C197,$C197)=1,1,0))</f>
        <v/>
      </c>
      <c r="AK197">
        <f>IF($AJ197=1,SUMPRODUCT(--($AN$2:$AN$4001&lt;$AN197))+1,"")</f>
        <v/>
      </c>
      <c r="AL197">
        <f>IF($C197="","",IF(OR($Q197=TRUE(),$Q197="TRUE"),1,0))</f>
        <v/>
      </c>
      <c r="AM197">
        <f>IF($C197="","",IF($W197="Yes",1,0))</f>
        <v/>
      </c>
      <c r="AN197">
        <f>IF($AJ197=1,IFERROR(IF(VALUE($C197)&lt;100000000,VALUE($C197),1000000000),IFERROR(IF(VALUE(MID($C197,2,20))&lt;100000000,VALUE(MID($C197,2,20)),1000000000),1000000000))+ROW()/100000,"")</f>
        <v/>
      </c>
    </row>
    <row r="198">
      <c r="E198" s="11" t="n"/>
      <c r="M198" s="7">
        <f>IF($C198="","",L198*U198/100)</f>
        <v/>
      </c>
      <c r="N198" s="7" t="n"/>
      <c r="T198" s="7" t="n"/>
      <c r="U198" s="7">
        <f>IF($C198="","",S198*T198)</f>
        <v/>
      </c>
      <c r="X198">
        <f>IF($C198="","",IF($AM198=1,0,IF($AL198=1,Settings!$C$6,Settings!$C$7))*100)</f>
        <v/>
      </c>
      <c r="AB198" s="7" t="n"/>
      <c r="AE198" s="11" t="n"/>
      <c r="AG198" s="7">
        <f>IF($C198="","",U198*X198/100)</f>
        <v/>
      </c>
      <c r="AH198" s="7">
        <f>IF($C198="","",U198-AG198)</f>
        <v/>
      </c>
      <c r="AI198" s="7">
        <f>IF($C198="","",AH198-M198)</f>
        <v/>
      </c>
      <c r="AJ198">
        <f>IF($C198="","",IF(COUNTIF($C$2:$C198,$C198)=1,1,0))</f>
        <v/>
      </c>
      <c r="AK198">
        <f>IF($AJ198=1,SUMPRODUCT(--($AN$2:$AN$4001&lt;$AN198))+1,"")</f>
        <v/>
      </c>
      <c r="AL198">
        <f>IF($C198="","",IF(OR($Q198=TRUE(),$Q198="TRUE"),1,0))</f>
        <v/>
      </c>
      <c r="AM198">
        <f>IF($C198="","",IF($W198="Yes",1,0))</f>
        <v/>
      </c>
      <c r="AN198">
        <f>IF($AJ198=1,IFERROR(IF(VALUE($C198)&lt;100000000,VALUE($C198),1000000000),IFERROR(IF(VALUE(MID($C198,2,20))&lt;100000000,VALUE(MID($C198,2,20)),1000000000),1000000000))+ROW()/100000,"")</f>
        <v/>
      </c>
    </row>
    <row r="199">
      <c r="E199" s="11" t="n"/>
      <c r="M199" s="7">
        <f>IF($C199="","",L199*U199/100)</f>
        <v/>
      </c>
      <c r="N199" s="7" t="n"/>
      <c r="T199" s="7" t="n"/>
      <c r="U199" s="7">
        <f>IF($C199="","",S199*T199)</f>
        <v/>
      </c>
      <c r="X199">
        <f>IF($C199="","",IF($AM199=1,0,IF($AL199=1,Settings!$C$6,Settings!$C$7))*100)</f>
        <v/>
      </c>
      <c r="AB199" s="7" t="n"/>
      <c r="AE199" s="11" t="n"/>
      <c r="AG199" s="7">
        <f>IF($C199="","",U199*X199/100)</f>
        <v/>
      </c>
      <c r="AH199" s="7">
        <f>IF($C199="","",U199-AG199)</f>
        <v/>
      </c>
      <c r="AI199" s="7">
        <f>IF($C199="","",AH199-M199)</f>
        <v/>
      </c>
      <c r="AJ199">
        <f>IF($C199="","",IF(COUNTIF($C$2:$C199,$C199)=1,1,0))</f>
        <v/>
      </c>
      <c r="AK199">
        <f>IF($AJ199=1,SUMPRODUCT(--($AN$2:$AN$4001&lt;$AN199))+1,"")</f>
        <v/>
      </c>
      <c r="AL199">
        <f>IF($C199="","",IF(OR($Q199=TRUE(),$Q199="TRUE"),1,0))</f>
        <v/>
      </c>
      <c r="AM199">
        <f>IF($C199="","",IF($W199="Yes",1,0))</f>
        <v/>
      </c>
      <c r="AN199">
        <f>IF($AJ199=1,IFERROR(IF(VALUE($C199)&lt;100000000,VALUE($C199),1000000000),IFERROR(IF(VALUE(MID($C199,2,20))&lt;100000000,VALUE(MID($C199,2,20)),1000000000),1000000000))+ROW()/100000,"")</f>
        <v/>
      </c>
    </row>
    <row r="200">
      <c r="E200" s="11" t="n"/>
      <c r="M200" s="7">
        <f>IF($C200="","",L200*U200/100)</f>
        <v/>
      </c>
      <c r="N200" s="7" t="n"/>
      <c r="T200" s="7" t="n"/>
      <c r="U200" s="7">
        <f>IF($C200="","",S200*T200)</f>
        <v/>
      </c>
      <c r="X200">
        <f>IF($C200="","",IF($AM200=1,0,IF($AL200=1,Settings!$C$6,Settings!$C$7))*100)</f>
        <v/>
      </c>
      <c r="AB200" s="7" t="n"/>
      <c r="AE200" s="11" t="n"/>
      <c r="AG200" s="7">
        <f>IF($C200="","",U200*X200/100)</f>
        <v/>
      </c>
      <c r="AH200" s="7">
        <f>IF($C200="","",U200-AG200)</f>
        <v/>
      </c>
      <c r="AI200" s="7">
        <f>IF($C200="","",AH200-M200)</f>
        <v/>
      </c>
      <c r="AJ200">
        <f>IF($C200="","",IF(COUNTIF($C$2:$C200,$C200)=1,1,0))</f>
        <v/>
      </c>
      <c r="AK200">
        <f>IF($AJ200=1,SUMPRODUCT(--($AN$2:$AN$4001&lt;$AN200))+1,"")</f>
        <v/>
      </c>
      <c r="AL200">
        <f>IF($C200="","",IF(OR($Q200=TRUE(),$Q200="TRUE"),1,0))</f>
        <v/>
      </c>
      <c r="AM200">
        <f>IF($C200="","",IF($W200="Yes",1,0))</f>
        <v/>
      </c>
      <c r="AN200">
        <f>IF($AJ200=1,IFERROR(IF(VALUE($C200)&lt;100000000,VALUE($C200),1000000000),IFERROR(IF(VALUE(MID($C200,2,20))&lt;100000000,VALUE(MID($C200,2,20)),1000000000),1000000000))+ROW()/100000,"")</f>
        <v/>
      </c>
    </row>
    <row r="201">
      <c r="E201" s="11" t="n"/>
      <c r="M201" s="7">
        <f>IF($C201="","",L201*U201/100)</f>
        <v/>
      </c>
      <c r="N201" s="7" t="n"/>
      <c r="T201" s="7" t="n"/>
      <c r="U201" s="7">
        <f>IF($C201="","",S201*T201)</f>
        <v/>
      </c>
      <c r="X201">
        <f>IF($C201="","",IF($AM201=1,0,IF($AL201=1,Settings!$C$6,Settings!$C$7))*100)</f>
        <v/>
      </c>
      <c r="AB201" s="7" t="n"/>
      <c r="AE201" s="11" t="n"/>
      <c r="AG201" s="7">
        <f>IF($C201="","",U201*X201/100)</f>
        <v/>
      </c>
      <c r="AH201" s="7">
        <f>IF($C201="","",U201-AG201)</f>
        <v/>
      </c>
      <c r="AI201" s="7">
        <f>IF($C201="","",AH201-M201)</f>
        <v/>
      </c>
      <c r="AJ201">
        <f>IF($C201="","",IF(COUNTIF($C$2:$C201,$C201)=1,1,0))</f>
        <v/>
      </c>
      <c r="AK201">
        <f>IF($AJ201=1,SUMPRODUCT(--($AN$2:$AN$4001&lt;$AN201))+1,"")</f>
        <v/>
      </c>
      <c r="AL201">
        <f>IF($C201="","",IF(OR($Q201=TRUE(),$Q201="TRUE"),1,0))</f>
        <v/>
      </c>
      <c r="AM201">
        <f>IF($C201="","",IF($W201="Yes",1,0))</f>
        <v/>
      </c>
      <c r="AN201">
        <f>IF($AJ201=1,IFERROR(IF(VALUE($C201)&lt;100000000,VALUE($C201),1000000000),IFERROR(IF(VALUE(MID($C201,2,20))&lt;100000000,VALUE(MID($C201,2,20)),1000000000),1000000000))+ROW()/100000,"")</f>
        <v/>
      </c>
    </row>
    <row r="202">
      <c r="E202" s="11" t="n"/>
      <c r="M202" s="7">
        <f>IF($C202="","",L202*U202/100)</f>
        <v/>
      </c>
      <c r="N202" s="7" t="n"/>
      <c r="T202" s="7" t="n"/>
      <c r="U202" s="7">
        <f>IF($C202="","",S202*T202)</f>
        <v/>
      </c>
      <c r="X202">
        <f>IF($C202="","",IF($AM202=1,0,IF($AL202=1,Settings!$C$6,Settings!$C$7))*100)</f>
        <v/>
      </c>
      <c r="AB202" s="7" t="n"/>
      <c r="AE202" s="11" t="n"/>
      <c r="AG202" s="7">
        <f>IF($C202="","",U202*X202/100)</f>
        <v/>
      </c>
      <c r="AH202" s="7">
        <f>IF($C202="","",U202-AG202)</f>
        <v/>
      </c>
      <c r="AI202" s="7">
        <f>IF($C202="","",AH202-M202)</f>
        <v/>
      </c>
      <c r="AJ202">
        <f>IF($C202="","",IF(COUNTIF($C$2:$C202,$C202)=1,1,0))</f>
        <v/>
      </c>
      <c r="AK202">
        <f>IF($AJ202=1,SUMPRODUCT(--($AN$2:$AN$4001&lt;$AN202))+1,"")</f>
        <v/>
      </c>
      <c r="AL202">
        <f>IF($C202="","",IF(OR($Q202=TRUE(),$Q202="TRUE"),1,0))</f>
        <v/>
      </c>
      <c r="AM202">
        <f>IF($C202="","",IF($W202="Yes",1,0))</f>
        <v/>
      </c>
      <c r="AN202">
        <f>IF($AJ202=1,IFERROR(IF(VALUE($C202)&lt;100000000,VALUE($C202),1000000000),IFERROR(IF(VALUE(MID($C202,2,20))&lt;100000000,VALUE(MID($C202,2,20)),1000000000),1000000000))+ROW()/100000,"")</f>
        <v/>
      </c>
    </row>
    <row r="203">
      <c r="E203" s="11" t="n"/>
      <c r="M203" s="7">
        <f>IF($C203="","",L203*U203/100)</f>
        <v/>
      </c>
      <c r="N203" s="7" t="n"/>
      <c r="T203" s="7" t="n"/>
      <c r="U203" s="7">
        <f>IF($C203="","",S203*T203)</f>
        <v/>
      </c>
      <c r="X203">
        <f>IF($C203="","",IF($AM203=1,0,IF($AL203=1,Settings!$C$6,Settings!$C$7))*100)</f>
        <v/>
      </c>
      <c r="AB203" s="7" t="n"/>
      <c r="AE203" s="11" t="n"/>
      <c r="AG203" s="7">
        <f>IF($C203="","",U203*X203/100)</f>
        <v/>
      </c>
      <c r="AH203" s="7">
        <f>IF($C203="","",U203-AG203)</f>
        <v/>
      </c>
      <c r="AI203" s="7">
        <f>IF($C203="","",AH203-M203)</f>
        <v/>
      </c>
      <c r="AJ203">
        <f>IF($C203="","",IF(COUNTIF($C$2:$C203,$C203)=1,1,0))</f>
        <v/>
      </c>
      <c r="AK203">
        <f>IF($AJ203=1,SUMPRODUCT(--($AN$2:$AN$4001&lt;$AN203))+1,"")</f>
        <v/>
      </c>
      <c r="AL203">
        <f>IF($C203="","",IF(OR($Q203=TRUE(),$Q203="TRUE"),1,0))</f>
        <v/>
      </c>
      <c r="AM203">
        <f>IF($C203="","",IF($W203="Yes",1,0))</f>
        <v/>
      </c>
      <c r="AN203">
        <f>IF($AJ203=1,IFERROR(IF(VALUE($C203)&lt;100000000,VALUE($C203),1000000000),IFERROR(IF(VALUE(MID($C203,2,20))&lt;100000000,VALUE(MID($C203,2,20)),1000000000),1000000000))+ROW()/100000,"")</f>
        <v/>
      </c>
    </row>
    <row r="204">
      <c r="E204" s="11" t="n"/>
      <c r="M204" s="7">
        <f>IF($C204="","",L204*U204/100)</f>
        <v/>
      </c>
      <c r="N204" s="7" t="n"/>
      <c r="T204" s="7" t="n"/>
      <c r="U204" s="7">
        <f>IF($C204="","",S204*T204)</f>
        <v/>
      </c>
      <c r="X204">
        <f>IF($C204="","",IF($AM204=1,0,IF($AL204=1,Settings!$C$6,Settings!$C$7))*100)</f>
        <v/>
      </c>
      <c r="AB204" s="7" t="n"/>
      <c r="AE204" s="11" t="n"/>
      <c r="AG204" s="7">
        <f>IF($C204="","",U204*X204/100)</f>
        <v/>
      </c>
      <c r="AH204" s="7">
        <f>IF($C204="","",U204-AG204)</f>
        <v/>
      </c>
      <c r="AI204" s="7">
        <f>IF($C204="","",AH204-M204)</f>
        <v/>
      </c>
      <c r="AJ204">
        <f>IF($C204="","",IF(COUNTIF($C$2:$C204,$C204)=1,1,0))</f>
        <v/>
      </c>
      <c r="AK204">
        <f>IF($AJ204=1,SUMPRODUCT(--($AN$2:$AN$4001&lt;$AN204))+1,"")</f>
        <v/>
      </c>
      <c r="AL204">
        <f>IF($C204="","",IF(OR($Q204=TRUE(),$Q204="TRUE"),1,0))</f>
        <v/>
      </c>
      <c r="AM204">
        <f>IF($C204="","",IF($W204="Yes",1,0))</f>
        <v/>
      </c>
      <c r="AN204">
        <f>IF($AJ204=1,IFERROR(IF(VALUE($C204)&lt;100000000,VALUE($C204),1000000000),IFERROR(IF(VALUE(MID($C204,2,20))&lt;100000000,VALUE(MID($C204,2,20)),1000000000),1000000000))+ROW()/100000,"")</f>
        <v/>
      </c>
    </row>
    <row r="205">
      <c r="E205" s="11" t="n"/>
      <c r="M205" s="7">
        <f>IF($C205="","",L205*U205/100)</f>
        <v/>
      </c>
      <c r="N205" s="7" t="n"/>
      <c r="T205" s="7" t="n"/>
      <c r="U205" s="7">
        <f>IF($C205="","",S205*T205)</f>
        <v/>
      </c>
      <c r="X205">
        <f>IF($C205="","",IF($AM205=1,0,IF($AL205=1,Settings!$C$6,Settings!$C$7))*100)</f>
        <v/>
      </c>
      <c r="AB205" s="7" t="n"/>
      <c r="AE205" s="11" t="n"/>
      <c r="AG205" s="7">
        <f>IF($C205="","",U205*X205/100)</f>
        <v/>
      </c>
      <c r="AH205" s="7">
        <f>IF($C205="","",U205-AG205)</f>
        <v/>
      </c>
      <c r="AI205" s="7">
        <f>IF($C205="","",AH205-M205)</f>
        <v/>
      </c>
      <c r="AJ205">
        <f>IF($C205="","",IF(COUNTIF($C$2:$C205,$C205)=1,1,0))</f>
        <v/>
      </c>
      <c r="AK205">
        <f>IF($AJ205=1,SUMPRODUCT(--($AN$2:$AN$4001&lt;$AN205))+1,"")</f>
        <v/>
      </c>
      <c r="AL205">
        <f>IF($C205="","",IF(OR($Q205=TRUE(),$Q205="TRUE"),1,0))</f>
        <v/>
      </c>
      <c r="AM205">
        <f>IF($C205="","",IF($W205="Yes",1,0))</f>
        <v/>
      </c>
      <c r="AN205">
        <f>IF($AJ205=1,IFERROR(IF(VALUE($C205)&lt;100000000,VALUE($C205),1000000000),IFERROR(IF(VALUE(MID($C205,2,20))&lt;100000000,VALUE(MID($C205,2,20)),1000000000),1000000000))+ROW()/100000,"")</f>
        <v/>
      </c>
    </row>
    <row r="206">
      <c r="E206" s="11" t="n"/>
      <c r="M206" s="7">
        <f>IF($C206="","",L206*U206/100)</f>
        <v/>
      </c>
      <c r="N206" s="7" t="n"/>
      <c r="T206" s="7" t="n"/>
      <c r="U206" s="7">
        <f>IF($C206="","",S206*T206)</f>
        <v/>
      </c>
      <c r="X206">
        <f>IF($C206="","",IF($AM206=1,0,IF($AL206=1,Settings!$C$6,Settings!$C$7))*100)</f>
        <v/>
      </c>
      <c r="AB206" s="7" t="n"/>
      <c r="AE206" s="11" t="n"/>
      <c r="AG206" s="7">
        <f>IF($C206="","",U206*X206/100)</f>
        <v/>
      </c>
      <c r="AH206" s="7">
        <f>IF($C206="","",U206-AG206)</f>
        <v/>
      </c>
      <c r="AI206" s="7">
        <f>IF($C206="","",AH206-M206)</f>
        <v/>
      </c>
      <c r="AJ206">
        <f>IF($C206="","",IF(COUNTIF($C$2:$C206,$C206)=1,1,0))</f>
        <v/>
      </c>
      <c r="AK206">
        <f>IF($AJ206=1,SUMPRODUCT(--($AN$2:$AN$4001&lt;$AN206))+1,"")</f>
        <v/>
      </c>
      <c r="AL206">
        <f>IF($C206="","",IF(OR($Q206=TRUE(),$Q206="TRUE"),1,0))</f>
        <v/>
      </c>
      <c r="AM206">
        <f>IF($C206="","",IF($W206="Yes",1,0))</f>
        <v/>
      </c>
      <c r="AN206">
        <f>IF($AJ206=1,IFERROR(IF(VALUE($C206)&lt;100000000,VALUE($C206),1000000000),IFERROR(IF(VALUE(MID($C206,2,20))&lt;100000000,VALUE(MID($C206,2,20)),1000000000),1000000000))+ROW()/100000,"")</f>
        <v/>
      </c>
    </row>
    <row r="207">
      <c r="E207" s="11" t="n"/>
      <c r="M207" s="7">
        <f>IF($C207="","",L207*U207/100)</f>
        <v/>
      </c>
      <c r="N207" s="7" t="n"/>
      <c r="T207" s="7" t="n"/>
      <c r="U207" s="7">
        <f>IF($C207="","",S207*T207)</f>
        <v/>
      </c>
      <c r="X207">
        <f>IF($C207="","",IF($AM207=1,0,IF($AL207=1,Settings!$C$6,Settings!$C$7))*100)</f>
        <v/>
      </c>
      <c r="AB207" s="7" t="n"/>
      <c r="AE207" s="11" t="n"/>
      <c r="AG207" s="7">
        <f>IF($C207="","",U207*X207/100)</f>
        <v/>
      </c>
      <c r="AH207" s="7">
        <f>IF($C207="","",U207-AG207)</f>
        <v/>
      </c>
      <c r="AI207" s="7">
        <f>IF($C207="","",AH207-M207)</f>
        <v/>
      </c>
      <c r="AJ207">
        <f>IF($C207="","",IF(COUNTIF($C$2:$C207,$C207)=1,1,0))</f>
        <v/>
      </c>
      <c r="AK207">
        <f>IF($AJ207=1,SUMPRODUCT(--($AN$2:$AN$4001&lt;$AN207))+1,"")</f>
        <v/>
      </c>
      <c r="AL207">
        <f>IF($C207="","",IF(OR($Q207=TRUE(),$Q207="TRUE"),1,0))</f>
        <v/>
      </c>
      <c r="AM207">
        <f>IF($C207="","",IF($W207="Yes",1,0))</f>
        <v/>
      </c>
      <c r="AN207">
        <f>IF($AJ207=1,IFERROR(IF(VALUE($C207)&lt;100000000,VALUE($C207),1000000000),IFERROR(IF(VALUE(MID($C207,2,20))&lt;100000000,VALUE(MID($C207,2,20)),1000000000),1000000000))+ROW()/100000,"")</f>
        <v/>
      </c>
    </row>
    <row r="208">
      <c r="E208" s="11" t="n"/>
      <c r="M208" s="7">
        <f>IF($C208="","",L208*U208/100)</f>
        <v/>
      </c>
      <c r="N208" s="7" t="n"/>
      <c r="T208" s="7" t="n"/>
      <c r="U208" s="7">
        <f>IF($C208="","",S208*T208)</f>
        <v/>
      </c>
      <c r="X208">
        <f>IF($C208="","",IF($AM208=1,0,IF($AL208=1,Settings!$C$6,Settings!$C$7))*100)</f>
        <v/>
      </c>
      <c r="AB208" s="7" t="n"/>
      <c r="AE208" s="11" t="n"/>
      <c r="AG208" s="7">
        <f>IF($C208="","",U208*X208/100)</f>
        <v/>
      </c>
      <c r="AH208" s="7">
        <f>IF($C208="","",U208-AG208)</f>
        <v/>
      </c>
      <c r="AI208" s="7">
        <f>IF($C208="","",AH208-M208)</f>
        <v/>
      </c>
      <c r="AJ208">
        <f>IF($C208="","",IF(COUNTIF($C$2:$C208,$C208)=1,1,0))</f>
        <v/>
      </c>
      <c r="AK208">
        <f>IF($AJ208=1,SUMPRODUCT(--($AN$2:$AN$4001&lt;$AN208))+1,"")</f>
        <v/>
      </c>
      <c r="AL208">
        <f>IF($C208="","",IF(OR($Q208=TRUE(),$Q208="TRUE"),1,0))</f>
        <v/>
      </c>
      <c r="AM208">
        <f>IF($C208="","",IF($W208="Yes",1,0))</f>
        <v/>
      </c>
      <c r="AN208">
        <f>IF($AJ208=1,IFERROR(IF(VALUE($C208)&lt;100000000,VALUE($C208),1000000000),IFERROR(IF(VALUE(MID($C208,2,20))&lt;100000000,VALUE(MID($C208,2,20)),1000000000),1000000000))+ROW()/100000,"")</f>
        <v/>
      </c>
    </row>
    <row r="209">
      <c r="E209" s="11" t="n"/>
      <c r="M209" s="7">
        <f>IF($C209="","",L209*U209/100)</f>
        <v/>
      </c>
      <c r="N209" s="7" t="n"/>
      <c r="T209" s="7" t="n"/>
      <c r="U209" s="7">
        <f>IF($C209="","",S209*T209)</f>
        <v/>
      </c>
      <c r="X209">
        <f>IF($C209="","",IF($AM209=1,0,IF($AL209=1,Settings!$C$6,Settings!$C$7))*100)</f>
        <v/>
      </c>
      <c r="AB209" s="7" t="n"/>
      <c r="AE209" s="11" t="n"/>
      <c r="AG209" s="7">
        <f>IF($C209="","",U209*X209/100)</f>
        <v/>
      </c>
      <c r="AH209" s="7">
        <f>IF($C209="","",U209-AG209)</f>
        <v/>
      </c>
      <c r="AI209" s="7">
        <f>IF($C209="","",AH209-M209)</f>
        <v/>
      </c>
      <c r="AJ209">
        <f>IF($C209="","",IF(COUNTIF($C$2:$C209,$C209)=1,1,0))</f>
        <v/>
      </c>
      <c r="AK209">
        <f>IF($AJ209=1,SUMPRODUCT(--($AN$2:$AN$4001&lt;$AN209))+1,"")</f>
        <v/>
      </c>
      <c r="AL209">
        <f>IF($C209="","",IF(OR($Q209=TRUE(),$Q209="TRUE"),1,0))</f>
        <v/>
      </c>
      <c r="AM209">
        <f>IF($C209="","",IF($W209="Yes",1,0))</f>
        <v/>
      </c>
      <c r="AN209">
        <f>IF($AJ209=1,IFERROR(IF(VALUE($C209)&lt;100000000,VALUE($C209),1000000000),IFERROR(IF(VALUE(MID($C209,2,20))&lt;100000000,VALUE(MID($C209,2,20)),1000000000),1000000000))+ROW()/100000,"")</f>
        <v/>
      </c>
    </row>
    <row r="210">
      <c r="E210" s="11" t="n"/>
      <c r="M210" s="7">
        <f>IF($C210="","",L210*U210/100)</f>
        <v/>
      </c>
      <c r="N210" s="7" t="n"/>
      <c r="T210" s="7" t="n"/>
      <c r="U210" s="7">
        <f>IF($C210="","",S210*T210)</f>
        <v/>
      </c>
      <c r="X210">
        <f>IF($C210="","",IF($AM210=1,0,IF($AL210=1,Settings!$C$6,Settings!$C$7))*100)</f>
        <v/>
      </c>
      <c r="AB210" s="7" t="n"/>
      <c r="AE210" s="11" t="n"/>
      <c r="AG210" s="7">
        <f>IF($C210="","",U210*X210/100)</f>
        <v/>
      </c>
      <c r="AH210" s="7">
        <f>IF($C210="","",U210-AG210)</f>
        <v/>
      </c>
      <c r="AI210" s="7">
        <f>IF($C210="","",AH210-M210)</f>
        <v/>
      </c>
      <c r="AJ210">
        <f>IF($C210="","",IF(COUNTIF($C$2:$C210,$C210)=1,1,0))</f>
        <v/>
      </c>
      <c r="AK210">
        <f>IF($AJ210=1,SUMPRODUCT(--($AN$2:$AN$4001&lt;$AN210))+1,"")</f>
        <v/>
      </c>
      <c r="AL210">
        <f>IF($C210="","",IF(OR($Q210=TRUE(),$Q210="TRUE"),1,0))</f>
        <v/>
      </c>
      <c r="AM210">
        <f>IF($C210="","",IF($W210="Yes",1,0))</f>
        <v/>
      </c>
      <c r="AN210">
        <f>IF($AJ210=1,IFERROR(IF(VALUE($C210)&lt;100000000,VALUE($C210),1000000000),IFERROR(IF(VALUE(MID($C210,2,20))&lt;100000000,VALUE(MID($C210,2,20)),1000000000),1000000000))+ROW()/100000,"")</f>
        <v/>
      </c>
    </row>
    <row r="211">
      <c r="E211" s="11" t="n"/>
      <c r="M211" s="7">
        <f>IF($C211="","",L211*U211/100)</f>
        <v/>
      </c>
      <c r="N211" s="7" t="n"/>
      <c r="T211" s="7" t="n"/>
      <c r="U211" s="7">
        <f>IF($C211="","",S211*T211)</f>
        <v/>
      </c>
      <c r="X211">
        <f>IF($C211="","",IF($AM211=1,0,IF($AL211=1,Settings!$C$6,Settings!$C$7))*100)</f>
        <v/>
      </c>
      <c r="AB211" s="7" t="n"/>
      <c r="AE211" s="11" t="n"/>
      <c r="AG211" s="7">
        <f>IF($C211="","",U211*X211/100)</f>
        <v/>
      </c>
      <c r="AH211" s="7">
        <f>IF($C211="","",U211-AG211)</f>
        <v/>
      </c>
      <c r="AI211" s="7">
        <f>IF($C211="","",AH211-M211)</f>
        <v/>
      </c>
      <c r="AJ211">
        <f>IF($C211="","",IF(COUNTIF($C$2:$C211,$C211)=1,1,0))</f>
        <v/>
      </c>
      <c r="AK211">
        <f>IF($AJ211=1,SUMPRODUCT(--($AN$2:$AN$4001&lt;$AN211))+1,"")</f>
        <v/>
      </c>
      <c r="AL211">
        <f>IF($C211="","",IF(OR($Q211=TRUE(),$Q211="TRUE"),1,0))</f>
        <v/>
      </c>
      <c r="AM211">
        <f>IF($C211="","",IF($W211="Yes",1,0))</f>
        <v/>
      </c>
      <c r="AN211">
        <f>IF($AJ211=1,IFERROR(IF(VALUE($C211)&lt;100000000,VALUE($C211),1000000000),IFERROR(IF(VALUE(MID($C211,2,20))&lt;100000000,VALUE(MID($C211,2,20)),1000000000),1000000000))+ROW()/100000,"")</f>
        <v/>
      </c>
    </row>
    <row r="212">
      <c r="E212" s="11" t="n"/>
      <c r="M212" s="7">
        <f>IF($C212="","",L212*U212/100)</f>
        <v/>
      </c>
      <c r="N212" s="7" t="n"/>
      <c r="T212" s="7" t="n"/>
      <c r="U212" s="7">
        <f>IF($C212="","",S212*T212)</f>
        <v/>
      </c>
      <c r="X212">
        <f>IF($C212="","",IF($AM212=1,0,IF($AL212=1,Settings!$C$6,Settings!$C$7))*100)</f>
        <v/>
      </c>
      <c r="AB212" s="7" t="n"/>
      <c r="AE212" s="11" t="n"/>
      <c r="AG212" s="7">
        <f>IF($C212="","",U212*X212/100)</f>
        <v/>
      </c>
      <c r="AH212" s="7">
        <f>IF($C212="","",U212-AG212)</f>
        <v/>
      </c>
      <c r="AI212" s="7">
        <f>IF($C212="","",AH212-M212)</f>
        <v/>
      </c>
      <c r="AJ212">
        <f>IF($C212="","",IF(COUNTIF($C$2:$C212,$C212)=1,1,0))</f>
        <v/>
      </c>
      <c r="AK212">
        <f>IF($AJ212=1,SUMPRODUCT(--($AN$2:$AN$4001&lt;$AN212))+1,"")</f>
        <v/>
      </c>
      <c r="AL212">
        <f>IF($C212="","",IF(OR($Q212=TRUE(),$Q212="TRUE"),1,0))</f>
        <v/>
      </c>
      <c r="AM212">
        <f>IF($C212="","",IF($W212="Yes",1,0))</f>
        <v/>
      </c>
      <c r="AN212">
        <f>IF($AJ212=1,IFERROR(IF(VALUE($C212)&lt;100000000,VALUE($C212),1000000000),IFERROR(IF(VALUE(MID($C212,2,20))&lt;100000000,VALUE(MID($C212,2,20)),1000000000),1000000000))+ROW()/100000,"")</f>
        <v/>
      </c>
    </row>
    <row r="213">
      <c r="E213" s="11" t="n"/>
      <c r="M213" s="7">
        <f>IF($C213="","",L213*U213/100)</f>
        <v/>
      </c>
      <c r="N213" s="7" t="n"/>
      <c r="T213" s="7" t="n"/>
      <c r="U213" s="7">
        <f>IF($C213="","",S213*T213)</f>
        <v/>
      </c>
      <c r="X213">
        <f>IF($C213="","",IF($AM213=1,0,IF($AL213=1,Settings!$C$6,Settings!$C$7))*100)</f>
        <v/>
      </c>
      <c r="AB213" s="7" t="n"/>
      <c r="AE213" s="11" t="n"/>
      <c r="AG213" s="7">
        <f>IF($C213="","",U213*X213/100)</f>
        <v/>
      </c>
      <c r="AH213" s="7">
        <f>IF($C213="","",U213-AG213)</f>
        <v/>
      </c>
      <c r="AI213" s="7">
        <f>IF($C213="","",AH213-M213)</f>
        <v/>
      </c>
      <c r="AJ213">
        <f>IF($C213="","",IF(COUNTIF($C$2:$C213,$C213)=1,1,0))</f>
        <v/>
      </c>
      <c r="AK213">
        <f>IF($AJ213=1,SUMPRODUCT(--($AN$2:$AN$4001&lt;$AN213))+1,"")</f>
        <v/>
      </c>
      <c r="AL213">
        <f>IF($C213="","",IF(OR($Q213=TRUE(),$Q213="TRUE"),1,0))</f>
        <v/>
      </c>
      <c r="AM213">
        <f>IF($C213="","",IF($W213="Yes",1,0))</f>
        <v/>
      </c>
      <c r="AN213">
        <f>IF($AJ213=1,IFERROR(IF(VALUE($C213)&lt;100000000,VALUE($C213),1000000000),IFERROR(IF(VALUE(MID($C213,2,20))&lt;100000000,VALUE(MID($C213,2,20)),1000000000),1000000000))+ROW()/100000,"")</f>
        <v/>
      </c>
    </row>
    <row r="214">
      <c r="E214" s="11" t="n"/>
      <c r="M214" s="7">
        <f>IF($C214="","",L214*U214/100)</f>
        <v/>
      </c>
      <c r="N214" s="7" t="n"/>
      <c r="T214" s="7" t="n"/>
      <c r="U214" s="7">
        <f>IF($C214="","",S214*T214)</f>
        <v/>
      </c>
      <c r="X214">
        <f>IF($C214="","",IF($AM214=1,0,IF($AL214=1,Settings!$C$6,Settings!$C$7))*100)</f>
        <v/>
      </c>
      <c r="AB214" s="7" t="n"/>
      <c r="AE214" s="11" t="n"/>
      <c r="AG214" s="7">
        <f>IF($C214="","",U214*X214/100)</f>
        <v/>
      </c>
      <c r="AH214" s="7">
        <f>IF($C214="","",U214-AG214)</f>
        <v/>
      </c>
      <c r="AI214" s="7">
        <f>IF($C214="","",AH214-M214)</f>
        <v/>
      </c>
      <c r="AJ214">
        <f>IF($C214="","",IF(COUNTIF($C$2:$C214,$C214)=1,1,0))</f>
        <v/>
      </c>
      <c r="AK214">
        <f>IF($AJ214=1,SUMPRODUCT(--($AN$2:$AN$4001&lt;$AN214))+1,"")</f>
        <v/>
      </c>
      <c r="AL214">
        <f>IF($C214="","",IF(OR($Q214=TRUE(),$Q214="TRUE"),1,0))</f>
        <v/>
      </c>
      <c r="AM214">
        <f>IF($C214="","",IF($W214="Yes",1,0))</f>
        <v/>
      </c>
      <c r="AN214">
        <f>IF($AJ214=1,IFERROR(IF(VALUE($C214)&lt;100000000,VALUE($C214),1000000000),IFERROR(IF(VALUE(MID($C214,2,20))&lt;100000000,VALUE(MID($C214,2,20)),1000000000),1000000000))+ROW()/100000,"")</f>
        <v/>
      </c>
    </row>
    <row r="215">
      <c r="E215" s="11" t="n"/>
      <c r="M215" s="7">
        <f>IF($C215="","",L215*U215/100)</f>
        <v/>
      </c>
      <c r="N215" s="7" t="n"/>
      <c r="T215" s="7" t="n"/>
      <c r="U215" s="7">
        <f>IF($C215="","",S215*T215)</f>
        <v/>
      </c>
      <c r="X215">
        <f>IF($C215="","",IF($AM215=1,0,IF($AL215=1,Settings!$C$6,Settings!$C$7))*100)</f>
        <v/>
      </c>
      <c r="AB215" s="7" t="n"/>
      <c r="AE215" s="11" t="n"/>
      <c r="AG215" s="7">
        <f>IF($C215="","",U215*X215/100)</f>
        <v/>
      </c>
      <c r="AH215" s="7">
        <f>IF($C215="","",U215-AG215)</f>
        <v/>
      </c>
      <c r="AI215" s="7">
        <f>IF($C215="","",AH215-M215)</f>
        <v/>
      </c>
      <c r="AJ215">
        <f>IF($C215="","",IF(COUNTIF($C$2:$C215,$C215)=1,1,0))</f>
        <v/>
      </c>
      <c r="AK215">
        <f>IF($AJ215=1,SUMPRODUCT(--($AN$2:$AN$4001&lt;$AN215))+1,"")</f>
        <v/>
      </c>
      <c r="AL215">
        <f>IF($C215="","",IF(OR($Q215=TRUE(),$Q215="TRUE"),1,0))</f>
        <v/>
      </c>
      <c r="AM215">
        <f>IF($C215="","",IF($W215="Yes",1,0))</f>
        <v/>
      </c>
      <c r="AN215">
        <f>IF($AJ215=1,IFERROR(IF(VALUE($C215)&lt;100000000,VALUE($C215),1000000000),IFERROR(IF(VALUE(MID($C215,2,20))&lt;100000000,VALUE(MID($C215,2,20)),1000000000),1000000000))+ROW()/100000,"")</f>
        <v/>
      </c>
    </row>
    <row r="216">
      <c r="E216" s="11" t="n"/>
      <c r="M216" s="7">
        <f>IF($C216="","",L216*U216/100)</f>
        <v/>
      </c>
      <c r="N216" s="7" t="n"/>
      <c r="T216" s="7" t="n"/>
      <c r="U216" s="7">
        <f>IF($C216="","",S216*T216)</f>
        <v/>
      </c>
      <c r="X216">
        <f>IF($C216="","",IF($AM216=1,0,IF($AL216=1,Settings!$C$6,Settings!$C$7))*100)</f>
        <v/>
      </c>
      <c r="AB216" s="7" t="n"/>
      <c r="AE216" s="11" t="n"/>
      <c r="AG216" s="7">
        <f>IF($C216="","",U216*X216/100)</f>
        <v/>
      </c>
      <c r="AH216" s="7">
        <f>IF($C216="","",U216-AG216)</f>
        <v/>
      </c>
      <c r="AI216" s="7">
        <f>IF($C216="","",AH216-M216)</f>
        <v/>
      </c>
      <c r="AJ216">
        <f>IF($C216="","",IF(COUNTIF($C$2:$C216,$C216)=1,1,0))</f>
        <v/>
      </c>
      <c r="AK216">
        <f>IF($AJ216=1,SUMPRODUCT(--($AN$2:$AN$4001&lt;$AN216))+1,"")</f>
        <v/>
      </c>
      <c r="AL216">
        <f>IF($C216="","",IF(OR($Q216=TRUE(),$Q216="TRUE"),1,0))</f>
        <v/>
      </c>
      <c r="AM216">
        <f>IF($C216="","",IF($W216="Yes",1,0))</f>
        <v/>
      </c>
      <c r="AN216">
        <f>IF($AJ216=1,IFERROR(IF(VALUE($C216)&lt;100000000,VALUE($C216),1000000000),IFERROR(IF(VALUE(MID($C216,2,20))&lt;100000000,VALUE(MID($C216,2,20)),1000000000),1000000000))+ROW()/100000,"")</f>
        <v/>
      </c>
    </row>
    <row r="217">
      <c r="E217" s="11" t="n"/>
      <c r="M217" s="7">
        <f>IF($C217="","",L217*U217/100)</f>
        <v/>
      </c>
      <c r="N217" s="7" t="n"/>
      <c r="T217" s="7" t="n"/>
      <c r="U217" s="7">
        <f>IF($C217="","",S217*T217)</f>
        <v/>
      </c>
      <c r="X217">
        <f>IF($C217="","",IF($AM217=1,0,IF($AL217=1,Settings!$C$6,Settings!$C$7))*100)</f>
        <v/>
      </c>
      <c r="AB217" s="7" t="n"/>
      <c r="AE217" s="11" t="n"/>
      <c r="AG217" s="7">
        <f>IF($C217="","",U217*X217/100)</f>
        <v/>
      </c>
      <c r="AH217" s="7">
        <f>IF($C217="","",U217-AG217)</f>
        <v/>
      </c>
      <c r="AI217" s="7">
        <f>IF($C217="","",AH217-M217)</f>
        <v/>
      </c>
      <c r="AJ217">
        <f>IF($C217="","",IF(COUNTIF($C$2:$C217,$C217)=1,1,0))</f>
        <v/>
      </c>
      <c r="AK217">
        <f>IF($AJ217=1,SUMPRODUCT(--($AN$2:$AN$4001&lt;$AN217))+1,"")</f>
        <v/>
      </c>
      <c r="AL217">
        <f>IF($C217="","",IF(OR($Q217=TRUE(),$Q217="TRUE"),1,0))</f>
        <v/>
      </c>
      <c r="AM217">
        <f>IF($C217="","",IF($W217="Yes",1,0))</f>
        <v/>
      </c>
      <c r="AN217">
        <f>IF($AJ217=1,IFERROR(IF(VALUE($C217)&lt;100000000,VALUE($C217),1000000000),IFERROR(IF(VALUE(MID($C217,2,20))&lt;100000000,VALUE(MID($C217,2,20)),1000000000),1000000000))+ROW()/100000,"")</f>
        <v/>
      </c>
    </row>
    <row r="218">
      <c r="E218" s="11" t="n"/>
      <c r="M218" s="7">
        <f>IF($C218="","",L218*U218/100)</f>
        <v/>
      </c>
      <c r="N218" s="7" t="n"/>
      <c r="T218" s="7" t="n"/>
      <c r="U218" s="7">
        <f>IF($C218="","",S218*T218)</f>
        <v/>
      </c>
      <c r="X218">
        <f>IF($C218="","",IF($AM218=1,0,IF($AL218=1,Settings!$C$6,Settings!$C$7))*100)</f>
        <v/>
      </c>
      <c r="AB218" s="7" t="n"/>
      <c r="AE218" s="11" t="n"/>
      <c r="AG218" s="7">
        <f>IF($C218="","",U218*X218/100)</f>
        <v/>
      </c>
      <c r="AH218" s="7">
        <f>IF($C218="","",U218-AG218)</f>
        <v/>
      </c>
      <c r="AI218" s="7">
        <f>IF($C218="","",AH218-M218)</f>
        <v/>
      </c>
      <c r="AJ218">
        <f>IF($C218="","",IF(COUNTIF($C$2:$C218,$C218)=1,1,0))</f>
        <v/>
      </c>
      <c r="AK218">
        <f>IF($AJ218=1,SUMPRODUCT(--($AN$2:$AN$4001&lt;$AN218))+1,"")</f>
        <v/>
      </c>
      <c r="AL218">
        <f>IF($C218="","",IF(OR($Q218=TRUE(),$Q218="TRUE"),1,0))</f>
        <v/>
      </c>
      <c r="AM218">
        <f>IF($C218="","",IF($W218="Yes",1,0))</f>
        <v/>
      </c>
      <c r="AN218">
        <f>IF($AJ218=1,IFERROR(IF(VALUE($C218)&lt;100000000,VALUE($C218),1000000000),IFERROR(IF(VALUE(MID($C218,2,20))&lt;100000000,VALUE(MID($C218,2,20)),1000000000),1000000000))+ROW()/100000,"")</f>
        <v/>
      </c>
    </row>
    <row r="219">
      <c r="E219" s="11" t="n"/>
      <c r="M219" s="7">
        <f>IF($C219="","",L219*U219/100)</f>
        <v/>
      </c>
      <c r="N219" s="7" t="n"/>
      <c r="T219" s="7" t="n"/>
      <c r="U219" s="7">
        <f>IF($C219="","",S219*T219)</f>
        <v/>
      </c>
      <c r="X219">
        <f>IF($C219="","",IF($AM219=1,0,IF($AL219=1,Settings!$C$6,Settings!$C$7))*100)</f>
        <v/>
      </c>
      <c r="AB219" s="7" t="n"/>
      <c r="AE219" s="11" t="n"/>
      <c r="AG219" s="7">
        <f>IF($C219="","",U219*X219/100)</f>
        <v/>
      </c>
      <c r="AH219" s="7">
        <f>IF($C219="","",U219-AG219)</f>
        <v/>
      </c>
      <c r="AI219" s="7">
        <f>IF($C219="","",AH219-M219)</f>
        <v/>
      </c>
      <c r="AJ219">
        <f>IF($C219="","",IF(COUNTIF($C$2:$C219,$C219)=1,1,0))</f>
        <v/>
      </c>
      <c r="AK219">
        <f>IF($AJ219=1,SUMPRODUCT(--($AN$2:$AN$4001&lt;$AN219))+1,"")</f>
        <v/>
      </c>
      <c r="AL219">
        <f>IF($C219="","",IF(OR($Q219=TRUE(),$Q219="TRUE"),1,0))</f>
        <v/>
      </c>
      <c r="AM219">
        <f>IF($C219="","",IF($W219="Yes",1,0))</f>
        <v/>
      </c>
      <c r="AN219">
        <f>IF($AJ219=1,IFERROR(IF(VALUE($C219)&lt;100000000,VALUE($C219),1000000000),IFERROR(IF(VALUE(MID($C219,2,20))&lt;100000000,VALUE(MID($C219,2,20)),1000000000),1000000000))+ROW()/100000,"")</f>
        <v/>
      </c>
    </row>
    <row r="220">
      <c r="E220" s="11" t="n"/>
      <c r="M220" s="7">
        <f>IF($C220="","",L220*U220/100)</f>
        <v/>
      </c>
      <c r="N220" s="7" t="n"/>
      <c r="T220" s="7" t="n"/>
      <c r="U220" s="7">
        <f>IF($C220="","",S220*T220)</f>
        <v/>
      </c>
      <c r="X220">
        <f>IF($C220="","",IF($AM220=1,0,IF($AL220=1,Settings!$C$6,Settings!$C$7))*100)</f>
        <v/>
      </c>
      <c r="AB220" s="7" t="n"/>
      <c r="AE220" s="11" t="n"/>
      <c r="AG220" s="7">
        <f>IF($C220="","",U220*X220/100)</f>
        <v/>
      </c>
      <c r="AH220" s="7">
        <f>IF($C220="","",U220-AG220)</f>
        <v/>
      </c>
      <c r="AI220" s="7">
        <f>IF($C220="","",AH220-M220)</f>
        <v/>
      </c>
      <c r="AJ220">
        <f>IF($C220="","",IF(COUNTIF($C$2:$C220,$C220)=1,1,0))</f>
        <v/>
      </c>
      <c r="AK220">
        <f>IF($AJ220=1,SUMPRODUCT(--($AN$2:$AN$4001&lt;$AN220))+1,"")</f>
        <v/>
      </c>
      <c r="AL220">
        <f>IF($C220="","",IF(OR($Q220=TRUE(),$Q220="TRUE"),1,0))</f>
        <v/>
      </c>
      <c r="AM220">
        <f>IF($C220="","",IF($W220="Yes",1,0))</f>
        <v/>
      </c>
      <c r="AN220">
        <f>IF($AJ220=1,IFERROR(IF(VALUE($C220)&lt;100000000,VALUE($C220),1000000000),IFERROR(IF(VALUE(MID($C220,2,20))&lt;100000000,VALUE(MID($C220,2,20)),1000000000),1000000000))+ROW()/100000,"")</f>
        <v/>
      </c>
    </row>
    <row r="221">
      <c r="E221" s="11" t="n"/>
      <c r="M221" s="7">
        <f>IF($C221="","",L221*U221/100)</f>
        <v/>
      </c>
      <c r="N221" s="7" t="n"/>
      <c r="T221" s="7" t="n"/>
      <c r="U221" s="7">
        <f>IF($C221="","",S221*T221)</f>
        <v/>
      </c>
      <c r="X221">
        <f>IF($C221="","",IF($AM221=1,0,IF($AL221=1,Settings!$C$6,Settings!$C$7))*100)</f>
        <v/>
      </c>
      <c r="AB221" s="7" t="n"/>
      <c r="AE221" s="11" t="n"/>
      <c r="AG221" s="7">
        <f>IF($C221="","",U221*X221/100)</f>
        <v/>
      </c>
      <c r="AH221" s="7">
        <f>IF($C221="","",U221-AG221)</f>
        <v/>
      </c>
      <c r="AI221" s="7">
        <f>IF($C221="","",AH221-M221)</f>
        <v/>
      </c>
      <c r="AJ221">
        <f>IF($C221="","",IF(COUNTIF($C$2:$C221,$C221)=1,1,0))</f>
        <v/>
      </c>
      <c r="AK221">
        <f>IF($AJ221=1,SUMPRODUCT(--($AN$2:$AN$4001&lt;$AN221))+1,"")</f>
        <v/>
      </c>
      <c r="AL221">
        <f>IF($C221="","",IF(OR($Q221=TRUE(),$Q221="TRUE"),1,0))</f>
        <v/>
      </c>
      <c r="AM221">
        <f>IF($C221="","",IF($W221="Yes",1,0))</f>
        <v/>
      </c>
      <c r="AN221">
        <f>IF($AJ221=1,IFERROR(IF(VALUE($C221)&lt;100000000,VALUE($C221),1000000000),IFERROR(IF(VALUE(MID($C221,2,20))&lt;100000000,VALUE(MID($C221,2,20)),1000000000),1000000000))+ROW()/100000,"")</f>
        <v/>
      </c>
    </row>
    <row r="222">
      <c r="E222" s="11" t="n"/>
      <c r="M222" s="7">
        <f>IF($C222="","",L222*U222/100)</f>
        <v/>
      </c>
      <c r="N222" s="7" t="n"/>
      <c r="T222" s="7" t="n"/>
      <c r="U222" s="7">
        <f>IF($C222="","",S222*T222)</f>
        <v/>
      </c>
      <c r="X222">
        <f>IF($C222="","",IF($AM222=1,0,IF($AL222=1,Settings!$C$6,Settings!$C$7))*100)</f>
        <v/>
      </c>
      <c r="AB222" s="7" t="n"/>
      <c r="AE222" s="11" t="n"/>
      <c r="AG222" s="7">
        <f>IF($C222="","",U222*X222/100)</f>
        <v/>
      </c>
      <c r="AH222" s="7">
        <f>IF($C222="","",U222-AG222)</f>
        <v/>
      </c>
      <c r="AI222" s="7">
        <f>IF($C222="","",AH222-M222)</f>
        <v/>
      </c>
      <c r="AJ222">
        <f>IF($C222="","",IF(COUNTIF($C$2:$C222,$C222)=1,1,0))</f>
        <v/>
      </c>
      <c r="AK222">
        <f>IF($AJ222=1,SUMPRODUCT(--($AN$2:$AN$4001&lt;$AN222))+1,"")</f>
        <v/>
      </c>
      <c r="AL222">
        <f>IF($C222="","",IF(OR($Q222=TRUE(),$Q222="TRUE"),1,0))</f>
        <v/>
      </c>
      <c r="AM222">
        <f>IF($C222="","",IF($W222="Yes",1,0))</f>
        <v/>
      </c>
      <c r="AN222">
        <f>IF($AJ222=1,IFERROR(IF(VALUE($C222)&lt;100000000,VALUE($C222),1000000000),IFERROR(IF(VALUE(MID($C222,2,20))&lt;100000000,VALUE(MID($C222,2,20)),1000000000),1000000000))+ROW()/100000,"")</f>
        <v/>
      </c>
    </row>
    <row r="223">
      <c r="E223" s="11" t="n"/>
      <c r="M223" s="7">
        <f>IF($C223="","",L223*U223/100)</f>
        <v/>
      </c>
      <c r="N223" s="7" t="n"/>
      <c r="T223" s="7" t="n"/>
      <c r="U223" s="7">
        <f>IF($C223="","",S223*T223)</f>
        <v/>
      </c>
      <c r="X223">
        <f>IF($C223="","",IF($AM223=1,0,IF($AL223=1,Settings!$C$6,Settings!$C$7))*100)</f>
        <v/>
      </c>
      <c r="AB223" s="7" t="n"/>
      <c r="AE223" s="11" t="n"/>
      <c r="AG223" s="7">
        <f>IF($C223="","",U223*X223/100)</f>
        <v/>
      </c>
      <c r="AH223" s="7">
        <f>IF($C223="","",U223-AG223)</f>
        <v/>
      </c>
      <c r="AI223" s="7">
        <f>IF($C223="","",AH223-M223)</f>
        <v/>
      </c>
      <c r="AJ223">
        <f>IF($C223="","",IF(COUNTIF($C$2:$C223,$C223)=1,1,0))</f>
        <v/>
      </c>
      <c r="AK223">
        <f>IF($AJ223=1,SUMPRODUCT(--($AN$2:$AN$4001&lt;$AN223))+1,"")</f>
        <v/>
      </c>
      <c r="AL223">
        <f>IF($C223="","",IF(OR($Q223=TRUE(),$Q223="TRUE"),1,0))</f>
        <v/>
      </c>
      <c r="AM223">
        <f>IF($C223="","",IF($W223="Yes",1,0))</f>
        <v/>
      </c>
      <c r="AN223">
        <f>IF($AJ223=1,IFERROR(IF(VALUE($C223)&lt;100000000,VALUE($C223),1000000000),IFERROR(IF(VALUE(MID($C223,2,20))&lt;100000000,VALUE(MID($C223,2,20)),1000000000),1000000000))+ROW()/100000,"")</f>
        <v/>
      </c>
    </row>
    <row r="224">
      <c r="E224" s="11" t="n"/>
      <c r="M224" s="7">
        <f>IF($C224="","",L224*U224/100)</f>
        <v/>
      </c>
      <c r="N224" s="7" t="n"/>
      <c r="T224" s="7" t="n"/>
      <c r="U224" s="7">
        <f>IF($C224="","",S224*T224)</f>
        <v/>
      </c>
      <c r="X224">
        <f>IF($C224="","",IF($AM224=1,0,IF($AL224=1,Settings!$C$6,Settings!$C$7))*100)</f>
        <v/>
      </c>
      <c r="AB224" s="7" t="n"/>
      <c r="AE224" s="11" t="n"/>
      <c r="AG224" s="7">
        <f>IF($C224="","",U224*X224/100)</f>
        <v/>
      </c>
      <c r="AH224" s="7">
        <f>IF($C224="","",U224-AG224)</f>
        <v/>
      </c>
      <c r="AI224" s="7">
        <f>IF($C224="","",AH224-M224)</f>
        <v/>
      </c>
      <c r="AJ224">
        <f>IF($C224="","",IF(COUNTIF($C$2:$C224,$C224)=1,1,0))</f>
        <v/>
      </c>
      <c r="AK224">
        <f>IF($AJ224=1,SUMPRODUCT(--($AN$2:$AN$4001&lt;$AN224))+1,"")</f>
        <v/>
      </c>
      <c r="AL224">
        <f>IF($C224="","",IF(OR($Q224=TRUE(),$Q224="TRUE"),1,0))</f>
        <v/>
      </c>
      <c r="AM224">
        <f>IF($C224="","",IF($W224="Yes",1,0))</f>
        <v/>
      </c>
      <c r="AN224">
        <f>IF($AJ224=1,IFERROR(IF(VALUE($C224)&lt;100000000,VALUE($C224),1000000000),IFERROR(IF(VALUE(MID($C224,2,20))&lt;100000000,VALUE(MID($C224,2,20)),1000000000),1000000000))+ROW()/100000,"")</f>
        <v/>
      </c>
    </row>
    <row r="225">
      <c r="E225" s="11" t="n"/>
      <c r="M225" s="7">
        <f>IF($C225="","",L225*U225/100)</f>
        <v/>
      </c>
      <c r="N225" s="7" t="n"/>
      <c r="T225" s="7" t="n"/>
      <c r="U225" s="7">
        <f>IF($C225="","",S225*T225)</f>
        <v/>
      </c>
      <c r="X225">
        <f>IF($C225="","",IF($AM225=1,0,IF($AL225=1,Settings!$C$6,Settings!$C$7))*100)</f>
        <v/>
      </c>
      <c r="AB225" s="7" t="n"/>
      <c r="AE225" s="11" t="n"/>
      <c r="AG225" s="7">
        <f>IF($C225="","",U225*X225/100)</f>
        <v/>
      </c>
      <c r="AH225" s="7">
        <f>IF($C225="","",U225-AG225)</f>
        <v/>
      </c>
      <c r="AI225" s="7">
        <f>IF($C225="","",AH225-M225)</f>
        <v/>
      </c>
      <c r="AJ225">
        <f>IF($C225="","",IF(COUNTIF($C$2:$C225,$C225)=1,1,0))</f>
        <v/>
      </c>
      <c r="AK225">
        <f>IF($AJ225=1,SUMPRODUCT(--($AN$2:$AN$4001&lt;$AN225))+1,"")</f>
        <v/>
      </c>
      <c r="AL225">
        <f>IF($C225="","",IF(OR($Q225=TRUE(),$Q225="TRUE"),1,0))</f>
        <v/>
      </c>
      <c r="AM225">
        <f>IF($C225="","",IF($W225="Yes",1,0))</f>
        <v/>
      </c>
      <c r="AN225">
        <f>IF($AJ225=1,IFERROR(IF(VALUE($C225)&lt;100000000,VALUE($C225),1000000000),IFERROR(IF(VALUE(MID($C225,2,20))&lt;100000000,VALUE(MID($C225,2,20)),1000000000),1000000000))+ROW()/100000,"")</f>
        <v/>
      </c>
    </row>
    <row r="226">
      <c r="E226" s="11" t="n"/>
      <c r="M226" s="7">
        <f>IF($C226="","",L226*U226/100)</f>
        <v/>
      </c>
      <c r="N226" s="7" t="n"/>
      <c r="T226" s="7" t="n"/>
      <c r="U226" s="7">
        <f>IF($C226="","",S226*T226)</f>
        <v/>
      </c>
      <c r="X226">
        <f>IF($C226="","",IF($AM226=1,0,IF($AL226=1,Settings!$C$6,Settings!$C$7))*100)</f>
        <v/>
      </c>
      <c r="AB226" s="7" t="n"/>
      <c r="AE226" s="11" t="n"/>
      <c r="AG226" s="7">
        <f>IF($C226="","",U226*X226/100)</f>
        <v/>
      </c>
      <c r="AH226" s="7">
        <f>IF($C226="","",U226-AG226)</f>
        <v/>
      </c>
      <c r="AI226" s="7">
        <f>IF($C226="","",AH226-M226)</f>
        <v/>
      </c>
      <c r="AJ226">
        <f>IF($C226="","",IF(COUNTIF($C$2:$C226,$C226)=1,1,0))</f>
        <v/>
      </c>
      <c r="AK226">
        <f>IF($AJ226=1,SUMPRODUCT(--($AN$2:$AN$4001&lt;$AN226))+1,"")</f>
        <v/>
      </c>
      <c r="AL226">
        <f>IF($C226="","",IF(OR($Q226=TRUE(),$Q226="TRUE"),1,0))</f>
        <v/>
      </c>
      <c r="AM226">
        <f>IF($C226="","",IF($W226="Yes",1,0))</f>
        <v/>
      </c>
      <c r="AN226">
        <f>IF($AJ226=1,IFERROR(IF(VALUE($C226)&lt;100000000,VALUE($C226),1000000000),IFERROR(IF(VALUE(MID($C226,2,20))&lt;100000000,VALUE(MID($C226,2,20)),1000000000),1000000000))+ROW()/100000,"")</f>
        <v/>
      </c>
    </row>
    <row r="227">
      <c r="E227" s="11" t="n"/>
      <c r="M227" s="7">
        <f>IF($C227="","",L227*U227/100)</f>
        <v/>
      </c>
      <c r="N227" s="7" t="n"/>
      <c r="T227" s="7" t="n"/>
      <c r="U227" s="7">
        <f>IF($C227="","",S227*T227)</f>
        <v/>
      </c>
      <c r="X227">
        <f>IF($C227="","",IF($AM227=1,0,IF($AL227=1,Settings!$C$6,Settings!$C$7))*100)</f>
        <v/>
      </c>
      <c r="AB227" s="7" t="n"/>
      <c r="AE227" s="11" t="n"/>
      <c r="AG227" s="7">
        <f>IF($C227="","",U227*X227/100)</f>
        <v/>
      </c>
      <c r="AH227" s="7">
        <f>IF($C227="","",U227-AG227)</f>
        <v/>
      </c>
      <c r="AI227" s="7">
        <f>IF($C227="","",AH227-M227)</f>
        <v/>
      </c>
      <c r="AJ227">
        <f>IF($C227="","",IF(COUNTIF($C$2:$C227,$C227)=1,1,0))</f>
        <v/>
      </c>
      <c r="AK227">
        <f>IF($AJ227=1,SUMPRODUCT(--($AN$2:$AN$4001&lt;$AN227))+1,"")</f>
        <v/>
      </c>
      <c r="AL227">
        <f>IF($C227="","",IF(OR($Q227=TRUE(),$Q227="TRUE"),1,0))</f>
        <v/>
      </c>
      <c r="AM227">
        <f>IF($C227="","",IF($W227="Yes",1,0))</f>
        <v/>
      </c>
      <c r="AN227">
        <f>IF($AJ227=1,IFERROR(IF(VALUE($C227)&lt;100000000,VALUE($C227),1000000000),IFERROR(IF(VALUE(MID($C227,2,20))&lt;100000000,VALUE(MID($C227,2,20)),1000000000),1000000000))+ROW()/100000,"")</f>
        <v/>
      </c>
    </row>
    <row r="228">
      <c r="E228" s="11" t="n"/>
      <c r="M228" s="7">
        <f>IF($C228="","",L228*U228/100)</f>
        <v/>
      </c>
      <c r="N228" s="7" t="n"/>
      <c r="T228" s="7" t="n"/>
      <c r="U228" s="7">
        <f>IF($C228="","",S228*T228)</f>
        <v/>
      </c>
      <c r="X228">
        <f>IF($C228="","",IF($AM228=1,0,IF($AL228=1,Settings!$C$6,Settings!$C$7))*100)</f>
        <v/>
      </c>
      <c r="AB228" s="7" t="n"/>
      <c r="AE228" s="11" t="n"/>
      <c r="AG228" s="7">
        <f>IF($C228="","",U228*X228/100)</f>
        <v/>
      </c>
      <c r="AH228" s="7">
        <f>IF($C228="","",U228-AG228)</f>
        <v/>
      </c>
      <c r="AI228" s="7">
        <f>IF($C228="","",AH228-M228)</f>
        <v/>
      </c>
      <c r="AJ228">
        <f>IF($C228="","",IF(COUNTIF($C$2:$C228,$C228)=1,1,0))</f>
        <v/>
      </c>
      <c r="AK228">
        <f>IF($AJ228=1,SUMPRODUCT(--($AN$2:$AN$4001&lt;$AN228))+1,"")</f>
        <v/>
      </c>
      <c r="AL228">
        <f>IF($C228="","",IF(OR($Q228=TRUE(),$Q228="TRUE"),1,0))</f>
        <v/>
      </c>
      <c r="AM228">
        <f>IF($C228="","",IF($W228="Yes",1,0))</f>
        <v/>
      </c>
      <c r="AN228">
        <f>IF($AJ228=1,IFERROR(IF(VALUE($C228)&lt;100000000,VALUE($C228),1000000000),IFERROR(IF(VALUE(MID($C228,2,20))&lt;100000000,VALUE(MID($C228,2,20)),1000000000),1000000000))+ROW()/100000,"")</f>
        <v/>
      </c>
    </row>
    <row r="229">
      <c r="E229" s="11" t="n"/>
      <c r="M229" s="7">
        <f>IF($C229="","",L229*U229/100)</f>
        <v/>
      </c>
      <c r="N229" s="7" t="n"/>
      <c r="T229" s="7" t="n"/>
      <c r="U229" s="7">
        <f>IF($C229="","",S229*T229)</f>
        <v/>
      </c>
      <c r="X229">
        <f>IF($C229="","",IF($AM229=1,0,IF($AL229=1,Settings!$C$6,Settings!$C$7))*100)</f>
        <v/>
      </c>
      <c r="AB229" s="7" t="n"/>
      <c r="AE229" s="11" t="n"/>
      <c r="AG229" s="7">
        <f>IF($C229="","",U229*X229/100)</f>
        <v/>
      </c>
      <c r="AH229" s="7">
        <f>IF($C229="","",U229-AG229)</f>
        <v/>
      </c>
      <c r="AI229" s="7">
        <f>IF($C229="","",AH229-M229)</f>
        <v/>
      </c>
      <c r="AJ229">
        <f>IF($C229="","",IF(COUNTIF($C$2:$C229,$C229)=1,1,0))</f>
        <v/>
      </c>
      <c r="AK229">
        <f>IF($AJ229=1,SUMPRODUCT(--($AN$2:$AN$4001&lt;$AN229))+1,"")</f>
        <v/>
      </c>
      <c r="AL229">
        <f>IF($C229="","",IF(OR($Q229=TRUE(),$Q229="TRUE"),1,0))</f>
        <v/>
      </c>
      <c r="AM229">
        <f>IF($C229="","",IF($W229="Yes",1,0))</f>
        <v/>
      </c>
      <c r="AN229">
        <f>IF($AJ229=1,IFERROR(IF(VALUE($C229)&lt;100000000,VALUE($C229),1000000000),IFERROR(IF(VALUE(MID($C229,2,20))&lt;100000000,VALUE(MID($C229,2,20)),1000000000),1000000000))+ROW()/100000,"")</f>
        <v/>
      </c>
    </row>
    <row r="230">
      <c r="E230" s="11" t="n"/>
      <c r="M230" s="7">
        <f>IF($C230="","",L230*U230/100)</f>
        <v/>
      </c>
      <c r="N230" s="7" t="n"/>
      <c r="T230" s="7" t="n"/>
      <c r="U230" s="7">
        <f>IF($C230="","",S230*T230)</f>
        <v/>
      </c>
      <c r="X230">
        <f>IF($C230="","",IF($AM230=1,0,IF($AL230=1,Settings!$C$6,Settings!$C$7))*100)</f>
        <v/>
      </c>
      <c r="AB230" s="7" t="n"/>
      <c r="AE230" s="11" t="n"/>
      <c r="AG230" s="7">
        <f>IF($C230="","",U230*X230/100)</f>
        <v/>
      </c>
      <c r="AH230" s="7">
        <f>IF($C230="","",U230-AG230)</f>
        <v/>
      </c>
      <c r="AI230" s="7">
        <f>IF($C230="","",AH230-M230)</f>
        <v/>
      </c>
      <c r="AJ230">
        <f>IF($C230="","",IF(COUNTIF($C$2:$C230,$C230)=1,1,0))</f>
        <v/>
      </c>
      <c r="AK230">
        <f>IF($AJ230=1,SUMPRODUCT(--($AN$2:$AN$4001&lt;$AN230))+1,"")</f>
        <v/>
      </c>
      <c r="AL230">
        <f>IF($C230="","",IF(OR($Q230=TRUE(),$Q230="TRUE"),1,0))</f>
        <v/>
      </c>
      <c r="AM230">
        <f>IF($C230="","",IF($W230="Yes",1,0))</f>
        <v/>
      </c>
      <c r="AN230">
        <f>IF($AJ230=1,IFERROR(IF(VALUE($C230)&lt;100000000,VALUE($C230),1000000000),IFERROR(IF(VALUE(MID($C230,2,20))&lt;100000000,VALUE(MID($C230,2,20)),1000000000),1000000000))+ROW()/100000,"")</f>
        <v/>
      </c>
    </row>
    <row r="231">
      <c r="E231" s="11" t="n"/>
      <c r="M231" s="7">
        <f>IF($C231="","",L231*U231/100)</f>
        <v/>
      </c>
      <c r="N231" s="7" t="n"/>
      <c r="T231" s="7" t="n"/>
      <c r="U231" s="7">
        <f>IF($C231="","",S231*T231)</f>
        <v/>
      </c>
      <c r="X231">
        <f>IF($C231="","",IF($AM231=1,0,IF($AL231=1,Settings!$C$6,Settings!$C$7))*100)</f>
        <v/>
      </c>
      <c r="AB231" s="7" t="n"/>
      <c r="AE231" s="11" t="n"/>
      <c r="AG231" s="7">
        <f>IF($C231="","",U231*X231/100)</f>
        <v/>
      </c>
      <c r="AH231" s="7">
        <f>IF($C231="","",U231-AG231)</f>
        <v/>
      </c>
      <c r="AI231" s="7">
        <f>IF($C231="","",AH231-M231)</f>
        <v/>
      </c>
      <c r="AJ231">
        <f>IF($C231="","",IF(COUNTIF($C$2:$C231,$C231)=1,1,0))</f>
        <v/>
      </c>
      <c r="AK231">
        <f>IF($AJ231=1,SUMPRODUCT(--($AN$2:$AN$4001&lt;$AN231))+1,"")</f>
        <v/>
      </c>
      <c r="AL231">
        <f>IF($C231="","",IF(OR($Q231=TRUE(),$Q231="TRUE"),1,0))</f>
        <v/>
      </c>
      <c r="AM231">
        <f>IF($C231="","",IF($W231="Yes",1,0))</f>
        <v/>
      </c>
      <c r="AN231">
        <f>IF($AJ231=1,IFERROR(IF(VALUE($C231)&lt;100000000,VALUE($C231),1000000000),IFERROR(IF(VALUE(MID($C231,2,20))&lt;100000000,VALUE(MID($C231,2,20)),1000000000),1000000000))+ROW()/100000,"")</f>
        <v/>
      </c>
    </row>
    <row r="232">
      <c r="E232" s="11" t="n"/>
      <c r="M232" s="7">
        <f>IF($C232="","",L232*U232/100)</f>
        <v/>
      </c>
      <c r="N232" s="7" t="n"/>
      <c r="T232" s="7" t="n"/>
      <c r="U232" s="7">
        <f>IF($C232="","",S232*T232)</f>
        <v/>
      </c>
      <c r="X232">
        <f>IF($C232="","",IF($AM232=1,0,IF($AL232=1,Settings!$C$6,Settings!$C$7))*100)</f>
        <v/>
      </c>
      <c r="AB232" s="7" t="n"/>
      <c r="AE232" s="11" t="n"/>
      <c r="AG232" s="7">
        <f>IF($C232="","",U232*X232/100)</f>
        <v/>
      </c>
      <c r="AH232" s="7">
        <f>IF($C232="","",U232-AG232)</f>
        <v/>
      </c>
      <c r="AI232" s="7">
        <f>IF($C232="","",AH232-M232)</f>
        <v/>
      </c>
      <c r="AJ232">
        <f>IF($C232="","",IF(COUNTIF($C$2:$C232,$C232)=1,1,0))</f>
        <v/>
      </c>
      <c r="AK232">
        <f>IF($AJ232=1,SUMPRODUCT(--($AN$2:$AN$4001&lt;$AN232))+1,"")</f>
        <v/>
      </c>
      <c r="AL232">
        <f>IF($C232="","",IF(OR($Q232=TRUE(),$Q232="TRUE"),1,0))</f>
        <v/>
      </c>
      <c r="AM232">
        <f>IF($C232="","",IF($W232="Yes",1,0))</f>
        <v/>
      </c>
      <c r="AN232">
        <f>IF($AJ232=1,IFERROR(IF(VALUE($C232)&lt;100000000,VALUE($C232),1000000000),IFERROR(IF(VALUE(MID($C232,2,20))&lt;100000000,VALUE(MID($C232,2,20)),1000000000),1000000000))+ROW()/100000,"")</f>
        <v/>
      </c>
    </row>
    <row r="233">
      <c r="E233" s="11" t="n"/>
      <c r="M233" s="7">
        <f>IF($C233="","",L233*U233/100)</f>
        <v/>
      </c>
      <c r="N233" s="7" t="n"/>
      <c r="T233" s="7" t="n"/>
      <c r="U233" s="7">
        <f>IF($C233="","",S233*T233)</f>
        <v/>
      </c>
      <c r="X233">
        <f>IF($C233="","",IF($AM233=1,0,IF($AL233=1,Settings!$C$6,Settings!$C$7))*100)</f>
        <v/>
      </c>
      <c r="AB233" s="7" t="n"/>
      <c r="AE233" s="11" t="n"/>
      <c r="AG233" s="7">
        <f>IF($C233="","",U233*X233/100)</f>
        <v/>
      </c>
      <c r="AH233" s="7">
        <f>IF($C233="","",U233-AG233)</f>
        <v/>
      </c>
      <c r="AI233" s="7">
        <f>IF($C233="","",AH233-M233)</f>
        <v/>
      </c>
      <c r="AJ233">
        <f>IF($C233="","",IF(COUNTIF($C$2:$C233,$C233)=1,1,0))</f>
        <v/>
      </c>
      <c r="AK233">
        <f>IF($AJ233=1,SUMPRODUCT(--($AN$2:$AN$4001&lt;$AN233))+1,"")</f>
        <v/>
      </c>
      <c r="AL233">
        <f>IF($C233="","",IF(OR($Q233=TRUE(),$Q233="TRUE"),1,0))</f>
        <v/>
      </c>
      <c r="AM233">
        <f>IF($C233="","",IF($W233="Yes",1,0))</f>
        <v/>
      </c>
      <c r="AN233">
        <f>IF($AJ233=1,IFERROR(IF(VALUE($C233)&lt;100000000,VALUE($C233),1000000000),IFERROR(IF(VALUE(MID($C233,2,20))&lt;100000000,VALUE(MID($C233,2,20)),1000000000),1000000000))+ROW()/100000,"")</f>
        <v/>
      </c>
    </row>
    <row r="234">
      <c r="E234" s="11" t="n"/>
      <c r="M234" s="7">
        <f>IF($C234="","",L234*U234/100)</f>
        <v/>
      </c>
      <c r="N234" s="7" t="n"/>
      <c r="T234" s="7" t="n"/>
      <c r="U234" s="7">
        <f>IF($C234="","",S234*T234)</f>
        <v/>
      </c>
      <c r="X234">
        <f>IF($C234="","",IF($AM234=1,0,IF($AL234=1,Settings!$C$6,Settings!$C$7))*100)</f>
        <v/>
      </c>
      <c r="AB234" s="7" t="n"/>
      <c r="AE234" s="11" t="n"/>
      <c r="AG234" s="7">
        <f>IF($C234="","",U234*X234/100)</f>
        <v/>
      </c>
      <c r="AH234" s="7">
        <f>IF($C234="","",U234-AG234)</f>
        <v/>
      </c>
      <c r="AI234" s="7">
        <f>IF($C234="","",AH234-M234)</f>
        <v/>
      </c>
      <c r="AJ234">
        <f>IF($C234="","",IF(COUNTIF($C$2:$C234,$C234)=1,1,0))</f>
        <v/>
      </c>
      <c r="AK234">
        <f>IF($AJ234=1,SUMPRODUCT(--($AN$2:$AN$4001&lt;$AN234))+1,"")</f>
        <v/>
      </c>
      <c r="AL234">
        <f>IF($C234="","",IF(OR($Q234=TRUE(),$Q234="TRUE"),1,0))</f>
        <v/>
      </c>
      <c r="AM234">
        <f>IF($C234="","",IF($W234="Yes",1,0))</f>
        <v/>
      </c>
      <c r="AN234">
        <f>IF($AJ234=1,IFERROR(IF(VALUE($C234)&lt;100000000,VALUE($C234),1000000000),IFERROR(IF(VALUE(MID($C234,2,20))&lt;100000000,VALUE(MID($C234,2,20)),1000000000),1000000000))+ROW()/100000,"")</f>
        <v/>
      </c>
    </row>
    <row r="235">
      <c r="E235" s="11" t="n"/>
      <c r="M235" s="7">
        <f>IF($C235="","",L235*U235/100)</f>
        <v/>
      </c>
      <c r="N235" s="7" t="n"/>
      <c r="T235" s="7" t="n"/>
      <c r="U235" s="7">
        <f>IF($C235="","",S235*T235)</f>
        <v/>
      </c>
      <c r="X235">
        <f>IF($C235="","",IF($AM235=1,0,IF($AL235=1,Settings!$C$6,Settings!$C$7))*100)</f>
        <v/>
      </c>
      <c r="AB235" s="7" t="n"/>
      <c r="AE235" s="11" t="n"/>
      <c r="AG235" s="7">
        <f>IF($C235="","",U235*X235/100)</f>
        <v/>
      </c>
      <c r="AH235" s="7">
        <f>IF($C235="","",U235-AG235)</f>
        <v/>
      </c>
      <c r="AI235" s="7">
        <f>IF($C235="","",AH235-M235)</f>
        <v/>
      </c>
      <c r="AJ235">
        <f>IF($C235="","",IF(COUNTIF($C$2:$C235,$C235)=1,1,0))</f>
        <v/>
      </c>
      <c r="AK235">
        <f>IF($AJ235=1,SUMPRODUCT(--($AN$2:$AN$4001&lt;$AN235))+1,"")</f>
        <v/>
      </c>
      <c r="AL235">
        <f>IF($C235="","",IF(OR($Q235=TRUE(),$Q235="TRUE"),1,0))</f>
        <v/>
      </c>
      <c r="AM235">
        <f>IF($C235="","",IF($W235="Yes",1,0))</f>
        <v/>
      </c>
      <c r="AN235">
        <f>IF($AJ235=1,IFERROR(IF(VALUE($C235)&lt;100000000,VALUE($C235),1000000000),IFERROR(IF(VALUE(MID($C235,2,20))&lt;100000000,VALUE(MID($C235,2,20)),1000000000),1000000000))+ROW()/100000,"")</f>
        <v/>
      </c>
    </row>
    <row r="236">
      <c r="E236" s="11" t="n"/>
      <c r="M236" s="7">
        <f>IF($C236="","",L236*U236/100)</f>
        <v/>
      </c>
      <c r="N236" s="7" t="n"/>
      <c r="T236" s="7" t="n"/>
      <c r="U236" s="7">
        <f>IF($C236="","",S236*T236)</f>
        <v/>
      </c>
      <c r="X236">
        <f>IF($C236="","",IF($AM236=1,0,IF($AL236=1,Settings!$C$6,Settings!$C$7))*100)</f>
        <v/>
      </c>
      <c r="AB236" s="7" t="n"/>
      <c r="AE236" s="11" t="n"/>
      <c r="AG236" s="7">
        <f>IF($C236="","",U236*X236/100)</f>
        <v/>
      </c>
      <c r="AH236" s="7">
        <f>IF($C236="","",U236-AG236)</f>
        <v/>
      </c>
      <c r="AI236" s="7">
        <f>IF($C236="","",AH236-M236)</f>
        <v/>
      </c>
      <c r="AJ236">
        <f>IF($C236="","",IF(COUNTIF($C$2:$C236,$C236)=1,1,0))</f>
        <v/>
      </c>
      <c r="AK236">
        <f>IF($AJ236=1,SUMPRODUCT(--($AN$2:$AN$4001&lt;$AN236))+1,"")</f>
        <v/>
      </c>
      <c r="AL236">
        <f>IF($C236="","",IF(OR($Q236=TRUE(),$Q236="TRUE"),1,0))</f>
        <v/>
      </c>
      <c r="AM236">
        <f>IF($C236="","",IF($W236="Yes",1,0))</f>
        <v/>
      </c>
      <c r="AN236">
        <f>IF($AJ236=1,IFERROR(IF(VALUE($C236)&lt;100000000,VALUE($C236),1000000000),IFERROR(IF(VALUE(MID($C236,2,20))&lt;100000000,VALUE(MID($C236,2,20)),1000000000),1000000000))+ROW()/100000,"")</f>
        <v/>
      </c>
    </row>
    <row r="237">
      <c r="E237" s="11" t="n"/>
      <c r="M237" s="7">
        <f>IF($C237="","",L237*U237/100)</f>
        <v/>
      </c>
      <c r="N237" s="7" t="n"/>
      <c r="T237" s="7" t="n"/>
      <c r="U237" s="7">
        <f>IF($C237="","",S237*T237)</f>
        <v/>
      </c>
      <c r="X237">
        <f>IF($C237="","",IF($AM237=1,0,IF($AL237=1,Settings!$C$6,Settings!$C$7))*100)</f>
        <v/>
      </c>
      <c r="AB237" s="7" t="n"/>
      <c r="AE237" s="11" t="n"/>
      <c r="AG237" s="7">
        <f>IF($C237="","",U237*X237/100)</f>
        <v/>
      </c>
      <c r="AH237" s="7">
        <f>IF($C237="","",U237-AG237)</f>
        <v/>
      </c>
      <c r="AI237" s="7">
        <f>IF($C237="","",AH237-M237)</f>
        <v/>
      </c>
      <c r="AJ237">
        <f>IF($C237="","",IF(COUNTIF($C$2:$C237,$C237)=1,1,0))</f>
        <v/>
      </c>
      <c r="AK237">
        <f>IF($AJ237=1,SUMPRODUCT(--($AN$2:$AN$4001&lt;$AN237))+1,"")</f>
        <v/>
      </c>
      <c r="AL237">
        <f>IF($C237="","",IF(OR($Q237=TRUE(),$Q237="TRUE"),1,0))</f>
        <v/>
      </c>
      <c r="AM237">
        <f>IF($C237="","",IF($W237="Yes",1,0))</f>
        <v/>
      </c>
      <c r="AN237">
        <f>IF($AJ237=1,IFERROR(IF(VALUE($C237)&lt;100000000,VALUE($C237),1000000000),IFERROR(IF(VALUE(MID($C237,2,20))&lt;100000000,VALUE(MID($C237,2,20)),1000000000),1000000000))+ROW()/100000,"")</f>
        <v/>
      </c>
    </row>
    <row r="238">
      <c r="E238" s="11" t="n"/>
      <c r="M238" s="7">
        <f>IF($C238="","",L238*U238/100)</f>
        <v/>
      </c>
      <c r="N238" s="7" t="n"/>
      <c r="T238" s="7" t="n"/>
      <c r="U238" s="7">
        <f>IF($C238="","",S238*T238)</f>
        <v/>
      </c>
      <c r="X238">
        <f>IF($C238="","",IF($AM238=1,0,IF($AL238=1,Settings!$C$6,Settings!$C$7))*100)</f>
        <v/>
      </c>
      <c r="AB238" s="7" t="n"/>
      <c r="AE238" s="11" t="n"/>
      <c r="AG238" s="7">
        <f>IF($C238="","",U238*X238/100)</f>
        <v/>
      </c>
      <c r="AH238" s="7">
        <f>IF($C238="","",U238-AG238)</f>
        <v/>
      </c>
      <c r="AI238" s="7">
        <f>IF($C238="","",AH238-M238)</f>
        <v/>
      </c>
      <c r="AJ238">
        <f>IF($C238="","",IF(COUNTIF($C$2:$C238,$C238)=1,1,0))</f>
        <v/>
      </c>
      <c r="AK238">
        <f>IF($AJ238=1,SUMPRODUCT(--($AN$2:$AN$4001&lt;$AN238))+1,"")</f>
        <v/>
      </c>
      <c r="AL238">
        <f>IF($C238="","",IF(OR($Q238=TRUE(),$Q238="TRUE"),1,0))</f>
        <v/>
      </c>
      <c r="AM238">
        <f>IF($C238="","",IF($W238="Yes",1,0))</f>
        <v/>
      </c>
      <c r="AN238">
        <f>IF($AJ238=1,IFERROR(IF(VALUE($C238)&lt;100000000,VALUE($C238),1000000000),IFERROR(IF(VALUE(MID($C238,2,20))&lt;100000000,VALUE(MID($C238,2,20)),1000000000),1000000000))+ROW()/100000,"")</f>
        <v/>
      </c>
    </row>
    <row r="239">
      <c r="E239" s="11" t="n"/>
      <c r="M239" s="7">
        <f>IF($C239="","",L239*U239/100)</f>
        <v/>
      </c>
      <c r="N239" s="7" t="n"/>
      <c r="T239" s="7" t="n"/>
      <c r="U239" s="7">
        <f>IF($C239="","",S239*T239)</f>
        <v/>
      </c>
      <c r="X239">
        <f>IF($C239="","",IF($AM239=1,0,IF($AL239=1,Settings!$C$6,Settings!$C$7))*100)</f>
        <v/>
      </c>
      <c r="AB239" s="7" t="n"/>
      <c r="AE239" s="11" t="n"/>
      <c r="AG239" s="7">
        <f>IF($C239="","",U239*X239/100)</f>
        <v/>
      </c>
      <c r="AH239" s="7">
        <f>IF($C239="","",U239-AG239)</f>
        <v/>
      </c>
      <c r="AI239" s="7">
        <f>IF($C239="","",AH239-M239)</f>
        <v/>
      </c>
      <c r="AJ239">
        <f>IF($C239="","",IF(COUNTIF($C$2:$C239,$C239)=1,1,0))</f>
        <v/>
      </c>
      <c r="AK239">
        <f>IF($AJ239=1,SUMPRODUCT(--($AN$2:$AN$4001&lt;$AN239))+1,"")</f>
        <v/>
      </c>
      <c r="AL239">
        <f>IF($C239="","",IF(OR($Q239=TRUE(),$Q239="TRUE"),1,0))</f>
        <v/>
      </c>
      <c r="AM239">
        <f>IF($C239="","",IF($W239="Yes",1,0))</f>
        <v/>
      </c>
      <c r="AN239">
        <f>IF($AJ239=1,IFERROR(IF(VALUE($C239)&lt;100000000,VALUE($C239),1000000000),IFERROR(IF(VALUE(MID($C239,2,20))&lt;100000000,VALUE(MID($C239,2,20)),1000000000),1000000000))+ROW()/100000,"")</f>
        <v/>
      </c>
    </row>
    <row r="240">
      <c r="E240" s="11" t="n"/>
      <c r="M240" s="7">
        <f>IF($C240="","",L240*U240/100)</f>
        <v/>
      </c>
      <c r="N240" s="7" t="n"/>
      <c r="T240" s="7" t="n"/>
      <c r="U240" s="7">
        <f>IF($C240="","",S240*T240)</f>
        <v/>
      </c>
      <c r="X240">
        <f>IF($C240="","",IF($AM240=1,0,IF($AL240=1,Settings!$C$6,Settings!$C$7))*100)</f>
        <v/>
      </c>
      <c r="AB240" s="7" t="n"/>
      <c r="AE240" s="11" t="n"/>
      <c r="AG240" s="7">
        <f>IF($C240="","",U240*X240/100)</f>
        <v/>
      </c>
      <c r="AH240" s="7">
        <f>IF($C240="","",U240-AG240)</f>
        <v/>
      </c>
      <c r="AI240" s="7">
        <f>IF($C240="","",AH240-M240)</f>
        <v/>
      </c>
      <c r="AJ240">
        <f>IF($C240="","",IF(COUNTIF($C$2:$C240,$C240)=1,1,0))</f>
        <v/>
      </c>
      <c r="AK240">
        <f>IF($AJ240=1,SUMPRODUCT(--($AN$2:$AN$4001&lt;$AN240))+1,"")</f>
        <v/>
      </c>
      <c r="AL240">
        <f>IF($C240="","",IF(OR($Q240=TRUE(),$Q240="TRUE"),1,0))</f>
        <v/>
      </c>
      <c r="AM240">
        <f>IF($C240="","",IF($W240="Yes",1,0))</f>
        <v/>
      </c>
      <c r="AN240">
        <f>IF($AJ240=1,IFERROR(IF(VALUE($C240)&lt;100000000,VALUE($C240),1000000000),IFERROR(IF(VALUE(MID($C240,2,20))&lt;100000000,VALUE(MID($C240,2,20)),1000000000),1000000000))+ROW()/100000,"")</f>
        <v/>
      </c>
    </row>
    <row r="241">
      <c r="E241" s="11" t="n"/>
      <c r="M241" s="7">
        <f>IF($C241="","",L241*U241/100)</f>
        <v/>
      </c>
      <c r="N241" s="7" t="n"/>
      <c r="T241" s="7" t="n"/>
      <c r="U241" s="7">
        <f>IF($C241="","",S241*T241)</f>
        <v/>
      </c>
      <c r="X241">
        <f>IF($C241="","",IF($AM241=1,0,IF($AL241=1,Settings!$C$6,Settings!$C$7))*100)</f>
        <v/>
      </c>
      <c r="AB241" s="7" t="n"/>
      <c r="AE241" s="11" t="n"/>
      <c r="AG241" s="7">
        <f>IF($C241="","",U241*X241/100)</f>
        <v/>
      </c>
      <c r="AH241" s="7">
        <f>IF($C241="","",U241-AG241)</f>
        <v/>
      </c>
      <c r="AI241" s="7">
        <f>IF($C241="","",AH241-M241)</f>
        <v/>
      </c>
      <c r="AJ241">
        <f>IF($C241="","",IF(COUNTIF($C$2:$C241,$C241)=1,1,0))</f>
        <v/>
      </c>
      <c r="AK241">
        <f>IF($AJ241=1,SUMPRODUCT(--($AN$2:$AN$4001&lt;$AN241))+1,"")</f>
        <v/>
      </c>
      <c r="AL241">
        <f>IF($C241="","",IF(OR($Q241=TRUE(),$Q241="TRUE"),1,0))</f>
        <v/>
      </c>
      <c r="AM241">
        <f>IF($C241="","",IF($W241="Yes",1,0))</f>
        <v/>
      </c>
      <c r="AN241">
        <f>IF($AJ241=1,IFERROR(IF(VALUE($C241)&lt;100000000,VALUE($C241),1000000000),IFERROR(IF(VALUE(MID($C241,2,20))&lt;100000000,VALUE(MID($C241,2,20)),1000000000),1000000000))+ROW()/100000,"")</f>
        <v/>
      </c>
    </row>
    <row r="242">
      <c r="E242" s="11" t="n"/>
      <c r="M242" s="7">
        <f>IF($C242="","",L242*U242/100)</f>
        <v/>
      </c>
      <c r="N242" s="7" t="n"/>
      <c r="T242" s="7" t="n"/>
      <c r="U242" s="7">
        <f>IF($C242="","",S242*T242)</f>
        <v/>
      </c>
      <c r="X242">
        <f>IF($C242="","",IF($AM242=1,0,IF($AL242=1,Settings!$C$6,Settings!$C$7))*100)</f>
        <v/>
      </c>
      <c r="AB242" s="7" t="n"/>
      <c r="AE242" s="11" t="n"/>
      <c r="AG242" s="7">
        <f>IF($C242="","",U242*X242/100)</f>
        <v/>
      </c>
      <c r="AH242" s="7">
        <f>IF($C242="","",U242-AG242)</f>
        <v/>
      </c>
      <c r="AI242" s="7">
        <f>IF($C242="","",AH242-M242)</f>
        <v/>
      </c>
      <c r="AJ242">
        <f>IF($C242="","",IF(COUNTIF($C$2:$C242,$C242)=1,1,0))</f>
        <v/>
      </c>
      <c r="AK242">
        <f>IF($AJ242=1,SUMPRODUCT(--($AN$2:$AN$4001&lt;$AN242))+1,"")</f>
        <v/>
      </c>
      <c r="AL242">
        <f>IF($C242="","",IF(OR($Q242=TRUE(),$Q242="TRUE"),1,0))</f>
        <v/>
      </c>
      <c r="AM242">
        <f>IF($C242="","",IF($W242="Yes",1,0))</f>
        <v/>
      </c>
      <c r="AN242">
        <f>IF($AJ242=1,IFERROR(IF(VALUE($C242)&lt;100000000,VALUE($C242),1000000000),IFERROR(IF(VALUE(MID($C242,2,20))&lt;100000000,VALUE(MID($C242,2,20)),1000000000),1000000000))+ROW()/100000,"")</f>
        <v/>
      </c>
    </row>
    <row r="243">
      <c r="E243" s="11" t="n"/>
      <c r="M243" s="7">
        <f>IF($C243="","",L243*U243/100)</f>
        <v/>
      </c>
      <c r="N243" s="7" t="n"/>
      <c r="T243" s="7" t="n"/>
      <c r="U243" s="7">
        <f>IF($C243="","",S243*T243)</f>
        <v/>
      </c>
      <c r="X243">
        <f>IF($C243="","",IF($AM243=1,0,IF($AL243=1,Settings!$C$6,Settings!$C$7))*100)</f>
        <v/>
      </c>
      <c r="AB243" s="7" t="n"/>
      <c r="AE243" s="11" t="n"/>
      <c r="AG243" s="7">
        <f>IF($C243="","",U243*X243/100)</f>
        <v/>
      </c>
      <c r="AH243" s="7">
        <f>IF($C243="","",U243-AG243)</f>
        <v/>
      </c>
      <c r="AI243" s="7">
        <f>IF($C243="","",AH243-M243)</f>
        <v/>
      </c>
      <c r="AJ243">
        <f>IF($C243="","",IF(COUNTIF($C$2:$C243,$C243)=1,1,0))</f>
        <v/>
      </c>
      <c r="AK243">
        <f>IF($AJ243=1,SUMPRODUCT(--($AN$2:$AN$4001&lt;$AN243))+1,"")</f>
        <v/>
      </c>
      <c r="AL243">
        <f>IF($C243="","",IF(OR($Q243=TRUE(),$Q243="TRUE"),1,0))</f>
        <v/>
      </c>
      <c r="AM243">
        <f>IF($C243="","",IF($W243="Yes",1,0))</f>
        <v/>
      </c>
      <c r="AN243">
        <f>IF($AJ243=1,IFERROR(IF(VALUE($C243)&lt;100000000,VALUE($C243),1000000000),IFERROR(IF(VALUE(MID($C243,2,20))&lt;100000000,VALUE(MID($C243,2,20)),1000000000),1000000000))+ROW()/100000,"")</f>
        <v/>
      </c>
    </row>
    <row r="244">
      <c r="E244" s="11" t="n"/>
      <c r="M244" s="7">
        <f>IF($C244="","",L244*U244/100)</f>
        <v/>
      </c>
      <c r="N244" s="7" t="n"/>
      <c r="T244" s="7" t="n"/>
      <c r="U244" s="7">
        <f>IF($C244="","",S244*T244)</f>
        <v/>
      </c>
      <c r="X244">
        <f>IF($C244="","",IF($AM244=1,0,IF($AL244=1,Settings!$C$6,Settings!$C$7))*100)</f>
        <v/>
      </c>
      <c r="AB244" s="7" t="n"/>
      <c r="AE244" s="11" t="n"/>
      <c r="AG244" s="7">
        <f>IF($C244="","",U244*X244/100)</f>
        <v/>
      </c>
      <c r="AH244" s="7">
        <f>IF($C244="","",U244-AG244)</f>
        <v/>
      </c>
      <c r="AI244" s="7">
        <f>IF($C244="","",AH244-M244)</f>
        <v/>
      </c>
      <c r="AJ244">
        <f>IF($C244="","",IF(COUNTIF($C$2:$C244,$C244)=1,1,0))</f>
        <v/>
      </c>
      <c r="AK244">
        <f>IF($AJ244=1,SUMPRODUCT(--($AN$2:$AN$4001&lt;$AN244))+1,"")</f>
        <v/>
      </c>
      <c r="AL244">
        <f>IF($C244="","",IF(OR($Q244=TRUE(),$Q244="TRUE"),1,0))</f>
        <v/>
      </c>
      <c r="AM244">
        <f>IF($C244="","",IF($W244="Yes",1,0))</f>
        <v/>
      </c>
      <c r="AN244">
        <f>IF($AJ244=1,IFERROR(IF(VALUE($C244)&lt;100000000,VALUE($C244),1000000000),IFERROR(IF(VALUE(MID($C244,2,20))&lt;100000000,VALUE(MID($C244,2,20)),1000000000),1000000000))+ROW()/100000,"")</f>
        <v/>
      </c>
    </row>
    <row r="245">
      <c r="E245" s="11" t="n"/>
      <c r="M245" s="7">
        <f>IF($C245="","",L245*U245/100)</f>
        <v/>
      </c>
      <c r="N245" s="7" t="n"/>
      <c r="T245" s="7" t="n"/>
      <c r="U245" s="7">
        <f>IF($C245="","",S245*T245)</f>
        <v/>
      </c>
      <c r="X245">
        <f>IF($C245="","",IF($AM245=1,0,IF($AL245=1,Settings!$C$6,Settings!$C$7))*100)</f>
        <v/>
      </c>
      <c r="AB245" s="7" t="n"/>
      <c r="AE245" s="11" t="n"/>
      <c r="AG245" s="7">
        <f>IF($C245="","",U245*X245/100)</f>
        <v/>
      </c>
      <c r="AH245" s="7">
        <f>IF($C245="","",U245-AG245)</f>
        <v/>
      </c>
      <c r="AI245" s="7">
        <f>IF($C245="","",AH245-M245)</f>
        <v/>
      </c>
      <c r="AJ245">
        <f>IF($C245="","",IF(COUNTIF($C$2:$C245,$C245)=1,1,0))</f>
        <v/>
      </c>
      <c r="AK245">
        <f>IF($AJ245=1,SUMPRODUCT(--($AN$2:$AN$4001&lt;$AN245))+1,"")</f>
        <v/>
      </c>
      <c r="AL245">
        <f>IF($C245="","",IF(OR($Q245=TRUE(),$Q245="TRUE"),1,0))</f>
        <v/>
      </c>
      <c r="AM245">
        <f>IF($C245="","",IF($W245="Yes",1,0))</f>
        <v/>
      </c>
      <c r="AN245">
        <f>IF($AJ245=1,IFERROR(IF(VALUE($C245)&lt;100000000,VALUE($C245),1000000000),IFERROR(IF(VALUE(MID($C245,2,20))&lt;100000000,VALUE(MID($C245,2,20)),1000000000),1000000000))+ROW()/100000,"")</f>
        <v/>
      </c>
    </row>
    <row r="246">
      <c r="E246" s="11" t="n"/>
      <c r="M246" s="7">
        <f>IF($C246="","",L246*U246/100)</f>
        <v/>
      </c>
      <c r="N246" s="7" t="n"/>
      <c r="T246" s="7" t="n"/>
      <c r="U246" s="7">
        <f>IF($C246="","",S246*T246)</f>
        <v/>
      </c>
      <c r="X246">
        <f>IF($C246="","",IF($AM246=1,0,IF($AL246=1,Settings!$C$6,Settings!$C$7))*100)</f>
        <v/>
      </c>
      <c r="AB246" s="7" t="n"/>
      <c r="AE246" s="11" t="n"/>
      <c r="AG246" s="7">
        <f>IF($C246="","",U246*X246/100)</f>
        <v/>
      </c>
      <c r="AH246" s="7">
        <f>IF($C246="","",U246-AG246)</f>
        <v/>
      </c>
      <c r="AI246" s="7">
        <f>IF($C246="","",AH246-M246)</f>
        <v/>
      </c>
      <c r="AJ246">
        <f>IF($C246="","",IF(COUNTIF($C$2:$C246,$C246)=1,1,0))</f>
        <v/>
      </c>
      <c r="AK246">
        <f>IF($AJ246=1,SUMPRODUCT(--($AN$2:$AN$4001&lt;$AN246))+1,"")</f>
        <v/>
      </c>
      <c r="AL246">
        <f>IF($C246="","",IF(OR($Q246=TRUE(),$Q246="TRUE"),1,0))</f>
        <v/>
      </c>
      <c r="AM246">
        <f>IF($C246="","",IF($W246="Yes",1,0))</f>
        <v/>
      </c>
      <c r="AN246">
        <f>IF($AJ246=1,IFERROR(IF(VALUE($C246)&lt;100000000,VALUE($C246),1000000000),IFERROR(IF(VALUE(MID($C246,2,20))&lt;100000000,VALUE(MID($C246,2,20)),1000000000),1000000000))+ROW()/100000,"")</f>
        <v/>
      </c>
    </row>
    <row r="247">
      <c r="E247" s="11" t="n"/>
      <c r="M247" s="7">
        <f>IF($C247="","",L247*U247/100)</f>
        <v/>
      </c>
      <c r="N247" s="7" t="n"/>
      <c r="T247" s="7" t="n"/>
      <c r="U247" s="7">
        <f>IF($C247="","",S247*T247)</f>
        <v/>
      </c>
      <c r="X247">
        <f>IF($C247="","",IF($AM247=1,0,IF($AL247=1,Settings!$C$6,Settings!$C$7))*100)</f>
        <v/>
      </c>
      <c r="AB247" s="7" t="n"/>
      <c r="AE247" s="11" t="n"/>
      <c r="AG247" s="7">
        <f>IF($C247="","",U247*X247/100)</f>
        <v/>
      </c>
      <c r="AH247" s="7">
        <f>IF($C247="","",U247-AG247)</f>
        <v/>
      </c>
      <c r="AI247" s="7">
        <f>IF($C247="","",AH247-M247)</f>
        <v/>
      </c>
      <c r="AJ247">
        <f>IF($C247="","",IF(COUNTIF($C$2:$C247,$C247)=1,1,0))</f>
        <v/>
      </c>
      <c r="AK247">
        <f>IF($AJ247=1,SUMPRODUCT(--($AN$2:$AN$4001&lt;$AN247))+1,"")</f>
        <v/>
      </c>
      <c r="AL247">
        <f>IF($C247="","",IF(OR($Q247=TRUE(),$Q247="TRUE"),1,0))</f>
        <v/>
      </c>
      <c r="AM247">
        <f>IF($C247="","",IF($W247="Yes",1,0))</f>
        <v/>
      </c>
      <c r="AN247">
        <f>IF($AJ247=1,IFERROR(IF(VALUE($C247)&lt;100000000,VALUE($C247),1000000000),IFERROR(IF(VALUE(MID($C247,2,20))&lt;100000000,VALUE(MID($C247,2,20)),1000000000),1000000000))+ROW()/100000,"")</f>
        <v/>
      </c>
    </row>
    <row r="248">
      <c r="E248" s="11" t="n"/>
      <c r="M248" s="7">
        <f>IF($C248="","",L248*U248/100)</f>
        <v/>
      </c>
      <c r="N248" s="7" t="n"/>
      <c r="T248" s="7" t="n"/>
      <c r="U248" s="7">
        <f>IF($C248="","",S248*T248)</f>
        <v/>
      </c>
      <c r="X248">
        <f>IF($C248="","",IF($AM248=1,0,IF($AL248=1,Settings!$C$6,Settings!$C$7))*100)</f>
        <v/>
      </c>
      <c r="AB248" s="7" t="n"/>
      <c r="AE248" s="11" t="n"/>
      <c r="AG248" s="7">
        <f>IF($C248="","",U248*X248/100)</f>
        <v/>
      </c>
      <c r="AH248" s="7">
        <f>IF($C248="","",U248-AG248)</f>
        <v/>
      </c>
      <c r="AI248" s="7">
        <f>IF($C248="","",AH248-M248)</f>
        <v/>
      </c>
      <c r="AJ248">
        <f>IF($C248="","",IF(COUNTIF($C$2:$C248,$C248)=1,1,0))</f>
        <v/>
      </c>
      <c r="AK248">
        <f>IF($AJ248=1,SUMPRODUCT(--($AN$2:$AN$4001&lt;$AN248))+1,"")</f>
        <v/>
      </c>
      <c r="AL248">
        <f>IF($C248="","",IF(OR($Q248=TRUE(),$Q248="TRUE"),1,0))</f>
        <v/>
      </c>
      <c r="AM248">
        <f>IF($C248="","",IF($W248="Yes",1,0))</f>
        <v/>
      </c>
      <c r="AN248">
        <f>IF($AJ248=1,IFERROR(IF(VALUE($C248)&lt;100000000,VALUE($C248),1000000000),IFERROR(IF(VALUE(MID($C248,2,20))&lt;100000000,VALUE(MID($C248,2,20)),1000000000),1000000000))+ROW()/100000,"")</f>
        <v/>
      </c>
    </row>
    <row r="249">
      <c r="E249" s="11" t="n"/>
      <c r="M249" s="7">
        <f>IF($C249="","",L249*U249/100)</f>
        <v/>
      </c>
      <c r="N249" s="7" t="n"/>
      <c r="T249" s="7" t="n"/>
      <c r="U249" s="7">
        <f>IF($C249="","",S249*T249)</f>
        <v/>
      </c>
      <c r="X249">
        <f>IF($C249="","",IF($AM249=1,0,IF($AL249=1,Settings!$C$6,Settings!$C$7))*100)</f>
        <v/>
      </c>
      <c r="AB249" s="7" t="n"/>
      <c r="AE249" s="11" t="n"/>
      <c r="AG249" s="7">
        <f>IF($C249="","",U249*X249/100)</f>
        <v/>
      </c>
      <c r="AH249" s="7">
        <f>IF($C249="","",U249-AG249)</f>
        <v/>
      </c>
      <c r="AI249" s="7">
        <f>IF($C249="","",AH249-M249)</f>
        <v/>
      </c>
      <c r="AJ249">
        <f>IF($C249="","",IF(COUNTIF($C$2:$C249,$C249)=1,1,0))</f>
        <v/>
      </c>
      <c r="AK249">
        <f>IF($AJ249=1,SUMPRODUCT(--($AN$2:$AN$4001&lt;$AN249))+1,"")</f>
        <v/>
      </c>
      <c r="AL249">
        <f>IF($C249="","",IF(OR($Q249=TRUE(),$Q249="TRUE"),1,0))</f>
        <v/>
      </c>
      <c r="AM249">
        <f>IF($C249="","",IF($W249="Yes",1,0))</f>
        <v/>
      </c>
      <c r="AN249">
        <f>IF($AJ249=1,IFERROR(IF(VALUE($C249)&lt;100000000,VALUE($C249),1000000000),IFERROR(IF(VALUE(MID($C249,2,20))&lt;100000000,VALUE(MID($C249,2,20)),1000000000),1000000000))+ROW()/100000,"")</f>
        <v/>
      </c>
    </row>
    <row r="250">
      <c r="E250" s="11" t="n"/>
      <c r="M250" s="7">
        <f>IF($C250="","",L250*U250/100)</f>
        <v/>
      </c>
      <c r="N250" s="7" t="n"/>
      <c r="T250" s="7" t="n"/>
      <c r="U250" s="7">
        <f>IF($C250="","",S250*T250)</f>
        <v/>
      </c>
      <c r="X250">
        <f>IF($C250="","",IF($AM250=1,0,IF($AL250=1,Settings!$C$6,Settings!$C$7))*100)</f>
        <v/>
      </c>
      <c r="AB250" s="7" t="n"/>
      <c r="AE250" s="11" t="n"/>
      <c r="AG250" s="7">
        <f>IF($C250="","",U250*X250/100)</f>
        <v/>
      </c>
      <c r="AH250" s="7">
        <f>IF($C250="","",U250-AG250)</f>
        <v/>
      </c>
      <c r="AI250" s="7">
        <f>IF($C250="","",AH250-M250)</f>
        <v/>
      </c>
      <c r="AJ250">
        <f>IF($C250="","",IF(COUNTIF($C$2:$C250,$C250)=1,1,0))</f>
        <v/>
      </c>
      <c r="AK250">
        <f>IF($AJ250=1,SUMPRODUCT(--($AN$2:$AN$4001&lt;$AN250))+1,"")</f>
        <v/>
      </c>
      <c r="AL250">
        <f>IF($C250="","",IF(OR($Q250=TRUE(),$Q250="TRUE"),1,0))</f>
        <v/>
      </c>
      <c r="AM250">
        <f>IF($C250="","",IF($W250="Yes",1,0))</f>
        <v/>
      </c>
      <c r="AN250">
        <f>IF($AJ250=1,IFERROR(IF(VALUE($C250)&lt;100000000,VALUE($C250),1000000000),IFERROR(IF(VALUE(MID($C250,2,20))&lt;100000000,VALUE(MID($C250,2,20)),1000000000),1000000000))+ROW()/100000,"")</f>
        <v/>
      </c>
    </row>
    <row r="251">
      <c r="E251" s="11" t="n"/>
      <c r="M251" s="7">
        <f>IF($C251="","",L251*U251/100)</f>
        <v/>
      </c>
      <c r="N251" s="7" t="n"/>
      <c r="T251" s="7" t="n"/>
      <c r="U251" s="7">
        <f>IF($C251="","",S251*T251)</f>
        <v/>
      </c>
      <c r="X251">
        <f>IF($C251="","",IF($AM251=1,0,IF($AL251=1,Settings!$C$6,Settings!$C$7))*100)</f>
        <v/>
      </c>
      <c r="AB251" s="7" t="n"/>
      <c r="AE251" s="11" t="n"/>
      <c r="AG251" s="7">
        <f>IF($C251="","",U251*X251/100)</f>
        <v/>
      </c>
      <c r="AH251" s="7">
        <f>IF($C251="","",U251-AG251)</f>
        <v/>
      </c>
      <c r="AI251" s="7">
        <f>IF($C251="","",AH251-M251)</f>
        <v/>
      </c>
      <c r="AJ251">
        <f>IF($C251="","",IF(COUNTIF($C$2:$C251,$C251)=1,1,0))</f>
        <v/>
      </c>
      <c r="AK251">
        <f>IF($AJ251=1,SUMPRODUCT(--($AN$2:$AN$4001&lt;$AN251))+1,"")</f>
        <v/>
      </c>
      <c r="AL251">
        <f>IF($C251="","",IF(OR($Q251=TRUE(),$Q251="TRUE"),1,0))</f>
        <v/>
      </c>
      <c r="AM251">
        <f>IF($C251="","",IF($W251="Yes",1,0))</f>
        <v/>
      </c>
      <c r="AN251">
        <f>IF($AJ251=1,IFERROR(IF(VALUE($C251)&lt;100000000,VALUE($C251),1000000000),IFERROR(IF(VALUE(MID($C251,2,20))&lt;100000000,VALUE(MID($C251,2,20)),1000000000),1000000000))+ROW()/100000,"")</f>
        <v/>
      </c>
    </row>
    <row r="252">
      <c r="E252" s="11" t="n"/>
      <c r="M252" s="7">
        <f>IF($C252="","",L252*U252/100)</f>
        <v/>
      </c>
      <c r="N252" s="7" t="n"/>
      <c r="T252" s="7" t="n"/>
      <c r="U252" s="7">
        <f>IF($C252="","",S252*T252)</f>
        <v/>
      </c>
      <c r="X252">
        <f>IF($C252="","",IF($AM252=1,0,IF($AL252=1,Settings!$C$6,Settings!$C$7))*100)</f>
        <v/>
      </c>
      <c r="AB252" s="7" t="n"/>
      <c r="AE252" s="11" t="n"/>
      <c r="AG252" s="7">
        <f>IF($C252="","",U252*X252/100)</f>
        <v/>
      </c>
      <c r="AH252" s="7">
        <f>IF($C252="","",U252-AG252)</f>
        <v/>
      </c>
      <c r="AI252" s="7">
        <f>IF($C252="","",AH252-M252)</f>
        <v/>
      </c>
      <c r="AJ252">
        <f>IF($C252="","",IF(COUNTIF($C$2:$C252,$C252)=1,1,0))</f>
        <v/>
      </c>
      <c r="AK252">
        <f>IF($AJ252=1,SUMPRODUCT(--($AN$2:$AN$4001&lt;$AN252))+1,"")</f>
        <v/>
      </c>
      <c r="AL252">
        <f>IF($C252="","",IF(OR($Q252=TRUE(),$Q252="TRUE"),1,0))</f>
        <v/>
      </c>
      <c r="AM252">
        <f>IF($C252="","",IF($W252="Yes",1,0))</f>
        <v/>
      </c>
      <c r="AN252">
        <f>IF($AJ252=1,IFERROR(IF(VALUE($C252)&lt;100000000,VALUE($C252),1000000000),IFERROR(IF(VALUE(MID($C252,2,20))&lt;100000000,VALUE(MID($C252,2,20)),1000000000),1000000000))+ROW()/100000,"")</f>
        <v/>
      </c>
    </row>
    <row r="253">
      <c r="E253" s="11" t="n"/>
      <c r="M253" s="7">
        <f>IF($C253="","",L253*U253/100)</f>
        <v/>
      </c>
      <c r="N253" s="7" t="n"/>
      <c r="T253" s="7" t="n"/>
      <c r="U253" s="7">
        <f>IF($C253="","",S253*T253)</f>
        <v/>
      </c>
      <c r="X253">
        <f>IF($C253="","",IF($AM253=1,0,IF($AL253=1,Settings!$C$6,Settings!$C$7))*100)</f>
        <v/>
      </c>
      <c r="AB253" s="7" t="n"/>
      <c r="AE253" s="11" t="n"/>
      <c r="AG253" s="7">
        <f>IF($C253="","",U253*X253/100)</f>
        <v/>
      </c>
      <c r="AH253" s="7">
        <f>IF($C253="","",U253-AG253)</f>
        <v/>
      </c>
      <c r="AI253" s="7">
        <f>IF($C253="","",AH253-M253)</f>
        <v/>
      </c>
      <c r="AJ253">
        <f>IF($C253="","",IF(COUNTIF($C$2:$C253,$C253)=1,1,0))</f>
        <v/>
      </c>
      <c r="AK253">
        <f>IF($AJ253=1,SUMPRODUCT(--($AN$2:$AN$4001&lt;$AN253))+1,"")</f>
        <v/>
      </c>
      <c r="AL253">
        <f>IF($C253="","",IF(OR($Q253=TRUE(),$Q253="TRUE"),1,0))</f>
        <v/>
      </c>
      <c r="AM253">
        <f>IF($C253="","",IF($W253="Yes",1,0))</f>
        <v/>
      </c>
      <c r="AN253">
        <f>IF($AJ253=1,IFERROR(IF(VALUE($C253)&lt;100000000,VALUE($C253),1000000000),IFERROR(IF(VALUE(MID($C253,2,20))&lt;100000000,VALUE(MID($C253,2,20)),1000000000),1000000000))+ROW()/100000,"")</f>
        <v/>
      </c>
    </row>
    <row r="254">
      <c r="E254" s="11" t="n"/>
      <c r="M254" s="7">
        <f>IF($C254="","",L254*U254/100)</f>
        <v/>
      </c>
      <c r="N254" s="7" t="n"/>
      <c r="T254" s="7" t="n"/>
      <c r="U254" s="7">
        <f>IF($C254="","",S254*T254)</f>
        <v/>
      </c>
      <c r="X254">
        <f>IF($C254="","",IF($AM254=1,0,IF($AL254=1,Settings!$C$6,Settings!$C$7))*100)</f>
        <v/>
      </c>
      <c r="AB254" s="7" t="n"/>
      <c r="AE254" s="11" t="n"/>
      <c r="AG254" s="7">
        <f>IF($C254="","",U254*X254/100)</f>
        <v/>
      </c>
      <c r="AH254" s="7">
        <f>IF($C254="","",U254-AG254)</f>
        <v/>
      </c>
      <c r="AI254" s="7">
        <f>IF($C254="","",AH254-M254)</f>
        <v/>
      </c>
      <c r="AJ254">
        <f>IF($C254="","",IF(COUNTIF($C$2:$C254,$C254)=1,1,0))</f>
        <v/>
      </c>
      <c r="AK254">
        <f>IF($AJ254=1,SUMPRODUCT(--($AN$2:$AN$4001&lt;$AN254))+1,"")</f>
        <v/>
      </c>
      <c r="AL254">
        <f>IF($C254="","",IF(OR($Q254=TRUE(),$Q254="TRUE"),1,0))</f>
        <v/>
      </c>
      <c r="AM254">
        <f>IF($C254="","",IF($W254="Yes",1,0))</f>
        <v/>
      </c>
      <c r="AN254">
        <f>IF($AJ254=1,IFERROR(IF(VALUE($C254)&lt;100000000,VALUE($C254),1000000000),IFERROR(IF(VALUE(MID($C254,2,20))&lt;100000000,VALUE(MID($C254,2,20)),1000000000),1000000000))+ROW()/100000,"")</f>
        <v/>
      </c>
    </row>
    <row r="255">
      <c r="E255" s="11" t="n"/>
      <c r="M255" s="7">
        <f>IF($C255="","",L255*U255/100)</f>
        <v/>
      </c>
      <c r="N255" s="7" t="n"/>
      <c r="T255" s="7" t="n"/>
      <c r="U255" s="7">
        <f>IF($C255="","",S255*T255)</f>
        <v/>
      </c>
      <c r="X255">
        <f>IF($C255="","",IF($AM255=1,0,IF($AL255=1,Settings!$C$6,Settings!$C$7))*100)</f>
        <v/>
      </c>
      <c r="AB255" s="7" t="n"/>
      <c r="AE255" s="11" t="n"/>
      <c r="AG255" s="7">
        <f>IF($C255="","",U255*X255/100)</f>
        <v/>
      </c>
      <c r="AH255" s="7">
        <f>IF($C255="","",U255-AG255)</f>
        <v/>
      </c>
      <c r="AI255" s="7">
        <f>IF($C255="","",AH255-M255)</f>
        <v/>
      </c>
      <c r="AJ255">
        <f>IF($C255="","",IF(COUNTIF($C$2:$C255,$C255)=1,1,0))</f>
        <v/>
      </c>
      <c r="AK255">
        <f>IF($AJ255=1,SUMPRODUCT(--($AN$2:$AN$4001&lt;$AN255))+1,"")</f>
        <v/>
      </c>
      <c r="AL255">
        <f>IF($C255="","",IF(OR($Q255=TRUE(),$Q255="TRUE"),1,0))</f>
        <v/>
      </c>
      <c r="AM255">
        <f>IF($C255="","",IF($W255="Yes",1,0))</f>
        <v/>
      </c>
      <c r="AN255">
        <f>IF($AJ255=1,IFERROR(IF(VALUE($C255)&lt;100000000,VALUE($C255),1000000000),IFERROR(IF(VALUE(MID($C255,2,20))&lt;100000000,VALUE(MID($C255,2,20)),1000000000),1000000000))+ROW()/100000,"")</f>
        <v/>
      </c>
    </row>
    <row r="256">
      <c r="E256" s="11" t="n"/>
      <c r="M256" s="7">
        <f>IF($C256="","",L256*U256/100)</f>
        <v/>
      </c>
      <c r="N256" s="7" t="n"/>
      <c r="T256" s="7" t="n"/>
      <c r="U256" s="7">
        <f>IF($C256="","",S256*T256)</f>
        <v/>
      </c>
      <c r="X256">
        <f>IF($C256="","",IF($AM256=1,0,IF($AL256=1,Settings!$C$6,Settings!$C$7))*100)</f>
        <v/>
      </c>
      <c r="AB256" s="7" t="n"/>
      <c r="AE256" s="11" t="n"/>
      <c r="AG256" s="7">
        <f>IF($C256="","",U256*X256/100)</f>
        <v/>
      </c>
      <c r="AH256" s="7">
        <f>IF($C256="","",U256-AG256)</f>
        <v/>
      </c>
      <c r="AI256" s="7">
        <f>IF($C256="","",AH256-M256)</f>
        <v/>
      </c>
      <c r="AJ256">
        <f>IF($C256="","",IF(COUNTIF($C$2:$C256,$C256)=1,1,0))</f>
        <v/>
      </c>
      <c r="AK256">
        <f>IF($AJ256=1,SUMPRODUCT(--($AN$2:$AN$4001&lt;$AN256))+1,"")</f>
        <v/>
      </c>
      <c r="AL256">
        <f>IF($C256="","",IF(OR($Q256=TRUE(),$Q256="TRUE"),1,0))</f>
        <v/>
      </c>
      <c r="AM256">
        <f>IF($C256="","",IF($W256="Yes",1,0))</f>
        <v/>
      </c>
      <c r="AN256">
        <f>IF($AJ256=1,IFERROR(IF(VALUE($C256)&lt;100000000,VALUE($C256),1000000000),IFERROR(IF(VALUE(MID($C256,2,20))&lt;100000000,VALUE(MID($C256,2,20)),1000000000),1000000000))+ROW()/100000,"")</f>
        <v/>
      </c>
    </row>
    <row r="257">
      <c r="E257" s="11" t="n"/>
      <c r="M257" s="7">
        <f>IF($C257="","",L257*U257/100)</f>
        <v/>
      </c>
      <c r="N257" s="7" t="n"/>
      <c r="T257" s="7" t="n"/>
      <c r="U257" s="7">
        <f>IF($C257="","",S257*T257)</f>
        <v/>
      </c>
      <c r="X257">
        <f>IF($C257="","",IF($AM257=1,0,IF($AL257=1,Settings!$C$6,Settings!$C$7))*100)</f>
        <v/>
      </c>
      <c r="AB257" s="7" t="n"/>
      <c r="AE257" s="11" t="n"/>
      <c r="AG257" s="7">
        <f>IF($C257="","",U257*X257/100)</f>
        <v/>
      </c>
      <c r="AH257" s="7">
        <f>IF($C257="","",U257-AG257)</f>
        <v/>
      </c>
      <c r="AI257" s="7">
        <f>IF($C257="","",AH257-M257)</f>
        <v/>
      </c>
      <c r="AJ257">
        <f>IF($C257="","",IF(COUNTIF($C$2:$C257,$C257)=1,1,0))</f>
        <v/>
      </c>
      <c r="AK257">
        <f>IF($AJ257=1,SUMPRODUCT(--($AN$2:$AN$4001&lt;$AN257))+1,"")</f>
        <v/>
      </c>
      <c r="AL257">
        <f>IF($C257="","",IF(OR($Q257=TRUE(),$Q257="TRUE"),1,0))</f>
        <v/>
      </c>
      <c r="AM257">
        <f>IF($C257="","",IF($W257="Yes",1,0))</f>
        <v/>
      </c>
      <c r="AN257">
        <f>IF($AJ257=1,IFERROR(IF(VALUE($C257)&lt;100000000,VALUE($C257),1000000000),IFERROR(IF(VALUE(MID($C257,2,20))&lt;100000000,VALUE(MID($C257,2,20)),1000000000),1000000000))+ROW()/100000,"")</f>
        <v/>
      </c>
    </row>
    <row r="258">
      <c r="E258" s="11" t="n"/>
      <c r="M258" s="7">
        <f>IF($C258="","",L258*U258/100)</f>
        <v/>
      </c>
      <c r="N258" s="7" t="n"/>
      <c r="T258" s="7" t="n"/>
      <c r="U258" s="7">
        <f>IF($C258="","",S258*T258)</f>
        <v/>
      </c>
      <c r="X258">
        <f>IF($C258="","",IF($AM258=1,0,IF($AL258=1,Settings!$C$6,Settings!$C$7))*100)</f>
        <v/>
      </c>
      <c r="AB258" s="7" t="n"/>
      <c r="AE258" s="11" t="n"/>
      <c r="AG258" s="7">
        <f>IF($C258="","",U258*X258/100)</f>
        <v/>
      </c>
      <c r="AH258" s="7">
        <f>IF($C258="","",U258-AG258)</f>
        <v/>
      </c>
      <c r="AI258" s="7">
        <f>IF($C258="","",AH258-M258)</f>
        <v/>
      </c>
      <c r="AJ258">
        <f>IF($C258="","",IF(COUNTIF($C$2:$C258,$C258)=1,1,0))</f>
        <v/>
      </c>
      <c r="AK258">
        <f>IF($AJ258=1,SUMPRODUCT(--($AN$2:$AN$4001&lt;$AN258))+1,"")</f>
        <v/>
      </c>
      <c r="AL258">
        <f>IF($C258="","",IF(OR($Q258=TRUE(),$Q258="TRUE"),1,0))</f>
        <v/>
      </c>
      <c r="AM258">
        <f>IF($C258="","",IF($W258="Yes",1,0))</f>
        <v/>
      </c>
      <c r="AN258">
        <f>IF($AJ258=1,IFERROR(IF(VALUE($C258)&lt;100000000,VALUE($C258),1000000000),IFERROR(IF(VALUE(MID($C258,2,20))&lt;100000000,VALUE(MID($C258,2,20)),1000000000),1000000000))+ROW()/100000,"")</f>
        <v/>
      </c>
    </row>
    <row r="259">
      <c r="E259" s="11" t="n"/>
      <c r="M259" s="7">
        <f>IF($C259="","",L259*U259/100)</f>
        <v/>
      </c>
      <c r="N259" s="7" t="n"/>
      <c r="T259" s="7" t="n"/>
      <c r="U259" s="7">
        <f>IF($C259="","",S259*T259)</f>
        <v/>
      </c>
      <c r="X259">
        <f>IF($C259="","",IF($AM259=1,0,IF($AL259=1,Settings!$C$6,Settings!$C$7))*100)</f>
        <v/>
      </c>
      <c r="AB259" s="7" t="n"/>
      <c r="AE259" s="11" t="n"/>
      <c r="AG259" s="7">
        <f>IF($C259="","",U259*X259/100)</f>
        <v/>
      </c>
      <c r="AH259" s="7">
        <f>IF($C259="","",U259-AG259)</f>
        <v/>
      </c>
      <c r="AI259" s="7">
        <f>IF($C259="","",AH259-M259)</f>
        <v/>
      </c>
      <c r="AJ259">
        <f>IF($C259="","",IF(COUNTIF($C$2:$C259,$C259)=1,1,0))</f>
        <v/>
      </c>
      <c r="AK259">
        <f>IF($AJ259=1,SUMPRODUCT(--($AN$2:$AN$4001&lt;$AN259))+1,"")</f>
        <v/>
      </c>
      <c r="AL259">
        <f>IF($C259="","",IF(OR($Q259=TRUE(),$Q259="TRUE"),1,0))</f>
        <v/>
      </c>
      <c r="AM259">
        <f>IF($C259="","",IF($W259="Yes",1,0))</f>
        <v/>
      </c>
      <c r="AN259">
        <f>IF($AJ259=1,IFERROR(IF(VALUE($C259)&lt;100000000,VALUE($C259),1000000000),IFERROR(IF(VALUE(MID($C259,2,20))&lt;100000000,VALUE(MID($C259,2,20)),1000000000),1000000000))+ROW()/100000,"")</f>
        <v/>
      </c>
    </row>
    <row r="260">
      <c r="E260" s="11" t="n"/>
      <c r="M260" s="7">
        <f>IF($C260="","",L260*U260/100)</f>
        <v/>
      </c>
      <c r="N260" s="7" t="n"/>
      <c r="T260" s="7" t="n"/>
      <c r="U260" s="7">
        <f>IF($C260="","",S260*T260)</f>
        <v/>
      </c>
      <c r="X260">
        <f>IF($C260="","",IF($AM260=1,0,IF($AL260=1,Settings!$C$6,Settings!$C$7))*100)</f>
        <v/>
      </c>
      <c r="AB260" s="7" t="n"/>
      <c r="AE260" s="11" t="n"/>
      <c r="AG260" s="7">
        <f>IF($C260="","",U260*X260/100)</f>
        <v/>
      </c>
      <c r="AH260" s="7">
        <f>IF($C260="","",U260-AG260)</f>
        <v/>
      </c>
      <c r="AI260" s="7">
        <f>IF($C260="","",AH260-M260)</f>
        <v/>
      </c>
      <c r="AJ260">
        <f>IF($C260="","",IF(COUNTIF($C$2:$C260,$C260)=1,1,0))</f>
        <v/>
      </c>
      <c r="AK260">
        <f>IF($AJ260=1,SUMPRODUCT(--($AN$2:$AN$4001&lt;$AN260))+1,"")</f>
        <v/>
      </c>
      <c r="AL260">
        <f>IF($C260="","",IF(OR($Q260=TRUE(),$Q260="TRUE"),1,0))</f>
        <v/>
      </c>
      <c r="AM260">
        <f>IF($C260="","",IF($W260="Yes",1,0))</f>
        <v/>
      </c>
      <c r="AN260">
        <f>IF($AJ260=1,IFERROR(IF(VALUE($C260)&lt;100000000,VALUE($C260),1000000000),IFERROR(IF(VALUE(MID($C260,2,20))&lt;100000000,VALUE(MID($C260,2,20)),1000000000),1000000000))+ROW()/100000,"")</f>
        <v/>
      </c>
    </row>
    <row r="261">
      <c r="E261" s="11" t="n"/>
      <c r="M261" s="7">
        <f>IF($C261="","",L261*U261/100)</f>
        <v/>
      </c>
      <c r="N261" s="7" t="n"/>
      <c r="T261" s="7" t="n"/>
      <c r="U261" s="7">
        <f>IF($C261="","",S261*T261)</f>
        <v/>
      </c>
      <c r="X261">
        <f>IF($C261="","",IF($AM261=1,0,IF($AL261=1,Settings!$C$6,Settings!$C$7))*100)</f>
        <v/>
      </c>
      <c r="AB261" s="7" t="n"/>
      <c r="AE261" s="11" t="n"/>
      <c r="AG261" s="7">
        <f>IF($C261="","",U261*X261/100)</f>
        <v/>
      </c>
      <c r="AH261" s="7">
        <f>IF($C261="","",U261-AG261)</f>
        <v/>
      </c>
      <c r="AI261" s="7">
        <f>IF($C261="","",AH261-M261)</f>
        <v/>
      </c>
      <c r="AJ261">
        <f>IF($C261="","",IF(COUNTIF($C$2:$C261,$C261)=1,1,0))</f>
        <v/>
      </c>
      <c r="AK261">
        <f>IF($AJ261=1,SUMPRODUCT(--($AN$2:$AN$4001&lt;$AN261))+1,"")</f>
        <v/>
      </c>
      <c r="AL261">
        <f>IF($C261="","",IF(OR($Q261=TRUE(),$Q261="TRUE"),1,0))</f>
        <v/>
      </c>
      <c r="AM261">
        <f>IF($C261="","",IF($W261="Yes",1,0))</f>
        <v/>
      </c>
      <c r="AN261">
        <f>IF($AJ261=1,IFERROR(IF(VALUE($C261)&lt;100000000,VALUE($C261),1000000000),IFERROR(IF(VALUE(MID($C261,2,20))&lt;100000000,VALUE(MID($C261,2,20)),1000000000),1000000000))+ROW()/100000,"")</f>
        <v/>
      </c>
    </row>
    <row r="262">
      <c r="E262" s="11" t="n"/>
      <c r="M262" s="7">
        <f>IF($C262="","",L262*U262/100)</f>
        <v/>
      </c>
      <c r="N262" s="7" t="n"/>
      <c r="T262" s="7" t="n"/>
      <c r="U262" s="7">
        <f>IF($C262="","",S262*T262)</f>
        <v/>
      </c>
      <c r="X262">
        <f>IF($C262="","",IF($AM262=1,0,IF($AL262=1,Settings!$C$6,Settings!$C$7))*100)</f>
        <v/>
      </c>
      <c r="AB262" s="7" t="n"/>
      <c r="AE262" s="11" t="n"/>
      <c r="AG262" s="7">
        <f>IF($C262="","",U262*X262/100)</f>
        <v/>
      </c>
      <c r="AH262" s="7">
        <f>IF($C262="","",U262-AG262)</f>
        <v/>
      </c>
      <c r="AI262" s="7">
        <f>IF($C262="","",AH262-M262)</f>
        <v/>
      </c>
      <c r="AJ262">
        <f>IF($C262="","",IF(COUNTIF($C$2:$C262,$C262)=1,1,0))</f>
        <v/>
      </c>
      <c r="AK262">
        <f>IF($AJ262=1,SUMPRODUCT(--($AN$2:$AN$4001&lt;$AN262))+1,"")</f>
        <v/>
      </c>
      <c r="AL262">
        <f>IF($C262="","",IF(OR($Q262=TRUE(),$Q262="TRUE"),1,0))</f>
        <v/>
      </c>
      <c r="AM262">
        <f>IF($C262="","",IF($W262="Yes",1,0))</f>
        <v/>
      </c>
      <c r="AN262">
        <f>IF($AJ262=1,IFERROR(IF(VALUE($C262)&lt;100000000,VALUE($C262),1000000000),IFERROR(IF(VALUE(MID($C262,2,20))&lt;100000000,VALUE(MID($C262,2,20)),1000000000),1000000000))+ROW()/100000,"")</f>
        <v/>
      </c>
    </row>
    <row r="263">
      <c r="E263" s="11" t="n"/>
      <c r="M263" s="7">
        <f>IF($C263="","",L263*U263/100)</f>
        <v/>
      </c>
      <c r="N263" s="7" t="n"/>
      <c r="T263" s="7" t="n"/>
      <c r="U263" s="7">
        <f>IF($C263="","",S263*T263)</f>
        <v/>
      </c>
      <c r="X263">
        <f>IF($C263="","",IF($AM263=1,0,IF($AL263=1,Settings!$C$6,Settings!$C$7))*100)</f>
        <v/>
      </c>
      <c r="AB263" s="7" t="n"/>
      <c r="AE263" s="11" t="n"/>
      <c r="AG263" s="7">
        <f>IF($C263="","",U263*X263/100)</f>
        <v/>
      </c>
      <c r="AH263" s="7">
        <f>IF($C263="","",U263-AG263)</f>
        <v/>
      </c>
      <c r="AI263" s="7">
        <f>IF($C263="","",AH263-M263)</f>
        <v/>
      </c>
      <c r="AJ263">
        <f>IF($C263="","",IF(COUNTIF($C$2:$C263,$C263)=1,1,0))</f>
        <v/>
      </c>
      <c r="AK263">
        <f>IF($AJ263=1,SUMPRODUCT(--($AN$2:$AN$4001&lt;$AN263))+1,"")</f>
        <v/>
      </c>
      <c r="AL263">
        <f>IF($C263="","",IF(OR($Q263=TRUE(),$Q263="TRUE"),1,0))</f>
        <v/>
      </c>
      <c r="AM263">
        <f>IF($C263="","",IF($W263="Yes",1,0))</f>
        <v/>
      </c>
      <c r="AN263">
        <f>IF($AJ263=1,IFERROR(IF(VALUE($C263)&lt;100000000,VALUE($C263),1000000000),IFERROR(IF(VALUE(MID($C263,2,20))&lt;100000000,VALUE(MID($C263,2,20)),1000000000),1000000000))+ROW()/100000,"")</f>
        <v/>
      </c>
    </row>
    <row r="264">
      <c r="E264" s="11" t="n"/>
      <c r="M264" s="7">
        <f>IF($C264="","",L264*U264/100)</f>
        <v/>
      </c>
      <c r="N264" s="7" t="n"/>
      <c r="T264" s="7" t="n"/>
      <c r="U264" s="7">
        <f>IF($C264="","",S264*T264)</f>
        <v/>
      </c>
      <c r="X264">
        <f>IF($C264="","",IF($AM264=1,0,IF($AL264=1,Settings!$C$6,Settings!$C$7))*100)</f>
        <v/>
      </c>
      <c r="AB264" s="7" t="n"/>
      <c r="AE264" s="11" t="n"/>
      <c r="AG264" s="7">
        <f>IF($C264="","",U264*X264/100)</f>
        <v/>
      </c>
      <c r="AH264" s="7">
        <f>IF($C264="","",U264-AG264)</f>
        <v/>
      </c>
      <c r="AI264" s="7">
        <f>IF($C264="","",AH264-M264)</f>
        <v/>
      </c>
      <c r="AJ264">
        <f>IF($C264="","",IF(COUNTIF($C$2:$C264,$C264)=1,1,0))</f>
        <v/>
      </c>
      <c r="AK264">
        <f>IF($AJ264=1,SUMPRODUCT(--($AN$2:$AN$4001&lt;$AN264))+1,"")</f>
        <v/>
      </c>
      <c r="AL264">
        <f>IF($C264="","",IF(OR($Q264=TRUE(),$Q264="TRUE"),1,0))</f>
        <v/>
      </c>
      <c r="AM264">
        <f>IF($C264="","",IF($W264="Yes",1,0))</f>
        <v/>
      </c>
      <c r="AN264">
        <f>IF($AJ264=1,IFERROR(IF(VALUE($C264)&lt;100000000,VALUE($C264),1000000000),IFERROR(IF(VALUE(MID($C264,2,20))&lt;100000000,VALUE(MID($C264,2,20)),1000000000),1000000000))+ROW()/100000,"")</f>
        <v/>
      </c>
    </row>
    <row r="265">
      <c r="E265" s="11" t="n"/>
      <c r="M265" s="7">
        <f>IF($C265="","",L265*U265/100)</f>
        <v/>
      </c>
      <c r="N265" s="7" t="n"/>
      <c r="T265" s="7" t="n"/>
      <c r="U265" s="7">
        <f>IF($C265="","",S265*T265)</f>
        <v/>
      </c>
      <c r="X265">
        <f>IF($C265="","",IF($AM265=1,0,IF($AL265=1,Settings!$C$6,Settings!$C$7))*100)</f>
        <v/>
      </c>
      <c r="AB265" s="7" t="n"/>
      <c r="AE265" s="11" t="n"/>
      <c r="AG265" s="7">
        <f>IF($C265="","",U265*X265/100)</f>
        <v/>
      </c>
      <c r="AH265" s="7">
        <f>IF($C265="","",U265-AG265)</f>
        <v/>
      </c>
      <c r="AI265" s="7">
        <f>IF($C265="","",AH265-M265)</f>
        <v/>
      </c>
      <c r="AJ265">
        <f>IF($C265="","",IF(COUNTIF($C$2:$C265,$C265)=1,1,0))</f>
        <v/>
      </c>
      <c r="AK265">
        <f>IF($AJ265=1,SUMPRODUCT(--($AN$2:$AN$4001&lt;$AN265))+1,"")</f>
        <v/>
      </c>
      <c r="AL265">
        <f>IF($C265="","",IF(OR($Q265=TRUE(),$Q265="TRUE"),1,0))</f>
        <v/>
      </c>
      <c r="AM265">
        <f>IF($C265="","",IF($W265="Yes",1,0))</f>
        <v/>
      </c>
      <c r="AN265">
        <f>IF($AJ265=1,IFERROR(IF(VALUE($C265)&lt;100000000,VALUE($C265),1000000000),IFERROR(IF(VALUE(MID($C265,2,20))&lt;100000000,VALUE(MID($C265,2,20)),1000000000),1000000000))+ROW()/100000,"")</f>
        <v/>
      </c>
    </row>
    <row r="266">
      <c r="E266" s="11" t="n"/>
      <c r="M266" s="7">
        <f>IF($C266="","",L266*U266/100)</f>
        <v/>
      </c>
      <c r="N266" s="7" t="n"/>
      <c r="T266" s="7" t="n"/>
      <c r="U266" s="7">
        <f>IF($C266="","",S266*T266)</f>
        <v/>
      </c>
      <c r="X266">
        <f>IF($C266="","",IF($AM266=1,0,IF($AL266=1,Settings!$C$6,Settings!$C$7))*100)</f>
        <v/>
      </c>
      <c r="AB266" s="7" t="n"/>
      <c r="AE266" s="11" t="n"/>
      <c r="AG266" s="7">
        <f>IF($C266="","",U266*X266/100)</f>
        <v/>
      </c>
      <c r="AH266" s="7">
        <f>IF($C266="","",U266-AG266)</f>
        <v/>
      </c>
      <c r="AI266" s="7">
        <f>IF($C266="","",AH266-M266)</f>
        <v/>
      </c>
      <c r="AJ266">
        <f>IF($C266="","",IF(COUNTIF($C$2:$C266,$C266)=1,1,0))</f>
        <v/>
      </c>
      <c r="AK266">
        <f>IF($AJ266=1,SUMPRODUCT(--($AN$2:$AN$4001&lt;$AN266))+1,"")</f>
        <v/>
      </c>
      <c r="AL266">
        <f>IF($C266="","",IF(OR($Q266=TRUE(),$Q266="TRUE"),1,0))</f>
        <v/>
      </c>
      <c r="AM266">
        <f>IF($C266="","",IF($W266="Yes",1,0))</f>
        <v/>
      </c>
      <c r="AN266">
        <f>IF($AJ266=1,IFERROR(IF(VALUE($C266)&lt;100000000,VALUE($C266),1000000000),IFERROR(IF(VALUE(MID($C266,2,20))&lt;100000000,VALUE(MID($C266,2,20)),1000000000),1000000000))+ROW()/100000,"")</f>
        <v/>
      </c>
    </row>
    <row r="267">
      <c r="E267" s="11" t="n"/>
      <c r="M267" s="7">
        <f>IF($C267="","",L267*U267/100)</f>
        <v/>
      </c>
      <c r="N267" s="7" t="n"/>
      <c r="T267" s="7" t="n"/>
      <c r="U267" s="7">
        <f>IF($C267="","",S267*T267)</f>
        <v/>
      </c>
      <c r="X267">
        <f>IF($C267="","",IF($AM267=1,0,IF($AL267=1,Settings!$C$6,Settings!$C$7))*100)</f>
        <v/>
      </c>
      <c r="AB267" s="7" t="n"/>
      <c r="AE267" s="11" t="n"/>
      <c r="AG267" s="7">
        <f>IF($C267="","",U267*X267/100)</f>
        <v/>
      </c>
      <c r="AH267" s="7">
        <f>IF($C267="","",U267-AG267)</f>
        <v/>
      </c>
      <c r="AI267" s="7">
        <f>IF($C267="","",AH267-M267)</f>
        <v/>
      </c>
      <c r="AJ267">
        <f>IF($C267="","",IF(COUNTIF($C$2:$C267,$C267)=1,1,0))</f>
        <v/>
      </c>
      <c r="AK267">
        <f>IF($AJ267=1,SUMPRODUCT(--($AN$2:$AN$4001&lt;$AN267))+1,"")</f>
        <v/>
      </c>
      <c r="AL267">
        <f>IF($C267="","",IF(OR($Q267=TRUE(),$Q267="TRUE"),1,0))</f>
        <v/>
      </c>
      <c r="AM267">
        <f>IF($C267="","",IF($W267="Yes",1,0))</f>
        <v/>
      </c>
      <c r="AN267">
        <f>IF($AJ267=1,IFERROR(IF(VALUE($C267)&lt;100000000,VALUE($C267),1000000000),IFERROR(IF(VALUE(MID($C267,2,20))&lt;100000000,VALUE(MID($C267,2,20)),1000000000),1000000000))+ROW()/100000,"")</f>
        <v/>
      </c>
    </row>
    <row r="268">
      <c r="E268" s="11" t="n"/>
      <c r="M268" s="7">
        <f>IF($C268="","",L268*U268/100)</f>
        <v/>
      </c>
      <c r="N268" s="7" t="n"/>
      <c r="T268" s="7" t="n"/>
      <c r="U268" s="7">
        <f>IF($C268="","",S268*T268)</f>
        <v/>
      </c>
      <c r="X268">
        <f>IF($C268="","",IF($AM268=1,0,IF($AL268=1,Settings!$C$6,Settings!$C$7))*100)</f>
        <v/>
      </c>
      <c r="AB268" s="7" t="n"/>
      <c r="AE268" s="11" t="n"/>
      <c r="AG268" s="7">
        <f>IF($C268="","",U268*X268/100)</f>
        <v/>
      </c>
      <c r="AH268" s="7">
        <f>IF($C268="","",U268-AG268)</f>
        <v/>
      </c>
      <c r="AI268" s="7">
        <f>IF($C268="","",AH268-M268)</f>
        <v/>
      </c>
      <c r="AJ268">
        <f>IF($C268="","",IF(COUNTIF($C$2:$C268,$C268)=1,1,0))</f>
        <v/>
      </c>
      <c r="AK268">
        <f>IF($AJ268=1,SUMPRODUCT(--($AN$2:$AN$4001&lt;$AN268))+1,"")</f>
        <v/>
      </c>
      <c r="AL268">
        <f>IF($C268="","",IF(OR($Q268=TRUE(),$Q268="TRUE"),1,0))</f>
        <v/>
      </c>
      <c r="AM268">
        <f>IF($C268="","",IF($W268="Yes",1,0))</f>
        <v/>
      </c>
      <c r="AN268">
        <f>IF($AJ268=1,IFERROR(IF(VALUE($C268)&lt;100000000,VALUE($C268),1000000000),IFERROR(IF(VALUE(MID($C268,2,20))&lt;100000000,VALUE(MID($C268,2,20)),1000000000),1000000000))+ROW()/100000,"")</f>
        <v/>
      </c>
    </row>
    <row r="269">
      <c r="E269" s="11" t="n"/>
      <c r="M269" s="7">
        <f>IF($C269="","",L269*U269/100)</f>
        <v/>
      </c>
      <c r="N269" s="7" t="n"/>
      <c r="T269" s="7" t="n"/>
      <c r="U269" s="7">
        <f>IF($C269="","",S269*T269)</f>
        <v/>
      </c>
      <c r="X269">
        <f>IF($C269="","",IF($AM269=1,0,IF($AL269=1,Settings!$C$6,Settings!$C$7))*100)</f>
        <v/>
      </c>
      <c r="AB269" s="7" t="n"/>
      <c r="AE269" s="11" t="n"/>
      <c r="AG269" s="7">
        <f>IF($C269="","",U269*X269/100)</f>
        <v/>
      </c>
      <c r="AH269" s="7">
        <f>IF($C269="","",U269-AG269)</f>
        <v/>
      </c>
      <c r="AI269" s="7">
        <f>IF($C269="","",AH269-M269)</f>
        <v/>
      </c>
      <c r="AJ269">
        <f>IF($C269="","",IF(COUNTIF($C$2:$C269,$C269)=1,1,0))</f>
        <v/>
      </c>
      <c r="AK269">
        <f>IF($AJ269=1,SUMPRODUCT(--($AN$2:$AN$4001&lt;$AN269))+1,"")</f>
        <v/>
      </c>
      <c r="AL269">
        <f>IF($C269="","",IF(OR($Q269=TRUE(),$Q269="TRUE"),1,0))</f>
        <v/>
      </c>
      <c r="AM269">
        <f>IF($C269="","",IF($W269="Yes",1,0))</f>
        <v/>
      </c>
      <c r="AN269">
        <f>IF($AJ269=1,IFERROR(IF(VALUE($C269)&lt;100000000,VALUE($C269),1000000000),IFERROR(IF(VALUE(MID($C269,2,20))&lt;100000000,VALUE(MID($C269,2,20)),1000000000),1000000000))+ROW()/100000,"")</f>
        <v/>
      </c>
    </row>
    <row r="270">
      <c r="E270" s="11" t="n"/>
      <c r="M270" s="7">
        <f>IF($C270="","",L270*U270/100)</f>
        <v/>
      </c>
      <c r="N270" s="7" t="n"/>
      <c r="T270" s="7" t="n"/>
      <c r="U270" s="7">
        <f>IF($C270="","",S270*T270)</f>
        <v/>
      </c>
      <c r="X270">
        <f>IF($C270="","",IF($AM270=1,0,IF($AL270=1,Settings!$C$6,Settings!$C$7))*100)</f>
        <v/>
      </c>
      <c r="AB270" s="7" t="n"/>
      <c r="AE270" s="11" t="n"/>
      <c r="AG270" s="7">
        <f>IF($C270="","",U270*X270/100)</f>
        <v/>
      </c>
      <c r="AH270" s="7">
        <f>IF($C270="","",U270-AG270)</f>
        <v/>
      </c>
      <c r="AI270" s="7">
        <f>IF($C270="","",AH270-M270)</f>
        <v/>
      </c>
      <c r="AJ270">
        <f>IF($C270="","",IF(COUNTIF($C$2:$C270,$C270)=1,1,0))</f>
        <v/>
      </c>
      <c r="AK270">
        <f>IF($AJ270=1,SUMPRODUCT(--($AN$2:$AN$4001&lt;$AN270))+1,"")</f>
        <v/>
      </c>
      <c r="AL270">
        <f>IF($C270="","",IF(OR($Q270=TRUE(),$Q270="TRUE"),1,0))</f>
        <v/>
      </c>
      <c r="AM270">
        <f>IF($C270="","",IF($W270="Yes",1,0))</f>
        <v/>
      </c>
      <c r="AN270">
        <f>IF($AJ270=1,IFERROR(IF(VALUE($C270)&lt;100000000,VALUE($C270),1000000000),IFERROR(IF(VALUE(MID($C270,2,20))&lt;100000000,VALUE(MID($C270,2,20)),1000000000),1000000000))+ROW()/100000,"")</f>
        <v/>
      </c>
    </row>
    <row r="271">
      <c r="E271" s="11" t="n"/>
      <c r="M271" s="7">
        <f>IF($C271="","",L271*U271/100)</f>
        <v/>
      </c>
      <c r="N271" s="7" t="n"/>
      <c r="T271" s="7" t="n"/>
      <c r="U271" s="7">
        <f>IF($C271="","",S271*T271)</f>
        <v/>
      </c>
      <c r="X271">
        <f>IF($C271="","",IF($AM271=1,0,IF($AL271=1,Settings!$C$6,Settings!$C$7))*100)</f>
        <v/>
      </c>
      <c r="AB271" s="7" t="n"/>
      <c r="AE271" s="11" t="n"/>
      <c r="AG271" s="7">
        <f>IF($C271="","",U271*X271/100)</f>
        <v/>
      </c>
      <c r="AH271" s="7">
        <f>IF($C271="","",U271-AG271)</f>
        <v/>
      </c>
      <c r="AI271" s="7">
        <f>IF($C271="","",AH271-M271)</f>
        <v/>
      </c>
      <c r="AJ271">
        <f>IF($C271="","",IF(COUNTIF($C$2:$C271,$C271)=1,1,0))</f>
        <v/>
      </c>
      <c r="AK271">
        <f>IF($AJ271=1,SUMPRODUCT(--($AN$2:$AN$4001&lt;$AN271))+1,"")</f>
        <v/>
      </c>
      <c r="AL271">
        <f>IF($C271="","",IF(OR($Q271=TRUE(),$Q271="TRUE"),1,0))</f>
        <v/>
      </c>
      <c r="AM271">
        <f>IF($C271="","",IF($W271="Yes",1,0))</f>
        <v/>
      </c>
      <c r="AN271">
        <f>IF($AJ271=1,IFERROR(IF(VALUE($C271)&lt;100000000,VALUE($C271),1000000000),IFERROR(IF(VALUE(MID($C271,2,20))&lt;100000000,VALUE(MID($C271,2,20)),1000000000),1000000000))+ROW()/100000,"")</f>
        <v/>
      </c>
    </row>
    <row r="272">
      <c r="E272" s="11" t="n"/>
      <c r="M272" s="7">
        <f>IF($C272="","",L272*U272/100)</f>
        <v/>
      </c>
      <c r="N272" s="7" t="n"/>
      <c r="T272" s="7" t="n"/>
      <c r="U272" s="7">
        <f>IF($C272="","",S272*T272)</f>
        <v/>
      </c>
      <c r="X272">
        <f>IF($C272="","",IF($AM272=1,0,IF($AL272=1,Settings!$C$6,Settings!$C$7))*100)</f>
        <v/>
      </c>
      <c r="AB272" s="7" t="n"/>
      <c r="AE272" s="11" t="n"/>
      <c r="AG272" s="7">
        <f>IF($C272="","",U272*X272/100)</f>
        <v/>
      </c>
      <c r="AH272" s="7">
        <f>IF($C272="","",U272-AG272)</f>
        <v/>
      </c>
      <c r="AI272" s="7">
        <f>IF($C272="","",AH272-M272)</f>
        <v/>
      </c>
      <c r="AJ272">
        <f>IF($C272="","",IF(COUNTIF($C$2:$C272,$C272)=1,1,0))</f>
        <v/>
      </c>
      <c r="AK272">
        <f>IF($AJ272=1,SUMPRODUCT(--($AN$2:$AN$4001&lt;$AN272))+1,"")</f>
        <v/>
      </c>
      <c r="AL272">
        <f>IF($C272="","",IF(OR($Q272=TRUE(),$Q272="TRUE"),1,0))</f>
        <v/>
      </c>
      <c r="AM272">
        <f>IF($C272="","",IF($W272="Yes",1,0))</f>
        <v/>
      </c>
      <c r="AN272">
        <f>IF($AJ272=1,IFERROR(IF(VALUE($C272)&lt;100000000,VALUE($C272),1000000000),IFERROR(IF(VALUE(MID($C272,2,20))&lt;100000000,VALUE(MID($C272,2,20)),1000000000),1000000000))+ROW()/100000,"")</f>
        <v/>
      </c>
    </row>
    <row r="273">
      <c r="E273" s="11" t="n"/>
      <c r="M273" s="7">
        <f>IF($C273="","",L273*U273/100)</f>
        <v/>
      </c>
      <c r="N273" s="7" t="n"/>
      <c r="T273" s="7" t="n"/>
      <c r="U273" s="7">
        <f>IF($C273="","",S273*T273)</f>
        <v/>
      </c>
      <c r="X273">
        <f>IF($C273="","",IF($AM273=1,0,IF($AL273=1,Settings!$C$6,Settings!$C$7))*100)</f>
        <v/>
      </c>
      <c r="AB273" s="7" t="n"/>
      <c r="AE273" s="11" t="n"/>
      <c r="AG273" s="7">
        <f>IF($C273="","",U273*X273/100)</f>
        <v/>
      </c>
      <c r="AH273" s="7">
        <f>IF($C273="","",U273-AG273)</f>
        <v/>
      </c>
      <c r="AI273" s="7">
        <f>IF($C273="","",AH273-M273)</f>
        <v/>
      </c>
      <c r="AJ273">
        <f>IF($C273="","",IF(COUNTIF($C$2:$C273,$C273)=1,1,0))</f>
        <v/>
      </c>
      <c r="AK273">
        <f>IF($AJ273=1,SUMPRODUCT(--($AN$2:$AN$4001&lt;$AN273))+1,"")</f>
        <v/>
      </c>
      <c r="AL273">
        <f>IF($C273="","",IF(OR($Q273=TRUE(),$Q273="TRUE"),1,0))</f>
        <v/>
      </c>
      <c r="AM273">
        <f>IF($C273="","",IF($W273="Yes",1,0))</f>
        <v/>
      </c>
      <c r="AN273">
        <f>IF($AJ273=1,IFERROR(IF(VALUE($C273)&lt;100000000,VALUE($C273),1000000000),IFERROR(IF(VALUE(MID($C273,2,20))&lt;100000000,VALUE(MID($C273,2,20)),1000000000),1000000000))+ROW()/100000,"")</f>
        <v/>
      </c>
    </row>
    <row r="274">
      <c r="E274" s="11" t="n"/>
      <c r="M274" s="7">
        <f>IF($C274="","",L274*U274/100)</f>
        <v/>
      </c>
      <c r="N274" s="7" t="n"/>
      <c r="T274" s="7" t="n"/>
      <c r="U274" s="7">
        <f>IF($C274="","",S274*T274)</f>
        <v/>
      </c>
      <c r="X274">
        <f>IF($C274="","",IF($AM274=1,0,IF($AL274=1,Settings!$C$6,Settings!$C$7))*100)</f>
        <v/>
      </c>
      <c r="AB274" s="7" t="n"/>
      <c r="AE274" s="11" t="n"/>
      <c r="AG274" s="7">
        <f>IF($C274="","",U274*X274/100)</f>
        <v/>
      </c>
      <c r="AH274" s="7">
        <f>IF($C274="","",U274-AG274)</f>
        <v/>
      </c>
      <c r="AI274" s="7">
        <f>IF($C274="","",AH274-M274)</f>
        <v/>
      </c>
      <c r="AJ274">
        <f>IF($C274="","",IF(COUNTIF($C$2:$C274,$C274)=1,1,0))</f>
        <v/>
      </c>
      <c r="AK274">
        <f>IF($AJ274=1,SUMPRODUCT(--($AN$2:$AN$4001&lt;$AN274))+1,"")</f>
        <v/>
      </c>
      <c r="AL274">
        <f>IF($C274="","",IF(OR($Q274=TRUE(),$Q274="TRUE"),1,0))</f>
        <v/>
      </c>
      <c r="AM274">
        <f>IF($C274="","",IF($W274="Yes",1,0))</f>
        <v/>
      </c>
      <c r="AN274">
        <f>IF($AJ274=1,IFERROR(IF(VALUE($C274)&lt;100000000,VALUE($C274),1000000000),IFERROR(IF(VALUE(MID($C274,2,20))&lt;100000000,VALUE(MID($C274,2,20)),1000000000),1000000000))+ROW()/100000,"")</f>
        <v/>
      </c>
    </row>
    <row r="275">
      <c r="E275" s="11" t="n"/>
      <c r="M275" s="7">
        <f>IF($C275="","",L275*U275/100)</f>
        <v/>
      </c>
      <c r="N275" s="7" t="n"/>
      <c r="T275" s="7" t="n"/>
      <c r="U275" s="7">
        <f>IF($C275="","",S275*T275)</f>
        <v/>
      </c>
      <c r="X275">
        <f>IF($C275="","",IF($AM275=1,0,IF($AL275=1,Settings!$C$6,Settings!$C$7))*100)</f>
        <v/>
      </c>
      <c r="AB275" s="7" t="n"/>
      <c r="AE275" s="11" t="n"/>
      <c r="AG275" s="7">
        <f>IF($C275="","",U275*X275/100)</f>
        <v/>
      </c>
      <c r="AH275" s="7">
        <f>IF($C275="","",U275-AG275)</f>
        <v/>
      </c>
      <c r="AI275" s="7">
        <f>IF($C275="","",AH275-M275)</f>
        <v/>
      </c>
      <c r="AJ275">
        <f>IF($C275="","",IF(COUNTIF($C$2:$C275,$C275)=1,1,0))</f>
        <v/>
      </c>
      <c r="AK275">
        <f>IF($AJ275=1,SUMPRODUCT(--($AN$2:$AN$4001&lt;$AN275))+1,"")</f>
        <v/>
      </c>
      <c r="AL275">
        <f>IF($C275="","",IF(OR($Q275=TRUE(),$Q275="TRUE"),1,0))</f>
        <v/>
      </c>
      <c r="AM275">
        <f>IF($C275="","",IF($W275="Yes",1,0))</f>
        <v/>
      </c>
      <c r="AN275">
        <f>IF($AJ275=1,IFERROR(IF(VALUE($C275)&lt;100000000,VALUE($C275),1000000000),IFERROR(IF(VALUE(MID($C275,2,20))&lt;100000000,VALUE(MID($C275,2,20)),1000000000),1000000000))+ROW()/100000,"")</f>
        <v/>
      </c>
    </row>
    <row r="276">
      <c r="E276" s="11" t="n"/>
      <c r="M276" s="7">
        <f>IF($C276="","",L276*U276/100)</f>
        <v/>
      </c>
      <c r="N276" s="7" t="n"/>
      <c r="T276" s="7" t="n"/>
      <c r="U276" s="7">
        <f>IF($C276="","",S276*T276)</f>
        <v/>
      </c>
      <c r="X276">
        <f>IF($C276="","",IF($AM276=1,0,IF($AL276=1,Settings!$C$6,Settings!$C$7))*100)</f>
        <v/>
      </c>
      <c r="AB276" s="7" t="n"/>
      <c r="AE276" s="11" t="n"/>
      <c r="AG276" s="7">
        <f>IF($C276="","",U276*X276/100)</f>
        <v/>
      </c>
      <c r="AH276" s="7">
        <f>IF($C276="","",U276-AG276)</f>
        <v/>
      </c>
      <c r="AI276" s="7">
        <f>IF($C276="","",AH276-M276)</f>
        <v/>
      </c>
      <c r="AJ276">
        <f>IF($C276="","",IF(COUNTIF($C$2:$C276,$C276)=1,1,0))</f>
        <v/>
      </c>
      <c r="AK276">
        <f>IF($AJ276=1,SUMPRODUCT(--($AN$2:$AN$4001&lt;$AN276))+1,"")</f>
        <v/>
      </c>
      <c r="AL276">
        <f>IF($C276="","",IF(OR($Q276=TRUE(),$Q276="TRUE"),1,0))</f>
        <v/>
      </c>
      <c r="AM276">
        <f>IF($C276="","",IF($W276="Yes",1,0))</f>
        <v/>
      </c>
      <c r="AN276">
        <f>IF($AJ276=1,IFERROR(IF(VALUE($C276)&lt;100000000,VALUE($C276),1000000000),IFERROR(IF(VALUE(MID($C276,2,20))&lt;100000000,VALUE(MID($C276,2,20)),1000000000),1000000000))+ROW()/100000,"")</f>
        <v/>
      </c>
    </row>
    <row r="277">
      <c r="E277" s="11" t="n"/>
      <c r="M277" s="7">
        <f>IF($C277="","",L277*U277/100)</f>
        <v/>
      </c>
      <c r="N277" s="7" t="n"/>
      <c r="T277" s="7" t="n"/>
      <c r="U277" s="7">
        <f>IF($C277="","",S277*T277)</f>
        <v/>
      </c>
      <c r="X277">
        <f>IF($C277="","",IF($AM277=1,0,IF($AL277=1,Settings!$C$6,Settings!$C$7))*100)</f>
        <v/>
      </c>
      <c r="AB277" s="7" t="n"/>
      <c r="AE277" s="11" t="n"/>
      <c r="AG277" s="7">
        <f>IF($C277="","",U277*X277/100)</f>
        <v/>
      </c>
      <c r="AH277" s="7">
        <f>IF($C277="","",U277-AG277)</f>
        <v/>
      </c>
      <c r="AI277" s="7">
        <f>IF($C277="","",AH277-M277)</f>
        <v/>
      </c>
      <c r="AJ277">
        <f>IF($C277="","",IF(COUNTIF($C$2:$C277,$C277)=1,1,0))</f>
        <v/>
      </c>
      <c r="AK277">
        <f>IF($AJ277=1,SUMPRODUCT(--($AN$2:$AN$4001&lt;$AN277))+1,"")</f>
        <v/>
      </c>
      <c r="AL277">
        <f>IF($C277="","",IF(OR($Q277=TRUE(),$Q277="TRUE"),1,0))</f>
        <v/>
      </c>
      <c r="AM277">
        <f>IF($C277="","",IF($W277="Yes",1,0))</f>
        <v/>
      </c>
      <c r="AN277">
        <f>IF($AJ277=1,IFERROR(IF(VALUE($C277)&lt;100000000,VALUE($C277),1000000000),IFERROR(IF(VALUE(MID($C277,2,20))&lt;100000000,VALUE(MID($C277,2,20)),1000000000),1000000000))+ROW()/100000,"")</f>
        <v/>
      </c>
    </row>
    <row r="278">
      <c r="E278" s="11" t="n"/>
      <c r="M278" s="7">
        <f>IF($C278="","",L278*U278/100)</f>
        <v/>
      </c>
      <c r="N278" s="7" t="n"/>
      <c r="T278" s="7" t="n"/>
      <c r="U278" s="7">
        <f>IF($C278="","",S278*T278)</f>
        <v/>
      </c>
      <c r="X278">
        <f>IF($C278="","",IF($AM278=1,0,IF($AL278=1,Settings!$C$6,Settings!$C$7))*100)</f>
        <v/>
      </c>
      <c r="AB278" s="7" t="n"/>
      <c r="AE278" s="11" t="n"/>
      <c r="AG278" s="7">
        <f>IF($C278="","",U278*X278/100)</f>
        <v/>
      </c>
      <c r="AH278" s="7">
        <f>IF($C278="","",U278-AG278)</f>
        <v/>
      </c>
      <c r="AI278" s="7">
        <f>IF($C278="","",AH278-M278)</f>
        <v/>
      </c>
      <c r="AJ278">
        <f>IF($C278="","",IF(COUNTIF($C$2:$C278,$C278)=1,1,0))</f>
        <v/>
      </c>
      <c r="AK278">
        <f>IF($AJ278=1,SUMPRODUCT(--($AN$2:$AN$4001&lt;$AN278))+1,"")</f>
        <v/>
      </c>
      <c r="AL278">
        <f>IF($C278="","",IF(OR($Q278=TRUE(),$Q278="TRUE"),1,0))</f>
        <v/>
      </c>
      <c r="AM278">
        <f>IF($C278="","",IF($W278="Yes",1,0))</f>
        <v/>
      </c>
      <c r="AN278">
        <f>IF($AJ278=1,IFERROR(IF(VALUE($C278)&lt;100000000,VALUE($C278),1000000000),IFERROR(IF(VALUE(MID($C278,2,20))&lt;100000000,VALUE(MID($C278,2,20)),1000000000),1000000000))+ROW()/100000,"")</f>
        <v/>
      </c>
    </row>
    <row r="279">
      <c r="E279" s="11" t="n"/>
      <c r="M279" s="7">
        <f>IF($C279="","",L279*U279/100)</f>
        <v/>
      </c>
      <c r="N279" s="7" t="n"/>
      <c r="T279" s="7" t="n"/>
      <c r="U279" s="7">
        <f>IF($C279="","",S279*T279)</f>
        <v/>
      </c>
      <c r="X279">
        <f>IF($C279="","",IF($AM279=1,0,IF($AL279=1,Settings!$C$6,Settings!$C$7))*100)</f>
        <v/>
      </c>
      <c r="AB279" s="7" t="n"/>
      <c r="AE279" s="11" t="n"/>
      <c r="AG279" s="7">
        <f>IF($C279="","",U279*X279/100)</f>
        <v/>
      </c>
      <c r="AH279" s="7">
        <f>IF($C279="","",U279-AG279)</f>
        <v/>
      </c>
      <c r="AI279" s="7">
        <f>IF($C279="","",AH279-M279)</f>
        <v/>
      </c>
      <c r="AJ279">
        <f>IF($C279="","",IF(COUNTIF($C$2:$C279,$C279)=1,1,0))</f>
        <v/>
      </c>
      <c r="AK279">
        <f>IF($AJ279=1,SUMPRODUCT(--($AN$2:$AN$4001&lt;$AN279))+1,"")</f>
        <v/>
      </c>
      <c r="AL279">
        <f>IF($C279="","",IF(OR($Q279=TRUE(),$Q279="TRUE"),1,0))</f>
        <v/>
      </c>
      <c r="AM279">
        <f>IF($C279="","",IF($W279="Yes",1,0))</f>
        <v/>
      </c>
      <c r="AN279">
        <f>IF($AJ279=1,IFERROR(IF(VALUE($C279)&lt;100000000,VALUE($C279),1000000000),IFERROR(IF(VALUE(MID($C279,2,20))&lt;100000000,VALUE(MID($C279,2,20)),1000000000),1000000000))+ROW()/100000,"")</f>
        <v/>
      </c>
    </row>
    <row r="280">
      <c r="E280" s="11" t="n"/>
      <c r="M280" s="7">
        <f>IF($C280="","",L280*U280/100)</f>
        <v/>
      </c>
      <c r="N280" s="7" t="n"/>
      <c r="T280" s="7" t="n"/>
      <c r="U280" s="7">
        <f>IF($C280="","",S280*T280)</f>
        <v/>
      </c>
      <c r="X280">
        <f>IF($C280="","",IF($AM280=1,0,IF($AL280=1,Settings!$C$6,Settings!$C$7))*100)</f>
        <v/>
      </c>
      <c r="AB280" s="7" t="n"/>
      <c r="AE280" s="11" t="n"/>
      <c r="AG280" s="7">
        <f>IF($C280="","",U280*X280/100)</f>
        <v/>
      </c>
      <c r="AH280" s="7">
        <f>IF($C280="","",U280-AG280)</f>
        <v/>
      </c>
      <c r="AI280" s="7">
        <f>IF($C280="","",AH280-M280)</f>
        <v/>
      </c>
      <c r="AJ280">
        <f>IF($C280="","",IF(COUNTIF($C$2:$C280,$C280)=1,1,0))</f>
        <v/>
      </c>
      <c r="AK280">
        <f>IF($AJ280=1,SUMPRODUCT(--($AN$2:$AN$4001&lt;$AN280))+1,"")</f>
        <v/>
      </c>
      <c r="AL280">
        <f>IF($C280="","",IF(OR($Q280=TRUE(),$Q280="TRUE"),1,0))</f>
        <v/>
      </c>
      <c r="AM280">
        <f>IF($C280="","",IF($W280="Yes",1,0))</f>
        <v/>
      </c>
      <c r="AN280">
        <f>IF($AJ280=1,IFERROR(IF(VALUE($C280)&lt;100000000,VALUE($C280),1000000000),IFERROR(IF(VALUE(MID($C280,2,20))&lt;100000000,VALUE(MID($C280,2,20)),1000000000),1000000000))+ROW()/100000,"")</f>
        <v/>
      </c>
    </row>
    <row r="281">
      <c r="E281" s="11" t="n"/>
      <c r="M281" s="7">
        <f>IF($C281="","",L281*U281/100)</f>
        <v/>
      </c>
      <c r="N281" s="7" t="n"/>
      <c r="T281" s="7" t="n"/>
      <c r="U281" s="7">
        <f>IF($C281="","",S281*T281)</f>
        <v/>
      </c>
      <c r="X281">
        <f>IF($C281="","",IF($AM281=1,0,IF($AL281=1,Settings!$C$6,Settings!$C$7))*100)</f>
        <v/>
      </c>
      <c r="AB281" s="7" t="n"/>
      <c r="AE281" s="11" t="n"/>
      <c r="AG281" s="7">
        <f>IF($C281="","",U281*X281/100)</f>
        <v/>
      </c>
      <c r="AH281" s="7">
        <f>IF($C281="","",U281-AG281)</f>
        <v/>
      </c>
      <c r="AI281" s="7">
        <f>IF($C281="","",AH281-M281)</f>
        <v/>
      </c>
      <c r="AJ281">
        <f>IF($C281="","",IF(COUNTIF($C$2:$C281,$C281)=1,1,0))</f>
        <v/>
      </c>
      <c r="AK281">
        <f>IF($AJ281=1,SUMPRODUCT(--($AN$2:$AN$4001&lt;$AN281))+1,"")</f>
        <v/>
      </c>
      <c r="AL281">
        <f>IF($C281="","",IF(OR($Q281=TRUE(),$Q281="TRUE"),1,0))</f>
        <v/>
      </c>
      <c r="AM281">
        <f>IF($C281="","",IF($W281="Yes",1,0))</f>
        <v/>
      </c>
      <c r="AN281">
        <f>IF($AJ281=1,IFERROR(IF(VALUE($C281)&lt;100000000,VALUE($C281),1000000000),IFERROR(IF(VALUE(MID($C281,2,20))&lt;100000000,VALUE(MID($C281,2,20)),1000000000),1000000000))+ROW()/100000,"")</f>
        <v/>
      </c>
    </row>
    <row r="282">
      <c r="E282" s="11" t="n"/>
      <c r="M282" s="7">
        <f>IF($C282="","",L282*U282/100)</f>
        <v/>
      </c>
      <c r="N282" s="7" t="n"/>
      <c r="T282" s="7" t="n"/>
      <c r="U282" s="7">
        <f>IF($C282="","",S282*T282)</f>
        <v/>
      </c>
      <c r="X282">
        <f>IF($C282="","",IF($AM282=1,0,IF($AL282=1,Settings!$C$6,Settings!$C$7))*100)</f>
        <v/>
      </c>
      <c r="AB282" s="7" t="n"/>
      <c r="AE282" s="11" t="n"/>
      <c r="AG282" s="7">
        <f>IF($C282="","",U282*X282/100)</f>
        <v/>
      </c>
      <c r="AH282" s="7">
        <f>IF($C282="","",U282-AG282)</f>
        <v/>
      </c>
      <c r="AI282" s="7">
        <f>IF($C282="","",AH282-M282)</f>
        <v/>
      </c>
      <c r="AJ282">
        <f>IF($C282="","",IF(COUNTIF($C$2:$C282,$C282)=1,1,0))</f>
        <v/>
      </c>
      <c r="AK282">
        <f>IF($AJ282=1,SUMPRODUCT(--($AN$2:$AN$4001&lt;$AN282))+1,"")</f>
        <v/>
      </c>
      <c r="AL282">
        <f>IF($C282="","",IF(OR($Q282=TRUE(),$Q282="TRUE"),1,0))</f>
        <v/>
      </c>
      <c r="AM282">
        <f>IF($C282="","",IF($W282="Yes",1,0))</f>
        <v/>
      </c>
      <c r="AN282">
        <f>IF($AJ282=1,IFERROR(IF(VALUE($C282)&lt;100000000,VALUE($C282),1000000000),IFERROR(IF(VALUE(MID($C282,2,20))&lt;100000000,VALUE(MID($C282,2,20)),1000000000),1000000000))+ROW()/100000,"")</f>
        <v/>
      </c>
    </row>
    <row r="283">
      <c r="E283" s="11" t="n"/>
      <c r="M283" s="7">
        <f>IF($C283="","",L283*U283/100)</f>
        <v/>
      </c>
      <c r="N283" s="7" t="n"/>
      <c r="T283" s="7" t="n"/>
      <c r="U283" s="7">
        <f>IF($C283="","",S283*T283)</f>
        <v/>
      </c>
      <c r="X283">
        <f>IF($C283="","",IF($AM283=1,0,IF($AL283=1,Settings!$C$6,Settings!$C$7))*100)</f>
        <v/>
      </c>
      <c r="AB283" s="7" t="n"/>
      <c r="AE283" s="11" t="n"/>
      <c r="AG283" s="7">
        <f>IF($C283="","",U283*X283/100)</f>
        <v/>
      </c>
      <c r="AH283" s="7">
        <f>IF($C283="","",U283-AG283)</f>
        <v/>
      </c>
      <c r="AI283" s="7">
        <f>IF($C283="","",AH283-M283)</f>
        <v/>
      </c>
      <c r="AJ283">
        <f>IF($C283="","",IF(COUNTIF($C$2:$C283,$C283)=1,1,0))</f>
        <v/>
      </c>
      <c r="AK283">
        <f>IF($AJ283=1,SUMPRODUCT(--($AN$2:$AN$4001&lt;$AN283))+1,"")</f>
        <v/>
      </c>
      <c r="AL283">
        <f>IF($C283="","",IF(OR($Q283=TRUE(),$Q283="TRUE"),1,0))</f>
        <v/>
      </c>
      <c r="AM283">
        <f>IF($C283="","",IF($W283="Yes",1,0))</f>
        <v/>
      </c>
      <c r="AN283">
        <f>IF($AJ283=1,IFERROR(IF(VALUE($C283)&lt;100000000,VALUE($C283),1000000000),IFERROR(IF(VALUE(MID($C283,2,20))&lt;100000000,VALUE(MID($C283,2,20)),1000000000),1000000000))+ROW()/100000,"")</f>
        <v/>
      </c>
    </row>
    <row r="284">
      <c r="E284" s="11" t="n"/>
      <c r="M284" s="7">
        <f>IF($C284="","",L284*U284/100)</f>
        <v/>
      </c>
      <c r="N284" s="7" t="n"/>
      <c r="T284" s="7" t="n"/>
      <c r="U284" s="7">
        <f>IF($C284="","",S284*T284)</f>
        <v/>
      </c>
      <c r="X284">
        <f>IF($C284="","",IF($AM284=1,0,IF($AL284=1,Settings!$C$6,Settings!$C$7))*100)</f>
        <v/>
      </c>
      <c r="AB284" s="7" t="n"/>
      <c r="AE284" s="11" t="n"/>
      <c r="AG284" s="7">
        <f>IF($C284="","",U284*X284/100)</f>
        <v/>
      </c>
      <c r="AH284" s="7">
        <f>IF($C284="","",U284-AG284)</f>
        <v/>
      </c>
      <c r="AI284" s="7">
        <f>IF($C284="","",AH284-M284)</f>
        <v/>
      </c>
      <c r="AJ284">
        <f>IF($C284="","",IF(COUNTIF($C$2:$C284,$C284)=1,1,0))</f>
        <v/>
      </c>
      <c r="AK284">
        <f>IF($AJ284=1,SUMPRODUCT(--($AN$2:$AN$4001&lt;$AN284))+1,"")</f>
        <v/>
      </c>
      <c r="AL284">
        <f>IF($C284="","",IF(OR($Q284=TRUE(),$Q284="TRUE"),1,0))</f>
        <v/>
      </c>
      <c r="AM284">
        <f>IF($C284="","",IF($W284="Yes",1,0))</f>
        <v/>
      </c>
      <c r="AN284">
        <f>IF($AJ284=1,IFERROR(IF(VALUE($C284)&lt;100000000,VALUE($C284),1000000000),IFERROR(IF(VALUE(MID($C284,2,20))&lt;100000000,VALUE(MID($C284,2,20)),1000000000),1000000000))+ROW()/100000,"")</f>
        <v/>
      </c>
    </row>
    <row r="285">
      <c r="E285" s="11" t="n"/>
      <c r="M285" s="7">
        <f>IF($C285="","",L285*U285/100)</f>
        <v/>
      </c>
      <c r="N285" s="7" t="n"/>
      <c r="T285" s="7" t="n"/>
      <c r="U285" s="7">
        <f>IF($C285="","",S285*T285)</f>
        <v/>
      </c>
      <c r="X285">
        <f>IF($C285="","",IF($AM285=1,0,IF($AL285=1,Settings!$C$6,Settings!$C$7))*100)</f>
        <v/>
      </c>
      <c r="AB285" s="7" t="n"/>
      <c r="AE285" s="11" t="n"/>
      <c r="AG285" s="7">
        <f>IF($C285="","",U285*X285/100)</f>
        <v/>
      </c>
      <c r="AH285" s="7">
        <f>IF($C285="","",U285-AG285)</f>
        <v/>
      </c>
      <c r="AI285" s="7">
        <f>IF($C285="","",AH285-M285)</f>
        <v/>
      </c>
      <c r="AJ285">
        <f>IF($C285="","",IF(COUNTIF($C$2:$C285,$C285)=1,1,0))</f>
        <v/>
      </c>
      <c r="AK285">
        <f>IF($AJ285=1,SUMPRODUCT(--($AN$2:$AN$4001&lt;$AN285))+1,"")</f>
        <v/>
      </c>
      <c r="AL285">
        <f>IF($C285="","",IF(OR($Q285=TRUE(),$Q285="TRUE"),1,0))</f>
        <v/>
      </c>
      <c r="AM285">
        <f>IF($C285="","",IF($W285="Yes",1,0))</f>
        <v/>
      </c>
      <c r="AN285">
        <f>IF($AJ285=1,IFERROR(IF(VALUE($C285)&lt;100000000,VALUE($C285),1000000000),IFERROR(IF(VALUE(MID($C285,2,20))&lt;100000000,VALUE(MID($C285,2,20)),1000000000),1000000000))+ROW()/100000,"")</f>
        <v/>
      </c>
    </row>
    <row r="286">
      <c r="E286" s="11" t="n"/>
      <c r="M286" s="7">
        <f>IF($C286="","",L286*U286/100)</f>
        <v/>
      </c>
      <c r="N286" s="7" t="n"/>
      <c r="T286" s="7" t="n"/>
      <c r="U286" s="7">
        <f>IF($C286="","",S286*T286)</f>
        <v/>
      </c>
      <c r="X286">
        <f>IF($C286="","",IF($AM286=1,0,IF($AL286=1,Settings!$C$6,Settings!$C$7))*100)</f>
        <v/>
      </c>
      <c r="AB286" s="7" t="n"/>
      <c r="AE286" s="11" t="n"/>
      <c r="AG286" s="7">
        <f>IF($C286="","",U286*X286/100)</f>
        <v/>
      </c>
      <c r="AH286" s="7">
        <f>IF($C286="","",U286-AG286)</f>
        <v/>
      </c>
      <c r="AI286" s="7">
        <f>IF($C286="","",AH286-M286)</f>
        <v/>
      </c>
      <c r="AJ286">
        <f>IF($C286="","",IF(COUNTIF($C$2:$C286,$C286)=1,1,0))</f>
        <v/>
      </c>
      <c r="AK286">
        <f>IF($AJ286=1,SUMPRODUCT(--($AN$2:$AN$4001&lt;$AN286))+1,"")</f>
        <v/>
      </c>
      <c r="AL286">
        <f>IF($C286="","",IF(OR($Q286=TRUE(),$Q286="TRUE"),1,0))</f>
        <v/>
      </c>
      <c r="AM286">
        <f>IF($C286="","",IF($W286="Yes",1,0))</f>
        <v/>
      </c>
      <c r="AN286">
        <f>IF($AJ286=1,IFERROR(IF(VALUE($C286)&lt;100000000,VALUE($C286),1000000000),IFERROR(IF(VALUE(MID($C286,2,20))&lt;100000000,VALUE(MID($C286,2,20)),1000000000),1000000000))+ROW()/100000,"")</f>
        <v/>
      </c>
    </row>
    <row r="287">
      <c r="E287" s="11" t="n"/>
      <c r="M287" s="7">
        <f>IF($C287="","",L287*U287/100)</f>
        <v/>
      </c>
      <c r="N287" s="7" t="n"/>
      <c r="T287" s="7" t="n"/>
      <c r="U287" s="7">
        <f>IF($C287="","",S287*T287)</f>
        <v/>
      </c>
      <c r="X287">
        <f>IF($C287="","",IF($AM287=1,0,IF($AL287=1,Settings!$C$6,Settings!$C$7))*100)</f>
        <v/>
      </c>
      <c r="AB287" s="7" t="n"/>
      <c r="AE287" s="11" t="n"/>
      <c r="AG287" s="7">
        <f>IF($C287="","",U287*X287/100)</f>
        <v/>
      </c>
      <c r="AH287" s="7">
        <f>IF($C287="","",U287-AG287)</f>
        <v/>
      </c>
      <c r="AI287" s="7">
        <f>IF($C287="","",AH287-M287)</f>
        <v/>
      </c>
      <c r="AJ287">
        <f>IF($C287="","",IF(COUNTIF($C$2:$C287,$C287)=1,1,0))</f>
        <v/>
      </c>
      <c r="AK287">
        <f>IF($AJ287=1,SUMPRODUCT(--($AN$2:$AN$4001&lt;$AN287))+1,"")</f>
        <v/>
      </c>
      <c r="AL287">
        <f>IF($C287="","",IF(OR($Q287=TRUE(),$Q287="TRUE"),1,0))</f>
        <v/>
      </c>
      <c r="AM287">
        <f>IF($C287="","",IF($W287="Yes",1,0))</f>
        <v/>
      </c>
      <c r="AN287">
        <f>IF($AJ287=1,IFERROR(IF(VALUE($C287)&lt;100000000,VALUE($C287),1000000000),IFERROR(IF(VALUE(MID($C287,2,20))&lt;100000000,VALUE(MID($C287,2,20)),1000000000),1000000000))+ROW()/100000,"")</f>
        <v/>
      </c>
    </row>
    <row r="288">
      <c r="E288" s="11" t="n"/>
      <c r="M288" s="7">
        <f>IF($C288="","",L288*U288/100)</f>
        <v/>
      </c>
      <c r="N288" s="7" t="n"/>
      <c r="T288" s="7" t="n"/>
      <c r="U288" s="7">
        <f>IF($C288="","",S288*T288)</f>
        <v/>
      </c>
      <c r="X288">
        <f>IF($C288="","",IF($AM288=1,0,IF($AL288=1,Settings!$C$6,Settings!$C$7))*100)</f>
        <v/>
      </c>
      <c r="AB288" s="7" t="n"/>
      <c r="AE288" s="11" t="n"/>
      <c r="AG288" s="7">
        <f>IF($C288="","",U288*X288/100)</f>
        <v/>
      </c>
      <c r="AH288" s="7">
        <f>IF($C288="","",U288-AG288)</f>
        <v/>
      </c>
      <c r="AI288" s="7">
        <f>IF($C288="","",AH288-M288)</f>
        <v/>
      </c>
      <c r="AJ288">
        <f>IF($C288="","",IF(COUNTIF($C$2:$C288,$C288)=1,1,0))</f>
        <v/>
      </c>
      <c r="AK288">
        <f>IF($AJ288=1,SUMPRODUCT(--($AN$2:$AN$4001&lt;$AN288))+1,"")</f>
        <v/>
      </c>
      <c r="AL288">
        <f>IF($C288="","",IF(OR($Q288=TRUE(),$Q288="TRUE"),1,0))</f>
        <v/>
      </c>
      <c r="AM288">
        <f>IF($C288="","",IF($W288="Yes",1,0))</f>
        <v/>
      </c>
      <c r="AN288">
        <f>IF($AJ288=1,IFERROR(IF(VALUE($C288)&lt;100000000,VALUE($C288),1000000000),IFERROR(IF(VALUE(MID($C288,2,20))&lt;100000000,VALUE(MID($C288,2,20)),1000000000),1000000000))+ROW()/100000,"")</f>
        <v/>
      </c>
    </row>
    <row r="289">
      <c r="E289" s="11" t="n"/>
      <c r="M289" s="7">
        <f>IF($C289="","",L289*U289/100)</f>
        <v/>
      </c>
      <c r="N289" s="7" t="n"/>
      <c r="T289" s="7" t="n"/>
      <c r="U289" s="7">
        <f>IF($C289="","",S289*T289)</f>
        <v/>
      </c>
      <c r="X289">
        <f>IF($C289="","",IF($AM289=1,0,IF($AL289=1,Settings!$C$6,Settings!$C$7))*100)</f>
        <v/>
      </c>
      <c r="AB289" s="7" t="n"/>
      <c r="AE289" s="11" t="n"/>
      <c r="AG289" s="7">
        <f>IF($C289="","",U289*X289/100)</f>
        <v/>
      </c>
      <c r="AH289" s="7">
        <f>IF($C289="","",U289-AG289)</f>
        <v/>
      </c>
      <c r="AI289" s="7">
        <f>IF($C289="","",AH289-M289)</f>
        <v/>
      </c>
      <c r="AJ289">
        <f>IF($C289="","",IF(COUNTIF($C$2:$C289,$C289)=1,1,0))</f>
        <v/>
      </c>
      <c r="AK289">
        <f>IF($AJ289=1,SUMPRODUCT(--($AN$2:$AN$4001&lt;$AN289))+1,"")</f>
        <v/>
      </c>
      <c r="AL289">
        <f>IF($C289="","",IF(OR($Q289=TRUE(),$Q289="TRUE"),1,0))</f>
        <v/>
      </c>
      <c r="AM289">
        <f>IF($C289="","",IF($W289="Yes",1,0))</f>
        <v/>
      </c>
      <c r="AN289">
        <f>IF($AJ289=1,IFERROR(IF(VALUE($C289)&lt;100000000,VALUE($C289),1000000000),IFERROR(IF(VALUE(MID($C289,2,20))&lt;100000000,VALUE(MID($C289,2,20)),1000000000),1000000000))+ROW()/100000,"")</f>
        <v/>
      </c>
    </row>
    <row r="290">
      <c r="E290" s="11" t="n"/>
      <c r="M290" s="7">
        <f>IF($C290="","",L290*U290/100)</f>
        <v/>
      </c>
      <c r="N290" s="7" t="n"/>
      <c r="T290" s="7" t="n"/>
      <c r="U290" s="7">
        <f>IF($C290="","",S290*T290)</f>
        <v/>
      </c>
      <c r="X290">
        <f>IF($C290="","",IF($AM290=1,0,IF($AL290=1,Settings!$C$6,Settings!$C$7))*100)</f>
        <v/>
      </c>
      <c r="AB290" s="7" t="n"/>
      <c r="AE290" s="11" t="n"/>
      <c r="AG290" s="7">
        <f>IF($C290="","",U290*X290/100)</f>
        <v/>
      </c>
      <c r="AH290" s="7">
        <f>IF($C290="","",U290-AG290)</f>
        <v/>
      </c>
      <c r="AI290" s="7">
        <f>IF($C290="","",AH290-M290)</f>
        <v/>
      </c>
      <c r="AJ290">
        <f>IF($C290="","",IF(COUNTIF($C$2:$C290,$C290)=1,1,0))</f>
        <v/>
      </c>
      <c r="AK290">
        <f>IF($AJ290=1,SUMPRODUCT(--($AN$2:$AN$4001&lt;$AN290))+1,"")</f>
        <v/>
      </c>
      <c r="AL290">
        <f>IF($C290="","",IF(OR($Q290=TRUE(),$Q290="TRUE"),1,0))</f>
        <v/>
      </c>
      <c r="AM290">
        <f>IF($C290="","",IF($W290="Yes",1,0))</f>
        <v/>
      </c>
      <c r="AN290">
        <f>IF($AJ290=1,IFERROR(IF(VALUE($C290)&lt;100000000,VALUE($C290),1000000000),IFERROR(IF(VALUE(MID($C290,2,20))&lt;100000000,VALUE(MID($C290,2,20)),1000000000),1000000000))+ROW()/100000,"")</f>
        <v/>
      </c>
    </row>
    <row r="291">
      <c r="E291" s="11" t="n"/>
      <c r="M291" s="7">
        <f>IF($C291="","",L291*U291/100)</f>
        <v/>
      </c>
      <c r="N291" s="7" t="n"/>
      <c r="T291" s="7" t="n"/>
      <c r="U291" s="7">
        <f>IF($C291="","",S291*T291)</f>
        <v/>
      </c>
      <c r="X291">
        <f>IF($C291="","",IF($AM291=1,0,IF($AL291=1,Settings!$C$6,Settings!$C$7))*100)</f>
        <v/>
      </c>
      <c r="AB291" s="7" t="n"/>
      <c r="AE291" s="11" t="n"/>
      <c r="AG291" s="7">
        <f>IF($C291="","",U291*X291/100)</f>
        <v/>
      </c>
      <c r="AH291" s="7">
        <f>IF($C291="","",U291-AG291)</f>
        <v/>
      </c>
      <c r="AI291" s="7">
        <f>IF($C291="","",AH291-M291)</f>
        <v/>
      </c>
      <c r="AJ291">
        <f>IF($C291="","",IF(COUNTIF($C$2:$C291,$C291)=1,1,0))</f>
        <v/>
      </c>
      <c r="AK291">
        <f>IF($AJ291=1,SUMPRODUCT(--($AN$2:$AN$4001&lt;$AN291))+1,"")</f>
        <v/>
      </c>
      <c r="AL291">
        <f>IF($C291="","",IF(OR($Q291=TRUE(),$Q291="TRUE"),1,0))</f>
        <v/>
      </c>
      <c r="AM291">
        <f>IF($C291="","",IF($W291="Yes",1,0))</f>
        <v/>
      </c>
      <c r="AN291">
        <f>IF($AJ291=1,IFERROR(IF(VALUE($C291)&lt;100000000,VALUE($C291),1000000000),IFERROR(IF(VALUE(MID($C291,2,20))&lt;100000000,VALUE(MID($C291,2,20)),1000000000),1000000000))+ROW()/100000,"")</f>
        <v/>
      </c>
    </row>
    <row r="292">
      <c r="E292" s="11" t="n"/>
      <c r="M292" s="7">
        <f>IF($C292="","",L292*U292/100)</f>
        <v/>
      </c>
      <c r="N292" s="7" t="n"/>
      <c r="T292" s="7" t="n"/>
      <c r="U292" s="7">
        <f>IF($C292="","",S292*T292)</f>
        <v/>
      </c>
      <c r="X292">
        <f>IF($C292="","",IF($AM292=1,0,IF($AL292=1,Settings!$C$6,Settings!$C$7))*100)</f>
        <v/>
      </c>
      <c r="AB292" s="7" t="n"/>
      <c r="AE292" s="11" t="n"/>
      <c r="AG292" s="7">
        <f>IF($C292="","",U292*X292/100)</f>
        <v/>
      </c>
      <c r="AH292" s="7">
        <f>IF($C292="","",U292-AG292)</f>
        <v/>
      </c>
      <c r="AI292" s="7">
        <f>IF($C292="","",AH292-M292)</f>
        <v/>
      </c>
      <c r="AJ292">
        <f>IF($C292="","",IF(COUNTIF($C$2:$C292,$C292)=1,1,0))</f>
        <v/>
      </c>
      <c r="AK292">
        <f>IF($AJ292=1,SUMPRODUCT(--($AN$2:$AN$4001&lt;$AN292))+1,"")</f>
        <v/>
      </c>
      <c r="AL292">
        <f>IF($C292="","",IF(OR($Q292=TRUE(),$Q292="TRUE"),1,0))</f>
        <v/>
      </c>
      <c r="AM292">
        <f>IF($C292="","",IF($W292="Yes",1,0))</f>
        <v/>
      </c>
      <c r="AN292">
        <f>IF($AJ292=1,IFERROR(IF(VALUE($C292)&lt;100000000,VALUE($C292),1000000000),IFERROR(IF(VALUE(MID($C292,2,20))&lt;100000000,VALUE(MID($C292,2,20)),1000000000),1000000000))+ROW()/100000,"")</f>
        <v/>
      </c>
    </row>
    <row r="293">
      <c r="E293" s="11" t="n"/>
      <c r="M293" s="7">
        <f>IF($C293="","",L293*U293/100)</f>
        <v/>
      </c>
      <c r="N293" s="7" t="n"/>
      <c r="T293" s="7" t="n"/>
      <c r="U293" s="7">
        <f>IF($C293="","",S293*T293)</f>
        <v/>
      </c>
      <c r="X293">
        <f>IF($C293="","",IF($AM293=1,0,IF($AL293=1,Settings!$C$6,Settings!$C$7))*100)</f>
        <v/>
      </c>
      <c r="AB293" s="7" t="n"/>
      <c r="AE293" s="11" t="n"/>
      <c r="AG293" s="7">
        <f>IF($C293="","",U293*X293/100)</f>
        <v/>
      </c>
      <c r="AH293" s="7">
        <f>IF($C293="","",U293-AG293)</f>
        <v/>
      </c>
      <c r="AI293" s="7">
        <f>IF($C293="","",AH293-M293)</f>
        <v/>
      </c>
      <c r="AJ293">
        <f>IF($C293="","",IF(COUNTIF($C$2:$C293,$C293)=1,1,0))</f>
        <v/>
      </c>
      <c r="AK293">
        <f>IF($AJ293=1,SUMPRODUCT(--($AN$2:$AN$4001&lt;$AN293))+1,"")</f>
        <v/>
      </c>
      <c r="AL293">
        <f>IF($C293="","",IF(OR($Q293=TRUE(),$Q293="TRUE"),1,0))</f>
        <v/>
      </c>
      <c r="AM293">
        <f>IF($C293="","",IF($W293="Yes",1,0))</f>
        <v/>
      </c>
      <c r="AN293">
        <f>IF($AJ293=1,IFERROR(IF(VALUE($C293)&lt;100000000,VALUE($C293),1000000000),IFERROR(IF(VALUE(MID($C293,2,20))&lt;100000000,VALUE(MID($C293,2,20)),1000000000),1000000000))+ROW()/100000,"")</f>
        <v/>
      </c>
    </row>
    <row r="294">
      <c r="E294" s="11" t="n"/>
      <c r="M294" s="7">
        <f>IF($C294="","",L294*U294/100)</f>
        <v/>
      </c>
      <c r="N294" s="7" t="n"/>
      <c r="T294" s="7" t="n"/>
      <c r="U294" s="7">
        <f>IF($C294="","",S294*T294)</f>
        <v/>
      </c>
      <c r="X294">
        <f>IF($C294="","",IF($AM294=1,0,IF($AL294=1,Settings!$C$6,Settings!$C$7))*100)</f>
        <v/>
      </c>
      <c r="AB294" s="7" t="n"/>
      <c r="AE294" s="11" t="n"/>
      <c r="AG294" s="7">
        <f>IF($C294="","",U294*X294/100)</f>
        <v/>
      </c>
      <c r="AH294" s="7">
        <f>IF($C294="","",U294-AG294)</f>
        <v/>
      </c>
      <c r="AI294" s="7">
        <f>IF($C294="","",AH294-M294)</f>
        <v/>
      </c>
      <c r="AJ294">
        <f>IF($C294="","",IF(COUNTIF($C$2:$C294,$C294)=1,1,0))</f>
        <v/>
      </c>
      <c r="AK294">
        <f>IF($AJ294=1,SUMPRODUCT(--($AN$2:$AN$4001&lt;$AN294))+1,"")</f>
        <v/>
      </c>
      <c r="AL294">
        <f>IF($C294="","",IF(OR($Q294=TRUE(),$Q294="TRUE"),1,0))</f>
        <v/>
      </c>
      <c r="AM294">
        <f>IF($C294="","",IF($W294="Yes",1,0))</f>
        <v/>
      </c>
      <c r="AN294">
        <f>IF($AJ294=1,IFERROR(IF(VALUE($C294)&lt;100000000,VALUE($C294),1000000000),IFERROR(IF(VALUE(MID($C294,2,20))&lt;100000000,VALUE(MID($C294,2,20)),1000000000),1000000000))+ROW()/100000,"")</f>
        <v/>
      </c>
    </row>
    <row r="295">
      <c r="E295" s="11" t="n"/>
      <c r="M295" s="7">
        <f>IF($C295="","",L295*U295/100)</f>
        <v/>
      </c>
      <c r="N295" s="7" t="n"/>
      <c r="T295" s="7" t="n"/>
      <c r="U295" s="7">
        <f>IF($C295="","",S295*T295)</f>
        <v/>
      </c>
      <c r="X295">
        <f>IF($C295="","",IF($AM295=1,0,IF($AL295=1,Settings!$C$6,Settings!$C$7))*100)</f>
        <v/>
      </c>
      <c r="AB295" s="7" t="n"/>
      <c r="AE295" s="11" t="n"/>
      <c r="AG295" s="7">
        <f>IF($C295="","",U295*X295/100)</f>
        <v/>
      </c>
      <c r="AH295" s="7">
        <f>IF($C295="","",U295-AG295)</f>
        <v/>
      </c>
      <c r="AI295" s="7">
        <f>IF($C295="","",AH295-M295)</f>
        <v/>
      </c>
      <c r="AJ295">
        <f>IF($C295="","",IF(COUNTIF($C$2:$C295,$C295)=1,1,0))</f>
        <v/>
      </c>
      <c r="AK295">
        <f>IF($AJ295=1,SUMPRODUCT(--($AN$2:$AN$4001&lt;$AN295))+1,"")</f>
        <v/>
      </c>
      <c r="AL295">
        <f>IF($C295="","",IF(OR($Q295=TRUE(),$Q295="TRUE"),1,0))</f>
        <v/>
      </c>
      <c r="AM295">
        <f>IF($C295="","",IF($W295="Yes",1,0))</f>
        <v/>
      </c>
      <c r="AN295">
        <f>IF($AJ295=1,IFERROR(IF(VALUE($C295)&lt;100000000,VALUE($C295),1000000000),IFERROR(IF(VALUE(MID($C295,2,20))&lt;100000000,VALUE(MID($C295,2,20)),1000000000),1000000000))+ROW()/100000,"")</f>
        <v/>
      </c>
    </row>
    <row r="296">
      <c r="E296" s="11" t="n"/>
      <c r="M296" s="7">
        <f>IF($C296="","",L296*U296/100)</f>
        <v/>
      </c>
      <c r="N296" s="7" t="n"/>
      <c r="T296" s="7" t="n"/>
      <c r="U296" s="7">
        <f>IF($C296="","",S296*T296)</f>
        <v/>
      </c>
      <c r="X296">
        <f>IF($C296="","",IF($AM296=1,0,IF($AL296=1,Settings!$C$6,Settings!$C$7))*100)</f>
        <v/>
      </c>
      <c r="AB296" s="7" t="n"/>
      <c r="AE296" s="11" t="n"/>
      <c r="AG296" s="7">
        <f>IF($C296="","",U296*X296/100)</f>
        <v/>
      </c>
      <c r="AH296" s="7">
        <f>IF($C296="","",U296-AG296)</f>
        <v/>
      </c>
      <c r="AI296" s="7">
        <f>IF($C296="","",AH296-M296)</f>
        <v/>
      </c>
      <c r="AJ296">
        <f>IF($C296="","",IF(COUNTIF($C$2:$C296,$C296)=1,1,0))</f>
        <v/>
      </c>
      <c r="AK296">
        <f>IF($AJ296=1,SUMPRODUCT(--($AN$2:$AN$4001&lt;$AN296))+1,"")</f>
        <v/>
      </c>
      <c r="AL296">
        <f>IF($C296="","",IF(OR($Q296=TRUE(),$Q296="TRUE"),1,0))</f>
        <v/>
      </c>
      <c r="AM296">
        <f>IF($C296="","",IF($W296="Yes",1,0))</f>
        <v/>
      </c>
      <c r="AN296">
        <f>IF($AJ296=1,IFERROR(IF(VALUE($C296)&lt;100000000,VALUE($C296),1000000000),IFERROR(IF(VALUE(MID($C296,2,20))&lt;100000000,VALUE(MID($C296,2,20)),1000000000),1000000000))+ROW()/100000,"")</f>
        <v/>
      </c>
    </row>
    <row r="297">
      <c r="E297" s="11" t="n"/>
      <c r="M297" s="7">
        <f>IF($C297="","",L297*U297/100)</f>
        <v/>
      </c>
      <c r="N297" s="7" t="n"/>
      <c r="T297" s="7" t="n"/>
      <c r="U297" s="7">
        <f>IF($C297="","",S297*T297)</f>
        <v/>
      </c>
      <c r="X297">
        <f>IF($C297="","",IF($AM297=1,0,IF($AL297=1,Settings!$C$6,Settings!$C$7))*100)</f>
        <v/>
      </c>
      <c r="AB297" s="7" t="n"/>
      <c r="AE297" s="11" t="n"/>
      <c r="AG297" s="7">
        <f>IF($C297="","",U297*X297/100)</f>
        <v/>
      </c>
      <c r="AH297" s="7">
        <f>IF($C297="","",U297-AG297)</f>
        <v/>
      </c>
      <c r="AI297" s="7">
        <f>IF($C297="","",AH297-M297)</f>
        <v/>
      </c>
      <c r="AJ297">
        <f>IF($C297="","",IF(COUNTIF($C$2:$C297,$C297)=1,1,0))</f>
        <v/>
      </c>
      <c r="AK297">
        <f>IF($AJ297=1,SUMPRODUCT(--($AN$2:$AN$4001&lt;$AN297))+1,"")</f>
        <v/>
      </c>
      <c r="AL297">
        <f>IF($C297="","",IF(OR($Q297=TRUE(),$Q297="TRUE"),1,0))</f>
        <v/>
      </c>
      <c r="AM297">
        <f>IF($C297="","",IF($W297="Yes",1,0))</f>
        <v/>
      </c>
      <c r="AN297">
        <f>IF($AJ297=1,IFERROR(IF(VALUE($C297)&lt;100000000,VALUE($C297),1000000000),IFERROR(IF(VALUE(MID($C297,2,20))&lt;100000000,VALUE(MID($C297,2,20)),1000000000),1000000000))+ROW()/100000,"")</f>
        <v/>
      </c>
    </row>
    <row r="298">
      <c r="E298" s="11" t="n"/>
      <c r="M298" s="7">
        <f>IF($C298="","",L298*U298/100)</f>
        <v/>
      </c>
      <c r="N298" s="7" t="n"/>
      <c r="T298" s="7" t="n"/>
      <c r="U298" s="7">
        <f>IF($C298="","",S298*T298)</f>
        <v/>
      </c>
      <c r="X298">
        <f>IF($C298="","",IF($AM298=1,0,IF($AL298=1,Settings!$C$6,Settings!$C$7))*100)</f>
        <v/>
      </c>
      <c r="AB298" s="7" t="n"/>
      <c r="AE298" s="11" t="n"/>
      <c r="AG298" s="7">
        <f>IF($C298="","",U298*X298/100)</f>
        <v/>
      </c>
      <c r="AH298" s="7">
        <f>IF($C298="","",U298-AG298)</f>
        <v/>
      </c>
      <c r="AI298" s="7">
        <f>IF($C298="","",AH298-M298)</f>
        <v/>
      </c>
      <c r="AJ298">
        <f>IF($C298="","",IF(COUNTIF($C$2:$C298,$C298)=1,1,0))</f>
        <v/>
      </c>
      <c r="AK298">
        <f>IF($AJ298=1,SUMPRODUCT(--($AN$2:$AN$4001&lt;$AN298))+1,"")</f>
        <v/>
      </c>
      <c r="AL298">
        <f>IF($C298="","",IF(OR($Q298=TRUE(),$Q298="TRUE"),1,0))</f>
        <v/>
      </c>
      <c r="AM298">
        <f>IF($C298="","",IF($W298="Yes",1,0))</f>
        <v/>
      </c>
      <c r="AN298">
        <f>IF($AJ298=1,IFERROR(IF(VALUE($C298)&lt;100000000,VALUE($C298),1000000000),IFERROR(IF(VALUE(MID($C298,2,20))&lt;100000000,VALUE(MID($C298,2,20)),1000000000),1000000000))+ROW()/100000,"")</f>
        <v/>
      </c>
    </row>
    <row r="299">
      <c r="E299" s="11" t="n"/>
      <c r="M299" s="7">
        <f>IF($C299="","",L299*U299/100)</f>
        <v/>
      </c>
      <c r="N299" s="7" t="n"/>
      <c r="T299" s="7" t="n"/>
      <c r="U299" s="7">
        <f>IF($C299="","",S299*T299)</f>
        <v/>
      </c>
      <c r="X299">
        <f>IF($C299="","",IF($AM299=1,0,IF($AL299=1,Settings!$C$6,Settings!$C$7))*100)</f>
        <v/>
      </c>
      <c r="AB299" s="7" t="n"/>
      <c r="AE299" s="11" t="n"/>
      <c r="AG299" s="7">
        <f>IF($C299="","",U299*X299/100)</f>
        <v/>
      </c>
      <c r="AH299" s="7">
        <f>IF($C299="","",U299-AG299)</f>
        <v/>
      </c>
      <c r="AI299" s="7">
        <f>IF($C299="","",AH299-M299)</f>
        <v/>
      </c>
      <c r="AJ299">
        <f>IF($C299="","",IF(COUNTIF($C$2:$C299,$C299)=1,1,0))</f>
        <v/>
      </c>
      <c r="AK299">
        <f>IF($AJ299=1,SUMPRODUCT(--($AN$2:$AN$4001&lt;$AN299))+1,"")</f>
        <v/>
      </c>
      <c r="AL299">
        <f>IF($C299="","",IF(OR($Q299=TRUE(),$Q299="TRUE"),1,0))</f>
        <v/>
      </c>
      <c r="AM299">
        <f>IF($C299="","",IF($W299="Yes",1,0))</f>
        <v/>
      </c>
      <c r="AN299">
        <f>IF($AJ299=1,IFERROR(IF(VALUE($C299)&lt;100000000,VALUE($C299),1000000000),IFERROR(IF(VALUE(MID($C299,2,20))&lt;100000000,VALUE(MID($C299,2,20)),1000000000),1000000000))+ROW()/100000,"")</f>
        <v/>
      </c>
    </row>
    <row r="300">
      <c r="E300" s="11" t="n"/>
      <c r="M300" s="7">
        <f>IF($C300="","",L300*U300/100)</f>
        <v/>
      </c>
      <c r="N300" s="7" t="n"/>
      <c r="T300" s="7" t="n"/>
      <c r="U300" s="7">
        <f>IF($C300="","",S300*T300)</f>
        <v/>
      </c>
      <c r="X300">
        <f>IF($C300="","",IF($AM300=1,0,IF($AL300=1,Settings!$C$6,Settings!$C$7))*100)</f>
        <v/>
      </c>
      <c r="AB300" s="7" t="n"/>
      <c r="AE300" s="11" t="n"/>
      <c r="AG300" s="7">
        <f>IF($C300="","",U300*X300/100)</f>
        <v/>
      </c>
      <c r="AH300" s="7">
        <f>IF($C300="","",U300-AG300)</f>
        <v/>
      </c>
      <c r="AI300" s="7">
        <f>IF($C300="","",AH300-M300)</f>
        <v/>
      </c>
      <c r="AJ300">
        <f>IF($C300="","",IF(COUNTIF($C$2:$C300,$C300)=1,1,0))</f>
        <v/>
      </c>
      <c r="AK300">
        <f>IF($AJ300=1,SUMPRODUCT(--($AN$2:$AN$4001&lt;$AN300))+1,"")</f>
        <v/>
      </c>
      <c r="AL300">
        <f>IF($C300="","",IF(OR($Q300=TRUE(),$Q300="TRUE"),1,0))</f>
        <v/>
      </c>
      <c r="AM300">
        <f>IF($C300="","",IF($W300="Yes",1,0))</f>
        <v/>
      </c>
      <c r="AN300">
        <f>IF($AJ300=1,IFERROR(IF(VALUE($C300)&lt;100000000,VALUE($C300),1000000000),IFERROR(IF(VALUE(MID($C300,2,20))&lt;100000000,VALUE(MID($C300,2,20)),1000000000),1000000000))+ROW()/100000,"")</f>
        <v/>
      </c>
    </row>
    <row r="301">
      <c r="E301" s="11" t="n"/>
      <c r="M301" s="7">
        <f>IF($C301="","",L301*U301/100)</f>
        <v/>
      </c>
      <c r="N301" s="7" t="n"/>
      <c r="T301" s="7" t="n"/>
      <c r="U301" s="7">
        <f>IF($C301="","",S301*T301)</f>
        <v/>
      </c>
      <c r="X301">
        <f>IF($C301="","",IF($AM301=1,0,IF($AL301=1,Settings!$C$6,Settings!$C$7))*100)</f>
        <v/>
      </c>
      <c r="AB301" s="7" t="n"/>
      <c r="AE301" s="11" t="n"/>
      <c r="AG301" s="7">
        <f>IF($C301="","",U301*X301/100)</f>
        <v/>
      </c>
      <c r="AH301" s="7">
        <f>IF($C301="","",U301-AG301)</f>
        <v/>
      </c>
      <c r="AI301" s="7">
        <f>IF($C301="","",AH301-M301)</f>
        <v/>
      </c>
      <c r="AJ301">
        <f>IF($C301="","",IF(COUNTIF($C$2:$C301,$C301)=1,1,0))</f>
        <v/>
      </c>
      <c r="AK301">
        <f>IF($AJ301=1,SUMPRODUCT(--($AN$2:$AN$4001&lt;$AN301))+1,"")</f>
        <v/>
      </c>
      <c r="AL301">
        <f>IF($C301="","",IF(OR($Q301=TRUE(),$Q301="TRUE"),1,0))</f>
        <v/>
      </c>
      <c r="AM301">
        <f>IF($C301="","",IF($W301="Yes",1,0))</f>
        <v/>
      </c>
      <c r="AN301">
        <f>IF($AJ301=1,IFERROR(IF(VALUE($C301)&lt;100000000,VALUE($C301),1000000000),IFERROR(IF(VALUE(MID($C301,2,20))&lt;100000000,VALUE(MID($C301,2,20)),1000000000),1000000000))+ROW()/100000,"")</f>
        <v/>
      </c>
    </row>
    <row r="302">
      <c r="E302" s="11" t="n"/>
      <c r="M302" s="7">
        <f>IF($C302="","",L302*U302/100)</f>
        <v/>
      </c>
      <c r="N302" s="7" t="n"/>
      <c r="T302" s="7" t="n"/>
      <c r="U302" s="7">
        <f>IF($C302="","",S302*T302)</f>
        <v/>
      </c>
      <c r="X302">
        <f>IF($C302="","",IF($AM302=1,0,IF($AL302=1,Settings!$C$6,Settings!$C$7))*100)</f>
        <v/>
      </c>
      <c r="AB302" s="7" t="n"/>
      <c r="AE302" s="11" t="n"/>
      <c r="AG302" s="7">
        <f>IF($C302="","",U302*X302/100)</f>
        <v/>
      </c>
      <c r="AH302" s="7">
        <f>IF($C302="","",U302-AG302)</f>
        <v/>
      </c>
      <c r="AI302" s="7">
        <f>IF($C302="","",AH302-M302)</f>
        <v/>
      </c>
      <c r="AJ302">
        <f>IF($C302="","",IF(COUNTIF($C$2:$C302,$C302)=1,1,0))</f>
        <v/>
      </c>
      <c r="AK302">
        <f>IF($AJ302=1,SUMPRODUCT(--($AN$2:$AN$4001&lt;$AN302))+1,"")</f>
        <v/>
      </c>
      <c r="AL302">
        <f>IF($C302="","",IF(OR($Q302=TRUE(),$Q302="TRUE"),1,0))</f>
        <v/>
      </c>
      <c r="AM302">
        <f>IF($C302="","",IF($W302="Yes",1,0))</f>
        <v/>
      </c>
      <c r="AN302">
        <f>IF($AJ302=1,IFERROR(IF(VALUE($C302)&lt;100000000,VALUE($C302),1000000000),IFERROR(IF(VALUE(MID($C302,2,20))&lt;100000000,VALUE(MID($C302,2,20)),1000000000),1000000000))+ROW()/100000,"")</f>
        <v/>
      </c>
    </row>
    <row r="303">
      <c r="E303" s="11" t="n"/>
      <c r="M303" s="7">
        <f>IF($C303="","",L303*U303/100)</f>
        <v/>
      </c>
      <c r="N303" s="7" t="n"/>
      <c r="T303" s="7" t="n"/>
      <c r="U303" s="7">
        <f>IF($C303="","",S303*T303)</f>
        <v/>
      </c>
      <c r="X303">
        <f>IF($C303="","",IF($AM303=1,0,IF($AL303=1,Settings!$C$6,Settings!$C$7))*100)</f>
        <v/>
      </c>
      <c r="AB303" s="7" t="n"/>
      <c r="AE303" s="11" t="n"/>
      <c r="AG303" s="7">
        <f>IF($C303="","",U303*X303/100)</f>
        <v/>
      </c>
      <c r="AH303" s="7">
        <f>IF($C303="","",U303-AG303)</f>
        <v/>
      </c>
      <c r="AI303" s="7">
        <f>IF($C303="","",AH303-M303)</f>
        <v/>
      </c>
      <c r="AJ303">
        <f>IF($C303="","",IF(COUNTIF($C$2:$C303,$C303)=1,1,0))</f>
        <v/>
      </c>
      <c r="AK303">
        <f>IF($AJ303=1,SUMPRODUCT(--($AN$2:$AN$4001&lt;$AN303))+1,"")</f>
        <v/>
      </c>
      <c r="AL303">
        <f>IF($C303="","",IF(OR($Q303=TRUE(),$Q303="TRUE"),1,0))</f>
        <v/>
      </c>
      <c r="AM303">
        <f>IF($C303="","",IF($W303="Yes",1,0))</f>
        <v/>
      </c>
      <c r="AN303">
        <f>IF($AJ303=1,IFERROR(IF(VALUE($C303)&lt;100000000,VALUE($C303),1000000000),IFERROR(IF(VALUE(MID($C303,2,20))&lt;100000000,VALUE(MID($C303,2,20)),1000000000),1000000000))+ROW()/100000,"")</f>
        <v/>
      </c>
    </row>
    <row r="304">
      <c r="E304" s="11" t="n"/>
      <c r="M304" s="7">
        <f>IF($C304="","",L304*U304/100)</f>
        <v/>
      </c>
      <c r="N304" s="7" t="n"/>
      <c r="T304" s="7" t="n"/>
      <c r="U304" s="7">
        <f>IF($C304="","",S304*T304)</f>
        <v/>
      </c>
      <c r="X304">
        <f>IF($C304="","",IF($AM304=1,0,IF($AL304=1,Settings!$C$6,Settings!$C$7))*100)</f>
        <v/>
      </c>
      <c r="AB304" s="7" t="n"/>
      <c r="AE304" s="11" t="n"/>
      <c r="AG304" s="7">
        <f>IF($C304="","",U304*X304/100)</f>
        <v/>
      </c>
      <c r="AH304" s="7">
        <f>IF($C304="","",U304-AG304)</f>
        <v/>
      </c>
      <c r="AI304" s="7">
        <f>IF($C304="","",AH304-M304)</f>
        <v/>
      </c>
      <c r="AJ304">
        <f>IF($C304="","",IF(COUNTIF($C$2:$C304,$C304)=1,1,0))</f>
        <v/>
      </c>
      <c r="AK304">
        <f>IF($AJ304=1,SUMPRODUCT(--($AN$2:$AN$4001&lt;$AN304))+1,"")</f>
        <v/>
      </c>
      <c r="AL304">
        <f>IF($C304="","",IF(OR($Q304=TRUE(),$Q304="TRUE"),1,0))</f>
        <v/>
      </c>
      <c r="AM304">
        <f>IF($C304="","",IF($W304="Yes",1,0))</f>
        <v/>
      </c>
      <c r="AN304">
        <f>IF($AJ304=1,IFERROR(IF(VALUE($C304)&lt;100000000,VALUE($C304),1000000000),IFERROR(IF(VALUE(MID($C304,2,20))&lt;100000000,VALUE(MID($C304,2,20)),1000000000),1000000000))+ROW()/100000,"")</f>
        <v/>
      </c>
    </row>
    <row r="305">
      <c r="E305" s="11" t="n"/>
      <c r="M305" s="7">
        <f>IF($C305="","",L305*U305/100)</f>
        <v/>
      </c>
      <c r="N305" s="7" t="n"/>
      <c r="T305" s="7" t="n"/>
      <c r="U305" s="7">
        <f>IF($C305="","",S305*T305)</f>
        <v/>
      </c>
      <c r="X305">
        <f>IF($C305="","",IF($AM305=1,0,IF($AL305=1,Settings!$C$6,Settings!$C$7))*100)</f>
        <v/>
      </c>
      <c r="AB305" s="7" t="n"/>
      <c r="AE305" s="11" t="n"/>
      <c r="AG305" s="7">
        <f>IF($C305="","",U305*X305/100)</f>
        <v/>
      </c>
      <c r="AH305" s="7">
        <f>IF($C305="","",U305-AG305)</f>
        <v/>
      </c>
      <c r="AI305" s="7">
        <f>IF($C305="","",AH305-M305)</f>
        <v/>
      </c>
      <c r="AJ305">
        <f>IF($C305="","",IF(COUNTIF($C$2:$C305,$C305)=1,1,0))</f>
        <v/>
      </c>
      <c r="AK305">
        <f>IF($AJ305=1,SUMPRODUCT(--($AN$2:$AN$4001&lt;$AN305))+1,"")</f>
        <v/>
      </c>
      <c r="AL305">
        <f>IF($C305="","",IF(OR($Q305=TRUE(),$Q305="TRUE"),1,0))</f>
        <v/>
      </c>
      <c r="AM305">
        <f>IF($C305="","",IF($W305="Yes",1,0))</f>
        <v/>
      </c>
      <c r="AN305">
        <f>IF($AJ305=1,IFERROR(IF(VALUE($C305)&lt;100000000,VALUE($C305),1000000000),IFERROR(IF(VALUE(MID($C305,2,20))&lt;100000000,VALUE(MID($C305,2,20)),1000000000),1000000000))+ROW()/100000,"")</f>
        <v/>
      </c>
    </row>
    <row r="306">
      <c r="E306" s="11" t="n"/>
      <c r="M306" s="7">
        <f>IF($C306="","",L306*U306/100)</f>
        <v/>
      </c>
      <c r="N306" s="7" t="n"/>
      <c r="T306" s="7" t="n"/>
      <c r="U306" s="7">
        <f>IF($C306="","",S306*T306)</f>
        <v/>
      </c>
      <c r="X306">
        <f>IF($C306="","",IF($AM306=1,0,IF($AL306=1,Settings!$C$6,Settings!$C$7))*100)</f>
        <v/>
      </c>
      <c r="AB306" s="7" t="n"/>
      <c r="AE306" s="11" t="n"/>
      <c r="AG306" s="7">
        <f>IF($C306="","",U306*X306/100)</f>
        <v/>
      </c>
      <c r="AH306" s="7">
        <f>IF($C306="","",U306-AG306)</f>
        <v/>
      </c>
      <c r="AI306" s="7">
        <f>IF($C306="","",AH306-M306)</f>
        <v/>
      </c>
      <c r="AJ306">
        <f>IF($C306="","",IF(COUNTIF($C$2:$C306,$C306)=1,1,0))</f>
        <v/>
      </c>
      <c r="AK306">
        <f>IF($AJ306=1,SUMPRODUCT(--($AN$2:$AN$4001&lt;$AN306))+1,"")</f>
        <v/>
      </c>
      <c r="AL306">
        <f>IF($C306="","",IF(OR($Q306=TRUE(),$Q306="TRUE"),1,0))</f>
        <v/>
      </c>
      <c r="AM306">
        <f>IF($C306="","",IF($W306="Yes",1,0))</f>
        <v/>
      </c>
      <c r="AN306">
        <f>IF($AJ306=1,IFERROR(IF(VALUE($C306)&lt;100000000,VALUE($C306),1000000000),IFERROR(IF(VALUE(MID($C306,2,20))&lt;100000000,VALUE(MID($C306,2,20)),1000000000),1000000000))+ROW()/100000,"")</f>
        <v/>
      </c>
    </row>
    <row r="307">
      <c r="E307" s="11" t="n"/>
      <c r="M307" s="7">
        <f>IF($C307="","",L307*U307/100)</f>
        <v/>
      </c>
      <c r="N307" s="7" t="n"/>
      <c r="T307" s="7" t="n"/>
      <c r="U307" s="7">
        <f>IF($C307="","",S307*T307)</f>
        <v/>
      </c>
      <c r="X307">
        <f>IF($C307="","",IF($AM307=1,0,IF($AL307=1,Settings!$C$6,Settings!$C$7))*100)</f>
        <v/>
      </c>
      <c r="AB307" s="7" t="n"/>
      <c r="AE307" s="11" t="n"/>
      <c r="AG307" s="7">
        <f>IF($C307="","",U307*X307/100)</f>
        <v/>
      </c>
      <c r="AH307" s="7">
        <f>IF($C307="","",U307-AG307)</f>
        <v/>
      </c>
      <c r="AI307" s="7">
        <f>IF($C307="","",AH307-M307)</f>
        <v/>
      </c>
      <c r="AJ307">
        <f>IF($C307="","",IF(COUNTIF($C$2:$C307,$C307)=1,1,0))</f>
        <v/>
      </c>
      <c r="AK307">
        <f>IF($AJ307=1,SUMPRODUCT(--($AN$2:$AN$4001&lt;$AN307))+1,"")</f>
        <v/>
      </c>
      <c r="AL307">
        <f>IF($C307="","",IF(OR($Q307=TRUE(),$Q307="TRUE"),1,0))</f>
        <v/>
      </c>
      <c r="AM307">
        <f>IF($C307="","",IF($W307="Yes",1,0))</f>
        <v/>
      </c>
      <c r="AN307">
        <f>IF($AJ307=1,IFERROR(IF(VALUE($C307)&lt;100000000,VALUE($C307),1000000000),IFERROR(IF(VALUE(MID($C307,2,20))&lt;100000000,VALUE(MID($C307,2,20)),1000000000),1000000000))+ROW()/100000,"")</f>
        <v/>
      </c>
    </row>
    <row r="308">
      <c r="E308" s="11" t="n"/>
      <c r="M308" s="7">
        <f>IF($C308="","",L308*U308/100)</f>
        <v/>
      </c>
      <c r="N308" s="7" t="n"/>
      <c r="T308" s="7" t="n"/>
      <c r="U308" s="7">
        <f>IF($C308="","",S308*T308)</f>
        <v/>
      </c>
      <c r="X308">
        <f>IF($C308="","",IF($AM308=1,0,IF($AL308=1,Settings!$C$6,Settings!$C$7))*100)</f>
        <v/>
      </c>
      <c r="AB308" s="7" t="n"/>
      <c r="AE308" s="11" t="n"/>
      <c r="AG308" s="7">
        <f>IF($C308="","",U308*X308/100)</f>
        <v/>
      </c>
      <c r="AH308" s="7">
        <f>IF($C308="","",U308-AG308)</f>
        <v/>
      </c>
      <c r="AI308" s="7">
        <f>IF($C308="","",AH308-M308)</f>
        <v/>
      </c>
      <c r="AJ308">
        <f>IF($C308="","",IF(COUNTIF($C$2:$C308,$C308)=1,1,0))</f>
        <v/>
      </c>
      <c r="AK308">
        <f>IF($AJ308=1,SUMPRODUCT(--($AN$2:$AN$4001&lt;$AN308))+1,"")</f>
        <v/>
      </c>
      <c r="AL308">
        <f>IF($C308="","",IF(OR($Q308=TRUE(),$Q308="TRUE"),1,0))</f>
        <v/>
      </c>
      <c r="AM308">
        <f>IF($C308="","",IF($W308="Yes",1,0))</f>
        <v/>
      </c>
      <c r="AN308">
        <f>IF($AJ308=1,IFERROR(IF(VALUE($C308)&lt;100000000,VALUE($C308),1000000000),IFERROR(IF(VALUE(MID($C308,2,20))&lt;100000000,VALUE(MID($C308,2,20)),1000000000),1000000000))+ROW()/100000,"")</f>
        <v/>
      </c>
    </row>
    <row r="309">
      <c r="E309" s="11" t="n"/>
      <c r="M309" s="7">
        <f>IF($C309="","",L309*U309/100)</f>
        <v/>
      </c>
      <c r="N309" s="7" t="n"/>
      <c r="T309" s="7" t="n"/>
      <c r="U309" s="7">
        <f>IF($C309="","",S309*T309)</f>
        <v/>
      </c>
      <c r="X309">
        <f>IF($C309="","",IF($AM309=1,0,IF($AL309=1,Settings!$C$6,Settings!$C$7))*100)</f>
        <v/>
      </c>
      <c r="AB309" s="7" t="n"/>
      <c r="AE309" s="11" t="n"/>
      <c r="AG309" s="7">
        <f>IF($C309="","",U309*X309/100)</f>
        <v/>
      </c>
      <c r="AH309" s="7">
        <f>IF($C309="","",U309-AG309)</f>
        <v/>
      </c>
      <c r="AI309" s="7">
        <f>IF($C309="","",AH309-M309)</f>
        <v/>
      </c>
      <c r="AJ309">
        <f>IF($C309="","",IF(COUNTIF($C$2:$C309,$C309)=1,1,0))</f>
        <v/>
      </c>
      <c r="AK309">
        <f>IF($AJ309=1,SUMPRODUCT(--($AN$2:$AN$4001&lt;$AN309))+1,"")</f>
        <v/>
      </c>
      <c r="AL309">
        <f>IF($C309="","",IF(OR($Q309=TRUE(),$Q309="TRUE"),1,0))</f>
        <v/>
      </c>
      <c r="AM309">
        <f>IF($C309="","",IF($W309="Yes",1,0))</f>
        <v/>
      </c>
      <c r="AN309">
        <f>IF($AJ309=1,IFERROR(IF(VALUE($C309)&lt;100000000,VALUE($C309),1000000000),IFERROR(IF(VALUE(MID($C309,2,20))&lt;100000000,VALUE(MID($C309,2,20)),1000000000),1000000000))+ROW()/100000,"")</f>
        <v/>
      </c>
    </row>
    <row r="310">
      <c r="E310" s="11" t="n"/>
      <c r="M310" s="7">
        <f>IF($C310="","",L310*U310/100)</f>
        <v/>
      </c>
      <c r="N310" s="7" t="n"/>
      <c r="T310" s="7" t="n"/>
      <c r="U310" s="7">
        <f>IF($C310="","",S310*T310)</f>
        <v/>
      </c>
      <c r="X310">
        <f>IF($C310="","",IF($AM310=1,0,IF($AL310=1,Settings!$C$6,Settings!$C$7))*100)</f>
        <v/>
      </c>
      <c r="AB310" s="7" t="n"/>
      <c r="AE310" s="11" t="n"/>
      <c r="AG310" s="7">
        <f>IF($C310="","",U310*X310/100)</f>
        <v/>
      </c>
      <c r="AH310" s="7">
        <f>IF($C310="","",U310-AG310)</f>
        <v/>
      </c>
      <c r="AI310" s="7">
        <f>IF($C310="","",AH310-M310)</f>
        <v/>
      </c>
      <c r="AJ310">
        <f>IF($C310="","",IF(COUNTIF($C$2:$C310,$C310)=1,1,0))</f>
        <v/>
      </c>
      <c r="AK310">
        <f>IF($AJ310=1,SUMPRODUCT(--($AN$2:$AN$4001&lt;$AN310))+1,"")</f>
        <v/>
      </c>
      <c r="AL310">
        <f>IF($C310="","",IF(OR($Q310=TRUE(),$Q310="TRUE"),1,0))</f>
        <v/>
      </c>
      <c r="AM310">
        <f>IF($C310="","",IF($W310="Yes",1,0))</f>
        <v/>
      </c>
      <c r="AN310">
        <f>IF($AJ310=1,IFERROR(IF(VALUE($C310)&lt;100000000,VALUE($C310),1000000000),IFERROR(IF(VALUE(MID($C310,2,20))&lt;100000000,VALUE(MID($C310,2,20)),1000000000),1000000000))+ROW()/100000,"")</f>
        <v/>
      </c>
    </row>
    <row r="311">
      <c r="E311" s="11" t="n"/>
      <c r="M311" s="7">
        <f>IF($C311="","",L311*U311/100)</f>
        <v/>
      </c>
      <c r="N311" s="7" t="n"/>
      <c r="T311" s="7" t="n"/>
      <c r="U311" s="7">
        <f>IF($C311="","",S311*T311)</f>
        <v/>
      </c>
      <c r="X311">
        <f>IF($C311="","",IF($AM311=1,0,IF($AL311=1,Settings!$C$6,Settings!$C$7))*100)</f>
        <v/>
      </c>
      <c r="AB311" s="7" t="n"/>
      <c r="AE311" s="11" t="n"/>
      <c r="AG311" s="7">
        <f>IF($C311="","",U311*X311/100)</f>
        <v/>
      </c>
      <c r="AH311" s="7">
        <f>IF($C311="","",U311-AG311)</f>
        <v/>
      </c>
      <c r="AI311" s="7">
        <f>IF($C311="","",AH311-M311)</f>
        <v/>
      </c>
      <c r="AJ311">
        <f>IF($C311="","",IF(COUNTIF($C$2:$C311,$C311)=1,1,0))</f>
        <v/>
      </c>
      <c r="AK311">
        <f>IF($AJ311=1,SUMPRODUCT(--($AN$2:$AN$4001&lt;$AN311))+1,"")</f>
        <v/>
      </c>
      <c r="AL311">
        <f>IF($C311="","",IF(OR($Q311=TRUE(),$Q311="TRUE"),1,0))</f>
        <v/>
      </c>
      <c r="AM311">
        <f>IF($C311="","",IF($W311="Yes",1,0))</f>
        <v/>
      </c>
      <c r="AN311">
        <f>IF($AJ311=1,IFERROR(IF(VALUE($C311)&lt;100000000,VALUE($C311),1000000000),IFERROR(IF(VALUE(MID($C311,2,20))&lt;100000000,VALUE(MID($C311,2,20)),1000000000),1000000000))+ROW()/100000,"")</f>
        <v/>
      </c>
    </row>
    <row r="312">
      <c r="E312" s="11" t="n"/>
      <c r="M312" s="7">
        <f>IF($C312="","",L312*U312/100)</f>
        <v/>
      </c>
      <c r="N312" s="7" t="n"/>
      <c r="T312" s="7" t="n"/>
      <c r="U312" s="7">
        <f>IF($C312="","",S312*T312)</f>
        <v/>
      </c>
      <c r="X312">
        <f>IF($C312="","",IF($AM312=1,0,IF($AL312=1,Settings!$C$6,Settings!$C$7))*100)</f>
        <v/>
      </c>
      <c r="AB312" s="7" t="n"/>
      <c r="AE312" s="11" t="n"/>
      <c r="AG312" s="7">
        <f>IF($C312="","",U312*X312/100)</f>
        <v/>
      </c>
      <c r="AH312" s="7">
        <f>IF($C312="","",U312-AG312)</f>
        <v/>
      </c>
      <c r="AI312" s="7">
        <f>IF($C312="","",AH312-M312)</f>
        <v/>
      </c>
      <c r="AJ312">
        <f>IF($C312="","",IF(COUNTIF($C$2:$C312,$C312)=1,1,0))</f>
        <v/>
      </c>
      <c r="AK312">
        <f>IF($AJ312=1,SUMPRODUCT(--($AN$2:$AN$4001&lt;$AN312))+1,"")</f>
        <v/>
      </c>
      <c r="AL312">
        <f>IF($C312="","",IF(OR($Q312=TRUE(),$Q312="TRUE"),1,0))</f>
        <v/>
      </c>
      <c r="AM312">
        <f>IF($C312="","",IF($W312="Yes",1,0))</f>
        <v/>
      </c>
      <c r="AN312">
        <f>IF($AJ312=1,IFERROR(IF(VALUE($C312)&lt;100000000,VALUE($C312),1000000000),IFERROR(IF(VALUE(MID($C312,2,20))&lt;100000000,VALUE(MID($C312,2,20)),1000000000),1000000000))+ROW()/100000,"")</f>
        <v/>
      </c>
    </row>
    <row r="313">
      <c r="E313" s="11" t="n"/>
      <c r="M313" s="7">
        <f>IF($C313="","",L313*U313/100)</f>
        <v/>
      </c>
      <c r="N313" s="7" t="n"/>
      <c r="T313" s="7" t="n"/>
      <c r="U313" s="7">
        <f>IF($C313="","",S313*T313)</f>
        <v/>
      </c>
      <c r="X313">
        <f>IF($C313="","",IF($AM313=1,0,IF($AL313=1,Settings!$C$6,Settings!$C$7))*100)</f>
        <v/>
      </c>
      <c r="AB313" s="7" t="n"/>
      <c r="AE313" s="11" t="n"/>
      <c r="AG313" s="7">
        <f>IF($C313="","",U313*X313/100)</f>
        <v/>
      </c>
      <c r="AH313" s="7">
        <f>IF($C313="","",U313-AG313)</f>
        <v/>
      </c>
      <c r="AI313" s="7">
        <f>IF($C313="","",AH313-M313)</f>
        <v/>
      </c>
      <c r="AJ313">
        <f>IF($C313="","",IF(COUNTIF($C$2:$C313,$C313)=1,1,0))</f>
        <v/>
      </c>
      <c r="AK313">
        <f>IF($AJ313=1,SUMPRODUCT(--($AN$2:$AN$4001&lt;$AN313))+1,"")</f>
        <v/>
      </c>
      <c r="AL313">
        <f>IF($C313="","",IF(OR($Q313=TRUE(),$Q313="TRUE"),1,0))</f>
        <v/>
      </c>
      <c r="AM313">
        <f>IF($C313="","",IF($W313="Yes",1,0))</f>
        <v/>
      </c>
      <c r="AN313">
        <f>IF($AJ313=1,IFERROR(IF(VALUE($C313)&lt;100000000,VALUE($C313),1000000000),IFERROR(IF(VALUE(MID($C313,2,20))&lt;100000000,VALUE(MID($C313,2,20)),1000000000),1000000000))+ROW()/100000,"")</f>
        <v/>
      </c>
    </row>
    <row r="314">
      <c r="E314" s="11" t="n"/>
      <c r="M314" s="7">
        <f>IF($C314="","",L314*U314/100)</f>
        <v/>
      </c>
      <c r="N314" s="7" t="n"/>
      <c r="T314" s="7" t="n"/>
      <c r="U314" s="7">
        <f>IF($C314="","",S314*T314)</f>
        <v/>
      </c>
      <c r="X314">
        <f>IF($C314="","",IF($AM314=1,0,IF($AL314=1,Settings!$C$6,Settings!$C$7))*100)</f>
        <v/>
      </c>
      <c r="AB314" s="7" t="n"/>
      <c r="AE314" s="11" t="n"/>
      <c r="AG314" s="7">
        <f>IF($C314="","",U314*X314/100)</f>
        <v/>
      </c>
      <c r="AH314" s="7">
        <f>IF($C314="","",U314-AG314)</f>
        <v/>
      </c>
      <c r="AI314" s="7">
        <f>IF($C314="","",AH314-M314)</f>
        <v/>
      </c>
      <c r="AJ314">
        <f>IF($C314="","",IF(COUNTIF($C$2:$C314,$C314)=1,1,0))</f>
        <v/>
      </c>
      <c r="AK314">
        <f>IF($AJ314=1,SUMPRODUCT(--($AN$2:$AN$4001&lt;$AN314))+1,"")</f>
        <v/>
      </c>
      <c r="AL314">
        <f>IF($C314="","",IF(OR($Q314=TRUE(),$Q314="TRUE"),1,0))</f>
        <v/>
      </c>
      <c r="AM314">
        <f>IF($C314="","",IF($W314="Yes",1,0))</f>
        <v/>
      </c>
      <c r="AN314">
        <f>IF($AJ314=1,IFERROR(IF(VALUE($C314)&lt;100000000,VALUE($C314),1000000000),IFERROR(IF(VALUE(MID($C314,2,20))&lt;100000000,VALUE(MID($C314,2,20)),1000000000),1000000000))+ROW()/100000,"")</f>
        <v/>
      </c>
    </row>
    <row r="315">
      <c r="E315" s="11" t="n"/>
      <c r="M315" s="7">
        <f>IF($C315="","",L315*U315/100)</f>
        <v/>
      </c>
      <c r="N315" s="7" t="n"/>
      <c r="T315" s="7" t="n"/>
      <c r="U315" s="7">
        <f>IF($C315="","",S315*T315)</f>
        <v/>
      </c>
      <c r="X315">
        <f>IF($C315="","",IF($AM315=1,0,IF($AL315=1,Settings!$C$6,Settings!$C$7))*100)</f>
        <v/>
      </c>
      <c r="AB315" s="7" t="n"/>
      <c r="AE315" s="11" t="n"/>
      <c r="AG315" s="7">
        <f>IF($C315="","",U315*X315/100)</f>
        <v/>
      </c>
      <c r="AH315" s="7">
        <f>IF($C315="","",U315-AG315)</f>
        <v/>
      </c>
      <c r="AI315" s="7">
        <f>IF($C315="","",AH315-M315)</f>
        <v/>
      </c>
      <c r="AJ315">
        <f>IF($C315="","",IF(COUNTIF($C$2:$C315,$C315)=1,1,0))</f>
        <v/>
      </c>
      <c r="AK315">
        <f>IF($AJ315=1,SUMPRODUCT(--($AN$2:$AN$4001&lt;$AN315))+1,"")</f>
        <v/>
      </c>
      <c r="AL315">
        <f>IF($C315="","",IF(OR($Q315=TRUE(),$Q315="TRUE"),1,0))</f>
        <v/>
      </c>
      <c r="AM315">
        <f>IF($C315="","",IF($W315="Yes",1,0))</f>
        <v/>
      </c>
      <c r="AN315">
        <f>IF($AJ315=1,IFERROR(IF(VALUE($C315)&lt;100000000,VALUE($C315),1000000000),IFERROR(IF(VALUE(MID($C315,2,20))&lt;100000000,VALUE(MID($C315,2,20)),1000000000),1000000000))+ROW()/100000,"")</f>
        <v/>
      </c>
    </row>
    <row r="316">
      <c r="E316" s="11" t="n"/>
      <c r="M316" s="7">
        <f>IF($C316="","",L316*U316/100)</f>
        <v/>
      </c>
      <c r="N316" s="7" t="n"/>
      <c r="T316" s="7" t="n"/>
      <c r="U316" s="7">
        <f>IF($C316="","",S316*T316)</f>
        <v/>
      </c>
      <c r="X316">
        <f>IF($C316="","",IF($AM316=1,0,IF($AL316=1,Settings!$C$6,Settings!$C$7))*100)</f>
        <v/>
      </c>
      <c r="AB316" s="7" t="n"/>
      <c r="AE316" s="11" t="n"/>
      <c r="AG316" s="7">
        <f>IF($C316="","",U316*X316/100)</f>
        <v/>
      </c>
      <c r="AH316" s="7">
        <f>IF($C316="","",U316-AG316)</f>
        <v/>
      </c>
      <c r="AI316" s="7">
        <f>IF($C316="","",AH316-M316)</f>
        <v/>
      </c>
      <c r="AJ316">
        <f>IF($C316="","",IF(COUNTIF($C$2:$C316,$C316)=1,1,0))</f>
        <v/>
      </c>
      <c r="AK316">
        <f>IF($AJ316=1,SUMPRODUCT(--($AN$2:$AN$4001&lt;$AN316))+1,"")</f>
        <v/>
      </c>
      <c r="AL316">
        <f>IF($C316="","",IF(OR($Q316=TRUE(),$Q316="TRUE"),1,0))</f>
        <v/>
      </c>
      <c r="AM316">
        <f>IF($C316="","",IF($W316="Yes",1,0))</f>
        <v/>
      </c>
      <c r="AN316">
        <f>IF($AJ316=1,IFERROR(IF(VALUE($C316)&lt;100000000,VALUE($C316),1000000000),IFERROR(IF(VALUE(MID($C316,2,20))&lt;100000000,VALUE(MID($C316,2,20)),1000000000),1000000000))+ROW()/100000,"")</f>
        <v/>
      </c>
    </row>
    <row r="317">
      <c r="E317" s="11" t="n"/>
      <c r="M317" s="7">
        <f>IF($C317="","",L317*U317/100)</f>
        <v/>
      </c>
      <c r="N317" s="7" t="n"/>
      <c r="T317" s="7" t="n"/>
      <c r="U317" s="7">
        <f>IF($C317="","",S317*T317)</f>
        <v/>
      </c>
      <c r="X317">
        <f>IF($C317="","",IF($AM317=1,0,IF($AL317=1,Settings!$C$6,Settings!$C$7))*100)</f>
        <v/>
      </c>
      <c r="AB317" s="7" t="n"/>
      <c r="AE317" s="11" t="n"/>
      <c r="AG317" s="7">
        <f>IF($C317="","",U317*X317/100)</f>
        <v/>
      </c>
      <c r="AH317" s="7">
        <f>IF($C317="","",U317-AG317)</f>
        <v/>
      </c>
      <c r="AI317" s="7">
        <f>IF($C317="","",AH317-M317)</f>
        <v/>
      </c>
      <c r="AJ317">
        <f>IF($C317="","",IF(COUNTIF($C$2:$C317,$C317)=1,1,0))</f>
        <v/>
      </c>
      <c r="AK317">
        <f>IF($AJ317=1,SUMPRODUCT(--($AN$2:$AN$4001&lt;$AN317))+1,"")</f>
        <v/>
      </c>
      <c r="AL317">
        <f>IF($C317="","",IF(OR($Q317=TRUE(),$Q317="TRUE"),1,0))</f>
        <v/>
      </c>
      <c r="AM317">
        <f>IF($C317="","",IF($W317="Yes",1,0))</f>
        <v/>
      </c>
      <c r="AN317">
        <f>IF($AJ317=1,IFERROR(IF(VALUE($C317)&lt;100000000,VALUE($C317),1000000000),IFERROR(IF(VALUE(MID($C317,2,20))&lt;100000000,VALUE(MID($C317,2,20)),1000000000),1000000000))+ROW()/100000,"")</f>
        <v/>
      </c>
    </row>
    <row r="318">
      <c r="E318" s="11" t="n"/>
      <c r="M318" s="7">
        <f>IF($C318="","",L318*U318/100)</f>
        <v/>
      </c>
      <c r="N318" s="7" t="n"/>
      <c r="T318" s="7" t="n"/>
      <c r="U318" s="7">
        <f>IF($C318="","",S318*T318)</f>
        <v/>
      </c>
      <c r="X318">
        <f>IF($C318="","",IF($AM318=1,0,IF($AL318=1,Settings!$C$6,Settings!$C$7))*100)</f>
        <v/>
      </c>
      <c r="AB318" s="7" t="n"/>
      <c r="AE318" s="11" t="n"/>
      <c r="AG318" s="7">
        <f>IF($C318="","",U318*X318/100)</f>
        <v/>
      </c>
      <c r="AH318" s="7">
        <f>IF($C318="","",U318-AG318)</f>
        <v/>
      </c>
      <c r="AI318" s="7">
        <f>IF($C318="","",AH318-M318)</f>
        <v/>
      </c>
      <c r="AJ318">
        <f>IF($C318="","",IF(COUNTIF($C$2:$C318,$C318)=1,1,0))</f>
        <v/>
      </c>
      <c r="AK318">
        <f>IF($AJ318=1,SUMPRODUCT(--($AN$2:$AN$4001&lt;$AN318))+1,"")</f>
        <v/>
      </c>
      <c r="AL318">
        <f>IF($C318="","",IF(OR($Q318=TRUE(),$Q318="TRUE"),1,0))</f>
        <v/>
      </c>
      <c r="AM318">
        <f>IF($C318="","",IF($W318="Yes",1,0))</f>
        <v/>
      </c>
      <c r="AN318">
        <f>IF($AJ318=1,IFERROR(IF(VALUE($C318)&lt;100000000,VALUE($C318),1000000000),IFERROR(IF(VALUE(MID($C318,2,20))&lt;100000000,VALUE(MID($C318,2,20)),1000000000),1000000000))+ROW()/100000,"")</f>
        <v/>
      </c>
    </row>
    <row r="319">
      <c r="E319" s="11" t="n"/>
      <c r="M319" s="7">
        <f>IF($C319="","",L319*U319/100)</f>
        <v/>
      </c>
      <c r="N319" s="7" t="n"/>
      <c r="T319" s="7" t="n"/>
      <c r="U319" s="7">
        <f>IF($C319="","",S319*T319)</f>
        <v/>
      </c>
      <c r="X319">
        <f>IF($C319="","",IF($AM319=1,0,IF($AL319=1,Settings!$C$6,Settings!$C$7))*100)</f>
        <v/>
      </c>
      <c r="AB319" s="7" t="n"/>
      <c r="AE319" s="11" t="n"/>
      <c r="AG319" s="7">
        <f>IF($C319="","",U319*X319/100)</f>
        <v/>
      </c>
      <c r="AH319" s="7">
        <f>IF($C319="","",U319-AG319)</f>
        <v/>
      </c>
      <c r="AI319" s="7">
        <f>IF($C319="","",AH319-M319)</f>
        <v/>
      </c>
      <c r="AJ319">
        <f>IF($C319="","",IF(COUNTIF($C$2:$C319,$C319)=1,1,0))</f>
        <v/>
      </c>
      <c r="AK319">
        <f>IF($AJ319=1,SUMPRODUCT(--($AN$2:$AN$4001&lt;$AN319))+1,"")</f>
        <v/>
      </c>
      <c r="AL319">
        <f>IF($C319="","",IF(OR($Q319=TRUE(),$Q319="TRUE"),1,0))</f>
        <v/>
      </c>
      <c r="AM319">
        <f>IF($C319="","",IF($W319="Yes",1,0))</f>
        <v/>
      </c>
      <c r="AN319">
        <f>IF($AJ319=1,IFERROR(IF(VALUE($C319)&lt;100000000,VALUE($C319),1000000000),IFERROR(IF(VALUE(MID($C319,2,20))&lt;100000000,VALUE(MID($C319,2,20)),1000000000),1000000000))+ROW()/100000,"")</f>
        <v/>
      </c>
    </row>
    <row r="320">
      <c r="E320" s="11" t="n"/>
      <c r="M320" s="7">
        <f>IF($C320="","",L320*U320/100)</f>
        <v/>
      </c>
      <c r="N320" s="7" t="n"/>
      <c r="T320" s="7" t="n"/>
      <c r="U320" s="7">
        <f>IF($C320="","",S320*T320)</f>
        <v/>
      </c>
      <c r="X320">
        <f>IF($C320="","",IF($AM320=1,0,IF($AL320=1,Settings!$C$6,Settings!$C$7))*100)</f>
        <v/>
      </c>
      <c r="AB320" s="7" t="n"/>
      <c r="AE320" s="11" t="n"/>
      <c r="AG320" s="7">
        <f>IF($C320="","",U320*X320/100)</f>
        <v/>
      </c>
      <c r="AH320" s="7">
        <f>IF($C320="","",U320-AG320)</f>
        <v/>
      </c>
      <c r="AI320" s="7">
        <f>IF($C320="","",AH320-M320)</f>
        <v/>
      </c>
      <c r="AJ320">
        <f>IF($C320="","",IF(COUNTIF($C$2:$C320,$C320)=1,1,0))</f>
        <v/>
      </c>
      <c r="AK320">
        <f>IF($AJ320=1,SUMPRODUCT(--($AN$2:$AN$4001&lt;$AN320))+1,"")</f>
        <v/>
      </c>
      <c r="AL320">
        <f>IF($C320="","",IF(OR($Q320=TRUE(),$Q320="TRUE"),1,0))</f>
        <v/>
      </c>
      <c r="AM320">
        <f>IF($C320="","",IF($W320="Yes",1,0))</f>
        <v/>
      </c>
      <c r="AN320">
        <f>IF($AJ320=1,IFERROR(IF(VALUE($C320)&lt;100000000,VALUE($C320),1000000000),IFERROR(IF(VALUE(MID($C320,2,20))&lt;100000000,VALUE(MID($C320,2,20)),1000000000),1000000000))+ROW()/100000,"")</f>
        <v/>
      </c>
    </row>
    <row r="321">
      <c r="E321" s="11" t="n"/>
      <c r="M321" s="7">
        <f>IF($C321="","",L321*U321/100)</f>
        <v/>
      </c>
      <c r="N321" s="7" t="n"/>
      <c r="T321" s="7" t="n"/>
      <c r="U321" s="7">
        <f>IF($C321="","",S321*T321)</f>
        <v/>
      </c>
      <c r="X321">
        <f>IF($C321="","",IF($AM321=1,0,IF($AL321=1,Settings!$C$6,Settings!$C$7))*100)</f>
        <v/>
      </c>
      <c r="AB321" s="7" t="n"/>
      <c r="AE321" s="11" t="n"/>
      <c r="AG321" s="7">
        <f>IF($C321="","",U321*X321/100)</f>
        <v/>
      </c>
      <c r="AH321" s="7">
        <f>IF($C321="","",U321-AG321)</f>
        <v/>
      </c>
      <c r="AI321" s="7">
        <f>IF($C321="","",AH321-M321)</f>
        <v/>
      </c>
      <c r="AJ321">
        <f>IF($C321="","",IF(COUNTIF($C$2:$C321,$C321)=1,1,0))</f>
        <v/>
      </c>
      <c r="AK321">
        <f>IF($AJ321=1,SUMPRODUCT(--($AN$2:$AN$4001&lt;$AN321))+1,"")</f>
        <v/>
      </c>
      <c r="AL321">
        <f>IF($C321="","",IF(OR($Q321=TRUE(),$Q321="TRUE"),1,0))</f>
        <v/>
      </c>
      <c r="AM321">
        <f>IF($C321="","",IF($W321="Yes",1,0))</f>
        <v/>
      </c>
      <c r="AN321">
        <f>IF($AJ321=1,IFERROR(IF(VALUE($C321)&lt;100000000,VALUE($C321),1000000000),IFERROR(IF(VALUE(MID($C321,2,20))&lt;100000000,VALUE(MID($C321,2,20)),1000000000),1000000000))+ROW()/100000,"")</f>
        <v/>
      </c>
    </row>
    <row r="322">
      <c r="E322" s="11" t="n"/>
      <c r="M322" s="7">
        <f>IF($C322="","",L322*U322/100)</f>
        <v/>
      </c>
      <c r="N322" s="7" t="n"/>
      <c r="T322" s="7" t="n"/>
      <c r="U322" s="7">
        <f>IF($C322="","",S322*T322)</f>
        <v/>
      </c>
      <c r="X322">
        <f>IF($C322="","",IF($AM322=1,0,IF($AL322=1,Settings!$C$6,Settings!$C$7))*100)</f>
        <v/>
      </c>
      <c r="AB322" s="7" t="n"/>
      <c r="AE322" s="11" t="n"/>
      <c r="AG322" s="7">
        <f>IF($C322="","",U322*X322/100)</f>
        <v/>
      </c>
      <c r="AH322" s="7">
        <f>IF($C322="","",U322-AG322)</f>
        <v/>
      </c>
      <c r="AI322" s="7">
        <f>IF($C322="","",AH322-M322)</f>
        <v/>
      </c>
      <c r="AJ322">
        <f>IF($C322="","",IF(COUNTIF($C$2:$C322,$C322)=1,1,0))</f>
        <v/>
      </c>
      <c r="AK322">
        <f>IF($AJ322=1,SUMPRODUCT(--($AN$2:$AN$4001&lt;$AN322))+1,"")</f>
        <v/>
      </c>
      <c r="AL322">
        <f>IF($C322="","",IF(OR($Q322=TRUE(),$Q322="TRUE"),1,0))</f>
        <v/>
      </c>
      <c r="AM322">
        <f>IF($C322="","",IF($W322="Yes",1,0))</f>
        <v/>
      </c>
      <c r="AN322">
        <f>IF($AJ322=1,IFERROR(IF(VALUE($C322)&lt;100000000,VALUE($C322),1000000000),IFERROR(IF(VALUE(MID($C322,2,20))&lt;100000000,VALUE(MID($C322,2,20)),1000000000),1000000000))+ROW()/100000,"")</f>
        <v/>
      </c>
    </row>
    <row r="323">
      <c r="E323" s="11" t="n"/>
      <c r="M323" s="7">
        <f>IF($C323="","",L323*U323/100)</f>
        <v/>
      </c>
      <c r="N323" s="7" t="n"/>
      <c r="T323" s="7" t="n"/>
      <c r="U323" s="7">
        <f>IF($C323="","",S323*T323)</f>
        <v/>
      </c>
      <c r="X323">
        <f>IF($C323="","",IF($AM323=1,0,IF($AL323=1,Settings!$C$6,Settings!$C$7))*100)</f>
        <v/>
      </c>
      <c r="AB323" s="7" t="n"/>
      <c r="AE323" s="11" t="n"/>
      <c r="AG323" s="7">
        <f>IF($C323="","",U323*X323/100)</f>
        <v/>
      </c>
      <c r="AH323" s="7">
        <f>IF($C323="","",U323-AG323)</f>
        <v/>
      </c>
      <c r="AI323" s="7">
        <f>IF($C323="","",AH323-M323)</f>
        <v/>
      </c>
      <c r="AJ323">
        <f>IF($C323="","",IF(COUNTIF($C$2:$C323,$C323)=1,1,0))</f>
        <v/>
      </c>
      <c r="AK323">
        <f>IF($AJ323=1,SUMPRODUCT(--($AN$2:$AN$4001&lt;$AN323))+1,"")</f>
        <v/>
      </c>
      <c r="AL323">
        <f>IF($C323="","",IF(OR($Q323=TRUE(),$Q323="TRUE"),1,0))</f>
        <v/>
      </c>
      <c r="AM323">
        <f>IF($C323="","",IF($W323="Yes",1,0))</f>
        <v/>
      </c>
      <c r="AN323">
        <f>IF($AJ323=1,IFERROR(IF(VALUE($C323)&lt;100000000,VALUE($C323),1000000000),IFERROR(IF(VALUE(MID($C323,2,20))&lt;100000000,VALUE(MID($C323,2,20)),1000000000),1000000000))+ROW()/100000,"")</f>
        <v/>
      </c>
    </row>
    <row r="324">
      <c r="E324" s="11" t="n"/>
      <c r="M324" s="7">
        <f>IF($C324="","",L324*U324/100)</f>
        <v/>
      </c>
      <c r="N324" s="7" t="n"/>
      <c r="T324" s="7" t="n"/>
      <c r="U324" s="7">
        <f>IF($C324="","",S324*T324)</f>
        <v/>
      </c>
      <c r="X324">
        <f>IF($C324="","",IF($AM324=1,0,IF($AL324=1,Settings!$C$6,Settings!$C$7))*100)</f>
        <v/>
      </c>
      <c r="AB324" s="7" t="n"/>
      <c r="AE324" s="11" t="n"/>
      <c r="AG324" s="7">
        <f>IF($C324="","",U324*X324/100)</f>
        <v/>
      </c>
      <c r="AH324" s="7">
        <f>IF($C324="","",U324-AG324)</f>
        <v/>
      </c>
      <c r="AI324" s="7">
        <f>IF($C324="","",AH324-M324)</f>
        <v/>
      </c>
      <c r="AJ324">
        <f>IF($C324="","",IF(COUNTIF($C$2:$C324,$C324)=1,1,0))</f>
        <v/>
      </c>
      <c r="AK324">
        <f>IF($AJ324=1,SUMPRODUCT(--($AN$2:$AN$4001&lt;$AN324))+1,"")</f>
        <v/>
      </c>
      <c r="AL324">
        <f>IF($C324="","",IF(OR($Q324=TRUE(),$Q324="TRUE"),1,0))</f>
        <v/>
      </c>
      <c r="AM324">
        <f>IF($C324="","",IF($W324="Yes",1,0))</f>
        <v/>
      </c>
      <c r="AN324">
        <f>IF($AJ324=1,IFERROR(IF(VALUE($C324)&lt;100000000,VALUE($C324),1000000000),IFERROR(IF(VALUE(MID($C324,2,20))&lt;100000000,VALUE(MID($C324,2,20)),1000000000),1000000000))+ROW()/100000,"")</f>
        <v/>
      </c>
    </row>
    <row r="325">
      <c r="E325" s="11" t="n"/>
      <c r="M325" s="7">
        <f>IF($C325="","",L325*U325/100)</f>
        <v/>
      </c>
      <c r="N325" s="7" t="n"/>
      <c r="T325" s="7" t="n"/>
      <c r="U325" s="7">
        <f>IF($C325="","",S325*T325)</f>
        <v/>
      </c>
      <c r="X325">
        <f>IF($C325="","",IF($AM325=1,0,IF($AL325=1,Settings!$C$6,Settings!$C$7))*100)</f>
        <v/>
      </c>
      <c r="AB325" s="7" t="n"/>
      <c r="AE325" s="11" t="n"/>
      <c r="AG325" s="7">
        <f>IF($C325="","",U325*X325/100)</f>
        <v/>
      </c>
      <c r="AH325" s="7">
        <f>IF($C325="","",U325-AG325)</f>
        <v/>
      </c>
      <c r="AI325" s="7">
        <f>IF($C325="","",AH325-M325)</f>
        <v/>
      </c>
      <c r="AJ325">
        <f>IF($C325="","",IF(COUNTIF($C$2:$C325,$C325)=1,1,0))</f>
        <v/>
      </c>
      <c r="AK325">
        <f>IF($AJ325=1,SUMPRODUCT(--($AN$2:$AN$4001&lt;$AN325))+1,"")</f>
        <v/>
      </c>
      <c r="AL325">
        <f>IF($C325="","",IF(OR($Q325=TRUE(),$Q325="TRUE"),1,0))</f>
        <v/>
      </c>
      <c r="AM325">
        <f>IF($C325="","",IF($W325="Yes",1,0))</f>
        <v/>
      </c>
      <c r="AN325">
        <f>IF($AJ325=1,IFERROR(IF(VALUE($C325)&lt;100000000,VALUE($C325),1000000000),IFERROR(IF(VALUE(MID($C325,2,20))&lt;100000000,VALUE(MID($C325,2,20)),1000000000),1000000000))+ROW()/100000,"")</f>
        <v/>
      </c>
    </row>
    <row r="326">
      <c r="E326" s="11" t="n"/>
      <c r="M326" s="7">
        <f>IF($C326="","",L326*U326/100)</f>
        <v/>
      </c>
      <c r="N326" s="7" t="n"/>
      <c r="T326" s="7" t="n"/>
      <c r="U326" s="7">
        <f>IF($C326="","",S326*T326)</f>
        <v/>
      </c>
      <c r="X326">
        <f>IF($C326="","",IF($AM326=1,0,IF($AL326=1,Settings!$C$6,Settings!$C$7))*100)</f>
        <v/>
      </c>
      <c r="AB326" s="7" t="n"/>
      <c r="AE326" s="11" t="n"/>
      <c r="AG326" s="7">
        <f>IF($C326="","",U326*X326/100)</f>
        <v/>
      </c>
      <c r="AH326" s="7">
        <f>IF($C326="","",U326-AG326)</f>
        <v/>
      </c>
      <c r="AI326" s="7">
        <f>IF($C326="","",AH326-M326)</f>
        <v/>
      </c>
      <c r="AJ326">
        <f>IF($C326="","",IF(COUNTIF($C$2:$C326,$C326)=1,1,0))</f>
        <v/>
      </c>
      <c r="AK326">
        <f>IF($AJ326=1,SUMPRODUCT(--($AN$2:$AN$4001&lt;$AN326))+1,"")</f>
        <v/>
      </c>
      <c r="AL326">
        <f>IF($C326="","",IF(OR($Q326=TRUE(),$Q326="TRUE"),1,0))</f>
        <v/>
      </c>
      <c r="AM326">
        <f>IF($C326="","",IF($W326="Yes",1,0))</f>
        <v/>
      </c>
      <c r="AN326">
        <f>IF($AJ326=1,IFERROR(IF(VALUE($C326)&lt;100000000,VALUE($C326),1000000000),IFERROR(IF(VALUE(MID($C326,2,20))&lt;100000000,VALUE(MID($C326,2,20)),1000000000),1000000000))+ROW()/100000,"")</f>
        <v/>
      </c>
    </row>
    <row r="327">
      <c r="E327" s="11" t="n"/>
      <c r="M327" s="7">
        <f>IF($C327="","",L327*U327/100)</f>
        <v/>
      </c>
      <c r="N327" s="7" t="n"/>
      <c r="T327" s="7" t="n"/>
      <c r="U327" s="7">
        <f>IF($C327="","",S327*T327)</f>
        <v/>
      </c>
      <c r="X327">
        <f>IF($C327="","",IF($AM327=1,0,IF($AL327=1,Settings!$C$6,Settings!$C$7))*100)</f>
        <v/>
      </c>
      <c r="AB327" s="7" t="n"/>
      <c r="AE327" s="11" t="n"/>
      <c r="AG327" s="7">
        <f>IF($C327="","",U327*X327/100)</f>
        <v/>
      </c>
      <c r="AH327" s="7">
        <f>IF($C327="","",U327-AG327)</f>
        <v/>
      </c>
      <c r="AI327" s="7">
        <f>IF($C327="","",AH327-M327)</f>
        <v/>
      </c>
      <c r="AJ327">
        <f>IF($C327="","",IF(COUNTIF($C$2:$C327,$C327)=1,1,0))</f>
        <v/>
      </c>
      <c r="AK327">
        <f>IF($AJ327=1,SUMPRODUCT(--($AN$2:$AN$4001&lt;$AN327))+1,"")</f>
        <v/>
      </c>
      <c r="AL327">
        <f>IF($C327="","",IF(OR($Q327=TRUE(),$Q327="TRUE"),1,0))</f>
        <v/>
      </c>
      <c r="AM327">
        <f>IF($C327="","",IF($W327="Yes",1,0))</f>
        <v/>
      </c>
      <c r="AN327">
        <f>IF($AJ327=1,IFERROR(IF(VALUE($C327)&lt;100000000,VALUE($C327),1000000000),IFERROR(IF(VALUE(MID($C327,2,20))&lt;100000000,VALUE(MID($C327,2,20)),1000000000),1000000000))+ROW()/100000,"")</f>
        <v/>
      </c>
    </row>
    <row r="328">
      <c r="E328" s="11" t="n"/>
      <c r="M328" s="7">
        <f>IF($C328="","",L328*U328/100)</f>
        <v/>
      </c>
      <c r="N328" s="7" t="n"/>
      <c r="T328" s="7" t="n"/>
      <c r="U328" s="7">
        <f>IF($C328="","",S328*T328)</f>
        <v/>
      </c>
      <c r="X328">
        <f>IF($C328="","",IF($AM328=1,0,IF($AL328=1,Settings!$C$6,Settings!$C$7))*100)</f>
        <v/>
      </c>
      <c r="AB328" s="7" t="n"/>
      <c r="AE328" s="11" t="n"/>
      <c r="AG328" s="7">
        <f>IF($C328="","",U328*X328/100)</f>
        <v/>
      </c>
      <c r="AH328" s="7">
        <f>IF($C328="","",U328-AG328)</f>
        <v/>
      </c>
      <c r="AI328" s="7">
        <f>IF($C328="","",AH328-M328)</f>
        <v/>
      </c>
      <c r="AJ328">
        <f>IF($C328="","",IF(COUNTIF($C$2:$C328,$C328)=1,1,0))</f>
        <v/>
      </c>
      <c r="AK328">
        <f>IF($AJ328=1,SUMPRODUCT(--($AN$2:$AN$4001&lt;$AN328))+1,"")</f>
        <v/>
      </c>
      <c r="AL328">
        <f>IF($C328="","",IF(OR($Q328=TRUE(),$Q328="TRUE"),1,0))</f>
        <v/>
      </c>
      <c r="AM328">
        <f>IF($C328="","",IF($W328="Yes",1,0))</f>
        <v/>
      </c>
      <c r="AN328">
        <f>IF($AJ328=1,IFERROR(IF(VALUE($C328)&lt;100000000,VALUE($C328),1000000000),IFERROR(IF(VALUE(MID($C328,2,20))&lt;100000000,VALUE(MID($C328,2,20)),1000000000),1000000000))+ROW()/100000,"")</f>
        <v/>
      </c>
    </row>
    <row r="329">
      <c r="E329" s="11" t="n"/>
      <c r="M329" s="7">
        <f>IF($C329="","",L329*U329/100)</f>
        <v/>
      </c>
      <c r="N329" s="7" t="n"/>
      <c r="T329" s="7" t="n"/>
      <c r="U329" s="7">
        <f>IF($C329="","",S329*T329)</f>
        <v/>
      </c>
      <c r="X329">
        <f>IF($C329="","",IF($AM329=1,0,IF($AL329=1,Settings!$C$6,Settings!$C$7))*100)</f>
        <v/>
      </c>
      <c r="AB329" s="7" t="n"/>
      <c r="AE329" s="11" t="n"/>
      <c r="AG329" s="7">
        <f>IF($C329="","",U329*X329/100)</f>
        <v/>
      </c>
      <c r="AH329" s="7">
        <f>IF($C329="","",U329-AG329)</f>
        <v/>
      </c>
      <c r="AI329" s="7">
        <f>IF($C329="","",AH329-M329)</f>
        <v/>
      </c>
      <c r="AJ329">
        <f>IF($C329="","",IF(COUNTIF($C$2:$C329,$C329)=1,1,0))</f>
        <v/>
      </c>
      <c r="AK329">
        <f>IF($AJ329=1,SUMPRODUCT(--($AN$2:$AN$4001&lt;$AN329))+1,"")</f>
        <v/>
      </c>
      <c r="AL329">
        <f>IF($C329="","",IF(OR($Q329=TRUE(),$Q329="TRUE"),1,0))</f>
        <v/>
      </c>
      <c r="AM329">
        <f>IF($C329="","",IF($W329="Yes",1,0))</f>
        <v/>
      </c>
      <c r="AN329">
        <f>IF($AJ329=1,IFERROR(IF(VALUE($C329)&lt;100000000,VALUE($C329),1000000000),IFERROR(IF(VALUE(MID($C329,2,20))&lt;100000000,VALUE(MID($C329,2,20)),1000000000),1000000000))+ROW()/100000,"")</f>
        <v/>
      </c>
    </row>
    <row r="330">
      <c r="E330" s="11" t="n"/>
      <c r="M330" s="7">
        <f>IF($C330="","",L330*U330/100)</f>
        <v/>
      </c>
      <c r="N330" s="7" t="n"/>
      <c r="T330" s="7" t="n"/>
      <c r="U330" s="7">
        <f>IF($C330="","",S330*T330)</f>
        <v/>
      </c>
      <c r="X330">
        <f>IF($C330="","",IF($AM330=1,0,IF($AL330=1,Settings!$C$6,Settings!$C$7))*100)</f>
        <v/>
      </c>
      <c r="AB330" s="7" t="n"/>
      <c r="AE330" s="11" t="n"/>
      <c r="AG330" s="7">
        <f>IF($C330="","",U330*X330/100)</f>
        <v/>
      </c>
      <c r="AH330" s="7">
        <f>IF($C330="","",U330-AG330)</f>
        <v/>
      </c>
      <c r="AI330" s="7">
        <f>IF($C330="","",AH330-M330)</f>
        <v/>
      </c>
      <c r="AJ330">
        <f>IF($C330="","",IF(COUNTIF($C$2:$C330,$C330)=1,1,0))</f>
        <v/>
      </c>
      <c r="AK330">
        <f>IF($AJ330=1,SUMPRODUCT(--($AN$2:$AN$4001&lt;$AN330))+1,"")</f>
        <v/>
      </c>
      <c r="AL330">
        <f>IF($C330="","",IF(OR($Q330=TRUE(),$Q330="TRUE"),1,0))</f>
        <v/>
      </c>
      <c r="AM330">
        <f>IF($C330="","",IF($W330="Yes",1,0))</f>
        <v/>
      </c>
      <c r="AN330">
        <f>IF($AJ330=1,IFERROR(IF(VALUE($C330)&lt;100000000,VALUE($C330),1000000000),IFERROR(IF(VALUE(MID($C330,2,20))&lt;100000000,VALUE(MID($C330,2,20)),1000000000),1000000000))+ROW()/100000,"")</f>
        <v/>
      </c>
    </row>
    <row r="331">
      <c r="E331" s="11" t="n"/>
      <c r="M331" s="7">
        <f>IF($C331="","",L331*U331/100)</f>
        <v/>
      </c>
      <c r="N331" s="7" t="n"/>
      <c r="T331" s="7" t="n"/>
      <c r="U331" s="7">
        <f>IF($C331="","",S331*T331)</f>
        <v/>
      </c>
      <c r="X331">
        <f>IF($C331="","",IF($AM331=1,0,IF($AL331=1,Settings!$C$6,Settings!$C$7))*100)</f>
        <v/>
      </c>
      <c r="AB331" s="7" t="n"/>
      <c r="AE331" s="11" t="n"/>
      <c r="AG331" s="7">
        <f>IF($C331="","",U331*X331/100)</f>
        <v/>
      </c>
      <c r="AH331" s="7">
        <f>IF($C331="","",U331-AG331)</f>
        <v/>
      </c>
      <c r="AI331" s="7">
        <f>IF($C331="","",AH331-M331)</f>
        <v/>
      </c>
      <c r="AJ331">
        <f>IF($C331="","",IF(COUNTIF($C$2:$C331,$C331)=1,1,0))</f>
        <v/>
      </c>
      <c r="AK331">
        <f>IF($AJ331=1,SUMPRODUCT(--($AN$2:$AN$4001&lt;$AN331))+1,"")</f>
        <v/>
      </c>
      <c r="AL331">
        <f>IF($C331="","",IF(OR($Q331=TRUE(),$Q331="TRUE"),1,0))</f>
        <v/>
      </c>
      <c r="AM331">
        <f>IF($C331="","",IF($W331="Yes",1,0))</f>
        <v/>
      </c>
      <c r="AN331">
        <f>IF($AJ331=1,IFERROR(IF(VALUE($C331)&lt;100000000,VALUE($C331),1000000000),IFERROR(IF(VALUE(MID($C331,2,20))&lt;100000000,VALUE(MID($C331,2,20)),1000000000),1000000000))+ROW()/100000,"")</f>
        <v/>
      </c>
    </row>
    <row r="332">
      <c r="E332" s="11" t="n"/>
      <c r="M332" s="7">
        <f>IF($C332="","",L332*U332/100)</f>
        <v/>
      </c>
      <c r="N332" s="7" t="n"/>
      <c r="T332" s="7" t="n"/>
      <c r="U332" s="7">
        <f>IF($C332="","",S332*T332)</f>
        <v/>
      </c>
      <c r="X332">
        <f>IF($C332="","",IF($AM332=1,0,IF($AL332=1,Settings!$C$6,Settings!$C$7))*100)</f>
        <v/>
      </c>
      <c r="AB332" s="7" t="n"/>
      <c r="AE332" s="11" t="n"/>
      <c r="AG332" s="7">
        <f>IF($C332="","",U332*X332/100)</f>
        <v/>
      </c>
      <c r="AH332" s="7">
        <f>IF($C332="","",U332-AG332)</f>
        <v/>
      </c>
      <c r="AI332" s="7">
        <f>IF($C332="","",AH332-M332)</f>
        <v/>
      </c>
      <c r="AJ332">
        <f>IF($C332="","",IF(COUNTIF($C$2:$C332,$C332)=1,1,0))</f>
        <v/>
      </c>
      <c r="AK332">
        <f>IF($AJ332=1,SUMPRODUCT(--($AN$2:$AN$4001&lt;$AN332))+1,"")</f>
        <v/>
      </c>
      <c r="AL332">
        <f>IF($C332="","",IF(OR($Q332=TRUE(),$Q332="TRUE"),1,0))</f>
        <v/>
      </c>
      <c r="AM332">
        <f>IF($C332="","",IF($W332="Yes",1,0))</f>
        <v/>
      </c>
      <c r="AN332">
        <f>IF($AJ332=1,IFERROR(IF(VALUE($C332)&lt;100000000,VALUE($C332),1000000000),IFERROR(IF(VALUE(MID($C332,2,20))&lt;100000000,VALUE(MID($C332,2,20)),1000000000),1000000000))+ROW()/100000,"")</f>
        <v/>
      </c>
    </row>
    <row r="333">
      <c r="E333" s="11" t="n"/>
      <c r="M333" s="7">
        <f>IF($C333="","",L333*U333/100)</f>
        <v/>
      </c>
      <c r="N333" s="7" t="n"/>
      <c r="T333" s="7" t="n"/>
      <c r="U333" s="7">
        <f>IF($C333="","",S333*T333)</f>
        <v/>
      </c>
      <c r="X333">
        <f>IF($C333="","",IF($AM333=1,0,IF($AL333=1,Settings!$C$6,Settings!$C$7))*100)</f>
        <v/>
      </c>
      <c r="AB333" s="7" t="n"/>
      <c r="AE333" s="11" t="n"/>
      <c r="AG333" s="7">
        <f>IF($C333="","",U333*X333/100)</f>
        <v/>
      </c>
      <c r="AH333" s="7">
        <f>IF($C333="","",U333-AG333)</f>
        <v/>
      </c>
      <c r="AI333" s="7">
        <f>IF($C333="","",AH333-M333)</f>
        <v/>
      </c>
      <c r="AJ333">
        <f>IF($C333="","",IF(COUNTIF($C$2:$C333,$C333)=1,1,0))</f>
        <v/>
      </c>
      <c r="AK333">
        <f>IF($AJ333=1,SUMPRODUCT(--($AN$2:$AN$4001&lt;$AN333))+1,"")</f>
        <v/>
      </c>
      <c r="AL333">
        <f>IF($C333="","",IF(OR($Q333=TRUE(),$Q333="TRUE"),1,0))</f>
        <v/>
      </c>
      <c r="AM333">
        <f>IF($C333="","",IF($W333="Yes",1,0))</f>
        <v/>
      </c>
      <c r="AN333">
        <f>IF($AJ333=1,IFERROR(IF(VALUE($C333)&lt;100000000,VALUE($C333),1000000000),IFERROR(IF(VALUE(MID($C333,2,20))&lt;100000000,VALUE(MID($C333,2,20)),1000000000),1000000000))+ROW()/100000,"")</f>
        <v/>
      </c>
    </row>
    <row r="334">
      <c r="E334" s="11" t="n"/>
      <c r="M334" s="7">
        <f>IF($C334="","",L334*U334/100)</f>
        <v/>
      </c>
      <c r="N334" s="7" t="n"/>
      <c r="T334" s="7" t="n"/>
      <c r="U334" s="7">
        <f>IF($C334="","",S334*T334)</f>
        <v/>
      </c>
      <c r="X334">
        <f>IF($C334="","",IF($AM334=1,0,IF($AL334=1,Settings!$C$6,Settings!$C$7))*100)</f>
        <v/>
      </c>
      <c r="AB334" s="7" t="n"/>
      <c r="AE334" s="11" t="n"/>
      <c r="AG334" s="7">
        <f>IF($C334="","",U334*X334/100)</f>
        <v/>
      </c>
      <c r="AH334" s="7">
        <f>IF($C334="","",U334-AG334)</f>
        <v/>
      </c>
      <c r="AI334" s="7">
        <f>IF($C334="","",AH334-M334)</f>
        <v/>
      </c>
      <c r="AJ334">
        <f>IF($C334="","",IF(COUNTIF($C$2:$C334,$C334)=1,1,0))</f>
        <v/>
      </c>
      <c r="AK334">
        <f>IF($AJ334=1,SUMPRODUCT(--($AN$2:$AN$4001&lt;$AN334))+1,"")</f>
        <v/>
      </c>
      <c r="AL334">
        <f>IF($C334="","",IF(OR($Q334=TRUE(),$Q334="TRUE"),1,0))</f>
        <v/>
      </c>
      <c r="AM334">
        <f>IF($C334="","",IF($W334="Yes",1,0))</f>
        <v/>
      </c>
      <c r="AN334">
        <f>IF($AJ334=1,IFERROR(IF(VALUE($C334)&lt;100000000,VALUE($C334),1000000000),IFERROR(IF(VALUE(MID($C334,2,20))&lt;100000000,VALUE(MID($C334,2,20)),1000000000),1000000000))+ROW()/100000,"")</f>
        <v/>
      </c>
    </row>
    <row r="335">
      <c r="E335" s="11" t="n"/>
      <c r="M335" s="7">
        <f>IF($C335="","",L335*U335/100)</f>
        <v/>
      </c>
      <c r="N335" s="7" t="n"/>
      <c r="T335" s="7" t="n"/>
      <c r="U335" s="7">
        <f>IF($C335="","",S335*T335)</f>
        <v/>
      </c>
      <c r="X335">
        <f>IF($C335="","",IF($AM335=1,0,IF($AL335=1,Settings!$C$6,Settings!$C$7))*100)</f>
        <v/>
      </c>
      <c r="AB335" s="7" t="n"/>
      <c r="AE335" s="11" t="n"/>
      <c r="AG335" s="7">
        <f>IF($C335="","",U335*X335/100)</f>
        <v/>
      </c>
      <c r="AH335" s="7">
        <f>IF($C335="","",U335-AG335)</f>
        <v/>
      </c>
      <c r="AI335" s="7">
        <f>IF($C335="","",AH335-M335)</f>
        <v/>
      </c>
      <c r="AJ335">
        <f>IF($C335="","",IF(COUNTIF($C$2:$C335,$C335)=1,1,0))</f>
        <v/>
      </c>
      <c r="AK335">
        <f>IF($AJ335=1,SUMPRODUCT(--($AN$2:$AN$4001&lt;$AN335))+1,"")</f>
        <v/>
      </c>
      <c r="AL335">
        <f>IF($C335="","",IF(OR($Q335=TRUE(),$Q335="TRUE"),1,0))</f>
        <v/>
      </c>
      <c r="AM335">
        <f>IF($C335="","",IF($W335="Yes",1,0))</f>
        <v/>
      </c>
      <c r="AN335">
        <f>IF($AJ335=1,IFERROR(IF(VALUE($C335)&lt;100000000,VALUE($C335),1000000000),IFERROR(IF(VALUE(MID($C335,2,20))&lt;100000000,VALUE(MID($C335,2,20)),1000000000),1000000000))+ROW()/100000,"")</f>
        <v/>
      </c>
    </row>
    <row r="336">
      <c r="E336" s="11" t="n"/>
      <c r="M336" s="7">
        <f>IF($C336="","",L336*U336/100)</f>
        <v/>
      </c>
      <c r="N336" s="7" t="n"/>
      <c r="T336" s="7" t="n"/>
      <c r="U336" s="7">
        <f>IF($C336="","",S336*T336)</f>
        <v/>
      </c>
      <c r="X336">
        <f>IF($C336="","",IF($AM336=1,0,IF($AL336=1,Settings!$C$6,Settings!$C$7))*100)</f>
        <v/>
      </c>
      <c r="AB336" s="7" t="n"/>
      <c r="AE336" s="11" t="n"/>
      <c r="AG336" s="7">
        <f>IF($C336="","",U336*X336/100)</f>
        <v/>
      </c>
      <c r="AH336" s="7">
        <f>IF($C336="","",U336-AG336)</f>
        <v/>
      </c>
      <c r="AI336" s="7">
        <f>IF($C336="","",AH336-M336)</f>
        <v/>
      </c>
      <c r="AJ336">
        <f>IF($C336="","",IF(COUNTIF($C$2:$C336,$C336)=1,1,0))</f>
        <v/>
      </c>
      <c r="AK336">
        <f>IF($AJ336=1,SUMPRODUCT(--($AN$2:$AN$4001&lt;$AN336))+1,"")</f>
        <v/>
      </c>
      <c r="AL336">
        <f>IF($C336="","",IF(OR($Q336=TRUE(),$Q336="TRUE"),1,0))</f>
        <v/>
      </c>
      <c r="AM336">
        <f>IF($C336="","",IF($W336="Yes",1,0))</f>
        <v/>
      </c>
      <c r="AN336">
        <f>IF($AJ336=1,IFERROR(IF(VALUE($C336)&lt;100000000,VALUE($C336),1000000000),IFERROR(IF(VALUE(MID($C336,2,20))&lt;100000000,VALUE(MID($C336,2,20)),1000000000),1000000000))+ROW()/100000,"")</f>
        <v/>
      </c>
    </row>
    <row r="337">
      <c r="E337" s="11" t="n"/>
      <c r="M337" s="7">
        <f>IF($C337="","",L337*U337/100)</f>
        <v/>
      </c>
      <c r="N337" s="7" t="n"/>
      <c r="T337" s="7" t="n"/>
      <c r="U337" s="7">
        <f>IF($C337="","",S337*T337)</f>
        <v/>
      </c>
      <c r="X337">
        <f>IF($C337="","",IF($AM337=1,0,IF($AL337=1,Settings!$C$6,Settings!$C$7))*100)</f>
        <v/>
      </c>
      <c r="AB337" s="7" t="n"/>
      <c r="AE337" s="11" t="n"/>
      <c r="AG337" s="7">
        <f>IF($C337="","",U337*X337/100)</f>
        <v/>
      </c>
      <c r="AH337" s="7">
        <f>IF($C337="","",U337-AG337)</f>
        <v/>
      </c>
      <c r="AI337" s="7">
        <f>IF($C337="","",AH337-M337)</f>
        <v/>
      </c>
      <c r="AJ337">
        <f>IF($C337="","",IF(COUNTIF($C$2:$C337,$C337)=1,1,0))</f>
        <v/>
      </c>
      <c r="AK337">
        <f>IF($AJ337=1,SUMPRODUCT(--($AN$2:$AN$4001&lt;$AN337))+1,"")</f>
        <v/>
      </c>
      <c r="AL337">
        <f>IF($C337="","",IF(OR($Q337=TRUE(),$Q337="TRUE"),1,0))</f>
        <v/>
      </c>
      <c r="AM337">
        <f>IF($C337="","",IF($W337="Yes",1,0))</f>
        <v/>
      </c>
      <c r="AN337">
        <f>IF($AJ337=1,IFERROR(IF(VALUE($C337)&lt;100000000,VALUE($C337),1000000000),IFERROR(IF(VALUE(MID($C337,2,20))&lt;100000000,VALUE(MID($C337,2,20)),1000000000),1000000000))+ROW()/100000,"")</f>
        <v/>
      </c>
    </row>
    <row r="338">
      <c r="E338" s="11" t="n"/>
      <c r="M338" s="7">
        <f>IF($C338="","",L338*U338/100)</f>
        <v/>
      </c>
      <c r="N338" s="7" t="n"/>
      <c r="T338" s="7" t="n"/>
      <c r="U338" s="7">
        <f>IF($C338="","",S338*T338)</f>
        <v/>
      </c>
      <c r="X338">
        <f>IF($C338="","",IF($AM338=1,0,IF($AL338=1,Settings!$C$6,Settings!$C$7))*100)</f>
        <v/>
      </c>
      <c r="AB338" s="7" t="n"/>
      <c r="AE338" s="11" t="n"/>
      <c r="AG338" s="7">
        <f>IF($C338="","",U338*X338/100)</f>
        <v/>
      </c>
      <c r="AH338" s="7">
        <f>IF($C338="","",U338-AG338)</f>
        <v/>
      </c>
      <c r="AI338" s="7">
        <f>IF($C338="","",AH338-M338)</f>
        <v/>
      </c>
      <c r="AJ338">
        <f>IF($C338="","",IF(COUNTIF($C$2:$C338,$C338)=1,1,0))</f>
        <v/>
      </c>
      <c r="AK338">
        <f>IF($AJ338=1,SUMPRODUCT(--($AN$2:$AN$4001&lt;$AN338))+1,"")</f>
        <v/>
      </c>
      <c r="AL338">
        <f>IF($C338="","",IF(OR($Q338=TRUE(),$Q338="TRUE"),1,0))</f>
        <v/>
      </c>
      <c r="AM338">
        <f>IF($C338="","",IF($W338="Yes",1,0))</f>
        <v/>
      </c>
      <c r="AN338">
        <f>IF($AJ338=1,IFERROR(IF(VALUE($C338)&lt;100000000,VALUE($C338),1000000000),IFERROR(IF(VALUE(MID($C338,2,20))&lt;100000000,VALUE(MID($C338,2,20)),1000000000),1000000000))+ROW()/100000,"")</f>
        <v/>
      </c>
    </row>
    <row r="339">
      <c r="E339" s="11" t="n"/>
      <c r="M339" s="7">
        <f>IF($C339="","",L339*U339/100)</f>
        <v/>
      </c>
      <c r="N339" s="7" t="n"/>
      <c r="T339" s="7" t="n"/>
      <c r="U339" s="7">
        <f>IF($C339="","",S339*T339)</f>
        <v/>
      </c>
      <c r="X339">
        <f>IF($C339="","",IF($AM339=1,0,IF($AL339=1,Settings!$C$6,Settings!$C$7))*100)</f>
        <v/>
      </c>
      <c r="AB339" s="7" t="n"/>
      <c r="AE339" s="11" t="n"/>
      <c r="AG339" s="7">
        <f>IF($C339="","",U339*X339/100)</f>
        <v/>
      </c>
      <c r="AH339" s="7">
        <f>IF($C339="","",U339-AG339)</f>
        <v/>
      </c>
      <c r="AI339" s="7">
        <f>IF($C339="","",AH339-M339)</f>
        <v/>
      </c>
      <c r="AJ339">
        <f>IF($C339="","",IF(COUNTIF($C$2:$C339,$C339)=1,1,0))</f>
        <v/>
      </c>
      <c r="AK339">
        <f>IF($AJ339=1,SUMPRODUCT(--($AN$2:$AN$4001&lt;$AN339))+1,"")</f>
        <v/>
      </c>
      <c r="AL339">
        <f>IF($C339="","",IF(OR($Q339=TRUE(),$Q339="TRUE"),1,0))</f>
        <v/>
      </c>
      <c r="AM339">
        <f>IF($C339="","",IF($W339="Yes",1,0))</f>
        <v/>
      </c>
      <c r="AN339">
        <f>IF($AJ339=1,IFERROR(IF(VALUE($C339)&lt;100000000,VALUE($C339),1000000000),IFERROR(IF(VALUE(MID($C339,2,20))&lt;100000000,VALUE(MID($C339,2,20)),1000000000),1000000000))+ROW()/100000,"")</f>
        <v/>
      </c>
    </row>
    <row r="340">
      <c r="E340" s="11" t="n"/>
      <c r="M340" s="7">
        <f>IF($C340="","",L340*U340/100)</f>
        <v/>
      </c>
      <c r="N340" s="7" t="n"/>
      <c r="T340" s="7" t="n"/>
      <c r="U340" s="7">
        <f>IF($C340="","",S340*T340)</f>
        <v/>
      </c>
      <c r="X340">
        <f>IF($C340="","",IF($AM340=1,0,IF($AL340=1,Settings!$C$6,Settings!$C$7))*100)</f>
        <v/>
      </c>
      <c r="AB340" s="7" t="n"/>
      <c r="AE340" s="11" t="n"/>
      <c r="AG340" s="7">
        <f>IF($C340="","",U340*X340/100)</f>
        <v/>
      </c>
      <c r="AH340" s="7">
        <f>IF($C340="","",U340-AG340)</f>
        <v/>
      </c>
      <c r="AI340" s="7">
        <f>IF($C340="","",AH340-M340)</f>
        <v/>
      </c>
      <c r="AJ340">
        <f>IF($C340="","",IF(COUNTIF($C$2:$C340,$C340)=1,1,0))</f>
        <v/>
      </c>
      <c r="AK340">
        <f>IF($AJ340=1,SUMPRODUCT(--($AN$2:$AN$4001&lt;$AN340))+1,"")</f>
        <v/>
      </c>
      <c r="AL340">
        <f>IF($C340="","",IF(OR($Q340=TRUE(),$Q340="TRUE"),1,0))</f>
        <v/>
      </c>
      <c r="AM340">
        <f>IF($C340="","",IF($W340="Yes",1,0))</f>
        <v/>
      </c>
      <c r="AN340">
        <f>IF($AJ340=1,IFERROR(IF(VALUE($C340)&lt;100000000,VALUE($C340),1000000000),IFERROR(IF(VALUE(MID($C340,2,20))&lt;100000000,VALUE(MID($C340,2,20)),1000000000),1000000000))+ROW()/100000,"")</f>
        <v/>
      </c>
    </row>
    <row r="341">
      <c r="E341" s="11" t="n"/>
      <c r="M341" s="7">
        <f>IF($C341="","",L341*U341/100)</f>
        <v/>
      </c>
      <c r="N341" s="7" t="n"/>
      <c r="T341" s="7" t="n"/>
      <c r="U341" s="7">
        <f>IF($C341="","",S341*T341)</f>
        <v/>
      </c>
      <c r="X341">
        <f>IF($C341="","",IF($AM341=1,0,IF($AL341=1,Settings!$C$6,Settings!$C$7))*100)</f>
        <v/>
      </c>
      <c r="AB341" s="7" t="n"/>
      <c r="AE341" s="11" t="n"/>
      <c r="AG341" s="7">
        <f>IF($C341="","",U341*X341/100)</f>
        <v/>
      </c>
      <c r="AH341" s="7">
        <f>IF($C341="","",U341-AG341)</f>
        <v/>
      </c>
      <c r="AI341" s="7">
        <f>IF($C341="","",AH341-M341)</f>
        <v/>
      </c>
      <c r="AJ341">
        <f>IF($C341="","",IF(COUNTIF($C$2:$C341,$C341)=1,1,0))</f>
        <v/>
      </c>
      <c r="AK341">
        <f>IF($AJ341=1,SUMPRODUCT(--($AN$2:$AN$4001&lt;$AN341))+1,"")</f>
        <v/>
      </c>
      <c r="AL341">
        <f>IF($C341="","",IF(OR($Q341=TRUE(),$Q341="TRUE"),1,0))</f>
        <v/>
      </c>
      <c r="AM341">
        <f>IF($C341="","",IF($W341="Yes",1,0))</f>
        <v/>
      </c>
      <c r="AN341">
        <f>IF($AJ341=1,IFERROR(IF(VALUE($C341)&lt;100000000,VALUE($C341),1000000000),IFERROR(IF(VALUE(MID($C341,2,20))&lt;100000000,VALUE(MID($C341,2,20)),1000000000),1000000000))+ROW()/100000,"")</f>
        <v/>
      </c>
    </row>
    <row r="342">
      <c r="E342" s="11" t="n"/>
      <c r="M342" s="7">
        <f>IF($C342="","",L342*U342/100)</f>
        <v/>
      </c>
      <c r="N342" s="7" t="n"/>
      <c r="T342" s="7" t="n"/>
      <c r="U342" s="7">
        <f>IF($C342="","",S342*T342)</f>
        <v/>
      </c>
      <c r="X342">
        <f>IF($C342="","",IF($AM342=1,0,IF($AL342=1,Settings!$C$6,Settings!$C$7))*100)</f>
        <v/>
      </c>
      <c r="AB342" s="7" t="n"/>
      <c r="AE342" s="11" t="n"/>
      <c r="AG342" s="7">
        <f>IF($C342="","",U342*X342/100)</f>
        <v/>
      </c>
      <c r="AH342" s="7">
        <f>IF($C342="","",U342-AG342)</f>
        <v/>
      </c>
      <c r="AI342" s="7">
        <f>IF($C342="","",AH342-M342)</f>
        <v/>
      </c>
      <c r="AJ342">
        <f>IF($C342="","",IF(COUNTIF($C$2:$C342,$C342)=1,1,0))</f>
        <v/>
      </c>
      <c r="AK342">
        <f>IF($AJ342=1,SUMPRODUCT(--($AN$2:$AN$4001&lt;$AN342))+1,"")</f>
        <v/>
      </c>
      <c r="AL342">
        <f>IF($C342="","",IF(OR($Q342=TRUE(),$Q342="TRUE"),1,0))</f>
        <v/>
      </c>
      <c r="AM342">
        <f>IF($C342="","",IF($W342="Yes",1,0))</f>
        <v/>
      </c>
      <c r="AN342">
        <f>IF($AJ342=1,IFERROR(IF(VALUE($C342)&lt;100000000,VALUE($C342),1000000000),IFERROR(IF(VALUE(MID($C342,2,20))&lt;100000000,VALUE(MID($C342,2,20)),1000000000),1000000000))+ROW()/100000,"")</f>
        <v/>
      </c>
    </row>
    <row r="343">
      <c r="E343" s="11" t="n"/>
      <c r="M343" s="7">
        <f>IF($C343="","",L343*U343/100)</f>
        <v/>
      </c>
      <c r="N343" s="7" t="n"/>
      <c r="T343" s="7" t="n"/>
      <c r="U343" s="7">
        <f>IF($C343="","",S343*T343)</f>
        <v/>
      </c>
      <c r="X343">
        <f>IF($C343="","",IF($AM343=1,0,IF($AL343=1,Settings!$C$6,Settings!$C$7))*100)</f>
        <v/>
      </c>
      <c r="AB343" s="7" t="n"/>
      <c r="AE343" s="11" t="n"/>
      <c r="AG343" s="7">
        <f>IF($C343="","",U343*X343/100)</f>
        <v/>
      </c>
      <c r="AH343" s="7">
        <f>IF($C343="","",U343-AG343)</f>
        <v/>
      </c>
      <c r="AI343" s="7">
        <f>IF($C343="","",AH343-M343)</f>
        <v/>
      </c>
      <c r="AJ343">
        <f>IF($C343="","",IF(COUNTIF($C$2:$C343,$C343)=1,1,0))</f>
        <v/>
      </c>
      <c r="AK343">
        <f>IF($AJ343=1,SUMPRODUCT(--($AN$2:$AN$4001&lt;$AN343))+1,"")</f>
        <v/>
      </c>
      <c r="AL343">
        <f>IF($C343="","",IF(OR($Q343=TRUE(),$Q343="TRUE"),1,0))</f>
        <v/>
      </c>
      <c r="AM343">
        <f>IF($C343="","",IF($W343="Yes",1,0))</f>
        <v/>
      </c>
      <c r="AN343">
        <f>IF($AJ343=1,IFERROR(IF(VALUE($C343)&lt;100000000,VALUE($C343),1000000000),IFERROR(IF(VALUE(MID($C343,2,20))&lt;100000000,VALUE(MID($C343,2,20)),1000000000),1000000000))+ROW()/100000,"")</f>
        <v/>
      </c>
    </row>
    <row r="344">
      <c r="E344" s="11" t="n"/>
      <c r="M344" s="7">
        <f>IF($C344="","",L344*U344/100)</f>
        <v/>
      </c>
      <c r="N344" s="7" t="n"/>
      <c r="T344" s="7" t="n"/>
      <c r="U344" s="7">
        <f>IF($C344="","",S344*T344)</f>
        <v/>
      </c>
      <c r="X344">
        <f>IF($C344="","",IF($AM344=1,0,IF($AL344=1,Settings!$C$6,Settings!$C$7))*100)</f>
        <v/>
      </c>
      <c r="AB344" s="7" t="n"/>
      <c r="AE344" s="11" t="n"/>
      <c r="AG344" s="7">
        <f>IF($C344="","",U344*X344/100)</f>
        <v/>
      </c>
      <c r="AH344" s="7">
        <f>IF($C344="","",U344-AG344)</f>
        <v/>
      </c>
      <c r="AI344" s="7">
        <f>IF($C344="","",AH344-M344)</f>
        <v/>
      </c>
      <c r="AJ344">
        <f>IF($C344="","",IF(COUNTIF($C$2:$C344,$C344)=1,1,0))</f>
        <v/>
      </c>
      <c r="AK344">
        <f>IF($AJ344=1,SUMPRODUCT(--($AN$2:$AN$4001&lt;$AN344))+1,"")</f>
        <v/>
      </c>
      <c r="AL344">
        <f>IF($C344="","",IF(OR($Q344=TRUE(),$Q344="TRUE"),1,0))</f>
        <v/>
      </c>
      <c r="AM344">
        <f>IF($C344="","",IF($W344="Yes",1,0))</f>
        <v/>
      </c>
      <c r="AN344">
        <f>IF($AJ344=1,IFERROR(IF(VALUE($C344)&lt;100000000,VALUE($C344),1000000000),IFERROR(IF(VALUE(MID($C344,2,20))&lt;100000000,VALUE(MID($C344,2,20)),1000000000),1000000000))+ROW()/100000,"")</f>
        <v/>
      </c>
    </row>
    <row r="345">
      <c r="E345" s="11" t="n"/>
      <c r="M345" s="7">
        <f>IF($C345="","",L345*U345/100)</f>
        <v/>
      </c>
      <c r="N345" s="7" t="n"/>
      <c r="T345" s="7" t="n"/>
      <c r="U345" s="7">
        <f>IF($C345="","",S345*T345)</f>
        <v/>
      </c>
      <c r="X345">
        <f>IF($C345="","",IF($AM345=1,0,IF($AL345=1,Settings!$C$6,Settings!$C$7))*100)</f>
        <v/>
      </c>
      <c r="AB345" s="7" t="n"/>
      <c r="AE345" s="11" t="n"/>
      <c r="AG345" s="7">
        <f>IF($C345="","",U345*X345/100)</f>
        <v/>
      </c>
      <c r="AH345" s="7">
        <f>IF($C345="","",U345-AG345)</f>
        <v/>
      </c>
      <c r="AI345" s="7">
        <f>IF($C345="","",AH345-M345)</f>
        <v/>
      </c>
      <c r="AJ345">
        <f>IF($C345="","",IF(COUNTIF($C$2:$C345,$C345)=1,1,0))</f>
        <v/>
      </c>
      <c r="AK345">
        <f>IF($AJ345=1,SUMPRODUCT(--($AN$2:$AN$4001&lt;$AN345))+1,"")</f>
        <v/>
      </c>
      <c r="AL345">
        <f>IF($C345="","",IF(OR($Q345=TRUE(),$Q345="TRUE"),1,0))</f>
        <v/>
      </c>
      <c r="AM345">
        <f>IF($C345="","",IF($W345="Yes",1,0))</f>
        <v/>
      </c>
      <c r="AN345">
        <f>IF($AJ345=1,IFERROR(IF(VALUE($C345)&lt;100000000,VALUE($C345),1000000000),IFERROR(IF(VALUE(MID($C345,2,20))&lt;100000000,VALUE(MID($C345,2,20)),1000000000),1000000000))+ROW()/100000,"")</f>
        <v/>
      </c>
    </row>
    <row r="346">
      <c r="E346" s="11" t="n"/>
      <c r="M346" s="7">
        <f>IF($C346="","",L346*U346/100)</f>
        <v/>
      </c>
      <c r="N346" s="7" t="n"/>
      <c r="T346" s="7" t="n"/>
      <c r="U346" s="7">
        <f>IF($C346="","",S346*T346)</f>
        <v/>
      </c>
      <c r="X346">
        <f>IF($C346="","",IF($AM346=1,0,IF($AL346=1,Settings!$C$6,Settings!$C$7))*100)</f>
        <v/>
      </c>
      <c r="AB346" s="7" t="n"/>
      <c r="AE346" s="11" t="n"/>
      <c r="AG346" s="7">
        <f>IF($C346="","",U346*X346/100)</f>
        <v/>
      </c>
      <c r="AH346" s="7">
        <f>IF($C346="","",U346-AG346)</f>
        <v/>
      </c>
      <c r="AI346" s="7">
        <f>IF($C346="","",AH346-M346)</f>
        <v/>
      </c>
      <c r="AJ346">
        <f>IF($C346="","",IF(COUNTIF($C$2:$C346,$C346)=1,1,0))</f>
        <v/>
      </c>
      <c r="AK346">
        <f>IF($AJ346=1,SUMPRODUCT(--($AN$2:$AN$4001&lt;$AN346))+1,"")</f>
        <v/>
      </c>
      <c r="AL346">
        <f>IF($C346="","",IF(OR($Q346=TRUE(),$Q346="TRUE"),1,0))</f>
        <v/>
      </c>
      <c r="AM346">
        <f>IF($C346="","",IF($W346="Yes",1,0))</f>
        <v/>
      </c>
      <c r="AN346">
        <f>IF($AJ346=1,IFERROR(IF(VALUE($C346)&lt;100000000,VALUE($C346),1000000000),IFERROR(IF(VALUE(MID($C346,2,20))&lt;100000000,VALUE(MID($C346,2,20)),1000000000),1000000000))+ROW()/100000,"")</f>
        <v/>
      </c>
    </row>
    <row r="347">
      <c r="E347" s="11" t="n"/>
      <c r="M347" s="7">
        <f>IF($C347="","",L347*U347/100)</f>
        <v/>
      </c>
      <c r="N347" s="7" t="n"/>
      <c r="T347" s="7" t="n"/>
      <c r="U347" s="7">
        <f>IF($C347="","",S347*T347)</f>
        <v/>
      </c>
      <c r="X347">
        <f>IF($C347="","",IF($AM347=1,0,IF($AL347=1,Settings!$C$6,Settings!$C$7))*100)</f>
        <v/>
      </c>
      <c r="AB347" s="7" t="n"/>
      <c r="AE347" s="11" t="n"/>
      <c r="AG347" s="7">
        <f>IF($C347="","",U347*X347/100)</f>
        <v/>
      </c>
      <c r="AH347" s="7">
        <f>IF($C347="","",U347-AG347)</f>
        <v/>
      </c>
      <c r="AI347" s="7">
        <f>IF($C347="","",AH347-M347)</f>
        <v/>
      </c>
      <c r="AJ347">
        <f>IF($C347="","",IF(COUNTIF($C$2:$C347,$C347)=1,1,0))</f>
        <v/>
      </c>
      <c r="AK347">
        <f>IF($AJ347=1,SUMPRODUCT(--($AN$2:$AN$4001&lt;$AN347))+1,"")</f>
        <v/>
      </c>
      <c r="AL347">
        <f>IF($C347="","",IF(OR($Q347=TRUE(),$Q347="TRUE"),1,0))</f>
        <v/>
      </c>
      <c r="AM347">
        <f>IF($C347="","",IF($W347="Yes",1,0))</f>
        <v/>
      </c>
      <c r="AN347">
        <f>IF($AJ347=1,IFERROR(IF(VALUE($C347)&lt;100000000,VALUE($C347),1000000000),IFERROR(IF(VALUE(MID($C347,2,20))&lt;100000000,VALUE(MID($C347,2,20)),1000000000),1000000000))+ROW()/100000,"")</f>
        <v/>
      </c>
    </row>
    <row r="348">
      <c r="E348" s="11" t="n"/>
      <c r="M348" s="7">
        <f>IF($C348="","",L348*U348/100)</f>
        <v/>
      </c>
      <c r="N348" s="7" t="n"/>
      <c r="T348" s="7" t="n"/>
      <c r="U348" s="7">
        <f>IF($C348="","",S348*T348)</f>
        <v/>
      </c>
      <c r="X348">
        <f>IF($C348="","",IF($AM348=1,0,IF($AL348=1,Settings!$C$6,Settings!$C$7))*100)</f>
        <v/>
      </c>
      <c r="AB348" s="7" t="n"/>
      <c r="AE348" s="11" t="n"/>
      <c r="AG348" s="7">
        <f>IF($C348="","",U348*X348/100)</f>
        <v/>
      </c>
      <c r="AH348" s="7">
        <f>IF($C348="","",U348-AG348)</f>
        <v/>
      </c>
      <c r="AI348" s="7">
        <f>IF($C348="","",AH348-M348)</f>
        <v/>
      </c>
      <c r="AJ348">
        <f>IF($C348="","",IF(COUNTIF($C$2:$C348,$C348)=1,1,0))</f>
        <v/>
      </c>
      <c r="AK348">
        <f>IF($AJ348=1,SUMPRODUCT(--($AN$2:$AN$4001&lt;$AN348))+1,"")</f>
        <v/>
      </c>
      <c r="AL348">
        <f>IF($C348="","",IF(OR($Q348=TRUE(),$Q348="TRUE"),1,0))</f>
        <v/>
      </c>
      <c r="AM348">
        <f>IF($C348="","",IF($W348="Yes",1,0))</f>
        <v/>
      </c>
      <c r="AN348">
        <f>IF($AJ348=1,IFERROR(IF(VALUE($C348)&lt;100000000,VALUE($C348),1000000000),IFERROR(IF(VALUE(MID($C348,2,20))&lt;100000000,VALUE(MID($C348,2,20)),1000000000),1000000000))+ROW()/100000,"")</f>
        <v/>
      </c>
    </row>
    <row r="349">
      <c r="E349" s="11" t="n"/>
      <c r="M349" s="7">
        <f>IF($C349="","",L349*U349/100)</f>
        <v/>
      </c>
      <c r="N349" s="7" t="n"/>
      <c r="T349" s="7" t="n"/>
      <c r="U349" s="7">
        <f>IF($C349="","",S349*T349)</f>
        <v/>
      </c>
      <c r="X349">
        <f>IF($C349="","",IF($AM349=1,0,IF($AL349=1,Settings!$C$6,Settings!$C$7))*100)</f>
        <v/>
      </c>
      <c r="AB349" s="7" t="n"/>
      <c r="AE349" s="11" t="n"/>
      <c r="AG349" s="7">
        <f>IF($C349="","",U349*X349/100)</f>
        <v/>
      </c>
      <c r="AH349" s="7">
        <f>IF($C349="","",U349-AG349)</f>
        <v/>
      </c>
      <c r="AI349" s="7">
        <f>IF($C349="","",AH349-M349)</f>
        <v/>
      </c>
      <c r="AJ349">
        <f>IF($C349="","",IF(COUNTIF($C$2:$C349,$C349)=1,1,0))</f>
        <v/>
      </c>
      <c r="AK349">
        <f>IF($AJ349=1,SUMPRODUCT(--($AN$2:$AN$4001&lt;$AN349))+1,"")</f>
        <v/>
      </c>
      <c r="AL349">
        <f>IF($C349="","",IF(OR($Q349=TRUE(),$Q349="TRUE"),1,0))</f>
        <v/>
      </c>
      <c r="AM349">
        <f>IF($C349="","",IF($W349="Yes",1,0))</f>
        <v/>
      </c>
      <c r="AN349">
        <f>IF($AJ349=1,IFERROR(IF(VALUE($C349)&lt;100000000,VALUE($C349),1000000000),IFERROR(IF(VALUE(MID($C349,2,20))&lt;100000000,VALUE(MID($C349,2,20)),1000000000),1000000000))+ROW()/100000,"")</f>
        <v/>
      </c>
    </row>
    <row r="350">
      <c r="E350" s="11" t="n"/>
      <c r="M350" s="7">
        <f>IF($C350="","",L350*U350/100)</f>
        <v/>
      </c>
      <c r="N350" s="7" t="n"/>
      <c r="T350" s="7" t="n"/>
      <c r="U350" s="7">
        <f>IF($C350="","",S350*T350)</f>
        <v/>
      </c>
      <c r="X350">
        <f>IF($C350="","",IF($AM350=1,0,IF($AL350=1,Settings!$C$6,Settings!$C$7))*100)</f>
        <v/>
      </c>
      <c r="AB350" s="7" t="n"/>
      <c r="AE350" s="11" t="n"/>
      <c r="AG350" s="7">
        <f>IF($C350="","",U350*X350/100)</f>
        <v/>
      </c>
      <c r="AH350" s="7">
        <f>IF($C350="","",U350-AG350)</f>
        <v/>
      </c>
      <c r="AI350" s="7">
        <f>IF($C350="","",AH350-M350)</f>
        <v/>
      </c>
      <c r="AJ350">
        <f>IF($C350="","",IF(COUNTIF($C$2:$C350,$C350)=1,1,0))</f>
        <v/>
      </c>
      <c r="AK350">
        <f>IF($AJ350=1,SUMPRODUCT(--($AN$2:$AN$4001&lt;$AN350))+1,"")</f>
        <v/>
      </c>
      <c r="AL350">
        <f>IF($C350="","",IF(OR($Q350=TRUE(),$Q350="TRUE"),1,0))</f>
        <v/>
      </c>
      <c r="AM350">
        <f>IF($C350="","",IF($W350="Yes",1,0))</f>
        <v/>
      </c>
      <c r="AN350">
        <f>IF($AJ350=1,IFERROR(IF(VALUE($C350)&lt;100000000,VALUE($C350),1000000000),IFERROR(IF(VALUE(MID($C350,2,20))&lt;100000000,VALUE(MID($C350,2,20)),1000000000),1000000000))+ROW()/100000,"")</f>
        <v/>
      </c>
    </row>
    <row r="351">
      <c r="E351" s="11" t="n"/>
      <c r="M351" s="7">
        <f>IF($C351="","",L351*U351/100)</f>
        <v/>
      </c>
      <c r="N351" s="7" t="n"/>
      <c r="T351" s="7" t="n"/>
      <c r="U351" s="7">
        <f>IF($C351="","",S351*T351)</f>
        <v/>
      </c>
      <c r="X351">
        <f>IF($C351="","",IF($AM351=1,0,IF($AL351=1,Settings!$C$6,Settings!$C$7))*100)</f>
        <v/>
      </c>
      <c r="AB351" s="7" t="n"/>
      <c r="AE351" s="11" t="n"/>
      <c r="AG351" s="7">
        <f>IF($C351="","",U351*X351/100)</f>
        <v/>
      </c>
      <c r="AH351" s="7">
        <f>IF($C351="","",U351-AG351)</f>
        <v/>
      </c>
      <c r="AI351" s="7">
        <f>IF($C351="","",AH351-M351)</f>
        <v/>
      </c>
      <c r="AJ351">
        <f>IF($C351="","",IF(COUNTIF($C$2:$C351,$C351)=1,1,0))</f>
        <v/>
      </c>
      <c r="AK351">
        <f>IF($AJ351=1,SUMPRODUCT(--($AN$2:$AN$4001&lt;$AN351))+1,"")</f>
        <v/>
      </c>
      <c r="AL351">
        <f>IF($C351="","",IF(OR($Q351=TRUE(),$Q351="TRUE"),1,0))</f>
        <v/>
      </c>
      <c r="AM351">
        <f>IF($C351="","",IF($W351="Yes",1,0))</f>
        <v/>
      </c>
      <c r="AN351">
        <f>IF($AJ351=1,IFERROR(IF(VALUE($C351)&lt;100000000,VALUE($C351),1000000000),IFERROR(IF(VALUE(MID($C351,2,20))&lt;100000000,VALUE(MID($C351,2,20)),1000000000),1000000000))+ROW()/100000,"")</f>
        <v/>
      </c>
    </row>
    <row r="352">
      <c r="E352" s="11" t="n"/>
      <c r="M352" s="7">
        <f>IF($C352="","",L352*U352/100)</f>
        <v/>
      </c>
      <c r="N352" s="7" t="n"/>
      <c r="T352" s="7" t="n"/>
      <c r="U352" s="7">
        <f>IF($C352="","",S352*T352)</f>
        <v/>
      </c>
      <c r="X352">
        <f>IF($C352="","",IF($AM352=1,0,IF($AL352=1,Settings!$C$6,Settings!$C$7))*100)</f>
        <v/>
      </c>
      <c r="AB352" s="7" t="n"/>
      <c r="AE352" s="11" t="n"/>
      <c r="AG352" s="7">
        <f>IF($C352="","",U352*X352/100)</f>
        <v/>
      </c>
      <c r="AH352" s="7">
        <f>IF($C352="","",U352-AG352)</f>
        <v/>
      </c>
      <c r="AI352" s="7">
        <f>IF($C352="","",AH352-M352)</f>
        <v/>
      </c>
      <c r="AJ352">
        <f>IF($C352="","",IF(COUNTIF($C$2:$C352,$C352)=1,1,0))</f>
        <v/>
      </c>
      <c r="AK352">
        <f>IF($AJ352=1,SUMPRODUCT(--($AN$2:$AN$4001&lt;$AN352))+1,"")</f>
        <v/>
      </c>
      <c r="AL352">
        <f>IF($C352="","",IF(OR($Q352=TRUE(),$Q352="TRUE"),1,0))</f>
        <v/>
      </c>
      <c r="AM352">
        <f>IF($C352="","",IF($W352="Yes",1,0))</f>
        <v/>
      </c>
      <c r="AN352">
        <f>IF($AJ352=1,IFERROR(IF(VALUE($C352)&lt;100000000,VALUE($C352),1000000000),IFERROR(IF(VALUE(MID($C352,2,20))&lt;100000000,VALUE(MID($C352,2,20)),1000000000),1000000000))+ROW()/100000,"")</f>
        <v/>
      </c>
    </row>
    <row r="353">
      <c r="E353" s="11" t="n"/>
      <c r="M353" s="7">
        <f>IF($C353="","",L353*U353/100)</f>
        <v/>
      </c>
      <c r="N353" s="7" t="n"/>
      <c r="T353" s="7" t="n"/>
      <c r="U353" s="7">
        <f>IF($C353="","",S353*T353)</f>
        <v/>
      </c>
      <c r="X353">
        <f>IF($C353="","",IF($AM353=1,0,IF($AL353=1,Settings!$C$6,Settings!$C$7))*100)</f>
        <v/>
      </c>
      <c r="AB353" s="7" t="n"/>
      <c r="AE353" s="11" t="n"/>
      <c r="AG353" s="7">
        <f>IF($C353="","",U353*X353/100)</f>
        <v/>
      </c>
      <c r="AH353" s="7">
        <f>IF($C353="","",U353-AG353)</f>
        <v/>
      </c>
      <c r="AI353" s="7">
        <f>IF($C353="","",AH353-M353)</f>
        <v/>
      </c>
      <c r="AJ353">
        <f>IF($C353="","",IF(COUNTIF($C$2:$C353,$C353)=1,1,0))</f>
        <v/>
      </c>
      <c r="AK353">
        <f>IF($AJ353=1,SUMPRODUCT(--($AN$2:$AN$4001&lt;$AN353))+1,"")</f>
        <v/>
      </c>
      <c r="AL353">
        <f>IF($C353="","",IF(OR($Q353=TRUE(),$Q353="TRUE"),1,0))</f>
        <v/>
      </c>
      <c r="AM353">
        <f>IF($C353="","",IF($W353="Yes",1,0))</f>
        <v/>
      </c>
      <c r="AN353">
        <f>IF($AJ353=1,IFERROR(IF(VALUE($C353)&lt;100000000,VALUE($C353),1000000000),IFERROR(IF(VALUE(MID($C353,2,20))&lt;100000000,VALUE(MID($C353,2,20)),1000000000),1000000000))+ROW()/100000,"")</f>
        <v/>
      </c>
    </row>
    <row r="354">
      <c r="E354" s="11" t="n"/>
      <c r="M354" s="7">
        <f>IF($C354="","",L354*U354/100)</f>
        <v/>
      </c>
      <c r="N354" s="7" t="n"/>
      <c r="T354" s="7" t="n"/>
      <c r="U354" s="7">
        <f>IF($C354="","",S354*T354)</f>
        <v/>
      </c>
      <c r="X354">
        <f>IF($C354="","",IF($AM354=1,0,IF($AL354=1,Settings!$C$6,Settings!$C$7))*100)</f>
        <v/>
      </c>
      <c r="AB354" s="7" t="n"/>
      <c r="AE354" s="11" t="n"/>
      <c r="AG354" s="7">
        <f>IF($C354="","",U354*X354/100)</f>
        <v/>
      </c>
      <c r="AH354" s="7">
        <f>IF($C354="","",U354-AG354)</f>
        <v/>
      </c>
      <c r="AI354" s="7">
        <f>IF($C354="","",AH354-M354)</f>
        <v/>
      </c>
      <c r="AJ354">
        <f>IF($C354="","",IF(COUNTIF($C$2:$C354,$C354)=1,1,0))</f>
        <v/>
      </c>
      <c r="AK354">
        <f>IF($AJ354=1,SUMPRODUCT(--($AN$2:$AN$4001&lt;$AN354))+1,"")</f>
        <v/>
      </c>
      <c r="AL354">
        <f>IF($C354="","",IF(OR($Q354=TRUE(),$Q354="TRUE"),1,0))</f>
        <v/>
      </c>
      <c r="AM354">
        <f>IF($C354="","",IF($W354="Yes",1,0))</f>
        <v/>
      </c>
      <c r="AN354">
        <f>IF($AJ354=1,IFERROR(IF(VALUE($C354)&lt;100000000,VALUE($C354),1000000000),IFERROR(IF(VALUE(MID($C354,2,20))&lt;100000000,VALUE(MID($C354,2,20)),1000000000),1000000000))+ROW()/100000,"")</f>
        <v/>
      </c>
    </row>
    <row r="355">
      <c r="E355" s="11" t="n"/>
      <c r="M355" s="7">
        <f>IF($C355="","",L355*U355/100)</f>
        <v/>
      </c>
      <c r="N355" s="7" t="n"/>
      <c r="T355" s="7" t="n"/>
      <c r="U355" s="7">
        <f>IF($C355="","",S355*T355)</f>
        <v/>
      </c>
      <c r="X355">
        <f>IF($C355="","",IF($AM355=1,0,IF($AL355=1,Settings!$C$6,Settings!$C$7))*100)</f>
        <v/>
      </c>
      <c r="AB355" s="7" t="n"/>
      <c r="AE355" s="11" t="n"/>
      <c r="AG355" s="7">
        <f>IF($C355="","",U355*X355/100)</f>
        <v/>
      </c>
      <c r="AH355" s="7">
        <f>IF($C355="","",U355-AG355)</f>
        <v/>
      </c>
      <c r="AI355" s="7">
        <f>IF($C355="","",AH355-M355)</f>
        <v/>
      </c>
      <c r="AJ355">
        <f>IF($C355="","",IF(COUNTIF($C$2:$C355,$C355)=1,1,0))</f>
        <v/>
      </c>
      <c r="AK355">
        <f>IF($AJ355=1,SUMPRODUCT(--($AN$2:$AN$4001&lt;$AN355))+1,"")</f>
        <v/>
      </c>
      <c r="AL355">
        <f>IF($C355="","",IF(OR($Q355=TRUE(),$Q355="TRUE"),1,0))</f>
        <v/>
      </c>
      <c r="AM355">
        <f>IF($C355="","",IF($W355="Yes",1,0))</f>
        <v/>
      </c>
      <c r="AN355">
        <f>IF($AJ355=1,IFERROR(IF(VALUE($C355)&lt;100000000,VALUE($C355),1000000000),IFERROR(IF(VALUE(MID($C355,2,20))&lt;100000000,VALUE(MID($C355,2,20)),1000000000),1000000000))+ROW()/100000,"")</f>
        <v/>
      </c>
    </row>
    <row r="356">
      <c r="E356" s="11" t="n"/>
      <c r="M356" s="7">
        <f>IF($C356="","",L356*U356/100)</f>
        <v/>
      </c>
      <c r="N356" s="7" t="n"/>
      <c r="T356" s="7" t="n"/>
      <c r="U356" s="7">
        <f>IF($C356="","",S356*T356)</f>
        <v/>
      </c>
      <c r="X356">
        <f>IF($C356="","",IF($AM356=1,0,IF($AL356=1,Settings!$C$6,Settings!$C$7))*100)</f>
        <v/>
      </c>
      <c r="AB356" s="7" t="n"/>
      <c r="AE356" s="11" t="n"/>
      <c r="AG356" s="7">
        <f>IF($C356="","",U356*X356/100)</f>
        <v/>
      </c>
      <c r="AH356" s="7">
        <f>IF($C356="","",U356-AG356)</f>
        <v/>
      </c>
      <c r="AI356" s="7">
        <f>IF($C356="","",AH356-M356)</f>
        <v/>
      </c>
      <c r="AJ356">
        <f>IF($C356="","",IF(COUNTIF($C$2:$C356,$C356)=1,1,0))</f>
        <v/>
      </c>
      <c r="AK356">
        <f>IF($AJ356=1,SUMPRODUCT(--($AN$2:$AN$4001&lt;$AN356))+1,"")</f>
        <v/>
      </c>
      <c r="AL356">
        <f>IF($C356="","",IF(OR($Q356=TRUE(),$Q356="TRUE"),1,0))</f>
        <v/>
      </c>
      <c r="AM356">
        <f>IF($C356="","",IF($W356="Yes",1,0))</f>
        <v/>
      </c>
      <c r="AN356">
        <f>IF($AJ356=1,IFERROR(IF(VALUE($C356)&lt;100000000,VALUE($C356),1000000000),IFERROR(IF(VALUE(MID($C356,2,20))&lt;100000000,VALUE(MID($C356,2,20)),1000000000),1000000000))+ROW()/100000,"")</f>
        <v/>
      </c>
    </row>
    <row r="357">
      <c r="E357" s="11" t="n"/>
      <c r="M357" s="7">
        <f>IF($C357="","",L357*U357/100)</f>
        <v/>
      </c>
      <c r="N357" s="7" t="n"/>
      <c r="T357" s="7" t="n"/>
      <c r="U357" s="7">
        <f>IF($C357="","",S357*T357)</f>
        <v/>
      </c>
      <c r="X357">
        <f>IF($C357="","",IF($AM357=1,0,IF($AL357=1,Settings!$C$6,Settings!$C$7))*100)</f>
        <v/>
      </c>
      <c r="AB357" s="7" t="n"/>
      <c r="AE357" s="11" t="n"/>
      <c r="AG357" s="7">
        <f>IF($C357="","",U357*X357/100)</f>
        <v/>
      </c>
      <c r="AH357" s="7">
        <f>IF($C357="","",U357-AG357)</f>
        <v/>
      </c>
      <c r="AI357" s="7">
        <f>IF($C357="","",AH357-M357)</f>
        <v/>
      </c>
      <c r="AJ357">
        <f>IF($C357="","",IF(COUNTIF($C$2:$C357,$C357)=1,1,0))</f>
        <v/>
      </c>
      <c r="AK357">
        <f>IF($AJ357=1,SUMPRODUCT(--($AN$2:$AN$4001&lt;$AN357))+1,"")</f>
        <v/>
      </c>
      <c r="AL357">
        <f>IF($C357="","",IF(OR($Q357=TRUE(),$Q357="TRUE"),1,0))</f>
        <v/>
      </c>
      <c r="AM357">
        <f>IF($C357="","",IF($W357="Yes",1,0))</f>
        <v/>
      </c>
      <c r="AN357">
        <f>IF($AJ357=1,IFERROR(IF(VALUE($C357)&lt;100000000,VALUE($C357),1000000000),IFERROR(IF(VALUE(MID($C357,2,20))&lt;100000000,VALUE(MID($C357,2,20)),1000000000),1000000000))+ROW()/100000,"")</f>
        <v/>
      </c>
    </row>
    <row r="358">
      <c r="E358" s="11" t="n"/>
      <c r="M358" s="7">
        <f>IF($C358="","",L358*U358/100)</f>
        <v/>
      </c>
      <c r="N358" s="7" t="n"/>
      <c r="T358" s="7" t="n"/>
      <c r="U358" s="7">
        <f>IF($C358="","",S358*T358)</f>
        <v/>
      </c>
      <c r="X358">
        <f>IF($C358="","",IF($AM358=1,0,IF($AL358=1,Settings!$C$6,Settings!$C$7))*100)</f>
        <v/>
      </c>
      <c r="AB358" s="7" t="n"/>
      <c r="AE358" s="11" t="n"/>
      <c r="AG358" s="7">
        <f>IF($C358="","",U358*X358/100)</f>
        <v/>
      </c>
      <c r="AH358" s="7">
        <f>IF($C358="","",U358-AG358)</f>
        <v/>
      </c>
      <c r="AI358" s="7">
        <f>IF($C358="","",AH358-M358)</f>
        <v/>
      </c>
      <c r="AJ358">
        <f>IF($C358="","",IF(COUNTIF($C$2:$C358,$C358)=1,1,0))</f>
        <v/>
      </c>
      <c r="AK358">
        <f>IF($AJ358=1,SUMPRODUCT(--($AN$2:$AN$4001&lt;$AN358))+1,"")</f>
        <v/>
      </c>
      <c r="AL358">
        <f>IF($C358="","",IF(OR($Q358=TRUE(),$Q358="TRUE"),1,0))</f>
        <v/>
      </c>
      <c r="AM358">
        <f>IF($C358="","",IF($W358="Yes",1,0))</f>
        <v/>
      </c>
      <c r="AN358">
        <f>IF($AJ358=1,IFERROR(IF(VALUE($C358)&lt;100000000,VALUE($C358),1000000000),IFERROR(IF(VALUE(MID($C358,2,20))&lt;100000000,VALUE(MID($C358,2,20)),1000000000),1000000000))+ROW()/100000,"")</f>
        <v/>
      </c>
    </row>
    <row r="359">
      <c r="E359" s="11" t="n"/>
      <c r="M359" s="7">
        <f>IF($C359="","",L359*U359/100)</f>
        <v/>
      </c>
      <c r="N359" s="7" t="n"/>
      <c r="T359" s="7" t="n"/>
      <c r="U359" s="7">
        <f>IF($C359="","",S359*T359)</f>
        <v/>
      </c>
      <c r="X359">
        <f>IF($C359="","",IF($AM359=1,0,IF($AL359=1,Settings!$C$6,Settings!$C$7))*100)</f>
        <v/>
      </c>
      <c r="AB359" s="7" t="n"/>
      <c r="AE359" s="11" t="n"/>
      <c r="AG359" s="7">
        <f>IF($C359="","",U359*X359/100)</f>
        <v/>
      </c>
      <c r="AH359" s="7">
        <f>IF($C359="","",U359-AG359)</f>
        <v/>
      </c>
      <c r="AI359" s="7">
        <f>IF($C359="","",AH359-M359)</f>
        <v/>
      </c>
      <c r="AJ359">
        <f>IF($C359="","",IF(COUNTIF($C$2:$C359,$C359)=1,1,0))</f>
        <v/>
      </c>
      <c r="AK359">
        <f>IF($AJ359=1,SUMPRODUCT(--($AN$2:$AN$4001&lt;$AN359))+1,"")</f>
        <v/>
      </c>
      <c r="AL359">
        <f>IF($C359="","",IF(OR($Q359=TRUE(),$Q359="TRUE"),1,0))</f>
        <v/>
      </c>
      <c r="AM359">
        <f>IF($C359="","",IF($W359="Yes",1,0))</f>
        <v/>
      </c>
      <c r="AN359">
        <f>IF($AJ359=1,IFERROR(IF(VALUE($C359)&lt;100000000,VALUE($C359),1000000000),IFERROR(IF(VALUE(MID($C359,2,20))&lt;100000000,VALUE(MID($C359,2,20)),1000000000),1000000000))+ROW()/100000,"")</f>
        <v/>
      </c>
    </row>
    <row r="360">
      <c r="E360" s="11" t="n"/>
      <c r="M360" s="7">
        <f>IF($C360="","",L360*U360/100)</f>
        <v/>
      </c>
      <c r="N360" s="7" t="n"/>
      <c r="T360" s="7" t="n"/>
      <c r="U360" s="7">
        <f>IF($C360="","",S360*T360)</f>
        <v/>
      </c>
      <c r="X360">
        <f>IF($C360="","",IF($AM360=1,0,IF($AL360=1,Settings!$C$6,Settings!$C$7))*100)</f>
        <v/>
      </c>
      <c r="AB360" s="7" t="n"/>
      <c r="AE360" s="11" t="n"/>
      <c r="AG360" s="7">
        <f>IF($C360="","",U360*X360/100)</f>
        <v/>
      </c>
      <c r="AH360" s="7">
        <f>IF($C360="","",U360-AG360)</f>
        <v/>
      </c>
      <c r="AI360" s="7">
        <f>IF($C360="","",AH360-M360)</f>
        <v/>
      </c>
      <c r="AJ360">
        <f>IF($C360="","",IF(COUNTIF($C$2:$C360,$C360)=1,1,0))</f>
        <v/>
      </c>
      <c r="AK360">
        <f>IF($AJ360=1,SUMPRODUCT(--($AN$2:$AN$4001&lt;$AN360))+1,"")</f>
        <v/>
      </c>
      <c r="AL360">
        <f>IF($C360="","",IF(OR($Q360=TRUE(),$Q360="TRUE"),1,0))</f>
        <v/>
      </c>
      <c r="AM360">
        <f>IF($C360="","",IF($W360="Yes",1,0))</f>
        <v/>
      </c>
      <c r="AN360">
        <f>IF($AJ360=1,IFERROR(IF(VALUE($C360)&lt;100000000,VALUE($C360),1000000000),IFERROR(IF(VALUE(MID($C360,2,20))&lt;100000000,VALUE(MID($C360,2,20)),1000000000),1000000000))+ROW()/100000,"")</f>
        <v/>
      </c>
    </row>
    <row r="361">
      <c r="E361" s="11" t="n"/>
      <c r="M361" s="7">
        <f>IF($C361="","",L361*U361/100)</f>
        <v/>
      </c>
      <c r="N361" s="7" t="n"/>
      <c r="T361" s="7" t="n"/>
      <c r="U361" s="7">
        <f>IF($C361="","",S361*T361)</f>
        <v/>
      </c>
      <c r="X361">
        <f>IF($C361="","",IF($AM361=1,0,IF($AL361=1,Settings!$C$6,Settings!$C$7))*100)</f>
        <v/>
      </c>
      <c r="AB361" s="7" t="n"/>
      <c r="AE361" s="11" t="n"/>
      <c r="AG361" s="7">
        <f>IF($C361="","",U361*X361/100)</f>
        <v/>
      </c>
      <c r="AH361" s="7">
        <f>IF($C361="","",U361-AG361)</f>
        <v/>
      </c>
      <c r="AI361" s="7">
        <f>IF($C361="","",AH361-M361)</f>
        <v/>
      </c>
      <c r="AJ361">
        <f>IF($C361="","",IF(COUNTIF($C$2:$C361,$C361)=1,1,0))</f>
        <v/>
      </c>
      <c r="AK361">
        <f>IF($AJ361=1,SUMPRODUCT(--($AN$2:$AN$4001&lt;$AN361))+1,"")</f>
        <v/>
      </c>
      <c r="AL361">
        <f>IF($C361="","",IF(OR($Q361=TRUE(),$Q361="TRUE"),1,0))</f>
        <v/>
      </c>
      <c r="AM361">
        <f>IF($C361="","",IF($W361="Yes",1,0))</f>
        <v/>
      </c>
      <c r="AN361">
        <f>IF($AJ361=1,IFERROR(IF(VALUE($C361)&lt;100000000,VALUE($C361),1000000000),IFERROR(IF(VALUE(MID($C361,2,20))&lt;100000000,VALUE(MID($C361,2,20)),1000000000),1000000000))+ROW()/100000,"")</f>
        <v/>
      </c>
    </row>
    <row r="362">
      <c r="E362" s="11" t="n"/>
      <c r="M362" s="7">
        <f>IF($C362="","",L362*U362/100)</f>
        <v/>
      </c>
      <c r="N362" s="7" t="n"/>
      <c r="T362" s="7" t="n"/>
      <c r="U362" s="7">
        <f>IF($C362="","",S362*T362)</f>
        <v/>
      </c>
      <c r="X362">
        <f>IF($C362="","",IF($AM362=1,0,IF($AL362=1,Settings!$C$6,Settings!$C$7))*100)</f>
        <v/>
      </c>
      <c r="AB362" s="7" t="n"/>
      <c r="AE362" s="11" t="n"/>
      <c r="AG362" s="7">
        <f>IF($C362="","",U362*X362/100)</f>
        <v/>
      </c>
      <c r="AH362" s="7">
        <f>IF($C362="","",U362-AG362)</f>
        <v/>
      </c>
      <c r="AI362" s="7">
        <f>IF($C362="","",AH362-M362)</f>
        <v/>
      </c>
      <c r="AJ362">
        <f>IF($C362="","",IF(COUNTIF($C$2:$C362,$C362)=1,1,0))</f>
        <v/>
      </c>
      <c r="AK362">
        <f>IF($AJ362=1,SUMPRODUCT(--($AN$2:$AN$4001&lt;$AN362))+1,"")</f>
        <v/>
      </c>
      <c r="AL362">
        <f>IF($C362="","",IF(OR($Q362=TRUE(),$Q362="TRUE"),1,0))</f>
        <v/>
      </c>
      <c r="AM362">
        <f>IF($C362="","",IF($W362="Yes",1,0))</f>
        <v/>
      </c>
      <c r="AN362">
        <f>IF($AJ362=1,IFERROR(IF(VALUE($C362)&lt;100000000,VALUE($C362),1000000000),IFERROR(IF(VALUE(MID($C362,2,20))&lt;100000000,VALUE(MID($C362,2,20)),1000000000),1000000000))+ROW()/100000,"")</f>
        <v/>
      </c>
    </row>
    <row r="363">
      <c r="E363" s="11" t="n"/>
      <c r="M363" s="7">
        <f>IF($C363="","",L363*U363/100)</f>
        <v/>
      </c>
      <c r="N363" s="7" t="n"/>
      <c r="T363" s="7" t="n"/>
      <c r="U363" s="7">
        <f>IF($C363="","",S363*T363)</f>
        <v/>
      </c>
      <c r="X363">
        <f>IF($C363="","",IF($AM363=1,0,IF($AL363=1,Settings!$C$6,Settings!$C$7))*100)</f>
        <v/>
      </c>
      <c r="AB363" s="7" t="n"/>
      <c r="AE363" s="11" t="n"/>
      <c r="AG363" s="7">
        <f>IF($C363="","",U363*X363/100)</f>
        <v/>
      </c>
      <c r="AH363" s="7">
        <f>IF($C363="","",U363-AG363)</f>
        <v/>
      </c>
      <c r="AI363" s="7">
        <f>IF($C363="","",AH363-M363)</f>
        <v/>
      </c>
      <c r="AJ363">
        <f>IF($C363="","",IF(COUNTIF($C$2:$C363,$C363)=1,1,0))</f>
        <v/>
      </c>
      <c r="AK363">
        <f>IF($AJ363=1,SUMPRODUCT(--($AN$2:$AN$4001&lt;$AN363))+1,"")</f>
        <v/>
      </c>
      <c r="AL363">
        <f>IF($C363="","",IF(OR($Q363=TRUE(),$Q363="TRUE"),1,0))</f>
        <v/>
      </c>
      <c r="AM363">
        <f>IF($C363="","",IF($W363="Yes",1,0))</f>
        <v/>
      </c>
      <c r="AN363">
        <f>IF($AJ363=1,IFERROR(IF(VALUE($C363)&lt;100000000,VALUE($C363),1000000000),IFERROR(IF(VALUE(MID($C363,2,20))&lt;100000000,VALUE(MID($C363,2,20)),1000000000),1000000000))+ROW()/100000,"")</f>
        <v/>
      </c>
    </row>
    <row r="364">
      <c r="E364" s="11" t="n"/>
      <c r="M364" s="7">
        <f>IF($C364="","",L364*U364/100)</f>
        <v/>
      </c>
      <c r="N364" s="7" t="n"/>
      <c r="T364" s="7" t="n"/>
      <c r="U364" s="7">
        <f>IF($C364="","",S364*T364)</f>
        <v/>
      </c>
      <c r="X364">
        <f>IF($C364="","",IF($AM364=1,0,IF($AL364=1,Settings!$C$6,Settings!$C$7))*100)</f>
        <v/>
      </c>
      <c r="AB364" s="7" t="n"/>
      <c r="AE364" s="11" t="n"/>
      <c r="AG364" s="7">
        <f>IF($C364="","",U364*X364/100)</f>
        <v/>
      </c>
      <c r="AH364" s="7">
        <f>IF($C364="","",U364-AG364)</f>
        <v/>
      </c>
      <c r="AI364" s="7">
        <f>IF($C364="","",AH364-M364)</f>
        <v/>
      </c>
      <c r="AJ364">
        <f>IF($C364="","",IF(COUNTIF($C$2:$C364,$C364)=1,1,0))</f>
        <v/>
      </c>
      <c r="AK364">
        <f>IF($AJ364=1,SUMPRODUCT(--($AN$2:$AN$4001&lt;$AN364))+1,"")</f>
        <v/>
      </c>
      <c r="AL364">
        <f>IF($C364="","",IF(OR($Q364=TRUE(),$Q364="TRUE"),1,0))</f>
        <v/>
      </c>
      <c r="AM364">
        <f>IF($C364="","",IF($W364="Yes",1,0))</f>
        <v/>
      </c>
      <c r="AN364">
        <f>IF($AJ364=1,IFERROR(IF(VALUE($C364)&lt;100000000,VALUE($C364),1000000000),IFERROR(IF(VALUE(MID($C364,2,20))&lt;100000000,VALUE(MID($C364,2,20)),1000000000),1000000000))+ROW()/100000,"")</f>
        <v/>
      </c>
    </row>
    <row r="365">
      <c r="E365" s="11" t="n"/>
      <c r="M365" s="7">
        <f>IF($C365="","",L365*U365/100)</f>
        <v/>
      </c>
      <c r="N365" s="7" t="n"/>
      <c r="T365" s="7" t="n"/>
      <c r="U365" s="7">
        <f>IF($C365="","",S365*T365)</f>
        <v/>
      </c>
      <c r="X365">
        <f>IF($C365="","",IF($AM365=1,0,IF($AL365=1,Settings!$C$6,Settings!$C$7))*100)</f>
        <v/>
      </c>
      <c r="AB365" s="7" t="n"/>
      <c r="AE365" s="11" t="n"/>
      <c r="AG365" s="7">
        <f>IF($C365="","",U365*X365/100)</f>
        <v/>
      </c>
      <c r="AH365" s="7">
        <f>IF($C365="","",U365-AG365)</f>
        <v/>
      </c>
      <c r="AI365" s="7">
        <f>IF($C365="","",AH365-M365)</f>
        <v/>
      </c>
      <c r="AJ365">
        <f>IF($C365="","",IF(COUNTIF($C$2:$C365,$C365)=1,1,0))</f>
        <v/>
      </c>
      <c r="AK365">
        <f>IF($AJ365=1,SUMPRODUCT(--($AN$2:$AN$4001&lt;$AN365))+1,"")</f>
        <v/>
      </c>
      <c r="AL365">
        <f>IF($C365="","",IF(OR($Q365=TRUE(),$Q365="TRUE"),1,0))</f>
        <v/>
      </c>
      <c r="AM365">
        <f>IF($C365="","",IF($W365="Yes",1,0))</f>
        <v/>
      </c>
      <c r="AN365">
        <f>IF($AJ365=1,IFERROR(IF(VALUE($C365)&lt;100000000,VALUE($C365),1000000000),IFERROR(IF(VALUE(MID($C365,2,20))&lt;100000000,VALUE(MID($C365,2,20)),1000000000),1000000000))+ROW()/100000,"")</f>
        <v/>
      </c>
    </row>
    <row r="366">
      <c r="E366" s="11" t="n"/>
      <c r="M366" s="7">
        <f>IF($C366="","",L366*U366/100)</f>
        <v/>
      </c>
      <c r="N366" s="7" t="n"/>
      <c r="T366" s="7" t="n"/>
      <c r="U366" s="7">
        <f>IF($C366="","",S366*T366)</f>
        <v/>
      </c>
      <c r="X366">
        <f>IF($C366="","",IF($AM366=1,0,IF($AL366=1,Settings!$C$6,Settings!$C$7))*100)</f>
        <v/>
      </c>
      <c r="AB366" s="7" t="n"/>
      <c r="AE366" s="11" t="n"/>
      <c r="AG366" s="7">
        <f>IF($C366="","",U366*X366/100)</f>
        <v/>
      </c>
      <c r="AH366" s="7">
        <f>IF($C366="","",U366-AG366)</f>
        <v/>
      </c>
      <c r="AI366" s="7">
        <f>IF($C366="","",AH366-M366)</f>
        <v/>
      </c>
      <c r="AJ366">
        <f>IF($C366="","",IF(COUNTIF($C$2:$C366,$C366)=1,1,0))</f>
        <v/>
      </c>
      <c r="AK366">
        <f>IF($AJ366=1,SUMPRODUCT(--($AN$2:$AN$4001&lt;$AN366))+1,"")</f>
        <v/>
      </c>
      <c r="AL366">
        <f>IF($C366="","",IF(OR($Q366=TRUE(),$Q366="TRUE"),1,0))</f>
        <v/>
      </c>
      <c r="AM366">
        <f>IF($C366="","",IF($W366="Yes",1,0))</f>
        <v/>
      </c>
      <c r="AN366">
        <f>IF($AJ366=1,IFERROR(IF(VALUE($C366)&lt;100000000,VALUE($C366),1000000000),IFERROR(IF(VALUE(MID($C366,2,20))&lt;100000000,VALUE(MID($C366,2,20)),1000000000),1000000000))+ROW()/100000,"")</f>
        <v/>
      </c>
    </row>
    <row r="367">
      <c r="E367" s="11" t="n"/>
      <c r="M367" s="7">
        <f>IF($C367="","",L367*U367/100)</f>
        <v/>
      </c>
      <c r="N367" s="7" t="n"/>
      <c r="T367" s="7" t="n"/>
      <c r="U367" s="7">
        <f>IF($C367="","",S367*T367)</f>
        <v/>
      </c>
      <c r="X367">
        <f>IF($C367="","",IF($AM367=1,0,IF($AL367=1,Settings!$C$6,Settings!$C$7))*100)</f>
        <v/>
      </c>
      <c r="AB367" s="7" t="n"/>
      <c r="AE367" s="11" t="n"/>
      <c r="AG367" s="7">
        <f>IF($C367="","",U367*X367/100)</f>
        <v/>
      </c>
      <c r="AH367" s="7">
        <f>IF($C367="","",U367-AG367)</f>
        <v/>
      </c>
      <c r="AI367" s="7">
        <f>IF($C367="","",AH367-M367)</f>
        <v/>
      </c>
      <c r="AJ367">
        <f>IF($C367="","",IF(COUNTIF($C$2:$C367,$C367)=1,1,0))</f>
        <v/>
      </c>
      <c r="AK367">
        <f>IF($AJ367=1,SUMPRODUCT(--($AN$2:$AN$4001&lt;$AN367))+1,"")</f>
        <v/>
      </c>
      <c r="AL367">
        <f>IF($C367="","",IF(OR($Q367=TRUE(),$Q367="TRUE"),1,0))</f>
        <v/>
      </c>
      <c r="AM367">
        <f>IF($C367="","",IF($W367="Yes",1,0))</f>
        <v/>
      </c>
      <c r="AN367">
        <f>IF($AJ367=1,IFERROR(IF(VALUE($C367)&lt;100000000,VALUE($C367),1000000000),IFERROR(IF(VALUE(MID($C367,2,20))&lt;100000000,VALUE(MID($C367,2,20)),1000000000),1000000000))+ROW()/100000,"")</f>
        <v/>
      </c>
    </row>
    <row r="368">
      <c r="E368" s="11" t="n"/>
      <c r="M368" s="7">
        <f>IF($C368="","",L368*U368/100)</f>
        <v/>
      </c>
      <c r="N368" s="7" t="n"/>
      <c r="T368" s="7" t="n"/>
      <c r="U368" s="7">
        <f>IF($C368="","",S368*T368)</f>
        <v/>
      </c>
      <c r="X368">
        <f>IF($C368="","",IF($AM368=1,0,IF($AL368=1,Settings!$C$6,Settings!$C$7))*100)</f>
        <v/>
      </c>
      <c r="AB368" s="7" t="n"/>
      <c r="AE368" s="11" t="n"/>
      <c r="AG368" s="7">
        <f>IF($C368="","",U368*X368/100)</f>
        <v/>
      </c>
      <c r="AH368" s="7">
        <f>IF($C368="","",U368-AG368)</f>
        <v/>
      </c>
      <c r="AI368" s="7">
        <f>IF($C368="","",AH368-M368)</f>
        <v/>
      </c>
      <c r="AJ368">
        <f>IF($C368="","",IF(COUNTIF($C$2:$C368,$C368)=1,1,0))</f>
        <v/>
      </c>
      <c r="AK368">
        <f>IF($AJ368=1,SUMPRODUCT(--($AN$2:$AN$4001&lt;$AN368))+1,"")</f>
        <v/>
      </c>
      <c r="AL368">
        <f>IF($C368="","",IF(OR($Q368=TRUE(),$Q368="TRUE"),1,0))</f>
        <v/>
      </c>
      <c r="AM368">
        <f>IF($C368="","",IF($W368="Yes",1,0))</f>
        <v/>
      </c>
      <c r="AN368">
        <f>IF($AJ368=1,IFERROR(IF(VALUE($C368)&lt;100000000,VALUE($C368),1000000000),IFERROR(IF(VALUE(MID($C368,2,20))&lt;100000000,VALUE(MID($C368,2,20)),1000000000),1000000000))+ROW()/100000,"")</f>
        <v/>
      </c>
    </row>
    <row r="369">
      <c r="E369" s="11" t="n"/>
      <c r="M369" s="7">
        <f>IF($C369="","",L369*U369/100)</f>
        <v/>
      </c>
      <c r="N369" s="7" t="n"/>
      <c r="T369" s="7" t="n"/>
      <c r="U369" s="7">
        <f>IF($C369="","",S369*T369)</f>
        <v/>
      </c>
      <c r="X369">
        <f>IF($C369="","",IF($AM369=1,0,IF($AL369=1,Settings!$C$6,Settings!$C$7))*100)</f>
        <v/>
      </c>
      <c r="AB369" s="7" t="n"/>
      <c r="AE369" s="11" t="n"/>
      <c r="AG369" s="7">
        <f>IF($C369="","",U369*X369/100)</f>
        <v/>
      </c>
      <c r="AH369" s="7">
        <f>IF($C369="","",U369-AG369)</f>
        <v/>
      </c>
      <c r="AI369" s="7">
        <f>IF($C369="","",AH369-M369)</f>
        <v/>
      </c>
      <c r="AJ369">
        <f>IF($C369="","",IF(COUNTIF($C$2:$C369,$C369)=1,1,0))</f>
        <v/>
      </c>
      <c r="AK369">
        <f>IF($AJ369=1,SUMPRODUCT(--($AN$2:$AN$4001&lt;$AN369))+1,"")</f>
        <v/>
      </c>
      <c r="AL369">
        <f>IF($C369="","",IF(OR($Q369=TRUE(),$Q369="TRUE"),1,0))</f>
        <v/>
      </c>
      <c r="AM369">
        <f>IF($C369="","",IF($W369="Yes",1,0))</f>
        <v/>
      </c>
      <c r="AN369">
        <f>IF($AJ369=1,IFERROR(IF(VALUE($C369)&lt;100000000,VALUE($C369),1000000000),IFERROR(IF(VALUE(MID($C369,2,20))&lt;100000000,VALUE(MID($C369,2,20)),1000000000),1000000000))+ROW()/100000,"")</f>
        <v/>
      </c>
    </row>
    <row r="370">
      <c r="E370" s="11" t="n"/>
      <c r="M370" s="7">
        <f>IF($C370="","",L370*U370/100)</f>
        <v/>
      </c>
      <c r="N370" s="7" t="n"/>
      <c r="T370" s="7" t="n"/>
      <c r="U370" s="7">
        <f>IF($C370="","",S370*T370)</f>
        <v/>
      </c>
      <c r="X370">
        <f>IF($C370="","",IF($AM370=1,0,IF($AL370=1,Settings!$C$6,Settings!$C$7))*100)</f>
        <v/>
      </c>
      <c r="AB370" s="7" t="n"/>
      <c r="AE370" s="11" t="n"/>
      <c r="AG370" s="7">
        <f>IF($C370="","",U370*X370/100)</f>
        <v/>
      </c>
      <c r="AH370" s="7">
        <f>IF($C370="","",U370-AG370)</f>
        <v/>
      </c>
      <c r="AI370" s="7">
        <f>IF($C370="","",AH370-M370)</f>
        <v/>
      </c>
      <c r="AJ370">
        <f>IF($C370="","",IF(COUNTIF($C$2:$C370,$C370)=1,1,0))</f>
        <v/>
      </c>
      <c r="AK370">
        <f>IF($AJ370=1,SUMPRODUCT(--($AN$2:$AN$4001&lt;$AN370))+1,"")</f>
        <v/>
      </c>
      <c r="AL370">
        <f>IF($C370="","",IF(OR($Q370=TRUE(),$Q370="TRUE"),1,0))</f>
        <v/>
      </c>
      <c r="AM370">
        <f>IF($C370="","",IF($W370="Yes",1,0))</f>
        <v/>
      </c>
      <c r="AN370">
        <f>IF($AJ370=1,IFERROR(IF(VALUE($C370)&lt;100000000,VALUE($C370),1000000000),IFERROR(IF(VALUE(MID($C370,2,20))&lt;100000000,VALUE(MID($C370,2,20)),1000000000),1000000000))+ROW()/100000,"")</f>
        <v/>
      </c>
    </row>
    <row r="371">
      <c r="E371" s="11" t="n"/>
      <c r="M371" s="7">
        <f>IF($C371="","",L371*U371/100)</f>
        <v/>
      </c>
      <c r="N371" s="7" t="n"/>
      <c r="T371" s="7" t="n"/>
      <c r="U371" s="7">
        <f>IF($C371="","",S371*T371)</f>
        <v/>
      </c>
      <c r="X371">
        <f>IF($C371="","",IF($AM371=1,0,IF($AL371=1,Settings!$C$6,Settings!$C$7))*100)</f>
        <v/>
      </c>
      <c r="AB371" s="7" t="n"/>
      <c r="AE371" s="11" t="n"/>
      <c r="AG371" s="7">
        <f>IF($C371="","",U371*X371/100)</f>
        <v/>
      </c>
      <c r="AH371" s="7">
        <f>IF($C371="","",U371-AG371)</f>
        <v/>
      </c>
      <c r="AI371" s="7">
        <f>IF($C371="","",AH371-M371)</f>
        <v/>
      </c>
      <c r="AJ371">
        <f>IF($C371="","",IF(COUNTIF($C$2:$C371,$C371)=1,1,0))</f>
        <v/>
      </c>
      <c r="AK371">
        <f>IF($AJ371=1,SUMPRODUCT(--($AN$2:$AN$4001&lt;$AN371))+1,"")</f>
        <v/>
      </c>
      <c r="AL371">
        <f>IF($C371="","",IF(OR($Q371=TRUE(),$Q371="TRUE"),1,0))</f>
        <v/>
      </c>
      <c r="AM371">
        <f>IF($C371="","",IF($W371="Yes",1,0))</f>
        <v/>
      </c>
      <c r="AN371">
        <f>IF($AJ371=1,IFERROR(IF(VALUE($C371)&lt;100000000,VALUE($C371),1000000000),IFERROR(IF(VALUE(MID($C371,2,20))&lt;100000000,VALUE(MID($C371,2,20)),1000000000),1000000000))+ROW()/100000,"")</f>
        <v/>
      </c>
    </row>
    <row r="372">
      <c r="E372" s="11" t="n"/>
      <c r="M372" s="7">
        <f>IF($C372="","",L372*U372/100)</f>
        <v/>
      </c>
      <c r="N372" s="7" t="n"/>
      <c r="T372" s="7" t="n"/>
      <c r="U372" s="7">
        <f>IF($C372="","",S372*T372)</f>
        <v/>
      </c>
      <c r="X372">
        <f>IF($C372="","",IF($AM372=1,0,IF($AL372=1,Settings!$C$6,Settings!$C$7))*100)</f>
        <v/>
      </c>
      <c r="AB372" s="7" t="n"/>
      <c r="AE372" s="11" t="n"/>
      <c r="AG372" s="7">
        <f>IF($C372="","",U372*X372/100)</f>
        <v/>
      </c>
      <c r="AH372" s="7">
        <f>IF($C372="","",U372-AG372)</f>
        <v/>
      </c>
      <c r="AI372" s="7">
        <f>IF($C372="","",AH372-M372)</f>
        <v/>
      </c>
      <c r="AJ372">
        <f>IF($C372="","",IF(COUNTIF($C$2:$C372,$C372)=1,1,0))</f>
        <v/>
      </c>
      <c r="AK372">
        <f>IF($AJ372=1,SUMPRODUCT(--($AN$2:$AN$4001&lt;$AN372))+1,"")</f>
        <v/>
      </c>
      <c r="AL372">
        <f>IF($C372="","",IF(OR($Q372=TRUE(),$Q372="TRUE"),1,0))</f>
        <v/>
      </c>
      <c r="AM372">
        <f>IF($C372="","",IF($W372="Yes",1,0))</f>
        <v/>
      </c>
      <c r="AN372">
        <f>IF($AJ372=1,IFERROR(IF(VALUE($C372)&lt;100000000,VALUE($C372),1000000000),IFERROR(IF(VALUE(MID($C372,2,20))&lt;100000000,VALUE(MID($C372,2,20)),1000000000),1000000000))+ROW()/100000,"")</f>
        <v/>
      </c>
    </row>
    <row r="373">
      <c r="E373" s="11" t="n"/>
      <c r="M373" s="7">
        <f>IF($C373="","",L373*U373/100)</f>
        <v/>
      </c>
      <c r="N373" s="7" t="n"/>
      <c r="T373" s="7" t="n"/>
      <c r="U373" s="7">
        <f>IF($C373="","",S373*T373)</f>
        <v/>
      </c>
      <c r="X373">
        <f>IF($C373="","",IF($AM373=1,0,IF($AL373=1,Settings!$C$6,Settings!$C$7))*100)</f>
        <v/>
      </c>
      <c r="AB373" s="7" t="n"/>
      <c r="AE373" s="11" t="n"/>
      <c r="AG373" s="7">
        <f>IF($C373="","",U373*X373/100)</f>
        <v/>
      </c>
      <c r="AH373" s="7">
        <f>IF($C373="","",U373-AG373)</f>
        <v/>
      </c>
      <c r="AI373" s="7">
        <f>IF($C373="","",AH373-M373)</f>
        <v/>
      </c>
      <c r="AJ373">
        <f>IF($C373="","",IF(COUNTIF($C$2:$C373,$C373)=1,1,0))</f>
        <v/>
      </c>
      <c r="AK373">
        <f>IF($AJ373=1,SUMPRODUCT(--($AN$2:$AN$4001&lt;$AN373))+1,"")</f>
        <v/>
      </c>
      <c r="AL373">
        <f>IF($C373="","",IF(OR($Q373=TRUE(),$Q373="TRUE"),1,0))</f>
        <v/>
      </c>
      <c r="AM373">
        <f>IF($C373="","",IF($W373="Yes",1,0))</f>
        <v/>
      </c>
      <c r="AN373">
        <f>IF($AJ373=1,IFERROR(IF(VALUE($C373)&lt;100000000,VALUE($C373),1000000000),IFERROR(IF(VALUE(MID($C373,2,20))&lt;100000000,VALUE(MID($C373,2,20)),1000000000),1000000000))+ROW()/100000,"")</f>
        <v/>
      </c>
    </row>
    <row r="374">
      <c r="E374" s="11" t="n"/>
      <c r="M374" s="7">
        <f>IF($C374="","",L374*U374/100)</f>
        <v/>
      </c>
      <c r="N374" s="7" t="n"/>
      <c r="T374" s="7" t="n"/>
      <c r="U374" s="7">
        <f>IF($C374="","",S374*T374)</f>
        <v/>
      </c>
      <c r="X374">
        <f>IF($C374="","",IF($AM374=1,0,IF($AL374=1,Settings!$C$6,Settings!$C$7))*100)</f>
        <v/>
      </c>
      <c r="AB374" s="7" t="n"/>
      <c r="AE374" s="11" t="n"/>
      <c r="AG374" s="7">
        <f>IF($C374="","",U374*X374/100)</f>
        <v/>
      </c>
      <c r="AH374" s="7">
        <f>IF($C374="","",U374-AG374)</f>
        <v/>
      </c>
      <c r="AI374" s="7">
        <f>IF($C374="","",AH374-M374)</f>
        <v/>
      </c>
      <c r="AJ374">
        <f>IF($C374="","",IF(COUNTIF($C$2:$C374,$C374)=1,1,0))</f>
        <v/>
      </c>
      <c r="AK374">
        <f>IF($AJ374=1,SUMPRODUCT(--($AN$2:$AN$4001&lt;$AN374))+1,"")</f>
        <v/>
      </c>
      <c r="AL374">
        <f>IF($C374="","",IF(OR($Q374=TRUE(),$Q374="TRUE"),1,0))</f>
        <v/>
      </c>
      <c r="AM374">
        <f>IF($C374="","",IF($W374="Yes",1,0))</f>
        <v/>
      </c>
      <c r="AN374">
        <f>IF($AJ374=1,IFERROR(IF(VALUE($C374)&lt;100000000,VALUE($C374),1000000000),IFERROR(IF(VALUE(MID($C374,2,20))&lt;100000000,VALUE(MID($C374,2,20)),1000000000),1000000000))+ROW()/100000,"")</f>
        <v/>
      </c>
    </row>
    <row r="375">
      <c r="E375" s="11" t="n"/>
      <c r="M375" s="7">
        <f>IF($C375="","",L375*U375/100)</f>
        <v/>
      </c>
      <c r="N375" s="7" t="n"/>
      <c r="T375" s="7" t="n"/>
      <c r="U375" s="7">
        <f>IF($C375="","",S375*T375)</f>
        <v/>
      </c>
      <c r="X375">
        <f>IF($C375="","",IF($AM375=1,0,IF($AL375=1,Settings!$C$6,Settings!$C$7))*100)</f>
        <v/>
      </c>
      <c r="AB375" s="7" t="n"/>
      <c r="AE375" s="11" t="n"/>
      <c r="AG375" s="7">
        <f>IF($C375="","",U375*X375/100)</f>
        <v/>
      </c>
      <c r="AH375" s="7">
        <f>IF($C375="","",U375-AG375)</f>
        <v/>
      </c>
      <c r="AI375" s="7">
        <f>IF($C375="","",AH375-M375)</f>
        <v/>
      </c>
      <c r="AJ375">
        <f>IF($C375="","",IF(COUNTIF($C$2:$C375,$C375)=1,1,0))</f>
        <v/>
      </c>
      <c r="AK375">
        <f>IF($AJ375=1,SUMPRODUCT(--($AN$2:$AN$4001&lt;$AN375))+1,"")</f>
        <v/>
      </c>
      <c r="AL375">
        <f>IF($C375="","",IF(OR($Q375=TRUE(),$Q375="TRUE"),1,0))</f>
        <v/>
      </c>
      <c r="AM375">
        <f>IF($C375="","",IF($W375="Yes",1,0))</f>
        <v/>
      </c>
      <c r="AN375">
        <f>IF($AJ375=1,IFERROR(IF(VALUE($C375)&lt;100000000,VALUE($C375),1000000000),IFERROR(IF(VALUE(MID($C375,2,20))&lt;100000000,VALUE(MID($C375,2,20)),1000000000),1000000000))+ROW()/100000,"")</f>
        <v/>
      </c>
    </row>
    <row r="376">
      <c r="E376" s="11" t="n"/>
      <c r="M376" s="7">
        <f>IF($C376="","",L376*U376/100)</f>
        <v/>
      </c>
      <c r="N376" s="7" t="n"/>
      <c r="T376" s="7" t="n"/>
      <c r="U376" s="7">
        <f>IF($C376="","",S376*T376)</f>
        <v/>
      </c>
      <c r="X376">
        <f>IF($C376="","",IF($AM376=1,0,IF($AL376=1,Settings!$C$6,Settings!$C$7))*100)</f>
        <v/>
      </c>
      <c r="AB376" s="7" t="n"/>
      <c r="AE376" s="11" t="n"/>
      <c r="AG376" s="7">
        <f>IF($C376="","",U376*X376/100)</f>
        <v/>
      </c>
      <c r="AH376" s="7">
        <f>IF($C376="","",U376-AG376)</f>
        <v/>
      </c>
      <c r="AI376" s="7">
        <f>IF($C376="","",AH376-M376)</f>
        <v/>
      </c>
      <c r="AJ376">
        <f>IF($C376="","",IF(COUNTIF($C$2:$C376,$C376)=1,1,0))</f>
        <v/>
      </c>
      <c r="AK376">
        <f>IF($AJ376=1,SUMPRODUCT(--($AN$2:$AN$4001&lt;$AN376))+1,"")</f>
        <v/>
      </c>
      <c r="AL376">
        <f>IF($C376="","",IF(OR($Q376=TRUE(),$Q376="TRUE"),1,0))</f>
        <v/>
      </c>
      <c r="AM376">
        <f>IF($C376="","",IF($W376="Yes",1,0))</f>
        <v/>
      </c>
      <c r="AN376">
        <f>IF($AJ376=1,IFERROR(IF(VALUE($C376)&lt;100000000,VALUE($C376),1000000000),IFERROR(IF(VALUE(MID($C376,2,20))&lt;100000000,VALUE(MID($C376,2,20)),1000000000),1000000000))+ROW()/100000,"")</f>
        <v/>
      </c>
    </row>
    <row r="377">
      <c r="E377" s="11" t="n"/>
      <c r="M377" s="7">
        <f>IF($C377="","",L377*U377/100)</f>
        <v/>
      </c>
      <c r="N377" s="7" t="n"/>
      <c r="T377" s="7" t="n"/>
      <c r="U377" s="7">
        <f>IF($C377="","",S377*T377)</f>
        <v/>
      </c>
      <c r="X377">
        <f>IF($C377="","",IF($AM377=1,0,IF($AL377=1,Settings!$C$6,Settings!$C$7))*100)</f>
        <v/>
      </c>
      <c r="AB377" s="7" t="n"/>
      <c r="AE377" s="11" t="n"/>
      <c r="AG377" s="7">
        <f>IF($C377="","",U377*X377/100)</f>
        <v/>
      </c>
      <c r="AH377" s="7">
        <f>IF($C377="","",U377-AG377)</f>
        <v/>
      </c>
      <c r="AI377" s="7">
        <f>IF($C377="","",AH377-M377)</f>
        <v/>
      </c>
      <c r="AJ377">
        <f>IF($C377="","",IF(COUNTIF($C$2:$C377,$C377)=1,1,0))</f>
        <v/>
      </c>
      <c r="AK377">
        <f>IF($AJ377=1,SUMPRODUCT(--($AN$2:$AN$4001&lt;$AN377))+1,"")</f>
        <v/>
      </c>
      <c r="AL377">
        <f>IF($C377="","",IF(OR($Q377=TRUE(),$Q377="TRUE"),1,0))</f>
        <v/>
      </c>
      <c r="AM377">
        <f>IF($C377="","",IF($W377="Yes",1,0))</f>
        <v/>
      </c>
      <c r="AN377">
        <f>IF($AJ377=1,IFERROR(IF(VALUE($C377)&lt;100000000,VALUE($C377),1000000000),IFERROR(IF(VALUE(MID($C377,2,20))&lt;100000000,VALUE(MID($C377,2,20)),1000000000),1000000000))+ROW()/100000,"")</f>
        <v/>
      </c>
    </row>
    <row r="378">
      <c r="E378" s="11" t="n"/>
      <c r="M378" s="7">
        <f>IF($C378="","",L378*U378/100)</f>
        <v/>
      </c>
      <c r="N378" s="7" t="n"/>
      <c r="T378" s="7" t="n"/>
      <c r="U378" s="7">
        <f>IF($C378="","",S378*T378)</f>
        <v/>
      </c>
      <c r="X378">
        <f>IF($C378="","",IF($AM378=1,0,IF($AL378=1,Settings!$C$6,Settings!$C$7))*100)</f>
        <v/>
      </c>
      <c r="AB378" s="7" t="n"/>
      <c r="AE378" s="11" t="n"/>
      <c r="AG378" s="7">
        <f>IF($C378="","",U378*X378/100)</f>
        <v/>
      </c>
      <c r="AH378" s="7">
        <f>IF($C378="","",U378-AG378)</f>
        <v/>
      </c>
      <c r="AI378" s="7">
        <f>IF($C378="","",AH378-M378)</f>
        <v/>
      </c>
      <c r="AJ378">
        <f>IF($C378="","",IF(COUNTIF($C$2:$C378,$C378)=1,1,0))</f>
        <v/>
      </c>
      <c r="AK378">
        <f>IF($AJ378=1,SUMPRODUCT(--($AN$2:$AN$4001&lt;$AN378))+1,"")</f>
        <v/>
      </c>
      <c r="AL378">
        <f>IF($C378="","",IF(OR($Q378=TRUE(),$Q378="TRUE"),1,0))</f>
        <v/>
      </c>
      <c r="AM378">
        <f>IF($C378="","",IF($W378="Yes",1,0))</f>
        <v/>
      </c>
      <c r="AN378">
        <f>IF($AJ378=1,IFERROR(IF(VALUE($C378)&lt;100000000,VALUE($C378),1000000000),IFERROR(IF(VALUE(MID($C378,2,20))&lt;100000000,VALUE(MID($C378,2,20)),1000000000),1000000000))+ROW()/100000,"")</f>
        <v/>
      </c>
    </row>
    <row r="379">
      <c r="E379" s="11" t="n"/>
      <c r="M379" s="7">
        <f>IF($C379="","",L379*U379/100)</f>
        <v/>
      </c>
      <c r="N379" s="7" t="n"/>
      <c r="T379" s="7" t="n"/>
      <c r="U379" s="7">
        <f>IF($C379="","",S379*T379)</f>
        <v/>
      </c>
      <c r="X379">
        <f>IF($C379="","",IF($AM379=1,0,IF($AL379=1,Settings!$C$6,Settings!$C$7))*100)</f>
        <v/>
      </c>
      <c r="AB379" s="7" t="n"/>
      <c r="AE379" s="11" t="n"/>
      <c r="AG379" s="7">
        <f>IF($C379="","",U379*X379/100)</f>
        <v/>
      </c>
      <c r="AH379" s="7">
        <f>IF($C379="","",U379-AG379)</f>
        <v/>
      </c>
      <c r="AI379" s="7">
        <f>IF($C379="","",AH379-M379)</f>
        <v/>
      </c>
      <c r="AJ379">
        <f>IF($C379="","",IF(COUNTIF($C$2:$C379,$C379)=1,1,0))</f>
        <v/>
      </c>
      <c r="AK379">
        <f>IF($AJ379=1,SUMPRODUCT(--($AN$2:$AN$4001&lt;$AN379))+1,"")</f>
        <v/>
      </c>
      <c r="AL379">
        <f>IF($C379="","",IF(OR($Q379=TRUE(),$Q379="TRUE"),1,0))</f>
        <v/>
      </c>
      <c r="AM379">
        <f>IF($C379="","",IF($W379="Yes",1,0))</f>
        <v/>
      </c>
      <c r="AN379">
        <f>IF($AJ379=1,IFERROR(IF(VALUE($C379)&lt;100000000,VALUE($C379),1000000000),IFERROR(IF(VALUE(MID($C379,2,20))&lt;100000000,VALUE(MID($C379,2,20)),1000000000),1000000000))+ROW()/100000,"")</f>
        <v/>
      </c>
    </row>
    <row r="380">
      <c r="E380" s="11" t="n"/>
      <c r="M380" s="7">
        <f>IF($C380="","",L380*U380/100)</f>
        <v/>
      </c>
      <c r="N380" s="7" t="n"/>
      <c r="T380" s="7" t="n"/>
      <c r="U380" s="7">
        <f>IF($C380="","",S380*T380)</f>
        <v/>
      </c>
      <c r="X380">
        <f>IF($C380="","",IF($AM380=1,0,IF($AL380=1,Settings!$C$6,Settings!$C$7))*100)</f>
        <v/>
      </c>
      <c r="AB380" s="7" t="n"/>
      <c r="AE380" s="11" t="n"/>
      <c r="AG380" s="7">
        <f>IF($C380="","",U380*X380/100)</f>
        <v/>
      </c>
      <c r="AH380" s="7">
        <f>IF($C380="","",U380-AG380)</f>
        <v/>
      </c>
      <c r="AI380" s="7">
        <f>IF($C380="","",AH380-M380)</f>
        <v/>
      </c>
      <c r="AJ380">
        <f>IF($C380="","",IF(COUNTIF($C$2:$C380,$C380)=1,1,0))</f>
        <v/>
      </c>
      <c r="AK380">
        <f>IF($AJ380=1,SUMPRODUCT(--($AN$2:$AN$4001&lt;$AN380))+1,"")</f>
        <v/>
      </c>
      <c r="AL380">
        <f>IF($C380="","",IF(OR($Q380=TRUE(),$Q380="TRUE"),1,0))</f>
        <v/>
      </c>
      <c r="AM380">
        <f>IF($C380="","",IF($W380="Yes",1,0))</f>
        <v/>
      </c>
      <c r="AN380">
        <f>IF($AJ380=1,IFERROR(IF(VALUE($C380)&lt;100000000,VALUE($C380),1000000000),IFERROR(IF(VALUE(MID($C380,2,20))&lt;100000000,VALUE(MID($C380,2,20)),1000000000),1000000000))+ROW()/100000,"")</f>
        <v/>
      </c>
    </row>
    <row r="381">
      <c r="E381" s="11" t="n"/>
      <c r="M381" s="7">
        <f>IF($C381="","",L381*U381/100)</f>
        <v/>
      </c>
      <c r="N381" s="7" t="n"/>
      <c r="T381" s="7" t="n"/>
      <c r="U381" s="7">
        <f>IF($C381="","",S381*T381)</f>
        <v/>
      </c>
      <c r="X381">
        <f>IF($C381="","",IF($AM381=1,0,IF($AL381=1,Settings!$C$6,Settings!$C$7))*100)</f>
        <v/>
      </c>
      <c r="AB381" s="7" t="n"/>
      <c r="AE381" s="11" t="n"/>
      <c r="AG381" s="7">
        <f>IF($C381="","",U381*X381/100)</f>
        <v/>
      </c>
      <c r="AH381" s="7">
        <f>IF($C381="","",U381-AG381)</f>
        <v/>
      </c>
      <c r="AI381" s="7">
        <f>IF($C381="","",AH381-M381)</f>
        <v/>
      </c>
      <c r="AJ381">
        <f>IF($C381="","",IF(COUNTIF($C$2:$C381,$C381)=1,1,0))</f>
        <v/>
      </c>
      <c r="AK381">
        <f>IF($AJ381=1,SUMPRODUCT(--($AN$2:$AN$4001&lt;$AN381))+1,"")</f>
        <v/>
      </c>
      <c r="AL381">
        <f>IF($C381="","",IF(OR($Q381=TRUE(),$Q381="TRUE"),1,0))</f>
        <v/>
      </c>
      <c r="AM381">
        <f>IF($C381="","",IF($W381="Yes",1,0))</f>
        <v/>
      </c>
      <c r="AN381">
        <f>IF($AJ381=1,IFERROR(IF(VALUE($C381)&lt;100000000,VALUE($C381),1000000000),IFERROR(IF(VALUE(MID($C381,2,20))&lt;100000000,VALUE(MID($C381,2,20)),1000000000),1000000000))+ROW()/100000,"")</f>
        <v/>
      </c>
    </row>
    <row r="382">
      <c r="E382" s="11" t="n"/>
      <c r="M382" s="7">
        <f>IF($C382="","",L382*U382/100)</f>
        <v/>
      </c>
      <c r="N382" s="7" t="n"/>
      <c r="T382" s="7" t="n"/>
      <c r="U382" s="7">
        <f>IF($C382="","",S382*T382)</f>
        <v/>
      </c>
      <c r="X382">
        <f>IF($C382="","",IF($AM382=1,0,IF($AL382=1,Settings!$C$6,Settings!$C$7))*100)</f>
        <v/>
      </c>
      <c r="AB382" s="7" t="n"/>
      <c r="AE382" s="11" t="n"/>
      <c r="AG382" s="7">
        <f>IF($C382="","",U382*X382/100)</f>
        <v/>
      </c>
      <c r="AH382" s="7">
        <f>IF($C382="","",U382-AG382)</f>
        <v/>
      </c>
      <c r="AI382" s="7">
        <f>IF($C382="","",AH382-M382)</f>
        <v/>
      </c>
      <c r="AJ382">
        <f>IF($C382="","",IF(COUNTIF($C$2:$C382,$C382)=1,1,0))</f>
        <v/>
      </c>
      <c r="AK382">
        <f>IF($AJ382=1,SUMPRODUCT(--($AN$2:$AN$4001&lt;$AN382))+1,"")</f>
        <v/>
      </c>
      <c r="AL382">
        <f>IF($C382="","",IF(OR($Q382=TRUE(),$Q382="TRUE"),1,0))</f>
        <v/>
      </c>
      <c r="AM382">
        <f>IF($C382="","",IF($W382="Yes",1,0))</f>
        <v/>
      </c>
      <c r="AN382">
        <f>IF($AJ382=1,IFERROR(IF(VALUE($C382)&lt;100000000,VALUE($C382),1000000000),IFERROR(IF(VALUE(MID($C382,2,20))&lt;100000000,VALUE(MID($C382,2,20)),1000000000),1000000000))+ROW()/100000,"")</f>
        <v/>
      </c>
    </row>
    <row r="383">
      <c r="E383" s="11" t="n"/>
      <c r="M383" s="7">
        <f>IF($C383="","",L383*U383/100)</f>
        <v/>
      </c>
      <c r="N383" s="7" t="n"/>
      <c r="T383" s="7" t="n"/>
      <c r="U383" s="7">
        <f>IF($C383="","",S383*T383)</f>
        <v/>
      </c>
      <c r="X383">
        <f>IF($C383="","",IF($AM383=1,0,IF($AL383=1,Settings!$C$6,Settings!$C$7))*100)</f>
        <v/>
      </c>
      <c r="AB383" s="7" t="n"/>
      <c r="AE383" s="11" t="n"/>
      <c r="AG383" s="7">
        <f>IF($C383="","",U383*X383/100)</f>
        <v/>
      </c>
      <c r="AH383" s="7">
        <f>IF($C383="","",U383-AG383)</f>
        <v/>
      </c>
      <c r="AI383" s="7">
        <f>IF($C383="","",AH383-M383)</f>
        <v/>
      </c>
      <c r="AJ383">
        <f>IF($C383="","",IF(COUNTIF($C$2:$C383,$C383)=1,1,0))</f>
        <v/>
      </c>
      <c r="AK383">
        <f>IF($AJ383=1,SUMPRODUCT(--($AN$2:$AN$4001&lt;$AN383))+1,"")</f>
        <v/>
      </c>
      <c r="AL383">
        <f>IF($C383="","",IF(OR($Q383=TRUE(),$Q383="TRUE"),1,0))</f>
        <v/>
      </c>
      <c r="AM383">
        <f>IF($C383="","",IF($W383="Yes",1,0))</f>
        <v/>
      </c>
      <c r="AN383">
        <f>IF($AJ383=1,IFERROR(IF(VALUE($C383)&lt;100000000,VALUE($C383),1000000000),IFERROR(IF(VALUE(MID($C383,2,20))&lt;100000000,VALUE(MID($C383,2,20)),1000000000),1000000000))+ROW()/100000,"")</f>
        <v/>
      </c>
    </row>
    <row r="384">
      <c r="E384" s="11" t="n"/>
      <c r="M384" s="7">
        <f>IF($C384="","",L384*U384/100)</f>
        <v/>
      </c>
      <c r="N384" s="7" t="n"/>
      <c r="T384" s="7" t="n"/>
      <c r="U384" s="7">
        <f>IF($C384="","",S384*T384)</f>
        <v/>
      </c>
      <c r="X384">
        <f>IF($C384="","",IF($AM384=1,0,IF($AL384=1,Settings!$C$6,Settings!$C$7))*100)</f>
        <v/>
      </c>
      <c r="AB384" s="7" t="n"/>
      <c r="AE384" s="11" t="n"/>
      <c r="AG384" s="7">
        <f>IF($C384="","",U384*X384/100)</f>
        <v/>
      </c>
      <c r="AH384" s="7">
        <f>IF($C384="","",U384-AG384)</f>
        <v/>
      </c>
      <c r="AI384" s="7">
        <f>IF($C384="","",AH384-M384)</f>
        <v/>
      </c>
      <c r="AJ384">
        <f>IF($C384="","",IF(COUNTIF($C$2:$C384,$C384)=1,1,0))</f>
        <v/>
      </c>
      <c r="AK384">
        <f>IF($AJ384=1,SUMPRODUCT(--($AN$2:$AN$4001&lt;$AN384))+1,"")</f>
        <v/>
      </c>
      <c r="AL384">
        <f>IF($C384="","",IF(OR($Q384=TRUE(),$Q384="TRUE"),1,0))</f>
        <v/>
      </c>
      <c r="AM384">
        <f>IF($C384="","",IF($W384="Yes",1,0))</f>
        <v/>
      </c>
      <c r="AN384">
        <f>IF($AJ384=1,IFERROR(IF(VALUE($C384)&lt;100000000,VALUE($C384),1000000000),IFERROR(IF(VALUE(MID($C384,2,20))&lt;100000000,VALUE(MID($C384,2,20)),1000000000),1000000000))+ROW()/100000,"")</f>
        <v/>
      </c>
    </row>
    <row r="385">
      <c r="E385" s="11" t="n"/>
      <c r="M385" s="7">
        <f>IF($C385="","",L385*U385/100)</f>
        <v/>
      </c>
      <c r="N385" s="7" t="n"/>
      <c r="T385" s="7" t="n"/>
      <c r="U385" s="7">
        <f>IF($C385="","",S385*T385)</f>
        <v/>
      </c>
      <c r="X385">
        <f>IF($C385="","",IF($AM385=1,0,IF($AL385=1,Settings!$C$6,Settings!$C$7))*100)</f>
        <v/>
      </c>
      <c r="AB385" s="7" t="n"/>
      <c r="AE385" s="11" t="n"/>
      <c r="AG385" s="7">
        <f>IF($C385="","",U385*X385/100)</f>
        <v/>
      </c>
      <c r="AH385" s="7">
        <f>IF($C385="","",U385-AG385)</f>
        <v/>
      </c>
      <c r="AI385" s="7">
        <f>IF($C385="","",AH385-M385)</f>
        <v/>
      </c>
      <c r="AJ385">
        <f>IF($C385="","",IF(COUNTIF($C$2:$C385,$C385)=1,1,0))</f>
        <v/>
      </c>
      <c r="AK385">
        <f>IF($AJ385=1,SUMPRODUCT(--($AN$2:$AN$4001&lt;$AN385))+1,"")</f>
        <v/>
      </c>
      <c r="AL385">
        <f>IF($C385="","",IF(OR($Q385=TRUE(),$Q385="TRUE"),1,0))</f>
        <v/>
      </c>
      <c r="AM385">
        <f>IF($C385="","",IF($W385="Yes",1,0))</f>
        <v/>
      </c>
      <c r="AN385">
        <f>IF($AJ385=1,IFERROR(IF(VALUE($C385)&lt;100000000,VALUE($C385),1000000000),IFERROR(IF(VALUE(MID($C385,2,20))&lt;100000000,VALUE(MID($C385,2,20)),1000000000),1000000000))+ROW()/100000,"")</f>
        <v/>
      </c>
    </row>
    <row r="386">
      <c r="E386" s="11" t="n"/>
      <c r="M386" s="7">
        <f>IF($C386="","",L386*U386/100)</f>
        <v/>
      </c>
      <c r="N386" s="7" t="n"/>
      <c r="T386" s="7" t="n"/>
      <c r="U386" s="7">
        <f>IF($C386="","",S386*T386)</f>
        <v/>
      </c>
      <c r="X386">
        <f>IF($C386="","",IF($AM386=1,0,IF($AL386=1,Settings!$C$6,Settings!$C$7))*100)</f>
        <v/>
      </c>
      <c r="AB386" s="7" t="n"/>
      <c r="AE386" s="11" t="n"/>
      <c r="AG386" s="7">
        <f>IF($C386="","",U386*X386/100)</f>
        <v/>
      </c>
      <c r="AH386" s="7">
        <f>IF($C386="","",U386-AG386)</f>
        <v/>
      </c>
      <c r="AI386" s="7">
        <f>IF($C386="","",AH386-M386)</f>
        <v/>
      </c>
      <c r="AJ386">
        <f>IF($C386="","",IF(COUNTIF($C$2:$C386,$C386)=1,1,0))</f>
        <v/>
      </c>
      <c r="AK386">
        <f>IF($AJ386=1,SUMPRODUCT(--($AN$2:$AN$4001&lt;$AN386))+1,"")</f>
        <v/>
      </c>
      <c r="AL386">
        <f>IF($C386="","",IF(OR($Q386=TRUE(),$Q386="TRUE"),1,0))</f>
        <v/>
      </c>
      <c r="AM386">
        <f>IF($C386="","",IF($W386="Yes",1,0))</f>
        <v/>
      </c>
      <c r="AN386">
        <f>IF($AJ386=1,IFERROR(IF(VALUE($C386)&lt;100000000,VALUE($C386),1000000000),IFERROR(IF(VALUE(MID($C386,2,20))&lt;100000000,VALUE(MID($C386,2,20)),1000000000),1000000000))+ROW()/100000,"")</f>
        <v/>
      </c>
    </row>
    <row r="387">
      <c r="E387" s="11" t="n"/>
      <c r="M387" s="7">
        <f>IF($C387="","",L387*U387/100)</f>
        <v/>
      </c>
      <c r="N387" s="7" t="n"/>
      <c r="T387" s="7" t="n"/>
      <c r="U387" s="7">
        <f>IF($C387="","",S387*T387)</f>
        <v/>
      </c>
      <c r="X387">
        <f>IF($C387="","",IF($AM387=1,0,IF($AL387=1,Settings!$C$6,Settings!$C$7))*100)</f>
        <v/>
      </c>
      <c r="AB387" s="7" t="n"/>
      <c r="AE387" s="11" t="n"/>
      <c r="AG387" s="7">
        <f>IF($C387="","",U387*X387/100)</f>
        <v/>
      </c>
      <c r="AH387" s="7">
        <f>IF($C387="","",U387-AG387)</f>
        <v/>
      </c>
      <c r="AI387" s="7">
        <f>IF($C387="","",AH387-M387)</f>
        <v/>
      </c>
      <c r="AJ387">
        <f>IF($C387="","",IF(COUNTIF($C$2:$C387,$C387)=1,1,0))</f>
        <v/>
      </c>
      <c r="AK387">
        <f>IF($AJ387=1,SUMPRODUCT(--($AN$2:$AN$4001&lt;$AN387))+1,"")</f>
        <v/>
      </c>
      <c r="AL387">
        <f>IF($C387="","",IF(OR($Q387=TRUE(),$Q387="TRUE"),1,0))</f>
        <v/>
      </c>
      <c r="AM387">
        <f>IF($C387="","",IF($W387="Yes",1,0))</f>
        <v/>
      </c>
      <c r="AN387">
        <f>IF($AJ387=1,IFERROR(IF(VALUE($C387)&lt;100000000,VALUE($C387),1000000000),IFERROR(IF(VALUE(MID($C387,2,20))&lt;100000000,VALUE(MID($C387,2,20)),1000000000),1000000000))+ROW()/100000,"")</f>
        <v/>
      </c>
    </row>
    <row r="388">
      <c r="E388" s="11" t="n"/>
      <c r="M388" s="7">
        <f>IF($C388="","",L388*U388/100)</f>
        <v/>
      </c>
      <c r="N388" s="7" t="n"/>
      <c r="T388" s="7" t="n"/>
      <c r="U388" s="7">
        <f>IF($C388="","",S388*T388)</f>
        <v/>
      </c>
      <c r="X388">
        <f>IF($C388="","",IF($AM388=1,0,IF($AL388=1,Settings!$C$6,Settings!$C$7))*100)</f>
        <v/>
      </c>
      <c r="AB388" s="7" t="n"/>
      <c r="AE388" s="11" t="n"/>
      <c r="AG388" s="7">
        <f>IF($C388="","",U388*X388/100)</f>
        <v/>
      </c>
      <c r="AH388" s="7">
        <f>IF($C388="","",U388-AG388)</f>
        <v/>
      </c>
      <c r="AI388" s="7">
        <f>IF($C388="","",AH388-M388)</f>
        <v/>
      </c>
      <c r="AJ388">
        <f>IF($C388="","",IF(COUNTIF($C$2:$C388,$C388)=1,1,0))</f>
        <v/>
      </c>
      <c r="AK388">
        <f>IF($AJ388=1,SUMPRODUCT(--($AN$2:$AN$4001&lt;$AN388))+1,"")</f>
        <v/>
      </c>
      <c r="AL388">
        <f>IF($C388="","",IF(OR($Q388=TRUE(),$Q388="TRUE"),1,0))</f>
        <v/>
      </c>
      <c r="AM388">
        <f>IF($C388="","",IF($W388="Yes",1,0))</f>
        <v/>
      </c>
      <c r="AN388">
        <f>IF($AJ388=1,IFERROR(IF(VALUE($C388)&lt;100000000,VALUE($C388),1000000000),IFERROR(IF(VALUE(MID($C388,2,20))&lt;100000000,VALUE(MID($C388,2,20)),1000000000),1000000000))+ROW()/100000,"")</f>
        <v/>
      </c>
    </row>
    <row r="389">
      <c r="E389" s="11" t="n"/>
      <c r="M389" s="7">
        <f>IF($C389="","",L389*U389/100)</f>
        <v/>
      </c>
      <c r="N389" s="7" t="n"/>
      <c r="T389" s="7" t="n"/>
      <c r="U389" s="7">
        <f>IF($C389="","",S389*T389)</f>
        <v/>
      </c>
      <c r="X389">
        <f>IF($C389="","",IF($AM389=1,0,IF($AL389=1,Settings!$C$6,Settings!$C$7))*100)</f>
        <v/>
      </c>
      <c r="AB389" s="7" t="n"/>
      <c r="AE389" s="11" t="n"/>
      <c r="AG389" s="7">
        <f>IF($C389="","",U389*X389/100)</f>
        <v/>
      </c>
      <c r="AH389" s="7">
        <f>IF($C389="","",U389-AG389)</f>
        <v/>
      </c>
      <c r="AI389" s="7">
        <f>IF($C389="","",AH389-M389)</f>
        <v/>
      </c>
      <c r="AJ389">
        <f>IF($C389="","",IF(COUNTIF($C$2:$C389,$C389)=1,1,0))</f>
        <v/>
      </c>
      <c r="AK389">
        <f>IF($AJ389=1,SUMPRODUCT(--($AN$2:$AN$4001&lt;$AN389))+1,"")</f>
        <v/>
      </c>
      <c r="AL389">
        <f>IF($C389="","",IF(OR($Q389=TRUE(),$Q389="TRUE"),1,0))</f>
        <v/>
      </c>
      <c r="AM389">
        <f>IF($C389="","",IF($W389="Yes",1,0))</f>
        <v/>
      </c>
      <c r="AN389">
        <f>IF($AJ389=1,IFERROR(IF(VALUE($C389)&lt;100000000,VALUE($C389),1000000000),IFERROR(IF(VALUE(MID($C389,2,20))&lt;100000000,VALUE(MID($C389,2,20)),1000000000),1000000000))+ROW()/100000,"")</f>
        <v/>
      </c>
    </row>
    <row r="390">
      <c r="E390" s="11" t="n"/>
      <c r="M390" s="7">
        <f>IF($C390="","",L390*U390/100)</f>
        <v/>
      </c>
      <c r="N390" s="7" t="n"/>
      <c r="T390" s="7" t="n"/>
      <c r="U390" s="7">
        <f>IF($C390="","",S390*T390)</f>
        <v/>
      </c>
      <c r="X390">
        <f>IF($C390="","",IF($AM390=1,0,IF($AL390=1,Settings!$C$6,Settings!$C$7))*100)</f>
        <v/>
      </c>
      <c r="AB390" s="7" t="n"/>
      <c r="AE390" s="11" t="n"/>
      <c r="AG390" s="7">
        <f>IF($C390="","",U390*X390/100)</f>
        <v/>
      </c>
      <c r="AH390" s="7">
        <f>IF($C390="","",U390-AG390)</f>
        <v/>
      </c>
      <c r="AI390" s="7">
        <f>IF($C390="","",AH390-M390)</f>
        <v/>
      </c>
      <c r="AJ390">
        <f>IF($C390="","",IF(COUNTIF($C$2:$C390,$C390)=1,1,0))</f>
        <v/>
      </c>
      <c r="AK390">
        <f>IF($AJ390=1,SUMPRODUCT(--($AN$2:$AN$4001&lt;$AN390))+1,"")</f>
        <v/>
      </c>
      <c r="AL390">
        <f>IF($C390="","",IF(OR($Q390=TRUE(),$Q390="TRUE"),1,0))</f>
        <v/>
      </c>
      <c r="AM390">
        <f>IF($C390="","",IF($W390="Yes",1,0))</f>
        <v/>
      </c>
      <c r="AN390">
        <f>IF($AJ390=1,IFERROR(IF(VALUE($C390)&lt;100000000,VALUE($C390),1000000000),IFERROR(IF(VALUE(MID($C390,2,20))&lt;100000000,VALUE(MID($C390,2,20)),1000000000),1000000000))+ROW()/100000,"")</f>
        <v/>
      </c>
    </row>
    <row r="391">
      <c r="E391" s="11" t="n"/>
      <c r="M391" s="7">
        <f>IF($C391="","",L391*U391/100)</f>
        <v/>
      </c>
      <c r="N391" s="7" t="n"/>
      <c r="T391" s="7" t="n"/>
      <c r="U391" s="7">
        <f>IF($C391="","",S391*T391)</f>
        <v/>
      </c>
      <c r="X391">
        <f>IF($C391="","",IF($AM391=1,0,IF($AL391=1,Settings!$C$6,Settings!$C$7))*100)</f>
        <v/>
      </c>
      <c r="AB391" s="7" t="n"/>
      <c r="AE391" s="11" t="n"/>
      <c r="AG391" s="7">
        <f>IF($C391="","",U391*X391/100)</f>
        <v/>
      </c>
      <c r="AH391" s="7">
        <f>IF($C391="","",U391-AG391)</f>
        <v/>
      </c>
      <c r="AI391" s="7">
        <f>IF($C391="","",AH391-M391)</f>
        <v/>
      </c>
      <c r="AJ391">
        <f>IF($C391="","",IF(COUNTIF($C$2:$C391,$C391)=1,1,0))</f>
        <v/>
      </c>
      <c r="AK391">
        <f>IF($AJ391=1,SUMPRODUCT(--($AN$2:$AN$4001&lt;$AN391))+1,"")</f>
        <v/>
      </c>
      <c r="AL391">
        <f>IF($C391="","",IF(OR($Q391=TRUE(),$Q391="TRUE"),1,0))</f>
        <v/>
      </c>
      <c r="AM391">
        <f>IF($C391="","",IF($W391="Yes",1,0))</f>
        <v/>
      </c>
      <c r="AN391">
        <f>IF($AJ391=1,IFERROR(IF(VALUE($C391)&lt;100000000,VALUE($C391),1000000000),IFERROR(IF(VALUE(MID($C391,2,20))&lt;100000000,VALUE(MID($C391,2,20)),1000000000),1000000000))+ROW()/100000,"")</f>
        <v/>
      </c>
    </row>
    <row r="392">
      <c r="E392" s="11" t="n"/>
      <c r="M392" s="7">
        <f>IF($C392="","",L392*U392/100)</f>
        <v/>
      </c>
      <c r="N392" s="7" t="n"/>
      <c r="T392" s="7" t="n"/>
      <c r="U392" s="7">
        <f>IF($C392="","",S392*T392)</f>
        <v/>
      </c>
      <c r="X392">
        <f>IF($C392="","",IF($AM392=1,0,IF($AL392=1,Settings!$C$6,Settings!$C$7))*100)</f>
        <v/>
      </c>
      <c r="AB392" s="7" t="n"/>
      <c r="AE392" s="11" t="n"/>
      <c r="AG392" s="7">
        <f>IF($C392="","",U392*X392/100)</f>
        <v/>
      </c>
      <c r="AH392" s="7">
        <f>IF($C392="","",U392-AG392)</f>
        <v/>
      </c>
      <c r="AI392" s="7">
        <f>IF($C392="","",AH392-M392)</f>
        <v/>
      </c>
      <c r="AJ392">
        <f>IF($C392="","",IF(COUNTIF($C$2:$C392,$C392)=1,1,0))</f>
        <v/>
      </c>
      <c r="AK392">
        <f>IF($AJ392=1,SUMPRODUCT(--($AN$2:$AN$4001&lt;$AN392))+1,"")</f>
        <v/>
      </c>
      <c r="AL392">
        <f>IF($C392="","",IF(OR($Q392=TRUE(),$Q392="TRUE"),1,0))</f>
        <v/>
      </c>
      <c r="AM392">
        <f>IF($C392="","",IF($W392="Yes",1,0))</f>
        <v/>
      </c>
      <c r="AN392">
        <f>IF($AJ392=1,IFERROR(IF(VALUE($C392)&lt;100000000,VALUE($C392),1000000000),IFERROR(IF(VALUE(MID($C392,2,20))&lt;100000000,VALUE(MID($C392,2,20)),1000000000),1000000000))+ROW()/100000,"")</f>
        <v/>
      </c>
    </row>
    <row r="393">
      <c r="E393" s="11" t="n"/>
      <c r="M393" s="7">
        <f>IF($C393="","",L393*U393/100)</f>
        <v/>
      </c>
      <c r="N393" s="7" t="n"/>
      <c r="T393" s="7" t="n"/>
      <c r="U393" s="7">
        <f>IF($C393="","",S393*T393)</f>
        <v/>
      </c>
      <c r="X393">
        <f>IF($C393="","",IF($AM393=1,0,IF($AL393=1,Settings!$C$6,Settings!$C$7))*100)</f>
        <v/>
      </c>
      <c r="AB393" s="7" t="n"/>
      <c r="AE393" s="11" t="n"/>
      <c r="AG393" s="7">
        <f>IF($C393="","",U393*X393/100)</f>
        <v/>
      </c>
      <c r="AH393" s="7">
        <f>IF($C393="","",U393-AG393)</f>
        <v/>
      </c>
      <c r="AI393" s="7">
        <f>IF($C393="","",AH393-M393)</f>
        <v/>
      </c>
      <c r="AJ393">
        <f>IF($C393="","",IF(COUNTIF($C$2:$C393,$C393)=1,1,0))</f>
        <v/>
      </c>
      <c r="AK393">
        <f>IF($AJ393=1,SUMPRODUCT(--($AN$2:$AN$4001&lt;$AN393))+1,"")</f>
        <v/>
      </c>
      <c r="AL393">
        <f>IF($C393="","",IF(OR($Q393=TRUE(),$Q393="TRUE"),1,0))</f>
        <v/>
      </c>
      <c r="AM393">
        <f>IF($C393="","",IF($W393="Yes",1,0))</f>
        <v/>
      </c>
      <c r="AN393">
        <f>IF($AJ393=1,IFERROR(IF(VALUE($C393)&lt;100000000,VALUE($C393),1000000000),IFERROR(IF(VALUE(MID($C393,2,20))&lt;100000000,VALUE(MID($C393,2,20)),1000000000),1000000000))+ROW()/100000,"")</f>
        <v/>
      </c>
    </row>
    <row r="394">
      <c r="E394" s="11" t="n"/>
      <c r="M394" s="7">
        <f>IF($C394="","",L394*U394/100)</f>
        <v/>
      </c>
      <c r="N394" s="7" t="n"/>
      <c r="T394" s="7" t="n"/>
      <c r="U394" s="7">
        <f>IF($C394="","",S394*T394)</f>
        <v/>
      </c>
      <c r="X394">
        <f>IF($C394="","",IF($AM394=1,0,IF($AL394=1,Settings!$C$6,Settings!$C$7))*100)</f>
        <v/>
      </c>
      <c r="AB394" s="7" t="n"/>
      <c r="AE394" s="11" t="n"/>
      <c r="AG394" s="7">
        <f>IF($C394="","",U394*X394/100)</f>
        <v/>
      </c>
      <c r="AH394" s="7">
        <f>IF($C394="","",U394-AG394)</f>
        <v/>
      </c>
      <c r="AI394" s="7">
        <f>IF($C394="","",AH394-M394)</f>
        <v/>
      </c>
      <c r="AJ394">
        <f>IF($C394="","",IF(COUNTIF($C$2:$C394,$C394)=1,1,0))</f>
        <v/>
      </c>
      <c r="AK394">
        <f>IF($AJ394=1,SUMPRODUCT(--($AN$2:$AN$4001&lt;$AN394))+1,"")</f>
        <v/>
      </c>
      <c r="AL394">
        <f>IF($C394="","",IF(OR($Q394=TRUE(),$Q394="TRUE"),1,0))</f>
        <v/>
      </c>
      <c r="AM394">
        <f>IF($C394="","",IF($W394="Yes",1,0))</f>
        <v/>
      </c>
      <c r="AN394">
        <f>IF($AJ394=1,IFERROR(IF(VALUE($C394)&lt;100000000,VALUE($C394),1000000000),IFERROR(IF(VALUE(MID($C394,2,20))&lt;100000000,VALUE(MID($C394,2,20)),1000000000),1000000000))+ROW()/100000,"")</f>
        <v/>
      </c>
    </row>
    <row r="395">
      <c r="E395" s="11" t="n"/>
      <c r="M395" s="7">
        <f>IF($C395="","",L395*U395/100)</f>
        <v/>
      </c>
      <c r="N395" s="7" t="n"/>
      <c r="T395" s="7" t="n"/>
      <c r="U395" s="7">
        <f>IF($C395="","",S395*T395)</f>
        <v/>
      </c>
      <c r="X395">
        <f>IF($C395="","",IF($AM395=1,0,IF($AL395=1,Settings!$C$6,Settings!$C$7))*100)</f>
        <v/>
      </c>
      <c r="AB395" s="7" t="n"/>
      <c r="AE395" s="11" t="n"/>
      <c r="AG395" s="7">
        <f>IF($C395="","",U395*X395/100)</f>
        <v/>
      </c>
      <c r="AH395" s="7">
        <f>IF($C395="","",U395-AG395)</f>
        <v/>
      </c>
      <c r="AI395" s="7">
        <f>IF($C395="","",AH395-M395)</f>
        <v/>
      </c>
      <c r="AJ395">
        <f>IF($C395="","",IF(COUNTIF($C$2:$C395,$C395)=1,1,0))</f>
        <v/>
      </c>
      <c r="AK395">
        <f>IF($AJ395=1,SUMPRODUCT(--($AN$2:$AN$4001&lt;$AN395))+1,"")</f>
        <v/>
      </c>
      <c r="AL395">
        <f>IF($C395="","",IF(OR($Q395=TRUE(),$Q395="TRUE"),1,0))</f>
        <v/>
      </c>
      <c r="AM395">
        <f>IF($C395="","",IF($W395="Yes",1,0))</f>
        <v/>
      </c>
      <c r="AN395">
        <f>IF($AJ395=1,IFERROR(IF(VALUE($C395)&lt;100000000,VALUE($C395),1000000000),IFERROR(IF(VALUE(MID($C395,2,20))&lt;100000000,VALUE(MID($C395,2,20)),1000000000),1000000000))+ROW()/100000,"")</f>
        <v/>
      </c>
    </row>
    <row r="396">
      <c r="E396" s="11" t="n"/>
      <c r="M396" s="7">
        <f>IF($C396="","",L396*U396/100)</f>
        <v/>
      </c>
      <c r="N396" s="7" t="n"/>
      <c r="T396" s="7" t="n"/>
      <c r="U396" s="7">
        <f>IF($C396="","",S396*T396)</f>
        <v/>
      </c>
      <c r="X396">
        <f>IF($C396="","",IF($AM396=1,0,IF($AL396=1,Settings!$C$6,Settings!$C$7))*100)</f>
        <v/>
      </c>
      <c r="AB396" s="7" t="n"/>
      <c r="AE396" s="11" t="n"/>
      <c r="AG396" s="7">
        <f>IF($C396="","",U396*X396/100)</f>
        <v/>
      </c>
      <c r="AH396" s="7">
        <f>IF($C396="","",U396-AG396)</f>
        <v/>
      </c>
      <c r="AI396" s="7">
        <f>IF($C396="","",AH396-M396)</f>
        <v/>
      </c>
      <c r="AJ396">
        <f>IF($C396="","",IF(COUNTIF($C$2:$C396,$C396)=1,1,0))</f>
        <v/>
      </c>
      <c r="AK396">
        <f>IF($AJ396=1,SUMPRODUCT(--($AN$2:$AN$4001&lt;$AN396))+1,"")</f>
        <v/>
      </c>
      <c r="AL396">
        <f>IF($C396="","",IF(OR($Q396=TRUE(),$Q396="TRUE"),1,0))</f>
        <v/>
      </c>
      <c r="AM396">
        <f>IF($C396="","",IF($W396="Yes",1,0))</f>
        <v/>
      </c>
      <c r="AN396">
        <f>IF($AJ396=1,IFERROR(IF(VALUE($C396)&lt;100000000,VALUE($C396),1000000000),IFERROR(IF(VALUE(MID($C396,2,20))&lt;100000000,VALUE(MID($C396,2,20)),1000000000),1000000000))+ROW()/100000,"")</f>
        <v/>
      </c>
    </row>
    <row r="397">
      <c r="E397" s="11" t="n"/>
      <c r="M397" s="7">
        <f>IF($C397="","",L397*U397/100)</f>
        <v/>
      </c>
      <c r="N397" s="7" t="n"/>
      <c r="T397" s="7" t="n"/>
      <c r="U397" s="7">
        <f>IF($C397="","",S397*T397)</f>
        <v/>
      </c>
      <c r="X397">
        <f>IF($C397="","",IF($AM397=1,0,IF($AL397=1,Settings!$C$6,Settings!$C$7))*100)</f>
        <v/>
      </c>
      <c r="AB397" s="7" t="n"/>
      <c r="AE397" s="11" t="n"/>
      <c r="AG397" s="7">
        <f>IF($C397="","",U397*X397/100)</f>
        <v/>
      </c>
      <c r="AH397" s="7">
        <f>IF($C397="","",U397-AG397)</f>
        <v/>
      </c>
      <c r="AI397" s="7">
        <f>IF($C397="","",AH397-M397)</f>
        <v/>
      </c>
      <c r="AJ397">
        <f>IF($C397="","",IF(COUNTIF($C$2:$C397,$C397)=1,1,0))</f>
        <v/>
      </c>
      <c r="AK397">
        <f>IF($AJ397=1,SUMPRODUCT(--($AN$2:$AN$4001&lt;$AN397))+1,"")</f>
        <v/>
      </c>
      <c r="AL397">
        <f>IF($C397="","",IF(OR($Q397=TRUE(),$Q397="TRUE"),1,0))</f>
        <v/>
      </c>
      <c r="AM397">
        <f>IF($C397="","",IF($W397="Yes",1,0))</f>
        <v/>
      </c>
      <c r="AN397">
        <f>IF($AJ397=1,IFERROR(IF(VALUE($C397)&lt;100000000,VALUE($C397),1000000000),IFERROR(IF(VALUE(MID($C397,2,20))&lt;100000000,VALUE(MID($C397,2,20)),1000000000),1000000000))+ROW()/100000,"")</f>
        <v/>
      </c>
    </row>
    <row r="398">
      <c r="E398" s="11" t="n"/>
      <c r="M398" s="7">
        <f>IF($C398="","",L398*U398/100)</f>
        <v/>
      </c>
      <c r="N398" s="7" t="n"/>
      <c r="T398" s="7" t="n"/>
      <c r="U398" s="7">
        <f>IF($C398="","",S398*T398)</f>
        <v/>
      </c>
      <c r="X398">
        <f>IF($C398="","",IF($AM398=1,0,IF($AL398=1,Settings!$C$6,Settings!$C$7))*100)</f>
        <v/>
      </c>
      <c r="AB398" s="7" t="n"/>
      <c r="AE398" s="11" t="n"/>
      <c r="AG398" s="7">
        <f>IF($C398="","",U398*X398/100)</f>
        <v/>
      </c>
      <c r="AH398" s="7">
        <f>IF($C398="","",U398-AG398)</f>
        <v/>
      </c>
      <c r="AI398" s="7">
        <f>IF($C398="","",AH398-M398)</f>
        <v/>
      </c>
      <c r="AJ398">
        <f>IF($C398="","",IF(COUNTIF($C$2:$C398,$C398)=1,1,0))</f>
        <v/>
      </c>
      <c r="AK398">
        <f>IF($AJ398=1,SUMPRODUCT(--($AN$2:$AN$4001&lt;$AN398))+1,"")</f>
        <v/>
      </c>
      <c r="AL398">
        <f>IF($C398="","",IF(OR($Q398=TRUE(),$Q398="TRUE"),1,0))</f>
        <v/>
      </c>
      <c r="AM398">
        <f>IF($C398="","",IF($W398="Yes",1,0))</f>
        <v/>
      </c>
      <c r="AN398">
        <f>IF($AJ398=1,IFERROR(IF(VALUE($C398)&lt;100000000,VALUE($C398),1000000000),IFERROR(IF(VALUE(MID($C398,2,20))&lt;100000000,VALUE(MID($C398,2,20)),1000000000),1000000000))+ROW()/100000,"")</f>
        <v/>
      </c>
    </row>
    <row r="399">
      <c r="E399" s="11" t="n"/>
      <c r="M399" s="7">
        <f>IF($C399="","",L399*U399/100)</f>
        <v/>
      </c>
      <c r="N399" s="7" t="n"/>
      <c r="T399" s="7" t="n"/>
      <c r="U399" s="7">
        <f>IF($C399="","",S399*T399)</f>
        <v/>
      </c>
      <c r="X399">
        <f>IF($C399="","",IF($AM399=1,0,IF($AL399=1,Settings!$C$6,Settings!$C$7))*100)</f>
        <v/>
      </c>
      <c r="AB399" s="7" t="n"/>
      <c r="AE399" s="11" t="n"/>
      <c r="AG399" s="7">
        <f>IF($C399="","",U399*X399/100)</f>
        <v/>
      </c>
      <c r="AH399" s="7">
        <f>IF($C399="","",U399-AG399)</f>
        <v/>
      </c>
      <c r="AI399" s="7">
        <f>IF($C399="","",AH399-M399)</f>
        <v/>
      </c>
      <c r="AJ399">
        <f>IF($C399="","",IF(COUNTIF($C$2:$C399,$C399)=1,1,0))</f>
        <v/>
      </c>
      <c r="AK399">
        <f>IF($AJ399=1,SUMPRODUCT(--($AN$2:$AN$4001&lt;$AN399))+1,"")</f>
        <v/>
      </c>
      <c r="AL399">
        <f>IF($C399="","",IF(OR($Q399=TRUE(),$Q399="TRUE"),1,0))</f>
        <v/>
      </c>
      <c r="AM399">
        <f>IF($C399="","",IF($W399="Yes",1,0))</f>
        <v/>
      </c>
      <c r="AN399">
        <f>IF($AJ399=1,IFERROR(IF(VALUE($C399)&lt;100000000,VALUE($C399),1000000000),IFERROR(IF(VALUE(MID($C399,2,20))&lt;100000000,VALUE(MID($C399,2,20)),1000000000),1000000000))+ROW()/100000,"")</f>
        <v/>
      </c>
    </row>
    <row r="400">
      <c r="E400" s="11" t="n"/>
      <c r="M400" s="7">
        <f>IF($C400="","",L400*U400/100)</f>
        <v/>
      </c>
      <c r="N400" s="7" t="n"/>
      <c r="T400" s="7" t="n"/>
      <c r="U400" s="7">
        <f>IF($C400="","",S400*T400)</f>
        <v/>
      </c>
      <c r="X400">
        <f>IF($C400="","",IF($AM400=1,0,IF($AL400=1,Settings!$C$6,Settings!$C$7))*100)</f>
        <v/>
      </c>
      <c r="AB400" s="7" t="n"/>
      <c r="AE400" s="11" t="n"/>
      <c r="AG400" s="7">
        <f>IF($C400="","",U400*X400/100)</f>
        <v/>
      </c>
      <c r="AH400" s="7">
        <f>IF($C400="","",U400-AG400)</f>
        <v/>
      </c>
      <c r="AI400" s="7">
        <f>IF($C400="","",AH400-M400)</f>
        <v/>
      </c>
      <c r="AJ400">
        <f>IF($C400="","",IF(COUNTIF($C$2:$C400,$C400)=1,1,0))</f>
        <v/>
      </c>
      <c r="AK400">
        <f>IF($AJ400=1,SUMPRODUCT(--($AN$2:$AN$4001&lt;$AN400))+1,"")</f>
        <v/>
      </c>
      <c r="AL400">
        <f>IF($C400="","",IF(OR($Q400=TRUE(),$Q400="TRUE"),1,0))</f>
        <v/>
      </c>
      <c r="AM400">
        <f>IF($C400="","",IF($W400="Yes",1,0))</f>
        <v/>
      </c>
      <c r="AN400">
        <f>IF($AJ400=1,IFERROR(IF(VALUE($C400)&lt;100000000,VALUE($C400),1000000000),IFERROR(IF(VALUE(MID($C400,2,20))&lt;100000000,VALUE(MID($C400,2,20)),1000000000),1000000000))+ROW()/100000,"")</f>
        <v/>
      </c>
    </row>
    <row r="401">
      <c r="E401" s="11" t="n"/>
      <c r="M401" s="7">
        <f>IF($C401="","",L401*U401/100)</f>
        <v/>
      </c>
      <c r="N401" s="7" t="n"/>
      <c r="T401" s="7" t="n"/>
      <c r="U401" s="7">
        <f>IF($C401="","",S401*T401)</f>
        <v/>
      </c>
      <c r="X401">
        <f>IF($C401="","",IF($AM401=1,0,IF($AL401=1,Settings!$C$6,Settings!$C$7))*100)</f>
        <v/>
      </c>
      <c r="AB401" s="7" t="n"/>
      <c r="AE401" s="11" t="n"/>
      <c r="AG401" s="7">
        <f>IF($C401="","",U401*X401/100)</f>
        <v/>
      </c>
      <c r="AH401" s="7">
        <f>IF($C401="","",U401-AG401)</f>
        <v/>
      </c>
      <c r="AI401" s="7">
        <f>IF($C401="","",AH401-M401)</f>
        <v/>
      </c>
      <c r="AJ401">
        <f>IF($C401="","",IF(COUNTIF($C$2:$C401,$C401)=1,1,0))</f>
        <v/>
      </c>
      <c r="AK401">
        <f>IF($AJ401=1,SUMPRODUCT(--($AN$2:$AN$4001&lt;$AN401))+1,"")</f>
        <v/>
      </c>
      <c r="AL401">
        <f>IF($C401="","",IF(OR($Q401=TRUE(),$Q401="TRUE"),1,0))</f>
        <v/>
      </c>
      <c r="AM401">
        <f>IF($C401="","",IF($W401="Yes",1,0))</f>
        <v/>
      </c>
      <c r="AN401">
        <f>IF($AJ401=1,IFERROR(IF(VALUE($C401)&lt;100000000,VALUE($C401),1000000000),IFERROR(IF(VALUE(MID($C401,2,20))&lt;100000000,VALUE(MID($C401,2,20)),1000000000),1000000000))+ROW()/100000,"")</f>
        <v/>
      </c>
    </row>
    <row r="402">
      <c r="E402" s="11" t="n"/>
      <c r="M402" s="7">
        <f>IF($C402="","",L402*U402/100)</f>
        <v/>
      </c>
      <c r="N402" s="7" t="n"/>
      <c r="T402" s="7" t="n"/>
      <c r="U402" s="7">
        <f>IF($C402="","",S402*T402)</f>
        <v/>
      </c>
      <c r="X402">
        <f>IF($C402="","",IF($AM402=1,0,IF($AL402=1,Settings!$C$6,Settings!$C$7))*100)</f>
        <v/>
      </c>
      <c r="AB402" s="7" t="n"/>
      <c r="AE402" s="11" t="n"/>
      <c r="AG402" s="7">
        <f>IF($C402="","",U402*X402/100)</f>
        <v/>
      </c>
      <c r="AH402" s="7">
        <f>IF($C402="","",U402-AG402)</f>
        <v/>
      </c>
      <c r="AI402" s="7">
        <f>IF($C402="","",AH402-M402)</f>
        <v/>
      </c>
      <c r="AJ402">
        <f>IF($C402="","",IF(COUNTIF($C$2:$C402,$C402)=1,1,0))</f>
        <v/>
      </c>
      <c r="AK402">
        <f>IF($AJ402=1,SUMPRODUCT(--($AN$2:$AN$4001&lt;$AN402))+1,"")</f>
        <v/>
      </c>
      <c r="AL402">
        <f>IF($C402="","",IF(OR($Q402=TRUE(),$Q402="TRUE"),1,0))</f>
        <v/>
      </c>
      <c r="AM402">
        <f>IF($C402="","",IF($W402="Yes",1,0))</f>
        <v/>
      </c>
      <c r="AN402">
        <f>IF($AJ402=1,IFERROR(IF(VALUE($C402)&lt;100000000,VALUE($C402),1000000000),IFERROR(IF(VALUE(MID($C402,2,20))&lt;100000000,VALUE(MID($C402,2,20)),1000000000),1000000000))+ROW()/100000,"")</f>
        <v/>
      </c>
    </row>
    <row r="403">
      <c r="E403" s="11" t="n"/>
      <c r="M403" s="7">
        <f>IF($C403="","",L403*U403/100)</f>
        <v/>
      </c>
      <c r="N403" s="7" t="n"/>
      <c r="T403" s="7" t="n"/>
      <c r="U403" s="7">
        <f>IF($C403="","",S403*T403)</f>
        <v/>
      </c>
      <c r="X403">
        <f>IF($C403="","",IF($AM403=1,0,IF($AL403=1,Settings!$C$6,Settings!$C$7))*100)</f>
        <v/>
      </c>
      <c r="AB403" s="7" t="n"/>
      <c r="AE403" s="11" t="n"/>
      <c r="AG403" s="7">
        <f>IF($C403="","",U403*X403/100)</f>
        <v/>
      </c>
      <c r="AH403" s="7">
        <f>IF($C403="","",U403-AG403)</f>
        <v/>
      </c>
      <c r="AI403" s="7">
        <f>IF($C403="","",AH403-M403)</f>
        <v/>
      </c>
      <c r="AJ403">
        <f>IF($C403="","",IF(COUNTIF($C$2:$C403,$C403)=1,1,0))</f>
        <v/>
      </c>
      <c r="AK403">
        <f>IF($AJ403=1,SUMPRODUCT(--($AN$2:$AN$4001&lt;$AN403))+1,"")</f>
        <v/>
      </c>
      <c r="AL403">
        <f>IF($C403="","",IF(OR($Q403=TRUE(),$Q403="TRUE"),1,0))</f>
        <v/>
      </c>
      <c r="AM403">
        <f>IF($C403="","",IF($W403="Yes",1,0))</f>
        <v/>
      </c>
      <c r="AN403">
        <f>IF($AJ403=1,IFERROR(IF(VALUE($C403)&lt;100000000,VALUE($C403),1000000000),IFERROR(IF(VALUE(MID($C403,2,20))&lt;100000000,VALUE(MID($C403,2,20)),1000000000),1000000000))+ROW()/100000,"")</f>
        <v/>
      </c>
    </row>
    <row r="404">
      <c r="E404" s="11" t="n"/>
      <c r="M404" s="7">
        <f>IF($C404="","",L404*U404/100)</f>
        <v/>
      </c>
      <c r="N404" s="7" t="n"/>
      <c r="T404" s="7" t="n"/>
      <c r="U404" s="7">
        <f>IF($C404="","",S404*T404)</f>
        <v/>
      </c>
      <c r="X404">
        <f>IF($C404="","",IF($AM404=1,0,IF($AL404=1,Settings!$C$6,Settings!$C$7))*100)</f>
        <v/>
      </c>
      <c r="AB404" s="7" t="n"/>
      <c r="AE404" s="11" t="n"/>
      <c r="AG404" s="7">
        <f>IF($C404="","",U404*X404/100)</f>
        <v/>
      </c>
      <c r="AH404" s="7">
        <f>IF($C404="","",U404-AG404)</f>
        <v/>
      </c>
      <c r="AI404" s="7">
        <f>IF($C404="","",AH404-M404)</f>
        <v/>
      </c>
      <c r="AJ404">
        <f>IF($C404="","",IF(COUNTIF($C$2:$C404,$C404)=1,1,0))</f>
        <v/>
      </c>
      <c r="AK404">
        <f>IF($AJ404=1,SUMPRODUCT(--($AN$2:$AN$4001&lt;$AN404))+1,"")</f>
        <v/>
      </c>
      <c r="AL404">
        <f>IF($C404="","",IF(OR($Q404=TRUE(),$Q404="TRUE"),1,0))</f>
        <v/>
      </c>
      <c r="AM404">
        <f>IF($C404="","",IF($W404="Yes",1,0))</f>
        <v/>
      </c>
      <c r="AN404">
        <f>IF($AJ404=1,IFERROR(IF(VALUE($C404)&lt;100000000,VALUE($C404),1000000000),IFERROR(IF(VALUE(MID($C404,2,20))&lt;100000000,VALUE(MID($C404,2,20)),1000000000),1000000000))+ROW()/100000,"")</f>
        <v/>
      </c>
    </row>
    <row r="405">
      <c r="E405" s="11" t="n"/>
      <c r="M405" s="7">
        <f>IF($C405="","",L405*U405/100)</f>
        <v/>
      </c>
      <c r="N405" s="7" t="n"/>
      <c r="T405" s="7" t="n"/>
      <c r="U405" s="7">
        <f>IF($C405="","",S405*T405)</f>
        <v/>
      </c>
      <c r="X405">
        <f>IF($C405="","",IF($AM405=1,0,IF($AL405=1,Settings!$C$6,Settings!$C$7))*100)</f>
        <v/>
      </c>
      <c r="AB405" s="7" t="n"/>
      <c r="AE405" s="11" t="n"/>
      <c r="AG405" s="7">
        <f>IF($C405="","",U405*X405/100)</f>
        <v/>
      </c>
      <c r="AH405" s="7">
        <f>IF($C405="","",U405-AG405)</f>
        <v/>
      </c>
      <c r="AI405" s="7">
        <f>IF($C405="","",AH405-M405)</f>
        <v/>
      </c>
      <c r="AJ405">
        <f>IF($C405="","",IF(COUNTIF($C$2:$C405,$C405)=1,1,0))</f>
        <v/>
      </c>
      <c r="AK405">
        <f>IF($AJ405=1,SUMPRODUCT(--($AN$2:$AN$4001&lt;$AN405))+1,"")</f>
        <v/>
      </c>
      <c r="AL405">
        <f>IF($C405="","",IF(OR($Q405=TRUE(),$Q405="TRUE"),1,0))</f>
        <v/>
      </c>
      <c r="AM405">
        <f>IF($C405="","",IF($W405="Yes",1,0))</f>
        <v/>
      </c>
      <c r="AN405">
        <f>IF($AJ405=1,IFERROR(IF(VALUE($C405)&lt;100000000,VALUE($C405),1000000000),IFERROR(IF(VALUE(MID($C405,2,20))&lt;100000000,VALUE(MID($C405,2,20)),1000000000),1000000000))+ROW()/100000,"")</f>
        <v/>
      </c>
    </row>
    <row r="406">
      <c r="E406" s="11" t="n"/>
      <c r="M406" s="7">
        <f>IF($C406="","",L406*U406/100)</f>
        <v/>
      </c>
      <c r="N406" s="7" t="n"/>
      <c r="T406" s="7" t="n"/>
      <c r="U406" s="7">
        <f>IF($C406="","",S406*T406)</f>
        <v/>
      </c>
      <c r="X406">
        <f>IF($C406="","",IF($AM406=1,0,IF($AL406=1,Settings!$C$6,Settings!$C$7))*100)</f>
        <v/>
      </c>
      <c r="AB406" s="7" t="n"/>
      <c r="AE406" s="11" t="n"/>
      <c r="AG406" s="7">
        <f>IF($C406="","",U406*X406/100)</f>
        <v/>
      </c>
      <c r="AH406" s="7">
        <f>IF($C406="","",U406-AG406)</f>
        <v/>
      </c>
      <c r="AI406" s="7">
        <f>IF($C406="","",AH406-M406)</f>
        <v/>
      </c>
      <c r="AJ406">
        <f>IF($C406="","",IF(COUNTIF($C$2:$C406,$C406)=1,1,0))</f>
        <v/>
      </c>
      <c r="AK406">
        <f>IF($AJ406=1,SUMPRODUCT(--($AN$2:$AN$4001&lt;$AN406))+1,"")</f>
        <v/>
      </c>
      <c r="AL406">
        <f>IF($C406="","",IF(OR($Q406=TRUE(),$Q406="TRUE"),1,0))</f>
        <v/>
      </c>
      <c r="AM406">
        <f>IF($C406="","",IF($W406="Yes",1,0))</f>
        <v/>
      </c>
      <c r="AN406">
        <f>IF($AJ406=1,IFERROR(IF(VALUE($C406)&lt;100000000,VALUE($C406),1000000000),IFERROR(IF(VALUE(MID($C406,2,20))&lt;100000000,VALUE(MID($C406,2,20)),1000000000),1000000000))+ROW()/100000,"")</f>
        <v/>
      </c>
    </row>
    <row r="407">
      <c r="E407" s="11" t="n"/>
      <c r="M407" s="7">
        <f>IF($C407="","",L407*U407/100)</f>
        <v/>
      </c>
      <c r="N407" s="7" t="n"/>
      <c r="T407" s="7" t="n"/>
      <c r="U407" s="7">
        <f>IF($C407="","",S407*T407)</f>
        <v/>
      </c>
      <c r="X407">
        <f>IF($C407="","",IF($AM407=1,0,IF($AL407=1,Settings!$C$6,Settings!$C$7))*100)</f>
        <v/>
      </c>
      <c r="AB407" s="7" t="n"/>
      <c r="AE407" s="11" t="n"/>
      <c r="AG407" s="7">
        <f>IF($C407="","",U407*X407/100)</f>
        <v/>
      </c>
      <c r="AH407" s="7">
        <f>IF($C407="","",U407-AG407)</f>
        <v/>
      </c>
      <c r="AI407" s="7">
        <f>IF($C407="","",AH407-M407)</f>
        <v/>
      </c>
      <c r="AJ407">
        <f>IF($C407="","",IF(COUNTIF($C$2:$C407,$C407)=1,1,0))</f>
        <v/>
      </c>
      <c r="AK407">
        <f>IF($AJ407=1,SUMPRODUCT(--($AN$2:$AN$4001&lt;$AN407))+1,"")</f>
        <v/>
      </c>
      <c r="AL407">
        <f>IF($C407="","",IF(OR($Q407=TRUE(),$Q407="TRUE"),1,0))</f>
        <v/>
      </c>
      <c r="AM407">
        <f>IF($C407="","",IF($W407="Yes",1,0))</f>
        <v/>
      </c>
      <c r="AN407">
        <f>IF($AJ407=1,IFERROR(IF(VALUE($C407)&lt;100000000,VALUE($C407),1000000000),IFERROR(IF(VALUE(MID($C407,2,20))&lt;100000000,VALUE(MID($C407,2,20)),1000000000),1000000000))+ROW()/100000,"")</f>
        <v/>
      </c>
    </row>
    <row r="408">
      <c r="E408" s="11" t="n"/>
      <c r="M408" s="7">
        <f>IF($C408="","",L408*U408/100)</f>
        <v/>
      </c>
      <c r="N408" s="7" t="n"/>
      <c r="T408" s="7" t="n"/>
      <c r="U408" s="7">
        <f>IF($C408="","",S408*T408)</f>
        <v/>
      </c>
      <c r="X408">
        <f>IF($C408="","",IF($AM408=1,0,IF($AL408=1,Settings!$C$6,Settings!$C$7))*100)</f>
        <v/>
      </c>
      <c r="AB408" s="7" t="n"/>
      <c r="AE408" s="11" t="n"/>
      <c r="AG408" s="7">
        <f>IF($C408="","",U408*X408/100)</f>
        <v/>
      </c>
      <c r="AH408" s="7">
        <f>IF($C408="","",U408-AG408)</f>
        <v/>
      </c>
      <c r="AI408" s="7">
        <f>IF($C408="","",AH408-M408)</f>
        <v/>
      </c>
      <c r="AJ408">
        <f>IF($C408="","",IF(COUNTIF($C$2:$C408,$C408)=1,1,0))</f>
        <v/>
      </c>
      <c r="AK408">
        <f>IF($AJ408=1,SUMPRODUCT(--($AN$2:$AN$4001&lt;$AN408))+1,"")</f>
        <v/>
      </c>
      <c r="AL408">
        <f>IF($C408="","",IF(OR($Q408=TRUE(),$Q408="TRUE"),1,0))</f>
        <v/>
      </c>
      <c r="AM408">
        <f>IF($C408="","",IF($W408="Yes",1,0))</f>
        <v/>
      </c>
      <c r="AN408">
        <f>IF($AJ408=1,IFERROR(IF(VALUE($C408)&lt;100000000,VALUE($C408),1000000000),IFERROR(IF(VALUE(MID($C408,2,20))&lt;100000000,VALUE(MID($C408,2,20)),1000000000),1000000000))+ROW()/100000,"")</f>
        <v/>
      </c>
    </row>
    <row r="409">
      <c r="E409" s="11" t="n"/>
      <c r="M409" s="7">
        <f>IF($C409="","",L409*U409/100)</f>
        <v/>
      </c>
      <c r="N409" s="7" t="n"/>
      <c r="T409" s="7" t="n"/>
      <c r="U409" s="7">
        <f>IF($C409="","",S409*T409)</f>
        <v/>
      </c>
      <c r="X409">
        <f>IF($C409="","",IF($AM409=1,0,IF($AL409=1,Settings!$C$6,Settings!$C$7))*100)</f>
        <v/>
      </c>
      <c r="AB409" s="7" t="n"/>
      <c r="AE409" s="11" t="n"/>
      <c r="AG409" s="7">
        <f>IF($C409="","",U409*X409/100)</f>
        <v/>
      </c>
      <c r="AH409" s="7">
        <f>IF($C409="","",U409-AG409)</f>
        <v/>
      </c>
      <c r="AI409" s="7">
        <f>IF($C409="","",AH409-M409)</f>
        <v/>
      </c>
      <c r="AJ409">
        <f>IF($C409="","",IF(COUNTIF($C$2:$C409,$C409)=1,1,0))</f>
        <v/>
      </c>
      <c r="AK409">
        <f>IF($AJ409=1,SUMPRODUCT(--($AN$2:$AN$4001&lt;$AN409))+1,"")</f>
        <v/>
      </c>
      <c r="AL409">
        <f>IF($C409="","",IF(OR($Q409=TRUE(),$Q409="TRUE"),1,0))</f>
        <v/>
      </c>
      <c r="AM409">
        <f>IF($C409="","",IF($W409="Yes",1,0))</f>
        <v/>
      </c>
      <c r="AN409">
        <f>IF($AJ409=1,IFERROR(IF(VALUE($C409)&lt;100000000,VALUE($C409),1000000000),IFERROR(IF(VALUE(MID($C409,2,20))&lt;100000000,VALUE(MID($C409,2,20)),1000000000),1000000000))+ROW()/100000,"")</f>
        <v/>
      </c>
    </row>
    <row r="410">
      <c r="E410" s="11" t="n"/>
      <c r="M410" s="7">
        <f>IF($C410="","",L410*U410/100)</f>
        <v/>
      </c>
      <c r="N410" s="7" t="n"/>
      <c r="T410" s="7" t="n"/>
      <c r="U410" s="7">
        <f>IF($C410="","",S410*T410)</f>
        <v/>
      </c>
      <c r="X410">
        <f>IF($C410="","",IF($AM410=1,0,IF($AL410=1,Settings!$C$6,Settings!$C$7))*100)</f>
        <v/>
      </c>
      <c r="AB410" s="7" t="n"/>
      <c r="AE410" s="11" t="n"/>
      <c r="AG410" s="7">
        <f>IF($C410="","",U410*X410/100)</f>
        <v/>
      </c>
      <c r="AH410" s="7">
        <f>IF($C410="","",U410-AG410)</f>
        <v/>
      </c>
      <c r="AI410" s="7">
        <f>IF($C410="","",AH410-M410)</f>
        <v/>
      </c>
      <c r="AJ410">
        <f>IF($C410="","",IF(COUNTIF($C$2:$C410,$C410)=1,1,0))</f>
        <v/>
      </c>
      <c r="AK410">
        <f>IF($AJ410=1,SUMPRODUCT(--($AN$2:$AN$4001&lt;$AN410))+1,"")</f>
        <v/>
      </c>
      <c r="AL410">
        <f>IF($C410="","",IF(OR($Q410=TRUE(),$Q410="TRUE"),1,0))</f>
        <v/>
      </c>
      <c r="AM410">
        <f>IF($C410="","",IF($W410="Yes",1,0))</f>
        <v/>
      </c>
      <c r="AN410">
        <f>IF($AJ410=1,IFERROR(IF(VALUE($C410)&lt;100000000,VALUE($C410),1000000000),IFERROR(IF(VALUE(MID($C410,2,20))&lt;100000000,VALUE(MID($C410,2,20)),1000000000),1000000000))+ROW()/100000,"")</f>
        <v/>
      </c>
    </row>
    <row r="411">
      <c r="E411" s="11" t="n"/>
      <c r="M411" s="7">
        <f>IF($C411="","",L411*U411/100)</f>
        <v/>
      </c>
      <c r="N411" s="7" t="n"/>
      <c r="T411" s="7" t="n"/>
      <c r="U411" s="7">
        <f>IF($C411="","",S411*T411)</f>
        <v/>
      </c>
      <c r="X411">
        <f>IF($C411="","",IF($AM411=1,0,IF($AL411=1,Settings!$C$6,Settings!$C$7))*100)</f>
        <v/>
      </c>
      <c r="AB411" s="7" t="n"/>
      <c r="AE411" s="11" t="n"/>
      <c r="AG411" s="7">
        <f>IF($C411="","",U411*X411/100)</f>
        <v/>
      </c>
      <c r="AH411" s="7">
        <f>IF($C411="","",U411-AG411)</f>
        <v/>
      </c>
      <c r="AI411" s="7">
        <f>IF($C411="","",AH411-M411)</f>
        <v/>
      </c>
      <c r="AJ411">
        <f>IF($C411="","",IF(COUNTIF($C$2:$C411,$C411)=1,1,0))</f>
        <v/>
      </c>
      <c r="AK411">
        <f>IF($AJ411=1,SUMPRODUCT(--($AN$2:$AN$4001&lt;$AN411))+1,"")</f>
        <v/>
      </c>
      <c r="AL411">
        <f>IF($C411="","",IF(OR($Q411=TRUE(),$Q411="TRUE"),1,0))</f>
        <v/>
      </c>
      <c r="AM411">
        <f>IF($C411="","",IF($W411="Yes",1,0))</f>
        <v/>
      </c>
      <c r="AN411">
        <f>IF($AJ411=1,IFERROR(IF(VALUE($C411)&lt;100000000,VALUE($C411),1000000000),IFERROR(IF(VALUE(MID($C411,2,20))&lt;100000000,VALUE(MID($C411,2,20)),1000000000),1000000000))+ROW()/100000,"")</f>
        <v/>
      </c>
    </row>
    <row r="412">
      <c r="E412" s="11" t="n"/>
      <c r="M412" s="7">
        <f>IF($C412="","",L412*U412/100)</f>
        <v/>
      </c>
      <c r="N412" s="7" t="n"/>
      <c r="T412" s="7" t="n"/>
      <c r="U412" s="7">
        <f>IF($C412="","",S412*T412)</f>
        <v/>
      </c>
      <c r="X412">
        <f>IF($C412="","",IF($AM412=1,0,IF($AL412=1,Settings!$C$6,Settings!$C$7))*100)</f>
        <v/>
      </c>
      <c r="AB412" s="7" t="n"/>
      <c r="AE412" s="11" t="n"/>
      <c r="AG412" s="7">
        <f>IF($C412="","",U412*X412/100)</f>
        <v/>
      </c>
      <c r="AH412" s="7">
        <f>IF($C412="","",U412-AG412)</f>
        <v/>
      </c>
      <c r="AI412" s="7">
        <f>IF($C412="","",AH412-M412)</f>
        <v/>
      </c>
      <c r="AJ412">
        <f>IF($C412="","",IF(COUNTIF($C$2:$C412,$C412)=1,1,0))</f>
        <v/>
      </c>
      <c r="AK412">
        <f>IF($AJ412=1,SUMPRODUCT(--($AN$2:$AN$4001&lt;$AN412))+1,"")</f>
        <v/>
      </c>
      <c r="AL412">
        <f>IF($C412="","",IF(OR($Q412=TRUE(),$Q412="TRUE"),1,0))</f>
        <v/>
      </c>
      <c r="AM412">
        <f>IF($C412="","",IF($W412="Yes",1,0))</f>
        <v/>
      </c>
      <c r="AN412">
        <f>IF($AJ412=1,IFERROR(IF(VALUE($C412)&lt;100000000,VALUE($C412),1000000000),IFERROR(IF(VALUE(MID($C412,2,20))&lt;100000000,VALUE(MID($C412,2,20)),1000000000),1000000000))+ROW()/100000,"")</f>
        <v/>
      </c>
    </row>
    <row r="413">
      <c r="E413" s="11" t="n"/>
      <c r="M413" s="7">
        <f>IF($C413="","",L413*U413/100)</f>
        <v/>
      </c>
      <c r="N413" s="7" t="n"/>
      <c r="T413" s="7" t="n"/>
      <c r="U413" s="7">
        <f>IF($C413="","",S413*T413)</f>
        <v/>
      </c>
      <c r="X413">
        <f>IF($C413="","",IF($AM413=1,0,IF($AL413=1,Settings!$C$6,Settings!$C$7))*100)</f>
        <v/>
      </c>
      <c r="AB413" s="7" t="n"/>
      <c r="AE413" s="11" t="n"/>
      <c r="AG413" s="7">
        <f>IF($C413="","",U413*X413/100)</f>
        <v/>
      </c>
      <c r="AH413" s="7">
        <f>IF($C413="","",U413-AG413)</f>
        <v/>
      </c>
      <c r="AI413" s="7">
        <f>IF($C413="","",AH413-M413)</f>
        <v/>
      </c>
      <c r="AJ413">
        <f>IF($C413="","",IF(COUNTIF($C$2:$C413,$C413)=1,1,0))</f>
        <v/>
      </c>
      <c r="AK413">
        <f>IF($AJ413=1,SUMPRODUCT(--($AN$2:$AN$4001&lt;$AN413))+1,"")</f>
        <v/>
      </c>
      <c r="AL413">
        <f>IF($C413="","",IF(OR($Q413=TRUE(),$Q413="TRUE"),1,0))</f>
        <v/>
      </c>
      <c r="AM413">
        <f>IF($C413="","",IF($W413="Yes",1,0))</f>
        <v/>
      </c>
      <c r="AN413">
        <f>IF($AJ413=1,IFERROR(IF(VALUE($C413)&lt;100000000,VALUE($C413),1000000000),IFERROR(IF(VALUE(MID($C413,2,20))&lt;100000000,VALUE(MID($C413,2,20)),1000000000),1000000000))+ROW()/100000,"")</f>
        <v/>
      </c>
    </row>
    <row r="414">
      <c r="E414" s="11" t="n"/>
      <c r="M414" s="7">
        <f>IF($C414="","",L414*U414/100)</f>
        <v/>
      </c>
      <c r="N414" s="7" t="n"/>
      <c r="T414" s="7" t="n"/>
      <c r="U414" s="7">
        <f>IF($C414="","",S414*T414)</f>
        <v/>
      </c>
      <c r="X414">
        <f>IF($C414="","",IF($AM414=1,0,IF($AL414=1,Settings!$C$6,Settings!$C$7))*100)</f>
        <v/>
      </c>
      <c r="AB414" s="7" t="n"/>
      <c r="AE414" s="11" t="n"/>
      <c r="AG414" s="7">
        <f>IF($C414="","",U414*X414/100)</f>
        <v/>
      </c>
      <c r="AH414" s="7">
        <f>IF($C414="","",U414-AG414)</f>
        <v/>
      </c>
      <c r="AI414" s="7">
        <f>IF($C414="","",AH414-M414)</f>
        <v/>
      </c>
      <c r="AJ414">
        <f>IF($C414="","",IF(COUNTIF($C$2:$C414,$C414)=1,1,0))</f>
        <v/>
      </c>
      <c r="AK414">
        <f>IF($AJ414=1,SUMPRODUCT(--($AN$2:$AN$4001&lt;$AN414))+1,"")</f>
        <v/>
      </c>
      <c r="AL414">
        <f>IF($C414="","",IF(OR($Q414=TRUE(),$Q414="TRUE"),1,0))</f>
        <v/>
      </c>
      <c r="AM414">
        <f>IF($C414="","",IF($W414="Yes",1,0))</f>
        <v/>
      </c>
      <c r="AN414">
        <f>IF($AJ414=1,IFERROR(IF(VALUE($C414)&lt;100000000,VALUE($C414),1000000000),IFERROR(IF(VALUE(MID($C414,2,20))&lt;100000000,VALUE(MID($C414,2,20)),1000000000),1000000000))+ROW()/100000,"")</f>
        <v/>
      </c>
    </row>
    <row r="415">
      <c r="E415" s="11" t="n"/>
      <c r="M415" s="7">
        <f>IF($C415="","",L415*U415/100)</f>
        <v/>
      </c>
      <c r="N415" s="7" t="n"/>
      <c r="T415" s="7" t="n"/>
      <c r="U415" s="7">
        <f>IF($C415="","",S415*T415)</f>
        <v/>
      </c>
      <c r="X415">
        <f>IF($C415="","",IF($AM415=1,0,IF($AL415=1,Settings!$C$6,Settings!$C$7))*100)</f>
        <v/>
      </c>
      <c r="AB415" s="7" t="n"/>
      <c r="AE415" s="11" t="n"/>
      <c r="AG415" s="7">
        <f>IF($C415="","",U415*X415/100)</f>
        <v/>
      </c>
      <c r="AH415" s="7">
        <f>IF($C415="","",U415-AG415)</f>
        <v/>
      </c>
      <c r="AI415" s="7">
        <f>IF($C415="","",AH415-M415)</f>
        <v/>
      </c>
      <c r="AJ415">
        <f>IF($C415="","",IF(COUNTIF($C$2:$C415,$C415)=1,1,0))</f>
        <v/>
      </c>
      <c r="AK415">
        <f>IF($AJ415=1,SUMPRODUCT(--($AN$2:$AN$4001&lt;$AN415))+1,"")</f>
        <v/>
      </c>
      <c r="AL415">
        <f>IF($C415="","",IF(OR($Q415=TRUE(),$Q415="TRUE"),1,0))</f>
        <v/>
      </c>
      <c r="AM415">
        <f>IF($C415="","",IF($W415="Yes",1,0))</f>
        <v/>
      </c>
      <c r="AN415">
        <f>IF($AJ415=1,IFERROR(IF(VALUE($C415)&lt;100000000,VALUE($C415),1000000000),IFERROR(IF(VALUE(MID($C415,2,20))&lt;100000000,VALUE(MID($C415,2,20)),1000000000),1000000000))+ROW()/100000,"")</f>
        <v/>
      </c>
    </row>
    <row r="416">
      <c r="E416" s="11" t="n"/>
      <c r="M416" s="7">
        <f>IF($C416="","",L416*U416/100)</f>
        <v/>
      </c>
      <c r="N416" s="7" t="n"/>
      <c r="T416" s="7" t="n"/>
      <c r="U416" s="7">
        <f>IF($C416="","",S416*T416)</f>
        <v/>
      </c>
      <c r="X416">
        <f>IF($C416="","",IF($AM416=1,0,IF($AL416=1,Settings!$C$6,Settings!$C$7))*100)</f>
        <v/>
      </c>
      <c r="AB416" s="7" t="n"/>
      <c r="AE416" s="11" t="n"/>
      <c r="AG416" s="7">
        <f>IF($C416="","",U416*X416/100)</f>
        <v/>
      </c>
      <c r="AH416" s="7">
        <f>IF($C416="","",U416-AG416)</f>
        <v/>
      </c>
      <c r="AI416" s="7">
        <f>IF($C416="","",AH416-M416)</f>
        <v/>
      </c>
      <c r="AJ416">
        <f>IF($C416="","",IF(COUNTIF($C$2:$C416,$C416)=1,1,0))</f>
        <v/>
      </c>
      <c r="AK416">
        <f>IF($AJ416=1,SUMPRODUCT(--($AN$2:$AN$4001&lt;$AN416))+1,"")</f>
        <v/>
      </c>
      <c r="AL416">
        <f>IF($C416="","",IF(OR($Q416=TRUE(),$Q416="TRUE"),1,0))</f>
        <v/>
      </c>
      <c r="AM416">
        <f>IF($C416="","",IF($W416="Yes",1,0))</f>
        <v/>
      </c>
      <c r="AN416">
        <f>IF($AJ416=1,IFERROR(IF(VALUE($C416)&lt;100000000,VALUE($C416),1000000000),IFERROR(IF(VALUE(MID($C416,2,20))&lt;100000000,VALUE(MID($C416,2,20)),1000000000),1000000000))+ROW()/100000,"")</f>
        <v/>
      </c>
    </row>
    <row r="417">
      <c r="E417" s="11" t="n"/>
      <c r="M417" s="7">
        <f>IF($C417="","",L417*U417/100)</f>
        <v/>
      </c>
      <c r="N417" s="7" t="n"/>
      <c r="T417" s="7" t="n"/>
      <c r="U417" s="7">
        <f>IF($C417="","",S417*T417)</f>
        <v/>
      </c>
      <c r="X417">
        <f>IF($C417="","",IF($AM417=1,0,IF($AL417=1,Settings!$C$6,Settings!$C$7))*100)</f>
        <v/>
      </c>
      <c r="AB417" s="7" t="n"/>
      <c r="AE417" s="11" t="n"/>
      <c r="AG417" s="7">
        <f>IF($C417="","",U417*X417/100)</f>
        <v/>
      </c>
      <c r="AH417" s="7">
        <f>IF($C417="","",U417-AG417)</f>
        <v/>
      </c>
      <c r="AI417" s="7">
        <f>IF($C417="","",AH417-M417)</f>
        <v/>
      </c>
      <c r="AJ417">
        <f>IF($C417="","",IF(COUNTIF($C$2:$C417,$C417)=1,1,0))</f>
        <v/>
      </c>
      <c r="AK417">
        <f>IF($AJ417=1,SUMPRODUCT(--($AN$2:$AN$4001&lt;$AN417))+1,"")</f>
        <v/>
      </c>
      <c r="AL417">
        <f>IF($C417="","",IF(OR($Q417=TRUE(),$Q417="TRUE"),1,0))</f>
        <v/>
      </c>
      <c r="AM417">
        <f>IF($C417="","",IF($W417="Yes",1,0))</f>
        <v/>
      </c>
      <c r="AN417">
        <f>IF($AJ417=1,IFERROR(IF(VALUE($C417)&lt;100000000,VALUE($C417),1000000000),IFERROR(IF(VALUE(MID($C417,2,20))&lt;100000000,VALUE(MID($C417,2,20)),1000000000),1000000000))+ROW()/100000,"")</f>
        <v/>
      </c>
    </row>
    <row r="418">
      <c r="E418" s="11" t="n"/>
      <c r="M418" s="7">
        <f>IF($C418="","",L418*U418/100)</f>
        <v/>
      </c>
      <c r="N418" s="7" t="n"/>
      <c r="T418" s="7" t="n"/>
      <c r="U418" s="7">
        <f>IF($C418="","",S418*T418)</f>
        <v/>
      </c>
      <c r="X418">
        <f>IF($C418="","",IF($AM418=1,0,IF($AL418=1,Settings!$C$6,Settings!$C$7))*100)</f>
        <v/>
      </c>
      <c r="AB418" s="7" t="n"/>
      <c r="AE418" s="11" t="n"/>
      <c r="AG418" s="7">
        <f>IF($C418="","",U418*X418/100)</f>
        <v/>
      </c>
      <c r="AH418" s="7">
        <f>IF($C418="","",U418-AG418)</f>
        <v/>
      </c>
      <c r="AI418" s="7">
        <f>IF($C418="","",AH418-M418)</f>
        <v/>
      </c>
      <c r="AJ418">
        <f>IF($C418="","",IF(COUNTIF($C$2:$C418,$C418)=1,1,0))</f>
        <v/>
      </c>
      <c r="AK418">
        <f>IF($AJ418=1,SUMPRODUCT(--($AN$2:$AN$4001&lt;$AN418))+1,"")</f>
        <v/>
      </c>
      <c r="AL418">
        <f>IF($C418="","",IF(OR($Q418=TRUE(),$Q418="TRUE"),1,0))</f>
        <v/>
      </c>
      <c r="AM418">
        <f>IF($C418="","",IF($W418="Yes",1,0))</f>
        <v/>
      </c>
      <c r="AN418">
        <f>IF($AJ418=1,IFERROR(IF(VALUE($C418)&lt;100000000,VALUE($C418),1000000000),IFERROR(IF(VALUE(MID($C418,2,20))&lt;100000000,VALUE(MID($C418,2,20)),1000000000),1000000000))+ROW()/100000,"")</f>
        <v/>
      </c>
    </row>
    <row r="419">
      <c r="E419" s="11" t="n"/>
      <c r="M419" s="7">
        <f>IF($C419="","",L419*U419/100)</f>
        <v/>
      </c>
      <c r="N419" s="7" t="n"/>
      <c r="T419" s="7" t="n"/>
      <c r="U419" s="7">
        <f>IF($C419="","",S419*T419)</f>
        <v/>
      </c>
      <c r="X419">
        <f>IF($C419="","",IF($AM419=1,0,IF($AL419=1,Settings!$C$6,Settings!$C$7))*100)</f>
        <v/>
      </c>
      <c r="AB419" s="7" t="n"/>
      <c r="AE419" s="11" t="n"/>
      <c r="AG419" s="7">
        <f>IF($C419="","",U419*X419/100)</f>
        <v/>
      </c>
      <c r="AH419" s="7">
        <f>IF($C419="","",U419-AG419)</f>
        <v/>
      </c>
      <c r="AI419" s="7">
        <f>IF($C419="","",AH419-M419)</f>
        <v/>
      </c>
      <c r="AJ419">
        <f>IF($C419="","",IF(COUNTIF($C$2:$C419,$C419)=1,1,0))</f>
        <v/>
      </c>
      <c r="AK419">
        <f>IF($AJ419=1,SUMPRODUCT(--($AN$2:$AN$4001&lt;$AN419))+1,"")</f>
        <v/>
      </c>
      <c r="AL419">
        <f>IF($C419="","",IF(OR($Q419=TRUE(),$Q419="TRUE"),1,0))</f>
        <v/>
      </c>
      <c r="AM419">
        <f>IF($C419="","",IF($W419="Yes",1,0))</f>
        <v/>
      </c>
      <c r="AN419">
        <f>IF($AJ419=1,IFERROR(IF(VALUE($C419)&lt;100000000,VALUE($C419),1000000000),IFERROR(IF(VALUE(MID($C419,2,20))&lt;100000000,VALUE(MID($C419,2,20)),1000000000),1000000000))+ROW()/100000,"")</f>
        <v/>
      </c>
    </row>
    <row r="420">
      <c r="E420" s="11" t="n"/>
      <c r="M420" s="7">
        <f>IF($C420="","",L420*U420/100)</f>
        <v/>
      </c>
      <c r="N420" s="7" t="n"/>
      <c r="T420" s="7" t="n"/>
      <c r="U420" s="7">
        <f>IF($C420="","",S420*T420)</f>
        <v/>
      </c>
      <c r="X420">
        <f>IF($C420="","",IF($AM420=1,0,IF($AL420=1,Settings!$C$6,Settings!$C$7))*100)</f>
        <v/>
      </c>
      <c r="AB420" s="7" t="n"/>
      <c r="AE420" s="11" t="n"/>
      <c r="AG420" s="7">
        <f>IF($C420="","",U420*X420/100)</f>
        <v/>
      </c>
      <c r="AH420" s="7">
        <f>IF($C420="","",U420-AG420)</f>
        <v/>
      </c>
      <c r="AI420" s="7">
        <f>IF($C420="","",AH420-M420)</f>
        <v/>
      </c>
      <c r="AJ420">
        <f>IF($C420="","",IF(COUNTIF($C$2:$C420,$C420)=1,1,0))</f>
        <v/>
      </c>
      <c r="AK420">
        <f>IF($AJ420=1,SUMPRODUCT(--($AN$2:$AN$4001&lt;$AN420))+1,"")</f>
        <v/>
      </c>
      <c r="AL420">
        <f>IF($C420="","",IF(OR($Q420=TRUE(),$Q420="TRUE"),1,0))</f>
        <v/>
      </c>
      <c r="AM420">
        <f>IF($C420="","",IF($W420="Yes",1,0))</f>
        <v/>
      </c>
      <c r="AN420">
        <f>IF($AJ420=1,IFERROR(IF(VALUE($C420)&lt;100000000,VALUE($C420),1000000000),IFERROR(IF(VALUE(MID($C420,2,20))&lt;100000000,VALUE(MID($C420,2,20)),1000000000),1000000000))+ROW()/100000,"")</f>
        <v/>
      </c>
    </row>
    <row r="421">
      <c r="E421" s="11" t="n"/>
      <c r="M421" s="7">
        <f>IF($C421="","",L421*U421/100)</f>
        <v/>
      </c>
      <c r="N421" s="7" t="n"/>
      <c r="T421" s="7" t="n"/>
      <c r="U421" s="7">
        <f>IF($C421="","",S421*T421)</f>
        <v/>
      </c>
      <c r="X421">
        <f>IF($C421="","",IF($AM421=1,0,IF($AL421=1,Settings!$C$6,Settings!$C$7))*100)</f>
        <v/>
      </c>
      <c r="AB421" s="7" t="n"/>
      <c r="AE421" s="11" t="n"/>
      <c r="AG421" s="7">
        <f>IF($C421="","",U421*X421/100)</f>
        <v/>
      </c>
      <c r="AH421" s="7">
        <f>IF($C421="","",U421-AG421)</f>
        <v/>
      </c>
      <c r="AI421" s="7">
        <f>IF($C421="","",AH421-M421)</f>
        <v/>
      </c>
      <c r="AJ421">
        <f>IF($C421="","",IF(COUNTIF($C$2:$C421,$C421)=1,1,0))</f>
        <v/>
      </c>
      <c r="AK421">
        <f>IF($AJ421=1,SUMPRODUCT(--($AN$2:$AN$4001&lt;$AN421))+1,"")</f>
        <v/>
      </c>
      <c r="AL421">
        <f>IF($C421="","",IF(OR($Q421=TRUE(),$Q421="TRUE"),1,0))</f>
        <v/>
      </c>
      <c r="AM421">
        <f>IF($C421="","",IF($W421="Yes",1,0))</f>
        <v/>
      </c>
      <c r="AN421">
        <f>IF($AJ421=1,IFERROR(IF(VALUE($C421)&lt;100000000,VALUE($C421),1000000000),IFERROR(IF(VALUE(MID($C421,2,20))&lt;100000000,VALUE(MID($C421,2,20)),1000000000),1000000000))+ROW()/100000,"")</f>
        <v/>
      </c>
    </row>
    <row r="422">
      <c r="E422" s="11" t="n"/>
      <c r="M422" s="7">
        <f>IF($C422="","",L422*U422/100)</f>
        <v/>
      </c>
      <c r="N422" s="7" t="n"/>
      <c r="T422" s="7" t="n"/>
      <c r="U422" s="7">
        <f>IF($C422="","",S422*T422)</f>
        <v/>
      </c>
      <c r="X422">
        <f>IF($C422="","",IF($AM422=1,0,IF($AL422=1,Settings!$C$6,Settings!$C$7))*100)</f>
        <v/>
      </c>
      <c r="AB422" s="7" t="n"/>
      <c r="AE422" s="11" t="n"/>
      <c r="AG422" s="7">
        <f>IF($C422="","",U422*X422/100)</f>
        <v/>
      </c>
      <c r="AH422" s="7">
        <f>IF($C422="","",U422-AG422)</f>
        <v/>
      </c>
      <c r="AI422" s="7">
        <f>IF($C422="","",AH422-M422)</f>
        <v/>
      </c>
      <c r="AJ422">
        <f>IF($C422="","",IF(COUNTIF($C$2:$C422,$C422)=1,1,0))</f>
        <v/>
      </c>
      <c r="AK422">
        <f>IF($AJ422=1,SUMPRODUCT(--($AN$2:$AN$4001&lt;$AN422))+1,"")</f>
        <v/>
      </c>
      <c r="AL422">
        <f>IF($C422="","",IF(OR($Q422=TRUE(),$Q422="TRUE"),1,0))</f>
        <v/>
      </c>
      <c r="AM422">
        <f>IF($C422="","",IF($W422="Yes",1,0))</f>
        <v/>
      </c>
      <c r="AN422">
        <f>IF($AJ422=1,IFERROR(IF(VALUE($C422)&lt;100000000,VALUE($C422),1000000000),IFERROR(IF(VALUE(MID($C422,2,20))&lt;100000000,VALUE(MID($C422,2,20)),1000000000),1000000000))+ROW()/100000,"")</f>
        <v/>
      </c>
    </row>
    <row r="423">
      <c r="E423" s="11" t="n"/>
      <c r="M423" s="7">
        <f>IF($C423="","",L423*U423/100)</f>
        <v/>
      </c>
      <c r="N423" s="7" t="n"/>
      <c r="T423" s="7" t="n"/>
      <c r="U423" s="7">
        <f>IF($C423="","",S423*T423)</f>
        <v/>
      </c>
      <c r="X423">
        <f>IF($C423="","",IF($AM423=1,0,IF($AL423=1,Settings!$C$6,Settings!$C$7))*100)</f>
        <v/>
      </c>
      <c r="AB423" s="7" t="n"/>
      <c r="AE423" s="11" t="n"/>
      <c r="AG423" s="7">
        <f>IF($C423="","",U423*X423/100)</f>
        <v/>
      </c>
      <c r="AH423" s="7">
        <f>IF($C423="","",U423-AG423)</f>
        <v/>
      </c>
      <c r="AI423" s="7">
        <f>IF($C423="","",AH423-M423)</f>
        <v/>
      </c>
      <c r="AJ423">
        <f>IF($C423="","",IF(COUNTIF($C$2:$C423,$C423)=1,1,0))</f>
        <v/>
      </c>
      <c r="AK423">
        <f>IF($AJ423=1,SUMPRODUCT(--($AN$2:$AN$4001&lt;$AN423))+1,"")</f>
        <v/>
      </c>
      <c r="AL423">
        <f>IF($C423="","",IF(OR($Q423=TRUE(),$Q423="TRUE"),1,0))</f>
        <v/>
      </c>
      <c r="AM423">
        <f>IF($C423="","",IF($W423="Yes",1,0))</f>
        <v/>
      </c>
      <c r="AN423">
        <f>IF($AJ423=1,IFERROR(IF(VALUE($C423)&lt;100000000,VALUE($C423),1000000000),IFERROR(IF(VALUE(MID($C423,2,20))&lt;100000000,VALUE(MID($C423,2,20)),1000000000),1000000000))+ROW()/100000,"")</f>
        <v/>
      </c>
    </row>
    <row r="424">
      <c r="E424" s="11" t="n"/>
      <c r="M424" s="7">
        <f>IF($C424="","",L424*U424/100)</f>
        <v/>
      </c>
      <c r="N424" s="7" t="n"/>
      <c r="T424" s="7" t="n"/>
      <c r="U424" s="7">
        <f>IF($C424="","",S424*T424)</f>
        <v/>
      </c>
      <c r="X424">
        <f>IF($C424="","",IF($AM424=1,0,IF($AL424=1,Settings!$C$6,Settings!$C$7))*100)</f>
        <v/>
      </c>
      <c r="AB424" s="7" t="n"/>
      <c r="AE424" s="11" t="n"/>
      <c r="AG424" s="7">
        <f>IF($C424="","",U424*X424/100)</f>
        <v/>
      </c>
      <c r="AH424" s="7">
        <f>IF($C424="","",U424-AG424)</f>
        <v/>
      </c>
      <c r="AI424" s="7">
        <f>IF($C424="","",AH424-M424)</f>
        <v/>
      </c>
      <c r="AJ424">
        <f>IF($C424="","",IF(COUNTIF($C$2:$C424,$C424)=1,1,0))</f>
        <v/>
      </c>
      <c r="AK424">
        <f>IF($AJ424=1,SUMPRODUCT(--($AN$2:$AN$4001&lt;$AN424))+1,"")</f>
        <v/>
      </c>
      <c r="AL424">
        <f>IF($C424="","",IF(OR($Q424=TRUE(),$Q424="TRUE"),1,0))</f>
        <v/>
      </c>
      <c r="AM424">
        <f>IF($C424="","",IF($W424="Yes",1,0))</f>
        <v/>
      </c>
      <c r="AN424">
        <f>IF($AJ424=1,IFERROR(IF(VALUE($C424)&lt;100000000,VALUE($C424),1000000000),IFERROR(IF(VALUE(MID($C424,2,20))&lt;100000000,VALUE(MID($C424,2,20)),1000000000),1000000000))+ROW()/100000,"")</f>
        <v/>
      </c>
    </row>
    <row r="425">
      <c r="E425" s="11" t="n"/>
      <c r="M425" s="7">
        <f>IF($C425="","",L425*U425/100)</f>
        <v/>
      </c>
      <c r="N425" s="7" t="n"/>
      <c r="T425" s="7" t="n"/>
      <c r="U425" s="7">
        <f>IF($C425="","",S425*T425)</f>
        <v/>
      </c>
      <c r="X425">
        <f>IF($C425="","",IF($AM425=1,0,IF($AL425=1,Settings!$C$6,Settings!$C$7))*100)</f>
        <v/>
      </c>
      <c r="AB425" s="7" t="n"/>
      <c r="AE425" s="11" t="n"/>
      <c r="AG425" s="7">
        <f>IF($C425="","",U425*X425/100)</f>
        <v/>
      </c>
      <c r="AH425" s="7">
        <f>IF($C425="","",U425-AG425)</f>
        <v/>
      </c>
      <c r="AI425" s="7">
        <f>IF($C425="","",AH425-M425)</f>
        <v/>
      </c>
      <c r="AJ425">
        <f>IF($C425="","",IF(COUNTIF($C$2:$C425,$C425)=1,1,0))</f>
        <v/>
      </c>
      <c r="AK425">
        <f>IF($AJ425=1,SUMPRODUCT(--($AN$2:$AN$4001&lt;$AN425))+1,"")</f>
        <v/>
      </c>
      <c r="AL425">
        <f>IF($C425="","",IF(OR($Q425=TRUE(),$Q425="TRUE"),1,0))</f>
        <v/>
      </c>
      <c r="AM425">
        <f>IF($C425="","",IF($W425="Yes",1,0))</f>
        <v/>
      </c>
      <c r="AN425">
        <f>IF($AJ425=1,IFERROR(IF(VALUE($C425)&lt;100000000,VALUE($C425),1000000000),IFERROR(IF(VALUE(MID($C425,2,20))&lt;100000000,VALUE(MID($C425,2,20)),1000000000),1000000000))+ROW()/100000,"")</f>
        <v/>
      </c>
    </row>
    <row r="426">
      <c r="E426" s="11" t="n"/>
      <c r="M426" s="7">
        <f>IF($C426="","",L426*U426/100)</f>
        <v/>
      </c>
      <c r="N426" s="7" t="n"/>
      <c r="T426" s="7" t="n"/>
      <c r="U426" s="7">
        <f>IF($C426="","",S426*T426)</f>
        <v/>
      </c>
      <c r="X426">
        <f>IF($C426="","",IF($AM426=1,0,IF($AL426=1,Settings!$C$6,Settings!$C$7))*100)</f>
        <v/>
      </c>
      <c r="AB426" s="7" t="n"/>
      <c r="AE426" s="11" t="n"/>
      <c r="AG426" s="7">
        <f>IF($C426="","",U426*X426/100)</f>
        <v/>
      </c>
      <c r="AH426" s="7">
        <f>IF($C426="","",U426-AG426)</f>
        <v/>
      </c>
      <c r="AI426" s="7">
        <f>IF($C426="","",AH426-M426)</f>
        <v/>
      </c>
      <c r="AJ426">
        <f>IF($C426="","",IF(COUNTIF($C$2:$C426,$C426)=1,1,0))</f>
        <v/>
      </c>
      <c r="AK426">
        <f>IF($AJ426=1,SUMPRODUCT(--($AN$2:$AN$4001&lt;$AN426))+1,"")</f>
        <v/>
      </c>
      <c r="AL426">
        <f>IF($C426="","",IF(OR($Q426=TRUE(),$Q426="TRUE"),1,0))</f>
        <v/>
      </c>
      <c r="AM426">
        <f>IF($C426="","",IF($W426="Yes",1,0))</f>
        <v/>
      </c>
      <c r="AN426">
        <f>IF($AJ426=1,IFERROR(IF(VALUE($C426)&lt;100000000,VALUE($C426),1000000000),IFERROR(IF(VALUE(MID($C426,2,20))&lt;100000000,VALUE(MID($C426,2,20)),1000000000),1000000000))+ROW()/100000,"")</f>
        <v/>
      </c>
    </row>
    <row r="427">
      <c r="E427" s="11" t="n"/>
      <c r="M427" s="7">
        <f>IF($C427="","",L427*U427/100)</f>
        <v/>
      </c>
      <c r="N427" s="7" t="n"/>
      <c r="T427" s="7" t="n"/>
      <c r="U427" s="7">
        <f>IF($C427="","",S427*T427)</f>
        <v/>
      </c>
      <c r="X427">
        <f>IF($C427="","",IF($AM427=1,0,IF($AL427=1,Settings!$C$6,Settings!$C$7))*100)</f>
        <v/>
      </c>
      <c r="AB427" s="7" t="n"/>
      <c r="AE427" s="11" t="n"/>
      <c r="AG427" s="7">
        <f>IF($C427="","",U427*X427/100)</f>
        <v/>
      </c>
      <c r="AH427" s="7">
        <f>IF($C427="","",U427-AG427)</f>
        <v/>
      </c>
      <c r="AI427" s="7">
        <f>IF($C427="","",AH427-M427)</f>
        <v/>
      </c>
      <c r="AJ427">
        <f>IF($C427="","",IF(COUNTIF($C$2:$C427,$C427)=1,1,0))</f>
        <v/>
      </c>
      <c r="AK427">
        <f>IF($AJ427=1,SUMPRODUCT(--($AN$2:$AN$4001&lt;$AN427))+1,"")</f>
        <v/>
      </c>
      <c r="AL427">
        <f>IF($C427="","",IF(OR($Q427=TRUE(),$Q427="TRUE"),1,0))</f>
        <v/>
      </c>
      <c r="AM427">
        <f>IF($C427="","",IF($W427="Yes",1,0))</f>
        <v/>
      </c>
      <c r="AN427">
        <f>IF($AJ427=1,IFERROR(IF(VALUE($C427)&lt;100000000,VALUE($C427),1000000000),IFERROR(IF(VALUE(MID($C427,2,20))&lt;100000000,VALUE(MID($C427,2,20)),1000000000),1000000000))+ROW()/100000,"")</f>
        <v/>
      </c>
    </row>
    <row r="428">
      <c r="E428" s="11" t="n"/>
      <c r="M428" s="7">
        <f>IF($C428="","",L428*U428/100)</f>
        <v/>
      </c>
      <c r="N428" s="7" t="n"/>
      <c r="T428" s="7" t="n"/>
      <c r="U428" s="7">
        <f>IF($C428="","",S428*T428)</f>
        <v/>
      </c>
      <c r="X428">
        <f>IF($C428="","",IF($AM428=1,0,IF($AL428=1,Settings!$C$6,Settings!$C$7))*100)</f>
        <v/>
      </c>
      <c r="AB428" s="7" t="n"/>
      <c r="AE428" s="11" t="n"/>
      <c r="AG428" s="7">
        <f>IF($C428="","",U428*X428/100)</f>
        <v/>
      </c>
      <c r="AH428" s="7">
        <f>IF($C428="","",U428-AG428)</f>
        <v/>
      </c>
      <c r="AI428" s="7">
        <f>IF($C428="","",AH428-M428)</f>
        <v/>
      </c>
      <c r="AJ428">
        <f>IF($C428="","",IF(COUNTIF($C$2:$C428,$C428)=1,1,0))</f>
        <v/>
      </c>
      <c r="AK428">
        <f>IF($AJ428=1,SUMPRODUCT(--($AN$2:$AN$4001&lt;$AN428))+1,"")</f>
        <v/>
      </c>
      <c r="AL428">
        <f>IF($C428="","",IF(OR($Q428=TRUE(),$Q428="TRUE"),1,0))</f>
        <v/>
      </c>
      <c r="AM428">
        <f>IF($C428="","",IF($W428="Yes",1,0))</f>
        <v/>
      </c>
      <c r="AN428">
        <f>IF($AJ428=1,IFERROR(IF(VALUE($C428)&lt;100000000,VALUE($C428),1000000000),IFERROR(IF(VALUE(MID($C428,2,20))&lt;100000000,VALUE(MID($C428,2,20)),1000000000),1000000000))+ROW()/100000,"")</f>
        <v/>
      </c>
    </row>
    <row r="429">
      <c r="E429" s="11" t="n"/>
      <c r="M429" s="7">
        <f>IF($C429="","",L429*U429/100)</f>
        <v/>
      </c>
      <c r="N429" s="7" t="n"/>
      <c r="T429" s="7" t="n"/>
      <c r="U429" s="7">
        <f>IF($C429="","",S429*T429)</f>
        <v/>
      </c>
      <c r="X429">
        <f>IF($C429="","",IF($AM429=1,0,IF($AL429=1,Settings!$C$6,Settings!$C$7))*100)</f>
        <v/>
      </c>
      <c r="AB429" s="7" t="n"/>
      <c r="AE429" s="11" t="n"/>
      <c r="AG429" s="7">
        <f>IF($C429="","",U429*X429/100)</f>
        <v/>
      </c>
      <c r="AH429" s="7">
        <f>IF($C429="","",U429-AG429)</f>
        <v/>
      </c>
      <c r="AI429" s="7">
        <f>IF($C429="","",AH429-M429)</f>
        <v/>
      </c>
      <c r="AJ429">
        <f>IF($C429="","",IF(COUNTIF($C$2:$C429,$C429)=1,1,0))</f>
        <v/>
      </c>
      <c r="AK429">
        <f>IF($AJ429=1,SUMPRODUCT(--($AN$2:$AN$4001&lt;$AN429))+1,"")</f>
        <v/>
      </c>
      <c r="AL429">
        <f>IF($C429="","",IF(OR($Q429=TRUE(),$Q429="TRUE"),1,0))</f>
        <v/>
      </c>
      <c r="AM429">
        <f>IF($C429="","",IF($W429="Yes",1,0))</f>
        <v/>
      </c>
      <c r="AN429">
        <f>IF($AJ429=1,IFERROR(IF(VALUE($C429)&lt;100000000,VALUE($C429),1000000000),IFERROR(IF(VALUE(MID($C429,2,20))&lt;100000000,VALUE(MID($C429,2,20)),1000000000),1000000000))+ROW()/100000,"")</f>
        <v/>
      </c>
    </row>
    <row r="430">
      <c r="E430" s="11" t="n"/>
      <c r="M430" s="7">
        <f>IF($C430="","",L430*U430/100)</f>
        <v/>
      </c>
      <c r="N430" s="7" t="n"/>
      <c r="T430" s="7" t="n"/>
      <c r="U430" s="7">
        <f>IF($C430="","",S430*T430)</f>
        <v/>
      </c>
      <c r="X430">
        <f>IF($C430="","",IF($AM430=1,0,IF($AL430=1,Settings!$C$6,Settings!$C$7))*100)</f>
        <v/>
      </c>
      <c r="AB430" s="7" t="n"/>
      <c r="AE430" s="11" t="n"/>
      <c r="AG430" s="7">
        <f>IF($C430="","",U430*X430/100)</f>
        <v/>
      </c>
      <c r="AH430" s="7">
        <f>IF($C430="","",U430-AG430)</f>
        <v/>
      </c>
      <c r="AI430" s="7">
        <f>IF($C430="","",AH430-M430)</f>
        <v/>
      </c>
      <c r="AJ430">
        <f>IF($C430="","",IF(COUNTIF($C$2:$C430,$C430)=1,1,0))</f>
        <v/>
      </c>
      <c r="AK430">
        <f>IF($AJ430=1,SUMPRODUCT(--($AN$2:$AN$4001&lt;$AN430))+1,"")</f>
        <v/>
      </c>
      <c r="AL430">
        <f>IF($C430="","",IF(OR($Q430=TRUE(),$Q430="TRUE"),1,0))</f>
        <v/>
      </c>
      <c r="AM430">
        <f>IF($C430="","",IF($W430="Yes",1,0))</f>
        <v/>
      </c>
      <c r="AN430">
        <f>IF($AJ430=1,IFERROR(IF(VALUE($C430)&lt;100000000,VALUE($C430),1000000000),IFERROR(IF(VALUE(MID($C430,2,20))&lt;100000000,VALUE(MID($C430,2,20)),1000000000),1000000000))+ROW()/100000,"")</f>
        <v/>
      </c>
    </row>
    <row r="431">
      <c r="E431" s="11" t="n"/>
      <c r="M431" s="7">
        <f>IF($C431="","",L431*U431/100)</f>
        <v/>
      </c>
      <c r="N431" s="7" t="n"/>
      <c r="T431" s="7" t="n"/>
      <c r="U431" s="7">
        <f>IF($C431="","",S431*T431)</f>
        <v/>
      </c>
      <c r="X431">
        <f>IF($C431="","",IF($AM431=1,0,IF($AL431=1,Settings!$C$6,Settings!$C$7))*100)</f>
        <v/>
      </c>
      <c r="AB431" s="7" t="n"/>
      <c r="AE431" s="11" t="n"/>
      <c r="AG431" s="7">
        <f>IF($C431="","",U431*X431/100)</f>
        <v/>
      </c>
      <c r="AH431" s="7">
        <f>IF($C431="","",U431-AG431)</f>
        <v/>
      </c>
      <c r="AI431" s="7">
        <f>IF($C431="","",AH431-M431)</f>
        <v/>
      </c>
      <c r="AJ431">
        <f>IF($C431="","",IF(COUNTIF($C$2:$C431,$C431)=1,1,0))</f>
        <v/>
      </c>
      <c r="AK431">
        <f>IF($AJ431=1,SUMPRODUCT(--($AN$2:$AN$4001&lt;$AN431))+1,"")</f>
        <v/>
      </c>
      <c r="AL431">
        <f>IF($C431="","",IF(OR($Q431=TRUE(),$Q431="TRUE"),1,0))</f>
        <v/>
      </c>
      <c r="AM431">
        <f>IF($C431="","",IF($W431="Yes",1,0))</f>
        <v/>
      </c>
      <c r="AN431">
        <f>IF($AJ431=1,IFERROR(IF(VALUE($C431)&lt;100000000,VALUE($C431),1000000000),IFERROR(IF(VALUE(MID($C431,2,20))&lt;100000000,VALUE(MID($C431,2,20)),1000000000),1000000000))+ROW()/100000,"")</f>
        <v/>
      </c>
    </row>
    <row r="432">
      <c r="E432" s="11" t="n"/>
      <c r="M432" s="7">
        <f>IF($C432="","",L432*U432/100)</f>
        <v/>
      </c>
      <c r="N432" s="7" t="n"/>
      <c r="T432" s="7" t="n"/>
      <c r="U432" s="7">
        <f>IF($C432="","",S432*T432)</f>
        <v/>
      </c>
      <c r="X432">
        <f>IF($C432="","",IF($AM432=1,0,IF($AL432=1,Settings!$C$6,Settings!$C$7))*100)</f>
        <v/>
      </c>
      <c r="AB432" s="7" t="n"/>
      <c r="AE432" s="11" t="n"/>
      <c r="AG432" s="7">
        <f>IF($C432="","",U432*X432/100)</f>
        <v/>
      </c>
      <c r="AH432" s="7">
        <f>IF($C432="","",U432-AG432)</f>
        <v/>
      </c>
      <c r="AI432" s="7">
        <f>IF($C432="","",AH432-M432)</f>
        <v/>
      </c>
      <c r="AJ432">
        <f>IF($C432="","",IF(COUNTIF($C$2:$C432,$C432)=1,1,0))</f>
        <v/>
      </c>
      <c r="AK432">
        <f>IF($AJ432=1,SUMPRODUCT(--($AN$2:$AN$4001&lt;$AN432))+1,"")</f>
        <v/>
      </c>
      <c r="AL432">
        <f>IF($C432="","",IF(OR($Q432=TRUE(),$Q432="TRUE"),1,0))</f>
        <v/>
      </c>
      <c r="AM432">
        <f>IF($C432="","",IF($W432="Yes",1,0))</f>
        <v/>
      </c>
      <c r="AN432">
        <f>IF($AJ432=1,IFERROR(IF(VALUE($C432)&lt;100000000,VALUE($C432),1000000000),IFERROR(IF(VALUE(MID($C432,2,20))&lt;100000000,VALUE(MID($C432,2,20)),1000000000),1000000000))+ROW()/100000,"")</f>
        <v/>
      </c>
    </row>
    <row r="433">
      <c r="E433" s="11" t="n"/>
      <c r="M433" s="7">
        <f>IF($C433="","",L433*U433/100)</f>
        <v/>
      </c>
      <c r="N433" s="7" t="n"/>
      <c r="T433" s="7" t="n"/>
      <c r="U433" s="7">
        <f>IF($C433="","",S433*T433)</f>
        <v/>
      </c>
      <c r="X433">
        <f>IF($C433="","",IF($AM433=1,0,IF($AL433=1,Settings!$C$6,Settings!$C$7))*100)</f>
        <v/>
      </c>
      <c r="AB433" s="7" t="n"/>
      <c r="AE433" s="11" t="n"/>
      <c r="AG433" s="7">
        <f>IF($C433="","",U433*X433/100)</f>
        <v/>
      </c>
      <c r="AH433" s="7">
        <f>IF($C433="","",U433-AG433)</f>
        <v/>
      </c>
      <c r="AI433" s="7">
        <f>IF($C433="","",AH433-M433)</f>
        <v/>
      </c>
      <c r="AJ433">
        <f>IF($C433="","",IF(COUNTIF($C$2:$C433,$C433)=1,1,0))</f>
        <v/>
      </c>
      <c r="AK433">
        <f>IF($AJ433=1,SUMPRODUCT(--($AN$2:$AN$4001&lt;$AN433))+1,"")</f>
        <v/>
      </c>
      <c r="AL433">
        <f>IF($C433="","",IF(OR($Q433=TRUE(),$Q433="TRUE"),1,0))</f>
        <v/>
      </c>
      <c r="AM433">
        <f>IF($C433="","",IF($W433="Yes",1,0))</f>
        <v/>
      </c>
      <c r="AN433">
        <f>IF($AJ433=1,IFERROR(IF(VALUE($C433)&lt;100000000,VALUE($C433),1000000000),IFERROR(IF(VALUE(MID($C433,2,20))&lt;100000000,VALUE(MID($C433,2,20)),1000000000),1000000000))+ROW()/100000,"")</f>
        <v/>
      </c>
    </row>
    <row r="434">
      <c r="E434" s="11" t="n"/>
      <c r="M434" s="7">
        <f>IF($C434="","",L434*U434/100)</f>
        <v/>
      </c>
      <c r="N434" s="7" t="n"/>
      <c r="T434" s="7" t="n"/>
      <c r="U434" s="7">
        <f>IF($C434="","",S434*T434)</f>
        <v/>
      </c>
      <c r="X434">
        <f>IF($C434="","",IF($AM434=1,0,IF($AL434=1,Settings!$C$6,Settings!$C$7))*100)</f>
        <v/>
      </c>
      <c r="AB434" s="7" t="n"/>
      <c r="AE434" s="11" t="n"/>
      <c r="AG434" s="7">
        <f>IF($C434="","",U434*X434/100)</f>
        <v/>
      </c>
      <c r="AH434" s="7">
        <f>IF($C434="","",U434-AG434)</f>
        <v/>
      </c>
      <c r="AI434" s="7">
        <f>IF($C434="","",AH434-M434)</f>
        <v/>
      </c>
      <c r="AJ434">
        <f>IF($C434="","",IF(COUNTIF($C$2:$C434,$C434)=1,1,0))</f>
        <v/>
      </c>
      <c r="AK434">
        <f>IF($AJ434=1,SUMPRODUCT(--($AN$2:$AN$4001&lt;$AN434))+1,"")</f>
        <v/>
      </c>
      <c r="AL434">
        <f>IF($C434="","",IF(OR($Q434=TRUE(),$Q434="TRUE"),1,0))</f>
        <v/>
      </c>
      <c r="AM434">
        <f>IF($C434="","",IF($W434="Yes",1,0))</f>
        <v/>
      </c>
      <c r="AN434">
        <f>IF($AJ434=1,IFERROR(IF(VALUE($C434)&lt;100000000,VALUE($C434),1000000000),IFERROR(IF(VALUE(MID($C434,2,20))&lt;100000000,VALUE(MID($C434,2,20)),1000000000),1000000000))+ROW()/100000,"")</f>
        <v/>
      </c>
    </row>
    <row r="435">
      <c r="E435" s="11" t="n"/>
      <c r="M435" s="7">
        <f>IF($C435="","",L435*U435/100)</f>
        <v/>
      </c>
      <c r="N435" s="7" t="n"/>
      <c r="T435" s="7" t="n"/>
      <c r="U435" s="7">
        <f>IF($C435="","",S435*T435)</f>
        <v/>
      </c>
      <c r="X435">
        <f>IF($C435="","",IF($AM435=1,0,IF($AL435=1,Settings!$C$6,Settings!$C$7))*100)</f>
        <v/>
      </c>
      <c r="AB435" s="7" t="n"/>
      <c r="AE435" s="11" t="n"/>
      <c r="AG435" s="7">
        <f>IF($C435="","",U435*X435/100)</f>
        <v/>
      </c>
      <c r="AH435" s="7">
        <f>IF($C435="","",U435-AG435)</f>
        <v/>
      </c>
      <c r="AI435" s="7">
        <f>IF($C435="","",AH435-M435)</f>
        <v/>
      </c>
      <c r="AJ435">
        <f>IF($C435="","",IF(COUNTIF($C$2:$C435,$C435)=1,1,0))</f>
        <v/>
      </c>
      <c r="AK435">
        <f>IF($AJ435=1,SUMPRODUCT(--($AN$2:$AN$4001&lt;$AN435))+1,"")</f>
        <v/>
      </c>
      <c r="AL435">
        <f>IF($C435="","",IF(OR($Q435=TRUE(),$Q435="TRUE"),1,0))</f>
        <v/>
      </c>
      <c r="AM435">
        <f>IF($C435="","",IF($W435="Yes",1,0))</f>
        <v/>
      </c>
      <c r="AN435">
        <f>IF($AJ435=1,IFERROR(IF(VALUE($C435)&lt;100000000,VALUE($C435),1000000000),IFERROR(IF(VALUE(MID($C435,2,20))&lt;100000000,VALUE(MID($C435,2,20)),1000000000),1000000000))+ROW()/100000,"")</f>
        <v/>
      </c>
    </row>
    <row r="436">
      <c r="E436" s="11" t="n"/>
      <c r="M436" s="7">
        <f>IF($C436="","",L436*U436/100)</f>
        <v/>
      </c>
      <c r="N436" s="7" t="n"/>
      <c r="T436" s="7" t="n"/>
      <c r="U436" s="7">
        <f>IF($C436="","",S436*T436)</f>
        <v/>
      </c>
      <c r="X436">
        <f>IF($C436="","",IF($AM436=1,0,IF($AL436=1,Settings!$C$6,Settings!$C$7))*100)</f>
        <v/>
      </c>
      <c r="AB436" s="7" t="n"/>
      <c r="AE436" s="11" t="n"/>
      <c r="AG436" s="7">
        <f>IF($C436="","",U436*X436/100)</f>
        <v/>
      </c>
      <c r="AH436" s="7">
        <f>IF($C436="","",U436-AG436)</f>
        <v/>
      </c>
      <c r="AI436" s="7">
        <f>IF($C436="","",AH436-M436)</f>
        <v/>
      </c>
      <c r="AJ436">
        <f>IF($C436="","",IF(COUNTIF($C$2:$C436,$C436)=1,1,0))</f>
        <v/>
      </c>
      <c r="AK436">
        <f>IF($AJ436=1,SUMPRODUCT(--($AN$2:$AN$4001&lt;$AN436))+1,"")</f>
        <v/>
      </c>
      <c r="AL436">
        <f>IF($C436="","",IF(OR($Q436=TRUE(),$Q436="TRUE"),1,0))</f>
        <v/>
      </c>
      <c r="AM436">
        <f>IF($C436="","",IF($W436="Yes",1,0))</f>
        <v/>
      </c>
      <c r="AN436">
        <f>IF($AJ436=1,IFERROR(IF(VALUE($C436)&lt;100000000,VALUE($C436),1000000000),IFERROR(IF(VALUE(MID($C436,2,20))&lt;100000000,VALUE(MID($C436,2,20)),1000000000),1000000000))+ROW()/100000,"")</f>
        <v/>
      </c>
    </row>
    <row r="437">
      <c r="E437" s="11" t="n"/>
      <c r="M437" s="7">
        <f>IF($C437="","",L437*U437/100)</f>
        <v/>
      </c>
      <c r="N437" s="7" t="n"/>
      <c r="T437" s="7" t="n"/>
      <c r="U437" s="7">
        <f>IF($C437="","",S437*T437)</f>
        <v/>
      </c>
      <c r="X437">
        <f>IF($C437="","",IF($AM437=1,0,IF($AL437=1,Settings!$C$6,Settings!$C$7))*100)</f>
        <v/>
      </c>
      <c r="AB437" s="7" t="n"/>
      <c r="AE437" s="11" t="n"/>
      <c r="AG437" s="7">
        <f>IF($C437="","",U437*X437/100)</f>
        <v/>
      </c>
      <c r="AH437" s="7">
        <f>IF($C437="","",U437-AG437)</f>
        <v/>
      </c>
      <c r="AI437" s="7">
        <f>IF($C437="","",AH437-M437)</f>
        <v/>
      </c>
      <c r="AJ437">
        <f>IF($C437="","",IF(COUNTIF($C$2:$C437,$C437)=1,1,0))</f>
        <v/>
      </c>
      <c r="AK437">
        <f>IF($AJ437=1,SUMPRODUCT(--($AN$2:$AN$4001&lt;$AN437))+1,"")</f>
        <v/>
      </c>
      <c r="AL437">
        <f>IF($C437="","",IF(OR($Q437=TRUE(),$Q437="TRUE"),1,0))</f>
        <v/>
      </c>
      <c r="AM437">
        <f>IF($C437="","",IF($W437="Yes",1,0))</f>
        <v/>
      </c>
      <c r="AN437">
        <f>IF($AJ437=1,IFERROR(IF(VALUE($C437)&lt;100000000,VALUE($C437),1000000000),IFERROR(IF(VALUE(MID($C437,2,20))&lt;100000000,VALUE(MID($C437,2,20)),1000000000),1000000000))+ROW()/100000,"")</f>
        <v/>
      </c>
    </row>
    <row r="438">
      <c r="E438" s="11" t="n"/>
      <c r="M438" s="7">
        <f>IF($C438="","",L438*U438/100)</f>
        <v/>
      </c>
      <c r="N438" s="7" t="n"/>
      <c r="T438" s="7" t="n"/>
      <c r="U438" s="7">
        <f>IF($C438="","",S438*T438)</f>
        <v/>
      </c>
      <c r="X438">
        <f>IF($C438="","",IF($AM438=1,0,IF($AL438=1,Settings!$C$6,Settings!$C$7))*100)</f>
        <v/>
      </c>
      <c r="AB438" s="7" t="n"/>
      <c r="AE438" s="11" t="n"/>
      <c r="AG438" s="7">
        <f>IF($C438="","",U438*X438/100)</f>
        <v/>
      </c>
      <c r="AH438" s="7">
        <f>IF($C438="","",U438-AG438)</f>
        <v/>
      </c>
      <c r="AI438" s="7">
        <f>IF($C438="","",AH438-M438)</f>
        <v/>
      </c>
      <c r="AJ438">
        <f>IF($C438="","",IF(COUNTIF($C$2:$C438,$C438)=1,1,0))</f>
        <v/>
      </c>
      <c r="AK438">
        <f>IF($AJ438=1,SUMPRODUCT(--($AN$2:$AN$4001&lt;$AN438))+1,"")</f>
        <v/>
      </c>
      <c r="AL438">
        <f>IF($C438="","",IF(OR($Q438=TRUE(),$Q438="TRUE"),1,0))</f>
        <v/>
      </c>
      <c r="AM438">
        <f>IF($C438="","",IF($W438="Yes",1,0))</f>
        <v/>
      </c>
      <c r="AN438">
        <f>IF($AJ438=1,IFERROR(IF(VALUE($C438)&lt;100000000,VALUE($C438),1000000000),IFERROR(IF(VALUE(MID($C438,2,20))&lt;100000000,VALUE(MID($C438,2,20)),1000000000),1000000000))+ROW()/100000,"")</f>
        <v/>
      </c>
    </row>
    <row r="439">
      <c r="E439" s="11" t="n"/>
      <c r="M439" s="7">
        <f>IF($C439="","",L439*U439/100)</f>
        <v/>
      </c>
      <c r="N439" s="7" t="n"/>
      <c r="T439" s="7" t="n"/>
      <c r="U439" s="7">
        <f>IF($C439="","",S439*T439)</f>
        <v/>
      </c>
      <c r="X439">
        <f>IF($C439="","",IF($AM439=1,0,IF($AL439=1,Settings!$C$6,Settings!$C$7))*100)</f>
        <v/>
      </c>
      <c r="AB439" s="7" t="n"/>
      <c r="AE439" s="11" t="n"/>
      <c r="AG439" s="7">
        <f>IF($C439="","",U439*X439/100)</f>
        <v/>
      </c>
      <c r="AH439" s="7">
        <f>IF($C439="","",U439-AG439)</f>
        <v/>
      </c>
      <c r="AI439" s="7">
        <f>IF($C439="","",AH439-M439)</f>
        <v/>
      </c>
      <c r="AJ439">
        <f>IF($C439="","",IF(COUNTIF($C$2:$C439,$C439)=1,1,0))</f>
        <v/>
      </c>
      <c r="AK439">
        <f>IF($AJ439=1,SUMPRODUCT(--($AN$2:$AN$4001&lt;$AN439))+1,"")</f>
        <v/>
      </c>
      <c r="AL439">
        <f>IF($C439="","",IF(OR($Q439=TRUE(),$Q439="TRUE"),1,0))</f>
        <v/>
      </c>
      <c r="AM439">
        <f>IF($C439="","",IF($W439="Yes",1,0))</f>
        <v/>
      </c>
      <c r="AN439">
        <f>IF($AJ439=1,IFERROR(IF(VALUE($C439)&lt;100000000,VALUE($C439),1000000000),IFERROR(IF(VALUE(MID($C439,2,20))&lt;100000000,VALUE(MID($C439,2,20)),1000000000),1000000000))+ROW()/100000,"")</f>
        <v/>
      </c>
    </row>
    <row r="440">
      <c r="E440" s="11" t="n"/>
      <c r="M440" s="7">
        <f>IF($C440="","",L440*U440/100)</f>
        <v/>
      </c>
      <c r="N440" s="7" t="n"/>
      <c r="T440" s="7" t="n"/>
      <c r="U440" s="7">
        <f>IF($C440="","",S440*T440)</f>
        <v/>
      </c>
      <c r="X440">
        <f>IF($C440="","",IF($AM440=1,0,IF($AL440=1,Settings!$C$6,Settings!$C$7))*100)</f>
        <v/>
      </c>
      <c r="AB440" s="7" t="n"/>
      <c r="AE440" s="11" t="n"/>
      <c r="AG440" s="7">
        <f>IF($C440="","",U440*X440/100)</f>
        <v/>
      </c>
      <c r="AH440" s="7">
        <f>IF($C440="","",U440-AG440)</f>
        <v/>
      </c>
      <c r="AI440" s="7">
        <f>IF($C440="","",AH440-M440)</f>
        <v/>
      </c>
      <c r="AJ440">
        <f>IF($C440="","",IF(COUNTIF($C$2:$C440,$C440)=1,1,0))</f>
        <v/>
      </c>
      <c r="AK440">
        <f>IF($AJ440=1,SUMPRODUCT(--($AN$2:$AN$4001&lt;$AN440))+1,"")</f>
        <v/>
      </c>
      <c r="AL440">
        <f>IF($C440="","",IF(OR($Q440=TRUE(),$Q440="TRUE"),1,0))</f>
        <v/>
      </c>
      <c r="AM440">
        <f>IF($C440="","",IF($W440="Yes",1,0))</f>
        <v/>
      </c>
      <c r="AN440">
        <f>IF($AJ440=1,IFERROR(IF(VALUE($C440)&lt;100000000,VALUE($C440),1000000000),IFERROR(IF(VALUE(MID($C440,2,20))&lt;100000000,VALUE(MID($C440,2,20)),1000000000),1000000000))+ROW()/100000,"")</f>
        <v/>
      </c>
    </row>
    <row r="441">
      <c r="E441" s="11" t="n"/>
      <c r="M441" s="7">
        <f>IF($C441="","",L441*U441/100)</f>
        <v/>
      </c>
      <c r="N441" s="7" t="n"/>
      <c r="T441" s="7" t="n"/>
      <c r="U441" s="7">
        <f>IF($C441="","",S441*T441)</f>
        <v/>
      </c>
      <c r="X441">
        <f>IF($C441="","",IF($AM441=1,0,IF($AL441=1,Settings!$C$6,Settings!$C$7))*100)</f>
        <v/>
      </c>
      <c r="AB441" s="7" t="n"/>
      <c r="AE441" s="11" t="n"/>
      <c r="AG441" s="7">
        <f>IF($C441="","",U441*X441/100)</f>
        <v/>
      </c>
      <c r="AH441" s="7">
        <f>IF($C441="","",U441-AG441)</f>
        <v/>
      </c>
      <c r="AI441" s="7">
        <f>IF($C441="","",AH441-M441)</f>
        <v/>
      </c>
      <c r="AJ441">
        <f>IF($C441="","",IF(COUNTIF($C$2:$C441,$C441)=1,1,0))</f>
        <v/>
      </c>
      <c r="AK441">
        <f>IF($AJ441=1,SUMPRODUCT(--($AN$2:$AN$4001&lt;$AN441))+1,"")</f>
        <v/>
      </c>
      <c r="AL441">
        <f>IF($C441="","",IF(OR($Q441=TRUE(),$Q441="TRUE"),1,0))</f>
        <v/>
      </c>
      <c r="AM441">
        <f>IF($C441="","",IF($W441="Yes",1,0))</f>
        <v/>
      </c>
      <c r="AN441">
        <f>IF($AJ441=1,IFERROR(IF(VALUE($C441)&lt;100000000,VALUE($C441),1000000000),IFERROR(IF(VALUE(MID($C441,2,20))&lt;100000000,VALUE(MID($C441,2,20)),1000000000),1000000000))+ROW()/100000,"")</f>
        <v/>
      </c>
    </row>
    <row r="442">
      <c r="E442" s="11" t="n"/>
      <c r="M442" s="7">
        <f>IF($C442="","",L442*U442/100)</f>
        <v/>
      </c>
      <c r="N442" s="7" t="n"/>
      <c r="T442" s="7" t="n"/>
      <c r="U442" s="7">
        <f>IF($C442="","",S442*T442)</f>
        <v/>
      </c>
      <c r="X442">
        <f>IF($C442="","",IF($AM442=1,0,IF($AL442=1,Settings!$C$6,Settings!$C$7))*100)</f>
        <v/>
      </c>
      <c r="AB442" s="7" t="n"/>
      <c r="AE442" s="11" t="n"/>
      <c r="AG442" s="7">
        <f>IF($C442="","",U442*X442/100)</f>
        <v/>
      </c>
      <c r="AH442" s="7">
        <f>IF($C442="","",U442-AG442)</f>
        <v/>
      </c>
      <c r="AI442" s="7">
        <f>IF($C442="","",AH442-M442)</f>
        <v/>
      </c>
      <c r="AJ442">
        <f>IF($C442="","",IF(COUNTIF($C$2:$C442,$C442)=1,1,0))</f>
        <v/>
      </c>
      <c r="AK442">
        <f>IF($AJ442=1,SUMPRODUCT(--($AN$2:$AN$4001&lt;$AN442))+1,"")</f>
        <v/>
      </c>
      <c r="AL442">
        <f>IF($C442="","",IF(OR($Q442=TRUE(),$Q442="TRUE"),1,0))</f>
        <v/>
      </c>
      <c r="AM442">
        <f>IF($C442="","",IF($W442="Yes",1,0))</f>
        <v/>
      </c>
      <c r="AN442">
        <f>IF($AJ442=1,IFERROR(IF(VALUE($C442)&lt;100000000,VALUE($C442),1000000000),IFERROR(IF(VALUE(MID($C442,2,20))&lt;100000000,VALUE(MID($C442,2,20)),1000000000),1000000000))+ROW()/100000,"")</f>
        <v/>
      </c>
    </row>
    <row r="443">
      <c r="E443" s="11" t="n"/>
      <c r="M443" s="7">
        <f>IF($C443="","",L443*U443/100)</f>
        <v/>
      </c>
      <c r="N443" s="7" t="n"/>
      <c r="T443" s="7" t="n"/>
      <c r="U443" s="7">
        <f>IF($C443="","",S443*T443)</f>
        <v/>
      </c>
      <c r="X443">
        <f>IF($C443="","",IF($AM443=1,0,IF($AL443=1,Settings!$C$6,Settings!$C$7))*100)</f>
        <v/>
      </c>
      <c r="AB443" s="7" t="n"/>
      <c r="AE443" s="11" t="n"/>
      <c r="AG443" s="7">
        <f>IF($C443="","",U443*X443/100)</f>
        <v/>
      </c>
      <c r="AH443" s="7">
        <f>IF($C443="","",U443-AG443)</f>
        <v/>
      </c>
      <c r="AI443" s="7">
        <f>IF($C443="","",AH443-M443)</f>
        <v/>
      </c>
      <c r="AJ443">
        <f>IF($C443="","",IF(COUNTIF($C$2:$C443,$C443)=1,1,0))</f>
        <v/>
      </c>
      <c r="AK443">
        <f>IF($AJ443=1,SUMPRODUCT(--($AN$2:$AN$4001&lt;$AN443))+1,"")</f>
        <v/>
      </c>
      <c r="AL443">
        <f>IF($C443="","",IF(OR($Q443=TRUE(),$Q443="TRUE"),1,0))</f>
        <v/>
      </c>
      <c r="AM443">
        <f>IF($C443="","",IF($W443="Yes",1,0))</f>
        <v/>
      </c>
      <c r="AN443">
        <f>IF($AJ443=1,IFERROR(IF(VALUE($C443)&lt;100000000,VALUE($C443),1000000000),IFERROR(IF(VALUE(MID($C443,2,20))&lt;100000000,VALUE(MID($C443,2,20)),1000000000),1000000000))+ROW()/100000,"")</f>
        <v/>
      </c>
    </row>
    <row r="444">
      <c r="E444" s="11" t="n"/>
      <c r="M444" s="7">
        <f>IF($C444="","",L444*U444/100)</f>
        <v/>
      </c>
      <c r="N444" s="7" t="n"/>
      <c r="T444" s="7" t="n"/>
      <c r="U444" s="7">
        <f>IF($C444="","",S444*T444)</f>
        <v/>
      </c>
      <c r="X444">
        <f>IF($C444="","",IF($AM444=1,0,IF($AL444=1,Settings!$C$6,Settings!$C$7))*100)</f>
        <v/>
      </c>
      <c r="AB444" s="7" t="n"/>
      <c r="AE444" s="11" t="n"/>
      <c r="AG444" s="7">
        <f>IF($C444="","",U444*X444/100)</f>
        <v/>
      </c>
      <c r="AH444" s="7">
        <f>IF($C444="","",U444-AG444)</f>
        <v/>
      </c>
      <c r="AI444" s="7">
        <f>IF($C444="","",AH444-M444)</f>
        <v/>
      </c>
      <c r="AJ444">
        <f>IF($C444="","",IF(COUNTIF($C$2:$C444,$C444)=1,1,0))</f>
        <v/>
      </c>
      <c r="AK444">
        <f>IF($AJ444=1,SUMPRODUCT(--($AN$2:$AN$4001&lt;$AN444))+1,"")</f>
        <v/>
      </c>
      <c r="AL444">
        <f>IF($C444="","",IF(OR($Q444=TRUE(),$Q444="TRUE"),1,0))</f>
        <v/>
      </c>
      <c r="AM444">
        <f>IF($C444="","",IF($W444="Yes",1,0))</f>
        <v/>
      </c>
      <c r="AN444">
        <f>IF($AJ444=1,IFERROR(IF(VALUE($C444)&lt;100000000,VALUE($C444),1000000000),IFERROR(IF(VALUE(MID($C444,2,20))&lt;100000000,VALUE(MID($C444,2,20)),1000000000),1000000000))+ROW()/100000,"")</f>
        <v/>
      </c>
    </row>
    <row r="445">
      <c r="E445" s="11" t="n"/>
      <c r="M445" s="7">
        <f>IF($C445="","",L445*U445/100)</f>
        <v/>
      </c>
      <c r="N445" s="7" t="n"/>
      <c r="T445" s="7" t="n"/>
      <c r="U445" s="7">
        <f>IF($C445="","",S445*T445)</f>
        <v/>
      </c>
      <c r="X445">
        <f>IF($C445="","",IF($AM445=1,0,IF($AL445=1,Settings!$C$6,Settings!$C$7))*100)</f>
        <v/>
      </c>
      <c r="AB445" s="7" t="n"/>
      <c r="AE445" s="11" t="n"/>
      <c r="AG445" s="7">
        <f>IF($C445="","",U445*X445/100)</f>
        <v/>
      </c>
      <c r="AH445" s="7">
        <f>IF($C445="","",U445-AG445)</f>
        <v/>
      </c>
      <c r="AI445" s="7">
        <f>IF($C445="","",AH445-M445)</f>
        <v/>
      </c>
      <c r="AJ445">
        <f>IF($C445="","",IF(COUNTIF($C$2:$C445,$C445)=1,1,0))</f>
        <v/>
      </c>
      <c r="AK445">
        <f>IF($AJ445=1,SUMPRODUCT(--($AN$2:$AN$4001&lt;$AN445))+1,"")</f>
        <v/>
      </c>
      <c r="AL445">
        <f>IF($C445="","",IF(OR($Q445=TRUE(),$Q445="TRUE"),1,0))</f>
        <v/>
      </c>
      <c r="AM445">
        <f>IF($C445="","",IF($W445="Yes",1,0))</f>
        <v/>
      </c>
      <c r="AN445">
        <f>IF($AJ445=1,IFERROR(IF(VALUE($C445)&lt;100000000,VALUE($C445),1000000000),IFERROR(IF(VALUE(MID($C445,2,20))&lt;100000000,VALUE(MID($C445,2,20)),1000000000),1000000000))+ROW()/100000,"")</f>
        <v/>
      </c>
    </row>
    <row r="446">
      <c r="E446" s="11" t="n"/>
      <c r="M446" s="7">
        <f>IF($C446="","",L446*U446/100)</f>
        <v/>
      </c>
      <c r="N446" s="7" t="n"/>
      <c r="T446" s="7" t="n"/>
      <c r="U446" s="7">
        <f>IF($C446="","",S446*T446)</f>
        <v/>
      </c>
      <c r="X446">
        <f>IF($C446="","",IF($AM446=1,0,IF($AL446=1,Settings!$C$6,Settings!$C$7))*100)</f>
        <v/>
      </c>
      <c r="AB446" s="7" t="n"/>
      <c r="AE446" s="11" t="n"/>
      <c r="AG446" s="7">
        <f>IF($C446="","",U446*X446/100)</f>
        <v/>
      </c>
      <c r="AH446" s="7">
        <f>IF($C446="","",U446-AG446)</f>
        <v/>
      </c>
      <c r="AI446" s="7">
        <f>IF($C446="","",AH446-M446)</f>
        <v/>
      </c>
      <c r="AJ446">
        <f>IF($C446="","",IF(COUNTIF($C$2:$C446,$C446)=1,1,0))</f>
        <v/>
      </c>
      <c r="AK446">
        <f>IF($AJ446=1,SUMPRODUCT(--($AN$2:$AN$4001&lt;$AN446))+1,"")</f>
        <v/>
      </c>
      <c r="AL446">
        <f>IF($C446="","",IF(OR($Q446=TRUE(),$Q446="TRUE"),1,0))</f>
        <v/>
      </c>
      <c r="AM446">
        <f>IF($C446="","",IF($W446="Yes",1,0))</f>
        <v/>
      </c>
      <c r="AN446">
        <f>IF($AJ446=1,IFERROR(IF(VALUE($C446)&lt;100000000,VALUE($C446),1000000000),IFERROR(IF(VALUE(MID($C446,2,20))&lt;100000000,VALUE(MID($C446,2,20)),1000000000),1000000000))+ROW()/100000,"")</f>
        <v/>
      </c>
    </row>
    <row r="447">
      <c r="E447" s="11" t="n"/>
      <c r="M447" s="7">
        <f>IF($C447="","",L447*U447/100)</f>
        <v/>
      </c>
      <c r="N447" s="7" t="n"/>
      <c r="T447" s="7" t="n"/>
      <c r="U447" s="7">
        <f>IF($C447="","",S447*T447)</f>
        <v/>
      </c>
      <c r="X447">
        <f>IF($C447="","",IF($AM447=1,0,IF($AL447=1,Settings!$C$6,Settings!$C$7))*100)</f>
        <v/>
      </c>
      <c r="AB447" s="7" t="n"/>
      <c r="AE447" s="11" t="n"/>
      <c r="AG447" s="7">
        <f>IF($C447="","",U447*X447/100)</f>
        <v/>
      </c>
      <c r="AH447" s="7">
        <f>IF($C447="","",U447-AG447)</f>
        <v/>
      </c>
      <c r="AI447" s="7">
        <f>IF($C447="","",AH447-M447)</f>
        <v/>
      </c>
      <c r="AJ447">
        <f>IF($C447="","",IF(COUNTIF($C$2:$C447,$C447)=1,1,0))</f>
        <v/>
      </c>
      <c r="AK447">
        <f>IF($AJ447=1,SUMPRODUCT(--($AN$2:$AN$4001&lt;$AN447))+1,"")</f>
        <v/>
      </c>
      <c r="AL447">
        <f>IF($C447="","",IF(OR($Q447=TRUE(),$Q447="TRUE"),1,0))</f>
        <v/>
      </c>
      <c r="AM447">
        <f>IF($C447="","",IF($W447="Yes",1,0))</f>
        <v/>
      </c>
      <c r="AN447">
        <f>IF($AJ447=1,IFERROR(IF(VALUE($C447)&lt;100000000,VALUE($C447),1000000000),IFERROR(IF(VALUE(MID($C447,2,20))&lt;100000000,VALUE(MID($C447,2,20)),1000000000),1000000000))+ROW()/100000,"")</f>
        <v/>
      </c>
    </row>
    <row r="448">
      <c r="E448" s="11" t="n"/>
      <c r="M448" s="7">
        <f>IF($C448="","",L448*U448/100)</f>
        <v/>
      </c>
      <c r="N448" s="7" t="n"/>
      <c r="T448" s="7" t="n"/>
      <c r="U448" s="7">
        <f>IF($C448="","",S448*T448)</f>
        <v/>
      </c>
      <c r="X448">
        <f>IF($C448="","",IF($AM448=1,0,IF($AL448=1,Settings!$C$6,Settings!$C$7))*100)</f>
        <v/>
      </c>
      <c r="AB448" s="7" t="n"/>
      <c r="AE448" s="11" t="n"/>
      <c r="AG448" s="7">
        <f>IF($C448="","",U448*X448/100)</f>
        <v/>
      </c>
      <c r="AH448" s="7">
        <f>IF($C448="","",U448-AG448)</f>
        <v/>
      </c>
      <c r="AI448" s="7">
        <f>IF($C448="","",AH448-M448)</f>
        <v/>
      </c>
      <c r="AJ448">
        <f>IF($C448="","",IF(COUNTIF($C$2:$C448,$C448)=1,1,0))</f>
        <v/>
      </c>
      <c r="AK448">
        <f>IF($AJ448=1,SUMPRODUCT(--($AN$2:$AN$4001&lt;$AN448))+1,"")</f>
        <v/>
      </c>
      <c r="AL448">
        <f>IF($C448="","",IF(OR($Q448=TRUE(),$Q448="TRUE"),1,0))</f>
        <v/>
      </c>
      <c r="AM448">
        <f>IF($C448="","",IF($W448="Yes",1,0))</f>
        <v/>
      </c>
      <c r="AN448">
        <f>IF($AJ448=1,IFERROR(IF(VALUE($C448)&lt;100000000,VALUE($C448),1000000000),IFERROR(IF(VALUE(MID($C448,2,20))&lt;100000000,VALUE(MID($C448,2,20)),1000000000),1000000000))+ROW()/100000,"")</f>
        <v/>
      </c>
    </row>
    <row r="449">
      <c r="E449" s="11" t="n"/>
      <c r="M449" s="7">
        <f>IF($C449="","",L449*U449/100)</f>
        <v/>
      </c>
      <c r="N449" s="7" t="n"/>
      <c r="T449" s="7" t="n"/>
      <c r="U449" s="7">
        <f>IF($C449="","",S449*T449)</f>
        <v/>
      </c>
      <c r="X449">
        <f>IF($C449="","",IF($AM449=1,0,IF($AL449=1,Settings!$C$6,Settings!$C$7))*100)</f>
        <v/>
      </c>
      <c r="AB449" s="7" t="n"/>
      <c r="AE449" s="11" t="n"/>
      <c r="AG449" s="7">
        <f>IF($C449="","",U449*X449/100)</f>
        <v/>
      </c>
      <c r="AH449" s="7">
        <f>IF($C449="","",U449-AG449)</f>
        <v/>
      </c>
      <c r="AI449" s="7">
        <f>IF($C449="","",AH449-M449)</f>
        <v/>
      </c>
      <c r="AJ449">
        <f>IF($C449="","",IF(COUNTIF($C$2:$C449,$C449)=1,1,0))</f>
        <v/>
      </c>
      <c r="AK449">
        <f>IF($AJ449=1,SUMPRODUCT(--($AN$2:$AN$4001&lt;$AN449))+1,"")</f>
        <v/>
      </c>
      <c r="AL449">
        <f>IF($C449="","",IF(OR($Q449=TRUE(),$Q449="TRUE"),1,0))</f>
        <v/>
      </c>
      <c r="AM449">
        <f>IF($C449="","",IF($W449="Yes",1,0))</f>
        <v/>
      </c>
      <c r="AN449">
        <f>IF($AJ449=1,IFERROR(IF(VALUE($C449)&lt;100000000,VALUE($C449),1000000000),IFERROR(IF(VALUE(MID($C449,2,20))&lt;100000000,VALUE(MID($C449,2,20)),1000000000),1000000000))+ROW()/100000,"")</f>
        <v/>
      </c>
    </row>
    <row r="450">
      <c r="E450" s="11" t="n"/>
      <c r="M450" s="7">
        <f>IF($C450="","",L450*U450/100)</f>
        <v/>
      </c>
      <c r="N450" s="7" t="n"/>
      <c r="T450" s="7" t="n"/>
      <c r="U450" s="7">
        <f>IF($C450="","",S450*T450)</f>
        <v/>
      </c>
      <c r="X450">
        <f>IF($C450="","",IF($AM450=1,0,IF($AL450=1,Settings!$C$6,Settings!$C$7))*100)</f>
        <v/>
      </c>
      <c r="AB450" s="7" t="n"/>
      <c r="AE450" s="11" t="n"/>
      <c r="AG450" s="7">
        <f>IF($C450="","",U450*X450/100)</f>
        <v/>
      </c>
      <c r="AH450" s="7">
        <f>IF($C450="","",U450-AG450)</f>
        <v/>
      </c>
      <c r="AI450" s="7">
        <f>IF($C450="","",AH450-M450)</f>
        <v/>
      </c>
      <c r="AJ450">
        <f>IF($C450="","",IF(COUNTIF($C$2:$C450,$C450)=1,1,0))</f>
        <v/>
      </c>
      <c r="AK450">
        <f>IF($AJ450=1,SUMPRODUCT(--($AN$2:$AN$4001&lt;$AN450))+1,"")</f>
        <v/>
      </c>
      <c r="AL450">
        <f>IF($C450="","",IF(OR($Q450=TRUE(),$Q450="TRUE"),1,0))</f>
        <v/>
      </c>
      <c r="AM450">
        <f>IF($C450="","",IF($W450="Yes",1,0))</f>
        <v/>
      </c>
      <c r="AN450">
        <f>IF($AJ450=1,IFERROR(IF(VALUE($C450)&lt;100000000,VALUE($C450),1000000000),IFERROR(IF(VALUE(MID($C450,2,20))&lt;100000000,VALUE(MID($C450,2,20)),1000000000),1000000000))+ROW()/100000,"")</f>
        <v/>
      </c>
    </row>
    <row r="451">
      <c r="E451" s="11" t="n"/>
      <c r="M451" s="7">
        <f>IF($C451="","",L451*U451/100)</f>
        <v/>
      </c>
      <c r="N451" s="7" t="n"/>
      <c r="T451" s="7" t="n"/>
      <c r="U451" s="7">
        <f>IF($C451="","",S451*T451)</f>
        <v/>
      </c>
      <c r="X451">
        <f>IF($C451="","",IF($AM451=1,0,IF($AL451=1,Settings!$C$6,Settings!$C$7))*100)</f>
        <v/>
      </c>
      <c r="AB451" s="7" t="n"/>
      <c r="AE451" s="11" t="n"/>
      <c r="AG451" s="7">
        <f>IF($C451="","",U451*X451/100)</f>
        <v/>
      </c>
      <c r="AH451" s="7">
        <f>IF($C451="","",U451-AG451)</f>
        <v/>
      </c>
      <c r="AI451" s="7">
        <f>IF($C451="","",AH451-M451)</f>
        <v/>
      </c>
      <c r="AJ451">
        <f>IF($C451="","",IF(COUNTIF($C$2:$C451,$C451)=1,1,0))</f>
        <v/>
      </c>
      <c r="AK451">
        <f>IF($AJ451=1,SUMPRODUCT(--($AN$2:$AN$4001&lt;$AN451))+1,"")</f>
        <v/>
      </c>
      <c r="AL451">
        <f>IF($C451="","",IF(OR($Q451=TRUE(),$Q451="TRUE"),1,0))</f>
        <v/>
      </c>
      <c r="AM451">
        <f>IF($C451="","",IF($W451="Yes",1,0))</f>
        <v/>
      </c>
      <c r="AN451">
        <f>IF($AJ451=1,IFERROR(IF(VALUE($C451)&lt;100000000,VALUE($C451),1000000000),IFERROR(IF(VALUE(MID($C451,2,20))&lt;100000000,VALUE(MID($C451,2,20)),1000000000),1000000000))+ROW()/100000,"")</f>
        <v/>
      </c>
    </row>
    <row r="452">
      <c r="E452" s="11" t="n"/>
      <c r="M452" s="7">
        <f>IF($C452="","",L452*U452/100)</f>
        <v/>
      </c>
      <c r="N452" s="7" t="n"/>
      <c r="T452" s="7" t="n"/>
      <c r="U452" s="7">
        <f>IF($C452="","",S452*T452)</f>
        <v/>
      </c>
      <c r="X452">
        <f>IF($C452="","",IF($AM452=1,0,IF($AL452=1,Settings!$C$6,Settings!$C$7))*100)</f>
        <v/>
      </c>
      <c r="AB452" s="7" t="n"/>
      <c r="AE452" s="11" t="n"/>
      <c r="AG452" s="7">
        <f>IF($C452="","",U452*X452/100)</f>
        <v/>
      </c>
      <c r="AH452" s="7">
        <f>IF($C452="","",U452-AG452)</f>
        <v/>
      </c>
      <c r="AI452" s="7">
        <f>IF($C452="","",AH452-M452)</f>
        <v/>
      </c>
      <c r="AJ452">
        <f>IF($C452="","",IF(COUNTIF($C$2:$C452,$C452)=1,1,0))</f>
        <v/>
      </c>
      <c r="AK452">
        <f>IF($AJ452=1,SUMPRODUCT(--($AN$2:$AN$4001&lt;$AN452))+1,"")</f>
        <v/>
      </c>
      <c r="AL452">
        <f>IF($C452="","",IF(OR($Q452=TRUE(),$Q452="TRUE"),1,0))</f>
        <v/>
      </c>
      <c r="AM452">
        <f>IF($C452="","",IF($W452="Yes",1,0))</f>
        <v/>
      </c>
      <c r="AN452">
        <f>IF($AJ452=1,IFERROR(IF(VALUE($C452)&lt;100000000,VALUE($C452),1000000000),IFERROR(IF(VALUE(MID($C452,2,20))&lt;100000000,VALUE(MID($C452,2,20)),1000000000),1000000000))+ROW()/100000,"")</f>
        <v/>
      </c>
    </row>
    <row r="453">
      <c r="E453" s="11" t="n"/>
      <c r="M453" s="7">
        <f>IF($C453="","",L453*U453/100)</f>
        <v/>
      </c>
      <c r="N453" s="7" t="n"/>
      <c r="T453" s="7" t="n"/>
      <c r="U453" s="7">
        <f>IF($C453="","",S453*T453)</f>
        <v/>
      </c>
      <c r="X453">
        <f>IF($C453="","",IF($AM453=1,0,IF($AL453=1,Settings!$C$6,Settings!$C$7))*100)</f>
        <v/>
      </c>
      <c r="AB453" s="7" t="n"/>
      <c r="AE453" s="11" t="n"/>
      <c r="AG453" s="7">
        <f>IF($C453="","",U453*X453/100)</f>
        <v/>
      </c>
      <c r="AH453" s="7">
        <f>IF($C453="","",U453-AG453)</f>
        <v/>
      </c>
      <c r="AI453" s="7">
        <f>IF($C453="","",AH453-M453)</f>
        <v/>
      </c>
      <c r="AJ453">
        <f>IF($C453="","",IF(COUNTIF($C$2:$C453,$C453)=1,1,0))</f>
        <v/>
      </c>
      <c r="AK453">
        <f>IF($AJ453=1,SUMPRODUCT(--($AN$2:$AN$4001&lt;$AN453))+1,"")</f>
        <v/>
      </c>
      <c r="AL453">
        <f>IF($C453="","",IF(OR($Q453=TRUE(),$Q453="TRUE"),1,0))</f>
        <v/>
      </c>
      <c r="AM453">
        <f>IF($C453="","",IF($W453="Yes",1,0))</f>
        <v/>
      </c>
      <c r="AN453">
        <f>IF($AJ453=1,IFERROR(IF(VALUE($C453)&lt;100000000,VALUE($C453),1000000000),IFERROR(IF(VALUE(MID($C453,2,20))&lt;100000000,VALUE(MID($C453,2,20)),1000000000),1000000000))+ROW()/100000,"")</f>
        <v/>
      </c>
    </row>
    <row r="454">
      <c r="E454" s="11" t="n"/>
      <c r="M454" s="7">
        <f>IF($C454="","",L454*U454/100)</f>
        <v/>
      </c>
      <c r="N454" s="7" t="n"/>
      <c r="T454" s="7" t="n"/>
      <c r="U454" s="7">
        <f>IF($C454="","",S454*T454)</f>
        <v/>
      </c>
      <c r="X454">
        <f>IF($C454="","",IF($AM454=1,0,IF($AL454=1,Settings!$C$6,Settings!$C$7))*100)</f>
        <v/>
      </c>
      <c r="AB454" s="7" t="n"/>
      <c r="AE454" s="11" t="n"/>
      <c r="AG454" s="7">
        <f>IF($C454="","",U454*X454/100)</f>
        <v/>
      </c>
      <c r="AH454" s="7">
        <f>IF($C454="","",U454-AG454)</f>
        <v/>
      </c>
      <c r="AI454" s="7">
        <f>IF($C454="","",AH454-M454)</f>
        <v/>
      </c>
      <c r="AJ454">
        <f>IF($C454="","",IF(COUNTIF($C$2:$C454,$C454)=1,1,0))</f>
        <v/>
      </c>
      <c r="AK454">
        <f>IF($AJ454=1,SUMPRODUCT(--($AN$2:$AN$4001&lt;$AN454))+1,"")</f>
        <v/>
      </c>
      <c r="AL454">
        <f>IF($C454="","",IF(OR($Q454=TRUE(),$Q454="TRUE"),1,0))</f>
        <v/>
      </c>
      <c r="AM454">
        <f>IF($C454="","",IF($W454="Yes",1,0))</f>
        <v/>
      </c>
      <c r="AN454">
        <f>IF($AJ454=1,IFERROR(IF(VALUE($C454)&lt;100000000,VALUE($C454),1000000000),IFERROR(IF(VALUE(MID($C454,2,20))&lt;100000000,VALUE(MID($C454,2,20)),1000000000),1000000000))+ROW()/100000,"")</f>
        <v/>
      </c>
    </row>
    <row r="455">
      <c r="E455" s="11" t="n"/>
      <c r="M455" s="7">
        <f>IF($C455="","",L455*U455/100)</f>
        <v/>
      </c>
      <c r="N455" s="7" t="n"/>
      <c r="T455" s="7" t="n"/>
      <c r="U455" s="7">
        <f>IF($C455="","",S455*T455)</f>
        <v/>
      </c>
      <c r="X455">
        <f>IF($C455="","",IF($AM455=1,0,IF($AL455=1,Settings!$C$6,Settings!$C$7))*100)</f>
        <v/>
      </c>
      <c r="AB455" s="7" t="n"/>
      <c r="AE455" s="11" t="n"/>
      <c r="AG455" s="7">
        <f>IF($C455="","",U455*X455/100)</f>
        <v/>
      </c>
      <c r="AH455" s="7">
        <f>IF($C455="","",U455-AG455)</f>
        <v/>
      </c>
      <c r="AI455" s="7">
        <f>IF($C455="","",AH455-M455)</f>
        <v/>
      </c>
      <c r="AJ455">
        <f>IF($C455="","",IF(COUNTIF($C$2:$C455,$C455)=1,1,0))</f>
        <v/>
      </c>
      <c r="AK455">
        <f>IF($AJ455=1,SUMPRODUCT(--($AN$2:$AN$4001&lt;$AN455))+1,"")</f>
        <v/>
      </c>
      <c r="AL455">
        <f>IF($C455="","",IF(OR($Q455=TRUE(),$Q455="TRUE"),1,0))</f>
        <v/>
      </c>
      <c r="AM455">
        <f>IF($C455="","",IF($W455="Yes",1,0))</f>
        <v/>
      </c>
      <c r="AN455">
        <f>IF($AJ455=1,IFERROR(IF(VALUE($C455)&lt;100000000,VALUE($C455),1000000000),IFERROR(IF(VALUE(MID($C455,2,20))&lt;100000000,VALUE(MID($C455,2,20)),1000000000),1000000000))+ROW()/100000,"")</f>
        <v/>
      </c>
    </row>
    <row r="456">
      <c r="E456" s="11" t="n"/>
      <c r="M456" s="7">
        <f>IF($C456="","",L456*U456/100)</f>
        <v/>
      </c>
      <c r="N456" s="7" t="n"/>
      <c r="T456" s="7" t="n"/>
      <c r="U456" s="7">
        <f>IF($C456="","",S456*T456)</f>
        <v/>
      </c>
      <c r="X456">
        <f>IF($C456="","",IF($AM456=1,0,IF($AL456=1,Settings!$C$6,Settings!$C$7))*100)</f>
        <v/>
      </c>
      <c r="AB456" s="7" t="n"/>
      <c r="AE456" s="11" t="n"/>
      <c r="AG456" s="7">
        <f>IF($C456="","",U456*X456/100)</f>
        <v/>
      </c>
      <c r="AH456" s="7">
        <f>IF($C456="","",U456-AG456)</f>
        <v/>
      </c>
      <c r="AI456" s="7">
        <f>IF($C456="","",AH456-M456)</f>
        <v/>
      </c>
      <c r="AJ456">
        <f>IF($C456="","",IF(COUNTIF($C$2:$C456,$C456)=1,1,0))</f>
        <v/>
      </c>
      <c r="AK456">
        <f>IF($AJ456=1,SUMPRODUCT(--($AN$2:$AN$4001&lt;$AN456))+1,"")</f>
        <v/>
      </c>
      <c r="AL456">
        <f>IF($C456="","",IF(OR($Q456=TRUE(),$Q456="TRUE"),1,0))</f>
        <v/>
      </c>
      <c r="AM456">
        <f>IF($C456="","",IF($W456="Yes",1,0))</f>
        <v/>
      </c>
      <c r="AN456">
        <f>IF($AJ456=1,IFERROR(IF(VALUE($C456)&lt;100000000,VALUE($C456),1000000000),IFERROR(IF(VALUE(MID($C456,2,20))&lt;100000000,VALUE(MID($C456,2,20)),1000000000),1000000000))+ROW()/100000,"")</f>
        <v/>
      </c>
    </row>
    <row r="457">
      <c r="E457" s="11" t="n"/>
      <c r="M457" s="7">
        <f>IF($C457="","",L457*U457/100)</f>
        <v/>
      </c>
      <c r="N457" s="7" t="n"/>
      <c r="T457" s="7" t="n"/>
      <c r="U457" s="7">
        <f>IF($C457="","",S457*T457)</f>
        <v/>
      </c>
      <c r="X457">
        <f>IF($C457="","",IF($AM457=1,0,IF($AL457=1,Settings!$C$6,Settings!$C$7))*100)</f>
        <v/>
      </c>
      <c r="AB457" s="7" t="n"/>
      <c r="AE457" s="11" t="n"/>
      <c r="AG457" s="7">
        <f>IF($C457="","",U457*X457/100)</f>
        <v/>
      </c>
      <c r="AH457" s="7">
        <f>IF($C457="","",U457-AG457)</f>
        <v/>
      </c>
      <c r="AI457" s="7">
        <f>IF($C457="","",AH457-M457)</f>
        <v/>
      </c>
      <c r="AJ457">
        <f>IF($C457="","",IF(COUNTIF($C$2:$C457,$C457)=1,1,0))</f>
        <v/>
      </c>
      <c r="AK457">
        <f>IF($AJ457=1,SUMPRODUCT(--($AN$2:$AN$4001&lt;$AN457))+1,"")</f>
        <v/>
      </c>
      <c r="AL457">
        <f>IF($C457="","",IF(OR($Q457=TRUE(),$Q457="TRUE"),1,0))</f>
        <v/>
      </c>
      <c r="AM457">
        <f>IF($C457="","",IF($W457="Yes",1,0))</f>
        <v/>
      </c>
      <c r="AN457">
        <f>IF($AJ457=1,IFERROR(IF(VALUE($C457)&lt;100000000,VALUE($C457),1000000000),IFERROR(IF(VALUE(MID($C457,2,20))&lt;100000000,VALUE(MID($C457,2,20)),1000000000),1000000000))+ROW()/100000,"")</f>
        <v/>
      </c>
    </row>
    <row r="458">
      <c r="E458" s="11" t="n"/>
      <c r="M458" s="7">
        <f>IF($C458="","",L458*U458/100)</f>
        <v/>
      </c>
      <c r="N458" s="7" t="n"/>
      <c r="T458" s="7" t="n"/>
      <c r="U458" s="7">
        <f>IF($C458="","",S458*T458)</f>
        <v/>
      </c>
      <c r="X458">
        <f>IF($C458="","",IF($AM458=1,0,IF($AL458=1,Settings!$C$6,Settings!$C$7))*100)</f>
        <v/>
      </c>
      <c r="AB458" s="7" t="n"/>
      <c r="AE458" s="11" t="n"/>
      <c r="AG458" s="7">
        <f>IF($C458="","",U458*X458/100)</f>
        <v/>
      </c>
      <c r="AH458" s="7">
        <f>IF($C458="","",U458-AG458)</f>
        <v/>
      </c>
      <c r="AI458" s="7">
        <f>IF($C458="","",AH458-M458)</f>
        <v/>
      </c>
      <c r="AJ458">
        <f>IF($C458="","",IF(COUNTIF($C$2:$C458,$C458)=1,1,0))</f>
        <v/>
      </c>
      <c r="AK458">
        <f>IF($AJ458=1,SUMPRODUCT(--($AN$2:$AN$4001&lt;$AN458))+1,"")</f>
        <v/>
      </c>
      <c r="AL458">
        <f>IF($C458="","",IF(OR($Q458=TRUE(),$Q458="TRUE"),1,0))</f>
        <v/>
      </c>
      <c r="AM458">
        <f>IF($C458="","",IF($W458="Yes",1,0))</f>
        <v/>
      </c>
      <c r="AN458">
        <f>IF($AJ458=1,IFERROR(IF(VALUE($C458)&lt;100000000,VALUE($C458),1000000000),IFERROR(IF(VALUE(MID($C458,2,20))&lt;100000000,VALUE(MID($C458,2,20)),1000000000),1000000000))+ROW()/100000,"")</f>
        <v/>
      </c>
    </row>
    <row r="459">
      <c r="E459" s="11" t="n"/>
      <c r="M459" s="7">
        <f>IF($C459="","",L459*U459/100)</f>
        <v/>
      </c>
      <c r="N459" s="7" t="n"/>
      <c r="T459" s="7" t="n"/>
      <c r="U459" s="7">
        <f>IF($C459="","",S459*T459)</f>
        <v/>
      </c>
      <c r="X459">
        <f>IF($C459="","",IF($AM459=1,0,IF($AL459=1,Settings!$C$6,Settings!$C$7))*100)</f>
        <v/>
      </c>
      <c r="AB459" s="7" t="n"/>
      <c r="AE459" s="11" t="n"/>
      <c r="AG459" s="7">
        <f>IF($C459="","",U459*X459/100)</f>
        <v/>
      </c>
      <c r="AH459" s="7">
        <f>IF($C459="","",U459-AG459)</f>
        <v/>
      </c>
      <c r="AI459" s="7">
        <f>IF($C459="","",AH459-M459)</f>
        <v/>
      </c>
      <c r="AJ459">
        <f>IF($C459="","",IF(COUNTIF($C$2:$C459,$C459)=1,1,0))</f>
        <v/>
      </c>
      <c r="AK459">
        <f>IF($AJ459=1,SUMPRODUCT(--($AN$2:$AN$4001&lt;$AN459))+1,"")</f>
        <v/>
      </c>
      <c r="AL459">
        <f>IF($C459="","",IF(OR($Q459=TRUE(),$Q459="TRUE"),1,0))</f>
        <v/>
      </c>
      <c r="AM459">
        <f>IF($C459="","",IF($W459="Yes",1,0))</f>
        <v/>
      </c>
      <c r="AN459">
        <f>IF($AJ459=1,IFERROR(IF(VALUE($C459)&lt;100000000,VALUE($C459),1000000000),IFERROR(IF(VALUE(MID($C459,2,20))&lt;100000000,VALUE(MID($C459,2,20)),1000000000),1000000000))+ROW()/100000,"")</f>
        <v/>
      </c>
    </row>
    <row r="460">
      <c r="E460" s="11" t="n"/>
      <c r="M460" s="7">
        <f>IF($C460="","",L460*U460/100)</f>
        <v/>
      </c>
      <c r="N460" s="7" t="n"/>
      <c r="T460" s="7" t="n"/>
      <c r="U460" s="7">
        <f>IF($C460="","",S460*T460)</f>
        <v/>
      </c>
      <c r="X460">
        <f>IF($C460="","",IF($AM460=1,0,IF($AL460=1,Settings!$C$6,Settings!$C$7))*100)</f>
        <v/>
      </c>
      <c r="AB460" s="7" t="n"/>
      <c r="AE460" s="11" t="n"/>
      <c r="AG460" s="7">
        <f>IF($C460="","",U460*X460/100)</f>
        <v/>
      </c>
      <c r="AH460" s="7">
        <f>IF($C460="","",U460-AG460)</f>
        <v/>
      </c>
      <c r="AI460" s="7">
        <f>IF($C460="","",AH460-M460)</f>
        <v/>
      </c>
      <c r="AJ460">
        <f>IF($C460="","",IF(COUNTIF($C$2:$C460,$C460)=1,1,0))</f>
        <v/>
      </c>
      <c r="AK460">
        <f>IF($AJ460=1,SUMPRODUCT(--($AN$2:$AN$4001&lt;$AN460))+1,"")</f>
        <v/>
      </c>
      <c r="AL460">
        <f>IF($C460="","",IF(OR($Q460=TRUE(),$Q460="TRUE"),1,0))</f>
        <v/>
      </c>
      <c r="AM460">
        <f>IF($C460="","",IF($W460="Yes",1,0))</f>
        <v/>
      </c>
      <c r="AN460">
        <f>IF($AJ460=1,IFERROR(IF(VALUE($C460)&lt;100000000,VALUE($C460),1000000000),IFERROR(IF(VALUE(MID($C460,2,20))&lt;100000000,VALUE(MID($C460,2,20)),1000000000),1000000000))+ROW()/100000,"")</f>
        <v/>
      </c>
    </row>
    <row r="461">
      <c r="E461" s="11" t="n"/>
      <c r="M461" s="7">
        <f>IF($C461="","",L461*U461/100)</f>
        <v/>
      </c>
      <c r="N461" s="7" t="n"/>
      <c r="T461" s="7" t="n"/>
      <c r="U461" s="7">
        <f>IF($C461="","",S461*T461)</f>
        <v/>
      </c>
      <c r="X461">
        <f>IF($C461="","",IF($AM461=1,0,IF($AL461=1,Settings!$C$6,Settings!$C$7))*100)</f>
        <v/>
      </c>
      <c r="AB461" s="7" t="n"/>
      <c r="AE461" s="11" t="n"/>
      <c r="AG461" s="7">
        <f>IF($C461="","",U461*X461/100)</f>
        <v/>
      </c>
      <c r="AH461" s="7">
        <f>IF($C461="","",U461-AG461)</f>
        <v/>
      </c>
      <c r="AI461" s="7">
        <f>IF($C461="","",AH461-M461)</f>
        <v/>
      </c>
      <c r="AJ461">
        <f>IF($C461="","",IF(COUNTIF($C$2:$C461,$C461)=1,1,0))</f>
        <v/>
      </c>
      <c r="AK461">
        <f>IF($AJ461=1,SUMPRODUCT(--($AN$2:$AN$4001&lt;$AN461))+1,"")</f>
        <v/>
      </c>
      <c r="AL461">
        <f>IF($C461="","",IF(OR($Q461=TRUE(),$Q461="TRUE"),1,0))</f>
        <v/>
      </c>
      <c r="AM461">
        <f>IF($C461="","",IF($W461="Yes",1,0))</f>
        <v/>
      </c>
      <c r="AN461">
        <f>IF($AJ461=1,IFERROR(IF(VALUE($C461)&lt;100000000,VALUE($C461),1000000000),IFERROR(IF(VALUE(MID($C461,2,20))&lt;100000000,VALUE(MID($C461,2,20)),1000000000),1000000000))+ROW()/100000,"")</f>
        <v/>
      </c>
    </row>
    <row r="462">
      <c r="E462" s="11" t="n"/>
      <c r="M462" s="7">
        <f>IF($C462="","",L462*U462/100)</f>
        <v/>
      </c>
      <c r="N462" s="7" t="n"/>
      <c r="T462" s="7" t="n"/>
      <c r="U462" s="7">
        <f>IF($C462="","",S462*T462)</f>
        <v/>
      </c>
      <c r="X462">
        <f>IF($C462="","",IF($AM462=1,0,IF($AL462=1,Settings!$C$6,Settings!$C$7))*100)</f>
        <v/>
      </c>
      <c r="AB462" s="7" t="n"/>
      <c r="AE462" s="11" t="n"/>
      <c r="AG462" s="7">
        <f>IF($C462="","",U462*X462/100)</f>
        <v/>
      </c>
      <c r="AH462" s="7">
        <f>IF($C462="","",U462-AG462)</f>
        <v/>
      </c>
      <c r="AI462" s="7">
        <f>IF($C462="","",AH462-M462)</f>
        <v/>
      </c>
      <c r="AJ462">
        <f>IF($C462="","",IF(COUNTIF($C$2:$C462,$C462)=1,1,0))</f>
        <v/>
      </c>
      <c r="AK462">
        <f>IF($AJ462=1,SUMPRODUCT(--($AN$2:$AN$4001&lt;$AN462))+1,"")</f>
        <v/>
      </c>
      <c r="AL462">
        <f>IF($C462="","",IF(OR($Q462=TRUE(),$Q462="TRUE"),1,0))</f>
        <v/>
      </c>
      <c r="AM462">
        <f>IF($C462="","",IF($W462="Yes",1,0))</f>
        <v/>
      </c>
      <c r="AN462">
        <f>IF($AJ462=1,IFERROR(IF(VALUE($C462)&lt;100000000,VALUE($C462),1000000000),IFERROR(IF(VALUE(MID($C462,2,20))&lt;100000000,VALUE(MID($C462,2,20)),1000000000),1000000000))+ROW()/100000,"")</f>
        <v/>
      </c>
    </row>
    <row r="463">
      <c r="E463" s="11" t="n"/>
      <c r="M463" s="7">
        <f>IF($C463="","",L463*U463/100)</f>
        <v/>
      </c>
      <c r="N463" s="7" t="n"/>
      <c r="T463" s="7" t="n"/>
      <c r="U463" s="7">
        <f>IF($C463="","",S463*T463)</f>
        <v/>
      </c>
      <c r="X463">
        <f>IF($C463="","",IF($AM463=1,0,IF($AL463=1,Settings!$C$6,Settings!$C$7))*100)</f>
        <v/>
      </c>
      <c r="AB463" s="7" t="n"/>
      <c r="AE463" s="11" t="n"/>
      <c r="AG463" s="7">
        <f>IF($C463="","",U463*X463/100)</f>
        <v/>
      </c>
      <c r="AH463" s="7">
        <f>IF($C463="","",U463-AG463)</f>
        <v/>
      </c>
      <c r="AI463" s="7">
        <f>IF($C463="","",AH463-M463)</f>
        <v/>
      </c>
      <c r="AJ463">
        <f>IF($C463="","",IF(COUNTIF($C$2:$C463,$C463)=1,1,0))</f>
        <v/>
      </c>
      <c r="AK463">
        <f>IF($AJ463=1,SUMPRODUCT(--($AN$2:$AN$4001&lt;$AN463))+1,"")</f>
        <v/>
      </c>
      <c r="AL463">
        <f>IF($C463="","",IF(OR($Q463=TRUE(),$Q463="TRUE"),1,0))</f>
        <v/>
      </c>
      <c r="AM463">
        <f>IF($C463="","",IF($W463="Yes",1,0))</f>
        <v/>
      </c>
      <c r="AN463">
        <f>IF($AJ463=1,IFERROR(IF(VALUE($C463)&lt;100000000,VALUE($C463),1000000000),IFERROR(IF(VALUE(MID($C463,2,20))&lt;100000000,VALUE(MID($C463,2,20)),1000000000),1000000000))+ROW()/100000,"")</f>
        <v/>
      </c>
    </row>
    <row r="464">
      <c r="E464" s="11" t="n"/>
      <c r="M464" s="7">
        <f>IF($C464="","",L464*U464/100)</f>
        <v/>
      </c>
      <c r="N464" s="7" t="n"/>
      <c r="T464" s="7" t="n"/>
      <c r="U464" s="7">
        <f>IF($C464="","",S464*T464)</f>
        <v/>
      </c>
      <c r="X464">
        <f>IF($C464="","",IF($AM464=1,0,IF($AL464=1,Settings!$C$6,Settings!$C$7))*100)</f>
        <v/>
      </c>
      <c r="AB464" s="7" t="n"/>
      <c r="AE464" s="11" t="n"/>
      <c r="AG464" s="7">
        <f>IF($C464="","",U464*X464/100)</f>
        <v/>
      </c>
      <c r="AH464" s="7">
        <f>IF($C464="","",U464-AG464)</f>
        <v/>
      </c>
      <c r="AI464" s="7">
        <f>IF($C464="","",AH464-M464)</f>
        <v/>
      </c>
      <c r="AJ464">
        <f>IF($C464="","",IF(COUNTIF($C$2:$C464,$C464)=1,1,0))</f>
        <v/>
      </c>
      <c r="AK464">
        <f>IF($AJ464=1,SUMPRODUCT(--($AN$2:$AN$4001&lt;$AN464))+1,"")</f>
        <v/>
      </c>
      <c r="AL464">
        <f>IF($C464="","",IF(OR($Q464=TRUE(),$Q464="TRUE"),1,0))</f>
        <v/>
      </c>
      <c r="AM464">
        <f>IF($C464="","",IF($W464="Yes",1,0))</f>
        <v/>
      </c>
      <c r="AN464">
        <f>IF($AJ464=1,IFERROR(IF(VALUE($C464)&lt;100000000,VALUE($C464),1000000000),IFERROR(IF(VALUE(MID($C464,2,20))&lt;100000000,VALUE(MID($C464,2,20)),1000000000),1000000000))+ROW()/100000,"")</f>
        <v/>
      </c>
    </row>
    <row r="465">
      <c r="E465" s="11" t="n"/>
      <c r="M465" s="7">
        <f>IF($C465="","",L465*U465/100)</f>
        <v/>
      </c>
      <c r="N465" s="7" t="n"/>
      <c r="T465" s="7" t="n"/>
      <c r="U465" s="7">
        <f>IF($C465="","",S465*T465)</f>
        <v/>
      </c>
      <c r="X465">
        <f>IF($C465="","",IF($AM465=1,0,IF($AL465=1,Settings!$C$6,Settings!$C$7))*100)</f>
        <v/>
      </c>
      <c r="AB465" s="7" t="n"/>
      <c r="AE465" s="11" t="n"/>
      <c r="AG465" s="7">
        <f>IF($C465="","",U465*X465/100)</f>
        <v/>
      </c>
      <c r="AH465" s="7">
        <f>IF($C465="","",U465-AG465)</f>
        <v/>
      </c>
      <c r="AI465" s="7">
        <f>IF($C465="","",AH465-M465)</f>
        <v/>
      </c>
      <c r="AJ465">
        <f>IF($C465="","",IF(COUNTIF($C$2:$C465,$C465)=1,1,0))</f>
        <v/>
      </c>
      <c r="AK465">
        <f>IF($AJ465=1,SUMPRODUCT(--($AN$2:$AN$4001&lt;$AN465))+1,"")</f>
        <v/>
      </c>
      <c r="AL465">
        <f>IF($C465="","",IF(OR($Q465=TRUE(),$Q465="TRUE"),1,0))</f>
        <v/>
      </c>
      <c r="AM465">
        <f>IF($C465="","",IF($W465="Yes",1,0))</f>
        <v/>
      </c>
      <c r="AN465">
        <f>IF($AJ465=1,IFERROR(IF(VALUE($C465)&lt;100000000,VALUE($C465),1000000000),IFERROR(IF(VALUE(MID($C465,2,20))&lt;100000000,VALUE(MID($C465,2,20)),1000000000),1000000000))+ROW()/100000,"")</f>
        <v/>
      </c>
    </row>
    <row r="466">
      <c r="E466" s="11" t="n"/>
      <c r="M466" s="7">
        <f>IF($C466="","",L466*U466/100)</f>
        <v/>
      </c>
      <c r="N466" s="7" t="n"/>
      <c r="T466" s="7" t="n"/>
      <c r="U466" s="7">
        <f>IF($C466="","",S466*T466)</f>
        <v/>
      </c>
      <c r="X466">
        <f>IF($C466="","",IF($AM466=1,0,IF($AL466=1,Settings!$C$6,Settings!$C$7))*100)</f>
        <v/>
      </c>
      <c r="AB466" s="7" t="n"/>
      <c r="AE466" s="11" t="n"/>
      <c r="AG466" s="7">
        <f>IF($C466="","",U466*X466/100)</f>
        <v/>
      </c>
      <c r="AH466" s="7">
        <f>IF($C466="","",U466-AG466)</f>
        <v/>
      </c>
      <c r="AI466" s="7">
        <f>IF($C466="","",AH466-M466)</f>
        <v/>
      </c>
      <c r="AJ466">
        <f>IF($C466="","",IF(COUNTIF($C$2:$C466,$C466)=1,1,0))</f>
        <v/>
      </c>
      <c r="AK466">
        <f>IF($AJ466=1,SUMPRODUCT(--($AN$2:$AN$4001&lt;$AN466))+1,"")</f>
        <v/>
      </c>
      <c r="AL466">
        <f>IF($C466="","",IF(OR($Q466=TRUE(),$Q466="TRUE"),1,0))</f>
        <v/>
      </c>
      <c r="AM466">
        <f>IF($C466="","",IF($W466="Yes",1,0))</f>
        <v/>
      </c>
      <c r="AN466">
        <f>IF($AJ466=1,IFERROR(IF(VALUE($C466)&lt;100000000,VALUE($C466),1000000000),IFERROR(IF(VALUE(MID($C466,2,20))&lt;100000000,VALUE(MID($C466,2,20)),1000000000),1000000000))+ROW()/100000,"")</f>
        <v/>
      </c>
    </row>
    <row r="467">
      <c r="E467" s="11" t="n"/>
      <c r="M467" s="7">
        <f>IF($C467="","",L467*U467/100)</f>
        <v/>
      </c>
      <c r="N467" s="7" t="n"/>
      <c r="T467" s="7" t="n"/>
      <c r="U467" s="7">
        <f>IF($C467="","",S467*T467)</f>
        <v/>
      </c>
      <c r="X467">
        <f>IF($C467="","",IF($AM467=1,0,IF($AL467=1,Settings!$C$6,Settings!$C$7))*100)</f>
        <v/>
      </c>
      <c r="AB467" s="7" t="n"/>
      <c r="AE467" s="11" t="n"/>
      <c r="AG467" s="7">
        <f>IF($C467="","",U467*X467/100)</f>
        <v/>
      </c>
      <c r="AH467" s="7">
        <f>IF($C467="","",U467-AG467)</f>
        <v/>
      </c>
      <c r="AI467" s="7">
        <f>IF($C467="","",AH467-M467)</f>
        <v/>
      </c>
      <c r="AJ467">
        <f>IF($C467="","",IF(COUNTIF($C$2:$C467,$C467)=1,1,0))</f>
        <v/>
      </c>
      <c r="AK467">
        <f>IF($AJ467=1,SUMPRODUCT(--($AN$2:$AN$4001&lt;$AN467))+1,"")</f>
        <v/>
      </c>
      <c r="AL467">
        <f>IF($C467="","",IF(OR($Q467=TRUE(),$Q467="TRUE"),1,0))</f>
        <v/>
      </c>
      <c r="AM467">
        <f>IF($C467="","",IF($W467="Yes",1,0))</f>
        <v/>
      </c>
      <c r="AN467">
        <f>IF($AJ467=1,IFERROR(IF(VALUE($C467)&lt;100000000,VALUE($C467),1000000000),IFERROR(IF(VALUE(MID($C467,2,20))&lt;100000000,VALUE(MID($C467,2,20)),1000000000),1000000000))+ROW()/100000,"")</f>
        <v/>
      </c>
    </row>
    <row r="468">
      <c r="E468" s="11" t="n"/>
      <c r="M468" s="7">
        <f>IF($C468="","",L468*U468/100)</f>
        <v/>
      </c>
      <c r="N468" s="7" t="n"/>
      <c r="T468" s="7" t="n"/>
      <c r="U468" s="7">
        <f>IF($C468="","",S468*T468)</f>
        <v/>
      </c>
      <c r="X468">
        <f>IF($C468="","",IF($AM468=1,0,IF($AL468=1,Settings!$C$6,Settings!$C$7))*100)</f>
        <v/>
      </c>
      <c r="AB468" s="7" t="n"/>
      <c r="AE468" s="11" t="n"/>
      <c r="AG468" s="7">
        <f>IF($C468="","",U468*X468/100)</f>
        <v/>
      </c>
      <c r="AH468" s="7">
        <f>IF($C468="","",U468-AG468)</f>
        <v/>
      </c>
      <c r="AI468" s="7">
        <f>IF($C468="","",AH468-M468)</f>
        <v/>
      </c>
      <c r="AJ468">
        <f>IF($C468="","",IF(COUNTIF($C$2:$C468,$C468)=1,1,0))</f>
        <v/>
      </c>
      <c r="AK468">
        <f>IF($AJ468=1,SUMPRODUCT(--($AN$2:$AN$4001&lt;$AN468))+1,"")</f>
        <v/>
      </c>
      <c r="AL468">
        <f>IF($C468="","",IF(OR($Q468=TRUE(),$Q468="TRUE"),1,0))</f>
        <v/>
      </c>
      <c r="AM468">
        <f>IF($C468="","",IF($W468="Yes",1,0))</f>
        <v/>
      </c>
      <c r="AN468">
        <f>IF($AJ468=1,IFERROR(IF(VALUE($C468)&lt;100000000,VALUE($C468),1000000000),IFERROR(IF(VALUE(MID($C468,2,20))&lt;100000000,VALUE(MID($C468,2,20)),1000000000),1000000000))+ROW()/100000,"")</f>
        <v/>
      </c>
    </row>
    <row r="469">
      <c r="E469" s="11" t="n"/>
      <c r="M469" s="7">
        <f>IF($C469="","",L469*U469/100)</f>
        <v/>
      </c>
      <c r="N469" s="7" t="n"/>
      <c r="T469" s="7" t="n"/>
      <c r="U469" s="7">
        <f>IF($C469="","",S469*T469)</f>
        <v/>
      </c>
      <c r="X469">
        <f>IF($C469="","",IF($AM469=1,0,IF($AL469=1,Settings!$C$6,Settings!$C$7))*100)</f>
        <v/>
      </c>
      <c r="AB469" s="7" t="n"/>
      <c r="AE469" s="11" t="n"/>
      <c r="AG469" s="7">
        <f>IF($C469="","",U469*X469/100)</f>
        <v/>
      </c>
      <c r="AH469" s="7">
        <f>IF($C469="","",U469-AG469)</f>
        <v/>
      </c>
      <c r="AI469" s="7">
        <f>IF($C469="","",AH469-M469)</f>
        <v/>
      </c>
      <c r="AJ469">
        <f>IF($C469="","",IF(COUNTIF($C$2:$C469,$C469)=1,1,0))</f>
        <v/>
      </c>
      <c r="AK469">
        <f>IF($AJ469=1,SUMPRODUCT(--($AN$2:$AN$4001&lt;$AN469))+1,"")</f>
        <v/>
      </c>
      <c r="AL469">
        <f>IF($C469="","",IF(OR($Q469=TRUE(),$Q469="TRUE"),1,0))</f>
        <v/>
      </c>
      <c r="AM469">
        <f>IF($C469="","",IF($W469="Yes",1,0))</f>
        <v/>
      </c>
      <c r="AN469">
        <f>IF($AJ469=1,IFERROR(IF(VALUE($C469)&lt;100000000,VALUE($C469),1000000000),IFERROR(IF(VALUE(MID($C469,2,20))&lt;100000000,VALUE(MID($C469,2,20)),1000000000),1000000000))+ROW()/100000,"")</f>
        <v/>
      </c>
    </row>
    <row r="470">
      <c r="E470" s="11" t="n"/>
      <c r="M470" s="7">
        <f>IF($C470="","",L470*U470/100)</f>
        <v/>
      </c>
      <c r="N470" s="7" t="n"/>
      <c r="T470" s="7" t="n"/>
      <c r="U470" s="7">
        <f>IF($C470="","",S470*T470)</f>
        <v/>
      </c>
      <c r="X470">
        <f>IF($C470="","",IF($AM470=1,0,IF($AL470=1,Settings!$C$6,Settings!$C$7))*100)</f>
        <v/>
      </c>
      <c r="AB470" s="7" t="n"/>
      <c r="AE470" s="11" t="n"/>
      <c r="AG470" s="7">
        <f>IF($C470="","",U470*X470/100)</f>
        <v/>
      </c>
      <c r="AH470" s="7">
        <f>IF($C470="","",U470-AG470)</f>
        <v/>
      </c>
      <c r="AI470" s="7">
        <f>IF($C470="","",AH470-M470)</f>
        <v/>
      </c>
      <c r="AJ470">
        <f>IF($C470="","",IF(COUNTIF($C$2:$C470,$C470)=1,1,0))</f>
        <v/>
      </c>
      <c r="AK470">
        <f>IF($AJ470=1,SUMPRODUCT(--($AN$2:$AN$4001&lt;$AN470))+1,"")</f>
        <v/>
      </c>
      <c r="AL470">
        <f>IF($C470="","",IF(OR($Q470=TRUE(),$Q470="TRUE"),1,0))</f>
        <v/>
      </c>
      <c r="AM470">
        <f>IF($C470="","",IF($W470="Yes",1,0))</f>
        <v/>
      </c>
      <c r="AN470">
        <f>IF($AJ470=1,IFERROR(IF(VALUE($C470)&lt;100000000,VALUE($C470),1000000000),IFERROR(IF(VALUE(MID($C470,2,20))&lt;100000000,VALUE(MID($C470,2,20)),1000000000),1000000000))+ROW()/100000,"")</f>
        <v/>
      </c>
    </row>
    <row r="471">
      <c r="E471" s="11" t="n"/>
      <c r="M471" s="7">
        <f>IF($C471="","",L471*U471/100)</f>
        <v/>
      </c>
      <c r="N471" s="7" t="n"/>
      <c r="T471" s="7" t="n"/>
      <c r="U471" s="7">
        <f>IF($C471="","",S471*T471)</f>
        <v/>
      </c>
      <c r="X471">
        <f>IF($C471="","",IF($AM471=1,0,IF($AL471=1,Settings!$C$6,Settings!$C$7))*100)</f>
        <v/>
      </c>
      <c r="AB471" s="7" t="n"/>
      <c r="AE471" s="11" t="n"/>
      <c r="AG471" s="7">
        <f>IF($C471="","",U471*X471/100)</f>
        <v/>
      </c>
      <c r="AH471" s="7">
        <f>IF($C471="","",U471-AG471)</f>
        <v/>
      </c>
      <c r="AI471" s="7">
        <f>IF($C471="","",AH471-M471)</f>
        <v/>
      </c>
      <c r="AJ471">
        <f>IF($C471="","",IF(COUNTIF($C$2:$C471,$C471)=1,1,0))</f>
        <v/>
      </c>
      <c r="AK471">
        <f>IF($AJ471=1,SUMPRODUCT(--($AN$2:$AN$4001&lt;$AN471))+1,"")</f>
        <v/>
      </c>
      <c r="AL471">
        <f>IF($C471="","",IF(OR($Q471=TRUE(),$Q471="TRUE"),1,0))</f>
        <v/>
      </c>
      <c r="AM471">
        <f>IF($C471="","",IF($W471="Yes",1,0))</f>
        <v/>
      </c>
      <c r="AN471">
        <f>IF($AJ471=1,IFERROR(IF(VALUE($C471)&lt;100000000,VALUE($C471),1000000000),IFERROR(IF(VALUE(MID($C471,2,20))&lt;100000000,VALUE(MID($C471,2,20)),1000000000),1000000000))+ROW()/100000,"")</f>
        <v/>
      </c>
    </row>
    <row r="472">
      <c r="E472" s="11" t="n"/>
      <c r="M472" s="7">
        <f>IF($C472="","",L472*U472/100)</f>
        <v/>
      </c>
      <c r="N472" s="7" t="n"/>
      <c r="T472" s="7" t="n"/>
      <c r="U472" s="7">
        <f>IF($C472="","",S472*T472)</f>
        <v/>
      </c>
      <c r="X472">
        <f>IF($C472="","",IF($AM472=1,0,IF($AL472=1,Settings!$C$6,Settings!$C$7))*100)</f>
        <v/>
      </c>
      <c r="AB472" s="7" t="n"/>
      <c r="AE472" s="11" t="n"/>
      <c r="AG472" s="7">
        <f>IF($C472="","",U472*X472/100)</f>
        <v/>
      </c>
      <c r="AH472" s="7">
        <f>IF($C472="","",U472-AG472)</f>
        <v/>
      </c>
      <c r="AI472" s="7">
        <f>IF($C472="","",AH472-M472)</f>
        <v/>
      </c>
      <c r="AJ472">
        <f>IF($C472="","",IF(COUNTIF($C$2:$C472,$C472)=1,1,0))</f>
        <v/>
      </c>
      <c r="AK472">
        <f>IF($AJ472=1,SUMPRODUCT(--($AN$2:$AN$4001&lt;$AN472))+1,"")</f>
        <v/>
      </c>
      <c r="AL472">
        <f>IF($C472="","",IF(OR($Q472=TRUE(),$Q472="TRUE"),1,0))</f>
        <v/>
      </c>
      <c r="AM472">
        <f>IF($C472="","",IF($W472="Yes",1,0))</f>
        <v/>
      </c>
      <c r="AN472">
        <f>IF($AJ472=1,IFERROR(IF(VALUE($C472)&lt;100000000,VALUE($C472),1000000000),IFERROR(IF(VALUE(MID($C472,2,20))&lt;100000000,VALUE(MID($C472,2,20)),1000000000),1000000000))+ROW()/100000,"")</f>
        <v/>
      </c>
    </row>
    <row r="473">
      <c r="E473" s="11" t="n"/>
      <c r="M473" s="7">
        <f>IF($C473="","",L473*U473/100)</f>
        <v/>
      </c>
      <c r="N473" s="7" t="n"/>
      <c r="T473" s="7" t="n"/>
      <c r="U473" s="7">
        <f>IF($C473="","",S473*T473)</f>
        <v/>
      </c>
      <c r="X473">
        <f>IF($C473="","",IF($AM473=1,0,IF($AL473=1,Settings!$C$6,Settings!$C$7))*100)</f>
        <v/>
      </c>
      <c r="AB473" s="7" t="n"/>
      <c r="AE473" s="11" t="n"/>
      <c r="AG473" s="7">
        <f>IF($C473="","",U473*X473/100)</f>
        <v/>
      </c>
      <c r="AH473" s="7">
        <f>IF($C473="","",U473-AG473)</f>
        <v/>
      </c>
      <c r="AI473" s="7">
        <f>IF($C473="","",AH473-M473)</f>
        <v/>
      </c>
      <c r="AJ473">
        <f>IF($C473="","",IF(COUNTIF($C$2:$C473,$C473)=1,1,0))</f>
        <v/>
      </c>
      <c r="AK473">
        <f>IF($AJ473=1,SUMPRODUCT(--($AN$2:$AN$4001&lt;$AN473))+1,"")</f>
        <v/>
      </c>
      <c r="AL473">
        <f>IF($C473="","",IF(OR($Q473=TRUE(),$Q473="TRUE"),1,0))</f>
        <v/>
      </c>
      <c r="AM473">
        <f>IF($C473="","",IF($W473="Yes",1,0))</f>
        <v/>
      </c>
      <c r="AN473">
        <f>IF($AJ473=1,IFERROR(IF(VALUE($C473)&lt;100000000,VALUE($C473),1000000000),IFERROR(IF(VALUE(MID($C473,2,20))&lt;100000000,VALUE(MID($C473,2,20)),1000000000),1000000000))+ROW()/100000,"")</f>
        <v/>
      </c>
    </row>
    <row r="474">
      <c r="E474" s="11" t="n"/>
      <c r="M474" s="7">
        <f>IF($C474="","",L474*U474/100)</f>
        <v/>
      </c>
      <c r="N474" s="7" t="n"/>
      <c r="T474" s="7" t="n"/>
      <c r="U474" s="7">
        <f>IF($C474="","",S474*T474)</f>
        <v/>
      </c>
      <c r="X474">
        <f>IF($C474="","",IF($AM474=1,0,IF($AL474=1,Settings!$C$6,Settings!$C$7))*100)</f>
        <v/>
      </c>
      <c r="AB474" s="7" t="n"/>
      <c r="AE474" s="11" t="n"/>
      <c r="AG474" s="7">
        <f>IF($C474="","",U474*X474/100)</f>
        <v/>
      </c>
      <c r="AH474" s="7">
        <f>IF($C474="","",U474-AG474)</f>
        <v/>
      </c>
      <c r="AI474" s="7">
        <f>IF($C474="","",AH474-M474)</f>
        <v/>
      </c>
      <c r="AJ474">
        <f>IF($C474="","",IF(COUNTIF($C$2:$C474,$C474)=1,1,0))</f>
        <v/>
      </c>
      <c r="AK474">
        <f>IF($AJ474=1,SUMPRODUCT(--($AN$2:$AN$4001&lt;$AN474))+1,"")</f>
        <v/>
      </c>
      <c r="AL474">
        <f>IF($C474="","",IF(OR($Q474=TRUE(),$Q474="TRUE"),1,0))</f>
        <v/>
      </c>
      <c r="AM474">
        <f>IF($C474="","",IF($W474="Yes",1,0))</f>
        <v/>
      </c>
      <c r="AN474">
        <f>IF($AJ474=1,IFERROR(IF(VALUE($C474)&lt;100000000,VALUE($C474),1000000000),IFERROR(IF(VALUE(MID($C474,2,20))&lt;100000000,VALUE(MID($C474,2,20)),1000000000),1000000000))+ROW()/100000,"")</f>
        <v/>
      </c>
    </row>
    <row r="475">
      <c r="E475" s="11" t="n"/>
      <c r="M475" s="7">
        <f>IF($C475="","",L475*U475/100)</f>
        <v/>
      </c>
      <c r="N475" s="7" t="n"/>
      <c r="T475" s="7" t="n"/>
      <c r="U475" s="7">
        <f>IF($C475="","",S475*T475)</f>
        <v/>
      </c>
      <c r="X475">
        <f>IF($C475="","",IF($AM475=1,0,IF($AL475=1,Settings!$C$6,Settings!$C$7))*100)</f>
        <v/>
      </c>
      <c r="AB475" s="7" t="n"/>
      <c r="AE475" s="11" t="n"/>
      <c r="AG475" s="7">
        <f>IF($C475="","",U475*X475/100)</f>
        <v/>
      </c>
      <c r="AH475" s="7">
        <f>IF($C475="","",U475-AG475)</f>
        <v/>
      </c>
      <c r="AI475" s="7">
        <f>IF($C475="","",AH475-M475)</f>
        <v/>
      </c>
      <c r="AJ475">
        <f>IF($C475="","",IF(COUNTIF($C$2:$C475,$C475)=1,1,0))</f>
        <v/>
      </c>
      <c r="AK475">
        <f>IF($AJ475=1,SUMPRODUCT(--($AN$2:$AN$4001&lt;$AN475))+1,"")</f>
        <v/>
      </c>
      <c r="AL475">
        <f>IF($C475="","",IF(OR($Q475=TRUE(),$Q475="TRUE"),1,0))</f>
        <v/>
      </c>
      <c r="AM475">
        <f>IF($C475="","",IF($W475="Yes",1,0))</f>
        <v/>
      </c>
      <c r="AN475">
        <f>IF($AJ475=1,IFERROR(IF(VALUE($C475)&lt;100000000,VALUE($C475),1000000000),IFERROR(IF(VALUE(MID($C475,2,20))&lt;100000000,VALUE(MID($C475,2,20)),1000000000),1000000000))+ROW()/100000,"")</f>
        <v/>
      </c>
    </row>
    <row r="476">
      <c r="E476" s="11" t="n"/>
      <c r="M476" s="7">
        <f>IF($C476="","",L476*U476/100)</f>
        <v/>
      </c>
      <c r="N476" s="7" t="n"/>
      <c r="T476" s="7" t="n"/>
      <c r="U476" s="7">
        <f>IF($C476="","",S476*T476)</f>
        <v/>
      </c>
      <c r="X476">
        <f>IF($C476="","",IF($AM476=1,0,IF($AL476=1,Settings!$C$6,Settings!$C$7))*100)</f>
        <v/>
      </c>
      <c r="AB476" s="7" t="n"/>
      <c r="AE476" s="11" t="n"/>
      <c r="AG476" s="7">
        <f>IF($C476="","",U476*X476/100)</f>
        <v/>
      </c>
      <c r="AH476" s="7">
        <f>IF($C476="","",U476-AG476)</f>
        <v/>
      </c>
      <c r="AI476" s="7">
        <f>IF($C476="","",AH476-M476)</f>
        <v/>
      </c>
      <c r="AJ476">
        <f>IF($C476="","",IF(COUNTIF($C$2:$C476,$C476)=1,1,0))</f>
        <v/>
      </c>
      <c r="AK476">
        <f>IF($AJ476=1,SUMPRODUCT(--($AN$2:$AN$4001&lt;$AN476))+1,"")</f>
        <v/>
      </c>
      <c r="AL476">
        <f>IF($C476="","",IF(OR($Q476=TRUE(),$Q476="TRUE"),1,0))</f>
        <v/>
      </c>
      <c r="AM476">
        <f>IF($C476="","",IF($W476="Yes",1,0))</f>
        <v/>
      </c>
      <c r="AN476">
        <f>IF($AJ476=1,IFERROR(IF(VALUE($C476)&lt;100000000,VALUE($C476),1000000000),IFERROR(IF(VALUE(MID($C476,2,20))&lt;100000000,VALUE(MID($C476,2,20)),1000000000),1000000000))+ROW()/100000,"")</f>
        <v/>
      </c>
    </row>
    <row r="477">
      <c r="E477" s="11" t="n"/>
      <c r="M477" s="7">
        <f>IF($C477="","",L477*U477/100)</f>
        <v/>
      </c>
      <c r="N477" s="7" t="n"/>
      <c r="T477" s="7" t="n"/>
      <c r="U477" s="7">
        <f>IF($C477="","",S477*T477)</f>
        <v/>
      </c>
      <c r="X477">
        <f>IF($C477="","",IF($AM477=1,0,IF($AL477=1,Settings!$C$6,Settings!$C$7))*100)</f>
        <v/>
      </c>
      <c r="AB477" s="7" t="n"/>
      <c r="AE477" s="11" t="n"/>
      <c r="AG477" s="7">
        <f>IF($C477="","",U477*X477/100)</f>
        <v/>
      </c>
      <c r="AH477" s="7">
        <f>IF($C477="","",U477-AG477)</f>
        <v/>
      </c>
      <c r="AI477" s="7">
        <f>IF($C477="","",AH477-M477)</f>
        <v/>
      </c>
      <c r="AJ477">
        <f>IF($C477="","",IF(COUNTIF($C$2:$C477,$C477)=1,1,0))</f>
        <v/>
      </c>
      <c r="AK477">
        <f>IF($AJ477=1,SUMPRODUCT(--($AN$2:$AN$4001&lt;$AN477))+1,"")</f>
        <v/>
      </c>
      <c r="AL477">
        <f>IF($C477="","",IF(OR($Q477=TRUE(),$Q477="TRUE"),1,0))</f>
        <v/>
      </c>
      <c r="AM477">
        <f>IF($C477="","",IF($W477="Yes",1,0))</f>
        <v/>
      </c>
      <c r="AN477">
        <f>IF($AJ477=1,IFERROR(IF(VALUE($C477)&lt;100000000,VALUE($C477),1000000000),IFERROR(IF(VALUE(MID($C477,2,20))&lt;100000000,VALUE(MID($C477,2,20)),1000000000),1000000000))+ROW()/100000,"")</f>
        <v/>
      </c>
    </row>
    <row r="478">
      <c r="E478" s="11" t="n"/>
      <c r="M478" s="7">
        <f>IF($C478="","",L478*U478/100)</f>
        <v/>
      </c>
      <c r="N478" s="7" t="n"/>
      <c r="T478" s="7" t="n"/>
      <c r="U478" s="7">
        <f>IF($C478="","",S478*T478)</f>
        <v/>
      </c>
      <c r="X478">
        <f>IF($C478="","",IF($AM478=1,0,IF($AL478=1,Settings!$C$6,Settings!$C$7))*100)</f>
        <v/>
      </c>
      <c r="AB478" s="7" t="n"/>
      <c r="AE478" s="11" t="n"/>
      <c r="AG478" s="7">
        <f>IF($C478="","",U478*X478/100)</f>
        <v/>
      </c>
      <c r="AH478" s="7">
        <f>IF($C478="","",U478-AG478)</f>
        <v/>
      </c>
      <c r="AI478" s="7">
        <f>IF($C478="","",AH478-M478)</f>
        <v/>
      </c>
      <c r="AJ478">
        <f>IF($C478="","",IF(COUNTIF($C$2:$C478,$C478)=1,1,0))</f>
        <v/>
      </c>
      <c r="AK478">
        <f>IF($AJ478=1,SUMPRODUCT(--($AN$2:$AN$4001&lt;$AN478))+1,"")</f>
        <v/>
      </c>
      <c r="AL478">
        <f>IF($C478="","",IF(OR($Q478=TRUE(),$Q478="TRUE"),1,0))</f>
        <v/>
      </c>
      <c r="AM478">
        <f>IF($C478="","",IF($W478="Yes",1,0))</f>
        <v/>
      </c>
      <c r="AN478">
        <f>IF($AJ478=1,IFERROR(IF(VALUE($C478)&lt;100000000,VALUE($C478),1000000000),IFERROR(IF(VALUE(MID($C478,2,20))&lt;100000000,VALUE(MID($C478,2,20)),1000000000),1000000000))+ROW()/100000,"")</f>
        <v/>
      </c>
    </row>
    <row r="479">
      <c r="E479" s="11" t="n"/>
      <c r="M479" s="7">
        <f>IF($C479="","",L479*U479/100)</f>
        <v/>
      </c>
      <c r="N479" s="7" t="n"/>
      <c r="T479" s="7" t="n"/>
      <c r="U479" s="7">
        <f>IF($C479="","",S479*T479)</f>
        <v/>
      </c>
      <c r="X479">
        <f>IF($C479="","",IF($AM479=1,0,IF($AL479=1,Settings!$C$6,Settings!$C$7))*100)</f>
        <v/>
      </c>
      <c r="AB479" s="7" t="n"/>
      <c r="AE479" s="11" t="n"/>
      <c r="AG479" s="7">
        <f>IF($C479="","",U479*X479/100)</f>
        <v/>
      </c>
      <c r="AH479" s="7">
        <f>IF($C479="","",U479-AG479)</f>
        <v/>
      </c>
      <c r="AI479" s="7">
        <f>IF($C479="","",AH479-M479)</f>
        <v/>
      </c>
      <c r="AJ479">
        <f>IF($C479="","",IF(COUNTIF($C$2:$C479,$C479)=1,1,0))</f>
        <v/>
      </c>
      <c r="AK479">
        <f>IF($AJ479=1,SUMPRODUCT(--($AN$2:$AN$4001&lt;$AN479))+1,"")</f>
        <v/>
      </c>
      <c r="AL479">
        <f>IF($C479="","",IF(OR($Q479=TRUE(),$Q479="TRUE"),1,0))</f>
        <v/>
      </c>
      <c r="AM479">
        <f>IF($C479="","",IF($W479="Yes",1,0))</f>
        <v/>
      </c>
      <c r="AN479">
        <f>IF($AJ479=1,IFERROR(IF(VALUE($C479)&lt;100000000,VALUE($C479),1000000000),IFERROR(IF(VALUE(MID($C479,2,20))&lt;100000000,VALUE(MID($C479,2,20)),1000000000),1000000000))+ROW()/100000,"")</f>
        <v/>
      </c>
    </row>
    <row r="480">
      <c r="E480" s="11" t="n"/>
      <c r="M480" s="7">
        <f>IF($C480="","",L480*U480/100)</f>
        <v/>
      </c>
      <c r="N480" s="7" t="n"/>
      <c r="T480" s="7" t="n"/>
      <c r="U480" s="7">
        <f>IF($C480="","",S480*T480)</f>
        <v/>
      </c>
      <c r="X480">
        <f>IF($C480="","",IF($AM480=1,0,IF($AL480=1,Settings!$C$6,Settings!$C$7))*100)</f>
        <v/>
      </c>
      <c r="AB480" s="7" t="n"/>
      <c r="AE480" s="11" t="n"/>
      <c r="AG480" s="7">
        <f>IF($C480="","",U480*X480/100)</f>
        <v/>
      </c>
      <c r="AH480" s="7">
        <f>IF($C480="","",U480-AG480)</f>
        <v/>
      </c>
      <c r="AI480" s="7">
        <f>IF($C480="","",AH480-M480)</f>
        <v/>
      </c>
      <c r="AJ480">
        <f>IF($C480="","",IF(COUNTIF($C$2:$C480,$C480)=1,1,0))</f>
        <v/>
      </c>
      <c r="AK480">
        <f>IF($AJ480=1,SUMPRODUCT(--($AN$2:$AN$4001&lt;$AN480))+1,"")</f>
        <v/>
      </c>
      <c r="AL480">
        <f>IF($C480="","",IF(OR($Q480=TRUE(),$Q480="TRUE"),1,0))</f>
        <v/>
      </c>
      <c r="AM480">
        <f>IF($C480="","",IF($W480="Yes",1,0))</f>
        <v/>
      </c>
      <c r="AN480">
        <f>IF($AJ480=1,IFERROR(IF(VALUE($C480)&lt;100000000,VALUE($C480),1000000000),IFERROR(IF(VALUE(MID($C480,2,20))&lt;100000000,VALUE(MID($C480,2,20)),1000000000),1000000000))+ROW()/100000,"")</f>
        <v/>
      </c>
    </row>
    <row r="481">
      <c r="E481" s="11" t="n"/>
      <c r="M481" s="7">
        <f>IF($C481="","",L481*U481/100)</f>
        <v/>
      </c>
      <c r="N481" s="7" t="n"/>
      <c r="T481" s="7" t="n"/>
      <c r="U481" s="7">
        <f>IF($C481="","",S481*T481)</f>
        <v/>
      </c>
      <c r="X481">
        <f>IF($C481="","",IF($AM481=1,0,IF($AL481=1,Settings!$C$6,Settings!$C$7))*100)</f>
        <v/>
      </c>
      <c r="AB481" s="7" t="n"/>
      <c r="AE481" s="11" t="n"/>
      <c r="AG481" s="7">
        <f>IF($C481="","",U481*X481/100)</f>
        <v/>
      </c>
      <c r="AH481" s="7">
        <f>IF($C481="","",U481-AG481)</f>
        <v/>
      </c>
      <c r="AI481" s="7">
        <f>IF($C481="","",AH481-M481)</f>
        <v/>
      </c>
      <c r="AJ481">
        <f>IF($C481="","",IF(COUNTIF($C$2:$C481,$C481)=1,1,0))</f>
        <v/>
      </c>
      <c r="AK481">
        <f>IF($AJ481=1,SUMPRODUCT(--($AN$2:$AN$4001&lt;$AN481))+1,"")</f>
        <v/>
      </c>
      <c r="AL481">
        <f>IF($C481="","",IF(OR($Q481=TRUE(),$Q481="TRUE"),1,0))</f>
        <v/>
      </c>
      <c r="AM481">
        <f>IF($C481="","",IF($W481="Yes",1,0))</f>
        <v/>
      </c>
      <c r="AN481">
        <f>IF($AJ481=1,IFERROR(IF(VALUE($C481)&lt;100000000,VALUE($C481),1000000000),IFERROR(IF(VALUE(MID($C481,2,20))&lt;100000000,VALUE(MID($C481,2,20)),1000000000),1000000000))+ROW()/100000,"")</f>
        <v/>
      </c>
    </row>
    <row r="482">
      <c r="E482" s="11" t="n"/>
      <c r="M482" s="7">
        <f>IF($C482="","",L482*U482/100)</f>
        <v/>
      </c>
      <c r="N482" s="7" t="n"/>
      <c r="T482" s="7" t="n"/>
      <c r="U482" s="7">
        <f>IF($C482="","",S482*T482)</f>
        <v/>
      </c>
      <c r="X482">
        <f>IF($C482="","",IF($AM482=1,0,IF($AL482=1,Settings!$C$6,Settings!$C$7))*100)</f>
        <v/>
      </c>
      <c r="AB482" s="7" t="n"/>
      <c r="AE482" s="11" t="n"/>
      <c r="AG482" s="7">
        <f>IF($C482="","",U482*X482/100)</f>
        <v/>
      </c>
      <c r="AH482" s="7">
        <f>IF($C482="","",U482-AG482)</f>
        <v/>
      </c>
      <c r="AI482" s="7">
        <f>IF($C482="","",AH482-M482)</f>
        <v/>
      </c>
      <c r="AJ482">
        <f>IF($C482="","",IF(COUNTIF($C$2:$C482,$C482)=1,1,0))</f>
        <v/>
      </c>
      <c r="AK482">
        <f>IF($AJ482=1,SUMPRODUCT(--($AN$2:$AN$4001&lt;$AN482))+1,"")</f>
        <v/>
      </c>
      <c r="AL482">
        <f>IF($C482="","",IF(OR($Q482=TRUE(),$Q482="TRUE"),1,0))</f>
        <v/>
      </c>
      <c r="AM482">
        <f>IF($C482="","",IF($W482="Yes",1,0))</f>
        <v/>
      </c>
      <c r="AN482">
        <f>IF($AJ482=1,IFERROR(IF(VALUE($C482)&lt;100000000,VALUE($C482),1000000000),IFERROR(IF(VALUE(MID($C482,2,20))&lt;100000000,VALUE(MID($C482,2,20)),1000000000),1000000000))+ROW()/100000,"")</f>
        <v/>
      </c>
    </row>
    <row r="483">
      <c r="E483" s="11" t="n"/>
      <c r="M483" s="7">
        <f>IF($C483="","",L483*U483/100)</f>
        <v/>
      </c>
      <c r="N483" s="7" t="n"/>
      <c r="T483" s="7" t="n"/>
      <c r="U483" s="7">
        <f>IF($C483="","",S483*T483)</f>
        <v/>
      </c>
      <c r="X483">
        <f>IF($C483="","",IF($AM483=1,0,IF($AL483=1,Settings!$C$6,Settings!$C$7))*100)</f>
        <v/>
      </c>
      <c r="AB483" s="7" t="n"/>
      <c r="AE483" s="11" t="n"/>
      <c r="AG483" s="7">
        <f>IF($C483="","",U483*X483/100)</f>
        <v/>
      </c>
      <c r="AH483" s="7">
        <f>IF($C483="","",U483-AG483)</f>
        <v/>
      </c>
      <c r="AI483" s="7">
        <f>IF($C483="","",AH483-M483)</f>
        <v/>
      </c>
      <c r="AJ483">
        <f>IF($C483="","",IF(COUNTIF($C$2:$C483,$C483)=1,1,0))</f>
        <v/>
      </c>
      <c r="AK483">
        <f>IF($AJ483=1,SUMPRODUCT(--($AN$2:$AN$4001&lt;$AN483))+1,"")</f>
        <v/>
      </c>
      <c r="AL483">
        <f>IF($C483="","",IF(OR($Q483=TRUE(),$Q483="TRUE"),1,0))</f>
        <v/>
      </c>
      <c r="AM483">
        <f>IF($C483="","",IF($W483="Yes",1,0))</f>
        <v/>
      </c>
      <c r="AN483">
        <f>IF($AJ483=1,IFERROR(IF(VALUE($C483)&lt;100000000,VALUE($C483),1000000000),IFERROR(IF(VALUE(MID($C483,2,20))&lt;100000000,VALUE(MID($C483,2,20)),1000000000),1000000000))+ROW()/100000,"")</f>
        <v/>
      </c>
    </row>
    <row r="484">
      <c r="E484" s="11" t="n"/>
      <c r="M484" s="7">
        <f>IF($C484="","",L484*U484/100)</f>
        <v/>
      </c>
      <c r="N484" s="7" t="n"/>
      <c r="T484" s="7" t="n"/>
      <c r="U484" s="7">
        <f>IF($C484="","",S484*T484)</f>
        <v/>
      </c>
      <c r="X484">
        <f>IF($C484="","",IF($AM484=1,0,IF($AL484=1,Settings!$C$6,Settings!$C$7))*100)</f>
        <v/>
      </c>
      <c r="AB484" s="7" t="n"/>
      <c r="AE484" s="11" t="n"/>
      <c r="AG484" s="7">
        <f>IF($C484="","",U484*X484/100)</f>
        <v/>
      </c>
      <c r="AH484" s="7">
        <f>IF($C484="","",U484-AG484)</f>
        <v/>
      </c>
      <c r="AI484" s="7">
        <f>IF($C484="","",AH484-M484)</f>
        <v/>
      </c>
      <c r="AJ484">
        <f>IF($C484="","",IF(COUNTIF($C$2:$C484,$C484)=1,1,0))</f>
        <v/>
      </c>
      <c r="AK484">
        <f>IF($AJ484=1,SUMPRODUCT(--($AN$2:$AN$4001&lt;$AN484))+1,"")</f>
        <v/>
      </c>
      <c r="AL484">
        <f>IF($C484="","",IF(OR($Q484=TRUE(),$Q484="TRUE"),1,0))</f>
        <v/>
      </c>
      <c r="AM484">
        <f>IF($C484="","",IF($W484="Yes",1,0))</f>
        <v/>
      </c>
      <c r="AN484">
        <f>IF($AJ484=1,IFERROR(IF(VALUE($C484)&lt;100000000,VALUE($C484),1000000000),IFERROR(IF(VALUE(MID($C484,2,20))&lt;100000000,VALUE(MID($C484,2,20)),1000000000),1000000000))+ROW()/100000,"")</f>
        <v/>
      </c>
    </row>
    <row r="485">
      <c r="E485" s="11" t="n"/>
      <c r="M485" s="7">
        <f>IF($C485="","",L485*U485/100)</f>
        <v/>
      </c>
      <c r="N485" s="7" t="n"/>
      <c r="T485" s="7" t="n"/>
      <c r="U485" s="7">
        <f>IF($C485="","",S485*T485)</f>
        <v/>
      </c>
      <c r="X485">
        <f>IF($C485="","",IF($AM485=1,0,IF($AL485=1,Settings!$C$6,Settings!$C$7))*100)</f>
        <v/>
      </c>
      <c r="AB485" s="7" t="n"/>
      <c r="AE485" s="11" t="n"/>
      <c r="AG485" s="7">
        <f>IF($C485="","",U485*X485/100)</f>
        <v/>
      </c>
      <c r="AH485" s="7">
        <f>IF($C485="","",U485-AG485)</f>
        <v/>
      </c>
      <c r="AI485" s="7">
        <f>IF($C485="","",AH485-M485)</f>
        <v/>
      </c>
      <c r="AJ485">
        <f>IF($C485="","",IF(COUNTIF($C$2:$C485,$C485)=1,1,0))</f>
        <v/>
      </c>
      <c r="AK485">
        <f>IF($AJ485=1,SUMPRODUCT(--($AN$2:$AN$4001&lt;$AN485))+1,"")</f>
        <v/>
      </c>
      <c r="AL485">
        <f>IF($C485="","",IF(OR($Q485=TRUE(),$Q485="TRUE"),1,0))</f>
        <v/>
      </c>
      <c r="AM485">
        <f>IF($C485="","",IF($W485="Yes",1,0))</f>
        <v/>
      </c>
      <c r="AN485">
        <f>IF($AJ485=1,IFERROR(IF(VALUE($C485)&lt;100000000,VALUE($C485),1000000000),IFERROR(IF(VALUE(MID($C485,2,20))&lt;100000000,VALUE(MID($C485,2,20)),1000000000),1000000000))+ROW()/100000,"")</f>
        <v/>
      </c>
    </row>
    <row r="486">
      <c r="E486" s="11" t="n"/>
      <c r="M486" s="7">
        <f>IF($C486="","",L486*U486/100)</f>
        <v/>
      </c>
      <c r="N486" s="7" t="n"/>
      <c r="T486" s="7" t="n"/>
      <c r="U486" s="7">
        <f>IF($C486="","",S486*T486)</f>
        <v/>
      </c>
      <c r="X486">
        <f>IF($C486="","",IF($AM486=1,0,IF($AL486=1,Settings!$C$6,Settings!$C$7))*100)</f>
        <v/>
      </c>
      <c r="AB486" s="7" t="n"/>
      <c r="AE486" s="11" t="n"/>
      <c r="AG486" s="7">
        <f>IF($C486="","",U486*X486/100)</f>
        <v/>
      </c>
      <c r="AH486" s="7">
        <f>IF($C486="","",U486-AG486)</f>
        <v/>
      </c>
      <c r="AI486" s="7">
        <f>IF($C486="","",AH486-M486)</f>
        <v/>
      </c>
      <c r="AJ486">
        <f>IF($C486="","",IF(COUNTIF($C$2:$C486,$C486)=1,1,0))</f>
        <v/>
      </c>
      <c r="AK486">
        <f>IF($AJ486=1,SUMPRODUCT(--($AN$2:$AN$4001&lt;$AN486))+1,"")</f>
        <v/>
      </c>
      <c r="AL486">
        <f>IF($C486="","",IF(OR($Q486=TRUE(),$Q486="TRUE"),1,0))</f>
        <v/>
      </c>
      <c r="AM486">
        <f>IF($C486="","",IF($W486="Yes",1,0))</f>
        <v/>
      </c>
      <c r="AN486">
        <f>IF($AJ486=1,IFERROR(IF(VALUE($C486)&lt;100000000,VALUE($C486),1000000000),IFERROR(IF(VALUE(MID($C486,2,20))&lt;100000000,VALUE(MID($C486,2,20)),1000000000),1000000000))+ROW()/100000,"")</f>
        <v/>
      </c>
    </row>
    <row r="487">
      <c r="E487" s="11" t="n"/>
      <c r="M487" s="7">
        <f>IF($C487="","",L487*U487/100)</f>
        <v/>
      </c>
      <c r="N487" s="7" t="n"/>
      <c r="T487" s="7" t="n"/>
      <c r="U487" s="7">
        <f>IF($C487="","",S487*T487)</f>
        <v/>
      </c>
      <c r="X487">
        <f>IF($C487="","",IF($AM487=1,0,IF($AL487=1,Settings!$C$6,Settings!$C$7))*100)</f>
        <v/>
      </c>
      <c r="AB487" s="7" t="n"/>
      <c r="AE487" s="11" t="n"/>
      <c r="AG487" s="7">
        <f>IF($C487="","",U487*X487/100)</f>
        <v/>
      </c>
      <c r="AH487" s="7">
        <f>IF($C487="","",U487-AG487)</f>
        <v/>
      </c>
      <c r="AI487" s="7">
        <f>IF($C487="","",AH487-M487)</f>
        <v/>
      </c>
      <c r="AJ487">
        <f>IF($C487="","",IF(COUNTIF($C$2:$C487,$C487)=1,1,0))</f>
        <v/>
      </c>
      <c r="AK487">
        <f>IF($AJ487=1,SUMPRODUCT(--($AN$2:$AN$4001&lt;$AN487))+1,"")</f>
        <v/>
      </c>
      <c r="AL487">
        <f>IF($C487="","",IF(OR($Q487=TRUE(),$Q487="TRUE"),1,0))</f>
        <v/>
      </c>
      <c r="AM487">
        <f>IF($C487="","",IF($W487="Yes",1,0))</f>
        <v/>
      </c>
      <c r="AN487">
        <f>IF($AJ487=1,IFERROR(IF(VALUE($C487)&lt;100000000,VALUE($C487),1000000000),IFERROR(IF(VALUE(MID($C487,2,20))&lt;100000000,VALUE(MID($C487,2,20)),1000000000),1000000000))+ROW()/100000,"")</f>
        <v/>
      </c>
    </row>
    <row r="488">
      <c r="E488" s="11" t="n"/>
      <c r="M488" s="7">
        <f>IF($C488="","",L488*U488/100)</f>
        <v/>
      </c>
      <c r="N488" s="7" t="n"/>
      <c r="T488" s="7" t="n"/>
      <c r="U488" s="7">
        <f>IF($C488="","",S488*T488)</f>
        <v/>
      </c>
      <c r="X488">
        <f>IF($C488="","",IF($AM488=1,0,IF($AL488=1,Settings!$C$6,Settings!$C$7))*100)</f>
        <v/>
      </c>
      <c r="AB488" s="7" t="n"/>
      <c r="AE488" s="11" t="n"/>
      <c r="AG488" s="7">
        <f>IF($C488="","",U488*X488/100)</f>
        <v/>
      </c>
      <c r="AH488" s="7">
        <f>IF($C488="","",U488-AG488)</f>
        <v/>
      </c>
      <c r="AI488" s="7">
        <f>IF($C488="","",AH488-M488)</f>
        <v/>
      </c>
      <c r="AJ488">
        <f>IF($C488="","",IF(COUNTIF($C$2:$C488,$C488)=1,1,0))</f>
        <v/>
      </c>
      <c r="AK488">
        <f>IF($AJ488=1,SUMPRODUCT(--($AN$2:$AN$4001&lt;$AN488))+1,"")</f>
        <v/>
      </c>
      <c r="AL488">
        <f>IF($C488="","",IF(OR($Q488=TRUE(),$Q488="TRUE"),1,0))</f>
        <v/>
      </c>
      <c r="AM488">
        <f>IF($C488="","",IF($W488="Yes",1,0))</f>
        <v/>
      </c>
      <c r="AN488">
        <f>IF($AJ488=1,IFERROR(IF(VALUE($C488)&lt;100000000,VALUE($C488),1000000000),IFERROR(IF(VALUE(MID($C488,2,20))&lt;100000000,VALUE(MID($C488,2,20)),1000000000),1000000000))+ROW()/100000,"")</f>
        <v/>
      </c>
    </row>
    <row r="489">
      <c r="E489" s="11" t="n"/>
      <c r="M489" s="7">
        <f>IF($C489="","",L489*U489/100)</f>
        <v/>
      </c>
      <c r="N489" s="7" t="n"/>
      <c r="T489" s="7" t="n"/>
      <c r="U489" s="7">
        <f>IF($C489="","",S489*T489)</f>
        <v/>
      </c>
      <c r="X489">
        <f>IF($C489="","",IF($AM489=1,0,IF($AL489=1,Settings!$C$6,Settings!$C$7))*100)</f>
        <v/>
      </c>
      <c r="AB489" s="7" t="n"/>
      <c r="AE489" s="11" t="n"/>
      <c r="AG489" s="7">
        <f>IF($C489="","",U489*X489/100)</f>
        <v/>
      </c>
      <c r="AH489" s="7">
        <f>IF($C489="","",U489-AG489)</f>
        <v/>
      </c>
      <c r="AI489" s="7">
        <f>IF($C489="","",AH489-M489)</f>
        <v/>
      </c>
      <c r="AJ489">
        <f>IF($C489="","",IF(COUNTIF($C$2:$C489,$C489)=1,1,0))</f>
        <v/>
      </c>
      <c r="AK489">
        <f>IF($AJ489=1,SUMPRODUCT(--($AN$2:$AN$4001&lt;$AN489))+1,"")</f>
        <v/>
      </c>
      <c r="AL489">
        <f>IF($C489="","",IF(OR($Q489=TRUE(),$Q489="TRUE"),1,0))</f>
        <v/>
      </c>
      <c r="AM489">
        <f>IF($C489="","",IF($W489="Yes",1,0))</f>
        <v/>
      </c>
      <c r="AN489">
        <f>IF($AJ489=1,IFERROR(IF(VALUE($C489)&lt;100000000,VALUE($C489),1000000000),IFERROR(IF(VALUE(MID($C489,2,20))&lt;100000000,VALUE(MID($C489,2,20)),1000000000),1000000000))+ROW()/100000,"")</f>
        <v/>
      </c>
    </row>
    <row r="490">
      <c r="E490" s="11" t="n"/>
      <c r="M490" s="7">
        <f>IF($C490="","",L490*U490/100)</f>
        <v/>
      </c>
      <c r="N490" s="7" t="n"/>
      <c r="T490" s="7" t="n"/>
      <c r="U490" s="7">
        <f>IF($C490="","",S490*T490)</f>
        <v/>
      </c>
      <c r="X490">
        <f>IF($C490="","",IF($AM490=1,0,IF($AL490=1,Settings!$C$6,Settings!$C$7))*100)</f>
        <v/>
      </c>
      <c r="AB490" s="7" t="n"/>
      <c r="AE490" s="11" t="n"/>
      <c r="AG490" s="7">
        <f>IF($C490="","",U490*X490/100)</f>
        <v/>
      </c>
      <c r="AH490" s="7">
        <f>IF($C490="","",U490-AG490)</f>
        <v/>
      </c>
      <c r="AI490" s="7">
        <f>IF($C490="","",AH490-M490)</f>
        <v/>
      </c>
      <c r="AJ490">
        <f>IF($C490="","",IF(COUNTIF($C$2:$C490,$C490)=1,1,0))</f>
        <v/>
      </c>
      <c r="AK490">
        <f>IF($AJ490=1,SUMPRODUCT(--($AN$2:$AN$4001&lt;$AN490))+1,"")</f>
        <v/>
      </c>
      <c r="AL490">
        <f>IF($C490="","",IF(OR($Q490=TRUE(),$Q490="TRUE"),1,0))</f>
        <v/>
      </c>
      <c r="AM490">
        <f>IF($C490="","",IF($W490="Yes",1,0))</f>
        <v/>
      </c>
      <c r="AN490">
        <f>IF($AJ490=1,IFERROR(IF(VALUE($C490)&lt;100000000,VALUE($C490),1000000000),IFERROR(IF(VALUE(MID($C490,2,20))&lt;100000000,VALUE(MID($C490,2,20)),1000000000),1000000000))+ROW()/100000,"")</f>
        <v/>
      </c>
    </row>
    <row r="491">
      <c r="E491" s="11" t="n"/>
      <c r="M491" s="7">
        <f>IF($C491="","",L491*U491/100)</f>
        <v/>
      </c>
      <c r="N491" s="7" t="n"/>
      <c r="T491" s="7" t="n"/>
      <c r="U491" s="7">
        <f>IF($C491="","",S491*T491)</f>
        <v/>
      </c>
      <c r="X491">
        <f>IF($C491="","",IF($AM491=1,0,IF($AL491=1,Settings!$C$6,Settings!$C$7))*100)</f>
        <v/>
      </c>
      <c r="AB491" s="7" t="n"/>
      <c r="AE491" s="11" t="n"/>
      <c r="AG491" s="7">
        <f>IF($C491="","",U491*X491/100)</f>
        <v/>
      </c>
      <c r="AH491" s="7">
        <f>IF($C491="","",U491-AG491)</f>
        <v/>
      </c>
      <c r="AI491" s="7">
        <f>IF($C491="","",AH491-M491)</f>
        <v/>
      </c>
      <c r="AJ491">
        <f>IF($C491="","",IF(COUNTIF($C$2:$C491,$C491)=1,1,0))</f>
        <v/>
      </c>
      <c r="AK491">
        <f>IF($AJ491=1,SUMPRODUCT(--($AN$2:$AN$4001&lt;$AN491))+1,"")</f>
        <v/>
      </c>
      <c r="AL491">
        <f>IF($C491="","",IF(OR($Q491=TRUE(),$Q491="TRUE"),1,0))</f>
        <v/>
      </c>
      <c r="AM491">
        <f>IF($C491="","",IF($W491="Yes",1,0))</f>
        <v/>
      </c>
      <c r="AN491">
        <f>IF($AJ491=1,IFERROR(IF(VALUE($C491)&lt;100000000,VALUE($C491),1000000000),IFERROR(IF(VALUE(MID($C491,2,20))&lt;100000000,VALUE(MID($C491,2,20)),1000000000),1000000000))+ROW()/100000,"")</f>
        <v/>
      </c>
    </row>
    <row r="492">
      <c r="E492" s="11" t="n"/>
      <c r="M492" s="7">
        <f>IF($C492="","",L492*U492/100)</f>
        <v/>
      </c>
      <c r="N492" s="7" t="n"/>
      <c r="T492" s="7" t="n"/>
      <c r="U492" s="7">
        <f>IF($C492="","",S492*T492)</f>
        <v/>
      </c>
      <c r="X492">
        <f>IF($C492="","",IF($AM492=1,0,IF($AL492=1,Settings!$C$6,Settings!$C$7))*100)</f>
        <v/>
      </c>
      <c r="AB492" s="7" t="n"/>
      <c r="AE492" s="11" t="n"/>
      <c r="AG492" s="7">
        <f>IF($C492="","",U492*X492/100)</f>
        <v/>
      </c>
      <c r="AH492" s="7">
        <f>IF($C492="","",U492-AG492)</f>
        <v/>
      </c>
      <c r="AI492" s="7">
        <f>IF($C492="","",AH492-M492)</f>
        <v/>
      </c>
      <c r="AJ492">
        <f>IF($C492="","",IF(COUNTIF($C$2:$C492,$C492)=1,1,0))</f>
        <v/>
      </c>
      <c r="AK492">
        <f>IF($AJ492=1,SUMPRODUCT(--($AN$2:$AN$4001&lt;$AN492))+1,"")</f>
        <v/>
      </c>
      <c r="AL492">
        <f>IF($C492="","",IF(OR($Q492=TRUE(),$Q492="TRUE"),1,0))</f>
        <v/>
      </c>
      <c r="AM492">
        <f>IF($C492="","",IF($W492="Yes",1,0))</f>
        <v/>
      </c>
      <c r="AN492">
        <f>IF($AJ492=1,IFERROR(IF(VALUE($C492)&lt;100000000,VALUE($C492),1000000000),IFERROR(IF(VALUE(MID($C492,2,20))&lt;100000000,VALUE(MID($C492,2,20)),1000000000),1000000000))+ROW()/100000,"")</f>
        <v/>
      </c>
    </row>
    <row r="493">
      <c r="E493" s="11" t="n"/>
      <c r="M493" s="7">
        <f>IF($C493="","",L493*U493/100)</f>
        <v/>
      </c>
      <c r="N493" s="7" t="n"/>
      <c r="T493" s="7" t="n"/>
      <c r="U493" s="7">
        <f>IF($C493="","",S493*T493)</f>
        <v/>
      </c>
      <c r="X493">
        <f>IF($C493="","",IF($AM493=1,0,IF($AL493=1,Settings!$C$6,Settings!$C$7))*100)</f>
        <v/>
      </c>
      <c r="AB493" s="7" t="n"/>
      <c r="AE493" s="11" t="n"/>
      <c r="AG493" s="7">
        <f>IF($C493="","",U493*X493/100)</f>
        <v/>
      </c>
      <c r="AH493" s="7">
        <f>IF($C493="","",U493-AG493)</f>
        <v/>
      </c>
      <c r="AI493" s="7">
        <f>IF($C493="","",AH493-M493)</f>
        <v/>
      </c>
      <c r="AJ493">
        <f>IF($C493="","",IF(COUNTIF($C$2:$C493,$C493)=1,1,0))</f>
        <v/>
      </c>
      <c r="AK493">
        <f>IF($AJ493=1,SUMPRODUCT(--($AN$2:$AN$4001&lt;$AN493))+1,"")</f>
        <v/>
      </c>
      <c r="AL493">
        <f>IF($C493="","",IF(OR($Q493=TRUE(),$Q493="TRUE"),1,0))</f>
        <v/>
      </c>
      <c r="AM493">
        <f>IF($C493="","",IF($W493="Yes",1,0))</f>
        <v/>
      </c>
      <c r="AN493">
        <f>IF($AJ493=1,IFERROR(IF(VALUE($C493)&lt;100000000,VALUE($C493),1000000000),IFERROR(IF(VALUE(MID($C493,2,20))&lt;100000000,VALUE(MID($C493,2,20)),1000000000),1000000000))+ROW()/100000,"")</f>
        <v/>
      </c>
    </row>
    <row r="494">
      <c r="E494" s="11" t="n"/>
      <c r="M494" s="7">
        <f>IF($C494="","",L494*U494/100)</f>
        <v/>
      </c>
      <c r="N494" s="7" t="n"/>
      <c r="T494" s="7" t="n"/>
      <c r="U494" s="7">
        <f>IF($C494="","",S494*T494)</f>
        <v/>
      </c>
      <c r="X494">
        <f>IF($C494="","",IF($AM494=1,0,IF($AL494=1,Settings!$C$6,Settings!$C$7))*100)</f>
        <v/>
      </c>
      <c r="AB494" s="7" t="n"/>
      <c r="AE494" s="11" t="n"/>
      <c r="AG494" s="7">
        <f>IF($C494="","",U494*X494/100)</f>
        <v/>
      </c>
      <c r="AH494" s="7">
        <f>IF($C494="","",U494-AG494)</f>
        <v/>
      </c>
      <c r="AI494" s="7">
        <f>IF($C494="","",AH494-M494)</f>
        <v/>
      </c>
      <c r="AJ494">
        <f>IF($C494="","",IF(COUNTIF($C$2:$C494,$C494)=1,1,0))</f>
        <v/>
      </c>
      <c r="AK494">
        <f>IF($AJ494=1,SUMPRODUCT(--($AN$2:$AN$4001&lt;$AN494))+1,"")</f>
        <v/>
      </c>
      <c r="AL494">
        <f>IF($C494="","",IF(OR($Q494=TRUE(),$Q494="TRUE"),1,0))</f>
        <v/>
      </c>
      <c r="AM494">
        <f>IF($C494="","",IF($W494="Yes",1,0))</f>
        <v/>
      </c>
      <c r="AN494">
        <f>IF($AJ494=1,IFERROR(IF(VALUE($C494)&lt;100000000,VALUE($C494),1000000000),IFERROR(IF(VALUE(MID($C494,2,20))&lt;100000000,VALUE(MID($C494,2,20)),1000000000),1000000000))+ROW()/100000,"")</f>
        <v/>
      </c>
    </row>
    <row r="495">
      <c r="E495" s="11" t="n"/>
      <c r="M495" s="7">
        <f>IF($C495="","",L495*U495/100)</f>
        <v/>
      </c>
      <c r="N495" s="7" t="n"/>
      <c r="T495" s="7" t="n"/>
      <c r="U495" s="7">
        <f>IF($C495="","",S495*T495)</f>
        <v/>
      </c>
      <c r="X495">
        <f>IF($C495="","",IF($AM495=1,0,IF($AL495=1,Settings!$C$6,Settings!$C$7))*100)</f>
        <v/>
      </c>
      <c r="AB495" s="7" t="n"/>
      <c r="AE495" s="11" t="n"/>
      <c r="AG495" s="7">
        <f>IF($C495="","",U495*X495/100)</f>
        <v/>
      </c>
      <c r="AH495" s="7">
        <f>IF($C495="","",U495-AG495)</f>
        <v/>
      </c>
      <c r="AI495" s="7">
        <f>IF($C495="","",AH495-M495)</f>
        <v/>
      </c>
      <c r="AJ495">
        <f>IF($C495="","",IF(COUNTIF($C$2:$C495,$C495)=1,1,0))</f>
        <v/>
      </c>
      <c r="AK495">
        <f>IF($AJ495=1,SUMPRODUCT(--($AN$2:$AN$4001&lt;$AN495))+1,"")</f>
        <v/>
      </c>
      <c r="AL495">
        <f>IF($C495="","",IF(OR($Q495=TRUE(),$Q495="TRUE"),1,0))</f>
        <v/>
      </c>
      <c r="AM495">
        <f>IF($C495="","",IF($W495="Yes",1,0))</f>
        <v/>
      </c>
      <c r="AN495">
        <f>IF($AJ495=1,IFERROR(IF(VALUE($C495)&lt;100000000,VALUE($C495),1000000000),IFERROR(IF(VALUE(MID($C495,2,20))&lt;100000000,VALUE(MID($C495,2,20)),1000000000),1000000000))+ROW()/100000,"")</f>
        <v/>
      </c>
    </row>
    <row r="496">
      <c r="E496" s="11" t="n"/>
      <c r="M496" s="7">
        <f>IF($C496="","",L496*U496/100)</f>
        <v/>
      </c>
      <c r="N496" s="7" t="n"/>
      <c r="T496" s="7" t="n"/>
      <c r="U496" s="7">
        <f>IF($C496="","",S496*T496)</f>
        <v/>
      </c>
      <c r="X496">
        <f>IF($C496="","",IF($AM496=1,0,IF($AL496=1,Settings!$C$6,Settings!$C$7))*100)</f>
        <v/>
      </c>
      <c r="AB496" s="7" t="n"/>
      <c r="AE496" s="11" t="n"/>
      <c r="AG496" s="7">
        <f>IF($C496="","",U496*X496/100)</f>
        <v/>
      </c>
      <c r="AH496" s="7">
        <f>IF($C496="","",U496-AG496)</f>
        <v/>
      </c>
      <c r="AI496" s="7">
        <f>IF($C496="","",AH496-M496)</f>
        <v/>
      </c>
      <c r="AJ496">
        <f>IF($C496="","",IF(COUNTIF($C$2:$C496,$C496)=1,1,0))</f>
        <v/>
      </c>
      <c r="AK496">
        <f>IF($AJ496=1,SUMPRODUCT(--($AN$2:$AN$4001&lt;$AN496))+1,"")</f>
        <v/>
      </c>
      <c r="AL496">
        <f>IF($C496="","",IF(OR($Q496=TRUE(),$Q496="TRUE"),1,0))</f>
        <v/>
      </c>
      <c r="AM496">
        <f>IF($C496="","",IF($W496="Yes",1,0))</f>
        <v/>
      </c>
      <c r="AN496">
        <f>IF($AJ496=1,IFERROR(IF(VALUE($C496)&lt;100000000,VALUE($C496),1000000000),IFERROR(IF(VALUE(MID($C496,2,20))&lt;100000000,VALUE(MID($C496,2,20)),1000000000),1000000000))+ROW()/100000,"")</f>
        <v/>
      </c>
    </row>
    <row r="497">
      <c r="E497" s="11" t="n"/>
      <c r="M497" s="7">
        <f>IF($C497="","",L497*U497/100)</f>
        <v/>
      </c>
      <c r="N497" s="7" t="n"/>
      <c r="T497" s="7" t="n"/>
      <c r="U497" s="7">
        <f>IF($C497="","",S497*T497)</f>
        <v/>
      </c>
      <c r="X497">
        <f>IF($C497="","",IF($AM497=1,0,IF($AL497=1,Settings!$C$6,Settings!$C$7))*100)</f>
        <v/>
      </c>
      <c r="AB497" s="7" t="n"/>
      <c r="AE497" s="11" t="n"/>
      <c r="AG497" s="7">
        <f>IF($C497="","",U497*X497/100)</f>
        <v/>
      </c>
      <c r="AH497" s="7">
        <f>IF($C497="","",U497-AG497)</f>
        <v/>
      </c>
      <c r="AI497" s="7">
        <f>IF($C497="","",AH497-M497)</f>
        <v/>
      </c>
      <c r="AJ497">
        <f>IF($C497="","",IF(COUNTIF($C$2:$C497,$C497)=1,1,0))</f>
        <v/>
      </c>
      <c r="AK497">
        <f>IF($AJ497=1,SUMPRODUCT(--($AN$2:$AN$4001&lt;$AN497))+1,"")</f>
        <v/>
      </c>
      <c r="AL497">
        <f>IF($C497="","",IF(OR($Q497=TRUE(),$Q497="TRUE"),1,0))</f>
        <v/>
      </c>
      <c r="AM497">
        <f>IF($C497="","",IF($W497="Yes",1,0))</f>
        <v/>
      </c>
      <c r="AN497">
        <f>IF($AJ497=1,IFERROR(IF(VALUE($C497)&lt;100000000,VALUE($C497),1000000000),IFERROR(IF(VALUE(MID($C497,2,20))&lt;100000000,VALUE(MID($C497,2,20)),1000000000),1000000000))+ROW()/100000,"")</f>
        <v/>
      </c>
    </row>
    <row r="498">
      <c r="E498" s="11" t="n"/>
      <c r="M498" s="7">
        <f>IF($C498="","",L498*U498/100)</f>
        <v/>
      </c>
      <c r="N498" s="7" t="n"/>
      <c r="T498" s="7" t="n"/>
      <c r="U498" s="7">
        <f>IF($C498="","",S498*T498)</f>
        <v/>
      </c>
      <c r="X498">
        <f>IF($C498="","",IF($AM498=1,0,IF($AL498=1,Settings!$C$6,Settings!$C$7))*100)</f>
        <v/>
      </c>
      <c r="AB498" s="7" t="n"/>
      <c r="AE498" s="11" t="n"/>
      <c r="AG498" s="7">
        <f>IF($C498="","",U498*X498/100)</f>
        <v/>
      </c>
      <c r="AH498" s="7">
        <f>IF($C498="","",U498-AG498)</f>
        <v/>
      </c>
      <c r="AI498" s="7">
        <f>IF($C498="","",AH498-M498)</f>
        <v/>
      </c>
      <c r="AJ498">
        <f>IF($C498="","",IF(COUNTIF($C$2:$C498,$C498)=1,1,0))</f>
        <v/>
      </c>
      <c r="AK498">
        <f>IF($AJ498=1,SUMPRODUCT(--($AN$2:$AN$4001&lt;$AN498))+1,"")</f>
        <v/>
      </c>
      <c r="AL498">
        <f>IF($C498="","",IF(OR($Q498=TRUE(),$Q498="TRUE"),1,0))</f>
        <v/>
      </c>
      <c r="AM498">
        <f>IF($C498="","",IF($W498="Yes",1,0))</f>
        <v/>
      </c>
      <c r="AN498">
        <f>IF($AJ498=1,IFERROR(IF(VALUE($C498)&lt;100000000,VALUE($C498),1000000000),IFERROR(IF(VALUE(MID($C498,2,20))&lt;100000000,VALUE(MID($C498,2,20)),1000000000),1000000000))+ROW()/100000,"")</f>
        <v/>
      </c>
    </row>
    <row r="499">
      <c r="E499" s="11" t="n"/>
      <c r="M499" s="7">
        <f>IF($C499="","",L499*U499/100)</f>
        <v/>
      </c>
      <c r="N499" s="7" t="n"/>
      <c r="T499" s="7" t="n"/>
      <c r="U499" s="7">
        <f>IF($C499="","",S499*T499)</f>
        <v/>
      </c>
      <c r="X499">
        <f>IF($C499="","",IF($AM499=1,0,IF($AL499=1,Settings!$C$6,Settings!$C$7))*100)</f>
        <v/>
      </c>
      <c r="AB499" s="7" t="n"/>
      <c r="AE499" s="11" t="n"/>
      <c r="AG499" s="7">
        <f>IF($C499="","",U499*X499/100)</f>
        <v/>
      </c>
      <c r="AH499" s="7">
        <f>IF($C499="","",U499-AG499)</f>
        <v/>
      </c>
      <c r="AI499" s="7">
        <f>IF($C499="","",AH499-M499)</f>
        <v/>
      </c>
      <c r="AJ499">
        <f>IF($C499="","",IF(COUNTIF($C$2:$C499,$C499)=1,1,0))</f>
        <v/>
      </c>
      <c r="AK499">
        <f>IF($AJ499=1,SUMPRODUCT(--($AN$2:$AN$4001&lt;$AN499))+1,"")</f>
        <v/>
      </c>
      <c r="AL499">
        <f>IF($C499="","",IF(OR($Q499=TRUE(),$Q499="TRUE"),1,0))</f>
        <v/>
      </c>
      <c r="AM499">
        <f>IF($C499="","",IF($W499="Yes",1,0))</f>
        <v/>
      </c>
      <c r="AN499">
        <f>IF($AJ499=1,IFERROR(IF(VALUE($C499)&lt;100000000,VALUE($C499),1000000000),IFERROR(IF(VALUE(MID($C499,2,20))&lt;100000000,VALUE(MID($C499,2,20)),1000000000),1000000000))+ROW()/100000,"")</f>
        <v/>
      </c>
    </row>
    <row r="500">
      <c r="E500" s="11" t="n"/>
      <c r="M500" s="7">
        <f>IF($C500="","",L500*U500/100)</f>
        <v/>
      </c>
      <c r="N500" s="7" t="n"/>
      <c r="T500" s="7" t="n"/>
      <c r="U500" s="7">
        <f>IF($C500="","",S500*T500)</f>
        <v/>
      </c>
      <c r="X500">
        <f>IF($C500="","",IF($AM500=1,0,IF($AL500=1,Settings!$C$6,Settings!$C$7))*100)</f>
        <v/>
      </c>
      <c r="AB500" s="7" t="n"/>
      <c r="AE500" s="11" t="n"/>
      <c r="AG500" s="7">
        <f>IF($C500="","",U500*X500/100)</f>
        <v/>
      </c>
      <c r="AH500" s="7">
        <f>IF($C500="","",U500-AG500)</f>
        <v/>
      </c>
      <c r="AI500" s="7">
        <f>IF($C500="","",AH500-M500)</f>
        <v/>
      </c>
      <c r="AJ500">
        <f>IF($C500="","",IF(COUNTIF($C$2:$C500,$C500)=1,1,0))</f>
        <v/>
      </c>
      <c r="AK500">
        <f>IF($AJ500=1,SUMPRODUCT(--($AN$2:$AN$4001&lt;$AN500))+1,"")</f>
        <v/>
      </c>
      <c r="AL500">
        <f>IF($C500="","",IF(OR($Q500=TRUE(),$Q500="TRUE"),1,0))</f>
        <v/>
      </c>
      <c r="AM500">
        <f>IF($C500="","",IF($W500="Yes",1,0))</f>
        <v/>
      </c>
      <c r="AN500">
        <f>IF($AJ500=1,IFERROR(IF(VALUE($C500)&lt;100000000,VALUE($C500),1000000000),IFERROR(IF(VALUE(MID($C500,2,20))&lt;100000000,VALUE(MID($C500,2,20)),1000000000),1000000000))+ROW()/100000,"")</f>
        <v/>
      </c>
    </row>
    <row r="501">
      <c r="E501" s="11" t="n"/>
      <c r="M501" s="7">
        <f>IF($C501="","",L501*U501/100)</f>
        <v/>
      </c>
      <c r="N501" s="7" t="n"/>
      <c r="T501" s="7" t="n"/>
      <c r="U501" s="7">
        <f>IF($C501="","",S501*T501)</f>
        <v/>
      </c>
      <c r="X501">
        <f>IF($C501="","",IF($AM501=1,0,IF($AL501=1,Settings!$C$6,Settings!$C$7))*100)</f>
        <v/>
      </c>
      <c r="AB501" s="7" t="n"/>
      <c r="AE501" s="11" t="n"/>
      <c r="AG501" s="7">
        <f>IF($C501="","",U501*X501/100)</f>
        <v/>
      </c>
      <c r="AH501" s="7">
        <f>IF($C501="","",U501-AG501)</f>
        <v/>
      </c>
      <c r="AI501" s="7">
        <f>IF($C501="","",AH501-M501)</f>
        <v/>
      </c>
      <c r="AJ501">
        <f>IF($C501="","",IF(COUNTIF($C$2:$C501,$C501)=1,1,0))</f>
        <v/>
      </c>
      <c r="AK501">
        <f>IF($AJ501=1,SUMPRODUCT(--($AN$2:$AN$4001&lt;$AN501))+1,"")</f>
        <v/>
      </c>
      <c r="AL501">
        <f>IF($C501="","",IF(OR($Q501=TRUE(),$Q501="TRUE"),1,0))</f>
        <v/>
      </c>
      <c r="AM501">
        <f>IF($C501="","",IF($W501="Yes",1,0))</f>
        <v/>
      </c>
      <c r="AN501">
        <f>IF($AJ501=1,IFERROR(IF(VALUE($C501)&lt;100000000,VALUE($C501),1000000000),IFERROR(IF(VALUE(MID($C501,2,20))&lt;100000000,VALUE(MID($C501,2,20)),1000000000),1000000000))+ROW()/100000,"")</f>
        <v/>
      </c>
    </row>
    <row r="502">
      <c r="E502" s="11" t="n"/>
      <c r="M502" s="7">
        <f>IF($C502="","",L502*U502/100)</f>
        <v/>
      </c>
      <c r="N502" s="7" t="n"/>
      <c r="T502" s="7" t="n"/>
      <c r="U502" s="7">
        <f>IF($C502="","",S502*T502)</f>
        <v/>
      </c>
      <c r="X502">
        <f>IF($C502="","",IF($AM502=1,0,IF($AL502=1,Settings!$C$6,Settings!$C$7))*100)</f>
        <v/>
      </c>
      <c r="AB502" s="7" t="n"/>
      <c r="AE502" s="11" t="n"/>
      <c r="AG502" s="7">
        <f>IF($C502="","",U502*X502/100)</f>
        <v/>
      </c>
      <c r="AH502" s="7">
        <f>IF($C502="","",U502-AG502)</f>
        <v/>
      </c>
      <c r="AI502" s="7">
        <f>IF($C502="","",AH502-M502)</f>
        <v/>
      </c>
      <c r="AJ502">
        <f>IF($C502="","",IF(COUNTIF($C$2:$C502,$C502)=1,1,0))</f>
        <v/>
      </c>
      <c r="AK502">
        <f>IF($AJ502=1,SUMPRODUCT(--($AN$2:$AN$4001&lt;$AN502))+1,"")</f>
        <v/>
      </c>
      <c r="AL502">
        <f>IF($C502="","",IF(OR($Q502=TRUE(),$Q502="TRUE"),1,0))</f>
        <v/>
      </c>
      <c r="AM502">
        <f>IF($C502="","",IF($W502="Yes",1,0))</f>
        <v/>
      </c>
      <c r="AN502">
        <f>IF($AJ502=1,IFERROR(IF(VALUE($C502)&lt;100000000,VALUE($C502),1000000000),IFERROR(IF(VALUE(MID($C502,2,20))&lt;100000000,VALUE(MID($C502,2,20)),1000000000),1000000000))+ROW()/100000,"")</f>
        <v/>
      </c>
    </row>
    <row r="503">
      <c r="E503" s="11" t="n"/>
      <c r="M503" s="7">
        <f>IF($C503="","",L503*U503/100)</f>
        <v/>
      </c>
      <c r="N503" s="7" t="n"/>
      <c r="T503" s="7" t="n"/>
      <c r="U503" s="7">
        <f>IF($C503="","",S503*T503)</f>
        <v/>
      </c>
      <c r="X503">
        <f>IF($C503="","",IF($AM503=1,0,IF($AL503=1,Settings!$C$6,Settings!$C$7))*100)</f>
        <v/>
      </c>
      <c r="AB503" s="7" t="n"/>
      <c r="AE503" s="11" t="n"/>
      <c r="AG503" s="7">
        <f>IF($C503="","",U503*X503/100)</f>
        <v/>
      </c>
      <c r="AH503" s="7">
        <f>IF($C503="","",U503-AG503)</f>
        <v/>
      </c>
      <c r="AI503" s="7">
        <f>IF($C503="","",AH503-M503)</f>
        <v/>
      </c>
      <c r="AJ503">
        <f>IF($C503="","",IF(COUNTIF($C$2:$C503,$C503)=1,1,0))</f>
        <v/>
      </c>
      <c r="AK503">
        <f>IF($AJ503=1,SUMPRODUCT(--($AN$2:$AN$4001&lt;$AN503))+1,"")</f>
        <v/>
      </c>
      <c r="AL503">
        <f>IF($C503="","",IF(OR($Q503=TRUE(),$Q503="TRUE"),1,0))</f>
        <v/>
      </c>
      <c r="AM503">
        <f>IF($C503="","",IF($W503="Yes",1,0))</f>
        <v/>
      </c>
      <c r="AN503">
        <f>IF($AJ503=1,IFERROR(IF(VALUE($C503)&lt;100000000,VALUE($C503),1000000000),IFERROR(IF(VALUE(MID($C503,2,20))&lt;100000000,VALUE(MID($C503,2,20)),1000000000),1000000000))+ROW()/100000,"")</f>
        <v/>
      </c>
    </row>
    <row r="504">
      <c r="E504" s="11" t="n"/>
      <c r="M504" s="7">
        <f>IF($C504="","",L504*U504/100)</f>
        <v/>
      </c>
      <c r="N504" s="7" t="n"/>
      <c r="T504" s="7" t="n"/>
      <c r="U504" s="7">
        <f>IF($C504="","",S504*T504)</f>
        <v/>
      </c>
      <c r="X504">
        <f>IF($C504="","",IF($AM504=1,0,IF($AL504=1,Settings!$C$6,Settings!$C$7))*100)</f>
        <v/>
      </c>
      <c r="AB504" s="7" t="n"/>
      <c r="AE504" s="11" t="n"/>
      <c r="AG504" s="7">
        <f>IF($C504="","",U504*X504/100)</f>
        <v/>
      </c>
      <c r="AH504" s="7">
        <f>IF($C504="","",U504-AG504)</f>
        <v/>
      </c>
      <c r="AI504" s="7">
        <f>IF($C504="","",AH504-M504)</f>
        <v/>
      </c>
      <c r="AJ504">
        <f>IF($C504="","",IF(COUNTIF($C$2:$C504,$C504)=1,1,0))</f>
        <v/>
      </c>
      <c r="AK504">
        <f>IF($AJ504=1,SUMPRODUCT(--($AN$2:$AN$4001&lt;$AN504))+1,"")</f>
        <v/>
      </c>
      <c r="AL504">
        <f>IF($C504="","",IF(OR($Q504=TRUE(),$Q504="TRUE"),1,0))</f>
        <v/>
      </c>
      <c r="AM504">
        <f>IF($C504="","",IF($W504="Yes",1,0))</f>
        <v/>
      </c>
      <c r="AN504">
        <f>IF($AJ504=1,IFERROR(IF(VALUE($C504)&lt;100000000,VALUE($C504),1000000000),IFERROR(IF(VALUE(MID($C504,2,20))&lt;100000000,VALUE(MID($C504,2,20)),1000000000),1000000000))+ROW()/100000,"")</f>
        <v/>
      </c>
    </row>
    <row r="505">
      <c r="E505" s="11" t="n"/>
      <c r="M505" s="7">
        <f>IF($C505="","",L505*U505/100)</f>
        <v/>
      </c>
      <c r="N505" s="7" t="n"/>
      <c r="T505" s="7" t="n"/>
      <c r="U505" s="7">
        <f>IF($C505="","",S505*T505)</f>
        <v/>
      </c>
      <c r="X505">
        <f>IF($C505="","",IF($AM505=1,0,IF($AL505=1,Settings!$C$6,Settings!$C$7))*100)</f>
        <v/>
      </c>
      <c r="AB505" s="7" t="n"/>
      <c r="AE505" s="11" t="n"/>
      <c r="AG505" s="7">
        <f>IF($C505="","",U505*X505/100)</f>
        <v/>
      </c>
      <c r="AH505" s="7">
        <f>IF($C505="","",U505-AG505)</f>
        <v/>
      </c>
      <c r="AI505" s="7">
        <f>IF($C505="","",AH505-M505)</f>
        <v/>
      </c>
      <c r="AJ505">
        <f>IF($C505="","",IF(COUNTIF($C$2:$C505,$C505)=1,1,0))</f>
        <v/>
      </c>
      <c r="AK505">
        <f>IF($AJ505=1,SUMPRODUCT(--($AN$2:$AN$4001&lt;$AN505))+1,"")</f>
        <v/>
      </c>
      <c r="AL505">
        <f>IF($C505="","",IF(OR($Q505=TRUE(),$Q505="TRUE"),1,0))</f>
        <v/>
      </c>
      <c r="AM505">
        <f>IF($C505="","",IF($W505="Yes",1,0))</f>
        <v/>
      </c>
      <c r="AN505">
        <f>IF($AJ505=1,IFERROR(IF(VALUE($C505)&lt;100000000,VALUE($C505),1000000000),IFERROR(IF(VALUE(MID($C505,2,20))&lt;100000000,VALUE(MID($C505,2,20)),1000000000),1000000000))+ROW()/100000,"")</f>
        <v/>
      </c>
    </row>
    <row r="506">
      <c r="E506" s="11" t="n"/>
      <c r="M506" s="7">
        <f>IF($C506="","",L506*U506/100)</f>
        <v/>
      </c>
      <c r="N506" s="7" t="n"/>
      <c r="T506" s="7" t="n"/>
      <c r="U506" s="7">
        <f>IF($C506="","",S506*T506)</f>
        <v/>
      </c>
      <c r="X506">
        <f>IF($C506="","",IF($AM506=1,0,IF($AL506=1,Settings!$C$6,Settings!$C$7))*100)</f>
        <v/>
      </c>
      <c r="AB506" s="7" t="n"/>
      <c r="AE506" s="11" t="n"/>
      <c r="AG506" s="7">
        <f>IF($C506="","",U506*X506/100)</f>
        <v/>
      </c>
      <c r="AH506" s="7">
        <f>IF($C506="","",U506-AG506)</f>
        <v/>
      </c>
      <c r="AI506" s="7">
        <f>IF($C506="","",AH506-M506)</f>
        <v/>
      </c>
      <c r="AJ506">
        <f>IF($C506="","",IF(COUNTIF($C$2:$C506,$C506)=1,1,0))</f>
        <v/>
      </c>
      <c r="AK506">
        <f>IF($AJ506=1,SUMPRODUCT(--($AN$2:$AN$4001&lt;$AN506))+1,"")</f>
        <v/>
      </c>
      <c r="AL506">
        <f>IF($C506="","",IF(OR($Q506=TRUE(),$Q506="TRUE"),1,0))</f>
        <v/>
      </c>
      <c r="AM506">
        <f>IF($C506="","",IF($W506="Yes",1,0))</f>
        <v/>
      </c>
      <c r="AN506">
        <f>IF($AJ506=1,IFERROR(IF(VALUE($C506)&lt;100000000,VALUE($C506),1000000000),IFERROR(IF(VALUE(MID($C506,2,20))&lt;100000000,VALUE(MID($C506,2,20)),1000000000),1000000000))+ROW()/100000,"")</f>
        <v/>
      </c>
    </row>
    <row r="507">
      <c r="E507" s="11" t="n"/>
      <c r="M507" s="7">
        <f>IF($C507="","",L507*U507/100)</f>
        <v/>
      </c>
      <c r="N507" s="7" t="n"/>
      <c r="T507" s="7" t="n"/>
      <c r="U507" s="7">
        <f>IF($C507="","",S507*T507)</f>
        <v/>
      </c>
      <c r="X507">
        <f>IF($C507="","",IF($AM507=1,0,IF($AL507=1,Settings!$C$6,Settings!$C$7))*100)</f>
        <v/>
      </c>
      <c r="AB507" s="7" t="n"/>
      <c r="AE507" s="11" t="n"/>
      <c r="AG507" s="7">
        <f>IF($C507="","",U507*X507/100)</f>
        <v/>
      </c>
      <c r="AH507" s="7">
        <f>IF($C507="","",U507-AG507)</f>
        <v/>
      </c>
      <c r="AI507" s="7">
        <f>IF($C507="","",AH507-M507)</f>
        <v/>
      </c>
      <c r="AJ507">
        <f>IF($C507="","",IF(COUNTIF($C$2:$C507,$C507)=1,1,0))</f>
        <v/>
      </c>
      <c r="AK507">
        <f>IF($AJ507=1,SUMPRODUCT(--($AN$2:$AN$4001&lt;$AN507))+1,"")</f>
        <v/>
      </c>
      <c r="AL507">
        <f>IF($C507="","",IF(OR($Q507=TRUE(),$Q507="TRUE"),1,0))</f>
        <v/>
      </c>
      <c r="AM507">
        <f>IF($C507="","",IF($W507="Yes",1,0))</f>
        <v/>
      </c>
      <c r="AN507">
        <f>IF($AJ507=1,IFERROR(IF(VALUE($C507)&lt;100000000,VALUE($C507),1000000000),IFERROR(IF(VALUE(MID($C507,2,20))&lt;100000000,VALUE(MID($C507,2,20)),1000000000),1000000000))+ROW()/100000,"")</f>
        <v/>
      </c>
    </row>
    <row r="508">
      <c r="E508" s="11" t="n"/>
      <c r="M508" s="7">
        <f>IF($C508="","",L508*U508/100)</f>
        <v/>
      </c>
      <c r="N508" s="7" t="n"/>
      <c r="T508" s="7" t="n"/>
      <c r="U508" s="7">
        <f>IF($C508="","",S508*T508)</f>
        <v/>
      </c>
      <c r="X508">
        <f>IF($C508="","",IF($AM508=1,0,IF($AL508=1,Settings!$C$6,Settings!$C$7))*100)</f>
        <v/>
      </c>
      <c r="AB508" s="7" t="n"/>
      <c r="AE508" s="11" t="n"/>
      <c r="AG508" s="7">
        <f>IF($C508="","",U508*X508/100)</f>
        <v/>
      </c>
      <c r="AH508" s="7">
        <f>IF($C508="","",U508-AG508)</f>
        <v/>
      </c>
      <c r="AI508" s="7">
        <f>IF($C508="","",AH508-M508)</f>
        <v/>
      </c>
      <c r="AJ508">
        <f>IF($C508="","",IF(COUNTIF($C$2:$C508,$C508)=1,1,0))</f>
        <v/>
      </c>
      <c r="AK508">
        <f>IF($AJ508=1,SUMPRODUCT(--($AN$2:$AN$4001&lt;$AN508))+1,"")</f>
        <v/>
      </c>
      <c r="AL508">
        <f>IF($C508="","",IF(OR($Q508=TRUE(),$Q508="TRUE"),1,0))</f>
        <v/>
      </c>
      <c r="AM508">
        <f>IF($C508="","",IF($W508="Yes",1,0))</f>
        <v/>
      </c>
      <c r="AN508">
        <f>IF($AJ508=1,IFERROR(IF(VALUE($C508)&lt;100000000,VALUE($C508),1000000000),IFERROR(IF(VALUE(MID($C508,2,20))&lt;100000000,VALUE(MID($C508,2,20)),1000000000),1000000000))+ROW()/100000,"")</f>
        <v/>
      </c>
    </row>
    <row r="509">
      <c r="E509" s="11" t="n"/>
      <c r="M509" s="7">
        <f>IF($C509="","",L509*U509/100)</f>
        <v/>
      </c>
      <c r="N509" s="7" t="n"/>
      <c r="T509" s="7" t="n"/>
      <c r="U509" s="7">
        <f>IF($C509="","",S509*T509)</f>
        <v/>
      </c>
      <c r="X509">
        <f>IF($C509="","",IF($AM509=1,0,IF($AL509=1,Settings!$C$6,Settings!$C$7))*100)</f>
        <v/>
      </c>
      <c r="AB509" s="7" t="n"/>
      <c r="AE509" s="11" t="n"/>
      <c r="AG509" s="7">
        <f>IF($C509="","",U509*X509/100)</f>
        <v/>
      </c>
      <c r="AH509" s="7">
        <f>IF($C509="","",U509-AG509)</f>
        <v/>
      </c>
      <c r="AI509" s="7">
        <f>IF($C509="","",AH509-M509)</f>
        <v/>
      </c>
      <c r="AJ509">
        <f>IF($C509="","",IF(COUNTIF($C$2:$C509,$C509)=1,1,0))</f>
        <v/>
      </c>
      <c r="AK509">
        <f>IF($AJ509=1,SUMPRODUCT(--($AN$2:$AN$4001&lt;$AN509))+1,"")</f>
        <v/>
      </c>
      <c r="AL509">
        <f>IF($C509="","",IF(OR($Q509=TRUE(),$Q509="TRUE"),1,0))</f>
        <v/>
      </c>
      <c r="AM509">
        <f>IF($C509="","",IF($W509="Yes",1,0))</f>
        <v/>
      </c>
      <c r="AN509">
        <f>IF($AJ509=1,IFERROR(IF(VALUE($C509)&lt;100000000,VALUE($C509),1000000000),IFERROR(IF(VALUE(MID($C509,2,20))&lt;100000000,VALUE(MID($C509,2,20)),1000000000),1000000000))+ROW()/100000,"")</f>
        <v/>
      </c>
    </row>
    <row r="510">
      <c r="E510" s="11" t="n"/>
      <c r="M510" s="7">
        <f>IF($C510="","",L510*U510/100)</f>
        <v/>
      </c>
      <c r="N510" s="7" t="n"/>
      <c r="T510" s="7" t="n"/>
      <c r="U510" s="7">
        <f>IF($C510="","",S510*T510)</f>
        <v/>
      </c>
      <c r="X510">
        <f>IF($C510="","",IF($AM510=1,0,IF($AL510=1,Settings!$C$6,Settings!$C$7))*100)</f>
        <v/>
      </c>
      <c r="AB510" s="7" t="n"/>
      <c r="AE510" s="11" t="n"/>
      <c r="AG510" s="7">
        <f>IF($C510="","",U510*X510/100)</f>
        <v/>
      </c>
      <c r="AH510" s="7">
        <f>IF($C510="","",U510-AG510)</f>
        <v/>
      </c>
      <c r="AI510" s="7">
        <f>IF($C510="","",AH510-M510)</f>
        <v/>
      </c>
      <c r="AJ510">
        <f>IF($C510="","",IF(COUNTIF($C$2:$C510,$C510)=1,1,0))</f>
        <v/>
      </c>
      <c r="AK510">
        <f>IF($AJ510=1,SUMPRODUCT(--($AN$2:$AN$4001&lt;$AN510))+1,"")</f>
        <v/>
      </c>
      <c r="AL510">
        <f>IF($C510="","",IF(OR($Q510=TRUE(),$Q510="TRUE"),1,0))</f>
        <v/>
      </c>
      <c r="AM510">
        <f>IF($C510="","",IF($W510="Yes",1,0))</f>
        <v/>
      </c>
      <c r="AN510">
        <f>IF($AJ510=1,IFERROR(IF(VALUE($C510)&lt;100000000,VALUE($C510),1000000000),IFERROR(IF(VALUE(MID($C510,2,20))&lt;100000000,VALUE(MID($C510,2,20)),1000000000),1000000000))+ROW()/100000,"")</f>
        <v/>
      </c>
    </row>
    <row r="511">
      <c r="E511" s="11" t="n"/>
      <c r="M511" s="7">
        <f>IF($C511="","",L511*U511/100)</f>
        <v/>
      </c>
      <c r="N511" s="7" t="n"/>
      <c r="T511" s="7" t="n"/>
      <c r="U511" s="7">
        <f>IF($C511="","",S511*T511)</f>
        <v/>
      </c>
      <c r="X511">
        <f>IF($C511="","",IF($AM511=1,0,IF($AL511=1,Settings!$C$6,Settings!$C$7))*100)</f>
        <v/>
      </c>
      <c r="AB511" s="7" t="n"/>
      <c r="AE511" s="11" t="n"/>
      <c r="AG511" s="7">
        <f>IF($C511="","",U511*X511/100)</f>
        <v/>
      </c>
      <c r="AH511" s="7">
        <f>IF($C511="","",U511-AG511)</f>
        <v/>
      </c>
      <c r="AI511" s="7">
        <f>IF($C511="","",AH511-M511)</f>
        <v/>
      </c>
      <c r="AJ511">
        <f>IF($C511="","",IF(COUNTIF($C$2:$C511,$C511)=1,1,0))</f>
        <v/>
      </c>
      <c r="AK511">
        <f>IF($AJ511=1,SUMPRODUCT(--($AN$2:$AN$4001&lt;$AN511))+1,"")</f>
        <v/>
      </c>
      <c r="AL511">
        <f>IF($C511="","",IF(OR($Q511=TRUE(),$Q511="TRUE"),1,0))</f>
        <v/>
      </c>
      <c r="AM511">
        <f>IF($C511="","",IF($W511="Yes",1,0))</f>
        <v/>
      </c>
      <c r="AN511">
        <f>IF($AJ511=1,IFERROR(IF(VALUE($C511)&lt;100000000,VALUE($C511),1000000000),IFERROR(IF(VALUE(MID($C511,2,20))&lt;100000000,VALUE(MID($C511,2,20)),1000000000),1000000000))+ROW()/100000,"")</f>
        <v/>
      </c>
    </row>
    <row r="512">
      <c r="E512" s="11" t="n"/>
      <c r="M512" s="7">
        <f>IF($C512="","",L512*U512/100)</f>
        <v/>
      </c>
      <c r="N512" s="7" t="n"/>
      <c r="T512" s="7" t="n"/>
      <c r="U512" s="7">
        <f>IF($C512="","",S512*T512)</f>
        <v/>
      </c>
      <c r="X512">
        <f>IF($C512="","",IF($AM512=1,0,IF($AL512=1,Settings!$C$6,Settings!$C$7))*100)</f>
        <v/>
      </c>
      <c r="AB512" s="7" t="n"/>
      <c r="AE512" s="11" t="n"/>
      <c r="AG512" s="7">
        <f>IF($C512="","",U512*X512/100)</f>
        <v/>
      </c>
      <c r="AH512" s="7">
        <f>IF($C512="","",U512-AG512)</f>
        <v/>
      </c>
      <c r="AI512" s="7">
        <f>IF($C512="","",AH512-M512)</f>
        <v/>
      </c>
      <c r="AJ512">
        <f>IF($C512="","",IF(COUNTIF($C$2:$C512,$C512)=1,1,0))</f>
        <v/>
      </c>
      <c r="AK512">
        <f>IF($AJ512=1,SUMPRODUCT(--($AN$2:$AN$4001&lt;$AN512))+1,"")</f>
        <v/>
      </c>
      <c r="AL512">
        <f>IF($C512="","",IF(OR($Q512=TRUE(),$Q512="TRUE"),1,0))</f>
        <v/>
      </c>
      <c r="AM512">
        <f>IF($C512="","",IF($W512="Yes",1,0))</f>
        <v/>
      </c>
      <c r="AN512">
        <f>IF($AJ512=1,IFERROR(IF(VALUE($C512)&lt;100000000,VALUE($C512),1000000000),IFERROR(IF(VALUE(MID($C512,2,20))&lt;100000000,VALUE(MID($C512,2,20)),1000000000),1000000000))+ROW()/100000,"")</f>
        <v/>
      </c>
    </row>
    <row r="513">
      <c r="E513" s="11" t="n"/>
      <c r="M513" s="7">
        <f>IF($C513="","",L513*U513/100)</f>
        <v/>
      </c>
      <c r="N513" s="7" t="n"/>
      <c r="T513" s="7" t="n"/>
      <c r="U513" s="7">
        <f>IF($C513="","",S513*T513)</f>
        <v/>
      </c>
      <c r="X513">
        <f>IF($C513="","",IF($AM513=1,0,IF($AL513=1,Settings!$C$6,Settings!$C$7))*100)</f>
        <v/>
      </c>
      <c r="AB513" s="7" t="n"/>
      <c r="AE513" s="11" t="n"/>
      <c r="AG513" s="7">
        <f>IF($C513="","",U513*X513/100)</f>
        <v/>
      </c>
      <c r="AH513" s="7">
        <f>IF($C513="","",U513-AG513)</f>
        <v/>
      </c>
      <c r="AI513" s="7">
        <f>IF($C513="","",AH513-M513)</f>
        <v/>
      </c>
      <c r="AJ513">
        <f>IF($C513="","",IF(COUNTIF($C$2:$C513,$C513)=1,1,0))</f>
        <v/>
      </c>
      <c r="AK513">
        <f>IF($AJ513=1,SUMPRODUCT(--($AN$2:$AN$4001&lt;$AN513))+1,"")</f>
        <v/>
      </c>
      <c r="AL513">
        <f>IF($C513="","",IF(OR($Q513=TRUE(),$Q513="TRUE"),1,0))</f>
        <v/>
      </c>
      <c r="AM513">
        <f>IF($C513="","",IF($W513="Yes",1,0))</f>
        <v/>
      </c>
      <c r="AN513">
        <f>IF($AJ513=1,IFERROR(IF(VALUE($C513)&lt;100000000,VALUE($C513),1000000000),IFERROR(IF(VALUE(MID($C513,2,20))&lt;100000000,VALUE(MID($C513,2,20)),1000000000),1000000000))+ROW()/100000,"")</f>
        <v/>
      </c>
    </row>
    <row r="514">
      <c r="E514" s="11" t="n"/>
      <c r="M514" s="7">
        <f>IF($C514="","",L514*U514/100)</f>
        <v/>
      </c>
      <c r="N514" s="7" t="n"/>
      <c r="T514" s="7" t="n"/>
      <c r="U514" s="7">
        <f>IF($C514="","",S514*T514)</f>
        <v/>
      </c>
      <c r="X514">
        <f>IF($C514="","",IF($AM514=1,0,IF($AL514=1,Settings!$C$6,Settings!$C$7))*100)</f>
        <v/>
      </c>
      <c r="AB514" s="7" t="n"/>
      <c r="AE514" s="11" t="n"/>
      <c r="AG514" s="7">
        <f>IF($C514="","",U514*X514/100)</f>
        <v/>
      </c>
      <c r="AH514" s="7">
        <f>IF($C514="","",U514-AG514)</f>
        <v/>
      </c>
      <c r="AI514" s="7">
        <f>IF($C514="","",AH514-M514)</f>
        <v/>
      </c>
      <c r="AJ514">
        <f>IF($C514="","",IF(COUNTIF($C$2:$C514,$C514)=1,1,0))</f>
        <v/>
      </c>
      <c r="AK514">
        <f>IF($AJ514=1,SUMPRODUCT(--($AN$2:$AN$4001&lt;$AN514))+1,"")</f>
        <v/>
      </c>
      <c r="AL514">
        <f>IF($C514="","",IF(OR($Q514=TRUE(),$Q514="TRUE"),1,0))</f>
        <v/>
      </c>
      <c r="AM514">
        <f>IF($C514="","",IF($W514="Yes",1,0))</f>
        <v/>
      </c>
      <c r="AN514">
        <f>IF($AJ514=1,IFERROR(IF(VALUE($C514)&lt;100000000,VALUE($C514),1000000000),IFERROR(IF(VALUE(MID($C514,2,20))&lt;100000000,VALUE(MID($C514,2,20)),1000000000),1000000000))+ROW()/100000,"")</f>
        <v/>
      </c>
    </row>
    <row r="515">
      <c r="E515" s="11" t="n"/>
      <c r="M515" s="7">
        <f>IF($C515="","",L515*U515/100)</f>
        <v/>
      </c>
      <c r="N515" s="7" t="n"/>
      <c r="T515" s="7" t="n"/>
      <c r="U515" s="7">
        <f>IF($C515="","",S515*T515)</f>
        <v/>
      </c>
      <c r="X515">
        <f>IF($C515="","",IF($AM515=1,0,IF($AL515=1,Settings!$C$6,Settings!$C$7))*100)</f>
        <v/>
      </c>
      <c r="AB515" s="7" t="n"/>
      <c r="AE515" s="11" t="n"/>
      <c r="AG515" s="7">
        <f>IF($C515="","",U515*X515/100)</f>
        <v/>
      </c>
      <c r="AH515" s="7">
        <f>IF($C515="","",U515-AG515)</f>
        <v/>
      </c>
      <c r="AI515" s="7">
        <f>IF($C515="","",AH515-M515)</f>
        <v/>
      </c>
      <c r="AJ515">
        <f>IF($C515="","",IF(COUNTIF($C$2:$C515,$C515)=1,1,0))</f>
        <v/>
      </c>
      <c r="AK515">
        <f>IF($AJ515=1,SUMPRODUCT(--($AN$2:$AN$4001&lt;$AN515))+1,"")</f>
        <v/>
      </c>
      <c r="AL515">
        <f>IF($C515="","",IF(OR($Q515=TRUE(),$Q515="TRUE"),1,0))</f>
        <v/>
      </c>
      <c r="AM515">
        <f>IF($C515="","",IF($W515="Yes",1,0))</f>
        <v/>
      </c>
      <c r="AN515">
        <f>IF($AJ515=1,IFERROR(IF(VALUE($C515)&lt;100000000,VALUE($C515),1000000000),IFERROR(IF(VALUE(MID($C515,2,20))&lt;100000000,VALUE(MID($C515,2,20)),1000000000),1000000000))+ROW()/100000,"")</f>
        <v/>
      </c>
    </row>
    <row r="516">
      <c r="E516" s="11" t="n"/>
      <c r="M516" s="7">
        <f>IF($C516="","",L516*U516/100)</f>
        <v/>
      </c>
      <c r="N516" s="7" t="n"/>
      <c r="T516" s="7" t="n"/>
      <c r="U516" s="7">
        <f>IF($C516="","",S516*T516)</f>
        <v/>
      </c>
      <c r="X516">
        <f>IF($C516="","",IF($AM516=1,0,IF($AL516=1,Settings!$C$6,Settings!$C$7))*100)</f>
        <v/>
      </c>
      <c r="AB516" s="7" t="n"/>
      <c r="AE516" s="11" t="n"/>
      <c r="AG516" s="7">
        <f>IF($C516="","",U516*X516/100)</f>
        <v/>
      </c>
      <c r="AH516" s="7">
        <f>IF($C516="","",U516-AG516)</f>
        <v/>
      </c>
      <c r="AI516" s="7">
        <f>IF($C516="","",AH516-M516)</f>
        <v/>
      </c>
      <c r="AJ516">
        <f>IF($C516="","",IF(COUNTIF($C$2:$C516,$C516)=1,1,0))</f>
        <v/>
      </c>
      <c r="AK516">
        <f>IF($AJ516=1,SUMPRODUCT(--($AN$2:$AN$4001&lt;$AN516))+1,"")</f>
        <v/>
      </c>
      <c r="AL516">
        <f>IF($C516="","",IF(OR($Q516=TRUE(),$Q516="TRUE"),1,0))</f>
        <v/>
      </c>
      <c r="AM516">
        <f>IF($C516="","",IF($W516="Yes",1,0))</f>
        <v/>
      </c>
      <c r="AN516">
        <f>IF($AJ516=1,IFERROR(IF(VALUE($C516)&lt;100000000,VALUE($C516),1000000000),IFERROR(IF(VALUE(MID($C516,2,20))&lt;100000000,VALUE(MID($C516,2,20)),1000000000),1000000000))+ROW()/100000,"")</f>
        <v/>
      </c>
    </row>
    <row r="517">
      <c r="E517" s="11" t="n"/>
      <c r="M517" s="7">
        <f>IF($C517="","",L517*U517/100)</f>
        <v/>
      </c>
      <c r="N517" s="7" t="n"/>
      <c r="T517" s="7" t="n"/>
      <c r="U517" s="7">
        <f>IF($C517="","",S517*T517)</f>
        <v/>
      </c>
      <c r="X517">
        <f>IF($C517="","",IF($AM517=1,0,IF($AL517=1,Settings!$C$6,Settings!$C$7))*100)</f>
        <v/>
      </c>
      <c r="AB517" s="7" t="n"/>
      <c r="AE517" s="11" t="n"/>
      <c r="AG517" s="7">
        <f>IF($C517="","",U517*X517/100)</f>
        <v/>
      </c>
      <c r="AH517" s="7">
        <f>IF($C517="","",U517-AG517)</f>
        <v/>
      </c>
      <c r="AI517" s="7">
        <f>IF($C517="","",AH517-M517)</f>
        <v/>
      </c>
      <c r="AJ517">
        <f>IF($C517="","",IF(COUNTIF($C$2:$C517,$C517)=1,1,0))</f>
        <v/>
      </c>
      <c r="AK517">
        <f>IF($AJ517=1,SUMPRODUCT(--($AN$2:$AN$4001&lt;$AN517))+1,"")</f>
        <v/>
      </c>
      <c r="AL517">
        <f>IF($C517="","",IF(OR($Q517=TRUE(),$Q517="TRUE"),1,0))</f>
        <v/>
      </c>
      <c r="AM517">
        <f>IF($C517="","",IF($W517="Yes",1,0))</f>
        <v/>
      </c>
      <c r="AN517">
        <f>IF($AJ517=1,IFERROR(IF(VALUE($C517)&lt;100000000,VALUE($C517),1000000000),IFERROR(IF(VALUE(MID($C517,2,20))&lt;100000000,VALUE(MID($C517,2,20)),1000000000),1000000000))+ROW()/100000,"")</f>
        <v/>
      </c>
    </row>
    <row r="518">
      <c r="E518" s="11" t="n"/>
      <c r="M518" s="7">
        <f>IF($C518="","",L518*U518/100)</f>
        <v/>
      </c>
      <c r="N518" s="7" t="n"/>
      <c r="T518" s="7" t="n"/>
      <c r="U518" s="7">
        <f>IF($C518="","",S518*T518)</f>
        <v/>
      </c>
      <c r="X518">
        <f>IF($C518="","",IF($AM518=1,0,IF($AL518=1,Settings!$C$6,Settings!$C$7))*100)</f>
        <v/>
      </c>
      <c r="AB518" s="7" t="n"/>
      <c r="AE518" s="11" t="n"/>
      <c r="AG518" s="7">
        <f>IF($C518="","",U518*X518/100)</f>
        <v/>
      </c>
      <c r="AH518" s="7">
        <f>IF($C518="","",U518-AG518)</f>
        <v/>
      </c>
      <c r="AI518" s="7">
        <f>IF($C518="","",AH518-M518)</f>
        <v/>
      </c>
      <c r="AJ518">
        <f>IF($C518="","",IF(COUNTIF($C$2:$C518,$C518)=1,1,0))</f>
        <v/>
      </c>
      <c r="AK518">
        <f>IF($AJ518=1,SUMPRODUCT(--($AN$2:$AN$4001&lt;$AN518))+1,"")</f>
        <v/>
      </c>
      <c r="AL518">
        <f>IF($C518="","",IF(OR($Q518=TRUE(),$Q518="TRUE"),1,0))</f>
        <v/>
      </c>
      <c r="AM518">
        <f>IF($C518="","",IF($W518="Yes",1,0))</f>
        <v/>
      </c>
      <c r="AN518">
        <f>IF($AJ518=1,IFERROR(IF(VALUE($C518)&lt;100000000,VALUE($C518),1000000000),IFERROR(IF(VALUE(MID($C518,2,20))&lt;100000000,VALUE(MID($C518,2,20)),1000000000),1000000000))+ROW()/100000,"")</f>
        <v/>
      </c>
    </row>
    <row r="519">
      <c r="E519" s="11" t="n"/>
      <c r="M519" s="7">
        <f>IF($C519="","",L519*U519/100)</f>
        <v/>
      </c>
      <c r="N519" s="7" t="n"/>
      <c r="T519" s="7" t="n"/>
      <c r="U519" s="7">
        <f>IF($C519="","",S519*T519)</f>
        <v/>
      </c>
      <c r="X519">
        <f>IF($C519="","",IF($AM519=1,0,IF($AL519=1,Settings!$C$6,Settings!$C$7))*100)</f>
        <v/>
      </c>
      <c r="AB519" s="7" t="n"/>
      <c r="AE519" s="11" t="n"/>
      <c r="AG519" s="7">
        <f>IF($C519="","",U519*X519/100)</f>
        <v/>
      </c>
      <c r="AH519" s="7">
        <f>IF($C519="","",U519-AG519)</f>
        <v/>
      </c>
      <c r="AI519" s="7">
        <f>IF($C519="","",AH519-M519)</f>
        <v/>
      </c>
      <c r="AJ519">
        <f>IF($C519="","",IF(COUNTIF($C$2:$C519,$C519)=1,1,0))</f>
        <v/>
      </c>
      <c r="AK519">
        <f>IF($AJ519=1,SUMPRODUCT(--($AN$2:$AN$4001&lt;$AN519))+1,"")</f>
        <v/>
      </c>
      <c r="AL519">
        <f>IF($C519="","",IF(OR($Q519=TRUE(),$Q519="TRUE"),1,0))</f>
        <v/>
      </c>
      <c r="AM519">
        <f>IF($C519="","",IF($W519="Yes",1,0))</f>
        <v/>
      </c>
      <c r="AN519">
        <f>IF($AJ519=1,IFERROR(IF(VALUE($C519)&lt;100000000,VALUE($C519),1000000000),IFERROR(IF(VALUE(MID($C519,2,20))&lt;100000000,VALUE(MID($C519,2,20)),1000000000),1000000000))+ROW()/100000,"")</f>
        <v/>
      </c>
    </row>
    <row r="520">
      <c r="E520" s="11" t="n"/>
      <c r="M520" s="7">
        <f>IF($C520="","",L520*U520/100)</f>
        <v/>
      </c>
      <c r="N520" s="7" t="n"/>
      <c r="T520" s="7" t="n"/>
      <c r="U520" s="7">
        <f>IF($C520="","",S520*T520)</f>
        <v/>
      </c>
      <c r="X520">
        <f>IF($C520="","",IF($AM520=1,0,IF($AL520=1,Settings!$C$6,Settings!$C$7))*100)</f>
        <v/>
      </c>
      <c r="AB520" s="7" t="n"/>
      <c r="AE520" s="11" t="n"/>
      <c r="AG520" s="7">
        <f>IF($C520="","",U520*X520/100)</f>
        <v/>
      </c>
      <c r="AH520" s="7">
        <f>IF($C520="","",U520-AG520)</f>
        <v/>
      </c>
      <c r="AI520" s="7">
        <f>IF($C520="","",AH520-M520)</f>
        <v/>
      </c>
      <c r="AJ520">
        <f>IF($C520="","",IF(COUNTIF($C$2:$C520,$C520)=1,1,0))</f>
        <v/>
      </c>
      <c r="AK520">
        <f>IF($AJ520=1,SUMPRODUCT(--($AN$2:$AN$4001&lt;$AN520))+1,"")</f>
        <v/>
      </c>
      <c r="AL520">
        <f>IF($C520="","",IF(OR($Q520=TRUE(),$Q520="TRUE"),1,0))</f>
        <v/>
      </c>
      <c r="AM520">
        <f>IF($C520="","",IF($W520="Yes",1,0))</f>
        <v/>
      </c>
      <c r="AN520">
        <f>IF($AJ520=1,IFERROR(IF(VALUE($C520)&lt;100000000,VALUE($C520),1000000000),IFERROR(IF(VALUE(MID($C520,2,20))&lt;100000000,VALUE(MID($C520,2,20)),1000000000),1000000000))+ROW()/100000,"")</f>
        <v/>
      </c>
    </row>
    <row r="521">
      <c r="E521" s="11" t="n"/>
      <c r="M521" s="7">
        <f>IF($C521="","",L521*U521/100)</f>
        <v/>
      </c>
      <c r="N521" s="7" t="n"/>
      <c r="T521" s="7" t="n"/>
      <c r="U521" s="7">
        <f>IF($C521="","",S521*T521)</f>
        <v/>
      </c>
      <c r="X521">
        <f>IF($C521="","",IF($AM521=1,0,IF($AL521=1,Settings!$C$6,Settings!$C$7))*100)</f>
        <v/>
      </c>
      <c r="AB521" s="7" t="n"/>
      <c r="AE521" s="11" t="n"/>
      <c r="AG521" s="7">
        <f>IF($C521="","",U521*X521/100)</f>
        <v/>
      </c>
      <c r="AH521" s="7">
        <f>IF($C521="","",U521-AG521)</f>
        <v/>
      </c>
      <c r="AI521" s="7">
        <f>IF($C521="","",AH521-M521)</f>
        <v/>
      </c>
      <c r="AJ521">
        <f>IF($C521="","",IF(COUNTIF($C$2:$C521,$C521)=1,1,0))</f>
        <v/>
      </c>
      <c r="AK521">
        <f>IF($AJ521=1,SUMPRODUCT(--($AN$2:$AN$4001&lt;$AN521))+1,"")</f>
        <v/>
      </c>
      <c r="AL521">
        <f>IF($C521="","",IF(OR($Q521=TRUE(),$Q521="TRUE"),1,0))</f>
        <v/>
      </c>
      <c r="AM521">
        <f>IF($C521="","",IF($W521="Yes",1,0))</f>
        <v/>
      </c>
      <c r="AN521">
        <f>IF($AJ521=1,IFERROR(IF(VALUE($C521)&lt;100000000,VALUE($C521),1000000000),IFERROR(IF(VALUE(MID($C521,2,20))&lt;100000000,VALUE(MID($C521,2,20)),1000000000),1000000000))+ROW()/100000,"")</f>
        <v/>
      </c>
    </row>
    <row r="522">
      <c r="E522" s="11" t="n"/>
      <c r="M522" s="7">
        <f>IF($C522="","",L522*U522/100)</f>
        <v/>
      </c>
      <c r="N522" s="7" t="n"/>
      <c r="T522" s="7" t="n"/>
      <c r="U522" s="7">
        <f>IF($C522="","",S522*T522)</f>
        <v/>
      </c>
      <c r="X522">
        <f>IF($C522="","",IF($AM522=1,0,IF($AL522=1,Settings!$C$6,Settings!$C$7))*100)</f>
        <v/>
      </c>
      <c r="AB522" s="7" t="n"/>
      <c r="AE522" s="11" t="n"/>
      <c r="AG522" s="7">
        <f>IF($C522="","",U522*X522/100)</f>
        <v/>
      </c>
      <c r="AH522" s="7">
        <f>IF($C522="","",U522-AG522)</f>
        <v/>
      </c>
      <c r="AI522" s="7">
        <f>IF($C522="","",AH522-M522)</f>
        <v/>
      </c>
      <c r="AJ522">
        <f>IF($C522="","",IF(COUNTIF($C$2:$C522,$C522)=1,1,0))</f>
        <v/>
      </c>
      <c r="AK522">
        <f>IF($AJ522=1,SUMPRODUCT(--($AN$2:$AN$4001&lt;$AN522))+1,"")</f>
        <v/>
      </c>
      <c r="AL522">
        <f>IF($C522="","",IF(OR($Q522=TRUE(),$Q522="TRUE"),1,0))</f>
        <v/>
      </c>
      <c r="AM522">
        <f>IF($C522="","",IF($W522="Yes",1,0))</f>
        <v/>
      </c>
      <c r="AN522">
        <f>IF($AJ522=1,IFERROR(IF(VALUE($C522)&lt;100000000,VALUE($C522),1000000000),IFERROR(IF(VALUE(MID($C522,2,20))&lt;100000000,VALUE(MID($C522,2,20)),1000000000),1000000000))+ROW()/100000,"")</f>
        <v/>
      </c>
    </row>
    <row r="523">
      <c r="E523" s="11" t="n"/>
      <c r="M523" s="7">
        <f>IF($C523="","",L523*U523/100)</f>
        <v/>
      </c>
      <c r="N523" s="7" t="n"/>
      <c r="T523" s="7" t="n"/>
      <c r="U523" s="7">
        <f>IF($C523="","",S523*T523)</f>
        <v/>
      </c>
      <c r="X523">
        <f>IF($C523="","",IF($AM523=1,0,IF($AL523=1,Settings!$C$6,Settings!$C$7))*100)</f>
        <v/>
      </c>
      <c r="AB523" s="7" t="n"/>
      <c r="AE523" s="11" t="n"/>
      <c r="AG523" s="7">
        <f>IF($C523="","",U523*X523/100)</f>
        <v/>
      </c>
      <c r="AH523" s="7">
        <f>IF($C523="","",U523-AG523)</f>
        <v/>
      </c>
      <c r="AI523" s="7">
        <f>IF($C523="","",AH523-M523)</f>
        <v/>
      </c>
      <c r="AJ523">
        <f>IF($C523="","",IF(COUNTIF($C$2:$C523,$C523)=1,1,0))</f>
        <v/>
      </c>
      <c r="AK523">
        <f>IF($AJ523=1,SUMPRODUCT(--($AN$2:$AN$4001&lt;$AN523))+1,"")</f>
        <v/>
      </c>
      <c r="AL523">
        <f>IF($C523="","",IF(OR($Q523=TRUE(),$Q523="TRUE"),1,0))</f>
        <v/>
      </c>
      <c r="AM523">
        <f>IF($C523="","",IF($W523="Yes",1,0))</f>
        <v/>
      </c>
      <c r="AN523">
        <f>IF($AJ523=1,IFERROR(IF(VALUE($C523)&lt;100000000,VALUE($C523),1000000000),IFERROR(IF(VALUE(MID($C523,2,20))&lt;100000000,VALUE(MID($C523,2,20)),1000000000),1000000000))+ROW()/100000,"")</f>
        <v/>
      </c>
    </row>
    <row r="524">
      <c r="E524" s="11" t="n"/>
      <c r="M524" s="7">
        <f>IF($C524="","",L524*U524/100)</f>
        <v/>
      </c>
      <c r="N524" s="7" t="n"/>
      <c r="T524" s="7" t="n"/>
      <c r="U524" s="7">
        <f>IF($C524="","",S524*T524)</f>
        <v/>
      </c>
      <c r="X524">
        <f>IF($C524="","",IF($AM524=1,0,IF($AL524=1,Settings!$C$6,Settings!$C$7))*100)</f>
        <v/>
      </c>
      <c r="AB524" s="7" t="n"/>
      <c r="AE524" s="11" t="n"/>
      <c r="AG524" s="7">
        <f>IF($C524="","",U524*X524/100)</f>
        <v/>
      </c>
      <c r="AH524" s="7">
        <f>IF($C524="","",U524-AG524)</f>
        <v/>
      </c>
      <c r="AI524" s="7">
        <f>IF($C524="","",AH524-M524)</f>
        <v/>
      </c>
      <c r="AJ524">
        <f>IF($C524="","",IF(COUNTIF($C$2:$C524,$C524)=1,1,0))</f>
        <v/>
      </c>
      <c r="AK524">
        <f>IF($AJ524=1,SUMPRODUCT(--($AN$2:$AN$4001&lt;$AN524))+1,"")</f>
        <v/>
      </c>
      <c r="AL524">
        <f>IF($C524="","",IF(OR($Q524=TRUE(),$Q524="TRUE"),1,0))</f>
        <v/>
      </c>
      <c r="AM524">
        <f>IF($C524="","",IF($W524="Yes",1,0))</f>
        <v/>
      </c>
      <c r="AN524">
        <f>IF($AJ524=1,IFERROR(IF(VALUE($C524)&lt;100000000,VALUE($C524),1000000000),IFERROR(IF(VALUE(MID($C524,2,20))&lt;100000000,VALUE(MID($C524,2,20)),1000000000),1000000000))+ROW()/100000,"")</f>
        <v/>
      </c>
    </row>
    <row r="525">
      <c r="E525" s="11" t="n"/>
      <c r="M525" s="7">
        <f>IF($C525="","",L525*U525/100)</f>
        <v/>
      </c>
      <c r="N525" s="7" t="n"/>
      <c r="T525" s="7" t="n"/>
      <c r="U525" s="7">
        <f>IF($C525="","",S525*T525)</f>
        <v/>
      </c>
      <c r="X525">
        <f>IF($C525="","",IF($AM525=1,0,IF($AL525=1,Settings!$C$6,Settings!$C$7))*100)</f>
        <v/>
      </c>
      <c r="AB525" s="7" t="n"/>
      <c r="AE525" s="11" t="n"/>
      <c r="AG525" s="7">
        <f>IF($C525="","",U525*X525/100)</f>
        <v/>
      </c>
      <c r="AH525" s="7">
        <f>IF($C525="","",U525-AG525)</f>
        <v/>
      </c>
      <c r="AI525" s="7">
        <f>IF($C525="","",AH525-M525)</f>
        <v/>
      </c>
      <c r="AJ525">
        <f>IF($C525="","",IF(COUNTIF($C$2:$C525,$C525)=1,1,0))</f>
        <v/>
      </c>
      <c r="AK525">
        <f>IF($AJ525=1,SUMPRODUCT(--($AN$2:$AN$4001&lt;$AN525))+1,"")</f>
        <v/>
      </c>
      <c r="AL525">
        <f>IF($C525="","",IF(OR($Q525=TRUE(),$Q525="TRUE"),1,0))</f>
        <v/>
      </c>
      <c r="AM525">
        <f>IF($C525="","",IF($W525="Yes",1,0))</f>
        <v/>
      </c>
      <c r="AN525">
        <f>IF($AJ525=1,IFERROR(IF(VALUE($C525)&lt;100000000,VALUE($C525),1000000000),IFERROR(IF(VALUE(MID($C525,2,20))&lt;100000000,VALUE(MID($C525,2,20)),1000000000),1000000000))+ROW()/100000,"")</f>
        <v/>
      </c>
    </row>
    <row r="526">
      <c r="E526" s="11" t="n"/>
      <c r="M526" s="7">
        <f>IF($C526="","",L526*U526/100)</f>
        <v/>
      </c>
      <c r="N526" s="7" t="n"/>
      <c r="T526" s="7" t="n"/>
      <c r="U526" s="7">
        <f>IF($C526="","",S526*T526)</f>
        <v/>
      </c>
      <c r="X526">
        <f>IF($C526="","",IF($AM526=1,0,IF($AL526=1,Settings!$C$6,Settings!$C$7))*100)</f>
        <v/>
      </c>
      <c r="AB526" s="7" t="n"/>
      <c r="AE526" s="11" t="n"/>
      <c r="AG526" s="7">
        <f>IF($C526="","",U526*X526/100)</f>
        <v/>
      </c>
      <c r="AH526" s="7">
        <f>IF($C526="","",U526-AG526)</f>
        <v/>
      </c>
      <c r="AI526" s="7">
        <f>IF($C526="","",AH526-M526)</f>
        <v/>
      </c>
      <c r="AJ526">
        <f>IF($C526="","",IF(COUNTIF($C$2:$C526,$C526)=1,1,0))</f>
        <v/>
      </c>
      <c r="AK526">
        <f>IF($AJ526=1,SUMPRODUCT(--($AN$2:$AN$4001&lt;$AN526))+1,"")</f>
        <v/>
      </c>
      <c r="AL526">
        <f>IF($C526="","",IF(OR($Q526=TRUE(),$Q526="TRUE"),1,0))</f>
        <v/>
      </c>
      <c r="AM526">
        <f>IF($C526="","",IF($W526="Yes",1,0))</f>
        <v/>
      </c>
      <c r="AN526">
        <f>IF($AJ526=1,IFERROR(IF(VALUE($C526)&lt;100000000,VALUE($C526),1000000000),IFERROR(IF(VALUE(MID($C526,2,20))&lt;100000000,VALUE(MID($C526,2,20)),1000000000),1000000000))+ROW()/100000,"")</f>
        <v/>
      </c>
    </row>
    <row r="527">
      <c r="E527" s="11" t="n"/>
      <c r="M527" s="7">
        <f>IF($C527="","",L527*U527/100)</f>
        <v/>
      </c>
      <c r="N527" s="7" t="n"/>
      <c r="T527" s="7" t="n"/>
      <c r="U527" s="7">
        <f>IF($C527="","",S527*T527)</f>
        <v/>
      </c>
      <c r="X527">
        <f>IF($C527="","",IF($AM527=1,0,IF($AL527=1,Settings!$C$6,Settings!$C$7))*100)</f>
        <v/>
      </c>
      <c r="AB527" s="7" t="n"/>
      <c r="AE527" s="11" t="n"/>
      <c r="AG527" s="7">
        <f>IF($C527="","",U527*X527/100)</f>
        <v/>
      </c>
      <c r="AH527" s="7">
        <f>IF($C527="","",U527-AG527)</f>
        <v/>
      </c>
      <c r="AI527" s="7">
        <f>IF($C527="","",AH527-M527)</f>
        <v/>
      </c>
      <c r="AJ527">
        <f>IF($C527="","",IF(COUNTIF($C$2:$C527,$C527)=1,1,0))</f>
        <v/>
      </c>
      <c r="AK527">
        <f>IF($AJ527=1,SUMPRODUCT(--($AN$2:$AN$4001&lt;$AN527))+1,"")</f>
        <v/>
      </c>
      <c r="AL527">
        <f>IF($C527="","",IF(OR($Q527=TRUE(),$Q527="TRUE"),1,0))</f>
        <v/>
      </c>
      <c r="AM527">
        <f>IF($C527="","",IF($W527="Yes",1,0))</f>
        <v/>
      </c>
      <c r="AN527">
        <f>IF($AJ527=1,IFERROR(IF(VALUE($C527)&lt;100000000,VALUE($C527),1000000000),IFERROR(IF(VALUE(MID($C527,2,20))&lt;100000000,VALUE(MID($C527,2,20)),1000000000),1000000000))+ROW()/100000,"")</f>
        <v/>
      </c>
    </row>
    <row r="528">
      <c r="E528" s="11" t="n"/>
      <c r="M528" s="7">
        <f>IF($C528="","",L528*U528/100)</f>
        <v/>
      </c>
      <c r="N528" s="7" t="n"/>
      <c r="T528" s="7" t="n"/>
      <c r="U528" s="7">
        <f>IF($C528="","",S528*T528)</f>
        <v/>
      </c>
      <c r="X528">
        <f>IF($C528="","",IF($AM528=1,0,IF($AL528=1,Settings!$C$6,Settings!$C$7))*100)</f>
        <v/>
      </c>
      <c r="AB528" s="7" t="n"/>
      <c r="AE528" s="11" t="n"/>
      <c r="AG528" s="7">
        <f>IF($C528="","",U528*X528/100)</f>
        <v/>
      </c>
      <c r="AH528" s="7">
        <f>IF($C528="","",U528-AG528)</f>
        <v/>
      </c>
      <c r="AI528" s="7">
        <f>IF($C528="","",AH528-M528)</f>
        <v/>
      </c>
      <c r="AJ528">
        <f>IF($C528="","",IF(COUNTIF($C$2:$C528,$C528)=1,1,0))</f>
        <v/>
      </c>
      <c r="AK528">
        <f>IF($AJ528=1,SUMPRODUCT(--($AN$2:$AN$4001&lt;$AN528))+1,"")</f>
        <v/>
      </c>
      <c r="AL528">
        <f>IF($C528="","",IF(OR($Q528=TRUE(),$Q528="TRUE"),1,0))</f>
        <v/>
      </c>
      <c r="AM528">
        <f>IF($C528="","",IF($W528="Yes",1,0))</f>
        <v/>
      </c>
      <c r="AN528">
        <f>IF($AJ528=1,IFERROR(IF(VALUE($C528)&lt;100000000,VALUE($C528),1000000000),IFERROR(IF(VALUE(MID($C528,2,20))&lt;100000000,VALUE(MID($C528,2,20)),1000000000),1000000000))+ROW()/100000,"")</f>
        <v/>
      </c>
    </row>
    <row r="529">
      <c r="E529" s="11" t="n"/>
      <c r="M529" s="7">
        <f>IF($C529="","",L529*U529/100)</f>
        <v/>
      </c>
      <c r="N529" s="7" t="n"/>
      <c r="T529" s="7" t="n"/>
      <c r="U529" s="7">
        <f>IF($C529="","",S529*T529)</f>
        <v/>
      </c>
      <c r="X529">
        <f>IF($C529="","",IF($AM529=1,0,IF($AL529=1,Settings!$C$6,Settings!$C$7))*100)</f>
        <v/>
      </c>
      <c r="AB529" s="7" t="n"/>
      <c r="AE529" s="11" t="n"/>
      <c r="AG529" s="7">
        <f>IF($C529="","",U529*X529/100)</f>
        <v/>
      </c>
      <c r="AH529" s="7">
        <f>IF($C529="","",U529-AG529)</f>
        <v/>
      </c>
      <c r="AI529" s="7">
        <f>IF($C529="","",AH529-M529)</f>
        <v/>
      </c>
      <c r="AJ529">
        <f>IF($C529="","",IF(COUNTIF($C$2:$C529,$C529)=1,1,0))</f>
        <v/>
      </c>
      <c r="AK529">
        <f>IF($AJ529=1,SUMPRODUCT(--($AN$2:$AN$4001&lt;$AN529))+1,"")</f>
        <v/>
      </c>
      <c r="AL529">
        <f>IF($C529="","",IF(OR($Q529=TRUE(),$Q529="TRUE"),1,0))</f>
        <v/>
      </c>
      <c r="AM529">
        <f>IF($C529="","",IF($W529="Yes",1,0))</f>
        <v/>
      </c>
      <c r="AN529">
        <f>IF($AJ529=1,IFERROR(IF(VALUE($C529)&lt;100000000,VALUE($C529),1000000000),IFERROR(IF(VALUE(MID($C529,2,20))&lt;100000000,VALUE(MID($C529,2,20)),1000000000),1000000000))+ROW()/100000,"")</f>
        <v/>
      </c>
    </row>
    <row r="530">
      <c r="E530" s="11" t="n"/>
      <c r="M530" s="7">
        <f>IF($C530="","",L530*U530/100)</f>
        <v/>
      </c>
      <c r="N530" s="7" t="n"/>
      <c r="T530" s="7" t="n"/>
      <c r="U530" s="7">
        <f>IF($C530="","",S530*T530)</f>
        <v/>
      </c>
      <c r="X530">
        <f>IF($C530="","",IF($AM530=1,0,IF($AL530=1,Settings!$C$6,Settings!$C$7))*100)</f>
        <v/>
      </c>
      <c r="AB530" s="7" t="n"/>
      <c r="AE530" s="11" t="n"/>
      <c r="AG530" s="7">
        <f>IF($C530="","",U530*X530/100)</f>
        <v/>
      </c>
      <c r="AH530" s="7">
        <f>IF($C530="","",U530-AG530)</f>
        <v/>
      </c>
      <c r="AI530" s="7">
        <f>IF($C530="","",AH530-M530)</f>
        <v/>
      </c>
      <c r="AJ530">
        <f>IF($C530="","",IF(COUNTIF($C$2:$C530,$C530)=1,1,0))</f>
        <v/>
      </c>
      <c r="AK530">
        <f>IF($AJ530=1,SUMPRODUCT(--($AN$2:$AN$4001&lt;$AN530))+1,"")</f>
        <v/>
      </c>
      <c r="AL530">
        <f>IF($C530="","",IF(OR($Q530=TRUE(),$Q530="TRUE"),1,0))</f>
        <v/>
      </c>
      <c r="AM530">
        <f>IF($C530="","",IF($W530="Yes",1,0))</f>
        <v/>
      </c>
      <c r="AN530">
        <f>IF($AJ530=1,IFERROR(IF(VALUE($C530)&lt;100000000,VALUE($C530),1000000000),IFERROR(IF(VALUE(MID($C530,2,20))&lt;100000000,VALUE(MID($C530,2,20)),1000000000),1000000000))+ROW()/100000,"")</f>
        <v/>
      </c>
    </row>
    <row r="531">
      <c r="E531" s="11" t="n"/>
      <c r="M531" s="7">
        <f>IF($C531="","",L531*U531/100)</f>
        <v/>
      </c>
      <c r="N531" s="7" t="n"/>
      <c r="T531" s="7" t="n"/>
      <c r="U531" s="7">
        <f>IF($C531="","",S531*T531)</f>
        <v/>
      </c>
      <c r="X531">
        <f>IF($C531="","",IF($AM531=1,0,IF($AL531=1,Settings!$C$6,Settings!$C$7))*100)</f>
        <v/>
      </c>
      <c r="AB531" s="7" t="n"/>
      <c r="AE531" s="11" t="n"/>
      <c r="AG531" s="7">
        <f>IF($C531="","",U531*X531/100)</f>
        <v/>
      </c>
      <c r="AH531" s="7">
        <f>IF($C531="","",U531-AG531)</f>
        <v/>
      </c>
      <c r="AI531" s="7">
        <f>IF($C531="","",AH531-M531)</f>
        <v/>
      </c>
      <c r="AJ531">
        <f>IF($C531="","",IF(COUNTIF($C$2:$C531,$C531)=1,1,0))</f>
        <v/>
      </c>
      <c r="AK531">
        <f>IF($AJ531=1,SUMPRODUCT(--($AN$2:$AN$4001&lt;$AN531))+1,"")</f>
        <v/>
      </c>
      <c r="AL531">
        <f>IF($C531="","",IF(OR($Q531=TRUE(),$Q531="TRUE"),1,0))</f>
        <v/>
      </c>
      <c r="AM531">
        <f>IF($C531="","",IF($W531="Yes",1,0))</f>
        <v/>
      </c>
      <c r="AN531">
        <f>IF($AJ531=1,IFERROR(IF(VALUE($C531)&lt;100000000,VALUE($C531),1000000000),IFERROR(IF(VALUE(MID($C531,2,20))&lt;100000000,VALUE(MID($C531,2,20)),1000000000),1000000000))+ROW()/100000,"")</f>
        <v/>
      </c>
    </row>
    <row r="532">
      <c r="E532" s="11" t="n"/>
      <c r="M532" s="7">
        <f>IF($C532="","",L532*U532/100)</f>
        <v/>
      </c>
      <c r="N532" s="7" t="n"/>
      <c r="T532" s="7" t="n"/>
      <c r="U532" s="7">
        <f>IF($C532="","",S532*T532)</f>
        <v/>
      </c>
      <c r="X532">
        <f>IF($C532="","",IF($AM532=1,0,IF($AL532=1,Settings!$C$6,Settings!$C$7))*100)</f>
        <v/>
      </c>
      <c r="AB532" s="7" t="n"/>
      <c r="AE532" s="11" t="n"/>
      <c r="AG532" s="7">
        <f>IF($C532="","",U532*X532/100)</f>
        <v/>
      </c>
      <c r="AH532" s="7">
        <f>IF($C532="","",U532-AG532)</f>
        <v/>
      </c>
      <c r="AI532" s="7">
        <f>IF($C532="","",AH532-M532)</f>
        <v/>
      </c>
      <c r="AJ532">
        <f>IF($C532="","",IF(COUNTIF($C$2:$C532,$C532)=1,1,0))</f>
        <v/>
      </c>
      <c r="AK532">
        <f>IF($AJ532=1,SUMPRODUCT(--($AN$2:$AN$4001&lt;$AN532))+1,"")</f>
        <v/>
      </c>
      <c r="AL532">
        <f>IF($C532="","",IF(OR($Q532=TRUE(),$Q532="TRUE"),1,0))</f>
        <v/>
      </c>
      <c r="AM532">
        <f>IF($C532="","",IF($W532="Yes",1,0))</f>
        <v/>
      </c>
      <c r="AN532">
        <f>IF($AJ532=1,IFERROR(IF(VALUE($C532)&lt;100000000,VALUE($C532),1000000000),IFERROR(IF(VALUE(MID($C532,2,20))&lt;100000000,VALUE(MID($C532,2,20)),1000000000),1000000000))+ROW()/100000,"")</f>
        <v/>
      </c>
    </row>
    <row r="533">
      <c r="E533" s="11" t="n"/>
      <c r="M533" s="7">
        <f>IF($C533="","",L533*U533/100)</f>
        <v/>
      </c>
      <c r="N533" s="7" t="n"/>
      <c r="T533" s="7" t="n"/>
      <c r="U533" s="7">
        <f>IF($C533="","",S533*T533)</f>
        <v/>
      </c>
      <c r="X533">
        <f>IF($C533="","",IF($AM533=1,0,IF($AL533=1,Settings!$C$6,Settings!$C$7))*100)</f>
        <v/>
      </c>
      <c r="AB533" s="7" t="n"/>
      <c r="AE533" s="11" t="n"/>
      <c r="AG533" s="7">
        <f>IF($C533="","",U533*X533/100)</f>
        <v/>
      </c>
      <c r="AH533" s="7">
        <f>IF($C533="","",U533-AG533)</f>
        <v/>
      </c>
      <c r="AI533" s="7">
        <f>IF($C533="","",AH533-M533)</f>
        <v/>
      </c>
      <c r="AJ533">
        <f>IF($C533="","",IF(COUNTIF($C$2:$C533,$C533)=1,1,0))</f>
        <v/>
      </c>
      <c r="AK533">
        <f>IF($AJ533=1,SUMPRODUCT(--($AN$2:$AN$4001&lt;$AN533))+1,"")</f>
        <v/>
      </c>
      <c r="AL533">
        <f>IF($C533="","",IF(OR($Q533=TRUE(),$Q533="TRUE"),1,0))</f>
        <v/>
      </c>
      <c r="AM533">
        <f>IF($C533="","",IF($W533="Yes",1,0))</f>
        <v/>
      </c>
      <c r="AN533">
        <f>IF($AJ533=1,IFERROR(IF(VALUE($C533)&lt;100000000,VALUE($C533),1000000000),IFERROR(IF(VALUE(MID($C533,2,20))&lt;100000000,VALUE(MID($C533,2,20)),1000000000),1000000000))+ROW()/100000,"")</f>
        <v/>
      </c>
    </row>
    <row r="534">
      <c r="E534" s="11" t="n"/>
      <c r="M534" s="7">
        <f>IF($C534="","",L534*U534/100)</f>
        <v/>
      </c>
      <c r="N534" s="7" t="n"/>
      <c r="T534" s="7" t="n"/>
      <c r="U534" s="7">
        <f>IF($C534="","",S534*T534)</f>
        <v/>
      </c>
      <c r="X534">
        <f>IF($C534="","",IF($AM534=1,0,IF($AL534=1,Settings!$C$6,Settings!$C$7))*100)</f>
        <v/>
      </c>
      <c r="AB534" s="7" t="n"/>
      <c r="AE534" s="11" t="n"/>
      <c r="AG534" s="7">
        <f>IF($C534="","",U534*X534/100)</f>
        <v/>
      </c>
      <c r="AH534" s="7">
        <f>IF($C534="","",U534-AG534)</f>
        <v/>
      </c>
      <c r="AI534" s="7">
        <f>IF($C534="","",AH534-M534)</f>
        <v/>
      </c>
      <c r="AJ534">
        <f>IF($C534="","",IF(COUNTIF($C$2:$C534,$C534)=1,1,0))</f>
        <v/>
      </c>
      <c r="AK534">
        <f>IF($AJ534=1,SUMPRODUCT(--($AN$2:$AN$4001&lt;$AN534))+1,"")</f>
        <v/>
      </c>
      <c r="AL534">
        <f>IF($C534="","",IF(OR($Q534=TRUE(),$Q534="TRUE"),1,0))</f>
        <v/>
      </c>
      <c r="AM534">
        <f>IF($C534="","",IF($W534="Yes",1,0))</f>
        <v/>
      </c>
      <c r="AN534">
        <f>IF($AJ534=1,IFERROR(IF(VALUE($C534)&lt;100000000,VALUE($C534),1000000000),IFERROR(IF(VALUE(MID($C534,2,20))&lt;100000000,VALUE(MID($C534,2,20)),1000000000),1000000000))+ROW()/100000,"")</f>
        <v/>
      </c>
    </row>
    <row r="535">
      <c r="E535" s="11" t="n"/>
      <c r="M535" s="7">
        <f>IF($C535="","",L535*U535/100)</f>
        <v/>
      </c>
      <c r="N535" s="7" t="n"/>
      <c r="T535" s="7" t="n"/>
      <c r="U535" s="7">
        <f>IF($C535="","",S535*T535)</f>
        <v/>
      </c>
      <c r="X535">
        <f>IF($C535="","",IF($AM535=1,0,IF($AL535=1,Settings!$C$6,Settings!$C$7))*100)</f>
        <v/>
      </c>
      <c r="AB535" s="7" t="n"/>
      <c r="AE535" s="11" t="n"/>
      <c r="AG535" s="7">
        <f>IF($C535="","",U535*X535/100)</f>
        <v/>
      </c>
      <c r="AH535" s="7">
        <f>IF($C535="","",U535-AG535)</f>
        <v/>
      </c>
      <c r="AI535" s="7">
        <f>IF($C535="","",AH535-M535)</f>
        <v/>
      </c>
      <c r="AJ535">
        <f>IF($C535="","",IF(COUNTIF($C$2:$C535,$C535)=1,1,0))</f>
        <v/>
      </c>
      <c r="AK535">
        <f>IF($AJ535=1,SUMPRODUCT(--($AN$2:$AN$4001&lt;$AN535))+1,"")</f>
        <v/>
      </c>
      <c r="AL535">
        <f>IF($C535="","",IF(OR($Q535=TRUE(),$Q535="TRUE"),1,0))</f>
        <v/>
      </c>
      <c r="AM535">
        <f>IF($C535="","",IF($W535="Yes",1,0))</f>
        <v/>
      </c>
      <c r="AN535">
        <f>IF($AJ535=1,IFERROR(IF(VALUE($C535)&lt;100000000,VALUE($C535),1000000000),IFERROR(IF(VALUE(MID($C535,2,20))&lt;100000000,VALUE(MID($C535,2,20)),1000000000),1000000000))+ROW()/100000,"")</f>
        <v/>
      </c>
    </row>
    <row r="536">
      <c r="E536" s="11" t="n"/>
      <c r="M536" s="7">
        <f>IF($C536="","",L536*U536/100)</f>
        <v/>
      </c>
      <c r="N536" s="7" t="n"/>
      <c r="T536" s="7" t="n"/>
      <c r="U536" s="7">
        <f>IF($C536="","",S536*T536)</f>
        <v/>
      </c>
      <c r="X536">
        <f>IF($C536="","",IF($AM536=1,0,IF($AL536=1,Settings!$C$6,Settings!$C$7))*100)</f>
        <v/>
      </c>
      <c r="AB536" s="7" t="n"/>
      <c r="AE536" s="11" t="n"/>
      <c r="AG536" s="7">
        <f>IF($C536="","",U536*X536/100)</f>
        <v/>
      </c>
      <c r="AH536" s="7">
        <f>IF($C536="","",U536-AG536)</f>
        <v/>
      </c>
      <c r="AI536" s="7">
        <f>IF($C536="","",AH536-M536)</f>
        <v/>
      </c>
      <c r="AJ536">
        <f>IF($C536="","",IF(COUNTIF($C$2:$C536,$C536)=1,1,0))</f>
        <v/>
      </c>
      <c r="AK536">
        <f>IF($AJ536=1,SUMPRODUCT(--($AN$2:$AN$4001&lt;$AN536))+1,"")</f>
        <v/>
      </c>
      <c r="AL536">
        <f>IF($C536="","",IF(OR($Q536=TRUE(),$Q536="TRUE"),1,0))</f>
        <v/>
      </c>
      <c r="AM536">
        <f>IF($C536="","",IF($W536="Yes",1,0))</f>
        <v/>
      </c>
      <c r="AN536">
        <f>IF($AJ536=1,IFERROR(IF(VALUE($C536)&lt;100000000,VALUE($C536),1000000000),IFERROR(IF(VALUE(MID($C536,2,20))&lt;100000000,VALUE(MID($C536,2,20)),1000000000),1000000000))+ROW()/100000,"")</f>
        <v/>
      </c>
    </row>
    <row r="537">
      <c r="E537" s="11" t="n"/>
      <c r="M537" s="7">
        <f>IF($C537="","",L537*U537/100)</f>
        <v/>
      </c>
      <c r="N537" s="7" t="n"/>
      <c r="T537" s="7" t="n"/>
      <c r="U537" s="7">
        <f>IF($C537="","",S537*T537)</f>
        <v/>
      </c>
      <c r="X537">
        <f>IF($C537="","",IF($AM537=1,0,IF($AL537=1,Settings!$C$6,Settings!$C$7))*100)</f>
        <v/>
      </c>
      <c r="AB537" s="7" t="n"/>
      <c r="AE537" s="11" t="n"/>
      <c r="AG537" s="7">
        <f>IF($C537="","",U537*X537/100)</f>
        <v/>
      </c>
      <c r="AH537" s="7">
        <f>IF($C537="","",U537-AG537)</f>
        <v/>
      </c>
      <c r="AI537" s="7">
        <f>IF($C537="","",AH537-M537)</f>
        <v/>
      </c>
      <c r="AJ537">
        <f>IF($C537="","",IF(COUNTIF($C$2:$C537,$C537)=1,1,0))</f>
        <v/>
      </c>
      <c r="AK537">
        <f>IF($AJ537=1,SUMPRODUCT(--($AN$2:$AN$4001&lt;$AN537))+1,"")</f>
        <v/>
      </c>
      <c r="AL537">
        <f>IF($C537="","",IF(OR($Q537=TRUE(),$Q537="TRUE"),1,0))</f>
        <v/>
      </c>
      <c r="AM537">
        <f>IF($C537="","",IF($W537="Yes",1,0))</f>
        <v/>
      </c>
      <c r="AN537">
        <f>IF($AJ537=1,IFERROR(IF(VALUE($C537)&lt;100000000,VALUE($C537),1000000000),IFERROR(IF(VALUE(MID($C537,2,20))&lt;100000000,VALUE(MID($C537,2,20)),1000000000),1000000000))+ROW()/100000,"")</f>
        <v/>
      </c>
    </row>
    <row r="538">
      <c r="E538" s="11" t="n"/>
      <c r="M538" s="7">
        <f>IF($C538="","",L538*U538/100)</f>
        <v/>
      </c>
      <c r="N538" s="7" t="n"/>
      <c r="T538" s="7" t="n"/>
      <c r="U538" s="7">
        <f>IF($C538="","",S538*T538)</f>
        <v/>
      </c>
      <c r="X538">
        <f>IF($C538="","",IF($AM538=1,0,IF($AL538=1,Settings!$C$6,Settings!$C$7))*100)</f>
        <v/>
      </c>
      <c r="AB538" s="7" t="n"/>
      <c r="AE538" s="11" t="n"/>
      <c r="AG538" s="7">
        <f>IF($C538="","",U538*X538/100)</f>
        <v/>
      </c>
      <c r="AH538" s="7">
        <f>IF($C538="","",U538-AG538)</f>
        <v/>
      </c>
      <c r="AI538" s="7">
        <f>IF($C538="","",AH538-M538)</f>
        <v/>
      </c>
      <c r="AJ538">
        <f>IF($C538="","",IF(COUNTIF($C$2:$C538,$C538)=1,1,0))</f>
        <v/>
      </c>
      <c r="AK538">
        <f>IF($AJ538=1,SUMPRODUCT(--($AN$2:$AN$4001&lt;$AN538))+1,"")</f>
        <v/>
      </c>
      <c r="AL538">
        <f>IF($C538="","",IF(OR($Q538=TRUE(),$Q538="TRUE"),1,0))</f>
        <v/>
      </c>
      <c r="AM538">
        <f>IF($C538="","",IF($W538="Yes",1,0))</f>
        <v/>
      </c>
      <c r="AN538">
        <f>IF($AJ538=1,IFERROR(IF(VALUE($C538)&lt;100000000,VALUE($C538),1000000000),IFERROR(IF(VALUE(MID($C538,2,20))&lt;100000000,VALUE(MID($C538,2,20)),1000000000),1000000000))+ROW()/100000,"")</f>
        <v/>
      </c>
    </row>
    <row r="539">
      <c r="E539" s="11" t="n"/>
      <c r="M539" s="7">
        <f>IF($C539="","",L539*U539/100)</f>
        <v/>
      </c>
      <c r="N539" s="7" t="n"/>
      <c r="T539" s="7" t="n"/>
      <c r="U539" s="7">
        <f>IF($C539="","",S539*T539)</f>
        <v/>
      </c>
      <c r="X539">
        <f>IF($C539="","",IF($AM539=1,0,IF($AL539=1,Settings!$C$6,Settings!$C$7))*100)</f>
        <v/>
      </c>
      <c r="AB539" s="7" t="n"/>
      <c r="AE539" s="11" t="n"/>
      <c r="AG539" s="7">
        <f>IF($C539="","",U539*X539/100)</f>
        <v/>
      </c>
      <c r="AH539" s="7">
        <f>IF($C539="","",U539-AG539)</f>
        <v/>
      </c>
      <c r="AI539" s="7">
        <f>IF($C539="","",AH539-M539)</f>
        <v/>
      </c>
      <c r="AJ539">
        <f>IF($C539="","",IF(COUNTIF($C$2:$C539,$C539)=1,1,0))</f>
        <v/>
      </c>
      <c r="AK539">
        <f>IF($AJ539=1,SUMPRODUCT(--($AN$2:$AN$4001&lt;$AN539))+1,"")</f>
        <v/>
      </c>
      <c r="AL539">
        <f>IF($C539="","",IF(OR($Q539=TRUE(),$Q539="TRUE"),1,0))</f>
        <v/>
      </c>
      <c r="AM539">
        <f>IF($C539="","",IF($W539="Yes",1,0))</f>
        <v/>
      </c>
      <c r="AN539">
        <f>IF($AJ539=1,IFERROR(IF(VALUE($C539)&lt;100000000,VALUE($C539),1000000000),IFERROR(IF(VALUE(MID($C539,2,20))&lt;100000000,VALUE(MID($C539,2,20)),1000000000),1000000000))+ROW()/100000,"")</f>
        <v/>
      </c>
    </row>
    <row r="540">
      <c r="E540" s="11" t="n"/>
      <c r="M540" s="7">
        <f>IF($C540="","",L540*U540/100)</f>
        <v/>
      </c>
      <c r="N540" s="7" t="n"/>
      <c r="T540" s="7" t="n"/>
      <c r="U540" s="7">
        <f>IF($C540="","",S540*T540)</f>
        <v/>
      </c>
      <c r="X540">
        <f>IF($C540="","",IF($AM540=1,0,IF($AL540=1,Settings!$C$6,Settings!$C$7))*100)</f>
        <v/>
      </c>
      <c r="AB540" s="7" t="n"/>
      <c r="AE540" s="11" t="n"/>
      <c r="AG540" s="7">
        <f>IF($C540="","",U540*X540/100)</f>
        <v/>
      </c>
      <c r="AH540" s="7">
        <f>IF($C540="","",U540-AG540)</f>
        <v/>
      </c>
      <c r="AI540" s="7">
        <f>IF($C540="","",AH540-M540)</f>
        <v/>
      </c>
      <c r="AJ540">
        <f>IF($C540="","",IF(COUNTIF($C$2:$C540,$C540)=1,1,0))</f>
        <v/>
      </c>
      <c r="AK540">
        <f>IF($AJ540=1,SUMPRODUCT(--($AN$2:$AN$4001&lt;$AN540))+1,"")</f>
        <v/>
      </c>
      <c r="AL540">
        <f>IF($C540="","",IF(OR($Q540=TRUE(),$Q540="TRUE"),1,0))</f>
        <v/>
      </c>
      <c r="AM540">
        <f>IF($C540="","",IF($W540="Yes",1,0))</f>
        <v/>
      </c>
      <c r="AN540">
        <f>IF($AJ540=1,IFERROR(IF(VALUE($C540)&lt;100000000,VALUE($C540),1000000000),IFERROR(IF(VALUE(MID($C540,2,20))&lt;100000000,VALUE(MID($C540,2,20)),1000000000),1000000000))+ROW()/100000,"")</f>
        <v/>
      </c>
    </row>
    <row r="541">
      <c r="E541" s="11" t="n"/>
      <c r="M541" s="7">
        <f>IF($C541="","",L541*U541/100)</f>
        <v/>
      </c>
      <c r="N541" s="7" t="n"/>
      <c r="T541" s="7" t="n"/>
      <c r="U541" s="7">
        <f>IF($C541="","",S541*T541)</f>
        <v/>
      </c>
      <c r="X541">
        <f>IF($C541="","",IF($AM541=1,0,IF($AL541=1,Settings!$C$6,Settings!$C$7))*100)</f>
        <v/>
      </c>
      <c r="AB541" s="7" t="n"/>
      <c r="AE541" s="11" t="n"/>
      <c r="AG541" s="7">
        <f>IF($C541="","",U541*X541/100)</f>
        <v/>
      </c>
      <c r="AH541" s="7">
        <f>IF($C541="","",U541-AG541)</f>
        <v/>
      </c>
      <c r="AI541" s="7">
        <f>IF($C541="","",AH541-M541)</f>
        <v/>
      </c>
      <c r="AJ541">
        <f>IF($C541="","",IF(COUNTIF($C$2:$C541,$C541)=1,1,0))</f>
        <v/>
      </c>
      <c r="AK541">
        <f>IF($AJ541=1,SUMPRODUCT(--($AN$2:$AN$4001&lt;$AN541))+1,"")</f>
        <v/>
      </c>
      <c r="AL541">
        <f>IF($C541="","",IF(OR($Q541=TRUE(),$Q541="TRUE"),1,0))</f>
        <v/>
      </c>
      <c r="AM541">
        <f>IF($C541="","",IF($W541="Yes",1,0))</f>
        <v/>
      </c>
      <c r="AN541">
        <f>IF($AJ541=1,IFERROR(IF(VALUE($C541)&lt;100000000,VALUE($C541),1000000000),IFERROR(IF(VALUE(MID($C541,2,20))&lt;100000000,VALUE(MID($C541,2,20)),1000000000),1000000000))+ROW()/100000,"")</f>
        <v/>
      </c>
    </row>
    <row r="542">
      <c r="E542" s="11" t="n"/>
      <c r="M542" s="7">
        <f>IF($C542="","",L542*U542/100)</f>
        <v/>
      </c>
      <c r="N542" s="7" t="n"/>
      <c r="T542" s="7" t="n"/>
      <c r="U542" s="7">
        <f>IF($C542="","",S542*T542)</f>
        <v/>
      </c>
      <c r="X542">
        <f>IF($C542="","",IF($AM542=1,0,IF($AL542=1,Settings!$C$6,Settings!$C$7))*100)</f>
        <v/>
      </c>
      <c r="AB542" s="7" t="n"/>
      <c r="AE542" s="11" t="n"/>
      <c r="AG542" s="7">
        <f>IF($C542="","",U542*X542/100)</f>
        <v/>
      </c>
      <c r="AH542" s="7">
        <f>IF($C542="","",U542-AG542)</f>
        <v/>
      </c>
      <c r="AI542" s="7">
        <f>IF($C542="","",AH542-M542)</f>
        <v/>
      </c>
      <c r="AJ542">
        <f>IF($C542="","",IF(COUNTIF($C$2:$C542,$C542)=1,1,0))</f>
        <v/>
      </c>
      <c r="AK542">
        <f>IF($AJ542=1,SUMPRODUCT(--($AN$2:$AN$4001&lt;$AN542))+1,"")</f>
        <v/>
      </c>
      <c r="AL542">
        <f>IF($C542="","",IF(OR($Q542=TRUE(),$Q542="TRUE"),1,0))</f>
        <v/>
      </c>
      <c r="AM542">
        <f>IF($C542="","",IF($W542="Yes",1,0))</f>
        <v/>
      </c>
      <c r="AN542">
        <f>IF($AJ542=1,IFERROR(IF(VALUE($C542)&lt;100000000,VALUE($C542),1000000000),IFERROR(IF(VALUE(MID($C542,2,20))&lt;100000000,VALUE(MID($C542,2,20)),1000000000),1000000000))+ROW()/100000,"")</f>
        <v/>
      </c>
    </row>
    <row r="543">
      <c r="E543" s="11" t="n"/>
      <c r="M543" s="7">
        <f>IF($C543="","",L543*U543/100)</f>
        <v/>
      </c>
      <c r="N543" s="7" t="n"/>
      <c r="T543" s="7" t="n"/>
      <c r="U543" s="7">
        <f>IF($C543="","",S543*T543)</f>
        <v/>
      </c>
      <c r="X543">
        <f>IF($C543="","",IF($AM543=1,0,IF($AL543=1,Settings!$C$6,Settings!$C$7))*100)</f>
        <v/>
      </c>
      <c r="AB543" s="7" t="n"/>
      <c r="AE543" s="11" t="n"/>
      <c r="AG543" s="7">
        <f>IF($C543="","",U543*X543/100)</f>
        <v/>
      </c>
      <c r="AH543" s="7">
        <f>IF($C543="","",U543-AG543)</f>
        <v/>
      </c>
      <c r="AI543" s="7">
        <f>IF($C543="","",AH543-M543)</f>
        <v/>
      </c>
      <c r="AJ543">
        <f>IF($C543="","",IF(COUNTIF($C$2:$C543,$C543)=1,1,0))</f>
        <v/>
      </c>
      <c r="AK543">
        <f>IF($AJ543=1,SUMPRODUCT(--($AN$2:$AN$4001&lt;$AN543))+1,"")</f>
        <v/>
      </c>
      <c r="AL543">
        <f>IF($C543="","",IF(OR($Q543=TRUE(),$Q543="TRUE"),1,0))</f>
        <v/>
      </c>
      <c r="AM543">
        <f>IF($C543="","",IF($W543="Yes",1,0))</f>
        <v/>
      </c>
      <c r="AN543">
        <f>IF($AJ543=1,IFERROR(IF(VALUE($C543)&lt;100000000,VALUE($C543),1000000000),IFERROR(IF(VALUE(MID($C543,2,20))&lt;100000000,VALUE(MID($C543,2,20)),1000000000),1000000000))+ROW()/100000,"")</f>
        <v/>
      </c>
    </row>
    <row r="544">
      <c r="E544" s="11" t="n"/>
      <c r="M544" s="7">
        <f>IF($C544="","",L544*U544/100)</f>
        <v/>
      </c>
      <c r="N544" s="7" t="n"/>
      <c r="T544" s="7" t="n"/>
      <c r="U544" s="7">
        <f>IF($C544="","",S544*T544)</f>
        <v/>
      </c>
      <c r="X544">
        <f>IF($C544="","",IF($AM544=1,0,IF($AL544=1,Settings!$C$6,Settings!$C$7))*100)</f>
        <v/>
      </c>
      <c r="AB544" s="7" t="n"/>
      <c r="AE544" s="11" t="n"/>
      <c r="AG544" s="7">
        <f>IF($C544="","",U544*X544/100)</f>
        <v/>
      </c>
      <c r="AH544" s="7">
        <f>IF($C544="","",U544-AG544)</f>
        <v/>
      </c>
      <c r="AI544" s="7">
        <f>IF($C544="","",AH544-M544)</f>
        <v/>
      </c>
      <c r="AJ544">
        <f>IF($C544="","",IF(COUNTIF($C$2:$C544,$C544)=1,1,0))</f>
        <v/>
      </c>
      <c r="AK544">
        <f>IF($AJ544=1,SUMPRODUCT(--($AN$2:$AN$4001&lt;$AN544))+1,"")</f>
        <v/>
      </c>
      <c r="AL544">
        <f>IF($C544="","",IF(OR($Q544=TRUE(),$Q544="TRUE"),1,0))</f>
        <v/>
      </c>
      <c r="AM544">
        <f>IF($C544="","",IF($W544="Yes",1,0))</f>
        <v/>
      </c>
      <c r="AN544">
        <f>IF($AJ544=1,IFERROR(IF(VALUE($C544)&lt;100000000,VALUE($C544),1000000000),IFERROR(IF(VALUE(MID($C544,2,20))&lt;100000000,VALUE(MID($C544,2,20)),1000000000),1000000000))+ROW()/100000,"")</f>
        <v/>
      </c>
    </row>
    <row r="545">
      <c r="E545" s="11" t="n"/>
      <c r="M545" s="7">
        <f>IF($C545="","",L545*U545/100)</f>
        <v/>
      </c>
      <c r="N545" s="7" t="n"/>
      <c r="T545" s="7" t="n"/>
      <c r="U545" s="7">
        <f>IF($C545="","",S545*T545)</f>
        <v/>
      </c>
      <c r="X545">
        <f>IF($C545="","",IF($AM545=1,0,IF($AL545=1,Settings!$C$6,Settings!$C$7))*100)</f>
        <v/>
      </c>
      <c r="AB545" s="7" t="n"/>
      <c r="AE545" s="11" t="n"/>
      <c r="AG545" s="7">
        <f>IF($C545="","",U545*X545/100)</f>
        <v/>
      </c>
      <c r="AH545" s="7">
        <f>IF($C545="","",U545-AG545)</f>
        <v/>
      </c>
      <c r="AI545" s="7">
        <f>IF($C545="","",AH545-M545)</f>
        <v/>
      </c>
      <c r="AJ545">
        <f>IF($C545="","",IF(COUNTIF($C$2:$C545,$C545)=1,1,0))</f>
        <v/>
      </c>
      <c r="AK545">
        <f>IF($AJ545=1,SUMPRODUCT(--($AN$2:$AN$4001&lt;$AN545))+1,"")</f>
        <v/>
      </c>
      <c r="AL545">
        <f>IF($C545="","",IF(OR($Q545=TRUE(),$Q545="TRUE"),1,0))</f>
        <v/>
      </c>
      <c r="AM545">
        <f>IF($C545="","",IF($W545="Yes",1,0))</f>
        <v/>
      </c>
      <c r="AN545">
        <f>IF($AJ545=1,IFERROR(IF(VALUE($C545)&lt;100000000,VALUE($C545),1000000000),IFERROR(IF(VALUE(MID($C545,2,20))&lt;100000000,VALUE(MID($C545,2,20)),1000000000),1000000000))+ROW()/100000,"")</f>
        <v/>
      </c>
    </row>
    <row r="546">
      <c r="E546" s="11" t="n"/>
      <c r="M546" s="7">
        <f>IF($C546="","",L546*U546/100)</f>
        <v/>
      </c>
      <c r="N546" s="7" t="n"/>
      <c r="T546" s="7" t="n"/>
      <c r="U546" s="7">
        <f>IF($C546="","",S546*T546)</f>
        <v/>
      </c>
      <c r="X546">
        <f>IF($C546="","",IF($AM546=1,0,IF($AL546=1,Settings!$C$6,Settings!$C$7))*100)</f>
        <v/>
      </c>
      <c r="AB546" s="7" t="n"/>
      <c r="AE546" s="11" t="n"/>
      <c r="AG546" s="7">
        <f>IF($C546="","",U546*X546/100)</f>
        <v/>
      </c>
      <c r="AH546" s="7">
        <f>IF($C546="","",U546-AG546)</f>
        <v/>
      </c>
      <c r="AI546" s="7">
        <f>IF($C546="","",AH546-M546)</f>
        <v/>
      </c>
      <c r="AJ546">
        <f>IF($C546="","",IF(COUNTIF($C$2:$C546,$C546)=1,1,0))</f>
        <v/>
      </c>
      <c r="AK546">
        <f>IF($AJ546=1,SUMPRODUCT(--($AN$2:$AN$4001&lt;$AN546))+1,"")</f>
        <v/>
      </c>
      <c r="AL546">
        <f>IF($C546="","",IF(OR($Q546=TRUE(),$Q546="TRUE"),1,0))</f>
        <v/>
      </c>
      <c r="AM546">
        <f>IF($C546="","",IF($W546="Yes",1,0))</f>
        <v/>
      </c>
      <c r="AN546">
        <f>IF($AJ546=1,IFERROR(IF(VALUE($C546)&lt;100000000,VALUE($C546),1000000000),IFERROR(IF(VALUE(MID($C546,2,20))&lt;100000000,VALUE(MID($C546,2,20)),1000000000),1000000000))+ROW()/100000,"")</f>
        <v/>
      </c>
    </row>
    <row r="547">
      <c r="E547" s="11" t="n"/>
      <c r="M547" s="7">
        <f>IF($C547="","",L547*U547/100)</f>
        <v/>
      </c>
      <c r="N547" s="7" t="n"/>
      <c r="T547" s="7" t="n"/>
      <c r="U547" s="7">
        <f>IF($C547="","",S547*T547)</f>
        <v/>
      </c>
      <c r="X547">
        <f>IF($C547="","",IF($AM547=1,0,IF($AL547=1,Settings!$C$6,Settings!$C$7))*100)</f>
        <v/>
      </c>
      <c r="AB547" s="7" t="n"/>
      <c r="AE547" s="11" t="n"/>
      <c r="AG547" s="7">
        <f>IF($C547="","",U547*X547/100)</f>
        <v/>
      </c>
      <c r="AH547" s="7">
        <f>IF($C547="","",U547-AG547)</f>
        <v/>
      </c>
      <c r="AI547" s="7">
        <f>IF($C547="","",AH547-M547)</f>
        <v/>
      </c>
      <c r="AJ547">
        <f>IF($C547="","",IF(COUNTIF($C$2:$C547,$C547)=1,1,0))</f>
        <v/>
      </c>
      <c r="AK547">
        <f>IF($AJ547=1,SUMPRODUCT(--($AN$2:$AN$4001&lt;$AN547))+1,"")</f>
        <v/>
      </c>
      <c r="AL547">
        <f>IF($C547="","",IF(OR($Q547=TRUE(),$Q547="TRUE"),1,0))</f>
        <v/>
      </c>
      <c r="AM547">
        <f>IF($C547="","",IF($W547="Yes",1,0))</f>
        <v/>
      </c>
      <c r="AN547">
        <f>IF($AJ547=1,IFERROR(IF(VALUE($C547)&lt;100000000,VALUE($C547),1000000000),IFERROR(IF(VALUE(MID($C547,2,20))&lt;100000000,VALUE(MID($C547,2,20)),1000000000),1000000000))+ROW()/100000,"")</f>
        <v/>
      </c>
    </row>
    <row r="548">
      <c r="E548" s="11" t="n"/>
      <c r="M548" s="7">
        <f>IF($C548="","",L548*U548/100)</f>
        <v/>
      </c>
      <c r="N548" s="7" t="n"/>
      <c r="T548" s="7" t="n"/>
      <c r="U548" s="7">
        <f>IF($C548="","",S548*T548)</f>
        <v/>
      </c>
      <c r="X548">
        <f>IF($C548="","",IF($AM548=1,0,IF($AL548=1,Settings!$C$6,Settings!$C$7))*100)</f>
        <v/>
      </c>
      <c r="AB548" s="7" t="n"/>
      <c r="AE548" s="11" t="n"/>
      <c r="AG548" s="7">
        <f>IF($C548="","",U548*X548/100)</f>
        <v/>
      </c>
      <c r="AH548" s="7">
        <f>IF($C548="","",U548-AG548)</f>
        <v/>
      </c>
      <c r="AI548" s="7">
        <f>IF($C548="","",AH548-M548)</f>
        <v/>
      </c>
      <c r="AJ548">
        <f>IF($C548="","",IF(COUNTIF($C$2:$C548,$C548)=1,1,0))</f>
        <v/>
      </c>
      <c r="AK548">
        <f>IF($AJ548=1,SUMPRODUCT(--($AN$2:$AN$4001&lt;$AN548))+1,"")</f>
        <v/>
      </c>
      <c r="AL548">
        <f>IF($C548="","",IF(OR($Q548=TRUE(),$Q548="TRUE"),1,0))</f>
        <v/>
      </c>
      <c r="AM548">
        <f>IF($C548="","",IF($W548="Yes",1,0))</f>
        <v/>
      </c>
      <c r="AN548">
        <f>IF($AJ548=1,IFERROR(IF(VALUE($C548)&lt;100000000,VALUE($C548),1000000000),IFERROR(IF(VALUE(MID($C548,2,20))&lt;100000000,VALUE(MID($C548,2,20)),1000000000),1000000000))+ROW()/100000,"")</f>
        <v/>
      </c>
    </row>
    <row r="549">
      <c r="E549" s="11" t="n"/>
      <c r="M549" s="7">
        <f>IF($C549="","",L549*U549/100)</f>
        <v/>
      </c>
      <c r="N549" s="7" t="n"/>
      <c r="T549" s="7" t="n"/>
      <c r="U549" s="7">
        <f>IF($C549="","",S549*T549)</f>
        <v/>
      </c>
      <c r="X549">
        <f>IF($C549="","",IF($AM549=1,0,IF($AL549=1,Settings!$C$6,Settings!$C$7))*100)</f>
        <v/>
      </c>
      <c r="AB549" s="7" t="n"/>
      <c r="AE549" s="11" t="n"/>
      <c r="AG549" s="7">
        <f>IF($C549="","",U549*X549/100)</f>
        <v/>
      </c>
      <c r="AH549" s="7">
        <f>IF($C549="","",U549-AG549)</f>
        <v/>
      </c>
      <c r="AI549" s="7">
        <f>IF($C549="","",AH549-M549)</f>
        <v/>
      </c>
      <c r="AJ549">
        <f>IF($C549="","",IF(COUNTIF($C$2:$C549,$C549)=1,1,0))</f>
        <v/>
      </c>
      <c r="AK549">
        <f>IF($AJ549=1,SUMPRODUCT(--($AN$2:$AN$4001&lt;$AN549))+1,"")</f>
        <v/>
      </c>
      <c r="AL549">
        <f>IF($C549="","",IF(OR($Q549=TRUE(),$Q549="TRUE"),1,0))</f>
        <v/>
      </c>
      <c r="AM549">
        <f>IF($C549="","",IF($W549="Yes",1,0))</f>
        <v/>
      </c>
      <c r="AN549">
        <f>IF($AJ549=1,IFERROR(IF(VALUE($C549)&lt;100000000,VALUE($C549),1000000000),IFERROR(IF(VALUE(MID($C549,2,20))&lt;100000000,VALUE(MID($C549,2,20)),1000000000),1000000000))+ROW()/100000,"")</f>
        <v/>
      </c>
    </row>
    <row r="550">
      <c r="E550" s="11" t="n"/>
      <c r="M550" s="7">
        <f>IF($C550="","",L550*U550/100)</f>
        <v/>
      </c>
      <c r="N550" s="7" t="n"/>
      <c r="T550" s="7" t="n"/>
      <c r="U550" s="7">
        <f>IF($C550="","",S550*T550)</f>
        <v/>
      </c>
      <c r="X550">
        <f>IF($C550="","",IF($AM550=1,0,IF($AL550=1,Settings!$C$6,Settings!$C$7))*100)</f>
        <v/>
      </c>
      <c r="AB550" s="7" t="n"/>
      <c r="AE550" s="11" t="n"/>
      <c r="AG550" s="7">
        <f>IF($C550="","",U550*X550/100)</f>
        <v/>
      </c>
      <c r="AH550" s="7">
        <f>IF($C550="","",U550-AG550)</f>
        <v/>
      </c>
      <c r="AI550" s="7">
        <f>IF($C550="","",AH550-M550)</f>
        <v/>
      </c>
      <c r="AJ550">
        <f>IF($C550="","",IF(COUNTIF($C$2:$C550,$C550)=1,1,0))</f>
        <v/>
      </c>
      <c r="AK550">
        <f>IF($AJ550=1,SUMPRODUCT(--($AN$2:$AN$4001&lt;$AN550))+1,"")</f>
        <v/>
      </c>
      <c r="AL550">
        <f>IF($C550="","",IF(OR($Q550=TRUE(),$Q550="TRUE"),1,0))</f>
        <v/>
      </c>
      <c r="AM550">
        <f>IF($C550="","",IF($W550="Yes",1,0))</f>
        <v/>
      </c>
      <c r="AN550">
        <f>IF($AJ550=1,IFERROR(IF(VALUE($C550)&lt;100000000,VALUE($C550),1000000000),IFERROR(IF(VALUE(MID($C550,2,20))&lt;100000000,VALUE(MID($C550,2,20)),1000000000),1000000000))+ROW()/100000,"")</f>
        <v/>
      </c>
    </row>
    <row r="551">
      <c r="E551" s="11" t="n"/>
      <c r="M551" s="7">
        <f>IF($C551="","",L551*U551/100)</f>
        <v/>
      </c>
      <c r="N551" s="7" t="n"/>
      <c r="T551" s="7" t="n"/>
      <c r="U551" s="7">
        <f>IF($C551="","",S551*T551)</f>
        <v/>
      </c>
      <c r="X551">
        <f>IF($C551="","",IF($AM551=1,0,IF($AL551=1,Settings!$C$6,Settings!$C$7))*100)</f>
        <v/>
      </c>
      <c r="AB551" s="7" t="n"/>
      <c r="AE551" s="11" t="n"/>
      <c r="AG551" s="7">
        <f>IF($C551="","",U551*X551/100)</f>
        <v/>
      </c>
      <c r="AH551" s="7">
        <f>IF($C551="","",U551-AG551)</f>
        <v/>
      </c>
      <c r="AI551" s="7">
        <f>IF($C551="","",AH551-M551)</f>
        <v/>
      </c>
      <c r="AJ551">
        <f>IF($C551="","",IF(COUNTIF($C$2:$C551,$C551)=1,1,0))</f>
        <v/>
      </c>
      <c r="AK551">
        <f>IF($AJ551=1,SUMPRODUCT(--($AN$2:$AN$4001&lt;$AN551))+1,"")</f>
        <v/>
      </c>
      <c r="AL551">
        <f>IF($C551="","",IF(OR($Q551=TRUE(),$Q551="TRUE"),1,0))</f>
        <v/>
      </c>
      <c r="AM551">
        <f>IF($C551="","",IF($W551="Yes",1,0))</f>
        <v/>
      </c>
      <c r="AN551">
        <f>IF($AJ551=1,IFERROR(IF(VALUE($C551)&lt;100000000,VALUE($C551),1000000000),IFERROR(IF(VALUE(MID($C551,2,20))&lt;100000000,VALUE(MID($C551,2,20)),1000000000),1000000000))+ROW()/100000,"")</f>
        <v/>
      </c>
    </row>
    <row r="552">
      <c r="E552" s="11" t="n"/>
      <c r="M552" s="7">
        <f>IF($C552="","",L552*U552/100)</f>
        <v/>
      </c>
      <c r="N552" s="7" t="n"/>
      <c r="T552" s="7" t="n"/>
      <c r="U552" s="7">
        <f>IF($C552="","",S552*T552)</f>
        <v/>
      </c>
      <c r="X552">
        <f>IF($C552="","",IF($AM552=1,0,IF($AL552=1,Settings!$C$6,Settings!$C$7))*100)</f>
        <v/>
      </c>
      <c r="AB552" s="7" t="n"/>
      <c r="AE552" s="11" t="n"/>
      <c r="AG552" s="7">
        <f>IF($C552="","",U552*X552/100)</f>
        <v/>
      </c>
      <c r="AH552" s="7">
        <f>IF($C552="","",U552-AG552)</f>
        <v/>
      </c>
      <c r="AI552" s="7">
        <f>IF($C552="","",AH552-M552)</f>
        <v/>
      </c>
      <c r="AJ552">
        <f>IF($C552="","",IF(COUNTIF($C$2:$C552,$C552)=1,1,0))</f>
        <v/>
      </c>
      <c r="AK552">
        <f>IF($AJ552=1,SUMPRODUCT(--($AN$2:$AN$4001&lt;$AN552))+1,"")</f>
        <v/>
      </c>
      <c r="AL552">
        <f>IF($C552="","",IF(OR($Q552=TRUE(),$Q552="TRUE"),1,0))</f>
        <v/>
      </c>
      <c r="AM552">
        <f>IF($C552="","",IF($W552="Yes",1,0))</f>
        <v/>
      </c>
      <c r="AN552">
        <f>IF($AJ552=1,IFERROR(IF(VALUE($C552)&lt;100000000,VALUE($C552),1000000000),IFERROR(IF(VALUE(MID($C552,2,20))&lt;100000000,VALUE(MID($C552,2,20)),1000000000),1000000000))+ROW()/100000,"")</f>
        <v/>
      </c>
    </row>
    <row r="553">
      <c r="E553" s="11" t="n"/>
      <c r="M553" s="7">
        <f>IF($C553="","",L553*U553/100)</f>
        <v/>
      </c>
      <c r="N553" s="7" t="n"/>
      <c r="T553" s="7" t="n"/>
      <c r="U553" s="7">
        <f>IF($C553="","",S553*T553)</f>
        <v/>
      </c>
      <c r="X553">
        <f>IF($C553="","",IF($AM553=1,0,IF($AL553=1,Settings!$C$6,Settings!$C$7))*100)</f>
        <v/>
      </c>
      <c r="AB553" s="7" t="n"/>
      <c r="AE553" s="11" t="n"/>
      <c r="AG553" s="7">
        <f>IF($C553="","",U553*X553/100)</f>
        <v/>
      </c>
      <c r="AH553" s="7">
        <f>IF($C553="","",U553-AG553)</f>
        <v/>
      </c>
      <c r="AI553" s="7">
        <f>IF($C553="","",AH553-M553)</f>
        <v/>
      </c>
      <c r="AJ553">
        <f>IF($C553="","",IF(COUNTIF($C$2:$C553,$C553)=1,1,0))</f>
        <v/>
      </c>
      <c r="AK553">
        <f>IF($AJ553=1,SUMPRODUCT(--($AN$2:$AN$4001&lt;$AN553))+1,"")</f>
        <v/>
      </c>
      <c r="AL553">
        <f>IF($C553="","",IF(OR($Q553=TRUE(),$Q553="TRUE"),1,0))</f>
        <v/>
      </c>
      <c r="AM553">
        <f>IF($C553="","",IF($W553="Yes",1,0))</f>
        <v/>
      </c>
      <c r="AN553">
        <f>IF($AJ553=1,IFERROR(IF(VALUE($C553)&lt;100000000,VALUE($C553),1000000000),IFERROR(IF(VALUE(MID($C553,2,20))&lt;100000000,VALUE(MID($C553,2,20)),1000000000),1000000000))+ROW()/100000,"")</f>
        <v/>
      </c>
    </row>
    <row r="554">
      <c r="E554" s="11" t="n"/>
      <c r="M554" s="7">
        <f>IF($C554="","",L554*U554/100)</f>
        <v/>
      </c>
      <c r="N554" s="7" t="n"/>
      <c r="T554" s="7" t="n"/>
      <c r="U554" s="7">
        <f>IF($C554="","",S554*T554)</f>
        <v/>
      </c>
      <c r="X554">
        <f>IF($C554="","",IF($AM554=1,0,IF($AL554=1,Settings!$C$6,Settings!$C$7))*100)</f>
        <v/>
      </c>
      <c r="AB554" s="7" t="n"/>
      <c r="AE554" s="11" t="n"/>
      <c r="AG554" s="7">
        <f>IF($C554="","",U554*X554/100)</f>
        <v/>
      </c>
      <c r="AH554" s="7">
        <f>IF($C554="","",U554-AG554)</f>
        <v/>
      </c>
      <c r="AI554" s="7">
        <f>IF($C554="","",AH554-M554)</f>
        <v/>
      </c>
      <c r="AJ554">
        <f>IF($C554="","",IF(COUNTIF($C$2:$C554,$C554)=1,1,0))</f>
        <v/>
      </c>
      <c r="AK554">
        <f>IF($AJ554=1,SUMPRODUCT(--($AN$2:$AN$4001&lt;$AN554))+1,"")</f>
        <v/>
      </c>
      <c r="AL554">
        <f>IF($C554="","",IF(OR($Q554=TRUE(),$Q554="TRUE"),1,0))</f>
        <v/>
      </c>
      <c r="AM554">
        <f>IF($C554="","",IF($W554="Yes",1,0))</f>
        <v/>
      </c>
      <c r="AN554">
        <f>IF($AJ554=1,IFERROR(IF(VALUE($C554)&lt;100000000,VALUE($C554),1000000000),IFERROR(IF(VALUE(MID($C554,2,20))&lt;100000000,VALUE(MID($C554,2,20)),1000000000),1000000000))+ROW()/100000,"")</f>
        <v/>
      </c>
    </row>
    <row r="555">
      <c r="E555" s="11" t="n"/>
      <c r="M555" s="7">
        <f>IF($C555="","",L555*U555/100)</f>
        <v/>
      </c>
      <c r="N555" s="7" t="n"/>
      <c r="T555" s="7" t="n"/>
      <c r="U555" s="7">
        <f>IF($C555="","",S555*T555)</f>
        <v/>
      </c>
      <c r="X555">
        <f>IF($C555="","",IF($AM555=1,0,IF($AL555=1,Settings!$C$6,Settings!$C$7))*100)</f>
        <v/>
      </c>
      <c r="AB555" s="7" t="n"/>
      <c r="AE555" s="11" t="n"/>
      <c r="AG555" s="7">
        <f>IF($C555="","",U555*X555/100)</f>
        <v/>
      </c>
      <c r="AH555" s="7">
        <f>IF($C555="","",U555-AG555)</f>
        <v/>
      </c>
      <c r="AI555" s="7">
        <f>IF($C555="","",AH555-M555)</f>
        <v/>
      </c>
      <c r="AJ555">
        <f>IF($C555="","",IF(COUNTIF($C$2:$C555,$C555)=1,1,0))</f>
        <v/>
      </c>
      <c r="AK555">
        <f>IF($AJ555=1,SUMPRODUCT(--($AN$2:$AN$4001&lt;$AN555))+1,"")</f>
        <v/>
      </c>
      <c r="AL555">
        <f>IF($C555="","",IF(OR($Q555=TRUE(),$Q555="TRUE"),1,0))</f>
        <v/>
      </c>
      <c r="AM555">
        <f>IF($C555="","",IF($W555="Yes",1,0))</f>
        <v/>
      </c>
      <c r="AN555">
        <f>IF($AJ555=1,IFERROR(IF(VALUE($C555)&lt;100000000,VALUE($C555),1000000000),IFERROR(IF(VALUE(MID($C555,2,20))&lt;100000000,VALUE(MID($C555,2,20)),1000000000),1000000000))+ROW()/100000,"")</f>
        <v/>
      </c>
    </row>
    <row r="556">
      <c r="E556" s="11" t="n"/>
      <c r="M556" s="7">
        <f>IF($C556="","",L556*U556/100)</f>
        <v/>
      </c>
      <c r="N556" s="7" t="n"/>
      <c r="T556" s="7" t="n"/>
      <c r="U556" s="7">
        <f>IF($C556="","",S556*T556)</f>
        <v/>
      </c>
      <c r="X556">
        <f>IF($C556="","",IF($AM556=1,0,IF($AL556=1,Settings!$C$6,Settings!$C$7))*100)</f>
        <v/>
      </c>
      <c r="AB556" s="7" t="n"/>
      <c r="AE556" s="11" t="n"/>
      <c r="AG556" s="7">
        <f>IF($C556="","",U556*X556/100)</f>
        <v/>
      </c>
      <c r="AH556" s="7">
        <f>IF($C556="","",U556-AG556)</f>
        <v/>
      </c>
      <c r="AI556" s="7">
        <f>IF($C556="","",AH556-M556)</f>
        <v/>
      </c>
      <c r="AJ556">
        <f>IF($C556="","",IF(COUNTIF($C$2:$C556,$C556)=1,1,0))</f>
        <v/>
      </c>
      <c r="AK556">
        <f>IF($AJ556=1,SUMPRODUCT(--($AN$2:$AN$4001&lt;$AN556))+1,"")</f>
        <v/>
      </c>
      <c r="AL556">
        <f>IF($C556="","",IF(OR($Q556=TRUE(),$Q556="TRUE"),1,0))</f>
        <v/>
      </c>
      <c r="AM556">
        <f>IF($C556="","",IF($W556="Yes",1,0))</f>
        <v/>
      </c>
      <c r="AN556">
        <f>IF($AJ556=1,IFERROR(IF(VALUE($C556)&lt;100000000,VALUE($C556),1000000000),IFERROR(IF(VALUE(MID($C556,2,20))&lt;100000000,VALUE(MID($C556,2,20)),1000000000),1000000000))+ROW()/100000,"")</f>
        <v/>
      </c>
    </row>
    <row r="557">
      <c r="E557" s="11" t="n"/>
      <c r="M557" s="7">
        <f>IF($C557="","",L557*U557/100)</f>
        <v/>
      </c>
      <c r="N557" s="7" t="n"/>
      <c r="T557" s="7" t="n"/>
      <c r="U557" s="7">
        <f>IF($C557="","",S557*T557)</f>
        <v/>
      </c>
      <c r="X557">
        <f>IF($C557="","",IF($AM557=1,0,IF($AL557=1,Settings!$C$6,Settings!$C$7))*100)</f>
        <v/>
      </c>
      <c r="AB557" s="7" t="n"/>
      <c r="AE557" s="11" t="n"/>
      <c r="AG557" s="7">
        <f>IF($C557="","",U557*X557/100)</f>
        <v/>
      </c>
      <c r="AH557" s="7">
        <f>IF($C557="","",U557-AG557)</f>
        <v/>
      </c>
      <c r="AI557" s="7">
        <f>IF($C557="","",AH557-M557)</f>
        <v/>
      </c>
      <c r="AJ557">
        <f>IF($C557="","",IF(COUNTIF($C$2:$C557,$C557)=1,1,0))</f>
        <v/>
      </c>
      <c r="AK557">
        <f>IF($AJ557=1,SUMPRODUCT(--($AN$2:$AN$4001&lt;$AN557))+1,"")</f>
        <v/>
      </c>
      <c r="AL557">
        <f>IF($C557="","",IF(OR($Q557=TRUE(),$Q557="TRUE"),1,0))</f>
        <v/>
      </c>
      <c r="AM557">
        <f>IF($C557="","",IF($W557="Yes",1,0))</f>
        <v/>
      </c>
      <c r="AN557">
        <f>IF($AJ557=1,IFERROR(IF(VALUE($C557)&lt;100000000,VALUE($C557),1000000000),IFERROR(IF(VALUE(MID($C557,2,20))&lt;100000000,VALUE(MID($C557,2,20)),1000000000),1000000000))+ROW()/100000,"")</f>
        <v/>
      </c>
    </row>
    <row r="558">
      <c r="E558" s="11" t="n"/>
      <c r="M558" s="7">
        <f>IF($C558="","",L558*U558/100)</f>
        <v/>
      </c>
      <c r="N558" s="7" t="n"/>
      <c r="T558" s="7" t="n"/>
      <c r="U558" s="7">
        <f>IF($C558="","",S558*T558)</f>
        <v/>
      </c>
      <c r="X558">
        <f>IF($C558="","",IF($AM558=1,0,IF($AL558=1,Settings!$C$6,Settings!$C$7))*100)</f>
        <v/>
      </c>
      <c r="AB558" s="7" t="n"/>
      <c r="AE558" s="11" t="n"/>
      <c r="AG558" s="7">
        <f>IF($C558="","",U558*X558/100)</f>
        <v/>
      </c>
      <c r="AH558" s="7">
        <f>IF($C558="","",U558-AG558)</f>
        <v/>
      </c>
      <c r="AI558" s="7">
        <f>IF($C558="","",AH558-M558)</f>
        <v/>
      </c>
      <c r="AJ558">
        <f>IF($C558="","",IF(COUNTIF($C$2:$C558,$C558)=1,1,0))</f>
        <v/>
      </c>
      <c r="AK558">
        <f>IF($AJ558=1,SUMPRODUCT(--($AN$2:$AN$4001&lt;$AN558))+1,"")</f>
        <v/>
      </c>
      <c r="AL558">
        <f>IF($C558="","",IF(OR($Q558=TRUE(),$Q558="TRUE"),1,0))</f>
        <v/>
      </c>
      <c r="AM558">
        <f>IF($C558="","",IF($W558="Yes",1,0))</f>
        <v/>
      </c>
      <c r="AN558">
        <f>IF($AJ558=1,IFERROR(IF(VALUE($C558)&lt;100000000,VALUE($C558),1000000000),IFERROR(IF(VALUE(MID($C558,2,20))&lt;100000000,VALUE(MID($C558,2,20)),1000000000),1000000000))+ROW()/100000,"")</f>
        <v/>
      </c>
    </row>
    <row r="559">
      <c r="E559" s="11" t="n"/>
      <c r="M559" s="7">
        <f>IF($C559="","",L559*U559/100)</f>
        <v/>
      </c>
      <c r="N559" s="7" t="n"/>
      <c r="T559" s="7" t="n"/>
      <c r="U559" s="7">
        <f>IF($C559="","",S559*T559)</f>
        <v/>
      </c>
      <c r="X559">
        <f>IF($C559="","",IF($AM559=1,0,IF($AL559=1,Settings!$C$6,Settings!$C$7))*100)</f>
        <v/>
      </c>
      <c r="AB559" s="7" t="n"/>
      <c r="AE559" s="11" t="n"/>
      <c r="AG559" s="7">
        <f>IF($C559="","",U559*X559/100)</f>
        <v/>
      </c>
      <c r="AH559" s="7">
        <f>IF($C559="","",U559-AG559)</f>
        <v/>
      </c>
      <c r="AI559" s="7">
        <f>IF($C559="","",AH559-M559)</f>
        <v/>
      </c>
      <c r="AJ559">
        <f>IF($C559="","",IF(COUNTIF($C$2:$C559,$C559)=1,1,0))</f>
        <v/>
      </c>
      <c r="AK559">
        <f>IF($AJ559=1,SUMPRODUCT(--($AN$2:$AN$4001&lt;$AN559))+1,"")</f>
        <v/>
      </c>
      <c r="AL559">
        <f>IF($C559="","",IF(OR($Q559=TRUE(),$Q559="TRUE"),1,0))</f>
        <v/>
      </c>
      <c r="AM559">
        <f>IF($C559="","",IF($W559="Yes",1,0))</f>
        <v/>
      </c>
      <c r="AN559">
        <f>IF($AJ559=1,IFERROR(IF(VALUE($C559)&lt;100000000,VALUE($C559),1000000000),IFERROR(IF(VALUE(MID($C559,2,20))&lt;100000000,VALUE(MID($C559,2,20)),1000000000),1000000000))+ROW()/100000,"")</f>
        <v/>
      </c>
    </row>
    <row r="560">
      <c r="E560" s="11" t="n"/>
      <c r="M560" s="7">
        <f>IF($C560="","",L560*U560/100)</f>
        <v/>
      </c>
      <c r="N560" s="7" t="n"/>
      <c r="T560" s="7" t="n"/>
      <c r="U560" s="7">
        <f>IF($C560="","",S560*T560)</f>
        <v/>
      </c>
      <c r="X560">
        <f>IF($C560="","",IF($AM560=1,0,IF($AL560=1,Settings!$C$6,Settings!$C$7))*100)</f>
        <v/>
      </c>
      <c r="AB560" s="7" t="n"/>
      <c r="AE560" s="11" t="n"/>
      <c r="AG560" s="7">
        <f>IF($C560="","",U560*X560/100)</f>
        <v/>
      </c>
      <c r="AH560" s="7">
        <f>IF($C560="","",U560-AG560)</f>
        <v/>
      </c>
      <c r="AI560" s="7">
        <f>IF($C560="","",AH560-M560)</f>
        <v/>
      </c>
      <c r="AJ560">
        <f>IF($C560="","",IF(COUNTIF($C$2:$C560,$C560)=1,1,0))</f>
        <v/>
      </c>
      <c r="AK560">
        <f>IF($AJ560=1,SUMPRODUCT(--($AN$2:$AN$4001&lt;$AN560))+1,"")</f>
        <v/>
      </c>
      <c r="AL560">
        <f>IF($C560="","",IF(OR($Q560=TRUE(),$Q560="TRUE"),1,0))</f>
        <v/>
      </c>
      <c r="AM560">
        <f>IF($C560="","",IF($W560="Yes",1,0))</f>
        <v/>
      </c>
      <c r="AN560">
        <f>IF($AJ560=1,IFERROR(IF(VALUE($C560)&lt;100000000,VALUE($C560),1000000000),IFERROR(IF(VALUE(MID($C560,2,20))&lt;100000000,VALUE(MID($C560,2,20)),1000000000),1000000000))+ROW()/100000,"")</f>
        <v/>
      </c>
    </row>
    <row r="561">
      <c r="E561" s="11" t="n"/>
      <c r="M561" s="7">
        <f>IF($C561="","",L561*U561/100)</f>
        <v/>
      </c>
      <c r="N561" s="7" t="n"/>
      <c r="T561" s="7" t="n"/>
      <c r="U561" s="7">
        <f>IF($C561="","",S561*T561)</f>
        <v/>
      </c>
      <c r="X561">
        <f>IF($C561="","",IF($AM561=1,0,IF($AL561=1,Settings!$C$6,Settings!$C$7))*100)</f>
        <v/>
      </c>
      <c r="AB561" s="7" t="n"/>
      <c r="AE561" s="11" t="n"/>
      <c r="AG561" s="7">
        <f>IF($C561="","",U561*X561/100)</f>
        <v/>
      </c>
      <c r="AH561" s="7">
        <f>IF($C561="","",U561-AG561)</f>
        <v/>
      </c>
      <c r="AI561" s="7">
        <f>IF($C561="","",AH561-M561)</f>
        <v/>
      </c>
      <c r="AJ561">
        <f>IF($C561="","",IF(COUNTIF($C$2:$C561,$C561)=1,1,0))</f>
        <v/>
      </c>
      <c r="AK561">
        <f>IF($AJ561=1,SUMPRODUCT(--($AN$2:$AN$4001&lt;$AN561))+1,"")</f>
        <v/>
      </c>
      <c r="AL561">
        <f>IF($C561="","",IF(OR($Q561=TRUE(),$Q561="TRUE"),1,0))</f>
        <v/>
      </c>
      <c r="AM561">
        <f>IF($C561="","",IF($W561="Yes",1,0))</f>
        <v/>
      </c>
      <c r="AN561">
        <f>IF($AJ561=1,IFERROR(IF(VALUE($C561)&lt;100000000,VALUE($C561),1000000000),IFERROR(IF(VALUE(MID($C561,2,20))&lt;100000000,VALUE(MID($C561,2,20)),1000000000),1000000000))+ROW()/100000,"")</f>
        <v/>
      </c>
    </row>
    <row r="562">
      <c r="E562" s="11" t="n"/>
      <c r="M562" s="7">
        <f>IF($C562="","",L562*U562/100)</f>
        <v/>
      </c>
      <c r="N562" s="7" t="n"/>
      <c r="T562" s="7" t="n"/>
      <c r="U562" s="7">
        <f>IF($C562="","",S562*T562)</f>
        <v/>
      </c>
      <c r="X562">
        <f>IF($C562="","",IF($AM562=1,0,IF($AL562=1,Settings!$C$6,Settings!$C$7))*100)</f>
        <v/>
      </c>
      <c r="AB562" s="7" t="n"/>
      <c r="AE562" s="11" t="n"/>
      <c r="AG562" s="7">
        <f>IF($C562="","",U562*X562/100)</f>
        <v/>
      </c>
      <c r="AH562" s="7">
        <f>IF($C562="","",U562-AG562)</f>
        <v/>
      </c>
      <c r="AI562" s="7">
        <f>IF($C562="","",AH562-M562)</f>
        <v/>
      </c>
      <c r="AJ562">
        <f>IF($C562="","",IF(COUNTIF($C$2:$C562,$C562)=1,1,0))</f>
        <v/>
      </c>
      <c r="AK562">
        <f>IF($AJ562=1,SUMPRODUCT(--($AN$2:$AN$4001&lt;$AN562))+1,"")</f>
        <v/>
      </c>
      <c r="AL562">
        <f>IF($C562="","",IF(OR($Q562=TRUE(),$Q562="TRUE"),1,0))</f>
        <v/>
      </c>
      <c r="AM562">
        <f>IF($C562="","",IF($W562="Yes",1,0))</f>
        <v/>
      </c>
      <c r="AN562">
        <f>IF($AJ562=1,IFERROR(IF(VALUE($C562)&lt;100000000,VALUE($C562),1000000000),IFERROR(IF(VALUE(MID($C562,2,20))&lt;100000000,VALUE(MID($C562,2,20)),1000000000),1000000000))+ROW()/100000,"")</f>
        <v/>
      </c>
    </row>
    <row r="563">
      <c r="E563" s="11" t="n"/>
      <c r="M563" s="7">
        <f>IF($C563="","",L563*U563/100)</f>
        <v/>
      </c>
      <c r="N563" s="7" t="n"/>
      <c r="T563" s="7" t="n"/>
      <c r="U563" s="7">
        <f>IF($C563="","",S563*T563)</f>
        <v/>
      </c>
      <c r="X563">
        <f>IF($C563="","",IF($AM563=1,0,IF($AL563=1,Settings!$C$6,Settings!$C$7))*100)</f>
        <v/>
      </c>
      <c r="AB563" s="7" t="n"/>
      <c r="AE563" s="11" t="n"/>
      <c r="AG563" s="7">
        <f>IF($C563="","",U563*X563/100)</f>
        <v/>
      </c>
      <c r="AH563" s="7">
        <f>IF($C563="","",U563-AG563)</f>
        <v/>
      </c>
      <c r="AI563" s="7">
        <f>IF($C563="","",AH563-M563)</f>
        <v/>
      </c>
      <c r="AJ563">
        <f>IF($C563="","",IF(COUNTIF($C$2:$C563,$C563)=1,1,0))</f>
        <v/>
      </c>
      <c r="AK563">
        <f>IF($AJ563=1,SUMPRODUCT(--($AN$2:$AN$4001&lt;$AN563))+1,"")</f>
        <v/>
      </c>
      <c r="AL563">
        <f>IF($C563="","",IF(OR($Q563=TRUE(),$Q563="TRUE"),1,0))</f>
        <v/>
      </c>
      <c r="AM563">
        <f>IF($C563="","",IF($W563="Yes",1,0))</f>
        <v/>
      </c>
      <c r="AN563">
        <f>IF($AJ563=1,IFERROR(IF(VALUE($C563)&lt;100000000,VALUE($C563),1000000000),IFERROR(IF(VALUE(MID($C563,2,20))&lt;100000000,VALUE(MID($C563,2,20)),1000000000),1000000000))+ROW()/100000,"")</f>
        <v/>
      </c>
    </row>
    <row r="564">
      <c r="E564" s="11" t="n"/>
      <c r="M564" s="7">
        <f>IF($C564="","",L564*U564/100)</f>
        <v/>
      </c>
      <c r="N564" s="7" t="n"/>
      <c r="T564" s="7" t="n"/>
      <c r="U564" s="7">
        <f>IF($C564="","",S564*T564)</f>
        <v/>
      </c>
      <c r="X564">
        <f>IF($C564="","",IF($AM564=1,0,IF($AL564=1,Settings!$C$6,Settings!$C$7))*100)</f>
        <v/>
      </c>
      <c r="AB564" s="7" t="n"/>
      <c r="AE564" s="11" t="n"/>
      <c r="AG564" s="7">
        <f>IF($C564="","",U564*X564/100)</f>
        <v/>
      </c>
      <c r="AH564" s="7">
        <f>IF($C564="","",U564-AG564)</f>
        <v/>
      </c>
      <c r="AI564" s="7">
        <f>IF($C564="","",AH564-M564)</f>
        <v/>
      </c>
      <c r="AJ564">
        <f>IF($C564="","",IF(COUNTIF($C$2:$C564,$C564)=1,1,0))</f>
        <v/>
      </c>
      <c r="AK564">
        <f>IF($AJ564=1,SUMPRODUCT(--($AN$2:$AN$4001&lt;$AN564))+1,"")</f>
        <v/>
      </c>
      <c r="AL564">
        <f>IF($C564="","",IF(OR($Q564=TRUE(),$Q564="TRUE"),1,0))</f>
        <v/>
      </c>
      <c r="AM564">
        <f>IF($C564="","",IF($W564="Yes",1,0))</f>
        <v/>
      </c>
      <c r="AN564">
        <f>IF($AJ564=1,IFERROR(IF(VALUE($C564)&lt;100000000,VALUE($C564),1000000000),IFERROR(IF(VALUE(MID($C564,2,20))&lt;100000000,VALUE(MID($C564,2,20)),1000000000),1000000000))+ROW()/100000,"")</f>
        <v/>
      </c>
    </row>
    <row r="565">
      <c r="E565" s="11" t="n"/>
      <c r="M565" s="7">
        <f>IF($C565="","",L565*U565/100)</f>
        <v/>
      </c>
      <c r="N565" s="7" t="n"/>
      <c r="T565" s="7" t="n"/>
      <c r="U565" s="7">
        <f>IF($C565="","",S565*T565)</f>
        <v/>
      </c>
      <c r="X565">
        <f>IF($C565="","",IF($AM565=1,0,IF($AL565=1,Settings!$C$6,Settings!$C$7))*100)</f>
        <v/>
      </c>
      <c r="AB565" s="7" t="n"/>
      <c r="AE565" s="11" t="n"/>
      <c r="AG565" s="7">
        <f>IF($C565="","",U565*X565/100)</f>
        <v/>
      </c>
      <c r="AH565" s="7">
        <f>IF($C565="","",U565-AG565)</f>
        <v/>
      </c>
      <c r="AI565" s="7">
        <f>IF($C565="","",AH565-M565)</f>
        <v/>
      </c>
      <c r="AJ565">
        <f>IF($C565="","",IF(COUNTIF($C$2:$C565,$C565)=1,1,0))</f>
        <v/>
      </c>
      <c r="AK565">
        <f>IF($AJ565=1,SUMPRODUCT(--($AN$2:$AN$4001&lt;$AN565))+1,"")</f>
        <v/>
      </c>
      <c r="AL565">
        <f>IF($C565="","",IF(OR($Q565=TRUE(),$Q565="TRUE"),1,0))</f>
        <v/>
      </c>
      <c r="AM565">
        <f>IF($C565="","",IF($W565="Yes",1,0))</f>
        <v/>
      </c>
      <c r="AN565">
        <f>IF($AJ565=1,IFERROR(IF(VALUE($C565)&lt;100000000,VALUE($C565),1000000000),IFERROR(IF(VALUE(MID($C565,2,20))&lt;100000000,VALUE(MID($C565,2,20)),1000000000),1000000000))+ROW()/100000,"")</f>
        <v/>
      </c>
    </row>
    <row r="566">
      <c r="E566" s="11" t="n"/>
      <c r="M566" s="7">
        <f>IF($C566="","",L566*U566/100)</f>
        <v/>
      </c>
      <c r="N566" s="7" t="n"/>
      <c r="T566" s="7" t="n"/>
      <c r="U566" s="7">
        <f>IF($C566="","",S566*T566)</f>
        <v/>
      </c>
      <c r="X566">
        <f>IF($C566="","",IF($AM566=1,0,IF($AL566=1,Settings!$C$6,Settings!$C$7))*100)</f>
        <v/>
      </c>
      <c r="AB566" s="7" t="n"/>
      <c r="AE566" s="11" t="n"/>
      <c r="AG566" s="7">
        <f>IF($C566="","",U566*X566/100)</f>
        <v/>
      </c>
      <c r="AH566" s="7">
        <f>IF($C566="","",U566-AG566)</f>
        <v/>
      </c>
      <c r="AI566" s="7">
        <f>IF($C566="","",AH566-M566)</f>
        <v/>
      </c>
      <c r="AJ566">
        <f>IF($C566="","",IF(COUNTIF($C$2:$C566,$C566)=1,1,0))</f>
        <v/>
      </c>
      <c r="AK566">
        <f>IF($AJ566=1,SUMPRODUCT(--($AN$2:$AN$4001&lt;$AN566))+1,"")</f>
        <v/>
      </c>
      <c r="AL566">
        <f>IF($C566="","",IF(OR($Q566=TRUE(),$Q566="TRUE"),1,0))</f>
        <v/>
      </c>
      <c r="AM566">
        <f>IF($C566="","",IF($W566="Yes",1,0))</f>
        <v/>
      </c>
      <c r="AN566">
        <f>IF($AJ566=1,IFERROR(IF(VALUE($C566)&lt;100000000,VALUE($C566),1000000000),IFERROR(IF(VALUE(MID($C566,2,20))&lt;100000000,VALUE(MID($C566,2,20)),1000000000),1000000000))+ROW()/100000,"")</f>
        <v/>
      </c>
    </row>
    <row r="567">
      <c r="E567" s="11" t="n"/>
      <c r="M567" s="7">
        <f>IF($C567="","",L567*U567/100)</f>
        <v/>
      </c>
      <c r="N567" s="7" t="n"/>
      <c r="T567" s="7" t="n"/>
      <c r="U567" s="7">
        <f>IF($C567="","",S567*T567)</f>
        <v/>
      </c>
      <c r="X567">
        <f>IF($C567="","",IF($AM567=1,0,IF($AL567=1,Settings!$C$6,Settings!$C$7))*100)</f>
        <v/>
      </c>
      <c r="AB567" s="7" t="n"/>
      <c r="AE567" s="11" t="n"/>
      <c r="AG567" s="7">
        <f>IF($C567="","",U567*X567/100)</f>
        <v/>
      </c>
      <c r="AH567" s="7">
        <f>IF($C567="","",U567-AG567)</f>
        <v/>
      </c>
      <c r="AI567" s="7">
        <f>IF($C567="","",AH567-M567)</f>
        <v/>
      </c>
      <c r="AJ567">
        <f>IF($C567="","",IF(COUNTIF($C$2:$C567,$C567)=1,1,0))</f>
        <v/>
      </c>
      <c r="AK567">
        <f>IF($AJ567=1,SUMPRODUCT(--($AN$2:$AN$4001&lt;$AN567))+1,"")</f>
        <v/>
      </c>
      <c r="AL567">
        <f>IF($C567="","",IF(OR($Q567=TRUE(),$Q567="TRUE"),1,0))</f>
        <v/>
      </c>
      <c r="AM567">
        <f>IF($C567="","",IF($W567="Yes",1,0))</f>
        <v/>
      </c>
      <c r="AN567">
        <f>IF($AJ567=1,IFERROR(IF(VALUE($C567)&lt;100000000,VALUE($C567),1000000000),IFERROR(IF(VALUE(MID($C567,2,20))&lt;100000000,VALUE(MID($C567,2,20)),1000000000),1000000000))+ROW()/100000,"")</f>
        <v/>
      </c>
    </row>
    <row r="568">
      <c r="E568" s="11" t="n"/>
      <c r="M568" s="7">
        <f>IF($C568="","",L568*U568/100)</f>
        <v/>
      </c>
      <c r="N568" s="7" t="n"/>
      <c r="T568" s="7" t="n"/>
      <c r="U568" s="7">
        <f>IF($C568="","",S568*T568)</f>
        <v/>
      </c>
      <c r="X568">
        <f>IF($C568="","",IF($AM568=1,0,IF($AL568=1,Settings!$C$6,Settings!$C$7))*100)</f>
        <v/>
      </c>
      <c r="AB568" s="7" t="n"/>
      <c r="AE568" s="11" t="n"/>
      <c r="AG568" s="7">
        <f>IF($C568="","",U568*X568/100)</f>
        <v/>
      </c>
      <c r="AH568" s="7">
        <f>IF($C568="","",U568-AG568)</f>
        <v/>
      </c>
      <c r="AI568" s="7">
        <f>IF($C568="","",AH568-M568)</f>
        <v/>
      </c>
      <c r="AJ568">
        <f>IF($C568="","",IF(COUNTIF($C$2:$C568,$C568)=1,1,0))</f>
        <v/>
      </c>
      <c r="AK568">
        <f>IF($AJ568=1,SUMPRODUCT(--($AN$2:$AN$4001&lt;$AN568))+1,"")</f>
        <v/>
      </c>
      <c r="AL568">
        <f>IF($C568="","",IF(OR($Q568=TRUE(),$Q568="TRUE"),1,0))</f>
        <v/>
      </c>
      <c r="AM568">
        <f>IF($C568="","",IF($W568="Yes",1,0))</f>
        <v/>
      </c>
      <c r="AN568">
        <f>IF($AJ568=1,IFERROR(IF(VALUE($C568)&lt;100000000,VALUE($C568),1000000000),IFERROR(IF(VALUE(MID($C568,2,20))&lt;100000000,VALUE(MID($C568,2,20)),1000000000),1000000000))+ROW()/100000,"")</f>
        <v/>
      </c>
    </row>
    <row r="569">
      <c r="E569" s="11" t="n"/>
      <c r="M569" s="7">
        <f>IF($C569="","",L569*U569/100)</f>
        <v/>
      </c>
      <c r="N569" s="7" t="n"/>
      <c r="T569" s="7" t="n"/>
      <c r="U569" s="7">
        <f>IF($C569="","",S569*T569)</f>
        <v/>
      </c>
      <c r="X569">
        <f>IF($C569="","",IF($AM569=1,0,IF($AL569=1,Settings!$C$6,Settings!$C$7))*100)</f>
        <v/>
      </c>
      <c r="AB569" s="7" t="n"/>
      <c r="AE569" s="11" t="n"/>
      <c r="AG569" s="7">
        <f>IF($C569="","",U569*X569/100)</f>
        <v/>
      </c>
      <c r="AH569" s="7">
        <f>IF($C569="","",U569-AG569)</f>
        <v/>
      </c>
      <c r="AI569" s="7">
        <f>IF($C569="","",AH569-M569)</f>
        <v/>
      </c>
      <c r="AJ569">
        <f>IF($C569="","",IF(COUNTIF($C$2:$C569,$C569)=1,1,0))</f>
        <v/>
      </c>
      <c r="AK569">
        <f>IF($AJ569=1,SUMPRODUCT(--($AN$2:$AN$4001&lt;$AN569))+1,"")</f>
        <v/>
      </c>
      <c r="AL569">
        <f>IF($C569="","",IF(OR($Q569=TRUE(),$Q569="TRUE"),1,0))</f>
        <v/>
      </c>
      <c r="AM569">
        <f>IF($C569="","",IF($W569="Yes",1,0))</f>
        <v/>
      </c>
      <c r="AN569">
        <f>IF($AJ569=1,IFERROR(IF(VALUE($C569)&lt;100000000,VALUE($C569),1000000000),IFERROR(IF(VALUE(MID($C569,2,20))&lt;100000000,VALUE(MID($C569,2,20)),1000000000),1000000000))+ROW()/100000,"")</f>
        <v/>
      </c>
    </row>
    <row r="570">
      <c r="E570" s="11" t="n"/>
      <c r="M570" s="7">
        <f>IF($C570="","",L570*U570/100)</f>
        <v/>
      </c>
      <c r="N570" s="7" t="n"/>
      <c r="T570" s="7" t="n"/>
      <c r="U570" s="7">
        <f>IF($C570="","",S570*T570)</f>
        <v/>
      </c>
      <c r="X570">
        <f>IF($C570="","",IF($AM570=1,0,IF($AL570=1,Settings!$C$6,Settings!$C$7))*100)</f>
        <v/>
      </c>
      <c r="AB570" s="7" t="n"/>
      <c r="AE570" s="11" t="n"/>
      <c r="AG570" s="7">
        <f>IF($C570="","",U570*X570/100)</f>
        <v/>
      </c>
      <c r="AH570" s="7">
        <f>IF($C570="","",U570-AG570)</f>
        <v/>
      </c>
      <c r="AI570" s="7">
        <f>IF($C570="","",AH570-M570)</f>
        <v/>
      </c>
      <c r="AJ570">
        <f>IF($C570="","",IF(COUNTIF($C$2:$C570,$C570)=1,1,0))</f>
        <v/>
      </c>
      <c r="AK570">
        <f>IF($AJ570=1,SUMPRODUCT(--($AN$2:$AN$4001&lt;$AN570))+1,"")</f>
        <v/>
      </c>
      <c r="AL570">
        <f>IF($C570="","",IF(OR($Q570=TRUE(),$Q570="TRUE"),1,0))</f>
        <v/>
      </c>
      <c r="AM570">
        <f>IF($C570="","",IF($W570="Yes",1,0))</f>
        <v/>
      </c>
      <c r="AN570">
        <f>IF($AJ570=1,IFERROR(IF(VALUE($C570)&lt;100000000,VALUE($C570),1000000000),IFERROR(IF(VALUE(MID($C570,2,20))&lt;100000000,VALUE(MID($C570,2,20)),1000000000),1000000000))+ROW()/100000,"")</f>
        <v/>
      </c>
    </row>
    <row r="571">
      <c r="E571" s="11" t="n"/>
      <c r="M571" s="7">
        <f>IF($C571="","",L571*U571/100)</f>
        <v/>
      </c>
      <c r="N571" s="7" t="n"/>
      <c r="T571" s="7" t="n"/>
      <c r="U571" s="7">
        <f>IF($C571="","",S571*T571)</f>
        <v/>
      </c>
      <c r="X571">
        <f>IF($C571="","",IF($AM571=1,0,IF($AL571=1,Settings!$C$6,Settings!$C$7))*100)</f>
        <v/>
      </c>
      <c r="AB571" s="7" t="n"/>
      <c r="AE571" s="11" t="n"/>
      <c r="AG571" s="7">
        <f>IF($C571="","",U571*X571/100)</f>
        <v/>
      </c>
      <c r="AH571" s="7">
        <f>IF($C571="","",U571-AG571)</f>
        <v/>
      </c>
      <c r="AI571" s="7">
        <f>IF($C571="","",AH571-M571)</f>
        <v/>
      </c>
      <c r="AJ571">
        <f>IF($C571="","",IF(COUNTIF($C$2:$C571,$C571)=1,1,0))</f>
        <v/>
      </c>
      <c r="AK571">
        <f>IF($AJ571=1,SUMPRODUCT(--($AN$2:$AN$4001&lt;$AN571))+1,"")</f>
        <v/>
      </c>
      <c r="AL571">
        <f>IF($C571="","",IF(OR($Q571=TRUE(),$Q571="TRUE"),1,0))</f>
        <v/>
      </c>
      <c r="AM571">
        <f>IF($C571="","",IF($W571="Yes",1,0))</f>
        <v/>
      </c>
      <c r="AN571">
        <f>IF($AJ571=1,IFERROR(IF(VALUE($C571)&lt;100000000,VALUE($C571),1000000000),IFERROR(IF(VALUE(MID($C571,2,20))&lt;100000000,VALUE(MID($C571,2,20)),1000000000),1000000000))+ROW()/100000,"")</f>
        <v/>
      </c>
    </row>
    <row r="572">
      <c r="E572" s="11" t="n"/>
      <c r="M572" s="7">
        <f>IF($C572="","",L572*U572/100)</f>
        <v/>
      </c>
      <c r="N572" s="7" t="n"/>
      <c r="T572" s="7" t="n"/>
      <c r="U572" s="7">
        <f>IF($C572="","",S572*T572)</f>
        <v/>
      </c>
      <c r="X572">
        <f>IF($C572="","",IF($AM572=1,0,IF($AL572=1,Settings!$C$6,Settings!$C$7))*100)</f>
        <v/>
      </c>
      <c r="AB572" s="7" t="n"/>
      <c r="AE572" s="11" t="n"/>
      <c r="AG572" s="7">
        <f>IF($C572="","",U572*X572/100)</f>
        <v/>
      </c>
      <c r="AH572" s="7">
        <f>IF($C572="","",U572-AG572)</f>
        <v/>
      </c>
      <c r="AI572" s="7">
        <f>IF($C572="","",AH572-M572)</f>
        <v/>
      </c>
      <c r="AJ572">
        <f>IF($C572="","",IF(COUNTIF($C$2:$C572,$C572)=1,1,0))</f>
        <v/>
      </c>
      <c r="AK572">
        <f>IF($AJ572=1,SUMPRODUCT(--($AN$2:$AN$4001&lt;$AN572))+1,"")</f>
        <v/>
      </c>
      <c r="AL572">
        <f>IF($C572="","",IF(OR($Q572=TRUE(),$Q572="TRUE"),1,0))</f>
        <v/>
      </c>
      <c r="AM572">
        <f>IF($C572="","",IF($W572="Yes",1,0))</f>
        <v/>
      </c>
      <c r="AN572">
        <f>IF($AJ572=1,IFERROR(IF(VALUE($C572)&lt;100000000,VALUE($C572),1000000000),IFERROR(IF(VALUE(MID($C572,2,20))&lt;100000000,VALUE(MID($C572,2,20)),1000000000),1000000000))+ROW()/100000,"")</f>
        <v/>
      </c>
    </row>
    <row r="573">
      <c r="E573" s="11" t="n"/>
      <c r="M573" s="7">
        <f>IF($C573="","",L573*U573/100)</f>
        <v/>
      </c>
      <c r="N573" s="7" t="n"/>
      <c r="T573" s="7" t="n"/>
      <c r="U573" s="7">
        <f>IF($C573="","",S573*T573)</f>
        <v/>
      </c>
      <c r="X573">
        <f>IF($C573="","",IF($AM573=1,0,IF($AL573=1,Settings!$C$6,Settings!$C$7))*100)</f>
        <v/>
      </c>
      <c r="AB573" s="7" t="n"/>
      <c r="AE573" s="11" t="n"/>
      <c r="AG573" s="7">
        <f>IF($C573="","",U573*X573/100)</f>
        <v/>
      </c>
      <c r="AH573" s="7">
        <f>IF($C573="","",U573-AG573)</f>
        <v/>
      </c>
      <c r="AI573" s="7">
        <f>IF($C573="","",AH573-M573)</f>
        <v/>
      </c>
      <c r="AJ573">
        <f>IF($C573="","",IF(COUNTIF($C$2:$C573,$C573)=1,1,0))</f>
        <v/>
      </c>
      <c r="AK573">
        <f>IF($AJ573=1,SUMPRODUCT(--($AN$2:$AN$4001&lt;$AN573))+1,"")</f>
        <v/>
      </c>
      <c r="AL573">
        <f>IF($C573="","",IF(OR($Q573=TRUE(),$Q573="TRUE"),1,0))</f>
        <v/>
      </c>
      <c r="AM573">
        <f>IF($C573="","",IF($W573="Yes",1,0))</f>
        <v/>
      </c>
      <c r="AN573">
        <f>IF($AJ573=1,IFERROR(IF(VALUE($C573)&lt;100000000,VALUE($C573),1000000000),IFERROR(IF(VALUE(MID($C573,2,20))&lt;100000000,VALUE(MID($C573,2,20)),1000000000),1000000000))+ROW()/100000,"")</f>
        <v/>
      </c>
    </row>
    <row r="574">
      <c r="E574" s="11" t="n"/>
      <c r="M574" s="7">
        <f>IF($C574="","",L574*U574/100)</f>
        <v/>
      </c>
      <c r="N574" s="7" t="n"/>
      <c r="T574" s="7" t="n"/>
      <c r="U574" s="7">
        <f>IF($C574="","",S574*T574)</f>
        <v/>
      </c>
      <c r="X574">
        <f>IF($C574="","",IF($AM574=1,0,IF($AL574=1,Settings!$C$6,Settings!$C$7))*100)</f>
        <v/>
      </c>
      <c r="AB574" s="7" t="n"/>
      <c r="AE574" s="11" t="n"/>
      <c r="AG574" s="7">
        <f>IF($C574="","",U574*X574/100)</f>
        <v/>
      </c>
      <c r="AH574" s="7">
        <f>IF($C574="","",U574-AG574)</f>
        <v/>
      </c>
      <c r="AI574" s="7">
        <f>IF($C574="","",AH574-M574)</f>
        <v/>
      </c>
      <c r="AJ574">
        <f>IF($C574="","",IF(COUNTIF($C$2:$C574,$C574)=1,1,0))</f>
        <v/>
      </c>
      <c r="AK574">
        <f>IF($AJ574=1,SUMPRODUCT(--($AN$2:$AN$4001&lt;$AN574))+1,"")</f>
        <v/>
      </c>
      <c r="AL574">
        <f>IF($C574="","",IF(OR($Q574=TRUE(),$Q574="TRUE"),1,0))</f>
        <v/>
      </c>
      <c r="AM574">
        <f>IF($C574="","",IF($W574="Yes",1,0))</f>
        <v/>
      </c>
      <c r="AN574">
        <f>IF($AJ574=1,IFERROR(IF(VALUE($C574)&lt;100000000,VALUE($C574),1000000000),IFERROR(IF(VALUE(MID($C574,2,20))&lt;100000000,VALUE(MID($C574,2,20)),1000000000),1000000000))+ROW()/100000,"")</f>
        <v/>
      </c>
    </row>
    <row r="575">
      <c r="E575" s="11" t="n"/>
      <c r="M575" s="7">
        <f>IF($C575="","",L575*U575/100)</f>
        <v/>
      </c>
      <c r="N575" s="7" t="n"/>
      <c r="T575" s="7" t="n"/>
      <c r="U575" s="7">
        <f>IF($C575="","",S575*T575)</f>
        <v/>
      </c>
      <c r="X575">
        <f>IF($C575="","",IF($AM575=1,0,IF($AL575=1,Settings!$C$6,Settings!$C$7))*100)</f>
        <v/>
      </c>
      <c r="AB575" s="7" t="n"/>
      <c r="AE575" s="11" t="n"/>
      <c r="AG575" s="7">
        <f>IF($C575="","",U575*X575/100)</f>
        <v/>
      </c>
      <c r="AH575" s="7">
        <f>IF($C575="","",U575-AG575)</f>
        <v/>
      </c>
      <c r="AI575" s="7">
        <f>IF($C575="","",AH575-M575)</f>
        <v/>
      </c>
      <c r="AJ575">
        <f>IF($C575="","",IF(COUNTIF($C$2:$C575,$C575)=1,1,0))</f>
        <v/>
      </c>
      <c r="AK575">
        <f>IF($AJ575=1,SUMPRODUCT(--($AN$2:$AN$4001&lt;$AN575))+1,"")</f>
        <v/>
      </c>
      <c r="AL575">
        <f>IF($C575="","",IF(OR($Q575=TRUE(),$Q575="TRUE"),1,0))</f>
        <v/>
      </c>
      <c r="AM575">
        <f>IF($C575="","",IF($W575="Yes",1,0))</f>
        <v/>
      </c>
      <c r="AN575">
        <f>IF($AJ575=1,IFERROR(IF(VALUE($C575)&lt;100000000,VALUE($C575),1000000000),IFERROR(IF(VALUE(MID($C575,2,20))&lt;100000000,VALUE(MID($C575,2,20)),1000000000),1000000000))+ROW()/100000,"")</f>
        <v/>
      </c>
    </row>
    <row r="576">
      <c r="E576" s="11" t="n"/>
      <c r="M576" s="7">
        <f>IF($C576="","",L576*U576/100)</f>
        <v/>
      </c>
      <c r="N576" s="7" t="n"/>
      <c r="T576" s="7" t="n"/>
      <c r="U576" s="7">
        <f>IF($C576="","",S576*T576)</f>
        <v/>
      </c>
      <c r="X576">
        <f>IF($C576="","",IF($AM576=1,0,IF($AL576=1,Settings!$C$6,Settings!$C$7))*100)</f>
        <v/>
      </c>
      <c r="AB576" s="7" t="n"/>
      <c r="AE576" s="11" t="n"/>
      <c r="AG576" s="7">
        <f>IF($C576="","",U576*X576/100)</f>
        <v/>
      </c>
      <c r="AH576" s="7">
        <f>IF($C576="","",U576-AG576)</f>
        <v/>
      </c>
      <c r="AI576" s="7">
        <f>IF($C576="","",AH576-M576)</f>
        <v/>
      </c>
      <c r="AJ576">
        <f>IF($C576="","",IF(COUNTIF($C$2:$C576,$C576)=1,1,0))</f>
        <v/>
      </c>
      <c r="AK576">
        <f>IF($AJ576=1,SUMPRODUCT(--($AN$2:$AN$4001&lt;$AN576))+1,"")</f>
        <v/>
      </c>
      <c r="AL576">
        <f>IF($C576="","",IF(OR($Q576=TRUE(),$Q576="TRUE"),1,0))</f>
        <v/>
      </c>
      <c r="AM576">
        <f>IF($C576="","",IF($W576="Yes",1,0))</f>
        <v/>
      </c>
      <c r="AN576">
        <f>IF($AJ576=1,IFERROR(IF(VALUE($C576)&lt;100000000,VALUE($C576),1000000000),IFERROR(IF(VALUE(MID($C576,2,20))&lt;100000000,VALUE(MID($C576,2,20)),1000000000),1000000000))+ROW()/100000,"")</f>
        <v/>
      </c>
    </row>
    <row r="577">
      <c r="E577" s="11" t="n"/>
      <c r="M577" s="7">
        <f>IF($C577="","",L577*U577/100)</f>
        <v/>
      </c>
      <c r="N577" s="7" t="n"/>
      <c r="T577" s="7" t="n"/>
      <c r="U577" s="7">
        <f>IF($C577="","",S577*T577)</f>
        <v/>
      </c>
      <c r="X577">
        <f>IF($C577="","",IF($AM577=1,0,IF($AL577=1,Settings!$C$6,Settings!$C$7))*100)</f>
        <v/>
      </c>
      <c r="AB577" s="7" t="n"/>
      <c r="AE577" s="11" t="n"/>
      <c r="AG577" s="7">
        <f>IF($C577="","",U577*X577/100)</f>
        <v/>
      </c>
      <c r="AH577" s="7">
        <f>IF($C577="","",U577-AG577)</f>
        <v/>
      </c>
      <c r="AI577" s="7">
        <f>IF($C577="","",AH577-M577)</f>
        <v/>
      </c>
      <c r="AJ577">
        <f>IF($C577="","",IF(COUNTIF($C$2:$C577,$C577)=1,1,0))</f>
        <v/>
      </c>
      <c r="AK577">
        <f>IF($AJ577=1,SUMPRODUCT(--($AN$2:$AN$4001&lt;$AN577))+1,"")</f>
        <v/>
      </c>
      <c r="AL577">
        <f>IF($C577="","",IF(OR($Q577=TRUE(),$Q577="TRUE"),1,0))</f>
        <v/>
      </c>
      <c r="AM577">
        <f>IF($C577="","",IF($W577="Yes",1,0))</f>
        <v/>
      </c>
      <c r="AN577">
        <f>IF($AJ577=1,IFERROR(IF(VALUE($C577)&lt;100000000,VALUE($C577),1000000000),IFERROR(IF(VALUE(MID($C577,2,20))&lt;100000000,VALUE(MID($C577,2,20)),1000000000),1000000000))+ROW()/100000,"")</f>
        <v/>
      </c>
    </row>
    <row r="578">
      <c r="E578" s="11" t="n"/>
      <c r="M578" s="7">
        <f>IF($C578="","",L578*U578/100)</f>
        <v/>
      </c>
      <c r="N578" s="7" t="n"/>
      <c r="T578" s="7" t="n"/>
      <c r="U578" s="7">
        <f>IF($C578="","",S578*T578)</f>
        <v/>
      </c>
      <c r="X578">
        <f>IF($C578="","",IF($AM578=1,0,IF($AL578=1,Settings!$C$6,Settings!$C$7))*100)</f>
        <v/>
      </c>
      <c r="AB578" s="7" t="n"/>
      <c r="AE578" s="11" t="n"/>
      <c r="AG578" s="7">
        <f>IF($C578="","",U578*X578/100)</f>
        <v/>
      </c>
      <c r="AH578" s="7">
        <f>IF($C578="","",U578-AG578)</f>
        <v/>
      </c>
      <c r="AI578" s="7">
        <f>IF($C578="","",AH578-M578)</f>
        <v/>
      </c>
      <c r="AJ578">
        <f>IF($C578="","",IF(COUNTIF($C$2:$C578,$C578)=1,1,0))</f>
        <v/>
      </c>
      <c r="AK578">
        <f>IF($AJ578=1,SUMPRODUCT(--($AN$2:$AN$4001&lt;$AN578))+1,"")</f>
        <v/>
      </c>
      <c r="AL578">
        <f>IF($C578="","",IF(OR($Q578=TRUE(),$Q578="TRUE"),1,0))</f>
        <v/>
      </c>
      <c r="AM578">
        <f>IF($C578="","",IF($W578="Yes",1,0))</f>
        <v/>
      </c>
      <c r="AN578">
        <f>IF($AJ578=1,IFERROR(IF(VALUE($C578)&lt;100000000,VALUE($C578),1000000000),IFERROR(IF(VALUE(MID($C578,2,20))&lt;100000000,VALUE(MID($C578,2,20)),1000000000),1000000000))+ROW()/100000,"")</f>
        <v/>
      </c>
    </row>
    <row r="579">
      <c r="E579" s="11" t="n"/>
      <c r="M579" s="7">
        <f>IF($C579="","",L579*U579/100)</f>
        <v/>
      </c>
      <c r="N579" s="7" t="n"/>
      <c r="T579" s="7" t="n"/>
      <c r="U579" s="7">
        <f>IF($C579="","",S579*T579)</f>
        <v/>
      </c>
      <c r="X579">
        <f>IF($C579="","",IF($AM579=1,0,IF($AL579=1,Settings!$C$6,Settings!$C$7))*100)</f>
        <v/>
      </c>
      <c r="AB579" s="7" t="n"/>
      <c r="AE579" s="11" t="n"/>
      <c r="AG579" s="7">
        <f>IF($C579="","",U579*X579/100)</f>
        <v/>
      </c>
      <c r="AH579" s="7">
        <f>IF($C579="","",U579-AG579)</f>
        <v/>
      </c>
      <c r="AI579" s="7">
        <f>IF($C579="","",AH579-M579)</f>
        <v/>
      </c>
      <c r="AJ579">
        <f>IF($C579="","",IF(COUNTIF($C$2:$C579,$C579)=1,1,0))</f>
        <v/>
      </c>
      <c r="AK579">
        <f>IF($AJ579=1,SUMPRODUCT(--($AN$2:$AN$4001&lt;$AN579))+1,"")</f>
        <v/>
      </c>
      <c r="AL579">
        <f>IF($C579="","",IF(OR($Q579=TRUE(),$Q579="TRUE"),1,0))</f>
        <v/>
      </c>
      <c r="AM579">
        <f>IF($C579="","",IF($W579="Yes",1,0))</f>
        <v/>
      </c>
      <c r="AN579">
        <f>IF($AJ579=1,IFERROR(IF(VALUE($C579)&lt;100000000,VALUE($C579),1000000000),IFERROR(IF(VALUE(MID($C579,2,20))&lt;100000000,VALUE(MID($C579,2,20)),1000000000),1000000000))+ROW()/100000,"")</f>
        <v/>
      </c>
    </row>
    <row r="580">
      <c r="E580" s="11" t="n"/>
      <c r="M580" s="7">
        <f>IF($C580="","",L580*U580/100)</f>
        <v/>
      </c>
      <c r="N580" s="7" t="n"/>
      <c r="T580" s="7" t="n"/>
      <c r="U580" s="7">
        <f>IF($C580="","",S580*T580)</f>
        <v/>
      </c>
      <c r="X580">
        <f>IF($C580="","",IF($AM580=1,0,IF($AL580=1,Settings!$C$6,Settings!$C$7))*100)</f>
        <v/>
      </c>
      <c r="AB580" s="7" t="n"/>
      <c r="AE580" s="11" t="n"/>
      <c r="AG580" s="7">
        <f>IF($C580="","",U580*X580/100)</f>
        <v/>
      </c>
      <c r="AH580" s="7">
        <f>IF($C580="","",U580-AG580)</f>
        <v/>
      </c>
      <c r="AI580" s="7">
        <f>IF($C580="","",AH580-M580)</f>
        <v/>
      </c>
      <c r="AJ580">
        <f>IF($C580="","",IF(COUNTIF($C$2:$C580,$C580)=1,1,0))</f>
        <v/>
      </c>
      <c r="AK580">
        <f>IF($AJ580=1,SUMPRODUCT(--($AN$2:$AN$4001&lt;$AN580))+1,"")</f>
        <v/>
      </c>
      <c r="AL580">
        <f>IF($C580="","",IF(OR($Q580=TRUE(),$Q580="TRUE"),1,0))</f>
        <v/>
      </c>
      <c r="AM580">
        <f>IF($C580="","",IF($W580="Yes",1,0))</f>
        <v/>
      </c>
      <c r="AN580">
        <f>IF($AJ580=1,IFERROR(IF(VALUE($C580)&lt;100000000,VALUE($C580),1000000000),IFERROR(IF(VALUE(MID($C580,2,20))&lt;100000000,VALUE(MID($C580,2,20)),1000000000),1000000000))+ROW()/100000,"")</f>
        <v/>
      </c>
    </row>
    <row r="581">
      <c r="E581" s="11" t="n"/>
      <c r="M581" s="7">
        <f>IF($C581="","",L581*U581/100)</f>
        <v/>
      </c>
      <c r="N581" s="7" t="n"/>
      <c r="T581" s="7" t="n"/>
      <c r="U581" s="7">
        <f>IF($C581="","",S581*T581)</f>
        <v/>
      </c>
      <c r="X581">
        <f>IF($C581="","",IF($AM581=1,0,IF($AL581=1,Settings!$C$6,Settings!$C$7))*100)</f>
        <v/>
      </c>
      <c r="AB581" s="7" t="n"/>
      <c r="AE581" s="11" t="n"/>
      <c r="AG581" s="7">
        <f>IF($C581="","",U581*X581/100)</f>
        <v/>
      </c>
      <c r="AH581" s="7">
        <f>IF($C581="","",U581-AG581)</f>
        <v/>
      </c>
      <c r="AI581" s="7">
        <f>IF($C581="","",AH581-M581)</f>
        <v/>
      </c>
      <c r="AJ581">
        <f>IF($C581="","",IF(COUNTIF($C$2:$C581,$C581)=1,1,0))</f>
        <v/>
      </c>
      <c r="AK581">
        <f>IF($AJ581=1,SUMPRODUCT(--($AN$2:$AN$4001&lt;$AN581))+1,"")</f>
        <v/>
      </c>
      <c r="AL581">
        <f>IF($C581="","",IF(OR($Q581=TRUE(),$Q581="TRUE"),1,0))</f>
        <v/>
      </c>
      <c r="AM581">
        <f>IF($C581="","",IF($W581="Yes",1,0))</f>
        <v/>
      </c>
      <c r="AN581">
        <f>IF($AJ581=1,IFERROR(IF(VALUE($C581)&lt;100000000,VALUE($C581),1000000000),IFERROR(IF(VALUE(MID($C581,2,20))&lt;100000000,VALUE(MID($C581,2,20)),1000000000),1000000000))+ROW()/100000,"")</f>
        <v/>
      </c>
    </row>
    <row r="582">
      <c r="E582" s="11" t="n"/>
      <c r="M582" s="7">
        <f>IF($C582="","",L582*U582/100)</f>
        <v/>
      </c>
      <c r="N582" s="7" t="n"/>
      <c r="T582" s="7" t="n"/>
      <c r="U582" s="7">
        <f>IF($C582="","",S582*T582)</f>
        <v/>
      </c>
      <c r="X582">
        <f>IF($C582="","",IF($AM582=1,0,IF($AL582=1,Settings!$C$6,Settings!$C$7))*100)</f>
        <v/>
      </c>
      <c r="AB582" s="7" t="n"/>
      <c r="AE582" s="11" t="n"/>
      <c r="AG582" s="7">
        <f>IF($C582="","",U582*X582/100)</f>
        <v/>
      </c>
      <c r="AH582" s="7">
        <f>IF($C582="","",U582-AG582)</f>
        <v/>
      </c>
      <c r="AI582" s="7">
        <f>IF($C582="","",AH582-M582)</f>
        <v/>
      </c>
      <c r="AJ582">
        <f>IF($C582="","",IF(COUNTIF($C$2:$C582,$C582)=1,1,0))</f>
        <v/>
      </c>
      <c r="AK582">
        <f>IF($AJ582=1,SUMPRODUCT(--($AN$2:$AN$4001&lt;$AN582))+1,"")</f>
        <v/>
      </c>
      <c r="AL582">
        <f>IF($C582="","",IF(OR($Q582=TRUE(),$Q582="TRUE"),1,0))</f>
        <v/>
      </c>
      <c r="AM582">
        <f>IF($C582="","",IF($W582="Yes",1,0))</f>
        <v/>
      </c>
      <c r="AN582">
        <f>IF($AJ582=1,IFERROR(IF(VALUE($C582)&lt;100000000,VALUE($C582),1000000000),IFERROR(IF(VALUE(MID($C582,2,20))&lt;100000000,VALUE(MID($C582,2,20)),1000000000),1000000000))+ROW()/100000,"")</f>
        <v/>
      </c>
    </row>
    <row r="583">
      <c r="E583" s="11" t="n"/>
      <c r="M583" s="7">
        <f>IF($C583="","",L583*U583/100)</f>
        <v/>
      </c>
      <c r="N583" s="7" t="n"/>
      <c r="T583" s="7" t="n"/>
      <c r="U583" s="7">
        <f>IF($C583="","",S583*T583)</f>
        <v/>
      </c>
      <c r="X583">
        <f>IF($C583="","",IF($AM583=1,0,IF($AL583=1,Settings!$C$6,Settings!$C$7))*100)</f>
        <v/>
      </c>
      <c r="AB583" s="7" t="n"/>
      <c r="AE583" s="11" t="n"/>
      <c r="AG583" s="7">
        <f>IF($C583="","",U583*X583/100)</f>
        <v/>
      </c>
      <c r="AH583" s="7">
        <f>IF($C583="","",U583-AG583)</f>
        <v/>
      </c>
      <c r="AI583" s="7">
        <f>IF($C583="","",AH583-M583)</f>
        <v/>
      </c>
      <c r="AJ583">
        <f>IF($C583="","",IF(COUNTIF($C$2:$C583,$C583)=1,1,0))</f>
        <v/>
      </c>
      <c r="AK583">
        <f>IF($AJ583=1,SUMPRODUCT(--($AN$2:$AN$4001&lt;$AN583))+1,"")</f>
        <v/>
      </c>
      <c r="AL583">
        <f>IF($C583="","",IF(OR($Q583=TRUE(),$Q583="TRUE"),1,0))</f>
        <v/>
      </c>
      <c r="AM583">
        <f>IF($C583="","",IF($W583="Yes",1,0))</f>
        <v/>
      </c>
      <c r="AN583">
        <f>IF($AJ583=1,IFERROR(IF(VALUE($C583)&lt;100000000,VALUE($C583),1000000000),IFERROR(IF(VALUE(MID($C583,2,20))&lt;100000000,VALUE(MID($C583,2,20)),1000000000),1000000000))+ROW()/100000,"")</f>
        <v/>
      </c>
    </row>
    <row r="584">
      <c r="E584" s="11" t="n"/>
      <c r="M584" s="7">
        <f>IF($C584="","",L584*U584/100)</f>
        <v/>
      </c>
      <c r="N584" s="7" t="n"/>
      <c r="T584" s="7" t="n"/>
      <c r="U584" s="7">
        <f>IF($C584="","",S584*T584)</f>
        <v/>
      </c>
      <c r="X584">
        <f>IF($C584="","",IF($AM584=1,0,IF($AL584=1,Settings!$C$6,Settings!$C$7))*100)</f>
        <v/>
      </c>
      <c r="AB584" s="7" t="n"/>
      <c r="AE584" s="11" t="n"/>
      <c r="AG584" s="7">
        <f>IF($C584="","",U584*X584/100)</f>
        <v/>
      </c>
      <c r="AH584" s="7">
        <f>IF($C584="","",U584-AG584)</f>
        <v/>
      </c>
      <c r="AI584" s="7">
        <f>IF($C584="","",AH584-M584)</f>
        <v/>
      </c>
      <c r="AJ584">
        <f>IF($C584="","",IF(COUNTIF($C$2:$C584,$C584)=1,1,0))</f>
        <v/>
      </c>
      <c r="AK584">
        <f>IF($AJ584=1,SUMPRODUCT(--($AN$2:$AN$4001&lt;$AN584))+1,"")</f>
        <v/>
      </c>
      <c r="AL584">
        <f>IF($C584="","",IF(OR($Q584=TRUE(),$Q584="TRUE"),1,0))</f>
        <v/>
      </c>
      <c r="AM584">
        <f>IF($C584="","",IF($W584="Yes",1,0))</f>
        <v/>
      </c>
      <c r="AN584">
        <f>IF($AJ584=1,IFERROR(IF(VALUE($C584)&lt;100000000,VALUE($C584),1000000000),IFERROR(IF(VALUE(MID($C584,2,20))&lt;100000000,VALUE(MID($C584,2,20)),1000000000),1000000000))+ROW()/100000,"")</f>
        <v/>
      </c>
    </row>
    <row r="585">
      <c r="E585" s="11" t="n"/>
      <c r="M585" s="7">
        <f>IF($C585="","",L585*U585/100)</f>
        <v/>
      </c>
      <c r="N585" s="7" t="n"/>
      <c r="T585" s="7" t="n"/>
      <c r="U585" s="7">
        <f>IF($C585="","",S585*T585)</f>
        <v/>
      </c>
      <c r="X585">
        <f>IF($C585="","",IF($AM585=1,0,IF($AL585=1,Settings!$C$6,Settings!$C$7))*100)</f>
        <v/>
      </c>
      <c r="AB585" s="7" t="n"/>
      <c r="AE585" s="11" t="n"/>
      <c r="AG585" s="7">
        <f>IF($C585="","",U585*X585/100)</f>
        <v/>
      </c>
      <c r="AH585" s="7">
        <f>IF($C585="","",U585-AG585)</f>
        <v/>
      </c>
      <c r="AI585" s="7">
        <f>IF($C585="","",AH585-M585)</f>
        <v/>
      </c>
      <c r="AJ585">
        <f>IF($C585="","",IF(COUNTIF($C$2:$C585,$C585)=1,1,0))</f>
        <v/>
      </c>
      <c r="AK585">
        <f>IF($AJ585=1,SUMPRODUCT(--($AN$2:$AN$4001&lt;$AN585))+1,"")</f>
        <v/>
      </c>
      <c r="AL585">
        <f>IF($C585="","",IF(OR($Q585=TRUE(),$Q585="TRUE"),1,0))</f>
        <v/>
      </c>
      <c r="AM585">
        <f>IF($C585="","",IF($W585="Yes",1,0))</f>
        <v/>
      </c>
      <c r="AN585">
        <f>IF($AJ585=1,IFERROR(IF(VALUE($C585)&lt;100000000,VALUE($C585),1000000000),IFERROR(IF(VALUE(MID($C585,2,20))&lt;100000000,VALUE(MID($C585,2,20)),1000000000),1000000000))+ROW()/100000,"")</f>
        <v/>
      </c>
    </row>
    <row r="586">
      <c r="E586" s="11" t="n"/>
      <c r="M586" s="7">
        <f>IF($C586="","",L586*U586/100)</f>
        <v/>
      </c>
      <c r="N586" s="7" t="n"/>
      <c r="T586" s="7" t="n"/>
      <c r="U586" s="7">
        <f>IF($C586="","",S586*T586)</f>
        <v/>
      </c>
      <c r="X586">
        <f>IF($C586="","",IF($AM586=1,0,IF($AL586=1,Settings!$C$6,Settings!$C$7))*100)</f>
        <v/>
      </c>
      <c r="AB586" s="7" t="n"/>
      <c r="AE586" s="11" t="n"/>
      <c r="AG586" s="7">
        <f>IF($C586="","",U586*X586/100)</f>
        <v/>
      </c>
      <c r="AH586" s="7">
        <f>IF($C586="","",U586-AG586)</f>
        <v/>
      </c>
      <c r="AI586" s="7">
        <f>IF($C586="","",AH586-M586)</f>
        <v/>
      </c>
      <c r="AJ586">
        <f>IF($C586="","",IF(COUNTIF($C$2:$C586,$C586)=1,1,0))</f>
        <v/>
      </c>
      <c r="AK586">
        <f>IF($AJ586=1,SUMPRODUCT(--($AN$2:$AN$4001&lt;$AN586))+1,"")</f>
        <v/>
      </c>
      <c r="AL586">
        <f>IF($C586="","",IF(OR($Q586=TRUE(),$Q586="TRUE"),1,0))</f>
        <v/>
      </c>
      <c r="AM586">
        <f>IF($C586="","",IF($W586="Yes",1,0))</f>
        <v/>
      </c>
      <c r="AN586">
        <f>IF($AJ586=1,IFERROR(IF(VALUE($C586)&lt;100000000,VALUE($C586),1000000000),IFERROR(IF(VALUE(MID($C586,2,20))&lt;100000000,VALUE(MID($C586,2,20)),1000000000),1000000000))+ROW()/100000,"")</f>
        <v/>
      </c>
    </row>
    <row r="587">
      <c r="E587" s="11" t="n"/>
      <c r="M587" s="7">
        <f>IF($C587="","",L587*U587/100)</f>
        <v/>
      </c>
      <c r="N587" s="7" t="n"/>
      <c r="T587" s="7" t="n"/>
      <c r="U587" s="7">
        <f>IF($C587="","",S587*T587)</f>
        <v/>
      </c>
      <c r="X587">
        <f>IF($C587="","",IF($AM587=1,0,IF($AL587=1,Settings!$C$6,Settings!$C$7))*100)</f>
        <v/>
      </c>
      <c r="AB587" s="7" t="n"/>
      <c r="AE587" s="11" t="n"/>
      <c r="AG587" s="7">
        <f>IF($C587="","",U587*X587/100)</f>
        <v/>
      </c>
      <c r="AH587" s="7">
        <f>IF($C587="","",U587-AG587)</f>
        <v/>
      </c>
      <c r="AI587" s="7">
        <f>IF($C587="","",AH587-M587)</f>
        <v/>
      </c>
      <c r="AJ587">
        <f>IF($C587="","",IF(COUNTIF($C$2:$C587,$C587)=1,1,0))</f>
        <v/>
      </c>
      <c r="AK587">
        <f>IF($AJ587=1,SUMPRODUCT(--($AN$2:$AN$4001&lt;$AN587))+1,"")</f>
        <v/>
      </c>
      <c r="AL587">
        <f>IF($C587="","",IF(OR($Q587=TRUE(),$Q587="TRUE"),1,0))</f>
        <v/>
      </c>
      <c r="AM587">
        <f>IF($C587="","",IF($W587="Yes",1,0))</f>
        <v/>
      </c>
      <c r="AN587">
        <f>IF($AJ587=1,IFERROR(IF(VALUE($C587)&lt;100000000,VALUE($C587),1000000000),IFERROR(IF(VALUE(MID($C587,2,20))&lt;100000000,VALUE(MID($C587,2,20)),1000000000),1000000000))+ROW()/100000,"")</f>
        <v/>
      </c>
    </row>
    <row r="588">
      <c r="E588" s="11" t="n"/>
      <c r="M588" s="7">
        <f>IF($C588="","",L588*U588/100)</f>
        <v/>
      </c>
      <c r="N588" s="7" t="n"/>
      <c r="T588" s="7" t="n"/>
      <c r="U588" s="7">
        <f>IF($C588="","",S588*T588)</f>
        <v/>
      </c>
      <c r="X588">
        <f>IF($C588="","",IF($AM588=1,0,IF($AL588=1,Settings!$C$6,Settings!$C$7))*100)</f>
        <v/>
      </c>
      <c r="AB588" s="7" t="n"/>
      <c r="AE588" s="11" t="n"/>
      <c r="AG588" s="7">
        <f>IF($C588="","",U588*X588/100)</f>
        <v/>
      </c>
      <c r="AH588" s="7">
        <f>IF($C588="","",U588-AG588)</f>
        <v/>
      </c>
      <c r="AI588" s="7">
        <f>IF($C588="","",AH588-M588)</f>
        <v/>
      </c>
      <c r="AJ588">
        <f>IF($C588="","",IF(COUNTIF($C$2:$C588,$C588)=1,1,0))</f>
        <v/>
      </c>
      <c r="AK588">
        <f>IF($AJ588=1,SUMPRODUCT(--($AN$2:$AN$4001&lt;$AN588))+1,"")</f>
        <v/>
      </c>
      <c r="AL588">
        <f>IF($C588="","",IF(OR($Q588=TRUE(),$Q588="TRUE"),1,0))</f>
        <v/>
      </c>
      <c r="AM588">
        <f>IF($C588="","",IF($W588="Yes",1,0))</f>
        <v/>
      </c>
      <c r="AN588">
        <f>IF($AJ588=1,IFERROR(IF(VALUE($C588)&lt;100000000,VALUE($C588),1000000000),IFERROR(IF(VALUE(MID($C588,2,20))&lt;100000000,VALUE(MID($C588,2,20)),1000000000),1000000000))+ROW()/100000,"")</f>
        <v/>
      </c>
    </row>
    <row r="589">
      <c r="E589" s="11" t="n"/>
      <c r="M589" s="7">
        <f>IF($C589="","",L589*U589/100)</f>
        <v/>
      </c>
      <c r="N589" s="7" t="n"/>
      <c r="T589" s="7" t="n"/>
      <c r="U589" s="7">
        <f>IF($C589="","",S589*T589)</f>
        <v/>
      </c>
      <c r="X589">
        <f>IF($C589="","",IF($AM589=1,0,IF($AL589=1,Settings!$C$6,Settings!$C$7))*100)</f>
        <v/>
      </c>
      <c r="AB589" s="7" t="n"/>
      <c r="AE589" s="11" t="n"/>
      <c r="AG589" s="7">
        <f>IF($C589="","",U589*X589/100)</f>
        <v/>
      </c>
      <c r="AH589" s="7">
        <f>IF($C589="","",U589-AG589)</f>
        <v/>
      </c>
      <c r="AI589" s="7">
        <f>IF($C589="","",AH589-M589)</f>
        <v/>
      </c>
      <c r="AJ589">
        <f>IF($C589="","",IF(COUNTIF($C$2:$C589,$C589)=1,1,0))</f>
        <v/>
      </c>
      <c r="AK589">
        <f>IF($AJ589=1,SUMPRODUCT(--($AN$2:$AN$4001&lt;$AN589))+1,"")</f>
        <v/>
      </c>
      <c r="AL589">
        <f>IF($C589="","",IF(OR($Q589=TRUE(),$Q589="TRUE"),1,0))</f>
        <v/>
      </c>
      <c r="AM589">
        <f>IF($C589="","",IF($W589="Yes",1,0))</f>
        <v/>
      </c>
      <c r="AN589">
        <f>IF($AJ589=1,IFERROR(IF(VALUE($C589)&lt;100000000,VALUE($C589),1000000000),IFERROR(IF(VALUE(MID($C589,2,20))&lt;100000000,VALUE(MID($C589,2,20)),1000000000),1000000000))+ROW()/100000,"")</f>
        <v/>
      </c>
    </row>
    <row r="590">
      <c r="E590" s="11" t="n"/>
      <c r="M590" s="7">
        <f>IF($C590="","",L590*U590/100)</f>
        <v/>
      </c>
      <c r="N590" s="7" t="n"/>
      <c r="T590" s="7" t="n"/>
      <c r="U590" s="7">
        <f>IF($C590="","",S590*T590)</f>
        <v/>
      </c>
      <c r="X590">
        <f>IF($C590="","",IF($AM590=1,0,IF($AL590=1,Settings!$C$6,Settings!$C$7))*100)</f>
        <v/>
      </c>
      <c r="AB590" s="7" t="n"/>
      <c r="AE590" s="11" t="n"/>
      <c r="AG590" s="7">
        <f>IF($C590="","",U590*X590/100)</f>
        <v/>
      </c>
      <c r="AH590" s="7">
        <f>IF($C590="","",U590-AG590)</f>
        <v/>
      </c>
      <c r="AI590" s="7">
        <f>IF($C590="","",AH590-M590)</f>
        <v/>
      </c>
      <c r="AJ590">
        <f>IF($C590="","",IF(COUNTIF($C$2:$C590,$C590)=1,1,0))</f>
        <v/>
      </c>
      <c r="AK590">
        <f>IF($AJ590=1,SUMPRODUCT(--($AN$2:$AN$4001&lt;$AN590))+1,"")</f>
        <v/>
      </c>
      <c r="AL590">
        <f>IF($C590="","",IF(OR($Q590=TRUE(),$Q590="TRUE"),1,0))</f>
        <v/>
      </c>
      <c r="AM590">
        <f>IF($C590="","",IF($W590="Yes",1,0))</f>
        <v/>
      </c>
      <c r="AN590">
        <f>IF($AJ590=1,IFERROR(IF(VALUE($C590)&lt;100000000,VALUE($C590),1000000000),IFERROR(IF(VALUE(MID($C590,2,20))&lt;100000000,VALUE(MID($C590,2,20)),1000000000),1000000000))+ROW()/100000,"")</f>
        <v/>
      </c>
    </row>
    <row r="591">
      <c r="E591" s="11" t="n"/>
      <c r="M591" s="7">
        <f>IF($C591="","",L591*U591/100)</f>
        <v/>
      </c>
      <c r="N591" s="7" t="n"/>
      <c r="T591" s="7" t="n"/>
      <c r="U591" s="7">
        <f>IF($C591="","",S591*T591)</f>
        <v/>
      </c>
      <c r="X591">
        <f>IF($C591="","",IF($AM591=1,0,IF($AL591=1,Settings!$C$6,Settings!$C$7))*100)</f>
        <v/>
      </c>
      <c r="AB591" s="7" t="n"/>
      <c r="AE591" s="11" t="n"/>
      <c r="AG591" s="7">
        <f>IF($C591="","",U591*X591/100)</f>
        <v/>
      </c>
      <c r="AH591" s="7">
        <f>IF($C591="","",U591-AG591)</f>
        <v/>
      </c>
      <c r="AI591" s="7">
        <f>IF($C591="","",AH591-M591)</f>
        <v/>
      </c>
      <c r="AJ591">
        <f>IF($C591="","",IF(COUNTIF($C$2:$C591,$C591)=1,1,0))</f>
        <v/>
      </c>
      <c r="AK591">
        <f>IF($AJ591=1,SUMPRODUCT(--($AN$2:$AN$4001&lt;$AN591))+1,"")</f>
        <v/>
      </c>
      <c r="AL591">
        <f>IF($C591="","",IF(OR($Q591=TRUE(),$Q591="TRUE"),1,0))</f>
        <v/>
      </c>
      <c r="AM591">
        <f>IF($C591="","",IF($W591="Yes",1,0))</f>
        <v/>
      </c>
      <c r="AN591">
        <f>IF($AJ591=1,IFERROR(IF(VALUE($C591)&lt;100000000,VALUE($C591),1000000000),IFERROR(IF(VALUE(MID($C591,2,20))&lt;100000000,VALUE(MID($C591,2,20)),1000000000),1000000000))+ROW()/100000,"")</f>
        <v/>
      </c>
    </row>
    <row r="592">
      <c r="E592" s="11" t="n"/>
      <c r="M592" s="7">
        <f>IF($C592="","",L592*U592/100)</f>
        <v/>
      </c>
      <c r="N592" s="7" t="n"/>
      <c r="T592" s="7" t="n"/>
      <c r="U592" s="7">
        <f>IF($C592="","",S592*T592)</f>
        <v/>
      </c>
      <c r="X592">
        <f>IF($C592="","",IF($AM592=1,0,IF($AL592=1,Settings!$C$6,Settings!$C$7))*100)</f>
        <v/>
      </c>
      <c r="AB592" s="7" t="n"/>
      <c r="AE592" s="11" t="n"/>
      <c r="AG592" s="7">
        <f>IF($C592="","",U592*X592/100)</f>
        <v/>
      </c>
      <c r="AH592" s="7">
        <f>IF($C592="","",U592-AG592)</f>
        <v/>
      </c>
      <c r="AI592" s="7">
        <f>IF($C592="","",AH592-M592)</f>
        <v/>
      </c>
      <c r="AJ592">
        <f>IF($C592="","",IF(COUNTIF($C$2:$C592,$C592)=1,1,0))</f>
        <v/>
      </c>
      <c r="AK592">
        <f>IF($AJ592=1,SUMPRODUCT(--($AN$2:$AN$4001&lt;$AN592))+1,"")</f>
        <v/>
      </c>
      <c r="AL592">
        <f>IF($C592="","",IF(OR($Q592=TRUE(),$Q592="TRUE"),1,0))</f>
        <v/>
      </c>
      <c r="AM592">
        <f>IF($C592="","",IF($W592="Yes",1,0))</f>
        <v/>
      </c>
      <c r="AN592">
        <f>IF($AJ592=1,IFERROR(IF(VALUE($C592)&lt;100000000,VALUE($C592),1000000000),IFERROR(IF(VALUE(MID($C592,2,20))&lt;100000000,VALUE(MID($C592,2,20)),1000000000),1000000000))+ROW()/100000,"")</f>
        <v/>
      </c>
    </row>
    <row r="593">
      <c r="E593" s="11" t="n"/>
      <c r="M593" s="7">
        <f>IF($C593="","",L593*U593/100)</f>
        <v/>
      </c>
      <c r="N593" s="7" t="n"/>
      <c r="T593" s="7" t="n"/>
      <c r="U593" s="7">
        <f>IF($C593="","",S593*T593)</f>
        <v/>
      </c>
      <c r="X593">
        <f>IF($C593="","",IF($AM593=1,0,IF($AL593=1,Settings!$C$6,Settings!$C$7))*100)</f>
        <v/>
      </c>
      <c r="AB593" s="7" t="n"/>
      <c r="AE593" s="11" t="n"/>
      <c r="AG593" s="7">
        <f>IF($C593="","",U593*X593/100)</f>
        <v/>
      </c>
      <c r="AH593" s="7">
        <f>IF($C593="","",U593-AG593)</f>
        <v/>
      </c>
      <c r="AI593" s="7">
        <f>IF($C593="","",AH593-M593)</f>
        <v/>
      </c>
      <c r="AJ593">
        <f>IF($C593="","",IF(COUNTIF($C$2:$C593,$C593)=1,1,0))</f>
        <v/>
      </c>
      <c r="AK593">
        <f>IF($AJ593=1,SUMPRODUCT(--($AN$2:$AN$4001&lt;$AN593))+1,"")</f>
        <v/>
      </c>
      <c r="AL593">
        <f>IF($C593="","",IF(OR($Q593=TRUE(),$Q593="TRUE"),1,0))</f>
        <v/>
      </c>
      <c r="AM593">
        <f>IF($C593="","",IF($W593="Yes",1,0))</f>
        <v/>
      </c>
      <c r="AN593">
        <f>IF($AJ593=1,IFERROR(IF(VALUE($C593)&lt;100000000,VALUE($C593),1000000000),IFERROR(IF(VALUE(MID($C593,2,20))&lt;100000000,VALUE(MID($C593,2,20)),1000000000),1000000000))+ROW()/100000,"")</f>
        <v/>
      </c>
    </row>
    <row r="594">
      <c r="E594" s="11" t="n"/>
      <c r="M594" s="7">
        <f>IF($C594="","",L594*U594/100)</f>
        <v/>
      </c>
      <c r="N594" s="7" t="n"/>
      <c r="T594" s="7" t="n"/>
      <c r="U594" s="7">
        <f>IF($C594="","",S594*T594)</f>
        <v/>
      </c>
      <c r="X594">
        <f>IF($C594="","",IF($AM594=1,0,IF($AL594=1,Settings!$C$6,Settings!$C$7))*100)</f>
        <v/>
      </c>
      <c r="AB594" s="7" t="n"/>
      <c r="AE594" s="11" t="n"/>
      <c r="AG594" s="7">
        <f>IF($C594="","",U594*X594/100)</f>
        <v/>
      </c>
      <c r="AH594" s="7">
        <f>IF($C594="","",U594-AG594)</f>
        <v/>
      </c>
      <c r="AI594" s="7">
        <f>IF($C594="","",AH594-M594)</f>
        <v/>
      </c>
      <c r="AJ594">
        <f>IF($C594="","",IF(COUNTIF($C$2:$C594,$C594)=1,1,0))</f>
        <v/>
      </c>
      <c r="AK594">
        <f>IF($AJ594=1,SUMPRODUCT(--($AN$2:$AN$4001&lt;$AN594))+1,"")</f>
        <v/>
      </c>
      <c r="AL594">
        <f>IF($C594="","",IF(OR($Q594=TRUE(),$Q594="TRUE"),1,0))</f>
        <v/>
      </c>
      <c r="AM594">
        <f>IF($C594="","",IF($W594="Yes",1,0))</f>
        <v/>
      </c>
      <c r="AN594">
        <f>IF($AJ594=1,IFERROR(IF(VALUE($C594)&lt;100000000,VALUE($C594),1000000000),IFERROR(IF(VALUE(MID($C594,2,20))&lt;100000000,VALUE(MID($C594,2,20)),1000000000),1000000000))+ROW()/100000,"")</f>
        <v/>
      </c>
    </row>
    <row r="595">
      <c r="E595" s="11" t="n"/>
      <c r="M595" s="7">
        <f>IF($C595="","",L595*U595/100)</f>
        <v/>
      </c>
      <c r="N595" s="7" t="n"/>
      <c r="T595" s="7" t="n"/>
      <c r="U595" s="7">
        <f>IF($C595="","",S595*T595)</f>
        <v/>
      </c>
      <c r="X595">
        <f>IF($C595="","",IF($AM595=1,0,IF($AL595=1,Settings!$C$6,Settings!$C$7))*100)</f>
        <v/>
      </c>
      <c r="AB595" s="7" t="n"/>
      <c r="AE595" s="11" t="n"/>
      <c r="AG595" s="7">
        <f>IF($C595="","",U595*X595/100)</f>
        <v/>
      </c>
      <c r="AH595" s="7">
        <f>IF($C595="","",U595-AG595)</f>
        <v/>
      </c>
      <c r="AI595" s="7">
        <f>IF($C595="","",AH595-M595)</f>
        <v/>
      </c>
      <c r="AJ595">
        <f>IF($C595="","",IF(COUNTIF($C$2:$C595,$C595)=1,1,0))</f>
        <v/>
      </c>
      <c r="AK595">
        <f>IF($AJ595=1,SUMPRODUCT(--($AN$2:$AN$4001&lt;$AN595))+1,"")</f>
        <v/>
      </c>
      <c r="AL595">
        <f>IF($C595="","",IF(OR($Q595=TRUE(),$Q595="TRUE"),1,0))</f>
        <v/>
      </c>
      <c r="AM595">
        <f>IF($C595="","",IF($W595="Yes",1,0))</f>
        <v/>
      </c>
      <c r="AN595">
        <f>IF($AJ595=1,IFERROR(IF(VALUE($C595)&lt;100000000,VALUE($C595),1000000000),IFERROR(IF(VALUE(MID($C595,2,20))&lt;100000000,VALUE(MID($C595,2,20)),1000000000),1000000000))+ROW()/100000,"")</f>
        <v/>
      </c>
    </row>
    <row r="596">
      <c r="E596" s="11" t="n"/>
      <c r="M596" s="7">
        <f>IF($C596="","",L596*U596/100)</f>
        <v/>
      </c>
      <c r="N596" s="7" t="n"/>
      <c r="T596" s="7" t="n"/>
      <c r="U596" s="7">
        <f>IF($C596="","",S596*T596)</f>
        <v/>
      </c>
      <c r="X596">
        <f>IF($C596="","",IF($AM596=1,0,IF($AL596=1,Settings!$C$6,Settings!$C$7))*100)</f>
        <v/>
      </c>
      <c r="AB596" s="7" t="n"/>
      <c r="AE596" s="11" t="n"/>
      <c r="AG596" s="7">
        <f>IF($C596="","",U596*X596/100)</f>
        <v/>
      </c>
      <c r="AH596" s="7">
        <f>IF($C596="","",U596-AG596)</f>
        <v/>
      </c>
      <c r="AI596" s="7">
        <f>IF($C596="","",AH596-M596)</f>
        <v/>
      </c>
      <c r="AJ596">
        <f>IF($C596="","",IF(COUNTIF($C$2:$C596,$C596)=1,1,0))</f>
        <v/>
      </c>
      <c r="AK596">
        <f>IF($AJ596=1,SUMPRODUCT(--($AN$2:$AN$4001&lt;$AN596))+1,"")</f>
        <v/>
      </c>
      <c r="AL596">
        <f>IF($C596="","",IF(OR($Q596=TRUE(),$Q596="TRUE"),1,0))</f>
        <v/>
      </c>
      <c r="AM596">
        <f>IF($C596="","",IF($W596="Yes",1,0))</f>
        <v/>
      </c>
      <c r="AN596">
        <f>IF($AJ596=1,IFERROR(IF(VALUE($C596)&lt;100000000,VALUE($C596),1000000000),IFERROR(IF(VALUE(MID($C596,2,20))&lt;100000000,VALUE(MID($C596,2,20)),1000000000),1000000000))+ROW()/100000,"")</f>
        <v/>
      </c>
    </row>
    <row r="597">
      <c r="E597" s="11" t="n"/>
      <c r="M597" s="7">
        <f>IF($C597="","",L597*U597/100)</f>
        <v/>
      </c>
      <c r="N597" s="7" t="n"/>
      <c r="T597" s="7" t="n"/>
      <c r="U597" s="7">
        <f>IF($C597="","",S597*T597)</f>
        <v/>
      </c>
      <c r="X597">
        <f>IF($C597="","",IF($AM597=1,0,IF($AL597=1,Settings!$C$6,Settings!$C$7))*100)</f>
        <v/>
      </c>
      <c r="AB597" s="7" t="n"/>
      <c r="AE597" s="11" t="n"/>
      <c r="AG597" s="7">
        <f>IF($C597="","",U597*X597/100)</f>
        <v/>
      </c>
      <c r="AH597" s="7">
        <f>IF($C597="","",U597-AG597)</f>
        <v/>
      </c>
      <c r="AI597" s="7">
        <f>IF($C597="","",AH597-M597)</f>
        <v/>
      </c>
      <c r="AJ597">
        <f>IF($C597="","",IF(COUNTIF($C$2:$C597,$C597)=1,1,0))</f>
        <v/>
      </c>
      <c r="AK597">
        <f>IF($AJ597=1,SUMPRODUCT(--($AN$2:$AN$4001&lt;$AN597))+1,"")</f>
        <v/>
      </c>
      <c r="AL597">
        <f>IF($C597="","",IF(OR($Q597=TRUE(),$Q597="TRUE"),1,0))</f>
        <v/>
      </c>
      <c r="AM597">
        <f>IF($C597="","",IF($W597="Yes",1,0))</f>
        <v/>
      </c>
      <c r="AN597">
        <f>IF($AJ597=1,IFERROR(IF(VALUE($C597)&lt;100000000,VALUE($C597),1000000000),IFERROR(IF(VALUE(MID($C597,2,20))&lt;100000000,VALUE(MID($C597,2,20)),1000000000),1000000000))+ROW()/100000,"")</f>
        <v/>
      </c>
    </row>
    <row r="598">
      <c r="E598" s="11" t="n"/>
      <c r="M598" s="7">
        <f>IF($C598="","",L598*U598/100)</f>
        <v/>
      </c>
      <c r="N598" s="7" t="n"/>
      <c r="T598" s="7" t="n"/>
      <c r="U598" s="7">
        <f>IF($C598="","",S598*T598)</f>
        <v/>
      </c>
      <c r="X598">
        <f>IF($C598="","",IF($AM598=1,0,IF($AL598=1,Settings!$C$6,Settings!$C$7))*100)</f>
        <v/>
      </c>
      <c r="AB598" s="7" t="n"/>
      <c r="AE598" s="11" t="n"/>
      <c r="AG598" s="7">
        <f>IF($C598="","",U598*X598/100)</f>
        <v/>
      </c>
      <c r="AH598" s="7">
        <f>IF($C598="","",U598-AG598)</f>
        <v/>
      </c>
      <c r="AI598" s="7">
        <f>IF($C598="","",AH598-M598)</f>
        <v/>
      </c>
      <c r="AJ598">
        <f>IF($C598="","",IF(COUNTIF($C$2:$C598,$C598)=1,1,0))</f>
        <v/>
      </c>
      <c r="AK598">
        <f>IF($AJ598=1,SUMPRODUCT(--($AN$2:$AN$4001&lt;$AN598))+1,"")</f>
        <v/>
      </c>
      <c r="AL598">
        <f>IF($C598="","",IF(OR($Q598=TRUE(),$Q598="TRUE"),1,0))</f>
        <v/>
      </c>
      <c r="AM598">
        <f>IF($C598="","",IF($W598="Yes",1,0))</f>
        <v/>
      </c>
      <c r="AN598">
        <f>IF($AJ598=1,IFERROR(IF(VALUE($C598)&lt;100000000,VALUE($C598),1000000000),IFERROR(IF(VALUE(MID($C598,2,20))&lt;100000000,VALUE(MID($C598,2,20)),1000000000),1000000000))+ROW()/100000,"")</f>
        <v/>
      </c>
    </row>
    <row r="599">
      <c r="E599" s="11" t="n"/>
      <c r="M599" s="7">
        <f>IF($C599="","",L599*U599/100)</f>
        <v/>
      </c>
      <c r="N599" s="7" t="n"/>
      <c r="T599" s="7" t="n"/>
      <c r="U599" s="7">
        <f>IF($C599="","",S599*T599)</f>
        <v/>
      </c>
      <c r="X599">
        <f>IF($C599="","",IF($AM599=1,0,IF($AL599=1,Settings!$C$6,Settings!$C$7))*100)</f>
        <v/>
      </c>
      <c r="AB599" s="7" t="n"/>
      <c r="AE599" s="11" t="n"/>
      <c r="AG599" s="7">
        <f>IF($C599="","",U599*X599/100)</f>
        <v/>
      </c>
      <c r="AH599" s="7">
        <f>IF($C599="","",U599-AG599)</f>
        <v/>
      </c>
      <c r="AI599" s="7">
        <f>IF($C599="","",AH599-M599)</f>
        <v/>
      </c>
      <c r="AJ599">
        <f>IF($C599="","",IF(COUNTIF($C$2:$C599,$C599)=1,1,0))</f>
        <v/>
      </c>
      <c r="AK599">
        <f>IF($AJ599=1,SUMPRODUCT(--($AN$2:$AN$4001&lt;$AN599))+1,"")</f>
        <v/>
      </c>
      <c r="AL599">
        <f>IF($C599="","",IF(OR($Q599=TRUE(),$Q599="TRUE"),1,0))</f>
        <v/>
      </c>
      <c r="AM599">
        <f>IF($C599="","",IF($W599="Yes",1,0))</f>
        <v/>
      </c>
      <c r="AN599">
        <f>IF($AJ599=1,IFERROR(IF(VALUE($C599)&lt;100000000,VALUE($C599),1000000000),IFERROR(IF(VALUE(MID($C599,2,20))&lt;100000000,VALUE(MID($C599,2,20)),1000000000),1000000000))+ROW()/100000,"")</f>
        <v/>
      </c>
    </row>
    <row r="600">
      <c r="E600" s="11" t="n"/>
      <c r="M600" s="7">
        <f>IF($C600="","",L600*U600/100)</f>
        <v/>
      </c>
      <c r="N600" s="7" t="n"/>
      <c r="T600" s="7" t="n"/>
      <c r="U600" s="7">
        <f>IF($C600="","",S600*T600)</f>
        <v/>
      </c>
      <c r="X600">
        <f>IF($C600="","",IF($AM600=1,0,IF($AL600=1,Settings!$C$6,Settings!$C$7))*100)</f>
        <v/>
      </c>
      <c r="AB600" s="7" t="n"/>
      <c r="AE600" s="11" t="n"/>
      <c r="AG600" s="7">
        <f>IF($C600="","",U600*X600/100)</f>
        <v/>
      </c>
      <c r="AH600" s="7">
        <f>IF($C600="","",U600-AG600)</f>
        <v/>
      </c>
      <c r="AI600" s="7">
        <f>IF($C600="","",AH600-M600)</f>
        <v/>
      </c>
      <c r="AJ600">
        <f>IF($C600="","",IF(COUNTIF($C$2:$C600,$C600)=1,1,0))</f>
        <v/>
      </c>
      <c r="AK600">
        <f>IF($AJ600=1,SUMPRODUCT(--($AN$2:$AN$4001&lt;$AN600))+1,"")</f>
        <v/>
      </c>
      <c r="AL600">
        <f>IF($C600="","",IF(OR($Q600=TRUE(),$Q600="TRUE"),1,0))</f>
        <v/>
      </c>
      <c r="AM600">
        <f>IF($C600="","",IF($W600="Yes",1,0))</f>
        <v/>
      </c>
      <c r="AN600">
        <f>IF($AJ600=1,IFERROR(IF(VALUE($C600)&lt;100000000,VALUE($C600),1000000000),IFERROR(IF(VALUE(MID($C600,2,20))&lt;100000000,VALUE(MID($C600,2,20)),1000000000),1000000000))+ROW()/100000,"")</f>
        <v/>
      </c>
    </row>
    <row r="601">
      <c r="E601" s="11" t="n"/>
      <c r="M601" s="7">
        <f>IF($C601="","",L601*U601/100)</f>
        <v/>
      </c>
      <c r="N601" s="7" t="n"/>
      <c r="T601" s="7" t="n"/>
      <c r="U601" s="7">
        <f>IF($C601="","",S601*T601)</f>
        <v/>
      </c>
      <c r="X601">
        <f>IF($C601="","",IF($AM601=1,0,IF($AL601=1,Settings!$C$6,Settings!$C$7))*100)</f>
        <v/>
      </c>
      <c r="AB601" s="7" t="n"/>
      <c r="AE601" s="11" t="n"/>
      <c r="AG601" s="7">
        <f>IF($C601="","",U601*X601/100)</f>
        <v/>
      </c>
      <c r="AH601" s="7">
        <f>IF($C601="","",U601-AG601)</f>
        <v/>
      </c>
      <c r="AI601" s="7">
        <f>IF($C601="","",AH601-M601)</f>
        <v/>
      </c>
      <c r="AJ601">
        <f>IF($C601="","",IF(COUNTIF($C$2:$C601,$C601)=1,1,0))</f>
        <v/>
      </c>
      <c r="AK601">
        <f>IF($AJ601=1,SUMPRODUCT(--($AN$2:$AN$4001&lt;$AN601))+1,"")</f>
        <v/>
      </c>
      <c r="AL601">
        <f>IF($C601="","",IF(OR($Q601=TRUE(),$Q601="TRUE"),1,0))</f>
        <v/>
      </c>
      <c r="AM601">
        <f>IF($C601="","",IF($W601="Yes",1,0))</f>
        <v/>
      </c>
      <c r="AN601">
        <f>IF($AJ601=1,IFERROR(IF(VALUE($C601)&lt;100000000,VALUE($C601),1000000000),IFERROR(IF(VALUE(MID($C601,2,20))&lt;100000000,VALUE(MID($C601,2,20)),1000000000),1000000000))+ROW()/100000,"")</f>
        <v/>
      </c>
    </row>
    <row r="602">
      <c r="E602" s="11" t="n"/>
      <c r="M602" s="7">
        <f>IF($C602="","",L602*U602/100)</f>
        <v/>
      </c>
      <c r="N602" s="7" t="n"/>
      <c r="T602" s="7" t="n"/>
      <c r="U602" s="7">
        <f>IF($C602="","",S602*T602)</f>
        <v/>
      </c>
      <c r="X602">
        <f>IF($C602="","",IF($AM602=1,0,IF($AL602=1,Settings!$C$6,Settings!$C$7))*100)</f>
        <v/>
      </c>
      <c r="AB602" s="7" t="n"/>
      <c r="AE602" s="11" t="n"/>
      <c r="AG602" s="7">
        <f>IF($C602="","",U602*X602/100)</f>
        <v/>
      </c>
      <c r="AH602" s="7">
        <f>IF($C602="","",U602-AG602)</f>
        <v/>
      </c>
      <c r="AI602" s="7">
        <f>IF($C602="","",AH602-M602)</f>
        <v/>
      </c>
      <c r="AJ602">
        <f>IF($C602="","",IF(COUNTIF($C$2:$C602,$C602)=1,1,0))</f>
        <v/>
      </c>
      <c r="AK602">
        <f>IF($AJ602=1,SUMPRODUCT(--($AN$2:$AN$4001&lt;$AN602))+1,"")</f>
        <v/>
      </c>
      <c r="AL602">
        <f>IF($C602="","",IF(OR($Q602=TRUE(),$Q602="TRUE"),1,0))</f>
        <v/>
      </c>
      <c r="AM602">
        <f>IF($C602="","",IF($W602="Yes",1,0))</f>
        <v/>
      </c>
      <c r="AN602">
        <f>IF($AJ602=1,IFERROR(IF(VALUE($C602)&lt;100000000,VALUE($C602),1000000000),IFERROR(IF(VALUE(MID($C602,2,20))&lt;100000000,VALUE(MID($C602,2,20)),1000000000),1000000000))+ROW()/100000,"")</f>
        <v/>
      </c>
    </row>
    <row r="603">
      <c r="E603" s="11" t="n"/>
      <c r="M603" s="7">
        <f>IF($C603="","",L603*U603/100)</f>
        <v/>
      </c>
      <c r="N603" s="7" t="n"/>
      <c r="T603" s="7" t="n"/>
      <c r="U603" s="7">
        <f>IF($C603="","",S603*T603)</f>
        <v/>
      </c>
      <c r="X603">
        <f>IF($C603="","",IF($AM603=1,0,IF($AL603=1,Settings!$C$6,Settings!$C$7))*100)</f>
        <v/>
      </c>
      <c r="AB603" s="7" t="n"/>
      <c r="AE603" s="11" t="n"/>
      <c r="AG603" s="7">
        <f>IF($C603="","",U603*X603/100)</f>
        <v/>
      </c>
      <c r="AH603" s="7">
        <f>IF($C603="","",U603-AG603)</f>
        <v/>
      </c>
      <c r="AI603" s="7">
        <f>IF($C603="","",AH603-M603)</f>
        <v/>
      </c>
      <c r="AJ603">
        <f>IF($C603="","",IF(COUNTIF($C$2:$C603,$C603)=1,1,0))</f>
        <v/>
      </c>
      <c r="AK603">
        <f>IF($AJ603=1,SUMPRODUCT(--($AN$2:$AN$4001&lt;$AN603))+1,"")</f>
        <v/>
      </c>
      <c r="AL603">
        <f>IF($C603="","",IF(OR($Q603=TRUE(),$Q603="TRUE"),1,0))</f>
        <v/>
      </c>
      <c r="AM603">
        <f>IF($C603="","",IF($W603="Yes",1,0))</f>
        <v/>
      </c>
      <c r="AN603">
        <f>IF($AJ603=1,IFERROR(IF(VALUE($C603)&lt;100000000,VALUE($C603),1000000000),IFERROR(IF(VALUE(MID($C603,2,20))&lt;100000000,VALUE(MID($C603,2,20)),1000000000),1000000000))+ROW()/100000,"")</f>
        <v/>
      </c>
    </row>
    <row r="604">
      <c r="E604" s="11" t="n"/>
      <c r="M604" s="7">
        <f>IF($C604="","",L604*U604/100)</f>
        <v/>
      </c>
      <c r="N604" s="7" t="n"/>
      <c r="T604" s="7" t="n"/>
      <c r="U604" s="7">
        <f>IF($C604="","",S604*T604)</f>
        <v/>
      </c>
      <c r="X604">
        <f>IF($C604="","",IF($AM604=1,0,IF($AL604=1,Settings!$C$6,Settings!$C$7))*100)</f>
        <v/>
      </c>
      <c r="AB604" s="7" t="n"/>
      <c r="AE604" s="11" t="n"/>
      <c r="AG604" s="7">
        <f>IF($C604="","",U604*X604/100)</f>
        <v/>
      </c>
      <c r="AH604" s="7">
        <f>IF($C604="","",U604-AG604)</f>
        <v/>
      </c>
      <c r="AI604" s="7">
        <f>IF($C604="","",AH604-M604)</f>
        <v/>
      </c>
      <c r="AJ604">
        <f>IF($C604="","",IF(COUNTIF($C$2:$C604,$C604)=1,1,0))</f>
        <v/>
      </c>
      <c r="AK604">
        <f>IF($AJ604=1,SUMPRODUCT(--($AN$2:$AN$4001&lt;$AN604))+1,"")</f>
        <v/>
      </c>
      <c r="AL604">
        <f>IF($C604="","",IF(OR($Q604=TRUE(),$Q604="TRUE"),1,0))</f>
        <v/>
      </c>
      <c r="AM604">
        <f>IF($C604="","",IF($W604="Yes",1,0))</f>
        <v/>
      </c>
      <c r="AN604">
        <f>IF($AJ604=1,IFERROR(IF(VALUE($C604)&lt;100000000,VALUE($C604),1000000000),IFERROR(IF(VALUE(MID($C604,2,20))&lt;100000000,VALUE(MID($C604,2,20)),1000000000),1000000000))+ROW()/100000,"")</f>
        <v/>
      </c>
    </row>
    <row r="605">
      <c r="E605" s="11" t="n"/>
      <c r="M605" s="7">
        <f>IF($C605="","",L605*U605/100)</f>
        <v/>
      </c>
      <c r="N605" s="7" t="n"/>
      <c r="T605" s="7" t="n"/>
      <c r="U605" s="7">
        <f>IF($C605="","",S605*T605)</f>
        <v/>
      </c>
      <c r="X605">
        <f>IF($C605="","",IF($AM605=1,0,IF($AL605=1,Settings!$C$6,Settings!$C$7))*100)</f>
        <v/>
      </c>
      <c r="AB605" s="7" t="n"/>
      <c r="AE605" s="11" t="n"/>
      <c r="AG605" s="7">
        <f>IF($C605="","",U605*X605/100)</f>
        <v/>
      </c>
      <c r="AH605" s="7">
        <f>IF($C605="","",U605-AG605)</f>
        <v/>
      </c>
      <c r="AI605" s="7">
        <f>IF($C605="","",AH605-M605)</f>
        <v/>
      </c>
      <c r="AJ605">
        <f>IF($C605="","",IF(COUNTIF($C$2:$C605,$C605)=1,1,0))</f>
        <v/>
      </c>
      <c r="AK605">
        <f>IF($AJ605=1,SUMPRODUCT(--($AN$2:$AN$4001&lt;$AN605))+1,"")</f>
        <v/>
      </c>
      <c r="AL605">
        <f>IF($C605="","",IF(OR($Q605=TRUE(),$Q605="TRUE"),1,0))</f>
        <v/>
      </c>
      <c r="AM605">
        <f>IF($C605="","",IF($W605="Yes",1,0))</f>
        <v/>
      </c>
      <c r="AN605">
        <f>IF($AJ605=1,IFERROR(IF(VALUE($C605)&lt;100000000,VALUE($C605),1000000000),IFERROR(IF(VALUE(MID($C605,2,20))&lt;100000000,VALUE(MID($C605,2,20)),1000000000),1000000000))+ROW()/100000,"")</f>
        <v/>
      </c>
    </row>
    <row r="606">
      <c r="E606" s="11" t="n"/>
      <c r="M606" s="7">
        <f>IF($C606="","",L606*U606/100)</f>
        <v/>
      </c>
      <c r="N606" s="7" t="n"/>
      <c r="T606" s="7" t="n"/>
      <c r="U606" s="7">
        <f>IF($C606="","",S606*T606)</f>
        <v/>
      </c>
      <c r="X606">
        <f>IF($C606="","",IF($AM606=1,0,IF($AL606=1,Settings!$C$6,Settings!$C$7))*100)</f>
        <v/>
      </c>
      <c r="AB606" s="7" t="n"/>
      <c r="AE606" s="11" t="n"/>
      <c r="AG606" s="7">
        <f>IF($C606="","",U606*X606/100)</f>
        <v/>
      </c>
      <c r="AH606" s="7">
        <f>IF($C606="","",U606-AG606)</f>
        <v/>
      </c>
      <c r="AI606" s="7">
        <f>IF($C606="","",AH606-M606)</f>
        <v/>
      </c>
      <c r="AJ606">
        <f>IF($C606="","",IF(COUNTIF($C$2:$C606,$C606)=1,1,0))</f>
        <v/>
      </c>
      <c r="AK606">
        <f>IF($AJ606=1,SUMPRODUCT(--($AN$2:$AN$4001&lt;$AN606))+1,"")</f>
        <v/>
      </c>
      <c r="AL606">
        <f>IF($C606="","",IF(OR($Q606=TRUE(),$Q606="TRUE"),1,0))</f>
        <v/>
      </c>
      <c r="AM606">
        <f>IF($C606="","",IF($W606="Yes",1,0))</f>
        <v/>
      </c>
      <c r="AN606">
        <f>IF($AJ606=1,IFERROR(IF(VALUE($C606)&lt;100000000,VALUE($C606),1000000000),IFERROR(IF(VALUE(MID($C606,2,20))&lt;100000000,VALUE(MID($C606,2,20)),1000000000),1000000000))+ROW()/100000,"")</f>
        <v/>
      </c>
    </row>
    <row r="607">
      <c r="E607" s="11" t="n"/>
      <c r="M607" s="7">
        <f>IF($C607="","",L607*U607/100)</f>
        <v/>
      </c>
      <c r="N607" s="7" t="n"/>
      <c r="T607" s="7" t="n"/>
      <c r="U607" s="7">
        <f>IF($C607="","",S607*T607)</f>
        <v/>
      </c>
      <c r="X607">
        <f>IF($C607="","",IF($AM607=1,0,IF($AL607=1,Settings!$C$6,Settings!$C$7))*100)</f>
        <v/>
      </c>
      <c r="AB607" s="7" t="n"/>
      <c r="AE607" s="11" t="n"/>
      <c r="AG607" s="7">
        <f>IF($C607="","",U607*X607/100)</f>
        <v/>
      </c>
      <c r="AH607" s="7">
        <f>IF($C607="","",U607-AG607)</f>
        <v/>
      </c>
      <c r="AI607" s="7">
        <f>IF($C607="","",AH607-M607)</f>
        <v/>
      </c>
      <c r="AJ607">
        <f>IF($C607="","",IF(COUNTIF($C$2:$C607,$C607)=1,1,0))</f>
        <v/>
      </c>
      <c r="AK607">
        <f>IF($AJ607=1,SUMPRODUCT(--($AN$2:$AN$4001&lt;$AN607))+1,"")</f>
        <v/>
      </c>
      <c r="AL607">
        <f>IF($C607="","",IF(OR($Q607=TRUE(),$Q607="TRUE"),1,0))</f>
        <v/>
      </c>
      <c r="AM607">
        <f>IF($C607="","",IF($W607="Yes",1,0))</f>
        <v/>
      </c>
      <c r="AN607">
        <f>IF($AJ607=1,IFERROR(IF(VALUE($C607)&lt;100000000,VALUE($C607),1000000000),IFERROR(IF(VALUE(MID($C607,2,20))&lt;100000000,VALUE(MID($C607,2,20)),1000000000),1000000000))+ROW()/100000,"")</f>
        <v/>
      </c>
    </row>
    <row r="608">
      <c r="E608" s="11" t="n"/>
      <c r="M608" s="7">
        <f>IF($C608="","",L608*U608/100)</f>
        <v/>
      </c>
      <c r="N608" s="7" t="n"/>
      <c r="T608" s="7" t="n"/>
      <c r="U608" s="7">
        <f>IF($C608="","",S608*T608)</f>
        <v/>
      </c>
      <c r="X608">
        <f>IF($C608="","",IF($AM608=1,0,IF($AL608=1,Settings!$C$6,Settings!$C$7))*100)</f>
        <v/>
      </c>
      <c r="AB608" s="7" t="n"/>
      <c r="AE608" s="11" t="n"/>
      <c r="AG608" s="7">
        <f>IF($C608="","",U608*X608/100)</f>
        <v/>
      </c>
      <c r="AH608" s="7">
        <f>IF($C608="","",U608-AG608)</f>
        <v/>
      </c>
      <c r="AI608" s="7">
        <f>IF($C608="","",AH608-M608)</f>
        <v/>
      </c>
      <c r="AJ608">
        <f>IF($C608="","",IF(COUNTIF($C$2:$C608,$C608)=1,1,0))</f>
        <v/>
      </c>
      <c r="AK608">
        <f>IF($AJ608=1,SUMPRODUCT(--($AN$2:$AN$4001&lt;$AN608))+1,"")</f>
        <v/>
      </c>
      <c r="AL608">
        <f>IF($C608="","",IF(OR($Q608=TRUE(),$Q608="TRUE"),1,0))</f>
        <v/>
      </c>
      <c r="AM608">
        <f>IF($C608="","",IF($W608="Yes",1,0))</f>
        <v/>
      </c>
      <c r="AN608">
        <f>IF($AJ608=1,IFERROR(IF(VALUE($C608)&lt;100000000,VALUE($C608),1000000000),IFERROR(IF(VALUE(MID($C608,2,20))&lt;100000000,VALUE(MID($C608,2,20)),1000000000),1000000000))+ROW()/100000,"")</f>
        <v/>
      </c>
    </row>
    <row r="609">
      <c r="E609" s="11" t="n"/>
      <c r="M609" s="7">
        <f>IF($C609="","",L609*U609/100)</f>
        <v/>
      </c>
      <c r="N609" s="7" t="n"/>
      <c r="T609" s="7" t="n"/>
      <c r="U609" s="7">
        <f>IF($C609="","",S609*T609)</f>
        <v/>
      </c>
      <c r="X609">
        <f>IF($C609="","",IF($AM609=1,0,IF($AL609=1,Settings!$C$6,Settings!$C$7))*100)</f>
        <v/>
      </c>
      <c r="AB609" s="7" t="n"/>
      <c r="AE609" s="11" t="n"/>
      <c r="AG609" s="7">
        <f>IF($C609="","",U609*X609/100)</f>
        <v/>
      </c>
      <c r="AH609" s="7">
        <f>IF($C609="","",U609-AG609)</f>
        <v/>
      </c>
      <c r="AI609" s="7">
        <f>IF($C609="","",AH609-M609)</f>
        <v/>
      </c>
      <c r="AJ609">
        <f>IF($C609="","",IF(COUNTIF($C$2:$C609,$C609)=1,1,0))</f>
        <v/>
      </c>
      <c r="AK609">
        <f>IF($AJ609=1,SUMPRODUCT(--($AN$2:$AN$4001&lt;$AN609))+1,"")</f>
        <v/>
      </c>
      <c r="AL609">
        <f>IF($C609="","",IF(OR($Q609=TRUE(),$Q609="TRUE"),1,0))</f>
        <v/>
      </c>
      <c r="AM609">
        <f>IF($C609="","",IF($W609="Yes",1,0))</f>
        <v/>
      </c>
      <c r="AN609">
        <f>IF($AJ609=1,IFERROR(IF(VALUE($C609)&lt;100000000,VALUE($C609),1000000000),IFERROR(IF(VALUE(MID($C609,2,20))&lt;100000000,VALUE(MID($C609,2,20)),1000000000),1000000000))+ROW()/100000,"")</f>
        <v/>
      </c>
    </row>
    <row r="610">
      <c r="E610" s="11" t="n"/>
      <c r="M610" s="7">
        <f>IF($C610="","",L610*U610/100)</f>
        <v/>
      </c>
      <c r="N610" s="7" t="n"/>
      <c r="T610" s="7" t="n"/>
      <c r="U610" s="7">
        <f>IF($C610="","",S610*T610)</f>
        <v/>
      </c>
      <c r="X610">
        <f>IF($C610="","",IF($AM610=1,0,IF($AL610=1,Settings!$C$6,Settings!$C$7))*100)</f>
        <v/>
      </c>
      <c r="AB610" s="7" t="n"/>
      <c r="AE610" s="11" t="n"/>
      <c r="AG610" s="7">
        <f>IF($C610="","",U610*X610/100)</f>
        <v/>
      </c>
      <c r="AH610" s="7">
        <f>IF($C610="","",U610-AG610)</f>
        <v/>
      </c>
      <c r="AI610" s="7">
        <f>IF($C610="","",AH610-M610)</f>
        <v/>
      </c>
      <c r="AJ610">
        <f>IF($C610="","",IF(COUNTIF($C$2:$C610,$C610)=1,1,0))</f>
        <v/>
      </c>
      <c r="AK610">
        <f>IF($AJ610=1,SUMPRODUCT(--($AN$2:$AN$4001&lt;$AN610))+1,"")</f>
        <v/>
      </c>
      <c r="AL610">
        <f>IF($C610="","",IF(OR($Q610=TRUE(),$Q610="TRUE"),1,0))</f>
        <v/>
      </c>
      <c r="AM610">
        <f>IF($C610="","",IF($W610="Yes",1,0))</f>
        <v/>
      </c>
      <c r="AN610">
        <f>IF($AJ610=1,IFERROR(IF(VALUE($C610)&lt;100000000,VALUE($C610),1000000000),IFERROR(IF(VALUE(MID($C610,2,20))&lt;100000000,VALUE(MID($C610,2,20)),1000000000),1000000000))+ROW()/100000,"")</f>
        <v/>
      </c>
    </row>
    <row r="611">
      <c r="E611" s="11" t="n"/>
      <c r="M611" s="7">
        <f>IF($C611="","",L611*U611/100)</f>
        <v/>
      </c>
      <c r="N611" s="7" t="n"/>
      <c r="T611" s="7" t="n"/>
      <c r="U611" s="7">
        <f>IF($C611="","",S611*T611)</f>
        <v/>
      </c>
      <c r="X611">
        <f>IF($C611="","",IF($AM611=1,0,IF($AL611=1,Settings!$C$6,Settings!$C$7))*100)</f>
        <v/>
      </c>
      <c r="AB611" s="7" t="n"/>
      <c r="AE611" s="11" t="n"/>
      <c r="AG611" s="7">
        <f>IF($C611="","",U611*X611/100)</f>
        <v/>
      </c>
      <c r="AH611" s="7">
        <f>IF($C611="","",U611-AG611)</f>
        <v/>
      </c>
      <c r="AI611" s="7">
        <f>IF($C611="","",AH611-M611)</f>
        <v/>
      </c>
      <c r="AJ611">
        <f>IF($C611="","",IF(COUNTIF($C$2:$C611,$C611)=1,1,0))</f>
        <v/>
      </c>
      <c r="AK611">
        <f>IF($AJ611=1,SUMPRODUCT(--($AN$2:$AN$4001&lt;$AN611))+1,"")</f>
        <v/>
      </c>
      <c r="AL611">
        <f>IF($C611="","",IF(OR($Q611=TRUE(),$Q611="TRUE"),1,0))</f>
        <v/>
      </c>
      <c r="AM611">
        <f>IF($C611="","",IF($W611="Yes",1,0))</f>
        <v/>
      </c>
      <c r="AN611">
        <f>IF($AJ611=1,IFERROR(IF(VALUE($C611)&lt;100000000,VALUE($C611),1000000000),IFERROR(IF(VALUE(MID($C611,2,20))&lt;100000000,VALUE(MID($C611,2,20)),1000000000),1000000000))+ROW()/100000,"")</f>
        <v/>
      </c>
    </row>
    <row r="612">
      <c r="E612" s="11" t="n"/>
      <c r="M612" s="7">
        <f>IF($C612="","",L612*U612/100)</f>
        <v/>
      </c>
      <c r="N612" s="7" t="n"/>
      <c r="T612" s="7" t="n"/>
      <c r="U612" s="7">
        <f>IF($C612="","",S612*T612)</f>
        <v/>
      </c>
      <c r="X612">
        <f>IF($C612="","",IF($AM612=1,0,IF($AL612=1,Settings!$C$6,Settings!$C$7))*100)</f>
        <v/>
      </c>
      <c r="AB612" s="7" t="n"/>
      <c r="AE612" s="11" t="n"/>
      <c r="AG612" s="7">
        <f>IF($C612="","",U612*X612/100)</f>
        <v/>
      </c>
      <c r="AH612" s="7">
        <f>IF($C612="","",U612-AG612)</f>
        <v/>
      </c>
      <c r="AI612" s="7">
        <f>IF($C612="","",AH612-M612)</f>
        <v/>
      </c>
      <c r="AJ612">
        <f>IF($C612="","",IF(COUNTIF($C$2:$C612,$C612)=1,1,0))</f>
        <v/>
      </c>
      <c r="AK612">
        <f>IF($AJ612=1,SUMPRODUCT(--($AN$2:$AN$4001&lt;$AN612))+1,"")</f>
        <v/>
      </c>
      <c r="AL612">
        <f>IF($C612="","",IF(OR($Q612=TRUE(),$Q612="TRUE"),1,0))</f>
        <v/>
      </c>
      <c r="AM612">
        <f>IF($C612="","",IF($W612="Yes",1,0))</f>
        <v/>
      </c>
      <c r="AN612">
        <f>IF($AJ612=1,IFERROR(IF(VALUE($C612)&lt;100000000,VALUE($C612),1000000000),IFERROR(IF(VALUE(MID($C612,2,20))&lt;100000000,VALUE(MID($C612,2,20)),1000000000),1000000000))+ROW()/100000,"")</f>
        <v/>
      </c>
    </row>
    <row r="613">
      <c r="E613" s="11" t="n"/>
      <c r="M613" s="7">
        <f>IF($C613="","",L613*U613/100)</f>
        <v/>
      </c>
      <c r="N613" s="7" t="n"/>
      <c r="T613" s="7" t="n"/>
      <c r="U613" s="7">
        <f>IF($C613="","",S613*T613)</f>
        <v/>
      </c>
      <c r="X613">
        <f>IF($C613="","",IF($AM613=1,0,IF($AL613=1,Settings!$C$6,Settings!$C$7))*100)</f>
        <v/>
      </c>
      <c r="AB613" s="7" t="n"/>
      <c r="AE613" s="11" t="n"/>
      <c r="AG613" s="7">
        <f>IF($C613="","",U613*X613/100)</f>
        <v/>
      </c>
      <c r="AH613" s="7">
        <f>IF($C613="","",U613-AG613)</f>
        <v/>
      </c>
      <c r="AI613" s="7">
        <f>IF($C613="","",AH613-M613)</f>
        <v/>
      </c>
      <c r="AJ613">
        <f>IF($C613="","",IF(COUNTIF($C$2:$C613,$C613)=1,1,0))</f>
        <v/>
      </c>
      <c r="AK613">
        <f>IF($AJ613=1,SUMPRODUCT(--($AN$2:$AN$4001&lt;$AN613))+1,"")</f>
        <v/>
      </c>
      <c r="AL613">
        <f>IF($C613="","",IF(OR($Q613=TRUE(),$Q613="TRUE"),1,0))</f>
        <v/>
      </c>
      <c r="AM613">
        <f>IF($C613="","",IF($W613="Yes",1,0))</f>
        <v/>
      </c>
      <c r="AN613">
        <f>IF($AJ613=1,IFERROR(IF(VALUE($C613)&lt;100000000,VALUE($C613),1000000000),IFERROR(IF(VALUE(MID($C613,2,20))&lt;100000000,VALUE(MID($C613,2,20)),1000000000),1000000000))+ROW()/100000,"")</f>
        <v/>
      </c>
    </row>
    <row r="614">
      <c r="E614" s="11" t="n"/>
      <c r="M614" s="7">
        <f>IF($C614="","",L614*U614/100)</f>
        <v/>
      </c>
      <c r="N614" s="7" t="n"/>
      <c r="T614" s="7" t="n"/>
      <c r="U614" s="7">
        <f>IF($C614="","",S614*T614)</f>
        <v/>
      </c>
      <c r="X614">
        <f>IF($C614="","",IF($AM614=1,0,IF($AL614=1,Settings!$C$6,Settings!$C$7))*100)</f>
        <v/>
      </c>
      <c r="AB614" s="7" t="n"/>
      <c r="AE614" s="11" t="n"/>
      <c r="AG614" s="7">
        <f>IF($C614="","",U614*X614/100)</f>
        <v/>
      </c>
      <c r="AH614" s="7">
        <f>IF($C614="","",U614-AG614)</f>
        <v/>
      </c>
      <c r="AI614" s="7">
        <f>IF($C614="","",AH614-M614)</f>
        <v/>
      </c>
      <c r="AJ614">
        <f>IF($C614="","",IF(COUNTIF($C$2:$C614,$C614)=1,1,0))</f>
        <v/>
      </c>
      <c r="AK614">
        <f>IF($AJ614=1,SUMPRODUCT(--($AN$2:$AN$4001&lt;$AN614))+1,"")</f>
        <v/>
      </c>
      <c r="AL614">
        <f>IF($C614="","",IF(OR($Q614=TRUE(),$Q614="TRUE"),1,0))</f>
        <v/>
      </c>
      <c r="AM614">
        <f>IF($C614="","",IF($W614="Yes",1,0))</f>
        <v/>
      </c>
      <c r="AN614">
        <f>IF($AJ614=1,IFERROR(IF(VALUE($C614)&lt;100000000,VALUE($C614),1000000000),IFERROR(IF(VALUE(MID($C614,2,20))&lt;100000000,VALUE(MID($C614,2,20)),1000000000),1000000000))+ROW()/100000,"")</f>
        <v/>
      </c>
    </row>
    <row r="615">
      <c r="E615" s="11" t="n"/>
      <c r="M615" s="7">
        <f>IF($C615="","",L615*U615/100)</f>
        <v/>
      </c>
      <c r="N615" s="7" t="n"/>
      <c r="T615" s="7" t="n"/>
      <c r="U615" s="7">
        <f>IF($C615="","",S615*T615)</f>
        <v/>
      </c>
      <c r="X615">
        <f>IF($C615="","",IF($AM615=1,0,IF($AL615=1,Settings!$C$6,Settings!$C$7))*100)</f>
        <v/>
      </c>
      <c r="AB615" s="7" t="n"/>
      <c r="AE615" s="11" t="n"/>
      <c r="AG615" s="7">
        <f>IF($C615="","",U615*X615/100)</f>
        <v/>
      </c>
      <c r="AH615" s="7">
        <f>IF($C615="","",U615-AG615)</f>
        <v/>
      </c>
      <c r="AI615" s="7">
        <f>IF($C615="","",AH615-M615)</f>
        <v/>
      </c>
      <c r="AJ615">
        <f>IF($C615="","",IF(COUNTIF($C$2:$C615,$C615)=1,1,0))</f>
        <v/>
      </c>
      <c r="AK615">
        <f>IF($AJ615=1,SUMPRODUCT(--($AN$2:$AN$4001&lt;$AN615))+1,"")</f>
        <v/>
      </c>
      <c r="AL615">
        <f>IF($C615="","",IF(OR($Q615=TRUE(),$Q615="TRUE"),1,0))</f>
        <v/>
      </c>
      <c r="AM615">
        <f>IF($C615="","",IF($W615="Yes",1,0))</f>
        <v/>
      </c>
      <c r="AN615">
        <f>IF($AJ615=1,IFERROR(IF(VALUE($C615)&lt;100000000,VALUE($C615),1000000000),IFERROR(IF(VALUE(MID($C615,2,20))&lt;100000000,VALUE(MID($C615,2,20)),1000000000),1000000000))+ROW()/100000,"")</f>
        <v/>
      </c>
    </row>
    <row r="616">
      <c r="E616" s="11" t="n"/>
      <c r="M616" s="7">
        <f>IF($C616="","",L616*U616/100)</f>
        <v/>
      </c>
      <c r="N616" s="7" t="n"/>
      <c r="T616" s="7" t="n"/>
      <c r="U616" s="7">
        <f>IF($C616="","",S616*T616)</f>
        <v/>
      </c>
      <c r="X616">
        <f>IF($C616="","",IF($AM616=1,0,IF($AL616=1,Settings!$C$6,Settings!$C$7))*100)</f>
        <v/>
      </c>
      <c r="AB616" s="7" t="n"/>
      <c r="AE616" s="11" t="n"/>
      <c r="AG616" s="7">
        <f>IF($C616="","",U616*X616/100)</f>
        <v/>
      </c>
      <c r="AH616" s="7">
        <f>IF($C616="","",U616-AG616)</f>
        <v/>
      </c>
      <c r="AI616" s="7">
        <f>IF($C616="","",AH616-M616)</f>
        <v/>
      </c>
      <c r="AJ616">
        <f>IF($C616="","",IF(COUNTIF($C$2:$C616,$C616)=1,1,0))</f>
        <v/>
      </c>
      <c r="AK616">
        <f>IF($AJ616=1,SUMPRODUCT(--($AN$2:$AN$4001&lt;$AN616))+1,"")</f>
        <v/>
      </c>
      <c r="AL616">
        <f>IF($C616="","",IF(OR($Q616=TRUE(),$Q616="TRUE"),1,0))</f>
        <v/>
      </c>
      <c r="AM616">
        <f>IF($C616="","",IF($W616="Yes",1,0))</f>
        <v/>
      </c>
      <c r="AN616">
        <f>IF($AJ616=1,IFERROR(IF(VALUE($C616)&lt;100000000,VALUE($C616),1000000000),IFERROR(IF(VALUE(MID($C616,2,20))&lt;100000000,VALUE(MID($C616,2,20)),1000000000),1000000000))+ROW()/100000,"")</f>
        <v/>
      </c>
    </row>
    <row r="617">
      <c r="E617" s="11" t="n"/>
      <c r="M617" s="7">
        <f>IF($C617="","",L617*U617/100)</f>
        <v/>
      </c>
      <c r="N617" s="7" t="n"/>
      <c r="T617" s="7" t="n"/>
      <c r="U617" s="7">
        <f>IF($C617="","",S617*T617)</f>
        <v/>
      </c>
      <c r="X617">
        <f>IF($C617="","",IF($AM617=1,0,IF($AL617=1,Settings!$C$6,Settings!$C$7))*100)</f>
        <v/>
      </c>
      <c r="AB617" s="7" t="n"/>
      <c r="AE617" s="11" t="n"/>
      <c r="AG617" s="7">
        <f>IF($C617="","",U617*X617/100)</f>
        <v/>
      </c>
      <c r="AH617" s="7">
        <f>IF($C617="","",U617-AG617)</f>
        <v/>
      </c>
      <c r="AI617" s="7">
        <f>IF($C617="","",AH617-M617)</f>
        <v/>
      </c>
      <c r="AJ617">
        <f>IF($C617="","",IF(COUNTIF($C$2:$C617,$C617)=1,1,0))</f>
        <v/>
      </c>
      <c r="AK617">
        <f>IF($AJ617=1,SUMPRODUCT(--($AN$2:$AN$4001&lt;$AN617))+1,"")</f>
        <v/>
      </c>
      <c r="AL617">
        <f>IF($C617="","",IF(OR($Q617=TRUE(),$Q617="TRUE"),1,0))</f>
        <v/>
      </c>
      <c r="AM617">
        <f>IF($C617="","",IF($W617="Yes",1,0))</f>
        <v/>
      </c>
      <c r="AN617">
        <f>IF($AJ617=1,IFERROR(IF(VALUE($C617)&lt;100000000,VALUE($C617),1000000000),IFERROR(IF(VALUE(MID($C617,2,20))&lt;100000000,VALUE(MID($C617,2,20)),1000000000),1000000000))+ROW()/100000,"")</f>
        <v/>
      </c>
    </row>
    <row r="618">
      <c r="E618" s="11" t="n"/>
      <c r="M618" s="7">
        <f>IF($C618="","",L618*U618/100)</f>
        <v/>
      </c>
      <c r="N618" s="7" t="n"/>
      <c r="T618" s="7" t="n"/>
      <c r="U618" s="7">
        <f>IF($C618="","",S618*T618)</f>
        <v/>
      </c>
      <c r="X618">
        <f>IF($C618="","",IF($AM618=1,0,IF($AL618=1,Settings!$C$6,Settings!$C$7))*100)</f>
        <v/>
      </c>
      <c r="AB618" s="7" t="n"/>
      <c r="AE618" s="11" t="n"/>
      <c r="AG618" s="7">
        <f>IF($C618="","",U618*X618/100)</f>
        <v/>
      </c>
      <c r="AH618" s="7">
        <f>IF($C618="","",U618-AG618)</f>
        <v/>
      </c>
      <c r="AI618" s="7">
        <f>IF($C618="","",AH618-M618)</f>
        <v/>
      </c>
      <c r="AJ618">
        <f>IF($C618="","",IF(COUNTIF($C$2:$C618,$C618)=1,1,0))</f>
        <v/>
      </c>
      <c r="AK618">
        <f>IF($AJ618=1,SUMPRODUCT(--($AN$2:$AN$4001&lt;$AN618))+1,"")</f>
        <v/>
      </c>
      <c r="AL618">
        <f>IF($C618="","",IF(OR($Q618=TRUE(),$Q618="TRUE"),1,0))</f>
        <v/>
      </c>
      <c r="AM618">
        <f>IF($C618="","",IF($W618="Yes",1,0))</f>
        <v/>
      </c>
      <c r="AN618">
        <f>IF($AJ618=1,IFERROR(IF(VALUE($C618)&lt;100000000,VALUE($C618),1000000000),IFERROR(IF(VALUE(MID($C618,2,20))&lt;100000000,VALUE(MID($C618,2,20)),1000000000),1000000000))+ROW()/100000,"")</f>
        <v/>
      </c>
    </row>
    <row r="619">
      <c r="E619" s="11" t="n"/>
      <c r="M619" s="7">
        <f>IF($C619="","",L619*U619/100)</f>
        <v/>
      </c>
      <c r="N619" s="7" t="n"/>
      <c r="T619" s="7" t="n"/>
      <c r="U619" s="7">
        <f>IF($C619="","",S619*T619)</f>
        <v/>
      </c>
      <c r="X619">
        <f>IF($C619="","",IF($AM619=1,0,IF($AL619=1,Settings!$C$6,Settings!$C$7))*100)</f>
        <v/>
      </c>
      <c r="AB619" s="7" t="n"/>
      <c r="AE619" s="11" t="n"/>
      <c r="AG619" s="7">
        <f>IF($C619="","",U619*X619/100)</f>
        <v/>
      </c>
      <c r="AH619" s="7">
        <f>IF($C619="","",U619-AG619)</f>
        <v/>
      </c>
      <c r="AI619" s="7">
        <f>IF($C619="","",AH619-M619)</f>
        <v/>
      </c>
      <c r="AJ619">
        <f>IF($C619="","",IF(COUNTIF($C$2:$C619,$C619)=1,1,0))</f>
        <v/>
      </c>
      <c r="AK619">
        <f>IF($AJ619=1,SUMPRODUCT(--($AN$2:$AN$4001&lt;$AN619))+1,"")</f>
        <v/>
      </c>
      <c r="AL619">
        <f>IF($C619="","",IF(OR($Q619=TRUE(),$Q619="TRUE"),1,0))</f>
        <v/>
      </c>
      <c r="AM619">
        <f>IF($C619="","",IF($W619="Yes",1,0))</f>
        <v/>
      </c>
      <c r="AN619">
        <f>IF($AJ619=1,IFERROR(IF(VALUE($C619)&lt;100000000,VALUE($C619),1000000000),IFERROR(IF(VALUE(MID($C619,2,20))&lt;100000000,VALUE(MID($C619,2,20)),1000000000),1000000000))+ROW()/100000,"")</f>
        <v/>
      </c>
    </row>
    <row r="620">
      <c r="E620" s="11" t="n"/>
      <c r="M620" s="7">
        <f>IF($C620="","",L620*U620/100)</f>
        <v/>
      </c>
      <c r="N620" s="7" t="n"/>
      <c r="T620" s="7" t="n"/>
      <c r="U620" s="7">
        <f>IF($C620="","",S620*T620)</f>
        <v/>
      </c>
      <c r="X620">
        <f>IF($C620="","",IF($AM620=1,0,IF($AL620=1,Settings!$C$6,Settings!$C$7))*100)</f>
        <v/>
      </c>
      <c r="AB620" s="7" t="n"/>
      <c r="AE620" s="11" t="n"/>
      <c r="AG620" s="7">
        <f>IF($C620="","",U620*X620/100)</f>
        <v/>
      </c>
      <c r="AH620" s="7">
        <f>IF($C620="","",U620-AG620)</f>
        <v/>
      </c>
      <c r="AI620" s="7">
        <f>IF($C620="","",AH620-M620)</f>
        <v/>
      </c>
      <c r="AJ620">
        <f>IF($C620="","",IF(COUNTIF($C$2:$C620,$C620)=1,1,0))</f>
        <v/>
      </c>
      <c r="AK620">
        <f>IF($AJ620=1,SUMPRODUCT(--($AN$2:$AN$4001&lt;$AN620))+1,"")</f>
        <v/>
      </c>
      <c r="AL620">
        <f>IF($C620="","",IF(OR($Q620=TRUE(),$Q620="TRUE"),1,0))</f>
        <v/>
      </c>
      <c r="AM620">
        <f>IF($C620="","",IF($W620="Yes",1,0))</f>
        <v/>
      </c>
      <c r="AN620">
        <f>IF($AJ620=1,IFERROR(IF(VALUE($C620)&lt;100000000,VALUE($C620),1000000000),IFERROR(IF(VALUE(MID($C620,2,20))&lt;100000000,VALUE(MID($C620,2,20)),1000000000),1000000000))+ROW()/100000,"")</f>
        <v/>
      </c>
    </row>
    <row r="621">
      <c r="E621" s="11" t="n"/>
      <c r="M621" s="7">
        <f>IF($C621="","",L621*U621/100)</f>
        <v/>
      </c>
      <c r="N621" s="7" t="n"/>
      <c r="T621" s="7" t="n"/>
      <c r="U621" s="7">
        <f>IF($C621="","",S621*T621)</f>
        <v/>
      </c>
      <c r="X621">
        <f>IF($C621="","",IF($AM621=1,0,IF($AL621=1,Settings!$C$6,Settings!$C$7))*100)</f>
        <v/>
      </c>
      <c r="AB621" s="7" t="n"/>
      <c r="AE621" s="11" t="n"/>
      <c r="AG621" s="7">
        <f>IF($C621="","",U621*X621/100)</f>
        <v/>
      </c>
      <c r="AH621" s="7">
        <f>IF($C621="","",U621-AG621)</f>
        <v/>
      </c>
      <c r="AI621" s="7">
        <f>IF($C621="","",AH621-M621)</f>
        <v/>
      </c>
      <c r="AJ621">
        <f>IF($C621="","",IF(COUNTIF($C$2:$C621,$C621)=1,1,0))</f>
        <v/>
      </c>
      <c r="AK621">
        <f>IF($AJ621=1,SUMPRODUCT(--($AN$2:$AN$4001&lt;$AN621))+1,"")</f>
        <v/>
      </c>
      <c r="AL621">
        <f>IF($C621="","",IF(OR($Q621=TRUE(),$Q621="TRUE"),1,0))</f>
        <v/>
      </c>
      <c r="AM621">
        <f>IF($C621="","",IF($W621="Yes",1,0))</f>
        <v/>
      </c>
      <c r="AN621">
        <f>IF($AJ621=1,IFERROR(IF(VALUE($C621)&lt;100000000,VALUE($C621),1000000000),IFERROR(IF(VALUE(MID($C621,2,20))&lt;100000000,VALUE(MID($C621,2,20)),1000000000),1000000000))+ROW()/100000,"")</f>
        <v/>
      </c>
    </row>
    <row r="622">
      <c r="E622" s="11" t="n"/>
      <c r="M622" s="7">
        <f>IF($C622="","",L622*U622/100)</f>
        <v/>
      </c>
      <c r="N622" s="7" t="n"/>
      <c r="T622" s="7" t="n"/>
      <c r="U622" s="7">
        <f>IF($C622="","",S622*T622)</f>
        <v/>
      </c>
      <c r="X622">
        <f>IF($C622="","",IF($AM622=1,0,IF($AL622=1,Settings!$C$6,Settings!$C$7))*100)</f>
        <v/>
      </c>
      <c r="AB622" s="7" t="n"/>
      <c r="AE622" s="11" t="n"/>
      <c r="AG622" s="7">
        <f>IF($C622="","",U622*X622/100)</f>
        <v/>
      </c>
      <c r="AH622" s="7">
        <f>IF($C622="","",U622-AG622)</f>
        <v/>
      </c>
      <c r="AI622" s="7">
        <f>IF($C622="","",AH622-M622)</f>
        <v/>
      </c>
      <c r="AJ622">
        <f>IF($C622="","",IF(COUNTIF($C$2:$C622,$C622)=1,1,0))</f>
        <v/>
      </c>
      <c r="AK622">
        <f>IF($AJ622=1,SUMPRODUCT(--($AN$2:$AN$4001&lt;$AN622))+1,"")</f>
        <v/>
      </c>
      <c r="AL622">
        <f>IF($C622="","",IF(OR($Q622=TRUE(),$Q622="TRUE"),1,0))</f>
        <v/>
      </c>
      <c r="AM622">
        <f>IF($C622="","",IF($W622="Yes",1,0))</f>
        <v/>
      </c>
      <c r="AN622">
        <f>IF($AJ622=1,IFERROR(IF(VALUE($C622)&lt;100000000,VALUE($C622),1000000000),IFERROR(IF(VALUE(MID($C622,2,20))&lt;100000000,VALUE(MID($C622,2,20)),1000000000),1000000000))+ROW()/100000,"")</f>
        <v/>
      </c>
    </row>
    <row r="623">
      <c r="E623" s="11" t="n"/>
      <c r="M623" s="7">
        <f>IF($C623="","",L623*U623/100)</f>
        <v/>
      </c>
      <c r="N623" s="7" t="n"/>
      <c r="T623" s="7" t="n"/>
      <c r="U623" s="7">
        <f>IF($C623="","",S623*T623)</f>
        <v/>
      </c>
      <c r="X623">
        <f>IF($C623="","",IF($AM623=1,0,IF($AL623=1,Settings!$C$6,Settings!$C$7))*100)</f>
        <v/>
      </c>
      <c r="AB623" s="7" t="n"/>
      <c r="AE623" s="11" t="n"/>
      <c r="AG623" s="7">
        <f>IF($C623="","",U623*X623/100)</f>
        <v/>
      </c>
      <c r="AH623" s="7">
        <f>IF($C623="","",U623-AG623)</f>
        <v/>
      </c>
      <c r="AI623" s="7">
        <f>IF($C623="","",AH623-M623)</f>
        <v/>
      </c>
      <c r="AJ623">
        <f>IF($C623="","",IF(COUNTIF($C$2:$C623,$C623)=1,1,0))</f>
        <v/>
      </c>
      <c r="AK623">
        <f>IF($AJ623=1,SUMPRODUCT(--($AN$2:$AN$4001&lt;$AN623))+1,"")</f>
        <v/>
      </c>
      <c r="AL623">
        <f>IF($C623="","",IF(OR($Q623=TRUE(),$Q623="TRUE"),1,0))</f>
        <v/>
      </c>
      <c r="AM623">
        <f>IF($C623="","",IF($W623="Yes",1,0))</f>
        <v/>
      </c>
      <c r="AN623">
        <f>IF($AJ623=1,IFERROR(IF(VALUE($C623)&lt;100000000,VALUE($C623),1000000000),IFERROR(IF(VALUE(MID($C623,2,20))&lt;100000000,VALUE(MID($C623,2,20)),1000000000),1000000000))+ROW()/100000,"")</f>
        <v/>
      </c>
    </row>
    <row r="624">
      <c r="E624" s="11" t="n"/>
      <c r="M624" s="7">
        <f>IF($C624="","",L624*U624/100)</f>
        <v/>
      </c>
      <c r="N624" s="7" t="n"/>
      <c r="T624" s="7" t="n"/>
      <c r="U624" s="7">
        <f>IF($C624="","",S624*T624)</f>
        <v/>
      </c>
      <c r="X624">
        <f>IF($C624="","",IF($AM624=1,0,IF($AL624=1,Settings!$C$6,Settings!$C$7))*100)</f>
        <v/>
      </c>
      <c r="AB624" s="7" t="n"/>
      <c r="AE624" s="11" t="n"/>
      <c r="AG624" s="7">
        <f>IF($C624="","",U624*X624/100)</f>
        <v/>
      </c>
      <c r="AH624" s="7">
        <f>IF($C624="","",U624-AG624)</f>
        <v/>
      </c>
      <c r="AI624" s="7">
        <f>IF($C624="","",AH624-M624)</f>
        <v/>
      </c>
      <c r="AJ624">
        <f>IF($C624="","",IF(COUNTIF($C$2:$C624,$C624)=1,1,0))</f>
        <v/>
      </c>
      <c r="AK624">
        <f>IF($AJ624=1,SUMPRODUCT(--($AN$2:$AN$4001&lt;$AN624))+1,"")</f>
        <v/>
      </c>
      <c r="AL624">
        <f>IF($C624="","",IF(OR($Q624=TRUE(),$Q624="TRUE"),1,0))</f>
        <v/>
      </c>
      <c r="AM624">
        <f>IF($C624="","",IF($W624="Yes",1,0))</f>
        <v/>
      </c>
      <c r="AN624">
        <f>IF($AJ624=1,IFERROR(IF(VALUE($C624)&lt;100000000,VALUE($C624),1000000000),IFERROR(IF(VALUE(MID($C624,2,20))&lt;100000000,VALUE(MID($C624,2,20)),1000000000),1000000000))+ROW()/100000,"")</f>
        <v/>
      </c>
    </row>
    <row r="625">
      <c r="E625" s="11" t="n"/>
      <c r="M625" s="7">
        <f>IF($C625="","",L625*U625/100)</f>
        <v/>
      </c>
      <c r="N625" s="7" t="n"/>
      <c r="T625" s="7" t="n"/>
      <c r="U625" s="7">
        <f>IF($C625="","",S625*T625)</f>
        <v/>
      </c>
      <c r="X625">
        <f>IF($C625="","",IF($AM625=1,0,IF($AL625=1,Settings!$C$6,Settings!$C$7))*100)</f>
        <v/>
      </c>
      <c r="AB625" s="7" t="n"/>
      <c r="AE625" s="11" t="n"/>
      <c r="AG625" s="7">
        <f>IF($C625="","",U625*X625/100)</f>
        <v/>
      </c>
      <c r="AH625" s="7">
        <f>IF($C625="","",U625-AG625)</f>
        <v/>
      </c>
      <c r="AI625" s="7">
        <f>IF($C625="","",AH625-M625)</f>
        <v/>
      </c>
      <c r="AJ625">
        <f>IF($C625="","",IF(COUNTIF($C$2:$C625,$C625)=1,1,0))</f>
        <v/>
      </c>
      <c r="AK625">
        <f>IF($AJ625=1,SUMPRODUCT(--($AN$2:$AN$4001&lt;$AN625))+1,"")</f>
        <v/>
      </c>
      <c r="AL625">
        <f>IF($C625="","",IF(OR($Q625=TRUE(),$Q625="TRUE"),1,0))</f>
        <v/>
      </c>
      <c r="AM625">
        <f>IF($C625="","",IF($W625="Yes",1,0))</f>
        <v/>
      </c>
      <c r="AN625">
        <f>IF($AJ625=1,IFERROR(IF(VALUE($C625)&lt;100000000,VALUE($C625),1000000000),IFERROR(IF(VALUE(MID($C625,2,20))&lt;100000000,VALUE(MID($C625,2,20)),1000000000),1000000000))+ROW()/100000,"")</f>
        <v/>
      </c>
    </row>
    <row r="626">
      <c r="E626" s="11" t="n"/>
      <c r="M626" s="7">
        <f>IF($C626="","",L626*U626/100)</f>
        <v/>
      </c>
      <c r="N626" s="7" t="n"/>
      <c r="T626" s="7" t="n"/>
      <c r="U626" s="7">
        <f>IF($C626="","",S626*T626)</f>
        <v/>
      </c>
      <c r="X626">
        <f>IF($C626="","",IF($AM626=1,0,IF($AL626=1,Settings!$C$6,Settings!$C$7))*100)</f>
        <v/>
      </c>
      <c r="AB626" s="7" t="n"/>
      <c r="AE626" s="11" t="n"/>
      <c r="AG626" s="7">
        <f>IF($C626="","",U626*X626/100)</f>
        <v/>
      </c>
      <c r="AH626" s="7">
        <f>IF($C626="","",U626-AG626)</f>
        <v/>
      </c>
      <c r="AI626" s="7">
        <f>IF($C626="","",AH626-M626)</f>
        <v/>
      </c>
      <c r="AJ626">
        <f>IF($C626="","",IF(COUNTIF($C$2:$C626,$C626)=1,1,0))</f>
        <v/>
      </c>
      <c r="AK626">
        <f>IF($AJ626=1,SUMPRODUCT(--($AN$2:$AN$4001&lt;$AN626))+1,"")</f>
        <v/>
      </c>
      <c r="AL626">
        <f>IF($C626="","",IF(OR($Q626=TRUE(),$Q626="TRUE"),1,0))</f>
        <v/>
      </c>
      <c r="AM626">
        <f>IF($C626="","",IF($W626="Yes",1,0))</f>
        <v/>
      </c>
      <c r="AN626">
        <f>IF($AJ626=1,IFERROR(IF(VALUE($C626)&lt;100000000,VALUE($C626),1000000000),IFERROR(IF(VALUE(MID($C626,2,20))&lt;100000000,VALUE(MID($C626,2,20)),1000000000),1000000000))+ROW()/100000,"")</f>
        <v/>
      </c>
    </row>
    <row r="627">
      <c r="E627" s="11" t="n"/>
      <c r="M627" s="7">
        <f>IF($C627="","",L627*U627/100)</f>
        <v/>
      </c>
      <c r="N627" s="7" t="n"/>
      <c r="T627" s="7" t="n"/>
      <c r="U627" s="7">
        <f>IF($C627="","",S627*T627)</f>
        <v/>
      </c>
      <c r="X627">
        <f>IF($C627="","",IF($AM627=1,0,IF($AL627=1,Settings!$C$6,Settings!$C$7))*100)</f>
        <v/>
      </c>
      <c r="AB627" s="7" t="n"/>
      <c r="AE627" s="11" t="n"/>
      <c r="AG627" s="7">
        <f>IF($C627="","",U627*X627/100)</f>
        <v/>
      </c>
      <c r="AH627" s="7">
        <f>IF($C627="","",U627-AG627)</f>
        <v/>
      </c>
      <c r="AI627" s="7">
        <f>IF($C627="","",AH627-M627)</f>
        <v/>
      </c>
      <c r="AJ627">
        <f>IF($C627="","",IF(COUNTIF($C$2:$C627,$C627)=1,1,0))</f>
        <v/>
      </c>
      <c r="AK627">
        <f>IF($AJ627=1,SUMPRODUCT(--($AN$2:$AN$4001&lt;$AN627))+1,"")</f>
        <v/>
      </c>
      <c r="AL627">
        <f>IF($C627="","",IF(OR($Q627=TRUE(),$Q627="TRUE"),1,0))</f>
        <v/>
      </c>
      <c r="AM627">
        <f>IF($C627="","",IF($W627="Yes",1,0))</f>
        <v/>
      </c>
      <c r="AN627">
        <f>IF($AJ627=1,IFERROR(IF(VALUE($C627)&lt;100000000,VALUE($C627),1000000000),IFERROR(IF(VALUE(MID($C627,2,20))&lt;100000000,VALUE(MID($C627,2,20)),1000000000),1000000000))+ROW()/100000,"")</f>
        <v/>
      </c>
    </row>
    <row r="628">
      <c r="E628" s="11" t="n"/>
      <c r="M628" s="7">
        <f>IF($C628="","",L628*U628/100)</f>
        <v/>
      </c>
      <c r="N628" s="7" t="n"/>
      <c r="T628" s="7" t="n"/>
      <c r="U628" s="7">
        <f>IF($C628="","",S628*T628)</f>
        <v/>
      </c>
      <c r="X628">
        <f>IF($C628="","",IF($AM628=1,0,IF($AL628=1,Settings!$C$6,Settings!$C$7))*100)</f>
        <v/>
      </c>
      <c r="AB628" s="7" t="n"/>
      <c r="AE628" s="11" t="n"/>
      <c r="AG628" s="7">
        <f>IF($C628="","",U628*X628/100)</f>
        <v/>
      </c>
      <c r="AH628" s="7">
        <f>IF($C628="","",U628-AG628)</f>
        <v/>
      </c>
      <c r="AI628" s="7">
        <f>IF($C628="","",AH628-M628)</f>
        <v/>
      </c>
      <c r="AJ628">
        <f>IF($C628="","",IF(COUNTIF($C$2:$C628,$C628)=1,1,0))</f>
        <v/>
      </c>
      <c r="AK628">
        <f>IF($AJ628=1,SUMPRODUCT(--($AN$2:$AN$4001&lt;$AN628))+1,"")</f>
        <v/>
      </c>
      <c r="AL628">
        <f>IF($C628="","",IF(OR($Q628=TRUE(),$Q628="TRUE"),1,0))</f>
        <v/>
      </c>
      <c r="AM628">
        <f>IF($C628="","",IF($W628="Yes",1,0))</f>
        <v/>
      </c>
      <c r="AN628">
        <f>IF($AJ628=1,IFERROR(IF(VALUE($C628)&lt;100000000,VALUE($C628),1000000000),IFERROR(IF(VALUE(MID($C628,2,20))&lt;100000000,VALUE(MID($C628,2,20)),1000000000),1000000000))+ROW()/100000,"")</f>
        <v/>
      </c>
    </row>
    <row r="629">
      <c r="E629" s="11" t="n"/>
      <c r="M629" s="7">
        <f>IF($C629="","",L629*U629/100)</f>
        <v/>
      </c>
      <c r="N629" s="7" t="n"/>
      <c r="T629" s="7" t="n"/>
      <c r="U629" s="7">
        <f>IF($C629="","",S629*T629)</f>
        <v/>
      </c>
      <c r="X629">
        <f>IF($C629="","",IF($AM629=1,0,IF($AL629=1,Settings!$C$6,Settings!$C$7))*100)</f>
        <v/>
      </c>
      <c r="AB629" s="7" t="n"/>
      <c r="AE629" s="11" t="n"/>
      <c r="AG629" s="7">
        <f>IF($C629="","",U629*X629/100)</f>
        <v/>
      </c>
      <c r="AH629" s="7">
        <f>IF($C629="","",U629-AG629)</f>
        <v/>
      </c>
      <c r="AI629" s="7">
        <f>IF($C629="","",AH629-M629)</f>
        <v/>
      </c>
      <c r="AJ629">
        <f>IF($C629="","",IF(COUNTIF($C$2:$C629,$C629)=1,1,0))</f>
        <v/>
      </c>
      <c r="AK629">
        <f>IF($AJ629=1,SUMPRODUCT(--($AN$2:$AN$4001&lt;$AN629))+1,"")</f>
        <v/>
      </c>
      <c r="AL629">
        <f>IF($C629="","",IF(OR($Q629=TRUE(),$Q629="TRUE"),1,0))</f>
        <v/>
      </c>
      <c r="AM629">
        <f>IF($C629="","",IF($W629="Yes",1,0))</f>
        <v/>
      </c>
      <c r="AN629">
        <f>IF($AJ629=1,IFERROR(IF(VALUE($C629)&lt;100000000,VALUE($C629),1000000000),IFERROR(IF(VALUE(MID($C629,2,20))&lt;100000000,VALUE(MID($C629,2,20)),1000000000),1000000000))+ROW()/100000,"")</f>
        <v/>
      </c>
    </row>
    <row r="630">
      <c r="E630" s="11" t="n"/>
      <c r="M630" s="7">
        <f>IF($C630="","",L630*U630/100)</f>
        <v/>
      </c>
      <c r="N630" s="7" t="n"/>
      <c r="T630" s="7" t="n"/>
      <c r="U630" s="7">
        <f>IF($C630="","",S630*T630)</f>
        <v/>
      </c>
      <c r="X630">
        <f>IF($C630="","",IF($AM630=1,0,IF($AL630=1,Settings!$C$6,Settings!$C$7))*100)</f>
        <v/>
      </c>
      <c r="AB630" s="7" t="n"/>
      <c r="AE630" s="11" t="n"/>
      <c r="AG630" s="7">
        <f>IF($C630="","",U630*X630/100)</f>
        <v/>
      </c>
      <c r="AH630" s="7">
        <f>IF($C630="","",U630-AG630)</f>
        <v/>
      </c>
      <c r="AI630" s="7">
        <f>IF($C630="","",AH630-M630)</f>
        <v/>
      </c>
      <c r="AJ630">
        <f>IF($C630="","",IF(COUNTIF($C$2:$C630,$C630)=1,1,0))</f>
        <v/>
      </c>
      <c r="AK630">
        <f>IF($AJ630=1,SUMPRODUCT(--($AN$2:$AN$4001&lt;$AN630))+1,"")</f>
        <v/>
      </c>
      <c r="AL630">
        <f>IF($C630="","",IF(OR($Q630=TRUE(),$Q630="TRUE"),1,0))</f>
        <v/>
      </c>
      <c r="AM630">
        <f>IF($C630="","",IF($W630="Yes",1,0))</f>
        <v/>
      </c>
      <c r="AN630">
        <f>IF($AJ630=1,IFERROR(IF(VALUE($C630)&lt;100000000,VALUE($C630),1000000000),IFERROR(IF(VALUE(MID($C630,2,20))&lt;100000000,VALUE(MID($C630,2,20)),1000000000),1000000000))+ROW()/100000,"")</f>
        <v/>
      </c>
    </row>
    <row r="631">
      <c r="E631" s="11" t="n"/>
      <c r="M631" s="7">
        <f>IF($C631="","",L631*U631/100)</f>
        <v/>
      </c>
      <c r="N631" s="7" t="n"/>
      <c r="T631" s="7" t="n"/>
      <c r="U631" s="7">
        <f>IF($C631="","",S631*T631)</f>
        <v/>
      </c>
      <c r="X631">
        <f>IF($C631="","",IF($AM631=1,0,IF($AL631=1,Settings!$C$6,Settings!$C$7))*100)</f>
        <v/>
      </c>
      <c r="AB631" s="7" t="n"/>
      <c r="AE631" s="11" t="n"/>
      <c r="AG631" s="7">
        <f>IF($C631="","",U631*X631/100)</f>
        <v/>
      </c>
      <c r="AH631" s="7">
        <f>IF($C631="","",U631-AG631)</f>
        <v/>
      </c>
      <c r="AI631" s="7">
        <f>IF($C631="","",AH631-M631)</f>
        <v/>
      </c>
      <c r="AJ631">
        <f>IF($C631="","",IF(COUNTIF($C$2:$C631,$C631)=1,1,0))</f>
        <v/>
      </c>
      <c r="AK631">
        <f>IF($AJ631=1,SUMPRODUCT(--($AN$2:$AN$4001&lt;$AN631))+1,"")</f>
        <v/>
      </c>
      <c r="AL631">
        <f>IF($C631="","",IF(OR($Q631=TRUE(),$Q631="TRUE"),1,0))</f>
        <v/>
      </c>
      <c r="AM631">
        <f>IF($C631="","",IF($W631="Yes",1,0))</f>
        <v/>
      </c>
      <c r="AN631">
        <f>IF($AJ631=1,IFERROR(IF(VALUE($C631)&lt;100000000,VALUE($C631),1000000000),IFERROR(IF(VALUE(MID($C631,2,20))&lt;100000000,VALUE(MID($C631,2,20)),1000000000),1000000000))+ROW()/100000,"")</f>
        <v/>
      </c>
    </row>
    <row r="632">
      <c r="E632" s="11" t="n"/>
      <c r="M632" s="7">
        <f>IF($C632="","",L632*U632/100)</f>
        <v/>
      </c>
      <c r="N632" s="7" t="n"/>
      <c r="T632" s="7" t="n"/>
      <c r="U632" s="7">
        <f>IF($C632="","",S632*T632)</f>
        <v/>
      </c>
      <c r="X632">
        <f>IF($C632="","",IF($AM632=1,0,IF($AL632=1,Settings!$C$6,Settings!$C$7))*100)</f>
        <v/>
      </c>
      <c r="AB632" s="7" t="n"/>
      <c r="AE632" s="11" t="n"/>
      <c r="AG632" s="7">
        <f>IF($C632="","",U632*X632/100)</f>
        <v/>
      </c>
      <c r="AH632" s="7">
        <f>IF($C632="","",U632-AG632)</f>
        <v/>
      </c>
      <c r="AI632" s="7">
        <f>IF($C632="","",AH632-M632)</f>
        <v/>
      </c>
      <c r="AJ632">
        <f>IF($C632="","",IF(COUNTIF($C$2:$C632,$C632)=1,1,0))</f>
        <v/>
      </c>
      <c r="AK632">
        <f>IF($AJ632=1,SUMPRODUCT(--($AN$2:$AN$4001&lt;$AN632))+1,"")</f>
        <v/>
      </c>
      <c r="AL632">
        <f>IF($C632="","",IF(OR($Q632=TRUE(),$Q632="TRUE"),1,0))</f>
        <v/>
      </c>
      <c r="AM632">
        <f>IF($C632="","",IF($W632="Yes",1,0))</f>
        <v/>
      </c>
      <c r="AN632">
        <f>IF($AJ632=1,IFERROR(IF(VALUE($C632)&lt;100000000,VALUE($C632),1000000000),IFERROR(IF(VALUE(MID($C632,2,20))&lt;100000000,VALUE(MID($C632,2,20)),1000000000),1000000000))+ROW()/100000,"")</f>
        <v/>
      </c>
    </row>
    <row r="633">
      <c r="E633" s="11" t="n"/>
      <c r="M633" s="7">
        <f>IF($C633="","",L633*U633/100)</f>
        <v/>
      </c>
      <c r="N633" s="7" t="n"/>
      <c r="T633" s="7" t="n"/>
      <c r="U633" s="7">
        <f>IF($C633="","",S633*T633)</f>
        <v/>
      </c>
      <c r="X633">
        <f>IF($C633="","",IF($AM633=1,0,IF($AL633=1,Settings!$C$6,Settings!$C$7))*100)</f>
        <v/>
      </c>
      <c r="AB633" s="7" t="n"/>
      <c r="AE633" s="11" t="n"/>
      <c r="AG633" s="7">
        <f>IF($C633="","",U633*X633/100)</f>
        <v/>
      </c>
      <c r="AH633" s="7">
        <f>IF($C633="","",U633-AG633)</f>
        <v/>
      </c>
      <c r="AI633" s="7">
        <f>IF($C633="","",AH633-M633)</f>
        <v/>
      </c>
      <c r="AJ633">
        <f>IF($C633="","",IF(COUNTIF($C$2:$C633,$C633)=1,1,0))</f>
        <v/>
      </c>
      <c r="AK633">
        <f>IF($AJ633=1,SUMPRODUCT(--($AN$2:$AN$4001&lt;$AN633))+1,"")</f>
        <v/>
      </c>
      <c r="AL633">
        <f>IF($C633="","",IF(OR($Q633=TRUE(),$Q633="TRUE"),1,0))</f>
        <v/>
      </c>
      <c r="AM633">
        <f>IF($C633="","",IF($W633="Yes",1,0))</f>
        <v/>
      </c>
      <c r="AN633">
        <f>IF($AJ633=1,IFERROR(IF(VALUE($C633)&lt;100000000,VALUE($C633),1000000000),IFERROR(IF(VALUE(MID($C633,2,20))&lt;100000000,VALUE(MID($C633,2,20)),1000000000),1000000000))+ROW()/100000,"")</f>
        <v/>
      </c>
    </row>
    <row r="634">
      <c r="E634" s="11" t="n"/>
      <c r="M634" s="7">
        <f>IF($C634="","",L634*U634/100)</f>
        <v/>
      </c>
      <c r="N634" s="7" t="n"/>
      <c r="T634" s="7" t="n"/>
      <c r="U634" s="7">
        <f>IF($C634="","",S634*T634)</f>
        <v/>
      </c>
      <c r="X634">
        <f>IF($C634="","",IF($AM634=1,0,IF($AL634=1,Settings!$C$6,Settings!$C$7))*100)</f>
        <v/>
      </c>
      <c r="AB634" s="7" t="n"/>
      <c r="AE634" s="11" t="n"/>
      <c r="AG634" s="7">
        <f>IF($C634="","",U634*X634/100)</f>
        <v/>
      </c>
      <c r="AH634" s="7">
        <f>IF($C634="","",U634-AG634)</f>
        <v/>
      </c>
      <c r="AI634" s="7">
        <f>IF($C634="","",AH634-M634)</f>
        <v/>
      </c>
      <c r="AJ634">
        <f>IF($C634="","",IF(COUNTIF($C$2:$C634,$C634)=1,1,0))</f>
        <v/>
      </c>
      <c r="AK634">
        <f>IF($AJ634=1,SUMPRODUCT(--($AN$2:$AN$4001&lt;$AN634))+1,"")</f>
        <v/>
      </c>
      <c r="AL634">
        <f>IF($C634="","",IF(OR($Q634=TRUE(),$Q634="TRUE"),1,0))</f>
        <v/>
      </c>
      <c r="AM634">
        <f>IF($C634="","",IF($W634="Yes",1,0))</f>
        <v/>
      </c>
      <c r="AN634">
        <f>IF($AJ634=1,IFERROR(IF(VALUE($C634)&lt;100000000,VALUE($C634),1000000000),IFERROR(IF(VALUE(MID($C634,2,20))&lt;100000000,VALUE(MID($C634,2,20)),1000000000),1000000000))+ROW()/100000,"")</f>
        <v/>
      </c>
    </row>
    <row r="635">
      <c r="E635" s="11" t="n"/>
      <c r="M635" s="7">
        <f>IF($C635="","",L635*U635/100)</f>
        <v/>
      </c>
      <c r="N635" s="7" t="n"/>
      <c r="T635" s="7" t="n"/>
      <c r="U635" s="7">
        <f>IF($C635="","",S635*T635)</f>
        <v/>
      </c>
      <c r="X635">
        <f>IF($C635="","",IF($AM635=1,0,IF($AL635=1,Settings!$C$6,Settings!$C$7))*100)</f>
        <v/>
      </c>
      <c r="AB635" s="7" t="n"/>
      <c r="AE635" s="11" t="n"/>
      <c r="AG635" s="7">
        <f>IF($C635="","",U635*X635/100)</f>
        <v/>
      </c>
      <c r="AH635" s="7">
        <f>IF($C635="","",U635-AG635)</f>
        <v/>
      </c>
      <c r="AI635" s="7">
        <f>IF($C635="","",AH635-M635)</f>
        <v/>
      </c>
      <c r="AJ635">
        <f>IF($C635="","",IF(COUNTIF($C$2:$C635,$C635)=1,1,0))</f>
        <v/>
      </c>
      <c r="AK635">
        <f>IF($AJ635=1,SUMPRODUCT(--($AN$2:$AN$4001&lt;$AN635))+1,"")</f>
        <v/>
      </c>
      <c r="AL635">
        <f>IF($C635="","",IF(OR($Q635=TRUE(),$Q635="TRUE"),1,0))</f>
        <v/>
      </c>
      <c r="AM635">
        <f>IF($C635="","",IF($W635="Yes",1,0))</f>
        <v/>
      </c>
      <c r="AN635">
        <f>IF($AJ635=1,IFERROR(IF(VALUE($C635)&lt;100000000,VALUE($C635),1000000000),IFERROR(IF(VALUE(MID($C635,2,20))&lt;100000000,VALUE(MID($C635,2,20)),1000000000),1000000000))+ROW()/100000,"")</f>
        <v/>
      </c>
    </row>
    <row r="636">
      <c r="E636" s="11" t="n"/>
      <c r="M636" s="7">
        <f>IF($C636="","",L636*U636/100)</f>
        <v/>
      </c>
      <c r="N636" s="7" t="n"/>
      <c r="T636" s="7" t="n"/>
      <c r="U636" s="7">
        <f>IF($C636="","",S636*T636)</f>
        <v/>
      </c>
      <c r="X636">
        <f>IF($C636="","",IF($AM636=1,0,IF($AL636=1,Settings!$C$6,Settings!$C$7))*100)</f>
        <v/>
      </c>
      <c r="AB636" s="7" t="n"/>
      <c r="AE636" s="11" t="n"/>
      <c r="AG636" s="7">
        <f>IF($C636="","",U636*X636/100)</f>
        <v/>
      </c>
      <c r="AH636" s="7">
        <f>IF($C636="","",U636-AG636)</f>
        <v/>
      </c>
      <c r="AI636" s="7">
        <f>IF($C636="","",AH636-M636)</f>
        <v/>
      </c>
      <c r="AJ636">
        <f>IF($C636="","",IF(COUNTIF($C$2:$C636,$C636)=1,1,0))</f>
        <v/>
      </c>
      <c r="AK636">
        <f>IF($AJ636=1,SUMPRODUCT(--($AN$2:$AN$4001&lt;$AN636))+1,"")</f>
        <v/>
      </c>
      <c r="AL636">
        <f>IF($C636="","",IF(OR($Q636=TRUE(),$Q636="TRUE"),1,0))</f>
        <v/>
      </c>
      <c r="AM636">
        <f>IF($C636="","",IF($W636="Yes",1,0))</f>
        <v/>
      </c>
      <c r="AN636">
        <f>IF($AJ636=1,IFERROR(IF(VALUE($C636)&lt;100000000,VALUE($C636),1000000000),IFERROR(IF(VALUE(MID($C636,2,20))&lt;100000000,VALUE(MID($C636,2,20)),1000000000),1000000000))+ROW()/100000,"")</f>
        <v/>
      </c>
    </row>
    <row r="637">
      <c r="E637" s="11" t="n"/>
      <c r="M637" s="7">
        <f>IF($C637="","",L637*U637/100)</f>
        <v/>
      </c>
      <c r="N637" s="7" t="n"/>
      <c r="T637" s="7" t="n"/>
      <c r="U637" s="7">
        <f>IF($C637="","",S637*T637)</f>
        <v/>
      </c>
      <c r="X637">
        <f>IF($C637="","",IF($AM637=1,0,IF($AL637=1,Settings!$C$6,Settings!$C$7))*100)</f>
        <v/>
      </c>
      <c r="AB637" s="7" t="n"/>
      <c r="AE637" s="11" t="n"/>
      <c r="AG637" s="7">
        <f>IF($C637="","",U637*X637/100)</f>
        <v/>
      </c>
      <c r="AH637" s="7">
        <f>IF($C637="","",U637-AG637)</f>
        <v/>
      </c>
      <c r="AI637" s="7">
        <f>IF($C637="","",AH637-M637)</f>
        <v/>
      </c>
      <c r="AJ637">
        <f>IF($C637="","",IF(COUNTIF($C$2:$C637,$C637)=1,1,0))</f>
        <v/>
      </c>
      <c r="AK637">
        <f>IF($AJ637=1,SUMPRODUCT(--($AN$2:$AN$4001&lt;$AN637))+1,"")</f>
        <v/>
      </c>
      <c r="AL637">
        <f>IF($C637="","",IF(OR($Q637=TRUE(),$Q637="TRUE"),1,0))</f>
        <v/>
      </c>
      <c r="AM637">
        <f>IF($C637="","",IF($W637="Yes",1,0))</f>
        <v/>
      </c>
      <c r="AN637">
        <f>IF($AJ637=1,IFERROR(IF(VALUE($C637)&lt;100000000,VALUE($C637),1000000000),IFERROR(IF(VALUE(MID($C637,2,20))&lt;100000000,VALUE(MID($C637,2,20)),1000000000),1000000000))+ROW()/100000,"")</f>
        <v/>
      </c>
    </row>
    <row r="638">
      <c r="E638" s="11" t="n"/>
      <c r="M638" s="7">
        <f>IF($C638="","",L638*U638/100)</f>
        <v/>
      </c>
      <c r="N638" s="7" t="n"/>
      <c r="T638" s="7" t="n"/>
      <c r="U638" s="7">
        <f>IF($C638="","",S638*T638)</f>
        <v/>
      </c>
      <c r="X638">
        <f>IF($C638="","",IF($AM638=1,0,IF($AL638=1,Settings!$C$6,Settings!$C$7))*100)</f>
        <v/>
      </c>
      <c r="AB638" s="7" t="n"/>
      <c r="AE638" s="11" t="n"/>
      <c r="AG638" s="7">
        <f>IF($C638="","",U638*X638/100)</f>
        <v/>
      </c>
      <c r="AH638" s="7">
        <f>IF($C638="","",U638-AG638)</f>
        <v/>
      </c>
      <c r="AI638" s="7">
        <f>IF($C638="","",AH638-M638)</f>
        <v/>
      </c>
      <c r="AJ638">
        <f>IF($C638="","",IF(COUNTIF($C$2:$C638,$C638)=1,1,0))</f>
        <v/>
      </c>
      <c r="AK638">
        <f>IF($AJ638=1,SUMPRODUCT(--($AN$2:$AN$4001&lt;$AN638))+1,"")</f>
        <v/>
      </c>
      <c r="AL638">
        <f>IF($C638="","",IF(OR($Q638=TRUE(),$Q638="TRUE"),1,0))</f>
        <v/>
      </c>
      <c r="AM638">
        <f>IF($C638="","",IF($W638="Yes",1,0))</f>
        <v/>
      </c>
      <c r="AN638">
        <f>IF($AJ638=1,IFERROR(IF(VALUE($C638)&lt;100000000,VALUE($C638),1000000000),IFERROR(IF(VALUE(MID($C638,2,20))&lt;100000000,VALUE(MID($C638,2,20)),1000000000),1000000000))+ROW()/100000,"")</f>
        <v/>
      </c>
    </row>
    <row r="639">
      <c r="E639" s="11" t="n"/>
      <c r="M639" s="7">
        <f>IF($C639="","",L639*U639/100)</f>
        <v/>
      </c>
      <c r="N639" s="7" t="n"/>
      <c r="T639" s="7" t="n"/>
      <c r="U639" s="7">
        <f>IF($C639="","",S639*T639)</f>
        <v/>
      </c>
      <c r="X639">
        <f>IF($C639="","",IF($AM639=1,0,IF($AL639=1,Settings!$C$6,Settings!$C$7))*100)</f>
        <v/>
      </c>
      <c r="AB639" s="7" t="n"/>
      <c r="AE639" s="11" t="n"/>
      <c r="AG639" s="7">
        <f>IF($C639="","",U639*X639/100)</f>
        <v/>
      </c>
      <c r="AH639" s="7">
        <f>IF($C639="","",U639-AG639)</f>
        <v/>
      </c>
      <c r="AI639" s="7">
        <f>IF($C639="","",AH639-M639)</f>
        <v/>
      </c>
      <c r="AJ639">
        <f>IF($C639="","",IF(COUNTIF($C$2:$C639,$C639)=1,1,0))</f>
        <v/>
      </c>
      <c r="AK639">
        <f>IF($AJ639=1,SUMPRODUCT(--($AN$2:$AN$4001&lt;$AN639))+1,"")</f>
        <v/>
      </c>
      <c r="AL639">
        <f>IF($C639="","",IF(OR($Q639=TRUE(),$Q639="TRUE"),1,0))</f>
        <v/>
      </c>
      <c r="AM639">
        <f>IF($C639="","",IF($W639="Yes",1,0))</f>
        <v/>
      </c>
      <c r="AN639">
        <f>IF($AJ639=1,IFERROR(IF(VALUE($C639)&lt;100000000,VALUE($C639),1000000000),IFERROR(IF(VALUE(MID($C639,2,20))&lt;100000000,VALUE(MID($C639,2,20)),1000000000),1000000000))+ROW()/100000,"")</f>
        <v/>
      </c>
    </row>
    <row r="640">
      <c r="E640" s="11" t="n"/>
      <c r="M640" s="7">
        <f>IF($C640="","",L640*U640/100)</f>
        <v/>
      </c>
      <c r="N640" s="7" t="n"/>
      <c r="T640" s="7" t="n"/>
      <c r="U640" s="7">
        <f>IF($C640="","",S640*T640)</f>
        <v/>
      </c>
      <c r="X640">
        <f>IF($C640="","",IF($AM640=1,0,IF($AL640=1,Settings!$C$6,Settings!$C$7))*100)</f>
        <v/>
      </c>
      <c r="AB640" s="7" t="n"/>
      <c r="AE640" s="11" t="n"/>
      <c r="AG640" s="7">
        <f>IF($C640="","",U640*X640/100)</f>
        <v/>
      </c>
      <c r="AH640" s="7">
        <f>IF($C640="","",U640-AG640)</f>
        <v/>
      </c>
      <c r="AI640" s="7">
        <f>IF($C640="","",AH640-M640)</f>
        <v/>
      </c>
      <c r="AJ640">
        <f>IF($C640="","",IF(COUNTIF($C$2:$C640,$C640)=1,1,0))</f>
        <v/>
      </c>
      <c r="AK640">
        <f>IF($AJ640=1,SUMPRODUCT(--($AN$2:$AN$4001&lt;$AN640))+1,"")</f>
        <v/>
      </c>
      <c r="AL640">
        <f>IF($C640="","",IF(OR($Q640=TRUE(),$Q640="TRUE"),1,0))</f>
        <v/>
      </c>
      <c r="AM640">
        <f>IF($C640="","",IF($W640="Yes",1,0))</f>
        <v/>
      </c>
      <c r="AN640">
        <f>IF($AJ640=1,IFERROR(IF(VALUE($C640)&lt;100000000,VALUE($C640),1000000000),IFERROR(IF(VALUE(MID($C640,2,20))&lt;100000000,VALUE(MID($C640,2,20)),1000000000),1000000000))+ROW()/100000,"")</f>
        <v/>
      </c>
    </row>
    <row r="641">
      <c r="E641" s="11" t="n"/>
      <c r="M641" s="7">
        <f>IF($C641="","",L641*U641/100)</f>
        <v/>
      </c>
      <c r="N641" s="7" t="n"/>
      <c r="T641" s="7" t="n"/>
      <c r="U641" s="7">
        <f>IF($C641="","",S641*T641)</f>
        <v/>
      </c>
      <c r="X641">
        <f>IF($C641="","",IF($AM641=1,0,IF($AL641=1,Settings!$C$6,Settings!$C$7))*100)</f>
        <v/>
      </c>
      <c r="AB641" s="7" t="n"/>
      <c r="AE641" s="11" t="n"/>
      <c r="AG641" s="7">
        <f>IF($C641="","",U641*X641/100)</f>
        <v/>
      </c>
      <c r="AH641" s="7">
        <f>IF($C641="","",U641-AG641)</f>
        <v/>
      </c>
      <c r="AI641" s="7">
        <f>IF($C641="","",AH641-M641)</f>
        <v/>
      </c>
      <c r="AJ641">
        <f>IF($C641="","",IF(COUNTIF($C$2:$C641,$C641)=1,1,0))</f>
        <v/>
      </c>
      <c r="AK641">
        <f>IF($AJ641=1,SUMPRODUCT(--($AN$2:$AN$4001&lt;$AN641))+1,"")</f>
        <v/>
      </c>
      <c r="AL641">
        <f>IF($C641="","",IF(OR($Q641=TRUE(),$Q641="TRUE"),1,0))</f>
        <v/>
      </c>
      <c r="AM641">
        <f>IF($C641="","",IF($W641="Yes",1,0))</f>
        <v/>
      </c>
      <c r="AN641">
        <f>IF($AJ641=1,IFERROR(IF(VALUE($C641)&lt;100000000,VALUE($C641),1000000000),IFERROR(IF(VALUE(MID($C641,2,20))&lt;100000000,VALUE(MID($C641,2,20)),1000000000),1000000000))+ROW()/100000,"")</f>
        <v/>
      </c>
    </row>
    <row r="642">
      <c r="E642" s="11" t="n"/>
      <c r="M642" s="7">
        <f>IF($C642="","",L642*U642/100)</f>
        <v/>
      </c>
      <c r="N642" s="7" t="n"/>
      <c r="T642" s="7" t="n"/>
      <c r="U642" s="7">
        <f>IF($C642="","",S642*T642)</f>
        <v/>
      </c>
      <c r="X642">
        <f>IF($C642="","",IF($AM642=1,0,IF($AL642=1,Settings!$C$6,Settings!$C$7))*100)</f>
        <v/>
      </c>
      <c r="AB642" s="7" t="n"/>
      <c r="AE642" s="11" t="n"/>
      <c r="AG642" s="7">
        <f>IF($C642="","",U642*X642/100)</f>
        <v/>
      </c>
      <c r="AH642" s="7">
        <f>IF($C642="","",U642-AG642)</f>
        <v/>
      </c>
      <c r="AI642" s="7">
        <f>IF($C642="","",AH642-M642)</f>
        <v/>
      </c>
      <c r="AJ642">
        <f>IF($C642="","",IF(COUNTIF($C$2:$C642,$C642)=1,1,0))</f>
        <v/>
      </c>
      <c r="AK642">
        <f>IF($AJ642=1,SUMPRODUCT(--($AN$2:$AN$4001&lt;$AN642))+1,"")</f>
        <v/>
      </c>
      <c r="AL642">
        <f>IF($C642="","",IF(OR($Q642=TRUE(),$Q642="TRUE"),1,0))</f>
        <v/>
      </c>
      <c r="AM642">
        <f>IF($C642="","",IF($W642="Yes",1,0))</f>
        <v/>
      </c>
      <c r="AN642">
        <f>IF($AJ642=1,IFERROR(IF(VALUE($C642)&lt;100000000,VALUE($C642),1000000000),IFERROR(IF(VALUE(MID($C642,2,20))&lt;100000000,VALUE(MID($C642,2,20)),1000000000),1000000000))+ROW()/100000,"")</f>
        <v/>
      </c>
    </row>
    <row r="643">
      <c r="E643" s="11" t="n"/>
      <c r="M643" s="7">
        <f>IF($C643="","",L643*U643/100)</f>
        <v/>
      </c>
      <c r="N643" s="7" t="n"/>
      <c r="T643" s="7" t="n"/>
      <c r="U643" s="7">
        <f>IF($C643="","",S643*T643)</f>
        <v/>
      </c>
      <c r="X643">
        <f>IF($C643="","",IF($AM643=1,0,IF($AL643=1,Settings!$C$6,Settings!$C$7))*100)</f>
        <v/>
      </c>
      <c r="AB643" s="7" t="n"/>
      <c r="AE643" s="11" t="n"/>
      <c r="AG643" s="7">
        <f>IF($C643="","",U643*X643/100)</f>
        <v/>
      </c>
      <c r="AH643" s="7">
        <f>IF($C643="","",U643-AG643)</f>
        <v/>
      </c>
      <c r="AI643" s="7">
        <f>IF($C643="","",AH643-M643)</f>
        <v/>
      </c>
      <c r="AJ643">
        <f>IF($C643="","",IF(COUNTIF($C$2:$C643,$C643)=1,1,0))</f>
        <v/>
      </c>
      <c r="AK643">
        <f>IF($AJ643=1,SUMPRODUCT(--($AN$2:$AN$4001&lt;$AN643))+1,"")</f>
        <v/>
      </c>
      <c r="AL643">
        <f>IF($C643="","",IF(OR($Q643=TRUE(),$Q643="TRUE"),1,0))</f>
        <v/>
      </c>
      <c r="AM643">
        <f>IF($C643="","",IF($W643="Yes",1,0))</f>
        <v/>
      </c>
      <c r="AN643">
        <f>IF($AJ643=1,IFERROR(IF(VALUE($C643)&lt;100000000,VALUE($C643),1000000000),IFERROR(IF(VALUE(MID($C643,2,20))&lt;100000000,VALUE(MID($C643,2,20)),1000000000),1000000000))+ROW()/100000,"")</f>
        <v/>
      </c>
    </row>
    <row r="644">
      <c r="E644" s="11" t="n"/>
      <c r="M644" s="7">
        <f>IF($C644="","",L644*U644/100)</f>
        <v/>
      </c>
      <c r="N644" s="7" t="n"/>
      <c r="T644" s="7" t="n"/>
      <c r="U644" s="7">
        <f>IF($C644="","",S644*T644)</f>
        <v/>
      </c>
      <c r="X644">
        <f>IF($C644="","",IF($AM644=1,0,IF($AL644=1,Settings!$C$6,Settings!$C$7))*100)</f>
        <v/>
      </c>
      <c r="AB644" s="7" t="n"/>
      <c r="AE644" s="11" t="n"/>
      <c r="AG644" s="7">
        <f>IF($C644="","",U644*X644/100)</f>
        <v/>
      </c>
      <c r="AH644" s="7">
        <f>IF($C644="","",U644-AG644)</f>
        <v/>
      </c>
      <c r="AI644" s="7">
        <f>IF($C644="","",AH644-M644)</f>
        <v/>
      </c>
      <c r="AJ644">
        <f>IF($C644="","",IF(COUNTIF($C$2:$C644,$C644)=1,1,0))</f>
        <v/>
      </c>
      <c r="AK644">
        <f>IF($AJ644=1,SUMPRODUCT(--($AN$2:$AN$4001&lt;$AN644))+1,"")</f>
        <v/>
      </c>
      <c r="AL644">
        <f>IF($C644="","",IF(OR($Q644=TRUE(),$Q644="TRUE"),1,0))</f>
        <v/>
      </c>
      <c r="AM644">
        <f>IF($C644="","",IF($W644="Yes",1,0))</f>
        <v/>
      </c>
      <c r="AN644">
        <f>IF($AJ644=1,IFERROR(IF(VALUE($C644)&lt;100000000,VALUE($C644),1000000000),IFERROR(IF(VALUE(MID($C644,2,20))&lt;100000000,VALUE(MID($C644,2,20)),1000000000),1000000000))+ROW()/100000,"")</f>
        <v/>
      </c>
    </row>
    <row r="645">
      <c r="E645" s="11" t="n"/>
      <c r="M645" s="7">
        <f>IF($C645="","",L645*U645/100)</f>
        <v/>
      </c>
      <c r="N645" s="7" t="n"/>
      <c r="T645" s="7" t="n"/>
      <c r="U645" s="7">
        <f>IF($C645="","",S645*T645)</f>
        <v/>
      </c>
      <c r="X645">
        <f>IF($C645="","",IF($AM645=1,0,IF($AL645=1,Settings!$C$6,Settings!$C$7))*100)</f>
        <v/>
      </c>
      <c r="AB645" s="7" t="n"/>
      <c r="AE645" s="11" t="n"/>
      <c r="AG645" s="7">
        <f>IF($C645="","",U645*X645/100)</f>
        <v/>
      </c>
      <c r="AH645" s="7">
        <f>IF($C645="","",U645-AG645)</f>
        <v/>
      </c>
      <c r="AI645" s="7">
        <f>IF($C645="","",AH645-M645)</f>
        <v/>
      </c>
      <c r="AJ645">
        <f>IF($C645="","",IF(COUNTIF($C$2:$C645,$C645)=1,1,0))</f>
        <v/>
      </c>
      <c r="AK645">
        <f>IF($AJ645=1,SUMPRODUCT(--($AN$2:$AN$4001&lt;$AN645))+1,"")</f>
        <v/>
      </c>
      <c r="AL645">
        <f>IF($C645="","",IF(OR($Q645=TRUE(),$Q645="TRUE"),1,0))</f>
        <v/>
      </c>
      <c r="AM645">
        <f>IF($C645="","",IF($W645="Yes",1,0))</f>
        <v/>
      </c>
      <c r="AN645">
        <f>IF($AJ645=1,IFERROR(IF(VALUE($C645)&lt;100000000,VALUE($C645),1000000000),IFERROR(IF(VALUE(MID($C645,2,20))&lt;100000000,VALUE(MID($C645,2,20)),1000000000),1000000000))+ROW()/100000,"")</f>
        <v/>
      </c>
    </row>
    <row r="646">
      <c r="E646" s="11" t="n"/>
      <c r="M646" s="7">
        <f>IF($C646="","",L646*U646/100)</f>
        <v/>
      </c>
      <c r="N646" s="7" t="n"/>
      <c r="T646" s="7" t="n"/>
      <c r="U646" s="7">
        <f>IF($C646="","",S646*T646)</f>
        <v/>
      </c>
      <c r="X646">
        <f>IF($C646="","",IF($AM646=1,0,IF($AL646=1,Settings!$C$6,Settings!$C$7))*100)</f>
        <v/>
      </c>
      <c r="AB646" s="7" t="n"/>
      <c r="AE646" s="11" t="n"/>
      <c r="AG646" s="7">
        <f>IF($C646="","",U646*X646/100)</f>
        <v/>
      </c>
      <c r="AH646" s="7">
        <f>IF($C646="","",U646-AG646)</f>
        <v/>
      </c>
      <c r="AI646" s="7">
        <f>IF($C646="","",AH646-M646)</f>
        <v/>
      </c>
      <c r="AJ646">
        <f>IF($C646="","",IF(COUNTIF($C$2:$C646,$C646)=1,1,0))</f>
        <v/>
      </c>
      <c r="AK646">
        <f>IF($AJ646=1,SUMPRODUCT(--($AN$2:$AN$4001&lt;$AN646))+1,"")</f>
        <v/>
      </c>
      <c r="AL646">
        <f>IF($C646="","",IF(OR($Q646=TRUE(),$Q646="TRUE"),1,0))</f>
        <v/>
      </c>
      <c r="AM646">
        <f>IF($C646="","",IF($W646="Yes",1,0))</f>
        <v/>
      </c>
      <c r="AN646">
        <f>IF($AJ646=1,IFERROR(IF(VALUE($C646)&lt;100000000,VALUE($C646),1000000000),IFERROR(IF(VALUE(MID($C646,2,20))&lt;100000000,VALUE(MID($C646,2,20)),1000000000),1000000000))+ROW()/100000,"")</f>
        <v/>
      </c>
    </row>
    <row r="647">
      <c r="E647" s="11" t="n"/>
      <c r="M647" s="7">
        <f>IF($C647="","",L647*U647/100)</f>
        <v/>
      </c>
      <c r="N647" s="7" t="n"/>
      <c r="T647" s="7" t="n"/>
      <c r="U647" s="7">
        <f>IF($C647="","",S647*T647)</f>
        <v/>
      </c>
      <c r="X647">
        <f>IF($C647="","",IF($AM647=1,0,IF($AL647=1,Settings!$C$6,Settings!$C$7))*100)</f>
        <v/>
      </c>
      <c r="AB647" s="7" t="n"/>
      <c r="AE647" s="11" t="n"/>
      <c r="AG647" s="7">
        <f>IF($C647="","",U647*X647/100)</f>
        <v/>
      </c>
      <c r="AH647" s="7">
        <f>IF($C647="","",U647-AG647)</f>
        <v/>
      </c>
      <c r="AI647" s="7">
        <f>IF($C647="","",AH647-M647)</f>
        <v/>
      </c>
      <c r="AJ647">
        <f>IF($C647="","",IF(COUNTIF($C$2:$C647,$C647)=1,1,0))</f>
        <v/>
      </c>
      <c r="AK647">
        <f>IF($AJ647=1,SUMPRODUCT(--($AN$2:$AN$4001&lt;$AN647))+1,"")</f>
        <v/>
      </c>
      <c r="AL647">
        <f>IF($C647="","",IF(OR($Q647=TRUE(),$Q647="TRUE"),1,0))</f>
        <v/>
      </c>
      <c r="AM647">
        <f>IF($C647="","",IF($W647="Yes",1,0))</f>
        <v/>
      </c>
      <c r="AN647">
        <f>IF($AJ647=1,IFERROR(IF(VALUE($C647)&lt;100000000,VALUE($C647),1000000000),IFERROR(IF(VALUE(MID($C647,2,20))&lt;100000000,VALUE(MID($C647,2,20)),1000000000),1000000000))+ROW()/100000,"")</f>
        <v/>
      </c>
    </row>
    <row r="648">
      <c r="E648" s="11" t="n"/>
      <c r="M648" s="7">
        <f>IF($C648="","",L648*U648/100)</f>
        <v/>
      </c>
      <c r="N648" s="7" t="n"/>
      <c r="T648" s="7" t="n"/>
      <c r="U648" s="7">
        <f>IF($C648="","",S648*T648)</f>
        <v/>
      </c>
      <c r="X648">
        <f>IF($C648="","",IF($AM648=1,0,IF($AL648=1,Settings!$C$6,Settings!$C$7))*100)</f>
        <v/>
      </c>
      <c r="AB648" s="7" t="n"/>
      <c r="AE648" s="11" t="n"/>
      <c r="AG648" s="7">
        <f>IF($C648="","",U648*X648/100)</f>
        <v/>
      </c>
      <c r="AH648" s="7">
        <f>IF($C648="","",U648-AG648)</f>
        <v/>
      </c>
      <c r="AI648" s="7">
        <f>IF($C648="","",AH648-M648)</f>
        <v/>
      </c>
      <c r="AJ648">
        <f>IF($C648="","",IF(COUNTIF($C$2:$C648,$C648)=1,1,0))</f>
        <v/>
      </c>
      <c r="AK648">
        <f>IF($AJ648=1,SUMPRODUCT(--($AN$2:$AN$4001&lt;$AN648))+1,"")</f>
        <v/>
      </c>
      <c r="AL648">
        <f>IF($C648="","",IF(OR($Q648=TRUE(),$Q648="TRUE"),1,0))</f>
        <v/>
      </c>
      <c r="AM648">
        <f>IF($C648="","",IF($W648="Yes",1,0))</f>
        <v/>
      </c>
      <c r="AN648">
        <f>IF($AJ648=1,IFERROR(IF(VALUE($C648)&lt;100000000,VALUE($C648),1000000000),IFERROR(IF(VALUE(MID($C648,2,20))&lt;100000000,VALUE(MID($C648,2,20)),1000000000),1000000000))+ROW()/100000,"")</f>
        <v/>
      </c>
    </row>
    <row r="649">
      <c r="E649" s="11" t="n"/>
      <c r="M649" s="7">
        <f>IF($C649="","",L649*U649/100)</f>
        <v/>
      </c>
      <c r="N649" s="7" t="n"/>
      <c r="T649" s="7" t="n"/>
      <c r="U649" s="7">
        <f>IF($C649="","",S649*T649)</f>
        <v/>
      </c>
      <c r="X649">
        <f>IF($C649="","",IF($AM649=1,0,IF($AL649=1,Settings!$C$6,Settings!$C$7))*100)</f>
        <v/>
      </c>
      <c r="AB649" s="7" t="n"/>
      <c r="AE649" s="11" t="n"/>
      <c r="AG649" s="7">
        <f>IF($C649="","",U649*X649/100)</f>
        <v/>
      </c>
      <c r="AH649" s="7">
        <f>IF($C649="","",U649-AG649)</f>
        <v/>
      </c>
      <c r="AI649" s="7">
        <f>IF($C649="","",AH649-M649)</f>
        <v/>
      </c>
      <c r="AJ649">
        <f>IF($C649="","",IF(COUNTIF($C$2:$C649,$C649)=1,1,0))</f>
        <v/>
      </c>
      <c r="AK649">
        <f>IF($AJ649=1,SUMPRODUCT(--($AN$2:$AN$4001&lt;$AN649))+1,"")</f>
        <v/>
      </c>
      <c r="AL649">
        <f>IF($C649="","",IF(OR($Q649=TRUE(),$Q649="TRUE"),1,0))</f>
        <v/>
      </c>
      <c r="AM649">
        <f>IF($C649="","",IF($W649="Yes",1,0))</f>
        <v/>
      </c>
      <c r="AN649">
        <f>IF($AJ649=1,IFERROR(IF(VALUE($C649)&lt;100000000,VALUE($C649),1000000000),IFERROR(IF(VALUE(MID($C649,2,20))&lt;100000000,VALUE(MID($C649,2,20)),1000000000),1000000000))+ROW()/100000,"")</f>
        <v/>
      </c>
    </row>
    <row r="650">
      <c r="E650" s="11" t="n"/>
      <c r="M650" s="7">
        <f>IF($C650="","",L650*U650/100)</f>
        <v/>
      </c>
      <c r="N650" s="7" t="n"/>
      <c r="T650" s="7" t="n"/>
      <c r="U650" s="7">
        <f>IF($C650="","",S650*T650)</f>
        <v/>
      </c>
      <c r="X650">
        <f>IF($C650="","",IF($AM650=1,0,IF($AL650=1,Settings!$C$6,Settings!$C$7))*100)</f>
        <v/>
      </c>
      <c r="AB650" s="7" t="n"/>
      <c r="AE650" s="11" t="n"/>
      <c r="AG650" s="7">
        <f>IF($C650="","",U650*X650/100)</f>
        <v/>
      </c>
      <c r="AH650" s="7">
        <f>IF($C650="","",U650-AG650)</f>
        <v/>
      </c>
      <c r="AI650" s="7">
        <f>IF($C650="","",AH650-M650)</f>
        <v/>
      </c>
      <c r="AJ650">
        <f>IF($C650="","",IF(COUNTIF($C$2:$C650,$C650)=1,1,0))</f>
        <v/>
      </c>
      <c r="AK650">
        <f>IF($AJ650=1,SUMPRODUCT(--($AN$2:$AN$4001&lt;$AN650))+1,"")</f>
        <v/>
      </c>
      <c r="AL650">
        <f>IF($C650="","",IF(OR($Q650=TRUE(),$Q650="TRUE"),1,0))</f>
        <v/>
      </c>
      <c r="AM650">
        <f>IF($C650="","",IF($W650="Yes",1,0))</f>
        <v/>
      </c>
      <c r="AN650">
        <f>IF($AJ650=1,IFERROR(IF(VALUE($C650)&lt;100000000,VALUE($C650),1000000000),IFERROR(IF(VALUE(MID($C650,2,20))&lt;100000000,VALUE(MID($C650,2,20)),1000000000),1000000000))+ROW()/100000,"")</f>
        <v/>
      </c>
    </row>
    <row r="651">
      <c r="E651" s="11" t="n"/>
      <c r="M651" s="7">
        <f>IF($C651="","",L651*U651/100)</f>
        <v/>
      </c>
      <c r="N651" s="7" t="n"/>
      <c r="T651" s="7" t="n"/>
      <c r="U651" s="7">
        <f>IF($C651="","",S651*T651)</f>
        <v/>
      </c>
      <c r="X651">
        <f>IF($C651="","",IF($AM651=1,0,IF($AL651=1,Settings!$C$6,Settings!$C$7))*100)</f>
        <v/>
      </c>
      <c r="AB651" s="7" t="n"/>
      <c r="AE651" s="11" t="n"/>
      <c r="AG651" s="7">
        <f>IF($C651="","",U651*X651/100)</f>
        <v/>
      </c>
      <c r="AH651" s="7">
        <f>IF($C651="","",U651-AG651)</f>
        <v/>
      </c>
      <c r="AI651" s="7">
        <f>IF($C651="","",AH651-M651)</f>
        <v/>
      </c>
      <c r="AJ651">
        <f>IF($C651="","",IF(COUNTIF($C$2:$C651,$C651)=1,1,0))</f>
        <v/>
      </c>
      <c r="AK651">
        <f>IF($AJ651=1,SUMPRODUCT(--($AN$2:$AN$4001&lt;$AN651))+1,"")</f>
        <v/>
      </c>
      <c r="AL651">
        <f>IF($C651="","",IF(OR($Q651=TRUE(),$Q651="TRUE"),1,0))</f>
        <v/>
      </c>
      <c r="AM651">
        <f>IF($C651="","",IF($W651="Yes",1,0))</f>
        <v/>
      </c>
      <c r="AN651">
        <f>IF($AJ651=1,IFERROR(IF(VALUE($C651)&lt;100000000,VALUE($C651),1000000000),IFERROR(IF(VALUE(MID($C651,2,20))&lt;100000000,VALUE(MID($C651,2,20)),1000000000),1000000000))+ROW()/100000,"")</f>
        <v/>
      </c>
    </row>
    <row r="652">
      <c r="E652" s="11" t="n"/>
      <c r="M652" s="7">
        <f>IF($C652="","",L652*U652/100)</f>
        <v/>
      </c>
      <c r="N652" s="7" t="n"/>
      <c r="T652" s="7" t="n"/>
      <c r="U652" s="7">
        <f>IF($C652="","",S652*T652)</f>
        <v/>
      </c>
      <c r="X652">
        <f>IF($C652="","",IF($AM652=1,0,IF($AL652=1,Settings!$C$6,Settings!$C$7))*100)</f>
        <v/>
      </c>
      <c r="AB652" s="7" t="n"/>
      <c r="AE652" s="11" t="n"/>
      <c r="AG652" s="7">
        <f>IF($C652="","",U652*X652/100)</f>
        <v/>
      </c>
      <c r="AH652" s="7">
        <f>IF($C652="","",U652-AG652)</f>
        <v/>
      </c>
      <c r="AI652" s="7">
        <f>IF($C652="","",AH652-M652)</f>
        <v/>
      </c>
      <c r="AJ652">
        <f>IF($C652="","",IF(COUNTIF($C$2:$C652,$C652)=1,1,0))</f>
        <v/>
      </c>
      <c r="AK652">
        <f>IF($AJ652=1,SUMPRODUCT(--($AN$2:$AN$4001&lt;$AN652))+1,"")</f>
        <v/>
      </c>
      <c r="AL652">
        <f>IF($C652="","",IF(OR($Q652=TRUE(),$Q652="TRUE"),1,0))</f>
        <v/>
      </c>
      <c r="AM652">
        <f>IF($C652="","",IF($W652="Yes",1,0))</f>
        <v/>
      </c>
      <c r="AN652">
        <f>IF($AJ652=1,IFERROR(IF(VALUE($C652)&lt;100000000,VALUE($C652),1000000000),IFERROR(IF(VALUE(MID($C652,2,20))&lt;100000000,VALUE(MID($C652,2,20)),1000000000),1000000000))+ROW()/100000,"")</f>
        <v/>
      </c>
    </row>
    <row r="653">
      <c r="E653" s="11" t="n"/>
      <c r="M653" s="7">
        <f>IF($C653="","",L653*U653/100)</f>
        <v/>
      </c>
      <c r="N653" s="7" t="n"/>
      <c r="T653" s="7" t="n"/>
      <c r="U653" s="7">
        <f>IF($C653="","",S653*T653)</f>
        <v/>
      </c>
      <c r="X653">
        <f>IF($C653="","",IF($AM653=1,0,IF($AL653=1,Settings!$C$6,Settings!$C$7))*100)</f>
        <v/>
      </c>
      <c r="AB653" s="7" t="n"/>
      <c r="AE653" s="11" t="n"/>
      <c r="AG653" s="7">
        <f>IF($C653="","",U653*X653/100)</f>
        <v/>
      </c>
      <c r="AH653" s="7">
        <f>IF($C653="","",U653-AG653)</f>
        <v/>
      </c>
      <c r="AI653" s="7">
        <f>IF($C653="","",AH653-M653)</f>
        <v/>
      </c>
      <c r="AJ653">
        <f>IF($C653="","",IF(COUNTIF($C$2:$C653,$C653)=1,1,0))</f>
        <v/>
      </c>
      <c r="AK653">
        <f>IF($AJ653=1,SUMPRODUCT(--($AN$2:$AN$4001&lt;$AN653))+1,"")</f>
        <v/>
      </c>
      <c r="AL653">
        <f>IF($C653="","",IF(OR($Q653=TRUE(),$Q653="TRUE"),1,0))</f>
        <v/>
      </c>
      <c r="AM653">
        <f>IF($C653="","",IF($W653="Yes",1,0))</f>
        <v/>
      </c>
      <c r="AN653">
        <f>IF($AJ653=1,IFERROR(IF(VALUE($C653)&lt;100000000,VALUE($C653),1000000000),IFERROR(IF(VALUE(MID($C653,2,20))&lt;100000000,VALUE(MID($C653,2,20)),1000000000),1000000000))+ROW()/100000,"")</f>
        <v/>
      </c>
    </row>
    <row r="654">
      <c r="E654" s="11" t="n"/>
      <c r="M654" s="7">
        <f>IF($C654="","",L654*U654/100)</f>
        <v/>
      </c>
      <c r="N654" s="7" t="n"/>
      <c r="T654" s="7" t="n"/>
      <c r="U654" s="7">
        <f>IF($C654="","",S654*T654)</f>
        <v/>
      </c>
      <c r="X654">
        <f>IF($C654="","",IF($AM654=1,0,IF($AL654=1,Settings!$C$6,Settings!$C$7))*100)</f>
        <v/>
      </c>
      <c r="AB654" s="7" t="n"/>
      <c r="AE654" s="11" t="n"/>
      <c r="AG654" s="7">
        <f>IF($C654="","",U654*X654/100)</f>
        <v/>
      </c>
      <c r="AH654" s="7">
        <f>IF($C654="","",U654-AG654)</f>
        <v/>
      </c>
      <c r="AI654" s="7">
        <f>IF($C654="","",AH654-M654)</f>
        <v/>
      </c>
      <c r="AJ654">
        <f>IF($C654="","",IF(COUNTIF($C$2:$C654,$C654)=1,1,0))</f>
        <v/>
      </c>
      <c r="AK654">
        <f>IF($AJ654=1,SUMPRODUCT(--($AN$2:$AN$4001&lt;$AN654))+1,"")</f>
        <v/>
      </c>
      <c r="AL654">
        <f>IF($C654="","",IF(OR($Q654=TRUE(),$Q654="TRUE"),1,0))</f>
        <v/>
      </c>
      <c r="AM654">
        <f>IF($C654="","",IF($W654="Yes",1,0))</f>
        <v/>
      </c>
      <c r="AN654">
        <f>IF($AJ654=1,IFERROR(IF(VALUE($C654)&lt;100000000,VALUE($C654),1000000000),IFERROR(IF(VALUE(MID($C654,2,20))&lt;100000000,VALUE(MID($C654,2,20)),1000000000),1000000000))+ROW()/100000,"")</f>
        <v/>
      </c>
    </row>
    <row r="655">
      <c r="E655" s="11" t="n"/>
      <c r="M655" s="7">
        <f>IF($C655="","",L655*U655/100)</f>
        <v/>
      </c>
      <c r="N655" s="7" t="n"/>
      <c r="T655" s="7" t="n"/>
      <c r="U655" s="7">
        <f>IF($C655="","",S655*T655)</f>
        <v/>
      </c>
      <c r="X655">
        <f>IF($C655="","",IF($AM655=1,0,IF($AL655=1,Settings!$C$6,Settings!$C$7))*100)</f>
        <v/>
      </c>
      <c r="AB655" s="7" t="n"/>
      <c r="AE655" s="11" t="n"/>
      <c r="AG655" s="7">
        <f>IF($C655="","",U655*X655/100)</f>
        <v/>
      </c>
      <c r="AH655" s="7">
        <f>IF($C655="","",U655-AG655)</f>
        <v/>
      </c>
      <c r="AI655" s="7">
        <f>IF($C655="","",AH655-M655)</f>
        <v/>
      </c>
      <c r="AJ655">
        <f>IF($C655="","",IF(COUNTIF($C$2:$C655,$C655)=1,1,0))</f>
        <v/>
      </c>
      <c r="AK655">
        <f>IF($AJ655=1,SUMPRODUCT(--($AN$2:$AN$4001&lt;$AN655))+1,"")</f>
        <v/>
      </c>
      <c r="AL655">
        <f>IF($C655="","",IF(OR($Q655=TRUE(),$Q655="TRUE"),1,0))</f>
        <v/>
      </c>
      <c r="AM655">
        <f>IF($C655="","",IF($W655="Yes",1,0))</f>
        <v/>
      </c>
      <c r="AN655">
        <f>IF($AJ655=1,IFERROR(IF(VALUE($C655)&lt;100000000,VALUE($C655),1000000000),IFERROR(IF(VALUE(MID($C655,2,20))&lt;100000000,VALUE(MID($C655,2,20)),1000000000),1000000000))+ROW()/100000,"")</f>
        <v/>
      </c>
    </row>
    <row r="656">
      <c r="E656" s="11" t="n"/>
      <c r="M656" s="7">
        <f>IF($C656="","",L656*U656/100)</f>
        <v/>
      </c>
      <c r="N656" s="7" t="n"/>
      <c r="T656" s="7" t="n"/>
      <c r="U656" s="7">
        <f>IF($C656="","",S656*T656)</f>
        <v/>
      </c>
      <c r="X656">
        <f>IF($C656="","",IF($AM656=1,0,IF($AL656=1,Settings!$C$6,Settings!$C$7))*100)</f>
        <v/>
      </c>
      <c r="AB656" s="7" t="n"/>
      <c r="AE656" s="11" t="n"/>
      <c r="AG656" s="7">
        <f>IF($C656="","",U656*X656/100)</f>
        <v/>
      </c>
      <c r="AH656" s="7">
        <f>IF($C656="","",U656-AG656)</f>
        <v/>
      </c>
      <c r="AI656" s="7">
        <f>IF($C656="","",AH656-M656)</f>
        <v/>
      </c>
      <c r="AJ656">
        <f>IF($C656="","",IF(COUNTIF($C$2:$C656,$C656)=1,1,0))</f>
        <v/>
      </c>
      <c r="AK656">
        <f>IF($AJ656=1,SUMPRODUCT(--($AN$2:$AN$4001&lt;$AN656))+1,"")</f>
        <v/>
      </c>
      <c r="AL656">
        <f>IF($C656="","",IF(OR($Q656=TRUE(),$Q656="TRUE"),1,0))</f>
        <v/>
      </c>
      <c r="AM656">
        <f>IF($C656="","",IF($W656="Yes",1,0))</f>
        <v/>
      </c>
      <c r="AN656">
        <f>IF($AJ656=1,IFERROR(IF(VALUE($C656)&lt;100000000,VALUE($C656),1000000000),IFERROR(IF(VALUE(MID($C656,2,20))&lt;100000000,VALUE(MID($C656,2,20)),1000000000),1000000000))+ROW()/100000,"")</f>
        <v/>
      </c>
    </row>
    <row r="657">
      <c r="E657" s="11" t="n"/>
      <c r="M657" s="7">
        <f>IF($C657="","",L657*U657/100)</f>
        <v/>
      </c>
      <c r="N657" s="7" t="n"/>
      <c r="T657" s="7" t="n"/>
      <c r="U657" s="7">
        <f>IF($C657="","",S657*T657)</f>
        <v/>
      </c>
      <c r="X657">
        <f>IF($C657="","",IF($AM657=1,0,IF($AL657=1,Settings!$C$6,Settings!$C$7))*100)</f>
        <v/>
      </c>
      <c r="AB657" s="7" t="n"/>
      <c r="AE657" s="11" t="n"/>
      <c r="AG657" s="7">
        <f>IF($C657="","",U657*X657/100)</f>
        <v/>
      </c>
      <c r="AH657" s="7">
        <f>IF($C657="","",U657-AG657)</f>
        <v/>
      </c>
      <c r="AI657" s="7">
        <f>IF($C657="","",AH657-M657)</f>
        <v/>
      </c>
      <c r="AJ657">
        <f>IF($C657="","",IF(COUNTIF($C$2:$C657,$C657)=1,1,0))</f>
        <v/>
      </c>
      <c r="AK657">
        <f>IF($AJ657=1,SUMPRODUCT(--($AN$2:$AN$4001&lt;$AN657))+1,"")</f>
        <v/>
      </c>
      <c r="AL657">
        <f>IF($C657="","",IF(OR($Q657=TRUE(),$Q657="TRUE"),1,0))</f>
        <v/>
      </c>
      <c r="AM657">
        <f>IF($C657="","",IF($W657="Yes",1,0))</f>
        <v/>
      </c>
      <c r="AN657">
        <f>IF($AJ657=1,IFERROR(IF(VALUE($C657)&lt;100000000,VALUE($C657),1000000000),IFERROR(IF(VALUE(MID($C657,2,20))&lt;100000000,VALUE(MID($C657,2,20)),1000000000),1000000000))+ROW()/100000,"")</f>
        <v/>
      </c>
    </row>
    <row r="658">
      <c r="E658" s="11" t="n"/>
      <c r="M658" s="7">
        <f>IF($C658="","",L658*U658/100)</f>
        <v/>
      </c>
      <c r="N658" s="7" t="n"/>
      <c r="T658" s="7" t="n"/>
      <c r="U658" s="7">
        <f>IF($C658="","",S658*T658)</f>
        <v/>
      </c>
      <c r="X658">
        <f>IF($C658="","",IF($AM658=1,0,IF($AL658=1,Settings!$C$6,Settings!$C$7))*100)</f>
        <v/>
      </c>
      <c r="AB658" s="7" t="n"/>
      <c r="AE658" s="11" t="n"/>
      <c r="AG658" s="7">
        <f>IF($C658="","",U658*X658/100)</f>
        <v/>
      </c>
      <c r="AH658" s="7">
        <f>IF($C658="","",U658-AG658)</f>
        <v/>
      </c>
      <c r="AI658" s="7">
        <f>IF($C658="","",AH658-M658)</f>
        <v/>
      </c>
      <c r="AJ658">
        <f>IF($C658="","",IF(COUNTIF($C$2:$C658,$C658)=1,1,0))</f>
        <v/>
      </c>
      <c r="AK658">
        <f>IF($AJ658=1,SUMPRODUCT(--($AN$2:$AN$4001&lt;$AN658))+1,"")</f>
        <v/>
      </c>
      <c r="AL658">
        <f>IF($C658="","",IF(OR($Q658=TRUE(),$Q658="TRUE"),1,0))</f>
        <v/>
      </c>
      <c r="AM658">
        <f>IF($C658="","",IF($W658="Yes",1,0))</f>
        <v/>
      </c>
      <c r="AN658">
        <f>IF($AJ658=1,IFERROR(IF(VALUE($C658)&lt;100000000,VALUE($C658),1000000000),IFERROR(IF(VALUE(MID($C658,2,20))&lt;100000000,VALUE(MID($C658,2,20)),1000000000),1000000000))+ROW()/100000,"")</f>
        <v/>
      </c>
    </row>
    <row r="659">
      <c r="E659" s="11" t="n"/>
      <c r="M659" s="7">
        <f>IF($C659="","",L659*U659/100)</f>
        <v/>
      </c>
      <c r="N659" s="7" t="n"/>
      <c r="T659" s="7" t="n"/>
      <c r="U659" s="7">
        <f>IF($C659="","",S659*T659)</f>
        <v/>
      </c>
      <c r="X659">
        <f>IF($C659="","",IF($AM659=1,0,IF($AL659=1,Settings!$C$6,Settings!$C$7))*100)</f>
        <v/>
      </c>
      <c r="AB659" s="7" t="n"/>
      <c r="AE659" s="11" t="n"/>
      <c r="AG659" s="7">
        <f>IF($C659="","",U659*X659/100)</f>
        <v/>
      </c>
      <c r="AH659" s="7">
        <f>IF($C659="","",U659-AG659)</f>
        <v/>
      </c>
      <c r="AI659" s="7">
        <f>IF($C659="","",AH659-M659)</f>
        <v/>
      </c>
      <c r="AJ659">
        <f>IF($C659="","",IF(COUNTIF($C$2:$C659,$C659)=1,1,0))</f>
        <v/>
      </c>
      <c r="AK659">
        <f>IF($AJ659=1,SUMPRODUCT(--($AN$2:$AN$4001&lt;$AN659))+1,"")</f>
        <v/>
      </c>
      <c r="AL659">
        <f>IF($C659="","",IF(OR($Q659=TRUE(),$Q659="TRUE"),1,0))</f>
        <v/>
      </c>
      <c r="AM659">
        <f>IF($C659="","",IF($W659="Yes",1,0))</f>
        <v/>
      </c>
      <c r="AN659">
        <f>IF($AJ659=1,IFERROR(IF(VALUE($C659)&lt;100000000,VALUE($C659),1000000000),IFERROR(IF(VALUE(MID($C659,2,20))&lt;100000000,VALUE(MID($C659,2,20)),1000000000),1000000000))+ROW()/100000,"")</f>
        <v/>
      </c>
    </row>
    <row r="660">
      <c r="E660" s="11" t="n"/>
      <c r="M660" s="7">
        <f>IF($C660="","",L660*U660/100)</f>
        <v/>
      </c>
      <c r="N660" s="7" t="n"/>
      <c r="T660" s="7" t="n"/>
      <c r="U660" s="7">
        <f>IF($C660="","",S660*T660)</f>
        <v/>
      </c>
      <c r="X660">
        <f>IF($C660="","",IF($AM660=1,0,IF($AL660=1,Settings!$C$6,Settings!$C$7))*100)</f>
        <v/>
      </c>
      <c r="AB660" s="7" t="n"/>
      <c r="AE660" s="11" t="n"/>
      <c r="AG660" s="7">
        <f>IF($C660="","",U660*X660/100)</f>
        <v/>
      </c>
      <c r="AH660" s="7">
        <f>IF($C660="","",U660-AG660)</f>
        <v/>
      </c>
      <c r="AI660" s="7">
        <f>IF($C660="","",AH660-M660)</f>
        <v/>
      </c>
      <c r="AJ660">
        <f>IF($C660="","",IF(COUNTIF($C$2:$C660,$C660)=1,1,0))</f>
        <v/>
      </c>
      <c r="AK660">
        <f>IF($AJ660=1,SUMPRODUCT(--($AN$2:$AN$4001&lt;$AN660))+1,"")</f>
        <v/>
      </c>
      <c r="AL660">
        <f>IF($C660="","",IF(OR($Q660=TRUE(),$Q660="TRUE"),1,0))</f>
        <v/>
      </c>
      <c r="AM660">
        <f>IF($C660="","",IF($W660="Yes",1,0))</f>
        <v/>
      </c>
      <c r="AN660">
        <f>IF($AJ660=1,IFERROR(IF(VALUE($C660)&lt;100000000,VALUE($C660),1000000000),IFERROR(IF(VALUE(MID($C660,2,20))&lt;100000000,VALUE(MID($C660,2,20)),1000000000),1000000000))+ROW()/100000,"")</f>
        <v/>
      </c>
    </row>
    <row r="661">
      <c r="E661" s="11" t="n"/>
      <c r="M661" s="7">
        <f>IF($C661="","",L661*U661/100)</f>
        <v/>
      </c>
      <c r="N661" s="7" t="n"/>
      <c r="T661" s="7" t="n"/>
      <c r="U661" s="7">
        <f>IF($C661="","",S661*T661)</f>
        <v/>
      </c>
      <c r="X661">
        <f>IF($C661="","",IF($AM661=1,0,IF($AL661=1,Settings!$C$6,Settings!$C$7))*100)</f>
        <v/>
      </c>
      <c r="AB661" s="7" t="n"/>
      <c r="AE661" s="11" t="n"/>
      <c r="AG661" s="7">
        <f>IF($C661="","",U661*X661/100)</f>
        <v/>
      </c>
      <c r="AH661" s="7">
        <f>IF($C661="","",U661-AG661)</f>
        <v/>
      </c>
      <c r="AI661" s="7">
        <f>IF($C661="","",AH661-M661)</f>
        <v/>
      </c>
      <c r="AJ661">
        <f>IF($C661="","",IF(COUNTIF($C$2:$C661,$C661)=1,1,0))</f>
        <v/>
      </c>
      <c r="AK661">
        <f>IF($AJ661=1,SUMPRODUCT(--($AN$2:$AN$4001&lt;$AN661))+1,"")</f>
        <v/>
      </c>
      <c r="AL661">
        <f>IF($C661="","",IF(OR($Q661=TRUE(),$Q661="TRUE"),1,0))</f>
        <v/>
      </c>
      <c r="AM661">
        <f>IF($C661="","",IF($W661="Yes",1,0))</f>
        <v/>
      </c>
      <c r="AN661">
        <f>IF($AJ661=1,IFERROR(IF(VALUE($C661)&lt;100000000,VALUE($C661),1000000000),IFERROR(IF(VALUE(MID($C661,2,20))&lt;100000000,VALUE(MID($C661,2,20)),1000000000),1000000000))+ROW()/100000,"")</f>
        <v/>
      </c>
    </row>
    <row r="662">
      <c r="E662" s="11" t="n"/>
      <c r="M662" s="7">
        <f>IF($C662="","",L662*U662/100)</f>
        <v/>
      </c>
      <c r="N662" s="7" t="n"/>
      <c r="T662" s="7" t="n"/>
      <c r="U662" s="7">
        <f>IF($C662="","",S662*T662)</f>
        <v/>
      </c>
      <c r="X662">
        <f>IF($C662="","",IF($AM662=1,0,IF($AL662=1,Settings!$C$6,Settings!$C$7))*100)</f>
        <v/>
      </c>
      <c r="AB662" s="7" t="n"/>
      <c r="AE662" s="11" t="n"/>
      <c r="AG662" s="7">
        <f>IF($C662="","",U662*X662/100)</f>
        <v/>
      </c>
      <c r="AH662" s="7">
        <f>IF($C662="","",U662-AG662)</f>
        <v/>
      </c>
      <c r="AI662" s="7">
        <f>IF($C662="","",AH662-M662)</f>
        <v/>
      </c>
      <c r="AJ662">
        <f>IF($C662="","",IF(COUNTIF($C$2:$C662,$C662)=1,1,0))</f>
        <v/>
      </c>
      <c r="AK662">
        <f>IF($AJ662=1,SUMPRODUCT(--($AN$2:$AN$4001&lt;$AN662))+1,"")</f>
        <v/>
      </c>
      <c r="AL662">
        <f>IF($C662="","",IF(OR($Q662=TRUE(),$Q662="TRUE"),1,0))</f>
        <v/>
      </c>
      <c r="AM662">
        <f>IF($C662="","",IF($W662="Yes",1,0))</f>
        <v/>
      </c>
      <c r="AN662">
        <f>IF($AJ662=1,IFERROR(IF(VALUE($C662)&lt;100000000,VALUE($C662),1000000000),IFERROR(IF(VALUE(MID($C662,2,20))&lt;100000000,VALUE(MID($C662,2,20)),1000000000),1000000000))+ROW()/100000,"")</f>
        <v/>
      </c>
    </row>
    <row r="663">
      <c r="E663" s="11" t="n"/>
      <c r="M663" s="7">
        <f>IF($C663="","",L663*U663/100)</f>
        <v/>
      </c>
      <c r="N663" s="7" t="n"/>
      <c r="T663" s="7" t="n"/>
      <c r="U663" s="7">
        <f>IF($C663="","",S663*T663)</f>
        <v/>
      </c>
      <c r="X663">
        <f>IF($C663="","",IF($AM663=1,0,IF($AL663=1,Settings!$C$6,Settings!$C$7))*100)</f>
        <v/>
      </c>
      <c r="AB663" s="7" t="n"/>
      <c r="AE663" s="11" t="n"/>
      <c r="AG663" s="7">
        <f>IF($C663="","",U663*X663/100)</f>
        <v/>
      </c>
      <c r="AH663" s="7">
        <f>IF($C663="","",U663-AG663)</f>
        <v/>
      </c>
      <c r="AI663" s="7">
        <f>IF($C663="","",AH663-M663)</f>
        <v/>
      </c>
      <c r="AJ663">
        <f>IF($C663="","",IF(COUNTIF($C$2:$C663,$C663)=1,1,0))</f>
        <v/>
      </c>
      <c r="AK663">
        <f>IF($AJ663=1,SUMPRODUCT(--($AN$2:$AN$4001&lt;$AN663))+1,"")</f>
        <v/>
      </c>
      <c r="AL663">
        <f>IF($C663="","",IF(OR($Q663=TRUE(),$Q663="TRUE"),1,0))</f>
        <v/>
      </c>
      <c r="AM663">
        <f>IF($C663="","",IF($W663="Yes",1,0))</f>
        <v/>
      </c>
      <c r="AN663">
        <f>IF($AJ663=1,IFERROR(IF(VALUE($C663)&lt;100000000,VALUE($C663),1000000000),IFERROR(IF(VALUE(MID($C663,2,20))&lt;100000000,VALUE(MID($C663,2,20)),1000000000),1000000000))+ROW()/100000,"")</f>
        <v/>
      </c>
    </row>
    <row r="664">
      <c r="E664" s="11" t="n"/>
      <c r="M664" s="7">
        <f>IF($C664="","",L664*U664/100)</f>
        <v/>
      </c>
      <c r="N664" s="7" t="n"/>
      <c r="T664" s="7" t="n"/>
      <c r="U664" s="7">
        <f>IF($C664="","",S664*T664)</f>
        <v/>
      </c>
      <c r="X664">
        <f>IF($C664="","",IF($AM664=1,0,IF($AL664=1,Settings!$C$6,Settings!$C$7))*100)</f>
        <v/>
      </c>
      <c r="AB664" s="7" t="n"/>
      <c r="AE664" s="11" t="n"/>
      <c r="AG664" s="7">
        <f>IF($C664="","",U664*X664/100)</f>
        <v/>
      </c>
      <c r="AH664" s="7">
        <f>IF($C664="","",U664-AG664)</f>
        <v/>
      </c>
      <c r="AI664" s="7">
        <f>IF($C664="","",AH664-M664)</f>
        <v/>
      </c>
      <c r="AJ664">
        <f>IF($C664="","",IF(COUNTIF($C$2:$C664,$C664)=1,1,0))</f>
        <v/>
      </c>
      <c r="AK664">
        <f>IF($AJ664=1,SUMPRODUCT(--($AN$2:$AN$4001&lt;$AN664))+1,"")</f>
        <v/>
      </c>
      <c r="AL664">
        <f>IF($C664="","",IF(OR($Q664=TRUE(),$Q664="TRUE"),1,0))</f>
        <v/>
      </c>
      <c r="AM664">
        <f>IF($C664="","",IF($W664="Yes",1,0))</f>
        <v/>
      </c>
      <c r="AN664">
        <f>IF($AJ664=1,IFERROR(IF(VALUE($C664)&lt;100000000,VALUE($C664),1000000000),IFERROR(IF(VALUE(MID($C664,2,20))&lt;100000000,VALUE(MID($C664,2,20)),1000000000),1000000000))+ROW()/100000,"")</f>
        <v/>
      </c>
    </row>
    <row r="665">
      <c r="E665" s="11" t="n"/>
      <c r="M665" s="7">
        <f>IF($C665="","",L665*U665/100)</f>
        <v/>
      </c>
      <c r="N665" s="7" t="n"/>
      <c r="T665" s="7" t="n"/>
      <c r="U665" s="7">
        <f>IF($C665="","",S665*T665)</f>
        <v/>
      </c>
      <c r="X665">
        <f>IF($C665="","",IF($AM665=1,0,IF($AL665=1,Settings!$C$6,Settings!$C$7))*100)</f>
        <v/>
      </c>
      <c r="AB665" s="7" t="n"/>
      <c r="AE665" s="11" t="n"/>
      <c r="AG665" s="7">
        <f>IF($C665="","",U665*X665/100)</f>
        <v/>
      </c>
      <c r="AH665" s="7">
        <f>IF($C665="","",U665-AG665)</f>
        <v/>
      </c>
      <c r="AI665" s="7">
        <f>IF($C665="","",AH665-M665)</f>
        <v/>
      </c>
      <c r="AJ665">
        <f>IF($C665="","",IF(COUNTIF($C$2:$C665,$C665)=1,1,0))</f>
        <v/>
      </c>
      <c r="AK665">
        <f>IF($AJ665=1,SUMPRODUCT(--($AN$2:$AN$4001&lt;$AN665))+1,"")</f>
        <v/>
      </c>
      <c r="AL665">
        <f>IF($C665="","",IF(OR($Q665=TRUE(),$Q665="TRUE"),1,0))</f>
        <v/>
      </c>
      <c r="AM665">
        <f>IF($C665="","",IF($W665="Yes",1,0))</f>
        <v/>
      </c>
      <c r="AN665">
        <f>IF($AJ665=1,IFERROR(IF(VALUE($C665)&lt;100000000,VALUE($C665),1000000000),IFERROR(IF(VALUE(MID($C665,2,20))&lt;100000000,VALUE(MID($C665,2,20)),1000000000),1000000000))+ROW()/100000,"")</f>
        <v/>
      </c>
    </row>
    <row r="666">
      <c r="E666" s="11" t="n"/>
      <c r="M666" s="7">
        <f>IF($C666="","",L666*U666/100)</f>
        <v/>
      </c>
      <c r="N666" s="7" t="n"/>
      <c r="T666" s="7" t="n"/>
      <c r="U666" s="7">
        <f>IF($C666="","",S666*T666)</f>
        <v/>
      </c>
      <c r="X666">
        <f>IF($C666="","",IF($AM666=1,0,IF($AL666=1,Settings!$C$6,Settings!$C$7))*100)</f>
        <v/>
      </c>
      <c r="AB666" s="7" t="n"/>
      <c r="AE666" s="11" t="n"/>
      <c r="AG666" s="7">
        <f>IF($C666="","",U666*X666/100)</f>
        <v/>
      </c>
      <c r="AH666" s="7">
        <f>IF($C666="","",U666-AG666)</f>
        <v/>
      </c>
      <c r="AI666" s="7">
        <f>IF($C666="","",AH666-M666)</f>
        <v/>
      </c>
      <c r="AJ666">
        <f>IF($C666="","",IF(COUNTIF($C$2:$C666,$C666)=1,1,0))</f>
        <v/>
      </c>
      <c r="AK666">
        <f>IF($AJ666=1,SUMPRODUCT(--($AN$2:$AN$4001&lt;$AN666))+1,"")</f>
        <v/>
      </c>
      <c r="AL666">
        <f>IF($C666="","",IF(OR($Q666=TRUE(),$Q666="TRUE"),1,0))</f>
        <v/>
      </c>
      <c r="AM666">
        <f>IF($C666="","",IF($W666="Yes",1,0))</f>
        <v/>
      </c>
      <c r="AN666">
        <f>IF($AJ666=1,IFERROR(IF(VALUE($C666)&lt;100000000,VALUE($C666),1000000000),IFERROR(IF(VALUE(MID($C666,2,20))&lt;100000000,VALUE(MID($C666,2,20)),1000000000),1000000000))+ROW()/100000,"")</f>
        <v/>
      </c>
    </row>
    <row r="667">
      <c r="E667" s="11" t="n"/>
      <c r="M667" s="7">
        <f>IF($C667="","",L667*U667/100)</f>
        <v/>
      </c>
      <c r="N667" s="7" t="n"/>
      <c r="T667" s="7" t="n"/>
      <c r="U667" s="7">
        <f>IF($C667="","",S667*T667)</f>
        <v/>
      </c>
      <c r="X667">
        <f>IF($C667="","",IF($AM667=1,0,IF($AL667=1,Settings!$C$6,Settings!$C$7))*100)</f>
        <v/>
      </c>
      <c r="AB667" s="7" t="n"/>
      <c r="AE667" s="11" t="n"/>
      <c r="AG667" s="7">
        <f>IF($C667="","",U667*X667/100)</f>
        <v/>
      </c>
      <c r="AH667" s="7">
        <f>IF($C667="","",U667-AG667)</f>
        <v/>
      </c>
      <c r="AI667" s="7">
        <f>IF($C667="","",AH667-M667)</f>
        <v/>
      </c>
      <c r="AJ667">
        <f>IF($C667="","",IF(COUNTIF($C$2:$C667,$C667)=1,1,0))</f>
        <v/>
      </c>
      <c r="AK667">
        <f>IF($AJ667=1,SUMPRODUCT(--($AN$2:$AN$4001&lt;$AN667))+1,"")</f>
        <v/>
      </c>
      <c r="AL667">
        <f>IF($C667="","",IF(OR($Q667=TRUE(),$Q667="TRUE"),1,0))</f>
        <v/>
      </c>
      <c r="AM667">
        <f>IF($C667="","",IF($W667="Yes",1,0))</f>
        <v/>
      </c>
      <c r="AN667">
        <f>IF($AJ667=1,IFERROR(IF(VALUE($C667)&lt;100000000,VALUE($C667),1000000000),IFERROR(IF(VALUE(MID($C667,2,20))&lt;100000000,VALUE(MID($C667,2,20)),1000000000),1000000000))+ROW()/100000,"")</f>
        <v/>
      </c>
    </row>
    <row r="668">
      <c r="E668" s="11" t="n"/>
      <c r="M668" s="7">
        <f>IF($C668="","",L668*U668/100)</f>
        <v/>
      </c>
      <c r="N668" s="7" t="n"/>
      <c r="T668" s="7" t="n"/>
      <c r="U668" s="7">
        <f>IF($C668="","",S668*T668)</f>
        <v/>
      </c>
      <c r="X668">
        <f>IF($C668="","",IF($AM668=1,0,IF($AL668=1,Settings!$C$6,Settings!$C$7))*100)</f>
        <v/>
      </c>
      <c r="AB668" s="7" t="n"/>
      <c r="AE668" s="11" t="n"/>
      <c r="AG668" s="7">
        <f>IF($C668="","",U668*X668/100)</f>
        <v/>
      </c>
      <c r="AH668" s="7">
        <f>IF($C668="","",U668-AG668)</f>
        <v/>
      </c>
      <c r="AI668" s="7">
        <f>IF($C668="","",AH668-M668)</f>
        <v/>
      </c>
      <c r="AJ668">
        <f>IF($C668="","",IF(COUNTIF($C$2:$C668,$C668)=1,1,0))</f>
        <v/>
      </c>
      <c r="AK668">
        <f>IF($AJ668=1,SUMPRODUCT(--($AN$2:$AN$4001&lt;$AN668))+1,"")</f>
        <v/>
      </c>
      <c r="AL668">
        <f>IF($C668="","",IF(OR($Q668=TRUE(),$Q668="TRUE"),1,0))</f>
        <v/>
      </c>
      <c r="AM668">
        <f>IF($C668="","",IF($W668="Yes",1,0))</f>
        <v/>
      </c>
      <c r="AN668">
        <f>IF($AJ668=1,IFERROR(IF(VALUE($C668)&lt;100000000,VALUE($C668),1000000000),IFERROR(IF(VALUE(MID($C668,2,20))&lt;100000000,VALUE(MID($C668,2,20)),1000000000),1000000000))+ROW()/100000,"")</f>
        <v/>
      </c>
    </row>
    <row r="669">
      <c r="E669" s="11" t="n"/>
      <c r="M669" s="7">
        <f>IF($C669="","",L669*U669/100)</f>
        <v/>
      </c>
      <c r="N669" s="7" t="n"/>
      <c r="T669" s="7" t="n"/>
      <c r="U669" s="7">
        <f>IF($C669="","",S669*T669)</f>
        <v/>
      </c>
      <c r="X669">
        <f>IF($C669="","",IF($AM669=1,0,IF($AL669=1,Settings!$C$6,Settings!$C$7))*100)</f>
        <v/>
      </c>
      <c r="AB669" s="7" t="n"/>
      <c r="AE669" s="11" t="n"/>
      <c r="AG669" s="7">
        <f>IF($C669="","",U669*X669/100)</f>
        <v/>
      </c>
      <c r="AH669" s="7">
        <f>IF($C669="","",U669-AG669)</f>
        <v/>
      </c>
      <c r="AI669" s="7">
        <f>IF($C669="","",AH669-M669)</f>
        <v/>
      </c>
      <c r="AJ669">
        <f>IF($C669="","",IF(COUNTIF($C$2:$C669,$C669)=1,1,0))</f>
        <v/>
      </c>
      <c r="AK669">
        <f>IF($AJ669=1,SUMPRODUCT(--($AN$2:$AN$4001&lt;$AN669))+1,"")</f>
        <v/>
      </c>
      <c r="AL669">
        <f>IF($C669="","",IF(OR($Q669=TRUE(),$Q669="TRUE"),1,0))</f>
        <v/>
      </c>
      <c r="AM669">
        <f>IF($C669="","",IF($W669="Yes",1,0))</f>
        <v/>
      </c>
      <c r="AN669">
        <f>IF($AJ669=1,IFERROR(IF(VALUE($C669)&lt;100000000,VALUE($C669),1000000000),IFERROR(IF(VALUE(MID($C669,2,20))&lt;100000000,VALUE(MID($C669,2,20)),1000000000),1000000000))+ROW()/100000,"")</f>
        <v/>
      </c>
    </row>
    <row r="670">
      <c r="E670" s="11" t="n"/>
      <c r="M670" s="7">
        <f>IF($C670="","",L670*U670/100)</f>
        <v/>
      </c>
      <c r="N670" s="7" t="n"/>
      <c r="T670" s="7" t="n"/>
      <c r="U670" s="7">
        <f>IF($C670="","",S670*T670)</f>
        <v/>
      </c>
      <c r="X670">
        <f>IF($C670="","",IF($AM670=1,0,IF($AL670=1,Settings!$C$6,Settings!$C$7))*100)</f>
        <v/>
      </c>
      <c r="AB670" s="7" t="n"/>
      <c r="AE670" s="11" t="n"/>
      <c r="AG670" s="7">
        <f>IF($C670="","",U670*X670/100)</f>
        <v/>
      </c>
      <c r="AH670" s="7">
        <f>IF($C670="","",U670-AG670)</f>
        <v/>
      </c>
      <c r="AI670" s="7">
        <f>IF($C670="","",AH670-M670)</f>
        <v/>
      </c>
      <c r="AJ670">
        <f>IF($C670="","",IF(COUNTIF($C$2:$C670,$C670)=1,1,0))</f>
        <v/>
      </c>
      <c r="AK670">
        <f>IF($AJ670=1,SUMPRODUCT(--($AN$2:$AN$4001&lt;$AN670))+1,"")</f>
        <v/>
      </c>
      <c r="AL670">
        <f>IF($C670="","",IF(OR($Q670=TRUE(),$Q670="TRUE"),1,0))</f>
        <v/>
      </c>
      <c r="AM670">
        <f>IF($C670="","",IF($W670="Yes",1,0))</f>
        <v/>
      </c>
      <c r="AN670">
        <f>IF($AJ670=1,IFERROR(IF(VALUE($C670)&lt;100000000,VALUE($C670),1000000000),IFERROR(IF(VALUE(MID($C670,2,20))&lt;100000000,VALUE(MID($C670,2,20)),1000000000),1000000000))+ROW()/100000,"")</f>
        <v/>
      </c>
    </row>
    <row r="671">
      <c r="E671" s="11" t="n"/>
      <c r="M671" s="7">
        <f>IF($C671="","",L671*U671/100)</f>
        <v/>
      </c>
      <c r="N671" s="7" t="n"/>
      <c r="T671" s="7" t="n"/>
      <c r="U671" s="7">
        <f>IF($C671="","",S671*T671)</f>
        <v/>
      </c>
      <c r="X671">
        <f>IF($C671="","",IF($AM671=1,0,IF($AL671=1,Settings!$C$6,Settings!$C$7))*100)</f>
        <v/>
      </c>
      <c r="AB671" s="7" t="n"/>
      <c r="AE671" s="11" t="n"/>
      <c r="AG671" s="7">
        <f>IF($C671="","",U671*X671/100)</f>
        <v/>
      </c>
      <c r="AH671" s="7">
        <f>IF($C671="","",U671-AG671)</f>
        <v/>
      </c>
      <c r="AI671" s="7">
        <f>IF($C671="","",AH671-M671)</f>
        <v/>
      </c>
      <c r="AJ671">
        <f>IF($C671="","",IF(COUNTIF($C$2:$C671,$C671)=1,1,0))</f>
        <v/>
      </c>
      <c r="AK671">
        <f>IF($AJ671=1,SUMPRODUCT(--($AN$2:$AN$4001&lt;$AN671))+1,"")</f>
        <v/>
      </c>
      <c r="AL671">
        <f>IF($C671="","",IF(OR($Q671=TRUE(),$Q671="TRUE"),1,0))</f>
        <v/>
      </c>
      <c r="AM671">
        <f>IF($C671="","",IF($W671="Yes",1,0))</f>
        <v/>
      </c>
      <c r="AN671">
        <f>IF($AJ671=1,IFERROR(IF(VALUE($C671)&lt;100000000,VALUE($C671),1000000000),IFERROR(IF(VALUE(MID($C671,2,20))&lt;100000000,VALUE(MID($C671,2,20)),1000000000),1000000000))+ROW()/100000,"")</f>
        <v/>
      </c>
    </row>
    <row r="672">
      <c r="E672" s="11" t="n"/>
      <c r="M672" s="7">
        <f>IF($C672="","",L672*U672/100)</f>
        <v/>
      </c>
      <c r="N672" s="7" t="n"/>
      <c r="T672" s="7" t="n"/>
      <c r="U672" s="7">
        <f>IF($C672="","",S672*T672)</f>
        <v/>
      </c>
      <c r="X672">
        <f>IF($C672="","",IF($AM672=1,0,IF($AL672=1,Settings!$C$6,Settings!$C$7))*100)</f>
        <v/>
      </c>
      <c r="AB672" s="7" t="n"/>
      <c r="AE672" s="11" t="n"/>
      <c r="AG672" s="7">
        <f>IF($C672="","",U672*X672/100)</f>
        <v/>
      </c>
      <c r="AH672" s="7">
        <f>IF($C672="","",U672-AG672)</f>
        <v/>
      </c>
      <c r="AI672" s="7">
        <f>IF($C672="","",AH672-M672)</f>
        <v/>
      </c>
      <c r="AJ672">
        <f>IF($C672="","",IF(COUNTIF($C$2:$C672,$C672)=1,1,0))</f>
        <v/>
      </c>
      <c r="AK672">
        <f>IF($AJ672=1,SUMPRODUCT(--($AN$2:$AN$4001&lt;$AN672))+1,"")</f>
        <v/>
      </c>
      <c r="AL672">
        <f>IF($C672="","",IF(OR($Q672=TRUE(),$Q672="TRUE"),1,0))</f>
        <v/>
      </c>
      <c r="AM672">
        <f>IF($C672="","",IF($W672="Yes",1,0))</f>
        <v/>
      </c>
      <c r="AN672">
        <f>IF($AJ672=1,IFERROR(IF(VALUE($C672)&lt;100000000,VALUE($C672),1000000000),IFERROR(IF(VALUE(MID($C672,2,20))&lt;100000000,VALUE(MID($C672,2,20)),1000000000),1000000000))+ROW()/100000,"")</f>
        <v/>
      </c>
    </row>
    <row r="673">
      <c r="E673" s="11" t="n"/>
      <c r="M673" s="7">
        <f>IF($C673="","",L673*U673/100)</f>
        <v/>
      </c>
      <c r="N673" s="7" t="n"/>
      <c r="T673" s="7" t="n"/>
      <c r="U673" s="7">
        <f>IF($C673="","",S673*T673)</f>
        <v/>
      </c>
      <c r="X673">
        <f>IF($C673="","",IF($AM673=1,0,IF($AL673=1,Settings!$C$6,Settings!$C$7))*100)</f>
        <v/>
      </c>
      <c r="AB673" s="7" t="n"/>
      <c r="AE673" s="11" t="n"/>
      <c r="AG673" s="7">
        <f>IF($C673="","",U673*X673/100)</f>
        <v/>
      </c>
      <c r="AH673" s="7">
        <f>IF($C673="","",U673-AG673)</f>
        <v/>
      </c>
      <c r="AI673" s="7">
        <f>IF($C673="","",AH673-M673)</f>
        <v/>
      </c>
      <c r="AJ673">
        <f>IF($C673="","",IF(COUNTIF($C$2:$C673,$C673)=1,1,0))</f>
        <v/>
      </c>
      <c r="AK673">
        <f>IF($AJ673=1,SUMPRODUCT(--($AN$2:$AN$4001&lt;$AN673))+1,"")</f>
        <v/>
      </c>
      <c r="AL673">
        <f>IF($C673="","",IF(OR($Q673=TRUE(),$Q673="TRUE"),1,0))</f>
        <v/>
      </c>
      <c r="AM673">
        <f>IF($C673="","",IF($W673="Yes",1,0))</f>
        <v/>
      </c>
      <c r="AN673">
        <f>IF($AJ673=1,IFERROR(IF(VALUE($C673)&lt;100000000,VALUE($C673),1000000000),IFERROR(IF(VALUE(MID($C673,2,20))&lt;100000000,VALUE(MID($C673,2,20)),1000000000),1000000000))+ROW()/100000,"")</f>
        <v/>
      </c>
    </row>
    <row r="674">
      <c r="E674" s="11" t="n"/>
      <c r="M674" s="7">
        <f>IF($C674="","",L674*U674/100)</f>
        <v/>
      </c>
      <c r="N674" s="7" t="n"/>
      <c r="T674" s="7" t="n"/>
      <c r="U674" s="7">
        <f>IF($C674="","",S674*T674)</f>
        <v/>
      </c>
      <c r="X674">
        <f>IF($C674="","",IF($AM674=1,0,IF($AL674=1,Settings!$C$6,Settings!$C$7))*100)</f>
        <v/>
      </c>
      <c r="AB674" s="7" t="n"/>
      <c r="AE674" s="11" t="n"/>
      <c r="AG674" s="7">
        <f>IF($C674="","",U674*X674/100)</f>
        <v/>
      </c>
      <c r="AH674" s="7">
        <f>IF($C674="","",U674-AG674)</f>
        <v/>
      </c>
      <c r="AI674" s="7">
        <f>IF($C674="","",AH674-M674)</f>
        <v/>
      </c>
      <c r="AJ674">
        <f>IF($C674="","",IF(COUNTIF($C$2:$C674,$C674)=1,1,0))</f>
        <v/>
      </c>
      <c r="AK674">
        <f>IF($AJ674=1,SUMPRODUCT(--($AN$2:$AN$4001&lt;$AN674))+1,"")</f>
        <v/>
      </c>
      <c r="AL674">
        <f>IF($C674="","",IF(OR($Q674=TRUE(),$Q674="TRUE"),1,0))</f>
        <v/>
      </c>
      <c r="AM674">
        <f>IF($C674="","",IF($W674="Yes",1,0))</f>
        <v/>
      </c>
      <c r="AN674">
        <f>IF($AJ674=1,IFERROR(IF(VALUE($C674)&lt;100000000,VALUE($C674),1000000000),IFERROR(IF(VALUE(MID($C674,2,20))&lt;100000000,VALUE(MID($C674,2,20)),1000000000),1000000000))+ROW()/100000,"")</f>
        <v/>
      </c>
    </row>
    <row r="675">
      <c r="E675" s="11" t="n"/>
      <c r="M675" s="7">
        <f>IF($C675="","",L675*U675/100)</f>
        <v/>
      </c>
      <c r="N675" s="7" t="n"/>
      <c r="T675" s="7" t="n"/>
      <c r="U675" s="7">
        <f>IF($C675="","",S675*T675)</f>
        <v/>
      </c>
      <c r="X675">
        <f>IF($C675="","",IF($AM675=1,0,IF($AL675=1,Settings!$C$6,Settings!$C$7))*100)</f>
        <v/>
      </c>
      <c r="AB675" s="7" t="n"/>
      <c r="AE675" s="11" t="n"/>
      <c r="AG675" s="7">
        <f>IF($C675="","",U675*X675/100)</f>
        <v/>
      </c>
      <c r="AH675" s="7">
        <f>IF($C675="","",U675-AG675)</f>
        <v/>
      </c>
      <c r="AI675" s="7">
        <f>IF($C675="","",AH675-M675)</f>
        <v/>
      </c>
      <c r="AJ675">
        <f>IF($C675="","",IF(COUNTIF($C$2:$C675,$C675)=1,1,0))</f>
        <v/>
      </c>
      <c r="AK675">
        <f>IF($AJ675=1,SUMPRODUCT(--($AN$2:$AN$4001&lt;$AN675))+1,"")</f>
        <v/>
      </c>
      <c r="AL675">
        <f>IF($C675="","",IF(OR($Q675=TRUE(),$Q675="TRUE"),1,0))</f>
        <v/>
      </c>
      <c r="AM675">
        <f>IF($C675="","",IF($W675="Yes",1,0))</f>
        <v/>
      </c>
      <c r="AN675">
        <f>IF($AJ675=1,IFERROR(IF(VALUE($C675)&lt;100000000,VALUE($C675),1000000000),IFERROR(IF(VALUE(MID($C675,2,20))&lt;100000000,VALUE(MID($C675,2,20)),1000000000),1000000000))+ROW()/100000,"")</f>
        <v/>
      </c>
    </row>
    <row r="676">
      <c r="E676" s="11" t="n"/>
      <c r="M676" s="7">
        <f>IF($C676="","",L676*U676/100)</f>
        <v/>
      </c>
      <c r="N676" s="7" t="n"/>
      <c r="T676" s="7" t="n"/>
      <c r="U676" s="7">
        <f>IF($C676="","",S676*T676)</f>
        <v/>
      </c>
      <c r="X676">
        <f>IF($C676="","",IF($AM676=1,0,IF($AL676=1,Settings!$C$6,Settings!$C$7))*100)</f>
        <v/>
      </c>
      <c r="AB676" s="7" t="n"/>
      <c r="AE676" s="11" t="n"/>
      <c r="AG676" s="7">
        <f>IF($C676="","",U676*X676/100)</f>
        <v/>
      </c>
      <c r="AH676" s="7">
        <f>IF($C676="","",U676-AG676)</f>
        <v/>
      </c>
      <c r="AI676" s="7">
        <f>IF($C676="","",AH676-M676)</f>
        <v/>
      </c>
      <c r="AJ676">
        <f>IF($C676="","",IF(COUNTIF($C$2:$C676,$C676)=1,1,0))</f>
        <v/>
      </c>
      <c r="AK676">
        <f>IF($AJ676=1,SUMPRODUCT(--($AN$2:$AN$4001&lt;$AN676))+1,"")</f>
        <v/>
      </c>
      <c r="AL676">
        <f>IF($C676="","",IF(OR($Q676=TRUE(),$Q676="TRUE"),1,0))</f>
        <v/>
      </c>
      <c r="AM676">
        <f>IF($C676="","",IF($W676="Yes",1,0))</f>
        <v/>
      </c>
      <c r="AN676">
        <f>IF($AJ676=1,IFERROR(IF(VALUE($C676)&lt;100000000,VALUE($C676),1000000000),IFERROR(IF(VALUE(MID($C676,2,20))&lt;100000000,VALUE(MID($C676,2,20)),1000000000),1000000000))+ROW()/100000,"")</f>
        <v/>
      </c>
    </row>
    <row r="677">
      <c r="E677" s="11" t="n"/>
      <c r="M677" s="7">
        <f>IF($C677="","",L677*U677/100)</f>
        <v/>
      </c>
      <c r="N677" s="7" t="n"/>
      <c r="T677" s="7" t="n"/>
      <c r="U677" s="7">
        <f>IF($C677="","",S677*T677)</f>
        <v/>
      </c>
      <c r="X677">
        <f>IF($C677="","",IF($AM677=1,0,IF($AL677=1,Settings!$C$6,Settings!$C$7))*100)</f>
        <v/>
      </c>
      <c r="AB677" s="7" t="n"/>
      <c r="AE677" s="11" t="n"/>
      <c r="AG677" s="7">
        <f>IF($C677="","",U677*X677/100)</f>
        <v/>
      </c>
      <c r="AH677" s="7">
        <f>IF($C677="","",U677-AG677)</f>
        <v/>
      </c>
      <c r="AI677" s="7">
        <f>IF($C677="","",AH677-M677)</f>
        <v/>
      </c>
      <c r="AJ677">
        <f>IF($C677="","",IF(COUNTIF($C$2:$C677,$C677)=1,1,0))</f>
        <v/>
      </c>
      <c r="AK677">
        <f>IF($AJ677=1,SUMPRODUCT(--($AN$2:$AN$4001&lt;$AN677))+1,"")</f>
        <v/>
      </c>
      <c r="AL677">
        <f>IF($C677="","",IF(OR($Q677=TRUE(),$Q677="TRUE"),1,0))</f>
        <v/>
      </c>
      <c r="AM677">
        <f>IF($C677="","",IF($W677="Yes",1,0))</f>
        <v/>
      </c>
      <c r="AN677">
        <f>IF($AJ677=1,IFERROR(IF(VALUE($C677)&lt;100000000,VALUE($C677),1000000000),IFERROR(IF(VALUE(MID($C677,2,20))&lt;100000000,VALUE(MID($C677,2,20)),1000000000),1000000000))+ROW()/100000,"")</f>
        <v/>
      </c>
    </row>
    <row r="678">
      <c r="E678" s="11" t="n"/>
      <c r="M678" s="7">
        <f>IF($C678="","",L678*U678/100)</f>
        <v/>
      </c>
      <c r="N678" s="7" t="n"/>
      <c r="T678" s="7" t="n"/>
      <c r="U678" s="7">
        <f>IF($C678="","",S678*T678)</f>
        <v/>
      </c>
      <c r="X678">
        <f>IF($C678="","",IF($AM678=1,0,IF($AL678=1,Settings!$C$6,Settings!$C$7))*100)</f>
        <v/>
      </c>
      <c r="AB678" s="7" t="n"/>
      <c r="AE678" s="11" t="n"/>
      <c r="AG678" s="7">
        <f>IF($C678="","",U678*X678/100)</f>
        <v/>
      </c>
      <c r="AH678" s="7">
        <f>IF($C678="","",U678-AG678)</f>
        <v/>
      </c>
      <c r="AI678" s="7">
        <f>IF($C678="","",AH678-M678)</f>
        <v/>
      </c>
      <c r="AJ678">
        <f>IF($C678="","",IF(COUNTIF($C$2:$C678,$C678)=1,1,0))</f>
        <v/>
      </c>
      <c r="AK678">
        <f>IF($AJ678=1,SUMPRODUCT(--($AN$2:$AN$4001&lt;$AN678))+1,"")</f>
        <v/>
      </c>
      <c r="AL678">
        <f>IF($C678="","",IF(OR($Q678=TRUE(),$Q678="TRUE"),1,0))</f>
        <v/>
      </c>
      <c r="AM678">
        <f>IF($C678="","",IF($W678="Yes",1,0))</f>
        <v/>
      </c>
      <c r="AN678">
        <f>IF($AJ678=1,IFERROR(IF(VALUE($C678)&lt;100000000,VALUE($C678),1000000000),IFERROR(IF(VALUE(MID($C678,2,20))&lt;100000000,VALUE(MID($C678,2,20)),1000000000),1000000000))+ROW()/100000,"")</f>
        <v/>
      </c>
    </row>
    <row r="679">
      <c r="E679" s="11" t="n"/>
      <c r="M679" s="7">
        <f>IF($C679="","",L679*U679/100)</f>
        <v/>
      </c>
      <c r="N679" s="7" t="n"/>
      <c r="T679" s="7" t="n"/>
      <c r="U679" s="7">
        <f>IF($C679="","",S679*T679)</f>
        <v/>
      </c>
      <c r="X679">
        <f>IF($C679="","",IF($AM679=1,0,IF($AL679=1,Settings!$C$6,Settings!$C$7))*100)</f>
        <v/>
      </c>
      <c r="AB679" s="7" t="n"/>
      <c r="AE679" s="11" t="n"/>
      <c r="AG679" s="7">
        <f>IF($C679="","",U679*X679/100)</f>
        <v/>
      </c>
      <c r="AH679" s="7">
        <f>IF($C679="","",U679-AG679)</f>
        <v/>
      </c>
      <c r="AI679" s="7">
        <f>IF($C679="","",AH679-M679)</f>
        <v/>
      </c>
      <c r="AJ679">
        <f>IF($C679="","",IF(COUNTIF($C$2:$C679,$C679)=1,1,0))</f>
        <v/>
      </c>
      <c r="AK679">
        <f>IF($AJ679=1,SUMPRODUCT(--($AN$2:$AN$4001&lt;$AN679))+1,"")</f>
        <v/>
      </c>
      <c r="AL679">
        <f>IF($C679="","",IF(OR($Q679=TRUE(),$Q679="TRUE"),1,0))</f>
        <v/>
      </c>
      <c r="AM679">
        <f>IF($C679="","",IF($W679="Yes",1,0))</f>
        <v/>
      </c>
      <c r="AN679">
        <f>IF($AJ679=1,IFERROR(IF(VALUE($C679)&lt;100000000,VALUE($C679),1000000000),IFERROR(IF(VALUE(MID($C679,2,20))&lt;100000000,VALUE(MID($C679,2,20)),1000000000),1000000000))+ROW()/100000,"")</f>
        <v/>
      </c>
    </row>
    <row r="680">
      <c r="E680" s="11" t="n"/>
      <c r="M680" s="7">
        <f>IF($C680="","",L680*U680/100)</f>
        <v/>
      </c>
      <c r="N680" s="7" t="n"/>
      <c r="T680" s="7" t="n"/>
      <c r="U680" s="7">
        <f>IF($C680="","",S680*T680)</f>
        <v/>
      </c>
      <c r="X680">
        <f>IF($C680="","",IF($AM680=1,0,IF($AL680=1,Settings!$C$6,Settings!$C$7))*100)</f>
        <v/>
      </c>
      <c r="AB680" s="7" t="n"/>
      <c r="AE680" s="11" t="n"/>
      <c r="AG680" s="7">
        <f>IF($C680="","",U680*X680/100)</f>
        <v/>
      </c>
      <c r="AH680" s="7">
        <f>IF($C680="","",U680-AG680)</f>
        <v/>
      </c>
      <c r="AI680" s="7">
        <f>IF($C680="","",AH680-M680)</f>
        <v/>
      </c>
      <c r="AJ680">
        <f>IF($C680="","",IF(COUNTIF($C$2:$C680,$C680)=1,1,0))</f>
        <v/>
      </c>
      <c r="AK680">
        <f>IF($AJ680=1,SUMPRODUCT(--($AN$2:$AN$4001&lt;$AN680))+1,"")</f>
        <v/>
      </c>
      <c r="AL680">
        <f>IF($C680="","",IF(OR($Q680=TRUE(),$Q680="TRUE"),1,0))</f>
        <v/>
      </c>
      <c r="AM680">
        <f>IF($C680="","",IF($W680="Yes",1,0))</f>
        <v/>
      </c>
      <c r="AN680">
        <f>IF($AJ680=1,IFERROR(IF(VALUE($C680)&lt;100000000,VALUE($C680),1000000000),IFERROR(IF(VALUE(MID($C680,2,20))&lt;100000000,VALUE(MID($C680,2,20)),1000000000),1000000000))+ROW()/100000,"")</f>
        <v/>
      </c>
    </row>
    <row r="681">
      <c r="E681" s="11" t="n"/>
      <c r="M681" s="7">
        <f>IF($C681="","",L681*U681/100)</f>
        <v/>
      </c>
      <c r="N681" s="7" t="n"/>
      <c r="T681" s="7" t="n"/>
      <c r="U681" s="7">
        <f>IF($C681="","",S681*T681)</f>
        <v/>
      </c>
      <c r="X681">
        <f>IF($C681="","",IF($AM681=1,0,IF($AL681=1,Settings!$C$6,Settings!$C$7))*100)</f>
        <v/>
      </c>
      <c r="AB681" s="7" t="n"/>
      <c r="AE681" s="11" t="n"/>
      <c r="AG681" s="7">
        <f>IF($C681="","",U681*X681/100)</f>
        <v/>
      </c>
      <c r="AH681" s="7">
        <f>IF($C681="","",U681-AG681)</f>
        <v/>
      </c>
      <c r="AI681" s="7">
        <f>IF($C681="","",AH681-M681)</f>
        <v/>
      </c>
      <c r="AJ681">
        <f>IF($C681="","",IF(COUNTIF($C$2:$C681,$C681)=1,1,0))</f>
        <v/>
      </c>
      <c r="AK681">
        <f>IF($AJ681=1,SUMPRODUCT(--($AN$2:$AN$4001&lt;$AN681))+1,"")</f>
        <v/>
      </c>
      <c r="AL681">
        <f>IF($C681="","",IF(OR($Q681=TRUE(),$Q681="TRUE"),1,0))</f>
        <v/>
      </c>
      <c r="AM681">
        <f>IF($C681="","",IF($W681="Yes",1,0))</f>
        <v/>
      </c>
      <c r="AN681">
        <f>IF($AJ681=1,IFERROR(IF(VALUE($C681)&lt;100000000,VALUE($C681),1000000000),IFERROR(IF(VALUE(MID($C681,2,20))&lt;100000000,VALUE(MID($C681,2,20)),1000000000),1000000000))+ROW()/100000,"")</f>
        <v/>
      </c>
    </row>
    <row r="682">
      <c r="E682" s="11" t="n"/>
      <c r="M682" s="7">
        <f>IF($C682="","",L682*U682/100)</f>
        <v/>
      </c>
      <c r="N682" s="7" t="n"/>
      <c r="T682" s="7" t="n"/>
      <c r="U682" s="7">
        <f>IF($C682="","",S682*T682)</f>
        <v/>
      </c>
      <c r="X682">
        <f>IF($C682="","",IF($AM682=1,0,IF($AL682=1,Settings!$C$6,Settings!$C$7))*100)</f>
        <v/>
      </c>
      <c r="AB682" s="7" t="n"/>
      <c r="AE682" s="11" t="n"/>
      <c r="AG682" s="7">
        <f>IF($C682="","",U682*X682/100)</f>
        <v/>
      </c>
      <c r="AH682" s="7">
        <f>IF($C682="","",U682-AG682)</f>
        <v/>
      </c>
      <c r="AI682" s="7">
        <f>IF($C682="","",AH682-M682)</f>
        <v/>
      </c>
      <c r="AJ682">
        <f>IF($C682="","",IF(COUNTIF($C$2:$C682,$C682)=1,1,0))</f>
        <v/>
      </c>
      <c r="AK682">
        <f>IF($AJ682=1,SUMPRODUCT(--($AN$2:$AN$4001&lt;$AN682))+1,"")</f>
        <v/>
      </c>
      <c r="AL682">
        <f>IF($C682="","",IF(OR($Q682=TRUE(),$Q682="TRUE"),1,0))</f>
        <v/>
      </c>
      <c r="AM682">
        <f>IF($C682="","",IF($W682="Yes",1,0))</f>
        <v/>
      </c>
      <c r="AN682">
        <f>IF($AJ682=1,IFERROR(IF(VALUE($C682)&lt;100000000,VALUE($C682),1000000000),IFERROR(IF(VALUE(MID($C682,2,20))&lt;100000000,VALUE(MID($C682,2,20)),1000000000),1000000000))+ROW()/100000,"")</f>
        <v/>
      </c>
    </row>
    <row r="683">
      <c r="E683" s="11" t="n"/>
      <c r="M683" s="7">
        <f>IF($C683="","",L683*U683/100)</f>
        <v/>
      </c>
      <c r="N683" s="7" t="n"/>
      <c r="T683" s="7" t="n"/>
      <c r="U683" s="7">
        <f>IF($C683="","",S683*T683)</f>
        <v/>
      </c>
      <c r="X683">
        <f>IF($C683="","",IF($AM683=1,0,IF($AL683=1,Settings!$C$6,Settings!$C$7))*100)</f>
        <v/>
      </c>
      <c r="AB683" s="7" t="n"/>
      <c r="AE683" s="11" t="n"/>
      <c r="AG683" s="7">
        <f>IF($C683="","",U683*X683/100)</f>
        <v/>
      </c>
      <c r="AH683" s="7">
        <f>IF($C683="","",U683-AG683)</f>
        <v/>
      </c>
      <c r="AI683" s="7">
        <f>IF($C683="","",AH683-M683)</f>
        <v/>
      </c>
      <c r="AJ683">
        <f>IF($C683="","",IF(COUNTIF($C$2:$C683,$C683)=1,1,0))</f>
        <v/>
      </c>
      <c r="AK683">
        <f>IF($AJ683=1,SUMPRODUCT(--($AN$2:$AN$4001&lt;$AN683))+1,"")</f>
        <v/>
      </c>
      <c r="AL683">
        <f>IF($C683="","",IF(OR($Q683=TRUE(),$Q683="TRUE"),1,0))</f>
        <v/>
      </c>
      <c r="AM683">
        <f>IF($C683="","",IF($W683="Yes",1,0))</f>
        <v/>
      </c>
      <c r="AN683">
        <f>IF($AJ683=1,IFERROR(IF(VALUE($C683)&lt;100000000,VALUE($C683),1000000000),IFERROR(IF(VALUE(MID($C683,2,20))&lt;100000000,VALUE(MID($C683,2,20)),1000000000),1000000000))+ROW()/100000,"")</f>
        <v/>
      </c>
    </row>
    <row r="684">
      <c r="E684" s="11" t="n"/>
      <c r="M684" s="7">
        <f>IF($C684="","",L684*U684/100)</f>
        <v/>
      </c>
      <c r="N684" s="7" t="n"/>
      <c r="T684" s="7" t="n"/>
      <c r="U684" s="7">
        <f>IF($C684="","",S684*T684)</f>
        <v/>
      </c>
      <c r="X684">
        <f>IF($C684="","",IF($AM684=1,0,IF($AL684=1,Settings!$C$6,Settings!$C$7))*100)</f>
        <v/>
      </c>
      <c r="AB684" s="7" t="n"/>
      <c r="AE684" s="11" t="n"/>
      <c r="AG684" s="7">
        <f>IF($C684="","",U684*X684/100)</f>
        <v/>
      </c>
      <c r="AH684" s="7">
        <f>IF($C684="","",U684-AG684)</f>
        <v/>
      </c>
      <c r="AI684" s="7">
        <f>IF($C684="","",AH684-M684)</f>
        <v/>
      </c>
      <c r="AJ684">
        <f>IF($C684="","",IF(COUNTIF($C$2:$C684,$C684)=1,1,0))</f>
        <v/>
      </c>
      <c r="AK684">
        <f>IF($AJ684=1,SUMPRODUCT(--($AN$2:$AN$4001&lt;$AN684))+1,"")</f>
        <v/>
      </c>
      <c r="AL684">
        <f>IF($C684="","",IF(OR($Q684=TRUE(),$Q684="TRUE"),1,0))</f>
        <v/>
      </c>
      <c r="AM684">
        <f>IF($C684="","",IF($W684="Yes",1,0))</f>
        <v/>
      </c>
      <c r="AN684">
        <f>IF($AJ684=1,IFERROR(IF(VALUE($C684)&lt;100000000,VALUE($C684),1000000000),IFERROR(IF(VALUE(MID($C684,2,20))&lt;100000000,VALUE(MID($C684,2,20)),1000000000),1000000000))+ROW()/100000,"")</f>
        <v/>
      </c>
    </row>
    <row r="685">
      <c r="E685" s="11" t="n"/>
      <c r="M685" s="7">
        <f>IF($C685="","",L685*U685/100)</f>
        <v/>
      </c>
      <c r="N685" s="7" t="n"/>
      <c r="T685" s="7" t="n"/>
      <c r="U685" s="7">
        <f>IF($C685="","",S685*T685)</f>
        <v/>
      </c>
      <c r="X685">
        <f>IF($C685="","",IF($AM685=1,0,IF($AL685=1,Settings!$C$6,Settings!$C$7))*100)</f>
        <v/>
      </c>
      <c r="AB685" s="7" t="n"/>
      <c r="AE685" s="11" t="n"/>
      <c r="AG685" s="7">
        <f>IF($C685="","",U685*X685/100)</f>
        <v/>
      </c>
      <c r="AH685" s="7">
        <f>IF($C685="","",U685-AG685)</f>
        <v/>
      </c>
      <c r="AI685" s="7">
        <f>IF($C685="","",AH685-M685)</f>
        <v/>
      </c>
      <c r="AJ685">
        <f>IF($C685="","",IF(COUNTIF($C$2:$C685,$C685)=1,1,0))</f>
        <v/>
      </c>
      <c r="AK685">
        <f>IF($AJ685=1,SUMPRODUCT(--($AN$2:$AN$4001&lt;$AN685))+1,"")</f>
        <v/>
      </c>
      <c r="AL685">
        <f>IF($C685="","",IF(OR($Q685=TRUE(),$Q685="TRUE"),1,0))</f>
        <v/>
      </c>
      <c r="AM685">
        <f>IF($C685="","",IF($W685="Yes",1,0))</f>
        <v/>
      </c>
      <c r="AN685">
        <f>IF($AJ685=1,IFERROR(IF(VALUE($C685)&lt;100000000,VALUE($C685),1000000000),IFERROR(IF(VALUE(MID($C685,2,20))&lt;100000000,VALUE(MID($C685,2,20)),1000000000),1000000000))+ROW()/100000,"")</f>
        <v/>
      </c>
    </row>
    <row r="686">
      <c r="E686" s="11" t="n"/>
      <c r="M686" s="7">
        <f>IF($C686="","",L686*U686/100)</f>
        <v/>
      </c>
      <c r="N686" s="7" t="n"/>
      <c r="T686" s="7" t="n"/>
      <c r="U686" s="7">
        <f>IF($C686="","",S686*T686)</f>
        <v/>
      </c>
      <c r="X686">
        <f>IF($C686="","",IF($AM686=1,0,IF($AL686=1,Settings!$C$6,Settings!$C$7))*100)</f>
        <v/>
      </c>
      <c r="AB686" s="7" t="n"/>
      <c r="AE686" s="11" t="n"/>
      <c r="AG686" s="7">
        <f>IF($C686="","",U686*X686/100)</f>
        <v/>
      </c>
      <c r="AH686" s="7">
        <f>IF($C686="","",U686-AG686)</f>
        <v/>
      </c>
      <c r="AI686" s="7">
        <f>IF($C686="","",AH686-M686)</f>
        <v/>
      </c>
      <c r="AJ686">
        <f>IF($C686="","",IF(COUNTIF($C$2:$C686,$C686)=1,1,0))</f>
        <v/>
      </c>
      <c r="AK686">
        <f>IF($AJ686=1,SUMPRODUCT(--($AN$2:$AN$4001&lt;$AN686))+1,"")</f>
        <v/>
      </c>
      <c r="AL686">
        <f>IF($C686="","",IF(OR($Q686=TRUE(),$Q686="TRUE"),1,0))</f>
        <v/>
      </c>
      <c r="AM686">
        <f>IF($C686="","",IF($W686="Yes",1,0))</f>
        <v/>
      </c>
      <c r="AN686">
        <f>IF($AJ686=1,IFERROR(IF(VALUE($C686)&lt;100000000,VALUE($C686),1000000000),IFERROR(IF(VALUE(MID($C686,2,20))&lt;100000000,VALUE(MID($C686,2,20)),1000000000),1000000000))+ROW()/100000,"")</f>
        <v/>
      </c>
    </row>
    <row r="687">
      <c r="E687" s="11" t="n"/>
      <c r="M687" s="7">
        <f>IF($C687="","",L687*U687/100)</f>
        <v/>
      </c>
      <c r="N687" s="7" t="n"/>
      <c r="T687" s="7" t="n"/>
      <c r="U687" s="7">
        <f>IF($C687="","",S687*T687)</f>
        <v/>
      </c>
      <c r="X687">
        <f>IF($C687="","",IF($AM687=1,0,IF($AL687=1,Settings!$C$6,Settings!$C$7))*100)</f>
        <v/>
      </c>
      <c r="AB687" s="7" t="n"/>
      <c r="AE687" s="11" t="n"/>
      <c r="AG687" s="7">
        <f>IF($C687="","",U687*X687/100)</f>
        <v/>
      </c>
      <c r="AH687" s="7">
        <f>IF($C687="","",U687-AG687)</f>
        <v/>
      </c>
      <c r="AI687" s="7">
        <f>IF($C687="","",AH687-M687)</f>
        <v/>
      </c>
      <c r="AJ687">
        <f>IF($C687="","",IF(COUNTIF($C$2:$C687,$C687)=1,1,0))</f>
        <v/>
      </c>
      <c r="AK687">
        <f>IF($AJ687=1,SUMPRODUCT(--($AN$2:$AN$4001&lt;$AN687))+1,"")</f>
        <v/>
      </c>
      <c r="AL687">
        <f>IF($C687="","",IF(OR($Q687=TRUE(),$Q687="TRUE"),1,0))</f>
        <v/>
      </c>
      <c r="AM687">
        <f>IF($C687="","",IF($W687="Yes",1,0))</f>
        <v/>
      </c>
      <c r="AN687">
        <f>IF($AJ687=1,IFERROR(IF(VALUE($C687)&lt;100000000,VALUE($C687),1000000000),IFERROR(IF(VALUE(MID($C687,2,20))&lt;100000000,VALUE(MID($C687,2,20)),1000000000),1000000000))+ROW()/100000,"")</f>
        <v/>
      </c>
    </row>
    <row r="688">
      <c r="E688" s="11" t="n"/>
      <c r="M688" s="7">
        <f>IF($C688="","",L688*U688/100)</f>
        <v/>
      </c>
      <c r="N688" s="7" t="n"/>
      <c r="T688" s="7" t="n"/>
      <c r="U688" s="7">
        <f>IF($C688="","",S688*T688)</f>
        <v/>
      </c>
      <c r="X688">
        <f>IF($C688="","",IF($AM688=1,0,IF($AL688=1,Settings!$C$6,Settings!$C$7))*100)</f>
        <v/>
      </c>
      <c r="AB688" s="7" t="n"/>
      <c r="AE688" s="11" t="n"/>
      <c r="AG688" s="7">
        <f>IF($C688="","",U688*X688/100)</f>
        <v/>
      </c>
      <c r="AH688" s="7">
        <f>IF($C688="","",U688-AG688)</f>
        <v/>
      </c>
      <c r="AI688" s="7">
        <f>IF($C688="","",AH688-M688)</f>
        <v/>
      </c>
      <c r="AJ688">
        <f>IF($C688="","",IF(COUNTIF($C$2:$C688,$C688)=1,1,0))</f>
        <v/>
      </c>
      <c r="AK688">
        <f>IF($AJ688=1,SUMPRODUCT(--($AN$2:$AN$4001&lt;$AN688))+1,"")</f>
        <v/>
      </c>
      <c r="AL688">
        <f>IF($C688="","",IF(OR($Q688=TRUE(),$Q688="TRUE"),1,0))</f>
        <v/>
      </c>
      <c r="AM688">
        <f>IF($C688="","",IF($W688="Yes",1,0))</f>
        <v/>
      </c>
      <c r="AN688">
        <f>IF($AJ688=1,IFERROR(IF(VALUE($C688)&lt;100000000,VALUE($C688),1000000000),IFERROR(IF(VALUE(MID($C688,2,20))&lt;100000000,VALUE(MID($C688,2,20)),1000000000),1000000000))+ROW()/100000,"")</f>
        <v/>
      </c>
    </row>
    <row r="689">
      <c r="E689" s="11" t="n"/>
      <c r="M689" s="7">
        <f>IF($C689="","",L689*U689/100)</f>
        <v/>
      </c>
      <c r="N689" s="7" t="n"/>
      <c r="T689" s="7" t="n"/>
      <c r="U689" s="7">
        <f>IF($C689="","",S689*T689)</f>
        <v/>
      </c>
      <c r="X689">
        <f>IF($C689="","",IF($AM689=1,0,IF($AL689=1,Settings!$C$6,Settings!$C$7))*100)</f>
        <v/>
      </c>
      <c r="AB689" s="7" t="n"/>
      <c r="AE689" s="11" t="n"/>
      <c r="AG689" s="7">
        <f>IF($C689="","",U689*X689/100)</f>
        <v/>
      </c>
      <c r="AH689" s="7">
        <f>IF($C689="","",U689-AG689)</f>
        <v/>
      </c>
      <c r="AI689" s="7">
        <f>IF($C689="","",AH689-M689)</f>
        <v/>
      </c>
      <c r="AJ689">
        <f>IF($C689="","",IF(COUNTIF($C$2:$C689,$C689)=1,1,0))</f>
        <v/>
      </c>
      <c r="AK689">
        <f>IF($AJ689=1,SUMPRODUCT(--($AN$2:$AN$4001&lt;$AN689))+1,"")</f>
        <v/>
      </c>
      <c r="AL689">
        <f>IF($C689="","",IF(OR($Q689=TRUE(),$Q689="TRUE"),1,0))</f>
        <v/>
      </c>
      <c r="AM689">
        <f>IF($C689="","",IF($W689="Yes",1,0))</f>
        <v/>
      </c>
      <c r="AN689">
        <f>IF($AJ689=1,IFERROR(IF(VALUE($C689)&lt;100000000,VALUE($C689),1000000000),IFERROR(IF(VALUE(MID($C689,2,20))&lt;100000000,VALUE(MID($C689,2,20)),1000000000),1000000000))+ROW()/100000,"")</f>
        <v/>
      </c>
    </row>
    <row r="690">
      <c r="E690" s="11" t="n"/>
      <c r="M690" s="7">
        <f>IF($C690="","",L690*U690/100)</f>
        <v/>
      </c>
      <c r="N690" s="7" t="n"/>
      <c r="T690" s="7" t="n"/>
      <c r="U690" s="7">
        <f>IF($C690="","",S690*T690)</f>
        <v/>
      </c>
      <c r="X690">
        <f>IF($C690="","",IF($AM690=1,0,IF($AL690=1,Settings!$C$6,Settings!$C$7))*100)</f>
        <v/>
      </c>
      <c r="AB690" s="7" t="n"/>
      <c r="AE690" s="11" t="n"/>
      <c r="AG690" s="7">
        <f>IF($C690="","",U690*X690/100)</f>
        <v/>
      </c>
      <c r="AH690" s="7">
        <f>IF($C690="","",U690-AG690)</f>
        <v/>
      </c>
      <c r="AI690" s="7">
        <f>IF($C690="","",AH690-M690)</f>
        <v/>
      </c>
      <c r="AJ690">
        <f>IF($C690="","",IF(COUNTIF($C$2:$C690,$C690)=1,1,0))</f>
        <v/>
      </c>
      <c r="AK690">
        <f>IF($AJ690=1,SUMPRODUCT(--($AN$2:$AN$4001&lt;$AN690))+1,"")</f>
        <v/>
      </c>
      <c r="AL690">
        <f>IF($C690="","",IF(OR($Q690=TRUE(),$Q690="TRUE"),1,0))</f>
        <v/>
      </c>
      <c r="AM690">
        <f>IF($C690="","",IF($W690="Yes",1,0))</f>
        <v/>
      </c>
      <c r="AN690">
        <f>IF($AJ690=1,IFERROR(IF(VALUE($C690)&lt;100000000,VALUE($C690),1000000000),IFERROR(IF(VALUE(MID($C690,2,20))&lt;100000000,VALUE(MID($C690,2,20)),1000000000),1000000000))+ROW()/100000,"")</f>
        <v/>
      </c>
    </row>
    <row r="691">
      <c r="E691" s="11" t="n"/>
      <c r="M691" s="7">
        <f>IF($C691="","",L691*U691/100)</f>
        <v/>
      </c>
      <c r="N691" s="7" t="n"/>
      <c r="T691" s="7" t="n"/>
      <c r="U691" s="7">
        <f>IF($C691="","",S691*T691)</f>
        <v/>
      </c>
      <c r="X691">
        <f>IF($C691="","",IF($AM691=1,0,IF($AL691=1,Settings!$C$6,Settings!$C$7))*100)</f>
        <v/>
      </c>
      <c r="AB691" s="7" t="n"/>
      <c r="AE691" s="11" t="n"/>
      <c r="AG691" s="7">
        <f>IF($C691="","",U691*X691/100)</f>
        <v/>
      </c>
      <c r="AH691" s="7">
        <f>IF($C691="","",U691-AG691)</f>
        <v/>
      </c>
      <c r="AI691" s="7">
        <f>IF($C691="","",AH691-M691)</f>
        <v/>
      </c>
      <c r="AJ691">
        <f>IF($C691="","",IF(COUNTIF($C$2:$C691,$C691)=1,1,0))</f>
        <v/>
      </c>
      <c r="AK691">
        <f>IF($AJ691=1,SUMPRODUCT(--($AN$2:$AN$4001&lt;$AN691))+1,"")</f>
        <v/>
      </c>
      <c r="AL691">
        <f>IF($C691="","",IF(OR($Q691=TRUE(),$Q691="TRUE"),1,0))</f>
        <v/>
      </c>
      <c r="AM691">
        <f>IF($C691="","",IF($W691="Yes",1,0))</f>
        <v/>
      </c>
      <c r="AN691">
        <f>IF($AJ691=1,IFERROR(IF(VALUE($C691)&lt;100000000,VALUE($C691),1000000000),IFERROR(IF(VALUE(MID($C691,2,20))&lt;100000000,VALUE(MID($C691,2,20)),1000000000),1000000000))+ROW()/100000,"")</f>
        <v/>
      </c>
    </row>
    <row r="692">
      <c r="E692" s="11" t="n"/>
      <c r="M692" s="7">
        <f>IF($C692="","",L692*U692/100)</f>
        <v/>
      </c>
      <c r="N692" s="7" t="n"/>
      <c r="T692" s="7" t="n"/>
      <c r="U692" s="7">
        <f>IF($C692="","",S692*T692)</f>
        <v/>
      </c>
      <c r="X692">
        <f>IF($C692="","",IF($AM692=1,0,IF($AL692=1,Settings!$C$6,Settings!$C$7))*100)</f>
        <v/>
      </c>
      <c r="AB692" s="7" t="n"/>
      <c r="AE692" s="11" t="n"/>
      <c r="AG692" s="7">
        <f>IF($C692="","",U692*X692/100)</f>
        <v/>
      </c>
      <c r="AH692" s="7">
        <f>IF($C692="","",U692-AG692)</f>
        <v/>
      </c>
      <c r="AI692" s="7">
        <f>IF($C692="","",AH692-M692)</f>
        <v/>
      </c>
      <c r="AJ692">
        <f>IF($C692="","",IF(COUNTIF($C$2:$C692,$C692)=1,1,0))</f>
        <v/>
      </c>
      <c r="AK692">
        <f>IF($AJ692=1,SUMPRODUCT(--($AN$2:$AN$4001&lt;$AN692))+1,"")</f>
        <v/>
      </c>
      <c r="AL692">
        <f>IF($C692="","",IF(OR($Q692=TRUE(),$Q692="TRUE"),1,0))</f>
        <v/>
      </c>
      <c r="AM692">
        <f>IF($C692="","",IF($W692="Yes",1,0))</f>
        <v/>
      </c>
      <c r="AN692">
        <f>IF($AJ692=1,IFERROR(IF(VALUE($C692)&lt;100000000,VALUE($C692),1000000000),IFERROR(IF(VALUE(MID($C692,2,20))&lt;100000000,VALUE(MID($C692,2,20)),1000000000),1000000000))+ROW()/100000,"")</f>
        <v/>
      </c>
    </row>
    <row r="693">
      <c r="E693" s="11" t="n"/>
      <c r="M693" s="7">
        <f>IF($C693="","",L693*U693/100)</f>
        <v/>
      </c>
      <c r="N693" s="7" t="n"/>
      <c r="T693" s="7" t="n"/>
      <c r="U693" s="7">
        <f>IF($C693="","",S693*T693)</f>
        <v/>
      </c>
      <c r="X693">
        <f>IF($C693="","",IF($AM693=1,0,IF($AL693=1,Settings!$C$6,Settings!$C$7))*100)</f>
        <v/>
      </c>
      <c r="AB693" s="7" t="n"/>
      <c r="AE693" s="11" t="n"/>
      <c r="AG693" s="7">
        <f>IF($C693="","",U693*X693/100)</f>
        <v/>
      </c>
      <c r="AH693" s="7">
        <f>IF($C693="","",U693-AG693)</f>
        <v/>
      </c>
      <c r="AI693" s="7">
        <f>IF($C693="","",AH693-M693)</f>
        <v/>
      </c>
      <c r="AJ693">
        <f>IF($C693="","",IF(COUNTIF($C$2:$C693,$C693)=1,1,0))</f>
        <v/>
      </c>
      <c r="AK693">
        <f>IF($AJ693=1,SUMPRODUCT(--($AN$2:$AN$4001&lt;$AN693))+1,"")</f>
        <v/>
      </c>
      <c r="AL693">
        <f>IF($C693="","",IF(OR($Q693=TRUE(),$Q693="TRUE"),1,0))</f>
        <v/>
      </c>
      <c r="AM693">
        <f>IF($C693="","",IF($W693="Yes",1,0))</f>
        <v/>
      </c>
      <c r="AN693">
        <f>IF($AJ693=1,IFERROR(IF(VALUE($C693)&lt;100000000,VALUE($C693),1000000000),IFERROR(IF(VALUE(MID($C693,2,20))&lt;100000000,VALUE(MID($C693,2,20)),1000000000),1000000000))+ROW()/100000,"")</f>
        <v/>
      </c>
    </row>
    <row r="694">
      <c r="E694" s="11" t="n"/>
      <c r="M694" s="7">
        <f>IF($C694="","",L694*U694/100)</f>
        <v/>
      </c>
      <c r="N694" s="7" t="n"/>
      <c r="T694" s="7" t="n"/>
      <c r="U694" s="7">
        <f>IF($C694="","",S694*T694)</f>
        <v/>
      </c>
      <c r="X694">
        <f>IF($C694="","",IF($AM694=1,0,IF($AL694=1,Settings!$C$6,Settings!$C$7))*100)</f>
        <v/>
      </c>
      <c r="AB694" s="7" t="n"/>
      <c r="AE694" s="11" t="n"/>
      <c r="AG694" s="7">
        <f>IF($C694="","",U694*X694/100)</f>
        <v/>
      </c>
      <c r="AH694" s="7">
        <f>IF($C694="","",U694-AG694)</f>
        <v/>
      </c>
      <c r="AI694" s="7">
        <f>IF($C694="","",AH694-M694)</f>
        <v/>
      </c>
      <c r="AJ694">
        <f>IF($C694="","",IF(COUNTIF($C$2:$C694,$C694)=1,1,0))</f>
        <v/>
      </c>
      <c r="AK694">
        <f>IF($AJ694=1,SUMPRODUCT(--($AN$2:$AN$4001&lt;$AN694))+1,"")</f>
        <v/>
      </c>
      <c r="AL694">
        <f>IF($C694="","",IF(OR($Q694=TRUE(),$Q694="TRUE"),1,0))</f>
        <v/>
      </c>
      <c r="AM694">
        <f>IF($C694="","",IF($W694="Yes",1,0))</f>
        <v/>
      </c>
      <c r="AN694">
        <f>IF($AJ694=1,IFERROR(IF(VALUE($C694)&lt;100000000,VALUE($C694),1000000000),IFERROR(IF(VALUE(MID($C694,2,20))&lt;100000000,VALUE(MID($C694,2,20)),1000000000),1000000000))+ROW()/100000,"")</f>
        <v/>
      </c>
    </row>
    <row r="695">
      <c r="E695" s="11" t="n"/>
      <c r="M695" s="7">
        <f>IF($C695="","",L695*U695/100)</f>
        <v/>
      </c>
      <c r="N695" s="7" t="n"/>
      <c r="T695" s="7" t="n"/>
      <c r="U695" s="7">
        <f>IF($C695="","",S695*T695)</f>
        <v/>
      </c>
      <c r="X695">
        <f>IF($C695="","",IF($AM695=1,0,IF($AL695=1,Settings!$C$6,Settings!$C$7))*100)</f>
        <v/>
      </c>
      <c r="AB695" s="7" t="n"/>
      <c r="AE695" s="11" t="n"/>
      <c r="AG695" s="7">
        <f>IF($C695="","",U695*X695/100)</f>
        <v/>
      </c>
      <c r="AH695" s="7">
        <f>IF($C695="","",U695-AG695)</f>
        <v/>
      </c>
      <c r="AI695" s="7">
        <f>IF($C695="","",AH695-M695)</f>
        <v/>
      </c>
      <c r="AJ695">
        <f>IF($C695="","",IF(COUNTIF($C$2:$C695,$C695)=1,1,0))</f>
        <v/>
      </c>
      <c r="AK695">
        <f>IF($AJ695=1,SUMPRODUCT(--($AN$2:$AN$4001&lt;$AN695))+1,"")</f>
        <v/>
      </c>
      <c r="AL695">
        <f>IF($C695="","",IF(OR($Q695=TRUE(),$Q695="TRUE"),1,0))</f>
        <v/>
      </c>
      <c r="AM695">
        <f>IF($C695="","",IF($W695="Yes",1,0))</f>
        <v/>
      </c>
      <c r="AN695">
        <f>IF($AJ695=1,IFERROR(IF(VALUE($C695)&lt;100000000,VALUE($C695),1000000000),IFERROR(IF(VALUE(MID($C695,2,20))&lt;100000000,VALUE(MID($C695,2,20)),1000000000),1000000000))+ROW()/100000,"")</f>
        <v/>
      </c>
    </row>
    <row r="696">
      <c r="E696" s="11" t="n"/>
      <c r="M696" s="7">
        <f>IF($C696="","",L696*U696/100)</f>
        <v/>
      </c>
      <c r="N696" s="7" t="n"/>
      <c r="T696" s="7" t="n"/>
      <c r="U696" s="7">
        <f>IF($C696="","",S696*T696)</f>
        <v/>
      </c>
      <c r="X696">
        <f>IF($C696="","",IF($AM696=1,0,IF($AL696=1,Settings!$C$6,Settings!$C$7))*100)</f>
        <v/>
      </c>
      <c r="AB696" s="7" t="n"/>
      <c r="AE696" s="11" t="n"/>
      <c r="AG696" s="7">
        <f>IF($C696="","",U696*X696/100)</f>
        <v/>
      </c>
      <c r="AH696" s="7">
        <f>IF($C696="","",U696-AG696)</f>
        <v/>
      </c>
      <c r="AI696" s="7">
        <f>IF($C696="","",AH696-M696)</f>
        <v/>
      </c>
      <c r="AJ696">
        <f>IF($C696="","",IF(COUNTIF($C$2:$C696,$C696)=1,1,0))</f>
        <v/>
      </c>
      <c r="AK696">
        <f>IF($AJ696=1,SUMPRODUCT(--($AN$2:$AN$4001&lt;$AN696))+1,"")</f>
        <v/>
      </c>
      <c r="AL696">
        <f>IF($C696="","",IF(OR($Q696=TRUE(),$Q696="TRUE"),1,0))</f>
        <v/>
      </c>
      <c r="AM696">
        <f>IF($C696="","",IF($W696="Yes",1,0))</f>
        <v/>
      </c>
      <c r="AN696">
        <f>IF($AJ696=1,IFERROR(IF(VALUE($C696)&lt;100000000,VALUE($C696),1000000000),IFERROR(IF(VALUE(MID($C696,2,20))&lt;100000000,VALUE(MID($C696,2,20)),1000000000),1000000000))+ROW()/100000,"")</f>
        <v/>
      </c>
    </row>
    <row r="697">
      <c r="E697" s="11" t="n"/>
      <c r="M697" s="7">
        <f>IF($C697="","",L697*U697/100)</f>
        <v/>
      </c>
      <c r="N697" s="7" t="n"/>
      <c r="T697" s="7" t="n"/>
      <c r="U697" s="7">
        <f>IF($C697="","",S697*T697)</f>
        <v/>
      </c>
      <c r="X697">
        <f>IF($C697="","",IF($AM697=1,0,IF($AL697=1,Settings!$C$6,Settings!$C$7))*100)</f>
        <v/>
      </c>
      <c r="AB697" s="7" t="n"/>
      <c r="AE697" s="11" t="n"/>
      <c r="AG697" s="7">
        <f>IF($C697="","",U697*X697/100)</f>
        <v/>
      </c>
      <c r="AH697" s="7">
        <f>IF($C697="","",U697-AG697)</f>
        <v/>
      </c>
      <c r="AI697" s="7">
        <f>IF($C697="","",AH697-M697)</f>
        <v/>
      </c>
      <c r="AJ697">
        <f>IF($C697="","",IF(COUNTIF($C$2:$C697,$C697)=1,1,0))</f>
        <v/>
      </c>
      <c r="AK697">
        <f>IF($AJ697=1,SUMPRODUCT(--($AN$2:$AN$4001&lt;$AN697))+1,"")</f>
        <v/>
      </c>
      <c r="AL697">
        <f>IF($C697="","",IF(OR($Q697=TRUE(),$Q697="TRUE"),1,0))</f>
        <v/>
      </c>
      <c r="AM697">
        <f>IF($C697="","",IF($W697="Yes",1,0))</f>
        <v/>
      </c>
      <c r="AN697">
        <f>IF($AJ697=1,IFERROR(IF(VALUE($C697)&lt;100000000,VALUE($C697),1000000000),IFERROR(IF(VALUE(MID($C697,2,20))&lt;100000000,VALUE(MID($C697,2,20)),1000000000),1000000000))+ROW()/100000,"")</f>
        <v/>
      </c>
    </row>
    <row r="698">
      <c r="E698" s="11" t="n"/>
      <c r="M698" s="7">
        <f>IF($C698="","",L698*U698/100)</f>
        <v/>
      </c>
      <c r="N698" s="7" t="n"/>
      <c r="T698" s="7" t="n"/>
      <c r="U698" s="7">
        <f>IF($C698="","",S698*T698)</f>
        <v/>
      </c>
      <c r="X698">
        <f>IF($C698="","",IF($AM698=1,0,IF($AL698=1,Settings!$C$6,Settings!$C$7))*100)</f>
        <v/>
      </c>
      <c r="AB698" s="7" t="n"/>
      <c r="AE698" s="11" t="n"/>
      <c r="AG698" s="7">
        <f>IF($C698="","",U698*X698/100)</f>
        <v/>
      </c>
      <c r="AH698" s="7">
        <f>IF($C698="","",U698-AG698)</f>
        <v/>
      </c>
      <c r="AI698" s="7">
        <f>IF($C698="","",AH698-M698)</f>
        <v/>
      </c>
      <c r="AJ698">
        <f>IF($C698="","",IF(COUNTIF($C$2:$C698,$C698)=1,1,0))</f>
        <v/>
      </c>
      <c r="AK698">
        <f>IF($AJ698=1,SUMPRODUCT(--($AN$2:$AN$4001&lt;$AN698))+1,"")</f>
        <v/>
      </c>
      <c r="AL698">
        <f>IF($C698="","",IF(OR($Q698=TRUE(),$Q698="TRUE"),1,0))</f>
        <v/>
      </c>
      <c r="AM698">
        <f>IF($C698="","",IF($W698="Yes",1,0))</f>
        <v/>
      </c>
      <c r="AN698">
        <f>IF($AJ698=1,IFERROR(IF(VALUE($C698)&lt;100000000,VALUE($C698),1000000000),IFERROR(IF(VALUE(MID($C698,2,20))&lt;100000000,VALUE(MID($C698,2,20)),1000000000),1000000000))+ROW()/100000,"")</f>
        <v/>
      </c>
    </row>
    <row r="699">
      <c r="E699" s="11" t="n"/>
      <c r="M699" s="7">
        <f>IF($C699="","",L699*U699/100)</f>
        <v/>
      </c>
      <c r="N699" s="7" t="n"/>
      <c r="T699" s="7" t="n"/>
      <c r="U699" s="7">
        <f>IF($C699="","",S699*T699)</f>
        <v/>
      </c>
      <c r="X699">
        <f>IF($C699="","",IF($AM699=1,0,IF($AL699=1,Settings!$C$6,Settings!$C$7))*100)</f>
        <v/>
      </c>
      <c r="AB699" s="7" t="n"/>
      <c r="AE699" s="11" t="n"/>
      <c r="AG699" s="7">
        <f>IF($C699="","",U699*X699/100)</f>
        <v/>
      </c>
      <c r="AH699" s="7">
        <f>IF($C699="","",U699-AG699)</f>
        <v/>
      </c>
      <c r="AI699" s="7">
        <f>IF($C699="","",AH699-M699)</f>
        <v/>
      </c>
      <c r="AJ699">
        <f>IF($C699="","",IF(COUNTIF($C$2:$C699,$C699)=1,1,0))</f>
        <v/>
      </c>
      <c r="AK699">
        <f>IF($AJ699=1,SUMPRODUCT(--($AN$2:$AN$4001&lt;$AN699))+1,"")</f>
        <v/>
      </c>
      <c r="AL699">
        <f>IF($C699="","",IF(OR($Q699=TRUE(),$Q699="TRUE"),1,0))</f>
        <v/>
      </c>
      <c r="AM699">
        <f>IF($C699="","",IF($W699="Yes",1,0))</f>
        <v/>
      </c>
      <c r="AN699">
        <f>IF($AJ699=1,IFERROR(IF(VALUE($C699)&lt;100000000,VALUE($C699),1000000000),IFERROR(IF(VALUE(MID($C699,2,20))&lt;100000000,VALUE(MID($C699,2,20)),1000000000),1000000000))+ROW()/100000,"")</f>
        <v/>
      </c>
    </row>
    <row r="700">
      <c r="E700" s="11" t="n"/>
      <c r="M700" s="7">
        <f>IF($C700="","",L700*U700/100)</f>
        <v/>
      </c>
      <c r="N700" s="7" t="n"/>
      <c r="T700" s="7" t="n"/>
      <c r="U700" s="7">
        <f>IF($C700="","",S700*T700)</f>
        <v/>
      </c>
      <c r="X700">
        <f>IF($C700="","",IF($AM700=1,0,IF($AL700=1,Settings!$C$6,Settings!$C$7))*100)</f>
        <v/>
      </c>
      <c r="AB700" s="7" t="n"/>
      <c r="AE700" s="11" t="n"/>
      <c r="AG700" s="7">
        <f>IF($C700="","",U700*X700/100)</f>
        <v/>
      </c>
      <c r="AH700" s="7">
        <f>IF($C700="","",U700-AG700)</f>
        <v/>
      </c>
      <c r="AI700" s="7">
        <f>IF($C700="","",AH700-M700)</f>
        <v/>
      </c>
      <c r="AJ700">
        <f>IF($C700="","",IF(COUNTIF($C$2:$C700,$C700)=1,1,0))</f>
        <v/>
      </c>
      <c r="AK700">
        <f>IF($AJ700=1,SUMPRODUCT(--($AN$2:$AN$4001&lt;$AN700))+1,"")</f>
        <v/>
      </c>
      <c r="AL700">
        <f>IF($C700="","",IF(OR($Q700=TRUE(),$Q700="TRUE"),1,0))</f>
        <v/>
      </c>
      <c r="AM700">
        <f>IF($C700="","",IF($W700="Yes",1,0))</f>
        <v/>
      </c>
      <c r="AN700">
        <f>IF($AJ700=1,IFERROR(IF(VALUE($C700)&lt;100000000,VALUE($C700),1000000000),IFERROR(IF(VALUE(MID($C700,2,20))&lt;100000000,VALUE(MID($C700,2,20)),1000000000),1000000000))+ROW()/100000,"")</f>
        <v/>
      </c>
    </row>
    <row r="701">
      <c r="E701" s="11" t="n"/>
      <c r="M701" s="7">
        <f>IF($C701="","",L701*U701/100)</f>
        <v/>
      </c>
      <c r="N701" s="7" t="n"/>
      <c r="T701" s="7" t="n"/>
      <c r="U701" s="7">
        <f>IF($C701="","",S701*T701)</f>
        <v/>
      </c>
      <c r="X701">
        <f>IF($C701="","",IF($AM701=1,0,IF($AL701=1,Settings!$C$6,Settings!$C$7))*100)</f>
        <v/>
      </c>
      <c r="AB701" s="7" t="n"/>
      <c r="AE701" s="11" t="n"/>
      <c r="AG701" s="7">
        <f>IF($C701="","",U701*X701/100)</f>
        <v/>
      </c>
      <c r="AH701" s="7">
        <f>IF($C701="","",U701-AG701)</f>
        <v/>
      </c>
      <c r="AI701" s="7">
        <f>IF($C701="","",AH701-M701)</f>
        <v/>
      </c>
      <c r="AJ701">
        <f>IF($C701="","",IF(COUNTIF($C$2:$C701,$C701)=1,1,0))</f>
        <v/>
      </c>
      <c r="AK701">
        <f>IF($AJ701=1,SUMPRODUCT(--($AN$2:$AN$4001&lt;$AN701))+1,"")</f>
        <v/>
      </c>
      <c r="AL701">
        <f>IF($C701="","",IF(OR($Q701=TRUE(),$Q701="TRUE"),1,0))</f>
        <v/>
      </c>
      <c r="AM701">
        <f>IF($C701="","",IF($W701="Yes",1,0))</f>
        <v/>
      </c>
      <c r="AN701">
        <f>IF($AJ701=1,IFERROR(IF(VALUE($C701)&lt;100000000,VALUE($C701),1000000000),IFERROR(IF(VALUE(MID($C701,2,20))&lt;100000000,VALUE(MID($C701,2,20)),1000000000),1000000000))+ROW()/100000,"")</f>
        <v/>
      </c>
    </row>
    <row r="702">
      <c r="E702" s="11" t="n"/>
      <c r="M702" s="7">
        <f>IF($C702="","",L702*U702/100)</f>
        <v/>
      </c>
      <c r="N702" s="7" t="n"/>
      <c r="T702" s="7" t="n"/>
      <c r="U702" s="7">
        <f>IF($C702="","",S702*T702)</f>
        <v/>
      </c>
      <c r="X702">
        <f>IF($C702="","",IF($AM702=1,0,IF($AL702=1,Settings!$C$6,Settings!$C$7))*100)</f>
        <v/>
      </c>
      <c r="AB702" s="7" t="n"/>
      <c r="AE702" s="11" t="n"/>
      <c r="AG702" s="7">
        <f>IF($C702="","",U702*X702/100)</f>
        <v/>
      </c>
      <c r="AH702" s="7">
        <f>IF($C702="","",U702-AG702)</f>
        <v/>
      </c>
      <c r="AI702" s="7">
        <f>IF($C702="","",AH702-M702)</f>
        <v/>
      </c>
      <c r="AJ702">
        <f>IF($C702="","",IF(COUNTIF($C$2:$C702,$C702)=1,1,0))</f>
        <v/>
      </c>
      <c r="AK702">
        <f>IF($AJ702=1,SUMPRODUCT(--($AN$2:$AN$4001&lt;$AN702))+1,"")</f>
        <v/>
      </c>
      <c r="AL702">
        <f>IF($C702="","",IF(OR($Q702=TRUE(),$Q702="TRUE"),1,0))</f>
        <v/>
      </c>
      <c r="AM702">
        <f>IF($C702="","",IF($W702="Yes",1,0))</f>
        <v/>
      </c>
      <c r="AN702">
        <f>IF($AJ702=1,IFERROR(IF(VALUE($C702)&lt;100000000,VALUE($C702),1000000000),IFERROR(IF(VALUE(MID($C702,2,20))&lt;100000000,VALUE(MID($C702,2,20)),1000000000),1000000000))+ROW()/100000,"")</f>
        <v/>
      </c>
    </row>
    <row r="703">
      <c r="E703" s="11" t="n"/>
      <c r="M703" s="7">
        <f>IF($C703="","",L703*U703/100)</f>
        <v/>
      </c>
      <c r="N703" s="7" t="n"/>
      <c r="T703" s="7" t="n"/>
      <c r="U703" s="7">
        <f>IF($C703="","",S703*T703)</f>
        <v/>
      </c>
      <c r="X703">
        <f>IF($C703="","",IF($AM703=1,0,IF($AL703=1,Settings!$C$6,Settings!$C$7))*100)</f>
        <v/>
      </c>
      <c r="AB703" s="7" t="n"/>
      <c r="AE703" s="11" t="n"/>
      <c r="AG703" s="7">
        <f>IF($C703="","",U703*X703/100)</f>
        <v/>
      </c>
      <c r="AH703" s="7">
        <f>IF($C703="","",U703-AG703)</f>
        <v/>
      </c>
      <c r="AI703" s="7">
        <f>IF($C703="","",AH703-M703)</f>
        <v/>
      </c>
      <c r="AJ703">
        <f>IF($C703="","",IF(COUNTIF($C$2:$C703,$C703)=1,1,0))</f>
        <v/>
      </c>
      <c r="AK703">
        <f>IF($AJ703=1,SUMPRODUCT(--($AN$2:$AN$4001&lt;$AN703))+1,"")</f>
        <v/>
      </c>
      <c r="AL703">
        <f>IF($C703="","",IF(OR($Q703=TRUE(),$Q703="TRUE"),1,0))</f>
        <v/>
      </c>
      <c r="AM703">
        <f>IF($C703="","",IF($W703="Yes",1,0))</f>
        <v/>
      </c>
      <c r="AN703">
        <f>IF($AJ703=1,IFERROR(IF(VALUE($C703)&lt;100000000,VALUE($C703),1000000000),IFERROR(IF(VALUE(MID($C703,2,20))&lt;100000000,VALUE(MID($C703,2,20)),1000000000),1000000000))+ROW()/100000,"")</f>
        <v/>
      </c>
    </row>
    <row r="704">
      <c r="E704" s="11" t="n"/>
      <c r="M704" s="7">
        <f>IF($C704="","",L704*U704/100)</f>
        <v/>
      </c>
      <c r="N704" s="7" t="n"/>
      <c r="T704" s="7" t="n"/>
      <c r="U704" s="7">
        <f>IF($C704="","",S704*T704)</f>
        <v/>
      </c>
      <c r="X704">
        <f>IF($C704="","",IF($AM704=1,0,IF($AL704=1,Settings!$C$6,Settings!$C$7))*100)</f>
        <v/>
      </c>
      <c r="AB704" s="7" t="n"/>
      <c r="AE704" s="11" t="n"/>
      <c r="AG704" s="7">
        <f>IF($C704="","",U704*X704/100)</f>
        <v/>
      </c>
      <c r="AH704" s="7">
        <f>IF($C704="","",U704-AG704)</f>
        <v/>
      </c>
      <c r="AI704" s="7">
        <f>IF($C704="","",AH704-M704)</f>
        <v/>
      </c>
      <c r="AJ704">
        <f>IF($C704="","",IF(COUNTIF($C$2:$C704,$C704)=1,1,0))</f>
        <v/>
      </c>
      <c r="AK704">
        <f>IF($AJ704=1,SUMPRODUCT(--($AN$2:$AN$4001&lt;$AN704))+1,"")</f>
        <v/>
      </c>
      <c r="AL704">
        <f>IF($C704="","",IF(OR($Q704=TRUE(),$Q704="TRUE"),1,0))</f>
        <v/>
      </c>
      <c r="AM704">
        <f>IF($C704="","",IF($W704="Yes",1,0))</f>
        <v/>
      </c>
      <c r="AN704">
        <f>IF($AJ704=1,IFERROR(IF(VALUE($C704)&lt;100000000,VALUE($C704),1000000000),IFERROR(IF(VALUE(MID($C704,2,20))&lt;100000000,VALUE(MID($C704,2,20)),1000000000),1000000000))+ROW()/100000,"")</f>
        <v/>
      </c>
    </row>
    <row r="705">
      <c r="E705" s="11" t="n"/>
      <c r="M705" s="7">
        <f>IF($C705="","",L705*U705/100)</f>
        <v/>
      </c>
      <c r="N705" s="7" t="n"/>
      <c r="T705" s="7" t="n"/>
      <c r="U705" s="7">
        <f>IF($C705="","",S705*T705)</f>
        <v/>
      </c>
      <c r="X705">
        <f>IF($C705="","",IF($AM705=1,0,IF($AL705=1,Settings!$C$6,Settings!$C$7))*100)</f>
        <v/>
      </c>
      <c r="AB705" s="7" t="n"/>
      <c r="AE705" s="11" t="n"/>
      <c r="AG705" s="7">
        <f>IF($C705="","",U705*X705/100)</f>
        <v/>
      </c>
      <c r="AH705" s="7">
        <f>IF($C705="","",U705-AG705)</f>
        <v/>
      </c>
      <c r="AI705" s="7">
        <f>IF($C705="","",AH705-M705)</f>
        <v/>
      </c>
      <c r="AJ705">
        <f>IF($C705="","",IF(COUNTIF($C$2:$C705,$C705)=1,1,0))</f>
        <v/>
      </c>
      <c r="AK705">
        <f>IF($AJ705=1,SUMPRODUCT(--($AN$2:$AN$4001&lt;$AN705))+1,"")</f>
        <v/>
      </c>
      <c r="AL705">
        <f>IF($C705="","",IF(OR($Q705=TRUE(),$Q705="TRUE"),1,0))</f>
        <v/>
      </c>
      <c r="AM705">
        <f>IF($C705="","",IF($W705="Yes",1,0))</f>
        <v/>
      </c>
      <c r="AN705">
        <f>IF($AJ705=1,IFERROR(IF(VALUE($C705)&lt;100000000,VALUE($C705),1000000000),IFERROR(IF(VALUE(MID($C705,2,20))&lt;100000000,VALUE(MID($C705,2,20)),1000000000),1000000000))+ROW()/100000,"")</f>
        <v/>
      </c>
    </row>
    <row r="706">
      <c r="E706" s="11" t="n"/>
      <c r="M706" s="7">
        <f>IF($C706="","",L706*U706/100)</f>
        <v/>
      </c>
      <c r="N706" s="7" t="n"/>
      <c r="T706" s="7" t="n"/>
      <c r="U706" s="7">
        <f>IF($C706="","",S706*T706)</f>
        <v/>
      </c>
      <c r="X706">
        <f>IF($C706="","",IF($AM706=1,0,IF($AL706=1,Settings!$C$6,Settings!$C$7))*100)</f>
        <v/>
      </c>
      <c r="AB706" s="7" t="n"/>
      <c r="AE706" s="11" t="n"/>
      <c r="AG706" s="7">
        <f>IF($C706="","",U706*X706/100)</f>
        <v/>
      </c>
      <c r="AH706" s="7">
        <f>IF($C706="","",U706-AG706)</f>
        <v/>
      </c>
      <c r="AI706" s="7">
        <f>IF($C706="","",AH706-M706)</f>
        <v/>
      </c>
      <c r="AJ706">
        <f>IF($C706="","",IF(COUNTIF($C$2:$C706,$C706)=1,1,0))</f>
        <v/>
      </c>
      <c r="AK706">
        <f>IF($AJ706=1,SUMPRODUCT(--($AN$2:$AN$4001&lt;$AN706))+1,"")</f>
        <v/>
      </c>
      <c r="AL706">
        <f>IF($C706="","",IF(OR($Q706=TRUE(),$Q706="TRUE"),1,0))</f>
        <v/>
      </c>
      <c r="AM706">
        <f>IF($C706="","",IF($W706="Yes",1,0))</f>
        <v/>
      </c>
      <c r="AN706">
        <f>IF($AJ706=1,IFERROR(IF(VALUE($C706)&lt;100000000,VALUE($C706),1000000000),IFERROR(IF(VALUE(MID($C706,2,20))&lt;100000000,VALUE(MID($C706,2,20)),1000000000),1000000000))+ROW()/100000,"")</f>
        <v/>
      </c>
    </row>
    <row r="707">
      <c r="E707" s="11" t="n"/>
      <c r="M707" s="7">
        <f>IF($C707="","",L707*U707/100)</f>
        <v/>
      </c>
      <c r="N707" s="7" t="n"/>
      <c r="T707" s="7" t="n"/>
      <c r="U707" s="7">
        <f>IF($C707="","",S707*T707)</f>
        <v/>
      </c>
      <c r="X707">
        <f>IF($C707="","",IF($AM707=1,0,IF($AL707=1,Settings!$C$6,Settings!$C$7))*100)</f>
        <v/>
      </c>
      <c r="AB707" s="7" t="n"/>
      <c r="AE707" s="11" t="n"/>
      <c r="AG707" s="7">
        <f>IF($C707="","",U707*X707/100)</f>
        <v/>
      </c>
      <c r="AH707" s="7">
        <f>IF($C707="","",U707-AG707)</f>
        <v/>
      </c>
      <c r="AI707" s="7">
        <f>IF($C707="","",AH707-M707)</f>
        <v/>
      </c>
      <c r="AJ707">
        <f>IF($C707="","",IF(COUNTIF($C$2:$C707,$C707)=1,1,0))</f>
        <v/>
      </c>
      <c r="AK707">
        <f>IF($AJ707=1,SUMPRODUCT(--($AN$2:$AN$4001&lt;$AN707))+1,"")</f>
        <v/>
      </c>
      <c r="AL707">
        <f>IF($C707="","",IF(OR($Q707=TRUE(),$Q707="TRUE"),1,0))</f>
        <v/>
      </c>
      <c r="AM707">
        <f>IF($C707="","",IF($W707="Yes",1,0))</f>
        <v/>
      </c>
      <c r="AN707">
        <f>IF($AJ707=1,IFERROR(IF(VALUE($C707)&lt;100000000,VALUE($C707),1000000000),IFERROR(IF(VALUE(MID($C707,2,20))&lt;100000000,VALUE(MID($C707,2,20)),1000000000),1000000000))+ROW()/100000,"")</f>
        <v/>
      </c>
    </row>
    <row r="708">
      <c r="E708" s="11" t="n"/>
      <c r="M708" s="7">
        <f>IF($C708="","",L708*U708/100)</f>
        <v/>
      </c>
      <c r="N708" s="7" t="n"/>
      <c r="T708" s="7" t="n"/>
      <c r="U708" s="7">
        <f>IF($C708="","",S708*T708)</f>
        <v/>
      </c>
      <c r="X708">
        <f>IF($C708="","",IF($AM708=1,0,IF($AL708=1,Settings!$C$6,Settings!$C$7))*100)</f>
        <v/>
      </c>
      <c r="AB708" s="7" t="n"/>
      <c r="AE708" s="11" t="n"/>
      <c r="AG708" s="7">
        <f>IF($C708="","",U708*X708/100)</f>
        <v/>
      </c>
      <c r="AH708" s="7">
        <f>IF($C708="","",U708-AG708)</f>
        <v/>
      </c>
      <c r="AI708" s="7">
        <f>IF($C708="","",AH708-M708)</f>
        <v/>
      </c>
      <c r="AJ708">
        <f>IF($C708="","",IF(COUNTIF($C$2:$C708,$C708)=1,1,0))</f>
        <v/>
      </c>
      <c r="AK708">
        <f>IF($AJ708=1,SUMPRODUCT(--($AN$2:$AN$4001&lt;$AN708))+1,"")</f>
        <v/>
      </c>
      <c r="AL708">
        <f>IF($C708="","",IF(OR($Q708=TRUE(),$Q708="TRUE"),1,0))</f>
        <v/>
      </c>
      <c r="AM708">
        <f>IF($C708="","",IF($W708="Yes",1,0))</f>
        <v/>
      </c>
      <c r="AN708">
        <f>IF($AJ708=1,IFERROR(IF(VALUE($C708)&lt;100000000,VALUE($C708),1000000000),IFERROR(IF(VALUE(MID($C708,2,20))&lt;100000000,VALUE(MID($C708,2,20)),1000000000),1000000000))+ROW()/100000,"")</f>
        <v/>
      </c>
    </row>
    <row r="709">
      <c r="E709" s="11" t="n"/>
      <c r="M709" s="7">
        <f>IF($C709="","",L709*U709/100)</f>
        <v/>
      </c>
      <c r="N709" s="7" t="n"/>
      <c r="T709" s="7" t="n"/>
      <c r="U709" s="7">
        <f>IF($C709="","",S709*T709)</f>
        <v/>
      </c>
      <c r="X709">
        <f>IF($C709="","",IF($AM709=1,0,IF($AL709=1,Settings!$C$6,Settings!$C$7))*100)</f>
        <v/>
      </c>
      <c r="AB709" s="7" t="n"/>
      <c r="AE709" s="11" t="n"/>
      <c r="AG709" s="7">
        <f>IF($C709="","",U709*X709/100)</f>
        <v/>
      </c>
      <c r="AH709" s="7">
        <f>IF($C709="","",U709-AG709)</f>
        <v/>
      </c>
      <c r="AI709" s="7">
        <f>IF($C709="","",AH709-M709)</f>
        <v/>
      </c>
      <c r="AJ709">
        <f>IF($C709="","",IF(COUNTIF($C$2:$C709,$C709)=1,1,0))</f>
        <v/>
      </c>
      <c r="AK709">
        <f>IF($AJ709=1,SUMPRODUCT(--($AN$2:$AN$4001&lt;$AN709))+1,"")</f>
        <v/>
      </c>
      <c r="AL709">
        <f>IF($C709="","",IF(OR($Q709=TRUE(),$Q709="TRUE"),1,0))</f>
        <v/>
      </c>
      <c r="AM709">
        <f>IF($C709="","",IF($W709="Yes",1,0))</f>
        <v/>
      </c>
      <c r="AN709">
        <f>IF($AJ709=1,IFERROR(IF(VALUE($C709)&lt;100000000,VALUE($C709),1000000000),IFERROR(IF(VALUE(MID($C709,2,20))&lt;100000000,VALUE(MID($C709,2,20)),1000000000),1000000000))+ROW()/100000,"")</f>
        <v/>
      </c>
    </row>
    <row r="710">
      <c r="E710" s="11" t="n"/>
      <c r="M710" s="7">
        <f>IF($C710="","",L710*U710/100)</f>
        <v/>
      </c>
      <c r="N710" s="7" t="n"/>
      <c r="T710" s="7" t="n"/>
      <c r="U710" s="7">
        <f>IF($C710="","",S710*T710)</f>
        <v/>
      </c>
      <c r="X710">
        <f>IF($C710="","",IF($AM710=1,0,IF($AL710=1,Settings!$C$6,Settings!$C$7))*100)</f>
        <v/>
      </c>
      <c r="AB710" s="7" t="n"/>
      <c r="AE710" s="11" t="n"/>
      <c r="AG710" s="7">
        <f>IF($C710="","",U710*X710/100)</f>
        <v/>
      </c>
      <c r="AH710" s="7">
        <f>IF($C710="","",U710-AG710)</f>
        <v/>
      </c>
      <c r="AI710" s="7">
        <f>IF($C710="","",AH710-M710)</f>
        <v/>
      </c>
      <c r="AJ710">
        <f>IF($C710="","",IF(COUNTIF($C$2:$C710,$C710)=1,1,0))</f>
        <v/>
      </c>
      <c r="AK710">
        <f>IF($AJ710=1,SUMPRODUCT(--($AN$2:$AN$4001&lt;$AN710))+1,"")</f>
        <v/>
      </c>
      <c r="AL710">
        <f>IF($C710="","",IF(OR($Q710=TRUE(),$Q710="TRUE"),1,0))</f>
        <v/>
      </c>
      <c r="AM710">
        <f>IF($C710="","",IF($W710="Yes",1,0))</f>
        <v/>
      </c>
      <c r="AN710">
        <f>IF($AJ710=1,IFERROR(IF(VALUE($C710)&lt;100000000,VALUE($C710),1000000000),IFERROR(IF(VALUE(MID($C710,2,20))&lt;100000000,VALUE(MID($C710,2,20)),1000000000),1000000000))+ROW()/100000,"")</f>
        <v/>
      </c>
    </row>
    <row r="711">
      <c r="E711" s="11" t="n"/>
      <c r="M711" s="7">
        <f>IF($C711="","",L711*U711/100)</f>
        <v/>
      </c>
      <c r="N711" s="7" t="n"/>
      <c r="T711" s="7" t="n"/>
      <c r="U711" s="7">
        <f>IF($C711="","",S711*T711)</f>
        <v/>
      </c>
      <c r="X711">
        <f>IF($C711="","",IF($AM711=1,0,IF($AL711=1,Settings!$C$6,Settings!$C$7))*100)</f>
        <v/>
      </c>
      <c r="AB711" s="7" t="n"/>
      <c r="AE711" s="11" t="n"/>
      <c r="AG711" s="7">
        <f>IF($C711="","",U711*X711/100)</f>
        <v/>
      </c>
      <c r="AH711" s="7">
        <f>IF($C711="","",U711-AG711)</f>
        <v/>
      </c>
      <c r="AI711" s="7">
        <f>IF($C711="","",AH711-M711)</f>
        <v/>
      </c>
      <c r="AJ711">
        <f>IF($C711="","",IF(COUNTIF($C$2:$C711,$C711)=1,1,0))</f>
        <v/>
      </c>
      <c r="AK711">
        <f>IF($AJ711=1,SUMPRODUCT(--($AN$2:$AN$4001&lt;$AN711))+1,"")</f>
        <v/>
      </c>
      <c r="AL711">
        <f>IF($C711="","",IF(OR($Q711=TRUE(),$Q711="TRUE"),1,0))</f>
        <v/>
      </c>
      <c r="AM711">
        <f>IF($C711="","",IF($W711="Yes",1,0))</f>
        <v/>
      </c>
      <c r="AN711">
        <f>IF($AJ711=1,IFERROR(IF(VALUE($C711)&lt;100000000,VALUE($C711),1000000000),IFERROR(IF(VALUE(MID($C711,2,20))&lt;100000000,VALUE(MID($C711,2,20)),1000000000),1000000000))+ROW()/100000,"")</f>
        <v/>
      </c>
    </row>
    <row r="712">
      <c r="E712" s="11" t="n"/>
      <c r="M712" s="7">
        <f>IF($C712="","",L712*U712/100)</f>
        <v/>
      </c>
      <c r="N712" s="7" t="n"/>
      <c r="T712" s="7" t="n"/>
      <c r="U712" s="7">
        <f>IF($C712="","",S712*T712)</f>
        <v/>
      </c>
      <c r="X712">
        <f>IF($C712="","",IF($AM712=1,0,IF($AL712=1,Settings!$C$6,Settings!$C$7))*100)</f>
        <v/>
      </c>
      <c r="AB712" s="7" t="n"/>
      <c r="AE712" s="11" t="n"/>
      <c r="AG712" s="7">
        <f>IF($C712="","",U712*X712/100)</f>
        <v/>
      </c>
      <c r="AH712" s="7">
        <f>IF($C712="","",U712-AG712)</f>
        <v/>
      </c>
      <c r="AI712" s="7">
        <f>IF($C712="","",AH712-M712)</f>
        <v/>
      </c>
      <c r="AJ712">
        <f>IF($C712="","",IF(COUNTIF($C$2:$C712,$C712)=1,1,0))</f>
        <v/>
      </c>
      <c r="AK712">
        <f>IF($AJ712=1,SUMPRODUCT(--($AN$2:$AN$4001&lt;$AN712))+1,"")</f>
        <v/>
      </c>
      <c r="AL712">
        <f>IF($C712="","",IF(OR($Q712=TRUE(),$Q712="TRUE"),1,0))</f>
        <v/>
      </c>
      <c r="AM712">
        <f>IF($C712="","",IF($W712="Yes",1,0))</f>
        <v/>
      </c>
      <c r="AN712">
        <f>IF($AJ712=1,IFERROR(IF(VALUE($C712)&lt;100000000,VALUE($C712),1000000000),IFERROR(IF(VALUE(MID($C712,2,20))&lt;100000000,VALUE(MID($C712,2,20)),1000000000),1000000000))+ROW()/100000,"")</f>
        <v/>
      </c>
    </row>
    <row r="713">
      <c r="E713" s="11" t="n"/>
      <c r="M713" s="7">
        <f>IF($C713="","",L713*U713/100)</f>
        <v/>
      </c>
      <c r="N713" s="7" t="n"/>
      <c r="T713" s="7" t="n"/>
      <c r="U713" s="7">
        <f>IF($C713="","",S713*T713)</f>
        <v/>
      </c>
      <c r="X713">
        <f>IF($C713="","",IF($AM713=1,0,IF($AL713=1,Settings!$C$6,Settings!$C$7))*100)</f>
        <v/>
      </c>
      <c r="AB713" s="7" t="n"/>
      <c r="AE713" s="11" t="n"/>
      <c r="AG713" s="7">
        <f>IF($C713="","",U713*X713/100)</f>
        <v/>
      </c>
      <c r="AH713" s="7">
        <f>IF($C713="","",U713-AG713)</f>
        <v/>
      </c>
      <c r="AI713" s="7">
        <f>IF($C713="","",AH713-M713)</f>
        <v/>
      </c>
      <c r="AJ713">
        <f>IF($C713="","",IF(COUNTIF($C$2:$C713,$C713)=1,1,0))</f>
        <v/>
      </c>
      <c r="AK713">
        <f>IF($AJ713=1,SUMPRODUCT(--($AN$2:$AN$4001&lt;$AN713))+1,"")</f>
        <v/>
      </c>
      <c r="AL713">
        <f>IF($C713="","",IF(OR($Q713=TRUE(),$Q713="TRUE"),1,0))</f>
        <v/>
      </c>
      <c r="AM713">
        <f>IF($C713="","",IF($W713="Yes",1,0))</f>
        <v/>
      </c>
      <c r="AN713">
        <f>IF($AJ713=1,IFERROR(IF(VALUE($C713)&lt;100000000,VALUE($C713),1000000000),IFERROR(IF(VALUE(MID($C713,2,20))&lt;100000000,VALUE(MID($C713,2,20)),1000000000),1000000000))+ROW()/100000,"")</f>
        <v/>
      </c>
    </row>
    <row r="714">
      <c r="E714" s="11" t="n"/>
      <c r="M714" s="7">
        <f>IF($C714="","",L714*U714/100)</f>
        <v/>
      </c>
      <c r="N714" s="7" t="n"/>
      <c r="T714" s="7" t="n"/>
      <c r="U714" s="7">
        <f>IF($C714="","",S714*T714)</f>
        <v/>
      </c>
      <c r="X714">
        <f>IF($C714="","",IF($AM714=1,0,IF($AL714=1,Settings!$C$6,Settings!$C$7))*100)</f>
        <v/>
      </c>
      <c r="AB714" s="7" t="n"/>
      <c r="AE714" s="11" t="n"/>
      <c r="AG714" s="7">
        <f>IF($C714="","",U714*X714/100)</f>
        <v/>
      </c>
      <c r="AH714" s="7">
        <f>IF($C714="","",U714-AG714)</f>
        <v/>
      </c>
      <c r="AI714" s="7">
        <f>IF($C714="","",AH714-M714)</f>
        <v/>
      </c>
      <c r="AJ714">
        <f>IF($C714="","",IF(COUNTIF($C$2:$C714,$C714)=1,1,0))</f>
        <v/>
      </c>
      <c r="AK714">
        <f>IF($AJ714=1,SUMPRODUCT(--($AN$2:$AN$4001&lt;$AN714))+1,"")</f>
        <v/>
      </c>
      <c r="AL714">
        <f>IF($C714="","",IF(OR($Q714=TRUE(),$Q714="TRUE"),1,0))</f>
        <v/>
      </c>
      <c r="AM714">
        <f>IF($C714="","",IF($W714="Yes",1,0))</f>
        <v/>
      </c>
      <c r="AN714">
        <f>IF($AJ714=1,IFERROR(IF(VALUE($C714)&lt;100000000,VALUE($C714),1000000000),IFERROR(IF(VALUE(MID($C714,2,20))&lt;100000000,VALUE(MID($C714,2,20)),1000000000),1000000000))+ROW()/100000,"")</f>
        <v/>
      </c>
    </row>
    <row r="715">
      <c r="E715" s="11" t="n"/>
      <c r="M715" s="7">
        <f>IF($C715="","",L715*U715/100)</f>
        <v/>
      </c>
      <c r="N715" s="7" t="n"/>
      <c r="T715" s="7" t="n"/>
      <c r="U715" s="7">
        <f>IF($C715="","",S715*T715)</f>
        <v/>
      </c>
      <c r="X715">
        <f>IF($C715="","",IF($AM715=1,0,IF($AL715=1,Settings!$C$6,Settings!$C$7))*100)</f>
        <v/>
      </c>
      <c r="AB715" s="7" t="n"/>
      <c r="AE715" s="11" t="n"/>
      <c r="AG715" s="7">
        <f>IF($C715="","",U715*X715/100)</f>
        <v/>
      </c>
      <c r="AH715" s="7">
        <f>IF($C715="","",U715-AG715)</f>
        <v/>
      </c>
      <c r="AI715" s="7">
        <f>IF($C715="","",AH715-M715)</f>
        <v/>
      </c>
      <c r="AJ715">
        <f>IF($C715="","",IF(COUNTIF($C$2:$C715,$C715)=1,1,0))</f>
        <v/>
      </c>
      <c r="AK715">
        <f>IF($AJ715=1,SUMPRODUCT(--($AN$2:$AN$4001&lt;$AN715))+1,"")</f>
        <v/>
      </c>
      <c r="AL715">
        <f>IF($C715="","",IF(OR($Q715=TRUE(),$Q715="TRUE"),1,0))</f>
        <v/>
      </c>
      <c r="AM715">
        <f>IF($C715="","",IF($W715="Yes",1,0))</f>
        <v/>
      </c>
      <c r="AN715">
        <f>IF($AJ715=1,IFERROR(IF(VALUE($C715)&lt;100000000,VALUE($C715),1000000000),IFERROR(IF(VALUE(MID($C715,2,20))&lt;100000000,VALUE(MID($C715,2,20)),1000000000),1000000000))+ROW()/100000,"")</f>
        <v/>
      </c>
    </row>
    <row r="716">
      <c r="E716" s="11" t="n"/>
      <c r="M716" s="7">
        <f>IF($C716="","",L716*U716/100)</f>
        <v/>
      </c>
      <c r="N716" s="7" t="n"/>
      <c r="T716" s="7" t="n"/>
      <c r="U716" s="7">
        <f>IF($C716="","",S716*T716)</f>
        <v/>
      </c>
      <c r="X716">
        <f>IF($C716="","",IF($AM716=1,0,IF($AL716=1,Settings!$C$6,Settings!$C$7))*100)</f>
        <v/>
      </c>
      <c r="AB716" s="7" t="n"/>
      <c r="AE716" s="11" t="n"/>
      <c r="AG716" s="7">
        <f>IF($C716="","",U716*X716/100)</f>
        <v/>
      </c>
      <c r="AH716" s="7">
        <f>IF($C716="","",U716-AG716)</f>
        <v/>
      </c>
      <c r="AI716" s="7">
        <f>IF($C716="","",AH716-M716)</f>
        <v/>
      </c>
      <c r="AJ716">
        <f>IF($C716="","",IF(COUNTIF($C$2:$C716,$C716)=1,1,0))</f>
        <v/>
      </c>
      <c r="AK716">
        <f>IF($AJ716=1,SUMPRODUCT(--($AN$2:$AN$4001&lt;$AN716))+1,"")</f>
        <v/>
      </c>
      <c r="AL716">
        <f>IF($C716="","",IF(OR($Q716=TRUE(),$Q716="TRUE"),1,0))</f>
        <v/>
      </c>
      <c r="AM716">
        <f>IF($C716="","",IF($W716="Yes",1,0))</f>
        <v/>
      </c>
      <c r="AN716">
        <f>IF($AJ716=1,IFERROR(IF(VALUE($C716)&lt;100000000,VALUE($C716),1000000000),IFERROR(IF(VALUE(MID($C716,2,20))&lt;100000000,VALUE(MID($C716,2,20)),1000000000),1000000000))+ROW()/100000,"")</f>
        <v/>
      </c>
    </row>
    <row r="717">
      <c r="E717" s="11" t="n"/>
      <c r="M717" s="7">
        <f>IF($C717="","",L717*U717/100)</f>
        <v/>
      </c>
      <c r="N717" s="7" t="n"/>
      <c r="T717" s="7" t="n"/>
      <c r="U717" s="7">
        <f>IF($C717="","",S717*T717)</f>
        <v/>
      </c>
      <c r="X717">
        <f>IF($C717="","",IF($AM717=1,0,IF($AL717=1,Settings!$C$6,Settings!$C$7))*100)</f>
        <v/>
      </c>
      <c r="AB717" s="7" t="n"/>
      <c r="AE717" s="11" t="n"/>
      <c r="AG717" s="7">
        <f>IF($C717="","",U717*X717/100)</f>
        <v/>
      </c>
      <c r="AH717" s="7">
        <f>IF($C717="","",U717-AG717)</f>
        <v/>
      </c>
      <c r="AI717" s="7">
        <f>IF($C717="","",AH717-M717)</f>
        <v/>
      </c>
      <c r="AJ717">
        <f>IF($C717="","",IF(COUNTIF($C$2:$C717,$C717)=1,1,0))</f>
        <v/>
      </c>
      <c r="AK717">
        <f>IF($AJ717=1,SUMPRODUCT(--($AN$2:$AN$4001&lt;$AN717))+1,"")</f>
        <v/>
      </c>
      <c r="AL717">
        <f>IF($C717="","",IF(OR($Q717=TRUE(),$Q717="TRUE"),1,0))</f>
        <v/>
      </c>
      <c r="AM717">
        <f>IF($C717="","",IF($W717="Yes",1,0))</f>
        <v/>
      </c>
      <c r="AN717">
        <f>IF($AJ717=1,IFERROR(IF(VALUE($C717)&lt;100000000,VALUE($C717),1000000000),IFERROR(IF(VALUE(MID($C717,2,20))&lt;100000000,VALUE(MID($C717,2,20)),1000000000),1000000000))+ROW()/100000,"")</f>
        <v/>
      </c>
    </row>
    <row r="718">
      <c r="E718" s="11" t="n"/>
      <c r="M718" s="7">
        <f>IF($C718="","",L718*U718/100)</f>
        <v/>
      </c>
      <c r="N718" s="7" t="n"/>
      <c r="T718" s="7" t="n"/>
      <c r="U718" s="7">
        <f>IF($C718="","",S718*T718)</f>
        <v/>
      </c>
      <c r="X718">
        <f>IF($C718="","",IF($AM718=1,0,IF($AL718=1,Settings!$C$6,Settings!$C$7))*100)</f>
        <v/>
      </c>
      <c r="AB718" s="7" t="n"/>
      <c r="AE718" s="11" t="n"/>
      <c r="AG718" s="7">
        <f>IF($C718="","",U718*X718/100)</f>
        <v/>
      </c>
      <c r="AH718" s="7">
        <f>IF($C718="","",U718-AG718)</f>
        <v/>
      </c>
      <c r="AI718" s="7">
        <f>IF($C718="","",AH718-M718)</f>
        <v/>
      </c>
      <c r="AJ718">
        <f>IF($C718="","",IF(COUNTIF($C$2:$C718,$C718)=1,1,0))</f>
        <v/>
      </c>
      <c r="AK718">
        <f>IF($AJ718=1,SUMPRODUCT(--($AN$2:$AN$4001&lt;$AN718))+1,"")</f>
        <v/>
      </c>
      <c r="AL718">
        <f>IF($C718="","",IF(OR($Q718=TRUE(),$Q718="TRUE"),1,0))</f>
        <v/>
      </c>
      <c r="AM718">
        <f>IF($C718="","",IF($W718="Yes",1,0))</f>
        <v/>
      </c>
      <c r="AN718">
        <f>IF($AJ718=1,IFERROR(IF(VALUE($C718)&lt;100000000,VALUE($C718),1000000000),IFERROR(IF(VALUE(MID($C718,2,20))&lt;100000000,VALUE(MID($C718,2,20)),1000000000),1000000000))+ROW()/100000,"")</f>
        <v/>
      </c>
    </row>
    <row r="719">
      <c r="E719" s="11" t="n"/>
      <c r="M719" s="7">
        <f>IF($C719="","",L719*U719/100)</f>
        <v/>
      </c>
      <c r="N719" s="7" t="n"/>
      <c r="T719" s="7" t="n"/>
      <c r="U719" s="7">
        <f>IF($C719="","",S719*T719)</f>
        <v/>
      </c>
      <c r="X719">
        <f>IF($C719="","",IF($AM719=1,0,IF($AL719=1,Settings!$C$6,Settings!$C$7))*100)</f>
        <v/>
      </c>
      <c r="AB719" s="7" t="n"/>
      <c r="AE719" s="11" t="n"/>
      <c r="AG719" s="7">
        <f>IF($C719="","",U719*X719/100)</f>
        <v/>
      </c>
      <c r="AH719" s="7">
        <f>IF($C719="","",U719-AG719)</f>
        <v/>
      </c>
      <c r="AI719" s="7">
        <f>IF($C719="","",AH719-M719)</f>
        <v/>
      </c>
      <c r="AJ719">
        <f>IF($C719="","",IF(COUNTIF($C$2:$C719,$C719)=1,1,0))</f>
        <v/>
      </c>
      <c r="AK719">
        <f>IF($AJ719=1,SUMPRODUCT(--($AN$2:$AN$4001&lt;$AN719))+1,"")</f>
        <v/>
      </c>
      <c r="AL719">
        <f>IF($C719="","",IF(OR($Q719=TRUE(),$Q719="TRUE"),1,0))</f>
        <v/>
      </c>
      <c r="AM719">
        <f>IF($C719="","",IF($W719="Yes",1,0))</f>
        <v/>
      </c>
      <c r="AN719">
        <f>IF($AJ719=1,IFERROR(IF(VALUE($C719)&lt;100000000,VALUE($C719),1000000000),IFERROR(IF(VALUE(MID($C719,2,20))&lt;100000000,VALUE(MID($C719,2,20)),1000000000),1000000000))+ROW()/100000,"")</f>
        <v/>
      </c>
    </row>
    <row r="720">
      <c r="E720" s="11" t="n"/>
      <c r="M720" s="7">
        <f>IF($C720="","",L720*U720/100)</f>
        <v/>
      </c>
      <c r="N720" s="7" t="n"/>
      <c r="T720" s="7" t="n"/>
      <c r="U720" s="7">
        <f>IF($C720="","",S720*T720)</f>
        <v/>
      </c>
      <c r="X720">
        <f>IF($C720="","",IF($AM720=1,0,IF($AL720=1,Settings!$C$6,Settings!$C$7))*100)</f>
        <v/>
      </c>
      <c r="AB720" s="7" t="n"/>
      <c r="AE720" s="11" t="n"/>
      <c r="AG720" s="7">
        <f>IF($C720="","",U720*X720/100)</f>
        <v/>
      </c>
      <c r="AH720" s="7">
        <f>IF($C720="","",U720-AG720)</f>
        <v/>
      </c>
      <c r="AI720" s="7">
        <f>IF($C720="","",AH720-M720)</f>
        <v/>
      </c>
      <c r="AJ720">
        <f>IF($C720="","",IF(COUNTIF($C$2:$C720,$C720)=1,1,0))</f>
        <v/>
      </c>
      <c r="AK720">
        <f>IF($AJ720=1,SUMPRODUCT(--($AN$2:$AN$4001&lt;$AN720))+1,"")</f>
        <v/>
      </c>
      <c r="AL720">
        <f>IF($C720="","",IF(OR($Q720=TRUE(),$Q720="TRUE"),1,0))</f>
        <v/>
      </c>
      <c r="AM720">
        <f>IF($C720="","",IF($W720="Yes",1,0))</f>
        <v/>
      </c>
      <c r="AN720">
        <f>IF($AJ720=1,IFERROR(IF(VALUE($C720)&lt;100000000,VALUE($C720),1000000000),IFERROR(IF(VALUE(MID($C720,2,20))&lt;100000000,VALUE(MID($C720,2,20)),1000000000),1000000000))+ROW()/100000,"")</f>
        <v/>
      </c>
    </row>
    <row r="721">
      <c r="E721" s="11" t="n"/>
      <c r="M721" s="7">
        <f>IF($C721="","",L721*U721/100)</f>
        <v/>
      </c>
      <c r="N721" s="7" t="n"/>
      <c r="T721" s="7" t="n"/>
      <c r="U721" s="7">
        <f>IF($C721="","",S721*T721)</f>
        <v/>
      </c>
      <c r="X721">
        <f>IF($C721="","",IF($AM721=1,0,IF($AL721=1,Settings!$C$6,Settings!$C$7))*100)</f>
        <v/>
      </c>
      <c r="AB721" s="7" t="n"/>
      <c r="AE721" s="11" t="n"/>
      <c r="AG721" s="7">
        <f>IF($C721="","",U721*X721/100)</f>
        <v/>
      </c>
      <c r="AH721" s="7">
        <f>IF($C721="","",U721-AG721)</f>
        <v/>
      </c>
      <c r="AI721" s="7">
        <f>IF($C721="","",AH721-M721)</f>
        <v/>
      </c>
      <c r="AJ721">
        <f>IF($C721="","",IF(COUNTIF($C$2:$C721,$C721)=1,1,0))</f>
        <v/>
      </c>
      <c r="AK721">
        <f>IF($AJ721=1,SUMPRODUCT(--($AN$2:$AN$4001&lt;$AN721))+1,"")</f>
        <v/>
      </c>
      <c r="AL721">
        <f>IF($C721="","",IF(OR($Q721=TRUE(),$Q721="TRUE"),1,0))</f>
        <v/>
      </c>
      <c r="AM721">
        <f>IF($C721="","",IF($W721="Yes",1,0))</f>
        <v/>
      </c>
      <c r="AN721">
        <f>IF($AJ721=1,IFERROR(IF(VALUE($C721)&lt;100000000,VALUE($C721),1000000000),IFERROR(IF(VALUE(MID($C721,2,20))&lt;100000000,VALUE(MID($C721,2,20)),1000000000),1000000000))+ROW()/100000,"")</f>
        <v/>
      </c>
    </row>
    <row r="722">
      <c r="E722" s="11" t="n"/>
      <c r="M722" s="7">
        <f>IF($C722="","",L722*U722/100)</f>
        <v/>
      </c>
      <c r="N722" s="7" t="n"/>
      <c r="T722" s="7" t="n"/>
      <c r="U722" s="7">
        <f>IF($C722="","",S722*T722)</f>
        <v/>
      </c>
      <c r="X722">
        <f>IF($C722="","",IF($AM722=1,0,IF($AL722=1,Settings!$C$6,Settings!$C$7))*100)</f>
        <v/>
      </c>
      <c r="AB722" s="7" t="n"/>
      <c r="AE722" s="11" t="n"/>
      <c r="AG722" s="7">
        <f>IF($C722="","",U722*X722/100)</f>
        <v/>
      </c>
      <c r="AH722" s="7">
        <f>IF($C722="","",U722-AG722)</f>
        <v/>
      </c>
      <c r="AI722" s="7">
        <f>IF($C722="","",AH722-M722)</f>
        <v/>
      </c>
      <c r="AJ722">
        <f>IF($C722="","",IF(COUNTIF($C$2:$C722,$C722)=1,1,0))</f>
        <v/>
      </c>
      <c r="AK722">
        <f>IF($AJ722=1,SUMPRODUCT(--($AN$2:$AN$4001&lt;$AN722))+1,"")</f>
        <v/>
      </c>
      <c r="AL722">
        <f>IF($C722="","",IF(OR($Q722=TRUE(),$Q722="TRUE"),1,0))</f>
        <v/>
      </c>
      <c r="AM722">
        <f>IF($C722="","",IF($W722="Yes",1,0))</f>
        <v/>
      </c>
      <c r="AN722">
        <f>IF($AJ722=1,IFERROR(IF(VALUE($C722)&lt;100000000,VALUE($C722),1000000000),IFERROR(IF(VALUE(MID($C722,2,20))&lt;100000000,VALUE(MID($C722,2,20)),1000000000),1000000000))+ROW()/100000,"")</f>
        <v/>
      </c>
    </row>
    <row r="723">
      <c r="E723" s="11" t="n"/>
      <c r="M723" s="7">
        <f>IF($C723="","",L723*U723/100)</f>
        <v/>
      </c>
      <c r="N723" s="7" t="n"/>
      <c r="T723" s="7" t="n"/>
      <c r="U723" s="7">
        <f>IF($C723="","",S723*T723)</f>
        <v/>
      </c>
      <c r="X723">
        <f>IF($C723="","",IF($AM723=1,0,IF($AL723=1,Settings!$C$6,Settings!$C$7))*100)</f>
        <v/>
      </c>
      <c r="AB723" s="7" t="n"/>
      <c r="AE723" s="11" t="n"/>
      <c r="AG723" s="7">
        <f>IF($C723="","",U723*X723/100)</f>
        <v/>
      </c>
      <c r="AH723" s="7">
        <f>IF($C723="","",U723-AG723)</f>
        <v/>
      </c>
      <c r="AI723" s="7">
        <f>IF($C723="","",AH723-M723)</f>
        <v/>
      </c>
      <c r="AJ723">
        <f>IF($C723="","",IF(COUNTIF($C$2:$C723,$C723)=1,1,0))</f>
        <v/>
      </c>
      <c r="AK723">
        <f>IF($AJ723=1,SUMPRODUCT(--($AN$2:$AN$4001&lt;$AN723))+1,"")</f>
        <v/>
      </c>
      <c r="AL723">
        <f>IF($C723="","",IF(OR($Q723=TRUE(),$Q723="TRUE"),1,0))</f>
        <v/>
      </c>
      <c r="AM723">
        <f>IF($C723="","",IF($W723="Yes",1,0))</f>
        <v/>
      </c>
      <c r="AN723">
        <f>IF($AJ723=1,IFERROR(IF(VALUE($C723)&lt;100000000,VALUE($C723),1000000000),IFERROR(IF(VALUE(MID($C723,2,20))&lt;100000000,VALUE(MID($C723,2,20)),1000000000),1000000000))+ROW()/100000,"")</f>
        <v/>
      </c>
    </row>
    <row r="724">
      <c r="E724" s="11" t="n"/>
      <c r="M724" s="7">
        <f>IF($C724="","",L724*U724/100)</f>
        <v/>
      </c>
      <c r="N724" s="7" t="n"/>
      <c r="T724" s="7" t="n"/>
      <c r="U724" s="7">
        <f>IF($C724="","",S724*T724)</f>
        <v/>
      </c>
      <c r="X724">
        <f>IF($C724="","",IF($AM724=1,0,IF($AL724=1,Settings!$C$6,Settings!$C$7))*100)</f>
        <v/>
      </c>
      <c r="AB724" s="7" t="n"/>
      <c r="AE724" s="11" t="n"/>
      <c r="AG724" s="7">
        <f>IF($C724="","",U724*X724/100)</f>
        <v/>
      </c>
      <c r="AH724" s="7">
        <f>IF($C724="","",U724-AG724)</f>
        <v/>
      </c>
      <c r="AI724" s="7">
        <f>IF($C724="","",AH724-M724)</f>
        <v/>
      </c>
      <c r="AJ724">
        <f>IF($C724="","",IF(COUNTIF($C$2:$C724,$C724)=1,1,0))</f>
        <v/>
      </c>
      <c r="AK724">
        <f>IF($AJ724=1,SUMPRODUCT(--($AN$2:$AN$4001&lt;$AN724))+1,"")</f>
        <v/>
      </c>
      <c r="AL724">
        <f>IF($C724="","",IF(OR($Q724=TRUE(),$Q724="TRUE"),1,0))</f>
        <v/>
      </c>
      <c r="AM724">
        <f>IF($C724="","",IF($W724="Yes",1,0))</f>
        <v/>
      </c>
      <c r="AN724">
        <f>IF($AJ724=1,IFERROR(IF(VALUE($C724)&lt;100000000,VALUE($C724),1000000000),IFERROR(IF(VALUE(MID($C724,2,20))&lt;100000000,VALUE(MID($C724,2,20)),1000000000),1000000000))+ROW()/100000,"")</f>
        <v/>
      </c>
    </row>
    <row r="725">
      <c r="E725" s="11" t="n"/>
      <c r="M725" s="7">
        <f>IF($C725="","",L725*U725/100)</f>
        <v/>
      </c>
      <c r="N725" s="7" t="n"/>
      <c r="T725" s="7" t="n"/>
      <c r="U725" s="7">
        <f>IF($C725="","",S725*T725)</f>
        <v/>
      </c>
      <c r="X725">
        <f>IF($C725="","",IF($AM725=1,0,IF($AL725=1,Settings!$C$6,Settings!$C$7))*100)</f>
        <v/>
      </c>
      <c r="AB725" s="7" t="n"/>
      <c r="AE725" s="11" t="n"/>
      <c r="AG725" s="7">
        <f>IF($C725="","",U725*X725/100)</f>
        <v/>
      </c>
      <c r="AH725" s="7">
        <f>IF($C725="","",U725-AG725)</f>
        <v/>
      </c>
      <c r="AI725" s="7">
        <f>IF($C725="","",AH725-M725)</f>
        <v/>
      </c>
      <c r="AJ725">
        <f>IF($C725="","",IF(COUNTIF($C$2:$C725,$C725)=1,1,0))</f>
        <v/>
      </c>
      <c r="AK725">
        <f>IF($AJ725=1,SUMPRODUCT(--($AN$2:$AN$4001&lt;$AN725))+1,"")</f>
        <v/>
      </c>
      <c r="AL725">
        <f>IF($C725="","",IF(OR($Q725=TRUE(),$Q725="TRUE"),1,0))</f>
        <v/>
      </c>
      <c r="AM725">
        <f>IF($C725="","",IF($W725="Yes",1,0))</f>
        <v/>
      </c>
      <c r="AN725">
        <f>IF($AJ725=1,IFERROR(IF(VALUE($C725)&lt;100000000,VALUE($C725),1000000000),IFERROR(IF(VALUE(MID($C725,2,20))&lt;100000000,VALUE(MID($C725,2,20)),1000000000),1000000000))+ROW()/100000,"")</f>
        <v/>
      </c>
    </row>
    <row r="726">
      <c r="E726" s="11" t="n"/>
      <c r="M726" s="7">
        <f>IF($C726="","",L726*U726/100)</f>
        <v/>
      </c>
      <c r="N726" s="7" t="n"/>
      <c r="T726" s="7" t="n"/>
      <c r="U726" s="7">
        <f>IF($C726="","",S726*T726)</f>
        <v/>
      </c>
      <c r="X726">
        <f>IF($C726="","",IF($AM726=1,0,IF($AL726=1,Settings!$C$6,Settings!$C$7))*100)</f>
        <v/>
      </c>
      <c r="AB726" s="7" t="n"/>
      <c r="AE726" s="11" t="n"/>
      <c r="AG726" s="7">
        <f>IF($C726="","",U726*X726/100)</f>
        <v/>
      </c>
      <c r="AH726" s="7">
        <f>IF($C726="","",U726-AG726)</f>
        <v/>
      </c>
      <c r="AI726" s="7">
        <f>IF($C726="","",AH726-M726)</f>
        <v/>
      </c>
      <c r="AJ726">
        <f>IF($C726="","",IF(COUNTIF($C$2:$C726,$C726)=1,1,0))</f>
        <v/>
      </c>
      <c r="AK726">
        <f>IF($AJ726=1,SUMPRODUCT(--($AN$2:$AN$4001&lt;$AN726))+1,"")</f>
        <v/>
      </c>
      <c r="AL726">
        <f>IF($C726="","",IF(OR($Q726=TRUE(),$Q726="TRUE"),1,0))</f>
        <v/>
      </c>
      <c r="AM726">
        <f>IF($C726="","",IF($W726="Yes",1,0))</f>
        <v/>
      </c>
      <c r="AN726">
        <f>IF($AJ726=1,IFERROR(IF(VALUE($C726)&lt;100000000,VALUE($C726),1000000000),IFERROR(IF(VALUE(MID($C726,2,20))&lt;100000000,VALUE(MID($C726,2,20)),1000000000),1000000000))+ROW()/100000,"")</f>
        <v/>
      </c>
    </row>
    <row r="727">
      <c r="E727" s="11" t="n"/>
      <c r="M727" s="7">
        <f>IF($C727="","",L727*U727/100)</f>
        <v/>
      </c>
      <c r="N727" s="7" t="n"/>
      <c r="T727" s="7" t="n"/>
      <c r="U727" s="7">
        <f>IF($C727="","",S727*T727)</f>
        <v/>
      </c>
      <c r="X727">
        <f>IF($C727="","",IF($AM727=1,0,IF($AL727=1,Settings!$C$6,Settings!$C$7))*100)</f>
        <v/>
      </c>
      <c r="AB727" s="7" t="n"/>
      <c r="AE727" s="11" t="n"/>
      <c r="AG727" s="7">
        <f>IF($C727="","",U727*X727/100)</f>
        <v/>
      </c>
      <c r="AH727" s="7">
        <f>IF($C727="","",U727-AG727)</f>
        <v/>
      </c>
      <c r="AI727" s="7">
        <f>IF($C727="","",AH727-M727)</f>
        <v/>
      </c>
      <c r="AJ727">
        <f>IF($C727="","",IF(COUNTIF($C$2:$C727,$C727)=1,1,0))</f>
        <v/>
      </c>
      <c r="AK727">
        <f>IF($AJ727=1,SUMPRODUCT(--($AN$2:$AN$4001&lt;$AN727))+1,"")</f>
        <v/>
      </c>
      <c r="AL727">
        <f>IF($C727="","",IF(OR($Q727=TRUE(),$Q727="TRUE"),1,0))</f>
        <v/>
      </c>
      <c r="AM727">
        <f>IF($C727="","",IF($W727="Yes",1,0))</f>
        <v/>
      </c>
      <c r="AN727">
        <f>IF($AJ727=1,IFERROR(IF(VALUE($C727)&lt;100000000,VALUE($C727),1000000000),IFERROR(IF(VALUE(MID($C727,2,20))&lt;100000000,VALUE(MID($C727,2,20)),1000000000),1000000000))+ROW()/100000,"")</f>
        <v/>
      </c>
    </row>
    <row r="728">
      <c r="E728" s="11" t="n"/>
      <c r="M728" s="7">
        <f>IF($C728="","",L728*U728/100)</f>
        <v/>
      </c>
      <c r="N728" s="7" t="n"/>
      <c r="T728" s="7" t="n"/>
      <c r="U728" s="7">
        <f>IF($C728="","",S728*T728)</f>
        <v/>
      </c>
      <c r="X728">
        <f>IF($C728="","",IF($AM728=1,0,IF($AL728=1,Settings!$C$6,Settings!$C$7))*100)</f>
        <v/>
      </c>
      <c r="AB728" s="7" t="n"/>
      <c r="AE728" s="11" t="n"/>
      <c r="AG728" s="7">
        <f>IF($C728="","",U728*X728/100)</f>
        <v/>
      </c>
      <c r="AH728" s="7">
        <f>IF($C728="","",U728-AG728)</f>
        <v/>
      </c>
      <c r="AI728" s="7">
        <f>IF($C728="","",AH728-M728)</f>
        <v/>
      </c>
      <c r="AJ728">
        <f>IF($C728="","",IF(COUNTIF($C$2:$C728,$C728)=1,1,0))</f>
        <v/>
      </c>
      <c r="AK728">
        <f>IF($AJ728=1,SUMPRODUCT(--($AN$2:$AN$4001&lt;$AN728))+1,"")</f>
        <v/>
      </c>
      <c r="AL728">
        <f>IF($C728="","",IF(OR($Q728=TRUE(),$Q728="TRUE"),1,0))</f>
        <v/>
      </c>
      <c r="AM728">
        <f>IF($C728="","",IF($W728="Yes",1,0))</f>
        <v/>
      </c>
      <c r="AN728">
        <f>IF($AJ728=1,IFERROR(IF(VALUE($C728)&lt;100000000,VALUE($C728),1000000000),IFERROR(IF(VALUE(MID($C728,2,20))&lt;100000000,VALUE(MID($C728,2,20)),1000000000),1000000000))+ROW()/100000,"")</f>
        <v/>
      </c>
    </row>
    <row r="729">
      <c r="E729" s="11" t="n"/>
      <c r="M729" s="7">
        <f>IF($C729="","",L729*U729/100)</f>
        <v/>
      </c>
      <c r="N729" s="7" t="n"/>
      <c r="T729" s="7" t="n"/>
      <c r="U729" s="7">
        <f>IF($C729="","",S729*T729)</f>
        <v/>
      </c>
      <c r="X729">
        <f>IF($C729="","",IF($AM729=1,0,IF($AL729=1,Settings!$C$6,Settings!$C$7))*100)</f>
        <v/>
      </c>
      <c r="AB729" s="7" t="n"/>
      <c r="AE729" s="11" t="n"/>
      <c r="AG729" s="7">
        <f>IF($C729="","",U729*X729/100)</f>
        <v/>
      </c>
      <c r="AH729" s="7">
        <f>IF($C729="","",U729-AG729)</f>
        <v/>
      </c>
      <c r="AI729" s="7">
        <f>IF($C729="","",AH729-M729)</f>
        <v/>
      </c>
      <c r="AJ729">
        <f>IF($C729="","",IF(COUNTIF($C$2:$C729,$C729)=1,1,0))</f>
        <v/>
      </c>
      <c r="AK729">
        <f>IF($AJ729=1,SUMPRODUCT(--($AN$2:$AN$4001&lt;$AN729))+1,"")</f>
        <v/>
      </c>
      <c r="AL729">
        <f>IF($C729="","",IF(OR($Q729=TRUE(),$Q729="TRUE"),1,0))</f>
        <v/>
      </c>
      <c r="AM729">
        <f>IF($C729="","",IF($W729="Yes",1,0))</f>
        <v/>
      </c>
      <c r="AN729">
        <f>IF($AJ729=1,IFERROR(IF(VALUE($C729)&lt;100000000,VALUE($C729),1000000000),IFERROR(IF(VALUE(MID($C729,2,20))&lt;100000000,VALUE(MID($C729,2,20)),1000000000),1000000000))+ROW()/100000,"")</f>
        <v/>
      </c>
    </row>
    <row r="730">
      <c r="E730" s="11" t="n"/>
      <c r="M730" s="7">
        <f>IF($C730="","",L730*U730/100)</f>
        <v/>
      </c>
      <c r="N730" s="7" t="n"/>
      <c r="T730" s="7" t="n"/>
      <c r="U730" s="7">
        <f>IF($C730="","",S730*T730)</f>
        <v/>
      </c>
      <c r="X730">
        <f>IF($C730="","",IF($AM730=1,0,IF($AL730=1,Settings!$C$6,Settings!$C$7))*100)</f>
        <v/>
      </c>
      <c r="AB730" s="7" t="n"/>
      <c r="AE730" s="11" t="n"/>
      <c r="AG730" s="7">
        <f>IF($C730="","",U730*X730/100)</f>
        <v/>
      </c>
      <c r="AH730" s="7">
        <f>IF($C730="","",U730-AG730)</f>
        <v/>
      </c>
      <c r="AI730" s="7">
        <f>IF($C730="","",AH730-M730)</f>
        <v/>
      </c>
      <c r="AJ730">
        <f>IF($C730="","",IF(COUNTIF($C$2:$C730,$C730)=1,1,0))</f>
        <v/>
      </c>
      <c r="AK730">
        <f>IF($AJ730=1,SUMPRODUCT(--($AN$2:$AN$4001&lt;$AN730))+1,"")</f>
        <v/>
      </c>
      <c r="AL730">
        <f>IF($C730="","",IF(OR($Q730=TRUE(),$Q730="TRUE"),1,0))</f>
        <v/>
      </c>
      <c r="AM730">
        <f>IF($C730="","",IF($W730="Yes",1,0))</f>
        <v/>
      </c>
      <c r="AN730">
        <f>IF($AJ730=1,IFERROR(IF(VALUE($C730)&lt;100000000,VALUE($C730),1000000000),IFERROR(IF(VALUE(MID($C730,2,20))&lt;100000000,VALUE(MID($C730,2,20)),1000000000),1000000000))+ROW()/100000,"")</f>
        <v/>
      </c>
    </row>
    <row r="731">
      <c r="E731" s="11" t="n"/>
      <c r="M731" s="7">
        <f>IF($C731="","",L731*U731/100)</f>
        <v/>
      </c>
      <c r="N731" s="7" t="n"/>
      <c r="T731" s="7" t="n"/>
      <c r="U731" s="7">
        <f>IF($C731="","",S731*T731)</f>
        <v/>
      </c>
      <c r="X731">
        <f>IF($C731="","",IF($AM731=1,0,IF($AL731=1,Settings!$C$6,Settings!$C$7))*100)</f>
        <v/>
      </c>
      <c r="AB731" s="7" t="n"/>
      <c r="AE731" s="11" t="n"/>
      <c r="AG731" s="7">
        <f>IF($C731="","",U731*X731/100)</f>
        <v/>
      </c>
      <c r="AH731" s="7">
        <f>IF($C731="","",U731-AG731)</f>
        <v/>
      </c>
      <c r="AI731" s="7">
        <f>IF($C731="","",AH731-M731)</f>
        <v/>
      </c>
      <c r="AJ731">
        <f>IF($C731="","",IF(COUNTIF($C$2:$C731,$C731)=1,1,0))</f>
        <v/>
      </c>
      <c r="AK731">
        <f>IF($AJ731=1,SUMPRODUCT(--($AN$2:$AN$4001&lt;$AN731))+1,"")</f>
        <v/>
      </c>
      <c r="AL731">
        <f>IF($C731="","",IF(OR($Q731=TRUE(),$Q731="TRUE"),1,0))</f>
        <v/>
      </c>
      <c r="AM731">
        <f>IF($C731="","",IF($W731="Yes",1,0))</f>
        <v/>
      </c>
      <c r="AN731">
        <f>IF($AJ731=1,IFERROR(IF(VALUE($C731)&lt;100000000,VALUE($C731),1000000000),IFERROR(IF(VALUE(MID($C731,2,20))&lt;100000000,VALUE(MID($C731,2,20)),1000000000),1000000000))+ROW()/100000,"")</f>
        <v/>
      </c>
    </row>
    <row r="732">
      <c r="E732" s="11" t="n"/>
      <c r="M732" s="7">
        <f>IF($C732="","",L732*U732/100)</f>
        <v/>
      </c>
      <c r="N732" s="7" t="n"/>
      <c r="T732" s="7" t="n"/>
      <c r="U732" s="7">
        <f>IF($C732="","",S732*T732)</f>
        <v/>
      </c>
      <c r="X732">
        <f>IF($C732="","",IF($AM732=1,0,IF($AL732=1,Settings!$C$6,Settings!$C$7))*100)</f>
        <v/>
      </c>
      <c r="AB732" s="7" t="n"/>
      <c r="AE732" s="11" t="n"/>
      <c r="AG732" s="7">
        <f>IF($C732="","",U732*X732/100)</f>
        <v/>
      </c>
      <c r="AH732" s="7">
        <f>IF($C732="","",U732-AG732)</f>
        <v/>
      </c>
      <c r="AI732" s="7">
        <f>IF($C732="","",AH732-M732)</f>
        <v/>
      </c>
      <c r="AJ732">
        <f>IF($C732="","",IF(COUNTIF($C$2:$C732,$C732)=1,1,0))</f>
        <v/>
      </c>
      <c r="AK732">
        <f>IF($AJ732=1,SUMPRODUCT(--($AN$2:$AN$4001&lt;$AN732))+1,"")</f>
        <v/>
      </c>
      <c r="AL732">
        <f>IF($C732="","",IF(OR($Q732=TRUE(),$Q732="TRUE"),1,0))</f>
        <v/>
      </c>
      <c r="AM732">
        <f>IF($C732="","",IF($W732="Yes",1,0))</f>
        <v/>
      </c>
      <c r="AN732">
        <f>IF($AJ732=1,IFERROR(IF(VALUE($C732)&lt;100000000,VALUE($C732),1000000000),IFERROR(IF(VALUE(MID($C732,2,20))&lt;100000000,VALUE(MID($C732,2,20)),1000000000),1000000000))+ROW()/100000,"")</f>
        <v/>
      </c>
    </row>
    <row r="733">
      <c r="E733" s="11" t="n"/>
      <c r="M733" s="7">
        <f>IF($C733="","",L733*U733/100)</f>
        <v/>
      </c>
      <c r="N733" s="7" t="n"/>
      <c r="T733" s="7" t="n"/>
      <c r="U733" s="7">
        <f>IF($C733="","",S733*T733)</f>
        <v/>
      </c>
      <c r="X733">
        <f>IF($C733="","",IF($AM733=1,0,IF($AL733=1,Settings!$C$6,Settings!$C$7))*100)</f>
        <v/>
      </c>
      <c r="AB733" s="7" t="n"/>
      <c r="AE733" s="11" t="n"/>
      <c r="AG733" s="7">
        <f>IF($C733="","",U733*X733/100)</f>
        <v/>
      </c>
      <c r="AH733" s="7">
        <f>IF($C733="","",U733-AG733)</f>
        <v/>
      </c>
      <c r="AI733" s="7">
        <f>IF($C733="","",AH733-M733)</f>
        <v/>
      </c>
      <c r="AJ733">
        <f>IF($C733="","",IF(COUNTIF($C$2:$C733,$C733)=1,1,0))</f>
        <v/>
      </c>
      <c r="AK733">
        <f>IF($AJ733=1,SUMPRODUCT(--($AN$2:$AN$4001&lt;$AN733))+1,"")</f>
        <v/>
      </c>
      <c r="AL733">
        <f>IF($C733="","",IF(OR($Q733=TRUE(),$Q733="TRUE"),1,0))</f>
        <v/>
      </c>
      <c r="AM733">
        <f>IF($C733="","",IF($W733="Yes",1,0))</f>
        <v/>
      </c>
      <c r="AN733">
        <f>IF($AJ733=1,IFERROR(IF(VALUE($C733)&lt;100000000,VALUE($C733),1000000000),IFERROR(IF(VALUE(MID($C733,2,20))&lt;100000000,VALUE(MID($C733,2,20)),1000000000),1000000000))+ROW()/100000,"")</f>
        <v/>
      </c>
    </row>
    <row r="734">
      <c r="E734" s="11" t="n"/>
      <c r="M734" s="7">
        <f>IF($C734="","",L734*U734/100)</f>
        <v/>
      </c>
      <c r="N734" s="7" t="n"/>
      <c r="T734" s="7" t="n"/>
      <c r="U734" s="7">
        <f>IF($C734="","",S734*T734)</f>
        <v/>
      </c>
      <c r="X734">
        <f>IF($C734="","",IF($AM734=1,0,IF($AL734=1,Settings!$C$6,Settings!$C$7))*100)</f>
        <v/>
      </c>
      <c r="AB734" s="7" t="n"/>
      <c r="AE734" s="11" t="n"/>
      <c r="AG734" s="7">
        <f>IF($C734="","",U734*X734/100)</f>
        <v/>
      </c>
      <c r="AH734" s="7">
        <f>IF($C734="","",U734-AG734)</f>
        <v/>
      </c>
      <c r="AI734" s="7">
        <f>IF($C734="","",AH734-M734)</f>
        <v/>
      </c>
      <c r="AJ734">
        <f>IF($C734="","",IF(COUNTIF($C$2:$C734,$C734)=1,1,0))</f>
        <v/>
      </c>
      <c r="AK734">
        <f>IF($AJ734=1,SUMPRODUCT(--($AN$2:$AN$4001&lt;$AN734))+1,"")</f>
        <v/>
      </c>
      <c r="AL734">
        <f>IF($C734="","",IF(OR($Q734=TRUE(),$Q734="TRUE"),1,0))</f>
        <v/>
      </c>
      <c r="AM734">
        <f>IF($C734="","",IF($W734="Yes",1,0))</f>
        <v/>
      </c>
      <c r="AN734">
        <f>IF($AJ734=1,IFERROR(IF(VALUE($C734)&lt;100000000,VALUE($C734),1000000000),IFERROR(IF(VALUE(MID($C734,2,20))&lt;100000000,VALUE(MID($C734,2,20)),1000000000),1000000000))+ROW()/100000,"")</f>
        <v/>
      </c>
    </row>
    <row r="735">
      <c r="E735" s="11" t="n"/>
      <c r="M735" s="7">
        <f>IF($C735="","",L735*U735/100)</f>
        <v/>
      </c>
      <c r="N735" s="7" t="n"/>
      <c r="T735" s="7" t="n"/>
      <c r="U735" s="7">
        <f>IF($C735="","",S735*T735)</f>
        <v/>
      </c>
      <c r="X735">
        <f>IF($C735="","",IF($AM735=1,0,IF($AL735=1,Settings!$C$6,Settings!$C$7))*100)</f>
        <v/>
      </c>
      <c r="AB735" s="7" t="n"/>
      <c r="AE735" s="11" t="n"/>
      <c r="AG735" s="7">
        <f>IF($C735="","",U735*X735/100)</f>
        <v/>
      </c>
      <c r="AH735" s="7">
        <f>IF($C735="","",U735-AG735)</f>
        <v/>
      </c>
      <c r="AI735" s="7">
        <f>IF($C735="","",AH735-M735)</f>
        <v/>
      </c>
      <c r="AJ735">
        <f>IF($C735="","",IF(COUNTIF($C$2:$C735,$C735)=1,1,0))</f>
        <v/>
      </c>
      <c r="AK735">
        <f>IF($AJ735=1,SUMPRODUCT(--($AN$2:$AN$4001&lt;$AN735))+1,"")</f>
        <v/>
      </c>
      <c r="AL735">
        <f>IF($C735="","",IF(OR($Q735=TRUE(),$Q735="TRUE"),1,0))</f>
        <v/>
      </c>
      <c r="AM735">
        <f>IF($C735="","",IF($W735="Yes",1,0))</f>
        <v/>
      </c>
      <c r="AN735">
        <f>IF($AJ735=1,IFERROR(IF(VALUE($C735)&lt;100000000,VALUE($C735),1000000000),IFERROR(IF(VALUE(MID($C735,2,20))&lt;100000000,VALUE(MID($C735,2,20)),1000000000),1000000000))+ROW()/100000,"")</f>
        <v/>
      </c>
    </row>
    <row r="736">
      <c r="E736" s="11" t="n"/>
      <c r="M736" s="7">
        <f>IF($C736="","",L736*U736/100)</f>
        <v/>
      </c>
      <c r="N736" s="7" t="n"/>
      <c r="T736" s="7" t="n"/>
      <c r="U736" s="7">
        <f>IF($C736="","",S736*T736)</f>
        <v/>
      </c>
      <c r="X736">
        <f>IF($C736="","",IF($AM736=1,0,IF($AL736=1,Settings!$C$6,Settings!$C$7))*100)</f>
        <v/>
      </c>
      <c r="AB736" s="7" t="n"/>
      <c r="AE736" s="11" t="n"/>
      <c r="AG736" s="7">
        <f>IF($C736="","",U736*X736/100)</f>
        <v/>
      </c>
      <c r="AH736" s="7">
        <f>IF($C736="","",U736-AG736)</f>
        <v/>
      </c>
      <c r="AI736" s="7">
        <f>IF($C736="","",AH736-M736)</f>
        <v/>
      </c>
      <c r="AJ736">
        <f>IF($C736="","",IF(COUNTIF($C$2:$C736,$C736)=1,1,0))</f>
        <v/>
      </c>
      <c r="AK736">
        <f>IF($AJ736=1,SUMPRODUCT(--($AN$2:$AN$4001&lt;$AN736))+1,"")</f>
        <v/>
      </c>
      <c r="AL736">
        <f>IF($C736="","",IF(OR($Q736=TRUE(),$Q736="TRUE"),1,0))</f>
        <v/>
      </c>
      <c r="AM736">
        <f>IF($C736="","",IF($W736="Yes",1,0))</f>
        <v/>
      </c>
      <c r="AN736">
        <f>IF($AJ736=1,IFERROR(IF(VALUE($C736)&lt;100000000,VALUE($C736),1000000000),IFERROR(IF(VALUE(MID($C736,2,20))&lt;100000000,VALUE(MID($C736,2,20)),1000000000),1000000000))+ROW()/100000,"")</f>
        <v/>
      </c>
    </row>
    <row r="737">
      <c r="E737" s="11" t="n"/>
      <c r="M737" s="7">
        <f>IF($C737="","",L737*U737/100)</f>
        <v/>
      </c>
      <c r="N737" s="7" t="n"/>
      <c r="T737" s="7" t="n"/>
      <c r="U737" s="7">
        <f>IF($C737="","",S737*T737)</f>
        <v/>
      </c>
      <c r="X737">
        <f>IF($C737="","",IF($AM737=1,0,IF($AL737=1,Settings!$C$6,Settings!$C$7))*100)</f>
        <v/>
      </c>
      <c r="AB737" s="7" t="n"/>
      <c r="AE737" s="11" t="n"/>
      <c r="AG737" s="7">
        <f>IF($C737="","",U737*X737/100)</f>
        <v/>
      </c>
      <c r="AH737" s="7">
        <f>IF($C737="","",U737-AG737)</f>
        <v/>
      </c>
      <c r="AI737" s="7">
        <f>IF($C737="","",AH737-M737)</f>
        <v/>
      </c>
      <c r="AJ737">
        <f>IF($C737="","",IF(COUNTIF($C$2:$C737,$C737)=1,1,0))</f>
        <v/>
      </c>
      <c r="AK737">
        <f>IF($AJ737=1,SUMPRODUCT(--($AN$2:$AN$4001&lt;$AN737))+1,"")</f>
        <v/>
      </c>
      <c r="AL737">
        <f>IF($C737="","",IF(OR($Q737=TRUE(),$Q737="TRUE"),1,0))</f>
        <v/>
      </c>
      <c r="AM737">
        <f>IF($C737="","",IF($W737="Yes",1,0))</f>
        <v/>
      </c>
      <c r="AN737">
        <f>IF($AJ737=1,IFERROR(IF(VALUE($C737)&lt;100000000,VALUE($C737),1000000000),IFERROR(IF(VALUE(MID($C737,2,20))&lt;100000000,VALUE(MID($C737,2,20)),1000000000),1000000000))+ROW()/100000,"")</f>
        <v/>
      </c>
    </row>
    <row r="738">
      <c r="E738" s="11" t="n"/>
      <c r="M738" s="7">
        <f>IF($C738="","",L738*U738/100)</f>
        <v/>
      </c>
      <c r="N738" s="7" t="n"/>
      <c r="T738" s="7" t="n"/>
      <c r="U738" s="7">
        <f>IF($C738="","",S738*T738)</f>
        <v/>
      </c>
      <c r="X738">
        <f>IF($C738="","",IF($AM738=1,0,IF($AL738=1,Settings!$C$6,Settings!$C$7))*100)</f>
        <v/>
      </c>
      <c r="AB738" s="7" t="n"/>
      <c r="AE738" s="11" t="n"/>
      <c r="AG738" s="7">
        <f>IF($C738="","",U738*X738/100)</f>
        <v/>
      </c>
      <c r="AH738" s="7">
        <f>IF($C738="","",U738-AG738)</f>
        <v/>
      </c>
      <c r="AI738" s="7">
        <f>IF($C738="","",AH738-M738)</f>
        <v/>
      </c>
      <c r="AJ738">
        <f>IF($C738="","",IF(COUNTIF($C$2:$C738,$C738)=1,1,0))</f>
        <v/>
      </c>
      <c r="AK738">
        <f>IF($AJ738=1,SUMPRODUCT(--($AN$2:$AN$4001&lt;$AN738))+1,"")</f>
        <v/>
      </c>
      <c r="AL738">
        <f>IF($C738="","",IF(OR($Q738=TRUE(),$Q738="TRUE"),1,0))</f>
        <v/>
      </c>
      <c r="AM738">
        <f>IF($C738="","",IF($W738="Yes",1,0))</f>
        <v/>
      </c>
      <c r="AN738">
        <f>IF($AJ738=1,IFERROR(IF(VALUE($C738)&lt;100000000,VALUE($C738),1000000000),IFERROR(IF(VALUE(MID($C738,2,20))&lt;100000000,VALUE(MID($C738,2,20)),1000000000),1000000000))+ROW()/100000,"")</f>
        <v/>
      </c>
    </row>
    <row r="739">
      <c r="E739" s="11" t="n"/>
      <c r="M739" s="7">
        <f>IF($C739="","",L739*U739/100)</f>
        <v/>
      </c>
      <c r="N739" s="7" t="n"/>
      <c r="T739" s="7" t="n"/>
      <c r="U739" s="7">
        <f>IF($C739="","",S739*T739)</f>
        <v/>
      </c>
      <c r="X739">
        <f>IF($C739="","",IF($AM739=1,0,IF($AL739=1,Settings!$C$6,Settings!$C$7))*100)</f>
        <v/>
      </c>
      <c r="AB739" s="7" t="n"/>
      <c r="AE739" s="11" t="n"/>
      <c r="AG739" s="7">
        <f>IF($C739="","",U739*X739/100)</f>
        <v/>
      </c>
      <c r="AH739" s="7">
        <f>IF($C739="","",U739-AG739)</f>
        <v/>
      </c>
      <c r="AI739" s="7">
        <f>IF($C739="","",AH739-M739)</f>
        <v/>
      </c>
      <c r="AJ739">
        <f>IF($C739="","",IF(COUNTIF($C$2:$C739,$C739)=1,1,0))</f>
        <v/>
      </c>
      <c r="AK739">
        <f>IF($AJ739=1,SUMPRODUCT(--($AN$2:$AN$4001&lt;$AN739))+1,"")</f>
        <v/>
      </c>
      <c r="AL739">
        <f>IF($C739="","",IF(OR($Q739=TRUE(),$Q739="TRUE"),1,0))</f>
        <v/>
      </c>
      <c r="AM739">
        <f>IF($C739="","",IF($W739="Yes",1,0))</f>
        <v/>
      </c>
      <c r="AN739">
        <f>IF($AJ739=1,IFERROR(IF(VALUE($C739)&lt;100000000,VALUE($C739),1000000000),IFERROR(IF(VALUE(MID($C739,2,20))&lt;100000000,VALUE(MID($C739,2,20)),1000000000),1000000000))+ROW()/100000,"")</f>
        <v/>
      </c>
    </row>
    <row r="740">
      <c r="E740" s="11" t="n"/>
      <c r="M740" s="7">
        <f>IF($C740="","",L740*U740/100)</f>
        <v/>
      </c>
      <c r="N740" s="7" t="n"/>
      <c r="T740" s="7" t="n"/>
      <c r="U740" s="7">
        <f>IF($C740="","",S740*T740)</f>
        <v/>
      </c>
      <c r="X740">
        <f>IF($C740="","",IF($AM740=1,0,IF($AL740=1,Settings!$C$6,Settings!$C$7))*100)</f>
        <v/>
      </c>
      <c r="AB740" s="7" t="n"/>
      <c r="AE740" s="11" t="n"/>
      <c r="AG740" s="7">
        <f>IF($C740="","",U740*X740/100)</f>
        <v/>
      </c>
      <c r="AH740" s="7">
        <f>IF($C740="","",U740-AG740)</f>
        <v/>
      </c>
      <c r="AI740" s="7">
        <f>IF($C740="","",AH740-M740)</f>
        <v/>
      </c>
      <c r="AJ740">
        <f>IF($C740="","",IF(COUNTIF($C$2:$C740,$C740)=1,1,0))</f>
        <v/>
      </c>
      <c r="AK740">
        <f>IF($AJ740=1,SUMPRODUCT(--($AN$2:$AN$4001&lt;$AN740))+1,"")</f>
        <v/>
      </c>
      <c r="AL740">
        <f>IF($C740="","",IF(OR($Q740=TRUE(),$Q740="TRUE"),1,0))</f>
        <v/>
      </c>
      <c r="AM740">
        <f>IF($C740="","",IF($W740="Yes",1,0))</f>
        <v/>
      </c>
      <c r="AN740">
        <f>IF($AJ740=1,IFERROR(IF(VALUE($C740)&lt;100000000,VALUE($C740),1000000000),IFERROR(IF(VALUE(MID($C740,2,20))&lt;100000000,VALUE(MID($C740,2,20)),1000000000),1000000000))+ROW()/100000,"")</f>
        <v/>
      </c>
    </row>
    <row r="741">
      <c r="E741" s="11" t="n"/>
      <c r="M741" s="7">
        <f>IF($C741="","",L741*U741/100)</f>
        <v/>
      </c>
      <c r="N741" s="7" t="n"/>
      <c r="T741" s="7" t="n"/>
      <c r="U741" s="7">
        <f>IF($C741="","",S741*T741)</f>
        <v/>
      </c>
      <c r="X741">
        <f>IF($C741="","",IF($AM741=1,0,IF($AL741=1,Settings!$C$6,Settings!$C$7))*100)</f>
        <v/>
      </c>
      <c r="AB741" s="7" t="n"/>
      <c r="AE741" s="11" t="n"/>
      <c r="AG741" s="7">
        <f>IF($C741="","",U741*X741/100)</f>
        <v/>
      </c>
      <c r="AH741" s="7">
        <f>IF($C741="","",U741-AG741)</f>
        <v/>
      </c>
      <c r="AI741" s="7">
        <f>IF($C741="","",AH741-M741)</f>
        <v/>
      </c>
      <c r="AJ741">
        <f>IF($C741="","",IF(COUNTIF($C$2:$C741,$C741)=1,1,0))</f>
        <v/>
      </c>
      <c r="AK741">
        <f>IF($AJ741=1,SUMPRODUCT(--($AN$2:$AN$4001&lt;$AN741))+1,"")</f>
        <v/>
      </c>
      <c r="AL741">
        <f>IF($C741="","",IF(OR($Q741=TRUE(),$Q741="TRUE"),1,0))</f>
        <v/>
      </c>
      <c r="AM741">
        <f>IF($C741="","",IF($W741="Yes",1,0))</f>
        <v/>
      </c>
      <c r="AN741">
        <f>IF($AJ741=1,IFERROR(IF(VALUE($C741)&lt;100000000,VALUE($C741),1000000000),IFERROR(IF(VALUE(MID($C741,2,20))&lt;100000000,VALUE(MID($C741,2,20)),1000000000),1000000000))+ROW()/100000,"")</f>
        <v/>
      </c>
    </row>
    <row r="742">
      <c r="E742" s="11" t="n"/>
      <c r="M742" s="7">
        <f>IF($C742="","",L742*U742/100)</f>
        <v/>
      </c>
      <c r="N742" s="7" t="n"/>
      <c r="T742" s="7" t="n"/>
      <c r="U742" s="7">
        <f>IF($C742="","",S742*T742)</f>
        <v/>
      </c>
      <c r="X742">
        <f>IF($C742="","",IF($AM742=1,0,IF($AL742=1,Settings!$C$6,Settings!$C$7))*100)</f>
        <v/>
      </c>
      <c r="AB742" s="7" t="n"/>
      <c r="AE742" s="11" t="n"/>
      <c r="AG742" s="7">
        <f>IF($C742="","",U742*X742/100)</f>
        <v/>
      </c>
      <c r="AH742" s="7">
        <f>IF($C742="","",U742-AG742)</f>
        <v/>
      </c>
      <c r="AI742" s="7">
        <f>IF($C742="","",AH742-M742)</f>
        <v/>
      </c>
      <c r="AJ742">
        <f>IF($C742="","",IF(COUNTIF($C$2:$C742,$C742)=1,1,0))</f>
        <v/>
      </c>
      <c r="AK742">
        <f>IF($AJ742=1,SUMPRODUCT(--($AN$2:$AN$4001&lt;$AN742))+1,"")</f>
        <v/>
      </c>
      <c r="AL742">
        <f>IF($C742="","",IF(OR($Q742=TRUE(),$Q742="TRUE"),1,0))</f>
        <v/>
      </c>
      <c r="AM742">
        <f>IF($C742="","",IF($W742="Yes",1,0))</f>
        <v/>
      </c>
      <c r="AN742">
        <f>IF($AJ742=1,IFERROR(IF(VALUE($C742)&lt;100000000,VALUE($C742),1000000000),IFERROR(IF(VALUE(MID($C742,2,20))&lt;100000000,VALUE(MID($C742,2,20)),1000000000),1000000000))+ROW()/100000,"")</f>
        <v/>
      </c>
    </row>
    <row r="743">
      <c r="E743" s="11" t="n"/>
      <c r="M743" s="7">
        <f>IF($C743="","",L743*U743/100)</f>
        <v/>
      </c>
      <c r="N743" s="7" t="n"/>
      <c r="T743" s="7" t="n"/>
      <c r="U743" s="7">
        <f>IF($C743="","",S743*T743)</f>
        <v/>
      </c>
      <c r="X743">
        <f>IF($C743="","",IF($AM743=1,0,IF($AL743=1,Settings!$C$6,Settings!$C$7))*100)</f>
        <v/>
      </c>
      <c r="AB743" s="7" t="n"/>
      <c r="AE743" s="11" t="n"/>
      <c r="AG743" s="7">
        <f>IF($C743="","",U743*X743/100)</f>
        <v/>
      </c>
      <c r="AH743" s="7">
        <f>IF($C743="","",U743-AG743)</f>
        <v/>
      </c>
      <c r="AI743" s="7">
        <f>IF($C743="","",AH743-M743)</f>
        <v/>
      </c>
      <c r="AJ743">
        <f>IF($C743="","",IF(COUNTIF($C$2:$C743,$C743)=1,1,0))</f>
        <v/>
      </c>
      <c r="AK743">
        <f>IF($AJ743=1,SUMPRODUCT(--($AN$2:$AN$4001&lt;$AN743))+1,"")</f>
        <v/>
      </c>
      <c r="AL743">
        <f>IF($C743="","",IF(OR($Q743=TRUE(),$Q743="TRUE"),1,0))</f>
        <v/>
      </c>
      <c r="AM743">
        <f>IF($C743="","",IF($W743="Yes",1,0))</f>
        <v/>
      </c>
      <c r="AN743">
        <f>IF($AJ743=1,IFERROR(IF(VALUE($C743)&lt;100000000,VALUE($C743),1000000000),IFERROR(IF(VALUE(MID($C743,2,20))&lt;100000000,VALUE(MID($C743,2,20)),1000000000),1000000000))+ROW()/100000,"")</f>
        <v/>
      </c>
    </row>
    <row r="744">
      <c r="E744" s="11" t="n"/>
      <c r="M744" s="7">
        <f>IF($C744="","",L744*U744/100)</f>
        <v/>
      </c>
      <c r="N744" s="7" t="n"/>
      <c r="T744" s="7" t="n"/>
      <c r="U744" s="7">
        <f>IF($C744="","",S744*T744)</f>
        <v/>
      </c>
      <c r="X744">
        <f>IF($C744="","",IF($AM744=1,0,IF($AL744=1,Settings!$C$6,Settings!$C$7))*100)</f>
        <v/>
      </c>
      <c r="AB744" s="7" t="n"/>
      <c r="AE744" s="11" t="n"/>
      <c r="AG744" s="7">
        <f>IF($C744="","",U744*X744/100)</f>
        <v/>
      </c>
      <c r="AH744" s="7">
        <f>IF($C744="","",U744-AG744)</f>
        <v/>
      </c>
      <c r="AI744" s="7">
        <f>IF($C744="","",AH744-M744)</f>
        <v/>
      </c>
      <c r="AJ744">
        <f>IF($C744="","",IF(COUNTIF($C$2:$C744,$C744)=1,1,0))</f>
        <v/>
      </c>
      <c r="AK744">
        <f>IF($AJ744=1,SUMPRODUCT(--($AN$2:$AN$4001&lt;$AN744))+1,"")</f>
        <v/>
      </c>
      <c r="AL744">
        <f>IF($C744="","",IF(OR($Q744=TRUE(),$Q744="TRUE"),1,0))</f>
        <v/>
      </c>
      <c r="AM744">
        <f>IF($C744="","",IF($W744="Yes",1,0))</f>
        <v/>
      </c>
      <c r="AN744">
        <f>IF($AJ744=1,IFERROR(IF(VALUE($C744)&lt;100000000,VALUE($C744),1000000000),IFERROR(IF(VALUE(MID($C744,2,20))&lt;100000000,VALUE(MID($C744,2,20)),1000000000),1000000000))+ROW()/100000,"")</f>
        <v/>
      </c>
    </row>
    <row r="745">
      <c r="E745" s="11" t="n"/>
      <c r="M745" s="7">
        <f>IF($C745="","",L745*U745/100)</f>
        <v/>
      </c>
      <c r="N745" s="7" t="n"/>
      <c r="T745" s="7" t="n"/>
      <c r="U745" s="7">
        <f>IF($C745="","",S745*T745)</f>
        <v/>
      </c>
      <c r="X745">
        <f>IF($C745="","",IF($AM745=1,0,IF($AL745=1,Settings!$C$6,Settings!$C$7))*100)</f>
        <v/>
      </c>
      <c r="AB745" s="7" t="n"/>
      <c r="AE745" s="11" t="n"/>
      <c r="AG745" s="7">
        <f>IF($C745="","",U745*X745/100)</f>
        <v/>
      </c>
      <c r="AH745" s="7">
        <f>IF($C745="","",U745-AG745)</f>
        <v/>
      </c>
      <c r="AI745" s="7">
        <f>IF($C745="","",AH745-M745)</f>
        <v/>
      </c>
      <c r="AJ745">
        <f>IF($C745="","",IF(COUNTIF($C$2:$C745,$C745)=1,1,0))</f>
        <v/>
      </c>
      <c r="AK745">
        <f>IF($AJ745=1,SUMPRODUCT(--($AN$2:$AN$4001&lt;$AN745))+1,"")</f>
        <v/>
      </c>
      <c r="AL745">
        <f>IF($C745="","",IF(OR($Q745=TRUE(),$Q745="TRUE"),1,0))</f>
        <v/>
      </c>
      <c r="AM745">
        <f>IF($C745="","",IF($W745="Yes",1,0))</f>
        <v/>
      </c>
      <c r="AN745">
        <f>IF($AJ745=1,IFERROR(IF(VALUE($C745)&lt;100000000,VALUE($C745),1000000000),IFERROR(IF(VALUE(MID($C745,2,20))&lt;100000000,VALUE(MID($C745,2,20)),1000000000),1000000000))+ROW()/100000,"")</f>
        <v/>
      </c>
    </row>
    <row r="746">
      <c r="E746" s="11" t="n"/>
      <c r="M746" s="7">
        <f>IF($C746="","",L746*U746/100)</f>
        <v/>
      </c>
      <c r="N746" s="7" t="n"/>
      <c r="T746" s="7" t="n"/>
      <c r="U746" s="7">
        <f>IF($C746="","",S746*T746)</f>
        <v/>
      </c>
      <c r="X746">
        <f>IF($C746="","",IF($AM746=1,0,IF($AL746=1,Settings!$C$6,Settings!$C$7))*100)</f>
        <v/>
      </c>
      <c r="AB746" s="7" t="n"/>
      <c r="AE746" s="11" t="n"/>
      <c r="AG746" s="7">
        <f>IF($C746="","",U746*X746/100)</f>
        <v/>
      </c>
      <c r="AH746" s="7">
        <f>IF($C746="","",U746-AG746)</f>
        <v/>
      </c>
      <c r="AI746" s="7">
        <f>IF($C746="","",AH746-M746)</f>
        <v/>
      </c>
      <c r="AJ746">
        <f>IF($C746="","",IF(COUNTIF($C$2:$C746,$C746)=1,1,0))</f>
        <v/>
      </c>
      <c r="AK746">
        <f>IF($AJ746=1,SUMPRODUCT(--($AN$2:$AN$4001&lt;$AN746))+1,"")</f>
        <v/>
      </c>
      <c r="AL746">
        <f>IF($C746="","",IF(OR($Q746=TRUE(),$Q746="TRUE"),1,0))</f>
        <v/>
      </c>
      <c r="AM746">
        <f>IF($C746="","",IF($W746="Yes",1,0))</f>
        <v/>
      </c>
      <c r="AN746">
        <f>IF($AJ746=1,IFERROR(IF(VALUE($C746)&lt;100000000,VALUE($C746),1000000000),IFERROR(IF(VALUE(MID($C746,2,20))&lt;100000000,VALUE(MID($C746,2,20)),1000000000),1000000000))+ROW()/100000,"")</f>
        <v/>
      </c>
    </row>
    <row r="747">
      <c r="E747" s="11" t="n"/>
      <c r="M747" s="7">
        <f>IF($C747="","",L747*U747/100)</f>
        <v/>
      </c>
      <c r="N747" s="7" t="n"/>
      <c r="T747" s="7" t="n"/>
      <c r="U747" s="7">
        <f>IF($C747="","",S747*T747)</f>
        <v/>
      </c>
      <c r="X747">
        <f>IF($C747="","",IF($AM747=1,0,IF($AL747=1,Settings!$C$6,Settings!$C$7))*100)</f>
        <v/>
      </c>
      <c r="AB747" s="7" t="n"/>
      <c r="AE747" s="11" t="n"/>
      <c r="AG747" s="7">
        <f>IF($C747="","",U747*X747/100)</f>
        <v/>
      </c>
      <c r="AH747" s="7">
        <f>IF($C747="","",U747-AG747)</f>
        <v/>
      </c>
      <c r="AI747" s="7">
        <f>IF($C747="","",AH747-M747)</f>
        <v/>
      </c>
      <c r="AJ747">
        <f>IF($C747="","",IF(COUNTIF($C$2:$C747,$C747)=1,1,0))</f>
        <v/>
      </c>
      <c r="AK747">
        <f>IF($AJ747=1,SUMPRODUCT(--($AN$2:$AN$4001&lt;$AN747))+1,"")</f>
        <v/>
      </c>
      <c r="AL747">
        <f>IF($C747="","",IF(OR($Q747=TRUE(),$Q747="TRUE"),1,0))</f>
        <v/>
      </c>
      <c r="AM747">
        <f>IF($C747="","",IF($W747="Yes",1,0))</f>
        <v/>
      </c>
      <c r="AN747">
        <f>IF($AJ747=1,IFERROR(IF(VALUE($C747)&lt;100000000,VALUE($C747),1000000000),IFERROR(IF(VALUE(MID($C747,2,20))&lt;100000000,VALUE(MID($C747,2,20)),1000000000),1000000000))+ROW()/100000,"")</f>
        <v/>
      </c>
    </row>
    <row r="748">
      <c r="E748" s="11" t="n"/>
      <c r="M748" s="7">
        <f>IF($C748="","",L748*U748/100)</f>
        <v/>
      </c>
      <c r="N748" s="7" t="n"/>
      <c r="T748" s="7" t="n"/>
      <c r="U748" s="7">
        <f>IF($C748="","",S748*T748)</f>
        <v/>
      </c>
      <c r="X748">
        <f>IF($C748="","",IF($AM748=1,0,IF($AL748=1,Settings!$C$6,Settings!$C$7))*100)</f>
        <v/>
      </c>
      <c r="AB748" s="7" t="n"/>
      <c r="AE748" s="11" t="n"/>
      <c r="AG748" s="7">
        <f>IF($C748="","",U748*X748/100)</f>
        <v/>
      </c>
      <c r="AH748" s="7">
        <f>IF($C748="","",U748-AG748)</f>
        <v/>
      </c>
      <c r="AI748" s="7">
        <f>IF($C748="","",AH748-M748)</f>
        <v/>
      </c>
      <c r="AJ748">
        <f>IF($C748="","",IF(COUNTIF($C$2:$C748,$C748)=1,1,0))</f>
        <v/>
      </c>
      <c r="AK748">
        <f>IF($AJ748=1,SUMPRODUCT(--($AN$2:$AN$4001&lt;$AN748))+1,"")</f>
        <v/>
      </c>
      <c r="AL748">
        <f>IF($C748="","",IF(OR($Q748=TRUE(),$Q748="TRUE"),1,0))</f>
        <v/>
      </c>
      <c r="AM748">
        <f>IF($C748="","",IF($W748="Yes",1,0))</f>
        <v/>
      </c>
      <c r="AN748">
        <f>IF($AJ748=1,IFERROR(IF(VALUE($C748)&lt;100000000,VALUE($C748),1000000000),IFERROR(IF(VALUE(MID($C748,2,20))&lt;100000000,VALUE(MID($C748,2,20)),1000000000),1000000000))+ROW()/100000,"")</f>
        <v/>
      </c>
    </row>
    <row r="749">
      <c r="E749" s="11" t="n"/>
      <c r="M749" s="7">
        <f>IF($C749="","",L749*U749/100)</f>
        <v/>
      </c>
      <c r="N749" s="7" t="n"/>
      <c r="T749" s="7" t="n"/>
      <c r="U749" s="7">
        <f>IF($C749="","",S749*T749)</f>
        <v/>
      </c>
      <c r="X749">
        <f>IF($C749="","",IF($AM749=1,0,IF($AL749=1,Settings!$C$6,Settings!$C$7))*100)</f>
        <v/>
      </c>
      <c r="AB749" s="7" t="n"/>
      <c r="AE749" s="11" t="n"/>
      <c r="AG749" s="7">
        <f>IF($C749="","",U749*X749/100)</f>
        <v/>
      </c>
      <c r="AH749" s="7">
        <f>IF($C749="","",U749-AG749)</f>
        <v/>
      </c>
      <c r="AI749" s="7">
        <f>IF($C749="","",AH749-M749)</f>
        <v/>
      </c>
      <c r="AJ749">
        <f>IF($C749="","",IF(COUNTIF($C$2:$C749,$C749)=1,1,0))</f>
        <v/>
      </c>
      <c r="AK749">
        <f>IF($AJ749=1,SUMPRODUCT(--($AN$2:$AN$4001&lt;$AN749))+1,"")</f>
        <v/>
      </c>
      <c r="AL749">
        <f>IF($C749="","",IF(OR($Q749=TRUE(),$Q749="TRUE"),1,0))</f>
        <v/>
      </c>
      <c r="AM749">
        <f>IF($C749="","",IF($W749="Yes",1,0))</f>
        <v/>
      </c>
      <c r="AN749">
        <f>IF($AJ749=1,IFERROR(IF(VALUE($C749)&lt;100000000,VALUE($C749),1000000000),IFERROR(IF(VALUE(MID($C749,2,20))&lt;100000000,VALUE(MID($C749,2,20)),1000000000),1000000000))+ROW()/100000,"")</f>
        <v/>
      </c>
    </row>
    <row r="750">
      <c r="E750" s="11" t="n"/>
      <c r="M750" s="7">
        <f>IF($C750="","",L750*U750/100)</f>
        <v/>
      </c>
      <c r="N750" s="7" t="n"/>
      <c r="T750" s="7" t="n"/>
      <c r="U750" s="7">
        <f>IF($C750="","",S750*T750)</f>
        <v/>
      </c>
      <c r="X750">
        <f>IF($C750="","",IF($AM750=1,0,IF($AL750=1,Settings!$C$6,Settings!$C$7))*100)</f>
        <v/>
      </c>
      <c r="AB750" s="7" t="n"/>
      <c r="AE750" s="11" t="n"/>
      <c r="AG750" s="7">
        <f>IF($C750="","",U750*X750/100)</f>
        <v/>
      </c>
      <c r="AH750" s="7">
        <f>IF($C750="","",U750-AG750)</f>
        <v/>
      </c>
      <c r="AI750" s="7">
        <f>IF($C750="","",AH750-M750)</f>
        <v/>
      </c>
      <c r="AJ750">
        <f>IF($C750="","",IF(COUNTIF($C$2:$C750,$C750)=1,1,0))</f>
        <v/>
      </c>
      <c r="AK750">
        <f>IF($AJ750=1,SUMPRODUCT(--($AN$2:$AN$4001&lt;$AN750))+1,"")</f>
        <v/>
      </c>
      <c r="AL750">
        <f>IF($C750="","",IF(OR($Q750=TRUE(),$Q750="TRUE"),1,0))</f>
        <v/>
      </c>
      <c r="AM750">
        <f>IF($C750="","",IF($W750="Yes",1,0))</f>
        <v/>
      </c>
      <c r="AN750">
        <f>IF($AJ750=1,IFERROR(IF(VALUE($C750)&lt;100000000,VALUE($C750),1000000000),IFERROR(IF(VALUE(MID($C750,2,20))&lt;100000000,VALUE(MID($C750,2,20)),1000000000),1000000000))+ROW()/100000,"")</f>
        <v/>
      </c>
    </row>
    <row r="751">
      <c r="E751" s="11" t="n"/>
      <c r="M751" s="7">
        <f>IF($C751="","",L751*U751/100)</f>
        <v/>
      </c>
      <c r="N751" s="7" t="n"/>
      <c r="T751" s="7" t="n"/>
      <c r="U751" s="7">
        <f>IF($C751="","",S751*T751)</f>
        <v/>
      </c>
      <c r="X751">
        <f>IF($C751="","",IF($AM751=1,0,IF($AL751=1,Settings!$C$6,Settings!$C$7))*100)</f>
        <v/>
      </c>
      <c r="AB751" s="7" t="n"/>
      <c r="AE751" s="11" t="n"/>
      <c r="AG751" s="7">
        <f>IF($C751="","",U751*X751/100)</f>
        <v/>
      </c>
      <c r="AH751" s="7">
        <f>IF($C751="","",U751-AG751)</f>
        <v/>
      </c>
      <c r="AI751" s="7">
        <f>IF($C751="","",AH751-M751)</f>
        <v/>
      </c>
      <c r="AJ751">
        <f>IF($C751="","",IF(COUNTIF($C$2:$C751,$C751)=1,1,0))</f>
        <v/>
      </c>
      <c r="AK751">
        <f>IF($AJ751=1,SUMPRODUCT(--($AN$2:$AN$4001&lt;$AN751))+1,"")</f>
        <v/>
      </c>
      <c r="AL751">
        <f>IF($C751="","",IF(OR($Q751=TRUE(),$Q751="TRUE"),1,0))</f>
        <v/>
      </c>
      <c r="AM751">
        <f>IF($C751="","",IF($W751="Yes",1,0))</f>
        <v/>
      </c>
      <c r="AN751">
        <f>IF($AJ751=1,IFERROR(IF(VALUE($C751)&lt;100000000,VALUE($C751),1000000000),IFERROR(IF(VALUE(MID($C751,2,20))&lt;100000000,VALUE(MID($C751,2,20)),1000000000),1000000000))+ROW()/100000,"")</f>
        <v/>
      </c>
    </row>
    <row r="752">
      <c r="E752" s="11" t="n"/>
      <c r="M752" s="7">
        <f>IF($C752="","",L752*U752/100)</f>
        <v/>
      </c>
      <c r="N752" s="7" t="n"/>
      <c r="T752" s="7" t="n"/>
      <c r="U752" s="7">
        <f>IF($C752="","",S752*T752)</f>
        <v/>
      </c>
      <c r="X752">
        <f>IF($C752="","",IF($AM752=1,0,IF($AL752=1,Settings!$C$6,Settings!$C$7))*100)</f>
        <v/>
      </c>
      <c r="AB752" s="7" t="n"/>
      <c r="AE752" s="11" t="n"/>
      <c r="AG752" s="7">
        <f>IF($C752="","",U752*X752/100)</f>
        <v/>
      </c>
      <c r="AH752" s="7">
        <f>IF($C752="","",U752-AG752)</f>
        <v/>
      </c>
      <c r="AI752" s="7">
        <f>IF($C752="","",AH752-M752)</f>
        <v/>
      </c>
      <c r="AJ752">
        <f>IF($C752="","",IF(COUNTIF($C$2:$C752,$C752)=1,1,0))</f>
        <v/>
      </c>
      <c r="AK752">
        <f>IF($AJ752=1,SUMPRODUCT(--($AN$2:$AN$4001&lt;$AN752))+1,"")</f>
        <v/>
      </c>
      <c r="AL752">
        <f>IF($C752="","",IF(OR($Q752=TRUE(),$Q752="TRUE"),1,0))</f>
        <v/>
      </c>
      <c r="AM752">
        <f>IF($C752="","",IF($W752="Yes",1,0))</f>
        <v/>
      </c>
      <c r="AN752">
        <f>IF($AJ752=1,IFERROR(IF(VALUE($C752)&lt;100000000,VALUE($C752),1000000000),IFERROR(IF(VALUE(MID($C752,2,20))&lt;100000000,VALUE(MID($C752,2,20)),1000000000),1000000000))+ROW()/100000,"")</f>
        <v/>
      </c>
    </row>
    <row r="753">
      <c r="E753" s="11" t="n"/>
      <c r="M753" s="7">
        <f>IF($C753="","",L753*U753/100)</f>
        <v/>
      </c>
      <c r="N753" s="7" t="n"/>
      <c r="T753" s="7" t="n"/>
      <c r="U753" s="7">
        <f>IF($C753="","",S753*T753)</f>
        <v/>
      </c>
      <c r="X753">
        <f>IF($C753="","",IF($AM753=1,0,IF($AL753=1,Settings!$C$6,Settings!$C$7))*100)</f>
        <v/>
      </c>
      <c r="AB753" s="7" t="n"/>
      <c r="AE753" s="11" t="n"/>
      <c r="AG753" s="7">
        <f>IF($C753="","",U753*X753/100)</f>
        <v/>
      </c>
      <c r="AH753" s="7">
        <f>IF($C753="","",U753-AG753)</f>
        <v/>
      </c>
      <c r="AI753" s="7">
        <f>IF($C753="","",AH753-M753)</f>
        <v/>
      </c>
      <c r="AJ753">
        <f>IF($C753="","",IF(COUNTIF($C$2:$C753,$C753)=1,1,0))</f>
        <v/>
      </c>
      <c r="AK753">
        <f>IF($AJ753=1,SUMPRODUCT(--($AN$2:$AN$4001&lt;$AN753))+1,"")</f>
        <v/>
      </c>
      <c r="AL753">
        <f>IF($C753="","",IF(OR($Q753=TRUE(),$Q753="TRUE"),1,0))</f>
        <v/>
      </c>
      <c r="AM753">
        <f>IF($C753="","",IF($W753="Yes",1,0))</f>
        <v/>
      </c>
      <c r="AN753">
        <f>IF($AJ753=1,IFERROR(IF(VALUE($C753)&lt;100000000,VALUE($C753),1000000000),IFERROR(IF(VALUE(MID($C753,2,20))&lt;100000000,VALUE(MID($C753,2,20)),1000000000),1000000000))+ROW()/100000,"")</f>
        <v/>
      </c>
    </row>
    <row r="754">
      <c r="E754" s="11" t="n"/>
      <c r="M754" s="7">
        <f>IF($C754="","",L754*U754/100)</f>
        <v/>
      </c>
      <c r="N754" s="7" t="n"/>
      <c r="T754" s="7" t="n"/>
      <c r="U754" s="7">
        <f>IF($C754="","",S754*T754)</f>
        <v/>
      </c>
      <c r="X754">
        <f>IF($C754="","",IF($AM754=1,0,IF($AL754=1,Settings!$C$6,Settings!$C$7))*100)</f>
        <v/>
      </c>
      <c r="AB754" s="7" t="n"/>
      <c r="AE754" s="11" t="n"/>
      <c r="AG754" s="7">
        <f>IF($C754="","",U754*X754/100)</f>
        <v/>
      </c>
      <c r="AH754" s="7">
        <f>IF($C754="","",U754-AG754)</f>
        <v/>
      </c>
      <c r="AI754" s="7">
        <f>IF($C754="","",AH754-M754)</f>
        <v/>
      </c>
      <c r="AJ754">
        <f>IF($C754="","",IF(COUNTIF($C$2:$C754,$C754)=1,1,0))</f>
        <v/>
      </c>
      <c r="AK754">
        <f>IF($AJ754=1,SUMPRODUCT(--($AN$2:$AN$4001&lt;$AN754))+1,"")</f>
        <v/>
      </c>
      <c r="AL754">
        <f>IF($C754="","",IF(OR($Q754=TRUE(),$Q754="TRUE"),1,0))</f>
        <v/>
      </c>
      <c r="AM754">
        <f>IF($C754="","",IF($W754="Yes",1,0))</f>
        <v/>
      </c>
      <c r="AN754">
        <f>IF($AJ754=1,IFERROR(IF(VALUE($C754)&lt;100000000,VALUE($C754),1000000000),IFERROR(IF(VALUE(MID($C754,2,20))&lt;100000000,VALUE(MID($C754,2,20)),1000000000),1000000000))+ROW()/100000,"")</f>
        <v/>
      </c>
    </row>
    <row r="755">
      <c r="E755" s="11" t="n"/>
      <c r="M755" s="7">
        <f>IF($C755="","",L755*U755/100)</f>
        <v/>
      </c>
      <c r="N755" s="7" t="n"/>
      <c r="T755" s="7" t="n"/>
      <c r="U755" s="7">
        <f>IF($C755="","",S755*T755)</f>
        <v/>
      </c>
      <c r="X755">
        <f>IF($C755="","",IF($AM755=1,0,IF($AL755=1,Settings!$C$6,Settings!$C$7))*100)</f>
        <v/>
      </c>
      <c r="AB755" s="7" t="n"/>
      <c r="AE755" s="11" t="n"/>
      <c r="AG755" s="7">
        <f>IF($C755="","",U755*X755/100)</f>
        <v/>
      </c>
      <c r="AH755" s="7">
        <f>IF($C755="","",U755-AG755)</f>
        <v/>
      </c>
      <c r="AI755" s="7">
        <f>IF($C755="","",AH755-M755)</f>
        <v/>
      </c>
      <c r="AJ755">
        <f>IF($C755="","",IF(COUNTIF($C$2:$C755,$C755)=1,1,0))</f>
        <v/>
      </c>
      <c r="AK755">
        <f>IF($AJ755=1,SUMPRODUCT(--($AN$2:$AN$4001&lt;$AN755))+1,"")</f>
        <v/>
      </c>
      <c r="AL755">
        <f>IF($C755="","",IF(OR($Q755=TRUE(),$Q755="TRUE"),1,0))</f>
        <v/>
      </c>
      <c r="AM755">
        <f>IF($C755="","",IF($W755="Yes",1,0))</f>
        <v/>
      </c>
      <c r="AN755">
        <f>IF($AJ755=1,IFERROR(IF(VALUE($C755)&lt;100000000,VALUE($C755),1000000000),IFERROR(IF(VALUE(MID($C755,2,20))&lt;100000000,VALUE(MID($C755,2,20)),1000000000),1000000000))+ROW()/100000,"")</f>
        <v/>
      </c>
    </row>
    <row r="756">
      <c r="E756" s="11" t="n"/>
      <c r="M756" s="7">
        <f>IF($C756="","",L756*U756/100)</f>
        <v/>
      </c>
      <c r="N756" s="7" t="n"/>
      <c r="T756" s="7" t="n"/>
      <c r="U756" s="7">
        <f>IF($C756="","",S756*T756)</f>
        <v/>
      </c>
      <c r="X756">
        <f>IF($C756="","",IF($AM756=1,0,IF($AL756=1,Settings!$C$6,Settings!$C$7))*100)</f>
        <v/>
      </c>
      <c r="AB756" s="7" t="n"/>
      <c r="AE756" s="11" t="n"/>
      <c r="AG756" s="7">
        <f>IF($C756="","",U756*X756/100)</f>
        <v/>
      </c>
      <c r="AH756" s="7">
        <f>IF($C756="","",U756-AG756)</f>
        <v/>
      </c>
      <c r="AI756" s="7">
        <f>IF($C756="","",AH756-M756)</f>
        <v/>
      </c>
      <c r="AJ756">
        <f>IF($C756="","",IF(COUNTIF($C$2:$C756,$C756)=1,1,0))</f>
        <v/>
      </c>
      <c r="AK756">
        <f>IF($AJ756=1,SUMPRODUCT(--($AN$2:$AN$4001&lt;$AN756))+1,"")</f>
        <v/>
      </c>
      <c r="AL756">
        <f>IF($C756="","",IF(OR($Q756=TRUE(),$Q756="TRUE"),1,0))</f>
        <v/>
      </c>
      <c r="AM756">
        <f>IF($C756="","",IF($W756="Yes",1,0))</f>
        <v/>
      </c>
      <c r="AN756">
        <f>IF($AJ756=1,IFERROR(IF(VALUE($C756)&lt;100000000,VALUE($C756),1000000000),IFERROR(IF(VALUE(MID($C756,2,20))&lt;100000000,VALUE(MID($C756,2,20)),1000000000),1000000000))+ROW()/100000,"")</f>
        <v/>
      </c>
    </row>
    <row r="757">
      <c r="E757" s="11" t="n"/>
      <c r="M757" s="7">
        <f>IF($C757="","",L757*U757/100)</f>
        <v/>
      </c>
      <c r="N757" s="7" t="n"/>
      <c r="T757" s="7" t="n"/>
      <c r="U757" s="7">
        <f>IF($C757="","",S757*T757)</f>
        <v/>
      </c>
      <c r="X757">
        <f>IF($C757="","",IF($AM757=1,0,IF($AL757=1,Settings!$C$6,Settings!$C$7))*100)</f>
        <v/>
      </c>
      <c r="AB757" s="7" t="n"/>
      <c r="AE757" s="11" t="n"/>
      <c r="AG757" s="7">
        <f>IF($C757="","",U757*X757/100)</f>
        <v/>
      </c>
      <c r="AH757" s="7">
        <f>IF($C757="","",U757-AG757)</f>
        <v/>
      </c>
      <c r="AI757" s="7">
        <f>IF($C757="","",AH757-M757)</f>
        <v/>
      </c>
      <c r="AJ757">
        <f>IF($C757="","",IF(COUNTIF($C$2:$C757,$C757)=1,1,0))</f>
        <v/>
      </c>
      <c r="AK757">
        <f>IF($AJ757=1,SUMPRODUCT(--($AN$2:$AN$4001&lt;$AN757))+1,"")</f>
        <v/>
      </c>
      <c r="AL757">
        <f>IF($C757="","",IF(OR($Q757=TRUE(),$Q757="TRUE"),1,0))</f>
        <v/>
      </c>
      <c r="AM757">
        <f>IF($C757="","",IF($W757="Yes",1,0))</f>
        <v/>
      </c>
      <c r="AN757">
        <f>IF($AJ757=1,IFERROR(IF(VALUE($C757)&lt;100000000,VALUE($C757),1000000000),IFERROR(IF(VALUE(MID($C757,2,20))&lt;100000000,VALUE(MID($C757,2,20)),1000000000),1000000000))+ROW()/100000,"")</f>
        <v/>
      </c>
    </row>
    <row r="758">
      <c r="E758" s="11" t="n"/>
      <c r="M758" s="7">
        <f>IF($C758="","",L758*U758/100)</f>
        <v/>
      </c>
      <c r="N758" s="7" t="n"/>
      <c r="T758" s="7" t="n"/>
      <c r="U758" s="7">
        <f>IF($C758="","",S758*T758)</f>
        <v/>
      </c>
      <c r="X758">
        <f>IF($C758="","",IF($AM758=1,0,IF($AL758=1,Settings!$C$6,Settings!$C$7))*100)</f>
        <v/>
      </c>
      <c r="AB758" s="7" t="n"/>
      <c r="AE758" s="11" t="n"/>
      <c r="AG758" s="7">
        <f>IF($C758="","",U758*X758/100)</f>
        <v/>
      </c>
      <c r="AH758" s="7">
        <f>IF($C758="","",U758-AG758)</f>
        <v/>
      </c>
      <c r="AI758" s="7">
        <f>IF($C758="","",AH758-M758)</f>
        <v/>
      </c>
      <c r="AJ758">
        <f>IF($C758="","",IF(COUNTIF($C$2:$C758,$C758)=1,1,0))</f>
        <v/>
      </c>
      <c r="AK758">
        <f>IF($AJ758=1,SUMPRODUCT(--($AN$2:$AN$4001&lt;$AN758))+1,"")</f>
        <v/>
      </c>
      <c r="AL758">
        <f>IF($C758="","",IF(OR($Q758=TRUE(),$Q758="TRUE"),1,0))</f>
        <v/>
      </c>
      <c r="AM758">
        <f>IF($C758="","",IF($W758="Yes",1,0))</f>
        <v/>
      </c>
      <c r="AN758">
        <f>IF($AJ758=1,IFERROR(IF(VALUE($C758)&lt;100000000,VALUE($C758),1000000000),IFERROR(IF(VALUE(MID($C758,2,20))&lt;100000000,VALUE(MID($C758,2,20)),1000000000),1000000000))+ROW()/100000,"")</f>
        <v/>
      </c>
    </row>
    <row r="759">
      <c r="E759" s="11" t="n"/>
      <c r="M759" s="7">
        <f>IF($C759="","",L759*U759/100)</f>
        <v/>
      </c>
      <c r="N759" s="7" t="n"/>
      <c r="T759" s="7" t="n"/>
      <c r="U759" s="7">
        <f>IF($C759="","",S759*T759)</f>
        <v/>
      </c>
      <c r="X759">
        <f>IF($C759="","",IF($AM759=1,0,IF($AL759=1,Settings!$C$6,Settings!$C$7))*100)</f>
        <v/>
      </c>
      <c r="AB759" s="7" t="n"/>
      <c r="AE759" s="11" t="n"/>
      <c r="AG759" s="7">
        <f>IF($C759="","",U759*X759/100)</f>
        <v/>
      </c>
      <c r="AH759" s="7">
        <f>IF($C759="","",U759-AG759)</f>
        <v/>
      </c>
      <c r="AI759" s="7">
        <f>IF($C759="","",AH759-M759)</f>
        <v/>
      </c>
      <c r="AJ759">
        <f>IF($C759="","",IF(COUNTIF($C$2:$C759,$C759)=1,1,0))</f>
        <v/>
      </c>
      <c r="AK759">
        <f>IF($AJ759=1,SUMPRODUCT(--($AN$2:$AN$4001&lt;$AN759))+1,"")</f>
        <v/>
      </c>
      <c r="AL759">
        <f>IF($C759="","",IF(OR($Q759=TRUE(),$Q759="TRUE"),1,0))</f>
        <v/>
      </c>
      <c r="AM759">
        <f>IF($C759="","",IF($W759="Yes",1,0))</f>
        <v/>
      </c>
      <c r="AN759">
        <f>IF($AJ759=1,IFERROR(IF(VALUE($C759)&lt;100000000,VALUE($C759),1000000000),IFERROR(IF(VALUE(MID($C759,2,20))&lt;100000000,VALUE(MID($C759,2,20)),1000000000),1000000000))+ROW()/100000,"")</f>
        <v/>
      </c>
    </row>
    <row r="760">
      <c r="E760" s="11" t="n"/>
      <c r="M760" s="7">
        <f>IF($C760="","",L760*U760/100)</f>
        <v/>
      </c>
      <c r="N760" s="7" t="n"/>
      <c r="T760" s="7" t="n"/>
      <c r="U760" s="7">
        <f>IF($C760="","",S760*T760)</f>
        <v/>
      </c>
      <c r="X760">
        <f>IF($C760="","",IF($AM760=1,0,IF($AL760=1,Settings!$C$6,Settings!$C$7))*100)</f>
        <v/>
      </c>
      <c r="AB760" s="7" t="n"/>
      <c r="AE760" s="11" t="n"/>
      <c r="AG760" s="7">
        <f>IF($C760="","",U760*X760/100)</f>
        <v/>
      </c>
      <c r="AH760" s="7">
        <f>IF($C760="","",U760-AG760)</f>
        <v/>
      </c>
      <c r="AI760" s="7">
        <f>IF($C760="","",AH760-M760)</f>
        <v/>
      </c>
      <c r="AJ760">
        <f>IF($C760="","",IF(COUNTIF($C$2:$C760,$C760)=1,1,0))</f>
        <v/>
      </c>
      <c r="AK760">
        <f>IF($AJ760=1,SUMPRODUCT(--($AN$2:$AN$4001&lt;$AN760))+1,"")</f>
        <v/>
      </c>
      <c r="AL760">
        <f>IF($C760="","",IF(OR($Q760=TRUE(),$Q760="TRUE"),1,0))</f>
        <v/>
      </c>
      <c r="AM760">
        <f>IF($C760="","",IF($W760="Yes",1,0))</f>
        <v/>
      </c>
      <c r="AN760">
        <f>IF($AJ760=1,IFERROR(IF(VALUE($C760)&lt;100000000,VALUE($C760),1000000000),IFERROR(IF(VALUE(MID($C760,2,20))&lt;100000000,VALUE(MID($C760,2,20)),1000000000),1000000000))+ROW()/100000,"")</f>
        <v/>
      </c>
    </row>
    <row r="761">
      <c r="E761" s="11" t="n"/>
      <c r="M761" s="7">
        <f>IF($C761="","",L761*U761/100)</f>
        <v/>
      </c>
      <c r="N761" s="7" t="n"/>
      <c r="T761" s="7" t="n"/>
      <c r="U761" s="7">
        <f>IF($C761="","",S761*T761)</f>
        <v/>
      </c>
      <c r="X761">
        <f>IF($C761="","",IF($AM761=1,0,IF($AL761=1,Settings!$C$6,Settings!$C$7))*100)</f>
        <v/>
      </c>
      <c r="AB761" s="7" t="n"/>
      <c r="AE761" s="11" t="n"/>
      <c r="AG761" s="7">
        <f>IF($C761="","",U761*X761/100)</f>
        <v/>
      </c>
      <c r="AH761" s="7">
        <f>IF($C761="","",U761-AG761)</f>
        <v/>
      </c>
      <c r="AI761" s="7">
        <f>IF($C761="","",AH761-M761)</f>
        <v/>
      </c>
      <c r="AJ761">
        <f>IF($C761="","",IF(COUNTIF($C$2:$C761,$C761)=1,1,0))</f>
        <v/>
      </c>
      <c r="AK761">
        <f>IF($AJ761=1,SUMPRODUCT(--($AN$2:$AN$4001&lt;$AN761))+1,"")</f>
        <v/>
      </c>
      <c r="AL761">
        <f>IF($C761="","",IF(OR($Q761=TRUE(),$Q761="TRUE"),1,0))</f>
        <v/>
      </c>
      <c r="AM761">
        <f>IF($C761="","",IF($W761="Yes",1,0))</f>
        <v/>
      </c>
      <c r="AN761">
        <f>IF($AJ761=1,IFERROR(IF(VALUE($C761)&lt;100000000,VALUE($C761),1000000000),IFERROR(IF(VALUE(MID($C761,2,20))&lt;100000000,VALUE(MID($C761,2,20)),1000000000),1000000000))+ROW()/100000,"")</f>
        <v/>
      </c>
    </row>
    <row r="762">
      <c r="E762" s="11" t="n"/>
      <c r="M762" s="7">
        <f>IF($C762="","",L762*U762/100)</f>
        <v/>
      </c>
      <c r="N762" s="7" t="n"/>
      <c r="T762" s="7" t="n"/>
      <c r="U762" s="7">
        <f>IF($C762="","",S762*T762)</f>
        <v/>
      </c>
      <c r="X762">
        <f>IF($C762="","",IF($AM762=1,0,IF($AL762=1,Settings!$C$6,Settings!$C$7))*100)</f>
        <v/>
      </c>
      <c r="AB762" s="7" t="n"/>
      <c r="AE762" s="11" t="n"/>
      <c r="AG762" s="7">
        <f>IF($C762="","",U762*X762/100)</f>
        <v/>
      </c>
      <c r="AH762" s="7">
        <f>IF($C762="","",U762-AG762)</f>
        <v/>
      </c>
      <c r="AI762" s="7">
        <f>IF($C762="","",AH762-M762)</f>
        <v/>
      </c>
      <c r="AJ762">
        <f>IF($C762="","",IF(COUNTIF($C$2:$C762,$C762)=1,1,0))</f>
        <v/>
      </c>
      <c r="AK762">
        <f>IF($AJ762=1,SUMPRODUCT(--($AN$2:$AN$4001&lt;$AN762))+1,"")</f>
        <v/>
      </c>
      <c r="AL762">
        <f>IF($C762="","",IF(OR($Q762=TRUE(),$Q762="TRUE"),1,0))</f>
        <v/>
      </c>
      <c r="AM762">
        <f>IF($C762="","",IF($W762="Yes",1,0))</f>
        <v/>
      </c>
      <c r="AN762">
        <f>IF($AJ762=1,IFERROR(IF(VALUE($C762)&lt;100000000,VALUE($C762),1000000000),IFERROR(IF(VALUE(MID($C762,2,20))&lt;100000000,VALUE(MID($C762,2,20)),1000000000),1000000000))+ROW()/100000,"")</f>
        <v/>
      </c>
    </row>
    <row r="763">
      <c r="E763" s="11" t="n"/>
      <c r="M763" s="7">
        <f>IF($C763="","",L763*U763/100)</f>
        <v/>
      </c>
      <c r="N763" s="7" t="n"/>
      <c r="T763" s="7" t="n"/>
      <c r="U763" s="7">
        <f>IF($C763="","",S763*T763)</f>
        <v/>
      </c>
      <c r="X763">
        <f>IF($C763="","",IF($AM763=1,0,IF($AL763=1,Settings!$C$6,Settings!$C$7))*100)</f>
        <v/>
      </c>
      <c r="AB763" s="7" t="n"/>
      <c r="AE763" s="11" t="n"/>
      <c r="AG763" s="7">
        <f>IF($C763="","",U763*X763/100)</f>
        <v/>
      </c>
      <c r="AH763" s="7">
        <f>IF($C763="","",U763-AG763)</f>
        <v/>
      </c>
      <c r="AI763" s="7">
        <f>IF($C763="","",AH763-M763)</f>
        <v/>
      </c>
      <c r="AJ763">
        <f>IF($C763="","",IF(COUNTIF($C$2:$C763,$C763)=1,1,0))</f>
        <v/>
      </c>
      <c r="AK763">
        <f>IF($AJ763=1,SUMPRODUCT(--($AN$2:$AN$4001&lt;$AN763))+1,"")</f>
        <v/>
      </c>
      <c r="AL763">
        <f>IF($C763="","",IF(OR($Q763=TRUE(),$Q763="TRUE"),1,0))</f>
        <v/>
      </c>
      <c r="AM763">
        <f>IF($C763="","",IF($W763="Yes",1,0))</f>
        <v/>
      </c>
      <c r="AN763">
        <f>IF($AJ763=1,IFERROR(IF(VALUE($C763)&lt;100000000,VALUE($C763),1000000000),IFERROR(IF(VALUE(MID($C763,2,20))&lt;100000000,VALUE(MID($C763,2,20)),1000000000),1000000000))+ROW()/100000,"")</f>
        <v/>
      </c>
    </row>
    <row r="764">
      <c r="E764" s="11" t="n"/>
      <c r="M764" s="7">
        <f>IF($C764="","",L764*U764/100)</f>
        <v/>
      </c>
      <c r="N764" s="7" t="n"/>
      <c r="T764" s="7" t="n"/>
      <c r="U764" s="7">
        <f>IF($C764="","",S764*T764)</f>
        <v/>
      </c>
      <c r="X764">
        <f>IF($C764="","",IF($AM764=1,0,IF($AL764=1,Settings!$C$6,Settings!$C$7))*100)</f>
        <v/>
      </c>
      <c r="AB764" s="7" t="n"/>
      <c r="AE764" s="11" t="n"/>
      <c r="AG764" s="7">
        <f>IF($C764="","",U764*X764/100)</f>
        <v/>
      </c>
      <c r="AH764" s="7">
        <f>IF($C764="","",U764-AG764)</f>
        <v/>
      </c>
      <c r="AI764" s="7">
        <f>IF($C764="","",AH764-M764)</f>
        <v/>
      </c>
      <c r="AJ764">
        <f>IF($C764="","",IF(COUNTIF($C$2:$C764,$C764)=1,1,0))</f>
        <v/>
      </c>
      <c r="AK764">
        <f>IF($AJ764=1,SUMPRODUCT(--($AN$2:$AN$4001&lt;$AN764))+1,"")</f>
        <v/>
      </c>
      <c r="AL764">
        <f>IF($C764="","",IF(OR($Q764=TRUE(),$Q764="TRUE"),1,0))</f>
        <v/>
      </c>
      <c r="AM764">
        <f>IF($C764="","",IF($W764="Yes",1,0))</f>
        <v/>
      </c>
      <c r="AN764">
        <f>IF($AJ764=1,IFERROR(IF(VALUE($C764)&lt;100000000,VALUE($C764),1000000000),IFERROR(IF(VALUE(MID($C764,2,20))&lt;100000000,VALUE(MID($C764,2,20)),1000000000),1000000000))+ROW()/100000,"")</f>
        <v/>
      </c>
    </row>
    <row r="765">
      <c r="E765" s="11" t="n"/>
      <c r="M765" s="7">
        <f>IF($C765="","",L765*U765/100)</f>
        <v/>
      </c>
      <c r="N765" s="7" t="n"/>
      <c r="T765" s="7" t="n"/>
      <c r="U765" s="7">
        <f>IF($C765="","",S765*T765)</f>
        <v/>
      </c>
      <c r="X765">
        <f>IF($C765="","",IF($AM765=1,0,IF($AL765=1,Settings!$C$6,Settings!$C$7))*100)</f>
        <v/>
      </c>
      <c r="AB765" s="7" t="n"/>
      <c r="AE765" s="11" t="n"/>
      <c r="AG765" s="7">
        <f>IF($C765="","",U765*X765/100)</f>
        <v/>
      </c>
      <c r="AH765" s="7">
        <f>IF($C765="","",U765-AG765)</f>
        <v/>
      </c>
      <c r="AI765" s="7">
        <f>IF($C765="","",AH765-M765)</f>
        <v/>
      </c>
      <c r="AJ765">
        <f>IF($C765="","",IF(COUNTIF($C$2:$C765,$C765)=1,1,0))</f>
        <v/>
      </c>
      <c r="AK765">
        <f>IF($AJ765=1,SUMPRODUCT(--($AN$2:$AN$4001&lt;$AN765))+1,"")</f>
        <v/>
      </c>
      <c r="AL765">
        <f>IF($C765="","",IF(OR($Q765=TRUE(),$Q765="TRUE"),1,0))</f>
        <v/>
      </c>
      <c r="AM765">
        <f>IF($C765="","",IF($W765="Yes",1,0))</f>
        <v/>
      </c>
      <c r="AN765">
        <f>IF($AJ765=1,IFERROR(IF(VALUE($C765)&lt;100000000,VALUE($C765),1000000000),IFERROR(IF(VALUE(MID($C765,2,20))&lt;100000000,VALUE(MID($C765,2,20)),1000000000),1000000000))+ROW()/100000,"")</f>
        <v/>
      </c>
    </row>
    <row r="766">
      <c r="E766" s="11" t="n"/>
      <c r="M766" s="7">
        <f>IF($C766="","",L766*U766/100)</f>
        <v/>
      </c>
      <c r="N766" s="7" t="n"/>
      <c r="T766" s="7" t="n"/>
      <c r="U766" s="7">
        <f>IF($C766="","",S766*T766)</f>
        <v/>
      </c>
      <c r="X766">
        <f>IF($C766="","",IF($AM766=1,0,IF($AL766=1,Settings!$C$6,Settings!$C$7))*100)</f>
        <v/>
      </c>
      <c r="AB766" s="7" t="n"/>
      <c r="AE766" s="11" t="n"/>
      <c r="AG766" s="7">
        <f>IF($C766="","",U766*X766/100)</f>
        <v/>
      </c>
      <c r="AH766" s="7">
        <f>IF($C766="","",U766-AG766)</f>
        <v/>
      </c>
      <c r="AI766" s="7">
        <f>IF($C766="","",AH766-M766)</f>
        <v/>
      </c>
      <c r="AJ766">
        <f>IF($C766="","",IF(COUNTIF($C$2:$C766,$C766)=1,1,0))</f>
        <v/>
      </c>
      <c r="AK766">
        <f>IF($AJ766=1,SUMPRODUCT(--($AN$2:$AN$4001&lt;$AN766))+1,"")</f>
        <v/>
      </c>
      <c r="AL766">
        <f>IF($C766="","",IF(OR($Q766=TRUE(),$Q766="TRUE"),1,0))</f>
        <v/>
      </c>
      <c r="AM766">
        <f>IF($C766="","",IF($W766="Yes",1,0))</f>
        <v/>
      </c>
      <c r="AN766">
        <f>IF($AJ766=1,IFERROR(IF(VALUE($C766)&lt;100000000,VALUE($C766),1000000000),IFERROR(IF(VALUE(MID($C766,2,20))&lt;100000000,VALUE(MID($C766,2,20)),1000000000),1000000000))+ROW()/100000,"")</f>
        <v/>
      </c>
    </row>
    <row r="767">
      <c r="E767" s="11" t="n"/>
      <c r="M767" s="7">
        <f>IF($C767="","",L767*U767/100)</f>
        <v/>
      </c>
      <c r="N767" s="7" t="n"/>
      <c r="T767" s="7" t="n"/>
      <c r="U767" s="7">
        <f>IF($C767="","",S767*T767)</f>
        <v/>
      </c>
      <c r="X767">
        <f>IF($C767="","",IF($AM767=1,0,IF($AL767=1,Settings!$C$6,Settings!$C$7))*100)</f>
        <v/>
      </c>
      <c r="AB767" s="7" t="n"/>
      <c r="AE767" s="11" t="n"/>
      <c r="AG767" s="7">
        <f>IF($C767="","",U767*X767/100)</f>
        <v/>
      </c>
      <c r="AH767" s="7">
        <f>IF($C767="","",U767-AG767)</f>
        <v/>
      </c>
      <c r="AI767" s="7">
        <f>IF($C767="","",AH767-M767)</f>
        <v/>
      </c>
      <c r="AJ767">
        <f>IF($C767="","",IF(COUNTIF($C$2:$C767,$C767)=1,1,0))</f>
        <v/>
      </c>
      <c r="AK767">
        <f>IF($AJ767=1,SUMPRODUCT(--($AN$2:$AN$4001&lt;$AN767))+1,"")</f>
        <v/>
      </c>
      <c r="AL767">
        <f>IF($C767="","",IF(OR($Q767=TRUE(),$Q767="TRUE"),1,0))</f>
        <v/>
      </c>
      <c r="AM767">
        <f>IF($C767="","",IF($W767="Yes",1,0))</f>
        <v/>
      </c>
      <c r="AN767">
        <f>IF($AJ767=1,IFERROR(IF(VALUE($C767)&lt;100000000,VALUE($C767),1000000000),IFERROR(IF(VALUE(MID($C767,2,20))&lt;100000000,VALUE(MID($C767,2,20)),1000000000),1000000000))+ROW()/100000,"")</f>
        <v/>
      </c>
    </row>
    <row r="768">
      <c r="E768" s="11" t="n"/>
      <c r="M768" s="7">
        <f>IF($C768="","",L768*U768/100)</f>
        <v/>
      </c>
      <c r="N768" s="7" t="n"/>
      <c r="T768" s="7" t="n"/>
      <c r="U768" s="7">
        <f>IF($C768="","",S768*T768)</f>
        <v/>
      </c>
      <c r="X768">
        <f>IF($C768="","",IF($AM768=1,0,IF($AL768=1,Settings!$C$6,Settings!$C$7))*100)</f>
        <v/>
      </c>
      <c r="AB768" s="7" t="n"/>
      <c r="AE768" s="11" t="n"/>
      <c r="AG768" s="7">
        <f>IF($C768="","",U768*X768/100)</f>
        <v/>
      </c>
      <c r="AH768" s="7">
        <f>IF($C768="","",U768-AG768)</f>
        <v/>
      </c>
      <c r="AI768" s="7">
        <f>IF($C768="","",AH768-M768)</f>
        <v/>
      </c>
      <c r="AJ768">
        <f>IF($C768="","",IF(COUNTIF($C$2:$C768,$C768)=1,1,0))</f>
        <v/>
      </c>
      <c r="AK768">
        <f>IF($AJ768=1,SUMPRODUCT(--($AN$2:$AN$4001&lt;$AN768))+1,"")</f>
        <v/>
      </c>
      <c r="AL768">
        <f>IF($C768="","",IF(OR($Q768=TRUE(),$Q768="TRUE"),1,0))</f>
        <v/>
      </c>
      <c r="AM768">
        <f>IF($C768="","",IF($W768="Yes",1,0))</f>
        <v/>
      </c>
      <c r="AN768">
        <f>IF($AJ768=1,IFERROR(IF(VALUE($C768)&lt;100000000,VALUE($C768),1000000000),IFERROR(IF(VALUE(MID($C768,2,20))&lt;100000000,VALUE(MID($C768,2,20)),1000000000),1000000000))+ROW()/100000,"")</f>
        <v/>
      </c>
    </row>
    <row r="769">
      <c r="E769" s="11" t="n"/>
      <c r="M769" s="7">
        <f>IF($C769="","",L769*U769/100)</f>
        <v/>
      </c>
      <c r="N769" s="7" t="n"/>
      <c r="T769" s="7" t="n"/>
      <c r="U769" s="7">
        <f>IF($C769="","",S769*T769)</f>
        <v/>
      </c>
      <c r="X769">
        <f>IF($C769="","",IF($AM769=1,0,IF($AL769=1,Settings!$C$6,Settings!$C$7))*100)</f>
        <v/>
      </c>
      <c r="AB769" s="7" t="n"/>
      <c r="AE769" s="11" t="n"/>
      <c r="AG769" s="7">
        <f>IF($C769="","",U769*X769/100)</f>
        <v/>
      </c>
      <c r="AH769" s="7">
        <f>IF($C769="","",U769-AG769)</f>
        <v/>
      </c>
      <c r="AI769" s="7">
        <f>IF($C769="","",AH769-M769)</f>
        <v/>
      </c>
      <c r="AJ769">
        <f>IF($C769="","",IF(COUNTIF($C$2:$C769,$C769)=1,1,0))</f>
        <v/>
      </c>
      <c r="AK769">
        <f>IF($AJ769=1,SUMPRODUCT(--($AN$2:$AN$4001&lt;$AN769))+1,"")</f>
        <v/>
      </c>
      <c r="AL769">
        <f>IF($C769="","",IF(OR($Q769=TRUE(),$Q769="TRUE"),1,0))</f>
        <v/>
      </c>
      <c r="AM769">
        <f>IF($C769="","",IF($W769="Yes",1,0))</f>
        <v/>
      </c>
      <c r="AN769">
        <f>IF($AJ769=1,IFERROR(IF(VALUE($C769)&lt;100000000,VALUE($C769),1000000000),IFERROR(IF(VALUE(MID($C769,2,20))&lt;100000000,VALUE(MID($C769,2,20)),1000000000),1000000000))+ROW()/100000,"")</f>
        <v/>
      </c>
    </row>
    <row r="770">
      <c r="E770" s="11" t="n"/>
      <c r="M770" s="7">
        <f>IF($C770="","",L770*U770/100)</f>
        <v/>
      </c>
      <c r="N770" s="7" t="n"/>
      <c r="T770" s="7" t="n"/>
      <c r="U770" s="7">
        <f>IF($C770="","",S770*T770)</f>
        <v/>
      </c>
      <c r="X770">
        <f>IF($C770="","",IF($AM770=1,0,IF($AL770=1,Settings!$C$6,Settings!$C$7))*100)</f>
        <v/>
      </c>
      <c r="AB770" s="7" t="n"/>
      <c r="AE770" s="11" t="n"/>
      <c r="AG770" s="7">
        <f>IF($C770="","",U770*X770/100)</f>
        <v/>
      </c>
      <c r="AH770" s="7">
        <f>IF($C770="","",U770-AG770)</f>
        <v/>
      </c>
      <c r="AI770" s="7">
        <f>IF($C770="","",AH770-M770)</f>
        <v/>
      </c>
      <c r="AJ770">
        <f>IF($C770="","",IF(COUNTIF($C$2:$C770,$C770)=1,1,0))</f>
        <v/>
      </c>
      <c r="AK770">
        <f>IF($AJ770=1,SUMPRODUCT(--($AN$2:$AN$4001&lt;$AN770))+1,"")</f>
        <v/>
      </c>
      <c r="AL770">
        <f>IF($C770="","",IF(OR($Q770=TRUE(),$Q770="TRUE"),1,0))</f>
        <v/>
      </c>
      <c r="AM770">
        <f>IF($C770="","",IF($W770="Yes",1,0))</f>
        <v/>
      </c>
      <c r="AN770">
        <f>IF($AJ770=1,IFERROR(IF(VALUE($C770)&lt;100000000,VALUE($C770),1000000000),IFERROR(IF(VALUE(MID($C770,2,20))&lt;100000000,VALUE(MID($C770,2,20)),1000000000),1000000000))+ROW()/100000,"")</f>
        <v/>
      </c>
    </row>
    <row r="771">
      <c r="E771" s="11" t="n"/>
      <c r="M771" s="7">
        <f>IF($C771="","",L771*U771/100)</f>
        <v/>
      </c>
      <c r="N771" s="7" t="n"/>
      <c r="T771" s="7" t="n"/>
      <c r="U771" s="7">
        <f>IF($C771="","",S771*T771)</f>
        <v/>
      </c>
      <c r="X771">
        <f>IF($C771="","",IF($AM771=1,0,IF($AL771=1,Settings!$C$6,Settings!$C$7))*100)</f>
        <v/>
      </c>
      <c r="AB771" s="7" t="n"/>
      <c r="AE771" s="11" t="n"/>
      <c r="AG771" s="7">
        <f>IF($C771="","",U771*X771/100)</f>
        <v/>
      </c>
      <c r="AH771" s="7">
        <f>IF($C771="","",U771-AG771)</f>
        <v/>
      </c>
      <c r="AI771" s="7">
        <f>IF($C771="","",AH771-M771)</f>
        <v/>
      </c>
      <c r="AJ771">
        <f>IF($C771="","",IF(COUNTIF($C$2:$C771,$C771)=1,1,0))</f>
        <v/>
      </c>
      <c r="AK771">
        <f>IF($AJ771=1,SUMPRODUCT(--($AN$2:$AN$4001&lt;$AN771))+1,"")</f>
        <v/>
      </c>
      <c r="AL771">
        <f>IF($C771="","",IF(OR($Q771=TRUE(),$Q771="TRUE"),1,0))</f>
        <v/>
      </c>
      <c r="AM771">
        <f>IF($C771="","",IF($W771="Yes",1,0))</f>
        <v/>
      </c>
      <c r="AN771">
        <f>IF($AJ771=1,IFERROR(IF(VALUE($C771)&lt;100000000,VALUE($C771),1000000000),IFERROR(IF(VALUE(MID($C771,2,20))&lt;100000000,VALUE(MID($C771,2,20)),1000000000),1000000000))+ROW()/100000,"")</f>
        <v/>
      </c>
    </row>
    <row r="772">
      <c r="E772" s="11" t="n"/>
      <c r="M772" s="7">
        <f>IF($C772="","",L772*U772/100)</f>
        <v/>
      </c>
      <c r="N772" s="7" t="n"/>
      <c r="T772" s="7" t="n"/>
      <c r="U772" s="7">
        <f>IF($C772="","",S772*T772)</f>
        <v/>
      </c>
      <c r="X772">
        <f>IF($C772="","",IF($AM772=1,0,IF($AL772=1,Settings!$C$6,Settings!$C$7))*100)</f>
        <v/>
      </c>
      <c r="AB772" s="7" t="n"/>
      <c r="AE772" s="11" t="n"/>
      <c r="AG772" s="7">
        <f>IF($C772="","",U772*X772/100)</f>
        <v/>
      </c>
      <c r="AH772" s="7">
        <f>IF($C772="","",U772-AG772)</f>
        <v/>
      </c>
      <c r="AI772" s="7">
        <f>IF($C772="","",AH772-M772)</f>
        <v/>
      </c>
      <c r="AJ772">
        <f>IF($C772="","",IF(COUNTIF($C$2:$C772,$C772)=1,1,0))</f>
        <v/>
      </c>
      <c r="AK772">
        <f>IF($AJ772=1,SUMPRODUCT(--($AN$2:$AN$4001&lt;$AN772))+1,"")</f>
        <v/>
      </c>
      <c r="AL772">
        <f>IF($C772="","",IF(OR($Q772=TRUE(),$Q772="TRUE"),1,0))</f>
        <v/>
      </c>
      <c r="AM772">
        <f>IF($C772="","",IF($W772="Yes",1,0))</f>
        <v/>
      </c>
      <c r="AN772">
        <f>IF($AJ772=1,IFERROR(IF(VALUE($C772)&lt;100000000,VALUE($C772),1000000000),IFERROR(IF(VALUE(MID($C772,2,20))&lt;100000000,VALUE(MID($C772,2,20)),1000000000),1000000000))+ROW()/100000,"")</f>
        <v/>
      </c>
    </row>
    <row r="773">
      <c r="E773" s="11" t="n"/>
      <c r="M773" s="7">
        <f>IF($C773="","",L773*U773/100)</f>
        <v/>
      </c>
      <c r="N773" s="7" t="n"/>
      <c r="T773" s="7" t="n"/>
      <c r="U773" s="7">
        <f>IF($C773="","",S773*T773)</f>
        <v/>
      </c>
      <c r="X773">
        <f>IF($C773="","",IF($AM773=1,0,IF($AL773=1,Settings!$C$6,Settings!$C$7))*100)</f>
        <v/>
      </c>
      <c r="AB773" s="7" t="n"/>
      <c r="AE773" s="11" t="n"/>
      <c r="AG773" s="7">
        <f>IF($C773="","",U773*X773/100)</f>
        <v/>
      </c>
      <c r="AH773" s="7">
        <f>IF($C773="","",U773-AG773)</f>
        <v/>
      </c>
      <c r="AI773" s="7">
        <f>IF($C773="","",AH773-M773)</f>
        <v/>
      </c>
      <c r="AJ773">
        <f>IF($C773="","",IF(COUNTIF($C$2:$C773,$C773)=1,1,0))</f>
        <v/>
      </c>
      <c r="AK773">
        <f>IF($AJ773=1,SUMPRODUCT(--($AN$2:$AN$4001&lt;$AN773))+1,"")</f>
        <v/>
      </c>
      <c r="AL773">
        <f>IF($C773="","",IF(OR($Q773=TRUE(),$Q773="TRUE"),1,0))</f>
        <v/>
      </c>
      <c r="AM773">
        <f>IF($C773="","",IF($W773="Yes",1,0))</f>
        <v/>
      </c>
      <c r="AN773">
        <f>IF($AJ773=1,IFERROR(IF(VALUE($C773)&lt;100000000,VALUE($C773),1000000000),IFERROR(IF(VALUE(MID($C773,2,20))&lt;100000000,VALUE(MID($C773,2,20)),1000000000),1000000000))+ROW()/100000,"")</f>
        <v/>
      </c>
    </row>
    <row r="774">
      <c r="E774" s="11" t="n"/>
      <c r="M774" s="7">
        <f>IF($C774="","",L774*U774/100)</f>
        <v/>
      </c>
      <c r="N774" s="7" t="n"/>
      <c r="T774" s="7" t="n"/>
      <c r="U774" s="7">
        <f>IF($C774="","",S774*T774)</f>
        <v/>
      </c>
      <c r="X774">
        <f>IF($C774="","",IF($AM774=1,0,IF($AL774=1,Settings!$C$6,Settings!$C$7))*100)</f>
        <v/>
      </c>
      <c r="AB774" s="7" t="n"/>
      <c r="AE774" s="11" t="n"/>
      <c r="AG774" s="7">
        <f>IF($C774="","",U774*X774/100)</f>
        <v/>
      </c>
      <c r="AH774" s="7">
        <f>IF($C774="","",U774-AG774)</f>
        <v/>
      </c>
      <c r="AI774" s="7">
        <f>IF($C774="","",AH774-M774)</f>
        <v/>
      </c>
      <c r="AJ774">
        <f>IF($C774="","",IF(COUNTIF($C$2:$C774,$C774)=1,1,0))</f>
        <v/>
      </c>
      <c r="AK774">
        <f>IF($AJ774=1,SUMPRODUCT(--($AN$2:$AN$4001&lt;$AN774))+1,"")</f>
        <v/>
      </c>
      <c r="AL774">
        <f>IF($C774="","",IF(OR($Q774=TRUE(),$Q774="TRUE"),1,0))</f>
        <v/>
      </c>
      <c r="AM774">
        <f>IF($C774="","",IF($W774="Yes",1,0))</f>
        <v/>
      </c>
      <c r="AN774">
        <f>IF($AJ774=1,IFERROR(IF(VALUE($C774)&lt;100000000,VALUE($C774),1000000000),IFERROR(IF(VALUE(MID($C774,2,20))&lt;100000000,VALUE(MID($C774,2,20)),1000000000),1000000000))+ROW()/100000,"")</f>
        <v/>
      </c>
    </row>
    <row r="775">
      <c r="E775" s="11" t="n"/>
      <c r="M775" s="7">
        <f>IF($C775="","",L775*U775/100)</f>
        <v/>
      </c>
      <c r="N775" s="7" t="n"/>
      <c r="T775" s="7" t="n"/>
      <c r="U775" s="7">
        <f>IF($C775="","",S775*T775)</f>
        <v/>
      </c>
      <c r="X775">
        <f>IF($C775="","",IF($AM775=1,0,IF($AL775=1,Settings!$C$6,Settings!$C$7))*100)</f>
        <v/>
      </c>
      <c r="AB775" s="7" t="n"/>
      <c r="AE775" s="11" t="n"/>
      <c r="AG775" s="7">
        <f>IF($C775="","",U775*X775/100)</f>
        <v/>
      </c>
      <c r="AH775" s="7">
        <f>IF($C775="","",U775-AG775)</f>
        <v/>
      </c>
      <c r="AI775" s="7">
        <f>IF($C775="","",AH775-M775)</f>
        <v/>
      </c>
      <c r="AJ775">
        <f>IF($C775="","",IF(COUNTIF($C$2:$C775,$C775)=1,1,0))</f>
        <v/>
      </c>
      <c r="AK775">
        <f>IF($AJ775=1,SUMPRODUCT(--($AN$2:$AN$4001&lt;$AN775))+1,"")</f>
        <v/>
      </c>
      <c r="AL775">
        <f>IF($C775="","",IF(OR($Q775=TRUE(),$Q775="TRUE"),1,0))</f>
        <v/>
      </c>
      <c r="AM775">
        <f>IF($C775="","",IF($W775="Yes",1,0))</f>
        <v/>
      </c>
      <c r="AN775">
        <f>IF($AJ775=1,IFERROR(IF(VALUE($C775)&lt;100000000,VALUE($C775),1000000000),IFERROR(IF(VALUE(MID($C775,2,20))&lt;100000000,VALUE(MID($C775,2,20)),1000000000),1000000000))+ROW()/100000,"")</f>
        <v/>
      </c>
    </row>
    <row r="776">
      <c r="E776" s="11" t="n"/>
      <c r="M776" s="7">
        <f>IF($C776="","",L776*U776/100)</f>
        <v/>
      </c>
      <c r="N776" s="7" t="n"/>
      <c r="T776" s="7" t="n"/>
      <c r="U776" s="7">
        <f>IF($C776="","",S776*T776)</f>
        <v/>
      </c>
      <c r="X776">
        <f>IF($C776="","",IF($AM776=1,0,IF($AL776=1,Settings!$C$6,Settings!$C$7))*100)</f>
        <v/>
      </c>
      <c r="AB776" s="7" t="n"/>
      <c r="AE776" s="11" t="n"/>
      <c r="AG776" s="7">
        <f>IF($C776="","",U776*X776/100)</f>
        <v/>
      </c>
      <c r="AH776" s="7">
        <f>IF($C776="","",U776-AG776)</f>
        <v/>
      </c>
      <c r="AI776" s="7">
        <f>IF($C776="","",AH776-M776)</f>
        <v/>
      </c>
      <c r="AJ776">
        <f>IF($C776="","",IF(COUNTIF($C$2:$C776,$C776)=1,1,0))</f>
        <v/>
      </c>
      <c r="AK776">
        <f>IF($AJ776=1,SUMPRODUCT(--($AN$2:$AN$4001&lt;$AN776))+1,"")</f>
        <v/>
      </c>
      <c r="AL776">
        <f>IF($C776="","",IF(OR($Q776=TRUE(),$Q776="TRUE"),1,0))</f>
        <v/>
      </c>
      <c r="AM776">
        <f>IF($C776="","",IF($W776="Yes",1,0))</f>
        <v/>
      </c>
      <c r="AN776">
        <f>IF($AJ776=1,IFERROR(IF(VALUE($C776)&lt;100000000,VALUE($C776),1000000000),IFERROR(IF(VALUE(MID($C776,2,20))&lt;100000000,VALUE(MID($C776,2,20)),1000000000),1000000000))+ROW()/100000,"")</f>
        <v/>
      </c>
    </row>
    <row r="777">
      <c r="E777" s="11" t="n"/>
      <c r="M777" s="7">
        <f>IF($C777="","",L777*U777/100)</f>
        <v/>
      </c>
      <c r="N777" s="7" t="n"/>
      <c r="T777" s="7" t="n"/>
      <c r="U777" s="7">
        <f>IF($C777="","",S777*T777)</f>
        <v/>
      </c>
      <c r="X777">
        <f>IF($C777="","",IF($AM777=1,0,IF($AL777=1,Settings!$C$6,Settings!$C$7))*100)</f>
        <v/>
      </c>
      <c r="AB777" s="7" t="n"/>
      <c r="AE777" s="11" t="n"/>
      <c r="AG777" s="7">
        <f>IF($C777="","",U777*X777/100)</f>
        <v/>
      </c>
      <c r="AH777" s="7">
        <f>IF($C777="","",U777-AG777)</f>
        <v/>
      </c>
      <c r="AI777" s="7">
        <f>IF($C777="","",AH777-M777)</f>
        <v/>
      </c>
      <c r="AJ777">
        <f>IF($C777="","",IF(COUNTIF($C$2:$C777,$C777)=1,1,0))</f>
        <v/>
      </c>
      <c r="AK777">
        <f>IF($AJ777=1,SUMPRODUCT(--($AN$2:$AN$4001&lt;$AN777))+1,"")</f>
        <v/>
      </c>
      <c r="AL777">
        <f>IF($C777="","",IF(OR($Q777=TRUE(),$Q777="TRUE"),1,0))</f>
        <v/>
      </c>
      <c r="AM777">
        <f>IF($C777="","",IF($W777="Yes",1,0))</f>
        <v/>
      </c>
      <c r="AN777">
        <f>IF($AJ777=1,IFERROR(IF(VALUE($C777)&lt;100000000,VALUE($C777),1000000000),IFERROR(IF(VALUE(MID($C777,2,20))&lt;100000000,VALUE(MID($C777,2,20)),1000000000),1000000000))+ROW()/100000,"")</f>
        <v/>
      </c>
    </row>
    <row r="778">
      <c r="E778" s="11" t="n"/>
      <c r="M778" s="7">
        <f>IF($C778="","",L778*U778/100)</f>
        <v/>
      </c>
      <c r="N778" s="7" t="n"/>
      <c r="T778" s="7" t="n"/>
      <c r="U778" s="7">
        <f>IF($C778="","",S778*T778)</f>
        <v/>
      </c>
      <c r="X778">
        <f>IF($C778="","",IF($AM778=1,0,IF($AL778=1,Settings!$C$6,Settings!$C$7))*100)</f>
        <v/>
      </c>
      <c r="AB778" s="7" t="n"/>
      <c r="AE778" s="11" t="n"/>
      <c r="AG778" s="7">
        <f>IF($C778="","",U778*X778/100)</f>
        <v/>
      </c>
      <c r="AH778" s="7">
        <f>IF($C778="","",U778-AG778)</f>
        <v/>
      </c>
      <c r="AI778" s="7">
        <f>IF($C778="","",AH778-M778)</f>
        <v/>
      </c>
      <c r="AJ778">
        <f>IF($C778="","",IF(COUNTIF($C$2:$C778,$C778)=1,1,0))</f>
        <v/>
      </c>
      <c r="AK778">
        <f>IF($AJ778=1,SUMPRODUCT(--($AN$2:$AN$4001&lt;$AN778))+1,"")</f>
        <v/>
      </c>
      <c r="AL778">
        <f>IF($C778="","",IF(OR($Q778=TRUE(),$Q778="TRUE"),1,0))</f>
        <v/>
      </c>
      <c r="AM778">
        <f>IF($C778="","",IF($W778="Yes",1,0))</f>
        <v/>
      </c>
      <c r="AN778">
        <f>IF($AJ778=1,IFERROR(IF(VALUE($C778)&lt;100000000,VALUE($C778),1000000000),IFERROR(IF(VALUE(MID($C778,2,20))&lt;100000000,VALUE(MID($C778,2,20)),1000000000),1000000000))+ROW()/100000,"")</f>
        <v/>
      </c>
    </row>
    <row r="779">
      <c r="E779" s="11" t="n"/>
      <c r="M779" s="7">
        <f>IF($C779="","",L779*U779/100)</f>
        <v/>
      </c>
      <c r="N779" s="7" t="n"/>
      <c r="T779" s="7" t="n"/>
      <c r="U779" s="7">
        <f>IF($C779="","",S779*T779)</f>
        <v/>
      </c>
      <c r="X779">
        <f>IF($C779="","",IF($AM779=1,0,IF($AL779=1,Settings!$C$6,Settings!$C$7))*100)</f>
        <v/>
      </c>
      <c r="AB779" s="7" t="n"/>
      <c r="AE779" s="11" t="n"/>
      <c r="AG779" s="7">
        <f>IF($C779="","",U779*X779/100)</f>
        <v/>
      </c>
      <c r="AH779" s="7">
        <f>IF($C779="","",U779-AG779)</f>
        <v/>
      </c>
      <c r="AI779" s="7">
        <f>IF($C779="","",AH779-M779)</f>
        <v/>
      </c>
      <c r="AJ779">
        <f>IF($C779="","",IF(COUNTIF($C$2:$C779,$C779)=1,1,0))</f>
        <v/>
      </c>
      <c r="AK779">
        <f>IF($AJ779=1,SUMPRODUCT(--($AN$2:$AN$4001&lt;$AN779))+1,"")</f>
        <v/>
      </c>
      <c r="AL779">
        <f>IF($C779="","",IF(OR($Q779=TRUE(),$Q779="TRUE"),1,0))</f>
        <v/>
      </c>
      <c r="AM779">
        <f>IF($C779="","",IF($W779="Yes",1,0))</f>
        <v/>
      </c>
      <c r="AN779">
        <f>IF($AJ779=1,IFERROR(IF(VALUE($C779)&lt;100000000,VALUE($C779),1000000000),IFERROR(IF(VALUE(MID($C779,2,20))&lt;100000000,VALUE(MID($C779,2,20)),1000000000),1000000000))+ROW()/100000,"")</f>
        <v/>
      </c>
    </row>
    <row r="780">
      <c r="E780" s="11" t="n"/>
      <c r="M780" s="7">
        <f>IF($C780="","",L780*U780/100)</f>
        <v/>
      </c>
      <c r="N780" s="7" t="n"/>
      <c r="T780" s="7" t="n"/>
      <c r="U780" s="7">
        <f>IF($C780="","",S780*T780)</f>
        <v/>
      </c>
      <c r="X780">
        <f>IF($C780="","",IF($AM780=1,0,IF($AL780=1,Settings!$C$6,Settings!$C$7))*100)</f>
        <v/>
      </c>
      <c r="AB780" s="7" t="n"/>
      <c r="AE780" s="11" t="n"/>
      <c r="AG780" s="7">
        <f>IF($C780="","",U780*X780/100)</f>
        <v/>
      </c>
      <c r="AH780" s="7">
        <f>IF($C780="","",U780-AG780)</f>
        <v/>
      </c>
      <c r="AI780" s="7">
        <f>IF($C780="","",AH780-M780)</f>
        <v/>
      </c>
      <c r="AJ780">
        <f>IF($C780="","",IF(COUNTIF($C$2:$C780,$C780)=1,1,0))</f>
        <v/>
      </c>
      <c r="AK780">
        <f>IF($AJ780=1,SUMPRODUCT(--($AN$2:$AN$4001&lt;$AN780))+1,"")</f>
        <v/>
      </c>
      <c r="AL780">
        <f>IF($C780="","",IF(OR($Q780=TRUE(),$Q780="TRUE"),1,0))</f>
        <v/>
      </c>
      <c r="AM780">
        <f>IF($C780="","",IF($W780="Yes",1,0))</f>
        <v/>
      </c>
      <c r="AN780">
        <f>IF($AJ780=1,IFERROR(IF(VALUE($C780)&lt;100000000,VALUE($C780),1000000000),IFERROR(IF(VALUE(MID($C780,2,20))&lt;100000000,VALUE(MID($C780,2,20)),1000000000),1000000000))+ROW()/100000,"")</f>
        <v/>
      </c>
    </row>
    <row r="781">
      <c r="E781" s="11" t="n"/>
      <c r="M781" s="7">
        <f>IF($C781="","",L781*U781/100)</f>
        <v/>
      </c>
      <c r="N781" s="7" t="n"/>
      <c r="T781" s="7" t="n"/>
      <c r="U781" s="7">
        <f>IF($C781="","",S781*T781)</f>
        <v/>
      </c>
      <c r="X781">
        <f>IF($C781="","",IF($AM781=1,0,IF($AL781=1,Settings!$C$6,Settings!$C$7))*100)</f>
        <v/>
      </c>
      <c r="AB781" s="7" t="n"/>
      <c r="AE781" s="11" t="n"/>
      <c r="AG781" s="7">
        <f>IF($C781="","",U781*X781/100)</f>
        <v/>
      </c>
      <c r="AH781" s="7">
        <f>IF($C781="","",U781-AG781)</f>
        <v/>
      </c>
      <c r="AI781" s="7">
        <f>IF($C781="","",AH781-M781)</f>
        <v/>
      </c>
      <c r="AJ781">
        <f>IF($C781="","",IF(COUNTIF($C$2:$C781,$C781)=1,1,0))</f>
        <v/>
      </c>
      <c r="AK781">
        <f>IF($AJ781=1,SUMPRODUCT(--($AN$2:$AN$4001&lt;$AN781))+1,"")</f>
        <v/>
      </c>
      <c r="AL781">
        <f>IF($C781="","",IF(OR($Q781=TRUE(),$Q781="TRUE"),1,0))</f>
        <v/>
      </c>
      <c r="AM781">
        <f>IF($C781="","",IF($W781="Yes",1,0))</f>
        <v/>
      </c>
      <c r="AN781">
        <f>IF($AJ781=1,IFERROR(IF(VALUE($C781)&lt;100000000,VALUE($C781),1000000000),IFERROR(IF(VALUE(MID($C781,2,20))&lt;100000000,VALUE(MID($C781,2,20)),1000000000),1000000000))+ROW()/100000,"")</f>
        <v/>
      </c>
    </row>
    <row r="782">
      <c r="E782" s="11" t="n"/>
      <c r="M782" s="7">
        <f>IF($C782="","",L782*U782/100)</f>
        <v/>
      </c>
      <c r="N782" s="7" t="n"/>
      <c r="T782" s="7" t="n"/>
      <c r="U782" s="7">
        <f>IF($C782="","",S782*T782)</f>
        <v/>
      </c>
      <c r="X782">
        <f>IF($C782="","",IF($AM782=1,0,IF($AL782=1,Settings!$C$6,Settings!$C$7))*100)</f>
        <v/>
      </c>
      <c r="AB782" s="7" t="n"/>
      <c r="AE782" s="11" t="n"/>
      <c r="AG782" s="7">
        <f>IF($C782="","",U782*X782/100)</f>
        <v/>
      </c>
      <c r="AH782" s="7">
        <f>IF($C782="","",U782-AG782)</f>
        <v/>
      </c>
      <c r="AI782" s="7">
        <f>IF($C782="","",AH782-M782)</f>
        <v/>
      </c>
      <c r="AJ782">
        <f>IF($C782="","",IF(COUNTIF($C$2:$C782,$C782)=1,1,0))</f>
        <v/>
      </c>
      <c r="AK782">
        <f>IF($AJ782=1,SUMPRODUCT(--($AN$2:$AN$4001&lt;$AN782))+1,"")</f>
        <v/>
      </c>
      <c r="AL782">
        <f>IF($C782="","",IF(OR($Q782=TRUE(),$Q782="TRUE"),1,0))</f>
        <v/>
      </c>
      <c r="AM782">
        <f>IF($C782="","",IF($W782="Yes",1,0))</f>
        <v/>
      </c>
      <c r="AN782">
        <f>IF($AJ782=1,IFERROR(IF(VALUE($C782)&lt;100000000,VALUE($C782),1000000000),IFERROR(IF(VALUE(MID($C782,2,20))&lt;100000000,VALUE(MID($C782,2,20)),1000000000),1000000000))+ROW()/100000,"")</f>
        <v/>
      </c>
    </row>
    <row r="783">
      <c r="E783" s="11" t="n"/>
      <c r="M783" s="7">
        <f>IF($C783="","",L783*U783/100)</f>
        <v/>
      </c>
      <c r="N783" s="7" t="n"/>
      <c r="T783" s="7" t="n"/>
      <c r="U783" s="7">
        <f>IF($C783="","",S783*T783)</f>
        <v/>
      </c>
      <c r="X783">
        <f>IF($C783="","",IF($AM783=1,0,IF($AL783=1,Settings!$C$6,Settings!$C$7))*100)</f>
        <v/>
      </c>
      <c r="AB783" s="7" t="n"/>
      <c r="AE783" s="11" t="n"/>
      <c r="AG783" s="7">
        <f>IF($C783="","",U783*X783/100)</f>
        <v/>
      </c>
      <c r="AH783" s="7">
        <f>IF($C783="","",U783-AG783)</f>
        <v/>
      </c>
      <c r="AI783" s="7">
        <f>IF($C783="","",AH783-M783)</f>
        <v/>
      </c>
      <c r="AJ783">
        <f>IF($C783="","",IF(COUNTIF($C$2:$C783,$C783)=1,1,0))</f>
        <v/>
      </c>
      <c r="AK783">
        <f>IF($AJ783=1,SUMPRODUCT(--($AN$2:$AN$4001&lt;$AN783))+1,"")</f>
        <v/>
      </c>
      <c r="AL783">
        <f>IF($C783="","",IF(OR($Q783=TRUE(),$Q783="TRUE"),1,0))</f>
        <v/>
      </c>
      <c r="AM783">
        <f>IF($C783="","",IF($W783="Yes",1,0))</f>
        <v/>
      </c>
      <c r="AN783">
        <f>IF($AJ783=1,IFERROR(IF(VALUE($C783)&lt;100000000,VALUE($C783),1000000000),IFERROR(IF(VALUE(MID($C783,2,20))&lt;100000000,VALUE(MID($C783,2,20)),1000000000),1000000000))+ROW()/100000,"")</f>
        <v/>
      </c>
    </row>
    <row r="784">
      <c r="E784" s="11" t="n"/>
      <c r="M784" s="7">
        <f>IF($C784="","",L784*U784/100)</f>
        <v/>
      </c>
      <c r="N784" s="7" t="n"/>
      <c r="T784" s="7" t="n"/>
      <c r="U784" s="7">
        <f>IF($C784="","",S784*T784)</f>
        <v/>
      </c>
      <c r="X784">
        <f>IF($C784="","",IF($AM784=1,0,IF($AL784=1,Settings!$C$6,Settings!$C$7))*100)</f>
        <v/>
      </c>
      <c r="AB784" s="7" t="n"/>
      <c r="AE784" s="11" t="n"/>
      <c r="AG784" s="7">
        <f>IF($C784="","",U784*X784/100)</f>
        <v/>
      </c>
      <c r="AH784" s="7">
        <f>IF($C784="","",U784-AG784)</f>
        <v/>
      </c>
      <c r="AI784" s="7">
        <f>IF($C784="","",AH784-M784)</f>
        <v/>
      </c>
      <c r="AJ784">
        <f>IF($C784="","",IF(COUNTIF($C$2:$C784,$C784)=1,1,0))</f>
        <v/>
      </c>
      <c r="AK784">
        <f>IF($AJ784=1,SUMPRODUCT(--($AN$2:$AN$4001&lt;$AN784))+1,"")</f>
        <v/>
      </c>
      <c r="AL784">
        <f>IF($C784="","",IF(OR($Q784=TRUE(),$Q784="TRUE"),1,0))</f>
        <v/>
      </c>
      <c r="AM784">
        <f>IF($C784="","",IF($W784="Yes",1,0))</f>
        <v/>
      </c>
      <c r="AN784">
        <f>IF($AJ784=1,IFERROR(IF(VALUE($C784)&lt;100000000,VALUE($C784),1000000000),IFERROR(IF(VALUE(MID($C784,2,20))&lt;100000000,VALUE(MID($C784,2,20)),1000000000),1000000000))+ROW()/100000,"")</f>
        <v/>
      </c>
    </row>
    <row r="785">
      <c r="E785" s="11" t="n"/>
      <c r="M785" s="7">
        <f>IF($C785="","",L785*U785/100)</f>
        <v/>
      </c>
      <c r="N785" s="7" t="n"/>
      <c r="T785" s="7" t="n"/>
      <c r="U785" s="7">
        <f>IF($C785="","",S785*T785)</f>
        <v/>
      </c>
      <c r="X785">
        <f>IF($C785="","",IF($AM785=1,0,IF($AL785=1,Settings!$C$6,Settings!$C$7))*100)</f>
        <v/>
      </c>
      <c r="AB785" s="7" t="n"/>
      <c r="AE785" s="11" t="n"/>
      <c r="AG785" s="7">
        <f>IF($C785="","",U785*X785/100)</f>
        <v/>
      </c>
      <c r="AH785" s="7">
        <f>IF($C785="","",U785-AG785)</f>
        <v/>
      </c>
      <c r="AI785" s="7">
        <f>IF($C785="","",AH785-M785)</f>
        <v/>
      </c>
      <c r="AJ785">
        <f>IF($C785="","",IF(COUNTIF($C$2:$C785,$C785)=1,1,0))</f>
        <v/>
      </c>
      <c r="AK785">
        <f>IF($AJ785=1,SUMPRODUCT(--($AN$2:$AN$4001&lt;$AN785))+1,"")</f>
        <v/>
      </c>
      <c r="AL785">
        <f>IF($C785="","",IF(OR($Q785=TRUE(),$Q785="TRUE"),1,0))</f>
        <v/>
      </c>
      <c r="AM785">
        <f>IF($C785="","",IF($W785="Yes",1,0))</f>
        <v/>
      </c>
      <c r="AN785">
        <f>IF($AJ785=1,IFERROR(IF(VALUE($C785)&lt;100000000,VALUE($C785),1000000000),IFERROR(IF(VALUE(MID($C785,2,20))&lt;100000000,VALUE(MID($C785,2,20)),1000000000),1000000000))+ROW()/100000,"")</f>
        <v/>
      </c>
    </row>
    <row r="786">
      <c r="E786" s="11" t="n"/>
      <c r="M786" s="7">
        <f>IF($C786="","",L786*U786/100)</f>
        <v/>
      </c>
      <c r="N786" s="7" t="n"/>
      <c r="T786" s="7" t="n"/>
      <c r="U786" s="7">
        <f>IF($C786="","",S786*T786)</f>
        <v/>
      </c>
      <c r="X786">
        <f>IF($C786="","",IF($AM786=1,0,IF($AL786=1,Settings!$C$6,Settings!$C$7))*100)</f>
        <v/>
      </c>
      <c r="AB786" s="7" t="n"/>
      <c r="AE786" s="11" t="n"/>
      <c r="AG786" s="7">
        <f>IF($C786="","",U786*X786/100)</f>
        <v/>
      </c>
      <c r="AH786" s="7">
        <f>IF($C786="","",U786-AG786)</f>
        <v/>
      </c>
      <c r="AI786" s="7">
        <f>IF($C786="","",AH786-M786)</f>
        <v/>
      </c>
      <c r="AJ786">
        <f>IF($C786="","",IF(COUNTIF($C$2:$C786,$C786)=1,1,0))</f>
        <v/>
      </c>
      <c r="AK786">
        <f>IF($AJ786=1,SUMPRODUCT(--($AN$2:$AN$4001&lt;$AN786))+1,"")</f>
        <v/>
      </c>
      <c r="AL786">
        <f>IF($C786="","",IF(OR($Q786=TRUE(),$Q786="TRUE"),1,0))</f>
        <v/>
      </c>
      <c r="AM786">
        <f>IF($C786="","",IF($W786="Yes",1,0))</f>
        <v/>
      </c>
      <c r="AN786">
        <f>IF($AJ786=1,IFERROR(IF(VALUE($C786)&lt;100000000,VALUE($C786),1000000000),IFERROR(IF(VALUE(MID($C786,2,20))&lt;100000000,VALUE(MID($C786,2,20)),1000000000),1000000000))+ROW()/100000,"")</f>
        <v/>
      </c>
    </row>
    <row r="787">
      <c r="E787" s="11" t="n"/>
      <c r="M787" s="7">
        <f>IF($C787="","",L787*U787/100)</f>
        <v/>
      </c>
      <c r="N787" s="7" t="n"/>
      <c r="T787" s="7" t="n"/>
      <c r="U787" s="7">
        <f>IF($C787="","",S787*T787)</f>
        <v/>
      </c>
      <c r="X787">
        <f>IF($C787="","",IF($AM787=1,0,IF($AL787=1,Settings!$C$6,Settings!$C$7))*100)</f>
        <v/>
      </c>
      <c r="AB787" s="7" t="n"/>
      <c r="AE787" s="11" t="n"/>
      <c r="AG787" s="7">
        <f>IF($C787="","",U787*X787/100)</f>
        <v/>
      </c>
      <c r="AH787" s="7">
        <f>IF($C787="","",U787-AG787)</f>
        <v/>
      </c>
      <c r="AI787" s="7">
        <f>IF($C787="","",AH787-M787)</f>
        <v/>
      </c>
      <c r="AJ787">
        <f>IF($C787="","",IF(COUNTIF($C$2:$C787,$C787)=1,1,0))</f>
        <v/>
      </c>
      <c r="AK787">
        <f>IF($AJ787=1,SUMPRODUCT(--($AN$2:$AN$4001&lt;$AN787))+1,"")</f>
        <v/>
      </c>
      <c r="AL787">
        <f>IF($C787="","",IF(OR($Q787=TRUE(),$Q787="TRUE"),1,0))</f>
        <v/>
      </c>
      <c r="AM787">
        <f>IF($C787="","",IF($W787="Yes",1,0))</f>
        <v/>
      </c>
      <c r="AN787">
        <f>IF($AJ787=1,IFERROR(IF(VALUE($C787)&lt;100000000,VALUE($C787),1000000000),IFERROR(IF(VALUE(MID($C787,2,20))&lt;100000000,VALUE(MID($C787,2,20)),1000000000),1000000000))+ROW()/100000,"")</f>
        <v/>
      </c>
    </row>
    <row r="788">
      <c r="E788" s="11" t="n"/>
      <c r="M788" s="7">
        <f>IF($C788="","",L788*U788/100)</f>
        <v/>
      </c>
      <c r="N788" s="7" t="n"/>
      <c r="T788" s="7" t="n"/>
      <c r="U788" s="7">
        <f>IF($C788="","",S788*T788)</f>
        <v/>
      </c>
      <c r="X788">
        <f>IF($C788="","",IF($AM788=1,0,IF($AL788=1,Settings!$C$6,Settings!$C$7))*100)</f>
        <v/>
      </c>
      <c r="AB788" s="7" t="n"/>
      <c r="AE788" s="11" t="n"/>
      <c r="AG788" s="7">
        <f>IF($C788="","",U788*X788/100)</f>
        <v/>
      </c>
      <c r="AH788" s="7">
        <f>IF($C788="","",U788-AG788)</f>
        <v/>
      </c>
      <c r="AI788" s="7">
        <f>IF($C788="","",AH788-M788)</f>
        <v/>
      </c>
      <c r="AJ788">
        <f>IF($C788="","",IF(COUNTIF($C$2:$C788,$C788)=1,1,0))</f>
        <v/>
      </c>
      <c r="AK788">
        <f>IF($AJ788=1,SUMPRODUCT(--($AN$2:$AN$4001&lt;$AN788))+1,"")</f>
        <v/>
      </c>
      <c r="AL788">
        <f>IF($C788="","",IF(OR($Q788=TRUE(),$Q788="TRUE"),1,0))</f>
        <v/>
      </c>
      <c r="AM788">
        <f>IF($C788="","",IF($W788="Yes",1,0))</f>
        <v/>
      </c>
      <c r="AN788">
        <f>IF($AJ788=1,IFERROR(IF(VALUE($C788)&lt;100000000,VALUE($C788),1000000000),IFERROR(IF(VALUE(MID($C788,2,20))&lt;100000000,VALUE(MID($C788,2,20)),1000000000),1000000000))+ROW()/100000,"")</f>
        <v/>
      </c>
    </row>
    <row r="789">
      <c r="E789" s="11" t="n"/>
      <c r="M789" s="7">
        <f>IF($C789="","",L789*U789/100)</f>
        <v/>
      </c>
      <c r="N789" s="7" t="n"/>
      <c r="T789" s="7" t="n"/>
      <c r="U789" s="7">
        <f>IF($C789="","",S789*T789)</f>
        <v/>
      </c>
      <c r="X789">
        <f>IF($C789="","",IF($AM789=1,0,IF($AL789=1,Settings!$C$6,Settings!$C$7))*100)</f>
        <v/>
      </c>
      <c r="AB789" s="7" t="n"/>
      <c r="AE789" s="11" t="n"/>
      <c r="AG789" s="7">
        <f>IF($C789="","",U789*X789/100)</f>
        <v/>
      </c>
      <c r="AH789" s="7">
        <f>IF($C789="","",U789-AG789)</f>
        <v/>
      </c>
      <c r="AI789" s="7">
        <f>IF($C789="","",AH789-M789)</f>
        <v/>
      </c>
      <c r="AJ789">
        <f>IF($C789="","",IF(COUNTIF($C$2:$C789,$C789)=1,1,0))</f>
        <v/>
      </c>
      <c r="AK789">
        <f>IF($AJ789=1,SUMPRODUCT(--($AN$2:$AN$4001&lt;$AN789))+1,"")</f>
        <v/>
      </c>
      <c r="AL789">
        <f>IF($C789="","",IF(OR($Q789=TRUE(),$Q789="TRUE"),1,0))</f>
        <v/>
      </c>
      <c r="AM789">
        <f>IF($C789="","",IF($W789="Yes",1,0))</f>
        <v/>
      </c>
      <c r="AN789">
        <f>IF($AJ789=1,IFERROR(IF(VALUE($C789)&lt;100000000,VALUE($C789),1000000000),IFERROR(IF(VALUE(MID($C789,2,20))&lt;100000000,VALUE(MID($C789,2,20)),1000000000),1000000000))+ROW()/100000,"")</f>
        <v/>
      </c>
    </row>
    <row r="790">
      <c r="E790" s="11" t="n"/>
      <c r="M790" s="7">
        <f>IF($C790="","",L790*U790/100)</f>
        <v/>
      </c>
      <c r="N790" s="7" t="n"/>
      <c r="T790" s="7" t="n"/>
      <c r="U790" s="7">
        <f>IF($C790="","",S790*T790)</f>
        <v/>
      </c>
      <c r="X790">
        <f>IF($C790="","",IF($AM790=1,0,IF($AL790=1,Settings!$C$6,Settings!$C$7))*100)</f>
        <v/>
      </c>
      <c r="AB790" s="7" t="n"/>
      <c r="AE790" s="11" t="n"/>
      <c r="AG790" s="7">
        <f>IF($C790="","",U790*X790/100)</f>
        <v/>
      </c>
      <c r="AH790" s="7">
        <f>IF($C790="","",U790-AG790)</f>
        <v/>
      </c>
      <c r="AI790" s="7">
        <f>IF($C790="","",AH790-M790)</f>
        <v/>
      </c>
      <c r="AJ790">
        <f>IF($C790="","",IF(COUNTIF($C$2:$C790,$C790)=1,1,0))</f>
        <v/>
      </c>
      <c r="AK790">
        <f>IF($AJ790=1,SUMPRODUCT(--($AN$2:$AN$4001&lt;$AN790))+1,"")</f>
        <v/>
      </c>
      <c r="AL790">
        <f>IF($C790="","",IF(OR($Q790=TRUE(),$Q790="TRUE"),1,0))</f>
        <v/>
      </c>
      <c r="AM790">
        <f>IF($C790="","",IF($W790="Yes",1,0))</f>
        <v/>
      </c>
      <c r="AN790">
        <f>IF($AJ790=1,IFERROR(IF(VALUE($C790)&lt;100000000,VALUE($C790),1000000000),IFERROR(IF(VALUE(MID($C790,2,20))&lt;100000000,VALUE(MID($C790,2,20)),1000000000),1000000000))+ROW()/100000,"")</f>
        <v/>
      </c>
    </row>
    <row r="791">
      <c r="E791" s="11" t="n"/>
      <c r="M791" s="7">
        <f>IF($C791="","",L791*U791/100)</f>
        <v/>
      </c>
      <c r="N791" s="7" t="n"/>
      <c r="T791" s="7" t="n"/>
      <c r="U791" s="7">
        <f>IF($C791="","",S791*T791)</f>
        <v/>
      </c>
      <c r="X791">
        <f>IF($C791="","",IF($AM791=1,0,IF($AL791=1,Settings!$C$6,Settings!$C$7))*100)</f>
        <v/>
      </c>
      <c r="AB791" s="7" t="n"/>
      <c r="AE791" s="11" t="n"/>
      <c r="AG791" s="7">
        <f>IF($C791="","",U791*X791/100)</f>
        <v/>
      </c>
      <c r="AH791" s="7">
        <f>IF($C791="","",U791-AG791)</f>
        <v/>
      </c>
      <c r="AI791" s="7">
        <f>IF($C791="","",AH791-M791)</f>
        <v/>
      </c>
      <c r="AJ791">
        <f>IF($C791="","",IF(COUNTIF($C$2:$C791,$C791)=1,1,0))</f>
        <v/>
      </c>
      <c r="AK791">
        <f>IF($AJ791=1,SUMPRODUCT(--($AN$2:$AN$4001&lt;$AN791))+1,"")</f>
        <v/>
      </c>
      <c r="AL791">
        <f>IF($C791="","",IF(OR($Q791=TRUE(),$Q791="TRUE"),1,0))</f>
        <v/>
      </c>
      <c r="AM791">
        <f>IF($C791="","",IF($W791="Yes",1,0))</f>
        <v/>
      </c>
      <c r="AN791">
        <f>IF($AJ791=1,IFERROR(IF(VALUE($C791)&lt;100000000,VALUE($C791),1000000000),IFERROR(IF(VALUE(MID($C791,2,20))&lt;100000000,VALUE(MID($C791,2,20)),1000000000),1000000000))+ROW()/100000,"")</f>
        <v/>
      </c>
    </row>
    <row r="792">
      <c r="E792" s="11" t="n"/>
      <c r="M792" s="7">
        <f>IF($C792="","",L792*U792/100)</f>
        <v/>
      </c>
      <c r="N792" s="7" t="n"/>
      <c r="T792" s="7" t="n"/>
      <c r="U792" s="7">
        <f>IF($C792="","",S792*T792)</f>
        <v/>
      </c>
      <c r="X792">
        <f>IF($C792="","",IF($AM792=1,0,IF($AL792=1,Settings!$C$6,Settings!$C$7))*100)</f>
        <v/>
      </c>
      <c r="AB792" s="7" t="n"/>
      <c r="AE792" s="11" t="n"/>
      <c r="AG792" s="7">
        <f>IF($C792="","",U792*X792/100)</f>
        <v/>
      </c>
      <c r="AH792" s="7">
        <f>IF($C792="","",U792-AG792)</f>
        <v/>
      </c>
      <c r="AI792" s="7">
        <f>IF($C792="","",AH792-M792)</f>
        <v/>
      </c>
      <c r="AJ792">
        <f>IF($C792="","",IF(COUNTIF($C$2:$C792,$C792)=1,1,0))</f>
        <v/>
      </c>
      <c r="AK792">
        <f>IF($AJ792=1,SUMPRODUCT(--($AN$2:$AN$4001&lt;$AN792))+1,"")</f>
        <v/>
      </c>
      <c r="AL792">
        <f>IF($C792="","",IF(OR($Q792=TRUE(),$Q792="TRUE"),1,0))</f>
        <v/>
      </c>
      <c r="AM792">
        <f>IF($C792="","",IF($W792="Yes",1,0))</f>
        <v/>
      </c>
      <c r="AN792">
        <f>IF($AJ792=1,IFERROR(IF(VALUE($C792)&lt;100000000,VALUE($C792),1000000000),IFERROR(IF(VALUE(MID($C792,2,20))&lt;100000000,VALUE(MID($C792,2,20)),1000000000),1000000000))+ROW()/100000,"")</f>
        <v/>
      </c>
    </row>
    <row r="793">
      <c r="E793" s="11" t="n"/>
      <c r="M793" s="7">
        <f>IF($C793="","",L793*U793/100)</f>
        <v/>
      </c>
      <c r="N793" s="7" t="n"/>
      <c r="T793" s="7" t="n"/>
      <c r="U793" s="7">
        <f>IF($C793="","",S793*T793)</f>
        <v/>
      </c>
      <c r="X793">
        <f>IF($C793="","",IF($AM793=1,0,IF($AL793=1,Settings!$C$6,Settings!$C$7))*100)</f>
        <v/>
      </c>
      <c r="AB793" s="7" t="n"/>
      <c r="AE793" s="11" t="n"/>
      <c r="AG793" s="7">
        <f>IF($C793="","",U793*X793/100)</f>
        <v/>
      </c>
      <c r="AH793" s="7">
        <f>IF($C793="","",U793-AG793)</f>
        <v/>
      </c>
      <c r="AI793" s="7">
        <f>IF($C793="","",AH793-M793)</f>
        <v/>
      </c>
      <c r="AJ793">
        <f>IF($C793="","",IF(COUNTIF($C$2:$C793,$C793)=1,1,0))</f>
        <v/>
      </c>
      <c r="AK793">
        <f>IF($AJ793=1,SUMPRODUCT(--($AN$2:$AN$4001&lt;$AN793))+1,"")</f>
        <v/>
      </c>
      <c r="AL793">
        <f>IF($C793="","",IF(OR($Q793=TRUE(),$Q793="TRUE"),1,0))</f>
        <v/>
      </c>
      <c r="AM793">
        <f>IF($C793="","",IF($W793="Yes",1,0))</f>
        <v/>
      </c>
      <c r="AN793">
        <f>IF($AJ793=1,IFERROR(IF(VALUE($C793)&lt;100000000,VALUE($C793),1000000000),IFERROR(IF(VALUE(MID($C793,2,20))&lt;100000000,VALUE(MID($C793,2,20)),1000000000),1000000000))+ROW()/100000,"")</f>
        <v/>
      </c>
    </row>
    <row r="794">
      <c r="E794" s="11" t="n"/>
      <c r="M794" s="7">
        <f>IF($C794="","",L794*U794/100)</f>
        <v/>
      </c>
      <c r="N794" s="7" t="n"/>
      <c r="T794" s="7" t="n"/>
      <c r="U794" s="7">
        <f>IF($C794="","",S794*T794)</f>
        <v/>
      </c>
      <c r="X794">
        <f>IF($C794="","",IF($AM794=1,0,IF($AL794=1,Settings!$C$6,Settings!$C$7))*100)</f>
        <v/>
      </c>
      <c r="AB794" s="7" t="n"/>
      <c r="AE794" s="11" t="n"/>
      <c r="AG794" s="7">
        <f>IF($C794="","",U794*X794/100)</f>
        <v/>
      </c>
      <c r="AH794" s="7">
        <f>IF($C794="","",U794-AG794)</f>
        <v/>
      </c>
      <c r="AI794" s="7">
        <f>IF($C794="","",AH794-M794)</f>
        <v/>
      </c>
      <c r="AJ794">
        <f>IF($C794="","",IF(COUNTIF($C$2:$C794,$C794)=1,1,0))</f>
        <v/>
      </c>
      <c r="AK794">
        <f>IF($AJ794=1,SUMPRODUCT(--($AN$2:$AN$4001&lt;$AN794))+1,"")</f>
        <v/>
      </c>
      <c r="AL794">
        <f>IF($C794="","",IF(OR($Q794=TRUE(),$Q794="TRUE"),1,0))</f>
        <v/>
      </c>
      <c r="AM794">
        <f>IF($C794="","",IF($W794="Yes",1,0))</f>
        <v/>
      </c>
      <c r="AN794">
        <f>IF($AJ794=1,IFERROR(IF(VALUE($C794)&lt;100000000,VALUE($C794),1000000000),IFERROR(IF(VALUE(MID($C794,2,20))&lt;100000000,VALUE(MID($C794,2,20)),1000000000),1000000000))+ROW()/100000,"")</f>
        <v/>
      </c>
    </row>
    <row r="795">
      <c r="E795" s="11" t="n"/>
      <c r="M795" s="7">
        <f>IF($C795="","",L795*U795/100)</f>
        <v/>
      </c>
      <c r="N795" s="7" t="n"/>
      <c r="T795" s="7" t="n"/>
      <c r="U795" s="7">
        <f>IF($C795="","",S795*T795)</f>
        <v/>
      </c>
      <c r="X795">
        <f>IF($C795="","",IF($AM795=1,0,IF($AL795=1,Settings!$C$6,Settings!$C$7))*100)</f>
        <v/>
      </c>
      <c r="AB795" s="7" t="n"/>
      <c r="AE795" s="11" t="n"/>
      <c r="AG795" s="7">
        <f>IF($C795="","",U795*X795/100)</f>
        <v/>
      </c>
      <c r="AH795" s="7">
        <f>IF($C795="","",U795-AG795)</f>
        <v/>
      </c>
      <c r="AI795" s="7">
        <f>IF($C795="","",AH795-M795)</f>
        <v/>
      </c>
      <c r="AJ795">
        <f>IF($C795="","",IF(COUNTIF($C$2:$C795,$C795)=1,1,0))</f>
        <v/>
      </c>
      <c r="AK795">
        <f>IF($AJ795=1,SUMPRODUCT(--($AN$2:$AN$4001&lt;$AN795))+1,"")</f>
        <v/>
      </c>
      <c r="AL795">
        <f>IF($C795="","",IF(OR($Q795=TRUE(),$Q795="TRUE"),1,0))</f>
        <v/>
      </c>
      <c r="AM795">
        <f>IF($C795="","",IF($W795="Yes",1,0))</f>
        <v/>
      </c>
      <c r="AN795">
        <f>IF($AJ795=1,IFERROR(IF(VALUE($C795)&lt;100000000,VALUE($C795),1000000000),IFERROR(IF(VALUE(MID($C795,2,20))&lt;100000000,VALUE(MID($C795,2,20)),1000000000),1000000000))+ROW()/100000,"")</f>
        <v/>
      </c>
    </row>
    <row r="796">
      <c r="E796" s="11" t="n"/>
      <c r="M796" s="7">
        <f>IF($C796="","",L796*U796/100)</f>
        <v/>
      </c>
      <c r="N796" s="7" t="n"/>
      <c r="T796" s="7" t="n"/>
      <c r="U796" s="7">
        <f>IF($C796="","",S796*T796)</f>
        <v/>
      </c>
      <c r="X796">
        <f>IF($C796="","",IF($AM796=1,0,IF($AL796=1,Settings!$C$6,Settings!$C$7))*100)</f>
        <v/>
      </c>
      <c r="AB796" s="7" t="n"/>
      <c r="AE796" s="11" t="n"/>
      <c r="AG796" s="7">
        <f>IF($C796="","",U796*X796/100)</f>
        <v/>
      </c>
      <c r="AH796" s="7">
        <f>IF($C796="","",U796-AG796)</f>
        <v/>
      </c>
      <c r="AI796" s="7">
        <f>IF($C796="","",AH796-M796)</f>
        <v/>
      </c>
      <c r="AJ796">
        <f>IF($C796="","",IF(COUNTIF($C$2:$C796,$C796)=1,1,0))</f>
        <v/>
      </c>
      <c r="AK796">
        <f>IF($AJ796=1,SUMPRODUCT(--($AN$2:$AN$4001&lt;$AN796))+1,"")</f>
        <v/>
      </c>
      <c r="AL796">
        <f>IF($C796="","",IF(OR($Q796=TRUE(),$Q796="TRUE"),1,0))</f>
        <v/>
      </c>
      <c r="AM796">
        <f>IF($C796="","",IF($W796="Yes",1,0))</f>
        <v/>
      </c>
      <c r="AN796">
        <f>IF($AJ796=1,IFERROR(IF(VALUE($C796)&lt;100000000,VALUE($C796),1000000000),IFERROR(IF(VALUE(MID($C796,2,20))&lt;100000000,VALUE(MID($C796,2,20)),1000000000),1000000000))+ROW()/100000,"")</f>
        <v/>
      </c>
    </row>
    <row r="797">
      <c r="E797" s="11" t="n"/>
      <c r="M797" s="7">
        <f>IF($C797="","",L797*U797/100)</f>
        <v/>
      </c>
      <c r="N797" s="7" t="n"/>
      <c r="T797" s="7" t="n"/>
      <c r="U797" s="7">
        <f>IF($C797="","",S797*T797)</f>
        <v/>
      </c>
      <c r="X797">
        <f>IF($C797="","",IF($AM797=1,0,IF($AL797=1,Settings!$C$6,Settings!$C$7))*100)</f>
        <v/>
      </c>
      <c r="AB797" s="7" t="n"/>
      <c r="AE797" s="11" t="n"/>
      <c r="AG797" s="7">
        <f>IF($C797="","",U797*X797/100)</f>
        <v/>
      </c>
      <c r="AH797" s="7">
        <f>IF($C797="","",U797-AG797)</f>
        <v/>
      </c>
      <c r="AI797" s="7">
        <f>IF($C797="","",AH797-M797)</f>
        <v/>
      </c>
      <c r="AJ797">
        <f>IF($C797="","",IF(COUNTIF($C$2:$C797,$C797)=1,1,0))</f>
        <v/>
      </c>
      <c r="AK797">
        <f>IF($AJ797=1,SUMPRODUCT(--($AN$2:$AN$4001&lt;$AN797))+1,"")</f>
        <v/>
      </c>
      <c r="AL797">
        <f>IF($C797="","",IF(OR($Q797=TRUE(),$Q797="TRUE"),1,0))</f>
        <v/>
      </c>
      <c r="AM797">
        <f>IF($C797="","",IF($W797="Yes",1,0))</f>
        <v/>
      </c>
      <c r="AN797">
        <f>IF($AJ797=1,IFERROR(IF(VALUE($C797)&lt;100000000,VALUE($C797),1000000000),IFERROR(IF(VALUE(MID($C797,2,20))&lt;100000000,VALUE(MID($C797,2,20)),1000000000),1000000000))+ROW()/100000,"")</f>
        <v/>
      </c>
    </row>
    <row r="798">
      <c r="E798" s="11" t="n"/>
      <c r="M798" s="7">
        <f>IF($C798="","",L798*U798/100)</f>
        <v/>
      </c>
      <c r="N798" s="7" t="n"/>
      <c r="T798" s="7" t="n"/>
      <c r="U798" s="7">
        <f>IF($C798="","",S798*T798)</f>
        <v/>
      </c>
      <c r="X798">
        <f>IF($C798="","",IF($AM798=1,0,IF($AL798=1,Settings!$C$6,Settings!$C$7))*100)</f>
        <v/>
      </c>
      <c r="AB798" s="7" t="n"/>
      <c r="AE798" s="11" t="n"/>
      <c r="AG798" s="7">
        <f>IF($C798="","",U798*X798/100)</f>
        <v/>
      </c>
      <c r="AH798" s="7">
        <f>IF($C798="","",U798-AG798)</f>
        <v/>
      </c>
      <c r="AI798" s="7">
        <f>IF($C798="","",AH798-M798)</f>
        <v/>
      </c>
      <c r="AJ798">
        <f>IF($C798="","",IF(COUNTIF($C$2:$C798,$C798)=1,1,0))</f>
        <v/>
      </c>
      <c r="AK798">
        <f>IF($AJ798=1,SUMPRODUCT(--($AN$2:$AN$4001&lt;$AN798))+1,"")</f>
        <v/>
      </c>
      <c r="AL798">
        <f>IF($C798="","",IF(OR($Q798=TRUE(),$Q798="TRUE"),1,0))</f>
        <v/>
      </c>
      <c r="AM798">
        <f>IF($C798="","",IF($W798="Yes",1,0))</f>
        <v/>
      </c>
      <c r="AN798">
        <f>IF($AJ798=1,IFERROR(IF(VALUE($C798)&lt;100000000,VALUE($C798),1000000000),IFERROR(IF(VALUE(MID($C798,2,20))&lt;100000000,VALUE(MID($C798,2,20)),1000000000),1000000000))+ROW()/100000,"")</f>
        <v/>
      </c>
    </row>
    <row r="799">
      <c r="E799" s="11" t="n"/>
      <c r="M799" s="7">
        <f>IF($C799="","",L799*U799/100)</f>
        <v/>
      </c>
      <c r="N799" s="7" t="n"/>
      <c r="T799" s="7" t="n"/>
      <c r="U799" s="7">
        <f>IF($C799="","",S799*T799)</f>
        <v/>
      </c>
      <c r="X799">
        <f>IF($C799="","",IF($AM799=1,0,IF($AL799=1,Settings!$C$6,Settings!$C$7))*100)</f>
        <v/>
      </c>
      <c r="AB799" s="7" t="n"/>
      <c r="AE799" s="11" t="n"/>
      <c r="AG799" s="7">
        <f>IF($C799="","",U799*X799/100)</f>
        <v/>
      </c>
      <c r="AH799" s="7">
        <f>IF($C799="","",U799-AG799)</f>
        <v/>
      </c>
      <c r="AI799" s="7">
        <f>IF($C799="","",AH799-M799)</f>
        <v/>
      </c>
      <c r="AJ799">
        <f>IF($C799="","",IF(COUNTIF($C$2:$C799,$C799)=1,1,0))</f>
        <v/>
      </c>
      <c r="AK799">
        <f>IF($AJ799=1,SUMPRODUCT(--($AN$2:$AN$4001&lt;$AN799))+1,"")</f>
        <v/>
      </c>
      <c r="AL799">
        <f>IF($C799="","",IF(OR($Q799=TRUE(),$Q799="TRUE"),1,0))</f>
        <v/>
      </c>
      <c r="AM799">
        <f>IF($C799="","",IF($W799="Yes",1,0))</f>
        <v/>
      </c>
      <c r="AN799">
        <f>IF($AJ799=1,IFERROR(IF(VALUE($C799)&lt;100000000,VALUE($C799),1000000000),IFERROR(IF(VALUE(MID($C799,2,20))&lt;100000000,VALUE(MID($C799,2,20)),1000000000),1000000000))+ROW()/100000,"")</f>
        <v/>
      </c>
    </row>
    <row r="800">
      <c r="E800" s="11" t="n"/>
      <c r="M800" s="7">
        <f>IF($C800="","",L800*U800/100)</f>
        <v/>
      </c>
      <c r="N800" s="7" t="n"/>
      <c r="T800" s="7" t="n"/>
      <c r="U800" s="7">
        <f>IF($C800="","",S800*T800)</f>
        <v/>
      </c>
      <c r="X800">
        <f>IF($C800="","",IF($AM800=1,0,IF($AL800=1,Settings!$C$6,Settings!$C$7))*100)</f>
        <v/>
      </c>
      <c r="AB800" s="7" t="n"/>
      <c r="AE800" s="11" t="n"/>
      <c r="AG800" s="7">
        <f>IF($C800="","",U800*X800/100)</f>
        <v/>
      </c>
      <c r="AH800" s="7">
        <f>IF($C800="","",U800-AG800)</f>
        <v/>
      </c>
      <c r="AI800" s="7">
        <f>IF($C800="","",AH800-M800)</f>
        <v/>
      </c>
      <c r="AJ800">
        <f>IF($C800="","",IF(COUNTIF($C$2:$C800,$C800)=1,1,0))</f>
        <v/>
      </c>
      <c r="AK800">
        <f>IF($AJ800=1,SUMPRODUCT(--($AN$2:$AN$4001&lt;$AN800))+1,"")</f>
        <v/>
      </c>
      <c r="AL800">
        <f>IF($C800="","",IF(OR($Q800=TRUE(),$Q800="TRUE"),1,0))</f>
        <v/>
      </c>
      <c r="AM800">
        <f>IF($C800="","",IF($W800="Yes",1,0))</f>
        <v/>
      </c>
      <c r="AN800">
        <f>IF($AJ800=1,IFERROR(IF(VALUE($C800)&lt;100000000,VALUE($C800),1000000000),IFERROR(IF(VALUE(MID($C800,2,20))&lt;100000000,VALUE(MID($C800,2,20)),1000000000),1000000000))+ROW()/100000,"")</f>
        <v/>
      </c>
    </row>
    <row r="801">
      <c r="E801" s="11" t="n"/>
      <c r="M801" s="7">
        <f>IF($C801="","",L801*U801/100)</f>
        <v/>
      </c>
      <c r="N801" s="7" t="n"/>
      <c r="T801" s="7" t="n"/>
      <c r="U801" s="7">
        <f>IF($C801="","",S801*T801)</f>
        <v/>
      </c>
      <c r="X801">
        <f>IF($C801="","",IF($AM801=1,0,IF($AL801=1,Settings!$C$6,Settings!$C$7))*100)</f>
        <v/>
      </c>
      <c r="AB801" s="7" t="n"/>
      <c r="AE801" s="11" t="n"/>
      <c r="AG801" s="7">
        <f>IF($C801="","",U801*X801/100)</f>
        <v/>
      </c>
      <c r="AH801" s="7">
        <f>IF($C801="","",U801-AG801)</f>
        <v/>
      </c>
      <c r="AI801" s="7">
        <f>IF($C801="","",AH801-M801)</f>
        <v/>
      </c>
      <c r="AJ801">
        <f>IF($C801="","",IF(COUNTIF($C$2:$C801,$C801)=1,1,0))</f>
        <v/>
      </c>
      <c r="AK801">
        <f>IF($AJ801=1,SUMPRODUCT(--($AN$2:$AN$4001&lt;$AN801))+1,"")</f>
        <v/>
      </c>
      <c r="AL801">
        <f>IF($C801="","",IF(OR($Q801=TRUE(),$Q801="TRUE"),1,0))</f>
        <v/>
      </c>
      <c r="AM801">
        <f>IF($C801="","",IF($W801="Yes",1,0))</f>
        <v/>
      </c>
      <c r="AN801">
        <f>IF($AJ801=1,IFERROR(IF(VALUE($C801)&lt;100000000,VALUE($C801),1000000000),IFERROR(IF(VALUE(MID($C801,2,20))&lt;100000000,VALUE(MID($C801,2,20)),1000000000),1000000000))+ROW()/100000,"")</f>
        <v/>
      </c>
    </row>
    <row r="802">
      <c r="E802" s="11" t="n"/>
      <c r="M802" s="7">
        <f>IF($C802="","",L802*U802/100)</f>
        <v/>
      </c>
      <c r="N802" s="7" t="n"/>
      <c r="T802" s="7" t="n"/>
      <c r="U802" s="7">
        <f>IF($C802="","",S802*T802)</f>
        <v/>
      </c>
      <c r="X802">
        <f>IF($C802="","",IF($AM802=1,0,IF($AL802=1,Settings!$C$6,Settings!$C$7))*100)</f>
        <v/>
      </c>
      <c r="AB802" s="7" t="n"/>
      <c r="AE802" s="11" t="n"/>
      <c r="AG802" s="7">
        <f>IF($C802="","",U802*X802/100)</f>
        <v/>
      </c>
      <c r="AH802" s="7">
        <f>IF($C802="","",U802-AG802)</f>
        <v/>
      </c>
      <c r="AI802" s="7">
        <f>IF($C802="","",AH802-M802)</f>
        <v/>
      </c>
      <c r="AJ802">
        <f>IF($C802="","",IF(COUNTIF($C$2:$C802,$C802)=1,1,0))</f>
        <v/>
      </c>
      <c r="AK802">
        <f>IF($AJ802=1,SUMPRODUCT(--($AN$2:$AN$4001&lt;$AN802))+1,"")</f>
        <v/>
      </c>
      <c r="AL802">
        <f>IF($C802="","",IF(OR($Q802=TRUE(),$Q802="TRUE"),1,0))</f>
        <v/>
      </c>
      <c r="AM802">
        <f>IF($C802="","",IF($W802="Yes",1,0))</f>
        <v/>
      </c>
      <c r="AN802">
        <f>IF($AJ802=1,IFERROR(IF(VALUE($C802)&lt;100000000,VALUE($C802),1000000000),IFERROR(IF(VALUE(MID($C802,2,20))&lt;100000000,VALUE(MID($C802,2,20)),1000000000),1000000000))+ROW()/100000,"")</f>
        <v/>
      </c>
    </row>
    <row r="803">
      <c r="E803" s="11" t="n"/>
      <c r="M803" s="7">
        <f>IF($C803="","",L803*U803/100)</f>
        <v/>
      </c>
      <c r="N803" s="7" t="n"/>
      <c r="T803" s="7" t="n"/>
      <c r="U803" s="7">
        <f>IF($C803="","",S803*T803)</f>
        <v/>
      </c>
      <c r="X803">
        <f>IF($C803="","",IF($AM803=1,0,IF($AL803=1,Settings!$C$6,Settings!$C$7))*100)</f>
        <v/>
      </c>
      <c r="AB803" s="7" t="n"/>
      <c r="AE803" s="11" t="n"/>
      <c r="AG803" s="7">
        <f>IF($C803="","",U803*X803/100)</f>
        <v/>
      </c>
      <c r="AH803" s="7">
        <f>IF($C803="","",U803-AG803)</f>
        <v/>
      </c>
      <c r="AI803" s="7">
        <f>IF($C803="","",AH803-M803)</f>
        <v/>
      </c>
      <c r="AJ803">
        <f>IF($C803="","",IF(COUNTIF($C$2:$C803,$C803)=1,1,0))</f>
        <v/>
      </c>
      <c r="AK803">
        <f>IF($AJ803=1,SUMPRODUCT(--($AN$2:$AN$4001&lt;$AN803))+1,"")</f>
        <v/>
      </c>
      <c r="AL803">
        <f>IF($C803="","",IF(OR($Q803=TRUE(),$Q803="TRUE"),1,0))</f>
        <v/>
      </c>
      <c r="AM803">
        <f>IF($C803="","",IF($W803="Yes",1,0))</f>
        <v/>
      </c>
      <c r="AN803">
        <f>IF($AJ803=1,IFERROR(IF(VALUE($C803)&lt;100000000,VALUE($C803),1000000000),IFERROR(IF(VALUE(MID($C803,2,20))&lt;100000000,VALUE(MID($C803,2,20)),1000000000),1000000000))+ROW()/100000,"")</f>
        <v/>
      </c>
    </row>
    <row r="804">
      <c r="E804" s="11" t="n"/>
      <c r="M804" s="7">
        <f>IF($C804="","",L804*U804/100)</f>
        <v/>
      </c>
      <c r="N804" s="7" t="n"/>
      <c r="T804" s="7" t="n"/>
      <c r="U804" s="7">
        <f>IF($C804="","",S804*T804)</f>
        <v/>
      </c>
      <c r="X804">
        <f>IF($C804="","",IF($AM804=1,0,IF($AL804=1,Settings!$C$6,Settings!$C$7))*100)</f>
        <v/>
      </c>
      <c r="AB804" s="7" t="n"/>
      <c r="AE804" s="11" t="n"/>
      <c r="AG804" s="7">
        <f>IF($C804="","",U804*X804/100)</f>
        <v/>
      </c>
      <c r="AH804" s="7">
        <f>IF($C804="","",U804-AG804)</f>
        <v/>
      </c>
      <c r="AI804" s="7">
        <f>IF($C804="","",AH804-M804)</f>
        <v/>
      </c>
      <c r="AJ804">
        <f>IF($C804="","",IF(COUNTIF($C$2:$C804,$C804)=1,1,0))</f>
        <v/>
      </c>
      <c r="AK804">
        <f>IF($AJ804=1,SUMPRODUCT(--($AN$2:$AN$4001&lt;$AN804))+1,"")</f>
        <v/>
      </c>
      <c r="AL804">
        <f>IF($C804="","",IF(OR($Q804=TRUE(),$Q804="TRUE"),1,0))</f>
        <v/>
      </c>
      <c r="AM804">
        <f>IF($C804="","",IF($W804="Yes",1,0))</f>
        <v/>
      </c>
      <c r="AN804">
        <f>IF($AJ804=1,IFERROR(IF(VALUE($C804)&lt;100000000,VALUE($C804),1000000000),IFERROR(IF(VALUE(MID($C804,2,20))&lt;100000000,VALUE(MID($C804,2,20)),1000000000),1000000000))+ROW()/100000,"")</f>
        <v/>
      </c>
    </row>
    <row r="805">
      <c r="E805" s="11" t="n"/>
      <c r="M805" s="7">
        <f>IF($C805="","",L805*U805/100)</f>
        <v/>
      </c>
      <c r="N805" s="7" t="n"/>
      <c r="T805" s="7" t="n"/>
      <c r="U805" s="7">
        <f>IF($C805="","",S805*T805)</f>
        <v/>
      </c>
      <c r="X805">
        <f>IF($C805="","",IF($AM805=1,0,IF($AL805=1,Settings!$C$6,Settings!$C$7))*100)</f>
        <v/>
      </c>
      <c r="AB805" s="7" t="n"/>
      <c r="AE805" s="11" t="n"/>
      <c r="AG805" s="7">
        <f>IF($C805="","",U805*X805/100)</f>
        <v/>
      </c>
      <c r="AH805" s="7">
        <f>IF($C805="","",U805-AG805)</f>
        <v/>
      </c>
      <c r="AI805" s="7">
        <f>IF($C805="","",AH805-M805)</f>
        <v/>
      </c>
      <c r="AJ805">
        <f>IF($C805="","",IF(COUNTIF($C$2:$C805,$C805)=1,1,0))</f>
        <v/>
      </c>
      <c r="AK805">
        <f>IF($AJ805=1,SUMPRODUCT(--($AN$2:$AN$4001&lt;$AN805))+1,"")</f>
        <v/>
      </c>
      <c r="AL805">
        <f>IF($C805="","",IF(OR($Q805=TRUE(),$Q805="TRUE"),1,0))</f>
        <v/>
      </c>
      <c r="AM805">
        <f>IF($C805="","",IF($W805="Yes",1,0))</f>
        <v/>
      </c>
      <c r="AN805">
        <f>IF($AJ805=1,IFERROR(IF(VALUE($C805)&lt;100000000,VALUE($C805),1000000000),IFERROR(IF(VALUE(MID($C805,2,20))&lt;100000000,VALUE(MID($C805,2,20)),1000000000),1000000000))+ROW()/100000,"")</f>
        <v/>
      </c>
    </row>
    <row r="806">
      <c r="E806" s="11" t="n"/>
      <c r="M806" s="7">
        <f>IF($C806="","",L806*U806/100)</f>
        <v/>
      </c>
      <c r="N806" s="7" t="n"/>
      <c r="T806" s="7" t="n"/>
      <c r="U806" s="7">
        <f>IF($C806="","",S806*T806)</f>
        <v/>
      </c>
      <c r="X806">
        <f>IF($C806="","",IF($AM806=1,0,IF($AL806=1,Settings!$C$6,Settings!$C$7))*100)</f>
        <v/>
      </c>
      <c r="AB806" s="7" t="n"/>
      <c r="AE806" s="11" t="n"/>
      <c r="AG806" s="7">
        <f>IF($C806="","",U806*X806/100)</f>
        <v/>
      </c>
      <c r="AH806" s="7">
        <f>IF($C806="","",U806-AG806)</f>
        <v/>
      </c>
      <c r="AI806" s="7">
        <f>IF($C806="","",AH806-M806)</f>
        <v/>
      </c>
      <c r="AJ806">
        <f>IF($C806="","",IF(COUNTIF($C$2:$C806,$C806)=1,1,0))</f>
        <v/>
      </c>
      <c r="AK806">
        <f>IF($AJ806=1,SUMPRODUCT(--($AN$2:$AN$4001&lt;$AN806))+1,"")</f>
        <v/>
      </c>
      <c r="AL806">
        <f>IF($C806="","",IF(OR($Q806=TRUE(),$Q806="TRUE"),1,0))</f>
        <v/>
      </c>
      <c r="AM806">
        <f>IF($C806="","",IF($W806="Yes",1,0))</f>
        <v/>
      </c>
      <c r="AN806">
        <f>IF($AJ806=1,IFERROR(IF(VALUE($C806)&lt;100000000,VALUE($C806),1000000000),IFERROR(IF(VALUE(MID($C806,2,20))&lt;100000000,VALUE(MID($C806,2,20)),1000000000),1000000000))+ROW()/100000,"")</f>
        <v/>
      </c>
    </row>
    <row r="807">
      <c r="E807" s="11" t="n"/>
      <c r="M807" s="7">
        <f>IF($C807="","",L807*U807/100)</f>
        <v/>
      </c>
      <c r="N807" s="7" t="n"/>
      <c r="T807" s="7" t="n"/>
      <c r="U807" s="7">
        <f>IF($C807="","",S807*T807)</f>
        <v/>
      </c>
      <c r="X807">
        <f>IF($C807="","",IF($AM807=1,0,IF($AL807=1,Settings!$C$6,Settings!$C$7))*100)</f>
        <v/>
      </c>
      <c r="AB807" s="7" t="n"/>
      <c r="AE807" s="11" t="n"/>
      <c r="AG807" s="7">
        <f>IF($C807="","",U807*X807/100)</f>
        <v/>
      </c>
      <c r="AH807" s="7">
        <f>IF($C807="","",U807-AG807)</f>
        <v/>
      </c>
      <c r="AI807" s="7">
        <f>IF($C807="","",AH807-M807)</f>
        <v/>
      </c>
      <c r="AJ807">
        <f>IF($C807="","",IF(COUNTIF($C$2:$C807,$C807)=1,1,0))</f>
        <v/>
      </c>
      <c r="AK807">
        <f>IF($AJ807=1,SUMPRODUCT(--($AN$2:$AN$4001&lt;$AN807))+1,"")</f>
        <v/>
      </c>
      <c r="AL807">
        <f>IF($C807="","",IF(OR($Q807=TRUE(),$Q807="TRUE"),1,0))</f>
        <v/>
      </c>
      <c r="AM807">
        <f>IF($C807="","",IF($W807="Yes",1,0))</f>
        <v/>
      </c>
      <c r="AN807">
        <f>IF($AJ807=1,IFERROR(IF(VALUE($C807)&lt;100000000,VALUE($C807),1000000000),IFERROR(IF(VALUE(MID($C807,2,20))&lt;100000000,VALUE(MID($C807,2,20)),1000000000),1000000000))+ROW()/100000,"")</f>
        <v/>
      </c>
    </row>
    <row r="808">
      <c r="E808" s="11" t="n"/>
      <c r="M808" s="7">
        <f>IF($C808="","",L808*U808/100)</f>
        <v/>
      </c>
      <c r="N808" s="7" t="n"/>
      <c r="T808" s="7" t="n"/>
      <c r="U808" s="7">
        <f>IF($C808="","",S808*T808)</f>
        <v/>
      </c>
      <c r="X808">
        <f>IF($C808="","",IF($AM808=1,0,IF($AL808=1,Settings!$C$6,Settings!$C$7))*100)</f>
        <v/>
      </c>
      <c r="AB808" s="7" t="n"/>
      <c r="AE808" s="11" t="n"/>
      <c r="AG808" s="7">
        <f>IF($C808="","",U808*X808/100)</f>
        <v/>
      </c>
      <c r="AH808" s="7">
        <f>IF($C808="","",U808-AG808)</f>
        <v/>
      </c>
      <c r="AI808" s="7">
        <f>IF($C808="","",AH808-M808)</f>
        <v/>
      </c>
      <c r="AJ808">
        <f>IF($C808="","",IF(COUNTIF($C$2:$C808,$C808)=1,1,0))</f>
        <v/>
      </c>
      <c r="AK808">
        <f>IF($AJ808=1,SUMPRODUCT(--($AN$2:$AN$4001&lt;$AN808))+1,"")</f>
        <v/>
      </c>
      <c r="AL808">
        <f>IF($C808="","",IF(OR($Q808=TRUE(),$Q808="TRUE"),1,0))</f>
        <v/>
      </c>
      <c r="AM808">
        <f>IF($C808="","",IF($W808="Yes",1,0))</f>
        <v/>
      </c>
      <c r="AN808">
        <f>IF($AJ808=1,IFERROR(IF(VALUE($C808)&lt;100000000,VALUE($C808),1000000000),IFERROR(IF(VALUE(MID($C808,2,20))&lt;100000000,VALUE(MID($C808,2,20)),1000000000),1000000000))+ROW()/100000,"")</f>
        <v/>
      </c>
    </row>
    <row r="809">
      <c r="E809" s="11" t="n"/>
      <c r="M809" s="7">
        <f>IF($C809="","",L809*U809/100)</f>
        <v/>
      </c>
      <c r="N809" s="7" t="n"/>
      <c r="T809" s="7" t="n"/>
      <c r="U809" s="7">
        <f>IF($C809="","",S809*T809)</f>
        <v/>
      </c>
      <c r="X809">
        <f>IF($C809="","",IF($AM809=1,0,IF($AL809=1,Settings!$C$6,Settings!$C$7))*100)</f>
        <v/>
      </c>
      <c r="AB809" s="7" t="n"/>
      <c r="AE809" s="11" t="n"/>
      <c r="AG809" s="7">
        <f>IF($C809="","",U809*X809/100)</f>
        <v/>
      </c>
      <c r="AH809" s="7">
        <f>IF($C809="","",U809-AG809)</f>
        <v/>
      </c>
      <c r="AI809" s="7">
        <f>IF($C809="","",AH809-M809)</f>
        <v/>
      </c>
      <c r="AJ809">
        <f>IF($C809="","",IF(COUNTIF($C$2:$C809,$C809)=1,1,0))</f>
        <v/>
      </c>
      <c r="AK809">
        <f>IF($AJ809=1,SUMPRODUCT(--($AN$2:$AN$4001&lt;$AN809))+1,"")</f>
        <v/>
      </c>
      <c r="AL809">
        <f>IF($C809="","",IF(OR($Q809=TRUE(),$Q809="TRUE"),1,0))</f>
        <v/>
      </c>
      <c r="AM809">
        <f>IF($C809="","",IF($W809="Yes",1,0))</f>
        <v/>
      </c>
      <c r="AN809">
        <f>IF($AJ809=1,IFERROR(IF(VALUE($C809)&lt;100000000,VALUE($C809),1000000000),IFERROR(IF(VALUE(MID($C809,2,20))&lt;100000000,VALUE(MID($C809,2,20)),1000000000),1000000000))+ROW()/100000,"")</f>
        <v/>
      </c>
    </row>
    <row r="810">
      <c r="E810" s="11" t="n"/>
      <c r="M810" s="7">
        <f>IF($C810="","",L810*U810/100)</f>
        <v/>
      </c>
      <c r="N810" s="7" t="n"/>
      <c r="T810" s="7" t="n"/>
      <c r="U810" s="7">
        <f>IF($C810="","",S810*T810)</f>
        <v/>
      </c>
      <c r="X810">
        <f>IF($C810="","",IF($AM810=1,0,IF($AL810=1,Settings!$C$6,Settings!$C$7))*100)</f>
        <v/>
      </c>
      <c r="AB810" s="7" t="n"/>
      <c r="AE810" s="11" t="n"/>
      <c r="AG810" s="7">
        <f>IF($C810="","",U810*X810/100)</f>
        <v/>
      </c>
      <c r="AH810" s="7">
        <f>IF($C810="","",U810-AG810)</f>
        <v/>
      </c>
      <c r="AI810" s="7">
        <f>IF($C810="","",AH810-M810)</f>
        <v/>
      </c>
      <c r="AJ810">
        <f>IF($C810="","",IF(COUNTIF($C$2:$C810,$C810)=1,1,0))</f>
        <v/>
      </c>
      <c r="AK810">
        <f>IF($AJ810=1,SUMPRODUCT(--($AN$2:$AN$4001&lt;$AN810))+1,"")</f>
        <v/>
      </c>
      <c r="AL810">
        <f>IF($C810="","",IF(OR($Q810=TRUE(),$Q810="TRUE"),1,0))</f>
        <v/>
      </c>
      <c r="AM810">
        <f>IF($C810="","",IF($W810="Yes",1,0))</f>
        <v/>
      </c>
      <c r="AN810">
        <f>IF($AJ810=1,IFERROR(IF(VALUE($C810)&lt;100000000,VALUE($C810),1000000000),IFERROR(IF(VALUE(MID($C810,2,20))&lt;100000000,VALUE(MID($C810,2,20)),1000000000),1000000000))+ROW()/100000,"")</f>
        <v/>
      </c>
    </row>
    <row r="811">
      <c r="E811" s="11" t="n"/>
      <c r="M811" s="7">
        <f>IF($C811="","",L811*U811/100)</f>
        <v/>
      </c>
      <c r="N811" s="7" t="n"/>
      <c r="T811" s="7" t="n"/>
      <c r="U811" s="7">
        <f>IF($C811="","",S811*T811)</f>
        <v/>
      </c>
      <c r="X811">
        <f>IF($C811="","",IF($AM811=1,0,IF($AL811=1,Settings!$C$6,Settings!$C$7))*100)</f>
        <v/>
      </c>
      <c r="AB811" s="7" t="n"/>
      <c r="AE811" s="11" t="n"/>
      <c r="AG811" s="7">
        <f>IF($C811="","",U811*X811/100)</f>
        <v/>
      </c>
      <c r="AH811" s="7">
        <f>IF($C811="","",U811-AG811)</f>
        <v/>
      </c>
      <c r="AI811" s="7">
        <f>IF($C811="","",AH811-M811)</f>
        <v/>
      </c>
      <c r="AJ811">
        <f>IF($C811="","",IF(COUNTIF($C$2:$C811,$C811)=1,1,0))</f>
        <v/>
      </c>
      <c r="AK811">
        <f>IF($AJ811=1,SUMPRODUCT(--($AN$2:$AN$4001&lt;$AN811))+1,"")</f>
        <v/>
      </c>
      <c r="AL811">
        <f>IF($C811="","",IF(OR($Q811=TRUE(),$Q811="TRUE"),1,0))</f>
        <v/>
      </c>
      <c r="AM811">
        <f>IF($C811="","",IF($W811="Yes",1,0))</f>
        <v/>
      </c>
      <c r="AN811">
        <f>IF($AJ811=1,IFERROR(IF(VALUE($C811)&lt;100000000,VALUE($C811),1000000000),IFERROR(IF(VALUE(MID($C811,2,20))&lt;100000000,VALUE(MID($C811,2,20)),1000000000),1000000000))+ROW()/100000,"")</f>
        <v/>
      </c>
    </row>
    <row r="812">
      <c r="E812" s="11" t="n"/>
      <c r="M812" s="7">
        <f>IF($C812="","",L812*U812/100)</f>
        <v/>
      </c>
      <c r="N812" s="7" t="n"/>
      <c r="T812" s="7" t="n"/>
      <c r="U812" s="7">
        <f>IF($C812="","",S812*T812)</f>
        <v/>
      </c>
      <c r="X812">
        <f>IF($C812="","",IF($AM812=1,0,IF($AL812=1,Settings!$C$6,Settings!$C$7))*100)</f>
        <v/>
      </c>
      <c r="AB812" s="7" t="n"/>
      <c r="AE812" s="11" t="n"/>
      <c r="AG812" s="7">
        <f>IF($C812="","",U812*X812/100)</f>
        <v/>
      </c>
      <c r="AH812" s="7">
        <f>IF($C812="","",U812-AG812)</f>
        <v/>
      </c>
      <c r="AI812" s="7">
        <f>IF($C812="","",AH812-M812)</f>
        <v/>
      </c>
      <c r="AJ812">
        <f>IF($C812="","",IF(COUNTIF($C$2:$C812,$C812)=1,1,0))</f>
        <v/>
      </c>
      <c r="AK812">
        <f>IF($AJ812=1,SUMPRODUCT(--($AN$2:$AN$4001&lt;$AN812))+1,"")</f>
        <v/>
      </c>
      <c r="AL812">
        <f>IF($C812="","",IF(OR($Q812=TRUE(),$Q812="TRUE"),1,0))</f>
        <v/>
      </c>
      <c r="AM812">
        <f>IF($C812="","",IF($W812="Yes",1,0))</f>
        <v/>
      </c>
      <c r="AN812">
        <f>IF($AJ812=1,IFERROR(IF(VALUE($C812)&lt;100000000,VALUE($C812),1000000000),IFERROR(IF(VALUE(MID($C812,2,20))&lt;100000000,VALUE(MID($C812,2,20)),1000000000),1000000000))+ROW()/100000,"")</f>
        <v/>
      </c>
    </row>
    <row r="813">
      <c r="E813" s="11" t="n"/>
      <c r="M813" s="7">
        <f>IF($C813="","",L813*U813/100)</f>
        <v/>
      </c>
      <c r="N813" s="7" t="n"/>
      <c r="T813" s="7" t="n"/>
      <c r="U813" s="7">
        <f>IF($C813="","",S813*T813)</f>
        <v/>
      </c>
      <c r="X813">
        <f>IF($C813="","",IF($AM813=1,0,IF($AL813=1,Settings!$C$6,Settings!$C$7))*100)</f>
        <v/>
      </c>
      <c r="AB813" s="7" t="n"/>
      <c r="AE813" s="11" t="n"/>
      <c r="AG813" s="7">
        <f>IF($C813="","",U813*X813/100)</f>
        <v/>
      </c>
      <c r="AH813" s="7">
        <f>IF($C813="","",U813-AG813)</f>
        <v/>
      </c>
      <c r="AI813" s="7">
        <f>IF($C813="","",AH813-M813)</f>
        <v/>
      </c>
      <c r="AJ813">
        <f>IF($C813="","",IF(COUNTIF($C$2:$C813,$C813)=1,1,0))</f>
        <v/>
      </c>
      <c r="AK813">
        <f>IF($AJ813=1,SUMPRODUCT(--($AN$2:$AN$4001&lt;$AN813))+1,"")</f>
        <v/>
      </c>
      <c r="AL813">
        <f>IF($C813="","",IF(OR($Q813=TRUE(),$Q813="TRUE"),1,0))</f>
        <v/>
      </c>
      <c r="AM813">
        <f>IF($C813="","",IF($W813="Yes",1,0))</f>
        <v/>
      </c>
      <c r="AN813">
        <f>IF($AJ813=1,IFERROR(IF(VALUE($C813)&lt;100000000,VALUE($C813),1000000000),IFERROR(IF(VALUE(MID($C813,2,20))&lt;100000000,VALUE(MID($C813,2,20)),1000000000),1000000000))+ROW()/100000,"")</f>
        <v/>
      </c>
    </row>
    <row r="814">
      <c r="E814" s="11" t="n"/>
      <c r="M814" s="7">
        <f>IF($C814="","",L814*U814/100)</f>
        <v/>
      </c>
      <c r="N814" s="7" t="n"/>
      <c r="T814" s="7" t="n"/>
      <c r="U814" s="7">
        <f>IF($C814="","",S814*T814)</f>
        <v/>
      </c>
      <c r="X814">
        <f>IF($C814="","",IF($AM814=1,0,IF($AL814=1,Settings!$C$6,Settings!$C$7))*100)</f>
        <v/>
      </c>
      <c r="AB814" s="7" t="n"/>
      <c r="AE814" s="11" t="n"/>
      <c r="AG814" s="7">
        <f>IF($C814="","",U814*X814/100)</f>
        <v/>
      </c>
      <c r="AH814" s="7">
        <f>IF($C814="","",U814-AG814)</f>
        <v/>
      </c>
      <c r="AI814" s="7">
        <f>IF($C814="","",AH814-M814)</f>
        <v/>
      </c>
      <c r="AJ814">
        <f>IF($C814="","",IF(COUNTIF($C$2:$C814,$C814)=1,1,0))</f>
        <v/>
      </c>
      <c r="AK814">
        <f>IF($AJ814=1,SUMPRODUCT(--($AN$2:$AN$4001&lt;$AN814))+1,"")</f>
        <v/>
      </c>
      <c r="AL814">
        <f>IF($C814="","",IF(OR($Q814=TRUE(),$Q814="TRUE"),1,0))</f>
        <v/>
      </c>
      <c r="AM814">
        <f>IF($C814="","",IF($W814="Yes",1,0))</f>
        <v/>
      </c>
      <c r="AN814">
        <f>IF($AJ814=1,IFERROR(IF(VALUE($C814)&lt;100000000,VALUE($C814),1000000000),IFERROR(IF(VALUE(MID($C814,2,20))&lt;100000000,VALUE(MID($C814,2,20)),1000000000),1000000000))+ROW()/100000,"")</f>
        <v/>
      </c>
    </row>
    <row r="815">
      <c r="E815" s="11" t="n"/>
      <c r="M815" s="7">
        <f>IF($C815="","",L815*U815/100)</f>
        <v/>
      </c>
      <c r="N815" s="7" t="n"/>
      <c r="T815" s="7" t="n"/>
      <c r="U815" s="7">
        <f>IF($C815="","",S815*T815)</f>
        <v/>
      </c>
      <c r="X815">
        <f>IF($C815="","",IF($AM815=1,0,IF($AL815=1,Settings!$C$6,Settings!$C$7))*100)</f>
        <v/>
      </c>
      <c r="AB815" s="7" t="n"/>
      <c r="AE815" s="11" t="n"/>
      <c r="AG815" s="7">
        <f>IF($C815="","",U815*X815/100)</f>
        <v/>
      </c>
      <c r="AH815" s="7">
        <f>IF($C815="","",U815-AG815)</f>
        <v/>
      </c>
      <c r="AI815" s="7">
        <f>IF($C815="","",AH815-M815)</f>
        <v/>
      </c>
      <c r="AJ815">
        <f>IF($C815="","",IF(COUNTIF($C$2:$C815,$C815)=1,1,0))</f>
        <v/>
      </c>
      <c r="AK815">
        <f>IF($AJ815=1,SUMPRODUCT(--($AN$2:$AN$4001&lt;$AN815))+1,"")</f>
        <v/>
      </c>
      <c r="AL815">
        <f>IF($C815="","",IF(OR($Q815=TRUE(),$Q815="TRUE"),1,0))</f>
        <v/>
      </c>
      <c r="AM815">
        <f>IF($C815="","",IF($W815="Yes",1,0))</f>
        <v/>
      </c>
      <c r="AN815">
        <f>IF($AJ815=1,IFERROR(IF(VALUE($C815)&lt;100000000,VALUE($C815),1000000000),IFERROR(IF(VALUE(MID($C815,2,20))&lt;100000000,VALUE(MID($C815,2,20)),1000000000),1000000000))+ROW()/100000,"")</f>
        <v/>
      </c>
    </row>
    <row r="816">
      <c r="E816" s="11" t="n"/>
      <c r="M816" s="7">
        <f>IF($C816="","",L816*U816/100)</f>
        <v/>
      </c>
      <c r="N816" s="7" t="n"/>
      <c r="T816" s="7" t="n"/>
      <c r="U816" s="7">
        <f>IF($C816="","",S816*T816)</f>
        <v/>
      </c>
      <c r="X816">
        <f>IF($C816="","",IF($AM816=1,0,IF($AL816=1,Settings!$C$6,Settings!$C$7))*100)</f>
        <v/>
      </c>
      <c r="AB816" s="7" t="n"/>
      <c r="AE816" s="11" t="n"/>
      <c r="AG816" s="7">
        <f>IF($C816="","",U816*X816/100)</f>
        <v/>
      </c>
      <c r="AH816" s="7">
        <f>IF($C816="","",U816-AG816)</f>
        <v/>
      </c>
      <c r="AI816" s="7">
        <f>IF($C816="","",AH816-M816)</f>
        <v/>
      </c>
      <c r="AJ816">
        <f>IF($C816="","",IF(COUNTIF($C$2:$C816,$C816)=1,1,0))</f>
        <v/>
      </c>
      <c r="AK816">
        <f>IF($AJ816=1,SUMPRODUCT(--($AN$2:$AN$4001&lt;$AN816))+1,"")</f>
        <v/>
      </c>
      <c r="AL816">
        <f>IF($C816="","",IF(OR($Q816=TRUE(),$Q816="TRUE"),1,0))</f>
        <v/>
      </c>
      <c r="AM816">
        <f>IF($C816="","",IF($W816="Yes",1,0))</f>
        <v/>
      </c>
      <c r="AN816">
        <f>IF($AJ816=1,IFERROR(IF(VALUE($C816)&lt;100000000,VALUE($C816),1000000000),IFERROR(IF(VALUE(MID($C816,2,20))&lt;100000000,VALUE(MID($C816,2,20)),1000000000),1000000000))+ROW()/100000,"")</f>
        <v/>
      </c>
    </row>
    <row r="817">
      <c r="E817" s="11" t="n"/>
      <c r="M817" s="7">
        <f>IF($C817="","",L817*U817/100)</f>
        <v/>
      </c>
      <c r="N817" s="7" t="n"/>
      <c r="T817" s="7" t="n"/>
      <c r="U817" s="7">
        <f>IF($C817="","",S817*T817)</f>
        <v/>
      </c>
      <c r="X817">
        <f>IF($C817="","",IF($AM817=1,0,IF($AL817=1,Settings!$C$6,Settings!$C$7))*100)</f>
        <v/>
      </c>
      <c r="AB817" s="7" t="n"/>
      <c r="AE817" s="11" t="n"/>
      <c r="AG817" s="7">
        <f>IF($C817="","",U817*X817/100)</f>
        <v/>
      </c>
      <c r="AH817" s="7">
        <f>IF($C817="","",U817-AG817)</f>
        <v/>
      </c>
      <c r="AI817" s="7">
        <f>IF($C817="","",AH817-M817)</f>
        <v/>
      </c>
      <c r="AJ817">
        <f>IF($C817="","",IF(COUNTIF($C$2:$C817,$C817)=1,1,0))</f>
        <v/>
      </c>
      <c r="AK817">
        <f>IF($AJ817=1,SUMPRODUCT(--($AN$2:$AN$4001&lt;$AN817))+1,"")</f>
        <v/>
      </c>
      <c r="AL817">
        <f>IF($C817="","",IF(OR($Q817=TRUE(),$Q817="TRUE"),1,0))</f>
        <v/>
      </c>
      <c r="AM817">
        <f>IF($C817="","",IF($W817="Yes",1,0))</f>
        <v/>
      </c>
      <c r="AN817">
        <f>IF($AJ817=1,IFERROR(IF(VALUE($C817)&lt;100000000,VALUE($C817),1000000000),IFERROR(IF(VALUE(MID($C817,2,20))&lt;100000000,VALUE(MID($C817,2,20)),1000000000),1000000000))+ROW()/100000,"")</f>
        <v/>
      </c>
    </row>
    <row r="818">
      <c r="E818" s="11" t="n"/>
      <c r="M818" s="7">
        <f>IF($C818="","",L818*U818/100)</f>
        <v/>
      </c>
      <c r="N818" s="7" t="n"/>
      <c r="T818" s="7" t="n"/>
      <c r="U818" s="7">
        <f>IF($C818="","",S818*T818)</f>
        <v/>
      </c>
      <c r="X818">
        <f>IF($C818="","",IF($AM818=1,0,IF($AL818=1,Settings!$C$6,Settings!$C$7))*100)</f>
        <v/>
      </c>
      <c r="AB818" s="7" t="n"/>
      <c r="AE818" s="11" t="n"/>
      <c r="AG818" s="7">
        <f>IF($C818="","",U818*X818/100)</f>
        <v/>
      </c>
      <c r="AH818" s="7">
        <f>IF($C818="","",U818-AG818)</f>
        <v/>
      </c>
      <c r="AI818" s="7">
        <f>IF($C818="","",AH818-M818)</f>
        <v/>
      </c>
      <c r="AJ818">
        <f>IF($C818="","",IF(COUNTIF($C$2:$C818,$C818)=1,1,0))</f>
        <v/>
      </c>
      <c r="AK818">
        <f>IF($AJ818=1,SUMPRODUCT(--($AN$2:$AN$4001&lt;$AN818))+1,"")</f>
        <v/>
      </c>
      <c r="AL818">
        <f>IF($C818="","",IF(OR($Q818=TRUE(),$Q818="TRUE"),1,0))</f>
        <v/>
      </c>
      <c r="AM818">
        <f>IF($C818="","",IF($W818="Yes",1,0))</f>
        <v/>
      </c>
      <c r="AN818">
        <f>IF($AJ818=1,IFERROR(IF(VALUE($C818)&lt;100000000,VALUE($C818),1000000000),IFERROR(IF(VALUE(MID($C818,2,20))&lt;100000000,VALUE(MID($C818,2,20)),1000000000),1000000000))+ROW()/100000,"")</f>
        <v/>
      </c>
    </row>
    <row r="819">
      <c r="E819" s="11" t="n"/>
      <c r="M819" s="7">
        <f>IF($C819="","",L819*U819/100)</f>
        <v/>
      </c>
      <c r="N819" s="7" t="n"/>
      <c r="T819" s="7" t="n"/>
      <c r="U819" s="7">
        <f>IF($C819="","",S819*T819)</f>
        <v/>
      </c>
      <c r="X819">
        <f>IF($C819="","",IF($AM819=1,0,IF($AL819=1,Settings!$C$6,Settings!$C$7))*100)</f>
        <v/>
      </c>
      <c r="AB819" s="7" t="n"/>
      <c r="AE819" s="11" t="n"/>
      <c r="AG819" s="7">
        <f>IF($C819="","",U819*X819/100)</f>
        <v/>
      </c>
      <c r="AH819" s="7">
        <f>IF($C819="","",U819-AG819)</f>
        <v/>
      </c>
      <c r="AI819" s="7">
        <f>IF($C819="","",AH819-M819)</f>
        <v/>
      </c>
      <c r="AJ819">
        <f>IF($C819="","",IF(COUNTIF($C$2:$C819,$C819)=1,1,0))</f>
        <v/>
      </c>
      <c r="AK819">
        <f>IF($AJ819=1,SUMPRODUCT(--($AN$2:$AN$4001&lt;$AN819))+1,"")</f>
        <v/>
      </c>
      <c r="AL819">
        <f>IF($C819="","",IF(OR($Q819=TRUE(),$Q819="TRUE"),1,0))</f>
        <v/>
      </c>
      <c r="AM819">
        <f>IF($C819="","",IF($W819="Yes",1,0))</f>
        <v/>
      </c>
      <c r="AN819">
        <f>IF($AJ819=1,IFERROR(IF(VALUE($C819)&lt;100000000,VALUE($C819),1000000000),IFERROR(IF(VALUE(MID($C819,2,20))&lt;100000000,VALUE(MID($C819,2,20)),1000000000),1000000000))+ROW()/100000,"")</f>
        <v/>
      </c>
    </row>
    <row r="820">
      <c r="E820" s="11" t="n"/>
      <c r="M820" s="7">
        <f>IF($C820="","",L820*U820/100)</f>
        <v/>
      </c>
      <c r="N820" s="7" t="n"/>
      <c r="T820" s="7" t="n"/>
      <c r="U820" s="7">
        <f>IF($C820="","",S820*T820)</f>
        <v/>
      </c>
      <c r="X820">
        <f>IF($C820="","",IF($AM820=1,0,IF($AL820=1,Settings!$C$6,Settings!$C$7))*100)</f>
        <v/>
      </c>
      <c r="AB820" s="7" t="n"/>
      <c r="AE820" s="11" t="n"/>
      <c r="AG820" s="7">
        <f>IF($C820="","",U820*X820/100)</f>
        <v/>
      </c>
      <c r="AH820" s="7">
        <f>IF($C820="","",U820-AG820)</f>
        <v/>
      </c>
      <c r="AI820" s="7">
        <f>IF($C820="","",AH820-M820)</f>
        <v/>
      </c>
      <c r="AJ820">
        <f>IF($C820="","",IF(COUNTIF($C$2:$C820,$C820)=1,1,0))</f>
        <v/>
      </c>
      <c r="AK820">
        <f>IF($AJ820=1,SUMPRODUCT(--($AN$2:$AN$4001&lt;$AN820))+1,"")</f>
        <v/>
      </c>
      <c r="AL820">
        <f>IF($C820="","",IF(OR($Q820=TRUE(),$Q820="TRUE"),1,0))</f>
        <v/>
      </c>
      <c r="AM820">
        <f>IF($C820="","",IF($W820="Yes",1,0))</f>
        <v/>
      </c>
      <c r="AN820">
        <f>IF($AJ820=1,IFERROR(IF(VALUE($C820)&lt;100000000,VALUE($C820),1000000000),IFERROR(IF(VALUE(MID($C820,2,20))&lt;100000000,VALUE(MID($C820,2,20)),1000000000),1000000000))+ROW()/100000,"")</f>
        <v/>
      </c>
    </row>
    <row r="821">
      <c r="E821" s="11" t="n"/>
      <c r="M821" s="7">
        <f>IF($C821="","",L821*U821/100)</f>
        <v/>
      </c>
      <c r="N821" s="7" t="n"/>
      <c r="T821" s="7" t="n"/>
      <c r="U821" s="7">
        <f>IF($C821="","",S821*T821)</f>
        <v/>
      </c>
      <c r="X821">
        <f>IF($C821="","",IF($AM821=1,0,IF($AL821=1,Settings!$C$6,Settings!$C$7))*100)</f>
        <v/>
      </c>
      <c r="AB821" s="7" t="n"/>
      <c r="AE821" s="11" t="n"/>
      <c r="AG821" s="7">
        <f>IF($C821="","",U821*X821/100)</f>
        <v/>
      </c>
      <c r="AH821" s="7">
        <f>IF($C821="","",U821-AG821)</f>
        <v/>
      </c>
      <c r="AI821" s="7">
        <f>IF($C821="","",AH821-M821)</f>
        <v/>
      </c>
      <c r="AJ821">
        <f>IF($C821="","",IF(COUNTIF($C$2:$C821,$C821)=1,1,0))</f>
        <v/>
      </c>
      <c r="AK821">
        <f>IF($AJ821=1,SUMPRODUCT(--($AN$2:$AN$4001&lt;$AN821))+1,"")</f>
        <v/>
      </c>
      <c r="AL821">
        <f>IF($C821="","",IF(OR($Q821=TRUE(),$Q821="TRUE"),1,0))</f>
        <v/>
      </c>
      <c r="AM821">
        <f>IF($C821="","",IF($W821="Yes",1,0))</f>
        <v/>
      </c>
      <c r="AN821">
        <f>IF($AJ821=1,IFERROR(IF(VALUE($C821)&lt;100000000,VALUE($C821),1000000000),IFERROR(IF(VALUE(MID($C821,2,20))&lt;100000000,VALUE(MID($C821,2,20)),1000000000),1000000000))+ROW()/100000,"")</f>
        <v/>
      </c>
    </row>
    <row r="822">
      <c r="E822" s="11" t="n"/>
      <c r="M822" s="7">
        <f>IF($C822="","",L822*U822/100)</f>
        <v/>
      </c>
      <c r="N822" s="7" t="n"/>
      <c r="T822" s="7" t="n"/>
      <c r="U822" s="7">
        <f>IF($C822="","",S822*T822)</f>
        <v/>
      </c>
      <c r="X822">
        <f>IF($C822="","",IF($AM822=1,0,IF($AL822=1,Settings!$C$6,Settings!$C$7))*100)</f>
        <v/>
      </c>
      <c r="AB822" s="7" t="n"/>
      <c r="AE822" s="11" t="n"/>
      <c r="AG822" s="7">
        <f>IF($C822="","",U822*X822/100)</f>
        <v/>
      </c>
      <c r="AH822" s="7">
        <f>IF($C822="","",U822-AG822)</f>
        <v/>
      </c>
      <c r="AI822" s="7">
        <f>IF($C822="","",AH822-M822)</f>
        <v/>
      </c>
      <c r="AJ822">
        <f>IF($C822="","",IF(COUNTIF($C$2:$C822,$C822)=1,1,0))</f>
        <v/>
      </c>
      <c r="AK822">
        <f>IF($AJ822=1,SUMPRODUCT(--($AN$2:$AN$4001&lt;$AN822))+1,"")</f>
        <v/>
      </c>
      <c r="AL822">
        <f>IF($C822="","",IF(OR($Q822=TRUE(),$Q822="TRUE"),1,0))</f>
        <v/>
      </c>
      <c r="AM822">
        <f>IF($C822="","",IF($W822="Yes",1,0))</f>
        <v/>
      </c>
      <c r="AN822">
        <f>IF($AJ822=1,IFERROR(IF(VALUE($C822)&lt;100000000,VALUE($C822),1000000000),IFERROR(IF(VALUE(MID($C822,2,20))&lt;100000000,VALUE(MID($C822,2,20)),1000000000),1000000000))+ROW()/100000,"")</f>
        <v/>
      </c>
    </row>
    <row r="823">
      <c r="E823" s="11" t="n"/>
      <c r="M823" s="7">
        <f>IF($C823="","",L823*U823/100)</f>
        <v/>
      </c>
      <c r="N823" s="7" t="n"/>
      <c r="T823" s="7" t="n"/>
      <c r="U823" s="7">
        <f>IF($C823="","",S823*T823)</f>
        <v/>
      </c>
      <c r="X823">
        <f>IF($C823="","",IF($AM823=1,0,IF($AL823=1,Settings!$C$6,Settings!$C$7))*100)</f>
        <v/>
      </c>
      <c r="AB823" s="7" t="n"/>
      <c r="AE823" s="11" t="n"/>
      <c r="AG823" s="7">
        <f>IF($C823="","",U823*X823/100)</f>
        <v/>
      </c>
      <c r="AH823" s="7">
        <f>IF($C823="","",U823-AG823)</f>
        <v/>
      </c>
      <c r="AI823" s="7">
        <f>IF($C823="","",AH823-M823)</f>
        <v/>
      </c>
      <c r="AJ823">
        <f>IF($C823="","",IF(COUNTIF($C$2:$C823,$C823)=1,1,0))</f>
        <v/>
      </c>
      <c r="AK823">
        <f>IF($AJ823=1,SUMPRODUCT(--($AN$2:$AN$4001&lt;$AN823))+1,"")</f>
        <v/>
      </c>
      <c r="AL823">
        <f>IF($C823="","",IF(OR($Q823=TRUE(),$Q823="TRUE"),1,0))</f>
        <v/>
      </c>
      <c r="AM823">
        <f>IF($C823="","",IF($W823="Yes",1,0))</f>
        <v/>
      </c>
      <c r="AN823">
        <f>IF($AJ823=1,IFERROR(IF(VALUE($C823)&lt;100000000,VALUE($C823),1000000000),IFERROR(IF(VALUE(MID($C823,2,20))&lt;100000000,VALUE(MID($C823,2,20)),1000000000),1000000000))+ROW()/100000,"")</f>
        <v/>
      </c>
    </row>
    <row r="824">
      <c r="E824" s="11" t="n"/>
      <c r="M824" s="7">
        <f>IF($C824="","",L824*U824/100)</f>
        <v/>
      </c>
      <c r="N824" s="7" t="n"/>
      <c r="T824" s="7" t="n"/>
      <c r="U824" s="7">
        <f>IF($C824="","",S824*T824)</f>
        <v/>
      </c>
      <c r="X824">
        <f>IF($C824="","",IF($AM824=1,0,IF($AL824=1,Settings!$C$6,Settings!$C$7))*100)</f>
        <v/>
      </c>
      <c r="AB824" s="7" t="n"/>
      <c r="AE824" s="11" t="n"/>
      <c r="AG824" s="7">
        <f>IF($C824="","",U824*X824/100)</f>
        <v/>
      </c>
      <c r="AH824" s="7">
        <f>IF($C824="","",U824-AG824)</f>
        <v/>
      </c>
      <c r="AI824" s="7">
        <f>IF($C824="","",AH824-M824)</f>
        <v/>
      </c>
      <c r="AJ824">
        <f>IF($C824="","",IF(COUNTIF($C$2:$C824,$C824)=1,1,0))</f>
        <v/>
      </c>
      <c r="AK824">
        <f>IF($AJ824=1,SUMPRODUCT(--($AN$2:$AN$4001&lt;$AN824))+1,"")</f>
        <v/>
      </c>
      <c r="AL824">
        <f>IF($C824="","",IF(OR($Q824=TRUE(),$Q824="TRUE"),1,0))</f>
        <v/>
      </c>
      <c r="AM824">
        <f>IF($C824="","",IF($W824="Yes",1,0))</f>
        <v/>
      </c>
      <c r="AN824">
        <f>IF($AJ824=1,IFERROR(IF(VALUE($C824)&lt;100000000,VALUE($C824),1000000000),IFERROR(IF(VALUE(MID($C824,2,20))&lt;100000000,VALUE(MID($C824,2,20)),1000000000),1000000000))+ROW()/100000,"")</f>
        <v/>
      </c>
    </row>
    <row r="825">
      <c r="E825" s="11" t="n"/>
      <c r="M825" s="7">
        <f>IF($C825="","",L825*U825/100)</f>
        <v/>
      </c>
      <c r="N825" s="7" t="n"/>
      <c r="T825" s="7" t="n"/>
      <c r="U825" s="7">
        <f>IF($C825="","",S825*T825)</f>
        <v/>
      </c>
      <c r="X825">
        <f>IF($C825="","",IF($AM825=1,0,IF($AL825=1,Settings!$C$6,Settings!$C$7))*100)</f>
        <v/>
      </c>
      <c r="AB825" s="7" t="n"/>
      <c r="AE825" s="11" t="n"/>
      <c r="AG825" s="7">
        <f>IF($C825="","",U825*X825/100)</f>
        <v/>
      </c>
      <c r="AH825" s="7">
        <f>IF($C825="","",U825-AG825)</f>
        <v/>
      </c>
      <c r="AI825" s="7">
        <f>IF($C825="","",AH825-M825)</f>
        <v/>
      </c>
      <c r="AJ825">
        <f>IF($C825="","",IF(COUNTIF($C$2:$C825,$C825)=1,1,0))</f>
        <v/>
      </c>
      <c r="AK825">
        <f>IF($AJ825=1,SUMPRODUCT(--($AN$2:$AN$4001&lt;$AN825))+1,"")</f>
        <v/>
      </c>
      <c r="AL825">
        <f>IF($C825="","",IF(OR($Q825=TRUE(),$Q825="TRUE"),1,0))</f>
        <v/>
      </c>
      <c r="AM825">
        <f>IF($C825="","",IF($W825="Yes",1,0))</f>
        <v/>
      </c>
      <c r="AN825">
        <f>IF($AJ825=1,IFERROR(IF(VALUE($C825)&lt;100000000,VALUE($C825),1000000000),IFERROR(IF(VALUE(MID($C825,2,20))&lt;100000000,VALUE(MID($C825,2,20)),1000000000),1000000000))+ROW()/100000,"")</f>
        <v/>
      </c>
    </row>
    <row r="826">
      <c r="E826" s="11" t="n"/>
      <c r="M826" s="7">
        <f>IF($C826="","",L826*U826/100)</f>
        <v/>
      </c>
      <c r="N826" s="7" t="n"/>
      <c r="T826" s="7" t="n"/>
      <c r="U826" s="7">
        <f>IF($C826="","",S826*T826)</f>
        <v/>
      </c>
      <c r="X826">
        <f>IF($C826="","",IF($AM826=1,0,IF($AL826=1,Settings!$C$6,Settings!$C$7))*100)</f>
        <v/>
      </c>
      <c r="AB826" s="7" t="n"/>
      <c r="AE826" s="11" t="n"/>
      <c r="AG826" s="7">
        <f>IF($C826="","",U826*X826/100)</f>
        <v/>
      </c>
      <c r="AH826" s="7">
        <f>IF($C826="","",U826-AG826)</f>
        <v/>
      </c>
      <c r="AI826" s="7">
        <f>IF($C826="","",AH826-M826)</f>
        <v/>
      </c>
      <c r="AJ826">
        <f>IF($C826="","",IF(COUNTIF($C$2:$C826,$C826)=1,1,0))</f>
        <v/>
      </c>
      <c r="AK826">
        <f>IF($AJ826=1,SUMPRODUCT(--($AN$2:$AN$4001&lt;$AN826))+1,"")</f>
        <v/>
      </c>
      <c r="AL826">
        <f>IF($C826="","",IF(OR($Q826=TRUE(),$Q826="TRUE"),1,0))</f>
        <v/>
      </c>
      <c r="AM826">
        <f>IF($C826="","",IF($W826="Yes",1,0))</f>
        <v/>
      </c>
      <c r="AN826">
        <f>IF($AJ826=1,IFERROR(IF(VALUE($C826)&lt;100000000,VALUE($C826),1000000000),IFERROR(IF(VALUE(MID($C826,2,20))&lt;100000000,VALUE(MID($C826,2,20)),1000000000),1000000000))+ROW()/100000,"")</f>
        <v/>
      </c>
    </row>
    <row r="827">
      <c r="E827" s="11" t="n"/>
      <c r="M827" s="7">
        <f>IF($C827="","",L827*U827/100)</f>
        <v/>
      </c>
      <c r="N827" s="7" t="n"/>
      <c r="T827" s="7" t="n"/>
      <c r="U827" s="7">
        <f>IF($C827="","",S827*T827)</f>
        <v/>
      </c>
      <c r="X827">
        <f>IF($C827="","",IF($AM827=1,0,IF($AL827=1,Settings!$C$6,Settings!$C$7))*100)</f>
        <v/>
      </c>
      <c r="AB827" s="7" t="n"/>
      <c r="AE827" s="11" t="n"/>
      <c r="AG827" s="7">
        <f>IF($C827="","",U827*X827/100)</f>
        <v/>
      </c>
      <c r="AH827" s="7">
        <f>IF($C827="","",U827-AG827)</f>
        <v/>
      </c>
      <c r="AI827" s="7">
        <f>IF($C827="","",AH827-M827)</f>
        <v/>
      </c>
      <c r="AJ827">
        <f>IF($C827="","",IF(COUNTIF($C$2:$C827,$C827)=1,1,0))</f>
        <v/>
      </c>
      <c r="AK827">
        <f>IF($AJ827=1,SUMPRODUCT(--($AN$2:$AN$4001&lt;$AN827))+1,"")</f>
        <v/>
      </c>
      <c r="AL827">
        <f>IF($C827="","",IF(OR($Q827=TRUE(),$Q827="TRUE"),1,0))</f>
        <v/>
      </c>
      <c r="AM827">
        <f>IF($C827="","",IF($W827="Yes",1,0))</f>
        <v/>
      </c>
      <c r="AN827">
        <f>IF($AJ827=1,IFERROR(IF(VALUE($C827)&lt;100000000,VALUE($C827),1000000000),IFERROR(IF(VALUE(MID($C827,2,20))&lt;100000000,VALUE(MID($C827,2,20)),1000000000),1000000000))+ROW()/100000,"")</f>
        <v/>
      </c>
    </row>
    <row r="828">
      <c r="E828" s="11" t="n"/>
      <c r="M828" s="7">
        <f>IF($C828="","",L828*U828/100)</f>
        <v/>
      </c>
      <c r="N828" s="7" t="n"/>
      <c r="T828" s="7" t="n"/>
      <c r="U828" s="7">
        <f>IF($C828="","",S828*T828)</f>
        <v/>
      </c>
      <c r="X828">
        <f>IF($C828="","",IF($AM828=1,0,IF($AL828=1,Settings!$C$6,Settings!$C$7))*100)</f>
        <v/>
      </c>
      <c r="AB828" s="7" t="n"/>
      <c r="AE828" s="11" t="n"/>
      <c r="AG828" s="7">
        <f>IF($C828="","",U828*X828/100)</f>
        <v/>
      </c>
      <c r="AH828" s="7">
        <f>IF($C828="","",U828-AG828)</f>
        <v/>
      </c>
      <c r="AI828" s="7">
        <f>IF($C828="","",AH828-M828)</f>
        <v/>
      </c>
      <c r="AJ828">
        <f>IF($C828="","",IF(COUNTIF($C$2:$C828,$C828)=1,1,0))</f>
        <v/>
      </c>
      <c r="AK828">
        <f>IF($AJ828=1,SUMPRODUCT(--($AN$2:$AN$4001&lt;$AN828))+1,"")</f>
        <v/>
      </c>
      <c r="AL828">
        <f>IF($C828="","",IF(OR($Q828=TRUE(),$Q828="TRUE"),1,0))</f>
        <v/>
      </c>
      <c r="AM828">
        <f>IF($C828="","",IF($W828="Yes",1,0))</f>
        <v/>
      </c>
      <c r="AN828">
        <f>IF($AJ828=1,IFERROR(IF(VALUE($C828)&lt;100000000,VALUE($C828),1000000000),IFERROR(IF(VALUE(MID($C828,2,20))&lt;100000000,VALUE(MID($C828,2,20)),1000000000),1000000000))+ROW()/100000,"")</f>
        <v/>
      </c>
    </row>
    <row r="829">
      <c r="E829" s="11" t="n"/>
      <c r="M829" s="7">
        <f>IF($C829="","",L829*U829/100)</f>
        <v/>
      </c>
      <c r="N829" s="7" t="n"/>
      <c r="T829" s="7" t="n"/>
      <c r="U829" s="7">
        <f>IF($C829="","",S829*T829)</f>
        <v/>
      </c>
      <c r="X829">
        <f>IF($C829="","",IF($AM829=1,0,IF($AL829=1,Settings!$C$6,Settings!$C$7))*100)</f>
        <v/>
      </c>
      <c r="AB829" s="7" t="n"/>
      <c r="AE829" s="11" t="n"/>
      <c r="AG829" s="7">
        <f>IF($C829="","",U829*X829/100)</f>
        <v/>
      </c>
      <c r="AH829" s="7">
        <f>IF($C829="","",U829-AG829)</f>
        <v/>
      </c>
      <c r="AI829" s="7">
        <f>IF($C829="","",AH829-M829)</f>
        <v/>
      </c>
      <c r="AJ829">
        <f>IF($C829="","",IF(COUNTIF($C$2:$C829,$C829)=1,1,0))</f>
        <v/>
      </c>
      <c r="AK829">
        <f>IF($AJ829=1,SUMPRODUCT(--($AN$2:$AN$4001&lt;$AN829))+1,"")</f>
        <v/>
      </c>
      <c r="AL829">
        <f>IF($C829="","",IF(OR($Q829=TRUE(),$Q829="TRUE"),1,0))</f>
        <v/>
      </c>
      <c r="AM829">
        <f>IF($C829="","",IF($W829="Yes",1,0))</f>
        <v/>
      </c>
      <c r="AN829">
        <f>IF($AJ829=1,IFERROR(IF(VALUE($C829)&lt;100000000,VALUE($C829),1000000000),IFERROR(IF(VALUE(MID($C829,2,20))&lt;100000000,VALUE(MID($C829,2,20)),1000000000),1000000000))+ROW()/100000,"")</f>
        <v/>
      </c>
    </row>
    <row r="830">
      <c r="E830" s="11" t="n"/>
      <c r="M830" s="7">
        <f>IF($C830="","",L830*U830/100)</f>
        <v/>
      </c>
      <c r="N830" s="7" t="n"/>
      <c r="T830" s="7" t="n"/>
      <c r="U830" s="7">
        <f>IF($C830="","",S830*T830)</f>
        <v/>
      </c>
      <c r="X830">
        <f>IF($C830="","",IF($AM830=1,0,IF($AL830=1,Settings!$C$6,Settings!$C$7))*100)</f>
        <v/>
      </c>
      <c r="AB830" s="7" t="n"/>
      <c r="AE830" s="11" t="n"/>
      <c r="AG830" s="7">
        <f>IF($C830="","",U830*X830/100)</f>
        <v/>
      </c>
      <c r="AH830" s="7">
        <f>IF($C830="","",U830-AG830)</f>
        <v/>
      </c>
      <c r="AI830" s="7">
        <f>IF($C830="","",AH830-M830)</f>
        <v/>
      </c>
      <c r="AJ830">
        <f>IF($C830="","",IF(COUNTIF($C$2:$C830,$C830)=1,1,0))</f>
        <v/>
      </c>
      <c r="AK830">
        <f>IF($AJ830=1,SUMPRODUCT(--($AN$2:$AN$4001&lt;$AN830))+1,"")</f>
        <v/>
      </c>
      <c r="AL830">
        <f>IF($C830="","",IF(OR($Q830=TRUE(),$Q830="TRUE"),1,0))</f>
        <v/>
      </c>
      <c r="AM830">
        <f>IF($C830="","",IF($W830="Yes",1,0))</f>
        <v/>
      </c>
      <c r="AN830">
        <f>IF($AJ830=1,IFERROR(IF(VALUE($C830)&lt;100000000,VALUE($C830),1000000000),IFERROR(IF(VALUE(MID($C830,2,20))&lt;100000000,VALUE(MID($C830,2,20)),1000000000),1000000000))+ROW()/100000,"")</f>
        <v/>
      </c>
    </row>
    <row r="831">
      <c r="E831" s="11" t="n"/>
      <c r="M831" s="7">
        <f>IF($C831="","",L831*U831/100)</f>
        <v/>
      </c>
      <c r="N831" s="7" t="n"/>
      <c r="T831" s="7" t="n"/>
      <c r="U831" s="7">
        <f>IF($C831="","",S831*T831)</f>
        <v/>
      </c>
      <c r="X831">
        <f>IF($C831="","",IF($AM831=1,0,IF($AL831=1,Settings!$C$6,Settings!$C$7))*100)</f>
        <v/>
      </c>
      <c r="AB831" s="7" t="n"/>
      <c r="AE831" s="11" t="n"/>
      <c r="AG831" s="7">
        <f>IF($C831="","",U831*X831/100)</f>
        <v/>
      </c>
      <c r="AH831" s="7">
        <f>IF($C831="","",U831-AG831)</f>
        <v/>
      </c>
      <c r="AI831" s="7">
        <f>IF($C831="","",AH831-M831)</f>
        <v/>
      </c>
      <c r="AJ831">
        <f>IF($C831="","",IF(COUNTIF($C$2:$C831,$C831)=1,1,0))</f>
        <v/>
      </c>
      <c r="AK831">
        <f>IF($AJ831=1,SUMPRODUCT(--($AN$2:$AN$4001&lt;$AN831))+1,"")</f>
        <v/>
      </c>
      <c r="AL831">
        <f>IF($C831="","",IF(OR($Q831=TRUE(),$Q831="TRUE"),1,0))</f>
        <v/>
      </c>
      <c r="AM831">
        <f>IF($C831="","",IF($W831="Yes",1,0))</f>
        <v/>
      </c>
      <c r="AN831">
        <f>IF($AJ831=1,IFERROR(IF(VALUE($C831)&lt;100000000,VALUE($C831),1000000000),IFERROR(IF(VALUE(MID($C831,2,20))&lt;100000000,VALUE(MID($C831,2,20)),1000000000),1000000000))+ROW()/100000,"")</f>
        <v/>
      </c>
    </row>
    <row r="832">
      <c r="E832" s="11" t="n"/>
      <c r="M832" s="7">
        <f>IF($C832="","",L832*U832/100)</f>
        <v/>
      </c>
      <c r="N832" s="7" t="n"/>
      <c r="T832" s="7" t="n"/>
      <c r="U832" s="7">
        <f>IF($C832="","",S832*T832)</f>
        <v/>
      </c>
      <c r="X832">
        <f>IF($C832="","",IF($AM832=1,0,IF($AL832=1,Settings!$C$6,Settings!$C$7))*100)</f>
        <v/>
      </c>
      <c r="AB832" s="7" t="n"/>
      <c r="AE832" s="11" t="n"/>
      <c r="AG832" s="7">
        <f>IF($C832="","",U832*X832/100)</f>
        <v/>
      </c>
      <c r="AH832" s="7">
        <f>IF($C832="","",U832-AG832)</f>
        <v/>
      </c>
      <c r="AI832" s="7">
        <f>IF($C832="","",AH832-M832)</f>
        <v/>
      </c>
      <c r="AJ832">
        <f>IF($C832="","",IF(COUNTIF($C$2:$C832,$C832)=1,1,0))</f>
        <v/>
      </c>
      <c r="AK832">
        <f>IF($AJ832=1,SUMPRODUCT(--($AN$2:$AN$4001&lt;$AN832))+1,"")</f>
        <v/>
      </c>
      <c r="AL832">
        <f>IF($C832="","",IF(OR($Q832=TRUE(),$Q832="TRUE"),1,0))</f>
        <v/>
      </c>
      <c r="AM832">
        <f>IF($C832="","",IF($W832="Yes",1,0))</f>
        <v/>
      </c>
      <c r="AN832">
        <f>IF($AJ832=1,IFERROR(IF(VALUE($C832)&lt;100000000,VALUE($C832),1000000000),IFERROR(IF(VALUE(MID($C832,2,20))&lt;100000000,VALUE(MID($C832,2,20)),1000000000),1000000000))+ROW()/100000,"")</f>
        <v/>
      </c>
    </row>
    <row r="833">
      <c r="E833" s="11" t="n"/>
      <c r="M833" s="7">
        <f>IF($C833="","",L833*U833/100)</f>
        <v/>
      </c>
      <c r="N833" s="7" t="n"/>
      <c r="T833" s="7" t="n"/>
      <c r="U833" s="7">
        <f>IF($C833="","",S833*T833)</f>
        <v/>
      </c>
      <c r="X833">
        <f>IF($C833="","",IF($AM833=1,0,IF($AL833=1,Settings!$C$6,Settings!$C$7))*100)</f>
        <v/>
      </c>
      <c r="AB833" s="7" t="n"/>
      <c r="AE833" s="11" t="n"/>
      <c r="AG833" s="7">
        <f>IF($C833="","",U833*X833/100)</f>
        <v/>
      </c>
      <c r="AH833" s="7">
        <f>IF($C833="","",U833-AG833)</f>
        <v/>
      </c>
      <c r="AI833" s="7">
        <f>IF($C833="","",AH833-M833)</f>
        <v/>
      </c>
      <c r="AJ833">
        <f>IF($C833="","",IF(COUNTIF($C$2:$C833,$C833)=1,1,0))</f>
        <v/>
      </c>
      <c r="AK833">
        <f>IF($AJ833=1,SUMPRODUCT(--($AN$2:$AN$4001&lt;$AN833))+1,"")</f>
        <v/>
      </c>
      <c r="AL833">
        <f>IF($C833="","",IF(OR($Q833=TRUE(),$Q833="TRUE"),1,0))</f>
        <v/>
      </c>
      <c r="AM833">
        <f>IF($C833="","",IF($W833="Yes",1,0))</f>
        <v/>
      </c>
      <c r="AN833">
        <f>IF($AJ833=1,IFERROR(IF(VALUE($C833)&lt;100000000,VALUE($C833),1000000000),IFERROR(IF(VALUE(MID($C833,2,20))&lt;100000000,VALUE(MID($C833,2,20)),1000000000),1000000000))+ROW()/100000,"")</f>
        <v/>
      </c>
    </row>
    <row r="834">
      <c r="E834" s="11" t="n"/>
      <c r="M834" s="7">
        <f>IF($C834="","",L834*U834/100)</f>
        <v/>
      </c>
      <c r="N834" s="7" t="n"/>
      <c r="T834" s="7" t="n"/>
      <c r="U834" s="7">
        <f>IF($C834="","",S834*T834)</f>
        <v/>
      </c>
      <c r="X834">
        <f>IF($C834="","",IF($AM834=1,0,IF($AL834=1,Settings!$C$6,Settings!$C$7))*100)</f>
        <v/>
      </c>
      <c r="AB834" s="7" t="n"/>
      <c r="AE834" s="11" t="n"/>
      <c r="AG834" s="7">
        <f>IF($C834="","",U834*X834/100)</f>
        <v/>
      </c>
      <c r="AH834" s="7">
        <f>IF($C834="","",U834-AG834)</f>
        <v/>
      </c>
      <c r="AI834" s="7">
        <f>IF($C834="","",AH834-M834)</f>
        <v/>
      </c>
      <c r="AJ834">
        <f>IF($C834="","",IF(COUNTIF($C$2:$C834,$C834)=1,1,0))</f>
        <v/>
      </c>
      <c r="AK834">
        <f>IF($AJ834=1,SUMPRODUCT(--($AN$2:$AN$4001&lt;$AN834))+1,"")</f>
        <v/>
      </c>
      <c r="AL834">
        <f>IF($C834="","",IF(OR($Q834=TRUE(),$Q834="TRUE"),1,0))</f>
        <v/>
      </c>
      <c r="AM834">
        <f>IF($C834="","",IF($W834="Yes",1,0))</f>
        <v/>
      </c>
      <c r="AN834">
        <f>IF($AJ834=1,IFERROR(IF(VALUE($C834)&lt;100000000,VALUE($C834),1000000000),IFERROR(IF(VALUE(MID($C834,2,20))&lt;100000000,VALUE(MID($C834,2,20)),1000000000),1000000000))+ROW()/100000,"")</f>
        <v/>
      </c>
    </row>
    <row r="835">
      <c r="E835" s="11" t="n"/>
      <c r="M835" s="7">
        <f>IF($C835="","",L835*U835/100)</f>
        <v/>
      </c>
      <c r="N835" s="7" t="n"/>
      <c r="T835" s="7" t="n"/>
      <c r="U835" s="7">
        <f>IF($C835="","",S835*T835)</f>
        <v/>
      </c>
      <c r="X835">
        <f>IF($C835="","",IF($AM835=1,0,IF($AL835=1,Settings!$C$6,Settings!$C$7))*100)</f>
        <v/>
      </c>
      <c r="AB835" s="7" t="n"/>
      <c r="AE835" s="11" t="n"/>
      <c r="AG835" s="7">
        <f>IF($C835="","",U835*X835/100)</f>
        <v/>
      </c>
      <c r="AH835" s="7">
        <f>IF($C835="","",U835-AG835)</f>
        <v/>
      </c>
      <c r="AI835" s="7">
        <f>IF($C835="","",AH835-M835)</f>
        <v/>
      </c>
      <c r="AJ835">
        <f>IF($C835="","",IF(COUNTIF($C$2:$C835,$C835)=1,1,0))</f>
        <v/>
      </c>
      <c r="AK835">
        <f>IF($AJ835=1,SUMPRODUCT(--($AN$2:$AN$4001&lt;$AN835))+1,"")</f>
        <v/>
      </c>
      <c r="AL835">
        <f>IF($C835="","",IF(OR($Q835=TRUE(),$Q835="TRUE"),1,0))</f>
        <v/>
      </c>
      <c r="AM835">
        <f>IF($C835="","",IF($W835="Yes",1,0))</f>
        <v/>
      </c>
      <c r="AN835">
        <f>IF($AJ835=1,IFERROR(IF(VALUE($C835)&lt;100000000,VALUE($C835),1000000000),IFERROR(IF(VALUE(MID($C835,2,20))&lt;100000000,VALUE(MID($C835,2,20)),1000000000),1000000000))+ROW()/100000,"")</f>
        <v/>
      </c>
    </row>
    <row r="836">
      <c r="E836" s="11" t="n"/>
      <c r="M836" s="7">
        <f>IF($C836="","",L836*U836/100)</f>
        <v/>
      </c>
      <c r="N836" s="7" t="n"/>
      <c r="T836" s="7" t="n"/>
      <c r="U836" s="7">
        <f>IF($C836="","",S836*T836)</f>
        <v/>
      </c>
      <c r="X836">
        <f>IF($C836="","",IF($AM836=1,0,IF($AL836=1,Settings!$C$6,Settings!$C$7))*100)</f>
        <v/>
      </c>
      <c r="AB836" s="7" t="n"/>
      <c r="AE836" s="11" t="n"/>
      <c r="AG836" s="7">
        <f>IF($C836="","",U836*X836/100)</f>
        <v/>
      </c>
      <c r="AH836" s="7">
        <f>IF($C836="","",U836-AG836)</f>
        <v/>
      </c>
      <c r="AI836" s="7">
        <f>IF($C836="","",AH836-M836)</f>
        <v/>
      </c>
      <c r="AJ836">
        <f>IF($C836="","",IF(COUNTIF($C$2:$C836,$C836)=1,1,0))</f>
        <v/>
      </c>
      <c r="AK836">
        <f>IF($AJ836=1,SUMPRODUCT(--($AN$2:$AN$4001&lt;$AN836))+1,"")</f>
        <v/>
      </c>
      <c r="AL836">
        <f>IF($C836="","",IF(OR($Q836=TRUE(),$Q836="TRUE"),1,0))</f>
        <v/>
      </c>
      <c r="AM836">
        <f>IF($C836="","",IF($W836="Yes",1,0))</f>
        <v/>
      </c>
      <c r="AN836">
        <f>IF($AJ836=1,IFERROR(IF(VALUE($C836)&lt;100000000,VALUE($C836),1000000000),IFERROR(IF(VALUE(MID($C836,2,20))&lt;100000000,VALUE(MID($C836,2,20)),1000000000),1000000000))+ROW()/100000,"")</f>
        <v/>
      </c>
    </row>
    <row r="837">
      <c r="E837" s="11" t="n"/>
      <c r="M837" s="7">
        <f>IF($C837="","",L837*U837/100)</f>
        <v/>
      </c>
      <c r="N837" s="7" t="n"/>
      <c r="T837" s="7" t="n"/>
      <c r="U837" s="7">
        <f>IF($C837="","",S837*T837)</f>
        <v/>
      </c>
      <c r="X837">
        <f>IF($C837="","",IF($AM837=1,0,IF($AL837=1,Settings!$C$6,Settings!$C$7))*100)</f>
        <v/>
      </c>
      <c r="AB837" s="7" t="n"/>
      <c r="AE837" s="11" t="n"/>
      <c r="AG837" s="7">
        <f>IF($C837="","",U837*X837/100)</f>
        <v/>
      </c>
      <c r="AH837" s="7">
        <f>IF($C837="","",U837-AG837)</f>
        <v/>
      </c>
      <c r="AI837" s="7">
        <f>IF($C837="","",AH837-M837)</f>
        <v/>
      </c>
      <c r="AJ837">
        <f>IF($C837="","",IF(COUNTIF($C$2:$C837,$C837)=1,1,0))</f>
        <v/>
      </c>
      <c r="AK837">
        <f>IF($AJ837=1,SUMPRODUCT(--($AN$2:$AN$4001&lt;$AN837))+1,"")</f>
        <v/>
      </c>
      <c r="AL837">
        <f>IF($C837="","",IF(OR($Q837=TRUE(),$Q837="TRUE"),1,0))</f>
        <v/>
      </c>
      <c r="AM837">
        <f>IF($C837="","",IF($W837="Yes",1,0))</f>
        <v/>
      </c>
      <c r="AN837">
        <f>IF($AJ837=1,IFERROR(IF(VALUE($C837)&lt;100000000,VALUE($C837),1000000000),IFERROR(IF(VALUE(MID($C837,2,20))&lt;100000000,VALUE(MID($C837,2,20)),1000000000),1000000000))+ROW()/100000,"")</f>
        <v/>
      </c>
    </row>
    <row r="838">
      <c r="E838" s="11" t="n"/>
      <c r="M838" s="7">
        <f>IF($C838="","",L838*U838/100)</f>
        <v/>
      </c>
      <c r="N838" s="7" t="n"/>
      <c r="T838" s="7" t="n"/>
      <c r="U838" s="7">
        <f>IF($C838="","",S838*T838)</f>
        <v/>
      </c>
      <c r="X838">
        <f>IF($C838="","",IF($AM838=1,0,IF($AL838=1,Settings!$C$6,Settings!$C$7))*100)</f>
        <v/>
      </c>
      <c r="AB838" s="7" t="n"/>
      <c r="AE838" s="11" t="n"/>
      <c r="AG838" s="7">
        <f>IF($C838="","",U838*X838/100)</f>
        <v/>
      </c>
      <c r="AH838" s="7">
        <f>IF($C838="","",U838-AG838)</f>
        <v/>
      </c>
      <c r="AI838" s="7">
        <f>IF($C838="","",AH838-M838)</f>
        <v/>
      </c>
      <c r="AJ838">
        <f>IF($C838="","",IF(COUNTIF($C$2:$C838,$C838)=1,1,0))</f>
        <v/>
      </c>
      <c r="AK838">
        <f>IF($AJ838=1,SUMPRODUCT(--($AN$2:$AN$4001&lt;$AN838))+1,"")</f>
        <v/>
      </c>
      <c r="AL838">
        <f>IF($C838="","",IF(OR($Q838=TRUE(),$Q838="TRUE"),1,0))</f>
        <v/>
      </c>
      <c r="AM838">
        <f>IF($C838="","",IF($W838="Yes",1,0))</f>
        <v/>
      </c>
      <c r="AN838">
        <f>IF($AJ838=1,IFERROR(IF(VALUE($C838)&lt;100000000,VALUE($C838),1000000000),IFERROR(IF(VALUE(MID($C838,2,20))&lt;100000000,VALUE(MID($C838,2,20)),1000000000),1000000000))+ROW()/100000,"")</f>
        <v/>
      </c>
    </row>
    <row r="839">
      <c r="E839" s="11" t="n"/>
      <c r="M839" s="7">
        <f>IF($C839="","",L839*U839/100)</f>
        <v/>
      </c>
      <c r="N839" s="7" t="n"/>
      <c r="T839" s="7" t="n"/>
      <c r="U839" s="7">
        <f>IF($C839="","",S839*T839)</f>
        <v/>
      </c>
      <c r="X839">
        <f>IF($C839="","",IF($AM839=1,0,IF($AL839=1,Settings!$C$6,Settings!$C$7))*100)</f>
        <v/>
      </c>
      <c r="AB839" s="7" t="n"/>
      <c r="AE839" s="11" t="n"/>
      <c r="AG839" s="7">
        <f>IF($C839="","",U839*X839/100)</f>
        <v/>
      </c>
      <c r="AH839" s="7">
        <f>IF($C839="","",U839-AG839)</f>
        <v/>
      </c>
      <c r="AI839" s="7">
        <f>IF($C839="","",AH839-M839)</f>
        <v/>
      </c>
      <c r="AJ839">
        <f>IF($C839="","",IF(COUNTIF($C$2:$C839,$C839)=1,1,0))</f>
        <v/>
      </c>
      <c r="AK839">
        <f>IF($AJ839=1,SUMPRODUCT(--($AN$2:$AN$4001&lt;$AN839))+1,"")</f>
        <v/>
      </c>
      <c r="AL839">
        <f>IF($C839="","",IF(OR($Q839=TRUE(),$Q839="TRUE"),1,0))</f>
        <v/>
      </c>
      <c r="AM839">
        <f>IF($C839="","",IF($W839="Yes",1,0))</f>
        <v/>
      </c>
      <c r="AN839">
        <f>IF($AJ839=1,IFERROR(IF(VALUE($C839)&lt;100000000,VALUE($C839),1000000000),IFERROR(IF(VALUE(MID($C839,2,20))&lt;100000000,VALUE(MID($C839,2,20)),1000000000),1000000000))+ROW()/100000,"")</f>
        <v/>
      </c>
    </row>
    <row r="840">
      <c r="E840" s="11" t="n"/>
      <c r="M840" s="7">
        <f>IF($C840="","",L840*U840/100)</f>
        <v/>
      </c>
      <c r="N840" s="7" t="n"/>
      <c r="T840" s="7" t="n"/>
      <c r="U840" s="7">
        <f>IF($C840="","",S840*T840)</f>
        <v/>
      </c>
      <c r="X840">
        <f>IF($C840="","",IF($AM840=1,0,IF($AL840=1,Settings!$C$6,Settings!$C$7))*100)</f>
        <v/>
      </c>
      <c r="AB840" s="7" t="n"/>
      <c r="AE840" s="11" t="n"/>
      <c r="AG840" s="7">
        <f>IF($C840="","",U840*X840/100)</f>
        <v/>
      </c>
      <c r="AH840" s="7">
        <f>IF($C840="","",U840-AG840)</f>
        <v/>
      </c>
      <c r="AI840" s="7">
        <f>IF($C840="","",AH840-M840)</f>
        <v/>
      </c>
      <c r="AJ840">
        <f>IF($C840="","",IF(COUNTIF($C$2:$C840,$C840)=1,1,0))</f>
        <v/>
      </c>
      <c r="AK840">
        <f>IF($AJ840=1,SUMPRODUCT(--($AN$2:$AN$4001&lt;$AN840))+1,"")</f>
        <v/>
      </c>
      <c r="AL840">
        <f>IF($C840="","",IF(OR($Q840=TRUE(),$Q840="TRUE"),1,0))</f>
        <v/>
      </c>
      <c r="AM840">
        <f>IF($C840="","",IF($W840="Yes",1,0))</f>
        <v/>
      </c>
      <c r="AN840">
        <f>IF($AJ840=1,IFERROR(IF(VALUE($C840)&lt;100000000,VALUE($C840),1000000000),IFERROR(IF(VALUE(MID($C840,2,20))&lt;100000000,VALUE(MID($C840,2,20)),1000000000),1000000000))+ROW()/100000,"")</f>
        <v/>
      </c>
    </row>
    <row r="841">
      <c r="E841" s="11" t="n"/>
      <c r="M841" s="7">
        <f>IF($C841="","",L841*U841/100)</f>
        <v/>
      </c>
      <c r="N841" s="7" t="n"/>
      <c r="T841" s="7" t="n"/>
      <c r="U841" s="7">
        <f>IF($C841="","",S841*T841)</f>
        <v/>
      </c>
      <c r="X841">
        <f>IF($C841="","",IF($AM841=1,0,IF($AL841=1,Settings!$C$6,Settings!$C$7))*100)</f>
        <v/>
      </c>
      <c r="AB841" s="7" t="n"/>
      <c r="AE841" s="11" t="n"/>
      <c r="AG841" s="7">
        <f>IF($C841="","",U841*X841/100)</f>
        <v/>
      </c>
      <c r="AH841" s="7">
        <f>IF($C841="","",U841-AG841)</f>
        <v/>
      </c>
      <c r="AI841" s="7">
        <f>IF($C841="","",AH841-M841)</f>
        <v/>
      </c>
      <c r="AJ841">
        <f>IF($C841="","",IF(COUNTIF($C$2:$C841,$C841)=1,1,0))</f>
        <v/>
      </c>
      <c r="AK841">
        <f>IF($AJ841=1,SUMPRODUCT(--($AN$2:$AN$4001&lt;$AN841))+1,"")</f>
        <v/>
      </c>
      <c r="AL841">
        <f>IF($C841="","",IF(OR($Q841=TRUE(),$Q841="TRUE"),1,0))</f>
        <v/>
      </c>
      <c r="AM841">
        <f>IF($C841="","",IF($W841="Yes",1,0))</f>
        <v/>
      </c>
      <c r="AN841">
        <f>IF($AJ841=1,IFERROR(IF(VALUE($C841)&lt;100000000,VALUE($C841),1000000000),IFERROR(IF(VALUE(MID($C841,2,20))&lt;100000000,VALUE(MID($C841,2,20)),1000000000),1000000000))+ROW()/100000,"")</f>
        <v/>
      </c>
    </row>
    <row r="842">
      <c r="E842" s="11" t="n"/>
      <c r="M842" s="7">
        <f>IF($C842="","",L842*U842/100)</f>
        <v/>
      </c>
      <c r="N842" s="7" t="n"/>
      <c r="T842" s="7" t="n"/>
      <c r="U842" s="7">
        <f>IF($C842="","",S842*T842)</f>
        <v/>
      </c>
      <c r="X842">
        <f>IF($C842="","",IF($AM842=1,0,IF($AL842=1,Settings!$C$6,Settings!$C$7))*100)</f>
        <v/>
      </c>
      <c r="AB842" s="7" t="n"/>
      <c r="AE842" s="11" t="n"/>
      <c r="AG842" s="7">
        <f>IF($C842="","",U842*X842/100)</f>
        <v/>
      </c>
      <c r="AH842" s="7">
        <f>IF($C842="","",U842-AG842)</f>
        <v/>
      </c>
      <c r="AI842" s="7">
        <f>IF($C842="","",AH842-M842)</f>
        <v/>
      </c>
      <c r="AJ842">
        <f>IF($C842="","",IF(COUNTIF($C$2:$C842,$C842)=1,1,0))</f>
        <v/>
      </c>
      <c r="AK842">
        <f>IF($AJ842=1,SUMPRODUCT(--($AN$2:$AN$4001&lt;$AN842))+1,"")</f>
        <v/>
      </c>
      <c r="AL842">
        <f>IF($C842="","",IF(OR($Q842=TRUE(),$Q842="TRUE"),1,0))</f>
        <v/>
      </c>
      <c r="AM842">
        <f>IF($C842="","",IF($W842="Yes",1,0))</f>
        <v/>
      </c>
      <c r="AN842">
        <f>IF($AJ842=1,IFERROR(IF(VALUE($C842)&lt;100000000,VALUE($C842),1000000000),IFERROR(IF(VALUE(MID($C842,2,20))&lt;100000000,VALUE(MID($C842,2,20)),1000000000),1000000000))+ROW()/100000,"")</f>
        <v/>
      </c>
    </row>
    <row r="843">
      <c r="E843" s="11" t="n"/>
      <c r="M843" s="7">
        <f>IF($C843="","",L843*U843/100)</f>
        <v/>
      </c>
      <c r="N843" s="7" t="n"/>
      <c r="T843" s="7" t="n"/>
      <c r="U843" s="7">
        <f>IF($C843="","",S843*T843)</f>
        <v/>
      </c>
      <c r="X843">
        <f>IF($C843="","",IF($AM843=1,0,IF($AL843=1,Settings!$C$6,Settings!$C$7))*100)</f>
        <v/>
      </c>
      <c r="AB843" s="7" t="n"/>
      <c r="AE843" s="11" t="n"/>
      <c r="AG843" s="7">
        <f>IF($C843="","",U843*X843/100)</f>
        <v/>
      </c>
      <c r="AH843" s="7">
        <f>IF($C843="","",U843-AG843)</f>
        <v/>
      </c>
      <c r="AI843" s="7">
        <f>IF($C843="","",AH843-M843)</f>
        <v/>
      </c>
      <c r="AJ843">
        <f>IF($C843="","",IF(COUNTIF($C$2:$C843,$C843)=1,1,0))</f>
        <v/>
      </c>
      <c r="AK843">
        <f>IF($AJ843=1,SUMPRODUCT(--($AN$2:$AN$4001&lt;$AN843))+1,"")</f>
        <v/>
      </c>
      <c r="AL843">
        <f>IF($C843="","",IF(OR($Q843=TRUE(),$Q843="TRUE"),1,0))</f>
        <v/>
      </c>
      <c r="AM843">
        <f>IF($C843="","",IF($W843="Yes",1,0))</f>
        <v/>
      </c>
      <c r="AN843">
        <f>IF($AJ843=1,IFERROR(IF(VALUE($C843)&lt;100000000,VALUE($C843),1000000000),IFERROR(IF(VALUE(MID($C843,2,20))&lt;100000000,VALUE(MID($C843,2,20)),1000000000),1000000000))+ROW()/100000,"")</f>
        <v/>
      </c>
    </row>
    <row r="844">
      <c r="E844" s="11" t="n"/>
      <c r="M844" s="7">
        <f>IF($C844="","",L844*U844/100)</f>
        <v/>
      </c>
      <c r="N844" s="7" t="n"/>
      <c r="T844" s="7" t="n"/>
      <c r="U844" s="7">
        <f>IF($C844="","",S844*T844)</f>
        <v/>
      </c>
      <c r="X844">
        <f>IF($C844="","",IF($AM844=1,0,IF($AL844=1,Settings!$C$6,Settings!$C$7))*100)</f>
        <v/>
      </c>
      <c r="AB844" s="7" t="n"/>
      <c r="AE844" s="11" t="n"/>
      <c r="AG844" s="7">
        <f>IF($C844="","",U844*X844/100)</f>
        <v/>
      </c>
      <c r="AH844" s="7">
        <f>IF($C844="","",U844-AG844)</f>
        <v/>
      </c>
      <c r="AI844" s="7">
        <f>IF($C844="","",AH844-M844)</f>
        <v/>
      </c>
      <c r="AJ844">
        <f>IF($C844="","",IF(COUNTIF($C$2:$C844,$C844)=1,1,0))</f>
        <v/>
      </c>
      <c r="AK844">
        <f>IF($AJ844=1,SUMPRODUCT(--($AN$2:$AN$4001&lt;$AN844))+1,"")</f>
        <v/>
      </c>
      <c r="AL844">
        <f>IF($C844="","",IF(OR($Q844=TRUE(),$Q844="TRUE"),1,0))</f>
        <v/>
      </c>
      <c r="AM844">
        <f>IF($C844="","",IF($W844="Yes",1,0))</f>
        <v/>
      </c>
      <c r="AN844">
        <f>IF($AJ844=1,IFERROR(IF(VALUE($C844)&lt;100000000,VALUE($C844),1000000000),IFERROR(IF(VALUE(MID($C844,2,20))&lt;100000000,VALUE(MID($C844,2,20)),1000000000),1000000000))+ROW()/100000,"")</f>
        <v/>
      </c>
    </row>
    <row r="845">
      <c r="E845" s="11" t="n"/>
      <c r="M845" s="7">
        <f>IF($C845="","",L845*U845/100)</f>
        <v/>
      </c>
      <c r="N845" s="7" t="n"/>
      <c r="T845" s="7" t="n"/>
      <c r="U845" s="7">
        <f>IF($C845="","",S845*T845)</f>
        <v/>
      </c>
      <c r="X845">
        <f>IF($C845="","",IF($AM845=1,0,IF($AL845=1,Settings!$C$6,Settings!$C$7))*100)</f>
        <v/>
      </c>
      <c r="AB845" s="7" t="n"/>
      <c r="AE845" s="11" t="n"/>
      <c r="AG845" s="7">
        <f>IF($C845="","",U845*X845/100)</f>
        <v/>
      </c>
      <c r="AH845" s="7">
        <f>IF($C845="","",U845-AG845)</f>
        <v/>
      </c>
      <c r="AI845" s="7">
        <f>IF($C845="","",AH845-M845)</f>
        <v/>
      </c>
      <c r="AJ845">
        <f>IF($C845="","",IF(COUNTIF($C$2:$C845,$C845)=1,1,0))</f>
        <v/>
      </c>
      <c r="AK845">
        <f>IF($AJ845=1,SUMPRODUCT(--($AN$2:$AN$4001&lt;$AN845))+1,"")</f>
        <v/>
      </c>
      <c r="AL845">
        <f>IF($C845="","",IF(OR($Q845=TRUE(),$Q845="TRUE"),1,0))</f>
        <v/>
      </c>
      <c r="AM845">
        <f>IF($C845="","",IF($W845="Yes",1,0))</f>
        <v/>
      </c>
      <c r="AN845">
        <f>IF($AJ845=1,IFERROR(IF(VALUE($C845)&lt;100000000,VALUE($C845),1000000000),IFERROR(IF(VALUE(MID($C845,2,20))&lt;100000000,VALUE(MID($C845,2,20)),1000000000),1000000000))+ROW()/100000,"")</f>
        <v/>
      </c>
    </row>
    <row r="846">
      <c r="E846" s="11" t="n"/>
      <c r="M846" s="7">
        <f>IF($C846="","",L846*U846/100)</f>
        <v/>
      </c>
      <c r="N846" s="7" t="n"/>
      <c r="T846" s="7" t="n"/>
      <c r="U846" s="7">
        <f>IF($C846="","",S846*T846)</f>
        <v/>
      </c>
      <c r="X846">
        <f>IF($C846="","",IF($AM846=1,0,IF($AL846=1,Settings!$C$6,Settings!$C$7))*100)</f>
        <v/>
      </c>
      <c r="AB846" s="7" t="n"/>
      <c r="AE846" s="11" t="n"/>
      <c r="AG846" s="7">
        <f>IF($C846="","",U846*X846/100)</f>
        <v/>
      </c>
      <c r="AH846" s="7">
        <f>IF($C846="","",U846-AG846)</f>
        <v/>
      </c>
      <c r="AI846" s="7">
        <f>IF($C846="","",AH846-M846)</f>
        <v/>
      </c>
      <c r="AJ846">
        <f>IF($C846="","",IF(COUNTIF($C$2:$C846,$C846)=1,1,0))</f>
        <v/>
      </c>
      <c r="AK846">
        <f>IF($AJ846=1,SUMPRODUCT(--($AN$2:$AN$4001&lt;$AN846))+1,"")</f>
        <v/>
      </c>
      <c r="AL846">
        <f>IF($C846="","",IF(OR($Q846=TRUE(),$Q846="TRUE"),1,0))</f>
        <v/>
      </c>
      <c r="AM846">
        <f>IF($C846="","",IF($W846="Yes",1,0))</f>
        <v/>
      </c>
      <c r="AN846">
        <f>IF($AJ846=1,IFERROR(IF(VALUE($C846)&lt;100000000,VALUE($C846),1000000000),IFERROR(IF(VALUE(MID($C846,2,20))&lt;100000000,VALUE(MID($C846,2,20)),1000000000),1000000000))+ROW()/100000,"")</f>
        <v/>
      </c>
    </row>
    <row r="847">
      <c r="E847" s="11" t="n"/>
      <c r="M847" s="7">
        <f>IF($C847="","",L847*U847/100)</f>
        <v/>
      </c>
      <c r="N847" s="7" t="n"/>
      <c r="T847" s="7" t="n"/>
      <c r="U847" s="7">
        <f>IF($C847="","",S847*T847)</f>
        <v/>
      </c>
      <c r="X847">
        <f>IF($C847="","",IF($AM847=1,0,IF($AL847=1,Settings!$C$6,Settings!$C$7))*100)</f>
        <v/>
      </c>
      <c r="AB847" s="7" t="n"/>
      <c r="AE847" s="11" t="n"/>
      <c r="AG847" s="7">
        <f>IF($C847="","",U847*X847/100)</f>
        <v/>
      </c>
      <c r="AH847" s="7">
        <f>IF($C847="","",U847-AG847)</f>
        <v/>
      </c>
      <c r="AI847" s="7">
        <f>IF($C847="","",AH847-M847)</f>
        <v/>
      </c>
      <c r="AJ847">
        <f>IF($C847="","",IF(COUNTIF($C$2:$C847,$C847)=1,1,0))</f>
        <v/>
      </c>
      <c r="AK847">
        <f>IF($AJ847=1,SUMPRODUCT(--($AN$2:$AN$4001&lt;$AN847))+1,"")</f>
        <v/>
      </c>
      <c r="AL847">
        <f>IF($C847="","",IF(OR($Q847=TRUE(),$Q847="TRUE"),1,0))</f>
        <v/>
      </c>
      <c r="AM847">
        <f>IF($C847="","",IF($W847="Yes",1,0))</f>
        <v/>
      </c>
      <c r="AN847">
        <f>IF($AJ847=1,IFERROR(IF(VALUE($C847)&lt;100000000,VALUE($C847),1000000000),IFERROR(IF(VALUE(MID($C847,2,20))&lt;100000000,VALUE(MID($C847,2,20)),1000000000),1000000000))+ROW()/100000,"")</f>
        <v/>
      </c>
    </row>
    <row r="848">
      <c r="E848" s="11" t="n"/>
      <c r="M848" s="7">
        <f>IF($C848="","",L848*U848/100)</f>
        <v/>
      </c>
      <c r="N848" s="7" t="n"/>
      <c r="T848" s="7" t="n"/>
      <c r="U848" s="7">
        <f>IF($C848="","",S848*T848)</f>
        <v/>
      </c>
      <c r="X848">
        <f>IF($C848="","",IF($AM848=1,0,IF($AL848=1,Settings!$C$6,Settings!$C$7))*100)</f>
        <v/>
      </c>
      <c r="AB848" s="7" t="n"/>
      <c r="AE848" s="11" t="n"/>
      <c r="AG848" s="7">
        <f>IF($C848="","",U848*X848/100)</f>
        <v/>
      </c>
      <c r="AH848" s="7">
        <f>IF($C848="","",U848-AG848)</f>
        <v/>
      </c>
      <c r="AI848" s="7">
        <f>IF($C848="","",AH848-M848)</f>
        <v/>
      </c>
      <c r="AJ848">
        <f>IF($C848="","",IF(COUNTIF($C$2:$C848,$C848)=1,1,0))</f>
        <v/>
      </c>
      <c r="AK848">
        <f>IF($AJ848=1,SUMPRODUCT(--($AN$2:$AN$4001&lt;$AN848))+1,"")</f>
        <v/>
      </c>
      <c r="AL848">
        <f>IF($C848="","",IF(OR($Q848=TRUE(),$Q848="TRUE"),1,0))</f>
        <v/>
      </c>
      <c r="AM848">
        <f>IF($C848="","",IF($W848="Yes",1,0))</f>
        <v/>
      </c>
      <c r="AN848">
        <f>IF($AJ848=1,IFERROR(IF(VALUE($C848)&lt;100000000,VALUE($C848),1000000000),IFERROR(IF(VALUE(MID($C848,2,20))&lt;100000000,VALUE(MID($C848,2,20)),1000000000),1000000000))+ROW()/100000,"")</f>
        <v/>
      </c>
    </row>
    <row r="849">
      <c r="E849" s="11" t="n"/>
      <c r="M849" s="7">
        <f>IF($C849="","",L849*U849/100)</f>
        <v/>
      </c>
      <c r="N849" s="7" t="n"/>
      <c r="T849" s="7" t="n"/>
      <c r="U849" s="7">
        <f>IF($C849="","",S849*T849)</f>
        <v/>
      </c>
      <c r="X849">
        <f>IF($C849="","",IF($AM849=1,0,IF($AL849=1,Settings!$C$6,Settings!$C$7))*100)</f>
        <v/>
      </c>
      <c r="AB849" s="7" t="n"/>
      <c r="AE849" s="11" t="n"/>
      <c r="AG849" s="7">
        <f>IF($C849="","",U849*X849/100)</f>
        <v/>
      </c>
      <c r="AH849" s="7">
        <f>IF($C849="","",U849-AG849)</f>
        <v/>
      </c>
      <c r="AI849" s="7">
        <f>IF($C849="","",AH849-M849)</f>
        <v/>
      </c>
      <c r="AJ849">
        <f>IF($C849="","",IF(COUNTIF($C$2:$C849,$C849)=1,1,0))</f>
        <v/>
      </c>
      <c r="AK849">
        <f>IF($AJ849=1,SUMPRODUCT(--($AN$2:$AN$4001&lt;$AN849))+1,"")</f>
        <v/>
      </c>
      <c r="AL849">
        <f>IF($C849="","",IF(OR($Q849=TRUE(),$Q849="TRUE"),1,0))</f>
        <v/>
      </c>
      <c r="AM849">
        <f>IF($C849="","",IF($W849="Yes",1,0))</f>
        <v/>
      </c>
      <c r="AN849">
        <f>IF($AJ849=1,IFERROR(IF(VALUE($C849)&lt;100000000,VALUE($C849),1000000000),IFERROR(IF(VALUE(MID($C849,2,20))&lt;100000000,VALUE(MID($C849,2,20)),1000000000),1000000000))+ROW()/100000,"")</f>
        <v/>
      </c>
    </row>
    <row r="850">
      <c r="E850" s="11" t="n"/>
      <c r="M850" s="7">
        <f>IF($C850="","",L850*U850/100)</f>
        <v/>
      </c>
      <c r="N850" s="7" t="n"/>
      <c r="T850" s="7" t="n"/>
      <c r="U850" s="7">
        <f>IF($C850="","",S850*T850)</f>
        <v/>
      </c>
      <c r="X850">
        <f>IF($C850="","",IF($AM850=1,0,IF($AL850=1,Settings!$C$6,Settings!$C$7))*100)</f>
        <v/>
      </c>
      <c r="AB850" s="7" t="n"/>
      <c r="AE850" s="11" t="n"/>
      <c r="AG850" s="7">
        <f>IF($C850="","",U850*X850/100)</f>
        <v/>
      </c>
      <c r="AH850" s="7">
        <f>IF($C850="","",U850-AG850)</f>
        <v/>
      </c>
      <c r="AI850" s="7">
        <f>IF($C850="","",AH850-M850)</f>
        <v/>
      </c>
      <c r="AJ850">
        <f>IF($C850="","",IF(COUNTIF($C$2:$C850,$C850)=1,1,0))</f>
        <v/>
      </c>
      <c r="AK850">
        <f>IF($AJ850=1,SUMPRODUCT(--($AN$2:$AN$4001&lt;$AN850))+1,"")</f>
        <v/>
      </c>
      <c r="AL850">
        <f>IF($C850="","",IF(OR($Q850=TRUE(),$Q850="TRUE"),1,0))</f>
        <v/>
      </c>
      <c r="AM850">
        <f>IF($C850="","",IF($W850="Yes",1,0))</f>
        <v/>
      </c>
      <c r="AN850">
        <f>IF($AJ850=1,IFERROR(IF(VALUE($C850)&lt;100000000,VALUE($C850),1000000000),IFERROR(IF(VALUE(MID($C850,2,20))&lt;100000000,VALUE(MID($C850,2,20)),1000000000),1000000000))+ROW()/100000,"")</f>
        <v/>
      </c>
    </row>
    <row r="851">
      <c r="E851" s="11" t="n"/>
      <c r="M851" s="7">
        <f>IF($C851="","",L851*U851/100)</f>
        <v/>
      </c>
      <c r="N851" s="7" t="n"/>
      <c r="T851" s="7" t="n"/>
      <c r="U851" s="7">
        <f>IF($C851="","",S851*T851)</f>
        <v/>
      </c>
      <c r="X851">
        <f>IF($C851="","",IF($AM851=1,0,IF($AL851=1,Settings!$C$6,Settings!$C$7))*100)</f>
        <v/>
      </c>
      <c r="AB851" s="7" t="n"/>
      <c r="AE851" s="11" t="n"/>
      <c r="AG851" s="7">
        <f>IF($C851="","",U851*X851/100)</f>
        <v/>
      </c>
      <c r="AH851" s="7">
        <f>IF($C851="","",U851-AG851)</f>
        <v/>
      </c>
      <c r="AI851" s="7">
        <f>IF($C851="","",AH851-M851)</f>
        <v/>
      </c>
      <c r="AJ851">
        <f>IF($C851="","",IF(COUNTIF($C$2:$C851,$C851)=1,1,0))</f>
        <v/>
      </c>
      <c r="AK851">
        <f>IF($AJ851=1,SUMPRODUCT(--($AN$2:$AN$4001&lt;$AN851))+1,"")</f>
        <v/>
      </c>
      <c r="AL851">
        <f>IF($C851="","",IF(OR($Q851=TRUE(),$Q851="TRUE"),1,0))</f>
        <v/>
      </c>
      <c r="AM851">
        <f>IF($C851="","",IF($W851="Yes",1,0))</f>
        <v/>
      </c>
      <c r="AN851">
        <f>IF($AJ851=1,IFERROR(IF(VALUE($C851)&lt;100000000,VALUE($C851),1000000000),IFERROR(IF(VALUE(MID($C851,2,20))&lt;100000000,VALUE(MID($C851,2,20)),1000000000),1000000000))+ROW()/100000,"")</f>
        <v/>
      </c>
    </row>
    <row r="852">
      <c r="E852" s="11" t="n"/>
      <c r="M852" s="7">
        <f>IF($C852="","",L852*U852/100)</f>
        <v/>
      </c>
      <c r="N852" s="7" t="n"/>
      <c r="T852" s="7" t="n"/>
      <c r="U852" s="7">
        <f>IF($C852="","",S852*T852)</f>
        <v/>
      </c>
      <c r="X852">
        <f>IF($C852="","",IF($AM852=1,0,IF($AL852=1,Settings!$C$6,Settings!$C$7))*100)</f>
        <v/>
      </c>
      <c r="AB852" s="7" t="n"/>
      <c r="AE852" s="11" t="n"/>
      <c r="AG852" s="7">
        <f>IF($C852="","",U852*X852/100)</f>
        <v/>
      </c>
      <c r="AH852" s="7">
        <f>IF($C852="","",U852-AG852)</f>
        <v/>
      </c>
      <c r="AI852" s="7">
        <f>IF($C852="","",AH852-M852)</f>
        <v/>
      </c>
      <c r="AJ852">
        <f>IF($C852="","",IF(COUNTIF($C$2:$C852,$C852)=1,1,0))</f>
        <v/>
      </c>
      <c r="AK852">
        <f>IF($AJ852=1,SUMPRODUCT(--($AN$2:$AN$4001&lt;$AN852))+1,"")</f>
        <v/>
      </c>
      <c r="AL852">
        <f>IF($C852="","",IF(OR($Q852=TRUE(),$Q852="TRUE"),1,0))</f>
        <v/>
      </c>
      <c r="AM852">
        <f>IF($C852="","",IF($W852="Yes",1,0))</f>
        <v/>
      </c>
      <c r="AN852">
        <f>IF($AJ852=1,IFERROR(IF(VALUE($C852)&lt;100000000,VALUE($C852),1000000000),IFERROR(IF(VALUE(MID($C852,2,20))&lt;100000000,VALUE(MID($C852,2,20)),1000000000),1000000000))+ROW()/100000,"")</f>
        <v/>
      </c>
    </row>
    <row r="853">
      <c r="E853" s="11" t="n"/>
      <c r="M853" s="7">
        <f>IF($C853="","",L853*U853/100)</f>
        <v/>
      </c>
      <c r="N853" s="7" t="n"/>
      <c r="T853" s="7" t="n"/>
      <c r="U853" s="7">
        <f>IF($C853="","",S853*T853)</f>
        <v/>
      </c>
      <c r="X853">
        <f>IF($C853="","",IF($AM853=1,0,IF($AL853=1,Settings!$C$6,Settings!$C$7))*100)</f>
        <v/>
      </c>
      <c r="AB853" s="7" t="n"/>
      <c r="AE853" s="11" t="n"/>
      <c r="AG853" s="7">
        <f>IF($C853="","",U853*X853/100)</f>
        <v/>
      </c>
      <c r="AH853" s="7">
        <f>IF($C853="","",U853-AG853)</f>
        <v/>
      </c>
      <c r="AI853" s="7">
        <f>IF($C853="","",AH853-M853)</f>
        <v/>
      </c>
      <c r="AJ853">
        <f>IF($C853="","",IF(COUNTIF($C$2:$C853,$C853)=1,1,0))</f>
        <v/>
      </c>
      <c r="AK853">
        <f>IF($AJ853=1,SUMPRODUCT(--($AN$2:$AN$4001&lt;$AN853))+1,"")</f>
        <v/>
      </c>
      <c r="AL853">
        <f>IF($C853="","",IF(OR($Q853=TRUE(),$Q853="TRUE"),1,0))</f>
        <v/>
      </c>
      <c r="AM853">
        <f>IF($C853="","",IF($W853="Yes",1,0))</f>
        <v/>
      </c>
      <c r="AN853">
        <f>IF($AJ853=1,IFERROR(IF(VALUE($C853)&lt;100000000,VALUE($C853),1000000000),IFERROR(IF(VALUE(MID($C853,2,20))&lt;100000000,VALUE(MID($C853,2,20)),1000000000),1000000000))+ROW()/100000,"")</f>
        <v/>
      </c>
    </row>
    <row r="854">
      <c r="E854" s="11" t="n"/>
      <c r="M854" s="7">
        <f>IF($C854="","",L854*U854/100)</f>
        <v/>
      </c>
      <c r="N854" s="7" t="n"/>
      <c r="T854" s="7" t="n"/>
      <c r="U854" s="7">
        <f>IF($C854="","",S854*T854)</f>
        <v/>
      </c>
      <c r="X854">
        <f>IF($C854="","",IF($AM854=1,0,IF($AL854=1,Settings!$C$6,Settings!$C$7))*100)</f>
        <v/>
      </c>
      <c r="AB854" s="7" t="n"/>
      <c r="AE854" s="11" t="n"/>
      <c r="AG854" s="7">
        <f>IF($C854="","",U854*X854/100)</f>
        <v/>
      </c>
      <c r="AH854" s="7">
        <f>IF($C854="","",U854-AG854)</f>
        <v/>
      </c>
      <c r="AI854" s="7">
        <f>IF($C854="","",AH854-M854)</f>
        <v/>
      </c>
      <c r="AJ854">
        <f>IF($C854="","",IF(COUNTIF($C$2:$C854,$C854)=1,1,0))</f>
        <v/>
      </c>
      <c r="AK854">
        <f>IF($AJ854=1,SUMPRODUCT(--($AN$2:$AN$4001&lt;$AN854))+1,"")</f>
        <v/>
      </c>
      <c r="AL854">
        <f>IF($C854="","",IF(OR($Q854=TRUE(),$Q854="TRUE"),1,0))</f>
        <v/>
      </c>
      <c r="AM854">
        <f>IF($C854="","",IF($W854="Yes",1,0))</f>
        <v/>
      </c>
      <c r="AN854">
        <f>IF($AJ854=1,IFERROR(IF(VALUE($C854)&lt;100000000,VALUE($C854),1000000000),IFERROR(IF(VALUE(MID($C854,2,20))&lt;100000000,VALUE(MID($C854,2,20)),1000000000),1000000000))+ROW()/100000,"")</f>
        <v/>
      </c>
    </row>
    <row r="855">
      <c r="E855" s="11" t="n"/>
      <c r="M855" s="7">
        <f>IF($C855="","",L855*U855/100)</f>
        <v/>
      </c>
      <c r="N855" s="7" t="n"/>
      <c r="T855" s="7" t="n"/>
      <c r="U855" s="7">
        <f>IF($C855="","",S855*T855)</f>
        <v/>
      </c>
      <c r="X855">
        <f>IF($C855="","",IF($AM855=1,0,IF($AL855=1,Settings!$C$6,Settings!$C$7))*100)</f>
        <v/>
      </c>
      <c r="AB855" s="7" t="n"/>
      <c r="AE855" s="11" t="n"/>
      <c r="AG855" s="7">
        <f>IF($C855="","",U855*X855/100)</f>
        <v/>
      </c>
      <c r="AH855" s="7">
        <f>IF($C855="","",U855-AG855)</f>
        <v/>
      </c>
      <c r="AI855" s="7">
        <f>IF($C855="","",AH855-M855)</f>
        <v/>
      </c>
      <c r="AJ855">
        <f>IF($C855="","",IF(COUNTIF($C$2:$C855,$C855)=1,1,0))</f>
        <v/>
      </c>
      <c r="AK855">
        <f>IF($AJ855=1,SUMPRODUCT(--($AN$2:$AN$4001&lt;$AN855))+1,"")</f>
        <v/>
      </c>
      <c r="AL855">
        <f>IF($C855="","",IF(OR($Q855=TRUE(),$Q855="TRUE"),1,0))</f>
        <v/>
      </c>
      <c r="AM855">
        <f>IF($C855="","",IF($W855="Yes",1,0))</f>
        <v/>
      </c>
      <c r="AN855">
        <f>IF($AJ855=1,IFERROR(IF(VALUE($C855)&lt;100000000,VALUE($C855),1000000000),IFERROR(IF(VALUE(MID($C855,2,20))&lt;100000000,VALUE(MID($C855,2,20)),1000000000),1000000000))+ROW()/100000,"")</f>
        <v/>
      </c>
    </row>
    <row r="856">
      <c r="E856" s="11" t="n"/>
      <c r="M856" s="7">
        <f>IF($C856="","",L856*U856/100)</f>
        <v/>
      </c>
      <c r="N856" s="7" t="n"/>
      <c r="T856" s="7" t="n"/>
      <c r="U856" s="7">
        <f>IF($C856="","",S856*T856)</f>
        <v/>
      </c>
      <c r="X856">
        <f>IF($C856="","",IF($AM856=1,0,IF($AL856=1,Settings!$C$6,Settings!$C$7))*100)</f>
        <v/>
      </c>
      <c r="AB856" s="7" t="n"/>
      <c r="AE856" s="11" t="n"/>
      <c r="AG856" s="7">
        <f>IF($C856="","",U856*X856/100)</f>
        <v/>
      </c>
      <c r="AH856" s="7">
        <f>IF($C856="","",U856-AG856)</f>
        <v/>
      </c>
      <c r="AI856" s="7">
        <f>IF($C856="","",AH856-M856)</f>
        <v/>
      </c>
      <c r="AJ856">
        <f>IF($C856="","",IF(COUNTIF($C$2:$C856,$C856)=1,1,0))</f>
        <v/>
      </c>
      <c r="AK856">
        <f>IF($AJ856=1,SUMPRODUCT(--($AN$2:$AN$4001&lt;$AN856))+1,"")</f>
        <v/>
      </c>
      <c r="AL856">
        <f>IF($C856="","",IF(OR($Q856=TRUE(),$Q856="TRUE"),1,0))</f>
        <v/>
      </c>
      <c r="AM856">
        <f>IF($C856="","",IF($W856="Yes",1,0))</f>
        <v/>
      </c>
      <c r="AN856">
        <f>IF($AJ856=1,IFERROR(IF(VALUE($C856)&lt;100000000,VALUE($C856),1000000000),IFERROR(IF(VALUE(MID($C856,2,20))&lt;100000000,VALUE(MID($C856,2,20)),1000000000),1000000000))+ROW()/100000,"")</f>
        <v/>
      </c>
    </row>
    <row r="857">
      <c r="E857" s="11" t="n"/>
      <c r="M857" s="7">
        <f>IF($C857="","",L857*U857/100)</f>
        <v/>
      </c>
      <c r="N857" s="7" t="n"/>
      <c r="T857" s="7" t="n"/>
      <c r="U857" s="7">
        <f>IF($C857="","",S857*T857)</f>
        <v/>
      </c>
      <c r="X857">
        <f>IF($C857="","",IF($AM857=1,0,IF($AL857=1,Settings!$C$6,Settings!$C$7))*100)</f>
        <v/>
      </c>
      <c r="AB857" s="7" t="n"/>
      <c r="AE857" s="11" t="n"/>
      <c r="AG857" s="7">
        <f>IF($C857="","",U857*X857/100)</f>
        <v/>
      </c>
      <c r="AH857" s="7">
        <f>IF($C857="","",U857-AG857)</f>
        <v/>
      </c>
      <c r="AI857" s="7">
        <f>IF($C857="","",AH857-M857)</f>
        <v/>
      </c>
      <c r="AJ857">
        <f>IF($C857="","",IF(COUNTIF($C$2:$C857,$C857)=1,1,0))</f>
        <v/>
      </c>
      <c r="AK857">
        <f>IF($AJ857=1,SUMPRODUCT(--($AN$2:$AN$4001&lt;$AN857))+1,"")</f>
        <v/>
      </c>
      <c r="AL857">
        <f>IF($C857="","",IF(OR($Q857=TRUE(),$Q857="TRUE"),1,0))</f>
        <v/>
      </c>
      <c r="AM857">
        <f>IF($C857="","",IF($W857="Yes",1,0))</f>
        <v/>
      </c>
      <c r="AN857">
        <f>IF($AJ857=1,IFERROR(IF(VALUE($C857)&lt;100000000,VALUE($C857),1000000000),IFERROR(IF(VALUE(MID($C857,2,20))&lt;100000000,VALUE(MID($C857,2,20)),1000000000),1000000000))+ROW()/100000,"")</f>
        <v/>
      </c>
    </row>
    <row r="858">
      <c r="E858" s="11" t="n"/>
      <c r="M858" s="7">
        <f>IF($C858="","",L858*U858/100)</f>
        <v/>
      </c>
      <c r="N858" s="7" t="n"/>
      <c r="T858" s="7" t="n"/>
      <c r="U858" s="7">
        <f>IF($C858="","",S858*T858)</f>
        <v/>
      </c>
      <c r="X858">
        <f>IF($C858="","",IF($AM858=1,0,IF($AL858=1,Settings!$C$6,Settings!$C$7))*100)</f>
        <v/>
      </c>
      <c r="AB858" s="7" t="n"/>
      <c r="AE858" s="11" t="n"/>
      <c r="AG858" s="7">
        <f>IF($C858="","",U858*X858/100)</f>
        <v/>
      </c>
      <c r="AH858" s="7">
        <f>IF($C858="","",U858-AG858)</f>
        <v/>
      </c>
      <c r="AI858" s="7">
        <f>IF($C858="","",AH858-M858)</f>
        <v/>
      </c>
      <c r="AJ858">
        <f>IF($C858="","",IF(COUNTIF($C$2:$C858,$C858)=1,1,0))</f>
        <v/>
      </c>
      <c r="AK858">
        <f>IF($AJ858=1,SUMPRODUCT(--($AN$2:$AN$4001&lt;$AN858))+1,"")</f>
        <v/>
      </c>
      <c r="AL858">
        <f>IF($C858="","",IF(OR($Q858=TRUE(),$Q858="TRUE"),1,0))</f>
        <v/>
      </c>
      <c r="AM858">
        <f>IF($C858="","",IF($W858="Yes",1,0))</f>
        <v/>
      </c>
      <c r="AN858">
        <f>IF($AJ858=1,IFERROR(IF(VALUE($C858)&lt;100000000,VALUE($C858),1000000000),IFERROR(IF(VALUE(MID($C858,2,20))&lt;100000000,VALUE(MID($C858,2,20)),1000000000),1000000000))+ROW()/100000,"")</f>
        <v/>
      </c>
    </row>
    <row r="859">
      <c r="E859" s="11" t="n"/>
      <c r="M859" s="7">
        <f>IF($C859="","",L859*U859/100)</f>
        <v/>
      </c>
      <c r="N859" s="7" t="n"/>
      <c r="T859" s="7" t="n"/>
      <c r="U859" s="7">
        <f>IF($C859="","",S859*T859)</f>
        <v/>
      </c>
      <c r="X859">
        <f>IF($C859="","",IF($AM859=1,0,IF($AL859=1,Settings!$C$6,Settings!$C$7))*100)</f>
        <v/>
      </c>
      <c r="AB859" s="7" t="n"/>
      <c r="AE859" s="11" t="n"/>
      <c r="AG859" s="7">
        <f>IF($C859="","",U859*X859/100)</f>
        <v/>
      </c>
      <c r="AH859" s="7">
        <f>IF($C859="","",U859-AG859)</f>
        <v/>
      </c>
      <c r="AI859" s="7">
        <f>IF($C859="","",AH859-M859)</f>
        <v/>
      </c>
      <c r="AJ859">
        <f>IF($C859="","",IF(COUNTIF($C$2:$C859,$C859)=1,1,0))</f>
        <v/>
      </c>
      <c r="AK859">
        <f>IF($AJ859=1,SUMPRODUCT(--($AN$2:$AN$4001&lt;$AN859))+1,"")</f>
        <v/>
      </c>
      <c r="AL859">
        <f>IF($C859="","",IF(OR($Q859=TRUE(),$Q859="TRUE"),1,0))</f>
        <v/>
      </c>
      <c r="AM859">
        <f>IF($C859="","",IF($W859="Yes",1,0))</f>
        <v/>
      </c>
      <c r="AN859">
        <f>IF($AJ859=1,IFERROR(IF(VALUE($C859)&lt;100000000,VALUE($C859),1000000000),IFERROR(IF(VALUE(MID($C859,2,20))&lt;100000000,VALUE(MID($C859,2,20)),1000000000),1000000000))+ROW()/100000,"")</f>
        <v/>
      </c>
    </row>
    <row r="860">
      <c r="E860" s="11" t="n"/>
      <c r="M860" s="7">
        <f>IF($C860="","",L860*U860/100)</f>
        <v/>
      </c>
      <c r="N860" s="7" t="n"/>
      <c r="T860" s="7" t="n"/>
      <c r="U860" s="7">
        <f>IF($C860="","",S860*T860)</f>
        <v/>
      </c>
      <c r="X860">
        <f>IF($C860="","",IF($AM860=1,0,IF($AL860=1,Settings!$C$6,Settings!$C$7))*100)</f>
        <v/>
      </c>
      <c r="AB860" s="7" t="n"/>
      <c r="AE860" s="11" t="n"/>
      <c r="AG860" s="7">
        <f>IF($C860="","",U860*X860/100)</f>
        <v/>
      </c>
      <c r="AH860" s="7">
        <f>IF($C860="","",U860-AG860)</f>
        <v/>
      </c>
      <c r="AI860" s="7">
        <f>IF($C860="","",AH860-M860)</f>
        <v/>
      </c>
      <c r="AJ860">
        <f>IF($C860="","",IF(COUNTIF($C$2:$C860,$C860)=1,1,0))</f>
        <v/>
      </c>
      <c r="AK860">
        <f>IF($AJ860=1,SUMPRODUCT(--($AN$2:$AN$4001&lt;$AN860))+1,"")</f>
        <v/>
      </c>
      <c r="AL860">
        <f>IF($C860="","",IF(OR($Q860=TRUE(),$Q860="TRUE"),1,0))</f>
        <v/>
      </c>
      <c r="AM860">
        <f>IF($C860="","",IF($W860="Yes",1,0))</f>
        <v/>
      </c>
      <c r="AN860">
        <f>IF($AJ860=1,IFERROR(IF(VALUE($C860)&lt;100000000,VALUE($C860),1000000000),IFERROR(IF(VALUE(MID($C860,2,20))&lt;100000000,VALUE(MID($C860,2,20)),1000000000),1000000000))+ROW()/100000,"")</f>
        <v/>
      </c>
    </row>
    <row r="861">
      <c r="E861" s="11" t="n"/>
      <c r="M861" s="7">
        <f>IF($C861="","",L861*U861/100)</f>
        <v/>
      </c>
      <c r="N861" s="7" t="n"/>
      <c r="T861" s="7" t="n"/>
      <c r="U861" s="7">
        <f>IF($C861="","",S861*T861)</f>
        <v/>
      </c>
      <c r="X861">
        <f>IF($C861="","",IF($AM861=1,0,IF($AL861=1,Settings!$C$6,Settings!$C$7))*100)</f>
        <v/>
      </c>
      <c r="AB861" s="7" t="n"/>
      <c r="AE861" s="11" t="n"/>
      <c r="AG861" s="7">
        <f>IF($C861="","",U861*X861/100)</f>
        <v/>
      </c>
      <c r="AH861" s="7">
        <f>IF($C861="","",U861-AG861)</f>
        <v/>
      </c>
      <c r="AI861" s="7">
        <f>IF($C861="","",AH861-M861)</f>
        <v/>
      </c>
      <c r="AJ861">
        <f>IF($C861="","",IF(COUNTIF($C$2:$C861,$C861)=1,1,0))</f>
        <v/>
      </c>
      <c r="AK861">
        <f>IF($AJ861=1,SUMPRODUCT(--($AN$2:$AN$4001&lt;$AN861))+1,"")</f>
        <v/>
      </c>
      <c r="AL861">
        <f>IF($C861="","",IF(OR($Q861=TRUE(),$Q861="TRUE"),1,0))</f>
        <v/>
      </c>
      <c r="AM861">
        <f>IF($C861="","",IF($W861="Yes",1,0))</f>
        <v/>
      </c>
      <c r="AN861">
        <f>IF($AJ861=1,IFERROR(IF(VALUE($C861)&lt;100000000,VALUE($C861),1000000000),IFERROR(IF(VALUE(MID($C861,2,20))&lt;100000000,VALUE(MID($C861,2,20)),1000000000),1000000000))+ROW()/100000,"")</f>
        <v/>
      </c>
    </row>
    <row r="862">
      <c r="E862" s="11" t="n"/>
      <c r="M862" s="7">
        <f>IF($C862="","",L862*U862/100)</f>
        <v/>
      </c>
      <c r="N862" s="7" t="n"/>
      <c r="T862" s="7" t="n"/>
      <c r="U862" s="7">
        <f>IF($C862="","",S862*T862)</f>
        <v/>
      </c>
      <c r="X862">
        <f>IF($C862="","",IF($AM862=1,0,IF($AL862=1,Settings!$C$6,Settings!$C$7))*100)</f>
        <v/>
      </c>
      <c r="AB862" s="7" t="n"/>
      <c r="AE862" s="11" t="n"/>
      <c r="AG862" s="7">
        <f>IF($C862="","",U862*X862/100)</f>
        <v/>
      </c>
      <c r="AH862" s="7">
        <f>IF($C862="","",U862-AG862)</f>
        <v/>
      </c>
      <c r="AI862" s="7">
        <f>IF($C862="","",AH862-M862)</f>
        <v/>
      </c>
      <c r="AJ862">
        <f>IF($C862="","",IF(COUNTIF($C$2:$C862,$C862)=1,1,0))</f>
        <v/>
      </c>
      <c r="AK862">
        <f>IF($AJ862=1,SUMPRODUCT(--($AN$2:$AN$4001&lt;$AN862))+1,"")</f>
        <v/>
      </c>
      <c r="AL862">
        <f>IF($C862="","",IF(OR($Q862=TRUE(),$Q862="TRUE"),1,0))</f>
        <v/>
      </c>
      <c r="AM862">
        <f>IF($C862="","",IF($W862="Yes",1,0))</f>
        <v/>
      </c>
      <c r="AN862">
        <f>IF($AJ862=1,IFERROR(IF(VALUE($C862)&lt;100000000,VALUE($C862),1000000000),IFERROR(IF(VALUE(MID($C862,2,20))&lt;100000000,VALUE(MID($C862,2,20)),1000000000),1000000000))+ROW()/100000,"")</f>
        <v/>
      </c>
    </row>
    <row r="863">
      <c r="E863" s="11" t="n"/>
      <c r="M863" s="7">
        <f>IF($C863="","",L863*U863/100)</f>
        <v/>
      </c>
      <c r="N863" s="7" t="n"/>
      <c r="T863" s="7" t="n"/>
      <c r="U863" s="7">
        <f>IF($C863="","",S863*T863)</f>
        <v/>
      </c>
      <c r="X863">
        <f>IF($C863="","",IF($AM863=1,0,IF($AL863=1,Settings!$C$6,Settings!$C$7))*100)</f>
        <v/>
      </c>
      <c r="AB863" s="7" t="n"/>
      <c r="AE863" s="11" t="n"/>
      <c r="AG863" s="7">
        <f>IF($C863="","",U863*X863/100)</f>
        <v/>
      </c>
      <c r="AH863" s="7">
        <f>IF($C863="","",U863-AG863)</f>
        <v/>
      </c>
      <c r="AI863" s="7">
        <f>IF($C863="","",AH863-M863)</f>
        <v/>
      </c>
      <c r="AJ863">
        <f>IF($C863="","",IF(COUNTIF($C$2:$C863,$C863)=1,1,0))</f>
        <v/>
      </c>
      <c r="AK863">
        <f>IF($AJ863=1,SUMPRODUCT(--($AN$2:$AN$4001&lt;$AN863))+1,"")</f>
        <v/>
      </c>
      <c r="AL863">
        <f>IF($C863="","",IF(OR($Q863=TRUE(),$Q863="TRUE"),1,0))</f>
        <v/>
      </c>
      <c r="AM863">
        <f>IF($C863="","",IF($W863="Yes",1,0))</f>
        <v/>
      </c>
      <c r="AN863">
        <f>IF($AJ863=1,IFERROR(IF(VALUE($C863)&lt;100000000,VALUE($C863),1000000000),IFERROR(IF(VALUE(MID($C863,2,20))&lt;100000000,VALUE(MID($C863,2,20)),1000000000),1000000000))+ROW()/100000,"")</f>
        <v/>
      </c>
    </row>
    <row r="864">
      <c r="E864" s="11" t="n"/>
      <c r="M864" s="7">
        <f>IF($C864="","",L864*U864/100)</f>
        <v/>
      </c>
      <c r="N864" s="7" t="n"/>
      <c r="T864" s="7" t="n"/>
      <c r="U864" s="7">
        <f>IF($C864="","",S864*T864)</f>
        <v/>
      </c>
      <c r="X864">
        <f>IF($C864="","",IF($AM864=1,0,IF($AL864=1,Settings!$C$6,Settings!$C$7))*100)</f>
        <v/>
      </c>
      <c r="AB864" s="7" t="n"/>
      <c r="AE864" s="11" t="n"/>
      <c r="AG864" s="7">
        <f>IF($C864="","",U864*X864/100)</f>
        <v/>
      </c>
      <c r="AH864" s="7">
        <f>IF($C864="","",U864-AG864)</f>
        <v/>
      </c>
      <c r="AI864" s="7">
        <f>IF($C864="","",AH864-M864)</f>
        <v/>
      </c>
      <c r="AJ864">
        <f>IF($C864="","",IF(COUNTIF($C$2:$C864,$C864)=1,1,0))</f>
        <v/>
      </c>
      <c r="AK864">
        <f>IF($AJ864=1,SUMPRODUCT(--($AN$2:$AN$4001&lt;$AN864))+1,"")</f>
        <v/>
      </c>
      <c r="AL864">
        <f>IF($C864="","",IF(OR($Q864=TRUE(),$Q864="TRUE"),1,0))</f>
        <v/>
      </c>
      <c r="AM864">
        <f>IF($C864="","",IF($W864="Yes",1,0))</f>
        <v/>
      </c>
      <c r="AN864">
        <f>IF($AJ864=1,IFERROR(IF(VALUE($C864)&lt;100000000,VALUE($C864),1000000000),IFERROR(IF(VALUE(MID($C864,2,20))&lt;100000000,VALUE(MID($C864,2,20)),1000000000),1000000000))+ROW()/100000,"")</f>
        <v/>
      </c>
    </row>
    <row r="865">
      <c r="E865" s="11" t="n"/>
      <c r="M865" s="7">
        <f>IF($C865="","",L865*U865/100)</f>
        <v/>
      </c>
      <c r="N865" s="7" t="n"/>
      <c r="T865" s="7" t="n"/>
      <c r="U865" s="7">
        <f>IF($C865="","",S865*T865)</f>
        <v/>
      </c>
      <c r="X865">
        <f>IF($C865="","",IF($AM865=1,0,IF($AL865=1,Settings!$C$6,Settings!$C$7))*100)</f>
        <v/>
      </c>
      <c r="AB865" s="7" t="n"/>
      <c r="AE865" s="11" t="n"/>
      <c r="AG865" s="7">
        <f>IF($C865="","",U865*X865/100)</f>
        <v/>
      </c>
      <c r="AH865" s="7">
        <f>IF($C865="","",U865-AG865)</f>
        <v/>
      </c>
      <c r="AI865" s="7">
        <f>IF($C865="","",AH865-M865)</f>
        <v/>
      </c>
      <c r="AJ865">
        <f>IF($C865="","",IF(COUNTIF($C$2:$C865,$C865)=1,1,0))</f>
        <v/>
      </c>
      <c r="AK865">
        <f>IF($AJ865=1,SUMPRODUCT(--($AN$2:$AN$4001&lt;$AN865))+1,"")</f>
        <v/>
      </c>
      <c r="AL865">
        <f>IF($C865="","",IF(OR($Q865=TRUE(),$Q865="TRUE"),1,0))</f>
        <v/>
      </c>
      <c r="AM865">
        <f>IF($C865="","",IF($W865="Yes",1,0))</f>
        <v/>
      </c>
      <c r="AN865">
        <f>IF($AJ865=1,IFERROR(IF(VALUE($C865)&lt;100000000,VALUE($C865),1000000000),IFERROR(IF(VALUE(MID($C865,2,20))&lt;100000000,VALUE(MID($C865,2,20)),1000000000),1000000000))+ROW()/100000,"")</f>
        <v/>
      </c>
    </row>
    <row r="866">
      <c r="E866" s="11" t="n"/>
      <c r="M866" s="7">
        <f>IF($C866="","",L866*U866/100)</f>
        <v/>
      </c>
      <c r="N866" s="7" t="n"/>
      <c r="T866" s="7" t="n"/>
      <c r="U866" s="7">
        <f>IF($C866="","",S866*T866)</f>
        <v/>
      </c>
      <c r="X866">
        <f>IF($C866="","",IF($AM866=1,0,IF($AL866=1,Settings!$C$6,Settings!$C$7))*100)</f>
        <v/>
      </c>
      <c r="AB866" s="7" t="n"/>
      <c r="AE866" s="11" t="n"/>
      <c r="AG866" s="7">
        <f>IF($C866="","",U866*X866/100)</f>
        <v/>
      </c>
      <c r="AH866" s="7">
        <f>IF($C866="","",U866-AG866)</f>
        <v/>
      </c>
      <c r="AI866" s="7">
        <f>IF($C866="","",AH866-M866)</f>
        <v/>
      </c>
      <c r="AJ866">
        <f>IF($C866="","",IF(COUNTIF($C$2:$C866,$C866)=1,1,0))</f>
        <v/>
      </c>
      <c r="AK866">
        <f>IF($AJ866=1,SUMPRODUCT(--($AN$2:$AN$4001&lt;$AN866))+1,"")</f>
        <v/>
      </c>
      <c r="AL866">
        <f>IF($C866="","",IF(OR($Q866=TRUE(),$Q866="TRUE"),1,0))</f>
        <v/>
      </c>
      <c r="AM866">
        <f>IF($C866="","",IF($W866="Yes",1,0))</f>
        <v/>
      </c>
      <c r="AN866">
        <f>IF($AJ866=1,IFERROR(IF(VALUE($C866)&lt;100000000,VALUE($C866),1000000000),IFERROR(IF(VALUE(MID($C866,2,20))&lt;100000000,VALUE(MID($C866,2,20)),1000000000),1000000000))+ROW()/100000,"")</f>
        <v/>
      </c>
    </row>
    <row r="867">
      <c r="E867" s="11" t="n"/>
      <c r="M867" s="7">
        <f>IF($C867="","",L867*U867/100)</f>
        <v/>
      </c>
      <c r="N867" s="7" t="n"/>
      <c r="T867" s="7" t="n"/>
      <c r="U867" s="7">
        <f>IF($C867="","",S867*T867)</f>
        <v/>
      </c>
      <c r="X867">
        <f>IF($C867="","",IF($AM867=1,0,IF($AL867=1,Settings!$C$6,Settings!$C$7))*100)</f>
        <v/>
      </c>
      <c r="AB867" s="7" t="n"/>
      <c r="AE867" s="11" t="n"/>
      <c r="AG867" s="7">
        <f>IF($C867="","",U867*X867/100)</f>
        <v/>
      </c>
      <c r="AH867" s="7">
        <f>IF($C867="","",U867-AG867)</f>
        <v/>
      </c>
      <c r="AI867" s="7">
        <f>IF($C867="","",AH867-M867)</f>
        <v/>
      </c>
      <c r="AJ867">
        <f>IF($C867="","",IF(COUNTIF($C$2:$C867,$C867)=1,1,0))</f>
        <v/>
      </c>
      <c r="AK867">
        <f>IF($AJ867=1,SUMPRODUCT(--($AN$2:$AN$4001&lt;$AN867))+1,"")</f>
        <v/>
      </c>
      <c r="AL867">
        <f>IF($C867="","",IF(OR($Q867=TRUE(),$Q867="TRUE"),1,0))</f>
        <v/>
      </c>
      <c r="AM867">
        <f>IF($C867="","",IF($W867="Yes",1,0))</f>
        <v/>
      </c>
      <c r="AN867">
        <f>IF($AJ867=1,IFERROR(IF(VALUE($C867)&lt;100000000,VALUE($C867),1000000000),IFERROR(IF(VALUE(MID($C867,2,20))&lt;100000000,VALUE(MID($C867,2,20)),1000000000),1000000000))+ROW()/100000,"")</f>
        <v/>
      </c>
    </row>
    <row r="868">
      <c r="E868" s="11" t="n"/>
      <c r="M868" s="7">
        <f>IF($C868="","",L868*U868/100)</f>
        <v/>
      </c>
      <c r="N868" s="7" t="n"/>
      <c r="T868" s="7" t="n"/>
      <c r="U868" s="7">
        <f>IF($C868="","",S868*T868)</f>
        <v/>
      </c>
      <c r="X868">
        <f>IF($C868="","",IF($AM868=1,0,IF($AL868=1,Settings!$C$6,Settings!$C$7))*100)</f>
        <v/>
      </c>
      <c r="AB868" s="7" t="n"/>
      <c r="AE868" s="11" t="n"/>
      <c r="AG868" s="7">
        <f>IF($C868="","",U868*X868/100)</f>
        <v/>
      </c>
      <c r="AH868" s="7">
        <f>IF($C868="","",U868-AG868)</f>
        <v/>
      </c>
      <c r="AI868" s="7">
        <f>IF($C868="","",AH868-M868)</f>
        <v/>
      </c>
      <c r="AJ868">
        <f>IF($C868="","",IF(COUNTIF($C$2:$C868,$C868)=1,1,0))</f>
        <v/>
      </c>
      <c r="AK868">
        <f>IF($AJ868=1,SUMPRODUCT(--($AN$2:$AN$4001&lt;$AN868))+1,"")</f>
        <v/>
      </c>
      <c r="AL868">
        <f>IF($C868="","",IF(OR($Q868=TRUE(),$Q868="TRUE"),1,0))</f>
        <v/>
      </c>
      <c r="AM868">
        <f>IF($C868="","",IF($W868="Yes",1,0))</f>
        <v/>
      </c>
      <c r="AN868">
        <f>IF($AJ868=1,IFERROR(IF(VALUE($C868)&lt;100000000,VALUE($C868),1000000000),IFERROR(IF(VALUE(MID($C868,2,20))&lt;100000000,VALUE(MID($C868,2,20)),1000000000),1000000000))+ROW()/100000,"")</f>
        <v/>
      </c>
    </row>
    <row r="869">
      <c r="E869" s="11" t="n"/>
      <c r="M869" s="7">
        <f>IF($C869="","",L869*U869/100)</f>
        <v/>
      </c>
      <c r="N869" s="7" t="n"/>
      <c r="T869" s="7" t="n"/>
      <c r="U869" s="7">
        <f>IF($C869="","",S869*T869)</f>
        <v/>
      </c>
      <c r="X869">
        <f>IF($C869="","",IF($AM869=1,0,IF($AL869=1,Settings!$C$6,Settings!$C$7))*100)</f>
        <v/>
      </c>
      <c r="AB869" s="7" t="n"/>
      <c r="AE869" s="11" t="n"/>
      <c r="AG869" s="7">
        <f>IF($C869="","",U869*X869/100)</f>
        <v/>
      </c>
      <c r="AH869" s="7">
        <f>IF($C869="","",U869-AG869)</f>
        <v/>
      </c>
      <c r="AI869" s="7">
        <f>IF($C869="","",AH869-M869)</f>
        <v/>
      </c>
      <c r="AJ869">
        <f>IF($C869="","",IF(COUNTIF($C$2:$C869,$C869)=1,1,0))</f>
        <v/>
      </c>
      <c r="AK869">
        <f>IF($AJ869=1,SUMPRODUCT(--($AN$2:$AN$4001&lt;$AN869))+1,"")</f>
        <v/>
      </c>
      <c r="AL869">
        <f>IF($C869="","",IF(OR($Q869=TRUE(),$Q869="TRUE"),1,0))</f>
        <v/>
      </c>
      <c r="AM869">
        <f>IF($C869="","",IF($W869="Yes",1,0))</f>
        <v/>
      </c>
      <c r="AN869">
        <f>IF($AJ869=1,IFERROR(IF(VALUE($C869)&lt;100000000,VALUE($C869),1000000000),IFERROR(IF(VALUE(MID($C869,2,20))&lt;100000000,VALUE(MID($C869,2,20)),1000000000),1000000000))+ROW()/100000,"")</f>
        <v/>
      </c>
    </row>
    <row r="870">
      <c r="E870" s="11" t="n"/>
      <c r="M870" s="7">
        <f>IF($C870="","",L870*U870/100)</f>
        <v/>
      </c>
      <c r="N870" s="7" t="n"/>
      <c r="T870" s="7" t="n"/>
      <c r="U870" s="7">
        <f>IF($C870="","",S870*T870)</f>
        <v/>
      </c>
      <c r="X870">
        <f>IF($C870="","",IF($AM870=1,0,IF($AL870=1,Settings!$C$6,Settings!$C$7))*100)</f>
        <v/>
      </c>
      <c r="AB870" s="7" t="n"/>
      <c r="AE870" s="11" t="n"/>
      <c r="AG870" s="7">
        <f>IF($C870="","",U870*X870/100)</f>
        <v/>
      </c>
      <c r="AH870" s="7">
        <f>IF($C870="","",U870-AG870)</f>
        <v/>
      </c>
      <c r="AI870" s="7">
        <f>IF($C870="","",AH870-M870)</f>
        <v/>
      </c>
      <c r="AJ870">
        <f>IF($C870="","",IF(COUNTIF($C$2:$C870,$C870)=1,1,0))</f>
        <v/>
      </c>
      <c r="AK870">
        <f>IF($AJ870=1,SUMPRODUCT(--($AN$2:$AN$4001&lt;$AN870))+1,"")</f>
        <v/>
      </c>
      <c r="AL870">
        <f>IF($C870="","",IF(OR($Q870=TRUE(),$Q870="TRUE"),1,0))</f>
        <v/>
      </c>
      <c r="AM870">
        <f>IF($C870="","",IF($W870="Yes",1,0))</f>
        <v/>
      </c>
      <c r="AN870">
        <f>IF($AJ870=1,IFERROR(IF(VALUE($C870)&lt;100000000,VALUE($C870),1000000000),IFERROR(IF(VALUE(MID($C870,2,20))&lt;100000000,VALUE(MID($C870,2,20)),1000000000),1000000000))+ROW()/100000,"")</f>
        <v/>
      </c>
    </row>
    <row r="871">
      <c r="E871" s="11" t="n"/>
      <c r="M871" s="7">
        <f>IF($C871="","",L871*U871/100)</f>
        <v/>
      </c>
      <c r="N871" s="7" t="n"/>
      <c r="T871" s="7" t="n"/>
      <c r="U871" s="7">
        <f>IF($C871="","",S871*T871)</f>
        <v/>
      </c>
      <c r="X871">
        <f>IF($C871="","",IF($AM871=1,0,IF($AL871=1,Settings!$C$6,Settings!$C$7))*100)</f>
        <v/>
      </c>
      <c r="AB871" s="7" t="n"/>
      <c r="AE871" s="11" t="n"/>
      <c r="AG871" s="7">
        <f>IF($C871="","",U871*X871/100)</f>
        <v/>
      </c>
      <c r="AH871" s="7">
        <f>IF($C871="","",U871-AG871)</f>
        <v/>
      </c>
      <c r="AI871" s="7">
        <f>IF($C871="","",AH871-M871)</f>
        <v/>
      </c>
      <c r="AJ871">
        <f>IF($C871="","",IF(COUNTIF($C$2:$C871,$C871)=1,1,0))</f>
        <v/>
      </c>
      <c r="AK871">
        <f>IF($AJ871=1,SUMPRODUCT(--($AN$2:$AN$4001&lt;$AN871))+1,"")</f>
        <v/>
      </c>
      <c r="AL871">
        <f>IF($C871="","",IF(OR($Q871=TRUE(),$Q871="TRUE"),1,0))</f>
        <v/>
      </c>
      <c r="AM871">
        <f>IF($C871="","",IF($W871="Yes",1,0))</f>
        <v/>
      </c>
      <c r="AN871">
        <f>IF($AJ871=1,IFERROR(IF(VALUE($C871)&lt;100000000,VALUE($C871),1000000000),IFERROR(IF(VALUE(MID($C871,2,20))&lt;100000000,VALUE(MID($C871,2,20)),1000000000),1000000000))+ROW()/100000,"")</f>
        <v/>
      </c>
    </row>
    <row r="872">
      <c r="E872" s="11" t="n"/>
      <c r="M872" s="7">
        <f>IF($C872="","",L872*U872/100)</f>
        <v/>
      </c>
      <c r="N872" s="7" t="n"/>
      <c r="T872" s="7" t="n"/>
      <c r="U872" s="7">
        <f>IF($C872="","",S872*T872)</f>
        <v/>
      </c>
      <c r="X872">
        <f>IF($C872="","",IF($AM872=1,0,IF($AL872=1,Settings!$C$6,Settings!$C$7))*100)</f>
        <v/>
      </c>
      <c r="AB872" s="7" t="n"/>
      <c r="AE872" s="11" t="n"/>
      <c r="AG872" s="7">
        <f>IF($C872="","",U872*X872/100)</f>
        <v/>
      </c>
      <c r="AH872" s="7">
        <f>IF($C872="","",U872-AG872)</f>
        <v/>
      </c>
      <c r="AI872" s="7">
        <f>IF($C872="","",AH872-M872)</f>
        <v/>
      </c>
      <c r="AJ872">
        <f>IF($C872="","",IF(COUNTIF($C$2:$C872,$C872)=1,1,0))</f>
        <v/>
      </c>
      <c r="AK872">
        <f>IF($AJ872=1,SUMPRODUCT(--($AN$2:$AN$4001&lt;$AN872))+1,"")</f>
        <v/>
      </c>
      <c r="AL872">
        <f>IF($C872="","",IF(OR($Q872=TRUE(),$Q872="TRUE"),1,0))</f>
        <v/>
      </c>
      <c r="AM872">
        <f>IF($C872="","",IF($W872="Yes",1,0))</f>
        <v/>
      </c>
      <c r="AN872">
        <f>IF($AJ872=1,IFERROR(IF(VALUE($C872)&lt;100000000,VALUE($C872),1000000000),IFERROR(IF(VALUE(MID($C872,2,20))&lt;100000000,VALUE(MID($C872,2,20)),1000000000),1000000000))+ROW()/100000,"")</f>
        <v/>
      </c>
    </row>
    <row r="873">
      <c r="E873" s="11" t="n"/>
      <c r="M873" s="7">
        <f>IF($C873="","",L873*U873/100)</f>
        <v/>
      </c>
      <c r="N873" s="7" t="n"/>
      <c r="T873" s="7" t="n"/>
      <c r="U873" s="7">
        <f>IF($C873="","",S873*T873)</f>
        <v/>
      </c>
      <c r="X873">
        <f>IF($C873="","",IF($AM873=1,0,IF($AL873=1,Settings!$C$6,Settings!$C$7))*100)</f>
        <v/>
      </c>
      <c r="AB873" s="7" t="n"/>
      <c r="AE873" s="11" t="n"/>
      <c r="AG873" s="7">
        <f>IF($C873="","",U873*X873/100)</f>
        <v/>
      </c>
      <c r="AH873" s="7">
        <f>IF($C873="","",U873-AG873)</f>
        <v/>
      </c>
      <c r="AI873" s="7">
        <f>IF($C873="","",AH873-M873)</f>
        <v/>
      </c>
      <c r="AJ873">
        <f>IF($C873="","",IF(COUNTIF($C$2:$C873,$C873)=1,1,0))</f>
        <v/>
      </c>
      <c r="AK873">
        <f>IF($AJ873=1,SUMPRODUCT(--($AN$2:$AN$4001&lt;$AN873))+1,"")</f>
        <v/>
      </c>
      <c r="AL873">
        <f>IF($C873="","",IF(OR($Q873=TRUE(),$Q873="TRUE"),1,0))</f>
        <v/>
      </c>
      <c r="AM873">
        <f>IF($C873="","",IF($W873="Yes",1,0))</f>
        <v/>
      </c>
      <c r="AN873">
        <f>IF($AJ873=1,IFERROR(IF(VALUE($C873)&lt;100000000,VALUE($C873),1000000000),IFERROR(IF(VALUE(MID($C873,2,20))&lt;100000000,VALUE(MID($C873,2,20)),1000000000),1000000000))+ROW()/100000,"")</f>
        <v/>
      </c>
    </row>
    <row r="874">
      <c r="E874" s="11" t="n"/>
      <c r="M874" s="7">
        <f>IF($C874="","",L874*U874/100)</f>
        <v/>
      </c>
      <c r="N874" s="7" t="n"/>
      <c r="T874" s="7" t="n"/>
      <c r="U874" s="7">
        <f>IF($C874="","",S874*T874)</f>
        <v/>
      </c>
      <c r="X874">
        <f>IF($C874="","",IF($AM874=1,0,IF($AL874=1,Settings!$C$6,Settings!$C$7))*100)</f>
        <v/>
      </c>
      <c r="AB874" s="7" t="n"/>
      <c r="AE874" s="11" t="n"/>
      <c r="AG874" s="7">
        <f>IF($C874="","",U874*X874/100)</f>
        <v/>
      </c>
      <c r="AH874" s="7">
        <f>IF($C874="","",U874-AG874)</f>
        <v/>
      </c>
      <c r="AI874" s="7">
        <f>IF($C874="","",AH874-M874)</f>
        <v/>
      </c>
      <c r="AJ874">
        <f>IF($C874="","",IF(COUNTIF($C$2:$C874,$C874)=1,1,0))</f>
        <v/>
      </c>
      <c r="AK874">
        <f>IF($AJ874=1,SUMPRODUCT(--($AN$2:$AN$4001&lt;$AN874))+1,"")</f>
        <v/>
      </c>
      <c r="AL874">
        <f>IF($C874="","",IF(OR($Q874=TRUE(),$Q874="TRUE"),1,0))</f>
        <v/>
      </c>
      <c r="AM874">
        <f>IF($C874="","",IF($W874="Yes",1,0))</f>
        <v/>
      </c>
      <c r="AN874">
        <f>IF($AJ874=1,IFERROR(IF(VALUE($C874)&lt;100000000,VALUE($C874),1000000000),IFERROR(IF(VALUE(MID($C874,2,20))&lt;100000000,VALUE(MID($C874,2,20)),1000000000),1000000000))+ROW()/100000,"")</f>
        <v/>
      </c>
    </row>
    <row r="875">
      <c r="E875" s="11" t="n"/>
      <c r="M875" s="7">
        <f>IF($C875="","",L875*U875/100)</f>
        <v/>
      </c>
      <c r="N875" s="7" t="n"/>
      <c r="T875" s="7" t="n"/>
      <c r="U875" s="7">
        <f>IF($C875="","",S875*T875)</f>
        <v/>
      </c>
      <c r="X875">
        <f>IF($C875="","",IF($AM875=1,0,IF($AL875=1,Settings!$C$6,Settings!$C$7))*100)</f>
        <v/>
      </c>
      <c r="AB875" s="7" t="n"/>
      <c r="AE875" s="11" t="n"/>
      <c r="AG875" s="7">
        <f>IF($C875="","",U875*X875/100)</f>
        <v/>
      </c>
      <c r="AH875" s="7">
        <f>IF($C875="","",U875-AG875)</f>
        <v/>
      </c>
      <c r="AI875" s="7">
        <f>IF($C875="","",AH875-M875)</f>
        <v/>
      </c>
      <c r="AJ875">
        <f>IF($C875="","",IF(COUNTIF($C$2:$C875,$C875)=1,1,0))</f>
        <v/>
      </c>
      <c r="AK875">
        <f>IF($AJ875=1,SUMPRODUCT(--($AN$2:$AN$4001&lt;$AN875))+1,"")</f>
        <v/>
      </c>
      <c r="AL875">
        <f>IF($C875="","",IF(OR($Q875=TRUE(),$Q875="TRUE"),1,0))</f>
        <v/>
      </c>
      <c r="AM875">
        <f>IF($C875="","",IF($W875="Yes",1,0))</f>
        <v/>
      </c>
      <c r="AN875">
        <f>IF($AJ875=1,IFERROR(IF(VALUE($C875)&lt;100000000,VALUE($C875),1000000000),IFERROR(IF(VALUE(MID($C875,2,20))&lt;100000000,VALUE(MID($C875,2,20)),1000000000),1000000000))+ROW()/100000,"")</f>
        <v/>
      </c>
    </row>
    <row r="876">
      <c r="E876" s="11" t="n"/>
      <c r="M876" s="7">
        <f>IF($C876="","",L876*U876/100)</f>
        <v/>
      </c>
      <c r="N876" s="7" t="n"/>
      <c r="T876" s="7" t="n"/>
      <c r="U876" s="7">
        <f>IF($C876="","",S876*T876)</f>
        <v/>
      </c>
      <c r="X876">
        <f>IF($C876="","",IF($AM876=1,0,IF($AL876=1,Settings!$C$6,Settings!$C$7))*100)</f>
        <v/>
      </c>
      <c r="AB876" s="7" t="n"/>
      <c r="AE876" s="11" t="n"/>
      <c r="AG876" s="7">
        <f>IF($C876="","",U876*X876/100)</f>
        <v/>
      </c>
      <c r="AH876" s="7">
        <f>IF($C876="","",U876-AG876)</f>
        <v/>
      </c>
      <c r="AI876" s="7">
        <f>IF($C876="","",AH876-M876)</f>
        <v/>
      </c>
      <c r="AJ876">
        <f>IF($C876="","",IF(COUNTIF($C$2:$C876,$C876)=1,1,0))</f>
        <v/>
      </c>
      <c r="AK876">
        <f>IF($AJ876=1,SUMPRODUCT(--($AN$2:$AN$4001&lt;$AN876))+1,"")</f>
        <v/>
      </c>
      <c r="AL876">
        <f>IF($C876="","",IF(OR($Q876=TRUE(),$Q876="TRUE"),1,0))</f>
        <v/>
      </c>
      <c r="AM876">
        <f>IF($C876="","",IF($W876="Yes",1,0))</f>
        <v/>
      </c>
      <c r="AN876">
        <f>IF($AJ876=1,IFERROR(IF(VALUE($C876)&lt;100000000,VALUE($C876),1000000000),IFERROR(IF(VALUE(MID($C876,2,20))&lt;100000000,VALUE(MID($C876,2,20)),1000000000),1000000000))+ROW()/100000,"")</f>
        <v/>
      </c>
    </row>
    <row r="877">
      <c r="E877" s="11" t="n"/>
      <c r="M877" s="7">
        <f>IF($C877="","",L877*U877/100)</f>
        <v/>
      </c>
      <c r="N877" s="7" t="n"/>
      <c r="T877" s="7" t="n"/>
      <c r="U877" s="7">
        <f>IF($C877="","",S877*T877)</f>
        <v/>
      </c>
      <c r="X877">
        <f>IF($C877="","",IF($AM877=1,0,IF($AL877=1,Settings!$C$6,Settings!$C$7))*100)</f>
        <v/>
      </c>
      <c r="AB877" s="7" t="n"/>
      <c r="AE877" s="11" t="n"/>
      <c r="AG877" s="7">
        <f>IF($C877="","",U877*X877/100)</f>
        <v/>
      </c>
      <c r="AH877" s="7">
        <f>IF($C877="","",U877-AG877)</f>
        <v/>
      </c>
      <c r="AI877" s="7">
        <f>IF($C877="","",AH877-M877)</f>
        <v/>
      </c>
      <c r="AJ877">
        <f>IF($C877="","",IF(COUNTIF($C$2:$C877,$C877)=1,1,0))</f>
        <v/>
      </c>
      <c r="AK877">
        <f>IF($AJ877=1,SUMPRODUCT(--($AN$2:$AN$4001&lt;$AN877))+1,"")</f>
        <v/>
      </c>
      <c r="AL877">
        <f>IF($C877="","",IF(OR($Q877=TRUE(),$Q877="TRUE"),1,0))</f>
        <v/>
      </c>
      <c r="AM877">
        <f>IF($C877="","",IF($W877="Yes",1,0))</f>
        <v/>
      </c>
      <c r="AN877">
        <f>IF($AJ877=1,IFERROR(IF(VALUE($C877)&lt;100000000,VALUE($C877),1000000000),IFERROR(IF(VALUE(MID($C877,2,20))&lt;100000000,VALUE(MID($C877,2,20)),1000000000),1000000000))+ROW()/100000,"")</f>
        <v/>
      </c>
    </row>
    <row r="878">
      <c r="E878" s="11" t="n"/>
      <c r="M878" s="7">
        <f>IF($C878="","",L878*U878/100)</f>
        <v/>
      </c>
      <c r="N878" s="7" t="n"/>
      <c r="T878" s="7" t="n"/>
      <c r="U878" s="7">
        <f>IF($C878="","",S878*T878)</f>
        <v/>
      </c>
      <c r="X878">
        <f>IF($C878="","",IF($AM878=1,0,IF($AL878=1,Settings!$C$6,Settings!$C$7))*100)</f>
        <v/>
      </c>
      <c r="AB878" s="7" t="n"/>
      <c r="AE878" s="11" t="n"/>
      <c r="AG878" s="7">
        <f>IF($C878="","",U878*X878/100)</f>
        <v/>
      </c>
      <c r="AH878" s="7">
        <f>IF($C878="","",U878-AG878)</f>
        <v/>
      </c>
      <c r="AI878" s="7">
        <f>IF($C878="","",AH878-M878)</f>
        <v/>
      </c>
      <c r="AJ878">
        <f>IF($C878="","",IF(COUNTIF($C$2:$C878,$C878)=1,1,0))</f>
        <v/>
      </c>
      <c r="AK878">
        <f>IF($AJ878=1,SUMPRODUCT(--($AN$2:$AN$4001&lt;$AN878))+1,"")</f>
        <v/>
      </c>
      <c r="AL878">
        <f>IF($C878="","",IF(OR($Q878=TRUE(),$Q878="TRUE"),1,0))</f>
        <v/>
      </c>
      <c r="AM878">
        <f>IF($C878="","",IF($W878="Yes",1,0))</f>
        <v/>
      </c>
      <c r="AN878">
        <f>IF($AJ878=1,IFERROR(IF(VALUE($C878)&lt;100000000,VALUE($C878),1000000000),IFERROR(IF(VALUE(MID($C878,2,20))&lt;100000000,VALUE(MID($C878,2,20)),1000000000),1000000000))+ROW()/100000,"")</f>
        <v/>
      </c>
    </row>
    <row r="879">
      <c r="E879" s="11" t="n"/>
      <c r="M879" s="7">
        <f>IF($C879="","",L879*U879/100)</f>
        <v/>
      </c>
      <c r="N879" s="7" t="n"/>
      <c r="T879" s="7" t="n"/>
      <c r="U879" s="7">
        <f>IF($C879="","",S879*T879)</f>
        <v/>
      </c>
      <c r="X879">
        <f>IF($C879="","",IF($AM879=1,0,IF($AL879=1,Settings!$C$6,Settings!$C$7))*100)</f>
        <v/>
      </c>
      <c r="AB879" s="7" t="n"/>
      <c r="AE879" s="11" t="n"/>
      <c r="AG879" s="7">
        <f>IF($C879="","",U879*X879/100)</f>
        <v/>
      </c>
      <c r="AH879" s="7">
        <f>IF($C879="","",U879-AG879)</f>
        <v/>
      </c>
      <c r="AI879" s="7">
        <f>IF($C879="","",AH879-M879)</f>
        <v/>
      </c>
      <c r="AJ879">
        <f>IF($C879="","",IF(COUNTIF($C$2:$C879,$C879)=1,1,0))</f>
        <v/>
      </c>
      <c r="AK879">
        <f>IF($AJ879=1,SUMPRODUCT(--($AN$2:$AN$4001&lt;$AN879))+1,"")</f>
        <v/>
      </c>
      <c r="AL879">
        <f>IF($C879="","",IF(OR($Q879=TRUE(),$Q879="TRUE"),1,0))</f>
        <v/>
      </c>
      <c r="AM879">
        <f>IF($C879="","",IF($W879="Yes",1,0))</f>
        <v/>
      </c>
      <c r="AN879">
        <f>IF($AJ879=1,IFERROR(IF(VALUE($C879)&lt;100000000,VALUE($C879),1000000000),IFERROR(IF(VALUE(MID($C879,2,20))&lt;100000000,VALUE(MID($C879,2,20)),1000000000),1000000000))+ROW()/100000,"")</f>
        <v/>
      </c>
    </row>
    <row r="880">
      <c r="E880" s="11" t="n"/>
      <c r="M880" s="7">
        <f>IF($C880="","",L880*U880/100)</f>
        <v/>
      </c>
      <c r="N880" s="7" t="n"/>
      <c r="T880" s="7" t="n"/>
      <c r="U880" s="7">
        <f>IF($C880="","",S880*T880)</f>
        <v/>
      </c>
      <c r="X880">
        <f>IF($C880="","",IF($AM880=1,0,IF($AL880=1,Settings!$C$6,Settings!$C$7))*100)</f>
        <v/>
      </c>
      <c r="AB880" s="7" t="n"/>
      <c r="AE880" s="11" t="n"/>
      <c r="AG880" s="7">
        <f>IF($C880="","",U880*X880/100)</f>
        <v/>
      </c>
      <c r="AH880" s="7">
        <f>IF($C880="","",U880-AG880)</f>
        <v/>
      </c>
      <c r="AI880" s="7">
        <f>IF($C880="","",AH880-M880)</f>
        <v/>
      </c>
      <c r="AJ880">
        <f>IF($C880="","",IF(COUNTIF($C$2:$C880,$C880)=1,1,0))</f>
        <v/>
      </c>
      <c r="AK880">
        <f>IF($AJ880=1,SUMPRODUCT(--($AN$2:$AN$4001&lt;$AN880))+1,"")</f>
        <v/>
      </c>
      <c r="AL880">
        <f>IF($C880="","",IF(OR($Q880=TRUE(),$Q880="TRUE"),1,0))</f>
        <v/>
      </c>
      <c r="AM880">
        <f>IF($C880="","",IF($W880="Yes",1,0))</f>
        <v/>
      </c>
      <c r="AN880">
        <f>IF($AJ880=1,IFERROR(IF(VALUE($C880)&lt;100000000,VALUE($C880),1000000000),IFERROR(IF(VALUE(MID($C880,2,20))&lt;100000000,VALUE(MID($C880,2,20)),1000000000),1000000000))+ROW()/100000,"")</f>
        <v/>
      </c>
    </row>
    <row r="881">
      <c r="E881" s="11" t="n"/>
      <c r="M881" s="7">
        <f>IF($C881="","",L881*U881/100)</f>
        <v/>
      </c>
      <c r="N881" s="7" t="n"/>
      <c r="T881" s="7" t="n"/>
      <c r="U881" s="7">
        <f>IF($C881="","",S881*T881)</f>
        <v/>
      </c>
      <c r="X881">
        <f>IF($C881="","",IF($AM881=1,0,IF($AL881=1,Settings!$C$6,Settings!$C$7))*100)</f>
        <v/>
      </c>
      <c r="AB881" s="7" t="n"/>
      <c r="AE881" s="11" t="n"/>
      <c r="AG881" s="7">
        <f>IF($C881="","",U881*X881/100)</f>
        <v/>
      </c>
      <c r="AH881" s="7">
        <f>IF($C881="","",U881-AG881)</f>
        <v/>
      </c>
      <c r="AI881" s="7">
        <f>IF($C881="","",AH881-M881)</f>
        <v/>
      </c>
      <c r="AJ881">
        <f>IF($C881="","",IF(COUNTIF($C$2:$C881,$C881)=1,1,0))</f>
        <v/>
      </c>
      <c r="AK881">
        <f>IF($AJ881=1,SUMPRODUCT(--($AN$2:$AN$4001&lt;$AN881))+1,"")</f>
        <v/>
      </c>
      <c r="AL881">
        <f>IF($C881="","",IF(OR($Q881=TRUE(),$Q881="TRUE"),1,0))</f>
        <v/>
      </c>
      <c r="AM881">
        <f>IF($C881="","",IF($W881="Yes",1,0))</f>
        <v/>
      </c>
      <c r="AN881">
        <f>IF($AJ881=1,IFERROR(IF(VALUE($C881)&lt;100000000,VALUE($C881),1000000000),IFERROR(IF(VALUE(MID($C881,2,20))&lt;100000000,VALUE(MID($C881,2,20)),1000000000),1000000000))+ROW()/100000,"")</f>
        <v/>
      </c>
    </row>
    <row r="882">
      <c r="E882" s="11" t="n"/>
      <c r="M882" s="7">
        <f>IF($C882="","",L882*U882/100)</f>
        <v/>
      </c>
      <c r="N882" s="7" t="n"/>
      <c r="T882" s="7" t="n"/>
      <c r="U882" s="7">
        <f>IF($C882="","",S882*T882)</f>
        <v/>
      </c>
      <c r="X882">
        <f>IF($C882="","",IF($AM882=1,0,IF($AL882=1,Settings!$C$6,Settings!$C$7))*100)</f>
        <v/>
      </c>
      <c r="AB882" s="7" t="n"/>
      <c r="AE882" s="11" t="n"/>
      <c r="AG882" s="7">
        <f>IF($C882="","",U882*X882/100)</f>
        <v/>
      </c>
      <c r="AH882" s="7">
        <f>IF($C882="","",U882-AG882)</f>
        <v/>
      </c>
      <c r="AI882" s="7">
        <f>IF($C882="","",AH882-M882)</f>
        <v/>
      </c>
      <c r="AJ882">
        <f>IF($C882="","",IF(COUNTIF($C$2:$C882,$C882)=1,1,0))</f>
        <v/>
      </c>
      <c r="AK882">
        <f>IF($AJ882=1,SUMPRODUCT(--($AN$2:$AN$4001&lt;$AN882))+1,"")</f>
        <v/>
      </c>
      <c r="AL882">
        <f>IF($C882="","",IF(OR($Q882=TRUE(),$Q882="TRUE"),1,0))</f>
        <v/>
      </c>
      <c r="AM882">
        <f>IF($C882="","",IF($W882="Yes",1,0))</f>
        <v/>
      </c>
      <c r="AN882">
        <f>IF($AJ882=1,IFERROR(IF(VALUE($C882)&lt;100000000,VALUE($C882),1000000000),IFERROR(IF(VALUE(MID($C882,2,20))&lt;100000000,VALUE(MID($C882,2,20)),1000000000),1000000000))+ROW()/100000,"")</f>
        <v/>
      </c>
    </row>
    <row r="883">
      <c r="E883" s="11" t="n"/>
      <c r="M883" s="7">
        <f>IF($C883="","",L883*U883/100)</f>
        <v/>
      </c>
      <c r="N883" s="7" t="n"/>
      <c r="T883" s="7" t="n"/>
      <c r="U883" s="7">
        <f>IF($C883="","",S883*T883)</f>
        <v/>
      </c>
      <c r="X883">
        <f>IF($C883="","",IF($AM883=1,0,IF($AL883=1,Settings!$C$6,Settings!$C$7))*100)</f>
        <v/>
      </c>
      <c r="AB883" s="7" t="n"/>
      <c r="AE883" s="11" t="n"/>
      <c r="AG883" s="7">
        <f>IF($C883="","",U883*X883/100)</f>
        <v/>
      </c>
      <c r="AH883" s="7">
        <f>IF($C883="","",U883-AG883)</f>
        <v/>
      </c>
      <c r="AI883" s="7">
        <f>IF($C883="","",AH883-M883)</f>
        <v/>
      </c>
      <c r="AJ883">
        <f>IF($C883="","",IF(COUNTIF($C$2:$C883,$C883)=1,1,0))</f>
        <v/>
      </c>
      <c r="AK883">
        <f>IF($AJ883=1,SUMPRODUCT(--($AN$2:$AN$4001&lt;$AN883))+1,"")</f>
        <v/>
      </c>
      <c r="AL883">
        <f>IF($C883="","",IF(OR($Q883=TRUE(),$Q883="TRUE"),1,0))</f>
        <v/>
      </c>
      <c r="AM883">
        <f>IF($C883="","",IF($W883="Yes",1,0))</f>
        <v/>
      </c>
      <c r="AN883">
        <f>IF($AJ883=1,IFERROR(IF(VALUE($C883)&lt;100000000,VALUE($C883),1000000000),IFERROR(IF(VALUE(MID($C883,2,20))&lt;100000000,VALUE(MID($C883,2,20)),1000000000),1000000000))+ROW()/100000,"")</f>
        <v/>
      </c>
    </row>
    <row r="884">
      <c r="E884" s="11" t="n"/>
      <c r="M884" s="7">
        <f>IF($C884="","",L884*U884/100)</f>
        <v/>
      </c>
      <c r="N884" s="7" t="n"/>
      <c r="T884" s="7" t="n"/>
      <c r="U884" s="7">
        <f>IF($C884="","",S884*T884)</f>
        <v/>
      </c>
      <c r="X884">
        <f>IF($C884="","",IF($AM884=1,0,IF($AL884=1,Settings!$C$6,Settings!$C$7))*100)</f>
        <v/>
      </c>
      <c r="AB884" s="7" t="n"/>
      <c r="AE884" s="11" t="n"/>
      <c r="AG884" s="7">
        <f>IF($C884="","",U884*X884/100)</f>
        <v/>
      </c>
      <c r="AH884" s="7">
        <f>IF($C884="","",U884-AG884)</f>
        <v/>
      </c>
      <c r="AI884" s="7">
        <f>IF($C884="","",AH884-M884)</f>
        <v/>
      </c>
      <c r="AJ884">
        <f>IF($C884="","",IF(COUNTIF($C$2:$C884,$C884)=1,1,0))</f>
        <v/>
      </c>
      <c r="AK884">
        <f>IF($AJ884=1,SUMPRODUCT(--($AN$2:$AN$4001&lt;$AN884))+1,"")</f>
        <v/>
      </c>
      <c r="AL884">
        <f>IF($C884="","",IF(OR($Q884=TRUE(),$Q884="TRUE"),1,0))</f>
        <v/>
      </c>
      <c r="AM884">
        <f>IF($C884="","",IF($W884="Yes",1,0))</f>
        <v/>
      </c>
      <c r="AN884">
        <f>IF($AJ884=1,IFERROR(IF(VALUE($C884)&lt;100000000,VALUE($C884),1000000000),IFERROR(IF(VALUE(MID($C884,2,20))&lt;100000000,VALUE(MID($C884,2,20)),1000000000),1000000000))+ROW()/100000,"")</f>
        <v/>
      </c>
    </row>
    <row r="885">
      <c r="E885" s="11" t="n"/>
      <c r="M885" s="7">
        <f>IF($C885="","",L885*U885/100)</f>
        <v/>
      </c>
      <c r="N885" s="7" t="n"/>
      <c r="T885" s="7" t="n"/>
      <c r="U885" s="7">
        <f>IF($C885="","",S885*T885)</f>
        <v/>
      </c>
      <c r="X885">
        <f>IF($C885="","",IF($AM885=1,0,IF($AL885=1,Settings!$C$6,Settings!$C$7))*100)</f>
        <v/>
      </c>
      <c r="AB885" s="7" t="n"/>
      <c r="AE885" s="11" t="n"/>
      <c r="AG885" s="7">
        <f>IF($C885="","",U885*X885/100)</f>
        <v/>
      </c>
      <c r="AH885" s="7">
        <f>IF($C885="","",U885-AG885)</f>
        <v/>
      </c>
      <c r="AI885" s="7">
        <f>IF($C885="","",AH885-M885)</f>
        <v/>
      </c>
      <c r="AJ885">
        <f>IF($C885="","",IF(COUNTIF($C$2:$C885,$C885)=1,1,0))</f>
        <v/>
      </c>
      <c r="AK885">
        <f>IF($AJ885=1,SUMPRODUCT(--($AN$2:$AN$4001&lt;$AN885))+1,"")</f>
        <v/>
      </c>
      <c r="AL885">
        <f>IF($C885="","",IF(OR($Q885=TRUE(),$Q885="TRUE"),1,0))</f>
        <v/>
      </c>
      <c r="AM885">
        <f>IF($C885="","",IF($W885="Yes",1,0))</f>
        <v/>
      </c>
      <c r="AN885">
        <f>IF($AJ885=1,IFERROR(IF(VALUE($C885)&lt;100000000,VALUE($C885),1000000000),IFERROR(IF(VALUE(MID($C885,2,20))&lt;100000000,VALUE(MID($C885,2,20)),1000000000),1000000000))+ROW()/100000,"")</f>
        <v/>
      </c>
    </row>
    <row r="886">
      <c r="E886" s="11" t="n"/>
      <c r="M886" s="7">
        <f>IF($C886="","",L886*U886/100)</f>
        <v/>
      </c>
      <c r="N886" s="7" t="n"/>
      <c r="T886" s="7" t="n"/>
      <c r="U886" s="7">
        <f>IF($C886="","",S886*T886)</f>
        <v/>
      </c>
      <c r="X886">
        <f>IF($C886="","",IF($AM886=1,0,IF($AL886=1,Settings!$C$6,Settings!$C$7))*100)</f>
        <v/>
      </c>
      <c r="AB886" s="7" t="n"/>
      <c r="AE886" s="11" t="n"/>
      <c r="AG886" s="7">
        <f>IF($C886="","",U886*X886/100)</f>
        <v/>
      </c>
      <c r="AH886" s="7">
        <f>IF($C886="","",U886-AG886)</f>
        <v/>
      </c>
      <c r="AI886" s="7">
        <f>IF($C886="","",AH886-M886)</f>
        <v/>
      </c>
      <c r="AJ886">
        <f>IF($C886="","",IF(COUNTIF($C$2:$C886,$C886)=1,1,0))</f>
        <v/>
      </c>
      <c r="AK886">
        <f>IF($AJ886=1,SUMPRODUCT(--($AN$2:$AN$4001&lt;$AN886))+1,"")</f>
        <v/>
      </c>
      <c r="AL886">
        <f>IF($C886="","",IF(OR($Q886=TRUE(),$Q886="TRUE"),1,0))</f>
        <v/>
      </c>
      <c r="AM886">
        <f>IF($C886="","",IF($W886="Yes",1,0))</f>
        <v/>
      </c>
      <c r="AN886">
        <f>IF($AJ886=1,IFERROR(IF(VALUE($C886)&lt;100000000,VALUE($C886),1000000000),IFERROR(IF(VALUE(MID($C886,2,20))&lt;100000000,VALUE(MID($C886,2,20)),1000000000),1000000000))+ROW()/100000,"")</f>
        <v/>
      </c>
    </row>
    <row r="887">
      <c r="E887" s="11" t="n"/>
      <c r="M887" s="7">
        <f>IF($C887="","",L887*U887/100)</f>
        <v/>
      </c>
      <c r="N887" s="7" t="n"/>
      <c r="T887" s="7" t="n"/>
      <c r="U887" s="7">
        <f>IF($C887="","",S887*T887)</f>
        <v/>
      </c>
      <c r="X887">
        <f>IF($C887="","",IF($AM887=1,0,IF($AL887=1,Settings!$C$6,Settings!$C$7))*100)</f>
        <v/>
      </c>
      <c r="AB887" s="7" t="n"/>
      <c r="AE887" s="11" t="n"/>
      <c r="AG887" s="7">
        <f>IF($C887="","",U887*X887/100)</f>
        <v/>
      </c>
      <c r="AH887" s="7">
        <f>IF($C887="","",U887-AG887)</f>
        <v/>
      </c>
      <c r="AI887" s="7">
        <f>IF($C887="","",AH887-M887)</f>
        <v/>
      </c>
      <c r="AJ887">
        <f>IF($C887="","",IF(COUNTIF($C$2:$C887,$C887)=1,1,0))</f>
        <v/>
      </c>
      <c r="AK887">
        <f>IF($AJ887=1,SUMPRODUCT(--($AN$2:$AN$4001&lt;$AN887))+1,"")</f>
        <v/>
      </c>
      <c r="AL887">
        <f>IF($C887="","",IF(OR($Q887=TRUE(),$Q887="TRUE"),1,0))</f>
        <v/>
      </c>
      <c r="AM887">
        <f>IF($C887="","",IF($W887="Yes",1,0))</f>
        <v/>
      </c>
      <c r="AN887">
        <f>IF($AJ887=1,IFERROR(IF(VALUE($C887)&lt;100000000,VALUE($C887),1000000000),IFERROR(IF(VALUE(MID($C887,2,20))&lt;100000000,VALUE(MID($C887,2,20)),1000000000),1000000000))+ROW()/100000,"")</f>
        <v/>
      </c>
    </row>
    <row r="888">
      <c r="E888" s="11" t="n"/>
      <c r="M888" s="7">
        <f>IF($C888="","",L888*U888/100)</f>
        <v/>
      </c>
      <c r="N888" s="7" t="n"/>
      <c r="T888" s="7" t="n"/>
      <c r="U888" s="7">
        <f>IF($C888="","",S888*T888)</f>
        <v/>
      </c>
      <c r="X888">
        <f>IF($C888="","",IF($AM888=1,0,IF($AL888=1,Settings!$C$6,Settings!$C$7))*100)</f>
        <v/>
      </c>
      <c r="AB888" s="7" t="n"/>
      <c r="AE888" s="11" t="n"/>
      <c r="AG888" s="7">
        <f>IF($C888="","",U888*X888/100)</f>
        <v/>
      </c>
      <c r="AH888" s="7">
        <f>IF($C888="","",U888-AG888)</f>
        <v/>
      </c>
      <c r="AI888" s="7">
        <f>IF($C888="","",AH888-M888)</f>
        <v/>
      </c>
      <c r="AJ888">
        <f>IF($C888="","",IF(COUNTIF($C$2:$C888,$C888)=1,1,0))</f>
        <v/>
      </c>
      <c r="AK888">
        <f>IF($AJ888=1,SUMPRODUCT(--($AN$2:$AN$4001&lt;$AN888))+1,"")</f>
        <v/>
      </c>
      <c r="AL888">
        <f>IF($C888="","",IF(OR($Q888=TRUE(),$Q888="TRUE"),1,0))</f>
        <v/>
      </c>
      <c r="AM888">
        <f>IF($C888="","",IF($W888="Yes",1,0))</f>
        <v/>
      </c>
      <c r="AN888">
        <f>IF($AJ888=1,IFERROR(IF(VALUE($C888)&lt;100000000,VALUE($C888),1000000000),IFERROR(IF(VALUE(MID($C888,2,20))&lt;100000000,VALUE(MID($C888,2,20)),1000000000),1000000000))+ROW()/100000,"")</f>
        <v/>
      </c>
    </row>
    <row r="889">
      <c r="E889" s="11" t="n"/>
      <c r="M889" s="7">
        <f>IF($C889="","",L889*U889/100)</f>
        <v/>
      </c>
      <c r="N889" s="7" t="n"/>
      <c r="T889" s="7" t="n"/>
      <c r="U889" s="7">
        <f>IF($C889="","",S889*T889)</f>
        <v/>
      </c>
      <c r="X889">
        <f>IF($C889="","",IF($AM889=1,0,IF($AL889=1,Settings!$C$6,Settings!$C$7))*100)</f>
        <v/>
      </c>
      <c r="AB889" s="7" t="n"/>
      <c r="AE889" s="11" t="n"/>
      <c r="AG889" s="7">
        <f>IF($C889="","",U889*X889/100)</f>
        <v/>
      </c>
      <c r="AH889" s="7">
        <f>IF($C889="","",U889-AG889)</f>
        <v/>
      </c>
      <c r="AI889" s="7">
        <f>IF($C889="","",AH889-M889)</f>
        <v/>
      </c>
      <c r="AJ889">
        <f>IF($C889="","",IF(COUNTIF($C$2:$C889,$C889)=1,1,0))</f>
        <v/>
      </c>
      <c r="AK889">
        <f>IF($AJ889=1,SUMPRODUCT(--($AN$2:$AN$4001&lt;$AN889))+1,"")</f>
        <v/>
      </c>
      <c r="AL889">
        <f>IF($C889="","",IF(OR($Q889=TRUE(),$Q889="TRUE"),1,0))</f>
        <v/>
      </c>
      <c r="AM889">
        <f>IF($C889="","",IF($W889="Yes",1,0))</f>
        <v/>
      </c>
      <c r="AN889">
        <f>IF($AJ889=1,IFERROR(IF(VALUE($C889)&lt;100000000,VALUE($C889),1000000000),IFERROR(IF(VALUE(MID($C889,2,20))&lt;100000000,VALUE(MID($C889,2,20)),1000000000),1000000000))+ROW()/100000,"")</f>
        <v/>
      </c>
    </row>
    <row r="890">
      <c r="E890" s="11" t="n"/>
      <c r="M890" s="7">
        <f>IF($C890="","",L890*U890/100)</f>
        <v/>
      </c>
      <c r="N890" s="7" t="n"/>
      <c r="T890" s="7" t="n"/>
      <c r="U890" s="7">
        <f>IF($C890="","",S890*T890)</f>
        <v/>
      </c>
      <c r="X890">
        <f>IF($C890="","",IF($AM890=1,0,IF($AL890=1,Settings!$C$6,Settings!$C$7))*100)</f>
        <v/>
      </c>
      <c r="AB890" s="7" t="n"/>
      <c r="AE890" s="11" t="n"/>
      <c r="AG890" s="7">
        <f>IF($C890="","",U890*X890/100)</f>
        <v/>
      </c>
      <c r="AH890" s="7">
        <f>IF($C890="","",U890-AG890)</f>
        <v/>
      </c>
      <c r="AI890" s="7">
        <f>IF($C890="","",AH890-M890)</f>
        <v/>
      </c>
      <c r="AJ890">
        <f>IF($C890="","",IF(COUNTIF($C$2:$C890,$C890)=1,1,0))</f>
        <v/>
      </c>
      <c r="AK890">
        <f>IF($AJ890=1,SUMPRODUCT(--($AN$2:$AN$4001&lt;$AN890))+1,"")</f>
        <v/>
      </c>
      <c r="AL890">
        <f>IF($C890="","",IF(OR($Q890=TRUE(),$Q890="TRUE"),1,0))</f>
        <v/>
      </c>
      <c r="AM890">
        <f>IF($C890="","",IF($W890="Yes",1,0))</f>
        <v/>
      </c>
      <c r="AN890">
        <f>IF($AJ890=1,IFERROR(IF(VALUE($C890)&lt;100000000,VALUE($C890),1000000000),IFERROR(IF(VALUE(MID($C890,2,20))&lt;100000000,VALUE(MID($C890,2,20)),1000000000),1000000000))+ROW()/100000,"")</f>
        <v/>
      </c>
    </row>
    <row r="891">
      <c r="E891" s="11" t="n"/>
      <c r="M891" s="7">
        <f>IF($C891="","",L891*U891/100)</f>
        <v/>
      </c>
      <c r="N891" s="7" t="n"/>
      <c r="T891" s="7" t="n"/>
      <c r="U891" s="7">
        <f>IF($C891="","",S891*T891)</f>
        <v/>
      </c>
      <c r="X891">
        <f>IF($C891="","",IF($AM891=1,0,IF($AL891=1,Settings!$C$6,Settings!$C$7))*100)</f>
        <v/>
      </c>
      <c r="AB891" s="7" t="n"/>
      <c r="AE891" s="11" t="n"/>
      <c r="AG891" s="7">
        <f>IF($C891="","",U891*X891/100)</f>
        <v/>
      </c>
      <c r="AH891" s="7">
        <f>IF($C891="","",U891-AG891)</f>
        <v/>
      </c>
      <c r="AI891" s="7">
        <f>IF($C891="","",AH891-M891)</f>
        <v/>
      </c>
      <c r="AJ891">
        <f>IF($C891="","",IF(COUNTIF($C$2:$C891,$C891)=1,1,0))</f>
        <v/>
      </c>
      <c r="AK891">
        <f>IF($AJ891=1,SUMPRODUCT(--($AN$2:$AN$4001&lt;$AN891))+1,"")</f>
        <v/>
      </c>
      <c r="AL891">
        <f>IF($C891="","",IF(OR($Q891=TRUE(),$Q891="TRUE"),1,0))</f>
        <v/>
      </c>
      <c r="AM891">
        <f>IF($C891="","",IF($W891="Yes",1,0))</f>
        <v/>
      </c>
      <c r="AN891">
        <f>IF($AJ891=1,IFERROR(IF(VALUE($C891)&lt;100000000,VALUE($C891),1000000000),IFERROR(IF(VALUE(MID($C891,2,20))&lt;100000000,VALUE(MID($C891,2,20)),1000000000),1000000000))+ROW()/100000,"")</f>
        <v/>
      </c>
    </row>
    <row r="892">
      <c r="E892" s="11" t="n"/>
      <c r="M892" s="7">
        <f>IF($C892="","",L892*U892/100)</f>
        <v/>
      </c>
      <c r="N892" s="7" t="n"/>
      <c r="T892" s="7" t="n"/>
      <c r="U892" s="7">
        <f>IF($C892="","",S892*T892)</f>
        <v/>
      </c>
      <c r="X892">
        <f>IF($C892="","",IF($AM892=1,0,IF($AL892=1,Settings!$C$6,Settings!$C$7))*100)</f>
        <v/>
      </c>
      <c r="AB892" s="7" t="n"/>
      <c r="AE892" s="11" t="n"/>
      <c r="AG892" s="7">
        <f>IF($C892="","",U892*X892/100)</f>
        <v/>
      </c>
      <c r="AH892" s="7">
        <f>IF($C892="","",U892-AG892)</f>
        <v/>
      </c>
      <c r="AI892" s="7">
        <f>IF($C892="","",AH892-M892)</f>
        <v/>
      </c>
      <c r="AJ892">
        <f>IF($C892="","",IF(COUNTIF($C$2:$C892,$C892)=1,1,0))</f>
        <v/>
      </c>
      <c r="AK892">
        <f>IF($AJ892=1,SUMPRODUCT(--($AN$2:$AN$4001&lt;$AN892))+1,"")</f>
        <v/>
      </c>
      <c r="AL892">
        <f>IF($C892="","",IF(OR($Q892=TRUE(),$Q892="TRUE"),1,0))</f>
        <v/>
      </c>
      <c r="AM892">
        <f>IF($C892="","",IF($W892="Yes",1,0))</f>
        <v/>
      </c>
      <c r="AN892">
        <f>IF($AJ892=1,IFERROR(IF(VALUE($C892)&lt;100000000,VALUE($C892),1000000000),IFERROR(IF(VALUE(MID($C892,2,20))&lt;100000000,VALUE(MID($C892,2,20)),1000000000),1000000000))+ROW()/100000,"")</f>
        <v/>
      </c>
    </row>
    <row r="893">
      <c r="E893" s="11" t="n"/>
      <c r="M893" s="7">
        <f>IF($C893="","",L893*U893/100)</f>
        <v/>
      </c>
      <c r="N893" s="7" t="n"/>
      <c r="T893" s="7" t="n"/>
      <c r="U893" s="7">
        <f>IF($C893="","",S893*T893)</f>
        <v/>
      </c>
      <c r="X893">
        <f>IF($C893="","",IF($AM893=1,0,IF($AL893=1,Settings!$C$6,Settings!$C$7))*100)</f>
        <v/>
      </c>
      <c r="AB893" s="7" t="n"/>
      <c r="AE893" s="11" t="n"/>
      <c r="AG893" s="7">
        <f>IF($C893="","",U893*X893/100)</f>
        <v/>
      </c>
      <c r="AH893" s="7">
        <f>IF($C893="","",U893-AG893)</f>
        <v/>
      </c>
      <c r="AI893" s="7">
        <f>IF($C893="","",AH893-M893)</f>
        <v/>
      </c>
      <c r="AJ893">
        <f>IF($C893="","",IF(COUNTIF($C$2:$C893,$C893)=1,1,0))</f>
        <v/>
      </c>
      <c r="AK893">
        <f>IF($AJ893=1,SUMPRODUCT(--($AN$2:$AN$4001&lt;$AN893))+1,"")</f>
        <v/>
      </c>
      <c r="AL893">
        <f>IF($C893="","",IF(OR($Q893=TRUE(),$Q893="TRUE"),1,0))</f>
        <v/>
      </c>
      <c r="AM893">
        <f>IF($C893="","",IF($W893="Yes",1,0))</f>
        <v/>
      </c>
      <c r="AN893">
        <f>IF($AJ893=1,IFERROR(IF(VALUE($C893)&lt;100000000,VALUE($C893),1000000000),IFERROR(IF(VALUE(MID($C893,2,20))&lt;100000000,VALUE(MID($C893,2,20)),1000000000),1000000000))+ROW()/100000,"")</f>
        <v/>
      </c>
    </row>
    <row r="894">
      <c r="E894" s="11" t="n"/>
      <c r="M894" s="7">
        <f>IF($C894="","",L894*U894/100)</f>
        <v/>
      </c>
      <c r="N894" s="7" t="n"/>
      <c r="T894" s="7" t="n"/>
      <c r="U894" s="7">
        <f>IF($C894="","",S894*T894)</f>
        <v/>
      </c>
      <c r="X894">
        <f>IF($C894="","",IF($AM894=1,0,IF($AL894=1,Settings!$C$6,Settings!$C$7))*100)</f>
        <v/>
      </c>
      <c r="AB894" s="7" t="n"/>
      <c r="AE894" s="11" t="n"/>
      <c r="AG894" s="7">
        <f>IF($C894="","",U894*X894/100)</f>
        <v/>
      </c>
      <c r="AH894" s="7">
        <f>IF($C894="","",U894-AG894)</f>
        <v/>
      </c>
      <c r="AI894" s="7">
        <f>IF($C894="","",AH894-M894)</f>
        <v/>
      </c>
      <c r="AJ894">
        <f>IF($C894="","",IF(COUNTIF($C$2:$C894,$C894)=1,1,0))</f>
        <v/>
      </c>
      <c r="AK894">
        <f>IF($AJ894=1,SUMPRODUCT(--($AN$2:$AN$4001&lt;$AN894))+1,"")</f>
        <v/>
      </c>
      <c r="AL894">
        <f>IF($C894="","",IF(OR($Q894=TRUE(),$Q894="TRUE"),1,0))</f>
        <v/>
      </c>
      <c r="AM894">
        <f>IF($C894="","",IF($W894="Yes",1,0))</f>
        <v/>
      </c>
      <c r="AN894">
        <f>IF($AJ894=1,IFERROR(IF(VALUE($C894)&lt;100000000,VALUE($C894),1000000000),IFERROR(IF(VALUE(MID($C894,2,20))&lt;100000000,VALUE(MID($C894,2,20)),1000000000),1000000000))+ROW()/100000,"")</f>
        <v/>
      </c>
    </row>
    <row r="895">
      <c r="E895" s="11" t="n"/>
      <c r="M895" s="7">
        <f>IF($C895="","",L895*U895/100)</f>
        <v/>
      </c>
      <c r="N895" s="7" t="n"/>
      <c r="T895" s="7" t="n"/>
      <c r="U895" s="7">
        <f>IF($C895="","",S895*T895)</f>
        <v/>
      </c>
      <c r="X895">
        <f>IF($C895="","",IF($AM895=1,0,IF($AL895=1,Settings!$C$6,Settings!$C$7))*100)</f>
        <v/>
      </c>
      <c r="AB895" s="7" t="n"/>
      <c r="AE895" s="11" t="n"/>
      <c r="AG895" s="7">
        <f>IF($C895="","",U895*X895/100)</f>
        <v/>
      </c>
      <c r="AH895" s="7">
        <f>IF($C895="","",U895-AG895)</f>
        <v/>
      </c>
      <c r="AI895" s="7">
        <f>IF($C895="","",AH895-M895)</f>
        <v/>
      </c>
      <c r="AJ895">
        <f>IF($C895="","",IF(COUNTIF($C$2:$C895,$C895)=1,1,0))</f>
        <v/>
      </c>
      <c r="AK895">
        <f>IF($AJ895=1,SUMPRODUCT(--($AN$2:$AN$4001&lt;$AN895))+1,"")</f>
        <v/>
      </c>
      <c r="AL895">
        <f>IF($C895="","",IF(OR($Q895=TRUE(),$Q895="TRUE"),1,0))</f>
        <v/>
      </c>
      <c r="AM895">
        <f>IF($C895="","",IF($W895="Yes",1,0))</f>
        <v/>
      </c>
      <c r="AN895">
        <f>IF($AJ895=1,IFERROR(IF(VALUE($C895)&lt;100000000,VALUE($C895),1000000000),IFERROR(IF(VALUE(MID($C895,2,20))&lt;100000000,VALUE(MID($C895,2,20)),1000000000),1000000000))+ROW()/100000,"")</f>
        <v/>
      </c>
    </row>
    <row r="896">
      <c r="E896" s="11" t="n"/>
      <c r="M896" s="7">
        <f>IF($C896="","",L896*U896/100)</f>
        <v/>
      </c>
      <c r="N896" s="7" t="n"/>
      <c r="T896" s="7" t="n"/>
      <c r="U896" s="7">
        <f>IF($C896="","",S896*T896)</f>
        <v/>
      </c>
      <c r="X896">
        <f>IF($C896="","",IF($AM896=1,0,IF($AL896=1,Settings!$C$6,Settings!$C$7))*100)</f>
        <v/>
      </c>
      <c r="AB896" s="7" t="n"/>
      <c r="AE896" s="11" t="n"/>
      <c r="AG896" s="7">
        <f>IF($C896="","",U896*X896/100)</f>
        <v/>
      </c>
      <c r="AH896" s="7">
        <f>IF($C896="","",U896-AG896)</f>
        <v/>
      </c>
      <c r="AI896" s="7">
        <f>IF($C896="","",AH896-M896)</f>
        <v/>
      </c>
      <c r="AJ896">
        <f>IF($C896="","",IF(COUNTIF($C$2:$C896,$C896)=1,1,0))</f>
        <v/>
      </c>
      <c r="AK896">
        <f>IF($AJ896=1,SUMPRODUCT(--($AN$2:$AN$4001&lt;$AN896))+1,"")</f>
        <v/>
      </c>
      <c r="AL896">
        <f>IF($C896="","",IF(OR($Q896=TRUE(),$Q896="TRUE"),1,0))</f>
        <v/>
      </c>
      <c r="AM896">
        <f>IF($C896="","",IF($W896="Yes",1,0))</f>
        <v/>
      </c>
      <c r="AN896">
        <f>IF($AJ896=1,IFERROR(IF(VALUE($C896)&lt;100000000,VALUE($C896),1000000000),IFERROR(IF(VALUE(MID($C896,2,20))&lt;100000000,VALUE(MID($C896,2,20)),1000000000),1000000000))+ROW()/100000,"")</f>
        <v/>
      </c>
    </row>
    <row r="897">
      <c r="E897" s="11" t="n"/>
      <c r="M897" s="7">
        <f>IF($C897="","",L897*U897/100)</f>
        <v/>
      </c>
      <c r="N897" s="7" t="n"/>
      <c r="T897" s="7" t="n"/>
      <c r="U897" s="7">
        <f>IF($C897="","",S897*T897)</f>
        <v/>
      </c>
      <c r="X897">
        <f>IF($C897="","",IF($AM897=1,0,IF($AL897=1,Settings!$C$6,Settings!$C$7))*100)</f>
        <v/>
      </c>
      <c r="AB897" s="7" t="n"/>
      <c r="AE897" s="11" t="n"/>
      <c r="AG897" s="7">
        <f>IF($C897="","",U897*X897/100)</f>
        <v/>
      </c>
      <c r="AH897" s="7">
        <f>IF($C897="","",U897-AG897)</f>
        <v/>
      </c>
      <c r="AI897" s="7">
        <f>IF($C897="","",AH897-M897)</f>
        <v/>
      </c>
      <c r="AJ897">
        <f>IF($C897="","",IF(COUNTIF($C$2:$C897,$C897)=1,1,0))</f>
        <v/>
      </c>
      <c r="AK897">
        <f>IF($AJ897=1,SUMPRODUCT(--($AN$2:$AN$4001&lt;$AN897))+1,"")</f>
        <v/>
      </c>
      <c r="AL897">
        <f>IF($C897="","",IF(OR($Q897=TRUE(),$Q897="TRUE"),1,0))</f>
        <v/>
      </c>
      <c r="AM897">
        <f>IF($C897="","",IF($W897="Yes",1,0))</f>
        <v/>
      </c>
      <c r="AN897">
        <f>IF($AJ897=1,IFERROR(IF(VALUE($C897)&lt;100000000,VALUE($C897),1000000000),IFERROR(IF(VALUE(MID($C897,2,20))&lt;100000000,VALUE(MID($C897,2,20)),1000000000),1000000000))+ROW()/100000,"")</f>
        <v/>
      </c>
    </row>
    <row r="898">
      <c r="E898" s="11" t="n"/>
      <c r="M898" s="7">
        <f>IF($C898="","",L898*U898/100)</f>
        <v/>
      </c>
      <c r="N898" s="7" t="n"/>
      <c r="T898" s="7" t="n"/>
      <c r="U898" s="7">
        <f>IF($C898="","",S898*T898)</f>
        <v/>
      </c>
      <c r="X898">
        <f>IF($C898="","",IF($AM898=1,0,IF($AL898=1,Settings!$C$6,Settings!$C$7))*100)</f>
        <v/>
      </c>
      <c r="AB898" s="7" t="n"/>
      <c r="AE898" s="11" t="n"/>
      <c r="AG898" s="7">
        <f>IF($C898="","",U898*X898/100)</f>
        <v/>
      </c>
      <c r="AH898" s="7">
        <f>IF($C898="","",U898-AG898)</f>
        <v/>
      </c>
      <c r="AI898" s="7">
        <f>IF($C898="","",AH898-M898)</f>
        <v/>
      </c>
      <c r="AJ898">
        <f>IF($C898="","",IF(COUNTIF($C$2:$C898,$C898)=1,1,0))</f>
        <v/>
      </c>
      <c r="AK898">
        <f>IF($AJ898=1,SUMPRODUCT(--($AN$2:$AN$4001&lt;$AN898))+1,"")</f>
        <v/>
      </c>
      <c r="AL898">
        <f>IF($C898="","",IF(OR($Q898=TRUE(),$Q898="TRUE"),1,0))</f>
        <v/>
      </c>
      <c r="AM898">
        <f>IF($C898="","",IF($W898="Yes",1,0))</f>
        <v/>
      </c>
      <c r="AN898">
        <f>IF($AJ898=1,IFERROR(IF(VALUE($C898)&lt;100000000,VALUE($C898),1000000000),IFERROR(IF(VALUE(MID($C898,2,20))&lt;100000000,VALUE(MID($C898,2,20)),1000000000),1000000000))+ROW()/100000,"")</f>
        <v/>
      </c>
    </row>
    <row r="899">
      <c r="E899" s="11" t="n"/>
      <c r="M899" s="7">
        <f>IF($C899="","",L899*U899/100)</f>
        <v/>
      </c>
      <c r="N899" s="7" t="n"/>
      <c r="T899" s="7" t="n"/>
      <c r="U899" s="7">
        <f>IF($C899="","",S899*T899)</f>
        <v/>
      </c>
      <c r="X899">
        <f>IF($C899="","",IF($AM899=1,0,IF($AL899=1,Settings!$C$6,Settings!$C$7))*100)</f>
        <v/>
      </c>
      <c r="AB899" s="7" t="n"/>
      <c r="AE899" s="11" t="n"/>
      <c r="AG899" s="7">
        <f>IF($C899="","",U899*X899/100)</f>
        <v/>
      </c>
      <c r="AH899" s="7">
        <f>IF($C899="","",U899-AG899)</f>
        <v/>
      </c>
      <c r="AI899" s="7">
        <f>IF($C899="","",AH899-M899)</f>
        <v/>
      </c>
      <c r="AJ899">
        <f>IF($C899="","",IF(COUNTIF($C$2:$C899,$C899)=1,1,0))</f>
        <v/>
      </c>
      <c r="AK899">
        <f>IF($AJ899=1,SUMPRODUCT(--($AN$2:$AN$4001&lt;$AN899))+1,"")</f>
        <v/>
      </c>
      <c r="AL899">
        <f>IF($C899="","",IF(OR($Q899=TRUE(),$Q899="TRUE"),1,0))</f>
        <v/>
      </c>
      <c r="AM899">
        <f>IF($C899="","",IF($W899="Yes",1,0))</f>
        <v/>
      </c>
      <c r="AN899">
        <f>IF($AJ899=1,IFERROR(IF(VALUE($C899)&lt;100000000,VALUE($C899),1000000000),IFERROR(IF(VALUE(MID($C899,2,20))&lt;100000000,VALUE(MID($C899,2,20)),1000000000),1000000000))+ROW()/100000,"")</f>
        <v/>
      </c>
    </row>
    <row r="900">
      <c r="E900" s="11" t="n"/>
      <c r="M900" s="7">
        <f>IF($C900="","",L900*U900/100)</f>
        <v/>
      </c>
      <c r="N900" s="7" t="n"/>
      <c r="T900" s="7" t="n"/>
      <c r="U900" s="7">
        <f>IF($C900="","",S900*T900)</f>
        <v/>
      </c>
      <c r="X900">
        <f>IF($C900="","",IF($AM900=1,0,IF($AL900=1,Settings!$C$6,Settings!$C$7))*100)</f>
        <v/>
      </c>
      <c r="AB900" s="7" t="n"/>
      <c r="AE900" s="11" t="n"/>
      <c r="AG900" s="7">
        <f>IF($C900="","",U900*X900/100)</f>
        <v/>
      </c>
      <c r="AH900" s="7">
        <f>IF($C900="","",U900-AG900)</f>
        <v/>
      </c>
      <c r="AI900" s="7">
        <f>IF($C900="","",AH900-M900)</f>
        <v/>
      </c>
      <c r="AJ900">
        <f>IF($C900="","",IF(COUNTIF($C$2:$C900,$C900)=1,1,0))</f>
        <v/>
      </c>
      <c r="AK900">
        <f>IF($AJ900=1,SUMPRODUCT(--($AN$2:$AN$4001&lt;$AN900))+1,"")</f>
        <v/>
      </c>
      <c r="AL900">
        <f>IF($C900="","",IF(OR($Q900=TRUE(),$Q900="TRUE"),1,0))</f>
        <v/>
      </c>
      <c r="AM900">
        <f>IF($C900="","",IF($W900="Yes",1,0))</f>
        <v/>
      </c>
      <c r="AN900">
        <f>IF($AJ900=1,IFERROR(IF(VALUE($C900)&lt;100000000,VALUE($C900),1000000000),IFERROR(IF(VALUE(MID($C900,2,20))&lt;100000000,VALUE(MID($C900,2,20)),1000000000),1000000000))+ROW()/100000,"")</f>
        <v/>
      </c>
    </row>
    <row r="901">
      <c r="E901" s="11" t="n"/>
      <c r="M901" s="7">
        <f>IF($C901="","",L901*U901/100)</f>
        <v/>
      </c>
      <c r="N901" s="7" t="n"/>
      <c r="T901" s="7" t="n"/>
      <c r="U901" s="7">
        <f>IF($C901="","",S901*T901)</f>
        <v/>
      </c>
      <c r="X901">
        <f>IF($C901="","",IF($AM901=1,0,IF($AL901=1,Settings!$C$6,Settings!$C$7))*100)</f>
        <v/>
      </c>
      <c r="AB901" s="7" t="n"/>
      <c r="AE901" s="11" t="n"/>
      <c r="AG901" s="7">
        <f>IF($C901="","",U901*X901/100)</f>
        <v/>
      </c>
      <c r="AH901" s="7">
        <f>IF($C901="","",U901-AG901)</f>
        <v/>
      </c>
      <c r="AI901" s="7">
        <f>IF($C901="","",AH901-M901)</f>
        <v/>
      </c>
      <c r="AJ901">
        <f>IF($C901="","",IF(COUNTIF($C$2:$C901,$C901)=1,1,0))</f>
        <v/>
      </c>
      <c r="AK901">
        <f>IF($AJ901=1,SUMPRODUCT(--($AN$2:$AN$4001&lt;$AN901))+1,"")</f>
        <v/>
      </c>
      <c r="AL901">
        <f>IF($C901="","",IF(OR($Q901=TRUE(),$Q901="TRUE"),1,0))</f>
        <v/>
      </c>
      <c r="AM901">
        <f>IF($C901="","",IF($W901="Yes",1,0))</f>
        <v/>
      </c>
      <c r="AN901">
        <f>IF($AJ901=1,IFERROR(IF(VALUE($C901)&lt;100000000,VALUE($C901),1000000000),IFERROR(IF(VALUE(MID($C901,2,20))&lt;100000000,VALUE(MID($C901,2,20)),1000000000),1000000000))+ROW()/100000,"")</f>
        <v/>
      </c>
    </row>
    <row r="902">
      <c r="E902" s="11" t="n"/>
      <c r="M902" s="7">
        <f>IF($C902="","",L902*U902/100)</f>
        <v/>
      </c>
      <c r="N902" s="7" t="n"/>
      <c r="T902" s="7" t="n"/>
      <c r="U902" s="7">
        <f>IF($C902="","",S902*T902)</f>
        <v/>
      </c>
      <c r="X902">
        <f>IF($C902="","",IF($AM902=1,0,IF($AL902=1,Settings!$C$6,Settings!$C$7))*100)</f>
        <v/>
      </c>
      <c r="AB902" s="7" t="n"/>
      <c r="AE902" s="11" t="n"/>
      <c r="AG902" s="7">
        <f>IF($C902="","",U902*X902/100)</f>
        <v/>
      </c>
      <c r="AH902" s="7">
        <f>IF($C902="","",U902-AG902)</f>
        <v/>
      </c>
      <c r="AI902" s="7">
        <f>IF($C902="","",AH902-M902)</f>
        <v/>
      </c>
      <c r="AJ902">
        <f>IF($C902="","",IF(COUNTIF($C$2:$C902,$C902)=1,1,0))</f>
        <v/>
      </c>
      <c r="AK902">
        <f>IF($AJ902=1,SUMPRODUCT(--($AN$2:$AN$4001&lt;$AN902))+1,"")</f>
        <v/>
      </c>
      <c r="AL902">
        <f>IF($C902="","",IF(OR($Q902=TRUE(),$Q902="TRUE"),1,0))</f>
        <v/>
      </c>
      <c r="AM902">
        <f>IF($C902="","",IF($W902="Yes",1,0))</f>
        <v/>
      </c>
      <c r="AN902">
        <f>IF($AJ902=1,IFERROR(IF(VALUE($C902)&lt;100000000,VALUE($C902),1000000000),IFERROR(IF(VALUE(MID($C902,2,20))&lt;100000000,VALUE(MID($C902,2,20)),1000000000),1000000000))+ROW()/100000,"")</f>
        <v/>
      </c>
    </row>
    <row r="903">
      <c r="E903" s="11" t="n"/>
      <c r="M903" s="7">
        <f>IF($C903="","",L903*U903/100)</f>
        <v/>
      </c>
      <c r="N903" s="7" t="n"/>
      <c r="T903" s="7" t="n"/>
      <c r="U903" s="7">
        <f>IF($C903="","",S903*T903)</f>
        <v/>
      </c>
      <c r="X903">
        <f>IF($C903="","",IF($AM903=1,0,IF($AL903=1,Settings!$C$6,Settings!$C$7))*100)</f>
        <v/>
      </c>
      <c r="AB903" s="7" t="n"/>
      <c r="AE903" s="11" t="n"/>
      <c r="AG903" s="7">
        <f>IF($C903="","",U903*X903/100)</f>
        <v/>
      </c>
      <c r="AH903" s="7">
        <f>IF($C903="","",U903-AG903)</f>
        <v/>
      </c>
      <c r="AI903" s="7">
        <f>IF($C903="","",AH903-M903)</f>
        <v/>
      </c>
      <c r="AJ903">
        <f>IF($C903="","",IF(COUNTIF($C$2:$C903,$C903)=1,1,0))</f>
        <v/>
      </c>
      <c r="AK903">
        <f>IF($AJ903=1,SUMPRODUCT(--($AN$2:$AN$4001&lt;$AN903))+1,"")</f>
        <v/>
      </c>
      <c r="AL903">
        <f>IF($C903="","",IF(OR($Q903=TRUE(),$Q903="TRUE"),1,0))</f>
        <v/>
      </c>
      <c r="AM903">
        <f>IF($C903="","",IF($W903="Yes",1,0))</f>
        <v/>
      </c>
      <c r="AN903">
        <f>IF($AJ903=1,IFERROR(IF(VALUE($C903)&lt;100000000,VALUE($C903),1000000000),IFERROR(IF(VALUE(MID($C903,2,20))&lt;100000000,VALUE(MID($C903,2,20)),1000000000),1000000000))+ROW()/100000,"")</f>
        <v/>
      </c>
    </row>
    <row r="904">
      <c r="E904" s="11" t="n"/>
      <c r="M904" s="7">
        <f>IF($C904="","",L904*U904/100)</f>
        <v/>
      </c>
      <c r="N904" s="7" t="n"/>
      <c r="T904" s="7" t="n"/>
      <c r="U904" s="7">
        <f>IF($C904="","",S904*T904)</f>
        <v/>
      </c>
      <c r="X904">
        <f>IF($C904="","",IF($AM904=1,0,IF($AL904=1,Settings!$C$6,Settings!$C$7))*100)</f>
        <v/>
      </c>
      <c r="AB904" s="7" t="n"/>
      <c r="AE904" s="11" t="n"/>
      <c r="AG904" s="7">
        <f>IF($C904="","",U904*X904/100)</f>
        <v/>
      </c>
      <c r="AH904" s="7">
        <f>IF($C904="","",U904-AG904)</f>
        <v/>
      </c>
      <c r="AI904" s="7">
        <f>IF($C904="","",AH904-M904)</f>
        <v/>
      </c>
      <c r="AJ904">
        <f>IF($C904="","",IF(COUNTIF($C$2:$C904,$C904)=1,1,0))</f>
        <v/>
      </c>
      <c r="AK904">
        <f>IF($AJ904=1,SUMPRODUCT(--($AN$2:$AN$4001&lt;$AN904))+1,"")</f>
        <v/>
      </c>
      <c r="AL904">
        <f>IF($C904="","",IF(OR($Q904=TRUE(),$Q904="TRUE"),1,0))</f>
        <v/>
      </c>
      <c r="AM904">
        <f>IF($C904="","",IF($W904="Yes",1,0))</f>
        <v/>
      </c>
      <c r="AN904">
        <f>IF($AJ904=1,IFERROR(IF(VALUE($C904)&lt;100000000,VALUE($C904),1000000000),IFERROR(IF(VALUE(MID($C904,2,20))&lt;100000000,VALUE(MID($C904,2,20)),1000000000),1000000000))+ROW()/100000,"")</f>
        <v/>
      </c>
    </row>
    <row r="905">
      <c r="E905" s="11" t="n"/>
      <c r="M905" s="7">
        <f>IF($C905="","",L905*U905/100)</f>
        <v/>
      </c>
      <c r="N905" s="7" t="n"/>
      <c r="T905" s="7" t="n"/>
      <c r="U905" s="7">
        <f>IF($C905="","",S905*T905)</f>
        <v/>
      </c>
      <c r="X905">
        <f>IF($C905="","",IF($AM905=1,0,IF($AL905=1,Settings!$C$6,Settings!$C$7))*100)</f>
        <v/>
      </c>
      <c r="AB905" s="7" t="n"/>
      <c r="AE905" s="11" t="n"/>
      <c r="AG905" s="7">
        <f>IF($C905="","",U905*X905/100)</f>
        <v/>
      </c>
      <c r="AH905" s="7">
        <f>IF($C905="","",U905-AG905)</f>
        <v/>
      </c>
      <c r="AI905" s="7">
        <f>IF($C905="","",AH905-M905)</f>
        <v/>
      </c>
      <c r="AJ905">
        <f>IF($C905="","",IF(COUNTIF($C$2:$C905,$C905)=1,1,0))</f>
        <v/>
      </c>
      <c r="AK905">
        <f>IF($AJ905=1,SUMPRODUCT(--($AN$2:$AN$4001&lt;$AN905))+1,"")</f>
        <v/>
      </c>
      <c r="AL905">
        <f>IF($C905="","",IF(OR($Q905=TRUE(),$Q905="TRUE"),1,0))</f>
        <v/>
      </c>
      <c r="AM905">
        <f>IF($C905="","",IF($W905="Yes",1,0))</f>
        <v/>
      </c>
      <c r="AN905">
        <f>IF($AJ905=1,IFERROR(IF(VALUE($C905)&lt;100000000,VALUE($C905),1000000000),IFERROR(IF(VALUE(MID($C905,2,20))&lt;100000000,VALUE(MID($C905,2,20)),1000000000),1000000000))+ROW()/100000,"")</f>
        <v/>
      </c>
    </row>
    <row r="906">
      <c r="E906" s="11" t="n"/>
      <c r="M906" s="7">
        <f>IF($C906="","",L906*U906/100)</f>
        <v/>
      </c>
      <c r="N906" s="7" t="n"/>
      <c r="T906" s="7" t="n"/>
      <c r="U906" s="7">
        <f>IF($C906="","",S906*T906)</f>
        <v/>
      </c>
      <c r="X906">
        <f>IF($C906="","",IF($AM906=1,0,IF($AL906=1,Settings!$C$6,Settings!$C$7))*100)</f>
        <v/>
      </c>
      <c r="AB906" s="7" t="n"/>
      <c r="AE906" s="11" t="n"/>
      <c r="AG906" s="7">
        <f>IF($C906="","",U906*X906/100)</f>
        <v/>
      </c>
      <c r="AH906" s="7">
        <f>IF($C906="","",U906-AG906)</f>
        <v/>
      </c>
      <c r="AI906" s="7">
        <f>IF($C906="","",AH906-M906)</f>
        <v/>
      </c>
      <c r="AJ906">
        <f>IF($C906="","",IF(COUNTIF($C$2:$C906,$C906)=1,1,0))</f>
        <v/>
      </c>
      <c r="AK906">
        <f>IF($AJ906=1,SUMPRODUCT(--($AN$2:$AN$4001&lt;$AN906))+1,"")</f>
        <v/>
      </c>
      <c r="AL906">
        <f>IF($C906="","",IF(OR($Q906=TRUE(),$Q906="TRUE"),1,0))</f>
        <v/>
      </c>
      <c r="AM906">
        <f>IF($C906="","",IF($W906="Yes",1,0))</f>
        <v/>
      </c>
      <c r="AN906">
        <f>IF($AJ906=1,IFERROR(IF(VALUE($C906)&lt;100000000,VALUE($C906),1000000000),IFERROR(IF(VALUE(MID($C906,2,20))&lt;100000000,VALUE(MID($C906,2,20)),1000000000),1000000000))+ROW()/100000,"")</f>
        <v/>
      </c>
    </row>
    <row r="907">
      <c r="E907" s="11" t="n"/>
      <c r="M907" s="7">
        <f>IF($C907="","",L907*U907/100)</f>
        <v/>
      </c>
      <c r="N907" s="7" t="n"/>
      <c r="T907" s="7" t="n"/>
      <c r="U907" s="7">
        <f>IF($C907="","",S907*T907)</f>
        <v/>
      </c>
      <c r="X907">
        <f>IF($C907="","",IF($AM907=1,0,IF($AL907=1,Settings!$C$6,Settings!$C$7))*100)</f>
        <v/>
      </c>
      <c r="AB907" s="7" t="n"/>
      <c r="AE907" s="11" t="n"/>
      <c r="AG907" s="7">
        <f>IF($C907="","",U907*X907/100)</f>
        <v/>
      </c>
      <c r="AH907" s="7">
        <f>IF($C907="","",U907-AG907)</f>
        <v/>
      </c>
      <c r="AI907" s="7">
        <f>IF($C907="","",AH907-M907)</f>
        <v/>
      </c>
      <c r="AJ907">
        <f>IF($C907="","",IF(COUNTIF($C$2:$C907,$C907)=1,1,0))</f>
        <v/>
      </c>
      <c r="AK907">
        <f>IF($AJ907=1,SUMPRODUCT(--($AN$2:$AN$4001&lt;$AN907))+1,"")</f>
        <v/>
      </c>
      <c r="AL907">
        <f>IF($C907="","",IF(OR($Q907=TRUE(),$Q907="TRUE"),1,0))</f>
        <v/>
      </c>
      <c r="AM907">
        <f>IF($C907="","",IF($W907="Yes",1,0))</f>
        <v/>
      </c>
      <c r="AN907">
        <f>IF($AJ907=1,IFERROR(IF(VALUE($C907)&lt;100000000,VALUE($C907),1000000000),IFERROR(IF(VALUE(MID($C907,2,20))&lt;100000000,VALUE(MID($C907,2,20)),1000000000),1000000000))+ROW()/100000,"")</f>
        <v/>
      </c>
    </row>
    <row r="908">
      <c r="E908" s="11" t="n"/>
      <c r="M908" s="7">
        <f>IF($C908="","",L908*U908/100)</f>
        <v/>
      </c>
      <c r="N908" s="7" t="n"/>
      <c r="T908" s="7" t="n"/>
      <c r="U908" s="7">
        <f>IF($C908="","",S908*T908)</f>
        <v/>
      </c>
      <c r="X908">
        <f>IF($C908="","",IF($AM908=1,0,IF($AL908=1,Settings!$C$6,Settings!$C$7))*100)</f>
        <v/>
      </c>
      <c r="AB908" s="7" t="n"/>
      <c r="AE908" s="11" t="n"/>
      <c r="AG908" s="7">
        <f>IF($C908="","",U908*X908/100)</f>
        <v/>
      </c>
      <c r="AH908" s="7">
        <f>IF($C908="","",U908-AG908)</f>
        <v/>
      </c>
      <c r="AI908" s="7">
        <f>IF($C908="","",AH908-M908)</f>
        <v/>
      </c>
      <c r="AJ908">
        <f>IF($C908="","",IF(COUNTIF($C$2:$C908,$C908)=1,1,0))</f>
        <v/>
      </c>
      <c r="AK908">
        <f>IF($AJ908=1,SUMPRODUCT(--($AN$2:$AN$4001&lt;$AN908))+1,"")</f>
        <v/>
      </c>
      <c r="AL908">
        <f>IF($C908="","",IF(OR($Q908=TRUE(),$Q908="TRUE"),1,0))</f>
        <v/>
      </c>
      <c r="AM908">
        <f>IF($C908="","",IF($W908="Yes",1,0))</f>
        <v/>
      </c>
      <c r="AN908">
        <f>IF($AJ908=1,IFERROR(IF(VALUE($C908)&lt;100000000,VALUE($C908),1000000000),IFERROR(IF(VALUE(MID($C908,2,20))&lt;100000000,VALUE(MID($C908,2,20)),1000000000),1000000000))+ROW()/100000,"")</f>
        <v/>
      </c>
    </row>
    <row r="909">
      <c r="E909" s="11" t="n"/>
      <c r="M909" s="7">
        <f>IF($C909="","",L909*U909/100)</f>
        <v/>
      </c>
      <c r="N909" s="7" t="n"/>
      <c r="T909" s="7" t="n"/>
      <c r="U909" s="7">
        <f>IF($C909="","",S909*T909)</f>
        <v/>
      </c>
      <c r="X909">
        <f>IF($C909="","",IF($AM909=1,0,IF($AL909=1,Settings!$C$6,Settings!$C$7))*100)</f>
        <v/>
      </c>
      <c r="AB909" s="7" t="n"/>
      <c r="AE909" s="11" t="n"/>
      <c r="AG909" s="7">
        <f>IF($C909="","",U909*X909/100)</f>
        <v/>
      </c>
      <c r="AH909" s="7">
        <f>IF($C909="","",U909-AG909)</f>
        <v/>
      </c>
      <c r="AI909" s="7">
        <f>IF($C909="","",AH909-M909)</f>
        <v/>
      </c>
      <c r="AJ909">
        <f>IF($C909="","",IF(COUNTIF($C$2:$C909,$C909)=1,1,0))</f>
        <v/>
      </c>
      <c r="AK909">
        <f>IF($AJ909=1,SUMPRODUCT(--($AN$2:$AN$4001&lt;$AN909))+1,"")</f>
        <v/>
      </c>
      <c r="AL909">
        <f>IF($C909="","",IF(OR($Q909=TRUE(),$Q909="TRUE"),1,0))</f>
        <v/>
      </c>
      <c r="AM909">
        <f>IF($C909="","",IF($W909="Yes",1,0))</f>
        <v/>
      </c>
      <c r="AN909">
        <f>IF($AJ909=1,IFERROR(IF(VALUE($C909)&lt;100000000,VALUE($C909),1000000000),IFERROR(IF(VALUE(MID($C909,2,20))&lt;100000000,VALUE(MID($C909,2,20)),1000000000),1000000000))+ROW()/100000,"")</f>
        <v/>
      </c>
    </row>
    <row r="910">
      <c r="E910" s="11" t="n"/>
      <c r="M910" s="7">
        <f>IF($C910="","",L910*U910/100)</f>
        <v/>
      </c>
      <c r="N910" s="7" t="n"/>
      <c r="T910" s="7" t="n"/>
      <c r="U910" s="7">
        <f>IF($C910="","",S910*T910)</f>
        <v/>
      </c>
      <c r="X910">
        <f>IF($C910="","",IF($AM910=1,0,IF($AL910=1,Settings!$C$6,Settings!$C$7))*100)</f>
        <v/>
      </c>
      <c r="AB910" s="7" t="n"/>
      <c r="AE910" s="11" t="n"/>
      <c r="AG910" s="7">
        <f>IF($C910="","",U910*X910/100)</f>
        <v/>
      </c>
      <c r="AH910" s="7">
        <f>IF($C910="","",U910-AG910)</f>
        <v/>
      </c>
      <c r="AI910" s="7">
        <f>IF($C910="","",AH910-M910)</f>
        <v/>
      </c>
      <c r="AJ910">
        <f>IF($C910="","",IF(COUNTIF($C$2:$C910,$C910)=1,1,0))</f>
        <v/>
      </c>
      <c r="AK910">
        <f>IF($AJ910=1,SUMPRODUCT(--($AN$2:$AN$4001&lt;$AN910))+1,"")</f>
        <v/>
      </c>
      <c r="AL910">
        <f>IF($C910="","",IF(OR($Q910=TRUE(),$Q910="TRUE"),1,0))</f>
        <v/>
      </c>
      <c r="AM910">
        <f>IF($C910="","",IF($W910="Yes",1,0))</f>
        <v/>
      </c>
      <c r="AN910">
        <f>IF($AJ910=1,IFERROR(IF(VALUE($C910)&lt;100000000,VALUE($C910),1000000000),IFERROR(IF(VALUE(MID($C910,2,20))&lt;100000000,VALUE(MID($C910,2,20)),1000000000),1000000000))+ROW()/100000,"")</f>
        <v/>
      </c>
    </row>
    <row r="911">
      <c r="E911" s="11" t="n"/>
      <c r="M911" s="7">
        <f>IF($C911="","",L911*U911/100)</f>
        <v/>
      </c>
      <c r="N911" s="7" t="n"/>
      <c r="T911" s="7" t="n"/>
      <c r="U911" s="7">
        <f>IF($C911="","",S911*T911)</f>
        <v/>
      </c>
      <c r="X911">
        <f>IF($C911="","",IF($AM911=1,0,IF($AL911=1,Settings!$C$6,Settings!$C$7))*100)</f>
        <v/>
      </c>
      <c r="AB911" s="7" t="n"/>
      <c r="AE911" s="11" t="n"/>
      <c r="AG911" s="7">
        <f>IF($C911="","",U911*X911/100)</f>
        <v/>
      </c>
      <c r="AH911" s="7">
        <f>IF($C911="","",U911-AG911)</f>
        <v/>
      </c>
      <c r="AI911" s="7">
        <f>IF($C911="","",AH911-M911)</f>
        <v/>
      </c>
      <c r="AJ911">
        <f>IF($C911="","",IF(COUNTIF($C$2:$C911,$C911)=1,1,0))</f>
        <v/>
      </c>
      <c r="AK911">
        <f>IF($AJ911=1,SUMPRODUCT(--($AN$2:$AN$4001&lt;$AN911))+1,"")</f>
        <v/>
      </c>
      <c r="AL911">
        <f>IF($C911="","",IF(OR($Q911=TRUE(),$Q911="TRUE"),1,0))</f>
        <v/>
      </c>
      <c r="AM911">
        <f>IF($C911="","",IF($W911="Yes",1,0))</f>
        <v/>
      </c>
      <c r="AN911">
        <f>IF($AJ911=1,IFERROR(IF(VALUE($C911)&lt;100000000,VALUE($C911),1000000000),IFERROR(IF(VALUE(MID($C911,2,20))&lt;100000000,VALUE(MID($C911,2,20)),1000000000),1000000000))+ROW()/100000,"")</f>
        <v/>
      </c>
    </row>
    <row r="912">
      <c r="E912" s="11" t="n"/>
      <c r="M912" s="7">
        <f>IF($C912="","",L912*U912/100)</f>
        <v/>
      </c>
      <c r="N912" s="7" t="n"/>
      <c r="T912" s="7" t="n"/>
      <c r="U912" s="7">
        <f>IF($C912="","",S912*T912)</f>
        <v/>
      </c>
      <c r="X912">
        <f>IF($C912="","",IF($AM912=1,0,IF($AL912=1,Settings!$C$6,Settings!$C$7))*100)</f>
        <v/>
      </c>
      <c r="AB912" s="7" t="n"/>
      <c r="AE912" s="11" t="n"/>
      <c r="AG912" s="7">
        <f>IF($C912="","",U912*X912/100)</f>
        <v/>
      </c>
      <c r="AH912" s="7">
        <f>IF($C912="","",U912-AG912)</f>
        <v/>
      </c>
      <c r="AI912" s="7">
        <f>IF($C912="","",AH912-M912)</f>
        <v/>
      </c>
      <c r="AJ912">
        <f>IF($C912="","",IF(COUNTIF($C$2:$C912,$C912)=1,1,0))</f>
        <v/>
      </c>
      <c r="AK912">
        <f>IF($AJ912=1,SUMPRODUCT(--($AN$2:$AN$4001&lt;$AN912))+1,"")</f>
        <v/>
      </c>
      <c r="AL912">
        <f>IF($C912="","",IF(OR($Q912=TRUE(),$Q912="TRUE"),1,0))</f>
        <v/>
      </c>
      <c r="AM912">
        <f>IF($C912="","",IF($W912="Yes",1,0))</f>
        <v/>
      </c>
      <c r="AN912">
        <f>IF($AJ912=1,IFERROR(IF(VALUE($C912)&lt;100000000,VALUE($C912),1000000000),IFERROR(IF(VALUE(MID($C912,2,20))&lt;100000000,VALUE(MID($C912,2,20)),1000000000),1000000000))+ROW()/100000,"")</f>
        <v/>
      </c>
    </row>
    <row r="913">
      <c r="E913" s="11" t="n"/>
      <c r="M913" s="7">
        <f>IF($C913="","",L913*U913/100)</f>
        <v/>
      </c>
      <c r="N913" s="7" t="n"/>
      <c r="T913" s="7" t="n"/>
      <c r="U913" s="7">
        <f>IF($C913="","",S913*T913)</f>
        <v/>
      </c>
      <c r="X913">
        <f>IF($C913="","",IF($AM913=1,0,IF($AL913=1,Settings!$C$6,Settings!$C$7))*100)</f>
        <v/>
      </c>
      <c r="AB913" s="7" t="n"/>
      <c r="AE913" s="11" t="n"/>
      <c r="AG913" s="7">
        <f>IF($C913="","",U913*X913/100)</f>
        <v/>
      </c>
      <c r="AH913" s="7">
        <f>IF($C913="","",U913-AG913)</f>
        <v/>
      </c>
      <c r="AI913" s="7">
        <f>IF($C913="","",AH913-M913)</f>
        <v/>
      </c>
      <c r="AJ913">
        <f>IF($C913="","",IF(COUNTIF($C$2:$C913,$C913)=1,1,0))</f>
        <v/>
      </c>
      <c r="AK913">
        <f>IF($AJ913=1,SUMPRODUCT(--($AN$2:$AN$4001&lt;$AN913))+1,"")</f>
        <v/>
      </c>
      <c r="AL913">
        <f>IF($C913="","",IF(OR($Q913=TRUE(),$Q913="TRUE"),1,0))</f>
        <v/>
      </c>
      <c r="AM913">
        <f>IF($C913="","",IF($W913="Yes",1,0))</f>
        <v/>
      </c>
      <c r="AN913">
        <f>IF($AJ913=1,IFERROR(IF(VALUE($C913)&lt;100000000,VALUE($C913),1000000000),IFERROR(IF(VALUE(MID($C913,2,20))&lt;100000000,VALUE(MID($C913,2,20)),1000000000),1000000000))+ROW()/100000,"")</f>
        <v/>
      </c>
    </row>
    <row r="914">
      <c r="E914" s="11" t="n"/>
      <c r="M914" s="7">
        <f>IF($C914="","",L914*U914/100)</f>
        <v/>
      </c>
      <c r="N914" s="7" t="n"/>
      <c r="T914" s="7" t="n"/>
      <c r="U914" s="7">
        <f>IF($C914="","",S914*T914)</f>
        <v/>
      </c>
      <c r="X914">
        <f>IF($C914="","",IF($AM914=1,0,IF($AL914=1,Settings!$C$6,Settings!$C$7))*100)</f>
        <v/>
      </c>
      <c r="AB914" s="7" t="n"/>
      <c r="AE914" s="11" t="n"/>
      <c r="AG914" s="7">
        <f>IF($C914="","",U914*X914/100)</f>
        <v/>
      </c>
      <c r="AH914" s="7">
        <f>IF($C914="","",U914-AG914)</f>
        <v/>
      </c>
      <c r="AI914" s="7">
        <f>IF($C914="","",AH914-M914)</f>
        <v/>
      </c>
      <c r="AJ914">
        <f>IF($C914="","",IF(COUNTIF($C$2:$C914,$C914)=1,1,0))</f>
        <v/>
      </c>
      <c r="AK914">
        <f>IF($AJ914=1,SUMPRODUCT(--($AN$2:$AN$4001&lt;$AN914))+1,"")</f>
        <v/>
      </c>
      <c r="AL914">
        <f>IF($C914="","",IF(OR($Q914=TRUE(),$Q914="TRUE"),1,0))</f>
        <v/>
      </c>
      <c r="AM914">
        <f>IF($C914="","",IF($W914="Yes",1,0))</f>
        <v/>
      </c>
      <c r="AN914">
        <f>IF($AJ914=1,IFERROR(IF(VALUE($C914)&lt;100000000,VALUE($C914),1000000000),IFERROR(IF(VALUE(MID($C914,2,20))&lt;100000000,VALUE(MID($C914,2,20)),1000000000),1000000000))+ROW()/100000,"")</f>
        <v/>
      </c>
    </row>
    <row r="915">
      <c r="E915" s="11" t="n"/>
      <c r="M915" s="7">
        <f>IF($C915="","",L915*U915/100)</f>
        <v/>
      </c>
      <c r="N915" s="7" t="n"/>
      <c r="T915" s="7" t="n"/>
      <c r="U915" s="7">
        <f>IF($C915="","",S915*T915)</f>
        <v/>
      </c>
      <c r="X915">
        <f>IF($C915="","",IF($AM915=1,0,IF($AL915=1,Settings!$C$6,Settings!$C$7))*100)</f>
        <v/>
      </c>
      <c r="AB915" s="7" t="n"/>
      <c r="AE915" s="11" t="n"/>
      <c r="AG915" s="7">
        <f>IF($C915="","",U915*X915/100)</f>
        <v/>
      </c>
      <c r="AH915" s="7">
        <f>IF($C915="","",U915-AG915)</f>
        <v/>
      </c>
      <c r="AI915" s="7">
        <f>IF($C915="","",AH915-M915)</f>
        <v/>
      </c>
      <c r="AJ915">
        <f>IF($C915="","",IF(COUNTIF($C$2:$C915,$C915)=1,1,0))</f>
        <v/>
      </c>
      <c r="AK915">
        <f>IF($AJ915=1,SUMPRODUCT(--($AN$2:$AN$4001&lt;$AN915))+1,"")</f>
        <v/>
      </c>
      <c r="AL915">
        <f>IF($C915="","",IF(OR($Q915=TRUE(),$Q915="TRUE"),1,0))</f>
        <v/>
      </c>
      <c r="AM915">
        <f>IF($C915="","",IF($W915="Yes",1,0))</f>
        <v/>
      </c>
      <c r="AN915">
        <f>IF($AJ915=1,IFERROR(IF(VALUE($C915)&lt;100000000,VALUE($C915),1000000000),IFERROR(IF(VALUE(MID($C915,2,20))&lt;100000000,VALUE(MID($C915,2,20)),1000000000),1000000000))+ROW()/100000,"")</f>
        <v/>
      </c>
    </row>
    <row r="916">
      <c r="E916" s="11" t="n"/>
      <c r="M916" s="7">
        <f>IF($C916="","",L916*U916/100)</f>
        <v/>
      </c>
      <c r="N916" s="7" t="n"/>
      <c r="T916" s="7" t="n"/>
      <c r="U916" s="7">
        <f>IF($C916="","",S916*T916)</f>
        <v/>
      </c>
      <c r="X916">
        <f>IF($C916="","",IF($AM916=1,0,IF($AL916=1,Settings!$C$6,Settings!$C$7))*100)</f>
        <v/>
      </c>
      <c r="AB916" s="7" t="n"/>
      <c r="AE916" s="11" t="n"/>
      <c r="AG916" s="7">
        <f>IF($C916="","",U916*X916/100)</f>
        <v/>
      </c>
      <c r="AH916" s="7">
        <f>IF($C916="","",U916-AG916)</f>
        <v/>
      </c>
      <c r="AI916" s="7">
        <f>IF($C916="","",AH916-M916)</f>
        <v/>
      </c>
      <c r="AJ916">
        <f>IF($C916="","",IF(COUNTIF($C$2:$C916,$C916)=1,1,0))</f>
        <v/>
      </c>
      <c r="AK916">
        <f>IF($AJ916=1,SUMPRODUCT(--($AN$2:$AN$4001&lt;$AN916))+1,"")</f>
        <v/>
      </c>
      <c r="AL916">
        <f>IF($C916="","",IF(OR($Q916=TRUE(),$Q916="TRUE"),1,0))</f>
        <v/>
      </c>
      <c r="AM916">
        <f>IF($C916="","",IF($W916="Yes",1,0))</f>
        <v/>
      </c>
      <c r="AN916">
        <f>IF($AJ916=1,IFERROR(IF(VALUE($C916)&lt;100000000,VALUE($C916),1000000000),IFERROR(IF(VALUE(MID($C916,2,20))&lt;100000000,VALUE(MID($C916,2,20)),1000000000),1000000000))+ROW()/100000,"")</f>
        <v/>
      </c>
    </row>
    <row r="917">
      <c r="E917" s="11" t="n"/>
      <c r="M917" s="7">
        <f>IF($C917="","",L917*U917/100)</f>
        <v/>
      </c>
      <c r="N917" s="7" t="n"/>
      <c r="T917" s="7" t="n"/>
      <c r="U917" s="7">
        <f>IF($C917="","",S917*T917)</f>
        <v/>
      </c>
      <c r="X917">
        <f>IF($C917="","",IF($AM917=1,0,IF($AL917=1,Settings!$C$6,Settings!$C$7))*100)</f>
        <v/>
      </c>
      <c r="AB917" s="7" t="n"/>
      <c r="AE917" s="11" t="n"/>
      <c r="AG917" s="7">
        <f>IF($C917="","",U917*X917/100)</f>
        <v/>
      </c>
      <c r="AH917" s="7">
        <f>IF($C917="","",U917-AG917)</f>
        <v/>
      </c>
      <c r="AI917" s="7">
        <f>IF($C917="","",AH917-M917)</f>
        <v/>
      </c>
      <c r="AJ917">
        <f>IF($C917="","",IF(COUNTIF($C$2:$C917,$C917)=1,1,0))</f>
        <v/>
      </c>
      <c r="AK917">
        <f>IF($AJ917=1,SUMPRODUCT(--($AN$2:$AN$4001&lt;$AN917))+1,"")</f>
        <v/>
      </c>
      <c r="AL917">
        <f>IF($C917="","",IF(OR($Q917=TRUE(),$Q917="TRUE"),1,0))</f>
        <v/>
      </c>
      <c r="AM917">
        <f>IF($C917="","",IF($W917="Yes",1,0))</f>
        <v/>
      </c>
      <c r="AN917">
        <f>IF($AJ917=1,IFERROR(IF(VALUE($C917)&lt;100000000,VALUE($C917),1000000000),IFERROR(IF(VALUE(MID($C917,2,20))&lt;100000000,VALUE(MID($C917,2,20)),1000000000),1000000000))+ROW()/100000,"")</f>
        <v/>
      </c>
    </row>
    <row r="918">
      <c r="E918" s="11" t="n"/>
      <c r="M918" s="7">
        <f>IF($C918="","",L918*U918/100)</f>
        <v/>
      </c>
      <c r="N918" s="7" t="n"/>
      <c r="T918" s="7" t="n"/>
      <c r="U918" s="7">
        <f>IF($C918="","",S918*T918)</f>
        <v/>
      </c>
      <c r="X918">
        <f>IF($C918="","",IF($AM918=1,0,IF($AL918=1,Settings!$C$6,Settings!$C$7))*100)</f>
        <v/>
      </c>
      <c r="AB918" s="7" t="n"/>
      <c r="AE918" s="11" t="n"/>
      <c r="AG918" s="7">
        <f>IF($C918="","",U918*X918/100)</f>
        <v/>
      </c>
      <c r="AH918" s="7">
        <f>IF($C918="","",U918-AG918)</f>
        <v/>
      </c>
      <c r="AI918" s="7">
        <f>IF($C918="","",AH918-M918)</f>
        <v/>
      </c>
      <c r="AJ918">
        <f>IF($C918="","",IF(COUNTIF($C$2:$C918,$C918)=1,1,0))</f>
        <v/>
      </c>
      <c r="AK918">
        <f>IF($AJ918=1,SUMPRODUCT(--($AN$2:$AN$4001&lt;$AN918))+1,"")</f>
        <v/>
      </c>
      <c r="AL918">
        <f>IF($C918="","",IF(OR($Q918=TRUE(),$Q918="TRUE"),1,0))</f>
        <v/>
      </c>
      <c r="AM918">
        <f>IF($C918="","",IF($W918="Yes",1,0))</f>
        <v/>
      </c>
      <c r="AN918">
        <f>IF($AJ918=1,IFERROR(IF(VALUE($C918)&lt;100000000,VALUE($C918),1000000000),IFERROR(IF(VALUE(MID($C918,2,20))&lt;100000000,VALUE(MID($C918,2,20)),1000000000),1000000000))+ROW()/100000,"")</f>
        <v/>
      </c>
    </row>
    <row r="919">
      <c r="E919" s="11" t="n"/>
      <c r="M919" s="7">
        <f>IF($C919="","",L919*U919/100)</f>
        <v/>
      </c>
      <c r="N919" s="7" t="n"/>
      <c r="T919" s="7" t="n"/>
      <c r="U919" s="7">
        <f>IF($C919="","",S919*T919)</f>
        <v/>
      </c>
      <c r="X919">
        <f>IF($C919="","",IF($AM919=1,0,IF($AL919=1,Settings!$C$6,Settings!$C$7))*100)</f>
        <v/>
      </c>
      <c r="AB919" s="7" t="n"/>
      <c r="AE919" s="11" t="n"/>
      <c r="AG919" s="7">
        <f>IF($C919="","",U919*X919/100)</f>
        <v/>
      </c>
      <c r="AH919" s="7">
        <f>IF($C919="","",U919-AG919)</f>
        <v/>
      </c>
      <c r="AI919" s="7">
        <f>IF($C919="","",AH919-M919)</f>
        <v/>
      </c>
      <c r="AJ919">
        <f>IF($C919="","",IF(COUNTIF($C$2:$C919,$C919)=1,1,0))</f>
        <v/>
      </c>
      <c r="AK919">
        <f>IF($AJ919=1,SUMPRODUCT(--($AN$2:$AN$4001&lt;$AN919))+1,"")</f>
        <v/>
      </c>
      <c r="AL919">
        <f>IF($C919="","",IF(OR($Q919=TRUE(),$Q919="TRUE"),1,0))</f>
        <v/>
      </c>
      <c r="AM919">
        <f>IF($C919="","",IF($W919="Yes",1,0))</f>
        <v/>
      </c>
      <c r="AN919">
        <f>IF($AJ919=1,IFERROR(IF(VALUE($C919)&lt;100000000,VALUE($C919),1000000000),IFERROR(IF(VALUE(MID($C919,2,20))&lt;100000000,VALUE(MID($C919,2,20)),1000000000),1000000000))+ROW()/100000,"")</f>
        <v/>
      </c>
    </row>
    <row r="920">
      <c r="E920" s="11" t="n"/>
      <c r="M920" s="7">
        <f>IF($C920="","",L920*U920/100)</f>
        <v/>
      </c>
      <c r="N920" s="7" t="n"/>
      <c r="T920" s="7" t="n"/>
      <c r="U920" s="7">
        <f>IF($C920="","",S920*T920)</f>
        <v/>
      </c>
      <c r="X920">
        <f>IF($C920="","",IF($AM920=1,0,IF($AL920=1,Settings!$C$6,Settings!$C$7))*100)</f>
        <v/>
      </c>
      <c r="AB920" s="7" t="n"/>
      <c r="AE920" s="11" t="n"/>
      <c r="AG920" s="7">
        <f>IF($C920="","",U920*X920/100)</f>
        <v/>
      </c>
      <c r="AH920" s="7">
        <f>IF($C920="","",U920-AG920)</f>
        <v/>
      </c>
      <c r="AI920" s="7">
        <f>IF($C920="","",AH920-M920)</f>
        <v/>
      </c>
      <c r="AJ920">
        <f>IF($C920="","",IF(COUNTIF($C$2:$C920,$C920)=1,1,0))</f>
        <v/>
      </c>
      <c r="AK920">
        <f>IF($AJ920=1,SUMPRODUCT(--($AN$2:$AN$4001&lt;$AN920))+1,"")</f>
        <v/>
      </c>
      <c r="AL920">
        <f>IF($C920="","",IF(OR($Q920=TRUE(),$Q920="TRUE"),1,0))</f>
        <v/>
      </c>
      <c r="AM920">
        <f>IF($C920="","",IF($W920="Yes",1,0))</f>
        <v/>
      </c>
      <c r="AN920">
        <f>IF($AJ920=1,IFERROR(IF(VALUE($C920)&lt;100000000,VALUE($C920),1000000000),IFERROR(IF(VALUE(MID($C920,2,20))&lt;100000000,VALUE(MID($C920,2,20)),1000000000),1000000000))+ROW()/100000,"")</f>
        <v/>
      </c>
    </row>
    <row r="921">
      <c r="E921" s="11" t="n"/>
      <c r="M921" s="7">
        <f>IF($C921="","",L921*U921/100)</f>
        <v/>
      </c>
      <c r="N921" s="7" t="n"/>
      <c r="T921" s="7" t="n"/>
      <c r="U921" s="7">
        <f>IF($C921="","",S921*T921)</f>
        <v/>
      </c>
      <c r="X921">
        <f>IF($C921="","",IF($AM921=1,0,IF($AL921=1,Settings!$C$6,Settings!$C$7))*100)</f>
        <v/>
      </c>
      <c r="AB921" s="7" t="n"/>
      <c r="AE921" s="11" t="n"/>
      <c r="AG921" s="7">
        <f>IF($C921="","",U921*X921/100)</f>
        <v/>
      </c>
      <c r="AH921" s="7">
        <f>IF($C921="","",U921-AG921)</f>
        <v/>
      </c>
      <c r="AI921" s="7">
        <f>IF($C921="","",AH921-M921)</f>
        <v/>
      </c>
      <c r="AJ921">
        <f>IF($C921="","",IF(COUNTIF($C$2:$C921,$C921)=1,1,0))</f>
        <v/>
      </c>
      <c r="AK921">
        <f>IF($AJ921=1,SUMPRODUCT(--($AN$2:$AN$4001&lt;$AN921))+1,"")</f>
        <v/>
      </c>
      <c r="AL921">
        <f>IF($C921="","",IF(OR($Q921=TRUE(),$Q921="TRUE"),1,0))</f>
        <v/>
      </c>
      <c r="AM921">
        <f>IF($C921="","",IF($W921="Yes",1,0))</f>
        <v/>
      </c>
      <c r="AN921">
        <f>IF($AJ921=1,IFERROR(IF(VALUE($C921)&lt;100000000,VALUE($C921),1000000000),IFERROR(IF(VALUE(MID($C921,2,20))&lt;100000000,VALUE(MID($C921,2,20)),1000000000),1000000000))+ROW()/100000,"")</f>
        <v/>
      </c>
    </row>
    <row r="922">
      <c r="E922" s="11" t="n"/>
      <c r="M922" s="7">
        <f>IF($C922="","",L922*U922/100)</f>
        <v/>
      </c>
      <c r="N922" s="7" t="n"/>
      <c r="T922" s="7" t="n"/>
      <c r="U922" s="7">
        <f>IF($C922="","",S922*T922)</f>
        <v/>
      </c>
      <c r="X922">
        <f>IF($C922="","",IF($AM922=1,0,IF($AL922=1,Settings!$C$6,Settings!$C$7))*100)</f>
        <v/>
      </c>
      <c r="AB922" s="7" t="n"/>
      <c r="AE922" s="11" t="n"/>
      <c r="AG922" s="7">
        <f>IF($C922="","",U922*X922/100)</f>
        <v/>
      </c>
      <c r="AH922" s="7">
        <f>IF($C922="","",U922-AG922)</f>
        <v/>
      </c>
      <c r="AI922" s="7">
        <f>IF($C922="","",AH922-M922)</f>
        <v/>
      </c>
      <c r="AJ922">
        <f>IF($C922="","",IF(COUNTIF($C$2:$C922,$C922)=1,1,0))</f>
        <v/>
      </c>
      <c r="AK922">
        <f>IF($AJ922=1,SUMPRODUCT(--($AN$2:$AN$4001&lt;$AN922))+1,"")</f>
        <v/>
      </c>
      <c r="AL922">
        <f>IF($C922="","",IF(OR($Q922=TRUE(),$Q922="TRUE"),1,0))</f>
        <v/>
      </c>
      <c r="AM922">
        <f>IF($C922="","",IF($W922="Yes",1,0))</f>
        <v/>
      </c>
      <c r="AN922">
        <f>IF($AJ922=1,IFERROR(IF(VALUE($C922)&lt;100000000,VALUE($C922),1000000000),IFERROR(IF(VALUE(MID($C922,2,20))&lt;100000000,VALUE(MID($C922,2,20)),1000000000),1000000000))+ROW()/100000,"")</f>
        <v/>
      </c>
    </row>
    <row r="923">
      <c r="E923" s="11" t="n"/>
      <c r="M923" s="7">
        <f>IF($C923="","",L923*U923/100)</f>
        <v/>
      </c>
      <c r="N923" s="7" t="n"/>
      <c r="T923" s="7" t="n"/>
      <c r="U923" s="7">
        <f>IF($C923="","",S923*T923)</f>
        <v/>
      </c>
      <c r="X923">
        <f>IF($C923="","",IF($AM923=1,0,IF($AL923=1,Settings!$C$6,Settings!$C$7))*100)</f>
        <v/>
      </c>
      <c r="AB923" s="7" t="n"/>
      <c r="AE923" s="11" t="n"/>
      <c r="AG923" s="7">
        <f>IF($C923="","",U923*X923/100)</f>
        <v/>
      </c>
      <c r="AH923" s="7">
        <f>IF($C923="","",U923-AG923)</f>
        <v/>
      </c>
      <c r="AI923" s="7">
        <f>IF($C923="","",AH923-M923)</f>
        <v/>
      </c>
      <c r="AJ923">
        <f>IF($C923="","",IF(COUNTIF($C$2:$C923,$C923)=1,1,0))</f>
        <v/>
      </c>
      <c r="AK923">
        <f>IF($AJ923=1,SUMPRODUCT(--($AN$2:$AN$4001&lt;$AN923))+1,"")</f>
        <v/>
      </c>
      <c r="AL923">
        <f>IF($C923="","",IF(OR($Q923=TRUE(),$Q923="TRUE"),1,0))</f>
        <v/>
      </c>
      <c r="AM923">
        <f>IF($C923="","",IF($W923="Yes",1,0))</f>
        <v/>
      </c>
      <c r="AN923">
        <f>IF($AJ923=1,IFERROR(IF(VALUE($C923)&lt;100000000,VALUE($C923),1000000000),IFERROR(IF(VALUE(MID($C923,2,20))&lt;100000000,VALUE(MID($C923,2,20)),1000000000),1000000000))+ROW()/100000,"")</f>
        <v/>
      </c>
    </row>
    <row r="924">
      <c r="E924" s="11" t="n"/>
      <c r="M924" s="7">
        <f>IF($C924="","",L924*U924/100)</f>
        <v/>
      </c>
      <c r="N924" s="7" t="n"/>
      <c r="T924" s="7" t="n"/>
      <c r="U924" s="7">
        <f>IF($C924="","",S924*T924)</f>
        <v/>
      </c>
      <c r="X924">
        <f>IF($C924="","",IF($AM924=1,0,IF($AL924=1,Settings!$C$6,Settings!$C$7))*100)</f>
        <v/>
      </c>
      <c r="AB924" s="7" t="n"/>
      <c r="AE924" s="11" t="n"/>
      <c r="AG924" s="7">
        <f>IF($C924="","",U924*X924/100)</f>
        <v/>
      </c>
      <c r="AH924" s="7">
        <f>IF($C924="","",U924-AG924)</f>
        <v/>
      </c>
      <c r="AI924" s="7">
        <f>IF($C924="","",AH924-M924)</f>
        <v/>
      </c>
      <c r="AJ924">
        <f>IF($C924="","",IF(COUNTIF($C$2:$C924,$C924)=1,1,0))</f>
        <v/>
      </c>
      <c r="AK924">
        <f>IF($AJ924=1,SUMPRODUCT(--($AN$2:$AN$4001&lt;$AN924))+1,"")</f>
        <v/>
      </c>
      <c r="AL924">
        <f>IF($C924="","",IF(OR($Q924=TRUE(),$Q924="TRUE"),1,0))</f>
        <v/>
      </c>
      <c r="AM924">
        <f>IF($C924="","",IF($W924="Yes",1,0))</f>
        <v/>
      </c>
      <c r="AN924">
        <f>IF($AJ924=1,IFERROR(IF(VALUE($C924)&lt;100000000,VALUE($C924),1000000000),IFERROR(IF(VALUE(MID($C924,2,20))&lt;100000000,VALUE(MID($C924,2,20)),1000000000),1000000000))+ROW()/100000,"")</f>
        <v/>
      </c>
    </row>
    <row r="925">
      <c r="E925" s="11" t="n"/>
      <c r="M925" s="7">
        <f>IF($C925="","",L925*U925/100)</f>
        <v/>
      </c>
      <c r="N925" s="7" t="n"/>
      <c r="T925" s="7" t="n"/>
      <c r="U925" s="7">
        <f>IF($C925="","",S925*T925)</f>
        <v/>
      </c>
      <c r="X925">
        <f>IF($C925="","",IF($AM925=1,0,IF($AL925=1,Settings!$C$6,Settings!$C$7))*100)</f>
        <v/>
      </c>
      <c r="AB925" s="7" t="n"/>
      <c r="AE925" s="11" t="n"/>
      <c r="AG925" s="7">
        <f>IF($C925="","",U925*X925/100)</f>
        <v/>
      </c>
      <c r="AH925" s="7">
        <f>IF($C925="","",U925-AG925)</f>
        <v/>
      </c>
      <c r="AI925" s="7">
        <f>IF($C925="","",AH925-M925)</f>
        <v/>
      </c>
      <c r="AJ925">
        <f>IF($C925="","",IF(COUNTIF($C$2:$C925,$C925)=1,1,0))</f>
        <v/>
      </c>
      <c r="AK925">
        <f>IF($AJ925=1,SUMPRODUCT(--($AN$2:$AN$4001&lt;$AN925))+1,"")</f>
        <v/>
      </c>
      <c r="AL925">
        <f>IF($C925="","",IF(OR($Q925=TRUE(),$Q925="TRUE"),1,0))</f>
        <v/>
      </c>
      <c r="AM925">
        <f>IF($C925="","",IF($W925="Yes",1,0))</f>
        <v/>
      </c>
      <c r="AN925">
        <f>IF($AJ925=1,IFERROR(IF(VALUE($C925)&lt;100000000,VALUE($C925),1000000000),IFERROR(IF(VALUE(MID($C925,2,20))&lt;100000000,VALUE(MID($C925,2,20)),1000000000),1000000000))+ROW()/100000,"")</f>
        <v/>
      </c>
    </row>
    <row r="926">
      <c r="E926" s="11" t="n"/>
      <c r="M926" s="7">
        <f>IF($C926="","",L926*U926/100)</f>
        <v/>
      </c>
      <c r="N926" s="7" t="n"/>
      <c r="T926" s="7" t="n"/>
      <c r="U926" s="7">
        <f>IF($C926="","",S926*T926)</f>
        <v/>
      </c>
      <c r="X926">
        <f>IF($C926="","",IF($AM926=1,0,IF($AL926=1,Settings!$C$6,Settings!$C$7))*100)</f>
        <v/>
      </c>
      <c r="AB926" s="7" t="n"/>
      <c r="AE926" s="11" t="n"/>
      <c r="AG926" s="7">
        <f>IF($C926="","",U926*X926/100)</f>
        <v/>
      </c>
      <c r="AH926" s="7">
        <f>IF($C926="","",U926-AG926)</f>
        <v/>
      </c>
      <c r="AI926" s="7">
        <f>IF($C926="","",AH926-M926)</f>
        <v/>
      </c>
      <c r="AJ926">
        <f>IF($C926="","",IF(COUNTIF($C$2:$C926,$C926)=1,1,0))</f>
        <v/>
      </c>
      <c r="AK926">
        <f>IF($AJ926=1,SUMPRODUCT(--($AN$2:$AN$4001&lt;$AN926))+1,"")</f>
        <v/>
      </c>
      <c r="AL926">
        <f>IF($C926="","",IF(OR($Q926=TRUE(),$Q926="TRUE"),1,0))</f>
        <v/>
      </c>
      <c r="AM926">
        <f>IF($C926="","",IF($W926="Yes",1,0))</f>
        <v/>
      </c>
      <c r="AN926">
        <f>IF($AJ926=1,IFERROR(IF(VALUE($C926)&lt;100000000,VALUE($C926),1000000000),IFERROR(IF(VALUE(MID($C926,2,20))&lt;100000000,VALUE(MID($C926,2,20)),1000000000),1000000000))+ROW()/100000,"")</f>
        <v/>
      </c>
    </row>
    <row r="927">
      <c r="E927" s="11" t="n"/>
      <c r="M927" s="7">
        <f>IF($C927="","",L927*U927/100)</f>
        <v/>
      </c>
      <c r="N927" s="7" t="n"/>
      <c r="T927" s="7" t="n"/>
      <c r="U927" s="7">
        <f>IF($C927="","",S927*T927)</f>
        <v/>
      </c>
      <c r="X927">
        <f>IF($C927="","",IF($AM927=1,0,IF($AL927=1,Settings!$C$6,Settings!$C$7))*100)</f>
        <v/>
      </c>
      <c r="AB927" s="7" t="n"/>
      <c r="AE927" s="11" t="n"/>
      <c r="AG927" s="7">
        <f>IF($C927="","",U927*X927/100)</f>
        <v/>
      </c>
      <c r="AH927" s="7">
        <f>IF($C927="","",U927-AG927)</f>
        <v/>
      </c>
      <c r="AI927" s="7">
        <f>IF($C927="","",AH927-M927)</f>
        <v/>
      </c>
      <c r="AJ927">
        <f>IF($C927="","",IF(COUNTIF($C$2:$C927,$C927)=1,1,0))</f>
        <v/>
      </c>
      <c r="AK927">
        <f>IF($AJ927=1,SUMPRODUCT(--($AN$2:$AN$4001&lt;$AN927))+1,"")</f>
        <v/>
      </c>
      <c r="AL927">
        <f>IF($C927="","",IF(OR($Q927=TRUE(),$Q927="TRUE"),1,0))</f>
        <v/>
      </c>
      <c r="AM927">
        <f>IF($C927="","",IF($W927="Yes",1,0))</f>
        <v/>
      </c>
      <c r="AN927">
        <f>IF($AJ927=1,IFERROR(IF(VALUE($C927)&lt;100000000,VALUE($C927),1000000000),IFERROR(IF(VALUE(MID($C927,2,20))&lt;100000000,VALUE(MID($C927,2,20)),1000000000),1000000000))+ROW()/100000,"")</f>
        <v/>
      </c>
    </row>
    <row r="928">
      <c r="E928" s="11" t="n"/>
      <c r="M928" s="7">
        <f>IF($C928="","",L928*U928/100)</f>
        <v/>
      </c>
      <c r="N928" s="7" t="n"/>
      <c r="T928" s="7" t="n"/>
      <c r="U928" s="7">
        <f>IF($C928="","",S928*T928)</f>
        <v/>
      </c>
      <c r="X928">
        <f>IF($C928="","",IF($AM928=1,0,IF($AL928=1,Settings!$C$6,Settings!$C$7))*100)</f>
        <v/>
      </c>
      <c r="AB928" s="7" t="n"/>
      <c r="AE928" s="11" t="n"/>
      <c r="AG928" s="7">
        <f>IF($C928="","",U928*X928/100)</f>
        <v/>
      </c>
      <c r="AH928" s="7">
        <f>IF($C928="","",U928-AG928)</f>
        <v/>
      </c>
      <c r="AI928" s="7">
        <f>IF($C928="","",AH928-M928)</f>
        <v/>
      </c>
      <c r="AJ928">
        <f>IF($C928="","",IF(COUNTIF($C$2:$C928,$C928)=1,1,0))</f>
        <v/>
      </c>
      <c r="AK928">
        <f>IF($AJ928=1,SUMPRODUCT(--($AN$2:$AN$4001&lt;$AN928))+1,"")</f>
        <v/>
      </c>
      <c r="AL928">
        <f>IF($C928="","",IF(OR($Q928=TRUE(),$Q928="TRUE"),1,0))</f>
        <v/>
      </c>
      <c r="AM928">
        <f>IF($C928="","",IF($W928="Yes",1,0))</f>
        <v/>
      </c>
      <c r="AN928">
        <f>IF($AJ928=1,IFERROR(IF(VALUE($C928)&lt;100000000,VALUE($C928),1000000000),IFERROR(IF(VALUE(MID($C928,2,20))&lt;100000000,VALUE(MID($C928,2,20)),1000000000),1000000000))+ROW()/100000,"")</f>
        <v/>
      </c>
    </row>
    <row r="929">
      <c r="E929" s="11" t="n"/>
      <c r="M929" s="7">
        <f>IF($C929="","",L929*U929/100)</f>
        <v/>
      </c>
      <c r="N929" s="7" t="n"/>
      <c r="T929" s="7" t="n"/>
      <c r="U929" s="7">
        <f>IF($C929="","",S929*T929)</f>
        <v/>
      </c>
      <c r="X929">
        <f>IF($C929="","",IF($AM929=1,0,IF($AL929=1,Settings!$C$6,Settings!$C$7))*100)</f>
        <v/>
      </c>
      <c r="AB929" s="7" t="n"/>
      <c r="AE929" s="11" t="n"/>
      <c r="AG929" s="7">
        <f>IF($C929="","",U929*X929/100)</f>
        <v/>
      </c>
      <c r="AH929" s="7">
        <f>IF($C929="","",U929-AG929)</f>
        <v/>
      </c>
      <c r="AI929" s="7">
        <f>IF($C929="","",AH929-M929)</f>
        <v/>
      </c>
      <c r="AJ929">
        <f>IF($C929="","",IF(COUNTIF($C$2:$C929,$C929)=1,1,0))</f>
        <v/>
      </c>
      <c r="AK929">
        <f>IF($AJ929=1,SUMPRODUCT(--($AN$2:$AN$4001&lt;$AN929))+1,"")</f>
        <v/>
      </c>
      <c r="AL929">
        <f>IF($C929="","",IF(OR($Q929=TRUE(),$Q929="TRUE"),1,0))</f>
        <v/>
      </c>
      <c r="AM929">
        <f>IF($C929="","",IF($W929="Yes",1,0))</f>
        <v/>
      </c>
      <c r="AN929">
        <f>IF($AJ929=1,IFERROR(IF(VALUE($C929)&lt;100000000,VALUE($C929),1000000000),IFERROR(IF(VALUE(MID($C929,2,20))&lt;100000000,VALUE(MID($C929,2,20)),1000000000),1000000000))+ROW()/100000,"")</f>
        <v/>
      </c>
    </row>
    <row r="930">
      <c r="E930" s="11" t="n"/>
      <c r="M930" s="7">
        <f>IF($C930="","",L930*U930/100)</f>
        <v/>
      </c>
      <c r="N930" s="7" t="n"/>
      <c r="T930" s="7" t="n"/>
      <c r="U930" s="7">
        <f>IF($C930="","",S930*T930)</f>
        <v/>
      </c>
      <c r="X930">
        <f>IF($C930="","",IF($AM930=1,0,IF($AL930=1,Settings!$C$6,Settings!$C$7))*100)</f>
        <v/>
      </c>
      <c r="AB930" s="7" t="n"/>
      <c r="AE930" s="11" t="n"/>
      <c r="AG930" s="7">
        <f>IF($C930="","",U930*X930/100)</f>
        <v/>
      </c>
      <c r="AH930" s="7">
        <f>IF($C930="","",U930-AG930)</f>
        <v/>
      </c>
      <c r="AI930" s="7">
        <f>IF($C930="","",AH930-M930)</f>
        <v/>
      </c>
      <c r="AJ930">
        <f>IF($C930="","",IF(COUNTIF($C$2:$C930,$C930)=1,1,0))</f>
        <v/>
      </c>
      <c r="AK930">
        <f>IF($AJ930=1,SUMPRODUCT(--($AN$2:$AN$4001&lt;$AN930))+1,"")</f>
        <v/>
      </c>
      <c r="AL930">
        <f>IF($C930="","",IF(OR($Q930=TRUE(),$Q930="TRUE"),1,0))</f>
        <v/>
      </c>
      <c r="AM930">
        <f>IF($C930="","",IF($W930="Yes",1,0))</f>
        <v/>
      </c>
      <c r="AN930">
        <f>IF($AJ930=1,IFERROR(IF(VALUE($C930)&lt;100000000,VALUE($C930),1000000000),IFERROR(IF(VALUE(MID($C930,2,20))&lt;100000000,VALUE(MID($C930,2,20)),1000000000),1000000000))+ROW()/100000,"")</f>
        <v/>
      </c>
    </row>
    <row r="931">
      <c r="E931" s="11" t="n"/>
      <c r="M931" s="7">
        <f>IF($C931="","",L931*U931/100)</f>
        <v/>
      </c>
      <c r="N931" s="7" t="n"/>
      <c r="T931" s="7" t="n"/>
      <c r="U931" s="7">
        <f>IF($C931="","",S931*T931)</f>
        <v/>
      </c>
      <c r="X931">
        <f>IF($C931="","",IF($AM931=1,0,IF($AL931=1,Settings!$C$6,Settings!$C$7))*100)</f>
        <v/>
      </c>
      <c r="AB931" s="7" t="n"/>
      <c r="AE931" s="11" t="n"/>
      <c r="AG931" s="7">
        <f>IF($C931="","",U931*X931/100)</f>
        <v/>
      </c>
      <c r="AH931" s="7">
        <f>IF($C931="","",U931-AG931)</f>
        <v/>
      </c>
      <c r="AI931" s="7">
        <f>IF($C931="","",AH931-M931)</f>
        <v/>
      </c>
      <c r="AJ931">
        <f>IF($C931="","",IF(COUNTIF($C$2:$C931,$C931)=1,1,0))</f>
        <v/>
      </c>
      <c r="AK931">
        <f>IF($AJ931=1,SUMPRODUCT(--($AN$2:$AN$4001&lt;$AN931))+1,"")</f>
        <v/>
      </c>
      <c r="AL931">
        <f>IF($C931="","",IF(OR($Q931=TRUE(),$Q931="TRUE"),1,0))</f>
        <v/>
      </c>
      <c r="AM931">
        <f>IF($C931="","",IF($W931="Yes",1,0))</f>
        <v/>
      </c>
      <c r="AN931">
        <f>IF($AJ931=1,IFERROR(IF(VALUE($C931)&lt;100000000,VALUE($C931),1000000000),IFERROR(IF(VALUE(MID($C931,2,20))&lt;100000000,VALUE(MID($C931,2,20)),1000000000),1000000000))+ROW()/100000,"")</f>
        <v/>
      </c>
    </row>
    <row r="932">
      <c r="E932" s="11" t="n"/>
      <c r="M932" s="7">
        <f>IF($C932="","",L932*U932/100)</f>
        <v/>
      </c>
      <c r="N932" s="7" t="n"/>
      <c r="T932" s="7" t="n"/>
      <c r="U932" s="7">
        <f>IF($C932="","",S932*T932)</f>
        <v/>
      </c>
      <c r="X932">
        <f>IF($C932="","",IF($AM932=1,0,IF($AL932=1,Settings!$C$6,Settings!$C$7))*100)</f>
        <v/>
      </c>
      <c r="AB932" s="7" t="n"/>
      <c r="AE932" s="11" t="n"/>
      <c r="AG932" s="7">
        <f>IF($C932="","",U932*X932/100)</f>
        <v/>
      </c>
      <c r="AH932" s="7">
        <f>IF($C932="","",U932-AG932)</f>
        <v/>
      </c>
      <c r="AI932" s="7">
        <f>IF($C932="","",AH932-M932)</f>
        <v/>
      </c>
      <c r="AJ932">
        <f>IF($C932="","",IF(COUNTIF($C$2:$C932,$C932)=1,1,0))</f>
        <v/>
      </c>
      <c r="AK932">
        <f>IF($AJ932=1,SUMPRODUCT(--($AN$2:$AN$4001&lt;$AN932))+1,"")</f>
        <v/>
      </c>
      <c r="AL932">
        <f>IF($C932="","",IF(OR($Q932=TRUE(),$Q932="TRUE"),1,0))</f>
        <v/>
      </c>
      <c r="AM932">
        <f>IF($C932="","",IF($W932="Yes",1,0))</f>
        <v/>
      </c>
      <c r="AN932">
        <f>IF($AJ932=1,IFERROR(IF(VALUE($C932)&lt;100000000,VALUE($C932),1000000000),IFERROR(IF(VALUE(MID($C932,2,20))&lt;100000000,VALUE(MID($C932,2,20)),1000000000),1000000000))+ROW()/100000,"")</f>
        <v/>
      </c>
    </row>
    <row r="933">
      <c r="E933" s="11" t="n"/>
      <c r="M933" s="7">
        <f>IF($C933="","",L933*U933/100)</f>
        <v/>
      </c>
      <c r="N933" s="7" t="n"/>
      <c r="T933" s="7" t="n"/>
      <c r="U933" s="7">
        <f>IF($C933="","",S933*T933)</f>
        <v/>
      </c>
      <c r="X933">
        <f>IF($C933="","",IF($AM933=1,0,IF($AL933=1,Settings!$C$6,Settings!$C$7))*100)</f>
        <v/>
      </c>
      <c r="AB933" s="7" t="n"/>
      <c r="AE933" s="11" t="n"/>
      <c r="AG933" s="7">
        <f>IF($C933="","",U933*X933/100)</f>
        <v/>
      </c>
      <c r="AH933" s="7">
        <f>IF($C933="","",U933-AG933)</f>
        <v/>
      </c>
      <c r="AI933" s="7">
        <f>IF($C933="","",AH933-M933)</f>
        <v/>
      </c>
      <c r="AJ933">
        <f>IF($C933="","",IF(COUNTIF($C$2:$C933,$C933)=1,1,0))</f>
        <v/>
      </c>
      <c r="AK933">
        <f>IF($AJ933=1,SUMPRODUCT(--($AN$2:$AN$4001&lt;$AN933))+1,"")</f>
        <v/>
      </c>
      <c r="AL933">
        <f>IF($C933="","",IF(OR($Q933=TRUE(),$Q933="TRUE"),1,0))</f>
        <v/>
      </c>
      <c r="AM933">
        <f>IF($C933="","",IF($W933="Yes",1,0))</f>
        <v/>
      </c>
      <c r="AN933">
        <f>IF($AJ933=1,IFERROR(IF(VALUE($C933)&lt;100000000,VALUE($C933),1000000000),IFERROR(IF(VALUE(MID($C933,2,20))&lt;100000000,VALUE(MID($C933,2,20)),1000000000),1000000000))+ROW()/100000,"")</f>
        <v/>
      </c>
    </row>
    <row r="934">
      <c r="E934" s="11" t="n"/>
      <c r="M934" s="7">
        <f>IF($C934="","",L934*U934/100)</f>
        <v/>
      </c>
      <c r="N934" s="7" t="n"/>
      <c r="T934" s="7" t="n"/>
      <c r="U934" s="7">
        <f>IF($C934="","",S934*T934)</f>
        <v/>
      </c>
      <c r="X934">
        <f>IF($C934="","",IF($AM934=1,0,IF($AL934=1,Settings!$C$6,Settings!$C$7))*100)</f>
        <v/>
      </c>
      <c r="AB934" s="7" t="n"/>
      <c r="AE934" s="11" t="n"/>
      <c r="AG934" s="7">
        <f>IF($C934="","",U934*X934/100)</f>
        <v/>
      </c>
      <c r="AH934" s="7">
        <f>IF($C934="","",U934-AG934)</f>
        <v/>
      </c>
      <c r="AI934" s="7">
        <f>IF($C934="","",AH934-M934)</f>
        <v/>
      </c>
      <c r="AJ934">
        <f>IF($C934="","",IF(COUNTIF($C$2:$C934,$C934)=1,1,0))</f>
        <v/>
      </c>
      <c r="AK934">
        <f>IF($AJ934=1,SUMPRODUCT(--($AN$2:$AN$4001&lt;$AN934))+1,"")</f>
        <v/>
      </c>
      <c r="AL934">
        <f>IF($C934="","",IF(OR($Q934=TRUE(),$Q934="TRUE"),1,0))</f>
        <v/>
      </c>
      <c r="AM934">
        <f>IF($C934="","",IF($W934="Yes",1,0))</f>
        <v/>
      </c>
      <c r="AN934">
        <f>IF($AJ934=1,IFERROR(IF(VALUE($C934)&lt;100000000,VALUE($C934),1000000000),IFERROR(IF(VALUE(MID($C934,2,20))&lt;100000000,VALUE(MID($C934,2,20)),1000000000),1000000000))+ROW()/100000,"")</f>
        <v/>
      </c>
    </row>
    <row r="935">
      <c r="E935" s="11" t="n"/>
      <c r="M935" s="7">
        <f>IF($C935="","",L935*U935/100)</f>
        <v/>
      </c>
      <c r="N935" s="7" t="n"/>
      <c r="T935" s="7" t="n"/>
      <c r="U935" s="7">
        <f>IF($C935="","",S935*T935)</f>
        <v/>
      </c>
      <c r="X935">
        <f>IF($C935="","",IF($AM935=1,0,IF($AL935=1,Settings!$C$6,Settings!$C$7))*100)</f>
        <v/>
      </c>
      <c r="AB935" s="7" t="n"/>
      <c r="AE935" s="11" t="n"/>
      <c r="AG935" s="7">
        <f>IF($C935="","",U935*X935/100)</f>
        <v/>
      </c>
      <c r="AH935" s="7">
        <f>IF($C935="","",U935-AG935)</f>
        <v/>
      </c>
      <c r="AI935" s="7">
        <f>IF($C935="","",AH935-M935)</f>
        <v/>
      </c>
      <c r="AJ935">
        <f>IF($C935="","",IF(COUNTIF($C$2:$C935,$C935)=1,1,0))</f>
        <v/>
      </c>
      <c r="AK935">
        <f>IF($AJ935=1,SUMPRODUCT(--($AN$2:$AN$4001&lt;$AN935))+1,"")</f>
        <v/>
      </c>
      <c r="AL935">
        <f>IF($C935="","",IF(OR($Q935=TRUE(),$Q935="TRUE"),1,0))</f>
        <v/>
      </c>
      <c r="AM935">
        <f>IF($C935="","",IF($W935="Yes",1,0))</f>
        <v/>
      </c>
      <c r="AN935">
        <f>IF($AJ935=1,IFERROR(IF(VALUE($C935)&lt;100000000,VALUE($C935),1000000000),IFERROR(IF(VALUE(MID($C935,2,20))&lt;100000000,VALUE(MID($C935,2,20)),1000000000),1000000000))+ROW()/100000,"")</f>
        <v/>
      </c>
    </row>
    <row r="936">
      <c r="E936" s="11" t="n"/>
      <c r="M936" s="7">
        <f>IF($C936="","",L936*U936/100)</f>
        <v/>
      </c>
      <c r="N936" s="7" t="n"/>
      <c r="T936" s="7" t="n"/>
      <c r="U936" s="7">
        <f>IF($C936="","",S936*T936)</f>
        <v/>
      </c>
      <c r="X936">
        <f>IF($C936="","",IF($AM936=1,0,IF($AL936=1,Settings!$C$6,Settings!$C$7))*100)</f>
        <v/>
      </c>
      <c r="AB936" s="7" t="n"/>
      <c r="AE936" s="11" t="n"/>
      <c r="AG936" s="7">
        <f>IF($C936="","",U936*X936/100)</f>
        <v/>
      </c>
      <c r="AH936" s="7">
        <f>IF($C936="","",U936-AG936)</f>
        <v/>
      </c>
      <c r="AI936" s="7">
        <f>IF($C936="","",AH936-M936)</f>
        <v/>
      </c>
      <c r="AJ936">
        <f>IF($C936="","",IF(COUNTIF($C$2:$C936,$C936)=1,1,0))</f>
        <v/>
      </c>
      <c r="AK936">
        <f>IF($AJ936=1,SUMPRODUCT(--($AN$2:$AN$4001&lt;$AN936))+1,"")</f>
        <v/>
      </c>
      <c r="AL936">
        <f>IF($C936="","",IF(OR($Q936=TRUE(),$Q936="TRUE"),1,0))</f>
        <v/>
      </c>
      <c r="AM936">
        <f>IF($C936="","",IF($W936="Yes",1,0))</f>
        <v/>
      </c>
      <c r="AN936">
        <f>IF($AJ936=1,IFERROR(IF(VALUE($C936)&lt;100000000,VALUE($C936),1000000000),IFERROR(IF(VALUE(MID($C936,2,20))&lt;100000000,VALUE(MID($C936,2,20)),1000000000),1000000000))+ROW()/100000,"")</f>
        <v/>
      </c>
    </row>
    <row r="937">
      <c r="E937" s="11" t="n"/>
      <c r="M937" s="7">
        <f>IF($C937="","",L937*U937/100)</f>
        <v/>
      </c>
      <c r="N937" s="7" t="n"/>
      <c r="T937" s="7" t="n"/>
      <c r="U937" s="7">
        <f>IF($C937="","",S937*T937)</f>
        <v/>
      </c>
      <c r="X937">
        <f>IF($C937="","",IF($AM937=1,0,IF($AL937=1,Settings!$C$6,Settings!$C$7))*100)</f>
        <v/>
      </c>
      <c r="AB937" s="7" t="n"/>
      <c r="AE937" s="11" t="n"/>
      <c r="AG937" s="7">
        <f>IF($C937="","",U937*X937/100)</f>
        <v/>
      </c>
      <c r="AH937" s="7">
        <f>IF($C937="","",U937-AG937)</f>
        <v/>
      </c>
      <c r="AI937" s="7">
        <f>IF($C937="","",AH937-M937)</f>
        <v/>
      </c>
      <c r="AJ937">
        <f>IF($C937="","",IF(COUNTIF($C$2:$C937,$C937)=1,1,0))</f>
        <v/>
      </c>
      <c r="AK937">
        <f>IF($AJ937=1,SUMPRODUCT(--($AN$2:$AN$4001&lt;$AN937))+1,"")</f>
        <v/>
      </c>
      <c r="AL937">
        <f>IF($C937="","",IF(OR($Q937=TRUE(),$Q937="TRUE"),1,0))</f>
        <v/>
      </c>
      <c r="AM937">
        <f>IF($C937="","",IF($W937="Yes",1,0))</f>
        <v/>
      </c>
      <c r="AN937">
        <f>IF($AJ937=1,IFERROR(IF(VALUE($C937)&lt;100000000,VALUE($C937),1000000000),IFERROR(IF(VALUE(MID($C937,2,20))&lt;100000000,VALUE(MID($C937,2,20)),1000000000),1000000000))+ROW()/100000,"")</f>
        <v/>
      </c>
    </row>
    <row r="938">
      <c r="E938" s="11" t="n"/>
      <c r="M938" s="7">
        <f>IF($C938="","",L938*U938/100)</f>
        <v/>
      </c>
      <c r="N938" s="7" t="n"/>
      <c r="T938" s="7" t="n"/>
      <c r="U938" s="7">
        <f>IF($C938="","",S938*T938)</f>
        <v/>
      </c>
      <c r="X938">
        <f>IF($C938="","",IF($AM938=1,0,IF($AL938=1,Settings!$C$6,Settings!$C$7))*100)</f>
        <v/>
      </c>
      <c r="AB938" s="7" t="n"/>
      <c r="AE938" s="11" t="n"/>
      <c r="AG938" s="7">
        <f>IF($C938="","",U938*X938/100)</f>
        <v/>
      </c>
      <c r="AH938" s="7">
        <f>IF($C938="","",U938-AG938)</f>
        <v/>
      </c>
      <c r="AI938" s="7">
        <f>IF($C938="","",AH938-M938)</f>
        <v/>
      </c>
      <c r="AJ938">
        <f>IF($C938="","",IF(COUNTIF($C$2:$C938,$C938)=1,1,0))</f>
        <v/>
      </c>
      <c r="AK938">
        <f>IF($AJ938=1,SUMPRODUCT(--($AN$2:$AN$4001&lt;$AN938))+1,"")</f>
        <v/>
      </c>
      <c r="AL938">
        <f>IF($C938="","",IF(OR($Q938=TRUE(),$Q938="TRUE"),1,0))</f>
        <v/>
      </c>
      <c r="AM938">
        <f>IF($C938="","",IF($W938="Yes",1,0))</f>
        <v/>
      </c>
      <c r="AN938">
        <f>IF($AJ938=1,IFERROR(IF(VALUE($C938)&lt;100000000,VALUE($C938),1000000000),IFERROR(IF(VALUE(MID($C938,2,20))&lt;100000000,VALUE(MID($C938,2,20)),1000000000),1000000000))+ROW()/100000,"")</f>
        <v/>
      </c>
    </row>
    <row r="939">
      <c r="E939" s="11" t="n"/>
      <c r="M939" s="7">
        <f>IF($C939="","",L939*U939/100)</f>
        <v/>
      </c>
      <c r="N939" s="7" t="n"/>
      <c r="T939" s="7" t="n"/>
      <c r="U939" s="7">
        <f>IF($C939="","",S939*T939)</f>
        <v/>
      </c>
      <c r="X939">
        <f>IF($C939="","",IF($AM939=1,0,IF($AL939=1,Settings!$C$6,Settings!$C$7))*100)</f>
        <v/>
      </c>
      <c r="AB939" s="7" t="n"/>
      <c r="AE939" s="11" t="n"/>
      <c r="AG939" s="7">
        <f>IF($C939="","",U939*X939/100)</f>
        <v/>
      </c>
      <c r="AH939" s="7">
        <f>IF($C939="","",U939-AG939)</f>
        <v/>
      </c>
      <c r="AI939" s="7">
        <f>IF($C939="","",AH939-M939)</f>
        <v/>
      </c>
      <c r="AJ939">
        <f>IF($C939="","",IF(COUNTIF($C$2:$C939,$C939)=1,1,0))</f>
        <v/>
      </c>
      <c r="AK939">
        <f>IF($AJ939=1,SUMPRODUCT(--($AN$2:$AN$4001&lt;$AN939))+1,"")</f>
        <v/>
      </c>
      <c r="AL939">
        <f>IF($C939="","",IF(OR($Q939=TRUE(),$Q939="TRUE"),1,0))</f>
        <v/>
      </c>
      <c r="AM939">
        <f>IF($C939="","",IF($W939="Yes",1,0))</f>
        <v/>
      </c>
      <c r="AN939">
        <f>IF($AJ939=1,IFERROR(IF(VALUE($C939)&lt;100000000,VALUE($C939),1000000000),IFERROR(IF(VALUE(MID($C939,2,20))&lt;100000000,VALUE(MID($C939,2,20)),1000000000),1000000000))+ROW()/100000,"")</f>
        <v/>
      </c>
    </row>
    <row r="940">
      <c r="E940" s="11" t="n"/>
      <c r="M940" s="7">
        <f>IF($C940="","",L940*U940/100)</f>
        <v/>
      </c>
      <c r="N940" s="7" t="n"/>
      <c r="T940" s="7" t="n"/>
      <c r="U940" s="7">
        <f>IF($C940="","",S940*T940)</f>
        <v/>
      </c>
      <c r="X940">
        <f>IF($C940="","",IF($AM940=1,0,IF($AL940=1,Settings!$C$6,Settings!$C$7))*100)</f>
        <v/>
      </c>
      <c r="AB940" s="7" t="n"/>
      <c r="AE940" s="11" t="n"/>
      <c r="AG940" s="7">
        <f>IF($C940="","",U940*X940/100)</f>
        <v/>
      </c>
      <c r="AH940" s="7">
        <f>IF($C940="","",U940-AG940)</f>
        <v/>
      </c>
      <c r="AI940" s="7">
        <f>IF($C940="","",AH940-M940)</f>
        <v/>
      </c>
      <c r="AJ940">
        <f>IF($C940="","",IF(COUNTIF($C$2:$C940,$C940)=1,1,0))</f>
        <v/>
      </c>
      <c r="AK940">
        <f>IF($AJ940=1,SUMPRODUCT(--($AN$2:$AN$4001&lt;$AN940))+1,"")</f>
        <v/>
      </c>
      <c r="AL940">
        <f>IF($C940="","",IF(OR($Q940=TRUE(),$Q940="TRUE"),1,0))</f>
        <v/>
      </c>
      <c r="AM940">
        <f>IF($C940="","",IF($W940="Yes",1,0))</f>
        <v/>
      </c>
      <c r="AN940">
        <f>IF($AJ940=1,IFERROR(IF(VALUE($C940)&lt;100000000,VALUE($C940),1000000000),IFERROR(IF(VALUE(MID($C940,2,20))&lt;100000000,VALUE(MID($C940,2,20)),1000000000),1000000000))+ROW()/100000,"")</f>
        <v/>
      </c>
    </row>
    <row r="941">
      <c r="E941" s="11" t="n"/>
      <c r="M941" s="7">
        <f>IF($C941="","",L941*U941/100)</f>
        <v/>
      </c>
      <c r="N941" s="7" t="n"/>
      <c r="T941" s="7" t="n"/>
      <c r="U941" s="7">
        <f>IF($C941="","",S941*T941)</f>
        <v/>
      </c>
      <c r="X941">
        <f>IF($C941="","",IF($AM941=1,0,IF($AL941=1,Settings!$C$6,Settings!$C$7))*100)</f>
        <v/>
      </c>
      <c r="AB941" s="7" t="n"/>
      <c r="AE941" s="11" t="n"/>
      <c r="AG941" s="7">
        <f>IF($C941="","",U941*X941/100)</f>
        <v/>
      </c>
      <c r="AH941" s="7">
        <f>IF($C941="","",U941-AG941)</f>
        <v/>
      </c>
      <c r="AI941" s="7">
        <f>IF($C941="","",AH941-M941)</f>
        <v/>
      </c>
      <c r="AJ941">
        <f>IF($C941="","",IF(COUNTIF($C$2:$C941,$C941)=1,1,0))</f>
        <v/>
      </c>
      <c r="AK941">
        <f>IF($AJ941=1,SUMPRODUCT(--($AN$2:$AN$4001&lt;$AN941))+1,"")</f>
        <v/>
      </c>
      <c r="AL941">
        <f>IF($C941="","",IF(OR($Q941=TRUE(),$Q941="TRUE"),1,0))</f>
        <v/>
      </c>
      <c r="AM941">
        <f>IF($C941="","",IF($W941="Yes",1,0))</f>
        <v/>
      </c>
      <c r="AN941">
        <f>IF($AJ941=1,IFERROR(IF(VALUE($C941)&lt;100000000,VALUE($C941),1000000000),IFERROR(IF(VALUE(MID($C941,2,20))&lt;100000000,VALUE(MID($C941,2,20)),1000000000),1000000000))+ROW()/100000,"")</f>
        <v/>
      </c>
    </row>
    <row r="942">
      <c r="E942" s="11" t="n"/>
      <c r="M942" s="7">
        <f>IF($C942="","",L942*U942/100)</f>
        <v/>
      </c>
      <c r="N942" s="7" t="n"/>
      <c r="T942" s="7" t="n"/>
      <c r="U942" s="7">
        <f>IF($C942="","",S942*T942)</f>
        <v/>
      </c>
      <c r="X942">
        <f>IF($C942="","",IF($AM942=1,0,IF($AL942=1,Settings!$C$6,Settings!$C$7))*100)</f>
        <v/>
      </c>
      <c r="AB942" s="7" t="n"/>
      <c r="AE942" s="11" t="n"/>
      <c r="AG942" s="7">
        <f>IF($C942="","",U942*X942/100)</f>
        <v/>
      </c>
      <c r="AH942" s="7">
        <f>IF($C942="","",U942-AG942)</f>
        <v/>
      </c>
      <c r="AI942" s="7">
        <f>IF($C942="","",AH942-M942)</f>
        <v/>
      </c>
      <c r="AJ942">
        <f>IF($C942="","",IF(COUNTIF($C$2:$C942,$C942)=1,1,0))</f>
        <v/>
      </c>
      <c r="AK942">
        <f>IF($AJ942=1,SUMPRODUCT(--($AN$2:$AN$4001&lt;$AN942))+1,"")</f>
        <v/>
      </c>
      <c r="AL942">
        <f>IF($C942="","",IF(OR($Q942=TRUE(),$Q942="TRUE"),1,0))</f>
        <v/>
      </c>
      <c r="AM942">
        <f>IF($C942="","",IF($W942="Yes",1,0))</f>
        <v/>
      </c>
      <c r="AN942">
        <f>IF($AJ942=1,IFERROR(IF(VALUE($C942)&lt;100000000,VALUE($C942),1000000000),IFERROR(IF(VALUE(MID($C942,2,20))&lt;100000000,VALUE(MID($C942,2,20)),1000000000),1000000000))+ROW()/100000,"")</f>
        <v/>
      </c>
    </row>
    <row r="943">
      <c r="E943" s="11" t="n"/>
      <c r="M943" s="7">
        <f>IF($C943="","",L943*U943/100)</f>
        <v/>
      </c>
      <c r="N943" s="7" t="n"/>
      <c r="T943" s="7" t="n"/>
      <c r="U943" s="7">
        <f>IF($C943="","",S943*T943)</f>
        <v/>
      </c>
      <c r="X943">
        <f>IF($C943="","",IF($AM943=1,0,IF($AL943=1,Settings!$C$6,Settings!$C$7))*100)</f>
        <v/>
      </c>
      <c r="AB943" s="7" t="n"/>
      <c r="AE943" s="11" t="n"/>
      <c r="AG943" s="7">
        <f>IF($C943="","",U943*X943/100)</f>
        <v/>
      </c>
      <c r="AH943" s="7">
        <f>IF($C943="","",U943-AG943)</f>
        <v/>
      </c>
      <c r="AI943" s="7">
        <f>IF($C943="","",AH943-M943)</f>
        <v/>
      </c>
      <c r="AJ943">
        <f>IF($C943="","",IF(COUNTIF($C$2:$C943,$C943)=1,1,0))</f>
        <v/>
      </c>
      <c r="AK943">
        <f>IF($AJ943=1,SUMPRODUCT(--($AN$2:$AN$4001&lt;$AN943))+1,"")</f>
        <v/>
      </c>
      <c r="AL943">
        <f>IF($C943="","",IF(OR($Q943=TRUE(),$Q943="TRUE"),1,0))</f>
        <v/>
      </c>
      <c r="AM943">
        <f>IF($C943="","",IF($W943="Yes",1,0))</f>
        <v/>
      </c>
      <c r="AN943">
        <f>IF($AJ943=1,IFERROR(IF(VALUE($C943)&lt;100000000,VALUE($C943),1000000000),IFERROR(IF(VALUE(MID($C943,2,20))&lt;100000000,VALUE(MID($C943,2,20)),1000000000),1000000000))+ROW()/100000,"")</f>
        <v/>
      </c>
    </row>
    <row r="944">
      <c r="E944" s="11" t="n"/>
      <c r="M944" s="7">
        <f>IF($C944="","",L944*U944/100)</f>
        <v/>
      </c>
      <c r="N944" s="7" t="n"/>
      <c r="T944" s="7" t="n"/>
      <c r="U944" s="7">
        <f>IF($C944="","",S944*T944)</f>
        <v/>
      </c>
      <c r="X944">
        <f>IF($C944="","",IF($AM944=1,0,IF($AL944=1,Settings!$C$6,Settings!$C$7))*100)</f>
        <v/>
      </c>
      <c r="AB944" s="7" t="n"/>
      <c r="AE944" s="11" t="n"/>
      <c r="AG944" s="7">
        <f>IF($C944="","",U944*X944/100)</f>
        <v/>
      </c>
      <c r="AH944" s="7">
        <f>IF($C944="","",U944-AG944)</f>
        <v/>
      </c>
      <c r="AI944" s="7">
        <f>IF($C944="","",AH944-M944)</f>
        <v/>
      </c>
      <c r="AJ944">
        <f>IF($C944="","",IF(COUNTIF($C$2:$C944,$C944)=1,1,0))</f>
        <v/>
      </c>
      <c r="AK944">
        <f>IF($AJ944=1,SUMPRODUCT(--($AN$2:$AN$4001&lt;$AN944))+1,"")</f>
        <v/>
      </c>
      <c r="AL944">
        <f>IF($C944="","",IF(OR($Q944=TRUE(),$Q944="TRUE"),1,0))</f>
        <v/>
      </c>
      <c r="AM944">
        <f>IF($C944="","",IF($W944="Yes",1,0))</f>
        <v/>
      </c>
      <c r="AN944">
        <f>IF($AJ944=1,IFERROR(IF(VALUE($C944)&lt;100000000,VALUE($C944),1000000000),IFERROR(IF(VALUE(MID($C944,2,20))&lt;100000000,VALUE(MID($C944,2,20)),1000000000),1000000000))+ROW()/100000,"")</f>
        <v/>
      </c>
    </row>
    <row r="945">
      <c r="E945" s="11" t="n"/>
      <c r="M945" s="7">
        <f>IF($C945="","",L945*U945/100)</f>
        <v/>
      </c>
      <c r="N945" s="7" t="n"/>
      <c r="T945" s="7" t="n"/>
      <c r="U945" s="7">
        <f>IF($C945="","",S945*T945)</f>
        <v/>
      </c>
      <c r="X945">
        <f>IF($C945="","",IF($AM945=1,0,IF($AL945=1,Settings!$C$6,Settings!$C$7))*100)</f>
        <v/>
      </c>
      <c r="AB945" s="7" t="n"/>
      <c r="AE945" s="11" t="n"/>
      <c r="AG945" s="7">
        <f>IF($C945="","",U945*X945/100)</f>
        <v/>
      </c>
      <c r="AH945" s="7">
        <f>IF($C945="","",U945-AG945)</f>
        <v/>
      </c>
      <c r="AI945" s="7">
        <f>IF($C945="","",AH945-M945)</f>
        <v/>
      </c>
      <c r="AJ945">
        <f>IF($C945="","",IF(COUNTIF($C$2:$C945,$C945)=1,1,0))</f>
        <v/>
      </c>
      <c r="AK945">
        <f>IF($AJ945=1,SUMPRODUCT(--($AN$2:$AN$4001&lt;$AN945))+1,"")</f>
        <v/>
      </c>
      <c r="AL945">
        <f>IF($C945="","",IF(OR($Q945=TRUE(),$Q945="TRUE"),1,0))</f>
        <v/>
      </c>
      <c r="AM945">
        <f>IF($C945="","",IF($W945="Yes",1,0))</f>
        <v/>
      </c>
      <c r="AN945">
        <f>IF($AJ945=1,IFERROR(IF(VALUE($C945)&lt;100000000,VALUE($C945),1000000000),IFERROR(IF(VALUE(MID($C945,2,20))&lt;100000000,VALUE(MID($C945,2,20)),1000000000),1000000000))+ROW()/100000,"")</f>
        <v/>
      </c>
    </row>
    <row r="946">
      <c r="E946" s="11" t="n"/>
      <c r="M946" s="7">
        <f>IF($C946="","",L946*U946/100)</f>
        <v/>
      </c>
      <c r="N946" s="7" t="n"/>
      <c r="T946" s="7" t="n"/>
      <c r="U946" s="7">
        <f>IF($C946="","",S946*T946)</f>
        <v/>
      </c>
      <c r="X946">
        <f>IF($C946="","",IF($AM946=1,0,IF($AL946=1,Settings!$C$6,Settings!$C$7))*100)</f>
        <v/>
      </c>
      <c r="AB946" s="7" t="n"/>
      <c r="AE946" s="11" t="n"/>
      <c r="AG946" s="7">
        <f>IF($C946="","",U946*X946/100)</f>
        <v/>
      </c>
      <c r="AH946" s="7">
        <f>IF($C946="","",U946-AG946)</f>
        <v/>
      </c>
      <c r="AI946" s="7">
        <f>IF($C946="","",AH946-M946)</f>
        <v/>
      </c>
      <c r="AJ946">
        <f>IF($C946="","",IF(COUNTIF($C$2:$C946,$C946)=1,1,0))</f>
        <v/>
      </c>
      <c r="AK946">
        <f>IF($AJ946=1,SUMPRODUCT(--($AN$2:$AN$4001&lt;$AN946))+1,"")</f>
        <v/>
      </c>
      <c r="AL946">
        <f>IF($C946="","",IF(OR($Q946=TRUE(),$Q946="TRUE"),1,0))</f>
        <v/>
      </c>
      <c r="AM946">
        <f>IF($C946="","",IF($W946="Yes",1,0))</f>
        <v/>
      </c>
      <c r="AN946">
        <f>IF($AJ946=1,IFERROR(IF(VALUE($C946)&lt;100000000,VALUE($C946),1000000000),IFERROR(IF(VALUE(MID($C946,2,20))&lt;100000000,VALUE(MID($C946,2,20)),1000000000),1000000000))+ROW()/100000,"")</f>
        <v/>
      </c>
    </row>
    <row r="947">
      <c r="E947" s="11" t="n"/>
      <c r="M947" s="7">
        <f>IF($C947="","",L947*U947/100)</f>
        <v/>
      </c>
      <c r="N947" s="7" t="n"/>
      <c r="T947" s="7" t="n"/>
      <c r="U947" s="7">
        <f>IF($C947="","",S947*T947)</f>
        <v/>
      </c>
      <c r="X947">
        <f>IF($C947="","",IF($AM947=1,0,IF($AL947=1,Settings!$C$6,Settings!$C$7))*100)</f>
        <v/>
      </c>
      <c r="AB947" s="7" t="n"/>
      <c r="AE947" s="11" t="n"/>
      <c r="AG947" s="7">
        <f>IF($C947="","",U947*X947/100)</f>
        <v/>
      </c>
      <c r="AH947" s="7">
        <f>IF($C947="","",U947-AG947)</f>
        <v/>
      </c>
      <c r="AI947" s="7">
        <f>IF($C947="","",AH947-M947)</f>
        <v/>
      </c>
      <c r="AJ947">
        <f>IF($C947="","",IF(COUNTIF($C$2:$C947,$C947)=1,1,0))</f>
        <v/>
      </c>
      <c r="AK947">
        <f>IF($AJ947=1,SUMPRODUCT(--($AN$2:$AN$4001&lt;$AN947))+1,"")</f>
        <v/>
      </c>
      <c r="AL947">
        <f>IF($C947="","",IF(OR($Q947=TRUE(),$Q947="TRUE"),1,0))</f>
        <v/>
      </c>
      <c r="AM947">
        <f>IF($C947="","",IF($W947="Yes",1,0))</f>
        <v/>
      </c>
      <c r="AN947">
        <f>IF($AJ947=1,IFERROR(IF(VALUE($C947)&lt;100000000,VALUE($C947),1000000000),IFERROR(IF(VALUE(MID($C947,2,20))&lt;100000000,VALUE(MID($C947,2,20)),1000000000),1000000000))+ROW()/100000,"")</f>
        <v/>
      </c>
    </row>
    <row r="948">
      <c r="E948" s="11" t="n"/>
      <c r="M948" s="7">
        <f>IF($C948="","",L948*U948/100)</f>
        <v/>
      </c>
      <c r="N948" s="7" t="n"/>
      <c r="T948" s="7" t="n"/>
      <c r="U948" s="7">
        <f>IF($C948="","",S948*T948)</f>
        <v/>
      </c>
      <c r="X948">
        <f>IF($C948="","",IF($AM948=1,0,IF($AL948=1,Settings!$C$6,Settings!$C$7))*100)</f>
        <v/>
      </c>
      <c r="AB948" s="7" t="n"/>
      <c r="AE948" s="11" t="n"/>
      <c r="AG948" s="7">
        <f>IF($C948="","",U948*X948/100)</f>
        <v/>
      </c>
      <c r="AH948" s="7">
        <f>IF($C948="","",U948-AG948)</f>
        <v/>
      </c>
      <c r="AI948" s="7">
        <f>IF($C948="","",AH948-M948)</f>
        <v/>
      </c>
      <c r="AJ948">
        <f>IF($C948="","",IF(COUNTIF($C$2:$C948,$C948)=1,1,0))</f>
        <v/>
      </c>
      <c r="AK948">
        <f>IF($AJ948=1,SUMPRODUCT(--($AN$2:$AN$4001&lt;$AN948))+1,"")</f>
        <v/>
      </c>
      <c r="AL948">
        <f>IF($C948="","",IF(OR($Q948=TRUE(),$Q948="TRUE"),1,0))</f>
        <v/>
      </c>
      <c r="AM948">
        <f>IF($C948="","",IF($W948="Yes",1,0))</f>
        <v/>
      </c>
      <c r="AN948">
        <f>IF($AJ948=1,IFERROR(IF(VALUE($C948)&lt;100000000,VALUE($C948),1000000000),IFERROR(IF(VALUE(MID($C948,2,20))&lt;100000000,VALUE(MID($C948,2,20)),1000000000),1000000000))+ROW()/100000,"")</f>
        <v/>
      </c>
    </row>
    <row r="949">
      <c r="E949" s="11" t="n"/>
      <c r="M949" s="7">
        <f>IF($C949="","",L949*U949/100)</f>
        <v/>
      </c>
      <c r="N949" s="7" t="n"/>
      <c r="T949" s="7" t="n"/>
      <c r="U949" s="7">
        <f>IF($C949="","",S949*T949)</f>
        <v/>
      </c>
      <c r="X949">
        <f>IF($C949="","",IF($AM949=1,0,IF($AL949=1,Settings!$C$6,Settings!$C$7))*100)</f>
        <v/>
      </c>
      <c r="AB949" s="7" t="n"/>
      <c r="AE949" s="11" t="n"/>
      <c r="AG949" s="7">
        <f>IF($C949="","",U949*X949/100)</f>
        <v/>
      </c>
      <c r="AH949" s="7">
        <f>IF($C949="","",U949-AG949)</f>
        <v/>
      </c>
      <c r="AI949" s="7">
        <f>IF($C949="","",AH949-M949)</f>
        <v/>
      </c>
      <c r="AJ949">
        <f>IF($C949="","",IF(COUNTIF($C$2:$C949,$C949)=1,1,0))</f>
        <v/>
      </c>
      <c r="AK949">
        <f>IF($AJ949=1,SUMPRODUCT(--($AN$2:$AN$4001&lt;$AN949))+1,"")</f>
        <v/>
      </c>
      <c r="AL949">
        <f>IF($C949="","",IF(OR($Q949=TRUE(),$Q949="TRUE"),1,0))</f>
        <v/>
      </c>
      <c r="AM949">
        <f>IF($C949="","",IF($W949="Yes",1,0))</f>
        <v/>
      </c>
      <c r="AN949">
        <f>IF($AJ949=1,IFERROR(IF(VALUE($C949)&lt;100000000,VALUE($C949),1000000000),IFERROR(IF(VALUE(MID($C949,2,20))&lt;100000000,VALUE(MID($C949,2,20)),1000000000),1000000000))+ROW()/100000,"")</f>
        <v/>
      </c>
    </row>
    <row r="950">
      <c r="E950" s="11" t="n"/>
      <c r="M950" s="7">
        <f>IF($C950="","",L950*U950/100)</f>
        <v/>
      </c>
      <c r="N950" s="7" t="n"/>
      <c r="T950" s="7" t="n"/>
      <c r="U950" s="7">
        <f>IF($C950="","",S950*T950)</f>
        <v/>
      </c>
      <c r="X950">
        <f>IF($C950="","",IF($AM950=1,0,IF($AL950=1,Settings!$C$6,Settings!$C$7))*100)</f>
        <v/>
      </c>
      <c r="AB950" s="7" t="n"/>
      <c r="AE950" s="11" t="n"/>
      <c r="AG950" s="7">
        <f>IF($C950="","",U950*X950/100)</f>
        <v/>
      </c>
      <c r="AH950" s="7">
        <f>IF($C950="","",U950-AG950)</f>
        <v/>
      </c>
      <c r="AI950" s="7">
        <f>IF($C950="","",AH950-M950)</f>
        <v/>
      </c>
      <c r="AJ950">
        <f>IF($C950="","",IF(COUNTIF($C$2:$C950,$C950)=1,1,0))</f>
        <v/>
      </c>
      <c r="AK950">
        <f>IF($AJ950=1,SUMPRODUCT(--($AN$2:$AN$4001&lt;$AN950))+1,"")</f>
        <v/>
      </c>
      <c r="AL950">
        <f>IF($C950="","",IF(OR($Q950=TRUE(),$Q950="TRUE"),1,0))</f>
        <v/>
      </c>
      <c r="AM950">
        <f>IF($C950="","",IF($W950="Yes",1,0))</f>
        <v/>
      </c>
      <c r="AN950">
        <f>IF($AJ950=1,IFERROR(IF(VALUE($C950)&lt;100000000,VALUE($C950),1000000000),IFERROR(IF(VALUE(MID($C950,2,20))&lt;100000000,VALUE(MID($C950,2,20)),1000000000),1000000000))+ROW()/100000,"")</f>
        <v/>
      </c>
    </row>
    <row r="951">
      <c r="E951" s="11" t="n"/>
      <c r="M951" s="7">
        <f>IF($C951="","",L951*U951/100)</f>
        <v/>
      </c>
      <c r="N951" s="7" t="n"/>
      <c r="T951" s="7" t="n"/>
      <c r="U951" s="7">
        <f>IF($C951="","",S951*T951)</f>
        <v/>
      </c>
      <c r="X951">
        <f>IF($C951="","",IF($AM951=1,0,IF($AL951=1,Settings!$C$6,Settings!$C$7))*100)</f>
        <v/>
      </c>
      <c r="AB951" s="7" t="n"/>
      <c r="AE951" s="11" t="n"/>
      <c r="AG951" s="7">
        <f>IF($C951="","",U951*X951/100)</f>
        <v/>
      </c>
      <c r="AH951" s="7">
        <f>IF($C951="","",U951-AG951)</f>
        <v/>
      </c>
      <c r="AI951" s="7">
        <f>IF($C951="","",AH951-M951)</f>
        <v/>
      </c>
      <c r="AJ951">
        <f>IF($C951="","",IF(COUNTIF($C$2:$C951,$C951)=1,1,0))</f>
        <v/>
      </c>
      <c r="AK951">
        <f>IF($AJ951=1,SUMPRODUCT(--($AN$2:$AN$4001&lt;$AN951))+1,"")</f>
        <v/>
      </c>
      <c r="AL951">
        <f>IF($C951="","",IF(OR($Q951=TRUE(),$Q951="TRUE"),1,0))</f>
        <v/>
      </c>
      <c r="AM951">
        <f>IF($C951="","",IF($W951="Yes",1,0))</f>
        <v/>
      </c>
      <c r="AN951">
        <f>IF($AJ951=1,IFERROR(IF(VALUE($C951)&lt;100000000,VALUE($C951),1000000000),IFERROR(IF(VALUE(MID($C951,2,20))&lt;100000000,VALUE(MID($C951,2,20)),1000000000),1000000000))+ROW()/100000,"")</f>
        <v/>
      </c>
    </row>
    <row r="952">
      <c r="E952" s="11" t="n"/>
      <c r="M952" s="7">
        <f>IF($C952="","",L952*U952/100)</f>
        <v/>
      </c>
      <c r="N952" s="7" t="n"/>
      <c r="T952" s="7" t="n"/>
      <c r="U952" s="7">
        <f>IF($C952="","",S952*T952)</f>
        <v/>
      </c>
      <c r="X952">
        <f>IF($C952="","",IF($AM952=1,0,IF($AL952=1,Settings!$C$6,Settings!$C$7))*100)</f>
        <v/>
      </c>
      <c r="AB952" s="7" t="n"/>
      <c r="AE952" s="11" t="n"/>
      <c r="AG952" s="7">
        <f>IF($C952="","",U952*X952/100)</f>
        <v/>
      </c>
      <c r="AH952" s="7">
        <f>IF($C952="","",U952-AG952)</f>
        <v/>
      </c>
      <c r="AI952" s="7">
        <f>IF($C952="","",AH952-M952)</f>
        <v/>
      </c>
      <c r="AJ952">
        <f>IF($C952="","",IF(COUNTIF($C$2:$C952,$C952)=1,1,0))</f>
        <v/>
      </c>
      <c r="AK952">
        <f>IF($AJ952=1,SUMPRODUCT(--($AN$2:$AN$4001&lt;$AN952))+1,"")</f>
        <v/>
      </c>
      <c r="AL952">
        <f>IF($C952="","",IF(OR($Q952=TRUE(),$Q952="TRUE"),1,0))</f>
        <v/>
      </c>
      <c r="AM952">
        <f>IF($C952="","",IF($W952="Yes",1,0))</f>
        <v/>
      </c>
      <c r="AN952">
        <f>IF($AJ952=1,IFERROR(IF(VALUE($C952)&lt;100000000,VALUE($C952),1000000000),IFERROR(IF(VALUE(MID($C952,2,20))&lt;100000000,VALUE(MID($C952,2,20)),1000000000),1000000000))+ROW()/100000,"")</f>
        <v/>
      </c>
    </row>
    <row r="953">
      <c r="E953" s="11" t="n"/>
      <c r="M953" s="7">
        <f>IF($C953="","",L953*U953/100)</f>
        <v/>
      </c>
      <c r="N953" s="7" t="n"/>
      <c r="T953" s="7" t="n"/>
      <c r="U953" s="7">
        <f>IF($C953="","",S953*T953)</f>
        <v/>
      </c>
      <c r="X953">
        <f>IF($C953="","",IF($AM953=1,0,IF($AL953=1,Settings!$C$6,Settings!$C$7))*100)</f>
        <v/>
      </c>
      <c r="AB953" s="7" t="n"/>
      <c r="AE953" s="11" t="n"/>
      <c r="AG953" s="7">
        <f>IF($C953="","",U953*X953/100)</f>
        <v/>
      </c>
      <c r="AH953" s="7">
        <f>IF($C953="","",U953-AG953)</f>
        <v/>
      </c>
      <c r="AI953" s="7">
        <f>IF($C953="","",AH953-M953)</f>
        <v/>
      </c>
      <c r="AJ953">
        <f>IF($C953="","",IF(COUNTIF($C$2:$C953,$C953)=1,1,0))</f>
        <v/>
      </c>
      <c r="AK953">
        <f>IF($AJ953=1,SUMPRODUCT(--($AN$2:$AN$4001&lt;$AN953))+1,"")</f>
        <v/>
      </c>
      <c r="AL953">
        <f>IF($C953="","",IF(OR($Q953=TRUE(),$Q953="TRUE"),1,0))</f>
        <v/>
      </c>
      <c r="AM953">
        <f>IF($C953="","",IF($W953="Yes",1,0))</f>
        <v/>
      </c>
      <c r="AN953">
        <f>IF($AJ953=1,IFERROR(IF(VALUE($C953)&lt;100000000,VALUE($C953),1000000000),IFERROR(IF(VALUE(MID($C953,2,20))&lt;100000000,VALUE(MID($C953,2,20)),1000000000),1000000000))+ROW()/100000,"")</f>
        <v/>
      </c>
    </row>
    <row r="954">
      <c r="E954" s="11" t="n"/>
      <c r="M954" s="7">
        <f>IF($C954="","",L954*U954/100)</f>
        <v/>
      </c>
      <c r="N954" s="7" t="n"/>
      <c r="T954" s="7" t="n"/>
      <c r="U954" s="7">
        <f>IF($C954="","",S954*T954)</f>
        <v/>
      </c>
      <c r="X954">
        <f>IF($C954="","",IF($AM954=1,0,IF($AL954=1,Settings!$C$6,Settings!$C$7))*100)</f>
        <v/>
      </c>
      <c r="AB954" s="7" t="n"/>
      <c r="AE954" s="11" t="n"/>
      <c r="AG954" s="7">
        <f>IF($C954="","",U954*X954/100)</f>
        <v/>
      </c>
      <c r="AH954" s="7">
        <f>IF($C954="","",U954-AG954)</f>
        <v/>
      </c>
      <c r="AI954" s="7">
        <f>IF($C954="","",AH954-M954)</f>
        <v/>
      </c>
      <c r="AJ954">
        <f>IF($C954="","",IF(COUNTIF($C$2:$C954,$C954)=1,1,0))</f>
        <v/>
      </c>
      <c r="AK954">
        <f>IF($AJ954=1,SUMPRODUCT(--($AN$2:$AN$4001&lt;$AN954))+1,"")</f>
        <v/>
      </c>
      <c r="AL954">
        <f>IF($C954="","",IF(OR($Q954=TRUE(),$Q954="TRUE"),1,0))</f>
        <v/>
      </c>
      <c r="AM954">
        <f>IF($C954="","",IF($W954="Yes",1,0))</f>
        <v/>
      </c>
      <c r="AN954">
        <f>IF($AJ954=1,IFERROR(IF(VALUE($C954)&lt;100000000,VALUE($C954),1000000000),IFERROR(IF(VALUE(MID($C954,2,20))&lt;100000000,VALUE(MID($C954,2,20)),1000000000),1000000000))+ROW()/100000,"")</f>
        <v/>
      </c>
    </row>
    <row r="955">
      <c r="E955" s="11" t="n"/>
      <c r="M955" s="7">
        <f>IF($C955="","",L955*U955/100)</f>
        <v/>
      </c>
      <c r="N955" s="7" t="n"/>
      <c r="T955" s="7" t="n"/>
      <c r="U955" s="7">
        <f>IF($C955="","",S955*T955)</f>
        <v/>
      </c>
      <c r="X955">
        <f>IF($C955="","",IF($AM955=1,0,IF($AL955=1,Settings!$C$6,Settings!$C$7))*100)</f>
        <v/>
      </c>
      <c r="AB955" s="7" t="n"/>
      <c r="AE955" s="11" t="n"/>
      <c r="AG955" s="7">
        <f>IF($C955="","",U955*X955/100)</f>
        <v/>
      </c>
      <c r="AH955" s="7">
        <f>IF($C955="","",U955-AG955)</f>
        <v/>
      </c>
      <c r="AI955" s="7">
        <f>IF($C955="","",AH955-M955)</f>
        <v/>
      </c>
      <c r="AJ955">
        <f>IF($C955="","",IF(COUNTIF($C$2:$C955,$C955)=1,1,0))</f>
        <v/>
      </c>
      <c r="AK955">
        <f>IF($AJ955=1,SUMPRODUCT(--($AN$2:$AN$4001&lt;$AN955))+1,"")</f>
        <v/>
      </c>
      <c r="AL955">
        <f>IF($C955="","",IF(OR($Q955=TRUE(),$Q955="TRUE"),1,0))</f>
        <v/>
      </c>
      <c r="AM955">
        <f>IF($C955="","",IF($W955="Yes",1,0))</f>
        <v/>
      </c>
      <c r="AN955">
        <f>IF($AJ955=1,IFERROR(IF(VALUE($C955)&lt;100000000,VALUE($C955),1000000000),IFERROR(IF(VALUE(MID($C955,2,20))&lt;100000000,VALUE(MID($C955,2,20)),1000000000),1000000000))+ROW()/100000,"")</f>
        <v/>
      </c>
    </row>
    <row r="956">
      <c r="E956" s="11" t="n"/>
      <c r="M956" s="7">
        <f>IF($C956="","",L956*U956/100)</f>
        <v/>
      </c>
      <c r="N956" s="7" t="n"/>
      <c r="T956" s="7" t="n"/>
      <c r="U956" s="7">
        <f>IF($C956="","",S956*T956)</f>
        <v/>
      </c>
      <c r="X956">
        <f>IF($C956="","",IF($AM956=1,0,IF($AL956=1,Settings!$C$6,Settings!$C$7))*100)</f>
        <v/>
      </c>
      <c r="AB956" s="7" t="n"/>
      <c r="AE956" s="11" t="n"/>
      <c r="AG956" s="7">
        <f>IF($C956="","",U956*X956/100)</f>
        <v/>
      </c>
      <c r="AH956" s="7">
        <f>IF($C956="","",U956-AG956)</f>
        <v/>
      </c>
      <c r="AI956" s="7">
        <f>IF($C956="","",AH956-M956)</f>
        <v/>
      </c>
      <c r="AJ956">
        <f>IF($C956="","",IF(COUNTIF($C$2:$C956,$C956)=1,1,0))</f>
        <v/>
      </c>
      <c r="AK956">
        <f>IF($AJ956=1,SUMPRODUCT(--($AN$2:$AN$4001&lt;$AN956))+1,"")</f>
        <v/>
      </c>
      <c r="AL956">
        <f>IF($C956="","",IF(OR($Q956=TRUE(),$Q956="TRUE"),1,0))</f>
        <v/>
      </c>
      <c r="AM956">
        <f>IF($C956="","",IF($W956="Yes",1,0))</f>
        <v/>
      </c>
      <c r="AN956">
        <f>IF($AJ956=1,IFERROR(IF(VALUE($C956)&lt;100000000,VALUE($C956),1000000000),IFERROR(IF(VALUE(MID($C956,2,20))&lt;100000000,VALUE(MID($C956,2,20)),1000000000),1000000000))+ROW()/100000,"")</f>
        <v/>
      </c>
    </row>
    <row r="957">
      <c r="E957" s="11" t="n"/>
      <c r="M957" s="7">
        <f>IF($C957="","",L957*U957/100)</f>
        <v/>
      </c>
      <c r="N957" s="7" t="n"/>
      <c r="T957" s="7" t="n"/>
      <c r="U957" s="7">
        <f>IF($C957="","",S957*T957)</f>
        <v/>
      </c>
      <c r="X957">
        <f>IF($C957="","",IF($AM957=1,0,IF($AL957=1,Settings!$C$6,Settings!$C$7))*100)</f>
        <v/>
      </c>
      <c r="AB957" s="7" t="n"/>
      <c r="AE957" s="11" t="n"/>
      <c r="AG957" s="7">
        <f>IF($C957="","",U957*X957/100)</f>
        <v/>
      </c>
      <c r="AH957" s="7">
        <f>IF($C957="","",U957-AG957)</f>
        <v/>
      </c>
      <c r="AI957" s="7">
        <f>IF($C957="","",AH957-M957)</f>
        <v/>
      </c>
      <c r="AJ957">
        <f>IF($C957="","",IF(COUNTIF($C$2:$C957,$C957)=1,1,0))</f>
        <v/>
      </c>
      <c r="AK957">
        <f>IF($AJ957=1,SUMPRODUCT(--($AN$2:$AN$4001&lt;$AN957))+1,"")</f>
        <v/>
      </c>
      <c r="AL957">
        <f>IF($C957="","",IF(OR($Q957=TRUE(),$Q957="TRUE"),1,0))</f>
        <v/>
      </c>
      <c r="AM957">
        <f>IF($C957="","",IF($W957="Yes",1,0))</f>
        <v/>
      </c>
      <c r="AN957">
        <f>IF($AJ957=1,IFERROR(IF(VALUE($C957)&lt;100000000,VALUE($C957),1000000000),IFERROR(IF(VALUE(MID($C957,2,20))&lt;100000000,VALUE(MID($C957,2,20)),1000000000),1000000000))+ROW()/100000,"")</f>
        <v/>
      </c>
    </row>
    <row r="958">
      <c r="E958" s="11" t="n"/>
      <c r="M958" s="7">
        <f>IF($C958="","",L958*U958/100)</f>
        <v/>
      </c>
      <c r="N958" s="7" t="n"/>
      <c r="T958" s="7" t="n"/>
      <c r="U958" s="7">
        <f>IF($C958="","",S958*T958)</f>
        <v/>
      </c>
      <c r="X958">
        <f>IF($C958="","",IF($AM958=1,0,IF($AL958=1,Settings!$C$6,Settings!$C$7))*100)</f>
        <v/>
      </c>
      <c r="AB958" s="7" t="n"/>
      <c r="AE958" s="11" t="n"/>
      <c r="AG958" s="7">
        <f>IF($C958="","",U958*X958/100)</f>
        <v/>
      </c>
      <c r="AH958" s="7">
        <f>IF($C958="","",U958-AG958)</f>
        <v/>
      </c>
      <c r="AI958" s="7">
        <f>IF($C958="","",AH958-M958)</f>
        <v/>
      </c>
      <c r="AJ958">
        <f>IF($C958="","",IF(COUNTIF($C$2:$C958,$C958)=1,1,0))</f>
        <v/>
      </c>
      <c r="AK958">
        <f>IF($AJ958=1,SUMPRODUCT(--($AN$2:$AN$4001&lt;$AN958))+1,"")</f>
        <v/>
      </c>
      <c r="AL958">
        <f>IF($C958="","",IF(OR($Q958=TRUE(),$Q958="TRUE"),1,0))</f>
        <v/>
      </c>
      <c r="AM958">
        <f>IF($C958="","",IF($W958="Yes",1,0))</f>
        <v/>
      </c>
      <c r="AN958">
        <f>IF($AJ958=1,IFERROR(IF(VALUE($C958)&lt;100000000,VALUE($C958),1000000000),IFERROR(IF(VALUE(MID($C958,2,20))&lt;100000000,VALUE(MID($C958,2,20)),1000000000),1000000000))+ROW()/100000,"")</f>
        <v/>
      </c>
    </row>
    <row r="959">
      <c r="E959" s="11" t="n"/>
      <c r="M959" s="7">
        <f>IF($C959="","",L959*U959/100)</f>
        <v/>
      </c>
      <c r="N959" s="7" t="n"/>
      <c r="T959" s="7" t="n"/>
      <c r="U959" s="7">
        <f>IF($C959="","",S959*T959)</f>
        <v/>
      </c>
      <c r="X959">
        <f>IF($C959="","",IF($AM959=1,0,IF($AL959=1,Settings!$C$6,Settings!$C$7))*100)</f>
        <v/>
      </c>
      <c r="AB959" s="7" t="n"/>
      <c r="AE959" s="11" t="n"/>
      <c r="AG959" s="7">
        <f>IF($C959="","",U959*X959/100)</f>
        <v/>
      </c>
      <c r="AH959" s="7">
        <f>IF($C959="","",U959-AG959)</f>
        <v/>
      </c>
      <c r="AI959" s="7">
        <f>IF($C959="","",AH959-M959)</f>
        <v/>
      </c>
      <c r="AJ959">
        <f>IF($C959="","",IF(COUNTIF($C$2:$C959,$C959)=1,1,0))</f>
        <v/>
      </c>
      <c r="AK959">
        <f>IF($AJ959=1,SUMPRODUCT(--($AN$2:$AN$4001&lt;$AN959))+1,"")</f>
        <v/>
      </c>
      <c r="AL959">
        <f>IF($C959="","",IF(OR($Q959=TRUE(),$Q959="TRUE"),1,0))</f>
        <v/>
      </c>
      <c r="AM959">
        <f>IF($C959="","",IF($W959="Yes",1,0))</f>
        <v/>
      </c>
      <c r="AN959">
        <f>IF($AJ959=1,IFERROR(IF(VALUE($C959)&lt;100000000,VALUE($C959),1000000000),IFERROR(IF(VALUE(MID($C959,2,20))&lt;100000000,VALUE(MID($C959,2,20)),1000000000),1000000000))+ROW()/100000,"")</f>
        <v/>
      </c>
    </row>
    <row r="960">
      <c r="E960" s="11" t="n"/>
      <c r="M960" s="7">
        <f>IF($C960="","",L960*U960/100)</f>
        <v/>
      </c>
      <c r="N960" s="7" t="n"/>
      <c r="T960" s="7" t="n"/>
      <c r="U960" s="7">
        <f>IF($C960="","",S960*T960)</f>
        <v/>
      </c>
      <c r="X960">
        <f>IF($C960="","",IF($AM960=1,0,IF($AL960=1,Settings!$C$6,Settings!$C$7))*100)</f>
        <v/>
      </c>
      <c r="AB960" s="7" t="n"/>
      <c r="AE960" s="11" t="n"/>
      <c r="AG960" s="7">
        <f>IF($C960="","",U960*X960/100)</f>
        <v/>
      </c>
      <c r="AH960" s="7">
        <f>IF($C960="","",U960-AG960)</f>
        <v/>
      </c>
      <c r="AI960" s="7">
        <f>IF($C960="","",AH960-M960)</f>
        <v/>
      </c>
      <c r="AJ960">
        <f>IF($C960="","",IF(COUNTIF($C$2:$C960,$C960)=1,1,0))</f>
        <v/>
      </c>
      <c r="AK960">
        <f>IF($AJ960=1,SUMPRODUCT(--($AN$2:$AN$4001&lt;$AN960))+1,"")</f>
        <v/>
      </c>
      <c r="AL960">
        <f>IF($C960="","",IF(OR($Q960=TRUE(),$Q960="TRUE"),1,0))</f>
        <v/>
      </c>
      <c r="AM960">
        <f>IF($C960="","",IF($W960="Yes",1,0))</f>
        <v/>
      </c>
      <c r="AN960">
        <f>IF($AJ960=1,IFERROR(IF(VALUE($C960)&lt;100000000,VALUE($C960),1000000000),IFERROR(IF(VALUE(MID($C960,2,20))&lt;100000000,VALUE(MID($C960,2,20)),1000000000),1000000000))+ROW()/100000,"")</f>
        <v/>
      </c>
    </row>
    <row r="961">
      <c r="E961" s="11" t="n"/>
      <c r="M961" s="7">
        <f>IF($C961="","",L961*U961/100)</f>
        <v/>
      </c>
      <c r="N961" s="7" t="n"/>
      <c r="T961" s="7" t="n"/>
      <c r="U961" s="7">
        <f>IF($C961="","",S961*T961)</f>
        <v/>
      </c>
      <c r="X961">
        <f>IF($C961="","",IF($AM961=1,0,IF($AL961=1,Settings!$C$6,Settings!$C$7))*100)</f>
        <v/>
      </c>
      <c r="AB961" s="7" t="n"/>
      <c r="AE961" s="11" t="n"/>
      <c r="AG961" s="7">
        <f>IF($C961="","",U961*X961/100)</f>
        <v/>
      </c>
      <c r="AH961" s="7">
        <f>IF($C961="","",U961-AG961)</f>
        <v/>
      </c>
      <c r="AI961" s="7">
        <f>IF($C961="","",AH961-M961)</f>
        <v/>
      </c>
      <c r="AJ961">
        <f>IF($C961="","",IF(COUNTIF($C$2:$C961,$C961)=1,1,0))</f>
        <v/>
      </c>
      <c r="AK961">
        <f>IF($AJ961=1,SUMPRODUCT(--($AN$2:$AN$4001&lt;$AN961))+1,"")</f>
        <v/>
      </c>
      <c r="AL961">
        <f>IF($C961="","",IF(OR($Q961=TRUE(),$Q961="TRUE"),1,0))</f>
        <v/>
      </c>
      <c r="AM961">
        <f>IF($C961="","",IF($W961="Yes",1,0))</f>
        <v/>
      </c>
      <c r="AN961">
        <f>IF($AJ961=1,IFERROR(IF(VALUE($C961)&lt;100000000,VALUE($C961),1000000000),IFERROR(IF(VALUE(MID($C961,2,20))&lt;100000000,VALUE(MID($C961,2,20)),1000000000),1000000000))+ROW()/100000,"")</f>
        <v/>
      </c>
    </row>
    <row r="962">
      <c r="E962" s="11" t="n"/>
      <c r="M962" s="7">
        <f>IF($C962="","",L962*U962/100)</f>
        <v/>
      </c>
      <c r="N962" s="7" t="n"/>
      <c r="T962" s="7" t="n"/>
      <c r="U962" s="7">
        <f>IF($C962="","",S962*T962)</f>
        <v/>
      </c>
      <c r="X962">
        <f>IF($C962="","",IF($AM962=1,0,IF($AL962=1,Settings!$C$6,Settings!$C$7))*100)</f>
        <v/>
      </c>
      <c r="AB962" s="7" t="n"/>
      <c r="AE962" s="11" t="n"/>
      <c r="AG962" s="7">
        <f>IF($C962="","",U962*X962/100)</f>
        <v/>
      </c>
      <c r="AH962" s="7">
        <f>IF($C962="","",U962-AG962)</f>
        <v/>
      </c>
      <c r="AI962" s="7">
        <f>IF($C962="","",AH962-M962)</f>
        <v/>
      </c>
      <c r="AJ962">
        <f>IF($C962="","",IF(COUNTIF($C$2:$C962,$C962)=1,1,0))</f>
        <v/>
      </c>
      <c r="AK962">
        <f>IF($AJ962=1,SUMPRODUCT(--($AN$2:$AN$4001&lt;$AN962))+1,"")</f>
        <v/>
      </c>
      <c r="AL962">
        <f>IF($C962="","",IF(OR($Q962=TRUE(),$Q962="TRUE"),1,0))</f>
        <v/>
      </c>
      <c r="AM962">
        <f>IF($C962="","",IF($W962="Yes",1,0))</f>
        <v/>
      </c>
      <c r="AN962">
        <f>IF($AJ962=1,IFERROR(IF(VALUE($C962)&lt;100000000,VALUE($C962),1000000000),IFERROR(IF(VALUE(MID($C962,2,20))&lt;100000000,VALUE(MID($C962,2,20)),1000000000),1000000000))+ROW()/100000,"")</f>
        <v/>
      </c>
    </row>
    <row r="963">
      <c r="E963" s="11" t="n"/>
      <c r="M963" s="7">
        <f>IF($C963="","",L963*U963/100)</f>
        <v/>
      </c>
      <c r="N963" s="7" t="n"/>
      <c r="T963" s="7" t="n"/>
      <c r="U963" s="7">
        <f>IF($C963="","",S963*T963)</f>
        <v/>
      </c>
      <c r="X963">
        <f>IF($C963="","",IF($AM963=1,0,IF($AL963=1,Settings!$C$6,Settings!$C$7))*100)</f>
        <v/>
      </c>
      <c r="AB963" s="7" t="n"/>
      <c r="AE963" s="11" t="n"/>
      <c r="AG963" s="7">
        <f>IF($C963="","",U963*X963/100)</f>
        <v/>
      </c>
      <c r="AH963" s="7">
        <f>IF($C963="","",U963-AG963)</f>
        <v/>
      </c>
      <c r="AI963" s="7">
        <f>IF($C963="","",AH963-M963)</f>
        <v/>
      </c>
      <c r="AJ963">
        <f>IF($C963="","",IF(COUNTIF($C$2:$C963,$C963)=1,1,0))</f>
        <v/>
      </c>
      <c r="AK963">
        <f>IF($AJ963=1,SUMPRODUCT(--($AN$2:$AN$4001&lt;$AN963))+1,"")</f>
        <v/>
      </c>
      <c r="AL963">
        <f>IF($C963="","",IF(OR($Q963=TRUE(),$Q963="TRUE"),1,0))</f>
        <v/>
      </c>
      <c r="AM963">
        <f>IF($C963="","",IF($W963="Yes",1,0))</f>
        <v/>
      </c>
      <c r="AN963">
        <f>IF($AJ963=1,IFERROR(IF(VALUE($C963)&lt;100000000,VALUE($C963),1000000000),IFERROR(IF(VALUE(MID($C963,2,20))&lt;100000000,VALUE(MID($C963,2,20)),1000000000),1000000000))+ROW()/100000,"")</f>
        <v/>
      </c>
    </row>
    <row r="964">
      <c r="E964" s="11" t="n"/>
      <c r="M964" s="7">
        <f>IF($C964="","",L964*U964/100)</f>
        <v/>
      </c>
      <c r="N964" s="7" t="n"/>
      <c r="T964" s="7" t="n"/>
      <c r="U964" s="7">
        <f>IF($C964="","",S964*T964)</f>
        <v/>
      </c>
      <c r="X964">
        <f>IF($C964="","",IF($AM964=1,0,IF($AL964=1,Settings!$C$6,Settings!$C$7))*100)</f>
        <v/>
      </c>
      <c r="AB964" s="7" t="n"/>
      <c r="AE964" s="11" t="n"/>
      <c r="AG964" s="7">
        <f>IF($C964="","",U964*X964/100)</f>
        <v/>
      </c>
      <c r="AH964" s="7">
        <f>IF($C964="","",U964-AG964)</f>
        <v/>
      </c>
      <c r="AI964" s="7">
        <f>IF($C964="","",AH964-M964)</f>
        <v/>
      </c>
      <c r="AJ964">
        <f>IF($C964="","",IF(COUNTIF($C$2:$C964,$C964)=1,1,0))</f>
        <v/>
      </c>
      <c r="AK964">
        <f>IF($AJ964=1,SUMPRODUCT(--($AN$2:$AN$4001&lt;$AN964))+1,"")</f>
        <v/>
      </c>
      <c r="AL964">
        <f>IF($C964="","",IF(OR($Q964=TRUE(),$Q964="TRUE"),1,0))</f>
        <v/>
      </c>
      <c r="AM964">
        <f>IF($C964="","",IF($W964="Yes",1,0))</f>
        <v/>
      </c>
      <c r="AN964">
        <f>IF($AJ964=1,IFERROR(IF(VALUE($C964)&lt;100000000,VALUE($C964),1000000000),IFERROR(IF(VALUE(MID($C964,2,20))&lt;100000000,VALUE(MID($C964,2,20)),1000000000),1000000000))+ROW()/100000,"")</f>
        <v/>
      </c>
    </row>
    <row r="965">
      <c r="E965" s="11" t="n"/>
      <c r="M965" s="7">
        <f>IF($C965="","",L965*U965/100)</f>
        <v/>
      </c>
      <c r="N965" s="7" t="n"/>
      <c r="T965" s="7" t="n"/>
      <c r="U965" s="7">
        <f>IF($C965="","",S965*T965)</f>
        <v/>
      </c>
      <c r="X965">
        <f>IF($C965="","",IF($AM965=1,0,IF($AL965=1,Settings!$C$6,Settings!$C$7))*100)</f>
        <v/>
      </c>
      <c r="AB965" s="7" t="n"/>
      <c r="AE965" s="11" t="n"/>
      <c r="AG965" s="7">
        <f>IF($C965="","",U965*X965/100)</f>
        <v/>
      </c>
      <c r="AH965" s="7">
        <f>IF($C965="","",U965-AG965)</f>
        <v/>
      </c>
      <c r="AI965" s="7">
        <f>IF($C965="","",AH965-M965)</f>
        <v/>
      </c>
      <c r="AJ965">
        <f>IF($C965="","",IF(COUNTIF($C$2:$C965,$C965)=1,1,0))</f>
        <v/>
      </c>
      <c r="AK965">
        <f>IF($AJ965=1,SUMPRODUCT(--($AN$2:$AN$4001&lt;$AN965))+1,"")</f>
        <v/>
      </c>
      <c r="AL965">
        <f>IF($C965="","",IF(OR($Q965=TRUE(),$Q965="TRUE"),1,0))</f>
        <v/>
      </c>
      <c r="AM965">
        <f>IF($C965="","",IF($W965="Yes",1,0))</f>
        <v/>
      </c>
      <c r="AN965">
        <f>IF($AJ965=1,IFERROR(IF(VALUE($C965)&lt;100000000,VALUE($C965),1000000000),IFERROR(IF(VALUE(MID($C965,2,20))&lt;100000000,VALUE(MID($C965,2,20)),1000000000),1000000000))+ROW()/100000,"")</f>
        <v/>
      </c>
    </row>
    <row r="966">
      <c r="E966" s="11" t="n"/>
      <c r="M966" s="7">
        <f>IF($C966="","",L966*U966/100)</f>
        <v/>
      </c>
      <c r="N966" s="7" t="n"/>
      <c r="T966" s="7" t="n"/>
      <c r="U966" s="7">
        <f>IF($C966="","",S966*T966)</f>
        <v/>
      </c>
      <c r="X966">
        <f>IF($C966="","",IF($AM966=1,0,IF($AL966=1,Settings!$C$6,Settings!$C$7))*100)</f>
        <v/>
      </c>
      <c r="AB966" s="7" t="n"/>
      <c r="AE966" s="11" t="n"/>
      <c r="AG966" s="7">
        <f>IF($C966="","",U966*X966/100)</f>
        <v/>
      </c>
      <c r="AH966" s="7">
        <f>IF($C966="","",U966-AG966)</f>
        <v/>
      </c>
      <c r="AI966" s="7">
        <f>IF($C966="","",AH966-M966)</f>
        <v/>
      </c>
      <c r="AJ966">
        <f>IF($C966="","",IF(COUNTIF($C$2:$C966,$C966)=1,1,0))</f>
        <v/>
      </c>
      <c r="AK966">
        <f>IF($AJ966=1,SUMPRODUCT(--($AN$2:$AN$4001&lt;$AN966))+1,"")</f>
        <v/>
      </c>
      <c r="AL966">
        <f>IF($C966="","",IF(OR($Q966=TRUE(),$Q966="TRUE"),1,0))</f>
        <v/>
      </c>
      <c r="AM966">
        <f>IF($C966="","",IF($W966="Yes",1,0))</f>
        <v/>
      </c>
      <c r="AN966">
        <f>IF($AJ966=1,IFERROR(IF(VALUE($C966)&lt;100000000,VALUE($C966),1000000000),IFERROR(IF(VALUE(MID($C966,2,20))&lt;100000000,VALUE(MID($C966,2,20)),1000000000),1000000000))+ROW()/100000,"")</f>
        <v/>
      </c>
    </row>
    <row r="967">
      <c r="E967" s="11" t="n"/>
      <c r="M967" s="7">
        <f>IF($C967="","",L967*U967/100)</f>
        <v/>
      </c>
      <c r="N967" s="7" t="n"/>
      <c r="T967" s="7" t="n"/>
      <c r="U967" s="7">
        <f>IF($C967="","",S967*T967)</f>
        <v/>
      </c>
      <c r="X967">
        <f>IF($C967="","",IF($AM967=1,0,IF($AL967=1,Settings!$C$6,Settings!$C$7))*100)</f>
        <v/>
      </c>
      <c r="AB967" s="7" t="n"/>
      <c r="AE967" s="11" t="n"/>
      <c r="AG967" s="7">
        <f>IF($C967="","",U967*X967/100)</f>
        <v/>
      </c>
      <c r="AH967" s="7">
        <f>IF($C967="","",U967-AG967)</f>
        <v/>
      </c>
      <c r="AI967" s="7">
        <f>IF($C967="","",AH967-M967)</f>
        <v/>
      </c>
      <c r="AJ967">
        <f>IF($C967="","",IF(COUNTIF($C$2:$C967,$C967)=1,1,0))</f>
        <v/>
      </c>
      <c r="AK967">
        <f>IF($AJ967=1,SUMPRODUCT(--($AN$2:$AN$4001&lt;$AN967))+1,"")</f>
        <v/>
      </c>
      <c r="AL967">
        <f>IF($C967="","",IF(OR($Q967=TRUE(),$Q967="TRUE"),1,0))</f>
        <v/>
      </c>
      <c r="AM967">
        <f>IF($C967="","",IF($W967="Yes",1,0))</f>
        <v/>
      </c>
      <c r="AN967">
        <f>IF($AJ967=1,IFERROR(IF(VALUE($C967)&lt;100000000,VALUE($C967),1000000000),IFERROR(IF(VALUE(MID($C967,2,20))&lt;100000000,VALUE(MID($C967,2,20)),1000000000),1000000000))+ROW()/100000,"")</f>
        <v/>
      </c>
    </row>
    <row r="968">
      <c r="E968" s="11" t="n"/>
      <c r="M968" s="7">
        <f>IF($C968="","",L968*U968/100)</f>
        <v/>
      </c>
      <c r="N968" s="7" t="n"/>
      <c r="T968" s="7" t="n"/>
      <c r="U968" s="7">
        <f>IF($C968="","",S968*T968)</f>
        <v/>
      </c>
      <c r="X968">
        <f>IF($C968="","",IF($AM968=1,0,IF($AL968=1,Settings!$C$6,Settings!$C$7))*100)</f>
        <v/>
      </c>
      <c r="AB968" s="7" t="n"/>
      <c r="AE968" s="11" t="n"/>
      <c r="AG968" s="7">
        <f>IF($C968="","",U968*X968/100)</f>
        <v/>
      </c>
      <c r="AH968" s="7">
        <f>IF($C968="","",U968-AG968)</f>
        <v/>
      </c>
      <c r="AI968" s="7">
        <f>IF($C968="","",AH968-M968)</f>
        <v/>
      </c>
      <c r="AJ968">
        <f>IF($C968="","",IF(COUNTIF($C$2:$C968,$C968)=1,1,0))</f>
        <v/>
      </c>
      <c r="AK968">
        <f>IF($AJ968=1,SUMPRODUCT(--($AN$2:$AN$4001&lt;$AN968))+1,"")</f>
        <v/>
      </c>
      <c r="AL968">
        <f>IF($C968="","",IF(OR($Q968=TRUE(),$Q968="TRUE"),1,0))</f>
        <v/>
      </c>
      <c r="AM968">
        <f>IF($C968="","",IF($W968="Yes",1,0))</f>
        <v/>
      </c>
      <c r="AN968">
        <f>IF($AJ968=1,IFERROR(IF(VALUE($C968)&lt;100000000,VALUE($C968),1000000000),IFERROR(IF(VALUE(MID($C968,2,20))&lt;100000000,VALUE(MID($C968,2,20)),1000000000),1000000000))+ROW()/100000,"")</f>
        <v/>
      </c>
    </row>
    <row r="969">
      <c r="E969" s="11" t="n"/>
      <c r="M969" s="7">
        <f>IF($C969="","",L969*U969/100)</f>
        <v/>
      </c>
      <c r="N969" s="7" t="n"/>
      <c r="T969" s="7" t="n"/>
      <c r="U969" s="7">
        <f>IF($C969="","",S969*T969)</f>
        <v/>
      </c>
      <c r="X969">
        <f>IF($C969="","",IF($AM969=1,0,IF($AL969=1,Settings!$C$6,Settings!$C$7))*100)</f>
        <v/>
      </c>
      <c r="AB969" s="7" t="n"/>
      <c r="AE969" s="11" t="n"/>
      <c r="AG969" s="7">
        <f>IF($C969="","",U969*X969/100)</f>
        <v/>
      </c>
      <c r="AH969" s="7">
        <f>IF($C969="","",U969-AG969)</f>
        <v/>
      </c>
      <c r="AI969" s="7">
        <f>IF($C969="","",AH969-M969)</f>
        <v/>
      </c>
      <c r="AJ969">
        <f>IF($C969="","",IF(COUNTIF($C$2:$C969,$C969)=1,1,0))</f>
        <v/>
      </c>
      <c r="AK969">
        <f>IF($AJ969=1,SUMPRODUCT(--($AN$2:$AN$4001&lt;$AN969))+1,"")</f>
        <v/>
      </c>
      <c r="AL969">
        <f>IF($C969="","",IF(OR($Q969=TRUE(),$Q969="TRUE"),1,0))</f>
        <v/>
      </c>
      <c r="AM969">
        <f>IF($C969="","",IF($W969="Yes",1,0))</f>
        <v/>
      </c>
      <c r="AN969">
        <f>IF($AJ969=1,IFERROR(IF(VALUE($C969)&lt;100000000,VALUE($C969),1000000000),IFERROR(IF(VALUE(MID($C969,2,20))&lt;100000000,VALUE(MID($C969,2,20)),1000000000),1000000000))+ROW()/100000,"")</f>
        <v/>
      </c>
    </row>
    <row r="970">
      <c r="E970" s="11" t="n"/>
      <c r="M970" s="7">
        <f>IF($C970="","",L970*U970/100)</f>
        <v/>
      </c>
      <c r="N970" s="7" t="n"/>
      <c r="T970" s="7" t="n"/>
      <c r="U970" s="7">
        <f>IF($C970="","",S970*T970)</f>
        <v/>
      </c>
      <c r="X970">
        <f>IF($C970="","",IF($AM970=1,0,IF($AL970=1,Settings!$C$6,Settings!$C$7))*100)</f>
        <v/>
      </c>
      <c r="AB970" s="7" t="n"/>
      <c r="AE970" s="11" t="n"/>
      <c r="AG970" s="7">
        <f>IF($C970="","",U970*X970/100)</f>
        <v/>
      </c>
      <c r="AH970" s="7">
        <f>IF($C970="","",U970-AG970)</f>
        <v/>
      </c>
      <c r="AI970" s="7">
        <f>IF($C970="","",AH970-M970)</f>
        <v/>
      </c>
      <c r="AJ970">
        <f>IF($C970="","",IF(COUNTIF($C$2:$C970,$C970)=1,1,0))</f>
        <v/>
      </c>
      <c r="AK970">
        <f>IF($AJ970=1,SUMPRODUCT(--($AN$2:$AN$4001&lt;$AN970))+1,"")</f>
        <v/>
      </c>
      <c r="AL970">
        <f>IF($C970="","",IF(OR($Q970=TRUE(),$Q970="TRUE"),1,0))</f>
        <v/>
      </c>
      <c r="AM970">
        <f>IF($C970="","",IF($W970="Yes",1,0))</f>
        <v/>
      </c>
      <c r="AN970">
        <f>IF($AJ970=1,IFERROR(IF(VALUE($C970)&lt;100000000,VALUE($C970),1000000000),IFERROR(IF(VALUE(MID($C970,2,20))&lt;100000000,VALUE(MID($C970,2,20)),1000000000),1000000000))+ROW()/100000,"")</f>
        <v/>
      </c>
    </row>
    <row r="971">
      <c r="E971" s="11" t="n"/>
      <c r="M971" s="7">
        <f>IF($C971="","",L971*U971/100)</f>
        <v/>
      </c>
      <c r="N971" s="7" t="n"/>
      <c r="T971" s="7" t="n"/>
      <c r="U971" s="7">
        <f>IF($C971="","",S971*T971)</f>
        <v/>
      </c>
      <c r="X971">
        <f>IF($C971="","",IF($AM971=1,0,IF($AL971=1,Settings!$C$6,Settings!$C$7))*100)</f>
        <v/>
      </c>
      <c r="AB971" s="7" t="n"/>
      <c r="AE971" s="11" t="n"/>
      <c r="AG971" s="7">
        <f>IF($C971="","",U971*X971/100)</f>
        <v/>
      </c>
      <c r="AH971" s="7">
        <f>IF($C971="","",U971-AG971)</f>
        <v/>
      </c>
      <c r="AI971" s="7">
        <f>IF($C971="","",AH971-M971)</f>
        <v/>
      </c>
      <c r="AJ971">
        <f>IF($C971="","",IF(COUNTIF($C$2:$C971,$C971)=1,1,0))</f>
        <v/>
      </c>
      <c r="AK971">
        <f>IF($AJ971=1,SUMPRODUCT(--($AN$2:$AN$4001&lt;$AN971))+1,"")</f>
        <v/>
      </c>
      <c r="AL971">
        <f>IF($C971="","",IF(OR($Q971=TRUE(),$Q971="TRUE"),1,0))</f>
        <v/>
      </c>
      <c r="AM971">
        <f>IF($C971="","",IF($W971="Yes",1,0))</f>
        <v/>
      </c>
      <c r="AN971">
        <f>IF($AJ971=1,IFERROR(IF(VALUE($C971)&lt;100000000,VALUE($C971),1000000000),IFERROR(IF(VALUE(MID($C971,2,20))&lt;100000000,VALUE(MID($C971,2,20)),1000000000),1000000000))+ROW()/100000,"")</f>
        <v/>
      </c>
    </row>
    <row r="972">
      <c r="E972" s="11" t="n"/>
      <c r="M972" s="7">
        <f>IF($C972="","",L972*U972/100)</f>
        <v/>
      </c>
      <c r="N972" s="7" t="n"/>
      <c r="T972" s="7" t="n"/>
      <c r="U972" s="7">
        <f>IF($C972="","",S972*T972)</f>
        <v/>
      </c>
      <c r="X972">
        <f>IF($C972="","",IF($AM972=1,0,IF($AL972=1,Settings!$C$6,Settings!$C$7))*100)</f>
        <v/>
      </c>
      <c r="AB972" s="7" t="n"/>
      <c r="AE972" s="11" t="n"/>
      <c r="AG972" s="7">
        <f>IF($C972="","",U972*X972/100)</f>
        <v/>
      </c>
      <c r="AH972" s="7">
        <f>IF($C972="","",U972-AG972)</f>
        <v/>
      </c>
      <c r="AI972" s="7">
        <f>IF($C972="","",AH972-M972)</f>
        <v/>
      </c>
      <c r="AJ972">
        <f>IF($C972="","",IF(COUNTIF($C$2:$C972,$C972)=1,1,0))</f>
        <v/>
      </c>
      <c r="AK972">
        <f>IF($AJ972=1,SUMPRODUCT(--($AN$2:$AN$4001&lt;$AN972))+1,"")</f>
        <v/>
      </c>
      <c r="AL972">
        <f>IF($C972="","",IF(OR($Q972=TRUE(),$Q972="TRUE"),1,0))</f>
        <v/>
      </c>
      <c r="AM972">
        <f>IF($C972="","",IF($W972="Yes",1,0))</f>
        <v/>
      </c>
      <c r="AN972">
        <f>IF($AJ972=1,IFERROR(IF(VALUE($C972)&lt;100000000,VALUE($C972),1000000000),IFERROR(IF(VALUE(MID($C972,2,20))&lt;100000000,VALUE(MID($C972,2,20)),1000000000),1000000000))+ROW()/100000,"")</f>
        <v/>
      </c>
    </row>
    <row r="973">
      <c r="E973" s="11" t="n"/>
      <c r="M973" s="7">
        <f>IF($C973="","",L973*U973/100)</f>
        <v/>
      </c>
      <c r="N973" s="7" t="n"/>
      <c r="T973" s="7" t="n"/>
      <c r="U973" s="7">
        <f>IF($C973="","",S973*T973)</f>
        <v/>
      </c>
      <c r="X973">
        <f>IF($C973="","",IF($AM973=1,0,IF($AL973=1,Settings!$C$6,Settings!$C$7))*100)</f>
        <v/>
      </c>
      <c r="AB973" s="7" t="n"/>
      <c r="AE973" s="11" t="n"/>
      <c r="AG973" s="7">
        <f>IF($C973="","",U973*X973/100)</f>
        <v/>
      </c>
      <c r="AH973" s="7">
        <f>IF($C973="","",U973-AG973)</f>
        <v/>
      </c>
      <c r="AI973" s="7">
        <f>IF($C973="","",AH973-M973)</f>
        <v/>
      </c>
      <c r="AJ973">
        <f>IF($C973="","",IF(COUNTIF($C$2:$C973,$C973)=1,1,0))</f>
        <v/>
      </c>
      <c r="AK973">
        <f>IF($AJ973=1,SUMPRODUCT(--($AN$2:$AN$4001&lt;$AN973))+1,"")</f>
        <v/>
      </c>
      <c r="AL973">
        <f>IF($C973="","",IF(OR($Q973=TRUE(),$Q973="TRUE"),1,0))</f>
        <v/>
      </c>
      <c r="AM973">
        <f>IF($C973="","",IF($W973="Yes",1,0))</f>
        <v/>
      </c>
      <c r="AN973">
        <f>IF($AJ973=1,IFERROR(IF(VALUE($C973)&lt;100000000,VALUE($C973),1000000000),IFERROR(IF(VALUE(MID($C973,2,20))&lt;100000000,VALUE(MID($C973,2,20)),1000000000),1000000000))+ROW()/100000,"")</f>
        <v/>
      </c>
    </row>
    <row r="974">
      <c r="E974" s="11" t="n"/>
      <c r="M974" s="7">
        <f>IF($C974="","",L974*U974/100)</f>
        <v/>
      </c>
      <c r="N974" s="7" t="n"/>
      <c r="T974" s="7" t="n"/>
      <c r="U974" s="7">
        <f>IF($C974="","",S974*T974)</f>
        <v/>
      </c>
      <c r="X974">
        <f>IF($C974="","",IF($AM974=1,0,IF($AL974=1,Settings!$C$6,Settings!$C$7))*100)</f>
        <v/>
      </c>
      <c r="AB974" s="7" t="n"/>
      <c r="AE974" s="11" t="n"/>
      <c r="AG974" s="7">
        <f>IF($C974="","",U974*X974/100)</f>
        <v/>
      </c>
      <c r="AH974" s="7">
        <f>IF($C974="","",U974-AG974)</f>
        <v/>
      </c>
      <c r="AI974" s="7">
        <f>IF($C974="","",AH974-M974)</f>
        <v/>
      </c>
      <c r="AJ974">
        <f>IF($C974="","",IF(COUNTIF($C$2:$C974,$C974)=1,1,0))</f>
        <v/>
      </c>
      <c r="AK974">
        <f>IF($AJ974=1,SUMPRODUCT(--($AN$2:$AN$4001&lt;$AN974))+1,"")</f>
        <v/>
      </c>
      <c r="AL974">
        <f>IF($C974="","",IF(OR($Q974=TRUE(),$Q974="TRUE"),1,0))</f>
        <v/>
      </c>
      <c r="AM974">
        <f>IF($C974="","",IF($W974="Yes",1,0))</f>
        <v/>
      </c>
      <c r="AN974">
        <f>IF($AJ974=1,IFERROR(IF(VALUE($C974)&lt;100000000,VALUE($C974),1000000000),IFERROR(IF(VALUE(MID($C974,2,20))&lt;100000000,VALUE(MID($C974,2,20)),1000000000),1000000000))+ROW()/100000,"")</f>
        <v/>
      </c>
    </row>
    <row r="975">
      <c r="E975" s="11" t="n"/>
      <c r="M975" s="7">
        <f>IF($C975="","",L975*U975/100)</f>
        <v/>
      </c>
      <c r="N975" s="7" t="n"/>
      <c r="T975" s="7" t="n"/>
      <c r="U975" s="7">
        <f>IF($C975="","",S975*T975)</f>
        <v/>
      </c>
      <c r="X975">
        <f>IF($C975="","",IF($AM975=1,0,IF($AL975=1,Settings!$C$6,Settings!$C$7))*100)</f>
        <v/>
      </c>
      <c r="AB975" s="7" t="n"/>
      <c r="AE975" s="11" t="n"/>
      <c r="AG975" s="7">
        <f>IF($C975="","",U975*X975/100)</f>
        <v/>
      </c>
      <c r="AH975" s="7">
        <f>IF($C975="","",U975-AG975)</f>
        <v/>
      </c>
      <c r="AI975" s="7">
        <f>IF($C975="","",AH975-M975)</f>
        <v/>
      </c>
      <c r="AJ975">
        <f>IF($C975="","",IF(COUNTIF($C$2:$C975,$C975)=1,1,0))</f>
        <v/>
      </c>
      <c r="AK975">
        <f>IF($AJ975=1,SUMPRODUCT(--($AN$2:$AN$4001&lt;$AN975))+1,"")</f>
        <v/>
      </c>
      <c r="AL975">
        <f>IF($C975="","",IF(OR($Q975=TRUE(),$Q975="TRUE"),1,0))</f>
        <v/>
      </c>
      <c r="AM975">
        <f>IF($C975="","",IF($W975="Yes",1,0))</f>
        <v/>
      </c>
      <c r="AN975">
        <f>IF($AJ975=1,IFERROR(IF(VALUE($C975)&lt;100000000,VALUE($C975),1000000000),IFERROR(IF(VALUE(MID($C975,2,20))&lt;100000000,VALUE(MID($C975,2,20)),1000000000),1000000000))+ROW()/100000,"")</f>
        <v/>
      </c>
    </row>
    <row r="976">
      <c r="E976" s="11" t="n"/>
      <c r="M976" s="7">
        <f>IF($C976="","",L976*U976/100)</f>
        <v/>
      </c>
      <c r="N976" s="7" t="n"/>
      <c r="T976" s="7" t="n"/>
      <c r="U976" s="7">
        <f>IF($C976="","",S976*T976)</f>
        <v/>
      </c>
      <c r="X976">
        <f>IF($C976="","",IF($AM976=1,0,IF($AL976=1,Settings!$C$6,Settings!$C$7))*100)</f>
        <v/>
      </c>
      <c r="AB976" s="7" t="n"/>
      <c r="AE976" s="11" t="n"/>
      <c r="AG976" s="7">
        <f>IF($C976="","",U976*X976/100)</f>
        <v/>
      </c>
      <c r="AH976" s="7">
        <f>IF($C976="","",U976-AG976)</f>
        <v/>
      </c>
      <c r="AI976" s="7">
        <f>IF($C976="","",AH976-M976)</f>
        <v/>
      </c>
      <c r="AJ976">
        <f>IF($C976="","",IF(COUNTIF($C$2:$C976,$C976)=1,1,0))</f>
        <v/>
      </c>
      <c r="AK976">
        <f>IF($AJ976=1,SUMPRODUCT(--($AN$2:$AN$4001&lt;$AN976))+1,"")</f>
        <v/>
      </c>
      <c r="AL976">
        <f>IF($C976="","",IF(OR($Q976=TRUE(),$Q976="TRUE"),1,0))</f>
        <v/>
      </c>
      <c r="AM976">
        <f>IF($C976="","",IF($W976="Yes",1,0))</f>
        <v/>
      </c>
      <c r="AN976">
        <f>IF($AJ976=1,IFERROR(IF(VALUE($C976)&lt;100000000,VALUE($C976),1000000000),IFERROR(IF(VALUE(MID($C976,2,20))&lt;100000000,VALUE(MID($C976,2,20)),1000000000),1000000000))+ROW()/100000,"")</f>
        <v/>
      </c>
    </row>
    <row r="977">
      <c r="E977" s="11" t="n"/>
      <c r="M977" s="7">
        <f>IF($C977="","",L977*U977/100)</f>
        <v/>
      </c>
      <c r="N977" s="7" t="n"/>
      <c r="T977" s="7" t="n"/>
      <c r="U977" s="7">
        <f>IF($C977="","",S977*T977)</f>
        <v/>
      </c>
      <c r="X977">
        <f>IF($C977="","",IF($AM977=1,0,IF($AL977=1,Settings!$C$6,Settings!$C$7))*100)</f>
        <v/>
      </c>
      <c r="AB977" s="7" t="n"/>
      <c r="AE977" s="11" t="n"/>
      <c r="AG977" s="7">
        <f>IF($C977="","",U977*X977/100)</f>
        <v/>
      </c>
      <c r="AH977" s="7">
        <f>IF($C977="","",U977-AG977)</f>
        <v/>
      </c>
      <c r="AI977" s="7">
        <f>IF($C977="","",AH977-M977)</f>
        <v/>
      </c>
      <c r="AJ977">
        <f>IF($C977="","",IF(COUNTIF($C$2:$C977,$C977)=1,1,0))</f>
        <v/>
      </c>
      <c r="AK977">
        <f>IF($AJ977=1,SUMPRODUCT(--($AN$2:$AN$4001&lt;$AN977))+1,"")</f>
        <v/>
      </c>
      <c r="AL977">
        <f>IF($C977="","",IF(OR($Q977=TRUE(),$Q977="TRUE"),1,0))</f>
        <v/>
      </c>
      <c r="AM977">
        <f>IF($C977="","",IF($W977="Yes",1,0))</f>
        <v/>
      </c>
      <c r="AN977">
        <f>IF($AJ977=1,IFERROR(IF(VALUE($C977)&lt;100000000,VALUE($C977),1000000000),IFERROR(IF(VALUE(MID($C977,2,20))&lt;100000000,VALUE(MID($C977,2,20)),1000000000),1000000000))+ROW()/100000,"")</f>
        <v/>
      </c>
    </row>
    <row r="978">
      <c r="E978" s="11" t="n"/>
      <c r="M978" s="7">
        <f>IF($C978="","",L978*U978/100)</f>
        <v/>
      </c>
      <c r="N978" s="7" t="n"/>
      <c r="T978" s="7" t="n"/>
      <c r="U978" s="7">
        <f>IF($C978="","",S978*T978)</f>
        <v/>
      </c>
      <c r="X978">
        <f>IF($C978="","",IF($AM978=1,0,IF($AL978=1,Settings!$C$6,Settings!$C$7))*100)</f>
        <v/>
      </c>
      <c r="AB978" s="7" t="n"/>
      <c r="AE978" s="11" t="n"/>
      <c r="AG978" s="7">
        <f>IF($C978="","",U978*X978/100)</f>
        <v/>
      </c>
      <c r="AH978" s="7">
        <f>IF($C978="","",U978-AG978)</f>
        <v/>
      </c>
      <c r="AI978" s="7">
        <f>IF($C978="","",AH978-M978)</f>
        <v/>
      </c>
      <c r="AJ978">
        <f>IF($C978="","",IF(COUNTIF($C$2:$C978,$C978)=1,1,0))</f>
        <v/>
      </c>
      <c r="AK978">
        <f>IF($AJ978=1,SUMPRODUCT(--($AN$2:$AN$4001&lt;$AN978))+1,"")</f>
        <v/>
      </c>
      <c r="AL978">
        <f>IF($C978="","",IF(OR($Q978=TRUE(),$Q978="TRUE"),1,0))</f>
        <v/>
      </c>
      <c r="AM978">
        <f>IF($C978="","",IF($W978="Yes",1,0))</f>
        <v/>
      </c>
      <c r="AN978">
        <f>IF($AJ978=1,IFERROR(IF(VALUE($C978)&lt;100000000,VALUE($C978),1000000000),IFERROR(IF(VALUE(MID($C978,2,20))&lt;100000000,VALUE(MID($C978,2,20)),1000000000),1000000000))+ROW()/100000,"")</f>
        <v/>
      </c>
    </row>
    <row r="979">
      <c r="E979" s="11" t="n"/>
      <c r="M979" s="7">
        <f>IF($C979="","",L979*U979/100)</f>
        <v/>
      </c>
      <c r="N979" s="7" t="n"/>
      <c r="T979" s="7" t="n"/>
      <c r="U979" s="7">
        <f>IF($C979="","",S979*T979)</f>
        <v/>
      </c>
      <c r="X979">
        <f>IF($C979="","",IF($AM979=1,0,IF($AL979=1,Settings!$C$6,Settings!$C$7))*100)</f>
        <v/>
      </c>
      <c r="AB979" s="7" t="n"/>
      <c r="AE979" s="11" t="n"/>
      <c r="AG979" s="7">
        <f>IF($C979="","",U979*X979/100)</f>
        <v/>
      </c>
      <c r="AH979" s="7">
        <f>IF($C979="","",U979-AG979)</f>
        <v/>
      </c>
      <c r="AI979" s="7">
        <f>IF($C979="","",AH979-M979)</f>
        <v/>
      </c>
      <c r="AJ979">
        <f>IF($C979="","",IF(COUNTIF($C$2:$C979,$C979)=1,1,0))</f>
        <v/>
      </c>
      <c r="AK979">
        <f>IF($AJ979=1,SUMPRODUCT(--($AN$2:$AN$4001&lt;$AN979))+1,"")</f>
        <v/>
      </c>
      <c r="AL979">
        <f>IF($C979="","",IF(OR($Q979=TRUE(),$Q979="TRUE"),1,0))</f>
        <v/>
      </c>
      <c r="AM979">
        <f>IF($C979="","",IF($W979="Yes",1,0))</f>
        <v/>
      </c>
      <c r="AN979">
        <f>IF($AJ979=1,IFERROR(IF(VALUE($C979)&lt;100000000,VALUE($C979),1000000000),IFERROR(IF(VALUE(MID($C979,2,20))&lt;100000000,VALUE(MID($C979,2,20)),1000000000),1000000000))+ROW()/100000,"")</f>
        <v/>
      </c>
    </row>
    <row r="980">
      <c r="E980" s="11" t="n"/>
      <c r="M980" s="7">
        <f>IF($C980="","",L980*U980/100)</f>
        <v/>
      </c>
      <c r="N980" s="7" t="n"/>
      <c r="T980" s="7" t="n"/>
      <c r="U980" s="7">
        <f>IF($C980="","",S980*T980)</f>
        <v/>
      </c>
      <c r="X980">
        <f>IF($C980="","",IF($AM980=1,0,IF($AL980=1,Settings!$C$6,Settings!$C$7))*100)</f>
        <v/>
      </c>
      <c r="AB980" s="7" t="n"/>
      <c r="AE980" s="11" t="n"/>
      <c r="AG980" s="7">
        <f>IF($C980="","",U980*X980/100)</f>
        <v/>
      </c>
      <c r="AH980" s="7">
        <f>IF($C980="","",U980-AG980)</f>
        <v/>
      </c>
      <c r="AI980" s="7">
        <f>IF($C980="","",AH980-M980)</f>
        <v/>
      </c>
      <c r="AJ980">
        <f>IF($C980="","",IF(COUNTIF($C$2:$C980,$C980)=1,1,0))</f>
        <v/>
      </c>
      <c r="AK980">
        <f>IF($AJ980=1,SUMPRODUCT(--($AN$2:$AN$4001&lt;$AN980))+1,"")</f>
        <v/>
      </c>
      <c r="AL980">
        <f>IF($C980="","",IF(OR($Q980=TRUE(),$Q980="TRUE"),1,0))</f>
        <v/>
      </c>
      <c r="AM980">
        <f>IF($C980="","",IF($W980="Yes",1,0))</f>
        <v/>
      </c>
      <c r="AN980">
        <f>IF($AJ980=1,IFERROR(IF(VALUE($C980)&lt;100000000,VALUE($C980),1000000000),IFERROR(IF(VALUE(MID($C980,2,20))&lt;100000000,VALUE(MID($C980,2,20)),1000000000),1000000000))+ROW()/100000,"")</f>
        <v/>
      </c>
    </row>
    <row r="981">
      <c r="E981" s="11" t="n"/>
      <c r="M981" s="7">
        <f>IF($C981="","",L981*U981/100)</f>
        <v/>
      </c>
      <c r="N981" s="7" t="n"/>
      <c r="T981" s="7" t="n"/>
      <c r="U981" s="7">
        <f>IF($C981="","",S981*T981)</f>
        <v/>
      </c>
      <c r="X981">
        <f>IF($C981="","",IF($AM981=1,0,IF($AL981=1,Settings!$C$6,Settings!$C$7))*100)</f>
        <v/>
      </c>
      <c r="AB981" s="7" t="n"/>
      <c r="AE981" s="11" t="n"/>
      <c r="AG981" s="7">
        <f>IF($C981="","",U981*X981/100)</f>
        <v/>
      </c>
      <c r="AH981" s="7">
        <f>IF($C981="","",U981-AG981)</f>
        <v/>
      </c>
      <c r="AI981" s="7">
        <f>IF($C981="","",AH981-M981)</f>
        <v/>
      </c>
      <c r="AJ981">
        <f>IF($C981="","",IF(COUNTIF($C$2:$C981,$C981)=1,1,0))</f>
        <v/>
      </c>
      <c r="AK981">
        <f>IF($AJ981=1,SUMPRODUCT(--($AN$2:$AN$4001&lt;$AN981))+1,"")</f>
        <v/>
      </c>
      <c r="AL981">
        <f>IF($C981="","",IF(OR($Q981=TRUE(),$Q981="TRUE"),1,0))</f>
        <v/>
      </c>
      <c r="AM981">
        <f>IF($C981="","",IF($W981="Yes",1,0))</f>
        <v/>
      </c>
      <c r="AN981">
        <f>IF($AJ981=1,IFERROR(IF(VALUE($C981)&lt;100000000,VALUE($C981),1000000000),IFERROR(IF(VALUE(MID($C981,2,20))&lt;100000000,VALUE(MID($C981,2,20)),1000000000),1000000000))+ROW()/100000,"")</f>
        <v/>
      </c>
    </row>
    <row r="982">
      <c r="E982" s="11" t="n"/>
      <c r="M982" s="7">
        <f>IF($C982="","",L982*U982/100)</f>
        <v/>
      </c>
      <c r="N982" s="7" t="n"/>
      <c r="T982" s="7" t="n"/>
      <c r="U982" s="7">
        <f>IF($C982="","",S982*T982)</f>
        <v/>
      </c>
      <c r="X982">
        <f>IF($C982="","",IF($AM982=1,0,IF($AL982=1,Settings!$C$6,Settings!$C$7))*100)</f>
        <v/>
      </c>
      <c r="AB982" s="7" t="n"/>
      <c r="AE982" s="11" t="n"/>
      <c r="AG982" s="7">
        <f>IF($C982="","",U982*X982/100)</f>
        <v/>
      </c>
      <c r="AH982" s="7">
        <f>IF($C982="","",U982-AG982)</f>
        <v/>
      </c>
      <c r="AI982" s="7">
        <f>IF($C982="","",AH982-M982)</f>
        <v/>
      </c>
      <c r="AJ982">
        <f>IF($C982="","",IF(COUNTIF($C$2:$C982,$C982)=1,1,0))</f>
        <v/>
      </c>
      <c r="AK982">
        <f>IF($AJ982=1,SUMPRODUCT(--($AN$2:$AN$4001&lt;$AN982))+1,"")</f>
        <v/>
      </c>
      <c r="AL982">
        <f>IF($C982="","",IF(OR($Q982=TRUE(),$Q982="TRUE"),1,0))</f>
        <v/>
      </c>
      <c r="AM982">
        <f>IF($C982="","",IF($W982="Yes",1,0))</f>
        <v/>
      </c>
      <c r="AN982">
        <f>IF($AJ982=1,IFERROR(IF(VALUE($C982)&lt;100000000,VALUE($C982),1000000000),IFERROR(IF(VALUE(MID($C982,2,20))&lt;100000000,VALUE(MID($C982,2,20)),1000000000),1000000000))+ROW()/100000,"")</f>
        <v/>
      </c>
    </row>
    <row r="983">
      <c r="E983" s="11" t="n"/>
      <c r="M983" s="7">
        <f>IF($C983="","",L983*U983/100)</f>
        <v/>
      </c>
      <c r="N983" s="7" t="n"/>
      <c r="T983" s="7" t="n"/>
      <c r="U983" s="7">
        <f>IF($C983="","",S983*T983)</f>
        <v/>
      </c>
      <c r="X983">
        <f>IF($C983="","",IF($AM983=1,0,IF($AL983=1,Settings!$C$6,Settings!$C$7))*100)</f>
        <v/>
      </c>
      <c r="AB983" s="7" t="n"/>
      <c r="AE983" s="11" t="n"/>
      <c r="AG983" s="7">
        <f>IF($C983="","",U983*X983/100)</f>
        <v/>
      </c>
      <c r="AH983" s="7">
        <f>IF($C983="","",U983-AG983)</f>
        <v/>
      </c>
      <c r="AI983" s="7">
        <f>IF($C983="","",AH983-M983)</f>
        <v/>
      </c>
      <c r="AJ983">
        <f>IF($C983="","",IF(COUNTIF($C$2:$C983,$C983)=1,1,0))</f>
        <v/>
      </c>
      <c r="AK983">
        <f>IF($AJ983=1,SUMPRODUCT(--($AN$2:$AN$4001&lt;$AN983))+1,"")</f>
        <v/>
      </c>
      <c r="AL983">
        <f>IF($C983="","",IF(OR($Q983=TRUE(),$Q983="TRUE"),1,0))</f>
        <v/>
      </c>
      <c r="AM983">
        <f>IF($C983="","",IF($W983="Yes",1,0))</f>
        <v/>
      </c>
      <c r="AN983">
        <f>IF($AJ983=1,IFERROR(IF(VALUE($C983)&lt;100000000,VALUE($C983),1000000000),IFERROR(IF(VALUE(MID($C983,2,20))&lt;100000000,VALUE(MID($C983,2,20)),1000000000),1000000000))+ROW()/100000,"")</f>
        <v/>
      </c>
    </row>
    <row r="984">
      <c r="E984" s="11" t="n"/>
      <c r="M984" s="7">
        <f>IF($C984="","",L984*U984/100)</f>
        <v/>
      </c>
      <c r="N984" s="7" t="n"/>
      <c r="T984" s="7" t="n"/>
      <c r="U984" s="7">
        <f>IF($C984="","",S984*T984)</f>
        <v/>
      </c>
      <c r="X984">
        <f>IF($C984="","",IF($AM984=1,0,IF($AL984=1,Settings!$C$6,Settings!$C$7))*100)</f>
        <v/>
      </c>
      <c r="AB984" s="7" t="n"/>
      <c r="AE984" s="11" t="n"/>
      <c r="AG984" s="7">
        <f>IF($C984="","",U984*X984/100)</f>
        <v/>
      </c>
      <c r="AH984" s="7">
        <f>IF($C984="","",U984-AG984)</f>
        <v/>
      </c>
      <c r="AI984" s="7">
        <f>IF($C984="","",AH984-M984)</f>
        <v/>
      </c>
      <c r="AJ984">
        <f>IF($C984="","",IF(COUNTIF($C$2:$C984,$C984)=1,1,0))</f>
        <v/>
      </c>
      <c r="AK984">
        <f>IF($AJ984=1,SUMPRODUCT(--($AN$2:$AN$4001&lt;$AN984))+1,"")</f>
        <v/>
      </c>
      <c r="AL984">
        <f>IF($C984="","",IF(OR($Q984=TRUE(),$Q984="TRUE"),1,0))</f>
        <v/>
      </c>
      <c r="AM984">
        <f>IF($C984="","",IF($W984="Yes",1,0))</f>
        <v/>
      </c>
      <c r="AN984">
        <f>IF($AJ984=1,IFERROR(IF(VALUE($C984)&lt;100000000,VALUE($C984),1000000000),IFERROR(IF(VALUE(MID($C984,2,20))&lt;100000000,VALUE(MID($C984,2,20)),1000000000),1000000000))+ROW()/100000,"")</f>
        <v/>
      </c>
    </row>
    <row r="985">
      <c r="E985" s="11" t="n"/>
      <c r="M985" s="7">
        <f>IF($C985="","",L985*U985/100)</f>
        <v/>
      </c>
      <c r="N985" s="7" t="n"/>
      <c r="T985" s="7" t="n"/>
      <c r="U985" s="7">
        <f>IF($C985="","",S985*T985)</f>
        <v/>
      </c>
      <c r="X985">
        <f>IF($C985="","",IF($AM985=1,0,IF($AL985=1,Settings!$C$6,Settings!$C$7))*100)</f>
        <v/>
      </c>
      <c r="AB985" s="7" t="n"/>
      <c r="AE985" s="11" t="n"/>
      <c r="AG985" s="7">
        <f>IF($C985="","",U985*X985/100)</f>
        <v/>
      </c>
      <c r="AH985" s="7">
        <f>IF($C985="","",U985-AG985)</f>
        <v/>
      </c>
      <c r="AI985" s="7">
        <f>IF($C985="","",AH985-M985)</f>
        <v/>
      </c>
      <c r="AJ985">
        <f>IF($C985="","",IF(COUNTIF($C$2:$C985,$C985)=1,1,0))</f>
        <v/>
      </c>
      <c r="AK985">
        <f>IF($AJ985=1,SUMPRODUCT(--($AN$2:$AN$4001&lt;$AN985))+1,"")</f>
        <v/>
      </c>
      <c r="AL985">
        <f>IF($C985="","",IF(OR($Q985=TRUE(),$Q985="TRUE"),1,0))</f>
        <v/>
      </c>
      <c r="AM985">
        <f>IF($C985="","",IF($W985="Yes",1,0))</f>
        <v/>
      </c>
      <c r="AN985">
        <f>IF($AJ985=1,IFERROR(IF(VALUE($C985)&lt;100000000,VALUE($C985),1000000000),IFERROR(IF(VALUE(MID($C985,2,20))&lt;100000000,VALUE(MID($C985,2,20)),1000000000),1000000000))+ROW()/100000,"")</f>
        <v/>
      </c>
    </row>
    <row r="986">
      <c r="E986" s="11" t="n"/>
      <c r="M986" s="7">
        <f>IF($C986="","",L986*U986/100)</f>
        <v/>
      </c>
      <c r="N986" s="7" t="n"/>
      <c r="T986" s="7" t="n"/>
      <c r="U986" s="7">
        <f>IF($C986="","",S986*T986)</f>
        <v/>
      </c>
      <c r="X986">
        <f>IF($C986="","",IF($AM986=1,0,IF($AL986=1,Settings!$C$6,Settings!$C$7))*100)</f>
        <v/>
      </c>
      <c r="AB986" s="7" t="n"/>
      <c r="AE986" s="11" t="n"/>
      <c r="AG986" s="7">
        <f>IF($C986="","",U986*X986/100)</f>
        <v/>
      </c>
      <c r="AH986" s="7">
        <f>IF($C986="","",U986-AG986)</f>
        <v/>
      </c>
      <c r="AI986" s="7">
        <f>IF($C986="","",AH986-M986)</f>
        <v/>
      </c>
      <c r="AJ986">
        <f>IF($C986="","",IF(COUNTIF($C$2:$C986,$C986)=1,1,0))</f>
        <v/>
      </c>
      <c r="AK986">
        <f>IF($AJ986=1,SUMPRODUCT(--($AN$2:$AN$4001&lt;$AN986))+1,"")</f>
        <v/>
      </c>
      <c r="AL986">
        <f>IF($C986="","",IF(OR($Q986=TRUE(),$Q986="TRUE"),1,0))</f>
        <v/>
      </c>
      <c r="AM986">
        <f>IF($C986="","",IF($W986="Yes",1,0))</f>
        <v/>
      </c>
      <c r="AN986">
        <f>IF($AJ986=1,IFERROR(IF(VALUE($C986)&lt;100000000,VALUE($C986),1000000000),IFERROR(IF(VALUE(MID($C986,2,20))&lt;100000000,VALUE(MID($C986,2,20)),1000000000),1000000000))+ROW()/100000,"")</f>
        <v/>
      </c>
    </row>
    <row r="987">
      <c r="E987" s="11" t="n"/>
      <c r="M987" s="7">
        <f>IF($C987="","",L987*U987/100)</f>
        <v/>
      </c>
      <c r="N987" s="7" t="n"/>
      <c r="T987" s="7" t="n"/>
      <c r="U987" s="7">
        <f>IF($C987="","",S987*T987)</f>
        <v/>
      </c>
      <c r="X987">
        <f>IF($C987="","",IF($AM987=1,0,IF($AL987=1,Settings!$C$6,Settings!$C$7))*100)</f>
        <v/>
      </c>
      <c r="AB987" s="7" t="n"/>
      <c r="AE987" s="11" t="n"/>
      <c r="AG987" s="7">
        <f>IF($C987="","",U987*X987/100)</f>
        <v/>
      </c>
      <c r="AH987" s="7">
        <f>IF($C987="","",U987-AG987)</f>
        <v/>
      </c>
      <c r="AI987" s="7">
        <f>IF($C987="","",AH987-M987)</f>
        <v/>
      </c>
      <c r="AJ987">
        <f>IF($C987="","",IF(COUNTIF($C$2:$C987,$C987)=1,1,0))</f>
        <v/>
      </c>
      <c r="AK987">
        <f>IF($AJ987=1,SUMPRODUCT(--($AN$2:$AN$4001&lt;$AN987))+1,"")</f>
        <v/>
      </c>
      <c r="AL987">
        <f>IF($C987="","",IF(OR($Q987=TRUE(),$Q987="TRUE"),1,0))</f>
        <v/>
      </c>
      <c r="AM987">
        <f>IF($C987="","",IF($W987="Yes",1,0))</f>
        <v/>
      </c>
      <c r="AN987">
        <f>IF($AJ987=1,IFERROR(IF(VALUE($C987)&lt;100000000,VALUE($C987),1000000000),IFERROR(IF(VALUE(MID($C987,2,20))&lt;100000000,VALUE(MID($C987,2,20)),1000000000),1000000000))+ROW()/100000,"")</f>
        <v/>
      </c>
    </row>
    <row r="988">
      <c r="E988" s="11" t="n"/>
      <c r="M988" s="7">
        <f>IF($C988="","",L988*U988/100)</f>
        <v/>
      </c>
      <c r="N988" s="7" t="n"/>
      <c r="T988" s="7" t="n"/>
      <c r="U988" s="7">
        <f>IF($C988="","",S988*T988)</f>
        <v/>
      </c>
      <c r="X988">
        <f>IF($C988="","",IF($AM988=1,0,IF($AL988=1,Settings!$C$6,Settings!$C$7))*100)</f>
        <v/>
      </c>
      <c r="AB988" s="7" t="n"/>
      <c r="AE988" s="11" t="n"/>
      <c r="AG988" s="7">
        <f>IF($C988="","",U988*X988/100)</f>
        <v/>
      </c>
      <c r="AH988" s="7">
        <f>IF($C988="","",U988-AG988)</f>
        <v/>
      </c>
      <c r="AI988" s="7">
        <f>IF($C988="","",AH988-M988)</f>
        <v/>
      </c>
      <c r="AJ988">
        <f>IF($C988="","",IF(COUNTIF($C$2:$C988,$C988)=1,1,0))</f>
        <v/>
      </c>
      <c r="AK988">
        <f>IF($AJ988=1,SUMPRODUCT(--($AN$2:$AN$4001&lt;$AN988))+1,"")</f>
        <v/>
      </c>
      <c r="AL988">
        <f>IF($C988="","",IF(OR($Q988=TRUE(),$Q988="TRUE"),1,0))</f>
        <v/>
      </c>
      <c r="AM988">
        <f>IF($C988="","",IF($W988="Yes",1,0))</f>
        <v/>
      </c>
      <c r="AN988">
        <f>IF($AJ988=1,IFERROR(IF(VALUE($C988)&lt;100000000,VALUE($C988),1000000000),IFERROR(IF(VALUE(MID($C988,2,20))&lt;100000000,VALUE(MID($C988,2,20)),1000000000),1000000000))+ROW()/100000,"")</f>
        <v/>
      </c>
    </row>
    <row r="989">
      <c r="E989" s="11" t="n"/>
      <c r="M989" s="7">
        <f>IF($C989="","",L989*U989/100)</f>
        <v/>
      </c>
      <c r="N989" s="7" t="n"/>
      <c r="T989" s="7" t="n"/>
      <c r="U989" s="7">
        <f>IF($C989="","",S989*T989)</f>
        <v/>
      </c>
      <c r="X989">
        <f>IF($C989="","",IF($AM989=1,0,IF($AL989=1,Settings!$C$6,Settings!$C$7))*100)</f>
        <v/>
      </c>
      <c r="AB989" s="7" t="n"/>
      <c r="AE989" s="11" t="n"/>
      <c r="AG989" s="7">
        <f>IF($C989="","",U989*X989/100)</f>
        <v/>
      </c>
      <c r="AH989" s="7">
        <f>IF($C989="","",U989-AG989)</f>
        <v/>
      </c>
      <c r="AI989" s="7">
        <f>IF($C989="","",AH989-M989)</f>
        <v/>
      </c>
      <c r="AJ989">
        <f>IF($C989="","",IF(COUNTIF($C$2:$C989,$C989)=1,1,0))</f>
        <v/>
      </c>
      <c r="AK989">
        <f>IF($AJ989=1,SUMPRODUCT(--($AN$2:$AN$4001&lt;$AN989))+1,"")</f>
        <v/>
      </c>
      <c r="AL989">
        <f>IF($C989="","",IF(OR($Q989=TRUE(),$Q989="TRUE"),1,0))</f>
        <v/>
      </c>
      <c r="AM989">
        <f>IF($C989="","",IF($W989="Yes",1,0))</f>
        <v/>
      </c>
      <c r="AN989">
        <f>IF($AJ989=1,IFERROR(IF(VALUE($C989)&lt;100000000,VALUE($C989),1000000000),IFERROR(IF(VALUE(MID($C989,2,20))&lt;100000000,VALUE(MID($C989,2,20)),1000000000),1000000000))+ROW()/100000,"")</f>
        <v/>
      </c>
    </row>
    <row r="990">
      <c r="E990" s="11" t="n"/>
      <c r="M990" s="7">
        <f>IF($C990="","",L990*U990/100)</f>
        <v/>
      </c>
      <c r="N990" s="7" t="n"/>
      <c r="T990" s="7" t="n"/>
      <c r="U990" s="7">
        <f>IF($C990="","",S990*T990)</f>
        <v/>
      </c>
      <c r="X990">
        <f>IF($C990="","",IF($AM990=1,0,IF($AL990=1,Settings!$C$6,Settings!$C$7))*100)</f>
        <v/>
      </c>
      <c r="AB990" s="7" t="n"/>
      <c r="AE990" s="11" t="n"/>
      <c r="AG990" s="7">
        <f>IF($C990="","",U990*X990/100)</f>
        <v/>
      </c>
      <c r="AH990" s="7">
        <f>IF($C990="","",U990-AG990)</f>
        <v/>
      </c>
      <c r="AI990" s="7">
        <f>IF($C990="","",AH990-M990)</f>
        <v/>
      </c>
      <c r="AJ990">
        <f>IF($C990="","",IF(COUNTIF($C$2:$C990,$C990)=1,1,0))</f>
        <v/>
      </c>
      <c r="AK990">
        <f>IF($AJ990=1,SUMPRODUCT(--($AN$2:$AN$4001&lt;$AN990))+1,"")</f>
        <v/>
      </c>
      <c r="AL990">
        <f>IF($C990="","",IF(OR($Q990=TRUE(),$Q990="TRUE"),1,0))</f>
        <v/>
      </c>
      <c r="AM990">
        <f>IF($C990="","",IF($W990="Yes",1,0))</f>
        <v/>
      </c>
      <c r="AN990">
        <f>IF($AJ990=1,IFERROR(IF(VALUE($C990)&lt;100000000,VALUE($C990),1000000000),IFERROR(IF(VALUE(MID($C990,2,20))&lt;100000000,VALUE(MID($C990,2,20)),1000000000),1000000000))+ROW()/100000,"")</f>
        <v/>
      </c>
    </row>
    <row r="991">
      <c r="E991" s="11" t="n"/>
      <c r="M991" s="7">
        <f>IF($C991="","",L991*U991/100)</f>
        <v/>
      </c>
      <c r="N991" s="7" t="n"/>
      <c r="T991" s="7" t="n"/>
      <c r="U991" s="7">
        <f>IF($C991="","",S991*T991)</f>
        <v/>
      </c>
      <c r="X991">
        <f>IF($C991="","",IF($AM991=1,0,IF($AL991=1,Settings!$C$6,Settings!$C$7))*100)</f>
        <v/>
      </c>
      <c r="AB991" s="7" t="n"/>
      <c r="AE991" s="11" t="n"/>
      <c r="AG991" s="7">
        <f>IF($C991="","",U991*X991/100)</f>
        <v/>
      </c>
      <c r="AH991" s="7">
        <f>IF($C991="","",U991-AG991)</f>
        <v/>
      </c>
      <c r="AI991" s="7">
        <f>IF($C991="","",AH991-M991)</f>
        <v/>
      </c>
      <c r="AJ991">
        <f>IF($C991="","",IF(COUNTIF($C$2:$C991,$C991)=1,1,0))</f>
        <v/>
      </c>
      <c r="AK991">
        <f>IF($AJ991=1,SUMPRODUCT(--($AN$2:$AN$4001&lt;$AN991))+1,"")</f>
        <v/>
      </c>
      <c r="AL991">
        <f>IF($C991="","",IF(OR($Q991=TRUE(),$Q991="TRUE"),1,0))</f>
        <v/>
      </c>
      <c r="AM991">
        <f>IF($C991="","",IF($W991="Yes",1,0))</f>
        <v/>
      </c>
      <c r="AN991">
        <f>IF($AJ991=1,IFERROR(IF(VALUE($C991)&lt;100000000,VALUE($C991),1000000000),IFERROR(IF(VALUE(MID($C991,2,20))&lt;100000000,VALUE(MID($C991,2,20)),1000000000),1000000000))+ROW()/100000,"")</f>
        <v/>
      </c>
    </row>
    <row r="992">
      <c r="E992" s="11" t="n"/>
      <c r="M992" s="7">
        <f>IF($C992="","",L992*U992/100)</f>
        <v/>
      </c>
      <c r="N992" s="7" t="n"/>
      <c r="T992" s="7" t="n"/>
      <c r="U992" s="7">
        <f>IF($C992="","",S992*T992)</f>
        <v/>
      </c>
      <c r="X992">
        <f>IF($C992="","",IF($AM992=1,0,IF($AL992=1,Settings!$C$6,Settings!$C$7))*100)</f>
        <v/>
      </c>
      <c r="AB992" s="7" t="n"/>
      <c r="AE992" s="11" t="n"/>
      <c r="AG992" s="7">
        <f>IF($C992="","",U992*X992/100)</f>
        <v/>
      </c>
      <c r="AH992" s="7">
        <f>IF($C992="","",U992-AG992)</f>
        <v/>
      </c>
      <c r="AI992" s="7">
        <f>IF($C992="","",AH992-M992)</f>
        <v/>
      </c>
      <c r="AJ992">
        <f>IF($C992="","",IF(COUNTIF($C$2:$C992,$C992)=1,1,0))</f>
        <v/>
      </c>
      <c r="AK992">
        <f>IF($AJ992=1,SUMPRODUCT(--($AN$2:$AN$4001&lt;$AN992))+1,"")</f>
        <v/>
      </c>
      <c r="AL992">
        <f>IF($C992="","",IF(OR($Q992=TRUE(),$Q992="TRUE"),1,0))</f>
        <v/>
      </c>
      <c r="AM992">
        <f>IF($C992="","",IF($W992="Yes",1,0))</f>
        <v/>
      </c>
      <c r="AN992">
        <f>IF($AJ992=1,IFERROR(IF(VALUE($C992)&lt;100000000,VALUE($C992),1000000000),IFERROR(IF(VALUE(MID($C992,2,20))&lt;100000000,VALUE(MID($C992,2,20)),1000000000),1000000000))+ROW()/100000,"")</f>
        <v/>
      </c>
    </row>
    <row r="993">
      <c r="E993" s="11" t="n"/>
      <c r="M993" s="7">
        <f>IF($C993="","",L993*U993/100)</f>
        <v/>
      </c>
      <c r="N993" s="7" t="n"/>
      <c r="T993" s="7" t="n"/>
      <c r="U993" s="7">
        <f>IF($C993="","",S993*T993)</f>
        <v/>
      </c>
      <c r="X993">
        <f>IF($C993="","",IF($AM993=1,0,IF($AL993=1,Settings!$C$6,Settings!$C$7))*100)</f>
        <v/>
      </c>
      <c r="AB993" s="7" t="n"/>
      <c r="AE993" s="11" t="n"/>
      <c r="AG993" s="7">
        <f>IF($C993="","",U993*X993/100)</f>
        <v/>
      </c>
      <c r="AH993" s="7">
        <f>IF($C993="","",U993-AG993)</f>
        <v/>
      </c>
      <c r="AI993" s="7">
        <f>IF($C993="","",AH993-M993)</f>
        <v/>
      </c>
      <c r="AJ993">
        <f>IF($C993="","",IF(COUNTIF($C$2:$C993,$C993)=1,1,0))</f>
        <v/>
      </c>
      <c r="AK993">
        <f>IF($AJ993=1,SUMPRODUCT(--($AN$2:$AN$4001&lt;$AN993))+1,"")</f>
        <v/>
      </c>
      <c r="AL993">
        <f>IF($C993="","",IF(OR($Q993=TRUE(),$Q993="TRUE"),1,0))</f>
        <v/>
      </c>
      <c r="AM993">
        <f>IF($C993="","",IF($W993="Yes",1,0))</f>
        <v/>
      </c>
      <c r="AN993">
        <f>IF($AJ993=1,IFERROR(IF(VALUE($C993)&lt;100000000,VALUE($C993),1000000000),IFERROR(IF(VALUE(MID($C993,2,20))&lt;100000000,VALUE(MID($C993,2,20)),1000000000),1000000000))+ROW()/100000,"")</f>
        <v/>
      </c>
    </row>
    <row r="994">
      <c r="E994" s="11" t="n"/>
      <c r="M994" s="7">
        <f>IF($C994="","",L994*U994/100)</f>
        <v/>
      </c>
      <c r="N994" s="7" t="n"/>
      <c r="T994" s="7" t="n"/>
      <c r="U994" s="7">
        <f>IF($C994="","",S994*T994)</f>
        <v/>
      </c>
      <c r="X994">
        <f>IF($C994="","",IF($AM994=1,0,IF($AL994=1,Settings!$C$6,Settings!$C$7))*100)</f>
        <v/>
      </c>
      <c r="AB994" s="7" t="n"/>
      <c r="AE994" s="11" t="n"/>
      <c r="AG994" s="7">
        <f>IF($C994="","",U994*X994/100)</f>
        <v/>
      </c>
      <c r="AH994" s="7">
        <f>IF($C994="","",U994-AG994)</f>
        <v/>
      </c>
      <c r="AI994" s="7">
        <f>IF($C994="","",AH994-M994)</f>
        <v/>
      </c>
      <c r="AJ994">
        <f>IF($C994="","",IF(COUNTIF($C$2:$C994,$C994)=1,1,0))</f>
        <v/>
      </c>
      <c r="AK994">
        <f>IF($AJ994=1,SUMPRODUCT(--($AN$2:$AN$4001&lt;$AN994))+1,"")</f>
        <v/>
      </c>
      <c r="AL994">
        <f>IF($C994="","",IF(OR($Q994=TRUE(),$Q994="TRUE"),1,0))</f>
        <v/>
      </c>
      <c r="AM994">
        <f>IF($C994="","",IF($W994="Yes",1,0))</f>
        <v/>
      </c>
      <c r="AN994">
        <f>IF($AJ994=1,IFERROR(IF(VALUE($C994)&lt;100000000,VALUE($C994),1000000000),IFERROR(IF(VALUE(MID($C994,2,20))&lt;100000000,VALUE(MID($C994,2,20)),1000000000),1000000000))+ROW()/100000,"")</f>
        <v/>
      </c>
    </row>
    <row r="995">
      <c r="E995" s="11" t="n"/>
      <c r="M995" s="7">
        <f>IF($C995="","",L995*U995/100)</f>
        <v/>
      </c>
      <c r="N995" s="7" t="n"/>
      <c r="T995" s="7" t="n"/>
      <c r="U995" s="7">
        <f>IF($C995="","",S995*T995)</f>
        <v/>
      </c>
      <c r="X995">
        <f>IF($C995="","",IF($AM995=1,0,IF($AL995=1,Settings!$C$6,Settings!$C$7))*100)</f>
        <v/>
      </c>
      <c r="AB995" s="7" t="n"/>
      <c r="AE995" s="11" t="n"/>
      <c r="AG995" s="7">
        <f>IF($C995="","",U995*X995/100)</f>
        <v/>
      </c>
      <c r="AH995" s="7">
        <f>IF($C995="","",U995-AG995)</f>
        <v/>
      </c>
      <c r="AI995" s="7">
        <f>IF($C995="","",AH995-M995)</f>
        <v/>
      </c>
      <c r="AJ995">
        <f>IF($C995="","",IF(COUNTIF($C$2:$C995,$C995)=1,1,0))</f>
        <v/>
      </c>
      <c r="AK995">
        <f>IF($AJ995=1,SUMPRODUCT(--($AN$2:$AN$4001&lt;$AN995))+1,"")</f>
        <v/>
      </c>
      <c r="AL995">
        <f>IF($C995="","",IF(OR($Q995=TRUE(),$Q995="TRUE"),1,0))</f>
        <v/>
      </c>
      <c r="AM995">
        <f>IF($C995="","",IF($W995="Yes",1,0))</f>
        <v/>
      </c>
      <c r="AN995">
        <f>IF($AJ995=1,IFERROR(IF(VALUE($C995)&lt;100000000,VALUE($C995),1000000000),IFERROR(IF(VALUE(MID($C995,2,20))&lt;100000000,VALUE(MID($C995,2,20)),1000000000),1000000000))+ROW()/100000,"")</f>
        <v/>
      </c>
    </row>
    <row r="996">
      <c r="E996" s="11" t="n"/>
      <c r="M996" s="7">
        <f>IF($C996="","",L996*U996/100)</f>
        <v/>
      </c>
      <c r="N996" s="7" t="n"/>
      <c r="T996" s="7" t="n"/>
      <c r="U996" s="7">
        <f>IF($C996="","",S996*T996)</f>
        <v/>
      </c>
      <c r="X996">
        <f>IF($C996="","",IF($AM996=1,0,IF($AL996=1,Settings!$C$6,Settings!$C$7))*100)</f>
        <v/>
      </c>
      <c r="AB996" s="7" t="n"/>
      <c r="AE996" s="11" t="n"/>
      <c r="AG996" s="7">
        <f>IF($C996="","",U996*X996/100)</f>
        <v/>
      </c>
      <c r="AH996" s="7">
        <f>IF($C996="","",U996-AG996)</f>
        <v/>
      </c>
      <c r="AI996" s="7">
        <f>IF($C996="","",AH996-M996)</f>
        <v/>
      </c>
      <c r="AJ996">
        <f>IF($C996="","",IF(COUNTIF($C$2:$C996,$C996)=1,1,0))</f>
        <v/>
      </c>
      <c r="AK996">
        <f>IF($AJ996=1,SUMPRODUCT(--($AN$2:$AN$4001&lt;$AN996))+1,"")</f>
        <v/>
      </c>
      <c r="AL996">
        <f>IF($C996="","",IF(OR($Q996=TRUE(),$Q996="TRUE"),1,0))</f>
        <v/>
      </c>
      <c r="AM996">
        <f>IF($C996="","",IF($W996="Yes",1,0))</f>
        <v/>
      </c>
      <c r="AN996">
        <f>IF($AJ996=1,IFERROR(IF(VALUE($C996)&lt;100000000,VALUE($C996),1000000000),IFERROR(IF(VALUE(MID($C996,2,20))&lt;100000000,VALUE(MID($C996,2,20)),1000000000),1000000000))+ROW()/100000,"")</f>
        <v/>
      </c>
    </row>
    <row r="997">
      <c r="E997" s="11" t="n"/>
      <c r="M997" s="7">
        <f>IF($C997="","",L997*U997/100)</f>
        <v/>
      </c>
      <c r="N997" s="7" t="n"/>
      <c r="T997" s="7" t="n"/>
      <c r="U997" s="7">
        <f>IF($C997="","",S997*T997)</f>
        <v/>
      </c>
      <c r="X997">
        <f>IF($C997="","",IF($AM997=1,0,IF($AL997=1,Settings!$C$6,Settings!$C$7))*100)</f>
        <v/>
      </c>
      <c r="AB997" s="7" t="n"/>
      <c r="AE997" s="11" t="n"/>
      <c r="AG997" s="7">
        <f>IF($C997="","",U997*X997/100)</f>
        <v/>
      </c>
      <c r="AH997" s="7">
        <f>IF($C997="","",U997-AG997)</f>
        <v/>
      </c>
      <c r="AI997" s="7">
        <f>IF($C997="","",AH997-M997)</f>
        <v/>
      </c>
      <c r="AJ997">
        <f>IF($C997="","",IF(COUNTIF($C$2:$C997,$C997)=1,1,0))</f>
        <v/>
      </c>
      <c r="AK997">
        <f>IF($AJ997=1,SUMPRODUCT(--($AN$2:$AN$4001&lt;$AN997))+1,"")</f>
        <v/>
      </c>
      <c r="AL997">
        <f>IF($C997="","",IF(OR($Q997=TRUE(),$Q997="TRUE"),1,0))</f>
        <v/>
      </c>
      <c r="AM997">
        <f>IF($C997="","",IF($W997="Yes",1,0))</f>
        <v/>
      </c>
      <c r="AN997">
        <f>IF($AJ997=1,IFERROR(IF(VALUE($C997)&lt;100000000,VALUE($C997),1000000000),IFERROR(IF(VALUE(MID($C997,2,20))&lt;100000000,VALUE(MID($C997,2,20)),1000000000),1000000000))+ROW()/100000,"")</f>
        <v/>
      </c>
    </row>
    <row r="998">
      <c r="E998" s="11" t="n"/>
      <c r="M998" s="7">
        <f>IF($C998="","",L998*U998/100)</f>
        <v/>
      </c>
      <c r="N998" s="7" t="n"/>
      <c r="T998" s="7" t="n"/>
      <c r="U998" s="7">
        <f>IF($C998="","",S998*T998)</f>
        <v/>
      </c>
      <c r="X998">
        <f>IF($C998="","",IF($AM998=1,0,IF($AL998=1,Settings!$C$6,Settings!$C$7))*100)</f>
        <v/>
      </c>
      <c r="AB998" s="7" t="n"/>
      <c r="AE998" s="11" t="n"/>
      <c r="AG998" s="7">
        <f>IF($C998="","",U998*X998/100)</f>
        <v/>
      </c>
      <c r="AH998" s="7">
        <f>IF($C998="","",U998-AG998)</f>
        <v/>
      </c>
      <c r="AI998" s="7">
        <f>IF($C998="","",AH998-M998)</f>
        <v/>
      </c>
      <c r="AJ998">
        <f>IF($C998="","",IF(COUNTIF($C$2:$C998,$C998)=1,1,0))</f>
        <v/>
      </c>
      <c r="AK998">
        <f>IF($AJ998=1,SUMPRODUCT(--($AN$2:$AN$4001&lt;$AN998))+1,"")</f>
        <v/>
      </c>
      <c r="AL998">
        <f>IF($C998="","",IF(OR($Q998=TRUE(),$Q998="TRUE"),1,0))</f>
        <v/>
      </c>
      <c r="AM998">
        <f>IF($C998="","",IF($W998="Yes",1,0))</f>
        <v/>
      </c>
      <c r="AN998">
        <f>IF($AJ998=1,IFERROR(IF(VALUE($C998)&lt;100000000,VALUE($C998),1000000000),IFERROR(IF(VALUE(MID($C998,2,20))&lt;100000000,VALUE(MID($C998,2,20)),1000000000),1000000000))+ROW()/100000,"")</f>
        <v/>
      </c>
    </row>
    <row r="999">
      <c r="E999" s="11" t="n"/>
      <c r="M999" s="7">
        <f>IF($C999="","",L999*U999/100)</f>
        <v/>
      </c>
      <c r="N999" s="7" t="n"/>
      <c r="T999" s="7" t="n"/>
      <c r="U999" s="7">
        <f>IF($C999="","",S999*T999)</f>
        <v/>
      </c>
      <c r="X999">
        <f>IF($C999="","",IF($AM999=1,0,IF($AL999=1,Settings!$C$6,Settings!$C$7))*100)</f>
        <v/>
      </c>
      <c r="AB999" s="7" t="n"/>
      <c r="AE999" s="11" t="n"/>
      <c r="AG999" s="7">
        <f>IF($C999="","",U999*X999/100)</f>
        <v/>
      </c>
      <c r="AH999" s="7">
        <f>IF($C999="","",U999-AG999)</f>
        <v/>
      </c>
      <c r="AI999" s="7">
        <f>IF($C999="","",AH999-M999)</f>
        <v/>
      </c>
      <c r="AJ999">
        <f>IF($C999="","",IF(COUNTIF($C$2:$C999,$C999)=1,1,0))</f>
        <v/>
      </c>
      <c r="AK999">
        <f>IF($AJ999=1,SUMPRODUCT(--($AN$2:$AN$4001&lt;$AN999))+1,"")</f>
        <v/>
      </c>
      <c r="AL999">
        <f>IF($C999="","",IF(OR($Q999=TRUE(),$Q999="TRUE"),1,0))</f>
        <v/>
      </c>
      <c r="AM999">
        <f>IF($C999="","",IF($W999="Yes",1,0))</f>
        <v/>
      </c>
      <c r="AN999">
        <f>IF($AJ999=1,IFERROR(IF(VALUE($C999)&lt;100000000,VALUE($C999),1000000000),IFERROR(IF(VALUE(MID($C999,2,20))&lt;100000000,VALUE(MID($C999,2,20)),1000000000),1000000000))+ROW()/100000,"")</f>
        <v/>
      </c>
    </row>
    <row r="1000">
      <c r="E1000" s="11" t="n"/>
      <c r="M1000" s="7">
        <f>IF($C1000="","",L1000*U1000/100)</f>
        <v/>
      </c>
      <c r="N1000" s="7" t="n"/>
      <c r="T1000" s="7" t="n"/>
      <c r="U1000" s="7">
        <f>IF($C1000="","",S1000*T1000)</f>
        <v/>
      </c>
      <c r="X1000">
        <f>IF($C1000="","",IF($AM1000=1,0,IF($AL1000=1,Settings!$C$6,Settings!$C$7))*100)</f>
        <v/>
      </c>
      <c r="AB1000" s="7" t="n"/>
      <c r="AE1000" s="11" t="n"/>
      <c r="AG1000" s="7">
        <f>IF($C1000="","",U1000*X1000/100)</f>
        <v/>
      </c>
      <c r="AH1000" s="7">
        <f>IF($C1000="","",U1000-AG1000)</f>
        <v/>
      </c>
      <c r="AI1000" s="7">
        <f>IF($C1000="","",AH1000-M1000)</f>
        <v/>
      </c>
      <c r="AJ1000">
        <f>IF($C1000="","",IF(COUNTIF($C$2:$C1000,$C1000)=1,1,0))</f>
        <v/>
      </c>
      <c r="AK1000">
        <f>IF($AJ1000=1,SUMPRODUCT(--($AN$2:$AN$4001&lt;$AN1000))+1,"")</f>
        <v/>
      </c>
      <c r="AL1000">
        <f>IF($C1000="","",IF(OR($Q1000=TRUE(),$Q1000="TRUE"),1,0))</f>
        <v/>
      </c>
      <c r="AM1000">
        <f>IF($C1000="","",IF($W1000="Yes",1,0))</f>
        <v/>
      </c>
      <c r="AN1000">
        <f>IF($AJ1000=1,IFERROR(IF(VALUE($C1000)&lt;100000000,VALUE($C1000),1000000000),IFERROR(IF(VALUE(MID($C1000,2,20))&lt;100000000,VALUE(MID($C1000,2,20)),1000000000),1000000000))+ROW()/100000,"")</f>
        <v/>
      </c>
    </row>
    <row r="1001">
      <c r="E1001" s="11" t="n"/>
      <c r="M1001" s="7">
        <f>IF($C1001="","",L1001*U1001/100)</f>
        <v/>
      </c>
      <c r="N1001" s="7" t="n"/>
      <c r="T1001" s="7" t="n"/>
      <c r="U1001" s="7">
        <f>IF($C1001="","",S1001*T1001)</f>
        <v/>
      </c>
      <c r="X1001">
        <f>IF($C1001="","",IF($AM1001=1,0,IF($AL1001=1,Settings!$C$6,Settings!$C$7))*100)</f>
        <v/>
      </c>
      <c r="AB1001" s="7" t="n"/>
      <c r="AE1001" s="11" t="n"/>
      <c r="AG1001" s="7">
        <f>IF($C1001="","",U1001*X1001/100)</f>
        <v/>
      </c>
      <c r="AH1001" s="7">
        <f>IF($C1001="","",U1001-AG1001)</f>
        <v/>
      </c>
      <c r="AI1001" s="7">
        <f>IF($C1001="","",AH1001-M1001)</f>
        <v/>
      </c>
      <c r="AJ1001">
        <f>IF($C1001="","",IF(COUNTIF($C$2:$C1001,$C1001)=1,1,0))</f>
        <v/>
      </c>
      <c r="AK1001">
        <f>IF($AJ1001=1,SUMPRODUCT(--($AN$2:$AN$4001&lt;$AN1001))+1,"")</f>
        <v/>
      </c>
      <c r="AL1001">
        <f>IF($C1001="","",IF(OR($Q1001=TRUE(),$Q1001="TRUE"),1,0))</f>
        <v/>
      </c>
      <c r="AM1001">
        <f>IF($C1001="","",IF($W1001="Yes",1,0))</f>
        <v/>
      </c>
      <c r="AN1001">
        <f>IF($AJ1001=1,IFERROR(IF(VALUE($C1001)&lt;100000000,VALUE($C1001),1000000000),IFERROR(IF(VALUE(MID($C1001,2,20))&lt;100000000,VALUE(MID($C1001,2,20)),1000000000),1000000000))+ROW()/100000,"")</f>
        <v/>
      </c>
    </row>
    <row r="1002">
      <c r="E1002" s="11" t="n"/>
      <c r="M1002" s="7">
        <f>IF($C1002="","",L1002*U1002/100)</f>
        <v/>
      </c>
      <c r="N1002" s="7" t="n"/>
      <c r="T1002" s="7" t="n"/>
      <c r="U1002" s="7">
        <f>IF($C1002="","",S1002*T1002)</f>
        <v/>
      </c>
      <c r="X1002">
        <f>IF($C1002="","",IF($AM1002=1,0,IF($AL1002=1,Settings!$C$6,Settings!$C$7))*100)</f>
        <v/>
      </c>
      <c r="AB1002" s="7" t="n"/>
      <c r="AE1002" s="11" t="n"/>
      <c r="AG1002" s="7">
        <f>IF($C1002="","",U1002*X1002/100)</f>
        <v/>
      </c>
      <c r="AH1002" s="7">
        <f>IF($C1002="","",U1002-AG1002)</f>
        <v/>
      </c>
      <c r="AI1002" s="7">
        <f>IF($C1002="","",AH1002-M1002)</f>
        <v/>
      </c>
      <c r="AJ1002">
        <f>IF($C1002="","",IF(COUNTIF($C$2:$C1002,$C1002)=1,1,0))</f>
        <v/>
      </c>
      <c r="AK1002">
        <f>IF($AJ1002=1,SUMPRODUCT(--($AN$2:$AN$4001&lt;$AN1002))+1,"")</f>
        <v/>
      </c>
      <c r="AL1002">
        <f>IF($C1002="","",IF(OR($Q1002=TRUE(),$Q1002="TRUE"),1,0))</f>
        <v/>
      </c>
      <c r="AM1002">
        <f>IF($C1002="","",IF($W1002="Yes",1,0))</f>
        <v/>
      </c>
      <c r="AN1002">
        <f>IF($AJ1002=1,IFERROR(IF(VALUE($C1002)&lt;100000000,VALUE($C1002),1000000000),IFERROR(IF(VALUE(MID($C1002,2,20))&lt;100000000,VALUE(MID($C1002,2,20)),1000000000),1000000000))+ROW()/100000,"")</f>
        <v/>
      </c>
    </row>
    <row r="1003">
      <c r="E1003" s="11" t="n"/>
      <c r="M1003" s="7">
        <f>IF($C1003="","",L1003*U1003/100)</f>
        <v/>
      </c>
      <c r="N1003" s="7" t="n"/>
      <c r="T1003" s="7" t="n"/>
      <c r="U1003" s="7">
        <f>IF($C1003="","",S1003*T1003)</f>
        <v/>
      </c>
      <c r="X1003">
        <f>IF($C1003="","",IF($AM1003=1,0,IF($AL1003=1,Settings!$C$6,Settings!$C$7))*100)</f>
        <v/>
      </c>
      <c r="AB1003" s="7" t="n"/>
      <c r="AE1003" s="11" t="n"/>
      <c r="AG1003" s="7">
        <f>IF($C1003="","",U1003*X1003/100)</f>
        <v/>
      </c>
      <c r="AH1003" s="7">
        <f>IF($C1003="","",U1003-AG1003)</f>
        <v/>
      </c>
      <c r="AI1003" s="7">
        <f>IF($C1003="","",AH1003-M1003)</f>
        <v/>
      </c>
      <c r="AJ1003">
        <f>IF($C1003="","",IF(COUNTIF($C$2:$C1003,$C1003)=1,1,0))</f>
        <v/>
      </c>
      <c r="AK1003">
        <f>IF($AJ1003=1,SUMPRODUCT(--($AN$2:$AN$4001&lt;$AN1003))+1,"")</f>
        <v/>
      </c>
      <c r="AL1003">
        <f>IF($C1003="","",IF(OR($Q1003=TRUE(),$Q1003="TRUE"),1,0))</f>
        <v/>
      </c>
      <c r="AM1003">
        <f>IF($C1003="","",IF($W1003="Yes",1,0))</f>
        <v/>
      </c>
      <c r="AN1003">
        <f>IF($AJ1003=1,IFERROR(IF(VALUE($C1003)&lt;100000000,VALUE($C1003),1000000000),IFERROR(IF(VALUE(MID($C1003,2,20))&lt;100000000,VALUE(MID($C1003,2,20)),1000000000),1000000000))+ROW()/100000,"")</f>
        <v/>
      </c>
    </row>
    <row r="1004">
      <c r="E1004" s="11" t="n"/>
      <c r="M1004" s="7">
        <f>IF($C1004="","",L1004*U1004/100)</f>
        <v/>
      </c>
      <c r="N1004" s="7" t="n"/>
      <c r="T1004" s="7" t="n"/>
      <c r="U1004" s="7">
        <f>IF($C1004="","",S1004*T1004)</f>
        <v/>
      </c>
      <c r="X1004">
        <f>IF($C1004="","",IF($AM1004=1,0,IF($AL1004=1,Settings!$C$6,Settings!$C$7))*100)</f>
        <v/>
      </c>
      <c r="AB1004" s="7" t="n"/>
      <c r="AE1004" s="11" t="n"/>
      <c r="AG1004" s="7">
        <f>IF($C1004="","",U1004*X1004/100)</f>
        <v/>
      </c>
      <c r="AH1004" s="7">
        <f>IF($C1004="","",U1004-AG1004)</f>
        <v/>
      </c>
      <c r="AI1004" s="7">
        <f>IF($C1004="","",AH1004-M1004)</f>
        <v/>
      </c>
      <c r="AJ1004">
        <f>IF($C1004="","",IF(COUNTIF($C$2:$C1004,$C1004)=1,1,0))</f>
        <v/>
      </c>
      <c r="AK1004">
        <f>IF($AJ1004=1,SUMPRODUCT(--($AN$2:$AN$4001&lt;$AN1004))+1,"")</f>
        <v/>
      </c>
      <c r="AL1004">
        <f>IF($C1004="","",IF(OR($Q1004=TRUE(),$Q1004="TRUE"),1,0))</f>
        <v/>
      </c>
      <c r="AM1004">
        <f>IF($C1004="","",IF($W1004="Yes",1,0))</f>
        <v/>
      </c>
      <c r="AN1004">
        <f>IF($AJ1004=1,IFERROR(IF(VALUE($C1004)&lt;100000000,VALUE($C1004),1000000000),IFERROR(IF(VALUE(MID($C1004,2,20))&lt;100000000,VALUE(MID($C1004,2,20)),1000000000),1000000000))+ROW()/100000,"")</f>
        <v/>
      </c>
    </row>
    <row r="1005">
      <c r="E1005" s="11" t="n"/>
      <c r="M1005" s="7">
        <f>IF($C1005="","",L1005*U1005/100)</f>
        <v/>
      </c>
      <c r="N1005" s="7" t="n"/>
      <c r="T1005" s="7" t="n"/>
      <c r="U1005" s="7">
        <f>IF($C1005="","",S1005*T1005)</f>
        <v/>
      </c>
      <c r="X1005">
        <f>IF($C1005="","",IF($AM1005=1,0,IF($AL1005=1,Settings!$C$6,Settings!$C$7))*100)</f>
        <v/>
      </c>
      <c r="AB1005" s="7" t="n"/>
      <c r="AE1005" s="11" t="n"/>
      <c r="AG1005" s="7">
        <f>IF($C1005="","",U1005*X1005/100)</f>
        <v/>
      </c>
      <c r="AH1005" s="7">
        <f>IF($C1005="","",U1005-AG1005)</f>
        <v/>
      </c>
      <c r="AI1005" s="7">
        <f>IF($C1005="","",AH1005-M1005)</f>
        <v/>
      </c>
      <c r="AJ1005">
        <f>IF($C1005="","",IF(COUNTIF($C$2:$C1005,$C1005)=1,1,0))</f>
        <v/>
      </c>
      <c r="AK1005">
        <f>IF($AJ1005=1,SUMPRODUCT(--($AN$2:$AN$4001&lt;$AN1005))+1,"")</f>
        <v/>
      </c>
      <c r="AL1005">
        <f>IF($C1005="","",IF(OR($Q1005=TRUE(),$Q1005="TRUE"),1,0))</f>
        <v/>
      </c>
      <c r="AM1005">
        <f>IF($C1005="","",IF($W1005="Yes",1,0))</f>
        <v/>
      </c>
      <c r="AN1005">
        <f>IF($AJ1005=1,IFERROR(IF(VALUE($C1005)&lt;100000000,VALUE($C1005),1000000000),IFERROR(IF(VALUE(MID($C1005,2,20))&lt;100000000,VALUE(MID($C1005,2,20)),1000000000),1000000000))+ROW()/100000,"")</f>
        <v/>
      </c>
    </row>
    <row r="1006">
      <c r="E1006" s="11" t="n"/>
      <c r="M1006" s="7">
        <f>IF($C1006="","",L1006*U1006/100)</f>
        <v/>
      </c>
      <c r="N1006" s="7" t="n"/>
      <c r="T1006" s="7" t="n"/>
      <c r="U1006" s="7">
        <f>IF($C1006="","",S1006*T1006)</f>
        <v/>
      </c>
      <c r="X1006">
        <f>IF($C1006="","",IF($AM1006=1,0,IF($AL1006=1,Settings!$C$6,Settings!$C$7))*100)</f>
        <v/>
      </c>
      <c r="AB1006" s="7" t="n"/>
      <c r="AE1006" s="11" t="n"/>
      <c r="AG1006" s="7">
        <f>IF($C1006="","",U1006*X1006/100)</f>
        <v/>
      </c>
      <c r="AH1006" s="7">
        <f>IF($C1006="","",U1006-AG1006)</f>
        <v/>
      </c>
      <c r="AI1006" s="7">
        <f>IF($C1006="","",AH1006-M1006)</f>
        <v/>
      </c>
      <c r="AJ1006">
        <f>IF($C1006="","",IF(COUNTIF($C$2:$C1006,$C1006)=1,1,0))</f>
        <v/>
      </c>
      <c r="AK1006">
        <f>IF($AJ1006=1,SUMPRODUCT(--($AN$2:$AN$4001&lt;$AN1006))+1,"")</f>
        <v/>
      </c>
      <c r="AL1006">
        <f>IF($C1006="","",IF(OR($Q1006=TRUE(),$Q1006="TRUE"),1,0))</f>
        <v/>
      </c>
      <c r="AM1006">
        <f>IF($C1006="","",IF($W1006="Yes",1,0))</f>
        <v/>
      </c>
      <c r="AN1006">
        <f>IF($AJ1006=1,IFERROR(IF(VALUE($C1006)&lt;100000000,VALUE($C1006),1000000000),IFERROR(IF(VALUE(MID($C1006,2,20))&lt;100000000,VALUE(MID($C1006,2,20)),1000000000),1000000000))+ROW()/100000,"")</f>
        <v/>
      </c>
    </row>
    <row r="1007">
      <c r="E1007" s="11" t="n"/>
      <c r="M1007" s="7">
        <f>IF($C1007="","",L1007*U1007/100)</f>
        <v/>
      </c>
      <c r="N1007" s="7" t="n"/>
      <c r="T1007" s="7" t="n"/>
      <c r="U1007" s="7">
        <f>IF($C1007="","",S1007*T1007)</f>
        <v/>
      </c>
      <c r="X1007">
        <f>IF($C1007="","",IF($AM1007=1,0,IF($AL1007=1,Settings!$C$6,Settings!$C$7))*100)</f>
        <v/>
      </c>
      <c r="AB1007" s="7" t="n"/>
      <c r="AE1007" s="11" t="n"/>
      <c r="AG1007" s="7">
        <f>IF($C1007="","",U1007*X1007/100)</f>
        <v/>
      </c>
      <c r="AH1007" s="7">
        <f>IF($C1007="","",U1007-AG1007)</f>
        <v/>
      </c>
      <c r="AI1007" s="7">
        <f>IF($C1007="","",AH1007-M1007)</f>
        <v/>
      </c>
      <c r="AJ1007">
        <f>IF($C1007="","",IF(COUNTIF($C$2:$C1007,$C1007)=1,1,0))</f>
        <v/>
      </c>
      <c r="AK1007">
        <f>IF($AJ1007=1,SUMPRODUCT(--($AN$2:$AN$4001&lt;$AN1007))+1,"")</f>
        <v/>
      </c>
      <c r="AL1007">
        <f>IF($C1007="","",IF(OR($Q1007=TRUE(),$Q1007="TRUE"),1,0))</f>
        <v/>
      </c>
      <c r="AM1007">
        <f>IF($C1007="","",IF($W1007="Yes",1,0))</f>
        <v/>
      </c>
      <c r="AN1007">
        <f>IF($AJ1007=1,IFERROR(IF(VALUE($C1007)&lt;100000000,VALUE($C1007),1000000000),IFERROR(IF(VALUE(MID($C1007,2,20))&lt;100000000,VALUE(MID($C1007,2,20)),1000000000),1000000000))+ROW()/100000,"")</f>
        <v/>
      </c>
    </row>
    <row r="1008">
      <c r="E1008" s="11" t="n"/>
      <c r="M1008" s="7">
        <f>IF($C1008="","",L1008*U1008/100)</f>
        <v/>
      </c>
      <c r="N1008" s="7" t="n"/>
      <c r="T1008" s="7" t="n"/>
      <c r="U1008" s="7">
        <f>IF($C1008="","",S1008*T1008)</f>
        <v/>
      </c>
      <c r="X1008">
        <f>IF($C1008="","",IF($AM1008=1,0,IF($AL1008=1,Settings!$C$6,Settings!$C$7))*100)</f>
        <v/>
      </c>
      <c r="AB1008" s="7" t="n"/>
      <c r="AE1008" s="11" t="n"/>
      <c r="AG1008" s="7">
        <f>IF($C1008="","",U1008*X1008/100)</f>
        <v/>
      </c>
      <c r="AH1008" s="7">
        <f>IF($C1008="","",U1008-AG1008)</f>
        <v/>
      </c>
      <c r="AI1008" s="7">
        <f>IF($C1008="","",AH1008-M1008)</f>
        <v/>
      </c>
      <c r="AJ1008">
        <f>IF($C1008="","",IF(COUNTIF($C$2:$C1008,$C1008)=1,1,0))</f>
        <v/>
      </c>
      <c r="AK1008">
        <f>IF($AJ1008=1,SUMPRODUCT(--($AN$2:$AN$4001&lt;$AN1008))+1,"")</f>
        <v/>
      </c>
      <c r="AL1008">
        <f>IF($C1008="","",IF(OR($Q1008=TRUE(),$Q1008="TRUE"),1,0))</f>
        <v/>
      </c>
      <c r="AM1008">
        <f>IF($C1008="","",IF($W1008="Yes",1,0))</f>
        <v/>
      </c>
      <c r="AN1008">
        <f>IF($AJ1008=1,IFERROR(IF(VALUE($C1008)&lt;100000000,VALUE($C1008),1000000000),IFERROR(IF(VALUE(MID($C1008,2,20))&lt;100000000,VALUE(MID($C1008,2,20)),1000000000),1000000000))+ROW()/100000,"")</f>
        <v/>
      </c>
    </row>
    <row r="1009">
      <c r="E1009" s="11" t="n"/>
      <c r="M1009" s="7">
        <f>IF($C1009="","",L1009*U1009/100)</f>
        <v/>
      </c>
      <c r="N1009" s="7" t="n"/>
      <c r="T1009" s="7" t="n"/>
      <c r="U1009" s="7">
        <f>IF($C1009="","",S1009*T1009)</f>
        <v/>
      </c>
      <c r="X1009">
        <f>IF($C1009="","",IF($AM1009=1,0,IF($AL1009=1,Settings!$C$6,Settings!$C$7))*100)</f>
        <v/>
      </c>
      <c r="AB1009" s="7" t="n"/>
      <c r="AE1009" s="11" t="n"/>
      <c r="AG1009" s="7">
        <f>IF($C1009="","",U1009*X1009/100)</f>
        <v/>
      </c>
      <c r="AH1009" s="7">
        <f>IF($C1009="","",U1009-AG1009)</f>
        <v/>
      </c>
      <c r="AI1009" s="7">
        <f>IF($C1009="","",AH1009-M1009)</f>
        <v/>
      </c>
      <c r="AJ1009">
        <f>IF($C1009="","",IF(COUNTIF($C$2:$C1009,$C1009)=1,1,0))</f>
        <v/>
      </c>
      <c r="AK1009">
        <f>IF($AJ1009=1,SUMPRODUCT(--($AN$2:$AN$4001&lt;$AN1009))+1,"")</f>
        <v/>
      </c>
      <c r="AL1009">
        <f>IF($C1009="","",IF(OR($Q1009=TRUE(),$Q1009="TRUE"),1,0))</f>
        <v/>
      </c>
      <c r="AM1009">
        <f>IF($C1009="","",IF($W1009="Yes",1,0))</f>
        <v/>
      </c>
      <c r="AN1009">
        <f>IF($AJ1009=1,IFERROR(IF(VALUE($C1009)&lt;100000000,VALUE($C1009),1000000000),IFERROR(IF(VALUE(MID($C1009,2,20))&lt;100000000,VALUE(MID($C1009,2,20)),1000000000),1000000000))+ROW()/100000,"")</f>
        <v/>
      </c>
    </row>
    <row r="1010">
      <c r="E1010" s="11" t="n"/>
      <c r="M1010" s="7">
        <f>IF($C1010="","",L1010*U1010/100)</f>
        <v/>
      </c>
      <c r="N1010" s="7" t="n"/>
      <c r="T1010" s="7" t="n"/>
      <c r="U1010" s="7">
        <f>IF($C1010="","",S1010*T1010)</f>
        <v/>
      </c>
      <c r="X1010">
        <f>IF($C1010="","",IF($AM1010=1,0,IF($AL1010=1,Settings!$C$6,Settings!$C$7))*100)</f>
        <v/>
      </c>
      <c r="AB1010" s="7" t="n"/>
      <c r="AE1010" s="11" t="n"/>
      <c r="AG1010" s="7">
        <f>IF($C1010="","",U1010*X1010/100)</f>
        <v/>
      </c>
      <c r="AH1010" s="7">
        <f>IF($C1010="","",U1010-AG1010)</f>
        <v/>
      </c>
      <c r="AI1010" s="7">
        <f>IF($C1010="","",AH1010-M1010)</f>
        <v/>
      </c>
      <c r="AJ1010">
        <f>IF($C1010="","",IF(COUNTIF($C$2:$C1010,$C1010)=1,1,0))</f>
        <v/>
      </c>
      <c r="AK1010">
        <f>IF($AJ1010=1,SUMPRODUCT(--($AN$2:$AN$4001&lt;$AN1010))+1,"")</f>
        <v/>
      </c>
      <c r="AL1010">
        <f>IF($C1010="","",IF(OR($Q1010=TRUE(),$Q1010="TRUE"),1,0))</f>
        <v/>
      </c>
      <c r="AM1010">
        <f>IF($C1010="","",IF($W1010="Yes",1,0))</f>
        <v/>
      </c>
      <c r="AN1010">
        <f>IF($AJ1010=1,IFERROR(IF(VALUE($C1010)&lt;100000000,VALUE($C1010),1000000000),IFERROR(IF(VALUE(MID($C1010,2,20))&lt;100000000,VALUE(MID($C1010,2,20)),1000000000),1000000000))+ROW()/100000,"")</f>
        <v/>
      </c>
    </row>
    <row r="1011">
      <c r="E1011" s="11" t="n"/>
      <c r="M1011" s="7">
        <f>IF($C1011="","",L1011*U1011/100)</f>
        <v/>
      </c>
      <c r="N1011" s="7" t="n"/>
      <c r="T1011" s="7" t="n"/>
      <c r="U1011" s="7">
        <f>IF($C1011="","",S1011*T1011)</f>
        <v/>
      </c>
      <c r="X1011">
        <f>IF($C1011="","",IF($AM1011=1,0,IF($AL1011=1,Settings!$C$6,Settings!$C$7))*100)</f>
        <v/>
      </c>
      <c r="AB1011" s="7" t="n"/>
      <c r="AE1011" s="11" t="n"/>
      <c r="AG1011" s="7">
        <f>IF($C1011="","",U1011*X1011/100)</f>
        <v/>
      </c>
      <c r="AH1011" s="7">
        <f>IF($C1011="","",U1011-AG1011)</f>
        <v/>
      </c>
      <c r="AI1011" s="7">
        <f>IF($C1011="","",AH1011-M1011)</f>
        <v/>
      </c>
      <c r="AJ1011">
        <f>IF($C1011="","",IF(COUNTIF($C$2:$C1011,$C1011)=1,1,0))</f>
        <v/>
      </c>
      <c r="AK1011">
        <f>IF($AJ1011=1,SUMPRODUCT(--($AN$2:$AN$4001&lt;$AN1011))+1,"")</f>
        <v/>
      </c>
      <c r="AL1011">
        <f>IF($C1011="","",IF(OR($Q1011=TRUE(),$Q1011="TRUE"),1,0))</f>
        <v/>
      </c>
      <c r="AM1011">
        <f>IF($C1011="","",IF($W1011="Yes",1,0))</f>
        <v/>
      </c>
      <c r="AN1011">
        <f>IF($AJ1011=1,IFERROR(IF(VALUE($C1011)&lt;100000000,VALUE($C1011),1000000000),IFERROR(IF(VALUE(MID($C1011,2,20))&lt;100000000,VALUE(MID($C1011,2,20)),1000000000),1000000000))+ROW()/100000,"")</f>
        <v/>
      </c>
    </row>
    <row r="1012">
      <c r="E1012" s="11" t="n"/>
      <c r="M1012" s="7">
        <f>IF($C1012="","",L1012*U1012/100)</f>
        <v/>
      </c>
      <c r="N1012" s="7" t="n"/>
      <c r="T1012" s="7" t="n"/>
      <c r="U1012" s="7">
        <f>IF($C1012="","",S1012*T1012)</f>
        <v/>
      </c>
      <c r="X1012">
        <f>IF($C1012="","",IF($AM1012=1,0,IF($AL1012=1,Settings!$C$6,Settings!$C$7))*100)</f>
        <v/>
      </c>
      <c r="AB1012" s="7" t="n"/>
      <c r="AE1012" s="11" t="n"/>
      <c r="AG1012" s="7">
        <f>IF($C1012="","",U1012*X1012/100)</f>
        <v/>
      </c>
      <c r="AH1012" s="7">
        <f>IF($C1012="","",U1012-AG1012)</f>
        <v/>
      </c>
      <c r="AI1012" s="7">
        <f>IF($C1012="","",AH1012-M1012)</f>
        <v/>
      </c>
      <c r="AJ1012">
        <f>IF($C1012="","",IF(COUNTIF($C$2:$C1012,$C1012)=1,1,0))</f>
        <v/>
      </c>
      <c r="AK1012">
        <f>IF($AJ1012=1,SUMPRODUCT(--($AN$2:$AN$4001&lt;$AN1012))+1,"")</f>
        <v/>
      </c>
      <c r="AL1012">
        <f>IF($C1012="","",IF(OR($Q1012=TRUE(),$Q1012="TRUE"),1,0))</f>
        <v/>
      </c>
      <c r="AM1012">
        <f>IF($C1012="","",IF($W1012="Yes",1,0))</f>
        <v/>
      </c>
      <c r="AN1012">
        <f>IF($AJ1012=1,IFERROR(IF(VALUE($C1012)&lt;100000000,VALUE($C1012),1000000000),IFERROR(IF(VALUE(MID($C1012,2,20))&lt;100000000,VALUE(MID($C1012,2,20)),1000000000),1000000000))+ROW()/100000,"")</f>
        <v/>
      </c>
    </row>
    <row r="1013">
      <c r="E1013" s="11" t="n"/>
      <c r="M1013" s="7">
        <f>IF($C1013="","",L1013*U1013/100)</f>
        <v/>
      </c>
      <c r="N1013" s="7" t="n"/>
      <c r="T1013" s="7" t="n"/>
      <c r="U1013" s="7">
        <f>IF($C1013="","",S1013*T1013)</f>
        <v/>
      </c>
      <c r="X1013">
        <f>IF($C1013="","",IF($AM1013=1,0,IF($AL1013=1,Settings!$C$6,Settings!$C$7))*100)</f>
        <v/>
      </c>
      <c r="AB1013" s="7" t="n"/>
      <c r="AE1013" s="11" t="n"/>
      <c r="AG1013" s="7">
        <f>IF($C1013="","",U1013*X1013/100)</f>
        <v/>
      </c>
      <c r="AH1013" s="7">
        <f>IF($C1013="","",U1013-AG1013)</f>
        <v/>
      </c>
      <c r="AI1013" s="7">
        <f>IF($C1013="","",AH1013-M1013)</f>
        <v/>
      </c>
      <c r="AJ1013">
        <f>IF($C1013="","",IF(COUNTIF($C$2:$C1013,$C1013)=1,1,0))</f>
        <v/>
      </c>
      <c r="AK1013">
        <f>IF($AJ1013=1,SUMPRODUCT(--($AN$2:$AN$4001&lt;$AN1013))+1,"")</f>
        <v/>
      </c>
      <c r="AL1013">
        <f>IF($C1013="","",IF(OR($Q1013=TRUE(),$Q1013="TRUE"),1,0))</f>
        <v/>
      </c>
      <c r="AM1013">
        <f>IF($C1013="","",IF($W1013="Yes",1,0))</f>
        <v/>
      </c>
      <c r="AN1013">
        <f>IF($AJ1013=1,IFERROR(IF(VALUE($C1013)&lt;100000000,VALUE($C1013),1000000000),IFERROR(IF(VALUE(MID($C1013,2,20))&lt;100000000,VALUE(MID($C1013,2,20)),1000000000),1000000000))+ROW()/100000,"")</f>
        <v/>
      </c>
    </row>
    <row r="1014">
      <c r="E1014" s="11" t="n"/>
      <c r="M1014" s="7">
        <f>IF($C1014="","",L1014*U1014/100)</f>
        <v/>
      </c>
      <c r="N1014" s="7" t="n"/>
      <c r="T1014" s="7" t="n"/>
      <c r="U1014" s="7">
        <f>IF($C1014="","",S1014*T1014)</f>
        <v/>
      </c>
      <c r="X1014">
        <f>IF($C1014="","",IF($AM1014=1,0,IF($AL1014=1,Settings!$C$6,Settings!$C$7))*100)</f>
        <v/>
      </c>
      <c r="AB1014" s="7" t="n"/>
      <c r="AE1014" s="11" t="n"/>
      <c r="AG1014" s="7">
        <f>IF($C1014="","",U1014*X1014/100)</f>
        <v/>
      </c>
      <c r="AH1014" s="7">
        <f>IF($C1014="","",U1014-AG1014)</f>
        <v/>
      </c>
      <c r="AI1014" s="7">
        <f>IF($C1014="","",AH1014-M1014)</f>
        <v/>
      </c>
      <c r="AJ1014">
        <f>IF($C1014="","",IF(COUNTIF($C$2:$C1014,$C1014)=1,1,0))</f>
        <v/>
      </c>
      <c r="AK1014">
        <f>IF($AJ1014=1,SUMPRODUCT(--($AN$2:$AN$4001&lt;$AN1014))+1,"")</f>
        <v/>
      </c>
      <c r="AL1014">
        <f>IF($C1014="","",IF(OR($Q1014=TRUE(),$Q1014="TRUE"),1,0))</f>
        <v/>
      </c>
      <c r="AM1014">
        <f>IF($C1014="","",IF($W1014="Yes",1,0))</f>
        <v/>
      </c>
      <c r="AN1014">
        <f>IF($AJ1014=1,IFERROR(IF(VALUE($C1014)&lt;100000000,VALUE($C1014),1000000000),IFERROR(IF(VALUE(MID($C1014,2,20))&lt;100000000,VALUE(MID($C1014,2,20)),1000000000),1000000000))+ROW()/100000,"")</f>
        <v/>
      </c>
    </row>
    <row r="1015">
      <c r="E1015" s="11" t="n"/>
      <c r="M1015" s="7">
        <f>IF($C1015="","",L1015*U1015/100)</f>
        <v/>
      </c>
      <c r="N1015" s="7" t="n"/>
      <c r="T1015" s="7" t="n"/>
      <c r="U1015" s="7">
        <f>IF($C1015="","",S1015*T1015)</f>
        <v/>
      </c>
      <c r="X1015">
        <f>IF($C1015="","",IF($AM1015=1,0,IF($AL1015=1,Settings!$C$6,Settings!$C$7))*100)</f>
        <v/>
      </c>
      <c r="AB1015" s="7" t="n"/>
      <c r="AE1015" s="11" t="n"/>
      <c r="AG1015" s="7">
        <f>IF($C1015="","",U1015*X1015/100)</f>
        <v/>
      </c>
      <c r="AH1015" s="7">
        <f>IF($C1015="","",U1015-AG1015)</f>
        <v/>
      </c>
      <c r="AI1015" s="7">
        <f>IF($C1015="","",AH1015-M1015)</f>
        <v/>
      </c>
      <c r="AJ1015">
        <f>IF($C1015="","",IF(COUNTIF($C$2:$C1015,$C1015)=1,1,0))</f>
        <v/>
      </c>
      <c r="AK1015">
        <f>IF($AJ1015=1,SUMPRODUCT(--($AN$2:$AN$4001&lt;$AN1015))+1,"")</f>
        <v/>
      </c>
      <c r="AL1015">
        <f>IF($C1015="","",IF(OR($Q1015=TRUE(),$Q1015="TRUE"),1,0))</f>
        <v/>
      </c>
      <c r="AM1015">
        <f>IF($C1015="","",IF($W1015="Yes",1,0))</f>
        <v/>
      </c>
      <c r="AN1015">
        <f>IF($AJ1015=1,IFERROR(IF(VALUE($C1015)&lt;100000000,VALUE($C1015),1000000000),IFERROR(IF(VALUE(MID($C1015,2,20))&lt;100000000,VALUE(MID($C1015,2,20)),1000000000),1000000000))+ROW()/100000,"")</f>
        <v/>
      </c>
    </row>
    <row r="1016">
      <c r="E1016" s="11" t="n"/>
      <c r="M1016" s="7">
        <f>IF($C1016="","",L1016*U1016/100)</f>
        <v/>
      </c>
      <c r="N1016" s="7" t="n"/>
      <c r="T1016" s="7" t="n"/>
      <c r="U1016" s="7">
        <f>IF($C1016="","",S1016*T1016)</f>
        <v/>
      </c>
      <c r="X1016">
        <f>IF($C1016="","",IF($AM1016=1,0,IF($AL1016=1,Settings!$C$6,Settings!$C$7))*100)</f>
        <v/>
      </c>
      <c r="AB1016" s="7" t="n"/>
      <c r="AE1016" s="11" t="n"/>
      <c r="AG1016" s="7">
        <f>IF($C1016="","",U1016*X1016/100)</f>
        <v/>
      </c>
      <c r="AH1016" s="7">
        <f>IF($C1016="","",U1016-AG1016)</f>
        <v/>
      </c>
      <c r="AI1016" s="7">
        <f>IF($C1016="","",AH1016-M1016)</f>
        <v/>
      </c>
      <c r="AJ1016">
        <f>IF($C1016="","",IF(COUNTIF($C$2:$C1016,$C1016)=1,1,0))</f>
        <v/>
      </c>
      <c r="AK1016">
        <f>IF($AJ1016=1,SUMPRODUCT(--($AN$2:$AN$4001&lt;$AN1016))+1,"")</f>
        <v/>
      </c>
      <c r="AL1016">
        <f>IF($C1016="","",IF(OR($Q1016=TRUE(),$Q1016="TRUE"),1,0))</f>
        <v/>
      </c>
      <c r="AM1016">
        <f>IF($C1016="","",IF($W1016="Yes",1,0))</f>
        <v/>
      </c>
      <c r="AN1016">
        <f>IF($AJ1016=1,IFERROR(IF(VALUE($C1016)&lt;100000000,VALUE($C1016),1000000000),IFERROR(IF(VALUE(MID($C1016,2,20))&lt;100000000,VALUE(MID($C1016,2,20)),1000000000),1000000000))+ROW()/100000,"")</f>
        <v/>
      </c>
    </row>
    <row r="1017">
      <c r="E1017" s="11" t="n"/>
      <c r="M1017" s="7">
        <f>IF($C1017="","",L1017*U1017/100)</f>
        <v/>
      </c>
      <c r="N1017" s="7" t="n"/>
      <c r="T1017" s="7" t="n"/>
      <c r="U1017" s="7">
        <f>IF($C1017="","",S1017*T1017)</f>
        <v/>
      </c>
      <c r="X1017">
        <f>IF($C1017="","",IF($AM1017=1,0,IF($AL1017=1,Settings!$C$6,Settings!$C$7))*100)</f>
        <v/>
      </c>
      <c r="AB1017" s="7" t="n"/>
      <c r="AE1017" s="11" t="n"/>
      <c r="AG1017" s="7">
        <f>IF($C1017="","",U1017*X1017/100)</f>
        <v/>
      </c>
      <c r="AH1017" s="7">
        <f>IF($C1017="","",U1017-AG1017)</f>
        <v/>
      </c>
      <c r="AI1017" s="7">
        <f>IF($C1017="","",AH1017-M1017)</f>
        <v/>
      </c>
      <c r="AJ1017">
        <f>IF($C1017="","",IF(COUNTIF($C$2:$C1017,$C1017)=1,1,0))</f>
        <v/>
      </c>
      <c r="AK1017">
        <f>IF($AJ1017=1,SUMPRODUCT(--($AN$2:$AN$4001&lt;$AN1017))+1,"")</f>
        <v/>
      </c>
      <c r="AL1017">
        <f>IF($C1017="","",IF(OR($Q1017=TRUE(),$Q1017="TRUE"),1,0))</f>
        <v/>
      </c>
      <c r="AM1017">
        <f>IF($C1017="","",IF($W1017="Yes",1,0))</f>
        <v/>
      </c>
      <c r="AN1017">
        <f>IF($AJ1017=1,IFERROR(IF(VALUE($C1017)&lt;100000000,VALUE($C1017),1000000000),IFERROR(IF(VALUE(MID($C1017,2,20))&lt;100000000,VALUE(MID($C1017,2,20)),1000000000),1000000000))+ROW()/100000,"")</f>
        <v/>
      </c>
    </row>
    <row r="1018">
      <c r="E1018" s="11" t="n"/>
      <c r="M1018" s="7">
        <f>IF($C1018="","",L1018*U1018/100)</f>
        <v/>
      </c>
      <c r="N1018" s="7" t="n"/>
      <c r="T1018" s="7" t="n"/>
      <c r="U1018" s="7">
        <f>IF($C1018="","",S1018*T1018)</f>
        <v/>
      </c>
      <c r="X1018">
        <f>IF($C1018="","",IF($AM1018=1,0,IF($AL1018=1,Settings!$C$6,Settings!$C$7))*100)</f>
        <v/>
      </c>
      <c r="AB1018" s="7" t="n"/>
      <c r="AE1018" s="11" t="n"/>
      <c r="AG1018" s="7">
        <f>IF($C1018="","",U1018*X1018/100)</f>
        <v/>
      </c>
      <c r="AH1018" s="7">
        <f>IF($C1018="","",U1018-AG1018)</f>
        <v/>
      </c>
      <c r="AI1018" s="7">
        <f>IF($C1018="","",AH1018-M1018)</f>
        <v/>
      </c>
      <c r="AJ1018">
        <f>IF($C1018="","",IF(COUNTIF($C$2:$C1018,$C1018)=1,1,0))</f>
        <v/>
      </c>
      <c r="AK1018">
        <f>IF($AJ1018=1,SUMPRODUCT(--($AN$2:$AN$4001&lt;$AN1018))+1,"")</f>
        <v/>
      </c>
      <c r="AL1018">
        <f>IF($C1018="","",IF(OR($Q1018=TRUE(),$Q1018="TRUE"),1,0))</f>
        <v/>
      </c>
      <c r="AM1018">
        <f>IF($C1018="","",IF($W1018="Yes",1,0))</f>
        <v/>
      </c>
      <c r="AN1018">
        <f>IF($AJ1018=1,IFERROR(IF(VALUE($C1018)&lt;100000000,VALUE($C1018),1000000000),IFERROR(IF(VALUE(MID($C1018,2,20))&lt;100000000,VALUE(MID($C1018,2,20)),1000000000),1000000000))+ROW()/100000,"")</f>
        <v/>
      </c>
    </row>
    <row r="1019">
      <c r="E1019" s="11" t="n"/>
      <c r="M1019" s="7">
        <f>IF($C1019="","",L1019*U1019/100)</f>
        <v/>
      </c>
      <c r="N1019" s="7" t="n"/>
      <c r="T1019" s="7" t="n"/>
      <c r="U1019" s="7">
        <f>IF($C1019="","",S1019*T1019)</f>
        <v/>
      </c>
      <c r="X1019">
        <f>IF($C1019="","",IF($AM1019=1,0,IF($AL1019=1,Settings!$C$6,Settings!$C$7))*100)</f>
        <v/>
      </c>
      <c r="AB1019" s="7" t="n"/>
      <c r="AE1019" s="11" t="n"/>
      <c r="AG1019" s="7">
        <f>IF($C1019="","",U1019*X1019/100)</f>
        <v/>
      </c>
      <c r="AH1019" s="7">
        <f>IF($C1019="","",U1019-AG1019)</f>
        <v/>
      </c>
      <c r="AI1019" s="7">
        <f>IF($C1019="","",AH1019-M1019)</f>
        <v/>
      </c>
      <c r="AJ1019">
        <f>IF($C1019="","",IF(COUNTIF($C$2:$C1019,$C1019)=1,1,0))</f>
        <v/>
      </c>
      <c r="AK1019">
        <f>IF($AJ1019=1,SUMPRODUCT(--($AN$2:$AN$4001&lt;$AN1019))+1,"")</f>
        <v/>
      </c>
      <c r="AL1019">
        <f>IF($C1019="","",IF(OR($Q1019=TRUE(),$Q1019="TRUE"),1,0))</f>
        <v/>
      </c>
      <c r="AM1019">
        <f>IF($C1019="","",IF($W1019="Yes",1,0))</f>
        <v/>
      </c>
      <c r="AN1019">
        <f>IF($AJ1019=1,IFERROR(IF(VALUE($C1019)&lt;100000000,VALUE($C1019),1000000000),IFERROR(IF(VALUE(MID($C1019,2,20))&lt;100000000,VALUE(MID($C1019,2,20)),1000000000),1000000000))+ROW()/100000,"")</f>
        <v/>
      </c>
    </row>
    <row r="1020">
      <c r="E1020" s="11" t="n"/>
      <c r="M1020" s="7">
        <f>IF($C1020="","",L1020*U1020/100)</f>
        <v/>
      </c>
      <c r="N1020" s="7" t="n"/>
      <c r="T1020" s="7" t="n"/>
      <c r="U1020" s="7">
        <f>IF($C1020="","",S1020*T1020)</f>
        <v/>
      </c>
      <c r="X1020">
        <f>IF($C1020="","",IF($AM1020=1,0,IF($AL1020=1,Settings!$C$6,Settings!$C$7))*100)</f>
        <v/>
      </c>
      <c r="AB1020" s="7" t="n"/>
      <c r="AE1020" s="11" t="n"/>
      <c r="AG1020" s="7">
        <f>IF($C1020="","",U1020*X1020/100)</f>
        <v/>
      </c>
      <c r="AH1020" s="7">
        <f>IF($C1020="","",U1020-AG1020)</f>
        <v/>
      </c>
      <c r="AI1020" s="7">
        <f>IF($C1020="","",AH1020-M1020)</f>
        <v/>
      </c>
      <c r="AJ1020">
        <f>IF($C1020="","",IF(COUNTIF($C$2:$C1020,$C1020)=1,1,0))</f>
        <v/>
      </c>
      <c r="AK1020">
        <f>IF($AJ1020=1,SUMPRODUCT(--($AN$2:$AN$4001&lt;$AN1020))+1,"")</f>
        <v/>
      </c>
      <c r="AL1020">
        <f>IF($C1020="","",IF(OR($Q1020=TRUE(),$Q1020="TRUE"),1,0))</f>
        <v/>
      </c>
      <c r="AM1020">
        <f>IF($C1020="","",IF($W1020="Yes",1,0))</f>
        <v/>
      </c>
      <c r="AN1020">
        <f>IF($AJ1020=1,IFERROR(IF(VALUE($C1020)&lt;100000000,VALUE($C1020),1000000000),IFERROR(IF(VALUE(MID($C1020,2,20))&lt;100000000,VALUE(MID($C1020,2,20)),1000000000),1000000000))+ROW()/100000,"")</f>
        <v/>
      </c>
    </row>
    <row r="1021">
      <c r="E1021" s="11" t="n"/>
      <c r="M1021" s="7">
        <f>IF($C1021="","",L1021*U1021/100)</f>
        <v/>
      </c>
      <c r="N1021" s="7" t="n"/>
      <c r="T1021" s="7" t="n"/>
      <c r="U1021" s="7">
        <f>IF($C1021="","",S1021*T1021)</f>
        <v/>
      </c>
      <c r="X1021">
        <f>IF($C1021="","",IF($AM1021=1,0,IF($AL1021=1,Settings!$C$6,Settings!$C$7))*100)</f>
        <v/>
      </c>
      <c r="AB1021" s="7" t="n"/>
      <c r="AE1021" s="11" t="n"/>
      <c r="AG1021" s="7">
        <f>IF($C1021="","",U1021*X1021/100)</f>
        <v/>
      </c>
      <c r="AH1021" s="7">
        <f>IF($C1021="","",U1021-AG1021)</f>
        <v/>
      </c>
      <c r="AI1021" s="7">
        <f>IF($C1021="","",AH1021-M1021)</f>
        <v/>
      </c>
      <c r="AJ1021">
        <f>IF($C1021="","",IF(COUNTIF($C$2:$C1021,$C1021)=1,1,0))</f>
        <v/>
      </c>
      <c r="AK1021">
        <f>IF($AJ1021=1,SUMPRODUCT(--($AN$2:$AN$4001&lt;$AN1021))+1,"")</f>
        <v/>
      </c>
      <c r="AL1021">
        <f>IF($C1021="","",IF(OR($Q1021=TRUE(),$Q1021="TRUE"),1,0))</f>
        <v/>
      </c>
      <c r="AM1021">
        <f>IF($C1021="","",IF($W1021="Yes",1,0))</f>
        <v/>
      </c>
      <c r="AN1021">
        <f>IF($AJ1021=1,IFERROR(IF(VALUE($C1021)&lt;100000000,VALUE($C1021),1000000000),IFERROR(IF(VALUE(MID($C1021,2,20))&lt;100000000,VALUE(MID($C1021,2,20)),1000000000),1000000000))+ROW()/100000,"")</f>
        <v/>
      </c>
    </row>
    <row r="1022">
      <c r="E1022" s="11" t="n"/>
      <c r="M1022" s="7">
        <f>IF($C1022="","",L1022*U1022/100)</f>
        <v/>
      </c>
      <c r="N1022" s="7" t="n"/>
      <c r="T1022" s="7" t="n"/>
      <c r="U1022" s="7">
        <f>IF($C1022="","",S1022*T1022)</f>
        <v/>
      </c>
      <c r="X1022">
        <f>IF($C1022="","",IF($AM1022=1,0,IF($AL1022=1,Settings!$C$6,Settings!$C$7))*100)</f>
        <v/>
      </c>
      <c r="AB1022" s="7" t="n"/>
      <c r="AE1022" s="11" t="n"/>
      <c r="AG1022" s="7">
        <f>IF($C1022="","",U1022*X1022/100)</f>
        <v/>
      </c>
      <c r="AH1022" s="7">
        <f>IF($C1022="","",U1022-AG1022)</f>
        <v/>
      </c>
      <c r="AI1022" s="7">
        <f>IF($C1022="","",AH1022-M1022)</f>
        <v/>
      </c>
      <c r="AJ1022">
        <f>IF($C1022="","",IF(COUNTIF($C$2:$C1022,$C1022)=1,1,0))</f>
        <v/>
      </c>
      <c r="AK1022">
        <f>IF($AJ1022=1,SUMPRODUCT(--($AN$2:$AN$4001&lt;$AN1022))+1,"")</f>
        <v/>
      </c>
      <c r="AL1022">
        <f>IF($C1022="","",IF(OR($Q1022=TRUE(),$Q1022="TRUE"),1,0))</f>
        <v/>
      </c>
      <c r="AM1022">
        <f>IF($C1022="","",IF($W1022="Yes",1,0))</f>
        <v/>
      </c>
      <c r="AN1022">
        <f>IF($AJ1022=1,IFERROR(IF(VALUE($C1022)&lt;100000000,VALUE($C1022),1000000000),IFERROR(IF(VALUE(MID($C1022,2,20))&lt;100000000,VALUE(MID($C1022,2,20)),1000000000),1000000000))+ROW()/100000,"")</f>
        <v/>
      </c>
    </row>
    <row r="1023">
      <c r="E1023" s="11" t="n"/>
      <c r="M1023" s="7">
        <f>IF($C1023="","",L1023*U1023/100)</f>
        <v/>
      </c>
      <c r="N1023" s="7" t="n"/>
      <c r="T1023" s="7" t="n"/>
      <c r="U1023" s="7">
        <f>IF($C1023="","",S1023*T1023)</f>
        <v/>
      </c>
      <c r="X1023">
        <f>IF($C1023="","",IF($AM1023=1,0,IF($AL1023=1,Settings!$C$6,Settings!$C$7))*100)</f>
        <v/>
      </c>
      <c r="AB1023" s="7" t="n"/>
      <c r="AE1023" s="11" t="n"/>
      <c r="AG1023" s="7">
        <f>IF($C1023="","",U1023*X1023/100)</f>
        <v/>
      </c>
      <c r="AH1023" s="7">
        <f>IF($C1023="","",U1023-AG1023)</f>
        <v/>
      </c>
      <c r="AI1023" s="7">
        <f>IF($C1023="","",AH1023-M1023)</f>
        <v/>
      </c>
      <c r="AJ1023">
        <f>IF($C1023="","",IF(COUNTIF($C$2:$C1023,$C1023)=1,1,0))</f>
        <v/>
      </c>
      <c r="AK1023">
        <f>IF($AJ1023=1,SUMPRODUCT(--($AN$2:$AN$4001&lt;$AN1023))+1,"")</f>
        <v/>
      </c>
      <c r="AL1023">
        <f>IF($C1023="","",IF(OR($Q1023=TRUE(),$Q1023="TRUE"),1,0))</f>
        <v/>
      </c>
      <c r="AM1023">
        <f>IF($C1023="","",IF($W1023="Yes",1,0))</f>
        <v/>
      </c>
      <c r="AN1023">
        <f>IF($AJ1023=1,IFERROR(IF(VALUE($C1023)&lt;100000000,VALUE($C1023),1000000000),IFERROR(IF(VALUE(MID($C1023,2,20))&lt;100000000,VALUE(MID($C1023,2,20)),1000000000),1000000000))+ROW()/100000,"")</f>
        <v/>
      </c>
    </row>
    <row r="1024">
      <c r="E1024" s="11" t="n"/>
      <c r="M1024" s="7">
        <f>IF($C1024="","",L1024*U1024/100)</f>
        <v/>
      </c>
      <c r="N1024" s="7" t="n"/>
      <c r="T1024" s="7" t="n"/>
      <c r="U1024" s="7">
        <f>IF($C1024="","",S1024*T1024)</f>
        <v/>
      </c>
      <c r="X1024">
        <f>IF($C1024="","",IF($AM1024=1,0,IF($AL1024=1,Settings!$C$6,Settings!$C$7))*100)</f>
        <v/>
      </c>
      <c r="AB1024" s="7" t="n"/>
      <c r="AE1024" s="11" t="n"/>
      <c r="AG1024" s="7">
        <f>IF($C1024="","",U1024*X1024/100)</f>
        <v/>
      </c>
      <c r="AH1024" s="7">
        <f>IF($C1024="","",U1024-AG1024)</f>
        <v/>
      </c>
      <c r="AI1024" s="7">
        <f>IF($C1024="","",AH1024-M1024)</f>
        <v/>
      </c>
      <c r="AJ1024">
        <f>IF($C1024="","",IF(COUNTIF($C$2:$C1024,$C1024)=1,1,0))</f>
        <v/>
      </c>
      <c r="AK1024">
        <f>IF($AJ1024=1,SUMPRODUCT(--($AN$2:$AN$4001&lt;$AN1024))+1,"")</f>
        <v/>
      </c>
      <c r="AL1024">
        <f>IF($C1024="","",IF(OR($Q1024=TRUE(),$Q1024="TRUE"),1,0))</f>
        <v/>
      </c>
      <c r="AM1024">
        <f>IF($C1024="","",IF($W1024="Yes",1,0))</f>
        <v/>
      </c>
      <c r="AN1024">
        <f>IF($AJ1024=1,IFERROR(IF(VALUE($C1024)&lt;100000000,VALUE($C1024),1000000000),IFERROR(IF(VALUE(MID($C1024,2,20))&lt;100000000,VALUE(MID($C1024,2,20)),1000000000),1000000000))+ROW()/100000,"")</f>
        <v/>
      </c>
    </row>
    <row r="1025">
      <c r="E1025" s="11" t="n"/>
      <c r="M1025" s="7">
        <f>IF($C1025="","",L1025*U1025/100)</f>
        <v/>
      </c>
      <c r="N1025" s="7" t="n"/>
      <c r="T1025" s="7" t="n"/>
      <c r="U1025" s="7">
        <f>IF($C1025="","",S1025*T1025)</f>
        <v/>
      </c>
      <c r="X1025">
        <f>IF($C1025="","",IF($AM1025=1,0,IF($AL1025=1,Settings!$C$6,Settings!$C$7))*100)</f>
        <v/>
      </c>
      <c r="AB1025" s="7" t="n"/>
      <c r="AE1025" s="11" t="n"/>
      <c r="AG1025" s="7">
        <f>IF($C1025="","",U1025*X1025/100)</f>
        <v/>
      </c>
      <c r="AH1025" s="7">
        <f>IF($C1025="","",U1025-AG1025)</f>
        <v/>
      </c>
      <c r="AI1025" s="7">
        <f>IF($C1025="","",AH1025-M1025)</f>
        <v/>
      </c>
      <c r="AJ1025">
        <f>IF($C1025="","",IF(COUNTIF($C$2:$C1025,$C1025)=1,1,0))</f>
        <v/>
      </c>
      <c r="AK1025">
        <f>IF($AJ1025=1,SUMPRODUCT(--($AN$2:$AN$4001&lt;$AN1025))+1,"")</f>
        <v/>
      </c>
      <c r="AL1025">
        <f>IF($C1025="","",IF(OR($Q1025=TRUE(),$Q1025="TRUE"),1,0))</f>
        <v/>
      </c>
      <c r="AM1025">
        <f>IF($C1025="","",IF($W1025="Yes",1,0))</f>
        <v/>
      </c>
      <c r="AN1025">
        <f>IF($AJ1025=1,IFERROR(IF(VALUE($C1025)&lt;100000000,VALUE($C1025),1000000000),IFERROR(IF(VALUE(MID($C1025,2,20))&lt;100000000,VALUE(MID($C1025,2,20)),1000000000),1000000000))+ROW()/100000,"")</f>
        <v/>
      </c>
    </row>
    <row r="1026">
      <c r="E1026" s="11" t="n"/>
      <c r="M1026" s="7">
        <f>IF($C1026="","",L1026*U1026/100)</f>
        <v/>
      </c>
      <c r="N1026" s="7" t="n"/>
      <c r="T1026" s="7" t="n"/>
      <c r="U1026" s="7">
        <f>IF($C1026="","",S1026*T1026)</f>
        <v/>
      </c>
      <c r="X1026">
        <f>IF($C1026="","",IF($AM1026=1,0,IF($AL1026=1,Settings!$C$6,Settings!$C$7))*100)</f>
        <v/>
      </c>
      <c r="AB1026" s="7" t="n"/>
      <c r="AE1026" s="11" t="n"/>
      <c r="AG1026" s="7">
        <f>IF($C1026="","",U1026*X1026/100)</f>
        <v/>
      </c>
      <c r="AH1026" s="7">
        <f>IF($C1026="","",U1026-AG1026)</f>
        <v/>
      </c>
      <c r="AI1026" s="7">
        <f>IF($C1026="","",AH1026-M1026)</f>
        <v/>
      </c>
      <c r="AJ1026">
        <f>IF($C1026="","",IF(COUNTIF($C$2:$C1026,$C1026)=1,1,0))</f>
        <v/>
      </c>
      <c r="AK1026">
        <f>IF($AJ1026=1,SUMPRODUCT(--($AN$2:$AN$4001&lt;$AN1026))+1,"")</f>
        <v/>
      </c>
      <c r="AL1026">
        <f>IF($C1026="","",IF(OR($Q1026=TRUE(),$Q1026="TRUE"),1,0))</f>
        <v/>
      </c>
      <c r="AM1026">
        <f>IF($C1026="","",IF($W1026="Yes",1,0))</f>
        <v/>
      </c>
      <c r="AN1026">
        <f>IF($AJ1026=1,IFERROR(IF(VALUE($C1026)&lt;100000000,VALUE($C1026),1000000000),IFERROR(IF(VALUE(MID($C1026,2,20))&lt;100000000,VALUE(MID($C1026,2,20)),1000000000),1000000000))+ROW()/100000,"")</f>
        <v/>
      </c>
    </row>
    <row r="1027">
      <c r="E1027" s="11" t="n"/>
      <c r="M1027" s="7">
        <f>IF($C1027="","",L1027*U1027/100)</f>
        <v/>
      </c>
      <c r="N1027" s="7" t="n"/>
      <c r="T1027" s="7" t="n"/>
      <c r="U1027" s="7">
        <f>IF($C1027="","",S1027*T1027)</f>
        <v/>
      </c>
      <c r="X1027">
        <f>IF($C1027="","",IF($AM1027=1,0,IF($AL1027=1,Settings!$C$6,Settings!$C$7))*100)</f>
        <v/>
      </c>
      <c r="AB1027" s="7" t="n"/>
      <c r="AE1027" s="11" t="n"/>
      <c r="AG1027" s="7">
        <f>IF($C1027="","",U1027*X1027/100)</f>
        <v/>
      </c>
      <c r="AH1027" s="7">
        <f>IF($C1027="","",U1027-AG1027)</f>
        <v/>
      </c>
      <c r="AI1027" s="7">
        <f>IF($C1027="","",AH1027-M1027)</f>
        <v/>
      </c>
      <c r="AJ1027">
        <f>IF($C1027="","",IF(COUNTIF($C$2:$C1027,$C1027)=1,1,0))</f>
        <v/>
      </c>
      <c r="AK1027">
        <f>IF($AJ1027=1,SUMPRODUCT(--($AN$2:$AN$4001&lt;$AN1027))+1,"")</f>
        <v/>
      </c>
      <c r="AL1027">
        <f>IF($C1027="","",IF(OR($Q1027=TRUE(),$Q1027="TRUE"),1,0))</f>
        <v/>
      </c>
      <c r="AM1027">
        <f>IF($C1027="","",IF($W1027="Yes",1,0))</f>
        <v/>
      </c>
      <c r="AN1027">
        <f>IF($AJ1027=1,IFERROR(IF(VALUE($C1027)&lt;100000000,VALUE($C1027),1000000000),IFERROR(IF(VALUE(MID($C1027,2,20))&lt;100000000,VALUE(MID($C1027,2,20)),1000000000),1000000000))+ROW()/100000,"")</f>
        <v/>
      </c>
    </row>
    <row r="1028">
      <c r="E1028" s="11" t="n"/>
      <c r="M1028" s="7">
        <f>IF($C1028="","",L1028*U1028/100)</f>
        <v/>
      </c>
      <c r="N1028" s="7" t="n"/>
      <c r="T1028" s="7" t="n"/>
      <c r="U1028" s="7">
        <f>IF($C1028="","",S1028*T1028)</f>
        <v/>
      </c>
      <c r="X1028">
        <f>IF($C1028="","",IF($AM1028=1,0,IF($AL1028=1,Settings!$C$6,Settings!$C$7))*100)</f>
        <v/>
      </c>
      <c r="AB1028" s="7" t="n"/>
      <c r="AE1028" s="11" t="n"/>
      <c r="AG1028" s="7">
        <f>IF($C1028="","",U1028*X1028/100)</f>
        <v/>
      </c>
      <c r="AH1028" s="7">
        <f>IF($C1028="","",U1028-AG1028)</f>
        <v/>
      </c>
      <c r="AI1028" s="7">
        <f>IF($C1028="","",AH1028-M1028)</f>
        <v/>
      </c>
      <c r="AJ1028">
        <f>IF($C1028="","",IF(COUNTIF($C$2:$C1028,$C1028)=1,1,0))</f>
        <v/>
      </c>
      <c r="AK1028">
        <f>IF($AJ1028=1,SUMPRODUCT(--($AN$2:$AN$4001&lt;$AN1028))+1,"")</f>
        <v/>
      </c>
      <c r="AL1028">
        <f>IF($C1028="","",IF(OR($Q1028=TRUE(),$Q1028="TRUE"),1,0))</f>
        <v/>
      </c>
      <c r="AM1028">
        <f>IF($C1028="","",IF($W1028="Yes",1,0))</f>
        <v/>
      </c>
      <c r="AN1028">
        <f>IF($AJ1028=1,IFERROR(IF(VALUE($C1028)&lt;100000000,VALUE($C1028),1000000000),IFERROR(IF(VALUE(MID($C1028,2,20))&lt;100000000,VALUE(MID($C1028,2,20)),1000000000),1000000000))+ROW()/100000,"")</f>
        <v/>
      </c>
    </row>
    <row r="1029">
      <c r="E1029" s="11" t="n"/>
      <c r="M1029" s="7">
        <f>IF($C1029="","",L1029*U1029/100)</f>
        <v/>
      </c>
      <c r="N1029" s="7" t="n"/>
      <c r="T1029" s="7" t="n"/>
      <c r="U1029" s="7">
        <f>IF($C1029="","",S1029*T1029)</f>
        <v/>
      </c>
      <c r="X1029">
        <f>IF($C1029="","",IF($AM1029=1,0,IF($AL1029=1,Settings!$C$6,Settings!$C$7))*100)</f>
        <v/>
      </c>
      <c r="AB1029" s="7" t="n"/>
      <c r="AE1029" s="11" t="n"/>
      <c r="AG1029" s="7">
        <f>IF($C1029="","",U1029*X1029/100)</f>
        <v/>
      </c>
      <c r="AH1029" s="7">
        <f>IF($C1029="","",U1029-AG1029)</f>
        <v/>
      </c>
      <c r="AI1029" s="7">
        <f>IF($C1029="","",AH1029-M1029)</f>
        <v/>
      </c>
      <c r="AJ1029">
        <f>IF($C1029="","",IF(COUNTIF($C$2:$C1029,$C1029)=1,1,0))</f>
        <v/>
      </c>
      <c r="AK1029">
        <f>IF($AJ1029=1,SUMPRODUCT(--($AN$2:$AN$4001&lt;$AN1029))+1,"")</f>
        <v/>
      </c>
      <c r="AL1029">
        <f>IF($C1029="","",IF(OR($Q1029=TRUE(),$Q1029="TRUE"),1,0))</f>
        <v/>
      </c>
      <c r="AM1029">
        <f>IF($C1029="","",IF($W1029="Yes",1,0))</f>
        <v/>
      </c>
      <c r="AN1029">
        <f>IF($AJ1029=1,IFERROR(IF(VALUE($C1029)&lt;100000000,VALUE($C1029),1000000000),IFERROR(IF(VALUE(MID($C1029,2,20))&lt;100000000,VALUE(MID($C1029,2,20)),1000000000),1000000000))+ROW()/100000,"")</f>
        <v/>
      </c>
    </row>
    <row r="1030">
      <c r="E1030" s="11" t="n"/>
      <c r="M1030" s="7">
        <f>IF($C1030="","",L1030*U1030/100)</f>
        <v/>
      </c>
      <c r="N1030" s="7" t="n"/>
      <c r="T1030" s="7" t="n"/>
      <c r="U1030" s="7">
        <f>IF($C1030="","",S1030*T1030)</f>
        <v/>
      </c>
      <c r="X1030">
        <f>IF($C1030="","",IF($AM1030=1,0,IF($AL1030=1,Settings!$C$6,Settings!$C$7))*100)</f>
        <v/>
      </c>
      <c r="AB1030" s="7" t="n"/>
      <c r="AE1030" s="11" t="n"/>
      <c r="AG1030" s="7">
        <f>IF($C1030="","",U1030*X1030/100)</f>
        <v/>
      </c>
      <c r="AH1030" s="7">
        <f>IF($C1030="","",U1030-AG1030)</f>
        <v/>
      </c>
      <c r="AI1030" s="7">
        <f>IF($C1030="","",AH1030-M1030)</f>
        <v/>
      </c>
      <c r="AJ1030">
        <f>IF($C1030="","",IF(COUNTIF($C$2:$C1030,$C1030)=1,1,0))</f>
        <v/>
      </c>
      <c r="AK1030">
        <f>IF($AJ1030=1,SUMPRODUCT(--($AN$2:$AN$4001&lt;$AN1030))+1,"")</f>
        <v/>
      </c>
      <c r="AL1030">
        <f>IF($C1030="","",IF(OR($Q1030=TRUE(),$Q1030="TRUE"),1,0))</f>
        <v/>
      </c>
      <c r="AM1030">
        <f>IF($C1030="","",IF($W1030="Yes",1,0))</f>
        <v/>
      </c>
      <c r="AN1030">
        <f>IF($AJ1030=1,IFERROR(IF(VALUE($C1030)&lt;100000000,VALUE($C1030),1000000000),IFERROR(IF(VALUE(MID($C1030,2,20))&lt;100000000,VALUE(MID($C1030,2,20)),1000000000),1000000000))+ROW()/100000,"")</f>
        <v/>
      </c>
    </row>
    <row r="1031">
      <c r="E1031" s="11" t="n"/>
      <c r="M1031" s="7">
        <f>IF($C1031="","",L1031*U1031/100)</f>
        <v/>
      </c>
      <c r="N1031" s="7" t="n"/>
      <c r="T1031" s="7" t="n"/>
      <c r="U1031" s="7">
        <f>IF($C1031="","",S1031*T1031)</f>
        <v/>
      </c>
      <c r="X1031">
        <f>IF($C1031="","",IF($AM1031=1,0,IF($AL1031=1,Settings!$C$6,Settings!$C$7))*100)</f>
        <v/>
      </c>
      <c r="AB1031" s="7" t="n"/>
      <c r="AE1031" s="11" t="n"/>
      <c r="AG1031" s="7">
        <f>IF($C1031="","",U1031*X1031/100)</f>
        <v/>
      </c>
      <c r="AH1031" s="7">
        <f>IF($C1031="","",U1031-AG1031)</f>
        <v/>
      </c>
      <c r="AI1031" s="7">
        <f>IF($C1031="","",AH1031-M1031)</f>
        <v/>
      </c>
      <c r="AJ1031">
        <f>IF($C1031="","",IF(COUNTIF($C$2:$C1031,$C1031)=1,1,0))</f>
        <v/>
      </c>
      <c r="AK1031">
        <f>IF($AJ1031=1,SUMPRODUCT(--($AN$2:$AN$4001&lt;$AN1031))+1,"")</f>
        <v/>
      </c>
      <c r="AL1031">
        <f>IF($C1031="","",IF(OR($Q1031=TRUE(),$Q1031="TRUE"),1,0))</f>
        <v/>
      </c>
      <c r="AM1031">
        <f>IF($C1031="","",IF($W1031="Yes",1,0))</f>
        <v/>
      </c>
      <c r="AN1031">
        <f>IF($AJ1031=1,IFERROR(IF(VALUE($C1031)&lt;100000000,VALUE($C1031),1000000000),IFERROR(IF(VALUE(MID($C1031,2,20))&lt;100000000,VALUE(MID($C1031,2,20)),1000000000),1000000000))+ROW()/100000,"")</f>
        <v/>
      </c>
    </row>
    <row r="1032">
      <c r="E1032" s="11" t="n"/>
      <c r="M1032" s="7">
        <f>IF($C1032="","",L1032*U1032/100)</f>
        <v/>
      </c>
      <c r="N1032" s="7" t="n"/>
      <c r="T1032" s="7" t="n"/>
      <c r="U1032" s="7">
        <f>IF($C1032="","",S1032*T1032)</f>
        <v/>
      </c>
      <c r="X1032">
        <f>IF($C1032="","",IF($AM1032=1,0,IF($AL1032=1,Settings!$C$6,Settings!$C$7))*100)</f>
        <v/>
      </c>
      <c r="AB1032" s="7" t="n"/>
      <c r="AE1032" s="11" t="n"/>
      <c r="AG1032" s="7">
        <f>IF($C1032="","",U1032*X1032/100)</f>
        <v/>
      </c>
      <c r="AH1032" s="7">
        <f>IF($C1032="","",U1032-AG1032)</f>
        <v/>
      </c>
      <c r="AI1032" s="7">
        <f>IF($C1032="","",AH1032-M1032)</f>
        <v/>
      </c>
      <c r="AJ1032">
        <f>IF($C1032="","",IF(COUNTIF($C$2:$C1032,$C1032)=1,1,0))</f>
        <v/>
      </c>
      <c r="AK1032">
        <f>IF($AJ1032=1,SUMPRODUCT(--($AN$2:$AN$4001&lt;$AN1032))+1,"")</f>
        <v/>
      </c>
      <c r="AL1032">
        <f>IF($C1032="","",IF(OR($Q1032=TRUE(),$Q1032="TRUE"),1,0))</f>
        <v/>
      </c>
      <c r="AM1032">
        <f>IF($C1032="","",IF($W1032="Yes",1,0))</f>
        <v/>
      </c>
      <c r="AN1032">
        <f>IF($AJ1032=1,IFERROR(IF(VALUE($C1032)&lt;100000000,VALUE($C1032),1000000000),IFERROR(IF(VALUE(MID($C1032,2,20))&lt;100000000,VALUE(MID($C1032,2,20)),1000000000),1000000000))+ROW()/100000,"")</f>
        <v/>
      </c>
    </row>
    <row r="1033">
      <c r="E1033" s="11" t="n"/>
      <c r="M1033" s="7">
        <f>IF($C1033="","",L1033*U1033/100)</f>
        <v/>
      </c>
      <c r="N1033" s="7" t="n"/>
      <c r="T1033" s="7" t="n"/>
      <c r="U1033" s="7">
        <f>IF($C1033="","",S1033*T1033)</f>
        <v/>
      </c>
      <c r="X1033">
        <f>IF($C1033="","",IF($AM1033=1,0,IF($AL1033=1,Settings!$C$6,Settings!$C$7))*100)</f>
        <v/>
      </c>
      <c r="AB1033" s="7" t="n"/>
      <c r="AE1033" s="11" t="n"/>
      <c r="AG1033" s="7">
        <f>IF($C1033="","",U1033*X1033/100)</f>
        <v/>
      </c>
      <c r="AH1033" s="7">
        <f>IF($C1033="","",U1033-AG1033)</f>
        <v/>
      </c>
      <c r="AI1033" s="7">
        <f>IF($C1033="","",AH1033-M1033)</f>
        <v/>
      </c>
      <c r="AJ1033">
        <f>IF($C1033="","",IF(COUNTIF($C$2:$C1033,$C1033)=1,1,0))</f>
        <v/>
      </c>
      <c r="AK1033">
        <f>IF($AJ1033=1,SUMPRODUCT(--($AN$2:$AN$4001&lt;$AN1033))+1,"")</f>
        <v/>
      </c>
      <c r="AL1033">
        <f>IF($C1033="","",IF(OR($Q1033=TRUE(),$Q1033="TRUE"),1,0))</f>
        <v/>
      </c>
      <c r="AM1033">
        <f>IF($C1033="","",IF($W1033="Yes",1,0))</f>
        <v/>
      </c>
      <c r="AN1033">
        <f>IF($AJ1033=1,IFERROR(IF(VALUE($C1033)&lt;100000000,VALUE($C1033),1000000000),IFERROR(IF(VALUE(MID($C1033,2,20))&lt;100000000,VALUE(MID($C1033,2,20)),1000000000),1000000000))+ROW()/100000,"")</f>
        <v/>
      </c>
    </row>
    <row r="1034">
      <c r="E1034" s="11" t="n"/>
      <c r="M1034" s="7">
        <f>IF($C1034="","",L1034*U1034/100)</f>
        <v/>
      </c>
      <c r="N1034" s="7" t="n"/>
      <c r="T1034" s="7" t="n"/>
      <c r="U1034" s="7">
        <f>IF($C1034="","",S1034*T1034)</f>
        <v/>
      </c>
      <c r="X1034">
        <f>IF($C1034="","",IF($AM1034=1,0,IF($AL1034=1,Settings!$C$6,Settings!$C$7))*100)</f>
        <v/>
      </c>
      <c r="AB1034" s="7" t="n"/>
      <c r="AE1034" s="11" t="n"/>
      <c r="AG1034" s="7">
        <f>IF($C1034="","",U1034*X1034/100)</f>
        <v/>
      </c>
      <c r="AH1034" s="7">
        <f>IF($C1034="","",U1034-AG1034)</f>
        <v/>
      </c>
      <c r="AI1034" s="7">
        <f>IF($C1034="","",AH1034-M1034)</f>
        <v/>
      </c>
      <c r="AJ1034">
        <f>IF($C1034="","",IF(COUNTIF($C$2:$C1034,$C1034)=1,1,0))</f>
        <v/>
      </c>
      <c r="AK1034">
        <f>IF($AJ1034=1,SUMPRODUCT(--($AN$2:$AN$4001&lt;$AN1034))+1,"")</f>
        <v/>
      </c>
      <c r="AL1034">
        <f>IF($C1034="","",IF(OR($Q1034=TRUE(),$Q1034="TRUE"),1,0))</f>
        <v/>
      </c>
      <c r="AM1034">
        <f>IF($C1034="","",IF($W1034="Yes",1,0))</f>
        <v/>
      </c>
      <c r="AN1034">
        <f>IF($AJ1034=1,IFERROR(IF(VALUE($C1034)&lt;100000000,VALUE($C1034),1000000000),IFERROR(IF(VALUE(MID($C1034,2,20))&lt;100000000,VALUE(MID($C1034,2,20)),1000000000),1000000000))+ROW()/100000,"")</f>
        <v/>
      </c>
    </row>
    <row r="1035">
      <c r="E1035" s="11" t="n"/>
      <c r="M1035" s="7">
        <f>IF($C1035="","",L1035*U1035/100)</f>
        <v/>
      </c>
      <c r="N1035" s="7" t="n"/>
      <c r="T1035" s="7" t="n"/>
      <c r="U1035" s="7">
        <f>IF($C1035="","",S1035*T1035)</f>
        <v/>
      </c>
      <c r="X1035">
        <f>IF($C1035="","",IF($AM1035=1,0,IF($AL1035=1,Settings!$C$6,Settings!$C$7))*100)</f>
        <v/>
      </c>
      <c r="AB1035" s="7" t="n"/>
      <c r="AE1035" s="11" t="n"/>
      <c r="AG1035" s="7">
        <f>IF($C1035="","",U1035*X1035/100)</f>
        <v/>
      </c>
      <c r="AH1035" s="7">
        <f>IF($C1035="","",U1035-AG1035)</f>
        <v/>
      </c>
      <c r="AI1035" s="7">
        <f>IF($C1035="","",AH1035-M1035)</f>
        <v/>
      </c>
      <c r="AJ1035">
        <f>IF($C1035="","",IF(COUNTIF($C$2:$C1035,$C1035)=1,1,0))</f>
        <v/>
      </c>
      <c r="AK1035">
        <f>IF($AJ1035=1,SUMPRODUCT(--($AN$2:$AN$4001&lt;$AN1035))+1,"")</f>
        <v/>
      </c>
      <c r="AL1035">
        <f>IF($C1035="","",IF(OR($Q1035=TRUE(),$Q1035="TRUE"),1,0))</f>
        <v/>
      </c>
      <c r="AM1035">
        <f>IF($C1035="","",IF($W1035="Yes",1,0))</f>
        <v/>
      </c>
      <c r="AN1035">
        <f>IF($AJ1035=1,IFERROR(IF(VALUE($C1035)&lt;100000000,VALUE($C1035),1000000000),IFERROR(IF(VALUE(MID($C1035,2,20))&lt;100000000,VALUE(MID($C1035,2,20)),1000000000),1000000000))+ROW()/100000,"")</f>
        <v/>
      </c>
    </row>
    <row r="1036">
      <c r="E1036" s="11" t="n"/>
      <c r="M1036" s="7">
        <f>IF($C1036="","",L1036*U1036/100)</f>
        <v/>
      </c>
      <c r="N1036" s="7" t="n"/>
      <c r="T1036" s="7" t="n"/>
      <c r="U1036" s="7">
        <f>IF($C1036="","",S1036*T1036)</f>
        <v/>
      </c>
      <c r="X1036">
        <f>IF($C1036="","",IF($AM1036=1,0,IF($AL1036=1,Settings!$C$6,Settings!$C$7))*100)</f>
        <v/>
      </c>
      <c r="AB1036" s="7" t="n"/>
      <c r="AE1036" s="11" t="n"/>
      <c r="AG1036" s="7">
        <f>IF($C1036="","",U1036*X1036/100)</f>
        <v/>
      </c>
      <c r="AH1036" s="7">
        <f>IF($C1036="","",U1036-AG1036)</f>
        <v/>
      </c>
      <c r="AI1036" s="7">
        <f>IF($C1036="","",AH1036-M1036)</f>
        <v/>
      </c>
      <c r="AJ1036">
        <f>IF($C1036="","",IF(COUNTIF($C$2:$C1036,$C1036)=1,1,0))</f>
        <v/>
      </c>
      <c r="AK1036">
        <f>IF($AJ1036=1,SUMPRODUCT(--($AN$2:$AN$4001&lt;$AN1036))+1,"")</f>
        <v/>
      </c>
      <c r="AL1036">
        <f>IF($C1036="","",IF(OR($Q1036=TRUE(),$Q1036="TRUE"),1,0))</f>
        <v/>
      </c>
      <c r="AM1036">
        <f>IF($C1036="","",IF($W1036="Yes",1,0))</f>
        <v/>
      </c>
      <c r="AN1036">
        <f>IF($AJ1036=1,IFERROR(IF(VALUE($C1036)&lt;100000000,VALUE($C1036),1000000000),IFERROR(IF(VALUE(MID($C1036,2,20))&lt;100000000,VALUE(MID($C1036,2,20)),1000000000),1000000000))+ROW()/100000,"")</f>
        <v/>
      </c>
    </row>
    <row r="1037">
      <c r="E1037" s="11" t="n"/>
      <c r="M1037" s="7">
        <f>IF($C1037="","",L1037*U1037/100)</f>
        <v/>
      </c>
      <c r="N1037" s="7" t="n"/>
      <c r="T1037" s="7" t="n"/>
      <c r="U1037" s="7">
        <f>IF($C1037="","",S1037*T1037)</f>
        <v/>
      </c>
      <c r="X1037">
        <f>IF($C1037="","",IF($AM1037=1,0,IF($AL1037=1,Settings!$C$6,Settings!$C$7))*100)</f>
        <v/>
      </c>
      <c r="AB1037" s="7" t="n"/>
      <c r="AE1037" s="11" t="n"/>
      <c r="AG1037" s="7">
        <f>IF($C1037="","",U1037*X1037/100)</f>
        <v/>
      </c>
      <c r="AH1037" s="7">
        <f>IF($C1037="","",U1037-AG1037)</f>
        <v/>
      </c>
      <c r="AI1037" s="7">
        <f>IF($C1037="","",AH1037-M1037)</f>
        <v/>
      </c>
      <c r="AJ1037">
        <f>IF($C1037="","",IF(COUNTIF($C$2:$C1037,$C1037)=1,1,0))</f>
        <v/>
      </c>
      <c r="AK1037">
        <f>IF($AJ1037=1,SUMPRODUCT(--($AN$2:$AN$4001&lt;$AN1037))+1,"")</f>
        <v/>
      </c>
      <c r="AL1037">
        <f>IF($C1037="","",IF(OR($Q1037=TRUE(),$Q1037="TRUE"),1,0))</f>
        <v/>
      </c>
      <c r="AM1037">
        <f>IF($C1037="","",IF($W1037="Yes",1,0))</f>
        <v/>
      </c>
      <c r="AN1037">
        <f>IF($AJ1037=1,IFERROR(IF(VALUE($C1037)&lt;100000000,VALUE($C1037),1000000000),IFERROR(IF(VALUE(MID($C1037,2,20))&lt;100000000,VALUE(MID($C1037,2,20)),1000000000),1000000000))+ROW()/100000,"")</f>
        <v/>
      </c>
    </row>
    <row r="1038">
      <c r="E1038" s="11" t="n"/>
      <c r="M1038" s="7">
        <f>IF($C1038="","",L1038*U1038/100)</f>
        <v/>
      </c>
      <c r="N1038" s="7" t="n"/>
      <c r="T1038" s="7" t="n"/>
      <c r="U1038" s="7">
        <f>IF($C1038="","",S1038*T1038)</f>
        <v/>
      </c>
      <c r="X1038">
        <f>IF($C1038="","",IF($AM1038=1,0,IF($AL1038=1,Settings!$C$6,Settings!$C$7))*100)</f>
        <v/>
      </c>
      <c r="AB1038" s="7" t="n"/>
      <c r="AE1038" s="11" t="n"/>
      <c r="AG1038" s="7">
        <f>IF($C1038="","",U1038*X1038/100)</f>
        <v/>
      </c>
      <c r="AH1038" s="7">
        <f>IF($C1038="","",U1038-AG1038)</f>
        <v/>
      </c>
      <c r="AI1038" s="7">
        <f>IF($C1038="","",AH1038-M1038)</f>
        <v/>
      </c>
      <c r="AJ1038">
        <f>IF($C1038="","",IF(COUNTIF($C$2:$C1038,$C1038)=1,1,0))</f>
        <v/>
      </c>
      <c r="AK1038">
        <f>IF($AJ1038=1,SUMPRODUCT(--($AN$2:$AN$4001&lt;$AN1038))+1,"")</f>
        <v/>
      </c>
      <c r="AL1038">
        <f>IF($C1038="","",IF(OR($Q1038=TRUE(),$Q1038="TRUE"),1,0))</f>
        <v/>
      </c>
      <c r="AM1038">
        <f>IF($C1038="","",IF($W1038="Yes",1,0))</f>
        <v/>
      </c>
      <c r="AN1038">
        <f>IF($AJ1038=1,IFERROR(IF(VALUE($C1038)&lt;100000000,VALUE($C1038),1000000000),IFERROR(IF(VALUE(MID($C1038,2,20))&lt;100000000,VALUE(MID($C1038,2,20)),1000000000),1000000000))+ROW()/100000,"")</f>
        <v/>
      </c>
    </row>
    <row r="1039">
      <c r="E1039" s="11" t="n"/>
      <c r="M1039" s="7">
        <f>IF($C1039="","",L1039*U1039/100)</f>
        <v/>
      </c>
      <c r="N1039" s="7" t="n"/>
      <c r="T1039" s="7" t="n"/>
      <c r="U1039" s="7">
        <f>IF($C1039="","",S1039*T1039)</f>
        <v/>
      </c>
      <c r="X1039">
        <f>IF($C1039="","",IF($AM1039=1,0,IF($AL1039=1,Settings!$C$6,Settings!$C$7))*100)</f>
        <v/>
      </c>
      <c r="AB1039" s="7" t="n"/>
      <c r="AE1039" s="11" t="n"/>
      <c r="AG1039" s="7">
        <f>IF($C1039="","",U1039*X1039/100)</f>
        <v/>
      </c>
      <c r="AH1039" s="7">
        <f>IF($C1039="","",U1039-AG1039)</f>
        <v/>
      </c>
      <c r="AI1039" s="7">
        <f>IF($C1039="","",AH1039-M1039)</f>
        <v/>
      </c>
      <c r="AJ1039">
        <f>IF($C1039="","",IF(COUNTIF($C$2:$C1039,$C1039)=1,1,0))</f>
        <v/>
      </c>
      <c r="AK1039">
        <f>IF($AJ1039=1,SUMPRODUCT(--($AN$2:$AN$4001&lt;$AN1039))+1,"")</f>
        <v/>
      </c>
      <c r="AL1039">
        <f>IF($C1039="","",IF(OR($Q1039=TRUE(),$Q1039="TRUE"),1,0))</f>
        <v/>
      </c>
      <c r="AM1039">
        <f>IF($C1039="","",IF($W1039="Yes",1,0))</f>
        <v/>
      </c>
      <c r="AN1039">
        <f>IF($AJ1039=1,IFERROR(IF(VALUE($C1039)&lt;100000000,VALUE($C1039),1000000000),IFERROR(IF(VALUE(MID($C1039,2,20))&lt;100000000,VALUE(MID($C1039,2,20)),1000000000),1000000000))+ROW()/100000,"")</f>
        <v/>
      </c>
    </row>
    <row r="1040">
      <c r="E1040" s="11" t="n"/>
      <c r="M1040" s="7">
        <f>IF($C1040="","",L1040*U1040/100)</f>
        <v/>
      </c>
      <c r="N1040" s="7" t="n"/>
      <c r="T1040" s="7" t="n"/>
      <c r="U1040" s="7">
        <f>IF($C1040="","",S1040*T1040)</f>
        <v/>
      </c>
      <c r="X1040">
        <f>IF($C1040="","",IF($AM1040=1,0,IF($AL1040=1,Settings!$C$6,Settings!$C$7))*100)</f>
        <v/>
      </c>
      <c r="AB1040" s="7" t="n"/>
      <c r="AE1040" s="11" t="n"/>
      <c r="AG1040" s="7">
        <f>IF($C1040="","",U1040*X1040/100)</f>
        <v/>
      </c>
      <c r="AH1040" s="7">
        <f>IF($C1040="","",U1040-AG1040)</f>
        <v/>
      </c>
      <c r="AI1040" s="7">
        <f>IF($C1040="","",AH1040-M1040)</f>
        <v/>
      </c>
      <c r="AJ1040">
        <f>IF($C1040="","",IF(COUNTIF($C$2:$C1040,$C1040)=1,1,0))</f>
        <v/>
      </c>
      <c r="AK1040">
        <f>IF($AJ1040=1,SUMPRODUCT(--($AN$2:$AN$4001&lt;$AN1040))+1,"")</f>
        <v/>
      </c>
      <c r="AL1040">
        <f>IF($C1040="","",IF(OR($Q1040=TRUE(),$Q1040="TRUE"),1,0))</f>
        <v/>
      </c>
      <c r="AM1040">
        <f>IF($C1040="","",IF($W1040="Yes",1,0))</f>
        <v/>
      </c>
      <c r="AN1040">
        <f>IF($AJ1040=1,IFERROR(IF(VALUE($C1040)&lt;100000000,VALUE($C1040),1000000000),IFERROR(IF(VALUE(MID($C1040,2,20))&lt;100000000,VALUE(MID($C1040,2,20)),1000000000),1000000000))+ROW()/100000,"")</f>
        <v/>
      </c>
    </row>
    <row r="1041">
      <c r="E1041" s="11" t="n"/>
      <c r="M1041" s="7">
        <f>IF($C1041="","",L1041*U1041/100)</f>
        <v/>
      </c>
      <c r="N1041" s="7" t="n"/>
      <c r="T1041" s="7" t="n"/>
      <c r="U1041" s="7">
        <f>IF($C1041="","",S1041*T1041)</f>
        <v/>
      </c>
      <c r="X1041">
        <f>IF($C1041="","",IF($AM1041=1,0,IF($AL1041=1,Settings!$C$6,Settings!$C$7))*100)</f>
        <v/>
      </c>
      <c r="AB1041" s="7" t="n"/>
      <c r="AE1041" s="11" t="n"/>
      <c r="AG1041" s="7">
        <f>IF($C1041="","",U1041*X1041/100)</f>
        <v/>
      </c>
      <c r="AH1041" s="7">
        <f>IF($C1041="","",U1041-AG1041)</f>
        <v/>
      </c>
      <c r="AI1041" s="7">
        <f>IF($C1041="","",AH1041-M1041)</f>
        <v/>
      </c>
      <c r="AJ1041">
        <f>IF($C1041="","",IF(COUNTIF($C$2:$C1041,$C1041)=1,1,0))</f>
        <v/>
      </c>
      <c r="AK1041">
        <f>IF($AJ1041=1,SUMPRODUCT(--($AN$2:$AN$4001&lt;$AN1041))+1,"")</f>
        <v/>
      </c>
      <c r="AL1041">
        <f>IF($C1041="","",IF(OR($Q1041=TRUE(),$Q1041="TRUE"),1,0))</f>
        <v/>
      </c>
      <c r="AM1041">
        <f>IF($C1041="","",IF($W1041="Yes",1,0))</f>
        <v/>
      </c>
      <c r="AN1041">
        <f>IF($AJ1041=1,IFERROR(IF(VALUE($C1041)&lt;100000000,VALUE($C1041),1000000000),IFERROR(IF(VALUE(MID($C1041,2,20))&lt;100000000,VALUE(MID($C1041,2,20)),1000000000),1000000000))+ROW()/100000,"")</f>
        <v/>
      </c>
    </row>
    <row r="1042">
      <c r="E1042" s="11" t="n"/>
      <c r="M1042" s="7">
        <f>IF($C1042="","",L1042*U1042/100)</f>
        <v/>
      </c>
      <c r="N1042" s="7" t="n"/>
      <c r="T1042" s="7" t="n"/>
      <c r="U1042" s="7">
        <f>IF($C1042="","",S1042*T1042)</f>
        <v/>
      </c>
      <c r="X1042">
        <f>IF($C1042="","",IF($AM1042=1,0,IF($AL1042=1,Settings!$C$6,Settings!$C$7))*100)</f>
        <v/>
      </c>
      <c r="AB1042" s="7" t="n"/>
      <c r="AE1042" s="11" t="n"/>
      <c r="AG1042" s="7">
        <f>IF($C1042="","",U1042*X1042/100)</f>
        <v/>
      </c>
      <c r="AH1042" s="7">
        <f>IF($C1042="","",U1042-AG1042)</f>
        <v/>
      </c>
      <c r="AI1042" s="7">
        <f>IF($C1042="","",AH1042-M1042)</f>
        <v/>
      </c>
      <c r="AJ1042">
        <f>IF($C1042="","",IF(COUNTIF($C$2:$C1042,$C1042)=1,1,0))</f>
        <v/>
      </c>
      <c r="AK1042">
        <f>IF($AJ1042=1,SUMPRODUCT(--($AN$2:$AN$4001&lt;$AN1042))+1,"")</f>
        <v/>
      </c>
      <c r="AL1042">
        <f>IF($C1042="","",IF(OR($Q1042=TRUE(),$Q1042="TRUE"),1,0))</f>
        <v/>
      </c>
      <c r="AM1042">
        <f>IF($C1042="","",IF($W1042="Yes",1,0))</f>
        <v/>
      </c>
      <c r="AN1042">
        <f>IF($AJ1042=1,IFERROR(IF(VALUE($C1042)&lt;100000000,VALUE($C1042),1000000000),IFERROR(IF(VALUE(MID($C1042,2,20))&lt;100000000,VALUE(MID($C1042,2,20)),1000000000),1000000000))+ROW()/100000,"")</f>
        <v/>
      </c>
    </row>
    <row r="1043">
      <c r="E1043" s="11" t="n"/>
      <c r="M1043" s="7">
        <f>IF($C1043="","",L1043*U1043/100)</f>
        <v/>
      </c>
      <c r="N1043" s="7" t="n"/>
      <c r="T1043" s="7" t="n"/>
      <c r="U1043" s="7">
        <f>IF($C1043="","",S1043*T1043)</f>
        <v/>
      </c>
      <c r="X1043">
        <f>IF($C1043="","",IF($AM1043=1,0,IF($AL1043=1,Settings!$C$6,Settings!$C$7))*100)</f>
        <v/>
      </c>
      <c r="AB1043" s="7" t="n"/>
      <c r="AE1043" s="11" t="n"/>
      <c r="AG1043" s="7">
        <f>IF($C1043="","",U1043*X1043/100)</f>
        <v/>
      </c>
      <c r="AH1043" s="7">
        <f>IF($C1043="","",U1043-AG1043)</f>
        <v/>
      </c>
      <c r="AI1043" s="7">
        <f>IF($C1043="","",AH1043-M1043)</f>
        <v/>
      </c>
      <c r="AJ1043">
        <f>IF($C1043="","",IF(COUNTIF($C$2:$C1043,$C1043)=1,1,0))</f>
        <v/>
      </c>
      <c r="AK1043">
        <f>IF($AJ1043=1,SUMPRODUCT(--($AN$2:$AN$4001&lt;$AN1043))+1,"")</f>
        <v/>
      </c>
      <c r="AL1043">
        <f>IF($C1043="","",IF(OR($Q1043=TRUE(),$Q1043="TRUE"),1,0))</f>
        <v/>
      </c>
      <c r="AM1043">
        <f>IF($C1043="","",IF($W1043="Yes",1,0))</f>
        <v/>
      </c>
      <c r="AN1043">
        <f>IF($AJ1043=1,IFERROR(IF(VALUE($C1043)&lt;100000000,VALUE($C1043),1000000000),IFERROR(IF(VALUE(MID($C1043,2,20))&lt;100000000,VALUE(MID($C1043,2,20)),1000000000),1000000000))+ROW()/100000,"")</f>
        <v/>
      </c>
    </row>
    <row r="1044">
      <c r="E1044" s="11" t="n"/>
      <c r="M1044" s="7">
        <f>IF($C1044="","",L1044*U1044/100)</f>
        <v/>
      </c>
      <c r="N1044" s="7" t="n"/>
      <c r="T1044" s="7" t="n"/>
      <c r="U1044" s="7">
        <f>IF($C1044="","",S1044*T1044)</f>
        <v/>
      </c>
      <c r="X1044">
        <f>IF($C1044="","",IF($AM1044=1,0,IF($AL1044=1,Settings!$C$6,Settings!$C$7))*100)</f>
        <v/>
      </c>
      <c r="AB1044" s="7" t="n"/>
      <c r="AE1044" s="11" t="n"/>
      <c r="AG1044" s="7">
        <f>IF($C1044="","",U1044*X1044/100)</f>
        <v/>
      </c>
      <c r="AH1044" s="7">
        <f>IF($C1044="","",U1044-AG1044)</f>
        <v/>
      </c>
      <c r="AI1044" s="7">
        <f>IF($C1044="","",AH1044-M1044)</f>
        <v/>
      </c>
      <c r="AJ1044">
        <f>IF($C1044="","",IF(COUNTIF($C$2:$C1044,$C1044)=1,1,0))</f>
        <v/>
      </c>
      <c r="AK1044">
        <f>IF($AJ1044=1,SUMPRODUCT(--($AN$2:$AN$4001&lt;$AN1044))+1,"")</f>
        <v/>
      </c>
      <c r="AL1044">
        <f>IF($C1044="","",IF(OR($Q1044=TRUE(),$Q1044="TRUE"),1,0))</f>
        <v/>
      </c>
      <c r="AM1044">
        <f>IF($C1044="","",IF($W1044="Yes",1,0))</f>
        <v/>
      </c>
      <c r="AN1044">
        <f>IF($AJ1044=1,IFERROR(IF(VALUE($C1044)&lt;100000000,VALUE($C1044),1000000000),IFERROR(IF(VALUE(MID($C1044,2,20))&lt;100000000,VALUE(MID($C1044,2,20)),1000000000),1000000000))+ROW()/100000,"")</f>
        <v/>
      </c>
    </row>
    <row r="1045">
      <c r="E1045" s="11" t="n"/>
      <c r="M1045" s="7">
        <f>IF($C1045="","",L1045*U1045/100)</f>
        <v/>
      </c>
      <c r="N1045" s="7" t="n"/>
      <c r="T1045" s="7" t="n"/>
      <c r="U1045" s="7">
        <f>IF($C1045="","",S1045*T1045)</f>
        <v/>
      </c>
      <c r="X1045">
        <f>IF($C1045="","",IF($AM1045=1,0,IF($AL1045=1,Settings!$C$6,Settings!$C$7))*100)</f>
        <v/>
      </c>
      <c r="AB1045" s="7" t="n"/>
      <c r="AE1045" s="11" t="n"/>
      <c r="AG1045" s="7">
        <f>IF($C1045="","",U1045*X1045/100)</f>
        <v/>
      </c>
      <c r="AH1045" s="7">
        <f>IF($C1045="","",U1045-AG1045)</f>
        <v/>
      </c>
      <c r="AI1045" s="7">
        <f>IF($C1045="","",AH1045-M1045)</f>
        <v/>
      </c>
      <c r="AJ1045">
        <f>IF($C1045="","",IF(COUNTIF($C$2:$C1045,$C1045)=1,1,0))</f>
        <v/>
      </c>
      <c r="AK1045">
        <f>IF($AJ1045=1,SUMPRODUCT(--($AN$2:$AN$4001&lt;$AN1045))+1,"")</f>
        <v/>
      </c>
      <c r="AL1045">
        <f>IF($C1045="","",IF(OR($Q1045=TRUE(),$Q1045="TRUE"),1,0))</f>
        <v/>
      </c>
      <c r="AM1045">
        <f>IF($C1045="","",IF($W1045="Yes",1,0))</f>
        <v/>
      </c>
      <c r="AN1045">
        <f>IF($AJ1045=1,IFERROR(IF(VALUE($C1045)&lt;100000000,VALUE($C1045),1000000000),IFERROR(IF(VALUE(MID($C1045,2,20))&lt;100000000,VALUE(MID($C1045,2,20)),1000000000),1000000000))+ROW()/100000,"")</f>
        <v/>
      </c>
    </row>
    <row r="1046">
      <c r="E1046" s="11" t="n"/>
      <c r="M1046" s="7">
        <f>IF($C1046="","",L1046*U1046/100)</f>
        <v/>
      </c>
      <c r="N1046" s="7" t="n"/>
      <c r="T1046" s="7" t="n"/>
      <c r="U1046" s="7">
        <f>IF($C1046="","",S1046*T1046)</f>
        <v/>
      </c>
      <c r="X1046">
        <f>IF($C1046="","",IF($AM1046=1,0,IF($AL1046=1,Settings!$C$6,Settings!$C$7))*100)</f>
        <v/>
      </c>
      <c r="AB1046" s="7" t="n"/>
      <c r="AE1046" s="11" t="n"/>
      <c r="AG1046" s="7">
        <f>IF($C1046="","",U1046*X1046/100)</f>
        <v/>
      </c>
      <c r="AH1046" s="7">
        <f>IF($C1046="","",U1046-AG1046)</f>
        <v/>
      </c>
      <c r="AI1046" s="7">
        <f>IF($C1046="","",AH1046-M1046)</f>
        <v/>
      </c>
      <c r="AJ1046">
        <f>IF($C1046="","",IF(COUNTIF($C$2:$C1046,$C1046)=1,1,0))</f>
        <v/>
      </c>
      <c r="AK1046">
        <f>IF($AJ1046=1,SUMPRODUCT(--($AN$2:$AN$4001&lt;$AN1046))+1,"")</f>
        <v/>
      </c>
      <c r="AL1046">
        <f>IF($C1046="","",IF(OR($Q1046=TRUE(),$Q1046="TRUE"),1,0))</f>
        <v/>
      </c>
      <c r="AM1046">
        <f>IF($C1046="","",IF($W1046="Yes",1,0))</f>
        <v/>
      </c>
      <c r="AN1046">
        <f>IF($AJ1046=1,IFERROR(IF(VALUE($C1046)&lt;100000000,VALUE($C1046),1000000000),IFERROR(IF(VALUE(MID($C1046,2,20))&lt;100000000,VALUE(MID($C1046,2,20)),1000000000),1000000000))+ROW()/100000,"")</f>
        <v/>
      </c>
    </row>
    <row r="1047">
      <c r="E1047" s="11" t="n"/>
      <c r="M1047" s="7">
        <f>IF($C1047="","",L1047*U1047/100)</f>
        <v/>
      </c>
      <c r="N1047" s="7" t="n"/>
      <c r="T1047" s="7" t="n"/>
      <c r="U1047" s="7">
        <f>IF($C1047="","",S1047*T1047)</f>
        <v/>
      </c>
      <c r="X1047">
        <f>IF($C1047="","",IF($AM1047=1,0,IF($AL1047=1,Settings!$C$6,Settings!$C$7))*100)</f>
        <v/>
      </c>
      <c r="AB1047" s="7" t="n"/>
      <c r="AE1047" s="11" t="n"/>
      <c r="AG1047" s="7">
        <f>IF($C1047="","",U1047*X1047/100)</f>
        <v/>
      </c>
      <c r="AH1047" s="7">
        <f>IF($C1047="","",U1047-AG1047)</f>
        <v/>
      </c>
      <c r="AI1047" s="7">
        <f>IF($C1047="","",AH1047-M1047)</f>
        <v/>
      </c>
      <c r="AJ1047">
        <f>IF($C1047="","",IF(COUNTIF($C$2:$C1047,$C1047)=1,1,0))</f>
        <v/>
      </c>
      <c r="AK1047">
        <f>IF($AJ1047=1,SUMPRODUCT(--($AN$2:$AN$4001&lt;$AN1047))+1,"")</f>
        <v/>
      </c>
      <c r="AL1047">
        <f>IF($C1047="","",IF(OR($Q1047=TRUE(),$Q1047="TRUE"),1,0))</f>
        <v/>
      </c>
      <c r="AM1047">
        <f>IF($C1047="","",IF($W1047="Yes",1,0))</f>
        <v/>
      </c>
      <c r="AN1047">
        <f>IF($AJ1047=1,IFERROR(IF(VALUE($C1047)&lt;100000000,VALUE($C1047),1000000000),IFERROR(IF(VALUE(MID($C1047,2,20))&lt;100000000,VALUE(MID($C1047,2,20)),1000000000),1000000000))+ROW()/100000,"")</f>
        <v/>
      </c>
    </row>
    <row r="1048">
      <c r="E1048" s="11" t="n"/>
      <c r="M1048" s="7">
        <f>IF($C1048="","",L1048*U1048/100)</f>
        <v/>
      </c>
      <c r="N1048" s="7" t="n"/>
      <c r="T1048" s="7" t="n"/>
      <c r="U1048" s="7">
        <f>IF($C1048="","",S1048*T1048)</f>
        <v/>
      </c>
      <c r="X1048">
        <f>IF($C1048="","",IF($AM1048=1,0,IF($AL1048=1,Settings!$C$6,Settings!$C$7))*100)</f>
        <v/>
      </c>
      <c r="AB1048" s="7" t="n"/>
      <c r="AE1048" s="11" t="n"/>
      <c r="AG1048" s="7">
        <f>IF($C1048="","",U1048*X1048/100)</f>
        <v/>
      </c>
      <c r="AH1048" s="7">
        <f>IF($C1048="","",U1048-AG1048)</f>
        <v/>
      </c>
      <c r="AI1048" s="7">
        <f>IF($C1048="","",AH1048-M1048)</f>
        <v/>
      </c>
      <c r="AJ1048">
        <f>IF($C1048="","",IF(COUNTIF($C$2:$C1048,$C1048)=1,1,0))</f>
        <v/>
      </c>
      <c r="AK1048">
        <f>IF($AJ1048=1,SUMPRODUCT(--($AN$2:$AN$4001&lt;$AN1048))+1,"")</f>
        <v/>
      </c>
      <c r="AL1048">
        <f>IF($C1048="","",IF(OR($Q1048=TRUE(),$Q1048="TRUE"),1,0))</f>
        <v/>
      </c>
      <c r="AM1048">
        <f>IF($C1048="","",IF($W1048="Yes",1,0))</f>
        <v/>
      </c>
      <c r="AN1048">
        <f>IF($AJ1048=1,IFERROR(IF(VALUE($C1048)&lt;100000000,VALUE($C1048),1000000000),IFERROR(IF(VALUE(MID($C1048,2,20))&lt;100000000,VALUE(MID($C1048,2,20)),1000000000),1000000000))+ROW()/100000,"")</f>
        <v/>
      </c>
    </row>
    <row r="1049">
      <c r="E1049" s="11" t="n"/>
      <c r="M1049" s="7">
        <f>IF($C1049="","",L1049*U1049/100)</f>
        <v/>
      </c>
      <c r="N1049" s="7" t="n"/>
      <c r="T1049" s="7" t="n"/>
      <c r="U1049" s="7">
        <f>IF($C1049="","",S1049*T1049)</f>
        <v/>
      </c>
      <c r="X1049">
        <f>IF($C1049="","",IF($AM1049=1,0,IF($AL1049=1,Settings!$C$6,Settings!$C$7))*100)</f>
        <v/>
      </c>
      <c r="AB1049" s="7" t="n"/>
      <c r="AE1049" s="11" t="n"/>
      <c r="AG1049" s="7">
        <f>IF($C1049="","",U1049*X1049/100)</f>
        <v/>
      </c>
      <c r="AH1049" s="7">
        <f>IF($C1049="","",U1049-AG1049)</f>
        <v/>
      </c>
      <c r="AI1049" s="7">
        <f>IF($C1049="","",AH1049-M1049)</f>
        <v/>
      </c>
      <c r="AJ1049">
        <f>IF($C1049="","",IF(COUNTIF($C$2:$C1049,$C1049)=1,1,0))</f>
        <v/>
      </c>
      <c r="AK1049">
        <f>IF($AJ1049=1,SUMPRODUCT(--($AN$2:$AN$4001&lt;$AN1049))+1,"")</f>
        <v/>
      </c>
      <c r="AL1049">
        <f>IF($C1049="","",IF(OR($Q1049=TRUE(),$Q1049="TRUE"),1,0))</f>
        <v/>
      </c>
      <c r="AM1049">
        <f>IF($C1049="","",IF($W1049="Yes",1,0))</f>
        <v/>
      </c>
      <c r="AN1049">
        <f>IF($AJ1049=1,IFERROR(IF(VALUE($C1049)&lt;100000000,VALUE($C1049),1000000000),IFERROR(IF(VALUE(MID($C1049,2,20))&lt;100000000,VALUE(MID($C1049,2,20)),1000000000),1000000000))+ROW()/100000,"")</f>
        <v/>
      </c>
    </row>
    <row r="1050">
      <c r="E1050" s="11" t="n"/>
      <c r="M1050" s="7">
        <f>IF($C1050="","",L1050*U1050/100)</f>
        <v/>
      </c>
      <c r="N1050" s="7" t="n"/>
      <c r="T1050" s="7" t="n"/>
      <c r="U1050" s="7">
        <f>IF($C1050="","",S1050*T1050)</f>
        <v/>
      </c>
      <c r="X1050">
        <f>IF($C1050="","",IF($AM1050=1,0,IF($AL1050=1,Settings!$C$6,Settings!$C$7))*100)</f>
        <v/>
      </c>
      <c r="AB1050" s="7" t="n"/>
      <c r="AE1050" s="11" t="n"/>
      <c r="AG1050" s="7">
        <f>IF($C1050="","",U1050*X1050/100)</f>
        <v/>
      </c>
      <c r="AH1050" s="7">
        <f>IF($C1050="","",U1050-AG1050)</f>
        <v/>
      </c>
      <c r="AI1050" s="7">
        <f>IF($C1050="","",AH1050-M1050)</f>
        <v/>
      </c>
      <c r="AJ1050">
        <f>IF($C1050="","",IF(COUNTIF($C$2:$C1050,$C1050)=1,1,0))</f>
        <v/>
      </c>
      <c r="AK1050">
        <f>IF($AJ1050=1,SUMPRODUCT(--($AN$2:$AN$4001&lt;$AN1050))+1,"")</f>
        <v/>
      </c>
      <c r="AL1050">
        <f>IF($C1050="","",IF(OR($Q1050=TRUE(),$Q1050="TRUE"),1,0))</f>
        <v/>
      </c>
      <c r="AM1050">
        <f>IF($C1050="","",IF($W1050="Yes",1,0))</f>
        <v/>
      </c>
      <c r="AN1050">
        <f>IF($AJ1050=1,IFERROR(IF(VALUE($C1050)&lt;100000000,VALUE($C1050),1000000000),IFERROR(IF(VALUE(MID($C1050,2,20))&lt;100000000,VALUE(MID($C1050,2,20)),1000000000),1000000000))+ROW()/100000,"")</f>
        <v/>
      </c>
    </row>
    <row r="1051">
      <c r="E1051" s="11" t="n"/>
      <c r="M1051" s="7">
        <f>IF($C1051="","",L1051*U1051/100)</f>
        <v/>
      </c>
      <c r="N1051" s="7" t="n"/>
      <c r="T1051" s="7" t="n"/>
      <c r="U1051" s="7">
        <f>IF($C1051="","",S1051*T1051)</f>
        <v/>
      </c>
      <c r="X1051">
        <f>IF($C1051="","",IF($AM1051=1,0,IF($AL1051=1,Settings!$C$6,Settings!$C$7))*100)</f>
        <v/>
      </c>
      <c r="AB1051" s="7" t="n"/>
      <c r="AE1051" s="11" t="n"/>
      <c r="AG1051" s="7">
        <f>IF($C1051="","",U1051*X1051/100)</f>
        <v/>
      </c>
      <c r="AH1051" s="7">
        <f>IF($C1051="","",U1051-AG1051)</f>
        <v/>
      </c>
      <c r="AI1051" s="7">
        <f>IF($C1051="","",AH1051-M1051)</f>
        <v/>
      </c>
      <c r="AJ1051">
        <f>IF($C1051="","",IF(COUNTIF($C$2:$C1051,$C1051)=1,1,0))</f>
        <v/>
      </c>
      <c r="AK1051">
        <f>IF($AJ1051=1,SUMPRODUCT(--($AN$2:$AN$4001&lt;$AN1051))+1,"")</f>
        <v/>
      </c>
      <c r="AL1051">
        <f>IF($C1051="","",IF(OR($Q1051=TRUE(),$Q1051="TRUE"),1,0))</f>
        <v/>
      </c>
      <c r="AM1051">
        <f>IF($C1051="","",IF($W1051="Yes",1,0))</f>
        <v/>
      </c>
      <c r="AN1051">
        <f>IF($AJ1051=1,IFERROR(IF(VALUE($C1051)&lt;100000000,VALUE($C1051),1000000000),IFERROR(IF(VALUE(MID($C1051,2,20))&lt;100000000,VALUE(MID($C1051,2,20)),1000000000),1000000000))+ROW()/100000,"")</f>
        <v/>
      </c>
    </row>
    <row r="1052">
      <c r="E1052" s="11" t="n"/>
      <c r="M1052" s="7">
        <f>IF($C1052="","",L1052*U1052/100)</f>
        <v/>
      </c>
      <c r="N1052" s="7" t="n"/>
      <c r="T1052" s="7" t="n"/>
      <c r="U1052" s="7">
        <f>IF($C1052="","",S1052*T1052)</f>
        <v/>
      </c>
      <c r="X1052">
        <f>IF($C1052="","",IF($AM1052=1,0,IF($AL1052=1,Settings!$C$6,Settings!$C$7))*100)</f>
        <v/>
      </c>
      <c r="AB1052" s="7" t="n"/>
      <c r="AE1052" s="11" t="n"/>
      <c r="AG1052" s="7">
        <f>IF($C1052="","",U1052*X1052/100)</f>
        <v/>
      </c>
      <c r="AH1052" s="7">
        <f>IF($C1052="","",U1052-AG1052)</f>
        <v/>
      </c>
      <c r="AI1052" s="7">
        <f>IF($C1052="","",AH1052-M1052)</f>
        <v/>
      </c>
      <c r="AJ1052">
        <f>IF($C1052="","",IF(COUNTIF($C$2:$C1052,$C1052)=1,1,0))</f>
        <v/>
      </c>
      <c r="AK1052">
        <f>IF($AJ1052=1,SUMPRODUCT(--($AN$2:$AN$4001&lt;$AN1052))+1,"")</f>
        <v/>
      </c>
      <c r="AL1052">
        <f>IF($C1052="","",IF(OR($Q1052=TRUE(),$Q1052="TRUE"),1,0))</f>
        <v/>
      </c>
      <c r="AM1052">
        <f>IF($C1052="","",IF($W1052="Yes",1,0))</f>
        <v/>
      </c>
      <c r="AN1052">
        <f>IF($AJ1052=1,IFERROR(IF(VALUE($C1052)&lt;100000000,VALUE($C1052),1000000000),IFERROR(IF(VALUE(MID($C1052,2,20))&lt;100000000,VALUE(MID($C1052,2,20)),1000000000),1000000000))+ROW()/100000,"")</f>
        <v/>
      </c>
    </row>
    <row r="1053">
      <c r="E1053" s="11" t="n"/>
      <c r="M1053" s="7">
        <f>IF($C1053="","",L1053*U1053/100)</f>
        <v/>
      </c>
      <c r="N1053" s="7" t="n"/>
      <c r="T1053" s="7" t="n"/>
      <c r="U1053" s="7">
        <f>IF($C1053="","",S1053*T1053)</f>
        <v/>
      </c>
      <c r="X1053">
        <f>IF($C1053="","",IF($AM1053=1,0,IF($AL1053=1,Settings!$C$6,Settings!$C$7))*100)</f>
        <v/>
      </c>
      <c r="AB1053" s="7" t="n"/>
      <c r="AE1053" s="11" t="n"/>
      <c r="AG1053" s="7">
        <f>IF($C1053="","",U1053*X1053/100)</f>
        <v/>
      </c>
      <c r="AH1053" s="7">
        <f>IF($C1053="","",U1053-AG1053)</f>
        <v/>
      </c>
      <c r="AI1053" s="7">
        <f>IF($C1053="","",AH1053-M1053)</f>
        <v/>
      </c>
      <c r="AJ1053">
        <f>IF($C1053="","",IF(COUNTIF($C$2:$C1053,$C1053)=1,1,0))</f>
        <v/>
      </c>
      <c r="AK1053">
        <f>IF($AJ1053=1,SUMPRODUCT(--($AN$2:$AN$4001&lt;$AN1053))+1,"")</f>
        <v/>
      </c>
      <c r="AL1053">
        <f>IF($C1053="","",IF(OR($Q1053=TRUE(),$Q1053="TRUE"),1,0))</f>
        <v/>
      </c>
      <c r="AM1053">
        <f>IF($C1053="","",IF($W1053="Yes",1,0))</f>
        <v/>
      </c>
      <c r="AN1053">
        <f>IF($AJ1053=1,IFERROR(IF(VALUE($C1053)&lt;100000000,VALUE($C1053),1000000000),IFERROR(IF(VALUE(MID($C1053,2,20))&lt;100000000,VALUE(MID($C1053,2,20)),1000000000),1000000000))+ROW()/100000,"")</f>
        <v/>
      </c>
    </row>
    <row r="1054">
      <c r="E1054" s="11" t="n"/>
      <c r="M1054" s="7">
        <f>IF($C1054="","",L1054*U1054/100)</f>
        <v/>
      </c>
      <c r="N1054" s="7" t="n"/>
      <c r="T1054" s="7" t="n"/>
      <c r="U1054" s="7">
        <f>IF($C1054="","",S1054*T1054)</f>
        <v/>
      </c>
      <c r="X1054">
        <f>IF($C1054="","",IF($AM1054=1,0,IF($AL1054=1,Settings!$C$6,Settings!$C$7))*100)</f>
        <v/>
      </c>
      <c r="AB1054" s="7" t="n"/>
      <c r="AE1054" s="11" t="n"/>
      <c r="AG1054" s="7">
        <f>IF($C1054="","",U1054*X1054/100)</f>
        <v/>
      </c>
      <c r="AH1054" s="7">
        <f>IF($C1054="","",U1054-AG1054)</f>
        <v/>
      </c>
      <c r="AI1054" s="7">
        <f>IF($C1054="","",AH1054-M1054)</f>
        <v/>
      </c>
      <c r="AJ1054">
        <f>IF($C1054="","",IF(COUNTIF($C$2:$C1054,$C1054)=1,1,0))</f>
        <v/>
      </c>
      <c r="AK1054">
        <f>IF($AJ1054=1,SUMPRODUCT(--($AN$2:$AN$4001&lt;$AN1054))+1,"")</f>
        <v/>
      </c>
      <c r="AL1054">
        <f>IF($C1054="","",IF(OR($Q1054=TRUE(),$Q1054="TRUE"),1,0))</f>
        <v/>
      </c>
      <c r="AM1054">
        <f>IF($C1054="","",IF($W1054="Yes",1,0))</f>
        <v/>
      </c>
      <c r="AN1054">
        <f>IF($AJ1054=1,IFERROR(IF(VALUE($C1054)&lt;100000000,VALUE($C1054),1000000000),IFERROR(IF(VALUE(MID($C1054,2,20))&lt;100000000,VALUE(MID($C1054,2,20)),1000000000),1000000000))+ROW()/100000,"")</f>
        <v/>
      </c>
    </row>
    <row r="1055">
      <c r="E1055" s="11" t="n"/>
      <c r="M1055" s="7">
        <f>IF($C1055="","",L1055*U1055/100)</f>
        <v/>
      </c>
      <c r="N1055" s="7" t="n"/>
      <c r="T1055" s="7" t="n"/>
      <c r="U1055" s="7">
        <f>IF($C1055="","",S1055*T1055)</f>
        <v/>
      </c>
      <c r="X1055">
        <f>IF($C1055="","",IF($AM1055=1,0,IF($AL1055=1,Settings!$C$6,Settings!$C$7))*100)</f>
        <v/>
      </c>
      <c r="AB1055" s="7" t="n"/>
      <c r="AE1055" s="11" t="n"/>
      <c r="AG1055" s="7">
        <f>IF($C1055="","",U1055*X1055/100)</f>
        <v/>
      </c>
      <c r="AH1055" s="7">
        <f>IF($C1055="","",U1055-AG1055)</f>
        <v/>
      </c>
      <c r="AI1055" s="7">
        <f>IF($C1055="","",AH1055-M1055)</f>
        <v/>
      </c>
      <c r="AJ1055">
        <f>IF($C1055="","",IF(COUNTIF($C$2:$C1055,$C1055)=1,1,0))</f>
        <v/>
      </c>
      <c r="AK1055">
        <f>IF($AJ1055=1,SUMPRODUCT(--($AN$2:$AN$4001&lt;$AN1055))+1,"")</f>
        <v/>
      </c>
      <c r="AL1055">
        <f>IF($C1055="","",IF(OR($Q1055=TRUE(),$Q1055="TRUE"),1,0))</f>
        <v/>
      </c>
      <c r="AM1055">
        <f>IF($C1055="","",IF($W1055="Yes",1,0))</f>
        <v/>
      </c>
      <c r="AN1055">
        <f>IF($AJ1055=1,IFERROR(IF(VALUE($C1055)&lt;100000000,VALUE($C1055),1000000000),IFERROR(IF(VALUE(MID($C1055,2,20))&lt;100000000,VALUE(MID($C1055,2,20)),1000000000),1000000000))+ROW()/100000,"")</f>
        <v/>
      </c>
    </row>
    <row r="1056">
      <c r="E1056" s="11" t="n"/>
      <c r="M1056" s="7">
        <f>IF($C1056="","",L1056*U1056/100)</f>
        <v/>
      </c>
      <c r="N1056" s="7" t="n"/>
      <c r="T1056" s="7" t="n"/>
      <c r="U1056" s="7">
        <f>IF($C1056="","",S1056*T1056)</f>
        <v/>
      </c>
      <c r="X1056">
        <f>IF($C1056="","",IF($AM1056=1,0,IF($AL1056=1,Settings!$C$6,Settings!$C$7))*100)</f>
        <v/>
      </c>
      <c r="AB1056" s="7" t="n"/>
      <c r="AE1056" s="11" t="n"/>
      <c r="AG1056" s="7">
        <f>IF($C1056="","",U1056*X1056/100)</f>
        <v/>
      </c>
      <c r="AH1056" s="7">
        <f>IF($C1056="","",U1056-AG1056)</f>
        <v/>
      </c>
      <c r="AI1056" s="7">
        <f>IF($C1056="","",AH1056-M1056)</f>
        <v/>
      </c>
      <c r="AJ1056">
        <f>IF($C1056="","",IF(COUNTIF($C$2:$C1056,$C1056)=1,1,0))</f>
        <v/>
      </c>
      <c r="AK1056">
        <f>IF($AJ1056=1,SUMPRODUCT(--($AN$2:$AN$4001&lt;$AN1056))+1,"")</f>
        <v/>
      </c>
      <c r="AL1056">
        <f>IF($C1056="","",IF(OR($Q1056=TRUE(),$Q1056="TRUE"),1,0))</f>
        <v/>
      </c>
      <c r="AM1056">
        <f>IF($C1056="","",IF($W1056="Yes",1,0))</f>
        <v/>
      </c>
      <c r="AN1056">
        <f>IF($AJ1056=1,IFERROR(IF(VALUE($C1056)&lt;100000000,VALUE($C1056),1000000000),IFERROR(IF(VALUE(MID($C1056,2,20))&lt;100000000,VALUE(MID($C1056,2,20)),1000000000),1000000000))+ROW()/100000,"")</f>
        <v/>
      </c>
    </row>
    <row r="1057">
      <c r="E1057" s="11" t="n"/>
      <c r="M1057" s="7">
        <f>IF($C1057="","",L1057*U1057/100)</f>
        <v/>
      </c>
      <c r="N1057" s="7" t="n"/>
      <c r="T1057" s="7" t="n"/>
      <c r="U1057" s="7">
        <f>IF($C1057="","",S1057*T1057)</f>
        <v/>
      </c>
      <c r="X1057">
        <f>IF($C1057="","",IF($AM1057=1,0,IF($AL1057=1,Settings!$C$6,Settings!$C$7))*100)</f>
        <v/>
      </c>
      <c r="AB1057" s="7" t="n"/>
      <c r="AE1057" s="11" t="n"/>
      <c r="AG1057" s="7">
        <f>IF($C1057="","",U1057*X1057/100)</f>
        <v/>
      </c>
      <c r="AH1057" s="7">
        <f>IF($C1057="","",U1057-AG1057)</f>
        <v/>
      </c>
      <c r="AI1057" s="7">
        <f>IF($C1057="","",AH1057-M1057)</f>
        <v/>
      </c>
      <c r="AJ1057">
        <f>IF($C1057="","",IF(COUNTIF($C$2:$C1057,$C1057)=1,1,0))</f>
        <v/>
      </c>
      <c r="AK1057">
        <f>IF($AJ1057=1,SUMPRODUCT(--($AN$2:$AN$4001&lt;$AN1057))+1,"")</f>
        <v/>
      </c>
      <c r="AL1057">
        <f>IF($C1057="","",IF(OR($Q1057=TRUE(),$Q1057="TRUE"),1,0))</f>
        <v/>
      </c>
      <c r="AM1057">
        <f>IF($C1057="","",IF($W1057="Yes",1,0))</f>
        <v/>
      </c>
      <c r="AN1057">
        <f>IF($AJ1057=1,IFERROR(IF(VALUE($C1057)&lt;100000000,VALUE($C1057),1000000000),IFERROR(IF(VALUE(MID($C1057,2,20))&lt;100000000,VALUE(MID($C1057,2,20)),1000000000),1000000000))+ROW()/100000,"")</f>
        <v/>
      </c>
    </row>
    <row r="1058">
      <c r="E1058" s="11" t="n"/>
      <c r="M1058" s="7">
        <f>IF($C1058="","",L1058*U1058/100)</f>
        <v/>
      </c>
      <c r="N1058" s="7" t="n"/>
      <c r="T1058" s="7" t="n"/>
      <c r="U1058" s="7">
        <f>IF($C1058="","",S1058*T1058)</f>
        <v/>
      </c>
      <c r="X1058">
        <f>IF($C1058="","",IF($AM1058=1,0,IF($AL1058=1,Settings!$C$6,Settings!$C$7))*100)</f>
        <v/>
      </c>
      <c r="AB1058" s="7" t="n"/>
      <c r="AE1058" s="11" t="n"/>
      <c r="AG1058" s="7">
        <f>IF($C1058="","",U1058*X1058/100)</f>
        <v/>
      </c>
      <c r="AH1058" s="7">
        <f>IF($C1058="","",U1058-AG1058)</f>
        <v/>
      </c>
      <c r="AI1058" s="7">
        <f>IF($C1058="","",AH1058-M1058)</f>
        <v/>
      </c>
      <c r="AJ1058">
        <f>IF($C1058="","",IF(COUNTIF($C$2:$C1058,$C1058)=1,1,0))</f>
        <v/>
      </c>
      <c r="AK1058">
        <f>IF($AJ1058=1,SUMPRODUCT(--($AN$2:$AN$4001&lt;$AN1058))+1,"")</f>
        <v/>
      </c>
      <c r="AL1058">
        <f>IF($C1058="","",IF(OR($Q1058=TRUE(),$Q1058="TRUE"),1,0))</f>
        <v/>
      </c>
      <c r="AM1058">
        <f>IF($C1058="","",IF($W1058="Yes",1,0))</f>
        <v/>
      </c>
      <c r="AN1058">
        <f>IF($AJ1058=1,IFERROR(IF(VALUE($C1058)&lt;100000000,VALUE($C1058),1000000000),IFERROR(IF(VALUE(MID($C1058,2,20))&lt;100000000,VALUE(MID($C1058,2,20)),1000000000),1000000000))+ROW()/100000,"")</f>
        <v/>
      </c>
    </row>
    <row r="1059">
      <c r="E1059" s="11" t="n"/>
      <c r="M1059" s="7">
        <f>IF($C1059="","",L1059*U1059/100)</f>
        <v/>
      </c>
      <c r="N1059" s="7" t="n"/>
      <c r="T1059" s="7" t="n"/>
      <c r="U1059" s="7">
        <f>IF($C1059="","",S1059*T1059)</f>
        <v/>
      </c>
      <c r="X1059">
        <f>IF($C1059="","",IF($AM1059=1,0,IF($AL1059=1,Settings!$C$6,Settings!$C$7))*100)</f>
        <v/>
      </c>
      <c r="AB1059" s="7" t="n"/>
      <c r="AE1059" s="11" t="n"/>
      <c r="AG1059" s="7">
        <f>IF($C1059="","",U1059*X1059/100)</f>
        <v/>
      </c>
      <c r="AH1059" s="7">
        <f>IF($C1059="","",U1059-AG1059)</f>
        <v/>
      </c>
      <c r="AI1059" s="7">
        <f>IF($C1059="","",AH1059-M1059)</f>
        <v/>
      </c>
      <c r="AJ1059">
        <f>IF($C1059="","",IF(COUNTIF($C$2:$C1059,$C1059)=1,1,0))</f>
        <v/>
      </c>
      <c r="AK1059">
        <f>IF($AJ1059=1,SUMPRODUCT(--($AN$2:$AN$4001&lt;$AN1059))+1,"")</f>
        <v/>
      </c>
      <c r="AL1059">
        <f>IF($C1059="","",IF(OR($Q1059=TRUE(),$Q1059="TRUE"),1,0))</f>
        <v/>
      </c>
      <c r="AM1059">
        <f>IF($C1059="","",IF($W1059="Yes",1,0))</f>
        <v/>
      </c>
      <c r="AN1059">
        <f>IF($AJ1059=1,IFERROR(IF(VALUE($C1059)&lt;100000000,VALUE($C1059),1000000000),IFERROR(IF(VALUE(MID($C1059,2,20))&lt;100000000,VALUE(MID($C1059,2,20)),1000000000),1000000000))+ROW()/100000,"")</f>
        <v/>
      </c>
    </row>
    <row r="1060">
      <c r="E1060" s="11" t="n"/>
      <c r="M1060" s="7">
        <f>IF($C1060="","",L1060*U1060/100)</f>
        <v/>
      </c>
      <c r="N1060" s="7" t="n"/>
      <c r="T1060" s="7" t="n"/>
      <c r="U1060" s="7">
        <f>IF($C1060="","",S1060*T1060)</f>
        <v/>
      </c>
      <c r="X1060">
        <f>IF($C1060="","",IF($AM1060=1,0,IF($AL1060=1,Settings!$C$6,Settings!$C$7))*100)</f>
        <v/>
      </c>
      <c r="AB1060" s="7" t="n"/>
      <c r="AE1060" s="11" t="n"/>
      <c r="AG1060" s="7">
        <f>IF($C1060="","",U1060*X1060/100)</f>
        <v/>
      </c>
      <c r="AH1060" s="7">
        <f>IF($C1060="","",U1060-AG1060)</f>
        <v/>
      </c>
      <c r="AI1060" s="7">
        <f>IF($C1060="","",AH1060-M1060)</f>
        <v/>
      </c>
      <c r="AJ1060">
        <f>IF($C1060="","",IF(COUNTIF($C$2:$C1060,$C1060)=1,1,0))</f>
        <v/>
      </c>
      <c r="AK1060">
        <f>IF($AJ1060=1,SUMPRODUCT(--($AN$2:$AN$4001&lt;$AN1060))+1,"")</f>
        <v/>
      </c>
      <c r="AL1060">
        <f>IF($C1060="","",IF(OR($Q1060=TRUE(),$Q1060="TRUE"),1,0))</f>
        <v/>
      </c>
      <c r="AM1060">
        <f>IF($C1060="","",IF($W1060="Yes",1,0))</f>
        <v/>
      </c>
      <c r="AN1060">
        <f>IF($AJ1060=1,IFERROR(IF(VALUE($C1060)&lt;100000000,VALUE($C1060),1000000000),IFERROR(IF(VALUE(MID($C1060,2,20))&lt;100000000,VALUE(MID($C1060,2,20)),1000000000),1000000000))+ROW()/100000,"")</f>
        <v/>
      </c>
    </row>
    <row r="1061">
      <c r="E1061" s="11" t="n"/>
      <c r="M1061" s="7">
        <f>IF($C1061="","",L1061*U1061/100)</f>
        <v/>
      </c>
      <c r="N1061" s="7" t="n"/>
      <c r="T1061" s="7" t="n"/>
      <c r="U1061" s="7">
        <f>IF($C1061="","",S1061*T1061)</f>
        <v/>
      </c>
      <c r="X1061">
        <f>IF($C1061="","",IF($AM1061=1,0,IF($AL1061=1,Settings!$C$6,Settings!$C$7))*100)</f>
        <v/>
      </c>
      <c r="AB1061" s="7" t="n"/>
      <c r="AE1061" s="11" t="n"/>
      <c r="AG1061" s="7">
        <f>IF($C1061="","",U1061*X1061/100)</f>
        <v/>
      </c>
      <c r="AH1061" s="7">
        <f>IF($C1061="","",U1061-AG1061)</f>
        <v/>
      </c>
      <c r="AI1061" s="7">
        <f>IF($C1061="","",AH1061-M1061)</f>
        <v/>
      </c>
      <c r="AJ1061">
        <f>IF($C1061="","",IF(COUNTIF($C$2:$C1061,$C1061)=1,1,0))</f>
        <v/>
      </c>
      <c r="AK1061">
        <f>IF($AJ1061=1,SUMPRODUCT(--($AN$2:$AN$4001&lt;$AN1061))+1,"")</f>
        <v/>
      </c>
      <c r="AL1061">
        <f>IF($C1061="","",IF(OR($Q1061=TRUE(),$Q1061="TRUE"),1,0))</f>
        <v/>
      </c>
      <c r="AM1061">
        <f>IF($C1061="","",IF($W1061="Yes",1,0))</f>
        <v/>
      </c>
      <c r="AN1061">
        <f>IF($AJ1061=1,IFERROR(IF(VALUE($C1061)&lt;100000000,VALUE($C1061),1000000000),IFERROR(IF(VALUE(MID($C1061,2,20))&lt;100000000,VALUE(MID($C1061,2,20)),1000000000),1000000000))+ROW()/100000,"")</f>
        <v/>
      </c>
    </row>
    <row r="1062">
      <c r="E1062" s="11" t="n"/>
      <c r="M1062" s="7">
        <f>IF($C1062="","",L1062*U1062/100)</f>
        <v/>
      </c>
      <c r="N1062" s="7" t="n"/>
      <c r="T1062" s="7" t="n"/>
      <c r="U1062" s="7">
        <f>IF($C1062="","",S1062*T1062)</f>
        <v/>
      </c>
      <c r="X1062">
        <f>IF($C1062="","",IF($AM1062=1,0,IF($AL1062=1,Settings!$C$6,Settings!$C$7))*100)</f>
        <v/>
      </c>
      <c r="AB1062" s="7" t="n"/>
      <c r="AE1062" s="11" t="n"/>
      <c r="AG1062" s="7">
        <f>IF($C1062="","",U1062*X1062/100)</f>
        <v/>
      </c>
      <c r="AH1062" s="7">
        <f>IF($C1062="","",U1062-AG1062)</f>
        <v/>
      </c>
      <c r="AI1062" s="7">
        <f>IF($C1062="","",AH1062-M1062)</f>
        <v/>
      </c>
      <c r="AJ1062">
        <f>IF($C1062="","",IF(COUNTIF($C$2:$C1062,$C1062)=1,1,0))</f>
        <v/>
      </c>
      <c r="AK1062">
        <f>IF($AJ1062=1,SUMPRODUCT(--($AN$2:$AN$4001&lt;$AN1062))+1,"")</f>
        <v/>
      </c>
      <c r="AL1062">
        <f>IF($C1062="","",IF(OR($Q1062=TRUE(),$Q1062="TRUE"),1,0))</f>
        <v/>
      </c>
      <c r="AM1062">
        <f>IF($C1062="","",IF($W1062="Yes",1,0))</f>
        <v/>
      </c>
      <c r="AN1062">
        <f>IF($AJ1062=1,IFERROR(IF(VALUE($C1062)&lt;100000000,VALUE($C1062),1000000000),IFERROR(IF(VALUE(MID($C1062,2,20))&lt;100000000,VALUE(MID($C1062,2,20)),1000000000),1000000000))+ROW()/100000,"")</f>
        <v/>
      </c>
    </row>
    <row r="1063">
      <c r="E1063" s="11" t="n"/>
      <c r="M1063" s="7">
        <f>IF($C1063="","",L1063*U1063/100)</f>
        <v/>
      </c>
      <c r="N1063" s="7" t="n"/>
      <c r="T1063" s="7" t="n"/>
      <c r="U1063" s="7">
        <f>IF($C1063="","",S1063*T1063)</f>
        <v/>
      </c>
      <c r="X1063">
        <f>IF($C1063="","",IF($AM1063=1,0,IF($AL1063=1,Settings!$C$6,Settings!$C$7))*100)</f>
        <v/>
      </c>
      <c r="AB1063" s="7" t="n"/>
      <c r="AE1063" s="11" t="n"/>
      <c r="AG1063" s="7">
        <f>IF($C1063="","",U1063*X1063/100)</f>
        <v/>
      </c>
      <c r="AH1063" s="7">
        <f>IF($C1063="","",U1063-AG1063)</f>
        <v/>
      </c>
      <c r="AI1063" s="7">
        <f>IF($C1063="","",AH1063-M1063)</f>
        <v/>
      </c>
      <c r="AJ1063">
        <f>IF($C1063="","",IF(COUNTIF($C$2:$C1063,$C1063)=1,1,0))</f>
        <v/>
      </c>
      <c r="AK1063">
        <f>IF($AJ1063=1,SUMPRODUCT(--($AN$2:$AN$4001&lt;$AN1063))+1,"")</f>
        <v/>
      </c>
      <c r="AL1063">
        <f>IF($C1063="","",IF(OR($Q1063=TRUE(),$Q1063="TRUE"),1,0))</f>
        <v/>
      </c>
      <c r="AM1063">
        <f>IF($C1063="","",IF($W1063="Yes",1,0))</f>
        <v/>
      </c>
      <c r="AN1063">
        <f>IF($AJ1063=1,IFERROR(IF(VALUE($C1063)&lt;100000000,VALUE($C1063),1000000000),IFERROR(IF(VALUE(MID($C1063,2,20))&lt;100000000,VALUE(MID($C1063,2,20)),1000000000),1000000000))+ROW()/100000,"")</f>
        <v/>
      </c>
    </row>
    <row r="1064">
      <c r="E1064" s="11" t="n"/>
      <c r="M1064" s="7">
        <f>IF($C1064="","",L1064*U1064/100)</f>
        <v/>
      </c>
      <c r="N1064" s="7" t="n"/>
      <c r="T1064" s="7" t="n"/>
      <c r="U1064" s="7">
        <f>IF($C1064="","",S1064*T1064)</f>
        <v/>
      </c>
      <c r="X1064">
        <f>IF($C1064="","",IF($AM1064=1,0,IF($AL1064=1,Settings!$C$6,Settings!$C$7))*100)</f>
        <v/>
      </c>
      <c r="AB1064" s="7" t="n"/>
      <c r="AE1064" s="11" t="n"/>
      <c r="AG1064" s="7">
        <f>IF($C1064="","",U1064*X1064/100)</f>
        <v/>
      </c>
      <c r="AH1064" s="7">
        <f>IF($C1064="","",U1064-AG1064)</f>
        <v/>
      </c>
      <c r="AI1064" s="7">
        <f>IF($C1064="","",AH1064-M1064)</f>
        <v/>
      </c>
      <c r="AJ1064">
        <f>IF($C1064="","",IF(COUNTIF($C$2:$C1064,$C1064)=1,1,0))</f>
        <v/>
      </c>
      <c r="AK1064">
        <f>IF($AJ1064=1,SUMPRODUCT(--($AN$2:$AN$4001&lt;$AN1064))+1,"")</f>
        <v/>
      </c>
      <c r="AL1064">
        <f>IF($C1064="","",IF(OR($Q1064=TRUE(),$Q1064="TRUE"),1,0))</f>
        <v/>
      </c>
      <c r="AM1064">
        <f>IF($C1064="","",IF($W1064="Yes",1,0))</f>
        <v/>
      </c>
      <c r="AN1064">
        <f>IF($AJ1064=1,IFERROR(IF(VALUE($C1064)&lt;100000000,VALUE($C1064),1000000000),IFERROR(IF(VALUE(MID($C1064,2,20))&lt;100000000,VALUE(MID($C1064,2,20)),1000000000),1000000000))+ROW()/100000,"")</f>
        <v/>
      </c>
    </row>
    <row r="1065">
      <c r="E1065" s="11" t="n"/>
      <c r="M1065" s="7">
        <f>IF($C1065="","",L1065*U1065/100)</f>
        <v/>
      </c>
      <c r="N1065" s="7" t="n"/>
      <c r="T1065" s="7" t="n"/>
      <c r="U1065" s="7">
        <f>IF($C1065="","",S1065*T1065)</f>
        <v/>
      </c>
      <c r="X1065">
        <f>IF($C1065="","",IF($AM1065=1,0,IF($AL1065=1,Settings!$C$6,Settings!$C$7))*100)</f>
        <v/>
      </c>
      <c r="AB1065" s="7" t="n"/>
      <c r="AE1065" s="11" t="n"/>
      <c r="AG1065" s="7">
        <f>IF($C1065="","",U1065*X1065/100)</f>
        <v/>
      </c>
      <c r="AH1065" s="7">
        <f>IF($C1065="","",U1065-AG1065)</f>
        <v/>
      </c>
      <c r="AI1065" s="7">
        <f>IF($C1065="","",AH1065-M1065)</f>
        <v/>
      </c>
      <c r="AJ1065">
        <f>IF($C1065="","",IF(COUNTIF($C$2:$C1065,$C1065)=1,1,0))</f>
        <v/>
      </c>
      <c r="AK1065">
        <f>IF($AJ1065=1,SUMPRODUCT(--($AN$2:$AN$4001&lt;$AN1065))+1,"")</f>
        <v/>
      </c>
      <c r="AL1065">
        <f>IF($C1065="","",IF(OR($Q1065=TRUE(),$Q1065="TRUE"),1,0))</f>
        <v/>
      </c>
      <c r="AM1065">
        <f>IF($C1065="","",IF($W1065="Yes",1,0))</f>
        <v/>
      </c>
      <c r="AN1065">
        <f>IF($AJ1065=1,IFERROR(IF(VALUE($C1065)&lt;100000000,VALUE($C1065),1000000000),IFERROR(IF(VALUE(MID($C1065,2,20))&lt;100000000,VALUE(MID($C1065,2,20)),1000000000),1000000000))+ROW()/100000,"")</f>
        <v/>
      </c>
    </row>
    <row r="1066">
      <c r="E1066" s="11" t="n"/>
      <c r="M1066" s="7">
        <f>IF($C1066="","",L1066*U1066/100)</f>
        <v/>
      </c>
      <c r="N1066" s="7" t="n"/>
      <c r="T1066" s="7" t="n"/>
      <c r="U1066" s="7">
        <f>IF($C1066="","",S1066*T1066)</f>
        <v/>
      </c>
      <c r="X1066">
        <f>IF($C1066="","",IF($AM1066=1,0,IF($AL1066=1,Settings!$C$6,Settings!$C$7))*100)</f>
        <v/>
      </c>
      <c r="AB1066" s="7" t="n"/>
      <c r="AE1066" s="11" t="n"/>
      <c r="AG1066" s="7">
        <f>IF($C1066="","",U1066*X1066/100)</f>
        <v/>
      </c>
      <c r="AH1066" s="7">
        <f>IF($C1066="","",U1066-AG1066)</f>
        <v/>
      </c>
      <c r="AI1066" s="7">
        <f>IF($C1066="","",AH1066-M1066)</f>
        <v/>
      </c>
      <c r="AJ1066">
        <f>IF($C1066="","",IF(COUNTIF($C$2:$C1066,$C1066)=1,1,0))</f>
        <v/>
      </c>
      <c r="AK1066">
        <f>IF($AJ1066=1,SUMPRODUCT(--($AN$2:$AN$4001&lt;$AN1066))+1,"")</f>
        <v/>
      </c>
      <c r="AL1066">
        <f>IF($C1066="","",IF(OR($Q1066=TRUE(),$Q1066="TRUE"),1,0))</f>
        <v/>
      </c>
      <c r="AM1066">
        <f>IF($C1066="","",IF($W1066="Yes",1,0))</f>
        <v/>
      </c>
      <c r="AN1066">
        <f>IF($AJ1066=1,IFERROR(IF(VALUE($C1066)&lt;100000000,VALUE($C1066),1000000000),IFERROR(IF(VALUE(MID($C1066,2,20))&lt;100000000,VALUE(MID($C1066,2,20)),1000000000),1000000000))+ROW()/100000,"")</f>
        <v/>
      </c>
    </row>
    <row r="1067">
      <c r="E1067" s="11" t="n"/>
      <c r="M1067" s="7">
        <f>IF($C1067="","",L1067*U1067/100)</f>
        <v/>
      </c>
      <c r="N1067" s="7" t="n"/>
      <c r="T1067" s="7" t="n"/>
      <c r="U1067" s="7">
        <f>IF($C1067="","",S1067*T1067)</f>
        <v/>
      </c>
      <c r="X1067">
        <f>IF($C1067="","",IF($AM1067=1,0,IF($AL1067=1,Settings!$C$6,Settings!$C$7))*100)</f>
        <v/>
      </c>
      <c r="AB1067" s="7" t="n"/>
      <c r="AE1067" s="11" t="n"/>
      <c r="AG1067" s="7">
        <f>IF($C1067="","",U1067*X1067/100)</f>
        <v/>
      </c>
      <c r="AH1067" s="7">
        <f>IF($C1067="","",U1067-AG1067)</f>
        <v/>
      </c>
      <c r="AI1067" s="7">
        <f>IF($C1067="","",AH1067-M1067)</f>
        <v/>
      </c>
      <c r="AJ1067">
        <f>IF($C1067="","",IF(COUNTIF($C$2:$C1067,$C1067)=1,1,0))</f>
        <v/>
      </c>
      <c r="AK1067">
        <f>IF($AJ1067=1,SUMPRODUCT(--($AN$2:$AN$4001&lt;$AN1067))+1,"")</f>
        <v/>
      </c>
      <c r="AL1067">
        <f>IF($C1067="","",IF(OR($Q1067=TRUE(),$Q1067="TRUE"),1,0))</f>
        <v/>
      </c>
      <c r="AM1067">
        <f>IF($C1067="","",IF($W1067="Yes",1,0))</f>
        <v/>
      </c>
      <c r="AN1067">
        <f>IF($AJ1067=1,IFERROR(IF(VALUE($C1067)&lt;100000000,VALUE($C1067),1000000000),IFERROR(IF(VALUE(MID($C1067,2,20))&lt;100000000,VALUE(MID($C1067,2,20)),1000000000),1000000000))+ROW()/100000,"")</f>
        <v/>
      </c>
    </row>
    <row r="1068">
      <c r="E1068" s="11" t="n"/>
      <c r="M1068" s="7">
        <f>IF($C1068="","",L1068*U1068/100)</f>
        <v/>
      </c>
      <c r="N1068" s="7" t="n"/>
      <c r="T1068" s="7" t="n"/>
      <c r="U1068" s="7">
        <f>IF($C1068="","",S1068*T1068)</f>
        <v/>
      </c>
      <c r="X1068">
        <f>IF($C1068="","",IF($AM1068=1,0,IF($AL1068=1,Settings!$C$6,Settings!$C$7))*100)</f>
        <v/>
      </c>
      <c r="AB1068" s="7" t="n"/>
      <c r="AE1068" s="11" t="n"/>
      <c r="AG1068" s="7">
        <f>IF($C1068="","",U1068*X1068/100)</f>
        <v/>
      </c>
      <c r="AH1068" s="7">
        <f>IF($C1068="","",U1068-AG1068)</f>
        <v/>
      </c>
      <c r="AI1068" s="7">
        <f>IF($C1068="","",AH1068-M1068)</f>
        <v/>
      </c>
      <c r="AJ1068">
        <f>IF($C1068="","",IF(COUNTIF($C$2:$C1068,$C1068)=1,1,0))</f>
        <v/>
      </c>
      <c r="AK1068">
        <f>IF($AJ1068=1,SUMPRODUCT(--($AN$2:$AN$4001&lt;$AN1068))+1,"")</f>
        <v/>
      </c>
      <c r="AL1068">
        <f>IF($C1068="","",IF(OR($Q1068=TRUE(),$Q1068="TRUE"),1,0))</f>
        <v/>
      </c>
      <c r="AM1068">
        <f>IF($C1068="","",IF($W1068="Yes",1,0))</f>
        <v/>
      </c>
      <c r="AN1068">
        <f>IF($AJ1068=1,IFERROR(IF(VALUE($C1068)&lt;100000000,VALUE($C1068),1000000000),IFERROR(IF(VALUE(MID($C1068,2,20))&lt;100000000,VALUE(MID($C1068,2,20)),1000000000),1000000000))+ROW()/100000,"")</f>
        <v/>
      </c>
    </row>
    <row r="1069">
      <c r="E1069" s="11" t="n"/>
      <c r="M1069" s="7">
        <f>IF($C1069="","",L1069*U1069/100)</f>
        <v/>
      </c>
      <c r="N1069" s="7" t="n"/>
      <c r="T1069" s="7" t="n"/>
      <c r="U1069" s="7">
        <f>IF($C1069="","",S1069*T1069)</f>
        <v/>
      </c>
      <c r="X1069">
        <f>IF($C1069="","",IF($AM1069=1,0,IF($AL1069=1,Settings!$C$6,Settings!$C$7))*100)</f>
        <v/>
      </c>
      <c r="AB1069" s="7" t="n"/>
      <c r="AE1069" s="11" t="n"/>
      <c r="AG1069" s="7">
        <f>IF($C1069="","",U1069*X1069/100)</f>
        <v/>
      </c>
      <c r="AH1069" s="7">
        <f>IF($C1069="","",U1069-AG1069)</f>
        <v/>
      </c>
      <c r="AI1069" s="7">
        <f>IF($C1069="","",AH1069-M1069)</f>
        <v/>
      </c>
      <c r="AJ1069">
        <f>IF($C1069="","",IF(COUNTIF($C$2:$C1069,$C1069)=1,1,0))</f>
        <v/>
      </c>
      <c r="AK1069">
        <f>IF($AJ1069=1,SUMPRODUCT(--($AN$2:$AN$4001&lt;$AN1069))+1,"")</f>
        <v/>
      </c>
      <c r="AL1069">
        <f>IF($C1069="","",IF(OR($Q1069=TRUE(),$Q1069="TRUE"),1,0))</f>
        <v/>
      </c>
      <c r="AM1069">
        <f>IF($C1069="","",IF($W1069="Yes",1,0))</f>
        <v/>
      </c>
      <c r="AN1069">
        <f>IF($AJ1069=1,IFERROR(IF(VALUE($C1069)&lt;100000000,VALUE($C1069),1000000000),IFERROR(IF(VALUE(MID($C1069,2,20))&lt;100000000,VALUE(MID($C1069,2,20)),1000000000),1000000000))+ROW()/100000,"")</f>
        <v/>
      </c>
    </row>
    <row r="1070">
      <c r="E1070" s="11" t="n"/>
      <c r="M1070" s="7">
        <f>IF($C1070="","",L1070*U1070/100)</f>
        <v/>
      </c>
      <c r="N1070" s="7" t="n"/>
      <c r="T1070" s="7" t="n"/>
      <c r="U1070" s="7">
        <f>IF($C1070="","",S1070*T1070)</f>
        <v/>
      </c>
      <c r="X1070">
        <f>IF($C1070="","",IF($AM1070=1,0,IF($AL1070=1,Settings!$C$6,Settings!$C$7))*100)</f>
        <v/>
      </c>
      <c r="AB1070" s="7" t="n"/>
      <c r="AE1070" s="11" t="n"/>
      <c r="AG1070" s="7">
        <f>IF($C1070="","",U1070*X1070/100)</f>
        <v/>
      </c>
      <c r="AH1070" s="7">
        <f>IF($C1070="","",U1070-AG1070)</f>
        <v/>
      </c>
      <c r="AI1070" s="7">
        <f>IF($C1070="","",AH1070-M1070)</f>
        <v/>
      </c>
      <c r="AJ1070">
        <f>IF($C1070="","",IF(COUNTIF($C$2:$C1070,$C1070)=1,1,0))</f>
        <v/>
      </c>
      <c r="AK1070">
        <f>IF($AJ1070=1,SUMPRODUCT(--($AN$2:$AN$4001&lt;$AN1070))+1,"")</f>
        <v/>
      </c>
      <c r="AL1070">
        <f>IF($C1070="","",IF(OR($Q1070=TRUE(),$Q1070="TRUE"),1,0))</f>
        <v/>
      </c>
      <c r="AM1070">
        <f>IF($C1070="","",IF($W1070="Yes",1,0))</f>
        <v/>
      </c>
      <c r="AN1070">
        <f>IF($AJ1070=1,IFERROR(IF(VALUE($C1070)&lt;100000000,VALUE($C1070),1000000000),IFERROR(IF(VALUE(MID($C1070,2,20))&lt;100000000,VALUE(MID($C1070,2,20)),1000000000),1000000000))+ROW()/100000,"")</f>
        <v/>
      </c>
    </row>
    <row r="1071">
      <c r="E1071" s="11" t="n"/>
      <c r="M1071" s="7">
        <f>IF($C1071="","",L1071*U1071/100)</f>
        <v/>
      </c>
      <c r="N1071" s="7" t="n"/>
      <c r="T1071" s="7" t="n"/>
      <c r="U1071" s="7">
        <f>IF($C1071="","",S1071*T1071)</f>
        <v/>
      </c>
      <c r="X1071">
        <f>IF($C1071="","",IF($AM1071=1,0,IF($AL1071=1,Settings!$C$6,Settings!$C$7))*100)</f>
        <v/>
      </c>
      <c r="AB1071" s="7" t="n"/>
      <c r="AE1071" s="11" t="n"/>
      <c r="AG1071" s="7">
        <f>IF($C1071="","",U1071*X1071/100)</f>
        <v/>
      </c>
      <c r="AH1071" s="7">
        <f>IF($C1071="","",U1071-AG1071)</f>
        <v/>
      </c>
      <c r="AI1071" s="7">
        <f>IF($C1071="","",AH1071-M1071)</f>
        <v/>
      </c>
      <c r="AJ1071">
        <f>IF($C1071="","",IF(COUNTIF($C$2:$C1071,$C1071)=1,1,0))</f>
        <v/>
      </c>
      <c r="AK1071">
        <f>IF($AJ1071=1,SUMPRODUCT(--($AN$2:$AN$4001&lt;$AN1071))+1,"")</f>
        <v/>
      </c>
      <c r="AL1071">
        <f>IF($C1071="","",IF(OR($Q1071=TRUE(),$Q1071="TRUE"),1,0))</f>
        <v/>
      </c>
      <c r="AM1071">
        <f>IF($C1071="","",IF($W1071="Yes",1,0))</f>
        <v/>
      </c>
      <c r="AN1071">
        <f>IF($AJ1071=1,IFERROR(IF(VALUE($C1071)&lt;100000000,VALUE($C1071),1000000000),IFERROR(IF(VALUE(MID($C1071,2,20))&lt;100000000,VALUE(MID($C1071,2,20)),1000000000),1000000000))+ROW()/100000,"")</f>
        <v/>
      </c>
    </row>
    <row r="1072">
      <c r="E1072" s="11" t="n"/>
      <c r="M1072" s="7">
        <f>IF($C1072="","",L1072*U1072/100)</f>
        <v/>
      </c>
      <c r="N1072" s="7" t="n"/>
      <c r="T1072" s="7" t="n"/>
      <c r="U1072" s="7">
        <f>IF($C1072="","",S1072*T1072)</f>
        <v/>
      </c>
      <c r="X1072">
        <f>IF($C1072="","",IF($AM1072=1,0,IF($AL1072=1,Settings!$C$6,Settings!$C$7))*100)</f>
        <v/>
      </c>
      <c r="AB1072" s="7" t="n"/>
      <c r="AE1072" s="11" t="n"/>
      <c r="AG1072" s="7">
        <f>IF($C1072="","",U1072*X1072/100)</f>
        <v/>
      </c>
      <c r="AH1072" s="7">
        <f>IF($C1072="","",U1072-AG1072)</f>
        <v/>
      </c>
      <c r="AI1072" s="7">
        <f>IF($C1072="","",AH1072-M1072)</f>
        <v/>
      </c>
      <c r="AJ1072">
        <f>IF($C1072="","",IF(COUNTIF($C$2:$C1072,$C1072)=1,1,0))</f>
        <v/>
      </c>
      <c r="AK1072">
        <f>IF($AJ1072=1,SUMPRODUCT(--($AN$2:$AN$4001&lt;$AN1072))+1,"")</f>
        <v/>
      </c>
      <c r="AL1072">
        <f>IF($C1072="","",IF(OR($Q1072=TRUE(),$Q1072="TRUE"),1,0))</f>
        <v/>
      </c>
      <c r="AM1072">
        <f>IF($C1072="","",IF($W1072="Yes",1,0))</f>
        <v/>
      </c>
      <c r="AN1072">
        <f>IF($AJ1072=1,IFERROR(IF(VALUE($C1072)&lt;100000000,VALUE($C1072),1000000000),IFERROR(IF(VALUE(MID($C1072,2,20))&lt;100000000,VALUE(MID($C1072,2,20)),1000000000),1000000000))+ROW()/100000,"")</f>
        <v/>
      </c>
    </row>
    <row r="1073">
      <c r="E1073" s="11" t="n"/>
      <c r="M1073" s="7">
        <f>IF($C1073="","",L1073*U1073/100)</f>
        <v/>
      </c>
      <c r="N1073" s="7" t="n"/>
      <c r="T1073" s="7" t="n"/>
      <c r="U1073" s="7">
        <f>IF($C1073="","",S1073*T1073)</f>
        <v/>
      </c>
      <c r="X1073">
        <f>IF($C1073="","",IF($AM1073=1,0,IF($AL1073=1,Settings!$C$6,Settings!$C$7))*100)</f>
        <v/>
      </c>
      <c r="AB1073" s="7" t="n"/>
      <c r="AE1073" s="11" t="n"/>
      <c r="AG1073" s="7">
        <f>IF($C1073="","",U1073*X1073/100)</f>
        <v/>
      </c>
      <c r="AH1073" s="7">
        <f>IF($C1073="","",U1073-AG1073)</f>
        <v/>
      </c>
      <c r="AI1073" s="7">
        <f>IF($C1073="","",AH1073-M1073)</f>
        <v/>
      </c>
      <c r="AJ1073">
        <f>IF($C1073="","",IF(COUNTIF($C$2:$C1073,$C1073)=1,1,0))</f>
        <v/>
      </c>
      <c r="AK1073">
        <f>IF($AJ1073=1,SUMPRODUCT(--($AN$2:$AN$4001&lt;$AN1073))+1,"")</f>
        <v/>
      </c>
      <c r="AL1073">
        <f>IF($C1073="","",IF(OR($Q1073=TRUE(),$Q1073="TRUE"),1,0))</f>
        <v/>
      </c>
      <c r="AM1073">
        <f>IF($C1073="","",IF($W1073="Yes",1,0))</f>
        <v/>
      </c>
      <c r="AN1073">
        <f>IF($AJ1073=1,IFERROR(IF(VALUE($C1073)&lt;100000000,VALUE($C1073),1000000000),IFERROR(IF(VALUE(MID($C1073,2,20))&lt;100000000,VALUE(MID($C1073,2,20)),1000000000),1000000000))+ROW()/100000,"")</f>
        <v/>
      </c>
    </row>
    <row r="1074">
      <c r="E1074" s="11" t="n"/>
      <c r="M1074" s="7">
        <f>IF($C1074="","",L1074*U1074/100)</f>
        <v/>
      </c>
      <c r="N1074" s="7" t="n"/>
      <c r="T1074" s="7" t="n"/>
      <c r="U1074" s="7">
        <f>IF($C1074="","",S1074*T1074)</f>
        <v/>
      </c>
      <c r="X1074">
        <f>IF($C1074="","",IF($AM1074=1,0,IF($AL1074=1,Settings!$C$6,Settings!$C$7))*100)</f>
        <v/>
      </c>
      <c r="AB1074" s="7" t="n"/>
      <c r="AE1074" s="11" t="n"/>
      <c r="AG1074" s="7">
        <f>IF($C1074="","",U1074*X1074/100)</f>
        <v/>
      </c>
      <c r="AH1074" s="7">
        <f>IF($C1074="","",U1074-AG1074)</f>
        <v/>
      </c>
      <c r="AI1074" s="7">
        <f>IF($C1074="","",AH1074-M1074)</f>
        <v/>
      </c>
      <c r="AJ1074">
        <f>IF($C1074="","",IF(COUNTIF($C$2:$C1074,$C1074)=1,1,0))</f>
        <v/>
      </c>
      <c r="AK1074">
        <f>IF($AJ1074=1,SUMPRODUCT(--($AN$2:$AN$4001&lt;$AN1074))+1,"")</f>
        <v/>
      </c>
      <c r="AL1074">
        <f>IF($C1074="","",IF(OR($Q1074=TRUE(),$Q1074="TRUE"),1,0))</f>
        <v/>
      </c>
      <c r="AM1074">
        <f>IF($C1074="","",IF($W1074="Yes",1,0))</f>
        <v/>
      </c>
      <c r="AN1074">
        <f>IF($AJ1074=1,IFERROR(IF(VALUE($C1074)&lt;100000000,VALUE($C1074),1000000000),IFERROR(IF(VALUE(MID($C1074,2,20))&lt;100000000,VALUE(MID($C1074,2,20)),1000000000),1000000000))+ROW()/100000,"")</f>
        <v/>
      </c>
    </row>
    <row r="1075">
      <c r="E1075" s="11" t="n"/>
      <c r="M1075" s="7">
        <f>IF($C1075="","",L1075*U1075/100)</f>
        <v/>
      </c>
      <c r="N1075" s="7" t="n"/>
      <c r="T1075" s="7" t="n"/>
      <c r="U1075" s="7">
        <f>IF($C1075="","",S1075*T1075)</f>
        <v/>
      </c>
      <c r="X1075">
        <f>IF($C1075="","",IF($AM1075=1,0,IF($AL1075=1,Settings!$C$6,Settings!$C$7))*100)</f>
        <v/>
      </c>
      <c r="AB1075" s="7" t="n"/>
      <c r="AE1075" s="11" t="n"/>
      <c r="AG1075" s="7">
        <f>IF($C1075="","",U1075*X1075/100)</f>
        <v/>
      </c>
      <c r="AH1075" s="7">
        <f>IF($C1075="","",U1075-AG1075)</f>
        <v/>
      </c>
      <c r="AI1075" s="7">
        <f>IF($C1075="","",AH1075-M1075)</f>
        <v/>
      </c>
      <c r="AJ1075">
        <f>IF($C1075="","",IF(COUNTIF($C$2:$C1075,$C1075)=1,1,0))</f>
        <v/>
      </c>
      <c r="AK1075">
        <f>IF($AJ1075=1,SUMPRODUCT(--($AN$2:$AN$4001&lt;$AN1075))+1,"")</f>
        <v/>
      </c>
      <c r="AL1075">
        <f>IF($C1075="","",IF(OR($Q1075=TRUE(),$Q1075="TRUE"),1,0))</f>
        <v/>
      </c>
      <c r="AM1075">
        <f>IF($C1075="","",IF($W1075="Yes",1,0))</f>
        <v/>
      </c>
      <c r="AN1075">
        <f>IF($AJ1075=1,IFERROR(IF(VALUE($C1075)&lt;100000000,VALUE($C1075),1000000000),IFERROR(IF(VALUE(MID($C1075,2,20))&lt;100000000,VALUE(MID($C1075,2,20)),1000000000),1000000000))+ROW()/100000,"")</f>
        <v/>
      </c>
    </row>
    <row r="1076">
      <c r="E1076" s="11" t="n"/>
      <c r="M1076" s="7">
        <f>IF($C1076="","",L1076*U1076/100)</f>
        <v/>
      </c>
      <c r="N1076" s="7" t="n"/>
      <c r="T1076" s="7" t="n"/>
      <c r="U1076" s="7">
        <f>IF($C1076="","",S1076*T1076)</f>
        <v/>
      </c>
      <c r="X1076">
        <f>IF($C1076="","",IF($AM1076=1,0,IF($AL1076=1,Settings!$C$6,Settings!$C$7))*100)</f>
        <v/>
      </c>
      <c r="AB1076" s="7" t="n"/>
      <c r="AE1076" s="11" t="n"/>
      <c r="AG1076" s="7">
        <f>IF($C1076="","",U1076*X1076/100)</f>
        <v/>
      </c>
      <c r="AH1076" s="7">
        <f>IF($C1076="","",U1076-AG1076)</f>
        <v/>
      </c>
      <c r="AI1076" s="7">
        <f>IF($C1076="","",AH1076-M1076)</f>
        <v/>
      </c>
      <c r="AJ1076">
        <f>IF($C1076="","",IF(COUNTIF($C$2:$C1076,$C1076)=1,1,0))</f>
        <v/>
      </c>
      <c r="AK1076">
        <f>IF($AJ1076=1,SUMPRODUCT(--($AN$2:$AN$4001&lt;$AN1076))+1,"")</f>
        <v/>
      </c>
      <c r="AL1076">
        <f>IF($C1076="","",IF(OR($Q1076=TRUE(),$Q1076="TRUE"),1,0))</f>
        <v/>
      </c>
      <c r="AM1076">
        <f>IF($C1076="","",IF($W1076="Yes",1,0))</f>
        <v/>
      </c>
      <c r="AN1076">
        <f>IF($AJ1076=1,IFERROR(IF(VALUE($C1076)&lt;100000000,VALUE($C1076),1000000000),IFERROR(IF(VALUE(MID($C1076,2,20))&lt;100000000,VALUE(MID($C1076,2,20)),1000000000),1000000000))+ROW()/100000,"")</f>
        <v/>
      </c>
    </row>
    <row r="1077">
      <c r="E1077" s="11" t="n"/>
      <c r="M1077" s="7">
        <f>IF($C1077="","",L1077*U1077/100)</f>
        <v/>
      </c>
      <c r="N1077" s="7" t="n"/>
      <c r="T1077" s="7" t="n"/>
      <c r="U1077" s="7">
        <f>IF($C1077="","",S1077*T1077)</f>
        <v/>
      </c>
      <c r="X1077">
        <f>IF($C1077="","",IF($AM1077=1,0,IF($AL1077=1,Settings!$C$6,Settings!$C$7))*100)</f>
        <v/>
      </c>
      <c r="AB1077" s="7" t="n"/>
      <c r="AE1077" s="11" t="n"/>
      <c r="AG1077" s="7">
        <f>IF($C1077="","",U1077*X1077/100)</f>
        <v/>
      </c>
      <c r="AH1077" s="7">
        <f>IF($C1077="","",U1077-AG1077)</f>
        <v/>
      </c>
      <c r="AI1077" s="7">
        <f>IF($C1077="","",AH1077-M1077)</f>
        <v/>
      </c>
      <c r="AJ1077">
        <f>IF($C1077="","",IF(COUNTIF($C$2:$C1077,$C1077)=1,1,0))</f>
        <v/>
      </c>
      <c r="AK1077">
        <f>IF($AJ1077=1,SUMPRODUCT(--($AN$2:$AN$4001&lt;$AN1077))+1,"")</f>
        <v/>
      </c>
      <c r="AL1077">
        <f>IF($C1077="","",IF(OR($Q1077=TRUE(),$Q1077="TRUE"),1,0))</f>
        <v/>
      </c>
      <c r="AM1077">
        <f>IF($C1077="","",IF($W1077="Yes",1,0))</f>
        <v/>
      </c>
      <c r="AN1077">
        <f>IF($AJ1077=1,IFERROR(IF(VALUE($C1077)&lt;100000000,VALUE($C1077),1000000000),IFERROR(IF(VALUE(MID($C1077,2,20))&lt;100000000,VALUE(MID($C1077,2,20)),1000000000),1000000000))+ROW()/100000,"")</f>
        <v/>
      </c>
    </row>
    <row r="1078">
      <c r="E1078" s="11" t="n"/>
      <c r="M1078" s="7">
        <f>IF($C1078="","",L1078*U1078/100)</f>
        <v/>
      </c>
      <c r="N1078" s="7" t="n"/>
      <c r="T1078" s="7" t="n"/>
      <c r="U1078" s="7">
        <f>IF($C1078="","",S1078*T1078)</f>
        <v/>
      </c>
      <c r="X1078">
        <f>IF($C1078="","",IF($AM1078=1,0,IF($AL1078=1,Settings!$C$6,Settings!$C$7))*100)</f>
        <v/>
      </c>
      <c r="AB1078" s="7" t="n"/>
      <c r="AE1078" s="11" t="n"/>
      <c r="AG1078" s="7">
        <f>IF($C1078="","",U1078*X1078/100)</f>
        <v/>
      </c>
      <c r="AH1078" s="7">
        <f>IF($C1078="","",U1078-AG1078)</f>
        <v/>
      </c>
      <c r="AI1078" s="7">
        <f>IF($C1078="","",AH1078-M1078)</f>
        <v/>
      </c>
      <c r="AJ1078">
        <f>IF($C1078="","",IF(COUNTIF($C$2:$C1078,$C1078)=1,1,0))</f>
        <v/>
      </c>
      <c r="AK1078">
        <f>IF($AJ1078=1,SUMPRODUCT(--($AN$2:$AN$4001&lt;$AN1078))+1,"")</f>
        <v/>
      </c>
      <c r="AL1078">
        <f>IF($C1078="","",IF(OR($Q1078=TRUE(),$Q1078="TRUE"),1,0))</f>
        <v/>
      </c>
      <c r="AM1078">
        <f>IF($C1078="","",IF($W1078="Yes",1,0))</f>
        <v/>
      </c>
      <c r="AN1078">
        <f>IF($AJ1078=1,IFERROR(IF(VALUE($C1078)&lt;100000000,VALUE($C1078),1000000000),IFERROR(IF(VALUE(MID($C1078,2,20))&lt;100000000,VALUE(MID($C1078,2,20)),1000000000),1000000000))+ROW()/100000,"")</f>
        <v/>
      </c>
    </row>
    <row r="1079">
      <c r="E1079" s="11" t="n"/>
      <c r="M1079" s="7">
        <f>IF($C1079="","",L1079*U1079/100)</f>
        <v/>
      </c>
      <c r="N1079" s="7" t="n"/>
      <c r="T1079" s="7" t="n"/>
      <c r="U1079" s="7">
        <f>IF($C1079="","",S1079*T1079)</f>
        <v/>
      </c>
      <c r="X1079">
        <f>IF($C1079="","",IF($AM1079=1,0,IF($AL1079=1,Settings!$C$6,Settings!$C$7))*100)</f>
        <v/>
      </c>
      <c r="AB1079" s="7" t="n"/>
      <c r="AE1079" s="11" t="n"/>
      <c r="AG1079" s="7">
        <f>IF($C1079="","",U1079*X1079/100)</f>
        <v/>
      </c>
      <c r="AH1079" s="7">
        <f>IF($C1079="","",U1079-AG1079)</f>
        <v/>
      </c>
      <c r="AI1079" s="7">
        <f>IF($C1079="","",AH1079-M1079)</f>
        <v/>
      </c>
      <c r="AJ1079">
        <f>IF($C1079="","",IF(COUNTIF($C$2:$C1079,$C1079)=1,1,0))</f>
        <v/>
      </c>
      <c r="AK1079">
        <f>IF($AJ1079=1,SUMPRODUCT(--($AN$2:$AN$4001&lt;$AN1079))+1,"")</f>
        <v/>
      </c>
      <c r="AL1079">
        <f>IF($C1079="","",IF(OR($Q1079=TRUE(),$Q1079="TRUE"),1,0))</f>
        <v/>
      </c>
      <c r="AM1079">
        <f>IF($C1079="","",IF($W1079="Yes",1,0))</f>
        <v/>
      </c>
      <c r="AN1079">
        <f>IF($AJ1079=1,IFERROR(IF(VALUE($C1079)&lt;100000000,VALUE($C1079),1000000000),IFERROR(IF(VALUE(MID($C1079,2,20))&lt;100000000,VALUE(MID($C1079,2,20)),1000000000),1000000000))+ROW()/100000,"")</f>
        <v/>
      </c>
    </row>
    <row r="1080">
      <c r="E1080" s="11" t="n"/>
      <c r="M1080" s="7">
        <f>IF($C1080="","",L1080*U1080/100)</f>
        <v/>
      </c>
      <c r="N1080" s="7" t="n"/>
      <c r="T1080" s="7" t="n"/>
      <c r="U1080" s="7">
        <f>IF($C1080="","",S1080*T1080)</f>
        <v/>
      </c>
      <c r="X1080">
        <f>IF($C1080="","",IF($AM1080=1,0,IF($AL1080=1,Settings!$C$6,Settings!$C$7))*100)</f>
        <v/>
      </c>
      <c r="AB1080" s="7" t="n"/>
      <c r="AE1080" s="11" t="n"/>
      <c r="AG1080" s="7">
        <f>IF($C1080="","",U1080*X1080/100)</f>
        <v/>
      </c>
      <c r="AH1080" s="7">
        <f>IF($C1080="","",U1080-AG1080)</f>
        <v/>
      </c>
      <c r="AI1080" s="7">
        <f>IF($C1080="","",AH1080-M1080)</f>
        <v/>
      </c>
      <c r="AJ1080">
        <f>IF($C1080="","",IF(COUNTIF($C$2:$C1080,$C1080)=1,1,0))</f>
        <v/>
      </c>
      <c r="AK1080">
        <f>IF($AJ1080=1,SUMPRODUCT(--($AN$2:$AN$4001&lt;$AN1080))+1,"")</f>
        <v/>
      </c>
      <c r="AL1080">
        <f>IF($C1080="","",IF(OR($Q1080=TRUE(),$Q1080="TRUE"),1,0))</f>
        <v/>
      </c>
      <c r="AM1080">
        <f>IF($C1080="","",IF($W1080="Yes",1,0))</f>
        <v/>
      </c>
      <c r="AN1080">
        <f>IF($AJ1080=1,IFERROR(IF(VALUE($C1080)&lt;100000000,VALUE($C1080),1000000000),IFERROR(IF(VALUE(MID($C1080,2,20))&lt;100000000,VALUE(MID($C1080,2,20)),1000000000),1000000000))+ROW()/100000,"")</f>
        <v/>
      </c>
    </row>
    <row r="1081">
      <c r="E1081" s="11" t="n"/>
      <c r="M1081" s="7">
        <f>IF($C1081="","",L1081*U1081/100)</f>
        <v/>
      </c>
      <c r="N1081" s="7" t="n"/>
      <c r="T1081" s="7" t="n"/>
      <c r="U1081" s="7">
        <f>IF($C1081="","",S1081*T1081)</f>
        <v/>
      </c>
      <c r="X1081">
        <f>IF($C1081="","",IF($AM1081=1,0,IF($AL1081=1,Settings!$C$6,Settings!$C$7))*100)</f>
        <v/>
      </c>
      <c r="AB1081" s="7" t="n"/>
      <c r="AE1081" s="11" t="n"/>
      <c r="AG1081" s="7">
        <f>IF($C1081="","",U1081*X1081/100)</f>
        <v/>
      </c>
      <c r="AH1081" s="7">
        <f>IF($C1081="","",U1081-AG1081)</f>
        <v/>
      </c>
      <c r="AI1081" s="7">
        <f>IF($C1081="","",AH1081-M1081)</f>
        <v/>
      </c>
      <c r="AJ1081">
        <f>IF($C1081="","",IF(COUNTIF($C$2:$C1081,$C1081)=1,1,0))</f>
        <v/>
      </c>
      <c r="AK1081">
        <f>IF($AJ1081=1,SUMPRODUCT(--($AN$2:$AN$4001&lt;$AN1081))+1,"")</f>
        <v/>
      </c>
      <c r="AL1081">
        <f>IF($C1081="","",IF(OR($Q1081=TRUE(),$Q1081="TRUE"),1,0))</f>
        <v/>
      </c>
      <c r="AM1081">
        <f>IF($C1081="","",IF($W1081="Yes",1,0))</f>
        <v/>
      </c>
      <c r="AN1081">
        <f>IF($AJ1081=1,IFERROR(IF(VALUE($C1081)&lt;100000000,VALUE($C1081),1000000000),IFERROR(IF(VALUE(MID($C1081,2,20))&lt;100000000,VALUE(MID($C1081,2,20)),1000000000),1000000000))+ROW()/100000,"")</f>
        <v/>
      </c>
    </row>
    <row r="1082">
      <c r="E1082" s="11" t="n"/>
      <c r="M1082" s="7">
        <f>IF($C1082="","",L1082*U1082/100)</f>
        <v/>
      </c>
      <c r="N1082" s="7" t="n"/>
      <c r="T1082" s="7" t="n"/>
      <c r="U1082" s="7">
        <f>IF($C1082="","",S1082*T1082)</f>
        <v/>
      </c>
      <c r="X1082">
        <f>IF($C1082="","",IF($AM1082=1,0,IF($AL1082=1,Settings!$C$6,Settings!$C$7))*100)</f>
        <v/>
      </c>
      <c r="AB1082" s="7" t="n"/>
      <c r="AE1082" s="11" t="n"/>
      <c r="AG1082" s="7">
        <f>IF($C1082="","",U1082*X1082/100)</f>
        <v/>
      </c>
      <c r="AH1082" s="7">
        <f>IF($C1082="","",U1082-AG1082)</f>
        <v/>
      </c>
      <c r="AI1082" s="7">
        <f>IF($C1082="","",AH1082-M1082)</f>
        <v/>
      </c>
      <c r="AJ1082">
        <f>IF($C1082="","",IF(COUNTIF($C$2:$C1082,$C1082)=1,1,0))</f>
        <v/>
      </c>
      <c r="AK1082">
        <f>IF($AJ1082=1,SUMPRODUCT(--($AN$2:$AN$4001&lt;$AN1082))+1,"")</f>
        <v/>
      </c>
      <c r="AL1082">
        <f>IF($C1082="","",IF(OR($Q1082=TRUE(),$Q1082="TRUE"),1,0))</f>
        <v/>
      </c>
      <c r="AM1082">
        <f>IF($C1082="","",IF($W1082="Yes",1,0))</f>
        <v/>
      </c>
      <c r="AN1082">
        <f>IF($AJ1082=1,IFERROR(IF(VALUE($C1082)&lt;100000000,VALUE($C1082),1000000000),IFERROR(IF(VALUE(MID($C1082,2,20))&lt;100000000,VALUE(MID($C1082,2,20)),1000000000),1000000000))+ROW()/100000,"")</f>
        <v/>
      </c>
    </row>
    <row r="1083">
      <c r="E1083" s="11" t="n"/>
      <c r="M1083" s="7">
        <f>IF($C1083="","",L1083*U1083/100)</f>
        <v/>
      </c>
      <c r="N1083" s="7" t="n"/>
      <c r="T1083" s="7" t="n"/>
      <c r="U1083" s="7">
        <f>IF($C1083="","",S1083*T1083)</f>
        <v/>
      </c>
      <c r="X1083">
        <f>IF($C1083="","",IF($AM1083=1,0,IF($AL1083=1,Settings!$C$6,Settings!$C$7))*100)</f>
        <v/>
      </c>
      <c r="AB1083" s="7" t="n"/>
      <c r="AE1083" s="11" t="n"/>
      <c r="AG1083" s="7">
        <f>IF($C1083="","",U1083*X1083/100)</f>
        <v/>
      </c>
      <c r="AH1083" s="7">
        <f>IF($C1083="","",U1083-AG1083)</f>
        <v/>
      </c>
      <c r="AI1083" s="7">
        <f>IF($C1083="","",AH1083-M1083)</f>
        <v/>
      </c>
      <c r="AJ1083">
        <f>IF($C1083="","",IF(COUNTIF($C$2:$C1083,$C1083)=1,1,0))</f>
        <v/>
      </c>
      <c r="AK1083">
        <f>IF($AJ1083=1,SUMPRODUCT(--($AN$2:$AN$4001&lt;$AN1083))+1,"")</f>
        <v/>
      </c>
      <c r="AL1083">
        <f>IF($C1083="","",IF(OR($Q1083=TRUE(),$Q1083="TRUE"),1,0))</f>
        <v/>
      </c>
      <c r="AM1083">
        <f>IF($C1083="","",IF($W1083="Yes",1,0))</f>
        <v/>
      </c>
      <c r="AN1083">
        <f>IF($AJ1083=1,IFERROR(IF(VALUE($C1083)&lt;100000000,VALUE($C1083),1000000000),IFERROR(IF(VALUE(MID($C1083,2,20))&lt;100000000,VALUE(MID($C1083,2,20)),1000000000),1000000000))+ROW()/100000,"")</f>
        <v/>
      </c>
    </row>
    <row r="1084">
      <c r="E1084" s="11" t="n"/>
      <c r="M1084" s="7">
        <f>IF($C1084="","",L1084*U1084/100)</f>
        <v/>
      </c>
      <c r="N1084" s="7" t="n"/>
      <c r="T1084" s="7" t="n"/>
      <c r="U1084" s="7">
        <f>IF($C1084="","",S1084*T1084)</f>
        <v/>
      </c>
      <c r="X1084">
        <f>IF($C1084="","",IF($AM1084=1,0,IF($AL1084=1,Settings!$C$6,Settings!$C$7))*100)</f>
        <v/>
      </c>
      <c r="AB1084" s="7" t="n"/>
      <c r="AE1084" s="11" t="n"/>
      <c r="AG1084" s="7">
        <f>IF($C1084="","",U1084*X1084/100)</f>
        <v/>
      </c>
      <c r="AH1084" s="7">
        <f>IF($C1084="","",U1084-AG1084)</f>
        <v/>
      </c>
      <c r="AI1084" s="7">
        <f>IF($C1084="","",AH1084-M1084)</f>
        <v/>
      </c>
      <c r="AJ1084">
        <f>IF($C1084="","",IF(COUNTIF($C$2:$C1084,$C1084)=1,1,0))</f>
        <v/>
      </c>
      <c r="AK1084">
        <f>IF($AJ1084=1,SUMPRODUCT(--($AN$2:$AN$4001&lt;$AN1084))+1,"")</f>
        <v/>
      </c>
      <c r="AL1084">
        <f>IF($C1084="","",IF(OR($Q1084=TRUE(),$Q1084="TRUE"),1,0))</f>
        <v/>
      </c>
      <c r="AM1084">
        <f>IF($C1084="","",IF($W1084="Yes",1,0))</f>
        <v/>
      </c>
      <c r="AN1084">
        <f>IF($AJ1084=1,IFERROR(IF(VALUE($C1084)&lt;100000000,VALUE($C1084),1000000000),IFERROR(IF(VALUE(MID($C1084,2,20))&lt;100000000,VALUE(MID($C1084,2,20)),1000000000),1000000000))+ROW()/100000,"")</f>
        <v/>
      </c>
    </row>
    <row r="1085">
      <c r="E1085" s="11" t="n"/>
      <c r="M1085" s="7">
        <f>IF($C1085="","",L1085*U1085/100)</f>
        <v/>
      </c>
      <c r="N1085" s="7" t="n"/>
      <c r="T1085" s="7" t="n"/>
      <c r="U1085" s="7">
        <f>IF($C1085="","",S1085*T1085)</f>
        <v/>
      </c>
      <c r="X1085">
        <f>IF($C1085="","",IF($AM1085=1,0,IF($AL1085=1,Settings!$C$6,Settings!$C$7))*100)</f>
        <v/>
      </c>
      <c r="AB1085" s="7" t="n"/>
      <c r="AE1085" s="11" t="n"/>
      <c r="AG1085" s="7">
        <f>IF($C1085="","",U1085*X1085/100)</f>
        <v/>
      </c>
      <c r="AH1085" s="7">
        <f>IF($C1085="","",U1085-AG1085)</f>
        <v/>
      </c>
      <c r="AI1085" s="7">
        <f>IF($C1085="","",AH1085-M1085)</f>
        <v/>
      </c>
      <c r="AJ1085">
        <f>IF($C1085="","",IF(COUNTIF($C$2:$C1085,$C1085)=1,1,0))</f>
        <v/>
      </c>
      <c r="AK1085">
        <f>IF($AJ1085=1,SUMPRODUCT(--($AN$2:$AN$4001&lt;$AN1085))+1,"")</f>
        <v/>
      </c>
      <c r="AL1085">
        <f>IF($C1085="","",IF(OR($Q1085=TRUE(),$Q1085="TRUE"),1,0))</f>
        <v/>
      </c>
      <c r="AM1085">
        <f>IF($C1085="","",IF($W1085="Yes",1,0))</f>
        <v/>
      </c>
      <c r="AN1085">
        <f>IF($AJ1085=1,IFERROR(IF(VALUE($C1085)&lt;100000000,VALUE($C1085),1000000000),IFERROR(IF(VALUE(MID($C1085,2,20))&lt;100000000,VALUE(MID($C1085,2,20)),1000000000),1000000000))+ROW()/100000,"")</f>
        <v/>
      </c>
    </row>
    <row r="1086">
      <c r="E1086" s="11" t="n"/>
      <c r="M1086" s="7">
        <f>IF($C1086="","",L1086*U1086/100)</f>
        <v/>
      </c>
      <c r="N1086" s="7" t="n"/>
      <c r="T1086" s="7" t="n"/>
      <c r="U1086" s="7">
        <f>IF($C1086="","",S1086*T1086)</f>
        <v/>
      </c>
      <c r="X1086">
        <f>IF($C1086="","",IF($AM1086=1,0,IF($AL1086=1,Settings!$C$6,Settings!$C$7))*100)</f>
        <v/>
      </c>
      <c r="AB1086" s="7" t="n"/>
      <c r="AE1086" s="11" t="n"/>
      <c r="AG1086" s="7">
        <f>IF($C1086="","",U1086*X1086/100)</f>
        <v/>
      </c>
      <c r="AH1086" s="7">
        <f>IF($C1086="","",U1086-AG1086)</f>
        <v/>
      </c>
      <c r="AI1086" s="7">
        <f>IF($C1086="","",AH1086-M1086)</f>
        <v/>
      </c>
      <c r="AJ1086">
        <f>IF($C1086="","",IF(COUNTIF($C$2:$C1086,$C1086)=1,1,0))</f>
        <v/>
      </c>
      <c r="AK1086">
        <f>IF($AJ1086=1,SUMPRODUCT(--($AN$2:$AN$4001&lt;$AN1086))+1,"")</f>
        <v/>
      </c>
      <c r="AL1086">
        <f>IF($C1086="","",IF(OR($Q1086=TRUE(),$Q1086="TRUE"),1,0))</f>
        <v/>
      </c>
      <c r="AM1086">
        <f>IF($C1086="","",IF($W1086="Yes",1,0))</f>
        <v/>
      </c>
      <c r="AN1086">
        <f>IF($AJ1086=1,IFERROR(IF(VALUE($C1086)&lt;100000000,VALUE($C1086),1000000000),IFERROR(IF(VALUE(MID($C1086,2,20))&lt;100000000,VALUE(MID($C1086,2,20)),1000000000),1000000000))+ROW()/100000,"")</f>
        <v/>
      </c>
    </row>
    <row r="1087">
      <c r="E1087" s="11" t="n"/>
      <c r="M1087" s="7">
        <f>IF($C1087="","",L1087*U1087/100)</f>
        <v/>
      </c>
      <c r="N1087" s="7" t="n"/>
      <c r="T1087" s="7" t="n"/>
      <c r="U1087" s="7">
        <f>IF($C1087="","",S1087*T1087)</f>
        <v/>
      </c>
      <c r="X1087">
        <f>IF($C1087="","",IF($AM1087=1,0,IF($AL1087=1,Settings!$C$6,Settings!$C$7))*100)</f>
        <v/>
      </c>
      <c r="AB1087" s="7" t="n"/>
      <c r="AE1087" s="11" t="n"/>
      <c r="AG1087" s="7">
        <f>IF($C1087="","",U1087*X1087/100)</f>
        <v/>
      </c>
      <c r="AH1087" s="7">
        <f>IF($C1087="","",U1087-AG1087)</f>
        <v/>
      </c>
      <c r="AI1087" s="7">
        <f>IF($C1087="","",AH1087-M1087)</f>
        <v/>
      </c>
      <c r="AJ1087">
        <f>IF($C1087="","",IF(COUNTIF($C$2:$C1087,$C1087)=1,1,0))</f>
        <v/>
      </c>
      <c r="AK1087">
        <f>IF($AJ1087=1,SUMPRODUCT(--($AN$2:$AN$4001&lt;$AN1087))+1,"")</f>
        <v/>
      </c>
      <c r="AL1087">
        <f>IF($C1087="","",IF(OR($Q1087=TRUE(),$Q1087="TRUE"),1,0))</f>
        <v/>
      </c>
      <c r="AM1087">
        <f>IF($C1087="","",IF($W1087="Yes",1,0))</f>
        <v/>
      </c>
      <c r="AN1087">
        <f>IF($AJ1087=1,IFERROR(IF(VALUE($C1087)&lt;100000000,VALUE($C1087),1000000000),IFERROR(IF(VALUE(MID($C1087,2,20))&lt;100000000,VALUE(MID($C1087,2,20)),1000000000),1000000000))+ROW()/100000,"")</f>
        <v/>
      </c>
    </row>
    <row r="1088">
      <c r="E1088" s="11" t="n"/>
      <c r="M1088" s="7">
        <f>IF($C1088="","",L1088*U1088/100)</f>
        <v/>
      </c>
      <c r="N1088" s="7" t="n"/>
      <c r="T1088" s="7" t="n"/>
      <c r="U1088" s="7">
        <f>IF($C1088="","",S1088*T1088)</f>
        <v/>
      </c>
      <c r="X1088">
        <f>IF($C1088="","",IF($AM1088=1,0,IF($AL1088=1,Settings!$C$6,Settings!$C$7))*100)</f>
        <v/>
      </c>
      <c r="AB1088" s="7" t="n"/>
      <c r="AE1088" s="11" t="n"/>
      <c r="AG1088" s="7">
        <f>IF($C1088="","",U1088*X1088/100)</f>
        <v/>
      </c>
      <c r="AH1088" s="7">
        <f>IF($C1088="","",U1088-AG1088)</f>
        <v/>
      </c>
      <c r="AI1088" s="7">
        <f>IF($C1088="","",AH1088-M1088)</f>
        <v/>
      </c>
      <c r="AJ1088">
        <f>IF($C1088="","",IF(COUNTIF($C$2:$C1088,$C1088)=1,1,0))</f>
        <v/>
      </c>
      <c r="AK1088">
        <f>IF($AJ1088=1,SUMPRODUCT(--($AN$2:$AN$4001&lt;$AN1088))+1,"")</f>
        <v/>
      </c>
      <c r="AL1088">
        <f>IF($C1088="","",IF(OR($Q1088=TRUE(),$Q1088="TRUE"),1,0))</f>
        <v/>
      </c>
      <c r="AM1088">
        <f>IF($C1088="","",IF($W1088="Yes",1,0))</f>
        <v/>
      </c>
      <c r="AN1088">
        <f>IF($AJ1088=1,IFERROR(IF(VALUE($C1088)&lt;100000000,VALUE($C1088),1000000000),IFERROR(IF(VALUE(MID($C1088,2,20))&lt;100000000,VALUE(MID($C1088,2,20)),1000000000),1000000000))+ROW()/100000,"")</f>
        <v/>
      </c>
    </row>
    <row r="1089">
      <c r="E1089" s="11" t="n"/>
      <c r="M1089" s="7">
        <f>IF($C1089="","",L1089*U1089/100)</f>
        <v/>
      </c>
      <c r="N1089" s="7" t="n"/>
      <c r="T1089" s="7" t="n"/>
      <c r="U1089" s="7">
        <f>IF($C1089="","",S1089*T1089)</f>
        <v/>
      </c>
      <c r="X1089">
        <f>IF($C1089="","",IF($AM1089=1,0,IF($AL1089=1,Settings!$C$6,Settings!$C$7))*100)</f>
        <v/>
      </c>
      <c r="AB1089" s="7" t="n"/>
      <c r="AE1089" s="11" t="n"/>
      <c r="AG1089" s="7">
        <f>IF($C1089="","",U1089*X1089/100)</f>
        <v/>
      </c>
      <c r="AH1089" s="7">
        <f>IF($C1089="","",U1089-AG1089)</f>
        <v/>
      </c>
      <c r="AI1089" s="7">
        <f>IF($C1089="","",AH1089-M1089)</f>
        <v/>
      </c>
      <c r="AJ1089">
        <f>IF($C1089="","",IF(COUNTIF($C$2:$C1089,$C1089)=1,1,0))</f>
        <v/>
      </c>
      <c r="AK1089">
        <f>IF($AJ1089=1,SUMPRODUCT(--($AN$2:$AN$4001&lt;$AN1089))+1,"")</f>
        <v/>
      </c>
      <c r="AL1089">
        <f>IF($C1089="","",IF(OR($Q1089=TRUE(),$Q1089="TRUE"),1,0))</f>
        <v/>
      </c>
      <c r="AM1089">
        <f>IF($C1089="","",IF($W1089="Yes",1,0))</f>
        <v/>
      </c>
      <c r="AN1089">
        <f>IF($AJ1089=1,IFERROR(IF(VALUE($C1089)&lt;100000000,VALUE($C1089),1000000000),IFERROR(IF(VALUE(MID($C1089,2,20))&lt;100000000,VALUE(MID($C1089,2,20)),1000000000),1000000000))+ROW()/100000,"")</f>
        <v/>
      </c>
    </row>
    <row r="1090">
      <c r="E1090" s="11" t="n"/>
      <c r="M1090" s="7">
        <f>IF($C1090="","",L1090*U1090/100)</f>
        <v/>
      </c>
      <c r="N1090" s="7" t="n"/>
      <c r="T1090" s="7" t="n"/>
      <c r="U1090" s="7">
        <f>IF($C1090="","",S1090*T1090)</f>
        <v/>
      </c>
      <c r="X1090">
        <f>IF($C1090="","",IF($AM1090=1,0,IF($AL1090=1,Settings!$C$6,Settings!$C$7))*100)</f>
        <v/>
      </c>
      <c r="AB1090" s="7" t="n"/>
      <c r="AE1090" s="11" t="n"/>
      <c r="AG1090" s="7">
        <f>IF($C1090="","",U1090*X1090/100)</f>
        <v/>
      </c>
      <c r="AH1090" s="7">
        <f>IF($C1090="","",U1090-AG1090)</f>
        <v/>
      </c>
      <c r="AI1090" s="7">
        <f>IF($C1090="","",AH1090-M1090)</f>
        <v/>
      </c>
      <c r="AJ1090">
        <f>IF($C1090="","",IF(COUNTIF($C$2:$C1090,$C1090)=1,1,0))</f>
        <v/>
      </c>
      <c r="AK1090">
        <f>IF($AJ1090=1,SUMPRODUCT(--($AN$2:$AN$4001&lt;$AN1090))+1,"")</f>
        <v/>
      </c>
      <c r="AL1090">
        <f>IF($C1090="","",IF(OR($Q1090=TRUE(),$Q1090="TRUE"),1,0))</f>
        <v/>
      </c>
      <c r="AM1090">
        <f>IF($C1090="","",IF($W1090="Yes",1,0))</f>
        <v/>
      </c>
      <c r="AN1090">
        <f>IF($AJ1090=1,IFERROR(IF(VALUE($C1090)&lt;100000000,VALUE($C1090),1000000000),IFERROR(IF(VALUE(MID($C1090,2,20))&lt;100000000,VALUE(MID($C1090,2,20)),1000000000),1000000000))+ROW()/100000,"")</f>
        <v/>
      </c>
    </row>
    <row r="1091">
      <c r="E1091" s="11" t="n"/>
      <c r="M1091" s="7">
        <f>IF($C1091="","",L1091*U1091/100)</f>
        <v/>
      </c>
      <c r="N1091" s="7" t="n"/>
      <c r="T1091" s="7" t="n"/>
      <c r="U1091" s="7">
        <f>IF($C1091="","",S1091*T1091)</f>
        <v/>
      </c>
      <c r="X1091">
        <f>IF($C1091="","",IF($AM1091=1,0,IF($AL1091=1,Settings!$C$6,Settings!$C$7))*100)</f>
        <v/>
      </c>
      <c r="AB1091" s="7" t="n"/>
      <c r="AE1091" s="11" t="n"/>
      <c r="AG1091" s="7">
        <f>IF($C1091="","",U1091*X1091/100)</f>
        <v/>
      </c>
      <c r="AH1091" s="7">
        <f>IF($C1091="","",U1091-AG1091)</f>
        <v/>
      </c>
      <c r="AI1091" s="7">
        <f>IF($C1091="","",AH1091-M1091)</f>
        <v/>
      </c>
      <c r="AJ1091">
        <f>IF($C1091="","",IF(COUNTIF($C$2:$C1091,$C1091)=1,1,0))</f>
        <v/>
      </c>
      <c r="AK1091">
        <f>IF($AJ1091=1,SUMPRODUCT(--($AN$2:$AN$4001&lt;$AN1091))+1,"")</f>
        <v/>
      </c>
      <c r="AL1091">
        <f>IF($C1091="","",IF(OR($Q1091=TRUE(),$Q1091="TRUE"),1,0))</f>
        <v/>
      </c>
      <c r="AM1091">
        <f>IF($C1091="","",IF($W1091="Yes",1,0))</f>
        <v/>
      </c>
      <c r="AN1091">
        <f>IF($AJ1091=1,IFERROR(IF(VALUE($C1091)&lt;100000000,VALUE($C1091),1000000000),IFERROR(IF(VALUE(MID($C1091,2,20))&lt;100000000,VALUE(MID($C1091,2,20)),1000000000),1000000000))+ROW()/100000,"")</f>
        <v/>
      </c>
    </row>
    <row r="1092">
      <c r="E1092" s="11" t="n"/>
      <c r="M1092" s="7">
        <f>IF($C1092="","",L1092*U1092/100)</f>
        <v/>
      </c>
      <c r="N1092" s="7" t="n"/>
      <c r="T1092" s="7" t="n"/>
      <c r="U1092" s="7">
        <f>IF($C1092="","",S1092*T1092)</f>
        <v/>
      </c>
      <c r="X1092">
        <f>IF($C1092="","",IF($AM1092=1,0,IF($AL1092=1,Settings!$C$6,Settings!$C$7))*100)</f>
        <v/>
      </c>
      <c r="AB1092" s="7" t="n"/>
      <c r="AE1092" s="11" t="n"/>
      <c r="AG1092" s="7">
        <f>IF($C1092="","",U1092*X1092/100)</f>
        <v/>
      </c>
      <c r="AH1092" s="7">
        <f>IF($C1092="","",U1092-AG1092)</f>
        <v/>
      </c>
      <c r="AI1092" s="7">
        <f>IF($C1092="","",AH1092-M1092)</f>
        <v/>
      </c>
      <c r="AJ1092">
        <f>IF($C1092="","",IF(COUNTIF($C$2:$C1092,$C1092)=1,1,0))</f>
        <v/>
      </c>
      <c r="AK1092">
        <f>IF($AJ1092=1,SUMPRODUCT(--($AN$2:$AN$4001&lt;$AN1092))+1,"")</f>
        <v/>
      </c>
      <c r="AL1092">
        <f>IF($C1092="","",IF(OR($Q1092=TRUE(),$Q1092="TRUE"),1,0))</f>
        <v/>
      </c>
      <c r="AM1092">
        <f>IF($C1092="","",IF($W1092="Yes",1,0))</f>
        <v/>
      </c>
      <c r="AN1092">
        <f>IF($AJ1092=1,IFERROR(IF(VALUE($C1092)&lt;100000000,VALUE($C1092),1000000000),IFERROR(IF(VALUE(MID($C1092,2,20))&lt;100000000,VALUE(MID($C1092,2,20)),1000000000),1000000000))+ROW()/100000,"")</f>
        <v/>
      </c>
    </row>
    <row r="1093">
      <c r="E1093" s="11" t="n"/>
      <c r="M1093" s="7">
        <f>IF($C1093="","",L1093*U1093/100)</f>
        <v/>
      </c>
      <c r="N1093" s="7" t="n"/>
      <c r="T1093" s="7" t="n"/>
      <c r="U1093" s="7">
        <f>IF($C1093="","",S1093*T1093)</f>
        <v/>
      </c>
      <c r="X1093">
        <f>IF($C1093="","",IF($AM1093=1,0,IF($AL1093=1,Settings!$C$6,Settings!$C$7))*100)</f>
        <v/>
      </c>
      <c r="AB1093" s="7" t="n"/>
      <c r="AE1093" s="11" t="n"/>
      <c r="AG1093" s="7">
        <f>IF($C1093="","",U1093*X1093/100)</f>
        <v/>
      </c>
      <c r="AH1093" s="7">
        <f>IF($C1093="","",U1093-AG1093)</f>
        <v/>
      </c>
      <c r="AI1093" s="7">
        <f>IF($C1093="","",AH1093-M1093)</f>
        <v/>
      </c>
      <c r="AJ1093">
        <f>IF($C1093="","",IF(COUNTIF($C$2:$C1093,$C1093)=1,1,0))</f>
        <v/>
      </c>
      <c r="AK1093">
        <f>IF($AJ1093=1,SUMPRODUCT(--($AN$2:$AN$4001&lt;$AN1093))+1,"")</f>
        <v/>
      </c>
      <c r="AL1093">
        <f>IF($C1093="","",IF(OR($Q1093=TRUE(),$Q1093="TRUE"),1,0))</f>
        <v/>
      </c>
      <c r="AM1093">
        <f>IF($C1093="","",IF($W1093="Yes",1,0))</f>
        <v/>
      </c>
      <c r="AN1093">
        <f>IF($AJ1093=1,IFERROR(IF(VALUE($C1093)&lt;100000000,VALUE($C1093),1000000000),IFERROR(IF(VALUE(MID($C1093,2,20))&lt;100000000,VALUE(MID($C1093,2,20)),1000000000),1000000000))+ROW()/100000,"")</f>
        <v/>
      </c>
    </row>
    <row r="1094">
      <c r="E1094" s="11" t="n"/>
      <c r="M1094" s="7">
        <f>IF($C1094="","",L1094*U1094/100)</f>
        <v/>
      </c>
      <c r="N1094" s="7" t="n"/>
      <c r="T1094" s="7" t="n"/>
      <c r="U1094" s="7">
        <f>IF($C1094="","",S1094*T1094)</f>
        <v/>
      </c>
      <c r="X1094">
        <f>IF($C1094="","",IF($AM1094=1,0,IF($AL1094=1,Settings!$C$6,Settings!$C$7))*100)</f>
        <v/>
      </c>
      <c r="AB1094" s="7" t="n"/>
      <c r="AE1094" s="11" t="n"/>
      <c r="AG1094" s="7">
        <f>IF($C1094="","",U1094*X1094/100)</f>
        <v/>
      </c>
      <c r="AH1094" s="7">
        <f>IF($C1094="","",U1094-AG1094)</f>
        <v/>
      </c>
      <c r="AI1094" s="7">
        <f>IF($C1094="","",AH1094-M1094)</f>
        <v/>
      </c>
      <c r="AJ1094">
        <f>IF($C1094="","",IF(COUNTIF($C$2:$C1094,$C1094)=1,1,0))</f>
        <v/>
      </c>
      <c r="AK1094">
        <f>IF($AJ1094=1,SUMPRODUCT(--($AN$2:$AN$4001&lt;$AN1094))+1,"")</f>
        <v/>
      </c>
      <c r="AL1094">
        <f>IF($C1094="","",IF(OR($Q1094=TRUE(),$Q1094="TRUE"),1,0))</f>
        <v/>
      </c>
      <c r="AM1094">
        <f>IF($C1094="","",IF($W1094="Yes",1,0))</f>
        <v/>
      </c>
      <c r="AN1094">
        <f>IF($AJ1094=1,IFERROR(IF(VALUE($C1094)&lt;100000000,VALUE($C1094),1000000000),IFERROR(IF(VALUE(MID($C1094,2,20))&lt;100000000,VALUE(MID($C1094,2,20)),1000000000),1000000000))+ROW()/100000,"")</f>
        <v/>
      </c>
    </row>
    <row r="1095">
      <c r="E1095" s="11" t="n"/>
      <c r="M1095" s="7">
        <f>IF($C1095="","",L1095*U1095/100)</f>
        <v/>
      </c>
      <c r="N1095" s="7" t="n"/>
      <c r="T1095" s="7" t="n"/>
      <c r="U1095" s="7">
        <f>IF($C1095="","",S1095*T1095)</f>
        <v/>
      </c>
      <c r="X1095">
        <f>IF($C1095="","",IF($AM1095=1,0,IF($AL1095=1,Settings!$C$6,Settings!$C$7))*100)</f>
        <v/>
      </c>
      <c r="AB1095" s="7" t="n"/>
      <c r="AE1095" s="11" t="n"/>
      <c r="AG1095" s="7">
        <f>IF($C1095="","",U1095*X1095/100)</f>
        <v/>
      </c>
      <c r="AH1095" s="7">
        <f>IF($C1095="","",U1095-AG1095)</f>
        <v/>
      </c>
      <c r="AI1095" s="7">
        <f>IF($C1095="","",AH1095-M1095)</f>
        <v/>
      </c>
      <c r="AJ1095">
        <f>IF($C1095="","",IF(COUNTIF($C$2:$C1095,$C1095)=1,1,0))</f>
        <v/>
      </c>
      <c r="AK1095">
        <f>IF($AJ1095=1,SUMPRODUCT(--($AN$2:$AN$4001&lt;$AN1095))+1,"")</f>
        <v/>
      </c>
      <c r="AL1095">
        <f>IF($C1095="","",IF(OR($Q1095=TRUE(),$Q1095="TRUE"),1,0))</f>
        <v/>
      </c>
      <c r="AM1095">
        <f>IF($C1095="","",IF($W1095="Yes",1,0))</f>
        <v/>
      </c>
      <c r="AN1095">
        <f>IF($AJ1095=1,IFERROR(IF(VALUE($C1095)&lt;100000000,VALUE($C1095),1000000000),IFERROR(IF(VALUE(MID($C1095,2,20))&lt;100000000,VALUE(MID($C1095,2,20)),1000000000),1000000000))+ROW()/100000,"")</f>
        <v/>
      </c>
    </row>
    <row r="1096">
      <c r="E1096" s="11" t="n"/>
      <c r="M1096" s="7">
        <f>IF($C1096="","",L1096*U1096/100)</f>
        <v/>
      </c>
      <c r="N1096" s="7" t="n"/>
      <c r="T1096" s="7" t="n"/>
      <c r="U1096" s="7">
        <f>IF($C1096="","",S1096*T1096)</f>
        <v/>
      </c>
      <c r="X1096">
        <f>IF($C1096="","",IF($AM1096=1,0,IF($AL1096=1,Settings!$C$6,Settings!$C$7))*100)</f>
        <v/>
      </c>
      <c r="AB1096" s="7" t="n"/>
      <c r="AE1096" s="11" t="n"/>
      <c r="AG1096" s="7">
        <f>IF($C1096="","",U1096*X1096/100)</f>
        <v/>
      </c>
      <c r="AH1096" s="7">
        <f>IF($C1096="","",U1096-AG1096)</f>
        <v/>
      </c>
      <c r="AI1096" s="7">
        <f>IF($C1096="","",AH1096-M1096)</f>
        <v/>
      </c>
      <c r="AJ1096">
        <f>IF($C1096="","",IF(COUNTIF($C$2:$C1096,$C1096)=1,1,0))</f>
        <v/>
      </c>
      <c r="AK1096">
        <f>IF($AJ1096=1,SUMPRODUCT(--($AN$2:$AN$4001&lt;$AN1096))+1,"")</f>
        <v/>
      </c>
      <c r="AL1096">
        <f>IF($C1096="","",IF(OR($Q1096=TRUE(),$Q1096="TRUE"),1,0))</f>
        <v/>
      </c>
      <c r="AM1096">
        <f>IF($C1096="","",IF($W1096="Yes",1,0))</f>
        <v/>
      </c>
      <c r="AN1096">
        <f>IF($AJ1096=1,IFERROR(IF(VALUE($C1096)&lt;100000000,VALUE($C1096),1000000000),IFERROR(IF(VALUE(MID($C1096,2,20))&lt;100000000,VALUE(MID($C1096,2,20)),1000000000),1000000000))+ROW()/100000,"")</f>
        <v/>
      </c>
    </row>
    <row r="1097">
      <c r="E1097" s="11" t="n"/>
      <c r="M1097" s="7">
        <f>IF($C1097="","",L1097*U1097/100)</f>
        <v/>
      </c>
      <c r="N1097" s="7" t="n"/>
      <c r="T1097" s="7" t="n"/>
      <c r="U1097" s="7">
        <f>IF($C1097="","",S1097*T1097)</f>
        <v/>
      </c>
      <c r="X1097">
        <f>IF($C1097="","",IF($AM1097=1,0,IF($AL1097=1,Settings!$C$6,Settings!$C$7))*100)</f>
        <v/>
      </c>
      <c r="AB1097" s="7" t="n"/>
      <c r="AE1097" s="11" t="n"/>
      <c r="AG1097" s="7">
        <f>IF($C1097="","",U1097*X1097/100)</f>
        <v/>
      </c>
      <c r="AH1097" s="7">
        <f>IF($C1097="","",U1097-AG1097)</f>
        <v/>
      </c>
      <c r="AI1097" s="7">
        <f>IF($C1097="","",AH1097-M1097)</f>
        <v/>
      </c>
      <c r="AJ1097">
        <f>IF($C1097="","",IF(COUNTIF($C$2:$C1097,$C1097)=1,1,0))</f>
        <v/>
      </c>
      <c r="AK1097">
        <f>IF($AJ1097=1,SUMPRODUCT(--($AN$2:$AN$4001&lt;$AN1097))+1,"")</f>
        <v/>
      </c>
      <c r="AL1097">
        <f>IF($C1097="","",IF(OR($Q1097=TRUE(),$Q1097="TRUE"),1,0))</f>
        <v/>
      </c>
      <c r="AM1097">
        <f>IF($C1097="","",IF($W1097="Yes",1,0))</f>
        <v/>
      </c>
      <c r="AN1097">
        <f>IF($AJ1097=1,IFERROR(IF(VALUE($C1097)&lt;100000000,VALUE($C1097),1000000000),IFERROR(IF(VALUE(MID($C1097,2,20))&lt;100000000,VALUE(MID($C1097,2,20)),1000000000),1000000000))+ROW()/100000,"")</f>
        <v/>
      </c>
    </row>
    <row r="1098">
      <c r="E1098" s="11" t="n"/>
      <c r="M1098" s="7">
        <f>IF($C1098="","",L1098*U1098/100)</f>
        <v/>
      </c>
      <c r="N1098" s="7" t="n"/>
      <c r="T1098" s="7" t="n"/>
      <c r="U1098" s="7">
        <f>IF($C1098="","",S1098*T1098)</f>
        <v/>
      </c>
      <c r="X1098">
        <f>IF($C1098="","",IF($AM1098=1,0,IF($AL1098=1,Settings!$C$6,Settings!$C$7))*100)</f>
        <v/>
      </c>
      <c r="AB1098" s="7" t="n"/>
      <c r="AE1098" s="11" t="n"/>
      <c r="AG1098" s="7">
        <f>IF($C1098="","",U1098*X1098/100)</f>
        <v/>
      </c>
      <c r="AH1098" s="7">
        <f>IF($C1098="","",U1098-AG1098)</f>
        <v/>
      </c>
      <c r="AI1098" s="7">
        <f>IF($C1098="","",AH1098-M1098)</f>
        <v/>
      </c>
      <c r="AJ1098">
        <f>IF($C1098="","",IF(COUNTIF($C$2:$C1098,$C1098)=1,1,0))</f>
        <v/>
      </c>
      <c r="AK1098">
        <f>IF($AJ1098=1,SUMPRODUCT(--($AN$2:$AN$4001&lt;$AN1098))+1,"")</f>
        <v/>
      </c>
      <c r="AL1098">
        <f>IF($C1098="","",IF(OR($Q1098=TRUE(),$Q1098="TRUE"),1,0))</f>
        <v/>
      </c>
      <c r="AM1098">
        <f>IF($C1098="","",IF($W1098="Yes",1,0))</f>
        <v/>
      </c>
      <c r="AN1098">
        <f>IF($AJ1098=1,IFERROR(IF(VALUE($C1098)&lt;100000000,VALUE($C1098),1000000000),IFERROR(IF(VALUE(MID($C1098,2,20))&lt;100000000,VALUE(MID($C1098,2,20)),1000000000),1000000000))+ROW()/100000,"")</f>
        <v/>
      </c>
    </row>
    <row r="1099">
      <c r="E1099" s="11" t="n"/>
      <c r="M1099" s="7">
        <f>IF($C1099="","",L1099*U1099/100)</f>
        <v/>
      </c>
      <c r="N1099" s="7" t="n"/>
      <c r="T1099" s="7" t="n"/>
      <c r="U1099" s="7">
        <f>IF($C1099="","",S1099*T1099)</f>
        <v/>
      </c>
      <c r="X1099">
        <f>IF($C1099="","",IF($AM1099=1,0,IF($AL1099=1,Settings!$C$6,Settings!$C$7))*100)</f>
        <v/>
      </c>
      <c r="AB1099" s="7" t="n"/>
      <c r="AE1099" s="11" t="n"/>
      <c r="AG1099" s="7">
        <f>IF($C1099="","",U1099*X1099/100)</f>
        <v/>
      </c>
      <c r="AH1099" s="7">
        <f>IF($C1099="","",U1099-AG1099)</f>
        <v/>
      </c>
      <c r="AI1099" s="7">
        <f>IF($C1099="","",AH1099-M1099)</f>
        <v/>
      </c>
      <c r="AJ1099">
        <f>IF($C1099="","",IF(COUNTIF($C$2:$C1099,$C1099)=1,1,0))</f>
        <v/>
      </c>
      <c r="AK1099">
        <f>IF($AJ1099=1,SUMPRODUCT(--($AN$2:$AN$4001&lt;$AN1099))+1,"")</f>
        <v/>
      </c>
      <c r="AL1099">
        <f>IF($C1099="","",IF(OR($Q1099=TRUE(),$Q1099="TRUE"),1,0))</f>
        <v/>
      </c>
      <c r="AM1099">
        <f>IF($C1099="","",IF($W1099="Yes",1,0))</f>
        <v/>
      </c>
      <c r="AN1099">
        <f>IF($AJ1099=1,IFERROR(IF(VALUE($C1099)&lt;100000000,VALUE($C1099),1000000000),IFERROR(IF(VALUE(MID($C1099,2,20))&lt;100000000,VALUE(MID($C1099,2,20)),1000000000),1000000000))+ROW()/100000,"")</f>
        <v/>
      </c>
    </row>
    <row r="1100">
      <c r="E1100" s="11" t="n"/>
      <c r="M1100" s="7">
        <f>IF($C1100="","",L1100*U1100/100)</f>
        <v/>
      </c>
      <c r="N1100" s="7" t="n"/>
      <c r="T1100" s="7" t="n"/>
      <c r="U1100" s="7">
        <f>IF($C1100="","",S1100*T1100)</f>
        <v/>
      </c>
      <c r="X1100">
        <f>IF($C1100="","",IF($AM1100=1,0,IF($AL1100=1,Settings!$C$6,Settings!$C$7))*100)</f>
        <v/>
      </c>
      <c r="AB1100" s="7" t="n"/>
      <c r="AE1100" s="11" t="n"/>
      <c r="AG1100" s="7">
        <f>IF($C1100="","",U1100*X1100/100)</f>
        <v/>
      </c>
      <c r="AH1100" s="7">
        <f>IF($C1100="","",U1100-AG1100)</f>
        <v/>
      </c>
      <c r="AI1100" s="7">
        <f>IF($C1100="","",AH1100-M1100)</f>
        <v/>
      </c>
      <c r="AJ1100">
        <f>IF($C1100="","",IF(COUNTIF($C$2:$C1100,$C1100)=1,1,0))</f>
        <v/>
      </c>
      <c r="AK1100">
        <f>IF($AJ1100=1,SUMPRODUCT(--($AN$2:$AN$4001&lt;$AN1100))+1,"")</f>
        <v/>
      </c>
      <c r="AL1100">
        <f>IF($C1100="","",IF(OR($Q1100=TRUE(),$Q1100="TRUE"),1,0))</f>
        <v/>
      </c>
      <c r="AM1100">
        <f>IF($C1100="","",IF($W1100="Yes",1,0))</f>
        <v/>
      </c>
      <c r="AN1100">
        <f>IF($AJ1100=1,IFERROR(IF(VALUE($C1100)&lt;100000000,VALUE($C1100),1000000000),IFERROR(IF(VALUE(MID($C1100,2,20))&lt;100000000,VALUE(MID($C1100,2,20)),1000000000),1000000000))+ROW()/100000,"")</f>
        <v/>
      </c>
    </row>
    <row r="1101">
      <c r="E1101" s="11" t="n"/>
      <c r="M1101" s="7">
        <f>IF($C1101="","",L1101*U1101/100)</f>
        <v/>
      </c>
      <c r="N1101" s="7" t="n"/>
      <c r="T1101" s="7" t="n"/>
      <c r="U1101" s="7">
        <f>IF($C1101="","",S1101*T1101)</f>
        <v/>
      </c>
      <c r="X1101">
        <f>IF($C1101="","",IF($AM1101=1,0,IF($AL1101=1,Settings!$C$6,Settings!$C$7))*100)</f>
        <v/>
      </c>
      <c r="AB1101" s="7" t="n"/>
      <c r="AE1101" s="11" t="n"/>
      <c r="AG1101" s="7">
        <f>IF($C1101="","",U1101*X1101/100)</f>
        <v/>
      </c>
      <c r="AH1101" s="7">
        <f>IF($C1101="","",U1101-AG1101)</f>
        <v/>
      </c>
      <c r="AI1101" s="7">
        <f>IF($C1101="","",AH1101-M1101)</f>
        <v/>
      </c>
      <c r="AJ1101">
        <f>IF($C1101="","",IF(COUNTIF($C$2:$C1101,$C1101)=1,1,0))</f>
        <v/>
      </c>
      <c r="AK1101">
        <f>IF($AJ1101=1,SUMPRODUCT(--($AN$2:$AN$4001&lt;$AN1101))+1,"")</f>
        <v/>
      </c>
      <c r="AL1101">
        <f>IF($C1101="","",IF(OR($Q1101=TRUE(),$Q1101="TRUE"),1,0))</f>
        <v/>
      </c>
      <c r="AM1101">
        <f>IF($C1101="","",IF($W1101="Yes",1,0))</f>
        <v/>
      </c>
      <c r="AN1101">
        <f>IF($AJ1101=1,IFERROR(IF(VALUE($C1101)&lt;100000000,VALUE($C1101),1000000000),IFERROR(IF(VALUE(MID($C1101,2,20))&lt;100000000,VALUE(MID($C1101,2,20)),1000000000),1000000000))+ROW()/100000,"")</f>
        <v/>
      </c>
    </row>
    <row r="1102">
      <c r="E1102" s="11" t="n"/>
      <c r="M1102" s="7">
        <f>IF($C1102="","",L1102*U1102/100)</f>
        <v/>
      </c>
      <c r="N1102" s="7" t="n"/>
      <c r="T1102" s="7" t="n"/>
      <c r="U1102" s="7">
        <f>IF($C1102="","",S1102*T1102)</f>
        <v/>
      </c>
      <c r="X1102">
        <f>IF($C1102="","",IF($AM1102=1,0,IF($AL1102=1,Settings!$C$6,Settings!$C$7))*100)</f>
        <v/>
      </c>
      <c r="AB1102" s="7" t="n"/>
      <c r="AE1102" s="11" t="n"/>
      <c r="AG1102" s="7">
        <f>IF($C1102="","",U1102*X1102/100)</f>
        <v/>
      </c>
      <c r="AH1102" s="7">
        <f>IF($C1102="","",U1102-AG1102)</f>
        <v/>
      </c>
      <c r="AI1102" s="7">
        <f>IF($C1102="","",AH1102-M1102)</f>
        <v/>
      </c>
      <c r="AJ1102">
        <f>IF($C1102="","",IF(COUNTIF($C$2:$C1102,$C1102)=1,1,0))</f>
        <v/>
      </c>
      <c r="AK1102">
        <f>IF($AJ1102=1,SUMPRODUCT(--($AN$2:$AN$4001&lt;$AN1102))+1,"")</f>
        <v/>
      </c>
      <c r="AL1102">
        <f>IF($C1102="","",IF(OR($Q1102=TRUE(),$Q1102="TRUE"),1,0))</f>
        <v/>
      </c>
      <c r="AM1102">
        <f>IF($C1102="","",IF($W1102="Yes",1,0))</f>
        <v/>
      </c>
      <c r="AN1102">
        <f>IF($AJ1102=1,IFERROR(IF(VALUE($C1102)&lt;100000000,VALUE($C1102),1000000000),IFERROR(IF(VALUE(MID($C1102,2,20))&lt;100000000,VALUE(MID($C1102,2,20)),1000000000),1000000000))+ROW()/100000,"")</f>
        <v/>
      </c>
    </row>
    <row r="1103">
      <c r="E1103" s="11" t="n"/>
      <c r="M1103" s="7">
        <f>IF($C1103="","",L1103*U1103/100)</f>
        <v/>
      </c>
      <c r="N1103" s="7" t="n"/>
      <c r="T1103" s="7" t="n"/>
      <c r="U1103" s="7">
        <f>IF($C1103="","",S1103*T1103)</f>
        <v/>
      </c>
      <c r="X1103">
        <f>IF($C1103="","",IF($AM1103=1,0,IF($AL1103=1,Settings!$C$6,Settings!$C$7))*100)</f>
        <v/>
      </c>
      <c r="AB1103" s="7" t="n"/>
      <c r="AE1103" s="11" t="n"/>
      <c r="AG1103" s="7">
        <f>IF($C1103="","",U1103*X1103/100)</f>
        <v/>
      </c>
      <c r="AH1103" s="7">
        <f>IF($C1103="","",U1103-AG1103)</f>
        <v/>
      </c>
      <c r="AI1103" s="7">
        <f>IF($C1103="","",AH1103-M1103)</f>
        <v/>
      </c>
      <c r="AJ1103">
        <f>IF($C1103="","",IF(COUNTIF($C$2:$C1103,$C1103)=1,1,0))</f>
        <v/>
      </c>
      <c r="AK1103">
        <f>IF($AJ1103=1,SUMPRODUCT(--($AN$2:$AN$4001&lt;$AN1103))+1,"")</f>
        <v/>
      </c>
      <c r="AL1103">
        <f>IF($C1103="","",IF(OR($Q1103=TRUE(),$Q1103="TRUE"),1,0))</f>
        <v/>
      </c>
      <c r="AM1103">
        <f>IF($C1103="","",IF($W1103="Yes",1,0))</f>
        <v/>
      </c>
      <c r="AN1103">
        <f>IF($AJ1103=1,IFERROR(IF(VALUE($C1103)&lt;100000000,VALUE($C1103),1000000000),IFERROR(IF(VALUE(MID($C1103,2,20))&lt;100000000,VALUE(MID($C1103,2,20)),1000000000),1000000000))+ROW()/100000,"")</f>
        <v/>
      </c>
    </row>
    <row r="1104">
      <c r="E1104" s="11" t="n"/>
      <c r="M1104" s="7">
        <f>IF($C1104="","",L1104*U1104/100)</f>
        <v/>
      </c>
      <c r="N1104" s="7" t="n"/>
      <c r="T1104" s="7" t="n"/>
      <c r="U1104" s="7">
        <f>IF($C1104="","",S1104*T1104)</f>
        <v/>
      </c>
      <c r="X1104">
        <f>IF($C1104="","",IF($AM1104=1,0,IF($AL1104=1,Settings!$C$6,Settings!$C$7))*100)</f>
        <v/>
      </c>
      <c r="AB1104" s="7" t="n"/>
      <c r="AE1104" s="11" t="n"/>
      <c r="AG1104" s="7">
        <f>IF($C1104="","",U1104*X1104/100)</f>
        <v/>
      </c>
      <c r="AH1104" s="7">
        <f>IF($C1104="","",U1104-AG1104)</f>
        <v/>
      </c>
      <c r="AI1104" s="7">
        <f>IF($C1104="","",AH1104-M1104)</f>
        <v/>
      </c>
      <c r="AJ1104">
        <f>IF($C1104="","",IF(COUNTIF($C$2:$C1104,$C1104)=1,1,0))</f>
        <v/>
      </c>
      <c r="AK1104">
        <f>IF($AJ1104=1,SUMPRODUCT(--($AN$2:$AN$4001&lt;$AN1104))+1,"")</f>
        <v/>
      </c>
      <c r="AL1104">
        <f>IF($C1104="","",IF(OR($Q1104=TRUE(),$Q1104="TRUE"),1,0))</f>
        <v/>
      </c>
      <c r="AM1104">
        <f>IF($C1104="","",IF($W1104="Yes",1,0))</f>
        <v/>
      </c>
      <c r="AN1104">
        <f>IF($AJ1104=1,IFERROR(IF(VALUE($C1104)&lt;100000000,VALUE($C1104),1000000000),IFERROR(IF(VALUE(MID($C1104,2,20))&lt;100000000,VALUE(MID($C1104,2,20)),1000000000),1000000000))+ROW()/100000,"")</f>
        <v/>
      </c>
    </row>
    <row r="1105">
      <c r="E1105" s="11" t="n"/>
      <c r="M1105" s="7">
        <f>IF($C1105="","",L1105*U1105/100)</f>
        <v/>
      </c>
      <c r="N1105" s="7" t="n"/>
      <c r="T1105" s="7" t="n"/>
      <c r="U1105" s="7">
        <f>IF($C1105="","",S1105*T1105)</f>
        <v/>
      </c>
      <c r="X1105">
        <f>IF($C1105="","",IF($AM1105=1,0,IF($AL1105=1,Settings!$C$6,Settings!$C$7))*100)</f>
        <v/>
      </c>
      <c r="AB1105" s="7" t="n"/>
      <c r="AE1105" s="11" t="n"/>
      <c r="AG1105" s="7">
        <f>IF($C1105="","",U1105*X1105/100)</f>
        <v/>
      </c>
      <c r="AH1105" s="7">
        <f>IF($C1105="","",U1105-AG1105)</f>
        <v/>
      </c>
      <c r="AI1105" s="7">
        <f>IF($C1105="","",AH1105-M1105)</f>
        <v/>
      </c>
      <c r="AJ1105">
        <f>IF($C1105="","",IF(COUNTIF($C$2:$C1105,$C1105)=1,1,0))</f>
        <v/>
      </c>
      <c r="AK1105">
        <f>IF($AJ1105=1,SUMPRODUCT(--($AN$2:$AN$4001&lt;$AN1105))+1,"")</f>
        <v/>
      </c>
      <c r="AL1105">
        <f>IF($C1105="","",IF(OR($Q1105=TRUE(),$Q1105="TRUE"),1,0))</f>
        <v/>
      </c>
      <c r="AM1105">
        <f>IF($C1105="","",IF($W1105="Yes",1,0))</f>
        <v/>
      </c>
      <c r="AN1105">
        <f>IF($AJ1105=1,IFERROR(IF(VALUE($C1105)&lt;100000000,VALUE($C1105),1000000000),IFERROR(IF(VALUE(MID($C1105,2,20))&lt;100000000,VALUE(MID($C1105,2,20)),1000000000),1000000000))+ROW()/100000,"")</f>
        <v/>
      </c>
    </row>
    <row r="1106">
      <c r="E1106" s="11" t="n"/>
      <c r="M1106" s="7">
        <f>IF($C1106="","",L1106*U1106/100)</f>
        <v/>
      </c>
      <c r="N1106" s="7" t="n"/>
      <c r="T1106" s="7" t="n"/>
      <c r="U1106" s="7">
        <f>IF($C1106="","",S1106*T1106)</f>
        <v/>
      </c>
      <c r="X1106">
        <f>IF($C1106="","",IF($AM1106=1,0,IF($AL1106=1,Settings!$C$6,Settings!$C$7))*100)</f>
        <v/>
      </c>
      <c r="AB1106" s="7" t="n"/>
      <c r="AE1106" s="11" t="n"/>
      <c r="AG1106" s="7">
        <f>IF($C1106="","",U1106*X1106/100)</f>
        <v/>
      </c>
      <c r="AH1106" s="7">
        <f>IF($C1106="","",U1106-AG1106)</f>
        <v/>
      </c>
      <c r="AI1106" s="7">
        <f>IF($C1106="","",AH1106-M1106)</f>
        <v/>
      </c>
      <c r="AJ1106">
        <f>IF($C1106="","",IF(COUNTIF($C$2:$C1106,$C1106)=1,1,0))</f>
        <v/>
      </c>
      <c r="AK1106">
        <f>IF($AJ1106=1,SUMPRODUCT(--($AN$2:$AN$4001&lt;$AN1106))+1,"")</f>
        <v/>
      </c>
      <c r="AL1106">
        <f>IF($C1106="","",IF(OR($Q1106=TRUE(),$Q1106="TRUE"),1,0))</f>
        <v/>
      </c>
      <c r="AM1106">
        <f>IF($C1106="","",IF($W1106="Yes",1,0))</f>
        <v/>
      </c>
      <c r="AN1106">
        <f>IF($AJ1106=1,IFERROR(IF(VALUE($C1106)&lt;100000000,VALUE($C1106),1000000000),IFERROR(IF(VALUE(MID($C1106,2,20))&lt;100000000,VALUE(MID($C1106,2,20)),1000000000),1000000000))+ROW()/100000,"")</f>
        <v/>
      </c>
    </row>
    <row r="1107">
      <c r="E1107" s="11" t="n"/>
      <c r="M1107" s="7">
        <f>IF($C1107="","",L1107*U1107/100)</f>
        <v/>
      </c>
      <c r="N1107" s="7" t="n"/>
      <c r="T1107" s="7" t="n"/>
      <c r="U1107" s="7">
        <f>IF($C1107="","",S1107*T1107)</f>
        <v/>
      </c>
      <c r="X1107">
        <f>IF($C1107="","",IF($AM1107=1,0,IF($AL1107=1,Settings!$C$6,Settings!$C$7))*100)</f>
        <v/>
      </c>
      <c r="AB1107" s="7" t="n"/>
      <c r="AE1107" s="11" t="n"/>
      <c r="AG1107" s="7">
        <f>IF($C1107="","",U1107*X1107/100)</f>
        <v/>
      </c>
      <c r="AH1107" s="7">
        <f>IF($C1107="","",U1107-AG1107)</f>
        <v/>
      </c>
      <c r="AI1107" s="7">
        <f>IF($C1107="","",AH1107-M1107)</f>
        <v/>
      </c>
      <c r="AJ1107">
        <f>IF($C1107="","",IF(COUNTIF($C$2:$C1107,$C1107)=1,1,0))</f>
        <v/>
      </c>
      <c r="AK1107">
        <f>IF($AJ1107=1,SUMPRODUCT(--($AN$2:$AN$4001&lt;$AN1107))+1,"")</f>
        <v/>
      </c>
      <c r="AL1107">
        <f>IF($C1107="","",IF(OR($Q1107=TRUE(),$Q1107="TRUE"),1,0))</f>
        <v/>
      </c>
      <c r="AM1107">
        <f>IF($C1107="","",IF($W1107="Yes",1,0))</f>
        <v/>
      </c>
      <c r="AN1107">
        <f>IF($AJ1107=1,IFERROR(IF(VALUE($C1107)&lt;100000000,VALUE($C1107),1000000000),IFERROR(IF(VALUE(MID($C1107,2,20))&lt;100000000,VALUE(MID($C1107,2,20)),1000000000),1000000000))+ROW()/100000,"")</f>
        <v/>
      </c>
    </row>
    <row r="1108">
      <c r="E1108" s="11" t="n"/>
      <c r="M1108" s="7">
        <f>IF($C1108="","",L1108*U1108/100)</f>
        <v/>
      </c>
      <c r="N1108" s="7" t="n"/>
      <c r="T1108" s="7" t="n"/>
      <c r="U1108" s="7">
        <f>IF($C1108="","",S1108*T1108)</f>
        <v/>
      </c>
      <c r="X1108">
        <f>IF($C1108="","",IF($AM1108=1,0,IF($AL1108=1,Settings!$C$6,Settings!$C$7))*100)</f>
        <v/>
      </c>
      <c r="AB1108" s="7" t="n"/>
      <c r="AE1108" s="11" t="n"/>
      <c r="AG1108" s="7">
        <f>IF($C1108="","",U1108*X1108/100)</f>
        <v/>
      </c>
      <c r="AH1108" s="7">
        <f>IF($C1108="","",U1108-AG1108)</f>
        <v/>
      </c>
      <c r="AI1108" s="7">
        <f>IF($C1108="","",AH1108-M1108)</f>
        <v/>
      </c>
      <c r="AJ1108">
        <f>IF($C1108="","",IF(COUNTIF($C$2:$C1108,$C1108)=1,1,0))</f>
        <v/>
      </c>
      <c r="AK1108">
        <f>IF($AJ1108=1,SUMPRODUCT(--($AN$2:$AN$4001&lt;$AN1108))+1,"")</f>
        <v/>
      </c>
      <c r="AL1108">
        <f>IF($C1108="","",IF(OR($Q1108=TRUE(),$Q1108="TRUE"),1,0))</f>
        <v/>
      </c>
      <c r="AM1108">
        <f>IF($C1108="","",IF($W1108="Yes",1,0))</f>
        <v/>
      </c>
      <c r="AN1108">
        <f>IF($AJ1108=1,IFERROR(IF(VALUE($C1108)&lt;100000000,VALUE($C1108),1000000000),IFERROR(IF(VALUE(MID($C1108,2,20))&lt;100000000,VALUE(MID($C1108,2,20)),1000000000),1000000000))+ROW()/100000,"")</f>
        <v/>
      </c>
    </row>
    <row r="1109">
      <c r="E1109" s="11" t="n"/>
      <c r="M1109" s="7">
        <f>IF($C1109="","",L1109*U1109/100)</f>
        <v/>
      </c>
      <c r="N1109" s="7" t="n"/>
      <c r="T1109" s="7" t="n"/>
      <c r="U1109" s="7">
        <f>IF($C1109="","",S1109*T1109)</f>
        <v/>
      </c>
      <c r="X1109">
        <f>IF($C1109="","",IF($AM1109=1,0,IF($AL1109=1,Settings!$C$6,Settings!$C$7))*100)</f>
        <v/>
      </c>
      <c r="AB1109" s="7" t="n"/>
      <c r="AE1109" s="11" t="n"/>
      <c r="AG1109" s="7">
        <f>IF($C1109="","",U1109*X1109/100)</f>
        <v/>
      </c>
      <c r="AH1109" s="7">
        <f>IF($C1109="","",U1109-AG1109)</f>
        <v/>
      </c>
      <c r="AI1109" s="7">
        <f>IF($C1109="","",AH1109-M1109)</f>
        <v/>
      </c>
      <c r="AJ1109">
        <f>IF($C1109="","",IF(COUNTIF($C$2:$C1109,$C1109)=1,1,0))</f>
        <v/>
      </c>
      <c r="AK1109">
        <f>IF($AJ1109=1,SUMPRODUCT(--($AN$2:$AN$4001&lt;$AN1109))+1,"")</f>
        <v/>
      </c>
      <c r="AL1109">
        <f>IF($C1109="","",IF(OR($Q1109=TRUE(),$Q1109="TRUE"),1,0))</f>
        <v/>
      </c>
      <c r="AM1109">
        <f>IF($C1109="","",IF($W1109="Yes",1,0))</f>
        <v/>
      </c>
      <c r="AN1109">
        <f>IF($AJ1109=1,IFERROR(IF(VALUE($C1109)&lt;100000000,VALUE($C1109),1000000000),IFERROR(IF(VALUE(MID($C1109,2,20))&lt;100000000,VALUE(MID($C1109,2,20)),1000000000),1000000000))+ROW()/100000,"")</f>
        <v/>
      </c>
    </row>
    <row r="1110">
      <c r="E1110" s="11" t="n"/>
      <c r="M1110" s="7">
        <f>IF($C1110="","",L1110*U1110/100)</f>
        <v/>
      </c>
      <c r="N1110" s="7" t="n"/>
      <c r="T1110" s="7" t="n"/>
      <c r="U1110" s="7">
        <f>IF($C1110="","",S1110*T1110)</f>
        <v/>
      </c>
      <c r="X1110">
        <f>IF($C1110="","",IF($AM1110=1,0,IF($AL1110=1,Settings!$C$6,Settings!$C$7))*100)</f>
        <v/>
      </c>
      <c r="AB1110" s="7" t="n"/>
      <c r="AE1110" s="11" t="n"/>
      <c r="AG1110" s="7">
        <f>IF($C1110="","",U1110*X1110/100)</f>
        <v/>
      </c>
      <c r="AH1110" s="7">
        <f>IF($C1110="","",U1110-AG1110)</f>
        <v/>
      </c>
      <c r="AI1110" s="7">
        <f>IF($C1110="","",AH1110-M1110)</f>
        <v/>
      </c>
      <c r="AJ1110">
        <f>IF($C1110="","",IF(COUNTIF($C$2:$C1110,$C1110)=1,1,0))</f>
        <v/>
      </c>
      <c r="AK1110">
        <f>IF($AJ1110=1,SUMPRODUCT(--($AN$2:$AN$4001&lt;$AN1110))+1,"")</f>
        <v/>
      </c>
      <c r="AL1110">
        <f>IF($C1110="","",IF(OR($Q1110=TRUE(),$Q1110="TRUE"),1,0))</f>
        <v/>
      </c>
      <c r="AM1110">
        <f>IF($C1110="","",IF($W1110="Yes",1,0))</f>
        <v/>
      </c>
      <c r="AN1110">
        <f>IF($AJ1110=1,IFERROR(IF(VALUE($C1110)&lt;100000000,VALUE($C1110),1000000000),IFERROR(IF(VALUE(MID($C1110,2,20))&lt;100000000,VALUE(MID($C1110,2,20)),1000000000),1000000000))+ROW()/100000,"")</f>
        <v/>
      </c>
    </row>
    <row r="1111">
      <c r="E1111" s="11" t="n"/>
      <c r="M1111" s="7">
        <f>IF($C1111="","",L1111*U1111/100)</f>
        <v/>
      </c>
      <c r="N1111" s="7" t="n"/>
      <c r="T1111" s="7" t="n"/>
      <c r="U1111" s="7">
        <f>IF($C1111="","",S1111*T1111)</f>
        <v/>
      </c>
      <c r="X1111">
        <f>IF($C1111="","",IF($AM1111=1,0,IF($AL1111=1,Settings!$C$6,Settings!$C$7))*100)</f>
        <v/>
      </c>
      <c r="AB1111" s="7" t="n"/>
      <c r="AE1111" s="11" t="n"/>
      <c r="AG1111" s="7">
        <f>IF($C1111="","",U1111*X1111/100)</f>
        <v/>
      </c>
      <c r="AH1111" s="7">
        <f>IF($C1111="","",U1111-AG1111)</f>
        <v/>
      </c>
      <c r="AI1111" s="7">
        <f>IF($C1111="","",AH1111-M1111)</f>
        <v/>
      </c>
      <c r="AJ1111">
        <f>IF($C1111="","",IF(COUNTIF($C$2:$C1111,$C1111)=1,1,0))</f>
        <v/>
      </c>
      <c r="AK1111">
        <f>IF($AJ1111=1,SUMPRODUCT(--($AN$2:$AN$4001&lt;$AN1111))+1,"")</f>
        <v/>
      </c>
      <c r="AL1111">
        <f>IF($C1111="","",IF(OR($Q1111=TRUE(),$Q1111="TRUE"),1,0))</f>
        <v/>
      </c>
      <c r="AM1111">
        <f>IF($C1111="","",IF($W1111="Yes",1,0))</f>
        <v/>
      </c>
      <c r="AN1111">
        <f>IF($AJ1111=1,IFERROR(IF(VALUE($C1111)&lt;100000000,VALUE($C1111),1000000000),IFERROR(IF(VALUE(MID($C1111,2,20))&lt;100000000,VALUE(MID($C1111,2,20)),1000000000),1000000000))+ROW()/100000,"")</f>
        <v/>
      </c>
    </row>
    <row r="1112">
      <c r="E1112" s="11" t="n"/>
      <c r="M1112" s="7">
        <f>IF($C1112="","",L1112*U1112/100)</f>
        <v/>
      </c>
      <c r="N1112" s="7" t="n"/>
      <c r="T1112" s="7" t="n"/>
      <c r="U1112" s="7">
        <f>IF($C1112="","",S1112*T1112)</f>
        <v/>
      </c>
      <c r="X1112">
        <f>IF($C1112="","",IF($AM1112=1,0,IF($AL1112=1,Settings!$C$6,Settings!$C$7))*100)</f>
        <v/>
      </c>
      <c r="AB1112" s="7" t="n"/>
      <c r="AE1112" s="11" t="n"/>
      <c r="AG1112" s="7">
        <f>IF($C1112="","",U1112*X1112/100)</f>
        <v/>
      </c>
      <c r="AH1112" s="7">
        <f>IF($C1112="","",U1112-AG1112)</f>
        <v/>
      </c>
      <c r="AI1112" s="7">
        <f>IF($C1112="","",AH1112-M1112)</f>
        <v/>
      </c>
      <c r="AJ1112">
        <f>IF($C1112="","",IF(COUNTIF($C$2:$C1112,$C1112)=1,1,0))</f>
        <v/>
      </c>
      <c r="AK1112">
        <f>IF($AJ1112=1,SUMPRODUCT(--($AN$2:$AN$4001&lt;$AN1112))+1,"")</f>
        <v/>
      </c>
      <c r="AL1112">
        <f>IF($C1112="","",IF(OR($Q1112=TRUE(),$Q1112="TRUE"),1,0))</f>
        <v/>
      </c>
      <c r="AM1112">
        <f>IF($C1112="","",IF($W1112="Yes",1,0))</f>
        <v/>
      </c>
      <c r="AN1112">
        <f>IF($AJ1112=1,IFERROR(IF(VALUE($C1112)&lt;100000000,VALUE($C1112),1000000000),IFERROR(IF(VALUE(MID($C1112,2,20))&lt;100000000,VALUE(MID($C1112,2,20)),1000000000),1000000000))+ROW()/100000,"")</f>
        <v/>
      </c>
    </row>
    <row r="1113">
      <c r="E1113" s="11" t="n"/>
      <c r="M1113" s="7">
        <f>IF($C1113="","",L1113*U1113/100)</f>
        <v/>
      </c>
      <c r="N1113" s="7" t="n"/>
      <c r="T1113" s="7" t="n"/>
      <c r="U1113" s="7">
        <f>IF($C1113="","",S1113*T1113)</f>
        <v/>
      </c>
      <c r="X1113">
        <f>IF($C1113="","",IF($AM1113=1,0,IF($AL1113=1,Settings!$C$6,Settings!$C$7))*100)</f>
        <v/>
      </c>
      <c r="AB1113" s="7" t="n"/>
      <c r="AE1113" s="11" t="n"/>
      <c r="AG1113" s="7">
        <f>IF($C1113="","",U1113*X1113/100)</f>
        <v/>
      </c>
      <c r="AH1113" s="7">
        <f>IF($C1113="","",U1113-AG1113)</f>
        <v/>
      </c>
      <c r="AI1113" s="7">
        <f>IF($C1113="","",AH1113-M1113)</f>
        <v/>
      </c>
      <c r="AJ1113">
        <f>IF($C1113="","",IF(COUNTIF($C$2:$C1113,$C1113)=1,1,0))</f>
        <v/>
      </c>
      <c r="AK1113">
        <f>IF($AJ1113=1,SUMPRODUCT(--($AN$2:$AN$4001&lt;$AN1113))+1,"")</f>
        <v/>
      </c>
      <c r="AL1113">
        <f>IF($C1113="","",IF(OR($Q1113=TRUE(),$Q1113="TRUE"),1,0))</f>
        <v/>
      </c>
      <c r="AM1113">
        <f>IF($C1113="","",IF($W1113="Yes",1,0))</f>
        <v/>
      </c>
      <c r="AN1113">
        <f>IF($AJ1113=1,IFERROR(IF(VALUE($C1113)&lt;100000000,VALUE($C1113),1000000000),IFERROR(IF(VALUE(MID($C1113,2,20))&lt;100000000,VALUE(MID($C1113,2,20)),1000000000),1000000000))+ROW()/100000,"")</f>
        <v/>
      </c>
    </row>
    <row r="1114">
      <c r="E1114" s="11" t="n"/>
      <c r="M1114" s="7">
        <f>IF($C1114="","",L1114*U1114/100)</f>
        <v/>
      </c>
      <c r="N1114" s="7" t="n"/>
      <c r="T1114" s="7" t="n"/>
      <c r="U1114" s="7">
        <f>IF($C1114="","",S1114*T1114)</f>
        <v/>
      </c>
      <c r="X1114">
        <f>IF($C1114="","",IF($AM1114=1,0,IF($AL1114=1,Settings!$C$6,Settings!$C$7))*100)</f>
        <v/>
      </c>
      <c r="AB1114" s="7" t="n"/>
      <c r="AE1114" s="11" t="n"/>
      <c r="AG1114" s="7">
        <f>IF($C1114="","",U1114*X1114/100)</f>
        <v/>
      </c>
      <c r="AH1114" s="7">
        <f>IF($C1114="","",U1114-AG1114)</f>
        <v/>
      </c>
      <c r="AI1114" s="7">
        <f>IF($C1114="","",AH1114-M1114)</f>
        <v/>
      </c>
      <c r="AJ1114">
        <f>IF($C1114="","",IF(COUNTIF($C$2:$C1114,$C1114)=1,1,0))</f>
        <v/>
      </c>
      <c r="AK1114">
        <f>IF($AJ1114=1,SUMPRODUCT(--($AN$2:$AN$4001&lt;$AN1114))+1,"")</f>
        <v/>
      </c>
      <c r="AL1114">
        <f>IF($C1114="","",IF(OR($Q1114=TRUE(),$Q1114="TRUE"),1,0))</f>
        <v/>
      </c>
      <c r="AM1114">
        <f>IF($C1114="","",IF($W1114="Yes",1,0))</f>
        <v/>
      </c>
      <c r="AN1114">
        <f>IF($AJ1114=1,IFERROR(IF(VALUE($C1114)&lt;100000000,VALUE($C1114),1000000000),IFERROR(IF(VALUE(MID($C1114,2,20))&lt;100000000,VALUE(MID($C1114,2,20)),1000000000),1000000000))+ROW()/100000,"")</f>
        <v/>
      </c>
    </row>
    <row r="1115">
      <c r="E1115" s="11" t="n"/>
      <c r="M1115" s="7">
        <f>IF($C1115="","",L1115*U1115/100)</f>
        <v/>
      </c>
      <c r="N1115" s="7" t="n"/>
      <c r="T1115" s="7" t="n"/>
      <c r="U1115" s="7">
        <f>IF($C1115="","",S1115*T1115)</f>
        <v/>
      </c>
      <c r="X1115">
        <f>IF($C1115="","",IF($AM1115=1,0,IF($AL1115=1,Settings!$C$6,Settings!$C$7))*100)</f>
        <v/>
      </c>
      <c r="AB1115" s="7" t="n"/>
      <c r="AE1115" s="11" t="n"/>
      <c r="AG1115" s="7">
        <f>IF($C1115="","",U1115*X1115/100)</f>
        <v/>
      </c>
      <c r="AH1115" s="7">
        <f>IF($C1115="","",U1115-AG1115)</f>
        <v/>
      </c>
      <c r="AI1115" s="7">
        <f>IF($C1115="","",AH1115-M1115)</f>
        <v/>
      </c>
      <c r="AJ1115">
        <f>IF($C1115="","",IF(COUNTIF($C$2:$C1115,$C1115)=1,1,0))</f>
        <v/>
      </c>
      <c r="AK1115">
        <f>IF($AJ1115=1,SUMPRODUCT(--($AN$2:$AN$4001&lt;$AN1115))+1,"")</f>
        <v/>
      </c>
      <c r="AL1115">
        <f>IF($C1115="","",IF(OR($Q1115=TRUE(),$Q1115="TRUE"),1,0))</f>
        <v/>
      </c>
      <c r="AM1115">
        <f>IF($C1115="","",IF($W1115="Yes",1,0))</f>
        <v/>
      </c>
      <c r="AN1115">
        <f>IF($AJ1115=1,IFERROR(IF(VALUE($C1115)&lt;100000000,VALUE($C1115),1000000000),IFERROR(IF(VALUE(MID($C1115,2,20))&lt;100000000,VALUE(MID($C1115,2,20)),1000000000),1000000000))+ROW()/100000,"")</f>
        <v/>
      </c>
    </row>
    <row r="1116">
      <c r="E1116" s="11" t="n"/>
      <c r="M1116" s="7">
        <f>IF($C1116="","",L1116*U1116/100)</f>
        <v/>
      </c>
      <c r="N1116" s="7" t="n"/>
      <c r="T1116" s="7" t="n"/>
      <c r="U1116" s="7">
        <f>IF($C1116="","",S1116*T1116)</f>
        <v/>
      </c>
      <c r="X1116">
        <f>IF($C1116="","",IF($AM1116=1,0,IF($AL1116=1,Settings!$C$6,Settings!$C$7))*100)</f>
        <v/>
      </c>
      <c r="AB1116" s="7" t="n"/>
      <c r="AE1116" s="11" t="n"/>
      <c r="AG1116" s="7">
        <f>IF($C1116="","",U1116*X1116/100)</f>
        <v/>
      </c>
      <c r="AH1116" s="7">
        <f>IF($C1116="","",U1116-AG1116)</f>
        <v/>
      </c>
      <c r="AI1116" s="7">
        <f>IF($C1116="","",AH1116-M1116)</f>
        <v/>
      </c>
      <c r="AJ1116">
        <f>IF($C1116="","",IF(COUNTIF($C$2:$C1116,$C1116)=1,1,0))</f>
        <v/>
      </c>
      <c r="AK1116">
        <f>IF($AJ1116=1,SUMPRODUCT(--($AN$2:$AN$4001&lt;$AN1116))+1,"")</f>
        <v/>
      </c>
      <c r="AL1116">
        <f>IF($C1116="","",IF(OR($Q1116=TRUE(),$Q1116="TRUE"),1,0))</f>
        <v/>
      </c>
      <c r="AM1116">
        <f>IF($C1116="","",IF($W1116="Yes",1,0))</f>
        <v/>
      </c>
      <c r="AN1116">
        <f>IF($AJ1116=1,IFERROR(IF(VALUE($C1116)&lt;100000000,VALUE($C1116),1000000000),IFERROR(IF(VALUE(MID($C1116,2,20))&lt;100000000,VALUE(MID($C1116,2,20)),1000000000),1000000000))+ROW()/100000,"")</f>
        <v/>
      </c>
    </row>
    <row r="1117">
      <c r="E1117" s="11" t="n"/>
      <c r="M1117" s="7">
        <f>IF($C1117="","",L1117*U1117/100)</f>
        <v/>
      </c>
      <c r="N1117" s="7" t="n"/>
      <c r="T1117" s="7" t="n"/>
      <c r="U1117" s="7">
        <f>IF($C1117="","",S1117*T1117)</f>
        <v/>
      </c>
      <c r="X1117">
        <f>IF($C1117="","",IF($AM1117=1,0,IF($AL1117=1,Settings!$C$6,Settings!$C$7))*100)</f>
        <v/>
      </c>
      <c r="AB1117" s="7" t="n"/>
      <c r="AE1117" s="11" t="n"/>
      <c r="AG1117" s="7">
        <f>IF($C1117="","",U1117*X1117/100)</f>
        <v/>
      </c>
      <c r="AH1117" s="7">
        <f>IF($C1117="","",U1117-AG1117)</f>
        <v/>
      </c>
      <c r="AI1117" s="7">
        <f>IF($C1117="","",AH1117-M1117)</f>
        <v/>
      </c>
      <c r="AJ1117">
        <f>IF($C1117="","",IF(COUNTIF($C$2:$C1117,$C1117)=1,1,0))</f>
        <v/>
      </c>
      <c r="AK1117">
        <f>IF($AJ1117=1,SUMPRODUCT(--($AN$2:$AN$4001&lt;$AN1117))+1,"")</f>
        <v/>
      </c>
      <c r="AL1117">
        <f>IF($C1117="","",IF(OR($Q1117=TRUE(),$Q1117="TRUE"),1,0))</f>
        <v/>
      </c>
      <c r="AM1117">
        <f>IF($C1117="","",IF($W1117="Yes",1,0))</f>
        <v/>
      </c>
      <c r="AN1117">
        <f>IF($AJ1117=1,IFERROR(IF(VALUE($C1117)&lt;100000000,VALUE($C1117),1000000000),IFERROR(IF(VALUE(MID($C1117,2,20))&lt;100000000,VALUE(MID($C1117,2,20)),1000000000),1000000000))+ROW()/100000,"")</f>
        <v/>
      </c>
    </row>
    <row r="1118">
      <c r="E1118" s="11" t="n"/>
      <c r="M1118" s="7">
        <f>IF($C1118="","",L1118*U1118/100)</f>
        <v/>
      </c>
      <c r="N1118" s="7" t="n"/>
      <c r="T1118" s="7" t="n"/>
      <c r="U1118" s="7">
        <f>IF($C1118="","",S1118*T1118)</f>
        <v/>
      </c>
      <c r="X1118">
        <f>IF($C1118="","",IF($AM1118=1,0,IF($AL1118=1,Settings!$C$6,Settings!$C$7))*100)</f>
        <v/>
      </c>
      <c r="AB1118" s="7" t="n"/>
      <c r="AE1118" s="11" t="n"/>
      <c r="AG1118" s="7">
        <f>IF($C1118="","",U1118*X1118/100)</f>
        <v/>
      </c>
      <c r="AH1118" s="7">
        <f>IF($C1118="","",U1118-AG1118)</f>
        <v/>
      </c>
      <c r="AI1118" s="7">
        <f>IF($C1118="","",AH1118-M1118)</f>
        <v/>
      </c>
      <c r="AJ1118">
        <f>IF($C1118="","",IF(COUNTIF($C$2:$C1118,$C1118)=1,1,0))</f>
        <v/>
      </c>
      <c r="AK1118">
        <f>IF($AJ1118=1,SUMPRODUCT(--($AN$2:$AN$4001&lt;$AN1118))+1,"")</f>
        <v/>
      </c>
      <c r="AL1118">
        <f>IF($C1118="","",IF(OR($Q1118=TRUE(),$Q1118="TRUE"),1,0))</f>
        <v/>
      </c>
      <c r="AM1118">
        <f>IF($C1118="","",IF($W1118="Yes",1,0))</f>
        <v/>
      </c>
      <c r="AN1118">
        <f>IF($AJ1118=1,IFERROR(IF(VALUE($C1118)&lt;100000000,VALUE($C1118),1000000000),IFERROR(IF(VALUE(MID($C1118,2,20))&lt;100000000,VALUE(MID($C1118,2,20)),1000000000),1000000000))+ROW()/100000,"")</f>
        <v/>
      </c>
    </row>
    <row r="1119">
      <c r="E1119" s="11" t="n"/>
      <c r="M1119" s="7">
        <f>IF($C1119="","",L1119*U1119/100)</f>
        <v/>
      </c>
      <c r="N1119" s="7" t="n"/>
      <c r="T1119" s="7" t="n"/>
      <c r="U1119" s="7">
        <f>IF($C1119="","",S1119*T1119)</f>
        <v/>
      </c>
      <c r="X1119">
        <f>IF($C1119="","",IF($AM1119=1,0,IF($AL1119=1,Settings!$C$6,Settings!$C$7))*100)</f>
        <v/>
      </c>
      <c r="AB1119" s="7" t="n"/>
      <c r="AE1119" s="11" t="n"/>
      <c r="AG1119" s="7">
        <f>IF($C1119="","",U1119*X1119/100)</f>
        <v/>
      </c>
      <c r="AH1119" s="7">
        <f>IF($C1119="","",U1119-AG1119)</f>
        <v/>
      </c>
      <c r="AI1119" s="7">
        <f>IF($C1119="","",AH1119-M1119)</f>
        <v/>
      </c>
      <c r="AJ1119">
        <f>IF($C1119="","",IF(COUNTIF($C$2:$C1119,$C1119)=1,1,0))</f>
        <v/>
      </c>
      <c r="AK1119">
        <f>IF($AJ1119=1,SUMPRODUCT(--($AN$2:$AN$4001&lt;$AN1119))+1,"")</f>
        <v/>
      </c>
      <c r="AL1119">
        <f>IF($C1119="","",IF(OR($Q1119=TRUE(),$Q1119="TRUE"),1,0))</f>
        <v/>
      </c>
      <c r="AM1119">
        <f>IF($C1119="","",IF($W1119="Yes",1,0))</f>
        <v/>
      </c>
      <c r="AN1119">
        <f>IF($AJ1119=1,IFERROR(IF(VALUE($C1119)&lt;100000000,VALUE($C1119),1000000000),IFERROR(IF(VALUE(MID($C1119,2,20))&lt;100000000,VALUE(MID($C1119,2,20)),1000000000),1000000000))+ROW()/100000,"")</f>
        <v/>
      </c>
    </row>
    <row r="1120">
      <c r="E1120" s="11" t="n"/>
      <c r="M1120" s="7">
        <f>IF($C1120="","",L1120*U1120/100)</f>
        <v/>
      </c>
      <c r="N1120" s="7" t="n"/>
      <c r="T1120" s="7" t="n"/>
      <c r="U1120" s="7">
        <f>IF($C1120="","",S1120*T1120)</f>
        <v/>
      </c>
      <c r="X1120">
        <f>IF($C1120="","",IF($AM1120=1,0,IF($AL1120=1,Settings!$C$6,Settings!$C$7))*100)</f>
        <v/>
      </c>
      <c r="AB1120" s="7" t="n"/>
      <c r="AE1120" s="11" t="n"/>
      <c r="AG1120" s="7">
        <f>IF($C1120="","",U1120*X1120/100)</f>
        <v/>
      </c>
      <c r="AH1120" s="7">
        <f>IF($C1120="","",U1120-AG1120)</f>
        <v/>
      </c>
      <c r="AI1120" s="7">
        <f>IF($C1120="","",AH1120-M1120)</f>
        <v/>
      </c>
      <c r="AJ1120">
        <f>IF($C1120="","",IF(COUNTIF($C$2:$C1120,$C1120)=1,1,0))</f>
        <v/>
      </c>
      <c r="AK1120">
        <f>IF($AJ1120=1,SUMPRODUCT(--($AN$2:$AN$4001&lt;$AN1120))+1,"")</f>
        <v/>
      </c>
      <c r="AL1120">
        <f>IF($C1120="","",IF(OR($Q1120=TRUE(),$Q1120="TRUE"),1,0))</f>
        <v/>
      </c>
      <c r="AM1120">
        <f>IF($C1120="","",IF($W1120="Yes",1,0))</f>
        <v/>
      </c>
      <c r="AN1120">
        <f>IF($AJ1120=1,IFERROR(IF(VALUE($C1120)&lt;100000000,VALUE($C1120),1000000000),IFERROR(IF(VALUE(MID($C1120,2,20))&lt;100000000,VALUE(MID($C1120,2,20)),1000000000),1000000000))+ROW()/100000,"")</f>
        <v/>
      </c>
    </row>
    <row r="1121">
      <c r="E1121" s="11" t="n"/>
      <c r="M1121" s="7">
        <f>IF($C1121="","",L1121*U1121/100)</f>
        <v/>
      </c>
      <c r="N1121" s="7" t="n"/>
      <c r="T1121" s="7" t="n"/>
      <c r="U1121" s="7">
        <f>IF($C1121="","",S1121*T1121)</f>
        <v/>
      </c>
      <c r="X1121">
        <f>IF($C1121="","",IF($AM1121=1,0,IF($AL1121=1,Settings!$C$6,Settings!$C$7))*100)</f>
        <v/>
      </c>
      <c r="AB1121" s="7" t="n"/>
      <c r="AE1121" s="11" t="n"/>
      <c r="AG1121" s="7">
        <f>IF($C1121="","",U1121*X1121/100)</f>
        <v/>
      </c>
      <c r="AH1121" s="7">
        <f>IF($C1121="","",U1121-AG1121)</f>
        <v/>
      </c>
      <c r="AI1121" s="7">
        <f>IF($C1121="","",AH1121-M1121)</f>
        <v/>
      </c>
      <c r="AJ1121">
        <f>IF($C1121="","",IF(COUNTIF($C$2:$C1121,$C1121)=1,1,0))</f>
        <v/>
      </c>
      <c r="AK1121">
        <f>IF($AJ1121=1,SUMPRODUCT(--($AN$2:$AN$4001&lt;$AN1121))+1,"")</f>
        <v/>
      </c>
      <c r="AL1121">
        <f>IF($C1121="","",IF(OR($Q1121=TRUE(),$Q1121="TRUE"),1,0))</f>
        <v/>
      </c>
      <c r="AM1121">
        <f>IF($C1121="","",IF($W1121="Yes",1,0))</f>
        <v/>
      </c>
      <c r="AN1121">
        <f>IF($AJ1121=1,IFERROR(IF(VALUE($C1121)&lt;100000000,VALUE($C1121),1000000000),IFERROR(IF(VALUE(MID($C1121,2,20))&lt;100000000,VALUE(MID($C1121,2,20)),1000000000),1000000000))+ROW()/100000,"")</f>
        <v/>
      </c>
    </row>
    <row r="1122">
      <c r="E1122" s="11" t="n"/>
      <c r="M1122" s="7">
        <f>IF($C1122="","",L1122*U1122/100)</f>
        <v/>
      </c>
      <c r="N1122" s="7" t="n"/>
      <c r="T1122" s="7" t="n"/>
      <c r="U1122" s="7">
        <f>IF($C1122="","",S1122*T1122)</f>
        <v/>
      </c>
      <c r="X1122">
        <f>IF($C1122="","",IF($AM1122=1,0,IF($AL1122=1,Settings!$C$6,Settings!$C$7))*100)</f>
        <v/>
      </c>
      <c r="AB1122" s="7" t="n"/>
      <c r="AE1122" s="11" t="n"/>
      <c r="AG1122" s="7">
        <f>IF($C1122="","",U1122*X1122/100)</f>
        <v/>
      </c>
      <c r="AH1122" s="7">
        <f>IF($C1122="","",U1122-AG1122)</f>
        <v/>
      </c>
      <c r="AI1122" s="7">
        <f>IF($C1122="","",AH1122-M1122)</f>
        <v/>
      </c>
      <c r="AJ1122">
        <f>IF($C1122="","",IF(COUNTIF($C$2:$C1122,$C1122)=1,1,0))</f>
        <v/>
      </c>
      <c r="AK1122">
        <f>IF($AJ1122=1,SUMPRODUCT(--($AN$2:$AN$4001&lt;$AN1122))+1,"")</f>
        <v/>
      </c>
      <c r="AL1122">
        <f>IF($C1122="","",IF(OR($Q1122=TRUE(),$Q1122="TRUE"),1,0))</f>
        <v/>
      </c>
      <c r="AM1122">
        <f>IF($C1122="","",IF($W1122="Yes",1,0))</f>
        <v/>
      </c>
      <c r="AN1122">
        <f>IF($AJ1122=1,IFERROR(IF(VALUE($C1122)&lt;100000000,VALUE($C1122),1000000000),IFERROR(IF(VALUE(MID($C1122,2,20))&lt;100000000,VALUE(MID($C1122,2,20)),1000000000),1000000000))+ROW()/100000,"")</f>
        <v/>
      </c>
    </row>
    <row r="1123">
      <c r="E1123" s="11" t="n"/>
      <c r="M1123" s="7">
        <f>IF($C1123="","",L1123*U1123/100)</f>
        <v/>
      </c>
      <c r="N1123" s="7" t="n"/>
      <c r="T1123" s="7" t="n"/>
      <c r="U1123" s="7">
        <f>IF($C1123="","",S1123*T1123)</f>
        <v/>
      </c>
      <c r="X1123">
        <f>IF($C1123="","",IF($AM1123=1,0,IF($AL1123=1,Settings!$C$6,Settings!$C$7))*100)</f>
        <v/>
      </c>
      <c r="AB1123" s="7" t="n"/>
      <c r="AE1123" s="11" t="n"/>
      <c r="AG1123" s="7">
        <f>IF($C1123="","",U1123*X1123/100)</f>
        <v/>
      </c>
      <c r="AH1123" s="7">
        <f>IF($C1123="","",U1123-AG1123)</f>
        <v/>
      </c>
      <c r="AI1123" s="7">
        <f>IF($C1123="","",AH1123-M1123)</f>
        <v/>
      </c>
      <c r="AJ1123">
        <f>IF($C1123="","",IF(COUNTIF($C$2:$C1123,$C1123)=1,1,0))</f>
        <v/>
      </c>
      <c r="AK1123">
        <f>IF($AJ1123=1,SUMPRODUCT(--($AN$2:$AN$4001&lt;$AN1123))+1,"")</f>
        <v/>
      </c>
      <c r="AL1123">
        <f>IF($C1123="","",IF(OR($Q1123=TRUE(),$Q1123="TRUE"),1,0))</f>
        <v/>
      </c>
      <c r="AM1123">
        <f>IF($C1123="","",IF($W1123="Yes",1,0))</f>
        <v/>
      </c>
      <c r="AN1123">
        <f>IF($AJ1123=1,IFERROR(IF(VALUE($C1123)&lt;100000000,VALUE($C1123),1000000000),IFERROR(IF(VALUE(MID($C1123,2,20))&lt;100000000,VALUE(MID($C1123,2,20)),1000000000),1000000000))+ROW()/100000,"")</f>
        <v/>
      </c>
    </row>
    <row r="1124">
      <c r="E1124" s="11" t="n"/>
      <c r="M1124" s="7">
        <f>IF($C1124="","",L1124*U1124/100)</f>
        <v/>
      </c>
      <c r="N1124" s="7" t="n"/>
      <c r="T1124" s="7" t="n"/>
      <c r="U1124" s="7">
        <f>IF($C1124="","",S1124*T1124)</f>
        <v/>
      </c>
      <c r="X1124">
        <f>IF($C1124="","",IF($AM1124=1,0,IF($AL1124=1,Settings!$C$6,Settings!$C$7))*100)</f>
        <v/>
      </c>
      <c r="AB1124" s="7" t="n"/>
      <c r="AE1124" s="11" t="n"/>
      <c r="AG1124" s="7">
        <f>IF($C1124="","",U1124*X1124/100)</f>
        <v/>
      </c>
      <c r="AH1124" s="7">
        <f>IF($C1124="","",U1124-AG1124)</f>
        <v/>
      </c>
      <c r="AI1124" s="7">
        <f>IF($C1124="","",AH1124-M1124)</f>
        <v/>
      </c>
      <c r="AJ1124">
        <f>IF($C1124="","",IF(COUNTIF($C$2:$C1124,$C1124)=1,1,0))</f>
        <v/>
      </c>
      <c r="AK1124">
        <f>IF($AJ1124=1,SUMPRODUCT(--($AN$2:$AN$4001&lt;$AN1124))+1,"")</f>
        <v/>
      </c>
      <c r="AL1124">
        <f>IF($C1124="","",IF(OR($Q1124=TRUE(),$Q1124="TRUE"),1,0))</f>
        <v/>
      </c>
      <c r="AM1124">
        <f>IF($C1124="","",IF($W1124="Yes",1,0))</f>
        <v/>
      </c>
      <c r="AN1124">
        <f>IF($AJ1124=1,IFERROR(IF(VALUE($C1124)&lt;100000000,VALUE($C1124),1000000000),IFERROR(IF(VALUE(MID($C1124,2,20))&lt;100000000,VALUE(MID($C1124,2,20)),1000000000),1000000000))+ROW()/100000,"")</f>
        <v/>
      </c>
    </row>
    <row r="1125">
      <c r="E1125" s="11" t="n"/>
      <c r="M1125" s="7">
        <f>IF($C1125="","",L1125*U1125/100)</f>
        <v/>
      </c>
      <c r="N1125" s="7" t="n"/>
      <c r="T1125" s="7" t="n"/>
      <c r="U1125" s="7">
        <f>IF($C1125="","",S1125*T1125)</f>
        <v/>
      </c>
      <c r="X1125">
        <f>IF($C1125="","",IF($AM1125=1,0,IF($AL1125=1,Settings!$C$6,Settings!$C$7))*100)</f>
        <v/>
      </c>
      <c r="AB1125" s="7" t="n"/>
      <c r="AE1125" s="11" t="n"/>
      <c r="AG1125" s="7">
        <f>IF($C1125="","",U1125*X1125/100)</f>
        <v/>
      </c>
      <c r="AH1125" s="7">
        <f>IF($C1125="","",U1125-AG1125)</f>
        <v/>
      </c>
      <c r="AI1125" s="7">
        <f>IF($C1125="","",AH1125-M1125)</f>
        <v/>
      </c>
      <c r="AJ1125">
        <f>IF($C1125="","",IF(COUNTIF($C$2:$C1125,$C1125)=1,1,0))</f>
        <v/>
      </c>
      <c r="AK1125">
        <f>IF($AJ1125=1,SUMPRODUCT(--($AN$2:$AN$4001&lt;$AN1125))+1,"")</f>
        <v/>
      </c>
      <c r="AL1125">
        <f>IF($C1125="","",IF(OR($Q1125=TRUE(),$Q1125="TRUE"),1,0))</f>
        <v/>
      </c>
      <c r="AM1125">
        <f>IF($C1125="","",IF($W1125="Yes",1,0))</f>
        <v/>
      </c>
      <c r="AN1125">
        <f>IF($AJ1125=1,IFERROR(IF(VALUE($C1125)&lt;100000000,VALUE($C1125),1000000000),IFERROR(IF(VALUE(MID($C1125,2,20))&lt;100000000,VALUE(MID($C1125,2,20)),1000000000),1000000000))+ROW()/100000,"")</f>
        <v/>
      </c>
    </row>
    <row r="1126">
      <c r="E1126" s="11" t="n"/>
      <c r="M1126" s="7">
        <f>IF($C1126="","",L1126*U1126/100)</f>
        <v/>
      </c>
      <c r="N1126" s="7" t="n"/>
      <c r="T1126" s="7" t="n"/>
      <c r="U1126" s="7">
        <f>IF($C1126="","",S1126*T1126)</f>
        <v/>
      </c>
      <c r="X1126">
        <f>IF($C1126="","",IF($AM1126=1,0,IF($AL1126=1,Settings!$C$6,Settings!$C$7))*100)</f>
        <v/>
      </c>
      <c r="AB1126" s="7" t="n"/>
      <c r="AE1126" s="11" t="n"/>
      <c r="AG1126" s="7">
        <f>IF($C1126="","",U1126*X1126/100)</f>
        <v/>
      </c>
      <c r="AH1126" s="7">
        <f>IF($C1126="","",U1126-AG1126)</f>
        <v/>
      </c>
      <c r="AI1126" s="7">
        <f>IF($C1126="","",AH1126-M1126)</f>
        <v/>
      </c>
      <c r="AJ1126">
        <f>IF($C1126="","",IF(COUNTIF($C$2:$C1126,$C1126)=1,1,0))</f>
        <v/>
      </c>
      <c r="AK1126">
        <f>IF($AJ1126=1,SUMPRODUCT(--($AN$2:$AN$4001&lt;$AN1126))+1,"")</f>
        <v/>
      </c>
      <c r="AL1126">
        <f>IF($C1126="","",IF(OR($Q1126=TRUE(),$Q1126="TRUE"),1,0))</f>
        <v/>
      </c>
      <c r="AM1126">
        <f>IF($C1126="","",IF($W1126="Yes",1,0))</f>
        <v/>
      </c>
      <c r="AN1126">
        <f>IF($AJ1126=1,IFERROR(IF(VALUE($C1126)&lt;100000000,VALUE($C1126),1000000000),IFERROR(IF(VALUE(MID($C1126,2,20))&lt;100000000,VALUE(MID($C1126,2,20)),1000000000),1000000000))+ROW()/100000,"")</f>
        <v/>
      </c>
    </row>
    <row r="1127">
      <c r="E1127" s="11" t="n"/>
      <c r="M1127" s="7">
        <f>IF($C1127="","",L1127*U1127/100)</f>
        <v/>
      </c>
      <c r="N1127" s="7" t="n"/>
      <c r="T1127" s="7" t="n"/>
      <c r="U1127" s="7">
        <f>IF($C1127="","",S1127*T1127)</f>
        <v/>
      </c>
      <c r="X1127">
        <f>IF($C1127="","",IF($AM1127=1,0,IF($AL1127=1,Settings!$C$6,Settings!$C$7))*100)</f>
        <v/>
      </c>
      <c r="AB1127" s="7" t="n"/>
      <c r="AE1127" s="11" t="n"/>
      <c r="AG1127" s="7">
        <f>IF($C1127="","",U1127*X1127/100)</f>
        <v/>
      </c>
      <c r="AH1127" s="7">
        <f>IF($C1127="","",U1127-AG1127)</f>
        <v/>
      </c>
      <c r="AI1127" s="7">
        <f>IF($C1127="","",AH1127-M1127)</f>
        <v/>
      </c>
      <c r="AJ1127">
        <f>IF($C1127="","",IF(COUNTIF($C$2:$C1127,$C1127)=1,1,0))</f>
        <v/>
      </c>
      <c r="AK1127">
        <f>IF($AJ1127=1,SUMPRODUCT(--($AN$2:$AN$4001&lt;$AN1127))+1,"")</f>
        <v/>
      </c>
      <c r="AL1127">
        <f>IF($C1127="","",IF(OR($Q1127=TRUE(),$Q1127="TRUE"),1,0))</f>
        <v/>
      </c>
      <c r="AM1127">
        <f>IF($C1127="","",IF($W1127="Yes",1,0))</f>
        <v/>
      </c>
      <c r="AN1127">
        <f>IF($AJ1127=1,IFERROR(IF(VALUE($C1127)&lt;100000000,VALUE($C1127),1000000000),IFERROR(IF(VALUE(MID($C1127,2,20))&lt;100000000,VALUE(MID($C1127,2,20)),1000000000),1000000000))+ROW()/100000,"")</f>
        <v/>
      </c>
    </row>
    <row r="1128">
      <c r="E1128" s="11" t="n"/>
      <c r="M1128" s="7">
        <f>IF($C1128="","",L1128*U1128/100)</f>
        <v/>
      </c>
      <c r="N1128" s="7" t="n"/>
      <c r="T1128" s="7" t="n"/>
      <c r="U1128" s="7">
        <f>IF($C1128="","",S1128*T1128)</f>
        <v/>
      </c>
      <c r="X1128">
        <f>IF($C1128="","",IF($AM1128=1,0,IF($AL1128=1,Settings!$C$6,Settings!$C$7))*100)</f>
        <v/>
      </c>
      <c r="AB1128" s="7" t="n"/>
      <c r="AE1128" s="11" t="n"/>
      <c r="AG1128" s="7">
        <f>IF($C1128="","",U1128*X1128/100)</f>
        <v/>
      </c>
      <c r="AH1128" s="7">
        <f>IF($C1128="","",U1128-AG1128)</f>
        <v/>
      </c>
      <c r="AI1128" s="7">
        <f>IF($C1128="","",AH1128-M1128)</f>
        <v/>
      </c>
      <c r="AJ1128">
        <f>IF($C1128="","",IF(COUNTIF($C$2:$C1128,$C1128)=1,1,0))</f>
        <v/>
      </c>
      <c r="AK1128">
        <f>IF($AJ1128=1,SUMPRODUCT(--($AN$2:$AN$4001&lt;$AN1128))+1,"")</f>
        <v/>
      </c>
      <c r="AL1128">
        <f>IF($C1128="","",IF(OR($Q1128=TRUE(),$Q1128="TRUE"),1,0))</f>
        <v/>
      </c>
      <c r="AM1128">
        <f>IF($C1128="","",IF($W1128="Yes",1,0))</f>
        <v/>
      </c>
      <c r="AN1128">
        <f>IF($AJ1128=1,IFERROR(IF(VALUE($C1128)&lt;100000000,VALUE($C1128),1000000000),IFERROR(IF(VALUE(MID($C1128,2,20))&lt;100000000,VALUE(MID($C1128,2,20)),1000000000),1000000000))+ROW()/100000,"")</f>
        <v/>
      </c>
    </row>
    <row r="1129">
      <c r="E1129" s="11" t="n"/>
      <c r="M1129" s="7">
        <f>IF($C1129="","",L1129*U1129/100)</f>
        <v/>
      </c>
      <c r="N1129" s="7" t="n"/>
      <c r="T1129" s="7" t="n"/>
      <c r="U1129" s="7">
        <f>IF($C1129="","",S1129*T1129)</f>
        <v/>
      </c>
      <c r="X1129">
        <f>IF($C1129="","",IF($AM1129=1,0,IF($AL1129=1,Settings!$C$6,Settings!$C$7))*100)</f>
        <v/>
      </c>
      <c r="AB1129" s="7" t="n"/>
      <c r="AE1129" s="11" t="n"/>
      <c r="AG1129" s="7">
        <f>IF($C1129="","",U1129*X1129/100)</f>
        <v/>
      </c>
      <c r="AH1129" s="7">
        <f>IF($C1129="","",U1129-AG1129)</f>
        <v/>
      </c>
      <c r="AI1129" s="7">
        <f>IF($C1129="","",AH1129-M1129)</f>
        <v/>
      </c>
      <c r="AJ1129">
        <f>IF($C1129="","",IF(COUNTIF($C$2:$C1129,$C1129)=1,1,0))</f>
        <v/>
      </c>
      <c r="AK1129">
        <f>IF($AJ1129=1,SUMPRODUCT(--($AN$2:$AN$4001&lt;$AN1129))+1,"")</f>
        <v/>
      </c>
      <c r="AL1129">
        <f>IF($C1129="","",IF(OR($Q1129=TRUE(),$Q1129="TRUE"),1,0))</f>
        <v/>
      </c>
      <c r="AM1129">
        <f>IF($C1129="","",IF($W1129="Yes",1,0))</f>
        <v/>
      </c>
      <c r="AN1129">
        <f>IF($AJ1129=1,IFERROR(IF(VALUE($C1129)&lt;100000000,VALUE($C1129),1000000000),IFERROR(IF(VALUE(MID($C1129,2,20))&lt;100000000,VALUE(MID($C1129,2,20)),1000000000),1000000000))+ROW()/100000,"")</f>
        <v/>
      </c>
    </row>
    <row r="1130">
      <c r="E1130" s="11" t="n"/>
      <c r="M1130" s="7">
        <f>IF($C1130="","",L1130*U1130/100)</f>
        <v/>
      </c>
      <c r="N1130" s="7" t="n"/>
      <c r="T1130" s="7" t="n"/>
      <c r="U1130" s="7">
        <f>IF($C1130="","",S1130*T1130)</f>
        <v/>
      </c>
      <c r="X1130">
        <f>IF($C1130="","",IF($AM1130=1,0,IF($AL1130=1,Settings!$C$6,Settings!$C$7))*100)</f>
        <v/>
      </c>
      <c r="AB1130" s="7" t="n"/>
      <c r="AE1130" s="11" t="n"/>
      <c r="AG1130" s="7">
        <f>IF($C1130="","",U1130*X1130/100)</f>
        <v/>
      </c>
      <c r="AH1130" s="7">
        <f>IF($C1130="","",U1130-AG1130)</f>
        <v/>
      </c>
      <c r="AI1130" s="7">
        <f>IF($C1130="","",AH1130-M1130)</f>
        <v/>
      </c>
      <c r="AJ1130">
        <f>IF($C1130="","",IF(COUNTIF($C$2:$C1130,$C1130)=1,1,0))</f>
        <v/>
      </c>
      <c r="AK1130">
        <f>IF($AJ1130=1,SUMPRODUCT(--($AN$2:$AN$4001&lt;$AN1130))+1,"")</f>
        <v/>
      </c>
      <c r="AL1130">
        <f>IF($C1130="","",IF(OR($Q1130=TRUE(),$Q1130="TRUE"),1,0))</f>
        <v/>
      </c>
      <c r="AM1130">
        <f>IF($C1130="","",IF($W1130="Yes",1,0))</f>
        <v/>
      </c>
      <c r="AN1130">
        <f>IF($AJ1130=1,IFERROR(IF(VALUE($C1130)&lt;100000000,VALUE($C1130),1000000000),IFERROR(IF(VALUE(MID($C1130,2,20))&lt;100000000,VALUE(MID($C1130,2,20)),1000000000),1000000000))+ROW()/100000,"")</f>
        <v/>
      </c>
    </row>
    <row r="1131">
      <c r="E1131" s="11" t="n"/>
      <c r="M1131" s="7">
        <f>IF($C1131="","",L1131*U1131/100)</f>
        <v/>
      </c>
      <c r="N1131" s="7" t="n"/>
      <c r="T1131" s="7" t="n"/>
      <c r="U1131" s="7">
        <f>IF($C1131="","",S1131*T1131)</f>
        <v/>
      </c>
      <c r="X1131">
        <f>IF($C1131="","",IF($AM1131=1,0,IF($AL1131=1,Settings!$C$6,Settings!$C$7))*100)</f>
        <v/>
      </c>
      <c r="AB1131" s="7" t="n"/>
      <c r="AE1131" s="11" t="n"/>
      <c r="AG1131" s="7">
        <f>IF($C1131="","",U1131*X1131/100)</f>
        <v/>
      </c>
      <c r="AH1131" s="7">
        <f>IF($C1131="","",U1131-AG1131)</f>
        <v/>
      </c>
      <c r="AI1131" s="7">
        <f>IF($C1131="","",AH1131-M1131)</f>
        <v/>
      </c>
      <c r="AJ1131">
        <f>IF($C1131="","",IF(COUNTIF($C$2:$C1131,$C1131)=1,1,0))</f>
        <v/>
      </c>
      <c r="AK1131">
        <f>IF($AJ1131=1,SUMPRODUCT(--($AN$2:$AN$4001&lt;$AN1131))+1,"")</f>
        <v/>
      </c>
      <c r="AL1131">
        <f>IF($C1131="","",IF(OR($Q1131=TRUE(),$Q1131="TRUE"),1,0))</f>
        <v/>
      </c>
      <c r="AM1131">
        <f>IF($C1131="","",IF($W1131="Yes",1,0))</f>
        <v/>
      </c>
      <c r="AN1131">
        <f>IF($AJ1131=1,IFERROR(IF(VALUE($C1131)&lt;100000000,VALUE($C1131),1000000000),IFERROR(IF(VALUE(MID($C1131,2,20))&lt;100000000,VALUE(MID($C1131,2,20)),1000000000),1000000000))+ROW()/100000,"")</f>
        <v/>
      </c>
    </row>
    <row r="1132">
      <c r="E1132" s="11" t="n"/>
      <c r="M1132" s="7">
        <f>IF($C1132="","",L1132*U1132/100)</f>
        <v/>
      </c>
      <c r="N1132" s="7" t="n"/>
      <c r="T1132" s="7" t="n"/>
      <c r="U1132" s="7">
        <f>IF($C1132="","",S1132*T1132)</f>
        <v/>
      </c>
      <c r="X1132">
        <f>IF($C1132="","",IF($AM1132=1,0,IF($AL1132=1,Settings!$C$6,Settings!$C$7))*100)</f>
        <v/>
      </c>
      <c r="AB1132" s="7" t="n"/>
      <c r="AE1132" s="11" t="n"/>
      <c r="AG1132" s="7">
        <f>IF($C1132="","",U1132*X1132/100)</f>
        <v/>
      </c>
      <c r="AH1132" s="7">
        <f>IF($C1132="","",U1132-AG1132)</f>
        <v/>
      </c>
      <c r="AI1132" s="7">
        <f>IF($C1132="","",AH1132-M1132)</f>
        <v/>
      </c>
      <c r="AJ1132">
        <f>IF($C1132="","",IF(COUNTIF($C$2:$C1132,$C1132)=1,1,0))</f>
        <v/>
      </c>
      <c r="AK1132">
        <f>IF($AJ1132=1,SUMPRODUCT(--($AN$2:$AN$4001&lt;$AN1132))+1,"")</f>
        <v/>
      </c>
      <c r="AL1132">
        <f>IF($C1132="","",IF(OR($Q1132=TRUE(),$Q1132="TRUE"),1,0))</f>
        <v/>
      </c>
      <c r="AM1132">
        <f>IF($C1132="","",IF($W1132="Yes",1,0))</f>
        <v/>
      </c>
      <c r="AN1132">
        <f>IF($AJ1132=1,IFERROR(IF(VALUE($C1132)&lt;100000000,VALUE($C1132),1000000000),IFERROR(IF(VALUE(MID($C1132,2,20))&lt;100000000,VALUE(MID($C1132,2,20)),1000000000),1000000000))+ROW()/100000,"")</f>
        <v/>
      </c>
    </row>
    <row r="1133">
      <c r="E1133" s="11" t="n"/>
      <c r="M1133" s="7">
        <f>IF($C1133="","",L1133*U1133/100)</f>
        <v/>
      </c>
      <c r="N1133" s="7" t="n"/>
      <c r="T1133" s="7" t="n"/>
      <c r="U1133" s="7">
        <f>IF($C1133="","",S1133*T1133)</f>
        <v/>
      </c>
      <c r="X1133">
        <f>IF($C1133="","",IF($AM1133=1,0,IF($AL1133=1,Settings!$C$6,Settings!$C$7))*100)</f>
        <v/>
      </c>
      <c r="AB1133" s="7" t="n"/>
      <c r="AE1133" s="11" t="n"/>
      <c r="AG1133" s="7">
        <f>IF($C1133="","",U1133*X1133/100)</f>
        <v/>
      </c>
      <c r="AH1133" s="7">
        <f>IF($C1133="","",U1133-AG1133)</f>
        <v/>
      </c>
      <c r="AI1133" s="7">
        <f>IF($C1133="","",AH1133-M1133)</f>
        <v/>
      </c>
      <c r="AJ1133">
        <f>IF($C1133="","",IF(COUNTIF($C$2:$C1133,$C1133)=1,1,0))</f>
        <v/>
      </c>
      <c r="AK1133">
        <f>IF($AJ1133=1,SUMPRODUCT(--($AN$2:$AN$4001&lt;$AN1133))+1,"")</f>
        <v/>
      </c>
      <c r="AL1133">
        <f>IF($C1133="","",IF(OR($Q1133=TRUE(),$Q1133="TRUE"),1,0))</f>
        <v/>
      </c>
      <c r="AM1133">
        <f>IF($C1133="","",IF($W1133="Yes",1,0))</f>
        <v/>
      </c>
      <c r="AN1133">
        <f>IF($AJ1133=1,IFERROR(IF(VALUE($C1133)&lt;100000000,VALUE($C1133),1000000000),IFERROR(IF(VALUE(MID($C1133,2,20))&lt;100000000,VALUE(MID($C1133,2,20)),1000000000),1000000000))+ROW()/100000,"")</f>
        <v/>
      </c>
    </row>
    <row r="1134">
      <c r="E1134" s="11" t="n"/>
      <c r="M1134" s="7">
        <f>IF($C1134="","",L1134*U1134/100)</f>
        <v/>
      </c>
      <c r="N1134" s="7" t="n"/>
      <c r="T1134" s="7" t="n"/>
      <c r="U1134" s="7">
        <f>IF($C1134="","",S1134*T1134)</f>
        <v/>
      </c>
      <c r="X1134">
        <f>IF($C1134="","",IF($AM1134=1,0,IF($AL1134=1,Settings!$C$6,Settings!$C$7))*100)</f>
        <v/>
      </c>
      <c r="AB1134" s="7" t="n"/>
      <c r="AE1134" s="11" t="n"/>
      <c r="AG1134" s="7">
        <f>IF($C1134="","",U1134*X1134/100)</f>
        <v/>
      </c>
      <c r="AH1134" s="7">
        <f>IF($C1134="","",U1134-AG1134)</f>
        <v/>
      </c>
      <c r="AI1134" s="7">
        <f>IF($C1134="","",AH1134-M1134)</f>
        <v/>
      </c>
      <c r="AJ1134">
        <f>IF($C1134="","",IF(COUNTIF($C$2:$C1134,$C1134)=1,1,0))</f>
        <v/>
      </c>
      <c r="AK1134">
        <f>IF($AJ1134=1,SUMPRODUCT(--($AN$2:$AN$4001&lt;$AN1134))+1,"")</f>
        <v/>
      </c>
      <c r="AL1134">
        <f>IF($C1134="","",IF(OR($Q1134=TRUE(),$Q1134="TRUE"),1,0))</f>
        <v/>
      </c>
      <c r="AM1134">
        <f>IF($C1134="","",IF($W1134="Yes",1,0))</f>
        <v/>
      </c>
      <c r="AN1134">
        <f>IF($AJ1134=1,IFERROR(IF(VALUE($C1134)&lt;100000000,VALUE($C1134),1000000000),IFERROR(IF(VALUE(MID($C1134,2,20))&lt;100000000,VALUE(MID($C1134,2,20)),1000000000),1000000000))+ROW()/100000,"")</f>
        <v/>
      </c>
    </row>
    <row r="1135">
      <c r="E1135" s="11" t="n"/>
      <c r="M1135" s="7">
        <f>IF($C1135="","",L1135*U1135/100)</f>
        <v/>
      </c>
      <c r="N1135" s="7" t="n"/>
      <c r="T1135" s="7" t="n"/>
      <c r="U1135" s="7">
        <f>IF($C1135="","",S1135*T1135)</f>
        <v/>
      </c>
      <c r="X1135">
        <f>IF($C1135="","",IF($AM1135=1,0,IF($AL1135=1,Settings!$C$6,Settings!$C$7))*100)</f>
        <v/>
      </c>
      <c r="AB1135" s="7" t="n"/>
      <c r="AE1135" s="11" t="n"/>
      <c r="AG1135" s="7">
        <f>IF($C1135="","",U1135*X1135/100)</f>
        <v/>
      </c>
      <c r="AH1135" s="7">
        <f>IF($C1135="","",U1135-AG1135)</f>
        <v/>
      </c>
      <c r="AI1135" s="7">
        <f>IF($C1135="","",AH1135-M1135)</f>
        <v/>
      </c>
      <c r="AJ1135">
        <f>IF($C1135="","",IF(COUNTIF($C$2:$C1135,$C1135)=1,1,0))</f>
        <v/>
      </c>
      <c r="AK1135">
        <f>IF($AJ1135=1,SUMPRODUCT(--($AN$2:$AN$4001&lt;$AN1135))+1,"")</f>
        <v/>
      </c>
      <c r="AL1135">
        <f>IF($C1135="","",IF(OR($Q1135=TRUE(),$Q1135="TRUE"),1,0))</f>
        <v/>
      </c>
      <c r="AM1135">
        <f>IF($C1135="","",IF($W1135="Yes",1,0))</f>
        <v/>
      </c>
      <c r="AN1135">
        <f>IF($AJ1135=1,IFERROR(IF(VALUE($C1135)&lt;100000000,VALUE($C1135),1000000000),IFERROR(IF(VALUE(MID($C1135,2,20))&lt;100000000,VALUE(MID($C1135,2,20)),1000000000),1000000000))+ROW()/100000,"")</f>
        <v/>
      </c>
    </row>
    <row r="1136">
      <c r="E1136" s="11" t="n"/>
      <c r="M1136" s="7">
        <f>IF($C1136="","",L1136*U1136/100)</f>
        <v/>
      </c>
      <c r="N1136" s="7" t="n"/>
      <c r="T1136" s="7" t="n"/>
      <c r="U1136" s="7">
        <f>IF($C1136="","",S1136*T1136)</f>
        <v/>
      </c>
      <c r="X1136">
        <f>IF($C1136="","",IF($AM1136=1,0,IF($AL1136=1,Settings!$C$6,Settings!$C$7))*100)</f>
        <v/>
      </c>
      <c r="AB1136" s="7" t="n"/>
      <c r="AE1136" s="11" t="n"/>
      <c r="AG1136" s="7">
        <f>IF($C1136="","",U1136*X1136/100)</f>
        <v/>
      </c>
      <c r="AH1136" s="7">
        <f>IF($C1136="","",U1136-AG1136)</f>
        <v/>
      </c>
      <c r="AI1136" s="7">
        <f>IF($C1136="","",AH1136-M1136)</f>
        <v/>
      </c>
      <c r="AJ1136">
        <f>IF($C1136="","",IF(COUNTIF($C$2:$C1136,$C1136)=1,1,0))</f>
        <v/>
      </c>
      <c r="AK1136">
        <f>IF($AJ1136=1,SUMPRODUCT(--($AN$2:$AN$4001&lt;$AN1136))+1,"")</f>
        <v/>
      </c>
      <c r="AL1136">
        <f>IF($C1136="","",IF(OR($Q1136=TRUE(),$Q1136="TRUE"),1,0))</f>
        <v/>
      </c>
      <c r="AM1136">
        <f>IF($C1136="","",IF($W1136="Yes",1,0))</f>
        <v/>
      </c>
      <c r="AN1136">
        <f>IF($AJ1136=1,IFERROR(IF(VALUE($C1136)&lt;100000000,VALUE($C1136),1000000000),IFERROR(IF(VALUE(MID($C1136,2,20))&lt;100000000,VALUE(MID($C1136,2,20)),1000000000),1000000000))+ROW()/100000,"")</f>
        <v/>
      </c>
    </row>
    <row r="1137">
      <c r="E1137" s="11" t="n"/>
      <c r="M1137" s="7">
        <f>IF($C1137="","",L1137*U1137/100)</f>
        <v/>
      </c>
      <c r="N1137" s="7" t="n"/>
      <c r="T1137" s="7" t="n"/>
      <c r="U1137" s="7">
        <f>IF($C1137="","",S1137*T1137)</f>
        <v/>
      </c>
      <c r="X1137">
        <f>IF($C1137="","",IF($AM1137=1,0,IF($AL1137=1,Settings!$C$6,Settings!$C$7))*100)</f>
        <v/>
      </c>
      <c r="AB1137" s="7" t="n"/>
      <c r="AE1137" s="11" t="n"/>
      <c r="AG1137" s="7">
        <f>IF($C1137="","",U1137*X1137/100)</f>
        <v/>
      </c>
      <c r="AH1137" s="7">
        <f>IF($C1137="","",U1137-AG1137)</f>
        <v/>
      </c>
      <c r="AI1137" s="7">
        <f>IF($C1137="","",AH1137-M1137)</f>
        <v/>
      </c>
      <c r="AJ1137">
        <f>IF($C1137="","",IF(COUNTIF($C$2:$C1137,$C1137)=1,1,0))</f>
        <v/>
      </c>
      <c r="AK1137">
        <f>IF($AJ1137=1,SUMPRODUCT(--($AN$2:$AN$4001&lt;$AN1137))+1,"")</f>
        <v/>
      </c>
      <c r="AL1137">
        <f>IF($C1137="","",IF(OR($Q1137=TRUE(),$Q1137="TRUE"),1,0))</f>
        <v/>
      </c>
      <c r="AM1137">
        <f>IF($C1137="","",IF($W1137="Yes",1,0))</f>
        <v/>
      </c>
      <c r="AN1137">
        <f>IF($AJ1137=1,IFERROR(IF(VALUE($C1137)&lt;100000000,VALUE($C1137),1000000000),IFERROR(IF(VALUE(MID($C1137,2,20))&lt;100000000,VALUE(MID($C1137,2,20)),1000000000),1000000000))+ROW()/100000,"")</f>
        <v/>
      </c>
    </row>
    <row r="1138">
      <c r="E1138" s="11" t="n"/>
      <c r="M1138" s="7">
        <f>IF($C1138="","",L1138*U1138/100)</f>
        <v/>
      </c>
      <c r="N1138" s="7" t="n"/>
      <c r="T1138" s="7" t="n"/>
      <c r="U1138" s="7">
        <f>IF($C1138="","",S1138*T1138)</f>
        <v/>
      </c>
      <c r="X1138">
        <f>IF($C1138="","",IF($AM1138=1,0,IF($AL1138=1,Settings!$C$6,Settings!$C$7))*100)</f>
        <v/>
      </c>
      <c r="AB1138" s="7" t="n"/>
      <c r="AE1138" s="11" t="n"/>
      <c r="AG1138" s="7">
        <f>IF($C1138="","",U1138*X1138/100)</f>
        <v/>
      </c>
      <c r="AH1138" s="7">
        <f>IF($C1138="","",U1138-AG1138)</f>
        <v/>
      </c>
      <c r="AI1138" s="7">
        <f>IF($C1138="","",AH1138-M1138)</f>
        <v/>
      </c>
      <c r="AJ1138">
        <f>IF($C1138="","",IF(COUNTIF($C$2:$C1138,$C1138)=1,1,0))</f>
        <v/>
      </c>
      <c r="AK1138">
        <f>IF($AJ1138=1,SUMPRODUCT(--($AN$2:$AN$4001&lt;$AN1138))+1,"")</f>
        <v/>
      </c>
      <c r="AL1138">
        <f>IF($C1138="","",IF(OR($Q1138=TRUE(),$Q1138="TRUE"),1,0))</f>
        <v/>
      </c>
      <c r="AM1138">
        <f>IF($C1138="","",IF($W1138="Yes",1,0))</f>
        <v/>
      </c>
      <c r="AN1138">
        <f>IF($AJ1138=1,IFERROR(IF(VALUE($C1138)&lt;100000000,VALUE($C1138),1000000000),IFERROR(IF(VALUE(MID($C1138,2,20))&lt;100000000,VALUE(MID($C1138,2,20)),1000000000),1000000000))+ROW()/100000,"")</f>
        <v/>
      </c>
    </row>
    <row r="1139">
      <c r="E1139" s="11" t="n"/>
      <c r="M1139" s="7">
        <f>IF($C1139="","",L1139*U1139/100)</f>
        <v/>
      </c>
      <c r="N1139" s="7" t="n"/>
      <c r="T1139" s="7" t="n"/>
      <c r="U1139" s="7">
        <f>IF($C1139="","",S1139*T1139)</f>
        <v/>
      </c>
      <c r="X1139">
        <f>IF($C1139="","",IF($AM1139=1,0,IF($AL1139=1,Settings!$C$6,Settings!$C$7))*100)</f>
        <v/>
      </c>
      <c r="AB1139" s="7" t="n"/>
      <c r="AE1139" s="11" t="n"/>
      <c r="AG1139" s="7">
        <f>IF($C1139="","",U1139*X1139/100)</f>
        <v/>
      </c>
      <c r="AH1139" s="7">
        <f>IF($C1139="","",U1139-AG1139)</f>
        <v/>
      </c>
      <c r="AI1139" s="7">
        <f>IF($C1139="","",AH1139-M1139)</f>
        <v/>
      </c>
      <c r="AJ1139">
        <f>IF($C1139="","",IF(COUNTIF($C$2:$C1139,$C1139)=1,1,0))</f>
        <v/>
      </c>
      <c r="AK1139">
        <f>IF($AJ1139=1,SUMPRODUCT(--($AN$2:$AN$4001&lt;$AN1139))+1,"")</f>
        <v/>
      </c>
      <c r="AL1139">
        <f>IF($C1139="","",IF(OR($Q1139=TRUE(),$Q1139="TRUE"),1,0))</f>
        <v/>
      </c>
      <c r="AM1139">
        <f>IF($C1139="","",IF($W1139="Yes",1,0))</f>
        <v/>
      </c>
      <c r="AN1139">
        <f>IF($AJ1139=1,IFERROR(IF(VALUE($C1139)&lt;100000000,VALUE($C1139),1000000000),IFERROR(IF(VALUE(MID($C1139,2,20))&lt;100000000,VALUE(MID($C1139,2,20)),1000000000),1000000000))+ROW()/100000,"")</f>
        <v/>
      </c>
    </row>
    <row r="1140">
      <c r="E1140" s="11" t="n"/>
      <c r="M1140" s="7">
        <f>IF($C1140="","",L1140*U1140/100)</f>
        <v/>
      </c>
      <c r="N1140" s="7" t="n"/>
      <c r="T1140" s="7" t="n"/>
      <c r="U1140" s="7">
        <f>IF($C1140="","",S1140*T1140)</f>
        <v/>
      </c>
      <c r="X1140">
        <f>IF($C1140="","",IF($AM1140=1,0,IF($AL1140=1,Settings!$C$6,Settings!$C$7))*100)</f>
        <v/>
      </c>
      <c r="AB1140" s="7" t="n"/>
      <c r="AE1140" s="11" t="n"/>
      <c r="AG1140" s="7">
        <f>IF($C1140="","",U1140*X1140/100)</f>
        <v/>
      </c>
      <c r="AH1140" s="7">
        <f>IF($C1140="","",U1140-AG1140)</f>
        <v/>
      </c>
      <c r="AI1140" s="7">
        <f>IF($C1140="","",AH1140-M1140)</f>
        <v/>
      </c>
      <c r="AJ1140">
        <f>IF($C1140="","",IF(COUNTIF($C$2:$C1140,$C1140)=1,1,0))</f>
        <v/>
      </c>
      <c r="AK1140">
        <f>IF($AJ1140=1,SUMPRODUCT(--($AN$2:$AN$4001&lt;$AN1140))+1,"")</f>
        <v/>
      </c>
      <c r="AL1140">
        <f>IF($C1140="","",IF(OR($Q1140=TRUE(),$Q1140="TRUE"),1,0))</f>
        <v/>
      </c>
      <c r="AM1140">
        <f>IF($C1140="","",IF($W1140="Yes",1,0))</f>
        <v/>
      </c>
      <c r="AN1140">
        <f>IF($AJ1140=1,IFERROR(IF(VALUE($C1140)&lt;100000000,VALUE($C1140),1000000000),IFERROR(IF(VALUE(MID($C1140,2,20))&lt;100000000,VALUE(MID($C1140,2,20)),1000000000),1000000000))+ROW()/100000,"")</f>
        <v/>
      </c>
    </row>
    <row r="1141">
      <c r="E1141" s="11" t="n"/>
      <c r="M1141" s="7">
        <f>IF($C1141="","",L1141*U1141/100)</f>
        <v/>
      </c>
      <c r="N1141" s="7" t="n"/>
      <c r="T1141" s="7" t="n"/>
      <c r="U1141" s="7">
        <f>IF($C1141="","",S1141*T1141)</f>
        <v/>
      </c>
      <c r="X1141">
        <f>IF($C1141="","",IF($AM1141=1,0,IF($AL1141=1,Settings!$C$6,Settings!$C$7))*100)</f>
        <v/>
      </c>
      <c r="AB1141" s="7" t="n"/>
      <c r="AE1141" s="11" t="n"/>
      <c r="AG1141" s="7">
        <f>IF($C1141="","",U1141*X1141/100)</f>
        <v/>
      </c>
      <c r="AH1141" s="7">
        <f>IF($C1141="","",U1141-AG1141)</f>
        <v/>
      </c>
      <c r="AI1141" s="7">
        <f>IF($C1141="","",AH1141-M1141)</f>
        <v/>
      </c>
      <c r="AJ1141">
        <f>IF($C1141="","",IF(COUNTIF($C$2:$C1141,$C1141)=1,1,0))</f>
        <v/>
      </c>
      <c r="AK1141">
        <f>IF($AJ1141=1,SUMPRODUCT(--($AN$2:$AN$4001&lt;$AN1141))+1,"")</f>
        <v/>
      </c>
      <c r="AL1141">
        <f>IF($C1141="","",IF(OR($Q1141=TRUE(),$Q1141="TRUE"),1,0))</f>
        <v/>
      </c>
      <c r="AM1141">
        <f>IF($C1141="","",IF($W1141="Yes",1,0))</f>
        <v/>
      </c>
      <c r="AN1141">
        <f>IF($AJ1141=1,IFERROR(IF(VALUE($C1141)&lt;100000000,VALUE($C1141),1000000000),IFERROR(IF(VALUE(MID($C1141,2,20))&lt;100000000,VALUE(MID($C1141,2,20)),1000000000),1000000000))+ROW()/100000,"")</f>
        <v/>
      </c>
    </row>
    <row r="1142">
      <c r="E1142" s="11" t="n"/>
      <c r="M1142" s="7">
        <f>IF($C1142="","",L1142*U1142/100)</f>
        <v/>
      </c>
      <c r="N1142" s="7" t="n"/>
      <c r="T1142" s="7" t="n"/>
      <c r="U1142" s="7">
        <f>IF($C1142="","",S1142*T1142)</f>
        <v/>
      </c>
      <c r="X1142">
        <f>IF($C1142="","",IF($AM1142=1,0,IF($AL1142=1,Settings!$C$6,Settings!$C$7))*100)</f>
        <v/>
      </c>
      <c r="AB1142" s="7" t="n"/>
      <c r="AE1142" s="11" t="n"/>
      <c r="AG1142" s="7">
        <f>IF($C1142="","",U1142*X1142/100)</f>
        <v/>
      </c>
      <c r="AH1142" s="7">
        <f>IF($C1142="","",U1142-AG1142)</f>
        <v/>
      </c>
      <c r="AI1142" s="7">
        <f>IF($C1142="","",AH1142-M1142)</f>
        <v/>
      </c>
      <c r="AJ1142">
        <f>IF($C1142="","",IF(COUNTIF($C$2:$C1142,$C1142)=1,1,0))</f>
        <v/>
      </c>
      <c r="AK1142">
        <f>IF($AJ1142=1,SUMPRODUCT(--($AN$2:$AN$4001&lt;$AN1142))+1,"")</f>
        <v/>
      </c>
      <c r="AL1142">
        <f>IF($C1142="","",IF(OR($Q1142=TRUE(),$Q1142="TRUE"),1,0))</f>
        <v/>
      </c>
      <c r="AM1142">
        <f>IF($C1142="","",IF($W1142="Yes",1,0))</f>
        <v/>
      </c>
      <c r="AN1142">
        <f>IF($AJ1142=1,IFERROR(IF(VALUE($C1142)&lt;100000000,VALUE($C1142),1000000000),IFERROR(IF(VALUE(MID($C1142,2,20))&lt;100000000,VALUE(MID($C1142,2,20)),1000000000),1000000000))+ROW()/100000,"")</f>
        <v/>
      </c>
    </row>
    <row r="1143">
      <c r="E1143" s="11" t="n"/>
      <c r="M1143" s="7">
        <f>IF($C1143="","",L1143*U1143/100)</f>
        <v/>
      </c>
      <c r="N1143" s="7" t="n"/>
      <c r="T1143" s="7" t="n"/>
      <c r="U1143" s="7">
        <f>IF($C1143="","",S1143*T1143)</f>
        <v/>
      </c>
      <c r="X1143">
        <f>IF($C1143="","",IF($AM1143=1,0,IF($AL1143=1,Settings!$C$6,Settings!$C$7))*100)</f>
        <v/>
      </c>
      <c r="AB1143" s="7" t="n"/>
      <c r="AE1143" s="11" t="n"/>
      <c r="AG1143" s="7">
        <f>IF($C1143="","",U1143*X1143/100)</f>
        <v/>
      </c>
      <c r="AH1143" s="7">
        <f>IF($C1143="","",U1143-AG1143)</f>
        <v/>
      </c>
      <c r="AI1143" s="7">
        <f>IF($C1143="","",AH1143-M1143)</f>
        <v/>
      </c>
      <c r="AJ1143">
        <f>IF($C1143="","",IF(COUNTIF($C$2:$C1143,$C1143)=1,1,0))</f>
        <v/>
      </c>
      <c r="AK1143">
        <f>IF($AJ1143=1,SUMPRODUCT(--($AN$2:$AN$4001&lt;$AN1143))+1,"")</f>
        <v/>
      </c>
      <c r="AL1143">
        <f>IF($C1143="","",IF(OR($Q1143=TRUE(),$Q1143="TRUE"),1,0))</f>
        <v/>
      </c>
      <c r="AM1143">
        <f>IF($C1143="","",IF($W1143="Yes",1,0))</f>
        <v/>
      </c>
      <c r="AN1143">
        <f>IF($AJ1143=1,IFERROR(IF(VALUE($C1143)&lt;100000000,VALUE($C1143),1000000000),IFERROR(IF(VALUE(MID($C1143,2,20))&lt;100000000,VALUE(MID($C1143,2,20)),1000000000),1000000000))+ROW()/100000,"")</f>
        <v/>
      </c>
    </row>
    <row r="1144">
      <c r="E1144" s="11" t="n"/>
      <c r="M1144" s="7">
        <f>IF($C1144="","",L1144*U1144/100)</f>
        <v/>
      </c>
      <c r="N1144" s="7" t="n"/>
      <c r="T1144" s="7" t="n"/>
      <c r="U1144" s="7">
        <f>IF($C1144="","",S1144*T1144)</f>
        <v/>
      </c>
      <c r="X1144">
        <f>IF($C1144="","",IF($AM1144=1,0,IF($AL1144=1,Settings!$C$6,Settings!$C$7))*100)</f>
        <v/>
      </c>
      <c r="AB1144" s="7" t="n"/>
      <c r="AE1144" s="11" t="n"/>
      <c r="AG1144" s="7">
        <f>IF($C1144="","",U1144*X1144/100)</f>
        <v/>
      </c>
      <c r="AH1144" s="7">
        <f>IF($C1144="","",U1144-AG1144)</f>
        <v/>
      </c>
      <c r="AI1144" s="7">
        <f>IF($C1144="","",AH1144-M1144)</f>
        <v/>
      </c>
      <c r="AJ1144">
        <f>IF($C1144="","",IF(COUNTIF($C$2:$C1144,$C1144)=1,1,0))</f>
        <v/>
      </c>
      <c r="AK1144">
        <f>IF($AJ1144=1,SUMPRODUCT(--($AN$2:$AN$4001&lt;$AN1144))+1,"")</f>
        <v/>
      </c>
      <c r="AL1144">
        <f>IF($C1144="","",IF(OR($Q1144=TRUE(),$Q1144="TRUE"),1,0))</f>
        <v/>
      </c>
      <c r="AM1144">
        <f>IF($C1144="","",IF($W1144="Yes",1,0))</f>
        <v/>
      </c>
      <c r="AN1144">
        <f>IF($AJ1144=1,IFERROR(IF(VALUE($C1144)&lt;100000000,VALUE($C1144),1000000000),IFERROR(IF(VALUE(MID($C1144,2,20))&lt;100000000,VALUE(MID($C1144,2,20)),1000000000),1000000000))+ROW()/100000,"")</f>
        <v/>
      </c>
    </row>
    <row r="1145">
      <c r="E1145" s="11" t="n"/>
      <c r="M1145" s="7">
        <f>IF($C1145="","",L1145*U1145/100)</f>
        <v/>
      </c>
      <c r="N1145" s="7" t="n"/>
      <c r="T1145" s="7" t="n"/>
      <c r="U1145" s="7">
        <f>IF($C1145="","",S1145*T1145)</f>
        <v/>
      </c>
      <c r="X1145">
        <f>IF($C1145="","",IF($AM1145=1,0,IF($AL1145=1,Settings!$C$6,Settings!$C$7))*100)</f>
        <v/>
      </c>
      <c r="AB1145" s="7" t="n"/>
      <c r="AE1145" s="11" t="n"/>
      <c r="AG1145" s="7">
        <f>IF($C1145="","",U1145*X1145/100)</f>
        <v/>
      </c>
      <c r="AH1145" s="7">
        <f>IF($C1145="","",U1145-AG1145)</f>
        <v/>
      </c>
      <c r="AI1145" s="7">
        <f>IF($C1145="","",AH1145-M1145)</f>
        <v/>
      </c>
      <c r="AJ1145">
        <f>IF($C1145="","",IF(COUNTIF($C$2:$C1145,$C1145)=1,1,0))</f>
        <v/>
      </c>
      <c r="AK1145">
        <f>IF($AJ1145=1,SUMPRODUCT(--($AN$2:$AN$4001&lt;$AN1145))+1,"")</f>
        <v/>
      </c>
      <c r="AL1145">
        <f>IF($C1145="","",IF(OR($Q1145=TRUE(),$Q1145="TRUE"),1,0))</f>
        <v/>
      </c>
      <c r="AM1145">
        <f>IF($C1145="","",IF($W1145="Yes",1,0))</f>
        <v/>
      </c>
      <c r="AN1145">
        <f>IF($AJ1145=1,IFERROR(IF(VALUE($C1145)&lt;100000000,VALUE($C1145),1000000000),IFERROR(IF(VALUE(MID($C1145,2,20))&lt;100000000,VALUE(MID($C1145,2,20)),1000000000),1000000000))+ROW()/100000,"")</f>
        <v/>
      </c>
    </row>
    <row r="1146">
      <c r="E1146" s="11" t="n"/>
      <c r="M1146" s="7">
        <f>IF($C1146="","",L1146*U1146/100)</f>
        <v/>
      </c>
      <c r="N1146" s="7" t="n"/>
      <c r="T1146" s="7" t="n"/>
      <c r="U1146" s="7">
        <f>IF($C1146="","",S1146*T1146)</f>
        <v/>
      </c>
      <c r="X1146">
        <f>IF($C1146="","",IF($AM1146=1,0,IF($AL1146=1,Settings!$C$6,Settings!$C$7))*100)</f>
        <v/>
      </c>
      <c r="AB1146" s="7" t="n"/>
      <c r="AE1146" s="11" t="n"/>
      <c r="AG1146" s="7">
        <f>IF($C1146="","",U1146*X1146/100)</f>
        <v/>
      </c>
      <c r="AH1146" s="7">
        <f>IF($C1146="","",U1146-AG1146)</f>
        <v/>
      </c>
      <c r="AI1146" s="7">
        <f>IF($C1146="","",AH1146-M1146)</f>
        <v/>
      </c>
      <c r="AJ1146">
        <f>IF($C1146="","",IF(COUNTIF($C$2:$C1146,$C1146)=1,1,0))</f>
        <v/>
      </c>
      <c r="AK1146">
        <f>IF($AJ1146=1,SUMPRODUCT(--($AN$2:$AN$4001&lt;$AN1146))+1,"")</f>
        <v/>
      </c>
      <c r="AL1146">
        <f>IF($C1146="","",IF(OR($Q1146=TRUE(),$Q1146="TRUE"),1,0))</f>
        <v/>
      </c>
      <c r="AM1146">
        <f>IF($C1146="","",IF($W1146="Yes",1,0))</f>
        <v/>
      </c>
      <c r="AN1146">
        <f>IF($AJ1146=1,IFERROR(IF(VALUE($C1146)&lt;100000000,VALUE($C1146),1000000000),IFERROR(IF(VALUE(MID($C1146,2,20))&lt;100000000,VALUE(MID($C1146,2,20)),1000000000),1000000000))+ROW()/100000,"")</f>
        <v/>
      </c>
    </row>
    <row r="1147">
      <c r="E1147" s="11" t="n"/>
      <c r="M1147" s="7">
        <f>IF($C1147="","",L1147*U1147/100)</f>
        <v/>
      </c>
      <c r="N1147" s="7" t="n"/>
      <c r="T1147" s="7" t="n"/>
      <c r="U1147" s="7">
        <f>IF($C1147="","",S1147*T1147)</f>
        <v/>
      </c>
      <c r="X1147">
        <f>IF($C1147="","",IF($AM1147=1,0,IF($AL1147=1,Settings!$C$6,Settings!$C$7))*100)</f>
        <v/>
      </c>
      <c r="AB1147" s="7" t="n"/>
      <c r="AE1147" s="11" t="n"/>
      <c r="AG1147" s="7">
        <f>IF($C1147="","",U1147*X1147/100)</f>
        <v/>
      </c>
      <c r="AH1147" s="7">
        <f>IF($C1147="","",U1147-AG1147)</f>
        <v/>
      </c>
      <c r="AI1147" s="7">
        <f>IF($C1147="","",AH1147-M1147)</f>
        <v/>
      </c>
      <c r="AJ1147">
        <f>IF($C1147="","",IF(COUNTIF($C$2:$C1147,$C1147)=1,1,0))</f>
        <v/>
      </c>
      <c r="AK1147">
        <f>IF($AJ1147=1,SUMPRODUCT(--($AN$2:$AN$4001&lt;$AN1147))+1,"")</f>
        <v/>
      </c>
      <c r="AL1147">
        <f>IF($C1147="","",IF(OR($Q1147=TRUE(),$Q1147="TRUE"),1,0))</f>
        <v/>
      </c>
      <c r="AM1147">
        <f>IF($C1147="","",IF($W1147="Yes",1,0))</f>
        <v/>
      </c>
      <c r="AN1147">
        <f>IF($AJ1147=1,IFERROR(IF(VALUE($C1147)&lt;100000000,VALUE($C1147),1000000000),IFERROR(IF(VALUE(MID($C1147,2,20))&lt;100000000,VALUE(MID($C1147,2,20)),1000000000),1000000000))+ROW()/100000,"")</f>
        <v/>
      </c>
    </row>
    <row r="1148">
      <c r="E1148" s="11" t="n"/>
      <c r="M1148" s="7">
        <f>IF($C1148="","",L1148*U1148/100)</f>
        <v/>
      </c>
      <c r="N1148" s="7" t="n"/>
      <c r="T1148" s="7" t="n"/>
      <c r="U1148" s="7">
        <f>IF($C1148="","",S1148*T1148)</f>
        <v/>
      </c>
      <c r="X1148">
        <f>IF($C1148="","",IF($AM1148=1,0,IF($AL1148=1,Settings!$C$6,Settings!$C$7))*100)</f>
        <v/>
      </c>
      <c r="AB1148" s="7" t="n"/>
      <c r="AE1148" s="11" t="n"/>
      <c r="AG1148" s="7">
        <f>IF($C1148="","",U1148*X1148/100)</f>
        <v/>
      </c>
      <c r="AH1148" s="7">
        <f>IF($C1148="","",U1148-AG1148)</f>
        <v/>
      </c>
      <c r="AI1148" s="7">
        <f>IF($C1148="","",AH1148-M1148)</f>
        <v/>
      </c>
      <c r="AJ1148">
        <f>IF($C1148="","",IF(COUNTIF($C$2:$C1148,$C1148)=1,1,0))</f>
        <v/>
      </c>
      <c r="AK1148">
        <f>IF($AJ1148=1,SUMPRODUCT(--($AN$2:$AN$4001&lt;$AN1148))+1,"")</f>
        <v/>
      </c>
      <c r="AL1148">
        <f>IF($C1148="","",IF(OR($Q1148=TRUE(),$Q1148="TRUE"),1,0))</f>
        <v/>
      </c>
      <c r="AM1148">
        <f>IF($C1148="","",IF($W1148="Yes",1,0))</f>
        <v/>
      </c>
      <c r="AN1148">
        <f>IF($AJ1148=1,IFERROR(IF(VALUE($C1148)&lt;100000000,VALUE($C1148),1000000000),IFERROR(IF(VALUE(MID($C1148,2,20))&lt;100000000,VALUE(MID($C1148,2,20)),1000000000),1000000000))+ROW()/100000,"")</f>
        <v/>
      </c>
    </row>
    <row r="1149">
      <c r="E1149" s="11" t="n"/>
      <c r="M1149" s="7">
        <f>IF($C1149="","",L1149*U1149/100)</f>
        <v/>
      </c>
      <c r="N1149" s="7" t="n"/>
      <c r="T1149" s="7" t="n"/>
      <c r="U1149" s="7">
        <f>IF($C1149="","",S1149*T1149)</f>
        <v/>
      </c>
      <c r="X1149">
        <f>IF($C1149="","",IF($AM1149=1,0,IF($AL1149=1,Settings!$C$6,Settings!$C$7))*100)</f>
        <v/>
      </c>
      <c r="AB1149" s="7" t="n"/>
      <c r="AE1149" s="11" t="n"/>
      <c r="AG1149" s="7">
        <f>IF($C1149="","",U1149*X1149/100)</f>
        <v/>
      </c>
      <c r="AH1149" s="7">
        <f>IF($C1149="","",U1149-AG1149)</f>
        <v/>
      </c>
      <c r="AI1149" s="7">
        <f>IF($C1149="","",AH1149-M1149)</f>
        <v/>
      </c>
      <c r="AJ1149">
        <f>IF($C1149="","",IF(COUNTIF($C$2:$C1149,$C1149)=1,1,0))</f>
        <v/>
      </c>
      <c r="AK1149">
        <f>IF($AJ1149=1,SUMPRODUCT(--($AN$2:$AN$4001&lt;$AN1149))+1,"")</f>
        <v/>
      </c>
      <c r="AL1149">
        <f>IF($C1149="","",IF(OR($Q1149=TRUE(),$Q1149="TRUE"),1,0))</f>
        <v/>
      </c>
      <c r="AM1149">
        <f>IF($C1149="","",IF($W1149="Yes",1,0))</f>
        <v/>
      </c>
      <c r="AN1149">
        <f>IF($AJ1149=1,IFERROR(IF(VALUE($C1149)&lt;100000000,VALUE($C1149),1000000000),IFERROR(IF(VALUE(MID($C1149,2,20))&lt;100000000,VALUE(MID($C1149,2,20)),1000000000),1000000000))+ROW()/100000,"")</f>
        <v/>
      </c>
    </row>
    <row r="1150">
      <c r="E1150" s="11" t="n"/>
      <c r="M1150" s="7">
        <f>IF($C1150="","",L1150*U1150/100)</f>
        <v/>
      </c>
      <c r="N1150" s="7" t="n"/>
      <c r="T1150" s="7" t="n"/>
      <c r="U1150" s="7">
        <f>IF($C1150="","",S1150*T1150)</f>
        <v/>
      </c>
      <c r="X1150">
        <f>IF($C1150="","",IF($AM1150=1,0,IF($AL1150=1,Settings!$C$6,Settings!$C$7))*100)</f>
        <v/>
      </c>
      <c r="AB1150" s="7" t="n"/>
      <c r="AE1150" s="11" t="n"/>
      <c r="AG1150" s="7">
        <f>IF($C1150="","",U1150*X1150/100)</f>
        <v/>
      </c>
      <c r="AH1150" s="7">
        <f>IF($C1150="","",U1150-AG1150)</f>
        <v/>
      </c>
      <c r="AI1150" s="7">
        <f>IF($C1150="","",AH1150-M1150)</f>
        <v/>
      </c>
      <c r="AJ1150">
        <f>IF($C1150="","",IF(COUNTIF($C$2:$C1150,$C1150)=1,1,0))</f>
        <v/>
      </c>
      <c r="AK1150">
        <f>IF($AJ1150=1,SUMPRODUCT(--($AN$2:$AN$4001&lt;$AN1150))+1,"")</f>
        <v/>
      </c>
      <c r="AL1150">
        <f>IF($C1150="","",IF(OR($Q1150=TRUE(),$Q1150="TRUE"),1,0))</f>
        <v/>
      </c>
      <c r="AM1150">
        <f>IF($C1150="","",IF($W1150="Yes",1,0))</f>
        <v/>
      </c>
      <c r="AN1150">
        <f>IF($AJ1150=1,IFERROR(IF(VALUE($C1150)&lt;100000000,VALUE($C1150),1000000000),IFERROR(IF(VALUE(MID($C1150,2,20))&lt;100000000,VALUE(MID($C1150,2,20)),1000000000),1000000000))+ROW()/100000,"")</f>
        <v/>
      </c>
    </row>
    <row r="1151">
      <c r="E1151" s="11" t="n"/>
      <c r="M1151" s="7">
        <f>IF($C1151="","",L1151*U1151/100)</f>
        <v/>
      </c>
      <c r="N1151" s="7" t="n"/>
      <c r="T1151" s="7" t="n"/>
      <c r="U1151" s="7">
        <f>IF($C1151="","",S1151*T1151)</f>
        <v/>
      </c>
      <c r="X1151">
        <f>IF($C1151="","",IF($AM1151=1,0,IF($AL1151=1,Settings!$C$6,Settings!$C$7))*100)</f>
        <v/>
      </c>
      <c r="AB1151" s="7" t="n"/>
      <c r="AE1151" s="11" t="n"/>
      <c r="AG1151" s="7">
        <f>IF($C1151="","",U1151*X1151/100)</f>
        <v/>
      </c>
      <c r="AH1151" s="7">
        <f>IF($C1151="","",U1151-AG1151)</f>
        <v/>
      </c>
      <c r="AI1151" s="7">
        <f>IF($C1151="","",AH1151-M1151)</f>
        <v/>
      </c>
      <c r="AJ1151">
        <f>IF($C1151="","",IF(COUNTIF($C$2:$C1151,$C1151)=1,1,0))</f>
        <v/>
      </c>
      <c r="AK1151">
        <f>IF($AJ1151=1,SUMPRODUCT(--($AN$2:$AN$4001&lt;$AN1151))+1,"")</f>
        <v/>
      </c>
      <c r="AL1151">
        <f>IF($C1151="","",IF(OR($Q1151=TRUE(),$Q1151="TRUE"),1,0))</f>
        <v/>
      </c>
      <c r="AM1151">
        <f>IF($C1151="","",IF($W1151="Yes",1,0))</f>
        <v/>
      </c>
      <c r="AN1151">
        <f>IF($AJ1151=1,IFERROR(IF(VALUE($C1151)&lt;100000000,VALUE($C1151),1000000000),IFERROR(IF(VALUE(MID($C1151,2,20))&lt;100000000,VALUE(MID($C1151,2,20)),1000000000),1000000000))+ROW()/100000,"")</f>
        <v/>
      </c>
    </row>
    <row r="1152">
      <c r="E1152" s="11" t="n"/>
      <c r="M1152" s="7">
        <f>IF($C1152="","",L1152*U1152/100)</f>
        <v/>
      </c>
      <c r="N1152" s="7" t="n"/>
      <c r="T1152" s="7" t="n"/>
      <c r="U1152" s="7">
        <f>IF($C1152="","",S1152*T1152)</f>
        <v/>
      </c>
      <c r="X1152">
        <f>IF($C1152="","",IF($AM1152=1,0,IF($AL1152=1,Settings!$C$6,Settings!$C$7))*100)</f>
        <v/>
      </c>
      <c r="AB1152" s="7" t="n"/>
      <c r="AE1152" s="11" t="n"/>
      <c r="AG1152" s="7">
        <f>IF($C1152="","",U1152*X1152/100)</f>
        <v/>
      </c>
      <c r="AH1152" s="7">
        <f>IF($C1152="","",U1152-AG1152)</f>
        <v/>
      </c>
      <c r="AI1152" s="7">
        <f>IF($C1152="","",AH1152-M1152)</f>
        <v/>
      </c>
      <c r="AJ1152">
        <f>IF($C1152="","",IF(COUNTIF($C$2:$C1152,$C1152)=1,1,0))</f>
        <v/>
      </c>
      <c r="AK1152">
        <f>IF($AJ1152=1,SUMPRODUCT(--($AN$2:$AN$4001&lt;$AN1152))+1,"")</f>
        <v/>
      </c>
      <c r="AL1152">
        <f>IF($C1152="","",IF(OR($Q1152=TRUE(),$Q1152="TRUE"),1,0))</f>
        <v/>
      </c>
      <c r="AM1152">
        <f>IF($C1152="","",IF($W1152="Yes",1,0))</f>
        <v/>
      </c>
      <c r="AN1152">
        <f>IF($AJ1152=1,IFERROR(IF(VALUE($C1152)&lt;100000000,VALUE($C1152),1000000000),IFERROR(IF(VALUE(MID($C1152,2,20))&lt;100000000,VALUE(MID($C1152,2,20)),1000000000),1000000000))+ROW()/100000,"")</f>
        <v/>
      </c>
    </row>
    <row r="1153">
      <c r="E1153" s="11" t="n"/>
      <c r="M1153" s="7">
        <f>IF($C1153="","",L1153*U1153/100)</f>
        <v/>
      </c>
      <c r="N1153" s="7" t="n"/>
      <c r="T1153" s="7" t="n"/>
      <c r="U1153" s="7">
        <f>IF($C1153="","",S1153*T1153)</f>
        <v/>
      </c>
      <c r="X1153">
        <f>IF($C1153="","",IF($AM1153=1,0,IF($AL1153=1,Settings!$C$6,Settings!$C$7))*100)</f>
        <v/>
      </c>
      <c r="AB1153" s="7" t="n"/>
      <c r="AE1153" s="11" t="n"/>
      <c r="AG1153" s="7">
        <f>IF($C1153="","",U1153*X1153/100)</f>
        <v/>
      </c>
      <c r="AH1153" s="7">
        <f>IF($C1153="","",U1153-AG1153)</f>
        <v/>
      </c>
      <c r="AI1153" s="7">
        <f>IF($C1153="","",AH1153-M1153)</f>
        <v/>
      </c>
      <c r="AJ1153">
        <f>IF($C1153="","",IF(COUNTIF($C$2:$C1153,$C1153)=1,1,0))</f>
        <v/>
      </c>
      <c r="AK1153">
        <f>IF($AJ1153=1,SUMPRODUCT(--($AN$2:$AN$4001&lt;$AN1153))+1,"")</f>
        <v/>
      </c>
      <c r="AL1153">
        <f>IF($C1153="","",IF(OR($Q1153=TRUE(),$Q1153="TRUE"),1,0))</f>
        <v/>
      </c>
      <c r="AM1153">
        <f>IF($C1153="","",IF($W1153="Yes",1,0))</f>
        <v/>
      </c>
      <c r="AN1153">
        <f>IF($AJ1153=1,IFERROR(IF(VALUE($C1153)&lt;100000000,VALUE($C1153),1000000000),IFERROR(IF(VALUE(MID($C1153,2,20))&lt;100000000,VALUE(MID($C1153,2,20)),1000000000),1000000000))+ROW()/100000,"")</f>
        <v/>
      </c>
    </row>
    <row r="1154">
      <c r="E1154" s="11" t="n"/>
      <c r="M1154" s="7">
        <f>IF($C1154="","",L1154*U1154/100)</f>
        <v/>
      </c>
      <c r="N1154" s="7" t="n"/>
      <c r="T1154" s="7" t="n"/>
      <c r="U1154" s="7">
        <f>IF($C1154="","",S1154*T1154)</f>
        <v/>
      </c>
      <c r="X1154">
        <f>IF($C1154="","",IF($AM1154=1,0,IF($AL1154=1,Settings!$C$6,Settings!$C$7))*100)</f>
        <v/>
      </c>
      <c r="AB1154" s="7" t="n"/>
      <c r="AE1154" s="11" t="n"/>
      <c r="AG1154" s="7">
        <f>IF($C1154="","",U1154*X1154/100)</f>
        <v/>
      </c>
      <c r="AH1154" s="7">
        <f>IF($C1154="","",U1154-AG1154)</f>
        <v/>
      </c>
      <c r="AI1154" s="7">
        <f>IF($C1154="","",AH1154-M1154)</f>
        <v/>
      </c>
      <c r="AJ1154">
        <f>IF($C1154="","",IF(COUNTIF($C$2:$C1154,$C1154)=1,1,0))</f>
        <v/>
      </c>
      <c r="AK1154">
        <f>IF($AJ1154=1,SUMPRODUCT(--($AN$2:$AN$4001&lt;$AN1154))+1,"")</f>
        <v/>
      </c>
      <c r="AL1154">
        <f>IF($C1154="","",IF(OR($Q1154=TRUE(),$Q1154="TRUE"),1,0))</f>
        <v/>
      </c>
      <c r="AM1154">
        <f>IF($C1154="","",IF($W1154="Yes",1,0))</f>
        <v/>
      </c>
      <c r="AN1154">
        <f>IF($AJ1154=1,IFERROR(IF(VALUE($C1154)&lt;100000000,VALUE($C1154),1000000000),IFERROR(IF(VALUE(MID($C1154,2,20))&lt;100000000,VALUE(MID($C1154,2,20)),1000000000),1000000000))+ROW()/100000,"")</f>
        <v/>
      </c>
    </row>
    <row r="1155">
      <c r="E1155" s="11" t="n"/>
      <c r="M1155" s="7">
        <f>IF($C1155="","",L1155*U1155/100)</f>
        <v/>
      </c>
      <c r="N1155" s="7" t="n"/>
      <c r="T1155" s="7" t="n"/>
      <c r="U1155" s="7">
        <f>IF($C1155="","",S1155*T1155)</f>
        <v/>
      </c>
      <c r="X1155">
        <f>IF($C1155="","",IF($AM1155=1,0,IF($AL1155=1,Settings!$C$6,Settings!$C$7))*100)</f>
        <v/>
      </c>
      <c r="AB1155" s="7" t="n"/>
      <c r="AE1155" s="11" t="n"/>
      <c r="AG1155" s="7">
        <f>IF($C1155="","",U1155*X1155/100)</f>
        <v/>
      </c>
      <c r="AH1155" s="7">
        <f>IF($C1155="","",U1155-AG1155)</f>
        <v/>
      </c>
      <c r="AI1155" s="7">
        <f>IF($C1155="","",AH1155-M1155)</f>
        <v/>
      </c>
      <c r="AJ1155">
        <f>IF($C1155="","",IF(COUNTIF($C$2:$C1155,$C1155)=1,1,0))</f>
        <v/>
      </c>
      <c r="AK1155">
        <f>IF($AJ1155=1,SUMPRODUCT(--($AN$2:$AN$4001&lt;$AN1155))+1,"")</f>
        <v/>
      </c>
      <c r="AL1155">
        <f>IF($C1155="","",IF(OR($Q1155=TRUE(),$Q1155="TRUE"),1,0))</f>
        <v/>
      </c>
      <c r="AM1155">
        <f>IF($C1155="","",IF($W1155="Yes",1,0))</f>
        <v/>
      </c>
      <c r="AN1155">
        <f>IF($AJ1155=1,IFERROR(IF(VALUE($C1155)&lt;100000000,VALUE($C1155),1000000000),IFERROR(IF(VALUE(MID($C1155,2,20))&lt;100000000,VALUE(MID($C1155,2,20)),1000000000),1000000000))+ROW()/100000,"")</f>
        <v/>
      </c>
    </row>
    <row r="1156">
      <c r="E1156" s="11" t="n"/>
      <c r="M1156" s="7">
        <f>IF($C1156="","",L1156*U1156/100)</f>
        <v/>
      </c>
      <c r="N1156" s="7" t="n"/>
      <c r="T1156" s="7" t="n"/>
      <c r="U1156" s="7">
        <f>IF($C1156="","",S1156*T1156)</f>
        <v/>
      </c>
      <c r="X1156">
        <f>IF($C1156="","",IF($AM1156=1,0,IF($AL1156=1,Settings!$C$6,Settings!$C$7))*100)</f>
        <v/>
      </c>
      <c r="AB1156" s="7" t="n"/>
      <c r="AE1156" s="11" t="n"/>
      <c r="AG1156" s="7">
        <f>IF($C1156="","",U1156*X1156/100)</f>
        <v/>
      </c>
      <c r="AH1156" s="7">
        <f>IF($C1156="","",U1156-AG1156)</f>
        <v/>
      </c>
      <c r="AI1156" s="7">
        <f>IF($C1156="","",AH1156-M1156)</f>
        <v/>
      </c>
      <c r="AJ1156">
        <f>IF($C1156="","",IF(COUNTIF($C$2:$C1156,$C1156)=1,1,0))</f>
        <v/>
      </c>
      <c r="AK1156">
        <f>IF($AJ1156=1,SUMPRODUCT(--($AN$2:$AN$4001&lt;$AN1156))+1,"")</f>
        <v/>
      </c>
      <c r="AL1156">
        <f>IF($C1156="","",IF(OR($Q1156=TRUE(),$Q1156="TRUE"),1,0))</f>
        <v/>
      </c>
      <c r="AM1156">
        <f>IF($C1156="","",IF($W1156="Yes",1,0))</f>
        <v/>
      </c>
      <c r="AN1156">
        <f>IF($AJ1156=1,IFERROR(IF(VALUE($C1156)&lt;100000000,VALUE($C1156),1000000000),IFERROR(IF(VALUE(MID($C1156,2,20))&lt;100000000,VALUE(MID($C1156,2,20)),1000000000),1000000000))+ROW()/100000,"")</f>
        <v/>
      </c>
    </row>
    <row r="1157">
      <c r="E1157" s="11" t="n"/>
      <c r="M1157" s="7">
        <f>IF($C1157="","",L1157*U1157/100)</f>
        <v/>
      </c>
      <c r="N1157" s="7" t="n"/>
      <c r="T1157" s="7" t="n"/>
      <c r="U1157" s="7">
        <f>IF($C1157="","",S1157*T1157)</f>
        <v/>
      </c>
      <c r="X1157">
        <f>IF($C1157="","",IF($AM1157=1,0,IF($AL1157=1,Settings!$C$6,Settings!$C$7))*100)</f>
        <v/>
      </c>
      <c r="AB1157" s="7" t="n"/>
      <c r="AE1157" s="11" t="n"/>
      <c r="AG1157" s="7">
        <f>IF($C1157="","",U1157*X1157/100)</f>
        <v/>
      </c>
      <c r="AH1157" s="7">
        <f>IF($C1157="","",U1157-AG1157)</f>
        <v/>
      </c>
      <c r="AI1157" s="7">
        <f>IF($C1157="","",AH1157-M1157)</f>
        <v/>
      </c>
      <c r="AJ1157">
        <f>IF($C1157="","",IF(COUNTIF($C$2:$C1157,$C1157)=1,1,0))</f>
        <v/>
      </c>
      <c r="AK1157">
        <f>IF($AJ1157=1,SUMPRODUCT(--($AN$2:$AN$4001&lt;$AN1157))+1,"")</f>
        <v/>
      </c>
      <c r="AL1157">
        <f>IF($C1157="","",IF(OR($Q1157=TRUE(),$Q1157="TRUE"),1,0))</f>
        <v/>
      </c>
      <c r="AM1157">
        <f>IF($C1157="","",IF($W1157="Yes",1,0))</f>
        <v/>
      </c>
      <c r="AN1157">
        <f>IF($AJ1157=1,IFERROR(IF(VALUE($C1157)&lt;100000000,VALUE($C1157),1000000000),IFERROR(IF(VALUE(MID($C1157,2,20))&lt;100000000,VALUE(MID($C1157,2,20)),1000000000),1000000000))+ROW()/100000,"")</f>
        <v/>
      </c>
    </row>
    <row r="1158">
      <c r="E1158" s="11" t="n"/>
      <c r="M1158" s="7">
        <f>IF($C1158="","",L1158*U1158/100)</f>
        <v/>
      </c>
      <c r="N1158" s="7" t="n"/>
      <c r="T1158" s="7" t="n"/>
      <c r="U1158" s="7">
        <f>IF($C1158="","",S1158*T1158)</f>
        <v/>
      </c>
      <c r="X1158">
        <f>IF($C1158="","",IF($AM1158=1,0,IF($AL1158=1,Settings!$C$6,Settings!$C$7))*100)</f>
        <v/>
      </c>
      <c r="AB1158" s="7" t="n"/>
      <c r="AE1158" s="11" t="n"/>
      <c r="AG1158" s="7">
        <f>IF($C1158="","",U1158*X1158/100)</f>
        <v/>
      </c>
      <c r="AH1158" s="7">
        <f>IF($C1158="","",U1158-AG1158)</f>
        <v/>
      </c>
      <c r="AI1158" s="7">
        <f>IF($C1158="","",AH1158-M1158)</f>
        <v/>
      </c>
      <c r="AJ1158">
        <f>IF($C1158="","",IF(COUNTIF($C$2:$C1158,$C1158)=1,1,0))</f>
        <v/>
      </c>
      <c r="AK1158">
        <f>IF($AJ1158=1,SUMPRODUCT(--($AN$2:$AN$4001&lt;$AN1158))+1,"")</f>
        <v/>
      </c>
      <c r="AL1158">
        <f>IF($C1158="","",IF(OR($Q1158=TRUE(),$Q1158="TRUE"),1,0))</f>
        <v/>
      </c>
      <c r="AM1158">
        <f>IF($C1158="","",IF($W1158="Yes",1,0))</f>
        <v/>
      </c>
      <c r="AN1158">
        <f>IF($AJ1158=1,IFERROR(IF(VALUE($C1158)&lt;100000000,VALUE($C1158),1000000000),IFERROR(IF(VALUE(MID($C1158,2,20))&lt;100000000,VALUE(MID($C1158,2,20)),1000000000),1000000000))+ROW()/100000,"")</f>
        <v/>
      </c>
    </row>
    <row r="1159">
      <c r="E1159" s="11" t="n"/>
      <c r="M1159" s="7">
        <f>IF($C1159="","",L1159*U1159/100)</f>
        <v/>
      </c>
      <c r="N1159" s="7" t="n"/>
      <c r="T1159" s="7" t="n"/>
      <c r="U1159" s="7">
        <f>IF($C1159="","",S1159*T1159)</f>
        <v/>
      </c>
      <c r="X1159">
        <f>IF($C1159="","",IF($AM1159=1,0,IF($AL1159=1,Settings!$C$6,Settings!$C$7))*100)</f>
        <v/>
      </c>
      <c r="AB1159" s="7" t="n"/>
      <c r="AE1159" s="11" t="n"/>
      <c r="AG1159" s="7">
        <f>IF($C1159="","",U1159*X1159/100)</f>
        <v/>
      </c>
      <c r="AH1159" s="7">
        <f>IF($C1159="","",U1159-AG1159)</f>
        <v/>
      </c>
      <c r="AI1159" s="7">
        <f>IF($C1159="","",AH1159-M1159)</f>
        <v/>
      </c>
      <c r="AJ1159">
        <f>IF($C1159="","",IF(COUNTIF($C$2:$C1159,$C1159)=1,1,0))</f>
        <v/>
      </c>
      <c r="AK1159">
        <f>IF($AJ1159=1,SUMPRODUCT(--($AN$2:$AN$4001&lt;$AN1159))+1,"")</f>
        <v/>
      </c>
      <c r="AL1159">
        <f>IF($C1159="","",IF(OR($Q1159=TRUE(),$Q1159="TRUE"),1,0))</f>
        <v/>
      </c>
      <c r="AM1159">
        <f>IF($C1159="","",IF($W1159="Yes",1,0))</f>
        <v/>
      </c>
      <c r="AN1159">
        <f>IF($AJ1159=1,IFERROR(IF(VALUE($C1159)&lt;100000000,VALUE($C1159),1000000000),IFERROR(IF(VALUE(MID($C1159,2,20))&lt;100000000,VALUE(MID($C1159,2,20)),1000000000),1000000000))+ROW()/100000,"")</f>
        <v/>
      </c>
    </row>
    <row r="1160">
      <c r="E1160" s="11" t="n"/>
      <c r="M1160" s="7">
        <f>IF($C1160="","",L1160*U1160/100)</f>
        <v/>
      </c>
      <c r="N1160" s="7" t="n"/>
      <c r="T1160" s="7" t="n"/>
      <c r="U1160" s="7">
        <f>IF($C1160="","",S1160*T1160)</f>
        <v/>
      </c>
      <c r="X1160">
        <f>IF($C1160="","",IF($AM1160=1,0,IF($AL1160=1,Settings!$C$6,Settings!$C$7))*100)</f>
        <v/>
      </c>
      <c r="AB1160" s="7" t="n"/>
      <c r="AE1160" s="11" t="n"/>
      <c r="AG1160" s="7">
        <f>IF($C1160="","",U1160*X1160/100)</f>
        <v/>
      </c>
      <c r="AH1160" s="7">
        <f>IF($C1160="","",U1160-AG1160)</f>
        <v/>
      </c>
      <c r="AI1160" s="7">
        <f>IF($C1160="","",AH1160-M1160)</f>
        <v/>
      </c>
      <c r="AJ1160">
        <f>IF($C1160="","",IF(COUNTIF($C$2:$C1160,$C1160)=1,1,0))</f>
        <v/>
      </c>
      <c r="AK1160">
        <f>IF($AJ1160=1,SUMPRODUCT(--($AN$2:$AN$4001&lt;$AN1160))+1,"")</f>
        <v/>
      </c>
      <c r="AL1160">
        <f>IF($C1160="","",IF(OR($Q1160=TRUE(),$Q1160="TRUE"),1,0))</f>
        <v/>
      </c>
      <c r="AM1160">
        <f>IF($C1160="","",IF($W1160="Yes",1,0))</f>
        <v/>
      </c>
      <c r="AN1160">
        <f>IF($AJ1160=1,IFERROR(IF(VALUE($C1160)&lt;100000000,VALUE($C1160),1000000000),IFERROR(IF(VALUE(MID($C1160,2,20))&lt;100000000,VALUE(MID($C1160,2,20)),1000000000),1000000000))+ROW()/100000,"")</f>
        <v/>
      </c>
    </row>
    <row r="1161">
      <c r="E1161" s="11" t="n"/>
      <c r="M1161" s="7">
        <f>IF($C1161="","",L1161*U1161/100)</f>
        <v/>
      </c>
      <c r="N1161" s="7" t="n"/>
      <c r="T1161" s="7" t="n"/>
      <c r="U1161" s="7">
        <f>IF($C1161="","",S1161*T1161)</f>
        <v/>
      </c>
      <c r="X1161">
        <f>IF($C1161="","",IF($AM1161=1,0,IF($AL1161=1,Settings!$C$6,Settings!$C$7))*100)</f>
        <v/>
      </c>
      <c r="AB1161" s="7" t="n"/>
      <c r="AE1161" s="11" t="n"/>
      <c r="AG1161" s="7">
        <f>IF($C1161="","",U1161*X1161/100)</f>
        <v/>
      </c>
      <c r="AH1161" s="7">
        <f>IF($C1161="","",U1161-AG1161)</f>
        <v/>
      </c>
      <c r="AI1161" s="7">
        <f>IF($C1161="","",AH1161-M1161)</f>
        <v/>
      </c>
      <c r="AJ1161">
        <f>IF($C1161="","",IF(COUNTIF($C$2:$C1161,$C1161)=1,1,0))</f>
        <v/>
      </c>
      <c r="AK1161">
        <f>IF($AJ1161=1,SUMPRODUCT(--($AN$2:$AN$4001&lt;$AN1161))+1,"")</f>
        <v/>
      </c>
      <c r="AL1161">
        <f>IF($C1161="","",IF(OR($Q1161=TRUE(),$Q1161="TRUE"),1,0))</f>
        <v/>
      </c>
      <c r="AM1161">
        <f>IF($C1161="","",IF($W1161="Yes",1,0))</f>
        <v/>
      </c>
      <c r="AN1161">
        <f>IF($AJ1161=1,IFERROR(IF(VALUE($C1161)&lt;100000000,VALUE($C1161),1000000000),IFERROR(IF(VALUE(MID($C1161,2,20))&lt;100000000,VALUE(MID($C1161,2,20)),1000000000),1000000000))+ROW()/100000,"")</f>
        <v/>
      </c>
    </row>
    <row r="1162">
      <c r="E1162" s="11" t="n"/>
      <c r="M1162" s="7">
        <f>IF($C1162="","",L1162*U1162/100)</f>
        <v/>
      </c>
      <c r="N1162" s="7" t="n"/>
      <c r="T1162" s="7" t="n"/>
      <c r="U1162" s="7">
        <f>IF($C1162="","",S1162*T1162)</f>
        <v/>
      </c>
      <c r="X1162">
        <f>IF($C1162="","",IF($AM1162=1,0,IF($AL1162=1,Settings!$C$6,Settings!$C$7))*100)</f>
        <v/>
      </c>
      <c r="AB1162" s="7" t="n"/>
      <c r="AE1162" s="11" t="n"/>
      <c r="AG1162" s="7">
        <f>IF($C1162="","",U1162*X1162/100)</f>
        <v/>
      </c>
      <c r="AH1162" s="7">
        <f>IF($C1162="","",U1162-AG1162)</f>
        <v/>
      </c>
      <c r="AI1162" s="7">
        <f>IF($C1162="","",AH1162-M1162)</f>
        <v/>
      </c>
      <c r="AJ1162">
        <f>IF($C1162="","",IF(COUNTIF($C$2:$C1162,$C1162)=1,1,0))</f>
        <v/>
      </c>
      <c r="AK1162">
        <f>IF($AJ1162=1,SUMPRODUCT(--($AN$2:$AN$4001&lt;$AN1162))+1,"")</f>
        <v/>
      </c>
      <c r="AL1162">
        <f>IF($C1162="","",IF(OR($Q1162=TRUE(),$Q1162="TRUE"),1,0))</f>
        <v/>
      </c>
      <c r="AM1162">
        <f>IF($C1162="","",IF($W1162="Yes",1,0))</f>
        <v/>
      </c>
      <c r="AN1162">
        <f>IF($AJ1162=1,IFERROR(IF(VALUE($C1162)&lt;100000000,VALUE($C1162),1000000000),IFERROR(IF(VALUE(MID($C1162,2,20))&lt;100000000,VALUE(MID($C1162,2,20)),1000000000),1000000000))+ROW()/100000,"")</f>
        <v/>
      </c>
    </row>
    <row r="1163">
      <c r="E1163" s="11" t="n"/>
      <c r="M1163" s="7">
        <f>IF($C1163="","",L1163*U1163/100)</f>
        <v/>
      </c>
      <c r="N1163" s="7" t="n"/>
      <c r="T1163" s="7" t="n"/>
      <c r="U1163" s="7">
        <f>IF($C1163="","",S1163*T1163)</f>
        <v/>
      </c>
      <c r="X1163">
        <f>IF($C1163="","",IF($AM1163=1,0,IF($AL1163=1,Settings!$C$6,Settings!$C$7))*100)</f>
        <v/>
      </c>
      <c r="AB1163" s="7" t="n"/>
      <c r="AE1163" s="11" t="n"/>
      <c r="AG1163" s="7">
        <f>IF($C1163="","",U1163*X1163/100)</f>
        <v/>
      </c>
      <c r="AH1163" s="7">
        <f>IF($C1163="","",U1163-AG1163)</f>
        <v/>
      </c>
      <c r="AI1163" s="7">
        <f>IF($C1163="","",AH1163-M1163)</f>
        <v/>
      </c>
      <c r="AJ1163">
        <f>IF($C1163="","",IF(COUNTIF($C$2:$C1163,$C1163)=1,1,0))</f>
        <v/>
      </c>
      <c r="AK1163">
        <f>IF($AJ1163=1,SUMPRODUCT(--($AN$2:$AN$4001&lt;$AN1163))+1,"")</f>
        <v/>
      </c>
      <c r="AL1163">
        <f>IF($C1163="","",IF(OR($Q1163=TRUE(),$Q1163="TRUE"),1,0))</f>
        <v/>
      </c>
      <c r="AM1163">
        <f>IF($C1163="","",IF($W1163="Yes",1,0))</f>
        <v/>
      </c>
      <c r="AN1163">
        <f>IF($AJ1163=1,IFERROR(IF(VALUE($C1163)&lt;100000000,VALUE($C1163),1000000000),IFERROR(IF(VALUE(MID($C1163,2,20))&lt;100000000,VALUE(MID($C1163,2,20)),1000000000),1000000000))+ROW()/100000,"")</f>
        <v/>
      </c>
    </row>
    <row r="1164">
      <c r="E1164" s="11" t="n"/>
      <c r="M1164" s="7">
        <f>IF($C1164="","",L1164*U1164/100)</f>
        <v/>
      </c>
      <c r="N1164" s="7" t="n"/>
      <c r="T1164" s="7" t="n"/>
      <c r="U1164" s="7">
        <f>IF($C1164="","",S1164*T1164)</f>
        <v/>
      </c>
      <c r="X1164">
        <f>IF($C1164="","",IF($AM1164=1,0,IF($AL1164=1,Settings!$C$6,Settings!$C$7))*100)</f>
        <v/>
      </c>
      <c r="AB1164" s="7" t="n"/>
      <c r="AE1164" s="11" t="n"/>
      <c r="AG1164" s="7">
        <f>IF($C1164="","",U1164*X1164/100)</f>
        <v/>
      </c>
      <c r="AH1164" s="7">
        <f>IF($C1164="","",U1164-AG1164)</f>
        <v/>
      </c>
      <c r="AI1164" s="7">
        <f>IF($C1164="","",AH1164-M1164)</f>
        <v/>
      </c>
      <c r="AJ1164">
        <f>IF($C1164="","",IF(COUNTIF($C$2:$C1164,$C1164)=1,1,0))</f>
        <v/>
      </c>
      <c r="AK1164">
        <f>IF($AJ1164=1,SUMPRODUCT(--($AN$2:$AN$4001&lt;$AN1164))+1,"")</f>
        <v/>
      </c>
      <c r="AL1164">
        <f>IF($C1164="","",IF(OR($Q1164=TRUE(),$Q1164="TRUE"),1,0))</f>
        <v/>
      </c>
      <c r="AM1164">
        <f>IF($C1164="","",IF($W1164="Yes",1,0))</f>
        <v/>
      </c>
      <c r="AN1164">
        <f>IF($AJ1164=1,IFERROR(IF(VALUE($C1164)&lt;100000000,VALUE($C1164),1000000000),IFERROR(IF(VALUE(MID($C1164,2,20))&lt;100000000,VALUE(MID($C1164,2,20)),1000000000),1000000000))+ROW()/100000,"")</f>
        <v/>
      </c>
    </row>
    <row r="1165">
      <c r="E1165" s="11" t="n"/>
      <c r="M1165" s="7">
        <f>IF($C1165="","",L1165*U1165/100)</f>
        <v/>
      </c>
      <c r="N1165" s="7" t="n"/>
      <c r="T1165" s="7" t="n"/>
      <c r="U1165" s="7">
        <f>IF($C1165="","",S1165*T1165)</f>
        <v/>
      </c>
      <c r="X1165">
        <f>IF($C1165="","",IF($AM1165=1,0,IF($AL1165=1,Settings!$C$6,Settings!$C$7))*100)</f>
        <v/>
      </c>
      <c r="AB1165" s="7" t="n"/>
      <c r="AE1165" s="11" t="n"/>
      <c r="AG1165" s="7">
        <f>IF($C1165="","",U1165*X1165/100)</f>
        <v/>
      </c>
      <c r="AH1165" s="7">
        <f>IF($C1165="","",U1165-AG1165)</f>
        <v/>
      </c>
      <c r="AI1165" s="7">
        <f>IF($C1165="","",AH1165-M1165)</f>
        <v/>
      </c>
      <c r="AJ1165">
        <f>IF($C1165="","",IF(COUNTIF($C$2:$C1165,$C1165)=1,1,0))</f>
        <v/>
      </c>
      <c r="AK1165">
        <f>IF($AJ1165=1,SUMPRODUCT(--($AN$2:$AN$4001&lt;$AN1165))+1,"")</f>
        <v/>
      </c>
      <c r="AL1165">
        <f>IF($C1165="","",IF(OR($Q1165=TRUE(),$Q1165="TRUE"),1,0))</f>
        <v/>
      </c>
      <c r="AM1165">
        <f>IF($C1165="","",IF($W1165="Yes",1,0))</f>
        <v/>
      </c>
      <c r="AN1165">
        <f>IF($AJ1165=1,IFERROR(IF(VALUE($C1165)&lt;100000000,VALUE($C1165),1000000000),IFERROR(IF(VALUE(MID($C1165,2,20))&lt;100000000,VALUE(MID($C1165,2,20)),1000000000),1000000000))+ROW()/100000,"")</f>
        <v/>
      </c>
    </row>
    <row r="1166">
      <c r="E1166" s="11" t="n"/>
      <c r="M1166" s="7">
        <f>IF($C1166="","",L1166*U1166/100)</f>
        <v/>
      </c>
      <c r="N1166" s="7" t="n"/>
      <c r="T1166" s="7" t="n"/>
      <c r="U1166" s="7">
        <f>IF($C1166="","",S1166*T1166)</f>
        <v/>
      </c>
      <c r="X1166">
        <f>IF($C1166="","",IF($AM1166=1,0,IF($AL1166=1,Settings!$C$6,Settings!$C$7))*100)</f>
        <v/>
      </c>
      <c r="AB1166" s="7" t="n"/>
      <c r="AE1166" s="11" t="n"/>
      <c r="AG1166" s="7">
        <f>IF($C1166="","",U1166*X1166/100)</f>
        <v/>
      </c>
      <c r="AH1166" s="7">
        <f>IF($C1166="","",U1166-AG1166)</f>
        <v/>
      </c>
      <c r="AI1166" s="7">
        <f>IF($C1166="","",AH1166-M1166)</f>
        <v/>
      </c>
      <c r="AJ1166">
        <f>IF($C1166="","",IF(COUNTIF($C$2:$C1166,$C1166)=1,1,0))</f>
        <v/>
      </c>
      <c r="AK1166">
        <f>IF($AJ1166=1,SUMPRODUCT(--($AN$2:$AN$4001&lt;$AN1166))+1,"")</f>
        <v/>
      </c>
      <c r="AL1166">
        <f>IF($C1166="","",IF(OR($Q1166=TRUE(),$Q1166="TRUE"),1,0))</f>
        <v/>
      </c>
      <c r="AM1166">
        <f>IF($C1166="","",IF($W1166="Yes",1,0))</f>
        <v/>
      </c>
      <c r="AN1166">
        <f>IF($AJ1166=1,IFERROR(IF(VALUE($C1166)&lt;100000000,VALUE($C1166),1000000000),IFERROR(IF(VALUE(MID($C1166,2,20))&lt;100000000,VALUE(MID($C1166,2,20)),1000000000),1000000000))+ROW()/100000,"")</f>
        <v/>
      </c>
    </row>
    <row r="1167">
      <c r="E1167" s="11" t="n"/>
      <c r="M1167" s="7">
        <f>IF($C1167="","",L1167*U1167/100)</f>
        <v/>
      </c>
      <c r="N1167" s="7" t="n"/>
      <c r="T1167" s="7" t="n"/>
      <c r="U1167" s="7">
        <f>IF($C1167="","",S1167*T1167)</f>
        <v/>
      </c>
      <c r="X1167">
        <f>IF($C1167="","",IF($AM1167=1,0,IF($AL1167=1,Settings!$C$6,Settings!$C$7))*100)</f>
        <v/>
      </c>
      <c r="AB1167" s="7" t="n"/>
      <c r="AE1167" s="11" t="n"/>
      <c r="AG1167" s="7">
        <f>IF($C1167="","",U1167*X1167/100)</f>
        <v/>
      </c>
      <c r="AH1167" s="7">
        <f>IF($C1167="","",U1167-AG1167)</f>
        <v/>
      </c>
      <c r="AI1167" s="7">
        <f>IF($C1167="","",AH1167-M1167)</f>
        <v/>
      </c>
      <c r="AJ1167">
        <f>IF($C1167="","",IF(COUNTIF($C$2:$C1167,$C1167)=1,1,0))</f>
        <v/>
      </c>
      <c r="AK1167">
        <f>IF($AJ1167=1,SUMPRODUCT(--($AN$2:$AN$4001&lt;$AN1167))+1,"")</f>
        <v/>
      </c>
      <c r="AL1167">
        <f>IF($C1167="","",IF(OR($Q1167=TRUE(),$Q1167="TRUE"),1,0))</f>
        <v/>
      </c>
      <c r="AM1167">
        <f>IF($C1167="","",IF($W1167="Yes",1,0))</f>
        <v/>
      </c>
      <c r="AN1167">
        <f>IF($AJ1167=1,IFERROR(IF(VALUE($C1167)&lt;100000000,VALUE($C1167),1000000000),IFERROR(IF(VALUE(MID($C1167,2,20))&lt;100000000,VALUE(MID($C1167,2,20)),1000000000),1000000000))+ROW()/100000,"")</f>
        <v/>
      </c>
    </row>
    <row r="1168">
      <c r="E1168" s="11" t="n"/>
      <c r="M1168" s="7">
        <f>IF($C1168="","",L1168*U1168/100)</f>
        <v/>
      </c>
      <c r="N1168" s="7" t="n"/>
      <c r="T1168" s="7" t="n"/>
      <c r="U1168" s="7">
        <f>IF($C1168="","",S1168*T1168)</f>
        <v/>
      </c>
      <c r="X1168">
        <f>IF($C1168="","",IF($AM1168=1,0,IF($AL1168=1,Settings!$C$6,Settings!$C$7))*100)</f>
        <v/>
      </c>
      <c r="AB1168" s="7" t="n"/>
      <c r="AE1168" s="11" t="n"/>
      <c r="AG1168" s="7">
        <f>IF($C1168="","",U1168*X1168/100)</f>
        <v/>
      </c>
      <c r="AH1168" s="7">
        <f>IF($C1168="","",U1168-AG1168)</f>
        <v/>
      </c>
      <c r="AI1168" s="7">
        <f>IF($C1168="","",AH1168-M1168)</f>
        <v/>
      </c>
      <c r="AJ1168">
        <f>IF($C1168="","",IF(COUNTIF($C$2:$C1168,$C1168)=1,1,0))</f>
        <v/>
      </c>
      <c r="AK1168">
        <f>IF($AJ1168=1,SUMPRODUCT(--($AN$2:$AN$4001&lt;$AN1168))+1,"")</f>
        <v/>
      </c>
      <c r="AL1168">
        <f>IF($C1168="","",IF(OR($Q1168=TRUE(),$Q1168="TRUE"),1,0))</f>
        <v/>
      </c>
      <c r="AM1168">
        <f>IF($C1168="","",IF($W1168="Yes",1,0))</f>
        <v/>
      </c>
      <c r="AN1168">
        <f>IF($AJ1168=1,IFERROR(IF(VALUE($C1168)&lt;100000000,VALUE($C1168),1000000000),IFERROR(IF(VALUE(MID($C1168,2,20))&lt;100000000,VALUE(MID($C1168,2,20)),1000000000),1000000000))+ROW()/100000,"")</f>
        <v/>
      </c>
    </row>
    <row r="1169">
      <c r="E1169" s="11" t="n"/>
      <c r="M1169" s="7">
        <f>IF($C1169="","",L1169*U1169/100)</f>
        <v/>
      </c>
      <c r="N1169" s="7" t="n"/>
      <c r="T1169" s="7" t="n"/>
      <c r="U1169" s="7">
        <f>IF($C1169="","",S1169*T1169)</f>
        <v/>
      </c>
      <c r="X1169">
        <f>IF($C1169="","",IF($AM1169=1,0,IF($AL1169=1,Settings!$C$6,Settings!$C$7))*100)</f>
        <v/>
      </c>
      <c r="AB1169" s="7" t="n"/>
      <c r="AE1169" s="11" t="n"/>
      <c r="AG1169" s="7">
        <f>IF($C1169="","",U1169*X1169/100)</f>
        <v/>
      </c>
      <c r="AH1169" s="7">
        <f>IF($C1169="","",U1169-AG1169)</f>
        <v/>
      </c>
      <c r="AI1169" s="7">
        <f>IF($C1169="","",AH1169-M1169)</f>
        <v/>
      </c>
      <c r="AJ1169">
        <f>IF($C1169="","",IF(COUNTIF($C$2:$C1169,$C1169)=1,1,0))</f>
        <v/>
      </c>
      <c r="AK1169">
        <f>IF($AJ1169=1,SUMPRODUCT(--($AN$2:$AN$4001&lt;$AN1169))+1,"")</f>
        <v/>
      </c>
      <c r="AL1169">
        <f>IF($C1169="","",IF(OR($Q1169=TRUE(),$Q1169="TRUE"),1,0))</f>
        <v/>
      </c>
      <c r="AM1169">
        <f>IF($C1169="","",IF($W1169="Yes",1,0))</f>
        <v/>
      </c>
      <c r="AN1169">
        <f>IF($AJ1169=1,IFERROR(IF(VALUE($C1169)&lt;100000000,VALUE($C1169),1000000000),IFERROR(IF(VALUE(MID($C1169,2,20))&lt;100000000,VALUE(MID($C1169,2,20)),1000000000),1000000000))+ROW()/100000,"")</f>
        <v/>
      </c>
    </row>
    <row r="1170">
      <c r="E1170" s="11" t="n"/>
      <c r="M1170" s="7">
        <f>IF($C1170="","",L1170*U1170/100)</f>
        <v/>
      </c>
      <c r="N1170" s="7" t="n"/>
      <c r="T1170" s="7" t="n"/>
      <c r="U1170" s="7">
        <f>IF($C1170="","",S1170*T1170)</f>
        <v/>
      </c>
      <c r="X1170">
        <f>IF($C1170="","",IF($AM1170=1,0,IF($AL1170=1,Settings!$C$6,Settings!$C$7))*100)</f>
        <v/>
      </c>
      <c r="AB1170" s="7" t="n"/>
      <c r="AE1170" s="11" t="n"/>
      <c r="AG1170" s="7">
        <f>IF($C1170="","",U1170*X1170/100)</f>
        <v/>
      </c>
      <c r="AH1170" s="7">
        <f>IF($C1170="","",U1170-AG1170)</f>
        <v/>
      </c>
      <c r="AI1170" s="7">
        <f>IF($C1170="","",AH1170-M1170)</f>
        <v/>
      </c>
      <c r="AJ1170">
        <f>IF($C1170="","",IF(COUNTIF($C$2:$C1170,$C1170)=1,1,0))</f>
        <v/>
      </c>
      <c r="AK1170">
        <f>IF($AJ1170=1,SUMPRODUCT(--($AN$2:$AN$4001&lt;$AN1170))+1,"")</f>
        <v/>
      </c>
      <c r="AL1170">
        <f>IF($C1170="","",IF(OR($Q1170=TRUE(),$Q1170="TRUE"),1,0))</f>
        <v/>
      </c>
      <c r="AM1170">
        <f>IF($C1170="","",IF($W1170="Yes",1,0))</f>
        <v/>
      </c>
      <c r="AN1170">
        <f>IF($AJ1170=1,IFERROR(IF(VALUE($C1170)&lt;100000000,VALUE($C1170),1000000000),IFERROR(IF(VALUE(MID($C1170,2,20))&lt;100000000,VALUE(MID($C1170,2,20)),1000000000),1000000000))+ROW()/100000,"")</f>
        <v/>
      </c>
    </row>
    <row r="1171">
      <c r="E1171" s="11" t="n"/>
      <c r="M1171" s="7">
        <f>IF($C1171="","",L1171*U1171/100)</f>
        <v/>
      </c>
      <c r="N1171" s="7" t="n"/>
      <c r="T1171" s="7" t="n"/>
      <c r="U1171" s="7">
        <f>IF($C1171="","",S1171*T1171)</f>
        <v/>
      </c>
      <c r="X1171">
        <f>IF($C1171="","",IF($AM1171=1,0,IF($AL1171=1,Settings!$C$6,Settings!$C$7))*100)</f>
        <v/>
      </c>
      <c r="AB1171" s="7" t="n"/>
      <c r="AE1171" s="11" t="n"/>
      <c r="AG1171" s="7">
        <f>IF($C1171="","",U1171*X1171/100)</f>
        <v/>
      </c>
      <c r="AH1171" s="7">
        <f>IF($C1171="","",U1171-AG1171)</f>
        <v/>
      </c>
      <c r="AI1171" s="7">
        <f>IF($C1171="","",AH1171-M1171)</f>
        <v/>
      </c>
      <c r="AJ1171">
        <f>IF($C1171="","",IF(COUNTIF($C$2:$C1171,$C1171)=1,1,0))</f>
        <v/>
      </c>
      <c r="AK1171">
        <f>IF($AJ1171=1,SUMPRODUCT(--($AN$2:$AN$4001&lt;$AN1171))+1,"")</f>
        <v/>
      </c>
      <c r="AL1171">
        <f>IF($C1171="","",IF(OR($Q1171=TRUE(),$Q1171="TRUE"),1,0))</f>
        <v/>
      </c>
      <c r="AM1171">
        <f>IF($C1171="","",IF($W1171="Yes",1,0))</f>
        <v/>
      </c>
      <c r="AN1171">
        <f>IF($AJ1171=1,IFERROR(IF(VALUE($C1171)&lt;100000000,VALUE($C1171),1000000000),IFERROR(IF(VALUE(MID($C1171,2,20))&lt;100000000,VALUE(MID($C1171,2,20)),1000000000),1000000000))+ROW()/100000,"")</f>
        <v/>
      </c>
    </row>
    <row r="1172">
      <c r="E1172" s="11" t="n"/>
      <c r="M1172" s="7">
        <f>IF($C1172="","",L1172*U1172/100)</f>
        <v/>
      </c>
      <c r="N1172" s="7" t="n"/>
      <c r="T1172" s="7" t="n"/>
      <c r="U1172" s="7">
        <f>IF($C1172="","",S1172*T1172)</f>
        <v/>
      </c>
      <c r="X1172">
        <f>IF($C1172="","",IF($AM1172=1,0,IF($AL1172=1,Settings!$C$6,Settings!$C$7))*100)</f>
        <v/>
      </c>
      <c r="AB1172" s="7" t="n"/>
      <c r="AE1172" s="11" t="n"/>
      <c r="AG1172" s="7">
        <f>IF($C1172="","",U1172*X1172/100)</f>
        <v/>
      </c>
      <c r="AH1172" s="7">
        <f>IF($C1172="","",U1172-AG1172)</f>
        <v/>
      </c>
      <c r="AI1172" s="7">
        <f>IF($C1172="","",AH1172-M1172)</f>
        <v/>
      </c>
      <c r="AJ1172">
        <f>IF($C1172="","",IF(COUNTIF($C$2:$C1172,$C1172)=1,1,0))</f>
        <v/>
      </c>
      <c r="AK1172">
        <f>IF($AJ1172=1,SUMPRODUCT(--($AN$2:$AN$4001&lt;$AN1172))+1,"")</f>
        <v/>
      </c>
      <c r="AL1172">
        <f>IF($C1172="","",IF(OR($Q1172=TRUE(),$Q1172="TRUE"),1,0))</f>
        <v/>
      </c>
      <c r="AM1172">
        <f>IF($C1172="","",IF($W1172="Yes",1,0))</f>
        <v/>
      </c>
      <c r="AN1172">
        <f>IF($AJ1172=1,IFERROR(IF(VALUE($C1172)&lt;100000000,VALUE($C1172),1000000000),IFERROR(IF(VALUE(MID($C1172,2,20))&lt;100000000,VALUE(MID($C1172,2,20)),1000000000),1000000000))+ROW()/100000,"")</f>
        <v/>
      </c>
    </row>
    <row r="1173">
      <c r="E1173" s="11" t="n"/>
      <c r="M1173" s="7">
        <f>IF($C1173="","",L1173*U1173/100)</f>
        <v/>
      </c>
      <c r="N1173" s="7" t="n"/>
      <c r="T1173" s="7" t="n"/>
      <c r="U1173" s="7">
        <f>IF($C1173="","",S1173*T1173)</f>
        <v/>
      </c>
      <c r="X1173">
        <f>IF($C1173="","",IF($AM1173=1,0,IF($AL1173=1,Settings!$C$6,Settings!$C$7))*100)</f>
        <v/>
      </c>
      <c r="AB1173" s="7" t="n"/>
      <c r="AE1173" s="11" t="n"/>
      <c r="AG1173" s="7">
        <f>IF($C1173="","",U1173*X1173/100)</f>
        <v/>
      </c>
      <c r="AH1173" s="7">
        <f>IF($C1173="","",U1173-AG1173)</f>
        <v/>
      </c>
      <c r="AI1173" s="7">
        <f>IF($C1173="","",AH1173-M1173)</f>
        <v/>
      </c>
      <c r="AJ1173">
        <f>IF($C1173="","",IF(COUNTIF($C$2:$C1173,$C1173)=1,1,0))</f>
        <v/>
      </c>
      <c r="AK1173">
        <f>IF($AJ1173=1,SUMPRODUCT(--($AN$2:$AN$4001&lt;$AN1173))+1,"")</f>
        <v/>
      </c>
      <c r="AL1173">
        <f>IF($C1173="","",IF(OR($Q1173=TRUE(),$Q1173="TRUE"),1,0))</f>
        <v/>
      </c>
      <c r="AM1173">
        <f>IF($C1173="","",IF($W1173="Yes",1,0))</f>
        <v/>
      </c>
      <c r="AN1173">
        <f>IF($AJ1173=1,IFERROR(IF(VALUE($C1173)&lt;100000000,VALUE($C1173),1000000000),IFERROR(IF(VALUE(MID($C1173,2,20))&lt;100000000,VALUE(MID($C1173,2,20)),1000000000),1000000000))+ROW()/100000,"")</f>
        <v/>
      </c>
    </row>
    <row r="1174">
      <c r="E1174" s="11" t="n"/>
      <c r="M1174" s="7">
        <f>IF($C1174="","",L1174*U1174/100)</f>
        <v/>
      </c>
      <c r="N1174" s="7" t="n"/>
      <c r="T1174" s="7" t="n"/>
      <c r="U1174" s="7">
        <f>IF($C1174="","",S1174*T1174)</f>
        <v/>
      </c>
      <c r="X1174">
        <f>IF($C1174="","",IF($AM1174=1,0,IF($AL1174=1,Settings!$C$6,Settings!$C$7))*100)</f>
        <v/>
      </c>
      <c r="AB1174" s="7" t="n"/>
      <c r="AE1174" s="11" t="n"/>
      <c r="AG1174" s="7">
        <f>IF($C1174="","",U1174*X1174/100)</f>
        <v/>
      </c>
      <c r="AH1174" s="7">
        <f>IF($C1174="","",U1174-AG1174)</f>
        <v/>
      </c>
      <c r="AI1174" s="7">
        <f>IF($C1174="","",AH1174-M1174)</f>
        <v/>
      </c>
      <c r="AJ1174">
        <f>IF($C1174="","",IF(COUNTIF($C$2:$C1174,$C1174)=1,1,0))</f>
        <v/>
      </c>
      <c r="AK1174">
        <f>IF($AJ1174=1,SUMPRODUCT(--($AN$2:$AN$4001&lt;$AN1174))+1,"")</f>
        <v/>
      </c>
      <c r="AL1174">
        <f>IF($C1174="","",IF(OR($Q1174=TRUE(),$Q1174="TRUE"),1,0))</f>
        <v/>
      </c>
      <c r="AM1174">
        <f>IF($C1174="","",IF($W1174="Yes",1,0))</f>
        <v/>
      </c>
      <c r="AN1174">
        <f>IF($AJ1174=1,IFERROR(IF(VALUE($C1174)&lt;100000000,VALUE($C1174),1000000000),IFERROR(IF(VALUE(MID($C1174,2,20))&lt;100000000,VALUE(MID($C1174,2,20)),1000000000),1000000000))+ROW()/100000,"")</f>
        <v/>
      </c>
    </row>
    <row r="1175">
      <c r="E1175" s="11" t="n"/>
      <c r="M1175" s="7">
        <f>IF($C1175="","",L1175*U1175/100)</f>
        <v/>
      </c>
      <c r="N1175" s="7" t="n"/>
      <c r="T1175" s="7" t="n"/>
      <c r="U1175" s="7">
        <f>IF($C1175="","",S1175*T1175)</f>
        <v/>
      </c>
      <c r="X1175">
        <f>IF($C1175="","",IF($AM1175=1,0,IF($AL1175=1,Settings!$C$6,Settings!$C$7))*100)</f>
        <v/>
      </c>
      <c r="AB1175" s="7" t="n"/>
      <c r="AE1175" s="11" t="n"/>
      <c r="AG1175" s="7">
        <f>IF($C1175="","",U1175*X1175/100)</f>
        <v/>
      </c>
      <c r="AH1175" s="7">
        <f>IF($C1175="","",U1175-AG1175)</f>
        <v/>
      </c>
      <c r="AI1175" s="7">
        <f>IF($C1175="","",AH1175-M1175)</f>
        <v/>
      </c>
      <c r="AJ1175">
        <f>IF($C1175="","",IF(COUNTIF($C$2:$C1175,$C1175)=1,1,0))</f>
        <v/>
      </c>
      <c r="AK1175">
        <f>IF($AJ1175=1,SUMPRODUCT(--($AN$2:$AN$4001&lt;$AN1175))+1,"")</f>
        <v/>
      </c>
      <c r="AL1175">
        <f>IF($C1175="","",IF(OR($Q1175=TRUE(),$Q1175="TRUE"),1,0))</f>
        <v/>
      </c>
      <c r="AM1175">
        <f>IF($C1175="","",IF($W1175="Yes",1,0))</f>
        <v/>
      </c>
      <c r="AN1175">
        <f>IF($AJ1175=1,IFERROR(IF(VALUE($C1175)&lt;100000000,VALUE($C1175),1000000000),IFERROR(IF(VALUE(MID($C1175,2,20))&lt;100000000,VALUE(MID($C1175,2,20)),1000000000),1000000000))+ROW()/100000,"")</f>
        <v/>
      </c>
    </row>
    <row r="1176">
      <c r="E1176" s="11" t="n"/>
      <c r="M1176" s="7">
        <f>IF($C1176="","",L1176*U1176/100)</f>
        <v/>
      </c>
      <c r="N1176" s="7" t="n"/>
      <c r="T1176" s="7" t="n"/>
      <c r="U1176" s="7">
        <f>IF($C1176="","",S1176*T1176)</f>
        <v/>
      </c>
      <c r="X1176">
        <f>IF($C1176="","",IF($AM1176=1,0,IF($AL1176=1,Settings!$C$6,Settings!$C$7))*100)</f>
        <v/>
      </c>
      <c r="AB1176" s="7" t="n"/>
      <c r="AE1176" s="11" t="n"/>
      <c r="AG1176" s="7">
        <f>IF($C1176="","",U1176*X1176/100)</f>
        <v/>
      </c>
      <c r="AH1176" s="7">
        <f>IF($C1176="","",U1176-AG1176)</f>
        <v/>
      </c>
      <c r="AI1176" s="7">
        <f>IF($C1176="","",AH1176-M1176)</f>
        <v/>
      </c>
      <c r="AJ1176">
        <f>IF($C1176="","",IF(COUNTIF($C$2:$C1176,$C1176)=1,1,0))</f>
        <v/>
      </c>
      <c r="AK1176">
        <f>IF($AJ1176=1,SUMPRODUCT(--($AN$2:$AN$4001&lt;$AN1176))+1,"")</f>
        <v/>
      </c>
      <c r="AL1176">
        <f>IF($C1176="","",IF(OR($Q1176=TRUE(),$Q1176="TRUE"),1,0))</f>
        <v/>
      </c>
      <c r="AM1176">
        <f>IF($C1176="","",IF($W1176="Yes",1,0))</f>
        <v/>
      </c>
      <c r="AN1176">
        <f>IF($AJ1176=1,IFERROR(IF(VALUE($C1176)&lt;100000000,VALUE($C1176),1000000000),IFERROR(IF(VALUE(MID($C1176,2,20))&lt;100000000,VALUE(MID($C1176,2,20)),1000000000),1000000000))+ROW()/100000,"")</f>
        <v/>
      </c>
    </row>
    <row r="1177">
      <c r="E1177" s="11" t="n"/>
      <c r="M1177" s="7">
        <f>IF($C1177="","",L1177*U1177/100)</f>
        <v/>
      </c>
      <c r="N1177" s="7" t="n"/>
      <c r="T1177" s="7" t="n"/>
      <c r="U1177" s="7">
        <f>IF($C1177="","",S1177*T1177)</f>
        <v/>
      </c>
      <c r="X1177">
        <f>IF($C1177="","",IF($AM1177=1,0,IF($AL1177=1,Settings!$C$6,Settings!$C$7))*100)</f>
        <v/>
      </c>
      <c r="AB1177" s="7" t="n"/>
      <c r="AE1177" s="11" t="n"/>
      <c r="AG1177" s="7">
        <f>IF($C1177="","",U1177*X1177/100)</f>
        <v/>
      </c>
      <c r="AH1177" s="7">
        <f>IF($C1177="","",U1177-AG1177)</f>
        <v/>
      </c>
      <c r="AI1177" s="7">
        <f>IF($C1177="","",AH1177-M1177)</f>
        <v/>
      </c>
      <c r="AJ1177">
        <f>IF($C1177="","",IF(COUNTIF($C$2:$C1177,$C1177)=1,1,0))</f>
        <v/>
      </c>
      <c r="AK1177">
        <f>IF($AJ1177=1,SUMPRODUCT(--($AN$2:$AN$4001&lt;$AN1177))+1,"")</f>
        <v/>
      </c>
      <c r="AL1177">
        <f>IF($C1177="","",IF(OR($Q1177=TRUE(),$Q1177="TRUE"),1,0))</f>
        <v/>
      </c>
      <c r="AM1177">
        <f>IF($C1177="","",IF($W1177="Yes",1,0))</f>
        <v/>
      </c>
      <c r="AN1177">
        <f>IF($AJ1177=1,IFERROR(IF(VALUE($C1177)&lt;100000000,VALUE($C1177),1000000000),IFERROR(IF(VALUE(MID($C1177,2,20))&lt;100000000,VALUE(MID($C1177,2,20)),1000000000),1000000000))+ROW()/100000,"")</f>
        <v/>
      </c>
    </row>
    <row r="1178">
      <c r="E1178" s="11" t="n"/>
      <c r="M1178" s="7">
        <f>IF($C1178="","",L1178*U1178/100)</f>
        <v/>
      </c>
      <c r="N1178" s="7" t="n"/>
      <c r="T1178" s="7" t="n"/>
      <c r="U1178" s="7">
        <f>IF($C1178="","",S1178*T1178)</f>
        <v/>
      </c>
      <c r="X1178">
        <f>IF($C1178="","",IF($AM1178=1,0,IF($AL1178=1,Settings!$C$6,Settings!$C$7))*100)</f>
        <v/>
      </c>
      <c r="AB1178" s="7" t="n"/>
      <c r="AE1178" s="11" t="n"/>
      <c r="AG1178" s="7">
        <f>IF($C1178="","",U1178*X1178/100)</f>
        <v/>
      </c>
      <c r="AH1178" s="7">
        <f>IF($C1178="","",U1178-AG1178)</f>
        <v/>
      </c>
      <c r="AI1178" s="7">
        <f>IF($C1178="","",AH1178-M1178)</f>
        <v/>
      </c>
      <c r="AJ1178">
        <f>IF($C1178="","",IF(COUNTIF($C$2:$C1178,$C1178)=1,1,0))</f>
        <v/>
      </c>
      <c r="AK1178">
        <f>IF($AJ1178=1,SUMPRODUCT(--($AN$2:$AN$4001&lt;$AN1178))+1,"")</f>
        <v/>
      </c>
      <c r="AL1178">
        <f>IF($C1178="","",IF(OR($Q1178=TRUE(),$Q1178="TRUE"),1,0))</f>
        <v/>
      </c>
      <c r="AM1178">
        <f>IF($C1178="","",IF($W1178="Yes",1,0))</f>
        <v/>
      </c>
      <c r="AN1178">
        <f>IF($AJ1178=1,IFERROR(IF(VALUE($C1178)&lt;100000000,VALUE($C1178),1000000000),IFERROR(IF(VALUE(MID($C1178,2,20))&lt;100000000,VALUE(MID($C1178,2,20)),1000000000),1000000000))+ROW()/100000,"")</f>
        <v/>
      </c>
    </row>
    <row r="1179">
      <c r="E1179" s="11" t="n"/>
      <c r="M1179" s="7">
        <f>IF($C1179="","",L1179*U1179/100)</f>
        <v/>
      </c>
      <c r="N1179" s="7" t="n"/>
      <c r="T1179" s="7" t="n"/>
      <c r="U1179" s="7">
        <f>IF($C1179="","",S1179*T1179)</f>
        <v/>
      </c>
      <c r="X1179">
        <f>IF($C1179="","",IF($AM1179=1,0,IF($AL1179=1,Settings!$C$6,Settings!$C$7))*100)</f>
        <v/>
      </c>
      <c r="AB1179" s="7" t="n"/>
      <c r="AE1179" s="11" t="n"/>
      <c r="AG1179" s="7">
        <f>IF($C1179="","",U1179*X1179/100)</f>
        <v/>
      </c>
      <c r="AH1179" s="7">
        <f>IF($C1179="","",U1179-AG1179)</f>
        <v/>
      </c>
      <c r="AI1179" s="7">
        <f>IF($C1179="","",AH1179-M1179)</f>
        <v/>
      </c>
      <c r="AJ1179">
        <f>IF($C1179="","",IF(COUNTIF($C$2:$C1179,$C1179)=1,1,0))</f>
        <v/>
      </c>
      <c r="AK1179">
        <f>IF($AJ1179=1,SUMPRODUCT(--($AN$2:$AN$4001&lt;$AN1179))+1,"")</f>
        <v/>
      </c>
      <c r="AL1179">
        <f>IF($C1179="","",IF(OR($Q1179=TRUE(),$Q1179="TRUE"),1,0))</f>
        <v/>
      </c>
      <c r="AM1179">
        <f>IF($C1179="","",IF($W1179="Yes",1,0))</f>
        <v/>
      </c>
      <c r="AN1179">
        <f>IF($AJ1179=1,IFERROR(IF(VALUE($C1179)&lt;100000000,VALUE($C1179),1000000000),IFERROR(IF(VALUE(MID($C1179,2,20))&lt;100000000,VALUE(MID($C1179,2,20)),1000000000),1000000000))+ROW()/100000,"")</f>
        <v/>
      </c>
    </row>
    <row r="1180">
      <c r="E1180" s="11" t="n"/>
      <c r="M1180" s="7">
        <f>IF($C1180="","",L1180*U1180/100)</f>
        <v/>
      </c>
      <c r="N1180" s="7" t="n"/>
      <c r="T1180" s="7" t="n"/>
      <c r="U1180" s="7">
        <f>IF($C1180="","",S1180*T1180)</f>
        <v/>
      </c>
      <c r="X1180">
        <f>IF($C1180="","",IF($AM1180=1,0,IF($AL1180=1,Settings!$C$6,Settings!$C$7))*100)</f>
        <v/>
      </c>
      <c r="AB1180" s="7" t="n"/>
      <c r="AE1180" s="11" t="n"/>
      <c r="AG1180" s="7">
        <f>IF($C1180="","",U1180*X1180/100)</f>
        <v/>
      </c>
      <c r="AH1180" s="7">
        <f>IF($C1180="","",U1180-AG1180)</f>
        <v/>
      </c>
      <c r="AI1180" s="7">
        <f>IF($C1180="","",AH1180-M1180)</f>
        <v/>
      </c>
      <c r="AJ1180">
        <f>IF($C1180="","",IF(COUNTIF($C$2:$C1180,$C1180)=1,1,0))</f>
        <v/>
      </c>
      <c r="AK1180">
        <f>IF($AJ1180=1,SUMPRODUCT(--($AN$2:$AN$4001&lt;$AN1180))+1,"")</f>
        <v/>
      </c>
      <c r="AL1180">
        <f>IF($C1180="","",IF(OR($Q1180=TRUE(),$Q1180="TRUE"),1,0))</f>
        <v/>
      </c>
      <c r="AM1180">
        <f>IF($C1180="","",IF($W1180="Yes",1,0))</f>
        <v/>
      </c>
      <c r="AN1180">
        <f>IF($AJ1180=1,IFERROR(IF(VALUE($C1180)&lt;100000000,VALUE($C1180),1000000000),IFERROR(IF(VALUE(MID($C1180,2,20))&lt;100000000,VALUE(MID($C1180,2,20)),1000000000),1000000000))+ROW()/100000,"")</f>
        <v/>
      </c>
    </row>
    <row r="1181">
      <c r="E1181" s="11" t="n"/>
      <c r="M1181" s="7">
        <f>IF($C1181="","",L1181*U1181/100)</f>
        <v/>
      </c>
      <c r="N1181" s="7" t="n"/>
      <c r="T1181" s="7" t="n"/>
      <c r="U1181" s="7">
        <f>IF($C1181="","",S1181*T1181)</f>
        <v/>
      </c>
      <c r="X1181">
        <f>IF($C1181="","",IF($AM1181=1,0,IF($AL1181=1,Settings!$C$6,Settings!$C$7))*100)</f>
        <v/>
      </c>
      <c r="AB1181" s="7" t="n"/>
      <c r="AE1181" s="11" t="n"/>
      <c r="AG1181" s="7">
        <f>IF($C1181="","",U1181*X1181/100)</f>
        <v/>
      </c>
      <c r="AH1181" s="7">
        <f>IF($C1181="","",U1181-AG1181)</f>
        <v/>
      </c>
      <c r="AI1181" s="7">
        <f>IF($C1181="","",AH1181-M1181)</f>
        <v/>
      </c>
      <c r="AJ1181">
        <f>IF($C1181="","",IF(COUNTIF($C$2:$C1181,$C1181)=1,1,0))</f>
        <v/>
      </c>
      <c r="AK1181">
        <f>IF($AJ1181=1,SUMPRODUCT(--($AN$2:$AN$4001&lt;$AN1181))+1,"")</f>
        <v/>
      </c>
      <c r="AL1181">
        <f>IF($C1181="","",IF(OR($Q1181=TRUE(),$Q1181="TRUE"),1,0))</f>
        <v/>
      </c>
      <c r="AM1181">
        <f>IF($C1181="","",IF($W1181="Yes",1,0))</f>
        <v/>
      </c>
      <c r="AN1181">
        <f>IF($AJ1181=1,IFERROR(IF(VALUE($C1181)&lt;100000000,VALUE($C1181),1000000000),IFERROR(IF(VALUE(MID($C1181,2,20))&lt;100000000,VALUE(MID($C1181,2,20)),1000000000),1000000000))+ROW()/100000,"")</f>
        <v/>
      </c>
    </row>
    <row r="1182">
      <c r="E1182" s="11" t="n"/>
      <c r="M1182" s="7">
        <f>IF($C1182="","",L1182*U1182/100)</f>
        <v/>
      </c>
      <c r="N1182" s="7" t="n"/>
      <c r="T1182" s="7" t="n"/>
      <c r="U1182" s="7">
        <f>IF($C1182="","",S1182*T1182)</f>
        <v/>
      </c>
      <c r="X1182">
        <f>IF($C1182="","",IF($AM1182=1,0,IF($AL1182=1,Settings!$C$6,Settings!$C$7))*100)</f>
        <v/>
      </c>
      <c r="AB1182" s="7" t="n"/>
      <c r="AE1182" s="11" t="n"/>
      <c r="AG1182" s="7">
        <f>IF($C1182="","",U1182*X1182/100)</f>
        <v/>
      </c>
      <c r="AH1182" s="7">
        <f>IF($C1182="","",U1182-AG1182)</f>
        <v/>
      </c>
      <c r="AI1182" s="7">
        <f>IF($C1182="","",AH1182-M1182)</f>
        <v/>
      </c>
      <c r="AJ1182">
        <f>IF($C1182="","",IF(COUNTIF($C$2:$C1182,$C1182)=1,1,0))</f>
        <v/>
      </c>
      <c r="AK1182">
        <f>IF($AJ1182=1,SUMPRODUCT(--($AN$2:$AN$4001&lt;$AN1182))+1,"")</f>
        <v/>
      </c>
      <c r="AL1182">
        <f>IF($C1182="","",IF(OR($Q1182=TRUE(),$Q1182="TRUE"),1,0))</f>
        <v/>
      </c>
      <c r="AM1182">
        <f>IF($C1182="","",IF($W1182="Yes",1,0))</f>
        <v/>
      </c>
      <c r="AN1182">
        <f>IF($AJ1182=1,IFERROR(IF(VALUE($C1182)&lt;100000000,VALUE($C1182),1000000000),IFERROR(IF(VALUE(MID($C1182,2,20))&lt;100000000,VALUE(MID($C1182,2,20)),1000000000),1000000000))+ROW()/100000,"")</f>
        <v/>
      </c>
    </row>
    <row r="1183">
      <c r="E1183" s="11" t="n"/>
      <c r="M1183" s="7">
        <f>IF($C1183="","",L1183*U1183/100)</f>
        <v/>
      </c>
      <c r="N1183" s="7" t="n"/>
      <c r="T1183" s="7" t="n"/>
      <c r="U1183" s="7">
        <f>IF($C1183="","",S1183*T1183)</f>
        <v/>
      </c>
      <c r="X1183">
        <f>IF($C1183="","",IF($AM1183=1,0,IF($AL1183=1,Settings!$C$6,Settings!$C$7))*100)</f>
        <v/>
      </c>
      <c r="AB1183" s="7" t="n"/>
      <c r="AE1183" s="11" t="n"/>
      <c r="AG1183" s="7">
        <f>IF($C1183="","",U1183*X1183/100)</f>
        <v/>
      </c>
      <c r="AH1183" s="7">
        <f>IF($C1183="","",U1183-AG1183)</f>
        <v/>
      </c>
      <c r="AI1183" s="7">
        <f>IF($C1183="","",AH1183-M1183)</f>
        <v/>
      </c>
      <c r="AJ1183">
        <f>IF($C1183="","",IF(COUNTIF($C$2:$C1183,$C1183)=1,1,0))</f>
        <v/>
      </c>
      <c r="AK1183">
        <f>IF($AJ1183=1,SUMPRODUCT(--($AN$2:$AN$4001&lt;$AN1183))+1,"")</f>
        <v/>
      </c>
      <c r="AL1183">
        <f>IF($C1183="","",IF(OR($Q1183=TRUE(),$Q1183="TRUE"),1,0))</f>
        <v/>
      </c>
      <c r="AM1183">
        <f>IF($C1183="","",IF($W1183="Yes",1,0))</f>
        <v/>
      </c>
      <c r="AN1183">
        <f>IF($AJ1183=1,IFERROR(IF(VALUE($C1183)&lt;100000000,VALUE($C1183),1000000000),IFERROR(IF(VALUE(MID($C1183,2,20))&lt;100000000,VALUE(MID($C1183,2,20)),1000000000),1000000000))+ROW()/100000,"")</f>
        <v/>
      </c>
    </row>
    <row r="1184">
      <c r="E1184" s="11" t="n"/>
      <c r="M1184" s="7">
        <f>IF($C1184="","",L1184*U1184/100)</f>
        <v/>
      </c>
      <c r="N1184" s="7" t="n"/>
      <c r="T1184" s="7" t="n"/>
      <c r="U1184" s="7">
        <f>IF($C1184="","",S1184*T1184)</f>
        <v/>
      </c>
      <c r="X1184">
        <f>IF($C1184="","",IF($AM1184=1,0,IF($AL1184=1,Settings!$C$6,Settings!$C$7))*100)</f>
        <v/>
      </c>
      <c r="AB1184" s="7" t="n"/>
      <c r="AE1184" s="11" t="n"/>
      <c r="AG1184" s="7">
        <f>IF($C1184="","",U1184*X1184/100)</f>
        <v/>
      </c>
      <c r="AH1184" s="7">
        <f>IF($C1184="","",U1184-AG1184)</f>
        <v/>
      </c>
      <c r="AI1184" s="7">
        <f>IF($C1184="","",AH1184-M1184)</f>
        <v/>
      </c>
      <c r="AJ1184">
        <f>IF($C1184="","",IF(COUNTIF($C$2:$C1184,$C1184)=1,1,0))</f>
        <v/>
      </c>
      <c r="AK1184">
        <f>IF($AJ1184=1,SUMPRODUCT(--($AN$2:$AN$4001&lt;$AN1184))+1,"")</f>
        <v/>
      </c>
      <c r="AL1184">
        <f>IF($C1184="","",IF(OR($Q1184=TRUE(),$Q1184="TRUE"),1,0))</f>
        <v/>
      </c>
      <c r="AM1184">
        <f>IF($C1184="","",IF($W1184="Yes",1,0))</f>
        <v/>
      </c>
      <c r="AN1184">
        <f>IF($AJ1184=1,IFERROR(IF(VALUE($C1184)&lt;100000000,VALUE($C1184),1000000000),IFERROR(IF(VALUE(MID($C1184,2,20))&lt;100000000,VALUE(MID($C1184,2,20)),1000000000),1000000000))+ROW()/100000,"")</f>
        <v/>
      </c>
    </row>
    <row r="1185">
      <c r="E1185" s="11" t="n"/>
      <c r="M1185" s="7">
        <f>IF($C1185="","",L1185*U1185/100)</f>
        <v/>
      </c>
      <c r="N1185" s="7" t="n"/>
      <c r="T1185" s="7" t="n"/>
      <c r="U1185" s="7">
        <f>IF($C1185="","",S1185*T1185)</f>
        <v/>
      </c>
      <c r="X1185">
        <f>IF($C1185="","",IF($AM1185=1,0,IF($AL1185=1,Settings!$C$6,Settings!$C$7))*100)</f>
        <v/>
      </c>
      <c r="AB1185" s="7" t="n"/>
      <c r="AE1185" s="11" t="n"/>
      <c r="AG1185" s="7">
        <f>IF($C1185="","",U1185*X1185/100)</f>
        <v/>
      </c>
      <c r="AH1185" s="7">
        <f>IF($C1185="","",U1185-AG1185)</f>
        <v/>
      </c>
      <c r="AI1185" s="7">
        <f>IF($C1185="","",AH1185-M1185)</f>
        <v/>
      </c>
      <c r="AJ1185">
        <f>IF($C1185="","",IF(COUNTIF($C$2:$C1185,$C1185)=1,1,0))</f>
        <v/>
      </c>
      <c r="AK1185">
        <f>IF($AJ1185=1,SUMPRODUCT(--($AN$2:$AN$4001&lt;$AN1185))+1,"")</f>
        <v/>
      </c>
      <c r="AL1185">
        <f>IF($C1185="","",IF(OR($Q1185=TRUE(),$Q1185="TRUE"),1,0))</f>
        <v/>
      </c>
      <c r="AM1185">
        <f>IF($C1185="","",IF($W1185="Yes",1,0))</f>
        <v/>
      </c>
      <c r="AN1185">
        <f>IF($AJ1185=1,IFERROR(IF(VALUE($C1185)&lt;100000000,VALUE($C1185),1000000000),IFERROR(IF(VALUE(MID($C1185,2,20))&lt;100000000,VALUE(MID($C1185,2,20)),1000000000),1000000000))+ROW()/100000,"")</f>
        <v/>
      </c>
    </row>
    <row r="1186">
      <c r="E1186" s="11" t="n"/>
      <c r="M1186" s="7">
        <f>IF($C1186="","",L1186*U1186/100)</f>
        <v/>
      </c>
      <c r="N1186" s="7" t="n"/>
      <c r="T1186" s="7" t="n"/>
      <c r="U1186" s="7">
        <f>IF($C1186="","",S1186*T1186)</f>
        <v/>
      </c>
      <c r="X1186">
        <f>IF($C1186="","",IF($AM1186=1,0,IF($AL1186=1,Settings!$C$6,Settings!$C$7))*100)</f>
        <v/>
      </c>
      <c r="AB1186" s="7" t="n"/>
      <c r="AE1186" s="11" t="n"/>
      <c r="AG1186" s="7">
        <f>IF($C1186="","",U1186*X1186/100)</f>
        <v/>
      </c>
      <c r="AH1186" s="7">
        <f>IF($C1186="","",U1186-AG1186)</f>
        <v/>
      </c>
      <c r="AI1186" s="7">
        <f>IF($C1186="","",AH1186-M1186)</f>
        <v/>
      </c>
      <c r="AJ1186">
        <f>IF($C1186="","",IF(COUNTIF($C$2:$C1186,$C1186)=1,1,0))</f>
        <v/>
      </c>
      <c r="AK1186">
        <f>IF($AJ1186=1,SUMPRODUCT(--($AN$2:$AN$4001&lt;$AN1186))+1,"")</f>
        <v/>
      </c>
      <c r="AL1186">
        <f>IF($C1186="","",IF(OR($Q1186=TRUE(),$Q1186="TRUE"),1,0))</f>
        <v/>
      </c>
      <c r="AM1186">
        <f>IF($C1186="","",IF($W1186="Yes",1,0))</f>
        <v/>
      </c>
      <c r="AN1186">
        <f>IF($AJ1186=1,IFERROR(IF(VALUE($C1186)&lt;100000000,VALUE($C1186),1000000000),IFERROR(IF(VALUE(MID($C1186,2,20))&lt;100000000,VALUE(MID($C1186,2,20)),1000000000),1000000000))+ROW()/100000,"")</f>
        <v/>
      </c>
    </row>
    <row r="1187">
      <c r="E1187" s="11" t="n"/>
      <c r="M1187" s="7">
        <f>IF($C1187="","",L1187*U1187/100)</f>
        <v/>
      </c>
      <c r="N1187" s="7" t="n"/>
      <c r="T1187" s="7" t="n"/>
      <c r="U1187" s="7">
        <f>IF($C1187="","",S1187*T1187)</f>
        <v/>
      </c>
      <c r="X1187">
        <f>IF($C1187="","",IF($AM1187=1,0,IF($AL1187=1,Settings!$C$6,Settings!$C$7))*100)</f>
        <v/>
      </c>
      <c r="AB1187" s="7" t="n"/>
      <c r="AE1187" s="11" t="n"/>
      <c r="AG1187" s="7">
        <f>IF($C1187="","",U1187*X1187/100)</f>
        <v/>
      </c>
      <c r="AH1187" s="7">
        <f>IF($C1187="","",U1187-AG1187)</f>
        <v/>
      </c>
      <c r="AI1187" s="7">
        <f>IF($C1187="","",AH1187-M1187)</f>
        <v/>
      </c>
      <c r="AJ1187">
        <f>IF($C1187="","",IF(COUNTIF($C$2:$C1187,$C1187)=1,1,0))</f>
        <v/>
      </c>
      <c r="AK1187">
        <f>IF($AJ1187=1,SUMPRODUCT(--($AN$2:$AN$4001&lt;$AN1187))+1,"")</f>
        <v/>
      </c>
      <c r="AL1187">
        <f>IF($C1187="","",IF(OR($Q1187=TRUE(),$Q1187="TRUE"),1,0))</f>
        <v/>
      </c>
      <c r="AM1187">
        <f>IF($C1187="","",IF($W1187="Yes",1,0))</f>
        <v/>
      </c>
      <c r="AN1187">
        <f>IF($AJ1187=1,IFERROR(IF(VALUE($C1187)&lt;100000000,VALUE($C1187),1000000000),IFERROR(IF(VALUE(MID($C1187,2,20))&lt;100000000,VALUE(MID($C1187,2,20)),1000000000),1000000000))+ROW()/100000,"")</f>
        <v/>
      </c>
    </row>
    <row r="1188">
      <c r="E1188" s="11" t="n"/>
      <c r="M1188" s="7">
        <f>IF($C1188="","",L1188*U1188/100)</f>
        <v/>
      </c>
      <c r="N1188" s="7" t="n"/>
      <c r="T1188" s="7" t="n"/>
      <c r="U1188" s="7">
        <f>IF($C1188="","",S1188*T1188)</f>
        <v/>
      </c>
      <c r="X1188">
        <f>IF($C1188="","",IF($AM1188=1,0,IF($AL1188=1,Settings!$C$6,Settings!$C$7))*100)</f>
        <v/>
      </c>
      <c r="AB1188" s="7" t="n"/>
      <c r="AE1188" s="11" t="n"/>
      <c r="AG1188" s="7">
        <f>IF($C1188="","",U1188*X1188/100)</f>
        <v/>
      </c>
      <c r="AH1188" s="7">
        <f>IF($C1188="","",U1188-AG1188)</f>
        <v/>
      </c>
      <c r="AI1188" s="7">
        <f>IF($C1188="","",AH1188-M1188)</f>
        <v/>
      </c>
      <c r="AJ1188">
        <f>IF($C1188="","",IF(COUNTIF($C$2:$C1188,$C1188)=1,1,0))</f>
        <v/>
      </c>
      <c r="AK1188">
        <f>IF($AJ1188=1,SUMPRODUCT(--($AN$2:$AN$4001&lt;$AN1188))+1,"")</f>
        <v/>
      </c>
      <c r="AL1188">
        <f>IF($C1188="","",IF(OR($Q1188=TRUE(),$Q1188="TRUE"),1,0))</f>
        <v/>
      </c>
      <c r="AM1188">
        <f>IF($C1188="","",IF($W1188="Yes",1,0))</f>
        <v/>
      </c>
      <c r="AN1188">
        <f>IF($AJ1188=1,IFERROR(IF(VALUE($C1188)&lt;100000000,VALUE($C1188),1000000000),IFERROR(IF(VALUE(MID($C1188,2,20))&lt;100000000,VALUE(MID($C1188,2,20)),1000000000),1000000000))+ROW()/100000,"")</f>
        <v/>
      </c>
    </row>
    <row r="1189">
      <c r="E1189" s="11" t="n"/>
      <c r="M1189" s="7">
        <f>IF($C1189="","",L1189*U1189/100)</f>
        <v/>
      </c>
      <c r="N1189" s="7" t="n"/>
      <c r="T1189" s="7" t="n"/>
      <c r="U1189" s="7">
        <f>IF($C1189="","",S1189*T1189)</f>
        <v/>
      </c>
      <c r="X1189">
        <f>IF($C1189="","",IF($AM1189=1,0,IF($AL1189=1,Settings!$C$6,Settings!$C$7))*100)</f>
        <v/>
      </c>
      <c r="AB1189" s="7" t="n"/>
      <c r="AE1189" s="11" t="n"/>
      <c r="AG1189" s="7">
        <f>IF($C1189="","",U1189*X1189/100)</f>
        <v/>
      </c>
      <c r="AH1189" s="7">
        <f>IF($C1189="","",U1189-AG1189)</f>
        <v/>
      </c>
      <c r="AI1189" s="7">
        <f>IF($C1189="","",AH1189-M1189)</f>
        <v/>
      </c>
      <c r="AJ1189">
        <f>IF($C1189="","",IF(COUNTIF($C$2:$C1189,$C1189)=1,1,0))</f>
        <v/>
      </c>
      <c r="AK1189">
        <f>IF($AJ1189=1,SUMPRODUCT(--($AN$2:$AN$4001&lt;$AN1189))+1,"")</f>
        <v/>
      </c>
      <c r="AL1189">
        <f>IF($C1189="","",IF(OR($Q1189=TRUE(),$Q1189="TRUE"),1,0))</f>
        <v/>
      </c>
      <c r="AM1189">
        <f>IF($C1189="","",IF($W1189="Yes",1,0))</f>
        <v/>
      </c>
      <c r="AN1189">
        <f>IF($AJ1189=1,IFERROR(IF(VALUE($C1189)&lt;100000000,VALUE($C1189),1000000000),IFERROR(IF(VALUE(MID($C1189,2,20))&lt;100000000,VALUE(MID($C1189,2,20)),1000000000),1000000000))+ROW()/100000,"")</f>
        <v/>
      </c>
    </row>
    <row r="1190">
      <c r="E1190" s="11" t="n"/>
      <c r="M1190" s="7">
        <f>IF($C1190="","",L1190*U1190/100)</f>
        <v/>
      </c>
      <c r="N1190" s="7" t="n"/>
      <c r="T1190" s="7" t="n"/>
      <c r="U1190" s="7">
        <f>IF($C1190="","",S1190*T1190)</f>
        <v/>
      </c>
      <c r="X1190">
        <f>IF($C1190="","",IF($AM1190=1,0,IF($AL1190=1,Settings!$C$6,Settings!$C$7))*100)</f>
        <v/>
      </c>
      <c r="AB1190" s="7" t="n"/>
      <c r="AE1190" s="11" t="n"/>
      <c r="AG1190" s="7">
        <f>IF($C1190="","",U1190*X1190/100)</f>
        <v/>
      </c>
      <c r="AH1190" s="7">
        <f>IF($C1190="","",U1190-AG1190)</f>
        <v/>
      </c>
      <c r="AI1190" s="7">
        <f>IF($C1190="","",AH1190-M1190)</f>
        <v/>
      </c>
      <c r="AJ1190">
        <f>IF($C1190="","",IF(COUNTIF($C$2:$C1190,$C1190)=1,1,0))</f>
        <v/>
      </c>
      <c r="AK1190">
        <f>IF($AJ1190=1,SUMPRODUCT(--($AN$2:$AN$4001&lt;$AN1190))+1,"")</f>
        <v/>
      </c>
      <c r="AL1190">
        <f>IF($C1190="","",IF(OR($Q1190=TRUE(),$Q1190="TRUE"),1,0))</f>
        <v/>
      </c>
      <c r="AM1190">
        <f>IF($C1190="","",IF($W1190="Yes",1,0))</f>
        <v/>
      </c>
      <c r="AN1190">
        <f>IF($AJ1190=1,IFERROR(IF(VALUE($C1190)&lt;100000000,VALUE($C1190),1000000000),IFERROR(IF(VALUE(MID($C1190,2,20))&lt;100000000,VALUE(MID($C1190,2,20)),1000000000),1000000000))+ROW()/100000,"")</f>
        <v/>
      </c>
    </row>
    <row r="1191">
      <c r="E1191" s="11" t="n"/>
      <c r="M1191" s="7">
        <f>IF($C1191="","",L1191*U1191/100)</f>
        <v/>
      </c>
      <c r="N1191" s="7" t="n"/>
      <c r="T1191" s="7" t="n"/>
      <c r="U1191" s="7">
        <f>IF($C1191="","",S1191*T1191)</f>
        <v/>
      </c>
      <c r="X1191">
        <f>IF($C1191="","",IF($AM1191=1,0,IF($AL1191=1,Settings!$C$6,Settings!$C$7))*100)</f>
        <v/>
      </c>
      <c r="AB1191" s="7" t="n"/>
      <c r="AE1191" s="11" t="n"/>
      <c r="AG1191" s="7">
        <f>IF($C1191="","",U1191*X1191/100)</f>
        <v/>
      </c>
      <c r="AH1191" s="7">
        <f>IF($C1191="","",U1191-AG1191)</f>
        <v/>
      </c>
      <c r="AI1191" s="7">
        <f>IF($C1191="","",AH1191-M1191)</f>
        <v/>
      </c>
      <c r="AJ1191">
        <f>IF($C1191="","",IF(COUNTIF($C$2:$C1191,$C1191)=1,1,0))</f>
        <v/>
      </c>
      <c r="AK1191">
        <f>IF($AJ1191=1,SUMPRODUCT(--($AN$2:$AN$4001&lt;$AN1191))+1,"")</f>
        <v/>
      </c>
      <c r="AL1191">
        <f>IF($C1191="","",IF(OR($Q1191=TRUE(),$Q1191="TRUE"),1,0))</f>
        <v/>
      </c>
      <c r="AM1191">
        <f>IF($C1191="","",IF($W1191="Yes",1,0))</f>
        <v/>
      </c>
      <c r="AN1191">
        <f>IF($AJ1191=1,IFERROR(IF(VALUE($C1191)&lt;100000000,VALUE($C1191),1000000000),IFERROR(IF(VALUE(MID($C1191,2,20))&lt;100000000,VALUE(MID($C1191,2,20)),1000000000),1000000000))+ROW()/100000,"")</f>
        <v/>
      </c>
    </row>
    <row r="1192">
      <c r="E1192" s="11" t="n"/>
      <c r="M1192" s="7">
        <f>IF($C1192="","",L1192*U1192/100)</f>
        <v/>
      </c>
      <c r="N1192" s="7" t="n"/>
      <c r="T1192" s="7" t="n"/>
      <c r="U1192" s="7">
        <f>IF($C1192="","",S1192*T1192)</f>
        <v/>
      </c>
      <c r="X1192">
        <f>IF($C1192="","",IF($AM1192=1,0,IF($AL1192=1,Settings!$C$6,Settings!$C$7))*100)</f>
        <v/>
      </c>
      <c r="AB1192" s="7" t="n"/>
      <c r="AE1192" s="11" t="n"/>
      <c r="AG1192" s="7">
        <f>IF($C1192="","",U1192*X1192/100)</f>
        <v/>
      </c>
      <c r="AH1192" s="7">
        <f>IF($C1192="","",U1192-AG1192)</f>
        <v/>
      </c>
      <c r="AI1192" s="7">
        <f>IF($C1192="","",AH1192-M1192)</f>
        <v/>
      </c>
      <c r="AJ1192">
        <f>IF($C1192="","",IF(COUNTIF($C$2:$C1192,$C1192)=1,1,0))</f>
        <v/>
      </c>
      <c r="AK1192">
        <f>IF($AJ1192=1,SUMPRODUCT(--($AN$2:$AN$4001&lt;$AN1192))+1,"")</f>
        <v/>
      </c>
      <c r="AL1192">
        <f>IF($C1192="","",IF(OR($Q1192=TRUE(),$Q1192="TRUE"),1,0))</f>
        <v/>
      </c>
      <c r="AM1192">
        <f>IF($C1192="","",IF($W1192="Yes",1,0))</f>
        <v/>
      </c>
      <c r="AN1192">
        <f>IF($AJ1192=1,IFERROR(IF(VALUE($C1192)&lt;100000000,VALUE($C1192),1000000000),IFERROR(IF(VALUE(MID($C1192,2,20))&lt;100000000,VALUE(MID($C1192,2,20)),1000000000),1000000000))+ROW()/100000,"")</f>
        <v/>
      </c>
    </row>
    <row r="1193">
      <c r="E1193" s="11" t="n"/>
      <c r="M1193" s="7">
        <f>IF($C1193="","",L1193*U1193/100)</f>
        <v/>
      </c>
      <c r="N1193" s="7" t="n"/>
      <c r="T1193" s="7" t="n"/>
      <c r="U1193" s="7">
        <f>IF($C1193="","",S1193*T1193)</f>
        <v/>
      </c>
      <c r="X1193">
        <f>IF($C1193="","",IF($AM1193=1,0,IF($AL1193=1,Settings!$C$6,Settings!$C$7))*100)</f>
        <v/>
      </c>
      <c r="AB1193" s="7" t="n"/>
      <c r="AE1193" s="11" t="n"/>
      <c r="AG1193" s="7">
        <f>IF($C1193="","",U1193*X1193/100)</f>
        <v/>
      </c>
      <c r="AH1193" s="7">
        <f>IF($C1193="","",U1193-AG1193)</f>
        <v/>
      </c>
      <c r="AI1193" s="7">
        <f>IF($C1193="","",AH1193-M1193)</f>
        <v/>
      </c>
      <c r="AJ1193">
        <f>IF($C1193="","",IF(COUNTIF($C$2:$C1193,$C1193)=1,1,0))</f>
        <v/>
      </c>
      <c r="AK1193">
        <f>IF($AJ1193=1,SUMPRODUCT(--($AN$2:$AN$4001&lt;$AN1193))+1,"")</f>
        <v/>
      </c>
      <c r="AL1193">
        <f>IF($C1193="","",IF(OR($Q1193=TRUE(),$Q1193="TRUE"),1,0))</f>
        <v/>
      </c>
      <c r="AM1193">
        <f>IF($C1193="","",IF($W1193="Yes",1,0))</f>
        <v/>
      </c>
      <c r="AN1193">
        <f>IF($AJ1193=1,IFERROR(IF(VALUE($C1193)&lt;100000000,VALUE($C1193),1000000000),IFERROR(IF(VALUE(MID($C1193,2,20))&lt;100000000,VALUE(MID($C1193,2,20)),1000000000),1000000000))+ROW()/100000,"")</f>
        <v/>
      </c>
    </row>
    <row r="1194">
      <c r="E1194" s="11" t="n"/>
      <c r="M1194" s="7">
        <f>IF($C1194="","",L1194*U1194/100)</f>
        <v/>
      </c>
      <c r="N1194" s="7" t="n"/>
      <c r="T1194" s="7" t="n"/>
      <c r="U1194" s="7">
        <f>IF($C1194="","",S1194*T1194)</f>
        <v/>
      </c>
      <c r="X1194">
        <f>IF($C1194="","",IF($AM1194=1,0,IF($AL1194=1,Settings!$C$6,Settings!$C$7))*100)</f>
        <v/>
      </c>
      <c r="AB1194" s="7" t="n"/>
      <c r="AE1194" s="11" t="n"/>
      <c r="AG1194" s="7">
        <f>IF($C1194="","",U1194*X1194/100)</f>
        <v/>
      </c>
      <c r="AH1194" s="7">
        <f>IF($C1194="","",U1194-AG1194)</f>
        <v/>
      </c>
      <c r="AI1194" s="7">
        <f>IF($C1194="","",AH1194-M1194)</f>
        <v/>
      </c>
      <c r="AJ1194">
        <f>IF($C1194="","",IF(COUNTIF($C$2:$C1194,$C1194)=1,1,0))</f>
        <v/>
      </c>
      <c r="AK1194">
        <f>IF($AJ1194=1,SUMPRODUCT(--($AN$2:$AN$4001&lt;$AN1194))+1,"")</f>
        <v/>
      </c>
      <c r="AL1194">
        <f>IF($C1194="","",IF(OR($Q1194=TRUE(),$Q1194="TRUE"),1,0))</f>
        <v/>
      </c>
      <c r="AM1194">
        <f>IF($C1194="","",IF($W1194="Yes",1,0))</f>
        <v/>
      </c>
      <c r="AN1194">
        <f>IF($AJ1194=1,IFERROR(IF(VALUE($C1194)&lt;100000000,VALUE($C1194),1000000000),IFERROR(IF(VALUE(MID($C1194,2,20))&lt;100000000,VALUE(MID($C1194,2,20)),1000000000),1000000000))+ROW()/100000,"")</f>
        <v/>
      </c>
    </row>
    <row r="1195">
      <c r="E1195" s="11" t="n"/>
      <c r="M1195" s="7">
        <f>IF($C1195="","",L1195*U1195/100)</f>
        <v/>
      </c>
      <c r="N1195" s="7" t="n"/>
      <c r="T1195" s="7" t="n"/>
      <c r="U1195" s="7">
        <f>IF($C1195="","",S1195*T1195)</f>
        <v/>
      </c>
      <c r="X1195">
        <f>IF($C1195="","",IF($AM1195=1,0,IF($AL1195=1,Settings!$C$6,Settings!$C$7))*100)</f>
        <v/>
      </c>
      <c r="AB1195" s="7" t="n"/>
      <c r="AE1195" s="11" t="n"/>
      <c r="AG1195" s="7">
        <f>IF($C1195="","",U1195*X1195/100)</f>
        <v/>
      </c>
      <c r="AH1195" s="7">
        <f>IF($C1195="","",U1195-AG1195)</f>
        <v/>
      </c>
      <c r="AI1195" s="7">
        <f>IF($C1195="","",AH1195-M1195)</f>
        <v/>
      </c>
      <c r="AJ1195">
        <f>IF($C1195="","",IF(COUNTIF($C$2:$C1195,$C1195)=1,1,0))</f>
        <v/>
      </c>
      <c r="AK1195">
        <f>IF($AJ1195=1,SUMPRODUCT(--($AN$2:$AN$4001&lt;$AN1195))+1,"")</f>
        <v/>
      </c>
      <c r="AL1195">
        <f>IF($C1195="","",IF(OR($Q1195=TRUE(),$Q1195="TRUE"),1,0))</f>
        <v/>
      </c>
      <c r="AM1195">
        <f>IF($C1195="","",IF($W1195="Yes",1,0))</f>
        <v/>
      </c>
      <c r="AN1195">
        <f>IF($AJ1195=1,IFERROR(IF(VALUE($C1195)&lt;100000000,VALUE($C1195),1000000000),IFERROR(IF(VALUE(MID($C1195,2,20))&lt;100000000,VALUE(MID($C1195,2,20)),1000000000),1000000000))+ROW()/100000,"")</f>
        <v/>
      </c>
    </row>
    <row r="1196">
      <c r="E1196" s="11" t="n"/>
      <c r="M1196" s="7">
        <f>IF($C1196="","",L1196*U1196/100)</f>
        <v/>
      </c>
      <c r="N1196" s="7" t="n"/>
      <c r="T1196" s="7" t="n"/>
      <c r="U1196" s="7">
        <f>IF($C1196="","",S1196*T1196)</f>
        <v/>
      </c>
      <c r="X1196">
        <f>IF($C1196="","",IF($AM1196=1,0,IF($AL1196=1,Settings!$C$6,Settings!$C$7))*100)</f>
        <v/>
      </c>
      <c r="AB1196" s="7" t="n"/>
      <c r="AE1196" s="11" t="n"/>
      <c r="AG1196" s="7">
        <f>IF($C1196="","",U1196*X1196/100)</f>
        <v/>
      </c>
      <c r="AH1196" s="7">
        <f>IF($C1196="","",U1196-AG1196)</f>
        <v/>
      </c>
      <c r="AI1196" s="7">
        <f>IF($C1196="","",AH1196-M1196)</f>
        <v/>
      </c>
      <c r="AJ1196">
        <f>IF($C1196="","",IF(COUNTIF($C$2:$C1196,$C1196)=1,1,0))</f>
        <v/>
      </c>
      <c r="AK1196">
        <f>IF($AJ1196=1,SUMPRODUCT(--($AN$2:$AN$4001&lt;$AN1196))+1,"")</f>
        <v/>
      </c>
      <c r="AL1196">
        <f>IF($C1196="","",IF(OR($Q1196=TRUE(),$Q1196="TRUE"),1,0))</f>
        <v/>
      </c>
      <c r="AM1196">
        <f>IF($C1196="","",IF($W1196="Yes",1,0))</f>
        <v/>
      </c>
      <c r="AN1196">
        <f>IF($AJ1196=1,IFERROR(IF(VALUE($C1196)&lt;100000000,VALUE($C1196),1000000000),IFERROR(IF(VALUE(MID($C1196,2,20))&lt;100000000,VALUE(MID($C1196,2,20)),1000000000),1000000000))+ROW()/100000,"")</f>
        <v/>
      </c>
    </row>
    <row r="1197">
      <c r="E1197" s="11" t="n"/>
      <c r="M1197" s="7">
        <f>IF($C1197="","",L1197*U1197/100)</f>
        <v/>
      </c>
      <c r="N1197" s="7" t="n"/>
      <c r="T1197" s="7" t="n"/>
      <c r="U1197" s="7">
        <f>IF($C1197="","",S1197*T1197)</f>
        <v/>
      </c>
      <c r="X1197">
        <f>IF($C1197="","",IF($AM1197=1,0,IF($AL1197=1,Settings!$C$6,Settings!$C$7))*100)</f>
        <v/>
      </c>
      <c r="AB1197" s="7" t="n"/>
      <c r="AE1197" s="11" t="n"/>
      <c r="AG1197" s="7">
        <f>IF($C1197="","",U1197*X1197/100)</f>
        <v/>
      </c>
      <c r="AH1197" s="7">
        <f>IF($C1197="","",U1197-AG1197)</f>
        <v/>
      </c>
      <c r="AI1197" s="7">
        <f>IF($C1197="","",AH1197-M1197)</f>
        <v/>
      </c>
      <c r="AJ1197">
        <f>IF($C1197="","",IF(COUNTIF($C$2:$C1197,$C1197)=1,1,0))</f>
        <v/>
      </c>
      <c r="AK1197">
        <f>IF($AJ1197=1,SUMPRODUCT(--($AN$2:$AN$4001&lt;$AN1197))+1,"")</f>
        <v/>
      </c>
      <c r="AL1197">
        <f>IF($C1197="","",IF(OR($Q1197=TRUE(),$Q1197="TRUE"),1,0))</f>
        <v/>
      </c>
      <c r="AM1197">
        <f>IF($C1197="","",IF($W1197="Yes",1,0))</f>
        <v/>
      </c>
      <c r="AN1197">
        <f>IF($AJ1197=1,IFERROR(IF(VALUE($C1197)&lt;100000000,VALUE($C1197),1000000000),IFERROR(IF(VALUE(MID($C1197,2,20))&lt;100000000,VALUE(MID($C1197,2,20)),1000000000),1000000000))+ROW()/100000,"")</f>
        <v/>
      </c>
    </row>
    <row r="1198">
      <c r="E1198" s="11" t="n"/>
      <c r="M1198" s="7">
        <f>IF($C1198="","",L1198*U1198/100)</f>
        <v/>
      </c>
      <c r="N1198" s="7" t="n"/>
      <c r="T1198" s="7" t="n"/>
      <c r="U1198" s="7">
        <f>IF($C1198="","",S1198*T1198)</f>
        <v/>
      </c>
      <c r="X1198">
        <f>IF($C1198="","",IF($AM1198=1,0,IF($AL1198=1,Settings!$C$6,Settings!$C$7))*100)</f>
        <v/>
      </c>
      <c r="AB1198" s="7" t="n"/>
      <c r="AE1198" s="11" t="n"/>
      <c r="AG1198" s="7">
        <f>IF($C1198="","",U1198*X1198/100)</f>
        <v/>
      </c>
      <c r="AH1198" s="7">
        <f>IF($C1198="","",U1198-AG1198)</f>
        <v/>
      </c>
      <c r="AI1198" s="7">
        <f>IF($C1198="","",AH1198-M1198)</f>
        <v/>
      </c>
      <c r="AJ1198">
        <f>IF($C1198="","",IF(COUNTIF($C$2:$C1198,$C1198)=1,1,0))</f>
        <v/>
      </c>
      <c r="AK1198">
        <f>IF($AJ1198=1,SUMPRODUCT(--($AN$2:$AN$4001&lt;$AN1198))+1,"")</f>
        <v/>
      </c>
      <c r="AL1198">
        <f>IF($C1198="","",IF(OR($Q1198=TRUE(),$Q1198="TRUE"),1,0))</f>
        <v/>
      </c>
      <c r="AM1198">
        <f>IF($C1198="","",IF($W1198="Yes",1,0))</f>
        <v/>
      </c>
      <c r="AN1198">
        <f>IF($AJ1198=1,IFERROR(IF(VALUE($C1198)&lt;100000000,VALUE($C1198),1000000000),IFERROR(IF(VALUE(MID($C1198,2,20))&lt;100000000,VALUE(MID($C1198,2,20)),1000000000),1000000000))+ROW()/100000,"")</f>
        <v/>
      </c>
    </row>
    <row r="1199">
      <c r="E1199" s="11" t="n"/>
      <c r="M1199" s="7">
        <f>IF($C1199="","",L1199*U1199/100)</f>
        <v/>
      </c>
      <c r="N1199" s="7" t="n"/>
      <c r="T1199" s="7" t="n"/>
      <c r="U1199" s="7">
        <f>IF($C1199="","",S1199*T1199)</f>
        <v/>
      </c>
      <c r="X1199">
        <f>IF($C1199="","",IF($AM1199=1,0,IF($AL1199=1,Settings!$C$6,Settings!$C$7))*100)</f>
        <v/>
      </c>
      <c r="AB1199" s="7" t="n"/>
      <c r="AE1199" s="11" t="n"/>
      <c r="AG1199" s="7">
        <f>IF($C1199="","",U1199*X1199/100)</f>
        <v/>
      </c>
      <c r="AH1199" s="7">
        <f>IF($C1199="","",U1199-AG1199)</f>
        <v/>
      </c>
      <c r="AI1199" s="7">
        <f>IF($C1199="","",AH1199-M1199)</f>
        <v/>
      </c>
      <c r="AJ1199">
        <f>IF($C1199="","",IF(COUNTIF($C$2:$C1199,$C1199)=1,1,0))</f>
        <v/>
      </c>
      <c r="AK1199">
        <f>IF($AJ1199=1,SUMPRODUCT(--($AN$2:$AN$4001&lt;$AN1199))+1,"")</f>
        <v/>
      </c>
      <c r="AL1199">
        <f>IF($C1199="","",IF(OR($Q1199=TRUE(),$Q1199="TRUE"),1,0))</f>
        <v/>
      </c>
      <c r="AM1199">
        <f>IF($C1199="","",IF($W1199="Yes",1,0))</f>
        <v/>
      </c>
      <c r="AN1199">
        <f>IF($AJ1199=1,IFERROR(IF(VALUE($C1199)&lt;100000000,VALUE($C1199),1000000000),IFERROR(IF(VALUE(MID($C1199,2,20))&lt;100000000,VALUE(MID($C1199,2,20)),1000000000),1000000000))+ROW()/100000,"")</f>
        <v/>
      </c>
    </row>
    <row r="1200">
      <c r="E1200" s="11" t="n"/>
      <c r="M1200" s="7">
        <f>IF($C1200="","",L1200*U1200/100)</f>
        <v/>
      </c>
      <c r="N1200" s="7" t="n"/>
      <c r="T1200" s="7" t="n"/>
      <c r="U1200" s="7">
        <f>IF($C1200="","",S1200*T1200)</f>
        <v/>
      </c>
      <c r="X1200">
        <f>IF($C1200="","",IF($AM1200=1,0,IF($AL1200=1,Settings!$C$6,Settings!$C$7))*100)</f>
        <v/>
      </c>
      <c r="AB1200" s="7" t="n"/>
      <c r="AE1200" s="11" t="n"/>
      <c r="AG1200" s="7">
        <f>IF($C1200="","",U1200*X1200/100)</f>
        <v/>
      </c>
      <c r="AH1200" s="7">
        <f>IF($C1200="","",U1200-AG1200)</f>
        <v/>
      </c>
      <c r="AI1200" s="7">
        <f>IF($C1200="","",AH1200-M1200)</f>
        <v/>
      </c>
      <c r="AJ1200">
        <f>IF($C1200="","",IF(COUNTIF($C$2:$C1200,$C1200)=1,1,0))</f>
        <v/>
      </c>
      <c r="AK1200">
        <f>IF($AJ1200=1,SUMPRODUCT(--($AN$2:$AN$4001&lt;$AN1200))+1,"")</f>
        <v/>
      </c>
      <c r="AL1200">
        <f>IF($C1200="","",IF(OR($Q1200=TRUE(),$Q1200="TRUE"),1,0))</f>
        <v/>
      </c>
      <c r="AM1200">
        <f>IF($C1200="","",IF($W1200="Yes",1,0))</f>
        <v/>
      </c>
      <c r="AN1200">
        <f>IF($AJ1200=1,IFERROR(IF(VALUE($C1200)&lt;100000000,VALUE($C1200),1000000000),IFERROR(IF(VALUE(MID($C1200,2,20))&lt;100000000,VALUE(MID($C1200,2,20)),1000000000),1000000000))+ROW()/100000,"")</f>
        <v/>
      </c>
    </row>
    <row r="1201">
      <c r="E1201" s="11" t="n"/>
      <c r="M1201" s="7">
        <f>IF($C1201="","",L1201*U1201/100)</f>
        <v/>
      </c>
      <c r="N1201" s="7" t="n"/>
      <c r="T1201" s="7" t="n"/>
      <c r="U1201" s="7">
        <f>IF($C1201="","",S1201*T1201)</f>
        <v/>
      </c>
      <c r="X1201">
        <f>IF($C1201="","",IF($AM1201=1,0,IF($AL1201=1,Settings!$C$6,Settings!$C$7))*100)</f>
        <v/>
      </c>
      <c r="AB1201" s="7" t="n"/>
      <c r="AE1201" s="11" t="n"/>
      <c r="AG1201" s="7">
        <f>IF($C1201="","",U1201*X1201/100)</f>
        <v/>
      </c>
      <c r="AH1201" s="7">
        <f>IF($C1201="","",U1201-AG1201)</f>
        <v/>
      </c>
      <c r="AI1201" s="7">
        <f>IF($C1201="","",AH1201-M1201)</f>
        <v/>
      </c>
      <c r="AJ1201">
        <f>IF($C1201="","",IF(COUNTIF($C$2:$C1201,$C1201)=1,1,0))</f>
        <v/>
      </c>
      <c r="AK1201">
        <f>IF($AJ1201=1,SUMPRODUCT(--($AN$2:$AN$4001&lt;$AN1201))+1,"")</f>
        <v/>
      </c>
      <c r="AL1201">
        <f>IF($C1201="","",IF(OR($Q1201=TRUE(),$Q1201="TRUE"),1,0))</f>
        <v/>
      </c>
      <c r="AM1201">
        <f>IF($C1201="","",IF($W1201="Yes",1,0))</f>
        <v/>
      </c>
      <c r="AN1201">
        <f>IF($AJ1201=1,IFERROR(IF(VALUE($C1201)&lt;100000000,VALUE($C1201),1000000000),IFERROR(IF(VALUE(MID($C1201,2,20))&lt;100000000,VALUE(MID($C1201,2,20)),1000000000),1000000000))+ROW()/100000,"")</f>
        <v/>
      </c>
    </row>
    <row r="1202">
      <c r="E1202" s="11" t="n"/>
      <c r="M1202" s="7">
        <f>IF($C1202="","",L1202*U1202/100)</f>
        <v/>
      </c>
      <c r="N1202" s="7" t="n"/>
      <c r="T1202" s="7" t="n"/>
      <c r="U1202" s="7">
        <f>IF($C1202="","",S1202*T1202)</f>
        <v/>
      </c>
      <c r="X1202">
        <f>IF($C1202="","",IF($AM1202=1,0,IF($AL1202=1,Settings!$C$6,Settings!$C$7))*100)</f>
        <v/>
      </c>
      <c r="AB1202" s="7" t="n"/>
      <c r="AE1202" s="11" t="n"/>
      <c r="AG1202" s="7">
        <f>IF($C1202="","",U1202*X1202/100)</f>
        <v/>
      </c>
      <c r="AH1202" s="7">
        <f>IF($C1202="","",U1202-AG1202)</f>
        <v/>
      </c>
      <c r="AI1202" s="7">
        <f>IF($C1202="","",AH1202-M1202)</f>
        <v/>
      </c>
      <c r="AJ1202">
        <f>IF($C1202="","",IF(COUNTIF($C$2:$C1202,$C1202)=1,1,0))</f>
        <v/>
      </c>
      <c r="AK1202">
        <f>IF($AJ1202=1,SUMPRODUCT(--($AN$2:$AN$4001&lt;$AN1202))+1,"")</f>
        <v/>
      </c>
      <c r="AL1202">
        <f>IF($C1202="","",IF(OR($Q1202=TRUE(),$Q1202="TRUE"),1,0))</f>
        <v/>
      </c>
      <c r="AM1202">
        <f>IF($C1202="","",IF($W1202="Yes",1,0))</f>
        <v/>
      </c>
      <c r="AN1202">
        <f>IF($AJ1202=1,IFERROR(IF(VALUE($C1202)&lt;100000000,VALUE($C1202),1000000000),IFERROR(IF(VALUE(MID($C1202,2,20))&lt;100000000,VALUE(MID($C1202,2,20)),1000000000),1000000000))+ROW()/100000,"")</f>
        <v/>
      </c>
    </row>
    <row r="1203">
      <c r="E1203" s="11" t="n"/>
      <c r="M1203" s="7">
        <f>IF($C1203="","",L1203*U1203/100)</f>
        <v/>
      </c>
      <c r="N1203" s="7" t="n"/>
      <c r="T1203" s="7" t="n"/>
      <c r="U1203" s="7">
        <f>IF($C1203="","",S1203*T1203)</f>
        <v/>
      </c>
      <c r="X1203">
        <f>IF($C1203="","",IF($AM1203=1,0,IF($AL1203=1,Settings!$C$6,Settings!$C$7))*100)</f>
        <v/>
      </c>
      <c r="AB1203" s="7" t="n"/>
      <c r="AE1203" s="11" t="n"/>
      <c r="AG1203" s="7">
        <f>IF($C1203="","",U1203*X1203/100)</f>
        <v/>
      </c>
      <c r="AH1203" s="7">
        <f>IF($C1203="","",U1203-AG1203)</f>
        <v/>
      </c>
      <c r="AI1203" s="7">
        <f>IF($C1203="","",AH1203-M1203)</f>
        <v/>
      </c>
      <c r="AJ1203">
        <f>IF($C1203="","",IF(COUNTIF($C$2:$C1203,$C1203)=1,1,0))</f>
        <v/>
      </c>
      <c r="AK1203">
        <f>IF($AJ1203=1,SUMPRODUCT(--($AN$2:$AN$4001&lt;$AN1203))+1,"")</f>
        <v/>
      </c>
      <c r="AL1203">
        <f>IF($C1203="","",IF(OR($Q1203=TRUE(),$Q1203="TRUE"),1,0))</f>
        <v/>
      </c>
      <c r="AM1203">
        <f>IF($C1203="","",IF($W1203="Yes",1,0))</f>
        <v/>
      </c>
      <c r="AN1203">
        <f>IF($AJ1203=1,IFERROR(IF(VALUE($C1203)&lt;100000000,VALUE($C1203),1000000000),IFERROR(IF(VALUE(MID($C1203,2,20))&lt;100000000,VALUE(MID($C1203,2,20)),1000000000),1000000000))+ROW()/100000,"")</f>
        <v/>
      </c>
    </row>
    <row r="1204">
      <c r="E1204" s="11" t="n"/>
      <c r="M1204" s="7">
        <f>IF($C1204="","",L1204*U1204/100)</f>
        <v/>
      </c>
      <c r="N1204" s="7" t="n"/>
      <c r="T1204" s="7" t="n"/>
      <c r="U1204" s="7">
        <f>IF($C1204="","",S1204*T1204)</f>
        <v/>
      </c>
      <c r="X1204">
        <f>IF($C1204="","",IF($AM1204=1,0,IF($AL1204=1,Settings!$C$6,Settings!$C$7))*100)</f>
        <v/>
      </c>
      <c r="AB1204" s="7" t="n"/>
      <c r="AE1204" s="11" t="n"/>
      <c r="AG1204" s="7">
        <f>IF($C1204="","",U1204*X1204/100)</f>
        <v/>
      </c>
      <c r="AH1204" s="7">
        <f>IF($C1204="","",U1204-AG1204)</f>
        <v/>
      </c>
      <c r="AI1204" s="7">
        <f>IF($C1204="","",AH1204-M1204)</f>
        <v/>
      </c>
      <c r="AJ1204">
        <f>IF($C1204="","",IF(COUNTIF($C$2:$C1204,$C1204)=1,1,0))</f>
        <v/>
      </c>
      <c r="AK1204">
        <f>IF($AJ1204=1,SUMPRODUCT(--($AN$2:$AN$4001&lt;$AN1204))+1,"")</f>
        <v/>
      </c>
      <c r="AL1204">
        <f>IF($C1204="","",IF(OR($Q1204=TRUE(),$Q1204="TRUE"),1,0))</f>
        <v/>
      </c>
      <c r="AM1204">
        <f>IF($C1204="","",IF($W1204="Yes",1,0))</f>
        <v/>
      </c>
      <c r="AN1204">
        <f>IF($AJ1204=1,IFERROR(IF(VALUE($C1204)&lt;100000000,VALUE($C1204),1000000000),IFERROR(IF(VALUE(MID($C1204,2,20))&lt;100000000,VALUE(MID($C1204,2,20)),1000000000),1000000000))+ROW()/100000,"")</f>
        <v/>
      </c>
    </row>
    <row r="1205">
      <c r="E1205" s="11" t="n"/>
      <c r="M1205" s="7">
        <f>IF($C1205="","",L1205*U1205/100)</f>
        <v/>
      </c>
      <c r="N1205" s="7" t="n"/>
      <c r="T1205" s="7" t="n"/>
      <c r="U1205" s="7">
        <f>IF($C1205="","",S1205*T1205)</f>
        <v/>
      </c>
      <c r="X1205">
        <f>IF($C1205="","",IF($AM1205=1,0,IF($AL1205=1,Settings!$C$6,Settings!$C$7))*100)</f>
        <v/>
      </c>
      <c r="AB1205" s="7" t="n"/>
      <c r="AE1205" s="11" t="n"/>
      <c r="AG1205" s="7">
        <f>IF($C1205="","",U1205*X1205/100)</f>
        <v/>
      </c>
      <c r="AH1205" s="7">
        <f>IF($C1205="","",U1205-AG1205)</f>
        <v/>
      </c>
      <c r="AI1205" s="7">
        <f>IF($C1205="","",AH1205-M1205)</f>
        <v/>
      </c>
      <c r="AJ1205">
        <f>IF($C1205="","",IF(COUNTIF($C$2:$C1205,$C1205)=1,1,0))</f>
        <v/>
      </c>
      <c r="AK1205">
        <f>IF($AJ1205=1,SUMPRODUCT(--($AN$2:$AN$4001&lt;$AN1205))+1,"")</f>
        <v/>
      </c>
      <c r="AL1205">
        <f>IF($C1205="","",IF(OR($Q1205=TRUE(),$Q1205="TRUE"),1,0))</f>
        <v/>
      </c>
      <c r="AM1205">
        <f>IF($C1205="","",IF($W1205="Yes",1,0))</f>
        <v/>
      </c>
      <c r="AN1205">
        <f>IF($AJ1205=1,IFERROR(IF(VALUE($C1205)&lt;100000000,VALUE($C1205),1000000000),IFERROR(IF(VALUE(MID($C1205,2,20))&lt;100000000,VALUE(MID($C1205,2,20)),1000000000),1000000000))+ROW()/100000,"")</f>
        <v/>
      </c>
    </row>
    <row r="1206">
      <c r="E1206" s="11" t="n"/>
      <c r="M1206" s="7">
        <f>IF($C1206="","",L1206*U1206/100)</f>
        <v/>
      </c>
      <c r="N1206" s="7" t="n"/>
      <c r="T1206" s="7" t="n"/>
      <c r="U1206" s="7">
        <f>IF($C1206="","",S1206*T1206)</f>
        <v/>
      </c>
      <c r="X1206">
        <f>IF($C1206="","",IF($AM1206=1,0,IF($AL1206=1,Settings!$C$6,Settings!$C$7))*100)</f>
        <v/>
      </c>
      <c r="AB1206" s="7" t="n"/>
      <c r="AE1206" s="11" t="n"/>
      <c r="AG1206" s="7">
        <f>IF($C1206="","",U1206*X1206/100)</f>
        <v/>
      </c>
      <c r="AH1206" s="7">
        <f>IF($C1206="","",U1206-AG1206)</f>
        <v/>
      </c>
      <c r="AI1206" s="7">
        <f>IF($C1206="","",AH1206-M1206)</f>
        <v/>
      </c>
      <c r="AJ1206">
        <f>IF($C1206="","",IF(COUNTIF($C$2:$C1206,$C1206)=1,1,0))</f>
        <v/>
      </c>
      <c r="AK1206">
        <f>IF($AJ1206=1,SUMPRODUCT(--($AN$2:$AN$4001&lt;$AN1206))+1,"")</f>
        <v/>
      </c>
      <c r="AL1206">
        <f>IF($C1206="","",IF(OR($Q1206=TRUE(),$Q1206="TRUE"),1,0))</f>
        <v/>
      </c>
      <c r="AM1206">
        <f>IF($C1206="","",IF($W1206="Yes",1,0))</f>
        <v/>
      </c>
      <c r="AN1206">
        <f>IF($AJ1206=1,IFERROR(IF(VALUE($C1206)&lt;100000000,VALUE($C1206),1000000000),IFERROR(IF(VALUE(MID($C1206,2,20))&lt;100000000,VALUE(MID($C1206,2,20)),1000000000),1000000000))+ROW()/100000,"")</f>
        <v/>
      </c>
    </row>
    <row r="1207">
      <c r="E1207" s="11" t="n"/>
      <c r="M1207" s="7">
        <f>IF($C1207="","",L1207*U1207/100)</f>
        <v/>
      </c>
      <c r="N1207" s="7" t="n"/>
      <c r="T1207" s="7" t="n"/>
      <c r="U1207" s="7">
        <f>IF($C1207="","",S1207*T1207)</f>
        <v/>
      </c>
      <c r="X1207">
        <f>IF($C1207="","",IF($AM1207=1,0,IF($AL1207=1,Settings!$C$6,Settings!$C$7))*100)</f>
        <v/>
      </c>
      <c r="AB1207" s="7" t="n"/>
      <c r="AE1207" s="11" t="n"/>
      <c r="AG1207" s="7">
        <f>IF($C1207="","",U1207*X1207/100)</f>
        <v/>
      </c>
      <c r="AH1207" s="7">
        <f>IF($C1207="","",U1207-AG1207)</f>
        <v/>
      </c>
      <c r="AI1207" s="7">
        <f>IF($C1207="","",AH1207-M1207)</f>
        <v/>
      </c>
      <c r="AJ1207">
        <f>IF($C1207="","",IF(COUNTIF($C$2:$C1207,$C1207)=1,1,0))</f>
        <v/>
      </c>
      <c r="AK1207">
        <f>IF($AJ1207=1,SUMPRODUCT(--($AN$2:$AN$4001&lt;$AN1207))+1,"")</f>
        <v/>
      </c>
      <c r="AL1207">
        <f>IF($C1207="","",IF(OR($Q1207=TRUE(),$Q1207="TRUE"),1,0))</f>
        <v/>
      </c>
      <c r="AM1207">
        <f>IF($C1207="","",IF($W1207="Yes",1,0))</f>
        <v/>
      </c>
      <c r="AN1207">
        <f>IF($AJ1207=1,IFERROR(IF(VALUE($C1207)&lt;100000000,VALUE($C1207),1000000000),IFERROR(IF(VALUE(MID($C1207,2,20))&lt;100000000,VALUE(MID($C1207,2,20)),1000000000),1000000000))+ROW()/100000,"")</f>
        <v/>
      </c>
    </row>
    <row r="1208">
      <c r="E1208" s="11" t="n"/>
      <c r="M1208" s="7">
        <f>IF($C1208="","",L1208*U1208/100)</f>
        <v/>
      </c>
      <c r="N1208" s="7" t="n"/>
      <c r="T1208" s="7" t="n"/>
      <c r="U1208" s="7">
        <f>IF($C1208="","",S1208*T1208)</f>
        <v/>
      </c>
      <c r="X1208">
        <f>IF($C1208="","",IF($AM1208=1,0,IF($AL1208=1,Settings!$C$6,Settings!$C$7))*100)</f>
        <v/>
      </c>
      <c r="AB1208" s="7" t="n"/>
      <c r="AE1208" s="11" t="n"/>
      <c r="AG1208" s="7">
        <f>IF($C1208="","",U1208*X1208/100)</f>
        <v/>
      </c>
      <c r="AH1208" s="7">
        <f>IF($C1208="","",U1208-AG1208)</f>
        <v/>
      </c>
      <c r="AI1208" s="7">
        <f>IF($C1208="","",AH1208-M1208)</f>
        <v/>
      </c>
      <c r="AJ1208">
        <f>IF($C1208="","",IF(COUNTIF($C$2:$C1208,$C1208)=1,1,0))</f>
        <v/>
      </c>
      <c r="AK1208">
        <f>IF($AJ1208=1,SUMPRODUCT(--($AN$2:$AN$4001&lt;$AN1208))+1,"")</f>
        <v/>
      </c>
      <c r="AL1208">
        <f>IF($C1208="","",IF(OR($Q1208=TRUE(),$Q1208="TRUE"),1,0))</f>
        <v/>
      </c>
      <c r="AM1208">
        <f>IF($C1208="","",IF($W1208="Yes",1,0))</f>
        <v/>
      </c>
      <c r="AN1208">
        <f>IF($AJ1208=1,IFERROR(IF(VALUE($C1208)&lt;100000000,VALUE($C1208),1000000000),IFERROR(IF(VALUE(MID($C1208,2,20))&lt;100000000,VALUE(MID($C1208,2,20)),1000000000),1000000000))+ROW()/100000,"")</f>
        <v/>
      </c>
    </row>
    <row r="1209">
      <c r="E1209" s="11" t="n"/>
      <c r="M1209" s="7">
        <f>IF($C1209="","",L1209*U1209/100)</f>
        <v/>
      </c>
      <c r="N1209" s="7" t="n"/>
      <c r="T1209" s="7" t="n"/>
      <c r="U1209" s="7">
        <f>IF($C1209="","",S1209*T1209)</f>
        <v/>
      </c>
      <c r="X1209">
        <f>IF($C1209="","",IF($AM1209=1,0,IF($AL1209=1,Settings!$C$6,Settings!$C$7))*100)</f>
        <v/>
      </c>
      <c r="AB1209" s="7" t="n"/>
      <c r="AE1209" s="11" t="n"/>
      <c r="AG1209" s="7">
        <f>IF($C1209="","",U1209*X1209/100)</f>
        <v/>
      </c>
      <c r="AH1209" s="7">
        <f>IF($C1209="","",U1209-AG1209)</f>
        <v/>
      </c>
      <c r="AI1209" s="7">
        <f>IF($C1209="","",AH1209-M1209)</f>
        <v/>
      </c>
      <c r="AJ1209">
        <f>IF($C1209="","",IF(COUNTIF($C$2:$C1209,$C1209)=1,1,0))</f>
        <v/>
      </c>
      <c r="AK1209">
        <f>IF($AJ1209=1,SUMPRODUCT(--($AN$2:$AN$4001&lt;$AN1209))+1,"")</f>
        <v/>
      </c>
      <c r="AL1209">
        <f>IF($C1209="","",IF(OR($Q1209=TRUE(),$Q1209="TRUE"),1,0))</f>
        <v/>
      </c>
      <c r="AM1209">
        <f>IF($C1209="","",IF($W1209="Yes",1,0))</f>
        <v/>
      </c>
      <c r="AN1209">
        <f>IF($AJ1209=1,IFERROR(IF(VALUE($C1209)&lt;100000000,VALUE($C1209),1000000000),IFERROR(IF(VALUE(MID($C1209,2,20))&lt;100000000,VALUE(MID($C1209,2,20)),1000000000),1000000000))+ROW()/100000,"")</f>
        <v/>
      </c>
    </row>
    <row r="1210">
      <c r="E1210" s="11" t="n"/>
      <c r="M1210" s="7">
        <f>IF($C1210="","",L1210*U1210/100)</f>
        <v/>
      </c>
      <c r="N1210" s="7" t="n"/>
      <c r="T1210" s="7" t="n"/>
      <c r="U1210" s="7">
        <f>IF($C1210="","",S1210*T1210)</f>
        <v/>
      </c>
      <c r="X1210">
        <f>IF($C1210="","",IF($AM1210=1,0,IF($AL1210=1,Settings!$C$6,Settings!$C$7))*100)</f>
        <v/>
      </c>
      <c r="AB1210" s="7" t="n"/>
      <c r="AE1210" s="11" t="n"/>
      <c r="AG1210" s="7">
        <f>IF($C1210="","",U1210*X1210/100)</f>
        <v/>
      </c>
      <c r="AH1210" s="7">
        <f>IF($C1210="","",U1210-AG1210)</f>
        <v/>
      </c>
      <c r="AI1210" s="7">
        <f>IF($C1210="","",AH1210-M1210)</f>
        <v/>
      </c>
      <c r="AJ1210">
        <f>IF($C1210="","",IF(COUNTIF($C$2:$C1210,$C1210)=1,1,0))</f>
        <v/>
      </c>
      <c r="AK1210">
        <f>IF($AJ1210=1,SUMPRODUCT(--($AN$2:$AN$4001&lt;$AN1210))+1,"")</f>
        <v/>
      </c>
      <c r="AL1210">
        <f>IF($C1210="","",IF(OR($Q1210=TRUE(),$Q1210="TRUE"),1,0))</f>
        <v/>
      </c>
      <c r="AM1210">
        <f>IF($C1210="","",IF($W1210="Yes",1,0))</f>
        <v/>
      </c>
      <c r="AN1210">
        <f>IF($AJ1210=1,IFERROR(IF(VALUE($C1210)&lt;100000000,VALUE($C1210),1000000000),IFERROR(IF(VALUE(MID($C1210,2,20))&lt;100000000,VALUE(MID($C1210,2,20)),1000000000),1000000000))+ROW()/100000,"")</f>
        <v/>
      </c>
    </row>
    <row r="1211">
      <c r="E1211" s="11" t="n"/>
      <c r="M1211" s="7">
        <f>IF($C1211="","",L1211*U1211/100)</f>
        <v/>
      </c>
      <c r="N1211" s="7" t="n"/>
      <c r="T1211" s="7" t="n"/>
      <c r="U1211" s="7">
        <f>IF($C1211="","",S1211*T1211)</f>
        <v/>
      </c>
      <c r="X1211">
        <f>IF($C1211="","",IF($AM1211=1,0,IF($AL1211=1,Settings!$C$6,Settings!$C$7))*100)</f>
        <v/>
      </c>
      <c r="AB1211" s="7" t="n"/>
      <c r="AE1211" s="11" t="n"/>
      <c r="AG1211" s="7">
        <f>IF($C1211="","",U1211*X1211/100)</f>
        <v/>
      </c>
      <c r="AH1211" s="7">
        <f>IF($C1211="","",U1211-AG1211)</f>
        <v/>
      </c>
      <c r="AI1211" s="7">
        <f>IF($C1211="","",AH1211-M1211)</f>
        <v/>
      </c>
      <c r="AJ1211">
        <f>IF($C1211="","",IF(COUNTIF($C$2:$C1211,$C1211)=1,1,0))</f>
        <v/>
      </c>
      <c r="AK1211">
        <f>IF($AJ1211=1,SUMPRODUCT(--($AN$2:$AN$4001&lt;$AN1211))+1,"")</f>
        <v/>
      </c>
      <c r="AL1211">
        <f>IF($C1211="","",IF(OR($Q1211=TRUE(),$Q1211="TRUE"),1,0))</f>
        <v/>
      </c>
      <c r="AM1211">
        <f>IF($C1211="","",IF($W1211="Yes",1,0))</f>
        <v/>
      </c>
      <c r="AN1211">
        <f>IF($AJ1211=1,IFERROR(IF(VALUE($C1211)&lt;100000000,VALUE($C1211),1000000000),IFERROR(IF(VALUE(MID($C1211,2,20))&lt;100000000,VALUE(MID($C1211,2,20)),1000000000),1000000000))+ROW()/100000,"")</f>
        <v/>
      </c>
    </row>
    <row r="1212">
      <c r="E1212" s="11" t="n"/>
      <c r="M1212" s="7">
        <f>IF($C1212="","",L1212*U1212/100)</f>
        <v/>
      </c>
      <c r="N1212" s="7" t="n"/>
      <c r="T1212" s="7" t="n"/>
      <c r="U1212" s="7">
        <f>IF($C1212="","",S1212*T1212)</f>
        <v/>
      </c>
      <c r="X1212">
        <f>IF($C1212="","",IF($AM1212=1,0,IF($AL1212=1,Settings!$C$6,Settings!$C$7))*100)</f>
        <v/>
      </c>
      <c r="AB1212" s="7" t="n"/>
      <c r="AE1212" s="11" t="n"/>
      <c r="AG1212" s="7">
        <f>IF($C1212="","",U1212*X1212/100)</f>
        <v/>
      </c>
      <c r="AH1212" s="7">
        <f>IF($C1212="","",U1212-AG1212)</f>
        <v/>
      </c>
      <c r="AI1212" s="7">
        <f>IF($C1212="","",AH1212-M1212)</f>
        <v/>
      </c>
      <c r="AJ1212">
        <f>IF($C1212="","",IF(COUNTIF($C$2:$C1212,$C1212)=1,1,0))</f>
        <v/>
      </c>
      <c r="AK1212">
        <f>IF($AJ1212=1,SUMPRODUCT(--($AN$2:$AN$4001&lt;$AN1212))+1,"")</f>
        <v/>
      </c>
      <c r="AL1212">
        <f>IF($C1212="","",IF(OR($Q1212=TRUE(),$Q1212="TRUE"),1,0))</f>
        <v/>
      </c>
      <c r="AM1212">
        <f>IF($C1212="","",IF($W1212="Yes",1,0))</f>
        <v/>
      </c>
      <c r="AN1212">
        <f>IF($AJ1212=1,IFERROR(IF(VALUE($C1212)&lt;100000000,VALUE($C1212),1000000000),IFERROR(IF(VALUE(MID($C1212,2,20))&lt;100000000,VALUE(MID($C1212,2,20)),1000000000),1000000000))+ROW()/100000,"")</f>
        <v/>
      </c>
    </row>
    <row r="1213">
      <c r="E1213" s="11" t="n"/>
      <c r="M1213" s="7">
        <f>IF($C1213="","",L1213*U1213/100)</f>
        <v/>
      </c>
      <c r="N1213" s="7" t="n"/>
      <c r="T1213" s="7" t="n"/>
      <c r="U1213" s="7">
        <f>IF($C1213="","",S1213*T1213)</f>
        <v/>
      </c>
      <c r="X1213">
        <f>IF($C1213="","",IF($AM1213=1,0,IF($AL1213=1,Settings!$C$6,Settings!$C$7))*100)</f>
        <v/>
      </c>
      <c r="AB1213" s="7" t="n"/>
      <c r="AE1213" s="11" t="n"/>
      <c r="AG1213" s="7">
        <f>IF($C1213="","",U1213*X1213/100)</f>
        <v/>
      </c>
      <c r="AH1213" s="7">
        <f>IF($C1213="","",U1213-AG1213)</f>
        <v/>
      </c>
      <c r="AI1213" s="7">
        <f>IF($C1213="","",AH1213-M1213)</f>
        <v/>
      </c>
      <c r="AJ1213">
        <f>IF($C1213="","",IF(COUNTIF($C$2:$C1213,$C1213)=1,1,0))</f>
        <v/>
      </c>
      <c r="AK1213">
        <f>IF($AJ1213=1,SUMPRODUCT(--($AN$2:$AN$4001&lt;$AN1213))+1,"")</f>
        <v/>
      </c>
      <c r="AL1213">
        <f>IF($C1213="","",IF(OR($Q1213=TRUE(),$Q1213="TRUE"),1,0))</f>
        <v/>
      </c>
      <c r="AM1213">
        <f>IF($C1213="","",IF($W1213="Yes",1,0))</f>
        <v/>
      </c>
      <c r="AN1213">
        <f>IF($AJ1213=1,IFERROR(IF(VALUE($C1213)&lt;100000000,VALUE($C1213),1000000000),IFERROR(IF(VALUE(MID($C1213,2,20))&lt;100000000,VALUE(MID($C1213,2,20)),1000000000),1000000000))+ROW()/100000,"")</f>
        <v/>
      </c>
    </row>
    <row r="1214">
      <c r="E1214" s="11" t="n"/>
      <c r="M1214" s="7">
        <f>IF($C1214="","",L1214*U1214/100)</f>
        <v/>
      </c>
      <c r="N1214" s="7" t="n"/>
      <c r="T1214" s="7" t="n"/>
      <c r="U1214" s="7">
        <f>IF($C1214="","",S1214*T1214)</f>
        <v/>
      </c>
      <c r="X1214">
        <f>IF($C1214="","",IF($AM1214=1,0,IF($AL1214=1,Settings!$C$6,Settings!$C$7))*100)</f>
        <v/>
      </c>
      <c r="AB1214" s="7" t="n"/>
      <c r="AE1214" s="11" t="n"/>
      <c r="AG1214" s="7">
        <f>IF($C1214="","",U1214*X1214/100)</f>
        <v/>
      </c>
      <c r="AH1214" s="7">
        <f>IF($C1214="","",U1214-AG1214)</f>
        <v/>
      </c>
      <c r="AI1214" s="7">
        <f>IF($C1214="","",AH1214-M1214)</f>
        <v/>
      </c>
      <c r="AJ1214">
        <f>IF($C1214="","",IF(COUNTIF($C$2:$C1214,$C1214)=1,1,0))</f>
        <v/>
      </c>
      <c r="AK1214">
        <f>IF($AJ1214=1,SUMPRODUCT(--($AN$2:$AN$4001&lt;$AN1214))+1,"")</f>
        <v/>
      </c>
      <c r="AL1214">
        <f>IF($C1214="","",IF(OR($Q1214=TRUE(),$Q1214="TRUE"),1,0))</f>
        <v/>
      </c>
      <c r="AM1214">
        <f>IF($C1214="","",IF($W1214="Yes",1,0))</f>
        <v/>
      </c>
      <c r="AN1214">
        <f>IF($AJ1214=1,IFERROR(IF(VALUE($C1214)&lt;100000000,VALUE($C1214),1000000000),IFERROR(IF(VALUE(MID($C1214,2,20))&lt;100000000,VALUE(MID($C1214,2,20)),1000000000),1000000000))+ROW()/100000,"")</f>
        <v/>
      </c>
    </row>
    <row r="1215">
      <c r="E1215" s="11" t="n"/>
      <c r="M1215" s="7">
        <f>IF($C1215="","",L1215*U1215/100)</f>
        <v/>
      </c>
      <c r="N1215" s="7" t="n"/>
      <c r="T1215" s="7" t="n"/>
      <c r="U1215" s="7">
        <f>IF($C1215="","",S1215*T1215)</f>
        <v/>
      </c>
      <c r="X1215">
        <f>IF($C1215="","",IF($AM1215=1,0,IF($AL1215=1,Settings!$C$6,Settings!$C$7))*100)</f>
        <v/>
      </c>
      <c r="AB1215" s="7" t="n"/>
      <c r="AE1215" s="11" t="n"/>
      <c r="AG1215" s="7">
        <f>IF($C1215="","",U1215*X1215/100)</f>
        <v/>
      </c>
      <c r="AH1215" s="7">
        <f>IF($C1215="","",U1215-AG1215)</f>
        <v/>
      </c>
      <c r="AI1215" s="7">
        <f>IF($C1215="","",AH1215-M1215)</f>
        <v/>
      </c>
      <c r="AJ1215">
        <f>IF($C1215="","",IF(COUNTIF($C$2:$C1215,$C1215)=1,1,0))</f>
        <v/>
      </c>
      <c r="AK1215">
        <f>IF($AJ1215=1,SUMPRODUCT(--($AN$2:$AN$4001&lt;$AN1215))+1,"")</f>
        <v/>
      </c>
      <c r="AL1215">
        <f>IF($C1215="","",IF(OR($Q1215=TRUE(),$Q1215="TRUE"),1,0))</f>
        <v/>
      </c>
      <c r="AM1215">
        <f>IF($C1215="","",IF($W1215="Yes",1,0))</f>
        <v/>
      </c>
      <c r="AN1215">
        <f>IF($AJ1215=1,IFERROR(IF(VALUE($C1215)&lt;100000000,VALUE($C1215),1000000000),IFERROR(IF(VALUE(MID($C1215,2,20))&lt;100000000,VALUE(MID($C1215,2,20)),1000000000),1000000000))+ROW()/100000,"")</f>
        <v/>
      </c>
    </row>
    <row r="1216">
      <c r="E1216" s="11" t="n"/>
      <c r="M1216" s="7">
        <f>IF($C1216="","",L1216*U1216/100)</f>
        <v/>
      </c>
      <c r="N1216" s="7" t="n"/>
      <c r="T1216" s="7" t="n"/>
      <c r="U1216" s="7">
        <f>IF($C1216="","",S1216*T1216)</f>
        <v/>
      </c>
      <c r="X1216">
        <f>IF($C1216="","",IF($AM1216=1,0,IF($AL1216=1,Settings!$C$6,Settings!$C$7))*100)</f>
        <v/>
      </c>
      <c r="AB1216" s="7" t="n"/>
      <c r="AE1216" s="11" t="n"/>
      <c r="AG1216" s="7">
        <f>IF($C1216="","",U1216*X1216/100)</f>
        <v/>
      </c>
      <c r="AH1216" s="7">
        <f>IF($C1216="","",U1216-AG1216)</f>
        <v/>
      </c>
      <c r="AI1216" s="7">
        <f>IF($C1216="","",AH1216-M1216)</f>
        <v/>
      </c>
      <c r="AJ1216">
        <f>IF($C1216="","",IF(COUNTIF($C$2:$C1216,$C1216)=1,1,0))</f>
        <v/>
      </c>
      <c r="AK1216">
        <f>IF($AJ1216=1,SUMPRODUCT(--($AN$2:$AN$4001&lt;$AN1216))+1,"")</f>
        <v/>
      </c>
      <c r="AL1216">
        <f>IF($C1216="","",IF(OR($Q1216=TRUE(),$Q1216="TRUE"),1,0))</f>
        <v/>
      </c>
      <c r="AM1216">
        <f>IF($C1216="","",IF($W1216="Yes",1,0))</f>
        <v/>
      </c>
      <c r="AN1216">
        <f>IF($AJ1216=1,IFERROR(IF(VALUE($C1216)&lt;100000000,VALUE($C1216),1000000000),IFERROR(IF(VALUE(MID($C1216,2,20))&lt;100000000,VALUE(MID($C1216,2,20)),1000000000),1000000000))+ROW()/100000,"")</f>
        <v/>
      </c>
    </row>
    <row r="1217">
      <c r="E1217" s="11" t="n"/>
      <c r="M1217" s="7">
        <f>IF($C1217="","",L1217*U1217/100)</f>
        <v/>
      </c>
      <c r="N1217" s="7" t="n"/>
      <c r="T1217" s="7" t="n"/>
      <c r="U1217" s="7">
        <f>IF($C1217="","",S1217*T1217)</f>
        <v/>
      </c>
      <c r="X1217">
        <f>IF($C1217="","",IF($AM1217=1,0,IF($AL1217=1,Settings!$C$6,Settings!$C$7))*100)</f>
        <v/>
      </c>
      <c r="AB1217" s="7" t="n"/>
      <c r="AE1217" s="11" t="n"/>
      <c r="AG1217" s="7">
        <f>IF($C1217="","",U1217*X1217/100)</f>
        <v/>
      </c>
      <c r="AH1217" s="7">
        <f>IF($C1217="","",U1217-AG1217)</f>
        <v/>
      </c>
      <c r="AI1217" s="7">
        <f>IF($C1217="","",AH1217-M1217)</f>
        <v/>
      </c>
      <c r="AJ1217">
        <f>IF($C1217="","",IF(COUNTIF($C$2:$C1217,$C1217)=1,1,0))</f>
        <v/>
      </c>
      <c r="AK1217">
        <f>IF($AJ1217=1,SUMPRODUCT(--($AN$2:$AN$4001&lt;$AN1217))+1,"")</f>
        <v/>
      </c>
      <c r="AL1217">
        <f>IF($C1217="","",IF(OR($Q1217=TRUE(),$Q1217="TRUE"),1,0))</f>
        <v/>
      </c>
      <c r="AM1217">
        <f>IF($C1217="","",IF($W1217="Yes",1,0))</f>
        <v/>
      </c>
      <c r="AN1217">
        <f>IF($AJ1217=1,IFERROR(IF(VALUE($C1217)&lt;100000000,VALUE($C1217),1000000000),IFERROR(IF(VALUE(MID($C1217,2,20))&lt;100000000,VALUE(MID($C1217,2,20)),1000000000),1000000000))+ROW()/100000,"")</f>
        <v/>
      </c>
    </row>
    <row r="1218">
      <c r="E1218" s="11" t="n"/>
      <c r="M1218" s="7">
        <f>IF($C1218="","",L1218*U1218/100)</f>
        <v/>
      </c>
      <c r="N1218" s="7" t="n"/>
      <c r="T1218" s="7" t="n"/>
      <c r="U1218" s="7">
        <f>IF($C1218="","",S1218*T1218)</f>
        <v/>
      </c>
      <c r="X1218">
        <f>IF($C1218="","",IF($AM1218=1,0,IF($AL1218=1,Settings!$C$6,Settings!$C$7))*100)</f>
        <v/>
      </c>
      <c r="AB1218" s="7" t="n"/>
      <c r="AE1218" s="11" t="n"/>
      <c r="AG1218" s="7">
        <f>IF($C1218="","",U1218*X1218/100)</f>
        <v/>
      </c>
      <c r="AH1218" s="7">
        <f>IF($C1218="","",U1218-AG1218)</f>
        <v/>
      </c>
      <c r="AI1218" s="7">
        <f>IF($C1218="","",AH1218-M1218)</f>
        <v/>
      </c>
      <c r="AJ1218">
        <f>IF($C1218="","",IF(COUNTIF($C$2:$C1218,$C1218)=1,1,0))</f>
        <v/>
      </c>
      <c r="AK1218">
        <f>IF($AJ1218=1,SUMPRODUCT(--($AN$2:$AN$4001&lt;$AN1218))+1,"")</f>
        <v/>
      </c>
      <c r="AL1218">
        <f>IF($C1218="","",IF(OR($Q1218=TRUE(),$Q1218="TRUE"),1,0))</f>
        <v/>
      </c>
      <c r="AM1218">
        <f>IF($C1218="","",IF($W1218="Yes",1,0))</f>
        <v/>
      </c>
      <c r="AN1218">
        <f>IF($AJ1218=1,IFERROR(IF(VALUE($C1218)&lt;100000000,VALUE($C1218),1000000000),IFERROR(IF(VALUE(MID($C1218,2,20))&lt;100000000,VALUE(MID($C1218,2,20)),1000000000),1000000000))+ROW()/100000,"")</f>
        <v/>
      </c>
    </row>
    <row r="1219">
      <c r="E1219" s="11" t="n"/>
      <c r="M1219" s="7">
        <f>IF($C1219="","",L1219*U1219/100)</f>
        <v/>
      </c>
      <c r="N1219" s="7" t="n"/>
      <c r="T1219" s="7" t="n"/>
      <c r="U1219" s="7">
        <f>IF($C1219="","",S1219*T1219)</f>
        <v/>
      </c>
      <c r="X1219">
        <f>IF($C1219="","",IF($AM1219=1,0,IF($AL1219=1,Settings!$C$6,Settings!$C$7))*100)</f>
        <v/>
      </c>
      <c r="AB1219" s="7" t="n"/>
      <c r="AE1219" s="11" t="n"/>
      <c r="AG1219" s="7">
        <f>IF($C1219="","",U1219*X1219/100)</f>
        <v/>
      </c>
      <c r="AH1219" s="7">
        <f>IF($C1219="","",U1219-AG1219)</f>
        <v/>
      </c>
      <c r="AI1219" s="7">
        <f>IF($C1219="","",AH1219-M1219)</f>
        <v/>
      </c>
      <c r="AJ1219">
        <f>IF($C1219="","",IF(COUNTIF($C$2:$C1219,$C1219)=1,1,0))</f>
        <v/>
      </c>
      <c r="AK1219">
        <f>IF($AJ1219=1,SUMPRODUCT(--($AN$2:$AN$4001&lt;$AN1219))+1,"")</f>
        <v/>
      </c>
      <c r="AL1219">
        <f>IF($C1219="","",IF(OR($Q1219=TRUE(),$Q1219="TRUE"),1,0))</f>
        <v/>
      </c>
      <c r="AM1219">
        <f>IF($C1219="","",IF($W1219="Yes",1,0))</f>
        <v/>
      </c>
      <c r="AN1219">
        <f>IF($AJ1219=1,IFERROR(IF(VALUE($C1219)&lt;100000000,VALUE($C1219),1000000000),IFERROR(IF(VALUE(MID($C1219,2,20))&lt;100000000,VALUE(MID($C1219,2,20)),1000000000),1000000000))+ROW()/100000,"")</f>
        <v/>
      </c>
    </row>
    <row r="1220">
      <c r="E1220" s="11" t="n"/>
      <c r="M1220" s="7">
        <f>IF($C1220="","",L1220*U1220/100)</f>
        <v/>
      </c>
      <c r="N1220" s="7" t="n"/>
      <c r="T1220" s="7" t="n"/>
      <c r="U1220" s="7">
        <f>IF($C1220="","",S1220*T1220)</f>
        <v/>
      </c>
      <c r="X1220">
        <f>IF($C1220="","",IF($AM1220=1,0,IF($AL1220=1,Settings!$C$6,Settings!$C$7))*100)</f>
        <v/>
      </c>
      <c r="AB1220" s="7" t="n"/>
      <c r="AE1220" s="11" t="n"/>
      <c r="AG1220" s="7">
        <f>IF($C1220="","",U1220*X1220/100)</f>
        <v/>
      </c>
      <c r="AH1220" s="7">
        <f>IF($C1220="","",U1220-AG1220)</f>
        <v/>
      </c>
      <c r="AI1220" s="7">
        <f>IF($C1220="","",AH1220-M1220)</f>
        <v/>
      </c>
      <c r="AJ1220">
        <f>IF($C1220="","",IF(COUNTIF($C$2:$C1220,$C1220)=1,1,0))</f>
        <v/>
      </c>
      <c r="AK1220">
        <f>IF($AJ1220=1,SUMPRODUCT(--($AN$2:$AN$4001&lt;$AN1220))+1,"")</f>
        <v/>
      </c>
      <c r="AL1220">
        <f>IF($C1220="","",IF(OR($Q1220=TRUE(),$Q1220="TRUE"),1,0))</f>
        <v/>
      </c>
      <c r="AM1220">
        <f>IF($C1220="","",IF($W1220="Yes",1,0))</f>
        <v/>
      </c>
      <c r="AN1220">
        <f>IF($AJ1220=1,IFERROR(IF(VALUE($C1220)&lt;100000000,VALUE($C1220),1000000000),IFERROR(IF(VALUE(MID($C1220,2,20))&lt;100000000,VALUE(MID($C1220,2,20)),1000000000),1000000000))+ROW()/100000,"")</f>
        <v/>
      </c>
    </row>
    <row r="1221">
      <c r="E1221" s="11" t="n"/>
      <c r="M1221" s="7">
        <f>IF($C1221="","",L1221*U1221/100)</f>
        <v/>
      </c>
      <c r="N1221" s="7" t="n"/>
      <c r="T1221" s="7" t="n"/>
      <c r="U1221" s="7">
        <f>IF($C1221="","",S1221*T1221)</f>
        <v/>
      </c>
      <c r="X1221">
        <f>IF($C1221="","",IF($AM1221=1,0,IF($AL1221=1,Settings!$C$6,Settings!$C$7))*100)</f>
        <v/>
      </c>
      <c r="AB1221" s="7" t="n"/>
      <c r="AE1221" s="11" t="n"/>
      <c r="AG1221" s="7">
        <f>IF($C1221="","",U1221*X1221/100)</f>
        <v/>
      </c>
      <c r="AH1221" s="7">
        <f>IF($C1221="","",U1221-AG1221)</f>
        <v/>
      </c>
      <c r="AI1221" s="7">
        <f>IF($C1221="","",AH1221-M1221)</f>
        <v/>
      </c>
      <c r="AJ1221">
        <f>IF($C1221="","",IF(COUNTIF($C$2:$C1221,$C1221)=1,1,0))</f>
        <v/>
      </c>
      <c r="AK1221">
        <f>IF($AJ1221=1,SUMPRODUCT(--($AN$2:$AN$4001&lt;$AN1221))+1,"")</f>
        <v/>
      </c>
      <c r="AL1221">
        <f>IF($C1221="","",IF(OR($Q1221=TRUE(),$Q1221="TRUE"),1,0))</f>
        <v/>
      </c>
      <c r="AM1221">
        <f>IF($C1221="","",IF($W1221="Yes",1,0))</f>
        <v/>
      </c>
      <c r="AN1221">
        <f>IF($AJ1221=1,IFERROR(IF(VALUE($C1221)&lt;100000000,VALUE($C1221),1000000000),IFERROR(IF(VALUE(MID($C1221,2,20))&lt;100000000,VALUE(MID($C1221,2,20)),1000000000),1000000000))+ROW()/100000,"")</f>
        <v/>
      </c>
    </row>
    <row r="1222">
      <c r="E1222" s="11" t="n"/>
      <c r="M1222" s="7">
        <f>IF($C1222="","",L1222*U1222/100)</f>
        <v/>
      </c>
      <c r="N1222" s="7" t="n"/>
      <c r="T1222" s="7" t="n"/>
      <c r="U1222" s="7">
        <f>IF($C1222="","",S1222*T1222)</f>
        <v/>
      </c>
      <c r="X1222">
        <f>IF($C1222="","",IF($AM1222=1,0,IF($AL1222=1,Settings!$C$6,Settings!$C$7))*100)</f>
        <v/>
      </c>
      <c r="AB1222" s="7" t="n"/>
      <c r="AE1222" s="11" t="n"/>
      <c r="AG1222" s="7">
        <f>IF($C1222="","",U1222*X1222/100)</f>
        <v/>
      </c>
      <c r="AH1222" s="7">
        <f>IF($C1222="","",U1222-AG1222)</f>
        <v/>
      </c>
      <c r="AI1222" s="7">
        <f>IF($C1222="","",AH1222-M1222)</f>
        <v/>
      </c>
      <c r="AJ1222">
        <f>IF($C1222="","",IF(COUNTIF($C$2:$C1222,$C1222)=1,1,0))</f>
        <v/>
      </c>
      <c r="AK1222">
        <f>IF($AJ1222=1,SUMPRODUCT(--($AN$2:$AN$4001&lt;$AN1222))+1,"")</f>
        <v/>
      </c>
      <c r="AL1222">
        <f>IF($C1222="","",IF(OR($Q1222=TRUE(),$Q1222="TRUE"),1,0))</f>
        <v/>
      </c>
      <c r="AM1222">
        <f>IF($C1222="","",IF($W1222="Yes",1,0))</f>
        <v/>
      </c>
      <c r="AN1222">
        <f>IF($AJ1222=1,IFERROR(IF(VALUE($C1222)&lt;100000000,VALUE($C1222),1000000000),IFERROR(IF(VALUE(MID($C1222,2,20))&lt;100000000,VALUE(MID($C1222,2,20)),1000000000),1000000000))+ROW()/100000,"")</f>
        <v/>
      </c>
    </row>
    <row r="1223">
      <c r="E1223" s="11" t="n"/>
      <c r="M1223" s="7">
        <f>IF($C1223="","",L1223*U1223/100)</f>
        <v/>
      </c>
      <c r="N1223" s="7" t="n"/>
      <c r="T1223" s="7" t="n"/>
      <c r="U1223" s="7">
        <f>IF($C1223="","",S1223*T1223)</f>
        <v/>
      </c>
      <c r="X1223">
        <f>IF($C1223="","",IF($AM1223=1,0,IF($AL1223=1,Settings!$C$6,Settings!$C$7))*100)</f>
        <v/>
      </c>
      <c r="AB1223" s="7" t="n"/>
      <c r="AE1223" s="11" t="n"/>
      <c r="AG1223" s="7">
        <f>IF($C1223="","",U1223*X1223/100)</f>
        <v/>
      </c>
      <c r="AH1223" s="7">
        <f>IF($C1223="","",U1223-AG1223)</f>
        <v/>
      </c>
      <c r="AI1223" s="7">
        <f>IF($C1223="","",AH1223-M1223)</f>
        <v/>
      </c>
      <c r="AJ1223">
        <f>IF($C1223="","",IF(COUNTIF($C$2:$C1223,$C1223)=1,1,0))</f>
        <v/>
      </c>
      <c r="AK1223">
        <f>IF($AJ1223=1,SUMPRODUCT(--($AN$2:$AN$4001&lt;$AN1223))+1,"")</f>
        <v/>
      </c>
      <c r="AL1223">
        <f>IF($C1223="","",IF(OR($Q1223=TRUE(),$Q1223="TRUE"),1,0))</f>
        <v/>
      </c>
      <c r="AM1223">
        <f>IF($C1223="","",IF($W1223="Yes",1,0))</f>
        <v/>
      </c>
      <c r="AN1223">
        <f>IF($AJ1223=1,IFERROR(IF(VALUE($C1223)&lt;100000000,VALUE($C1223),1000000000),IFERROR(IF(VALUE(MID($C1223,2,20))&lt;100000000,VALUE(MID($C1223,2,20)),1000000000),1000000000))+ROW()/100000,"")</f>
        <v/>
      </c>
    </row>
    <row r="1224">
      <c r="E1224" s="11" t="n"/>
      <c r="M1224" s="7">
        <f>IF($C1224="","",L1224*U1224/100)</f>
        <v/>
      </c>
      <c r="N1224" s="7" t="n"/>
      <c r="T1224" s="7" t="n"/>
      <c r="U1224" s="7">
        <f>IF($C1224="","",S1224*T1224)</f>
        <v/>
      </c>
      <c r="X1224">
        <f>IF($C1224="","",IF($AM1224=1,0,IF($AL1224=1,Settings!$C$6,Settings!$C$7))*100)</f>
        <v/>
      </c>
      <c r="AB1224" s="7" t="n"/>
      <c r="AE1224" s="11" t="n"/>
      <c r="AG1224" s="7">
        <f>IF($C1224="","",U1224*X1224/100)</f>
        <v/>
      </c>
      <c r="AH1224" s="7">
        <f>IF($C1224="","",U1224-AG1224)</f>
        <v/>
      </c>
      <c r="AI1224" s="7">
        <f>IF($C1224="","",AH1224-M1224)</f>
        <v/>
      </c>
      <c r="AJ1224">
        <f>IF($C1224="","",IF(COUNTIF($C$2:$C1224,$C1224)=1,1,0))</f>
        <v/>
      </c>
      <c r="AK1224">
        <f>IF($AJ1224=1,SUMPRODUCT(--($AN$2:$AN$4001&lt;$AN1224))+1,"")</f>
        <v/>
      </c>
      <c r="AL1224">
        <f>IF($C1224="","",IF(OR($Q1224=TRUE(),$Q1224="TRUE"),1,0))</f>
        <v/>
      </c>
      <c r="AM1224">
        <f>IF($C1224="","",IF($W1224="Yes",1,0))</f>
        <v/>
      </c>
      <c r="AN1224">
        <f>IF($AJ1224=1,IFERROR(IF(VALUE($C1224)&lt;100000000,VALUE($C1224),1000000000),IFERROR(IF(VALUE(MID($C1224,2,20))&lt;100000000,VALUE(MID($C1224,2,20)),1000000000),1000000000))+ROW()/100000,"")</f>
        <v/>
      </c>
    </row>
    <row r="1225">
      <c r="E1225" s="11" t="n"/>
      <c r="M1225" s="7">
        <f>IF($C1225="","",L1225*U1225/100)</f>
        <v/>
      </c>
      <c r="N1225" s="7" t="n"/>
      <c r="T1225" s="7" t="n"/>
      <c r="U1225" s="7">
        <f>IF($C1225="","",S1225*T1225)</f>
        <v/>
      </c>
      <c r="X1225">
        <f>IF($C1225="","",IF($AM1225=1,0,IF($AL1225=1,Settings!$C$6,Settings!$C$7))*100)</f>
        <v/>
      </c>
      <c r="AB1225" s="7" t="n"/>
      <c r="AE1225" s="11" t="n"/>
      <c r="AG1225" s="7">
        <f>IF($C1225="","",U1225*X1225/100)</f>
        <v/>
      </c>
      <c r="AH1225" s="7">
        <f>IF($C1225="","",U1225-AG1225)</f>
        <v/>
      </c>
      <c r="AI1225" s="7">
        <f>IF($C1225="","",AH1225-M1225)</f>
        <v/>
      </c>
      <c r="AJ1225">
        <f>IF($C1225="","",IF(COUNTIF($C$2:$C1225,$C1225)=1,1,0))</f>
        <v/>
      </c>
      <c r="AK1225">
        <f>IF($AJ1225=1,SUMPRODUCT(--($AN$2:$AN$4001&lt;$AN1225))+1,"")</f>
        <v/>
      </c>
      <c r="AL1225">
        <f>IF($C1225="","",IF(OR($Q1225=TRUE(),$Q1225="TRUE"),1,0))</f>
        <v/>
      </c>
      <c r="AM1225">
        <f>IF($C1225="","",IF($W1225="Yes",1,0))</f>
        <v/>
      </c>
      <c r="AN1225">
        <f>IF($AJ1225=1,IFERROR(IF(VALUE($C1225)&lt;100000000,VALUE($C1225),1000000000),IFERROR(IF(VALUE(MID($C1225,2,20))&lt;100000000,VALUE(MID($C1225,2,20)),1000000000),1000000000))+ROW()/100000,"")</f>
        <v/>
      </c>
    </row>
    <row r="1226">
      <c r="E1226" s="11" t="n"/>
      <c r="M1226" s="7">
        <f>IF($C1226="","",L1226*U1226/100)</f>
        <v/>
      </c>
      <c r="N1226" s="7" t="n"/>
      <c r="T1226" s="7" t="n"/>
      <c r="U1226" s="7">
        <f>IF($C1226="","",S1226*T1226)</f>
        <v/>
      </c>
      <c r="X1226">
        <f>IF($C1226="","",IF($AM1226=1,0,IF($AL1226=1,Settings!$C$6,Settings!$C$7))*100)</f>
        <v/>
      </c>
      <c r="AB1226" s="7" t="n"/>
      <c r="AE1226" s="11" t="n"/>
      <c r="AG1226" s="7">
        <f>IF($C1226="","",U1226*X1226/100)</f>
        <v/>
      </c>
      <c r="AH1226" s="7">
        <f>IF($C1226="","",U1226-AG1226)</f>
        <v/>
      </c>
      <c r="AI1226" s="7">
        <f>IF($C1226="","",AH1226-M1226)</f>
        <v/>
      </c>
      <c r="AJ1226">
        <f>IF($C1226="","",IF(COUNTIF($C$2:$C1226,$C1226)=1,1,0))</f>
        <v/>
      </c>
      <c r="AK1226">
        <f>IF($AJ1226=1,SUMPRODUCT(--($AN$2:$AN$4001&lt;$AN1226))+1,"")</f>
        <v/>
      </c>
      <c r="AL1226">
        <f>IF($C1226="","",IF(OR($Q1226=TRUE(),$Q1226="TRUE"),1,0))</f>
        <v/>
      </c>
      <c r="AM1226">
        <f>IF($C1226="","",IF($W1226="Yes",1,0))</f>
        <v/>
      </c>
      <c r="AN1226">
        <f>IF($AJ1226=1,IFERROR(IF(VALUE($C1226)&lt;100000000,VALUE($C1226),1000000000),IFERROR(IF(VALUE(MID($C1226,2,20))&lt;100000000,VALUE(MID($C1226,2,20)),1000000000),1000000000))+ROW()/100000,"")</f>
        <v/>
      </c>
    </row>
    <row r="1227">
      <c r="E1227" s="11" t="n"/>
      <c r="M1227" s="7">
        <f>IF($C1227="","",L1227*U1227/100)</f>
        <v/>
      </c>
      <c r="N1227" s="7" t="n"/>
      <c r="T1227" s="7" t="n"/>
      <c r="U1227" s="7">
        <f>IF($C1227="","",S1227*T1227)</f>
        <v/>
      </c>
      <c r="X1227">
        <f>IF($C1227="","",IF($AM1227=1,0,IF($AL1227=1,Settings!$C$6,Settings!$C$7))*100)</f>
        <v/>
      </c>
      <c r="AB1227" s="7" t="n"/>
      <c r="AE1227" s="11" t="n"/>
      <c r="AG1227" s="7">
        <f>IF($C1227="","",U1227*X1227/100)</f>
        <v/>
      </c>
      <c r="AH1227" s="7">
        <f>IF($C1227="","",U1227-AG1227)</f>
        <v/>
      </c>
      <c r="AI1227" s="7">
        <f>IF($C1227="","",AH1227-M1227)</f>
        <v/>
      </c>
      <c r="AJ1227">
        <f>IF($C1227="","",IF(COUNTIF($C$2:$C1227,$C1227)=1,1,0))</f>
        <v/>
      </c>
      <c r="AK1227">
        <f>IF($AJ1227=1,SUMPRODUCT(--($AN$2:$AN$4001&lt;$AN1227))+1,"")</f>
        <v/>
      </c>
      <c r="AL1227">
        <f>IF($C1227="","",IF(OR($Q1227=TRUE(),$Q1227="TRUE"),1,0))</f>
        <v/>
      </c>
      <c r="AM1227">
        <f>IF($C1227="","",IF($W1227="Yes",1,0))</f>
        <v/>
      </c>
      <c r="AN1227">
        <f>IF($AJ1227=1,IFERROR(IF(VALUE($C1227)&lt;100000000,VALUE($C1227),1000000000),IFERROR(IF(VALUE(MID($C1227,2,20))&lt;100000000,VALUE(MID($C1227,2,20)),1000000000),1000000000))+ROW()/100000,"")</f>
        <v/>
      </c>
    </row>
    <row r="1228">
      <c r="E1228" s="11" t="n"/>
      <c r="M1228" s="7">
        <f>IF($C1228="","",L1228*U1228/100)</f>
        <v/>
      </c>
      <c r="N1228" s="7" t="n"/>
      <c r="T1228" s="7" t="n"/>
      <c r="U1228" s="7">
        <f>IF($C1228="","",S1228*T1228)</f>
        <v/>
      </c>
      <c r="X1228">
        <f>IF($C1228="","",IF($AM1228=1,0,IF($AL1228=1,Settings!$C$6,Settings!$C$7))*100)</f>
        <v/>
      </c>
      <c r="AB1228" s="7" t="n"/>
      <c r="AE1228" s="11" t="n"/>
      <c r="AG1228" s="7">
        <f>IF($C1228="","",U1228*X1228/100)</f>
        <v/>
      </c>
      <c r="AH1228" s="7">
        <f>IF($C1228="","",U1228-AG1228)</f>
        <v/>
      </c>
      <c r="AI1228" s="7">
        <f>IF($C1228="","",AH1228-M1228)</f>
        <v/>
      </c>
      <c r="AJ1228">
        <f>IF($C1228="","",IF(COUNTIF($C$2:$C1228,$C1228)=1,1,0))</f>
        <v/>
      </c>
      <c r="AK1228">
        <f>IF($AJ1228=1,SUMPRODUCT(--($AN$2:$AN$4001&lt;$AN1228))+1,"")</f>
        <v/>
      </c>
      <c r="AL1228">
        <f>IF($C1228="","",IF(OR($Q1228=TRUE(),$Q1228="TRUE"),1,0))</f>
        <v/>
      </c>
      <c r="AM1228">
        <f>IF($C1228="","",IF($W1228="Yes",1,0))</f>
        <v/>
      </c>
      <c r="AN1228">
        <f>IF($AJ1228=1,IFERROR(IF(VALUE($C1228)&lt;100000000,VALUE($C1228),1000000000),IFERROR(IF(VALUE(MID($C1228,2,20))&lt;100000000,VALUE(MID($C1228,2,20)),1000000000),1000000000))+ROW()/100000,"")</f>
        <v/>
      </c>
    </row>
    <row r="1229">
      <c r="E1229" s="11" t="n"/>
      <c r="M1229" s="7">
        <f>IF($C1229="","",L1229*U1229/100)</f>
        <v/>
      </c>
      <c r="N1229" s="7" t="n"/>
      <c r="T1229" s="7" t="n"/>
      <c r="U1229" s="7">
        <f>IF($C1229="","",S1229*T1229)</f>
        <v/>
      </c>
      <c r="X1229">
        <f>IF($C1229="","",IF($AM1229=1,0,IF($AL1229=1,Settings!$C$6,Settings!$C$7))*100)</f>
        <v/>
      </c>
      <c r="AB1229" s="7" t="n"/>
      <c r="AE1229" s="11" t="n"/>
      <c r="AG1229" s="7">
        <f>IF($C1229="","",U1229*X1229/100)</f>
        <v/>
      </c>
      <c r="AH1229" s="7">
        <f>IF($C1229="","",U1229-AG1229)</f>
        <v/>
      </c>
      <c r="AI1229" s="7">
        <f>IF($C1229="","",AH1229-M1229)</f>
        <v/>
      </c>
      <c r="AJ1229">
        <f>IF($C1229="","",IF(COUNTIF($C$2:$C1229,$C1229)=1,1,0))</f>
        <v/>
      </c>
      <c r="AK1229">
        <f>IF($AJ1229=1,SUMPRODUCT(--($AN$2:$AN$4001&lt;$AN1229))+1,"")</f>
        <v/>
      </c>
      <c r="AL1229">
        <f>IF($C1229="","",IF(OR($Q1229=TRUE(),$Q1229="TRUE"),1,0))</f>
        <v/>
      </c>
      <c r="AM1229">
        <f>IF($C1229="","",IF($W1229="Yes",1,0))</f>
        <v/>
      </c>
      <c r="AN1229">
        <f>IF($AJ1229=1,IFERROR(IF(VALUE($C1229)&lt;100000000,VALUE($C1229),1000000000),IFERROR(IF(VALUE(MID($C1229,2,20))&lt;100000000,VALUE(MID($C1229,2,20)),1000000000),1000000000))+ROW()/100000,"")</f>
        <v/>
      </c>
    </row>
    <row r="1230">
      <c r="E1230" s="11" t="n"/>
      <c r="M1230" s="7">
        <f>IF($C1230="","",L1230*U1230/100)</f>
        <v/>
      </c>
      <c r="N1230" s="7" t="n"/>
      <c r="T1230" s="7" t="n"/>
      <c r="U1230" s="7">
        <f>IF($C1230="","",S1230*T1230)</f>
        <v/>
      </c>
      <c r="X1230">
        <f>IF($C1230="","",IF($AM1230=1,0,IF($AL1230=1,Settings!$C$6,Settings!$C$7))*100)</f>
        <v/>
      </c>
      <c r="AB1230" s="7" t="n"/>
      <c r="AE1230" s="11" t="n"/>
      <c r="AG1230" s="7">
        <f>IF($C1230="","",U1230*X1230/100)</f>
        <v/>
      </c>
      <c r="AH1230" s="7">
        <f>IF($C1230="","",U1230-AG1230)</f>
        <v/>
      </c>
      <c r="AI1230" s="7">
        <f>IF($C1230="","",AH1230-M1230)</f>
        <v/>
      </c>
      <c r="AJ1230">
        <f>IF($C1230="","",IF(COUNTIF($C$2:$C1230,$C1230)=1,1,0))</f>
        <v/>
      </c>
      <c r="AK1230">
        <f>IF($AJ1230=1,SUMPRODUCT(--($AN$2:$AN$4001&lt;$AN1230))+1,"")</f>
        <v/>
      </c>
      <c r="AL1230">
        <f>IF($C1230="","",IF(OR($Q1230=TRUE(),$Q1230="TRUE"),1,0))</f>
        <v/>
      </c>
      <c r="AM1230">
        <f>IF($C1230="","",IF($W1230="Yes",1,0))</f>
        <v/>
      </c>
      <c r="AN1230">
        <f>IF($AJ1230=1,IFERROR(IF(VALUE($C1230)&lt;100000000,VALUE($C1230),1000000000),IFERROR(IF(VALUE(MID($C1230,2,20))&lt;100000000,VALUE(MID($C1230,2,20)),1000000000),1000000000))+ROW()/100000,"")</f>
        <v/>
      </c>
    </row>
    <row r="1231">
      <c r="E1231" s="11" t="n"/>
      <c r="M1231" s="7">
        <f>IF($C1231="","",L1231*U1231/100)</f>
        <v/>
      </c>
      <c r="N1231" s="7" t="n"/>
      <c r="T1231" s="7" t="n"/>
      <c r="U1231" s="7">
        <f>IF($C1231="","",S1231*T1231)</f>
        <v/>
      </c>
      <c r="X1231">
        <f>IF($C1231="","",IF($AM1231=1,0,IF($AL1231=1,Settings!$C$6,Settings!$C$7))*100)</f>
        <v/>
      </c>
      <c r="AB1231" s="7" t="n"/>
      <c r="AE1231" s="11" t="n"/>
      <c r="AG1231" s="7">
        <f>IF($C1231="","",U1231*X1231/100)</f>
        <v/>
      </c>
      <c r="AH1231" s="7">
        <f>IF($C1231="","",U1231-AG1231)</f>
        <v/>
      </c>
      <c r="AI1231" s="7">
        <f>IF($C1231="","",AH1231-M1231)</f>
        <v/>
      </c>
      <c r="AJ1231">
        <f>IF($C1231="","",IF(COUNTIF($C$2:$C1231,$C1231)=1,1,0))</f>
        <v/>
      </c>
      <c r="AK1231">
        <f>IF($AJ1231=1,SUMPRODUCT(--($AN$2:$AN$4001&lt;$AN1231))+1,"")</f>
        <v/>
      </c>
      <c r="AL1231">
        <f>IF($C1231="","",IF(OR($Q1231=TRUE(),$Q1231="TRUE"),1,0))</f>
        <v/>
      </c>
      <c r="AM1231">
        <f>IF($C1231="","",IF($W1231="Yes",1,0))</f>
        <v/>
      </c>
      <c r="AN1231">
        <f>IF($AJ1231=1,IFERROR(IF(VALUE($C1231)&lt;100000000,VALUE($C1231),1000000000),IFERROR(IF(VALUE(MID($C1231,2,20))&lt;100000000,VALUE(MID($C1231,2,20)),1000000000),1000000000))+ROW()/100000,"")</f>
        <v/>
      </c>
    </row>
    <row r="1232">
      <c r="E1232" s="11" t="n"/>
      <c r="M1232" s="7">
        <f>IF($C1232="","",L1232*U1232/100)</f>
        <v/>
      </c>
      <c r="N1232" s="7" t="n"/>
      <c r="T1232" s="7" t="n"/>
      <c r="U1232" s="7">
        <f>IF($C1232="","",S1232*T1232)</f>
        <v/>
      </c>
      <c r="X1232">
        <f>IF($C1232="","",IF($AM1232=1,0,IF($AL1232=1,Settings!$C$6,Settings!$C$7))*100)</f>
        <v/>
      </c>
      <c r="AB1232" s="7" t="n"/>
      <c r="AE1232" s="11" t="n"/>
      <c r="AG1232" s="7">
        <f>IF($C1232="","",U1232*X1232/100)</f>
        <v/>
      </c>
      <c r="AH1232" s="7">
        <f>IF($C1232="","",U1232-AG1232)</f>
        <v/>
      </c>
      <c r="AI1232" s="7">
        <f>IF($C1232="","",AH1232-M1232)</f>
        <v/>
      </c>
      <c r="AJ1232">
        <f>IF($C1232="","",IF(COUNTIF($C$2:$C1232,$C1232)=1,1,0))</f>
        <v/>
      </c>
      <c r="AK1232">
        <f>IF($AJ1232=1,SUMPRODUCT(--($AN$2:$AN$4001&lt;$AN1232))+1,"")</f>
        <v/>
      </c>
      <c r="AL1232">
        <f>IF($C1232="","",IF(OR($Q1232=TRUE(),$Q1232="TRUE"),1,0))</f>
        <v/>
      </c>
      <c r="AM1232">
        <f>IF($C1232="","",IF($W1232="Yes",1,0))</f>
        <v/>
      </c>
      <c r="AN1232">
        <f>IF($AJ1232=1,IFERROR(IF(VALUE($C1232)&lt;100000000,VALUE($C1232),1000000000),IFERROR(IF(VALUE(MID($C1232,2,20))&lt;100000000,VALUE(MID($C1232,2,20)),1000000000),1000000000))+ROW()/100000,"")</f>
        <v/>
      </c>
    </row>
    <row r="1233">
      <c r="E1233" s="11" t="n"/>
      <c r="M1233" s="7">
        <f>IF($C1233="","",L1233*U1233/100)</f>
        <v/>
      </c>
      <c r="N1233" s="7" t="n"/>
      <c r="T1233" s="7" t="n"/>
      <c r="U1233" s="7">
        <f>IF($C1233="","",S1233*T1233)</f>
        <v/>
      </c>
      <c r="X1233">
        <f>IF($C1233="","",IF($AM1233=1,0,IF($AL1233=1,Settings!$C$6,Settings!$C$7))*100)</f>
        <v/>
      </c>
      <c r="AB1233" s="7" t="n"/>
      <c r="AE1233" s="11" t="n"/>
      <c r="AG1233" s="7">
        <f>IF($C1233="","",U1233*X1233/100)</f>
        <v/>
      </c>
      <c r="AH1233" s="7">
        <f>IF($C1233="","",U1233-AG1233)</f>
        <v/>
      </c>
      <c r="AI1233" s="7">
        <f>IF($C1233="","",AH1233-M1233)</f>
        <v/>
      </c>
      <c r="AJ1233">
        <f>IF($C1233="","",IF(COUNTIF($C$2:$C1233,$C1233)=1,1,0))</f>
        <v/>
      </c>
      <c r="AK1233">
        <f>IF($AJ1233=1,SUMPRODUCT(--($AN$2:$AN$4001&lt;$AN1233))+1,"")</f>
        <v/>
      </c>
      <c r="AL1233">
        <f>IF($C1233="","",IF(OR($Q1233=TRUE(),$Q1233="TRUE"),1,0))</f>
        <v/>
      </c>
      <c r="AM1233">
        <f>IF($C1233="","",IF($W1233="Yes",1,0))</f>
        <v/>
      </c>
      <c r="AN1233">
        <f>IF($AJ1233=1,IFERROR(IF(VALUE($C1233)&lt;100000000,VALUE($C1233),1000000000),IFERROR(IF(VALUE(MID($C1233,2,20))&lt;100000000,VALUE(MID($C1233,2,20)),1000000000),1000000000))+ROW()/100000,"")</f>
        <v/>
      </c>
    </row>
    <row r="1234">
      <c r="E1234" s="11" t="n"/>
      <c r="M1234" s="7">
        <f>IF($C1234="","",L1234*U1234/100)</f>
        <v/>
      </c>
      <c r="N1234" s="7" t="n"/>
      <c r="T1234" s="7" t="n"/>
      <c r="U1234" s="7">
        <f>IF($C1234="","",S1234*T1234)</f>
        <v/>
      </c>
      <c r="X1234">
        <f>IF($C1234="","",IF($AM1234=1,0,IF($AL1234=1,Settings!$C$6,Settings!$C$7))*100)</f>
        <v/>
      </c>
      <c r="AB1234" s="7" t="n"/>
      <c r="AE1234" s="11" t="n"/>
      <c r="AG1234" s="7">
        <f>IF($C1234="","",U1234*X1234/100)</f>
        <v/>
      </c>
      <c r="AH1234" s="7">
        <f>IF($C1234="","",U1234-AG1234)</f>
        <v/>
      </c>
      <c r="AI1234" s="7">
        <f>IF($C1234="","",AH1234-M1234)</f>
        <v/>
      </c>
      <c r="AJ1234">
        <f>IF($C1234="","",IF(COUNTIF($C$2:$C1234,$C1234)=1,1,0))</f>
        <v/>
      </c>
      <c r="AK1234">
        <f>IF($AJ1234=1,SUMPRODUCT(--($AN$2:$AN$4001&lt;$AN1234))+1,"")</f>
        <v/>
      </c>
      <c r="AL1234">
        <f>IF($C1234="","",IF(OR($Q1234=TRUE(),$Q1234="TRUE"),1,0))</f>
        <v/>
      </c>
      <c r="AM1234">
        <f>IF($C1234="","",IF($W1234="Yes",1,0))</f>
        <v/>
      </c>
      <c r="AN1234">
        <f>IF($AJ1234=1,IFERROR(IF(VALUE($C1234)&lt;100000000,VALUE($C1234),1000000000),IFERROR(IF(VALUE(MID($C1234,2,20))&lt;100000000,VALUE(MID($C1234,2,20)),1000000000),1000000000))+ROW()/100000,"")</f>
        <v/>
      </c>
    </row>
    <row r="1235">
      <c r="E1235" s="11" t="n"/>
      <c r="M1235" s="7">
        <f>IF($C1235="","",L1235*U1235/100)</f>
        <v/>
      </c>
      <c r="N1235" s="7" t="n"/>
      <c r="T1235" s="7" t="n"/>
      <c r="U1235" s="7">
        <f>IF($C1235="","",S1235*T1235)</f>
        <v/>
      </c>
      <c r="X1235">
        <f>IF($C1235="","",IF($AM1235=1,0,IF($AL1235=1,Settings!$C$6,Settings!$C$7))*100)</f>
        <v/>
      </c>
      <c r="AB1235" s="7" t="n"/>
      <c r="AE1235" s="11" t="n"/>
      <c r="AG1235" s="7">
        <f>IF($C1235="","",U1235*X1235/100)</f>
        <v/>
      </c>
      <c r="AH1235" s="7">
        <f>IF($C1235="","",U1235-AG1235)</f>
        <v/>
      </c>
      <c r="AI1235" s="7">
        <f>IF($C1235="","",AH1235-M1235)</f>
        <v/>
      </c>
      <c r="AJ1235">
        <f>IF($C1235="","",IF(COUNTIF($C$2:$C1235,$C1235)=1,1,0))</f>
        <v/>
      </c>
      <c r="AK1235">
        <f>IF($AJ1235=1,SUMPRODUCT(--($AN$2:$AN$4001&lt;$AN1235))+1,"")</f>
        <v/>
      </c>
      <c r="AL1235">
        <f>IF($C1235="","",IF(OR($Q1235=TRUE(),$Q1235="TRUE"),1,0))</f>
        <v/>
      </c>
      <c r="AM1235">
        <f>IF($C1235="","",IF($W1235="Yes",1,0))</f>
        <v/>
      </c>
      <c r="AN1235">
        <f>IF($AJ1235=1,IFERROR(IF(VALUE($C1235)&lt;100000000,VALUE($C1235),1000000000),IFERROR(IF(VALUE(MID($C1235,2,20))&lt;100000000,VALUE(MID($C1235,2,20)),1000000000),1000000000))+ROW()/100000,"")</f>
        <v/>
      </c>
    </row>
    <row r="1236">
      <c r="E1236" s="11" t="n"/>
      <c r="M1236" s="7">
        <f>IF($C1236="","",L1236*U1236/100)</f>
        <v/>
      </c>
      <c r="N1236" s="7" t="n"/>
      <c r="T1236" s="7" t="n"/>
      <c r="U1236" s="7">
        <f>IF($C1236="","",S1236*T1236)</f>
        <v/>
      </c>
      <c r="X1236">
        <f>IF($C1236="","",IF($AM1236=1,0,IF($AL1236=1,Settings!$C$6,Settings!$C$7))*100)</f>
        <v/>
      </c>
      <c r="AB1236" s="7" t="n"/>
      <c r="AE1236" s="11" t="n"/>
      <c r="AG1236" s="7">
        <f>IF($C1236="","",U1236*X1236/100)</f>
        <v/>
      </c>
      <c r="AH1236" s="7">
        <f>IF($C1236="","",U1236-AG1236)</f>
        <v/>
      </c>
      <c r="AI1236" s="7">
        <f>IF($C1236="","",AH1236-M1236)</f>
        <v/>
      </c>
      <c r="AJ1236">
        <f>IF($C1236="","",IF(COUNTIF($C$2:$C1236,$C1236)=1,1,0))</f>
        <v/>
      </c>
      <c r="AK1236">
        <f>IF($AJ1236=1,SUMPRODUCT(--($AN$2:$AN$4001&lt;$AN1236))+1,"")</f>
        <v/>
      </c>
      <c r="AL1236">
        <f>IF($C1236="","",IF(OR($Q1236=TRUE(),$Q1236="TRUE"),1,0))</f>
        <v/>
      </c>
      <c r="AM1236">
        <f>IF($C1236="","",IF($W1236="Yes",1,0))</f>
        <v/>
      </c>
      <c r="AN1236">
        <f>IF($AJ1236=1,IFERROR(IF(VALUE($C1236)&lt;100000000,VALUE($C1236),1000000000),IFERROR(IF(VALUE(MID($C1236,2,20))&lt;100000000,VALUE(MID($C1236,2,20)),1000000000),1000000000))+ROW()/100000,"")</f>
        <v/>
      </c>
    </row>
    <row r="1237">
      <c r="E1237" s="11" t="n"/>
      <c r="M1237" s="7">
        <f>IF($C1237="","",L1237*U1237/100)</f>
        <v/>
      </c>
      <c r="N1237" s="7" t="n"/>
      <c r="T1237" s="7" t="n"/>
      <c r="U1237" s="7">
        <f>IF($C1237="","",S1237*T1237)</f>
        <v/>
      </c>
      <c r="X1237">
        <f>IF($C1237="","",IF($AM1237=1,0,IF($AL1237=1,Settings!$C$6,Settings!$C$7))*100)</f>
        <v/>
      </c>
      <c r="AB1237" s="7" t="n"/>
      <c r="AE1237" s="11" t="n"/>
      <c r="AG1237" s="7">
        <f>IF($C1237="","",U1237*X1237/100)</f>
        <v/>
      </c>
      <c r="AH1237" s="7">
        <f>IF($C1237="","",U1237-AG1237)</f>
        <v/>
      </c>
      <c r="AI1237" s="7">
        <f>IF($C1237="","",AH1237-M1237)</f>
        <v/>
      </c>
      <c r="AJ1237">
        <f>IF($C1237="","",IF(COUNTIF($C$2:$C1237,$C1237)=1,1,0))</f>
        <v/>
      </c>
      <c r="AK1237">
        <f>IF($AJ1237=1,SUMPRODUCT(--($AN$2:$AN$4001&lt;$AN1237))+1,"")</f>
        <v/>
      </c>
      <c r="AL1237">
        <f>IF($C1237="","",IF(OR($Q1237=TRUE(),$Q1237="TRUE"),1,0))</f>
        <v/>
      </c>
      <c r="AM1237">
        <f>IF($C1237="","",IF($W1237="Yes",1,0))</f>
        <v/>
      </c>
      <c r="AN1237">
        <f>IF($AJ1237=1,IFERROR(IF(VALUE($C1237)&lt;100000000,VALUE($C1237),1000000000),IFERROR(IF(VALUE(MID($C1237,2,20))&lt;100000000,VALUE(MID($C1237,2,20)),1000000000),1000000000))+ROW()/100000,"")</f>
        <v/>
      </c>
    </row>
    <row r="1238">
      <c r="E1238" s="11" t="n"/>
      <c r="M1238" s="7">
        <f>IF($C1238="","",L1238*U1238/100)</f>
        <v/>
      </c>
      <c r="N1238" s="7" t="n"/>
      <c r="T1238" s="7" t="n"/>
      <c r="U1238" s="7">
        <f>IF($C1238="","",S1238*T1238)</f>
        <v/>
      </c>
      <c r="X1238">
        <f>IF($C1238="","",IF($AM1238=1,0,IF($AL1238=1,Settings!$C$6,Settings!$C$7))*100)</f>
        <v/>
      </c>
      <c r="AB1238" s="7" t="n"/>
      <c r="AE1238" s="11" t="n"/>
      <c r="AG1238" s="7">
        <f>IF($C1238="","",U1238*X1238/100)</f>
        <v/>
      </c>
      <c r="AH1238" s="7">
        <f>IF($C1238="","",U1238-AG1238)</f>
        <v/>
      </c>
      <c r="AI1238" s="7">
        <f>IF($C1238="","",AH1238-M1238)</f>
        <v/>
      </c>
      <c r="AJ1238">
        <f>IF($C1238="","",IF(COUNTIF($C$2:$C1238,$C1238)=1,1,0))</f>
        <v/>
      </c>
      <c r="AK1238">
        <f>IF($AJ1238=1,SUMPRODUCT(--($AN$2:$AN$4001&lt;$AN1238))+1,"")</f>
        <v/>
      </c>
      <c r="AL1238">
        <f>IF($C1238="","",IF(OR($Q1238=TRUE(),$Q1238="TRUE"),1,0))</f>
        <v/>
      </c>
      <c r="AM1238">
        <f>IF($C1238="","",IF($W1238="Yes",1,0))</f>
        <v/>
      </c>
      <c r="AN1238">
        <f>IF($AJ1238=1,IFERROR(IF(VALUE($C1238)&lt;100000000,VALUE($C1238),1000000000),IFERROR(IF(VALUE(MID($C1238,2,20))&lt;100000000,VALUE(MID($C1238,2,20)),1000000000),1000000000))+ROW()/100000,"")</f>
        <v/>
      </c>
    </row>
    <row r="1239">
      <c r="E1239" s="11" t="n"/>
      <c r="M1239" s="7">
        <f>IF($C1239="","",L1239*U1239/100)</f>
        <v/>
      </c>
      <c r="N1239" s="7" t="n"/>
      <c r="T1239" s="7" t="n"/>
      <c r="U1239" s="7">
        <f>IF($C1239="","",S1239*T1239)</f>
        <v/>
      </c>
      <c r="X1239">
        <f>IF($C1239="","",IF($AM1239=1,0,IF($AL1239=1,Settings!$C$6,Settings!$C$7))*100)</f>
        <v/>
      </c>
      <c r="AB1239" s="7" t="n"/>
      <c r="AE1239" s="11" t="n"/>
      <c r="AG1239" s="7">
        <f>IF($C1239="","",U1239*X1239/100)</f>
        <v/>
      </c>
      <c r="AH1239" s="7">
        <f>IF($C1239="","",U1239-AG1239)</f>
        <v/>
      </c>
      <c r="AI1239" s="7">
        <f>IF($C1239="","",AH1239-M1239)</f>
        <v/>
      </c>
      <c r="AJ1239">
        <f>IF($C1239="","",IF(COUNTIF($C$2:$C1239,$C1239)=1,1,0))</f>
        <v/>
      </c>
      <c r="AK1239">
        <f>IF($AJ1239=1,SUMPRODUCT(--($AN$2:$AN$4001&lt;$AN1239))+1,"")</f>
        <v/>
      </c>
      <c r="AL1239">
        <f>IF($C1239="","",IF(OR($Q1239=TRUE(),$Q1239="TRUE"),1,0))</f>
        <v/>
      </c>
      <c r="AM1239">
        <f>IF($C1239="","",IF($W1239="Yes",1,0))</f>
        <v/>
      </c>
      <c r="AN1239">
        <f>IF($AJ1239=1,IFERROR(IF(VALUE($C1239)&lt;100000000,VALUE($C1239),1000000000),IFERROR(IF(VALUE(MID($C1239,2,20))&lt;100000000,VALUE(MID($C1239,2,20)),1000000000),1000000000))+ROW()/100000,"")</f>
        <v/>
      </c>
    </row>
    <row r="1240">
      <c r="E1240" s="11" t="n"/>
      <c r="M1240" s="7">
        <f>IF($C1240="","",L1240*U1240/100)</f>
        <v/>
      </c>
      <c r="N1240" s="7" t="n"/>
      <c r="T1240" s="7" t="n"/>
      <c r="U1240" s="7">
        <f>IF($C1240="","",S1240*T1240)</f>
        <v/>
      </c>
      <c r="X1240">
        <f>IF($C1240="","",IF($AM1240=1,0,IF($AL1240=1,Settings!$C$6,Settings!$C$7))*100)</f>
        <v/>
      </c>
      <c r="AB1240" s="7" t="n"/>
      <c r="AE1240" s="11" t="n"/>
      <c r="AG1240" s="7">
        <f>IF($C1240="","",U1240*X1240/100)</f>
        <v/>
      </c>
      <c r="AH1240" s="7">
        <f>IF($C1240="","",U1240-AG1240)</f>
        <v/>
      </c>
      <c r="AI1240" s="7">
        <f>IF($C1240="","",AH1240-M1240)</f>
        <v/>
      </c>
      <c r="AJ1240">
        <f>IF($C1240="","",IF(COUNTIF($C$2:$C1240,$C1240)=1,1,0))</f>
        <v/>
      </c>
      <c r="AK1240">
        <f>IF($AJ1240=1,SUMPRODUCT(--($AN$2:$AN$4001&lt;$AN1240))+1,"")</f>
        <v/>
      </c>
      <c r="AL1240">
        <f>IF($C1240="","",IF(OR($Q1240=TRUE(),$Q1240="TRUE"),1,0))</f>
        <v/>
      </c>
      <c r="AM1240">
        <f>IF($C1240="","",IF($W1240="Yes",1,0))</f>
        <v/>
      </c>
      <c r="AN1240">
        <f>IF($AJ1240=1,IFERROR(IF(VALUE($C1240)&lt;100000000,VALUE($C1240),1000000000),IFERROR(IF(VALUE(MID($C1240,2,20))&lt;100000000,VALUE(MID($C1240,2,20)),1000000000),1000000000))+ROW()/100000,"")</f>
        <v/>
      </c>
    </row>
    <row r="1241">
      <c r="E1241" s="11" t="n"/>
      <c r="M1241" s="7">
        <f>IF($C1241="","",L1241*U1241/100)</f>
        <v/>
      </c>
      <c r="N1241" s="7" t="n"/>
      <c r="T1241" s="7" t="n"/>
      <c r="U1241" s="7">
        <f>IF($C1241="","",S1241*T1241)</f>
        <v/>
      </c>
      <c r="X1241">
        <f>IF($C1241="","",IF($AM1241=1,0,IF($AL1241=1,Settings!$C$6,Settings!$C$7))*100)</f>
        <v/>
      </c>
      <c r="AB1241" s="7" t="n"/>
      <c r="AE1241" s="11" t="n"/>
      <c r="AG1241" s="7">
        <f>IF($C1241="","",U1241*X1241/100)</f>
        <v/>
      </c>
      <c r="AH1241" s="7">
        <f>IF($C1241="","",U1241-AG1241)</f>
        <v/>
      </c>
      <c r="AI1241" s="7">
        <f>IF($C1241="","",AH1241-M1241)</f>
        <v/>
      </c>
      <c r="AJ1241">
        <f>IF($C1241="","",IF(COUNTIF($C$2:$C1241,$C1241)=1,1,0))</f>
        <v/>
      </c>
      <c r="AK1241">
        <f>IF($AJ1241=1,SUMPRODUCT(--($AN$2:$AN$4001&lt;$AN1241))+1,"")</f>
        <v/>
      </c>
      <c r="AL1241">
        <f>IF($C1241="","",IF(OR($Q1241=TRUE(),$Q1241="TRUE"),1,0))</f>
        <v/>
      </c>
      <c r="AM1241">
        <f>IF($C1241="","",IF($W1241="Yes",1,0))</f>
        <v/>
      </c>
      <c r="AN1241">
        <f>IF($AJ1241=1,IFERROR(IF(VALUE($C1241)&lt;100000000,VALUE($C1241),1000000000),IFERROR(IF(VALUE(MID($C1241,2,20))&lt;100000000,VALUE(MID($C1241,2,20)),1000000000),1000000000))+ROW()/100000,"")</f>
        <v/>
      </c>
    </row>
    <row r="1242">
      <c r="E1242" s="11" t="n"/>
      <c r="M1242" s="7">
        <f>IF($C1242="","",L1242*U1242/100)</f>
        <v/>
      </c>
      <c r="N1242" s="7" t="n"/>
      <c r="T1242" s="7" t="n"/>
      <c r="U1242" s="7">
        <f>IF($C1242="","",S1242*T1242)</f>
        <v/>
      </c>
      <c r="X1242">
        <f>IF($C1242="","",IF($AM1242=1,0,IF($AL1242=1,Settings!$C$6,Settings!$C$7))*100)</f>
        <v/>
      </c>
      <c r="AB1242" s="7" t="n"/>
      <c r="AE1242" s="11" t="n"/>
      <c r="AG1242" s="7">
        <f>IF($C1242="","",U1242*X1242/100)</f>
        <v/>
      </c>
      <c r="AH1242" s="7">
        <f>IF($C1242="","",U1242-AG1242)</f>
        <v/>
      </c>
      <c r="AI1242" s="7">
        <f>IF($C1242="","",AH1242-M1242)</f>
        <v/>
      </c>
      <c r="AJ1242">
        <f>IF($C1242="","",IF(COUNTIF($C$2:$C1242,$C1242)=1,1,0))</f>
        <v/>
      </c>
      <c r="AK1242">
        <f>IF($AJ1242=1,SUMPRODUCT(--($AN$2:$AN$4001&lt;$AN1242))+1,"")</f>
        <v/>
      </c>
      <c r="AL1242">
        <f>IF($C1242="","",IF(OR($Q1242=TRUE(),$Q1242="TRUE"),1,0))</f>
        <v/>
      </c>
      <c r="AM1242">
        <f>IF($C1242="","",IF($W1242="Yes",1,0))</f>
        <v/>
      </c>
      <c r="AN1242">
        <f>IF($AJ1242=1,IFERROR(IF(VALUE($C1242)&lt;100000000,VALUE($C1242),1000000000),IFERROR(IF(VALUE(MID($C1242,2,20))&lt;100000000,VALUE(MID($C1242,2,20)),1000000000),1000000000))+ROW()/100000,"")</f>
        <v/>
      </c>
    </row>
    <row r="1243">
      <c r="E1243" s="11" t="n"/>
      <c r="M1243" s="7">
        <f>IF($C1243="","",L1243*U1243/100)</f>
        <v/>
      </c>
      <c r="N1243" s="7" t="n"/>
      <c r="T1243" s="7" t="n"/>
      <c r="U1243" s="7">
        <f>IF($C1243="","",S1243*T1243)</f>
        <v/>
      </c>
      <c r="X1243">
        <f>IF($C1243="","",IF($AM1243=1,0,IF($AL1243=1,Settings!$C$6,Settings!$C$7))*100)</f>
        <v/>
      </c>
      <c r="AB1243" s="7" t="n"/>
      <c r="AE1243" s="11" t="n"/>
      <c r="AG1243" s="7">
        <f>IF($C1243="","",U1243*X1243/100)</f>
        <v/>
      </c>
      <c r="AH1243" s="7">
        <f>IF($C1243="","",U1243-AG1243)</f>
        <v/>
      </c>
      <c r="AI1243" s="7">
        <f>IF($C1243="","",AH1243-M1243)</f>
        <v/>
      </c>
      <c r="AJ1243">
        <f>IF($C1243="","",IF(COUNTIF($C$2:$C1243,$C1243)=1,1,0))</f>
        <v/>
      </c>
      <c r="AK1243">
        <f>IF($AJ1243=1,SUMPRODUCT(--($AN$2:$AN$4001&lt;$AN1243))+1,"")</f>
        <v/>
      </c>
      <c r="AL1243">
        <f>IF($C1243="","",IF(OR($Q1243=TRUE(),$Q1243="TRUE"),1,0))</f>
        <v/>
      </c>
      <c r="AM1243">
        <f>IF($C1243="","",IF($W1243="Yes",1,0))</f>
        <v/>
      </c>
      <c r="AN1243">
        <f>IF($AJ1243=1,IFERROR(IF(VALUE($C1243)&lt;100000000,VALUE($C1243),1000000000),IFERROR(IF(VALUE(MID($C1243,2,20))&lt;100000000,VALUE(MID($C1243,2,20)),1000000000),1000000000))+ROW()/100000,"")</f>
        <v/>
      </c>
    </row>
    <row r="1244">
      <c r="E1244" s="11" t="n"/>
      <c r="M1244" s="7">
        <f>IF($C1244="","",L1244*U1244/100)</f>
        <v/>
      </c>
      <c r="N1244" s="7" t="n"/>
      <c r="T1244" s="7" t="n"/>
      <c r="U1244" s="7">
        <f>IF($C1244="","",S1244*T1244)</f>
        <v/>
      </c>
      <c r="X1244">
        <f>IF($C1244="","",IF($AM1244=1,0,IF($AL1244=1,Settings!$C$6,Settings!$C$7))*100)</f>
        <v/>
      </c>
      <c r="AB1244" s="7" t="n"/>
      <c r="AE1244" s="11" t="n"/>
      <c r="AG1244" s="7">
        <f>IF($C1244="","",U1244*X1244/100)</f>
        <v/>
      </c>
      <c r="AH1244" s="7">
        <f>IF($C1244="","",U1244-AG1244)</f>
        <v/>
      </c>
      <c r="AI1244" s="7">
        <f>IF($C1244="","",AH1244-M1244)</f>
        <v/>
      </c>
      <c r="AJ1244">
        <f>IF($C1244="","",IF(COUNTIF($C$2:$C1244,$C1244)=1,1,0))</f>
        <v/>
      </c>
      <c r="AK1244">
        <f>IF($AJ1244=1,SUMPRODUCT(--($AN$2:$AN$4001&lt;$AN1244))+1,"")</f>
        <v/>
      </c>
      <c r="AL1244">
        <f>IF($C1244="","",IF(OR($Q1244=TRUE(),$Q1244="TRUE"),1,0))</f>
        <v/>
      </c>
      <c r="AM1244">
        <f>IF($C1244="","",IF($W1244="Yes",1,0))</f>
        <v/>
      </c>
      <c r="AN1244">
        <f>IF($AJ1244=1,IFERROR(IF(VALUE($C1244)&lt;100000000,VALUE($C1244),1000000000),IFERROR(IF(VALUE(MID($C1244,2,20))&lt;100000000,VALUE(MID($C1244,2,20)),1000000000),1000000000))+ROW()/100000,"")</f>
        <v/>
      </c>
    </row>
    <row r="1245">
      <c r="E1245" s="11" t="n"/>
      <c r="M1245" s="7">
        <f>IF($C1245="","",L1245*U1245/100)</f>
        <v/>
      </c>
      <c r="N1245" s="7" t="n"/>
      <c r="T1245" s="7" t="n"/>
      <c r="U1245" s="7">
        <f>IF($C1245="","",S1245*T1245)</f>
        <v/>
      </c>
      <c r="X1245">
        <f>IF($C1245="","",IF($AM1245=1,0,IF($AL1245=1,Settings!$C$6,Settings!$C$7))*100)</f>
        <v/>
      </c>
      <c r="AB1245" s="7" t="n"/>
      <c r="AE1245" s="11" t="n"/>
      <c r="AG1245" s="7">
        <f>IF($C1245="","",U1245*X1245/100)</f>
        <v/>
      </c>
      <c r="AH1245" s="7">
        <f>IF($C1245="","",U1245-AG1245)</f>
        <v/>
      </c>
      <c r="AI1245" s="7">
        <f>IF($C1245="","",AH1245-M1245)</f>
        <v/>
      </c>
      <c r="AJ1245">
        <f>IF($C1245="","",IF(COUNTIF($C$2:$C1245,$C1245)=1,1,0))</f>
        <v/>
      </c>
      <c r="AK1245">
        <f>IF($AJ1245=1,SUMPRODUCT(--($AN$2:$AN$4001&lt;$AN1245))+1,"")</f>
        <v/>
      </c>
      <c r="AL1245">
        <f>IF($C1245="","",IF(OR($Q1245=TRUE(),$Q1245="TRUE"),1,0))</f>
        <v/>
      </c>
      <c r="AM1245">
        <f>IF($C1245="","",IF($W1245="Yes",1,0))</f>
        <v/>
      </c>
      <c r="AN1245">
        <f>IF($AJ1245=1,IFERROR(IF(VALUE($C1245)&lt;100000000,VALUE($C1245),1000000000),IFERROR(IF(VALUE(MID($C1245,2,20))&lt;100000000,VALUE(MID($C1245,2,20)),1000000000),1000000000))+ROW()/100000,"")</f>
        <v/>
      </c>
    </row>
    <row r="1246">
      <c r="E1246" s="11" t="n"/>
      <c r="M1246" s="7">
        <f>IF($C1246="","",L1246*U1246/100)</f>
        <v/>
      </c>
      <c r="N1246" s="7" t="n"/>
      <c r="T1246" s="7" t="n"/>
      <c r="U1246" s="7">
        <f>IF($C1246="","",S1246*T1246)</f>
        <v/>
      </c>
      <c r="X1246">
        <f>IF($C1246="","",IF($AM1246=1,0,IF($AL1246=1,Settings!$C$6,Settings!$C$7))*100)</f>
        <v/>
      </c>
      <c r="AB1246" s="7" t="n"/>
      <c r="AE1246" s="11" t="n"/>
      <c r="AG1246" s="7">
        <f>IF($C1246="","",U1246*X1246/100)</f>
        <v/>
      </c>
      <c r="AH1246" s="7">
        <f>IF($C1246="","",U1246-AG1246)</f>
        <v/>
      </c>
      <c r="AI1246" s="7">
        <f>IF($C1246="","",AH1246-M1246)</f>
        <v/>
      </c>
      <c r="AJ1246">
        <f>IF($C1246="","",IF(COUNTIF($C$2:$C1246,$C1246)=1,1,0))</f>
        <v/>
      </c>
      <c r="AK1246">
        <f>IF($AJ1246=1,SUMPRODUCT(--($AN$2:$AN$4001&lt;$AN1246))+1,"")</f>
        <v/>
      </c>
      <c r="AL1246">
        <f>IF($C1246="","",IF(OR($Q1246=TRUE(),$Q1246="TRUE"),1,0))</f>
        <v/>
      </c>
      <c r="AM1246">
        <f>IF($C1246="","",IF($W1246="Yes",1,0))</f>
        <v/>
      </c>
      <c r="AN1246">
        <f>IF($AJ1246=1,IFERROR(IF(VALUE($C1246)&lt;100000000,VALUE($C1246),1000000000),IFERROR(IF(VALUE(MID($C1246,2,20))&lt;100000000,VALUE(MID($C1246,2,20)),1000000000),1000000000))+ROW()/100000,"")</f>
        <v/>
      </c>
    </row>
    <row r="1247">
      <c r="E1247" s="11" t="n"/>
      <c r="M1247" s="7">
        <f>IF($C1247="","",L1247*U1247/100)</f>
        <v/>
      </c>
      <c r="N1247" s="7" t="n"/>
      <c r="T1247" s="7" t="n"/>
      <c r="U1247" s="7">
        <f>IF($C1247="","",S1247*T1247)</f>
        <v/>
      </c>
      <c r="X1247">
        <f>IF($C1247="","",IF($AM1247=1,0,IF($AL1247=1,Settings!$C$6,Settings!$C$7))*100)</f>
        <v/>
      </c>
      <c r="AB1247" s="7" t="n"/>
      <c r="AE1247" s="11" t="n"/>
      <c r="AG1247" s="7">
        <f>IF($C1247="","",U1247*X1247/100)</f>
        <v/>
      </c>
      <c r="AH1247" s="7">
        <f>IF($C1247="","",U1247-AG1247)</f>
        <v/>
      </c>
      <c r="AI1247" s="7">
        <f>IF($C1247="","",AH1247-M1247)</f>
        <v/>
      </c>
      <c r="AJ1247">
        <f>IF($C1247="","",IF(COUNTIF($C$2:$C1247,$C1247)=1,1,0))</f>
        <v/>
      </c>
      <c r="AK1247">
        <f>IF($AJ1247=1,SUMPRODUCT(--($AN$2:$AN$4001&lt;$AN1247))+1,"")</f>
        <v/>
      </c>
      <c r="AL1247">
        <f>IF($C1247="","",IF(OR($Q1247=TRUE(),$Q1247="TRUE"),1,0))</f>
        <v/>
      </c>
      <c r="AM1247">
        <f>IF($C1247="","",IF($W1247="Yes",1,0))</f>
        <v/>
      </c>
      <c r="AN1247">
        <f>IF($AJ1247=1,IFERROR(IF(VALUE($C1247)&lt;100000000,VALUE($C1247),1000000000),IFERROR(IF(VALUE(MID($C1247,2,20))&lt;100000000,VALUE(MID($C1247,2,20)),1000000000),1000000000))+ROW()/100000,"")</f>
        <v/>
      </c>
    </row>
    <row r="1248">
      <c r="E1248" s="11" t="n"/>
      <c r="M1248" s="7">
        <f>IF($C1248="","",L1248*U1248/100)</f>
        <v/>
      </c>
      <c r="N1248" s="7" t="n"/>
      <c r="T1248" s="7" t="n"/>
      <c r="U1248" s="7">
        <f>IF($C1248="","",S1248*T1248)</f>
        <v/>
      </c>
      <c r="X1248">
        <f>IF($C1248="","",IF($AM1248=1,0,IF($AL1248=1,Settings!$C$6,Settings!$C$7))*100)</f>
        <v/>
      </c>
      <c r="AB1248" s="7" t="n"/>
      <c r="AE1248" s="11" t="n"/>
      <c r="AG1248" s="7">
        <f>IF($C1248="","",U1248*X1248/100)</f>
        <v/>
      </c>
      <c r="AH1248" s="7">
        <f>IF($C1248="","",U1248-AG1248)</f>
        <v/>
      </c>
      <c r="AI1248" s="7">
        <f>IF($C1248="","",AH1248-M1248)</f>
        <v/>
      </c>
      <c r="AJ1248">
        <f>IF($C1248="","",IF(COUNTIF($C$2:$C1248,$C1248)=1,1,0))</f>
        <v/>
      </c>
      <c r="AK1248">
        <f>IF($AJ1248=1,SUMPRODUCT(--($AN$2:$AN$4001&lt;$AN1248))+1,"")</f>
        <v/>
      </c>
      <c r="AL1248">
        <f>IF($C1248="","",IF(OR($Q1248=TRUE(),$Q1248="TRUE"),1,0))</f>
        <v/>
      </c>
      <c r="AM1248">
        <f>IF($C1248="","",IF($W1248="Yes",1,0))</f>
        <v/>
      </c>
      <c r="AN1248">
        <f>IF($AJ1248=1,IFERROR(IF(VALUE($C1248)&lt;100000000,VALUE($C1248),1000000000),IFERROR(IF(VALUE(MID($C1248,2,20))&lt;100000000,VALUE(MID($C1248,2,20)),1000000000),1000000000))+ROW()/100000,"")</f>
        <v/>
      </c>
    </row>
    <row r="1249">
      <c r="E1249" s="11" t="n"/>
      <c r="M1249" s="7">
        <f>IF($C1249="","",L1249*U1249/100)</f>
        <v/>
      </c>
      <c r="N1249" s="7" t="n"/>
      <c r="T1249" s="7" t="n"/>
      <c r="U1249" s="7">
        <f>IF($C1249="","",S1249*T1249)</f>
        <v/>
      </c>
      <c r="X1249">
        <f>IF($C1249="","",IF($AM1249=1,0,IF($AL1249=1,Settings!$C$6,Settings!$C$7))*100)</f>
        <v/>
      </c>
      <c r="AB1249" s="7" t="n"/>
      <c r="AE1249" s="11" t="n"/>
      <c r="AG1249" s="7">
        <f>IF($C1249="","",U1249*X1249/100)</f>
        <v/>
      </c>
      <c r="AH1249" s="7">
        <f>IF($C1249="","",U1249-AG1249)</f>
        <v/>
      </c>
      <c r="AI1249" s="7">
        <f>IF($C1249="","",AH1249-M1249)</f>
        <v/>
      </c>
      <c r="AJ1249">
        <f>IF($C1249="","",IF(COUNTIF($C$2:$C1249,$C1249)=1,1,0))</f>
        <v/>
      </c>
      <c r="AK1249">
        <f>IF($AJ1249=1,SUMPRODUCT(--($AN$2:$AN$4001&lt;$AN1249))+1,"")</f>
        <v/>
      </c>
      <c r="AL1249">
        <f>IF($C1249="","",IF(OR($Q1249=TRUE(),$Q1249="TRUE"),1,0))</f>
        <v/>
      </c>
      <c r="AM1249">
        <f>IF($C1249="","",IF($W1249="Yes",1,0))</f>
        <v/>
      </c>
      <c r="AN1249">
        <f>IF($AJ1249=1,IFERROR(IF(VALUE($C1249)&lt;100000000,VALUE($C1249),1000000000),IFERROR(IF(VALUE(MID($C1249,2,20))&lt;100000000,VALUE(MID($C1249,2,20)),1000000000),1000000000))+ROW()/100000,"")</f>
        <v/>
      </c>
    </row>
    <row r="1250">
      <c r="E1250" s="11" t="n"/>
      <c r="M1250" s="7">
        <f>IF($C1250="","",L1250*U1250/100)</f>
        <v/>
      </c>
      <c r="N1250" s="7" t="n"/>
      <c r="T1250" s="7" t="n"/>
      <c r="U1250" s="7">
        <f>IF($C1250="","",S1250*T1250)</f>
        <v/>
      </c>
      <c r="X1250">
        <f>IF($C1250="","",IF($AM1250=1,0,IF($AL1250=1,Settings!$C$6,Settings!$C$7))*100)</f>
        <v/>
      </c>
      <c r="AB1250" s="7" t="n"/>
      <c r="AE1250" s="11" t="n"/>
      <c r="AG1250" s="7">
        <f>IF($C1250="","",U1250*X1250/100)</f>
        <v/>
      </c>
      <c r="AH1250" s="7">
        <f>IF($C1250="","",U1250-AG1250)</f>
        <v/>
      </c>
      <c r="AI1250" s="7">
        <f>IF($C1250="","",AH1250-M1250)</f>
        <v/>
      </c>
      <c r="AJ1250">
        <f>IF($C1250="","",IF(COUNTIF($C$2:$C1250,$C1250)=1,1,0))</f>
        <v/>
      </c>
      <c r="AK1250">
        <f>IF($AJ1250=1,SUMPRODUCT(--($AN$2:$AN$4001&lt;$AN1250))+1,"")</f>
        <v/>
      </c>
      <c r="AL1250">
        <f>IF($C1250="","",IF(OR($Q1250=TRUE(),$Q1250="TRUE"),1,0))</f>
        <v/>
      </c>
      <c r="AM1250">
        <f>IF($C1250="","",IF($W1250="Yes",1,0))</f>
        <v/>
      </c>
      <c r="AN1250">
        <f>IF($AJ1250=1,IFERROR(IF(VALUE($C1250)&lt;100000000,VALUE($C1250),1000000000),IFERROR(IF(VALUE(MID($C1250,2,20))&lt;100000000,VALUE(MID($C1250,2,20)),1000000000),1000000000))+ROW()/100000,"")</f>
        <v/>
      </c>
    </row>
    <row r="1251">
      <c r="E1251" s="11" t="n"/>
      <c r="M1251" s="7">
        <f>IF($C1251="","",L1251*U1251/100)</f>
        <v/>
      </c>
      <c r="N1251" s="7" t="n"/>
      <c r="T1251" s="7" t="n"/>
      <c r="U1251" s="7">
        <f>IF($C1251="","",S1251*T1251)</f>
        <v/>
      </c>
      <c r="X1251">
        <f>IF($C1251="","",IF($AM1251=1,0,IF($AL1251=1,Settings!$C$6,Settings!$C$7))*100)</f>
        <v/>
      </c>
      <c r="AB1251" s="7" t="n"/>
      <c r="AE1251" s="11" t="n"/>
      <c r="AG1251" s="7">
        <f>IF($C1251="","",U1251*X1251/100)</f>
        <v/>
      </c>
      <c r="AH1251" s="7">
        <f>IF($C1251="","",U1251-AG1251)</f>
        <v/>
      </c>
      <c r="AI1251" s="7">
        <f>IF($C1251="","",AH1251-M1251)</f>
        <v/>
      </c>
      <c r="AJ1251">
        <f>IF($C1251="","",IF(COUNTIF($C$2:$C1251,$C1251)=1,1,0))</f>
        <v/>
      </c>
      <c r="AK1251">
        <f>IF($AJ1251=1,SUMPRODUCT(--($AN$2:$AN$4001&lt;$AN1251))+1,"")</f>
        <v/>
      </c>
      <c r="AL1251">
        <f>IF($C1251="","",IF(OR($Q1251=TRUE(),$Q1251="TRUE"),1,0))</f>
        <v/>
      </c>
      <c r="AM1251">
        <f>IF($C1251="","",IF($W1251="Yes",1,0))</f>
        <v/>
      </c>
      <c r="AN1251">
        <f>IF($AJ1251=1,IFERROR(IF(VALUE($C1251)&lt;100000000,VALUE($C1251),1000000000),IFERROR(IF(VALUE(MID($C1251,2,20))&lt;100000000,VALUE(MID($C1251,2,20)),1000000000),1000000000))+ROW()/100000,"")</f>
        <v/>
      </c>
    </row>
    <row r="1252">
      <c r="E1252" s="11" t="n"/>
      <c r="M1252" s="7">
        <f>IF($C1252="","",L1252*U1252/100)</f>
        <v/>
      </c>
      <c r="N1252" s="7" t="n"/>
      <c r="T1252" s="7" t="n"/>
      <c r="U1252" s="7">
        <f>IF($C1252="","",S1252*T1252)</f>
        <v/>
      </c>
      <c r="X1252">
        <f>IF($C1252="","",IF($AM1252=1,0,IF($AL1252=1,Settings!$C$6,Settings!$C$7))*100)</f>
        <v/>
      </c>
      <c r="AB1252" s="7" t="n"/>
      <c r="AE1252" s="11" t="n"/>
      <c r="AG1252" s="7">
        <f>IF($C1252="","",U1252*X1252/100)</f>
        <v/>
      </c>
      <c r="AH1252" s="7">
        <f>IF($C1252="","",U1252-AG1252)</f>
        <v/>
      </c>
      <c r="AI1252" s="7">
        <f>IF($C1252="","",AH1252-M1252)</f>
        <v/>
      </c>
      <c r="AJ1252">
        <f>IF($C1252="","",IF(COUNTIF($C$2:$C1252,$C1252)=1,1,0))</f>
        <v/>
      </c>
      <c r="AK1252">
        <f>IF($AJ1252=1,SUMPRODUCT(--($AN$2:$AN$4001&lt;$AN1252))+1,"")</f>
        <v/>
      </c>
      <c r="AL1252">
        <f>IF($C1252="","",IF(OR($Q1252=TRUE(),$Q1252="TRUE"),1,0))</f>
        <v/>
      </c>
      <c r="AM1252">
        <f>IF($C1252="","",IF($W1252="Yes",1,0))</f>
        <v/>
      </c>
      <c r="AN1252">
        <f>IF($AJ1252=1,IFERROR(IF(VALUE($C1252)&lt;100000000,VALUE($C1252),1000000000),IFERROR(IF(VALUE(MID($C1252,2,20))&lt;100000000,VALUE(MID($C1252,2,20)),1000000000),1000000000))+ROW()/100000,"")</f>
        <v/>
      </c>
    </row>
    <row r="1253">
      <c r="E1253" s="11" t="n"/>
      <c r="M1253" s="7">
        <f>IF($C1253="","",L1253*U1253/100)</f>
        <v/>
      </c>
      <c r="N1253" s="7" t="n"/>
      <c r="T1253" s="7" t="n"/>
      <c r="U1253" s="7">
        <f>IF($C1253="","",S1253*T1253)</f>
        <v/>
      </c>
      <c r="X1253">
        <f>IF($C1253="","",IF($AM1253=1,0,IF($AL1253=1,Settings!$C$6,Settings!$C$7))*100)</f>
        <v/>
      </c>
      <c r="AB1253" s="7" t="n"/>
      <c r="AE1253" s="11" t="n"/>
      <c r="AG1253" s="7">
        <f>IF($C1253="","",U1253*X1253/100)</f>
        <v/>
      </c>
      <c r="AH1253" s="7">
        <f>IF($C1253="","",U1253-AG1253)</f>
        <v/>
      </c>
      <c r="AI1253" s="7">
        <f>IF($C1253="","",AH1253-M1253)</f>
        <v/>
      </c>
      <c r="AJ1253">
        <f>IF($C1253="","",IF(COUNTIF($C$2:$C1253,$C1253)=1,1,0))</f>
        <v/>
      </c>
      <c r="AK1253">
        <f>IF($AJ1253=1,SUMPRODUCT(--($AN$2:$AN$4001&lt;$AN1253))+1,"")</f>
        <v/>
      </c>
      <c r="AL1253">
        <f>IF($C1253="","",IF(OR($Q1253=TRUE(),$Q1253="TRUE"),1,0))</f>
        <v/>
      </c>
      <c r="AM1253">
        <f>IF($C1253="","",IF($W1253="Yes",1,0))</f>
        <v/>
      </c>
      <c r="AN1253">
        <f>IF($AJ1253=1,IFERROR(IF(VALUE($C1253)&lt;100000000,VALUE($C1253),1000000000),IFERROR(IF(VALUE(MID($C1253,2,20))&lt;100000000,VALUE(MID($C1253,2,20)),1000000000),1000000000))+ROW()/100000,"")</f>
        <v/>
      </c>
    </row>
    <row r="1254">
      <c r="E1254" s="11" t="n"/>
      <c r="M1254" s="7">
        <f>IF($C1254="","",L1254*U1254/100)</f>
        <v/>
      </c>
      <c r="N1254" s="7" t="n"/>
      <c r="T1254" s="7" t="n"/>
      <c r="U1254" s="7">
        <f>IF($C1254="","",S1254*T1254)</f>
        <v/>
      </c>
      <c r="X1254">
        <f>IF($C1254="","",IF($AM1254=1,0,IF($AL1254=1,Settings!$C$6,Settings!$C$7))*100)</f>
        <v/>
      </c>
      <c r="AB1254" s="7" t="n"/>
      <c r="AE1254" s="11" t="n"/>
      <c r="AG1254" s="7">
        <f>IF($C1254="","",U1254*X1254/100)</f>
        <v/>
      </c>
      <c r="AH1254" s="7">
        <f>IF($C1254="","",U1254-AG1254)</f>
        <v/>
      </c>
      <c r="AI1254" s="7">
        <f>IF($C1254="","",AH1254-M1254)</f>
        <v/>
      </c>
      <c r="AJ1254">
        <f>IF($C1254="","",IF(COUNTIF($C$2:$C1254,$C1254)=1,1,0))</f>
        <v/>
      </c>
      <c r="AK1254">
        <f>IF($AJ1254=1,SUMPRODUCT(--($AN$2:$AN$4001&lt;$AN1254))+1,"")</f>
        <v/>
      </c>
      <c r="AL1254">
        <f>IF($C1254="","",IF(OR($Q1254=TRUE(),$Q1254="TRUE"),1,0))</f>
        <v/>
      </c>
      <c r="AM1254">
        <f>IF($C1254="","",IF($W1254="Yes",1,0))</f>
        <v/>
      </c>
      <c r="AN1254">
        <f>IF($AJ1254=1,IFERROR(IF(VALUE($C1254)&lt;100000000,VALUE($C1254),1000000000),IFERROR(IF(VALUE(MID($C1254,2,20))&lt;100000000,VALUE(MID($C1254,2,20)),1000000000),1000000000))+ROW()/100000,"")</f>
        <v/>
      </c>
    </row>
    <row r="1255">
      <c r="E1255" s="11" t="n"/>
      <c r="M1255" s="7">
        <f>IF($C1255="","",L1255*U1255/100)</f>
        <v/>
      </c>
      <c r="N1255" s="7" t="n"/>
      <c r="T1255" s="7" t="n"/>
      <c r="U1255" s="7">
        <f>IF($C1255="","",S1255*T1255)</f>
        <v/>
      </c>
      <c r="X1255">
        <f>IF($C1255="","",IF($AM1255=1,0,IF($AL1255=1,Settings!$C$6,Settings!$C$7))*100)</f>
        <v/>
      </c>
      <c r="AB1255" s="7" t="n"/>
      <c r="AE1255" s="11" t="n"/>
      <c r="AG1255" s="7">
        <f>IF($C1255="","",U1255*X1255/100)</f>
        <v/>
      </c>
      <c r="AH1255" s="7">
        <f>IF($C1255="","",U1255-AG1255)</f>
        <v/>
      </c>
      <c r="AI1255" s="7">
        <f>IF($C1255="","",AH1255-M1255)</f>
        <v/>
      </c>
      <c r="AJ1255">
        <f>IF($C1255="","",IF(COUNTIF($C$2:$C1255,$C1255)=1,1,0))</f>
        <v/>
      </c>
      <c r="AK1255">
        <f>IF($AJ1255=1,SUMPRODUCT(--($AN$2:$AN$4001&lt;$AN1255))+1,"")</f>
        <v/>
      </c>
      <c r="AL1255">
        <f>IF($C1255="","",IF(OR($Q1255=TRUE(),$Q1255="TRUE"),1,0))</f>
        <v/>
      </c>
      <c r="AM1255">
        <f>IF($C1255="","",IF($W1255="Yes",1,0))</f>
        <v/>
      </c>
      <c r="AN1255">
        <f>IF($AJ1255=1,IFERROR(IF(VALUE($C1255)&lt;100000000,VALUE($C1255),1000000000),IFERROR(IF(VALUE(MID($C1255,2,20))&lt;100000000,VALUE(MID($C1255,2,20)),1000000000),1000000000))+ROW()/100000,"")</f>
        <v/>
      </c>
    </row>
    <row r="1256">
      <c r="E1256" s="11" t="n"/>
      <c r="M1256" s="7">
        <f>IF($C1256="","",L1256*U1256/100)</f>
        <v/>
      </c>
      <c r="N1256" s="7" t="n"/>
      <c r="T1256" s="7" t="n"/>
      <c r="U1256" s="7">
        <f>IF($C1256="","",S1256*T1256)</f>
        <v/>
      </c>
      <c r="X1256">
        <f>IF($C1256="","",IF($AM1256=1,0,IF($AL1256=1,Settings!$C$6,Settings!$C$7))*100)</f>
        <v/>
      </c>
      <c r="AB1256" s="7" t="n"/>
      <c r="AE1256" s="11" t="n"/>
      <c r="AG1256" s="7">
        <f>IF($C1256="","",U1256*X1256/100)</f>
        <v/>
      </c>
      <c r="AH1256" s="7">
        <f>IF($C1256="","",U1256-AG1256)</f>
        <v/>
      </c>
      <c r="AI1256" s="7">
        <f>IF($C1256="","",AH1256-M1256)</f>
        <v/>
      </c>
      <c r="AJ1256">
        <f>IF($C1256="","",IF(COUNTIF($C$2:$C1256,$C1256)=1,1,0))</f>
        <v/>
      </c>
      <c r="AK1256">
        <f>IF($AJ1256=1,SUMPRODUCT(--($AN$2:$AN$4001&lt;$AN1256))+1,"")</f>
        <v/>
      </c>
      <c r="AL1256">
        <f>IF($C1256="","",IF(OR($Q1256=TRUE(),$Q1256="TRUE"),1,0))</f>
        <v/>
      </c>
      <c r="AM1256">
        <f>IF($C1256="","",IF($W1256="Yes",1,0))</f>
        <v/>
      </c>
      <c r="AN1256">
        <f>IF($AJ1256=1,IFERROR(IF(VALUE($C1256)&lt;100000000,VALUE($C1256),1000000000),IFERROR(IF(VALUE(MID($C1256,2,20))&lt;100000000,VALUE(MID($C1256,2,20)),1000000000),1000000000))+ROW()/100000,"")</f>
        <v/>
      </c>
    </row>
    <row r="1257">
      <c r="E1257" s="11" t="n"/>
      <c r="M1257" s="7">
        <f>IF($C1257="","",L1257*U1257/100)</f>
        <v/>
      </c>
      <c r="N1257" s="7" t="n"/>
      <c r="T1257" s="7" t="n"/>
      <c r="U1257" s="7">
        <f>IF($C1257="","",S1257*T1257)</f>
        <v/>
      </c>
      <c r="X1257">
        <f>IF($C1257="","",IF($AM1257=1,0,IF($AL1257=1,Settings!$C$6,Settings!$C$7))*100)</f>
        <v/>
      </c>
      <c r="AB1257" s="7" t="n"/>
      <c r="AE1257" s="11" t="n"/>
      <c r="AG1257" s="7">
        <f>IF($C1257="","",U1257*X1257/100)</f>
        <v/>
      </c>
      <c r="AH1257" s="7">
        <f>IF($C1257="","",U1257-AG1257)</f>
        <v/>
      </c>
      <c r="AI1257" s="7">
        <f>IF($C1257="","",AH1257-M1257)</f>
        <v/>
      </c>
      <c r="AJ1257">
        <f>IF($C1257="","",IF(COUNTIF($C$2:$C1257,$C1257)=1,1,0))</f>
        <v/>
      </c>
      <c r="AK1257">
        <f>IF($AJ1257=1,SUMPRODUCT(--($AN$2:$AN$4001&lt;$AN1257))+1,"")</f>
        <v/>
      </c>
      <c r="AL1257">
        <f>IF($C1257="","",IF(OR($Q1257=TRUE(),$Q1257="TRUE"),1,0))</f>
        <v/>
      </c>
      <c r="AM1257">
        <f>IF($C1257="","",IF($W1257="Yes",1,0))</f>
        <v/>
      </c>
      <c r="AN1257">
        <f>IF($AJ1257=1,IFERROR(IF(VALUE($C1257)&lt;100000000,VALUE($C1257),1000000000),IFERROR(IF(VALUE(MID($C1257,2,20))&lt;100000000,VALUE(MID($C1257,2,20)),1000000000),1000000000))+ROW()/100000,"")</f>
        <v/>
      </c>
    </row>
    <row r="1258">
      <c r="E1258" s="11" t="n"/>
      <c r="M1258" s="7">
        <f>IF($C1258="","",L1258*U1258/100)</f>
        <v/>
      </c>
      <c r="N1258" s="7" t="n"/>
      <c r="T1258" s="7" t="n"/>
      <c r="U1258" s="7">
        <f>IF($C1258="","",S1258*T1258)</f>
        <v/>
      </c>
      <c r="X1258">
        <f>IF($C1258="","",IF($AM1258=1,0,IF($AL1258=1,Settings!$C$6,Settings!$C$7))*100)</f>
        <v/>
      </c>
      <c r="AB1258" s="7" t="n"/>
      <c r="AE1258" s="11" t="n"/>
      <c r="AG1258" s="7">
        <f>IF($C1258="","",U1258*X1258/100)</f>
        <v/>
      </c>
      <c r="AH1258" s="7">
        <f>IF($C1258="","",U1258-AG1258)</f>
        <v/>
      </c>
      <c r="AI1258" s="7">
        <f>IF($C1258="","",AH1258-M1258)</f>
        <v/>
      </c>
      <c r="AJ1258">
        <f>IF($C1258="","",IF(COUNTIF($C$2:$C1258,$C1258)=1,1,0))</f>
        <v/>
      </c>
      <c r="AK1258">
        <f>IF($AJ1258=1,SUMPRODUCT(--($AN$2:$AN$4001&lt;$AN1258))+1,"")</f>
        <v/>
      </c>
      <c r="AL1258">
        <f>IF($C1258="","",IF(OR($Q1258=TRUE(),$Q1258="TRUE"),1,0))</f>
        <v/>
      </c>
      <c r="AM1258">
        <f>IF($C1258="","",IF($W1258="Yes",1,0))</f>
        <v/>
      </c>
      <c r="AN1258">
        <f>IF($AJ1258=1,IFERROR(IF(VALUE($C1258)&lt;100000000,VALUE($C1258),1000000000),IFERROR(IF(VALUE(MID($C1258,2,20))&lt;100000000,VALUE(MID($C1258,2,20)),1000000000),1000000000))+ROW()/100000,"")</f>
        <v/>
      </c>
    </row>
    <row r="1259">
      <c r="E1259" s="11" t="n"/>
      <c r="M1259" s="7">
        <f>IF($C1259="","",L1259*U1259/100)</f>
        <v/>
      </c>
      <c r="N1259" s="7" t="n"/>
      <c r="T1259" s="7" t="n"/>
      <c r="U1259" s="7">
        <f>IF($C1259="","",S1259*T1259)</f>
        <v/>
      </c>
      <c r="X1259">
        <f>IF($C1259="","",IF($AM1259=1,0,IF($AL1259=1,Settings!$C$6,Settings!$C$7))*100)</f>
        <v/>
      </c>
      <c r="AB1259" s="7" t="n"/>
      <c r="AE1259" s="11" t="n"/>
      <c r="AG1259" s="7">
        <f>IF($C1259="","",U1259*X1259/100)</f>
        <v/>
      </c>
      <c r="AH1259" s="7">
        <f>IF($C1259="","",U1259-AG1259)</f>
        <v/>
      </c>
      <c r="AI1259" s="7">
        <f>IF($C1259="","",AH1259-M1259)</f>
        <v/>
      </c>
      <c r="AJ1259">
        <f>IF($C1259="","",IF(COUNTIF($C$2:$C1259,$C1259)=1,1,0))</f>
        <v/>
      </c>
      <c r="AK1259">
        <f>IF($AJ1259=1,SUMPRODUCT(--($AN$2:$AN$4001&lt;$AN1259))+1,"")</f>
        <v/>
      </c>
      <c r="AL1259">
        <f>IF($C1259="","",IF(OR($Q1259=TRUE(),$Q1259="TRUE"),1,0))</f>
        <v/>
      </c>
      <c r="AM1259">
        <f>IF($C1259="","",IF($W1259="Yes",1,0))</f>
        <v/>
      </c>
      <c r="AN1259">
        <f>IF($AJ1259=1,IFERROR(IF(VALUE($C1259)&lt;100000000,VALUE($C1259),1000000000),IFERROR(IF(VALUE(MID($C1259,2,20))&lt;100000000,VALUE(MID($C1259,2,20)),1000000000),1000000000))+ROW()/100000,"")</f>
        <v/>
      </c>
    </row>
    <row r="1260">
      <c r="E1260" s="11" t="n"/>
      <c r="M1260" s="7">
        <f>IF($C1260="","",L1260*U1260/100)</f>
        <v/>
      </c>
      <c r="N1260" s="7" t="n"/>
      <c r="T1260" s="7" t="n"/>
      <c r="U1260" s="7">
        <f>IF($C1260="","",S1260*T1260)</f>
        <v/>
      </c>
      <c r="X1260">
        <f>IF($C1260="","",IF($AM1260=1,0,IF($AL1260=1,Settings!$C$6,Settings!$C$7))*100)</f>
        <v/>
      </c>
      <c r="AB1260" s="7" t="n"/>
      <c r="AE1260" s="11" t="n"/>
      <c r="AG1260" s="7">
        <f>IF($C1260="","",U1260*X1260/100)</f>
        <v/>
      </c>
      <c r="AH1260" s="7">
        <f>IF($C1260="","",U1260-AG1260)</f>
        <v/>
      </c>
      <c r="AI1260" s="7">
        <f>IF($C1260="","",AH1260-M1260)</f>
        <v/>
      </c>
      <c r="AJ1260">
        <f>IF($C1260="","",IF(COUNTIF($C$2:$C1260,$C1260)=1,1,0))</f>
        <v/>
      </c>
      <c r="AK1260">
        <f>IF($AJ1260=1,SUMPRODUCT(--($AN$2:$AN$4001&lt;$AN1260))+1,"")</f>
        <v/>
      </c>
      <c r="AL1260">
        <f>IF($C1260="","",IF(OR($Q1260=TRUE(),$Q1260="TRUE"),1,0))</f>
        <v/>
      </c>
      <c r="AM1260">
        <f>IF($C1260="","",IF($W1260="Yes",1,0))</f>
        <v/>
      </c>
      <c r="AN1260">
        <f>IF($AJ1260=1,IFERROR(IF(VALUE($C1260)&lt;100000000,VALUE($C1260),1000000000),IFERROR(IF(VALUE(MID($C1260,2,20))&lt;100000000,VALUE(MID($C1260,2,20)),1000000000),1000000000))+ROW()/100000,"")</f>
        <v/>
      </c>
    </row>
    <row r="1261">
      <c r="E1261" s="11" t="n"/>
      <c r="M1261" s="7">
        <f>IF($C1261="","",L1261*U1261/100)</f>
        <v/>
      </c>
      <c r="N1261" s="7" t="n"/>
      <c r="T1261" s="7" t="n"/>
      <c r="U1261" s="7">
        <f>IF($C1261="","",S1261*T1261)</f>
        <v/>
      </c>
      <c r="X1261">
        <f>IF($C1261="","",IF($AM1261=1,0,IF($AL1261=1,Settings!$C$6,Settings!$C$7))*100)</f>
        <v/>
      </c>
      <c r="AB1261" s="7" t="n"/>
      <c r="AE1261" s="11" t="n"/>
      <c r="AG1261" s="7">
        <f>IF($C1261="","",U1261*X1261/100)</f>
        <v/>
      </c>
      <c r="AH1261" s="7">
        <f>IF($C1261="","",U1261-AG1261)</f>
        <v/>
      </c>
      <c r="AI1261" s="7">
        <f>IF($C1261="","",AH1261-M1261)</f>
        <v/>
      </c>
      <c r="AJ1261">
        <f>IF($C1261="","",IF(COUNTIF($C$2:$C1261,$C1261)=1,1,0))</f>
        <v/>
      </c>
      <c r="AK1261">
        <f>IF($AJ1261=1,SUMPRODUCT(--($AN$2:$AN$4001&lt;$AN1261))+1,"")</f>
        <v/>
      </c>
      <c r="AL1261">
        <f>IF($C1261="","",IF(OR($Q1261=TRUE(),$Q1261="TRUE"),1,0))</f>
        <v/>
      </c>
      <c r="AM1261">
        <f>IF($C1261="","",IF($W1261="Yes",1,0))</f>
        <v/>
      </c>
      <c r="AN1261">
        <f>IF($AJ1261=1,IFERROR(IF(VALUE($C1261)&lt;100000000,VALUE($C1261),1000000000),IFERROR(IF(VALUE(MID($C1261,2,20))&lt;100000000,VALUE(MID($C1261,2,20)),1000000000),1000000000))+ROW()/100000,"")</f>
        <v/>
      </c>
    </row>
    <row r="1262">
      <c r="E1262" s="11" t="n"/>
      <c r="M1262" s="7">
        <f>IF($C1262="","",L1262*U1262/100)</f>
        <v/>
      </c>
      <c r="N1262" s="7" t="n"/>
      <c r="T1262" s="7" t="n"/>
      <c r="U1262" s="7">
        <f>IF($C1262="","",S1262*T1262)</f>
        <v/>
      </c>
      <c r="X1262">
        <f>IF($C1262="","",IF($AM1262=1,0,IF($AL1262=1,Settings!$C$6,Settings!$C$7))*100)</f>
        <v/>
      </c>
      <c r="AB1262" s="7" t="n"/>
      <c r="AE1262" s="11" t="n"/>
      <c r="AG1262" s="7">
        <f>IF($C1262="","",U1262*X1262/100)</f>
        <v/>
      </c>
      <c r="AH1262" s="7">
        <f>IF($C1262="","",U1262-AG1262)</f>
        <v/>
      </c>
      <c r="AI1262" s="7">
        <f>IF($C1262="","",AH1262-M1262)</f>
        <v/>
      </c>
      <c r="AJ1262">
        <f>IF($C1262="","",IF(COUNTIF($C$2:$C1262,$C1262)=1,1,0))</f>
        <v/>
      </c>
      <c r="AK1262">
        <f>IF($AJ1262=1,SUMPRODUCT(--($AN$2:$AN$4001&lt;$AN1262))+1,"")</f>
        <v/>
      </c>
      <c r="AL1262">
        <f>IF($C1262="","",IF(OR($Q1262=TRUE(),$Q1262="TRUE"),1,0))</f>
        <v/>
      </c>
      <c r="AM1262">
        <f>IF($C1262="","",IF($W1262="Yes",1,0))</f>
        <v/>
      </c>
      <c r="AN1262">
        <f>IF($AJ1262=1,IFERROR(IF(VALUE($C1262)&lt;100000000,VALUE($C1262),1000000000),IFERROR(IF(VALUE(MID($C1262,2,20))&lt;100000000,VALUE(MID($C1262,2,20)),1000000000),1000000000))+ROW()/100000,"")</f>
        <v/>
      </c>
    </row>
    <row r="1263">
      <c r="E1263" s="11" t="n"/>
      <c r="M1263" s="7">
        <f>IF($C1263="","",L1263*U1263/100)</f>
        <v/>
      </c>
      <c r="N1263" s="7" t="n"/>
      <c r="T1263" s="7" t="n"/>
      <c r="U1263" s="7">
        <f>IF($C1263="","",S1263*T1263)</f>
        <v/>
      </c>
      <c r="X1263">
        <f>IF($C1263="","",IF($AM1263=1,0,IF($AL1263=1,Settings!$C$6,Settings!$C$7))*100)</f>
        <v/>
      </c>
      <c r="AB1263" s="7" t="n"/>
      <c r="AE1263" s="11" t="n"/>
      <c r="AG1263" s="7">
        <f>IF($C1263="","",U1263*X1263/100)</f>
        <v/>
      </c>
      <c r="AH1263" s="7">
        <f>IF($C1263="","",U1263-AG1263)</f>
        <v/>
      </c>
      <c r="AI1263" s="7">
        <f>IF($C1263="","",AH1263-M1263)</f>
        <v/>
      </c>
      <c r="AJ1263">
        <f>IF($C1263="","",IF(COUNTIF($C$2:$C1263,$C1263)=1,1,0))</f>
        <v/>
      </c>
      <c r="AK1263">
        <f>IF($AJ1263=1,SUMPRODUCT(--($AN$2:$AN$4001&lt;$AN1263))+1,"")</f>
        <v/>
      </c>
      <c r="AL1263">
        <f>IF($C1263="","",IF(OR($Q1263=TRUE(),$Q1263="TRUE"),1,0))</f>
        <v/>
      </c>
      <c r="AM1263">
        <f>IF($C1263="","",IF($W1263="Yes",1,0))</f>
        <v/>
      </c>
      <c r="AN1263">
        <f>IF($AJ1263=1,IFERROR(IF(VALUE($C1263)&lt;100000000,VALUE($C1263),1000000000),IFERROR(IF(VALUE(MID($C1263,2,20))&lt;100000000,VALUE(MID($C1263,2,20)),1000000000),1000000000))+ROW()/100000,"")</f>
        <v/>
      </c>
    </row>
    <row r="1264">
      <c r="E1264" s="11" t="n"/>
      <c r="M1264" s="7">
        <f>IF($C1264="","",L1264*U1264/100)</f>
        <v/>
      </c>
      <c r="N1264" s="7" t="n"/>
      <c r="T1264" s="7" t="n"/>
      <c r="U1264" s="7">
        <f>IF($C1264="","",S1264*T1264)</f>
        <v/>
      </c>
      <c r="X1264">
        <f>IF($C1264="","",IF($AM1264=1,0,IF($AL1264=1,Settings!$C$6,Settings!$C$7))*100)</f>
        <v/>
      </c>
      <c r="AB1264" s="7" t="n"/>
      <c r="AE1264" s="11" t="n"/>
      <c r="AG1264" s="7">
        <f>IF($C1264="","",U1264*X1264/100)</f>
        <v/>
      </c>
      <c r="AH1264" s="7">
        <f>IF($C1264="","",U1264-AG1264)</f>
        <v/>
      </c>
      <c r="AI1264" s="7">
        <f>IF($C1264="","",AH1264-M1264)</f>
        <v/>
      </c>
      <c r="AJ1264">
        <f>IF($C1264="","",IF(COUNTIF($C$2:$C1264,$C1264)=1,1,0))</f>
        <v/>
      </c>
      <c r="AK1264">
        <f>IF($AJ1264=1,SUMPRODUCT(--($AN$2:$AN$4001&lt;$AN1264))+1,"")</f>
        <v/>
      </c>
      <c r="AL1264">
        <f>IF($C1264="","",IF(OR($Q1264=TRUE(),$Q1264="TRUE"),1,0))</f>
        <v/>
      </c>
      <c r="AM1264">
        <f>IF($C1264="","",IF($W1264="Yes",1,0))</f>
        <v/>
      </c>
      <c r="AN1264">
        <f>IF($AJ1264=1,IFERROR(IF(VALUE($C1264)&lt;100000000,VALUE($C1264),1000000000),IFERROR(IF(VALUE(MID($C1264,2,20))&lt;100000000,VALUE(MID($C1264,2,20)),1000000000),1000000000))+ROW()/100000,"")</f>
        <v/>
      </c>
    </row>
    <row r="1265">
      <c r="E1265" s="11" t="n"/>
      <c r="M1265" s="7">
        <f>IF($C1265="","",L1265*U1265/100)</f>
        <v/>
      </c>
      <c r="N1265" s="7" t="n"/>
      <c r="T1265" s="7" t="n"/>
      <c r="U1265" s="7">
        <f>IF($C1265="","",S1265*T1265)</f>
        <v/>
      </c>
      <c r="X1265">
        <f>IF($C1265="","",IF($AM1265=1,0,IF($AL1265=1,Settings!$C$6,Settings!$C$7))*100)</f>
        <v/>
      </c>
      <c r="AB1265" s="7" t="n"/>
      <c r="AE1265" s="11" t="n"/>
      <c r="AG1265" s="7">
        <f>IF($C1265="","",U1265*X1265/100)</f>
        <v/>
      </c>
      <c r="AH1265" s="7">
        <f>IF($C1265="","",U1265-AG1265)</f>
        <v/>
      </c>
      <c r="AI1265" s="7">
        <f>IF($C1265="","",AH1265-M1265)</f>
        <v/>
      </c>
      <c r="AJ1265">
        <f>IF($C1265="","",IF(COUNTIF($C$2:$C1265,$C1265)=1,1,0))</f>
        <v/>
      </c>
      <c r="AK1265">
        <f>IF($AJ1265=1,SUMPRODUCT(--($AN$2:$AN$4001&lt;$AN1265))+1,"")</f>
        <v/>
      </c>
      <c r="AL1265">
        <f>IF($C1265="","",IF(OR($Q1265=TRUE(),$Q1265="TRUE"),1,0))</f>
        <v/>
      </c>
      <c r="AM1265">
        <f>IF($C1265="","",IF($W1265="Yes",1,0))</f>
        <v/>
      </c>
      <c r="AN1265">
        <f>IF($AJ1265=1,IFERROR(IF(VALUE($C1265)&lt;100000000,VALUE($C1265),1000000000),IFERROR(IF(VALUE(MID($C1265,2,20))&lt;100000000,VALUE(MID($C1265,2,20)),1000000000),1000000000))+ROW()/100000,"")</f>
        <v/>
      </c>
    </row>
    <row r="1266">
      <c r="E1266" s="11" t="n"/>
      <c r="M1266" s="7">
        <f>IF($C1266="","",L1266*U1266/100)</f>
        <v/>
      </c>
      <c r="N1266" s="7" t="n"/>
      <c r="T1266" s="7" t="n"/>
      <c r="U1266" s="7">
        <f>IF($C1266="","",S1266*T1266)</f>
        <v/>
      </c>
      <c r="X1266">
        <f>IF($C1266="","",IF($AM1266=1,0,IF($AL1266=1,Settings!$C$6,Settings!$C$7))*100)</f>
        <v/>
      </c>
      <c r="AB1266" s="7" t="n"/>
      <c r="AE1266" s="11" t="n"/>
      <c r="AG1266" s="7">
        <f>IF($C1266="","",U1266*X1266/100)</f>
        <v/>
      </c>
      <c r="AH1266" s="7">
        <f>IF($C1266="","",U1266-AG1266)</f>
        <v/>
      </c>
      <c r="AI1266" s="7">
        <f>IF($C1266="","",AH1266-M1266)</f>
        <v/>
      </c>
      <c r="AJ1266">
        <f>IF($C1266="","",IF(COUNTIF($C$2:$C1266,$C1266)=1,1,0))</f>
        <v/>
      </c>
      <c r="AK1266">
        <f>IF($AJ1266=1,SUMPRODUCT(--($AN$2:$AN$4001&lt;$AN1266))+1,"")</f>
        <v/>
      </c>
      <c r="AL1266">
        <f>IF($C1266="","",IF(OR($Q1266=TRUE(),$Q1266="TRUE"),1,0))</f>
        <v/>
      </c>
      <c r="AM1266">
        <f>IF($C1266="","",IF($W1266="Yes",1,0))</f>
        <v/>
      </c>
      <c r="AN1266">
        <f>IF($AJ1266=1,IFERROR(IF(VALUE($C1266)&lt;100000000,VALUE($C1266),1000000000),IFERROR(IF(VALUE(MID($C1266,2,20))&lt;100000000,VALUE(MID($C1266,2,20)),1000000000),1000000000))+ROW()/100000,"")</f>
        <v/>
      </c>
    </row>
    <row r="1267">
      <c r="E1267" s="11" t="n"/>
      <c r="M1267" s="7">
        <f>IF($C1267="","",L1267*U1267/100)</f>
        <v/>
      </c>
      <c r="N1267" s="7" t="n"/>
      <c r="T1267" s="7" t="n"/>
      <c r="U1267" s="7">
        <f>IF($C1267="","",S1267*T1267)</f>
        <v/>
      </c>
      <c r="X1267">
        <f>IF($C1267="","",IF($AM1267=1,0,IF($AL1267=1,Settings!$C$6,Settings!$C$7))*100)</f>
        <v/>
      </c>
      <c r="AB1267" s="7" t="n"/>
      <c r="AE1267" s="11" t="n"/>
      <c r="AG1267" s="7">
        <f>IF($C1267="","",U1267*X1267/100)</f>
        <v/>
      </c>
      <c r="AH1267" s="7">
        <f>IF($C1267="","",U1267-AG1267)</f>
        <v/>
      </c>
      <c r="AI1267" s="7">
        <f>IF($C1267="","",AH1267-M1267)</f>
        <v/>
      </c>
      <c r="AJ1267">
        <f>IF($C1267="","",IF(COUNTIF($C$2:$C1267,$C1267)=1,1,0))</f>
        <v/>
      </c>
      <c r="AK1267">
        <f>IF($AJ1267=1,SUMPRODUCT(--($AN$2:$AN$4001&lt;$AN1267))+1,"")</f>
        <v/>
      </c>
      <c r="AL1267">
        <f>IF($C1267="","",IF(OR($Q1267=TRUE(),$Q1267="TRUE"),1,0))</f>
        <v/>
      </c>
      <c r="AM1267">
        <f>IF($C1267="","",IF($W1267="Yes",1,0))</f>
        <v/>
      </c>
      <c r="AN1267">
        <f>IF($AJ1267=1,IFERROR(IF(VALUE($C1267)&lt;100000000,VALUE($C1267),1000000000),IFERROR(IF(VALUE(MID($C1267,2,20))&lt;100000000,VALUE(MID($C1267,2,20)),1000000000),1000000000))+ROW()/100000,"")</f>
        <v/>
      </c>
    </row>
    <row r="1268">
      <c r="E1268" s="11" t="n"/>
      <c r="M1268" s="7">
        <f>IF($C1268="","",L1268*U1268/100)</f>
        <v/>
      </c>
      <c r="N1268" s="7" t="n"/>
      <c r="T1268" s="7" t="n"/>
      <c r="U1268" s="7">
        <f>IF($C1268="","",S1268*T1268)</f>
        <v/>
      </c>
      <c r="X1268">
        <f>IF($C1268="","",IF($AM1268=1,0,IF($AL1268=1,Settings!$C$6,Settings!$C$7))*100)</f>
        <v/>
      </c>
      <c r="AB1268" s="7" t="n"/>
      <c r="AE1268" s="11" t="n"/>
      <c r="AG1268" s="7">
        <f>IF($C1268="","",U1268*X1268/100)</f>
        <v/>
      </c>
      <c r="AH1268" s="7">
        <f>IF($C1268="","",U1268-AG1268)</f>
        <v/>
      </c>
      <c r="AI1268" s="7">
        <f>IF($C1268="","",AH1268-M1268)</f>
        <v/>
      </c>
      <c r="AJ1268">
        <f>IF($C1268="","",IF(COUNTIF($C$2:$C1268,$C1268)=1,1,0))</f>
        <v/>
      </c>
      <c r="AK1268">
        <f>IF($AJ1268=1,SUMPRODUCT(--($AN$2:$AN$4001&lt;$AN1268))+1,"")</f>
        <v/>
      </c>
      <c r="AL1268">
        <f>IF($C1268="","",IF(OR($Q1268=TRUE(),$Q1268="TRUE"),1,0))</f>
        <v/>
      </c>
      <c r="AM1268">
        <f>IF($C1268="","",IF($W1268="Yes",1,0))</f>
        <v/>
      </c>
      <c r="AN1268">
        <f>IF($AJ1268=1,IFERROR(IF(VALUE($C1268)&lt;100000000,VALUE($C1268),1000000000),IFERROR(IF(VALUE(MID($C1268,2,20))&lt;100000000,VALUE(MID($C1268,2,20)),1000000000),1000000000))+ROW()/100000,"")</f>
        <v/>
      </c>
    </row>
    <row r="1269">
      <c r="E1269" s="11" t="n"/>
      <c r="M1269" s="7">
        <f>IF($C1269="","",L1269*U1269/100)</f>
        <v/>
      </c>
      <c r="N1269" s="7" t="n"/>
      <c r="T1269" s="7" t="n"/>
      <c r="U1269" s="7">
        <f>IF($C1269="","",S1269*T1269)</f>
        <v/>
      </c>
      <c r="X1269">
        <f>IF($C1269="","",IF($AM1269=1,0,IF($AL1269=1,Settings!$C$6,Settings!$C$7))*100)</f>
        <v/>
      </c>
      <c r="AB1269" s="7" t="n"/>
      <c r="AE1269" s="11" t="n"/>
      <c r="AG1269" s="7">
        <f>IF($C1269="","",U1269*X1269/100)</f>
        <v/>
      </c>
      <c r="AH1269" s="7">
        <f>IF($C1269="","",U1269-AG1269)</f>
        <v/>
      </c>
      <c r="AI1269" s="7">
        <f>IF($C1269="","",AH1269-M1269)</f>
        <v/>
      </c>
      <c r="AJ1269">
        <f>IF($C1269="","",IF(COUNTIF($C$2:$C1269,$C1269)=1,1,0))</f>
        <v/>
      </c>
      <c r="AK1269">
        <f>IF($AJ1269=1,SUMPRODUCT(--($AN$2:$AN$4001&lt;$AN1269))+1,"")</f>
        <v/>
      </c>
      <c r="AL1269">
        <f>IF($C1269="","",IF(OR($Q1269=TRUE(),$Q1269="TRUE"),1,0))</f>
        <v/>
      </c>
      <c r="AM1269">
        <f>IF($C1269="","",IF($W1269="Yes",1,0))</f>
        <v/>
      </c>
      <c r="AN1269">
        <f>IF($AJ1269=1,IFERROR(IF(VALUE($C1269)&lt;100000000,VALUE($C1269),1000000000),IFERROR(IF(VALUE(MID($C1269,2,20))&lt;100000000,VALUE(MID($C1269,2,20)),1000000000),1000000000))+ROW()/100000,"")</f>
        <v/>
      </c>
    </row>
    <row r="1270">
      <c r="E1270" s="11" t="n"/>
      <c r="M1270" s="7">
        <f>IF($C1270="","",L1270*U1270/100)</f>
        <v/>
      </c>
      <c r="N1270" s="7" t="n"/>
      <c r="T1270" s="7" t="n"/>
      <c r="U1270" s="7">
        <f>IF($C1270="","",S1270*T1270)</f>
        <v/>
      </c>
      <c r="X1270">
        <f>IF($C1270="","",IF($AM1270=1,0,IF($AL1270=1,Settings!$C$6,Settings!$C$7))*100)</f>
        <v/>
      </c>
      <c r="AB1270" s="7" t="n"/>
      <c r="AE1270" s="11" t="n"/>
      <c r="AG1270" s="7">
        <f>IF($C1270="","",U1270*X1270/100)</f>
        <v/>
      </c>
      <c r="AH1270" s="7">
        <f>IF($C1270="","",U1270-AG1270)</f>
        <v/>
      </c>
      <c r="AI1270" s="7">
        <f>IF($C1270="","",AH1270-M1270)</f>
        <v/>
      </c>
      <c r="AJ1270">
        <f>IF($C1270="","",IF(COUNTIF($C$2:$C1270,$C1270)=1,1,0))</f>
        <v/>
      </c>
      <c r="AK1270">
        <f>IF($AJ1270=1,SUMPRODUCT(--($AN$2:$AN$4001&lt;$AN1270))+1,"")</f>
        <v/>
      </c>
      <c r="AL1270">
        <f>IF($C1270="","",IF(OR($Q1270=TRUE(),$Q1270="TRUE"),1,0))</f>
        <v/>
      </c>
      <c r="AM1270">
        <f>IF($C1270="","",IF($W1270="Yes",1,0))</f>
        <v/>
      </c>
      <c r="AN1270">
        <f>IF($AJ1270=1,IFERROR(IF(VALUE($C1270)&lt;100000000,VALUE($C1270),1000000000),IFERROR(IF(VALUE(MID($C1270,2,20))&lt;100000000,VALUE(MID($C1270,2,20)),1000000000),1000000000))+ROW()/100000,"")</f>
        <v/>
      </c>
    </row>
    <row r="1271">
      <c r="E1271" s="11" t="n"/>
      <c r="M1271" s="7">
        <f>IF($C1271="","",L1271*U1271/100)</f>
        <v/>
      </c>
      <c r="N1271" s="7" t="n"/>
      <c r="T1271" s="7" t="n"/>
      <c r="U1271" s="7">
        <f>IF($C1271="","",S1271*T1271)</f>
        <v/>
      </c>
      <c r="X1271">
        <f>IF($C1271="","",IF($AM1271=1,0,IF($AL1271=1,Settings!$C$6,Settings!$C$7))*100)</f>
        <v/>
      </c>
      <c r="AB1271" s="7" t="n"/>
      <c r="AE1271" s="11" t="n"/>
      <c r="AG1271" s="7">
        <f>IF($C1271="","",U1271*X1271/100)</f>
        <v/>
      </c>
      <c r="AH1271" s="7">
        <f>IF($C1271="","",U1271-AG1271)</f>
        <v/>
      </c>
      <c r="AI1271" s="7">
        <f>IF($C1271="","",AH1271-M1271)</f>
        <v/>
      </c>
      <c r="AJ1271">
        <f>IF($C1271="","",IF(COUNTIF($C$2:$C1271,$C1271)=1,1,0))</f>
        <v/>
      </c>
      <c r="AK1271">
        <f>IF($AJ1271=1,SUMPRODUCT(--($AN$2:$AN$4001&lt;$AN1271))+1,"")</f>
        <v/>
      </c>
      <c r="AL1271">
        <f>IF($C1271="","",IF(OR($Q1271=TRUE(),$Q1271="TRUE"),1,0))</f>
        <v/>
      </c>
      <c r="AM1271">
        <f>IF($C1271="","",IF($W1271="Yes",1,0))</f>
        <v/>
      </c>
      <c r="AN1271">
        <f>IF($AJ1271=1,IFERROR(IF(VALUE($C1271)&lt;100000000,VALUE($C1271),1000000000),IFERROR(IF(VALUE(MID($C1271,2,20))&lt;100000000,VALUE(MID($C1271,2,20)),1000000000),1000000000))+ROW()/100000,"")</f>
        <v/>
      </c>
    </row>
    <row r="1272">
      <c r="E1272" s="11" t="n"/>
      <c r="M1272" s="7">
        <f>IF($C1272="","",L1272*U1272/100)</f>
        <v/>
      </c>
      <c r="N1272" s="7" t="n"/>
      <c r="T1272" s="7" t="n"/>
      <c r="U1272" s="7">
        <f>IF($C1272="","",S1272*T1272)</f>
        <v/>
      </c>
      <c r="X1272">
        <f>IF($C1272="","",IF($AM1272=1,0,IF($AL1272=1,Settings!$C$6,Settings!$C$7))*100)</f>
        <v/>
      </c>
      <c r="AB1272" s="7" t="n"/>
      <c r="AE1272" s="11" t="n"/>
      <c r="AG1272" s="7">
        <f>IF($C1272="","",U1272*X1272/100)</f>
        <v/>
      </c>
      <c r="AH1272" s="7">
        <f>IF($C1272="","",U1272-AG1272)</f>
        <v/>
      </c>
      <c r="AI1272" s="7">
        <f>IF($C1272="","",AH1272-M1272)</f>
        <v/>
      </c>
      <c r="AJ1272">
        <f>IF($C1272="","",IF(COUNTIF($C$2:$C1272,$C1272)=1,1,0))</f>
        <v/>
      </c>
      <c r="AK1272">
        <f>IF($AJ1272=1,SUMPRODUCT(--($AN$2:$AN$4001&lt;$AN1272))+1,"")</f>
        <v/>
      </c>
      <c r="AL1272">
        <f>IF($C1272="","",IF(OR($Q1272=TRUE(),$Q1272="TRUE"),1,0))</f>
        <v/>
      </c>
      <c r="AM1272">
        <f>IF($C1272="","",IF($W1272="Yes",1,0))</f>
        <v/>
      </c>
      <c r="AN1272">
        <f>IF($AJ1272=1,IFERROR(IF(VALUE($C1272)&lt;100000000,VALUE($C1272),1000000000),IFERROR(IF(VALUE(MID($C1272,2,20))&lt;100000000,VALUE(MID($C1272,2,20)),1000000000),1000000000))+ROW()/100000,"")</f>
        <v/>
      </c>
    </row>
    <row r="1273">
      <c r="E1273" s="11" t="n"/>
      <c r="M1273" s="7">
        <f>IF($C1273="","",L1273*U1273/100)</f>
        <v/>
      </c>
      <c r="N1273" s="7" t="n"/>
      <c r="T1273" s="7" t="n"/>
      <c r="U1273" s="7">
        <f>IF($C1273="","",S1273*T1273)</f>
        <v/>
      </c>
      <c r="X1273">
        <f>IF($C1273="","",IF($AM1273=1,0,IF($AL1273=1,Settings!$C$6,Settings!$C$7))*100)</f>
        <v/>
      </c>
      <c r="AB1273" s="7" t="n"/>
      <c r="AE1273" s="11" t="n"/>
      <c r="AG1273" s="7">
        <f>IF($C1273="","",U1273*X1273/100)</f>
        <v/>
      </c>
      <c r="AH1273" s="7">
        <f>IF($C1273="","",U1273-AG1273)</f>
        <v/>
      </c>
      <c r="AI1273" s="7">
        <f>IF($C1273="","",AH1273-M1273)</f>
        <v/>
      </c>
      <c r="AJ1273">
        <f>IF($C1273="","",IF(COUNTIF($C$2:$C1273,$C1273)=1,1,0))</f>
        <v/>
      </c>
      <c r="AK1273">
        <f>IF($AJ1273=1,SUMPRODUCT(--($AN$2:$AN$4001&lt;$AN1273))+1,"")</f>
        <v/>
      </c>
      <c r="AL1273">
        <f>IF($C1273="","",IF(OR($Q1273=TRUE(),$Q1273="TRUE"),1,0))</f>
        <v/>
      </c>
      <c r="AM1273">
        <f>IF($C1273="","",IF($W1273="Yes",1,0))</f>
        <v/>
      </c>
      <c r="AN1273">
        <f>IF($AJ1273=1,IFERROR(IF(VALUE($C1273)&lt;100000000,VALUE($C1273),1000000000),IFERROR(IF(VALUE(MID($C1273,2,20))&lt;100000000,VALUE(MID($C1273,2,20)),1000000000),1000000000))+ROW()/100000,"")</f>
        <v/>
      </c>
    </row>
    <row r="1274">
      <c r="E1274" s="11" t="n"/>
      <c r="M1274" s="7">
        <f>IF($C1274="","",L1274*U1274/100)</f>
        <v/>
      </c>
      <c r="N1274" s="7" t="n"/>
      <c r="T1274" s="7" t="n"/>
      <c r="U1274" s="7">
        <f>IF($C1274="","",S1274*T1274)</f>
        <v/>
      </c>
      <c r="X1274">
        <f>IF($C1274="","",IF($AM1274=1,0,IF($AL1274=1,Settings!$C$6,Settings!$C$7))*100)</f>
        <v/>
      </c>
      <c r="AB1274" s="7" t="n"/>
      <c r="AE1274" s="11" t="n"/>
      <c r="AG1274" s="7">
        <f>IF($C1274="","",U1274*X1274/100)</f>
        <v/>
      </c>
      <c r="AH1274" s="7">
        <f>IF($C1274="","",U1274-AG1274)</f>
        <v/>
      </c>
      <c r="AI1274" s="7">
        <f>IF($C1274="","",AH1274-M1274)</f>
        <v/>
      </c>
      <c r="AJ1274">
        <f>IF($C1274="","",IF(COUNTIF($C$2:$C1274,$C1274)=1,1,0))</f>
        <v/>
      </c>
      <c r="AK1274">
        <f>IF($AJ1274=1,SUMPRODUCT(--($AN$2:$AN$4001&lt;$AN1274))+1,"")</f>
        <v/>
      </c>
      <c r="AL1274">
        <f>IF($C1274="","",IF(OR($Q1274=TRUE(),$Q1274="TRUE"),1,0))</f>
        <v/>
      </c>
      <c r="AM1274">
        <f>IF($C1274="","",IF($W1274="Yes",1,0))</f>
        <v/>
      </c>
      <c r="AN1274">
        <f>IF($AJ1274=1,IFERROR(IF(VALUE($C1274)&lt;100000000,VALUE($C1274),1000000000),IFERROR(IF(VALUE(MID($C1274,2,20))&lt;100000000,VALUE(MID($C1274,2,20)),1000000000),1000000000))+ROW()/100000,"")</f>
        <v/>
      </c>
    </row>
    <row r="1275">
      <c r="E1275" s="11" t="n"/>
      <c r="M1275" s="7">
        <f>IF($C1275="","",L1275*U1275/100)</f>
        <v/>
      </c>
      <c r="N1275" s="7" t="n"/>
      <c r="T1275" s="7" t="n"/>
      <c r="U1275" s="7">
        <f>IF($C1275="","",S1275*T1275)</f>
        <v/>
      </c>
      <c r="X1275">
        <f>IF($C1275="","",IF($AM1275=1,0,IF($AL1275=1,Settings!$C$6,Settings!$C$7))*100)</f>
        <v/>
      </c>
      <c r="AB1275" s="7" t="n"/>
      <c r="AE1275" s="11" t="n"/>
      <c r="AG1275" s="7">
        <f>IF($C1275="","",U1275*X1275/100)</f>
        <v/>
      </c>
      <c r="AH1275" s="7">
        <f>IF($C1275="","",U1275-AG1275)</f>
        <v/>
      </c>
      <c r="AI1275" s="7">
        <f>IF($C1275="","",AH1275-M1275)</f>
        <v/>
      </c>
      <c r="AJ1275">
        <f>IF($C1275="","",IF(COUNTIF($C$2:$C1275,$C1275)=1,1,0))</f>
        <v/>
      </c>
      <c r="AK1275">
        <f>IF($AJ1275=1,SUMPRODUCT(--($AN$2:$AN$4001&lt;$AN1275))+1,"")</f>
        <v/>
      </c>
      <c r="AL1275">
        <f>IF($C1275="","",IF(OR($Q1275=TRUE(),$Q1275="TRUE"),1,0))</f>
        <v/>
      </c>
      <c r="AM1275">
        <f>IF($C1275="","",IF($W1275="Yes",1,0))</f>
        <v/>
      </c>
      <c r="AN1275">
        <f>IF($AJ1275=1,IFERROR(IF(VALUE($C1275)&lt;100000000,VALUE($C1275),1000000000),IFERROR(IF(VALUE(MID($C1275,2,20))&lt;100000000,VALUE(MID($C1275,2,20)),1000000000),1000000000))+ROW()/100000,"")</f>
        <v/>
      </c>
    </row>
    <row r="1276">
      <c r="E1276" s="11" t="n"/>
      <c r="M1276" s="7">
        <f>IF($C1276="","",L1276*U1276/100)</f>
        <v/>
      </c>
      <c r="N1276" s="7" t="n"/>
      <c r="T1276" s="7" t="n"/>
      <c r="U1276" s="7">
        <f>IF($C1276="","",S1276*T1276)</f>
        <v/>
      </c>
      <c r="X1276">
        <f>IF($C1276="","",IF($AM1276=1,0,IF($AL1276=1,Settings!$C$6,Settings!$C$7))*100)</f>
        <v/>
      </c>
      <c r="AB1276" s="7" t="n"/>
      <c r="AE1276" s="11" t="n"/>
      <c r="AG1276" s="7">
        <f>IF($C1276="","",U1276*X1276/100)</f>
        <v/>
      </c>
      <c r="AH1276" s="7">
        <f>IF($C1276="","",U1276-AG1276)</f>
        <v/>
      </c>
      <c r="AI1276" s="7">
        <f>IF($C1276="","",AH1276-M1276)</f>
        <v/>
      </c>
      <c r="AJ1276">
        <f>IF($C1276="","",IF(COUNTIF($C$2:$C1276,$C1276)=1,1,0))</f>
        <v/>
      </c>
      <c r="AK1276">
        <f>IF($AJ1276=1,SUMPRODUCT(--($AN$2:$AN$4001&lt;$AN1276))+1,"")</f>
        <v/>
      </c>
      <c r="AL1276">
        <f>IF($C1276="","",IF(OR($Q1276=TRUE(),$Q1276="TRUE"),1,0))</f>
        <v/>
      </c>
      <c r="AM1276">
        <f>IF($C1276="","",IF($W1276="Yes",1,0))</f>
        <v/>
      </c>
      <c r="AN1276">
        <f>IF($AJ1276=1,IFERROR(IF(VALUE($C1276)&lt;100000000,VALUE($C1276),1000000000),IFERROR(IF(VALUE(MID($C1276,2,20))&lt;100000000,VALUE(MID($C1276,2,20)),1000000000),1000000000))+ROW()/100000,"")</f>
        <v/>
      </c>
    </row>
    <row r="1277">
      <c r="E1277" s="11" t="n"/>
      <c r="M1277" s="7">
        <f>IF($C1277="","",L1277*U1277/100)</f>
        <v/>
      </c>
      <c r="N1277" s="7" t="n"/>
      <c r="T1277" s="7" t="n"/>
      <c r="U1277" s="7">
        <f>IF($C1277="","",S1277*T1277)</f>
        <v/>
      </c>
      <c r="X1277">
        <f>IF($C1277="","",IF($AM1277=1,0,IF($AL1277=1,Settings!$C$6,Settings!$C$7))*100)</f>
        <v/>
      </c>
      <c r="AB1277" s="7" t="n"/>
      <c r="AE1277" s="11" t="n"/>
      <c r="AG1277" s="7">
        <f>IF($C1277="","",U1277*X1277/100)</f>
        <v/>
      </c>
      <c r="AH1277" s="7">
        <f>IF($C1277="","",U1277-AG1277)</f>
        <v/>
      </c>
      <c r="AI1277" s="7">
        <f>IF($C1277="","",AH1277-M1277)</f>
        <v/>
      </c>
      <c r="AJ1277">
        <f>IF($C1277="","",IF(COUNTIF($C$2:$C1277,$C1277)=1,1,0))</f>
        <v/>
      </c>
      <c r="AK1277">
        <f>IF($AJ1277=1,SUMPRODUCT(--($AN$2:$AN$4001&lt;$AN1277))+1,"")</f>
        <v/>
      </c>
      <c r="AL1277">
        <f>IF($C1277="","",IF(OR($Q1277=TRUE(),$Q1277="TRUE"),1,0))</f>
        <v/>
      </c>
      <c r="AM1277">
        <f>IF($C1277="","",IF($W1277="Yes",1,0))</f>
        <v/>
      </c>
      <c r="AN1277">
        <f>IF($AJ1277=1,IFERROR(IF(VALUE($C1277)&lt;100000000,VALUE($C1277),1000000000),IFERROR(IF(VALUE(MID($C1277,2,20))&lt;100000000,VALUE(MID($C1277,2,20)),1000000000),1000000000))+ROW()/100000,"")</f>
        <v/>
      </c>
    </row>
    <row r="1278">
      <c r="E1278" s="11" t="n"/>
      <c r="M1278" s="7">
        <f>IF($C1278="","",L1278*U1278/100)</f>
        <v/>
      </c>
      <c r="N1278" s="7" t="n"/>
      <c r="T1278" s="7" t="n"/>
      <c r="U1278" s="7">
        <f>IF($C1278="","",S1278*T1278)</f>
        <v/>
      </c>
      <c r="X1278">
        <f>IF($C1278="","",IF($AM1278=1,0,IF($AL1278=1,Settings!$C$6,Settings!$C$7))*100)</f>
        <v/>
      </c>
      <c r="AB1278" s="7" t="n"/>
      <c r="AE1278" s="11" t="n"/>
      <c r="AG1278" s="7">
        <f>IF($C1278="","",U1278*X1278/100)</f>
        <v/>
      </c>
      <c r="AH1278" s="7">
        <f>IF($C1278="","",U1278-AG1278)</f>
        <v/>
      </c>
      <c r="AI1278" s="7">
        <f>IF($C1278="","",AH1278-M1278)</f>
        <v/>
      </c>
      <c r="AJ1278">
        <f>IF($C1278="","",IF(COUNTIF($C$2:$C1278,$C1278)=1,1,0))</f>
        <v/>
      </c>
      <c r="AK1278">
        <f>IF($AJ1278=1,SUMPRODUCT(--($AN$2:$AN$4001&lt;$AN1278))+1,"")</f>
        <v/>
      </c>
      <c r="AL1278">
        <f>IF($C1278="","",IF(OR($Q1278=TRUE(),$Q1278="TRUE"),1,0))</f>
        <v/>
      </c>
      <c r="AM1278">
        <f>IF($C1278="","",IF($W1278="Yes",1,0))</f>
        <v/>
      </c>
      <c r="AN1278">
        <f>IF($AJ1278=1,IFERROR(IF(VALUE($C1278)&lt;100000000,VALUE($C1278),1000000000),IFERROR(IF(VALUE(MID($C1278,2,20))&lt;100000000,VALUE(MID($C1278,2,20)),1000000000),1000000000))+ROW()/100000,"")</f>
        <v/>
      </c>
    </row>
    <row r="1279">
      <c r="E1279" s="11" t="n"/>
      <c r="M1279" s="7">
        <f>IF($C1279="","",L1279*U1279/100)</f>
        <v/>
      </c>
      <c r="N1279" s="7" t="n"/>
      <c r="T1279" s="7" t="n"/>
      <c r="U1279" s="7">
        <f>IF($C1279="","",S1279*T1279)</f>
        <v/>
      </c>
      <c r="X1279">
        <f>IF($C1279="","",IF($AM1279=1,0,IF($AL1279=1,Settings!$C$6,Settings!$C$7))*100)</f>
        <v/>
      </c>
      <c r="AB1279" s="7" t="n"/>
      <c r="AE1279" s="11" t="n"/>
      <c r="AG1279" s="7">
        <f>IF($C1279="","",U1279*X1279/100)</f>
        <v/>
      </c>
      <c r="AH1279" s="7">
        <f>IF($C1279="","",U1279-AG1279)</f>
        <v/>
      </c>
      <c r="AI1279" s="7">
        <f>IF($C1279="","",AH1279-M1279)</f>
        <v/>
      </c>
      <c r="AJ1279">
        <f>IF($C1279="","",IF(COUNTIF($C$2:$C1279,$C1279)=1,1,0))</f>
        <v/>
      </c>
      <c r="AK1279">
        <f>IF($AJ1279=1,SUMPRODUCT(--($AN$2:$AN$4001&lt;$AN1279))+1,"")</f>
        <v/>
      </c>
      <c r="AL1279">
        <f>IF($C1279="","",IF(OR($Q1279=TRUE(),$Q1279="TRUE"),1,0))</f>
        <v/>
      </c>
      <c r="AM1279">
        <f>IF($C1279="","",IF($W1279="Yes",1,0))</f>
        <v/>
      </c>
      <c r="AN1279">
        <f>IF($AJ1279=1,IFERROR(IF(VALUE($C1279)&lt;100000000,VALUE($C1279),1000000000),IFERROR(IF(VALUE(MID($C1279,2,20))&lt;100000000,VALUE(MID($C1279,2,20)),1000000000),1000000000))+ROW()/100000,"")</f>
        <v/>
      </c>
    </row>
    <row r="1280">
      <c r="E1280" s="11" t="n"/>
      <c r="M1280" s="7">
        <f>IF($C1280="","",L1280*U1280/100)</f>
        <v/>
      </c>
      <c r="N1280" s="7" t="n"/>
      <c r="T1280" s="7" t="n"/>
      <c r="U1280" s="7">
        <f>IF($C1280="","",S1280*T1280)</f>
        <v/>
      </c>
      <c r="X1280">
        <f>IF($C1280="","",IF($AM1280=1,0,IF($AL1280=1,Settings!$C$6,Settings!$C$7))*100)</f>
        <v/>
      </c>
      <c r="AB1280" s="7" t="n"/>
      <c r="AE1280" s="11" t="n"/>
      <c r="AG1280" s="7">
        <f>IF($C1280="","",U1280*X1280/100)</f>
        <v/>
      </c>
      <c r="AH1280" s="7">
        <f>IF($C1280="","",U1280-AG1280)</f>
        <v/>
      </c>
      <c r="AI1280" s="7">
        <f>IF($C1280="","",AH1280-M1280)</f>
        <v/>
      </c>
      <c r="AJ1280">
        <f>IF($C1280="","",IF(COUNTIF($C$2:$C1280,$C1280)=1,1,0))</f>
        <v/>
      </c>
      <c r="AK1280">
        <f>IF($AJ1280=1,SUMPRODUCT(--($AN$2:$AN$4001&lt;$AN1280))+1,"")</f>
        <v/>
      </c>
      <c r="AL1280">
        <f>IF($C1280="","",IF(OR($Q1280=TRUE(),$Q1280="TRUE"),1,0))</f>
        <v/>
      </c>
      <c r="AM1280">
        <f>IF($C1280="","",IF($W1280="Yes",1,0))</f>
        <v/>
      </c>
      <c r="AN1280">
        <f>IF($AJ1280=1,IFERROR(IF(VALUE($C1280)&lt;100000000,VALUE($C1280),1000000000),IFERROR(IF(VALUE(MID($C1280,2,20))&lt;100000000,VALUE(MID($C1280,2,20)),1000000000),1000000000))+ROW()/100000,"")</f>
        <v/>
      </c>
    </row>
    <row r="1281">
      <c r="E1281" s="11" t="n"/>
      <c r="M1281" s="7">
        <f>IF($C1281="","",L1281*U1281/100)</f>
        <v/>
      </c>
      <c r="N1281" s="7" t="n"/>
      <c r="T1281" s="7" t="n"/>
      <c r="U1281" s="7">
        <f>IF($C1281="","",S1281*T1281)</f>
        <v/>
      </c>
      <c r="X1281">
        <f>IF($C1281="","",IF($AM1281=1,0,IF($AL1281=1,Settings!$C$6,Settings!$C$7))*100)</f>
        <v/>
      </c>
      <c r="AB1281" s="7" t="n"/>
      <c r="AE1281" s="11" t="n"/>
      <c r="AG1281" s="7">
        <f>IF($C1281="","",U1281*X1281/100)</f>
        <v/>
      </c>
      <c r="AH1281" s="7">
        <f>IF($C1281="","",U1281-AG1281)</f>
        <v/>
      </c>
      <c r="AI1281" s="7">
        <f>IF($C1281="","",AH1281-M1281)</f>
        <v/>
      </c>
      <c r="AJ1281">
        <f>IF($C1281="","",IF(COUNTIF($C$2:$C1281,$C1281)=1,1,0))</f>
        <v/>
      </c>
      <c r="AK1281">
        <f>IF($AJ1281=1,SUMPRODUCT(--($AN$2:$AN$4001&lt;$AN1281))+1,"")</f>
        <v/>
      </c>
      <c r="AL1281">
        <f>IF($C1281="","",IF(OR($Q1281=TRUE(),$Q1281="TRUE"),1,0))</f>
        <v/>
      </c>
      <c r="AM1281">
        <f>IF($C1281="","",IF($W1281="Yes",1,0))</f>
        <v/>
      </c>
      <c r="AN1281">
        <f>IF($AJ1281=1,IFERROR(IF(VALUE($C1281)&lt;100000000,VALUE($C1281),1000000000),IFERROR(IF(VALUE(MID($C1281,2,20))&lt;100000000,VALUE(MID($C1281,2,20)),1000000000),1000000000))+ROW()/100000,"")</f>
        <v/>
      </c>
    </row>
    <row r="1282">
      <c r="E1282" s="11" t="n"/>
      <c r="M1282" s="7">
        <f>IF($C1282="","",L1282*U1282/100)</f>
        <v/>
      </c>
      <c r="N1282" s="7" t="n"/>
      <c r="T1282" s="7" t="n"/>
      <c r="U1282" s="7">
        <f>IF($C1282="","",S1282*T1282)</f>
        <v/>
      </c>
      <c r="X1282">
        <f>IF($C1282="","",IF($AM1282=1,0,IF($AL1282=1,Settings!$C$6,Settings!$C$7))*100)</f>
        <v/>
      </c>
      <c r="AB1282" s="7" t="n"/>
      <c r="AE1282" s="11" t="n"/>
      <c r="AG1282" s="7">
        <f>IF($C1282="","",U1282*X1282/100)</f>
        <v/>
      </c>
      <c r="AH1282" s="7">
        <f>IF($C1282="","",U1282-AG1282)</f>
        <v/>
      </c>
      <c r="AI1282" s="7">
        <f>IF($C1282="","",AH1282-M1282)</f>
        <v/>
      </c>
      <c r="AJ1282">
        <f>IF($C1282="","",IF(COUNTIF($C$2:$C1282,$C1282)=1,1,0))</f>
        <v/>
      </c>
      <c r="AK1282">
        <f>IF($AJ1282=1,SUMPRODUCT(--($AN$2:$AN$4001&lt;$AN1282))+1,"")</f>
        <v/>
      </c>
      <c r="AL1282">
        <f>IF($C1282="","",IF(OR($Q1282=TRUE(),$Q1282="TRUE"),1,0))</f>
        <v/>
      </c>
      <c r="AM1282">
        <f>IF($C1282="","",IF($W1282="Yes",1,0))</f>
        <v/>
      </c>
      <c r="AN1282">
        <f>IF($AJ1282=1,IFERROR(IF(VALUE($C1282)&lt;100000000,VALUE($C1282),1000000000),IFERROR(IF(VALUE(MID($C1282,2,20))&lt;100000000,VALUE(MID($C1282,2,20)),1000000000),1000000000))+ROW()/100000,"")</f>
        <v/>
      </c>
    </row>
    <row r="1283">
      <c r="E1283" s="11" t="n"/>
      <c r="M1283" s="7">
        <f>IF($C1283="","",L1283*U1283/100)</f>
        <v/>
      </c>
      <c r="N1283" s="7" t="n"/>
      <c r="T1283" s="7" t="n"/>
      <c r="U1283" s="7">
        <f>IF($C1283="","",S1283*T1283)</f>
        <v/>
      </c>
      <c r="X1283">
        <f>IF($C1283="","",IF($AM1283=1,0,IF($AL1283=1,Settings!$C$6,Settings!$C$7))*100)</f>
        <v/>
      </c>
      <c r="AB1283" s="7" t="n"/>
      <c r="AE1283" s="11" t="n"/>
      <c r="AG1283" s="7">
        <f>IF($C1283="","",U1283*X1283/100)</f>
        <v/>
      </c>
      <c r="AH1283" s="7">
        <f>IF($C1283="","",U1283-AG1283)</f>
        <v/>
      </c>
      <c r="AI1283" s="7">
        <f>IF($C1283="","",AH1283-M1283)</f>
        <v/>
      </c>
      <c r="AJ1283">
        <f>IF($C1283="","",IF(COUNTIF($C$2:$C1283,$C1283)=1,1,0))</f>
        <v/>
      </c>
      <c r="AK1283">
        <f>IF($AJ1283=1,SUMPRODUCT(--($AN$2:$AN$4001&lt;$AN1283))+1,"")</f>
        <v/>
      </c>
      <c r="AL1283">
        <f>IF($C1283="","",IF(OR($Q1283=TRUE(),$Q1283="TRUE"),1,0))</f>
        <v/>
      </c>
      <c r="AM1283">
        <f>IF($C1283="","",IF($W1283="Yes",1,0))</f>
        <v/>
      </c>
      <c r="AN1283">
        <f>IF($AJ1283=1,IFERROR(IF(VALUE($C1283)&lt;100000000,VALUE($C1283),1000000000),IFERROR(IF(VALUE(MID($C1283,2,20))&lt;100000000,VALUE(MID($C1283,2,20)),1000000000),1000000000))+ROW()/100000,"")</f>
        <v/>
      </c>
    </row>
    <row r="1284">
      <c r="E1284" s="11" t="n"/>
      <c r="M1284" s="7">
        <f>IF($C1284="","",L1284*U1284/100)</f>
        <v/>
      </c>
      <c r="N1284" s="7" t="n"/>
      <c r="T1284" s="7" t="n"/>
      <c r="U1284" s="7">
        <f>IF($C1284="","",S1284*T1284)</f>
        <v/>
      </c>
      <c r="X1284">
        <f>IF($C1284="","",IF($AM1284=1,0,IF($AL1284=1,Settings!$C$6,Settings!$C$7))*100)</f>
        <v/>
      </c>
      <c r="AB1284" s="7" t="n"/>
      <c r="AE1284" s="11" t="n"/>
      <c r="AG1284" s="7">
        <f>IF($C1284="","",U1284*X1284/100)</f>
        <v/>
      </c>
      <c r="AH1284" s="7">
        <f>IF($C1284="","",U1284-AG1284)</f>
        <v/>
      </c>
      <c r="AI1284" s="7">
        <f>IF($C1284="","",AH1284-M1284)</f>
        <v/>
      </c>
      <c r="AJ1284">
        <f>IF($C1284="","",IF(COUNTIF($C$2:$C1284,$C1284)=1,1,0))</f>
        <v/>
      </c>
      <c r="AK1284">
        <f>IF($AJ1284=1,SUMPRODUCT(--($AN$2:$AN$4001&lt;$AN1284))+1,"")</f>
        <v/>
      </c>
      <c r="AL1284">
        <f>IF($C1284="","",IF(OR($Q1284=TRUE(),$Q1284="TRUE"),1,0))</f>
        <v/>
      </c>
      <c r="AM1284">
        <f>IF($C1284="","",IF($W1284="Yes",1,0))</f>
        <v/>
      </c>
      <c r="AN1284">
        <f>IF($AJ1284=1,IFERROR(IF(VALUE($C1284)&lt;100000000,VALUE($C1284),1000000000),IFERROR(IF(VALUE(MID($C1284,2,20))&lt;100000000,VALUE(MID($C1284,2,20)),1000000000),1000000000))+ROW()/100000,"")</f>
        <v/>
      </c>
    </row>
    <row r="1285">
      <c r="E1285" s="11" t="n"/>
      <c r="M1285" s="7">
        <f>IF($C1285="","",L1285*U1285/100)</f>
        <v/>
      </c>
      <c r="N1285" s="7" t="n"/>
      <c r="T1285" s="7" t="n"/>
      <c r="U1285" s="7">
        <f>IF($C1285="","",S1285*T1285)</f>
        <v/>
      </c>
      <c r="X1285">
        <f>IF($C1285="","",IF($AM1285=1,0,IF($AL1285=1,Settings!$C$6,Settings!$C$7))*100)</f>
        <v/>
      </c>
      <c r="AB1285" s="7" t="n"/>
      <c r="AE1285" s="11" t="n"/>
      <c r="AG1285" s="7">
        <f>IF($C1285="","",U1285*X1285/100)</f>
        <v/>
      </c>
      <c r="AH1285" s="7">
        <f>IF($C1285="","",U1285-AG1285)</f>
        <v/>
      </c>
      <c r="AI1285" s="7">
        <f>IF($C1285="","",AH1285-M1285)</f>
        <v/>
      </c>
      <c r="AJ1285">
        <f>IF($C1285="","",IF(COUNTIF($C$2:$C1285,$C1285)=1,1,0))</f>
        <v/>
      </c>
      <c r="AK1285">
        <f>IF($AJ1285=1,SUMPRODUCT(--($AN$2:$AN$4001&lt;$AN1285))+1,"")</f>
        <v/>
      </c>
      <c r="AL1285">
        <f>IF($C1285="","",IF(OR($Q1285=TRUE(),$Q1285="TRUE"),1,0))</f>
        <v/>
      </c>
      <c r="AM1285">
        <f>IF($C1285="","",IF($W1285="Yes",1,0))</f>
        <v/>
      </c>
      <c r="AN1285">
        <f>IF($AJ1285=1,IFERROR(IF(VALUE($C1285)&lt;100000000,VALUE($C1285),1000000000),IFERROR(IF(VALUE(MID($C1285,2,20))&lt;100000000,VALUE(MID($C1285,2,20)),1000000000),1000000000))+ROW()/100000,"")</f>
        <v/>
      </c>
    </row>
    <row r="1286">
      <c r="E1286" s="11" t="n"/>
      <c r="M1286" s="7">
        <f>IF($C1286="","",L1286*U1286/100)</f>
        <v/>
      </c>
      <c r="N1286" s="7" t="n"/>
      <c r="T1286" s="7" t="n"/>
      <c r="U1286" s="7">
        <f>IF($C1286="","",S1286*T1286)</f>
        <v/>
      </c>
      <c r="X1286">
        <f>IF($C1286="","",IF($AM1286=1,0,IF($AL1286=1,Settings!$C$6,Settings!$C$7))*100)</f>
        <v/>
      </c>
      <c r="AB1286" s="7" t="n"/>
      <c r="AE1286" s="11" t="n"/>
      <c r="AG1286" s="7">
        <f>IF($C1286="","",U1286*X1286/100)</f>
        <v/>
      </c>
      <c r="AH1286" s="7">
        <f>IF($C1286="","",U1286-AG1286)</f>
        <v/>
      </c>
      <c r="AI1286" s="7">
        <f>IF($C1286="","",AH1286-M1286)</f>
        <v/>
      </c>
      <c r="AJ1286">
        <f>IF($C1286="","",IF(COUNTIF($C$2:$C1286,$C1286)=1,1,0))</f>
        <v/>
      </c>
      <c r="AK1286">
        <f>IF($AJ1286=1,SUMPRODUCT(--($AN$2:$AN$4001&lt;$AN1286))+1,"")</f>
        <v/>
      </c>
      <c r="AL1286">
        <f>IF($C1286="","",IF(OR($Q1286=TRUE(),$Q1286="TRUE"),1,0))</f>
        <v/>
      </c>
      <c r="AM1286">
        <f>IF($C1286="","",IF($W1286="Yes",1,0))</f>
        <v/>
      </c>
      <c r="AN1286">
        <f>IF($AJ1286=1,IFERROR(IF(VALUE($C1286)&lt;100000000,VALUE($C1286),1000000000),IFERROR(IF(VALUE(MID($C1286,2,20))&lt;100000000,VALUE(MID($C1286,2,20)),1000000000),1000000000))+ROW()/100000,"")</f>
        <v/>
      </c>
    </row>
    <row r="1287">
      <c r="E1287" s="11" t="n"/>
      <c r="M1287" s="7">
        <f>IF($C1287="","",L1287*U1287/100)</f>
        <v/>
      </c>
      <c r="N1287" s="7" t="n"/>
      <c r="T1287" s="7" t="n"/>
      <c r="U1287" s="7">
        <f>IF($C1287="","",S1287*T1287)</f>
        <v/>
      </c>
      <c r="X1287">
        <f>IF($C1287="","",IF($AM1287=1,0,IF($AL1287=1,Settings!$C$6,Settings!$C$7))*100)</f>
        <v/>
      </c>
      <c r="AB1287" s="7" t="n"/>
      <c r="AE1287" s="11" t="n"/>
      <c r="AG1287" s="7">
        <f>IF($C1287="","",U1287*X1287/100)</f>
        <v/>
      </c>
      <c r="AH1287" s="7">
        <f>IF($C1287="","",U1287-AG1287)</f>
        <v/>
      </c>
      <c r="AI1287" s="7">
        <f>IF($C1287="","",AH1287-M1287)</f>
        <v/>
      </c>
      <c r="AJ1287">
        <f>IF($C1287="","",IF(COUNTIF($C$2:$C1287,$C1287)=1,1,0))</f>
        <v/>
      </c>
      <c r="AK1287">
        <f>IF($AJ1287=1,SUMPRODUCT(--($AN$2:$AN$4001&lt;$AN1287))+1,"")</f>
        <v/>
      </c>
      <c r="AL1287">
        <f>IF($C1287="","",IF(OR($Q1287=TRUE(),$Q1287="TRUE"),1,0))</f>
        <v/>
      </c>
      <c r="AM1287">
        <f>IF($C1287="","",IF($W1287="Yes",1,0))</f>
        <v/>
      </c>
      <c r="AN1287">
        <f>IF($AJ1287=1,IFERROR(IF(VALUE($C1287)&lt;100000000,VALUE($C1287),1000000000),IFERROR(IF(VALUE(MID($C1287,2,20))&lt;100000000,VALUE(MID($C1287,2,20)),1000000000),1000000000))+ROW()/100000,"")</f>
        <v/>
      </c>
    </row>
    <row r="1288">
      <c r="E1288" s="11" t="n"/>
      <c r="M1288" s="7">
        <f>IF($C1288="","",L1288*U1288/100)</f>
        <v/>
      </c>
      <c r="N1288" s="7" t="n"/>
      <c r="T1288" s="7" t="n"/>
      <c r="U1288" s="7">
        <f>IF($C1288="","",S1288*T1288)</f>
        <v/>
      </c>
      <c r="X1288">
        <f>IF($C1288="","",IF($AM1288=1,0,IF($AL1288=1,Settings!$C$6,Settings!$C$7))*100)</f>
        <v/>
      </c>
      <c r="AB1288" s="7" t="n"/>
      <c r="AE1288" s="11" t="n"/>
      <c r="AG1288" s="7">
        <f>IF($C1288="","",U1288*X1288/100)</f>
        <v/>
      </c>
      <c r="AH1288" s="7">
        <f>IF($C1288="","",U1288-AG1288)</f>
        <v/>
      </c>
      <c r="AI1288" s="7">
        <f>IF($C1288="","",AH1288-M1288)</f>
        <v/>
      </c>
      <c r="AJ1288">
        <f>IF($C1288="","",IF(COUNTIF($C$2:$C1288,$C1288)=1,1,0))</f>
        <v/>
      </c>
      <c r="AK1288">
        <f>IF($AJ1288=1,SUMPRODUCT(--($AN$2:$AN$4001&lt;$AN1288))+1,"")</f>
        <v/>
      </c>
      <c r="AL1288">
        <f>IF($C1288="","",IF(OR($Q1288=TRUE(),$Q1288="TRUE"),1,0))</f>
        <v/>
      </c>
      <c r="AM1288">
        <f>IF($C1288="","",IF($W1288="Yes",1,0))</f>
        <v/>
      </c>
      <c r="AN1288">
        <f>IF($AJ1288=1,IFERROR(IF(VALUE($C1288)&lt;100000000,VALUE($C1288),1000000000),IFERROR(IF(VALUE(MID($C1288,2,20))&lt;100000000,VALUE(MID($C1288,2,20)),1000000000),1000000000))+ROW()/100000,"")</f>
        <v/>
      </c>
    </row>
    <row r="1289">
      <c r="E1289" s="11" t="n"/>
      <c r="M1289" s="7">
        <f>IF($C1289="","",L1289*U1289/100)</f>
        <v/>
      </c>
      <c r="N1289" s="7" t="n"/>
      <c r="T1289" s="7" t="n"/>
      <c r="U1289" s="7">
        <f>IF($C1289="","",S1289*T1289)</f>
        <v/>
      </c>
      <c r="X1289">
        <f>IF($C1289="","",IF($AM1289=1,0,IF($AL1289=1,Settings!$C$6,Settings!$C$7))*100)</f>
        <v/>
      </c>
      <c r="AB1289" s="7" t="n"/>
      <c r="AE1289" s="11" t="n"/>
      <c r="AG1289" s="7">
        <f>IF($C1289="","",U1289*X1289/100)</f>
        <v/>
      </c>
      <c r="AH1289" s="7">
        <f>IF($C1289="","",U1289-AG1289)</f>
        <v/>
      </c>
      <c r="AI1289" s="7">
        <f>IF($C1289="","",AH1289-M1289)</f>
        <v/>
      </c>
      <c r="AJ1289">
        <f>IF($C1289="","",IF(COUNTIF($C$2:$C1289,$C1289)=1,1,0))</f>
        <v/>
      </c>
      <c r="AK1289">
        <f>IF($AJ1289=1,SUMPRODUCT(--($AN$2:$AN$4001&lt;$AN1289))+1,"")</f>
        <v/>
      </c>
      <c r="AL1289">
        <f>IF($C1289="","",IF(OR($Q1289=TRUE(),$Q1289="TRUE"),1,0))</f>
        <v/>
      </c>
      <c r="AM1289">
        <f>IF($C1289="","",IF($W1289="Yes",1,0))</f>
        <v/>
      </c>
      <c r="AN1289">
        <f>IF($AJ1289=1,IFERROR(IF(VALUE($C1289)&lt;100000000,VALUE($C1289),1000000000),IFERROR(IF(VALUE(MID($C1289,2,20))&lt;100000000,VALUE(MID($C1289,2,20)),1000000000),1000000000))+ROW()/100000,"")</f>
        <v/>
      </c>
    </row>
    <row r="1290">
      <c r="E1290" s="11" t="n"/>
      <c r="M1290" s="7">
        <f>IF($C1290="","",L1290*U1290/100)</f>
        <v/>
      </c>
      <c r="N1290" s="7" t="n"/>
      <c r="T1290" s="7" t="n"/>
      <c r="U1290" s="7">
        <f>IF($C1290="","",S1290*T1290)</f>
        <v/>
      </c>
      <c r="X1290">
        <f>IF($C1290="","",IF($AM1290=1,0,IF($AL1290=1,Settings!$C$6,Settings!$C$7))*100)</f>
        <v/>
      </c>
      <c r="AB1290" s="7" t="n"/>
      <c r="AE1290" s="11" t="n"/>
      <c r="AG1290" s="7">
        <f>IF($C1290="","",U1290*X1290/100)</f>
        <v/>
      </c>
      <c r="AH1290" s="7">
        <f>IF($C1290="","",U1290-AG1290)</f>
        <v/>
      </c>
      <c r="AI1290" s="7">
        <f>IF($C1290="","",AH1290-M1290)</f>
        <v/>
      </c>
      <c r="AJ1290">
        <f>IF($C1290="","",IF(COUNTIF($C$2:$C1290,$C1290)=1,1,0))</f>
        <v/>
      </c>
      <c r="AK1290">
        <f>IF($AJ1290=1,SUMPRODUCT(--($AN$2:$AN$4001&lt;$AN1290))+1,"")</f>
        <v/>
      </c>
      <c r="AL1290">
        <f>IF($C1290="","",IF(OR($Q1290=TRUE(),$Q1290="TRUE"),1,0))</f>
        <v/>
      </c>
      <c r="AM1290">
        <f>IF($C1290="","",IF($W1290="Yes",1,0))</f>
        <v/>
      </c>
      <c r="AN1290">
        <f>IF($AJ1290=1,IFERROR(IF(VALUE($C1290)&lt;100000000,VALUE($C1290),1000000000),IFERROR(IF(VALUE(MID($C1290,2,20))&lt;100000000,VALUE(MID($C1290,2,20)),1000000000),1000000000))+ROW()/100000,"")</f>
        <v/>
      </c>
    </row>
    <row r="1291">
      <c r="E1291" s="11" t="n"/>
      <c r="M1291" s="7">
        <f>IF($C1291="","",L1291*U1291/100)</f>
        <v/>
      </c>
      <c r="N1291" s="7" t="n"/>
      <c r="T1291" s="7" t="n"/>
      <c r="U1291" s="7">
        <f>IF($C1291="","",S1291*T1291)</f>
        <v/>
      </c>
      <c r="X1291">
        <f>IF($C1291="","",IF($AM1291=1,0,IF($AL1291=1,Settings!$C$6,Settings!$C$7))*100)</f>
        <v/>
      </c>
      <c r="AB1291" s="7" t="n"/>
      <c r="AE1291" s="11" t="n"/>
      <c r="AG1291" s="7">
        <f>IF($C1291="","",U1291*X1291/100)</f>
        <v/>
      </c>
      <c r="AH1291" s="7">
        <f>IF($C1291="","",U1291-AG1291)</f>
        <v/>
      </c>
      <c r="AI1291" s="7">
        <f>IF($C1291="","",AH1291-M1291)</f>
        <v/>
      </c>
      <c r="AJ1291">
        <f>IF($C1291="","",IF(COUNTIF($C$2:$C1291,$C1291)=1,1,0))</f>
        <v/>
      </c>
      <c r="AK1291">
        <f>IF($AJ1291=1,SUMPRODUCT(--($AN$2:$AN$4001&lt;$AN1291))+1,"")</f>
        <v/>
      </c>
      <c r="AL1291">
        <f>IF($C1291="","",IF(OR($Q1291=TRUE(),$Q1291="TRUE"),1,0))</f>
        <v/>
      </c>
      <c r="AM1291">
        <f>IF($C1291="","",IF($W1291="Yes",1,0))</f>
        <v/>
      </c>
      <c r="AN1291">
        <f>IF($AJ1291=1,IFERROR(IF(VALUE($C1291)&lt;100000000,VALUE($C1291),1000000000),IFERROR(IF(VALUE(MID($C1291,2,20))&lt;100000000,VALUE(MID($C1291,2,20)),1000000000),1000000000))+ROW()/100000,"")</f>
        <v/>
      </c>
    </row>
    <row r="1292">
      <c r="E1292" s="11" t="n"/>
      <c r="M1292" s="7">
        <f>IF($C1292="","",L1292*U1292/100)</f>
        <v/>
      </c>
      <c r="N1292" s="7" t="n"/>
      <c r="T1292" s="7" t="n"/>
      <c r="U1292" s="7">
        <f>IF($C1292="","",S1292*T1292)</f>
        <v/>
      </c>
      <c r="X1292">
        <f>IF($C1292="","",IF($AM1292=1,0,IF($AL1292=1,Settings!$C$6,Settings!$C$7))*100)</f>
        <v/>
      </c>
      <c r="AB1292" s="7" t="n"/>
      <c r="AE1292" s="11" t="n"/>
      <c r="AG1292" s="7">
        <f>IF($C1292="","",U1292*X1292/100)</f>
        <v/>
      </c>
      <c r="AH1292" s="7">
        <f>IF($C1292="","",U1292-AG1292)</f>
        <v/>
      </c>
      <c r="AI1292" s="7">
        <f>IF($C1292="","",AH1292-M1292)</f>
        <v/>
      </c>
      <c r="AJ1292">
        <f>IF($C1292="","",IF(COUNTIF($C$2:$C1292,$C1292)=1,1,0))</f>
        <v/>
      </c>
      <c r="AK1292">
        <f>IF($AJ1292=1,SUMPRODUCT(--($AN$2:$AN$4001&lt;$AN1292))+1,"")</f>
        <v/>
      </c>
      <c r="AL1292">
        <f>IF($C1292="","",IF(OR($Q1292=TRUE(),$Q1292="TRUE"),1,0))</f>
        <v/>
      </c>
      <c r="AM1292">
        <f>IF($C1292="","",IF($W1292="Yes",1,0))</f>
        <v/>
      </c>
      <c r="AN1292">
        <f>IF($AJ1292=1,IFERROR(IF(VALUE($C1292)&lt;100000000,VALUE($C1292),1000000000),IFERROR(IF(VALUE(MID($C1292,2,20))&lt;100000000,VALUE(MID($C1292,2,20)),1000000000),1000000000))+ROW()/100000,"")</f>
        <v/>
      </c>
    </row>
    <row r="1293">
      <c r="E1293" s="11" t="n"/>
      <c r="M1293" s="7">
        <f>IF($C1293="","",L1293*U1293/100)</f>
        <v/>
      </c>
      <c r="N1293" s="7" t="n"/>
      <c r="T1293" s="7" t="n"/>
      <c r="U1293" s="7">
        <f>IF($C1293="","",S1293*T1293)</f>
        <v/>
      </c>
      <c r="X1293">
        <f>IF($C1293="","",IF($AM1293=1,0,IF($AL1293=1,Settings!$C$6,Settings!$C$7))*100)</f>
        <v/>
      </c>
      <c r="AB1293" s="7" t="n"/>
      <c r="AE1293" s="11" t="n"/>
      <c r="AG1293" s="7">
        <f>IF($C1293="","",U1293*X1293/100)</f>
        <v/>
      </c>
      <c r="AH1293" s="7">
        <f>IF($C1293="","",U1293-AG1293)</f>
        <v/>
      </c>
      <c r="AI1293" s="7">
        <f>IF($C1293="","",AH1293-M1293)</f>
        <v/>
      </c>
      <c r="AJ1293">
        <f>IF($C1293="","",IF(COUNTIF($C$2:$C1293,$C1293)=1,1,0))</f>
        <v/>
      </c>
      <c r="AK1293">
        <f>IF($AJ1293=1,SUMPRODUCT(--($AN$2:$AN$4001&lt;$AN1293))+1,"")</f>
        <v/>
      </c>
      <c r="AL1293">
        <f>IF($C1293="","",IF(OR($Q1293=TRUE(),$Q1293="TRUE"),1,0))</f>
        <v/>
      </c>
      <c r="AM1293">
        <f>IF($C1293="","",IF($W1293="Yes",1,0))</f>
        <v/>
      </c>
      <c r="AN1293">
        <f>IF($AJ1293=1,IFERROR(IF(VALUE($C1293)&lt;100000000,VALUE($C1293),1000000000),IFERROR(IF(VALUE(MID($C1293,2,20))&lt;100000000,VALUE(MID($C1293,2,20)),1000000000),1000000000))+ROW()/100000,"")</f>
        <v/>
      </c>
    </row>
    <row r="1294">
      <c r="E1294" s="11" t="n"/>
      <c r="M1294" s="7">
        <f>IF($C1294="","",L1294*U1294/100)</f>
        <v/>
      </c>
      <c r="N1294" s="7" t="n"/>
      <c r="T1294" s="7" t="n"/>
      <c r="U1294" s="7">
        <f>IF($C1294="","",S1294*T1294)</f>
        <v/>
      </c>
      <c r="X1294">
        <f>IF($C1294="","",IF($AM1294=1,0,IF($AL1294=1,Settings!$C$6,Settings!$C$7))*100)</f>
        <v/>
      </c>
      <c r="AB1294" s="7" t="n"/>
      <c r="AE1294" s="11" t="n"/>
      <c r="AG1294" s="7">
        <f>IF($C1294="","",U1294*X1294/100)</f>
        <v/>
      </c>
      <c r="AH1294" s="7">
        <f>IF($C1294="","",U1294-AG1294)</f>
        <v/>
      </c>
      <c r="AI1294" s="7">
        <f>IF($C1294="","",AH1294-M1294)</f>
        <v/>
      </c>
      <c r="AJ1294">
        <f>IF($C1294="","",IF(COUNTIF($C$2:$C1294,$C1294)=1,1,0))</f>
        <v/>
      </c>
      <c r="AK1294">
        <f>IF($AJ1294=1,SUMPRODUCT(--($AN$2:$AN$4001&lt;$AN1294))+1,"")</f>
        <v/>
      </c>
      <c r="AL1294">
        <f>IF($C1294="","",IF(OR($Q1294=TRUE(),$Q1294="TRUE"),1,0))</f>
        <v/>
      </c>
      <c r="AM1294">
        <f>IF($C1294="","",IF($W1294="Yes",1,0))</f>
        <v/>
      </c>
      <c r="AN1294">
        <f>IF($AJ1294=1,IFERROR(IF(VALUE($C1294)&lt;100000000,VALUE($C1294),1000000000),IFERROR(IF(VALUE(MID($C1294,2,20))&lt;100000000,VALUE(MID($C1294,2,20)),1000000000),1000000000))+ROW()/100000,"")</f>
        <v/>
      </c>
    </row>
    <row r="1295">
      <c r="E1295" s="11" t="n"/>
      <c r="M1295" s="7">
        <f>IF($C1295="","",L1295*U1295/100)</f>
        <v/>
      </c>
      <c r="N1295" s="7" t="n"/>
      <c r="T1295" s="7" t="n"/>
      <c r="U1295" s="7">
        <f>IF($C1295="","",S1295*T1295)</f>
        <v/>
      </c>
      <c r="X1295">
        <f>IF($C1295="","",IF($AM1295=1,0,IF($AL1295=1,Settings!$C$6,Settings!$C$7))*100)</f>
        <v/>
      </c>
      <c r="AB1295" s="7" t="n"/>
      <c r="AE1295" s="11" t="n"/>
      <c r="AG1295" s="7">
        <f>IF($C1295="","",U1295*X1295/100)</f>
        <v/>
      </c>
      <c r="AH1295" s="7">
        <f>IF($C1295="","",U1295-AG1295)</f>
        <v/>
      </c>
      <c r="AI1295" s="7">
        <f>IF($C1295="","",AH1295-M1295)</f>
        <v/>
      </c>
      <c r="AJ1295">
        <f>IF($C1295="","",IF(COUNTIF($C$2:$C1295,$C1295)=1,1,0))</f>
        <v/>
      </c>
      <c r="AK1295">
        <f>IF($AJ1295=1,SUMPRODUCT(--($AN$2:$AN$4001&lt;$AN1295))+1,"")</f>
        <v/>
      </c>
      <c r="AL1295">
        <f>IF($C1295="","",IF(OR($Q1295=TRUE(),$Q1295="TRUE"),1,0))</f>
        <v/>
      </c>
      <c r="AM1295">
        <f>IF($C1295="","",IF($W1295="Yes",1,0))</f>
        <v/>
      </c>
      <c r="AN1295">
        <f>IF($AJ1295=1,IFERROR(IF(VALUE($C1295)&lt;100000000,VALUE($C1295),1000000000),IFERROR(IF(VALUE(MID($C1295,2,20))&lt;100000000,VALUE(MID($C1295,2,20)),1000000000),1000000000))+ROW()/100000,"")</f>
        <v/>
      </c>
    </row>
    <row r="1296">
      <c r="E1296" s="11" t="n"/>
      <c r="M1296" s="7">
        <f>IF($C1296="","",L1296*U1296/100)</f>
        <v/>
      </c>
      <c r="N1296" s="7" t="n"/>
      <c r="T1296" s="7" t="n"/>
      <c r="U1296" s="7">
        <f>IF($C1296="","",S1296*T1296)</f>
        <v/>
      </c>
      <c r="X1296">
        <f>IF($C1296="","",IF($AM1296=1,0,IF($AL1296=1,Settings!$C$6,Settings!$C$7))*100)</f>
        <v/>
      </c>
      <c r="AB1296" s="7" t="n"/>
      <c r="AE1296" s="11" t="n"/>
      <c r="AG1296" s="7">
        <f>IF($C1296="","",U1296*X1296/100)</f>
        <v/>
      </c>
      <c r="AH1296" s="7">
        <f>IF($C1296="","",U1296-AG1296)</f>
        <v/>
      </c>
      <c r="AI1296" s="7">
        <f>IF($C1296="","",AH1296-M1296)</f>
        <v/>
      </c>
      <c r="AJ1296">
        <f>IF($C1296="","",IF(COUNTIF($C$2:$C1296,$C1296)=1,1,0))</f>
        <v/>
      </c>
      <c r="AK1296">
        <f>IF($AJ1296=1,SUMPRODUCT(--($AN$2:$AN$4001&lt;$AN1296))+1,"")</f>
        <v/>
      </c>
      <c r="AL1296">
        <f>IF($C1296="","",IF(OR($Q1296=TRUE(),$Q1296="TRUE"),1,0))</f>
        <v/>
      </c>
      <c r="AM1296">
        <f>IF($C1296="","",IF($W1296="Yes",1,0))</f>
        <v/>
      </c>
      <c r="AN1296">
        <f>IF($AJ1296=1,IFERROR(IF(VALUE($C1296)&lt;100000000,VALUE($C1296),1000000000),IFERROR(IF(VALUE(MID($C1296,2,20))&lt;100000000,VALUE(MID($C1296,2,20)),1000000000),1000000000))+ROW()/100000,"")</f>
        <v/>
      </c>
    </row>
    <row r="1297">
      <c r="E1297" s="11" t="n"/>
      <c r="M1297" s="7">
        <f>IF($C1297="","",L1297*U1297/100)</f>
        <v/>
      </c>
      <c r="N1297" s="7" t="n"/>
      <c r="T1297" s="7" t="n"/>
      <c r="U1297" s="7">
        <f>IF($C1297="","",S1297*T1297)</f>
        <v/>
      </c>
      <c r="X1297">
        <f>IF($C1297="","",IF($AM1297=1,0,IF($AL1297=1,Settings!$C$6,Settings!$C$7))*100)</f>
        <v/>
      </c>
      <c r="AB1297" s="7" t="n"/>
      <c r="AE1297" s="11" t="n"/>
      <c r="AG1297" s="7">
        <f>IF($C1297="","",U1297*X1297/100)</f>
        <v/>
      </c>
      <c r="AH1297" s="7">
        <f>IF($C1297="","",U1297-AG1297)</f>
        <v/>
      </c>
      <c r="AI1297" s="7">
        <f>IF($C1297="","",AH1297-M1297)</f>
        <v/>
      </c>
      <c r="AJ1297">
        <f>IF($C1297="","",IF(COUNTIF($C$2:$C1297,$C1297)=1,1,0))</f>
        <v/>
      </c>
      <c r="AK1297">
        <f>IF($AJ1297=1,SUMPRODUCT(--($AN$2:$AN$4001&lt;$AN1297))+1,"")</f>
        <v/>
      </c>
      <c r="AL1297">
        <f>IF($C1297="","",IF(OR($Q1297=TRUE(),$Q1297="TRUE"),1,0))</f>
        <v/>
      </c>
      <c r="AM1297">
        <f>IF($C1297="","",IF($W1297="Yes",1,0))</f>
        <v/>
      </c>
      <c r="AN1297">
        <f>IF($AJ1297=1,IFERROR(IF(VALUE($C1297)&lt;100000000,VALUE($C1297),1000000000),IFERROR(IF(VALUE(MID($C1297,2,20))&lt;100000000,VALUE(MID($C1297,2,20)),1000000000),1000000000))+ROW()/100000,"")</f>
        <v/>
      </c>
    </row>
    <row r="1298">
      <c r="E1298" s="11" t="n"/>
      <c r="M1298" s="7">
        <f>IF($C1298="","",L1298*U1298/100)</f>
        <v/>
      </c>
      <c r="N1298" s="7" t="n"/>
      <c r="T1298" s="7" t="n"/>
      <c r="U1298" s="7">
        <f>IF($C1298="","",S1298*T1298)</f>
        <v/>
      </c>
      <c r="X1298">
        <f>IF($C1298="","",IF($AM1298=1,0,IF($AL1298=1,Settings!$C$6,Settings!$C$7))*100)</f>
        <v/>
      </c>
      <c r="AB1298" s="7" t="n"/>
      <c r="AE1298" s="11" t="n"/>
      <c r="AG1298" s="7">
        <f>IF($C1298="","",U1298*X1298/100)</f>
        <v/>
      </c>
      <c r="AH1298" s="7">
        <f>IF($C1298="","",U1298-AG1298)</f>
        <v/>
      </c>
      <c r="AI1298" s="7">
        <f>IF($C1298="","",AH1298-M1298)</f>
        <v/>
      </c>
      <c r="AJ1298">
        <f>IF($C1298="","",IF(COUNTIF($C$2:$C1298,$C1298)=1,1,0))</f>
        <v/>
      </c>
      <c r="AK1298">
        <f>IF($AJ1298=1,SUMPRODUCT(--($AN$2:$AN$4001&lt;$AN1298))+1,"")</f>
        <v/>
      </c>
      <c r="AL1298">
        <f>IF($C1298="","",IF(OR($Q1298=TRUE(),$Q1298="TRUE"),1,0))</f>
        <v/>
      </c>
      <c r="AM1298">
        <f>IF($C1298="","",IF($W1298="Yes",1,0))</f>
        <v/>
      </c>
      <c r="AN1298">
        <f>IF($AJ1298=1,IFERROR(IF(VALUE($C1298)&lt;100000000,VALUE($C1298),1000000000),IFERROR(IF(VALUE(MID($C1298,2,20))&lt;100000000,VALUE(MID($C1298,2,20)),1000000000),1000000000))+ROW()/100000,"")</f>
        <v/>
      </c>
    </row>
    <row r="1299">
      <c r="E1299" s="11" t="n"/>
      <c r="M1299" s="7">
        <f>IF($C1299="","",L1299*U1299/100)</f>
        <v/>
      </c>
      <c r="N1299" s="7" t="n"/>
      <c r="T1299" s="7" t="n"/>
      <c r="U1299" s="7">
        <f>IF($C1299="","",S1299*T1299)</f>
        <v/>
      </c>
      <c r="X1299">
        <f>IF($C1299="","",IF($AM1299=1,0,IF($AL1299=1,Settings!$C$6,Settings!$C$7))*100)</f>
        <v/>
      </c>
      <c r="AB1299" s="7" t="n"/>
      <c r="AE1299" s="11" t="n"/>
      <c r="AG1299" s="7">
        <f>IF($C1299="","",U1299*X1299/100)</f>
        <v/>
      </c>
      <c r="AH1299" s="7">
        <f>IF($C1299="","",U1299-AG1299)</f>
        <v/>
      </c>
      <c r="AI1299" s="7">
        <f>IF($C1299="","",AH1299-M1299)</f>
        <v/>
      </c>
      <c r="AJ1299">
        <f>IF($C1299="","",IF(COUNTIF($C$2:$C1299,$C1299)=1,1,0))</f>
        <v/>
      </c>
      <c r="AK1299">
        <f>IF($AJ1299=1,SUMPRODUCT(--($AN$2:$AN$4001&lt;$AN1299))+1,"")</f>
        <v/>
      </c>
      <c r="AL1299">
        <f>IF($C1299="","",IF(OR($Q1299=TRUE(),$Q1299="TRUE"),1,0))</f>
        <v/>
      </c>
      <c r="AM1299">
        <f>IF($C1299="","",IF($W1299="Yes",1,0))</f>
        <v/>
      </c>
      <c r="AN1299">
        <f>IF($AJ1299=1,IFERROR(IF(VALUE($C1299)&lt;100000000,VALUE($C1299),1000000000),IFERROR(IF(VALUE(MID($C1299,2,20))&lt;100000000,VALUE(MID($C1299,2,20)),1000000000),1000000000))+ROW()/100000,"")</f>
        <v/>
      </c>
    </row>
    <row r="1300">
      <c r="E1300" s="11" t="n"/>
      <c r="M1300" s="7">
        <f>IF($C1300="","",L1300*U1300/100)</f>
        <v/>
      </c>
      <c r="N1300" s="7" t="n"/>
      <c r="T1300" s="7" t="n"/>
      <c r="U1300" s="7">
        <f>IF($C1300="","",S1300*T1300)</f>
        <v/>
      </c>
      <c r="X1300">
        <f>IF($C1300="","",IF($AM1300=1,0,IF($AL1300=1,Settings!$C$6,Settings!$C$7))*100)</f>
        <v/>
      </c>
      <c r="AB1300" s="7" t="n"/>
      <c r="AE1300" s="11" t="n"/>
      <c r="AG1300" s="7">
        <f>IF($C1300="","",U1300*X1300/100)</f>
        <v/>
      </c>
      <c r="AH1300" s="7">
        <f>IF($C1300="","",U1300-AG1300)</f>
        <v/>
      </c>
      <c r="AI1300" s="7">
        <f>IF($C1300="","",AH1300-M1300)</f>
        <v/>
      </c>
      <c r="AJ1300">
        <f>IF($C1300="","",IF(COUNTIF($C$2:$C1300,$C1300)=1,1,0))</f>
        <v/>
      </c>
      <c r="AK1300">
        <f>IF($AJ1300=1,SUMPRODUCT(--($AN$2:$AN$4001&lt;$AN1300))+1,"")</f>
        <v/>
      </c>
      <c r="AL1300">
        <f>IF($C1300="","",IF(OR($Q1300=TRUE(),$Q1300="TRUE"),1,0))</f>
        <v/>
      </c>
      <c r="AM1300">
        <f>IF($C1300="","",IF($W1300="Yes",1,0))</f>
        <v/>
      </c>
      <c r="AN1300">
        <f>IF($AJ1300=1,IFERROR(IF(VALUE($C1300)&lt;100000000,VALUE($C1300),1000000000),IFERROR(IF(VALUE(MID($C1300,2,20))&lt;100000000,VALUE(MID($C1300,2,20)),1000000000),1000000000))+ROW()/100000,"")</f>
        <v/>
      </c>
    </row>
    <row r="1301">
      <c r="E1301" s="11" t="n"/>
      <c r="M1301" s="7">
        <f>IF($C1301="","",L1301*U1301/100)</f>
        <v/>
      </c>
      <c r="N1301" s="7" t="n"/>
      <c r="T1301" s="7" t="n"/>
      <c r="U1301" s="7">
        <f>IF($C1301="","",S1301*T1301)</f>
        <v/>
      </c>
      <c r="X1301">
        <f>IF($C1301="","",IF($AM1301=1,0,IF($AL1301=1,Settings!$C$6,Settings!$C$7))*100)</f>
        <v/>
      </c>
      <c r="AB1301" s="7" t="n"/>
      <c r="AE1301" s="11" t="n"/>
      <c r="AG1301" s="7">
        <f>IF($C1301="","",U1301*X1301/100)</f>
        <v/>
      </c>
      <c r="AH1301" s="7">
        <f>IF($C1301="","",U1301-AG1301)</f>
        <v/>
      </c>
      <c r="AI1301" s="7">
        <f>IF($C1301="","",AH1301-M1301)</f>
        <v/>
      </c>
      <c r="AJ1301">
        <f>IF($C1301="","",IF(COUNTIF($C$2:$C1301,$C1301)=1,1,0))</f>
        <v/>
      </c>
      <c r="AK1301">
        <f>IF($AJ1301=1,SUMPRODUCT(--($AN$2:$AN$4001&lt;$AN1301))+1,"")</f>
        <v/>
      </c>
      <c r="AL1301">
        <f>IF($C1301="","",IF(OR($Q1301=TRUE(),$Q1301="TRUE"),1,0))</f>
        <v/>
      </c>
      <c r="AM1301">
        <f>IF($C1301="","",IF($W1301="Yes",1,0))</f>
        <v/>
      </c>
      <c r="AN1301">
        <f>IF($AJ1301=1,IFERROR(IF(VALUE($C1301)&lt;100000000,VALUE($C1301),1000000000),IFERROR(IF(VALUE(MID($C1301,2,20))&lt;100000000,VALUE(MID($C1301,2,20)),1000000000),1000000000))+ROW()/100000,"")</f>
        <v/>
      </c>
    </row>
    <row r="1302">
      <c r="E1302" s="11" t="n"/>
      <c r="M1302" s="7">
        <f>IF($C1302="","",L1302*U1302/100)</f>
        <v/>
      </c>
      <c r="N1302" s="7" t="n"/>
      <c r="T1302" s="7" t="n"/>
      <c r="U1302" s="7">
        <f>IF($C1302="","",S1302*T1302)</f>
        <v/>
      </c>
      <c r="X1302">
        <f>IF($C1302="","",IF($AM1302=1,0,IF($AL1302=1,Settings!$C$6,Settings!$C$7))*100)</f>
        <v/>
      </c>
      <c r="AB1302" s="7" t="n"/>
      <c r="AE1302" s="11" t="n"/>
      <c r="AG1302" s="7">
        <f>IF($C1302="","",U1302*X1302/100)</f>
        <v/>
      </c>
      <c r="AH1302" s="7">
        <f>IF($C1302="","",U1302-AG1302)</f>
        <v/>
      </c>
      <c r="AI1302" s="7">
        <f>IF($C1302="","",AH1302-M1302)</f>
        <v/>
      </c>
      <c r="AJ1302">
        <f>IF($C1302="","",IF(COUNTIF($C$2:$C1302,$C1302)=1,1,0))</f>
        <v/>
      </c>
      <c r="AK1302">
        <f>IF($AJ1302=1,SUMPRODUCT(--($AN$2:$AN$4001&lt;$AN1302))+1,"")</f>
        <v/>
      </c>
      <c r="AL1302">
        <f>IF($C1302="","",IF(OR($Q1302=TRUE(),$Q1302="TRUE"),1,0))</f>
        <v/>
      </c>
      <c r="AM1302">
        <f>IF($C1302="","",IF($W1302="Yes",1,0))</f>
        <v/>
      </c>
      <c r="AN1302">
        <f>IF($AJ1302=1,IFERROR(IF(VALUE($C1302)&lt;100000000,VALUE($C1302),1000000000),IFERROR(IF(VALUE(MID($C1302,2,20))&lt;100000000,VALUE(MID($C1302,2,20)),1000000000),1000000000))+ROW()/100000,"")</f>
        <v/>
      </c>
    </row>
    <row r="1303">
      <c r="E1303" s="11" t="n"/>
      <c r="M1303" s="7">
        <f>IF($C1303="","",L1303*U1303/100)</f>
        <v/>
      </c>
      <c r="N1303" s="7" t="n"/>
      <c r="T1303" s="7" t="n"/>
      <c r="U1303" s="7">
        <f>IF($C1303="","",S1303*T1303)</f>
        <v/>
      </c>
      <c r="X1303">
        <f>IF($C1303="","",IF($AM1303=1,0,IF($AL1303=1,Settings!$C$6,Settings!$C$7))*100)</f>
        <v/>
      </c>
      <c r="AB1303" s="7" t="n"/>
      <c r="AE1303" s="11" t="n"/>
      <c r="AG1303" s="7">
        <f>IF($C1303="","",U1303*X1303/100)</f>
        <v/>
      </c>
      <c r="AH1303" s="7">
        <f>IF($C1303="","",U1303-AG1303)</f>
        <v/>
      </c>
      <c r="AI1303" s="7">
        <f>IF($C1303="","",AH1303-M1303)</f>
        <v/>
      </c>
      <c r="AJ1303">
        <f>IF($C1303="","",IF(COUNTIF($C$2:$C1303,$C1303)=1,1,0))</f>
        <v/>
      </c>
      <c r="AK1303">
        <f>IF($AJ1303=1,SUMPRODUCT(--($AN$2:$AN$4001&lt;$AN1303))+1,"")</f>
        <v/>
      </c>
      <c r="AL1303">
        <f>IF($C1303="","",IF(OR($Q1303=TRUE(),$Q1303="TRUE"),1,0))</f>
        <v/>
      </c>
      <c r="AM1303">
        <f>IF($C1303="","",IF($W1303="Yes",1,0))</f>
        <v/>
      </c>
      <c r="AN1303">
        <f>IF($AJ1303=1,IFERROR(IF(VALUE($C1303)&lt;100000000,VALUE($C1303),1000000000),IFERROR(IF(VALUE(MID($C1303,2,20))&lt;100000000,VALUE(MID($C1303,2,20)),1000000000),1000000000))+ROW()/100000,"")</f>
        <v/>
      </c>
    </row>
    <row r="1304">
      <c r="E1304" s="11" t="n"/>
      <c r="M1304" s="7">
        <f>IF($C1304="","",L1304*U1304/100)</f>
        <v/>
      </c>
      <c r="N1304" s="7" t="n"/>
      <c r="T1304" s="7" t="n"/>
      <c r="U1304" s="7">
        <f>IF($C1304="","",S1304*T1304)</f>
        <v/>
      </c>
      <c r="X1304">
        <f>IF($C1304="","",IF($AM1304=1,0,IF($AL1304=1,Settings!$C$6,Settings!$C$7))*100)</f>
        <v/>
      </c>
      <c r="AB1304" s="7" t="n"/>
      <c r="AE1304" s="11" t="n"/>
      <c r="AG1304" s="7">
        <f>IF($C1304="","",U1304*X1304/100)</f>
        <v/>
      </c>
      <c r="AH1304" s="7">
        <f>IF($C1304="","",U1304-AG1304)</f>
        <v/>
      </c>
      <c r="AI1304" s="7">
        <f>IF($C1304="","",AH1304-M1304)</f>
        <v/>
      </c>
      <c r="AJ1304">
        <f>IF($C1304="","",IF(COUNTIF($C$2:$C1304,$C1304)=1,1,0))</f>
        <v/>
      </c>
      <c r="AK1304">
        <f>IF($AJ1304=1,SUMPRODUCT(--($AN$2:$AN$4001&lt;$AN1304))+1,"")</f>
        <v/>
      </c>
      <c r="AL1304">
        <f>IF($C1304="","",IF(OR($Q1304=TRUE(),$Q1304="TRUE"),1,0))</f>
        <v/>
      </c>
      <c r="AM1304">
        <f>IF($C1304="","",IF($W1304="Yes",1,0))</f>
        <v/>
      </c>
      <c r="AN1304">
        <f>IF($AJ1304=1,IFERROR(IF(VALUE($C1304)&lt;100000000,VALUE($C1304),1000000000),IFERROR(IF(VALUE(MID($C1304,2,20))&lt;100000000,VALUE(MID($C1304,2,20)),1000000000),1000000000))+ROW()/100000,"")</f>
        <v/>
      </c>
    </row>
    <row r="1305">
      <c r="E1305" s="11" t="n"/>
      <c r="M1305" s="7">
        <f>IF($C1305="","",L1305*U1305/100)</f>
        <v/>
      </c>
      <c r="N1305" s="7" t="n"/>
      <c r="T1305" s="7" t="n"/>
      <c r="U1305" s="7">
        <f>IF($C1305="","",S1305*T1305)</f>
        <v/>
      </c>
      <c r="X1305">
        <f>IF($C1305="","",IF($AM1305=1,0,IF($AL1305=1,Settings!$C$6,Settings!$C$7))*100)</f>
        <v/>
      </c>
      <c r="AB1305" s="7" t="n"/>
      <c r="AE1305" s="11" t="n"/>
      <c r="AG1305" s="7">
        <f>IF($C1305="","",U1305*X1305/100)</f>
        <v/>
      </c>
      <c r="AH1305" s="7">
        <f>IF($C1305="","",U1305-AG1305)</f>
        <v/>
      </c>
      <c r="AI1305" s="7">
        <f>IF($C1305="","",AH1305-M1305)</f>
        <v/>
      </c>
      <c r="AJ1305">
        <f>IF($C1305="","",IF(COUNTIF($C$2:$C1305,$C1305)=1,1,0))</f>
        <v/>
      </c>
      <c r="AK1305">
        <f>IF($AJ1305=1,SUMPRODUCT(--($AN$2:$AN$4001&lt;$AN1305))+1,"")</f>
        <v/>
      </c>
      <c r="AL1305">
        <f>IF($C1305="","",IF(OR($Q1305=TRUE(),$Q1305="TRUE"),1,0))</f>
        <v/>
      </c>
      <c r="AM1305">
        <f>IF($C1305="","",IF($W1305="Yes",1,0))</f>
        <v/>
      </c>
      <c r="AN1305">
        <f>IF($AJ1305=1,IFERROR(IF(VALUE($C1305)&lt;100000000,VALUE($C1305),1000000000),IFERROR(IF(VALUE(MID($C1305,2,20))&lt;100000000,VALUE(MID($C1305,2,20)),1000000000),1000000000))+ROW()/100000,"")</f>
        <v/>
      </c>
    </row>
    <row r="1306">
      <c r="E1306" s="11" t="n"/>
      <c r="M1306" s="7">
        <f>IF($C1306="","",L1306*U1306/100)</f>
        <v/>
      </c>
      <c r="N1306" s="7" t="n"/>
      <c r="T1306" s="7" t="n"/>
      <c r="U1306" s="7">
        <f>IF($C1306="","",S1306*T1306)</f>
        <v/>
      </c>
      <c r="X1306">
        <f>IF($C1306="","",IF($AM1306=1,0,IF($AL1306=1,Settings!$C$6,Settings!$C$7))*100)</f>
        <v/>
      </c>
      <c r="AB1306" s="7" t="n"/>
      <c r="AE1306" s="11" t="n"/>
      <c r="AG1306" s="7">
        <f>IF($C1306="","",U1306*X1306/100)</f>
        <v/>
      </c>
      <c r="AH1306" s="7">
        <f>IF($C1306="","",U1306-AG1306)</f>
        <v/>
      </c>
      <c r="AI1306" s="7">
        <f>IF($C1306="","",AH1306-M1306)</f>
        <v/>
      </c>
      <c r="AJ1306">
        <f>IF($C1306="","",IF(COUNTIF($C$2:$C1306,$C1306)=1,1,0))</f>
        <v/>
      </c>
      <c r="AK1306">
        <f>IF($AJ1306=1,SUMPRODUCT(--($AN$2:$AN$4001&lt;$AN1306))+1,"")</f>
        <v/>
      </c>
      <c r="AL1306">
        <f>IF($C1306="","",IF(OR($Q1306=TRUE(),$Q1306="TRUE"),1,0))</f>
        <v/>
      </c>
      <c r="AM1306">
        <f>IF($C1306="","",IF($W1306="Yes",1,0))</f>
        <v/>
      </c>
      <c r="AN1306">
        <f>IF($AJ1306=1,IFERROR(IF(VALUE($C1306)&lt;100000000,VALUE($C1306),1000000000),IFERROR(IF(VALUE(MID($C1306,2,20))&lt;100000000,VALUE(MID($C1306,2,20)),1000000000),1000000000))+ROW()/100000,"")</f>
        <v/>
      </c>
    </row>
    <row r="1307">
      <c r="E1307" s="11" t="n"/>
      <c r="M1307" s="7">
        <f>IF($C1307="","",L1307*U1307/100)</f>
        <v/>
      </c>
      <c r="N1307" s="7" t="n"/>
      <c r="T1307" s="7" t="n"/>
      <c r="U1307" s="7">
        <f>IF($C1307="","",S1307*T1307)</f>
        <v/>
      </c>
      <c r="X1307">
        <f>IF($C1307="","",IF($AM1307=1,0,IF($AL1307=1,Settings!$C$6,Settings!$C$7))*100)</f>
        <v/>
      </c>
      <c r="AB1307" s="7" t="n"/>
      <c r="AE1307" s="11" t="n"/>
      <c r="AG1307" s="7">
        <f>IF($C1307="","",U1307*X1307/100)</f>
        <v/>
      </c>
      <c r="AH1307" s="7">
        <f>IF($C1307="","",U1307-AG1307)</f>
        <v/>
      </c>
      <c r="AI1307" s="7">
        <f>IF($C1307="","",AH1307-M1307)</f>
        <v/>
      </c>
      <c r="AJ1307">
        <f>IF($C1307="","",IF(COUNTIF($C$2:$C1307,$C1307)=1,1,0))</f>
        <v/>
      </c>
      <c r="AK1307">
        <f>IF($AJ1307=1,SUMPRODUCT(--($AN$2:$AN$4001&lt;$AN1307))+1,"")</f>
        <v/>
      </c>
      <c r="AL1307">
        <f>IF($C1307="","",IF(OR($Q1307=TRUE(),$Q1307="TRUE"),1,0))</f>
        <v/>
      </c>
      <c r="AM1307">
        <f>IF($C1307="","",IF($W1307="Yes",1,0))</f>
        <v/>
      </c>
      <c r="AN1307">
        <f>IF($AJ1307=1,IFERROR(IF(VALUE($C1307)&lt;100000000,VALUE($C1307),1000000000),IFERROR(IF(VALUE(MID($C1307,2,20))&lt;100000000,VALUE(MID($C1307,2,20)),1000000000),1000000000))+ROW()/100000,"")</f>
        <v/>
      </c>
    </row>
    <row r="1308">
      <c r="E1308" s="11" t="n"/>
      <c r="M1308" s="7">
        <f>IF($C1308="","",L1308*U1308/100)</f>
        <v/>
      </c>
      <c r="N1308" s="7" t="n"/>
      <c r="T1308" s="7" t="n"/>
      <c r="U1308" s="7">
        <f>IF($C1308="","",S1308*T1308)</f>
        <v/>
      </c>
      <c r="X1308">
        <f>IF($C1308="","",IF($AM1308=1,0,IF($AL1308=1,Settings!$C$6,Settings!$C$7))*100)</f>
        <v/>
      </c>
      <c r="AB1308" s="7" t="n"/>
      <c r="AE1308" s="11" t="n"/>
      <c r="AG1308" s="7">
        <f>IF($C1308="","",U1308*X1308/100)</f>
        <v/>
      </c>
      <c r="AH1308" s="7">
        <f>IF($C1308="","",U1308-AG1308)</f>
        <v/>
      </c>
      <c r="AI1308" s="7">
        <f>IF($C1308="","",AH1308-M1308)</f>
        <v/>
      </c>
      <c r="AJ1308">
        <f>IF($C1308="","",IF(COUNTIF($C$2:$C1308,$C1308)=1,1,0))</f>
        <v/>
      </c>
      <c r="AK1308">
        <f>IF($AJ1308=1,SUMPRODUCT(--($AN$2:$AN$4001&lt;$AN1308))+1,"")</f>
        <v/>
      </c>
      <c r="AL1308">
        <f>IF($C1308="","",IF(OR($Q1308=TRUE(),$Q1308="TRUE"),1,0))</f>
        <v/>
      </c>
      <c r="AM1308">
        <f>IF($C1308="","",IF($W1308="Yes",1,0))</f>
        <v/>
      </c>
      <c r="AN1308">
        <f>IF($AJ1308=1,IFERROR(IF(VALUE($C1308)&lt;100000000,VALUE($C1308),1000000000),IFERROR(IF(VALUE(MID($C1308,2,20))&lt;100000000,VALUE(MID($C1308,2,20)),1000000000),1000000000))+ROW()/100000,"")</f>
        <v/>
      </c>
    </row>
    <row r="1309">
      <c r="E1309" s="11" t="n"/>
      <c r="M1309" s="7">
        <f>IF($C1309="","",L1309*U1309/100)</f>
        <v/>
      </c>
      <c r="N1309" s="7" t="n"/>
      <c r="T1309" s="7" t="n"/>
      <c r="U1309" s="7">
        <f>IF($C1309="","",S1309*T1309)</f>
        <v/>
      </c>
      <c r="X1309">
        <f>IF($C1309="","",IF($AM1309=1,0,IF($AL1309=1,Settings!$C$6,Settings!$C$7))*100)</f>
        <v/>
      </c>
      <c r="AB1309" s="7" t="n"/>
      <c r="AE1309" s="11" t="n"/>
      <c r="AG1309" s="7">
        <f>IF($C1309="","",U1309*X1309/100)</f>
        <v/>
      </c>
      <c r="AH1309" s="7">
        <f>IF($C1309="","",U1309-AG1309)</f>
        <v/>
      </c>
      <c r="AI1309" s="7">
        <f>IF($C1309="","",AH1309-M1309)</f>
        <v/>
      </c>
      <c r="AJ1309">
        <f>IF($C1309="","",IF(COUNTIF($C$2:$C1309,$C1309)=1,1,0))</f>
        <v/>
      </c>
      <c r="AK1309">
        <f>IF($AJ1309=1,SUMPRODUCT(--($AN$2:$AN$4001&lt;$AN1309))+1,"")</f>
        <v/>
      </c>
      <c r="AL1309">
        <f>IF($C1309="","",IF(OR($Q1309=TRUE(),$Q1309="TRUE"),1,0))</f>
        <v/>
      </c>
      <c r="AM1309">
        <f>IF($C1309="","",IF($W1309="Yes",1,0))</f>
        <v/>
      </c>
      <c r="AN1309">
        <f>IF($AJ1309=1,IFERROR(IF(VALUE($C1309)&lt;100000000,VALUE($C1309),1000000000),IFERROR(IF(VALUE(MID($C1309,2,20))&lt;100000000,VALUE(MID($C1309,2,20)),1000000000),1000000000))+ROW()/100000,"")</f>
        <v/>
      </c>
    </row>
    <row r="1310">
      <c r="E1310" s="11" t="n"/>
      <c r="M1310" s="7">
        <f>IF($C1310="","",L1310*U1310/100)</f>
        <v/>
      </c>
      <c r="N1310" s="7" t="n"/>
      <c r="T1310" s="7" t="n"/>
      <c r="U1310" s="7">
        <f>IF($C1310="","",S1310*T1310)</f>
        <v/>
      </c>
      <c r="X1310">
        <f>IF($C1310="","",IF($AM1310=1,0,IF($AL1310=1,Settings!$C$6,Settings!$C$7))*100)</f>
        <v/>
      </c>
      <c r="AB1310" s="7" t="n"/>
      <c r="AE1310" s="11" t="n"/>
      <c r="AG1310" s="7">
        <f>IF($C1310="","",U1310*X1310/100)</f>
        <v/>
      </c>
      <c r="AH1310" s="7">
        <f>IF($C1310="","",U1310-AG1310)</f>
        <v/>
      </c>
      <c r="AI1310" s="7">
        <f>IF($C1310="","",AH1310-M1310)</f>
        <v/>
      </c>
      <c r="AJ1310">
        <f>IF($C1310="","",IF(COUNTIF($C$2:$C1310,$C1310)=1,1,0))</f>
        <v/>
      </c>
      <c r="AK1310">
        <f>IF($AJ1310=1,SUMPRODUCT(--($AN$2:$AN$4001&lt;$AN1310))+1,"")</f>
        <v/>
      </c>
      <c r="AL1310">
        <f>IF($C1310="","",IF(OR($Q1310=TRUE(),$Q1310="TRUE"),1,0))</f>
        <v/>
      </c>
      <c r="AM1310">
        <f>IF($C1310="","",IF($W1310="Yes",1,0))</f>
        <v/>
      </c>
      <c r="AN1310">
        <f>IF($AJ1310=1,IFERROR(IF(VALUE($C1310)&lt;100000000,VALUE($C1310),1000000000),IFERROR(IF(VALUE(MID($C1310,2,20))&lt;100000000,VALUE(MID($C1310,2,20)),1000000000),1000000000))+ROW()/100000,"")</f>
        <v/>
      </c>
    </row>
    <row r="1311">
      <c r="E1311" s="11" t="n"/>
      <c r="M1311" s="7">
        <f>IF($C1311="","",L1311*U1311/100)</f>
        <v/>
      </c>
      <c r="N1311" s="7" t="n"/>
      <c r="T1311" s="7" t="n"/>
      <c r="U1311" s="7">
        <f>IF($C1311="","",S1311*T1311)</f>
        <v/>
      </c>
      <c r="X1311">
        <f>IF($C1311="","",IF($AM1311=1,0,IF($AL1311=1,Settings!$C$6,Settings!$C$7))*100)</f>
        <v/>
      </c>
      <c r="AB1311" s="7" t="n"/>
      <c r="AE1311" s="11" t="n"/>
      <c r="AG1311" s="7">
        <f>IF($C1311="","",U1311*X1311/100)</f>
        <v/>
      </c>
      <c r="AH1311" s="7">
        <f>IF($C1311="","",U1311-AG1311)</f>
        <v/>
      </c>
      <c r="AI1311" s="7">
        <f>IF($C1311="","",AH1311-M1311)</f>
        <v/>
      </c>
      <c r="AJ1311">
        <f>IF($C1311="","",IF(COUNTIF($C$2:$C1311,$C1311)=1,1,0))</f>
        <v/>
      </c>
      <c r="AK1311">
        <f>IF($AJ1311=1,SUMPRODUCT(--($AN$2:$AN$4001&lt;$AN1311))+1,"")</f>
        <v/>
      </c>
      <c r="AL1311">
        <f>IF($C1311="","",IF(OR($Q1311=TRUE(),$Q1311="TRUE"),1,0))</f>
        <v/>
      </c>
      <c r="AM1311">
        <f>IF($C1311="","",IF($W1311="Yes",1,0))</f>
        <v/>
      </c>
      <c r="AN1311">
        <f>IF($AJ1311=1,IFERROR(IF(VALUE($C1311)&lt;100000000,VALUE($C1311),1000000000),IFERROR(IF(VALUE(MID($C1311,2,20))&lt;100000000,VALUE(MID($C1311,2,20)),1000000000),1000000000))+ROW()/100000,"")</f>
        <v/>
      </c>
    </row>
    <row r="1312">
      <c r="E1312" s="11" t="n"/>
      <c r="M1312" s="7">
        <f>IF($C1312="","",L1312*U1312/100)</f>
        <v/>
      </c>
      <c r="N1312" s="7" t="n"/>
      <c r="T1312" s="7" t="n"/>
      <c r="U1312" s="7">
        <f>IF($C1312="","",S1312*T1312)</f>
        <v/>
      </c>
      <c r="X1312">
        <f>IF($C1312="","",IF($AM1312=1,0,IF($AL1312=1,Settings!$C$6,Settings!$C$7))*100)</f>
        <v/>
      </c>
      <c r="AB1312" s="7" t="n"/>
      <c r="AE1312" s="11" t="n"/>
      <c r="AG1312" s="7">
        <f>IF($C1312="","",U1312*X1312/100)</f>
        <v/>
      </c>
      <c r="AH1312" s="7">
        <f>IF($C1312="","",U1312-AG1312)</f>
        <v/>
      </c>
      <c r="AI1312" s="7">
        <f>IF($C1312="","",AH1312-M1312)</f>
        <v/>
      </c>
      <c r="AJ1312">
        <f>IF($C1312="","",IF(COUNTIF($C$2:$C1312,$C1312)=1,1,0))</f>
        <v/>
      </c>
      <c r="AK1312">
        <f>IF($AJ1312=1,SUMPRODUCT(--($AN$2:$AN$4001&lt;$AN1312))+1,"")</f>
        <v/>
      </c>
      <c r="AL1312">
        <f>IF($C1312="","",IF(OR($Q1312=TRUE(),$Q1312="TRUE"),1,0))</f>
        <v/>
      </c>
      <c r="AM1312">
        <f>IF($C1312="","",IF($W1312="Yes",1,0))</f>
        <v/>
      </c>
      <c r="AN1312">
        <f>IF($AJ1312=1,IFERROR(IF(VALUE($C1312)&lt;100000000,VALUE($C1312),1000000000),IFERROR(IF(VALUE(MID($C1312,2,20))&lt;100000000,VALUE(MID($C1312,2,20)),1000000000),1000000000))+ROW()/100000,"")</f>
        <v/>
      </c>
    </row>
    <row r="1313">
      <c r="E1313" s="11" t="n"/>
      <c r="M1313" s="7">
        <f>IF($C1313="","",L1313*U1313/100)</f>
        <v/>
      </c>
      <c r="N1313" s="7" t="n"/>
      <c r="T1313" s="7" t="n"/>
      <c r="U1313" s="7">
        <f>IF($C1313="","",S1313*T1313)</f>
        <v/>
      </c>
      <c r="X1313">
        <f>IF($C1313="","",IF($AM1313=1,0,IF($AL1313=1,Settings!$C$6,Settings!$C$7))*100)</f>
        <v/>
      </c>
      <c r="AB1313" s="7" t="n"/>
      <c r="AE1313" s="11" t="n"/>
      <c r="AG1313" s="7">
        <f>IF($C1313="","",U1313*X1313/100)</f>
        <v/>
      </c>
      <c r="AH1313" s="7">
        <f>IF($C1313="","",U1313-AG1313)</f>
        <v/>
      </c>
      <c r="AI1313" s="7">
        <f>IF($C1313="","",AH1313-M1313)</f>
        <v/>
      </c>
      <c r="AJ1313">
        <f>IF($C1313="","",IF(COUNTIF($C$2:$C1313,$C1313)=1,1,0))</f>
        <v/>
      </c>
      <c r="AK1313">
        <f>IF($AJ1313=1,SUMPRODUCT(--($AN$2:$AN$4001&lt;$AN1313))+1,"")</f>
        <v/>
      </c>
      <c r="AL1313">
        <f>IF($C1313="","",IF(OR($Q1313=TRUE(),$Q1313="TRUE"),1,0))</f>
        <v/>
      </c>
      <c r="AM1313">
        <f>IF($C1313="","",IF($W1313="Yes",1,0))</f>
        <v/>
      </c>
      <c r="AN1313">
        <f>IF($AJ1313=1,IFERROR(IF(VALUE($C1313)&lt;100000000,VALUE($C1313),1000000000),IFERROR(IF(VALUE(MID($C1313,2,20))&lt;100000000,VALUE(MID($C1313,2,20)),1000000000),1000000000))+ROW()/100000,"")</f>
        <v/>
      </c>
    </row>
    <row r="1314">
      <c r="E1314" s="11" t="n"/>
      <c r="M1314" s="7">
        <f>IF($C1314="","",L1314*U1314/100)</f>
        <v/>
      </c>
      <c r="N1314" s="7" t="n"/>
      <c r="T1314" s="7" t="n"/>
      <c r="U1314" s="7">
        <f>IF($C1314="","",S1314*T1314)</f>
        <v/>
      </c>
      <c r="X1314">
        <f>IF($C1314="","",IF($AM1314=1,0,IF($AL1314=1,Settings!$C$6,Settings!$C$7))*100)</f>
        <v/>
      </c>
      <c r="AB1314" s="7" t="n"/>
      <c r="AE1314" s="11" t="n"/>
      <c r="AG1314" s="7">
        <f>IF($C1314="","",U1314*X1314/100)</f>
        <v/>
      </c>
      <c r="AH1314" s="7">
        <f>IF($C1314="","",U1314-AG1314)</f>
        <v/>
      </c>
      <c r="AI1314" s="7">
        <f>IF($C1314="","",AH1314-M1314)</f>
        <v/>
      </c>
      <c r="AJ1314">
        <f>IF($C1314="","",IF(COUNTIF($C$2:$C1314,$C1314)=1,1,0))</f>
        <v/>
      </c>
      <c r="AK1314">
        <f>IF($AJ1314=1,SUMPRODUCT(--($AN$2:$AN$4001&lt;$AN1314))+1,"")</f>
        <v/>
      </c>
      <c r="AL1314">
        <f>IF($C1314="","",IF(OR($Q1314=TRUE(),$Q1314="TRUE"),1,0))</f>
        <v/>
      </c>
      <c r="AM1314">
        <f>IF($C1314="","",IF($W1314="Yes",1,0))</f>
        <v/>
      </c>
      <c r="AN1314">
        <f>IF($AJ1314=1,IFERROR(IF(VALUE($C1314)&lt;100000000,VALUE($C1314),1000000000),IFERROR(IF(VALUE(MID($C1314,2,20))&lt;100000000,VALUE(MID($C1314,2,20)),1000000000),1000000000))+ROW()/100000,"")</f>
        <v/>
      </c>
    </row>
    <row r="1315">
      <c r="E1315" s="11" t="n"/>
      <c r="M1315" s="7">
        <f>IF($C1315="","",L1315*U1315/100)</f>
        <v/>
      </c>
      <c r="N1315" s="7" t="n"/>
      <c r="T1315" s="7" t="n"/>
      <c r="U1315" s="7">
        <f>IF($C1315="","",S1315*T1315)</f>
        <v/>
      </c>
      <c r="X1315">
        <f>IF($C1315="","",IF($AM1315=1,0,IF($AL1315=1,Settings!$C$6,Settings!$C$7))*100)</f>
        <v/>
      </c>
      <c r="AB1315" s="7" t="n"/>
      <c r="AE1315" s="11" t="n"/>
      <c r="AG1315" s="7">
        <f>IF($C1315="","",U1315*X1315/100)</f>
        <v/>
      </c>
      <c r="AH1315" s="7">
        <f>IF($C1315="","",U1315-AG1315)</f>
        <v/>
      </c>
      <c r="AI1315" s="7">
        <f>IF($C1315="","",AH1315-M1315)</f>
        <v/>
      </c>
      <c r="AJ1315">
        <f>IF($C1315="","",IF(COUNTIF($C$2:$C1315,$C1315)=1,1,0))</f>
        <v/>
      </c>
      <c r="AK1315">
        <f>IF($AJ1315=1,SUMPRODUCT(--($AN$2:$AN$4001&lt;$AN1315))+1,"")</f>
        <v/>
      </c>
      <c r="AL1315">
        <f>IF($C1315="","",IF(OR($Q1315=TRUE(),$Q1315="TRUE"),1,0))</f>
        <v/>
      </c>
      <c r="AM1315">
        <f>IF($C1315="","",IF($W1315="Yes",1,0))</f>
        <v/>
      </c>
      <c r="AN1315">
        <f>IF($AJ1315=1,IFERROR(IF(VALUE($C1315)&lt;100000000,VALUE($C1315),1000000000),IFERROR(IF(VALUE(MID($C1315,2,20))&lt;100000000,VALUE(MID($C1315,2,20)),1000000000),1000000000))+ROW()/100000,"")</f>
        <v/>
      </c>
    </row>
    <row r="1316">
      <c r="E1316" s="11" t="n"/>
      <c r="M1316" s="7">
        <f>IF($C1316="","",L1316*U1316/100)</f>
        <v/>
      </c>
      <c r="N1316" s="7" t="n"/>
      <c r="T1316" s="7" t="n"/>
      <c r="U1316" s="7">
        <f>IF($C1316="","",S1316*T1316)</f>
        <v/>
      </c>
      <c r="X1316">
        <f>IF($C1316="","",IF($AM1316=1,0,IF($AL1316=1,Settings!$C$6,Settings!$C$7))*100)</f>
        <v/>
      </c>
      <c r="AB1316" s="7" t="n"/>
      <c r="AE1316" s="11" t="n"/>
      <c r="AG1316" s="7">
        <f>IF($C1316="","",U1316*X1316/100)</f>
        <v/>
      </c>
      <c r="AH1316" s="7">
        <f>IF($C1316="","",U1316-AG1316)</f>
        <v/>
      </c>
      <c r="AI1316" s="7">
        <f>IF($C1316="","",AH1316-M1316)</f>
        <v/>
      </c>
      <c r="AJ1316">
        <f>IF($C1316="","",IF(COUNTIF($C$2:$C1316,$C1316)=1,1,0))</f>
        <v/>
      </c>
      <c r="AK1316">
        <f>IF($AJ1316=1,SUMPRODUCT(--($AN$2:$AN$4001&lt;$AN1316))+1,"")</f>
        <v/>
      </c>
      <c r="AL1316">
        <f>IF($C1316="","",IF(OR($Q1316=TRUE(),$Q1316="TRUE"),1,0))</f>
        <v/>
      </c>
      <c r="AM1316">
        <f>IF($C1316="","",IF($W1316="Yes",1,0))</f>
        <v/>
      </c>
      <c r="AN1316">
        <f>IF($AJ1316=1,IFERROR(IF(VALUE($C1316)&lt;100000000,VALUE($C1316),1000000000),IFERROR(IF(VALUE(MID($C1316,2,20))&lt;100000000,VALUE(MID($C1316,2,20)),1000000000),1000000000))+ROW()/100000,"")</f>
        <v/>
      </c>
    </row>
    <row r="1317">
      <c r="E1317" s="11" t="n"/>
      <c r="M1317" s="7">
        <f>IF($C1317="","",L1317*U1317/100)</f>
        <v/>
      </c>
      <c r="N1317" s="7" t="n"/>
      <c r="T1317" s="7" t="n"/>
      <c r="U1317" s="7">
        <f>IF($C1317="","",S1317*T1317)</f>
        <v/>
      </c>
      <c r="X1317">
        <f>IF($C1317="","",IF($AM1317=1,0,IF($AL1317=1,Settings!$C$6,Settings!$C$7))*100)</f>
        <v/>
      </c>
      <c r="AB1317" s="7" t="n"/>
      <c r="AE1317" s="11" t="n"/>
      <c r="AG1317" s="7">
        <f>IF($C1317="","",U1317*X1317/100)</f>
        <v/>
      </c>
      <c r="AH1317" s="7">
        <f>IF($C1317="","",U1317-AG1317)</f>
        <v/>
      </c>
      <c r="AI1317" s="7">
        <f>IF($C1317="","",AH1317-M1317)</f>
        <v/>
      </c>
      <c r="AJ1317">
        <f>IF($C1317="","",IF(COUNTIF($C$2:$C1317,$C1317)=1,1,0))</f>
        <v/>
      </c>
      <c r="AK1317">
        <f>IF($AJ1317=1,SUMPRODUCT(--($AN$2:$AN$4001&lt;$AN1317))+1,"")</f>
        <v/>
      </c>
      <c r="AL1317">
        <f>IF($C1317="","",IF(OR($Q1317=TRUE(),$Q1317="TRUE"),1,0))</f>
        <v/>
      </c>
      <c r="AM1317">
        <f>IF($C1317="","",IF($W1317="Yes",1,0))</f>
        <v/>
      </c>
      <c r="AN1317">
        <f>IF($AJ1317=1,IFERROR(IF(VALUE($C1317)&lt;100000000,VALUE($C1317),1000000000),IFERROR(IF(VALUE(MID($C1317,2,20))&lt;100000000,VALUE(MID($C1317,2,20)),1000000000),1000000000))+ROW()/100000,"")</f>
        <v/>
      </c>
    </row>
    <row r="1318">
      <c r="E1318" s="11" t="n"/>
      <c r="M1318" s="7">
        <f>IF($C1318="","",L1318*U1318/100)</f>
        <v/>
      </c>
      <c r="N1318" s="7" t="n"/>
      <c r="T1318" s="7" t="n"/>
      <c r="U1318" s="7">
        <f>IF($C1318="","",S1318*T1318)</f>
        <v/>
      </c>
      <c r="X1318">
        <f>IF($C1318="","",IF($AM1318=1,0,IF($AL1318=1,Settings!$C$6,Settings!$C$7))*100)</f>
        <v/>
      </c>
      <c r="AB1318" s="7" t="n"/>
      <c r="AE1318" s="11" t="n"/>
      <c r="AG1318" s="7">
        <f>IF($C1318="","",U1318*X1318/100)</f>
        <v/>
      </c>
      <c r="AH1318" s="7">
        <f>IF($C1318="","",U1318-AG1318)</f>
        <v/>
      </c>
      <c r="AI1318" s="7">
        <f>IF($C1318="","",AH1318-M1318)</f>
        <v/>
      </c>
      <c r="AJ1318">
        <f>IF($C1318="","",IF(COUNTIF($C$2:$C1318,$C1318)=1,1,0))</f>
        <v/>
      </c>
      <c r="AK1318">
        <f>IF($AJ1318=1,SUMPRODUCT(--($AN$2:$AN$4001&lt;$AN1318))+1,"")</f>
        <v/>
      </c>
      <c r="AL1318">
        <f>IF($C1318="","",IF(OR($Q1318=TRUE(),$Q1318="TRUE"),1,0))</f>
        <v/>
      </c>
      <c r="AM1318">
        <f>IF($C1318="","",IF($W1318="Yes",1,0))</f>
        <v/>
      </c>
      <c r="AN1318">
        <f>IF($AJ1318=1,IFERROR(IF(VALUE($C1318)&lt;100000000,VALUE($C1318),1000000000),IFERROR(IF(VALUE(MID($C1318,2,20))&lt;100000000,VALUE(MID($C1318,2,20)),1000000000),1000000000))+ROW()/100000,"")</f>
        <v/>
      </c>
    </row>
    <row r="1319">
      <c r="E1319" s="11" t="n"/>
      <c r="M1319" s="7">
        <f>IF($C1319="","",L1319*U1319/100)</f>
        <v/>
      </c>
      <c r="N1319" s="7" t="n"/>
      <c r="T1319" s="7" t="n"/>
      <c r="U1319" s="7">
        <f>IF($C1319="","",S1319*T1319)</f>
        <v/>
      </c>
      <c r="X1319">
        <f>IF($C1319="","",IF($AM1319=1,0,IF($AL1319=1,Settings!$C$6,Settings!$C$7))*100)</f>
        <v/>
      </c>
      <c r="AB1319" s="7" t="n"/>
      <c r="AE1319" s="11" t="n"/>
      <c r="AG1319" s="7">
        <f>IF($C1319="","",U1319*X1319/100)</f>
        <v/>
      </c>
      <c r="AH1319" s="7">
        <f>IF($C1319="","",U1319-AG1319)</f>
        <v/>
      </c>
      <c r="AI1319" s="7">
        <f>IF($C1319="","",AH1319-M1319)</f>
        <v/>
      </c>
      <c r="AJ1319">
        <f>IF($C1319="","",IF(COUNTIF($C$2:$C1319,$C1319)=1,1,0))</f>
        <v/>
      </c>
      <c r="AK1319">
        <f>IF($AJ1319=1,SUMPRODUCT(--($AN$2:$AN$4001&lt;$AN1319))+1,"")</f>
        <v/>
      </c>
      <c r="AL1319">
        <f>IF($C1319="","",IF(OR($Q1319=TRUE(),$Q1319="TRUE"),1,0))</f>
        <v/>
      </c>
      <c r="AM1319">
        <f>IF($C1319="","",IF($W1319="Yes",1,0))</f>
        <v/>
      </c>
      <c r="AN1319">
        <f>IF($AJ1319=1,IFERROR(IF(VALUE($C1319)&lt;100000000,VALUE($C1319),1000000000),IFERROR(IF(VALUE(MID($C1319,2,20))&lt;100000000,VALUE(MID($C1319,2,20)),1000000000),1000000000))+ROW()/100000,"")</f>
        <v/>
      </c>
    </row>
    <row r="1320">
      <c r="E1320" s="11" t="n"/>
      <c r="M1320" s="7">
        <f>IF($C1320="","",L1320*U1320/100)</f>
        <v/>
      </c>
      <c r="N1320" s="7" t="n"/>
      <c r="T1320" s="7" t="n"/>
      <c r="U1320" s="7">
        <f>IF($C1320="","",S1320*T1320)</f>
        <v/>
      </c>
      <c r="X1320">
        <f>IF($C1320="","",IF($AM1320=1,0,IF($AL1320=1,Settings!$C$6,Settings!$C$7))*100)</f>
        <v/>
      </c>
      <c r="AB1320" s="7" t="n"/>
      <c r="AE1320" s="11" t="n"/>
      <c r="AG1320" s="7">
        <f>IF($C1320="","",U1320*X1320/100)</f>
        <v/>
      </c>
      <c r="AH1320" s="7">
        <f>IF($C1320="","",U1320-AG1320)</f>
        <v/>
      </c>
      <c r="AI1320" s="7">
        <f>IF($C1320="","",AH1320-M1320)</f>
        <v/>
      </c>
      <c r="AJ1320">
        <f>IF($C1320="","",IF(COUNTIF($C$2:$C1320,$C1320)=1,1,0))</f>
        <v/>
      </c>
      <c r="AK1320">
        <f>IF($AJ1320=1,SUMPRODUCT(--($AN$2:$AN$4001&lt;$AN1320))+1,"")</f>
        <v/>
      </c>
      <c r="AL1320">
        <f>IF($C1320="","",IF(OR($Q1320=TRUE(),$Q1320="TRUE"),1,0))</f>
        <v/>
      </c>
      <c r="AM1320">
        <f>IF($C1320="","",IF($W1320="Yes",1,0))</f>
        <v/>
      </c>
      <c r="AN1320">
        <f>IF($AJ1320=1,IFERROR(IF(VALUE($C1320)&lt;100000000,VALUE($C1320),1000000000),IFERROR(IF(VALUE(MID($C1320,2,20))&lt;100000000,VALUE(MID($C1320,2,20)),1000000000),1000000000))+ROW()/100000,"")</f>
        <v/>
      </c>
    </row>
    <row r="1321">
      <c r="E1321" s="11" t="n"/>
      <c r="M1321" s="7">
        <f>IF($C1321="","",L1321*U1321/100)</f>
        <v/>
      </c>
      <c r="N1321" s="7" t="n"/>
      <c r="T1321" s="7" t="n"/>
      <c r="U1321" s="7">
        <f>IF($C1321="","",S1321*T1321)</f>
        <v/>
      </c>
      <c r="X1321">
        <f>IF($C1321="","",IF($AM1321=1,0,IF($AL1321=1,Settings!$C$6,Settings!$C$7))*100)</f>
        <v/>
      </c>
      <c r="AB1321" s="7" t="n"/>
      <c r="AE1321" s="11" t="n"/>
      <c r="AG1321" s="7">
        <f>IF($C1321="","",U1321*X1321/100)</f>
        <v/>
      </c>
      <c r="AH1321" s="7">
        <f>IF($C1321="","",U1321-AG1321)</f>
        <v/>
      </c>
      <c r="AI1321" s="7">
        <f>IF($C1321="","",AH1321-M1321)</f>
        <v/>
      </c>
      <c r="AJ1321">
        <f>IF($C1321="","",IF(COUNTIF($C$2:$C1321,$C1321)=1,1,0))</f>
        <v/>
      </c>
      <c r="AK1321">
        <f>IF($AJ1321=1,SUMPRODUCT(--($AN$2:$AN$4001&lt;$AN1321))+1,"")</f>
        <v/>
      </c>
      <c r="AL1321">
        <f>IF($C1321="","",IF(OR($Q1321=TRUE(),$Q1321="TRUE"),1,0))</f>
        <v/>
      </c>
      <c r="AM1321">
        <f>IF($C1321="","",IF($W1321="Yes",1,0))</f>
        <v/>
      </c>
      <c r="AN1321">
        <f>IF($AJ1321=1,IFERROR(IF(VALUE($C1321)&lt;100000000,VALUE($C1321),1000000000),IFERROR(IF(VALUE(MID($C1321,2,20))&lt;100000000,VALUE(MID($C1321,2,20)),1000000000),1000000000))+ROW()/100000,"")</f>
        <v/>
      </c>
    </row>
    <row r="1322">
      <c r="E1322" s="11" t="n"/>
      <c r="M1322" s="7">
        <f>IF($C1322="","",L1322*U1322/100)</f>
        <v/>
      </c>
      <c r="N1322" s="7" t="n"/>
      <c r="T1322" s="7" t="n"/>
      <c r="U1322" s="7">
        <f>IF($C1322="","",S1322*T1322)</f>
        <v/>
      </c>
      <c r="X1322">
        <f>IF($C1322="","",IF($AM1322=1,0,IF($AL1322=1,Settings!$C$6,Settings!$C$7))*100)</f>
        <v/>
      </c>
      <c r="AB1322" s="7" t="n"/>
      <c r="AE1322" s="11" t="n"/>
      <c r="AG1322" s="7">
        <f>IF($C1322="","",U1322*X1322/100)</f>
        <v/>
      </c>
      <c r="AH1322" s="7">
        <f>IF($C1322="","",U1322-AG1322)</f>
        <v/>
      </c>
      <c r="AI1322" s="7">
        <f>IF($C1322="","",AH1322-M1322)</f>
        <v/>
      </c>
      <c r="AJ1322">
        <f>IF($C1322="","",IF(COUNTIF($C$2:$C1322,$C1322)=1,1,0))</f>
        <v/>
      </c>
      <c r="AK1322">
        <f>IF($AJ1322=1,SUMPRODUCT(--($AN$2:$AN$4001&lt;$AN1322))+1,"")</f>
        <v/>
      </c>
      <c r="AL1322">
        <f>IF($C1322="","",IF(OR($Q1322=TRUE(),$Q1322="TRUE"),1,0))</f>
        <v/>
      </c>
      <c r="AM1322">
        <f>IF($C1322="","",IF($W1322="Yes",1,0))</f>
        <v/>
      </c>
      <c r="AN1322">
        <f>IF($AJ1322=1,IFERROR(IF(VALUE($C1322)&lt;100000000,VALUE($C1322),1000000000),IFERROR(IF(VALUE(MID($C1322,2,20))&lt;100000000,VALUE(MID($C1322,2,20)),1000000000),1000000000))+ROW()/100000,"")</f>
        <v/>
      </c>
    </row>
    <row r="1323">
      <c r="E1323" s="11" t="n"/>
      <c r="M1323" s="7">
        <f>IF($C1323="","",L1323*U1323/100)</f>
        <v/>
      </c>
      <c r="N1323" s="7" t="n"/>
      <c r="T1323" s="7" t="n"/>
      <c r="U1323" s="7">
        <f>IF($C1323="","",S1323*T1323)</f>
        <v/>
      </c>
      <c r="X1323">
        <f>IF($C1323="","",IF($AM1323=1,0,IF($AL1323=1,Settings!$C$6,Settings!$C$7))*100)</f>
        <v/>
      </c>
      <c r="AB1323" s="7" t="n"/>
      <c r="AE1323" s="11" t="n"/>
      <c r="AG1323" s="7">
        <f>IF($C1323="","",U1323*X1323/100)</f>
        <v/>
      </c>
      <c r="AH1323" s="7">
        <f>IF($C1323="","",U1323-AG1323)</f>
        <v/>
      </c>
      <c r="AI1323" s="7">
        <f>IF($C1323="","",AH1323-M1323)</f>
        <v/>
      </c>
      <c r="AJ1323">
        <f>IF($C1323="","",IF(COUNTIF($C$2:$C1323,$C1323)=1,1,0))</f>
        <v/>
      </c>
      <c r="AK1323">
        <f>IF($AJ1323=1,SUMPRODUCT(--($AN$2:$AN$4001&lt;$AN1323))+1,"")</f>
        <v/>
      </c>
      <c r="AL1323">
        <f>IF($C1323="","",IF(OR($Q1323=TRUE(),$Q1323="TRUE"),1,0))</f>
        <v/>
      </c>
      <c r="AM1323">
        <f>IF($C1323="","",IF($W1323="Yes",1,0))</f>
        <v/>
      </c>
      <c r="AN1323">
        <f>IF($AJ1323=1,IFERROR(IF(VALUE($C1323)&lt;100000000,VALUE($C1323),1000000000),IFERROR(IF(VALUE(MID($C1323,2,20))&lt;100000000,VALUE(MID($C1323,2,20)),1000000000),1000000000))+ROW()/100000,"")</f>
        <v/>
      </c>
    </row>
    <row r="1324">
      <c r="E1324" s="11" t="n"/>
      <c r="M1324" s="7">
        <f>IF($C1324="","",L1324*U1324/100)</f>
        <v/>
      </c>
      <c r="N1324" s="7" t="n"/>
      <c r="T1324" s="7" t="n"/>
      <c r="U1324" s="7">
        <f>IF($C1324="","",S1324*T1324)</f>
        <v/>
      </c>
      <c r="X1324">
        <f>IF($C1324="","",IF($AM1324=1,0,IF($AL1324=1,Settings!$C$6,Settings!$C$7))*100)</f>
        <v/>
      </c>
      <c r="AB1324" s="7" t="n"/>
      <c r="AE1324" s="11" t="n"/>
      <c r="AG1324" s="7">
        <f>IF($C1324="","",U1324*X1324/100)</f>
        <v/>
      </c>
      <c r="AH1324" s="7">
        <f>IF($C1324="","",U1324-AG1324)</f>
        <v/>
      </c>
      <c r="AI1324" s="7">
        <f>IF($C1324="","",AH1324-M1324)</f>
        <v/>
      </c>
      <c r="AJ1324">
        <f>IF($C1324="","",IF(COUNTIF($C$2:$C1324,$C1324)=1,1,0))</f>
        <v/>
      </c>
      <c r="AK1324">
        <f>IF($AJ1324=1,SUMPRODUCT(--($AN$2:$AN$4001&lt;$AN1324))+1,"")</f>
        <v/>
      </c>
      <c r="AL1324">
        <f>IF($C1324="","",IF(OR($Q1324=TRUE(),$Q1324="TRUE"),1,0))</f>
        <v/>
      </c>
      <c r="AM1324">
        <f>IF($C1324="","",IF($W1324="Yes",1,0))</f>
        <v/>
      </c>
      <c r="AN1324">
        <f>IF($AJ1324=1,IFERROR(IF(VALUE($C1324)&lt;100000000,VALUE($C1324),1000000000),IFERROR(IF(VALUE(MID($C1324,2,20))&lt;100000000,VALUE(MID($C1324,2,20)),1000000000),1000000000))+ROW()/100000,"")</f>
        <v/>
      </c>
    </row>
    <row r="1325">
      <c r="E1325" s="11" t="n"/>
      <c r="M1325" s="7">
        <f>IF($C1325="","",L1325*U1325/100)</f>
        <v/>
      </c>
      <c r="N1325" s="7" t="n"/>
      <c r="T1325" s="7" t="n"/>
      <c r="U1325" s="7">
        <f>IF($C1325="","",S1325*T1325)</f>
        <v/>
      </c>
      <c r="X1325">
        <f>IF($C1325="","",IF($AM1325=1,0,IF($AL1325=1,Settings!$C$6,Settings!$C$7))*100)</f>
        <v/>
      </c>
      <c r="AB1325" s="7" t="n"/>
      <c r="AE1325" s="11" t="n"/>
      <c r="AG1325" s="7">
        <f>IF($C1325="","",U1325*X1325/100)</f>
        <v/>
      </c>
      <c r="AH1325" s="7">
        <f>IF($C1325="","",U1325-AG1325)</f>
        <v/>
      </c>
      <c r="AI1325" s="7">
        <f>IF($C1325="","",AH1325-M1325)</f>
        <v/>
      </c>
      <c r="AJ1325">
        <f>IF($C1325="","",IF(COUNTIF($C$2:$C1325,$C1325)=1,1,0))</f>
        <v/>
      </c>
      <c r="AK1325">
        <f>IF($AJ1325=1,SUMPRODUCT(--($AN$2:$AN$4001&lt;$AN1325))+1,"")</f>
        <v/>
      </c>
      <c r="AL1325">
        <f>IF($C1325="","",IF(OR($Q1325=TRUE(),$Q1325="TRUE"),1,0))</f>
        <v/>
      </c>
      <c r="AM1325">
        <f>IF($C1325="","",IF($W1325="Yes",1,0))</f>
        <v/>
      </c>
      <c r="AN1325">
        <f>IF($AJ1325=1,IFERROR(IF(VALUE($C1325)&lt;100000000,VALUE($C1325),1000000000),IFERROR(IF(VALUE(MID($C1325,2,20))&lt;100000000,VALUE(MID($C1325,2,20)),1000000000),1000000000))+ROW()/100000,"")</f>
        <v/>
      </c>
    </row>
    <row r="1326">
      <c r="E1326" s="11" t="n"/>
      <c r="M1326" s="7">
        <f>IF($C1326="","",L1326*U1326/100)</f>
        <v/>
      </c>
      <c r="N1326" s="7" t="n"/>
      <c r="T1326" s="7" t="n"/>
      <c r="U1326" s="7">
        <f>IF($C1326="","",S1326*T1326)</f>
        <v/>
      </c>
      <c r="X1326">
        <f>IF($C1326="","",IF($AM1326=1,0,IF($AL1326=1,Settings!$C$6,Settings!$C$7))*100)</f>
        <v/>
      </c>
      <c r="AB1326" s="7" t="n"/>
      <c r="AE1326" s="11" t="n"/>
      <c r="AG1326" s="7">
        <f>IF($C1326="","",U1326*X1326/100)</f>
        <v/>
      </c>
      <c r="AH1326" s="7">
        <f>IF($C1326="","",U1326-AG1326)</f>
        <v/>
      </c>
      <c r="AI1326" s="7">
        <f>IF($C1326="","",AH1326-M1326)</f>
        <v/>
      </c>
      <c r="AJ1326">
        <f>IF($C1326="","",IF(COUNTIF($C$2:$C1326,$C1326)=1,1,0))</f>
        <v/>
      </c>
      <c r="AK1326">
        <f>IF($AJ1326=1,SUMPRODUCT(--($AN$2:$AN$4001&lt;$AN1326))+1,"")</f>
        <v/>
      </c>
      <c r="AL1326">
        <f>IF($C1326="","",IF(OR($Q1326=TRUE(),$Q1326="TRUE"),1,0))</f>
        <v/>
      </c>
      <c r="AM1326">
        <f>IF($C1326="","",IF($W1326="Yes",1,0))</f>
        <v/>
      </c>
      <c r="AN1326">
        <f>IF($AJ1326=1,IFERROR(IF(VALUE($C1326)&lt;100000000,VALUE($C1326),1000000000),IFERROR(IF(VALUE(MID($C1326,2,20))&lt;100000000,VALUE(MID($C1326,2,20)),1000000000),1000000000))+ROW()/100000,"")</f>
        <v/>
      </c>
    </row>
    <row r="1327">
      <c r="E1327" s="11" t="n"/>
      <c r="M1327" s="7">
        <f>IF($C1327="","",L1327*U1327/100)</f>
        <v/>
      </c>
      <c r="N1327" s="7" t="n"/>
      <c r="T1327" s="7" t="n"/>
      <c r="U1327" s="7">
        <f>IF($C1327="","",S1327*T1327)</f>
        <v/>
      </c>
      <c r="X1327">
        <f>IF($C1327="","",IF($AM1327=1,0,IF($AL1327=1,Settings!$C$6,Settings!$C$7))*100)</f>
        <v/>
      </c>
      <c r="AB1327" s="7" t="n"/>
      <c r="AE1327" s="11" t="n"/>
      <c r="AG1327" s="7">
        <f>IF($C1327="","",U1327*X1327/100)</f>
        <v/>
      </c>
      <c r="AH1327" s="7">
        <f>IF($C1327="","",U1327-AG1327)</f>
        <v/>
      </c>
      <c r="AI1327" s="7">
        <f>IF($C1327="","",AH1327-M1327)</f>
        <v/>
      </c>
      <c r="AJ1327">
        <f>IF($C1327="","",IF(COUNTIF($C$2:$C1327,$C1327)=1,1,0))</f>
        <v/>
      </c>
      <c r="AK1327">
        <f>IF($AJ1327=1,SUMPRODUCT(--($AN$2:$AN$4001&lt;$AN1327))+1,"")</f>
        <v/>
      </c>
      <c r="AL1327">
        <f>IF($C1327="","",IF(OR($Q1327=TRUE(),$Q1327="TRUE"),1,0))</f>
        <v/>
      </c>
      <c r="AM1327">
        <f>IF($C1327="","",IF($W1327="Yes",1,0))</f>
        <v/>
      </c>
      <c r="AN1327">
        <f>IF($AJ1327=1,IFERROR(IF(VALUE($C1327)&lt;100000000,VALUE($C1327),1000000000),IFERROR(IF(VALUE(MID($C1327,2,20))&lt;100000000,VALUE(MID($C1327,2,20)),1000000000),1000000000))+ROW()/100000,"")</f>
        <v/>
      </c>
    </row>
    <row r="1328">
      <c r="E1328" s="11" t="n"/>
      <c r="M1328" s="7">
        <f>IF($C1328="","",L1328*U1328/100)</f>
        <v/>
      </c>
      <c r="N1328" s="7" t="n"/>
      <c r="T1328" s="7" t="n"/>
      <c r="U1328" s="7">
        <f>IF($C1328="","",S1328*T1328)</f>
        <v/>
      </c>
      <c r="X1328">
        <f>IF($C1328="","",IF($AM1328=1,0,IF($AL1328=1,Settings!$C$6,Settings!$C$7))*100)</f>
        <v/>
      </c>
      <c r="AB1328" s="7" t="n"/>
      <c r="AE1328" s="11" t="n"/>
      <c r="AG1328" s="7">
        <f>IF($C1328="","",U1328*X1328/100)</f>
        <v/>
      </c>
      <c r="AH1328" s="7">
        <f>IF($C1328="","",U1328-AG1328)</f>
        <v/>
      </c>
      <c r="AI1328" s="7">
        <f>IF($C1328="","",AH1328-M1328)</f>
        <v/>
      </c>
      <c r="AJ1328">
        <f>IF($C1328="","",IF(COUNTIF($C$2:$C1328,$C1328)=1,1,0))</f>
        <v/>
      </c>
      <c r="AK1328">
        <f>IF($AJ1328=1,SUMPRODUCT(--($AN$2:$AN$4001&lt;$AN1328))+1,"")</f>
        <v/>
      </c>
      <c r="AL1328">
        <f>IF($C1328="","",IF(OR($Q1328=TRUE(),$Q1328="TRUE"),1,0))</f>
        <v/>
      </c>
      <c r="AM1328">
        <f>IF($C1328="","",IF($W1328="Yes",1,0))</f>
        <v/>
      </c>
      <c r="AN1328">
        <f>IF($AJ1328=1,IFERROR(IF(VALUE($C1328)&lt;100000000,VALUE($C1328),1000000000),IFERROR(IF(VALUE(MID($C1328,2,20))&lt;100000000,VALUE(MID($C1328,2,20)),1000000000),1000000000))+ROW()/100000,"")</f>
        <v/>
      </c>
    </row>
    <row r="1329">
      <c r="E1329" s="11" t="n"/>
      <c r="M1329" s="7">
        <f>IF($C1329="","",L1329*U1329/100)</f>
        <v/>
      </c>
      <c r="N1329" s="7" t="n"/>
      <c r="T1329" s="7" t="n"/>
      <c r="U1329" s="7">
        <f>IF($C1329="","",S1329*T1329)</f>
        <v/>
      </c>
      <c r="X1329">
        <f>IF($C1329="","",IF($AM1329=1,0,IF($AL1329=1,Settings!$C$6,Settings!$C$7))*100)</f>
        <v/>
      </c>
      <c r="AB1329" s="7" t="n"/>
      <c r="AE1329" s="11" t="n"/>
      <c r="AG1329" s="7">
        <f>IF($C1329="","",U1329*X1329/100)</f>
        <v/>
      </c>
      <c r="AH1329" s="7">
        <f>IF($C1329="","",U1329-AG1329)</f>
        <v/>
      </c>
      <c r="AI1329" s="7">
        <f>IF($C1329="","",AH1329-M1329)</f>
        <v/>
      </c>
      <c r="AJ1329">
        <f>IF($C1329="","",IF(COUNTIF($C$2:$C1329,$C1329)=1,1,0))</f>
        <v/>
      </c>
      <c r="AK1329">
        <f>IF($AJ1329=1,SUMPRODUCT(--($AN$2:$AN$4001&lt;$AN1329))+1,"")</f>
        <v/>
      </c>
      <c r="AL1329">
        <f>IF($C1329="","",IF(OR($Q1329=TRUE(),$Q1329="TRUE"),1,0))</f>
        <v/>
      </c>
      <c r="AM1329">
        <f>IF($C1329="","",IF($W1329="Yes",1,0))</f>
        <v/>
      </c>
      <c r="AN1329">
        <f>IF($AJ1329=1,IFERROR(IF(VALUE($C1329)&lt;100000000,VALUE($C1329),1000000000),IFERROR(IF(VALUE(MID($C1329,2,20))&lt;100000000,VALUE(MID($C1329,2,20)),1000000000),1000000000))+ROW()/100000,"")</f>
        <v/>
      </c>
    </row>
    <row r="1330">
      <c r="E1330" s="11" t="n"/>
      <c r="M1330" s="7">
        <f>IF($C1330="","",L1330*U1330/100)</f>
        <v/>
      </c>
      <c r="N1330" s="7" t="n"/>
      <c r="T1330" s="7" t="n"/>
      <c r="U1330" s="7">
        <f>IF($C1330="","",S1330*T1330)</f>
        <v/>
      </c>
      <c r="X1330">
        <f>IF($C1330="","",IF($AM1330=1,0,IF($AL1330=1,Settings!$C$6,Settings!$C$7))*100)</f>
        <v/>
      </c>
      <c r="AB1330" s="7" t="n"/>
      <c r="AE1330" s="11" t="n"/>
      <c r="AG1330" s="7">
        <f>IF($C1330="","",U1330*X1330/100)</f>
        <v/>
      </c>
      <c r="AH1330" s="7">
        <f>IF($C1330="","",U1330-AG1330)</f>
        <v/>
      </c>
      <c r="AI1330" s="7">
        <f>IF($C1330="","",AH1330-M1330)</f>
        <v/>
      </c>
      <c r="AJ1330">
        <f>IF($C1330="","",IF(COUNTIF($C$2:$C1330,$C1330)=1,1,0))</f>
        <v/>
      </c>
      <c r="AK1330">
        <f>IF($AJ1330=1,SUMPRODUCT(--($AN$2:$AN$4001&lt;$AN1330))+1,"")</f>
        <v/>
      </c>
      <c r="AL1330">
        <f>IF($C1330="","",IF(OR($Q1330=TRUE(),$Q1330="TRUE"),1,0))</f>
        <v/>
      </c>
      <c r="AM1330">
        <f>IF($C1330="","",IF($W1330="Yes",1,0))</f>
        <v/>
      </c>
      <c r="AN1330">
        <f>IF($AJ1330=1,IFERROR(IF(VALUE($C1330)&lt;100000000,VALUE($C1330),1000000000),IFERROR(IF(VALUE(MID($C1330,2,20))&lt;100000000,VALUE(MID($C1330,2,20)),1000000000),1000000000))+ROW()/100000,"")</f>
        <v/>
      </c>
    </row>
    <row r="1331">
      <c r="E1331" s="11" t="n"/>
      <c r="M1331" s="7">
        <f>IF($C1331="","",L1331*U1331/100)</f>
        <v/>
      </c>
      <c r="N1331" s="7" t="n"/>
      <c r="T1331" s="7" t="n"/>
      <c r="U1331" s="7">
        <f>IF($C1331="","",S1331*T1331)</f>
        <v/>
      </c>
      <c r="X1331">
        <f>IF($C1331="","",IF($AM1331=1,0,IF($AL1331=1,Settings!$C$6,Settings!$C$7))*100)</f>
        <v/>
      </c>
      <c r="AB1331" s="7" t="n"/>
      <c r="AE1331" s="11" t="n"/>
      <c r="AG1331" s="7">
        <f>IF($C1331="","",U1331*X1331/100)</f>
        <v/>
      </c>
      <c r="AH1331" s="7">
        <f>IF($C1331="","",U1331-AG1331)</f>
        <v/>
      </c>
      <c r="AI1331" s="7">
        <f>IF($C1331="","",AH1331-M1331)</f>
        <v/>
      </c>
      <c r="AJ1331">
        <f>IF($C1331="","",IF(COUNTIF($C$2:$C1331,$C1331)=1,1,0))</f>
        <v/>
      </c>
      <c r="AK1331">
        <f>IF($AJ1331=1,SUMPRODUCT(--($AN$2:$AN$4001&lt;$AN1331))+1,"")</f>
        <v/>
      </c>
      <c r="AL1331">
        <f>IF($C1331="","",IF(OR($Q1331=TRUE(),$Q1331="TRUE"),1,0))</f>
        <v/>
      </c>
      <c r="AM1331">
        <f>IF($C1331="","",IF($W1331="Yes",1,0))</f>
        <v/>
      </c>
      <c r="AN1331">
        <f>IF($AJ1331=1,IFERROR(IF(VALUE($C1331)&lt;100000000,VALUE($C1331),1000000000),IFERROR(IF(VALUE(MID($C1331,2,20))&lt;100000000,VALUE(MID($C1331,2,20)),1000000000),1000000000))+ROW()/100000,"")</f>
        <v/>
      </c>
    </row>
    <row r="1332">
      <c r="E1332" s="11" t="n"/>
      <c r="M1332" s="7">
        <f>IF($C1332="","",L1332*U1332/100)</f>
        <v/>
      </c>
      <c r="N1332" s="7" t="n"/>
      <c r="T1332" s="7" t="n"/>
      <c r="U1332" s="7">
        <f>IF($C1332="","",S1332*T1332)</f>
        <v/>
      </c>
      <c r="X1332">
        <f>IF($C1332="","",IF($AM1332=1,0,IF($AL1332=1,Settings!$C$6,Settings!$C$7))*100)</f>
        <v/>
      </c>
      <c r="AB1332" s="7" t="n"/>
      <c r="AE1332" s="11" t="n"/>
      <c r="AG1332" s="7">
        <f>IF($C1332="","",U1332*X1332/100)</f>
        <v/>
      </c>
      <c r="AH1332" s="7">
        <f>IF($C1332="","",U1332-AG1332)</f>
        <v/>
      </c>
      <c r="AI1332" s="7">
        <f>IF($C1332="","",AH1332-M1332)</f>
        <v/>
      </c>
      <c r="AJ1332">
        <f>IF($C1332="","",IF(COUNTIF($C$2:$C1332,$C1332)=1,1,0))</f>
        <v/>
      </c>
      <c r="AK1332">
        <f>IF($AJ1332=1,SUMPRODUCT(--($AN$2:$AN$4001&lt;$AN1332))+1,"")</f>
        <v/>
      </c>
      <c r="AL1332">
        <f>IF($C1332="","",IF(OR($Q1332=TRUE(),$Q1332="TRUE"),1,0))</f>
        <v/>
      </c>
      <c r="AM1332">
        <f>IF($C1332="","",IF($W1332="Yes",1,0))</f>
        <v/>
      </c>
      <c r="AN1332">
        <f>IF($AJ1332=1,IFERROR(IF(VALUE($C1332)&lt;100000000,VALUE($C1332),1000000000),IFERROR(IF(VALUE(MID($C1332,2,20))&lt;100000000,VALUE(MID($C1332,2,20)),1000000000),1000000000))+ROW()/100000,"")</f>
        <v/>
      </c>
    </row>
    <row r="1333">
      <c r="E1333" s="11" t="n"/>
      <c r="M1333" s="7">
        <f>IF($C1333="","",L1333*U1333/100)</f>
        <v/>
      </c>
      <c r="N1333" s="7" t="n"/>
      <c r="T1333" s="7" t="n"/>
      <c r="U1333" s="7">
        <f>IF($C1333="","",S1333*T1333)</f>
        <v/>
      </c>
      <c r="X1333">
        <f>IF($C1333="","",IF($AM1333=1,0,IF($AL1333=1,Settings!$C$6,Settings!$C$7))*100)</f>
        <v/>
      </c>
      <c r="AB1333" s="7" t="n"/>
      <c r="AE1333" s="11" t="n"/>
      <c r="AG1333" s="7">
        <f>IF($C1333="","",U1333*X1333/100)</f>
        <v/>
      </c>
      <c r="AH1333" s="7">
        <f>IF($C1333="","",U1333-AG1333)</f>
        <v/>
      </c>
      <c r="AI1333" s="7">
        <f>IF($C1333="","",AH1333-M1333)</f>
        <v/>
      </c>
      <c r="AJ1333">
        <f>IF($C1333="","",IF(COUNTIF($C$2:$C1333,$C1333)=1,1,0))</f>
        <v/>
      </c>
      <c r="AK1333">
        <f>IF($AJ1333=1,SUMPRODUCT(--($AN$2:$AN$4001&lt;$AN1333))+1,"")</f>
        <v/>
      </c>
      <c r="AL1333">
        <f>IF($C1333="","",IF(OR($Q1333=TRUE(),$Q1333="TRUE"),1,0))</f>
        <v/>
      </c>
      <c r="AM1333">
        <f>IF($C1333="","",IF($W1333="Yes",1,0))</f>
        <v/>
      </c>
      <c r="AN1333">
        <f>IF($AJ1333=1,IFERROR(IF(VALUE($C1333)&lt;100000000,VALUE($C1333),1000000000),IFERROR(IF(VALUE(MID($C1333,2,20))&lt;100000000,VALUE(MID($C1333,2,20)),1000000000),1000000000))+ROW()/100000,"")</f>
        <v/>
      </c>
    </row>
    <row r="1334">
      <c r="E1334" s="11" t="n"/>
      <c r="M1334" s="7">
        <f>IF($C1334="","",L1334*U1334/100)</f>
        <v/>
      </c>
      <c r="N1334" s="7" t="n"/>
      <c r="T1334" s="7" t="n"/>
      <c r="U1334" s="7">
        <f>IF($C1334="","",S1334*T1334)</f>
        <v/>
      </c>
      <c r="X1334">
        <f>IF($C1334="","",IF($AM1334=1,0,IF($AL1334=1,Settings!$C$6,Settings!$C$7))*100)</f>
        <v/>
      </c>
      <c r="AB1334" s="7" t="n"/>
      <c r="AE1334" s="11" t="n"/>
      <c r="AG1334" s="7">
        <f>IF($C1334="","",U1334*X1334/100)</f>
        <v/>
      </c>
      <c r="AH1334" s="7">
        <f>IF($C1334="","",U1334-AG1334)</f>
        <v/>
      </c>
      <c r="AI1334" s="7">
        <f>IF($C1334="","",AH1334-M1334)</f>
        <v/>
      </c>
      <c r="AJ1334">
        <f>IF($C1334="","",IF(COUNTIF($C$2:$C1334,$C1334)=1,1,0))</f>
        <v/>
      </c>
      <c r="AK1334">
        <f>IF($AJ1334=1,SUMPRODUCT(--($AN$2:$AN$4001&lt;$AN1334))+1,"")</f>
        <v/>
      </c>
      <c r="AL1334">
        <f>IF($C1334="","",IF(OR($Q1334=TRUE(),$Q1334="TRUE"),1,0))</f>
        <v/>
      </c>
      <c r="AM1334">
        <f>IF($C1334="","",IF($W1334="Yes",1,0))</f>
        <v/>
      </c>
      <c r="AN1334">
        <f>IF($AJ1334=1,IFERROR(IF(VALUE($C1334)&lt;100000000,VALUE($C1334),1000000000),IFERROR(IF(VALUE(MID($C1334,2,20))&lt;100000000,VALUE(MID($C1334,2,20)),1000000000),1000000000))+ROW()/100000,"")</f>
        <v/>
      </c>
    </row>
    <row r="1335">
      <c r="E1335" s="11" t="n"/>
      <c r="M1335" s="7">
        <f>IF($C1335="","",L1335*U1335/100)</f>
        <v/>
      </c>
      <c r="N1335" s="7" t="n"/>
      <c r="T1335" s="7" t="n"/>
      <c r="U1335" s="7">
        <f>IF($C1335="","",S1335*T1335)</f>
        <v/>
      </c>
      <c r="X1335">
        <f>IF($C1335="","",IF($AM1335=1,0,IF($AL1335=1,Settings!$C$6,Settings!$C$7))*100)</f>
        <v/>
      </c>
      <c r="AB1335" s="7" t="n"/>
      <c r="AE1335" s="11" t="n"/>
      <c r="AG1335" s="7">
        <f>IF($C1335="","",U1335*X1335/100)</f>
        <v/>
      </c>
      <c r="AH1335" s="7">
        <f>IF($C1335="","",U1335-AG1335)</f>
        <v/>
      </c>
      <c r="AI1335" s="7">
        <f>IF($C1335="","",AH1335-M1335)</f>
        <v/>
      </c>
      <c r="AJ1335">
        <f>IF($C1335="","",IF(COUNTIF($C$2:$C1335,$C1335)=1,1,0))</f>
        <v/>
      </c>
      <c r="AK1335">
        <f>IF($AJ1335=1,SUMPRODUCT(--($AN$2:$AN$4001&lt;$AN1335))+1,"")</f>
        <v/>
      </c>
      <c r="AL1335">
        <f>IF($C1335="","",IF(OR($Q1335=TRUE(),$Q1335="TRUE"),1,0))</f>
        <v/>
      </c>
      <c r="AM1335">
        <f>IF($C1335="","",IF($W1335="Yes",1,0))</f>
        <v/>
      </c>
      <c r="AN1335">
        <f>IF($AJ1335=1,IFERROR(IF(VALUE($C1335)&lt;100000000,VALUE($C1335),1000000000),IFERROR(IF(VALUE(MID($C1335,2,20))&lt;100000000,VALUE(MID($C1335,2,20)),1000000000),1000000000))+ROW()/100000,"")</f>
        <v/>
      </c>
    </row>
    <row r="1336">
      <c r="E1336" s="11" t="n"/>
      <c r="M1336" s="7">
        <f>IF($C1336="","",L1336*U1336/100)</f>
        <v/>
      </c>
      <c r="N1336" s="7" t="n"/>
      <c r="T1336" s="7" t="n"/>
      <c r="U1336" s="7">
        <f>IF($C1336="","",S1336*T1336)</f>
        <v/>
      </c>
      <c r="X1336">
        <f>IF($C1336="","",IF($AM1336=1,0,IF($AL1336=1,Settings!$C$6,Settings!$C$7))*100)</f>
        <v/>
      </c>
      <c r="AB1336" s="7" t="n"/>
      <c r="AE1336" s="11" t="n"/>
      <c r="AG1336" s="7">
        <f>IF($C1336="","",U1336*X1336/100)</f>
        <v/>
      </c>
      <c r="AH1336" s="7">
        <f>IF($C1336="","",U1336-AG1336)</f>
        <v/>
      </c>
      <c r="AI1336" s="7">
        <f>IF($C1336="","",AH1336-M1336)</f>
        <v/>
      </c>
      <c r="AJ1336">
        <f>IF($C1336="","",IF(COUNTIF($C$2:$C1336,$C1336)=1,1,0))</f>
        <v/>
      </c>
      <c r="AK1336">
        <f>IF($AJ1336=1,SUMPRODUCT(--($AN$2:$AN$4001&lt;$AN1336))+1,"")</f>
        <v/>
      </c>
      <c r="AL1336">
        <f>IF($C1336="","",IF(OR($Q1336=TRUE(),$Q1336="TRUE"),1,0))</f>
        <v/>
      </c>
      <c r="AM1336">
        <f>IF($C1336="","",IF($W1336="Yes",1,0))</f>
        <v/>
      </c>
      <c r="AN1336">
        <f>IF($AJ1336=1,IFERROR(IF(VALUE($C1336)&lt;100000000,VALUE($C1336),1000000000),IFERROR(IF(VALUE(MID($C1336,2,20))&lt;100000000,VALUE(MID($C1336,2,20)),1000000000),1000000000))+ROW()/100000,"")</f>
        <v/>
      </c>
    </row>
    <row r="1337">
      <c r="E1337" s="11" t="n"/>
      <c r="M1337" s="7">
        <f>IF($C1337="","",L1337*U1337/100)</f>
        <v/>
      </c>
      <c r="N1337" s="7" t="n"/>
      <c r="T1337" s="7" t="n"/>
      <c r="U1337" s="7">
        <f>IF($C1337="","",S1337*T1337)</f>
        <v/>
      </c>
      <c r="X1337">
        <f>IF($C1337="","",IF($AM1337=1,0,IF($AL1337=1,Settings!$C$6,Settings!$C$7))*100)</f>
        <v/>
      </c>
      <c r="AB1337" s="7" t="n"/>
      <c r="AE1337" s="11" t="n"/>
      <c r="AG1337" s="7">
        <f>IF($C1337="","",U1337*X1337/100)</f>
        <v/>
      </c>
      <c r="AH1337" s="7">
        <f>IF($C1337="","",U1337-AG1337)</f>
        <v/>
      </c>
      <c r="AI1337" s="7">
        <f>IF($C1337="","",AH1337-M1337)</f>
        <v/>
      </c>
      <c r="AJ1337">
        <f>IF($C1337="","",IF(COUNTIF($C$2:$C1337,$C1337)=1,1,0))</f>
        <v/>
      </c>
      <c r="AK1337">
        <f>IF($AJ1337=1,SUMPRODUCT(--($AN$2:$AN$4001&lt;$AN1337))+1,"")</f>
        <v/>
      </c>
      <c r="AL1337">
        <f>IF($C1337="","",IF(OR($Q1337=TRUE(),$Q1337="TRUE"),1,0))</f>
        <v/>
      </c>
      <c r="AM1337">
        <f>IF($C1337="","",IF($W1337="Yes",1,0))</f>
        <v/>
      </c>
      <c r="AN1337">
        <f>IF($AJ1337=1,IFERROR(IF(VALUE($C1337)&lt;100000000,VALUE($C1337),1000000000),IFERROR(IF(VALUE(MID($C1337,2,20))&lt;100000000,VALUE(MID($C1337,2,20)),1000000000),1000000000))+ROW()/100000,"")</f>
        <v/>
      </c>
    </row>
    <row r="1338">
      <c r="E1338" s="11" t="n"/>
      <c r="M1338" s="7">
        <f>IF($C1338="","",L1338*U1338/100)</f>
        <v/>
      </c>
      <c r="N1338" s="7" t="n"/>
      <c r="T1338" s="7" t="n"/>
      <c r="U1338" s="7">
        <f>IF($C1338="","",S1338*T1338)</f>
        <v/>
      </c>
      <c r="X1338">
        <f>IF($C1338="","",IF($AM1338=1,0,IF($AL1338=1,Settings!$C$6,Settings!$C$7))*100)</f>
        <v/>
      </c>
      <c r="AB1338" s="7" t="n"/>
      <c r="AE1338" s="11" t="n"/>
      <c r="AG1338" s="7">
        <f>IF($C1338="","",U1338*X1338/100)</f>
        <v/>
      </c>
      <c r="AH1338" s="7">
        <f>IF($C1338="","",U1338-AG1338)</f>
        <v/>
      </c>
      <c r="AI1338" s="7">
        <f>IF($C1338="","",AH1338-M1338)</f>
        <v/>
      </c>
      <c r="AJ1338">
        <f>IF($C1338="","",IF(COUNTIF($C$2:$C1338,$C1338)=1,1,0))</f>
        <v/>
      </c>
      <c r="AK1338">
        <f>IF($AJ1338=1,SUMPRODUCT(--($AN$2:$AN$4001&lt;$AN1338))+1,"")</f>
        <v/>
      </c>
      <c r="AL1338">
        <f>IF($C1338="","",IF(OR($Q1338=TRUE(),$Q1338="TRUE"),1,0))</f>
        <v/>
      </c>
      <c r="AM1338">
        <f>IF($C1338="","",IF($W1338="Yes",1,0))</f>
        <v/>
      </c>
      <c r="AN1338">
        <f>IF($AJ1338=1,IFERROR(IF(VALUE($C1338)&lt;100000000,VALUE($C1338),1000000000),IFERROR(IF(VALUE(MID($C1338,2,20))&lt;100000000,VALUE(MID($C1338,2,20)),1000000000),1000000000))+ROW()/100000,"")</f>
        <v/>
      </c>
    </row>
    <row r="1339">
      <c r="E1339" s="11" t="n"/>
      <c r="M1339" s="7">
        <f>IF($C1339="","",L1339*U1339/100)</f>
        <v/>
      </c>
      <c r="N1339" s="7" t="n"/>
      <c r="T1339" s="7" t="n"/>
      <c r="U1339" s="7">
        <f>IF($C1339="","",S1339*T1339)</f>
        <v/>
      </c>
      <c r="X1339">
        <f>IF($C1339="","",IF($AM1339=1,0,IF($AL1339=1,Settings!$C$6,Settings!$C$7))*100)</f>
        <v/>
      </c>
      <c r="AB1339" s="7" t="n"/>
      <c r="AE1339" s="11" t="n"/>
      <c r="AG1339" s="7">
        <f>IF($C1339="","",U1339*X1339/100)</f>
        <v/>
      </c>
      <c r="AH1339" s="7">
        <f>IF($C1339="","",U1339-AG1339)</f>
        <v/>
      </c>
      <c r="AI1339" s="7">
        <f>IF($C1339="","",AH1339-M1339)</f>
        <v/>
      </c>
      <c r="AJ1339">
        <f>IF($C1339="","",IF(COUNTIF($C$2:$C1339,$C1339)=1,1,0))</f>
        <v/>
      </c>
      <c r="AK1339">
        <f>IF($AJ1339=1,SUMPRODUCT(--($AN$2:$AN$4001&lt;$AN1339))+1,"")</f>
        <v/>
      </c>
      <c r="AL1339">
        <f>IF($C1339="","",IF(OR($Q1339=TRUE(),$Q1339="TRUE"),1,0))</f>
        <v/>
      </c>
      <c r="AM1339">
        <f>IF($C1339="","",IF($W1339="Yes",1,0))</f>
        <v/>
      </c>
      <c r="AN1339">
        <f>IF($AJ1339=1,IFERROR(IF(VALUE($C1339)&lt;100000000,VALUE($C1339),1000000000),IFERROR(IF(VALUE(MID($C1339,2,20))&lt;100000000,VALUE(MID($C1339,2,20)),1000000000),1000000000))+ROW()/100000,"")</f>
        <v/>
      </c>
    </row>
    <row r="1340">
      <c r="E1340" s="11" t="n"/>
      <c r="M1340" s="7">
        <f>IF($C1340="","",L1340*U1340/100)</f>
        <v/>
      </c>
      <c r="N1340" s="7" t="n"/>
      <c r="T1340" s="7" t="n"/>
      <c r="U1340" s="7">
        <f>IF($C1340="","",S1340*T1340)</f>
        <v/>
      </c>
      <c r="X1340">
        <f>IF($C1340="","",IF($AM1340=1,0,IF($AL1340=1,Settings!$C$6,Settings!$C$7))*100)</f>
        <v/>
      </c>
      <c r="AB1340" s="7" t="n"/>
      <c r="AE1340" s="11" t="n"/>
      <c r="AG1340" s="7">
        <f>IF($C1340="","",U1340*X1340/100)</f>
        <v/>
      </c>
      <c r="AH1340" s="7">
        <f>IF($C1340="","",U1340-AG1340)</f>
        <v/>
      </c>
      <c r="AI1340" s="7">
        <f>IF($C1340="","",AH1340-M1340)</f>
        <v/>
      </c>
      <c r="AJ1340">
        <f>IF($C1340="","",IF(COUNTIF($C$2:$C1340,$C1340)=1,1,0))</f>
        <v/>
      </c>
      <c r="AK1340">
        <f>IF($AJ1340=1,SUMPRODUCT(--($AN$2:$AN$4001&lt;$AN1340))+1,"")</f>
        <v/>
      </c>
      <c r="AL1340">
        <f>IF($C1340="","",IF(OR($Q1340=TRUE(),$Q1340="TRUE"),1,0))</f>
        <v/>
      </c>
      <c r="AM1340">
        <f>IF($C1340="","",IF($W1340="Yes",1,0))</f>
        <v/>
      </c>
      <c r="AN1340">
        <f>IF($AJ1340=1,IFERROR(IF(VALUE($C1340)&lt;100000000,VALUE($C1340),1000000000),IFERROR(IF(VALUE(MID($C1340,2,20))&lt;100000000,VALUE(MID($C1340,2,20)),1000000000),1000000000))+ROW()/100000,"")</f>
        <v/>
      </c>
    </row>
    <row r="1341">
      <c r="E1341" s="11" t="n"/>
      <c r="M1341" s="7">
        <f>IF($C1341="","",L1341*U1341/100)</f>
        <v/>
      </c>
      <c r="N1341" s="7" t="n"/>
      <c r="T1341" s="7" t="n"/>
      <c r="U1341" s="7">
        <f>IF($C1341="","",S1341*T1341)</f>
        <v/>
      </c>
      <c r="X1341">
        <f>IF($C1341="","",IF($AM1341=1,0,IF($AL1341=1,Settings!$C$6,Settings!$C$7))*100)</f>
        <v/>
      </c>
      <c r="AB1341" s="7" t="n"/>
      <c r="AE1341" s="11" t="n"/>
      <c r="AG1341" s="7">
        <f>IF($C1341="","",U1341*X1341/100)</f>
        <v/>
      </c>
      <c r="AH1341" s="7">
        <f>IF($C1341="","",U1341-AG1341)</f>
        <v/>
      </c>
      <c r="AI1341" s="7">
        <f>IF($C1341="","",AH1341-M1341)</f>
        <v/>
      </c>
      <c r="AJ1341">
        <f>IF($C1341="","",IF(COUNTIF($C$2:$C1341,$C1341)=1,1,0))</f>
        <v/>
      </c>
      <c r="AK1341">
        <f>IF($AJ1341=1,SUMPRODUCT(--($AN$2:$AN$4001&lt;$AN1341))+1,"")</f>
        <v/>
      </c>
      <c r="AL1341">
        <f>IF($C1341="","",IF(OR($Q1341=TRUE(),$Q1341="TRUE"),1,0))</f>
        <v/>
      </c>
      <c r="AM1341">
        <f>IF($C1341="","",IF($W1341="Yes",1,0))</f>
        <v/>
      </c>
      <c r="AN1341">
        <f>IF($AJ1341=1,IFERROR(IF(VALUE($C1341)&lt;100000000,VALUE($C1341),1000000000),IFERROR(IF(VALUE(MID($C1341,2,20))&lt;100000000,VALUE(MID($C1341,2,20)),1000000000),1000000000))+ROW()/100000,"")</f>
        <v/>
      </c>
    </row>
    <row r="1342">
      <c r="E1342" s="11" t="n"/>
      <c r="M1342" s="7">
        <f>IF($C1342="","",L1342*U1342/100)</f>
        <v/>
      </c>
      <c r="N1342" s="7" t="n"/>
      <c r="T1342" s="7" t="n"/>
      <c r="U1342" s="7">
        <f>IF($C1342="","",S1342*T1342)</f>
        <v/>
      </c>
      <c r="X1342">
        <f>IF($C1342="","",IF($AM1342=1,0,IF($AL1342=1,Settings!$C$6,Settings!$C$7))*100)</f>
        <v/>
      </c>
      <c r="AB1342" s="7" t="n"/>
      <c r="AE1342" s="11" t="n"/>
      <c r="AG1342" s="7">
        <f>IF($C1342="","",U1342*X1342/100)</f>
        <v/>
      </c>
      <c r="AH1342" s="7">
        <f>IF($C1342="","",U1342-AG1342)</f>
        <v/>
      </c>
      <c r="AI1342" s="7">
        <f>IF($C1342="","",AH1342-M1342)</f>
        <v/>
      </c>
      <c r="AJ1342">
        <f>IF($C1342="","",IF(COUNTIF($C$2:$C1342,$C1342)=1,1,0))</f>
        <v/>
      </c>
      <c r="AK1342">
        <f>IF($AJ1342=1,SUMPRODUCT(--($AN$2:$AN$4001&lt;$AN1342))+1,"")</f>
        <v/>
      </c>
      <c r="AL1342">
        <f>IF($C1342="","",IF(OR($Q1342=TRUE(),$Q1342="TRUE"),1,0))</f>
        <v/>
      </c>
      <c r="AM1342">
        <f>IF($C1342="","",IF($W1342="Yes",1,0))</f>
        <v/>
      </c>
      <c r="AN1342">
        <f>IF($AJ1342=1,IFERROR(IF(VALUE($C1342)&lt;100000000,VALUE($C1342),1000000000),IFERROR(IF(VALUE(MID($C1342,2,20))&lt;100000000,VALUE(MID($C1342,2,20)),1000000000),1000000000))+ROW()/100000,"")</f>
        <v/>
      </c>
    </row>
    <row r="1343">
      <c r="E1343" s="11" t="n"/>
      <c r="M1343" s="7">
        <f>IF($C1343="","",L1343*U1343/100)</f>
        <v/>
      </c>
      <c r="N1343" s="7" t="n"/>
      <c r="T1343" s="7" t="n"/>
      <c r="U1343" s="7">
        <f>IF($C1343="","",S1343*T1343)</f>
        <v/>
      </c>
      <c r="X1343">
        <f>IF($C1343="","",IF($AM1343=1,0,IF($AL1343=1,Settings!$C$6,Settings!$C$7))*100)</f>
        <v/>
      </c>
      <c r="AB1343" s="7" t="n"/>
      <c r="AE1343" s="11" t="n"/>
      <c r="AG1343" s="7">
        <f>IF($C1343="","",U1343*X1343/100)</f>
        <v/>
      </c>
      <c r="AH1343" s="7">
        <f>IF($C1343="","",U1343-AG1343)</f>
        <v/>
      </c>
      <c r="AI1343" s="7">
        <f>IF($C1343="","",AH1343-M1343)</f>
        <v/>
      </c>
      <c r="AJ1343">
        <f>IF($C1343="","",IF(COUNTIF($C$2:$C1343,$C1343)=1,1,0))</f>
        <v/>
      </c>
      <c r="AK1343">
        <f>IF($AJ1343=1,SUMPRODUCT(--($AN$2:$AN$4001&lt;$AN1343))+1,"")</f>
        <v/>
      </c>
      <c r="AL1343">
        <f>IF($C1343="","",IF(OR($Q1343=TRUE(),$Q1343="TRUE"),1,0))</f>
        <v/>
      </c>
      <c r="AM1343">
        <f>IF($C1343="","",IF($W1343="Yes",1,0))</f>
        <v/>
      </c>
      <c r="AN1343">
        <f>IF($AJ1343=1,IFERROR(IF(VALUE($C1343)&lt;100000000,VALUE($C1343),1000000000),IFERROR(IF(VALUE(MID($C1343,2,20))&lt;100000000,VALUE(MID($C1343,2,20)),1000000000),1000000000))+ROW()/100000,"")</f>
        <v/>
      </c>
    </row>
    <row r="1344">
      <c r="E1344" s="11" t="n"/>
      <c r="M1344" s="7">
        <f>IF($C1344="","",L1344*U1344/100)</f>
        <v/>
      </c>
      <c r="N1344" s="7" t="n"/>
      <c r="T1344" s="7" t="n"/>
      <c r="U1344" s="7">
        <f>IF($C1344="","",S1344*T1344)</f>
        <v/>
      </c>
      <c r="X1344">
        <f>IF($C1344="","",IF($AM1344=1,0,IF($AL1344=1,Settings!$C$6,Settings!$C$7))*100)</f>
        <v/>
      </c>
      <c r="AB1344" s="7" t="n"/>
      <c r="AE1344" s="11" t="n"/>
      <c r="AG1344" s="7">
        <f>IF($C1344="","",U1344*X1344/100)</f>
        <v/>
      </c>
      <c r="AH1344" s="7">
        <f>IF($C1344="","",U1344-AG1344)</f>
        <v/>
      </c>
      <c r="AI1344" s="7">
        <f>IF($C1344="","",AH1344-M1344)</f>
        <v/>
      </c>
      <c r="AJ1344">
        <f>IF($C1344="","",IF(COUNTIF($C$2:$C1344,$C1344)=1,1,0))</f>
        <v/>
      </c>
      <c r="AK1344">
        <f>IF($AJ1344=1,SUMPRODUCT(--($AN$2:$AN$4001&lt;$AN1344))+1,"")</f>
        <v/>
      </c>
      <c r="AL1344">
        <f>IF($C1344="","",IF(OR($Q1344=TRUE(),$Q1344="TRUE"),1,0))</f>
        <v/>
      </c>
      <c r="AM1344">
        <f>IF($C1344="","",IF($W1344="Yes",1,0))</f>
        <v/>
      </c>
      <c r="AN1344">
        <f>IF($AJ1344=1,IFERROR(IF(VALUE($C1344)&lt;100000000,VALUE($C1344),1000000000),IFERROR(IF(VALUE(MID($C1344,2,20))&lt;100000000,VALUE(MID($C1344,2,20)),1000000000),1000000000))+ROW()/100000,"")</f>
        <v/>
      </c>
    </row>
    <row r="1345">
      <c r="E1345" s="11" t="n"/>
      <c r="M1345" s="7">
        <f>IF($C1345="","",L1345*U1345/100)</f>
        <v/>
      </c>
      <c r="N1345" s="7" t="n"/>
      <c r="T1345" s="7" t="n"/>
      <c r="U1345" s="7">
        <f>IF($C1345="","",S1345*T1345)</f>
        <v/>
      </c>
      <c r="X1345">
        <f>IF($C1345="","",IF($AM1345=1,0,IF($AL1345=1,Settings!$C$6,Settings!$C$7))*100)</f>
        <v/>
      </c>
      <c r="AB1345" s="7" t="n"/>
      <c r="AE1345" s="11" t="n"/>
      <c r="AG1345" s="7">
        <f>IF($C1345="","",U1345*X1345/100)</f>
        <v/>
      </c>
      <c r="AH1345" s="7">
        <f>IF($C1345="","",U1345-AG1345)</f>
        <v/>
      </c>
      <c r="AI1345" s="7">
        <f>IF($C1345="","",AH1345-M1345)</f>
        <v/>
      </c>
      <c r="AJ1345">
        <f>IF($C1345="","",IF(COUNTIF($C$2:$C1345,$C1345)=1,1,0))</f>
        <v/>
      </c>
      <c r="AK1345">
        <f>IF($AJ1345=1,SUMPRODUCT(--($AN$2:$AN$4001&lt;$AN1345))+1,"")</f>
        <v/>
      </c>
      <c r="AL1345">
        <f>IF($C1345="","",IF(OR($Q1345=TRUE(),$Q1345="TRUE"),1,0))</f>
        <v/>
      </c>
      <c r="AM1345">
        <f>IF($C1345="","",IF($W1345="Yes",1,0))</f>
        <v/>
      </c>
      <c r="AN1345">
        <f>IF($AJ1345=1,IFERROR(IF(VALUE($C1345)&lt;100000000,VALUE($C1345),1000000000),IFERROR(IF(VALUE(MID($C1345,2,20))&lt;100000000,VALUE(MID($C1345,2,20)),1000000000),1000000000))+ROW()/100000,"")</f>
        <v/>
      </c>
    </row>
    <row r="1346">
      <c r="E1346" s="11" t="n"/>
      <c r="M1346" s="7">
        <f>IF($C1346="","",L1346*U1346/100)</f>
        <v/>
      </c>
      <c r="N1346" s="7" t="n"/>
      <c r="T1346" s="7" t="n"/>
      <c r="U1346" s="7">
        <f>IF($C1346="","",S1346*T1346)</f>
        <v/>
      </c>
      <c r="X1346">
        <f>IF($C1346="","",IF($AM1346=1,0,IF($AL1346=1,Settings!$C$6,Settings!$C$7))*100)</f>
        <v/>
      </c>
      <c r="AB1346" s="7" t="n"/>
      <c r="AE1346" s="11" t="n"/>
      <c r="AG1346" s="7">
        <f>IF($C1346="","",U1346*X1346/100)</f>
        <v/>
      </c>
      <c r="AH1346" s="7">
        <f>IF($C1346="","",U1346-AG1346)</f>
        <v/>
      </c>
      <c r="AI1346" s="7">
        <f>IF($C1346="","",AH1346-M1346)</f>
        <v/>
      </c>
      <c r="AJ1346">
        <f>IF($C1346="","",IF(COUNTIF($C$2:$C1346,$C1346)=1,1,0))</f>
        <v/>
      </c>
      <c r="AK1346">
        <f>IF($AJ1346=1,SUMPRODUCT(--($AN$2:$AN$4001&lt;$AN1346))+1,"")</f>
        <v/>
      </c>
      <c r="AL1346">
        <f>IF($C1346="","",IF(OR($Q1346=TRUE(),$Q1346="TRUE"),1,0))</f>
        <v/>
      </c>
      <c r="AM1346">
        <f>IF($C1346="","",IF($W1346="Yes",1,0))</f>
        <v/>
      </c>
      <c r="AN1346">
        <f>IF($AJ1346=1,IFERROR(IF(VALUE($C1346)&lt;100000000,VALUE($C1346),1000000000),IFERROR(IF(VALUE(MID($C1346,2,20))&lt;100000000,VALUE(MID($C1346,2,20)),1000000000),1000000000))+ROW()/100000,"")</f>
        <v/>
      </c>
    </row>
    <row r="1347">
      <c r="E1347" s="11" t="n"/>
      <c r="M1347" s="7">
        <f>IF($C1347="","",L1347*U1347/100)</f>
        <v/>
      </c>
      <c r="N1347" s="7" t="n"/>
      <c r="T1347" s="7" t="n"/>
      <c r="U1347" s="7">
        <f>IF($C1347="","",S1347*T1347)</f>
        <v/>
      </c>
      <c r="X1347">
        <f>IF($C1347="","",IF($AM1347=1,0,IF($AL1347=1,Settings!$C$6,Settings!$C$7))*100)</f>
        <v/>
      </c>
      <c r="AB1347" s="7" t="n"/>
      <c r="AE1347" s="11" t="n"/>
      <c r="AG1347" s="7">
        <f>IF($C1347="","",U1347*X1347/100)</f>
        <v/>
      </c>
      <c r="AH1347" s="7">
        <f>IF($C1347="","",U1347-AG1347)</f>
        <v/>
      </c>
      <c r="AI1347" s="7">
        <f>IF($C1347="","",AH1347-M1347)</f>
        <v/>
      </c>
      <c r="AJ1347">
        <f>IF($C1347="","",IF(COUNTIF($C$2:$C1347,$C1347)=1,1,0))</f>
        <v/>
      </c>
      <c r="AK1347">
        <f>IF($AJ1347=1,SUMPRODUCT(--($AN$2:$AN$4001&lt;$AN1347))+1,"")</f>
        <v/>
      </c>
      <c r="AL1347">
        <f>IF($C1347="","",IF(OR($Q1347=TRUE(),$Q1347="TRUE"),1,0))</f>
        <v/>
      </c>
      <c r="AM1347">
        <f>IF($C1347="","",IF($W1347="Yes",1,0))</f>
        <v/>
      </c>
      <c r="AN1347">
        <f>IF($AJ1347=1,IFERROR(IF(VALUE($C1347)&lt;100000000,VALUE($C1347),1000000000),IFERROR(IF(VALUE(MID($C1347,2,20))&lt;100000000,VALUE(MID($C1347,2,20)),1000000000),1000000000))+ROW()/100000,"")</f>
        <v/>
      </c>
    </row>
    <row r="1348">
      <c r="E1348" s="11" t="n"/>
      <c r="M1348" s="7">
        <f>IF($C1348="","",L1348*U1348/100)</f>
        <v/>
      </c>
      <c r="N1348" s="7" t="n"/>
      <c r="T1348" s="7" t="n"/>
      <c r="U1348" s="7">
        <f>IF($C1348="","",S1348*T1348)</f>
        <v/>
      </c>
      <c r="X1348">
        <f>IF($C1348="","",IF($AM1348=1,0,IF($AL1348=1,Settings!$C$6,Settings!$C$7))*100)</f>
        <v/>
      </c>
      <c r="AB1348" s="7" t="n"/>
      <c r="AE1348" s="11" t="n"/>
      <c r="AG1348" s="7">
        <f>IF($C1348="","",U1348*X1348/100)</f>
        <v/>
      </c>
      <c r="AH1348" s="7">
        <f>IF($C1348="","",U1348-AG1348)</f>
        <v/>
      </c>
      <c r="AI1348" s="7">
        <f>IF($C1348="","",AH1348-M1348)</f>
        <v/>
      </c>
      <c r="AJ1348">
        <f>IF($C1348="","",IF(COUNTIF($C$2:$C1348,$C1348)=1,1,0))</f>
        <v/>
      </c>
      <c r="AK1348">
        <f>IF($AJ1348=1,SUMPRODUCT(--($AN$2:$AN$4001&lt;$AN1348))+1,"")</f>
        <v/>
      </c>
      <c r="AL1348">
        <f>IF($C1348="","",IF(OR($Q1348=TRUE(),$Q1348="TRUE"),1,0))</f>
        <v/>
      </c>
      <c r="AM1348">
        <f>IF($C1348="","",IF($W1348="Yes",1,0))</f>
        <v/>
      </c>
      <c r="AN1348">
        <f>IF($AJ1348=1,IFERROR(IF(VALUE($C1348)&lt;100000000,VALUE($C1348),1000000000),IFERROR(IF(VALUE(MID($C1348,2,20))&lt;100000000,VALUE(MID($C1348,2,20)),1000000000),1000000000))+ROW()/100000,"")</f>
        <v/>
      </c>
    </row>
    <row r="1349">
      <c r="E1349" s="11" t="n"/>
      <c r="M1349" s="7">
        <f>IF($C1349="","",L1349*U1349/100)</f>
        <v/>
      </c>
      <c r="N1349" s="7" t="n"/>
      <c r="T1349" s="7" t="n"/>
      <c r="U1349" s="7">
        <f>IF($C1349="","",S1349*T1349)</f>
        <v/>
      </c>
      <c r="X1349">
        <f>IF($C1349="","",IF($AM1349=1,0,IF($AL1349=1,Settings!$C$6,Settings!$C$7))*100)</f>
        <v/>
      </c>
      <c r="AB1349" s="7" t="n"/>
      <c r="AE1349" s="11" t="n"/>
      <c r="AG1349" s="7">
        <f>IF($C1349="","",U1349*X1349/100)</f>
        <v/>
      </c>
      <c r="AH1349" s="7">
        <f>IF($C1349="","",U1349-AG1349)</f>
        <v/>
      </c>
      <c r="AI1349" s="7">
        <f>IF($C1349="","",AH1349-M1349)</f>
        <v/>
      </c>
      <c r="AJ1349">
        <f>IF($C1349="","",IF(COUNTIF($C$2:$C1349,$C1349)=1,1,0))</f>
        <v/>
      </c>
      <c r="AK1349">
        <f>IF($AJ1349=1,SUMPRODUCT(--($AN$2:$AN$4001&lt;$AN1349))+1,"")</f>
        <v/>
      </c>
      <c r="AL1349">
        <f>IF($C1349="","",IF(OR($Q1349=TRUE(),$Q1349="TRUE"),1,0))</f>
        <v/>
      </c>
      <c r="AM1349">
        <f>IF($C1349="","",IF($W1349="Yes",1,0))</f>
        <v/>
      </c>
      <c r="AN1349">
        <f>IF($AJ1349=1,IFERROR(IF(VALUE($C1349)&lt;100000000,VALUE($C1349),1000000000),IFERROR(IF(VALUE(MID($C1349,2,20))&lt;100000000,VALUE(MID($C1349,2,20)),1000000000),1000000000))+ROW()/100000,"")</f>
        <v/>
      </c>
    </row>
    <row r="1350">
      <c r="E1350" s="11" t="n"/>
      <c r="M1350" s="7">
        <f>IF($C1350="","",L1350*U1350/100)</f>
        <v/>
      </c>
      <c r="N1350" s="7" t="n"/>
      <c r="T1350" s="7" t="n"/>
      <c r="U1350" s="7">
        <f>IF($C1350="","",S1350*T1350)</f>
        <v/>
      </c>
      <c r="X1350">
        <f>IF($C1350="","",IF($AM1350=1,0,IF($AL1350=1,Settings!$C$6,Settings!$C$7))*100)</f>
        <v/>
      </c>
      <c r="AB1350" s="7" t="n"/>
      <c r="AE1350" s="11" t="n"/>
      <c r="AG1350" s="7">
        <f>IF($C1350="","",U1350*X1350/100)</f>
        <v/>
      </c>
      <c r="AH1350" s="7">
        <f>IF($C1350="","",U1350-AG1350)</f>
        <v/>
      </c>
      <c r="AI1350" s="7">
        <f>IF($C1350="","",AH1350-M1350)</f>
        <v/>
      </c>
      <c r="AJ1350">
        <f>IF($C1350="","",IF(COUNTIF($C$2:$C1350,$C1350)=1,1,0))</f>
        <v/>
      </c>
      <c r="AK1350">
        <f>IF($AJ1350=1,SUMPRODUCT(--($AN$2:$AN$4001&lt;$AN1350))+1,"")</f>
        <v/>
      </c>
      <c r="AL1350">
        <f>IF($C1350="","",IF(OR($Q1350=TRUE(),$Q1350="TRUE"),1,0))</f>
        <v/>
      </c>
      <c r="AM1350">
        <f>IF($C1350="","",IF($W1350="Yes",1,0))</f>
        <v/>
      </c>
      <c r="AN1350">
        <f>IF($AJ1350=1,IFERROR(IF(VALUE($C1350)&lt;100000000,VALUE($C1350),1000000000),IFERROR(IF(VALUE(MID($C1350,2,20))&lt;100000000,VALUE(MID($C1350,2,20)),1000000000),1000000000))+ROW()/100000,"")</f>
        <v/>
      </c>
    </row>
    <row r="1351">
      <c r="E1351" s="11" t="n"/>
      <c r="M1351" s="7">
        <f>IF($C1351="","",L1351*U1351/100)</f>
        <v/>
      </c>
      <c r="N1351" s="7" t="n"/>
      <c r="T1351" s="7" t="n"/>
      <c r="U1351" s="7">
        <f>IF($C1351="","",S1351*T1351)</f>
        <v/>
      </c>
      <c r="X1351">
        <f>IF($C1351="","",IF($AM1351=1,0,IF($AL1351=1,Settings!$C$6,Settings!$C$7))*100)</f>
        <v/>
      </c>
      <c r="AB1351" s="7" t="n"/>
      <c r="AE1351" s="11" t="n"/>
      <c r="AG1351" s="7">
        <f>IF($C1351="","",U1351*X1351/100)</f>
        <v/>
      </c>
      <c r="AH1351" s="7">
        <f>IF($C1351="","",U1351-AG1351)</f>
        <v/>
      </c>
      <c r="AI1351" s="7">
        <f>IF($C1351="","",AH1351-M1351)</f>
        <v/>
      </c>
      <c r="AJ1351">
        <f>IF($C1351="","",IF(COUNTIF($C$2:$C1351,$C1351)=1,1,0))</f>
        <v/>
      </c>
      <c r="AK1351">
        <f>IF($AJ1351=1,SUMPRODUCT(--($AN$2:$AN$4001&lt;$AN1351))+1,"")</f>
        <v/>
      </c>
      <c r="AL1351">
        <f>IF($C1351="","",IF(OR($Q1351=TRUE(),$Q1351="TRUE"),1,0))</f>
        <v/>
      </c>
      <c r="AM1351">
        <f>IF($C1351="","",IF($W1351="Yes",1,0))</f>
        <v/>
      </c>
      <c r="AN1351">
        <f>IF($AJ1351=1,IFERROR(IF(VALUE($C1351)&lt;100000000,VALUE($C1351),1000000000),IFERROR(IF(VALUE(MID($C1351,2,20))&lt;100000000,VALUE(MID($C1351,2,20)),1000000000),1000000000))+ROW()/100000,"")</f>
        <v/>
      </c>
    </row>
    <row r="1352">
      <c r="E1352" s="11" t="n"/>
      <c r="M1352" s="7">
        <f>IF($C1352="","",L1352*U1352/100)</f>
        <v/>
      </c>
      <c r="N1352" s="7" t="n"/>
      <c r="T1352" s="7" t="n"/>
      <c r="U1352" s="7">
        <f>IF($C1352="","",S1352*T1352)</f>
        <v/>
      </c>
      <c r="X1352">
        <f>IF($C1352="","",IF($AM1352=1,0,IF($AL1352=1,Settings!$C$6,Settings!$C$7))*100)</f>
        <v/>
      </c>
      <c r="AB1352" s="7" t="n"/>
      <c r="AE1352" s="11" t="n"/>
      <c r="AG1352" s="7">
        <f>IF($C1352="","",U1352*X1352/100)</f>
        <v/>
      </c>
      <c r="AH1352" s="7">
        <f>IF($C1352="","",U1352-AG1352)</f>
        <v/>
      </c>
      <c r="AI1352" s="7">
        <f>IF($C1352="","",AH1352-M1352)</f>
        <v/>
      </c>
      <c r="AJ1352">
        <f>IF($C1352="","",IF(COUNTIF($C$2:$C1352,$C1352)=1,1,0))</f>
        <v/>
      </c>
      <c r="AK1352">
        <f>IF($AJ1352=1,SUMPRODUCT(--($AN$2:$AN$4001&lt;$AN1352))+1,"")</f>
        <v/>
      </c>
      <c r="AL1352">
        <f>IF($C1352="","",IF(OR($Q1352=TRUE(),$Q1352="TRUE"),1,0))</f>
        <v/>
      </c>
      <c r="AM1352">
        <f>IF($C1352="","",IF($W1352="Yes",1,0))</f>
        <v/>
      </c>
      <c r="AN1352">
        <f>IF($AJ1352=1,IFERROR(IF(VALUE($C1352)&lt;100000000,VALUE($C1352),1000000000),IFERROR(IF(VALUE(MID($C1352,2,20))&lt;100000000,VALUE(MID($C1352,2,20)),1000000000),1000000000))+ROW()/100000,"")</f>
        <v/>
      </c>
    </row>
    <row r="1353">
      <c r="E1353" s="11" t="n"/>
      <c r="M1353" s="7">
        <f>IF($C1353="","",L1353*U1353/100)</f>
        <v/>
      </c>
      <c r="N1353" s="7" t="n"/>
      <c r="T1353" s="7" t="n"/>
      <c r="U1353" s="7">
        <f>IF($C1353="","",S1353*T1353)</f>
        <v/>
      </c>
      <c r="X1353">
        <f>IF($C1353="","",IF($AM1353=1,0,IF($AL1353=1,Settings!$C$6,Settings!$C$7))*100)</f>
        <v/>
      </c>
      <c r="AB1353" s="7" t="n"/>
      <c r="AE1353" s="11" t="n"/>
      <c r="AG1353" s="7">
        <f>IF($C1353="","",U1353*X1353/100)</f>
        <v/>
      </c>
      <c r="AH1353" s="7">
        <f>IF($C1353="","",U1353-AG1353)</f>
        <v/>
      </c>
      <c r="AI1353" s="7">
        <f>IF($C1353="","",AH1353-M1353)</f>
        <v/>
      </c>
      <c r="AJ1353">
        <f>IF($C1353="","",IF(COUNTIF($C$2:$C1353,$C1353)=1,1,0))</f>
        <v/>
      </c>
      <c r="AK1353">
        <f>IF($AJ1353=1,SUMPRODUCT(--($AN$2:$AN$4001&lt;$AN1353))+1,"")</f>
        <v/>
      </c>
      <c r="AL1353">
        <f>IF($C1353="","",IF(OR($Q1353=TRUE(),$Q1353="TRUE"),1,0))</f>
        <v/>
      </c>
      <c r="AM1353">
        <f>IF($C1353="","",IF($W1353="Yes",1,0))</f>
        <v/>
      </c>
      <c r="AN1353">
        <f>IF($AJ1353=1,IFERROR(IF(VALUE($C1353)&lt;100000000,VALUE($C1353),1000000000),IFERROR(IF(VALUE(MID($C1353,2,20))&lt;100000000,VALUE(MID($C1353,2,20)),1000000000),1000000000))+ROW()/100000,"")</f>
        <v/>
      </c>
    </row>
    <row r="1354">
      <c r="E1354" s="11" t="n"/>
      <c r="M1354" s="7">
        <f>IF($C1354="","",L1354*U1354/100)</f>
        <v/>
      </c>
      <c r="N1354" s="7" t="n"/>
      <c r="T1354" s="7" t="n"/>
      <c r="U1354" s="7">
        <f>IF($C1354="","",S1354*T1354)</f>
        <v/>
      </c>
      <c r="X1354">
        <f>IF($C1354="","",IF($AM1354=1,0,IF($AL1354=1,Settings!$C$6,Settings!$C$7))*100)</f>
        <v/>
      </c>
      <c r="AB1354" s="7" t="n"/>
      <c r="AE1354" s="11" t="n"/>
      <c r="AG1354" s="7">
        <f>IF($C1354="","",U1354*X1354/100)</f>
        <v/>
      </c>
      <c r="AH1354" s="7">
        <f>IF($C1354="","",U1354-AG1354)</f>
        <v/>
      </c>
      <c r="AI1354" s="7">
        <f>IF($C1354="","",AH1354-M1354)</f>
        <v/>
      </c>
      <c r="AJ1354">
        <f>IF($C1354="","",IF(COUNTIF($C$2:$C1354,$C1354)=1,1,0))</f>
        <v/>
      </c>
      <c r="AK1354">
        <f>IF($AJ1354=1,SUMPRODUCT(--($AN$2:$AN$4001&lt;$AN1354))+1,"")</f>
        <v/>
      </c>
      <c r="AL1354">
        <f>IF($C1354="","",IF(OR($Q1354=TRUE(),$Q1354="TRUE"),1,0))</f>
        <v/>
      </c>
      <c r="AM1354">
        <f>IF($C1354="","",IF($W1354="Yes",1,0))</f>
        <v/>
      </c>
      <c r="AN1354">
        <f>IF($AJ1354=1,IFERROR(IF(VALUE($C1354)&lt;100000000,VALUE($C1354),1000000000),IFERROR(IF(VALUE(MID($C1354,2,20))&lt;100000000,VALUE(MID($C1354,2,20)),1000000000),1000000000))+ROW()/100000,"")</f>
        <v/>
      </c>
    </row>
    <row r="1355">
      <c r="E1355" s="11" t="n"/>
      <c r="M1355" s="7">
        <f>IF($C1355="","",L1355*U1355/100)</f>
        <v/>
      </c>
      <c r="N1355" s="7" t="n"/>
      <c r="T1355" s="7" t="n"/>
      <c r="U1355" s="7">
        <f>IF($C1355="","",S1355*T1355)</f>
        <v/>
      </c>
      <c r="X1355">
        <f>IF($C1355="","",IF($AM1355=1,0,IF($AL1355=1,Settings!$C$6,Settings!$C$7))*100)</f>
        <v/>
      </c>
      <c r="AB1355" s="7" t="n"/>
      <c r="AE1355" s="11" t="n"/>
      <c r="AG1355" s="7">
        <f>IF($C1355="","",U1355*X1355/100)</f>
        <v/>
      </c>
      <c r="AH1355" s="7">
        <f>IF($C1355="","",U1355-AG1355)</f>
        <v/>
      </c>
      <c r="AI1355" s="7">
        <f>IF($C1355="","",AH1355-M1355)</f>
        <v/>
      </c>
      <c r="AJ1355">
        <f>IF($C1355="","",IF(COUNTIF($C$2:$C1355,$C1355)=1,1,0))</f>
        <v/>
      </c>
      <c r="AK1355">
        <f>IF($AJ1355=1,SUMPRODUCT(--($AN$2:$AN$4001&lt;$AN1355))+1,"")</f>
        <v/>
      </c>
      <c r="AL1355">
        <f>IF($C1355="","",IF(OR($Q1355=TRUE(),$Q1355="TRUE"),1,0))</f>
        <v/>
      </c>
      <c r="AM1355">
        <f>IF($C1355="","",IF($W1355="Yes",1,0))</f>
        <v/>
      </c>
      <c r="AN1355">
        <f>IF($AJ1355=1,IFERROR(IF(VALUE($C1355)&lt;100000000,VALUE($C1355),1000000000),IFERROR(IF(VALUE(MID($C1355,2,20))&lt;100000000,VALUE(MID($C1355,2,20)),1000000000),1000000000))+ROW()/100000,"")</f>
        <v/>
      </c>
    </row>
    <row r="1356">
      <c r="E1356" s="11" t="n"/>
      <c r="M1356" s="7">
        <f>IF($C1356="","",L1356*U1356/100)</f>
        <v/>
      </c>
      <c r="N1356" s="7" t="n"/>
      <c r="T1356" s="7" t="n"/>
      <c r="U1356" s="7">
        <f>IF($C1356="","",S1356*T1356)</f>
        <v/>
      </c>
      <c r="X1356">
        <f>IF($C1356="","",IF($AM1356=1,0,IF($AL1356=1,Settings!$C$6,Settings!$C$7))*100)</f>
        <v/>
      </c>
      <c r="AB1356" s="7" t="n"/>
      <c r="AE1356" s="11" t="n"/>
      <c r="AG1356" s="7">
        <f>IF($C1356="","",U1356*X1356/100)</f>
        <v/>
      </c>
      <c r="AH1356" s="7">
        <f>IF($C1356="","",U1356-AG1356)</f>
        <v/>
      </c>
      <c r="AI1356" s="7">
        <f>IF($C1356="","",AH1356-M1356)</f>
        <v/>
      </c>
      <c r="AJ1356">
        <f>IF($C1356="","",IF(COUNTIF($C$2:$C1356,$C1356)=1,1,0))</f>
        <v/>
      </c>
      <c r="AK1356">
        <f>IF($AJ1356=1,SUMPRODUCT(--($AN$2:$AN$4001&lt;$AN1356))+1,"")</f>
        <v/>
      </c>
      <c r="AL1356">
        <f>IF($C1356="","",IF(OR($Q1356=TRUE(),$Q1356="TRUE"),1,0))</f>
        <v/>
      </c>
      <c r="AM1356">
        <f>IF($C1356="","",IF($W1356="Yes",1,0))</f>
        <v/>
      </c>
      <c r="AN1356">
        <f>IF($AJ1356=1,IFERROR(IF(VALUE($C1356)&lt;100000000,VALUE($C1356),1000000000),IFERROR(IF(VALUE(MID($C1356,2,20))&lt;100000000,VALUE(MID($C1356,2,20)),1000000000),1000000000))+ROW()/100000,"")</f>
        <v/>
      </c>
    </row>
    <row r="1357">
      <c r="E1357" s="11" t="n"/>
      <c r="M1357" s="7">
        <f>IF($C1357="","",L1357*U1357/100)</f>
        <v/>
      </c>
      <c r="N1357" s="7" t="n"/>
      <c r="T1357" s="7" t="n"/>
      <c r="U1357" s="7">
        <f>IF($C1357="","",S1357*T1357)</f>
        <v/>
      </c>
      <c r="X1357">
        <f>IF($C1357="","",IF($AM1357=1,0,IF($AL1357=1,Settings!$C$6,Settings!$C$7))*100)</f>
        <v/>
      </c>
      <c r="AB1357" s="7" t="n"/>
      <c r="AE1357" s="11" t="n"/>
      <c r="AG1357" s="7">
        <f>IF($C1357="","",U1357*X1357/100)</f>
        <v/>
      </c>
      <c r="AH1357" s="7">
        <f>IF($C1357="","",U1357-AG1357)</f>
        <v/>
      </c>
      <c r="AI1357" s="7">
        <f>IF($C1357="","",AH1357-M1357)</f>
        <v/>
      </c>
      <c r="AJ1357">
        <f>IF($C1357="","",IF(COUNTIF($C$2:$C1357,$C1357)=1,1,0))</f>
        <v/>
      </c>
      <c r="AK1357">
        <f>IF($AJ1357=1,SUMPRODUCT(--($AN$2:$AN$4001&lt;$AN1357))+1,"")</f>
        <v/>
      </c>
      <c r="AL1357">
        <f>IF($C1357="","",IF(OR($Q1357=TRUE(),$Q1357="TRUE"),1,0))</f>
        <v/>
      </c>
      <c r="AM1357">
        <f>IF($C1357="","",IF($W1357="Yes",1,0))</f>
        <v/>
      </c>
      <c r="AN1357">
        <f>IF($AJ1357=1,IFERROR(IF(VALUE($C1357)&lt;100000000,VALUE($C1357),1000000000),IFERROR(IF(VALUE(MID($C1357,2,20))&lt;100000000,VALUE(MID($C1357,2,20)),1000000000),1000000000))+ROW()/100000,"")</f>
        <v/>
      </c>
    </row>
    <row r="1358">
      <c r="E1358" s="11" t="n"/>
      <c r="M1358" s="7">
        <f>IF($C1358="","",L1358*U1358/100)</f>
        <v/>
      </c>
      <c r="N1358" s="7" t="n"/>
      <c r="T1358" s="7" t="n"/>
      <c r="U1358" s="7">
        <f>IF($C1358="","",S1358*T1358)</f>
        <v/>
      </c>
      <c r="X1358">
        <f>IF($C1358="","",IF($AM1358=1,0,IF($AL1358=1,Settings!$C$6,Settings!$C$7))*100)</f>
        <v/>
      </c>
      <c r="AB1358" s="7" t="n"/>
      <c r="AE1358" s="11" t="n"/>
      <c r="AG1358" s="7">
        <f>IF($C1358="","",U1358*X1358/100)</f>
        <v/>
      </c>
      <c r="AH1358" s="7">
        <f>IF($C1358="","",U1358-AG1358)</f>
        <v/>
      </c>
      <c r="AI1358" s="7">
        <f>IF($C1358="","",AH1358-M1358)</f>
        <v/>
      </c>
      <c r="AJ1358">
        <f>IF($C1358="","",IF(COUNTIF($C$2:$C1358,$C1358)=1,1,0))</f>
        <v/>
      </c>
      <c r="AK1358">
        <f>IF($AJ1358=1,SUMPRODUCT(--($AN$2:$AN$4001&lt;$AN1358))+1,"")</f>
        <v/>
      </c>
      <c r="AL1358">
        <f>IF($C1358="","",IF(OR($Q1358=TRUE(),$Q1358="TRUE"),1,0))</f>
        <v/>
      </c>
      <c r="AM1358">
        <f>IF($C1358="","",IF($W1358="Yes",1,0))</f>
        <v/>
      </c>
      <c r="AN1358">
        <f>IF($AJ1358=1,IFERROR(IF(VALUE($C1358)&lt;100000000,VALUE($C1358),1000000000),IFERROR(IF(VALUE(MID($C1358,2,20))&lt;100000000,VALUE(MID($C1358,2,20)),1000000000),1000000000))+ROW()/100000,"")</f>
        <v/>
      </c>
    </row>
    <row r="1359">
      <c r="E1359" s="11" t="n"/>
      <c r="M1359" s="7">
        <f>IF($C1359="","",L1359*U1359/100)</f>
        <v/>
      </c>
      <c r="N1359" s="7" t="n"/>
      <c r="T1359" s="7" t="n"/>
      <c r="U1359" s="7">
        <f>IF($C1359="","",S1359*T1359)</f>
        <v/>
      </c>
      <c r="X1359">
        <f>IF($C1359="","",IF($AM1359=1,0,IF($AL1359=1,Settings!$C$6,Settings!$C$7))*100)</f>
        <v/>
      </c>
      <c r="AB1359" s="7" t="n"/>
      <c r="AE1359" s="11" t="n"/>
      <c r="AG1359" s="7">
        <f>IF($C1359="","",U1359*X1359/100)</f>
        <v/>
      </c>
      <c r="AH1359" s="7">
        <f>IF($C1359="","",U1359-AG1359)</f>
        <v/>
      </c>
      <c r="AI1359" s="7">
        <f>IF($C1359="","",AH1359-M1359)</f>
        <v/>
      </c>
      <c r="AJ1359">
        <f>IF($C1359="","",IF(COUNTIF($C$2:$C1359,$C1359)=1,1,0))</f>
        <v/>
      </c>
      <c r="AK1359">
        <f>IF($AJ1359=1,SUMPRODUCT(--($AN$2:$AN$4001&lt;$AN1359))+1,"")</f>
        <v/>
      </c>
      <c r="AL1359">
        <f>IF($C1359="","",IF(OR($Q1359=TRUE(),$Q1359="TRUE"),1,0))</f>
        <v/>
      </c>
      <c r="AM1359">
        <f>IF($C1359="","",IF($W1359="Yes",1,0))</f>
        <v/>
      </c>
      <c r="AN1359">
        <f>IF($AJ1359=1,IFERROR(IF(VALUE($C1359)&lt;100000000,VALUE($C1359),1000000000),IFERROR(IF(VALUE(MID($C1359,2,20))&lt;100000000,VALUE(MID($C1359,2,20)),1000000000),1000000000))+ROW()/100000,"")</f>
        <v/>
      </c>
    </row>
    <row r="1360">
      <c r="E1360" s="11" t="n"/>
      <c r="M1360" s="7">
        <f>IF($C1360="","",L1360*U1360/100)</f>
        <v/>
      </c>
      <c r="N1360" s="7" t="n"/>
      <c r="T1360" s="7" t="n"/>
      <c r="U1360" s="7">
        <f>IF($C1360="","",S1360*T1360)</f>
        <v/>
      </c>
      <c r="X1360">
        <f>IF($C1360="","",IF($AM1360=1,0,IF($AL1360=1,Settings!$C$6,Settings!$C$7))*100)</f>
        <v/>
      </c>
      <c r="AB1360" s="7" t="n"/>
      <c r="AE1360" s="11" t="n"/>
      <c r="AG1360" s="7">
        <f>IF($C1360="","",U1360*X1360/100)</f>
        <v/>
      </c>
      <c r="AH1360" s="7">
        <f>IF($C1360="","",U1360-AG1360)</f>
        <v/>
      </c>
      <c r="AI1360" s="7">
        <f>IF($C1360="","",AH1360-M1360)</f>
        <v/>
      </c>
      <c r="AJ1360">
        <f>IF($C1360="","",IF(COUNTIF($C$2:$C1360,$C1360)=1,1,0))</f>
        <v/>
      </c>
      <c r="AK1360">
        <f>IF($AJ1360=1,SUMPRODUCT(--($AN$2:$AN$4001&lt;$AN1360))+1,"")</f>
        <v/>
      </c>
      <c r="AL1360">
        <f>IF($C1360="","",IF(OR($Q1360=TRUE(),$Q1360="TRUE"),1,0))</f>
        <v/>
      </c>
      <c r="AM1360">
        <f>IF($C1360="","",IF($W1360="Yes",1,0))</f>
        <v/>
      </c>
      <c r="AN1360">
        <f>IF($AJ1360=1,IFERROR(IF(VALUE($C1360)&lt;100000000,VALUE($C1360),1000000000),IFERROR(IF(VALUE(MID($C1360,2,20))&lt;100000000,VALUE(MID($C1360,2,20)),1000000000),1000000000))+ROW()/100000,"")</f>
        <v/>
      </c>
    </row>
    <row r="1361">
      <c r="E1361" s="11" t="n"/>
      <c r="M1361" s="7">
        <f>IF($C1361="","",L1361*U1361/100)</f>
        <v/>
      </c>
      <c r="N1361" s="7" t="n"/>
      <c r="T1361" s="7" t="n"/>
      <c r="U1361" s="7">
        <f>IF($C1361="","",S1361*T1361)</f>
        <v/>
      </c>
      <c r="X1361">
        <f>IF($C1361="","",IF($AM1361=1,0,IF($AL1361=1,Settings!$C$6,Settings!$C$7))*100)</f>
        <v/>
      </c>
      <c r="AB1361" s="7" t="n"/>
      <c r="AE1361" s="11" t="n"/>
      <c r="AG1361" s="7">
        <f>IF($C1361="","",U1361*X1361/100)</f>
        <v/>
      </c>
      <c r="AH1361" s="7">
        <f>IF($C1361="","",U1361-AG1361)</f>
        <v/>
      </c>
      <c r="AI1361" s="7">
        <f>IF($C1361="","",AH1361-M1361)</f>
        <v/>
      </c>
      <c r="AJ1361">
        <f>IF($C1361="","",IF(COUNTIF($C$2:$C1361,$C1361)=1,1,0))</f>
        <v/>
      </c>
      <c r="AK1361">
        <f>IF($AJ1361=1,SUMPRODUCT(--($AN$2:$AN$4001&lt;$AN1361))+1,"")</f>
        <v/>
      </c>
      <c r="AL1361">
        <f>IF($C1361="","",IF(OR($Q1361=TRUE(),$Q1361="TRUE"),1,0))</f>
        <v/>
      </c>
      <c r="AM1361">
        <f>IF($C1361="","",IF($W1361="Yes",1,0))</f>
        <v/>
      </c>
      <c r="AN1361">
        <f>IF($AJ1361=1,IFERROR(IF(VALUE($C1361)&lt;100000000,VALUE($C1361),1000000000),IFERROR(IF(VALUE(MID($C1361,2,20))&lt;100000000,VALUE(MID($C1361,2,20)),1000000000),1000000000))+ROW()/100000,"")</f>
        <v/>
      </c>
    </row>
    <row r="1362">
      <c r="E1362" s="11" t="n"/>
      <c r="M1362" s="7">
        <f>IF($C1362="","",L1362*U1362/100)</f>
        <v/>
      </c>
      <c r="N1362" s="7" t="n"/>
      <c r="T1362" s="7" t="n"/>
      <c r="U1362" s="7">
        <f>IF($C1362="","",S1362*T1362)</f>
        <v/>
      </c>
      <c r="X1362">
        <f>IF($C1362="","",IF($AM1362=1,0,IF($AL1362=1,Settings!$C$6,Settings!$C$7))*100)</f>
        <v/>
      </c>
      <c r="AB1362" s="7" t="n"/>
      <c r="AE1362" s="11" t="n"/>
      <c r="AG1362" s="7">
        <f>IF($C1362="","",U1362*X1362/100)</f>
        <v/>
      </c>
      <c r="AH1362" s="7">
        <f>IF($C1362="","",U1362-AG1362)</f>
        <v/>
      </c>
      <c r="AI1362" s="7">
        <f>IF($C1362="","",AH1362-M1362)</f>
        <v/>
      </c>
      <c r="AJ1362">
        <f>IF($C1362="","",IF(COUNTIF($C$2:$C1362,$C1362)=1,1,0))</f>
        <v/>
      </c>
      <c r="AK1362">
        <f>IF($AJ1362=1,SUMPRODUCT(--($AN$2:$AN$4001&lt;$AN1362))+1,"")</f>
        <v/>
      </c>
      <c r="AL1362">
        <f>IF($C1362="","",IF(OR($Q1362=TRUE(),$Q1362="TRUE"),1,0))</f>
        <v/>
      </c>
      <c r="AM1362">
        <f>IF($C1362="","",IF($W1362="Yes",1,0))</f>
        <v/>
      </c>
      <c r="AN1362">
        <f>IF($AJ1362=1,IFERROR(IF(VALUE($C1362)&lt;100000000,VALUE($C1362),1000000000),IFERROR(IF(VALUE(MID($C1362,2,20))&lt;100000000,VALUE(MID($C1362,2,20)),1000000000),1000000000))+ROW()/100000,"")</f>
        <v/>
      </c>
    </row>
    <row r="1363">
      <c r="E1363" s="11" t="n"/>
      <c r="M1363" s="7">
        <f>IF($C1363="","",L1363*U1363/100)</f>
        <v/>
      </c>
      <c r="N1363" s="7" t="n"/>
      <c r="T1363" s="7" t="n"/>
      <c r="U1363" s="7">
        <f>IF($C1363="","",S1363*T1363)</f>
        <v/>
      </c>
      <c r="X1363">
        <f>IF($C1363="","",IF($AM1363=1,0,IF($AL1363=1,Settings!$C$6,Settings!$C$7))*100)</f>
        <v/>
      </c>
      <c r="AB1363" s="7" t="n"/>
      <c r="AE1363" s="11" t="n"/>
      <c r="AG1363" s="7">
        <f>IF($C1363="","",U1363*X1363/100)</f>
        <v/>
      </c>
      <c r="AH1363" s="7">
        <f>IF($C1363="","",U1363-AG1363)</f>
        <v/>
      </c>
      <c r="AI1363" s="7">
        <f>IF($C1363="","",AH1363-M1363)</f>
        <v/>
      </c>
      <c r="AJ1363">
        <f>IF($C1363="","",IF(COUNTIF($C$2:$C1363,$C1363)=1,1,0))</f>
        <v/>
      </c>
      <c r="AK1363">
        <f>IF($AJ1363=1,SUMPRODUCT(--($AN$2:$AN$4001&lt;$AN1363))+1,"")</f>
        <v/>
      </c>
      <c r="AL1363">
        <f>IF($C1363="","",IF(OR($Q1363=TRUE(),$Q1363="TRUE"),1,0))</f>
        <v/>
      </c>
      <c r="AM1363">
        <f>IF($C1363="","",IF($W1363="Yes",1,0))</f>
        <v/>
      </c>
      <c r="AN1363">
        <f>IF($AJ1363=1,IFERROR(IF(VALUE($C1363)&lt;100000000,VALUE($C1363),1000000000),IFERROR(IF(VALUE(MID($C1363,2,20))&lt;100000000,VALUE(MID($C1363,2,20)),1000000000),1000000000))+ROW()/100000,"")</f>
        <v/>
      </c>
    </row>
    <row r="1364">
      <c r="E1364" s="11" t="n"/>
      <c r="M1364" s="7">
        <f>IF($C1364="","",L1364*U1364/100)</f>
        <v/>
      </c>
      <c r="N1364" s="7" t="n"/>
      <c r="T1364" s="7" t="n"/>
      <c r="U1364" s="7">
        <f>IF($C1364="","",S1364*T1364)</f>
        <v/>
      </c>
      <c r="X1364">
        <f>IF($C1364="","",IF($AM1364=1,0,IF($AL1364=1,Settings!$C$6,Settings!$C$7))*100)</f>
        <v/>
      </c>
      <c r="AB1364" s="7" t="n"/>
      <c r="AE1364" s="11" t="n"/>
      <c r="AG1364" s="7">
        <f>IF($C1364="","",U1364*X1364/100)</f>
        <v/>
      </c>
      <c r="AH1364" s="7">
        <f>IF($C1364="","",U1364-AG1364)</f>
        <v/>
      </c>
      <c r="AI1364" s="7">
        <f>IF($C1364="","",AH1364-M1364)</f>
        <v/>
      </c>
      <c r="AJ1364">
        <f>IF($C1364="","",IF(COUNTIF($C$2:$C1364,$C1364)=1,1,0))</f>
        <v/>
      </c>
      <c r="AK1364">
        <f>IF($AJ1364=1,SUMPRODUCT(--($AN$2:$AN$4001&lt;$AN1364))+1,"")</f>
        <v/>
      </c>
      <c r="AL1364">
        <f>IF($C1364="","",IF(OR($Q1364=TRUE(),$Q1364="TRUE"),1,0))</f>
        <v/>
      </c>
      <c r="AM1364">
        <f>IF($C1364="","",IF($W1364="Yes",1,0))</f>
        <v/>
      </c>
      <c r="AN1364">
        <f>IF($AJ1364=1,IFERROR(IF(VALUE($C1364)&lt;100000000,VALUE($C1364),1000000000),IFERROR(IF(VALUE(MID($C1364,2,20))&lt;100000000,VALUE(MID($C1364,2,20)),1000000000),1000000000))+ROW()/100000,"")</f>
        <v/>
      </c>
    </row>
    <row r="1365">
      <c r="E1365" s="11" t="n"/>
      <c r="M1365" s="7">
        <f>IF($C1365="","",L1365*U1365/100)</f>
        <v/>
      </c>
      <c r="N1365" s="7" t="n"/>
      <c r="T1365" s="7" t="n"/>
      <c r="U1365" s="7">
        <f>IF($C1365="","",S1365*T1365)</f>
        <v/>
      </c>
      <c r="X1365">
        <f>IF($C1365="","",IF($AM1365=1,0,IF($AL1365=1,Settings!$C$6,Settings!$C$7))*100)</f>
        <v/>
      </c>
      <c r="AB1365" s="7" t="n"/>
      <c r="AE1365" s="11" t="n"/>
      <c r="AG1365" s="7">
        <f>IF($C1365="","",U1365*X1365/100)</f>
        <v/>
      </c>
      <c r="AH1365" s="7">
        <f>IF($C1365="","",U1365-AG1365)</f>
        <v/>
      </c>
      <c r="AI1365" s="7">
        <f>IF($C1365="","",AH1365-M1365)</f>
        <v/>
      </c>
      <c r="AJ1365">
        <f>IF($C1365="","",IF(COUNTIF($C$2:$C1365,$C1365)=1,1,0))</f>
        <v/>
      </c>
      <c r="AK1365">
        <f>IF($AJ1365=1,SUMPRODUCT(--($AN$2:$AN$4001&lt;$AN1365))+1,"")</f>
        <v/>
      </c>
      <c r="AL1365">
        <f>IF($C1365="","",IF(OR($Q1365=TRUE(),$Q1365="TRUE"),1,0))</f>
        <v/>
      </c>
      <c r="AM1365">
        <f>IF($C1365="","",IF($W1365="Yes",1,0))</f>
        <v/>
      </c>
      <c r="AN1365">
        <f>IF($AJ1365=1,IFERROR(IF(VALUE($C1365)&lt;100000000,VALUE($C1365),1000000000),IFERROR(IF(VALUE(MID($C1365,2,20))&lt;100000000,VALUE(MID($C1365,2,20)),1000000000),1000000000))+ROW()/100000,"")</f>
        <v/>
      </c>
    </row>
    <row r="1366">
      <c r="E1366" s="11" t="n"/>
      <c r="M1366" s="7">
        <f>IF($C1366="","",L1366*U1366/100)</f>
        <v/>
      </c>
      <c r="N1366" s="7" t="n"/>
      <c r="T1366" s="7" t="n"/>
      <c r="U1366" s="7">
        <f>IF($C1366="","",S1366*T1366)</f>
        <v/>
      </c>
      <c r="X1366">
        <f>IF($C1366="","",IF($AM1366=1,0,IF($AL1366=1,Settings!$C$6,Settings!$C$7))*100)</f>
        <v/>
      </c>
      <c r="AB1366" s="7" t="n"/>
      <c r="AE1366" s="11" t="n"/>
      <c r="AG1366" s="7">
        <f>IF($C1366="","",U1366*X1366/100)</f>
        <v/>
      </c>
      <c r="AH1366" s="7">
        <f>IF($C1366="","",U1366-AG1366)</f>
        <v/>
      </c>
      <c r="AI1366" s="7">
        <f>IF($C1366="","",AH1366-M1366)</f>
        <v/>
      </c>
      <c r="AJ1366">
        <f>IF($C1366="","",IF(COUNTIF($C$2:$C1366,$C1366)=1,1,0))</f>
        <v/>
      </c>
      <c r="AK1366">
        <f>IF($AJ1366=1,SUMPRODUCT(--($AN$2:$AN$4001&lt;$AN1366))+1,"")</f>
        <v/>
      </c>
      <c r="AL1366">
        <f>IF($C1366="","",IF(OR($Q1366=TRUE(),$Q1366="TRUE"),1,0))</f>
        <v/>
      </c>
      <c r="AM1366">
        <f>IF($C1366="","",IF($W1366="Yes",1,0))</f>
        <v/>
      </c>
      <c r="AN1366">
        <f>IF($AJ1366=1,IFERROR(IF(VALUE($C1366)&lt;100000000,VALUE($C1366),1000000000),IFERROR(IF(VALUE(MID($C1366,2,20))&lt;100000000,VALUE(MID($C1366,2,20)),1000000000),1000000000))+ROW()/100000,"")</f>
        <v/>
      </c>
    </row>
    <row r="1367">
      <c r="E1367" s="11" t="n"/>
      <c r="M1367" s="7">
        <f>IF($C1367="","",L1367*U1367/100)</f>
        <v/>
      </c>
      <c r="N1367" s="7" t="n"/>
      <c r="T1367" s="7" t="n"/>
      <c r="U1367" s="7">
        <f>IF($C1367="","",S1367*T1367)</f>
        <v/>
      </c>
      <c r="X1367">
        <f>IF($C1367="","",IF($AM1367=1,0,IF($AL1367=1,Settings!$C$6,Settings!$C$7))*100)</f>
        <v/>
      </c>
      <c r="AB1367" s="7" t="n"/>
      <c r="AE1367" s="11" t="n"/>
      <c r="AG1367" s="7">
        <f>IF($C1367="","",U1367*X1367/100)</f>
        <v/>
      </c>
      <c r="AH1367" s="7">
        <f>IF($C1367="","",U1367-AG1367)</f>
        <v/>
      </c>
      <c r="AI1367" s="7">
        <f>IF($C1367="","",AH1367-M1367)</f>
        <v/>
      </c>
      <c r="AJ1367">
        <f>IF($C1367="","",IF(COUNTIF($C$2:$C1367,$C1367)=1,1,0))</f>
        <v/>
      </c>
      <c r="AK1367">
        <f>IF($AJ1367=1,SUMPRODUCT(--($AN$2:$AN$4001&lt;$AN1367))+1,"")</f>
        <v/>
      </c>
      <c r="AL1367">
        <f>IF($C1367="","",IF(OR($Q1367=TRUE(),$Q1367="TRUE"),1,0))</f>
        <v/>
      </c>
      <c r="AM1367">
        <f>IF($C1367="","",IF($W1367="Yes",1,0))</f>
        <v/>
      </c>
      <c r="AN1367">
        <f>IF($AJ1367=1,IFERROR(IF(VALUE($C1367)&lt;100000000,VALUE($C1367),1000000000),IFERROR(IF(VALUE(MID($C1367,2,20))&lt;100000000,VALUE(MID($C1367,2,20)),1000000000),1000000000))+ROW()/100000,"")</f>
        <v/>
      </c>
    </row>
    <row r="1368">
      <c r="E1368" s="11" t="n"/>
      <c r="M1368" s="7">
        <f>IF($C1368="","",L1368*U1368/100)</f>
        <v/>
      </c>
      <c r="N1368" s="7" t="n"/>
      <c r="T1368" s="7" t="n"/>
      <c r="U1368" s="7">
        <f>IF($C1368="","",S1368*T1368)</f>
        <v/>
      </c>
      <c r="X1368">
        <f>IF($C1368="","",IF($AM1368=1,0,IF($AL1368=1,Settings!$C$6,Settings!$C$7))*100)</f>
        <v/>
      </c>
      <c r="AB1368" s="7" t="n"/>
      <c r="AE1368" s="11" t="n"/>
      <c r="AG1368" s="7">
        <f>IF($C1368="","",U1368*X1368/100)</f>
        <v/>
      </c>
      <c r="AH1368" s="7">
        <f>IF($C1368="","",U1368-AG1368)</f>
        <v/>
      </c>
      <c r="AI1368" s="7">
        <f>IF($C1368="","",AH1368-M1368)</f>
        <v/>
      </c>
      <c r="AJ1368">
        <f>IF($C1368="","",IF(COUNTIF($C$2:$C1368,$C1368)=1,1,0))</f>
        <v/>
      </c>
      <c r="AK1368">
        <f>IF($AJ1368=1,SUMPRODUCT(--($AN$2:$AN$4001&lt;$AN1368))+1,"")</f>
        <v/>
      </c>
      <c r="AL1368">
        <f>IF($C1368="","",IF(OR($Q1368=TRUE(),$Q1368="TRUE"),1,0))</f>
        <v/>
      </c>
      <c r="AM1368">
        <f>IF($C1368="","",IF($W1368="Yes",1,0))</f>
        <v/>
      </c>
      <c r="AN1368">
        <f>IF($AJ1368=1,IFERROR(IF(VALUE($C1368)&lt;100000000,VALUE($C1368),1000000000),IFERROR(IF(VALUE(MID($C1368,2,20))&lt;100000000,VALUE(MID($C1368,2,20)),1000000000),1000000000))+ROW()/100000,"")</f>
        <v/>
      </c>
    </row>
    <row r="1369">
      <c r="E1369" s="11" t="n"/>
      <c r="M1369" s="7">
        <f>IF($C1369="","",L1369*U1369/100)</f>
        <v/>
      </c>
      <c r="N1369" s="7" t="n"/>
      <c r="T1369" s="7" t="n"/>
      <c r="U1369" s="7">
        <f>IF($C1369="","",S1369*T1369)</f>
        <v/>
      </c>
      <c r="X1369">
        <f>IF($C1369="","",IF($AM1369=1,0,IF($AL1369=1,Settings!$C$6,Settings!$C$7))*100)</f>
        <v/>
      </c>
      <c r="AB1369" s="7" t="n"/>
      <c r="AE1369" s="11" t="n"/>
      <c r="AG1369" s="7">
        <f>IF($C1369="","",U1369*X1369/100)</f>
        <v/>
      </c>
      <c r="AH1369" s="7">
        <f>IF($C1369="","",U1369-AG1369)</f>
        <v/>
      </c>
      <c r="AI1369" s="7">
        <f>IF($C1369="","",AH1369-M1369)</f>
        <v/>
      </c>
      <c r="AJ1369">
        <f>IF($C1369="","",IF(COUNTIF($C$2:$C1369,$C1369)=1,1,0))</f>
        <v/>
      </c>
      <c r="AK1369">
        <f>IF($AJ1369=1,SUMPRODUCT(--($AN$2:$AN$4001&lt;$AN1369))+1,"")</f>
        <v/>
      </c>
      <c r="AL1369">
        <f>IF($C1369="","",IF(OR($Q1369=TRUE(),$Q1369="TRUE"),1,0))</f>
        <v/>
      </c>
      <c r="AM1369">
        <f>IF($C1369="","",IF($W1369="Yes",1,0))</f>
        <v/>
      </c>
      <c r="AN1369">
        <f>IF($AJ1369=1,IFERROR(IF(VALUE($C1369)&lt;100000000,VALUE($C1369),1000000000),IFERROR(IF(VALUE(MID($C1369,2,20))&lt;100000000,VALUE(MID($C1369,2,20)),1000000000),1000000000))+ROW()/100000,"")</f>
        <v/>
      </c>
    </row>
    <row r="1370">
      <c r="E1370" s="11" t="n"/>
      <c r="M1370" s="7">
        <f>IF($C1370="","",L1370*U1370/100)</f>
        <v/>
      </c>
      <c r="N1370" s="7" t="n"/>
      <c r="T1370" s="7" t="n"/>
      <c r="U1370" s="7">
        <f>IF($C1370="","",S1370*T1370)</f>
        <v/>
      </c>
      <c r="X1370">
        <f>IF($C1370="","",IF($AM1370=1,0,IF($AL1370=1,Settings!$C$6,Settings!$C$7))*100)</f>
        <v/>
      </c>
      <c r="AB1370" s="7" t="n"/>
      <c r="AE1370" s="11" t="n"/>
      <c r="AG1370" s="7">
        <f>IF($C1370="","",U1370*X1370/100)</f>
        <v/>
      </c>
      <c r="AH1370" s="7">
        <f>IF($C1370="","",U1370-AG1370)</f>
        <v/>
      </c>
      <c r="AI1370" s="7">
        <f>IF($C1370="","",AH1370-M1370)</f>
        <v/>
      </c>
      <c r="AJ1370">
        <f>IF($C1370="","",IF(COUNTIF($C$2:$C1370,$C1370)=1,1,0))</f>
        <v/>
      </c>
      <c r="AK1370">
        <f>IF($AJ1370=1,SUMPRODUCT(--($AN$2:$AN$4001&lt;$AN1370))+1,"")</f>
        <v/>
      </c>
      <c r="AL1370">
        <f>IF($C1370="","",IF(OR($Q1370=TRUE(),$Q1370="TRUE"),1,0))</f>
        <v/>
      </c>
      <c r="AM1370">
        <f>IF($C1370="","",IF($W1370="Yes",1,0))</f>
        <v/>
      </c>
      <c r="AN1370">
        <f>IF($AJ1370=1,IFERROR(IF(VALUE($C1370)&lt;100000000,VALUE($C1370),1000000000),IFERROR(IF(VALUE(MID($C1370,2,20))&lt;100000000,VALUE(MID($C1370,2,20)),1000000000),1000000000))+ROW()/100000,"")</f>
        <v/>
      </c>
    </row>
    <row r="1371">
      <c r="E1371" s="11" t="n"/>
      <c r="M1371" s="7">
        <f>IF($C1371="","",L1371*U1371/100)</f>
        <v/>
      </c>
      <c r="N1371" s="7" t="n"/>
      <c r="T1371" s="7" t="n"/>
      <c r="U1371" s="7">
        <f>IF($C1371="","",S1371*T1371)</f>
        <v/>
      </c>
      <c r="X1371">
        <f>IF($C1371="","",IF($AM1371=1,0,IF($AL1371=1,Settings!$C$6,Settings!$C$7))*100)</f>
        <v/>
      </c>
      <c r="AB1371" s="7" t="n"/>
      <c r="AE1371" s="11" t="n"/>
      <c r="AG1371" s="7">
        <f>IF($C1371="","",U1371*X1371/100)</f>
        <v/>
      </c>
      <c r="AH1371" s="7">
        <f>IF($C1371="","",U1371-AG1371)</f>
        <v/>
      </c>
      <c r="AI1371" s="7">
        <f>IF($C1371="","",AH1371-M1371)</f>
        <v/>
      </c>
      <c r="AJ1371">
        <f>IF($C1371="","",IF(COUNTIF($C$2:$C1371,$C1371)=1,1,0))</f>
        <v/>
      </c>
      <c r="AK1371">
        <f>IF($AJ1371=1,SUMPRODUCT(--($AN$2:$AN$4001&lt;$AN1371))+1,"")</f>
        <v/>
      </c>
      <c r="AL1371">
        <f>IF($C1371="","",IF(OR($Q1371=TRUE(),$Q1371="TRUE"),1,0))</f>
        <v/>
      </c>
      <c r="AM1371">
        <f>IF($C1371="","",IF($W1371="Yes",1,0))</f>
        <v/>
      </c>
      <c r="AN1371">
        <f>IF($AJ1371=1,IFERROR(IF(VALUE($C1371)&lt;100000000,VALUE($C1371),1000000000),IFERROR(IF(VALUE(MID($C1371,2,20))&lt;100000000,VALUE(MID($C1371,2,20)),1000000000),1000000000))+ROW()/100000,"")</f>
        <v/>
      </c>
    </row>
    <row r="1372">
      <c r="E1372" s="11" t="n"/>
      <c r="M1372" s="7">
        <f>IF($C1372="","",L1372*U1372/100)</f>
        <v/>
      </c>
      <c r="N1372" s="7" t="n"/>
      <c r="T1372" s="7" t="n"/>
      <c r="U1372" s="7">
        <f>IF($C1372="","",S1372*T1372)</f>
        <v/>
      </c>
      <c r="X1372">
        <f>IF($C1372="","",IF($AM1372=1,0,IF($AL1372=1,Settings!$C$6,Settings!$C$7))*100)</f>
        <v/>
      </c>
      <c r="AB1372" s="7" t="n"/>
      <c r="AE1372" s="11" t="n"/>
      <c r="AG1372" s="7">
        <f>IF($C1372="","",U1372*X1372/100)</f>
        <v/>
      </c>
      <c r="AH1372" s="7">
        <f>IF($C1372="","",U1372-AG1372)</f>
        <v/>
      </c>
      <c r="AI1372" s="7">
        <f>IF($C1372="","",AH1372-M1372)</f>
        <v/>
      </c>
      <c r="AJ1372">
        <f>IF($C1372="","",IF(COUNTIF($C$2:$C1372,$C1372)=1,1,0))</f>
        <v/>
      </c>
      <c r="AK1372">
        <f>IF($AJ1372=1,SUMPRODUCT(--($AN$2:$AN$4001&lt;$AN1372))+1,"")</f>
        <v/>
      </c>
      <c r="AL1372">
        <f>IF($C1372="","",IF(OR($Q1372=TRUE(),$Q1372="TRUE"),1,0))</f>
        <v/>
      </c>
      <c r="AM1372">
        <f>IF($C1372="","",IF($W1372="Yes",1,0))</f>
        <v/>
      </c>
      <c r="AN1372">
        <f>IF($AJ1372=1,IFERROR(IF(VALUE($C1372)&lt;100000000,VALUE($C1372),1000000000),IFERROR(IF(VALUE(MID($C1372,2,20))&lt;100000000,VALUE(MID($C1372,2,20)),1000000000),1000000000))+ROW()/100000,"")</f>
        <v/>
      </c>
    </row>
    <row r="1373">
      <c r="E1373" s="11" t="n"/>
      <c r="M1373" s="7">
        <f>IF($C1373="","",L1373*U1373/100)</f>
        <v/>
      </c>
      <c r="N1373" s="7" t="n"/>
      <c r="T1373" s="7" t="n"/>
      <c r="U1373" s="7">
        <f>IF($C1373="","",S1373*T1373)</f>
        <v/>
      </c>
      <c r="X1373">
        <f>IF($C1373="","",IF($AM1373=1,0,IF($AL1373=1,Settings!$C$6,Settings!$C$7))*100)</f>
        <v/>
      </c>
      <c r="AB1373" s="7" t="n"/>
      <c r="AE1373" s="11" t="n"/>
      <c r="AG1373" s="7">
        <f>IF($C1373="","",U1373*X1373/100)</f>
        <v/>
      </c>
      <c r="AH1373" s="7">
        <f>IF($C1373="","",U1373-AG1373)</f>
        <v/>
      </c>
      <c r="AI1373" s="7">
        <f>IF($C1373="","",AH1373-M1373)</f>
        <v/>
      </c>
      <c r="AJ1373">
        <f>IF($C1373="","",IF(COUNTIF($C$2:$C1373,$C1373)=1,1,0))</f>
        <v/>
      </c>
      <c r="AK1373">
        <f>IF($AJ1373=1,SUMPRODUCT(--($AN$2:$AN$4001&lt;$AN1373))+1,"")</f>
        <v/>
      </c>
      <c r="AL1373">
        <f>IF($C1373="","",IF(OR($Q1373=TRUE(),$Q1373="TRUE"),1,0))</f>
        <v/>
      </c>
      <c r="AM1373">
        <f>IF($C1373="","",IF($W1373="Yes",1,0))</f>
        <v/>
      </c>
      <c r="AN1373">
        <f>IF($AJ1373=1,IFERROR(IF(VALUE($C1373)&lt;100000000,VALUE($C1373),1000000000),IFERROR(IF(VALUE(MID($C1373,2,20))&lt;100000000,VALUE(MID($C1373,2,20)),1000000000),1000000000))+ROW()/100000,"")</f>
        <v/>
      </c>
    </row>
    <row r="1374">
      <c r="E1374" s="11" t="n"/>
      <c r="M1374" s="7">
        <f>IF($C1374="","",L1374*U1374/100)</f>
        <v/>
      </c>
      <c r="N1374" s="7" t="n"/>
      <c r="T1374" s="7" t="n"/>
      <c r="U1374" s="7">
        <f>IF($C1374="","",S1374*T1374)</f>
        <v/>
      </c>
      <c r="X1374">
        <f>IF($C1374="","",IF($AM1374=1,0,IF($AL1374=1,Settings!$C$6,Settings!$C$7))*100)</f>
        <v/>
      </c>
      <c r="AB1374" s="7" t="n"/>
      <c r="AE1374" s="11" t="n"/>
      <c r="AG1374" s="7">
        <f>IF($C1374="","",U1374*X1374/100)</f>
        <v/>
      </c>
      <c r="AH1374" s="7">
        <f>IF($C1374="","",U1374-AG1374)</f>
        <v/>
      </c>
      <c r="AI1374" s="7">
        <f>IF($C1374="","",AH1374-M1374)</f>
        <v/>
      </c>
      <c r="AJ1374">
        <f>IF($C1374="","",IF(COUNTIF($C$2:$C1374,$C1374)=1,1,0))</f>
        <v/>
      </c>
      <c r="AK1374">
        <f>IF($AJ1374=1,SUMPRODUCT(--($AN$2:$AN$4001&lt;$AN1374))+1,"")</f>
        <v/>
      </c>
      <c r="AL1374">
        <f>IF($C1374="","",IF(OR($Q1374=TRUE(),$Q1374="TRUE"),1,0))</f>
        <v/>
      </c>
      <c r="AM1374">
        <f>IF($C1374="","",IF($W1374="Yes",1,0))</f>
        <v/>
      </c>
      <c r="AN1374">
        <f>IF($AJ1374=1,IFERROR(IF(VALUE($C1374)&lt;100000000,VALUE($C1374),1000000000),IFERROR(IF(VALUE(MID($C1374,2,20))&lt;100000000,VALUE(MID($C1374,2,20)),1000000000),1000000000))+ROW()/100000,"")</f>
        <v/>
      </c>
    </row>
    <row r="1375">
      <c r="E1375" s="11" t="n"/>
      <c r="M1375" s="7">
        <f>IF($C1375="","",L1375*U1375/100)</f>
        <v/>
      </c>
      <c r="N1375" s="7" t="n"/>
      <c r="T1375" s="7" t="n"/>
      <c r="U1375" s="7">
        <f>IF($C1375="","",S1375*T1375)</f>
        <v/>
      </c>
      <c r="X1375">
        <f>IF($C1375="","",IF($AM1375=1,0,IF($AL1375=1,Settings!$C$6,Settings!$C$7))*100)</f>
        <v/>
      </c>
      <c r="AB1375" s="7" t="n"/>
      <c r="AE1375" s="11" t="n"/>
      <c r="AG1375" s="7">
        <f>IF($C1375="","",U1375*X1375/100)</f>
        <v/>
      </c>
      <c r="AH1375" s="7">
        <f>IF($C1375="","",U1375-AG1375)</f>
        <v/>
      </c>
      <c r="AI1375" s="7">
        <f>IF($C1375="","",AH1375-M1375)</f>
        <v/>
      </c>
      <c r="AJ1375">
        <f>IF($C1375="","",IF(COUNTIF($C$2:$C1375,$C1375)=1,1,0))</f>
        <v/>
      </c>
      <c r="AK1375">
        <f>IF($AJ1375=1,SUMPRODUCT(--($AN$2:$AN$4001&lt;$AN1375))+1,"")</f>
        <v/>
      </c>
      <c r="AL1375">
        <f>IF($C1375="","",IF(OR($Q1375=TRUE(),$Q1375="TRUE"),1,0))</f>
        <v/>
      </c>
      <c r="AM1375">
        <f>IF($C1375="","",IF($W1375="Yes",1,0))</f>
        <v/>
      </c>
      <c r="AN1375">
        <f>IF($AJ1375=1,IFERROR(IF(VALUE($C1375)&lt;100000000,VALUE($C1375),1000000000),IFERROR(IF(VALUE(MID($C1375,2,20))&lt;100000000,VALUE(MID($C1375,2,20)),1000000000),1000000000))+ROW()/100000,"")</f>
        <v/>
      </c>
    </row>
    <row r="1376">
      <c r="E1376" s="11" t="n"/>
      <c r="M1376" s="7">
        <f>IF($C1376="","",L1376*U1376/100)</f>
        <v/>
      </c>
      <c r="N1376" s="7" t="n"/>
      <c r="T1376" s="7" t="n"/>
      <c r="U1376" s="7">
        <f>IF($C1376="","",S1376*T1376)</f>
        <v/>
      </c>
      <c r="X1376">
        <f>IF($C1376="","",IF($AM1376=1,0,IF($AL1376=1,Settings!$C$6,Settings!$C$7))*100)</f>
        <v/>
      </c>
      <c r="AB1376" s="7" t="n"/>
      <c r="AE1376" s="11" t="n"/>
      <c r="AG1376" s="7">
        <f>IF($C1376="","",U1376*X1376/100)</f>
        <v/>
      </c>
      <c r="AH1376" s="7">
        <f>IF($C1376="","",U1376-AG1376)</f>
        <v/>
      </c>
      <c r="AI1376" s="7">
        <f>IF($C1376="","",AH1376-M1376)</f>
        <v/>
      </c>
      <c r="AJ1376">
        <f>IF($C1376="","",IF(COUNTIF($C$2:$C1376,$C1376)=1,1,0))</f>
        <v/>
      </c>
      <c r="AK1376">
        <f>IF($AJ1376=1,SUMPRODUCT(--($AN$2:$AN$4001&lt;$AN1376))+1,"")</f>
        <v/>
      </c>
      <c r="AL1376">
        <f>IF($C1376="","",IF(OR($Q1376=TRUE(),$Q1376="TRUE"),1,0))</f>
        <v/>
      </c>
      <c r="AM1376">
        <f>IF($C1376="","",IF($W1376="Yes",1,0))</f>
        <v/>
      </c>
      <c r="AN1376">
        <f>IF($AJ1376=1,IFERROR(IF(VALUE($C1376)&lt;100000000,VALUE($C1376),1000000000),IFERROR(IF(VALUE(MID($C1376,2,20))&lt;100000000,VALUE(MID($C1376,2,20)),1000000000),1000000000))+ROW()/100000,"")</f>
        <v/>
      </c>
    </row>
    <row r="1377">
      <c r="E1377" s="11" t="n"/>
      <c r="M1377" s="7">
        <f>IF($C1377="","",L1377*U1377/100)</f>
        <v/>
      </c>
      <c r="N1377" s="7" t="n"/>
      <c r="T1377" s="7" t="n"/>
      <c r="U1377" s="7">
        <f>IF($C1377="","",S1377*T1377)</f>
        <v/>
      </c>
      <c r="X1377">
        <f>IF($C1377="","",IF($AM1377=1,0,IF($AL1377=1,Settings!$C$6,Settings!$C$7))*100)</f>
        <v/>
      </c>
      <c r="AB1377" s="7" t="n"/>
      <c r="AE1377" s="11" t="n"/>
      <c r="AG1377" s="7">
        <f>IF($C1377="","",U1377*X1377/100)</f>
        <v/>
      </c>
      <c r="AH1377" s="7">
        <f>IF($C1377="","",U1377-AG1377)</f>
        <v/>
      </c>
      <c r="AI1377" s="7">
        <f>IF($C1377="","",AH1377-M1377)</f>
        <v/>
      </c>
      <c r="AJ1377">
        <f>IF($C1377="","",IF(COUNTIF($C$2:$C1377,$C1377)=1,1,0))</f>
        <v/>
      </c>
      <c r="AK1377">
        <f>IF($AJ1377=1,SUMPRODUCT(--($AN$2:$AN$4001&lt;$AN1377))+1,"")</f>
        <v/>
      </c>
      <c r="AL1377">
        <f>IF($C1377="","",IF(OR($Q1377=TRUE(),$Q1377="TRUE"),1,0))</f>
        <v/>
      </c>
      <c r="AM1377">
        <f>IF($C1377="","",IF($W1377="Yes",1,0))</f>
        <v/>
      </c>
      <c r="AN1377">
        <f>IF($AJ1377=1,IFERROR(IF(VALUE($C1377)&lt;100000000,VALUE($C1377),1000000000),IFERROR(IF(VALUE(MID($C1377,2,20))&lt;100000000,VALUE(MID($C1377,2,20)),1000000000),1000000000))+ROW()/100000,"")</f>
        <v/>
      </c>
    </row>
    <row r="1378">
      <c r="E1378" s="11" t="n"/>
      <c r="M1378" s="7">
        <f>IF($C1378="","",L1378*U1378/100)</f>
        <v/>
      </c>
      <c r="N1378" s="7" t="n"/>
      <c r="T1378" s="7" t="n"/>
      <c r="U1378" s="7">
        <f>IF($C1378="","",S1378*T1378)</f>
        <v/>
      </c>
      <c r="X1378">
        <f>IF($C1378="","",IF($AM1378=1,0,IF($AL1378=1,Settings!$C$6,Settings!$C$7))*100)</f>
        <v/>
      </c>
      <c r="AB1378" s="7" t="n"/>
      <c r="AE1378" s="11" t="n"/>
      <c r="AG1378" s="7">
        <f>IF($C1378="","",U1378*X1378/100)</f>
        <v/>
      </c>
      <c r="AH1378" s="7">
        <f>IF($C1378="","",U1378-AG1378)</f>
        <v/>
      </c>
      <c r="AI1378" s="7">
        <f>IF($C1378="","",AH1378-M1378)</f>
        <v/>
      </c>
      <c r="AJ1378">
        <f>IF($C1378="","",IF(COUNTIF($C$2:$C1378,$C1378)=1,1,0))</f>
        <v/>
      </c>
      <c r="AK1378">
        <f>IF($AJ1378=1,SUMPRODUCT(--($AN$2:$AN$4001&lt;$AN1378))+1,"")</f>
        <v/>
      </c>
      <c r="AL1378">
        <f>IF($C1378="","",IF(OR($Q1378=TRUE(),$Q1378="TRUE"),1,0))</f>
        <v/>
      </c>
      <c r="AM1378">
        <f>IF($C1378="","",IF($W1378="Yes",1,0))</f>
        <v/>
      </c>
      <c r="AN1378">
        <f>IF($AJ1378=1,IFERROR(IF(VALUE($C1378)&lt;100000000,VALUE($C1378),1000000000),IFERROR(IF(VALUE(MID($C1378,2,20))&lt;100000000,VALUE(MID($C1378,2,20)),1000000000),1000000000))+ROW()/100000,"")</f>
        <v/>
      </c>
    </row>
    <row r="1379">
      <c r="E1379" s="11" t="n"/>
      <c r="M1379" s="7">
        <f>IF($C1379="","",L1379*U1379/100)</f>
        <v/>
      </c>
      <c r="N1379" s="7" t="n"/>
      <c r="T1379" s="7" t="n"/>
      <c r="U1379" s="7">
        <f>IF($C1379="","",S1379*T1379)</f>
        <v/>
      </c>
      <c r="X1379">
        <f>IF($C1379="","",IF($AM1379=1,0,IF($AL1379=1,Settings!$C$6,Settings!$C$7))*100)</f>
        <v/>
      </c>
      <c r="AB1379" s="7" t="n"/>
      <c r="AE1379" s="11" t="n"/>
      <c r="AG1379" s="7">
        <f>IF($C1379="","",U1379*X1379/100)</f>
        <v/>
      </c>
      <c r="AH1379" s="7">
        <f>IF($C1379="","",U1379-AG1379)</f>
        <v/>
      </c>
      <c r="AI1379" s="7">
        <f>IF($C1379="","",AH1379-M1379)</f>
        <v/>
      </c>
      <c r="AJ1379">
        <f>IF($C1379="","",IF(COUNTIF($C$2:$C1379,$C1379)=1,1,0))</f>
        <v/>
      </c>
      <c r="AK1379">
        <f>IF($AJ1379=1,SUMPRODUCT(--($AN$2:$AN$4001&lt;$AN1379))+1,"")</f>
        <v/>
      </c>
      <c r="AL1379">
        <f>IF($C1379="","",IF(OR($Q1379=TRUE(),$Q1379="TRUE"),1,0))</f>
        <v/>
      </c>
      <c r="AM1379">
        <f>IF($C1379="","",IF($W1379="Yes",1,0))</f>
        <v/>
      </c>
      <c r="AN1379">
        <f>IF($AJ1379=1,IFERROR(IF(VALUE($C1379)&lt;100000000,VALUE($C1379),1000000000),IFERROR(IF(VALUE(MID($C1379,2,20))&lt;100000000,VALUE(MID($C1379,2,20)),1000000000),1000000000))+ROW()/100000,"")</f>
        <v/>
      </c>
    </row>
    <row r="1380">
      <c r="E1380" s="11" t="n"/>
      <c r="M1380" s="7">
        <f>IF($C1380="","",L1380*U1380/100)</f>
        <v/>
      </c>
      <c r="N1380" s="7" t="n"/>
      <c r="T1380" s="7" t="n"/>
      <c r="U1380" s="7">
        <f>IF($C1380="","",S1380*T1380)</f>
        <v/>
      </c>
      <c r="X1380">
        <f>IF($C1380="","",IF($AM1380=1,0,IF($AL1380=1,Settings!$C$6,Settings!$C$7))*100)</f>
        <v/>
      </c>
      <c r="AB1380" s="7" t="n"/>
      <c r="AE1380" s="11" t="n"/>
      <c r="AG1380" s="7">
        <f>IF($C1380="","",U1380*X1380/100)</f>
        <v/>
      </c>
      <c r="AH1380" s="7">
        <f>IF($C1380="","",U1380-AG1380)</f>
        <v/>
      </c>
      <c r="AI1380" s="7">
        <f>IF($C1380="","",AH1380-M1380)</f>
        <v/>
      </c>
      <c r="AJ1380">
        <f>IF($C1380="","",IF(COUNTIF($C$2:$C1380,$C1380)=1,1,0))</f>
        <v/>
      </c>
      <c r="AK1380">
        <f>IF($AJ1380=1,SUMPRODUCT(--($AN$2:$AN$4001&lt;$AN1380))+1,"")</f>
        <v/>
      </c>
      <c r="AL1380">
        <f>IF($C1380="","",IF(OR($Q1380=TRUE(),$Q1380="TRUE"),1,0))</f>
        <v/>
      </c>
      <c r="AM1380">
        <f>IF($C1380="","",IF($W1380="Yes",1,0))</f>
        <v/>
      </c>
      <c r="AN1380">
        <f>IF($AJ1380=1,IFERROR(IF(VALUE($C1380)&lt;100000000,VALUE($C1380),1000000000),IFERROR(IF(VALUE(MID($C1380,2,20))&lt;100000000,VALUE(MID($C1380,2,20)),1000000000),1000000000))+ROW()/100000,"")</f>
        <v/>
      </c>
    </row>
    <row r="1381">
      <c r="E1381" s="11" t="n"/>
      <c r="M1381" s="7">
        <f>IF($C1381="","",L1381*U1381/100)</f>
        <v/>
      </c>
      <c r="N1381" s="7" t="n"/>
      <c r="T1381" s="7" t="n"/>
      <c r="U1381" s="7">
        <f>IF($C1381="","",S1381*T1381)</f>
        <v/>
      </c>
      <c r="X1381">
        <f>IF($C1381="","",IF($AM1381=1,0,IF($AL1381=1,Settings!$C$6,Settings!$C$7))*100)</f>
        <v/>
      </c>
      <c r="AB1381" s="7" t="n"/>
      <c r="AE1381" s="11" t="n"/>
      <c r="AG1381" s="7">
        <f>IF($C1381="","",U1381*X1381/100)</f>
        <v/>
      </c>
      <c r="AH1381" s="7">
        <f>IF($C1381="","",U1381-AG1381)</f>
        <v/>
      </c>
      <c r="AI1381" s="7">
        <f>IF($C1381="","",AH1381-M1381)</f>
        <v/>
      </c>
      <c r="AJ1381">
        <f>IF($C1381="","",IF(COUNTIF($C$2:$C1381,$C1381)=1,1,0))</f>
        <v/>
      </c>
      <c r="AK1381">
        <f>IF($AJ1381=1,SUMPRODUCT(--($AN$2:$AN$4001&lt;$AN1381))+1,"")</f>
        <v/>
      </c>
      <c r="AL1381">
        <f>IF($C1381="","",IF(OR($Q1381=TRUE(),$Q1381="TRUE"),1,0))</f>
        <v/>
      </c>
      <c r="AM1381">
        <f>IF($C1381="","",IF($W1381="Yes",1,0))</f>
        <v/>
      </c>
      <c r="AN1381">
        <f>IF($AJ1381=1,IFERROR(IF(VALUE($C1381)&lt;100000000,VALUE($C1381),1000000000),IFERROR(IF(VALUE(MID($C1381,2,20))&lt;100000000,VALUE(MID($C1381,2,20)),1000000000),1000000000))+ROW()/100000,"")</f>
        <v/>
      </c>
    </row>
    <row r="1382">
      <c r="E1382" s="11" t="n"/>
      <c r="M1382" s="7">
        <f>IF($C1382="","",L1382*U1382/100)</f>
        <v/>
      </c>
      <c r="N1382" s="7" t="n"/>
      <c r="T1382" s="7" t="n"/>
      <c r="U1382" s="7">
        <f>IF($C1382="","",S1382*T1382)</f>
        <v/>
      </c>
      <c r="X1382">
        <f>IF($C1382="","",IF($AM1382=1,0,IF($AL1382=1,Settings!$C$6,Settings!$C$7))*100)</f>
        <v/>
      </c>
      <c r="AB1382" s="7" t="n"/>
      <c r="AE1382" s="11" t="n"/>
      <c r="AG1382" s="7">
        <f>IF($C1382="","",U1382*X1382/100)</f>
        <v/>
      </c>
      <c r="AH1382" s="7">
        <f>IF($C1382="","",U1382-AG1382)</f>
        <v/>
      </c>
      <c r="AI1382" s="7">
        <f>IF($C1382="","",AH1382-M1382)</f>
        <v/>
      </c>
      <c r="AJ1382">
        <f>IF($C1382="","",IF(COUNTIF($C$2:$C1382,$C1382)=1,1,0))</f>
        <v/>
      </c>
      <c r="AK1382">
        <f>IF($AJ1382=1,SUMPRODUCT(--($AN$2:$AN$4001&lt;$AN1382))+1,"")</f>
        <v/>
      </c>
      <c r="AL1382">
        <f>IF($C1382="","",IF(OR($Q1382=TRUE(),$Q1382="TRUE"),1,0))</f>
        <v/>
      </c>
      <c r="AM1382">
        <f>IF($C1382="","",IF($W1382="Yes",1,0))</f>
        <v/>
      </c>
      <c r="AN1382">
        <f>IF($AJ1382=1,IFERROR(IF(VALUE($C1382)&lt;100000000,VALUE($C1382),1000000000),IFERROR(IF(VALUE(MID($C1382,2,20))&lt;100000000,VALUE(MID($C1382,2,20)),1000000000),1000000000))+ROW()/100000,"")</f>
        <v/>
      </c>
    </row>
    <row r="1383">
      <c r="E1383" s="11" t="n"/>
      <c r="M1383" s="7">
        <f>IF($C1383="","",L1383*U1383/100)</f>
        <v/>
      </c>
      <c r="N1383" s="7" t="n"/>
      <c r="T1383" s="7" t="n"/>
      <c r="U1383" s="7">
        <f>IF($C1383="","",S1383*T1383)</f>
        <v/>
      </c>
      <c r="X1383">
        <f>IF($C1383="","",IF($AM1383=1,0,IF($AL1383=1,Settings!$C$6,Settings!$C$7))*100)</f>
        <v/>
      </c>
      <c r="AB1383" s="7" t="n"/>
      <c r="AE1383" s="11" t="n"/>
      <c r="AG1383" s="7">
        <f>IF($C1383="","",U1383*X1383/100)</f>
        <v/>
      </c>
      <c r="AH1383" s="7">
        <f>IF($C1383="","",U1383-AG1383)</f>
        <v/>
      </c>
      <c r="AI1383" s="7">
        <f>IF($C1383="","",AH1383-M1383)</f>
        <v/>
      </c>
      <c r="AJ1383">
        <f>IF($C1383="","",IF(COUNTIF($C$2:$C1383,$C1383)=1,1,0))</f>
        <v/>
      </c>
      <c r="AK1383">
        <f>IF($AJ1383=1,SUMPRODUCT(--($AN$2:$AN$4001&lt;$AN1383))+1,"")</f>
        <v/>
      </c>
      <c r="AL1383">
        <f>IF($C1383="","",IF(OR($Q1383=TRUE(),$Q1383="TRUE"),1,0))</f>
        <v/>
      </c>
      <c r="AM1383">
        <f>IF($C1383="","",IF($W1383="Yes",1,0))</f>
        <v/>
      </c>
      <c r="AN1383">
        <f>IF($AJ1383=1,IFERROR(IF(VALUE($C1383)&lt;100000000,VALUE($C1383),1000000000),IFERROR(IF(VALUE(MID($C1383,2,20))&lt;100000000,VALUE(MID($C1383,2,20)),1000000000),1000000000))+ROW()/100000,"")</f>
        <v/>
      </c>
    </row>
    <row r="1384">
      <c r="E1384" s="11" t="n"/>
      <c r="M1384" s="7">
        <f>IF($C1384="","",L1384*U1384/100)</f>
        <v/>
      </c>
      <c r="N1384" s="7" t="n"/>
      <c r="T1384" s="7" t="n"/>
      <c r="U1384" s="7">
        <f>IF($C1384="","",S1384*T1384)</f>
        <v/>
      </c>
      <c r="X1384">
        <f>IF($C1384="","",IF($AM1384=1,0,IF($AL1384=1,Settings!$C$6,Settings!$C$7))*100)</f>
        <v/>
      </c>
      <c r="AB1384" s="7" t="n"/>
      <c r="AE1384" s="11" t="n"/>
      <c r="AG1384" s="7">
        <f>IF($C1384="","",U1384*X1384/100)</f>
        <v/>
      </c>
      <c r="AH1384" s="7">
        <f>IF($C1384="","",U1384-AG1384)</f>
        <v/>
      </c>
      <c r="AI1384" s="7">
        <f>IF($C1384="","",AH1384-M1384)</f>
        <v/>
      </c>
      <c r="AJ1384">
        <f>IF($C1384="","",IF(COUNTIF($C$2:$C1384,$C1384)=1,1,0))</f>
        <v/>
      </c>
      <c r="AK1384">
        <f>IF($AJ1384=1,SUMPRODUCT(--($AN$2:$AN$4001&lt;$AN1384))+1,"")</f>
        <v/>
      </c>
      <c r="AL1384">
        <f>IF($C1384="","",IF(OR($Q1384=TRUE(),$Q1384="TRUE"),1,0))</f>
        <v/>
      </c>
      <c r="AM1384">
        <f>IF($C1384="","",IF($W1384="Yes",1,0))</f>
        <v/>
      </c>
      <c r="AN1384">
        <f>IF($AJ1384=1,IFERROR(IF(VALUE($C1384)&lt;100000000,VALUE($C1384),1000000000),IFERROR(IF(VALUE(MID($C1384,2,20))&lt;100000000,VALUE(MID($C1384,2,20)),1000000000),1000000000))+ROW()/100000,"")</f>
        <v/>
      </c>
    </row>
    <row r="1385">
      <c r="E1385" s="11" t="n"/>
      <c r="M1385" s="7">
        <f>IF($C1385="","",L1385*U1385/100)</f>
        <v/>
      </c>
      <c r="N1385" s="7" t="n"/>
      <c r="T1385" s="7" t="n"/>
      <c r="U1385" s="7">
        <f>IF($C1385="","",S1385*T1385)</f>
        <v/>
      </c>
      <c r="X1385">
        <f>IF($C1385="","",IF($AM1385=1,0,IF($AL1385=1,Settings!$C$6,Settings!$C$7))*100)</f>
        <v/>
      </c>
      <c r="AB1385" s="7" t="n"/>
      <c r="AE1385" s="11" t="n"/>
      <c r="AG1385" s="7">
        <f>IF($C1385="","",U1385*X1385/100)</f>
        <v/>
      </c>
      <c r="AH1385" s="7">
        <f>IF($C1385="","",U1385-AG1385)</f>
        <v/>
      </c>
      <c r="AI1385" s="7">
        <f>IF($C1385="","",AH1385-M1385)</f>
        <v/>
      </c>
      <c r="AJ1385">
        <f>IF($C1385="","",IF(COUNTIF($C$2:$C1385,$C1385)=1,1,0))</f>
        <v/>
      </c>
      <c r="AK1385">
        <f>IF($AJ1385=1,SUMPRODUCT(--($AN$2:$AN$4001&lt;$AN1385))+1,"")</f>
        <v/>
      </c>
      <c r="AL1385">
        <f>IF($C1385="","",IF(OR($Q1385=TRUE(),$Q1385="TRUE"),1,0))</f>
        <v/>
      </c>
      <c r="AM1385">
        <f>IF($C1385="","",IF($W1385="Yes",1,0))</f>
        <v/>
      </c>
      <c r="AN1385">
        <f>IF($AJ1385=1,IFERROR(IF(VALUE($C1385)&lt;100000000,VALUE($C1385),1000000000),IFERROR(IF(VALUE(MID($C1385,2,20))&lt;100000000,VALUE(MID($C1385,2,20)),1000000000),1000000000))+ROW()/100000,"")</f>
        <v/>
      </c>
    </row>
    <row r="1386">
      <c r="E1386" s="11" t="n"/>
      <c r="M1386" s="7">
        <f>IF($C1386="","",L1386*U1386/100)</f>
        <v/>
      </c>
      <c r="N1386" s="7" t="n"/>
      <c r="T1386" s="7" t="n"/>
      <c r="U1386" s="7">
        <f>IF($C1386="","",S1386*T1386)</f>
        <v/>
      </c>
      <c r="X1386">
        <f>IF($C1386="","",IF($AM1386=1,0,IF($AL1386=1,Settings!$C$6,Settings!$C$7))*100)</f>
        <v/>
      </c>
      <c r="AB1386" s="7" t="n"/>
      <c r="AE1386" s="11" t="n"/>
      <c r="AG1386" s="7">
        <f>IF($C1386="","",U1386*X1386/100)</f>
        <v/>
      </c>
      <c r="AH1386" s="7">
        <f>IF($C1386="","",U1386-AG1386)</f>
        <v/>
      </c>
      <c r="AI1386" s="7">
        <f>IF($C1386="","",AH1386-M1386)</f>
        <v/>
      </c>
      <c r="AJ1386">
        <f>IF($C1386="","",IF(COUNTIF($C$2:$C1386,$C1386)=1,1,0))</f>
        <v/>
      </c>
      <c r="AK1386">
        <f>IF($AJ1386=1,SUMPRODUCT(--($AN$2:$AN$4001&lt;$AN1386))+1,"")</f>
        <v/>
      </c>
      <c r="AL1386">
        <f>IF($C1386="","",IF(OR($Q1386=TRUE(),$Q1386="TRUE"),1,0))</f>
        <v/>
      </c>
      <c r="AM1386">
        <f>IF($C1386="","",IF($W1386="Yes",1,0))</f>
        <v/>
      </c>
      <c r="AN1386">
        <f>IF($AJ1386=1,IFERROR(IF(VALUE($C1386)&lt;100000000,VALUE($C1386),1000000000),IFERROR(IF(VALUE(MID($C1386,2,20))&lt;100000000,VALUE(MID($C1386,2,20)),1000000000),1000000000))+ROW()/100000,"")</f>
        <v/>
      </c>
    </row>
    <row r="1387">
      <c r="E1387" s="11" t="n"/>
      <c r="M1387" s="7">
        <f>IF($C1387="","",L1387*U1387/100)</f>
        <v/>
      </c>
      <c r="N1387" s="7" t="n"/>
      <c r="T1387" s="7" t="n"/>
      <c r="U1387" s="7">
        <f>IF($C1387="","",S1387*T1387)</f>
        <v/>
      </c>
      <c r="X1387">
        <f>IF($C1387="","",IF($AM1387=1,0,IF($AL1387=1,Settings!$C$6,Settings!$C$7))*100)</f>
        <v/>
      </c>
      <c r="AB1387" s="7" t="n"/>
      <c r="AE1387" s="11" t="n"/>
      <c r="AG1387" s="7">
        <f>IF($C1387="","",U1387*X1387/100)</f>
        <v/>
      </c>
      <c r="AH1387" s="7">
        <f>IF($C1387="","",U1387-AG1387)</f>
        <v/>
      </c>
      <c r="AI1387" s="7">
        <f>IF($C1387="","",AH1387-M1387)</f>
        <v/>
      </c>
      <c r="AJ1387">
        <f>IF($C1387="","",IF(COUNTIF($C$2:$C1387,$C1387)=1,1,0))</f>
        <v/>
      </c>
      <c r="AK1387">
        <f>IF($AJ1387=1,SUMPRODUCT(--($AN$2:$AN$4001&lt;$AN1387))+1,"")</f>
        <v/>
      </c>
      <c r="AL1387">
        <f>IF($C1387="","",IF(OR($Q1387=TRUE(),$Q1387="TRUE"),1,0))</f>
        <v/>
      </c>
      <c r="AM1387">
        <f>IF($C1387="","",IF($W1387="Yes",1,0))</f>
        <v/>
      </c>
      <c r="AN1387">
        <f>IF($AJ1387=1,IFERROR(IF(VALUE($C1387)&lt;100000000,VALUE($C1387),1000000000),IFERROR(IF(VALUE(MID($C1387,2,20))&lt;100000000,VALUE(MID($C1387,2,20)),1000000000),1000000000))+ROW()/100000,"")</f>
        <v/>
      </c>
    </row>
    <row r="1388">
      <c r="E1388" s="11" t="n"/>
      <c r="M1388" s="7">
        <f>IF($C1388="","",L1388*U1388/100)</f>
        <v/>
      </c>
      <c r="N1388" s="7" t="n"/>
      <c r="T1388" s="7" t="n"/>
      <c r="U1388" s="7">
        <f>IF($C1388="","",S1388*T1388)</f>
        <v/>
      </c>
      <c r="X1388">
        <f>IF($C1388="","",IF($AM1388=1,0,IF($AL1388=1,Settings!$C$6,Settings!$C$7))*100)</f>
        <v/>
      </c>
      <c r="AB1388" s="7" t="n"/>
      <c r="AE1388" s="11" t="n"/>
      <c r="AG1388" s="7">
        <f>IF($C1388="","",U1388*X1388/100)</f>
        <v/>
      </c>
      <c r="AH1388" s="7">
        <f>IF($C1388="","",U1388-AG1388)</f>
        <v/>
      </c>
      <c r="AI1388" s="7">
        <f>IF($C1388="","",AH1388-M1388)</f>
        <v/>
      </c>
      <c r="AJ1388">
        <f>IF($C1388="","",IF(COUNTIF($C$2:$C1388,$C1388)=1,1,0))</f>
        <v/>
      </c>
      <c r="AK1388">
        <f>IF($AJ1388=1,SUMPRODUCT(--($AN$2:$AN$4001&lt;$AN1388))+1,"")</f>
        <v/>
      </c>
      <c r="AL1388">
        <f>IF($C1388="","",IF(OR($Q1388=TRUE(),$Q1388="TRUE"),1,0))</f>
        <v/>
      </c>
      <c r="AM1388">
        <f>IF($C1388="","",IF($W1388="Yes",1,0))</f>
        <v/>
      </c>
      <c r="AN1388">
        <f>IF($AJ1388=1,IFERROR(IF(VALUE($C1388)&lt;100000000,VALUE($C1388),1000000000),IFERROR(IF(VALUE(MID($C1388,2,20))&lt;100000000,VALUE(MID($C1388,2,20)),1000000000),1000000000))+ROW()/100000,"")</f>
        <v/>
      </c>
    </row>
    <row r="1389">
      <c r="E1389" s="11" t="n"/>
      <c r="M1389" s="7">
        <f>IF($C1389="","",L1389*U1389/100)</f>
        <v/>
      </c>
      <c r="N1389" s="7" t="n"/>
      <c r="T1389" s="7" t="n"/>
      <c r="U1389" s="7">
        <f>IF($C1389="","",S1389*T1389)</f>
        <v/>
      </c>
      <c r="X1389">
        <f>IF($C1389="","",IF($AM1389=1,0,IF($AL1389=1,Settings!$C$6,Settings!$C$7))*100)</f>
        <v/>
      </c>
      <c r="AB1389" s="7" t="n"/>
      <c r="AE1389" s="11" t="n"/>
      <c r="AG1389" s="7">
        <f>IF($C1389="","",U1389*X1389/100)</f>
        <v/>
      </c>
      <c r="AH1389" s="7">
        <f>IF($C1389="","",U1389-AG1389)</f>
        <v/>
      </c>
      <c r="AI1389" s="7">
        <f>IF($C1389="","",AH1389-M1389)</f>
        <v/>
      </c>
      <c r="AJ1389">
        <f>IF($C1389="","",IF(COUNTIF($C$2:$C1389,$C1389)=1,1,0))</f>
        <v/>
      </c>
      <c r="AK1389">
        <f>IF($AJ1389=1,SUMPRODUCT(--($AN$2:$AN$4001&lt;$AN1389))+1,"")</f>
        <v/>
      </c>
      <c r="AL1389">
        <f>IF($C1389="","",IF(OR($Q1389=TRUE(),$Q1389="TRUE"),1,0))</f>
        <v/>
      </c>
      <c r="AM1389">
        <f>IF($C1389="","",IF($W1389="Yes",1,0))</f>
        <v/>
      </c>
      <c r="AN1389">
        <f>IF($AJ1389=1,IFERROR(IF(VALUE($C1389)&lt;100000000,VALUE($C1389),1000000000),IFERROR(IF(VALUE(MID($C1389,2,20))&lt;100000000,VALUE(MID($C1389,2,20)),1000000000),1000000000))+ROW()/100000,"")</f>
        <v/>
      </c>
    </row>
    <row r="1390">
      <c r="E1390" s="11" t="n"/>
      <c r="M1390" s="7">
        <f>IF($C1390="","",L1390*U1390/100)</f>
        <v/>
      </c>
      <c r="N1390" s="7" t="n"/>
      <c r="T1390" s="7" t="n"/>
      <c r="U1390" s="7">
        <f>IF($C1390="","",S1390*T1390)</f>
        <v/>
      </c>
      <c r="X1390">
        <f>IF($C1390="","",IF($AM1390=1,0,IF($AL1390=1,Settings!$C$6,Settings!$C$7))*100)</f>
        <v/>
      </c>
      <c r="AB1390" s="7" t="n"/>
      <c r="AE1390" s="11" t="n"/>
      <c r="AG1390" s="7">
        <f>IF($C1390="","",U1390*X1390/100)</f>
        <v/>
      </c>
      <c r="AH1390" s="7">
        <f>IF($C1390="","",U1390-AG1390)</f>
        <v/>
      </c>
      <c r="AI1390" s="7">
        <f>IF($C1390="","",AH1390-M1390)</f>
        <v/>
      </c>
      <c r="AJ1390">
        <f>IF($C1390="","",IF(COUNTIF($C$2:$C1390,$C1390)=1,1,0))</f>
        <v/>
      </c>
      <c r="AK1390">
        <f>IF($AJ1390=1,SUMPRODUCT(--($AN$2:$AN$4001&lt;$AN1390))+1,"")</f>
        <v/>
      </c>
      <c r="AL1390">
        <f>IF($C1390="","",IF(OR($Q1390=TRUE(),$Q1390="TRUE"),1,0))</f>
        <v/>
      </c>
      <c r="AM1390">
        <f>IF($C1390="","",IF($W1390="Yes",1,0))</f>
        <v/>
      </c>
      <c r="AN1390">
        <f>IF($AJ1390=1,IFERROR(IF(VALUE($C1390)&lt;100000000,VALUE($C1390),1000000000),IFERROR(IF(VALUE(MID($C1390,2,20))&lt;100000000,VALUE(MID($C1390,2,20)),1000000000),1000000000))+ROW()/100000,"")</f>
        <v/>
      </c>
    </row>
    <row r="1391">
      <c r="E1391" s="11" t="n"/>
      <c r="M1391" s="7">
        <f>IF($C1391="","",L1391*U1391/100)</f>
        <v/>
      </c>
      <c r="N1391" s="7" t="n"/>
      <c r="T1391" s="7" t="n"/>
      <c r="U1391" s="7">
        <f>IF($C1391="","",S1391*T1391)</f>
        <v/>
      </c>
      <c r="X1391">
        <f>IF($C1391="","",IF($AM1391=1,0,IF($AL1391=1,Settings!$C$6,Settings!$C$7))*100)</f>
        <v/>
      </c>
      <c r="AB1391" s="7" t="n"/>
      <c r="AE1391" s="11" t="n"/>
      <c r="AG1391" s="7">
        <f>IF($C1391="","",U1391*X1391/100)</f>
        <v/>
      </c>
      <c r="AH1391" s="7">
        <f>IF($C1391="","",U1391-AG1391)</f>
        <v/>
      </c>
      <c r="AI1391" s="7">
        <f>IF($C1391="","",AH1391-M1391)</f>
        <v/>
      </c>
      <c r="AJ1391">
        <f>IF($C1391="","",IF(COUNTIF($C$2:$C1391,$C1391)=1,1,0))</f>
        <v/>
      </c>
      <c r="AK1391">
        <f>IF($AJ1391=1,SUMPRODUCT(--($AN$2:$AN$4001&lt;$AN1391))+1,"")</f>
        <v/>
      </c>
      <c r="AL1391">
        <f>IF($C1391="","",IF(OR($Q1391=TRUE(),$Q1391="TRUE"),1,0))</f>
        <v/>
      </c>
      <c r="AM1391">
        <f>IF($C1391="","",IF($W1391="Yes",1,0))</f>
        <v/>
      </c>
      <c r="AN1391">
        <f>IF($AJ1391=1,IFERROR(IF(VALUE($C1391)&lt;100000000,VALUE($C1391),1000000000),IFERROR(IF(VALUE(MID($C1391,2,20))&lt;100000000,VALUE(MID($C1391,2,20)),1000000000),1000000000))+ROW()/100000,"")</f>
        <v/>
      </c>
    </row>
    <row r="1392">
      <c r="E1392" s="11" t="n"/>
      <c r="M1392" s="7">
        <f>IF($C1392="","",L1392*U1392/100)</f>
        <v/>
      </c>
      <c r="N1392" s="7" t="n"/>
      <c r="T1392" s="7" t="n"/>
      <c r="U1392" s="7">
        <f>IF($C1392="","",S1392*T1392)</f>
        <v/>
      </c>
      <c r="X1392">
        <f>IF($C1392="","",IF($AM1392=1,0,IF($AL1392=1,Settings!$C$6,Settings!$C$7))*100)</f>
        <v/>
      </c>
      <c r="AB1392" s="7" t="n"/>
      <c r="AE1392" s="11" t="n"/>
      <c r="AG1392" s="7">
        <f>IF($C1392="","",U1392*X1392/100)</f>
        <v/>
      </c>
      <c r="AH1392" s="7">
        <f>IF($C1392="","",U1392-AG1392)</f>
        <v/>
      </c>
      <c r="AI1392" s="7">
        <f>IF($C1392="","",AH1392-M1392)</f>
        <v/>
      </c>
      <c r="AJ1392">
        <f>IF($C1392="","",IF(COUNTIF($C$2:$C1392,$C1392)=1,1,0))</f>
        <v/>
      </c>
      <c r="AK1392">
        <f>IF($AJ1392=1,SUMPRODUCT(--($AN$2:$AN$4001&lt;$AN1392))+1,"")</f>
        <v/>
      </c>
      <c r="AL1392">
        <f>IF($C1392="","",IF(OR($Q1392=TRUE(),$Q1392="TRUE"),1,0))</f>
        <v/>
      </c>
      <c r="AM1392">
        <f>IF($C1392="","",IF($W1392="Yes",1,0))</f>
        <v/>
      </c>
      <c r="AN1392">
        <f>IF($AJ1392=1,IFERROR(IF(VALUE($C1392)&lt;100000000,VALUE($C1392),1000000000),IFERROR(IF(VALUE(MID($C1392,2,20))&lt;100000000,VALUE(MID($C1392,2,20)),1000000000),1000000000))+ROW()/100000,"")</f>
        <v/>
      </c>
    </row>
    <row r="1393">
      <c r="E1393" s="11" t="n"/>
      <c r="M1393" s="7">
        <f>IF($C1393="","",L1393*U1393/100)</f>
        <v/>
      </c>
      <c r="N1393" s="7" t="n"/>
      <c r="T1393" s="7" t="n"/>
      <c r="U1393" s="7">
        <f>IF($C1393="","",S1393*T1393)</f>
        <v/>
      </c>
      <c r="X1393">
        <f>IF($C1393="","",IF($AM1393=1,0,IF($AL1393=1,Settings!$C$6,Settings!$C$7))*100)</f>
        <v/>
      </c>
      <c r="AB1393" s="7" t="n"/>
      <c r="AE1393" s="11" t="n"/>
      <c r="AG1393" s="7">
        <f>IF($C1393="","",U1393*X1393/100)</f>
        <v/>
      </c>
      <c r="AH1393" s="7">
        <f>IF($C1393="","",U1393-AG1393)</f>
        <v/>
      </c>
      <c r="AI1393" s="7">
        <f>IF($C1393="","",AH1393-M1393)</f>
        <v/>
      </c>
      <c r="AJ1393">
        <f>IF($C1393="","",IF(COUNTIF($C$2:$C1393,$C1393)=1,1,0))</f>
        <v/>
      </c>
      <c r="AK1393">
        <f>IF($AJ1393=1,SUMPRODUCT(--($AN$2:$AN$4001&lt;$AN1393))+1,"")</f>
        <v/>
      </c>
      <c r="AL1393">
        <f>IF($C1393="","",IF(OR($Q1393=TRUE(),$Q1393="TRUE"),1,0))</f>
        <v/>
      </c>
      <c r="AM1393">
        <f>IF($C1393="","",IF($W1393="Yes",1,0))</f>
        <v/>
      </c>
      <c r="AN1393">
        <f>IF($AJ1393=1,IFERROR(IF(VALUE($C1393)&lt;100000000,VALUE($C1393),1000000000),IFERROR(IF(VALUE(MID($C1393,2,20))&lt;100000000,VALUE(MID($C1393,2,20)),1000000000),1000000000))+ROW()/100000,"")</f>
        <v/>
      </c>
    </row>
    <row r="1394">
      <c r="E1394" s="11" t="n"/>
      <c r="M1394" s="7">
        <f>IF($C1394="","",L1394*U1394/100)</f>
        <v/>
      </c>
      <c r="N1394" s="7" t="n"/>
      <c r="T1394" s="7" t="n"/>
      <c r="U1394" s="7">
        <f>IF($C1394="","",S1394*T1394)</f>
        <v/>
      </c>
      <c r="X1394">
        <f>IF($C1394="","",IF($AM1394=1,0,IF($AL1394=1,Settings!$C$6,Settings!$C$7))*100)</f>
        <v/>
      </c>
      <c r="AB1394" s="7" t="n"/>
      <c r="AE1394" s="11" t="n"/>
      <c r="AG1394" s="7">
        <f>IF($C1394="","",U1394*X1394/100)</f>
        <v/>
      </c>
      <c r="AH1394" s="7">
        <f>IF($C1394="","",U1394-AG1394)</f>
        <v/>
      </c>
      <c r="AI1394" s="7">
        <f>IF($C1394="","",AH1394-M1394)</f>
        <v/>
      </c>
      <c r="AJ1394">
        <f>IF($C1394="","",IF(COUNTIF($C$2:$C1394,$C1394)=1,1,0))</f>
        <v/>
      </c>
      <c r="AK1394">
        <f>IF($AJ1394=1,SUMPRODUCT(--($AN$2:$AN$4001&lt;$AN1394))+1,"")</f>
        <v/>
      </c>
      <c r="AL1394">
        <f>IF($C1394="","",IF(OR($Q1394=TRUE(),$Q1394="TRUE"),1,0))</f>
        <v/>
      </c>
      <c r="AM1394">
        <f>IF($C1394="","",IF($W1394="Yes",1,0))</f>
        <v/>
      </c>
      <c r="AN1394">
        <f>IF($AJ1394=1,IFERROR(IF(VALUE($C1394)&lt;100000000,VALUE($C1394),1000000000),IFERROR(IF(VALUE(MID($C1394,2,20))&lt;100000000,VALUE(MID($C1394,2,20)),1000000000),1000000000))+ROW()/100000,"")</f>
        <v/>
      </c>
    </row>
    <row r="1395">
      <c r="E1395" s="11" t="n"/>
      <c r="M1395" s="7">
        <f>IF($C1395="","",L1395*U1395/100)</f>
        <v/>
      </c>
      <c r="N1395" s="7" t="n"/>
      <c r="T1395" s="7" t="n"/>
      <c r="U1395" s="7">
        <f>IF($C1395="","",S1395*T1395)</f>
        <v/>
      </c>
      <c r="X1395">
        <f>IF($C1395="","",IF($AM1395=1,0,IF($AL1395=1,Settings!$C$6,Settings!$C$7))*100)</f>
        <v/>
      </c>
      <c r="AB1395" s="7" t="n"/>
      <c r="AE1395" s="11" t="n"/>
      <c r="AG1395" s="7">
        <f>IF($C1395="","",U1395*X1395/100)</f>
        <v/>
      </c>
      <c r="AH1395" s="7">
        <f>IF($C1395="","",U1395-AG1395)</f>
        <v/>
      </c>
      <c r="AI1395" s="7">
        <f>IF($C1395="","",AH1395-M1395)</f>
        <v/>
      </c>
      <c r="AJ1395">
        <f>IF($C1395="","",IF(COUNTIF($C$2:$C1395,$C1395)=1,1,0))</f>
        <v/>
      </c>
      <c r="AK1395">
        <f>IF($AJ1395=1,SUMPRODUCT(--($AN$2:$AN$4001&lt;$AN1395))+1,"")</f>
        <v/>
      </c>
      <c r="AL1395">
        <f>IF($C1395="","",IF(OR($Q1395=TRUE(),$Q1395="TRUE"),1,0))</f>
        <v/>
      </c>
      <c r="AM1395">
        <f>IF($C1395="","",IF($W1395="Yes",1,0))</f>
        <v/>
      </c>
      <c r="AN1395">
        <f>IF($AJ1395=1,IFERROR(IF(VALUE($C1395)&lt;100000000,VALUE($C1395),1000000000),IFERROR(IF(VALUE(MID($C1395,2,20))&lt;100000000,VALUE(MID($C1395,2,20)),1000000000),1000000000))+ROW()/100000,"")</f>
        <v/>
      </c>
    </row>
    <row r="1396">
      <c r="E1396" s="11" t="n"/>
      <c r="M1396" s="7">
        <f>IF($C1396="","",L1396*U1396/100)</f>
        <v/>
      </c>
      <c r="N1396" s="7" t="n"/>
      <c r="T1396" s="7" t="n"/>
      <c r="U1396" s="7">
        <f>IF($C1396="","",S1396*T1396)</f>
        <v/>
      </c>
      <c r="X1396">
        <f>IF($C1396="","",IF($AM1396=1,0,IF($AL1396=1,Settings!$C$6,Settings!$C$7))*100)</f>
        <v/>
      </c>
      <c r="AB1396" s="7" t="n"/>
      <c r="AE1396" s="11" t="n"/>
      <c r="AG1396" s="7">
        <f>IF($C1396="","",U1396*X1396/100)</f>
        <v/>
      </c>
      <c r="AH1396" s="7">
        <f>IF($C1396="","",U1396-AG1396)</f>
        <v/>
      </c>
      <c r="AI1396" s="7">
        <f>IF($C1396="","",AH1396-M1396)</f>
        <v/>
      </c>
      <c r="AJ1396">
        <f>IF($C1396="","",IF(COUNTIF($C$2:$C1396,$C1396)=1,1,0))</f>
        <v/>
      </c>
      <c r="AK1396">
        <f>IF($AJ1396=1,SUMPRODUCT(--($AN$2:$AN$4001&lt;$AN1396))+1,"")</f>
        <v/>
      </c>
      <c r="AL1396">
        <f>IF($C1396="","",IF(OR($Q1396=TRUE(),$Q1396="TRUE"),1,0))</f>
        <v/>
      </c>
      <c r="AM1396">
        <f>IF($C1396="","",IF($W1396="Yes",1,0))</f>
        <v/>
      </c>
      <c r="AN1396">
        <f>IF($AJ1396=1,IFERROR(IF(VALUE($C1396)&lt;100000000,VALUE($C1396),1000000000),IFERROR(IF(VALUE(MID($C1396,2,20))&lt;100000000,VALUE(MID($C1396,2,20)),1000000000),1000000000))+ROW()/100000,"")</f>
        <v/>
      </c>
    </row>
    <row r="1397">
      <c r="E1397" s="11" t="n"/>
      <c r="M1397" s="7">
        <f>IF($C1397="","",L1397*U1397/100)</f>
        <v/>
      </c>
      <c r="N1397" s="7" t="n"/>
      <c r="T1397" s="7" t="n"/>
      <c r="U1397" s="7">
        <f>IF($C1397="","",S1397*T1397)</f>
        <v/>
      </c>
      <c r="X1397">
        <f>IF($C1397="","",IF($AM1397=1,0,IF($AL1397=1,Settings!$C$6,Settings!$C$7))*100)</f>
        <v/>
      </c>
      <c r="AB1397" s="7" t="n"/>
      <c r="AE1397" s="11" t="n"/>
      <c r="AG1397" s="7">
        <f>IF($C1397="","",U1397*X1397/100)</f>
        <v/>
      </c>
      <c r="AH1397" s="7">
        <f>IF($C1397="","",U1397-AG1397)</f>
        <v/>
      </c>
      <c r="AI1397" s="7">
        <f>IF($C1397="","",AH1397-M1397)</f>
        <v/>
      </c>
      <c r="AJ1397">
        <f>IF($C1397="","",IF(COUNTIF($C$2:$C1397,$C1397)=1,1,0))</f>
        <v/>
      </c>
      <c r="AK1397">
        <f>IF($AJ1397=1,SUMPRODUCT(--($AN$2:$AN$4001&lt;$AN1397))+1,"")</f>
        <v/>
      </c>
      <c r="AL1397">
        <f>IF($C1397="","",IF(OR($Q1397=TRUE(),$Q1397="TRUE"),1,0))</f>
        <v/>
      </c>
      <c r="AM1397">
        <f>IF($C1397="","",IF($W1397="Yes",1,0))</f>
        <v/>
      </c>
      <c r="AN1397">
        <f>IF($AJ1397=1,IFERROR(IF(VALUE($C1397)&lt;100000000,VALUE($C1397),1000000000),IFERROR(IF(VALUE(MID($C1397,2,20))&lt;100000000,VALUE(MID($C1397,2,20)),1000000000),1000000000))+ROW()/100000,"")</f>
        <v/>
      </c>
    </row>
    <row r="1398">
      <c r="E1398" s="11" t="n"/>
      <c r="M1398" s="7">
        <f>IF($C1398="","",L1398*U1398/100)</f>
        <v/>
      </c>
      <c r="N1398" s="7" t="n"/>
      <c r="T1398" s="7" t="n"/>
      <c r="U1398" s="7">
        <f>IF($C1398="","",S1398*T1398)</f>
        <v/>
      </c>
      <c r="X1398">
        <f>IF($C1398="","",IF($AM1398=1,0,IF($AL1398=1,Settings!$C$6,Settings!$C$7))*100)</f>
        <v/>
      </c>
      <c r="AB1398" s="7" t="n"/>
      <c r="AE1398" s="11" t="n"/>
      <c r="AG1398" s="7">
        <f>IF($C1398="","",U1398*X1398/100)</f>
        <v/>
      </c>
      <c r="AH1398" s="7">
        <f>IF($C1398="","",U1398-AG1398)</f>
        <v/>
      </c>
      <c r="AI1398" s="7">
        <f>IF($C1398="","",AH1398-M1398)</f>
        <v/>
      </c>
      <c r="AJ1398">
        <f>IF($C1398="","",IF(COUNTIF($C$2:$C1398,$C1398)=1,1,0))</f>
        <v/>
      </c>
      <c r="AK1398">
        <f>IF($AJ1398=1,SUMPRODUCT(--($AN$2:$AN$4001&lt;$AN1398))+1,"")</f>
        <v/>
      </c>
      <c r="AL1398">
        <f>IF($C1398="","",IF(OR($Q1398=TRUE(),$Q1398="TRUE"),1,0))</f>
        <v/>
      </c>
      <c r="AM1398">
        <f>IF($C1398="","",IF($W1398="Yes",1,0))</f>
        <v/>
      </c>
      <c r="AN1398">
        <f>IF($AJ1398=1,IFERROR(IF(VALUE($C1398)&lt;100000000,VALUE($C1398),1000000000),IFERROR(IF(VALUE(MID($C1398,2,20))&lt;100000000,VALUE(MID($C1398,2,20)),1000000000),1000000000))+ROW()/100000,"")</f>
        <v/>
      </c>
    </row>
    <row r="1399">
      <c r="E1399" s="11" t="n"/>
      <c r="M1399" s="7">
        <f>IF($C1399="","",L1399*U1399/100)</f>
        <v/>
      </c>
      <c r="N1399" s="7" t="n"/>
      <c r="T1399" s="7" t="n"/>
      <c r="U1399" s="7">
        <f>IF($C1399="","",S1399*T1399)</f>
        <v/>
      </c>
      <c r="X1399">
        <f>IF($C1399="","",IF($AM1399=1,0,IF($AL1399=1,Settings!$C$6,Settings!$C$7))*100)</f>
        <v/>
      </c>
      <c r="AB1399" s="7" t="n"/>
      <c r="AE1399" s="11" t="n"/>
      <c r="AG1399" s="7">
        <f>IF($C1399="","",U1399*X1399/100)</f>
        <v/>
      </c>
      <c r="AH1399" s="7">
        <f>IF($C1399="","",U1399-AG1399)</f>
        <v/>
      </c>
      <c r="AI1399" s="7">
        <f>IF($C1399="","",AH1399-M1399)</f>
        <v/>
      </c>
      <c r="AJ1399">
        <f>IF($C1399="","",IF(COUNTIF($C$2:$C1399,$C1399)=1,1,0))</f>
        <v/>
      </c>
      <c r="AK1399">
        <f>IF($AJ1399=1,SUMPRODUCT(--($AN$2:$AN$4001&lt;$AN1399))+1,"")</f>
        <v/>
      </c>
      <c r="AL1399">
        <f>IF($C1399="","",IF(OR($Q1399=TRUE(),$Q1399="TRUE"),1,0))</f>
        <v/>
      </c>
      <c r="AM1399">
        <f>IF($C1399="","",IF($W1399="Yes",1,0))</f>
        <v/>
      </c>
      <c r="AN1399">
        <f>IF($AJ1399=1,IFERROR(IF(VALUE($C1399)&lt;100000000,VALUE($C1399),1000000000),IFERROR(IF(VALUE(MID($C1399,2,20))&lt;100000000,VALUE(MID($C1399,2,20)),1000000000),1000000000))+ROW()/100000,"")</f>
        <v/>
      </c>
    </row>
    <row r="1400">
      <c r="E1400" s="11" t="n"/>
      <c r="M1400" s="7">
        <f>IF($C1400="","",L1400*U1400/100)</f>
        <v/>
      </c>
      <c r="N1400" s="7" t="n"/>
      <c r="T1400" s="7" t="n"/>
      <c r="U1400" s="7">
        <f>IF($C1400="","",S1400*T1400)</f>
        <v/>
      </c>
      <c r="X1400">
        <f>IF($C1400="","",IF($AM1400=1,0,IF($AL1400=1,Settings!$C$6,Settings!$C$7))*100)</f>
        <v/>
      </c>
      <c r="AB1400" s="7" t="n"/>
      <c r="AE1400" s="11" t="n"/>
      <c r="AG1400" s="7">
        <f>IF($C1400="","",U1400*X1400/100)</f>
        <v/>
      </c>
      <c r="AH1400" s="7">
        <f>IF($C1400="","",U1400-AG1400)</f>
        <v/>
      </c>
      <c r="AI1400" s="7">
        <f>IF($C1400="","",AH1400-M1400)</f>
        <v/>
      </c>
      <c r="AJ1400">
        <f>IF($C1400="","",IF(COUNTIF($C$2:$C1400,$C1400)=1,1,0))</f>
        <v/>
      </c>
      <c r="AK1400">
        <f>IF($AJ1400=1,SUMPRODUCT(--($AN$2:$AN$4001&lt;$AN1400))+1,"")</f>
        <v/>
      </c>
      <c r="AL1400">
        <f>IF($C1400="","",IF(OR($Q1400=TRUE(),$Q1400="TRUE"),1,0))</f>
        <v/>
      </c>
      <c r="AM1400">
        <f>IF($C1400="","",IF($W1400="Yes",1,0))</f>
        <v/>
      </c>
      <c r="AN1400">
        <f>IF($AJ1400=1,IFERROR(IF(VALUE($C1400)&lt;100000000,VALUE($C1400),1000000000),IFERROR(IF(VALUE(MID($C1400,2,20))&lt;100000000,VALUE(MID($C1400,2,20)),1000000000),1000000000))+ROW()/100000,"")</f>
        <v/>
      </c>
    </row>
    <row r="1401">
      <c r="E1401" s="11" t="n"/>
      <c r="M1401" s="7">
        <f>IF($C1401="","",L1401*U1401/100)</f>
        <v/>
      </c>
      <c r="N1401" s="7" t="n"/>
      <c r="T1401" s="7" t="n"/>
      <c r="U1401" s="7">
        <f>IF($C1401="","",S1401*T1401)</f>
        <v/>
      </c>
      <c r="X1401">
        <f>IF($C1401="","",IF($AM1401=1,0,IF($AL1401=1,Settings!$C$6,Settings!$C$7))*100)</f>
        <v/>
      </c>
      <c r="AB1401" s="7" t="n"/>
      <c r="AE1401" s="11" t="n"/>
      <c r="AG1401" s="7">
        <f>IF($C1401="","",U1401*X1401/100)</f>
        <v/>
      </c>
      <c r="AH1401" s="7">
        <f>IF($C1401="","",U1401-AG1401)</f>
        <v/>
      </c>
      <c r="AI1401" s="7">
        <f>IF($C1401="","",AH1401-M1401)</f>
        <v/>
      </c>
      <c r="AJ1401">
        <f>IF($C1401="","",IF(COUNTIF($C$2:$C1401,$C1401)=1,1,0))</f>
        <v/>
      </c>
      <c r="AK1401">
        <f>IF($AJ1401=1,SUMPRODUCT(--($AN$2:$AN$4001&lt;$AN1401))+1,"")</f>
        <v/>
      </c>
      <c r="AL1401">
        <f>IF($C1401="","",IF(OR($Q1401=TRUE(),$Q1401="TRUE"),1,0))</f>
        <v/>
      </c>
      <c r="AM1401">
        <f>IF($C1401="","",IF($W1401="Yes",1,0))</f>
        <v/>
      </c>
      <c r="AN1401">
        <f>IF($AJ1401=1,IFERROR(IF(VALUE($C1401)&lt;100000000,VALUE($C1401),1000000000),IFERROR(IF(VALUE(MID($C1401,2,20))&lt;100000000,VALUE(MID($C1401,2,20)),1000000000),1000000000))+ROW()/100000,"")</f>
        <v/>
      </c>
    </row>
    <row r="1402">
      <c r="E1402" s="11" t="n"/>
      <c r="M1402" s="7">
        <f>IF($C1402="","",L1402*U1402/100)</f>
        <v/>
      </c>
      <c r="N1402" s="7" t="n"/>
      <c r="T1402" s="7" t="n"/>
      <c r="U1402" s="7">
        <f>IF($C1402="","",S1402*T1402)</f>
        <v/>
      </c>
      <c r="X1402">
        <f>IF($C1402="","",IF($AM1402=1,0,IF($AL1402=1,Settings!$C$6,Settings!$C$7))*100)</f>
        <v/>
      </c>
      <c r="AB1402" s="7" t="n"/>
      <c r="AE1402" s="11" t="n"/>
      <c r="AG1402" s="7">
        <f>IF($C1402="","",U1402*X1402/100)</f>
        <v/>
      </c>
      <c r="AH1402" s="7">
        <f>IF($C1402="","",U1402-AG1402)</f>
        <v/>
      </c>
      <c r="AI1402" s="7">
        <f>IF($C1402="","",AH1402-M1402)</f>
        <v/>
      </c>
      <c r="AJ1402">
        <f>IF($C1402="","",IF(COUNTIF($C$2:$C1402,$C1402)=1,1,0))</f>
        <v/>
      </c>
      <c r="AK1402">
        <f>IF($AJ1402=1,SUMPRODUCT(--($AN$2:$AN$4001&lt;$AN1402))+1,"")</f>
        <v/>
      </c>
      <c r="AL1402">
        <f>IF($C1402="","",IF(OR($Q1402=TRUE(),$Q1402="TRUE"),1,0))</f>
        <v/>
      </c>
      <c r="AM1402">
        <f>IF($C1402="","",IF($W1402="Yes",1,0))</f>
        <v/>
      </c>
      <c r="AN1402">
        <f>IF($AJ1402=1,IFERROR(IF(VALUE($C1402)&lt;100000000,VALUE($C1402),1000000000),IFERROR(IF(VALUE(MID($C1402,2,20))&lt;100000000,VALUE(MID($C1402,2,20)),1000000000),1000000000))+ROW()/100000,"")</f>
        <v/>
      </c>
    </row>
    <row r="1403">
      <c r="E1403" s="11" t="n"/>
      <c r="M1403" s="7">
        <f>IF($C1403="","",L1403*U1403/100)</f>
        <v/>
      </c>
      <c r="N1403" s="7" t="n"/>
      <c r="T1403" s="7" t="n"/>
      <c r="U1403" s="7">
        <f>IF($C1403="","",S1403*T1403)</f>
        <v/>
      </c>
      <c r="X1403">
        <f>IF($C1403="","",IF($AM1403=1,0,IF($AL1403=1,Settings!$C$6,Settings!$C$7))*100)</f>
        <v/>
      </c>
      <c r="AB1403" s="7" t="n"/>
      <c r="AE1403" s="11" t="n"/>
      <c r="AG1403" s="7">
        <f>IF($C1403="","",U1403*X1403/100)</f>
        <v/>
      </c>
      <c r="AH1403" s="7">
        <f>IF($C1403="","",U1403-AG1403)</f>
        <v/>
      </c>
      <c r="AI1403" s="7">
        <f>IF($C1403="","",AH1403-M1403)</f>
        <v/>
      </c>
      <c r="AJ1403">
        <f>IF($C1403="","",IF(COUNTIF($C$2:$C1403,$C1403)=1,1,0))</f>
        <v/>
      </c>
      <c r="AK1403">
        <f>IF($AJ1403=1,SUMPRODUCT(--($AN$2:$AN$4001&lt;$AN1403))+1,"")</f>
        <v/>
      </c>
      <c r="AL1403">
        <f>IF($C1403="","",IF(OR($Q1403=TRUE(),$Q1403="TRUE"),1,0))</f>
        <v/>
      </c>
      <c r="AM1403">
        <f>IF($C1403="","",IF($W1403="Yes",1,0))</f>
        <v/>
      </c>
      <c r="AN1403">
        <f>IF($AJ1403=1,IFERROR(IF(VALUE($C1403)&lt;100000000,VALUE($C1403),1000000000),IFERROR(IF(VALUE(MID($C1403,2,20))&lt;100000000,VALUE(MID($C1403,2,20)),1000000000),1000000000))+ROW()/100000,"")</f>
        <v/>
      </c>
    </row>
    <row r="1404">
      <c r="E1404" s="11" t="n"/>
      <c r="M1404" s="7">
        <f>IF($C1404="","",L1404*U1404/100)</f>
        <v/>
      </c>
      <c r="N1404" s="7" t="n"/>
      <c r="T1404" s="7" t="n"/>
      <c r="U1404" s="7">
        <f>IF($C1404="","",S1404*T1404)</f>
        <v/>
      </c>
      <c r="X1404">
        <f>IF($C1404="","",IF($AM1404=1,0,IF($AL1404=1,Settings!$C$6,Settings!$C$7))*100)</f>
        <v/>
      </c>
      <c r="AB1404" s="7" t="n"/>
      <c r="AE1404" s="11" t="n"/>
      <c r="AG1404" s="7">
        <f>IF($C1404="","",U1404*X1404/100)</f>
        <v/>
      </c>
      <c r="AH1404" s="7">
        <f>IF($C1404="","",U1404-AG1404)</f>
        <v/>
      </c>
      <c r="AI1404" s="7">
        <f>IF($C1404="","",AH1404-M1404)</f>
        <v/>
      </c>
      <c r="AJ1404">
        <f>IF($C1404="","",IF(COUNTIF($C$2:$C1404,$C1404)=1,1,0))</f>
        <v/>
      </c>
      <c r="AK1404">
        <f>IF($AJ1404=1,SUMPRODUCT(--($AN$2:$AN$4001&lt;$AN1404))+1,"")</f>
        <v/>
      </c>
      <c r="AL1404">
        <f>IF($C1404="","",IF(OR($Q1404=TRUE(),$Q1404="TRUE"),1,0))</f>
        <v/>
      </c>
      <c r="AM1404">
        <f>IF($C1404="","",IF($W1404="Yes",1,0))</f>
        <v/>
      </c>
      <c r="AN1404">
        <f>IF($AJ1404=1,IFERROR(IF(VALUE($C1404)&lt;100000000,VALUE($C1404),1000000000),IFERROR(IF(VALUE(MID($C1404,2,20))&lt;100000000,VALUE(MID($C1404,2,20)),1000000000),1000000000))+ROW()/100000,"")</f>
        <v/>
      </c>
    </row>
    <row r="1405">
      <c r="E1405" s="11" t="n"/>
      <c r="M1405" s="7">
        <f>IF($C1405="","",L1405*U1405/100)</f>
        <v/>
      </c>
      <c r="N1405" s="7" t="n"/>
      <c r="T1405" s="7" t="n"/>
      <c r="U1405" s="7">
        <f>IF($C1405="","",S1405*T1405)</f>
        <v/>
      </c>
      <c r="X1405">
        <f>IF($C1405="","",IF($AM1405=1,0,IF($AL1405=1,Settings!$C$6,Settings!$C$7))*100)</f>
        <v/>
      </c>
      <c r="AB1405" s="7" t="n"/>
      <c r="AE1405" s="11" t="n"/>
      <c r="AG1405" s="7">
        <f>IF($C1405="","",U1405*X1405/100)</f>
        <v/>
      </c>
      <c r="AH1405" s="7">
        <f>IF($C1405="","",U1405-AG1405)</f>
        <v/>
      </c>
      <c r="AI1405" s="7">
        <f>IF($C1405="","",AH1405-M1405)</f>
        <v/>
      </c>
      <c r="AJ1405">
        <f>IF($C1405="","",IF(COUNTIF($C$2:$C1405,$C1405)=1,1,0))</f>
        <v/>
      </c>
      <c r="AK1405">
        <f>IF($AJ1405=1,SUMPRODUCT(--($AN$2:$AN$4001&lt;$AN1405))+1,"")</f>
        <v/>
      </c>
      <c r="AL1405">
        <f>IF($C1405="","",IF(OR($Q1405=TRUE(),$Q1405="TRUE"),1,0))</f>
        <v/>
      </c>
      <c r="AM1405">
        <f>IF($C1405="","",IF($W1405="Yes",1,0))</f>
        <v/>
      </c>
      <c r="AN1405">
        <f>IF($AJ1405=1,IFERROR(IF(VALUE($C1405)&lt;100000000,VALUE($C1405),1000000000),IFERROR(IF(VALUE(MID($C1405,2,20))&lt;100000000,VALUE(MID($C1405,2,20)),1000000000),1000000000))+ROW()/100000,"")</f>
        <v/>
      </c>
    </row>
    <row r="1406">
      <c r="E1406" s="11" t="n"/>
      <c r="M1406" s="7">
        <f>IF($C1406="","",L1406*U1406/100)</f>
        <v/>
      </c>
      <c r="N1406" s="7" t="n"/>
      <c r="T1406" s="7" t="n"/>
      <c r="U1406" s="7">
        <f>IF($C1406="","",S1406*T1406)</f>
        <v/>
      </c>
      <c r="X1406">
        <f>IF($C1406="","",IF($AM1406=1,0,IF($AL1406=1,Settings!$C$6,Settings!$C$7))*100)</f>
        <v/>
      </c>
      <c r="AB1406" s="7" t="n"/>
      <c r="AE1406" s="11" t="n"/>
      <c r="AG1406" s="7">
        <f>IF($C1406="","",U1406*X1406/100)</f>
        <v/>
      </c>
      <c r="AH1406" s="7">
        <f>IF($C1406="","",U1406-AG1406)</f>
        <v/>
      </c>
      <c r="AI1406" s="7">
        <f>IF($C1406="","",AH1406-M1406)</f>
        <v/>
      </c>
      <c r="AJ1406">
        <f>IF($C1406="","",IF(COUNTIF($C$2:$C1406,$C1406)=1,1,0))</f>
        <v/>
      </c>
      <c r="AK1406">
        <f>IF($AJ1406=1,SUMPRODUCT(--($AN$2:$AN$4001&lt;$AN1406))+1,"")</f>
        <v/>
      </c>
      <c r="AL1406">
        <f>IF($C1406="","",IF(OR($Q1406=TRUE(),$Q1406="TRUE"),1,0))</f>
        <v/>
      </c>
      <c r="AM1406">
        <f>IF($C1406="","",IF($W1406="Yes",1,0))</f>
        <v/>
      </c>
      <c r="AN1406">
        <f>IF($AJ1406=1,IFERROR(IF(VALUE($C1406)&lt;100000000,VALUE($C1406),1000000000),IFERROR(IF(VALUE(MID($C1406,2,20))&lt;100000000,VALUE(MID($C1406,2,20)),1000000000),1000000000))+ROW()/100000,"")</f>
        <v/>
      </c>
    </row>
    <row r="1407">
      <c r="E1407" s="11" t="n"/>
      <c r="M1407" s="7">
        <f>IF($C1407="","",L1407*U1407/100)</f>
        <v/>
      </c>
      <c r="N1407" s="7" t="n"/>
      <c r="T1407" s="7" t="n"/>
      <c r="U1407" s="7">
        <f>IF($C1407="","",S1407*T1407)</f>
        <v/>
      </c>
      <c r="X1407">
        <f>IF($C1407="","",IF($AM1407=1,0,IF($AL1407=1,Settings!$C$6,Settings!$C$7))*100)</f>
        <v/>
      </c>
      <c r="AB1407" s="7" t="n"/>
      <c r="AE1407" s="11" t="n"/>
      <c r="AG1407" s="7">
        <f>IF($C1407="","",U1407*X1407/100)</f>
        <v/>
      </c>
      <c r="AH1407" s="7">
        <f>IF($C1407="","",U1407-AG1407)</f>
        <v/>
      </c>
      <c r="AI1407" s="7">
        <f>IF($C1407="","",AH1407-M1407)</f>
        <v/>
      </c>
      <c r="AJ1407">
        <f>IF($C1407="","",IF(COUNTIF($C$2:$C1407,$C1407)=1,1,0))</f>
        <v/>
      </c>
      <c r="AK1407">
        <f>IF($AJ1407=1,SUMPRODUCT(--($AN$2:$AN$4001&lt;$AN1407))+1,"")</f>
        <v/>
      </c>
      <c r="AL1407">
        <f>IF($C1407="","",IF(OR($Q1407=TRUE(),$Q1407="TRUE"),1,0))</f>
        <v/>
      </c>
      <c r="AM1407">
        <f>IF($C1407="","",IF($W1407="Yes",1,0))</f>
        <v/>
      </c>
      <c r="AN1407">
        <f>IF($AJ1407=1,IFERROR(IF(VALUE($C1407)&lt;100000000,VALUE($C1407),1000000000),IFERROR(IF(VALUE(MID($C1407,2,20))&lt;100000000,VALUE(MID($C1407,2,20)),1000000000),1000000000))+ROW()/100000,"")</f>
        <v/>
      </c>
    </row>
    <row r="1408">
      <c r="E1408" s="11" t="n"/>
      <c r="M1408" s="7">
        <f>IF($C1408="","",L1408*U1408/100)</f>
        <v/>
      </c>
      <c r="N1408" s="7" t="n"/>
      <c r="T1408" s="7" t="n"/>
      <c r="U1408" s="7">
        <f>IF($C1408="","",S1408*T1408)</f>
        <v/>
      </c>
      <c r="X1408">
        <f>IF($C1408="","",IF($AM1408=1,0,IF($AL1408=1,Settings!$C$6,Settings!$C$7))*100)</f>
        <v/>
      </c>
      <c r="AB1408" s="7" t="n"/>
      <c r="AE1408" s="11" t="n"/>
      <c r="AG1408" s="7">
        <f>IF($C1408="","",U1408*X1408/100)</f>
        <v/>
      </c>
      <c r="AH1408" s="7">
        <f>IF($C1408="","",U1408-AG1408)</f>
        <v/>
      </c>
      <c r="AI1408" s="7">
        <f>IF($C1408="","",AH1408-M1408)</f>
        <v/>
      </c>
      <c r="AJ1408">
        <f>IF($C1408="","",IF(COUNTIF($C$2:$C1408,$C1408)=1,1,0))</f>
        <v/>
      </c>
      <c r="AK1408">
        <f>IF($AJ1408=1,SUMPRODUCT(--($AN$2:$AN$4001&lt;$AN1408))+1,"")</f>
        <v/>
      </c>
      <c r="AL1408">
        <f>IF($C1408="","",IF(OR($Q1408=TRUE(),$Q1408="TRUE"),1,0))</f>
        <v/>
      </c>
      <c r="AM1408">
        <f>IF($C1408="","",IF($W1408="Yes",1,0))</f>
        <v/>
      </c>
      <c r="AN1408">
        <f>IF($AJ1408=1,IFERROR(IF(VALUE($C1408)&lt;100000000,VALUE($C1408),1000000000),IFERROR(IF(VALUE(MID($C1408,2,20))&lt;100000000,VALUE(MID($C1408,2,20)),1000000000),1000000000))+ROW()/100000,"")</f>
        <v/>
      </c>
    </row>
    <row r="1409">
      <c r="E1409" s="11" t="n"/>
      <c r="M1409" s="7">
        <f>IF($C1409="","",L1409*U1409/100)</f>
        <v/>
      </c>
      <c r="N1409" s="7" t="n"/>
      <c r="T1409" s="7" t="n"/>
      <c r="U1409" s="7">
        <f>IF($C1409="","",S1409*T1409)</f>
        <v/>
      </c>
      <c r="X1409">
        <f>IF($C1409="","",IF($AM1409=1,0,IF($AL1409=1,Settings!$C$6,Settings!$C$7))*100)</f>
        <v/>
      </c>
      <c r="AB1409" s="7" t="n"/>
      <c r="AE1409" s="11" t="n"/>
      <c r="AG1409" s="7">
        <f>IF($C1409="","",U1409*X1409/100)</f>
        <v/>
      </c>
      <c r="AH1409" s="7">
        <f>IF($C1409="","",U1409-AG1409)</f>
        <v/>
      </c>
      <c r="AI1409" s="7">
        <f>IF($C1409="","",AH1409-M1409)</f>
        <v/>
      </c>
      <c r="AJ1409">
        <f>IF($C1409="","",IF(COUNTIF($C$2:$C1409,$C1409)=1,1,0))</f>
        <v/>
      </c>
      <c r="AK1409">
        <f>IF($AJ1409=1,SUMPRODUCT(--($AN$2:$AN$4001&lt;$AN1409))+1,"")</f>
        <v/>
      </c>
      <c r="AL1409">
        <f>IF($C1409="","",IF(OR($Q1409=TRUE(),$Q1409="TRUE"),1,0))</f>
        <v/>
      </c>
      <c r="AM1409">
        <f>IF($C1409="","",IF($W1409="Yes",1,0))</f>
        <v/>
      </c>
      <c r="AN1409">
        <f>IF($AJ1409=1,IFERROR(IF(VALUE($C1409)&lt;100000000,VALUE($C1409),1000000000),IFERROR(IF(VALUE(MID($C1409,2,20))&lt;100000000,VALUE(MID($C1409,2,20)),1000000000),1000000000))+ROW()/100000,"")</f>
        <v/>
      </c>
    </row>
    <row r="1410">
      <c r="E1410" s="11" t="n"/>
      <c r="M1410" s="7">
        <f>IF($C1410="","",L1410*U1410/100)</f>
        <v/>
      </c>
      <c r="N1410" s="7" t="n"/>
      <c r="T1410" s="7" t="n"/>
      <c r="U1410" s="7">
        <f>IF($C1410="","",S1410*T1410)</f>
        <v/>
      </c>
      <c r="X1410">
        <f>IF($C1410="","",IF($AM1410=1,0,IF($AL1410=1,Settings!$C$6,Settings!$C$7))*100)</f>
        <v/>
      </c>
      <c r="AB1410" s="7" t="n"/>
      <c r="AE1410" s="11" t="n"/>
      <c r="AG1410" s="7">
        <f>IF($C1410="","",U1410*X1410/100)</f>
        <v/>
      </c>
      <c r="AH1410" s="7">
        <f>IF($C1410="","",U1410-AG1410)</f>
        <v/>
      </c>
      <c r="AI1410" s="7">
        <f>IF($C1410="","",AH1410-M1410)</f>
        <v/>
      </c>
      <c r="AJ1410">
        <f>IF($C1410="","",IF(COUNTIF($C$2:$C1410,$C1410)=1,1,0))</f>
        <v/>
      </c>
      <c r="AK1410">
        <f>IF($AJ1410=1,SUMPRODUCT(--($AN$2:$AN$4001&lt;$AN1410))+1,"")</f>
        <v/>
      </c>
      <c r="AL1410">
        <f>IF($C1410="","",IF(OR($Q1410=TRUE(),$Q1410="TRUE"),1,0))</f>
        <v/>
      </c>
      <c r="AM1410">
        <f>IF($C1410="","",IF($W1410="Yes",1,0))</f>
        <v/>
      </c>
      <c r="AN1410">
        <f>IF($AJ1410=1,IFERROR(IF(VALUE($C1410)&lt;100000000,VALUE($C1410),1000000000),IFERROR(IF(VALUE(MID($C1410,2,20))&lt;100000000,VALUE(MID($C1410,2,20)),1000000000),1000000000))+ROW()/100000,"")</f>
        <v/>
      </c>
    </row>
    <row r="1411">
      <c r="E1411" s="11" t="n"/>
      <c r="M1411" s="7">
        <f>IF($C1411="","",L1411*U1411/100)</f>
        <v/>
      </c>
      <c r="N1411" s="7" t="n"/>
      <c r="T1411" s="7" t="n"/>
      <c r="U1411" s="7">
        <f>IF($C1411="","",S1411*T1411)</f>
        <v/>
      </c>
      <c r="X1411">
        <f>IF($C1411="","",IF($AM1411=1,0,IF($AL1411=1,Settings!$C$6,Settings!$C$7))*100)</f>
        <v/>
      </c>
      <c r="AB1411" s="7" t="n"/>
      <c r="AE1411" s="11" t="n"/>
      <c r="AG1411" s="7">
        <f>IF($C1411="","",U1411*X1411/100)</f>
        <v/>
      </c>
      <c r="AH1411" s="7">
        <f>IF($C1411="","",U1411-AG1411)</f>
        <v/>
      </c>
      <c r="AI1411" s="7">
        <f>IF($C1411="","",AH1411-M1411)</f>
        <v/>
      </c>
      <c r="AJ1411">
        <f>IF($C1411="","",IF(COUNTIF($C$2:$C1411,$C1411)=1,1,0))</f>
        <v/>
      </c>
      <c r="AK1411">
        <f>IF($AJ1411=1,SUMPRODUCT(--($AN$2:$AN$4001&lt;$AN1411))+1,"")</f>
        <v/>
      </c>
      <c r="AL1411">
        <f>IF($C1411="","",IF(OR($Q1411=TRUE(),$Q1411="TRUE"),1,0))</f>
        <v/>
      </c>
      <c r="AM1411">
        <f>IF($C1411="","",IF($W1411="Yes",1,0))</f>
        <v/>
      </c>
      <c r="AN1411">
        <f>IF($AJ1411=1,IFERROR(IF(VALUE($C1411)&lt;100000000,VALUE($C1411),1000000000),IFERROR(IF(VALUE(MID($C1411,2,20))&lt;100000000,VALUE(MID($C1411,2,20)),1000000000),1000000000))+ROW()/100000,"")</f>
        <v/>
      </c>
    </row>
    <row r="1412">
      <c r="E1412" s="11" t="n"/>
      <c r="M1412" s="7">
        <f>IF($C1412="","",L1412*U1412/100)</f>
        <v/>
      </c>
      <c r="N1412" s="7" t="n"/>
      <c r="T1412" s="7" t="n"/>
      <c r="U1412" s="7">
        <f>IF($C1412="","",S1412*T1412)</f>
        <v/>
      </c>
      <c r="X1412">
        <f>IF($C1412="","",IF($AM1412=1,0,IF($AL1412=1,Settings!$C$6,Settings!$C$7))*100)</f>
        <v/>
      </c>
      <c r="AB1412" s="7" t="n"/>
      <c r="AE1412" s="11" t="n"/>
      <c r="AG1412" s="7">
        <f>IF($C1412="","",U1412*X1412/100)</f>
        <v/>
      </c>
      <c r="AH1412" s="7">
        <f>IF($C1412="","",U1412-AG1412)</f>
        <v/>
      </c>
      <c r="AI1412" s="7">
        <f>IF($C1412="","",AH1412-M1412)</f>
        <v/>
      </c>
      <c r="AJ1412">
        <f>IF($C1412="","",IF(COUNTIF($C$2:$C1412,$C1412)=1,1,0))</f>
        <v/>
      </c>
      <c r="AK1412">
        <f>IF($AJ1412=1,SUMPRODUCT(--($AN$2:$AN$4001&lt;$AN1412))+1,"")</f>
        <v/>
      </c>
      <c r="AL1412">
        <f>IF($C1412="","",IF(OR($Q1412=TRUE(),$Q1412="TRUE"),1,0))</f>
        <v/>
      </c>
      <c r="AM1412">
        <f>IF($C1412="","",IF($W1412="Yes",1,0))</f>
        <v/>
      </c>
      <c r="AN1412">
        <f>IF($AJ1412=1,IFERROR(IF(VALUE($C1412)&lt;100000000,VALUE($C1412),1000000000),IFERROR(IF(VALUE(MID($C1412,2,20))&lt;100000000,VALUE(MID($C1412,2,20)),1000000000),1000000000))+ROW()/100000,"")</f>
        <v/>
      </c>
    </row>
    <row r="1413">
      <c r="E1413" s="11" t="n"/>
      <c r="M1413" s="7">
        <f>IF($C1413="","",L1413*U1413/100)</f>
        <v/>
      </c>
      <c r="N1413" s="7" t="n"/>
      <c r="T1413" s="7" t="n"/>
      <c r="U1413" s="7">
        <f>IF($C1413="","",S1413*T1413)</f>
        <v/>
      </c>
      <c r="X1413">
        <f>IF($C1413="","",IF($AM1413=1,0,IF($AL1413=1,Settings!$C$6,Settings!$C$7))*100)</f>
        <v/>
      </c>
      <c r="AB1413" s="7" t="n"/>
      <c r="AE1413" s="11" t="n"/>
      <c r="AG1413" s="7">
        <f>IF($C1413="","",U1413*X1413/100)</f>
        <v/>
      </c>
      <c r="AH1413" s="7">
        <f>IF($C1413="","",U1413-AG1413)</f>
        <v/>
      </c>
      <c r="AI1413" s="7">
        <f>IF($C1413="","",AH1413-M1413)</f>
        <v/>
      </c>
      <c r="AJ1413">
        <f>IF($C1413="","",IF(COUNTIF($C$2:$C1413,$C1413)=1,1,0))</f>
        <v/>
      </c>
      <c r="AK1413">
        <f>IF($AJ1413=1,SUMPRODUCT(--($AN$2:$AN$4001&lt;$AN1413))+1,"")</f>
        <v/>
      </c>
      <c r="AL1413">
        <f>IF($C1413="","",IF(OR($Q1413=TRUE(),$Q1413="TRUE"),1,0))</f>
        <v/>
      </c>
      <c r="AM1413">
        <f>IF($C1413="","",IF($W1413="Yes",1,0))</f>
        <v/>
      </c>
      <c r="AN1413">
        <f>IF($AJ1413=1,IFERROR(IF(VALUE($C1413)&lt;100000000,VALUE($C1413),1000000000),IFERROR(IF(VALUE(MID($C1413,2,20))&lt;100000000,VALUE(MID($C1413,2,20)),1000000000),1000000000))+ROW()/100000,"")</f>
        <v/>
      </c>
    </row>
    <row r="1414">
      <c r="E1414" s="11" t="n"/>
      <c r="M1414" s="7">
        <f>IF($C1414="","",L1414*U1414/100)</f>
        <v/>
      </c>
      <c r="N1414" s="7" t="n"/>
      <c r="T1414" s="7" t="n"/>
      <c r="U1414" s="7">
        <f>IF($C1414="","",S1414*T1414)</f>
        <v/>
      </c>
      <c r="X1414">
        <f>IF($C1414="","",IF($AM1414=1,0,IF($AL1414=1,Settings!$C$6,Settings!$C$7))*100)</f>
        <v/>
      </c>
      <c r="AB1414" s="7" t="n"/>
      <c r="AE1414" s="11" t="n"/>
      <c r="AG1414" s="7">
        <f>IF($C1414="","",U1414*X1414/100)</f>
        <v/>
      </c>
      <c r="AH1414" s="7">
        <f>IF($C1414="","",U1414-AG1414)</f>
        <v/>
      </c>
      <c r="AI1414" s="7">
        <f>IF($C1414="","",AH1414-M1414)</f>
        <v/>
      </c>
      <c r="AJ1414">
        <f>IF($C1414="","",IF(COUNTIF($C$2:$C1414,$C1414)=1,1,0))</f>
        <v/>
      </c>
      <c r="AK1414">
        <f>IF($AJ1414=1,SUMPRODUCT(--($AN$2:$AN$4001&lt;$AN1414))+1,"")</f>
        <v/>
      </c>
      <c r="AL1414">
        <f>IF($C1414="","",IF(OR($Q1414=TRUE(),$Q1414="TRUE"),1,0))</f>
        <v/>
      </c>
      <c r="AM1414">
        <f>IF($C1414="","",IF($W1414="Yes",1,0))</f>
        <v/>
      </c>
      <c r="AN1414">
        <f>IF($AJ1414=1,IFERROR(IF(VALUE($C1414)&lt;100000000,VALUE($C1414),1000000000),IFERROR(IF(VALUE(MID($C1414,2,20))&lt;100000000,VALUE(MID($C1414,2,20)),1000000000),1000000000))+ROW()/100000,"")</f>
        <v/>
      </c>
    </row>
    <row r="1415">
      <c r="E1415" s="11" t="n"/>
      <c r="M1415" s="7">
        <f>IF($C1415="","",L1415*U1415/100)</f>
        <v/>
      </c>
      <c r="N1415" s="7" t="n"/>
      <c r="T1415" s="7" t="n"/>
      <c r="U1415" s="7">
        <f>IF($C1415="","",S1415*T1415)</f>
        <v/>
      </c>
      <c r="X1415">
        <f>IF($C1415="","",IF($AM1415=1,0,IF($AL1415=1,Settings!$C$6,Settings!$C$7))*100)</f>
        <v/>
      </c>
      <c r="AB1415" s="7" t="n"/>
      <c r="AE1415" s="11" t="n"/>
      <c r="AG1415" s="7">
        <f>IF($C1415="","",U1415*X1415/100)</f>
        <v/>
      </c>
      <c r="AH1415" s="7">
        <f>IF($C1415="","",U1415-AG1415)</f>
        <v/>
      </c>
      <c r="AI1415" s="7">
        <f>IF($C1415="","",AH1415-M1415)</f>
        <v/>
      </c>
      <c r="AJ1415">
        <f>IF($C1415="","",IF(COUNTIF($C$2:$C1415,$C1415)=1,1,0))</f>
        <v/>
      </c>
      <c r="AK1415">
        <f>IF($AJ1415=1,SUMPRODUCT(--($AN$2:$AN$4001&lt;$AN1415))+1,"")</f>
        <v/>
      </c>
      <c r="AL1415">
        <f>IF($C1415="","",IF(OR($Q1415=TRUE(),$Q1415="TRUE"),1,0))</f>
        <v/>
      </c>
      <c r="AM1415">
        <f>IF($C1415="","",IF($W1415="Yes",1,0))</f>
        <v/>
      </c>
      <c r="AN1415">
        <f>IF($AJ1415=1,IFERROR(IF(VALUE($C1415)&lt;100000000,VALUE($C1415),1000000000),IFERROR(IF(VALUE(MID($C1415,2,20))&lt;100000000,VALUE(MID($C1415,2,20)),1000000000),1000000000))+ROW()/100000,"")</f>
        <v/>
      </c>
    </row>
    <row r="1416">
      <c r="E1416" s="11" t="n"/>
      <c r="M1416" s="7">
        <f>IF($C1416="","",L1416*U1416/100)</f>
        <v/>
      </c>
      <c r="N1416" s="7" t="n"/>
      <c r="T1416" s="7" t="n"/>
      <c r="U1416" s="7">
        <f>IF($C1416="","",S1416*T1416)</f>
        <v/>
      </c>
      <c r="X1416">
        <f>IF($C1416="","",IF($AM1416=1,0,IF($AL1416=1,Settings!$C$6,Settings!$C$7))*100)</f>
        <v/>
      </c>
      <c r="AB1416" s="7" t="n"/>
      <c r="AE1416" s="11" t="n"/>
      <c r="AG1416" s="7">
        <f>IF($C1416="","",U1416*X1416/100)</f>
        <v/>
      </c>
      <c r="AH1416" s="7">
        <f>IF($C1416="","",U1416-AG1416)</f>
        <v/>
      </c>
      <c r="AI1416" s="7">
        <f>IF($C1416="","",AH1416-M1416)</f>
        <v/>
      </c>
      <c r="AJ1416">
        <f>IF($C1416="","",IF(COUNTIF($C$2:$C1416,$C1416)=1,1,0))</f>
        <v/>
      </c>
      <c r="AK1416">
        <f>IF($AJ1416=1,SUMPRODUCT(--($AN$2:$AN$4001&lt;$AN1416))+1,"")</f>
        <v/>
      </c>
      <c r="AL1416">
        <f>IF($C1416="","",IF(OR($Q1416=TRUE(),$Q1416="TRUE"),1,0))</f>
        <v/>
      </c>
      <c r="AM1416">
        <f>IF($C1416="","",IF($W1416="Yes",1,0))</f>
        <v/>
      </c>
      <c r="AN1416">
        <f>IF($AJ1416=1,IFERROR(IF(VALUE($C1416)&lt;100000000,VALUE($C1416),1000000000),IFERROR(IF(VALUE(MID($C1416,2,20))&lt;100000000,VALUE(MID($C1416,2,20)),1000000000),1000000000))+ROW()/100000,"")</f>
        <v/>
      </c>
    </row>
    <row r="1417">
      <c r="E1417" s="11" t="n"/>
      <c r="M1417" s="7">
        <f>IF($C1417="","",L1417*U1417/100)</f>
        <v/>
      </c>
      <c r="N1417" s="7" t="n"/>
      <c r="T1417" s="7" t="n"/>
      <c r="U1417" s="7">
        <f>IF($C1417="","",S1417*T1417)</f>
        <v/>
      </c>
      <c r="X1417">
        <f>IF($C1417="","",IF($AM1417=1,0,IF($AL1417=1,Settings!$C$6,Settings!$C$7))*100)</f>
        <v/>
      </c>
      <c r="AB1417" s="7" t="n"/>
      <c r="AE1417" s="11" t="n"/>
      <c r="AG1417" s="7">
        <f>IF($C1417="","",U1417*X1417/100)</f>
        <v/>
      </c>
      <c r="AH1417" s="7">
        <f>IF($C1417="","",U1417-AG1417)</f>
        <v/>
      </c>
      <c r="AI1417" s="7">
        <f>IF($C1417="","",AH1417-M1417)</f>
        <v/>
      </c>
      <c r="AJ1417">
        <f>IF($C1417="","",IF(COUNTIF($C$2:$C1417,$C1417)=1,1,0))</f>
        <v/>
      </c>
      <c r="AK1417">
        <f>IF($AJ1417=1,SUMPRODUCT(--($AN$2:$AN$4001&lt;$AN1417))+1,"")</f>
        <v/>
      </c>
      <c r="AL1417">
        <f>IF($C1417="","",IF(OR($Q1417=TRUE(),$Q1417="TRUE"),1,0))</f>
        <v/>
      </c>
      <c r="AM1417">
        <f>IF($C1417="","",IF($W1417="Yes",1,0))</f>
        <v/>
      </c>
      <c r="AN1417">
        <f>IF($AJ1417=1,IFERROR(IF(VALUE($C1417)&lt;100000000,VALUE($C1417),1000000000),IFERROR(IF(VALUE(MID($C1417,2,20))&lt;100000000,VALUE(MID($C1417,2,20)),1000000000),1000000000))+ROW()/100000,"")</f>
        <v/>
      </c>
    </row>
    <row r="1418">
      <c r="E1418" s="11" t="n"/>
      <c r="M1418" s="7">
        <f>IF($C1418="","",L1418*U1418/100)</f>
        <v/>
      </c>
      <c r="N1418" s="7" t="n"/>
      <c r="T1418" s="7" t="n"/>
      <c r="U1418" s="7">
        <f>IF($C1418="","",S1418*T1418)</f>
        <v/>
      </c>
      <c r="X1418">
        <f>IF($C1418="","",IF($AM1418=1,0,IF($AL1418=1,Settings!$C$6,Settings!$C$7))*100)</f>
        <v/>
      </c>
      <c r="AB1418" s="7" t="n"/>
      <c r="AE1418" s="11" t="n"/>
      <c r="AG1418" s="7">
        <f>IF($C1418="","",U1418*X1418/100)</f>
        <v/>
      </c>
      <c r="AH1418" s="7">
        <f>IF($C1418="","",U1418-AG1418)</f>
        <v/>
      </c>
      <c r="AI1418" s="7">
        <f>IF($C1418="","",AH1418-M1418)</f>
        <v/>
      </c>
      <c r="AJ1418">
        <f>IF($C1418="","",IF(COUNTIF($C$2:$C1418,$C1418)=1,1,0))</f>
        <v/>
      </c>
      <c r="AK1418">
        <f>IF($AJ1418=1,SUMPRODUCT(--($AN$2:$AN$4001&lt;$AN1418))+1,"")</f>
        <v/>
      </c>
      <c r="AL1418">
        <f>IF($C1418="","",IF(OR($Q1418=TRUE(),$Q1418="TRUE"),1,0))</f>
        <v/>
      </c>
      <c r="AM1418">
        <f>IF($C1418="","",IF($W1418="Yes",1,0))</f>
        <v/>
      </c>
      <c r="AN1418">
        <f>IF($AJ1418=1,IFERROR(IF(VALUE($C1418)&lt;100000000,VALUE($C1418),1000000000),IFERROR(IF(VALUE(MID($C1418,2,20))&lt;100000000,VALUE(MID($C1418,2,20)),1000000000),1000000000))+ROW()/100000,"")</f>
        <v/>
      </c>
    </row>
    <row r="1419">
      <c r="E1419" s="11" t="n"/>
      <c r="M1419" s="7">
        <f>IF($C1419="","",L1419*U1419/100)</f>
        <v/>
      </c>
      <c r="N1419" s="7" t="n"/>
      <c r="T1419" s="7" t="n"/>
      <c r="U1419" s="7">
        <f>IF($C1419="","",S1419*T1419)</f>
        <v/>
      </c>
      <c r="X1419">
        <f>IF($C1419="","",IF($AM1419=1,0,IF($AL1419=1,Settings!$C$6,Settings!$C$7))*100)</f>
        <v/>
      </c>
      <c r="AB1419" s="7" t="n"/>
      <c r="AE1419" s="11" t="n"/>
      <c r="AG1419" s="7">
        <f>IF($C1419="","",U1419*X1419/100)</f>
        <v/>
      </c>
      <c r="AH1419" s="7">
        <f>IF($C1419="","",U1419-AG1419)</f>
        <v/>
      </c>
      <c r="AI1419" s="7">
        <f>IF($C1419="","",AH1419-M1419)</f>
        <v/>
      </c>
      <c r="AJ1419">
        <f>IF($C1419="","",IF(COUNTIF($C$2:$C1419,$C1419)=1,1,0))</f>
        <v/>
      </c>
      <c r="AK1419">
        <f>IF($AJ1419=1,SUMPRODUCT(--($AN$2:$AN$4001&lt;$AN1419))+1,"")</f>
        <v/>
      </c>
      <c r="AL1419">
        <f>IF($C1419="","",IF(OR($Q1419=TRUE(),$Q1419="TRUE"),1,0))</f>
        <v/>
      </c>
      <c r="AM1419">
        <f>IF($C1419="","",IF($W1419="Yes",1,0))</f>
        <v/>
      </c>
      <c r="AN1419">
        <f>IF($AJ1419=1,IFERROR(IF(VALUE($C1419)&lt;100000000,VALUE($C1419),1000000000),IFERROR(IF(VALUE(MID($C1419,2,20))&lt;100000000,VALUE(MID($C1419,2,20)),1000000000),1000000000))+ROW()/100000,"")</f>
        <v/>
      </c>
    </row>
    <row r="1420">
      <c r="E1420" s="11" t="n"/>
      <c r="M1420" s="7">
        <f>IF($C1420="","",L1420*U1420/100)</f>
        <v/>
      </c>
      <c r="N1420" s="7" t="n"/>
      <c r="T1420" s="7" t="n"/>
      <c r="U1420" s="7">
        <f>IF($C1420="","",S1420*T1420)</f>
        <v/>
      </c>
      <c r="X1420">
        <f>IF($C1420="","",IF($AM1420=1,0,IF($AL1420=1,Settings!$C$6,Settings!$C$7))*100)</f>
        <v/>
      </c>
      <c r="AB1420" s="7" t="n"/>
      <c r="AE1420" s="11" t="n"/>
      <c r="AG1420" s="7">
        <f>IF($C1420="","",U1420*X1420/100)</f>
        <v/>
      </c>
      <c r="AH1420" s="7">
        <f>IF($C1420="","",U1420-AG1420)</f>
        <v/>
      </c>
      <c r="AI1420" s="7">
        <f>IF($C1420="","",AH1420-M1420)</f>
        <v/>
      </c>
      <c r="AJ1420">
        <f>IF($C1420="","",IF(COUNTIF($C$2:$C1420,$C1420)=1,1,0))</f>
        <v/>
      </c>
      <c r="AK1420">
        <f>IF($AJ1420=1,SUMPRODUCT(--($AN$2:$AN$4001&lt;$AN1420))+1,"")</f>
        <v/>
      </c>
      <c r="AL1420">
        <f>IF($C1420="","",IF(OR($Q1420=TRUE(),$Q1420="TRUE"),1,0))</f>
        <v/>
      </c>
      <c r="AM1420">
        <f>IF($C1420="","",IF($W1420="Yes",1,0))</f>
        <v/>
      </c>
      <c r="AN1420">
        <f>IF($AJ1420=1,IFERROR(IF(VALUE($C1420)&lt;100000000,VALUE($C1420),1000000000),IFERROR(IF(VALUE(MID($C1420,2,20))&lt;100000000,VALUE(MID($C1420,2,20)),1000000000),1000000000))+ROW()/100000,"")</f>
        <v/>
      </c>
    </row>
    <row r="1421">
      <c r="E1421" s="11" t="n"/>
      <c r="M1421" s="7">
        <f>IF($C1421="","",L1421*U1421/100)</f>
        <v/>
      </c>
      <c r="N1421" s="7" t="n"/>
      <c r="T1421" s="7" t="n"/>
      <c r="U1421" s="7">
        <f>IF($C1421="","",S1421*T1421)</f>
        <v/>
      </c>
      <c r="X1421">
        <f>IF($C1421="","",IF($AM1421=1,0,IF($AL1421=1,Settings!$C$6,Settings!$C$7))*100)</f>
        <v/>
      </c>
      <c r="AB1421" s="7" t="n"/>
      <c r="AE1421" s="11" t="n"/>
      <c r="AG1421" s="7">
        <f>IF($C1421="","",U1421*X1421/100)</f>
        <v/>
      </c>
      <c r="AH1421" s="7">
        <f>IF($C1421="","",U1421-AG1421)</f>
        <v/>
      </c>
      <c r="AI1421" s="7">
        <f>IF($C1421="","",AH1421-M1421)</f>
        <v/>
      </c>
      <c r="AJ1421">
        <f>IF($C1421="","",IF(COUNTIF($C$2:$C1421,$C1421)=1,1,0))</f>
        <v/>
      </c>
      <c r="AK1421">
        <f>IF($AJ1421=1,SUMPRODUCT(--($AN$2:$AN$4001&lt;$AN1421))+1,"")</f>
        <v/>
      </c>
      <c r="AL1421">
        <f>IF($C1421="","",IF(OR($Q1421=TRUE(),$Q1421="TRUE"),1,0))</f>
        <v/>
      </c>
      <c r="AM1421">
        <f>IF($C1421="","",IF($W1421="Yes",1,0))</f>
        <v/>
      </c>
      <c r="AN1421">
        <f>IF($AJ1421=1,IFERROR(IF(VALUE($C1421)&lt;100000000,VALUE($C1421),1000000000),IFERROR(IF(VALUE(MID($C1421,2,20))&lt;100000000,VALUE(MID($C1421,2,20)),1000000000),1000000000))+ROW()/100000,"")</f>
        <v/>
      </c>
    </row>
    <row r="1422">
      <c r="E1422" s="11" t="n"/>
      <c r="M1422" s="7">
        <f>IF($C1422="","",L1422*U1422/100)</f>
        <v/>
      </c>
      <c r="N1422" s="7" t="n"/>
      <c r="T1422" s="7" t="n"/>
      <c r="U1422" s="7">
        <f>IF($C1422="","",S1422*T1422)</f>
        <v/>
      </c>
      <c r="X1422">
        <f>IF($C1422="","",IF($AM1422=1,0,IF($AL1422=1,Settings!$C$6,Settings!$C$7))*100)</f>
        <v/>
      </c>
      <c r="AB1422" s="7" t="n"/>
      <c r="AE1422" s="11" t="n"/>
      <c r="AG1422" s="7">
        <f>IF($C1422="","",U1422*X1422/100)</f>
        <v/>
      </c>
      <c r="AH1422" s="7">
        <f>IF($C1422="","",U1422-AG1422)</f>
        <v/>
      </c>
      <c r="AI1422" s="7">
        <f>IF($C1422="","",AH1422-M1422)</f>
        <v/>
      </c>
      <c r="AJ1422">
        <f>IF($C1422="","",IF(COUNTIF($C$2:$C1422,$C1422)=1,1,0))</f>
        <v/>
      </c>
      <c r="AK1422">
        <f>IF($AJ1422=1,SUMPRODUCT(--($AN$2:$AN$4001&lt;$AN1422))+1,"")</f>
        <v/>
      </c>
      <c r="AL1422">
        <f>IF($C1422="","",IF(OR($Q1422=TRUE(),$Q1422="TRUE"),1,0))</f>
        <v/>
      </c>
      <c r="AM1422">
        <f>IF($C1422="","",IF($W1422="Yes",1,0))</f>
        <v/>
      </c>
      <c r="AN1422">
        <f>IF($AJ1422=1,IFERROR(IF(VALUE($C1422)&lt;100000000,VALUE($C1422),1000000000),IFERROR(IF(VALUE(MID($C1422,2,20))&lt;100000000,VALUE(MID($C1422,2,20)),1000000000),1000000000))+ROW()/100000,"")</f>
        <v/>
      </c>
    </row>
    <row r="1423">
      <c r="E1423" s="11" t="n"/>
      <c r="M1423" s="7">
        <f>IF($C1423="","",L1423*U1423/100)</f>
        <v/>
      </c>
      <c r="N1423" s="7" t="n"/>
      <c r="T1423" s="7" t="n"/>
      <c r="U1423" s="7">
        <f>IF($C1423="","",S1423*T1423)</f>
        <v/>
      </c>
      <c r="X1423">
        <f>IF($C1423="","",IF($AM1423=1,0,IF($AL1423=1,Settings!$C$6,Settings!$C$7))*100)</f>
        <v/>
      </c>
      <c r="AB1423" s="7" t="n"/>
      <c r="AE1423" s="11" t="n"/>
      <c r="AG1423" s="7">
        <f>IF($C1423="","",U1423*X1423/100)</f>
        <v/>
      </c>
      <c r="AH1423" s="7">
        <f>IF($C1423="","",U1423-AG1423)</f>
        <v/>
      </c>
      <c r="AI1423" s="7">
        <f>IF($C1423="","",AH1423-M1423)</f>
        <v/>
      </c>
      <c r="AJ1423">
        <f>IF($C1423="","",IF(COUNTIF($C$2:$C1423,$C1423)=1,1,0))</f>
        <v/>
      </c>
      <c r="AK1423">
        <f>IF($AJ1423=1,SUMPRODUCT(--($AN$2:$AN$4001&lt;$AN1423))+1,"")</f>
        <v/>
      </c>
      <c r="AL1423">
        <f>IF($C1423="","",IF(OR($Q1423=TRUE(),$Q1423="TRUE"),1,0))</f>
        <v/>
      </c>
      <c r="AM1423">
        <f>IF($C1423="","",IF($W1423="Yes",1,0))</f>
        <v/>
      </c>
      <c r="AN1423">
        <f>IF($AJ1423=1,IFERROR(IF(VALUE($C1423)&lt;100000000,VALUE($C1423),1000000000),IFERROR(IF(VALUE(MID($C1423,2,20))&lt;100000000,VALUE(MID($C1423,2,20)),1000000000),1000000000))+ROW()/100000,"")</f>
        <v/>
      </c>
    </row>
    <row r="1424">
      <c r="E1424" s="11" t="n"/>
      <c r="M1424" s="7">
        <f>IF($C1424="","",L1424*U1424/100)</f>
        <v/>
      </c>
      <c r="N1424" s="7" t="n"/>
      <c r="T1424" s="7" t="n"/>
      <c r="U1424" s="7">
        <f>IF($C1424="","",S1424*T1424)</f>
        <v/>
      </c>
      <c r="X1424">
        <f>IF($C1424="","",IF($AM1424=1,0,IF($AL1424=1,Settings!$C$6,Settings!$C$7))*100)</f>
        <v/>
      </c>
      <c r="AB1424" s="7" t="n"/>
      <c r="AE1424" s="11" t="n"/>
      <c r="AG1424" s="7">
        <f>IF($C1424="","",U1424*X1424/100)</f>
        <v/>
      </c>
      <c r="AH1424" s="7">
        <f>IF($C1424="","",U1424-AG1424)</f>
        <v/>
      </c>
      <c r="AI1424" s="7">
        <f>IF($C1424="","",AH1424-M1424)</f>
        <v/>
      </c>
      <c r="AJ1424">
        <f>IF($C1424="","",IF(COUNTIF($C$2:$C1424,$C1424)=1,1,0))</f>
        <v/>
      </c>
      <c r="AK1424">
        <f>IF($AJ1424=1,SUMPRODUCT(--($AN$2:$AN$4001&lt;$AN1424))+1,"")</f>
        <v/>
      </c>
      <c r="AL1424">
        <f>IF($C1424="","",IF(OR($Q1424=TRUE(),$Q1424="TRUE"),1,0))</f>
        <v/>
      </c>
      <c r="AM1424">
        <f>IF($C1424="","",IF($W1424="Yes",1,0))</f>
        <v/>
      </c>
      <c r="AN1424">
        <f>IF($AJ1424=1,IFERROR(IF(VALUE($C1424)&lt;100000000,VALUE($C1424),1000000000),IFERROR(IF(VALUE(MID($C1424,2,20))&lt;100000000,VALUE(MID($C1424,2,20)),1000000000),1000000000))+ROW()/100000,"")</f>
        <v/>
      </c>
    </row>
    <row r="1425">
      <c r="E1425" s="11" t="n"/>
      <c r="M1425" s="7">
        <f>IF($C1425="","",L1425*U1425/100)</f>
        <v/>
      </c>
      <c r="N1425" s="7" t="n"/>
      <c r="T1425" s="7" t="n"/>
      <c r="U1425" s="7">
        <f>IF($C1425="","",S1425*T1425)</f>
        <v/>
      </c>
      <c r="X1425">
        <f>IF($C1425="","",IF($AM1425=1,0,IF($AL1425=1,Settings!$C$6,Settings!$C$7))*100)</f>
        <v/>
      </c>
      <c r="AB1425" s="7" t="n"/>
      <c r="AE1425" s="11" t="n"/>
      <c r="AG1425" s="7">
        <f>IF($C1425="","",U1425*X1425/100)</f>
        <v/>
      </c>
      <c r="AH1425" s="7">
        <f>IF($C1425="","",U1425-AG1425)</f>
        <v/>
      </c>
      <c r="AI1425" s="7">
        <f>IF($C1425="","",AH1425-M1425)</f>
        <v/>
      </c>
      <c r="AJ1425">
        <f>IF($C1425="","",IF(COUNTIF($C$2:$C1425,$C1425)=1,1,0))</f>
        <v/>
      </c>
      <c r="AK1425">
        <f>IF($AJ1425=1,SUMPRODUCT(--($AN$2:$AN$4001&lt;$AN1425))+1,"")</f>
        <v/>
      </c>
      <c r="AL1425">
        <f>IF($C1425="","",IF(OR($Q1425=TRUE(),$Q1425="TRUE"),1,0))</f>
        <v/>
      </c>
      <c r="AM1425">
        <f>IF($C1425="","",IF($W1425="Yes",1,0))</f>
        <v/>
      </c>
      <c r="AN1425">
        <f>IF($AJ1425=1,IFERROR(IF(VALUE($C1425)&lt;100000000,VALUE($C1425),1000000000),IFERROR(IF(VALUE(MID($C1425,2,20))&lt;100000000,VALUE(MID($C1425,2,20)),1000000000),1000000000))+ROW()/100000,"")</f>
        <v/>
      </c>
    </row>
    <row r="1426">
      <c r="E1426" s="11" t="n"/>
      <c r="M1426" s="7">
        <f>IF($C1426="","",L1426*U1426/100)</f>
        <v/>
      </c>
      <c r="N1426" s="7" t="n"/>
      <c r="T1426" s="7" t="n"/>
      <c r="U1426" s="7">
        <f>IF($C1426="","",S1426*T1426)</f>
        <v/>
      </c>
      <c r="X1426">
        <f>IF($C1426="","",IF($AM1426=1,0,IF($AL1426=1,Settings!$C$6,Settings!$C$7))*100)</f>
        <v/>
      </c>
      <c r="AB1426" s="7" t="n"/>
      <c r="AE1426" s="11" t="n"/>
      <c r="AG1426" s="7">
        <f>IF($C1426="","",U1426*X1426/100)</f>
        <v/>
      </c>
      <c r="AH1426" s="7">
        <f>IF($C1426="","",U1426-AG1426)</f>
        <v/>
      </c>
      <c r="AI1426" s="7">
        <f>IF($C1426="","",AH1426-M1426)</f>
        <v/>
      </c>
      <c r="AJ1426">
        <f>IF($C1426="","",IF(COUNTIF($C$2:$C1426,$C1426)=1,1,0))</f>
        <v/>
      </c>
      <c r="AK1426">
        <f>IF($AJ1426=1,SUMPRODUCT(--($AN$2:$AN$4001&lt;$AN1426))+1,"")</f>
        <v/>
      </c>
      <c r="AL1426">
        <f>IF($C1426="","",IF(OR($Q1426=TRUE(),$Q1426="TRUE"),1,0))</f>
        <v/>
      </c>
      <c r="AM1426">
        <f>IF($C1426="","",IF($W1426="Yes",1,0))</f>
        <v/>
      </c>
      <c r="AN1426">
        <f>IF($AJ1426=1,IFERROR(IF(VALUE($C1426)&lt;100000000,VALUE($C1426),1000000000),IFERROR(IF(VALUE(MID($C1426,2,20))&lt;100000000,VALUE(MID($C1426,2,20)),1000000000),1000000000))+ROW()/100000,"")</f>
        <v/>
      </c>
    </row>
    <row r="1427">
      <c r="E1427" s="11" t="n"/>
      <c r="M1427" s="7">
        <f>IF($C1427="","",L1427*U1427/100)</f>
        <v/>
      </c>
      <c r="N1427" s="7" t="n"/>
      <c r="T1427" s="7" t="n"/>
      <c r="U1427" s="7">
        <f>IF($C1427="","",S1427*T1427)</f>
        <v/>
      </c>
      <c r="X1427">
        <f>IF($C1427="","",IF($AM1427=1,0,IF($AL1427=1,Settings!$C$6,Settings!$C$7))*100)</f>
        <v/>
      </c>
      <c r="AB1427" s="7" t="n"/>
      <c r="AE1427" s="11" t="n"/>
      <c r="AG1427" s="7">
        <f>IF($C1427="","",U1427*X1427/100)</f>
        <v/>
      </c>
      <c r="AH1427" s="7">
        <f>IF($C1427="","",U1427-AG1427)</f>
        <v/>
      </c>
      <c r="AI1427" s="7">
        <f>IF($C1427="","",AH1427-M1427)</f>
        <v/>
      </c>
      <c r="AJ1427">
        <f>IF($C1427="","",IF(COUNTIF($C$2:$C1427,$C1427)=1,1,0))</f>
        <v/>
      </c>
      <c r="AK1427">
        <f>IF($AJ1427=1,SUMPRODUCT(--($AN$2:$AN$4001&lt;$AN1427))+1,"")</f>
        <v/>
      </c>
      <c r="AL1427">
        <f>IF($C1427="","",IF(OR($Q1427=TRUE(),$Q1427="TRUE"),1,0))</f>
        <v/>
      </c>
      <c r="AM1427">
        <f>IF($C1427="","",IF($W1427="Yes",1,0))</f>
        <v/>
      </c>
      <c r="AN1427">
        <f>IF($AJ1427=1,IFERROR(IF(VALUE($C1427)&lt;100000000,VALUE($C1427),1000000000),IFERROR(IF(VALUE(MID($C1427,2,20))&lt;100000000,VALUE(MID($C1427,2,20)),1000000000),1000000000))+ROW()/100000,"")</f>
        <v/>
      </c>
    </row>
    <row r="1428">
      <c r="E1428" s="11" t="n"/>
      <c r="M1428" s="7">
        <f>IF($C1428="","",L1428*U1428/100)</f>
        <v/>
      </c>
      <c r="N1428" s="7" t="n"/>
      <c r="T1428" s="7" t="n"/>
      <c r="U1428" s="7">
        <f>IF($C1428="","",S1428*T1428)</f>
        <v/>
      </c>
      <c r="X1428">
        <f>IF($C1428="","",IF($AM1428=1,0,IF($AL1428=1,Settings!$C$6,Settings!$C$7))*100)</f>
        <v/>
      </c>
      <c r="AB1428" s="7" t="n"/>
      <c r="AE1428" s="11" t="n"/>
      <c r="AG1428" s="7">
        <f>IF($C1428="","",U1428*X1428/100)</f>
        <v/>
      </c>
      <c r="AH1428" s="7">
        <f>IF($C1428="","",U1428-AG1428)</f>
        <v/>
      </c>
      <c r="AI1428" s="7">
        <f>IF($C1428="","",AH1428-M1428)</f>
        <v/>
      </c>
      <c r="AJ1428">
        <f>IF($C1428="","",IF(COUNTIF($C$2:$C1428,$C1428)=1,1,0))</f>
        <v/>
      </c>
      <c r="AK1428">
        <f>IF($AJ1428=1,SUMPRODUCT(--($AN$2:$AN$4001&lt;$AN1428))+1,"")</f>
        <v/>
      </c>
      <c r="AL1428">
        <f>IF($C1428="","",IF(OR($Q1428=TRUE(),$Q1428="TRUE"),1,0))</f>
        <v/>
      </c>
      <c r="AM1428">
        <f>IF($C1428="","",IF($W1428="Yes",1,0))</f>
        <v/>
      </c>
      <c r="AN1428">
        <f>IF($AJ1428=1,IFERROR(IF(VALUE($C1428)&lt;100000000,VALUE($C1428),1000000000),IFERROR(IF(VALUE(MID($C1428,2,20))&lt;100000000,VALUE(MID($C1428,2,20)),1000000000),1000000000))+ROW()/100000,"")</f>
        <v/>
      </c>
    </row>
    <row r="1429">
      <c r="E1429" s="11" t="n"/>
      <c r="M1429" s="7">
        <f>IF($C1429="","",L1429*U1429/100)</f>
        <v/>
      </c>
      <c r="N1429" s="7" t="n"/>
      <c r="T1429" s="7" t="n"/>
      <c r="U1429" s="7">
        <f>IF($C1429="","",S1429*T1429)</f>
        <v/>
      </c>
      <c r="X1429">
        <f>IF($C1429="","",IF($AM1429=1,0,IF($AL1429=1,Settings!$C$6,Settings!$C$7))*100)</f>
        <v/>
      </c>
      <c r="AB1429" s="7" t="n"/>
      <c r="AE1429" s="11" t="n"/>
      <c r="AG1429" s="7">
        <f>IF($C1429="","",U1429*X1429/100)</f>
        <v/>
      </c>
      <c r="AH1429" s="7">
        <f>IF($C1429="","",U1429-AG1429)</f>
        <v/>
      </c>
      <c r="AI1429" s="7">
        <f>IF($C1429="","",AH1429-M1429)</f>
        <v/>
      </c>
      <c r="AJ1429">
        <f>IF($C1429="","",IF(COUNTIF($C$2:$C1429,$C1429)=1,1,0))</f>
        <v/>
      </c>
      <c r="AK1429">
        <f>IF($AJ1429=1,SUMPRODUCT(--($AN$2:$AN$4001&lt;$AN1429))+1,"")</f>
        <v/>
      </c>
      <c r="AL1429">
        <f>IF($C1429="","",IF(OR($Q1429=TRUE(),$Q1429="TRUE"),1,0))</f>
        <v/>
      </c>
      <c r="AM1429">
        <f>IF($C1429="","",IF($W1429="Yes",1,0))</f>
        <v/>
      </c>
      <c r="AN1429">
        <f>IF($AJ1429=1,IFERROR(IF(VALUE($C1429)&lt;100000000,VALUE($C1429),1000000000),IFERROR(IF(VALUE(MID($C1429,2,20))&lt;100000000,VALUE(MID($C1429,2,20)),1000000000),1000000000))+ROW()/100000,"")</f>
        <v/>
      </c>
    </row>
    <row r="1430">
      <c r="E1430" s="11" t="n"/>
      <c r="M1430" s="7">
        <f>IF($C1430="","",L1430*U1430/100)</f>
        <v/>
      </c>
      <c r="N1430" s="7" t="n"/>
      <c r="T1430" s="7" t="n"/>
      <c r="U1430" s="7">
        <f>IF($C1430="","",S1430*T1430)</f>
        <v/>
      </c>
      <c r="X1430">
        <f>IF($C1430="","",IF($AM1430=1,0,IF($AL1430=1,Settings!$C$6,Settings!$C$7))*100)</f>
        <v/>
      </c>
      <c r="AB1430" s="7" t="n"/>
      <c r="AE1430" s="11" t="n"/>
      <c r="AG1430" s="7">
        <f>IF($C1430="","",U1430*X1430/100)</f>
        <v/>
      </c>
      <c r="AH1430" s="7">
        <f>IF($C1430="","",U1430-AG1430)</f>
        <v/>
      </c>
      <c r="AI1430" s="7">
        <f>IF($C1430="","",AH1430-M1430)</f>
        <v/>
      </c>
      <c r="AJ1430">
        <f>IF($C1430="","",IF(COUNTIF($C$2:$C1430,$C1430)=1,1,0))</f>
        <v/>
      </c>
      <c r="AK1430">
        <f>IF($AJ1430=1,SUMPRODUCT(--($AN$2:$AN$4001&lt;$AN1430))+1,"")</f>
        <v/>
      </c>
      <c r="AL1430">
        <f>IF($C1430="","",IF(OR($Q1430=TRUE(),$Q1430="TRUE"),1,0))</f>
        <v/>
      </c>
      <c r="AM1430">
        <f>IF($C1430="","",IF($W1430="Yes",1,0))</f>
        <v/>
      </c>
      <c r="AN1430">
        <f>IF($AJ1430=1,IFERROR(IF(VALUE($C1430)&lt;100000000,VALUE($C1430),1000000000),IFERROR(IF(VALUE(MID($C1430,2,20))&lt;100000000,VALUE(MID($C1430,2,20)),1000000000),1000000000))+ROW()/100000,"")</f>
        <v/>
      </c>
    </row>
    <row r="1431">
      <c r="E1431" s="11" t="n"/>
      <c r="M1431" s="7">
        <f>IF($C1431="","",L1431*U1431/100)</f>
        <v/>
      </c>
      <c r="N1431" s="7" t="n"/>
      <c r="T1431" s="7" t="n"/>
      <c r="U1431" s="7">
        <f>IF($C1431="","",S1431*T1431)</f>
        <v/>
      </c>
      <c r="X1431">
        <f>IF($C1431="","",IF($AM1431=1,0,IF($AL1431=1,Settings!$C$6,Settings!$C$7))*100)</f>
        <v/>
      </c>
      <c r="AB1431" s="7" t="n"/>
      <c r="AE1431" s="11" t="n"/>
      <c r="AG1431" s="7">
        <f>IF($C1431="","",U1431*X1431/100)</f>
        <v/>
      </c>
      <c r="AH1431" s="7">
        <f>IF($C1431="","",U1431-AG1431)</f>
        <v/>
      </c>
      <c r="AI1431" s="7">
        <f>IF($C1431="","",AH1431-M1431)</f>
        <v/>
      </c>
      <c r="AJ1431">
        <f>IF($C1431="","",IF(COUNTIF($C$2:$C1431,$C1431)=1,1,0))</f>
        <v/>
      </c>
      <c r="AK1431">
        <f>IF($AJ1431=1,SUMPRODUCT(--($AN$2:$AN$4001&lt;$AN1431))+1,"")</f>
        <v/>
      </c>
      <c r="AL1431">
        <f>IF($C1431="","",IF(OR($Q1431=TRUE(),$Q1431="TRUE"),1,0))</f>
        <v/>
      </c>
      <c r="AM1431">
        <f>IF($C1431="","",IF($W1431="Yes",1,0))</f>
        <v/>
      </c>
      <c r="AN1431">
        <f>IF($AJ1431=1,IFERROR(IF(VALUE($C1431)&lt;100000000,VALUE($C1431),1000000000),IFERROR(IF(VALUE(MID($C1431,2,20))&lt;100000000,VALUE(MID($C1431,2,20)),1000000000),1000000000))+ROW()/100000,"")</f>
        <v/>
      </c>
    </row>
    <row r="1432">
      <c r="E1432" s="11" t="n"/>
      <c r="M1432" s="7">
        <f>IF($C1432="","",L1432*U1432/100)</f>
        <v/>
      </c>
      <c r="N1432" s="7" t="n"/>
      <c r="T1432" s="7" t="n"/>
      <c r="U1432" s="7">
        <f>IF($C1432="","",S1432*T1432)</f>
        <v/>
      </c>
      <c r="X1432">
        <f>IF($C1432="","",IF($AM1432=1,0,IF($AL1432=1,Settings!$C$6,Settings!$C$7))*100)</f>
        <v/>
      </c>
      <c r="AB1432" s="7" t="n"/>
      <c r="AE1432" s="11" t="n"/>
      <c r="AG1432" s="7">
        <f>IF($C1432="","",U1432*X1432/100)</f>
        <v/>
      </c>
      <c r="AH1432" s="7">
        <f>IF($C1432="","",U1432-AG1432)</f>
        <v/>
      </c>
      <c r="AI1432" s="7">
        <f>IF($C1432="","",AH1432-M1432)</f>
        <v/>
      </c>
      <c r="AJ1432">
        <f>IF($C1432="","",IF(COUNTIF($C$2:$C1432,$C1432)=1,1,0))</f>
        <v/>
      </c>
      <c r="AK1432">
        <f>IF($AJ1432=1,SUMPRODUCT(--($AN$2:$AN$4001&lt;$AN1432))+1,"")</f>
        <v/>
      </c>
      <c r="AL1432">
        <f>IF($C1432="","",IF(OR($Q1432=TRUE(),$Q1432="TRUE"),1,0))</f>
        <v/>
      </c>
      <c r="AM1432">
        <f>IF($C1432="","",IF($W1432="Yes",1,0))</f>
        <v/>
      </c>
      <c r="AN1432">
        <f>IF($AJ1432=1,IFERROR(IF(VALUE($C1432)&lt;100000000,VALUE($C1432),1000000000),IFERROR(IF(VALUE(MID($C1432,2,20))&lt;100000000,VALUE(MID($C1432,2,20)),1000000000),1000000000))+ROW()/100000,"")</f>
        <v/>
      </c>
    </row>
    <row r="1433">
      <c r="E1433" s="11" t="n"/>
      <c r="M1433" s="7">
        <f>IF($C1433="","",L1433*U1433/100)</f>
        <v/>
      </c>
      <c r="N1433" s="7" t="n"/>
      <c r="T1433" s="7" t="n"/>
      <c r="U1433" s="7">
        <f>IF($C1433="","",S1433*T1433)</f>
        <v/>
      </c>
      <c r="X1433">
        <f>IF($C1433="","",IF($AM1433=1,0,IF($AL1433=1,Settings!$C$6,Settings!$C$7))*100)</f>
        <v/>
      </c>
      <c r="AB1433" s="7" t="n"/>
      <c r="AE1433" s="11" t="n"/>
      <c r="AG1433" s="7">
        <f>IF($C1433="","",U1433*X1433/100)</f>
        <v/>
      </c>
      <c r="AH1433" s="7">
        <f>IF($C1433="","",U1433-AG1433)</f>
        <v/>
      </c>
      <c r="AI1433" s="7">
        <f>IF($C1433="","",AH1433-M1433)</f>
        <v/>
      </c>
      <c r="AJ1433">
        <f>IF($C1433="","",IF(COUNTIF($C$2:$C1433,$C1433)=1,1,0))</f>
        <v/>
      </c>
      <c r="AK1433">
        <f>IF($AJ1433=1,SUMPRODUCT(--($AN$2:$AN$4001&lt;$AN1433))+1,"")</f>
        <v/>
      </c>
      <c r="AL1433">
        <f>IF($C1433="","",IF(OR($Q1433=TRUE(),$Q1433="TRUE"),1,0))</f>
        <v/>
      </c>
      <c r="AM1433">
        <f>IF($C1433="","",IF($W1433="Yes",1,0))</f>
        <v/>
      </c>
      <c r="AN1433">
        <f>IF($AJ1433=1,IFERROR(IF(VALUE($C1433)&lt;100000000,VALUE($C1433),1000000000),IFERROR(IF(VALUE(MID($C1433,2,20))&lt;100000000,VALUE(MID($C1433,2,20)),1000000000),1000000000))+ROW()/100000,"")</f>
        <v/>
      </c>
    </row>
    <row r="1434">
      <c r="E1434" s="11" t="n"/>
      <c r="M1434" s="7">
        <f>IF($C1434="","",L1434*U1434/100)</f>
        <v/>
      </c>
      <c r="N1434" s="7" t="n"/>
      <c r="T1434" s="7" t="n"/>
      <c r="U1434" s="7">
        <f>IF($C1434="","",S1434*T1434)</f>
        <v/>
      </c>
      <c r="X1434">
        <f>IF($C1434="","",IF($AM1434=1,0,IF($AL1434=1,Settings!$C$6,Settings!$C$7))*100)</f>
        <v/>
      </c>
      <c r="AB1434" s="7" t="n"/>
      <c r="AE1434" s="11" t="n"/>
      <c r="AG1434" s="7">
        <f>IF($C1434="","",U1434*X1434/100)</f>
        <v/>
      </c>
      <c r="AH1434" s="7">
        <f>IF($C1434="","",U1434-AG1434)</f>
        <v/>
      </c>
      <c r="AI1434" s="7">
        <f>IF($C1434="","",AH1434-M1434)</f>
        <v/>
      </c>
      <c r="AJ1434">
        <f>IF($C1434="","",IF(COUNTIF($C$2:$C1434,$C1434)=1,1,0))</f>
        <v/>
      </c>
      <c r="AK1434">
        <f>IF($AJ1434=1,SUMPRODUCT(--($AN$2:$AN$4001&lt;$AN1434))+1,"")</f>
        <v/>
      </c>
      <c r="AL1434">
        <f>IF($C1434="","",IF(OR($Q1434=TRUE(),$Q1434="TRUE"),1,0))</f>
        <v/>
      </c>
      <c r="AM1434">
        <f>IF($C1434="","",IF($W1434="Yes",1,0))</f>
        <v/>
      </c>
      <c r="AN1434">
        <f>IF($AJ1434=1,IFERROR(IF(VALUE($C1434)&lt;100000000,VALUE($C1434),1000000000),IFERROR(IF(VALUE(MID($C1434,2,20))&lt;100000000,VALUE(MID($C1434,2,20)),1000000000),1000000000))+ROW()/100000,"")</f>
        <v/>
      </c>
    </row>
    <row r="1435">
      <c r="E1435" s="11" t="n"/>
      <c r="M1435" s="7">
        <f>IF($C1435="","",L1435*U1435/100)</f>
        <v/>
      </c>
      <c r="N1435" s="7" t="n"/>
      <c r="T1435" s="7" t="n"/>
      <c r="U1435" s="7">
        <f>IF($C1435="","",S1435*T1435)</f>
        <v/>
      </c>
      <c r="X1435">
        <f>IF($C1435="","",IF($AM1435=1,0,IF($AL1435=1,Settings!$C$6,Settings!$C$7))*100)</f>
        <v/>
      </c>
      <c r="AB1435" s="7" t="n"/>
      <c r="AE1435" s="11" t="n"/>
      <c r="AG1435" s="7">
        <f>IF($C1435="","",U1435*X1435/100)</f>
        <v/>
      </c>
      <c r="AH1435" s="7">
        <f>IF($C1435="","",U1435-AG1435)</f>
        <v/>
      </c>
      <c r="AI1435" s="7">
        <f>IF($C1435="","",AH1435-M1435)</f>
        <v/>
      </c>
      <c r="AJ1435">
        <f>IF($C1435="","",IF(COUNTIF($C$2:$C1435,$C1435)=1,1,0))</f>
        <v/>
      </c>
      <c r="AK1435">
        <f>IF($AJ1435=1,SUMPRODUCT(--($AN$2:$AN$4001&lt;$AN1435))+1,"")</f>
        <v/>
      </c>
      <c r="AL1435">
        <f>IF($C1435="","",IF(OR($Q1435=TRUE(),$Q1435="TRUE"),1,0))</f>
        <v/>
      </c>
      <c r="AM1435">
        <f>IF($C1435="","",IF($W1435="Yes",1,0))</f>
        <v/>
      </c>
      <c r="AN1435">
        <f>IF($AJ1435=1,IFERROR(IF(VALUE($C1435)&lt;100000000,VALUE($C1435),1000000000),IFERROR(IF(VALUE(MID($C1435,2,20))&lt;100000000,VALUE(MID($C1435,2,20)),1000000000),1000000000))+ROW()/100000,"")</f>
        <v/>
      </c>
    </row>
    <row r="1436">
      <c r="E1436" s="11" t="n"/>
      <c r="M1436" s="7">
        <f>IF($C1436="","",L1436*U1436/100)</f>
        <v/>
      </c>
      <c r="N1436" s="7" t="n"/>
      <c r="T1436" s="7" t="n"/>
      <c r="U1436" s="7">
        <f>IF($C1436="","",S1436*T1436)</f>
        <v/>
      </c>
      <c r="X1436">
        <f>IF($C1436="","",IF($AM1436=1,0,IF($AL1436=1,Settings!$C$6,Settings!$C$7))*100)</f>
        <v/>
      </c>
      <c r="AB1436" s="7" t="n"/>
      <c r="AE1436" s="11" t="n"/>
      <c r="AG1436" s="7">
        <f>IF($C1436="","",U1436*X1436/100)</f>
        <v/>
      </c>
      <c r="AH1436" s="7">
        <f>IF($C1436="","",U1436-AG1436)</f>
        <v/>
      </c>
      <c r="AI1436" s="7">
        <f>IF($C1436="","",AH1436-M1436)</f>
        <v/>
      </c>
      <c r="AJ1436">
        <f>IF($C1436="","",IF(COUNTIF($C$2:$C1436,$C1436)=1,1,0))</f>
        <v/>
      </c>
      <c r="AK1436">
        <f>IF($AJ1436=1,SUMPRODUCT(--($AN$2:$AN$4001&lt;$AN1436))+1,"")</f>
        <v/>
      </c>
      <c r="AL1436">
        <f>IF($C1436="","",IF(OR($Q1436=TRUE(),$Q1436="TRUE"),1,0))</f>
        <v/>
      </c>
      <c r="AM1436">
        <f>IF($C1436="","",IF($W1436="Yes",1,0))</f>
        <v/>
      </c>
      <c r="AN1436">
        <f>IF($AJ1436=1,IFERROR(IF(VALUE($C1436)&lt;100000000,VALUE($C1436),1000000000),IFERROR(IF(VALUE(MID($C1436,2,20))&lt;100000000,VALUE(MID($C1436,2,20)),1000000000),1000000000))+ROW()/100000,"")</f>
        <v/>
      </c>
    </row>
    <row r="1437">
      <c r="E1437" s="11" t="n"/>
      <c r="M1437" s="7">
        <f>IF($C1437="","",L1437*U1437/100)</f>
        <v/>
      </c>
      <c r="N1437" s="7" t="n"/>
      <c r="T1437" s="7" t="n"/>
      <c r="U1437" s="7">
        <f>IF($C1437="","",S1437*T1437)</f>
        <v/>
      </c>
      <c r="X1437">
        <f>IF($C1437="","",IF($AM1437=1,0,IF($AL1437=1,Settings!$C$6,Settings!$C$7))*100)</f>
        <v/>
      </c>
      <c r="AB1437" s="7" t="n"/>
      <c r="AE1437" s="11" t="n"/>
      <c r="AG1437" s="7">
        <f>IF($C1437="","",U1437*X1437/100)</f>
        <v/>
      </c>
      <c r="AH1437" s="7">
        <f>IF($C1437="","",U1437-AG1437)</f>
        <v/>
      </c>
      <c r="AI1437" s="7">
        <f>IF($C1437="","",AH1437-M1437)</f>
        <v/>
      </c>
      <c r="AJ1437">
        <f>IF($C1437="","",IF(COUNTIF($C$2:$C1437,$C1437)=1,1,0))</f>
        <v/>
      </c>
      <c r="AK1437">
        <f>IF($AJ1437=1,SUMPRODUCT(--($AN$2:$AN$4001&lt;$AN1437))+1,"")</f>
        <v/>
      </c>
      <c r="AL1437">
        <f>IF($C1437="","",IF(OR($Q1437=TRUE(),$Q1437="TRUE"),1,0))</f>
        <v/>
      </c>
      <c r="AM1437">
        <f>IF($C1437="","",IF($W1437="Yes",1,0))</f>
        <v/>
      </c>
      <c r="AN1437">
        <f>IF($AJ1437=1,IFERROR(IF(VALUE($C1437)&lt;100000000,VALUE($C1437),1000000000),IFERROR(IF(VALUE(MID($C1437,2,20))&lt;100000000,VALUE(MID($C1437,2,20)),1000000000),1000000000))+ROW()/100000,"")</f>
        <v/>
      </c>
    </row>
    <row r="1438">
      <c r="E1438" s="11" t="n"/>
      <c r="M1438" s="7">
        <f>IF($C1438="","",L1438*U1438/100)</f>
        <v/>
      </c>
      <c r="N1438" s="7" t="n"/>
      <c r="T1438" s="7" t="n"/>
      <c r="U1438" s="7">
        <f>IF($C1438="","",S1438*T1438)</f>
        <v/>
      </c>
      <c r="X1438">
        <f>IF($C1438="","",IF($AM1438=1,0,IF($AL1438=1,Settings!$C$6,Settings!$C$7))*100)</f>
        <v/>
      </c>
      <c r="AB1438" s="7" t="n"/>
      <c r="AE1438" s="11" t="n"/>
      <c r="AG1438" s="7">
        <f>IF($C1438="","",U1438*X1438/100)</f>
        <v/>
      </c>
      <c r="AH1438" s="7">
        <f>IF($C1438="","",U1438-AG1438)</f>
        <v/>
      </c>
      <c r="AI1438" s="7">
        <f>IF($C1438="","",AH1438-M1438)</f>
        <v/>
      </c>
      <c r="AJ1438">
        <f>IF($C1438="","",IF(COUNTIF($C$2:$C1438,$C1438)=1,1,0))</f>
        <v/>
      </c>
      <c r="AK1438">
        <f>IF($AJ1438=1,SUMPRODUCT(--($AN$2:$AN$4001&lt;$AN1438))+1,"")</f>
        <v/>
      </c>
      <c r="AL1438">
        <f>IF($C1438="","",IF(OR($Q1438=TRUE(),$Q1438="TRUE"),1,0))</f>
        <v/>
      </c>
      <c r="AM1438">
        <f>IF($C1438="","",IF($W1438="Yes",1,0))</f>
        <v/>
      </c>
      <c r="AN1438">
        <f>IF($AJ1438=1,IFERROR(IF(VALUE($C1438)&lt;100000000,VALUE($C1438),1000000000),IFERROR(IF(VALUE(MID($C1438,2,20))&lt;100000000,VALUE(MID($C1438,2,20)),1000000000),1000000000))+ROW()/100000,"")</f>
        <v/>
      </c>
    </row>
    <row r="1439">
      <c r="E1439" s="11" t="n"/>
      <c r="M1439" s="7">
        <f>IF($C1439="","",L1439*U1439/100)</f>
        <v/>
      </c>
      <c r="N1439" s="7" t="n"/>
      <c r="T1439" s="7" t="n"/>
      <c r="U1439" s="7">
        <f>IF($C1439="","",S1439*T1439)</f>
        <v/>
      </c>
      <c r="X1439">
        <f>IF($C1439="","",IF($AM1439=1,0,IF($AL1439=1,Settings!$C$6,Settings!$C$7))*100)</f>
        <v/>
      </c>
      <c r="AB1439" s="7" t="n"/>
      <c r="AE1439" s="11" t="n"/>
      <c r="AG1439" s="7">
        <f>IF($C1439="","",U1439*X1439/100)</f>
        <v/>
      </c>
      <c r="AH1439" s="7">
        <f>IF($C1439="","",U1439-AG1439)</f>
        <v/>
      </c>
      <c r="AI1439" s="7">
        <f>IF($C1439="","",AH1439-M1439)</f>
        <v/>
      </c>
      <c r="AJ1439">
        <f>IF($C1439="","",IF(COUNTIF($C$2:$C1439,$C1439)=1,1,0))</f>
        <v/>
      </c>
      <c r="AK1439">
        <f>IF($AJ1439=1,SUMPRODUCT(--($AN$2:$AN$4001&lt;$AN1439))+1,"")</f>
        <v/>
      </c>
      <c r="AL1439">
        <f>IF($C1439="","",IF(OR($Q1439=TRUE(),$Q1439="TRUE"),1,0))</f>
        <v/>
      </c>
      <c r="AM1439">
        <f>IF($C1439="","",IF($W1439="Yes",1,0))</f>
        <v/>
      </c>
      <c r="AN1439">
        <f>IF($AJ1439=1,IFERROR(IF(VALUE($C1439)&lt;100000000,VALUE($C1439),1000000000),IFERROR(IF(VALUE(MID($C1439,2,20))&lt;100000000,VALUE(MID($C1439,2,20)),1000000000),1000000000))+ROW()/100000,"")</f>
        <v/>
      </c>
    </row>
    <row r="1440">
      <c r="E1440" s="11" t="n"/>
      <c r="M1440" s="7">
        <f>IF($C1440="","",L1440*U1440/100)</f>
        <v/>
      </c>
      <c r="N1440" s="7" t="n"/>
      <c r="T1440" s="7" t="n"/>
      <c r="U1440" s="7">
        <f>IF($C1440="","",S1440*T1440)</f>
        <v/>
      </c>
      <c r="X1440">
        <f>IF($C1440="","",IF($AM1440=1,0,IF($AL1440=1,Settings!$C$6,Settings!$C$7))*100)</f>
        <v/>
      </c>
      <c r="AB1440" s="7" t="n"/>
      <c r="AE1440" s="11" t="n"/>
      <c r="AG1440" s="7">
        <f>IF($C1440="","",U1440*X1440/100)</f>
        <v/>
      </c>
      <c r="AH1440" s="7">
        <f>IF($C1440="","",U1440-AG1440)</f>
        <v/>
      </c>
      <c r="AI1440" s="7">
        <f>IF($C1440="","",AH1440-M1440)</f>
        <v/>
      </c>
      <c r="AJ1440">
        <f>IF($C1440="","",IF(COUNTIF($C$2:$C1440,$C1440)=1,1,0))</f>
        <v/>
      </c>
      <c r="AK1440">
        <f>IF($AJ1440=1,SUMPRODUCT(--($AN$2:$AN$4001&lt;$AN1440))+1,"")</f>
        <v/>
      </c>
      <c r="AL1440">
        <f>IF($C1440="","",IF(OR($Q1440=TRUE(),$Q1440="TRUE"),1,0))</f>
        <v/>
      </c>
      <c r="AM1440">
        <f>IF($C1440="","",IF($W1440="Yes",1,0))</f>
        <v/>
      </c>
      <c r="AN1440">
        <f>IF($AJ1440=1,IFERROR(IF(VALUE($C1440)&lt;100000000,VALUE($C1440),1000000000),IFERROR(IF(VALUE(MID($C1440,2,20))&lt;100000000,VALUE(MID($C1440,2,20)),1000000000),1000000000))+ROW()/100000,"")</f>
        <v/>
      </c>
    </row>
    <row r="1441">
      <c r="E1441" s="11" t="n"/>
      <c r="M1441" s="7">
        <f>IF($C1441="","",L1441*U1441/100)</f>
        <v/>
      </c>
      <c r="N1441" s="7" t="n"/>
      <c r="T1441" s="7" t="n"/>
      <c r="U1441" s="7">
        <f>IF($C1441="","",S1441*T1441)</f>
        <v/>
      </c>
      <c r="X1441">
        <f>IF($C1441="","",IF($AM1441=1,0,IF($AL1441=1,Settings!$C$6,Settings!$C$7))*100)</f>
        <v/>
      </c>
      <c r="AB1441" s="7" t="n"/>
      <c r="AE1441" s="11" t="n"/>
      <c r="AG1441" s="7">
        <f>IF($C1441="","",U1441*X1441/100)</f>
        <v/>
      </c>
      <c r="AH1441" s="7">
        <f>IF($C1441="","",U1441-AG1441)</f>
        <v/>
      </c>
      <c r="AI1441" s="7">
        <f>IF($C1441="","",AH1441-M1441)</f>
        <v/>
      </c>
      <c r="AJ1441">
        <f>IF($C1441="","",IF(COUNTIF($C$2:$C1441,$C1441)=1,1,0))</f>
        <v/>
      </c>
      <c r="AK1441">
        <f>IF($AJ1441=1,SUMPRODUCT(--($AN$2:$AN$4001&lt;$AN1441))+1,"")</f>
        <v/>
      </c>
      <c r="AL1441">
        <f>IF($C1441="","",IF(OR($Q1441=TRUE(),$Q1441="TRUE"),1,0))</f>
        <v/>
      </c>
      <c r="AM1441">
        <f>IF($C1441="","",IF($W1441="Yes",1,0))</f>
        <v/>
      </c>
      <c r="AN1441">
        <f>IF($AJ1441=1,IFERROR(IF(VALUE($C1441)&lt;100000000,VALUE($C1441),1000000000),IFERROR(IF(VALUE(MID($C1441,2,20))&lt;100000000,VALUE(MID($C1441,2,20)),1000000000),1000000000))+ROW()/100000,"")</f>
        <v/>
      </c>
    </row>
    <row r="1442">
      <c r="E1442" s="11" t="n"/>
      <c r="M1442" s="7">
        <f>IF($C1442="","",L1442*U1442/100)</f>
        <v/>
      </c>
      <c r="N1442" s="7" t="n"/>
      <c r="T1442" s="7" t="n"/>
      <c r="U1442" s="7">
        <f>IF($C1442="","",S1442*T1442)</f>
        <v/>
      </c>
      <c r="X1442">
        <f>IF($C1442="","",IF($AM1442=1,0,IF($AL1442=1,Settings!$C$6,Settings!$C$7))*100)</f>
        <v/>
      </c>
      <c r="AB1442" s="7" t="n"/>
      <c r="AE1442" s="11" t="n"/>
      <c r="AG1442" s="7">
        <f>IF($C1442="","",U1442*X1442/100)</f>
        <v/>
      </c>
      <c r="AH1442" s="7">
        <f>IF($C1442="","",U1442-AG1442)</f>
        <v/>
      </c>
      <c r="AI1442" s="7">
        <f>IF($C1442="","",AH1442-M1442)</f>
        <v/>
      </c>
      <c r="AJ1442">
        <f>IF($C1442="","",IF(COUNTIF($C$2:$C1442,$C1442)=1,1,0))</f>
        <v/>
      </c>
      <c r="AK1442">
        <f>IF($AJ1442=1,SUMPRODUCT(--($AN$2:$AN$4001&lt;$AN1442))+1,"")</f>
        <v/>
      </c>
      <c r="AL1442">
        <f>IF($C1442="","",IF(OR($Q1442=TRUE(),$Q1442="TRUE"),1,0))</f>
        <v/>
      </c>
      <c r="AM1442">
        <f>IF($C1442="","",IF($W1442="Yes",1,0))</f>
        <v/>
      </c>
      <c r="AN1442">
        <f>IF($AJ1442=1,IFERROR(IF(VALUE($C1442)&lt;100000000,VALUE($C1442),1000000000),IFERROR(IF(VALUE(MID($C1442,2,20))&lt;100000000,VALUE(MID($C1442,2,20)),1000000000),1000000000))+ROW()/100000,"")</f>
        <v/>
      </c>
    </row>
    <row r="1443">
      <c r="E1443" s="11" t="n"/>
      <c r="M1443" s="7">
        <f>IF($C1443="","",L1443*U1443/100)</f>
        <v/>
      </c>
      <c r="N1443" s="7" t="n"/>
      <c r="T1443" s="7" t="n"/>
      <c r="U1443" s="7">
        <f>IF($C1443="","",S1443*T1443)</f>
        <v/>
      </c>
      <c r="X1443">
        <f>IF($C1443="","",IF($AM1443=1,0,IF($AL1443=1,Settings!$C$6,Settings!$C$7))*100)</f>
        <v/>
      </c>
      <c r="AB1443" s="7" t="n"/>
      <c r="AE1443" s="11" t="n"/>
      <c r="AG1443" s="7">
        <f>IF($C1443="","",U1443*X1443/100)</f>
        <v/>
      </c>
      <c r="AH1443" s="7">
        <f>IF($C1443="","",U1443-AG1443)</f>
        <v/>
      </c>
      <c r="AI1443" s="7">
        <f>IF($C1443="","",AH1443-M1443)</f>
        <v/>
      </c>
      <c r="AJ1443">
        <f>IF($C1443="","",IF(COUNTIF($C$2:$C1443,$C1443)=1,1,0))</f>
        <v/>
      </c>
      <c r="AK1443">
        <f>IF($AJ1443=1,SUMPRODUCT(--($AN$2:$AN$4001&lt;$AN1443))+1,"")</f>
        <v/>
      </c>
      <c r="AL1443">
        <f>IF($C1443="","",IF(OR($Q1443=TRUE(),$Q1443="TRUE"),1,0))</f>
        <v/>
      </c>
      <c r="AM1443">
        <f>IF($C1443="","",IF($W1443="Yes",1,0))</f>
        <v/>
      </c>
      <c r="AN1443">
        <f>IF($AJ1443=1,IFERROR(IF(VALUE($C1443)&lt;100000000,VALUE($C1443),1000000000),IFERROR(IF(VALUE(MID($C1443,2,20))&lt;100000000,VALUE(MID($C1443,2,20)),1000000000),1000000000))+ROW()/100000,"")</f>
        <v/>
      </c>
    </row>
    <row r="1444">
      <c r="E1444" s="11" t="n"/>
      <c r="M1444" s="7">
        <f>IF($C1444="","",L1444*U1444/100)</f>
        <v/>
      </c>
      <c r="N1444" s="7" t="n"/>
      <c r="T1444" s="7" t="n"/>
      <c r="U1444" s="7">
        <f>IF($C1444="","",S1444*T1444)</f>
        <v/>
      </c>
      <c r="X1444">
        <f>IF($C1444="","",IF($AM1444=1,0,IF($AL1444=1,Settings!$C$6,Settings!$C$7))*100)</f>
        <v/>
      </c>
      <c r="AB1444" s="7" t="n"/>
      <c r="AE1444" s="11" t="n"/>
      <c r="AG1444" s="7">
        <f>IF($C1444="","",U1444*X1444/100)</f>
        <v/>
      </c>
      <c r="AH1444" s="7">
        <f>IF($C1444="","",U1444-AG1444)</f>
        <v/>
      </c>
      <c r="AI1444" s="7">
        <f>IF($C1444="","",AH1444-M1444)</f>
        <v/>
      </c>
      <c r="AJ1444">
        <f>IF($C1444="","",IF(COUNTIF($C$2:$C1444,$C1444)=1,1,0))</f>
        <v/>
      </c>
      <c r="AK1444">
        <f>IF($AJ1444=1,SUMPRODUCT(--($AN$2:$AN$4001&lt;$AN1444))+1,"")</f>
        <v/>
      </c>
      <c r="AL1444">
        <f>IF($C1444="","",IF(OR($Q1444=TRUE(),$Q1444="TRUE"),1,0))</f>
        <v/>
      </c>
      <c r="AM1444">
        <f>IF($C1444="","",IF($W1444="Yes",1,0))</f>
        <v/>
      </c>
      <c r="AN1444">
        <f>IF($AJ1444=1,IFERROR(IF(VALUE($C1444)&lt;100000000,VALUE($C1444),1000000000),IFERROR(IF(VALUE(MID($C1444,2,20))&lt;100000000,VALUE(MID($C1444,2,20)),1000000000),1000000000))+ROW()/100000,"")</f>
        <v/>
      </c>
    </row>
    <row r="1445">
      <c r="E1445" s="11" t="n"/>
      <c r="M1445" s="7">
        <f>IF($C1445="","",L1445*U1445/100)</f>
        <v/>
      </c>
      <c r="N1445" s="7" t="n"/>
      <c r="T1445" s="7" t="n"/>
      <c r="U1445" s="7">
        <f>IF($C1445="","",S1445*T1445)</f>
        <v/>
      </c>
      <c r="X1445">
        <f>IF($C1445="","",IF($AM1445=1,0,IF($AL1445=1,Settings!$C$6,Settings!$C$7))*100)</f>
        <v/>
      </c>
      <c r="AB1445" s="7" t="n"/>
      <c r="AE1445" s="11" t="n"/>
      <c r="AG1445" s="7">
        <f>IF($C1445="","",U1445*X1445/100)</f>
        <v/>
      </c>
      <c r="AH1445" s="7">
        <f>IF($C1445="","",U1445-AG1445)</f>
        <v/>
      </c>
      <c r="AI1445" s="7">
        <f>IF($C1445="","",AH1445-M1445)</f>
        <v/>
      </c>
      <c r="AJ1445">
        <f>IF($C1445="","",IF(COUNTIF($C$2:$C1445,$C1445)=1,1,0))</f>
        <v/>
      </c>
      <c r="AK1445">
        <f>IF($AJ1445=1,SUMPRODUCT(--($AN$2:$AN$4001&lt;$AN1445))+1,"")</f>
        <v/>
      </c>
      <c r="AL1445">
        <f>IF($C1445="","",IF(OR($Q1445=TRUE(),$Q1445="TRUE"),1,0))</f>
        <v/>
      </c>
      <c r="AM1445">
        <f>IF($C1445="","",IF($W1445="Yes",1,0))</f>
        <v/>
      </c>
      <c r="AN1445">
        <f>IF($AJ1445=1,IFERROR(IF(VALUE($C1445)&lt;100000000,VALUE($C1445),1000000000),IFERROR(IF(VALUE(MID($C1445,2,20))&lt;100000000,VALUE(MID($C1445,2,20)),1000000000),1000000000))+ROW()/100000,"")</f>
        <v/>
      </c>
    </row>
    <row r="1446">
      <c r="E1446" s="11" t="n"/>
      <c r="M1446" s="7">
        <f>IF($C1446="","",L1446*U1446/100)</f>
        <v/>
      </c>
      <c r="N1446" s="7" t="n"/>
      <c r="T1446" s="7" t="n"/>
      <c r="U1446" s="7">
        <f>IF($C1446="","",S1446*T1446)</f>
        <v/>
      </c>
      <c r="X1446">
        <f>IF($C1446="","",IF($AM1446=1,0,IF($AL1446=1,Settings!$C$6,Settings!$C$7))*100)</f>
        <v/>
      </c>
      <c r="AB1446" s="7" t="n"/>
      <c r="AE1446" s="11" t="n"/>
      <c r="AG1446" s="7">
        <f>IF($C1446="","",U1446*X1446/100)</f>
        <v/>
      </c>
      <c r="AH1446" s="7">
        <f>IF($C1446="","",U1446-AG1446)</f>
        <v/>
      </c>
      <c r="AI1446" s="7">
        <f>IF($C1446="","",AH1446-M1446)</f>
        <v/>
      </c>
      <c r="AJ1446">
        <f>IF($C1446="","",IF(COUNTIF($C$2:$C1446,$C1446)=1,1,0))</f>
        <v/>
      </c>
      <c r="AK1446">
        <f>IF($AJ1446=1,SUMPRODUCT(--($AN$2:$AN$4001&lt;$AN1446))+1,"")</f>
        <v/>
      </c>
      <c r="AL1446">
        <f>IF($C1446="","",IF(OR($Q1446=TRUE(),$Q1446="TRUE"),1,0))</f>
        <v/>
      </c>
      <c r="AM1446">
        <f>IF($C1446="","",IF($W1446="Yes",1,0))</f>
        <v/>
      </c>
      <c r="AN1446">
        <f>IF($AJ1446=1,IFERROR(IF(VALUE($C1446)&lt;100000000,VALUE($C1446),1000000000),IFERROR(IF(VALUE(MID($C1446,2,20))&lt;100000000,VALUE(MID($C1446,2,20)),1000000000),1000000000))+ROW()/100000,"")</f>
        <v/>
      </c>
    </row>
    <row r="1447">
      <c r="E1447" s="11" t="n"/>
      <c r="M1447" s="7">
        <f>IF($C1447="","",L1447*U1447/100)</f>
        <v/>
      </c>
      <c r="N1447" s="7" t="n"/>
      <c r="T1447" s="7" t="n"/>
      <c r="U1447" s="7">
        <f>IF($C1447="","",S1447*T1447)</f>
        <v/>
      </c>
      <c r="X1447">
        <f>IF($C1447="","",IF($AM1447=1,0,IF($AL1447=1,Settings!$C$6,Settings!$C$7))*100)</f>
        <v/>
      </c>
      <c r="AB1447" s="7" t="n"/>
      <c r="AE1447" s="11" t="n"/>
      <c r="AG1447" s="7">
        <f>IF($C1447="","",U1447*X1447/100)</f>
        <v/>
      </c>
      <c r="AH1447" s="7">
        <f>IF($C1447="","",U1447-AG1447)</f>
        <v/>
      </c>
      <c r="AI1447" s="7">
        <f>IF($C1447="","",AH1447-M1447)</f>
        <v/>
      </c>
      <c r="AJ1447">
        <f>IF($C1447="","",IF(COUNTIF($C$2:$C1447,$C1447)=1,1,0))</f>
        <v/>
      </c>
      <c r="AK1447">
        <f>IF($AJ1447=1,SUMPRODUCT(--($AN$2:$AN$4001&lt;$AN1447))+1,"")</f>
        <v/>
      </c>
      <c r="AL1447">
        <f>IF($C1447="","",IF(OR($Q1447=TRUE(),$Q1447="TRUE"),1,0))</f>
        <v/>
      </c>
      <c r="AM1447">
        <f>IF($C1447="","",IF($W1447="Yes",1,0))</f>
        <v/>
      </c>
      <c r="AN1447">
        <f>IF($AJ1447=1,IFERROR(IF(VALUE($C1447)&lt;100000000,VALUE($C1447),1000000000),IFERROR(IF(VALUE(MID($C1447,2,20))&lt;100000000,VALUE(MID($C1447,2,20)),1000000000),1000000000))+ROW()/100000,"")</f>
        <v/>
      </c>
    </row>
    <row r="1448">
      <c r="E1448" s="11" t="n"/>
      <c r="M1448" s="7">
        <f>IF($C1448="","",L1448*U1448/100)</f>
        <v/>
      </c>
      <c r="N1448" s="7" t="n"/>
      <c r="T1448" s="7" t="n"/>
      <c r="U1448" s="7">
        <f>IF($C1448="","",S1448*T1448)</f>
        <v/>
      </c>
      <c r="X1448">
        <f>IF($C1448="","",IF($AM1448=1,0,IF($AL1448=1,Settings!$C$6,Settings!$C$7))*100)</f>
        <v/>
      </c>
      <c r="AB1448" s="7" t="n"/>
      <c r="AE1448" s="11" t="n"/>
      <c r="AG1448" s="7">
        <f>IF($C1448="","",U1448*X1448/100)</f>
        <v/>
      </c>
      <c r="AH1448" s="7">
        <f>IF($C1448="","",U1448-AG1448)</f>
        <v/>
      </c>
      <c r="AI1448" s="7">
        <f>IF($C1448="","",AH1448-M1448)</f>
        <v/>
      </c>
      <c r="AJ1448">
        <f>IF($C1448="","",IF(COUNTIF($C$2:$C1448,$C1448)=1,1,0))</f>
        <v/>
      </c>
      <c r="AK1448">
        <f>IF($AJ1448=1,SUMPRODUCT(--($AN$2:$AN$4001&lt;$AN1448))+1,"")</f>
        <v/>
      </c>
      <c r="AL1448">
        <f>IF($C1448="","",IF(OR($Q1448=TRUE(),$Q1448="TRUE"),1,0))</f>
        <v/>
      </c>
      <c r="AM1448">
        <f>IF($C1448="","",IF($W1448="Yes",1,0))</f>
        <v/>
      </c>
      <c r="AN1448">
        <f>IF($AJ1448=1,IFERROR(IF(VALUE($C1448)&lt;100000000,VALUE($C1448),1000000000),IFERROR(IF(VALUE(MID($C1448,2,20))&lt;100000000,VALUE(MID($C1448,2,20)),1000000000),1000000000))+ROW()/100000,"")</f>
        <v/>
      </c>
    </row>
    <row r="1449">
      <c r="E1449" s="11" t="n"/>
      <c r="M1449" s="7">
        <f>IF($C1449="","",L1449*U1449/100)</f>
        <v/>
      </c>
      <c r="N1449" s="7" t="n"/>
      <c r="T1449" s="7" t="n"/>
      <c r="U1449" s="7">
        <f>IF($C1449="","",S1449*T1449)</f>
        <v/>
      </c>
      <c r="X1449">
        <f>IF($C1449="","",IF($AM1449=1,0,IF($AL1449=1,Settings!$C$6,Settings!$C$7))*100)</f>
        <v/>
      </c>
      <c r="AB1449" s="7" t="n"/>
      <c r="AE1449" s="11" t="n"/>
      <c r="AG1449" s="7">
        <f>IF($C1449="","",U1449*X1449/100)</f>
        <v/>
      </c>
      <c r="AH1449" s="7">
        <f>IF($C1449="","",U1449-AG1449)</f>
        <v/>
      </c>
      <c r="AI1449" s="7">
        <f>IF($C1449="","",AH1449-M1449)</f>
        <v/>
      </c>
      <c r="AJ1449">
        <f>IF($C1449="","",IF(COUNTIF($C$2:$C1449,$C1449)=1,1,0))</f>
        <v/>
      </c>
      <c r="AK1449">
        <f>IF($AJ1449=1,SUMPRODUCT(--($AN$2:$AN$4001&lt;$AN1449))+1,"")</f>
        <v/>
      </c>
      <c r="AL1449">
        <f>IF($C1449="","",IF(OR($Q1449=TRUE(),$Q1449="TRUE"),1,0))</f>
        <v/>
      </c>
      <c r="AM1449">
        <f>IF($C1449="","",IF($W1449="Yes",1,0))</f>
        <v/>
      </c>
      <c r="AN1449">
        <f>IF($AJ1449=1,IFERROR(IF(VALUE($C1449)&lt;100000000,VALUE($C1449),1000000000),IFERROR(IF(VALUE(MID($C1449,2,20))&lt;100000000,VALUE(MID($C1449,2,20)),1000000000),1000000000))+ROW()/100000,"")</f>
        <v/>
      </c>
    </row>
    <row r="1450">
      <c r="E1450" s="11" t="n"/>
      <c r="M1450" s="7">
        <f>IF($C1450="","",L1450*U1450/100)</f>
        <v/>
      </c>
      <c r="N1450" s="7" t="n"/>
      <c r="T1450" s="7" t="n"/>
      <c r="U1450" s="7">
        <f>IF($C1450="","",S1450*T1450)</f>
        <v/>
      </c>
      <c r="X1450">
        <f>IF($C1450="","",IF($AM1450=1,0,IF($AL1450=1,Settings!$C$6,Settings!$C$7))*100)</f>
        <v/>
      </c>
      <c r="AB1450" s="7" t="n"/>
      <c r="AE1450" s="11" t="n"/>
      <c r="AG1450" s="7">
        <f>IF($C1450="","",U1450*X1450/100)</f>
        <v/>
      </c>
      <c r="AH1450" s="7">
        <f>IF($C1450="","",U1450-AG1450)</f>
        <v/>
      </c>
      <c r="AI1450" s="7">
        <f>IF($C1450="","",AH1450-M1450)</f>
        <v/>
      </c>
      <c r="AJ1450">
        <f>IF($C1450="","",IF(COUNTIF($C$2:$C1450,$C1450)=1,1,0))</f>
        <v/>
      </c>
      <c r="AK1450">
        <f>IF($AJ1450=1,SUMPRODUCT(--($AN$2:$AN$4001&lt;$AN1450))+1,"")</f>
        <v/>
      </c>
      <c r="AL1450">
        <f>IF($C1450="","",IF(OR($Q1450=TRUE(),$Q1450="TRUE"),1,0))</f>
        <v/>
      </c>
      <c r="AM1450">
        <f>IF($C1450="","",IF($W1450="Yes",1,0))</f>
        <v/>
      </c>
      <c r="AN1450">
        <f>IF($AJ1450=1,IFERROR(IF(VALUE($C1450)&lt;100000000,VALUE($C1450),1000000000),IFERROR(IF(VALUE(MID($C1450,2,20))&lt;100000000,VALUE(MID($C1450,2,20)),1000000000),1000000000))+ROW()/100000,"")</f>
        <v/>
      </c>
    </row>
    <row r="1451">
      <c r="E1451" s="11" t="n"/>
      <c r="M1451" s="7">
        <f>IF($C1451="","",L1451*U1451/100)</f>
        <v/>
      </c>
      <c r="N1451" s="7" t="n"/>
      <c r="T1451" s="7" t="n"/>
      <c r="U1451" s="7">
        <f>IF($C1451="","",S1451*T1451)</f>
        <v/>
      </c>
      <c r="X1451">
        <f>IF($C1451="","",IF($AM1451=1,0,IF($AL1451=1,Settings!$C$6,Settings!$C$7))*100)</f>
        <v/>
      </c>
      <c r="AB1451" s="7" t="n"/>
      <c r="AE1451" s="11" t="n"/>
      <c r="AG1451" s="7">
        <f>IF($C1451="","",U1451*X1451/100)</f>
        <v/>
      </c>
      <c r="AH1451" s="7">
        <f>IF($C1451="","",U1451-AG1451)</f>
        <v/>
      </c>
      <c r="AI1451" s="7">
        <f>IF($C1451="","",AH1451-M1451)</f>
        <v/>
      </c>
      <c r="AJ1451">
        <f>IF($C1451="","",IF(COUNTIF($C$2:$C1451,$C1451)=1,1,0))</f>
        <v/>
      </c>
      <c r="AK1451">
        <f>IF($AJ1451=1,SUMPRODUCT(--($AN$2:$AN$4001&lt;$AN1451))+1,"")</f>
        <v/>
      </c>
      <c r="AL1451">
        <f>IF($C1451="","",IF(OR($Q1451=TRUE(),$Q1451="TRUE"),1,0))</f>
        <v/>
      </c>
      <c r="AM1451">
        <f>IF($C1451="","",IF($W1451="Yes",1,0))</f>
        <v/>
      </c>
      <c r="AN1451">
        <f>IF($AJ1451=1,IFERROR(IF(VALUE($C1451)&lt;100000000,VALUE($C1451),1000000000),IFERROR(IF(VALUE(MID($C1451,2,20))&lt;100000000,VALUE(MID($C1451,2,20)),1000000000),1000000000))+ROW()/100000,"")</f>
        <v/>
      </c>
    </row>
    <row r="1452">
      <c r="E1452" s="11" t="n"/>
      <c r="M1452" s="7">
        <f>IF($C1452="","",L1452*U1452/100)</f>
        <v/>
      </c>
      <c r="N1452" s="7" t="n"/>
      <c r="T1452" s="7" t="n"/>
      <c r="U1452" s="7">
        <f>IF($C1452="","",S1452*T1452)</f>
        <v/>
      </c>
      <c r="X1452">
        <f>IF($C1452="","",IF($AM1452=1,0,IF($AL1452=1,Settings!$C$6,Settings!$C$7))*100)</f>
        <v/>
      </c>
      <c r="AB1452" s="7" t="n"/>
      <c r="AE1452" s="11" t="n"/>
      <c r="AG1452" s="7">
        <f>IF($C1452="","",U1452*X1452/100)</f>
        <v/>
      </c>
      <c r="AH1452" s="7">
        <f>IF($C1452="","",U1452-AG1452)</f>
        <v/>
      </c>
      <c r="AI1452" s="7">
        <f>IF($C1452="","",AH1452-M1452)</f>
        <v/>
      </c>
      <c r="AJ1452">
        <f>IF($C1452="","",IF(COUNTIF($C$2:$C1452,$C1452)=1,1,0))</f>
        <v/>
      </c>
      <c r="AK1452">
        <f>IF($AJ1452=1,SUMPRODUCT(--($AN$2:$AN$4001&lt;$AN1452))+1,"")</f>
        <v/>
      </c>
      <c r="AL1452">
        <f>IF($C1452="","",IF(OR($Q1452=TRUE(),$Q1452="TRUE"),1,0))</f>
        <v/>
      </c>
      <c r="AM1452">
        <f>IF($C1452="","",IF($W1452="Yes",1,0))</f>
        <v/>
      </c>
      <c r="AN1452">
        <f>IF($AJ1452=1,IFERROR(IF(VALUE($C1452)&lt;100000000,VALUE($C1452),1000000000),IFERROR(IF(VALUE(MID($C1452,2,20))&lt;100000000,VALUE(MID($C1452,2,20)),1000000000),1000000000))+ROW()/100000,"")</f>
        <v/>
      </c>
    </row>
    <row r="1453">
      <c r="E1453" s="11" t="n"/>
      <c r="M1453" s="7">
        <f>IF($C1453="","",L1453*U1453/100)</f>
        <v/>
      </c>
      <c r="N1453" s="7" t="n"/>
      <c r="T1453" s="7" t="n"/>
      <c r="U1453" s="7">
        <f>IF($C1453="","",S1453*T1453)</f>
        <v/>
      </c>
      <c r="X1453">
        <f>IF($C1453="","",IF($AM1453=1,0,IF($AL1453=1,Settings!$C$6,Settings!$C$7))*100)</f>
        <v/>
      </c>
      <c r="AB1453" s="7" t="n"/>
      <c r="AE1453" s="11" t="n"/>
      <c r="AG1453" s="7">
        <f>IF($C1453="","",U1453*X1453/100)</f>
        <v/>
      </c>
      <c r="AH1453" s="7">
        <f>IF($C1453="","",U1453-AG1453)</f>
        <v/>
      </c>
      <c r="AI1453" s="7">
        <f>IF($C1453="","",AH1453-M1453)</f>
        <v/>
      </c>
      <c r="AJ1453">
        <f>IF($C1453="","",IF(COUNTIF($C$2:$C1453,$C1453)=1,1,0))</f>
        <v/>
      </c>
      <c r="AK1453">
        <f>IF($AJ1453=1,SUMPRODUCT(--($AN$2:$AN$4001&lt;$AN1453))+1,"")</f>
        <v/>
      </c>
      <c r="AL1453">
        <f>IF($C1453="","",IF(OR($Q1453=TRUE(),$Q1453="TRUE"),1,0))</f>
        <v/>
      </c>
      <c r="AM1453">
        <f>IF($C1453="","",IF($W1453="Yes",1,0))</f>
        <v/>
      </c>
      <c r="AN1453">
        <f>IF($AJ1453=1,IFERROR(IF(VALUE($C1453)&lt;100000000,VALUE($C1453),1000000000),IFERROR(IF(VALUE(MID($C1453,2,20))&lt;100000000,VALUE(MID($C1453,2,20)),1000000000),1000000000))+ROW()/100000,"")</f>
        <v/>
      </c>
    </row>
    <row r="1454">
      <c r="E1454" s="11" t="n"/>
      <c r="M1454" s="7">
        <f>IF($C1454="","",L1454*U1454/100)</f>
        <v/>
      </c>
      <c r="N1454" s="7" t="n"/>
      <c r="T1454" s="7" t="n"/>
      <c r="U1454" s="7">
        <f>IF($C1454="","",S1454*T1454)</f>
        <v/>
      </c>
      <c r="X1454">
        <f>IF($C1454="","",IF($AM1454=1,0,IF($AL1454=1,Settings!$C$6,Settings!$C$7))*100)</f>
        <v/>
      </c>
      <c r="AB1454" s="7" t="n"/>
      <c r="AE1454" s="11" t="n"/>
      <c r="AG1454" s="7">
        <f>IF($C1454="","",U1454*X1454/100)</f>
        <v/>
      </c>
      <c r="AH1454" s="7">
        <f>IF($C1454="","",U1454-AG1454)</f>
        <v/>
      </c>
      <c r="AI1454" s="7">
        <f>IF($C1454="","",AH1454-M1454)</f>
        <v/>
      </c>
      <c r="AJ1454">
        <f>IF($C1454="","",IF(COUNTIF($C$2:$C1454,$C1454)=1,1,0))</f>
        <v/>
      </c>
      <c r="AK1454">
        <f>IF($AJ1454=1,SUMPRODUCT(--($AN$2:$AN$4001&lt;$AN1454))+1,"")</f>
        <v/>
      </c>
      <c r="AL1454">
        <f>IF($C1454="","",IF(OR($Q1454=TRUE(),$Q1454="TRUE"),1,0))</f>
        <v/>
      </c>
      <c r="AM1454">
        <f>IF($C1454="","",IF($W1454="Yes",1,0))</f>
        <v/>
      </c>
      <c r="AN1454">
        <f>IF($AJ1454=1,IFERROR(IF(VALUE($C1454)&lt;100000000,VALUE($C1454),1000000000),IFERROR(IF(VALUE(MID($C1454,2,20))&lt;100000000,VALUE(MID($C1454,2,20)),1000000000),1000000000))+ROW()/100000,"")</f>
        <v/>
      </c>
    </row>
    <row r="1455">
      <c r="E1455" s="11" t="n"/>
      <c r="M1455" s="7">
        <f>IF($C1455="","",L1455*U1455/100)</f>
        <v/>
      </c>
      <c r="N1455" s="7" t="n"/>
      <c r="T1455" s="7" t="n"/>
      <c r="U1455" s="7">
        <f>IF($C1455="","",S1455*T1455)</f>
        <v/>
      </c>
      <c r="X1455">
        <f>IF($C1455="","",IF($AM1455=1,0,IF($AL1455=1,Settings!$C$6,Settings!$C$7))*100)</f>
        <v/>
      </c>
      <c r="AB1455" s="7" t="n"/>
      <c r="AE1455" s="11" t="n"/>
      <c r="AG1455" s="7">
        <f>IF($C1455="","",U1455*X1455/100)</f>
        <v/>
      </c>
      <c r="AH1455" s="7">
        <f>IF($C1455="","",U1455-AG1455)</f>
        <v/>
      </c>
      <c r="AI1455" s="7">
        <f>IF($C1455="","",AH1455-M1455)</f>
        <v/>
      </c>
      <c r="AJ1455">
        <f>IF($C1455="","",IF(COUNTIF($C$2:$C1455,$C1455)=1,1,0))</f>
        <v/>
      </c>
      <c r="AK1455">
        <f>IF($AJ1455=1,SUMPRODUCT(--($AN$2:$AN$4001&lt;$AN1455))+1,"")</f>
        <v/>
      </c>
      <c r="AL1455">
        <f>IF($C1455="","",IF(OR($Q1455=TRUE(),$Q1455="TRUE"),1,0))</f>
        <v/>
      </c>
      <c r="AM1455">
        <f>IF($C1455="","",IF($W1455="Yes",1,0))</f>
        <v/>
      </c>
      <c r="AN1455">
        <f>IF($AJ1455=1,IFERROR(IF(VALUE($C1455)&lt;100000000,VALUE($C1455),1000000000),IFERROR(IF(VALUE(MID($C1455,2,20))&lt;100000000,VALUE(MID($C1455,2,20)),1000000000),1000000000))+ROW()/100000,"")</f>
        <v/>
      </c>
    </row>
    <row r="1456">
      <c r="E1456" s="11" t="n"/>
      <c r="M1456" s="7">
        <f>IF($C1456="","",L1456*U1456/100)</f>
        <v/>
      </c>
      <c r="N1456" s="7" t="n"/>
      <c r="T1456" s="7" t="n"/>
      <c r="U1456" s="7">
        <f>IF($C1456="","",S1456*T1456)</f>
        <v/>
      </c>
      <c r="X1456">
        <f>IF($C1456="","",IF($AM1456=1,0,IF($AL1456=1,Settings!$C$6,Settings!$C$7))*100)</f>
        <v/>
      </c>
      <c r="AB1456" s="7" t="n"/>
      <c r="AE1456" s="11" t="n"/>
      <c r="AG1456" s="7">
        <f>IF($C1456="","",U1456*X1456/100)</f>
        <v/>
      </c>
      <c r="AH1456" s="7">
        <f>IF($C1456="","",U1456-AG1456)</f>
        <v/>
      </c>
      <c r="AI1456" s="7">
        <f>IF($C1456="","",AH1456-M1456)</f>
        <v/>
      </c>
      <c r="AJ1456">
        <f>IF($C1456="","",IF(COUNTIF($C$2:$C1456,$C1456)=1,1,0))</f>
        <v/>
      </c>
      <c r="AK1456">
        <f>IF($AJ1456=1,SUMPRODUCT(--($AN$2:$AN$4001&lt;$AN1456))+1,"")</f>
        <v/>
      </c>
      <c r="AL1456">
        <f>IF($C1456="","",IF(OR($Q1456=TRUE(),$Q1456="TRUE"),1,0))</f>
        <v/>
      </c>
      <c r="AM1456">
        <f>IF($C1456="","",IF($W1456="Yes",1,0))</f>
        <v/>
      </c>
      <c r="AN1456">
        <f>IF($AJ1456=1,IFERROR(IF(VALUE($C1456)&lt;100000000,VALUE($C1456),1000000000),IFERROR(IF(VALUE(MID($C1456,2,20))&lt;100000000,VALUE(MID($C1456,2,20)),1000000000),1000000000))+ROW()/100000,"")</f>
        <v/>
      </c>
    </row>
    <row r="1457">
      <c r="E1457" s="11" t="n"/>
      <c r="M1457" s="7">
        <f>IF($C1457="","",L1457*U1457/100)</f>
        <v/>
      </c>
      <c r="N1457" s="7" t="n"/>
      <c r="T1457" s="7" t="n"/>
      <c r="U1457" s="7">
        <f>IF($C1457="","",S1457*T1457)</f>
        <v/>
      </c>
      <c r="X1457">
        <f>IF($C1457="","",IF($AM1457=1,0,IF($AL1457=1,Settings!$C$6,Settings!$C$7))*100)</f>
        <v/>
      </c>
      <c r="AB1457" s="7" t="n"/>
      <c r="AE1457" s="11" t="n"/>
      <c r="AG1457" s="7">
        <f>IF($C1457="","",U1457*X1457/100)</f>
        <v/>
      </c>
      <c r="AH1457" s="7">
        <f>IF($C1457="","",U1457-AG1457)</f>
        <v/>
      </c>
      <c r="AI1457" s="7">
        <f>IF($C1457="","",AH1457-M1457)</f>
        <v/>
      </c>
      <c r="AJ1457">
        <f>IF($C1457="","",IF(COUNTIF($C$2:$C1457,$C1457)=1,1,0))</f>
        <v/>
      </c>
      <c r="AK1457">
        <f>IF($AJ1457=1,SUMPRODUCT(--($AN$2:$AN$4001&lt;$AN1457))+1,"")</f>
        <v/>
      </c>
      <c r="AL1457">
        <f>IF($C1457="","",IF(OR($Q1457=TRUE(),$Q1457="TRUE"),1,0))</f>
        <v/>
      </c>
      <c r="AM1457">
        <f>IF($C1457="","",IF($W1457="Yes",1,0))</f>
        <v/>
      </c>
      <c r="AN1457">
        <f>IF($AJ1457=1,IFERROR(IF(VALUE($C1457)&lt;100000000,VALUE($C1457),1000000000),IFERROR(IF(VALUE(MID($C1457,2,20))&lt;100000000,VALUE(MID($C1457,2,20)),1000000000),1000000000))+ROW()/100000,"")</f>
        <v/>
      </c>
    </row>
    <row r="1458">
      <c r="E1458" s="11" t="n"/>
      <c r="M1458" s="7">
        <f>IF($C1458="","",L1458*U1458/100)</f>
        <v/>
      </c>
      <c r="N1458" s="7" t="n"/>
      <c r="T1458" s="7" t="n"/>
      <c r="U1458" s="7">
        <f>IF($C1458="","",S1458*T1458)</f>
        <v/>
      </c>
      <c r="X1458">
        <f>IF($C1458="","",IF($AM1458=1,0,IF($AL1458=1,Settings!$C$6,Settings!$C$7))*100)</f>
        <v/>
      </c>
      <c r="AB1458" s="7" t="n"/>
      <c r="AE1458" s="11" t="n"/>
      <c r="AG1458" s="7">
        <f>IF($C1458="","",U1458*X1458/100)</f>
        <v/>
      </c>
      <c r="AH1458" s="7">
        <f>IF($C1458="","",U1458-AG1458)</f>
        <v/>
      </c>
      <c r="AI1458" s="7">
        <f>IF($C1458="","",AH1458-M1458)</f>
        <v/>
      </c>
      <c r="AJ1458">
        <f>IF($C1458="","",IF(COUNTIF($C$2:$C1458,$C1458)=1,1,0))</f>
        <v/>
      </c>
      <c r="AK1458">
        <f>IF($AJ1458=1,SUMPRODUCT(--($AN$2:$AN$4001&lt;$AN1458))+1,"")</f>
        <v/>
      </c>
      <c r="AL1458">
        <f>IF($C1458="","",IF(OR($Q1458=TRUE(),$Q1458="TRUE"),1,0))</f>
        <v/>
      </c>
      <c r="AM1458">
        <f>IF($C1458="","",IF($W1458="Yes",1,0))</f>
        <v/>
      </c>
      <c r="AN1458">
        <f>IF($AJ1458=1,IFERROR(IF(VALUE($C1458)&lt;100000000,VALUE($C1458),1000000000),IFERROR(IF(VALUE(MID($C1458,2,20))&lt;100000000,VALUE(MID($C1458,2,20)),1000000000),1000000000))+ROW()/100000,"")</f>
        <v/>
      </c>
    </row>
    <row r="1459">
      <c r="E1459" s="11" t="n"/>
      <c r="M1459" s="7">
        <f>IF($C1459="","",L1459*U1459/100)</f>
        <v/>
      </c>
      <c r="N1459" s="7" t="n"/>
      <c r="T1459" s="7" t="n"/>
      <c r="U1459" s="7">
        <f>IF($C1459="","",S1459*T1459)</f>
        <v/>
      </c>
      <c r="X1459">
        <f>IF($C1459="","",IF($AM1459=1,0,IF($AL1459=1,Settings!$C$6,Settings!$C$7))*100)</f>
        <v/>
      </c>
      <c r="AB1459" s="7" t="n"/>
      <c r="AE1459" s="11" t="n"/>
      <c r="AG1459" s="7">
        <f>IF($C1459="","",U1459*X1459/100)</f>
        <v/>
      </c>
      <c r="AH1459" s="7">
        <f>IF($C1459="","",U1459-AG1459)</f>
        <v/>
      </c>
      <c r="AI1459" s="7">
        <f>IF($C1459="","",AH1459-M1459)</f>
        <v/>
      </c>
      <c r="AJ1459">
        <f>IF($C1459="","",IF(COUNTIF($C$2:$C1459,$C1459)=1,1,0))</f>
        <v/>
      </c>
      <c r="AK1459">
        <f>IF($AJ1459=1,SUMPRODUCT(--($AN$2:$AN$4001&lt;$AN1459))+1,"")</f>
        <v/>
      </c>
      <c r="AL1459">
        <f>IF($C1459="","",IF(OR($Q1459=TRUE(),$Q1459="TRUE"),1,0))</f>
        <v/>
      </c>
      <c r="AM1459">
        <f>IF($C1459="","",IF($W1459="Yes",1,0))</f>
        <v/>
      </c>
      <c r="AN1459">
        <f>IF($AJ1459=1,IFERROR(IF(VALUE($C1459)&lt;100000000,VALUE($C1459),1000000000),IFERROR(IF(VALUE(MID($C1459,2,20))&lt;100000000,VALUE(MID($C1459,2,20)),1000000000),1000000000))+ROW()/100000,"")</f>
        <v/>
      </c>
    </row>
    <row r="1460">
      <c r="E1460" s="11" t="n"/>
      <c r="M1460" s="7">
        <f>IF($C1460="","",L1460*U1460/100)</f>
        <v/>
      </c>
      <c r="N1460" s="7" t="n"/>
      <c r="T1460" s="7" t="n"/>
      <c r="U1460" s="7">
        <f>IF($C1460="","",S1460*T1460)</f>
        <v/>
      </c>
      <c r="X1460">
        <f>IF($C1460="","",IF($AM1460=1,0,IF($AL1460=1,Settings!$C$6,Settings!$C$7))*100)</f>
        <v/>
      </c>
      <c r="AB1460" s="7" t="n"/>
      <c r="AE1460" s="11" t="n"/>
      <c r="AG1460" s="7">
        <f>IF($C1460="","",U1460*X1460/100)</f>
        <v/>
      </c>
      <c r="AH1460" s="7">
        <f>IF($C1460="","",U1460-AG1460)</f>
        <v/>
      </c>
      <c r="AI1460" s="7">
        <f>IF($C1460="","",AH1460-M1460)</f>
        <v/>
      </c>
      <c r="AJ1460">
        <f>IF($C1460="","",IF(COUNTIF($C$2:$C1460,$C1460)=1,1,0))</f>
        <v/>
      </c>
      <c r="AK1460">
        <f>IF($AJ1460=1,SUMPRODUCT(--($AN$2:$AN$4001&lt;$AN1460))+1,"")</f>
        <v/>
      </c>
      <c r="AL1460">
        <f>IF($C1460="","",IF(OR($Q1460=TRUE(),$Q1460="TRUE"),1,0))</f>
        <v/>
      </c>
      <c r="AM1460">
        <f>IF($C1460="","",IF($W1460="Yes",1,0))</f>
        <v/>
      </c>
      <c r="AN1460">
        <f>IF($AJ1460=1,IFERROR(IF(VALUE($C1460)&lt;100000000,VALUE($C1460),1000000000),IFERROR(IF(VALUE(MID($C1460,2,20))&lt;100000000,VALUE(MID($C1460,2,20)),1000000000),1000000000))+ROW()/100000,"")</f>
        <v/>
      </c>
    </row>
    <row r="1461">
      <c r="E1461" s="11" t="n"/>
      <c r="M1461" s="7">
        <f>IF($C1461="","",L1461*U1461/100)</f>
        <v/>
      </c>
      <c r="N1461" s="7" t="n"/>
      <c r="T1461" s="7" t="n"/>
      <c r="U1461" s="7">
        <f>IF($C1461="","",S1461*T1461)</f>
        <v/>
      </c>
      <c r="X1461">
        <f>IF($C1461="","",IF($AM1461=1,0,IF($AL1461=1,Settings!$C$6,Settings!$C$7))*100)</f>
        <v/>
      </c>
      <c r="AB1461" s="7" t="n"/>
      <c r="AE1461" s="11" t="n"/>
      <c r="AG1461" s="7">
        <f>IF($C1461="","",U1461*X1461/100)</f>
        <v/>
      </c>
      <c r="AH1461" s="7">
        <f>IF($C1461="","",U1461-AG1461)</f>
        <v/>
      </c>
      <c r="AI1461" s="7">
        <f>IF($C1461="","",AH1461-M1461)</f>
        <v/>
      </c>
      <c r="AJ1461">
        <f>IF($C1461="","",IF(COUNTIF($C$2:$C1461,$C1461)=1,1,0))</f>
        <v/>
      </c>
      <c r="AK1461">
        <f>IF($AJ1461=1,SUMPRODUCT(--($AN$2:$AN$4001&lt;$AN1461))+1,"")</f>
        <v/>
      </c>
      <c r="AL1461">
        <f>IF($C1461="","",IF(OR($Q1461=TRUE(),$Q1461="TRUE"),1,0))</f>
        <v/>
      </c>
      <c r="AM1461">
        <f>IF($C1461="","",IF($W1461="Yes",1,0))</f>
        <v/>
      </c>
      <c r="AN1461">
        <f>IF($AJ1461=1,IFERROR(IF(VALUE($C1461)&lt;100000000,VALUE($C1461),1000000000),IFERROR(IF(VALUE(MID($C1461,2,20))&lt;100000000,VALUE(MID($C1461,2,20)),1000000000),1000000000))+ROW()/100000,"")</f>
        <v/>
      </c>
    </row>
    <row r="1462">
      <c r="E1462" s="11" t="n"/>
      <c r="M1462" s="7">
        <f>IF($C1462="","",L1462*U1462/100)</f>
        <v/>
      </c>
      <c r="N1462" s="7" t="n"/>
      <c r="T1462" s="7" t="n"/>
      <c r="U1462" s="7">
        <f>IF($C1462="","",S1462*T1462)</f>
        <v/>
      </c>
      <c r="X1462">
        <f>IF($C1462="","",IF($AM1462=1,0,IF($AL1462=1,Settings!$C$6,Settings!$C$7))*100)</f>
        <v/>
      </c>
      <c r="AB1462" s="7" t="n"/>
      <c r="AE1462" s="11" t="n"/>
      <c r="AG1462" s="7">
        <f>IF($C1462="","",U1462*X1462/100)</f>
        <v/>
      </c>
      <c r="AH1462" s="7">
        <f>IF($C1462="","",U1462-AG1462)</f>
        <v/>
      </c>
      <c r="AI1462" s="7">
        <f>IF($C1462="","",AH1462-M1462)</f>
        <v/>
      </c>
      <c r="AJ1462">
        <f>IF($C1462="","",IF(COUNTIF($C$2:$C1462,$C1462)=1,1,0))</f>
        <v/>
      </c>
      <c r="AK1462">
        <f>IF($AJ1462=1,SUMPRODUCT(--($AN$2:$AN$4001&lt;$AN1462))+1,"")</f>
        <v/>
      </c>
      <c r="AL1462">
        <f>IF($C1462="","",IF(OR($Q1462=TRUE(),$Q1462="TRUE"),1,0))</f>
        <v/>
      </c>
      <c r="AM1462">
        <f>IF($C1462="","",IF($W1462="Yes",1,0))</f>
        <v/>
      </c>
      <c r="AN1462">
        <f>IF($AJ1462=1,IFERROR(IF(VALUE($C1462)&lt;100000000,VALUE($C1462),1000000000),IFERROR(IF(VALUE(MID($C1462,2,20))&lt;100000000,VALUE(MID($C1462,2,20)),1000000000),1000000000))+ROW()/100000,"")</f>
        <v/>
      </c>
    </row>
    <row r="1463">
      <c r="E1463" s="11" t="n"/>
      <c r="M1463" s="7">
        <f>IF($C1463="","",L1463*U1463/100)</f>
        <v/>
      </c>
      <c r="N1463" s="7" t="n"/>
      <c r="T1463" s="7" t="n"/>
      <c r="U1463" s="7">
        <f>IF($C1463="","",S1463*T1463)</f>
        <v/>
      </c>
      <c r="X1463">
        <f>IF($C1463="","",IF($AM1463=1,0,IF($AL1463=1,Settings!$C$6,Settings!$C$7))*100)</f>
        <v/>
      </c>
      <c r="AB1463" s="7" t="n"/>
      <c r="AE1463" s="11" t="n"/>
      <c r="AG1463" s="7">
        <f>IF($C1463="","",U1463*X1463/100)</f>
        <v/>
      </c>
      <c r="AH1463" s="7">
        <f>IF($C1463="","",U1463-AG1463)</f>
        <v/>
      </c>
      <c r="AI1463" s="7">
        <f>IF($C1463="","",AH1463-M1463)</f>
        <v/>
      </c>
      <c r="AJ1463">
        <f>IF($C1463="","",IF(COUNTIF($C$2:$C1463,$C1463)=1,1,0))</f>
        <v/>
      </c>
      <c r="AK1463">
        <f>IF($AJ1463=1,SUMPRODUCT(--($AN$2:$AN$4001&lt;$AN1463))+1,"")</f>
        <v/>
      </c>
      <c r="AL1463">
        <f>IF($C1463="","",IF(OR($Q1463=TRUE(),$Q1463="TRUE"),1,0))</f>
        <v/>
      </c>
      <c r="AM1463">
        <f>IF($C1463="","",IF($W1463="Yes",1,0))</f>
        <v/>
      </c>
      <c r="AN1463">
        <f>IF($AJ1463=1,IFERROR(IF(VALUE($C1463)&lt;100000000,VALUE($C1463),1000000000),IFERROR(IF(VALUE(MID($C1463,2,20))&lt;100000000,VALUE(MID($C1463,2,20)),1000000000),1000000000))+ROW()/100000,"")</f>
        <v/>
      </c>
    </row>
    <row r="1464">
      <c r="E1464" s="11" t="n"/>
      <c r="M1464" s="7">
        <f>IF($C1464="","",L1464*U1464/100)</f>
        <v/>
      </c>
      <c r="N1464" s="7" t="n"/>
      <c r="T1464" s="7" t="n"/>
      <c r="U1464" s="7">
        <f>IF($C1464="","",S1464*T1464)</f>
        <v/>
      </c>
      <c r="X1464">
        <f>IF($C1464="","",IF($AM1464=1,0,IF($AL1464=1,Settings!$C$6,Settings!$C$7))*100)</f>
        <v/>
      </c>
      <c r="AB1464" s="7" t="n"/>
      <c r="AE1464" s="11" t="n"/>
      <c r="AG1464" s="7">
        <f>IF($C1464="","",U1464*X1464/100)</f>
        <v/>
      </c>
      <c r="AH1464" s="7">
        <f>IF($C1464="","",U1464-AG1464)</f>
        <v/>
      </c>
      <c r="AI1464" s="7">
        <f>IF($C1464="","",AH1464-M1464)</f>
        <v/>
      </c>
      <c r="AJ1464">
        <f>IF($C1464="","",IF(COUNTIF($C$2:$C1464,$C1464)=1,1,0))</f>
        <v/>
      </c>
      <c r="AK1464">
        <f>IF($AJ1464=1,SUMPRODUCT(--($AN$2:$AN$4001&lt;$AN1464))+1,"")</f>
        <v/>
      </c>
      <c r="AL1464">
        <f>IF($C1464="","",IF(OR($Q1464=TRUE(),$Q1464="TRUE"),1,0))</f>
        <v/>
      </c>
      <c r="AM1464">
        <f>IF($C1464="","",IF($W1464="Yes",1,0))</f>
        <v/>
      </c>
      <c r="AN1464">
        <f>IF($AJ1464=1,IFERROR(IF(VALUE($C1464)&lt;100000000,VALUE($C1464),1000000000),IFERROR(IF(VALUE(MID($C1464,2,20))&lt;100000000,VALUE(MID($C1464,2,20)),1000000000),1000000000))+ROW()/100000,"")</f>
        <v/>
      </c>
    </row>
    <row r="1465">
      <c r="E1465" s="11" t="n"/>
      <c r="M1465" s="7">
        <f>IF($C1465="","",L1465*U1465/100)</f>
        <v/>
      </c>
      <c r="N1465" s="7" t="n"/>
      <c r="T1465" s="7" t="n"/>
      <c r="U1465" s="7">
        <f>IF($C1465="","",S1465*T1465)</f>
        <v/>
      </c>
      <c r="X1465">
        <f>IF($C1465="","",IF($AM1465=1,0,IF($AL1465=1,Settings!$C$6,Settings!$C$7))*100)</f>
        <v/>
      </c>
      <c r="AB1465" s="7" t="n"/>
      <c r="AE1465" s="11" t="n"/>
      <c r="AG1465" s="7">
        <f>IF($C1465="","",U1465*X1465/100)</f>
        <v/>
      </c>
      <c r="AH1465" s="7">
        <f>IF($C1465="","",U1465-AG1465)</f>
        <v/>
      </c>
      <c r="AI1465" s="7">
        <f>IF($C1465="","",AH1465-M1465)</f>
        <v/>
      </c>
      <c r="AJ1465">
        <f>IF($C1465="","",IF(COUNTIF($C$2:$C1465,$C1465)=1,1,0))</f>
        <v/>
      </c>
      <c r="AK1465">
        <f>IF($AJ1465=1,SUMPRODUCT(--($AN$2:$AN$4001&lt;$AN1465))+1,"")</f>
        <v/>
      </c>
      <c r="AL1465">
        <f>IF($C1465="","",IF(OR($Q1465=TRUE(),$Q1465="TRUE"),1,0))</f>
        <v/>
      </c>
      <c r="AM1465">
        <f>IF($C1465="","",IF($W1465="Yes",1,0))</f>
        <v/>
      </c>
      <c r="AN1465">
        <f>IF($AJ1465=1,IFERROR(IF(VALUE($C1465)&lt;100000000,VALUE($C1465),1000000000),IFERROR(IF(VALUE(MID($C1465,2,20))&lt;100000000,VALUE(MID($C1465,2,20)),1000000000),1000000000))+ROW()/100000,"")</f>
        <v/>
      </c>
    </row>
    <row r="1466">
      <c r="E1466" s="11" t="n"/>
      <c r="M1466" s="7">
        <f>IF($C1466="","",L1466*U1466/100)</f>
        <v/>
      </c>
      <c r="N1466" s="7" t="n"/>
      <c r="T1466" s="7" t="n"/>
      <c r="U1466" s="7">
        <f>IF($C1466="","",S1466*T1466)</f>
        <v/>
      </c>
      <c r="X1466">
        <f>IF($C1466="","",IF($AM1466=1,0,IF($AL1466=1,Settings!$C$6,Settings!$C$7))*100)</f>
        <v/>
      </c>
      <c r="AB1466" s="7" t="n"/>
      <c r="AE1466" s="11" t="n"/>
      <c r="AG1466" s="7">
        <f>IF($C1466="","",U1466*X1466/100)</f>
        <v/>
      </c>
      <c r="AH1466" s="7">
        <f>IF($C1466="","",U1466-AG1466)</f>
        <v/>
      </c>
      <c r="AI1466" s="7">
        <f>IF($C1466="","",AH1466-M1466)</f>
        <v/>
      </c>
      <c r="AJ1466">
        <f>IF($C1466="","",IF(COUNTIF($C$2:$C1466,$C1466)=1,1,0))</f>
        <v/>
      </c>
      <c r="AK1466">
        <f>IF($AJ1466=1,SUMPRODUCT(--($AN$2:$AN$4001&lt;$AN1466))+1,"")</f>
        <v/>
      </c>
      <c r="AL1466">
        <f>IF($C1466="","",IF(OR($Q1466=TRUE(),$Q1466="TRUE"),1,0))</f>
        <v/>
      </c>
      <c r="AM1466">
        <f>IF($C1466="","",IF($W1466="Yes",1,0))</f>
        <v/>
      </c>
      <c r="AN1466">
        <f>IF($AJ1466=1,IFERROR(IF(VALUE($C1466)&lt;100000000,VALUE($C1466),1000000000),IFERROR(IF(VALUE(MID($C1466,2,20))&lt;100000000,VALUE(MID($C1466,2,20)),1000000000),1000000000))+ROW()/100000,"")</f>
        <v/>
      </c>
    </row>
    <row r="1467">
      <c r="E1467" s="11" t="n"/>
      <c r="M1467" s="7">
        <f>IF($C1467="","",L1467*U1467/100)</f>
        <v/>
      </c>
      <c r="N1467" s="7" t="n"/>
      <c r="T1467" s="7" t="n"/>
      <c r="U1467" s="7">
        <f>IF($C1467="","",S1467*T1467)</f>
        <v/>
      </c>
      <c r="X1467">
        <f>IF($C1467="","",IF($AM1467=1,0,IF($AL1467=1,Settings!$C$6,Settings!$C$7))*100)</f>
        <v/>
      </c>
      <c r="AB1467" s="7" t="n"/>
      <c r="AE1467" s="11" t="n"/>
      <c r="AG1467" s="7">
        <f>IF($C1467="","",U1467*X1467/100)</f>
        <v/>
      </c>
      <c r="AH1467" s="7">
        <f>IF($C1467="","",U1467-AG1467)</f>
        <v/>
      </c>
      <c r="AI1467" s="7">
        <f>IF($C1467="","",AH1467-M1467)</f>
        <v/>
      </c>
      <c r="AJ1467">
        <f>IF($C1467="","",IF(COUNTIF($C$2:$C1467,$C1467)=1,1,0))</f>
        <v/>
      </c>
      <c r="AK1467">
        <f>IF($AJ1467=1,SUMPRODUCT(--($AN$2:$AN$4001&lt;$AN1467))+1,"")</f>
        <v/>
      </c>
      <c r="AL1467">
        <f>IF($C1467="","",IF(OR($Q1467=TRUE(),$Q1467="TRUE"),1,0))</f>
        <v/>
      </c>
      <c r="AM1467">
        <f>IF($C1467="","",IF($W1467="Yes",1,0))</f>
        <v/>
      </c>
      <c r="AN1467">
        <f>IF($AJ1467=1,IFERROR(IF(VALUE($C1467)&lt;100000000,VALUE($C1467),1000000000),IFERROR(IF(VALUE(MID($C1467,2,20))&lt;100000000,VALUE(MID($C1467,2,20)),1000000000),1000000000))+ROW()/100000,"")</f>
        <v/>
      </c>
    </row>
    <row r="1468">
      <c r="E1468" s="11" t="n"/>
      <c r="M1468" s="7">
        <f>IF($C1468="","",L1468*U1468/100)</f>
        <v/>
      </c>
      <c r="N1468" s="7" t="n"/>
      <c r="T1468" s="7" t="n"/>
      <c r="U1468" s="7">
        <f>IF($C1468="","",S1468*T1468)</f>
        <v/>
      </c>
      <c r="X1468">
        <f>IF($C1468="","",IF($AM1468=1,0,IF($AL1468=1,Settings!$C$6,Settings!$C$7))*100)</f>
        <v/>
      </c>
      <c r="AB1468" s="7" t="n"/>
      <c r="AE1468" s="11" t="n"/>
      <c r="AG1468" s="7">
        <f>IF($C1468="","",U1468*X1468/100)</f>
        <v/>
      </c>
      <c r="AH1468" s="7">
        <f>IF($C1468="","",U1468-AG1468)</f>
        <v/>
      </c>
      <c r="AI1468" s="7">
        <f>IF($C1468="","",AH1468-M1468)</f>
        <v/>
      </c>
      <c r="AJ1468">
        <f>IF($C1468="","",IF(COUNTIF($C$2:$C1468,$C1468)=1,1,0))</f>
        <v/>
      </c>
      <c r="AK1468">
        <f>IF($AJ1468=1,SUMPRODUCT(--($AN$2:$AN$4001&lt;$AN1468))+1,"")</f>
        <v/>
      </c>
      <c r="AL1468">
        <f>IF($C1468="","",IF(OR($Q1468=TRUE(),$Q1468="TRUE"),1,0))</f>
        <v/>
      </c>
      <c r="AM1468">
        <f>IF($C1468="","",IF($W1468="Yes",1,0))</f>
        <v/>
      </c>
      <c r="AN1468">
        <f>IF($AJ1468=1,IFERROR(IF(VALUE($C1468)&lt;100000000,VALUE($C1468),1000000000),IFERROR(IF(VALUE(MID($C1468,2,20))&lt;100000000,VALUE(MID($C1468,2,20)),1000000000),1000000000))+ROW()/100000,"")</f>
        <v/>
      </c>
    </row>
    <row r="1469">
      <c r="E1469" s="11" t="n"/>
      <c r="M1469" s="7">
        <f>IF($C1469="","",L1469*U1469/100)</f>
        <v/>
      </c>
      <c r="N1469" s="7" t="n"/>
      <c r="T1469" s="7" t="n"/>
      <c r="U1469" s="7">
        <f>IF($C1469="","",S1469*T1469)</f>
        <v/>
      </c>
      <c r="X1469">
        <f>IF($C1469="","",IF($AM1469=1,0,IF($AL1469=1,Settings!$C$6,Settings!$C$7))*100)</f>
        <v/>
      </c>
      <c r="AB1469" s="7" t="n"/>
      <c r="AE1469" s="11" t="n"/>
      <c r="AG1469" s="7">
        <f>IF($C1469="","",U1469*X1469/100)</f>
        <v/>
      </c>
      <c r="AH1469" s="7">
        <f>IF($C1469="","",U1469-AG1469)</f>
        <v/>
      </c>
      <c r="AI1469" s="7">
        <f>IF($C1469="","",AH1469-M1469)</f>
        <v/>
      </c>
      <c r="AJ1469">
        <f>IF($C1469="","",IF(COUNTIF($C$2:$C1469,$C1469)=1,1,0))</f>
        <v/>
      </c>
      <c r="AK1469">
        <f>IF($AJ1469=1,SUMPRODUCT(--($AN$2:$AN$4001&lt;$AN1469))+1,"")</f>
        <v/>
      </c>
      <c r="AL1469">
        <f>IF($C1469="","",IF(OR($Q1469=TRUE(),$Q1469="TRUE"),1,0))</f>
        <v/>
      </c>
      <c r="AM1469">
        <f>IF($C1469="","",IF($W1469="Yes",1,0))</f>
        <v/>
      </c>
      <c r="AN1469">
        <f>IF($AJ1469=1,IFERROR(IF(VALUE($C1469)&lt;100000000,VALUE($C1469),1000000000),IFERROR(IF(VALUE(MID($C1469,2,20))&lt;100000000,VALUE(MID($C1469,2,20)),1000000000),1000000000))+ROW()/100000,"")</f>
        <v/>
      </c>
    </row>
    <row r="1470">
      <c r="E1470" s="11" t="n"/>
      <c r="M1470" s="7">
        <f>IF($C1470="","",L1470*U1470/100)</f>
        <v/>
      </c>
      <c r="N1470" s="7" t="n"/>
      <c r="T1470" s="7" t="n"/>
      <c r="U1470" s="7">
        <f>IF($C1470="","",S1470*T1470)</f>
        <v/>
      </c>
      <c r="X1470">
        <f>IF($C1470="","",IF($AM1470=1,0,IF($AL1470=1,Settings!$C$6,Settings!$C$7))*100)</f>
        <v/>
      </c>
      <c r="AB1470" s="7" t="n"/>
      <c r="AE1470" s="11" t="n"/>
      <c r="AG1470" s="7">
        <f>IF($C1470="","",U1470*X1470/100)</f>
        <v/>
      </c>
      <c r="AH1470" s="7">
        <f>IF($C1470="","",U1470-AG1470)</f>
        <v/>
      </c>
      <c r="AI1470" s="7">
        <f>IF($C1470="","",AH1470-M1470)</f>
        <v/>
      </c>
      <c r="AJ1470">
        <f>IF($C1470="","",IF(COUNTIF($C$2:$C1470,$C1470)=1,1,0))</f>
        <v/>
      </c>
      <c r="AK1470">
        <f>IF($AJ1470=1,SUMPRODUCT(--($AN$2:$AN$4001&lt;$AN1470))+1,"")</f>
        <v/>
      </c>
      <c r="AL1470">
        <f>IF($C1470="","",IF(OR($Q1470=TRUE(),$Q1470="TRUE"),1,0))</f>
        <v/>
      </c>
      <c r="AM1470">
        <f>IF($C1470="","",IF($W1470="Yes",1,0))</f>
        <v/>
      </c>
      <c r="AN1470">
        <f>IF($AJ1470=1,IFERROR(IF(VALUE($C1470)&lt;100000000,VALUE($C1470),1000000000),IFERROR(IF(VALUE(MID($C1470,2,20))&lt;100000000,VALUE(MID($C1470,2,20)),1000000000),1000000000))+ROW()/100000,"")</f>
        <v/>
      </c>
    </row>
    <row r="1471">
      <c r="E1471" s="11" t="n"/>
      <c r="M1471" s="7">
        <f>IF($C1471="","",L1471*U1471/100)</f>
        <v/>
      </c>
      <c r="N1471" s="7" t="n"/>
      <c r="T1471" s="7" t="n"/>
      <c r="U1471" s="7">
        <f>IF($C1471="","",S1471*T1471)</f>
        <v/>
      </c>
      <c r="X1471">
        <f>IF($C1471="","",IF($AM1471=1,0,IF($AL1471=1,Settings!$C$6,Settings!$C$7))*100)</f>
        <v/>
      </c>
      <c r="AB1471" s="7" t="n"/>
      <c r="AE1471" s="11" t="n"/>
      <c r="AG1471" s="7">
        <f>IF($C1471="","",U1471*X1471/100)</f>
        <v/>
      </c>
      <c r="AH1471" s="7">
        <f>IF($C1471="","",U1471-AG1471)</f>
        <v/>
      </c>
      <c r="AI1471" s="7">
        <f>IF($C1471="","",AH1471-M1471)</f>
        <v/>
      </c>
      <c r="AJ1471">
        <f>IF($C1471="","",IF(COUNTIF($C$2:$C1471,$C1471)=1,1,0))</f>
        <v/>
      </c>
      <c r="AK1471">
        <f>IF($AJ1471=1,SUMPRODUCT(--($AN$2:$AN$4001&lt;$AN1471))+1,"")</f>
        <v/>
      </c>
      <c r="AL1471">
        <f>IF($C1471="","",IF(OR($Q1471=TRUE(),$Q1471="TRUE"),1,0))</f>
        <v/>
      </c>
      <c r="AM1471">
        <f>IF($C1471="","",IF($W1471="Yes",1,0))</f>
        <v/>
      </c>
      <c r="AN1471">
        <f>IF($AJ1471=1,IFERROR(IF(VALUE($C1471)&lt;100000000,VALUE($C1471),1000000000),IFERROR(IF(VALUE(MID($C1471,2,20))&lt;100000000,VALUE(MID($C1471,2,20)),1000000000),1000000000))+ROW()/100000,"")</f>
        <v/>
      </c>
    </row>
    <row r="1472">
      <c r="E1472" s="11" t="n"/>
      <c r="M1472" s="7">
        <f>IF($C1472="","",L1472*U1472/100)</f>
        <v/>
      </c>
      <c r="N1472" s="7" t="n"/>
      <c r="T1472" s="7" t="n"/>
      <c r="U1472" s="7">
        <f>IF($C1472="","",S1472*T1472)</f>
        <v/>
      </c>
      <c r="X1472">
        <f>IF($C1472="","",IF($AM1472=1,0,IF($AL1472=1,Settings!$C$6,Settings!$C$7))*100)</f>
        <v/>
      </c>
      <c r="AB1472" s="7" t="n"/>
      <c r="AE1472" s="11" t="n"/>
      <c r="AG1472" s="7">
        <f>IF($C1472="","",U1472*X1472/100)</f>
        <v/>
      </c>
      <c r="AH1472" s="7">
        <f>IF($C1472="","",U1472-AG1472)</f>
        <v/>
      </c>
      <c r="AI1472" s="7">
        <f>IF($C1472="","",AH1472-M1472)</f>
        <v/>
      </c>
      <c r="AJ1472">
        <f>IF($C1472="","",IF(COUNTIF($C$2:$C1472,$C1472)=1,1,0))</f>
        <v/>
      </c>
      <c r="AK1472">
        <f>IF($AJ1472=1,SUMPRODUCT(--($AN$2:$AN$4001&lt;$AN1472))+1,"")</f>
        <v/>
      </c>
      <c r="AL1472">
        <f>IF($C1472="","",IF(OR($Q1472=TRUE(),$Q1472="TRUE"),1,0))</f>
        <v/>
      </c>
      <c r="AM1472">
        <f>IF($C1472="","",IF($W1472="Yes",1,0))</f>
        <v/>
      </c>
      <c r="AN1472">
        <f>IF($AJ1472=1,IFERROR(IF(VALUE($C1472)&lt;100000000,VALUE($C1472),1000000000),IFERROR(IF(VALUE(MID($C1472,2,20))&lt;100000000,VALUE(MID($C1472,2,20)),1000000000),1000000000))+ROW()/100000,"")</f>
        <v/>
      </c>
    </row>
    <row r="1473">
      <c r="E1473" s="11" t="n"/>
      <c r="M1473" s="7">
        <f>IF($C1473="","",L1473*U1473/100)</f>
        <v/>
      </c>
      <c r="N1473" s="7" t="n"/>
      <c r="T1473" s="7" t="n"/>
      <c r="U1473" s="7">
        <f>IF($C1473="","",S1473*T1473)</f>
        <v/>
      </c>
      <c r="X1473">
        <f>IF($C1473="","",IF($AM1473=1,0,IF($AL1473=1,Settings!$C$6,Settings!$C$7))*100)</f>
        <v/>
      </c>
      <c r="AB1473" s="7" t="n"/>
      <c r="AE1473" s="11" t="n"/>
      <c r="AG1473" s="7">
        <f>IF($C1473="","",U1473*X1473/100)</f>
        <v/>
      </c>
      <c r="AH1473" s="7">
        <f>IF($C1473="","",U1473-AG1473)</f>
        <v/>
      </c>
      <c r="AI1473" s="7">
        <f>IF($C1473="","",AH1473-M1473)</f>
        <v/>
      </c>
      <c r="AJ1473">
        <f>IF($C1473="","",IF(COUNTIF($C$2:$C1473,$C1473)=1,1,0))</f>
        <v/>
      </c>
      <c r="AK1473">
        <f>IF($AJ1473=1,SUMPRODUCT(--($AN$2:$AN$4001&lt;$AN1473))+1,"")</f>
        <v/>
      </c>
      <c r="AL1473">
        <f>IF($C1473="","",IF(OR($Q1473=TRUE(),$Q1473="TRUE"),1,0))</f>
        <v/>
      </c>
      <c r="AM1473">
        <f>IF($C1473="","",IF($W1473="Yes",1,0))</f>
        <v/>
      </c>
      <c r="AN1473">
        <f>IF($AJ1473=1,IFERROR(IF(VALUE($C1473)&lt;100000000,VALUE($C1473),1000000000),IFERROR(IF(VALUE(MID($C1473,2,20))&lt;100000000,VALUE(MID($C1473,2,20)),1000000000),1000000000))+ROW()/100000,"")</f>
        <v/>
      </c>
    </row>
    <row r="1474">
      <c r="E1474" s="11" t="n"/>
      <c r="M1474" s="7">
        <f>IF($C1474="","",L1474*U1474/100)</f>
        <v/>
      </c>
      <c r="N1474" s="7" t="n"/>
      <c r="T1474" s="7" t="n"/>
      <c r="U1474" s="7">
        <f>IF($C1474="","",S1474*T1474)</f>
        <v/>
      </c>
      <c r="X1474">
        <f>IF($C1474="","",IF($AM1474=1,0,IF($AL1474=1,Settings!$C$6,Settings!$C$7))*100)</f>
        <v/>
      </c>
      <c r="AB1474" s="7" t="n"/>
      <c r="AE1474" s="11" t="n"/>
      <c r="AG1474" s="7">
        <f>IF($C1474="","",U1474*X1474/100)</f>
        <v/>
      </c>
      <c r="AH1474" s="7">
        <f>IF($C1474="","",U1474-AG1474)</f>
        <v/>
      </c>
      <c r="AI1474" s="7">
        <f>IF($C1474="","",AH1474-M1474)</f>
        <v/>
      </c>
      <c r="AJ1474">
        <f>IF($C1474="","",IF(COUNTIF($C$2:$C1474,$C1474)=1,1,0))</f>
        <v/>
      </c>
      <c r="AK1474">
        <f>IF($AJ1474=1,SUMPRODUCT(--($AN$2:$AN$4001&lt;$AN1474))+1,"")</f>
        <v/>
      </c>
      <c r="AL1474">
        <f>IF($C1474="","",IF(OR($Q1474=TRUE(),$Q1474="TRUE"),1,0))</f>
        <v/>
      </c>
      <c r="AM1474">
        <f>IF($C1474="","",IF($W1474="Yes",1,0))</f>
        <v/>
      </c>
      <c r="AN1474">
        <f>IF($AJ1474=1,IFERROR(IF(VALUE($C1474)&lt;100000000,VALUE($C1474),1000000000),IFERROR(IF(VALUE(MID($C1474,2,20))&lt;100000000,VALUE(MID($C1474,2,20)),1000000000),1000000000))+ROW()/100000,"")</f>
        <v/>
      </c>
    </row>
    <row r="1475">
      <c r="E1475" s="11" t="n"/>
      <c r="M1475" s="7">
        <f>IF($C1475="","",L1475*U1475/100)</f>
        <v/>
      </c>
      <c r="N1475" s="7" t="n"/>
      <c r="T1475" s="7" t="n"/>
      <c r="U1475" s="7">
        <f>IF($C1475="","",S1475*T1475)</f>
        <v/>
      </c>
      <c r="X1475">
        <f>IF($C1475="","",IF($AM1475=1,0,IF($AL1475=1,Settings!$C$6,Settings!$C$7))*100)</f>
        <v/>
      </c>
      <c r="AB1475" s="7" t="n"/>
      <c r="AE1475" s="11" t="n"/>
      <c r="AG1475" s="7">
        <f>IF($C1475="","",U1475*X1475/100)</f>
        <v/>
      </c>
      <c r="AH1475" s="7">
        <f>IF($C1475="","",U1475-AG1475)</f>
        <v/>
      </c>
      <c r="AI1475" s="7">
        <f>IF($C1475="","",AH1475-M1475)</f>
        <v/>
      </c>
      <c r="AJ1475">
        <f>IF($C1475="","",IF(COUNTIF($C$2:$C1475,$C1475)=1,1,0))</f>
        <v/>
      </c>
      <c r="AK1475">
        <f>IF($AJ1475=1,SUMPRODUCT(--($AN$2:$AN$4001&lt;$AN1475))+1,"")</f>
        <v/>
      </c>
      <c r="AL1475">
        <f>IF($C1475="","",IF(OR($Q1475=TRUE(),$Q1475="TRUE"),1,0))</f>
        <v/>
      </c>
      <c r="AM1475">
        <f>IF($C1475="","",IF($W1475="Yes",1,0))</f>
        <v/>
      </c>
      <c r="AN1475">
        <f>IF($AJ1475=1,IFERROR(IF(VALUE($C1475)&lt;100000000,VALUE($C1475),1000000000),IFERROR(IF(VALUE(MID($C1475,2,20))&lt;100000000,VALUE(MID($C1475,2,20)),1000000000),1000000000))+ROW()/100000,"")</f>
        <v/>
      </c>
    </row>
    <row r="1476">
      <c r="E1476" s="11" t="n"/>
      <c r="M1476" s="7">
        <f>IF($C1476="","",L1476*U1476/100)</f>
        <v/>
      </c>
      <c r="N1476" s="7" t="n"/>
      <c r="T1476" s="7" t="n"/>
      <c r="U1476" s="7">
        <f>IF($C1476="","",S1476*T1476)</f>
        <v/>
      </c>
      <c r="X1476">
        <f>IF($C1476="","",IF($AM1476=1,0,IF($AL1476=1,Settings!$C$6,Settings!$C$7))*100)</f>
        <v/>
      </c>
      <c r="AB1476" s="7" t="n"/>
      <c r="AE1476" s="11" t="n"/>
      <c r="AG1476" s="7">
        <f>IF($C1476="","",U1476*X1476/100)</f>
        <v/>
      </c>
      <c r="AH1476" s="7">
        <f>IF($C1476="","",U1476-AG1476)</f>
        <v/>
      </c>
      <c r="AI1476" s="7">
        <f>IF($C1476="","",AH1476-M1476)</f>
        <v/>
      </c>
      <c r="AJ1476">
        <f>IF($C1476="","",IF(COUNTIF($C$2:$C1476,$C1476)=1,1,0))</f>
        <v/>
      </c>
      <c r="AK1476">
        <f>IF($AJ1476=1,SUMPRODUCT(--($AN$2:$AN$4001&lt;$AN1476))+1,"")</f>
        <v/>
      </c>
      <c r="AL1476">
        <f>IF($C1476="","",IF(OR($Q1476=TRUE(),$Q1476="TRUE"),1,0))</f>
        <v/>
      </c>
      <c r="AM1476">
        <f>IF($C1476="","",IF($W1476="Yes",1,0))</f>
        <v/>
      </c>
      <c r="AN1476">
        <f>IF($AJ1476=1,IFERROR(IF(VALUE($C1476)&lt;100000000,VALUE($C1476),1000000000),IFERROR(IF(VALUE(MID($C1476,2,20))&lt;100000000,VALUE(MID($C1476,2,20)),1000000000),1000000000))+ROW()/100000,"")</f>
        <v/>
      </c>
    </row>
    <row r="1477">
      <c r="E1477" s="11" t="n"/>
      <c r="M1477" s="7">
        <f>IF($C1477="","",L1477*U1477/100)</f>
        <v/>
      </c>
      <c r="N1477" s="7" t="n"/>
      <c r="T1477" s="7" t="n"/>
      <c r="U1477" s="7">
        <f>IF($C1477="","",S1477*T1477)</f>
        <v/>
      </c>
      <c r="X1477">
        <f>IF($C1477="","",IF($AM1477=1,0,IF($AL1477=1,Settings!$C$6,Settings!$C$7))*100)</f>
        <v/>
      </c>
      <c r="AB1477" s="7" t="n"/>
      <c r="AE1477" s="11" t="n"/>
      <c r="AG1477" s="7">
        <f>IF($C1477="","",U1477*X1477/100)</f>
        <v/>
      </c>
      <c r="AH1477" s="7">
        <f>IF($C1477="","",U1477-AG1477)</f>
        <v/>
      </c>
      <c r="AI1477" s="7">
        <f>IF($C1477="","",AH1477-M1477)</f>
        <v/>
      </c>
      <c r="AJ1477">
        <f>IF($C1477="","",IF(COUNTIF($C$2:$C1477,$C1477)=1,1,0))</f>
        <v/>
      </c>
      <c r="AK1477">
        <f>IF($AJ1477=1,SUMPRODUCT(--($AN$2:$AN$4001&lt;$AN1477))+1,"")</f>
        <v/>
      </c>
      <c r="AL1477">
        <f>IF($C1477="","",IF(OR($Q1477=TRUE(),$Q1477="TRUE"),1,0))</f>
        <v/>
      </c>
      <c r="AM1477">
        <f>IF($C1477="","",IF($W1477="Yes",1,0))</f>
        <v/>
      </c>
      <c r="AN1477">
        <f>IF($AJ1477=1,IFERROR(IF(VALUE($C1477)&lt;100000000,VALUE($C1477),1000000000),IFERROR(IF(VALUE(MID($C1477,2,20))&lt;100000000,VALUE(MID($C1477,2,20)),1000000000),1000000000))+ROW()/100000,"")</f>
        <v/>
      </c>
    </row>
    <row r="1478">
      <c r="E1478" s="11" t="n"/>
      <c r="M1478" s="7">
        <f>IF($C1478="","",L1478*U1478/100)</f>
        <v/>
      </c>
      <c r="N1478" s="7" t="n"/>
      <c r="T1478" s="7" t="n"/>
      <c r="U1478" s="7">
        <f>IF($C1478="","",S1478*T1478)</f>
        <v/>
      </c>
      <c r="X1478">
        <f>IF($C1478="","",IF($AM1478=1,0,IF($AL1478=1,Settings!$C$6,Settings!$C$7))*100)</f>
        <v/>
      </c>
      <c r="AB1478" s="7" t="n"/>
      <c r="AE1478" s="11" t="n"/>
      <c r="AG1478" s="7">
        <f>IF($C1478="","",U1478*X1478/100)</f>
        <v/>
      </c>
      <c r="AH1478" s="7">
        <f>IF($C1478="","",U1478-AG1478)</f>
        <v/>
      </c>
      <c r="AI1478" s="7">
        <f>IF($C1478="","",AH1478-M1478)</f>
        <v/>
      </c>
      <c r="AJ1478">
        <f>IF($C1478="","",IF(COUNTIF($C$2:$C1478,$C1478)=1,1,0))</f>
        <v/>
      </c>
      <c r="AK1478">
        <f>IF($AJ1478=1,SUMPRODUCT(--($AN$2:$AN$4001&lt;$AN1478))+1,"")</f>
        <v/>
      </c>
      <c r="AL1478">
        <f>IF($C1478="","",IF(OR($Q1478=TRUE(),$Q1478="TRUE"),1,0))</f>
        <v/>
      </c>
      <c r="AM1478">
        <f>IF($C1478="","",IF($W1478="Yes",1,0))</f>
        <v/>
      </c>
      <c r="AN1478">
        <f>IF($AJ1478=1,IFERROR(IF(VALUE($C1478)&lt;100000000,VALUE($C1478),1000000000),IFERROR(IF(VALUE(MID($C1478,2,20))&lt;100000000,VALUE(MID($C1478,2,20)),1000000000),1000000000))+ROW()/100000,"")</f>
        <v/>
      </c>
    </row>
    <row r="1479">
      <c r="E1479" s="11" t="n"/>
      <c r="M1479" s="7">
        <f>IF($C1479="","",L1479*U1479/100)</f>
        <v/>
      </c>
      <c r="N1479" s="7" t="n"/>
      <c r="T1479" s="7" t="n"/>
      <c r="U1479" s="7">
        <f>IF($C1479="","",S1479*T1479)</f>
        <v/>
      </c>
      <c r="X1479">
        <f>IF($C1479="","",IF($AM1479=1,0,IF($AL1479=1,Settings!$C$6,Settings!$C$7))*100)</f>
        <v/>
      </c>
      <c r="AB1479" s="7" t="n"/>
      <c r="AE1479" s="11" t="n"/>
      <c r="AG1479" s="7">
        <f>IF($C1479="","",U1479*X1479/100)</f>
        <v/>
      </c>
      <c r="AH1479" s="7">
        <f>IF($C1479="","",U1479-AG1479)</f>
        <v/>
      </c>
      <c r="AI1479" s="7">
        <f>IF($C1479="","",AH1479-M1479)</f>
        <v/>
      </c>
      <c r="AJ1479">
        <f>IF($C1479="","",IF(COUNTIF($C$2:$C1479,$C1479)=1,1,0))</f>
        <v/>
      </c>
      <c r="AK1479">
        <f>IF($AJ1479=1,SUMPRODUCT(--($AN$2:$AN$4001&lt;$AN1479))+1,"")</f>
        <v/>
      </c>
      <c r="AL1479">
        <f>IF($C1479="","",IF(OR($Q1479=TRUE(),$Q1479="TRUE"),1,0))</f>
        <v/>
      </c>
      <c r="AM1479">
        <f>IF($C1479="","",IF($W1479="Yes",1,0))</f>
        <v/>
      </c>
      <c r="AN1479">
        <f>IF($AJ1479=1,IFERROR(IF(VALUE($C1479)&lt;100000000,VALUE($C1479),1000000000),IFERROR(IF(VALUE(MID($C1479,2,20))&lt;100000000,VALUE(MID($C1479,2,20)),1000000000),1000000000))+ROW()/100000,"")</f>
        <v/>
      </c>
    </row>
    <row r="1480">
      <c r="E1480" s="11" t="n"/>
      <c r="M1480" s="7">
        <f>IF($C1480="","",L1480*U1480/100)</f>
        <v/>
      </c>
      <c r="N1480" s="7" t="n"/>
      <c r="T1480" s="7" t="n"/>
      <c r="U1480" s="7">
        <f>IF($C1480="","",S1480*T1480)</f>
        <v/>
      </c>
      <c r="X1480">
        <f>IF($C1480="","",IF($AM1480=1,0,IF($AL1480=1,Settings!$C$6,Settings!$C$7))*100)</f>
        <v/>
      </c>
      <c r="AB1480" s="7" t="n"/>
      <c r="AE1480" s="11" t="n"/>
      <c r="AG1480" s="7">
        <f>IF($C1480="","",U1480*X1480/100)</f>
        <v/>
      </c>
      <c r="AH1480" s="7">
        <f>IF($C1480="","",U1480-AG1480)</f>
        <v/>
      </c>
      <c r="AI1480" s="7">
        <f>IF($C1480="","",AH1480-M1480)</f>
        <v/>
      </c>
      <c r="AJ1480">
        <f>IF($C1480="","",IF(COUNTIF($C$2:$C1480,$C1480)=1,1,0))</f>
        <v/>
      </c>
      <c r="AK1480">
        <f>IF($AJ1480=1,SUMPRODUCT(--($AN$2:$AN$4001&lt;$AN1480))+1,"")</f>
        <v/>
      </c>
      <c r="AL1480">
        <f>IF($C1480="","",IF(OR($Q1480=TRUE(),$Q1480="TRUE"),1,0))</f>
        <v/>
      </c>
      <c r="AM1480">
        <f>IF($C1480="","",IF($W1480="Yes",1,0))</f>
        <v/>
      </c>
      <c r="AN1480">
        <f>IF($AJ1480=1,IFERROR(IF(VALUE($C1480)&lt;100000000,VALUE($C1480),1000000000),IFERROR(IF(VALUE(MID($C1480,2,20))&lt;100000000,VALUE(MID($C1480,2,20)),1000000000),1000000000))+ROW()/100000,"")</f>
        <v/>
      </c>
    </row>
    <row r="1481">
      <c r="E1481" s="11" t="n"/>
      <c r="M1481" s="7">
        <f>IF($C1481="","",L1481*U1481/100)</f>
        <v/>
      </c>
      <c r="N1481" s="7" t="n"/>
      <c r="T1481" s="7" t="n"/>
      <c r="U1481" s="7">
        <f>IF($C1481="","",S1481*T1481)</f>
        <v/>
      </c>
      <c r="X1481">
        <f>IF($C1481="","",IF($AM1481=1,0,IF($AL1481=1,Settings!$C$6,Settings!$C$7))*100)</f>
        <v/>
      </c>
      <c r="AB1481" s="7" t="n"/>
      <c r="AE1481" s="11" t="n"/>
      <c r="AG1481" s="7">
        <f>IF($C1481="","",U1481*X1481/100)</f>
        <v/>
      </c>
      <c r="AH1481" s="7">
        <f>IF($C1481="","",U1481-AG1481)</f>
        <v/>
      </c>
      <c r="AI1481" s="7">
        <f>IF($C1481="","",AH1481-M1481)</f>
        <v/>
      </c>
      <c r="AJ1481">
        <f>IF($C1481="","",IF(COUNTIF($C$2:$C1481,$C1481)=1,1,0))</f>
        <v/>
      </c>
      <c r="AK1481">
        <f>IF($AJ1481=1,SUMPRODUCT(--($AN$2:$AN$4001&lt;$AN1481))+1,"")</f>
        <v/>
      </c>
      <c r="AL1481">
        <f>IF($C1481="","",IF(OR($Q1481=TRUE(),$Q1481="TRUE"),1,0))</f>
        <v/>
      </c>
      <c r="AM1481">
        <f>IF($C1481="","",IF($W1481="Yes",1,0))</f>
        <v/>
      </c>
      <c r="AN1481">
        <f>IF($AJ1481=1,IFERROR(IF(VALUE($C1481)&lt;100000000,VALUE($C1481),1000000000),IFERROR(IF(VALUE(MID($C1481,2,20))&lt;100000000,VALUE(MID($C1481,2,20)),1000000000),1000000000))+ROW()/100000,"")</f>
        <v/>
      </c>
    </row>
    <row r="1482">
      <c r="E1482" s="11" t="n"/>
      <c r="M1482" s="7">
        <f>IF($C1482="","",L1482*U1482/100)</f>
        <v/>
      </c>
      <c r="N1482" s="7" t="n"/>
      <c r="T1482" s="7" t="n"/>
      <c r="U1482" s="7">
        <f>IF($C1482="","",S1482*T1482)</f>
        <v/>
      </c>
      <c r="X1482">
        <f>IF($C1482="","",IF($AM1482=1,0,IF($AL1482=1,Settings!$C$6,Settings!$C$7))*100)</f>
        <v/>
      </c>
      <c r="AB1482" s="7" t="n"/>
      <c r="AE1482" s="11" t="n"/>
      <c r="AG1482" s="7">
        <f>IF($C1482="","",U1482*X1482/100)</f>
        <v/>
      </c>
      <c r="AH1482" s="7">
        <f>IF($C1482="","",U1482-AG1482)</f>
        <v/>
      </c>
      <c r="AI1482" s="7">
        <f>IF($C1482="","",AH1482-M1482)</f>
        <v/>
      </c>
      <c r="AJ1482">
        <f>IF($C1482="","",IF(COUNTIF($C$2:$C1482,$C1482)=1,1,0))</f>
        <v/>
      </c>
      <c r="AK1482">
        <f>IF($AJ1482=1,SUMPRODUCT(--($AN$2:$AN$4001&lt;$AN1482))+1,"")</f>
        <v/>
      </c>
      <c r="AL1482">
        <f>IF($C1482="","",IF(OR($Q1482=TRUE(),$Q1482="TRUE"),1,0))</f>
        <v/>
      </c>
      <c r="AM1482">
        <f>IF($C1482="","",IF($W1482="Yes",1,0))</f>
        <v/>
      </c>
      <c r="AN1482">
        <f>IF($AJ1482=1,IFERROR(IF(VALUE($C1482)&lt;100000000,VALUE($C1482),1000000000),IFERROR(IF(VALUE(MID($C1482,2,20))&lt;100000000,VALUE(MID($C1482,2,20)),1000000000),1000000000))+ROW()/100000,"")</f>
        <v/>
      </c>
    </row>
    <row r="1483">
      <c r="E1483" s="11" t="n"/>
      <c r="M1483" s="7">
        <f>IF($C1483="","",L1483*U1483/100)</f>
        <v/>
      </c>
      <c r="N1483" s="7" t="n"/>
      <c r="T1483" s="7" t="n"/>
      <c r="U1483" s="7">
        <f>IF($C1483="","",S1483*T1483)</f>
        <v/>
      </c>
      <c r="X1483">
        <f>IF($C1483="","",IF($AM1483=1,0,IF($AL1483=1,Settings!$C$6,Settings!$C$7))*100)</f>
        <v/>
      </c>
      <c r="AB1483" s="7" t="n"/>
      <c r="AE1483" s="11" t="n"/>
      <c r="AG1483" s="7">
        <f>IF($C1483="","",U1483*X1483/100)</f>
        <v/>
      </c>
      <c r="AH1483" s="7">
        <f>IF($C1483="","",U1483-AG1483)</f>
        <v/>
      </c>
      <c r="AI1483" s="7">
        <f>IF($C1483="","",AH1483-M1483)</f>
        <v/>
      </c>
      <c r="AJ1483">
        <f>IF($C1483="","",IF(COUNTIF($C$2:$C1483,$C1483)=1,1,0))</f>
        <v/>
      </c>
      <c r="AK1483">
        <f>IF($AJ1483=1,SUMPRODUCT(--($AN$2:$AN$4001&lt;$AN1483))+1,"")</f>
        <v/>
      </c>
      <c r="AL1483">
        <f>IF($C1483="","",IF(OR($Q1483=TRUE(),$Q1483="TRUE"),1,0))</f>
        <v/>
      </c>
      <c r="AM1483">
        <f>IF($C1483="","",IF($W1483="Yes",1,0))</f>
        <v/>
      </c>
      <c r="AN1483">
        <f>IF($AJ1483=1,IFERROR(IF(VALUE($C1483)&lt;100000000,VALUE($C1483),1000000000),IFERROR(IF(VALUE(MID($C1483,2,20))&lt;100000000,VALUE(MID($C1483,2,20)),1000000000),1000000000))+ROW()/100000,"")</f>
        <v/>
      </c>
    </row>
    <row r="1484">
      <c r="E1484" s="11" t="n"/>
      <c r="M1484" s="7">
        <f>IF($C1484="","",L1484*U1484/100)</f>
        <v/>
      </c>
      <c r="N1484" s="7" t="n"/>
      <c r="T1484" s="7" t="n"/>
      <c r="U1484" s="7">
        <f>IF($C1484="","",S1484*T1484)</f>
        <v/>
      </c>
      <c r="X1484">
        <f>IF($C1484="","",IF($AM1484=1,0,IF($AL1484=1,Settings!$C$6,Settings!$C$7))*100)</f>
        <v/>
      </c>
      <c r="AB1484" s="7" t="n"/>
      <c r="AE1484" s="11" t="n"/>
      <c r="AG1484" s="7">
        <f>IF($C1484="","",U1484*X1484/100)</f>
        <v/>
      </c>
      <c r="AH1484" s="7">
        <f>IF($C1484="","",U1484-AG1484)</f>
        <v/>
      </c>
      <c r="AI1484" s="7">
        <f>IF($C1484="","",AH1484-M1484)</f>
        <v/>
      </c>
      <c r="AJ1484">
        <f>IF($C1484="","",IF(COUNTIF($C$2:$C1484,$C1484)=1,1,0))</f>
        <v/>
      </c>
      <c r="AK1484">
        <f>IF($AJ1484=1,SUMPRODUCT(--($AN$2:$AN$4001&lt;$AN1484))+1,"")</f>
        <v/>
      </c>
      <c r="AL1484">
        <f>IF($C1484="","",IF(OR($Q1484=TRUE(),$Q1484="TRUE"),1,0))</f>
        <v/>
      </c>
      <c r="AM1484">
        <f>IF($C1484="","",IF($W1484="Yes",1,0))</f>
        <v/>
      </c>
      <c r="AN1484">
        <f>IF($AJ1484=1,IFERROR(IF(VALUE($C1484)&lt;100000000,VALUE($C1484),1000000000),IFERROR(IF(VALUE(MID($C1484,2,20))&lt;100000000,VALUE(MID($C1484,2,20)),1000000000),1000000000))+ROW()/100000,"")</f>
        <v/>
      </c>
    </row>
    <row r="1485">
      <c r="E1485" s="11" t="n"/>
      <c r="M1485" s="7">
        <f>IF($C1485="","",L1485*U1485/100)</f>
        <v/>
      </c>
      <c r="N1485" s="7" t="n"/>
      <c r="T1485" s="7" t="n"/>
      <c r="U1485" s="7">
        <f>IF($C1485="","",S1485*T1485)</f>
        <v/>
      </c>
      <c r="X1485">
        <f>IF($C1485="","",IF($AM1485=1,0,IF($AL1485=1,Settings!$C$6,Settings!$C$7))*100)</f>
        <v/>
      </c>
      <c r="AB1485" s="7" t="n"/>
      <c r="AE1485" s="11" t="n"/>
      <c r="AG1485" s="7">
        <f>IF($C1485="","",U1485*X1485/100)</f>
        <v/>
      </c>
      <c r="AH1485" s="7">
        <f>IF($C1485="","",U1485-AG1485)</f>
        <v/>
      </c>
      <c r="AI1485" s="7">
        <f>IF($C1485="","",AH1485-M1485)</f>
        <v/>
      </c>
      <c r="AJ1485">
        <f>IF($C1485="","",IF(COUNTIF($C$2:$C1485,$C1485)=1,1,0))</f>
        <v/>
      </c>
      <c r="AK1485">
        <f>IF($AJ1485=1,SUMPRODUCT(--($AN$2:$AN$4001&lt;$AN1485))+1,"")</f>
        <v/>
      </c>
      <c r="AL1485">
        <f>IF($C1485="","",IF(OR($Q1485=TRUE(),$Q1485="TRUE"),1,0))</f>
        <v/>
      </c>
      <c r="AM1485">
        <f>IF($C1485="","",IF($W1485="Yes",1,0))</f>
        <v/>
      </c>
      <c r="AN1485">
        <f>IF($AJ1485=1,IFERROR(IF(VALUE($C1485)&lt;100000000,VALUE($C1485),1000000000),IFERROR(IF(VALUE(MID($C1485,2,20))&lt;100000000,VALUE(MID($C1485,2,20)),1000000000),1000000000))+ROW()/100000,"")</f>
        <v/>
      </c>
    </row>
    <row r="1486">
      <c r="E1486" s="11" t="n"/>
      <c r="M1486" s="7">
        <f>IF($C1486="","",L1486*U1486/100)</f>
        <v/>
      </c>
      <c r="N1486" s="7" t="n"/>
      <c r="T1486" s="7" t="n"/>
      <c r="U1486" s="7">
        <f>IF($C1486="","",S1486*T1486)</f>
        <v/>
      </c>
      <c r="X1486">
        <f>IF($C1486="","",IF($AM1486=1,0,IF($AL1486=1,Settings!$C$6,Settings!$C$7))*100)</f>
        <v/>
      </c>
      <c r="AB1486" s="7" t="n"/>
      <c r="AE1486" s="11" t="n"/>
      <c r="AG1486" s="7">
        <f>IF($C1486="","",U1486*X1486/100)</f>
        <v/>
      </c>
      <c r="AH1486" s="7">
        <f>IF($C1486="","",U1486-AG1486)</f>
        <v/>
      </c>
      <c r="AI1486" s="7">
        <f>IF($C1486="","",AH1486-M1486)</f>
        <v/>
      </c>
      <c r="AJ1486">
        <f>IF($C1486="","",IF(COUNTIF($C$2:$C1486,$C1486)=1,1,0))</f>
        <v/>
      </c>
      <c r="AK1486">
        <f>IF($AJ1486=1,SUMPRODUCT(--($AN$2:$AN$4001&lt;$AN1486))+1,"")</f>
        <v/>
      </c>
      <c r="AL1486">
        <f>IF($C1486="","",IF(OR($Q1486=TRUE(),$Q1486="TRUE"),1,0))</f>
        <v/>
      </c>
      <c r="AM1486">
        <f>IF($C1486="","",IF($W1486="Yes",1,0))</f>
        <v/>
      </c>
      <c r="AN1486">
        <f>IF($AJ1486=1,IFERROR(IF(VALUE($C1486)&lt;100000000,VALUE($C1486),1000000000),IFERROR(IF(VALUE(MID($C1486,2,20))&lt;100000000,VALUE(MID($C1486,2,20)),1000000000),1000000000))+ROW()/100000,"")</f>
        <v/>
      </c>
    </row>
    <row r="1487">
      <c r="E1487" s="11" t="n"/>
      <c r="M1487" s="7">
        <f>IF($C1487="","",L1487*U1487/100)</f>
        <v/>
      </c>
      <c r="N1487" s="7" t="n"/>
      <c r="T1487" s="7" t="n"/>
      <c r="U1487" s="7">
        <f>IF($C1487="","",S1487*T1487)</f>
        <v/>
      </c>
      <c r="X1487">
        <f>IF($C1487="","",IF($AM1487=1,0,IF($AL1487=1,Settings!$C$6,Settings!$C$7))*100)</f>
        <v/>
      </c>
      <c r="AB1487" s="7" t="n"/>
      <c r="AE1487" s="11" t="n"/>
      <c r="AG1487" s="7">
        <f>IF($C1487="","",U1487*X1487/100)</f>
        <v/>
      </c>
      <c r="AH1487" s="7">
        <f>IF($C1487="","",U1487-AG1487)</f>
        <v/>
      </c>
      <c r="AI1487" s="7">
        <f>IF($C1487="","",AH1487-M1487)</f>
        <v/>
      </c>
      <c r="AJ1487">
        <f>IF($C1487="","",IF(COUNTIF($C$2:$C1487,$C1487)=1,1,0))</f>
        <v/>
      </c>
      <c r="AK1487">
        <f>IF($AJ1487=1,SUMPRODUCT(--($AN$2:$AN$4001&lt;$AN1487))+1,"")</f>
        <v/>
      </c>
      <c r="AL1487">
        <f>IF($C1487="","",IF(OR($Q1487=TRUE(),$Q1487="TRUE"),1,0))</f>
        <v/>
      </c>
      <c r="AM1487">
        <f>IF($C1487="","",IF($W1487="Yes",1,0))</f>
        <v/>
      </c>
      <c r="AN1487">
        <f>IF($AJ1487=1,IFERROR(IF(VALUE($C1487)&lt;100000000,VALUE($C1487),1000000000),IFERROR(IF(VALUE(MID($C1487,2,20))&lt;100000000,VALUE(MID($C1487,2,20)),1000000000),1000000000))+ROW()/100000,"")</f>
        <v/>
      </c>
    </row>
    <row r="1488">
      <c r="E1488" s="11" t="n"/>
      <c r="M1488" s="7">
        <f>IF($C1488="","",L1488*U1488/100)</f>
        <v/>
      </c>
      <c r="N1488" s="7" t="n"/>
      <c r="T1488" s="7" t="n"/>
      <c r="U1488" s="7">
        <f>IF($C1488="","",S1488*T1488)</f>
        <v/>
      </c>
      <c r="X1488">
        <f>IF($C1488="","",IF($AM1488=1,0,IF($AL1488=1,Settings!$C$6,Settings!$C$7))*100)</f>
        <v/>
      </c>
      <c r="AB1488" s="7" t="n"/>
      <c r="AE1488" s="11" t="n"/>
      <c r="AG1488" s="7">
        <f>IF($C1488="","",U1488*X1488/100)</f>
        <v/>
      </c>
      <c r="AH1488" s="7">
        <f>IF($C1488="","",U1488-AG1488)</f>
        <v/>
      </c>
      <c r="AI1488" s="7">
        <f>IF($C1488="","",AH1488-M1488)</f>
        <v/>
      </c>
      <c r="AJ1488">
        <f>IF($C1488="","",IF(COUNTIF($C$2:$C1488,$C1488)=1,1,0))</f>
        <v/>
      </c>
      <c r="AK1488">
        <f>IF($AJ1488=1,SUMPRODUCT(--($AN$2:$AN$4001&lt;$AN1488))+1,"")</f>
        <v/>
      </c>
      <c r="AL1488">
        <f>IF($C1488="","",IF(OR($Q1488=TRUE(),$Q1488="TRUE"),1,0))</f>
        <v/>
      </c>
      <c r="AM1488">
        <f>IF($C1488="","",IF($W1488="Yes",1,0))</f>
        <v/>
      </c>
      <c r="AN1488">
        <f>IF($AJ1488=1,IFERROR(IF(VALUE($C1488)&lt;100000000,VALUE($C1488),1000000000),IFERROR(IF(VALUE(MID($C1488,2,20))&lt;100000000,VALUE(MID($C1488,2,20)),1000000000),1000000000))+ROW()/100000,"")</f>
        <v/>
      </c>
    </row>
    <row r="1489">
      <c r="E1489" s="11" t="n"/>
      <c r="M1489" s="7">
        <f>IF($C1489="","",L1489*U1489/100)</f>
        <v/>
      </c>
      <c r="N1489" s="7" t="n"/>
      <c r="T1489" s="7" t="n"/>
      <c r="U1489" s="7">
        <f>IF($C1489="","",S1489*T1489)</f>
        <v/>
      </c>
      <c r="X1489">
        <f>IF($C1489="","",IF($AM1489=1,0,IF($AL1489=1,Settings!$C$6,Settings!$C$7))*100)</f>
        <v/>
      </c>
      <c r="AB1489" s="7" t="n"/>
      <c r="AE1489" s="11" t="n"/>
      <c r="AG1489" s="7">
        <f>IF($C1489="","",U1489*X1489/100)</f>
        <v/>
      </c>
      <c r="AH1489" s="7">
        <f>IF($C1489="","",U1489-AG1489)</f>
        <v/>
      </c>
      <c r="AI1489" s="7">
        <f>IF($C1489="","",AH1489-M1489)</f>
        <v/>
      </c>
      <c r="AJ1489">
        <f>IF($C1489="","",IF(COUNTIF($C$2:$C1489,$C1489)=1,1,0))</f>
        <v/>
      </c>
      <c r="AK1489">
        <f>IF($AJ1489=1,SUMPRODUCT(--($AN$2:$AN$4001&lt;$AN1489))+1,"")</f>
        <v/>
      </c>
      <c r="AL1489">
        <f>IF($C1489="","",IF(OR($Q1489=TRUE(),$Q1489="TRUE"),1,0))</f>
        <v/>
      </c>
      <c r="AM1489">
        <f>IF($C1489="","",IF($W1489="Yes",1,0))</f>
        <v/>
      </c>
      <c r="AN1489">
        <f>IF($AJ1489=1,IFERROR(IF(VALUE($C1489)&lt;100000000,VALUE($C1489),1000000000),IFERROR(IF(VALUE(MID($C1489,2,20))&lt;100000000,VALUE(MID($C1489,2,20)),1000000000),1000000000))+ROW()/100000,"")</f>
        <v/>
      </c>
    </row>
    <row r="1490">
      <c r="E1490" s="11" t="n"/>
      <c r="M1490" s="7">
        <f>IF($C1490="","",L1490*U1490/100)</f>
        <v/>
      </c>
      <c r="N1490" s="7" t="n"/>
      <c r="T1490" s="7" t="n"/>
      <c r="U1490" s="7">
        <f>IF($C1490="","",S1490*T1490)</f>
        <v/>
      </c>
      <c r="X1490">
        <f>IF($C1490="","",IF($AM1490=1,0,IF($AL1490=1,Settings!$C$6,Settings!$C$7))*100)</f>
        <v/>
      </c>
      <c r="AB1490" s="7" t="n"/>
      <c r="AE1490" s="11" t="n"/>
      <c r="AG1490" s="7">
        <f>IF($C1490="","",U1490*X1490/100)</f>
        <v/>
      </c>
      <c r="AH1490" s="7">
        <f>IF($C1490="","",U1490-AG1490)</f>
        <v/>
      </c>
      <c r="AI1490" s="7">
        <f>IF($C1490="","",AH1490-M1490)</f>
        <v/>
      </c>
      <c r="AJ1490">
        <f>IF($C1490="","",IF(COUNTIF($C$2:$C1490,$C1490)=1,1,0))</f>
        <v/>
      </c>
      <c r="AK1490">
        <f>IF($AJ1490=1,SUMPRODUCT(--($AN$2:$AN$4001&lt;$AN1490))+1,"")</f>
        <v/>
      </c>
      <c r="AL1490">
        <f>IF($C1490="","",IF(OR($Q1490=TRUE(),$Q1490="TRUE"),1,0))</f>
        <v/>
      </c>
      <c r="AM1490">
        <f>IF($C1490="","",IF($W1490="Yes",1,0))</f>
        <v/>
      </c>
      <c r="AN1490">
        <f>IF($AJ1490=1,IFERROR(IF(VALUE($C1490)&lt;100000000,VALUE($C1490),1000000000),IFERROR(IF(VALUE(MID($C1490,2,20))&lt;100000000,VALUE(MID($C1490,2,20)),1000000000),1000000000))+ROW()/100000,"")</f>
        <v/>
      </c>
    </row>
    <row r="1491">
      <c r="E1491" s="11" t="n"/>
      <c r="M1491" s="7">
        <f>IF($C1491="","",L1491*U1491/100)</f>
        <v/>
      </c>
      <c r="N1491" s="7" t="n"/>
      <c r="T1491" s="7" t="n"/>
      <c r="U1491" s="7">
        <f>IF($C1491="","",S1491*T1491)</f>
        <v/>
      </c>
      <c r="X1491">
        <f>IF($C1491="","",IF($AM1491=1,0,IF($AL1491=1,Settings!$C$6,Settings!$C$7))*100)</f>
        <v/>
      </c>
      <c r="AB1491" s="7" t="n"/>
      <c r="AE1491" s="11" t="n"/>
      <c r="AG1491" s="7">
        <f>IF($C1491="","",U1491*X1491/100)</f>
        <v/>
      </c>
      <c r="AH1491" s="7">
        <f>IF($C1491="","",U1491-AG1491)</f>
        <v/>
      </c>
      <c r="AI1491" s="7">
        <f>IF($C1491="","",AH1491-M1491)</f>
        <v/>
      </c>
      <c r="AJ1491">
        <f>IF($C1491="","",IF(COUNTIF($C$2:$C1491,$C1491)=1,1,0))</f>
        <v/>
      </c>
      <c r="AK1491">
        <f>IF($AJ1491=1,SUMPRODUCT(--($AN$2:$AN$4001&lt;$AN1491))+1,"")</f>
        <v/>
      </c>
      <c r="AL1491">
        <f>IF($C1491="","",IF(OR($Q1491=TRUE(),$Q1491="TRUE"),1,0))</f>
        <v/>
      </c>
      <c r="AM1491">
        <f>IF($C1491="","",IF($W1491="Yes",1,0))</f>
        <v/>
      </c>
      <c r="AN1491">
        <f>IF($AJ1491=1,IFERROR(IF(VALUE($C1491)&lt;100000000,VALUE($C1491),1000000000),IFERROR(IF(VALUE(MID($C1491,2,20))&lt;100000000,VALUE(MID($C1491,2,20)),1000000000),1000000000))+ROW()/100000,"")</f>
        <v/>
      </c>
    </row>
    <row r="1492">
      <c r="E1492" s="11" t="n"/>
      <c r="M1492" s="7">
        <f>IF($C1492="","",L1492*U1492/100)</f>
        <v/>
      </c>
      <c r="N1492" s="7" t="n"/>
      <c r="T1492" s="7" t="n"/>
      <c r="U1492" s="7">
        <f>IF($C1492="","",S1492*T1492)</f>
        <v/>
      </c>
      <c r="X1492">
        <f>IF($C1492="","",IF($AM1492=1,0,IF($AL1492=1,Settings!$C$6,Settings!$C$7))*100)</f>
        <v/>
      </c>
      <c r="AB1492" s="7" t="n"/>
      <c r="AE1492" s="11" t="n"/>
      <c r="AG1492" s="7">
        <f>IF($C1492="","",U1492*X1492/100)</f>
        <v/>
      </c>
      <c r="AH1492" s="7">
        <f>IF($C1492="","",U1492-AG1492)</f>
        <v/>
      </c>
      <c r="AI1492" s="7">
        <f>IF($C1492="","",AH1492-M1492)</f>
        <v/>
      </c>
      <c r="AJ1492">
        <f>IF($C1492="","",IF(COUNTIF($C$2:$C1492,$C1492)=1,1,0))</f>
        <v/>
      </c>
      <c r="AK1492">
        <f>IF($AJ1492=1,SUMPRODUCT(--($AN$2:$AN$4001&lt;$AN1492))+1,"")</f>
        <v/>
      </c>
      <c r="AL1492">
        <f>IF($C1492="","",IF(OR($Q1492=TRUE(),$Q1492="TRUE"),1,0))</f>
        <v/>
      </c>
      <c r="AM1492">
        <f>IF($C1492="","",IF($W1492="Yes",1,0))</f>
        <v/>
      </c>
      <c r="AN1492">
        <f>IF($AJ1492=1,IFERROR(IF(VALUE($C1492)&lt;100000000,VALUE($C1492),1000000000),IFERROR(IF(VALUE(MID($C1492,2,20))&lt;100000000,VALUE(MID($C1492,2,20)),1000000000),1000000000))+ROW()/100000,"")</f>
        <v/>
      </c>
    </row>
    <row r="1493">
      <c r="E1493" s="11" t="n"/>
      <c r="M1493" s="7">
        <f>IF($C1493="","",L1493*U1493/100)</f>
        <v/>
      </c>
      <c r="N1493" s="7" t="n"/>
      <c r="T1493" s="7" t="n"/>
      <c r="U1493" s="7">
        <f>IF($C1493="","",S1493*T1493)</f>
        <v/>
      </c>
      <c r="X1493">
        <f>IF($C1493="","",IF($AM1493=1,0,IF($AL1493=1,Settings!$C$6,Settings!$C$7))*100)</f>
        <v/>
      </c>
      <c r="AB1493" s="7" t="n"/>
      <c r="AE1493" s="11" t="n"/>
      <c r="AG1493" s="7">
        <f>IF($C1493="","",U1493*X1493/100)</f>
        <v/>
      </c>
      <c r="AH1493" s="7">
        <f>IF($C1493="","",U1493-AG1493)</f>
        <v/>
      </c>
      <c r="AI1493" s="7">
        <f>IF($C1493="","",AH1493-M1493)</f>
        <v/>
      </c>
      <c r="AJ1493">
        <f>IF($C1493="","",IF(COUNTIF($C$2:$C1493,$C1493)=1,1,0))</f>
        <v/>
      </c>
      <c r="AK1493">
        <f>IF($AJ1493=1,SUMPRODUCT(--($AN$2:$AN$4001&lt;$AN1493))+1,"")</f>
        <v/>
      </c>
      <c r="AL1493">
        <f>IF($C1493="","",IF(OR($Q1493=TRUE(),$Q1493="TRUE"),1,0))</f>
        <v/>
      </c>
      <c r="AM1493">
        <f>IF($C1493="","",IF($W1493="Yes",1,0))</f>
        <v/>
      </c>
      <c r="AN1493">
        <f>IF($AJ1493=1,IFERROR(IF(VALUE($C1493)&lt;100000000,VALUE($C1493),1000000000),IFERROR(IF(VALUE(MID($C1493,2,20))&lt;100000000,VALUE(MID($C1493,2,20)),1000000000),1000000000))+ROW()/100000,"")</f>
        <v/>
      </c>
    </row>
    <row r="1494">
      <c r="E1494" s="11" t="n"/>
      <c r="M1494" s="7">
        <f>IF($C1494="","",L1494*U1494/100)</f>
        <v/>
      </c>
      <c r="N1494" s="7" t="n"/>
      <c r="T1494" s="7" t="n"/>
      <c r="U1494" s="7">
        <f>IF($C1494="","",S1494*T1494)</f>
        <v/>
      </c>
      <c r="X1494">
        <f>IF($C1494="","",IF($AM1494=1,0,IF($AL1494=1,Settings!$C$6,Settings!$C$7))*100)</f>
        <v/>
      </c>
      <c r="AB1494" s="7" t="n"/>
      <c r="AE1494" s="11" t="n"/>
      <c r="AG1494" s="7">
        <f>IF($C1494="","",U1494*X1494/100)</f>
        <v/>
      </c>
      <c r="AH1494" s="7">
        <f>IF($C1494="","",U1494-AG1494)</f>
        <v/>
      </c>
      <c r="AI1494" s="7">
        <f>IF($C1494="","",AH1494-M1494)</f>
        <v/>
      </c>
      <c r="AJ1494">
        <f>IF($C1494="","",IF(COUNTIF($C$2:$C1494,$C1494)=1,1,0))</f>
        <v/>
      </c>
      <c r="AK1494">
        <f>IF($AJ1494=1,SUMPRODUCT(--($AN$2:$AN$4001&lt;$AN1494))+1,"")</f>
        <v/>
      </c>
      <c r="AL1494">
        <f>IF($C1494="","",IF(OR($Q1494=TRUE(),$Q1494="TRUE"),1,0))</f>
        <v/>
      </c>
      <c r="AM1494">
        <f>IF($C1494="","",IF($W1494="Yes",1,0))</f>
        <v/>
      </c>
      <c r="AN1494">
        <f>IF($AJ1494=1,IFERROR(IF(VALUE($C1494)&lt;100000000,VALUE($C1494),1000000000),IFERROR(IF(VALUE(MID($C1494,2,20))&lt;100000000,VALUE(MID($C1494,2,20)),1000000000),1000000000))+ROW()/100000,"")</f>
        <v/>
      </c>
    </row>
    <row r="1495">
      <c r="E1495" s="11" t="n"/>
      <c r="M1495" s="7">
        <f>IF($C1495="","",L1495*U1495/100)</f>
        <v/>
      </c>
      <c r="N1495" s="7" t="n"/>
      <c r="T1495" s="7" t="n"/>
      <c r="U1495" s="7">
        <f>IF($C1495="","",S1495*T1495)</f>
        <v/>
      </c>
      <c r="X1495">
        <f>IF($C1495="","",IF($AM1495=1,0,IF($AL1495=1,Settings!$C$6,Settings!$C$7))*100)</f>
        <v/>
      </c>
      <c r="AB1495" s="7" t="n"/>
      <c r="AE1495" s="11" t="n"/>
      <c r="AG1495" s="7">
        <f>IF($C1495="","",U1495*X1495/100)</f>
        <v/>
      </c>
      <c r="AH1495" s="7">
        <f>IF($C1495="","",U1495-AG1495)</f>
        <v/>
      </c>
      <c r="AI1495" s="7">
        <f>IF($C1495="","",AH1495-M1495)</f>
        <v/>
      </c>
      <c r="AJ1495">
        <f>IF($C1495="","",IF(COUNTIF($C$2:$C1495,$C1495)=1,1,0))</f>
        <v/>
      </c>
      <c r="AK1495">
        <f>IF($AJ1495=1,SUMPRODUCT(--($AN$2:$AN$4001&lt;$AN1495))+1,"")</f>
        <v/>
      </c>
      <c r="AL1495">
        <f>IF($C1495="","",IF(OR($Q1495=TRUE(),$Q1495="TRUE"),1,0))</f>
        <v/>
      </c>
      <c r="AM1495">
        <f>IF($C1495="","",IF($W1495="Yes",1,0))</f>
        <v/>
      </c>
      <c r="AN1495">
        <f>IF($AJ1495=1,IFERROR(IF(VALUE($C1495)&lt;100000000,VALUE($C1495),1000000000),IFERROR(IF(VALUE(MID($C1495,2,20))&lt;100000000,VALUE(MID($C1495,2,20)),1000000000),1000000000))+ROW()/100000,"")</f>
        <v/>
      </c>
    </row>
    <row r="1496">
      <c r="E1496" s="11" t="n"/>
      <c r="M1496" s="7">
        <f>IF($C1496="","",L1496*U1496/100)</f>
        <v/>
      </c>
      <c r="N1496" s="7" t="n"/>
      <c r="T1496" s="7" t="n"/>
      <c r="U1496" s="7">
        <f>IF($C1496="","",S1496*T1496)</f>
        <v/>
      </c>
      <c r="X1496">
        <f>IF($C1496="","",IF($AM1496=1,0,IF($AL1496=1,Settings!$C$6,Settings!$C$7))*100)</f>
        <v/>
      </c>
      <c r="AB1496" s="7" t="n"/>
      <c r="AE1496" s="11" t="n"/>
      <c r="AG1496" s="7">
        <f>IF($C1496="","",U1496*X1496/100)</f>
        <v/>
      </c>
      <c r="AH1496" s="7">
        <f>IF($C1496="","",U1496-AG1496)</f>
        <v/>
      </c>
      <c r="AI1496" s="7">
        <f>IF($C1496="","",AH1496-M1496)</f>
        <v/>
      </c>
      <c r="AJ1496">
        <f>IF($C1496="","",IF(COUNTIF($C$2:$C1496,$C1496)=1,1,0))</f>
        <v/>
      </c>
      <c r="AK1496">
        <f>IF($AJ1496=1,SUMPRODUCT(--($AN$2:$AN$4001&lt;$AN1496))+1,"")</f>
        <v/>
      </c>
      <c r="AL1496">
        <f>IF($C1496="","",IF(OR($Q1496=TRUE(),$Q1496="TRUE"),1,0))</f>
        <v/>
      </c>
      <c r="AM1496">
        <f>IF($C1496="","",IF($W1496="Yes",1,0))</f>
        <v/>
      </c>
      <c r="AN1496">
        <f>IF($AJ1496=1,IFERROR(IF(VALUE($C1496)&lt;100000000,VALUE($C1496),1000000000),IFERROR(IF(VALUE(MID($C1496,2,20))&lt;100000000,VALUE(MID($C1496,2,20)),1000000000),1000000000))+ROW()/100000,"")</f>
        <v/>
      </c>
    </row>
    <row r="1497">
      <c r="E1497" s="11" t="n"/>
      <c r="M1497" s="7">
        <f>IF($C1497="","",L1497*U1497/100)</f>
        <v/>
      </c>
      <c r="N1497" s="7" t="n"/>
      <c r="T1497" s="7" t="n"/>
      <c r="U1497" s="7">
        <f>IF($C1497="","",S1497*T1497)</f>
        <v/>
      </c>
      <c r="X1497">
        <f>IF($C1497="","",IF($AM1497=1,0,IF($AL1497=1,Settings!$C$6,Settings!$C$7))*100)</f>
        <v/>
      </c>
      <c r="AB1497" s="7" t="n"/>
      <c r="AE1497" s="11" t="n"/>
      <c r="AG1497" s="7">
        <f>IF($C1497="","",U1497*X1497/100)</f>
        <v/>
      </c>
      <c r="AH1497" s="7">
        <f>IF($C1497="","",U1497-AG1497)</f>
        <v/>
      </c>
      <c r="AI1497" s="7">
        <f>IF($C1497="","",AH1497-M1497)</f>
        <v/>
      </c>
      <c r="AJ1497">
        <f>IF($C1497="","",IF(COUNTIF($C$2:$C1497,$C1497)=1,1,0))</f>
        <v/>
      </c>
      <c r="AK1497">
        <f>IF($AJ1497=1,SUMPRODUCT(--($AN$2:$AN$4001&lt;$AN1497))+1,"")</f>
        <v/>
      </c>
      <c r="AL1497">
        <f>IF($C1497="","",IF(OR($Q1497=TRUE(),$Q1497="TRUE"),1,0))</f>
        <v/>
      </c>
      <c r="AM1497">
        <f>IF($C1497="","",IF($W1497="Yes",1,0))</f>
        <v/>
      </c>
      <c r="AN1497">
        <f>IF($AJ1497=1,IFERROR(IF(VALUE($C1497)&lt;100000000,VALUE($C1497),1000000000),IFERROR(IF(VALUE(MID($C1497,2,20))&lt;100000000,VALUE(MID($C1497,2,20)),1000000000),1000000000))+ROW()/100000,"")</f>
        <v/>
      </c>
    </row>
    <row r="1498">
      <c r="E1498" s="11" t="n"/>
      <c r="M1498" s="7">
        <f>IF($C1498="","",L1498*U1498/100)</f>
        <v/>
      </c>
      <c r="N1498" s="7" t="n"/>
      <c r="T1498" s="7" t="n"/>
      <c r="U1498" s="7">
        <f>IF($C1498="","",S1498*T1498)</f>
        <v/>
      </c>
      <c r="X1498">
        <f>IF($C1498="","",IF($AM1498=1,0,IF($AL1498=1,Settings!$C$6,Settings!$C$7))*100)</f>
        <v/>
      </c>
      <c r="AB1498" s="7" t="n"/>
      <c r="AE1498" s="11" t="n"/>
      <c r="AG1498" s="7">
        <f>IF($C1498="","",U1498*X1498/100)</f>
        <v/>
      </c>
      <c r="AH1498" s="7">
        <f>IF($C1498="","",U1498-AG1498)</f>
        <v/>
      </c>
      <c r="AI1498" s="7">
        <f>IF($C1498="","",AH1498-M1498)</f>
        <v/>
      </c>
      <c r="AJ1498">
        <f>IF($C1498="","",IF(COUNTIF($C$2:$C1498,$C1498)=1,1,0))</f>
        <v/>
      </c>
      <c r="AK1498">
        <f>IF($AJ1498=1,SUMPRODUCT(--($AN$2:$AN$4001&lt;$AN1498))+1,"")</f>
        <v/>
      </c>
      <c r="AL1498">
        <f>IF($C1498="","",IF(OR($Q1498=TRUE(),$Q1498="TRUE"),1,0))</f>
        <v/>
      </c>
      <c r="AM1498">
        <f>IF($C1498="","",IF($W1498="Yes",1,0))</f>
        <v/>
      </c>
      <c r="AN1498">
        <f>IF($AJ1498=1,IFERROR(IF(VALUE($C1498)&lt;100000000,VALUE($C1498),1000000000),IFERROR(IF(VALUE(MID($C1498,2,20))&lt;100000000,VALUE(MID($C1498,2,20)),1000000000),1000000000))+ROW()/100000,"")</f>
        <v/>
      </c>
    </row>
    <row r="1499">
      <c r="E1499" s="11" t="n"/>
      <c r="M1499" s="7">
        <f>IF($C1499="","",L1499*U1499/100)</f>
        <v/>
      </c>
      <c r="N1499" s="7" t="n"/>
      <c r="T1499" s="7" t="n"/>
      <c r="U1499" s="7">
        <f>IF($C1499="","",S1499*T1499)</f>
        <v/>
      </c>
      <c r="X1499">
        <f>IF($C1499="","",IF($AM1499=1,0,IF($AL1499=1,Settings!$C$6,Settings!$C$7))*100)</f>
        <v/>
      </c>
      <c r="AB1499" s="7" t="n"/>
      <c r="AE1499" s="11" t="n"/>
      <c r="AG1499" s="7">
        <f>IF($C1499="","",U1499*X1499/100)</f>
        <v/>
      </c>
      <c r="AH1499" s="7">
        <f>IF($C1499="","",U1499-AG1499)</f>
        <v/>
      </c>
      <c r="AI1499" s="7">
        <f>IF($C1499="","",AH1499-M1499)</f>
        <v/>
      </c>
      <c r="AJ1499">
        <f>IF($C1499="","",IF(COUNTIF($C$2:$C1499,$C1499)=1,1,0))</f>
        <v/>
      </c>
      <c r="AK1499">
        <f>IF($AJ1499=1,SUMPRODUCT(--($AN$2:$AN$4001&lt;$AN1499))+1,"")</f>
        <v/>
      </c>
      <c r="AL1499">
        <f>IF($C1499="","",IF(OR($Q1499=TRUE(),$Q1499="TRUE"),1,0))</f>
        <v/>
      </c>
      <c r="AM1499">
        <f>IF($C1499="","",IF($W1499="Yes",1,0))</f>
        <v/>
      </c>
      <c r="AN1499">
        <f>IF($AJ1499=1,IFERROR(IF(VALUE($C1499)&lt;100000000,VALUE($C1499),1000000000),IFERROR(IF(VALUE(MID($C1499,2,20))&lt;100000000,VALUE(MID($C1499,2,20)),1000000000),1000000000))+ROW()/100000,"")</f>
        <v/>
      </c>
    </row>
    <row r="1500">
      <c r="E1500" s="11" t="n"/>
      <c r="M1500" s="7">
        <f>IF($C1500="","",L1500*U1500/100)</f>
        <v/>
      </c>
      <c r="N1500" s="7" t="n"/>
      <c r="T1500" s="7" t="n"/>
      <c r="U1500" s="7">
        <f>IF($C1500="","",S1500*T1500)</f>
        <v/>
      </c>
      <c r="X1500">
        <f>IF($C1500="","",IF($AM1500=1,0,IF($AL1500=1,Settings!$C$6,Settings!$C$7))*100)</f>
        <v/>
      </c>
      <c r="AB1500" s="7" t="n"/>
      <c r="AE1500" s="11" t="n"/>
      <c r="AG1500" s="7">
        <f>IF($C1500="","",U1500*X1500/100)</f>
        <v/>
      </c>
      <c r="AH1500" s="7">
        <f>IF($C1500="","",U1500-AG1500)</f>
        <v/>
      </c>
      <c r="AI1500" s="7">
        <f>IF($C1500="","",AH1500-M1500)</f>
        <v/>
      </c>
      <c r="AJ1500">
        <f>IF($C1500="","",IF(COUNTIF($C$2:$C1500,$C1500)=1,1,0))</f>
        <v/>
      </c>
      <c r="AK1500">
        <f>IF($AJ1500=1,SUMPRODUCT(--($AN$2:$AN$4001&lt;$AN1500))+1,"")</f>
        <v/>
      </c>
      <c r="AL1500">
        <f>IF($C1500="","",IF(OR($Q1500=TRUE(),$Q1500="TRUE"),1,0))</f>
        <v/>
      </c>
      <c r="AM1500">
        <f>IF($C1500="","",IF($W1500="Yes",1,0))</f>
        <v/>
      </c>
      <c r="AN1500">
        <f>IF($AJ1500=1,IFERROR(IF(VALUE($C1500)&lt;100000000,VALUE($C1500),1000000000),IFERROR(IF(VALUE(MID($C1500,2,20))&lt;100000000,VALUE(MID($C1500,2,20)),1000000000),1000000000))+ROW()/100000,"")</f>
        <v/>
      </c>
    </row>
    <row r="1501">
      <c r="E1501" s="11" t="n"/>
      <c r="M1501" s="7">
        <f>IF($C1501="","",L1501*U1501/100)</f>
        <v/>
      </c>
      <c r="N1501" s="7" t="n"/>
      <c r="T1501" s="7" t="n"/>
      <c r="U1501" s="7">
        <f>IF($C1501="","",S1501*T1501)</f>
        <v/>
      </c>
      <c r="X1501">
        <f>IF($C1501="","",IF($AM1501=1,0,IF($AL1501=1,Settings!$C$6,Settings!$C$7))*100)</f>
        <v/>
      </c>
      <c r="AB1501" s="7" t="n"/>
      <c r="AE1501" s="11" t="n"/>
      <c r="AG1501" s="7">
        <f>IF($C1501="","",U1501*X1501/100)</f>
        <v/>
      </c>
      <c r="AH1501" s="7">
        <f>IF($C1501="","",U1501-AG1501)</f>
        <v/>
      </c>
      <c r="AI1501" s="7">
        <f>IF($C1501="","",AH1501-M1501)</f>
        <v/>
      </c>
      <c r="AJ1501">
        <f>IF($C1501="","",IF(COUNTIF($C$2:$C1501,$C1501)=1,1,0))</f>
        <v/>
      </c>
      <c r="AK1501">
        <f>IF($AJ1501=1,SUMPRODUCT(--($AN$2:$AN$4001&lt;$AN1501))+1,"")</f>
        <v/>
      </c>
      <c r="AL1501">
        <f>IF($C1501="","",IF(OR($Q1501=TRUE(),$Q1501="TRUE"),1,0))</f>
        <v/>
      </c>
      <c r="AM1501">
        <f>IF($C1501="","",IF($W1501="Yes",1,0))</f>
        <v/>
      </c>
      <c r="AN1501">
        <f>IF($AJ1501=1,IFERROR(IF(VALUE($C1501)&lt;100000000,VALUE($C1501),1000000000),IFERROR(IF(VALUE(MID($C1501,2,20))&lt;100000000,VALUE(MID($C1501,2,20)),1000000000),1000000000))+ROW()/100000,"")</f>
        <v/>
      </c>
    </row>
    <row r="1502">
      <c r="E1502" s="11" t="n"/>
      <c r="M1502" s="7">
        <f>IF($C1502="","",L1502*U1502/100)</f>
        <v/>
      </c>
      <c r="N1502" s="7" t="n"/>
      <c r="T1502" s="7" t="n"/>
      <c r="U1502" s="7">
        <f>IF($C1502="","",S1502*T1502)</f>
        <v/>
      </c>
      <c r="X1502">
        <f>IF($C1502="","",IF($AM1502=1,0,IF($AL1502=1,Settings!$C$6,Settings!$C$7))*100)</f>
        <v/>
      </c>
      <c r="AB1502" s="7" t="n"/>
      <c r="AE1502" s="11" t="n"/>
      <c r="AG1502" s="7">
        <f>IF($C1502="","",U1502*X1502/100)</f>
        <v/>
      </c>
      <c r="AH1502" s="7">
        <f>IF($C1502="","",U1502-AG1502)</f>
        <v/>
      </c>
      <c r="AI1502" s="7">
        <f>IF($C1502="","",AH1502-M1502)</f>
        <v/>
      </c>
      <c r="AJ1502">
        <f>IF($C1502="","",IF(COUNTIF($C$2:$C1502,$C1502)=1,1,0))</f>
        <v/>
      </c>
      <c r="AK1502">
        <f>IF($AJ1502=1,SUMPRODUCT(--($AN$2:$AN$4001&lt;$AN1502))+1,"")</f>
        <v/>
      </c>
      <c r="AL1502">
        <f>IF($C1502="","",IF(OR($Q1502=TRUE(),$Q1502="TRUE"),1,0))</f>
        <v/>
      </c>
      <c r="AM1502">
        <f>IF($C1502="","",IF($W1502="Yes",1,0))</f>
        <v/>
      </c>
      <c r="AN1502">
        <f>IF($AJ1502=1,IFERROR(IF(VALUE($C1502)&lt;100000000,VALUE($C1502),1000000000),IFERROR(IF(VALUE(MID($C1502,2,20))&lt;100000000,VALUE(MID($C1502,2,20)),1000000000),1000000000))+ROW()/100000,"")</f>
        <v/>
      </c>
    </row>
    <row r="1503">
      <c r="E1503" s="11" t="n"/>
      <c r="M1503" s="7">
        <f>IF($C1503="","",L1503*U1503/100)</f>
        <v/>
      </c>
      <c r="N1503" s="7" t="n"/>
      <c r="T1503" s="7" t="n"/>
      <c r="U1503" s="7">
        <f>IF($C1503="","",S1503*T1503)</f>
        <v/>
      </c>
      <c r="X1503">
        <f>IF($C1503="","",IF($AM1503=1,0,IF($AL1503=1,Settings!$C$6,Settings!$C$7))*100)</f>
        <v/>
      </c>
      <c r="AB1503" s="7" t="n"/>
      <c r="AE1503" s="11" t="n"/>
      <c r="AG1503" s="7">
        <f>IF($C1503="","",U1503*X1503/100)</f>
        <v/>
      </c>
      <c r="AH1503" s="7">
        <f>IF($C1503="","",U1503-AG1503)</f>
        <v/>
      </c>
      <c r="AI1503" s="7">
        <f>IF($C1503="","",AH1503-M1503)</f>
        <v/>
      </c>
      <c r="AJ1503">
        <f>IF($C1503="","",IF(COUNTIF($C$2:$C1503,$C1503)=1,1,0))</f>
        <v/>
      </c>
      <c r="AK1503">
        <f>IF($AJ1503=1,SUMPRODUCT(--($AN$2:$AN$4001&lt;$AN1503))+1,"")</f>
        <v/>
      </c>
      <c r="AL1503">
        <f>IF($C1503="","",IF(OR($Q1503=TRUE(),$Q1503="TRUE"),1,0))</f>
        <v/>
      </c>
      <c r="AM1503">
        <f>IF($C1503="","",IF($W1503="Yes",1,0))</f>
        <v/>
      </c>
      <c r="AN1503">
        <f>IF($AJ1503=1,IFERROR(IF(VALUE($C1503)&lt;100000000,VALUE($C1503),1000000000),IFERROR(IF(VALUE(MID($C1503,2,20))&lt;100000000,VALUE(MID($C1503,2,20)),1000000000),1000000000))+ROW()/100000,"")</f>
        <v/>
      </c>
    </row>
    <row r="1504">
      <c r="E1504" s="11" t="n"/>
      <c r="M1504" s="7">
        <f>IF($C1504="","",L1504*U1504/100)</f>
        <v/>
      </c>
      <c r="N1504" s="7" t="n"/>
      <c r="T1504" s="7" t="n"/>
      <c r="U1504" s="7">
        <f>IF($C1504="","",S1504*T1504)</f>
        <v/>
      </c>
      <c r="X1504">
        <f>IF($C1504="","",IF($AM1504=1,0,IF($AL1504=1,Settings!$C$6,Settings!$C$7))*100)</f>
        <v/>
      </c>
      <c r="AB1504" s="7" t="n"/>
      <c r="AE1504" s="11" t="n"/>
      <c r="AG1504" s="7">
        <f>IF($C1504="","",U1504*X1504/100)</f>
        <v/>
      </c>
      <c r="AH1504" s="7">
        <f>IF($C1504="","",U1504-AG1504)</f>
        <v/>
      </c>
      <c r="AI1504" s="7">
        <f>IF($C1504="","",AH1504-M1504)</f>
        <v/>
      </c>
      <c r="AJ1504">
        <f>IF($C1504="","",IF(COUNTIF($C$2:$C1504,$C1504)=1,1,0))</f>
        <v/>
      </c>
      <c r="AK1504">
        <f>IF($AJ1504=1,SUMPRODUCT(--($AN$2:$AN$4001&lt;$AN1504))+1,"")</f>
        <v/>
      </c>
      <c r="AL1504">
        <f>IF($C1504="","",IF(OR($Q1504=TRUE(),$Q1504="TRUE"),1,0))</f>
        <v/>
      </c>
      <c r="AM1504">
        <f>IF($C1504="","",IF($W1504="Yes",1,0))</f>
        <v/>
      </c>
      <c r="AN1504">
        <f>IF($AJ1504=1,IFERROR(IF(VALUE($C1504)&lt;100000000,VALUE($C1504),1000000000),IFERROR(IF(VALUE(MID($C1504,2,20))&lt;100000000,VALUE(MID($C1504,2,20)),1000000000),1000000000))+ROW()/100000,"")</f>
        <v/>
      </c>
    </row>
    <row r="1505">
      <c r="E1505" s="11" t="n"/>
      <c r="M1505" s="7">
        <f>IF($C1505="","",L1505*U1505/100)</f>
        <v/>
      </c>
      <c r="N1505" s="7" t="n"/>
      <c r="T1505" s="7" t="n"/>
      <c r="U1505" s="7">
        <f>IF($C1505="","",S1505*T1505)</f>
        <v/>
      </c>
      <c r="X1505">
        <f>IF($C1505="","",IF($AM1505=1,0,IF($AL1505=1,Settings!$C$6,Settings!$C$7))*100)</f>
        <v/>
      </c>
      <c r="AB1505" s="7" t="n"/>
      <c r="AE1505" s="11" t="n"/>
      <c r="AG1505" s="7">
        <f>IF($C1505="","",U1505*X1505/100)</f>
        <v/>
      </c>
      <c r="AH1505" s="7">
        <f>IF($C1505="","",U1505-AG1505)</f>
        <v/>
      </c>
      <c r="AI1505" s="7">
        <f>IF($C1505="","",AH1505-M1505)</f>
        <v/>
      </c>
      <c r="AJ1505">
        <f>IF($C1505="","",IF(COUNTIF($C$2:$C1505,$C1505)=1,1,0))</f>
        <v/>
      </c>
      <c r="AK1505">
        <f>IF($AJ1505=1,SUMPRODUCT(--($AN$2:$AN$4001&lt;$AN1505))+1,"")</f>
        <v/>
      </c>
      <c r="AL1505">
        <f>IF($C1505="","",IF(OR($Q1505=TRUE(),$Q1505="TRUE"),1,0))</f>
        <v/>
      </c>
      <c r="AM1505">
        <f>IF($C1505="","",IF($W1505="Yes",1,0))</f>
        <v/>
      </c>
      <c r="AN1505">
        <f>IF($AJ1505=1,IFERROR(IF(VALUE($C1505)&lt;100000000,VALUE($C1505),1000000000),IFERROR(IF(VALUE(MID($C1505,2,20))&lt;100000000,VALUE(MID($C1505,2,20)),1000000000),1000000000))+ROW()/100000,"")</f>
        <v/>
      </c>
    </row>
    <row r="1506">
      <c r="E1506" s="11" t="n"/>
      <c r="M1506" s="7">
        <f>IF($C1506="","",L1506*U1506/100)</f>
        <v/>
      </c>
      <c r="N1506" s="7" t="n"/>
      <c r="T1506" s="7" t="n"/>
      <c r="U1506" s="7">
        <f>IF($C1506="","",S1506*T1506)</f>
        <v/>
      </c>
      <c r="X1506">
        <f>IF($C1506="","",IF($AM1506=1,0,IF($AL1506=1,Settings!$C$6,Settings!$C$7))*100)</f>
        <v/>
      </c>
      <c r="AB1506" s="7" t="n"/>
      <c r="AE1506" s="11" t="n"/>
      <c r="AG1506" s="7">
        <f>IF($C1506="","",U1506*X1506/100)</f>
        <v/>
      </c>
      <c r="AH1506" s="7">
        <f>IF($C1506="","",U1506-AG1506)</f>
        <v/>
      </c>
      <c r="AI1506" s="7">
        <f>IF($C1506="","",AH1506-M1506)</f>
        <v/>
      </c>
      <c r="AJ1506">
        <f>IF($C1506="","",IF(COUNTIF($C$2:$C1506,$C1506)=1,1,0))</f>
        <v/>
      </c>
      <c r="AK1506">
        <f>IF($AJ1506=1,SUMPRODUCT(--($AN$2:$AN$4001&lt;$AN1506))+1,"")</f>
        <v/>
      </c>
      <c r="AL1506">
        <f>IF($C1506="","",IF(OR($Q1506=TRUE(),$Q1506="TRUE"),1,0))</f>
        <v/>
      </c>
      <c r="AM1506">
        <f>IF($C1506="","",IF($W1506="Yes",1,0))</f>
        <v/>
      </c>
      <c r="AN1506">
        <f>IF($AJ1506=1,IFERROR(IF(VALUE($C1506)&lt;100000000,VALUE($C1506),1000000000),IFERROR(IF(VALUE(MID($C1506,2,20))&lt;100000000,VALUE(MID($C1506,2,20)),1000000000),1000000000))+ROW()/100000,"")</f>
        <v/>
      </c>
    </row>
    <row r="1507">
      <c r="E1507" s="11" t="n"/>
      <c r="M1507" s="7">
        <f>IF($C1507="","",L1507*U1507/100)</f>
        <v/>
      </c>
      <c r="N1507" s="7" t="n"/>
      <c r="T1507" s="7" t="n"/>
      <c r="U1507" s="7">
        <f>IF($C1507="","",S1507*T1507)</f>
        <v/>
      </c>
      <c r="X1507">
        <f>IF($C1507="","",IF($AM1507=1,0,IF($AL1507=1,Settings!$C$6,Settings!$C$7))*100)</f>
        <v/>
      </c>
      <c r="AB1507" s="7" t="n"/>
      <c r="AE1507" s="11" t="n"/>
      <c r="AG1507" s="7">
        <f>IF($C1507="","",U1507*X1507/100)</f>
        <v/>
      </c>
      <c r="AH1507" s="7">
        <f>IF($C1507="","",U1507-AG1507)</f>
        <v/>
      </c>
      <c r="AI1507" s="7">
        <f>IF($C1507="","",AH1507-M1507)</f>
        <v/>
      </c>
      <c r="AJ1507">
        <f>IF($C1507="","",IF(COUNTIF($C$2:$C1507,$C1507)=1,1,0))</f>
        <v/>
      </c>
      <c r="AK1507">
        <f>IF($AJ1507=1,SUMPRODUCT(--($AN$2:$AN$4001&lt;$AN1507))+1,"")</f>
        <v/>
      </c>
      <c r="AL1507">
        <f>IF($C1507="","",IF(OR($Q1507=TRUE(),$Q1507="TRUE"),1,0))</f>
        <v/>
      </c>
      <c r="AM1507">
        <f>IF($C1507="","",IF($W1507="Yes",1,0))</f>
        <v/>
      </c>
      <c r="AN1507">
        <f>IF($AJ1507=1,IFERROR(IF(VALUE($C1507)&lt;100000000,VALUE($C1507),1000000000),IFERROR(IF(VALUE(MID($C1507,2,20))&lt;100000000,VALUE(MID($C1507,2,20)),1000000000),1000000000))+ROW()/100000,"")</f>
        <v/>
      </c>
    </row>
    <row r="1508">
      <c r="E1508" s="11" t="n"/>
      <c r="M1508" s="7">
        <f>IF($C1508="","",L1508*U1508/100)</f>
        <v/>
      </c>
      <c r="N1508" s="7" t="n"/>
      <c r="T1508" s="7" t="n"/>
      <c r="U1508" s="7">
        <f>IF($C1508="","",S1508*T1508)</f>
        <v/>
      </c>
      <c r="X1508">
        <f>IF($C1508="","",IF($AM1508=1,0,IF($AL1508=1,Settings!$C$6,Settings!$C$7))*100)</f>
        <v/>
      </c>
      <c r="AB1508" s="7" t="n"/>
      <c r="AE1508" s="11" t="n"/>
      <c r="AG1508" s="7">
        <f>IF($C1508="","",U1508*X1508/100)</f>
        <v/>
      </c>
      <c r="AH1508" s="7">
        <f>IF($C1508="","",U1508-AG1508)</f>
        <v/>
      </c>
      <c r="AI1508" s="7">
        <f>IF($C1508="","",AH1508-M1508)</f>
        <v/>
      </c>
      <c r="AJ1508">
        <f>IF($C1508="","",IF(COUNTIF($C$2:$C1508,$C1508)=1,1,0))</f>
        <v/>
      </c>
      <c r="AK1508">
        <f>IF($AJ1508=1,SUMPRODUCT(--($AN$2:$AN$4001&lt;$AN1508))+1,"")</f>
        <v/>
      </c>
      <c r="AL1508">
        <f>IF($C1508="","",IF(OR($Q1508=TRUE(),$Q1508="TRUE"),1,0))</f>
        <v/>
      </c>
      <c r="AM1508">
        <f>IF($C1508="","",IF($W1508="Yes",1,0))</f>
        <v/>
      </c>
      <c r="AN1508">
        <f>IF($AJ1508=1,IFERROR(IF(VALUE($C1508)&lt;100000000,VALUE($C1508),1000000000),IFERROR(IF(VALUE(MID($C1508,2,20))&lt;100000000,VALUE(MID($C1508,2,20)),1000000000),1000000000))+ROW()/100000,"")</f>
        <v/>
      </c>
    </row>
    <row r="1509">
      <c r="E1509" s="11" t="n"/>
      <c r="M1509" s="7">
        <f>IF($C1509="","",L1509*U1509/100)</f>
        <v/>
      </c>
      <c r="N1509" s="7" t="n"/>
      <c r="T1509" s="7" t="n"/>
      <c r="U1509" s="7">
        <f>IF($C1509="","",S1509*T1509)</f>
        <v/>
      </c>
      <c r="X1509">
        <f>IF($C1509="","",IF($AM1509=1,0,IF($AL1509=1,Settings!$C$6,Settings!$C$7))*100)</f>
        <v/>
      </c>
      <c r="AB1509" s="7" t="n"/>
      <c r="AE1509" s="11" t="n"/>
      <c r="AG1509" s="7">
        <f>IF($C1509="","",U1509*X1509/100)</f>
        <v/>
      </c>
      <c r="AH1509" s="7">
        <f>IF($C1509="","",U1509-AG1509)</f>
        <v/>
      </c>
      <c r="AI1509" s="7">
        <f>IF($C1509="","",AH1509-M1509)</f>
        <v/>
      </c>
      <c r="AJ1509">
        <f>IF($C1509="","",IF(COUNTIF($C$2:$C1509,$C1509)=1,1,0))</f>
        <v/>
      </c>
      <c r="AK1509">
        <f>IF($AJ1509=1,SUMPRODUCT(--($AN$2:$AN$4001&lt;$AN1509))+1,"")</f>
        <v/>
      </c>
      <c r="AL1509">
        <f>IF($C1509="","",IF(OR($Q1509=TRUE(),$Q1509="TRUE"),1,0))</f>
        <v/>
      </c>
      <c r="AM1509">
        <f>IF($C1509="","",IF($W1509="Yes",1,0))</f>
        <v/>
      </c>
      <c r="AN1509">
        <f>IF($AJ1509=1,IFERROR(IF(VALUE($C1509)&lt;100000000,VALUE($C1509),1000000000),IFERROR(IF(VALUE(MID($C1509,2,20))&lt;100000000,VALUE(MID($C1509,2,20)),1000000000),1000000000))+ROW()/100000,"")</f>
        <v/>
      </c>
    </row>
    <row r="1510">
      <c r="E1510" s="11" t="n"/>
      <c r="M1510" s="7">
        <f>IF($C1510="","",L1510*U1510/100)</f>
        <v/>
      </c>
      <c r="N1510" s="7" t="n"/>
      <c r="T1510" s="7" t="n"/>
      <c r="U1510" s="7">
        <f>IF($C1510="","",S1510*T1510)</f>
        <v/>
      </c>
      <c r="X1510">
        <f>IF($C1510="","",IF($AM1510=1,0,IF($AL1510=1,Settings!$C$6,Settings!$C$7))*100)</f>
        <v/>
      </c>
      <c r="AB1510" s="7" t="n"/>
      <c r="AE1510" s="11" t="n"/>
      <c r="AG1510" s="7">
        <f>IF($C1510="","",U1510*X1510/100)</f>
        <v/>
      </c>
      <c r="AH1510" s="7">
        <f>IF($C1510="","",U1510-AG1510)</f>
        <v/>
      </c>
      <c r="AI1510" s="7">
        <f>IF($C1510="","",AH1510-M1510)</f>
        <v/>
      </c>
      <c r="AJ1510">
        <f>IF($C1510="","",IF(COUNTIF($C$2:$C1510,$C1510)=1,1,0))</f>
        <v/>
      </c>
      <c r="AK1510">
        <f>IF($AJ1510=1,SUMPRODUCT(--($AN$2:$AN$4001&lt;$AN1510))+1,"")</f>
        <v/>
      </c>
      <c r="AL1510">
        <f>IF($C1510="","",IF(OR($Q1510=TRUE(),$Q1510="TRUE"),1,0))</f>
        <v/>
      </c>
      <c r="AM1510">
        <f>IF($C1510="","",IF($W1510="Yes",1,0))</f>
        <v/>
      </c>
      <c r="AN1510">
        <f>IF($AJ1510=1,IFERROR(IF(VALUE($C1510)&lt;100000000,VALUE($C1510),1000000000),IFERROR(IF(VALUE(MID($C1510,2,20))&lt;100000000,VALUE(MID($C1510,2,20)),1000000000),1000000000))+ROW()/100000,"")</f>
        <v/>
      </c>
    </row>
    <row r="1511">
      <c r="E1511" s="11" t="n"/>
      <c r="M1511" s="7">
        <f>IF($C1511="","",L1511*U1511/100)</f>
        <v/>
      </c>
      <c r="N1511" s="7" t="n"/>
      <c r="T1511" s="7" t="n"/>
      <c r="U1511" s="7">
        <f>IF($C1511="","",S1511*T1511)</f>
        <v/>
      </c>
      <c r="X1511">
        <f>IF($C1511="","",IF($AM1511=1,0,IF($AL1511=1,Settings!$C$6,Settings!$C$7))*100)</f>
        <v/>
      </c>
      <c r="AB1511" s="7" t="n"/>
      <c r="AE1511" s="11" t="n"/>
      <c r="AG1511" s="7">
        <f>IF($C1511="","",U1511*X1511/100)</f>
        <v/>
      </c>
      <c r="AH1511" s="7">
        <f>IF($C1511="","",U1511-AG1511)</f>
        <v/>
      </c>
      <c r="AI1511" s="7">
        <f>IF($C1511="","",AH1511-M1511)</f>
        <v/>
      </c>
      <c r="AJ1511">
        <f>IF($C1511="","",IF(COUNTIF($C$2:$C1511,$C1511)=1,1,0))</f>
        <v/>
      </c>
      <c r="AK1511">
        <f>IF($AJ1511=1,SUMPRODUCT(--($AN$2:$AN$4001&lt;$AN1511))+1,"")</f>
        <v/>
      </c>
      <c r="AL1511">
        <f>IF($C1511="","",IF(OR($Q1511=TRUE(),$Q1511="TRUE"),1,0))</f>
        <v/>
      </c>
      <c r="AM1511">
        <f>IF($C1511="","",IF($W1511="Yes",1,0))</f>
        <v/>
      </c>
      <c r="AN1511">
        <f>IF($AJ1511=1,IFERROR(IF(VALUE($C1511)&lt;100000000,VALUE($C1511),1000000000),IFERROR(IF(VALUE(MID($C1511,2,20))&lt;100000000,VALUE(MID($C1511,2,20)),1000000000),1000000000))+ROW()/100000,"")</f>
        <v/>
      </c>
    </row>
    <row r="1512">
      <c r="E1512" s="11" t="n"/>
      <c r="M1512" s="7">
        <f>IF($C1512="","",L1512*U1512/100)</f>
        <v/>
      </c>
      <c r="N1512" s="7" t="n"/>
      <c r="T1512" s="7" t="n"/>
      <c r="U1512" s="7">
        <f>IF($C1512="","",S1512*T1512)</f>
        <v/>
      </c>
      <c r="X1512">
        <f>IF($C1512="","",IF($AM1512=1,0,IF($AL1512=1,Settings!$C$6,Settings!$C$7))*100)</f>
        <v/>
      </c>
      <c r="AB1512" s="7" t="n"/>
      <c r="AE1512" s="11" t="n"/>
      <c r="AG1512" s="7">
        <f>IF($C1512="","",U1512*X1512/100)</f>
        <v/>
      </c>
      <c r="AH1512" s="7">
        <f>IF($C1512="","",U1512-AG1512)</f>
        <v/>
      </c>
      <c r="AI1512" s="7">
        <f>IF($C1512="","",AH1512-M1512)</f>
        <v/>
      </c>
      <c r="AJ1512">
        <f>IF($C1512="","",IF(COUNTIF($C$2:$C1512,$C1512)=1,1,0))</f>
        <v/>
      </c>
      <c r="AK1512">
        <f>IF($AJ1512=1,SUMPRODUCT(--($AN$2:$AN$4001&lt;$AN1512))+1,"")</f>
        <v/>
      </c>
      <c r="AL1512">
        <f>IF($C1512="","",IF(OR($Q1512=TRUE(),$Q1512="TRUE"),1,0))</f>
        <v/>
      </c>
      <c r="AM1512">
        <f>IF($C1512="","",IF($W1512="Yes",1,0))</f>
        <v/>
      </c>
      <c r="AN1512">
        <f>IF($AJ1512=1,IFERROR(IF(VALUE($C1512)&lt;100000000,VALUE($C1512),1000000000),IFERROR(IF(VALUE(MID($C1512,2,20))&lt;100000000,VALUE(MID($C1512,2,20)),1000000000),1000000000))+ROW()/100000,"")</f>
        <v/>
      </c>
    </row>
    <row r="1513">
      <c r="E1513" s="11" t="n"/>
      <c r="M1513" s="7">
        <f>IF($C1513="","",L1513*U1513/100)</f>
        <v/>
      </c>
      <c r="N1513" s="7" t="n"/>
      <c r="T1513" s="7" t="n"/>
      <c r="U1513" s="7">
        <f>IF($C1513="","",S1513*T1513)</f>
        <v/>
      </c>
      <c r="X1513">
        <f>IF($C1513="","",IF($AM1513=1,0,IF($AL1513=1,Settings!$C$6,Settings!$C$7))*100)</f>
        <v/>
      </c>
      <c r="AB1513" s="7" t="n"/>
      <c r="AE1513" s="11" t="n"/>
      <c r="AG1513" s="7">
        <f>IF($C1513="","",U1513*X1513/100)</f>
        <v/>
      </c>
      <c r="AH1513" s="7">
        <f>IF($C1513="","",U1513-AG1513)</f>
        <v/>
      </c>
      <c r="AI1513" s="7">
        <f>IF($C1513="","",AH1513-M1513)</f>
        <v/>
      </c>
      <c r="AJ1513">
        <f>IF($C1513="","",IF(COUNTIF($C$2:$C1513,$C1513)=1,1,0))</f>
        <v/>
      </c>
      <c r="AK1513">
        <f>IF($AJ1513=1,SUMPRODUCT(--($AN$2:$AN$4001&lt;$AN1513))+1,"")</f>
        <v/>
      </c>
      <c r="AL1513">
        <f>IF($C1513="","",IF(OR($Q1513=TRUE(),$Q1513="TRUE"),1,0))</f>
        <v/>
      </c>
      <c r="AM1513">
        <f>IF($C1513="","",IF($W1513="Yes",1,0))</f>
        <v/>
      </c>
      <c r="AN1513">
        <f>IF($AJ1513=1,IFERROR(IF(VALUE($C1513)&lt;100000000,VALUE($C1513),1000000000),IFERROR(IF(VALUE(MID($C1513,2,20))&lt;100000000,VALUE(MID($C1513,2,20)),1000000000),1000000000))+ROW()/100000,"")</f>
        <v/>
      </c>
    </row>
    <row r="1514">
      <c r="E1514" s="11" t="n"/>
      <c r="M1514" s="7">
        <f>IF($C1514="","",L1514*U1514/100)</f>
        <v/>
      </c>
      <c r="N1514" s="7" t="n"/>
      <c r="T1514" s="7" t="n"/>
      <c r="U1514" s="7">
        <f>IF($C1514="","",S1514*T1514)</f>
        <v/>
      </c>
      <c r="X1514">
        <f>IF($C1514="","",IF($AM1514=1,0,IF($AL1514=1,Settings!$C$6,Settings!$C$7))*100)</f>
        <v/>
      </c>
      <c r="AB1514" s="7" t="n"/>
      <c r="AE1514" s="11" t="n"/>
      <c r="AG1514" s="7">
        <f>IF($C1514="","",U1514*X1514/100)</f>
        <v/>
      </c>
      <c r="AH1514" s="7">
        <f>IF($C1514="","",U1514-AG1514)</f>
        <v/>
      </c>
      <c r="AI1514" s="7">
        <f>IF($C1514="","",AH1514-M1514)</f>
        <v/>
      </c>
      <c r="AJ1514">
        <f>IF($C1514="","",IF(COUNTIF($C$2:$C1514,$C1514)=1,1,0))</f>
        <v/>
      </c>
      <c r="AK1514">
        <f>IF($AJ1514=1,SUMPRODUCT(--($AN$2:$AN$4001&lt;$AN1514))+1,"")</f>
        <v/>
      </c>
      <c r="AL1514">
        <f>IF($C1514="","",IF(OR($Q1514=TRUE(),$Q1514="TRUE"),1,0))</f>
        <v/>
      </c>
      <c r="AM1514">
        <f>IF($C1514="","",IF($W1514="Yes",1,0))</f>
        <v/>
      </c>
      <c r="AN1514">
        <f>IF($AJ1514=1,IFERROR(IF(VALUE($C1514)&lt;100000000,VALUE($C1514),1000000000),IFERROR(IF(VALUE(MID($C1514,2,20))&lt;100000000,VALUE(MID($C1514,2,20)),1000000000),1000000000))+ROW()/100000,"")</f>
        <v/>
      </c>
    </row>
    <row r="1515">
      <c r="E1515" s="11" t="n"/>
      <c r="M1515" s="7">
        <f>IF($C1515="","",L1515*U1515/100)</f>
        <v/>
      </c>
      <c r="N1515" s="7" t="n"/>
      <c r="T1515" s="7" t="n"/>
      <c r="U1515" s="7">
        <f>IF($C1515="","",S1515*T1515)</f>
        <v/>
      </c>
      <c r="X1515">
        <f>IF($C1515="","",IF($AM1515=1,0,IF($AL1515=1,Settings!$C$6,Settings!$C$7))*100)</f>
        <v/>
      </c>
      <c r="AB1515" s="7" t="n"/>
      <c r="AE1515" s="11" t="n"/>
      <c r="AG1515" s="7">
        <f>IF($C1515="","",U1515*X1515/100)</f>
        <v/>
      </c>
      <c r="AH1515" s="7">
        <f>IF($C1515="","",U1515-AG1515)</f>
        <v/>
      </c>
      <c r="AI1515" s="7">
        <f>IF($C1515="","",AH1515-M1515)</f>
        <v/>
      </c>
      <c r="AJ1515">
        <f>IF($C1515="","",IF(COUNTIF($C$2:$C1515,$C1515)=1,1,0))</f>
        <v/>
      </c>
      <c r="AK1515">
        <f>IF($AJ1515=1,SUMPRODUCT(--($AN$2:$AN$4001&lt;$AN1515))+1,"")</f>
        <v/>
      </c>
      <c r="AL1515">
        <f>IF($C1515="","",IF(OR($Q1515=TRUE(),$Q1515="TRUE"),1,0))</f>
        <v/>
      </c>
      <c r="AM1515">
        <f>IF($C1515="","",IF($W1515="Yes",1,0))</f>
        <v/>
      </c>
      <c r="AN1515">
        <f>IF($AJ1515=1,IFERROR(IF(VALUE($C1515)&lt;100000000,VALUE($C1515),1000000000),IFERROR(IF(VALUE(MID($C1515,2,20))&lt;100000000,VALUE(MID($C1515,2,20)),1000000000),1000000000))+ROW()/100000,"")</f>
        <v/>
      </c>
    </row>
    <row r="1516">
      <c r="E1516" s="11" t="n"/>
      <c r="M1516" s="7">
        <f>IF($C1516="","",L1516*U1516/100)</f>
        <v/>
      </c>
      <c r="N1516" s="7" t="n"/>
      <c r="T1516" s="7" t="n"/>
      <c r="U1516" s="7">
        <f>IF($C1516="","",S1516*T1516)</f>
        <v/>
      </c>
      <c r="X1516">
        <f>IF($C1516="","",IF($AM1516=1,0,IF($AL1516=1,Settings!$C$6,Settings!$C$7))*100)</f>
        <v/>
      </c>
      <c r="AB1516" s="7" t="n"/>
      <c r="AE1516" s="11" t="n"/>
      <c r="AG1516" s="7">
        <f>IF($C1516="","",U1516*X1516/100)</f>
        <v/>
      </c>
      <c r="AH1516" s="7">
        <f>IF($C1516="","",U1516-AG1516)</f>
        <v/>
      </c>
      <c r="AI1516" s="7">
        <f>IF($C1516="","",AH1516-M1516)</f>
        <v/>
      </c>
      <c r="AJ1516">
        <f>IF($C1516="","",IF(COUNTIF($C$2:$C1516,$C1516)=1,1,0))</f>
        <v/>
      </c>
      <c r="AK1516">
        <f>IF($AJ1516=1,SUMPRODUCT(--($AN$2:$AN$4001&lt;$AN1516))+1,"")</f>
        <v/>
      </c>
      <c r="AL1516">
        <f>IF($C1516="","",IF(OR($Q1516=TRUE(),$Q1516="TRUE"),1,0))</f>
        <v/>
      </c>
      <c r="AM1516">
        <f>IF($C1516="","",IF($W1516="Yes",1,0))</f>
        <v/>
      </c>
      <c r="AN1516">
        <f>IF($AJ1516=1,IFERROR(IF(VALUE($C1516)&lt;100000000,VALUE($C1516),1000000000),IFERROR(IF(VALUE(MID($C1516,2,20))&lt;100000000,VALUE(MID($C1516,2,20)),1000000000),1000000000))+ROW()/100000,"")</f>
        <v/>
      </c>
    </row>
    <row r="1517">
      <c r="E1517" s="11" t="n"/>
      <c r="M1517" s="7">
        <f>IF($C1517="","",L1517*U1517/100)</f>
        <v/>
      </c>
      <c r="N1517" s="7" t="n"/>
      <c r="T1517" s="7" t="n"/>
      <c r="U1517" s="7">
        <f>IF($C1517="","",S1517*T1517)</f>
        <v/>
      </c>
      <c r="X1517">
        <f>IF($C1517="","",IF($AM1517=1,0,IF($AL1517=1,Settings!$C$6,Settings!$C$7))*100)</f>
        <v/>
      </c>
      <c r="AB1517" s="7" t="n"/>
      <c r="AE1517" s="11" t="n"/>
      <c r="AG1517" s="7">
        <f>IF($C1517="","",U1517*X1517/100)</f>
        <v/>
      </c>
      <c r="AH1517" s="7">
        <f>IF($C1517="","",U1517-AG1517)</f>
        <v/>
      </c>
      <c r="AI1517" s="7">
        <f>IF($C1517="","",AH1517-M1517)</f>
        <v/>
      </c>
      <c r="AJ1517">
        <f>IF($C1517="","",IF(COUNTIF($C$2:$C1517,$C1517)=1,1,0))</f>
        <v/>
      </c>
      <c r="AK1517">
        <f>IF($AJ1517=1,SUMPRODUCT(--($AN$2:$AN$4001&lt;$AN1517))+1,"")</f>
        <v/>
      </c>
      <c r="AL1517">
        <f>IF($C1517="","",IF(OR($Q1517=TRUE(),$Q1517="TRUE"),1,0))</f>
        <v/>
      </c>
      <c r="AM1517">
        <f>IF($C1517="","",IF($W1517="Yes",1,0))</f>
        <v/>
      </c>
      <c r="AN1517">
        <f>IF($AJ1517=1,IFERROR(IF(VALUE($C1517)&lt;100000000,VALUE($C1517),1000000000),IFERROR(IF(VALUE(MID($C1517,2,20))&lt;100000000,VALUE(MID($C1517,2,20)),1000000000),1000000000))+ROW()/100000,"")</f>
        <v/>
      </c>
    </row>
    <row r="1518">
      <c r="E1518" s="11" t="n"/>
      <c r="M1518" s="7">
        <f>IF($C1518="","",L1518*U1518/100)</f>
        <v/>
      </c>
      <c r="N1518" s="7" t="n"/>
      <c r="T1518" s="7" t="n"/>
      <c r="U1518" s="7">
        <f>IF($C1518="","",S1518*T1518)</f>
        <v/>
      </c>
      <c r="X1518">
        <f>IF($C1518="","",IF($AM1518=1,0,IF($AL1518=1,Settings!$C$6,Settings!$C$7))*100)</f>
        <v/>
      </c>
      <c r="AB1518" s="7" t="n"/>
      <c r="AE1518" s="11" t="n"/>
      <c r="AG1518" s="7">
        <f>IF($C1518="","",U1518*X1518/100)</f>
        <v/>
      </c>
      <c r="AH1518" s="7">
        <f>IF($C1518="","",U1518-AG1518)</f>
        <v/>
      </c>
      <c r="AI1518" s="7">
        <f>IF($C1518="","",AH1518-M1518)</f>
        <v/>
      </c>
      <c r="AJ1518">
        <f>IF($C1518="","",IF(COUNTIF($C$2:$C1518,$C1518)=1,1,0))</f>
        <v/>
      </c>
      <c r="AK1518">
        <f>IF($AJ1518=1,SUMPRODUCT(--($AN$2:$AN$4001&lt;$AN1518))+1,"")</f>
        <v/>
      </c>
      <c r="AL1518">
        <f>IF($C1518="","",IF(OR($Q1518=TRUE(),$Q1518="TRUE"),1,0))</f>
        <v/>
      </c>
      <c r="AM1518">
        <f>IF($C1518="","",IF($W1518="Yes",1,0))</f>
        <v/>
      </c>
      <c r="AN1518">
        <f>IF($AJ1518=1,IFERROR(IF(VALUE($C1518)&lt;100000000,VALUE($C1518),1000000000),IFERROR(IF(VALUE(MID($C1518,2,20))&lt;100000000,VALUE(MID($C1518,2,20)),1000000000),1000000000))+ROW()/100000,"")</f>
        <v/>
      </c>
    </row>
    <row r="1519">
      <c r="E1519" s="11" t="n"/>
      <c r="M1519" s="7">
        <f>IF($C1519="","",L1519*U1519/100)</f>
        <v/>
      </c>
      <c r="N1519" s="7" t="n"/>
      <c r="T1519" s="7" t="n"/>
      <c r="U1519" s="7">
        <f>IF($C1519="","",S1519*T1519)</f>
        <v/>
      </c>
      <c r="X1519">
        <f>IF($C1519="","",IF($AM1519=1,0,IF($AL1519=1,Settings!$C$6,Settings!$C$7))*100)</f>
        <v/>
      </c>
      <c r="AB1519" s="7" t="n"/>
      <c r="AE1519" s="11" t="n"/>
      <c r="AG1519" s="7">
        <f>IF($C1519="","",U1519*X1519/100)</f>
        <v/>
      </c>
      <c r="AH1519" s="7">
        <f>IF($C1519="","",U1519-AG1519)</f>
        <v/>
      </c>
      <c r="AI1519" s="7">
        <f>IF($C1519="","",AH1519-M1519)</f>
        <v/>
      </c>
      <c r="AJ1519">
        <f>IF($C1519="","",IF(COUNTIF($C$2:$C1519,$C1519)=1,1,0))</f>
        <v/>
      </c>
      <c r="AK1519">
        <f>IF($AJ1519=1,SUMPRODUCT(--($AN$2:$AN$4001&lt;$AN1519))+1,"")</f>
        <v/>
      </c>
      <c r="AL1519">
        <f>IF($C1519="","",IF(OR($Q1519=TRUE(),$Q1519="TRUE"),1,0))</f>
        <v/>
      </c>
      <c r="AM1519">
        <f>IF($C1519="","",IF($W1519="Yes",1,0))</f>
        <v/>
      </c>
      <c r="AN1519">
        <f>IF($AJ1519=1,IFERROR(IF(VALUE($C1519)&lt;100000000,VALUE($C1519),1000000000),IFERROR(IF(VALUE(MID($C1519,2,20))&lt;100000000,VALUE(MID($C1519,2,20)),1000000000),1000000000))+ROW()/100000,"")</f>
        <v/>
      </c>
    </row>
    <row r="1520">
      <c r="E1520" s="11" t="n"/>
      <c r="M1520" s="7">
        <f>IF($C1520="","",L1520*U1520/100)</f>
        <v/>
      </c>
      <c r="N1520" s="7" t="n"/>
      <c r="T1520" s="7" t="n"/>
      <c r="U1520" s="7">
        <f>IF($C1520="","",S1520*T1520)</f>
        <v/>
      </c>
      <c r="X1520">
        <f>IF($C1520="","",IF($AM1520=1,0,IF($AL1520=1,Settings!$C$6,Settings!$C$7))*100)</f>
        <v/>
      </c>
      <c r="AB1520" s="7" t="n"/>
      <c r="AE1520" s="11" t="n"/>
      <c r="AG1520" s="7">
        <f>IF($C1520="","",U1520*X1520/100)</f>
        <v/>
      </c>
      <c r="AH1520" s="7">
        <f>IF($C1520="","",U1520-AG1520)</f>
        <v/>
      </c>
      <c r="AI1520" s="7">
        <f>IF($C1520="","",AH1520-M1520)</f>
        <v/>
      </c>
      <c r="AJ1520">
        <f>IF($C1520="","",IF(COUNTIF($C$2:$C1520,$C1520)=1,1,0))</f>
        <v/>
      </c>
      <c r="AK1520">
        <f>IF($AJ1520=1,SUMPRODUCT(--($AN$2:$AN$4001&lt;$AN1520))+1,"")</f>
        <v/>
      </c>
      <c r="AL1520">
        <f>IF($C1520="","",IF(OR($Q1520=TRUE(),$Q1520="TRUE"),1,0))</f>
        <v/>
      </c>
      <c r="AM1520">
        <f>IF($C1520="","",IF($W1520="Yes",1,0))</f>
        <v/>
      </c>
      <c r="AN1520">
        <f>IF($AJ1520=1,IFERROR(IF(VALUE($C1520)&lt;100000000,VALUE($C1520),1000000000),IFERROR(IF(VALUE(MID($C1520,2,20))&lt;100000000,VALUE(MID($C1520,2,20)),1000000000),1000000000))+ROW()/100000,"")</f>
        <v/>
      </c>
    </row>
    <row r="1521">
      <c r="E1521" s="11" t="n"/>
      <c r="M1521" s="7">
        <f>IF($C1521="","",L1521*U1521/100)</f>
        <v/>
      </c>
      <c r="N1521" s="7" t="n"/>
      <c r="T1521" s="7" t="n"/>
      <c r="U1521" s="7">
        <f>IF($C1521="","",S1521*T1521)</f>
        <v/>
      </c>
      <c r="X1521">
        <f>IF($C1521="","",IF($AM1521=1,0,IF($AL1521=1,Settings!$C$6,Settings!$C$7))*100)</f>
        <v/>
      </c>
      <c r="AB1521" s="7" t="n"/>
      <c r="AE1521" s="11" t="n"/>
      <c r="AG1521" s="7">
        <f>IF($C1521="","",U1521*X1521/100)</f>
        <v/>
      </c>
      <c r="AH1521" s="7">
        <f>IF($C1521="","",U1521-AG1521)</f>
        <v/>
      </c>
      <c r="AI1521" s="7">
        <f>IF($C1521="","",AH1521-M1521)</f>
        <v/>
      </c>
      <c r="AJ1521">
        <f>IF($C1521="","",IF(COUNTIF($C$2:$C1521,$C1521)=1,1,0))</f>
        <v/>
      </c>
      <c r="AK1521">
        <f>IF($AJ1521=1,SUMPRODUCT(--($AN$2:$AN$4001&lt;$AN1521))+1,"")</f>
        <v/>
      </c>
      <c r="AL1521">
        <f>IF($C1521="","",IF(OR($Q1521=TRUE(),$Q1521="TRUE"),1,0))</f>
        <v/>
      </c>
      <c r="AM1521">
        <f>IF($C1521="","",IF($W1521="Yes",1,0))</f>
        <v/>
      </c>
      <c r="AN1521">
        <f>IF($AJ1521=1,IFERROR(IF(VALUE($C1521)&lt;100000000,VALUE($C1521),1000000000),IFERROR(IF(VALUE(MID($C1521,2,20))&lt;100000000,VALUE(MID($C1521,2,20)),1000000000),1000000000))+ROW()/100000,"")</f>
        <v/>
      </c>
    </row>
    <row r="1522">
      <c r="E1522" s="11" t="n"/>
      <c r="M1522" s="7">
        <f>IF($C1522="","",L1522*U1522/100)</f>
        <v/>
      </c>
      <c r="N1522" s="7" t="n"/>
      <c r="T1522" s="7" t="n"/>
      <c r="U1522" s="7">
        <f>IF($C1522="","",S1522*T1522)</f>
        <v/>
      </c>
      <c r="X1522">
        <f>IF($C1522="","",IF($AM1522=1,0,IF($AL1522=1,Settings!$C$6,Settings!$C$7))*100)</f>
        <v/>
      </c>
      <c r="AB1522" s="7" t="n"/>
      <c r="AE1522" s="11" t="n"/>
      <c r="AG1522" s="7">
        <f>IF($C1522="","",U1522*X1522/100)</f>
        <v/>
      </c>
      <c r="AH1522" s="7">
        <f>IF($C1522="","",U1522-AG1522)</f>
        <v/>
      </c>
      <c r="AI1522" s="7">
        <f>IF($C1522="","",AH1522-M1522)</f>
        <v/>
      </c>
      <c r="AJ1522">
        <f>IF($C1522="","",IF(COUNTIF($C$2:$C1522,$C1522)=1,1,0))</f>
        <v/>
      </c>
      <c r="AK1522">
        <f>IF($AJ1522=1,SUMPRODUCT(--($AN$2:$AN$4001&lt;$AN1522))+1,"")</f>
        <v/>
      </c>
      <c r="AL1522">
        <f>IF($C1522="","",IF(OR($Q1522=TRUE(),$Q1522="TRUE"),1,0))</f>
        <v/>
      </c>
      <c r="AM1522">
        <f>IF($C1522="","",IF($W1522="Yes",1,0))</f>
        <v/>
      </c>
      <c r="AN1522">
        <f>IF($AJ1522=1,IFERROR(IF(VALUE($C1522)&lt;100000000,VALUE($C1522),1000000000),IFERROR(IF(VALUE(MID($C1522,2,20))&lt;100000000,VALUE(MID($C1522,2,20)),1000000000),1000000000))+ROW()/100000,"")</f>
        <v/>
      </c>
    </row>
    <row r="1523">
      <c r="E1523" s="11" t="n"/>
      <c r="M1523" s="7">
        <f>IF($C1523="","",L1523*U1523/100)</f>
        <v/>
      </c>
      <c r="N1523" s="7" t="n"/>
      <c r="T1523" s="7" t="n"/>
      <c r="U1523" s="7">
        <f>IF($C1523="","",S1523*T1523)</f>
        <v/>
      </c>
      <c r="X1523">
        <f>IF($C1523="","",IF($AM1523=1,0,IF($AL1523=1,Settings!$C$6,Settings!$C$7))*100)</f>
        <v/>
      </c>
      <c r="AB1523" s="7" t="n"/>
      <c r="AE1523" s="11" t="n"/>
      <c r="AG1523" s="7">
        <f>IF($C1523="","",U1523*X1523/100)</f>
        <v/>
      </c>
      <c r="AH1523" s="7">
        <f>IF($C1523="","",U1523-AG1523)</f>
        <v/>
      </c>
      <c r="AI1523" s="7">
        <f>IF($C1523="","",AH1523-M1523)</f>
        <v/>
      </c>
      <c r="AJ1523">
        <f>IF($C1523="","",IF(COUNTIF($C$2:$C1523,$C1523)=1,1,0))</f>
        <v/>
      </c>
      <c r="AK1523">
        <f>IF($AJ1523=1,SUMPRODUCT(--($AN$2:$AN$4001&lt;$AN1523))+1,"")</f>
        <v/>
      </c>
      <c r="AL1523">
        <f>IF($C1523="","",IF(OR($Q1523=TRUE(),$Q1523="TRUE"),1,0))</f>
        <v/>
      </c>
      <c r="AM1523">
        <f>IF($C1523="","",IF($W1523="Yes",1,0))</f>
        <v/>
      </c>
      <c r="AN1523">
        <f>IF($AJ1523=1,IFERROR(IF(VALUE($C1523)&lt;100000000,VALUE($C1523),1000000000),IFERROR(IF(VALUE(MID($C1523,2,20))&lt;100000000,VALUE(MID($C1523,2,20)),1000000000),1000000000))+ROW()/100000,"")</f>
        <v/>
      </c>
    </row>
    <row r="1524">
      <c r="E1524" s="11" t="n"/>
      <c r="M1524" s="7">
        <f>IF($C1524="","",L1524*U1524/100)</f>
        <v/>
      </c>
      <c r="N1524" s="7" t="n"/>
      <c r="T1524" s="7" t="n"/>
      <c r="U1524" s="7">
        <f>IF($C1524="","",S1524*T1524)</f>
        <v/>
      </c>
      <c r="X1524">
        <f>IF($C1524="","",IF($AM1524=1,0,IF($AL1524=1,Settings!$C$6,Settings!$C$7))*100)</f>
        <v/>
      </c>
      <c r="AB1524" s="7" t="n"/>
      <c r="AE1524" s="11" t="n"/>
      <c r="AG1524" s="7">
        <f>IF($C1524="","",U1524*X1524/100)</f>
        <v/>
      </c>
      <c r="AH1524" s="7">
        <f>IF($C1524="","",U1524-AG1524)</f>
        <v/>
      </c>
      <c r="AI1524" s="7">
        <f>IF($C1524="","",AH1524-M1524)</f>
        <v/>
      </c>
      <c r="AJ1524">
        <f>IF($C1524="","",IF(COUNTIF($C$2:$C1524,$C1524)=1,1,0))</f>
        <v/>
      </c>
      <c r="AK1524">
        <f>IF($AJ1524=1,SUMPRODUCT(--($AN$2:$AN$4001&lt;$AN1524))+1,"")</f>
        <v/>
      </c>
      <c r="AL1524">
        <f>IF($C1524="","",IF(OR($Q1524=TRUE(),$Q1524="TRUE"),1,0))</f>
        <v/>
      </c>
      <c r="AM1524">
        <f>IF($C1524="","",IF($W1524="Yes",1,0))</f>
        <v/>
      </c>
      <c r="AN1524">
        <f>IF($AJ1524=1,IFERROR(IF(VALUE($C1524)&lt;100000000,VALUE($C1524),1000000000),IFERROR(IF(VALUE(MID($C1524,2,20))&lt;100000000,VALUE(MID($C1524,2,20)),1000000000),1000000000))+ROW()/100000,"")</f>
        <v/>
      </c>
    </row>
    <row r="1525">
      <c r="E1525" s="11" t="n"/>
      <c r="M1525" s="7">
        <f>IF($C1525="","",L1525*U1525/100)</f>
        <v/>
      </c>
      <c r="N1525" s="7" t="n"/>
      <c r="T1525" s="7" t="n"/>
      <c r="U1525" s="7">
        <f>IF($C1525="","",S1525*T1525)</f>
        <v/>
      </c>
      <c r="X1525">
        <f>IF($C1525="","",IF($AM1525=1,0,IF($AL1525=1,Settings!$C$6,Settings!$C$7))*100)</f>
        <v/>
      </c>
      <c r="AB1525" s="7" t="n"/>
      <c r="AE1525" s="11" t="n"/>
      <c r="AG1525" s="7">
        <f>IF($C1525="","",U1525*X1525/100)</f>
        <v/>
      </c>
      <c r="AH1525" s="7">
        <f>IF($C1525="","",U1525-AG1525)</f>
        <v/>
      </c>
      <c r="AI1525" s="7">
        <f>IF($C1525="","",AH1525-M1525)</f>
        <v/>
      </c>
      <c r="AJ1525">
        <f>IF($C1525="","",IF(COUNTIF($C$2:$C1525,$C1525)=1,1,0))</f>
        <v/>
      </c>
      <c r="AK1525">
        <f>IF($AJ1525=1,SUMPRODUCT(--($AN$2:$AN$4001&lt;$AN1525))+1,"")</f>
        <v/>
      </c>
      <c r="AL1525">
        <f>IF($C1525="","",IF(OR($Q1525=TRUE(),$Q1525="TRUE"),1,0))</f>
        <v/>
      </c>
      <c r="AM1525">
        <f>IF($C1525="","",IF($W1525="Yes",1,0))</f>
        <v/>
      </c>
      <c r="AN1525">
        <f>IF($AJ1525=1,IFERROR(IF(VALUE($C1525)&lt;100000000,VALUE($C1525),1000000000),IFERROR(IF(VALUE(MID($C1525,2,20))&lt;100000000,VALUE(MID($C1525,2,20)),1000000000),1000000000))+ROW()/100000,"")</f>
        <v/>
      </c>
    </row>
    <row r="1526">
      <c r="E1526" s="11" t="n"/>
      <c r="M1526" s="7">
        <f>IF($C1526="","",L1526*U1526/100)</f>
        <v/>
      </c>
      <c r="N1526" s="7" t="n"/>
      <c r="T1526" s="7" t="n"/>
      <c r="U1526" s="7">
        <f>IF($C1526="","",S1526*T1526)</f>
        <v/>
      </c>
      <c r="X1526">
        <f>IF($C1526="","",IF($AM1526=1,0,IF($AL1526=1,Settings!$C$6,Settings!$C$7))*100)</f>
        <v/>
      </c>
      <c r="AB1526" s="7" t="n"/>
      <c r="AE1526" s="11" t="n"/>
      <c r="AG1526" s="7">
        <f>IF($C1526="","",U1526*X1526/100)</f>
        <v/>
      </c>
      <c r="AH1526" s="7">
        <f>IF($C1526="","",U1526-AG1526)</f>
        <v/>
      </c>
      <c r="AI1526" s="7">
        <f>IF($C1526="","",AH1526-M1526)</f>
        <v/>
      </c>
      <c r="AJ1526">
        <f>IF($C1526="","",IF(COUNTIF($C$2:$C1526,$C1526)=1,1,0))</f>
        <v/>
      </c>
      <c r="AK1526">
        <f>IF($AJ1526=1,SUMPRODUCT(--($AN$2:$AN$4001&lt;$AN1526))+1,"")</f>
        <v/>
      </c>
      <c r="AL1526">
        <f>IF($C1526="","",IF(OR($Q1526=TRUE(),$Q1526="TRUE"),1,0))</f>
        <v/>
      </c>
      <c r="AM1526">
        <f>IF($C1526="","",IF($W1526="Yes",1,0))</f>
        <v/>
      </c>
      <c r="AN1526">
        <f>IF($AJ1526=1,IFERROR(IF(VALUE($C1526)&lt;100000000,VALUE($C1526),1000000000),IFERROR(IF(VALUE(MID($C1526,2,20))&lt;100000000,VALUE(MID($C1526,2,20)),1000000000),1000000000))+ROW()/100000,"")</f>
        <v/>
      </c>
    </row>
    <row r="1527">
      <c r="E1527" s="11" t="n"/>
      <c r="M1527" s="7">
        <f>IF($C1527="","",L1527*U1527/100)</f>
        <v/>
      </c>
      <c r="N1527" s="7" t="n"/>
      <c r="T1527" s="7" t="n"/>
      <c r="U1527" s="7">
        <f>IF($C1527="","",S1527*T1527)</f>
        <v/>
      </c>
      <c r="X1527">
        <f>IF($C1527="","",IF($AM1527=1,0,IF($AL1527=1,Settings!$C$6,Settings!$C$7))*100)</f>
        <v/>
      </c>
      <c r="AB1527" s="7" t="n"/>
      <c r="AE1527" s="11" t="n"/>
      <c r="AG1527" s="7">
        <f>IF($C1527="","",U1527*X1527/100)</f>
        <v/>
      </c>
      <c r="AH1527" s="7">
        <f>IF($C1527="","",U1527-AG1527)</f>
        <v/>
      </c>
      <c r="AI1527" s="7">
        <f>IF($C1527="","",AH1527-M1527)</f>
        <v/>
      </c>
      <c r="AJ1527">
        <f>IF($C1527="","",IF(COUNTIF($C$2:$C1527,$C1527)=1,1,0))</f>
        <v/>
      </c>
      <c r="AK1527">
        <f>IF($AJ1527=1,SUMPRODUCT(--($AN$2:$AN$4001&lt;$AN1527))+1,"")</f>
        <v/>
      </c>
      <c r="AL1527">
        <f>IF($C1527="","",IF(OR($Q1527=TRUE(),$Q1527="TRUE"),1,0))</f>
        <v/>
      </c>
      <c r="AM1527">
        <f>IF($C1527="","",IF($W1527="Yes",1,0))</f>
        <v/>
      </c>
      <c r="AN1527">
        <f>IF($AJ1527=1,IFERROR(IF(VALUE($C1527)&lt;100000000,VALUE($C1527),1000000000),IFERROR(IF(VALUE(MID($C1527,2,20))&lt;100000000,VALUE(MID($C1527,2,20)),1000000000),1000000000))+ROW()/100000,"")</f>
        <v/>
      </c>
    </row>
    <row r="1528">
      <c r="E1528" s="11" t="n"/>
      <c r="M1528" s="7">
        <f>IF($C1528="","",L1528*U1528/100)</f>
        <v/>
      </c>
      <c r="N1528" s="7" t="n"/>
      <c r="T1528" s="7" t="n"/>
      <c r="U1528" s="7">
        <f>IF($C1528="","",S1528*T1528)</f>
        <v/>
      </c>
      <c r="X1528">
        <f>IF($C1528="","",IF($AM1528=1,0,IF($AL1528=1,Settings!$C$6,Settings!$C$7))*100)</f>
        <v/>
      </c>
      <c r="AB1528" s="7" t="n"/>
      <c r="AE1528" s="11" t="n"/>
      <c r="AG1528" s="7">
        <f>IF($C1528="","",U1528*X1528/100)</f>
        <v/>
      </c>
      <c r="AH1528" s="7">
        <f>IF($C1528="","",U1528-AG1528)</f>
        <v/>
      </c>
      <c r="AI1528" s="7">
        <f>IF($C1528="","",AH1528-M1528)</f>
        <v/>
      </c>
      <c r="AJ1528">
        <f>IF($C1528="","",IF(COUNTIF($C$2:$C1528,$C1528)=1,1,0))</f>
        <v/>
      </c>
      <c r="AK1528">
        <f>IF($AJ1528=1,SUMPRODUCT(--($AN$2:$AN$4001&lt;$AN1528))+1,"")</f>
        <v/>
      </c>
      <c r="AL1528">
        <f>IF($C1528="","",IF(OR($Q1528=TRUE(),$Q1528="TRUE"),1,0))</f>
        <v/>
      </c>
      <c r="AM1528">
        <f>IF($C1528="","",IF($W1528="Yes",1,0))</f>
        <v/>
      </c>
      <c r="AN1528">
        <f>IF($AJ1528=1,IFERROR(IF(VALUE($C1528)&lt;100000000,VALUE($C1528),1000000000),IFERROR(IF(VALUE(MID($C1528,2,20))&lt;100000000,VALUE(MID($C1528,2,20)),1000000000),1000000000))+ROW()/100000,"")</f>
        <v/>
      </c>
    </row>
    <row r="1529">
      <c r="E1529" s="11" t="n"/>
      <c r="M1529" s="7">
        <f>IF($C1529="","",L1529*U1529/100)</f>
        <v/>
      </c>
      <c r="N1529" s="7" t="n"/>
      <c r="T1529" s="7" t="n"/>
      <c r="U1529" s="7">
        <f>IF($C1529="","",S1529*T1529)</f>
        <v/>
      </c>
      <c r="X1529">
        <f>IF($C1529="","",IF($AM1529=1,0,IF($AL1529=1,Settings!$C$6,Settings!$C$7))*100)</f>
        <v/>
      </c>
      <c r="AB1529" s="7" t="n"/>
      <c r="AE1529" s="11" t="n"/>
      <c r="AG1529" s="7">
        <f>IF($C1529="","",U1529*X1529/100)</f>
        <v/>
      </c>
      <c r="AH1529" s="7">
        <f>IF($C1529="","",U1529-AG1529)</f>
        <v/>
      </c>
      <c r="AI1529" s="7">
        <f>IF($C1529="","",AH1529-M1529)</f>
        <v/>
      </c>
      <c r="AJ1529">
        <f>IF($C1529="","",IF(COUNTIF($C$2:$C1529,$C1529)=1,1,0))</f>
        <v/>
      </c>
      <c r="AK1529">
        <f>IF($AJ1529=1,SUMPRODUCT(--($AN$2:$AN$4001&lt;$AN1529))+1,"")</f>
        <v/>
      </c>
      <c r="AL1529">
        <f>IF($C1529="","",IF(OR($Q1529=TRUE(),$Q1529="TRUE"),1,0))</f>
        <v/>
      </c>
      <c r="AM1529">
        <f>IF($C1529="","",IF($W1529="Yes",1,0))</f>
        <v/>
      </c>
      <c r="AN1529">
        <f>IF($AJ1529=1,IFERROR(IF(VALUE($C1529)&lt;100000000,VALUE($C1529),1000000000),IFERROR(IF(VALUE(MID($C1529,2,20))&lt;100000000,VALUE(MID($C1529,2,20)),1000000000),1000000000))+ROW()/100000,"")</f>
        <v/>
      </c>
    </row>
    <row r="1530">
      <c r="E1530" s="11" t="n"/>
      <c r="M1530" s="7">
        <f>IF($C1530="","",L1530*U1530/100)</f>
        <v/>
      </c>
      <c r="N1530" s="7" t="n"/>
      <c r="T1530" s="7" t="n"/>
      <c r="U1530" s="7">
        <f>IF($C1530="","",S1530*T1530)</f>
        <v/>
      </c>
      <c r="X1530">
        <f>IF($C1530="","",IF($AM1530=1,0,IF($AL1530=1,Settings!$C$6,Settings!$C$7))*100)</f>
        <v/>
      </c>
      <c r="AB1530" s="7" t="n"/>
      <c r="AE1530" s="11" t="n"/>
      <c r="AG1530" s="7">
        <f>IF($C1530="","",U1530*X1530/100)</f>
        <v/>
      </c>
      <c r="AH1530" s="7">
        <f>IF($C1530="","",U1530-AG1530)</f>
        <v/>
      </c>
      <c r="AI1530" s="7">
        <f>IF($C1530="","",AH1530-M1530)</f>
        <v/>
      </c>
      <c r="AJ1530">
        <f>IF($C1530="","",IF(COUNTIF($C$2:$C1530,$C1530)=1,1,0))</f>
        <v/>
      </c>
      <c r="AK1530">
        <f>IF($AJ1530=1,SUMPRODUCT(--($AN$2:$AN$4001&lt;$AN1530))+1,"")</f>
        <v/>
      </c>
      <c r="AL1530">
        <f>IF($C1530="","",IF(OR($Q1530=TRUE(),$Q1530="TRUE"),1,0))</f>
        <v/>
      </c>
      <c r="AM1530">
        <f>IF($C1530="","",IF($W1530="Yes",1,0))</f>
        <v/>
      </c>
      <c r="AN1530">
        <f>IF($AJ1530=1,IFERROR(IF(VALUE($C1530)&lt;100000000,VALUE($C1530),1000000000),IFERROR(IF(VALUE(MID($C1530,2,20))&lt;100000000,VALUE(MID($C1530,2,20)),1000000000),1000000000))+ROW()/100000,"")</f>
        <v/>
      </c>
    </row>
    <row r="1531">
      <c r="E1531" s="11" t="n"/>
      <c r="M1531" s="7">
        <f>IF($C1531="","",L1531*U1531/100)</f>
        <v/>
      </c>
      <c r="N1531" s="7" t="n"/>
      <c r="T1531" s="7" t="n"/>
      <c r="U1531" s="7">
        <f>IF($C1531="","",S1531*T1531)</f>
        <v/>
      </c>
      <c r="X1531">
        <f>IF($C1531="","",IF($AM1531=1,0,IF($AL1531=1,Settings!$C$6,Settings!$C$7))*100)</f>
        <v/>
      </c>
      <c r="AB1531" s="7" t="n"/>
      <c r="AE1531" s="11" t="n"/>
      <c r="AG1531" s="7">
        <f>IF($C1531="","",U1531*X1531/100)</f>
        <v/>
      </c>
      <c r="AH1531" s="7">
        <f>IF($C1531="","",U1531-AG1531)</f>
        <v/>
      </c>
      <c r="AI1531" s="7">
        <f>IF($C1531="","",AH1531-M1531)</f>
        <v/>
      </c>
      <c r="AJ1531">
        <f>IF($C1531="","",IF(COUNTIF($C$2:$C1531,$C1531)=1,1,0))</f>
        <v/>
      </c>
      <c r="AK1531">
        <f>IF($AJ1531=1,SUMPRODUCT(--($AN$2:$AN$4001&lt;$AN1531))+1,"")</f>
        <v/>
      </c>
      <c r="AL1531">
        <f>IF($C1531="","",IF(OR($Q1531=TRUE(),$Q1531="TRUE"),1,0))</f>
        <v/>
      </c>
      <c r="AM1531">
        <f>IF($C1531="","",IF($W1531="Yes",1,0))</f>
        <v/>
      </c>
      <c r="AN1531">
        <f>IF($AJ1531=1,IFERROR(IF(VALUE($C1531)&lt;100000000,VALUE($C1531),1000000000),IFERROR(IF(VALUE(MID($C1531,2,20))&lt;100000000,VALUE(MID($C1531,2,20)),1000000000),1000000000))+ROW()/100000,"")</f>
        <v/>
      </c>
    </row>
    <row r="1532">
      <c r="E1532" s="11" t="n"/>
      <c r="M1532" s="7">
        <f>IF($C1532="","",L1532*U1532/100)</f>
        <v/>
      </c>
      <c r="N1532" s="7" t="n"/>
      <c r="T1532" s="7" t="n"/>
      <c r="U1532" s="7">
        <f>IF($C1532="","",S1532*T1532)</f>
        <v/>
      </c>
      <c r="X1532">
        <f>IF($C1532="","",IF($AM1532=1,0,IF($AL1532=1,Settings!$C$6,Settings!$C$7))*100)</f>
        <v/>
      </c>
      <c r="AB1532" s="7" t="n"/>
      <c r="AE1532" s="11" t="n"/>
      <c r="AG1532" s="7">
        <f>IF($C1532="","",U1532*X1532/100)</f>
        <v/>
      </c>
      <c r="AH1532" s="7">
        <f>IF($C1532="","",U1532-AG1532)</f>
        <v/>
      </c>
      <c r="AI1532" s="7">
        <f>IF($C1532="","",AH1532-M1532)</f>
        <v/>
      </c>
      <c r="AJ1532">
        <f>IF($C1532="","",IF(COUNTIF($C$2:$C1532,$C1532)=1,1,0))</f>
        <v/>
      </c>
      <c r="AK1532">
        <f>IF($AJ1532=1,SUMPRODUCT(--($AN$2:$AN$4001&lt;$AN1532))+1,"")</f>
        <v/>
      </c>
      <c r="AL1532">
        <f>IF($C1532="","",IF(OR($Q1532=TRUE(),$Q1532="TRUE"),1,0))</f>
        <v/>
      </c>
      <c r="AM1532">
        <f>IF($C1532="","",IF($W1532="Yes",1,0))</f>
        <v/>
      </c>
      <c r="AN1532">
        <f>IF($AJ1532=1,IFERROR(IF(VALUE($C1532)&lt;100000000,VALUE($C1532),1000000000),IFERROR(IF(VALUE(MID($C1532,2,20))&lt;100000000,VALUE(MID($C1532,2,20)),1000000000),1000000000))+ROW()/100000,"")</f>
        <v/>
      </c>
    </row>
    <row r="1533">
      <c r="E1533" s="11" t="n"/>
      <c r="M1533" s="7">
        <f>IF($C1533="","",L1533*U1533/100)</f>
        <v/>
      </c>
      <c r="N1533" s="7" t="n"/>
      <c r="T1533" s="7" t="n"/>
      <c r="U1533" s="7">
        <f>IF($C1533="","",S1533*T1533)</f>
        <v/>
      </c>
      <c r="X1533">
        <f>IF($C1533="","",IF($AM1533=1,0,IF($AL1533=1,Settings!$C$6,Settings!$C$7))*100)</f>
        <v/>
      </c>
      <c r="AB1533" s="7" t="n"/>
      <c r="AE1533" s="11" t="n"/>
      <c r="AG1533" s="7">
        <f>IF($C1533="","",U1533*X1533/100)</f>
        <v/>
      </c>
      <c r="AH1533" s="7">
        <f>IF($C1533="","",U1533-AG1533)</f>
        <v/>
      </c>
      <c r="AI1533" s="7">
        <f>IF($C1533="","",AH1533-M1533)</f>
        <v/>
      </c>
      <c r="AJ1533">
        <f>IF($C1533="","",IF(COUNTIF($C$2:$C1533,$C1533)=1,1,0))</f>
        <v/>
      </c>
      <c r="AK1533">
        <f>IF($AJ1533=1,SUMPRODUCT(--($AN$2:$AN$4001&lt;$AN1533))+1,"")</f>
        <v/>
      </c>
      <c r="AL1533">
        <f>IF($C1533="","",IF(OR($Q1533=TRUE(),$Q1533="TRUE"),1,0))</f>
        <v/>
      </c>
      <c r="AM1533">
        <f>IF($C1533="","",IF($W1533="Yes",1,0))</f>
        <v/>
      </c>
      <c r="AN1533">
        <f>IF($AJ1533=1,IFERROR(IF(VALUE($C1533)&lt;100000000,VALUE($C1533),1000000000),IFERROR(IF(VALUE(MID($C1533,2,20))&lt;100000000,VALUE(MID($C1533,2,20)),1000000000),1000000000))+ROW()/100000,"")</f>
        <v/>
      </c>
    </row>
    <row r="1534">
      <c r="E1534" s="11" t="n"/>
      <c r="M1534" s="7">
        <f>IF($C1534="","",L1534*U1534/100)</f>
        <v/>
      </c>
      <c r="N1534" s="7" t="n"/>
      <c r="T1534" s="7" t="n"/>
      <c r="U1534" s="7">
        <f>IF($C1534="","",S1534*T1534)</f>
        <v/>
      </c>
      <c r="X1534">
        <f>IF($C1534="","",IF($AM1534=1,0,IF($AL1534=1,Settings!$C$6,Settings!$C$7))*100)</f>
        <v/>
      </c>
      <c r="AB1534" s="7" t="n"/>
      <c r="AE1534" s="11" t="n"/>
      <c r="AG1534" s="7">
        <f>IF($C1534="","",U1534*X1534/100)</f>
        <v/>
      </c>
      <c r="AH1534" s="7">
        <f>IF($C1534="","",U1534-AG1534)</f>
        <v/>
      </c>
      <c r="AI1534" s="7">
        <f>IF($C1534="","",AH1534-M1534)</f>
        <v/>
      </c>
      <c r="AJ1534">
        <f>IF($C1534="","",IF(COUNTIF($C$2:$C1534,$C1534)=1,1,0))</f>
        <v/>
      </c>
      <c r="AK1534">
        <f>IF($AJ1534=1,SUMPRODUCT(--($AN$2:$AN$4001&lt;$AN1534))+1,"")</f>
        <v/>
      </c>
      <c r="AL1534">
        <f>IF($C1534="","",IF(OR($Q1534=TRUE(),$Q1534="TRUE"),1,0))</f>
        <v/>
      </c>
      <c r="AM1534">
        <f>IF($C1534="","",IF($W1534="Yes",1,0))</f>
        <v/>
      </c>
      <c r="AN1534">
        <f>IF($AJ1534=1,IFERROR(IF(VALUE($C1534)&lt;100000000,VALUE($C1534),1000000000),IFERROR(IF(VALUE(MID($C1534,2,20))&lt;100000000,VALUE(MID($C1534,2,20)),1000000000),1000000000))+ROW()/100000,"")</f>
        <v/>
      </c>
    </row>
    <row r="1535">
      <c r="E1535" s="11" t="n"/>
      <c r="M1535" s="7">
        <f>IF($C1535="","",L1535*U1535/100)</f>
        <v/>
      </c>
      <c r="N1535" s="7" t="n"/>
      <c r="T1535" s="7" t="n"/>
      <c r="U1535" s="7">
        <f>IF($C1535="","",S1535*T1535)</f>
        <v/>
      </c>
      <c r="X1535">
        <f>IF($C1535="","",IF($AM1535=1,0,IF($AL1535=1,Settings!$C$6,Settings!$C$7))*100)</f>
        <v/>
      </c>
      <c r="AB1535" s="7" t="n"/>
      <c r="AE1535" s="11" t="n"/>
      <c r="AG1535" s="7">
        <f>IF($C1535="","",U1535*X1535/100)</f>
        <v/>
      </c>
      <c r="AH1535" s="7">
        <f>IF($C1535="","",U1535-AG1535)</f>
        <v/>
      </c>
      <c r="AI1535" s="7">
        <f>IF($C1535="","",AH1535-M1535)</f>
        <v/>
      </c>
      <c r="AJ1535">
        <f>IF($C1535="","",IF(COUNTIF($C$2:$C1535,$C1535)=1,1,0))</f>
        <v/>
      </c>
      <c r="AK1535">
        <f>IF($AJ1535=1,SUMPRODUCT(--($AN$2:$AN$4001&lt;$AN1535))+1,"")</f>
        <v/>
      </c>
      <c r="AL1535">
        <f>IF($C1535="","",IF(OR($Q1535=TRUE(),$Q1535="TRUE"),1,0))</f>
        <v/>
      </c>
      <c r="AM1535">
        <f>IF($C1535="","",IF($W1535="Yes",1,0))</f>
        <v/>
      </c>
      <c r="AN1535">
        <f>IF($AJ1535=1,IFERROR(IF(VALUE($C1535)&lt;100000000,VALUE($C1535),1000000000),IFERROR(IF(VALUE(MID($C1535,2,20))&lt;100000000,VALUE(MID($C1535,2,20)),1000000000),1000000000))+ROW()/100000,"")</f>
        <v/>
      </c>
    </row>
    <row r="1536">
      <c r="E1536" s="11" t="n"/>
      <c r="M1536" s="7">
        <f>IF($C1536="","",L1536*U1536/100)</f>
        <v/>
      </c>
      <c r="N1536" s="7" t="n"/>
      <c r="T1536" s="7" t="n"/>
      <c r="U1536" s="7">
        <f>IF($C1536="","",S1536*T1536)</f>
        <v/>
      </c>
      <c r="X1536">
        <f>IF($C1536="","",IF($AM1536=1,0,IF($AL1536=1,Settings!$C$6,Settings!$C$7))*100)</f>
        <v/>
      </c>
      <c r="AB1536" s="7" t="n"/>
      <c r="AE1536" s="11" t="n"/>
      <c r="AG1536" s="7">
        <f>IF($C1536="","",U1536*X1536/100)</f>
        <v/>
      </c>
      <c r="AH1536" s="7">
        <f>IF($C1536="","",U1536-AG1536)</f>
        <v/>
      </c>
      <c r="AI1536" s="7">
        <f>IF($C1536="","",AH1536-M1536)</f>
        <v/>
      </c>
      <c r="AJ1536">
        <f>IF($C1536="","",IF(COUNTIF($C$2:$C1536,$C1536)=1,1,0))</f>
        <v/>
      </c>
      <c r="AK1536">
        <f>IF($AJ1536=1,SUMPRODUCT(--($AN$2:$AN$4001&lt;$AN1536))+1,"")</f>
        <v/>
      </c>
      <c r="AL1536">
        <f>IF($C1536="","",IF(OR($Q1536=TRUE(),$Q1536="TRUE"),1,0))</f>
        <v/>
      </c>
      <c r="AM1536">
        <f>IF($C1536="","",IF($W1536="Yes",1,0))</f>
        <v/>
      </c>
      <c r="AN1536">
        <f>IF($AJ1536=1,IFERROR(IF(VALUE($C1536)&lt;100000000,VALUE($C1536),1000000000),IFERROR(IF(VALUE(MID($C1536,2,20))&lt;100000000,VALUE(MID($C1536,2,20)),1000000000),1000000000))+ROW()/100000,"")</f>
        <v/>
      </c>
    </row>
    <row r="1537">
      <c r="E1537" s="11" t="n"/>
      <c r="M1537" s="7">
        <f>IF($C1537="","",L1537*U1537/100)</f>
        <v/>
      </c>
      <c r="N1537" s="7" t="n"/>
      <c r="T1537" s="7" t="n"/>
      <c r="U1537" s="7">
        <f>IF($C1537="","",S1537*T1537)</f>
        <v/>
      </c>
      <c r="X1537">
        <f>IF($C1537="","",IF($AM1537=1,0,IF($AL1537=1,Settings!$C$6,Settings!$C$7))*100)</f>
        <v/>
      </c>
      <c r="AB1537" s="7" t="n"/>
      <c r="AE1537" s="11" t="n"/>
      <c r="AG1537" s="7">
        <f>IF($C1537="","",U1537*X1537/100)</f>
        <v/>
      </c>
      <c r="AH1537" s="7">
        <f>IF($C1537="","",U1537-AG1537)</f>
        <v/>
      </c>
      <c r="AI1537" s="7">
        <f>IF($C1537="","",AH1537-M1537)</f>
        <v/>
      </c>
      <c r="AJ1537">
        <f>IF($C1537="","",IF(COUNTIF($C$2:$C1537,$C1537)=1,1,0))</f>
        <v/>
      </c>
      <c r="AK1537">
        <f>IF($AJ1537=1,SUMPRODUCT(--($AN$2:$AN$4001&lt;$AN1537))+1,"")</f>
        <v/>
      </c>
      <c r="AL1537">
        <f>IF($C1537="","",IF(OR($Q1537=TRUE(),$Q1537="TRUE"),1,0))</f>
        <v/>
      </c>
      <c r="AM1537">
        <f>IF($C1537="","",IF($W1537="Yes",1,0))</f>
        <v/>
      </c>
      <c r="AN1537">
        <f>IF($AJ1537=1,IFERROR(IF(VALUE($C1537)&lt;100000000,VALUE($C1537),1000000000),IFERROR(IF(VALUE(MID($C1537,2,20))&lt;100000000,VALUE(MID($C1537,2,20)),1000000000),1000000000))+ROW()/100000,"")</f>
        <v/>
      </c>
    </row>
    <row r="1538">
      <c r="E1538" s="11" t="n"/>
      <c r="M1538" s="7">
        <f>IF($C1538="","",L1538*U1538/100)</f>
        <v/>
      </c>
      <c r="N1538" s="7" t="n"/>
      <c r="T1538" s="7" t="n"/>
      <c r="U1538" s="7">
        <f>IF($C1538="","",S1538*T1538)</f>
        <v/>
      </c>
      <c r="X1538">
        <f>IF($C1538="","",IF($AM1538=1,0,IF($AL1538=1,Settings!$C$6,Settings!$C$7))*100)</f>
        <v/>
      </c>
      <c r="AB1538" s="7" t="n"/>
      <c r="AE1538" s="11" t="n"/>
      <c r="AG1538" s="7">
        <f>IF($C1538="","",U1538*X1538/100)</f>
        <v/>
      </c>
      <c r="AH1538" s="7">
        <f>IF($C1538="","",U1538-AG1538)</f>
        <v/>
      </c>
      <c r="AI1538" s="7">
        <f>IF($C1538="","",AH1538-M1538)</f>
        <v/>
      </c>
      <c r="AJ1538">
        <f>IF($C1538="","",IF(COUNTIF($C$2:$C1538,$C1538)=1,1,0))</f>
        <v/>
      </c>
      <c r="AK1538">
        <f>IF($AJ1538=1,SUMPRODUCT(--($AN$2:$AN$4001&lt;$AN1538))+1,"")</f>
        <v/>
      </c>
      <c r="AL1538">
        <f>IF($C1538="","",IF(OR($Q1538=TRUE(),$Q1538="TRUE"),1,0))</f>
        <v/>
      </c>
      <c r="AM1538">
        <f>IF($C1538="","",IF($W1538="Yes",1,0))</f>
        <v/>
      </c>
      <c r="AN1538">
        <f>IF($AJ1538=1,IFERROR(IF(VALUE($C1538)&lt;100000000,VALUE($C1538),1000000000),IFERROR(IF(VALUE(MID($C1538,2,20))&lt;100000000,VALUE(MID($C1538,2,20)),1000000000),1000000000))+ROW()/100000,"")</f>
        <v/>
      </c>
    </row>
    <row r="1539">
      <c r="E1539" s="11" t="n"/>
      <c r="M1539" s="7">
        <f>IF($C1539="","",L1539*U1539/100)</f>
        <v/>
      </c>
      <c r="N1539" s="7" t="n"/>
      <c r="T1539" s="7" t="n"/>
      <c r="U1539" s="7">
        <f>IF($C1539="","",S1539*T1539)</f>
        <v/>
      </c>
      <c r="X1539">
        <f>IF($C1539="","",IF($AM1539=1,0,IF($AL1539=1,Settings!$C$6,Settings!$C$7))*100)</f>
        <v/>
      </c>
      <c r="AB1539" s="7" t="n"/>
      <c r="AE1539" s="11" t="n"/>
      <c r="AG1539" s="7">
        <f>IF($C1539="","",U1539*X1539/100)</f>
        <v/>
      </c>
      <c r="AH1539" s="7">
        <f>IF($C1539="","",U1539-AG1539)</f>
        <v/>
      </c>
      <c r="AI1539" s="7">
        <f>IF($C1539="","",AH1539-M1539)</f>
        <v/>
      </c>
      <c r="AJ1539">
        <f>IF($C1539="","",IF(COUNTIF($C$2:$C1539,$C1539)=1,1,0))</f>
        <v/>
      </c>
      <c r="AK1539">
        <f>IF($AJ1539=1,SUMPRODUCT(--($AN$2:$AN$4001&lt;$AN1539))+1,"")</f>
        <v/>
      </c>
      <c r="AL1539">
        <f>IF($C1539="","",IF(OR($Q1539=TRUE(),$Q1539="TRUE"),1,0))</f>
        <v/>
      </c>
      <c r="AM1539">
        <f>IF($C1539="","",IF($W1539="Yes",1,0))</f>
        <v/>
      </c>
      <c r="AN1539">
        <f>IF($AJ1539=1,IFERROR(IF(VALUE($C1539)&lt;100000000,VALUE($C1539),1000000000),IFERROR(IF(VALUE(MID($C1539,2,20))&lt;100000000,VALUE(MID($C1539,2,20)),1000000000),1000000000))+ROW()/100000,"")</f>
        <v/>
      </c>
    </row>
    <row r="1540">
      <c r="E1540" s="11" t="n"/>
      <c r="M1540" s="7">
        <f>IF($C1540="","",L1540*U1540/100)</f>
        <v/>
      </c>
      <c r="N1540" s="7" t="n"/>
      <c r="T1540" s="7" t="n"/>
      <c r="U1540" s="7">
        <f>IF($C1540="","",S1540*T1540)</f>
        <v/>
      </c>
      <c r="X1540">
        <f>IF($C1540="","",IF($AM1540=1,0,IF($AL1540=1,Settings!$C$6,Settings!$C$7))*100)</f>
        <v/>
      </c>
      <c r="AB1540" s="7" t="n"/>
      <c r="AE1540" s="11" t="n"/>
      <c r="AG1540" s="7">
        <f>IF($C1540="","",U1540*X1540/100)</f>
        <v/>
      </c>
      <c r="AH1540" s="7">
        <f>IF($C1540="","",U1540-AG1540)</f>
        <v/>
      </c>
      <c r="AI1540" s="7">
        <f>IF($C1540="","",AH1540-M1540)</f>
        <v/>
      </c>
      <c r="AJ1540">
        <f>IF($C1540="","",IF(COUNTIF($C$2:$C1540,$C1540)=1,1,0))</f>
        <v/>
      </c>
      <c r="AK1540">
        <f>IF($AJ1540=1,SUMPRODUCT(--($AN$2:$AN$4001&lt;$AN1540))+1,"")</f>
        <v/>
      </c>
      <c r="AL1540">
        <f>IF($C1540="","",IF(OR($Q1540=TRUE(),$Q1540="TRUE"),1,0))</f>
        <v/>
      </c>
      <c r="AM1540">
        <f>IF($C1540="","",IF($W1540="Yes",1,0))</f>
        <v/>
      </c>
      <c r="AN1540">
        <f>IF($AJ1540=1,IFERROR(IF(VALUE($C1540)&lt;100000000,VALUE($C1540),1000000000),IFERROR(IF(VALUE(MID($C1540,2,20))&lt;100000000,VALUE(MID($C1540,2,20)),1000000000),1000000000))+ROW()/100000,"")</f>
        <v/>
      </c>
    </row>
    <row r="1541">
      <c r="E1541" s="11" t="n"/>
      <c r="M1541" s="7">
        <f>IF($C1541="","",L1541*U1541/100)</f>
        <v/>
      </c>
      <c r="N1541" s="7" t="n"/>
      <c r="T1541" s="7" t="n"/>
      <c r="U1541" s="7">
        <f>IF($C1541="","",S1541*T1541)</f>
        <v/>
      </c>
      <c r="X1541">
        <f>IF($C1541="","",IF($AM1541=1,0,IF($AL1541=1,Settings!$C$6,Settings!$C$7))*100)</f>
        <v/>
      </c>
      <c r="AB1541" s="7" t="n"/>
      <c r="AE1541" s="11" t="n"/>
      <c r="AG1541" s="7">
        <f>IF($C1541="","",U1541*X1541/100)</f>
        <v/>
      </c>
      <c r="AH1541" s="7">
        <f>IF($C1541="","",U1541-AG1541)</f>
        <v/>
      </c>
      <c r="AI1541" s="7">
        <f>IF($C1541="","",AH1541-M1541)</f>
        <v/>
      </c>
      <c r="AJ1541">
        <f>IF($C1541="","",IF(COUNTIF($C$2:$C1541,$C1541)=1,1,0))</f>
        <v/>
      </c>
      <c r="AK1541">
        <f>IF($AJ1541=1,SUMPRODUCT(--($AN$2:$AN$4001&lt;$AN1541))+1,"")</f>
        <v/>
      </c>
      <c r="AL1541">
        <f>IF($C1541="","",IF(OR($Q1541=TRUE(),$Q1541="TRUE"),1,0))</f>
        <v/>
      </c>
      <c r="AM1541">
        <f>IF($C1541="","",IF($W1541="Yes",1,0))</f>
        <v/>
      </c>
      <c r="AN1541">
        <f>IF($AJ1541=1,IFERROR(IF(VALUE($C1541)&lt;100000000,VALUE($C1541),1000000000),IFERROR(IF(VALUE(MID($C1541,2,20))&lt;100000000,VALUE(MID($C1541,2,20)),1000000000),1000000000))+ROW()/100000,"")</f>
        <v/>
      </c>
    </row>
    <row r="1542">
      <c r="E1542" s="11" t="n"/>
      <c r="M1542" s="7">
        <f>IF($C1542="","",L1542*U1542/100)</f>
        <v/>
      </c>
      <c r="N1542" s="7" t="n"/>
      <c r="T1542" s="7" t="n"/>
      <c r="U1542" s="7">
        <f>IF($C1542="","",S1542*T1542)</f>
        <v/>
      </c>
      <c r="X1542">
        <f>IF($C1542="","",IF($AM1542=1,0,IF($AL1542=1,Settings!$C$6,Settings!$C$7))*100)</f>
        <v/>
      </c>
      <c r="AB1542" s="7" t="n"/>
      <c r="AE1542" s="11" t="n"/>
      <c r="AG1542" s="7">
        <f>IF($C1542="","",U1542*X1542/100)</f>
        <v/>
      </c>
      <c r="AH1542" s="7">
        <f>IF($C1542="","",U1542-AG1542)</f>
        <v/>
      </c>
      <c r="AI1542" s="7">
        <f>IF($C1542="","",AH1542-M1542)</f>
        <v/>
      </c>
      <c r="AJ1542">
        <f>IF($C1542="","",IF(COUNTIF($C$2:$C1542,$C1542)=1,1,0))</f>
        <v/>
      </c>
      <c r="AK1542">
        <f>IF($AJ1542=1,SUMPRODUCT(--($AN$2:$AN$4001&lt;$AN1542))+1,"")</f>
        <v/>
      </c>
      <c r="AL1542">
        <f>IF($C1542="","",IF(OR($Q1542=TRUE(),$Q1542="TRUE"),1,0))</f>
        <v/>
      </c>
      <c r="AM1542">
        <f>IF($C1542="","",IF($W1542="Yes",1,0))</f>
        <v/>
      </c>
      <c r="AN1542">
        <f>IF($AJ1542=1,IFERROR(IF(VALUE($C1542)&lt;100000000,VALUE($C1542),1000000000),IFERROR(IF(VALUE(MID($C1542,2,20))&lt;100000000,VALUE(MID($C1542,2,20)),1000000000),1000000000))+ROW()/100000,"")</f>
        <v/>
      </c>
    </row>
    <row r="1543">
      <c r="E1543" s="11" t="n"/>
      <c r="M1543" s="7">
        <f>IF($C1543="","",L1543*U1543/100)</f>
        <v/>
      </c>
      <c r="N1543" s="7" t="n"/>
      <c r="T1543" s="7" t="n"/>
      <c r="U1543" s="7">
        <f>IF($C1543="","",S1543*T1543)</f>
        <v/>
      </c>
      <c r="X1543">
        <f>IF($C1543="","",IF($AM1543=1,0,IF($AL1543=1,Settings!$C$6,Settings!$C$7))*100)</f>
        <v/>
      </c>
      <c r="AB1543" s="7" t="n"/>
      <c r="AE1543" s="11" t="n"/>
      <c r="AG1543" s="7">
        <f>IF($C1543="","",U1543*X1543/100)</f>
        <v/>
      </c>
      <c r="AH1543" s="7">
        <f>IF($C1543="","",U1543-AG1543)</f>
        <v/>
      </c>
      <c r="AI1543" s="7">
        <f>IF($C1543="","",AH1543-M1543)</f>
        <v/>
      </c>
      <c r="AJ1543">
        <f>IF($C1543="","",IF(COUNTIF($C$2:$C1543,$C1543)=1,1,0))</f>
        <v/>
      </c>
      <c r="AK1543">
        <f>IF($AJ1543=1,SUMPRODUCT(--($AN$2:$AN$4001&lt;$AN1543))+1,"")</f>
        <v/>
      </c>
      <c r="AL1543">
        <f>IF($C1543="","",IF(OR($Q1543=TRUE(),$Q1543="TRUE"),1,0))</f>
        <v/>
      </c>
      <c r="AM1543">
        <f>IF($C1543="","",IF($W1543="Yes",1,0))</f>
        <v/>
      </c>
      <c r="AN1543">
        <f>IF($AJ1543=1,IFERROR(IF(VALUE($C1543)&lt;100000000,VALUE($C1543),1000000000),IFERROR(IF(VALUE(MID($C1543,2,20))&lt;100000000,VALUE(MID($C1543,2,20)),1000000000),1000000000))+ROW()/100000,"")</f>
        <v/>
      </c>
    </row>
    <row r="1544">
      <c r="E1544" s="11" t="n"/>
      <c r="M1544" s="7">
        <f>IF($C1544="","",L1544*U1544/100)</f>
        <v/>
      </c>
      <c r="N1544" s="7" t="n"/>
      <c r="T1544" s="7" t="n"/>
      <c r="U1544" s="7">
        <f>IF($C1544="","",S1544*T1544)</f>
        <v/>
      </c>
      <c r="X1544">
        <f>IF($C1544="","",IF($AM1544=1,0,IF($AL1544=1,Settings!$C$6,Settings!$C$7))*100)</f>
        <v/>
      </c>
      <c r="AB1544" s="7" t="n"/>
      <c r="AE1544" s="11" t="n"/>
      <c r="AG1544" s="7">
        <f>IF($C1544="","",U1544*X1544/100)</f>
        <v/>
      </c>
      <c r="AH1544" s="7">
        <f>IF($C1544="","",U1544-AG1544)</f>
        <v/>
      </c>
      <c r="AI1544" s="7">
        <f>IF($C1544="","",AH1544-M1544)</f>
        <v/>
      </c>
      <c r="AJ1544">
        <f>IF($C1544="","",IF(COUNTIF($C$2:$C1544,$C1544)=1,1,0))</f>
        <v/>
      </c>
      <c r="AK1544">
        <f>IF($AJ1544=1,SUMPRODUCT(--($AN$2:$AN$4001&lt;$AN1544))+1,"")</f>
        <v/>
      </c>
      <c r="AL1544">
        <f>IF($C1544="","",IF(OR($Q1544=TRUE(),$Q1544="TRUE"),1,0))</f>
        <v/>
      </c>
      <c r="AM1544">
        <f>IF($C1544="","",IF($W1544="Yes",1,0))</f>
        <v/>
      </c>
      <c r="AN1544">
        <f>IF($AJ1544=1,IFERROR(IF(VALUE($C1544)&lt;100000000,VALUE($C1544),1000000000),IFERROR(IF(VALUE(MID($C1544,2,20))&lt;100000000,VALUE(MID($C1544,2,20)),1000000000),1000000000))+ROW()/100000,"")</f>
        <v/>
      </c>
    </row>
    <row r="1545">
      <c r="E1545" s="11" t="n"/>
      <c r="M1545" s="7">
        <f>IF($C1545="","",L1545*U1545/100)</f>
        <v/>
      </c>
      <c r="N1545" s="7" t="n"/>
      <c r="T1545" s="7" t="n"/>
      <c r="U1545" s="7">
        <f>IF($C1545="","",S1545*T1545)</f>
        <v/>
      </c>
      <c r="X1545">
        <f>IF($C1545="","",IF($AM1545=1,0,IF($AL1545=1,Settings!$C$6,Settings!$C$7))*100)</f>
        <v/>
      </c>
      <c r="AB1545" s="7" t="n"/>
      <c r="AE1545" s="11" t="n"/>
      <c r="AG1545" s="7">
        <f>IF($C1545="","",U1545*X1545/100)</f>
        <v/>
      </c>
      <c r="AH1545" s="7">
        <f>IF($C1545="","",U1545-AG1545)</f>
        <v/>
      </c>
      <c r="AI1545" s="7">
        <f>IF($C1545="","",AH1545-M1545)</f>
        <v/>
      </c>
      <c r="AJ1545">
        <f>IF($C1545="","",IF(COUNTIF($C$2:$C1545,$C1545)=1,1,0))</f>
        <v/>
      </c>
      <c r="AK1545">
        <f>IF($AJ1545=1,SUMPRODUCT(--($AN$2:$AN$4001&lt;$AN1545))+1,"")</f>
        <v/>
      </c>
      <c r="AL1545">
        <f>IF($C1545="","",IF(OR($Q1545=TRUE(),$Q1545="TRUE"),1,0))</f>
        <v/>
      </c>
      <c r="AM1545">
        <f>IF($C1545="","",IF($W1545="Yes",1,0))</f>
        <v/>
      </c>
      <c r="AN1545">
        <f>IF($AJ1545=1,IFERROR(IF(VALUE($C1545)&lt;100000000,VALUE($C1545),1000000000),IFERROR(IF(VALUE(MID($C1545,2,20))&lt;100000000,VALUE(MID($C1545,2,20)),1000000000),1000000000))+ROW()/100000,"")</f>
        <v/>
      </c>
    </row>
    <row r="1546">
      <c r="E1546" s="11" t="n"/>
      <c r="M1546" s="7">
        <f>IF($C1546="","",L1546*U1546/100)</f>
        <v/>
      </c>
      <c r="N1546" s="7" t="n"/>
      <c r="T1546" s="7" t="n"/>
      <c r="U1546" s="7">
        <f>IF($C1546="","",S1546*T1546)</f>
        <v/>
      </c>
      <c r="X1546">
        <f>IF($C1546="","",IF($AM1546=1,0,IF($AL1546=1,Settings!$C$6,Settings!$C$7))*100)</f>
        <v/>
      </c>
      <c r="AB1546" s="7" t="n"/>
      <c r="AE1546" s="11" t="n"/>
      <c r="AG1546" s="7">
        <f>IF($C1546="","",U1546*X1546/100)</f>
        <v/>
      </c>
      <c r="AH1546" s="7">
        <f>IF($C1546="","",U1546-AG1546)</f>
        <v/>
      </c>
      <c r="AI1546" s="7">
        <f>IF($C1546="","",AH1546-M1546)</f>
        <v/>
      </c>
      <c r="AJ1546">
        <f>IF($C1546="","",IF(COUNTIF($C$2:$C1546,$C1546)=1,1,0))</f>
        <v/>
      </c>
      <c r="AK1546">
        <f>IF($AJ1546=1,SUMPRODUCT(--($AN$2:$AN$4001&lt;$AN1546))+1,"")</f>
        <v/>
      </c>
      <c r="AL1546">
        <f>IF($C1546="","",IF(OR($Q1546=TRUE(),$Q1546="TRUE"),1,0))</f>
        <v/>
      </c>
      <c r="AM1546">
        <f>IF($C1546="","",IF($W1546="Yes",1,0))</f>
        <v/>
      </c>
      <c r="AN1546">
        <f>IF($AJ1546=1,IFERROR(IF(VALUE($C1546)&lt;100000000,VALUE($C1546),1000000000),IFERROR(IF(VALUE(MID($C1546,2,20))&lt;100000000,VALUE(MID($C1546,2,20)),1000000000),1000000000))+ROW()/100000,"")</f>
        <v/>
      </c>
    </row>
    <row r="1547">
      <c r="E1547" s="11" t="n"/>
      <c r="M1547" s="7">
        <f>IF($C1547="","",L1547*U1547/100)</f>
        <v/>
      </c>
      <c r="N1547" s="7" t="n"/>
      <c r="T1547" s="7" t="n"/>
      <c r="U1547" s="7">
        <f>IF($C1547="","",S1547*T1547)</f>
        <v/>
      </c>
      <c r="X1547">
        <f>IF($C1547="","",IF($AM1547=1,0,IF($AL1547=1,Settings!$C$6,Settings!$C$7))*100)</f>
        <v/>
      </c>
      <c r="AB1547" s="7" t="n"/>
      <c r="AE1547" s="11" t="n"/>
      <c r="AG1547" s="7">
        <f>IF($C1547="","",U1547*X1547/100)</f>
        <v/>
      </c>
      <c r="AH1547" s="7">
        <f>IF($C1547="","",U1547-AG1547)</f>
        <v/>
      </c>
      <c r="AI1547" s="7">
        <f>IF($C1547="","",AH1547-M1547)</f>
        <v/>
      </c>
      <c r="AJ1547">
        <f>IF($C1547="","",IF(COUNTIF($C$2:$C1547,$C1547)=1,1,0))</f>
        <v/>
      </c>
      <c r="AK1547">
        <f>IF($AJ1547=1,SUMPRODUCT(--($AN$2:$AN$4001&lt;$AN1547))+1,"")</f>
        <v/>
      </c>
      <c r="AL1547">
        <f>IF($C1547="","",IF(OR($Q1547=TRUE(),$Q1547="TRUE"),1,0))</f>
        <v/>
      </c>
      <c r="AM1547">
        <f>IF($C1547="","",IF($W1547="Yes",1,0))</f>
        <v/>
      </c>
      <c r="AN1547">
        <f>IF($AJ1547=1,IFERROR(IF(VALUE($C1547)&lt;100000000,VALUE($C1547),1000000000),IFERROR(IF(VALUE(MID($C1547,2,20))&lt;100000000,VALUE(MID($C1547,2,20)),1000000000),1000000000))+ROW()/100000,"")</f>
        <v/>
      </c>
    </row>
    <row r="1548">
      <c r="E1548" s="11" t="n"/>
      <c r="M1548" s="7">
        <f>IF($C1548="","",L1548*U1548/100)</f>
        <v/>
      </c>
      <c r="N1548" s="7" t="n"/>
      <c r="T1548" s="7" t="n"/>
      <c r="U1548" s="7">
        <f>IF($C1548="","",S1548*T1548)</f>
        <v/>
      </c>
      <c r="X1548">
        <f>IF($C1548="","",IF($AM1548=1,0,IF($AL1548=1,Settings!$C$6,Settings!$C$7))*100)</f>
        <v/>
      </c>
      <c r="AB1548" s="7" t="n"/>
      <c r="AE1548" s="11" t="n"/>
      <c r="AG1548" s="7">
        <f>IF($C1548="","",U1548*X1548/100)</f>
        <v/>
      </c>
      <c r="AH1548" s="7">
        <f>IF($C1548="","",U1548-AG1548)</f>
        <v/>
      </c>
      <c r="AI1548" s="7">
        <f>IF($C1548="","",AH1548-M1548)</f>
        <v/>
      </c>
      <c r="AJ1548">
        <f>IF($C1548="","",IF(COUNTIF($C$2:$C1548,$C1548)=1,1,0))</f>
        <v/>
      </c>
      <c r="AK1548">
        <f>IF($AJ1548=1,SUMPRODUCT(--($AN$2:$AN$4001&lt;$AN1548))+1,"")</f>
        <v/>
      </c>
      <c r="AL1548">
        <f>IF($C1548="","",IF(OR($Q1548=TRUE(),$Q1548="TRUE"),1,0))</f>
        <v/>
      </c>
      <c r="AM1548">
        <f>IF($C1548="","",IF($W1548="Yes",1,0))</f>
        <v/>
      </c>
      <c r="AN1548">
        <f>IF($AJ1548=1,IFERROR(IF(VALUE($C1548)&lt;100000000,VALUE($C1548),1000000000),IFERROR(IF(VALUE(MID($C1548,2,20))&lt;100000000,VALUE(MID($C1548,2,20)),1000000000),1000000000))+ROW()/100000,"")</f>
        <v/>
      </c>
    </row>
    <row r="1549">
      <c r="E1549" s="11" t="n"/>
      <c r="M1549" s="7">
        <f>IF($C1549="","",L1549*U1549/100)</f>
        <v/>
      </c>
      <c r="N1549" s="7" t="n"/>
      <c r="T1549" s="7" t="n"/>
      <c r="U1549" s="7">
        <f>IF($C1549="","",S1549*T1549)</f>
        <v/>
      </c>
      <c r="X1549">
        <f>IF($C1549="","",IF($AM1549=1,0,IF($AL1549=1,Settings!$C$6,Settings!$C$7))*100)</f>
        <v/>
      </c>
      <c r="AB1549" s="7" t="n"/>
      <c r="AE1549" s="11" t="n"/>
      <c r="AG1549" s="7">
        <f>IF($C1549="","",U1549*X1549/100)</f>
        <v/>
      </c>
      <c r="AH1549" s="7">
        <f>IF($C1549="","",U1549-AG1549)</f>
        <v/>
      </c>
      <c r="AI1549" s="7">
        <f>IF($C1549="","",AH1549-M1549)</f>
        <v/>
      </c>
      <c r="AJ1549">
        <f>IF($C1549="","",IF(COUNTIF($C$2:$C1549,$C1549)=1,1,0))</f>
        <v/>
      </c>
      <c r="AK1549">
        <f>IF($AJ1549=1,SUMPRODUCT(--($AN$2:$AN$4001&lt;$AN1549))+1,"")</f>
        <v/>
      </c>
      <c r="AL1549">
        <f>IF($C1549="","",IF(OR($Q1549=TRUE(),$Q1549="TRUE"),1,0))</f>
        <v/>
      </c>
      <c r="AM1549">
        <f>IF($C1549="","",IF($W1549="Yes",1,0))</f>
        <v/>
      </c>
      <c r="AN1549">
        <f>IF($AJ1549=1,IFERROR(IF(VALUE($C1549)&lt;100000000,VALUE($C1549),1000000000),IFERROR(IF(VALUE(MID($C1549,2,20))&lt;100000000,VALUE(MID($C1549,2,20)),1000000000),1000000000))+ROW()/100000,"")</f>
        <v/>
      </c>
    </row>
    <row r="1550">
      <c r="E1550" s="11" t="n"/>
      <c r="M1550" s="7">
        <f>IF($C1550="","",L1550*U1550/100)</f>
        <v/>
      </c>
      <c r="N1550" s="7" t="n"/>
      <c r="T1550" s="7" t="n"/>
      <c r="U1550" s="7">
        <f>IF($C1550="","",S1550*T1550)</f>
        <v/>
      </c>
      <c r="X1550">
        <f>IF($C1550="","",IF($AM1550=1,0,IF($AL1550=1,Settings!$C$6,Settings!$C$7))*100)</f>
        <v/>
      </c>
      <c r="AB1550" s="7" t="n"/>
      <c r="AE1550" s="11" t="n"/>
      <c r="AG1550" s="7">
        <f>IF($C1550="","",U1550*X1550/100)</f>
        <v/>
      </c>
      <c r="AH1550" s="7">
        <f>IF($C1550="","",U1550-AG1550)</f>
        <v/>
      </c>
      <c r="AI1550" s="7">
        <f>IF($C1550="","",AH1550-M1550)</f>
        <v/>
      </c>
      <c r="AJ1550">
        <f>IF($C1550="","",IF(COUNTIF($C$2:$C1550,$C1550)=1,1,0))</f>
        <v/>
      </c>
      <c r="AK1550">
        <f>IF($AJ1550=1,SUMPRODUCT(--($AN$2:$AN$4001&lt;$AN1550))+1,"")</f>
        <v/>
      </c>
      <c r="AL1550">
        <f>IF($C1550="","",IF(OR($Q1550=TRUE(),$Q1550="TRUE"),1,0))</f>
        <v/>
      </c>
      <c r="AM1550">
        <f>IF($C1550="","",IF($W1550="Yes",1,0))</f>
        <v/>
      </c>
      <c r="AN1550">
        <f>IF($AJ1550=1,IFERROR(IF(VALUE($C1550)&lt;100000000,VALUE($C1550),1000000000),IFERROR(IF(VALUE(MID($C1550,2,20))&lt;100000000,VALUE(MID($C1550,2,20)),1000000000),1000000000))+ROW()/100000,"")</f>
        <v/>
      </c>
    </row>
    <row r="1551">
      <c r="E1551" s="11" t="n"/>
      <c r="M1551" s="7">
        <f>IF($C1551="","",L1551*U1551/100)</f>
        <v/>
      </c>
      <c r="N1551" s="7" t="n"/>
      <c r="T1551" s="7" t="n"/>
      <c r="U1551" s="7">
        <f>IF($C1551="","",S1551*T1551)</f>
        <v/>
      </c>
      <c r="X1551">
        <f>IF($C1551="","",IF($AM1551=1,0,IF($AL1551=1,Settings!$C$6,Settings!$C$7))*100)</f>
        <v/>
      </c>
      <c r="AB1551" s="7" t="n"/>
      <c r="AE1551" s="11" t="n"/>
      <c r="AG1551" s="7">
        <f>IF($C1551="","",U1551*X1551/100)</f>
        <v/>
      </c>
      <c r="AH1551" s="7">
        <f>IF($C1551="","",U1551-AG1551)</f>
        <v/>
      </c>
      <c r="AI1551" s="7">
        <f>IF($C1551="","",AH1551-M1551)</f>
        <v/>
      </c>
      <c r="AJ1551">
        <f>IF($C1551="","",IF(COUNTIF($C$2:$C1551,$C1551)=1,1,0))</f>
        <v/>
      </c>
      <c r="AK1551">
        <f>IF($AJ1551=1,SUMPRODUCT(--($AN$2:$AN$4001&lt;$AN1551))+1,"")</f>
        <v/>
      </c>
      <c r="AL1551">
        <f>IF($C1551="","",IF(OR($Q1551=TRUE(),$Q1551="TRUE"),1,0))</f>
        <v/>
      </c>
      <c r="AM1551">
        <f>IF($C1551="","",IF($W1551="Yes",1,0))</f>
        <v/>
      </c>
      <c r="AN1551">
        <f>IF($AJ1551=1,IFERROR(IF(VALUE($C1551)&lt;100000000,VALUE($C1551),1000000000),IFERROR(IF(VALUE(MID($C1551,2,20))&lt;100000000,VALUE(MID($C1551,2,20)),1000000000),1000000000))+ROW()/100000,"")</f>
        <v/>
      </c>
    </row>
    <row r="1552">
      <c r="E1552" s="11" t="n"/>
      <c r="M1552" s="7">
        <f>IF($C1552="","",L1552*U1552/100)</f>
        <v/>
      </c>
      <c r="N1552" s="7" t="n"/>
      <c r="T1552" s="7" t="n"/>
      <c r="U1552" s="7">
        <f>IF($C1552="","",S1552*T1552)</f>
        <v/>
      </c>
      <c r="X1552">
        <f>IF($C1552="","",IF($AM1552=1,0,IF($AL1552=1,Settings!$C$6,Settings!$C$7))*100)</f>
        <v/>
      </c>
      <c r="AB1552" s="7" t="n"/>
      <c r="AE1552" s="11" t="n"/>
      <c r="AG1552" s="7">
        <f>IF($C1552="","",U1552*X1552/100)</f>
        <v/>
      </c>
      <c r="AH1552" s="7">
        <f>IF($C1552="","",U1552-AG1552)</f>
        <v/>
      </c>
      <c r="AI1552" s="7">
        <f>IF($C1552="","",AH1552-M1552)</f>
        <v/>
      </c>
      <c r="AJ1552">
        <f>IF($C1552="","",IF(COUNTIF($C$2:$C1552,$C1552)=1,1,0))</f>
        <v/>
      </c>
      <c r="AK1552">
        <f>IF($AJ1552=1,SUMPRODUCT(--($AN$2:$AN$4001&lt;$AN1552))+1,"")</f>
        <v/>
      </c>
      <c r="AL1552">
        <f>IF($C1552="","",IF(OR($Q1552=TRUE(),$Q1552="TRUE"),1,0))</f>
        <v/>
      </c>
      <c r="AM1552">
        <f>IF($C1552="","",IF($W1552="Yes",1,0))</f>
        <v/>
      </c>
      <c r="AN1552">
        <f>IF($AJ1552=1,IFERROR(IF(VALUE($C1552)&lt;100000000,VALUE($C1552),1000000000),IFERROR(IF(VALUE(MID($C1552,2,20))&lt;100000000,VALUE(MID($C1552,2,20)),1000000000),1000000000))+ROW()/100000,"")</f>
        <v/>
      </c>
    </row>
    <row r="1553">
      <c r="E1553" s="11" t="n"/>
      <c r="M1553" s="7">
        <f>IF($C1553="","",L1553*U1553/100)</f>
        <v/>
      </c>
      <c r="N1553" s="7" t="n"/>
      <c r="T1553" s="7" t="n"/>
      <c r="U1553" s="7">
        <f>IF($C1553="","",S1553*T1553)</f>
        <v/>
      </c>
      <c r="X1553">
        <f>IF($C1553="","",IF($AM1553=1,0,IF($AL1553=1,Settings!$C$6,Settings!$C$7))*100)</f>
        <v/>
      </c>
      <c r="AB1553" s="7" t="n"/>
      <c r="AE1553" s="11" t="n"/>
      <c r="AG1553" s="7">
        <f>IF($C1553="","",U1553*X1553/100)</f>
        <v/>
      </c>
      <c r="AH1553" s="7">
        <f>IF($C1553="","",U1553-AG1553)</f>
        <v/>
      </c>
      <c r="AI1553" s="7">
        <f>IF($C1553="","",AH1553-M1553)</f>
        <v/>
      </c>
      <c r="AJ1553">
        <f>IF($C1553="","",IF(COUNTIF($C$2:$C1553,$C1553)=1,1,0))</f>
        <v/>
      </c>
      <c r="AK1553">
        <f>IF($AJ1553=1,SUMPRODUCT(--($AN$2:$AN$4001&lt;$AN1553))+1,"")</f>
        <v/>
      </c>
      <c r="AL1553">
        <f>IF($C1553="","",IF(OR($Q1553=TRUE(),$Q1553="TRUE"),1,0))</f>
        <v/>
      </c>
      <c r="AM1553">
        <f>IF($C1553="","",IF($W1553="Yes",1,0))</f>
        <v/>
      </c>
      <c r="AN1553">
        <f>IF($AJ1553=1,IFERROR(IF(VALUE($C1553)&lt;100000000,VALUE($C1553),1000000000),IFERROR(IF(VALUE(MID($C1553,2,20))&lt;100000000,VALUE(MID($C1553,2,20)),1000000000),1000000000))+ROW()/100000,"")</f>
        <v/>
      </c>
    </row>
    <row r="1554">
      <c r="E1554" s="11" t="n"/>
      <c r="M1554" s="7">
        <f>IF($C1554="","",L1554*U1554/100)</f>
        <v/>
      </c>
      <c r="N1554" s="7" t="n"/>
      <c r="T1554" s="7" t="n"/>
      <c r="U1554" s="7">
        <f>IF($C1554="","",S1554*T1554)</f>
        <v/>
      </c>
      <c r="X1554">
        <f>IF($C1554="","",IF($AM1554=1,0,IF($AL1554=1,Settings!$C$6,Settings!$C$7))*100)</f>
        <v/>
      </c>
      <c r="AB1554" s="7" t="n"/>
      <c r="AE1554" s="11" t="n"/>
      <c r="AG1554" s="7">
        <f>IF($C1554="","",U1554*X1554/100)</f>
        <v/>
      </c>
      <c r="AH1554" s="7">
        <f>IF($C1554="","",U1554-AG1554)</f>
        <v/>
      </c>
      <c r="AI1554" s="7">
        <f>IF($C1554="","",AH1554-M1554)</f>
        <v/>
      </c>
      <c r="AJ1554">
        <f>IF($C1554="","",IF(COUNTIF($C$2:$C1554,$C1554)=1,1,0))</f>
        <v/>
      </c>
      <c r="AK1554">
        <f>IF($AJ1554=1,SUMPRODUCT(--($AN$2:$AN$4001&lt;$AN1554))+1,"")</f>
        <v/>
      </c>
      <c r="AL1554">
        <f>IF($C1554="","",IF(OR($Q1554=TRUE(),$Q1554="TRUE"),1,0))</f>
        <v/>
      </c>
      <c r="AM1554">
        <f>IF($C1554="","",IF($W1554="Yes",1,0))</f>
        <v/>
      </c>
      <c r="AN1554">
        <f>IF($AJ1554=1,IFERROR(IF(VALUE($C1554)&lt;100000000,VALUE($C1554),1000000000),IFERROR(IF(VALUE(MID($C1554,2,20))&lt;100000000,VALUE(MID($C1554,2,20)),1000000000),1000000000))+ROW()/100000,"")</f>
        <v/>
      </c>
    </row>
    <row r="1555">
      <c r="E1555" s="11" t="n"/>
      <c r="M1555" s="7">
        <f>IF($C1555="","",L1555*U1555/100)</f>
        <v/>
      </c>
      <c r="N1555" s="7" t="n"/>
      <c r="T1555" s="7" t="n"/>
      <c r="U1555" s="7">
        <f>IF($C1555="","",S1555*T1555)</f>
        <v/>
      </c>
      <c r="X1555">
        <f>IF($C1555="","",IF($AM1555=1,0,IF($AL1555=1,Settings!$C$6,Settings!$C$7))*100)</f>
        <v/>
      </c>
      <c r="AB1555" s="7" t="n"/>
      <c r="AE1555" s="11" t="n"/>
      <c r="AG1555" s="7">
        <f>IF($C1555="","",U1555*X1555/100)</f>
        <v/>
      </c>
      <c r="AH1555" s="7">
        <f>IF($C1555="","",U1555-AG1555)</f>
        <v/>
      </c>
      <c r="AI1555" s="7">
        <f>IF($C1555="","",AH1555-M1555)</f>
        <v/>
      </c>
      <c r="AJ1555">
        <f>IF($C1555="","",IF(COUNTIF($C$2:$C1555,$C1555)=1,1,0))</f>
        <v/>
      </c>
      <c r="AK1555">
        <f>IF($AJ1555=1,SUMPRODUCT(--($AN$2:$AN$4001&lt;$AN1555))+1,"")</f>
        <v/>
      </c>
      <c r="AL1555">
        <f>IF($C1555="","",IF(OR($Q1555=TRUE(),$Q1555="TRUE"),1,0))</f>
        <v/>
      </c>
      <c r="AM1555">
        <f>IF($C1555="","",IF($W1555="Yes",1,0))</f>
        <v/>
      </c>
      <c r="AN1555">
        <f>IF($AJ1555=1,IFERROR(IF(VALUE($C1555)&lt;100000000,VALUE($C1555),1000000000),IFERROR(IF(VALUE(MID($C1555,2,20))&lt;100000000,VALUE(MID($C1555,2,20)),1000000000),1000000000))+ROW()/100000,"")</f>
        <v/>
      </c>
    </row>
    <row r="1556">
      <c r="E1556" s="11" t="n"/>
      <c r="M1556" s="7">
        <f>IF($C1556="","",L1556*U1556/100)</f>
        <v/>
      </c>
      <c r="N1556" s="7" t="n"/>
      <c r="T1556" s="7" t="n"/>
      <c r="U1556" s="7">
        <f>IF($C1556="","",S1556*T1556)</f>
        <v/>
      </c>
      <c r="X1556">
        <f>IF($C1556="","",IF($AM1556=1,0,IF($AL1556=1,Settings!$C$6,Settings!$C$7))*100)</f>
        <v/>
      </c>
      <c r="AB1556" s="7" t="n"/>
      <c r="AE1556" s="11" t="n"/>
      <c r="AG1556" s="7">
        <f>IF($C1556="","",U1556*X1556/100)</f>
        <v/>
      </c>
      <c r="AH1556" s="7">
        <f>IF($C1556="","",U1556-AG1556)</f>
        <v/>
      </c>
      <c r="AI1556" s="7">
        <f>IF($C1556="","",AH1556-M1556)</f>
        <v/>
      </c>
      <c r="AJ1556">
        <f>IF($C1556="","",IF(COUNTIF($C$2:$C1556,$C1556)=1,1,0))</f>
        <v/>
      </c>
      <c r="AK1556">
        <f>IF($AJ1556=1,SUMPRODUCT(--($AN$2:$AN$4001&lt;$AN1556))+1,"")</f>
        <v/>
      </c>
      <c r="AL1556">
        <f>IF($C1556="","",IF(OR($Q1556=TRUE(),$Q1556="TRUE"),1,0))</f>
        <v/>
      </c>
      <c r="AM1556">
        <f>IF($C1556="","",IF($W1556="Yes",1,0))</f>
        <v/>
      </c>
      <c r="AN1556">
        <f>IF($AJ1556=1,IFERROR(IF(VALUE($C1556)&lt;100000000,VALUE($C1556),1000000000),IFERROR(IF(VALUE(MID($C1556,2,20))&lt;100000000,VALUE(MID($C1556,2,20)),1000000000),1000000000))+ROW()/100000,"")</f>
        <v/>
      </c>
    </row>
    <row r="1557">
      <c r="E1557" s="11" t="n"/>
      <c r="M1557" s="7">
        <f>IF($C1557="","",L1557*U1557/100)</f>
        <v/>
      </c>
      <c r="N1557" s="7" t="n"/>
      <c r="T1557" s="7" t="n"/>
      <c r="U1557" s="7">
        <f>IF($C1557="","",S1557*T1557)</f>
        <v/>
      </c>
      <c r="X1557">
        <f>IF($C1557="","",IF($AM1557=1,0,IF($AL1557=1,Settings!$C$6,Settings!$C$7))*100)</f>
        <v/>
      </c>
      <c r="AB1557" s="7" t="n"/>
      <c r="AE1557" s="11" t="n"/>
      <c r="AG1557" s="7">
        <f>IF($C1557="","",U1557*X1557/100)</f>
        <v/>
      </c>
      <c r="AH1557" s="7">
        <f>IF($C1557="","",U1557-AG1557)</f>
        <v/>
      </c>
      <c r="AI1557" s="7">
        <f>IF($C1557="","",AH1557-M1557)</f>
        <v/>
      </c>
      <c r="AJ1557">
        <f>IF($C1557="","",IF(COUNTIF($C$2:$C1557,$C1557)=1,1,0))</f>
        <v/>
      </c>
      <c r="AK1557">
        <f>IF($AJ1557=1,SUMPRODUCT(--($AN$2:$AN$4001&lt;$AN1557))+1,"")</f>
        <v/>
      </c>
      <c r="AL1557">
        <f>IF($C1557="","",IF(OR($Q1557=TRUE(),$Q1557="TRUE"),1,0))</f>
        <v/>
      </c>
      <c r="AM1557">
        <f>IF($C1557="","",IF($W1557="Yes",1,0))</f>
        <v/>
      </c>
      <c r="AN1557">
        <f>IF($AJ1557=1,IFERROR(IF(VALUE($C1557)&lt;100000000,VALUE($C1557),1000000000),IFERROR(IF(VALUE(MID($C1557,2,20))&lt;100000000,VALUE(MID($C1557,2,20)),1000000000),1000000000))+ROW()/100000,"")</f>
        <v/>
      </c>
    </row>
    <row r="1558">
      <c r="E1558" s="11" t="n"/>
      <c r="M1558" s="7">
        <f>IF($C1558="","",L1558*U1558/100)</f>
        <v/>
      </c>
      <c r="N1558" s="7" t="n"/>
      <c r="T1558" s="7" t="n"/>
      <c r="U1558" s="7">
        <f>IF($C1558="","",S1558*T1558)</f>
        <v/>
      </c>
      <c r="X1558">
        <f>IF($C1558="","",IF($AM1558=1,0,IF($AL1558=1,Settings!$C$6,Settings!$C$7))*100)</f>
        <v/>
      </c>
      <c r="AB1558" s="7" t="n"/>
      <c r="AE1558" s="11" t="n"/>
      <c r="AG1558" s="7">
        <f>IF($C1558="","",U1558*X1558/100)</f>
        <v/>
      </c>
      <c r="AH1558" s="7">
        <f>IF($C1558="","",U1558-AG1558)</f>
        <v/>
      </c>
      <c r="AI1558" s="7">
        <f>IF($C1558="","",AH1558-M1558)</f>
        <v/>
      </c>
      <c r="AJ1558">
        <f>IF($C1558="","",IF(COUNTIF($C$2:$C1558,$C1558)=1,1,0))</f>
        <v/>
      </c>
      <c r="AK1558">
        <f>IF($AJ1558=1,SUMPRODUCT(--($AN$2:$AN$4001&lt;$AN1558))+1,"")</f>
        <v/>
      </c>
      <c r="AL1558">
        <f>IF($C1558="","",IF(OR($Q1558=TRUE(),$Q1558="TRUE"),1,0))</f>
        <v/>
      </c>
      <c r="AM1558">
        <f>IF($C1558="","",IF($W1558="Yes",1,0))</f>
        <v/>
      </c>
      <c r="AN1558">
        <f>IF($AJ1558=1,IFERROR(IF(VALUE($C1558)&lt;100000000,VALUE($C1558),1000000000),IFERROR(IF(VALUE(MID($C1558,2,20))&lt;100000000,VALUE(MID($C1558,2,20)),1000000000),1000000000))+ROW()/100000,"")</f>
        <v/>
      </c>
    </row>
    <row r="1559">
      <c r="E1559" s="11" t="n"/>
      <c r="M1559" s="7">
        <f>IF($C1559="","",L1559*U1559/100)</f>
        <v/>
      </c>
      <c r="N1559" s="7" t="n"/>
      <c r="T1559" s="7" t="n"/>
      <c r="U1559" s="7">
        <f>IF($C1559="","",S1559*T1559)</f>
        <v/>
      </c>
      <c r="X1559">
        <f>IF($C1559="","",IF($AM1559=1,0,IF($AL1559=1,Settings!$C$6,Settings!$C$7))*100)</f>
        <v/>
      </c>
      <c r="AB1559" s="7" t="n"/>
      <c r="AE1559" s="11" t="n"/>
      <c r="AG1559" s="7">
        <f>IF($C1559="","",U1559*X1559/100)</f>
        <v/>
      </c>
      <c r="AH1559" s="7">
        <f>IF($C1559="","",U1559-AG1559)</f>
        <v/>
      </c>
      <c r="AI1559" s="7">
        <f>IF($C1559="","",AH1559-M1559)</f>
        <v/>
      </c>
      <c r="AJ1559">
        <f>IF($C1559="","",IF(COUNTIF($C$2:$C1559,$C1559)=1,1,0))</f>
        <v/>
      </c>
      <c r="AK1559">
        <f>IF($AJ1559=1,SUMPRODUCT(--($AN$2:$AN$4001&lt;$AN1559))+1,"")</f>
        <v/>
      </c>
      <c r="AL1559">
        <f>IF($C1559="","",IF(OR($Q1559=TRUE(),$Q1559="TRUE"),1,0))</f>
        <v/>
      </c>
      <c r="AM1559">
        <f>IF($C1559="","",IF($W1559="Yes",1,0))</f>
        <v/>
      </c>
      <c r="AN1559">
        <f>IF($AJ1559=1,IFERROR(IF(VALUE($C1559)&lt;100000000,VALUE($C1559),1000000000),IFERROR(IF(VALUE(MID($C1559,2,20))&lt;100000000,VALUE(MID($C1559,2,20)),1000000000),1000000000))+ROW()/100000,"")</f>
        <v/>
      </c>
    </row>
    <row r="1560">
      <c r="E1560" s="11" t="n"/>
      <c r="M1560" s="7">
        <f>IF($C1560="","",L1560*U1560/100)</f>
        <v/>
      </c>
      <c r="N1560" s="7" t="n"/>
      <c r="T1560" s="7" t="n"/>
      <c r="U1560" s="7">
        <f>IF($C1560="","",S1560*T1560)</f>
        <v/>
      </c>
      <c r="X1560">
        <f>IF($C1560="","",IF($AM1560=1,0,IF($AL1560=1,Settings!$C$6,Settings!$C$7))*100)</f>
        <v/>
      </c>
      <c r="AB1560" s="7" t="n"/>
      <c r="AE1560" s="11" t="n"/>
      <c r="AG1560" s="7">
        <f>IF($C1560="","",U1560*X1560/100)</f>
        <v/>
      </c>
      <c r="AH1560" s="7">
        <f>IF($C1560="","",U1560-AG1560)</f>
        <v/>
      </c>
      <c r="AI1560" s="7">
        <f>IF($C1560="","",AH1560-M1560)</f>
        <v/>
      </c>
      <c r="AJ1560">
        <f>IF($C1560="","",IF(COUNTIF($C$2:$C1560,$C1560)=1,1,0))</f>
        <v/>
      </c>
      <c r="AK1560">
        <f>IF($AJ1560=1,SUMPRODUCT(--($AN$2:$AN$4001&lt;$AN1560))+1,"")</f>
        <v/>
      </c>
      <c r="AL1560">
        <f>IF($C1560="","",IF(OR($Q1560=TRUE(),$Q1560="TRUE"),1,0))</f>
        <v/>
      </c>
      <c r="AM1560">
        <f>IF($C1560="","",IF($W1560="Yes",1,0))</f>
        <v/>
      </c>
      <c r="AN1560">
        <f>IF($AJ1560=1,IFERROR(IF(VALUE($C1560)&lt;100000000,VALUE($C1560),1000000000),IFERROR(IF(VALUE(MID($C1560,2,20))&lt;100000000,VALUE(MID($C1560,2,20)),1000000000),1000000000))+ROW()/100000,"")</f>
        <v/>
      </c>
    </row>
    <row r="1561">
      <c r="E1561" s="11" t="n"/>
      <c r="M1561" s="7">
        <f>IF($C1561="","",L1561*U1561/100)</f>
        <v/>
      </c>
      <c r="N1561" s="7" t="n"/>
      <c r="T1561" s="7" t="n"/>
      <c r="U1561" s="7">
        <f>IF($C1561="","",S1561*T1561)</f>
        <v/>
      </c>
      <c r="X1561">
        <f>IF($C1561="","",IF($AM1561=1,0,IF($AL1561=1,Settings!$C$6,Settings!$C$7))*100)</f>
        <v/>
      </c>
      <c r="AB1561" s="7" t="n"/>
      <c r="AE1561" s="11" t="n"/>
      <c r="AG1561" s="7">
        <f>IF($C1561="","",U1561*X1561/100)</f>
        <v/>
      </c>
      <c r="AH1561" s="7">
        <f>IF($C1561="","",U1561-AG1561)</f>
        <v/>
      </c>
      <c r="AI1561" s="7">
        <f>IF($C1561="","",AH1561-M1561)</f>
        <v/>
      </c>
      <c r="AJ1561">
        <f>IF($C1561="","",IF(COUNTIF($C$2:$C1561,$C1561)=1,1,0))</f>
        <v/>
      </c>
      <c r="AK1561">
        <f>IF($AJ1561=1,SUMPRODUCT(--($AN$2:$AN$4001&lt;$AN1561))+1,"")</f>
        <v/>
      </c>
      <c r="AL1561">
        <f>IF($C1561="","",IF(OR($Q1561=TRUE(),$Q1561="TRUE"),1,0))</f>
        <v/>
      </c>
      <c r="AM1561">
        <f>IF($C1561="","",IF($W1561="Yes",1,0))</f>
        <v/>
      </c>
      <c r="AN1561">
        <f>IF($AJ1561=1,IFERROR(IF(VALUE($C1561)&lt;100000000,VALUE($C1561),1000000000),IFERROR(IF(VALUE(MID($C1561,2,20))&lt;100000000,VALUE(MID($C1561,2,20)),1000000000),1000000000))+ROW()/100000,"")</f>
        <v/>
      </c>
    </row>
    <row r="1562">
      <c r="E1562" s="11" t="n"/>
      <c r="M1562" s="7">
        <f>IF($C1562="","",L1562*U1562/100)</f>
        <v/>
      </c>
      <c r="N1562" s="7" t="n"/>
      <c r="T1562" s="7" t="n"/>
      <c r="U1562" s="7">
        <f>IF($C1562="","",S1562*T1562)</f>
        <v/>
      </c>
      <c r="X1562">
        <f>IF($C1562="","",IF($AM1562=1,0,IF($AL1562=1,Settings!$C$6,Settings!$C$7))*100)</f>
        <v/>
      </c>
      <c r="AB1562" s="7" t="n"/>
      <c r="AE1562" s="11" t="n"/>
      <c r="AG1562" s="7">
        <f>IF($C1562="","",U1562*X1562/100)</f>
        <v/>
      </c>
      <c r="AH1562" s="7">
        <f>IF($C1562="","",U1562-AG1562)</f>
        <v/>
      </c>
      <c r="AI1562" s="7">
        <f>IF($C1562="","",AH1562-M1562)</f>
        <v/>
      </c>
      <c r="AJ1562">
        <f>IF($C1562="","",IF(COUNTIF($C$2:$C1562,$C1562)=1,1,0))</f>
        <v/>
      </c>
      <c r="AK1562">
        <f>IF($AJ1562=1,SUMPRODUCT(--($AN$2:$AN$4001&lt;$AN1562))+1,"")</f>
        <v/>
      </c>
      <c r="AL1562">
        <f>IF($C1562="","",IF(OR($Q1562=TRUE(),$Q1562="TRUE"),1,0))</f>
        <v/>
      </c>
      <c r="AM1562">
        <f>IF($C1562="","",IF($W1562="Yes",1,0))</f>
        <v/>
      </c>
      <c r="AN1562">
        <f>IF($AJ1562=1,IFERROR(IF(VALUE($C1562)&lt;100000000,VALUE($C1562),1000000000),IFERROR(IF(VALUE(MID($C1562,2,20))&lt;100000000,VALUE(MID($C1562,2,20)),1000000000),1000000000))+ROW()/100000,"")</f>
        <v/>
      </c>
    </row>
    <row r="1563">
      <c r="E1563" s="11" t="n"/>
      <c r="M1563" s="7">
        <f>IF($C1563="","",L1563*U1563/100)</f>
        <v/>
      </c>
      <c r="N1563" s="7" t="n"/>
      <c r="T1563" s="7" t="n"/>
      <c r="U1563" s="7">
        <f>IF($C1563="","",S1563*T1563)</f>
        <v/>
      </c>
      <c r="X1563">
        <f>IF($C1563="","",IF($AM1563=1,0,IF($AL1563=1,Settings!$C$6,Settings!$C$7))*100)</f>
        <v/>
      </c>
      <c r="AB1563" s="7" t="n"/>
      <c r="AE1563" s="11" t="n"/>
      <c r="AG1563" s="7">
        <f>IF($C1563="","",U1563*X1563/100)</f>
        <v/>
      </c>
      <c r="AH1563" s="7">
        <f>IF($C1563="","",U1563-AG1563)</f>
        <v/>
      </c>
      <c r="AI1563" s="7">
        <f>IF($C1563="","",AH1563-M1563)</f>
        <v/>
      </c>
      <c r="AJ1563">
        <f>IF($C1563="","",IF(COUNTIF($C$2:$C1563,$C1563)=1,1,0))</f>
        <v/>
      </c>
      <c r="AK1563">
        <f>IF($AJ1563=1,SUMPRODUCT(--($AN$2:$AN$4001&lt;$AN1563))+1,"")</f>
        <v/>
      </c>
      <c r="AL1563">
        <f>IF($C1563="","",IF(OR($Q1563=TRUE(),$Q1563="TRUE"),1,0))</f>
        <v/>
      </c>
      <c r="AM1563">
        <f>IF($C1563="","",IF($W1563="Yes",1,0))</f>
        <v/>
      </c>
      <c r="AN1563">
        <f>IF($AJ1563=1,IFERROR(IF(VALUE($C1563)&lt;100000000,VALUE($C1563),1000000000),IFERROR(IF(VALUE(MID($C1563,2,20))&lt;100000000,VALUE(MID($C1563,2,20)),1000000000),1000000000))+ROW()/100000,"")</f>
        <v/>
      </c>
    </row>
    <row r="1564">
      <c r="E1564" s="11" t="n"/>
      <c r="M1564" s="7">
        <f>IF($C1564="","",L1564*U1564/100)</f>
        <v/>
      </c>
      <c r="N1564" s="7" t="n"/>
      <c r="T1564" s="7" t="n"/>
      <c r="U1564" s="7">
        <f>IF($C1564="","",S1564*T1564)</f>
        <v/>
      </c>
      <c r="X1564">
        <f>IF($C1564="","",IF($AM1564=1,0,IF($AL1564=1,Settings!$C$6,Settings!$C$7))*100)</f>
        <v/>
      </c>
      <c r="AB1564" s="7" t="n"/>
      <c r="AE1564" s="11" t="n"/>
      <c r="AG1564" s="7">
        <f>IF($C1564="","",U1564*X1564/100)</f>
        <v/>
      </c>
      <c r="AH1564" s="7">
        <f>IF($C1564="","",U1564-AG1564)</f>
        <v/>
      </c>
      <c r="AI1564" s="7">
        <f>IF($C1564="","",AH1564-M1564)</f>
        <v/>
      </c>
      <c r="AJ1564">
        <f>IF($C1564="","",IF(COUNTIF($C$2:$C1564,$C1564)=1,1,0))</f>
        <v/>
      </c>
      <c r="AK1564">
        <f>IF($AJ1564=1,SUMPRODUCT(--($AN$2:$AN$4001&lt;$AN1564))+1,"")</f>
        <v/>
      </c>
      <c r="AL1564">
        <f>IF($C1564="","",IF(OR($Q1564=TRUE(),$Q1564="TRUE"),1,0))</f>
        <v/>
      </c>
      <c r="AM1564">
        <f>IF($C1564="","",IF($W1564="Yes",1,0))</f>
        <v/>
      </c>
      <c r="AN1564">
        <f>IF($AJ1564=1,IFERROR(IF(VALUE($C1564)&lt;100000000,VALUE($C1564),1000000000),IFERROR(IF(VALUE(MID($C1564,2,20))&lt;100000000,VALUE(MID($C1564,2,20)),1000000000),1000000000))+ROW()/100000,"")</f>
        <v/>
      </c>
    </row>
    <row r="1565">
      <c r="E1565" s="11" t="n"/>
      <c r="M1565" s="7">
        <f>IF($C1565="","",L1565*U1565/100)</f>
        <v/>
      </c>
      <c r="N1565" s="7" t="n"/>
      <c r="T1565" s="7" t="n"/>
      <c r="U1565" s="7">
        <f>IF($C1565="","",S1565*T1565)</f>
        <v/>
      </c>
      <c r="X1565">
        <f>IF($C1565="","",IF($AM1565=1,0,IF($AL1565=1,Settings!$C$6,Settings!$C$7))*100)</f>
        <v/>
      </c>
      <c r="AB1565" s="7" t="n"/>
      <c r="AE1565" s="11" t="n"/>
      <c r="AG1565" s="7">
        <f>IF($C1565="","",U1565*X1565/100)</f>
        <v/>
      </c>
      <c r="AH1565" s="7">
        <f>IF($C1565="","",U1565-AG1565)</f>
        <v/>
      </c>
      <c r="AI1565" s="7">
        <f>IF($C1565="","",AH1565-M1565)</f>
        <v/>
      </c>
      <c r="AJ1565">
        <f>IF($C1565="","",IF(COUNTIF($C$2:$C1565,$C1565)=1,1,0))</f>
        <v/>
      </c>
      <c r="AK1565">
        <f>IF($AJ1565=1,SUMPRODUCT(--($AN$2:$AN$4001&lt;$AN1565))+1,"")</f>
        <v/>
      </c>
      <c r="AL1565">
        <f>IF($C1565="","",IF(OR($Q1565=TRUE(),$Q1565="TRUE"),1,0))</f>
        <v/>
      </c>
      <c r="AM1565">
        <f>IF($C1565="","",IF($W1565="Yes",1,0))</f>
        <v/>
      </c>
      <c r="AN1565">
        <f>IF($AJ1565=1,IFERROR(IF(VALUE($C1565)&lt;100000000,VALUE($C1565),1000000000),IFERROR(IF(VALUE(MID($C1565,2,20))&lt;100000000,VALUE(MID($C1565,2,20)),1000000000),1000000000))+ROW()/100000,"")</f>
        <v/>
      </c>
    </row>
    <row r="1566">
      <c r="E1566" s="11" t="n"/>
      <c r="M1566" s="7">
        <f>IF($C1566="","",L1566*U1566/100)</f>
        <v/>
      </c>
      <c r="N1566" s="7" t="n"/>
      <c r="T1566" s="7" t="n"/>
      <c r="U1566" s="7">
        <f>IF($C1566="","",S1566*T1566)</f>
        <v/>
      </c>
      <c r="X1566">
        <f>IF($C1566="","",IF($AM1566=1,0,IF($AL1566=1,Settings!$C$6,Settings!$C$7))*100)</f>
        <v/>
      </c>
      <c r="AB1566" s="7" t="n"/>
      <c r="AE1566" s="11" t="n"/>
      <c r="AG1566" s="7">
        <f>IF($C1566="","",U1566*X1566/100)</f>
        <v/>
      </c>
      <c r="AH1566" s="7">
        <f>IF($C1566="","",U1566-AG1566)</f>
        <v/>
      </c>
      <c r="AI1566" s="7">
        <f>IF($C1566="","",AH1566-M1566)</f>
        <v/>
      </c>
      <c r="AJ1566">
        <f>IF($C1566="","",IF(COUNTIF($C$2:$C1566,$C1566)=1,1,0))</f>
        <v/>
      </c>
      <c r="AK1566">
        <f>IF($AJ1566=1,SUMPRODUCT(--($AN$2:$AN$4001&lt;$AN1566))+1,"")</f>
        <v/>
      </c>
      <c r="AL1566">
        <f>IF($C1566="","",IF(OR($Q1566=TRUE(),$Q1566="TRUE"),1,0))</f>
        <v/>
      </c>
      <c r="AM1566">
        <f>IF($C1566="","",IF($W1566="Yes",1,0))</f>
        <v/>
      </c>
      <c r="AN1566">
        <f>IF($AJ1566=1,IFERROR(IF(VALUE($C1566)&lt;100000000,VALUE($C1566),1000000000),IFERROR(IF(VALUE(MID($C1566,2,20))&lt;100000000,VALUE(MID($C1566,2,20)),1000000000),1000000000))+ROW()/100000,"")</f>
        <v/>
      </c>
    </row>
    <row r="1567">
      <c r="E1567" s="11" t="n"/>
      <c r="M1567" s="7">
        <f>IF($C1567="","",L1567*U1567/100)</f>
        <v/>
      </c>
      <c r="N1567" s="7" t="n"/>
      <c r="T1567" s="7" t="n"/>
      <c r="U1567" s="7">
        <f>IF($C1567="","",S1567*T1567)</f>
        <v/>
      </c>
      <c r="X1567">
        <f>IF($C1567="","",IF($AM1567=1,0,IF($AL1567=1,Settings!$C$6,Settings!$C$7))*100)</f>
        <v/>
      </c>
      <c r="AB1567" s="7" t="n"/>
      <c r="AE1567" s="11" t="n"/>
      <c r="AG1567" s="7">
        <f>IF($C1567="","",U1567*X1567/100)</f>
        <v/>
      </c>
      <c r="AH1567" s="7">
        <f>IF($C1567="","",U1567-AG1567)</f>
        <v/>
      </c>
      <c r="AI1567" s="7">
        <f>IF($C1567="","",AH1567-M1567)</f>
        <v/>
      </c>
      <c r="AJ1567">
        <f>IF($C1567="","",IF(COUNTIF($C$2:$C1567,$C1567)=1,1,0))</f>
        <v/>
      </c>
      <c r="AK1567">
        <f>IF($AJ1567=1,SUMPRODUCT(--($AN$2:$AN$4001&lt;$AN1567))+1,"")</f>
        <v/>
      </c>
      <c r="AL1567">
        <f>IF($C1567="","",IF(OR($Q1567=TRUE(),$Q1567="TRUE"),1,0))</f>
        <v/>
      </c>
      <c r="AM1567">
        <f>IF($C1567="","",IF($W1567="Yes",1,0))</f>
        <v/>
      </c>
      <c r="AN1567">
        <f>IF($AJ1567=1,IFERROR(IF(VALUE($C1567)&lt;100000000,VALUE($C1567),1000000000),IFERROR(IF(VALUE(MID($C1567,2,20))&lt;100000000,VALUE(MID($C1567,2,20)),1000000000),1000000000))+ROW()/100000,"")</f>
        <v/>
      </c>
    </row>
    <row r="1568">
      <c r="E1568" s="11" t="n"/>
      <c r="M1568" s="7">
        <f>IF($C1568="","",L1568*U1568/100)</f>
        <v/>
      </c>
      <c r="N1568" s="7" t="n"/>
      <c r="T1568" s="7" t="n"/>
      <c r="U1568" s="7">
        <f>IF($C1568="","",S1568*T1568)</f>
        <v/>
      </c>
      <c r="X1568">
        <f>IF($C1568="","",IF($AM1568=1,0,IF($AL1568=1,Settings!$C$6,Settings!$C$7))*100)</f>
        <v/>
      </c>
      <c r="AB1568" s="7" t="n"/>
      <c r="AE1568" s="11" t="n"/>
      <c r="AG1568" s="7">
        <f>IF($C1568="","",U1568*X1568/100)</f>
        <v/>
      </c>
      <c r="AH1568" s="7">
        <f>IF($C1568="","",U1568-AG1568)</f>
        <v/>
      </c>
      <c r="AI1568" s="7">
        <f>IF($C1568="","",AH1568-M1568)</f>
        <v/>
      </c>
      <c r="AJ1568">
        <f>IF($C1568="","",IF(COUNTIF($C$2:$C1568,$C1568)=1,1,0))</f>
        <v/>
      </c>
      <c r="AK1568">
        <f>IF($AJ1568=1,SUMPRODUCT(--($AN$2:$AN$4001&lt;$AN1568))+1,"")</f>
        <v/>
      </c>
      <c r="AL1568">
        <f>IF($C1568="","",IF(OR($Q1568=TRUE(),$Q1568="TRUE"),1,0))</f>
        <v/>
      </c>
      <c r="AM1568">
        <f>IF($C1568="","",IF($W1568="Yes",1,0))</f>
        <v/>
      </c>
      <c r="AN1568">
        <f>IF($AJ1568=1,IFERROR(IF(VALUE($C1568)&lt;100000000,VALUE($C1568),1000000000),IFERROR(IF(VALUE(MID($C1568,2,20))&lt;100000000,VALUE(MID($C1568,2,20)),1000000000),1000000000))+ROW()/100000,"")</f>
        <v/>
      </c>
    </row>
    <row r="1569">
      <c r="E1569" s="11" t="n"/>
      <c r="M1569" s="7">
        <f>IF($C1569="","",L1569*U1569/100)</f>
        <v/>
      </c>
      <c r="N1569" s="7" t="n"/>
      <c r="T1569" s="7" t="n"/>
      <c r="U1569" s="7">
        <f>IF($C1569="","",S1569*T1569)</f>
        <v/>
      </c>
      <c r="X1569">
        <f>IF($C1569="","",IF($AM1569=1,0,IF($AL1569=1,Settings!$C$6,Settings!$C$7))*100)</f>
        <v/>
      </c>
      <c r="AB1569" s="7" t="n"/>
      <c r="AE1569" s="11" t="n"/>
      <c r="AG1569" s="7">
        <f>IF($C1569="","",U1569*X1569/100)</f>
        <v/>
      </c>
      <c r="AH1569" s="7">
        <f>IF($C1569="","",U1569-AG1569)</f>
        <v/>
      </c>
      <c r="AI1569" s="7">
        <f>IF($C1569="","",AH1569-M1569)</f>
        <v/>
      </c>
      <c r="AJ1569">
        <f>IF($C1569="","",IF(COUNTIF($C$2:$C1569,$C1569)=1,1,0))</f>
        <v/>
      </c>
      <c r="AK1569">
        <f>IF($AJ1569=1,SUMPRODUCT(--($AN$2:$AN$4001&lt;$AN1569))+1,"")</f>
        <v/>
      </c>
      <c r="AL1569">
        <f>IF($C1569="","",IF(OR($Q1569=TRUE(),$Q1569="TRUE"),1,0))</f>
        <v/>
      </c>
      <c r="AM1569">
        <f>IF($C1569="","",IF($W1569="Yes",1,0))</f>
        <v/>
      </c>
      <c r="AN1569">
        <f>IF($AJ1569=1,IFERROR(IF(VALUE($C1569)&lt;100000000,VALUE($C1569),1000000000),IFERROR(IF(VALUE(MID($C1569,2,20))&lt;100000000,VALUE(MID($C1569,2,20)),1000000000),1000000000))+ROW()/100000,"")</f>
        <v/>
      </c>
    </row>
    <row r="1570">
      <c r="E1570" s="11" t="n"/>
      <c r="M1570" s="7">
        <f>IF($C1570="","",L1570*U1570/100)</f>
        <v/>
      </c>
      <c r="N1570" s="7" t="n"/>
      <c r="T1570" s="7" t="n"/>
      <c r="U1570" s="7">
        <f>IF($C1570="","",S1570*T1570)</f>
        <v/>
      </c>
      <c r="X1570">
        <f>IF($C1570="","",IF($AM1570=1,0,IF($AL1570=1,Settings!$C$6,Settings!$C$7))*100)</f>
        <v/>
      </c>
      <c r="AB1570" s="7" t="n"/>
      <c r="AE1570" s="11" t="n"/>
      <c r="AG1570" s="7">
        <f>IF($C1570="","",U1570*X1570/100)</f>
        <v/>
      </c>
      <c r="AH1570" s="7">
        <f>IF($C1570="","",U1570-AG1570)</f>
        <v/>
      </c>
      <c r="AI1570" s="7">
        <f>IF($C1570="","",AH1570-M1570)</f>
        <v/>
      </c>
      <c r="AJ1570">
        <f>IF($C1570="","",IF(COUNTIF($C$2:$C1570,$C1570)=1,1,0))</f>
        <v/>
      </c>
      <c r="AK1570">
        <f>IF($AJ1570=1,SUMPRODUCT(--($AN$2:$AN$4001&lt;$AN1570))+1,"")</f>
        <v/>
      </c>
      <c r="AL1570">
        <f>IF($C1570="","",IF(OR($Q1570=TRUE(),$Q1570="TRUE"),1,0))</f>
        <v/>
      </c>
      <c r="AM1570">
        <f>IF($C1570="","",IF($W1570="Yes",1,0))</f>
        <v/>
      </c>
      <c r="AN1570">
        <f>IF($AJ1570=1,IFERROR(IF(VALUE($C1570)&lt;100000000,VALUE($C1570),1000000000),IFERROR(IF(VALUE(MID($C1570,2,20))&lt;100000000,VALUE(MID($C1570,2,20)),1000000000),1000000000))+ROW()/100000,"")</f>
        <v/>
      </c>
    </row>
    <row r="1571">
      <c r="E1571" s="11" t="n"/>
      <c r="M1571" s="7">
        <f>IF($C1571="","",L1571*U1571/100)</f>
        <v/>
      </c>
      <c r="N1571" s="7" t="n"/>
      <c r="T1571" s="7" t="n"/>
      <c r="U1571" s="7">
        <f>IF($C1571="","",S1571*T1571)</f>
        <v/>
      </c>
      <c r="X1571">
        <f>IF($C1571="","",IF($AM1571=1,0,IF($AL1571=1,Settings!$C$6,Settings!$C$7))*100)</f>
        <v/>
      </c>
      <c r="AB1571" s="7" t="n"/>
      <c r="AE1571" s="11" t="n"/>
      <c r="AG1571" s="7">
        <f>IF($C1571="","",U1571*X1571/100)</f>
        <v/>
      </c>
      <c r="AH1571" s="7">
        <f>IF($C1571="","",U1571-AG1571)</f>
        <v/>
      </c>
      <c r="AI1571" s="7">
        <f>IF($C1571="","",AH1571-M1571)</f>
        <v/>
      </c>
      <c r="AJ1571">
        <f>IF($C1571="","",IF(COUNTIF($C$2:$C1571,$C1571)=1,1,0))</f>
        <v/>
      </c>
      <c r="AK1571">
        <f>IF($AJ1571=1,SUMPRODUCT(--($AN$2:$AN$4001&lt;$AN1571))+1,"")</f>
        <v/>
      </c>
      <c r="AL1571">
        <f>IF($C1571="","",IF(OR($Q1571=TRUE(),$Q1571="TRUE"),1,0))</f>
        <v/>
      </c>
      <c r="AM1571">
        <f>IF($C1571="","",IF($W1571="Yes",1,0))</f>
        <v/>
      </c>
      <c r="AN1571">
        <f>IF($AJ1571=1,IFERROR(IF(VALUE($C1571)&lt;100000000,VALUE($C1571),1000000000),IFERROR(IF(VALUE(MID($C1571,2,20))&lt;100000000,VALUE(MID($C1571,2,20)),1000000000),1000000000))+ROW()/100000,"")</f>
        <v/>
      </c>
    </row>
    <row r="1572">
      <c r="E1572" s="11" t="n"/>
      <c r="M1572" s="7">
        <f>IF($C1572="","",L1572*U1572/100)</f>
        <v/>
      </c>
      <c r="N1572" s="7" t="n"/>
      <c r="T1572" s="7" t="n"/>
      <c r="U1572" s="7">
        <f>IF($C1572="","",S1572*T1572)</f>
        <v/>
      </c>
      <c r="X1572">
        <f>IF($C1572="","",IF($AM1572=1,0,IF($AL1572=1,Settings!$C$6,Settings!$C$7))*100)</f>
        <v/>
      </c>
      <c r="AB1572" s="7" t="n"/>
      <c r="AE1572" s="11" t="n"/>
      <c r="AG1572" s="7">
        <f>IF($C1572="","",U1572*X1572/100)</f>
        <v/>
      </c>
      <c r="AH1572" s="7">
        <f>IF($C1572="","",U1572-AG1572)</f>
        <v/>
      </c>
      <c r="AI1572" s="7">
        <f>IF($C1572="","",AH1572-M1572)</f>
        <v/>
      </c>
      <c r="AJ1572">
        <f>IF($C1572="","",IF(COUNTIF($C$2:$C1572,$C1572)=1,1,0))</f>
        <v/>
      </c>
      <c r="AK1572">
        <f>IF($AJ1572=1,SUMPRODUCT(--($AN$2:$AN$4001&lt;$AN1572))+1,"")</f>
        <v/>
      </c>
      <c r="AL1572">
        <f>IF($C1572="","",IF(OR($Q1572=TRUE(),$Q1572="TRUE"),1,0))</f>
        <v/>
      </c>
      <c r="AM1572">
        <f>IF($C1572="","",IF($W1572="Yes",1,0))</f>
        <v/>
      </c>
      <c r="AN1572">
        <f>IF($AJ1572=1,IFERROR(IF(VALUE($C1572)&lt;100000000,VALUE($C1572),1000000000),IFERROR(IF(VALUE(MID($C1572,2,20))&lt;100000000,VALUE(MID($C1572,2,20)),1000000000),1000000000))+ROW()/100000,"")</f>
        <v/>
      </c>
    </row>
    <row r="1573">
      <c r="E1573" s="11" t="n"/>
      <c r="M1573" s="7">
        <f>IF($C1573="","",L1573*U1573/100)</f>
        <v/>
      </c>
      <c r="N1573" s="7" t="n"/>
      <c r="T1573" s="7" t="n"/>
      <c r="U1573" s="7">
        <f>IF($C1573="","",S1573*T1573)</f>
        <v/>
      </c>
      <c r="X1573">
        <f>IF($C1573="","",IF($AM1573=1,0,IF($AL1573=1,Settings!$C$6,Settings!$C$7))*100)</f>
        <v/>
      </c>
      <c r="AB1573" s="7" t="n"/>
      <c r="AE1573" s="11" t="n"/>
      <c r="AG1573" s="7">
        <f>IF($C1573="","",U1573*X1573/100)</f>
        <v/>
      </c>
      <c r="AH1573" s="7">
        <f>IF($C1573="","",U1573-AG1573)</f>
        <v/>
      </c>
      <c r="AI1573" s="7">
        <f>IF($C1573="","",AH1573-M1573)</f>
        <v/>
      </c>
      <c r="AJ1573">
        <f>IF($C1573="","",IF(COUNTIF($C$2:$C1573,$C1573)=1,1,0))</f>
        <v/>
      </c>
      <c r="AK1573">
        <f>IF($AJ1573=1,SUMPRODUCT(--($AN$2:$AN$4001&lt;$AN1573))+1,"")</f>
        <v/>
      </c>
      <c r="AL1573">
        <f>IF($C1573="","",IF(OR($Q1573=TRUE(),$Q1573="TRUE"),1,0))</f>
        <v/>
      </c>
      <c r="AM1573">
        <f>IF($C1573="","",IF($W1573="Yes",1,0))</f>
        <v/>
      </c>
      <c r="AN1573">
        <f>IF($AJ1573=1,IFERROR(IF(VALUE($C1573)&lt;100000000,VALUE($C1573),1000000000),IFERROR(IF(VALUE(MID($C1573,2,20))&lt;100000000,VALUE(MID($C1573,2,20)),1000000000),1000000000))+ROW()/100000,"")</f>
        <v/>
      </c>
    </row>
    <row r="1574">
      <c r="E1574" s="11" t="n"/>
      <c r="M1574" s="7">
        <f>IF($C1574="","",L1574*U1574/100)</f>
        <v/>
      </c>
      <c r="N1574" s="7" t="n"/>
      <c r="T1574" s="7" t="n"/>
      <c r="U1574" s="7">
        <f>IF($C1574="","",S1574*T1574)</f>
        <v/>
      </c>
      <c r="X1574">
        <f>IF($C1574="","",IF($AM1574=1,0,IF($AL1574=1,Settings!$C$6,Settings!$C$7))*100)</f>
        <v/>
      </c>
      <c r="AB1574" s="7" t="n"/>
      <c r="AE1574" s="11" t="n"/>
      <c r="AG1574" s="7">
        <f>IF($C1574="","",U1574*X1574/100)</f>
        <v/>
      </c>
      <c r="AH1574" s="7">
        <f>IF($C1574="","",U1574-AG1574)</f>
        <v/>
      </c>
      <c r="AI1574" s="7">
        <f>IF($C1574="","",AH1574-M1574)</f>
        <v/>
      </c>
      <c r="AJ1574">
        <f>IF($C1574="","",IF(COUNTIF($C$2:$C1574,$C1574)=1,1,0))</f>
        <v/>
      </c>
      <c r="AK1574">
        <f>IF($AJ1574=1,SUMPRODUCT(--($AN$2:$AN$4001&lt;$AN1574))+1,"")</f>
        <v/>
      </c>
      <c r="AL1574">
        <f>IF($C1574="","",IF(OR($Q1574=TRUE(),$Q1574="TRUE"),1,0))</f>
        <v/>
      </c>
      <c r="AM1574">
        <f>IF($C1574="","",IF($W1574="Yes",1,0))</f>
        <v/>
      </c>
      <c r="AN1574">
        <f>IF($AJ1574=1,IFERROR(IF(VALUE($C1574)&lt;100000000,VALUE($C1574),1000000000),IFERROR(IF(VALUE(MID($C1574,2,20))&lt;100000000,VALUE(MID($C1574,2,20)),1000000000),1000000000))+ROW()/100000,"")</f>
        <v/>
      </c>
    </row>
    <row r="1575">
      <c r="E1575" s="11" t="n"/>
      <c r="M1575" s="7">
        <f>IF($C1575="","",L1575*U1575/100)</f>
        <v/>
      </c>
      <c r="N1575" s="7" t="n"/>
      <c r="T1575" s="7" t="n"/>
      <c r="U1575" s="7">
        <f>IF($C1575="","",S1575*T1575)</f>
        <v/>
      </c>
      <c r="X1575">
        <f>IF($C1575="","",IF($AM1575=1,0,IF($AL1575=1,Settings!$C$6,Settings!$C$7))*100)</f>
        <v/>
      </c>
      <c r="AB1575" s="7" t="n"/>
      <c r="AE1575" s="11" t="n"/>
      <c r="AG1575" s="7">
        <f>IF($C1575="","",U1575*X1575/100)</f>
        <v/>
      </c>
      <c r="AH1575" s="7">
        <f>IF($C1575="","",U1575-AG1575)</f>
        <v/>
      </c>
      <c r="AI1575" s="7">
        <f>IF($C1575="","",AH1575-M1575)</f>
        <v/>
      </c>
      <c r="AJ1575">
        <f>IF($C1575="","",IF(COUNTIF($C$2:$C1575,$C1575)=1,1,0))</f>
        <v/>
      </c>
      <c r="AK1575">
        <f>IF($AJ1575=1,SUMPRODUCT(--($AN$2:$AN$4001&lt;$AN1575))+1,"")</f>
        <v/>
      </c>
      <c r="AL1575">
        <f>IF($C1575="","",IF(OR($Q1575=TRUE(),$Q1575="TRUE"),1,0))</f>
        <v/>
      </c>
      <c r="AM1575">
        <f>IF($C1575="","",IF($W1575="Yes",1,0))</f>
        <v/>
      </c>
      <c r="AN1575">
        <f>IF($AJ1575=1,IFERROR(IF(VALUE($C1575)&lt;100000000,VALUE($C1575),1000000000),IFERROR(IF(VALUE(MID($C1575,2,20))&lt;100000000,VALUE(MID($C1575,2,20)),1000000000),1000000000))+ROW()/100000,"")</f>
        <v/>
      </c>
    </row>
    <row r="1576">
      <c r="E1576" s="11" t="n"/>
      <c r="M1576" s="7">
        <f>IF($C1576="","",L1576*U1576/100)</f>
        <v/>
      </c>
      <c r="N1576" s="7" t="n"/>
      <c r="T1576" s="7" t="n"/>
      <c r="U1576" s="7">
        <f>IF($C1576="","",S1576*T1576)</f>
        <v/>
      </c>
      <c r="X1576">
        <f>IF($C1576="","",IF($AM1576=1,0,IF($AL1576=1,Settings!$C$6,Settings!$C$7))*100)</f>
        <v/>
      </c>
      <c r="AB1576" s="7" t="n"/>
      <c r="AE1576" s="11" t="n"/>
      <c r="AG1576" s="7">
        <f>IF($C1576="","",U1576*X1576/100)</f>
        <v/>
      </c>
      <c r="AH1576" s="7">
        <f>IF($C1576="","",U1576-AG1576)</f>
        <v/>
      </c>
      <c r="AI1576" s="7">
        <f>IF($C1576="","",AH1576-M1576)</f>
        <v/>
      </c>
      <c r="AJ1576">
        <f>IF($C1576="","",IF(COUNTIF($C$2:$C1576,$C1576)=1,1,0))</f>
        <v/>
      </c>
      <c r="AK1576">
        <f>IF($AJ1576=1,SUMPRODUCT(--($AN$2:$AN$4001&lt;$AN1576))+1,"")</f>
        <v/>
      </c>
      <c r="AL1576">
        <f>IF($C1576="","",IF(OR($Q1576=TRUE(),$Q1576="TRUE"),1,0))</f>
        <v/>
      </c>
      <c r="AM1576">
        <f>IF($C1576="","",IF($W1576="Yes",1,0))</f>
        <v/>
      </c>
      <c r="AN1576">
        <f>IF($AJ1576=1,IFERROR(IF(VALUE($C1576)&lt;100000000,VALUE($C1576),1000000000),IFERROR(IF(VALUE(MID($C1576,2,20))&lt;100000000,VALUE(MID($C1576,2,20)),1000000000),1000000000))+ROW()/100000,"")</f>
        <v/>
      </c>
    </row>
    <row r="1577">
      <c r="E1577" s="11" t="n"/>
      <c r="M1577" s="7">
        <f>IF($C1577="","",L1577*U1577/100)</f>
        <v/>
      </c>
      <c r="N1577" s="7" t="n"/>
      <c r="T1577" s="7" t="n"/>
      <c r="U1577" s="7">
        <f>IF($C1577="","",S1577*T1577)</f>
        <v/>
      </c>
      <c r="X1577">
        <f>IF($C1577="","",IF($AM1577=1,0,IF($AL1577=1,Settings!$C$6,Settings!$C$7))*100)</f>
        <v/>
      </c>
      <c r="AB1577" s="7" t="n"/>
      <c r="AE1577" s="11" t="n"/>
      <c r="AG1577" s="7">
        <f>IF($C1577="","",U1577*X1577/100)</f>
        <v/>
      </c>
      <c r="AH1577" s="7">
        <f>IF($C1577="","",U1577-AG1577)</f>
        <v/>
      </c>
      <c r="AI1577" s="7">
        <f>IF($C1577="","",AH1577-M1577)</f>
        <v/>
      </c>
      <c r="AJ1577">
        <f>IF($C1577="","",IF(COUNTIF($C$2:$C1577,$C1577)=1,1,0))</f>
        <v/>
      </c>
      <c r="AK1577">
        <f>IF($AJ1577=1,SUMPRODUCT(--($AN$2:$AN$4001&lt;$AN1577))+1,"")</f>
        <v/>
      </c>
      <c r="AL1577">
        <f>IF($C1577="","",IF(OR($Q1577=TRUE(),$Q1577="TRUE"),1,0))</f>
        <v/>
      </c>
      <c r="AM1577">
        <f>IF($C1577="","",IF($W1577="Yes",1,0))</f>
        <v/>
      </c>
      <c r="AN1577">
        <f>IF($AJ1577=1,IFERROR(IF(VALUE($C1577)&lt;100000000,VALUE($C1577),1000000000),IFERROR(IF(VALUE(MID($C1577,2,20))&lt;100000000,VALUE(MID($C1577,2,20)),1000000000),1000000000))+ROW()/100000,"")</f>
        <v/>
      </c>
    </row>
    <row r="1578">
      <c r="E1578" s="11" t="n"/>
      <c r="M1578" s="7">
        <f>IF($C1578="","",L1578*U1578/100)</f>
        <v/>
      </c>
      <c r="N1578" s="7" t="n"/>
      <c r="T1578" s="7" t="n"/>
      <c r="U1578" s="7">
        <f>IF($C1578="","",S1578*T1578)</f>
        <v/>
      </c>
      <c r="X1578">
        <f>IF($C1578="","",IF($AM1578=1,0,IF($AL1578=1,Settings!$C$6,Settings!$C$7))*100)</f>
        <v/>
      </c>
      <c r="AB1578" s="7" t="n"/>
      <c r="AE1578" s="11" t="n"/>
      <c r="AG1578" s="7">
        <f>IF($C1578="","",U1578*X1578/100)</f>
        <v/>
      </c>
      <c r="AH1578" s="7">
        <f>IF($C1578="","",U1578-AG1578)</f>
        <v/>
      </c>
      <c r="AI1578" s="7">
        <f>IF($C1578="","",AH1578-M1578)</f>
        <v/>
      </c>
      <c r="AJ1578">
        <f>IF($C1578="","",IF(COUNTIF($C$2:$C1578,$C1578)=1,1,0))</f>
        <v/>
      </c>
      <c r="AK1578">
        <f>IF($AJ1578=1,SUMPRODUCT(--($AN$2:$AN$4001&lt;$AN1578))+1,"")</f>
        <v/>
      </c>
      <c r="AL1578">
        <f>IF($C1578="","",IF(OR($Q1578=TRUE(),$Q1578="TRUE"),1,0))</f>
        <v/>
      </c>
      <c r="AM1578">
        <f>IF($C1578="","",IF($W1578="Yes",1,0))</f>
        <v/>
      </c>
      <c r="AN1578">
        <f>IF($AJ1578=1,IFERROR(IF(VALUE($C1578)&lt;100000000,VALUE($C1578),1000000000),IFERROR(IF(VALUE(MID($C1578,2,20))&lt;100000000,VALUE(MID($C1578,2,20)),1000000000),1000000000))+ROW()/100000,"")</f>
        <v/>
      </c>
    </row>
    <row r="1579">
      <c r="E1579" s="11" t="n"/>
      <c r="M1579" s="7">
        <f>IF($C1579="","",L1579*U1579/100)</f>
        <v/>
      </c>
      <c r="N1579" s="7" t="n"/>
      <c r="T1579" s="7" t="n"/>
      <c r="U1579" s="7">
        <f>IF($C1579="","",S1579*T1579)</f>
        <v/>
      </c>
      <c r="X1579">
        <f>IF($C1579="","",IF($AM1579=1,0,IF($AL1579=1,Settings!$C$6,Settings!$C$7))*100)</f>
        <v/>
      </c>
      <c r="AB1579" s="7" t="n"/>
      <c r="AE1579" s="11" t="n"/>
      <c r="AG1579" s="7">
        <f>IF($C1579="","",U1579*X1579/100)</f>
        <v/>
      </c>
      <c r="AH1579" s="7">
        <f>IF($C1579="","",U1579-AG1579)</f>
        <v/>
      </c>
      <c r="AI1579" s="7">
        <f>IF($C1579="","",AH1579-M1579)</f>
        <v/>
      </c>
      <c r="AJ1579">
        <f>IF($C1579="","",IF(COUNTIF($C$2:$C1579,$C1579)=1,1,0))</f>
        <v/>
      </c>
      <c r="AK1579">
        <f>IF($AJ1579=1,SUMPRODUCT(--($AN$2:$AN$4001&lt;$AN1579))+1,"")</f>
        <v/>
      </c>
      <c r="AL1579">
        <f>IF($C1579="","",IF(OR($Q1579=TRUE(),$Q1579="TRUE"),1,0))</f>
        <v/>
      </c>
      <c r="AM1579">
        <f>IF($C1579="","",IF($W1579="Yes",1,0))</f>
        <v/>
      </c>
      <c r="AN1579">
        <f>IF($AJ1579=1,IFERROR(IF(VALUE($C1579)&lt;100000000,VALUE($C1579),1000000000),IFERROR(IF(VALUE(MID($C1579,2,20))&lt;100000000,VALUE(MID($C1579,2,20)),1000000000),1000000000))+ROW()/100000,"")</f>
        <v/>
      </c>
    </row>
    <row r="1580">
      <c r="E1580" s="11" t="n"/>
      <c r="M1580" s="7">
        <f>IF($C1580="","",L1580*U1580/100)</f>
        <v/>
      </c>
      <c r="N1580" s="7" t="n"/>
      <c r="T1580" s="7" t="n"/>
      <c r="U1580" s="7">
        <f>IF($C1580="","",S1580*T1580)</f>
        <v/>
      </c>
      <c r="X1580">
        <f>IF($C1580="","",IF($AM1580=1,0,IF($AL1580=1,Settings!$C$6,Settings!$C$7))*100)</f>
        <v/>
      </c>
      <c r="AB1580" s="7" t="n"/>
      <c r="AE1580" s="11" t="n"/>
      <c r="AG1580" s="7">
        <f>IF($C1580="","",U1580*X1580/100)</f>
        <v/>
      </c>
      <c r="AH1580" s="7">
        <f>IF($C1580="","",U1580-AG1580)</f>
        <v/>
      </c>
      <c r="AI1580" s="7">
        <f>IF($C1580="","",AH1580-M1580)</f>
        <v/>
      </c>
      <c r="AJ1580">
        <f>IF($C1580="","",IF(COUNTIF($C$2:$C1580,$C1580)=1,1,0))</f>
        <v/>
      </c>
      <c r="AK1580">
        <f>IF($AJ1580=1,SUMPRODUCT(--($AN$2:$AN$4001&lt;$AN1580))+1,"")</f>
        <v/>
      </c>
      <c r="AL1580">
        <f>IF($C1580="","",IF(OR($Q1580=TRUE(),$Q1580="TRUE"),1,0))</f>
        <v/>
      </c>
      <c r="AM1580">
        <f>IF($C1580="","",IF($W1580="Yes",1,0))</f>
        <v/>
      </c>
      <c r="AN1580">
        <f>IF($AJ1580=1,IFERROR(IF(VALUE($C1580)&lt;100000000,VALUE($C1580),1000000000),IFERROR(IF(VALUE(MID($C1580,2,20))&lt;100000000,VALUE(MID($C1580,2,20)),1000000000),1000000000))+ROW()/100000,"")</f>
        <v/>
      </c>
    </row>
    <row r="1581">
      <c r="E1581" s="11" t="n"/>
      <c r="M1581" s="7">
        <f>IF($C1581="","",L1581*U1581/100)</f>
        <v/>
      </c>
      <c r="N1581" s="7" t="n"/>
      <c r="T1581" s="7" t="n"/>
      <c r="U1581" s="7">
        <f>IF($C1581="","",S1581*T1581)</f>
        <v/>
      </c>
      <c r="X1581">
        <f>IF($C1581="","",IF($AM1581=1,0,IF($AL1581=1,Settings!$C$6,Settings!$C$7))*100)</f>
        <v/>
      </c>
      <c r="AB1581" s="7" t="n"/>
      <c r="AE1581" s="11" t="n"/>
      <c r="AG1581" s="7">
        <f>IF($C1581="","",U1581*X1581/100)</f>
        <v/>
      </c>
      <c r="AH1581" s="7">
        <f>IF($C1581="","",U1581-AG1581)</f>
        <v/>
      </c>
      <c r="AI1581" s="7">
        <f>IF($C1581="","",AH1581-M1581)</f>
        <v/>
      </c>
      <c r="AJ1581">
        <f>IF($C1581="","",IF(COUNTIF($C$2:$C1581,$C1581)=1,1,0))</f>
        <v/>
      </c>
      <c r="AK1581">
        <f>IF($AJ1581=1,SUMPRODUCT(--($AN$2:$AN$4001&lt;$AN1581))+1,"")</f>
        <v/>
      </c>
      <c r="AL1581">
        <f>IF($C1581="","",IF(OR($Q1581=TRUE(),$Q1581="TRUE"),1,0))</f>
        <v/>
      </c>
      <c r="AM1581">
        <f>IF($C1581="","",IF($W1581="Yes",1,0))</f>
        <v/>
      </c>
      <c r="AN1581">
        <f>IF($AJ1581=1,IFERROR(IF(VALUE($C1581)&lt;100000000,VALUE($C1581),1000000000),IFERROR(IF(VALUE(MID($C1581,2,20))&lt;100000000,VALUE(MID($C1581,2,20)),1000000000),1000000000))+ROW()/100000,"")</f>
        <v/>
      </c>
    </row>
    <row r="1582">
      <c r="E1582" s="11" t="n"/>
      <c r="M1582" s="7">
        <f>IF($C1582="","",L1582*U1582/100)</f>
        <v/>
      </c>
      <c r="N1582" s="7" t="n"/>
      <c r="T1582" s="7" t="n"/>
      <c r="U1582" s="7">
        <f>IF($C1582="","",S1582*T1582)</f>
        <v/>
      </c>
      <c r="X1582">
        <f>IF($C1582="","",IF($AM1582=1,0,IF($AL1582=1,Settings!$C$6,Settings!$C$7))*100)</f>
        <v/>
      </c>
      <c r="AB1582" s="7" t="n"/>
      <c r="AE1582" s="11" t="n"/>
      <c r="AG1582" s="7">
        <f>IF($C1582="","",U1582*X1582/100)</f>
        <v/>
      </c>
      <c r="AH1582" s="7">
        <f>IF($C1582="","",U1582-AG1582)</f>
        <v/>
      </c>
      <c r="AI1582" s="7">
        <f>IF($C1582="","",AH1582-M1582)</f>
        <v/>
      </c>
      <c r="AJ1582">
        <f>IF($C1582="","",IF(COUNTIF($C$2:$C1582,$C1582)=1,1,0))</f>
        <v/>
      </c>
      <c r="AK1582">
        <f>IF($AJ1582=1,SUMPRODUCT(--($AN$2:$AN$4001&lt;$AN1582))+1,"")</f>
        <v/>
      </c>
      <c r="AL1582">
        <f>IF($C1582="","",IF(OR($Q1582=TRUE(),$Q1582="TRUE"),1,0))</f>
        <v/>
      </c>
      <c r="AM1582">
        <f>IF($C1582="","",IF($W1582="Yes",1,0))</f>
        <v/>
      </c>
      <c r="AN1582">
        <f>IF($AJ1582=1,IFERROR(IF(VALUE($C1582)&lt;100000000,VALUE($C1582),1000000000),IFERROR(IF(VALUE(MID($C1582,2,20))&lt;100000000,VALUE(MID($C1582,2,20)),1000000000),1000000000))+ROW()/100000,"")</f>
        <v/>
      </c>
    </row>
    <row r="1583">
      <c r="E1583" s="11" t="n"/>
      <c r="M1583" s="7">
        <f>IF($C1583="","",L1583*U1583/100)</f>
        <v/>
      </c>
      <c r="N1583" s="7" t="n"/>
      <c r="T1583" s="7" t="n"/>
      <c r="U1583" s="7">
        <f>IF($C1583="","",S1583*T1583)</f>
        <v/>
      </c>
      <c r="X1583">
        <f>IF($C1583="","",IF($AM1583=1,0,IF($AL1583=1,Settings!$C$6,Settings!$C$7))*100)</f>
        <v/>
      </c>
      <c r="AB1583" s="7" t="n"/>
      <c r="AE1583" s="11" t="n"/>
      <c r="AG1583" s="7">
        <f>IF($C1583="","",U1583*X1583/100)</f>
        <v/>
      </c>
      <c r="AH1583" s="7">
        <f>IF($C1583="","",U1583-AG1583)</f>
        <v/>
      </c>
      <c r="AI1583" s="7">
        <f>IF($C1583="","",AH1583-M1583)</f>
        <v/>
      </c>
      <c r="AJ1583">
        <f>IF($C1583="","",IF(COUNTIF($C$2:$C1583,$C1583)=1,1,0))</f>
        <v/>
      </c>
      <c r="AK1583">
        <f>IF($AJ1583=1,SUMPRODUCT(--($AN$2:$AN$4001&lt;$AN1583))+1,"")</f>
        <v/>
      </c>
      <c r="AL1583">
        <f>IF($C1583="","",IF(OR($Q1583=TRUE(),$Q1583="TRUE"),1,0))</f>
        <v/>
      </c>
      <c r="AM1583">
        <f>IF($C1583="","",IF($W1583="Yes",1,0))</f>
        <v/>
      </c>
      <c r="AN1583">
        <f>IF($AJ1583=1,IFERROR(IF(VALUE($C1583)&lt;100000000,VALUE($C1583),1000000000),IFERROR(IF(VALUE(MID($C1583,2,20))&lt;100000000,VALUE(MID($C1583,2,20)),1000000000),1000000000))+ROW()/100000,"")</f>
        <v/>
      </c>
    </row>
    <row r="1584">
      <c r="E1584" s="11" t="n"/>
      <c r="M1584" s="7">
        <f>IF($C1584="","",L1584*U1584/100)</f>
        <v/>
      </c>
      <c r="N1584" s="7" t="n"/>
      <c r="T1584" s="7" t="n"/>
      <c r="U1584" s="7">
        <f>IF($C1584="","",S1584*T1584)</f>
        <v/>
      </c>
      <c r="X1584">
        <f>IF($C1584="","",IF($AM1584=1,0,IF($AL1584=1,Settings!$C$6,Settings!$C$7))*100)</f>
        <v/>
      </c>
      <c r="AB1584" s="7" t="n"/>
      <c r="AE1584" s="11" t="n"/>
      <c r="AG1584" s="7">
        <f>IF($C1584="","",U1584*X1584/100)</f>
        <v/>
      </c>
      <c r="AH1584" s="7">
        <f>IF($C1584="","",U1584-AG1584)</f>
        <v/>
      </c>
      <c r="AI1584" s="7">
        <f>IF($C1584="","",AH1584-M1584)</f>
        <v/>
      </c>
      <c r="AJ1584">
        <f>IF($C1584="","",IF(COUNTIF($C$2:$C1584,$C1584)=1,1,0))</f>
        <v/>
      </c>
      <c r="AK1584">
        <f>IF($AJ1584=1,SUMPRODUCT(--($AN$2:$AN$4001&lt;$AN1584))+1,"")</f>
        <v/>
      </c>
      <c r="AL1584">
        <f>IF($C1584="","",IF(OR($Q1584=TRUE(),$Q1584="TRUE"),1,0))</f>
        <v/>
      </c>
      <c r="AM1584">
        <f>IF($C1584="","",IF($W1584="Yes",1,0))</f>
        <v/>
      </c>
      <c r="AN1584">
        <f>IF($AJ1584=1,IFERROR(IF(VALUE($C1584)&lt;100000000,VALUE($C1584),1000000000),IFERROR(IF(VALUE(MID($C1584,2,20))&lt;100000000,VALUE(MID($C1584,2,20)),1000000000),1000000000))+ROW()/100000,"")</f>
        <v/>
      </c>
    </row>
    <row r="1585">
      <c r="E1585" s="11" t="n"/>
      <c r="M1585" s="7">
        <f>IF($C1585="","",L1585*U1585/100)</f>
        <v/>
      </c>
      <c r="N1585" s="7" t="n"/>
      <c r="T1585" s="7" t="n"/>
      <c r="U1585" s="7">
        <f>IF($C1585="","",S1585*T1585)</f>
        <v/>
      </c>
      <c r="X1585">
        <f>IF($C1585="","",IF($AM1585=1,0,IF($AL1585=1,Settings!$C$6,Settings!$C$7))*100)</f>
        <v/>
      </c>
      <c r="AB1585" s="7" t="n"/>
      <c r="AE1585" s="11" t="n"/>
      <c r="AG1585" s="7">
        <f>IF($C1585="","",U1585*X1585/100)</f>
        <v/>
      </c>
      <c r="AH1585" s="7">
        <f>IF($C1585="","",U1585-AG1585)</f>
        <v/>
      </c>
      <c r="AI1585" s="7">
        <f>IF($C1585="","",AH1585-M1585)</f>
        <v/>
      </c>
      <c r="AJ1585">
        <f>IF($C1585="","",IF(COUNTIF($C$2:$C1585,$C1585)=1,1,0))</f>
        <v/>
      </c>
      <c r="AK1585">
        <f>IF($AJ1585=1,SUMPRODUCT(--($AN$2:$AN$4001&lt;$AN1585))+1,"")</f>
        <v/>
      </c>
      <c r="AL1585">
        <f>IF($C1585="","",IF(OR($Q1585=TRUE(),$Q1585="TRUE"),1,0))</f>
        <v/>
      </c>
      <c r="AM1585">
        <f>IF($C1585="","",IF($W1585="Yes",1,0))</f>
        <v/>
      </c>
      <c r="AN1585">
        <f>IF($AJ1585=1,IFERROR(IF(VALUE($C1585)&lt;100000000,VALUE($C1585),1000000000),IFERROR(IF(VALUE(MID($C1585,2,20))&lt;100000000,VALUE(MID($C1585,2,20)),1000000000),1000000000))+ROW()/100000,"")</f>
        <v/>
      </c>
    </row>
    <row r="1586">
      <c r="E1586" s="11" t="n"/>
      <c r="M1586" s="7">
        <f>IF($C1586="","",L1586*U1586/100)</f>
        <v/>
      </c>
      <c r="N1586" s="7" t="n"/>
      <c r="T1586" s="7" t="n"/>
      <c r="U1586" s="7">
        <f>IF($C1586="","",S1586*T1586)</f>
        <v/>
      </c>
      <c r="X1586">
        <f>IF($C1586="","",IF($AM1586=1,0,IF($AL1586=1,Settings!$C$6,Settings!$C$7))*100)</f>
        <v/>
      </c>
      <c r="AB1586" s="7" t="n"/>
      <c r="AE1586" s="11" t="n"/>
      <c r="AG1586" s="7">
        <f>IF($C1586="","",U1586*X1586/100)</f>
        <v/>
      </c>
      <c r="AH1586" s="7">
        <f>IF($C1586="","",U1586-AG1586)</f>
        <v/>
      </c>
      <c r="AI1586" s="7">
        <f>IF($C1586="","",AH1586-M1586)</f>
        <v/>
      </c>
      <c r="AJ1586">
        <f>IF($C1586="","",IF(COUNTIF($C$2:$C1586,$C1586)=1,1,0))</f>
        <v/>
      </c>
      <c r="AK1586">
        <f>IF($AJ1586=1,SUMPRODUCT(--($AN$2:$AN$4001&lt;$AN1586))+1,"")</f>
        <v/>
      </c>
      <c r="AL1586">
        <f>IF($C1586="","",IF(OR($Q1586=TRUE(),$Q1586="TRUE"),1,0))</f>
        <v/>
      </c>
      <c r="AM1586">
        <f>IF($C1586="","",IF($W1586="Yes",1,0))</f>
        <v/>
      </c>
      <c r="AN1586">
        <f>IF($AJ1586=1,IFERROR(IF(VALUE($C1586)&lt;100000000,VALUE($C1586),1000000000),IFERROR(IF(VALUE(MID($C1586,2,20))&lt;100000000,VALUE(MID($C1586,2,20)),1000000000),1000000000))+ROW()/100000,"")</f>
        <v/>
      </c>
    </row>
    <row r="1587">
      <c r="E1587" s="11" t="n"/>
      <c r="M1587" s="7">
        <f>IF($C1587="","",L1587*U1587/100)</f>
        <v/>
      </c>
      <c r="N1587" s="7" t="n"/>
      <c r="T1587" s="7" t="n"/>
      <c r="U1587" s="7">
        <f>IF($C1587="","",S1587*T1587)</f>
        <v/>
      </c>
      <c r="X1587">
        <f>IF($C1587="","",IF($AM1587=1,0,IF($AL1587=1,Settings!$C$6,Settings!$C$7))*100)</f>
        <v/>
      </c>
      <c r="AB1587" s="7" t="n"/>
      <c r="AE1587" s="11" t="n"/>
      <c r="AG1587" s="7">
        <f>IF($C1587="","",U1587*X1587/100)</f>
        <v/>
      </c>
      <c r="AH1587" s="7">
        <f>IF($C1587="","",U1587-AG1587)</f>
        <v/>
      </c>
      <c r="AI1587" s="7">
        <f>IF($C1587="","",AH1587-M1587)</f>
        <v/>
      </c>
      <c r="AJ1587">
        <f>IF($C1587="","",IF(COUNTIF($C$2:$C1587,$C1587)=1,1,0))</f>
        <v/>
      </c>
      <c r="AK1587">
        <f>IF($AJ1587=1,SUMPRODUCT(--($AN$2:$AN$4001&lt;$AN1587))+1,"")</f>
        <v/>
      </c>
      <c r="AL1587">
        <f>IF($C1587="","",IF(OR($Q1587=TRUE(),$Q1587="TRUE"),1,0))</f>
        <v/>
      </c>
      <c r="AM1587">
        <f>IF($C1587="","",IF($W1587="Yes",1,0))</f>
        <v/>
      </c>
      <c r="AN1587">
        <f>IF($AJ1587=1,IFERROR(IF(VALUE($C1587)&lt;100000000,VALUE($C1587),1000000000),IFERROR(IF(VALUE(MID($C1587,2,20))&lt;100000000,VALUE(MID($C1587,2,20)),1000000000),1000000000))+ROW()/100000,"")</f>
        <v/>
      </c>
    </row>
    <row r="1588">
      <c r="E1588" s="11" t="n"/>
      <c r="M1588" s="7">
        <f>IF($C1588="","",L1588*U1588/100)</f>
        <v/>
      </c>
      <c r="N1588" s="7" t="n"/>
      <c r="T1588" s="7" t="n"/>
      <c r="U1588" s="7">
        <f>IF($C1588="","",S1588*T1588)</f>
        <v/>
      </c>
      <c r="X1588">
        <f>IF($C1588="","",IF($AM1588=1,0,IF($AL1588=1,Settings!$C$6,Settings!$C$7))*100)</f>
        <v/>
      </c>
      <c r="AB1588" s="7" t="n"/>
      <c r="AE1588" s="11" t="n"/>
      <c r="AG1588" s="7">
        <f>IF($C1588="","",U1588*X1588/100)</f>
        <v/>
      </c>
      <c r="AH1588" s="7">
        <f>IF($C1588="","",U1588-AG1588)</f>
        <v/>
      </c>
      <c r="AI1588" s="7">
        <f>IF($C1588="","",AH1588-M1588)</f>
        <v/>
      </c>
      <c r="AJ1588">
        <f>IF($C1588="","",IF(COUNTIF($C$2:$C1588,$C1588)=1,1,0))</f>
        <v/>
      </c>
      <c r="AK1588">
        <f>IF($AJ1588=1,SUMPRODUCT(--($AN$2:$AN$4001&lt;$AN1588))+1,"")</f>
        <v/>
      </c>
      <c r="AL1588">
        <f>IF($C1588="","",IF(OR($Q1588=TRUE(),$Q1588="TRUE"),1,0))</f>
        <v/>
      </c>
      <c r="AM1588">
        <f>IF($C1588="","",IF($W1588="Yes",1,0))</f>
        <v/>
      </c>
      <c r="AN1588">
        <f>IF($AJ1588=1,IFERROR(IF(VALUE($C1588)&lt;100000000,VALUE($C1588),1000000000),IFERROR(IF(VALUE(MID($C1588,2,20))&lt;100000000,VALUE(MID($C1588,2,20)),1000000000),1000000000))+ROW()/100000,"")</f>
        <v/>
      </c>
    </row>
    <row r="1589">
      <c r="E1589" s="11" t="n"/>
      <c r="M1589" s="7">
        <f>IF($C1589="","",L1589*U1589/100)</f>
        <v/>
      </c>
      <c r="N1589" s="7" t="n"/>
      <c r="T1589" s="7" t="n"/>
      <c r="U1589" s="7">
        <f>IF($C1589="","",S1589*T1589)</f>
        <v/>
      </c>
      <c r="X1589">
        <f>IF($C1589="","",IF($AM1589=1,0,IF($AL1589=1,Settings!$C$6,Settings!$C$7))*100)</f>
        <v/>
      </c>
      <c r="AB1589" s="7" t="n"/>
      <c r="AE1589" s="11" t="n"/>
      <c r="AG1589" s="7">
        <f>IF($C1589="","",U1589*X1589/100)</f>
        <v/>
      </c>
      <c r="AH1589" s="7">
        <f>IF($C1589="","",U1589-AG1589)</f>
        <v/>
      </c>
      <c r="AI1589" s="7">
        <f>IF($C1589="","",AH1589-M1589)</f>
        <v/>
      </c>
      <c r="AJ1589">
        <f>IF($C1589="","",IF(COUNTIF($C$2:$C1589,$C1589)=1,1,0))</f>
        <v/>
      </c>
      <c r="AK1589">
        <f>IF($AJ1589=1,SUMPRODUCT(--($AN$2:$AN$4001&lt;$AN1589))+1,"")</f>
        <v/>
      </c>
      <c r="AL1589">
        <f>IF($C1589="","",IF(OR($Q1589=TRUE(),$Q1589="TRUE"),1,0))</f>
        <v/>
      </c>
      <c r="AM1589">
        <f>IF($C1589="","",IF($W1589="Yes",1,0))</f>
        <v/>
      </c>
      <c r="AN1589">
        <f>IF($AJ1589=1,IFERROR(IF(VALUE($C1589)&lt;100000000,VALUE($C1589),1000000000),IFERROR(IF(VALUE(MID($C1589,2,20))&lt;100000000,VALUE(MID($C1589,2,20)),1000000000),1000000000))+ROW()/100000,"")</f>
        <v/>
      </c>
    </row>
    <row r="1590">
      <c r="E1590" s="11" t="n"/>
      <c r="M1590" s="7">
        <f>IF($C1590="","",L1590*U1590/100)</f>
        <v/>
      </c>
      <c r="N1590" s="7" t="n"/>
      <c r="T1590" s="7" t="n"/>
      <c r="U1590" s="7">
        <f>IF($C1590="","",S1590*T1590)</f>
        <v/>
      </c>
      <c r="X1590">
        <f>IF($C1590="","",IF($AM1590=1,0,IF($AL1590=1,Settings!$C$6,Settings!$C$7))*100)</f>
        <v/>
      </c>
      <c r="AB1590" s="7" t="n"/>
      <c r="AE1590" s="11" t="n"/>
      <c r="AG1590" s="7">
        <f>IF($C1590="","",U1590*X1590/100)</f>
        <v/>
      </c>
      <c r="AH1590" s="7">
        <f>IF($C1590="","",U1590-AG1590)</f>
        <v/>
      </c>
      <c r="AI1590" s="7">
        <f>IF($C1590="","",AH1590-M1590)</f>
        <v/>
      </c>
      <c r="AJ1590">
        <f>IF($C1590="","",IF(COUNTIF($C$2:$C1590,$C1590)=1,1,0))</f>
        <v/>
      </c>
      <c r="AK1590">
        <f>IF($AJ1590=1,SUMPRODUCT(--($AN$2:$AN$4001&lt;$AN1590))+1,"")</f>
        <v/>
      </c>
      <c r="AL1590">
        <f>IF($C1590="","",IF(OR($Q1590=TRUE(),$Q1590="TRUE"),1,0))</f>
        <v/>
      </c>
      <c r="AM1590">
        <f>IF($C1590="","",IF($W1590="Yes",1,0))</f>
        <v/>
      </c>
      <c r="AN1590">
        <f>IF($AJ1590=1,IFERROR(IF(VALUE($C1590)&lt;100000000,VALUE($C1590),1000000000),IFERROR(IF(VALUE(MID($C1590,2,20))&lt;100000000,VALUE(MID($C1590,2,20)),1000000000),1000000000))+ROW()/100000,"")</f>
        <v/>
      </c>
    </row>
    <row r="1591">
      <c r="E1591" s="11" t="n"/>
      <c r="M1591" s="7">
        <f>IF($C1591="","",L1591*U1591/100)</f>
        <v/>
      </c>
      <c r="N1591" s="7" t="n"/>
      <c r="T1591" s="7" t="n"/>
      <c r="U1591" s="7">
        <f>IF($C1591="","",S1591*T1591)</f>
        <v/>
      </c>
      <c r="X1591">
        <f>IF($C1591="","",IF($AM1591=1,0,IF($AL1591=1,Settings!$C$6,Settings!$C$7))*100)</f>
        <v/>
      </c>
      <c r="AB1591" s="7" t="n"/>
      <c r="AE1591" s="11" t="n"/>
      <c r="AG1591" s="7">
        <f>IF($C1591="","",U1591*X1591/100)</f>
        <v/>
      </c>
      <c r="AH1591" s="7">
        <f>IF($C1591="","",U1591-AG1591)</f>
        <v/>
      </c>
      <c r="AI1591" s="7">
        <f>IF($C1591="","",AH1591-M1591)</f>
        <v/>
      </c>
      <c r="AJ1591">
        <f>IF($C1591="","",IF(COUNTIF($C$2:$C1591,$C1591)=1,1,0))</f>
        <v/>
      </c>
      <c r="AK1591">
        <f>IF($AJ1591=1,SUMPRODUCT(--($AN$2:$AN$4001&lt;$AN1591))+1,"")</f>
        <v/>
      </c>
      <c r="AL1591">
        <f>IF($C1591="","",IF(OR($Q1591=TRUE(),$Q1591="TRUE"),1,0))</f>
        <v/>
      </c>
      <c r="AM1591">
        <f>IF($C1591="","",IF($W1591="Yes",1,0))</f>
        <v/>
      </c>
      <c r="AN1591">
        <f>IF($AJ1591=1,IFERROR(IF(VALUE($C1591)&lt;100000000,VALUE($C1591),1000000000),IFERROR(IF(VALUE(MID($C1591,2,20))&lt;100000000,VALUE(MID($C1591,2,20)),1000000000),1000000000))+ROW()/100000,"")</f>
        <v/>
      </c>
    </row>
    <row r="1592">
      <c r="E1592" s="11" t="n"/>
      <c r="M1592" s="7">
        <f>IF($C1592="","",L1592*U1592/100)</f>
        <v/>
      </c>
      <c r="N1592" s="7" t="n"/>
      <c r="T1592" s="7" t="n"/>
      <c r="U1592" s="7">
        <f>IF($C1592="","",S1592*T1592)</f>
        <v/>
      </c>
      <c r="X1592">
        <f>IF($C1592="","",IF($AM1592=1,0,IF($AL1592=1,Settings!$C$6,Settings!$C$7))*100)</f>
        <v/>
      </c>
      <c r="AB1592" s="7" t="n"/>
      <c r="AE1592" s="11" t="n"/>
      <c r="AG1592" s="7">
        <f>IF($C1592="","",U1592*X1592/100)</f>
        <v/>
      </c>
      <c r="AH1592" s="7">
        <f>IF($C1592="","",U1592-AG1592)</f>
        <v/>
      </c>
      <c r="AI1592" s="7">
        <f>IF($C1592="","",AH1592-M1592)</f>
        <v/>
      </c>
      <c r="AJ1592">
        <f>IF($C1592="","",IF(COUNTIF($C$2:$C1592,$C1592)=1,1,0))</f>
        <v/>
      </c>
      <c r="AK1592">
        <f>IF($AJ1592=1,SUMPRODUCT(--($AN$2:$AN$4001&lt;$AN1592))+1,"")</f>
        <v/>
      </c>
      <c r="AL1592">
        <f>IF($C1592="","",IF(OR($Q1592=TRUE(),$Q1592="TRUE"),1,0))</f>
        <v/>
      </c>
      <c r="AM1592">
        <f>IF($C1592="","",IF($W1592="Yes",1,0))</f>
        <v/>
      </c>
      <c r="AN1592">
        <f>IF($AJ1592=1,IFERROR(IF(VALUE($C1592)&lt;100000000,VALUE($C1592),1000000000),IFERROR(IF(VALUE(MID($C1592,2,20))&lt;100000000,VALUE(MID($C1592,2,20)),1000000000),1000000000))+ROW()/100000,"")</f>
        <v/>
      </c>
    </row>
    <row r="1593">
      <c r="E1593" s="11" t="n"/>
      <c r="M1593" s="7">
        <f>IF($C1593="","",L1593*U1593/100)</f>
        <v/>
      </c>
      <c r="N1593" s="7" t="n"/>
      <c r="T1593" s="7" t="n"/>
      <c r="U1593" s="7">
        <f>IF($C1593="","",S1593*T1593)</f>
        <v/>
      </c>
      <c r="X1593">
        <f>IF($C1593="","",IF($AM1593=1,0,IF($AL1593=1,Settings!$C$6,Settings!$C$7))*100)</f>
        <v/>
      </c>
      <c r="AB1593" s="7" t="n"/>
      <c r="AE1593" s="11" t="n"/>
      <c r="AG1593" s="7">
        <f>IF($C1593="","",U1593*X1593/100)</f>
        <v/>
      </c>
      <c r="AH1593" s="7">
        <f>IF($C1593="","",U1593-AG1593)</f>
        <v/>
      </c>
      <c r="AI1593" s="7">
        <f>IF($C1593="","",AH1593-M1593)</f>
        <v/>
      </c>
      <c r="AJ1593">
        <f>IF($C1593="","",IF(COUNTIF($C$2:$C1593,$C1593)=1,1,0))</f>
        <v/>
      </c>
      <c r="AK1593">
        <f>IF($AJ1593=1,SUMPRODUCT(--($AN$2:$AN$4001&lt;$AN1593))+1,"")</f>
        <v/>
      </c>
      <c r="AL1593">
        <f>IF($C1593="","",IF(OR($Q1593=TRUE(),$Q1593="TRUE"),1,0))</f>
        <v/>
      </c>
      <c r="AM1593">
        <f>IF($C1593="","",IF($W1593="Yes",1,0))</f>
        <v/>
      </c>
      <c r="AN1593">
        <f>IF($AJ1593=1,IFERROR(IF(VALUE($C1593)&lt;100000000,VALUE($C1593),1000000000),IFERROR(IF(VALUE(MID($C1593,2,20))&lt;100000000,VALUE(MID($C1593,2,20)),1000000000),1000000000))+ROW()/100000,"")</f>
        <v/>
      </c>
    </row>
    <row r="1594">
      <c r="E1594" s="11" t="n"/>
      <c r="M1594" s="7">
        <f>IF($C1594="","",L1594*U1594/100)</f>
        <v/>
      </c>
      <c r="N1594" s="7" t="n"/>
      <c r="T1594" s="7" t="n"/>
      <c r="U1594" s="7">
        <f>IF($C1594="","",S1594*T1594)</f>
        <v/>
      </c>
      <c r="X1594">
        <f>IF($C1594="","",IF($AM1594=1,0,IF($AL1594=1,Settings!$C$6,Settings!$C$7))*100)</f>
        <v/>
      </c>
      <c r="AB1594" s="7" t="n"/>
      <c r="AE1594" s="11" t="n"/>
      <c r="AG1594" s="7">
        <f>IF($C1594="","",U1594*X1594/100)</f>
        <v/>
      </c>
      <c r="AH1594" s="7">
        <f>IF($C1594="","",U1594-AG1594)</f>
        <v/>
      </c>
      <c r="AI1594" s="7">
        <f>IF($C1594="","",AH1594-M1594)</f>
        <v/>
      </c>
      <c r="AJ1594">
        <f>IF($C1594="","",IF(COUNTIF($C$2:$C1594,$C1594)=1,1,0))</f>
        <v/>
      </c>
      <c r="AK1594">
        <f>IF($AJ1594=1,SUMPRODUCT(--($AN$2:$AN$4001&lt;$AN1594))+1,"")</f>
        <v/>
      </c>
      <c r="AL1594">
        <f>IF($C1594="","",IF(OR($Q1594=TRUE(),$Q1594="TRUE"),1,0))</f>
        <v/>
      </c>
      <c r="AM1594">
        <f>IF($C1594="","",IF($W1594="Yes",1,0))</f>
        <v/>
      </c>
      <c r="AN1594">
        <f>IF($AJ1594=1,IFERROR(IF(VALUE($C1594)&lt;100000000,VALUE($C1594),1000000000),IFERROR(IF(VALUE(MID($C1594,2,20))&lt;100000000,VALUE(MID($C1594,2,20)),1000000000),1000000000))+ROW()/100000,"")</f>
        <v/>
      </c>
    </row>
    <row r="1595">
      <c r="E1595" s="11" t="n"/>
      <c r="M1595" s="7">
        <f>IF($C1595="","",L1595*U1595/100)</f>
        <v/>
      </c>
      <c r="N1595" s="7" t="n"/>
      <c r="T1595" s="7" t="n"/>
      <c r="U1595" s="7">
        <f>IF($C1595="","",S1595*T1595)</f>
        <v/>
      </c>
      <c r="X1595">
        <f>IF($C1595="","",IF($AM1595=1,0,IF($AL1595=1,Settings!$C$6,Settings!$C$7))*100)</f>
        <v/>
      </c>
      <c r="AB1595" s="7" t="n"/>
      <c r="AE1595" s="11" t="n"/>
      <c r="AG1595" s="7">
        <f>IF($C1595="","",U1595*X1595/100)</f>
        <v/>
      </c>
      <c r="AH1595" s="7">
        <f>IF($C1595="","",U1595-AG1595)</f>
        <v/>
      </c>
      <c r="AI1595" s="7">
        <f>IF($C1595="","",AH1595-M1595)</f>
        <v/>
      </c>
      <c r="AJ1595">
        <f>IF($C1595="","",IF(COUNTIF($C$2:$C1595,$C1595)=1,1,0))</f>
        <v/>
      </c>
      <c r="AK1595">
        <f>IF($AJ1595=1,SUMPRODUCT(--($AN$2:$AN$4001&lt;$AN1595))+1,"")</f>
        <v/>
      </c>
      <c r="AL1595">
        <f>IF($C1595="","",IF(OR($Q1595=TRUE(),$Q1595="TRUE"),1,0))</f>
        <v/>
      </c>
      <c r="AM1595">
        <f>IF($C1595="","",IF($W1595="Yes",1,0))</f>
        <v/>
      </c>
      <c r="AN1595">
        <f>IF($AJ1595=1,IFERROR(IF(VALUE($C1595)&lt;100000000,VALUE($C1595),1000000000),IFERROR(IF(VALUE(MID($C1595,2,20))&lt;100000000,VALUE(MID($C1595,2,20)),1000000000),1000000000))+ROW()/100000,"")</f>
        <v/>
      </c>
    </row>
    <row r="1596">
      <c r="E1596" s="11" t="n"/>
      <c r="M1596" s="7">
        <f>IF($C1596="","",L1596*U1596/100)</f>
        <v/>
      </c>
      <c r="N1596" s="7" t="n"/>
      <c r="T1596" s="7" t="n"/>
      <c r="U1596" s="7">
        <f>IF($C1596="","",S1596*T1596)</f>
        <v/>
      </c>
      <c r="X1596">
        <f>IF($C1596="","",IF($AM1596=1,0,IF($AL1596=1,Settings!$C$6,Settings!$C$7))*100)</f>
        <v/>
      </c>
      <c r="AB1596" s="7" t="n"/>
      <c r="AE1596" s="11" t="n"/>
      <c r="AG1596" s="7">
        <f>IF($C1596="","",U1596*X1596/100)</f>
        <v/>
      </c>
      <c r="AH1596" s="7">
        <f>IF($C1596="","",U1596-AG1596)</f>
        <v/>
      </c>
      <c r="AI1596" s="7">
        <f>IF($C1596="","",AH1596-M1596)</f>
        <v/>
      </c>
      <c r="AJ1596">
        <f>IF($C1596="","",IF(COUNTIF($C$2:$C1596,$C1596)=1,1,0))</f>
        <v/>
      </c>
      <c r="AK1596">
        <f>IF($AJ1596=1,SUMPRODUCT(--($AN$2:$AN$4001&lt;$AN1596))+1,"")</f>
        <v/>
      </c>
      <c r="AL1596">
        <f>IF($C1596="","",IF(OR($Q1596=TRUE(),$Q1596="TRUE"),1,0))</f>
        <v/>
      </c>
      <c r="AM1596">
        <f>IF($C1596="","",IF($W1596="Yes",1,0))</f>
        <v/>
      </c>
      <c r="AN1596">
        <f>IF($AJ1596=1,IFERROR(IF(VALUE($C1596)&lt;100000000,VALUE($C1596),1000000000),IFERROR(IF(VALUE(MID($C1596,2,20))&lt;100000000,VALUE(MID($C1596,2,20)),1000000000),1000000000))+ROW()/100000,"")</f>
        <v/>
      </c>
    </row>
    <row r="1597">
      <c r="E1597" s="11" t="n"/>
      <c r="M1597" s="7">
        <f>IF($C1597="","",L1597*U1597/100)</f>
        <v/>
      </c>
      <c r="N1597" s="7" t="n"/>
      <c r="T1597" s="7" t="n"/>
      <c r="U1597" s="7">
        <f>IF($C1597="","",S1597*T1597)</f>
        <v/>
      </c>
      <c r="X1597">
        <f>IF($C1597="","",IF($AM1597=1,0,IF($AL1597=1,Settings!$C$6,Settings!$C$7))*100)</f>
        <v/>
      </c>
      <c r="AB1597" s="7" t="n"/>
      <c r="AE1597" s="11" t="n"/>
      <c r="AG1597" s="7">
        <f>IF($C1597="","",U1597*X1597/100)</f>
        <v/>
      </c>
      <c r="AH1597" s="7">
        <f>IF($C1597="","",U1597-AG1597)</f>
        <v/>
      </c>
      <c r="AI1597" s="7">
        <f>IF($C1597="","",AH1597-M1597)</f>
        <v/>
      </c>
      <c r="AJ1597">
        <f>IF($C1597="","",IF(COUNTIF($C$2:$C1597,$C1597)=1,1,0))</f>
        <v/>
      </c>
      <c r="AK1597">
        <f>IF($AJ1597=1,SUMPRODUCT(--($AN$2:$AN$4001&lt;$AN1597))+1,"")</f>
        <v/>
      </c>
      <c r="AL1597">
        <f>IF($C1597="","",IF(OR($Q1597=TRUE(),$Q1597="TRUE"),1,0))</f>
        <v/>
      </c>
      <c r="AM1597">
        <f>IF($C1597="","",IF($W1597="Yes",1,0))</f>
        <v/>
      </c>
      <c r="AN1597">
        <f>IF($AJ1597=1,IFERROR(IF(VALUE($C1597)&lt;100000000,VALUE($C1597),1000000000),IFERROR(IF(VALUE(MID($C1597,2,20))&lt;100000000,VALUE(MID($C1597,2,20)),1000000000),1000000000))+ROW()/100000,"")</f>
        <v/>
      </c>
    </row>
    <row r="1598">
      <c r="E1598" s="11" t="n"/>
      <c r="M1598" s="7">
        <f>IF($C1598="","",L1598*U1598/100)</f>
        <v/>
      </c>
      <c r="N1598" s="7" t="n"/>
      <c r="T1598" s="7" t="n"/>
      <c r="U1598" s="7">
        <f>IF($C1598="","",S1598*T1598)</f>
        <v/>
      </c>
      <c r="X1598">
        <f>IF($C1598="","",IF($AM1598=1,0,IF($AL1598=1,Settings!$C$6,Settings!$C$7))*100)</f>
        <v/>
      </c>
      <c r="AB1598" s="7" t="n"/>
      <c r="AE1598" s="11" t="n"/>
      <c r="AG1598" s="7">
        <f>IF($C1598="","",U1598*X1598/100)</f>
        <v/>
      </c>
      <c r="AH1598" s="7">
        <f>IF($C1598="","",U1598-AG1598)</f>
        <v/>
      </c>
      <c r="AI1598" s="7">
        <f>IF($C1598="","",AH1598-M1598)</f>
        <v/>
      </c>
      <c r="AJ1598">
        <f>IF($C1598="","",IF(COUNTIF($C$2:$C1598,$C1598)=1,1,0))</f>
        <v/>
      </c>
      <c r="AK1598">
        <f>IF($AJ1598=1,SUMPRODUCT(--($AN$2:$AN$4001&lt;$AN1598))+1,"")</f>
        <v/>
      </c>
      <c r="AL1598">
        <f>IF($C1598="","",IF(OR($Q1598=TRUE(),$Q1598="TRUE"),1,0))</f>
        <v/>
      </c>
      <c r="AM1598">
        <f>IF($C1598="","",IF($W1598="Yes",1,0))</f>
        <v/>
      </c>
      <c r="AN1598">
        <f>IF($AJ1598=1,IFERROR(IF(VALUE($C1598)&lt;100000000,VALUE($C1598),1000000000),IFERROR(IF(VALUE(MID($C1598,2,20))&lt;100000000,VALUE(MID($C1598,2,20)),1000000000),1000000000))+ROW()/100000,"")</f>
        <v/>
      </c>
    </row>
    <row r="1599">
      <c r="E1599" s="11" t="n"/>
      <c r="M1599" s="7">
        <f>IF($C1599="","",L1599*U1599/100)</f>
        <v/>
      </c>
      <c r="N1599" s="7" t="n"/>
      <c r="T1599" s="7" t="n"/>
      <c r="U1599" s="7">
        <f>IF($C1599="","",S1599*T1599)</f>
        <v/>
      </c>
      <c r="X1599">
        <f>IF($C1599="","",IF($AM1599=1,0,IF($AL1599=1,Settings!$C$6,Settings!$C$7))*100)</f>
        <v/>
      </c>
      <c r="AB1599" s="7" t="n"/>
      <c r="AE1599" s="11" t="n"/>
      <c r="AG1599" s="7">
        <f>IF($C1599="","",U1599*X1599/100)</f>
        <v/>
      </c>
      <c r="AH1599" s="7">
        <f>IF($C1599="","",U1599-AG1599)</f>
        <v/>
      </c>
      <c r="AI1599" s="7">
        <f>IF($C1599="","",AH1599-M1599)</f>
        <v/>
      </c>
      <c r="AJ1599">
        <f>IF($C1599="","",IF(COUNTIF($C$2:$C1599,$C1599)=1,1,0))</f>
        <v/>
      </c>
      <c r="AK1599">
        <f>IF($AJ1599=1,SUMPRODUCT(--($AN$2:$AN$4001&lt;$AN1599))+1,"")</f>
        <v/>
      </c>
      <c r="AL1599">
        <f>IF($C1599="","",IF(OR($Q1599=TRUE(),$Q1599="TRUE"),1,0))</f>
        <v/>
      </c>
      <c r="AM1599">
        <f>IF($C1599="","",IF($W1599="Yes",1,0))</f>
        <v/>
      </c>
      <c r="AN1599">
        <f>IF($AJ1599=1,IFERROR(IF(VALUE($C1599)&lt;100000000,VALUE($C1599),1000000000),IFERROR(IF(VALUE(MID($C1599,2,20))&lt;100000000,VALUE(MID($C1599,2,20)),1000000000),1000000000))+ROW()/100000,"")</f>
        <v/>
      </c>
    </row>
    <row r="1600">
      <c r="E1600" s="11" t="n"/>
      <c r="M1600" s="7">
        <f>IF($C1600="","",L1600*U1600/100)</f>
        <v/>
      </c>
      <c r="N1600" s="7" t="n"/>
      <c r="T1600" s="7" t="n"/>
      <c r="U1600" s="7">
        <f>IF($C1600="","",S1600*T1600)</f>
        <v/>
      </c>
      <c r="X1600">
        <f>IF($C1600="","",IF($AM1600=1,0,IF($AL1600=1,Settings!$C$6,Settings!$C$7))*100)</f>
        <v/>
      </c>
      <c r="AB1600" s="7" t="n"/>
      <c r="AE1600" s="11" t="n"/>
      <c r="AG1600" s="7">
        <f>IF($C1600="","",U1600*X1600/100)</f>
        <v/>
      </c>
      <c r="AH1600" s="7">
        <f>IF($C1600="","",U1600-AG1600)</f>
        <v/>
      </c>
      <c r="AI1600" s="7">
        <f>IF($C1600="","",AH1600-M1600)</f>
        <v/>
      </c>
      <c r="AJ1600">
        <f>IF($C1600="","",IF(COUNTIF($C$2:$C1600,$C1600)=1,1,0))</f>
        <v/>
      </c>
      <c r="AK1600">
        <f>IF($AJ1600=1,SUMPRODUCT(--($AN$2:$AN$4001&lt;$AN1600))+1,"")</f>
        <v/>
      </c>
      <c r="AL1600">
        <f>IF($C1600="","",IF(OR($Q1600=TRUE(),$Q1600="TRUE"),1,0))</f>
        <v/>
      </c>
      <c r="AM1600">
        <f>IF($C1600="","",IF($W1600="Yes",1,0))</f>
        <v/>
      </c>
      <c r="AN1600">
        <f>IF($AJ1600=1,IFERROR(IF(VALUE($C1600)&lt;100000000,VALUE($C1600),1000000000),IFERROR(IF(VALUE(MID($C1600,2,20))&lt;100000000,VALUE(MID($C1600,2,20)),1000000000),1000000000))+ROW()/100000,"")</f>
        <v/>
      </c>
    </row>
    <row r="1601">
      <c r="E1601" s="11" t="n"/>
      <c r="M1601" s="7">
        <f>IF($C1601="","",L1601*U1601/100)</f>
        <v/>
      </c>
      <c r="N1601" s="7" t="n"/>
      <c r="T1601" s="7" t="n"/>
      <c r="U1601" s="7">
        <f>IF($C1601="","",S1601*T1601)</f>
        <v/>
      </c>
      <c r="X1601">
        <f>IF($C1601="","",IF($AM1601=1,0,IF($AL1601=1,Settings!$C$6,Settings!$C$7))*100)</f>
        <v/>
      </c>
      <c r="AB1601" s="7" t="n"/>
      <c r="AE1601" s="11" t="n"/>
      <c r="AG1601" s="7">
        <f>IF($C1601="","",U1601*X1601/100)</f>
        <v/>
      </c>
      <c r="AH1601" s="7">
        <f>IF($C1601="","",U1601-AG1601)</f>
        <v/>
      </c>
      <c r="AI1601" s="7">
        <f>IF($C1601="","",AH1601-M1601)</f>
        <v/>
      </c>
      <c r="AJ1601">
        <f>IF($C1601="","",IF(COUNTIF($C$2:$C1601,$C1601)=1,1,0))</f>
        <v/>
      </c>
      <c r="AK1601">
        <f>IF($AJ1601=1,SUMPRODUCT(--($AN$2:$AN$4001&lt;$AN1601))+1,"")</f>
        <v/>
      </c>
      <c r="AL1601">
        <f>IF($C1601="","",IF(OR($Q1601=TRUE(),$Q1601="TRUE"),1,0))</f>
        <v/>
      </c>
      <c r="AM1601">
        <f>IF($C1601="","",IF($W1601="Yes",1,0))</f>
        <v/>
      </c>
      <c r="AN1601">
        <f>IF($AJ1601=1,IFERROR(IF(VALUE($C1601)&lt;100000000,VALUE($C1601),1000000000),IFERROR(IF(VALUE(MID($C1601,2,20))&lt;100000000,VALUE(MID($C1601,2,20)),1000000000),1000000000))+ROW()/100000,"")</f>
        <v/>
      </c>
    </row>
    <row r="1602">
      <c r="E1602" s="11" t="n"/>
      <c r="M1602" s="7">
        <f>IF($C1602="","",L1602*U1602/100)</f>
        <v/>
      </c>
      <c r="N1602" s="7" t="n"/>
      <c r="T1602" s="7" t="n"/>
      <c r="U1602" s="7">
        <f>IF($C1602="","",S1602*T1602)</f>
        <v/>
      </c>
      <c r="X1602">
        <f>IF($C1602="","",IF($AM1602=1,0,IF($AL1602=1,Settings!$C$6,Settings!$C$7))*100)</f>
        <v/>
      </c>
      <c r="AB1602" s="7" t="n"/>
      <c r="AE1602" s="11" t="n"/>
      <c r="AG1602" s="7">
        <f>IF($C1602="","",U1602*X1602/100)</f>
        <v/>
      </c>
      <c r="AH1602" s="7">
        <f>IF($C1602="","",U1602-AG1602)</f>
        <v/>
      </c>
      <c r="AI1602" s="7">
        <f>IF($C1602="","",AH1602-M1602)</f>
        <v/>
      </c>
      <c r="AJ1602">
        <f>IF($C1602="","",IF(COUNTIF($C$2:$C1602,$C1602)=1,1,0))</f>
        <v/>
      </c>
      <c r="AK1602">
        <f>IF($AJ1602=1,SUMPRODUCT(--($AN$2:$AN$4001&lt;$AN1602))+1,"")</f>
        <v/>
      </c>
      <c r="AL1602">
        <f>IF($C1602="","",IF(OR($Q1602=TRUE(),$Q1602="TRUE"),1,0))</f>
        <v/>
      </c>
      <c r="AM1602">
        <f>IF($C1602="","",IF($W1602="Yes",1,0))</f>
        <v/>
      </c>
      <c r="AN1602">
        <f>IF($AJ1602=1,IFERROR(IF(VALUE($C1602)&lt;100000000,VALUE($C1602),1000000000),IFERROR(IF(VALUE(MID($C1602,2,20))&lt;100000000,VALUE(MID($C1602,2,20)),1000000000),1000000000))+ROW()/100000,"")</f>
        <v/>
      </c>
    </row>
    <row r="1603">
      <c r="E1603" s="11" t="n"/>
      <c r="M1603" s="7">
        <f>IF($C1603="","",L1603*U1603/100)</f>
        <v/>
      </c>
      <c r="N1603" s="7" t="n"/>
      <c r="T1603" s="7" t="n"/>
      <c r="U1603" s="7">
        <f>IF($C1603="","",S1603*T1603)</f>
        <v/>
      </c>
      <c r="X1603">
        <f>IF($C1603="","",IF($AM1603=1,0,IF($AL1603=1,Settings!$C$6,Settings!$C$7))*100)</f>
        <v/>
      </c>
      <c r="AB1603" s="7" t="n"/>
      <c r="AE1603" s="11" t="n"/>
      <c r="AG1603" s="7">
        <f>IF($C1603="","",U1603*X1603/100)</f>
        <v/>
      </c>
      <c r="AH1603" s="7">
        <f>IF($C1603="","",U1603-AG1603)</f>
        <v/>
      </c>
      <c r="AI1603" s="7">
        <f>IF($C1603="","",AH1603-M1603)</f>
        <v/>
      </c>
      <c r="AJ1603">
        <f>IF($C1603="","",IF(COUNTIF($C$2:$C1603,$C1603)=1,1,0))</f>
        <v/>
      </c>
      <c r="AK1603">
        <f>IF($AJ1603=1,SUMPRODUCT(--($AN$2:$AN$4001&lt;$AN1603))+1,"")</f>
        <v/>
      </c>
      <c r="AL1603">
        <f>IF($C1603="","",IF(OR($Q1603=TRUE(),$Q1603="TRUE"),1,0))</f>
        <v/>
      </c>
      <c r="AM1603">
        <f>IF($C1603="","",IF($W1603="Yes",1,0))</f>
        <v/>
      </c>
      <c r="AN1603">
        <f>IF($AJ1603=1,IFERROR(IF(VALUE($C1603)&lt;100000000,VALUE($C1603),1000000000),IFERROR(IF(VALUE(MID($C1603,2,20))&lt;100000000,VALUE(MID($C1603,2,20)),1000000000),1000000000))+ROW()/100000,"")</f>
        <v/>
      </c>
    </row>
    <row r="1604">
      <c r="E1604" s="11" t="n"/>
      <c r="M1604" s="7">
        <f>IF($C1604="","",L1604*U1604/100)</f>
        <v/>
      </c>
      <c r="N1604" s="7" t="n"/>
      <c r="T1604" s="7" t="n"/>
      <c r="U1604" s="7">
        <f>IF($C1604="","",S1604*T1604)</f>
        <v/>
      </c>
      <c r="X1604">
        <f>IF($C1604="","",IF($AM1604=1,0,IF($AL1604=1,Settings!$C$6,Settings!$C$7))*100)</f>
        <v/>
      </c>
      <c r="AB1604" s="7" t="n"/>
      <c r="AE1604" s="11" t="n"/>
      <c r="AG1604" s="7">
        <f>IF($C1604="","",U1604*X1604/100)</f>
        <v/>
      </c>
      <c r="AH1604" s="7">
        <f>IF($C1604="","",U1604-AG1604)</f>
        <v/>
      </c>
      <c r="AI1604" s="7">
        <f>IF($C1604="","",AH1604-M1604)</f>
        <v/>
      </c>
      <c r="AJ1604">
        <f>IF($C1604="","",IF(COUNTIF($C$2:$C1604,$C1604)=1,1,0))</f>
        <v/>
      </c>
      <c r="AK1604">
        <f>IF($AJ1604=1,SUMPRODUCT(--($AN$2:$AN$4001&lt;$AN1604))+1,"")</f>
        <v/>
      </c>
      <c r="AL1604">
        <f>IF($C1604="","",IF(OR($Q1604=TRUE(),$Q1604="TRUE"),1,0))</f>
        <v/>
      </c>
      <c r="AM1604">
        <f>IF($C1604="","",IF($W1604="Yes",1,0))</f>
        <v/>
      </c>
      <c r="AN1604">
        <f>IF($AJ1604=1,IFERROR(IF(VALUE($C1604)&lt;100000000,VALUE($C1604),1000000000),IFERROR(IF(VALUE(MID($C1604,2,20))&lt;100000000,VALUE(MID($C1604,2,20)),1000000000),1000000000))+ROW()/100000,"")</f>
        <v/>
      </c>
    </row>
    <row r="1605">
      <c r="E1605" s="11" t="n"/>
      <c r="M1605" s="7">
        <f>IF($C1605="","",L1605*U1605/100)</f>
        <v/>
      </c>
      <c r="N1605" s="7" t="n"/>
      <c r="T1605" s="7" t="n"/>
      <c r="U1605" s="7">
        <f>IF($C1605="","",S1605*T1605)</f>
        <v/>
      </c>
      <c r="X1605">
        <f>IF($C1605="","",IF($AM1605=1,0,IF($AL1605=1,Settings!$C$6,Settings!$C$7))*100)</f>
        <v/>
      </c>
      <c r="AB1605" s="7" t="n"/>
      <c r="AE1605" s="11" t="n"/>
      <c r="AG1605" s="7">
        <f>IF($C1605="","",U1605*X1605/100)</f>
        <v/>
      </c>
      <c r="AH1605" s="7">
        <f>IF($C1605="","",U1605-AG1605)</f>
        <v/>
      </c>
      <c r="AI1605" s="7">
        <f>IF($C1605="","",AH1605-M1605)</f>
        <v/>
      </c>
      <c r="AJ1605">
        <f>IF($C1605="","",IF(COUNTIF($C$2:$C1605,$C1605)=1,1,0))</f>
        <v/>
      </c>
      <c r="AK1605">
        <f>IF($AJ1605=1,SUMPRODUCT(--($AN$2:$AN$4001&lt;$AN1605))+1,"")</f>
        <v/>
      </c>
      <c r="AL1605">
        <f>IF($C1605="","",IF(OR($Q1605=TRUE(),$Q1605="TRUE"),1,0))</f>
        <v/>
      </c>
      <c r="AM1605">
        <f>IF($C1605="","",IF($W1605="Yes",1,0))</f>
        <v/>
      </c>
      <c r="AN1605">
        <f>IF($AJ1605=1,IFERROR(IF(VALUE($C1605)&lt;100000000,VALUE($C1605),1000000000),IFERROR(IF(VALUE(MID($C1605,2,20))&lt;100000000,VALUE(MID($C1605,2,20)),1000000000),1000000000))+ROW()/100000,"")</f>
        <v/>
      </c>
    </row>
    <row r="1606">
      <c r="E1606" s="11" t="n"/>
      <c r="M1606" s="7">
        <f>IF($C1606="","",L1606*U1606/100)</f>
        <v/>
      </c>
      <c r="N1606" s="7" t="n"/>
      <c r="T1606" s="7" t="n"/>
      <c r="U1606" s="7">
        <f>IF($C1606="","",S1606*T1606)</f>
        <v/>
      </c>
      <c r="X1606">
        <f>IF($C1606="","",IF($AM1606=1,0,IF($AL1606=1,Settings!$C$6,Settings!$C$7))*100)</f>
        <v/>
      </c>
      <c r="AB1606" s="7" t="n"/>
      <c r="AE1606" s="11" t="n"/>
      <c r="AG1606" s="7">
        <f>IF($C1606="","",U1606*X1606/100)</f>
        <v/>
      </c>
      <c r="AH1606" s="7">
        <f>IF($C1606="","",U1606-AG1606)</f>
        <v/>
      </c>
      <c r="AI1606" s="7">
        <f>IF($C1606="","",AH1606-M1606)</f>
        <v/>
      </c>
      <c r="AJ1606">
        <f>IF($C1606="","",IF(COUNTIF($C$2:$C1606,$C1606)=1,1,0))</f>
        <v/>
      </c>
      <c r="AK1606">
        <f>IF($AJ1606=1,SUMPRODUCT(--($AN$2:$AN$4001&lt;$AN1606))+1,"")</f>
        <v/>
      </c>
      <c r="AL1606">
        <f>IF($C1606="","",IF(OR($Q1606=TRUE(),$Q1606="TRUE"),1,0))</f>
        <v/>
      </c>
      <c r="AM1606">
        <f>IF($C1606="","",IF($W1606="Yes",1,0))</f>
        <v/>
      </c>
      <c r="AN1606">
        <f>IF($AJ1606=1,IFERROR(IF(VALUE($C1606)&lt;100000000,VALUE($C1606),1000000000),IFERROR(IF(VALUE(MID($C1606,2,20))&lt;100000000,VALUE(MID($C1606,2,20)),1000000000),1000000000))+ROW()/100000,"")</f>
        <v/>
      </c>
    </row>
    <row r="1607">
      <c r="E1607" s="11" t="n"/>
      <c r="M1607" s="7">
        <f>IF($C1607="","",L1607*U1607/100)</f>
        <v/>
      </c>
      <c r="N1607" s="7" t="n"/>
      <c r="T1607" s="7" t="n"/>
      <c r="U1607" s="7">
        <f>IF($C1607="","",S1607*T1607)</f>
        <v/>
      </c>
      <c r="X1607">
        <f>IF($C1607="","",IF($AM1607=1,0,IF($AL1607=1,Settings!$C$6,Settings!$C$7))*100)</f>
        <v/>
      </c>
      <c r="AB1607" s="7" t="n"/>
      <c r="AE1607" s="11" t="n"/>
      <c r="AG1607" s="7">
        <f>IF($C1607="","",U1607*X1607/100)</f>
        <v/>
      </c>
      <c r="AH1607" s="7">
        <f>IF($C1607="","",U1607-AG1607)</f>
        <v/>
      </c>
      <c r="AI1607" s="7">
        <f>IF($C1607="","",AH1607-M1607)</f>
        <v/>
      </c>
      <c r="AJ1607">
        <f>IF($C1607="","",IF(COUNTIF($C$2:$C1607,$C1607)=1,1,0))</f>
        <v/>
      </c>
      <c r="AK1607">
        <f>IF($AJ1607=1,SUMPRODUCT(--($AN$2:$AN$4001&lt;$AN1607))+1,"")</f>
        <v/>
      </c>
      <c r="AL1607">
        <f>IF($C1607="","",IF(OR($Q1607=TRUE(),$Q1607="TRUE"),1,0))</f>
        <v/>
      </c>
      <c r="AM1607">
        <f>IF($C1607="","",IF($W1607="Yes",1,0))</f>
        <v/>
      </c>
      <c r="AN1607">
        <f>IF($AJ1607=1,IFERROR(IF(VALUE($C1607)&lt;100000000,VALUE($C1607),1000000000),IFERROR(IF(VALUE(MID($C1607,2,20))&lt;100000000,VALUE(MID($C1607,2,20)),1000000000),1000000000))+ROW()/100000,"")</f>
        <v/>
      </c>
    </row>
    <row r="1608">
      <c r="E1608" s="11" t="n"/>
      <c r="M1608" s="7">
        <f>IF($C1608="","",L1608*U1608/100)</f>
        <v/>
      </c>
      <c r="N1608" s="7" t="n"/>
      <c r="T1608" s="7" t="n"/>
      <c r="U1608" s="7">
        <f>IF($C1608="","",S1608*T1608)</f>
        <v/>
      </c>
      <c r="X1608">
        <f>IF($C1608="","",IF($AM1608=1,0,IF($AL1608=1,Settings!$C$6,Settings!$C$7))*100)</f>
        <v/>
      </c>
      <c r="AB1608" s="7" t="n"/>
      <c r="AE1608" s="11" t="n"/>
      <c r="AG1608" s="7">
        <f>IF($C1608="","",U1608*X1608/100)</f>
        <v/>
      </c>
      <c r="AH1608" s="7">
        <f>IF($C1608="","",U1608-AG1608)</f>
        <v/>
      </c>
      <c r="AI1608" s="7">
        <f>IF($C1608="","",AH1608-M1608)</f>
        <v/>
      </c>
      <c r="AJ1608">
        <f>IF($C1608="","",IF(COUNTIF($C$2:$C1608,$C1608)=1,1,0))</f>
        <v/>
      </c>
      <c r="AK1608">
        <f>IF($AJ1608=1,SUMPRODUCT(--($AN$2:$AN$4001&lt;$AN1608))+1,"")</f>
        <v/>
      </c>
      <c r="AL1608">
        <f>IF($C1608="","",IF(OR($Q1608=TRUE(),$Q1608="TRUE"),1,0))</f>
        <v/>
      </c>
      <c r="AM1608">
        <f>IF($C1608="","",IF($W1608="Yes",1,0))</f>
        <v/>
      </c>
      <c r="AN1608">
        <f>IF($AJ1608=1,IFERROR(IF(VALUE($C1608)&lt;100000000,VALUE($C1608),1000000000),IFERROR(IF(VALUE(MID($C1608,2,20))&lt;100000000,VALUE(MID($C1608,2,20)),1000000000),1000000000))+ROW()/100000,"")</f>
        <v/>
      </c>
    </row>
    <row r="1609">
      <c r="E1609" s="11" t="n"/>
      <c r="M1609" s="7">
        <f>IF($C1609="","",L1609*U1609/100)</f>
        <v/>
      </c>
      <c r="N1609" s="7" t="n"/>
      <c r="T1609" s="7" t="n"/>
      <c r="U1609" s="7">
        <f>IF($C1609="","",S1609*T1609)</f>
        <v/>
      </c>
      <c r="X1609">
        <f>IF($C1609="","",IF($AM1609=1,0,IF($AL1609=1,Settings!$C$6,Settings!$C$7))*100)</f>
        <v/>
      </c>
      <c r="AB1609" s="7" t="n"/>
      <c r="AE1609" s="11" t="n"/>
      <c r="AG1609" s="7">
        <f>IF($C1609="","",U1609*X1609/100)</f>
        <v/>
      </c>
      <c r="AH1609" s="7">
        <f>IF($C1609="","",U1609-AG1609)</f>
        <v/>
      </c>
      <c r="AI1609" s="7">
        <f>IF($C1609="","",AH1609-M1609)</f>
        <v/>
      </c>
      <c r="AJ1609">
        <f>IF($C1609="","",IF(COUNTIF($C$2:$C1609,$C1609)=1,1,0))</f>
        <v/>
      </c>
      <c r="AK1609">
        <f>IF($AJ1609=1,SUMPRODUCT(--($AN$2:$AN$4001&lt;$AN1609))+1,"")</f>
        <v/>
      </c>
      <c r="AL1609">
        <f>IF($C1609="","",IF(OR($Q1609=TRUE(),$Q1609="TRUE"),1,0))</f>
        <v/>
      </c>
      <c r="AM1609">
        <f>IF($C1609="","",IF($W1609="Yes",1,0))</f>
        <v/>
      </c>
      <c r="AN1609">
        <f>IF($AJ1609=1,IFERROR(IF(VALUE($C1609)&lt;100000000,VALUE($C1609),1000000000),IFERROR(IF(VALUE(MID($C1609,2,20))&lt;100000000,VALUE(MID($C1609,2,20)),1000000000),1000000000))+ROW()/100000,"")</f>
        <v/>
      </c>
    </row>
    <row r="1610">
      <c r="E1610" s="11" t="n"/>
      <c r="M1610" s="7">
        <f>IF($C1610="","",L1610*U1610/100)</f>
        <v/>
      </c>
      <c r="N1610" s="7" t="n"/>
      <c r="T1610" s="7" t="n"/>
      <c r="U1610" s="7">
        <f>IF($C1610="","",S1610*T1610)</f>
        <v/>
      </c>
      <c r="X1610">
        <f>IF($C1610="","",IF($AM1610=1,0,IF($AL1610=1,Settings!$C$6,Settings!$C$7))*100)</f>
        <v/>
      </c>
      <c r="AB1610" s="7" t="n"/>
      <c r="AE1610" s="11" t="n"/>
      <c r="AG1610" s="7">
        <f>IF($C1610="","",U1610*X1610/100)</f>
        <v/>
      </c>
      <c r="AH1610" s="7">
        <f>IF($C1610="","",U1610-AG1610)</f>
        <v/>
      </c>
      <c r="AI1610" s="7">
        <f>IF($C1610="","",AH1610-M1610)</f>
        <v/>
      </c>
      <c r="AJ1610">
        <f>IF($C1610="","",IF(COUNTIF($C$2:$C1610,$C1610)=1,1,0))</f>
        <v/>
      </c>
      <c r="AK1610">
        <f>IF($AJ1610=1,SUMPRODUCT(--($AN$2:$AN$4001&lt;$AN1610))+1,"")</f>
        <v/>
      </c>
      <c r="AL1610">
        <f>IF($C1610="","",IF(OR($Q1610=TRUE(),$Q1610="TRUE"),1,0))</f>
        <v/>
      </c>
      <c r="AM1610">
        <f>IF($C1610="","",IF($W1610="Yes",1,0))</f>
        <v/>
      </c>
      <c r="AN1610">
        <f>IF($AJ1610=1,IFERROR(IF(VALUE($C1610)&lt;100000000,VALUE($C1610),1000000000),IFERROR(IF(VALUE(MID($C1610,2,20))&lt;100000000,VALUE(MID($C1610,2,20)),1000000000),1000000000))+ROW()/100000,"")</f>
        <v/>
      </c>
    </row>
    <row r="1611">
      <c r="E1611" s="11" t="n"/>
      <c r="M1611" s="7">
        <f>IF($C1611="","",L1611*U1611/100)</f>
        <v/>
      </c>
      <c r="N1611" s="7" t="n"/>
      <c r="T1611" s="7" t="n"/>
      <c r="U1611" s="7">
        <f>IF($C1611="","",S1611*T1611)</f>
        <v/>
      </c>
      <c r="X1611">
        <f>IF($C1611="","",IF($AM1611=1,0,IF($AL1611=1,Settings!$C$6,Settings!$C$7))*100)</f>
        <v/>
      </c>
      <c r="AB1611" s="7" t="n"/>
      <c r="AE1611" s="11" t="n"/>
      <c r="AG1611" s="7">
        <f>IF($C1611="","",U1611*X1611/100)</f>
        <v/>
      </c>
      <c r="AH1611" s="7">
        <f>IF($C1611="","",U1611-AG1611)</f>
        <v/>
      </c>
      <c r="AI1611" s="7">
        <f>IF($C1611="","",AH1611-M1611)</f>
        <v/>
      </c>
      <c r="AJ1611">
        <f>IF($C1611="","",IF(COUNTIF($C$2:$C1611,$C1611)=1,1,0))</f>
        <v/>
      </c>
      <c r="AK1611">
        <f>IF($AJ1611=1,SUMPRODUCT(--($AN$2:$AN$4001&lt;$AN1611))+1,"")</f>
        <v/>
      </c>
      <c r="AL1611">
        <f>IF($C1611="","",IF(OR($Q1611=TRUE(),$Q1611="TRUE"),1,0))</f>
        <v/>
      </c>
      <c r="AM1611">
        <f>IF($C1611="","",IF($W1611="Yes",1,0))</f>
        <v/>
      </c>
      <c r="AN1611">
        <f>IF($AJ1611=1,IFERROR(IF(VALUE($C1611)&lt;100000000,VALUE($C1611),1000000000),IFERROR(IF(VALUE(MID($C1611,2,20))&lt;100000000,VALUE(MID($C1611,2,20)),1000000000),1000000000))+ROW()/100000,"")</f>
        <v/>
      </c>
    </row>
    <row r="1612">
      <c r="E1612" s="11" t="n"/>
      <c r="M1612" s="7">
        <f>IF($C1612="","",L1612*U1612/100)</f>
        <v/>
      </c>
      <c r="N1612" s="7" t="n"/>
      <c r="T1612" s="7" t="n"/>
      <c r="U1612" s="7">
        <f>IF($C1612="","",S1612*T1612)</f>
        <v/>
      </c>
      <c r="X1612">
        <f>IF($C1612="","",IF($AM1612=1,0,IF($AL1612=1,Settings!$C$6,Settings!$C$7))*100)</f>
        <v/>
      </c>
      <c r="AB1612" s="7" t="n"/>
      <c r="AE1612" s="11" t="n"/>
      <c r="AG1612" s="7">
        <f>IF($C1612="","",U1612*X1612/100)</f>
        <v/>
      </c>
      <c r="AH1612" s="7">
        <f>IF($C1612="","",U1612-AG1612)</f>
        <v/>
      </c>
      <c r="AI1612" s="7">
        <f>IF($C1612="","",AH1612-M1612)</f>
        <v/>
      </c>
      <c r="AJ1612">
        <f>IF($C1612="","",IF(COUNTIF($C$2:$C1612,$C1612)=1,1,0))</f>
        <v/>
      </c>
      <c r="AK1612">
        <f>IF($AJ1612=1,SUMPRODUCT(--($AN$2:$AN$4001&lt;$AN1612))+1,"")</f>
        <v/>
      </c>
      <c r="AL1612">
        <f>IF($C1612="","",IF(OR($Q1612=TRUE(),$Q1612="TRUE"),1,0))</f>
        <v/>
      </c>
      <c r="AM1612">
        <f>IF($C1612="","",IF($W1612="Yes",1,0))</f>
        <v/>
      </c>
      <c r="AN1612">
        <f>IF($AJ1612=1,IFERROR(IF(VALUE($C1612)&lt;100000000,VALUE($C1612),1000000000),IFERROR(IF(VALUE(MID($C1612,2,20))&lt;100000000,VALUE(MID($C1612,2,20)),1000000000),1000000000))+ROW()/100000,"")</f>
        <v/>
      </c>
    </row>
    <row r="1613">
      <c r="E1613" s="11" t="n"/>
      <c r="M1613" s="7">
        <f>IF($C1613="","",L1613*U1613/100)</f>
        <v/>
      </c>
      <c r="N1613" s="7" t="n"/>
      <c r="T1613" s="7" t="n"/>
      <c r="U1613" s="7">
        <f>IF($C1613="","",S1613*T1613)</f>
        <v/>
      </c>
      <c r="X1613">
        <f>IF($C1613="","",IF($AM1613=1,0,IF($AL1613=1,Settings!$C$6,Settings!$C$7))*100)</f>
        <v/>
      </c>
      <c r="AB1613" s="7" t="n"/>
      <c r="AE1613" s="11" t="n"/>
      <c r="AG1613" s="7">
        <f>IF($C1613="","",U1613*X1613/100)</f>
        <v/>
      </c>
      <c r="AH1613" s="7">
        <f>IF($C1613="","",U1613-AG1613)</f>
        <v/>
      </c>
      <c r="AI1613" s="7">
        <f>IF($C1613="","",AH1613-M1613)</f>
        <v/>
      </c>
      <c r="AJ1613">
        <f>IF($C1613="","",IF(COUNTIF($C$2:$C1613,$C1613)=1,1,0))</f>
        <v/>
      </c>
      <c r="AK1613">
        <f>IF($AJ1613=1,SUMPRODUCT(--($AN$2:$AN$4001&lt;$AN1613))+1,"")</f>
        <v/>
      </c>
      <c r="AL1613">
        <f>IF($C1613="","",IF(OR($Q1613=TRUE(),$Q1613="TRUE"),1,0))</f>
        <v/>
      </c>
      <c r="AM1613">
        <f>IF($C1613="","",IF($W1613="Yes",1,0))</f>
        <v/>
      </c>
      <c r="AN1613">
        <f>IF($AJ1613=1,IFERROR(IF(VALUE($C1613)&lt;100000000,VALUE($C1613),1000000000),IFERROR(IF(VALUE(MID($C1613,2,20))&lt;100000000,VALUE(MID($C1613,2,20)),1000000000),1000000000))+ROW()/100000,"")</f>
        <v/>
      </c>
    </row>
    <row r="1614">
      <c r="E1614" s="11" t="n"/>
      <c r="M1614" s="7">
        <f>IF($C1614="","",L1614*U1614/100)</f>
        <v/>
      </c>
      <c r="N1614" s="7" t="n"/>
      <c r="T1614" s="7" t="n"/>
      <c r="U1614" s="7">
        <f>IF($C1614="","",S1614*T1614)</f>
        <v/>
      </c>
      <c r="X1614">
        <f>IF($C1614="","",IF($AM1614=1,0,IF($AL1614=1,Settings!$C$6,Settings!$C$7))*100)</f>
        <v/>
      </c>
      <c r="AB1614" s="7" t="n"/>
      <c r="AE1614" s="11" t="n"/>
      <c r="AG1614" s="7">
        <f>IF($C1614="","",U1614*X1614/100)</f>
        <v/>
      </c>
      <c r="AH1614" s="7">
        <f>IF($C1614="","",U1614-AG1614)</f>
        <v/>
      </c>
      <c r="AI1614" s="7">
        <f>IF($C1614="","",AH1614-M1614)</f>
        <v/>
      </c>
      <c r="AJ1614">
        <f>IF($C1614="","",IF(COUNTIF($C$2:$C1614,$C1614)=1,1,0))</f>
        <v/>
      </c>
      <c r="AK1614">
        <f>IF($AJ1614=1,SUMPRODUCT(--($AN$2:$AN$4001&lt;$AN1614))+1,"")</f>
        <v/>
      </c>
      <c r="AL1614">
        <f>IF($C1614="","",IF(OR($Q1614=TRUE(),$Q1614="TRUE"),1,0))</f>
        <v/>
      </c>
      <c r="AM1614">
        <f>IF($C1614="","",IF($W1614="Yes",1,0))</f>
        <v/>
      </c>
      <c r="AN1614">
        <f>IF($AJ1614=1,IFERROR(IF(VALUE($C1614)&lt;100000000,VALUE($C1614),1000000000),IFERROR(IF(VALUE(MID($C1614,2,20))&lt;100000000,VALUE(MID($C1614,2,20)),1000000000),1000000000))+ROW()/100000,"")</f>
        <v/>
      </c>
    </row>
    <row r="1615">
      <c r="E1615" s="11" t="n"/>
      <c r="M1615" s="7">
        <f>IF($C1615="","",L1615*U1615/100)</f>
        <v/>
      </c>
      <c r="N1615" s="7" t="n"/>
      <c r="T1615" s="7" t="n"/>
      <c r="U1615" s="7">
        <f>IF($C1615="","",S1615*T1615)</f>
        <v/>
      </c>
      <c r="X1615">
        <f>IF($C1615="","",IF($AM1615=1,0,IF($AL1615=1,Settings!$C$6,Settings!$C$7))*100)</f>
        <v/>
      </c>
      <c r="AB1615" s="7" t="n"/>
      <c r="AE1615" s="11" t="n"/>
      <c r="AG1615" s="7">
        <f>IF($C1615="","",U1615*X1615/100)</f>
        <v/>
      </c>
      <c r="AH1615" s="7">
        <f>IF($C1615="","",U1615-AG1615)</f>
        <v/>
      </c>
      <c r="AI1615" s="7">
        <f>IF($C1615="","",AH1615-M1615)</f>
        <v/>
      </c>
      <c r="AJ1615">
        <f>IF($C1615="","",IF(COUNTIF($C$2:$C1615,$C1615)=1,1,0))</f>
        <v/>
      </c>
      <c r="AK1615">
        <f>IF($AJ1615=1,SUMPRODUCT(--($AN$2:$AN$4001&lt;$AN1615))+1,"")</f>
        <v/>
      </c>
      <c r="AL1615">
        <f>IF($C1615="","",IF(OR($Q1615=TRUE(),$Q1615="TRUE"),1,0))</f>
        <v/>
      </c>
      <c r="AM1615">
        <f>IF($C1615="","",IF($W1615="Yes",1,0))</f>
        <v/>
      </c>
      <c r="AN1615">
        <f>IF($AJ1615=1,IFERROR(IF(VALUE($C1615)&lt;100000000,VALUE($C1615),1000000000),IFERROR(IF(VALUE(MID($C1615,2,20))&lt;100000000,VALUE(MID($C1615,2,20)),1000000000),1000000000))+ROW()/100000,"")</f>
        <v/>
      </c>
    </row>
    <row r="1616">
      <c r="E1616" s="11" t="n"/>
      <c r="M1616" s="7">
        <f>IF($C1616="","",L1616*U1616/100)</f>
        <v/>
      </c>
      <c r="N1616" s="7" t="n"/>
      <c r="T1616" s="7" t="n"/>
      <c r="U1616" s="7">
        <f>IF($C1616="","",S1616*T1616)</f>
        <v/>
      </c>
      <c r="X1616">
        <f>IF($C1616="","",IF($AM1616=1,0,IF($AL1616=1,Settings!$C$6,Settings!$C$7))*100)</f>
        <v/>
      </c>
      <c r="AB1616" s="7" t="n"/>
      <c r="AE1616" s="11" t="n"/>
      <c r="AG1616" s="7">
        <f>IF($C1616="","",U1616*X1616/100)</f>
        <v/>
      </c>
      <c r="AH1616" s="7">
        <f>IF($C1616="","",U1616-AG1616)</f>
        <v/>
      </c>
      <c r="AI1616" s="7">
        <f>IF($C1616="","",AH1616-M1616)</f>
        <v/>
      </c>
      <c r="AJ1616">
        <f>IF($C1616="","",IF(COUNTIF($C$2:$C1616,$C1616)=1,1,0))</f>
        <v/>
      </c>
      <c r="AK1616">
        <f>IF($AJ1616=1,SUMPRODUCT(--($AN$2:$AN$4001&lt;$AN1616))+1,"")</f>
        <v/>
      </c>
      <c r="AL1616">
        <f>IF($C1616="","",IF(OR($Q1616=TRUE(),$Q1616="TRUE"),1,0))</f>
        <v/>
      </c>
      <c r="AM1616">
        <f>IF($C1616="","",IF($W1616="Yes",1,0))</f>
        <v/>
      </c>
      <c r="AN1616">
        <f>IF($AJ1616=1,IFERROR(IF(VALUE($C1616)&lt;100000000,VALUE($C1616),1000000000),IFERROR(IF(VALUE(MID($C1616,2,20))&lt;100000000,VALUE(MID($C1616,2,20)),1000000000),1000000000))+ROW()/100000,"")</f>
        <v/>
      </c>
    </row>
    <row r="1617">
      <c r="E1617" s="11" t="n"/>
      <c r="M1617" s="7">
        <f>IF($C1617="","",L1617*U1617/100)</f>
        <v/>
      </c>
      <c r="N1617" s="7" t="n"/>
      <c r="T1617" s="7" t="n"/>
      <c r="U1617" s="7">
        <f>IF($C1617="","",S1617*T1617)</f>
        <v/>
      </c>
      <c r="X1617">
        <f>IF($C1617="","",IF($AM1617=1,0,IF($AL1617=1,Settings!$C$6,Settings!$C$7))*100)</f>
        <v/>
      </c>
      <c r="AB1617" s="7" t="n"/>
      <c r="AE1617" s="11" t="n"/>
      <c r="AG1617" s="7">
        <f>IF($C1617="","",U1617*X1617/100)</f>
        <v/>
      </c>
      <c r="AH1617" s="7">
        <f>IF($C1617="","",U1617-AG1617)</f>
        <v/>
      </c>
      <c r="AI1617" s="7">
        <f>IF($C1617="","",AH1617-M1617)</f>
        <v/>
      </c>
      <c r="AJ1617">
        <f>IF($C1617="","",IF(COUNTIF($C$2:$C1617,$C1617)=1,1,0))</f>
        <v/>
      </c>
      <c r="AK1617">
        <f>IF($AJ1617=1,SUMPRODUCT(--($AN$2:$AN$4001&lt;$AN1617))+1,"")</f>
        <v/>
      </c>
      <c r="AL1617">
        <f>IF($C1617="","",IF(OR($Q1617=TRUE(),$Q1617="TRUE"),1,0))</f>
        <v/>
      </c>
      <c r="AM1617">
        <f>IF($C1617="","",IF($W1617="Yes",1,0))</f>
        <v/>
      </c>
      <c r="AN1617">
        <f>IF($AJ1617=1,IFERROR(IF(VALUE($C1617)&lt;100000000,VALUE($C1617),1000000000),IFERROR(IF(VALUE(MID($C1617,2,20))&lt;100000000,VALUE(MID($C1617,2,20)),1000000000),1000000000))+ROW()/100000,"")</f>
        <v/>
      </c>
    </row>
    <row r="1618">
      <c r="E1618" s="11" t="n"/>
      <c r="M1618" s="7">
        <f>IF($C1618="","",L1618*U1618/100)</f>
        <v/>
      </c>
      <c r="N1618" s="7" t="n"/>
      <c r="T1618" s="7" t="n"/>
      <c r="U1618" s="7">
        <f>IF($C1618="","",S1618*T1618)</f>
        <v/>
      </c>
      <c r="X1618">
        <f>IF($C1618="","",IF($AM1618=1,0,IF($AL1618=1,Settings!$C$6,Settings!$C$7))*100)</f>
        <v/>
      </c>
      <c r="AB1618" s="7" t="n"/>
      <c r="AE1618" s="11" t="n"/>
      <c r="AG1618" s="7">
        <f>IF($C1618="","",U1618*X1618/100)</f>
        <v/>
      </c>
      <c r="AH1618" s="7">
        <f>IF($C1618="","",U1618-AG1618)</f>
        <v/>
      </c>
      <c r="AI1618" s="7">
        <f>IF($C1618="","",AH1618-M1618)</f>
        <v/>
      </c>
      <c r="AJ1618">
        <f>IF($C1618="","",IF(COUNTIF($C$2:$C1618,$C1618)=1,1,0))</f>
        <v/>
      </c>
      <c r="AK1618">
        <f>IF($AJ1618=1,SUMPRODUCT(--($AN$2:$AN$4001&lt;$AN1618))+1,"")</f>
        <v/>
      </c>
      <c r="AL1618">
        <f>IF($C1618="","",IF(OR($Q1618=TRUE(),$Q1618="TRUE"),1,0))</f>
        <v/>
      </c>
      <c r="AM1618">
        <f>IF($C1618="","",IF($W1618="Yes",1,0))</f>
        <v/>
      </c>
      <c r="AN1618">
        <f>IF($AJ1618=1,IFERROR(IF(VALUE($C1618)&lt;100000000,VALUE($C1618),1000000000),IFERROR(IF(VALUE(MID($C1618,2,20))&lt;100000000,VALUE(MID($C1618,2,20)),1000000000),1000000000))+ROW()/100000,"")</f>
        <v/>
      </c>
    </row>
    <row r="1619">
      <c r="E1619" s="11" t="n"/>
      <c r="M1619" s="7">
        <f>IF($C1619="","",L1619*U1619/100)</f>
        <v/>
      </c>
      <c r="N1619" s="7" t="n"/>
      <c r="T1619" s="7" t="n"/>
      <c r="U1619" s="7">
        <f>IF($C1619="","",S1619*T1619)</f>
        <v/>
      </c>
      <c r="X1619">
        <f>IF($C1619="","",IF($AM1619=1,0,IF($AL1619=1,Settings!$C$6,Settings!$C$7))*100)</f>
        <v/>
      </c>
      <c r="AB1619" s="7" t="n"/>
      <c r="AE1619" s="11" t="n"/>
      <c r="AG1619" s="7">
        <f>IF($C1619="","",U1619*X1619/100)</f>
        <v/>
      </c>
      <c r="AH1619" s="7">
        <f>IF($C1619="","",U1619-AG1619)</f>
        <v/>
      </c>
      <c r="AI1619" s="7">
        <f>IF($C1619="","",AH1619-M1619)</f>
        <v/>
      </c>
      <c r="AJ1619">
        <f>IF($C1619="","",IF(COUNTIF($C$2:$C1619,$C1619)=1,1,0))</f>
        <v/>
      </c>
      <c r="AK1619">
        <f>IF($AJ1619=1,SUMPRODUCT(--($AN$2:$AN$4001&lt;$AN1619))+1,"")</f>
        <v/>
      </c>
      <c r="AL1619">
        <f>IF($C1619="","",IF(OR($Q1619=TRUE(),$Q1619="TRUE"),1,0))</f>
        <v/>
      </c>
      <c r="AM1619">
        <f>IF($C1619="","",IF($W1619="Yes",1,0))</f>
        <v/>
      </c>
      <c r="AN1619">
        <f>IF($AJ1619=1,IFERROR(IF(VALUE($C1619)&lt;100000000,VALUE($C1619),1000000000),IFERROR(IF(VALUE(MID($C1619,2,20))&lt;100000000,VALUE(MID($C1619,2,20)),1000000000),1000000000))+ROW()/100000,"")</f>
        <v/>
      </c>
    </row>
    <row r="1620">
      <c r="E1620" s="11" t="n"/>
      <c r="M1620" s="7">
        <f>IF($C1620="","",L1620*U1620/100)</f>
        <v/>
      </c>
      <c r="N1620" s="7" t="n"/>
      <c r="T1620" s="7" t="n"/>
      <c r="U1620" s="7">
        <f>IF($C1620="","",S1620*T1620)</f>
        <v/>
      </c>
      <c r="X1620">
        <f>IF($C1620="","",IF($AM1620=1,0,IF($AL1620=1,Settings!$C$6,Settings!$C$7))*100)</f>
        <v/>
      </c>
      <c r="AB1620" s="7" t="n"/>
      <c r="AE1620" s="11" t="n"/>
      <c r="AG1620" s="7">
        <f>IF($C1620="","",U1620*X1620/100)</f>
        <v/>
      </c>
      <c r="AH1620" s="7">
        <f>IF($C1620="","",U1620-AG1620)</f>
        <v/>
      </c>
      <c r="AI1620" s="7">
        <f>IF($C1620="","",AH1620-M1620)</f>
        <v/>
      </c>
      <c r="AJ1620">
        <f>IF($C1620="","",IF(COUNTIF($C$2:$C1620,$C1620)=1,1,0))</f>
        <v/>
      </c>
      <c r="AK1620">
        <f>IF($AJ1620=1,SUMPRODUCT(--($AN$2:$AN$4001&lt;$AN1620))+1,"")</f>
        <v/>
      </c>
      <c r="AL1620">
        <f>IF($C1620="","",IF(OR($Q1620=TRUE(),$Q1620="TRUE"),1,0))</f>
        <v/>
      </c>
      <c r="AM1620">
        <f>IF($C1620="","",IF($W1620="Yes",1,0))</f>
        <v/>
      </c>
      <c r="AN1620">
        <f>IF($AJ1620=1,IFERROR(IF(VALUE($C1620)&lt;100000000,VALUE($C1620),1000000000),IFERROR(IF(VALUE(MID($C1620,2,20))&lt;100000000,VALUE(MID($C1620,2,20)),1000000000),1000000000))+ROW()/100000,"")</f>
        <v/>
      </c>
    </row>
    <row r="1621">
      <c r="E1621" s="11" t="n"/>
      <c r="M1621" s="7">
        <f>IF($C1621="","",L1621*U1621/100)</f>
        <v/>
      </c>
      <c r="N1621" s="7" t="n"/>
      <c r="T1621" s="7" t="n"/>
      <c r="U1621" s="7">
        <f>IF($C1621="","",S1621*T1621)</f>
        <v/>
      </c>
      <c r="X1621">
        <f>IF($C1621="","",IF($AM1621=1,0,IF($AL1621=1,Settings!$C$6,Settings!$C$7))*100)</f>
        <v/>
      </c>
      <c r="AB1621" s="7" t="n"/>
      <c r="AE1621" s="11" t="n"/>
      <c r="AG1621" s="7">
        <f>IF($C1621="","",U1621*X1621/100)</f>
        <v/>
      </c>
      <c r="AH1621" s="7">
        <f>IF($C1621="","",U1621-AG1621)</f>
        <v/>
      </c>
      <c r="AI1621" s="7">
        <f>IF($C1621="","",AH1621-M1621)</f>
        <v/>
      </c>
      <c r="AJ1621">
        <f>IF($C1621="","",IF(COUNTIF($C$2:$C1621,$C1621)=1,1,0))</f>
        <v/>
      </c>
      <c r="AK1621">
        <f>IF($AJ1621=1,SUMPRODUCT(--($AN$2:$AN$4001&lt;$AN1621))+1,"")</f>
        <v/>
      </c>
      <c r="AL1621">
        <f>IF($C1621="","",IF(OR($Q1621=TRUE(),$Q1621="TRUE"),1,0))</f>
        <v/>
      </c>
      <c r="AM1621">
        <f>IF($C1621="","",IF($W1621="Yes",1,0))</f>
        <v/>
      </c>
      <c r="AN1621">
        <f>IF($AJ1621=1,IFERROR(IF(VALUE($C1621)&lt;100000000,VALUE($C1621),1000000000),IFERROR(IF(VALUE(MID($C1621,2,20))&lt;100000000,VALUE(MID($C1621,2,20)),1000000000),1000000000))+ROW()/100000,"")</f>
        <v/>
      </c>
    </row>
    <row r="1622">
      <c r="E1622" s="11" t="n"/>
      <c r="M1622" s="7">
        <f>IF($C1622="","",L1622*U1622/100)</f>
        <v/>
      </c>
      <c r="N1622" s="7" t="n"/>
      <c r="T1622" s="7" t="n"/>
      <c r="U1622" s="7">
        <f>IF($C1622="","",S1622*T1622)</f>
        <v/>
      </c>
      <c r="X1622">
        <f>IF($C1622="","",IF($AM1622=1,0,IF($AL1622=1,Settings!$C$6,Settings!$C$7))*100)</f>
        <v/>
      </c>
      <c r="AB1622" s="7" t="n"/>
      <c r="AE1622" s="11" t="n"/>
      <c r="AG1622" s="7">
        <f>IF($C1622="","",U1622*X1622/100)</f>
        <v/>
      </c>
      <c r="AH1622" s="7">
        <f>IF($C1622="","",U1622-AG1622)</f>
        <v/>
      </c>
      <c r="AI1622" s="7">
        <f>IF($C1622="","",AH1622-M1622)</f>
        <v/>
      </c>
      <c r="AJ1622">
        <f>IF($C1622="","",IF(COUNTIF($C$2:$C1622,$C1622)=1,1,0))</f>
        <v/>
      </c>
      <c r="AK1622">
        <f>IF($AJ1622=1,SUMPRODUCT(--($AN$2:$AN$4001&lt;$AN1622))+1,"")</f>
        <v/>
      </c>
      <c r="AL1622">
        <f>IF($C1622="","",IF(OR($Q1622=TRUE(),$Q1622="TRUE"),1,0))</f>
        <v/>
      </c>
      <c r="AM1622">
        <f>IF($C1622="","",IF($W1622="Yes",1,0))</f>
        <v/>
      </c>
      <c r="AN1622">
        <f>IF($AJ1622=1,IFERROR(IF(VALUE($C1622)&lt;100000000,VALUE($C1622),1000000000),IFERROR(IF(VALUE(MID($C1622,2,20))&lt;100000000,VALUE(MID($C1622,2,20)),1000000000),1000000000))+ROW()/100000,"")</f>
        <v/>
      </c>
    </row>
    <row r="1623">
      <c r="E1623" s="11" t="n"/>
      <c r="M1623" s="7">
        <f>IF($C1623="","",L1623*U1623/100)</f>
        <v/>
      </c>
      <c r="N1623" s="7" t="n"/>
      <c r="T1623" s="7" t="n"/>
      <c r="U1623" s="7">
        <f>IF($C1623="","",S1623*T1623)</f>
        <v/>
      </c>
      <c r="X1623">
        <f>IF($C1623="","",IF($AM1623=1,0,IF($AL1623=1,Settings!$C$6,Settings!$C$7))*100)</f>
        <v/>
      </c>
      <c r="AB1623" s="7" t="n"/>
      <c r="AE1623" s="11" t="n"/>
      <c r="AG1623" s="7">
        <f>IF($C1623="","",U1623*X1623/100)</f>
        <v/>
      </c>
      <c r="AH1623" s="7">
        <f>IF($C1623="","",U1623-AG1623)</f>
        <v/>
      </c>
      <c r="AI1623" s="7">
        <f>IF($C1623="","",AH1623-M1623)</f>
        <v/>
      </c>
      <c r="AJ1623">
        <f>IF($C1623="","",IF(COUNTIF($C$2:$C1623,$C1623)=1,1,0))</f>
        <v/>
      </c>
      <c r="AK1623">
        <f>IF($AJ1623=1,SUMPRODUCT(--($AN$2:$AN$4001&lt;$AN1623))+1,"")</f>
        <v/>
      </c>
      <c r="AL1623">
        <f>IF($C1623="","",IF(OR($Q1623=TRUE(),$Q1623="TRUE"),1,0))</f>
        <v/>
      </c>
      <c r="AM1623">
        <f>IF($C1623="","",IF($W1623="Yes",1,0))</f>
        <v/>
      </c>
      <c r="AN1623">
        <f>IF($AJ1623=1,IFERROR(IF(VALUE($C1623)&lt;100000000,VALUE($C1623),1000000000),IFERROR(IF(VALUE(MID($C1623,2,20))&lt;100000000,VALUE(MID($C1623,2,20)),1000000000),1000000000))+ROW()/100000,"")</f>
        <v/>
      </c>
    </row>
    <row r="1624">
      <c r="E1624" s="11" t="n"/>
      <c r="M1624" s="7">
        <f>IF($C1624="","",L1624*U1624/100)</f>
        <v/>
      </c>
      <c r="N1624" s="7" t="n"/>
      <c r="T1624" s="7" t="n"/>
      <c r="U1624" s="7">
        <f>IF($C1624="","",S1624*T1624)</f>
        <v/>
      </c>
      <c r="X1624">
        <f>IF($C1624="","",IF($AM1624=1,0,IF($AL1624=1,Settings!$C$6,Settings!$C$7))*100)</f>
        <v/>
      </c>
      <c r="AB1624" s="7" t="n"/>
      <c r="AE1624" s="11" t="n"/>
      <c r="AG1624" s="7">
        <f>IF($C1624="","",U1624*X1624/100)</f>
        <v/>
      </c>
      <c r="AH1624" s="7">
        <f>IF($C1624="","",U1624-AG1624)</f>
        <v/>
      </c>
      <c r="AI1624" s="7">
        <f>IF($C1624="","",AH1624-M1624)</f>
        <v/>
      </c>
      <c r="AJ1624">
        <f>IF($C1624="","",IF(COUNTIF($C$2:$C1624,$C1624)=1,1,0))</f>
        <v/>
      </c>
      <c r="AK1624">
        <f>IF($AJ1624=1,SUMPRODUCT(--($AN$2:$AN$4001&lt;$AN1624))+1,"")</f>
        <v/>
      </c>
      <c r="AL1624">
        <f>IF($C1624="","",IF(OR($Q1624=TRUE(),$Q1624="TRUE"),1,0))</f>
        <v/>
      </c>
      <c r="AM1624">
        <f>IF($C1624="","",IF($W1624="Yes",1,0))</f>
        <v/>
      </c>
      <c r="AN1624">
        <f>IF($AJ1624=1,IFERROR(IF(VALUE($C1624)&lt;100000000,VALUE($C1624),1000000000),IFERROR(IF(VALUE(MID($C1624,2,20))&lt;100000000,VALUE(MID($C1624,2,20)),1000000000),1000000000))+ROW()/100000,"")</f>
        <v/>
      </c>
    </row>
    <row r="1625">
      <c r="E1625" s="11" t="n"/>
      <c r="M1625" s="7">
        <f>IF($C1625="","",L1625*U1625/100)</f>
        <v/>
      </c>
      <c r="N1625" s="7" t="n"/>
      <c r="T1625" s="7" t="n"/>
      <c r="U1625" s="7">
        <f>IF($C1625="","",S1625*T1625)</f>
        <v/>
      </c>
      <c r="X1625">
        <f>IF($C1625="","",IF($AM1625=1,0,IF($AL1625=1,Settings!$C$6,Settings!$C$7))*100)</f>
        <v/>
      </c>
      <c r="AB1625" s="7" t="n"/>
      <c r="AE1625" s="11" t="n"/>
      <c r="AG1625" s="7">
        <f>IF($C1625="","",U1625*X1625/100)</f>
        <v/>
      </c>
      <c r="AH1625" s="7">
        <f>IF($C1625="","",U1625-AG1625)</f>
        <v/>
      </c>
      <c r="AI1625" s="7">
        <f>IF($C1625="","",AH1625-M1625)</f>
        <v/>
      </c>
      <c r="AJ1625">
        <f>IF($C1625="","",IF(COUNTIF($C$2:$C1625,$C1625)=1,1,0))</f>
        <v/>
      </c>
      <c r="AK1625">
        <f>IF($AJ1625=1,SUMPRODUCT(--($AN$2:$AN$4001&lt;$AN1625))+1,"")</f>
        <v/>
      </c>
      <c r="AL1625">
        <f>IF($C1625="","",IF(OR($Q1625=TRUE(),$Q1625="TRUE"),1,0))</f>
        <v/>
      </c>
      <c r="AM1625">
        <f>IF($C1625="","",IF($W1625="Yes",1,0))</f>
        <v/>
      </c>
      <c r="AN1625">
        <f>IF($AJ1625=1,IFERROR(IF(VALUE($C1625)&lt;100000000,VALUE($C1625),1000000000),IFERROR(IF(VALUE(MID($C1625,2,20))&lt;100000000,VALUE(MID($C1625,2,20)),1000000000),1000000000))+ROW()/100000,"")</f>
        <v/>
      </c>
    </row>
    <row r="1626">
      <c r="E1626" s="11" t="n"/>
      <c r="M1626" s="7">
        <f>IF($C1626="","",L1626*U1626/100)</f>
        <v/>
      </c>
      <c r="N1626" s="7" t="n"/>
      <c r="T1626" s="7" t="n"/>
      <c r="U1626" s="7">
        <f>IF($C1626="","",S1626*T1626)</f>
        <v/>
      </c>
      <c r="X1626">
        <f>IF($C1626="","",IF($AM1626=1,0,IF($AL1626=1,Settings!$C$6,Settings!$C$7))*100)</f>
        <v/>
      </c>
      <c r="AB1626" s="7" t="n"/>
      <c r="AE1626" s="11" t="n"/>
      <c r="AG1626" s="7">
        <f>IF($C1626="","",U1626*X1626/100)</f>
        <v/>
      </c>
      <c r="AH1626" s="7">
        <f>IF($C1626="","",U1626-AG1626)</f>
        <v/>
      </c>
      <c r="AI1626" s="7">
        <f>IF($C1626="","",AH1626-M1626)</f>
        <v/>
      </c>
      <c r="AJ1626">
        <f>IF($C1626="","",IF(COUNTIF($C$2:$C1626,$C1626)=1,1,0))</f>
        <v/>
      </c>
      <c r="AK1626">
        <f>IF($AJ1626=1,SUMPRODUCT(--($AN$2:$AN$4001&lt;$AN1626))+1,"")</f>
        <v/>
      </c>
      <c r="AL1626">
        <f>IF($C1626="","",IF(OR($Q1626=TRUE(),$Q1626="TRUE"),1,0))</f>
        <v/>
      </c>
      <c r="AM1626">
        <f>IF($C1626="","",IF($W1626="Yes",1,0))</f>
        <v/>
      </c>
      <c r="AN1626">
        <f>IF($AJ1626=1,IFERROR(IF(VALUE($C1626)&lt;100000000,VALUE($C1626),1000000000),IFERROR(IF(VALUE(MID($C1626,2,20))&lt;100000000,VALUE(MID($C1626,2,20)),1000000000),1000000000))+ROW()/100000,"")</f>
        <v/>
      </c>
    </row>
    <row r="1627">
      <c r="E1627" s="11" t="n"/>
      <c r="M1627" s="7">
        <f>IF($C1627="","",L1627*U1627/100)</f>
        <v/>
      </c>
      <c r="N1627" s="7" t="n"/>
      <c r="T1627" s="7" t="n"/>
      <c r="U1627" s="7">
        <f>IF($C1627="","",S1627*T1627)</f>
        <v/>
      </c>
      <c r="X1627">
        <f>IF($C1627="","",IF($AM1627=1,0,IF($AL1627=1,Settings!$C$6,Settings!$C$7))*100)</f>
        <v/>
      </c>
      <c r="AB1627" s="7" t="n"/>
      <c r="AE1627" s="11" t="n"/>
      <c r="AG1627" s="7">
        <f>IF($C1627="","",U1627*X1627/100)</f>
        <v/>
      </c>
      <c r="AH1627" s="7">
        <f>IF($C1627="","",U1627-AG1627)</f>
        <v/>
      </c>
      <c r="AI1627" s="7">
        <f>IF($C1627="","",AH1627-M1627)</f>
        <v/>
      </c>
      <c r="AJ1627">
        <f>IF($C1627="","",IF(COUNTIF($C$2:$C1627,$C1627)=1,1,0))</f>
        <v/>
      </c>
      <c r="AK1627">
        <f>IF($AJ1627=1,SUMPRODUCT(--($AN$2:$AN$4001&lt;$AN1627))+1,"")</f>
        <v/>
      </c>
      <c r="AL1627">
        <f>IF($C1627="","",IF(OR($Q1627=TRUE(),$Q1627="TRUE"),1,0))</f>
        <v/>
      </c>
      <c r="AM1627">
        <f>IF($C1627="","",IF($W1627="Yes",1,0))</f>
        <v/>
      </c>
      <c r="AN1627">
        <f>IF($AJ1627=1,IFERROR(IF(VALUE($C1627)&lt;100000000,VALUE($C1627),1000000000),IFERROR(IF(VALUE(MID($C1627,2,20))&lt;100000000,VALUE(MID($C1627,2,20)),1000000000),1000000000))+ROW()/100000,"")</f>
        <v/>
      </c>
    </row>
    <row r="1628">
      <c r="E1628" s="11" t="n"/>
      <c r="M1628" s="7">
        <f>IF($C1628="","",L1628*U1628/100)</f>
        <v/>
      </c>
      <c r="N1628" s="7" t="n"/>
      <c r="T1628" s="7" t="n"/>
      <c r="U1628" s="7">
        <f>IF($C1628="","",S1628*T1628)</f>
        <v/>
      </c>
      <c r="X1628">
        <f>IF($C1628="","",IF($AM1628=1,0,IF($AL1628=1,Settings!$C$6,Settings!$C$7))*100)</f>
        <v/>
      </c>
      <c r="AB1628" s="7" t="n"/>
      <c r="AE1628" s="11" t="n"/>
      <c r="AG1628" s="7">
        <f>IF($C1628="","",U1628*X1628/100)</f>
        <v/>
      </c>
      <c r="AH1628" s="7">
        <f>IF($C1628="","",U1628-AG1628)</f>
        <v/>
      </c>
      <c r="AI1628" s="7">
        <f>IF($C1628="","",AH1628-M1628)</f>
        <v/>
      </c>
      <c r="AJ1628">
        <f>IF($C1628="","",IF(COUNTIF($C$2:$C1628,$C1628)=1,1,0))</f>
        <v/>
      </c>
      <c r="AK1628">
        <f>IF($AJ1628=1,SUMPRODUCT(--($AN$2:$AN$4001&lt;$AN1628))+1,"")</f>
        <v/>
      </c>
      <c r="AL1628">
        <f>IF($C1628="","",IF(OR($Q1628=TRUE(),$Q1628="TRUE"),1,0))</f>
        <v/>
      </c>
      <c r="AM1628">
        <f>IF($C1628="","",IF($W1628="Yes",1,0))</f>
        <v/>
      </c>
      <c r="AN1628">
        <f>IF($AJ1628=1,IFERROR(IF(VALUE($C1628)&lt;100000000,VALUE($C1628),1000000000),IFERROR(IF(VALUE(MID($C1628,2,20))&lt;100000000,VALUE(MID($C1628,2,20)),1000000000),1000000000))+ROW()/100000,"")</f>
        <v/>
      </c>
    </row>
    <row r="1629">
      <c r="E1629" s="11" t="n"/>
      <c r="M1629" s="7">
        <f>IF($C1629="","",L1629*U1629/100)</f>
        <v/>
      </c>
      <c r="N1629" s="7" t="n"/>
      <c r="T1629" s="7" t="n"/>
      <c r="U1629" s="7">
        <f>IF($C1629="","",S1629*T1629)</f>
        <v/>
      </c>
      <c r="X1629">
        <f>IF($C1629="","",IF($AM1629=1,0,IF($AL1629=1,Settings!$C$6,Settings!$C$7))*100)</f>
        <v/>
      </c>
      <c r="AB1629" s="7" t="n"/>
      <c r="AE1629" s="11" t="n"/>
      <c r="AG1629" s="7">
        <f>IF($C1629="","",U1629*X1629/100)</f>
        <v/>
      </c>
      <c r="AH1629" s="7">
        <f>IF($C1629="","",U1629-AG1629)</f>
        <v/>
      </c>
      <c r="AI1629" s="7">
        <f>IF($C1629="","",AH1629-M1629)</f>
        <v/>
      </c>
      <c r="AJ1629">
        <f>IF($C1629="","",IF(COUNTIF($C$2:$C1629,$C1629)=1,1,0))</f>
        <v/>
      </c>
      <c r="AK1629">
        <f>IF($AJ1629=1,SUMPRODUCT(--($AN$2:$AN$4001&lt;$AN1629))+1,"")</f>
        <v/>
      </c>
      <c r="AL1629">
        <f>IF($C1629="","",IF(OR($Q1629=TRUE(),$Q1629="TRUE"),1,0))</f>
        <v/>
      </c>
      <c r="AM1629">
        <f>IF($C1629="","",IF($W1629="Yes",1,0))</f>
        <v/>
      </c>
      <c r="AN1629">
        <f>IF($AJ1629=1,IFERROR(IF(VALUE($C1629)&lt;100000000,VALUE($C1629),1000000000),IFERROR(IF(VALUE(MID($C1629,2,20))&lt;100000000,VALUE(MID($C1629,2,20)),1000000000),1000000000))+ROW()/100000,"")</f>
        <v/>
      </c>
    </row>
    <row r="1630">
      <c r="E1630" s="11" t="n"/>
      <c r="M1630" s="7">
        <f>IF($C1630="","",L1630*U1630/100)</f>
        <v/>
      </c>
      <c r="N1630" s="7" t="n"/>
      <c r="T1630" s="7" t="n"/>
      <c r="U1630" s="7">
        <f>IF($C1630="","",S1630*T1630)</f>
        <v/>
      </c>
      <c r="X1630">
        <f>IF($C1630="","",IF($AM1630=1,0,IF($AL1630=1,Settings!$C$6,Settings!$C$7))*100)</f>
        <v/>
      </c>
      <c r="AB1630" s="7" t="n"/>
      <c r="AE1630" s="11" t="n"/>
      <c r="AG1630" s="7">
        <f>IF($C1630="","",U1630*X1630/100)</f>
        <v/>
      </c>
      <c r="AH1630" s="7">
        <f>IF($C1630="","",U1630-AG1630)</f>
        <v/>
      </c>
      <c r="AI1630" s="7">
        <f>IF($C1630="","",AH1630-M1630)</f>
        <v/>
      </c>
      <c r="AJ1630">
        <f>IF($C1630="","",IF(COUNTIF($C$2:$C1630,$C1630)=1,1,0))</f>
        <v/>
      </c>
      <c r="AK1630">
        <f>IF($AJ1630=1,SUMPRODUCT(--($AN$2:$AN$4001&lt;$AN1630))+1,"")</f>
        <v/>
      </c>
      <c r="AL1630">
        <f>IF($C1630="","",IF(OR($Q1630=TRUE(),$Q1630="TRUE"),1,0))</f>
        <v/>
      </c>
      <c r="AM1630">
        <f>IF($C1630="","",IF($W1630="Yes",1,0))</f>
        <v/>
      </c>
      <c r="AN1630">
        <f>IF($AJ1630=1,IFERROR(IF(VALUE($C1630)&lt;100000000,VALUE($C1630),1000000000),IFERROR(IF(VALUE(MID($C1630,2,20))&lt;100000000,VALUE(MID($C1630,2,20)),1000000000),1000000000))+ROW()/100000,"")</f>
        <v/>
      </c>
    </row>
    <row r="1631">
      <c r="E1631" s="11" t="n"/>
      <c r="M1631" s="7">
        <f>IF($C1631="","",L1631*U1631/100)</f>
        <v/>
      </c>
      <c r="N1631" s="7" t="n"/>
      <c r="T1631" s="7" t="n"/>
      <c r="U1631" s="7">
        <f>IF($C1631="","",S1631*T1631)</f>
        <v/>
      </c>
      <c r="X1631">
        <f>IF($C1631="","",IF($AM1631=1,0,IF($AL1631=1,Settings!$C$6,Settings!$C$7))*100)</f>
        <v/>
      </c>
      <c r="AB1631" s="7" t="n"/>
      <c r="AE1631" s="11" t="n"/>
      <c r="AG1631" s="7">
        <f>IF($C1631="","",U1631*X1631/100)</f>
        <v/>
      </c>
      <c r="AH1631" s="7">
        <f>IF($C1631="","",U1631-AG1631)</f>
        <v/>
      </c>
      <c r="AI1631" s="7">
        <f>IF($C1631="","",AH1631-M1631)</f>
        <v/>
      </c>
      <c r="AJ1631">
        <f>IF($C1631="","",IF(COUNTIF($C$2:$C1631,$C1631)=1,1,0))</f>
        <v/>
      </c>
      <c r="AK1631">
        <f>IF($AJ1631=1,SUMPRODUCT(--($AN$2:$AN$4001&lt;$AN1631))+1,"")</f>
        <v/>
      </c>
      <c r="AL1631">
        <f>IF($C1631="","",IF(OR($Q1631=TRUE(),$Q1631="TRUE"),1,0))</f>
        <v/>
      </c>
      <c r="AM1631">
        <f>IF($C1631="","",IF($W1631="Yes",1,0))</f>
        <v/>
      </c>
      <c r="AN1631">
        <f>IF($AJ1631=1,IFERROR(IF(VALUE($C1631)&lt;100000000,VALUE($C1631),1000000000),IFERROR(IF(VALUE(MID($C1631,2,20))&lt;100000000,VALUE(MID($C1631,2,20)),1000000000),1000000000))+ROW()/100000,"")</f>
        <v/>
      </c>
    </row>
    <row r="1632">
      <c r="E1632" s="11" t="n"/>
      <c r="M1632" s="7">
        <f>IF($C1632="","",L1632*U1632/100)</f>
        <v/>
      </c>
      <c r="N1632" s="7" t="n"/>
      <c r="T1632" s="7" t="n"/>
      <c r="U1632" s="7">
        <f>IF($C1632="","",S1632*T1632)</f>
        <v/>
      </c>
      <c r="X1632">
        <f>IF($C1632="","",IF($AM1632=1,0,IF($AL1632=1,Settings!$C$6,Settings!$C$7))*100)</f>
        <v/>
      </c>
      <c r="AB1632" s="7" t="n"/>
      <c r="AE1632" s="11" t="n"/>
      <c r="AG1632" s="7">
        <f>IF($C1632="","",U1632*X1632/100)</f>
        <v/>
      </c>
      <c r="AH1632" s="7">
        <f>IF($C1632="","",U1632-AG1632)</f>
        <v/>
      </c>
      <c r="AI1632" s="7">
        <f>IF($C1632="","",AH1632-M1632)</f>
        <v/>
      </c>
      <c r="AJ1632">
        <f>IF($C1632="","",IF(COUNTIF($C$2:$C1632,$C1632)=1,1,0))</f>
        <v/>
      </c>
      <c r="AK1632">
        <f>IF($AJ1632=1,SUMPRODUCT(--($AN$2:$AN$4001&lt;$AN1632))+1,"")</f>
        <v/>
      </c>
      <c r="AL1632">
        <f>IF($C1632="","",IF(OR($Q1632=TRUE(),$Q1632="TRUE"),1,0))</f>
        <v/>
      </c>
      <c r="AM1632">
        <f>IF($C1632="","",IF($W1632="Yes",1,0))</f>
        <v/>
      </c>
      <c r="AN1632">
        <f>IF($AJ1632=1,IFERROR(IF(VALUE($C1632)&lt;100000000,VALUE($C1632),1000000000),IFERROR(IF(VALUE(MID($C1632,2,20))&lt;100000000,VALUE(MID($C1632,2,20)),1000000000),1000000000))+ROW()/100000,"")</f>
        <v/>
      </c>
    </row>
    <row r="1633">
      <c r="E1633" s="11" t="n"/>
      <c r="M1633" s="7">
        <f>IF($C1633="","",L1633*U1633/100)</f>
        <v/>
      </c>
      <c r="N1633" s="7" t="n"/>
      <c r="T1633" s="7" t="n"/>
      <c r="U1633" s="7">
        <f>IF($C1633="","",S1633*T1633)</f>
        <v/>
      </c>
      <c r="X1633">
        <f>IF($C1633="","",IF($AM1633=1,0,IF($AL1633=1,Settings!$C$6,Settings!$C$7))*100)</f>
        <v/>
      </c>
      <c r="AB1633" s="7" t="n"/>
      <c r="AE1633" s="11" t="n"/>
      <c r="AG1633" s="7">
        <f>IF($C1633="","",U1633*X1633/100)</f>
        <v/>
      </c>
      <c r="AH1633" s="7">
        <f>IF($C1633="","",U1633-AG1633)</f>
        <v/>
      </c>
      <c r="AI1633" s="7">
        <f>IF($C1633="","",AH1633-M1633)</f>
        <v/>
      </c>
      <c r="AJ1633">
        <f>IF($C1633="","",IF(COUNTIF($C$2:$C1633,$C1633)=1,1,0))</f>
        <v/>
      </c>
      <c r="AK1633">
        <f>IF($AJ1633=1,SUMPRODUCT(--($AN$2:$AN$4001&lt;$AN1633))+1,"")</f>
        <v/>
      </c>
      <c r="AL1633">
        <f>IF($C1633="","",IF(OR($Q1633=TRUE(),$Q1633="TRUE"),1,0))</f>
        <v/>
      </c>
      <c r="AM1633">
        <f>IF($C1633="","",IF($W1633="Yes",1,0))</f>
        <v/>
      </c>
      <c r="AN1633">
        <f>IF($AJ1633=1,IFERROR(IF(VALUE($C1633)&lt;100000000,VALUE($C1633),1000000000),IFERROR(IF(VALUE(MID($C1633,2,20))&lt;100000000,VALUE(MID($C1633,2,20)),1000000000),1000000000))+ROW()/100000,"")</f>
        <v/>
      </c>
    </row>
    <row r="1634">
      <c r="E1634" s="11" t="n"/>
      <c r="M1634" s="7">
        <f>IF($C1634="","",L1634*U1634/100)</f>
        <v/>
      </c>
      <c r="N1634" s="7" t="n"/>
      <c r="T1634" s="7" t="n"/>
      <c r="U1634" s="7">
        <f>IF($C1634="","",S1634*T1634)</f>
        <v/>
      </c>
      <c r="X1634">
        <f>IF($C1634="","",IF($AM1634=1,0,IF($AL1634=1,Settings!$C$6,Settings!$C$7))*100)</f>
        <v/>
      </c>
      <c r="AB1634" s="7" t="n"/>
      <c r="AE1634" s="11" t="n"/>
      <c r="AG1634" s="7">
        <f>IF($C1634="","",U1634*X1634/100)</f>
        <v/>
      </c>
      <c r="AH1634" s="7">
        <f>IF($C1634="","",U1634-AG1634)</f>
        <v/>
      </c>
      <c r="AI1634" s="7">
        <f>IF($C1634="","",AH1634-M1634)</f>
        <v/>
      </c>
      <c r="AJ1634">
        <f>IF($C1634="","",IF(COUNTIF($C$2:$C1634,$C1634)=1,1,0))</f>
        <v/>
      </c>
      <c r="AK1634">
        <f>IF($AJ1634=1,SUMPRODUCT(--($AN$2:$AN$4001&lt;$AN1634))+1,"")</f>
        <v/>
      </c>
      <c r="AL1634">
        <f>IF($C1634="","",IF(OR($Q1634=TRUE(),$Q1634="TRUE"),1,0))</f>
        <v/>
      </c>
      <c r="AM1634">
        <f>IF($C1634="","",IF($W1634="Yes",1,0))</f>
        <v/>
      </c>
      <c r="AN1634">
        <f>IF($AJ1634=1,IFERROR(IF(VALUE($C1634)&lt;100000000,VALUE($C1634),1000000000),IFERROR(IF(VALUE(MID($C1634,2,20))&lt;100000000,VALUE(MID($C1634,2,20)),1000000000),1000000000))+ROW()/100000,"")</f>
        <v/>
      </c>
    </row>
    <row r="1635">
      <c r="E1635" s="11" t="n"/>
      <c r="M1635" s="7">
        <f>IF($C1635="","",L1635*U1635/100)</f>
        <v/>
      </c>
      <c r="N1635" s="7" t="n"/>
      <c r="T1635" s="7" t="n"/>
      <c r="U1635" s="7">
        <f>IF($C1635="","",S1635*T1635)</f>
        <v/>
      </c>
      <c r="X1635">
        <f>IF($C1635="","",IF($AM1635=1,0,IF($AL1635=1,Settings!$C$6,Settings!$C$7))*100)</f>
        <v/>
      </c>
      <c r="AB1635" s="7" t="n"/>
      <c r="AE1635" s="11" t="n"/>
      <c r="AG1635" s="7">
        <f>IF($C1635="","",U1635*X1635/100)</f>
        <v/>
      </c>
      <c r="AH1635" s="7">
        <f>IF($C1635="","",U1635-AG1635)</f>
        <v/>
      </c>
      <c r="AI1635" s="7">
        <f>IF($C1635="","",AH1635-M1635)</f>
        <v/>
      </c>
      <c r="AJ1635">
        <f>IF($C1635="","",IF(COUNTIF($C$2:$C1635,$C1635)=1,1,0))</f>
        <v/>
      </c>
      <c r="AK1635">
        <f>IF($AJ1635=1,SUMPRODUCT(--($AN$2:$AN$4001&lt;$AN1635))+1,"")</f>
        <v/>
      </c>
      <c r="AL1635">
        <f>IF($C1635="","",IF(OR($Q1635=TRUE(),$Q1635="TRUE"),1,0))</f>
        <v/>
      </c>
      <c r="AM1635">
        <f>IF($C1635="","",IF($W1635="Yes",1,0))</f>
        <v/>
      </c>
      <c r="AN1635">
        <f>IF($AJ1635=1,IFERROR(IF(VALUE($C1635)&lt;100000000,VALUE($C1635),1000000000),IFERROR(IF(VALUE(MID($C1635,2,20))&lt;100000000,VALUE(MID($C1635,2,20)),1000000000),1000000000))+ROW()/100000,"")</f>
        <v/>
      </c>
    </row>
    <row r="1636">
      <c r="E1636" s="11" t="n"/>
      <c r="M1636" s="7">
        <f>IF($C1636="","",L1636*U1636/100)</f>
        <v/>
      </c>
      <c r="N1636" s="7" t="n"/>
      <c r="T1636" s="7" t="n"/>
      <c r="U1636" s="7">
        <f>IF($C1636="","",S1636*T1636)</f>
        <v/>
      </c>
      <c r="X1636">
        <f>IF($C1636="","",IF($AM1636=1,0,IF($AL1636=1,Settings!$C$6,Settings!$C$7))*100)</f>
        <v/>
      </c>
      <c r="AB1636" s="7" t="n"/>
      <c r="AE1636" s="11" t="n"/>
      <c r="AG1636" s="7">
        <f>IF($C1636="","",U1636*X1636/100)</f>
        <v/>
      </c>
      <c r="AH1636" s="7">
        <f>IF($C1636="","",U1636-AG1636)</f>
        <v/>
      </c>
      <c r="AI1636" s="7">
        <f>IF($C1636="","",AH1636-M1636)</f>
        <v/>
      </c>
      <c r="AJ1636">
        <f>IF($C1636="","",IF(COUNTIF($C$2:$C1636,$C1636)=1,1,0))</f>
        <v/>
      </c>
      <c r="AK1636">
        <f>IF($AJ1636=1,SUMPRODUCT(--($AN$2:$AN$4001&lt;$AN1636))+1,"")</f>
        <v/>
      </c>
      <c r="AL1636">
        <f>IF($C1636="","",IF(OR($Q1636=TRUE(),$Q1636="TRUE"),1,0))</f>
        <v/>
      </c>
      <c r="AM1636">
        <f>IF($C1636="","",IF($W1636="Yes",1,0))</f>
        <v/>
      </c>
      <c r="AN1636">
        <f>IF($AJ1636=1,IFERROR(IF(VALUE($C1636)&lt;100000000,VALUE($C1636),1000000000),IFERROR(IF(VALUE(MID($C1636,2,20))&lt;100000000,VALUE(MID($C1636,2,20)),1000000000),1000000000))+ROW()/100000,"")</f>
        <v/>
      </c>
    </row>
    <row r="1637">
      <c r="E1637" s="11" t="n"/>
      <c r="M1637" s="7">
        <f>IF($C1637="","",L1637*U1637/100)</f>
        <v/>
      </c>
      <c r="N1637" s="7" t="n"/>
      <c r="T1637" s="7" t="n"/>
      <c r="U1637" s="7">
        <f>IF($C1637="","",S1637*T1637)</f>
        <v/>
      </c>
      <c r="X1637">
        <f>IF($C1637="","",IF($AM1637=1,0,IF($AL1637=1,Settings!$C$6,Settings!$C$7))*100)</f>
        <v/>
      </c>
      <c r="AB1637" s="7" t="n"/>
      <c r="AE1637" s="11" t="n"/>
      <c r="AG1637" s="7">
        <f>IF($C1637="","",U1637*X1637/100)</f>
        <v/>
      </c>
      <c r="AH1637" s="7">
        <f>IF($C1637="","",U1637-AG1637)</f>
        <v/>
      </c>
      <c r="AI1637" s="7">
        <f>IF($C1637="","",AH1637-M1637)</f>
        <v/>
      </c>
      <c r="AJ1637">
        <f>IF($C1637="","",IF(COUNTIF($C$2:$C1637,$C1637)=1,1,0))</f>
        <v/>
      </c>
      <c r="AK1637">
        <f>IF($AJ1637=1,SUMPRODUCT(--($AN$2:$AN$4001&lt;$AN1637))+1,"")</f>
        <v/>
      </c>
      <c r="AL1637">
        <f>IF($C1637="","",IF(OR($Q1637=TRUE(),$Q1637="TRUE"),1,0))</f>
        <v/>
      </c>
      <c r="AM1637">
        <f>IF($C1637="","",IF($W1637="Yes",1,0))</f>
        <v/>
      </c>
      <c r="AN1637">
        <f>IF($AJ1637=1,IFERROR(IF(VALUE($C1637)&lt;100000000,VALUE($C1637),1000000000),IFERROR(IF(VALUE(MID($C1637,2,20))&lt;100000000,VALUE(MID($C1637,2,20)),1000000000),1000000000))+ROW()/100000,"")</f>
        <v/>
      </c>
    </row>
    <row r="1638">
      <c r="E1638" s="11" t="n"/>
      <c r="M1638" s="7">
        <f>IF($C1638="","",L1638*U1638/100)</f>
        <v/>
      </c>
      <c r="N1638" s="7" t="n"/>
      <c r="T1638" s="7" t="n"/>
      <c r="U1638" s="7">
        <f>IF($C1638="","",S1638*T1638)</f>
        <v/>
      </c>
      <c r="X1638">
        <f>IF($C1638="","",IF($AM1638=1,0,IF($AL1638=1,Settings!$C$6,Settings!$C$7))*100)</f>
        <v/>
      </c>
      <c r="AB1638" s="7" t="n"/>
      <c r="AE1638" s="11" t="n"/>
      <c r="AG1638" s="7">
        <f>IF($C1638="","",U1638*X1638/100)</f>
        <v/>
      </c>
      <c r="AH1638" s="7">
        <f>IF($C1638="","",U1638-AG1638)</f>
        <v/>
      </c>
      <c r="AI1638" s="7">
        <f>IF($C1638="","",AH1638-M1638)</f>
        <v/>
      </c>
      <c r="AJ1638">
        <f>IF($C1638="","",IF(COUNTIF($C$2:$C1638,$C1638)=1,1,0))</f>
        <v/>
      </c>
      <c r="AK1638">
        <f>IF($AJ1638=1,SUMPRODUCT(--($AN$2:$AN$4001&lt;$AN1638))+1,"")</f>
        <v/>
      </c>
      <c r="AL1638">
        <f>IF($C1638="","",IF(OR($Q1638=TRUE(),$Q1638="TRUE"),1,0))</f>
        <v/>
      </c>
      <c r="AM1638">
        <f>IF($C1638="","",IF($W1638="Yes",1,0))</f>
        <v/>
      </c>
      <c r="AN1638">
        <f>IF($AJ1638=1,IFERROR(IF(VALUE($C1638)&lt;100000000,VALUE($C1638),1000000000),IFERROR(IF(VALUE(MID($C1638,2,20))&lt;100000000,VALUE(MID($C1638,2,20)),1000000000),1000000000))+ROW()/100000,"")</f>
        <v/>
      </c>
    </row>
    <row r="1639">
      <c r="E1639" s="11" t="n"/>
      <c r="M1639" s="7">
        <f>IF($C1639="","",L1639*U1639/100)</f>
        <v/>
      </c>
      <c r="N1639" s="7" t="n"/>
      <c r="T1639" s="7" t="n"/>
      <c r="U1639" s="7">
        <f>IF($C1639="","",S1639*T1639)</f>
        <v/>
      </c>
      <c r="X1639">
        <f>IF($C1639="","",IF($AM1639=1,0,IF($AL1639=1,Settings!$C$6,Settings!$C$7))*100)</f>
        <v/>
      </c>
      <c r="AB1639" s="7" t="n"/>
      <c r="AE1639" s="11" t="n"/>
      <c r="AG1639" s="7">
        <f>IF($C1639="","",U1639*X1639/100)</f>
        <v/>
      </c>
      <c r="AH1639" s="7">
        <f>IF($C1639="","",U1639-AG1639)</f>
        <v/>
      </c>
      <c r="AI1639" s="7">
        <f>IF($C1639="","",AH1639-M1639)</f>
        <v/>
      </c>
      <c r="AJ1639">
        <f>IF($C1639="","",IF(COUNTIF($C$2:$C1639,$C1639)=1,1,0))</f>
        <v/>
      </c>
      <c r="AK1639">
        <f>IF($AJ1639=1,SUMPRODUCT(--($AN$2:$AN$4001&lt;$AN1639))+1,"")</f>
        <v/>
      </c>
      <c r="AL1639">
        <f>IF($C1639="","",IF(OR($Q1639=TRUE(),$Q1639="TRUE"),1,0))</f>
        <v/>
      </c>
      <c r="AM1639">
        <f>IF($C1639="","",IF($W1639="Yes",1,0))</f>
        <v/>
      </c>
      <c r="AN1639">
        <f>IF($AJ1639=1,IFERROR(IF(VALUE($C1639)&lt;100000000,VALUE($C1639),1000000000),IFERROR(IF(VALUE(MID($C1639,2,20))&lt;100000000,VALUE(MID($C1639,2,20)),1000000000),1000000000))+ROW()/100000,"")</f>
        <v/>
      </c>
    </row>
    <row r="1640">
      <c r="E1640" s="11" t="n"/>
      <c r="M1640" s="7">
        <f>IF($C1640="","",L1640*U1640/100)</f>
        <v/>
      </c>
      <c r="N1640" s="7" t="n"/>
      <c r="T1640" s="7" t="n"/>
      <c r="U1640" s="7">
        <f>IF($C1640="","",S1640*T1640)</f>
        <v/>
      </c>
      <c r="X1640">
        <f>IF($C1640="","",IF($AM1640=1,0,IF($AL1640=1,Settings!$C$6,Settings!$C$7))*100)</f>
        <v/>
      </c>
      <c r="AB1640" s="7" t="n"/>
      <c r="AE1640" s="11" t="n"/>
      <c r="AG1640" s="7">
        <f>IF($C1640="","",U1640*X1640/100)</f>
        <v/>
      </c>
      <c r="AH1640" s="7">
        <f>IF($C1640="","",U1640-AG1640)</f>
        <v/>
      </c>
      <c r="AI1640" s="7">
        <f>IF($C1640="","",AH1640-M1640)</f>
        <v/>
      </c>
      <c r="AJ1640">
        <f>IF($C1640="","",IF(COUNTIF($C$2:$C1640,$C1640)=1,1,0))</f>
        <v/>
      </c>
      <c r="AK1640">
        <f>IF($AJ1640=1,SUMPRODUCT(--($AN$2:$AN$4001&lt;$AN1640))+1,"")</f>
        <v/>
      </c>
      <c r="AL1640">
        <f>IF($C1640="","",IF(OR($Q1640=TRUE(),$Q1640="TRUE"),1,0))</f>
        <v/>
      </c>
      <c r="AM1640">
        <f>IF($C1640="","",IF($W1640="Yes",1,0))</f>
        <v/>
      </c>
      <c r="AN1640">
        <f>IF($AJ1640=1,IFERROR(IF(VALUE($C1640)&lt;100000000,VALUE($C1640),1000000000),IFERROR(IF(VALUE(MID($C1640,2,20))&lt;100000000,VALUE(MID($C1640,2,20)),1000000000),1000000000))+ROW()/100000,"")</f>
        <v/>
      </c>
    </row>
    <row r="1641">
      <c r="E1641" s="11" t="n"/>
      <c r="M1641" s="7">
        <f>IF($C1641="","",L1641*U1641/100)</f>
        <v/>
      </c>
      <c r="N1641" s="7" t="n"/>
      <c r="T1641" s="7" t="n"/>
      <c r="U1641" s="7">
        <f>IF($C1641="","",S1641*T1641)</f>
        <v/>
      </c>
      <c r="X1641">
        <f>IF($C1641="","",IF($AM1641=1,0,IF($AL1641=1,Settings!$C$6,Settings!$C$7))*100)</f>
        <v/>
      </c>
      <c r="AB1641" s="7" t="n"/>
      <c r="AE1641" s="11" t="n"/>
      <c r="AG1641" s="7">
        <f>IF($C1641="","",U1641*X1641/100)</f>
        <v/>
      </c>
      <c r="AH1641" s="7">
        <f>IF($C1641="","",U1641-AG1641)</f>
        <v/>
      </c>
      <c r="AI1641" s="7">
        <f>IF($C1641="","",AH1641-M1641)</f>
        <v/>
      </c>
      <c r="AJ1641">
        <f>IF($C1641="","",IF(COUNTIF($C$2:$C1641,$C1641)=1,1,0))</f>
        <v/>
      </c>
      <c r="AK1641">
        <f>IF($AJ1641=1,SUMPRODUCT(--($AN$2:$AN$4001&lt;$AN1641))+1,"")</f>
        <v/>
      </c>
      <c r="AL1641">
        <f>IF($C1641="","",IF(OR($Q1641=TRUE(),$Q1641="TRUE"),1,0))</f>
        <v/>
      </c>
      <c r="AM1641">
        <f>IF($C1641="","",IF($W1641="Yes",1,0))</f>
        <v/>
      </c>
      <c r="AN1641">
        <f>IF($AJ1641=1,IFERROR(IF(VALUE($C1641)&lt;100000000,VALUE($C1641),1000000000),IFERROR(IF(VALUE(MID($C1641,2,20))&lt;100000000,VALUE(MID($C1641,2,20)),1000000000),1000000000))+ROW()/100000,"")</f>
        <v/>
      </c>
    </row>
    <row r="1642">
      <c r="E1642" s="11" t="n"/>
      <c r="M1642" s="7">
        <f>IF($C1642="","",L1642*U1642/100)</f>
        <v/>
      </c>
      <c r="N1642" s="7" t="n"/>
      <c r="T1642" s="7" t="n"/>
      <c r="U1642" s="7">
        <f>IF($C1642="","",S1642*T1642)</f>
        <v/>
      </c>
      <c r="X1642">
        <f>IF($C1642="","",IF($AM1642=1,0,IF($AL1642=1,Settings!$C$6,Settings!$C$7))*100)</f>
        <v/>
      </c>
      <c r="AB1642" s="7" t="n"/>
      <c r="AE1642" s="11" t="n"/>
      <c r="AG1642" s="7">
        <f>IF($C1642="","",U1642*X1642/100)</f>
        <v/>
      </c>
      <c r="AH1642" s="7">
        <f>IF($C1642="","",U1642-AG1642)</f>
        <v/>
      </c>
      <c r="AI1642" s="7">
        <f>IF($C1642="","",AH1642-M1642)</f>
        <v/>
      </c>
      <c r="AJ1642">
        <f>IF($C1642="","",IF(COUNTIF($C$2:$C1642,$C1642)=1,1,0))</f>
        <v/>
      </c>
      <c r="AK1642">
        <f>IF($AJ1642=1,SUMPRODUCT(--($AN$2:$AN$4001&lt;$AN1642))+1,"")</f>
        <v/>
      </c>
      <c r="AL1642">
        <f>IF($C1642="","",IF(OR($Q1642=TRUE(),$Q1642="TRUE"),1,0))</f>
        <v/>
      </c>
      <c r="AM1642">
        <f>IF($C1642="","",IF($W1642="Yes",1,0))</f>
        <v/>
      </c>
      <c r="AN1642">
        <f>IF($AJ1642=1,IFERROR(IF(VALUE($C1642)&lt;100000000,VALUE($C1642),1000000000),IFERROR(IF(VALUE(MID($C1642,2,20))&lt;100000000,VALUE(MID($C1642,2,20)),1000000000),1000000000))+ROW()/100000,"")</f>
        <v/>
      </c>
    </row>
    <row r="1643">
      <c r="E1643" s="11" t="n"/>
      <c r="M1643" s="7">
        <f>IF($C1643="","",L1643*U1643/100)</f>
        <v/>
      </c>
      <c r="N1643" s="7" t="n"/>
      <c r="T1643" s="7" t="n"/>
      <c r="U1643" s="7">
        <f>IF($C1643="","",S1643*T1643)</f>
        <v/>
      </c>
      <c r="X1643">
        <f>IF($C1643="","",IF($AM1643=1,0,IF($AL1643=1,Settings!$C$6,Settings!$C$7))*100)</f>
        <v/>
      </c>
      <c r="AB1643" s="7" t="n"/>
      <c r="AE1643" s="11" t="n"/>
      <c r="AG1643" s="7">
        <f>IF($C1643="","",U1643*X1643/100)</f>
        <v/>
      </c>
      <c r="AH1643" s="7">
        <f>IF($C1643="","",U1643-AG1643)</f>
        <v/>
      </c>
      <c r="AI1643" s="7">
        <f>IF($C1643="","",AH1643-M1643)</f>
        <v/>
      </c>
      <c r="AJ1643">
        <f>IF($C1643="","",IF(COUNTIF($C$2:$C1643,$C1643)=1,1,0))</f>
        <v/>
      </c>
      <c r="AK1643">
        <f>IF($AJ1643=1,SUMPRODUCT(--($AN$2:$AN$4001&lt;$AN1643))+1,"")</f>
        <v/>
      </c>
      <c r="AL1643">
        <f>IF($C1643="","",IF(OR($Q1643=TRUE(),$Q1643="TRUE"),1,0))</f>
        <v/>
      </c>
      <c r="AM1643">
        <f>IF($C1643="","",IF($W1643="Yes",1,0))</f>
        <v/>
      </c>
      <c r="AN1643">
        <f>IF($AJ1643=1,IFERROR(IF(VALUE($C1643)&lt;100000000,VALUE($C1643),1000000000),IFERROR(IF(VALUE(MID($C1643,2,20))&lt;100000000,VALUE(MID($C1643,2,20)),1000000000),1000000000))+ROW()/100000,"")</f>
        <v/>
      </c>
    </row>
    <row r="1644">
      <c r="E1644" s="11" t="n"/>
      <c r="M1644" s="7">
        <f>IF($C1644="","",L1644*U1644/100)</f>
        <v/>
      </c>
      <c r="N1644" s="7" t="n"/>
      <c r="T1644" s="7" t="n"/>
      <c r="U1644" s="7">
        <f>IF($C1644="","",S1644*T1644)</f>
        <v/>
      </c>
      <c r="X1644">
        <f>IF($C1644="","",IF($AM1644=1,0,IF($AL1644=1,Settings!$C$6,Settings!$C$7))*100)</f>
        <v/>
      </c>
      <c r="AB1644" s="7" t="n"/>
      <c r="AE1644" s="11" t="n"/>
      <c r="AG1644" s="7">
        <f>IF($C1644="","",U1644*X1644/100)</f>
        <v/>
      </c>
      <c r="AH1644" s="7">
        <f>IF($C1644="","",U1644-AG1644)</f>
        <v/>
      </c>
      <c r="AI1644" s="7">
        <f>IF($C1644="","",AH1644-M1644)</f>
        <v/>
      </c>
      <c r="AJ1644">
        <f>IF($C1644="","",IF(COUNTIF($C$2:$C1644,$C1644)=1,1,0))</f>
        <v/>
      </c>
      <c r="AK1644">
        <f>IF($AJ1644=1,SUMPRODUCT(--($AN$2:$AN$4001&lt;$AN1644))+1,"")</f>
        <v/>
      </c>
      <c r="AL1644">
        <f>IF($C1644="","",IF(OR($Q1644=TRUE(),$Q1644="TRUE"),1,0))</f>
        <v/>
      </c>
      <c r="AM1644">
        <f>IF($C1644="","",IF($W1644="Yes",1,0))</f>
        <v/>
      </c>
      <c r="AN1644">
        <f>IF($AJ1644=1,IFERROR(IF(VALUE($C1644)&lt;100000000,VALUE($C1644),1000000000),IFERROR(IF(VALUE(MID($C1644,2,20))&lt;100000000,VALUE(MID($C1644,2,20)),1000000000),1000000000))+ROW()/100000,"")</f>
        <v/>
      </c>
    </row>
    <row r="1645">
      <c r="E1645" s="11" t="n"/>
      <c r="M1645" s="7">
        <f>IF($C1645="","",L1645*U1645/100)</f>
        <v/>
      </c>
      <c r="N1645" s="7" t="n"/>
      <c r="T1645" s="7" t="n"/>
      <c r="U1645" s="7">
        <f>IF($C1645="","",S1645*T1645)</f>
        <v/>
      </c>
      <c r="X1645">
        <f>IF($C1645="","",IF($AM1645=1,0,IF($AL1645=1,Settings!$C$6,Settings!$C$7))*100)</f>
        <v/>
      </c>
      <c r="AB1645" s="7" t="n"/>
      <c r="AE1645" s="11" t="n"/>
      <c r="AG1645" s="7">
        <f>IF($C1645="","",U1645*X1645/100)</f>
        <v/>
      </c>
      <c r="AH1645" s="7">
        <f>IF($C1645="","",U1645-AG1645)</f>
        <v/>
      </c>
      <c r="AI1645" s="7">
        <f>IF($C1645="","",AH1645-M1645)</f>
        <v/>
      </c>
      <c r="AJ1645">
        <f>IF($C1645="","",IF(COUNTIF($C$2:$C1645,$C1645)=1,1,0))</f>
        <v/>
      </c>
      <c r="AK1645">
        <f>IF($AJ1645=1,SUMPRODUCT(--($AN$2:$AN$4001&lt;$AN1645))+1,"")</f>
        <v/>
      </c>
      <c r="AL1645">
        <f>IF($C1645="","",IF(OR($Q1645=TRUE(),$Q1645="TRUE"),1,0))</f>
        <v/>
      </c>
      <c r="AM1645">
        <f>IF($C1645="","",IF($W1645="Yes",1,0))</f>
        <v/>
      </c>
      <c r="AN1645">
        <f>IF($AJ1645=1,IFERROR(IF(VALUE($C1645)&lt;100000000,VALUE($C1645),1000000000),IFERROR(IF(VALUE(MID($C1645,2,20))&lt;100000000,VALUE(MID($C1645,2,20)),1000000000),1000000000))+ROW()/100000,"")</f>
        <v/>
      </c>
    </row>
    <row r="1646">
      <c r="E1646" s="11" t="n"/>
      <c r="M1646" s="7">
        <f>IF($C1646="","",L1646*U1646/100)</f>
        <v/>
      </c>
      <c r="N1646" s="7" t="n"/>
      <c r="T1646" s="7" t="n"/>
      <c r="U1646" s="7">
        <f>IF($C1646="","",S1646*T1646)</f>
        <v/>
      </c>
      <c r="X1646">
        <f>IF($C1646="","",IF($AM1646=1,0,IF($AL1646=1,Settings!$C$6,Settings!$C$7))*100)</f>
        <v/>
      </c>
      <c r="AB1646" s="7" t="n"/>
      <c r="AE1646" s="11" t="n"/>
      <c r="AG1646" s="7">
        <f>IF($C1646="","",U1646*X1646/100)</f>
        <v/>
      </c>
      <c r="AH1646" s="7">
        <f>IF($C1646="","",U1646-AG1646)</f>
        <v/>
      </c>
      <c r="AI1646" s="7">
        <f>IF($C1646="","",AH1646-M1646)</f>
        <v/>
      </c>
      <c r="AJ1646">
        <f>IF($C1646="","",IF(COUNTIF($C$2:$C1646,$C1646)=1,1,0))</f>
        <v/>
      </c>
      <c r="AK1646">
        <f>IF($AJ1646=1,SUMPRODUCT(--($AN$2:$AN$4001&lt;$AN1646))+1,"")</f>
        <v/>
      </c>
      <c r="AL1646">
        <f>IF($C1646="","",IF(OR($Q1646=TRUE(),$Q1646="TRUE"),1,0))</f>
        <v/>
      </c>
      <c r="AM1646">
        <f>IF($C1646="","",IF($W1646="Yes",1,0))</f>
        <v/>
      </c>
      <c r="AN1646">
        <f>IF($AJ1646=1,IFERROR(IF(VALUE($C1646)&lt;100000000,VALUE($C1646),1000000000),IFERROR(IF(VALUE(MID($C1646,2,20))&lt;100000000,VALUE(MID($C1646,2,20)),1000000000),1000000000))+ROW()/100000,"")</f>
        <v/>
      </c>
    </row>
    <row r="1647">
      <c r="E1647" s="11" t="n"/>
      <c r="M1647" s="7">
        <f>IF($C1647="","",L1647*U1647/100)</f>
        <v/>
      </c>
      <c r="N1647" s="7" t="n"/>
      <c r="T1647" s="7" t="n"/>
      <c r="U1647" s="7">
        <f>IF($C1647="","",S1647*T1647)</f>
        <v/>
      </c>
      <c r="X1647">
        <f>IF($C1647="","",IF($AM1647=1,0,IF($AL1647=1,Settings!$C$6,Settings!$C$7))*100)</f>
        <v/>
      </c>
      <c r="AB1647" s="7" t="n"/>
      <c r="AE1647" s="11" t="n"/>
      <c r="AG1647" s="7">
        <f>IF($C1647="","",U1647*X1647/100)</f>
        <v/>
      </c>
      <c r="AH1647" s="7">
        <f>IF($C1647="","",U1647-AG1647)</f>
        <v/>
      </c>
      <c r="AI1647" s="7">
        <f>IF($C1647="","",AH1647-M1647)</f>
        <v/>
      </c>
      <c r="AJ1647">
        <f>IF($C1647="","",IF(COUNTIF($C$2:$C1647,$C1647)=1,1,0))</f>
        <v/>
      </c>
      <c r="AK1647">
        <f>IF($AJ1647=1,SUMPRODUCT(--($AN$2:$AN$4001&lt;$AN1647))+1,"")</f>
        <v/>
      </c>
      <c r="AL1647">
        <f>IF($C1647="","",IF(OR($Q1647=TRUE(),$Q1647="TRUE"),1,0))</f>
        <v/>
      </c>
      <c r="AM1647">
        <f>IF($C1647="","",IF($W1647="Yes",1,0))</f>
        <v/>
      </c>
      <c r="AN1647">
        <f>IF($AJ1647=1,IFERROR(IF(VALUE($C1647)&lt;100000000,VALUE($C1647),1000000000),IFERROR(IF(VALUE(MID($C1647,2,20))&lt;100000000,VALUE(MID($C1647,2,20)),1000000000),1000000000))+ROW()/100000,"")</f>
        <v/>
      </c>
    </row>
    <row r="1648">
      <c r="E1648" s="11" t="n"/>
      <c r="M1648" s="7">
        <f>IF($C1648="","",L1648*U1648/100)</f>
        <v/>
      </c>
      <c r="N1648" s="7" t="n"/>
      <c r="T1648" s="7" t="n"/>
      <c r="U1648" s="7">
        <f>IF($C1648="","",S1648*T1648)</f>
        <v/>
      </c>
      <c r="X1648">
        <f>IF($C1648="","",IF($AM1648=1,0,IF($AL1648=1,Settings!$C$6,Settings!$C$7))*100)</f>
        <v/>
      </c>
      <c r="AB1648" s="7" t="n"/>
      <c r="AE1648" s="11" t="n"/>
      <c r="AG1648" s="7">
        <f>IF($C1648="","",U1648*X1648/100)</f>
        <v/>
      </c>
      <c r="AH1648" s="7">
        <f>IF($C1648="","",U1648-AG1648)</f>
        <v/>
      </c>
      <c r="AI1648" s="7">
        <f>IF($C1648="","",AH1648-M1648)</f>
        <v/>
      </c>
      <c r="AJ1648">
        <f>IF($C1648="","",IF(COUNTIF($C$2:$C1648,$C1648)=1,1,0))</f>
        <v/>
      </c>
      <c r="AK1648">
        <f>IF($AJ1648=1,SUMPRODUCT(--($AN$2:$AN$4001&lt;$AN1648))+1,"")</f>
        <v/>
      </c>
      <c r="AL1648">
        <f>IF($C1648="","",IF(OR($Q1648=TRUE(),$Q1648="TRUE"),1,0))</f>
        <v/>
      </c>
      <c r="AM1648">
        <f>IF($C1648="","",IF($W1648="Yes",1,0))</f>
        <v/>
      </c>
      <c r="AN1648">
        <f>IF($AJ1648=1,IFERROR(IF(VALUE($C1648)&lt;100000000,VALUE($C1648),1000000000),IFERROR(IF(VALUE(MID($C1648,2,20))&lt;100000000,VALUE(MID($C1648,2,20)),1000000000),1000000000))+ROW()/100000,"")</f>
        <v/>
      </c>
    </row>
    <row r="1649">
      <c r="E1649" s="11" t="n"/>
      <c r="M1649" s="7">
        <f>IF($C1649="","",L1649*U1649/100)</f>
        <v/>
      </c>
      <c r="N1649" s="7" t="n"/>
      <c r="T1649" s="7" t="n"/>
      <c r="U1649" s="7">
        <f>IF($C1649="","",S1649*T1649)</f>
        <v/>
      </c>
      <c r="X1649">
        <f>IF($C1649="","",IF($AM1649=1,0,IF($AL1649=1,Settings!$C$6,Settings!$C$7))*100)</f>
        <v/>
      </c>
      <c r="AB1649" s="7" t="n"/>
      <c r="AE1649" s="11" t="n"/>
      <c r="AG1649" s="7">
        <f>IF($C1649="","",U1649*X1649/100)</f>
        <v/>
      </c>
      <c r="AH1649" s="7">
        <f>IF($C1649="","",U1649-AG1649)</f>
        <v/>
      </c>
      <c r="AI1649" s="7">
        <f>IF($C1649="","",AH1649-M1649)</f>
        <v/>
      </c>
      <c r="AJ1649">
        <f>IF($C1649="","",IF(COUNTIF($C$2:$C1649,$C1649)=1,1,0))</f>
        <v/>
      </c>
      <c r="AK1649">
        <f>IF($AJ1649=1,SUMPRODUCT(--($AN$2:$AN$4001&lt;$AN1649))+1,"")</f>
        <v/>
      </c>
      <c r="AL1649">
        <f>IF($C1649="","",IF(OR($Q1649=TRUE(),$Q1649="TRUE"),1,0))</f>
        <v/>
      </c>
      <c r="AM1649">
        <f>IF($C1649="","",IF($W1649="Yes",1,0))</f>
        <v/>
      </c>
      <c r="AN1649">
        <f>IF($AJ1649=1,IFERROR(IF(VALUE($C1649)&lt;100000000,VALUE($C1649),1000000000),IFERROR(IF(VALUE(MID($C1649,2,20))&lt;100000000,VALUE(MID($C1649,2,20)),1000000000),1000000000))+ROW()/100000,"")</f>
        <v/>
      </c>
    </row>
    <row r="1650">
      <c r="E1650" s="11" t="n"/>
      <c r="M1650" s="7">
        <f>IF($C1650="","",L1650*U1650/100)</f>
        <v/>
      </c>
      <c r="N1650" s="7" t="n"/>
      <c r="T1650" s="7" t="n"/>
      <c r="U1650" s="7">
        <f>IF($C1650="","",S1650*T1650)</f>
        <v/>
      </c>
      <c r="X1650">
        <f>IF($C1650="","",IF($AM1650=1,0,IF($AL1650=1,Settings!$C$6,Settings!$C$7))*100)</f>
        <v/>
      </c>
      <c r="AB1650" s="7" t="n"/>
      <c r="AE1650" s="11" t="n"/>
      <c r="AG1650" s="7">
        <f>IF($C1650="","",U1650*X1650/100)</f>
        <v/>
      </c>
      <c r="AH1650" s="7">
        <f>IF($C1650="","",U1650-AG1650)</f>
        <v/>
      </c>
      <c r="AI1650" s="7">
        <f>IF($C1650="","",AH1650-M1650)</f>
        <v/>
      </c>
      <c r="AJ1650">
        <f>IF($C1650="","",IF(COUNTIF($C$2:$C1650,$C1650)=1,1,0))</f>
        <v/>
      </c>
      <c r="AK1650">
        <f>IF($AJ1650=1,SUMPRODUCT(--($AN$2:$AN$4001&lt;$AN1650))+1,"")</f>
        <v/>
      </c>
      <c r="AL1650">
        <f>IF($C1650="","",IF(OR($Q1650=TRUE(),$Q1650="TRUE"),1,0))</f>
        <v/>
      </c>
      <c r="AM1650">
        <f>IF($C1650="","",IF($W1650="Yes",1,0))</f>
        <v/>
      </c>
      <c r="AN1650">
        <f>IF($AJ1650=1,IFERROR(IF(VALUE($C1650)&lt;100000000,VALUE($C1650),1000000000),IFERROR(IF(VALUE(MID($C1650,2,20))&lt;100000000,VALUE(MID($C1650,2,20)),1000000000),1000000000))+ROW()/100000,"")</f>
        <v/>
      </c>
    </row>
    <row r="1651">
      <c r="E1651" s="11" t="n"/>
      <c r="M1651" s="7">
        <f>IF($C1651="","",L1651*U1651/100)</f>
        <v/>
      </c>
      <c r="N1651" s="7" t="n"/>
      <c r="T1651" s="7" t="n"/>
      <c r="U1651" s="7">
        <f>IF($C1651="","",S1651*T1651)</f>
        <v/>
      </c>
      <c r="X1651">
        <f>IF($C1651="","",IF($AM1651=1,0,IF($AL1651=1,Settings!$C$6,Settings!$C$7))*100)</f>
        <v/>
      </c>
      <c r="AB1651" s="7" t="n"/>
      <c r="AE1651" s="11" t="n"/>
      <c r="AG1651" s="7">
        <f>IF($C1651="","",U1651*X1651/100)</f>
        <v/>
      </c>
      <c r="AH1651" s="7">
        <f>IF($C1651="","",U1651-AG1651)</f>
        <v/>
      </c>
      <c r="AI1651" s="7">
        <f>IF($C1651="","",AH1651-M1651)</f>
        <v/>
      </c>
      <c r="AJ1651">
        <f>IF($C1651="","",IF(COUNTIF($C$2:$C1651,$C1651)=1,1,0))</f>
        <v/>
      </c>
      <c r="AK1651">
        <f>IF($AJ1651=1,SUMPRODUCT(--($AN$2:$AN$4001&lt;$AN1651))+1,"")</f>
        <v/>
      </c>
      <c r="AL1651">
        <f>IF($C1651="","",IF(OR($Q1651=TRUE(),$Q1651="TRUE"),1,0))</f>
        <v/>
      </c>
      <c r="AM1651">
        <f>IF($C1651="","",IF($W1651="Yes",1,0))</f>
        <v/>
      </c>
      <c r="AN1651">
        <f>IF($AJ1651=1,IFERROR(IF(VALUE($C1651)&lt;100000000,VALUE($C1651),1000000000),IFERROR(IF(VALUE(MID($C1651,2,20))&lt;100000000,VALUE(MID($C1651,2,20)),1000000000),1000000000))+ROW()/100000,"")</f>
        <v/>
      </c>
    </row>
    <row r="1652">
      <c r="E1652" s="11" t="n"/>
      <c r="M1652" s="7">
        <f>IF($C1652="","",L1652*U1652/100)</f>
        <v/>
      </c>
      <c r="N1652" s="7" t="n"/>
      <c r="T1652" s="7" t="n"/>
      <c r="U1652" s="7">
        <f>IF($C1652="","",S1652*T1652)</f>
        <v/>
      </c>
      <c r="X1652">
        <f>IF($C1652="","",IF($AM1652=1,0,IF($AL1652=1,Settings!$C$6,Settings!$C$7))*100)</f>
        <v/>
      </c>
      <c r="AB1652" s="7" t="n"/>
      <c r="AE1652" s="11" t="n"/>
      <c r="AG1652" s="7">
        <f>IF($C1652="","",U1652*X1652/100)</f>
        <v/>
      </c>
      <c r="AH1652" s="7">
        <f>IF($C1652="","",U1652-AG1652)</f>
        <v/>
      </c>
      <c r="AI1652" s="7">
        <f>IF($C1652="","",AH1652-M1652)</f>
        <v/>
      </c>
      <c r="AJ1652">
        <f>IF($C1652="","",IF(COUNTIF($C$2:$C1652,$C1652)=1,1,0))</f>
        <v/>
      </c>
      <c r="AK1652">
        <f>IF($AJ1652=1,SUMPRODUCT(--($AN$2:$AN$4001&lt;$AN1652))+1,"")</f>
        <v/>
      </c>
      <c r="AL1652">
        <f>IF($C1652="","",IF(OR($Q1652=TRUE(),$Q1652="TRUE"),1,0))</f>
        <v/>
      </c>
      <c r="AM1652">
        <f>IF($C1652="","",IF($W1652="Yes",1,0))</f>
        <v/>
      </c>
      <c r="AN1652">
        <f>IF($AJ1652=1,IFERROR(IF(VALUE($C1652)&lt;100000000,VALUE($C1652),1000000000),IFERROR(IF(VALUE(MID($C1652,2,20))&lt;100000000,VALUE(MID($C1652,2,20)),1000000000),1000000000))+ROW()/100000,"")</f>
        <v/>
      </c>
    </row>
    <row r="1653">
      <c r="E1653" s="11" t="n"/>
      <c r="M1653" s="7">
        <f>IF($C1653="","",L1653*U1653/100)</f>
        <v/>
      </c>
      <c r="N1653" s="7" t="n"/>
      <c r="T1653" s="7" t="n"/>
      <c r="U1653" s="7">
        <f>IF($C1653="","",S1653*T1653)</f>
        <v/>
      </c>
      <c r="X1653">
        <f>IF($C1653="","",IF($AM1653=1,0,IF($AL1653=1,Settings!$C$6,Settings!$C$7))*100)</f>
        <v/>
      </c>
      <c r="AB1653" s="7" t="n"/>
      <c r="AE1653" s="11" t="n"/>
      <c r="AG1653" s="7">
        <f>IF($C1653="","",U1653*X1653/100)</f>
        <v/>
      </c>
      <c r="AH1653" s="7">
        <f>IF($C1653="","",U1653-AG1653)</f>
        <v/>
      </c>
      <c r="AI1653" s="7">
        <f>IF($C1653="","",AH1653-M1653)</f>
        <v/>
      </c>
      <c r="AJ1653">
        <f>IF($C1653="","",IF(COUNTIF($C$2:$C1653,$C1653)=1,1,0))</f>
        <v/>
      </c>
      <c r="AK1653">
        <f>IF($AJ1653=1,SUMPRODUCT(--($AN$2:$AN$4001&lt;$AN1653))+1,"")</f>
        <v/>
      </c>
      <c r="AL1653">
        <f>IF($C1653="","",IF(OR($Q1653=TRUE(),$Q1653="TRUE"),1,0))</f>
        <v/>
      </c>
      <c r="AM1653">
        <f>IF($C1653="","",IF($W1653="Yes",1,0))</f>
        <v/>
      </c>
      <c r="AN1653">
        <f>IF($AJ1653=1,IFERROR(IF(VALUE($C1653)&lt;100000000,VALUE($C1653),1000000000),IFERROR(IF(VALUE(MID($C1653,2,20))&lt;100000000,VALUE(MID($C1653,2,20)),1000000000),1000000000))+ROW()/100000,"")</f>
        <v/>
      </c>
    </row>
    <row r="1654">
      <c r="E1654" s="11" t="n"/>
      <c r="M1654" s="7">
        <f>IF($C1654="","",L1654*U1654/100)</f>
        <v/>
      </c>
      <c r="N1654" s="7" t="n"/>
      <c r="T1654" s="7" t="n"/>
      <c r="U1654" s="7">
        <f>IF($C1654="","",S1654*T1654)</f>
        <v/>
      </c>
      <c r="X1654">
        <f>IF($C1654="","",IF($AM1654=1,0,IF($AL1654=1,Settings!$C$6,Settings!$C$7))*100)</f>
        <v/>
      </c>
      <c r="AB1654" s="7" t="n"/>
      <c r="AE1654" s="11" t="n"/>
      <c r="AG1654" s="7">
        <f>IF($C1654="","",U1654*X1654/100)</f>
        <v/>
      </c>
      <c r="AH1654" s="7">
        <f>IF($C1654="","",U1654-AG1654)</f>
        <v/>
      </c>
      <c r="AI1654" s="7">
        <f>IF($C1654="","",AH1654-M1654)</f>
        <v/>
      </c>
      <c r="AJ1654">
        <f>IF($C1654="","",IF(COUNTIF($C$2:$C1654,$C1654)=1,1,0))</f>
        <v/>
      </c>
      <c r="AK1654">
        <f>IF($AJ1654=1,SUMPRODUCT(--($AN$2:$AN$4001&lt;$AN1654))+1,"")</f>
        <v/>
      </c>
      <c r="AL1654">
        <f>IF($C1654="","",IF(OR($Q1654=TRUE(),$Q1654="TRUE"),1,0))</f>
        <v/>
      </c>
      <c r="AM1654">
        <f>IF($C1654="","",IF($W1654="Yes",1,0))</f>
        <v/>
      </c>
      <c r="AN1654">
        <f>IF($AJ1654=1,IFERROR(IF(VALUE($C1654)&lt;100000000,VALUE($C1654),1000000000),IFERROR(IF(VALUE(MID($C1654,2,20))&lt;100000000,VALUE(MID($C1654,2,20)),1000000000),1000000000))+ROW()/100000,"")</f>
        <v/>
      </c>
    </row>
    <row r="1655">
      <c r="E1655" s="11" t="n"/>
      <c r="M1655" s="7">
        <f>IF($C1655="","",L1655*U1655/100)</f>
        <v/>
      </c>
      <c r="N1655" s="7" t="n"/>
      <c r="T1655" s="7" t="n"/>
      <c r="U1655" s="7">
        <f>IF($C1655="","",S1655*T1655)</f>
        <v/>
      </c>
      <c r="X1655">
        <f>IF($C1655="","",IF($AM1655=1,0,IF($AL1655=1,Settings!$C$6,Settings!$C$7))*100)</f>
        <v/>
      </c>
      <c r="AB1655" s="7" t="n"/>
      <c r="AE1655" s="11" t="n"/>
      <c r="AG1655" s="7">
        <f>IF($C1655="","",U1655*X1655/100)</f>
        <v/>
      </c>
      <c r="AH1655" s="7">
        <f>IF($C1655="","",U1655-AG1655)</f>
        <v/>
      </c>
      <c r="AI1655" s="7">
        <f>IF($C1655="","",AH1655-M1655)</f>
        <v/>
      </c>
      <c r="AJ1655">
        <f>IF($C1655="","",IF(COUNTIF($C$2:$C1655,$C1655)=1,1,0))</f>
        <v/>
      </c>
      <c r="AK1655">
        <f>IF($AJ1655=1,SUMPRODUCT(--($AN$2:$AN$4001&lt;$AN1655))+1,"")</f>
        <v/>
      </c>
      <c r="AL1655">
        <f>IF($C1655="","",IF(OR($Q1655=TRUE(),$Q1655="TRUE"),1,0))</f>
        <v/>
      </c>
      <c r="AM1655">
        <f>IF($C1655="","",IF($W1655="Yes",1,0))</f>
        <v/>
      </c>
      <c r="AN1655">
        <f>IF($AJ1655=1,IFERROR(IF(VALUE($C1655)&lt;100000000,VALUE($C1655),1000000000),IFERROR(IF(VALUE(MID($C1655,2,20))&lt;100000000,VALUE(MID($C1655,2,20)),1000000000),1000000000))+ROW()/100000,"")</f>
        <v/>
      </c>
    </row>
    <row r="1656">
      <c r="E1656" s="11" t="n"/>
      <c r="M1656" s="7">
        <f>IF($C1656="","",L1656*U1656/100)</f>
        <v/>
      </c>
      <c r="N1656" s="7" t="n"/>
      <c r="T1656" s="7" t="n"/>
      <c r="U1656" s="7">
        <f>IF($C1656="","",S1656*T1656)</f>
        <v/>
      </c>
      <c r="X1656">
        <f>IF($C1656="","",IF($AM1656=1,0,IF($AL1656=1,Settings!$C$6,Settings!$C$7))*100)</f>
        <v/>
      </c>
      <c r="AB1656" s="7" t="n"/>
      <c r="AE1656" s="11" t="n"/>
      <c r="AG1656" s="7">
        <f>IF($C1656="","",U1656*X1656/100)</f>
        <v/>
      </c>
      <c r="AH1656" s="7">
        <f>IF($C1656="","",U1656-AG1656)</f>
        <v/>
      </c>
      <c r="AI1656" s="7">
        <f>IF($C1656="","",AH1656-M1656)</f>
        <v/>
      </c>
      <c r="AJ1656">
        <f>IF($C1656="","",IF(COUNTIF($C$2:$C1656,$C1656)=1,1,0))</f>
        <v/>
      </c>
      <c r="AK1656">
        <f>IF($AJ1656=1,SUMPRODUCT(--($AN$2:$AN$4001&lt;$AN1656))+1,"")</f>
        <v/>
      </c>
      <c r="AL1656">
        <f>IF($C1656="","",IF(OR($Q1656=TRUE(),$Q1656="TRUE"),1,0))</f>
        <v/>
      </c>
      <c r="AM1656">
        <f>IF($C1656="","",IF($W1656="Yes",1,0))</f>
        <v/>
      </c>
      <c r="AN1656">
        <f>IF($AJ1656=1,IFERROR(IF(VALUE($C1656)&lt;100000000,VALUE($C1656),1000000000),IFERROR(IF(VALUE(MID($C1656,2,20))&lt;100000000,VALUE(MID($C1656,2,20)),1000000000),1000000000))+ROW()/100000,"")</f>
        <v/>
      </c>
    </row>
    <row r="1657">
      <c r="E1657" s="11" t="n"/>
      <c r="M1657" s="7">
        <f>IF($C1657="","",L1657*U1657/100)</f>
        <v/>
      </c>
      <c r="N1657" s="7" t="n"/>
      <c r="T1657" s="7" t="n"/>
      <c r="U1657" s="7">
        <f>IF($C1657="","",S1657*T1657)</f>
        <v/>
      </c>
      <c r="X1657">
        <f>IF($C1657="","",IF($AM1657=1,0,IF($AL1657=1,Settings!$C$6,Settings!$C$7))*100)</f>
        <v/>
      </c>
      <c r="AB1657" s="7" t="n"/>
      <c r="AE1657" s="11" t="n"/>
      <c r="AG1657" s="7">
        <f>IF($C1657="","",U1657*X1657/100)</f>
        <v/>
      </c>
      <c r="AH1657" s="7">
        <f>IF($C1657="","",U1657-AG1657)</f>
        <v/>
      </c>
      <c r="AI1657" s="7">
        <f>IF($C1657="","",AH1657-M1657)</f>
        <v/>
      </c>
      <c r="AJ1657">
        <f>IF($C1657="","",IF(COUNTIF($C$2:$C1657,$C1657)=1,1,0))</f>
        <v/>
      </c>
      <c r="AK1657">
        <f>IF($AJ1657=1,SUMPRODUCT(--($AN$2:$AN$4001&lt;$AN1657))+1,"")</f>
        <v/>
      </c>
      <c r="AL1657">
        <f>IF($C1657="","",IF(OR($Q1657=TRUE(),$Q1657="TRUE"),1,0))</f>
        <v/>
      </c>
      <c r="AM1657">
        <f>IF($C1657="","",IF($W1657="Yes",1,0))</f>
        <v/>
      </c>
      <c r="AN1657">
        <f>IF($AJ1657=1,IFERROR(IF(VALUE($C1657)&lt;100000000,VALUE($C1657),1000000000),IFERROR(IF(VALUE(MID($C1657,2,20))&lt;100000000,VALUE(MID($C1657,2,20)),1000000000),1000000000))+ROW()/100000,"")</f>
        <v/>
      </c>
    </row>
    <row r="1658">
      <c r="E1658" s="11" t="n"/>
      <c r="M1658" s="7">
        <f>IF($C1658="","",L1658*U1658/100)</f>
        <v/>
      </c>
      <c r="N1658" s="7" t="n"/>
      <c r="T1658" s="7" t="n"/>
      <c r="U1658" s="7">
        <f>IF($C1658="","",S1658*T1658)</f>
        <v/>
      </c>
      <c r="X1658">
        <f>IF($C1658="","",IF($AM1658=1,0,IF($AL1658=1,Settings!$C$6,Settings!$C$7))*100)</f>
        <v/>
      </c>
      <c r="AB1658" s="7" t="n"/>
      <c r="AE1658" s="11" t="n"/>
      <c r="AG1658" s="7">
        <f>IF($C1658="","",U1658*X1658/100)</f>
        <v/>
      </c>
      <c r="AH1658" s="7">
        <f>IF($C1658="","",U1658-AG1658)</f>
        <v/>
      </c>
      <c r="AI1658" s="7">
        <f>IF($C1658="","",AH1658-M1658)</f>
        <v/>
      </c>
      <c r="AJ1658">
        <f>IF($C1658="","",IF(COUNTIF($C$2:$C1658,$C1658)=1,1,0))</f>
        <v/>
      </c>
      <c r="AK1658">
        <f>IF($AJ1658=1,SUMPRODUCT(--($AN$2:$AN$4001&lt;$AN1658))+1,"")</f>
        <v/>
      </c>
      <c r="AL1658">
        <f>IF($C1658="","",IF(OR($Q1658=TRUE(),$Q1658="TRUE"),1,0))</f>
        <v/>
      </c>
      <c r="AM1658">
        <f>IF($C1658="","",IF($W1658="Yes",1,0))</f>
        <v/>
      </c>
      <c r="AN1658">
        <f>IF($AJ1658=1,IFERROR(IF(VALUE($C1658)&lt;100000000,VALUE($C1658),1000000000),IFERROR(IF(VALUE(MID($C1658,2,20))&lt;100000000,VALUE(MID($C1658,2,20)),1000000000),1000000000))+ROW()/100000,"")</f>
        <v/>
      </c>
    </row>
    <row r="1659">
      <c r="E1659" s="11" t="n"/>
      <c r="M1659" s="7">
        <f>IF($C1659="","",L1659*U1659/100)</f>
        <v/>
      </c>
      <c r="N1659" s="7" t="n"/>
      <c r="T1659" s="7" t="n"/>
      <c r="U1659" s="7">
        <f>IF($C1659="","",S1659*T1659)</f>
        <v/>
      </c>
      <c r="X1659">
        <f>IF($C1659="","",IF($AM1659=1,0,IF($AL1659=1,Settings!$C$6,Settings!$C$7))*100)</f>
        <v/>
      </c>
      <c r="AB1659" s="7" t="n"/>
      <c r="AE1659" s="11" t="n"/>
      <c r="AG1659" s="7">
        <f>IF($C1659="","",U1659*X1659/100)</f>
        <v/>
      </c>
      <c r="AH1659" s="7">
        <f>IF($C1659="","",U1659-AG1659)</f>
        <v/>
      </c>
      <c r="AI1659" s="7">
        <f>IF($C1659="","",AH1659-M1659)</f>
        <v/>
      </c>
      <c r="AJ1659">
        <f>IF($C1659="","",IF(COUNTIF($C$2:$C1659,$C1659)=1,1,0))</f>
        <v/>
      </c>
      <c r="AK1659">
        <f>IF($AJ1659=1,SUMPRODUCT(--($AN$2:$AN$4001&lt;$AN1659))+1,"")</f>
        <v/>
      </c>
      <c r="AL1659">
        <f>IF($C1659="","",IF(OR($Q1659=TRUE(),$Q1659="TRUE"),1,0))</f>
        <v/>
      </c>
      <c r="AM1659">
        <f>IF($C1659="","",IF($W1659="Yes",1,0))</f>
        <v/>
      </c>
      <c r="AN1659">
        <f>IF($AJ1659=1,IFERROR(IF(VALUE($C1659)&lt;100000000,VALUE($C1659),1000000000),IFERROR(IF(VALUE(MID($C1659,2,20))&lt;100000000,VALUE(MID($C1659,2,20)),1000000000),1000000000))+ROW()/100000,"")</f>
        <v/>
      </c>
    </row>
    <row r="1660">
      <c r="E1660" s="11" t="n"/>
      <c r="M1660" s="7">
        <f>IF($C1660="","",L1660*U1660/100)</f>
        <v/>
      </c>
      <c r="N1660" s="7" t="n"/>
      <c r="T1660" s="7" t="n"/>
      <c r="U1660" s="7">
        <f>IF($C1660="","",S1660*T1660)</f>
        <v/>
      </c>
      <c r="X1660">
        <f>IF($C1660="","",IF($AM1660=1,0,IF($AL1660=1,Settings!$C$6,Settings!$C$7))*100)</f>
        <v/>
      </c>
      <c r="AB1660" s="7" t="n"/>
      <c r="AE1660" s="11" t="n"/>
      <c r="AG1660" s="7">
        <f>IF($C1660="","",U1660*X1660/100)</f>
        <v/>
      </c>
      <c r="AH1660" s="7">
        <f>IF($C1660="","",U1660-AG1660)</f>
        <v/>
      </c>
      <c r="AI1660" s="7">
        <f>IF($C1660="","",AH1660-M1660)</f>
        <v/>
      </c>
      <c r="AJ1660">
        <f>IF($C1660="","",IF(COUNTIF($C$2:$C1660,$C1660)=1,1,0))</f>
        <v/>
      </c>
      <c r="AK1660">
        <f>IF($AJ1660=1,SUMPRODUCT(--($AN$2:$AN$4001&lt;$AN1660))+1,"")</f>
        <v/>
      </c>
      <c r="AL1660">
        <f>IF($C1660="","",IF(OR($Q1660=TRUE(),$Q1660="TRUE"),1,0))</f>
        <v/>
      </c>
      <c r="AM1660">
        <f>IF($C1660="","",IF($W1660="Yes",1,0))</f>
        <v/>
      </c>
      <c r="AN1660">
        <f>IF($AJ1660=1,IFERROR(IF(VALUE($C1660)&lt;100000000,VALUE($C1660),1000000000),IFERROR(IF(VALUE(MID($C1660,2,20))&lt;100000000,VALUE(MID($C1660,2,20)),1000000000),1000000000))+ROW()/100000,"")</f>
        <v/>
      </c>
    </row>
    <row r="1661">
      <c r="E1661" s="11" t="n"/>
      <c r="M1661" s="7">
        <f>IF($C1661="","",L1661*U1661/100)</f>
        <v/>
      </c>
      <c r="N1661" s="7" t="n"/>
      <c r="T1661" s="7" t="n"/>
      <c r="U1661" s="7">
        <f>IF($C1661="","",S1661*T1661)</f>
        <v/>
      </c>
      <c r="X1661">
        <f>IF($C1661="","",IF($AM1661=1,0,IF($AL1661=1,Settings!$C$6,Settings!$C$7))*100)</f>
        <v/>
      </c>
      <c r="AB1661" s="7" t="n"/>
      <c r="AE1661" s="11" t="n"/>
      <c r="AG1661" s="7">
        <f>IF($C1661="","",U1661*X1661/100)</f>
        <v/>
      </c>
      <c r="AH1661" s="7">
        <f>IF($C1661="","",U1661-AG1661)</f>
        <v/>
      </c>
      <c r="AI1661" s="7">
        <f>IF($C1661="","",AH1661-M1661)</f>
        <v/>
      </c>
      <c r="AJ1661">
        <f>IF($C1661="","",IF(COUNTIF($C$2:$C1661,$C1661)=1,1,0))</f>
        <v/>
      </c>
      <c r="AK1661">
        <f>IF($AJ1661=1,SUMPRODUCT(--($AN$2:$AN$4001&lt;$AN1661))+1,"")</f>
        <v/>
      </c>
      <c r="AL1661">
        <f>IF($C1661="","",IF(OR($Q1661=TRUE(),$Q1661="TRUE"),1,0))</f>
        <v/>
      </c>
      <c r="AM1661">
        <f>IF($C1661="","",IF($W1661="Yes",1,0))</f>
        <v/>
      </c>
      <c r="AN1661">
        <f>IF($AJ1661=1,IFERROR(IF(VALUE($C1661)&lt;100000000,VALUE($C1661),1000000000),IFERROR(IF(VALUE(MID($C1661,2,20))&lt;100000000,VALUE(MID($C1661,2,20)),1000000000),1000000000))+ROW()/100000,"")</f>
        <v/>
      </c>
    </row>
    <row r="1662">
      <c r="E1662" s="11" t="n"/>
      <c r="M1662" s="7">
        <f>IF($C1662="","",L1662*U1662/100)</f>
        <v/>
      </c>
      <c r="N1662" s="7" t="n"/>
      <c r="T1662" s="7" t="n"/>
      <c r="U1662" s="7">
        <f>IF($C1662="","",S1662*T1662)</f>
        <v/>
      </c>
      <c r="X1662">
        <f>IF($C1662="","",IF($AM1662=1,0,IF($AL1662=1,Settings!$C$6,Settings!$C$7))*100)</f>
        <v/>
      </c>
      <c r="AB1662" s="7" t="n"/>
      <c r="AE1662" s="11" t="n"/>
      <c r="AG1662" s="7">
        <f>IF($C1662="","",U1662*X1662/100)</f>
        <v/>
      </c>
      <c r="AH1662" s="7">
        <f>IF($C1662="","",U1662-AG1662)</f>
        <v/>
      </c>
      <c r="AI1662" s="7">
        <f>IF($C1662="","",AH1662-M1662)</f>
        <v/>
      </c>
      <c r="AJ1662">
        <f>IF($C1662="","",IF(COUNTIF($C$2:$C1662,$C1662)=1,1,0))</f>
        <v/>
      </c>
      <c r="AK1662">
        <f>IF($AJ1662=1,SUMPRODUCT(--($AN$2:$AN$4001&lt;$AN1662))+1,"")</f>
        <v/>
      </c>
      <c r="AL1662">
        <f>IF($C1662="","",IF(OR($Q1662=TRUE(),$Q1662="TRUE"),1,0))</f>
        <v/>
      </c>
      <c r="AM1662">
        <f>IF($C1662="","",IF($W1662="Yes",1,0))</f>
        <v/>
      </c>
      <c r="AN1662">
        <f>IF($AJ1662=1,IFERROR(IF(VALUE($C1662)&lt;100000000,VALUE($C1662),1000000000),IFERROR(IF(VALUE(MID($C1662,2,20))&lt;100000000,VALUE(MID($C1662,2,20)),1000000000),1000000000))+ROW()/100000,"")</f>
        <v/>
      </c>
    </row>
    <row r="1663">
      <c r="E1663" s="11" t="n"/>
      <c r="M1663" s="7">
        <f>IF($C1663="","",L1663*U1663/100)</f>
        <v/>
      </c>
      <c r="N1663" s="7" t="n"/>
      <c r="T1663" s="7" t="n"/>
      <c r="U1663" s="7">
        <f>IF($C1663="","",S1663*T1663)</f>
        <v/>
      </c>
      <c r="X1663">
        <f>IF($C1663="","",IF($AM1663=1,0,IF($AL1663=1,Settings!$C$6,Settings!$C$7))*100)</f>
        <v/>
      </c>
      <c r="AB1663" s="7" t="n"/>
      <c r="AE1663" s="11" t="n"/>
      <c r="AG1663" s="7">
        <f>IF($C1663="","",U1663*X1663/100)</f>
        <v/>
      </c>
      <c r="AH1663" s="7">
        <f>IF($C1663="","",U1663-AG1663)</f>
        <v/>
      </c>
      <c r="AI1663" s="7">
        <f>IF($C1663="","",AH1663-M1663)</f>
        <v/>
      </c>
      <c r="AJ1663">
        <f>IF($C1663="","",IF(COUNTIF($C$2:$C1663,$C1663)=1,1,0))</f>
        <v/>
      </c>
      <c r="AK1663">
        <f>IF($AJ1663=1,SUMPRODUCT(--($AN$2:$AN$4001&lt;$AN1663))+1,"")</f>
        <v/>
      </c>
      <c r="AL1663">
        <f>IF($C1663="","",IF(OR($Q1663=TRUE(),$Q1663="TRUE"),1,0))</f>
        <v/>
      </c>
      <c r="AM1663">
        <f>IF($C1663="","",IF($W1663="Yes",1,0))</f>
        <v/>
      </c>
      <c r="AN1663">
        <f>IF($AJ1663=1,IFERROR(IF(VALUE($C1663)&lt;100000000,VALUE($C1663),1000000000),IFERROR(IF(VALUE(MID($C1663,2,20))&lt;100000000,VALUE(MID($C1663,2,20)),1000000000),1000000000))+ROW()/100000,"")</f>
        <v/>
      </c>
    </row>
    <row r="1664">
      <c r="E1664" s="11" t="n"/>
      <c r="M1664" s="7">
        <f>IF($C1664="","",L1664*U1664/100)</f>
        <v/>
      </c>
      <c r="N1664" s="7" t="n"/>
      <c r="T1664" s="7" t="n"/>
      <c r="U1664" s="7">
        <f>IF($C1664="","",S1664*T1664)</f>
        <v/>
      </c>
      <c r="X1664">
        <f>IF($C1664="","",IF($AM1664=1,0,IF($AL1664=1,Settings!$C$6,Settings!$C$7))*100)</f>
        <v/>
      </c>
      <c r="AB1664" s="7" t="n"/>
      <c r="AE1664" s="11" t="n"/>
      <c r="AG1664" s="7">
        <f>IF($C1664="","",U1664*X1664/100)</f>
        <v/>
      </c>
      <c r="AH1664" s="7">
        <f>IF($C1664="","",U1664-AG1664)</f>
        <v/>
      </c>
      <c r="AI1664" s="7">
        <f>IF($C1664="","",AH1664-M1664)</f>
        <v/>
      </c>
      <c r="AJ1664">
        <f>IF($C1664="","",IF(COUNTIF($C$2:$C1664,$C1664)=1,1,0))</f>
        <v/>
      </c>
      <c r="AK1664">
        <f>IF($AJ1664=1,SUMPRODUCT(--($AN$2:$AN$4001&lt;$AN1664))+1,"")</f>
        <v/>
      </c>
      <c r="AL1664">
        <f>IF($C1664="","",IF(OR($Q1664=TRUE(),$Q1664="TRUE"),1,0))</f>
        <v/>
      </c>
      <c r="AM1664">
        <f>IF($C1664="","",IF($W1664="Yes",1,0))</f>
        <v/>
      </c>
      <c r="AN1664">
        <f>IF($AJ1664=1,IFERROR(IF(VALUE($C1664)&lt;100000000,VALUE($C1664),1000000000),IFERROR(IF(VALUE(MID($C1664,2,20))&lt;100000000,VALUE(MID($C1664,2,20)),1000000000),1000000000))+ROW()/100000,"")</f>
        <v/>
      </c>
    </row>
    <row r="1665">
      <c r="E1665" s="11" t="n"/>
      <c r="M1665" s="7">
        <f>IF($C1665="","",L1665*U1665/100)</f>
        <v/>
      </c>
      <c r="N1665" s="7" t="n"/>
      <c r="T1665" s="7" t="n"/>
      <c r="U1665" s="7">
        <f>IF($C1665="","",S1665*T1665)</f>
        <v/>
      </c>
      <c r="X1665">
        <f>IF($C1665="","",IF($AM1665=1,0,IF($AL1665=1,Settings!$C$6,Settings!$C$7))*100)</f>
        <v/>
      </c>
      <c r="AB1665" s="7" t="n"/>
      <c r="AE1665" s="11" t="n"/>
      <c r="AG1665" s="7">
        <f>IF($C1665="","",U1665*X1665/100)</f>
        <v/>
      </c>
      <c r="AH1665" s="7">
        <f>IF($C1665="","",U1665-AG1665)</f>
        <v/>
      </c>
      <c r="AI1665" s="7">
        <f>IF($C1665="","",AH1665-M1665)</f>
        <v/>
      </c>
      <c r="AJ1665">
        <f>IF($C1665="","",IF(COUNTIF($C$2:$C1665,$C1665)=1,1,0))</f>
        <v/>
      </c>
      <c r="AK1665">
        <f>IF($AJ1665=1,SUMPRODUCT(--($AN$2:$AN$4001&lt;$AN1665))+1,"")</f>
        <v/>
      </c>
      <c r="AL1665">
        <f>IF($C1665="","",IF(OR($Q1665=TRUE(),$Q1665="TRUE"),1,0))</f>
        <v/>
      </c>
      <c r="AM1665">
        <f>IF($C1665="","",IF($W1665="Yes",1,0))</f>
        <v/>
      </c>
      <c r="AN1665">
        <f>IF($AJ1665=1,IFERROR(IF(VALUE($C1665)&lt;100000000,VALUE($C1665),1000000000),IFERROR(IF(VALUE(MID($C1665,2,20))&lt;100000000,VALUE(MID($C1665,2,20)),1000000000),1000000000))+ROW()/100000,"")</f>
        <v/>
      </c>
    </row>
    <row r="1666">
      <c r="E1666" s="11" t="n"/>
      <c r="M1666" s="7">
        <f>IF($C1666="","",L1666*U1666/100)</f>
        <v/>
      </c>
      <c r="N1666" s="7" t="n"/>
      <c r="T1666" s="7" t="n"/>
      <c r="U1666" s="7">
        <f>IF($C1666="","",S1666*T1666)</f>
        <v/>
      </c>
      <c r="X1666">
        <f>IF($C1666="","",IF($AM1666=1,0,IF($AL1666=1,Settings!$C$6,Settings!$C$7))*100)</f>
        <v/>
      </c>
      <c r="AB1666" s="7" t="n"/>
      <c r="AE1666" s="11" t="n"/>
      <c r="AG1666" s="7">
        <f>IF($C1666="","",U1666*X1666/100)</f>
        <v/>
      </c>
      <c r="AH1666" s="7">
        <f>IF($C1666="","",U1666-AG1666)</f>
        <v/>
      </c>
      <c r="AI1666" s="7">
        <f>IF($C1666="","",AH1666-M1666)</f>
        <v/>
      </c>
      <c r="AJ1666">
        <f>IF($C1666="","",IF(COUNTIF($C$2:$C1666,$C1666)=1,1,0))</f>
        <v/>
      </c>
      <c r="AK1666">
        <f>IF($AJ1666=1,SUMPRODUCT(--($AN$2:$AN$4001&lt;$AN1666))+1,"")</f>
        <v/>
      </c>
      <c r="AL1666">
        <f>IF($C1666="","",IF(OR($Q1666=TRUE(),$Q1666="TRUE"),1,0))</f>
        <v/>
      </c>
      <c r="AM1666">
        <f>IF($C1666="","",IF($W1666="Yes",1,0))</f>
        <v/>
      </c>
      <c r="AN1666">
        <f>IF($AJ1666=1,IFERROR(IF(VALUE($C1666)&lt;100000000,VALUE($C1666),1000000000),IFERROR(IF(VALUE(MID($C1666,2,20))&lt;100000000,VALUE(MID($C1666,2,20)),1000000000),1000000000))+ROW()/100000,"")</f>
        <v/>
      </c>
    </row>
    <row r="1667">
      <c r="E1667" s="11" t="n"/>
      <c r="M1667" s="7">
        <f>IF($C1667="","",L1667*U1667/100)</f>
        <v/>
      </c>
      <c r="N1667" s="7" t="n"/>
      <c r="T1667" s="7" t="n"/>
      <c r="U1667" s="7">
        <f>IF($C1667="","",S1667*T1667)</f>
        <v/>
      </c>
      <c r="X1667">
        <f>IF($C1667="","",IF($AM1667=1,0,IF($AL1667=1,Settings!$C$6,Settings!$C$7))*100)</f>
        <v/>
      </c>
      <c r="AB1667" s="7" t="n"/>
      <c r="AE1667" s="11" t="n"/>
      <c r="AG1667" s="7">
        <f>IF($C1667="","",U1667*X1667/100)</f>
        <v/>
      </c>
      <c r="AH1667" s="7">
        <f>IF($C1667="","",U1667-AG1667)</f>
        <v/>
      </c>
      <c r="AI1667" s="7">
        <f>IF($C1667="","",AH1667-M1667)</f>
        <v/>
      </c>
      <c r="AJ1667">
        <f>IF($C1667="","",IF(COUNTIF($C$2:$C1667,$C1667)=1,1,0))</f>
        <v/>
      </c>
      <c r="AK1667">
        <f>IF($AJ1667=1,SUMPRODUCT(--($AN$2:$AN$4001&lt;$AN1667))+1,"")</f>
        <v/>
      </c>
      <c r="AL1667">
        <f>IF($C1667="","",IF(OR($Q1667=TRUE(),$Q1667="TRUE"),1,0))</f>
        <v/>
      </c>
      <c r="AM1667">
        <f>IF($C1667="","",IF($W1667="Yes",1,0))</f>
        <v/>
      </c>
      <c r="AN1667">
        <f>IF($AJ1667=1,IFERROR(IF(VALUE($C1667)&lt;100000000,VALUE($C1667),1000000000),IFERROR(IF(VALUE(MID($C1667,2,20))&lt;100000000,VALUE(MID($C1667,2,20)),1000000000),1000000000))+ROW()/100000,"")</f>
        <v/>
      </c>
    </row>
    <row r="1668">
      <c r="E1668" s="11" t="n"/>
      <c r="M1668" s="7">
        <f>IF($C1668="","",L1668*U1668/100)</f>
        <v/>
      </c>
      <c r="N1668" s="7" t="n"/>
      <c r="T1668" s="7" t="n"/>
      <c r="U1668" s="7">
        <f>IF($C1668="","",S1668*T1668)</f>
        <v/>
      </c>
      <c r="X1668">
        <f>IF($C1668="","",IF($AM1668=1,0,IF($AL1668=1,Settings!$C$6,Settings!$C$7))*100)</f>
        <v/>
      </c>
      <c r="AB1668" s="7" t="n"/>
      <c r="AE1668" s="11" t="n"/>
      <c r="AG1668" s="7">
        <f>IF($C1668="","",U1668*X1668/100)</f>
        <v/>
      </c>
      <c r="AH1668" s="7">
        <f>IF($C1668="","",U1668-AG1668)</f>
        <v/>
      </c>
      <c r="AI1668" s="7">
        <f>IF($C1668="","",AH1668-M1668)</f>
        <v/>
      </c>
      <c r="AJ1668">
        <f>IF($C1668="","",IF(COUNTIF($C$2:$C1668,$C1668)=1,1,0))</f>
        <v/>
      </c>
      <c r="AK1668">
        <f>IF($AJ1668=1,SUMPRODUCT(--($AN$2:$AN$4001&lt;$AN1668))+1,"")</f>
        <v/>
      </c>
      <c r="AL1668">
        <f>IF($C1668="","",IF(OR($Q1668=TRUE(),$Q1668="TRUE"),1,0))</f>
        <v/>
      </c>
      <c r="AM1668">
        <f>IF($C1668="","",IF($W1668="Yes",1,0))</f>
        <v/>
      </c>
      <c r="AN1668">
        <f>IF($AJ1668=1,IFERROR(IF(VALUE($C1668)&lt;100000000,VALUE($C1668),1000000000),IFERROR(IF(VALUE(MID($C1668,2,20))&lt;100000000,VALUE(MID($C1668,2,20)),1000000000),1000000000))+ROW()/100000,"")</f>
        <v/>
      </c>
    </row>
    <row r="1669">
      <c r="E1669" s="11" t="n"/>
      <c r="M1669" s="7">
        <f>IF($C1669="","",L1669*U1669/100)</f>
        <v/>
      </c>
      <c r="N1669" s="7" t="n"/>
      <c r="T1669" s="7" t="n"/>
      <c r="U1669" s="7">
        <f>IF($C1669="","",S1669*T1669)</f>
        <v/>
      </c>
      <c r="X1669">
        <f>IF($C1669="","",IF($AM1669=1,0,IF($AL1669=1,Settings!$C$6,Settings!$C$7))*100)</f>
        <v/>
      </c>
      <c r="AB1669" s="7" t="n"/>
      <c r="AE1669" s="11" t="n"/>
      <c r="AG1669" s="7">
        <f>IF($C1669="","",U1669*X1669/100)</f>
        <v/>
      </c>
      <c r="AH1669" s="7">
        <f>IF($C1669="","",U1669-AG1669)</f>
        <v/>
      </c>
      <c r="AI1669" s="7">
        <f>IF($C1669="","",AH1669-M1669)</f>
        <v/>
      </c>
      <c r="AJ1669">
        <f>IF($C1669="","",IF(COUNTIF($C$2:$C1669,$C1669)=1,1,0))</f>
        <v/>
      </c>
      <c r="AK1669">
        <f>IF($AJ1669=1,SUMPRODUCT(--($AN$2:$AN$4001&lt;$AN1669))+1,"")</f>
        <v/>
      </c>
      <c r="AL1669">
        <f>IF($C1669="","",IF(OR($Q1669=TRUE(),$Q1669="TRUE"),1,0))</f>
        <v/>
      </c>
      <c r="AM1669">
        <f>IF($C1669="","",IF($W1669="Yes",1,0))</f>
        <v/>
      </c>
      <c r="AN1669">
        <f>IF($AJ1669=1,IFERROR(IF(VALUE($C1669)&lt;100000000,VALUE($C1669),1000000000),IFERROR(IF(VALUE(MID($C1669,2,20))&lt;100000000,VALUE(MID($C1669,2,20)),1000000000),1000000000))+ROW()/100000,"")</f>
        <v/>
      </c>
    </row>
    <row r="1670">
      <c r="E1670" s="11" t="n"/>
      <c r="M1670" s="7">
        <f>IF($C1670="","",L1670*U1670/100)</f>
        <v/>
      </c>
      <c r="N1670" s="7" t="n"/>
      <c r="T1670" s="7" t="n"/>
      <c r="U1670" s="7">
        <f>IF($C1670="","",S1670*T1670)</f>
        <v/>
      </c>
      <c r="X1670">
        <f>IF($C1670="","",IF($AM1670=1,0,IF($AL1670=1,Settings!$C$6,Settings!$C$7))*100)</f>
        <v/>
      </c>
      <c r="AB1670" s="7" t="n"/>
      <c r="AE1670" s="11" t="n"/>
      <c r="AG1670" s="7">
        <f>IF($C1670="","",U1670*X1670/100)</f>
        <v/>
      </c>
      <c r="AH1670" s="7">
        <f>IF($C1670="","",U1670-AG1670)</f>
        <v/>
      </c>
      <c r="AI1670" s="7">
        <f>IF($C1670="","",AH1670-M1670)</f>
        <v/>
      </c>
      <c r="AJ1670">
        <f>IF($C1670="","",IF(COUNTIF($C$2:$C1670,$C1670)=1,1,0))</f>
        <v/>
      </c>
      <c r="AK1670">
        <f>IF($AJ1670=1,SUMPRODUCT(--($AN$2:$AN$4001&lt;$AN1670))+1,"")</f>
        <v/>
      </c>
      <c r="AL1670">
        <f>IF($C1670="","",IF(OR($Q1670=TRUE(),$Q1670="TRUE"),1,0))</f>
        <v/>
      </c>
      <c r="AM1670">
        <f>IF($C1670="","",IF($W1670="Yes",1,0))</f>
        <v/>
      </c>
      <c r="AN1670">
        <f>IF($AJ1670=1,IFERROR(IF(VALUE($C1670)&lt;100000000,VALUE($C1670),1000000000),IFERROR(IF(VALUE(MID($C1670,2,20))&lt;100000000,VALUE(MID($C1670,2,20)),1000000000),1000000000))+ROW()/100000,"")</f>
        <v/>
      </c>
    </row>
    <row r="1671">
      <c r="E1671" s="11" t="n"/>
      <c r="M1671" s="7">
        <f>IF($C1671="","",L1671*U1671/100)</f>
        <v/>
      </c>
      <c r="N1671" s="7" t="n"/>
      <c r="T1671" s="7" t="n"/>
      <c r="U1671" s="7">
        <f>IF($C1671="","",S1671*T1671)</f>
        <v/>
      </c>
      <c r="X1671">
        <f>IF($C1671="","",IF($AM1671=1,0,IF($AL1671=1,Settings!$C$6,Settings!$C$7))*100)</f>
        <v/>
      </c>
      <c r="AB1671" s="7" t="n"/>
      <c r="AE1671" s="11" t="n"/>
      <c r="AG1671" s="7">
        <f>IF($C1671="","",U1671*X1671/100)</f>
        <v/>
      </c>
      <c r="AH1671" s="7">
        <f>IF($C1671="","",U1671-AG1671)</f>
        <v/>
      </c>
      <c r="AI1671" s="7">
        <f>IF($C1671="","",AH1671-M1671)</f>
        <v/>
      </c>
      <c r="AJ1671">
        <f>IF($C1671="","",IF(COUNTIF($C$2:$C1671,$C1671)=1,1,0))</f>
        <v/>
      </c>
      <c r="AK1671">
        <f>IF($AJ1671=1,SUMPRODUCT(--($AN$2:$AN$4001&lt;$AN1671))+1,"")</f>
        <v/>
      </c>
      <c r="AL1671">
        <f>IF($C1671="","",IF(OR($Q1671=TRUE(),$Q1671="TRUE"),1,0))</f>
        <v/>
      </c>
      <c r="AM1671">
        <f>IF($C1671="","",IF($W1671="Yes",1,0))</f>
        <v/>
      </c>
      <c r="AN1671">
        <f>IF($AJ1671=1,IFERROR(IF(VALUE($C1671)&lt;100000000,VALUE($C1671),1000000000),IFERROR(IF(VALUE(MID($C1671,2,20))&lt;100000000,VALUE(MID($C1671,2,20)),1000000000),1000000000))+ROW()/100000,"")</f>
        <v/>
      </c>
    </row>
    <row r="1672">
      <c r="E1672" s="11" t="n"/>
      <c r="M1672" s="7">
        <f>IF($C1672="","",L1672*U1672/100)</f>
        <v/>
      </c>
      <c r="N1672" s="7" t="n"/>
      <c r="T1672" s="7" t="n"/>
      <c r="U1672" s="7">
        <f>IF($C1672="","",S1672*T1672)</f>
        <v/>
      </c>
      <c r="X1672">
        <f>IF($C1672="","",IF($AM1672=1,0,IF($AL1672=1,Settings!$C$6,Settings!$C$7))*100)</f>
        <v/>
      </c>
      <c r="AB1672" s="7" t="n"/>
      <c r="AE1672" s="11" t="n"/>
      <c r="AG1672" s="7">
        <f>IF($C1672="","",U1672*X1672/100)</f>
        <v/>
      </c>
      <c r="AH1672" s="7">
        <f>IF($C1672="","",U1672-AG1672)</f>
        <v/>
      </c>
      <c r="AI1672" s="7">
        <f>IF($C1672="","",AH1672-M1672)</f>
        <v/>
      </c>
      <c r="AJ1672">
        <f>IF($C1672="","",IF(COUNTIF($C$2:$C1672,$C1672)=1,1,0))</f>
        <v/>
      </c>
      <c r="AK1672">
        <f>IF($AJ1672=1,SUMPRODUCT(--($AN$2:$AN$4001&lt;$AN1672))+1,"")</f>
        <v/>
      </c>
      <c r="AL1672">
        <f>IF($C1672="","",IF(OR($Q1672=TRUE(),$Q1672="TRUE"),1,0))</f>
        <v/>
      </c>
      <c r="AM1672">
        <f>IF($C1672="","",IF($W1672="Yes",1,0))</f>
        <v/>
      </c>
      <c r="AN1672">
        <f>IF($AJ1672=1,IFERROR(IF(VALUE($C1672)&lt;100000000,VALUE($C1672),1000000000),IFERROR(IF(VALUE(MID($C1672,2,20))&lt;100000000,VALUE(MID($C1672,2,20)),1000000000),1000000000))+ROW()/100000,"")</f>
        <v/>
      </c>
    </row>
    <row r="1673">
      <c r="E1673" s="11" t="n"/>
      <c r="M1673" s="7">
        <f>IF($C1673="","",L1673*U1673/100)</f>
        <v/>
      </c>
      <c r="N1673" s="7" t="n"/>
      <c r="T1673" s="7" t="n"/>
      <c r="U1673" s="7">
        <f>IF($C1673="","",S1673*T1673)</f>
        <v/>
      </c>
      <c r="X1673">
        <f>IF($C1673="","",IF($AM1673=1,0,IF($AL1673=1,Settings!$C$6,Settings!$C$7))*100)</f>
        <v/>
      </c>
      <c r="AB1673" s="7" t="n"/>
      <c r="AE1673" s="11" t="n"/>
      <c r="AG1673" s="7">
        <f>IF($C1673="","",U1673*X1673/100)</f>
        <v/>
      </c>
      <c r="AH1673" s="7">
        <f>IF($C1673="","",U1673-AG1673)</f>
        <v/>
      </c>
      <c r="AI1673" s="7">
        <f>IF($C1673="","",AH1673-M1673)</f>
        <v/>
      </c>
      <c r="AJ1673">
        <f>IF($C1673="","",IF(COUNTIF($C$2:$C1673,$C1673)=1,1,0))</f>
        <v/>
      </c>
      <c r="AK1673">
        <f>IF($AJ1673=1,SUMPRODUCT(--($AN$2:$AN$4001&lt;$AN1673))+1,"")</f>
        <v/>
      </c>
      <c r="AL1673">
        <f>IF($C1673="","",IF(OR($Q1673=TRUE(),$Q1673="TRUE"),1,0))</f>
        <v/>
      </c>
      <c r="AM1673">
        <f>IF($C1673="","",IF($W1673="Yes",1,0))</f>
        <v/>
      </c>
      <c r="AN1673">
        <f>IF($AJ1673=1,IFERROR(IF(VALUE($C1673)&lt;100000000,VALUE($C1673),1000000000),IFERROR(IF(VALUE(MID($C1673,2,20))&lt;100000000,VALUE(MID($C1673,2,20)),1000000000),1000000000))+ROW()/100000,"")</f>
        <v/>
      </c>
    </row>
    <row r="1674">
      <c r="E1674" s="11" t="n"/>
      <c r="M1674" s="7">
        <f>IF($C1674="","",L1674*U1674/100)</f>
        <v/>
      </c>
      <c r="N1674" s="7" t="n"/>
      <c r="T1674" s="7" t="n"/>
      <c r="U1674" s="7">
        <f>IF($C1674="","",S1674*T1674)</f>
        <v/>
      </c>
      <c r="X1674">
        <f>IF($C1674="","",IF($AM1674=1,0,IF($AL1674=1,Settings!$C$6,Settings!$C$7))*100)</f>
        <v/>
      </c>
      <c r="AB1674" s="7" t="n"/>
      <c r="AE1674" s="11" t="n"/>
      <c r="AG1674" s="7">
        <f>IF($C1674="","",U1674*X1674/100)</f>
        <v/>
      </c>
      <c r="AH1674" s="7">
        <f>IF($C1674="","",U1674-AG1674)</f>
        <v/>
      </c>
      <c r="AI1674" s="7">
        <f>IF($C1674="","",AH1674-M1674)</f>
        <v/>
      </c>
      <c r="AJ1674">
        <f>IF($C1674="","",IF(COUNTIF($C$2:$C1674,$C1674)=1,1,0))</f>
        <v/>
      </c>
      <c r="AK1674">
        <f>IF($AJ1674=1,SUMPRODUCT(--($AN$2:$AN$4001&lt;$AN1674))+1,"")</f>
        <v/>
      </c>
      <c r="AL1674">
        <f>IF($C1674="","",IF(OR($Q1674=TRUE(),$Q1674="TRUE"),1,0))</f>
        <v/>
      </c>
      <c r="AM1674">
        <f>IF($C1674="","",IF($W1674="Yes",1,0))</f>
        <v/>
      </c>
      <c r="AN1674">
        <f>IF($AJ1674=1,IFERROR(IF(VALUE($C1674)&lt;100000000,VALUE($C1674),1000000000),IFERROR(IF(VALUE(MID($C1674,2,20))&lt;100000000,VALUE(MID($C1674,2,20)),1000000000),1000000000))+ROW()/100000,"")</f>
        <v/>
      </c>
    </row>
    <row r="1675">
      <c r="E1675" s="11" t="n"/>
      <c r="M1675" s="7">
        <f>IF($C1675="","",L1675*U1675/100)</f>
        <v/>
      </c>
      <c r="N1675" s="7" t="n"/>
      <c r="T1675" s="7" t="n"/>
      <c r="U1675" s="7">
        <f>IF($C1675="","",S1675*T1675)</f>
        <v/>
      </c>
      <c r="X1675">
        <f>IF($C1675="","",IF($AM1675=1,0,IF($AL1675=1,Settings!$C$6,Settings!$C$7))*100)</f>
        <v/>
      </c>
      <c r="AB1675" s="7" t="n"/>
      <c r="AE1675" s="11" t="n"/>
      <c r="AG1675" s="7">
        <f>IF($C1675="","",U1675*X1675/100)</f>
        <v/>
      </c>
      <c r="AH1675" s="7">
        <f>IF($C1675="","",U1675-AG1675)</f>
        <v/>
      </c>
      <c r="AI1675" s="7">
        <f>IF($C1675="","",AH1675-M1675)</f>
        <v/>
      </c>
      <c r="AJ1675">
        <f>IF($C1675="","",IF(COUNTIF($C$2:$C1675,$C1675)=1,1,0))</f>
        <v/>
      </c>
      <c r="AK1675">
        <f>IF($AJ1675=1,SUMPRODUCT(--($AN$2:$AN$4001&lt;$AN1675))+1,"")</f>
        <v/>
      </c>
      <c r="AL1675">
        <f>IF($C1675="","",IF(OR($Q1675=TRUE(),$Q1675="TRUE"),1,0))</f>
        <v/>
      </c>
      <c r="AM1675">
        <f>IF($C1675="","",IF($W1675="Yes",1,0))</f>
        <v/>
      </c>
      <c r="AN1675">
        <f>IF($AJ1675=1,IFERROR(IF(VALUE($C1675)&lt;100000000,VALUE($C1675),1000000000),IFERROR(IF(VALUE(MID($C1675,2,20))&lt;100000000,VALUE(MID($C1675,2,20)),1000000000),1000000000))+ROW()/100000,"")</f>
        <v/>
      </c>
    </row>
    <row r="1676">
      <c r="E1676" s="11" t="n"/>
      <c r="M1676" s="7">
        <f>IF($C1676="","",L1676*U1676/100)</f>
        <v/>
      </c>
      <c r="N1676" s="7" t="n"/>
      <c r="T1676" s="7" t="n"/>
      <c r="U1676" s="7">
        <f>IF($C1676="","",S1676*T1676)</f>
        <v/>
      </c>
      <c r="X1676">
        <f>IF($C1676="","",IF($AM1676=1,0,IF($AL1676=1,Settings!$C$6,Settings!$C$7))*100)</f>
        <v/>
      </c>
      <c r="AB1676" s="7" t="n"/>
      <c r="AE1676" s="11" t="n"/>
      <c r="AG1676" s="7">
        <f>IF($C1676="","",U1676*X1676/100)</f>
        <v/>
      </c>
      <c r="AH1676" s="7">
        <f>IF($C1676="","",U1676-AG1676)</f>
        <v/>
      </c>
      <c r="AI1676" s="7">
        <f>IF($C1676="","",AH1676-M1676)</f>
        <v/>
      </c>
      <c r="AJ1676">
        <f>IF($C1676="","",IF(COUNTIF($C$2:$C1676,$C1676)=1,1,0))</f>
        <v/>
      </c>
      <c r="AK1676">
        <f>IF($AJ1676=1,SUMPRODUCT(--($AN$2:$AN$4001&lt;$AN1676))+1,"")</f>
        <v/>
      </c>
      <c r="AL1676">
        <f>IF($C1676="","",IF(OR($Q1676=TRUE(),$Q1676="TRUE"),1,0))</f>
        <v/>
      </c>
      <c r="AM1676">
        <f>IF($C1676="","",IF($W1676="Yes",1,0))</f>
        <v/>
      </c>
      <c r="AN1676">
        <f>IF($AJ1676=1,IFERROR(IF(VALUE($C1676)&lt;100000000,VALUE($C1676),1000000000),IFERROR(IF(VALUE(MID($C1676,2,20))&lt;100000000,VALUE(MID($C1676,2,20)),1000000000),1000000000))+ROW()/100000,"")</f>
        <v/>
      </c>
    </row>
    <row r="1677">
      <c r="E1677" s="11" t="n"/>
      <c r="M1677" s="7">
        <f>IF($C1677="","",L1677*U1677/100)</f>
        <v/>
      </c>
      <c r="N1677" s="7" t="n"/>
      <c r="T1677" s="7" t="n"/>
      <c r="U1677" s="7">
        <f>IF($C1677="","",S1677*T1677)</f>
        <v/>
      </c>
      <c r="X1677">
        <f>IF($C1677="","",IF($AM1677=1,0,IF($AL1677=1,Settings!$C$6,Settings!$C$7))*100)</f>
        <v/>
      </c>
      <c r="AB1677" s="7" t="n"/>
      <c r="AE1677" s="11" t="n"/>
      <c r="AG1677" s="7">
        <f>IF($C1677="","",U1677*X1677/100)</f>
        <v/>
      </c>
      <c r="AH1677" s="7">
        <f>IF($C1677="","",U1677-AG1677)</f>
        <v/>
      </c>
      <c r="AI1677" s="7">
        <f>IF($C1677="","",AH1677-M1677)</f>
        <v/>
      </c>
      <c r="AJ1677">
        <f>IF($C1677="","",IF(COUNTIF($C$2:$C1677,$C1677)=1,1,0))</f>
        <v/>
      </c>
      <c r="AK1677">
        <f>IF($AJ1677=1,SUMPRODUCT(--($AN$2:$AN$4001&lt;$AN1677))+1,"")</f>
        <v/>
      </c>
      <c r="AL1677">
        <f>IF($C1677="","",IF(OR($Q1677=TRUE(),$Q1677="TRUE"),1,0))</f>
        <v/>
      </c>
      <c r="AM1677">
        <f>IF($C1677="","",IF($W1677="Yes",1,0))</f>
        <v/>
      </c>
      <c r="AN1677">
        <f>IF($AJ1677=1,IFERROR(IF(VALUE($C1677)&lt;100000000,VALUE($C1677),1000000000),IFERROR(IF(VALUE(MID($C1677,2,20))&lt;100000000,VALUE(MID($C1677,2,20)),1000000000),1000000000))+ROW()/100000,"")</f>
        <v/>
      </c>
    </row>
    <row r="1678">
      <c r="E1678" s="11" t="n"/>
      <c r="M1678" s="7">
        <f>IF($C1678="","",L1678*U1678/100)</f>
        <v/>
      </c>
      <c r="N1678" s="7" t="n"/>
      <c r="T1678" s="7" t="n"/>
      <c r="U1678" s="7">
        <f>IF($C1678="","",S1678*T1678)</f>
        <v/>
      </c>
      <c r="X1678">
        <f>IF($C1678="","",IF($AM1678=1,0,IF($AL1678=1,Settings!$C$6,Settings!$C$7))*100)</f>
        <v/>
      </c>
      <c r="AB1678" s="7" t="n"/>
      <c r="AE1678" s="11" t="n"/>
      <c r="AG1678" s="7">
        <f>IF($C1678="","",U1678*X1678/100)</f>
        <v/>
      </c>
      <c r="AH1678" s="7">
        <f>IF($C1678="","",U1678-AG1678)</f>
        <v/>
      </c>
      <c r="AI1678" s="7">
        <f>IF($C1678="","",AH1678-M1678)</f>
        <v/>
      </c>
      <c r="AJ1678">
        <f>IF($C1678="","",IF(COUNTIF($C$2:$C1678,$C1678)=1,1,0))</f>
        <v/>
      </c>
      <c r="AK1678">
        <f>IF($AJ1678=1,SUMPRODUCT(--($AN$2:$AN$4001&lt;$AN1678))+1,"")</f>
        <v/>
      </c>
      <c r="AL1678">
        <f>IF($C1678="","",IF(OR($Q1678=TRUE(),$Q1678="TRUE"),1,0))</f>
        <v/>
      </c>
      <c r="AM1678">
        <f>IF($C1678="","",IF($W1678="Yes",1,0))</f>
        <v/>
      </c>
      <c r="AN1678">
        <f>IF($AJ1678=1,IFERROR(IF(VALUE($C1678)&lt;100000000,VALUE($C1678),1000000000),IFERROR(IF(VALUE(MID($C1678,2,20))&lt;100000000,VALUE(MID($C1678,2,20)),1000000000),1000000000))+ROW()/100000,"")</f>
        <v/>
      </c>
    </row>
    <row r="1679">
      <c r="E1679" s="11" t="n"/>
      <c r="M1679" s="7">
        <f>IF($C1679="","",L1679*U1679/100)</f>
        <v/>
      </c>
      <c r="N1679" s="7" t="n"/>
      <c r="T1679" s="7" t="n"/>
      <c r="U1679" s="7">
        <f>IF($C1679="","",S1679*T1679)</f>
        <v/>
      </c>
      <c r="X1679">
        <f>IF($C1679="","",IF($AM1679=1,0,IF($AL1679=1,Settings!$C$6,Settings!$C$7))*100)</f>
        <v/>
      </c>
      <c r="AB1679" s="7" t="n"/>
      <c r="AE1679" s="11" t="n"/>
      <c r="AG1679" s="7">
        <f>IF($C1679="","",U1679*X1679/100)</f>
        <v/>
      </c>
      <c r="AH1679" s="7">
        <f>IF($C1679="","",U1679-AG1679)</f>
        <v/>
      </c>
      <c r="AI1679" s="7">
        <f>IF($C1679="","",AH1679-M1679)</f>
        <v/>
      </c>
      <c r="AJ1679">
        <f>IF($C1679="","",IF(COUNTIF($C$2:$C1679,$C1679)=1,1,0))</f>
        <v/>
      </c>
      <c r="AK1679">
        <f>IF($AJ1679=1,SUMPRODUCT(--($AN$2:$AN$4001&lt;$AN1679))+1,"")</f>
        <v/>
      </c>
      <c r="AL1679">
        <f>IF($C1679="","",IF(OR($Q1679=TRUE(),$Q1679="TRUE"),1,0))</f>
        <v/>
      </c>
      <c r="AM1679">
        <f>IF($C1679="","",IF($W1679="Yes",1,0))</f>
        <v/>
      </c>
      <c r="AN1679">
        <f>IF($AJ1679=1,IFERROR(IF(VALUE($C1679)&lt;100000000,VALUE($C1679),1000000000),IFERROR(IF(VALUE(MID($C1679,2,20))&lt;100000000,VALUE(MID($C1679,2,20)),1000000000),1000000000))+ROW()/100000,"")</f>
        <v/>
      </c>
    </row>
    <row r="1680">
      <c r="E1680" s="11" t="n"/>
      <c r="M1680" s="7">
        <f>IF($C1680="","",L1680*U1680/100)</f>
        <v/>
      </c>
      <c r="N1680" s="7" t="n"/>
      <c r="T1680" s="7" t="n"/>
      <c r="U1680" s="7">
        <f>IF($C1680="","",S1680*T1680)</f>
        <v/>
      </c>
      <c r="X1680">
        <f>IF($C1680="","",IF($AM1680=1,0,IF($AL1680=1,Settings!$C$6,Settings!$C$7))*100)</f>
        <v/>
      </c>
      <c r="AB1680" s="7" t="n"/>
      <c r="AE1680" s="11" t="n"/>
      <c r="AG1680" s="7">
        <f>IF($C1680="","",U1680*X1680/100)</f>
        <v/>
      </c>
      <c r="AH1680" s="7">
        <f>IF($C1680="","",U1680-AG1680)</f>
        <v/>
      </c>
      <c r="AI1680" s="7">
        <f>IF($C1680="","",AH1680-M1680)</f>
        <v/>
      </c>
      <c r="AJ1680">
        <f>IF($C1680="","",IF(COUNTIF($C$2:$C1680,$C1680)=1,1,0))</f>
        <v/>
      </c>
      <c r="AK1680">
        <f>IF($AJ1680=1,SUMPRODUCT(--($AN$2:$AN$4001&lt;$AN1680))+1,"")</f>
        <v/>
      </c>
      <c r="AL1680">
        <f>IF($C1680="","",IF(OR($Q1680=TRUE(),$Q1680="TRUE"),1,0))</f>
        <v/>
      </c>
      <c r="AM1680">
        <f>IF($C1680="","",IF($W1680="Yes",1,0))</f>
        <v/>
      </c>
      <c r="AN1680">
        <f>IF($AJ1680=1,IFERROR(IF(VALUE($C1680)&lt;100000000,VALUE($C1680),1000000000),IFERROR(IF(VALUE(MID($C1680,2,20))&lt;100000000,VALUE(MID($C1680,2,20)),1000000000),1000000000))+ROW()/100000,"")</f>
        <v/>
      </c>
    </row>
    <row r="1681">
      <c r="E1681" s="11" t="n"/>
      <c r="M1681" s="7">
        <f>IF($C1681="","",L1681*U1681/100)</f>
        <v/>
      </c>
      <c r="N1681" s="7" t="n"/>
      <c r="T1681" s="7" t="n"/>
      <c r="U1681" s="7">
        <f>IF($C1681="","",S1681*T1681)</f>
        <v/>
      </c>
      <c r="X1681">
        <f>IF($C1681="","",IF($AM1681=1,0,IF($AL1681=1,Settings!$C$6,Settings!$C$7))*100)</f>
        <v/>
      </c>
      <c r="AB1681" s="7" t="n"/>
      <c r="AE1681" s="11" t="n"/>
      <c r="AG1681" s="7">
        <f>IF($C1681="","",U1681*X1681/100)</f>
        <v/>
      </c>
      <c r="AH1681" s="7">
        <f>IF($C1681="","",U1681-AG1681)</f>
        <v/>
      </c>
      <c r="AI1681" s="7">
        <f>IF($C1681="","",AH1681-M1681)</f>
        <v/>
      </c>
      <c r="AJ1681">
        <f>IF($C1681="","",IF(COUNTIF($C$2:$C1681,$C1681)=1,1,0))</f>
        <v/>
      </c>
      <c r="AK1681">
        <f>IF($AJ1681=1,SUMPRODUCT(--($AN$2:$AN$4001&lt;$AN1681))+1,"")</f>
        <v/>
      </c>
      <c r="AL1681">
        <f>IF($C1681="","",IF(OR($Q1681=TRUE(),$Q1681="TRUE"),1,0))</f>
        <v/>
      </c>
      <c r="AM1681">
        <f>IF($C1681="","",IF($W1681="Yes",1,0))</f>
        <v/>
      </c>
      <c r="AN1681">
        <f>IF($AJ1681=1,IFERROR(IF(VALUE($C1681)&lt;100000000,VALUE($C1681),1000000000),IFERROR(IF(VALUE(MID($C1681,2,20))&lt;100000000,VALUE(MID($C1681,2,20)),1000000000),1000000000))+ROW()/100000,"")</f>
        <v/>
      </c>
    </row>
    <row r="1682">
      <c r="E1682" s="11" t="n"/>
      <c r="M1682" s="7">
        <f>IF($C1682="","",L1682*U1682/100)</f>
        <v/>
      </c>
      <c r="N1682" s="7" t="n"/>
      <c r="T1682" s="7" t="n"/>
      <c r="U1682" s="7">
        <f>IF($C1682="","",S1682*T1682)</f>
        <v/>
      </c>
      <c r="X1682">
        <f>IF($C1682="","",IF($AM1682=1,0,IF($AL1682=1,Settings!$C$6,Settings!$C$7))*100)</f>
        <v/>
      </c>
      <c r="AB1682" s="7" t="n"/>
      <c r="AE1682" s="11" t="n"/>
      <c r="AG1682" s="7">
        <f>IF($C1682="","",U1682*X1682/100)</f>
        <v/>
      </c>
      <c r="AH1682" s="7">
        <f>IF($C1682="","",U1682-AG1682)</f>
        <v/>
      </c>
      <c r="AI1682" s="7">
        <f>IF($C1682="","",AH1682-M1682)</f>
        <v/>
      </c>
      <c r="AJ1682">
        <f>IF($C1682="","",IF(COUNTIF($C$2:$C1682,$C1682)=1,1,0))</f>
        <v/>
      </c>
      <c r="AK1682">
        <f>IF($AJ1682=1,SUMPRODUCT(--($AN$2:$AN$4001&lt;$AN1682))+1,"")</f>
        <v/>
      </c>
      <c r="AL1682">
        <f>IF($C1682="","",IF(OR($Q1682=TRUE(),$Q1682="TRUE"),1,0))</f>
        <v/>
      </c>
      <c r="AM1682">
        <f>IF($C1682="","",IF($W1682="Yes",1,0))</f>
        <v/>
      </c>
      <c r="AN1682">
        <f>IF($AJ1682=1,IFERROR(IF(VALUE($C1682)&lt;100000000,VALUE($C1682),1000000000),IFERROR(IF(VALUE(MID($C1682,2,20))&lt;100000000,VALUE(MID($C1682,2,20)),1000000000),1000000000))+ROW()/100000,"")</f>
        <v/>
      </c>
    </row>
    <row r="1683">
      <c r="E1683" s="11" t="n"/>
      <c r="M1683" s="7">
        <f>IF($C1683="","",L1683*U1683/100)</f>
        <v/>
      </c>
      <c r="N1683" s="7" t="n"/>
      <c r="T1683" s="7" t="n"/>
      <c r="U1683" s="7">
        <f>IF($C1683="","",S1683*T1683)</f>
        <v/>
      </c>
      <c r="X1683">
        <f>IF($C1683="","",IF($AM1683=1,0,IF($AL1683=1,Settings!$C$6,Settings!$C$7))*100)</f>
        <v/>
      </c>
      <c r="AB1683" s="7" t="n"/>
      <c r="AE1683" s="11" t="n"/>
      <c r="AG1683" s="7">
        <f>IF($C1683="","",U1683*X1683/100)</f>
        <v/>
      </c>
      <c r="AH1683" s="7">
        <f>IF($C1683="","",U1683-AG1683)</f>
        <v/>
      </c>
      <c r="AI1683" s="7">
        <f>IF($C1683="","",AH1683-M1683)</f>
        <v/>
      </c>
      <c r="AJ1683">
        <f>IF($C1683="","",IF(COUNTIF($C$2:$C1683,$C1683)=1,1,0))</f>
        <v/>
      </c>
      <c r="AK1683">
        <f>IF($AJ1683=1,SUMPRODUCT(--($AN$2:$AN$4001&lt;$AN1683))+1,"")</f>
        <v/>
      </c>
      <c r="AL1683">
        <f>IF($C1683="","",IF(OR($Q1683=TRUE(),$Q1683="TRUE"),1,0))</f>
        <v/>
      </c>
      <c r="AM1683">
        <f>IF($C1683="","",IF($W1683="Yes",1,0))</f>
        <v/>
      </c>
      <c r="AN1683">
        <f>IF($AJ1683=1,IFERROR(IF(VALUE($C1683)&lt;100000000,VALUE($C1683),1000000000),IFERROR(IF(VALUE(MID($C1683,2,20))&lt;100000000,VALUE(MID($C1683,2,20)),1000000000),1000000000))+ROW()/100000,"")</f>
        <v/>
      </c>
    </row>
    <row r="1684">
      <c r="E1684" s="11" t="n"/>
      <c r="M1684" s="7">
        <f>IF($C1684="","",L1684*U1684/100)</f>
        <v/>
      </c>
      <c r="N1684" s="7" t="n"/>
      <c r="T1684" s="7" t="n"/>
      <c r="U1684" s="7">
        <f>IF($C1684="","",S1684*T1684)</f>
        <v/>
      </c>
      <c r="X1684">
        <f>IF($C1684="","",IF($AM1684=1,0,IF($AL1684=1,Settings!$C$6,Settings!$C$7))*100)</f>
        <v/>
      </c>
      <c r="AB1684" s="7" t="n"/>
      <c r="AE1684" s="11" t="n"/>
      <c r="AG1684" s="7">
        <f>IF($C1684="","",U1684*X1684/100)</f>
        <v/>
      </c>
      <c r="AH1684" s="7">
        <f>IF($C1684="","",U1684-AG1684)</f>
        <v/>
      </c>
      <c r="AI1684" s="7">
        <f>IF($C1684="","",AH1684-M1684)</f>
        <v/>
      </c>
      <c r="AJ1684">
        <f>IF($C1684="","",IF(COUNTIF($C$2:$C1684,$C1684)=1,1,0))</f>
        <v/>
      </c>
      <c r="AK1684">
        <f>IF($AJ1684=1,SUMPRODUCT(--($AN$2:$AN$4001&lt;$AN1684))+1,"")</f>
        <v/>
      </c>
      <c r="AL1684">
        <f>IF($C1684="","",IF(OR($Q1684=TRUE(),$Q1684="TRUE"),1,0))</f>
        <v/>
      </c>
      <c r="AM1684">
        <f>IF($C1684="","",IF($W1684="Yes",1,0))</f>
        <v/>
      </c>
      <c r="AN1684">
        <f>IF($AJ1684=1,IFERROR(IF(VALUE($C1684)&lt;100000000,VALUE($C1684),1000000000),IFERROR(IF(VALUE(MID($C1684,2,20))&lt;100000000,VALUE(MID($C1684,2,20)),1000000000),1000000000))+ROW()/100000,"")</f>
        <v/>
      </c>
    </row>
    <row r="1685">
      <c r="E1685" s="11" t="n"/>
      <c r="M1685" s="7">
        <f>IF($C1685="","",L1685*U1685/100)</f>
        <v/>
      </c>
      <c r="N1685" s="7" t="n"/>
      <c r="T1685" s="7" t="n"/>
      <c r="U1685" s="7">
        <f>IF($C1685="","",S1685*T1685)</f>
        <v/>
      </c>
      <c r="X1685">
        <f>IF($C1685="","",IF($AM1685=1,0,IF($AL1685=1,Settings!$C$6,Settings!$C$7))*100)</f>
        <v/>
      </c>
      <c r="AB1685" s="7" t="n"/>
      <c r="AE1685" s="11" t="n"/>
      <c r="AG1685" s="7">
        <f>IF($C1685="","",U1685*X1685/100)</f>
        <v/>
      </c>
      <c r="AH1685" s="7">
        <f>IF($C1685="","",U1685-AG1685)</f>
        <v/>
      </c>
      <c r="AI1685" s="7">
        <f>IF($C1685="","",AH1685-M1685)</f>
        <v/>
      </c>
      <c r="AJ1685">
        <f>IF($C1685="","",IF(COUNTIF($C$2:$C1685,$C1685)=1,1,0))</f>
        <v/>
      </c>
      <c r="AK1685">
        <f>IF($AJ1685=1,SUMPRODUCT(--($AN$2:$AN$4001&lt;$AN1685))+1,"")</f>
        <v/>
      </c>
      <c r="AL1685">
        <f>IF($C1685="","",IF(OR($Q1685=TRUE(),$Q1685="TRUE"),1,0))</f>
        <v/>
      </c>
      <c r="AM1685">
        <f>IF($C1685="","",IF($W1685="Yes",1,0))</f>
        <v/>
      </c>
      <c r="AN1685">
        <f>IF($AJ1685=1,IFERROR(IF(VALUE($C1685)&lt;100000000,VALUE($C1685),1000000000),IFERROR(IF(VALUE(MID($C1685,2,20))&lt;100000000,VALUE(MID($C1685,2,20)),1000000000),1000000000))+ROW()/100000,"")</f>
        <v/>
      </c>
    </row>
    <row r="1686">
      <c r="E1686" s="11" t="n"/>
      <c r="M1686" s="7">
        <f>IF($C1686="","",L1686*U1686/100)</f>
        <v/>
      </c>
      <c r="N1686" s="7" t="n"/>
      <c r="T1686" s="7" t="n"/>
      <c r="U1686" s="7">
        <f>IF($C1686="","",S1686*T1686)</f>
        <v/>
      </c>
      <c r="X1686">
        <f>IF($C1686="","",IF($AM1686=1,0,IF($AL1686=1,Settings!$C$6,Settings!$C$7))*100)</f>
        <v/>
      </c>
      <c r="AB1686" s="7" t="n"/>
      <c r="AE1686" s="11" t="n"/>
      <c r="AG1686" s="7">
        <f>IF($C1686="","",U1686*X1686/100)</f>
        <v/>
      </c>
      <c r="AH1686" s="7">
        <f>IF($C1686="","",U1686-AG1686)</f>
        <v/>
      </c>
      <c r="AI1686" s="7">
        <f>IF($C1686="","",AH1686-M1686)</f>
        <v/>
      </c>
      <c r="AJ1686">
        <f>IF($C1686="","",IF(COUNTIF($C$2:$C1686,$C1686)=1,1,0))</f>
        <v/>
      </c>
      <c r="AK1686">
        <f>IF($AJ1686=1,SUMPRODUCT(--($AN$2:$AN$4001&lt;$AN1686))+1,"")</f>
        <v/>
      </c>
      <c r="AL1686">
        <f>IF($C1686="","",IF(OR($Q1686=TRUE(),$Q1686="TRUE"),1,0))</f>
        <v/>
      </c>
      <c r="AM1686">
        <f>IF($C1686="","",IF($W1686="Yes",1,0))</f>
        <v/>
      </c>
      <c r="AN1686">
        <f>IF($AJ1686=1,IFERROR(IF(VALUE($C1686)&lt;100000000,VALUE($C1686),1000000000),IFERROR(IF(VALUE(MID($C1686,2,20))&lt;100000000,VALUE(MID($C1686,2,20)),1000000000),1000000000))+ROW()/100000,"")</f>
        <v/>
      </c>
    </row>
    <row r="1687">
      <c r="E1687" s="11" t="n"/>
      <c r="M1687" s="7">
        <f>IF($C1687="","",L1687*U1687/100)</f>
        <v/>
      </c>
      <c r="N1687" s="7" t="n"/>
      <c r="T1687" s="7" t="n"/>
      <c r="U1687" s="7">
        <f>IF($C1687="","",S1687*T1687)</f>
        <v/>
      </c>
      <c r="X1687">
        <f>IF($C1687="","",IF($AM1687=1,0,IF($AL1687=1,Settings!$C$6,Settings!$C$7))*100)</f>
        <v/>
      </c>
      <c r="AB1687" s="7" t="n"/>
      <c r="AE1687" s="11" t="n"/>
      <c r="AG1687" s="7">
        <f>IF($C1687="","",U1687*X1687/100)</f>
        <v/>
      </c>
      <c r="AH1687" s="7">
        <f>IF($C1687="","",U1687-AG1687)</f>
        <v/>
      </c>
      <c r="AI1687" s="7">
        <f>IF($C1687="","",AH1687-M1687)</f>
        <v/>
      </c>
      <c r="AJ1687">
        <f>IF($C1687="","",IF(COUNTIF($C$2:$C1687,$C1687)=1,1,0))</f>
        <v/>
      </c>
      <c r="AK1687">
        <f>IF($AJ1687=1,SUMPRODUCT(--($AN$2:$AN$4001&lt;$AN1687))+1,"")</f>
        <v/>
      </c>
      <c r="AL1687">
        <f>IF($C1687="","",IF(OR($Q1687=TRUE(),$Q1687="TRUE"),1,0))</f>
        <v/>
      </c>
      <c r="AM1687">
        <f>IF($C1687="","",IF($W1687="Yes",1,0))</f>
        <v/>
      </c>
      <c r="AN1687">
        <f>IF($AJ1687=1,IFERROR(IF(VALUE($C1687)&lt;100000000,VALUE($C1687),1000000000),IFERROR(IF(VALUE(MID($C1687,2,20))&lt;100000000,VALUE(MID($C1687,2,20)),1000000000),1000000000))+ROW()/100000,"")</f>
        <v/>
      </c>
    </row>
    <row r="1688">
      <c r="E1688" s="11" t="n"/>
      <c r="M1688" s="7">
        <f>IF($C1688="","",L1688*U1688/100)</f>
        <v/>
      </c>
      <c r="N1688" s="7" t="n"/>
      <c r="T1688" s="7" t="n"/>
      <c r="U1688" s="7">
        <f>IF($C1688="","",S1688*T1688)</f>
        <v/>
      </c>
      <c r="X1688">
        <f>IF($C1688="","",IF($AM1688=1,0,IF($AL1688=1,Settings!$C$6,Settings!$C$7))*100)</f>
        <v/>
      </c>
      <c r="AB1688" s="7" t="n"/>
      <c r="AE1688" s="11" t="n"/>
      <c r="AG1688" s="7">
        <f>IF($C1688="","",U1688*X1688/100)</f>
        <v/>
      </c>
      <c r="AH1688" s="7">
        <f>IF($C1688="","",U1688-AG1688)</f>
        <v/>
      </c>
      <c r="AI1688" s="7">
        <f>IF($C1688="","",AH1688-M1688)</f>
        <v/>
      </c>
      <c r="AJ1688">
        <f>IF($C1688="","",IF(COUNTIF($C$2:$C1688,$C1688)=1,1,0))</f>
        <v/>
      </c>
      <c r="AK1688">
        <f>IF($AJ1688=1,SUMPRODUCT(--($AN$2:$AN$4001&lt;$AN1688))+1,"")</f>
        <v/>
      </c>
      <c r="AL1688">
        <f>IF($C1688="","",IF(OR($Q1688=TRUE(),$Q1688="TRUE"),1,0))</f>
        <v/>
      </c>
      <c r="AM1688">
        <f>IF($C1688="","",IF($W1688="Yes",1,0))</f>
        <v/>
      </c>
      <c r="AN1688">
        <f>IF($AJ1688=1,IFERROR(IF(VALUE($C1688)&lt;100000000,VALUE($C1688),1000000000),IFERROR(IF(VALUE(MID($C1688,2,20))&lt;100000000,VALUE(MID($C1688,2,20)),1000000000),1000000000))+ROW()/100000,"")</f>
        <v/>
      </c>
    </row>
    <row r="1689">
      <c r="E1689" s="11" t="n"/>
      <c r="M1689" s="7">
        <f>IF($C1689="","",L1689*U1689/100)</f>
        <v/>
      </c>
      <c r="N1689" s="7" t="n"/>
      <c r="T1689" s="7" t="n"/>
      <c r="U1689" s="7">
        <f>IF($C1689="","",S1689*T1689)</f>
        <v/>
      </c>
      <c r="X1689">
        <f>IF($C1689="","",IF($AM1689=1,0,IF($AL1689=1,Settings!$C$6,Settings!$C$7))*100)</f>
        <v/>
      </c>
      <c r="AB1689" s="7" t="n"/>
      <c r="AE1689" s="11" t="n"/>
      <c r="AG1689" s="7">
        <f>IF($C1689="","",U1689*X1689/100)</f>
        <v/>
      </c>
      <c r="AH1689" s="7">
        <f>IF($C1689="","",U1689-AG1689)</f>
        <v/>
      </c>
      <c r="AI1689" s="7">
        <f>IF($C1689="","",AH1689-M1689)</f>
        <v/>
      </c>
      <c r="AJ1689">
        <f>IF($C1689="","",IF(COUNTIF($C$2:$C1689,$C1689)=1,1,0))</f>
        <v/>
      </c>
      <c r="AK1689">
        <f>IF($AJ1689=1,SUMPRODUCT(--($AN$2:$AN$4001&lt;$AN1689))+1,"")</f>
        <v/>
      </c>
      <c r="AL1689">
        <f>IF($C1689="","",IF(OR($Q1689=TRUE(),$Q1689="TRUE"),1,0))</f>
        <v/>
      </c>
      <c r="AM1689">
        <f>IF($C1689="","",IF($W1689="Yes",1,0))</f>
        <v/>
      </c>
      <c r="AN1689">
        <f>IF($AJ1689=1,IFERROR(IF(VALUE($C1689)&lt;100000000,VALUE($C1689),1000000000),IFERROR(IF(VALUE(MID($C1689,2,20))&lt;100000000,VALUE(MID($C1689,2,20)),1000000000),1000000000))+ROW()/100000,"")</f>
        <v/>
      </c>
    </row>
    <row r="1690">
      <c r="E1690" s="11" t="n"/>
      <c r="M1690" s="7">
        <f>IF($C1690="","",L1690*U1690/100)</f>
        <v/>
      </c>
      <c r="N1690" s="7" t="n"/>
      <c r="T1690" s="7" t="n"/>
      <c r="U1690" s="7">
        <f>IF($C1690="","",S1690*T1690)</f>
        <v/>
      </c>
      <c r="X1690">
        <f>IF($C1690="","",IF($AM1690=1,0,IF($AL1690=1,Settings!$C$6,Settings!$C$7))*100)</f>
        <v/>
      </c>
      <c r="AB1690" s="7" t="n"/>
      <c r="AE1690" s="11" t="n"/>
      <c r="AG1690" s="7">
        <f>IF($C1690="","",U1690*X1690/100)</f>
        <v/>
      </c>
      <c r="AH1690" s="7">
        <f>IF($C1690="","",U1690-AG1690)</f>
        <v/>
      </c>
      <c r="AI1690" s="7">
        <f>IF($C1690="","",AH1690-M1690)</f>
        <v/>
      </c>
      <c r="AJ1690">
        <f>IF($C1690="","",IF(COUNTIF($C$2:$C1690,$C1690)=1,1,0))</f>
        <v/>
      </c>
      <c r="AK1690">
        <f>IF($AJ1690=1,SUMPRODUCT(--($AN$2:$AN$4001&lt;$AN1690))+1,"")</f>
        <v/>
      </c>
      <c r="AL1690">
        <f>IF($C1690="","",IF(OR($Q1690=TRUE(),$Q1690="TRUE"),1,0))</f>
        <v/>
      </c>
      <c r="AM1690">
        <f>IF($C1690="","",IF($W1690="Yes",1,0))</f>
        <v/>
      </c>
      <c r="AN1690">
        <f>IF($AJ1690=1,IFERROR(IF(VALUE($C1690)&lt;100000000,VALUE($C1690),1000000000),IFERROR(IF(VALUE(MID($C1690,2,20))&lt;100000000,VALUE(MID($C1690,2,20)),1000000000),1000000000))+ROW()/100000,"")</f>
        <v/>
      </c>
    </row>
    <row r="1691">
      <c r="E1691" s="11" t="n"/>
      <c r="M1691" s="7">
        <f>IF($C1691="","",L1691*U1691/100)</f>
        <v/>
      </c>
      <c r="N1691" s="7" t="n"/>
      <c r="T1691" s="7" t="n"/>
      <c r="U1691" s="7">
        <f>IF($C1691="","",S1691*T1691)</f>
        <v/>
      </c>
      <c r="X1691">
        <f>IF($C1691="","",IF($AM1691=1,0,IF($AL1691=1,Settings!$C$6,Settings!$C$7))*100)</f>
        <v/>
      </c>
      <c r="AB1691" s="7" t="n"/>
      <c r="AE1691" s="11" t="n"/>
      <c r="AG1691" s="7">
        <f>IF($C1691="","",U1691*X1691/100)</f>
        <v/>
      </c>
      <c r="AH1691" s="7">
        <f>IF($C1691="","",U1691-AG1691)</f>
        <v/>
      </c>
      <c r="AI1691" s="7">
        <f>IF($C1691="","",AH1691-M1691)</f>
        <v/>
      </c>
      <c r="AJ1691">
        <f>IF($C1691="","",IF(COUNTIF($C$2:$C1691,$C1691)=1,1,0))</f>
        <v/>
      </c>
      <c r="AK1691">
        <f>IF($AJ1691=1,SUMPRODUCT(--($AN$2:$AN$4001&lt;$AN1691))+1,"")</f>
        <v/>
      </c>
      <c r="AL1691">
        <f>IF($C1691="","",IF(OR($Q1691=TRUE(),$Q1691="TRUE"),1,0))</f>
        <v/>
      </c>
      <c r="AM1691">
        <f>IF($C1691="","",IF($W1691="Yes",1,0))</f>
        <v/>
      </c>
      <c r="AN1691">
        <f>IF($AJ1691=1,IFERROR(IF(VALUE($C1691)&lt;100000000,VALUE($C1691),1000000000),IFERROR(IF(VALUE(MID($C1691,2,20))&lt;100000000,VALUE(MID($C1691,2,20)),1000000000),1000000000))+ROW()/100000,"")</f>
        <v/>
      </c>
    </row>
    <row r="1692">
      <c r="E1692" s="11" t="n"/>
      <c r="M1692" s="7">
        <f>IF($C1692="","",L1692*U1692/100)</f>
        <v/>
      </c>
      <c r="N1692" s="7" t="n"/>
      <c r="T1692" s="7" t="n"/>
      <c r="U1692" s="7">
        <f>IF($C1692="","",S1692*T1692)</f>
        <v/>
      </c>
      <c r="X1692">
        <f>IF($C1692="","",IF($AM1692=1,0,IF($AL1692=1,Settings!$C$6,Settings!$C$7))*100)</f>
        <v/>
      </c>
      <c r="AB1692" s="7" t="n"/>
      <c r="AE1692" s="11" t="n"/>
      <c r="AG1692" s="7">
        <f>IF($C1692="","",U1692*X1692/100)</f>
        <v/>
      </c>
      <c r="AH1692" s="7">
        <f>IF($C1692="","",U1692-AG1692)</f>
        <v/>
      </c>
      <c r="AI1692" s="7">
        <f>IF($C1692="","",AH1692-M1692)</f>
        <v/>
      </c>
      <c r="AJ1692">
        <f>IF($C1692="","",IF(COUNTIF($C$2:$C1692,$C1692)=1,1,0))</f>
        <v/>
      </c>
      <c r="AK1692">
        <f>IF($AJ1692=1,SUMPRODUCT(--($AN$2:$AN$4001&lt;$AN1692))+1,"")</f>
        <v/>
      </c>
      <c r="AL1692">
        <f>IF($C1692="","",IF(OR($Q1692=TRUE(),$Q1692="TRUE"),1,0))</f>
        <v/>
      </c>
      <c r="AM1692">
        <f>IF($C1692="","",IF($W1692="Yes",1,0))</f>
        <v/>
      </c>
      <c r="AN1692">
        <f>IF($AJ1692=1,IFERROR(IF(VALUE($C1692)&lt;100000000,VALUE($C1692),1000000000),IFERROR(IF(VALUE(MID($C1692,2,20))&lt;100000000,VALUE(MID($C1692,2,20)),1000000000),1000000000))+ROW()/100000,"")</f>
        <v/>
      </c>
    </row>
    <row r="1693">
      <c r="E1693" s="11" t="n"/>
      <c r="M1693" s="7">
        <f>IF($C1693="","",L1693*U1693/100)</f>
        <v/>
      </c>
      <c r="N1693" s="7" t="n"/>
      <c r="T1693" s="7" t="n"/>
      <c r="U1693" s="7">
        <f>IF($C1693="","",S1693*T1693)</f>
        <v/>
      </c>
      <c r="X1693">
        <f>IF($C1693="","",IF($AM1693=1,0,IF($AL1693=1,Settings!$C$6,Settings!$C$7))*100)</f>
        <v/>
      </c>
      <c r="AB1693" s="7" t="n"/>
      <c r="AE1693" s="11" t="n"/>
      <c r="AG1693" s="7">
        <f>IF($C1693="","",U1693*X1693/100)</f>
        <v/>
      </c>
      <c r="AH1693" s="7">
        <f>IF($C1693="","",U1693-AG1693)</f>
        <v/>
      </c>
      <c r="AI1693" s="7">
        <f>IF($C1693="","",AH1693-M1693)</f>
        <v/>
      </c>
      <c r="AJ1693">
        <f>IF($C1693="","",IF(COUNTIF($C$2:$C1693,$C1693)=1,1,0))</f>
        <v/>
      </c>
      <c r="AK1693">
        <f>IF($AJ1693=1,SUMPRODUCT(--($AN$2:$AN$4001&lt;$AN1693))+1,"")</f>
        <v/>
      </c>
      <c r="AL1693">
        <f>IF($C1693="","",IF(OR($Q1693=TRUE(),$Q1693="TRUE"),1,0))</f>
        <v/>
      </c>
      <c r="AM1693">
        <f>IF($C1693="","",IF($W1693="Yes",1,0))</f>
        <v/>
      </c>
      <c r="AN1693">
        <f>IF($AJ1693=1,IFERROR(IF(VALUE($C1693)&lt;100000000,VALUE($C1693),1000000000),IFERROR(IF(VALUE(MID($C1693,2,20))&lt;100000000,VALUE(MID($C1693,2,20)),1000000000),1000000000))+ROW()/100000,"")</f>
        <v/>
      </c>
    </row>
    <row r="1694">
      <c r="E1694" s="11" t="n"/>
      <c r="M1694" s="7">
        <f>IF($C1694="","",L1694*U1694/100)</f>
        <v/>
      </c>
      <c r="N1694" s="7" t="n"/>
      <c r="T1694" s="7" t="n"/>
      <c r="U1694" s="7">
        <f>IF($C1694="","",S1694*T1694)</f>
        <v/>
      </c>
      <c r="X1694">
        <f>IF($C1694="","",IF($AM1694=1,0,IF($AL1694=1,Settings!$C$6,Settings!$C$7))*100)</f>
        <v/>
      </c>
      <c r="AB1694" s="7" t="n"/>
      <c r="AE1694" s="11" t="n"/>
      <c r="AG1694" s="7">
        <f>IF($C1694="","",U1694*X1694/100)</f>
        <v/>
      </c>
      <c r="AH1694" s="7">
        <f>IF($C1694="","",U1694-AG1694)</f>
        <v/>
      </c>
      <c r="AI1694" s="7">
        <f>IF($C1694="","",AH1694-M1694)</f>
        <v/>
      </c>
      <c r="AJ1694">
        <f>IF($C1694="","",IF(COUNTIF($C$2:$C1694,$C1694)=1,1,0))</f>
        <v/>
      </c>
      <c r="AK1694">
        <f>IF($AJ1694=1,SUMPRODUCT(--($AN$2:$AN$4001&lt;$AN1694))+1,"")</f>
        <v/>
      </c>
      <c r="AL1694">
        <f>IF($C1694="","",IF(OR($Q1694=TRUE(),$Q1694="TRUE"),1,0))</f>
        <v/>
      </c>
      <c r="AM1694">
        <f>IF($C1694="","",IF($W1694="Yes",1,0))</f>
        <v/>
      </c>
      <c r="AN1694">
        <f>IF($AJ1694=1,IFERROR(IF(VALUE($C1694)&lt;100000000,VALUE($C1694),1000000000),IFERROR(IF(VALUE(MID($C1694,2,20))&lt;100000000,VALUE(MID($C1694,2,20)),1000000000),1000000000))+ROW()/100000,"")</f>
        <v/>
      </c>
    </row>
    <row r="1695">
      <c r="E1695" s="11" t="n"/>
      <c r="M1695" s="7">
        <f>IF($C1695="","",L1695*U1695/100)</f>
        <v/>
      </c>
      <c r="N1695" s="7" t="n"/>
      <c r="T1695" s="7" t="n"/>
      <c r="U1695" s="7">
        <f>IF($C1695="","",S1695*T1695)</f>
        <v/>
      </c>
      <c r="X1695">
        <f>IF($C1695="","",IF($AM1695=1,0,IF($AL1695=1,Settings!$C$6,Settings!$C$7))*100)</f>
        <v/>
      </c>
      <c r="AB1695" s="7" t="n"/>
      <c r="AE1695" s="11" t="n"/>
      <c r="AG1695" s="7">
        <f>IF($C1695="","",U1695*X1695/100)</f>
        <v/>
      </c>
      <c r="AH1695" s="7">
        <f>IF($C1695="","",U1695-AG1695)</f>
        <v/>
      </c>
      <c r="AI1695" s="7">
        <f>IF($C1695="","",AH1695-M1695)</f>
        <v/>
      </c>
      <c r="AJ1695">
        <f>IF($C1695="","",IF(COUNTIF($C$2:$C1695,$C1695)=1,1,0))</f>
        <v/>
      </c>
      <c r="AK1695">
        <f>IF($AJ1695=1,SUMPRODUCT(--($AN$2:$AN$4001&lt;$AN1695))+1,"")</f>
        <v/>
      </c>
      <c r="AL1695">
        <f>IF($C1695="","",IF(OR($Q1695=TRUE(),$Q1695="TRUE"),1,0))</f>
        <v/>
      </c>
      <c r="AM1695">
        <f>IF($C1695="","",IF($W1695="Yes",1,0))</f>
        <v/>
      </c>
      <c r="AN1695">
        <f>IF($AJ1695=1,IFERROR(IF(VALUE($C1695)&lt;100000000,VALUE($C1695),1000000000),IFERROR(IF(VALUE(MID($C1695,2,20))&lt;100000000,VALUE(MID($C1695,2,20)),1000000000),1000000000))+ROW()/100000,"")</f>
        <v/>
      </c>
    </row>
    <row r="1696">
      <c r="E1696" s="11" t="n"/>
      <c r="M1696" s="7">
        <f>IF($C1696="","",L1696*U1696/100)</f>
        <v/>
      </c>
      <c r="N1696" s="7" t="n"/>
      <c r="T1696" s="7" t="n"/>
      <c r="U1696" s="7">
        <f>IF($C1696="","",S1696*T1696)</f>
        <v/>
      </c>
      <c r="X1696">
        <f>IF($C1696="","",IF($AM1696=1,0,IF($AL1696=1,Settings!$C$6,Settings!$C$7))*100)</f>
        <v/>
      </c>
      <c r="AB1696" s="7" t="n"/>
      <c r="AE1696" s="11" t="n"/>
      <c r="AG1696" s="7">
        <f>IF($C1696="","",U1696*X1696/100)</f>
        <v/>
      </c>
      <c r="AH1696" s="7">
        <f>IF($C1696="","",U1696-AG1696)</f>
        <v/>
      </c>
      <c r="AI1696" s="7">
        <f>IF($C1696="","",AH1696-M1696)</f>
        <v/>
      </c>
      <c r="AJ1696">
        <f>IF($C1696="","",IF(COUNTIF($C$2:$C1696,$C1696)=1,1,0))</f>
        <v/>
      </c>
      <c r="AK1696">
        <f>IF($AJ1696=1,SUMPRODUCT(--($AN$2:$AN$4001&lt;$AN1696))+1,"")</f>
        <v/>
      </c>
      <c r="AL1696">
        <f>IF($C1696="","",IF(OR($Q1696=TRUE(),$Q1696="TRUE"),1,0))</f>
        <v/>
      </c>
      <c r="AM1696">
        <f>IF($C1696="","",IF($W1696="Yes",1,0))</f>
        <v/>
      </c>
      <c r="AN1696">
        <f>IF($AJ1696=1,IFERROR(IF(VALUE($C1696)&lt;100000000,VALUE($C1696),1000000000),IFERROR(IF(VALUE(MID($C1696,2,20))&lt;100000000,VALUE(MID($C1696,2,20)),1000000000),1000000000))+ROW()/100000,"")</f>
        <v/>
      </c>
    </row>
    <row r="1697">
      <c r="E1697" s="11" t="n"/>
      <c r="M1697" s="7">
        <f>IF($C1697="","",L1697*U1697/100)</f>
        <v/>
      </c>
      <c r="N1697" s="7" t="n"/>
      <c r="T1697" s="7" t="n"/>
      <c r="U1697" s="7">
        <f>IF($C1697="","",S1697*T1697)</f>
        <v/>
      </c>
      <c r="X1697">
        <f>IF($C1697="","",IF($AM1697=1,0,IF($AL1697=1,Settings!$C$6,Settings!$C$7))*100)</f>
        <v/>
      </c>
      <c r="AB1697" s="7" t="n"/>
      <c r="AE1697" s="11" t="n"/>
      <c r="AG1697" s="7">
        <f>IF($C1697="","",U1697*X1697/100)</f>
        <v/>
      </c>
      <c r="AH1697" s="7">
        <f>IF($C1697="","",U1697-AG1697)</f>
        <v/>
      </c>
      <c r="AI1697" s="7">
        <f>IF($C1697="","",AH1697-M1697)</f>
        <v/>
      </c>
      <c r="AJ1697">
        <f>IF($C1697="","",IF(COUNTIF($C$2:$C1697,$C1697)=1,1,0))</f>
        <v/>
      </c>
      <c r="AK1697">
        <f>IF($AJ1697=1,SUMPRODUCT(--($AN$2:$AN$4001&lt;$AN1697))+1,"")</f>
        <v/>
      </c>
      <c r="AL1697">
        <f>IF($C1697="","",IF(OR($Q1697=TRUE(),$Q1697="TRUE"),1,0))</f>
        <v/>
      </c>
      <c r="AM1697">
        <f>IF($C1697="","",IF($W1697="Yes",1,0))</f>
        <v/>
      </c>
      <c r="AN1697">
        <f>IF($AJ1697=1,IFERROR(IF(VALUE($C1697)&lt;100000000,VALUE($C1697),1000000000),IFERROR(IF(VALUE(MID($C1697,2,20))&lt;100000000,VALUE(MID($C1697,2,20)),1000000000),1000000000))+ROW()/100000,"")</f>
        <v/>
      </c>
    </row>
    <row r="1698">
      <c r="E1698" s="11" t="n"/>
      <c r="M1698" s="7">
        <f>IF($C1698="","",L1698*U1698/100)</f>
        <v/>
      </c>
      <c r="N1698" s="7" t="n"/>
      <c r="T1698" s="7" t="n"/>
      <c r="U1698" s="7">
        <f>IF($C1698="","",S1698*T1698)</f>
        <v/>
      </c>
      <c r="X1698">
        <f>IF($C1698="","",IF($AM1698=1,0,IF($AL1698=1,Settings!$C$6,Settings!$C$7))*100)</f>
        <v/>
      </c>
      <c r="AB1698" s="7" t="n"/>
      <c r="AE1698" s="11" t="n"/>
      <c r="AG1698" s="7">
        <f>IF($C1698="","",U1698*X1698/100)</f>
        <v/>
      </c>
      <c r="AH1698" s="7">
        <f>IF($C1698="","",U1698-AG1698)</f>
        <v/>
      </c>
      <c r="AI1698" s="7">
        <f>IF($C1698="","",AH1698-M1698)</f>
        <v/>
      </c>
      <c r="AJ1698">
        <f>IF($C1698="","",IF(COUNTIF($C$2:$C1698,$C1698)=1,1,0))</f>
        <v/>
      </c>
      <c r="AK1698">
        <f>IF($AJ1698=1,SUMPRODUCT(--($AN$2:$AN$4001&lt;$AN1698))+1,"")</f>
        <v/>
      </c>
      <c r="AL1698">
        <f>IF($C1698="","",IF(OR($Q1698=TRUE(),$Q1698="TRUE"),1,0))</f>
        <v/>
      </c>
      <c r="AM1698">
        <f>IF($C1698="","",IF($W1698="Yes",1,0))</f>
        <v/>
      </c>
      <c r="AN1698">
        <f>IF($AJ1698=1,IFERROR(IF(VALUE($C1698)&lt;100000000,VALUE($C1698),1000000000),IFERROR(IF(VALUE(MID($C1698,2,20))&lt;100000000,VALUE(MID($C1698,2,20)),1000000000),1000000000))+ROW()/100000,"")</f>
        <v/>
      </c>
    </row>
    <row r="1699">
      <c r="E1699" s="11" t="n"/>
      <c r="M1699" s="7">
        <f>IF($C1699="","",L1699*U1699/100)</f>
        <v/>
      </c>
      <c r="N1699" s="7" t="n"/>
      <c r="T1699" s="7" t="n"/>
      <c r="U1699" s="7">
        <f>IF($C1699="","",S1699*T1699)</f>
        <v/>
      </c>
      <c r="X1699">
        <f>IF($C1699="","",IF($AM1699=1,0,IF($AL1699=1,Settings!$C$6,Settings!$C$7))*100)</f>
        <v/>
      </c>
      <c r="AB1699" s="7" t="n"/>
      <c r="AE1699" s="11" t="n"/>
      <c r="AG1699" s="7">
        <f>IF($C1699="","",U1699*X1699/100)</f>
        <v/>
      </c>
      <c r="AH1699" s="7">
        <f>IF($C1699="","",U1699-AG1699)</f>
        <v/>
      </c>
      <c r="AI1699" s="7">
        <f>IF($C1699="","",AH1699-M1699)</f>
        <v/>
      </c>
      <c r="AJ1699">
        <f>IF($C1699="","",IF(COUNTIF($C$2:$C1699,$C1699)=1,1,0))</f>
        <v/>
      </c>
      <c r="AK1699">
        <f>IF($AJ1699=1,SUMPRODUCT(--($AN$2:$AN$4001&lt;$AN1699))+1,"")</f>
        <v/>
      </c>
      <c r="AL1699">
        <f>IF($C1699="","",IF(OR($Q1699=TRUE(),$Q1699="TRUE"),1,0))</f>
        <v/>
      </c>
      <c r="AM1699">
        <f>IF($C1699="","",IF($W1699="Yes",1,0))</f>
        <v/>
      </c>
      <c r="AN1699">
        <f>IF($AJ1699=1,IFERROR(IF(VALUE($C1699)&lt;100000000,VALUE($C1699),1000000000),IFERROR(IF(VALUE(MID($C1699,2,20))&lt;100000000,VALUE(MID($C1699,2,20)),1000000000),1000000000))+ROW()/100000,"")</f>
        <v/>
      </c>
    </row>
    <row r="1700">
      <c r="E1700" s="11" t="n"/>
      <c r="M1700" s="7">
        <f>IF($C1700="","",L1700*U1700/100)</f>
        <v/>
      </c>
      <c r="N1700" s="7" t="n"/>
      <c r="T1700" s="7" t="n"/>
      <c r="U1700" s="7">
        <f>IF($C1700="","",S1700*T1700)</f>
        <v/>
      </c>
      <c r="X1700">
        <f>IF($C1700="","",IF($AM1700=1,0,IF($AL1700=1,Settings!$C$6,Settings!$C$7))*100)</f>
        <v/>
      </c>
      <c r="AB1700" s="7" t="n"/>
      <c r="AE1700" s="11" t="n"/>
      <c r="AG1700" s="7">
        <f>IF($C1700="","",U1700*X1700/100)</f>
        <v/>
      </c>
      <c r="AH1700" s="7">
        <f>IF($C1700="","",U1700-AG1700)</f>
        <v/>
      </c>
      <c r="AI1700" s="7">
        <f>IF($C1700="","",AH1700-M1700)</f>
        <v/>
      </c>
      <c r="AJ1700">
        <f>IF($C1700="","",IF(COUNTIF($C$2:$C1700,$C1700)=1,1,0))</f>
        <v/>
      </c>
      <c r="AK1700">
        <f>IF($AJ1700=1,SUMPRODUCT(--($AN$2:$AN$4001&lt;$AN1700))+1,"")</f>
        <v/>
      </c>
      <c r="AL1700">
        <f>IF($C1700="","",IF(OR($Q1700=TRUE(),$Q1700="TRUE"),1,0))</f>
        <v/>
      </c>
      <c r="AM1700">
        <f>IF($C1700="","",IF($W1700="Yes",1,0))</f>
        <v/>
      </c>
      <c r="AN1700">
        <f>IF($AJ1700=1,IFERROR(IF(VALUE($C1700)&lt;100000000,VALUE($C1700),1000000000),IFERROR(IF(VALUE(MID($C1700,2,20))&lt;100000000,VALUE(MID($C1700,2,20)),1000000000),1000000000))+ROW()/100000,"")</f>
        <v/>
      </c>
    </row>
    <row r="1701">
      <c r="E1701" s="11" t="n"/>
      <c r="M1701" s="7">
        <f>IF($C1701="","",L1701*U1701/100)</f>
        <v/>
      </c>
      <c r="N1701" s="7" t="n"/>
      <c r="T1701" s="7" t="n"/>
      <c r="U1701" s="7">
        <f>IF($C1701="","",S1701*T1701)</f>
        <v/>
      </c>
      <c r="X1701">
        <f>IF($C1701="","",IF($AM1701=1,0,IF($AL1701=1,Settings!$C$6,Settings!$C$7))*100)</f>
        <v/>
      </c>
      <c r="AB1701" s="7" t="n"/>
      <c r="AE1701" s="11" t="n"/>
      <c r="AG1701" s="7">
        <f>IF($C1701="","",U1701*X1701/100)</f>
        <v/>
      </c>
      <c r="AH1701" s="7">
        <f>IF($C1701="","",U1701-AG1701)</f>
        <v/>
      </c>
      <c r="AI1701" s="7">
        <f>IF($C1701="","",AH1701-M1701)</f>
        <v/>
      </c>
      <c r="AJ1701">
        <f>IF($C1701="","",IF(COUNTIF($C$2:$C1701,$C1701)=1,1,0))</f>
        <v/>
      </c>
      <c r="AK1701">
        <f>IF($AJ1701=1,SUMPRODUCT(--($AN$2:$AN$4001&lt;$AN1701))+1,"")</f>
        <v/>
      </c>
      <c r="AL1701">
        <f>IF($C1701="","",IF(OR($Q1701=TRUE(),$Q1701="TRUE"),1,0))</f>
        <v/>
      </c>
      <c r="AM1701">
        <f>IF($C1701="","",IF($W1701="Yes",1,0))</f>
        <v/>
      </c>
      <c r="AN1701">
        <f>IF($AJ1701=1,IFERROR(IF(VALUE($C1701)&lt;100000000,VALUE($C1701),1000000000),IFERROR(IF(VALUE(MID($C1701,2,20))&lt;100000000,VALUE(MID($C1701,2,20)),1000000000),1000000000))+ROW()/100000,"")</f>
        <v/>
      </c>
    </row>
    <row r="1702">
      <c r="E1702" s="11" t="n"/>
      <c r="M1702" s="7">
        <f>IF($C1702="","",L1702*U1702/100)</f>
        <v/>
      </c>
      <c r="N1702" s="7" t="n"/>
      <c r="T1702" s="7" t="n"/>
      <c r="U1702" s="7">
        <f>IF($C1702="","",S1702*T1702)</f>
        <v/>
      </c>
      <c r="X1702">
        <f>IF($C1702="","",IF($AM1702=1,0,IF($AL1702=1,Settings!$C$6,Settings!$C$7))*100)</f>
        <v/>
      </c>
      <c r="AB1702" s="7" t="n"/>
      <c r="AE1702" s="11" t="n"/>
      <c r="AG1702" s="7">
        <f>IF($C1702="","",U1702*X1702/100)</f>
        <v/>
      </c>
      <c r="AH1702" s="7">
        <f>IF($C1702="","",U1702-AG1702)</f>
        <v/>
      </c>
      <c r="AI1702" s="7">
        <f>IF($C1702="","",AH1702-M1702)</f>
        <v/>
      </c>
      <c r="AJ1702">
        <f>IF($C1702="","",IF(COUNTIF($C$2:$C1702,$C1702)=1,1,0))</f>
        <v/>
      </c>
      <c r="AK1702">
        <f>IF($AJ1702=1,SUMPRODUCT(--($AN$2:$AN$4001&lt;$AN1702))+1,"")</f>
        <v/>
      </c>
      <c r="AL1702">
        <f>IF($C1702="","",IF(OR($Q1702=TRUE(),$Q1702="TRUE"),1,0))</f>
        <v/>
      </c>
      <c r="AM1702">
        <f>IF($C1702="","",IF($W1702="Yes",1,0))</f>
        <v/>
      </c>
      <c r="AN1702">
        <f>IF($AJ1702=1,IFERROR(IF(VALUE($C1702)&lt;100000000,VALUE($C1702),1000000000),IFERROR(IF(VALUE(MID($C1702,2,20))&lt;100000000,VALUE(MID($C1702,2,20)),1000000000),1000000000))+ROW()/100000,"")</f>
        <v/>
      </c>
    </row>
    <row r="1703">
      <c r="E1703" s="11" t="n"/>
      <c r="M1703" s="7">
        <f>IF($C1703="","",L1703*U1703/100)</f>
        <v/>
      </c>
      <c r="N1703" s="7" t="n"/>
      <c r="T1703" s="7" t="n"/>
      <c r="U1703" s="7">
        <f>IF($C1703="","",S1703*T1703)</f>
        <v/>
      </c>
      <c r="X1703">
        <f>IF($C1703="","",IF($AM1703=1,0,IF($AL1703=1,Settings!$C$6,Settings!$C$7))*100)</f>
        <v/>
      </c>
      <c r="AB1703" s="7" t="n"/>
      <c r="AE1703" s="11" t="n"/>
      <c r="AG1703" s="7">
        <f>IF($C1703="","",U1703*X1703/100)</f>
        <v/>
      </c>
      <c r="AH1703" s="7">
        <f>IF($C1703="","",U1703-AG1703)</f>
        <v/>
      </c>
      <c r="AI1703" s="7">
        <f>IF($C1703="","",AH1703-M1703)</f>
        <v/>
      </c>
      <c r="AJ1703">
        <f>IF($C1703="","",IF(COUNTIF($C$2:$C1703,$C1703)=1,1,0))</f>
        <v/>
      </c>
      <c r="AK1703">
        <f>IF($AJ1703=1,SUMPRODUCT(--($AN$2:$AN$4001&lt;$AN1703))+1,"")</f>
        <v/>
      </c>
      <c r="AL1703">
        <f>IF($C1703="","",IF(OR($Q1703=TRUE(),$Q1703="TRUE"),1,0))</f>
        <v/>
      </c>
      <c r="AM1703">
        <f>IF($C1703="","",IF($W1703="Yes",1,0))</f>
        <v/>
      </c>
      <c r="AN1703">
        <f>IF($AJ1703=1,IFERROR(IF(VALUE($C1703)&lt;100000000,VALUE($C1703),1000000000),IFERROR(IF(VALUE(MID($C1703,2,20))&lt;100000000,VALUE(MID($C1703,2,20)),1000000000),1000000000))+ROW()/100000,"")</f>
        <v/>
      </c>
    </row>
    <row r="1704">
      <c r="E1704" s="11" t="n"/>
      <c r="M1704" s="7">
        <f>IF($C1704="","",L1704*U1704/100)</f>
        <v/>
      </c>
      <c r="N1704" s="7" t="n"/>
      <c r="T1704" s="7" t="n"/>
      <c r="U1704" s="7">
        <f>IF($C1704="","",S1704*T1704)</f>
        <v/>
      </c>
      <c r="X1704">
        <f>IF($C1704="","",IF($AM1704=1,0,IF($AL1704=1,Settings!$C$6,Settings!$C$7))*100)</f>
        <v/>
      </c>
      <c r="AB1704" s="7" t="n"/>
      <c r="AE1704" s="11" t="n"/>
      <c r="AG1704" s="7">
        <f>IF($C1704="","",U1704*X1704/100)</f>
        <v/>
      </c>
      <c r="AH1704" s="7">
        <f>IF($C1704="","",U1704-AG1704)</f>
        <v/>
      </c>
      <c r="AI1704" s="7">
        <f>IF($C1704="","",AH1704-M1704)</f>
        <v/>
      </c>
      <c r="AJ1704">
        <f>IF($C1704="","",IF(COUNTIF($C$2:$C1704,$C1704)=1,1,0))</f>
        <v/>
      </c>
      <c r="AK1704">
        <f>IF($AJ1704=1,SUMPRODUCT(--($AN$2:$AN$4001&lt;$AN1704))+1,"")</f>
        <v/>
      </c>
      <c r="AL1704">
        <f>IF($C1704="","",IF(OR($Q1704=TRUE(),$Q1704="TRUE"),1,0))</f>
        <v/>
      </c>
      <c r="AM1704">
        <f>IF($C1704="","",IF($W1704="Yes",1,0))</f>
        <v/>
      </c>
      <c r="AN1704">
        <f>IF($AJ1704=1,IFERROR(IF(VALUE($C1704)&lt;100000000,VALUE($C1704),1000000000),IFERROR(IF(VALUE(MID($C1704,2,20))&lt;100000000,VALUE(MID($C1704,2,20)),1000000000),1000000000))+ROW()/100000,"")</f>
        <v/>
      </c>
    </row>
    <row r="1705">
      <c r="E1705" s="11" t="n"/>
      <c r="M1705" s="7">
        <f>IF($C1705="","",L1705*U1705/100)</f>
        <v/>
      </c>
      <c r="N1705" s="7" t="n"/>
      <c r="T1705" s="7" t="n"/>
      <c r="U1705" s="7">
        <f>IF($C1705="","",S1705*T1705)</f>
        <v/>
      </c>
      <c r="X1705">
        <f>IF($C1705="","",IF($AM1705=1,0,IF($AL1705=1,Settings!$C$6,Settings!$C$7))*100)</f>
        <v/>
      </c>
      <c r="AB1705" s="7" t="n"/>
      <c r="AE1705" s="11" t="n"/>
      <c r="AG1705" s="7">
        <f>IF($C1705="","",U1705*X1705/100)</f>
        <v/>
      </c>
      <c r="AH1705" s="7">
        <f>IF($C1705="","",U1705-AG1705)</f>
        <v/>
      </c>
      <c r="AI1705" s="7">
        <f>IF($C1705="","",AH1705-M1705)</f>
        <v/>
      </c>
      <c r="AJ1705">
        <f>IF($C1705="","",IF(COUNTIF($C$2:$C1705,$C1705)=1,1,0))</f>
        <v/>
      </c>
      <c r="AK1705">
        <f>IF($AJ1705=1,SUMPRODUCT(--($AN$2:$AN$4001&lt;$AN1705))+1,"")</f>
        <v/>
      </c>
      <c r="AL1705">
        <f>IF($C1705="","",IF(OR($Q1705=TRUE(),$Q1705="TRUE"),1,0))</f>
        <v/>
      </c>
      <c r="AM1705">
        <f>IF($C1705="","",IF($W1705="Yes",1,0))</f>
        <v/>
      </c>
      <c r="AN1705">
        <f>IF($AJ1705=1,IFERROR(IF(VALUE($C1705)&lt;100000000,VALUE($C1705),1000000000),IFERROR(IF(VALUE(MID($C1705,2,20))&lt;100000000,VALUE(MID($C1705,2,20)),1000000000),1000000000))+ROW()/100000,"")</f>
        <v/>
      </c>
    </row>
    <row r="1706">
      <c r="E1706" s="11" t="n"/>
      <c r="M1706" s="7">
        <f>IF($C1706="","",L1706*U1706/100)</f>
        <v/>
      </c>
      <c r="N1706" s="7" t="n"/>
      <c r="T1706" s="7" t="n"/>
      <c r="U1706" s="7">
        <f>IF($C1706="","",S1706*T1706)</f>
        <v/>
      </c>
      <c r="X1706">
        <f>IF($C1706="","",IF($AM1706=1,0,IF($AL1706=1,Settings!$C$6,Settings!$C$7))*100)</f>
        <v/>
      </c>
      <c r="AB1706" s="7" t="n"/>
      <c r="AE1706" s="11" t="n"/>
      <c r="AG1706" s="7">
        <f>IF($C1706="","",U1706*X1706/100)</f>
        <v/>
      </c>
      <c r="AH1706" s="7">
        <f>IF($C1706="","",U1706-AG1706)</f>
        <v/>
      </c>
      <c r="AI1706" s="7">
        <f>IF($C1706="","",AH1706-M1706)</f>
        <v/>
      </c>
      <c r="AJ1706">
        <f>IF($C1706="","",IF(COUNTIF($C$2:$C1706,$C1706)=1,1,0))</f>
        <v/>
      </c>
      <c r="AK1706">
        <f>IF($AJ1706=1,SUMPRODUCT(--($AN$2:$AN$4001&lt;$AN1706))+1,"")</f>
        <v/>
      </c>
      <c r="AL1706">
        <f>IF($C1706="","",IF(OR($Q1706=TRUE(),$Q1706="TRUE"),1,0))</f>
        <v/>
      </c>
      <c r="AM1706">
        <f>IF($C1706="","",IF($W1706="Yes",1,0))</f>
        <v/>
      </c>
      <c r="AN1706">
        <f>IF($AJ1706=1,IFERROR(IF(VALUE($C1706)&lt;100000000,VALUE($C1706),1000000000),IFERROR(IF(VALUE(MID($C1706,2,20))&lt;100000000,VALUE(MID($C1706,2,20)),1000000000),1000000000))+ROW()/100000,"")</f>
        <v/>
      </c>
    </row>
    <row r="1707">
      <c r="E1707" s="11" t="n"/>
      <c r="M1707" s="7">
        <f>IF($C1707="","",L1707*U1707/100)</f>
        <v/>
      </c>
      <c r="N1707" s="7" t="n"/>
      <c r="T1707" s="7" t="n"/>
      <c r="U1707" s="7">
        <f>IF($C1707="","",S1707*T1707)</f>
        <v/>
      </c>
      <c r="X1707">
        <f>IF($C1707="","",IF($AM1707=1,0,IF($AL1707=1,Settings!$C$6,Settings!$C$7))*100)</f>
        <v/>
      </c>
      <c r="AB1707" s="7" t="n"/>
      <c r="AE1707" s="11" t="n"/>
      <c r="AG1707" s="7">
        <f>IF($C1707="","",U1707*X1707/100)</f>
        <v/>
      </c>
      <c r="AH1707" s="7">
        <f>IF($C1707="","",U1707-AG1707)</f>
        <v/>
      </c>
      <c r="AI1707" s="7">
        <f>IF($C1707="","",AH1707-M1707)</f>
        <v/>
      </c>
      <c r="AJ1707">
        <f>IF($C1707="","",IF(COUNTIF($C$2:$C1707,$C1707)=1,1,0))</f>
        <v/>
      </c>
      <c r="AK1707">
        <f>IF($AJ1707=1,SUMPRODUCT(--($AN$2:$AN$4001&lt;$AN1707))+1,"")</f>
        <v/>
      </c>
      <c r="AL1707">
        <f>IF($C1707="","",IF(OR($Q1707=TRUE(),$Q1707="TRUE"),1,0))</f>
        <v/>
      </c>
      <c r="AM1707">
        <f>IF($C1707="","",IF($W1707="Yes",1,0))</f>
        <v/>
      </c>
      <c r="AN1707">
        <f>IF($AJ1707=1,IFERROR(IF(VALUE($C1707)&lt;100000000,VALUE($C1707),1000000000),IFERROR(IF(VALUE(MID($C1707,2,20))&lt;100000000,VALUE(MID($C1707,2,20)),1000000000),1000000000))+ROW()/100000,"")</f>
        <v/>
      </c>
    </row>
    <row r="1708">
      <c r="E1708" s="11" t="n"/>
      <c r="M1708" s="7">
        <f>IF($C1708="","",L1708*U1708/100)</f>
        <v/>
      </c>
      <c r="N1708" s="7" t="n"/>
      <c r="T1708" s="7" t="n"/>
      <c r="U1708" s="7">
        <f>IF($C1708="","",S1708*T1708)</f>
        <v/>
      </c>
      <c r="X1708">
        <f>IF($C1708="","",IF($AM1708=1,0,IF($AL1708=1,Settings!$C$6,Settings!$C$7))*100)</f>
        <v/>
      </c>
      <c r="AB1708" s="7" t="n"/>
      <c r="AE1708" s="11" t="n"/>
      <c r="AG1708" s="7">
        <f>IF($C1708="","",U1708*X1708/100)</f>
        <v/>
      </c>
      <c r="AH1708" s="7">
        <f>IF($C1708="","",U1708-AG1708)</f>
        <v/>
      </c>
      <c r="AI1708" s="7">
        <f>IF($C1708="","",AH1708-M1708)</f>
        <v/>
      </c>
      <c r="AJ1708">
        <f>IF($C1708="","",IF(COUNTIF($C$2:$C1708,$C1708)=1,1,0))</f>
        <v/>
      </c>
      <c r="AK1708">
        <f>IF($AJ1708=1,SUMPRODUCT(--($AN$2:$AN$4001&lt;$AN1708))+1,"")</f>
        <v/>
      </c>
      <c r="AL1708">
        <f>IF($C1708="","",IF(OR($Q1708=TRUE(),$Q1708="TRUE"),1,0))</f>
        <v/>
      </c>
      <c r="AM1708">
        <f>IF($C1708="","",IF($W1708="Yes",1,0))</f>
        <v/>
      </c>
      <c r="AN1708">
        <f>IF($AJ1708=1,IFERROR(IF(VALUE($C1708)&lt;100000000,VALUE($C1708),1000000000),IFERROR(IF(VALUE(MID($C1708,2,20))&lt;100000000,VALUE(MID($C1708,2,20)),1000000000),1000000000))+ROW()/100000,"")</f>
        <v/>
      </c>
    </row>
    <row r="1709">
      <c r="E1709" s="11" t="n"/>
      <c r="M1709" s="7">
        <f>IF($C1709="","",L1709*U1709/100)</f>
        <v/>
      </c>
      <c r="N1709" s="7" t="n"/>
      <c r="T1709" s="7" t="n"/>
      <c r="U1709" s="7">
        <f>IF($C1709="","",S1709*T1709)</f>
        <v/>
      </c>
      <c r="X1709">
        <f>IF($C1709="","",IF($AM1709=1,0,IF($AL1709=1,Settings!$C$6,Settings!$C$7))*100)</f>
        <v/>
      </c>
      <c r="AB1709" s="7" t="n"/>
      <c r="AE1709" s="11" t="n"/>
      <c r="AG1709" s="7">
        <f>IF($C1709="","",U1709*X1709/100)</f>
        <v/>
      </c>
      <c r="AH1709" s="7">
        <f>IF($C1709="","",U1709-AG1709)</f>
        <v/>
      </c>
      <c r="AI1709" s="7">
        <f>IF($C1709="","",AH1709-M1709)</f>
        <v/>
      </c>
      <c r="AJ1709">
        <f>IF($C1709="","",IF(COUNTIF($C$2:$C1709,$C1709)=1,1,0))</f>
        <v/>
      </c>
      <c r="AK1709">
        <f>IF($AJ1709=1,SUMPRODUCT(--($AN$2:$AN$4001&lt;$AN1709))+1,"")</f>
        <v/>
      </c>
      <c r="AL1709">
        <f>IF($C1709="","",IF(OR($Q1709=TRUE(),$Q1709="TRUE"),1,0))</f>
        <v/>
      </c>
      <c r="AM1709">
        <f>IF($C1709="","",IF($W1709="Yes",1,0))</f>
        <v/>
      </c>
      <c r="AN1709">
        <f>IF($AJ1709=1,IFERROR(IF(VALUE($C1709)&lt;100000000,VALUE($C1709),1000000000),IFERROR(IF(VALUE(MID($C1709,2,20))&lt;100000000,VALUE(MID($C1709,2,20)),1000000000),1000000000))+ROW()/100000,"")</f>
        <v/>
      </c>
    </row>
    <row r="1710">
      <c r="E1710" s="11" t="n"/>
      <c r="M1710" s="7">
        <f>IF($C1710="","",L1710*U1710/100)</f>
        <v/>
      </c>
      <c r="N1710" s="7" t="n"/>
      <c r="T1710" s="7" t="n"/>
      <c r="U1710" s="7">
        <f>IF($C1710="","",S1710*T1710)</f>
        <v/>
      </c>
      <c r="X1710">
        <f>IF($C1710="","",IF($AM1710=1,0,IF($AL1710=1,Settings!$C$6,Settings!$C$7))*100)</f>
        <v/>
      </c>
      <c r="AB1710" s="7" t="n"/>
      <c r="AE1710" s="11" t="n"/>
      <c r="AG1710" s="7">
        <f>IF($C1710="","",U1710*X1710/100)</f>
        <v/>
      </c>
      <c r="AH1710" s="7">
        <f>IF($C1710="","",U1710-AG1710)</f>
        <v/>
      </c>
      <c r="AI1710" s="7">
        <f>IF($C1710="","",AH1710-M1710)</f>
        <v/>
      </c>
      <c r="AJ1710">
        <f>IF($C1710="","",IF(COUNTIF($C$2:$C1710,$C1710)=1,1,0))</f>
        <v/>
      </c>
      <c r="AK1710">
        <f>IF($AJ1710=1,SUMPRODUCT(--($AN$2:$AN$4001&lt;$AN1710))+1,"")</f>
        <v/>
      </c>
      <c r="AL1710">
        <f>IF($C1710="","",IF(OR($Q1710=TRUE(),$Q1710="TRUE"),1,0))</f>
        <v/>
      </c>
      <c r="AM1710">
        <f>IF($C1710="","",IF($W1710="Yes",1,0))</f>
        <v/>
      </c>
      <c r="AN1710">
        <f>IF($AJ1710=1,IFERROR(IF(VALUE($C1710)&lt;100000000,VALUE($C1710),1000000000),IFERROR(IF(VALUE(MID($C1710,2,20))&lt;100000000,VALUE(MID($C1710,2,20)),1000000000),1000000000))+ROW()/100000,"")</f>
        <v/>
      </c>
    </row>
    <row r="1711">
      <c r="E1711" s="11" t="n"/>
      <c r="M1711" s="7">
        <f>IF($C1711="","",L1711*U1711/100)</f>
        <v/>
      </c>
      <c r="N1711" s="7" t="n"/>
      <c r="T1711" s="7" t="n"/>
      <c r="U1711" s="7">
        <f>IF($C1711="","",S1711*T1711)</f>
        <v/>
      </c>
      <c r="X1711">
        <f>IF($C1711="","",IF($AM1711=1,0,IF($AL1711=1,Settings!$C$6,Settings!$C$7))*100)</f>
        <v/>
      </c>
      <c r="AB1711" s="7" t="n"/>
      <c r="AE1711" s="11" t="n"/>
      <c r="AG1711" s="7">
        <f>IF($C1711="","",U1711*X1711/100)</f>
        <v/>
      </c>
      <c r="AH1711" s="7">
        <f>IF($C1711="","",U1711-AG1711)</f>
        <v/>
      </c>
      <c r="AI1711" s="7">
        <f>IF($C1711="","",AH1711-M1711)</f>
        <v/>
      </c>
      <c r="AJ1711">
        <f>IF($C1711="","",IF(COUNTIF($C$2:$C1711,$C1711)=1,1,0))</f>
        <v/>
      </c>
      <c r="AK1711">
        <f>IF($AJ1711=1,SUMPRODUCT(--($AN$2:$AN$4001&lt;$AN1711))+1,"")</f>
        <v/>
      </c>
      <c r="AL1711">
        <f>IF($C1711="","",IF(OR($Q1711=TRUE(),$Q1711="TRUE"),1,0))</f>
        <v/>
      </c>
      <c r="AM1711">
        <f>IF($C1711="","",IF($W1711="Yes",1,0))</f>
        <v/>
      </c>
      <c r="AN1711">
        <f>IF($AJ1711=1,IFERROR(IF(VALUE($C1711)&lt;100000000,VALUE($C1711),1000000000),IFERROR(IF(VALUE(MID($C1711,2,20))&lt;100000000,VALUE(MID($C1711,2,20)),1000000000),1000000000))+ROW()/100000,"")</f>
        <v/>
      </c>
    </row>
    <row r="1712">
      <c r="E1712" s="11" t="n"/>
      <c r="M1712" s="7">
        <f>IF($C1712="","",L1712*U1712/100)</f>
        <v/>
      </c>
      <c r="N1712" s="7" t="n"/>
      <c r="T1712" s="7" t="n"/>
      <c r="U1712" s="7">
        <f>IF($C1712="","",S1712*T1712)</f>
        <v/>
      </c>
      <c r="X1712">
        <f>IF($C1712="","",IF($AM1712=1,0,IF($AL1712=1,Settings!$C$6,Settings!$C$7))*100)</f>
        <v/>
      </c>
      <c r="AB1712" s="7" t="n"/>
      <c r="AE1712" s="11" t="n"/>
      <c r="AG1712" s="7">
        <f>IF($C1712="","",U1712*X1712/100)</f>
        <v/>
      </c>
      <c r="AH1712" s="7">
        <f>IF($C1712="","",U1712-AG1712)</f>
        <v/>
      </c>
      <c r="AI1712" s="7">
        <f>IF($C1712="","",AH1712-M1712)</f>
        <v/>
      </c>
      <c r="AJ1712">
        <f>IF($C1712="","",IF(COUNTIF($C$2:$C1712,$C1712)=1,1,0))</f>
        <v/>
      </c>
      <c r="AK1712">
        <f>IF($AJ1712=1,SUMPRODUCT(--($AN$2:$AN$4001&lt;$AN1712))+1,"")</f>
        <v/>
      </c>
      <c r="AL1712">
        <f>IF($C1712="","",IF(OR($Q1712=TRUE(),$Q1712="TRUE"),1,0))</f>
        <v/>
      </c>
      <c r="AM1712">
        <f>IF($C1712="","",IF($W1712="Yes",1,0))</f>
        <v/>
      </c>
      <c r="AN1712">
        <f>IF($AJ1712=1,IFERROR(IF(VALUE($C1712)&lt;100000000,VALUE($C1712),1000000000),IFERROR(IF(VALUE(MID($C1712,2,20))&lt;100000000,VALUE(MID($C1712,2,20)),1000000000),1000000000))+ROW()/100000,"")</f>
        <v/>
      </c>
    </row>
    <row r="1713">
      <c r="E1713" s="11" t="n"/>
      <c r="M1713" s="7">
        <f>IF($C1713="","",L1713*U1713/100)</f>
        <v/>
      </c>
      <c r="N1713" s="7" t="n"/>
      <c r="T1713" s="7" t="n"/>
      <c r="U1713" s="7">
        <f>IF($C1713="","",S1713*T1713)</f>
        <v/>
      </c>
      <c r="X1713">
        <f>IF($C1713="","",IF($AM1713=1,0,IF($AL1713=1,Settings!$C$6,Settings!$C$7))*100)</f>
        <v/>
      </c>
      <c r="AB1713" s="7" t="n"/>
      <c r="AE1713" s="11" t="n"/>
      <c r="AG1713" s="7">
        <f>IF($C1713="","",U1713*X1713/100)</f>
        <v/>
      </c>
      <c r="AH1713" s="7">
        <f>IF($C1713="","",U1713-AG1713)</f>
        <v/>
      </c>
      <c r="AI1713" s="7">
        <f>IF($C1713="","",AH1713-M1713)</f>
        <v/>
      </c>
      <c r="AJ1713">
        <f>IF($C1713="","",IF(COUNTIF($C$2:$C1713,$C1713)=1,1,0))</f>
        <v/>
      </c>
      <c r="AK1713">
        <f>IF($AJ1713=1,SUMPRODUCT(--($AN$2:$AN$4001&lt;$AN1713))+1,"")</f>
        <v/>
      </c>
      <c r="AL1713">
        <f>IF($C1713="","",IF(OR($Q1713=TRUE(),$Q1713="TRUE"),1,0))</f>
        <v/>
      </c>
      <c r="AM1713">
        <f>IF($C1713="","",IF($W1713="Yes",1,0))</f>
        <v/>
      </c>
      <c r="AN1713">
        <f>IF($AJ1713=1,IFERROR(IF(VALUE($C1713)&lt;100000000,VALUE($C1713),1000000000),IFERROR(IF(VALUE(MID($C1713,2,20))&lt;100000000,VALUE(MID($C1713,2,20)),1000000000),1000000000))+ROW()/100000,"")</f>
        <v/>
      </c>
    </row>
    <row r="1714">
      <c r="E1714" s="11" t="n"/>
      <c r="M1714" s="7">
        <f>IF($C1714="","",L1714*U1714/100)</f>
        <v/>
      </c>
      <c r="N1714" s="7" t="n"/>
      <c r="T1714" s="7" t="n"/>
      <c r="U1714" s="7">
        <f>IF($C1714="","",S1714*T1714)</f>
        <v/>
      </c>
      <c r="X1714">
        <f>IF($C1714="","",IF($AM1714=1,0,IF($AL1714=1,Settings!$C$6,Settings!$C$7))*100)</f>
        <v/>
      </c>
      <c r="AB1714" s="7" t="n"/>
      <c r="AE1714" s="11" t="n"/>
      <c r="AG1714" s="7">
        <f>IF($C1714="","",U1714*X1714/100)</f>
        <v/>
      </c>
      <c r="AH1714" s="7">
        <f>IF($C1714="","",U1714-AG1714)</f>
        <v/>
      </c>
      <c r="AI1714" s="7">
        <f>IF($C1714="","",AH1714-M1714)</f>
        <v/>
      </c>
      <c r="AJ1714">
        <f>IF($C1714="","",IF(COUNTIF($C$2:$C1714,$C1714)=1,1,0))</f>
        <v/>
      </c>
      <c r="AK1714">
        <f>IF($AJ1714=1,SUMPRODUCT(--($AN$2:$AN$4001&lt;$AN1714))+1,"")</f>
        <v/>
      </c>
      <c r="AL1714">
        <f>IF($C1714="","",IF(OR($Q1714=TRUE(),$Q1714="TRUE"),1,0))</f>
        <v/>
      </c>
      <c r="AM1714">
        <f>IF($C1714="","",IF($W1714="Yes",1,0))</f>
        <v/>
      </c>
      <c r="AN1714">
        <f>IF($AJ1714=1,IFERROR(IF(VALUE($C1714)&lt;100000000,VALUE($C1714),1000000000),IFERROR(IF(VALUE(MID($C1714,2,20))&lt;100000000,VALUE(MID($C1714,2,20)),1000000000),1000000000))+ROW()/100000,"")</f>
        <v/>
      </c>
    </row>
    <row r="1715">
      <c r="E1715" s="11" t="n"/>
      <c r="M1715" s="7">
        <f>IF($C1715="","",L1715*U1715/100)</f>
        <v/>
      </c>
      <c r="N1715" s="7" t="n"/>
      <c r="T1715" s="7" t="n"/>
      <c r="U1715" s="7">
        <f>IF($C1715="","",S1715*T1715)</f>
        <v/>
      </c>
      <c r="X1715">
        <f>IF($C1715="","",IF($AM1715=1,0,IF($AL1715=1,Settings!$C$6,Settings!$C$7))*100)</f>
        <v/>
      </c>
      <c r="AB1715" s="7" t="n"/>
      <c r="AE1715" s="11" t="n"/>
      <c r="AG1715" s="7">
        <f>IF($C1715="","",U1715*X1715/100)</f>
        <v/>
      </c>
      <c r="AH1715" s="7">
        <f>IF($C1715="","",U1715-AG1715)</f>
        <v/>
      </c>
      <c r="AI1715" s="7">
        <f>IF($C1715="","",AH1715-M1715)</f>
        <v/>
      </c>
      <c r="AJ1715">
        <f>IF($C1715="","",IF(COUNTIF($C$2:$C1715,$C1715)=1,1,0))</f>
        <v/>
      </c>
      <c r="AK1715">
        <f>IF($AJ1715=1,SUMPRODUCT(--($AN$2:$AN$4001&lt;$AN1715))+1,"")</f>
        <v/>
      </c>
      <c r="AL1715">
        <f>IF($C1715="","",IF(OR($Q1715=TRUE(),$Q1715="TRUE"),1,0))</f>
        <v/>
      </c>
      <c r="AM1715">
        <f>IF($C1715="","",IF($W1715="Yes",1,0))</f>
        <v/>
      </c>
      <c r="AN1715">
        <f>IF($AJ1715=1,IFERROR(IF(VALUE($C1715)&lt;100000000,VALUE($C1715),1000000000),IFERROR(IF(VALUE(MID($C1715,2,20))&lt;100000000,VALUE(MID($C1715,2,20)),1000000000),1000000000))+ROW()/100000,"")</f>
        <v/>
      </c>
    </row>
    <row r="1716">
      <c r="E1716" s="11" t="n"/>
      <c r="M1716" s="7">
        <f>IF($C1716="","",L1716*U1716/100)</f>
        <v/>
      </c>
      <c r="N1716" s="7" t="n"/>
      <c r="T1716" s="7" t="n"/>
      <c r="U1716" s="7">
        <f>IF($C1716="","",S1716*T1716)</f>
        <v/>
      </c>
      <c r="X1716">
        <f>IF($C1716="","",IF($AM1716=1,0,IF($AL1716=1,Settings!$C$6,Settings!$C$7))*100)</f>
        <v/>
      </c>
      <c r="AB1716" s="7" t="n"/>
      <c r="AE1716" s="11" t="n"/>
      <c r="AG1716" s="7">
        <f>IF($C1716="","",U1716*X1716/100)</f>
        <v/>
      </c>
      <c r="AH1716" s="7">
        <f>IF($C1716="","",U1716-AG1716)</f>
        <v/>
      </c>
      <c r="AI1716" s="7">
        <f>IF($C1716="","",AH1716-M1716)</f>
        <v/>
      </c>
      <c r="AJ1716">
        <f>IF($C1716="","",IF(COUNTIF($C$2:$C1716,$C1716)=1,1,0))</f>
        <v/>
      </c>
      <c r="AK1716">
        <f>IF($AJ1716=1,SUMPRODUCT(--($AN$2:$AN$4001&lt;$AN1716))+1,"")</f>
        <v/>
      </c>
      <c r="AL1716">
        <f>IF($C1716="","",IF(OR($Q1716=TRUE(),$Q1716="TRUE"),1,0))</f>
        <v/>
      </c>
      <c r="AM1716">
        <f>IF($C1716="","",IF($W1716="Yes",1,0))</f>
        <v/>
      </c>
      <c r="AN1716">
        <f>IF($AJ1716=1,IFERROR(IF(VALUE($C1716)&lt;100000000,VALUE($C1716),1000000000),IFERROR(IF(VALUE(MID($C1716,2,20))&lt;100000000,VALUE(MID($C1716,2,20)),1000000000),1000000000))+ROW()/100000,"")</f>
        <v/>
      </c>
    </row>
    <row r="1717">
      <c r="E1717" s="11" t="n"/>
      <c r="M1717" s="7">
        <f>IF($C1717="","",L1717*U1717/100)</f>
        <v/>
      </c>
      <c r="N1717" s="7" t="n"/>
      <c r="T1717" s="7" t="n"/>
      <c r="U1717" s="7">
        <f>IF($C1717="","",S1717*T1717)</f>
        <v/>
      </c>
      <c r="X1717">
        <f>IF($C1717="","",IF($AM1717=1,0,IF($AL1717=1,Settings!$C$6,Settings!$C$7))*100)</f>
        <v/>
      </c>
      <c r="AB1717" s="7" t="n"/>
      <c r="AE1717" s="11" t="n"/>
      <c r="AG1717" s="7">
        <f>IF($C1717="","",U1717*X1717/100)</f>
        <v/>
      </c>
      <c r="AH1717" s="7">
        <f>IF($C1717="","",U1717-AG1717)</f>
        <v/>
      </c>
      <c r="AI1717" s="7">
        <f>IF($C1717="","",AH1717-M1717)</f>
        <v/>
      </c>
      <c r="AJ1717">
        <f>IF($C1717="","",IF(COUNTIF($C$2:$C1717,$C1717)=1,1,0))</f>
        <v/>
      </c>
      <c r="AK1717">
        <f>IF($AJ1717=1,SUMPRODUCT(--($AN$2:$AN$4001&lt;$AN1717))+1,"")</f>
        <v/>
      </c>
      <c r="AL1717">
        <f>IF($C1717="","",IF(OR($Q1717=TRUE(),$Q1717="TRUE"),1,0))</f>
        <v/>
      </c>
      <c r="AM1717">
        <f>IF($C1717="","",IF($W1717="Yes",1,0))</f>
        <v/>
      </c>
      <c r="AN1717">
        <f>IF($AJ1717=1,IFERROR(IF(VALUE($C1717)&lt;100000000,VALUE($C1717),1000000000),IFERROR(IF(VALUE(MID($C1717,2,20))&lt;100000000,VALUE(MID($C1717,2,20)),1000000000),1000000000))+ROW()/100000,"")</f>
        <v/>
      </c>
    </row>
    <row r="1718">
      <c r="E1718" s="11" t="n"/>
      <c r="M1718" s="7">
        <f>IF($C1718="","",L1718*U1718/100)</f>
        <v/>
      </c>
      <c r="N1718" s="7" t="n"/>
      <c r="T1718" s="7" t="n"/>
      <c r="U1718" s="7">
        <f>IF($C1718="","",S1718*T1718)</f>
        <v/>
      </c>
      <c r="X1718">
        <f>IF($C1718="","",IF($AM1718=1,0,IF($AL1718=1,Settings!$C$6,Settings!$C$7))*100)</f>
        <v/>
      </c>
      <c r="AB1718" s="7" t="n"/>
      <c r="AE1718" s="11" t="n"/>
      <c r="AG1718" s="7">
        <f>IF($C1718="","",U1718*X1718/100)</f>
        <v/>
      </c>
      <c r="AH1718" s="7">
        <f>IF($C1718="","",U1718-AG1718)</f>
        <v/>
      </c>
      <c r="AI1718" s="7">
        <f>IF($C1718="","",AH1718-M1718)</f>
        <v/>
      </c>
      <c r="AJ1718">
        <f>IF($C1718="","",IF(COUNTIF($C$2:$C1718,$C1718)=1,1,0))</f>
        <v/>
      </c>
      <c r="AK1718">
        <f>IF($AJ1718=1,SUMPRODUCT(--($AN$2:$AN$4001&lt;$AN1718))+1,"")</f>
        <v/>
      </c>
      <c r="AL1718">
        <f>IF($C1718="","",IF(OR($Q1718=TRUE(),$Q1718="TRUE"),1,0))</f>
        <v/>
      </c>
      <c r="AM1718">
        <f>IF($C1718="","",IF($W1718="Yes",1,0))</f>
        <v/>
      </c>
      <c r="AN1718">
        <f>IF($AJ1718=1,IFERROR(IF(VALUE($C1718)&lt;100000000,VALUE($C1718),1000000000),IFERROR(IF(VALUE(MID($C1718,2,20))&lt;100000000,VALUE(MID($C1718,2,20)),1000000000),1000000000))+ROW()/100000,"")</f>
        <v/>
      </c>
    </row>
    <row r="1719">
      <c r="E1719" s="11" t="n"/>
      <c r="M1719" s="7">
        <f>IF($C1719="","",L1719*U1719/100)</f>
        <v/>
      </c>
      <c r="N1719" s="7" t="n"/>
      <c r="T1719" s="7" t="n"/>
      <c r="U1719" s="7">
        <f>IF($C1719="","",S1719*T1719)</f>
        <v/>
      </c>
      <c r="X1719">
        <f>IF($C1719="","",IF($AM1719=1,0,IF($AL1719=1,Settings!$C$6,Settings!$C$7))*100)</f>
        <v/>
      </c>
      <c r="AB1719" s="7" t="n"/>
      <c r="AE1719" s="11" t="n"/>
      <c r="AG1719" s="7">
        <f>IF($C1719="","",U1719*X1719/100)</f>
        <v/>
      </c>
      <c r="AH1719" s="7">
        <f>IF($C1719="","",U1719-AG1719)</f>
        <v/>
      </c>
      <c r="AI1719" s="7">
        <f>IF($C1719="","",AH1719-M1719)</f>
        <v/>
      </c>
      <c r="AJ1719">
        <f>IF($C1719="","",IF(COUNTIF($C$2:$C1719,$C1719)=1,1,0))</f>
        <v/>
      </c>
      <c r="AK1719">
        <f>IF($AJ1719=1,SUMPRODUCT(--($AN$2:$AN$4001&lt;$AN1719))+1,"")</f>
        <v/>
      </c>
      <c r="AL1719">
        <f>IF($C1719="","",IF(OR($Q1719=TRUE(),$Q1719="TRUE"),1,0))</f>
        <v/>
      </c>
      <c r="AM1719">
        <f>IF($C1719="","",IF($W1719="Yes",1,0))</f>
        <v/>
      </c>
      <c r="AN1719">
        <f>IF($AJ1719=1,IFERROR(IF(VALUE($C1719)&lt;100000000,VALUE($C1719),1000000000),IFERROR(IF(VALUE(MID($C1719,2,20))&lt;100000000,VALUE(MID($C1719,2,20)),1000000000),1000000000))+ROW()/100000,"")</f>
        <v/>
      </c>
    </row>
    <row r="1720">
      <c r="E1720" s="11" t="n"/>
      <c r="M1720" s="7">
        <f>IF($C1720="","",L1720*U1720/100)</f>
        <v/>
      </c>
      <c r="N1720" s="7" t="n"/>
      <c r="T1720" s="7" t="n"/>
      <c r="U1720" s="7">
        <f>IF($C1720="","",S1720*T1720)</f>
        <v/>
      </c>
      <c r="X1720">
        <f>IF($C1720="","",IF($AM1720=1,0,IF($AL1720=1,Settings!$C$6,Settings!$C$7))*100)</f>
        <v/>
      </c>
      <c r="AB1720" s="7" t="n"/>
      <c r="AE1720" s="11" t="n"/>
      <c r="AG1720" s="7">
        <f>IF($C1720="","",U1720*X1720/100)</f>
        <v/>
      </c>
      <c r="AH1720" s="7">
        <f>IF($C1720="","",U1720-AG1720)</f>
        <v/>
      </c>
      <c r="AI1720" s="7">
        <f>IF($C1720="","",AH1720-M1720)</f>
        <v/>
      </c>
      <c r="AJ1720">
        <f>IF($C1720="","",IF(COUNTIF($C$2:$C1720,$C1720)=1,1,0))</f>
        <v/>
      </c>
      <c r="AK1720">
        <f>IF($AJ1720=1,SUMPRODUCT(--($AN$2:$AN$4001&lt;$AN1720))+1,"")</f>
        <v/>
      </c>
      <c r="AL1720">
        <f>IF($C1720="","",IF(OR($Q1720=TRUE(),$Q1720="TRUE"),1,0))</f>
        <v/>
      </c>
      <c r="AM1720">
        <f>IF($C1720="","",IF($W1720="Yes",1,0))</f>
        <v/>
      </c>
      <c r="AN1720">
        <f>IF($AJ1720=1,IFERROR(IF(VALUE($C1720)&lt;100000000,VALUE($C1720),1000000000),IFERROR(IF(VALUE(MID($C1720,2,20))&lt;100000000,VALUE(MID($C1720,2,20)),1000000000),1000000000))+ROW()/100000,"")</f>
        <v/>
      </c>
    </row>
    <row r="1721">
      <c r="E1721" s="11" t="n"/>
      <c r="M1721" s="7">
        <f>IF($C1721="","",L1721*U1721/100)</f>
        <v/>
      </c>
      <c r="N1721" s="7" t="n"/>
      <c r="T1721" s="7" t="n"/>
      <c r="U1721" s="7">
        <f>IF($C1721="","",S1721*T1721)</f>
        <v/>
      </c>
      <c r="X1721">
        <f>IF($C1721="","",IF($AM1721=1,0,IF($AL1721=1,Settings!$C$6,Settings!$C$7))*100)</f>
        <v/>
      </c>
      <c r="AB1721" s="7" t="n"/>
      <c r="AE1721" s="11" t="n"/>
      <c r="AG1721" s="7">
        <f>IF($C1721="","",U1721*X1721/100)</f>
        <v/>
      </c>
      <c r="AH1721" s="7">
        <f>IF($C1721="","",U1721-AG1721)</f>
        <v/>
      </c>
      <c r="AI1721" s="7">
        <f>IF($C1721="","",AH1721-M1721)</f>
        <v/>
      </c>
      <c r="AJ1721">
        <f>IF($C1721="","",IF(COUNTIF($C$2:$C1721,$C1721)=1,1,0))</f>
        <v/>
      </c>
      <c r="AK1721">
        <f>IF($AJ1721=1,SUMPRODUCT(--($AN$2:$AN$4001&lt;$AN1721))+1,"")</f>
        <v/>
      </c>
      <c r="AL1721">
        <f>IF($C1721="","",IF(OR($Q1721=TRUE(),$Q1721="TRUE"),1,0))</f>
        <v/>
      </c>
      <c r="AM1721">
        <f>IF($C1721="","",IF($W1721="Yes",1,0))</f>
        <v/>
      </c>
      <c r="AN1721">
        <f>IF($AJ1721=1,IFERROR(IF(VALUE($C1721)&lt;100000000,VALUE($C1721),1000000000),IFERROR(IF(VALUE(MID($C1721,2,20))&lt;100000000,VALUE(MID($C1721,2,20)),1000000000),1000000000))+ROW()/100000,"")</f>
        <v/>
      </c>
    </row>
    <row r="1722">
      <c r="E1722" s="11" t="n"/>
      <c r="M1722" s="7">
        <f>IF($C1722="","",L1722*U1722/100)</f>
        <v/>
      </c>
      <c r="N1722" s="7" t="n"/>
      <c r="T1722" s="7" t="n"/>
      <c r="U1722" s="7">
        <f>IF($C1722="","",S1722*T1722)</f>
        <v/>
      </c>
      <c r="X1722">
        <f>IF($C1722="","",IF($AM1722=1,0,IF($AL1722=1,Settings!$C$6,Settings!$C$7))*100)</f>
        <v/>
      </c>
      <c r="AB1722" s="7" t="n"/>
      <c r="AE1722" s="11" t="n"/>
      <c r="AG1722" s="7">
        <f>IF($C1722="","",U1722*X1722/100)</f>
        <v/>
      </c>
      <c r="AH1722" s="7">
        <f>IF($C1722="","",U1722-AG1722)</f>
        <v/>
      </c>
      <c r="AI1722" s="7">
        <f>IF($C1722="","",AH1722-M1722)</f>
        <v/>
      </c>
      <c r="AJ1722">
        <f>IF($C1722="","",IF(COUNTIF($C$2:$C1722,$C1722)=1,1,0))</f>
        <v/>
      </c>
      <c r="AK1722">
        <f>IF($AJ1722=1,SUMPRODUCT(--($AN$2:$AN$4001&lt;$AN1722))+1,"")</f>
        <v/>
      </c>
      <c r="AL1722">
        <f>IF($C1722="","",IF(OR($Q1722=TRUE(),$Q1722="TRUE"),1,0))</f>
        <v/>
      </c>
      <c r="AM1722">
        <f>IF($C1722="","",IF($W1722="Yes",1,0))</f>
        <v/>
      </c>
      <c r="AN1722">
        <f>IF($AJ1722=1,IFERROR(IF(VALUE($C1722)&lt;100000000,VALUE($C1722),1000000000),IFERROR(IF(VALUE(MID($C1722,2,20))&lt;100000000,VALUE(MID($C1722,2,20)),1000000000),1000000000))+ROW()/100000,"")</f>
        <v/>
      </c>
    </row>
    <row r="1723">
      <c r="E1723" s="11" t="n"/>
      <c r="M1723" s="7">
        <f>IF($C1723="","",L1723*U1723/100)</f>
        <v/>
      </c>
      <c r="N1723" s="7" t="n"/>
      <c r="T1723" s="7" t="n"/>
      <c r="U1723" s="7">
        <f>IF($C1723="","",S1723*T1723)</f>
        <v/>
      </c>
      <c r="X1723">
        <f>IF($C1723="","",IF($AM1723=1,0,IF($AL1723=1,Settings!$C$6,Settings!$C$7))*100)</f>
        <v/>
      </c>
      <c r="AB1723" s="7" t="n"/>
      <c r="AE1723" s="11" t="n"/>
      <c r="AG1723" s="7">
        <f>IF($C1723="","",U1723*X1723/100)</f>
        <v/>
      </c>
      <c r="AH1723" s="7">
        <f>IF($C1723="","",U1723-AG1723)</f>
        <v/>
      </c>
      <c r="AI1723" s="7">
        <f>IF($C1723="","",AH1723-M1723)</f>
        <v/>
      </c>
      <c r="AJ1723">
        <f>IF($C1723="","",IF(COUNTIF($C$2:$C1723,$C1723)=1,1,0))</f>
        <v/>
      </c>
      <c r="AK1723">
        <f>IF($AJ1723=1,SUMPRODUCT(--($AN$2:$AN$4001&lt;$AN1723))+1,"")</f>
        <v/>
      </c>
      <c r="AL1723">
        <f>IF($C1723="","",IF(OR($Q1723=TRUE(),$Q1723="TRUE"),1,0))</f>
        <v/>
      </c>
      <c r="AM1723">
        <f>IF($C1723="","",IF($W1723="Yes",1,0))</f>
        <v/>
      </c>
      <c r="AN1723">
        <f>IF($AJ1723=1,IFERROR(IF(VALUE($C1723)&lt;100000000,VALUE($C1723),1000000000),IFERROR(IF(VALUE(MID($C1723,2,20))&lt;100000000,VALUE(MID($C1723,2,20)),1000000000),1000000000))+ROW()/100000,"")</f>
        <v/>
      </c>
    </row>
    <row r="1724">
      <c r="E1724" s="11" t="n"/>
      <c r="M1724" s="7">
        <f>IF($C1724="","",L1724*U1724/100)</f>
        <v/>
      </c>
      <c r="N1724" s="7" t="n"/>
      <c r="T1724" s="7" t="n"/>
      <c r="U1724" s="7">
        <f>IF($C1724="","",S1724*T1724)</f>
        <v/>
      </c>
      <c r="X1724">
        <f>IF($C1724="","",IF($AM1724=1,0,IF($AL1724=1,Settings!$C$6,Settings!$C$7))*100)</f>
        <v/>
      </c>
      <c r="AB1724" s="7" t="n"/>
      <c r="AE1724" s="11" t="n"/>
      <c r="AG1724" s="7">
        <f>IF($C1724="","",U1724*X1724/100)</f>
        <v/>
      </c>
      <c r="AH1724" s="7">
        <f>IF($C1724="","",U1724-AG1724)</f>
        <v/>
      </c>
      <c r="AI1724" s="7">
        <f>IF($C1724="","",AH1724-M1724)</f>
        <v/>
      </c>
      <c r="AJ1724">
        <f>IF($C1724="","",IF(COUNTIF($C$2:$C1724,$C1724)=1,1,0))</f>
        <v/>
      </c>
      <c r="AK1724">
        <f>IF($AJ1724=1,SUMPRODUCT(--($AN$2:$AN$4001&lt;$AN1724))+1,"")</f>
        <v/>
      </c>
      <c r="AL1724">
        <f>IF($C1724="","",IF(OR($Q1724=TRUE(),$Q1724="TRUE"),1,0))</f>
        <v/>
      </c>
      <c r="AM1724">
        <f>IF($C1724="","",IF($W1724="Yes",1,0))</f>
        <v/>
      </c>
      <c r="AN1724">
        <f>IF($AJ1724=1,IFERROR(IF(VALUE($C1724)&lt;100000000,VALUE($C1724),1000000000),IFERROR(IF(VALUE(MID($C1724,2,20))&lt;100000000,VALUE(MID($C1724,2,20)),1000000000),1000000000))+ROW()/100000,"")</f>
        <v/>
      </c>
    </row>
    <row r="1725">
      <c r="E1725" s="11" t="n"/>
      <c r="M1725" s="7">
        <f>IF($C1725="","",L1725*U1725/100)</f>
        <v/>
      </c>
      <c r="N1725" s="7" t="n"/>
      <c r="T1725" s="7" t="n"/>
      <c r="U1725" s="7">
        <f>IF($C1725="","",S1725*T1725)</f>
        <v/>
      </c>
      <c r="X1725">
        <f>IF($C1725="","",IF($AM1725=1,0,IF($AL1725=1,Settings!$C$6,Settings!$C$7))*100)</f>
        <v/>
      </c>
      <c r="AB1725" s="7" t="n"/>
      <c r="AE1725" s="11" t="n"/>
      <c r="AG1725" s="7">
        <f>IF($C1725="","",U1725*X1725/100)</f>
        <v/>
      </c>
      <c r="AH1725" s="7">
        <f>IF($C1725="","",U1725-AG1725)</f>
        <v/>
      </c>
      <c r="AI1725" s="7">
        <f>IF($C1725="","",AH1725-M1725)</f>
        <v/>
      </c>
      <c r="AJ1725">
        <f>IF($C1725="","",IF(COUNTIF($C$2:$C1725,$C1725)=1,1,0))</f>
        <v/>
      </c>
      <c r="AK1725">
        <f>IF($AJ1725=1,SUMPRODUCT(--($AN$2:$AN$4001&lt;$AN1725))+1,"")</f>
        <v/>
      </c>
      <c r="AL1725">
        <f>IF($C1725="","",IF(OR($Q1725=TRUE(),$Q1725="TRUE"),1,0))</f>
        <v/>
      </c>
      <c r="AM1725">
        <f>IF($C1725="","",IF($W1725="Yes",1,0))</f>
        <v/>
      </c>
      <c r="AN1725">
        <f>IF($AJ1725=1,IFERROR(IF(VALUE($C1725)&lt;100000000,VALUE($C1725),1000000000),IFERROR(IF(VALUE(MID($C1725,2,20))&lt;100000000,VALUE(MID($C1725,2,20)),1000000000),1000000000))+ROW()/100000,"")</f>
        <v/>
      </c>
    </row>
    <row r="1726">
      <c r="E1726" s="11" t="n"/>
      <c r="M1726" s="7">
        <f>IF($C1726="","",L1726*U1726/100)</f>
        <v/>
      </c>
      <c r="N1726" s="7" t="n"/>
      <c r="T1726" s="7" t="n"/>
      <c r="U1726" s="7">
        <f>IF($C1726="","",S1726*T1726)</f>
        <v/>
      </c>
      <c r="X1726">
        <f>IF($C1726="","",IF($AM1726=1,0,IF($AL1726=1,Settings!$C$6,Settings!$C$7))*100)</f>
        <v/>
      </c>
      <c r="AB1726" s="7" t="n"/>
      <c r="AE1726" s="11" t="n"/>
      <c r="AG1726" s="7">
        <f>IF($C1726="","",U1726*X1726/100)</f>
        <v/>
      </c>
      <c r="AH1726" s="7">
        <f>IF($C1726="","",U1726-AG1726)</f>
        <v/>
      </c>
      <c r="AI1726" s="7">
        <f>IF($C1726="","",AH1726-M1726)</f>
        <v/>
      </c>
      <c r="AJ1726">
        <f>IF($C1726="","",IF(COUNTIF($C$2:$C1726,$C1726)=1,1,0))</f>
        <v/>
      </c>
      <c r="AK1726">
        <f>IF($AJ1726=1,SUMPRODUCT(--($AN$2:$AN$4001&lt;$AN1726))+1,"")</f>
        <v/>
      </c>
      <c r="AL1726">
        <f>IF($C1726="","",IF(OR($Q1726=TRUE(),$Q1726="TRUE"),1,0))</f>
        <v/>
      </c>
      <c r="AM1726">
        <f>IF($C1726="","",IF($W1726="Yes",1,0))</f>
        <v/>
      </c>
      <c r="AN1726">
        <f>IF($AJ1726=1,IFERROR(IF(VALUE($C1726)&lt;100000000,VALUE($C1726),1000000000),IFERROR(IF(VALUE(MID($C1726,2,20))&lt;100000000,VALUE(MID($C1726,2,20)),1000000000),1000000000))+ROW()/100000,"")</f>
        <v/>
      </c>
    </row>
    <row r="1727">
      <c r="E1727" s="11" t="n"/>
      <c r="M1727" s="7">
        <f>IF($C1727="","",L1727*U1727/100)</f>
        <v/>
      </c>
      <c r="N1727" s="7" t="n"/>
      <c r="T1727" s="7" t="n"/>
      <c r="U1727" s="7">
        <f>IF($C1727="","",S1727*T1727)</f>
        <v/>
      </c>
      <c r="X1727">
        <f>IF($C1727="","",IF($AM1727=1,0,IF($AL1727=1,Settings!$C$6,Settings!$C$7))*100)</f>
        <v/>
      </c>
      <c r="AB1727" s="7" t="n"/>
      <c r="AE1727" s="11" t="n"/>
      <c r="AG1727" s="7">
        <f>IF($C1727="","",U1727*X1727/100)</f>
        <v/>
      </c>
      <c r="AH1727" s="7">
        <f>IF($C1727="","",U1727-AG1727)</f>
        <v/>
      </c>
      <c r="AI1727" s="7">
        <f>IF($C1727="","",AH1727-M1727)</f>
        <v/>
      </c>
      <c r="AJ1727">
        <f>IF($C1727="","",IF(COUNTIF($C$2:$C1727,$C1727)=1,1,0))</f>
        <v/>
      </c>
      <c r="AK1727">
        <f>IF($AJ1727=1,SUMPRODUCT(--($AN$2:$AN$4001&lt;$AN1727))+1,"")</f>
        <v/>
      </c>
      <c r="AL1727">
        <f>IF($C1727="","",IF(OR($Q1727=TRUE(),$Q1727="TRUE"),1,0))</f>
        <v/>
      </c>
      <c r="AM1727">
        <f>IF($C1727="","",IF($W1727="Yes",1,0))</f>
        <v/>
      </c>
      <c r="AN1727">
        <f>IF($AJ1727=1,IFERROR(IF(VALUE($C1727)&lt;100000000,VALUE($C1727),1000000000),IFERROR(IF(VALUE(MID($C1727,2,20))&lt;100000000,VALUE(MID($C1727,2,20)),1000000000),1000000000))+ROW()/100000,"")</f>
        <v/>
      </c>
    </row>
    <row r="1728">
      <c r="E1728" s="11" t="n"/>
      <c r="M1728" s="7">
        <f>IF($C1728="","",L1728*U1728/100)</f>
        <v/>
      </c>
      <c r="N1728" s="7" t="n"/>
      <c r="T1728" s="7" t="n"/>
      <c r="U1728" s="7">
        <f>IF($C1728="","",S1728*T1728)</f>
        <v/>
      </c>
      <c r="X1728">
        <f>IF($C1728="","",IF($AM1728=1,0,IF($AL1728=1,Settings!$C$6,Settings!$C$7))*100)</f>
        <v/>
      </c>
      <c r="AB1728" s="7" t="n"/>
      <c r="AE1728" s="11" t="n"/>
      <c r="AG1728" s="7">
        <f>IF($C1728="","",U1728*X1728/100)</f>
        <v/>
      </c>
      <c r="AH1728" s="7">
        <f>IF($C1728="","",U1728-AG1728)</f>
        <v/>
      </c>
      <c r="AI1728" s="7">
        <f>IF($C1728="","",AH1728-M1728)</f>
        <v/>
      </c>
      <c r="AJ1728">
        <f>IF($C1728="","",IF(COUNTIF($C$2:$C1728,$C1728)=1,1,0))</f>
        <v/>
      </c>
      <c r="AK1728">
        <f>IF($AJ1728=1,SUMPRODUCT(--($AN$2:$AN$4001&lt;$AN1728))+1,"")</f>
        <v/>
      </c>
      <c r="AL1728">
        <f>IF($C1728="","",IF(OR($Q1728=TRUE(),$Q1728="TRUE"),1,0))</f>
        <v/>
      </c>
      <c r="AM1728">
        <f>IF($C1728="","",IF($W1728="Yes",1,0))</f>
        <v/>
      </c>
      <c r="AN1728">
        <f>IF($AJ1728=1,IFERROR(IF(VALUE($C1728)&lt;100000000,VALUE($C1728),1000000000),IFERROR(IF(VALUE(MID($C1728,2,20))&lt;100000000,VALUE(MID($C1728,2,20)),1000000000),1000000000))+ROW()/100000,"")</f>
        <v/>
      </c>
    </row>
    <row r="1729">
      <c r="E1729" s="11" t="n"/>
      <c r="M1729" s="7">
        <f>IF($C1729="","",L1729*U1729/100)</f>
        <v/>
      </c>
      <c r="N1729" s="7" t="n"/>
      <c r="T1729" s="7" t="n"/>
      <c r="U1729" s="7">
        <f>IF($C1729="","",S1729*T1729)</f>
        <v/>
      </c>
      <c r="X1729">
        <f>IF($C1729="","",IF($AM1729=1,0,IF($AL1729=1,Settings!$C$6,Settings!$C$7))*100)</f>
        <v/>
      </c>
      <c r="AB1729" s="7" t="n"/>
      <c r="AE1729" s="11" t="n"/>
      <c r="AG1729" s="7">
        <f>IF($C1729="","",U1729*X1729/100)</f>
        <v/>
      </c>
      <c r="AH1729" s="7">
        <f>IF($C1729="","",U1729-AG1729)</f>
        <v/>
      </c>
      <c r="AI1729" s="7">
        <f>IF($C1729="","",AH1729-M1729)</f>
        <v/>
      </c>
      <c r="AJ1729">
        <f>IF($C1729="","",IF(COUNTIF($C$2:$C1729,$C1729)=1,1,0))</f>
        <v/>
      </c>
      <c r="AK1729">
        <f>IF($AJ1729=1,SUMPRODUCT(--($AN$2:$AN$4001&lt;$AN1729))+1,"")</f>
        <v/>
      </c>
      <c r="AL1729">
        <f>IF($C1729="","",IF(OR($Q1729=TRUE(),$Q1729="TRUE"),1,0))</f>
        <v/>
      </c>
      <c r="AM1729">
        <f>IF($C1729="","",IF($W1729="Yes",1,0))</f>
        <v/>
      </c>
      <c r="AN1729">
        <f>IF($AJ1729=1,IFERROR(IF(VALUE($C1729)&lt;100000000,VALUE($C1729),1000000000),IFERROR(IF(VALUE(MID($C1729,2,20))&lt;100000000,VALUE(MID($C1729,2,20)),1000000000),1000000000))+ROW()/100000,"")</f>
        <v/>
      </c>
    </row>
    <row r="1730">
      <c r="E1730" s="11" t="n"/>
      <c r="M1730" s="7">
        <f>IF($C1730="","",L1730*U1730/100)</f>
        <v/>
      </c>
      <c r="N1730" s="7" t="n"/>
      <c r="T1730" s="7" t="n"/>
      <c r="U1730" s="7">
        <f>IF($C1730="","",S1730*T1730)</f>
        <v/>
      </c>
      <c r="X1730">
        <f>IF($C1730="","",IF($AM1730=1,0,IF($AL1730=1,Settings!$C$6,Settings!$C$7))*100)</f>
        <v/>
      </c>
      <c r="AB1730" s="7" t="n"/>
      <c r="AE1730" s="11" t="n"/>
      <c r="AG1730" s="7">
        <f>IF($C1730="","",U1730*X1730/100)</f>
        <v/>
      </c>
      <c r="AH1730" s="7">
        <f>IF($C1730="","",U1730-AG1730)</f>
        <v/>
      </c>
      <c r="AI1730" s="7">
        <f>IF($C1730="","",AH1730-M1730)</f>
        <v/>
      </c>
      <c r="AJ1730">
        <f>IF($C1730="","",IF(COUNTIF($C$2:$C1730,$C1730)=1,1,0))</f>
        <v/>
      </c>
      <c r="AK1730">
        <f>IF($AJ1730=1,SUMPRODUCT(--($AN$2:$AN$4001&lt;$AN1730))+1,"")</f>
        <v/>
      </c>
      <c r="AL1730">
        <f>IF($C1730="","",IF(OR($Q1730=TRUE(),$Q1730="TRUE"),1,0))</f>
        <v/>
      </c>
      <c r="AM1730">
        <f>IF($C1730="","",IF($W1730="Yes",1,0))</f>
        <v/>
      </c>
      <c r="AN1730">
        <f>IF($AJ1730=1,IFERROR(IF(VALUE($C1730)&lt;100000000,VALUE($C1730),1000000000),IFERROR(IF(VALUE(MID($C1730,2,20))&lt;100000000,VALUE(MID($C1730,2,20)),1000000000),1000000000))+ROW()/100000,"")</f>
        <v/>
      </c>
    </row>
    <row r="1731">
      <c r="E1731" s="11" t="n"/>
      <c r="M1731" s="7">
        <f>IF($C1731="","",L1731*U1731/100)</f>
        <v/>
      </c>
      <c r="N1731" s="7" t="n"/>
      <c r="T1731" s="7" t="n"/>
      <c r="U1731" s="7">
        <f>IF($C1731="","",S1731*T1731)</f>
        <v/>
      </c>
      <c r="X1731">
        <f>IF($C1731="","",IF($AM1731=1,0,IF($AL1731=1,Settings!$C$6,Settings!$C$7))*100)</f>
        <v/>
      </c>
      <c r="AB1731" s="7" t="n"/>
      <c r="AE1731" s="11" t="n"/>
      <c r="AG1731" s="7">
        <f>IF($C1731="","",U1731*X1731/100)</f>
        <v/>
      </c>
      <c r="AH1731" s="7">
        <f>IF($C1731="","",U1731-AG1731)</f>
        <v/>
      </c>
      <c r="AI1731" s="7">
        <f>IF($C1731="","",AH1731-M1731)</f>
        <v/>
      </c>
      <c r="AJ1731">
        <f>IF($C1731="","",IF(COUNTIF($C$2:$C1731,$C1731)=1,1,0))</f>
        <v/>
      </c>
      <c r="AK1731">
        <f>IF($AJ1731=1,SUMPRODUCT(--($AN$2:$AN$4001&lt;$AN1731))+1,"")</f>
        <v/>
      </c>
      <c r="AL1731">
        <f>IF($C1731="","",IF(OR($Q1731=TRUE(),$Q1731="TRUE"),1,0))</f>
        <v/>
      </c>
      <c r="AM1731">
        <f>IF($C1731="","",IF($W1731="Yes",1,0))</f>
        <v/>
      </c>
      <c r="AN1731">
        <f>IF($AJ1731=1,IFERROR(IF(VALUE($C1731)&lt;100000000,VALUE($C1731),1000000000),IFERROR(IF(VALUE(MID($C1731,2,20))&lt;100000000,VALUE(MID($C1731,2,20)),1000000000),1000000000))+ROW()/100000,"")</f>
        <v/>
      </c>
    </row>
    <row r="1732">
      <c r="E1732" s="11" t="n"/>
      <c r="M1732" s="7">
        <f>IF($C1732="","",L1732*U1732/100)</f>
        <v/>
      </c>
      <c r="N1732" s="7" t="n"/>
      <c r="T1732" s="7" t="n"/>
      <c r="U1732" s="7">
        <f>IF($C1732="","",S1732*T1732)</f>
        <v/>
      </c>
      <c r="X1732">
        <f>IF($C1732="","",IF($AM1732=1,0,IF($AL1732=1,Settings!$C$6,Settings!$C$7))*100)</f>
        <v/>
      </c>
      <c r="AB1732" s="7" t="n"/>
      <c r="AE1732" s="11" t="n"/>
      <c r="AG1732" s="7">
        <f>IF($C1732="","",U1732*X1732/100)</f>
        <v/>
      </c>
      <c r="AH1732" s="7">
        <f>IF($C1732="","",U1732-AG1732)</f>
        <v/>
      </c>
      <c r="AI1732" s="7">
        <f>IF($C1732="","",AH1732-M1732)</f>
        <v/>
      </c>
      <c r="AJ1732">
        <f>IF($C1732="","",IF(COUNTIF($C$2:$C1732,$C1732)=1,1,0))</f>
        <v/>
      </c>
      <c r="AK1732">
        <f>IF($AJ1732=1,SUMPRODUCT(--($AN$2:$AN$4001&lt;$AN1732))+1,"")</f>
        <v/>
      </c>
      <c r="AL1732">
        <f>IF($C1732="","",IF(OR($Q1732=TRUE(),$Q1732="TRUE"),1,0))</f>
        <v/>
      </c>
      <c r="AM1732">
        <f>IF($C1732="","",IF($W1732="Yes",1,0))</f>
        <v/>
      </c>
      <c r="AN1732">
        <f>IF($AJ1732=1,IFERROR(IF(VALUE($C1732)&lt;100000000,VALUE($C1732),1000000000),IFERROR(IF(VALUE(MID($C1732,2,20))&lt;100000000,VALUE(MID($C1732,2,20)),1000000000),1000000000))+ROW()/100000,"")</f>
        <v/>
      </c>
    </row>
    <row r="1733">
      <c r="E1733" s="11" t="n"/>
      <c r="M1733" s="7">
        <f>IF($C1733="","",L1733*U1733/100)</f>
        <v/>
      </c>
      <c r="N1733" s="7" t="n"/>
      <c r="T1733" s="7" t="n"/>
      <c r="U1733" s="7">
        <f>IF($C1733="","",S1733*T1733)</f>
        <v/>
      </c>
      <c r="X1733">
        <f>IF($C1733="","",IF($AM1733=1,0,IF($AL1733=1,Settings!$C$6,Settings!$C$7))*100)</f>
        <v/>
      </c>
      <c r="AB1733" s="7" t="n"/>
      <c r="AE1733" s="11" t="n"/>
      <c r="AG1733" s="7">
        <f>IF($C1733="","",U1733*X1733/100)</f>
        <v/>
      </c>
      <c r="AH1733" s="7">
        <f>IF($C1733="","",U1733-AG1733)</f>
        <v/>
      </c>
      <c r="AI1733" s="7">
        <f>IF($C1733="","",AH1733-M1733)</f>
        <v/>
      </c>
      <c r="AJ1733">
        <f>IF($C1733="","",IF(COUNTIF($C$2:$C1733,$C1733)=1,1,0))</f>
        <v/>
      </c>
      <c r="AK1733">
        <f>IF($AJ1733=1,SUMPRODUCT(--($AN$2:$AN$4001&lt;$AN1733))+1,"")</f>
        <v/>
      </c>
      <c r="AL1733">
        <f>IF($C1733="","",IF(OR($Q1733=TRUE(),$Q1733="TRUE"),1,0))</f>
        <v/>
      </c>
      <c r="AM1733">
        <f>IF($C1733="","",IF($W1733="Yes",1,0))</f>
        <v/>
      </c>
      <c r="AN1733">
        <f>IF($AJ1733=1,IFERROR(IF(VALUE($C1733)&lt;100000000,VALUE($C1733),1000000000),IFERROR(IF(VALUE(MID($C1733,2,20))&lt;100000000,VALUE(MID($C1733,2,20)),1000000000),1000000000))+ROW()/100000,"")</f>
        <v/>
      </c>
    </row>
    <row r="1734">
      <c r="E1734" s="11" t="n"/>
      <c r="M1734" s="7">
        <f>IF($C1734="","",L1734*U1734/100)</f>
        <v/>
      </c>
      <c r="N1734" s="7" t="n"/>
      <c r="T1734" s="7" t="n"/>
      <c r="U1734" s="7">
        <f>IF($C1734="","",S1734*T1734)</f>
        <v/>
      </c>
      <c r="X1734">
        <f>IF($C1734="","",IF($AM1734=1,0,IF($AL1734=1,Settings!$C$6,Settings!$C$7))*100)</f>
        <v/>
      </c>
      <c r="AB1734" s="7" t="n"/>
      <c r="AE1734" s="11" t="n"/>
      <c r="AG1734" s="7">
        <f>IF($C1734="","",U1734*X1734/100)</f>
        <v/>
      </c>
      <c r="AH1734" s="7">
        <f>IF($C1734="","",U1734-AG1734)</f>
        <v/>
      </c>
      <c r="AI1734" s="7">
        <f>IF($C1734="","",AH1734-M1734)</f>
        <v/>
      </c>
      <c r="AJ1734">
        <f>IF($C1734="","",IF(COUNTIF($C$2:$C1734,$C1734)=1,1,0))</f>
        <v/>
      </c>
      <c r="AK1734">
        <f>IF($AJ1734=1,SUMPRODUCT(--($AN$2:$AN$4001&lt;$AN1734))+1,"")</f>
        <v/>
      </c>
      <c r="AL1734">
        <f>IF($C1734="","",IF(OR($Q1734=TRUE(),$Q1734="TRUE"),1,0))</f>
        <v/>
      </c>
      <c r="AM1734">
        <f>IF($C1734="","",IF($W1734="Yes",1,0))</f>
        <v/>
      </c>
      <c r="AN1734">
        <f>IF($AJ1734=1,IFERROR(IF(VALUE($C1734)&lt;100000000,VALUE($C1734),1000000000),IFERROR(IF(VALUE(MID($C1734,2,20))&lt;100000000,VALUE(MID($C1734,2,20)),1000000000),1000000000))+ROW()/100000,"")</f>
        <v/>
      </c>
    </row>
    <row r="1735">
      <c r="E1735" s="11" t="n"/>
      <c r="M1735" s="7">
        <f>IF($C1735="","",L1735*U1735/100)</f>
        <v/>
      </c>
      <c r="N1735" s="7" t="n"/>
      <c r="T1735" s="7" t="n"/>
      <c r="U1735" s="7">
        <f>IF($C1735="","",S1735*T1735)</f>
        <v/>
      </c>
      <c r="X1735">
        <f>IF($C1735="","",IF($AM1735=1,0,IF($AL1735=1,Settings!$C$6,Settings!$C$7))*100)</f>
        <v/>
      </c>
      <c r="AB1735" s="7" t="n"/>
      <c r="AE1735" s="11" t="n"/>
      <c r="AG1735" s="7">
        <f>IF($C1735="","",U1735*X1735/100)</f>
        <v/>
      </c>
      <c r="AH1735" s="7">
        <f>IF($C1735="","",U1735-AG1735)</f>
        <v/>
      </c>
      <c r="AI1735" s="7">
        <f>IF($C1735="","",AH1735-M1735)</f>
        <v/>
      </c>
      <c r="AJ1735">
        <f>IF($C1735="","",IF(COUNTIF($C$2:$C1735,$C1735)=1,1,0))</f>
        <v/>
      </c>
      <c r="AK1735">
        <f>IF($AJ1735=1,SUMPRODUCT(--($AN$2:$AN$4001&lt;$AN1735))+1,"")</f>
        <v/>
      </c>
      <c r="AL1735">
        <f>IF($C1735="","",IF(OR($Q1735=TRUE(),$Q1735="TRUE"),1,0))</f>
        <v/>
      </c>
      <c r="AM1735">
        <f>IF($C1735="","",IF($W1735="Yes",1,0))</f>
        <v/>
      </c>
      <c r="AN1735">
        <f>IF($AJ1735=1,IFERROR(IF(VALUE($C1735)&lt;100000000,VALUE($C1735),1000000000),IFERROR(IF(VALUE(MID($C1735,2,20))&lt;100000000,VALUE(MID($C1735,2,20)),1000000000),1000000000))+ROW()/100000,"")</f>
        <v/>
      </c>
    </row>
    <row r="1736">
      <c r="E1736" s="11" t="n"/>
      <c r="M1736" s="7">
        <f>IF($C1736="","",L1736*U1736/100)</f>
        <v/>
      </c>
      <c r="N1736" s="7" t="n"/>
      <c r="T1736" s="7" t="n"/>
      <c r="U1736" s="7">
        <f>IF($C1736="","",S1736*T1736)</f>
        <v/>
      </c>
      <c r="X1736">
        <f>IF($C1736="","",IF($AM1736=1,0,IF($AL1736=1,Settings!$C$6,Settings!$C$7))*100)</f>
        <v/>
      </c>
      <c r="AB1736" s="7" t="n"/>
      <c r="AE1736" s="11" t="n"/>
      <c r="AG1736" s="7">
        <f>IF($C1736="","",U1736*X1736/100)</f>
        <v/>
      </c>
      <c r="AH1736" s="7">
        <f>IF($C1736="","",U1736-AG1736)</f>
        <v/>
      </c>
      <c r="AI1736" s="7">
        <f>IF($C1736="","",AH1736-M1736)</f>
        <v/>
      </c>
      <c r="AJ1736">
        <f>IF($C1736="","",IF(COUNTIF($C$2:$C1736,$C1736)=1,1,0))</f>
        <v/>
      </c>
      <c r="AK1736">
        <f>IF($AJ1736=1,SUMPRODUCT(--($AN$2:$AN$4001&lt;$AN1736))+1,"")</f>
        <v/>
      </c>
      <c r="AL1736">
        <f>IF($C1736="","",IF(OR($Q1736=TRUE(),$Q1736="TRUE"),1,0))</f>
        <v/>
      </c>
      <c r="AM1736">
        <f>IF($C1736="","",IF($W1736="Yes",1,0))</f>
        <v/>
      </c>
      <c r="AN1736">
        <f>IF($AJ1736=1,IFERROR(IF(VALUE($C1736)&lt;100000000,VALUE($C1736),1000000000),IFERROR(IF(VALUE(MID($C1736,2,20))&lt;100000000,VALUE(MID($C1736,2,20)),1000000000),1000000000))+ROW()/100000,"")</f>
        <v/>
      </c>
    </row>
    <row r="1737">
      <c r="E1737" s="11" t="n"/>
      <c r="M1737" s="7">
        <f>IF($C1737="","",L1737*U1737/100)</f>
        <v/>
      </c>
      <c r="N1737" s="7" t="n"/>
      <c r="T1737" s="7" t="n"/>
      <c r="U1737" s="7">
        <f>IF($C1737="","",S1737*T1737)</f>
        <v/>
      </c>
      <c r="X1737">
        <f>IF($C1737="","",IF($AM1737=1,0,IF($AL1737=1,Settings!$C$6,Settings!$C$7))*100)</f>
        <v/>
      </c>
      <c r="AB1737" s="7" t="n"/>
      <c r="AE1737" s="11" t="n"/>
      <c r="AG1737" s="7">
        <f>IF($C1737="","",U1737*X1737/100)</f>
        <v/>
      </c>
      <c r="AH1737" s="7">
        <f>IF($C1737="","",U1737-AG1737)</f>
        <v/>
      </c>
      <c r="AI1737" s="7">
        <f>IF($C1737="","",AH1737-M1737)</f>
        <v/>
      </c>
      <c r="AJ1737">
        <f>IF($C1737="","",IF(COUNTIF($C$2:$C1737,$C1737)=1,1,0))</f>
        <v/>
      </c>
      <c r="AK1737">
        <f>IF($AJ1737=1,SUMPRODUCT(--($AN$2:$AN$4001&lt;$AN1737))+1,"")</f>
        <v/>
      </c>
      <c r="AL1737">
        <f>IF($C1737="","",IF(OR($Q1737=TRUE(),$Q1737="TRUE"),1,0))</f>
        <v/>
      </c>
      <c r="AM1737">
        <f>IF($C1737="","",IF($W1737="Yes",1,0))</f>
        <v/>
      </c>
      <c r="AN1737">
        <f>IF($AJ1737=1,IFERROR(IF(VALUE($C1737)&lt;100000000,VALUE($C1737),1000000000),IFERROR(IF(VALUE(MID($C1737,2,20))&lt;100000000,VALUE(MID($C1737,2,20)),1000000000),1000000000))+ROW()/100000,"")</f>
        <v/>
      </c>
    </row>
    <row r="1738">
      <c r="E1738" s="11" t="n"/>
      <c r="M1738" s="7">
        <f>IF($C1738="","",L1738*U1738/100)</f>
        <v/>
      </c>
      <c r="N1738" s="7" t="n"/>
      <c r="T1738" s="7" t="n"/>
      <c r="U1738" s="7">
        <f>IF($C1738="","",S1738*T1738)</f>
        <v/>
      </c>
      <c r="X1738">
        <f>IF($C1738="","",IF($AM1738=1,0,IF($AL1738=1,Settings!$C$6,Settings!$C$7))*100)</f>
        <v/>
      </c>
      <c r="AB1738" s="7" t="n"/>
      <c r="AE1738" s="11" t="n"/>
      <c r="AG1738" s="7">
        <f>IF($C1738="","",U1738*X1738/100)</f>
        <v/>
      </c>
      <c r="AH1738" s="7">
        <f>IF($C1738="","",U1738-AG1738)</f>
        <v/>
      </c>
      <c r="AI1738" s="7">
        <f>IF($C1738="","",AH1738-M1738)</f>
        <v/>
      </c>
      <c r="AJ1738">
        <f>IF($C1738="","",IF(COUNTIF($C$2:$C1738,$C1738)=1,1,0))</f>
        <v/>
      </c>
      <c r="AK1738">
        <f>IF($AJ1738=1,SUMPRODUCT(--($AN$2:$AN$4001&lt;$AN1738))+1,"")</f>
        <v/>
      </c>
      <c r="AL1738">
        <f>IF($C1738="","",IF(OR($Q1738=TRUE(),$Q1738="TRUE"),1,0))</f>
        <v/>
      </c>
      <c r="AM1738">
        <f>IF($C1738="","",IF($W1738="Yes",1,0))</f>
        <v/>
      </c>
      <c r="AN1738">
        <f>IF($AJ1738=1,IFERROR(IF(VALUE($C1738)&lt;100000000,VALUE($C1738),1000000000),IFERROR(IF(VALUE(MID($C1738,2,20))&lt;100000000,VALUE(MID($C1738,2,20)),1000000000),1000000000))+ROW()/100000,"")</f>
        <v/>
      </c>
    </row>
    <row r="1739">
      <c r="E1739" s="11" t="n"/>
      <c r="M1739" s="7">
        <f>IF($C1739="","",L1739*U1739/100)</f>
        <v/>
      </c>
      <c r="N1739" s="7" t="n"/>
      <c r="T1739" s="7" t="n"/>
      <c r="U1739" s="7">
        <f>IF($C1739="","",S1739*T1739)</f>
        <v/>
      </c>
      <c r="X1739">
        <f>IF($C1739="","",IF($AM1739=1,0,IF($AL1739=1,Settings!$C$6,Settings!$C$7))*100)</f>
        <v/>
      </c>
      <c r="AB1739" s="7" t="n"/>
      <c r="AE1739" s="11" t="n"/>
      <c r="AG1739" s="7">
        <f>IF($C1739="","",U1739*X1739/100)</f>
        <v/>
      </c>
      <c r="AH1739" s="7">
        <f>IF($C1739="","",U1739-AG1739)</f>
        <v/>
      </c>
      <c r="AI1739" s="7">
        <f>IF($C1739="","",AH1739-M1739)</f>
        <v/>
      </c>
      <c r="AJ1739">
        <f>IF($C1739="","",IF(COUNTIF($C$2:$C1739,$C1739)=1,1,0))</f>
        <v/>
      </c>
      <c r="AK1739">
        <f>IF($AJ1739=1,SUMPRODUCT(--($AN$2:$AN$4001&lt;$AN1739))+1,"")</f>
        <v/>
      </c>
      <c r="AL1739">
        <f>IF($C1739="","",IF(OR($Q1739=TRUE(),$Q1739="TRUE"),1,0))</f>
        <v/>
      </c>
      <c r="AM1739">
        <f>IF($C1739="","",IF($W1739="Yes",1,0))</f>
        <v/>
      </c>
      <c r="AN1739">
        <f>IF($AJ1739=1,IFERROR(IF(VALUE($C1739)&lt;100000000,VALUE($C1739),1000000000),IFERROR(IF(VALUE(MID($C1739,2,20))&lt;100000000,VALUE(MID($C1739,2,20)),1000000000),1000000000))+ROW()/100000,"")</f>
        <v/>
      </c>
    </row>
    <row r="1740">
      <c r="E1740" s="11" t="n"/>
      <c r="M1740" s="7">
        <f>IF($C1740="","",L1740*U1740/100)</f>
        <v/>
      </c>
      <c r="N1740" s="7" t="n"/>
      <c r="T1740" s="7" t="n"/>
      <c r="U1740" s="7">
        <f>IF($C1740="","",S1740*T1740)</f>
        <v/>
      </c>
      <c r="X1740">
        <f>IF($C1740="","",IF($AM1740=1,0,IF($AL1740=1,Settings!$C$6,Settings!$C$7))*100)</f>
        <v/>
      </c>
      <c r="AB1740" s="7" t="n"/>
      <c r="AE1740" s="11" t="n"/>
      <c r="AG1740" s="7">
        <f>IF($C1740="","",U1740*X1740/100)</f>
        <v/>
      </c>
      <c r="AH1740" s="7">
        <f>IF($C1740="","",U1740-AG1740)</f>
        <v/>
      </c>
      <c r="AI1740" s="7">
        <f>IF($C1740="","",AH1740-M1740)</f>
        <v/>
      </c>
      <c r="AJ1740">
        <f>IF($C1740="","",IF(COUNTIF($C$2:$C1740,$C1740)=1,1,0))</f>
        <v/>
      </c>
      <c r="AK1740">
        <f>IF($AJ1740=1,SUMPRODUCT(--($AN$2:$AN$4001&lt;$AN1740))+1,"")</f>
        <v/>
      </c>
      <c r="AL1740">
        <f>IF($C1740="","",IF(OR($Q1740=TRUE(),$Q1740="TRUE"),1,0))</f>
        <v/>
      </c>
      <c r="AM1740">
        <f>IF($C1740="","",IF($W1740="Yes",1,0))</f>
        <v/>
      </c>
      <c r="AN1740">
        <f>IF($AJ1740=1,IFERROR(IF(VALUE($C1740)&lt;100000000,VALUE($C1740),1000000000),IFERROR(IF(VALUE(MID($C1740,2,20))&lt;100000000,VALUE(MID($C1740,2,20)),1000000000),1000000000))+ROW()/100000,"")</f>
        <v/>
      </c>
    </row>
    <row r="1741">
      <c r="E1741" s="11" t="n"/>
      <c r="M1741" s="7">
        <f>IF($C1741="","",L1741*U1741/100)</f>
        <v/>
      </c>
      <c r="N1741" s="7" t="n"/>
      <c r="T1741" s="7" t="n"/>
      <c r="U1741" s="7">
        <f>IF($C1741="","",S1741*T1741)</f>
        <v/>
      </c>
      <c r="X1741">
        <f>IF($C1741="","",IF($AM1741=1,0,IF($AL1741=1,Settings!$C$6,Settings!$C$7))*100)</f>
        <v/>
      </c>
      <c r="AB1741" s="7" t="n"/>
      <c r="AE1741" s="11" t="n"/>
      <c r="AG1741" s="7">
        <f>IF($C1741="","",U1741*X1741/100)</f>
        <v/>
      </c>
      <c r="AH1741" s="7">
        <f>IF($C1741="","",U1741-AG1741)</f>
        <v/>
      </c>
      <c r="AI1741" s="7">
        <f>IF($C1741="","",AH1741-M1741)</f>
        <v/>
      </c>
      <c r="AJ1741">
        <f>IF($C1741="","",IF(COUNTIF($C$2:$C1741,$C1741)=1,1,0))</f>
        <v/>
      </c>
      <c r="AK1741">
        <f>IF($AJ1741=1,SUMPRODUCT(--($AN$2:$AN$4001&lt;$AN1741))+1,"")</f>
        <v/>
      </c>
      <c r="AL1741">
        <f>IF($C1741="","",IF(OR($Q1741=TRUE(),$Q1741="TRUE"),1,0))</f>
        <v/>
      </c>
      <c r="AM1741">
        <f>IF($C1741="","",IF($W1741="Yes",1,0))</f>
        <v/>
      </c>
      <c r="AN1741">
        <f>IF($AJ1741=1,IFERROR(IF(VALUE($C1741)&lt;100000000,VALUE($C1741),1000000000),IFERROR(IF(VALUE(MID($C1741,2,20))&lt;100000000,VALUE(MID($C1741,2,20)),1000000000),1000000000))+ROW()/100000,"")</f>
        <v/>
      </c>
    </row>
    <row r="1742">
      <c r="E1742" s="11" t="n"/>
      <c r="M1742" s="7">
        <f>IF($C1742="","",L1742*U1742/100)</f>
        <v/>
      </c>
      <c r="N1742" s="7" t="n"/>
      <c r="T1742" s="7" t="n"/>
      <c r="U1742" s="7">
        <f>IF($C1742="","",S1742*T1742)</f>
        <v/>
      </c>
      <c r="X1742">
        <f>IF($C1742="","",IF($AM1742=1,0,IF($AL1742=1,Settings!$C$6,Settings!$C$7))*100)</f>
        <v/>
      </c>
      <c r="AB1742" s="7" t="n"/>
      <c r="AE1742" s="11" t="n"/>
      <c r="AG1742" s="7">
        <f>IF($C1742="","",U1742*X1742/100)</f>
        <v/>
      </c>
      <c r="AH1742" s="7">
        <f>IF($C1742="","",U1742-AG1742)</f>
        <v/>
      </c>
      <c r="AI1742" s="7">
        <f>IF($C1742="","",AH1742-M1742)</f>
        <v/>
      </c>
      <c r="AJ1742">
        <f>IF($C1742="","",IF(COUNTIF($C$2:$C1742,$C1742)=1,1,0))</f>
        <v/>
      </c>
      <c r="AK1742">
        <f>IF($AJ1742=1,SUMPRODUCT(--($AN$2:$AN$4001&lt;$AN1742))+1,"")</f>
        <v/>
      </c>
      <c r="AL1742">
        <f>IF($C1742="","",IF(OR($Q1742=TRUE(),$Q1742="TRUE"),1,0))</f>
        <v/>
      </c>
      <c r="AM1742">
        <f>IF($C1742="","",IF($W1742="Yes",1,0))</f>
        <v/>
      </c>
      <c r="AN1742">
        <f>IF($AJ1742=1,IFERROR(IF(VALUE($C1742)&lt;100000000,VALUE($C1742),1000000000),IFERROR(IF(VALUE(MID($C1742,2,20))&lt;100000000,VALUE(MID($C1742,2,20)),1000000000),1000000000))+ROW()/100000,"")</f>
        <v/>
      </c>
    </row>
    <row r="1743">
      <c r="E1743" s="11" t="n"/>
      <c r="M1743" s="7">
        <f>IF($C1743="","",L1743*U1743/100)</f>
        <v/>
      </c>
      <c r="N1743" s="7" t="n"/>
      <c r="T1743" s="7" t="n"/>
      <c r="U1743" s="7">
        <f>IF($C1743="","",S1743*T1743)</f>
        <v/>
      </c>
      <c r="X1743">
        <f>IF($C1743="","",IF($AM1743=1,0,IF($AL1743=1,Settings!$C$6,Settings!$C$7))*100)</f>
        <v/>
      </c>
      <c r="AB1743" s="7" t="n"/>
      <c r="AE1743" s="11" t="n"/>
      <c r="AG1743" s="7">
        <f>IF($C1743="","",U1743*X1743/100)</f>
        <v/>
      </c>
      <c r="AH1743" s="7">
        <f>IF($C1743="","",U1743-AG1743)</f>
        <v/>
      </c>
      <c r="AI1743" s="7">
        <f>IF($C1743="","",AH1743-M1743)</f>
        <v/>
      </c>
      <c r="AJ1743">
        <f>IF($C1743="","",IF(COUNTIF($C$2:$C1743,$C1743)=1,1,0))</f>
        <v/>
      </c>
      <c r="AK1743">
        <f>IF($AJ1743=1,SUMPRODUCT(--($AN$2:$AN$4001&lt;$AN1743))+1,"")</f>
        <v/>
      </c>
      <c r="AL1743">
        <f>IF($C1743="","",IF(OR($Q1743=TRUE(),$Q1743="TRUE"),1,0))</f>
        <v/>
      </c>
      <c r="AM1743">
        <f>IF($C1743="","",IF($W1743="Yes",1,0))</f>
        <v/>
      </c>
      <c r="AN1743">
        <f>IF($AJ1743=1,IFERROR(IF(VALUE($C1743)&lt;100000000,VALUE($C1743),1000000000),IFERROR(IF(VALUE(MID($C1743,2,20))&lt;100000000,VALUE(MID($C1743,2,20)),1000000000),1000000000))+ROW()/100000,"")</f>
        <v/>
      </c>
    </row>
    <row r="1744">
      <c r="E1744" s="11" t="n"/>
      <c r="M1744" s="7">
        <f>IF($C1744="","",L1744*U1744/100)</f>
        <v/>
      </c>
      <c r="N1744" s="7" t="n"/>
      <c r="T1744" s="7" t="n"/>
      <c r="U1744" s="7">
        <f>IF($C1744="","",S1744*T1744)</f>
        <v/>
      </c>
      <c r="X1744">
        <f>IF($C1744="","",IF($AM1744=1,0,IF($AL1744=1,Settings!$C$6,Settings!$C$7))*100)</f>
        <v/>
      </c>
      <c r="AB1744" s="7" t="n"/>
      <c r="AE1744" s="11" t="n"/>
      <c r="AG1744" s="7">
        <f>IF($C1744="","",U1744*X1744/100)</f>
        <v/>
      </c>
      <c r="AH1744" s="7">
        <f>IF($C1744="","",U1744-AG1744)</f>
        <v/>
      </c>
      <c r="AI1744" s="7">
        <f>IF($C1744="","",AH1744-M1744)</f>
        <v/>
      </c>
      <c r="AJ1744">
        <f>IF($C1744="","",IF(COUNTIF($C$2:$C1744,$C1744)=1,1,0))</f>
        <v/>
      </c>
      <c r="AK1744">
        <f>IF($AJ1744=1,SUMPRODUCT(--($AN$2:$AN$4001&lt;$AN1744))+1,"")</f>
        <v/>
      </c>
      <c r="AL1744">
        <f>IF($C1744="","",IF(OR($Q1744=TRUE(),$Q1744="TRUE"),1,0))</f>
        <v/>
      </c>
      <c r="AM1744">
        <f>IF($C1744="","",IF($W1744="Yes",1,0))</f>
        <v/>
      </c>
      <c r="AN1744">
        <f>IF($AJ1744=1,IFERROR(IF(VALUE($C1744)&lt;100000000,VALUE($C1744),1000000000),IFERROR(IF(VALUE(MID($C1744,2,20))&lt;100000000,VALUE(MID($C1744,2,20)),1000000000),1000000000))+ROW()/100000,"")</f>
        <v/>
      </c>
    </row>
    <row r="1745">
      <c r="E1745" s="11" t="n"/>
      <c r="M1745" s="7">
        <f>IF($C1745="","",L1745*U1745/100)</f>
        <v/>
      </c>
      <c r="N1745" s="7" t="n"/>
      <c r="T1745" s="7" t="n"/>
      <c r="U1745" s="7">
        <f>IF($C1745="","",S1745*T1745)</f>
        <v/>
      </c>
      <c r="X1745">
        <f>IF($C1745="","",IF($AM1745=1,0,IF($AL1745=1,Settings!$C$6,Settings!$C$7))*100)</f>
        <v/>
      </c>
      <c r="AB1745" s="7" t="n"/>
      <c r="AE1745" s="11" t="n"/>
      <c r="AG1745" s="7">
        <f>IF($C1745="","",U1745*X1745/100)</f>
        <v/>
      </c>
      <c r="AH1745" s="7">
        <f>IF($C1745="","",U1745-AG1745)</f>
        <v/>
      </c>
      <c r="AI1745" s="7">
        <f>IF($C1745="","",AH1745-M1745)</f>
        <v/>
      </c>
      <c r="AJ1745">
        <f>IF($C1745="","",IF(COUNTIF($C$2:$C1745,$C1745)=1,1,0))</f>
        <v/>
      </c>
      <c r="AK1745">
        <f>IF($AJ1745=1,SUMPRODUCT(--($AN$2:$AN$4001&lt;$AN1745))+1,"")</f>
        <v/>
      </c>
      <c r="AL1745">
        <f>IF($C1745="","",IF(OR($Q1745=TRUE(),$Q1745="TRUE"),1,0))</f>
        <v/>
      </c>
      <c r="AM1745">
        <f>IF($C1745="","",IF($W1745="Yes",1,0))</f>
        <v/>
      </c>
      <c r="AN1745">
        <f>IF($AJ1745=1,IFERROR(IF(VALUE($C1745)&lt;100000000,VALUE($C1745),1000000000),IFERROR(IF(VALUE(MID($C1745,2,20))&lt;100000000,VALUE(MID($C1745,2,20)),1000000000),1000000000))+ROW()/100000,"")</f>
        <v/>
      </c>
    </row>
    <row r="1746">
      <c r="E1746" s="11" t="n"/>
      <c r="M1746" s="7">
        <f>IF($C1746="","",L1746*U1746/100)</f>
        <v/>
      </c>
      <c r="N1746" s="7" t="n"/>
      <c r="T1746" s="7" t="n"/>
      <c r="U1746" s="7">
        <f>IF($C1746="","",S1746*T1746)</f>
        <v/>
      </c>
      <c r="X1746">
        <f>IF($C1746="","",IF($AM1746=1,0,IF($AL1746=1,Settings!$C$6,Settings!$C$7))*100)</f>
        <v/>
      </c>
      <c r="AB1746" s="7" t="n"/>
      <c r="AE1746" s="11" t="n"/>
      <c r="AG1746" s="7">
        <f>IF($C1746="","",U1746*X1746/100)</f>
        <v/>
      </c>
      <c r="AH1746" s="7">
        <f>IF($C1746="","",U1746-AG1746)</f>
        <v/>
      </c>
      <c r="AI1746" s="7">
        <f>IF($C1746="","",AH1746-M1746)</f>
        <v/>
      </c>
      <c r="AJ1746">
        <f>IF($C1746="","",IF(COUNTIF($C$2:$C1746,$C1746)=1,1,0))</f>
        <v/>
      </c>
      <c r="AK1746">
        <f>IF($AJ1746=1,SUMPRODUCT(--($AN$2:$AN$4001&lt;$AN1746))+1,"")</f>
        <v/>
      </c>
      <c r="AL1746">
        <f>IF($C1746="","",IF(OR($Q1746=TRUE(),$Q1746="TRUE"),1,0))</f>
        <v/>
      </c>
      <c r="AM1746">
        <f>IF($C1746="","",IF($W1746="Yes",1,0))</f>
        <v/>
      </c>
      <c r="AN1746">
        <f>IF($AJ1746=1,IFERROR(IF(VALUE($C1746)&lt;100000000,VALUE($C1746),1000000000),IFERROR(IF(VALUE(MID($C1746,2,20))&lt;100000000,VALUE(MID($C1746,2,20)),1000000000),1000000000))+ROW()/100000,"")</f>
        <v/>
      </c>
    </row>
    <row r="1747">
      <c r="E1747" s="11" t="n"/>
      <c r="M1747" s="7">
        <f>IF($C1747="","",L1747*U1747/100)</f>
        <v/>
      </c>
      <c r="N1747" s="7" t="n"/>
      <c r="T1747" s="7" t="n"/>
      <c r="U1747" s="7">
        <f>IF($C1747="","",S1747*T1747)</f>
        <v/>
      </c>
      <c r="X1747">
        <f>IF($C1747="","",IF($AM1747=1,0,IF($AL1747=1,Settings!$C$6,Settings!$C$7))*100)</f>
        <v/>
      </c>
      <c r="AB1747" s="7" t="n"/>
      <c r="AE1747" s="11" t="n"/>
      <c r="AG1747" s="7">
        <f>IF($C1747="","",U1747*X1747/100)</f>
        <v/>
      </c>
      <c r="AH1747" s="7">
        <f>IF($C1747="","",U1747-AG1747)</f>
        <v/>
      </c>
      <c r="AI1747" s="7">
        <f>IF($C1747="","",AH1747-M1747)</f>
        <v/>
      </c>
      <c r="AJ1747">
        <f>IF($C1747="","",IF(COUNTIF($C$2:$C1747,$C1747)=1,1,0))</f>
        <v/>
      </c>
      <c r="AK1747">
        <f>IF($AJ1747=1,SUMPRODUCT(--($AN$2:$AN$4001&lt;$AN1747))+1,"")</f>
        <v/>
      </c>
      <c r="AL1747">
        <f>IF($C1747="","",IF(OR($Q1747=TRUE(),$Q1747="TRUE"),1,0))</f>
        <v/>
      </c>
      <c r="AM1747">
        <f>IF($C1747="","",IF($W1747="Yes",1,0))</f>
        <v/>
      </c>
      <c r="AN1747">
        <f>IF($AJ1747=1,IFERROR(IF(VALUE($C1747)&lt;100000000,VALUE($C1747),1000000000),IFERROR(IF(VALUE(MID($C1747,2,20))&lt;100000000,VALUE(MID($C1747,2,20)),1000000000),1000000000))+ROW()/100000,"")</f>
        <v/>
      </c>
    </row>
    <row r="1748">
      <c r="E1748" s="11" t="n"/>
      <c r="M1748" s="7">
        <f>IF($C1748="","",L1748*U1748/100)</f>
        <v/>
      </c>
      <c r="N1748" s="7" t="n"/>
      <c r="T1748" s="7" t="n"/>
      <c r="U1748" s="7">
        <f>IF($C1748="","",S1748*T1748)</f>
        <v/>
      </c>
      <c r="X1748">
        <f>IF($C1748="","",IF($AM1748=1,0,IF($AL1748=1,Settings!$C$6,Settings!$C$7))*100)</f>
        <v/>
      </c>
      <c r="AB1748" s="7" t="n"/>
      <c r="AE1748" s="11" t="n"/>
      <c r="AG1748" s="7">
        <f>IF($C1748="","",U1748*X1748/100)</f>
        <v/>
      </c>
      <c r="AH1748" s="7">
        <f>IF($C1748="","",U1748-AG1748)</f>
        <v/>
      </c>
      <c r="AI1748" s="7">
        <f>IF($C1748="","",AH1748-M1748)</f>
        <v/>
      </c>
      <c r="AJ1748">
        <f>IF($C1748="","",IF(COUNTIF($C$2:$C1748,$C1748)=1,1,0))</f>
        <v/>
      </c>
      <c r="AK1748">
        <f>IF($AJ1748=1,SUMPRODUCT(--($AN$2:$AN$4001&lt;$AN1748))+1,"")</f>
        <v/>
      </c>
      <c r="AL1748">
        <f>IF($C1748="","",IF(OR($Q1748=TRUE(),$Q1748="TRUE"),1,0))</f>
        <v/>
      </c>
      <c r="AM1748">
        <f>IF($C1748="","",IF($W1748="Yes",1,0))</f>
        <v/>
      </c>
      <c r="AN1748">
        <f>IF($AJ1748=1,IFERROR(IF(VALUE($C1748)&lt;100000000,VALUE($C1748),1000000000),IFERROR(IF(VALUE(MID($C1748,2,20))&lt;100000000,VALUE(MID($C1748,2,20)),1000000000),1000000000))+ROW()/100000,"")</f>
        <v/>
      </c>
    </row>
    <row r="1749">
      <c r="E1749" s="11" t="n"/>
      <c r="M1749" s="7">
        <f>IF($C1749="","",L1749*U1749/100)</f>
        <v/>
      </c>
      <c r="N1749" s="7" t="n"/>
      <c r="T1749" s="7" t="n"/>
      <c r="U1749" s="7">
        <f>IF($C1749="","",S1749*T1749)</f>
        <v/>
      </c>
      <c r="X1749">
        <f>IF($C1749="","",IF($AM1749=1,0,IF($AL1749=1,Settings!$C$6,Settings!$C$7))*100)</f>
        <v/>
      </c>
      <c r="AB1749" s="7" t="n"/>
      <c r="AE1749" s="11" t="n"/>
      <c r="AG1749" s="7">
        <f>IF($C1749="","",U1749*X1749/100)</f>
        <v/>
      </c>
      <c r="AH1749" s="7">
        <f>IF($C1749="","",U1749-AG1749)</f>
        <v/>
      </c>
      <c r="AI1749" s="7">
        <f>IF($C1749="","",AH1749-M1749)</f>
        <v/>
      </c>
      <c r="AJ1749">
        <f>IF($C1749="","",IF(COUNTIF($C$2:$C1749,$C1749)=1,1,0))</f>
        <v/>
      </c>
      <c r="AK1749">
        <f>IF($AJ1749=1,SUMPRODUCT(--($AN$2:$AN$4001&lt;$AN1749))+1,"")</f>
        <v/>
      </c>
      <c r="AL1749">
        <f>IF($C1749="","",IF(OR($Q1749=TRUE(),$Q1749="TRUE"),1,0))</f>
        <v/>
      </c>
      <c r="AM1749">
        <f>IF($C1749="","",IF($W1749="Yes",1,0))</f>
        <v/>
      </c>
      <c r="AN1749">
        <f>IF($AJ1749=1,IFERROR(IF(VALUE($C1749)&lt;100000000,VALUE($C1749),1000000000),IFERROR(IF(VALUE(MID($C1749,2,20))&lt;100000000,VALUE(MID($C1749,2,20)),1000000000),1000000000))+ROW()/100000,"")</f>
        <v/>
      </c>
    </row>
    <row r="1750">
      <c r="E1750" s="11" t="n"/>
      <c r="M1750" s="7">
        <f>IF($C1750="","",L1750*U1750/100)</f>
        <v/>
      </c>
      <c r="N1750" s="7" t="n"/>
      <c r="T1750" s="7" t="n"/>
      <c r="U1750" s="7">
        <f>IF($C1750="","",S1750*T1750)</f>
        <v/>
      </c>
      <c r="X1750">
        <f>IF($C1750="","",IF($AM1750=1,0,IF($AL1750=1,Settings!$C$6,Settings!$C$7))*100)</f>
        <v/>
      </c>
      <c r="AB1750" s="7" t="n"/>
      <c r="AE1750" s="11" t="n"/>
      <c r="AG1750" s="7">
        <f>IF($C1750="","",U1750*X1750/100)</f>
        <v/>
      </c>
      <c r="AH1750" s="7">
        <f>IF($C1750="","",U1750-AG1750)</f>
        <v/>
      </c>
      <c r="AI1750" s="7">
        <f>IF($C1750="","",AH1750-M1750)</f>
        <v/>
      </c>
      <c r="AJ1750">
        <f>IF($C1750="","",IF(COUNTIF($C$2:$C1750,$C1750)=1,1,0))</f>
        <v/>
      </c>
      <c r="AK1750">
        <f>IF($AJ1750=1,SUMPRODUCT(--($AN$2:$AN$4001&lt;$AN1750))+1,"")</f>
        <v/>
      </c>
      <c r="AL1750">
        <f>IF($C1750="","",IF(OR($Q1750=TRUE(),$Q1750="TRUE"),1,0))</f>
        <v/>
      </c>
      <c r="AM1750">
        <f>IF($C1750="","",IF($W1750="Yes",1,0))</f>
        <v/>
      </c>
      <c r="AN1750">
        <f>IF($AJ1750=1,IFERROR(IF(VALUE($C1750)&lt;100000000,VALUE($C1750),1000000000),IFERROR(IF(VALUE(MID($C1750,2,20))&lt;100000000,VALUE(MID($C1750,2,20)),1000000000),1000000000))+ROW()/100000,"")</f>
        <v/>
      </c>
    </row>
    <row r="1751">
      <c r="E1751" s="11" t="n"/>
      <c r="M1751" s="7">
        <f>IF($C1751="","",L1751*U1751/100)</f>
        <v/>
      </c>
      <c r="N1751" s="7" t="n"/>
      <c r="T1751" s="7" t="n"/>
      <c r="U1751" s="7">
        <f>IF($C1751="","",S1751*T1751)</f>
        <v/>
      </c>
      <c r="X1751">
        <f>IF($C1751="","",IF($AM1751=1,0,IF($AL1751=1,Settings!$C$6,Settings!$C$7))*100)</f>
        <v/>
      </c>
      <c r="AB1751" s="7" t="n"/>
      <c r="AE1751" s="11" t="n"/>
      <c r="AG1751" s="7">
        <f>IF($C1751="","",U1751*X1751/100)</f>
        <v/>
      </c>
      <c r="AH1751" s="7">
        <f>IF($C1751="","",U1751-AG1751)</f>
        <v/>
      </c>
      <c r="AI1751" s="7">
        <f>IF($C1751="","",AH1751-M1751)</f>
        <v/>
      </c>
      <c r="AJ1751">
        <f>IF($C1751="","",IF(COUNTIF($C$2:$C1751,$C1751)=1,1,0))</f>
        <v/>
      </c>
      <c r="AK1751">
        <f>IF($AJ1751=1,SUMPRODUCT(--($AN$2:$AN$4001&lt;$AN1751))+1,"")</f>
        <v/>
      </c>
      <c r="AL1751">
        <f>IF($C1751="","",IF(OR($Q1751=TRUE(),$Q1751="TRUE"),1,0))</f>
        <v/>
      </c>
      <c r="AM1751">
        <f>IF($C1751="","",IF($W1751="Yes",1,0))</f>
        <v/>
      </c>
      <c r="AN1751">
        <f>IF($AJ1751=1,IFERROR(IF(VALUE($C1751)&lt;100000000,VALUE($C1751),1000000000),IFERROR(IF(VALUE(MID($C1751,2,20))&lt;100000000,VALUE(MID($C1751,2,20)),1000000000),1000000000))+ROW()/100000,"")</f>
        <v/>
      </c>
    </row>
    <row r="1752">
      <c r="E1752" s="11" t="n"/>
      <c r="M1752" s="7">
        <f>IF($C1752="","",L1752*U1752/100)</f>
        <v/>
      </c>
      <c r="N1752" s="7" t="n"/>
      <c r="T1752" s="7" t="n"/>
      <c r="U1752" s="7">
        <f>IF($C1752="","",S1752*T1752)</f>
        <v/>
      </c>
      <c r="X1752">
        <f>IF($C1752="","",IF($AM1752=1,0,IF($AL1752=1,Settings!$C$6,Settings!$C$7))*100)</f>
        <v/>
      </c>
      <c r="AB1752" s="7" t="n"/>
      <c r="AE1752" s="11" t="n"/>
      <c r="AG1752" s="7">
        <f>IF($C1752="","",U1752*X1752/100)</f>
        <v/>
      </c>
      <c r="AH1752" s="7">
        <f>IF($C1752="","",U1752-AG1752)</f>
        <v/>
      </c>
      <c r="AI1752" s="7">
        <f>IF($C1752="","",AH1752-M1752)</f>
        <v/>
      </c>
      <c r="AJ1752">
        <f>IF($C1752="","",IF(COUNTIF($C$2:$C1752,$C1752)=1,1,0))</f>
        <v/>
      </c>
      <c r="AK1752">
        <f>IF($AJ1752=1,SUMPRODUCT(--($AN$2:$AN$4001&lt;$AN1752))+1,"")</f>
        <v/>
      </c>
      <c r="AL1752">
        <f>IF($C1752="","",IF(OR($Q1752=TRUE(),$Q1752="TRUE"),1,0))</f>
        <v/>
      </c>
      <c r="AM1752">
        <f>IF($C1752="","",IF($W1752="Yes",1,0))</f>
        <v/>
      </c>
      <c r="AN1752">
        <f>IF($AJ1752=1,IFERROR(IF(VALUE($C1752)&lt;100000000,VALUE($C1752),1000000000),IFERROR(IF(VALUE(MID($C1752,2,20))&lt;100000000,VALUE(MID($C1752,2,20)),1000000000),1000000000))+ROW()/100000,"")</f>
        <v/>
      </c>
    </row>
    <row r="1753">
      <c r="E1753" s="11" t="n"/>
      <c r="M1753" s="7">
        <f>IF($C1753="","",L1753*U1753/100)</f>
        <v/>
      </c>
      <c r="N1753" s="7" t="n"/>
      <c r="T1753" s="7" t="n"/>
      <c r="U1753" s="7">
        <f>IF($C1753="","",S1753*T1753)</f>
        <v/>
      </c>
      <c r="X1753">
        <f>IF($C1753="","",IF($AM1753=1,0,IF($AL1753=1,Settings!$C$6,Settings!$C$7))*100)</f>
        <v/>
      </c>
      <c r="AB1753" s="7" t="n"/>
      <c r="AE1753" s="11" t="n"/>
      <c r="AG1753" s="7">
        <f>IF($C1753="","",U1753*X1753/100)</f>
        <v/>
      </c>
      <c r="AH1753" s="7">
        <f>IF($C1753="","",U1753-AG1753)</f>
        <v/>
      </c>
      <c r="AI1753" s="7">
        <f>IF($C1753="","",AH1753-M1753)</f>
        <v/>
      </c>
      <c r="AJ1753">
        <f>IF($C1753="","",IF(COUNTIF($C$2:$C1753,$C1753)=1,1,0))</f>
        <v/>
      </c>
      <c r="AK1753">
        <f>IF($AJ1753=1,SUMPRODUCT(--($AN$2:$AN$4001&lt;$AN1753))+1,"")</f>
        <v/>
      </c>
      <c r="AL1753">
        <f>IF($C1753="","",IF(OR($Q1753=TRUE(),$Q1753="TRUE"),1,0))</f>
        <v/>
      </c>
      <c r="AM1753">
        <f>IF($C1753="","",IF($W1753="Yes",1,0))</f>
        <v/>
      </c>
      <c r="AN1753">
        <f>IF($AJ1753=1,IFERROR(IF(VALUE($C1753)&lt;100000000,VALUE($C1753),1000000000),IFERROR(IF(VALUE(MID($C1753,2,20))&lt;100000000,VALUE(MID($C1753,2,20)),1000000000),1000000000))+ROW()/100000,"")</f>
        <v/>
      </c>
    </row>
    <row r="1754">
      <c r="E1754" s="11" t="n"/>
      <c r="M1754" s="7">
        <f>IF($C1754="","",L1754*U1754/100)</f>
        <v/>
      </c>
      <c r="N1754" s="7" t="n"/>
      <c r="T1754" s="7" t="n"/>
      <c r="U1754" s="7">
        <f>IF($C1754="","",S1754*T1754)</f>
        <v/>
      </c>
      <c r="X1754">
        <f>IF($C1754="","",IF($AM1754=1,0,IF($AL1754=1,Settings!$C$6,Settings!$C$7))*100)</f>
        <v/>
      </c>
      <c r="AB1754" s="7" t="n"/>
      <c r="AE1754" s="11" t="n"/>
      <c r="AG1754" s="7">
        <f>IF($C1754="","",U1754*X1754/100)</f>
        <v/>
      </c>
      <c r="AH1754" s="7">
        <f>IF($C1754="","",U1754-AG1754)</f>
        <v/>
      </c>
      <c r="AI1754" s="7">
        <f>IF($C1754="","",AH1754-M1754)</f>
        <v/>
      </c>
      <c r="AJ1754">
        <f>IF($C1754="","",IF(COUNTIF($C$2:$C1754,$C1754)=1,1,0))</f>
        <v/>
      </c>
      <c r="AK1754">
        <f>IF($AJ1754=1,SUMPRODUCT(--($AN$2:$AN$4001&lt;$AN1754))+1,"")</f>
        <v/>
      </c>
      <c r="AL1754">
        <f>IF($C1754="","",IF(OR($Q1754=TRUE(),$Q1754="TRUE"),1,0))</f>
        <v/>
      </c>
      <c r="AM1754">
        <f>IF($C1754="","",IF($W1754="Yes",1,0))</f>
        <v/>
      </c>
      <c r="AN1754">
        <f>IF($AJ1754=1,IFERROR(IF(VALUE($C1754)&lt;100000000,VALUE($C1754),1000000000),IFERROR(IF(VALUE(MID($C1754,2,20))&lt;100000000,VALUE(MID($C1754,2,20)),1000000000),1000000000))+ROW()/100000,"")</f>
        <v/>
      </c>
    </row>
    <row r="1755">
      <c r="E1755" s="11" t="n"/>
      <c r="M1755" s="7">
        <f>IF($C1755="","",L1755*U1755/100)</f>
        <v/>
      </c>
      <c r="N1755" s="7" t="n"/>
      <c r="T1755" s="7" t="n"/>
      <c r="U1755" s="7">
        <f>IF($C1755="","",S1755*T1755)</f>
        <v/>
      </c>
      <c r="X1755">
        <f>IF($C1755="","",IF($AM1755=1,0,IF($AL1755=1,Settings!$C$6,Settings!$C$7))*100)</f>
        <v/>
      </c>
      <c r="AB1755" s="7" t="n"/>
      <c r="AE1755" s="11" t="n"/>
      <c r="AG1755" s="7">
        <f>IF($C1755="","",U1755*X1755/100)</f>
        <v/>
      </c>
      <c r="AH1755" s="7">
        <f>IF($C1755="","",U1755-AG1755)</f>
        <v/>
      </c>
      <c r="AI1755" s="7">
        <f>IF($C1755="","",AH1755-M1755)</f>
        <v/>
      </c>
      <c r="AJ1755">
        <f>IF($C1755="","",IF(COUNTIF($C$2:$C1755,$C1755)=1,1,0))</f>
        <v/>
      </c>
      <c r="AK1755">
        <f>IF($AJ1755=1,SUMPRODUCT(--($AN$2:$AN$4001&lt;$AN1755))+1,"")</f>
        <v/>
      </c>
      <c r="AL1755">
        <f>IF($C1755="","",IF(OR($Q1755=TRUE(),$Q1755="TRUE"),1,0))</f>
        <v/>
      </c>
      <c r="AM1755">
        <f>IF($C1755="","",IF($W1755="Yes",1,0))</f>
        <v/>
      </c>
      <c r="AN1755">
        <f>IF($AJ1755=1,IFERROR(IF(VALUE($C1755)&lt;100000000,VALUE($C1755),1000000000),IFERROR(IF(VALUE(MID($C1755,2,20))&lt;100000000,VALUE(MID($C1755,2,20)),1000000000),1000000000))+ROW()/100000,"")</f>
        <v/>
      </c>
    </row>
    <row r="1756">
      <c r="E1756" s="11" t="n"/>
      <c r="M1756" s="7">
        <f>IF($C1756="","",L1756*U1756/100)</f>
        <v/>
      </c>
      <c r="N1756" s="7" t="n"/>
      <c r="T1756" s="7" t="n"/>
      <c r="U1756" s="7">
        <f>IF($C1756="","",S1756*T1756)</f>
        <v/>
      </c>
      <c r="X1756">
        <f>IF($C1756="","",IF($AM1756=1,0,IF($AL1756=1,Settings!$C$6,Settings!$C$7))*100)</f>
        <v/>
      </c>
      <c r="AB1756" s="7" t="n"/>
      <c r="AE1756" s="11" t="n"/>
      <c r="AG1756" s="7">
        <f>IF($C1756="","",U1756*X1756/100)</f>
        <v/>
      </c>
      <c r="AH1756" s="7">
        <f>IF($C1756="","",U1756-AG1756)</f>
        <v/>
      </c>
      <c r="AI1756" s="7">
        <f>IF($C1756="","",AH1756-M1756)</f>
        <v/>
      </c>
      <c r="AJ1756">
        <f>IF($C1756="","",IF(COUNTIF($C$2:$C1756,$C1756)=1,1,0))</f>
        <v/>
      </c>
      <c r="AK1756">
        <f>IF($AJ1756=1,SUMPRODUCT(--($AN$2:$AN$4001&lt;$AN1756))+1,"")</f>
        <v/>
      </c>
      <c r="AL1756">
        <f>IF($C1756="","",IF(OR($Q1756=TRUE(),$Q1756="TRUE"),1,0))</f>
        <v/>
      </c>
      <c r="AM1756">
        <f>IF($C1756="","",IF($W1756="Yes",1,0))</f>
        <v/>
      </c>
      <c r="AN1756">
        <f>IF($AJ1756=1,IFERROR(IF(VALUE($C1756)&lt;100000000,VALUE($C1756),1000000000),IFERROR(IF(VALUE(MID($C1756,2,20))&lt;100000000,VALUE(MID($C1756,2,20)),1000000000),1000000000))+ROW()/100000,"")</f>
        <v/>
      </c>
    </row>
    <row r="1757">
      <c r="E1757" s="11" t="n"/>
      <c r="M1757" s="7">
        <f>IF($C1757="","",L1757*U1757/100)</f>
        <v/>
      </c>
      <c r="N1757" s="7" t="n"/>
      <c r="T1757" s="7" t="n"/>
      <c r="U1757" s="7">
        <f>IF($C1757="","",S1757*T1757)</f>
        <v/>
      </c>
      <c r="X1757">
        <f>IF($C1757="","",IF($AM1757=1,0,IF($AL1757=1,Settings!$C$6,Settings!$C$7))*100)</f>
        <v/>
      </c>
      <c r="AB1757" s="7" t="n"/>
      <c r="AE1757" s="11" t="n"/>
      <c r="AG1757" s="7">
        <f>IF($C1757="","",U1757*X1757/100)</f>
        <v/>
      </c>
      <c r="AH1757" s="7">
        <f>IF($C1757="","",U1757-AG1757)</f>
        <v/>
      </c>
      <c r="AI1757" s="7">
        <f>IF($C1757="","",AH1757-M1757)</f>
        <v/>
      </c>
      <c r="AJ1757">
        <f>IF($C1757="","",IF(COUNTIF($C$2:$C1757,$C1757)=1,1,0))</f>
        <v/>
      </c>
      <c r="AK1757">
        <f>IF($AJ1757=1,SUMPRODUCT(--($AN$2:$AN$4001&lt;$AN1757))+1,"")</f>
        <v/>
      </c>
      <c r="AL1757">
        <f>IF($C1757="","",IF(OR($Q1757=TRUE(),$Q1757="TRUE"),1,0))</f>
        <v/>
      </c>
      <c r="AM1757">
        <f>IF($C1757="","",IF($W1757="Yes",1,0))</f>
        <v/>
      </c>
      <c r="AN1757">
        <f>IF($AJ1757=1,IFERROR(IF(VALUE($C1757)&lt;100000000,VALUE($C1757),1000000000),IFERROR(IF(VALUE(MID($C1757,2,20))&lt;100000000,VALUE(MID($C1757,2,20)),1000000000),1000000000))+ROW()/100000,"")</f>
        <v/>
      </c>
    </row>
    <row r="1758">
      <c r="E1758" s="11" t="n"/>
      <c r="M1758" s="7">
        <f>IF($C1758="","",L1758*U1758/100)</f>
        <v/>
      </c>
      <c r="N1758" s="7" t="n"/>
      <c r="T1758" s="7" t="n"/>
      <c r="U1758" s="7">
        <f>IF($C1758="","",S1758*T1758)</f>
        <v/>
      </c>
      <c r="X1758">
        <f>IF($C1758="","",IF($AM1758=1,0,IF($AL1758=1,Settings!$C$6,Settings!$C$7))*100)</f>
        <v/>
      </c>
      <c r="AB1758" s="7" t="n"/>
      <c r="AE1758" s="11" t="n"/>
      <c r="AG1758" s="7">
        <f>IF($C1758="","",U1758*X1758/100)</f>
        <v/>
      </c>
      <c r="AH1758" s="7">
        <f>IF($C1758="","",U1758-AG1758)</f>
        <v/>
      </c>
      <c r="AI1758" s="7">
        <f>IF($C1758="","",AH1758-M1758)</f>
        <v/>
      </c>
      <c r="AJ1758">
        <f>IF($C1758="","",IF(COUNTIF($C$2:$C1758,$C1758)=1,1,0))</f>
        <v/>
      </c>
      <c r="AK1758">
        <f>IF($AJ1758=1,SUMPRODUCT(--($AN$2:$AN$4001&lt;$AN1758))+1,"")</f>
        <v/>
      </c>
      <c r="AL1758">
        <f>IF($C1758="","",IF(OR($Q1758=TRUE(),$Q1758="TRUE"),1,0))</f>
        <v/>
      </c>
      <c r="AM1758">
        <f>IF($C1758="","",IF($W1758="Yes",1,0))</f>
        <v/>
      </c>
      <c r="AN1758">
        <f>IF($AJ1758=1,IFERROR(IF(VALUE($C1758)&lt;100000000,VALUE($C1758),1000000000),IFERROR(IF(VALUE(MID($C1758,2,20))&lt;100000000,VALUE(MID($C1758,2,20)),1000000000),1000000000))+ROW()/100000,"")</f>
        <v/>
      </c>
    </row>
    <row r="1759">
      <c r="E1759" s="11" t="n"/>
      <c r="M1759" s="7">
        <f>IF($C1759="","",L1759*U1759/100)</f>
        <v/>
      </c>
      <c r="N1759" s="7" t="n"/>
      <c r="T1759" s="7" t="n"/>
      <c r="U1759" s="7">
        <f>IF($C1759="","",S1759*T1759)</f>
        <v/>
      </c>
      <c r="X1759">
        <f>IF($C1759="","",IF($AM1759=1,0,IF($AL1759=1,Settings!$C$6,Settings!$C$7))*100)</f>
        <v/>
      </c>
      <c r="AB1759" s="7" t="n"/>
      <c r="AE1759" s="11" t="n"/>
      <c r="AG1759" s="7">
        <f>IF($C1759="","",U1759*X1759/100)</f>
        <v/>
      </c>
      <c r="AH1759" s="7">
        <f>IF($C1759="","",U1759-AG1759)</f>
        <v/>
      </c>
      <c r="AI1759" s="7">
        <f>IF($C1759="","",AH1759-M1759)</f>
        <v/>
      </c>
      <c r="AJ1759">
        <f>IF($C1759="","",IF(COUNTIF($C$2:$C1759,$C1759)=1,1,0))</f>
        <v/>
      </c>
      <c r="AK1759">
        <f>IF($AJ1759=1,SUMPRODUCT(--($AN$2:$AN$4001&lt;$AN1759))+1,"")</f>
        <v/>
      </c>
      <c r="AL1759">
        <f>IF($C1759="","",IF(OR($Q1759=TRUE(),$Q1759="TRUE"),1,0))</f>
        <v/>
      </c>
      <c r="AM1759">
        <f>IF($C1759="","",IF($W1759="Yes",1,0))</f>
        <v/>
      </c>
      <c r="AN1759">
        <f>IF($AJ1759=1,IFERROR(IF(VALUE($C1759)&lt;100000000,VALUE($C1759),1000000000),IFERROR(IF(VALUE(MID($C1759,2,20))&lt;100000000,VALUE(MID($C1759,2,20)),1000000000),1000000000))+ROW()/100000,"")</f>
        <v/>
      </c>
    </row>
    <row r="1760">
      <c r="E1760" s="11" t="n"/>
      <c r="M1760" s="7">
        <f>IF($C1760="","",L1760*U1760/100)</f>
        <v/>
      </c>
      <c r="N1760" s="7" t="n"/>
      <c r="T1760" s="7" t="n"/>
      <c r="U1760" s="7">
        <f>IF($C1760="","",S1760*T1760)</f>
        <v/>
      </c>
      <c r="X1760">
        <f>IF($C1760="","",IF($AM1760=1,0,IF($AL1760=1,Settings!$C$6,Settings!$C$7))*100)</f>
        <v/>
      </c>
      <c r="AB1760" s="7" t="n"/>
      <c r="AE1760" s="11" t="n"/>
      <c r="AG1760" s="7">
        <f>IF($C1760="","",U1760*X1760/100)</f>
        <v/>
      </c>
      <c r="AH1760" s="7">
        <f>IF($C1760="","",U1760-AG1760)</f>
        <v/>
      </c>
      <c r="AI1760" s="7">
        <f>IF($C1760="","",AH1760-M1760)</f>
        <v/>
      </c>
      <c r="AJ1760">
        <f>IF($C1760="","",IF(COUNTIF($C$2:$C1760,$C1760)=1,1,0))</f>
        <v/>
      </c>
      <c r="AK1760">
        <f>IF($AJ1760=1,SUMPRODUCT(--($AN$2:$AN$4001&lt;$AN1760))+1,"")</f>
        <v/>
      </c>
      <c r="AL1760">
        <f>IF($C1760="","",IF(OR($Q1760=TRUE(),$Q1760="TRUE"),1,0))</f>
        <v/>
      </c>
      <c r="AM1760">
        <f>IF($C1760="","",IF($W1760="Yes",1,0))</f>
        <v/>
      </c>
      <c r="AN1760">
        <f>IF($AJ1760=1,IFERROR(IF(VALUE($C1760)&lt;100000000,VALUE($C1760),1000000000),IFERROR(IF(VALUE(MID($C1760,2,20))&lt;100000000,VALUE(MID($C1760,2,20)),1000000000),1000000000))+ROW()/100000,"")</f>
        <v/>
      </c>
    </row>
    <row r="1761">
      <c r="E1761" s="11" t="n"/>
      <c r="M1761" s="7">
        <f>IF($C1761="","",L1761*U1761/100)</f>
        <v/>
      </c>
      <c r="N1761" s="7" t="n"/>
      <c r="T1761" s="7" t="n"/>
      <c r="U1761" s="7">
        <f>IF($C1761="","",S1761*T1761)</f>
        <v/>
      </c>
      <c r="X1761">
        <f>IF($C1761="","",IF($AM1761=1,0,IF($AL1761=1,Settings!$C$6,Settings!$C$7))*100)</f>
        <v/>
      </c>
      <c r="AB1761" s="7" t="n"/>
      <c r="AE1761" s="11" t="n"/>
      <c r="AG1761" s="7">
        <f>IF($C1761="","",U1761*X1761/100)</f>
        <v/>
      </c>
      <c r="AH1761" s="7">
        <f>IF($C1761="","",U1761-AG1761)</f>
        <v/>
      </c>
      <c r="AI1761" s="7">
        <f>IF($C1761="","",AH1761-M1761)</f>
        <v/>
      </c>
      <c r="AJ1761">
        <f>IF($C1761="","",IF(COUNTIF($C$2:$C1761,$C1761)=1,1,0))</f>
        <v/>
      </c>
      <c r="AK1761">
        <f>IF($AJ1761=1,SUMPRODUCT(--($AN$2:$AN$4001&lt;$AN1761))+1,"")</f>
        <v/>
      </c>
      <c r="AL1761">
        <f>IF($C1761="","",IF(OR($Q1761=TRUE(),$Q1761="TRUE"),1,0))</f>
        <v/>
      </c>
      <c r="AM1761">
        <f>IF($C1761="","",IF($W1761="Yes",1,0))</f>
        <v/>
      </c>
      <c r="AN1761">
        <f>IF($AJ1761=1,IFERROR(IF(VALUE($C1761)&lt;100000000,VALUE($C1761),1000000000),IFERROR(IF(VALUE(MID($C1761,2,20))&lt;100000000,VALUE(MID($C1761,2,20)),1000000000),1000000000))+ROW()/100000,"")</f>
        <v/>
      </c>
    </row>
    <row r="1762">
      <c r="E1762" s="11" t="n"/>
      <c r="M1762" s="7">
        <f>IF($C1762="","",L1762*U1762/100)</f>
        <v/>
      </c>
      <c r="N1762" s="7" t="n"/>
      <c r="T1762" s="7" t="n"/>
      <c r="U1762" s="7">
        <f>IF($C1762="","",S1762*T1762)</f>
        <v/>
      </c>
      <c r="X1762">
        <f>IF($C1762="","",IF($AM1762=1,0,IF($AL1762=1,Settings!$C$6,Settings!$C$7))*100)</f>
        <v/>
      </c>
      <c r="AB1762" s="7" t="n"/>
      <c r="AE1762" s="11" t="n"/>
      <c r="AG1762" s="7">
        <f>IF($C1762="","",U1762*X1762/100)</f>
        <v/>
      </c>
      <c r="AH1762" s="7">
        <f>IF($C1762="","",U1762-AG1762)</f>
        <v/>
      </c>
      <c r="AI1762" s="7">
        <f>IF($C1762="","",AH1762-M1762)</f>
        <v/>
      </c>
      <c r="AJ1762">
        <f>IF($C1762="","",IF(COUNTIF($C$2:$C1762,$C1762)=1,1,0))</f>
        <v/>
      </c>
      <c r="AK1762">
        <f>IF($AJ1762=1,SUMPRODUCT(--($AN$2:$AN$4001&lt;$AN1762))+1,"")</f>
        <v/>
      </c>
      <c r="AL1762">
        <f>IF($C1762="","",IF(OR($Q1762=TRUE(),$Q1762="TRUE"),1,0))</f>
        <v/>
      </c>
      <c r="AM1762">
        <f>IF($C1762="","",IF($W1762="Yes",1,0))</f>
        <v/>
      </c>
      <c r="AN1762">
        <f>IF($AJ1762=1,IFERROR(IF(VALUE($C1762)&lt;100000000,VALUE($C1762),1000000000),IFERROR(IF(VALUE(MID($C1762,2,20))&lt;100000000,VALUE(MID($C1762,2,20)),1000000000),1000000000))+ROW()/100000,"")</f>
        <v/>
      </c>
    </row>
    <row r="1763">
      <c r="E1763" s="11" t="n"/>
      <c r="M1763" s="7">
        <f>IF($C1763="","",L1763*U1763/100)</f>
        <v/>
      </c>
      <c r="N1763" s="7" t="n"/>
      <c r="T1763" s="7" t="n"/>
      <c r="U1763" s="7">
        <f>IF($C1763="","",S1763*T1763)</f>
        <v/>
      </c>
      <c r="X1763">
        <f>IF($C1763="","",IF($AM1763=1,0,IF($AL1763=1,Settings!$C$6,Settings!$C$7))*100)</f>
        <v/>
      </c>
      <c r="AB1763" s="7" t="n"/>
      <c r="AE1763" s="11" t="n"/>
      <c r="AG1763" s="7">
        <f>IF($C1763="","",U1763*X1763/100)</f>
        <v/>
      </c>
      <c r="AH1763" s="7">
        <f>IF($C1763="","",U1763-AG1763)</f>
        <v/>
      </c>
      <c r="AI1763" s="7">
        <f>IF($C1763="","",AH1763-M1763)</f>
        <v/>
      </c>
      <c r="AJ1763">
        <f>IF($C1763="","",IF(COUNTIF($C$2:$C1763,$C1763)=1,1,0))</f>
        <v/>
      </c>
      <c r="AK1763">
        <f>IF($AJ1763=1,SUMPRODUCT(--($AN$2:$AN$4001&lt;$AN1763))+1,"")</f>
        <v/>
      </c>
      <c r="AL1763">
        <f>IF($C1763="","",IF(OR($Q1763=TRUE(),$Q1763="TRUE"),1,0))</f>
        <v/>
      </c>
      <c r="AM1763">
        <f>IF($C1763="","",IF($W1763="Yes",1,0))</f>
        <v/>
      </c>
      <c r="AN1763">
        <f>IF($AJ1763=1,IFERROR(IF(VALUE($C1763)&lt;100000000,VALUE($C1763),1000000000),IFERROR(IF(VALUE(MID($C1763,2,20))&lt;100000000,VALUE(MID($C1763,2,20)),1000000000),1000000000))+ROW()/100000,"")</f>
        <v/>
      </c>
    </row>
    <row r="1764">
      <c r="E1764" s="11" t="n"/>
      <c r="M1764" s="7">
        <f>IF($C1764="","",L1764*U1764/100)</f>
        <v/>
      </c>
      <c r="N1764" s="7" t="n"/>
      <c r="T1764" s="7" t="n"/>
      <c r="U1764" s="7">
        <f>IF($C1764="","",S1764*T1764)</f>
        <v/>
      </c>
      <c r="X1764">
        <f>IF($C1764="","",IF($AM1764=1,0,IF($AL1764=1,Settings!$C$6,Settings!$C$7))*100)</f>
        <v/>
      </c>
      <c r="AB1764" s="7" t="n"/>
      <c r="AE1764" s="11" t="n"/>
      <c r="AG1764" s="7">
        <f>IF($C1764="","",U1764*X1764/100)</f>
        <v/>
      </c>
      <c r="AH1764" s="7">
        <f>IF($C1764="","",U1764-AG1764)</f>
        <v/>
      </c>
      <c r="AI1764" s="7">
        <f>IF($C1764="","",AH1764-M1764)</f>
        <v/>
      </c>
      <c r="AJ1764">
        <f>IF($C1764="","",IF(COUNTIF($C$2:$C1764,$C1764)=1,1,0))</f>
        <v/>
      </c>
      <c r="AK1764">
        <f>IF($AJ1764=1,SUMPRODUCT(--($AN$2:$AN$4001&lt;$AN1764))+1,"")</f>
        <v/>
      </c>
      <c r="AL1764">
        <f>IF($C1764="","",IF(OR($Q1764=TRUE(),$Q1764="TRUE"),1,0))</f>
        <v/>
      </c>
      <c r="AM1764">
        <f>IF($C1764="","",IF($W1764="Yes",1,0))</f>
        <v/>
      </c>
      <c r="AN1764">
        <f>IF($AJ1764=1,IFERROR(IF(VALUE($C1764)&lt;100000000,VALUE($C1764),1000000000),IFERROR(IF(VALUE(MID($C1764,2,20))&lt;100000000,VALUE(MID($C1764,2,20)),1000000000),1000000000))+ROW()/100000,"")</f>
        <v/>
      </c>
    </row>
    <row r="1765">
      <c r="E1765" s="11" t="n"/>
      <c r="M1765" s="7">
        <f>IF($C1765="","",L1765*U1765/100)</f>
        <v/>
      </c>
      <c r="N1765" s="7" t="n"/>
      <c r="T1765" s="7" t="n"/>
      <c r="U1765" s="7">
        <f>IF($C1765="","",S1765*T1765)</f>
        <v/>
      </c>
      <c r="X1765">
        <f>IF($C1765="","",IF($AM1765=1,0,IF($AL1765=1,Settings!$C$6,Settings!$C$7))*100)</f>
        <v/>
      </c>
      <c r="AB1765" s="7" t="n"/>
      <c r="AE1765" s="11" t="n"/>
      <c r="AG1765" s="7">
        <f>IF($C1765="","",U1765*X1765/100)</f>
        <v/>
      </c>
      <c r="AH1765" s="7">
        <f>IF($C1765="","",U1765-AG1765)</f>
        <v/>
      </c>
      <c r="AI1765" s="7">
        <f>IF($C1765="","",AH1765-M1765)</f>
        <v/>
      </c>
      <c r="AJ1765">
        <f>IF($C1765="","",IF(COUNTIF($C$2:$C1765,$C1765)=1,1,0))</f>
        <v/>
      </c>
      <c r="AK1765">
        <f>IF($AJ1765=1,SUMPRODUCT(--($AN$2:$AN$4001&lt;$AN1765))+1,"")</f>
        <v/>
      </c>
      <c r="AL1765">
        <f>IF($C1765="","",IF(OR($Q1765=TRUE(),$Q1765="TRUE"),1,0))</f>
        <v/>
      </c>
      <c r="AM1765">
        <f>IF($C1765="","",IF($W1765="Yes",1,0))</f>
        <v/>
      </c>
      <c r="AN1765">
        <f>IF($AJ1765=1,IFERROR(IF(VALUE($C1765)&lt;100000000,VALUE($C1765),1000000000),IFERROR(IF(VALUE(MID($C1765,2,20))&lt;100000000,VALUE(MID($C1765,2,20)),1000000000),1000000000))+ROW()/100000,"")</f>
        <v/>
      </c>
    </row>
    <row r="1766">
      <c r="E1766" s="11" t="n"/>
      <c r="M1766" s="7">
        <f>IF($C1766="","",L1766*U1766/100)</f>
        <v/>
      </c>
      <c r="N1766" s="7" t="n"/>
      <c r="T1766" s="7" t="n"/>
      <c r="U1766" s="7">
        <f>IF($C1766="","",S1766*T1766)</f>
        <v/>
      </c>
      <c r="X1766">
        <f>IF($C1766="","",IF($AM1766=1,0,IF($AL1766=1,Settings!$C$6,Settings!$C$7))*100)</f>
        <v/>
      </c>
      <c r="AB1766" s="7" t="n"/>
      <c r="AE1766" s="11" t="n"/>
      <c r="AG1766" s="7">
        <f>IF($C1766="","",U1766*X1766/100)</f>
        <v/>
      </c>
      <c r="AH1766" s="7">
        <f>IF($C1766="","",U1766-AG1766)</f>
        <v/>
      </c>
      <c r="AI1766" s="7">
        <f>IF($C1766="","",AH1766-M1766)</f>
        <v/>
      </c>
      <c r="AJ1766">
        <f>IF($C1766="","",IF(COUNTIF($C$2:$C1766,$C1766)=1,1,0))</f>
        <v/>
      </c>
      <c r="AK1766">
        <f>IF($AJ1766=1,SUMPRODUCT(--($AN$2:$AN$4001&lt;$AN1766))+1,"")</f>
        <v/>
      </c>
      <c r="AL1766">
        <f>IF($C1766="","",IF(OR($Q1766=TRUE(),$Q1766="TRUE"),1,0))</f>
        <v/>
      </c>
      <c r="AM1766">
        <f>IF($C1766="","",IF($W1766="Yes",1,0))</f>
        <v/>
      </c>
      <c r="AN1766">
        <f>IF($AJ1766=1,IFERROR(IF(VALUE($C1766)&lt;100000000,VALUE($C1766),1000000000),IFERROR(IF(VALUE(MID($C1766,2,20))&lt;100000000,VALUE(MID($C1766,2,20)),1000000000),1000000000))+ROW()/100000,"")</f>
        <v/>
      </c>
    </row>
    <row r="1767">
      <c r="E1767" s="11" t="n"/>
      <c r="M1767" s="7">
        <f>IF($C1767="","",L1767*U1767/100)</f>
        <v/>
      </c>
      <c r="N1767" s="7" t="n"/>
      <c r="T1767" s="7" t="n"/>
      <c r="U1767" s="7">
        <f>IF($C1767="","",S1767*T1767)</f>
        <v/>
      </c>
      <c r="X1767">
        <f>IF($C1767="","",IF($AM1767=1,0,IF($AL1767=1,Settings!$C$6,Settings!$C$7))*100)</f>
        <v/>
      </c>
      <c r="AB1767" s="7" t="n"/>
      <c r="AE1767" s="11" t="n"/>
      <c r="AG1767" s="7">
        <f>IF($C1767="","",U1767*X1767/100)</f>
        <v/>
      </c>
      <c r="AH1767" s="7">
        <f>IF($C1767="","",U1767-AG1767)</f>
        <v/>
      </c>
      <c r="AI1767" s="7">
        <f>IF($C1767="","",AH1767-M1767)</f>
        <v/>
      </c>
      <c r="AJ1767">
        <f>IF($C1767="","",IF(COUNTIF($C$2:$C1767,$C1767)=1,1,0))</f>
        <v/>
      </c>
      <c r="AK1767">
        <f>IF($AJ1767=1,SUMPRODUCT(--($AN$2:$AN$4001&lt;$AN1767))+1,"")</f>
        <v/>
      </c>
      <c r="AL1767">
        <f>IF($C1767="","",IF(OR($Q1767=TRUE(),$Q1767="TRUE"),1,0))</f>
        <v/>
      </c>
      <c r="AM1767">
        <f>IF($C1767="","",IF($W1767="Yes",1,0))</f>
        <v/>
      </c>
      <c r="AN1767">
        <f>IF($AJ1767=1,IFERROR(IF(VALUE($C1767)&lt;100000000,VALUE($C1767),1000000000),IFERROR(IF(VALUE(MID($C1767,2,20))&lt;100000000,VALUE(MID($C1767,2,20)),1000000000),1000000000))+ROW()/100000,"")</f>
        <v/>
      </c>
    </row>
    <row r="1768">
      <c r="E1768" s="11" t="n"/>
      <c r="M1768" s="7">
        <f>IF($C1768="","",L1768*U1768/100)</f>
        <v/>
      </c>
      <c r="N1768" s="7" t="n"/>
      <c r="T1768" s="7" t="n"/>
      <c r="U1768" s="7">
        <f>IF($C1768="","",S1768*T1768)</f>
        <v/>
      </c>
      <c r="X1768">
        <f>IF($C1768="","",IF($AM1768=1,0,IF($AL1768=1,Settings!$C$6,Settings!$C$7))*100)</f>
        <v/>
      </c>
      <c r="AB1768" s="7" t="n"/>
      <c r="AE1768" s="11" t="n"/>
      <c r="AG1768" s="7">
        <f>IF($C1768="","",U1768*X1768/100)</f>
        <v/>
      </c>
      <c r="AH1768" s="7">
        <f>IF($C1768="","",U1768-AG1768)</f>
        <v/>
      </c>
      <c r="AI1768" s="7">
        <f>IF($C1768="","",AH1768-M1768)</f>
        <v/>
      </c>
      <c r="AJ1768">
        <f>IF($C1768="","",IF(COUNTIF($C$2:$C1768,$C1768)=1,1,0))</f>
        <v/>
      </c>
      <c r="AK1768">
        <f>IF($AJ1768=1,SUMPRODUCT(--($AN$2:$AN$4001&lt;$AN1768))+1,"")</f>
        <v/>
      </c>
      <c r="AL1768">
        <f>IF($C1768="","",IF(OR($Q1768=TRUE(),$Q1768="TRUE"),1,0))</f>
        <v/>
      </c>
      <c r="AM1768">
        <f>IF($C1768="","",IF($W1768="Yes",1,0))</f>
        <v/>
      </c>
      <c r="AN1768">
        <f>IF($AJ1768=1,IFERROR(IF(VALUE($C1768)&lt;100000000,VALUE($C1768),1000000000),IFERROR(IF(VALUE(MID($C1768,2,20))&lt;100000000,VALUE(MID($C1768,2,20)),1000000000),1000000000))+ROW()/100000,"")</f>
        <v/>
      </c>
    </row>
    <row r="1769">
      <c r="E1769" s="11" t="n"/>
      <c r="M1769" s="7">
        <f>IF($C1769="","",L1769*U1769/100)</f>
        <v/>
      </c>
      <c r="N1769" s="7" t="n"/>
      <c r="T1769" s="7" t="n"/>
      <c r="U1769" s="7">
        <f>IF($C1769="","",S1769*T1769)</f>
        <v/>
      </c>
      <c r="X1769">
        <f>IF($C1769="","",IF($AM1769=1,0,IF($AL1769=1,Settings!$C$6,Settings!$C$7))*100)</f>
        <v/>
      </c>
      <c r="AB1769" s="7" t="n"/>
      <c r="AE1769" s="11" t="n"/>
      <c r="AG1769" s="7">
        <f>IF($C1769="","",U1769*X1769/100)</f>
        <v/>
      </c>
      <c r="AH1769" s="7">
        <f>IF($C1769="","",U1769-AG1769)</f>
        <v/>
      </c>
      <c r="AI1769" s="7">
        <f>IF($C1769="","",AH1769-M1769)</f>
        <v/>
      </c>
      <c r="AJ1769">
        <f>IF($C1769="","",IF(COUNTIF($C$2:$C1769,$C1769)=1,1,0))</f>
        <v/>
      </c>
      <c r="AK1769">
        <f>IF($AJ1769=1,SUMPRODUCT(--($AN$2:$AN$4001&lt;$AN1769))+1,"")</f>
        <v/>
      </c>
      <c r="AL1769">
        <f>IF($C1769="","",IF(OR($Q1769=TRUE(),$Q1769="TRUE"),1,0))</f>
        <v/>
      </c>
      <c r="AM1769">
        <f>IF($C1769="","",IF($W1769="Yes",1,0))</f>
        <v/>
      </c>
      <c r="AN1769">
        <f>IF($AJ1769=1,IFERROR(IF(VALUE($C1769)&lt;100000000,VALUE($C1769),1000000000),IFERROR(IF(VALUE(MID($C1769,2,20))&lt;100000000,VALUE(MID($C1769,2,20)),1000000000),1000000000))+ROW()/100000,"")</f>
        <v/>
      </c>
    </row>
    <row r="1770">
      <c r="E1770" s="11" t="n"/>
      <c r="M1770" s="7">
        <f>IF($C1770="","",L1770*U1770/100)</f>
        <v/>
      </c>
      <c r="N1770" s="7" t="n"/>
      <c r="T1770" s="7" t="n"/>
      <c r="U1770" s="7">
        <f>IF($C1770="","",S1770*T1770)</f>
        <v/>
      </c>
      <c r="X1770">
        <f>IF($C1770="","",IF($AM1770=1,0,IF($AL1770=1,Settings!$C$6,Settings!$C$7))*100)</f>
        <v/>
      </c>
      <c r="AB1770" s="7" t="n"/>
      <c r="AE1770" s="11" t="n"/>
      <c r="AG1770" s="7">
        <f>IF($C1770="","",U1770*X1770/100)</f>
        <v/>
      </c>
      <c r="AH1770" s="7">
        <f>IF($C1770="","",U1770-AG1770)</f>
        <v/>
      </c>
      <c r="AI1770" s="7">
        <f>IF($C1770="","",AH1770-M1770)</f>
        <v/>
      </c>
      <c r="AJ1770">
        <f>IF($C1770="","",IF(COUNTIF($C$2:$C1770,$C1770)=1,1,0))</f>
        <v/>
      </c>
      <c r="AK1770">
        <f>IF($AJ1770=1,SUMPRODUCT(--($AN$2:$AN$4001&lt;$AN1770))+1,"")</f>
        <v/>
      </c>
      <c r="AL1770">
        <f>IF($C1770="","",IF(OR($Q1770=TRUE(),$Q1770="TRUE"),1,0))</f>
        <v/>
      </c>
      <c r="AM1770">
        <f>IF($C1770="","",IF($W1770="Yes",1,0))</f>
        <v/>
      </c>
      <c r="AN1770">
        <f>IF($AJ1770=1,IFERROR(IF(VALUE($C1770)&lt;100000000,VALUE($C1770),1000000000),IFERROR(IF(VALUE(MID($C1770,2,20))&lt;100000000,VALUE(MID($C1770,2,20)),1000000000),1000000000))+ROW()/100000,"")</f>
        <v/>
      </c>
    </row>
    <row r="1771">
      <c r="E1771" s="11" t="n"/>
      <c r="M1771" s="7">
        <f>IF($C1771="","",L1771*U1771/100)</f>
        <v/>
      </c>
      <c r="N1771" s="7" t="n"/>
      <c r="T1771" s="7" t="n"/>
      <c r="U1771" s="7">
        <f>IF($C1771="","",S1771*T1771)</f>
        <v/>
      </c>
      <c r="X1771">
        <f>IF($C1771="","",IF($AM1771=1,0,IF($AL1771=1,Settings!$C$6,Settings!$C$7))*100)</f>
        <v/>
      </c>
      <c r="AB1771" s="7" t="n"/>
      <c r="AE1771" s="11" t="n"/>
      <c r="AG1771" s="7">
        <f>IF($C1771="","",U1771*X1771/100)</f>
        <v/>
      </c>
      <c r="AH1771" s="7">
        <f>IF($C1771="","",U1771-AG1771)</f>
        <v/>
      </c>
      <c r="AI1771" s="7">
        <f>IF($C1771="","",AH1771-M1771)</f>
        <v/>
      </c>
      <c r="AJ1771">
        <f>IF($C1771="","",IF(COUNTIF($C$2:$C1771,$C1771)=1,1,0))</f>
        <v/>
      </c>
      <c r="AK1771">
        <f>IF($AJ1771=1,SUMPRODUCT(--($AN$2:$AN$4001&lt;$AN1771))+1,"")</f>
        <v/>
      </c>
      <c r="AL1771">
        <f>IF($C1771="","",IF(OR($Q1771=TRUE(),$Q1771="TRUE"),1,0))</f>
        <v/>
      </c>
      <c r="AM1771">
        <f>IF($C1771="","",IF($W1771="Yes",1,0))</f>
        <v/>
      </c>
      <c r="AN1771">
        <f>IF($AJ1771=1,IFERROR(IF(VALUE($C1771)&lt;100000000,VALUE($C1771),1000000000),IFERROR(IF(VALUE(MID($C1771,2,20))&lt;100000000,VALUE(MID($C1771,2,20)),1000000000),1000000000))+ROW()/100000,"")</f>
        <v/>
      </c>
    </row>
    <row r="1772">
      <c r="E1772" s="11" t="n"/>
      <c r="M1772" s="7">
        <f>IF($C1772="","",L1772*U1772/100)</f>
        <v/>
      </c>
      <c r="N1772" s="7" t="n"/>
      <c r="T1772" s="7" t="n"/>
      <c r="U1772" s="7">
        <f>IF($C1772="","",S1772*T1772)</f>
        <v/>
      </c>
      <c r="X1772">
        <f>IF($C1772="","",IF($AM1772=1,0,IF($AL1772=1,Settings!$C$6,Settings!$C$7))*100)</f>
        <v/>
      </c>
      <c r="AB1772" s="7" t="n"/>
      <c r="AE1772" s="11" t="n"/>
      <c r="AG1772" s="7">
        <f>IF($C1772="","",U1772*X1772/100)</f>
        <v/>
      </c>
      <c r="AH1772" s="7">
        <f>IF($C1772="","",U1772-AG1772)</f>
        <v/>
      </c>
      <c r="AI1772" s="7">
        <f>IF($C1772="","",AH1772-M1772)</f>
        <v/>
      </c>
      <c r="AJ1772">
        <f>IF($C1772="","",IF(COUNTIF($C$2:$C1772,$C1772)=1,1,0))</f>
        <v/>
      </c>
      <c r="AK1772">
        <f>IF($AJ1772=1,SUMPRODUCT(--($AN$2:$AN$4001&lt;$AN1772))+1,"")</f>
        <v/>
      </c>
      <c r="AL1772">
        <f>IF($C1772="","",IF(OR($Q1772=TRUE(),$Q1772="TRUE"),1,0))</f>
        <v/>
      </c>
      <c r="AM1772">
        <f>IF($C1772="","",IF($W1772="Yes",1,0))</f>
        <v/>
      </c>
      <c r="AN1772">
        <f>IF($AJ1772=1,IFERROR(IF(VALUE($C1772)&lt;100000000,VALUE($C1772),1000000000),IFERROR(IF(VALUE(MID($C1772,2,20))&lt;100000000,VALUE(MID($C1772,2,20)),1000000000),1000000000))+ROW()/100000,"")</f>
        <v/>
      </c>
    </row>
    <row r="1773">
      <c r="E1773" s="11" t="n"/>
      <c r="M1773" s="7">
        <f>IF($C1773="","",L1773*U1773/100)</f>
        <v/>
      </c>
      <c r="N1773" s="7" t="n"/>
      <c r="T1773" s="7" t="n"/>
      <c r="U1773" s="7">
        <f>IF($C1773="","",S1773*T1773)</f>
        <v/>
      </c>
      <c r="X1773">
        <f>IF($C1773="","",IF($AM1773=1,0,IF($AL1773=1,Settings!$C$6,Settings!$C$7))*100)</f>
        <v/>
      </c>
      <c r="AB1773" s="7" t="n"/>
      <c r="AE1773" s="11" t="n"/>
      <c r="AG1773" s="7">
        <f>IF($C1773="","",U1773*X1773/100)</f>
        <v/>
      </c>
      <c r="AH1773" s="7">
        <f>IF($C1773="","",U1773-AG1773)</f>
        <v/>
      </c>
      <c r="AI1773" s="7">
        <f>IF($C1773="","",AH1773-M1773)</f>
        <v/>
      </c>
      <c r="AJ1773">
        <f>IF($C1773="","",IF(COUNTIF($C$2:$C1773,$C1773)=1,1,0))</f>
        <v/>
      </c>
      <c r="AK1773">
        <f>IF($AJ1773=1,SUMPRODUCT(--($AN$2:$AN$4001&lt;$AN1773))+1,"")</f>
        <v/>
      </c>
      <c r="AL1773">
        <f>IF($C1773="","",IF(OR($Q1773=TRUE(),$Q1773="TRUE"),1,0))</f>
        <v/>
      </c>
      <c r="AM1773">
        <f>IF($C1773="","",IF($W1773="Yes",1,0))</f>
        <v/>
      </c>
      <c r="AN1773">
        <f>IF($AJ1773=1,IFERROR(IF(VALUE($C1773)&lt;100000000,VALUE($C1773),1000000000),IFERROR(IF(VALUE(MID($C1773,2,20))&lt;100000000,VALUE(MID($C1773,2,20)),1000000000),1000000000))+ROW()/100000,"")</f>
        <v/>
      </c>
    </row>
    <row r="1774">
      <c r="E1774" s="11" t="n"/>
      <c r="M1774" s="7">
        <f>IF($C1774="","",L1774*U1774/100)</f>
        <v/>
      </c>
      <c r="N1774" s="7" t="n"/>
      <c r="T1774" s="7" t="n"/>
      <c r="U1774" s="7">
        <f>IF($C1774="","",S1774*T1774)</f>
        <v/>
      </c>
      <c r="X1774">
        <f>IF($C1774="","",IF($AM1774=1,0,IF($AL1774=1,Settings!$C$6,Settings!$C$7))*100)</f>
        <v/>
      </c>
      <c r="AB1774" s="7" t="n"/>
      <c r="AE1774" s="11" t="n"/>
      <c r="AG1774" s="7">
        <f>IF($C1774="","",U1774*X1774/100)</f>
        <v/>
      </c>
      <c r="AH1774" s="7">
        <f>IF($C1774="","",U1774-AG1774)</f>
        <v/>
      </c>
      <c r="AI1774" s="7">
        <f>IF($C1774="","",AH1774-M1774)</f>
        <v/>
      </c>
      <c r="AJ1774">
        <f>IF($C1774="","",IF(COUNTIF($C$2:$C1774,$C1774)=1,1,0))</f>
        <v/>
      </c>
      <c r="AK1774">
        <f>IF($AJ1774=1,SUMPRODUCT(--($AN$2:$AN$4001&lt;$AN1774))+1,"")</f>
        <v/>
      </c>
      <c r="AL1774">
        <f>IF($C1774="","",IF(OR($Q1774=TRUE(),$Q1774="TRUE"),1,0))</f>
        <v/>
      </c>
      <c r="AM1774">
        <f>IF($C1774="","",IF($W1774="Yes",1,0))</f>
        <v/>
      </c>
      <c r="AN1774">
        <f>IF($AJ1774=1,IFERROR(IF(VALUE($C1774)&lt;100000000,VALUE($C1774),1000000000),IFERROR(IF(VALUE(MID($C1774,2,20))&lt;100000000,VALUE(MID($C1774,2,20)),1000000000),1000000000))+ROW()/100000,"")</f>
        <v/>
      </c>
    </row>
    <row r="1775">
      <c r="E1775" s="11" t="n"/>
      <c r="M1775" s="7">
        <f>IF($C1775="","",L1775*U1775/100)</f>
        <v/>
      </c>
      <c r="N1775" s="7" t="n"/>
      <c r="T1775" s="7" t="n"/>
      <c r="U1775" s="7">
        <f>IF($C1775="","",S1775*T1775)</f>
        <v/>
      </c>
      <c r="X1775">
        <f>IF($C1775="","",IF($AM1775=1,0,IF($AL1775=1,Settings!$C$6,Settings!$C$7))*100)</f>
        <v/>
      </c>
      <c r="AB1775" s="7" t="n"/>
      <c r="AE1775" s="11" t="n"/>
      <c r="AG1775" s="7">
        <f>IF($C1775="","",U1775*X1775/100)</f>
        <v/>
      </c>
      <c r="AH1775" s="7">
        <f>IF($C1775="","",U1775-AG1775)</f>
        <v/>
      </c>
      <c r="AI1775" s="7">
        <f>IF($C1775="","",AH1775-M1775)</f>
        <v/>
      </c>
      <c r="AJ1775">
        <f>IF($C1775="","",IF(COUNTIF($C$2:$C1775,$C1775)=1,1,0))</f>
        <v/>
      </c>
      <c r="AK1775">
        <f>IF($AJ1775=1,SUMPRODUCT(--($AN$2:$AN$4001&lt;$AN1775))+1,"")</f>
        <v/>
      </c>
      <c r="AL1775">
        <f>IF($C1775="","",IF(OR($Q1775=TRUE(),$Q1775="TRUE"),1,0))</f>
        <v/>
      </c>
      <c r="AM1775">
        <f>IF($C1775="","",IF($W1775="Yes",1,0))</f>
        <v/>
      </c>
      <c r="AN1775">
        <f>IF($AJ1775=1,IFERROR(IF(VALUE($C1775)&lt;100000000,VALUE($C1775),1000000000),IFERROR(IF(VALUE(MID($C1775,2,20))&lt;100000000,VALUE(MID($C1775,2,20)),1000000000),1000000000))+ROW()/100000,"")</f>
        <v/>
      </c>
    </row>
    <row r="1776">
      <c r="E1776" s="11" t="n"/>
      <c r="M1776" s="7">
        <f>IF($C1776="","",L1776*U1776/100)</f>
        <v/>
      </c>
      <c r="N1776" s="7" t="n"/>
      <c r="T1776" s="7" t="n"/>
      <c r="U1776" s="7">
        <f>IF($C1776="","",S1776*T1776)</f>
        <v/>
      </c>
      <c r="X1776">
        <f>IF($C1776="","",IF($AM1776=1,0,IF($AL1776=1,Settings!$C$6,Settings!$C$7))*100)</f>
        <v/>
      </c>
      <c r="AB1776" s="7" t="n"/>
      <c r="AE1776" s="11" t="n"/>
      <c r="AG1776" s="7">
        <f>IF($C1776="","",U1776*X1776/100)</f>
        <v/>
      </c>
      <c r="AH1776" s="7">
        <f>IF($C1776="","",U1776-AG1776)</f>
        <v/>
      </c>
      <c r="AI1776" s="7">
        <f>IF($C1776="","",AH1776-M1776)</f>
        <v/>
      </c>
      <c r="AJ1776">
        <f>IF($C1776="","",IF(COUNTIF($C$2:$C1776,$C1776)=1,1,0))</f>
        <v/>
      </c>
      <c r="AK1776">
        <f>IF($AJ1776=1,SUMPRODUCT(--($AN$2:$AN$4001&lt;$AN1776))+1,"")</f>
        <v/>
      </c>
      <c r="AL1776">
        <f>IF($C1776="","",IF(OR($Q1776=TRUE(),$Q1776="TRUE"),1,0))</f>
        <v/>
      </c>
      <c r="AM1776">
        <f>IF($C1776="","",IF($W1776="Yes",1,0))</f>
        <v/>
      </c>
      <c r="AN1776">
        <f>IF($AJ1776=1,IFERROR(IF(VALUE($C1776)&lt;100000000,VALUE($C1776),1000000000),IFERROR(IF(VALUE(MID($C1776,2,20))&lt;100000000,VALUE(MID($C1776,2,20)),1000000000),1000000000))+ROW()/100000,"")</f>
        <v/>
      </c>
    </row>
    <row r="1777">
      <c r="E1777" s="11" t="n"/>
      <c r="M1777" s="7">
        <f>IF($C1777="","",L1777*U1777/100)</f>
        <v/>
      </c>
      <c r="N1777" s="7" t="n"/>
      <c r="T1777" s="7" t="n"/>
      <c r="U1777" s="7">
        <f>IF($C1777="","",S1777*T1777)</f>
        <v/>
      </c>
      <c r="X1777">
        <f>IF($C1777="","",IF($AM1777=1,0,IF($AL1777=1,Settings!$C$6,Settings!$C$7))*100)</f>
        <v/>
      </c>
      <c r="AB1777" s="7" t="n"/>
      <c r="AE1777" s="11" t="n"/>
      <c r="AG1777" s="7">
        <f>IF($C1777="","",U1777*X1777/100)</f>
        <v/>
      </c>
      <c r="AH1777" s="7">
        <f>IF($C1777="","",U1777-AG1777)</f>
        <v/>
      </c>
      <c r="AI1777" s="7">
        <f>IF($C1777="","",AH1777-M1777)</f>
        <v/>
      </c>
      <c r="AJ1777">
        <f>IF($C1777="","",IF(COUNTIF($C$2:$C1777,$C1777)=1,1,0))</f>
        <v/>
      </c>
      <c r="AK1777">
        <f>IF($AJ1777=1,SUMPRODUCT(--($AN$2:$AN$4001&lt;$AN1777))+1,"")</f>
        <v/>
      </c>
      <c r="AL1777">
        <f>IF($C1777="","",IF(OR($Q1777=TRUE(),$Q1777="TRUE"),1,0))</f>
        <v/>
      </c>
      <c r="AM1777">
        <f>IF($C1777="","",IF($W1777="Yes",1,0))</f>
        <v/>
      </c>
      <c r="AN1777">
        <f>IF($AJ1777=1,IFERROR(IF(VALUE($C1777)&lt;100000000,VALUE($C1777),1000000000),IFERROR(IF(VALUE(MID($C1777,2,20))&lt;100000000,VALUE(MID($C1777,2,20)),1000000000),1000000000))+ROW()/100000,"")</f>
        <v/>
      </c>
    </row>
    <row r="1778">
      <c r="E1778" s="11" t="n"/>
      <c r="M1778" s="7">
        <f>IF($C1778="","",L1778*U1778/100)</f>
        <v/>
      </c>
      <c r="N1778" s="7" t="n"/>
      <c r="T1778" s="7" t="n"/>
      <c r="U1778" s="7">
        <f>IF($C1778="","",S1778*T1778)</f>
        <v/>
      </c>
      <c r="X1778">
        <f>IF($C1778="","",IF($AM1778=1,0,IF($AL1778=1,Settings!$C$6,Settings!$C$7))*100)</f>
        <v/>
      </c>
      <c r="AB1778" s="7" t="n"/>
      <c r="AE1778" s="11" t="n"/>
      <c r="AG1778" s="7">
        <f>IF($C1778="","",U1778*X1778/100)</f>
        <v/>
      </c>
      <c r="AH1778" s="7">
        <f>IF($C1778="","",U1778-AG1778)</f>
        <v/>
      </c>
      <c r="AI1778" s="7">
        <f>IF($C1778="","",AH1778-M1778)</f>
        <v/>
      </c>
      <c r="AJ1778">
        <f>IF($C1778="","",IF(COUNTIF($C$2:$C1778,$C1778)=1,1,0))</f>
        <v/>
      </c>
      <c r="AK1778">
        <f>IF($AJ1778=1,SUMPRODUCT(--($AN$2:$AN$4001&lt;$AN1778))+1,"")</f>
        <v/>
      </c>
      <c r="AL1778">
        <f>IF($C1778="","",IF(OR($Q1778=TRUE(),$Q1778="TRUE"),1,0))</f>
        <v/>
      </c>
      <c r="AM1778">
        <f>IF($C1778="","",IF($W1778="Yes",1,0))</f>
        <v/>
      </c>
      <c r="AN1778">
        <f>IF($AJ1778=1,IFERROR(IF(VALUE($C1778)&lt;100000000,VALUE($C1778),1000000000),IFERROR(IF(VALUE(MID($C1778,2,20))&lt;100000000,VALUE(MID($C1778,2,20)),1000000000),1000000000))+ROW()/100000,"")</f>
        <v/>
      </c>
    </row>
    <row r="1779">
      <c r="E1779" s="11" t="n"/>
      <c r="M1779" s="7">
        <f>IF($C1779="","",L1779*U1779/100)</f>
        <v/>
      </c>
      <c r="N1779" s="7" t="n"/>
      <c r="T1779" s="7" t="n"/>
      <c r="U1779" s="7">
        <f>IF($C1779="","",S1779*T1779)</f>
        <v/>
      </c>
      <c r="X1779">
        <f>IF($C1779="","",IF($AM1779=1,0,IF($AL1779=1,Settings!$C$6,Settings!$C$7))*100)</f>
        <v/>
      </c>
      <c r="AB1779" s="7" t="n"/>
      <c r="AE1779" s="11" t="n"/>
      <c r="AG1779" s="7">
        <f>IF($C1779="","",U1779*X1779/100)</f>
        <v/>
      </c>
      <c r="AH1779" s="7">
        <f>IF($C1779="","",U1779-AG1779)</f>
        <v/>
      </c>
      <c r="AI1779" s="7">
        <f>IF($C1779="","",AH1779-M1779)</f>
        <v/>
      </c>
      <c r="AJ1779">
        <f>IF($C1779="","",IF(COUNTIF($C$2:$C1779,$C1779)=1,1,0))</f>
        <v/>
      </c>
      <c r="AK1779">
        <f>IF($AJ1779=1,SUMPRODUCT(--($AN$2:$AN$4001&lt;$AN1779))+1,"")</f>
        <v/>
      </c>
      <c r="AL1779">
        <f>IF($C1779="","",IF(OR($Q1779=TRUE(),$Q1779="TRUE"),1,0))</f>
        <v/>
      </c>
      <c r="AM1779">
        <f>IF($C1779="","",IF($W1779="Yes",1,0))</f>
        <v/>
      </c>
      <c r="AN1779">
        <f>IF($AJ1779=1,IFERROR(IF(VALUE($C1779)&lt;100000000,VALUE($C1779),1000000000),IFERROR(IF(VALUE(MID($C1779,2,20))&lt;100000000,VALUE(MID($C1779,2,20)),1000000000),1000000000))+ROW()/100000,"")</f>
        <v/>
      </c>
    </row>
    <row r="1780">
      <c r="E1780" s="11" t="n"/>
      <c r="M1780" s="7">
        <f>IF($C1780="","",L1780*U1780/100)</f>
        <v/>
      </c>
      <c r="N1780" s="7" t="n"/>
      <c r="T1780" s="7" t="n"/>
      <c r="U1780" s="7">
        <f>IF($C1780="","",S1780*T1780)</f>
        <v/>
      </c>
      <c r="X1780">
        <f>IF($C1780="","",IF($AM1780=1,0,IF($AL1780=1,Settings!$C$6,Settings!$C$7))*100)</f>
        <v/>
      </c>
      <c r="AB1780" s="7" t="n"/>
      <c r="AE1780" s="11" t="n"/>
      <c r="AG1780" s="7">
        <f>IF($C1780="","",U1780*X1780/100)</f>
        <v/>
      </c>
      <c r="AH1780" s="7">
        <f>IF($C1780="","",U1780-AG1780)</f>
        <v/>
      </c>
      <c r="AI1780" s="7">
        <f>IF($C1780="","",AH1780-M1780)</f>
        <v/>
      </c>
      <c r="AJ1780">
        <f>IF($C1780="","",IF(COUNTIF($C$2:$C1780,$C1780)=1,1,0))</f>
        <v/>
      </c>
      <c r="AK1780">
        <f>IF($AJ1780=1,SUMPRODUCT(--($AN$2:$AN$4001&lt;$AN1780))+1,"")</f>
        <v/>
      </c>
      <c r="AL1780">
        <f>IF($C1780="","",IF(OR($Q1780=TRUE(),$Q1780="TRUE"),1,0))</f>
        <v/>
      </c>
      <c r="AM1780">
        <f>IF($C1780="","",IF($W1780="Yes",1,0))</f>
        <v/>
      </c>
      <c r="AN1780">
        <f>IF($AJ1780=1,IFERROR(IF(VALUE($C1780)&lt;100000000,VALUE($C1780),1000000000),IFERROR(IF(VALUE(MID($C1780,2,20))&lt;100000000,VALUE(MID($C1780,2,20)),1000000000),1000000000))+ROW()/100000,"")</f>
        <v/>
      </c>
    </row>
    <row r="1781">
      <c r="E1781" s="11" t="n"/>
      <c r="M1781" s="7">
        <f>IF($C1781="","",L1781*U1781/100)</f>
        <v/>
      </c>
      <c r="N1781" s="7" t="n"/>
      <c r="T1781" s="7" t="n"/>
      <c r="U1781" s="7">
        <f>IF($C1781="","",S1781*T1781)</f>
        <v/>
      </c>
      <c r="X1781">
        <f>IF($C1781="","",IF($AM1781=1,0,IF($AL1781=1,Settings!$C$6,Settings!$C$7))*100)</f>
        <v/>
      </c>
      <c r="AB1781" s="7" t="n"/>
      <c r="AE1781" s="11" t="n"/>
      <c r="AG1781" s="7">
        <f>IF($C1781="","",U1781*X1781/100)</f>
        <v/>
      </c>
      <c r="AH1781" s="7">
        <f>IF($C1781="","",U1781-AG1781)</f>
        <v/>
      </c>
      <c r="AI1781" s="7">
        <f>IF($C1781="","",AH1781-M1781)</f>
        <v/>
      </c>
      <c r="AJ1781">
        <f>IF($C1781="","",IF(COUNTIF($C$2:$C1781,$C1781)=1,1,0))</f>
        <v/>
      </c>
      <c r="AK1781">
        <f>IF($AJ1781=1,SUMPRODUCT(--($AN$2:$AN$4001&lt;$AN1781))+1,"")</f>
        <v/>
      </c>
      <c r="AL1781">
        <f>IF($C1781="","",IF(OR($Q1781=TRUE(),$Q1781="TRUE"),1,0))</f>
        <v/>
      </c>
      <c r="AM1781">
        <f>IF($C1781="","",IF($W1781="Yes",1,0))</f>
        <v/>
      </c>
      <c r="AN1781">
        <f>IF($AJ1781=1,IFERROR(IF(VALUE($C1781)&lt;100000000,VALUE($C1781),1000000000),IFERROR(IF(VALUE(MID($C1781,2,20))&lt;100000000,VALUE(MID($C1781,2,20)),1000000000),1000000000))+ROW()/100000,"")</f>
        <v/>
      </c>
    </row>
    <row r="1782">
      <c r="E1782" s="11" t="n"/>
      <c r="M1782" s="7">
        <f>IF($C1782="","",L1782*U1782/100)</f>
        <v/>
      </c>
      <c r="N1782" s="7" t="n"/>
      <c r="T1782" s="7" t="n"/>
      <c r="U1782" s="7">
        <f>IF($C1782="","",S1782*T1782)</f>
        <v/>
      </c>
      <c r="X1782">
        <f>IF($C1782="","",IF($AM1782=1,0,IF($AL1782=1,Settings!$C$6,Settings!$C$7))*100)</f>
        <v/>
      </c>
      <c r="AB1782" s="7" t="n"/>
      <c r="AE1782" s="11" t="n"/>
      <c r="AG1782" s="7">
        <f>IF($C1782="","",U1782*X1782/100)</f>
        <v/>
      </c>
      <c r="AH1782" s="7">
        <f>IF($C1782="","",U1782-AG1782)</f>
        <v/>
      </c>
      <c r="AI1782" s="7">
        <f>IF($C1782="","",AH1782-M1782)</f>
        <v/>
      </c>
      <c r="AJ1782">
        <f>IF($C1782="","",IF(COUNTIF($C$2:$C1782,$C1782)=1,1,0))</f>
        <v/>
      </c>
      <c r="AK1782">
        <f>IF($AJ1782=1,SUMPRODUCT(--($AN$2:$AN$4001&lt;$AN1782))+1,"")</f>
        <v/>
      </c>
      <c r="AL1782">
        <f>IF($C1782="","",IF(OR($Q1782=TRUE(),$Q1782="TRUE"),1,0))</f>
        <v/>
      </c>
      <c r="AM1782">
        <f>IF($C1782="","",IF($W1782="Yes",1,0))</f>
        <v/>
      </c>
      <c r="AN1782">
        <f>IF($AJ1782=1,IFERROR(IF(VALUE($C1782)&lt;100000000,VALUE($C1782),1000000000),IFERROR(IF(VALUE(MID($C1782,2,20))&lt;100000000,VALUE(MID($C1782,2,20)),1000000000),1000000000))+ROW()/100000,"")</f>
        <v/>
      </c>
    </row>
    <row r="1783">
      <c r="E1783" s="11" t="n"/>
      <c r="M1783" s="7">
        <f>IF($C1783="","",L1783*U1783/100)</f>
        <v/>
      </c>
      <c r="N1783" s="7" t="n"/>
      <c r="T1783" s="7" t="n"/>
      <c r="U1783" s="7">
        <f>IF($C1783="","",S1783*T1783)</f>
        <v/>
      </c>
      <c r="X1783">
        <f>IF($C1783="","",IF($AM1783=1,0,IF($AL1783=1,Settings!$C$6,Settings!$C$7))*100)</f>
        <v/>
      </c>
      <c r="AB1783" s="7" t="n"/>
      <c r="AE1783" s="11" t="n"/>
      <c r="AG1783" s="7">
        <f>IF($C1783="","",U1783*X1783/100)</f>
        <v/>
      </c>
      <c r="AH1783" s="7">
        <f>IF($C1783="","",U1783-AG1783)</f>
        <v/>
      </c>
      <c r="AI1783" s="7">
        <f>IF($C1783="","",AH1783-M1783)</f>
        <v/>
      </c>
      <c r="AJ1783">
        <f>IF($C1783="","",IF(COUNTIF($C$2:$C1783,$C1783)=1,1,0))</f>
        <v/>
      </c>
      <c r="AK1783">
        <f>IF($AJ1783=1,SUMPRODUCT(--($AN$2:$AN$4001&lt;$AN1783))+1,"")</f>
        <v/>
      </c>
      <c r="AL1783">
        <f>IF($C1783="","",IF(OR($Q1783=TRUE(),$Q1783="TRUE"),1,0))</f>
        <v/>
      </c>
      <c r="AM1783">
        <f>IF($C1783="","",IF($W1783="Yes",1,0))</f>
        <v/>
      </c>
      <c r="AN1783">
        <f>IF($AJ1783=1,IFERROR(IF(VALUE($C1783)&lt;100000000,VALUE($C1783),1000000000),IFERROR(IF(VALUE(MID($C1783,2,20))&lt;100000000,VALUE(MID($C1783,2,20)),1000000000),1000000000))+ROW()/100000,"")</f>
        <v/>
      </c>
    </row>
    <row r="1784">
      <c r="E1784" s="11" t="n"/>
      <c r="M1784" s="7">
        <f>IF($C1784="","",L1784*U1784/100)</f>
        <v/>
      </c>
      <c r="N1784" s="7" t="n"/>
      <c r="T1784" s="7" t="n"/>
      <c r="U1784" s="7">
        <f>IF($C1784="","",S1784*T1784)</f>
        <v/>
      </c>
      <c r="X1784">
        <f>IF($C1784="","",IF($AM1784=1,0,IF($AL1784=1,Settings!$C$6,Settings!$C$7))*100)</f>
        <v/>
      </c>
      <c r="AB1784" s="7" t="n"/>
      <c r="AE1784" s="11" t="n"/>
      <c r="AG1784" s="7">
        <f>IF($C1784="","",U1784*X1784/100)</f>
        <v/>
      </c>
      <c r="AH1784" s="7">
        <f>IF($C1784="","",U1784-AG1784)</f>
        <v/>
      </c>
      <c r="AI1784" s="7">
        <f>IF($C1784="","",AH1784-M1784)</f>
        <v/>
      </c>
      <c r="AJ1784">
        <f>IF($C1784="","",IF(COUNTIF($C$2:$C1784,$C1784)=1,1,0))</f>
        <v/>
      </c>
      <c r="AK1784">
        <f>IF($AJ1784=1,SUMPRODUCT(--($AN$2:$AN$4001&lt;$AN1784))+1,"")</f>
        <v/>
      </c>
      <c r="AL1784">
        <f>IF($C1784="","",IF(OR($Q1784=TRUE(),$Q1784="TRUE"),1,0))</f>
        <v/>
      </c>
      <c r="AM1784">
        <f>IF($C1784="","",IF($W1784="Yes",1,0))</f>
        <v/>
      </c>
      <c r="AN1784">
        <f>IF($AJ1784=1,IFERROR(IF(VALUE($C1784)&lt;100000000,VALUE($C1784),1000000000),IFERROR(IF(VALUE(MID($C1784,2,20))&lt;100000000,VALUE(MID($C1784,2,20)),1000000000),1000000000))+ROW()/100000,"")</f>
        <v/>
      </c>
    </row>
    <row r="1785">
      <c r="E1785" s="11" t="n"/>
      <c r="M1785" s="7">
        <f>IF($C1785="","",L1785*U1785/100)</f>
        <v/>
      </c>
      <c r="N1785" s="7" t="n"/>
      <c r="T1785" s="7" t="n"/>
      <c r="U1785" s="7">
        <f>IF($C1785="","",S1785*T1785)</f>
        <v/>
      </c>
      <c r="X1785">
        <f>IF($C1785="","",IF($AM1785=1,0,IF($AL1785=1,Settings!$C$6,Settings!$C$7))*100)</f>
        <v/>
      </c>
      <c r="AB1785" s="7" t="n"/>
      <c r="AE1785" s="11" t="n"/>
      <c r="AG1785" s="7">
        <f>IF($C1785="","",U1785*X1785/100)</f>
        <v/>
      </c>
      <c r="AH1785" s="7">
        <f>IF($C1785="","",U1785-AG1785)</f>
        <v/>
      </c>
      <c r="AI1785" s="7">
        <f>IF($C1785="","",AH1785-M1785)</f>
        <v/>
      </c>
      <c r="AJ1785">
        <f>IF($C1785="","",IF(COUNTIF($C$2:$C1785,$C1785)=1,1,0))</f>
        <v/>
      </c>
      <c r="AK1785">
        <f>IF($AJ1785=1,SUMPRODUCT(--($AN$2:$AN$4001&lt;$AN1785))+1,"")</f>
        <v/>
      </c>
      <c r="AL1785">
        <f>IF($C1785="","",IF(OR($Q1785=TRUE(),$Q1785="TRUE"),1,0))</f>
        <v/>
      </c>
      <c r="AM1785">
        <f>IF($C1785="","",IF($W1785="Yes",1,0))</f>
        <v/>
      </c>
      <c r="AN1785">
        <f>IF($AJ1785=1,IFERROR(IF(VALUE($C1785)&lt;100000000,VALUE($C1785),1000000000),IFERROR(IF(VALUE(MID($C1785,2,20))&lt;100000000,VALUE(MID($C1785,2,20)),1000000000),1000000000))+ROW()/100000,"")</f>
        <v/>
      </c>
    </row>
    <row r="1786">
      <c r="E1786" s="11" t="n"/>
      <c r="M1786" s="7">
        <f>IF($C1786="","",L1786*U1786/100)</f>
        <v/>
      </c>
      <c r="N1786" s="7" t="n"/>
      <c r="T1786" s="7" t="n"/>
      <c r="U1786" s="7">
        <f>IF($C1786="","",S1786*T1786)</f>
        <v/>
      </c>
      <c r="X1786">
        <f>IF($C1786="","",IF($AM1786=1,0,IF($AL1786=1,Settings!$C$6,Settings!$C$7))*100)</f>
        <v/>
      </c>
      <c r="AB1786" s="7" t="n"/>
      <c r="AE1786" s="11" t="n"/>
      <c r="AG1786" s="7">
        <f>IF($C1786="","",U1786*X1786/100)</f>
        <v/>
      </c>
      <c r="AH1786" s="7">
        <f>IF($C1786="","",U1786-AG1786)</f>
        <v/>
      </c>
      <c r="AI1786" s="7">
        <f>IF($C1786="","",AH1786-M1786)</f>
        <v/>
      </c>
      <c r="AJ1786">
        <f>IF($C1786="","",IF(COUNTIF($C$2:$C1786,$C1786)=1,1,0))</f>
        <v/>
      </c>
      <c r="AK1786">
        <f>IF($AJ1786=1,SUMPRODUCT(--($AN$2:$AN$4001&lt;$AN1786))+1,"")</f>
        <v/>
      </c>
      <c r="AL1786">
        <f>IF($C1786="","",IF(OR($Q1786=TRUE(),$Q1786="TRUE"),1,0))</f>
        <v/>
      </c>
      <c r="AM1786">
        <f>IF($C1786="","",IF($W1786="Yes",1,0))</f>
        <v/>
      </c>
      <c r="AN1786">
        <f>IF($AJ1786=1,IFERROR(IF(VALUE($C1786)&lt;100000000,VALUE($C1786),1000000000),IFERROR(IF(VALUE(MID($C1786,2,20))&lt;100000000,VALUE(MID($C1786,2,20)),1000000000),1000000000))+ROW()/100000,"")</f>
        <v/>
      </c>
    </row>
    <row r="1787">
      <c r="E1787" s="11" t="n"/>
      <c r="M1787" s="7">
        <f>IF($C1787="","",L1787*U1787/100)</f>
        <v/>
      </c>
      <c r="N1787" s="7" t="n"/>
      <c r="T1787" s="7" t="n"/>
      <c r="U1787" s="7">
        <f>IF($C1787="","",S1787*T1787)</f>
        <v/>
      </c>
      <c r="X1787">
        <f>IF($C1787="","",IF($AM1787=1,0,IF($AL1787=1,Settings!$C$6,Settings!$C$7))*100)</f>
        <v/>
      </c>
      <c r="AB1787" s="7" t="n"/>
      <c r="AE1787" s="11" t="n"/>
      <c r="AG1787" s="7">
        <f>IF($C1787="","",U1787*X1787/100)</f>
        <v/>
      </c>
      <c r="AH1787" s="7">
        <f>IF($C1787="","",U1787-AG1787)</f>
        <v/>
      </c>
      <c r="AI1787" s="7">
        <f>IF($C1787="","",AH1787-M1787)</f>
        <v/>
      </c>
      <c r="AJ1787">
        <f>IF($C1787="","",IF(COUNTIF($C$2:$C1787,$C1787)=1,1,0))</f>
        <v/>
      </c>
      <c r="AK1787">
        <f>IF($AJ1787=1,SUMPRODUCT(--($AN$2:$AN$4001&lt;$AN1787))+1,"")</f>
        <v/>
      </c>
      <c r="AL1787">
        <f>IF($C1787="","",IF(OR($Q1787=TRUE(),$Q1787="TRUE"),1,0))</f>
        <v/>
      </c>
      <c r="AM1787">
        <f>IF($C1787="","",IF($W1787="Yes",1,0))</f>
        <v/>
      </c>
      <c r="AN1787">
        <f>IF($AJ1787=1,IFERROR(IF(VALUE($C1787)&lt;100000000,VALUE($C1787),1000000000),IFERROR(IF(VALUE(MID($C1787,2,20))&lt;100000000,VALUE(MID($C1787,2,20)),1000000000),1000000000))+ROW()/100000,"")</f>
        <v/>
      </c>
    </row>
    <row r="1788">
      <c r="E1788" s="11" t="n"/>
      <c r="M1788" s="7">
        <f>IF($C1788="","",L1788*U1788/100)</f>
        <v/>
      </c>
      <c r="N1788" s="7" t="n"/>
      <c r="T1788" s="7" t="n"/>
      <c r="U1788" s="7">
        <f>IF($C1788="","",S1788*T1788)</f>
        <v/>
      </c>
      <c r="X1788">
        <f>IF($C1788="","",IF($AM1788=1,0,IF($AL1788=1,Settings!$C$6,Settings!$C$7))*100)</f>
        <v/>
      </c>
      <c r="AB1788" s="7" t="n"/>
      <c r="AE1788" s="11" t="n"/>
      <c r="AG1788" s="7">
        <f>IF($C1788="","",U1788*X1788/100)</f>
        <v/>
      </c>
      <c r="AH1788" s="7">
        <f>IF($C1788="","",U1788-AG1788)</f>
        <v/>
      </c>
      <c r="AI1788" s="7">
        <f>IF($C1788="","",AH1788-M1788)</f>
        <v/>
      </c>
      <c r="AJ1788">
        <f>IF($C1788="","",IF(COUNTIF($C$2:$C1788,$C1788)=1,1,0))</f>
        <v/>
      </c>
      <c r="AK1788">
        <f>IF($AJ1788=1,SUMPRODUCT(--($AN$2:$AN$4001&lt;$AN1788))+1,"")</f>
        <v/>
      </c>
      <c r="AL1788">
        <f>IF($C1788="","",IF(OR($Q1788=TRUE(),$Q1788="TRUE"),1,0))</f>
        <v/>
      </c>
      <c r="AM1788">
        <f>IF($C1788="","",IF($W1788="Yes",1,0))</f>
        <v/>
      </c>
      <c r="AN1788">
        <f>IF($AJ1788=1,IFERROR(IF(VALUE($C1788)&lt;100000000,VALUE($C1788),1000000000),IFERROR(IF(VALUE(MID($C1788,2,20))&lt;100000000,VALUE(MID($C1788,2,20)),1000000000),1000000000))+ROW()/100000,"")</f>
        <v/>
      </c>
    </row>
    <row r="1789">
      <c r="E1789" s="11" t="n"/>
      <c r="M1789" s="7">
        <f>IF($C1789="","",L1789*U1789/100)</f>
        <v/>
      </c>
      <c r="N1789" s="7" t="n"/>
      <c r="T1789" s="7" t="n"/>
      <c r="U1789" s="7">
        <f>IF($C1789="","",S1789*T1789)</f>
        <v/>
      </c>
      <c r="X1789">
        <f>IF($C1789="","",IF($AM1789=1,0,IF($AL1789=1,Settings!$C$6,Settings!$C$7))*100)</f>
        <v/>
      </c>
      <c r="AB1789" s="7" t="n"/>
      <c r="AE1789" s="11" t="n"/>
      <c r="AG1789" s="7">
        <f>IF($C1789="","",U1789*X1789/100)</f>
        <v/>
      </c>
      <c r="AH1789" s="7">
        <f>IF($C1789="","",U1789-AG1789)</f>
        <v/>
      </c>
      <c r="AI1789" s="7">
        <f>IF($C1789="","",AH1789-M1789)</f>
        <v/>
      </c>
      <c r="AJ1789">
        <f>IF($C1789="","",IF(COUNTIF($C$2:$C1789,$C1789)=1,1,0))</f>
        <v/>
      </c>
      <c r="AK1789">
        <f>IF($AJ1789=1,SUMPRODUCT(--($AN$2:$AN$4001&lt;$AN1789))+1,"")</f>
        <v/>
      </c>
      <c r="AL1789">
        <f>IF($C1789="","",IF(OR($Q1789=TRUE(),$Q1789="TRUE"),1,0))</f>
        <v/>
      </c>
      <c r="AM1789">
        <f>IF($C1789="","",IF($W1789="Yes",1,0))</f>
        <v/>
      </c>
      <c r="AN1789">
        <f>IF($AJ1789=1,IFERROR(IF(VALUE($C1789)&lt;100000000,VALUE($C1789),1000000000),IFERROR(IF(VALUE(MID($C1789,2,20))&lt;100000000,VALUE(MID($C1789,2,20)),1000000000),1000000000))+ROW()/100000,"")</f>
        <v/>
      </c>
    </row>
    <row r="1790">
      <c r="E1790" s="11" t="n"/>
      <c r="M1790" s="7">
        <f>IF($C1790="","",L1790*U1790/100)</f>
        <v/>
      </c>
      <c r="N1790" s="7" t="n"/>
      <c r="T1790" s="7" t="n"/>
      <c r="U1790" s="7">
        <f>IF($C1790="","",S1790*T1790)</f>
        <v/>
      </c>
      <c r="X1790">
        <f>IF($C1790="","",IF($AM1790=1,0,IF($AL1790=1,Settings!$C$6,Settings!$C$7))*100)</f>
        <v/>
      </c>
      <c r="AB1790" s="7" t="n"/>
      <c r="AE1790" s="11" t="n"/>
      <c r="AG1790" s="7">
        <f>IF($C1790="","",U1790*X1790/100)</f>
        <v/>
      </c>
      <c r="AH1790" s="7">
        <f>IF($C1790="","",U1790-AG1790)</f>
        <v/>
      </c>
      <c r="AI1790" s="7">
        <f>IF($C1790="","",AH1790-M1790)</f>
        <v/>
      </c>
      <c r="AJ1790">
        <f>IF($C1790="","",IF(COUNTIF($C$2:$C1790,$C1790)=1,1,0))</f>
        <v/>
      </c>
      <c r="AK1790">
        <f>IF($AJ1790=1,SUMPRODUCT(--($AN$2:$AN$4001&lt;$AN1790))+1,"")</f>
        <v/>
      </c>
      <c r="AL1790">
        <f>IF($C1790="","",IF(OR($Q1790=TRUE(),$Q1790="TRUE"),1,0))</f>
        <v/>
      </c>
      <c r="AM1790">
        <f>IF($C1790="","",IF($W1790="Yes",1,0))</f>
        <v/>
      </c>
      <c r="AN1790">
        <f>IF($AJ1790=1,IFERROR(IF(VALUE($C1790)&lt;100000000,VALUE($C1790),1000000000),IFERROR(IF(VALUE(MID($C1790,2,20))&lt;100000000,VALUE(MID($C1790,2,20)),1000000000),1000000000))+ROW()/100000,"")</f>
        <v/>
      </c>
    </row>
    <row r="1791">
      <c r="E1791" s="11" t="n"/>
      <c r="M1791" s="7">
        <f>IF($C1791="","",L1791*U1791/100)</f>
        <v/>
      </c>
      <c r="N1791" s="7" t="n"/>
      <c r="T1791" s="7" t="n"/>
      <c r="U1791" s="7">
        <f>IF($C1791="","",S1791*T1791)</f>
        <v/>
      </c>
      <c r="X1791">
        <f>IF($C1791="","",IF($AM1791=1,0,IF($AL1791=1,Settings!$C$6,Settings!$C$7))*100)</f>
        <v/>
      </c>
      <c r="AB1791" s="7" t="n"/>
      <c r="AE1791" s="11" t="n"/>
      <c r="AG1791" s="7">
        <f>IF($C1791="","",U1791*X1791/100)</f>
        <v/>
      </c>
      <c r="AH1791" s="7">
        <f>IF($C1791="","",U1791-AG1791)</f>
        <v/>
      </c>
      <c r="AI1791" s="7">
        <f>IF($C1791="","",AH1791-M1791)</f>
        <v/>
      </c>
      <c r="AJ1791">
        <f>IF($C1791="","",IF(COUNTIF($C$2:$C1791,$C1791)=1,1,0))</f>
        <v/>
      </c>
      <c r="AK1791">
        <f>IF($AJ1791=1,SUMPRODUCT(--($AN$2:$AN$4001&lt;$AN1791))+1,"")</f>
        <v/>
      </c>
      <c r="AL1791">
        <f>IF($C1791="","",IF(OR($Q1791=TRUE(),$Q1791="TRUE"),1,0))</f>
        <v/>
      </c>
      <c r="AM1791">
        <f>IF($C1791="","",IF($W1791="Yes",1,0))</f>
        <v/>
      </c>
      <c r="AN1791">
        <f>IF($AJ1791=1,IFERROR(IF(VALUE($C1791)&lt;100000000,VALUE($C1791),1000000000),IFERROR(IF(VALUE(MID($C1791,2,20))&lt;100000000,VALUE(MID($C1791,2,20)),1000000000),1000000000))+ROW()/100000,"")</f>
        <v/>
      </c>
    </row>
    <row r="1792">
      <c r="E1792" s="11" t="n"/>
      <c r="M1792" s="7">
        <f>IF($C1792="","",L1792*U1792/100)</f>
        <v/>
      </c>
      <c r="N1792" s="7" t="n"/>
      <c r="T1792" s="7" t="n"/>
      <c r="U1792" s="7">
        <f>IF($C1792="","",S1792*T1792)</f>
        <v/>
      </c>
      <c r="X1792">
        <f>IF($C1792="","",IF($AM1792=1,0,IF($AL1792=1,Settings!$C$6,Settings!$C$7))*100)</f>
        <v/>
      </c>
      <c r="AB1792" s="7" t="n"/>
      <c r="AE1792" s="11" t="n"/>
      <c r="AG1792" s="7">
        <f>IF($C1792="","",U1792*X1792/100)</f>
        <v/>
      </c>
      <c r="AH1792" s="7">
        <f>IF($C1792="","",U1792-AG1792)</f>
        <v/>
      </c>
      <c r="AI1792" s="7">
        <f>IF($C1792="","",AH1792-M1792)</f>
        <v/>
      </c>
      <c r="AJ1792">
        <f>IF($C1792="","",IF(COUNTIF($C$2:$C1792,$C1792)=1,1,0))</f>
        <v/>
      </c>
      <c r="AK1792">
        <f>IF($AJ1792=1,SUMPRODUCT(--($AN$2:$AN$4001&lt;$AN1792))+1,"")</f>
        <v/>
      </c>
      <c r="AL1792">
        <f>IF($C1792="","",IF(OR($Q1792=TRUE(),$Q1792="TRUE"),1,0))</f>
        <v/>
      </c>
      <c r="AM1792">
        <f>IF($C1792="","",IF($W1792="Yes",1,0))</f>
        <v/>
      </c>
      <c r="AN1792">
        <f>IF($AJ1792=1,IFERROR(IF(VALUE($C1792)&lt;100000000,VALUE($C1792),1000000000),IFERROR(IF(VALUE(MID($C1792,2,20))&lt;100000000,VALUE(MID($C1792,2,20)),1000000000),1000000000))+ROW()/100000,"")</f>
        <v/>
      </c>
    </row>
    <row r="1793">
      <c r="E1793" s="11" t="n"/>
      <c r="M1793" s="7">
        <f>IF($C1793="","",L1793*U1793/100)</f>
        <v/>
      </c>
      <c r="N1793" s="7" t="n"/>
      <c r="T1793" s="7" t="n"/>
      <c r="U1793" s="7">
        <f>IF($C1793="","",S1793*T1793)</f>
        <v/>
      </c>
      <c r="X1793">
        <f>IF($C1793="","",IF($AM1793=1,0,IF($AL1793=1,Settings!$C$6,Settings!$C$7))*100)</f>
        <v/>
      </c>
      <c r="AB1793" s="7" t="n"/>
      <c r="AE1793" s="11" t="n"/>
      <c r="AG1793" s="7">
        <f>IF($C1793="","",U1793*X1793/100)</f>
        <v/>
      </c>
      <c r="AH1793" s="7">
        <f>IF($C1793="","",U1793-AG1793)</f>
        <v/>
      </c>
      <c r="AI1793" s="7">
        <f>IF($C1793="","",AH1793-M1793)</f>
        <v/>
      </c>
      <c r="AJ1793">
        <f>IF($C1793="","",IF(COUNTIF($C$2:$C1793,$C1793)=1,1,0))</f>
        <v/>
      </c>
      <c r="AK1793">
        <f>IF($AJ1793=1,SUMPRODUCT(--($AN$2:$AN$4001&lt;$AN1793))+1,"")</f>
        <v/>
      </c>
      <c r="AL1793">
        <f>IF($C1793="","",IF(OR($Q1793=TRUE(),$Q1793="TRUE"),1,0))</f>
        <v/>
      </c>
      <c r="AM1793">
        <f>IF($C1793="","",IF($W1793="Yes",1,0))</f>
        <v/>
      </c>
      <c r="AN1793">
        <f>IF($AJ1793=1,IFERROR(IF(VALUE($C1793)&lt;100000000,VALUE($C1793),1000000000),IFERROR(IF(VALUE(MID($C1793,2,20))&lt;100000000,VALUE(MID($C1793,2,20)),1000000000),1000000000))+ROW()/100000,"")</f>
        <v/>
      </c>
    </row>
    <row r="1794">
      <c r="E1794" s="11" t="n"/>
      <c r="M1794" s="7">
        <f>IF($C1794="","",L1794*U1794/100)</f>
        <v/>
      </c>
      <c r="N1794" s="7" t="n"/>
      <c r="T1794" s="7" t="n"/>
      <c r="U1794" s="7">
        <f>IF($C1794="","",S1794*T1794)</f>
        <v/>
      </c>
      <c r="X1794">
        <f>IF($C1794="","",IF($AM1794=1,0,IF($AL1794=1,Settings!$C$6,Settings!$C$7))*100)</f>
        <v/>
      </c>
      <c r="AB1794" s="7" t="n"/>
      <c r="AE1794" s="11" t="n"/>
      <c r="AG1794" s="7">
        <f>IF($C1794="","",U1794*X1794/100)</f>
        <v/>
      </c>
      <c r="AH1794" s="7">
        <f>IF($C1794="","",U1794-AG1794)</f>
        <v/>
      </c>
      <c r="AI1794" s="7">
        <f>IF($C1794="","",AH1794-M1794)</f>
        <v/>
      </c>
      <c r="AJ1794">
        <f>IF($C1794="","",IF(COUNTIF($C$2:$C1794,$C1794)=1,1,0))</f>
        <v/>
      </c>
      <c r="AK1794">
        <f>IF($AJ1794=1,SUMPRODUCT(--($AN$2:$AN$4001&lt;$AN1794))+1,"")</f>
        <v/>
      </c>
      <c r="AL1794">
        <f>IF($C1794="","",IF(OR($Q1794=TRUE(),$Q1794="TRUE"),1,0))</f>
        <v/>
      </c>
      <c r="AM1794">
        <f>IF($C1794="","",IF($W1794="Yes",1,0))</f>
        <v/>
      </c>
      <c r="AN1794">
        <f>IF($AJ1794=1,IFERROR(IF(VALUE($C1794)&lt;100000000,VALUE($C1794),1000000000),IFERROR(IF(VALUE(MID($C1794,2,20))&lt;100000000,VALUE(MID($C1794,2,20)),1000000000),1000000000))+ROW()/100000,"")</f>
        <v/>
      </c>
    </row>
    <row r="1795">
      <c r="E1795" s="11" t="n"/>
      <c r="M1795" s="7">
        <f>IF($C1795="","",L1795*U1795/100)</f>
        <v/>
      </c>
      <c r="N1795" s="7" t="n"/>
      <c r="T1795" s="7" t="n"/>
      <c r="U1795" s="7">
        <f>IF($C1795="","",S1795*T1795)</f>
        <v/>
      </c>
      <c r="X1795">
        <f>IF($C1795="","",IF($AM1795=1,0,IF($AL1795=1,Settings!$C$6,Settings!$C$7))*100)</f>
        <v/>
      </c>
      <c r="AB1795" s="7" t="n"/>
      <c r="AE1795" s="11" t="n"/>
      <c r="AG1795" s="7">
        <f>IF($C1795="","",U1795*X1795/100)</f>
        <v/>
      </c>
      <c r="AH1795" s="7">
        <f>IF($C1795="","",U1795-AG1795)</f>
        <v/>
      </c>
      <c r="AI1795" s="7">
        <f>IF($C1795="","",AH1795-M1795)</f>
        <v/>
      </c>
      <c r="AJ1795">
        <f>IF($C1795="","",IF(COUNTIF($C$2:$C1795,$C1795)=1,1,0))</f>
        <v/>
      </c>
      <c r="AK1795">
        <f>IF($AJ1795=1,SUMPRODUCT(--($AN$2:$AN$4001&lt;$AN1795))+1,"")</f>
        <v/>
      </c>
      <c r="AL1795">
        <f>IF($C1795="","",IF(OR($Q1795=TRUE(),$Q1795="TRUE"),1,0))</f>
        <v/>
      </c>
      <c r="AM1795">
        <f>IF($C1795="","",IF($W1795="Yes",1,0))</f>
        <v/>
      </c>
      <c r="AN1795">
        <f>IF($AJ1795=1,IFERROR(IF(VALUE($C1795)&lt;100000000,VALUE($C1795),1000000000),IFERROR(IF(VALUE(MID($C1795,2,20))&lt;100000000,VALUE(MID($C1795,2,20)),1000000000),1000000000))+ROW()/100000,"")</f>
        <v/>
      </c>
    </row>
    <row r="1796">
      <c r="E1796" s="11" t="n"/>
      <c r="M1796" s="7">
        <f>IF($C1796="","",L1796*U1796/100)</f>
        <v/>
      </c>
      <c r="N1796" s="7" t="n"/>
      <c r="T1796" s="7" t="n"/>
      <c r="U1796" s="7">
        <f>IF($C1796="","",S1796*T1796)</f>
        <v/>
      </c>
      <c r="X1796">
        <f>IF($C1796="","",IF($AM1796=1,0,IF($AL1796=1,Settings!$C$6,Settings!$C$7))*100)</f>
        <v/>
      </c>
      <c r="AB1796" s="7" t="n"/>
      <c r="AE1796" s="11" t="n"/>
      <c r="AG1796" s="7">
        <f>IF($C1796="","",U1796*X1796/100)</f>
        <v/>
      </c>
      <c r="AH1796" s="7">
        <f>IF($C1796="","",U1796-AG1796)</f>
        <v/>
      </c>
      <c r="AI1796" s="7">
        <f>IF($C1796="","",AH1796-M1796)</f>
        <v/>
      </c>
      <c r="AJ1796">
        <f>IF($C1796="","",IF(COUNTIF($C$2:$C1796,$C1796)=1,1,0))</f>
        <v/>
      </c>
      <c r="AK1796">
        <f>IF($AJ1796=1,SUMPRODUCT(--($AN$2:$AN$4001&lt;$AN1796))+1,"")</f>
        <v/>
      </c>
      <c r="AL1796">
        <f>IF($C1796="","",IF(OR($Q1796=TRUE(),$Q1796="TRUE"),1,0))</f>
        <v/>
      </c>
      <c r="AM1796">
        <f>IF($C1796="","",IF($W1796="Yes",1,0))</f>
        <v/>
      </c>
      <c r="AN1796">
        <f>IF($AJ1796=1,IFERROR(IF(VALUE($C1796)&lt;100000000,VALUE($C1796),1000000000),IFERROR(IF(VALUE(MID($C1796,2,20))&lt;100000000,VALUE(MID($C1796,2,20)),1000000000),1000000000))+ROW()/100000,"")</f>
        <v/>
      </c>
    </row>
    <row r="1797">
      <c r="E1797" s="11" t="n"/>
      <c r="M1797" s="7">
        <f>IF($C1797="","",L1797*U1797/100)</f>
        <v/>
      </c>
      <c r="N1797" s="7" t="n"/>
      <c r="T1797" s="7" t="n"/>
      <c r="U1797" s="7">
        <f>IF($C1797="","",S1797*T1797)</f>
        <v/>
      </c>
      <c r="X1797">
        <f>IF($C1797="","",IF($AM1797=1,0,IF($AL1797=1,Settings!$C$6,Settings!$C$7))*100)</f>
        <v/>
      </c>
      <c r="AB1797" s="7" t="n"/>
      <c r="AE1797" s="11" t="n"/>
      <c r="AG1797" s="7">
        <f>IF($C1797="","",U1797*X1797/100)</f>
        <v/>
      </c>
      <c r="AH1797" s="7">
        <f>IF($C1797="","",U1797-AG1797)</f>
        <v/>
      </c>
      <c r="AI1797" s="7">
        <f>IF($C1797="","",AH1797-M1797)</f>
        <v/>
      </c>
      <c r="AJ1797">
        <f>IF($C1797="","",IF(COUNTIF($C$2:$C1797,$C1797)=1,1,0))</f>
        <v/>
      </c>
      <c r="AK1797">
        <f>IF($AJ1797=1,SUMPRODUCT(--($AN$2:$AN$4001&lt;$AN1797))+1,"")</f>
        <v/>
      </c>
      <c r="AL1797">
        <f>IF($C1797="","",IF(OR($Q1797=TRUE(),$Q1797="TRUE"),1,0))</f>
        <v/>
      </c>
      <c r="AM1797">
        <f>IF($C1797="","",IF($W1797="Yes",1,0))</f>
        <v/>
      </c>
      <c r="AN1797">
        <f>IF($AJ1797=1,IFERROR(IF(VALUE($C1797)&lt;100000000,VALUE($C1797),1000000000),IFERROR(IF(VALUE(MID($C1797,2,20))&lt;100000000,VALUE(MID($C1797,2,20)),1000000000),1000000000))+ROW()/100000,"")</f>
        <v/>
      </c>
    </row>
    <row r="1798">
      <c r="E1798" s="11" t="n"/>
      <c r="M1798" s="7">
        <f>IF($C1798="","",L1798*U1798/100)</f>
        <v/>
      </c>
      <c r="N1798" s="7" t="n"/>
      <c r="T1798" s="7" t="n"/>
      <c r="U1798" s="7">
        <f>IF($C1798="","",S1798*T1798)</f>
        <v/>
      </c>
      <c r="X1798">
        <f>IF($C1798="","",IF($AM1798=1,0,IF($AL1798=1,Settings!$C$6,Settings!$C$7))*100)</f>
        <v/>
      </c>
      <c r="AB1798" s="7" t="n"/>
      <c r="AE1798" s="11" t="n"/>
      <c r="AG1798" s="7">
        <f>IF($C1798="","",U1798*X1798/100)</f>
        <v/>
      </c>
      <c r="AH1798" s="7">
        <f>IF($C1798="","",U1798-AG1798)</f>
        <v/>
      </c>
      <c r="AI1798" s="7">
        <f>IF($C1798="","",AH1798-M1798)</f>
        <v/>
      </c>
      <c r="AJ1798">
        <f>IF($C1798="","",IF(COUNTIF($C$2:$C1798,$C1798)=1,1,0))</f>
        <v/>
      </c>
      <c r="AK1798">
        <f>IF($AJ1798=1,SUMPRODUCT(--($AN$2:$AN$4001&lt;$AN1798))+1,"")</f>
        <v/>
      </c>
      <c r="AL1798">
        <f>IF($C1798="","",IF(OR($Q1798=TRUE(),$Q1798="TRUE"),1,0))</f>
        <v/>
      </c>
      <c r="AM1798">
        <f>IF($C1798="","",IF($W1798="Yes",1,0))</f>
        <v/>
      </c>
      <c r="AN1798">
        <f>IF($AJ1798=1,IFERROR(IF(VALUE($C1798)&lt;100000000,VALUE($C1798),1000000000),IFERROR(IF(VALUE(MID($C1798,2,20))&lt;100000000,VALUE(MID($C1798,2,20)),1000000000),1000000000))+ROW()/100000,"")</f>
        <v/>
      </c>
    </row>
    <row r="1799">
      <c r="E1799" s="11" t="n"/>
      <c r="M1799" s="7">
        <f>IF($C1799="","",L1799*U1799/100)</f>
        <v/>
      </c>
      <c r="N1799" s="7" t="n"/>
      <c r="T1799" s="7" t="n"/>
      <c r="U1799" s="7">
        <f>IF($C1799="","",S1799*T1799)</f>
        <v/>
      </c>
      <c r="X1799">
        <f>IF($C1799="","",IF($AM1799=1,0,IF($AL1799=1,Settings!$C$6,Settings!$C$7))*100)</f>
        <v/>
      </c>
      <c r="AB1799" s="7" t="n"/>
      <c r="AE1799" s="11" t="n"/>
      <c r="AG1799" s="7">
        <f>IF($C1799="","",U1799*X1799/100)</f>
        <v/>
      </c>
      <c r="AH1799" s="7">
        <f>IF($C1799="","",U1799-AG1799)</f>
        <v/>
      </c>
      <c r="AI1799" s="7">
        <f>IF($C1799="","",AH1799-M1799)</f>
        <v/>
      </c>
      <c r="AJ1799">
        <f>IF($C1799="","",IF(COUNTIF($C$2:$C1799,$C1799)=1,1,0))</f>
        <v/>
      </c>
      <c r="AK1799">
        <f>IF($AJ1799=1,SUMPRODUCT(--($AN$2:$AN$4001&lt;$AN1799))+1,"")</f>
        <v/>
      </c>
      <c r="AL1799">
        <f>IF($C1799="","",IF(OR($Q1799=TRUE(),$Q1799="TRUE"),1,0))</f>
        <v/>
      </c>
      <c r="AM1799">
        <f>IF($C1799="","",IF($W1799="Yes",1,0))</f>
        <v/>
      </c>
      <c r="AN1799">
        <f>IF($AJ1799=1,IFERROR(IF(VALUE($C1799)&lt;100000000,VALUE($C1799),1000000000),IFERROR(IF(VALUE(MID($C1799,2,20))&lt;100000000,VALUE(MID($C1799,2,20)),1000000000),1000000000))+ROW()/100000,"")</f>
        <v/>
      </c>
    </row>
    <row r="1800">
      <c r="E1800" s="11" t="n"/>
      <c r="M1800" s="7">
        <f>IF($C1800="","",L1800*U1800/100)</f>
        <v/>
      </c>
      <c r="N1800" s="7" t="n"/>
      <c r="T1800" s="7" t="n"/>
      <c r="U1800" s="7">
        <f>IF($C1800="","",S1800*T1800)</f>
        <v/>
      </c>
      <c r="X1800">
        <f>IF($C1800="","",IF($AM1800=1,0,IF($AL1800=1,Settings!$C$6,Settings!$C$7))*100)</f>
        <v/>
      </c>
      <c r="AB1800" s="7" t="n"/>
      <c r="AE1800" s="11" t="n"/>
      <c r="AG1800" s="7">
        <f>IF($C1800="","",U1800*X1800/100)</f>
        <v/>
      </c>
      <c r="AH1800" s="7">
        <f>IF($C1800="","",U1800-AG1800)</f>
        <v/>
      </c>
      <c r="AI1800" s="7">
        <f>IF($C1800="","",AH1800-M1800)</f>
        <v/>
      </c>
      <c r="AJ1800">
        <f>IF($C1800="","",IF(COUNTIF($C$2:$C1800,$C1800)=1,1,0))</f>
        <v/>
      </c>
      <c r="AK1800">
        <f>IF($AJ1800=1,SUMPRODUCT(--($AN$2:$AN$4001&lt;$AN1800))+1,"")</f>
        <v/>
      </c>
      <c r="AL1800">
        <f>IF($C1800="","",IF(OR($Q1800=TRUE(),$Q1800="TRUE"),1,0))</f>
        <v/>
      </c>
      <c r="AM1800">
        <f>IF($C1800="","",IF($W1800="Yes",1,0))</f>
        <v/>
      </c>
      <c r="AN1800">
        <f>IF($AJ1800=1,IFERROR(IF(VALUE($C1800)&lt;100000000,VALUE($C1800),1000000000),IFERROR(IF(VALUE(MID($C1800,2,20))&lt;100000000,VALUE(MID($C1800,2,20)),1000000000),1000000000))+ROW()/100000,"")</f>
        <v/>
      </c>
    </row>
    <row r="1801">
      <c r="E1801" s="11" t="n"/>
      <c r="M1801" s="7">
        <f>IF($C1801="","",L1801*U1801/100)</f>
        <v/>
      </c>
      <c r="N1801" s="7" t="n"/>
      <c r="T1801" s="7" t="n"/>
      <c r="U1801" s="7">
        <f>IF($C1801="","",S1801*T1801)</f>
        <v/>
      </c>
      <c r="X1801">
        <f>IF($C1801="","",IF($AM1801=1,0,IF($AL1801=1,Settings!$C$6,Settings!$C$7))*100)</f>
        <v/>
      </c>
      <c r="AB1801" s="7" t="n"/>
      <c r="AE1801" s="11" t="n"/>
      <c r="AG1801" s="7">
        <f>IF($C1801="","",U1801*X1801/100)</f>
        <v/>
      </c>
      <c r="AH1801" s="7">
        <f>IF($C1801="","",U1801-AG1801)</f>
        <v/>
      </c>
      <c r="AI1801" s="7">
        <f>IF($C1801="","",AH1801-M1801)</f>
        <v/>
      </c>
      <c r="AJ1801">
        <f>IF($C1801="","",IF(COUNTIF($C$2:$C1801,$C1801)=1,1,0))</f>
        <v/>
      </c>
      <c r="AK1801">
        <f>IF($AJ1801=1,SUMPRODUCT(--($AN$2:$AN$4001&lt;$AN1801))+1,"")</f>
        <v/>
      </c>
      <c r="AL1801">
        <f>IF($C1801="","",IF(OR($Q1801=TRUE(),$Q1801="TRUE"),1,0))</f>
        <v/>
      </c>
      <c r="AM1801">
        <f>IF($C1801="","",IF($W1801="Yes",1,0))</f>
        <v/>
      </c>
      <c r="AN1801">
        <f>IF($AJ1801=1,IFERROR(IF(VALUE($C1801)&lt;100000000,VALUE($C1801),1000000000),IFERROR(IF(VALUE(MID($C1801,2,20))&lt;100000000,VALUE(MID($C1801,2,20)),1000000000),1000000000))+ROW()/100000,"")</f>
        <v/>
      </c>
    </row>
    <row r="1802">
      <c r="E1802" s="11" t="n"/>
      <c r="M1802" s="7">
        <f>IF($C1802="","",L1802*U1802/100)</f>
        <v/>
      </c>
      <c r="N1802" s="7" t="n"/>
      <c r="T1802" s="7" t="n"/>
      <c r="U1802" s="7">
        <f>IF($C1802="","",S1802*T1802)</f>
        <v/>
      </c>
      <c r="X1802">
        <f>IF($C1802="","",IF($AM1802=1,0,IF($AL1802=1,Settings!$C$6,Settings!$C$7))*100)</f>
        <v/>
      </c>
      <c r="AB1802" s="7" t="n"/>
      <c r="AE1802" s="11" t="n"/>
      <c r="AG1802" s="7">
        <f>IF($C1802="","",U1802*X1802/100)</f>
        <v/>
      </c>
      <c r="AH1802" s="7">
        <f>IF($C1802="","",U1802-AG1802)</f>
        <v/>
      </c>
      <c r="AI1802" s="7">
        <f>IF($C1802="","",AH1802-M1802)</f>
        <v/>
      </c>
      <c r="AJ1802">
        <f>IF($C1802="","",IF(COUNTIF($C$2:$C1802,$C1802)=1,1,0))</f>
        <v/>
      </c>
      <c r="AK1802">
        <f>IF($AJ1802=1,SUMPRODUCT(--($AN$2:$AN$4001&lt;$AN1802))+1,"")</f>
        <v/>
      </c>
      <c r="AL1802">
        <f>IF($C1802="","",IF(OR($Q1802=TRUE(),$Q1802="TRUE"),1,0))</f>
        <v/>
      </c>
      <c r="AM1802">
        <f>IF($C1802="","",IF($W1802="Yes",1,0))</f>
        <v/>
      </c>
      <c r="AN1802">
        <f>IF($AJ1802=1,IFERROR(IF(VALUE($C1802)&lt;100000000,VALUE($C1802),1000000000),IFERROR(IF(VALUE(MID($C1802,2,20))&lt;100000000,VALUE(MID($C1802,2,20)),1000000000),1000000000))+ROW()/100000,"")</f>
        <v/>
      </c>
    </row>
    <row r="1803">
      <c r="E1803" s="11" t="n"/>
      <c r="M1803" s="7">
        <f>IF($C1803="","",L1803*U1803/100)</f>
        <v/>
      </c>
      <c r="N1803" s="7" t="n"/>
      <c r="T1803" s="7" t="n"/>
      <c r="U1803" s="7">
        <f>IF($C1803="","",S1803*T1803)</f>
        <v/>
      </c>
      <c r="X1803">
        <f>IF($C1803="","",IF($AM1803=1,0,IF($AL1803=1,Settings!$C$6,Settings!$C$7))*100)</f>
        <v/>
      </c>
      <c r="AB1803" s="7" t="n"/>
      <c r="AE1803" s="11" t="n"/>
      <c r="AG1803" s="7">
        <f>IF($C1803="","",U1803*X1803/100)</f>
        <v/>
      </c>
      <c r="AH1803" s="7">
        <f>IF($C1803="","",U1803-AG1803)</f>
        <v/>
      </c>
      <c r="AI1803" s="7">
        <f>IF($C1803="","",AH1803-M1803)</f>
        <v/>
      </c>
      <c r="AJ1803">
        <f>IF($C1803="","",IF(COUNTIF($C$2:$C1803,$C1803)=1,1,0))</f>
        <v/>
      </c>
      <c r="AK1803">
        <f>IF($AJ1803=1,SUMPRODUCT(--($AN$2:$AN$4001&lt;$AN1803))+1,"")</f>
        <v/>
      </c>
      <c r="AL1803">
        <f>IF($C1803="","",IF(OR($Q1803=TRUE(),$Q1803="TRUE"),1,0))</f>
        <v/>
      </c>
      <c r="AM1803">
        <f>IF($C1803="","",IF($W1803="Yes",1,0))</f>
        <v/>
      </c>
      <c r="AN1803">
        <f>IF($AJ1803=1,IFERROR(IF(VALUE($C1803)&lt;100000000,VALUE($C1803),1000000000),IFERROR(IF(VALUE(MID($C1803,2,20))&lt;100000000,VALUE(MID($C1803,2,20)),1000000000),1000000000))+ROW()/100000,"")</f>
        <v/>
      </c>
    </row>
    <row r="1804">
      <c r="E1804" s="11" t="n"/>
      <c r="M1804" s="7">
        <f>IF($C1804="","",L1804*U1804/100)</f>
        <v/>
      </c>
      <c r="N1804" s="7" t="n"/>
      <c r="T1804" s="7" t="n"/>
      <c r="U1804" s="7">
        <f>IF($C1804="","",S1804*T1804)</f>
        <v/>
      </c>
      <c r="X1804">
        <f>IF($C1804="","",IF($AM1804=1,0,IF($AL1804=1,Settings!$C$6,Settings!$C$7))*100)</f>
        <v/>
      </c>
      <c r="AB1804" s="7" t="n"/>
      <c r="AE1804" s="11" t="n"/>
      <c r="AG1804" s="7">
        <f>IF($C1804="","",U1804*X1804/100)</f>
        <v/>
      </c>
      <c r="AH1804" s="7">
        <f>IF($C1804="","",U1804-AG1804)</f>
        <v/>
      </c>
      <c r="AI1804" s="7">
        <f>IF($C1804="","",AH1804-M1804)</f>
        <v/>
      </c>
      <c r="AJ1804">
        <f>IF($C1804="","",IF(COUNTIF($C$2:$C1804,$C1804)=1,1,0))</f>
        <v/>
      </c>
      <c r="AK1804">
        <f>IF($AJ1804=1,SUMPRODUCT(--($AN$2:$AN$4001&lt;$AN1804))+1,"")</f>
        <v/>
      </c>
      <c r="AL1804">
        <f>IF($C1804="","",IF(OR($Q1804=TRUE(),$Q1804="TRUE"),1,0))</f>
        <v/>
      </c>
      <c r="AM1804">
        <f>IF($C1804="","",IF($W1804="Yes",1,0))</f>
        <v/>
      </c>
      <c r="AN1804">
        <f>IF($AJ1804=1,IFERROR(IF(VALUE($C1804)&lt;100000000,VALUE($C1804),1000000000),IFERROR(IF(VALUE(MID($C1804,2,20))&lt;100000000,VALUE(MID($C1804,2,20)),1000000000),1000000000))+ROW()/100000,"")</f>
        <v/>
      </c>
    </row>
    <row r="1805">
      <c r="E1805" s="11" t="n"/>
      <c r="M1805" s="7">
        <f>IF($C1805="","",L1805*U1805/100)</f>
        <v/>
      </c>
      <c r="N1805" s="7" t="n"/>
      <c r="T1805" s="7" t="n"/>
      <c r="U1805" s="7">
        <f>IF($C1805="","",S1805*T1805)</f>
        <v/>
      </c>
      <c r="X1805">
        <f>IF($C1805="","",IF($AM1805=1,0,IF($AL1805=1,Settings!$C$6,Settings!$C$7))*100)</f>
        <v/>
      </c>
      <c r="AB1805" s="7" t="n"/>
      <c r="AE1805" s="11" t="n"/>
      <c r="AG1805" s="7">
        <f>IF($C1805="","",U1805*X1805/100)</f>
        <v/>
      </c>
      <c r="AH1805" s="7">
        <f>IF($C1805="","",U1805-AG1805)</f>
        <v/>
      </c>
      <c r="AI1805" s="7">
        <f>IF($C1805="","",AH1805-M1805)</f>
        <v/>
      </c>
      <c r="AJ1805">
        <f>IF($C1805="","",IF(COUNTIF($C$2:$C1805,$C1805)=1,1,0))</f>
        <v/>
      </c>
      <c r="AK1805">
        <f>IF($AJ1805=1,SUMPRODUCT(--($AN$2:$AN$4001&lt;$AN1805))+1,"")</f>
        <v/>
      </c>
      <c r="AL1805">
        <f>IF($C1805="","",IF(OR($Q1805=TRUE(),$Q1805="TRUE"),1,0))</f>
        <v/>
      </c>
      <c r="AM1805">
        <f>IF($C1805="","",IF($W1805="Yes",1,0))</f>
        <v/>
      </c>
      <c r="AN1805">
        <f>IF($AJ1805=1,IFERROR(IF(VALUE($C1805)&lt;100000000,VALUE($C1805),1000000000),IFERROR(IF(VALUE(MID($C1805,2,20))&lt;100000000,VALUE(MID($C1805,2,20)),1000000000),1000000000))+ROW()/100000,"")</f>
        <v/>
      </c>
    </row>
    <row r="1806">
      <c r="E1806" s="11" t="n"/>
      <c r="M1806" s="7">
        <f>IF($C1806="","",L1806*U1806/100)</f>
        <v/>
      </c>
      <c r="N1806" s="7" t="n"/>
      <c r="T1806" s="7" t="n"/>
      <c r="U1806" s="7">
        <f>IF($C1806="","",S1806*T1806)</f>
        <v/>
      </c>
      <c r="X1806">
        <f>IF($C1806="","",IF($AM1806=1,0,IF($AL1806=1,Settings!$C$6,Settings!$C$7))*100)</f>
        <v/>
      </c>
      <c r="AB1806" s="7" t="n"/>
      <c r="AE1806" s="11" t="n"/>
      <c r="AG1806" s="7">
        <f>IF($C1806="","",U1806*X1806/100)</f>
        <v/>
      </c>
      <c r="AH1806" s="7">
        <f>IF($C1806="","",U1806-AG1806)</f>
        <v/>
      </c>
      <c r="AI1806" s="7">
        <f>IF($C1806="","",AH1806-M1806)</f>
        <v/>
      </c>
      <c r="AJ1806">
        <f>IF($C1806="","",IF(COUNTIF($C$2:$C1806,$C1806)=1,1,0))</f>
        <v/>
      </c>
      <c r="AK1806">
        <f>IF($AJ1806=1,SUMPRODUCT(--($AN$2:$AN$4001&lt;$AN1806))+1,"")</f>
        <v/>
      </c>
      <c r="AL1806">
        <f>IF($C1806="","",IF(OR($Q1806=TRUE(),$Q1806="TRUE"),1,0))</f>
        <v/>
      </c>
      <c r="AM1806">
        <f>IF($C1806="","",IF($W1806="Yes",1,0))</f>
        <v/>
      </c>
      <c r="AN1806">
        <f>IF($AJ1806=1,IFERROR(IF(VALUE($C1806)&lt;100000000,VALUE($C1806),1000000000),IFERROR(IF(VALUE(MID($C1806,2,20))&lt;100000000,VALUE(MID($C1806,2,20)),1000000000),1000000000))+ROW()/100000,"")</f>
        <v/>
      </c>
    </row>
    <row r="1807">
      <c r="E1807" s="11" t="n"/>
      <c r="M1807" s="7">
        <f>IF($C1807="","",L1807*U1807/100)</f>
        <v/>
      </c>
      <c r="N1807" s="7" t="n"/>
      <c r="T1807" s="7" t="n"/>
      <c r="U1807" s="7">
        <f>IF($C1807="","",S1807*T1807)</f>
        <v/>
      </c>
      <c r="X1807">
        <f>IF($C1807="","",IF($AM1807=1,0,IF($AL1807=1,Settings!$C$6,Settings!$C$7))*100)</f>
        <v/>
      </c>
      <c r="AB1807" s="7" t="n"/>
      <c r="AE1807" s="11" t="n"/>
      <c r="AG1807" s="7">
        <f>IF($C1807="","",U1807*X1807/100)</f>
        <v/>
      </c>
      <c r="AH1807" s="7">
        <f>IF($C1807="","",U1807-AG1807)</f>
        <v/>
      </c>
      <c r="AI1807" s="7">
        <f>IF($C1807="","",AH1807-M1807)</f>
        <v/>
      </c>
      <c r="AJ1807">
        <f>IF($C1807="","",IF(COUNTIF($C$2:$C1807,$C1807)=1,1,0))</f>
        <v/>
      </c>
      <c r="AK1807">
        <f>IF($AJ1807=1,SUMPRODUCT(--($AN$2:$AN$4001&lt;$AN1807))+1,"")</f>
        <v/>
      </c>
      <c r="AL1807">
        <f>IF($C1807="","",IF(OR($Q1807=TRUE(),$Q1807="TRUE"),1,0))</f>
        <v/>
      </c>
      <c r="AM1807">
        <f>IF($C1807="","",IF($W1807="Yes",1,0))</f>
        <v/>
      </c>
      <c r="AN1807">
        <f>IF($AJ1807=1,IFERROR(IF(VALUE($C1807)&lt;100000000,VALUE($C1807),1000000000),IFERROR(IF(VALUE(MID($C1807,2,20))&lt;100000000,VALUE(MID($C1807,2,20)),1000000000),1000000000))+ROW()/100000,"")</f>
        <v/>
      </c>
    </row>
    <row r="1808">
      <c r="E1808" s="11" t="n"/>
      <c r="M1808" s="7">
        <f>IF($C1808="","",L1808*U1808/100)</f>
        <v/>
      </c>
      <c r="N1808" s="7" t="n"/>
      <c r="T1808" s="7" t="n"/>
      <c r="U1808" s="7">
        <f>IF($C1808="","",S1808*T1808)</f>
        <v/>
      </c>
      <c r="X1808">
        <f>IF($C1808="","",IF($AM1808=1,0,IF($AL1808=1,Settings!$C$6,Settings!$C$7))*100)</f>
        <v/>
      </c>
      <c r="AB1808" s="7" t="n"/>
      <c r="AE1808" s="11" t="n"/>
      <c r="AG1808" s="7">
        <f>IF($C1808="","",U1808*X1808/100)</f>
        <v/>
      </c>
      <c r="AH1808" s="7">
        <f>IF($C1808="","",U1808-AG1808)</f>
        <v/>
      </c>
      <c r="AI1808" s="7">
        <f>IF($C1808="","",AH1808-M1808)</f>
        <v/>
      </c>
      <c r="AJ1808">
        <f>IF($C1808="","",IF(COUNTIF($C$2:$C1808,$C1808)=1,1,0))</f>
        <v/>
      </c>
      <c r="AK1808">
        <f>IF($AJ1808=1,SUMPRODUCT(--($AN$2:$AN$4001&lt;$AN1808))+1,"")</f>
        <v/>
      </c>
      <c r="AL1808">
        <f>IF($C1808="","",IF(OR($Q1808=TRUE(),$Q1808="TRUE"),1,0))</f>
        <v/>
      </c>
      <c r="AM1808">
        <f>IF($C1808="","",IF($W1808="Yes",1,0))</f>
        <v/>
      </c>
      <c r="AN1808">
        <f>IF($AJ1808=1,IFERROR(IF(VALUE($C1808)&lt;100000000,VALUE($C1808),1000000000),IFERROR(IF(VALUE(MID($C1808,2,20))&lt;100000000,VALUE(MID($C1808,2,20)),1000000000),1000000000))+ROW()/100000,"")</f>
        <v/>
      </c>
    </row>
    <row r="1809">
      <c r="E1809" s="11" t="n"/>
      <c r="M1809" s="7">
        <f>IF($C1809="","",L1809*U1809/100)</f>
        <v/>
      </c>
      <c r="N1809" s="7" t="n"/>
      <c r="T1809" s="7" t="n"/>
      <c r="U1809" s="7">
        <f>IF($C1809="","",S1809*T1809)</f>
        <v/>
      </c>
      <c r="X1809">
        <f>IF($C1809="","",IF($AM1809=1,0,IF($AL1809=1,Settings!$C$6,Settings!$C$7))*100)</f>
        <v/>
      </c>
      <c r="AB1809" s="7" t="n"/>
      <c r="AE1809" s="11" t="n"/>
      <c r="AG1809" s="7">
        <f>IF($C1809="","",U1809*X1809/100)</f>
        <v/>
      </c>
      <c r="AH1809" s="7">
        <f>IF($C1809="","",U1809-AG1809)</f>
        <v/>
      </c>
      <c r="AI1809" s="7">
        <f>IF($C1809="","",AH1809-M1809)</f>
        <v/>
      </c>
      <c r="AJ1809">
        <f>IF($C1809="","",IF(COUNTIF($C$2:$C1809,$C1809)=1,1,0))</f>
        <v/>
      </c>
      <c r="AK1809">
        <f>IF($AJ1809=1,SUMPRODUCT(--($AN$2:$AN$4001&lt;$AN1809))+1,"")</f>
        <v/>
      </c>
      <c r="AL1809">
        <f>IF($C1809="","",IF(OR($Q1809=TRUE(),$Q1809="TRUE"),1,0))</f>
        <v/>
      </c>
      <c r="AM1809">
        <f>IF($C1809="","",IF($W1809="Yes",1,0))</f>
        <v/>
      </c>
      <c r="AN1809">
        <f>IF($AJ1809=1,IFERROR(IF(VALUE($C1809)&lt;100000000,VALUE($C1809),1000000000),IFERROR(IF(VALUE(MID($C1809,2,20))&lt;100000000,VALUE(MID($C1809,2,20)),1000000000),1000000000))+ROW()/100000,"")</f>
        <v/>
      </c>
    </row>
    <row r="1810">
      <c r="E1810" s="11" t="n"/>
      <c r="M1810" s="7">
        <f>IF($C1810="","",L1810*U1810/100)</f>
        <v/>
      </c>
      <c r="N1810" s="7" t="n"/>
      <c r="T1810" s="7" t="n"/>
      <c r="U1810" s="7">
        <f>IF($C1810="","",S1810*T1810)</f>
        <v/>
      </c>
      <c r="X1810">
        <f>IF($C1810="","",IF($AM1810=1,0,IF($AL1810=1,Settings!$C$6,Settings!$C$7))*100)</f>
        <v/>
      </c>
      <c r="AB1810" s="7" t="n"/>
      <c r="AE1810" s="11" t="n"/>
      <c r="AG1810" s="7">
        <f>IF($C1810="","",U1810*X1810/100)</f>
        <v/>
      </c>
      <c r="AH1810" s="7">
        <f>IF($C1810="","",U1810-AG1810)</f>
        <v/>
      </c>
      <c r="AI1810" s="7">
        <f>IF($C1810="","",AH1810-M1810)</f>
        <v/>
      </c>
      <c r="AJ1810">
        <f>IF($C1810="","",IF(COUNTIF($C$2:$C1810,$C1810)=1,1,0))</f>
        <v/>
      </c>
      <c r="AK1810">
        <f>IF($AJ1810=1,SUMPRODUCT(--($AN$2:$AN$4001&lt;$AN1810))+1,"")</f>
        <v/>
      </c>
      <c r="AL1810">
        <f>IF($C1810="","",IF(OR($Q1810=TRUE(),$Q1810="TRUE"),1,0))</f>
        <v/>
      </c>
      <c r="AM1810">
        <f>IF($C1810="","",IF($W1810="Yes",1,0))</f>
        <v/>
      </c>
      <c r="AN1810">
        <f>IF($AJ1810=1,IFERROR(IF(VALUE($C1810)&lt;100000000,VALUE($C1810),1000000000),IFERROR(IF(VALUE(MID($C1810,2,20))&lt;100000000,VALUE(MID($C1810,2,20)),1000000000),1000000000))+ROW()/100000,"")</f>
        <v/>
      </c>
    </row>
    <row r="1811">
      <c r="E1811" s="11" t="n"/>
      <c r="M1811" s="7">
        <f>IF($C1811="","",L1811*U1811/100)</f>
        <v/>
      </c>
      <c r="N1811" s="7" t="n"/>
      <c r="T1811" s="7" t="n"/>
      <c r="U1811" s="7">
        <f>IF($C1811="","",S1811*T1811)</f>
        <v/>
      </c>
      <c r="X1811">
        <f>IF($C1811="","",IF($AM1811=1,0,IF($AL1811=1,Settings!$C$6,Settings!$C$7))*100)</f>
        <v/>
      </c>
      <c r="AB1811" s="7" t="n"/>
      <c r="AE1811" s="11" t="n"/>
      <c r="AG1811" s="7">
        <f>IF($C1811="","",U1811*X1811/100)</f>
        <v/>
      </c>
      <c r="AH1811" s="7">
        <f>IF($C1811="","",U1811-AG1811)</f>
        <v/>
      </c>
      <c r="AI1811" s="7">
        <f>IF($C1811="","",AH1811-M1811)</f>
        <v/>
      </c>
      <c r="AJ1811">
        <f>IF($C1811="","",IF(COUNTIF($C$2:$C1811,$C1811)=1,1,0))</f>
        <v/>
      </c>
      <c r="AK1811">
        <f>IF($AJ1811=1,SUMPRODUCT(--($AN$2:$AN$4001&lt;$AN1811))+1,"")</f>
        <v/>
      </c>
      <c r="AL1811">
        <f>IF($C1811="","",IF(OR($Q1811=TRUE(),$Q1811="TRUE"),1,0))</f>
        <v/>
      </c>
      <c r="AM1811">
        <f>IF($C1811="","",IF($W1811="Yes",1,0))</f>
        <v/>
      </c>
      <c r="AN1811">
        <f>IF($AJ1811=1,IFERROR(IF(VALUE($C1811)&lt;100000000,VALUE($C1811),1000000000),IFERROR(IF(VALUE(MID($C1811,2,20))&lt;100000000,VALUE(MID($C1811,2,20)),1000000000),1000000000))+ROW()/100000,"")</f>
        <v/>
      </c>
    </row>
    <row r="1812">
      <c r="E1812" s="11" t="n"/>
      <c r="M1812" s="7">
        <f>IF($C1812="","",L1812*U1812/100)</f>
        <v/>
      </c>
      <c r="N1812" s="7" t="n"/>
      <c r="T1812" s="7" t="n"/>
      <c r="U1812" s="7">
        <f>IF($C1812="","",S1812*T1812)</f>
        <v/>
      </c>
      <c r="X1812">
        <f>IF($C1812="","",IF($AM1812=1,0,IF($AL1812=1,Settings!$C$6,Settings!$C$7))*100)</f>
        <v/>
      </c>
      <c r="AB1812" s="7" t="n"/>
      <c r="AE1812" s="11" t="n"/>
      <c r="AG1812" s="7">
        <f>IF($C1812="","",U1812*X1812/100)</f>
        <v/>
      </c>
      <c r="AH1812" s="7">
        <f>IF($C1812="","",U1812-AG1812)</f>
        <v/>
      </c>
      <c r="AI1812" s="7">
        <f>IF($C1812="","",AH1812-M1812)</f>
        <v/>
      </c>
      <c r="AJ1812">
        <f>IF($C1812="","",IF(COUNTIF($C$2:$C1812,$C1812)=1,1,0))</f>
        <v/>
      </c>
      <c r="AK1812">
        <f>IF($AJ1812=1,SUMPRODUCT(--($AN$2:$AN$4001&lt;$AN1812))+1,"")</f>
        <v/>
      </c>
      <c r="AL1812">
        <f>IF($C1812="","",IF(OR($Q1812=TRUE(),$Q1812="TRUE"),1,0))</f>
        <v/>
      </c>
      <c r="AM1812">
        <f>IF($C1812="","",IF($W1812="Yes",1,0))</f>
        <v/>
      </c>
      <c r="AN1812">
        <f>IF($AJ1812=1,IFERROR(IF(VALUE($C1812)&lt;100000000,VALUE($C1812),1000000000),IFERROR(IF(VALUE(MID($C1812,2,20))&lt;100000000,VALUE(MID($C1812,2,20)),1000000000),1000000000))+ROW()/100000,"")</f>
        <v/>
      </c>
    </row>
    <row r="1813">
      <c r="E1813" s="11" t="n"/>
      <c r="M1813" s="7">
        <f>IF($C1813="","",L1813*U1813/100)</f>
        <v/>
      </c>
      <c r="N1813" s="7" t="n"/>
      <c r="T1813" s="7" t="n"/>
      <c r="U1813" s="7">
        <f>IF($C1813="","",S1813*T1813)</f>
        <v/>
      </c>
      <c r="X1813">
        <f>IF($C1813="","",IF($AM1813=1,0,IF($AL1813=1,Settings!$C$6,Settings!$C$7))*100)</f>
        <v/>
      </c>
      <c r="AB1813" s="7" t="n"/>
      <c r="AE1813" s="11" t="n"/>
      <c r="AG1813" s="7">
        <f>IF($C1813="","",U1813*X1813/100)</f>
        <v/>
      </c>
      <c r="AH1813" s="7">
        <f>IF($C1813="","",U1813-AG1813)</f>
        <v/>
      </c>
      <c r="AI1813" s="7">
        <f>IF($C1813="","",AH1813-M1813)</f>
        <v/>
      </c>
      <c r="AJ1813">
        <f>IF($C1813="","",IF(COUNTIF($C$2:$C1813,$C1813)=1,1,0))</f>
        <v/>
      </c>
      <c r="AK1813">
        <f>IF($AJ1813=1,SUMPRODUCT(--($AN$2:$AN$4001&lt;$AN1813))+1,"")</f>
        <v/>
      </c>
      <c r="AL1813">
        <f>IF($C1813="","",IF(OR($Q1813=TRUE(),$Q1813="TRUE"),1,0))</f>
        <v/>
      </c>
      <c r="AM1813">
        <f>IF($C1813="","",IF($W1813="Yes",1,0))</f>
        <v/>
      </c>
      <c r="AN1813">
        <f>IF($AJ1813=1,IFERROR(IF(VALUE($C1813)&lt;100000000,VALUE($C1813),1000000000),IFERROR(IF(VALUE(MID($C1813,2,20))&lt;100000000,VALUE(MID($C1813,2,20)),1000000000),1000000000))+ROW()/100000,"")</f>
        <v/>
      </c>
    </row>
    <row r="1814">
      <c r="E1814" s="11" t="n"/>
      <c r="M1814" s="7">
        <f>IF($C1814="","",L1814*U1814/100)</f>
        <v/>
      </c>
      <c r="N1814" s="7" t="n"/>
      <c r="T1814" s="7" t="n"/>
      <c r="U1814" s="7">
        <f>IF($C1814="","",S1814*T1814)</f>
        <v/>
      </c>
      <c r="X1814">
        <f>IF($C1814="","",IF($AM1814=1,0,IF($AL1814=1,Settings!$C$6,Settings!$C$7))*100)</f>
        <v/>
      </c>
      <c r="AB1814" s="7" t="n"/>
      <c r="AE1814" s="11" t="n"/>
      <c r="AG1814" s="7">
        <f>IF($C1814="","",U1814*X1814/100)</f>
        <v/>
      </c>
      <c r="AH1814" s="7">
        <f>IF($C1814="","",U1814-AG1814)</f>
        <v/>
      </c>
      <c r="AI1814" s="7">
        <f>IF($C1814="","",AH1814-M1814)</f>
        <v/>
      </c>
      <c r="AJ1814">
        <f>IF($C1814="","",IF(COUNTIF($C$2:$C1814,$C1814)=1,1,0))</f>
        <v/>
      </c>
      <c r="AK1814">
        <f>IF($AJ1814=1,SUMPRODUCT(--($AN$2:$AN$4001&lt;$AN1814))+1,"")</f>
        <v/>
      </c>
      <c r="AL1814">
        <f>IF($C1814="","",IF(OR($Q1814=TRUE(),$Q1814="TRUE"),1,0))</f>
        <v/>
      </c>
      <c r="AM1814">
        <f>IF($C1814="","",IF($W1814="Yes",1,0))</f>
        <v/>
      </c>
      <c r="AN1814">
        <f>IF($AJ1814=1,IFERROR(IF(VALUE($C1814)&lt;100000000,VALUE($C1814),1000000000),IFERROR(IF(VALUE(MID($C1814,2,20))&lt;100000000,VALUE(MID($C1814,2,20)),1000000000),1000000000))+ROW()/100000,"")</f>
        <v/>
      </c>
    </row>
    <row r="1815">
      <c r="E1815" s="11" t="n"/>
      <c r="M1815" s="7">
        <f>IF($C1815="","",L1815*U1815/100)</f>
        <v/>
      </c>
      <c r="N1815" s="7" t="n"/>
      <c r="T1815" s="7" t="n"/>
      <c r="U1815" s="7">
        <f>IF($C1815="","",S1815*T1815)</f>
        <v/>
      </c>
      <c r="X1815">
        <f>IF($C1815="","",IF($AM1815=1,0,IF($AL1815=1,Settings!$C$6,Settings!$C$7))*100)</f>
        <v/>
      </c>
      <c r="AB1815" s="7" t="n"/>
      <c r="AE1815" s="11" t="n"/>
      <c r="AG1815" s="7">
        <f>IF($C1815="","",U1815*X1815/100)</f>
        <v/>
      </c>
      <c r="AH1815" s="7">
        <f>IF($C1815="","",U1815-AG1815)</f>
        <v/>
      </c>
      <c r="AI1815" s="7">
        <f>IF($C1815="","",AH1815-M1815)</f>
        <v/>
      </c>
      <c r="AJ1815">
        <f>IF($C1815="","",IF(COUNTIF($C$2:$C1815,$C1815)=1,1,0))</f>
        <v/>
      </c>
      <c r="AK1815">
        <f>IF($AJ1815=1,SUMPRODUCT(--($AN$2:$AN$4001&lt;$AN1815))+1,"")</f>
        <v/>
      </c>
      <c r="AL1815">
        <f>IF($C1815="","",IF(OR($Q1815=TRUE(),$Q1815="TRUE"),1,0))</f>
        <v/>
      </c>
      <c r="AM1815">
        <f>IF($C1815="","",IF($W1815="Yes",1,0))</f>
        <v/>
      </c>
      <c r="AN1815">
        <f>IF($AJ1815=1,IFERROR(IF(VALUE($C1815)&lt;100000000,VALUE($C1815),1000000000),IFERROR(IF(VALUE(MID($C1815,2,20))&lt;100000000,VALUE(MID($C1815,2,20)),1000000000),1000000000))+ROW()/100000,"")</f>
        <v/>
      </c>
    </row>
    <row r="1816">
      <c r="E1816" s="11" t="n"/>
      <c r="M1816" s="7">
        <f>IF($C1816="","",L1816*U1816/100)</f>
        <v/>
      </c>
      <c r="N1816" s="7" t="n"/>
      <c r="T1816" s="7" t="n"/>
      <c r="U1816" s="7">
        <f>IF($C1816="","",S1816*T1816)</f>
        <v/>
      </c>
      <c r="X1816">
        <f>IF($C1816="","",IF($AM1816=1,0,IF($AL1816=1,Settings!$C$6,Settings!$C$7))*100)</f>
        <v/>
      </c>
      <c r="AB1816" s="7" t="n"/>
      <c r="AE1816" s="11" t="n"/>
      <c r="AG1816" s="7">
        <f>IF($C1816="","",U1816*X1816/100)</f>
        <v/>
      </c>
      <c r="AH1816" s="7">
        <f>IF($C1816="","",U1816-AG1816)</f>
        <v/>
      </c>
      <c r="AI1816" s="7">
        <f>IF($C1816="","",AH1816-M1816)</f>
        <v/>
      </c>
      <c r="AJ1816">
        <f>IF($C1816="","",IF(COUNTIF($C$2:$C1816,$C1816)=1,1,0))</f>
        <v/>
      </c>
      <c r="AK1816">
        <f>IF($AJ1816=1,SUMPRODUCT(--($AN$2:$AN$4001&lt;$AN1816))+1,"")</f>
        <v/>
      </c>
      <c r="AL1816">
        <f>IF($C1816="","",IF(OR($Q1816=TRUE(),$Q1816="TRUE"),1,0))</f>
        <v/>
      </c>
      <c r="AM1816">
        <f>IF($C1816="","",IF($W1816="Yes",1,0))</f>
        <v/>
      </c>
      <c r="AN1816">
        <f>IF($AJ1816=1,IFERROR(IF(VALUE($C1816)&lt;100000000,VALUE($C1816),1000000000),IFERROR(IF(VALUE(MID($C1816,2,20))&lt;100000000,VALUE(MID($C1816,2,20)),1000000000),1000000000))+ROW()/100000,"")</f>
        <v/>
      </c>
    </row>
    <row r="1817">
      <c r="E1817" s="11" t="n"/>
      <c r="M1817" s="7">
        <f>IF($C1817="","",L1817*U1817/100)</f>
        <v/>
      </c>
      <c r="N1817" s="7" t="n"/>
      <c r="T1817" s="7" t="n"/>
      <c r="U1817" s="7">
        <f>IF($C1817="","",S1817*T1817)</f>
        <v/>
      </c>
      <c r="X1817">
        <f>IF($C1817="","",IF($AM1817=1,0,IF($AL1817=1,Settings!$C$6,Settings!$C$7))*100)</f>
        <v/>
      </c>
      <c r="AB1817" s="7" t="n"/>
      <c r="AE1817" s="11" t="n"/>
      <c r="AG1817" s="7">
        <f>IF($C1817="","",U1817*X1817/100)</f>
        <v/>
      </c>
      <c r="AH1817" s="7">
        <f>IF($C1817="","",U1817-AG1817)</f>
        <v/>
      </c>
      <c r="AI1817" s="7">
        <f>IF($C1817="","",AH1817-M1817)</f>
        <v/>
      </c>
      <c r="AJ1817">
        <f>IF($C1817="","",IF(COUNTIF($C$2:$C1817,$C1817)=1,1,0))</f>
        <v/>
      </c>
      <c r="AK1817">
        <f>IF($AJ1817=1,SUMPRODUCT(--($AN$2:$AN$4001&lt;$AN1817))+1,"")</f>
        <v/>
      </c>
      <c r="AL1817">
        <f>IF($C1817="","",IF(OR($Q1817=TRUE(),$Q1817="TRUE"),1,0))</f>
        <v/>
      </c>
      <c r="AM1817">
        <f>IF($C1817="","",IF($W1817="Yes",1,0))</f>
        <v/>
      </c>
      <c r="AN1817">
        <f>IF($AJ1817=1,IFERROR(IF(VALUE($C1817)&lt;100000000,VALUE($C1817),1000000000),IFERROR(IF(VALUE(MID($C1817,2,20))&lt;100000000,VALUE(MID($C1817,2,20)),1000000000),1000000000))+ROW()/100000,"")</f>
        <v/>
      </c>
    </row>
    <row r="1818">
      <c r="E1818" s="11" t="n"/>
      <c r="M1818" s="7">
        <f>IF($C1818="","",L1818*U1818/100)</f>
        <v/>
      </c>
      <c r="N1818" s="7" t="n"/>
      <c r="T1818" s="7" t="n"/>
      <c r="U1818" s="7">
        <f>IF($C1818="","",S1818*T1818)</f>
        <v/>
      </c>
      <c r="X1818">
        <f>IF($C1818="","",IF($AM1818=1,0,IF($AL1818=1,Settings!$C$6,Settings!$C$7))*100)</f>
        <v/>
      </c>
      <c r="AB1818" s="7" t="n"/>
      <c r="AE1818" s="11" t="n"/>
      <c r="AG1818" s="7">
        <f>IF($C1818="","",U1818*X1818/100)</f>
        <v/>
      </c>
      <c r="AH1818" s="7">
        <f>IF($C1818="","",U1818-AG1818)</f>
        <v/>
      </c>
      <c r="AI1818" s="7">
        <f>IF($C1818="","",AH1818-M1818)</f>
        <v/>
      </c>
      <c r="AJ1818">
        <f>IF($C1818="","",IF(COUNTIF($C$2:$C1818,$C1818)=1,1,0))</f>
        <v/>
      </c>
      <c r="AK1818">
        <f>IF($AJ1818=1,SUMPRODUCT(--($AN$2:$AN$4001&lt;$AN1818))+1,"")</f>
        <v/>
      </c>
      <c r="AL1818">
        <f>IF($C1818="","",IF(OR($Q1818=TRUE(),$Q1818="TRUE"),1,0))</f>
        <v/>
      </c>
      <c r="AM1818">
        <f>IF($C1818="","",IF($W1818="Yes",1,0))</f>
        <v/>
      </c>
      <c r="AN1818">
        <f>IF($AJ1818=1,IFERROR(IF(VALUE($C1818)&lt;100000000,VALUE($C1818),1000000000),IFERROR(IF(VALUE(MID($C1818,2,20))&lt;100000000,VALUE(MID($C1818,2,20)),1000000000),1000000000))+ROW()/100000,"")</f>
        <v/>
      </c>
    </row>
    <row r="1819">
      <c r="E1819" s="11" t="n"/>
      <c r="M1819" s="7">
        <f>IF($C1819="","",L1819*U1819/100)</f>
        <v/>
      </c>
      <c r="N1819" s="7" t="n"/>
      <c r="T1819" s="7" t="n"/>
      <c r="U1819" s="7">
        <f>IF($C1819="","",S1819*T1819)</f>
        <v/>
      </c>
      <c r="X1819">
        <f>IF($C1819="","",IF($AM1819=1,0,IF($AL1819=1,Settings!$C$6,Settings!$C$7))*100)</f>
        <v/>
      </c>
      <c r="AB1819" s="7" t="n"/>
      <c r="AE1819" s="11" t="n"/>
      <c r="AG1819" s="7">
        <f>IF($C1819="","",U1819*X1819/100)</f>
        <v/>
      </c>
      <c r="AH1819" s="7">
        <f>IF($C1819="","",U1819-AG1819)</f>
        <v/>
      </c>
      <c r="AI1819" s="7">
        <f>IF($C1819="","",AH1819-M1819)</f>
        <v/>
      </c>
      <c r="AJ1819">
        <f>IF($C1819="","",IF(COUNTIF($C$2:$C1819,$C1819)=1,1,0))</f>
        <v/>
      </c>
      <c r="AK1819">
        <f>IF($AJ1819=1,SUMPRODUCT(--($AN$2:$AN$4001&lt;$AN1819))+1,"")</f>
        <v/>
      </c>
      <c r="AL1819">
        <f>IF($C1819="","",IF(OR($Q1819=TRUE(),$Q1819="TRUE"),1,0))</f>
        <v/>
      </c>
      <c r="AM1819">
        <f>IF($C1819="","",IF($W1819="Yes",1,0))</f>
        <v/>
      </c>
      <c r="AN1819">
        <f>IF($AJ1819=1,IFERROR(IF(VALUE($C1819)&lt;100000000,VALUE($C1819),1000000000),IFERROR(IF(VALUE(MID($C1819,2,20))&lt;100000000,VALUE(MID($C1819,2,20)),1000000000),1000000000))+ROW()/100000,"")</f>
        <v/>
      </c>
    </row>
    <row r="1820">
      <c r="E1820" s="11" t="n"/>
      <c r="M1820" s="7">
        <f>IF($C1820="","",L1820*U1820/100)</f>
        <v/>
      </c>
      <c r="N1820" s="7" t="n"/>
      <c r="T1820" s="7" t="n"/>
      <c r="U1820" s="7">
        <f>IF($C1820="","",S1820*T1820)</f>
        <v/>
      </c>
      <c r="X1820">
        <f>IF($C1820="","",IF($AM1820=1,0,IF($AL1820=1,Settings!$C$6,Settings!$C$7))*100)</f>
        <v/>
      </c>
      <c r="AB1820" s="7" t="n"/>
      <c r="AE1820" s="11" t="n"/>
      <c r="AG1820" s="7">
        <f>IF($C1820="","",U1820*X1820/100)</f>
        <v/>
      </c>
      <c r="AH1820" s="7">
        <f>IF($C1820="","",U1820-AG1820)</f>
        <v/>
      </c>
      <c r="AI1820" s="7">
        <f>IF($C1820="","",AH1820-M1820)</f>
        <v/>
      </c>
      <c r="AJ1820">
        <f>IF($C1820="","",IF(COUNTIF($C$2:$C1820,$C1820)=1,1,0))</f>
        <v/>
      </c>
      <c r="AK1820">
        <f>IF($AJ1820=1,SUMPRODUCT(--($AN$2:$AN$4001&lt;$AN1820))+1,"")</f>
        <v/>
      </c>
      <c r="AL1820">
        <f>IF($C1820="","",IF(OR($Q1820=TRUE(),$Q1820="TRUE"),1,0))</f>
        <v/>
      </c>
      <c r="AM1820">
        <f>IF($C1820="","",IF($W1820="Yes",1,0))</f>
        <v/>
      </c>
      <c r="AN1820">
        <f>IF($AJ1820=1,IFERROR(IF(VALUE($C1820)&lt;100000000,VALUE($C1820),1000000000),IFERROR(IF(VALUE(MID($C1820,2,20))&lt;100000000,VALUE(MID($C1820,2,20)),1000000000),1000000000))+ROW()/100000,"")</f>
        <v/>
      </c>
    </row>
    <row r="1821">
      <c r="E1821" s="11" t="n"/>
      <c r="M1821" s="7">
        <f>IF($C1821="","",L1821*U1821/100)</f>
        <v/>
      </c>
      <c r="N1821" s="7" t="n"/>
      <c r="T1821" s="7" t="n"/>
      <c r="U1821" s="7">
        <f>IF($C1821="","",S1821*T1821)</f>
        <v/>
      </c>
      <c r="X1821">
        <f>IF($C1821="","",IF($AM1821=1,0,IF($AL1821=1,Settings!$C$6,Settings!$C$7))*100)</f>
        <v/>
      </c>
      <c r="AB1821" s="7" t="n"/>
      <c r="AE1821" s="11" t="n"/>
      <c r="AG1821" s="7">
        <f>IF($C1821="","",U1821*X1821/100)</f>
        <v/>
      </c>
      <c r="AH1821" s="7">
        <f>IF($C1821="","",U1821-AG1821)</f>
        <v/>
      </c>
      <c r="AI1821" s="7">
        <f>IF($C1821="","",AH1821-M1821)</f>
        <v/>
      </c>
      <c r="AJ1821">
        <f>IF($C1821="","",IF(COUNTIF($C$2:$C1821,$C1821)=1,1,0))</f>
        <v/>
      </c>
      <c r="AK1821">
        <f>IF($AJ1821=1,SUMPRODUCT(--($AN$2:$AN$4001&lt;$AN1821))+1,"")</f>
        <v/>
      </c>
      <c r="AL1821">
        <f>IF($C1821="","",IF(OR($Q1821=TRUE(),$Q1821="TRUE"),1,0))</f>
        <v/>
      </c>
      <c r="AM1821">
        <f>IF($C1821="","",IF($W1821="Yes",1,0))</f>
        <v/>
      </c>
      <c r="AN1821">
        <f>IF($AJ1821=1,IFERROR(IF(VALUE($C1821)&lt;100000000,VALUE($C1821),1000000000),IFERROR(IF(VALUE(MID($C1821,2,20))&lt;100000000,VALUE(MID($C1821,2,20)),1000000000),1000000000))+ROW()/100000,"")</f>
        <v/>
      </c>
    </row>
    <row r="1822">
      <c r="E1822" s="11" t="n"/>
      <c r="M1822" s="7">
        <f>IF($C1822="","",L1822*U1822/100)</f>
        <v/>
      </c>
      <c r="N1822" s="7" t="n"/>
      <c r="T1822" s="7" t="n"/>
      <c r="U1822" s="7">
        <f>IF($C1822="","",S1822*T1822)</f>
        <v/>
      </c>
      <c r="X1822">
        <f>IF($C1822="","",IF($AM1822=1,0,IF($AL1822=1,Settings!$C$6,Settings!$C$7))*100)</f>
        <v/>
      </c>
      <c r="AB1822" s="7" t="n"/>
      <c r="AE1822" s="11" t="n"/>
      <c r="AG1822" s="7">
        <f>IF($C1822="","",U1822*X1822/100)</f>
        <v/>
      </c>
      <c r="AH1822" s="7">
        <f>IF($C1822="","",U1822-AG1822)</f>
        <v/>
      </c>
      <c r="AI1822" s="7">
        <f>IF($C1822="","",AH1822-M1822)</f>
        <v/>
      </c>
      <c r="AJ1822">
        <f>IF($C1822="","",IF(COUNTIF($C$2:$C1822,$C1822)=1,1,0))</f>
        <v/>
      </c>
      <c r="AK1822">
        <f>IF($AJ1822=1,SUMPRODUCT(--($AN$2:$AN$4001&lt;$AN1822))+1,"")</f>
        <v/>
      </c>
      <c r="AL1822">
        <f>IF($C1822="","",IF(OR($Q1822=TRUE(),$Q1822="TRUE"),1,0))</f>
        <v/>
      </c>
      <c r="AM1822">
        <f>IF($C1822="","",IF($W1822="Yes",1,0))</f>
        <v/>
      </c>
      <c r="AN1822">
        <f>IF($AJ1822=1,IFERROR(IF(VALUE($C1822)&lt;100000000,VALUE($C1822),1000000000),IFERROR(IF(VALUE(MID($C1822,2,20))&lt;100000000,VALUE(MID($C1822,2,20)),1000000000),1000000000))+ROW()/100000,"")</f>
        <v/>
      </c>
    </row>
    <row r="1823">
      <c r="E1823" s="11" t="n"/>
      <c r="M1823" s="7">
        <f>IF($C1823="","",L1823*U1823/100)</f>
        <v/>
      </c>
      <c r="N1823" s="7" t="n"/>
      <c r="T1823" s="7" t="n"/>
      <c r="U1823" s="7">
        <f>IF($C1823="","",S1823*T1823)</f>
        <v/>
      </c>
      <c r="X1823">
        <f>IF($C1823="","",IF($AM1823=1,0,IF($AL1823=1,Settings!$C$6,Settings!$C$7))*100)</f>
        <v/>
      </c>
      <c r="AB1823" s="7" t="n"/>
      <c r="AE1823" s="11" t="n"/>
      <c r="AG1823" s="7">
        <f>IF($C1823="","",U1823*X1823/100)</f>
        <v/>
      </c>
      <c r="AH1823" s="7">
        <f>IF($C1823="","",U1823-AG1823)</f>
        <v/>
      </c>
      <c r="AI1823" s="7">
        <f>IF($C1823="","",AH1823-M1823)</f>
        <v/>
      </c>
      <c r="AJ1823">
        <f>IF($C1823="","",IF(COUNTIF($C$2:$C1823,$C1823)=1,1,0))</f>
        <v/>
      </c>
      <c r="AK1823">
        <f>IF($AJ1823=1,SUMPRODUCT(--($AN$2:$AN$4001&lt;$AN1823))+1,"")</f>
        <v/>
      </c>
      <c r="AL1823">
        <f>IF($C1823="","",IF(OR($Q1823=TRUE(),$Q1823="TRUE"),1,0))</f>
        <v/>
      </c>
      <c r="AM1823">
        <f>IF($C1823="","",IF($W1823="Yes",1,0))</f>
        <v/>
      </c>
      <c r="AN1823">
        <f>IF($AJ1823=1,IFERROR(IF(VALUE($C1823)&lt;100000000,VALUE($C1823),1000000000),IFERROR(IF(VALUE(MID($C1823,2,20))&lt;100000000,VALUE(MID($C1823,2,20)),1000000000),1000000000))+ROW()/100000,"")</f>
        <v/>
      </c>
    </row>
    <row r="1824">
      <c r="E1824" s="11" t="n"/>
      <c r="M1824" s="7">
        <f>IF($C1824="","",L1824*U1824/100)</f>
        <v/>
      </c>
      <c r="N1824" s="7" t="n"/>
      <c r="T1824" s="7" t="n"/>
      <c r="U1824" s="7">
        <f>IF($C1824="","",S1824*T1824)</f>
        <v/>
      </c>
      <c r="X1824">
        <f>IF($C1824="","",IF($AM1824=1,0,IF($AL1824=1,Settings!$C$6,Settings!$C$7))*100)</f>
        <v/>
      </c>
      <c r="AB1824" s="7" t="n"/>
      <c r="AE1824" s="11" t="n"/>
      <c r="AG1824" s="7">
        <f>IF($C1824="","",U1824*X1824/100)</f>
        <v/>
      </c>
      <c r="AH1824" s="7">
        <f>IF($C1824="","",U1824-AG1824)</f>
        <v/>
      </c>
      <c r="AI1824" s="7">
        <f>IF($C1824="","",AH1824-M1824)</f>
        <v/>
      </c>
      <c r="AJ1824">
        <f>IF($C1824="","",IF(COUNTIF($C$2:$C1824,$C1824)=1,1,0))</f>
        <v/>
      </c>
      <c r="AK1824">
        <f>IF($AJ1824=1,SUMPRODUCT(--($AN$2:$AN$4001&lt;$AN1824))+1,"")</f>
        <v/>
      </c>
      <c r="AL1824">
        <f>IF($C1824="","",IF(OR($Q1824=TRUE(),$Q1824="TRUE"),1,0))</f>
        <v/>
      </c>
      <c r="AM1824">
        <f>IF($C1824="","",IF($W1824="Yes",1,0))</f>
        <v/>
      </c>
      <c r="AN1824">
        <f>IF($AJ1824=1,IFERROR(IF(VALUE($C1824)&lt;100000000,VALUE($C1824),1000000000),IFERROR(IF(VALUE(MID($C1824,2,20))&lt;100000000,VALUE(MID($C1824,2,20)),1000000000),1000000000))+ROW()/100000,"")</f>
        <v/>
      </c>
    </row>
    <row r="1825">
      <c r="E1825" s="11" t="n"/>
      <c r="M1825" s="7">
        <f>IF($C1825="","",L1825*U1825/100)</f>
        <v/>
      </c>
      <c r="N1825" s="7" t="n"/>
      <c r="T1825" s="7" t="n"/>
      <c r="U1825" s="7">
        <f>IF($C1825="","",S1825*T1825)</f>
        <v/>
      </c>
      <c r="X1825">
        <f>IF($C1825="","",IF($AM1825=1,0,IF($AL1825=1,Settings!$C$6,Settings!$C$7))*100)</f>
        <v/>
      </c>
      <c r="AB1825" s="7" t="n"/>
      <c r="AE1825" s="11" t="n"/>
      <c r="AG1825" s="7">
        <f>IF($C1825="","",U1825*X1825/100)</f>
        <v/>
      </c>
      <c r="AH1825" s="7">
        <f>IF($C1825="","",U1825-AG1825)</f>
        <v/>
      </c>
      <c r="AI1825" s="7">
        <f>IF($C1825="","",AH1825-M1825)</f>
        <v/>
      </c>
      <c r="AJ1825">
        <f>IF($C1825="","",IF(COUNTIF($C$2:$C1825,$C1825)=1,1,0))</f>
        <v/>
      </c>
      <c r="AK1825">
        <f>IF($AJ1825=1,SUMPRODUCT(--($AN$2:$AN$4001&lt;$AN1825))+1,"")</f>
        <v/>
      </c>
      <c r="AL1825">
        <f>IF($C1825="","",IF(OR($Q1825=TRUE(),$Q1825="TRUE"),1,0))</f>
        <v/>
      </c>
      <c r="AM1825">
        <f>IF($C1825="","",IF($W1825="Yes",1,0))</f>
        <v/>
      </c>
      <c r="AN1825">
        <f>IF($AJ1825=1,IFERROR(IF(VALUE($C1825)&lt;100000000,VALUE($C1825),1000000000),IFERROR(IF(VALUE(MID($C1825,2,20))&lt;100000000,VALUE(MID($C1825,2,20)),1000000000),1000000000))+ROW()/100000,"")</f>
        <v/>
      </c>
    </row>
    <row r="1826">
      <c r="E1826" s="11" t="n"/>
      <c r="M1826" s="7">
        <f>IF($C1826="","",L1826*U1826/100)</f>
        <v/>
      </c>
      <c r="N1826" s="7" t="n"/>
      <c r="T1826" s="7" t="n"/>
      <c r="U1826" s="7">
        <f>IF($C1826="","",S1826*T1826)</f>
        <v/>
      </c>
      <c r="X1826">
        <f>IF($C1826="","",IF($AM1826=1,0,IF($AL1826=1,Settings!$C$6,Settings!$C$7))*100)</f>
        <v/>
      </c>
      <c r="AB1826" s="7" t="n"/>
      <c r="AE1826" s="11" t="n"/>
      <c r="AG1826" s="7">
        <f>IF($C1826="","",U1826*X1826/100)</f>
        <v/>
      </c>
      <c r="AH1826" s="7">
        <f>IF($C1826="","",U1826-AG1826)</f>
        <v/>
      </c>
      <c r="AI1826" s="7">
        <f>IF($C1826="","",AH1826-M1826)</f>
        <v/>
      </c>
      <c r="AJ1826">
        <f>IF($C1826="","",IF(COUNTIF($C$2:$C1826,$C1826)=1,1,0))</f>
        <v/>
      </c>
      <c r="AK1826">
        <f>IF($AJ1826=1,SUMPRODUCT(--($AN$2:$AN$4001&lt;$AN1826))+1,"")</f>
        <v/>
      </c>
      <c r="AL1826">
        <f>IF($C1826="","",IF(OR($Q1826=TRUE(),$Q1826="TRUE"),1,0))</f>
        <v/>
      </c>
      <c r="AM1826">
        <f>IF($C1826="","",IF($W1826="Yes",1,0))</f>
        <v/>
      </c>
      <c r="AN1826">
        <f>IF($AJ1826=1,IFERROR(IF(VALUE($C1826)&lt;100000000,VALUE($C1826),1000000000),IFERROR(IF(VALUE(MID($C1826,2,20))&lt;100000000,VALUE(MID($C1826,2,20)),1000000000),1000000000))+ROW()/100000,"")</f>
        <v/>
      </c>
    </row>
    <row r="1827">
      <c r="E1827" s="11" t="n"/>
      <c r="M1827" s="7">
        <f>IF($C1827="","",L1827*U1827/100)</f>
        <v/>
      </c>
      <c r="N1827" s="7" t="n"/>
      <c r="T1827" s="7" t="n"/>
      <c r="U1827" s="7">
        <f>IF($C1827="","",S1827*T1827)</f>
        <v/>
      </c>
      <c r="X1827">
        <f>IF($C1827="","",IF($AM1827=1,0,IF($AL1827=1,Settings!$C$6,Settings!$C$7))*100)</f>
        <v/>
      </c>
      <c r="AB1827" s="7" t="n"/>
      <c r="AE1827" s="11" t="n"/>
      <c r="AG1827" s="7">
        <f>IF($C1827="","",U1827*X1827/100)</f>
        <v/>
      </c>
      <c r="AH1827" s="7">
        <f>IF($C1827="","",U1827-AG1827)</f>
        <v/>
      </c>
      <c r="AI1827" s="7">
        <f>IF($C1827="","",AH1827-M1827)</f>
        <v/>
      </c>
      <c r="AJ1827">
        <f>IF($C1827="","",IF(COUNTIF($C$2:$C1827,$C1827)=1,1,0))</f>
        <v/>
      </c>
      <c r="AK1827">
        <f>IF($AJ1827=1,SUMPRODUCT(--($AN$2:$AN$4001&lt;$AN1827))+1,"")</f>
        <v/>
      </c>
      <c r="AL1827">
        <f>IF($C1827="","",IF(OR($Q1827=TRUE(),$Q1827="TRUE"),1,0))</f>
        <v/>
      </c>
      <c r="AM1827">
        <f>IF($C1827="","",IF($W1827="Yes",1,0))</f>
        <v/>
      </c>
      <c r="AN1827">
        <f>IF($AJ1827=1,IFERROR(IF(VALUE($C1827)&lt;100000000,VALUE($C1827),1000000000),IFERROR(IF(VALUE(MID($C1827,2,20))&lt;100000000,VALUE(MID($C1827,2,20)),1000000000),1000000000))+ROW()/100000,"")</f>
        <v/>
      </c>
    </row>
    <row r="1828">
      <c r="E1828" s="11" t="n"/>
      <c r="M1828" s="7">
        <f>IF($C1828="","",L1828*U1828/100)</f>
        <v/>
      </c>
      <c r="N1828" s="7" t="n"/>
      <c r="T1828" s="7" t="n"/>
      <c r="U1828" s="7">
        <f>IF($C1828="","",S1828*T1828)</f>
        <v/>
      </c>
      <c r="X1828">
        <f>IF($C1828="","",IF($AM1828=1,0,IF($AL1828=1,Settings!$C$6,Settings!$C$7))*100)</f>
        <v/>
      </c>
      <c r="AB1828" s="7" t="n"/>
      <c r="AE1828" s="11" t="n"/>
      <c r="AG1828" s="7">
        <f>IF($C1828="","",U1828*X1828/100)</f>
        <v/>
      </c>
      <c r="AH1828" s="7">
        <f>IF($C1828="","",U1828-AG1828)</f>
        <v/>
      </c>
      <c r="AI1828" s="7">
        <f>IF($C1828="","",AH1828-M1828)</f>
        <v/>
      </c>
      <c r="AJ1828">
        <f>IF($C1828="","",IF(COUNTIF($C$2:$C1828,$C1828)=1,1,0))</f>
        <v/>
      </c>
      <c r="AK1828">
        <f>IF($AJ1828=1,SUMPRODUCT(--($AN$2:$AN$4001&lt;$AN1828))+1,"")</f>
        <v/>
      </c>
      <c r="AL1828">
        <f>IF($C1828="","",IF(OR($Q1828=TRUE(),$Q1828="TRUE"),1,0))</f>
        <v/>
      </c>
      <c r="AM1828">
        <f>IF($C1828="","",IF($W1828="Yes",1,0))</f>
        <v/>
      </c>
      <c r="AN1828">
        <f>IF($AJ1828=1,IFERROR(IF(VALUE($C1828)&lt;100000000,VALUE($C1828),1000000000),IFERROR(IF(VALUE(MID($C1828,2,20))&lt;100000000,VALUE(MID($C1828,2,20)),1000000000),1000000000))+ROW()/100000,"")</f>
        <v/>
      </c>
    </row>
    <row r="1829">
      <c r="E1829" s="11" t="n"/>
      <c r="M1829" s="7">
        <f>IF($C1829="","",L1829*U1829/100)</f>
        <v/>
      </c>
      <c r="N1829" s="7" t="n"/>
      <c r="T1829" s="7" t="n"/>
      <c r="U1829" s="7">
        <f>IF($C1829="","",S1829*T1829)</f>
        <v/>
      </c>
      <c r="X1829">
        <f>IF($C1829="","",IF($AM1829=1,0,IF($AL1829=1,Settings!$C$6,Settings!$C$7))*100)</f>
        <v/>
      </c>
      <c r="AB1829" s="7" t="n"/>
      <c r="AE1829" s="11" t="n"/>
      <c r="AG1829" s="7">
        <f>IF($C1829="","",U1829*X1829/100)</f>
        <v/>
      </c>
      <c r="AH1829" s="7">
        <f>IF($C1829="","",U1829-AG1829)</f>
        <v/>
      </c>
      <c r="AI1829" s="7">
        <f>IF($C1829="","",AH1829-M1829)</f>
        <v/>
      </c>
      <c r="AJ1829">
        <f>IF($C1829="","",IF(COUNTIF($C$2:$C1829,$C1829)=1,1,0))</f>
        <v/>
      </c>
      <c r="AK1829">
        <f>IF($AJ1829=1,SUMPRODUCT(--($AN$2:$AN$4001&lt;$AN1829))+1,"")</f>
        <v/>
      </c>
      <c r="AL1829">
        <f>IF($C1829="","",IF(OR($Q1829=TRUE(),$Q1829="TRUE"),1,0))</f>
        <v/>
      </c>
      <c r="AM1829">
        <f>IF($C1829="","",IF($W1829="Yes",1,0))</f>
        <v/>
      </c>
      <c r="AN1829">
        <f>IF($AJ1829=1,IFERROR(IF(VALUE($C1829)&lt;100000000,VALUE($C1829),1000000000),IFERROR(IF(VALUE(MID($C1829,2,20))&lt;100000000,VALUE(MID($C1829,2,20)),1000000000),1000000000))+ROW()/100000,"")</f>
        <v/>
      </c>
    </row>
    <row r="1830">
      <c r="E1830" s="11" t="n"/>
      <c r="M1830" s="7">
        <f>IF($C1830="","",L1830*U1830/100)</f>
        <v/>
      </c>
      <c r="N1830" s="7" t="n"/>
      <c r="T1830" s="7" t="n"/>
      <c r="U1830" s="7">
        <f>IF($C1830="","",S1830*T1830)</f>
        <v/>
      </c>
      <c r="X1830">
        <f>IF($C1830="","",IF($AM1830=1,0,IF($AL1830=1,Settings!$C$6,Settings!$C$7))*100)</f>
        <v/>
      </c>
      <c r="AB1830" s="7" t="n"/>
      <c r="AE1830" s="11" t="n"/>
      <c r="AG1830" s="7">
        <f>IF($C1830="","",U1830*X1830/100)</f>
        <v/>
      </c>
      <c r="AH1830" s="7">
        <f>IF($C1830="","",U1830-AG1830)</f>
        <v/>
      </c>
      <c r="AI1830" s="7">
        <f>IF($C1830="","",AH1830-M1830)</f>
        <v/>
      </c>
      <c r="AJ1830">
        <f>IF($C1830="","",IF(COUNTIF($C$2:$C1830,$C1830)=1,1,0))</f>
        <v/>
      </c>
      <c r="AK1830">
        <f>IF($AJ1830=1,SUMPRODUCT(--($AN$2:$AN$4001&lt;$AN1830))+1,"")</f>
        <v/>
      </c>
      <c r="AL1830">
        <f>IF($C1830="","",IF(OR($Q1830=TRUE(),$Q1830="TRUE"),1,0))</f>
        <v/>
      </c>
      <c r="AM1830">
        <f>IF($C1830="","",IF($W1830="Yes",1,0))</f>
        <v/>
      </c>
      <c r="AN1830">
        <f>IF($AJ1830=1,IFERROR(IF(VALUE($C1830)&lt;100000000,VALUE($C1830),1000000000),IFERROR(IF(VALUE(MID($C1830,2,20))&lt;100000000,VALUE(MID($C1830,2,20)),1000000000),1000000000))+ROW()/100000,"")</f>
        <v/>
      </c>
    </row>
    <row r="1831">
      <c r="E1831" s="11" t="n"/>
      <c r="M1831" s="7">
        <f>IF($C1831="","",L1831*U1831/100)</f>
        <v/>
      </c>
      <c r="N1831" s="7" t="n"/>
      <c r="T1831" s="7" t="n"/>
      <c r="U1831" s="7">
        <f>IF($C1831="","",S1831*T1831)</f>
        <v/>
      </c>
      <c r="X1831">
        <f>IF($C1831="","",IF($AM1831=1,0,IF($AL1831=1,Settings!$C$6,Settings!$C$7))*100)</f>
        <v/>
      </c>
      <c r="AB1831" s="7" t="n"/>
      <c r="AE1831" s="11" t="n"/>
      <c r="AG1831" s="7">
        <f>IF($C1831="","",U1831*X1831/100)</f>
        <v/>
      </c>
      <c r="AH1831" s="7">
        <f>IF($C1831="","",U1831-AG1831)</f>
        <v/>
      </c>
      <c r="AI1831" s="7">
        <f>IF($C1831="","",AH1831-M1831)</f>
        <v/>
      </c>
      <c r="AJ1831">
        <f>IF($C1831="","",IF(COUNTIF($C$2:$C1831,$C1831)=1,1,0))</f>
        <v/>
      </c>
      <c r="AK1831">
        <f>IF($AJ1831=1,SUMPRODUCT(--($AN$2:$AN$4001&lt;$AN1831))+1,"")</f>
        <v/>
      </c>
      <c r="AL1831">
        <f>IF($C1831="","",IF(OR($Q1831=TRUE(),$Q1831="TRUE"),1,0))</f>
        <v/>
      </c>
      <c r="AM1831">
        <f>IF($C1831="","",IF($W1831="Yes",1,0))</f>
        <v/>
      </c>
      <c r="AN1831">
        <f>IF($AJ1831=1,IFERROR(IF(VALUE($C1831)&lt;100000000,VALUE($C1831),1000000000),IFERROR(IF(VALUE(MID($C1831,2,20))&lt;100000000,VALUE(MID($C1831,2,20)),1000000000),1000000000))+ROW()/100000,"")</f>
        <v/>
      </c>
    </row>
    <row r="1832">
      <c r="E1832" s="11" t="n"/>
      <c r="M1832" s="7">
        <f>IF($C1832="","",L1832*U1832/100)</f>
        <v/>
      </c>
      <c r="N1832" s="7" t="n"/>
      <c r="T1832" s="7" t="n"/>
      <c r="U1832" s="7">
        <f>IF($C1832="","",S1832*T1832)</f>
        <v/>
      </c>
      <c r="X1832">
        <f>IF($C1832="","",IF($AM1832=1,0,IF($AL1832=1,Settings!$C$6,Settings!$C$7))*100)</f>
        <v/>
      </c>
      <c r="AB1832" s="7" t="n"/>
      <c r="AE1832" s="11" t="n"/>
      <c r="AG1832" s="7">
        <f>IF($C1832="","",U1832*X1832/100)</f>
        <v/>
      </c>
      <c r="AH1832" s="7">
        <f>IF($C1832="","",U1832-AG1832)</f>
        <v/>
      </c>
      <c r="AI1832" s="7">
        <f>IF($C1832="","",AH1832-M1832)</f>
        <v/>
      </c>
      <c r="AJ1832">
        <f>IF($C1832="","",IF(COUNTIF($C$2:$C1832,$C1832)=1,1,0))</f>
        <v/>
      </c>
      <c r="AK1832">
        <f>IF($AJ1832=1,SUMPRODUCT(--($AN$2:$AN$4001&lt;$AN1832))+1,"")</f>
        <v/>
      </c>
      <c r="AL1832">
        <f>IF($C1832="","",IF(OR($Q1832=TRUE(),$Q1832="TRUE"),1,0))</f>
        <v/>
      </c>
      <c r="AM1832">
        <f>IF($C1832="","",IF($W1832="Yes",1,0))</f>
        <v/>
      </c>
      <c r="AN1832">
        <f>IF($AJ1832=1,IFERROR(IF(VALUE($C1832)&lt;100000000,VALUE($C1832),1000000000),IFERROR(IF(VALUE(MID($C1832,2,20))&lt;100000000,VALUE(MID($C1832,2,20)),1000000000),1000000000))+ROW()/100000,"")</f>
        <v/>
      </c>
    </row>
    <row r="1833">
      <c r="E1833" s="11" t="n"/>
      <c r="M1833" s="7">
        <f>IF($C1833="","",L1833*U1833/100)</f>
        <v/>
      </c>
      <c r="N1833" s="7" t="n"/>
      <c r="T1833" s="7" t="n"/>
      <c r="U1833" s="7">
        <f>IF($C1833="","",S1833*T1833)</f>
        <v/>
      </c>
      <c r="X1833">
        <f>IF($C1833="","",IF($AM1833=1,0,IF($AL1833=1,Settings!$C$6,Settings!$C$7))*100)</f>
        <v/>
      </c>
      <c r="AB1833" s="7" t="n"/>
      <c r="AE1833" s="11" t="n"/>
      <c r="AG1833" s="7">
        <f>IF($C1833="","",U1833*X1833/100)</f>
        <v/>
      </c>
      <c r="AH1833" s="7">
        <f>IF($C1833="","",U1833-AG1833)</f>
        <v/>
      </c>
      <c r="AI1833" s="7">
        <f>IF($C1833="","",AH1833-M1833)</f>
        <v/>
      </c>
      <c r="AJ1833">
        <f>IF($C1833="","",IF(COUNTIF($C$2:$C1833,$C1833)=1,1,0))</f>
        <v/>
      </c>
      <c r="AK1833">
        <f>IF($AJ1833=1,SUMPRODUCT(--($AN$2:$AN$4001&lt;$AN1833))+1,"")</f>
        <v/>
      </c>
      <c r="AL1833">
        <f>IF($C1833="","",IF(OR($Q1833=TRUE(),$Q1833="TRUE"),1,0))</f>
        <v/>
      </c>
      <c r="AM1833">
        <f>IF($C1833="","",IF($W1833="Yes",1,0))</f>
        <v/>
      </c>
      <c r="AN1833">
        <f>IF($AJ1833=1,IFERROR(IF(VALUE($C1833)&lt;100000000,VALUE($C1833),1000000000),IFERROR(IF(VALUE(MID($C1833,2,20))&lt;100000000,VALUE(MID($C1833,2,20)),1000000000),1000000000))+ROW()/100000,"")</f>
        <v/>
      </c>
    </row>
    <row r="1834">
      <c r="E1834" s="11" t="n"/>
      <c r="M1834" s="7">
        <f>IF($C1834="","",L1834*U1834/100)</f>
        <v/>
      </c>
      <c r="N1834" s="7" t="n"/>
      <c r="T1834" s="7" t="n"/>
      <c r="U1834" s="7">
        <f>IF($C1834="","",S1834*T1834)</f>
        <v/>
      </c>
      <c r="X1834">
        <f>IF($C1834="","",IF($AM1834=1,0,IF($AL1834=1,Settings!$C$6,Settings!$C$7))*100)</f>
        <v/>
      </c>
      <c r="AB1834" s="7" t="n"/>
      <c r="AE1834" s="11" t="n"/>
      <c r="AG1834" s="7">
        <f>IF($C1834="","",U1834*X1834/100)</f>
        <v/>
      </c>
      <c r="AH1834" s="7">
        <f>IF($C1834="","",U1834-AG1834)</f>
        <v/>
      </c>
      <c r="AI1834" s="7">
        <f>IF($C1834="","",AH1834-M1834)</f>
        <v/>
      </c>
      <c r="AJ1834">
        <f>IF($C1834="","",IF(COUNTIF($C$2:$C1834,$C1834)=1,1,0))</f>
        <v/>
      </c>
      <c r="AK1834">
        <f>IF($AJ1834=1,SUMPRODUCT(--($AN$2:$AN$4001&lt;$AN1834))+1,"")</f>
        <v/>
      </c>
      <c r="AL1834">
        <f>IF($C1834="","",IF(OR($Q1834=TRUE(),$Q1834="TRUE"),1,0))</f>
        <v/>
      </c>
      <c r="AM1834">
        <f>IF($C1834="","",IF($W1834="Yes",1,0))</f>
        <v/>
      </c>
      <c r="AN1834">
        <f>IF($AJ1834=1,IFERROR(IF(VALUE($C1834)&lt;100000000,VALUE($C1834),1000000000),IFERROR(IF(VALUE(MID($C1834,2,20))&lt;100000000,VALUE(MID($C1834,2,20)),1000000000),1000000000))+ROW()/100000,"")</f>
        <v/>
      </c>
    </row>
    <row r="1835">
      <c r="E1835" s="11" t="n"/>
      <c r="M1835" s="7">
        <f>IF($C1835="","",L1835*U1835/100)</f>
        <v/>
      </c>
      <c r="N1835" s="7" t="n"/>
      <c r="T1835" s="7" t="n"/>
      <c r="U1835" s="7">
        <f>IF($C1835="","",S1835*T1835)</f>
        <v/>
      </c>
      <c r="X1835">
        <f>IF($C1835="","",IF($AM1835=1,0,IF($AL1835=1,Settings!$C$6,Settings!$C$7))*100)</f>
        <v/>
      </c>
      <c r="AB1835" s="7" t="n"/>
      <c r="AE1835" s="11" t="n"/>
      <c r="AG1835" s="7">
        <f>IF($C1835="","",U1835*X1835/100)</f>
        <v/>
      </c>
      <c r="AH1835" s="7">
        <f>IF($C1835="","",U1835-AG1835)</f>
        <v/>
      </c>
      <c r="AI1835" s="7">
        <f>IF($C1835="","",AH1835-M1835)</f>
        <v/>
      </c>
      <c r="AJ1835">
        <f>IF($C1835="","",IF(COUNTIF($C$2:$C1835,$C1835)=1,1,0))</f>
        <v/>
      </c>
      <c r="AK1835">
        <f>IF($AJ1835=1,SUMPRODUCT(--($AN$2:$AN$4001&lt;$AN1835))+1,"")</f>
        <v/>
      </c>
      <c r="AL1835">
        <f>IF($C1835="","",IF(OR($Q1835=TRUE(),$Q1835="TRUE"),1,0))</f>
        <v/>
      </c>
      <c r="AM1835">
        <f>IF($C1835="","",IF($W1835="Yes",1,0))</f>
        <v/>
      </c>
      <c r="AN1835">
        <f>IF($AJ1835=1,IFERROR(IF(VALUE($C1835)&lt;100000000,VALUE($C1835),1000000000),IFERROR(IF(VALUE(MID($C1835,2,20))&lt;100000000,VALUE(MID($C1835,2,20)),1000000000),1000000000))+ROW()/100000,"")</f>
        <v/>
      </c>
    </row>
    <row r="1836">
      <c r="E1836" s="11" t="n"/>
      <c r="M1836" s="7">
        <f>IF($C1836="","",L1836*U1836/100)</f>
        <v/>
      </c>
      <c r="N1836" s="7" t="n"/>
      <c r="T1836" s="7" t="n"/>
      <c r="U1836" s="7">
        <f>IF($C1836="","",S1836*T1836)</f>
        <v/>
      </c>
      <c r="X1836">
        <f>IF($C1836="","",IF($AM1836=1,0,IF($AL1836=1,Settings!$C$6,Settings!$C$7))*100)</f>
        <v/>
      </c>
      <c r="AB1836" s="7" t="n"/>
      <c r="AE1836" s="11" t="n"/>
      <c r="AG1836" s="7">
        <f>IF($C1836="","",U1836*X1836/100)</f>
        <v/>
      </c>
      <c r="AH1836" s="7">
        <f>IF($C1836="","",U1836-AG1836)</f>
        <v/>
      </c>
      <c r="AI1836" s="7">
        <f>IF($C1836="","",AH1836-M1836)</f>
        <v/>
      </c>
      <c r="AJ1836">
        <f>IF($C1836="","",IF(COUNTIF($C$2:$C1836,$C1836)=1,1,0))</f>
        <v/>
      </c>
      <c r="AK1836">
        <f>IF($AJ1836=1,SUMPRODUCT(--($AN$2:$AN$4001&lt;$AN1836))+1,"")</f>
        <v/>
      </c>
      <c r="AL1836">
        <f>IF($C1836="","",IF(OR($Q1836=TRUE(),$Q1836="TRUE"),1,0))</f>
        <v/>
      </c>
      <c r="AM1836">
        <f>IF($C1836="","",IF($W1836="Yes",1,0))</f>
        <v/>
      </c>
      <c r="AN1836">
        <f>IF($AJ1836=1,IFERROR(IF(VALUE($C1836)&lt;100000000,VALUE($C1836),1000000000),IFERROR(IF(VALUE(MID($C1836,2,20))&lt;100000000,VALUE(MID($C1836,2,20)),1000000000),1000000000))+ROW()/100000,"")</f>
        <v/>
      </c>
    </row>
    <row r="1837">
      <c r="E1837" s="11" t="n"/>
      <c r="M1837" s="7">
        <f>IF($C1837="","",L1837*U1837/100)</f>
        <v/>
      </c>
      <c r="N1837" s="7" t="n"/>
      <c r="T1837" s="7" t="n"/>
      <c r="U1837" s="7">
        <f>IF($C1837="","",S1837*T1837)</f>
        <v/>
      </c>
      <c r="X1837">
        <f>IF($C1837="","",IF($AM1837=1,0,IF($AL1837=1,Settings!$C$6,Settings!$C$7))*100)</f>
        <v/>
      </c>
      <c r="AB1837" s="7" t="n"/>
      <c r="AE1837" s="11" t="n"/>
      <c r="AG1837" s="7">
        <f>IF($C1837="","",U1837*X1837/100)</f>
        <v/>
      </c>
      <c r="AH1837" s="7">
        <f>IF($C1837="","",U1837-AG1837)</f>
        <v/>
      </c>
      <c r="AI1837" s="7">
        <f>IF($C1837="","",AH1837-M1837)</f>
        <v/>
      </c>
      <c r="AJ1837">
        <f>IF($C1837="","",IF(COUNTIF($C$2:$C1837,$C1837)=1,1,0))</f>
        <v/>
      </c>
      <c r="AK1837">
        <f>IF($AJ1837=1,SUMPRODUCT(--($AN$2:$AN$4001&lt;$AN1837))+1,"")</f>
        <v/>
      </c>
      <c r="AL1837">
        <f>IF($C1837="","",IF(OR($Q1837=TRUE(),$Q1837="TRUE"),1,0))</f>
        <v/>
      </c>
      <c r="AM1837">
        <f>IF($C1837="","",IF($W1837="Yes",1,0))</f>
        <v/>
      </c>
      <c r="AN1837">
        <f>IF($AJ1837=1,IFERROR(IF(VALUE($C1837)&lt;100000000,VALUE($C1837),1000000000),IFERROR(IF(VALUE(MID($C1837,2,20))&lt;100000000,VALUE(MID($C1837,2,20)),1000000000),1000000000))+ROW()/100000,"")</f>
        <v/>
      </c>
    </row>
    <row r="1838">
      <c r="E1838" s="11" t="n"/>
      <c r="M1838" s="7">
        <f>IF($C1838="","",L1838*U1838/100)</f>
        <v/>
      </c>
      <c r="N1838" s="7" t="n"/>
      <c r="T1838" s="7" t="n"/>
      <c r="U1838" s="7">
        <f>IF($C1838="","",S1838*T1838)</f>
        <v/>
      </c>
      <c r="X1838">
        <f>IF($C1838="","",IF($AM1838=1,0,IF($AL1838=1,Settings!$C$6,Settings!$C$7))*100)</f>
        <v/>
      </c>
      <c r="AB1838" s="7" t="n"/>
      <c r="AE1838" s="11" t="n"/>
      <c r="AG1838" s="7">
        <f>IF($C1838="","",U1838*X1838/100)</f>
        <v/>
      </c>
      <c r="AH1838" s="7">
        <f>IF($C1838="","",U1838-AG1838)</f>
        <v/>
      </c>
      <c r="AI1838" s="7">
        <f>IF($C1838="","",AH1838-M1838)</f>
        <v/>
      </c>
      <c r="AJ1838">
        <f>IF($C1838="","",IF(COUNTIF($C$2:$C1838,$C1838)=1,1,0))</f>
        <v/>
      </c>
      <c r="AK1838">
        <f>IF($AJ1838=1,SUMPRODUCT(--($AN$2:$AN$4001&lt;$AN1838))+1,"")</f>
        <v/>
      </c>
      <c r="AL1838">
        <f>IF($C1838="","",IF(OR($Q1838=TRUE(),$Q1838="TRUE"),1,0))</f>
        <v/>
      </c>
      <c r="AM1838">
        <f>IF($C1838="","",IF($W1838="Yes",1,0))</f>
        <v/>
      </c>
      <c r="AN1838">
        <f>IF($AJ1838=1,IFERROR(IF(VALUE($C1838)&lt;100000000,VALUE($C1838),1000000000),IFERROR(IF(VALUE(MID($C1838,2,20))&lt;100000000,VALUE(MID($C1838,2,20)),1000000000),1000000000))+ROW()/100000,"")</f>
        <v/>
      </c>
    </row>
    <row r="1839">
      <c r="E1839" s="11" t="n"/>
      <c r="M1839" s="7">
        <f>IF($C1839="","",L1839*U1839/100)</f>
        <v/>
      </c>
      <c r="N1839" s="7" t="n"/>
      <c r="T1839" s="7" t="n"/>
      <c r="U1839" s="7">
        <f>IF($C1839="","",S1839*T1839)</f>
        <v/>
      </c>
      <c r="X1839">
        <f>IF($C1839="","",IF($AM1839=1,0,IF($AL1839=1,Settings!$C$6,Settings!$C$7))*100)</f>
        <v/>
      </c>
      <c r="AB1839" s="7" t="n"/>
      <c r="AE1839" s="11" t="n"/>
      <c r="AG1839" s="7">
        <f>IF($C1839="","",U1839*X1839/100)</f>
        <v/>
      </c>
      <c r="AH1839" s="7">
        <f>IF($C1839="","",U1839-AG1839)</f>
        <v/>
      </c>
      <c r="AI1839" s="7">
        <f>IF($C1839="","",AH1839-M1839)</f>
        <v/>
      </c>
      <c r="AJ1839">
        <f>IF($C1839="","",IF(COUNTIF($C$2:$C1839,$C1839)=1,1,0))</f>
        <v/>
      </c>
      <c r="AK1839">
        <f>IF($AJ1839=1,SUMPRODUCT(--($AN$2:$AN$4001&lt;$AN1839))+1,"")</f>
        <v/>
      </c>
      <c r="AL1839">
        <f>IF($C1839="","",IF(OR($Q1839=TRUE(),$Q1839="TRUE"),1,0))</f>
        <v/>
      </c>
      <c r="AM1839">
        <f>IF($C1839="","",IF($W1839="Yes",1,0))</f>
        <v/>
      </c>
      <c r="AN1839">
        <f>IF($AJ1839=1,IFERROR(IF(VALUE($C1839)&lt;100000000,VALUE($C1839),1000000000),IFERROR(IF(VALUE(MID($C1839,2,20))&lt;100000000,VALUE(MID($C1839,2,20)),1000000000),1000000000))+ROW()/100000,"")</f>
        <v/>
      </c>
    </row>
    <row r="1840">
      <c r="E1840" s="11" t="n"/>
      <c r="M1840" s="7">
        <f>IF($C1840="","",L1840*U1840/100)</f>
        <v/>
      </c>
      <c r="N1840" s="7" t="n"/>
      <c r="T1840" s="7" t="n"/>
      <c r="U1840" s="7">
        <f>IF($C1840="","",S1840*T1840)</f>
        <v/>
      </c>
      <c r="X1840">
        <f>IF($C1840="","",IF($AM1840=1,0,IF($AL1840=1,Settings!$C$6,Settings!$C$7))*100)</f>
        <v/>
      </c>
      <c r="AB1840" s="7" t="n"/>
      <c r="AE1840" s="11" t="n"/>
      <c r="AG1840" s="7">
        <f>IF($C1840="","",U1840*X1840/100)</f>
        <v/>
      </c>
      <c r="AH1840" s="7">
        <f>IF($C1840="","",U1840-AG1840)</f>
        <v/>
      </c>
      <c r="AI1840" s="7">
        <f>IF($C1840="","",AH1840-M1840)</f>
        <v/>
      </c>
      <c r="AJ1840">
        <f>IF($C1840="","",IF(COUNTIF($C$2:$C1840,$C1840)=1,1,0))</f>
        <v/>
      </c>
      <c r="AK1840">
        <f>IF($AJ1840=1,SUMPRODUCT(--($AN$2:$AN$4001&lt;$AN1840))+1,"")</f>
        <v/>
      </c>
      <c r="AL1840">
        <f>IF($C1840="","",IF(OR($Q1840=TRUE(),$Q1840="TRUE"),1,0))</f>
        <v/>
      </c>
      <c r="AM1840">
        <f>IF($C1840="","",IF($W1840="Yes",1,0))</f>
        <v/>
      </c>
      <c r="AN1840">
        <f>IF($AJ1840=1,IFERROR(IF(VALUE($C1840)&lt;100000000,VALUE($C1840),1000000000),IFERROR(IF(VALUE(MID($C1840,2,20))&lt;100000000,VALUE(MID($C1840,2,20)),1000000000),1000000000))+ROW()/100000,"")</f>
        <v/>
      </c>
    </row>
    <row r="1841">
      <c r="E1841" s="11" t="n"/>
      <c r="M1841" s="7">
        <f>IF($C1841="","",L1841*U1841/100)</f>
        <v/>
      </c>
      <c r="N1841" s="7" t="n"/>
      <c r="T1841" s="7" t="n"/>
      <c r="U1841" s="7">
        <f>IF($C1841="","",S1841*T1841)</f>
        <v/>
      </c>
      <c r="X1841">
        <f>IF($C1841="","",IF($AM1841=1,0,IF($AL1841=1,Settings!$C$6,Settings!$C$7))*100)</f>
        <v/>
      </c>
      <c r="AB1841" s="7" t="n"/>
      <c r="AE1841" s="11" t="n"/>
      <c r="AG1841" s="7">
        <f>IF($C1841="","",U1841*X1841/100)</f>
        <v/>
      </c>
      <c r="AH1841" s="7">
        <f>IF($C1841="","",U1841-AG1841)</f>
        <v/>
      </c>
      <c r="AI1841" s="7">
        <f>IF($C1841="","",AH1841-M1841)</f>
        <v/>
      </c>
      <c r="AJ1841">
        <f>IF($C1841="","",IF(COUNTIF($C$2:$C1841,$C1841)=1,1,0))</f>
        <v/>
      </c>
      <c r="AK1841">
        <f>IF($AJ1841=1,SUMPRODUCT(--($AN$2:$AN$4001&lt;$AN1841))+1,"")</f>
        <v/>
      </c>
      <c r="AL1841">
        <f>IF($C1841="","",IF(OR($Q1841=TRUE(),$Q1841="TRUE"),1,0))</f>
        <v/>
      </c>
      <c r="AM1841">
        <f>IF($C1841="","",IF($W1841="Yes",1,0))</f>
        <v/>
      </c>
      <c r="AN1841">
        <f>IF($AJ1841=1,IFERROR(IF(VALUE($C1841)&lt;100000000,VALUE($C1841),1000000000),IFERROR(IF(VALUE(MID($C1841,2,20))&lt;100000000,VALUE(MID($C1841,2,20)),1000000000),1000000000))+ROW()/100000,"")</f>
        <v/>
      </c>
    </row>
    <row r="1842">
      <c r="E1842" s="11" t="n"/>
      <c r="M1842" s="7">
        <f>IF($C1842="","",L1842*U1842/100)</f>
        <v/>
      </c>
      <c r="N1842" s="7" t="n"/>
      <c r="T1842" s="7" t="n"/>
      <c r="U1842" s="7">
        <f>IF($C1842="","",S1842*T1842)</f>
        <v/>
      </c>
      <c r="X1842">
        <f>IF($C1842="","",IF($AM1842=1,0,IF($AL1842=1,Settings!$C$6,Settings!$C$7))*100)</f>
        <v/>
      </c>
      <c r="AB1842" s="7" t="n"/>
      <c r="AE1842" s="11" t="n"/>
      <c r="AG1842" s="7">
        <f>IF($C1842="","",U1842*X1842/100)</f>
        <v/>
      </c>
      <c r="AH1842" s="7">
        <f>IF($C1842="","",U1842-AG1842)</f>
        <v/>
      </c>
      <c r="AI1842" s="7">
        <f>IF($C1842="","",AH1842-M1842)</f>
        <v/>
      </c>
      <c r="AJ1842">
        <f>IF($C1842="","",IF(COUNTIF($C$2:$C1842,$C1842)=1,1,0))</f>
        <v/>
      </c>
      <c r="AK1842">
        <f>IF($AJ1842=1,SUMPRODUCT(--($AN$2:$AN$4001&lt;$AN1842))+1,"")</f>
        <v/>
      </c>
      <c r="AL1842">
        <f>IF($C1842="","",IF(OR($Q1842=TRUE(),$Q1842="TRUE"),1,0))</f>
        <v/>
      </c>
      <c r="AM1842">
        <f>IF($C1842="","",IF($W1842="Yes",1,0))</f>
        <v/>
      </c>
      <c r="AN1842">
        <f>IF($AJ1842=1,IFERROR(IF(VALUE($C1842)&lt;100000000,VALUE($C1842),1000000000),IFERROR(IF(VALUE(MID($C1842,2,20))&lt;100000000,VALUE(MID($C1842,2,20)),1000000000),1000000000))+ROW()/100000,"")</f>
        <v/>
      </c>
    </row>
    <row r="1843">
      <c r="E1843" s="11" t="n"/>
      <c r="M1843" s="7">
        <f>IF($C1843="","",L1843*U1843/100)</f>
        <v/>
      </c>
      <c r="N1843" s="7" t="n"/>
      <c r="T1843" s="7" t="n"/>
      <c r="U1843" s="7">
        <f>IF($C1843="","",S1843*T1843)</f>
        <v/>
      </c>
      <c r="X1843">
        <f>IF($C1843="","",IF($AM1843=1,0,IF($AL1843=1,Settings!$C$6,Settings!$C$7))*100)</f>
        <v/>
      </c>
      <c r="AB1843" s="7" t="n"/>
      <c r="AE1843" s="11" t="n"/>
      <c r="AG1843" s="7">
        <f>IF($C1843="","",U1843*X1843/100)</f>
        <v/>
      </c>
      <c r="AH1843" s="7">
        <f>IF($C1843="","",U1843-AG1843)</f>
        <v/>
      </c>
      <c r="AI1843" s="7">
        <f>IF($C1843="","",AH1843-M1843)</f>
        <v/>
      </c>
      <c r="AJ1843">
        <f>IF($C1843="","",IF(COUNTIF($C$2:$C1843,$C1843)=1,1,0))</f>
        <v/>
      </c>
      <c r="AK1843">
        <f>IF($AJ1843=1,SUMPRODUCT(--($AN$2:$AN$4001&lt;$AN1843))+1,"")</f>
        <v/>
      </c>
      <c r="AL1843">
        <f>IF($C1843="","",IF(OR($Q1843=TRUE(),$Q1843="TRUE"),1,0))</f>
        <v/>
      </c>
      <c r="AM1843">
        <f>IF($C1843="","",IF($W1843="Yes",1,0))</f>
        <v/>
      </c>
      <c r="AN1843">
        <f>IF($AJ1843=1,IFERROR(IF(VALUE($C1843)&lt;100000000,VALUE($C1843),1000000000),IFERROR(IF(VALUE(MID($C1843,2,20))&lt;100000000,VALUE(MID($C1843,2,20)),1000000000),1000000000))+ROW()/100000,"")</f>
        <v/>
      </c>
    </row>
    <row r="1844">
      <c r="E1844" s="11" t="n"/>
      <c r="M1844" s="7">
        <f>IF($C1844="","",L1844*U1844/100)</f>
        <v/>
      </c>
      <c r="N1844" s="7" t="n"/>
      <c r="T1844" s="7" t="n"/>
      <c r="U1844" s="7">
        <f>IF($C1844="","",S1844*T1844)</f>
        <v/>
      </c>
      <c r="X1844">
        <f>IF($C1844="","",IF($AM1844=1,0,IF($AL1844=1,Settings!$C$6,Settings!$C$7))*100)</f>
        <v/>
      </c>
      <c r="AB1844" s="7" t="n"/>
      <c r="AE1844" s="11" t="n"/>
      <c r="AG1844" s="7">
        <f>IF($C1844="","",U1844*X1844/100)</f>
        <v/>
      </c>
      <c r="AH1844" s="7">
        <f>IF($C1844="","",U1844-AG1844)</f>
        <v/>
      </c>
      <c r="AI1844" s="7">
        <f>IF($C1844="","",AH1844-M1844)</f>
        <v/>
      </c>
      <c r="AJ1844">
        <f>IF($C1844="","",IF(COUNTIF($C$2:$C1844,$C1844)=1,1,0))</f>
        <v/>
      </c>
      <c r="AK1844">
        <f>IF($AJ1844=1,SUMPRODUCT(--($AN$2:$AN$4001&lt;$AN1844))+1,"")</f>
        <v/>
      </c>
      <c r="AL1844">
        <f>IF($C1844="","",IF(OR($Q1844=TRUE(),$Q1844="TRUE"),1,0))</f>
        <v/>
      </c>
      <c r="AM1844">
        <f>IF($C1844="","",IF($W1844="Yes",1,0))</f>
        <v/>
      </c>
      <c r="AN1844">
        <f>IF($AJ1844=1,IFERROR(IF(VALUE($C1844)&lt;100000000,VALUE($C1844),1000000000),IFERROR(IF(VALUE(MID($C1844,2,20))&lt;100000000,VALUE(MID($C1844,2,20)),1000000000),1000000000))+ROW()/100000,"")</f>
        <v/>
      </c>
    </row>
    <row r="1845">
      <c r="E1845" s="11" t="n"/>
      <c r="M1845" s="7">
        <f>IF($C1845="","",L1845*U1845/100)</f>
        <v/>
      </c>
      <c r="N1845" s="7" t="n"/>
      <c r="T1845" s="7" t="n"/>
      <c r="U1845" s="7">
        <f>IF($C1845="","",S1845*T1845)</f>
        <v/>
      </c>
      <c r="X1845">
        <f>IF($C1845="","",IF($AM1845=1,0,IF($AL1845=1,Settings!$C$6,Settings!$C$7))*100)</f>
        <v/>
      </c>
      <c r="AB1845" s="7" t="n"/>
      <c r="AE1845" s="11" t="n"/>
      <c r="AG1845" s="7">
        <f>IF($C1845="","",U1845*X1845/100)</f>
        <v/>
      </c>
      <c r="AH1845" s="7">
        <f>IF($C1845="","",U1845-AG1845)</f>
        <v/>
      </c>
      <c r="AI1845" s="7">
        <f>IF($C1845="","",AH1845-M1845)</f>
        <v/>
      </c>
      <c r="AJ1845">
        <f>IF($C1845="","",IF(COUNTIF($C$2:$C1845,$C1845)=1,1,0))</f>
        <v/>
      </c>
      <c r="AK1845">
        <f>IF($AJ1845=1,SUMPRODUCT(--($AN$2:$AN$4001&lt;$AN1845))+1,"")</f>
        <v/>
      </c>
      <c r="AL1845">
        <f>IF($C1845="","",IF(OR($Q1845=TRUE(),$Q1845="TRUE"),1,0))</f>
        <v/>
      </c>
      <c r="AM1845">
        <f>IF($C1845="","",IF($W1845="Yes",1,0))</f>
        <v/>
      </c>
      <c r="AN1845">
        <f>IF($AJ1845=1,IFERROR(IF(VALUE($C1845)&lt;100000000,VALUE($C1845),1000000000),IFERROR(IF(VALUE(MID($C1845,2,20))&lt;100000000,VALUE(MID($C1845,2,20)),1000000000),1000000000))+ROW()/100000,"")</f>
        <v/>
      </c>
    </row>
    <row r="1846">
      <c r="E1846" s="11" t="n"/>
      <c r="M1846" s="7">
        <f>IF($C1846="","",L1846*U1846/100)</f>
        <v/>
      </c>
      <c r="N1846" s="7" t="n"/>
      <c r="T1846" s="7" t="n"/>
      <c r="U1846" s="7">
        <f>IF($C1846="","",S1846*T1846)</f>
        <v/>
      </c>
      <c r="X1846">
        <f>IF($C1846="","",IF($AM1846=1,0,IF($AL1846=1,Settings!$C$6,Settings!$C$7))*100)</f>
        <v/>
      </c>
      <c r="AB1846" s="7" t="n"/>
      <c r="AE1846" s="11" t="n"/>
      <c r="AG1846" s="7">
        <f>IF($C1846="","",U1846*X1846/100)</f>
        <v/>
      </c>
      <c r="AH1846" s="7">
        <f>IF($C1846="","",U1846-AG1846)</f>
        <v/>
      </c>
      <c r="AI1846" s="7">
        <f>IF($C1846="","",AH1846-M1846)</f>
        <v/>
      </c>
      <c r="AJ1846">
        <f>IF($C1846="","",IF(COUNTIF($C$2:$C1846,$C1846)=1,1,0))</f>
        <v/>
      </c>
      <c r="AK1846">
        <f>IF($AJ1846=1,SUMPRODUCT(--($AN$2:$AN$4001&lt;$AN1846))+1,"")</f>
        <v/>
      </c>
      <c r="AL1846">
        <f>IF($C1846="","",IF(OR($Q1846=TRUE(),$Q1846="TRUE"),1,0))</f>
        <v/>
      </c>
      <c r="AM1846">
        <f>IF($C1846="","",IF($W1846="Yes",1,0))</f>
        <v/>
      </c>
      <c r="AN1846">
        <f>IF($AJ1846=1,IFERROR(IF(VALUE($C1846)&lt;100000000,VALUE($C1846),1000000000),IFERROR(IF(VALUE(MID($C1846,2,20))&lt;100000000,VALUE(MID($C1846,2,20)),1000000000),1000000000))+ROW()/100000,"")</f>
        <v/>
      </c>
    </row>
    <row r="1847">
      <c r="E1847" s="11" t="n"/>
      <c r="M1847" s="7">
        <f>IF($C1847="","",L1847*U1847/100)</f>
        <v/>
      </c>
      <c r="N1847" s="7" t="n"/>
      <c r="T1847" s="7" t="n"/>
      <c r="U1847" s="7">
        <f>IF($C1847="","",S1847*T1847)</f>
        <v/>
      </c>
      <c r="X1847">
        <f>IF($C1847="","",IF($AM1847=1,0,IF($AL1847=1,Settings!$C$6,Settings!$C$7))*100)</f>
        <v/>
      </c>
      <c r="AB1847" s="7" t="n"/>
      <c r="AE1847" s="11" t="n"/>
      <c r="AG1847" s="7">
        <f>IF($C1847="","",U1847*X1847/100)</f>
        <v/>
      </c>
      <c r="AH1847" s="7">
        <f>IF($C1847="","",U1847-AG1847)</f>
        <v/>
      </c>
      <c r="AI1847" s="7">
        <f>IF($C1847="","",AH1847-M1847)</f>
        <v/>
      </c>
      <c r="AJ1847">
        <f>IF($C1847="","",IF(COUNTIF($C$2:$C1847,$C1847)=1,1,0))</f>
        <v/>
      </c>
      <c r="AK1847">
        <f>IF($AJ1847=1,SUMPRODUCT(--($AN$2:$AN$4001&lt;$AN1847))+1,"")</f>
        <v/>
      </c>
      <c r="AL1847">
        <f>IF($C1847="","",IF(OR($Q1847=TRUE(),$Q1847="TRUE"),1,0))</f>
        <v/>
      </c>
      <c r="AM1847">
        <f>IF($C1847="","",IF($W1847="Yes",1,0))</f>
        <v/>
      </c>
      <c r="AN1847">
        <f>IF($AJ1847=1,IFERROR(IF(VALUE($C1847)&lt;100000000,VALUE($C1847),1000000000),IFERROR(IF(VALUE(MID($C1847,2,20))&lt;100000000,VALUE(MID($C1847,2,20)),1000000000),1000000000))+ROW()/100000,"")</f>
        <v/>
      </c>
    </row>
    <row r="1848">
      <c r="E1848" s="11" t="n"/>
      <c r="M1848" s="7">
        <f>IF($C1848="","",L1848*U1848/100)</f>
        <v/>
      </c>
      <c r="N1848" s="7" t="n"/>
      <c r="T1848" s="7" t="n"/>
      <c r="U1848" s="7">
        <f>IF($C1848="","",S1848*T1848)</f>
        <v/>
      </c>
      <c r="X1848">
        <f>IF($C1848="","",IF($AM1848=1,0,IF($AL1848=1,Settings!$C$6,Settings!$C$7))*100)</f>
        <v/>
      </c>
      <c r="AB1848" s="7" t="n"/>
      <c r="AE1848" s="11" t="n"/>
      <c r="AG1848" s="7">
        <f>IF($C1848="","",U1848*X1848/100)</f>
        <v/>
      </c>
      <c r="AH1848" s="7">
        <f>IF($C1848="","",U1848-AG1848)</f>
        <v/>
      </c>
      <c r="AI1848" s="7">
        <f>IF($C1848="","",AH1848-M1848)</f>
        <v/>
      </c>
      <c r="AJ1848">
        <f>IF($C1848="","",IF(COUNTIF($C$2:$C1848,$C1848)=1,1,0))</f>
        <v/>
      </c>
      <c r="AK1848">
        <f>IF($AJ1848=1,SUMPRODUCT(--($AN$2:$AN$4001&lt;$AN1848))+1,"")</f>
        <v/>
      </c>
      <c r="AL1848">
        <f>IF($C1848="","",IF(OR($Q1848=TRUE(),$Q1848="TRUE"),1,0))</f>
        <v/>
      </c>
      <c r="AM1848">
        <f>IF($C1848="","",IF($W1848="Yes",1,0))</f>
        <v/>
      </c>
      <c r="AN1848">
        <f>IF($AJ1848=1,IFERROR(IF(VALUE($C1848)&lt;100000000,VALUE($C1848),1000000000),IFERROR(IF(VALUE(MID($C1848,2,20))&lt;100000000,VALUE(MID($C1848,2,20)),1000000000),1000000000))+ROW()/100000,"")</f>
        <v/>
      </c>
    </row>
    <row r="1849">
      <c r="E1849" s="11" t="n"/>
      <c r="M1849" s="7">
        <f>IF($C1849="","",L1849*U1849/100)</f>
        <v/>
      </c>
      <c r="N1849" s="7" t="n"/>
      <c r="T1849" s="7" t="n"/>
      <c r="U1849" s="7">
        <f>IF($C1849="","",S1849*T1849)</f>
        <v/>
      </c>
      <c r="X1849">
        <f>IF($C1849="","",IF($AM1849=1,0,IF($AL1849=1,Settings!$C$6,Settings!$C$7))*100)</f>
        <v/>
      </c>
      <c r="AB1849" s="7" t="n"/>
      <c r="AE1849" s="11" t="n"/>
      <c r="AG1849" s="7">
        <f>IF($C1849="","",U1849*X1849/100)</f>
        <v/>
      </c>
      <c r="AH1849" s="7">
        <f>IF($C1849="","",U1849-AG1849)</f>
        <v/>
      </c>
      <c r="AI1849" s="7">
        <f>IF($C1849="","",AH1849-M1849)</f>
        <v/>
      </c>
      <c r="AJ1849">
        <f>IF($C1849="","",IF(COUNTIF($C$2:$C1849,$C1849)=1,1,0))</f>
        <v/>
      </c>
      <c r="AK1849">
        <f>IF($AJ1849=1,SUMPRODUCT(--($AN$2:$AN$4001&lt;$AN1849))+1,"")</f>
        <v/>
      </c>
      <c r="AL1849">
        <f>IF($C1849="","",IF(OR($Q1849=TRUE(),$Q1849="TRUE"),1,0))</f>
        <v/>
      </c>
      <c r="AM1849">
        <f>IF($C1849="","",IF($W1849="Yes",1,0))</f>
        <v/>
      </c>
      <c r="AN1849">
        <f>IF($AJ1849=1,IFERROR(IF(VALUE($C1849)&lt;100000000,VALUE($C1849),1000000000),IFERROR(IF(VALUE(MID($C1849,2,20))&lt;100000000,VALUE(MID($C1849,2,20)),1000000000),1000000000))+ROW()/100000,"")</f>
        <v/>
      </c>
    </row>
    <row r="1850">
      <c r="E1850" s="11" t="n"/>
      <c r="M1850" s="7">
        <f>IF($C1850="","",L1850*U1850/100)</f>
        <v/>
      </c>
      <c r="N1850" s="7" t="n"/>
      <c r="T1850" s="7" t="n"/>
      <c r="U1850" s="7">
        <f>IF($C1850="","",S1850*T1850)</f>
        <v/>
      </c>
      <c r="X1850">
        <f>IF($C1850="","",IF($AM1850=1,0,IF($AL1850=1,Settings!$C$6,Settings!$C$7))*100)</f>
        <v/>
      </c>
      <c r="AB1850" s="7" t="n"/>
      <c r="AE1850" s="11" t="n"/>
      <c r="AG1850" s="7">
        <f>IF($C1850="","",U1850*X1850/100)</f>
        <v/>
      </c>
      <c r="AH1850" s="7">
        <f>IF($C1850="","",U1850-AG1850)</f>
        <v/>
      </c>
      <c r="AI1850" s="7">
        <f>IF($C1850="","",AH1850-M1850)</f>
        <v/>
      </c>
      <c r="AJ1850">
        <f>IF($C1850="","",IF(COUNTIF($C$2:$C1850,$C1850)=1,1,0))</f>
        <v/>
      </c>
      <c r="AK1850">
        <f>IF($AJ1850=1,SUMPRODUCT(--($AN$2:$AN$4001&lt;$AN1850))+1,"")</f>
        <v/>
      </c>
      <c r="AL1850">
        <f>IF($C1850="","",IF(OR($Q1850=TRUE(),$Q1850="TRUE"),1,0))</f>
        <v/>
      </c>
      <c r="AM1850">
        <f>IF($C1850="","",IF($W1850="Yes",1,0))</f>
        <v/>
      </c>
      <c r="AN1850">
        <f>IF($AJ1850=1,IFERROR(IF(VALUE($C1850)&lt;100000000,VALUE($C1850),1000000000),IFERROR(IF(VALUE(MID($C1850,2,20))&lt;100000000,VALUE(MID($C1850,2,20)),1000000000),1000000000))+ROW()/100000,"")</f>
        <v/>
      </c>
    </row>
    <row r="1851">
      <c r="E1851" s="11" t="n"/>
      <c r="M1851" s="7">
        <f>IF($C1851="","",L1851*U1851/100)</f>
        <v/>
      </c>
      <c r="N1851" s="7" t="n"/>
      <c r="T1851" s="7" t="n"/>
      <c r="U1851" s="7">
        <f>IF($C1851="","",S1851*T1851)</f>
        <v/>
      </c>
      <c r="X1851">
        <f>IF($C1851="","",IF($AM1851=1,0,IF($AL1851=1,Settings!$C$6,Settings!$C$7))*100)</f>
        <v/>
      </c>
      <c r="AB1851" s="7" t="n"/>
      <c r="AE1851" s="11" t="n"/>
      <c r="AG1851" s="7">
        <f>IF($C1851="","",U1851*X1851/100)</f>
        <v/>
      </c>
      <c r="AH1851" s="7">
        <f>IF($C1851="","",U1851-AG1851)</f>
        <v/>
      </c>
      <c r="AI1851" s="7">
        <f>IF($C1851="","",AH1851-M1851)</f>
        <v/>
      </c>
      <c r="AJ1851">
        <f>IF($C1851="","",IF(COUNTIF($C$2:$C1851,$C1851)=1,1,0))</f>
        <v/>
      </c>
      <c r="AK1851">
        <f>IF($AJ1851=1,SUMPRODUCT(--($AN$2:$AN$4001&lt;$AN1851))+1,"")</f>
        <v/>
      </c>
      <c r="AL1851">
        <f>IF($C1851="","",IF(OR($Q1851=TRUE(),$Q1851="TRUE"),1,0))</f>
        <v/>
      </c>
      <c r="AM1851">
        <f>IF($C1851="","",IF($W1851="Yes",1,0))</f>
        <v/>
      </c>
      <c r="AN1851">
        <f>IF($AJ1851=1,IFERROR(IF(VALUE($C1851)&lt;100000000,VALUE($C1851),1000000000),IFERROR(IF(VALUE(MID($C1851,2,20))&lt;100000000,VALUE(MID($C1851,2,20)),1000000000),1000000000))+ROW()/100000,"")</f>
        <v/>
      </c>
    </row>
    <row r="1852">
      <c r="E1852" s="11" t="n"/>
      <c r="M1852" s="7">
        <f>IF($C1852="","",L1852*U1852/100)</f>
        <v/>
      </c>
      <c r="N1852" s="7" t="n"/>
      <c r="T1852" s="7" t="n"/>
      <c r="U1852" s="7">
        <f>IF($C1852="","",S1852*T1852)</f>
        <v/>
      </c>
      <c r="X1852">
        <f>IF($C1852="","",IF($AM1852=1,0,IF($AL1852=1,Settings!$C$6,Settings!$C$7))*100)</f>
        <v/>
      </c>
      <c r="AB1852" s="7" t="n"/>
      <c r="AE1852" s="11" t="n"/>
      <c r="AG1852" s="7">
        <f>IF($C1852="","",U1852*X1852/100)</f>
        <v/>
      </c>
      <c r="AH1852" s="7">
        <f>IF($C1852="","",U1852-AG1852)</f>
        <v/>
      </c>
      <c r="AI1852" s="7">
        <f>IF($C1852="","",AH1852-M1852)</f>
        <v/>
      </c>
      <c r="AJ1852">
        <f>IF($C1852="","",IF(COUNTIF($C$2:$C1852,$C1852)=1,1,0))</f>
        <v/>
      </c>
      <c r="AK1852">
        <f>IF($AJ1852=1,SUMPRODUCT(--($AN$2:$AN$4001&lt;$AN1852))+1,"")</f>
        <v/>
      </c>
      <c r="AL1852">
        <f>IF($C1852="","",IF(OR($Q1852=TRUE(),$Q1852="TRUE"),1,0))</f>
        <v/>
      </c>
      <c r="AM1852">
        <f>IF($C1852="","",IF($W1852="Yes",1,0))</f>
        <v/>
      </c>
      <c r="AN1852">
        <f>IF($AJ1852=1,IFERROR(IF(VALUE($C1852)&lt;100000000,VALUE($C1852),1000000000),IFERROR(IF(VALUE(MID($C1852,2,20))&lt;100000000,VALUE(MID($C1852,2,20)),1000000000),1000000000))+ROW()/100000,"")</f>
        <v/>
      </c>
    </row>
    <row r="1853">
      <c r="E1853" s="11" t="n"/>
      <c r="M1853" s="7">
        <f>IF($C1853="","",L1853*U1853/100)</f>
        <v/>
      </c>
      <c r="N1853" s="7" t="n"/>
      <c r="T1853" s="7" t="n"/>
      <c r="U1853" s="7">
        <f>IF($C1853="","",S1853*T1853)</f>
        <v/>
      </c>
      <c r="X1853">
        <f>IF($C1853="","",IF($AM1853=1,0,IF($AL1853=1,Settings!$C$6,Settings!$C$7))*100)</f>
        <v/>
      </c>
      <c r="AB1853" s="7" t="n"/>
      <c r="AE1853" s="11" t="n"/>
      <c r="AG1853" s="7">
        <f>IF($C1853="","",U1853*X1853/100)</f>
        <v/>
      </c>
      <c r="AH1853" s="7">
        <f>IF($C1853="","",U1853-AG1853)</f>
        <v/>
      </c>
      <c r="AI1853" s="7">
        <f>IF($C1853="","",AH1853-M1853)</f>
        <v/>
      </c>
      <c r="AJ1853">
        <f>IF($C1853="","",IF(COUNTIF($C$2:$C1853,$C1853)=1,1,0))</f>
        <v/>
      </c>
      <c r="AK1853">
        <f>IF($AJ1853=1,SUMPRODUCT(--($AN$2:$AN$4001&lt;$AN1853))+1,"")</f>
        <v/>
      </c>
      <c r="AL1853">
        <f>IF($C1853="","",IF(OR($Q1853=TRUE(),$Q1853="TRUE"),1,0))</f>
        <v/>
      </c>
      <c r="AM1853">
        <f>IF($C1853="","",IF($W1853="Yes",1,0))</f>
        <v/>
      </c>
      <c r="AN1853">
        <f>IF($AJ1853=1,IFERROR(IF(VALUE($C1853)&lt;100000000,VALUE($C1853),1000000000),IFERROR(IF(VALUE(MID($C1853,2,20))&lt;100000000,VALUE(MID($C1853,2,20)),1000000000),1000000000))+ROW()/100000,"")</f>
        <v/>
      </c>
    </row>
    <row r="1854">
      <c r="E1854" s="11" t="n"/>
      <c r="M1854" s="7">
        <f>IF($C1854="","",L1854*U1854/100)</f>
        <v/>
      </c>
      <c r="N1854" s="7" t="n"/>
      <c r="T1854" s="7" t="n"/>
      <c r="U1854" s="7">
        <f>IF($C1854="","",S1854*T1854)</f>
        <v/>
      </c>
      <c r="X1854">
        <f>IF($C1854="","",IF($AM1854=1,0,IF($AL1854=1,Settings!$C$6,Settings!$C$7))*100)</f>
        <v/>
      </c>
      <c r="AB1854" s="7" t="n"/>
      <c r="AE1854" s="11" t="n"/>
      <c r="AG1854" s="7">
        <f>IF($C1854="","",U1854*X1854/100)</f>
        <v/>
      </c>
      <c r="AH1854" s="7">
        <f>IF($C1854="","",U1854-AG1854)</f>
        <v/>
      </c>
      <c r="AI1854" s="7">
        <f>IF($C1854="","",AH1854-M1854)</f>
        <v/>
      </c>
      <c r="AJ1854">
        <f>IF($C1854="","",IF(COUNTIF($C$2:$C1854,$C1854)=1,1,0))</f>
        <v/>
      </c>
      <c r="AK1854">
        <f>IF($AJ1854=1,SUMPRODUCT(--($AN$2:$AN$4001&lt;$AN1854))+1,"")</f>
        <v/>
      </c>
      <c r="AL1854">
        <f>IF($C1854="","",IF(OR($Q1854=TRUE(),$Q1854="TRUE"),1,0))</f>
        <v/>
      </c>
      <c r="AM1854">
        <f>IF($C1854="","",IF($W1854="Yes",1,0))</f>
        <v/>
      </c>
      <c r="AN1854">
        <f>IF($AJ1854=1,IFERROR(IF(VALUE($C1854)&lt;100000000,VALUE($C1854),1000000000),IFERROR(IF(VALUE(MID($C1854,2,20))&lt;100000000,VALUE(MID($C1854,2,20)),1000000000),1000000000))+ROW()/100000,"")</f>
        <v/>
      </c>
    </row>
    <row r="1855">
      <c r="E1855" s="11" t="n"/>
      <c r="M1855" s="7">
        <f>IF($C1855="","",L1855*U1855/100)</f>
        <v/>
      </c>
      <c r="N1855" s="7" t="n"/>
      <c r="T1855" s="7" t="n"/>
      <c r="U1855" s="7">
        <f>IF($C1855="","",S1855*T1855)</f>
        <v/>
      </c>
      <c r="X1855">
        <f>IF($C1855="","",IF($AM1855=1,0,IF($AL1855=1,Settings!$C$6,Settings!$C$7))*100)</f>
        <v/>
      </c>
      <c r="AB1855" s="7" t="n"/>
      <c r="AE1855" s="11" t="n"/>
      <c r="AG1855" s="7">
        <f>IF($C1855="","",U1855*X1855/100)</f>
        <v/>
      </c>
      <c r="AH1855" s="7">
        <f>IF($C1855="","",U1855-AG1855)</f>
        <v/>
      </c>
      <c r="AI1855" s="7">
        <f>IF($C1855="","",AH1855-M1855)</f>
        <v/>
      </c>
      <c r="AJ1855">
        <f>IF($C1855="","",IF(COUNTIF($C$2:$C1855,$C1855)=1,1,0))</f>
        <v/>
      </c>
      <c r="AK1855">
        <f>IF($AJ1855=1,SUMPRODUCT(--($AN$2:$AN$4001&lt;$AN1855))+1,"")</f>
        <v/>
      </c>
      <c r="AL1855">
        <f>IF($C1855="","",IF(OR($Q1855=TRUE(),$Q1855="TRUE"),1,0))</f>
        <v/>
      </c>
      <c r="AM1855">
        <f>IF($C1855="","",IF($W1855="Yes",1,0))</f>
        <v/>
      </c>
      <c r="AN1855">
        <f>IF($AJ1855=1,IFERROR(IF(VALUE($C1855)&lt;100000000,VALUE($C1855),1000000000),IFERROR(IF(VALUE(MID($C1855,2,20))&lt;100000000,VALUE(MID($C1855,2,20)),1000000000),1000000000))+ROW()/100000,"")</f>
        <v/>
      </c>
    </row>
    <row r="1856">
      <c r="E1856" s="11" t="n"/>
      <c r="M1856" s="7">
        <f>IF($C1856="","",L1856*U1856/100)</f>
        <v/>
      </c>
      <c r="N1856" s="7" t="n"/>
      <c r="T1856" s="7" t="n"/>
      <c r="U1856" s="7">
        <f>IF($C1856="","",S1856*T1856)</f>
        <v/>
      </c>
      <c r="X1856">
        <f>IF($C1856="","",IF($AM1856=1,0,IF($AL1856=1,Settings!$C$6,Settings!$C$7))*100)</f>
        <v/>
      </c>
      <c r="AB1856" s="7" t="n"/>
      <c r="AE1856" s="11" t="n"/>
      <c r="AG1856" s="7">
        <f>IF($C1856="","",U1856*X1856/100)</f>
        <v/>
      </c>
      <c r="AH1856" s="7">
        <f>IF($C1856="","",U1856-AG1856)</f>
        <v/>
      </c>
      <c r="AI1856" s="7">
        <f>IF($C1856="","",AH1856-M1856)</f>
        <v/>
      </c>
      <c r="AJ1856">
        <f>IF($C1856="","",IF(COUNTIF($C$2:$C1856,$C1856)=1,1,0))</f>
        <v/>
      </c>
      <c r="AK1856">
        <f>IF($AJ1856=1,SUMPRODUCT(--($AN$2:$AN$4001&lt;$AN1856))+1,"")</f>
        <v/>
      </c>
      <c r="AL1856">
        <f>IF($C1856="","",IF(OR($Q1856=TRUE(),$Q1856="TRUE"),1,0))</f>
        <v/>
      </c>
      <c r="AM1856">
        <f>IF($C1856="","",IF($W1856="Yes",1,0))</f>
        <v/>
      </c>
      <c r="AN1856">
        <f>IF($AJ1856=1,IFERROR(IF(VALUE($C1856)&lt;100000000,VALUE($C1856),1000000000),IFERROR(IF(VALUE(MID($C1856,2,20))&lt;100000000,VALUE(MID($C1856,2,20)),1000000000),1000000000))+ROW()/100000,"")</f>
        <v/>
      </c>
    </row>
    <row r="1857">
      <c r="E1857" s="11" t="n"/>
      <c r="M1857" s="7">
        <f>IF($C1857="","",L1857*U1857/100)</f>
        <v/>
      </c>
      <c r="N1857" s="7" t="n"/>
      <c r="T1857" s="7" t="n"/>
      <c r="U1857" s="7">
        <f>IF($C1857="","",S1857*T1857)</f>
        <v/>
      </c>
      <c r="X1857">
        <f>IF($C1857="","",IF($AM1857=1,0,IF($AL1857=1,Settings!$C$6,Settings!$C$7))*100)</f>
        <v/>
      </c>
      <c r="AB1857" s="7" t="n"/>
      <c r="AE1857" s="11" t="n"/>
      <c r="AG1857" s="7">
        <f>IF($C1857="","",U1857*X1857/100)</f>
        <v/>
      </c>
      <c r="AH1857" s="7">
        <f>IF($C1857="","",U1857-AG1857)</f>
        <v/>
      </c>
      <c r="AI1857" s="7">
        <f>IF($C1857="","",AH1857-M1857)</f>
        <v/>
      </c>
      <c r="AJ1857">
        <f>IF($C1857="","",IF(COUNTIF($C$2:$C1857,$C1857)=1,1,0))</f>
        <v/>
      </c>
      <c r="AK1857">
        <f>IF($AJ1857=1,SUMPRODUCT(--($AN$2:$AN$4001&lt;$AN1857))+1,"")</f>
        <v/>
      </c>
      <c r="AL1857">
        <f>IF($C1857="","",IF(OR($Q1857=TRUE(),$Q1857="TRUE"),1,0))</f>
        <v/>
      </c>
      <c r="AM1857">
        <f>IF($C1857="","",IF($W1857="Yes",1,0))</f>
        <v/>
      </c>
      <c r="AN1857">
        <f>IF($AJ1857=1,IFERROR(IF(VALUE($C1857)&lt;100000000,VALUE($C1857),1000000000),IFERROR(IF(VALUE(MID($C1857,2,20))&lt;100000000,VALUE(MID($C1857,2,20)),1000000000),1000000000))+ROW()/100000,"")</f>
        <v/>
      </c>
    </row>
    <row r="1858">
      <c r="E1858" s="11" t="n"/>
      <c r="M1858" s="7">
        <f>IF($C1858="","",L1858*U1858/100)</f>
        <v/>
      </c>
      <c r="N1858" s="7" t="n"/>
      <c r="T1858" s="7" t="n"/>
      <c r="U1858" s="7">
        <f>IF($C1858="","",S1858*T1858)</f>
        <v/>
      </c>
      <c r="X1858">
        <f>IF($C1858="","",IF($AM1858=1,0,IF($AL1858=1,Settings!$C$6,Settings!$C$7))*100)</f>
        <v/>
      </c>
      <c r="AB1858" s="7" t="n"/>
      <c r="AE1858" s="11" t="n"/>
      <c r="AG1858" s="7">
        <f>IF($C1858="","",U1858*X1858/100)</f>
        <v/>
      </c>
      <c r="AH1858" s="7">
        <f>IF($C1858="","",U1858-AG1858)</f>
        <v/>
      </c>
      <c r="AI1858" s="7">
        <f>IF($C1858="","",AH1858-M1858)</f>
        <v/>
      </c>
      <c r="AJ1858">
        <f>IF($C1858="","",IF(COUNTIF($C$2:$C1858,$C1858)=1,1,0))</f>
        <v/>
      </c>
      <c r="AK1858">
        <f>IF($AJ1858=1,SUMPRODUCT(--($AN$2:$AN$4001&lt;$AN1858))+1,"")</f>
        <v/>
      </c>
      <c r="AL1858">
        <f>IF($C1858="","",IF(OR($Q1858=TRUE(),$Q1858="TRUE"),1,0))</f>
        <v/>
      </c>
      <c r="AM1858">
        <f>IF($C1858="","",IF($W1858="Yes",1,0))</f>
        <v/>
      </c>
      <c r="AN1858">
        <f>IF($AJ1858=1,IFERROR(IF(VALUE($C1858)&lt;100000000,VALUE($C1858),1000000000),IFERROR(IF(VALUE(MID($C1858,2,20))&lt;100000000,VALUE(MID($C1858,2,20)),1000000000),1000000000))+ROW()/100000,"")</f>
        <v/>
      </c>
    </row>
    <row r="1859">
      <c r="E1859" s="11" t="n"/>
      <c r="M1859" s="7">
        <f>IF($C1859="","",L1859*U1859/100)</f>
        <v/>
      </c>
      <c r="N1859" s="7" t="n"/>
      <c r="T1859" s="7" t="n"/>
      <c r="U1859" s="7">
        <f>IF($C1859="","",S1859*T1859)</f>
        <v/>
      </c>
      <c r="X1859">
        <f>IF($C1859="","",IF($AM1859=1,0,IF($AL1859=1,Settings!$C$6,Settings!$C$7))*100)</f>
        <v/>
      </c>
      <c r="AB1859" s="7" t="n"/>
      <c r="AE1859" s="11" t="n"/>
      <c r="AG1859" s="7">
        <f>IF($C1859="","",U1859*X1859/100)</f>
        <v/>
      </c>
      <c r="AH1859" s="7">
        <f>IF($C1859="","",U1859-AG1859)</f>
        <v/>
      </c>
      <c r="AI1859" s="7">
        <f>IF($C1859="","",AH1859-M1859)</f>
        <v/>
      </c>
      <c r="AJ1859">
        <f>IF($C1859="","",IF(COUNTIF($C$2:$C1859,$C1859)=1,1,0))</f>
        <v/>
      </c>
      <c r="AK1859">
        <f>IF($AJ1859=1,SUMPRODUCT(--($AN$2:$AN$4001&lt;$AN1859))+1,"")</f>
        <v/>
      </c>
      <c r="AL1859">
        <f>IF($C1859="","",IF(OR($Q1859=TRUE(),$Q1859="TRUE"),1,0))</f>
        <v/>
      </c>
      <c r="AM1859">
        <f>IF($C1859="","",IF($W1859="Yes",1,0))</f>
        <v/>
      </c>
      <c r="AN1859">
        <f>IF($AJ1859=1,IFERROR(IF(VALUE($C1859)&lt;100000000,VALUE($C1859),1000000000),IFERROR(IF(VALUE(MID($C1859,2,20))&lt;100000000,VALUE(MID($C1859,2,20)),1000000000),1000000000))+ROW()/100000,"")</f>
        <v/>
      </c>
    </row>
    <row r="1860">
      <c r="E1860" s="11" t="n"/>
      <c r="M1860" s="7">
        <f>IF($C1860="","",L1860*U1860/100)</f>
        <v/>
      </c>
      <c r="N1860" s="7" t="n"/>
      <c r="T1860" s="7" t="n"/>
      <c r="U1860" s="7">
        <f>IF($C1860="","",S1860*T1860)</f>
        <v/>
      </c>
      <c r="X1860">
        <f>IF($C1860="","",IF($AM1860=1,0,IF($AL1860=1,Settings!$C$6,Settings!$C$7))*100)</f>
        <v/>
      </c>
      <c r="AB1860" s="7" t="n"/>
      <c r="AE1860" s="11" t="n"/>
      <c r="AG1860" s="7">
        <f>IF($C1860="","",U1860*X1860/100)</f>
        <v/>
      </c>
      <c r="AH1860" s="7">
        <f>IF($C1860="","",U1860-AG1860)</f>
        <v/>
      </c>
      <c r="AI1860" s="7">
        <f>IF($C1860="","",AH1860-M1860)</f>
        <v/>
      </c>
      <c r="AJ1860">
        <f>IF($C1860="","",IF(COUNTIF($C$2:$C1860,$C1860)=1,1,0))</f>
        <v/>
      </c>
      <c r="AK1860">
        <f>IF($AJ1860=1,SUMPRODUCT(--($AN$2:$AN$4001&lt;$AN1860))+1,"")</f>
        <v/>
      </c>
      <c r="AL1860">
        <f>IF($C1860="","",IF(OR($Q1860=TRUE(),$Q1860="TRUE"),1,0))</f>
        <v/>
      </c>
      <c r="AM1860">
        <f>IF($C1860="","",IF($W1860="Yes",1,0))</f>
        <v/>
      </c>
      <c r="AN1860">
        <f>IF($AJ1860=1,IFERROR(IF(VALUE($C1860)&lt;100000000,VALUE($C1860),1000000000),IFERROR(IF(VALUE(MID($C1860,2,20))&lt;100000000,VALUE(MID($C1860,2,20)),1000000000),1000000000))+ROW()/100000,"")</f>
        <v/>
      </c>
    </row>
    <row r="1861">
      <c r="E1861" s="11" t="n"/>
      <c r="M1861" s="7">
        <f>IF($C1861="","",L1861*U1861/100)</f>
        <v/>
      </c>
      <c r="N1861" s="7" t="n"/>
      <c r="T1861" s="7" t="n"/>
      <c r="U1861" s="7">
        <f>IF($C1861="","",S1861*T1861)</f>
        <v/>
      </c>
      <c r="X1861">
        <f>IF($C1861="","",IF($AM1861=1,0,IF($AL1861=1,Settings!$C$6,Settings!$C$7))*100)</f>
        <v/>
      </c>
      <c r="AB1861" s="7" t="n"/>
      <c r="AE1861" s="11" t="n"/>
      <c r="AG1861" s="7">
        <f>IF($C1861="","",U1861*X1861/100)</f>
        <v/>
      </c>
      <c r="AH1861" s="7">
        <f>IF($C1861="","",U1861-AG1861)</f>
        <v/>
      </c>
      <c r="AI1861" s="7">
        <f>IF($C1861="","",AH1861-M1861)</f>
        <v/>
      </c>
      <c r="AJ1861">
        <f>IF($C1861="","",IF(COUNTIF($C$2:$C1861,$C1861)=1,1,0))</f>
        <v/>
      </c>
      <c r="AK1861">
        <f>IF($AJ1861=1,SUMPRODUCT(--($AN$2:$AN$4001&lt;$AN1861))+1,"")</f>
        <v/>
      </c>
      <c r="AL1861">
        <f>IF($C1861="","",IF(OR($Q1861=TRUE(),$Q1861="TRUE"),1,0))</f>
        <v/>
      </c>
      <c r="AM1861">
        <f>IF($C1861="","",IF($W1861="Yes",1,0))</f>
        <v/>
      </c>
      <c r="AN1861">
        <f>IF($AJ1861=1,IFERROR(IF(VALUE($C1861)&lt;100000000,VALUE($C1861),1000000000),IFERROR(IF(VALUE(MID($C1861,2,20))&lt;100000000,VALUE(MID($C1861,2,20)),1000000000),1000000000))+ROW()/100000,"")</f>
        <v/>
      </c>
    </row>
    <row r="1862">
      <c r="E1862" s="11" t="n"/>
      <c r="M1862" s="7">
        <f>IF($C1862="","",L1862*U1862/100)</f>
        <v/>
      </c>
      <c r="N1862" s="7" t="n"/>
      <c r="T1862" s="7" t="n"/>
      <c r="U1862" s="7">
        <f>IF($C1862="","",S1862*T1862)</f>
        <v/>
      </c>
      <c r="X1862">
        <f>IF($C1862="","",IF($AM1862=1,0,IF($AL1862=1,Settings!$C$6,Settings!$C$7))*100)</f>
        <v/>
      </c>
      <c r="AB1862" s="7" t="n"/>
      <c r="AE1862" s="11" t="n"/>
      <c r="AG1862" s="7">
        <f>IF($C1862="","",U1862*X1862/100)</f>
        <v/>
      </c>
      <c r="AH1862" s="7">
        <f>IF($C1862="","",U1862-AG1862)</f>
        <v/>
      </c>
      <c r="AI1862" s="7">
        <f>IF($C1862="","",AH1862-M1862)</f>
        <v/>
      </c>
      <c r="AJ1862">
        <f>IF($C1862="","",IF(COUNTIF($C$2:$C1862,$C1862)=1,1,0))</f>
        <v/>
      </c>
      <c r="AK1862">
        <f>IF($AJ1862=1,SUMPRODUCT(--($AN$2:$AN$4001&lt;$AN1862))+1,"")</f>
        <v/>
      </c>
      <c r="AL1862">
        <f>IF($C1862="","",IF(OR($Q1862=TRUE(),$Q1862="TRUE"),1,0))</f>
        <v/>
      </c>
      <c r="AM1862">
        <f>IF($C1862="","",IF($W1862="Yes",1,0))</f>
        <v/>
      </c>
      <c r="AN1862">
        <f>IF($AJ1862=1,IFERROR(IF(VALUE($C1862)&lt;100000000,VALUE($C1862),1000000000),IFERROR(IF(VALUE(MID($C1862,2,20))&lt;100000000,VALUE(MID($C1862,2,20)),1000000000),1000000000))+ROW()/100000,"")</f>
        <v/>
      </c>
    </row>
    <row r="1863">
      <c r="E1863" s="11" t="n"/>
      <c r="M1863" s="7">
        <f>IF($C1863="","",L1863*U1863/100)</f>
        <v/>
      </c>
      <c r="N1863" s="7" t="n"/>
      <c r="T1863" s="7" t="n"/>
      <c r="U1863" s="7">
        <f>IF($C1863="","",S1863*T1863)</f>
        <v/>
      </c>
      <c r="X1863">
        <f>IF($C1863="","",IF($AM1863=1,0,IF($AL1863=1,Settings!$C$6,Settings!$C$7))*100)</f>
        <v/>
      </c>
      <c r="AB1863" s="7" t="n"/>
      <c r="AE1863" s="11" t="n"/>
      <c r="AG1863" s="7">
        <f>IF($C1863="","",U1863*X1863/100)</f>
        <v/>
      </c>
      <c r="AH1863" s="7">
        <f>IF($C1863="","",U1863-AG1863)</f>
        <v/>
      </c>
      <c r="AI1863" s="7">
        <f>IF($C1863="","",AH1863-M1863)</f>
        <v/>
      </c>
      <c r="AJ1863">
        <f>IF($C1863="","",IF(COUNTIF($C$2:$C1863,$C1863)=1,1,0))</f>
        <v/>
      </c>
      <c r="AK1863">
        <f>IF($AJ1863=1,SUMPRODUCT(--($AN$2:$AN$4001&lt;$AN1863))+1,"")</f>
        <v/>
      </c>
      <c r="AL1863">
        <f>IF($C1863="","",IF(OR($Q1863=TRUE(),$Q1863="TRUE"),1,0))</f>
        <v/>
      </c>
      <c r="AM1863">
        <f>IF($C1863="","",IF($W1863="Yes",1,0))</f>
        <v/>
      </c>
      <c r="AN1863">
        <f>IF($AJ1863=1,IFERROR(IF(VALUE($C1863)&lt;100000000,VALUE($C1863),1000000000),IFERROR(IF(VALUE(MID($C1863,2,20))&lt;100000000,VALUE(MID($C1863,2,20)),1000000000),1000000000))+ROW()/100000,"")</f>
        <v/>
      </c>
    </row>
    <row r="1864">
      <c r="E1864" s="11" t="n"/>
      <c r="M1864" s="7">
        <f>IF($C1864="","",L1864*U1864/100)</f>
        <v/>
      </c>
      <c r="N1864" s="7" t="n"/>
      <c r="T1864" s="7" t="n"/>
      <c r="U1864" s="7">
        <f>IF($C1864="","",S1864*T1864)</f>
        <v/>
      </c>
      <c r="X1864">
        <f>IF($C1864="","",IF($AM1864=1,0,IF($AL1864=1,Settings!$C$6,Settings!$C$7))*100)</f>
        <v/>
      </c>
      <c r="AB1864" s="7" t="n"/>
      <c r="AE1864" s="11" t="n"/>
      <c r="AG1864" s="7">
        <f>IF($C1864="","",U1864*X1864/100)</f>
        <v/>
      </c>
      <c r="AH1864" s="7">
        <f>IF($C1864="","",U1864-AG1864)</f>
        <v/>
      </c>
      <c r="AI1864" s="7">
        <f>IF($C1864="","",AH1864-M1864)</f>
        <v/>
      </c>
      <c r="AJ1864">
        <f>IF($C1864="","",IF(COUNTIF($C$2:$C1864,$C1864)=1,1,0))</f>
        <v/>
      </c>
      <c r="AK1864">
        <f>IF($AJ1864=1,SUMPRODUCT(--($AN$2:$AN$4001&lt;$AN1864))+1,"")</f>
        <v/>
      </c>
      <c r="AL1864">
        <f>IF($C1864="","",IF(OR($Q1864=TRUE(),$Q1864="TRUE"),1,0))</f>
        <v/>
      </c>
      <c r="AM1864">
        <f>IF($C1864="","",IF($W1864="Yes",1,0))</f>
        <v/>
      </c>
      <c r="AN1864">
        <f>IF($AJ1864=1,IFERROR(IF(VALUE($C1864)&lt;100000000,VALUE($C1864),1000000000),IFERROR(IF(VALUE(MID($C1864,2,20))&lt;100000000,VALUE(MID($C1864,2,20)),1000000000),1000000000))+ROW()/100000,"")</f>
        <v/>
      </c>
    </row>
    <row r="1865">
      <c r="E1865" s="11" t="n"/>
      <c r="M1865" s="7">
        <f>IF($C1865="","",L1865*U1865/100)</f>
        <v/>
      </c>
      <c r="N1865" s="7" t="n"/>
      <c r="T1865" s="7" t="n"/>
      <c r="U1865" s="7">
        <f>IF($C1865="","",S1865*T1865)</f>
        <v/>
      </c>
      <c r="X1865">
        <f>IF($C1865="","",IF($AM1865=1,0,IF($AL1865=1,Settings!$C$6,Settings!$C$7))*100)</f>
        <v/>
      </c>
      <c r="AB1865" s="7" t="n"/>
      <c r="AE1865" s="11" t="n"/>
      <c r="AG1865" s="7">
        <f>IF($C1865="","",U1865*X1865/100)</f>
        <v/>
      </c>
      <c r="AH1865" s="7">
        <f>IF($C1865="","",U1865-AG1865)</f>
        <v/>
      </c>
      <c r="AI1865" s="7">
        <f>IF($C1865="","",AH1865-M1865)</f>
        <v/>
      </c>
      <c r="AJ1865">
        <f>IF($C1865="","",IF(COUNTIF($C$2:$C1865,$C1865)=1,1,0))</f>
        <v/>
      </c>
      <c r="AK1865">
        <f>IF($AJ1865=1,SUMPRODUCT(--($AN$2:$AN$4001&lt;$AN1865))+1,"")</f>
        <v/>
      </c>
      <c r="AL1865">
        <f>IF($C1865="","",IF(OR($Q1865=TRUE(),$Q1865="TRUE"),1,0))</f>
        <v/>
      </c>
      <c r="AM1865">
        <f>IF($C1865="","",IF($W1865="Yes",1,0))</f>
        <v/>
      </c>
      <c r="AN1865">
        <f>IF($AJ1865=1,IFERROR(IF(VALUE($C1865)&lt;100000000,VALUE($C1865),1000000000),IFERROR(IF(VALUE(MID($C1865,2,20))&lt;100000000,VALUE(MID($C1865,2,20)),1000000000),1000000000))+ROW()/100000,"")</f>
        <v/>
      </c>
    </row>
    <row r="1866">
      <c r="E1866" s="11" t="n"/>
      <c r="M1866" s="7">
        <f>IF($C1866="","",L1866*U1866/100)</f>
        <v/>
      </c>
      <c r="N1866" s="7" t="n"/>
      <c r="T1866" s="7" t="n"/>
      <c r="U1866" s="7">
        <f>IF($C1866="","",S1866*T1866)</f>
        <v/>
      </c>
      <c r="X1866">
        <f>IF($C1866="","",IF($AM1866=1,0,IF($AL1866=1,Settings!$C$6,Settings!$C$7))*100)</f>
        <v/>
      </c>
      <c r="AB1866" s="7" t="n"/>
      <c r="AE1866" s="11" t="n"/>
      <c r="AG1866" s="7">
        <f>IF($C1866="","",U1866*X1866/100)</f>
        <v/>
      </c>
      <c r="AH1866" s="7">
        <f>IF($C1866="","",U1866-AG1866)</f>
        <v/>
      </c>
      <c r="AI1866" s="7">
        <f>IF($C1866="","",AH1866-M1866)</f>
        <v/>
      </c>
      <c r="AJ1866">
        <f>IF($C1866="","",IF(COUNTIF($C$2:$C1866,$C1866)=1,1,0))</f>
        <v/>
      </c>
      <c r="AK1866">
        <f>IF($AJ1866=1,SUMPRODUCT(--($AN$2:$AN$4001&lt;$AN1866))+1,"")</f>
        <v/>
      </c>
      <c r="AL1866">
        <f>IF($C1866="","",IF(OR($Q1866=TRUE(),$Q1866="TRUE"),1,0))</f>
        <v/>
      </c>
      <c r="AM1866">
        <f>IF($C1866="","",IF($W1866="Yes",1,0))</f>
        <v/>
      </c>
      <c r="AN1866">
        <f>IF($AJ1866=1,IFERROR(IF(VALUE($C1866)&lt;100000000,VALUE($C1866),1000000000),IFERROR(IF(VALUE(MID($C1866,2,20))&lt;100000000,VALUE(MID($C1866,2,20)),1000000000),1000000000))+ROW()/100000,"")</f>
        <v/>
      </c>
    </row>
    <row r="1867">
      <c r="E1867" s="11" t="n"/>
      <c r="M1867" s="7">
        <f>IF($C1867="","",L1867*U1867/100)</f>
        <v/>
      </c>
      <c r="N1867" s="7" t="n"/>
      <c r="T1867" s="7" t="n"/>
      <c r="U1867" s="7">
        <f>IF($C1867="","",S1867*T1867)</f>
        <v/>
      </c>
      <c r="X1867">
        <f>IF($C1867="","",IF($AM1867=1,0,IF($AL1867=1,Settings!$C$6,Settings!$C$7))*100)</f>
        <v/>
      </c>
      <c r="AB1867" s="7" t="n"/>
      <c r="AE1867" s="11" t="n"/>
      <c r="AG1867" s="7">
        <f>IF($C1867="","",U1867*X1867/100)</f>
        <v/>
      </c>
      <c r="AH1867" s="7">
        <f>IF($C1867="","",U1867-AG1867)</f>
        <v/>
      </c>
      <c r="AI1867" s="7">
        <f>IF($C1867="","",AH1867-M1867)</f>
        <v/>
      </c>
      <c r="AJ1867">
        <f>IF($C1867="","",IF(COUNTIF($C$2:$C1867,$C1867)=1,1,0))</f>
        <v/>
      </c>
      <c r="AK1867">
        <f>IF($AJ1867=1,SUMPRODUCT(--($AN$2:$AN$4001&lt;$AN1867))+1,"")</f>
        <v/>
      </c>
      <c r="AL1867">
        <f>IF($C1867="","",IF(OR($Q1867=TRUE(),$Q1867="TRUE"),1,0))</f>
        <v/>
      </c>
      <c r="AM1867">
        <f>IF($C1867="","",IF($W1867="Yes",1,0))</f>
        <v/>
      </c>
      <c r="AN1867">
        <f>IF($AJ1867=1,IFERROR(IF(VALUE($C1867)&lt;100000000,VALUE($C1867),1000000000),IFERROR(IF(VALUE(MID($C1867,2,20))&lt;100000000,VALUE(MID($C1867,2,20)),1000000000),1000000000))+ROW()/100000,"")</f>
        <v/>
      </c>
    </row>
    <row r="1868">
      <c r="E1868" s="11" t="n"/>
      <c r="M1868" s="7">
        <f>IF($C1868="","",L1868*U1868/100)</f>
        <v/>
      </c>
      <c r="N1868" s="7" t="n"/>
      <c r="T1868" s="7" t="n"/>
      <c r="U1868" s="7">
        <f>IF($C1868="","",S1868*T1868)</f>
        <v/>
      </c>
      <c r="X1868">
        <f>IF($C1868="","",IF($AM1868=1,0,IF($AL1868=1,Settings!$C$6,Settings!$C$7))*100)</f>
        <v/>
      </c>
      <c r="AB1868" s="7" t="n"/>
      <c r="AE1868" s="11" t="n"/>
      <c r="AG1868" s="7">
        <f>IF($C1868="","",U1868*X1868/100)</f>
        <v/>
      </c>
      <c r="AH1868" s="7">
        <f>IF($C1868="","",U1868-AG1868)</f>
        <v/>
      </c>
      <c r="AI1868" s="7">
        <f>IF($C1868="","",AH1868-M1868)</f>
        <v/>
      </c>
      <c r="AJ1868">
        <f>IF($C1868="","",IF(COUNTIF($C$2:$C1868,$C1868)=1,1,0))</f>
        <v/>
      </c>
      <c r="AK1868">
        <f>IF($AJ1868=1,SUMPRODUCT(--($AN$2:$AN$4001&lt;$AN1868))+1,"")</f>
        <v/>
      </c>
      <c r="AL1868">
        <f>IF($C1868="","",IF(OR($Q1868=TRUE(),$Q1868="TRUE"),1,0))</f>
        <v/>
      </c>
      <c r="AM1868">
        <f>IF($C1868="","",IF($W1868="Yes",1,0))</f>
        <v/>
      </c>
      <c r="AN1868">
        <f>IF($AJ1868=1,IFERROR(IF(VALUE($C1868)&lt;100000000,VALUE($C1868),1000000000),IFERROR(IF(VALUE(MID($C1868,2,20))&lt;100000000,VALUE(MID($C1868,2,20)),1000000000),1000000000))+ROW()/100000,"")</f>
        <v/>
      </c>
    </row>
    <row r="1869">
      <c r="E1869" s="11" t="n"/>
      <c r="M1869" s="7">
        <f>IF($C1869="","",L1869*U1869/100)</f>
        <v/>
      </c>
      <c r="N1869" s="7" t="n"/>
      <c r="T1869" s="7" t="n"/>
      <c r="U1869" s="7">
        <f>IF($C1869="","",S1869*T1869)</f>
        <v/>
      </c>
      <c r="X1869">
        <f>IF($C1869="","",IF($AM1869=1,0,IF($AL1869=1,Settings!$C$6,Settings!$C$7))*100)</f>
        <v/>
      </c>
      <c r="AB1869" s="7" t="n"/>
      <c r="AE1869" s="11" t="n"/>
      <c r="AG1869" s="7">
        <f>IF($C1869="","",U1869*X1869/100)</f>
        <v/>
      </c>
      <c r="AH1869" s="7">
        <f>IF($C1869="","",U1869-AG1869)</f>
        <v/>
      </c>
      <c r="AI1869" s="7">
        <f>IF($C1869="","",AH1869-M1869)</f>
        <v/>
      </c>
      <c r="AJ1869">
        <f>IF($C1869="","",IF(COUNTIF($C$2:$C1869,$C1869)=1,1,0))</f>
        <v/>
      </c>
      <c r="AK1869">
        <f>IF($AJ1869=1,SUMPRODUCT(--($AN$2:$AN$4001&lt;$AN1869))+1,"")</f>
        <v/>
      </c>
      <c r="AL1869">
        <f>IF($C1869="","",IF(OR($Q1869=TRUE(),$Q1869="TRUE"),1,0))</f>
        <v/>
      </c>
      <c r="AM1869">
        <f>IF($C1869="","",IF($W1869="Yes",1,0))</f>
        <v/>
      </c>
      <c r="AN1869">
        <f>IF($AJ1869=1,IFERROR(IF(VALUE($C1869)&lt;100000000,VALUE($C1869),1000000000),IFERROR(IF(VALUE(MID($C1869,2,20))&lt;100000000,VALUE(MID($C1869,2,20)),1000000000),1000000000))+ROW()/100000,"")</f>
        <v/>
      </c>
    </row>
    <row r="1870">
      <c r="E1870" s="11" t="n"/>
      <c r="M1870" s="7">
        <f>IF($C1870="","",L1870*U1870/100)</f>
        <v/>
      </c>
      <c r="N1870" s="7" t="n"/>
      <c r="T1870" s="7" t="n"/>
      <c r="U1870" s="7">
        <f>IF($C1870="","",S1870*T1870)</f>
        <v/>
      </c>
      <c r="X1870">
        <f>IF($C1870="","",IF($AM1870=1,0,IF($AL1870=1,Settings!$C$6,Settings!$C$7))*100)</f>
        <v/>
      </c>
      <c r="AB1870" s="7" t="n"/>
      <c r="AE1870" s="11" t="n"/>
      <c r="AG1870" s="7">
        <f>IF($C1870="","",U1870*X1870/100)</f>
        <v/>
      </c>
      <c r="AH1870" s="7">
        <f>IF($C1870="","",U1870-AG1870)</f>
        <v/>
      </c>
      <c r="AI1870" s="7">
        <f>IF($C1870="","",AH1870-M1870)</f>
        <v/>
      </c>
      <c r="AJ1870">
        <f>IF($C1870="","",IF(COUNTIF($C$2:$C1870,$C1870)=1,1,0))</f>
        <v/>
      </c>
      <c r="AK1870">
        <f>IF($AJ1870=1,SUMPRODUCT(--($AN$2:$AN$4001&lt;$AN1870))+1,"")</f>
        <v/>
      </c>
      <c r="AL1870">
        <f>IF($C1870="","",IF(OR($Q1870=TRUE(),$Q1870="TRUE"),1,0))</f>
        <v/>
      </c>
      <c r="AM1870">
        <f>IF($C1870="","",IF($W1870="Yes",1,0))</f>
        <v/>
      </c>
      <c r="AN1870">
        <f>IF($AJ1870=1,IFERROR(IF(VALUE($C1870)&lt;100000000,VALUE($C1870),1000000000),IFERROR(IF(VALUE(MID($C1870,2,20))&lt;100000000,VALUE(MID($C1870,2,20)),1000000000),1000000000))+ROW()/100000,"")</f>
        <v/>
      </c>
    </row>
    <row r="1871">
      <c r="E1871" s="11" t="n"/>
      <c r="M1871" s="7">
        <f>IF($C1871="","",L1871*U1871/100)</f>
        <v/>
      </c>
      <c r="N1871" s="7" t="n"/>
      <c r="T1871" s="7" t="n"/>
      <c r="U1871" s="7">
        <f>IF($C1871="","",S1871*T1871)</f>
        <v/>
      </c>
      <c r="X1871">
        <f>IF($C1871="","",IF($AM1871=1,0,IF($AL1871=1,Settings!$C$6,Settings!$C$7))*100)</f>
        <v/>
      </c>
      <c r="AB1871" s="7" t="n"/>
      <c r="AE1871" s="11" t="n"/>
      <c r="AG1871" s="7">
        <f>IF($C1871="","",U1871*X1871/100)</f>
        <v/>
      </c>
      <c r="AH1871" s="7">
        <f>IF($C1871="","",U1871-AG1871)</f>
        <v/>
      </c>
      <c r="AI1871" s="7">
        <f>IF($C1871="","",AH1871-M1871)</f>
        <v/>
      </c>
      <c r="AJ1871">
        <f>IF($C1871="","",IF(COUNTIF($C$2:$C1871,$C1871)=1,1,0))</f>
        <v/>
      </c>
      <c r="AK1871">
        <f>IF($AJ1871=1,SUMPRODUCT(--($AN$2:$AN$4001&lt;$AN1871))+1,"")</f>
        <v/>
      </c>
      <c r="AL1871">
        <f>IF($C1871="","",IF(OR($Q1871=TRUE(),$Q1871="TRUE"),1,0))</f>
        <v/>
      </c>
      <c r="AM1871">
        <f>IF($C1871="","",IF($W1871="Yes",1,0))</f>
        <v/>
      </c>
      <c r="AN1871">
        <f>IF($AJ1871=1,IFERROR(IF(VALUE($C1871)&lt;100000000,VALUE($C1871),1000000000),IFERROR(IF(VALUE(MID($C1871,2,20))&lt;100000000,VALUE(MID($C1871,2,20)),1000000000),1000000000))+ROW()/100000,"")</f>
        <v/>
      </c>
    </row>
    <row r="1872">
      <c r="E1872" s="11" t="n"/>
      <c r="M1872" s="7">
        <f>IF($C1872="","",L1872*U1872/100)</f>
        <v/>
      </c>
      <c r="N1872" s="7" t="n"/>
      <c r="T1872" s="7" t="n"/>
      <c r="U1872" s="7">
        <f>IF($C1872="","",S1872*T1872)</f>
        <v/>
      </c>
      <c r="X1872">
        <f>IF($C1872="","",IF($AM1872=1,0,IF($AL1872=1,Settings!$C$6,Settings!$C$7))*100)</f>
        <v/>
      </c>
      <c r="AB1872" s="7" t="n"/>
      <c r="AE1872" s="11" t="n"/>
      <c r="AG1872" s="7">
        <f>IF($C1872="","",U1872*X1872/100)</f>
        <v/>
      </c>
      <c r="AH1872" s="7">
        <f>IF($C1872="","",U1872-AG1872)</f>
        <v/>
      </c>
      <c r="AI1872" s="7">
        <f>IF($C1872="","",AH1872-M1872)</f>
        <v/>
      </c>
      <c r="AJ1872">
        <f>IF($C1872="","",IF(COUNTIF($C$2:$C1872,$C1872)=1,1,0))</f>
        <v/>
      </c>
      <c r="AK1872">
        <f>IF($AJ1872=1,SUMPRODUCT(--($AN$2:$AN$4001&lt;$AN1872))+1,"")</f>
        <v/>
      </c>
      <c r="AL1872">
        <f>IF($C1872="","",IF(OR($Q1872=TRUE(),$Q1872="TRUE"),1,0))</f>
        <v/>
      </c>
      <c r="AM1872">
        <f>IF($C1872="","",IF($W1872="Yes",1,0))</f>
        <v/>
      </c>
      <c r="AN1872">
        <f>IF($AJ1872=1,IFERROR(IF(VALUE($C1872)&lt;100000000,VALUE($C1872),1000000000),IFERROR(IF(VALUE(MID($C1872,2,20))&lt;100000000,VALUE(MID($C1872,2,20)),1000000000),1000000000))+ROW()/100000,"")</f>
        <v/>
      </c>
    </row>
    <row r="1873">
      <c r="E1873" s="11" t="n"/>
      <c r="M1873" s="7">
        <f>IF($C1873="","",L1873*U1873/100)</f>
        <v/>
      </c>
      <c r="N1873" s="7" t="n"/>
      <c r="T1873" s="7" t="n"/>
      <c r="U1873" s="7">
        <f>IF($C1873="","",S1873*T1873)</f>
        <v/>
      </c>
      <c r="X1873">
        <f>IF($C1873="","",IF($AM1873=1,0,IF($AL1873=1,Settings!$C$6,Settings!$C$7))*100)</f>
        <v/>
      </c>
      <c r="AB1873" s="7" t="n"/>
      <c r="AE1873" s="11" t="n"/>
      <c r="AG1873" s="7">
        <f>IF($C1873="","",U1873*X1873/100)</f>
        <v/>
      </c>
      <c r="AH1873" s="7">
        <f>IF($C1873="","",U1873-AG1873)</f>
        <v/>
      </c>
      <c r="AI1873" s="7">
        <f>IF($C1873="","",AH1873-M1873)</f>
        <v/>
      </c>
      <c r="AJ1873">
        <f>IF($C1873="","",IF(COUNTIF($C$2:$C1873,$C1873)=1,1,0))</f>
        <v/>
      </c>
      <c r="AK1873">
        <f>IF($AJ1873=1,SUMPRODUCT(--($AN$2:$AN$4001&lt;$AN1873))+1,"")</f>
        <v/>
      </c>
      <c r="AL1873">
        <f>IF($C1873="","",IF(OR($Q1873=TRUE(),$Q1873="TRUE"),1,0))</f>
        <v/>
      </c>
      <c r="AM1873">
        <f>IF($C1873="","",IF($W1873="Yes",1,0))</f>
        <v/>
      </c>
      <c r="AN1873">
        <f>IF($AJ1873=1,IFERROR(IF(VALUE($C1873)&lt;100000000,VALUE($C1873),1000000000),IFERROR(IF(VALUE(MID($C1873,2,20))&lt;100000000,VALUE(MID($C1873,2,20)),1000000000),1000000000))+ROW()/100000,"")</f>
        <v/>
      </c>
    </row>
    <row r="1874">
      <c r="E1874" s="11" t="n"/>
      <c r="M1874" s="7">
        <f>IF($C1874="","",L1874*U1874/100)</f>
        <v/>
      </c>
      <c r="N1874" s="7" t="n"/>
      <c r="T1874" s="7" t="n"/>
      <c r="U1874" s="7">
        <f>IF($C1874="","",S1874*T1874)</f>
        <v/>
      </c>
      <c r="X1874">
        <f>IF($C1874="","",IF($AM1874=1,0,IF($AL1874=1,Settings!$C$6,Settings!$C$7))*100)</f>
        <v/>
      </c>
      <c r="AB1874" s="7" t="n"/>
      <c r="AE1874" s="11" t="n"/>
      <c r="AG1874" s="7">
        <f>IF($C1874="","",U1874*X1874/100)</f>
        <v/>
      </c>
      <c r="AH1874" s="7">
        <f>IF($C1874="","",U1874-AG1874)</f>
        <v/>
      </c>
      <c r="AI1874" s="7">
        <f>IF($C1874="","",AH1874-M1874)</f>
        <v/>
      </c>
      <c r="AJ1874">
        <f>IF($C1874="","",IF(COUNTIF($C$2:$C1874,$C1874)=1,1,0))</f>
        <v/>
      </c>
      <c r="AK1874">
        <f>IF($AJ1874=1,SUMPRODUCT(--($AN$2:$AN$4001&lt;$AN1874))+1,"")</f>
        <v/>
      </c>
      <c r="AL1874">
        <f>IF($C1874="","",IF(OR($Q1874=TRUE(),$Q1874="TRUE"),1,0))</f>
        <v/>
      </c>
      <c r="AM1874">
        <f>IF($C1874="","",IF($W1874="Yes",1,0))</f>
        <v/>
      </c>
      <c r="AN1874">
        <f>IF($AJ1874=1,IFERROR(IF(VALUE($C1874)&lt;100000000,VALUE($C1874),1000000000),IFERROR(IF(VALUE(MID($C1874,2,20))&lt;100000000,VALUE(MID($C1874,2,20)),1000000000),1000000000))+ROW()/100000,"")</f>
        <v/>
      </c>
    </row>
    <row r="1875">
      <c r="E1875" s="11" t="n"/>
      <c r="M1875" s="7">
        <f>IF($C1875="","",L1875*U1875/100)</f>
        <v/>
      </c>
      <c r="N1875" s="7" t="n"/>
      <c r="T1875" s="7" t="n"/>
      <c r="U1875" s="7">
        <f>IF($C1875="","",S1875*T1875)</f>
        <v/>
      </c>
      <c r="X1875">
        <f>IF($C1875="","",IF($AM1875=1,0,IF($AL1875=1,Settings!$C$6,Settings!$C$7))*100)</f>
        <v/>
      </c>
      <c r="AB1875" s="7" t="n"/>
      <c r="AE1875" s="11" t="n"/>
      <c r="AG1875" s="7">
        <f>IF($C1875="","",U1875*X1875/100)</f>
        <v/>
      </c>
      <c r="AH1875" s="7">
        <f>IF($C1875="","",U1875-AG1875)</f>
        <v/>
      </c>
      <c r="AI1875" s="7">
        <f>IF($C1875="","",AH1875-M1875)</f>
        <v/>
      </c>
      <c r="AJ1875">
        <f>IF($C1875="","",IF(COUNTIF($C$2:$C1875,$C1875)=1,1,0))</f>
        <v/>
      </c>
      <c r="AK1875">
        <f>IF($AJ1875=1,SUMPRODUCT(--($AN$2:$AN$4001&lt;$AN1875))+1,"")</f>
        <v/>
      </c>
      <c r="AL1875">
        <f>IF($C1875="","",IF(OR($Q1875=TRUE(),$Q1875="TRUE"),1,0))</f>
        <v/>
      </c>
      <c r="AM1875">
        <f>IF($C1875="","",IF($W1875="Yes",1,0))</f>
        <v/>
      </c>
      <c r="AN1875">
        <f>IF($AJ1875=1,IFERROR(IF(VALUE($C1875)&lt;100000000,VALUE($C1875),1000000000),IFERROR(IF(VALUE(MID($C1875,2,20))&lt;100000000,VALUE(MID($C1875,2,20)),1000000000),1000000000))+ROW()/100000,"")</f>
        <v/>
      </c>
    </row>
    <row r="1876">
      <c r="E1876" s="11" t="n"/>
      <c r="M1876" s="7">
        <f>IF($C1876="","",L1876*U1876/100)</f>
        <v/>
      </c>
      <c r="N1876" s="7" t="n"/>
      <c r="T1876" s="7" t="n"/>
      <c r="U1876" s="7">
        <f>IF($C1876="","",S1876*T1876)</f>
        <v/>
      </c>
      <c r="X1876">
        <f>IF($C1876="","",IF($AM1876=1,0,IF($AL1876=1,Settings!$C$6,Settings!$C$7))*100)</f>
        <v/>
      </c>
      <c r="AB1876" s="7" t="n"/>
      <c r="AE1876" s="11" t="n"/>
      <c r="AG1876" s="7">
        <f>IF($C1876="","",U1876*X1876/100)</f>
        <v/>
      </c>
      <c r="AH1876" s="7">
        <f>IF($C1876="","",U1876-AG1876)</f>
        <v/>
      </c>
      <c r="AI1876" s="7">
        <f>IF($C1876="","",AH1876-M1876)</f>
        <v/>
      </c>
      <c r="AJ1876">
        <f>IF($C1876="","",IF(COUNTIF($C$2:$C1876,$C1876)=1,1,0))</f>
        <v/>
      </c>
      <c r="AK1876">
        <f>IF($AJ1876=1,SUMPRODUCT(--($AN$2:$AN$4001&lt;$AN1876))+1,"")</f>
        <v/>
      </c>
      <c r="AL1876">
        <f>IF($C1876="","",IF(OR($Q1876=TRUE(),$Q1876="TRUE"),1,0))</f>
        <v/>
      </c>
      <c r="AM1876">
        <f>IF($C1876="","",IF($W1876="Yes",1,0))</f>
        <v/>
      </c>
      <c r="AN1876">
        <f>IF($AJ1876=1,IFERROR(IF(VALUE($C1876)&lt;100000000,VALUE($C1876),1000000000),IFERROR(IF(VALUE(MID($C1876,2,20))&lt;100000000,VALUE(MID($C1876,2,20)),1000000000),1000000000))+ROW()/100000,"")</f>
        <v/>
      </c>
    </row>
    <row r="1877">
      <c r="E1877" s="11" t="n"/>
      <c r="M1877" s="7">
        <f>IF($C1877="","",L1877*U1877/100)</f>
        <v/>
      </c>
      <c r="N1877" s="7" t="n"/>
      <c r="T1877" s="7" t="n"/>
      <c r="U1877" s="7">
        <f>IF($C1877="","",S1877*T1877)</f>
        <v/>
      </c>
      <c r="X1877">
        <f>IF($C1877="","",IF($AM1877=1,0,IF($AL1877=1,Settings!$C$6,Settings!$C$7))*100)</f>
        <v/>
      </c>
      <c r="AB1877" s="7" t="n"/>
      <c r="AE1877" s="11" t="n"/>
      <c r="AG1877" s="7">
        <f>IF($C1877="","",U1877*X1877/100)</f>
        <v/>
      </c>
      <c r="AH1877" s="7">
        <f>IF($C1877="","",U1877-AG1877)</f>
        <v/>
      </c>
      <c r="AI1877" s="7">
        <f>IF($C1877="","",AH1877-M1877)</f>
        <v/>
      </c>
      <c r="AJ1877">
        <f>IF($C1877="","",IF(COUNTIF($C$2:$C1877,$C1877)=1,1,0))</f>
        <v/>
      </c>
      <c r="AK1877">
        <f>IF($AJ1877=1,SUMPRODUCT(--($AN$2:$AN$4001&lt;$AN1877))+1,"")</f>
        <v/>
      </c>
      <c r="AL1877">
        <f>IF($C1877="","",IF(OR($Q1877=TRUE(),$Q1877="TRUE"),1,0))</f>
        <v/>
      </c>
      <c r="AM1877">
        <f>IF($C1877="","",IF($W1877="Yes",1,0))</f>
        <v/>
      </c>
      <c r="AN1877">
        <f>IF($AJ1877=1,IFERROR(IF(VALUE($C1877)&lt;100000000,VALUE($C1877),1000000000),IFERROR(IF(VALUE(MID($C1877,2,20))&lt;100000000,VALUE(MID($C1877,2,20)),1000000000),1000000000))+ROW()/100000,"")</f>
        <v/>
      </c>
    </row>
    <row r="1878">
      <c r="E1878" s="11" t="n"/>
      <c r="M1878" s="7">
        <f>IF($C1878="","",L1878*U1878/100)</f>
        <v/>
      </c>
      <c r="N1878" s="7" t="n"/>
      <c r="T1878" s="7" t="n"/>
      <c r="U1878" s="7">
        <f>IF($C1878="","",S1878*T1878)</f>
        <v/>
      </c>
      <c r="X1878">
        <f>IF($C1878="","",IF($AM1878=1,0,IF($AL1878=1,Settings!$C$6,Settings!$C$7))*100)</f>
        <v/>
      </c>
      <c r="AB1878" s="7" t="n"/>
      <c r="AE1878" s="11" t="n"/>
      <c r="AG1878" s="7">
        <f>IF($C1878="","",U1878*X1878/100)</f>
        <v/>
      </c>
      <c r="AH1878" s="7">
        <f>IF($C1878="","",U1878-AG1878)</f>
        <v/>
      </c>
      <c r="AI1878" s="7">
        <f>IF($C1878="","",AH1878-M1878)</f>
        <v/>
      </c>
      <c r="AJ1878">
        <f>IF($C1878="","",IF(COUNTIF($C$2:$C1878,$C1878)=1,1,0))</f>
        <v/>
      </c>
      <c r="AK1878">
        <f>IF($AJ1878=1,SUMPRODUCT(--($AN$2:$AN$4001&lt;$AN1878))+1,"")</f>
        <v/>
      </c>
      <c r="AL1878">
        <f>IF($C1878="","",IF(OR($Q1878=TRUE(),$Q1878="TRUE"),1,0))</f>
        <v/>
      </c>
      <c r="AM1878">
        <f>IF($C1878="","",IF($W1878="Yes",1,0))</f>
        <v/>
      </c>
      <c r="AN1878">
        <f>IF($AJ1878=1,IFERROR(IF(VALUE($C1878)&lt;100000000,VALUE($C1878),1000000000),IFERROR(IF(VALUE(MID($C1878,2,20))&lt;100000000,VALUE(MID($C1878,2,20)),1000000000),1000000000))+ROW()/100000,"")</f>
        <v/>
      </c>
    </row>
    <row r="1879">
      <c r="E1879" s="11" t="n"/>
      <c r="M1879" s="7">
        <f>IF($C1879="","",L1879*U1879/100)</f>
        <v/>
      </c>
      <c r="N1879" s="7" t="n"/>
      <c r="T1879" s="7" t="n"/>
      <c r="U1879" s="7">
        <f>IF($C1879="","",S1879*T1879)</f>
        <v/>
      </c>
      <c r="X1879">
        <f>IF($C1879="","",IF($AM1879=1,0,IF($AL1879=1,Settings!$C$6,Settings!$C$7))*100)</f>
        <v/>
      </c>
      <c r="AB1879" s="7" t="n"/>
      <c r="AE1879" s="11" t="n"/>
      <c r="AG1879" s="7">
        <f>IF($C1879="","",U1879*X1879/100)</f>
        <v/>
      </c>
      <c r="AH1879" s="7">
        <f>IF($C1879="","",U1879-AG1879)</f>
        <v/>
      </c>
      <c r="AI1879" s="7">
        <f>IF($C1879="","",AH1879-M1879)</f>
        <v/>
      </c>
      <c r="AJ1879">
        <f>IF($C1879="","",IF(COUNTIF($C$2:$C1879,$C1879)=1,1,0))</f>
        <v/>
      </c>
      <c r="AK1879">
        <f>IF($AJ1879=1,SUMPRODUCT(--($AN$2:$AN$4001&lt;$AN1879))+1,"")</f>
        <v/>
      </c>
      <c r="AL1879">
        <f>IF($C1879="","",IF(OR($Q1879=TRUE(),$Q1879="TRUE"),1,0))</f>
        <v/>
      </c>
      <c r="AM1879">
        <f>IF($C1879="","",IF($W1879="Yes",1,0))</f>
        <v/>
      </c>
      <c r="AN1879">
        <f>IF($AJ1879=1,IFERROR(IF(VALUE($C1879)&lt;100000000,VALUE($C1879),1000000000),IFERROR(IF(VALUE(MID($C1879,2,20))&lt;100000000,VALUE(MID($C1879,2,20)),1000000000),1000000000))+ROW()/100000,"")</f>
        <v/>
      </c>
    </row>
    <row r="1880">
      <c r="E1880" s="11" t="n"/>
      <c r="M1880" s="7">
        <f>IF($C1880="","",L1880*U1880/100)</f>
        <v/>
      </c>
      <c r="N1880" s="7" t="n"/>
      <c r="T1880" s="7" t="n"/>
      <c r="U1880" s="7">
        <f>IF($C1880="","",S1880*T1880)</f>
        <v/>
      </c>
      <c r="X1880">
        <f>IF($C1880="","",IF($AM1880=1,0,IF($AL1880=1,Settings!$C$6,Settings!$C$7))*100)</f>
        <v/>
      </c>
      <c r="AB1880" s="7" t="n"/>
      <c r="AE1880" s="11" t="n"/>
      <c r="AG1880" s="7">
        <f>IF($C1880="","",U1880*X1880/100)</f>
        <v/>
      </c>
      <c r="AH1880" s="7">
        <f>IF($C1880="","",U1880-AG1880)</f>
        <v/>
      </c>
      <c r="AI1880" s="7">
        <f>IF($C1880="","",AH1880-M1880)</f>
        <v/>
      </c>
      <c r="AJ1880">
        <f>IF($C1880="","",IF(COUNTIF($C$2:$C1880,$C1880)=1,1,0))</f>
        <v/>
      </c>
      <c r="AK1880">
        <f>IF($AJ1880=1,SUMPRODUCT(--($AN$2:$AN$4001&lt;$AN1880))+1,"")</f>
        <v/>
      </c>
      <c r="AL1880">
        <f>IF($C1880="","",IF(OR($Q1880=TRUE(),$Q1880="TRUE"),1,0))</f>
        <v/>
      </c>
      <c r="AM1880">
        <f>IF($C1880="","",IF($W1880="Yes",1,0))</f>
        <v/>
      </c>
      <c r="AN1880">
        <f>IF($AJ1880=1,IFERROR(IF(VALUE($C1880)&lt;100000000,VALUE($C1880),1000000000),IFERROR(IF(VALUE(MID($C1880,2,20))&lt;100000000,VALUE(MID($C1880,2,20)),1000000000),1000000000))+ROW()/100000,"")</f>
        <v/>
      </c>
    </row>
    <row r="1881">
      <c r="E1881" s="11" t="n"/>
      <c r="M1881" s="7">
        <f>IF($C1881="","",L1881*U1881/100)</f>
        <v/>
      </c>
      <c r="N1881" s="7" t="n"/>
      <c r="T1881" s="7" t="n"/>
      <c r="U1881" s="7">
        <f>IF($C1881="","",S1881*T1881)</f>
        <v/>
      </c>
      <c r="X1881">
        <f>IF($C1881="","",IF($AM1881=1,0,IF($AL1881=1,Settings!$C$6,Settings!$C$7))*100)</f>
        <v/>
      </c>
      <c r="AB1881" s="7" t="n"/>
      <c r="AE1881" s="11" t="n"/>
      <c r="AG1881" s="7">
        <f>IF($C1881="","",U1881*X1881/100)</f>
        <v/>
      </c>
      <c r="AH1881" s="7">
        <f>IF($C1881="","",U1881-AG1881)</f>
        <v/>
      </c>
      <c r="AI1881" s="7">
        <f>IF($C1881="","",AH1881-M1881)</f>
        <v/>
      </c>
      <c r="AJ1881">
        <f>IF($C1881="","",IF(COUNTIF($C$2:$C1881,$C1881)=1,1,0))</f>
        <v/>
      </c>
      <c r="AK1881">
        <f>IF($AJ1881=1,SUMPRODUCT(--($AN$2:$AN$4001&lt;$AN1881))+1,"")</f>
        <v/>
      </c>
      <c r="AL1881">
        <f>IF($C1881="","",IF(OR($Q1881=TRUE(),$Q1881="TRUE"),1,0))</f>
        <v/>
      </c>
      <c r="AM1881">
        <f>IF($C1881="","",IF($W1881="Yes",1,0))</f>
        <v/>
      </c>
      <c r="AN1881">
        <f>IF($AJ1881=1,IFERROR(IF(VALUE($C1881)&lt;100000000,VALUE($C1881),1000000000),IFERROR(IF(VALUE(MID($C1881,2,20))&lt;100000000,VALUE(MID($C1881,2,20)),1000000000),1000000000))+ROW()/100000,"")</f>
        <v/>
      </c>
    </row>
    <row r="1882">
      <c r="E1882" s="11" t="n"/>
      <c r="M1882" s="7">
        <f>IF($C1882="","",L1882*U1882/100)</f>
        <v/>
      </c>
      <c r="N1882" s="7" t="n"/>
      <c r="T1882" s="7" t="n"/>
      <c r="U1882" s="7">
        <f>IF($C1882="","",S1882*T1882)</f>
        <v/>
      </c>
      <c r="X1882">
        <f>IF($C1882="","",IF($AM1882=1,0,IF($AL1882=1,Settings!$C$6,Settings!$C$7))*100)</f>
        <v/>
      </c>
      <c r="AB1882" s="7" t="n"/>
      <c r="AE1882" s="11" t="n"/>
      <c r="AG1882" s="7">
        <f>IF($C1882="","",U1882*X1882/100)</f>
        <v/>
      </c>
      <c r="AH1882" s="7">
        <f>IF($C1882="","",U1882-AG1882)</f>
        <v/>
      </c>
      <c r="AI1882" s="7">
        <f>IF($C1882="","",AH1882-M1882)</f>
        <v/>
      </c>
      <c r="AJ1882">
        <f>IF($C1882="","",IF(COUNTIF($C$2:$C1882,$C1882)=1,1,0))</f>
        <v/>
      </c>
      <c r="AK1882">
        <f>IF($AJ1882=1,SUMPRODUCT(--($AN$2:$AN$4001&lt;$AN1882))+1,"")</f>
        <v/>
      </c>
      <c r="AL1882">
        <f>IF($C1882="","",IF(OR($Q1882=TRUE(),$Q1882="TRUE"),1,0))</f>
        <v/>
      </c>
      <c r="AM1882">
        <f>IF($C1882="","",IF($W1882="Yes",1,0))</f>
        <v/>
      </c>
      <c r="AN1882">
        <f>IF($AJ1882=1,IFERROR(IF(VALUE($C1882)&lt;100000000,VALUE($C1882),1000000000),IFERROR(IF(VALUE(MID($C1882,2,20))&lt;100000000,VALUE(MID($C1882,2,20)),1000000000),1000000000))+ROW()/100000,"")</f>
        <v/>
      </c>
    </row>
    <row r="1883">
      <c r="E1883" s="11" t="n"/>
      <c r="M1883" s="7">
        <f>IF($C1883="","",L1883*U1883/100)</f>
        <v/>
      </c>
      <c r="N1883" s="7" t="n"/>
      <c r="T1883" s="7" t="n"/>
      <c r="U1883" s="7">
        <f>IF($C1883="","",S1883*T1883)</f>
        <v/>
      </c>
      <c r="X1883">
        <f>IF($C1883="","",IF($AM1883=1,0,IF($AL1883=1,Settings!$C$6,Settings!$C$7))*100)</f>
        <v/>
      </c>
      <c r="AB1883" s="7" t="n"/>
      <c r="AE1883" s="11" t="n"/>
      <c r="AG1883" s="7">
        <f>IF($C1883="","",U1883*X1883/100)</f>
        <v/>
      </c>
      <c r="AH1883" s="7">
        <f>IF($C1883="","",U1883-AG1883)</f>
        <v/>
      </c>
      <c r="AI1883" s="7">
        <f>IF($C1883="","",AH1883-M1883)</f>
        <v/>
      </c>
      <c r="AJ1883">
        <f>IF($C1883="","",IF(COUNTIF($C$2:$C1883,$C1883)=1,1,0))</f>
        <v/>
      </c>
      <c r="AK1883">
        <f>IF($AJ1883=1,SUMPRODUCT(--($AN$2:$AN$4001&lt;$AN1883))+1,"")</f>
        <v/>
      </c>
      <c r="AL1883">
        <f>IF($C1883="","",IF(OR($Q1883=TRUE(),$Q1883="TRUE"),1,0))</f>
        <v/>
      </c>
      <c r="AM1883">
        <f>IF($C1883="","",IF($W1883="Yes",1,0))</f>
        <v/>
      </c>
      <c r="AN1883">
        <f>IF($AJ1883=1,IFERROR(IF(VALUE($C1883)&lt;100000000,VALUE($C1883),1000000000),IFERROR(IF(VALUE(MID($C1883,2,20))&lt;100000000,VALUE(MID($C1883,2,20)),1000000000),1000000000))+ROW()/100000,"")</f>
        <v/>
      </c>
    </row>
    <row r="1884">
      <c r="E1884" s="11" t="n"/>
      <c r="M1884" s="7">
        <f>IF($C1884="","",L1884*U1884/100)</f>
        <v/>
      </c>
      <c r="N1884" s="7" t="n"/>
      <c r="T1884" s="7" t="n"/>
      <c r="U1884" s="7">
        <f>IF($C1884="","",S1884*T1884)</f>
        <v/>
      </c>
      <c r="X1884">
        <f>IF($C1884="","",IF($AM1884=1,0,IF($AL1884=1,Settings!$C$6,Settings!$C$7))*100)</f>
        <v/>
      </c>
      <c r="AB1884" s="7" t="n"/>
      <c r="AE1884" s="11" t="n"/>
      <c r="AG1884" s="7">
        <f>IF($C1884="","",U1884*X1884/100)</f>
        <v/>
      </c>
      <c r="AH1884" s="7">
        <f>IF($C1884="","",U1884-AG1884)</f>
        <v/>
      </c>
      <c r="AI1884" s="7">
        <f>IF($C1884="","",AH1884-M1884)</f>
        <v/>
      </c>
      <c r="AJ1884">
        <f>IF($C1884="","",IF(COUNTIF($C$2:$C1884,$C1884)=1,1,0))</f>
        <v/>
      </c>
      <c r="AK1884">
        <f>IF($AJ1884=1,SUMPRODUCT(--($AN$2:$AN$4001&lt;$AN1884))+1,"")</f>
        <v/>
      </c>
      <c r="AL1884">
        <f>IF($C1884="","",IF(OR($Q1884=TRUE(),$Q1884="TRUE"),1,0))</f>
        <v/>
      </c>
      <c r="AM1884">
        <f>IF($C1884="","",IF($W1884="Yes",1,0))</f>
        <v/>
      </c>
      <c r="AN1884">
        <f>IF($AJ1884=1,IFERROR(IF(VALUE($C1884)&lt;100000000,VALUE($C1884),1000000000),IFERROR(IF(VALUE(MID($C1884,2,20))&lt;100000000,VALUE(MID($C1884,2,20)),1000000000),1000000000))+ROW()/100000,"")</f>
        <v/>
      </c>
    </row>
    <row r="1885">
      <c r="E1885" s="11" t="n"/>
      <c r="M1885" s="7">
        <f>IF($C1885="","",L1885*U1885/100)</f>
        <v/>
      </c>
      <c r="N1885" s="7" t="n"/>
      <c r="T1885" s="7" t="n"/>
      <c r="U1885" s="7">
        <f>IF($C1885="","",S1885*T1885)</f>
        <v/>
      </c>
      <c r="X1885">
        <f>IF($C1885="","",IF($AM1885=1,0,IF($AL1885=1,Settings!$C$6,Settings!$C$7))*100)</f>
        <v/>
      </c>
      <c r="AB1885" s="7" t="n"/>
      <c r="AE1885" s="11" t="n"/>
      <c r="AG1885" s="7">
        <f>IF($C1885="","",U1885*X1885/100)</f>
        <v/>
      </c>
      <c r="AH1885" s="7">
        <f>IF($C1885="","",U1885-AG1885)</f>
        <v/>
      </c>
      <c r="AI1885" s="7">
        <f>IF($C1885="","",AH1885-M1885)</f>
        <v/>
      </c>
      <c r="AJ1885">
        <f>IF($C1885="","",IF(COUNTIF($C$2:$C1885,$C1885)=1,1,0))</f>
        <v/>
      </c>
      <c r="AK1885">
        <f>IF($AJ1885=1,SUMPRODUCT(--($AN$2:$AN$4001&lt;$AN1885))+1,"")</f>
        <v/>
      </c>
      <c r="AL1885">
        <f>IF($C1885="","",IF(OR($Q1885=TRUE(),$Q1885="TRUE"),1,0))</f>
        <v/>
      </c>
      <c r="AM1885">
        <f>IF($C1885="","",IF($W1885="Yes",1,0))</f>
        <v/>
      </c>
      <c r="AN1885">
        <f>IF($AJ1885=1,IFERROR(IF(VALUE($C1885)&lt;100000000,VALUE($C1885),1000000000),IFERROR(IF(VALUE(MID($C1885,2,20))&lt;100000000,VALUE(MID($C1885,2,20)),1000000000),1000000000))+ROW()/100000,"")</f>
        <v/>
      </c>
    </row>
    <row r="1886">
      <c r="E1886" s="11" t="n"/>
      <c r="M1886" s="7">
        <f>IF($C1886="","",L1886*U1886/100)</f>
        <v/>
      </c>
      <c r="N1886" s="7" t="n"/>
      <c r="T1886" s="7" t="n"/>
      <c r="U1886" s="7">
        <f>IF($C1886="","",S1886*T1886)</f>
        <v/>
      </c>
      <c r="X1886">
        <f>IF($C1886="","",IF($AM1886=1,0,IF($AL1886=1,Settings!$C$6,Settings!$C$7))*100)</f>
        <v/>
      </c>
      <c r="AB1886" s="7" t="n"/>
      <c r="AE1886" s="11" t="n"/>
      <c r="AG1886" s="7">
        <f>IF($C1886="","",U1886*X1886/100)</f>
        <v/>
      </c>
      <c r="AH1886" s="7">
        <f>IF($C1886="","",U1886-AG1886)</f>
        <v/>
      </c>
      <c r="AI1886" s="7">
        <f>IF($C1886="","",AH1886-M1886)</f>
        <v/>
      </c>
      <c r="AJ1886">
        <f>IF($C1886="","",IF(COUNTIF($C$2:$C1886,$C1886)=1,1,0))</f>
        <v/>
      </c>
      <c r="AK1886">
        <f>IF($AJ1886=1,SUMPRODUCT(--($AN$2:$AN$4001&lt;$AN1886))+1,"")</f>
        <v/>
      </c>
      <c r="AL1886">
        <f>IF($C1886="","",IF(OR($Q1886=TRUE(),$Q1886="TRUE"),1,0))</f>
        <v/>
      </c>
      <c r="AM1886">
        <f>IF($C1886="","",IF($W1886="Yes",1,0))</f>
        <v/>
      </c>
      <c r="AN1886">
        <f>IF($AJ1886=1,IFERROR(IF(VALUE($C1886)&lt;100000000,VALUE($C1886),1000000000),IFERROR(IF(VALUE(MID($C1886,2,20))&lt;100000000,VALUE(MID($C1886,2,20)),1000000000),1000000000))+ROW()/100000,"")</f>
        <v/>
      </c>
    </row>
    <row r="1887">
      <c r="E1887" s="11" t="n"/>
      <c r="M1887" s="7">
        <f>IF($C1887="","",L1887*U1887/100)</f>
        <v/>
      </c>
      <c r="N1887" s="7" t="n"/>
      <c r="T1887" s="7" t="n"/>
      <c r="U1887" s="7">
        <f>IF($C1887="","",S1887*T1887)</f>
        <v/>
      </c>
      <c r="X1887">
        <f>IF($C1887="","",IF($AM1887=1,0,IF($AL1887=1,Settings!$C$6,Settings!$C$7))*100)</f>
        <v/>
      </c>
      <c r="AB1887" s="7" t="n"/>
      <c r="AE1887" s="11" t="n"/>
      <c r="AG1887" s="7">
        <f>IF($C1887="","",U1887*X1887/100)</f>
        <v/>
      </c>
      <c r="AH1887" s="7">
        <f>IF($C1887="","",U1887-AG1887)</f>
        <v/>
      </c>
      <c r="AI1887" s="7">
        <f>IF($C1887="","",AH1887-M1887)</f>
        <v/>
      </c>
      <c r="AJ1887">
        <f>IF($C1887="","",IF(COUNTIF($C$2:$C1887,$C1887)=1,1,0))</f>
        <v/>
      </c>
      <c r="AK1887">
        <f>IF($AJ1887=1,SUMPRODUCT(--($AN$2:$AN$4001&lt;$AN1887))+1,"")</f>
        <v/>
      </c>
      <c r="AL1887">
        <f>IF($C1887="","",IF(OR($Q1887=TRUE(),$Q1887="TRUE"),1,0))</f>
        <v/>
      </c>
      <c r="AM1887">
        <f>IF($C1887="","",IF($W1887="Yes",1,0))</f>
        <v/>
      </c>
      <c r="AN1887">
        <f>IF($AJ1887=1,IFERROR(IF(VALUE($C1887)&lt;100000000,VALUE($C1887),1000000000),IFERROR(IF(VALUE(MID($C1887,2,20))&lt;100000000,VALUE(MID($C1887,2,20)),1000000000),1000000000))+ROW()/100000,"")</f>
        <v/>
      </c>
    </row>
    <row r="1888">
      <c r="E1888" s="11" t="n"/>
      <c r="M1888" s="7">
        <f>IF($C1888="","",L1888*U1888/100)</f>
        <v/>
      </c>
      <c r="N1888" s="7" t="n"/>
      <c r="T1888" s="7" t="n"/>
      <c r="U1888" s="7">
        <f>IF($C1888="","",S1888*T1888)</f>
        <v/>
      </c>
      <c r="X1888">
        <f>IF($C1888="","",IF($AM1888=1,0,IF($AL1888=1,Settings!$C$6,Settings!$C$7))*100)</f>
        <v/>
      </c>
      <c r="AB1888" s="7" t="n"/>
      <c r="AE1888" s="11" t="n"/>
      <c r="AG1888" s="7">
        <f>IF($C1888="","",U1888*X1888/100)</f>
        <v/>
      </c>
      <c r="AH1888" s="7">
        <f>IF($C1888="","",U1888-AG1888)</f>
        <v/>
      </c>
      <c r="AI1888" s="7">
        <f>IF($C1888="","",AH1888-M1888)</f>
        <v/>
      </c>
      <c r="AJ1888">
        <f>IF($C1888="","",IF(COUNTIF($C$2:$C1888,$C1888)=1,1,0))</f>
        <v/>
      </c>
      <c r="AK1888">
        <f>IF($AJ1888=1,SUMPRODUCT(--($AN$2:$AN$4001&lt;$AN1888))+1,"")</f>
        <v/>
      </c>
      <c r="AL1888">
        <f>IF($C1888="","",IF(OR($Q1888=TRUE(),$Q1888="TRUE"),1,0))</f>
        <v/>
      </c>
      <c r="AM1888">
        <f>IF($C1888="","",IF($W1888="Yes",1,0))</f>
        <v/>
      </c>
      <c r="AN1888">
        <f>IF($AJ1888=1,IFERROR(IF(VALUE($C1888)&lt;100000000,VALUE($C1888),1000000000),IFERROR(IF(VALUE(MID($C1888,2,20))&lt;100000000,VALUE(MID($C1888,2,20)),1000000000),1000000000))+ROW()/100000,"")</f>
        <v/>
      </c>
    </row>
    <row r="1889">
      <c r="E1889" s="11" t="n"/>
      <c r="M1889" s="7">
        <f>IF($C1889="","",L1889*U1889/100)</f>
        <v/>
      </c>
      <c r="N1889" s="7" t="n"/>
      <c r="T1889" s="7" t="n"/>
      <c r="U1889" s="7">
        <f>IF($C1889="","",S1889*T1889)</f>
        <v/>
      </c>
      <c r="X1889">
        <f>IF($C1889="","",IF($AM1889=1,0,IF($AL1889=1,Settings!$C$6,Settings!$C$7))*100)</f>
        <v/>
      </c>
      <c r="AB1889" s="7" t="n"/>
      <c r="AE1889" s="11" t="n"/>
      <c r="AG1889" s="7">
        <f>IF($C1889="","",U1889*X1889/100)</f>
        <v/>
      </c>
      <c r="AH1889" s="7">
        <f>IF($C1889="","",U1889-AG1889)</f>
        <v/>
      </c>
      <c r="AI1889" s="7">
        <f>IF($C1889="","",AH1889-M1889)</f>
        <v/>
      </c>
      <c r="AJ1889">
        <f>IF($C1889="","",IF(COUNTIF($C$2:$C1889,$C1889)=1,1,0))</f>
        <v/>
      </c>
      <c r="AK1889">
        <f>IF($AJ1889=1,SUMPRODUCT(--($AN$2:$AN$4001&lt;$AN1889))+1,"")</f>
        <v/>
      </c>
      <c r="AL1889">
        <f>IF($C1889="","",IF(OR($Q1889=TRUE(),$Q1889="TRUE"),1,0))</f>
        <v/>
      </c>
      <c r="AM1889">
        <f>IF($C1889="","",IF($W1889="Yes",1,0))</f>
        <v/>
      </c>
      <c r="AN1889">
        <f>IF($AJ1889=1,IFERROR(IF(VALUE($C1889)&lt;100000000,VALUE($C1889),1000000000),IFERROR(IF(VALUE(MID($C1889,2,20))&lt;100000000,VALUE(MID($C1889,2,20)),1000000000),1000000000))+ROW()/100000,"")</f>
        <v/>
      </c>
    </row>
    <row r="1890">
      <c r="E1890" s="11" t="n"/>
      <c r="M1890" s="7">
        <f>IF($C1890="","",L1890*U1890/100)</f>
        <v/>
      </c>
      <c r="N1890" s="7" t="n"/>
      <c r="T1890" s="7" t="n"/>
      <c r="U1890" s="7">
        <f>IF($C1890="","",S1890*T1890)</f>
        <v/>
      </c>
      <c r="X1890">
        <f>IF($C1890="","",IF($AM1890=1,0,IF($AL1890=1,Settings!$C$6,Settings!$C$7))*100)</f>
        <v/>
      </c>
      <c r="AB1890" s="7" t="n"/>
      <c r="AE1890" s="11" t="n"/>
      <c r="AG1890" s="7">
        <f>IF($C1890="","",U1890*X1890/100)</f>
        <v/>
      </c>
      <c r="AH1890" s="7">
        <f>IF($C1890="","",U1890-AG1890)</f>
        <v/>
      </c>
      <c r="AI1890" s="7">
        <f>IF($C1890="","",AH1890-M1890)</f>
        <v/>
      </c>
      <c r="AJ1890">
        <f>IF($C1890="","",IF(COUNTIF($C$2:$C1890,$C1890)=1,1,0))</f>
        <v/>
      </c>
      <c r="AK1890">
        <f>IF($AJ1890=1,SUMPRODUCT(--($AN$2:$AN$4001&lt;$AN1890))+1,"")</f>
        <v/>
      </c>
      <c r="AL1890">
        <f>IF($C1890="","",IF(OR($Q1890=TRUE(),$Q1890="TRUE"),1,0))</f>
        <v/>
      </c>
      <c r="AM1890">
        <f>IF($C1890="","",IF($W1890="Yes",1,0))</f>
        <v/>
      </c>
      <c r="AN1890">
        <f>IF($AJ1890=1,IFERROR(IF(VALUE($C1890)&lt;100000000,VALUE($C1890),1000000000),IFERROR(IF(VALUE(MID($C1890,2,20))&lt;100000000,VALUE(MID($C1890,2,20)),1000000000),1000000000))+ROW()/100000,"")</f>
        <v/>
      </c>
    </row>
    <row r="1891">
      <c r="E1891" s="11" t="n"/>
      <c r="M1891" s="7">
        <f>IF($C1891="","",L1891*U1891/100)</f>
        <v/>
      </c>
      <c r="N1891" s="7" t="n"/>
      <c r="T1891" s="7" t="n"/>
      <c r="U1891" s="7">
        <f>IF($C1891="","",S1891*T1891)</f>
        <v/>
      </c>
      <c r="X1891">
        <f>IF($C1891="","",IF($AM1891=1,0,IF($AL1891=1,Settings!$C$6,Settings!$C$7))*100)</f>
        <v/>
      </c>
      <c r="AB1891" s="7" t="n"/>
      <c r="AE1891" s="11" t="n"/>
      <c r="AG1891" s="7">
        <f>IF($C1891="","",U1891*X1891/100)</f>
        <v/>
      </c>
      <c r="AH1891" s="7">
        <f>IF($C1891="","",U1891-AG1891)</f>
        <v/>
      </c>
      <c r="AI1891" s="7">
        <f>IF($C1891="","",AH1891-M1891)</f>
        <v/>
      </c>
      <c r="AJ1891">
        <f>IF($C1891="","",IF(COUNTIF($C$2:$C1891,$C1891)=1,1,0))</f>
        <v/>
      </c>
      <c r="AK1891">
        <f>IF($AJ1891=1,SUMPRODUCT(--($AN$2:$AN$4001&lt;$AN1891))+1,"")</f>
        <v/>
      </c>
      <c r="AL1891">
        <f>IF($C1891="","",IF(OR($Q1891=TRUE(),$Q1891="TRUE"),1,0))</f>
        <v/>
      </c>
      <c r="AM1891">
        <f>IF($C1891="","",IF($W1891="Yes",1,0))</f>
        <v/>
      </c>
      <c r="AN1891">
        <f>IF($AJ1891=1,IFERROR(IF(VALUE($C1891)&lt;100000000,VALUE($C1891),1000000000),IFERROR(IF(VALUE(MID($C1891,2,20))&lt;100000000,VALUE(MID($C1891,2,20)),1000000000),1000000000))+ROW()/100000,"")</f>
        <v/>
      </c>
    </row>
    <row r="1892">
      <c r="E1892" s="11" t="n"/>
      <c r="M1892" s="7">
        <f>IF($C1892="","",L1892*U1892/100)</f>
        <v/>
      </c>
      <c r="N1892" s="7" t="n"/>
      <c r="T1892" s="7" t="n"/>
      <c r="U1892" s="7">
        <f>IF($C1892="","",S1892*T1892)</f>
        <v/>
      </c>
      <c r="X1892">
        <f>IF($C1892="","",IF($AM1892=1,0,IF($AL1892=1,Settings!$C$6,Settings!$C$7))*100)</f>
        <v/>
      </c>
      <c r="AB1892" s="7" t="n"/>
      <c r="AE1892" s="11" t="n"/>
      <c r="AG1892" s="7">
        <f>IF($C1892="","",U1892*X1892/100)</f>
        <v/>
      </c>
      <c r="AH1892" s="7">
        <f>IF($C1892="","",U1892-AG1892)</f>
        <v/>
      </c>
      <c r="AI1892" s="7">
        <f>IF($C1892="","",AH1892-M1892)</f>
        <v/>
      </c>
      <c r="AJ1892">
        <f>IF($C1892="","",IF(COUNTIF($C$2:$C1892,$C1892)=1,1,0))</f>
        <v/>
      </c>
      <c r="AK1892">
        <f>IF($AJ1892=1,SUMPRODUCT(--($AN$2:$AN$4001&lt;$AN1892))+1,"")</f>
        <v/>
      </c>
      <c r="AL1892">
        <f>IF($C1892="","",IF(OR($Q1892=TRUE(),$Q1892="TRUE"),1,0))</f>
        <v/>
      </c>
      <c r="AM1892">
        <f>IF($C1892="","",IF($W1892="Yes",1,0))</f>
        <v/>
      </c>
      <c r="AN1892">
        <f>IF($AJ1892=1,IFERROR(IF(VALUE($C1892)&lt;100000000,VALUE($C1892),1000000000),IFERROR(IF(VALUE(MID($C1892,2,20))&lt;100000000,VALUE(MID($C1892,2,20)),1000000000),1000000000))+ROW()/100000,"")</f>
        <v/>
      </c>
    </row>
    <row r="1893">
      <c r="E1893" s="11" t="n"/>
      <c r="M1893" s="7">
        <f>IF($C1893="","",L1893*U1893/100)</f>
        <v/>
      </c>
      <c r="N1893" s="7" t="n"/>
      <c r="T1893" s="7" t="n"/>
      <c r="U1893" s="7">
        <f>IF($C1893="","",S1893*T1893)</f>
        <v/>
      </c>
      <c r="X1893">
        <f>IF($C1893="","",IF($AM1893=1,0,IF($AL1893=1,Settings!$C$6,Settings!$C$7))*100)</f>
        <v/>
      </c>
      <c r="AB1893" s="7" t="n"/>
      <c r="AE1893" s="11" t="n"/>
      <c r="AG1893" s="7">
        <f>IF($C1893="","",U1893*X1893/100)</f>
        <v/>
      </c>
      <c r="AH1893" s="7">
        <f>IF($C1893="","",U1893-AG1893)</f>
        <v/>
      </c>
      <c r="AI1893" s="7">
        <f>IF($C1893="","",AH1893-M1893)</f>
        <v/>
      </c>
      <c r="AJ1893">
        <f>IF($C1893="","",IF(COUNTIF($C$2:$C1893,$C1893)=1,1,0))</f>
        <v/>
      </c>
      <c r="AK1893">
        <f>IF($AJ1893=1,SUMPRODUCT(--($AN$2:$AN$4001&lt;$AN1893))+1,"")</f>
        <v/>
      </c>
      <c r="AL1893">
        <f>IF($C1893="","",IF(OR($Q1893=TRUE(),$Q1893="TRUE"),1,0))</f>
        <v/>
      </c>
      <c r="AM1893">
        <f>IF($C1893="","",IF($W1893="Yes",1,0))</f>
        <v/>
      </c>
      <c r="AN1893">
        <f>IF($AJ1893=1,IFERROR(IF(VALUE($C1893)&lt;100000000,VALUE($C1893),1000000000),IFERROR(IF(VALUE(MID($C1893,2,20))&lt;100000000,VALUE(MID($C1893,2,20)),1000000000),1000000000))+ROW()/100000,"")</f>
        <v/>
      </c>
    </row>
    <row r="1894">
      <c r="E1894" s="11" t="n"/>
      <c r="M1894" s="7">
        <f>IF($C1894="","",L1894*U1894/100)</f>
        <v/>
      </c>
      <c r="N1894" s="7" t="n"/>
      <c r="T1894" s="7" t="n"/>
      <c r="U1894" s="7">
        <f>IF($C1894="","",S1894*T1894)</f>
        <v/>
      </c>
      <c r="X1894">
        <f>IF($C1894="","",IF($AM1894=1,0,IF($AL1894=1,Settings!$C$6,Settings!$C$7))*100)</f>
        <v/>
      </c>
      <c r="AB1894" s="7" t="n"/>
      <c r="AE1894" s="11" t="n"/>
      <c r="AG1894" s="7">
        <f>IF($C1894="","",U1894*X1894/100)</f>
        <v/>
      </c>
      <c r="AH1894" s="7">
        <f>IF($C1894="","",U1894-AG1894)</f>
        <v/>
      </c>
      <c r="AI1894" s="7">
        <f>IF($C1894="","",AH1894-M1894)</f>
        <v/>
      </c>
      <c r="AJ1894">
        <f>IF($C1894="","",IF(COUNTIF($C$2:$C1894,$C1894)=1,1,0))</f>
        <v/>
      </c>
      <c r="AK1894">
        <f>IF($AJ1894=1,SUMPRODUCT(--($AN$2:$AN$4001&lt;$AN1894))+1,"")</f>
        <v/>
      </c>
      <c r="AL1894">
        <f>IF($C1894="","",IF(OR($Q1894=TRUE(),$Q1894="TRUE"),1,0))</f>
        <v/>
      </c>
      <c r="AM1894">
        <f>IF($C1894="","",IF($W1894="Yes",1,0))</f>
        <v/>
      </c>
      <c r="AN1894">
        <f>IF($AJ1894=1,IFERROR(IF(VALUE($C1894)&lt;100000000,VALUE($C1894),1000000000),IFERROR(IF(VALUE(MID($C1894,2,20))&lt;100000000,VALUE(MID($C1894,2,20)),1000000000),1000000000))+ROW()/100000,"")</f>
        <v/>
      </c>
    </row>
    <row r="1895">
      <c r="E1895" s="11" t="n"/>
      <c r="M1895" s="7">
        <f>IF($C1895="","",L1895*U1895/100)</f>
        <v/>
      </c>
      <c r="N1895" s="7" t="n"/>
      <c r="T1895" s="7" t="n"/>
      <c r="U1895" s="7">
        <f>IF($C1895="","",S1895*T1895)</f>
        <v/>
      </c>
      <c r="X1895">
        <f>IF($C1895="","",IF($AM1895=1,0,IF($AL1895=1,Settings!$C$6,Settings!$C$7))*100)</f>
        <v/>
      </c>
      <c r="AB1895" s="7" t="n"/>
      <c r="AE1895" s="11" t="n"/>
      <c r="AG1895" s="7">
        <f>IF($C1895="","",U1895*X1895/100)</f>
        <v/>
      </c>
      <c r="AH1895" s="7">
        <f>IF($C1895="","",U1895-AG1895)</f>
        <v/>
      </c>
      <c r="AI1895" s="7">
        <f>IF($C1895="","",AH1895-M1895)</f>
        <v/>
      </c>
      <c r="AJ1895">
        <f>IF($C1895="","",IF(COUNTIF($C$2:$C1895,$C1895)=1,1,0))</f>
        <v/>
      </c>
      <c r="AK1895">
        <f>IF($AJ1895=1,SUMPRODUCT(--($AN$2:$AN$4001&lt;$AN1895))+1,"")</f>
        <v/>
      </c>
      <c r="AL1895">
        <f>IF($C1895="","",IF(OR($Q1895=TRUE(),$Q1895="TRUE"),1,0))</f>
        <v/>
      </c>
      <c r="AM1895">
        <f>IF($C1895="","",IF($W1895="Yes",1,0))</f>
        <v/>
      </c>
      <c r="AN1895">
        <f>IF($AJ1895=1,IFERROR(IF(VALUE($C1895)&lt;100000000,VALUE($C1895),1000000000),IFERROR(IF(VALUE(MID($C1895,2,20))&lt;100000000,VALUE(MID($C1895,2,20)),1000000000),1000000000))+ROW()/100000,"")</f>
        <v/>
      </c>
    </row>
    <row r="1896">
      <c r="E1896" s="11" t="n"/>
      <c r="M1896" s="7">
        <f>IF($C1896="","",L1896*U1896/100)</f>
        <v/>
      </c>
      <c r="N1896" s="7" t="n"/>
      <c r="T1896" s="7" t="n"/>
      <c r="U1896" s="7">
        <f>IF($C1896="","",S1896*T1896)</f>
        <v/>
      </c>
      <c r="X1896">
        <f>IF($C1896="","",IF($AM1896=1,0,IF($AL1896=1,Settings!$C$6,Settings!$C$7))*100)</f>
        <v/>
      </c>
      <c r="AB1896" s="7" t="n"/>
      <c r="AE1896" s="11" t="n"/>
      <c r="AG1896" s="7">
        <f>IF($C1896="","",U1896*X1896/100)</f>
        <v/>
      </c>
      <c r="AH1896" s="7">
        <f>IF($C1896="","",U1896-AG1896)</f>
        <v/>
      </c>
      <c r="AI1896" s="7">
        <f>IF($C1896="","",AH1896-M1896)</f>
        <v/>
      </c>
      <c r="AJ1896">
        <f>IF($C1896="","",IF(COUNTIF($C$2:$C1896,$C1896)=1,1,0))</f>
        <v/>
      </c>
      <c r="AK1896">
        <f>IF($AJ1896=1,SUMPRODUCT(--($AN$2:$AN$4001&lt;$AN1896))+1,"")</f>
        <v/>
      </c>
      <c r="AL1896">
        <f>IF($C1896="","",IF(OR($Q1896=TRUE(),$Q1896="TRUE"),1,0))</f>
        <v/>
      </c>
      <c r="AM1896">
        <f>IF($C1896="","",IF($W1896="Yes",1,0))</f>
        <v/>
      </c>
      <c r="AN1896">
        <f>IF($AJ1896=1,IFERROR(IF(VALUE($C1896)&lt;100000000,VALUE($C1896),1000000000),IFERROR(IF(VALUE(MID($C1896,2,20))&lt;100000000,VALUE(MID($C1896,2,20)),1000000000),1000000000))+ROW()/100000,"")</f>
        <v/>
      </c>
    </row>
    <row r="1897">
      <c r="E1897" s="11" t="n"/>
      <c r="M1897" s="7">
        <f>IF($C1897="","",L1897*U1897/100)</f>
        <v/>
      </c>
      <c r="N1897" s="7" t="n"/>
      <c r="T1897" s="7" t="n"/>
      <c r="U1897" s="7">
        <f>IF($C1897="","",S1897*T1897)</f>
        <v/>
      </c>
      <c r="X1897">
        <f>IF($C1897="","",IF($AM1897=1,0,IF($AL1897=1,Settings!$C$6,Settings!$C$7))*100)</f>
        <v/>
      </c>
      <c r="AB1897" s="7" t="n"/>
      <c r="AE1897" s="11" t="n"/>
      <c r="AG1897" s="7">
        <f>IF($C1897="","",U1897*X1897/100)</f>
        <v/>
      </c>
      <c r="AH1897" s="7">
        <f>IF($C1897="","",U1897-AG1897)</f>
        <v/>
      </c>
      <c r="AI1897" s="7">
        <f>IF($C1897="","",AH1897-M1897)</f>
        <v/>
      </c>
      <c r="AJ1897">
        <f>IF($C1897="","",IF(COUNTIF($C$2:$C1897,$C1897)=1,1,0))</f>
        <v/>
      </c>
      <c r="AK1897">
        <f>IF($AJ1897=1,SUMPRODUCT(--($AN$2:$AN$4001&lt;$AN1897))+1,"")</f>
        <v/>
      </c>
      <c r="AL1897">
        <f>IF($C1897="","",IF(OR($Q1897=TRUE(),$Q1897="TRUE"),1,0))</f>
        <v/>
      </c>
      <c r="AM1897">
        <f>IF($C1897="","",IF($W1897="Yes",1,0))</f>
        <v/>
      </c>
      <c r="AN1897">
        <f>IF($AJ1897=1,IFERROR(IF(VALUE($C1897)&lt;100000000,VALUE($C1897),1000000000),IFERROR(IF(VALUE(MID($C1897,2,20))&lt;100000000,VALUE(MID($C1897,2,20)),1000000000),1000000000))+ROW()/100000,"")</f>
        <v/>
      </c>
    </row>
    <row r="1898">
      <c r="E1898" s="11" t="n"/>
      <c r="M1898" s="7">
        <f>IF($C1898="","",L1898*U1898/100)</f>
        <v/>
      </c>
      <c r="N1898" s="7" t="n"/>
      <c r="T1898" s="7" t="n"/>
      <c r="U1898" s="7">
        <f>IF($C1898="","",S1898*T1898)</f>
        <v/>
      </c>
      <c r="X1898">
        <f>IF($C1898="","",IF($AM1898=1,0,IF($AL1898=1,Settings!$C$6,Settings!$C$7))*100)</f>
        <v/>
      </c>
      <c r="AB1898" s="7" t="n"/>
      <c r="AE1898" s="11" t="n"/>
      <c r="AG1898" s="7">
        <f>IF($C1898="","",U1898*X1898/100)</f>
        <v/>
      </c>
      <c r="AH1898" s="7">
        <f>IF($C1898="","",U1898-AG1898)</f>
        <v/>
      </c>
      <c r="AI1898" s="7">
        <f>IF($C1898="","",AH1898-M1898)</f>
        <v/>
      </c>
      <c r="AJ1898">
        <f>IF($C1898="","",IF(COUNTIF($C$2:$C1898,$C1898)=1,1,0))</f>
        <v/>
      </c>
      <c r="AK1898">
        <f>IF($AJ1898=1,SUMPRODUCT(--($AN$2:$AN$4001&lt;$AN1898))+1,"")</f>
        <v/>
      </c>
      <c r="AL1898">
        <f>IF($C1898="","",IF(OR($Q1898=TRUE(),$Q1898="TRUE"),1,0))</f>
        <v/>
      </c>
      <c r="AM1898">
        <f>IF($C1898="","",IF($W1898="Yes",1,0))</f>
        <v/>
      </c>
      <c r="AN1898">
        <f>IF($AJ1898=1,IFERROR(IF(VALUE($C1898)&lt;100000000,VALUE($C1898),1000000000),IFERROR(IF(VALUE(MID($C1898,2,20))&lt;100000000,VALUE(MID($C1898,2,20)),1000000000),1000000000))+ROW()/100000,"")</f>
        <v/>
      </c>
    </row>
    <row r="1899">
      <c r="E1899" s="11" t="n"/>
      <c r="M1899" s="7">
        <f>IF($C1899="","",L1899*U1899/100)</f>
        <v/>
      </c>
      <c r="N1899" s="7" t="n"/>
      <c r="T1899" s="7" t="n"/>
      <c r="U1899" s="7">
        <f>IF($C1899="","",S1899*T1899)</f>
        <v/>
      </c>
      <c r="X1899">
        <f>IF($C1899="","",IF($AM1899=1,0,IF($AL1899=1,Settings!$C$6,Settings!$C$7))*100)</f>
        <v/>
      </c>
      <c r="AB1899" s="7" t="n"/>
      <c r="AE1899" s="11" t="n"/>
      <c r="AG1899" s="7">
        <f>IF($C1899="","",U1899*X1899/100)</f>
        <v/>
      </c>
      <c r="AH1899" s="7">
        <f>IF($C1899="","",U1899-AG1899)</f>
        <v/>
      </c>
      <c r="AI1899" s="7">
        <f>IF($C1899="","",AH1899-M1899)</f>
        <v/>
      </c>
      <c r="AJ1899">
        <f>IF($C1899="","",IF(COUNTIF($C$2:$C1899,$C1899)=1,1,0))</f>
        <v/>
      </c>
      <c r="AK1899">
        <f>IF($AJ1899=1,SUMPRODUCT(--($AN$2:$AN$4001&lt;$AN1899))+1,"")</f>
        <v/>
      </c>
      <c r="AL1899">
        <f>IF($C1899="","",IF(OR($Q1899=TRUE(),$Q1899="TRUE"),1,0))</f>
        <v/>
      </c>
      <c r="AM1899">
        <f>IF($C1899="","",IF($W1899="Yes",1,0))</f>
        <v/>
      </c>
      <c r="AN1899">
        <f>IF($AJ1899=1,IFERROR(IF(VALUE($C1899)&lt;100000000,VALUE($C1899),1000000000),IFERROR(IF(VALUE(MID($C1899,2,20))&lt;100000000,VALUE(MID($C1899,2,20)),1000000000),1000000000))+ROW()/100000,"")</f>
        <v/>
      </c>
    </row>
    <row r="1900">
      <c r="E1900" s="11" t="n"/>
      <c r="M1900" s="7">
        <f>IF($C1900="","",L1900*U1900/100)</f>
        <v/>
      </c>
      <c r="N1900" s="7" t="n"/>
      <c r="T1900" s="7" t="n"/>
      <c r="U1900" s="7">
        <f>IF($C1900="","",S1900*T1900)</f>
        <v/>
      </c>
      <c r="X1900">
        <f>IF($C1900="","",IF($AM1900=1,0,IF($AL1900=1,Settings!$C$6,Settings!$C$7))*100)</f>
        <v/>
      </c>
      <c r="AB1900" s="7" t="n"/>
      <c r="AE1900" s="11" t="n"/>
      <c r="AG1900" s="7">
        <f>IF($C1900="","",U1900*X1900/100)</f>
        <v/>
      </c>
      <c r="AH1900" s="7">
        <f>IF($C1900="","",U1900-AG1900)</f>
        <v/>
      </c>
      <c r="AI1900" s="7">
        <f>IF($C1900="","",AH1900-M1900)</f>
        <v/>
      </c>
      <c r="AJ1900">
        <f>IF($C1900="","",IF(COUNTIF($C$2:$C1900,$C1900)=1,1,0))</f>
        <v/>
      </c>
      <c r="AK1900">
        <f>IF($AJ1900=1,SUMPRODUCT(--($AN$2:$AN$4001&lt;$AN1900))+1,"")</f>
        <v/>
      </c>
      <c r="AL1900">
        <f>IF($C1900="","",IF(OR($Q1900=TRUE(),$Q1900="TRUE"),1,0))</f>
        <v/>
      </c>
      <c r="AM1900">
        <f>IF($C1900="","",IF($W1900="Yes",1,0))</f>
        <v/>
      </c>
      <c r="AN1900">
        <f>IF($AJ1900=1,IFERROR(IF(VALUE($C1900)&lt;100000000,VALUE($C1900),1000000000),IFERROR(IF(VALUE(MID($C1900,2,20))&lt;100000000,VALUE(MID($C1900,2,20)),1000000000),1000000000))+ROW()/100000,"")</f>
        <v/>
      </c>
    </row>
    <row r="1901">
      <c r="E1901" s="11" t="n"/>
      <c r="M1901" s="7">
        <f>IF($C1901="","",L1901*U1901/100)</f>
        <v/>
      </c>
      <c r="N1901" s="7" t="n"/>
      <c r="T1901" s="7" t="n"/>
      <c r="U1901" s="7">
        <f>IF($C1901="","",S1901*T1901)</f>
        <v/>
      </c>
      <c r="X1901">
        <f>IF($C1901="","",IF($AM1901=1,0,IF($AL1901=1,Settings!$C$6,Settings!$C$7))*100)</f>
        <v/>
      </c>
      <c r="AB1901" s="7" t="n"/>
      <c r="AE1901" s="11" t="n"/>
      <c r="AG1901" s="7">
        <f>IF($C1901="","",U1901*X1901/100)</f>
        <v/>
      </c>
      <c r="AH1901" s="7">
        <f>IF($C1901="","",U1901-AG1901)</f>
        <v/>
      </c>
      <c r="AI1901" s="7">
        <f>IF($C1901="","",AH1901-M1901)</f>
        <v/>
      </c>
      <c r="AJ1901">
        <f>IF($C1901="","",IF(COUNTIF($C$2:$C1901,$C1901)=1,1,0))</f>
        <v/>
      </c>
      <c r="AK1901">
        <f>IF($AJ1901=1,SUMPRODUCT(--($AN$2:$AN$4001&lt;$AN1901))+1,"")</f>
        <v/>
      </c>
      <c r="AL1901">
        <f>IF($C1901="","",IF(OR($Q1901=TRUE(),$Q1901="TRUE"),1,0))</f>
        <v/>
      </c>
      <c r="AM1901">
        <f>IF($C1901="","",IF($W1901="Yes",1,0))</f>
        <v/>
      </c>
      <c r="AN1901">
        <f>IF($AJ1901=1,IFERROR(IF(VALUE($C1901)&lt;100000000,VALUE($C1901),1000000000),IFERROR(IF(VALUE(MID($C1901,2,20))&lt;100000000,VALUE(MID($C1901,2,20)),1000000000),1000000000))+ROW()/100000,"")</f>
        <v/>
      </c>
    </row>
    <row r="1902">
      <c r="E1902" s="11" t="n"/>
      <c r="M1902" s="7">
        <f>IF($C1902="","",L1902*U1902/100)</f>
        <v/>
      </c>
      <c r="N1902" s="7" t="n"/>
      <c r="T1902" s="7" t="n"/>
      <c r="U1902" s="7">
        <f>IF($C1902="","",S1902*T1902)</f>
        <v/>
      </c>
      <c r="X1902">
        <f>IF($C1902="","",IF($AM1902=1,0,IF($AL1902=1,Settings!$C$6,Settings!$C$7))*100)</f>
        <v/>
      </c>
      <c r="AB1902" s="7" t="n"/>
      <c r="AE1902" s="11" t="n"/>
      <c r="AG1902" s="7">
        <f>IF($C1902="","",U1902*X1902/100)</f>
        <v/>
      </c>
      <c r="AH1902" s="7">
        <f>IF($C1902="","",U1902-AG1902)</f>
        <v/>
      </c>
      <c r="AI1902" s="7">
        <f>IF($C1902="","",AH1902-M1902)</f>
        <v/>
      </c>
      <c r="AJ1902">
        <f>IF($C1902="","",IF(COUNTIF($C$2:$C1902,$C1902)=1,1,0))</f>
        <v/>
      </c>
      <c r="AK1902">
        <f>IF($AJ1902=1,SUMPRODUCT(--($AN$2:$AN$4001&lt;$AN1902))+1,"")</f>
        <v/>
      </c>
      <c r="AL1902">
        <f>IF($C1902="","",IF(OR($Q1902=TRUE(),$Q1902="TRUE"),1,0))</f>
        <v/>
      </c>
      <c r="AM1902">
        <f>IF($C1902="","",IF($W1902="Yes",1,0))</f>
        <v/>
      </c>
      <c r="AN1902">
        <f>IF($AJ1902=1,IFERROR(IF(VALUE($C1902)&lt;100000000,VALUE($C1902),1000000000),IFERROR(IF(VALUE(MID($C1902,2,20))&lt;100000000,VALUE(MID($C1902,2,20)),1000000000),1000000000))+ROW()/100000,"")</f>
        <v/>
      </c>
    </row>
    <row r="1903">
      <c r="E1903" s="11" t="n"/>
      <c r="M1903" s="7">
        <f>IF($C1903="","",L1903*U1903/100)</f>
        <v/>
      </c>
      <c r="N1903" s="7" t="n"/>
      <c r="T1903" s="7" t="n"/>
      <c r="U1903" s="7">
        <f>IF($C1903="","",S1903*T1903)</f>
        <v/>
      </c>
      <c r="X1903">
        <f>IF($C1903="","",IF($AM1903=1,0,IF($AL1903=1,Settings!$C$6,Settings!$C$7))*100)</f>
        <v/>
      </c>
      <c r="AB1903" s="7" t="n"/>
      <c r="AE1903" s="11" t="n"/>
      <c r="AG1903" s="7">
        <f>IF($C1903="","",U1903*X1903/100)</f>
        <v/>
      </c>
      <c r="AH1903" s="7">
        <f>IF($C1903="","",U1903-AG1903)</f>
        <v/>
      </c>
      <c r="AI1903" s="7">
        <f>IF($C1903="","",AH1903-M1903)</f>
        <v/>
      </c>
      <c r="AJ1903">
        <f>IF($C1903="","",IF(COUNTIF($C$2:$C1903,$C1903)=1,1,0))</f>
        <v/>
      </c>
      <c r="AK1903">
        <f>IF($AJ1903=1,SUMPRODUCT(--($AN$2:$AN$4001&lt;$AN1903))+1,"")</f>
        <v/>
      </c>
      <c r="AL1903">
        <f>IF($C1903="","",IF(OR($Q1903=TRUE(),$Q1903="TRUE"),1,0))</f>
        <v/>
      </c>
      <c r="AM1903">
        <f>IF($C1903="","",IF($W1903="Yes",1,0))</f>
        <v/>
      </c>
      <c r="AN1903">
        <f>IF($AJ1903=1,IFERROR(IF(VALUE($C1903)&lt;100000000,VALUE($C1903),1000000000),IFERROR(IF(VALUE(MID($C1903,2,20))&lt;100000000,VALUE(MID($C1903,2,20)),1000000000),1000000000))+ROW()/100000,"")</f>
        <v/>
      </c>
    </row>
    <row r="1904">
      <c r="E1904" s="11" t="n"/>
      <c r="M1904" s="7">
        <f>IF($C1904="","",L1904*U1904/100)</f>
        <v/>
      </c>
      <c r="N1904" s="7" t="n"/>
      <c r="T1904" s="7" t="n"/>
      <c r="U1904" s="7">
        <f>IF($C1904="","",S1904*T1904)</f>
        <v/>
      </c>
      <c r="X1904">
        <f>IF($C1904="","",IF($AM1904=1,0,IF($AL1904=1,Settings!$C$6,Settings!$C$7))*100)</f>
        <v/>
      </c>
      <c r="AB1904" s="7" t="n"/>
      <c r="AE1904" s="11" t="n"/>
      <c r="AG1904" s="7">
        <f>IF($C1904="","",U1904*X1904/100)</f>
        <v/>
      </c>
      <c r="AH1904" s="7">
        <f>IF($C1904="","",U1904-AG1904)</f>
        <v/>
      </c>
      <c r="AI1904" s="7">
        <f>IF($C1904="","",AH1904-M1904)</f>
        <v/>
      </c>
      <c r="AJ1904">
        <f>IF($C1904="","",IF(COUNTIF($C$2:$C1904,$C1904)=1,1,0))</f>
        <v/>
      </c>
      <c r="AK1904">
        <f>IF($AJ1904=1,SUMPRODUCT(--($AN$2:$AN$4001&lt;$AN1904))+1,"")</f>
        <v/>
      </c>
      <c r="AL1904">
        <f>IF($C1904="","",IF(OR($Q1904=TRUE(),$Q1904="TRUE"),1,0))</f>
        <v/>
      </c>
      <c r="AM1904">
        <f>IF($C1904="","",IF($W1904="Yes",1,0))</f>
        <v/>
      </c>
      <c r="AN1904">
        <f>IF($AJ1904=1,IFERROR(IF(VALUE($C1904)&lt;100000000,VALUE($C1904),1000000000),IFERROR(IF(VALUE(MID($C1904,2,20))&lt;100000000,VALUE(MID($C1904,2,20)),1000000000),1000000000))+ROW()/100000,"")</f>
        <v/>
      </c>
    </row>
    <row r="1905">
      <c r="E1905" s="11" t="n"/>
      <c r="M1905" s="7">
        <f>IF($C1905="","",L1905*U1905/100)</f>
        <v/>
      </c>
      <c r="N1905" s="7" t="n"/>
      <c r="T1905" s="7" t="n"/>
      <c r="U1905" s="7">
        <f>IF($C1905="","",S1905*T1905)</f>
        <v/>
      </c>
      <c r="X1905">
        <f>IF($C1905="","",IF($AM1905=1,0,IF($AL1905=1,Settings!$C$6,Settings!$C$7))*100)</f>
        <v/>
      </c>
      <c r="AB1905" s="7" t="n"/>
      <c r="AE1905" s="11" t="n"/>
      <c r="AG1905" s="7">
        <f>IF($C1905="","",U1905*X1905/100)</f>
        <v/>
      </c>
      <c r="AH1905" s="7">
        <f>IF($C1905="","",U1905-AG1905)</f>
        <v/>
      </c>
      <c r="AI1905" s="7">
        <f>IF($C1905="","",AH1905-M1905)</f>
        <v/>
      </c>
      <c r="AJ1905">
        <f>IF($C1905="","",IF(COUNTIF($C$2:$C1905,$C1905)=1,1,0))</f>
        <v/>
      </c>
      <c r="AK1905">
        <f>IF($AJ1905=1,SUMPRODUCT(--($AN$2:$AN$4001&lt;$AN1905))+1,"")</f>
        <v/>
      </c>
      <c r="AL1905">
        <f>IF($C1905="","",IF(OR($Q1905=TRUE(),$Q1905="TRUE"),1,0))</f>
        <v/>
      </c>
      <c r="AM1905">
        <f>IF($C1905="","",IF($W1905="Yes",1,0))</f>
        <v/>
      </c>
      <c r="AN1905">
        <f>IF($AJ1905=1,IFERROR(IF(VALUE($C1905)&lt;100000000,VALUE($C1905),1000000000),IFERROR(IF(VALUE(MID($C1905,2,20))&lt;100000000,VALUE(MID($C1905,2,20)),1000000000),1000000000))+ROW()/100000,"")</f>
        <v/>
      </c>
    </row>
    <row r="1906">
      <c r="E1906" s="11" t="n"/>
      <c r="M1906" s="7">
        <f>IF($C1906="","",L1906*U1906/100)</f>
        <v/>
      </c>
      <c r="N1906" s="7" t="n"/>
      <c r="T1906" s="7" t="n"/>
      <c r="U1906" s="7">
        <f>IF($C1906="","",S1906*T1906)</f>
        <v/>
      </c>
      <c r="X1906">
        <f>IF($C1906="","",IF($AM1906=1,0,IF($AL1906=1,Settings!$C$6,Settings!$C$7))*100)</f>
        <v/>
      </c>
      <c r="AB1906" s="7" t="n"/>
      <c r="AE1906" s="11" t="n"/>
      <c r="AG1906" s="7">
        <f>IF($C1906="","",U1906*X1906/100)</f>
        <v/>
      </c>
      <c r="AH1906" s="7">
        <f>IF($C1906="","",U1906-AG1906)</f>
        <v/>
      </c>
      <c r="AI1906" s="7">
        <f>IF($C1906="","",AH1906-M1906)</f>
        <v/>
      </c>
      <c r="AJ1906">
        <f>IF($C1906="","",IF(COUNTIF($C$2:$C1906,$C1906)=1,1,0))</f>
        <v/>
      </c>
      <c r="AK1906">
        <f>IF($AJ1906=1,SUMPRODUCT(--($AN$2:$AN$4001&lt;$AN1906))+1,"")</f>
        <v/>
      </c>
      <c r="AL1906">
        <f>IF($C1906="","",IF(OR($Q1906=TRUE(),$Q1906="TRUE"),1,0))</f>
        <v/>
      </c>
      <c r="AM1906">
        <f>IF($C1906="","",IF($W1906="Yes",1,0))</f>
        <v/>
      </c>
      <c r="AN1906">
        <f>IF($AJ1906=1,IFERROR(IF(VALUE($C1906)&lt;100000000,VALUE($C1906),1000000000),IFERROR(IF(VALUE(MID($C1906,2,20))&lt;100000000,VALUE(MID($C1906,2,20)),1000000000),1000000000))+ROW()/100000,"")</f>
        <v/>
      </c>
    </row>
    <row r="1907">
      <c r="E1907" s="11" t="n"/>
      <c r="M1907" s="7">
        <f>IF($C1907="","",L1907*U1907/100)</f>
        <v/>
      </c>
      <c r="N1907" s="7" t="n"/>
      <c r="T1907" s="7" t="n"/>
      <c r="U1907" s="7">
        <f>IF($C1907="","",S1907*T1907)</f>
        <v/>
      </c>
      <c r="X1907">
        <f>IF($C1907="","",IF($AM1907=1,0,IF($AL1907=1,Settings!$C$6,Settings!$C$7))*100)</f>
        <v/>
      </c>
      <c r="AB1907" s="7" t="n"/>
      <c r="AE1907" s="11" t="n"/>
      <c r="AG1907" s="7">
        <f>IF($C1907="","",U1907*X1907/100)</f>
        <v/>
      </c>
      <c r="AH1907" s="7">
        <f>IF($C1907="","",U1907-AG1907)</f>
        <v/>
      </c>
      <c r="AI1907" s="7">
        <f>IF($C1907="","",AH1907-M1907)</f>
        <v/>
      </c>
      <c r="AJ1907">
        <f>IF($C1907="","",IF(COUNTIF($C$2:$C1907,$C1907)=1,1,0))</f>
        <v/>
      </c>
      <c r="AK1907">
        <f>IF($AJ1907=1,SUMPRODUCT(--($AN$2:$AN$4001&lt;$AN1907))+1,"")</f>
        <v/>
      </c>
      <c r="AL1907">
        <f>IF($C1907="","",IF(OR($Q1907=TRUE(),$Q1907="TRUE"),1,0))</f>
        <v/>
      </c>
      <c r="AM1907">
        <f>IF($C1907="","",IF($W1907="Yes",1,0))</f>
        <v/>
      </c>
      <c r="AN1907">
        <f>IF($AJ1907=1,IFERROR(IF(VALUE($C1907)&lt;100000000,VALUE($C1907),1000000000),IFERROR(IF(VALUE(MID($C1907,2,20))&lt;100000000,VALUE(MID($C1907,2,20)),1000000000),1000000000))+ROW()/100000,"")</f>
        <v/>
      </c>
    </row>
    <row r="1908">
      <c r="E1908" s="11" t="n"/>
      <c r="M1908" s="7">
        <f>IF($C1908="","",L1908*U1908/100)</f>
        <v/>
      </c>
      <c r="N1908" s="7" t="n"/>
      <c r="T1908" s="7" t="n"/>
      <c r="U1908" s="7">
        <f>IF($C1908="","",S1908*T1908)</f>
        <v/>
      </c>
      <c r="X1908">
        <f>IF($C1908="","",IF($AM1908=1,0,IF($AL1908=1,Settings!$C$6,Settings!$C$7))*100)</f>
        <v/>
      </c>
      <c r="AB1908" s="7" t="n"/>
      <c r="AE1908" s="11" t="n"/>
      <c r="AG1908" s="7">
        <f>IF($C1908="","",U1908*X1908/100)</f>
        <v/>
      </c>
      <c r="AH1908" s="7">
        <f>IF($C1908="","",U1908-AG1908)</f>
        <v/>
      </c>
      <c r="AI1908" s="7">
        <f>IF($C1908="","",AH1908-M1908)</f>
        <v/>
      </c>
      <c r="AJ1908">
        <f>IF($C1908="","",IF(COUNTIF($C$2:$C1908,$C1908)=1,1,0))</f>
        <v/>
      </c>
      <c r="AK1908">
        <f>IF($AJ1908=1,SUMPRODUCT(--($AN$2:$AN$4001&lt;$AN1908))+1,"")</f>
        <v/>
      </c>
      <c r="AL1908">
        <f>IF($C1908="","",IF(OR($Q1908=TRUE(),$Q1908="TRUE"),1,0))</f>
        <v/>
      </c>
      <c r="AM1908">
        <f>IF($C1908="","",IF($W1908="Yes",1,0))</f>
        <v/>
      </c>
      <c r="AN1908">
        <f>IF($AJ1908=1,IFERROR(IF(VALUE($C1908)&lt;100000000,VALUE($C1908),1000000000),IFERROR(IF(VALUE(MID($C1908,2,20))&lt;100000000,VALUE(MID($C1908,2,20)),1000000000),1000000000))+ROW()/100000,"")</f>
        <v/>
      </c>
    </row>
    <row r="1909">
      <c r="E1909" s="11" t="n"/>
      <c r="M1909" s="7">
        <f>IF($C1909="","",L1909*U1909/100)</f>
        <v/>
      </c>
      <c r="N1909" s="7" t="n"/>
      <c r="T1909" s="7" t="n"/>
      <c r="U1909" s="7">
        <f>IF($C1909="","",S1909*T1909)</f>
        <v/>
      </c>
      <c r="X1909">
        <f>IF($C1909="","",IF($AM1909=1,0,IF($AL1909=1,Settings!$C$6,Settings!$C$7))*100)</f>
        <v/>
      </c>
      <c r="AB1909" s="7" t="n"/>
      <c r="AE1909" s="11" t="n"/>
      <c r="AG1909" s="7">
        <f>IF($C1909="","",U1909*X1909/100)</f>
        <v/>
      </c>
      <c r="AH1909" s="7">
        <f>IF($C1909="","",U1909-AG1909)</f>
        <v/>
      </c>
      <c r="AI1909" s="7">
        <f>IF($C1909="","",AH1909-M1909)</f>
        <v/>
      </c>
      <c r="AJ1909">
        <f>IF($C1909="","",IF(COUNTIF($C$2:$C1909,$C1909)=1,1,0))</f>
        <v/>
      </c>
      <c r="AK1909">
        <f>IF($AJ1909=1,SUMPRODUCT(--($AN$2:$AN$4001&lt;$AN1909))+1,"")</f>
        <v/>
      </c>
      <c r="AL1909">
        <f>IF($C1909="","",IF(OR($Q1909=TRUE(),$Q1909="TRUE"),1,0))</f>
        <v/>
      </c>
      <c r="AM1909">
        <f>IF($C1909="","",IF($W1909="Yes",1,0))</f>
        <v/>
      </c>
      <c r="AN1909">
        <f>IF($AJ1909=1,IFERROR(IF(VALUE($C1909)&lt;100000000,VALUE($C1909),1000000000),IFERROR(IF(VALUE(MID($C1909,2,20))&lt;100000000,VALUE(MID($C1909,2,20)),1000000000),1000000000))+ROW()/100000,"")</f>
        <v/>
      </c>
    </row>
    <row r="1910">
      <c r="E1910" s="11" t="n"/>
      <c r="M1910" s="7">
        <f>IF($C1910="","",L1910*U1910/100)</f>
        <v/>
      </c>
      <c r="N1910" s="7" t="n"/>
      <c r="T1910" s="7" t="n"/>
      <c r="U1910" s="7">
        <f>IF($C1910="","",S1910*T1910)</f>
        <v/>
      </c>
      <c r="X1910">
        <f>IF($C1910="","",IF($AM1910=1,0,IF($AL1910=1,Settings!$C$6,Settings!$C$7))*100)</f>
        <v/>
      </c>
      <c r="AB1910" s="7" t="n"/>
      <c r="AE1910" s="11" t="n"/>
      <c r="AG1910" s="7">
        <f>IF($C1910="","",U1910*X1910/100)</f>
        <v/>
      </c>
      <c r="AH1910" s="7">
        <f>IF($C1910="","",U1910-AG1910)</f>
        <v/>
      </c>
      <c r="AI1910" s="7">
        <f>IF($C1910="","",AH1910-M1910)</f>
        <v/>
      </c>
      <c r="AJ1910">
        <f>IF($C1910="","",IF(COUNTIF($C$2:$C1910,$C1910)=1,1,0))</f>
        <v/>
      </c>
      <c r="AK1910">
        <f>IF($AJ1910=1,SUMPRODUCT(--($AN$2:$AN$4001&lt;$AN1910))+1,"")</f>
        <v/>
      </c>
      <c r="AL1910">
        <f>IF($C1910="","",IF(OR($Q1910=TRUE(),$Q1910="TRUE"),1,0))</f>
        <v/>
      </c>
      <c r="AM1910">
        <f>IF($C1910="","",IF($W1910="Yes",1,0))</f>
        <v/>
      </c>
      <c r="AN1910">
        <f>IF($AJ1910=1,IFERROR(IF(VALUE($C1910)&lt;100000000,VALUE($C1910),1000000000),IFERROR(IF(VALUE(MID($C1910,2,20))&lt;100000000,VALUE(MID($C1910,2,20)),1000000000),1000000000))+ROW()/100000,"")</f>
        <v/>
      </c>
    </row>
    <row r="1911">
      <c r="E1911" s="11" t="n"/>
      <c r="M1911" s="7">
        <f>IF($C1911="","",L1911*U1911/100)</f>
        <v/>
      </c>
      <c r="N1911" s="7" t="n"/>
      <c r="T1911" s="7" t="n"/>
      <c r="U1911" s="7">
        <f>IF($C1911="","",S1911*T1911)</f>
        <v/>
      </c>
      <c r="X1911">
        <f>IF($C1911="","",IF($AM1911=1,0,IF($AL1911=1,Settings!$C$6,Settings!$C$7))*100)</f>
        <v/>
      </c>
      <c r="AB1911" s="7" t="n"/>
      <c r="AE1911" s="11" t="n"/>
      <c r="AG1911" s="7">
        <f>IF($C1911="","",U1911*X1911/100)</f>
        <v/>
      </c>
      <c r="AH1911" s="7">
        <f>IF($C1911="","",U1911-AG1911)</f>
        <v/>
      </c>
      <c r="AI1911" s="7">
        <f>IF($C1911="","",AH1911-M1911)</f>
        <v/>
      </c>
      <c r="AJ1911">
        <f>IF($C1911="","",IF(COUNTIF($C$2:$C1911,$C1911)=1,1,0))</f>
        <v/>
      </c>
      <c r="AK1911">
        <f>IF($AJ1911=1,SUMPRODUCT(--($AN$2:$AN$4001&lt;$AN1911))+1,"")</f>
        <v/>
      </c>
      <c r="AL1911">
        <f>IF($C1911="","",IF(OR($Q1911=TRUE(),$Q1911="TRUE"),1,0))</f>
        <v/>
      </c>
      <c r="AM1911">
        <f>IF($C1911="","",IF($W1911="Yes",1,0))</f>
        <v/>
      </c>
      <c r="AN1911">
        <f>IF($AJ1911=1,IFERROR(IF(VALUE($C1911)&lt;100000000,VALUE($C1911),1000000000),IFERROR(IF(VALUE(MID($C1911,2,20))&lt;100000000,VALUE(MID($C1911,2,20)),1000000000),1000000000))+ROW()/100000,"")</f>
        <v/>
      </c>
    </row>
    <row r="1912">
      <c r="E1912" s="11" t="n"/>
      <c r="M1912" s="7">
        <f>IF($C1912="","",L1912*U1912/100)</f>
        <v/>
      </c>
      <c r="N1912" s="7" t="n"/>
      <c r="T1912" s="7" t="n"/>
      <c r="U1912" s="7">
        <f>IF($C1912="","",S1912*T1912)</f>
        <v/>
      </c>
      <c r="X1912">
        <f>IF($C1912="","",IF($AM1912=1,0,IF($AL1912=1,Settings!$C$6,Settings!$C$7))*100)</f>
        <v/>
      </c>
      <c r="AB1912" s="7" t="n"/>
      <c r="AE1912" s="11" t="n"/>
      <c r="AG1912" s="7">
        <f>IF($C1912="","",U1912*X1912/100)</f>
        <v/>
      </c>
      <c r="AH1912" s="7">
        <f>IF($C1912="","",U1912-AG1912)</f>
        <v/>
      </c>
      <c r="AI1912" s="7">
        <f>IF($C1912="","",AH1912-M1912)</f>
        <v/>
      </c>
      <c r="AJ1912">
        <f>IF($C1912="","",IF(COUNTIF($C$2:$C1912,$C1912)=1,1,0))</f>
        <v/>
      </c>
      <c r="AK1912">
        <f>IF($AJ1912=1,SUMPRODUCT(--($AN$2:$AN$4001&lt;$AN1912))+1,"")</f>
        <v/>
      </c>
      <c r="AL1912">
        <f>IF($C1912="","",IF(OR($Q1912=TRUE(),$Q1912="TRUE"),1,0))</f>
        <v/>
      </c>
      <c r="AM1912">
        <f>IF($C1912="","",IF($W1912="Yes",1,0))</f>
        <v/>
      </c>
      <c r="AN1912">
        <f>IF($AJ1912=1,IFERROR(IF(VALUE($C1912)&lt;100000000,VALUE($C1912),1000000000),IFERROR(IF(VALUE(MID($C1912,2,20))&lt;100000000,VALUE(MID($C1912,2,20)),1000000000),1000000000))+ROW()/100000,"")</f>
        <v/>
      </c>
    </row>
    <row r="1913">
      <c r="E1913" s="11" t="n"/>
      <c r="M1913" s="7">
        <f>IF($C1913="","",L1913*U1913/100)</f>
        <v/>
      </c>
      <c r="N1913" s="7" t="n"/>
      <c r="T1913" s="7" t="n"/>
      <c r="U1913" s="7">
        <f>IF($C1913="","",S1913*T1913)</f>
        <v/>
      </c>
      <c r="X1913">
        <f>IF($C1913="","",IF($AM1913=1,0,IF($AL1913=1,Settings!$C$6,Settings!$C$7))*100)</f>
        <v/>
      </c>
      <c r="AB1913" s="7" t="n"/>
      <c r="AE1913" s="11" t="n"/>
      <c r="AG1913" s="7">
        <f>IF($C1913="","",U1913*X1913/100)</f>
        <v/>
      </c>
      <c r="AH1913" s="7">
        <f>IF($C1913="","",U1913-AG1913)</f>
        <v/>
      </c>
      <c r="AI1913" s="7">
        <f>IF($C1913="","",AH1913-M1913)</f>
        <v/>
      </c>
      <c r="AJ1913">
        <f>IF($C1913="","",IF(COUNTIF($C$2:$C1913,$C1913)=1,1,0))</f>
        <v/>
      </c>
      <c r="AK1913">
        <f>IF($AJ1913=1,SUMPRODUCT(--($AN$2:$AN$4001&lt;$AN1913))+1,"")</f>
        <v/>
      </c>
      <c r="AL1913">
        <f>IF($C1913="","",IF(OR($Q1913=TRUE(),$Q1913="TRUE"),1,0))</f>
        <v/>
      </c>
      <c r="AM1913">
        <f>IF($C1913="","",IF($W1913="Yes",1,0))</f>
        <v/>
      </c>
      <c r="AN1913">
        <f>IF($AJ1913=1,IFERROR(IF(VALUE($C1913)&lt;100000000,VALUE($C1913),1000000000),IFERROR(IF(VALUE(MID($C1913,2,20))&lt;100000000,VALUE(MID($C1913,2,20)),1000000000),1000000000))+ROW()/100000,"")</f>
        <v/>
      </c>
    </row>
    <row r="1914">
      <c r="E1914" s="11" t="n"/>
      <c r="M1914" s="7">
        <f>IF($C1914="","",L1914*U1914/100)</f>
        <v/>
      </c>
      <c r="N1914" s="7" t="n"/>
      <c r="T1914" s="7" t="n"/>
      <c r="U1914" s="7">
        <f>IF($C1914="","",S1914*T1914)</f>
        <v/>
      </c>
      <c r="X1914">
        <f>IF($C1914="","",IF($AM1914=1,0,IF($AL1914=1,Settings!$C$6,Settings!$C$7))*100)</f>
        <v/>
      </c>
      <c r="AB1914" s="7" t="n"/>
      <c r="AE1914" s="11" t="n"/>
      <c r="AG1914" s="7">
        <f>IF($C1914="","",U1914*X1914/100)</f>
        <v/>
      </c>
      <c r="AH1914" s="7">
        <f>IF($C1914="","",U1914-AG1914)</f>
        <v/>
      </c>
      <c r="AI1914" s="7">
        <f>IF($C1914="","",AH1914-M1914)</f>
        <v/>
      </c>
      <c r="AJ1914">
        <f>IF($C1914="","",IF(COUNTIF($C$2:$C1914,$C1914)=1,1,0))</f>
        <v/>
      </c>
      <c r="AK1914">
        <f>IF($AJ1914=1,SUMPRODUCT(--($AN$2:$AN$4001&lt;$AN1914))+1,"")</f>
        <v/>
      </c>
      <c r="AL1914">
        <f>IF($C1914="","",IF(OR($Q1914=TRUE(),$Q1914="TRUE"),1,0))</f>
        <v/>
      </c>
      <c r="AM1914">
        <f>IF($C1914="","",IF($W1914="Yes",1,0))</f>
        <v/>
      </c>
      <c r="AN1914">
        <f>IF($AJ1914=1,IFERROR(IF(VALUE($C1914)&lt;100000000,VALUE($C1914),1000000000),IFERROR(IF(VALUE(MID($C1914,2,20))&lt;100000000,VALUE(MID($C1914,2,20)),1000000000),1000000000))+ROW()/100000,"")</f>
        <v/>
      </c>
    </row>
    <row r="1915">
      <c r="E1915" s="11" t="n"/>
      <c r="M1915" s="7">
        <f>IF($C1915="","",L1915*U1915/100)</f>
        <v/>
      </c>
      <c r="N1915" s="7" t="n"/>
      <c r="T1915" s="7" t="n"/>
      <c r="U1915" s="7">
        <f>IF($C1915="","",S1915*T1915)</f>
        <v/>
      </c>
      <c r="X1915">
        <f>IF($C1915="","",IF($AM1915=1,0,IF($AL1915=1,Settings!$C$6,Settings!$C$7))*100)</f>
        <v/>
      </c>
      <c r="AB1915" s="7" t="n"/>
      <c r="AE1915" s="11" t="n"/>
      <c r="AG1915" s="7">
        <f>IF($C1915="","",U1915*X1915/100)</f>
        <v/>
      </c>
      <c r="AH1915" s="7">
        <f>IF($C1915="","",U1915-AG1915)</f>
        <v/>
      </c>
      <c r="AI1915" s="7">
        <f>IF($C1915="","",AH1915-M1915)</f>
        <v/>
      </c>
      <c r="AJ1915">
        <f>IF($C1915="","",IF(COUNTIF($C$2:$C1915,$C1915)=1,1,0))</f>
        <v/>
      </c>
      <c r="AK1915">
        <f>IF($AJ1915=1,SUMPRODUCT(--($AN$2:$AN$4001&lt;$AN1915))+1,"")</f>
        <v/>
      </c>
      <c r="AL1915">
        <f>IF($C1915="","",IF(OR($Q1915=TRUE(),$Q1915="TRUE"),1,0))</f>
        <v/>
      </c>
      <c r="AM1915">
        <f>IF($C1915="","",IF($W1915="Yes",1,0))</f>
        <v/>
      </c>
      <c r="AN1915">
        <f>IF($AJ1915=1,IFERROR(IF(VALUE($C1915)&lt;100000000,VALUE($C1915),1000000000),IFERROR(IF(VALUE(MID($C1915,2,20))&lt;100000000,VALUE(MID($C1915,2,20)),1000000000),1000000000))+ROW()/100000,"")</f>
        <v/>
      </c>
    </row>
    <row r="1916">
      <c r="E1916" s="11" t="n"/>
      <c r="M1916" s="7">
        <f>IF($C1916="","",L1916*U1916/100)</f>
        <v/>
      </c>
      <c r="N1916" s="7" t="n"/>
      <c r="T1916" s="7" t="n"/>
      <c r="U1916" s="7">
        <f>IF($C1916="","",S1916*T1916)</f>
        <v/>
      </c>
      <c r="X1916">
        <f>IF($C1916="","",IF($AM1916=1,0,IF($AL1916=1,Settings!$C$6,Settings!$C$7))*100)</f>
        <v/>
      </c>
      <c r="AB1916" s="7" t="n"/>
      <c r="AE1916" s="11" t="n"/>
      <c r="AG1916" s="7">
        <f>IF($C1916="","",U1916*X1916/100)</f>
        <v/>
      </c>
      <c r="AH1916" s="7">
        <f>IF($C1916="","",U1916-AG1916)</f>
        <v/>
      </c>
      <c r="AI1916" s="7">
        <f>IF($C1916="","",AH1916-M1916)</f>
        <v/>
      </c>
      <c r="AJ1916">
        <f>IF($C1916="","",IF(COUNTIF($C$2:$C1916,$C1916)=1,1,0))</f>
        <v/>
      </c>
      <c r="AK1916">
        <f>IF($AJ1916=1,SUMPRODUCT(--($AN$2:$AN$4001&lt;$AN1916))+1,"")</f>
        <v/>
      </c>
      <c r="AL1916">
        <f>IF($C1916="","",IF(OR($Q1916=TRUE(),$Q1916="TRUE"),1,0))</f>
        <v/>
      </c>
      <c r="AM1916">
        <f>IF($C1916="","",IF($W1916="Yes",1,0))</f>
        <v/>
      </c>
      <c r="AN1916">
        <f>IF($AJ1916=1,IFERROR(IF(VALUE($C1916)&lt;100000000,VALUE($C1916),1000000000),IFERROR(IF(VALUE(MID($C1916,2,20))&lt;100000000,VALUE(MID($C1916,2,20)),1000000000),1000000000))+ROW()/100000,"")</f>
        <v/>
      </c>
    </row>
    <row r="1917">
      <c r="E1917" s="11" t="n"/>
      <c r="M1917" s="7">
        <f>IF($C1917="","",L1917*U1917/100)</f>
        <v/>
      </c>
      <c r="N1917" s="7" t="n"/>
      <c r="T1917" s="7" t="n"/>
      <c r="U1917" s="7">
        <f>IF($C1917="","",S1917*T1917)</f>
        <v/>
      </c>
      <c r="X1917">
        <f>IF($C1917="","",IF($AM1917=1,0,IF($AL1917=1,Settings!$C$6,Settings!$C$7))*100)</f>
        <v/>
      </c>
      <c r="AB1917" s="7" t="n"/>
      <c r="AE1917" s="11" t="n"/>
      <c r="AG1917" s="7">
        <f>IF($C1917="","",U1917*X1917/100)</f>
        <v/>
      </c>
      <c r="AH1917" s="7">
        <f>IF($C1917="","",U1917-AG1917)</f>
        <v/>
      </c>
      <c r="AI1917" s="7">
        <f>IF($C1917="","",AH1917-M1917)</f>
        <v/>
      </c>
      <c r="AJ1917">
        <f>IF($C1917="","",IF(COUNTIF($C$2:$C1917,$C1917)=1,1,0))</f>
        <v/>
      </c>
      <c r="AK1917">
        <f>IF($AJ1917=1,SUMPRODUCT(--($AN$2:$AN$4001&lt;$AN1917))+1,"")</f>
        <v/>
      </c>
      <c r="AL1917">
        <f>IF($C1917="","",IF(OR($Q1917=TRUE(),$Q1917="TRUE"),1,0))</f>
        <v/>
      </c>
      <c r="AM1917">
        <f>IF($C1917="","",IF($W1917="Yes",1,0))</f>
        <v/>
      </c>
      <c r="AN1917">
        <f>IF($AJ1917=1,IFERROR(IF(VALUE($C1917)&lt;100000000,VALUE($C1917),1000000000),IFERROR(IF(VALUE(MID($C1917,2,20))&lt;100000000,VALUE(MID($C1917,2,20)),1000000000),1000000000))+ROW()/100000,"")</f>
        <v/>
      </c>
    </row>
    <row r="1918">
      <c r="E1918" s="11" t="n"/>
      <c r="M1918" s="7">
        <f>IF($C1918="","",L1918*U1918/100)</f>
        <v/>
      </c>
      <c r="N1918" s="7" t="n"/>
      <c r="T1918" s="7" t="n"/>
      <c r="U1918" s="7">
        <f>IF($C1918="","",S1918*T1918)</f>
        <v/>
      </c>
      <c r="X1918">
        <f>IF($C1918="","",IF($AM1918=1,0,IF($AL1918=1,Settings!$C$6,Settings!$C$7))*100)</f>
        <v/>
      </c>
      <c r="AB1918" s="7" t="n"/>
      <c r="AE1918" s="11" t="n"/>
      <c r="AG1918" s="7">
        <f>IF($C1918="","",U1918*X1918/100)</f>
        <v/>
      </c>
      <c r="AH1918" s="7">
        <f>IF($C1918="","",U1918-AG1918)</f>
        <v/>
      </c>
      <c r="AI1918" s="7">
        <f>IF($C1918="","",AH1918-M1918)</f>
        <v/>
      </c>
      <c r="AJ1918">
        <f>IF($C1918="","",IF(COUNTIF($C$2:$C1918,$C1918)=1,1,0))</f>
        <v/>
      </c>
      <c r="AK1918">
        <f>IF($AJ1918=1,SUMPRODUCT(--($AN$2:$AN$4001&lt;$AN1918))+1,"")</f>
        <v/>
      </c>
      <c r="AL1918">
        <f>IF($C1918="","",IF(OR($Q1918=TRUE(),$Q1918="TRUE"),1,0))</f>
        <v/>
      </c>
      <c r="AM1918">
        <f>IF($C1918="","",IF($W1918="Yes",1,0))</f>
        <v/>
      </c>
      <c r="AN1918">
        <f>IF($AJ1918=1,IFERROR(IF(VALUE($C1918)&lt;100000000,VALUE($C1918),1000000000),IFERROR(IF(VALUE(MID($C1918,2,20))&lt;100000000,VALUE(MID($C1918,2,20)),1000000000),1000000000))+ROW()/100000,"")</f>
        <v/>
      </c>
    </row>
    <row r="1919">
      <c r="E1919" s="11" t="n"/>
      <c r="M1919" s="7">
        <f>IF($C1919="","",L1919*U1919/100)</f>
        <v/>
      </c>
      <c r="N1919" s="7" t="n"/>
      <c r="T1919" s="7" t="n"/>
      <c r="U1919" s="7">
        <f>IF($C1919="","",S1919*T1919)</f>
        <v/>
      </c>
      <c r="X1919">
        <f>IF($C1919="","",IF($AM1919=1,0,IF($AL1919=1,Settings!$C$6,Settings!$C$7))*100)</f>
        <v/>
      </c>
      <c r="AB1919" s="7" t="n"/>
      <c r="AE1919" s="11" t="n"/>
      <c r="AG1919" s="7">
        <f>IF($C1919="","",U1919*X1919/100)</f>
        <v/>
      </c>
      <c r="AH1919" s="7">
        <f>IF($C1919="","",U1919-AG1919)</f>
        <v/>
      </c>
      <c r="AI1919" s="7">
        <f>IF($C1919="","",AH1919-M1919)</f>
        <v/>
      </c>
      <c r="AJ1919">
        <f>IF($C1919="","",IF(COUNTIF($C$2:$C1919,$C1919)=1,1,0))</f>
        <v/>
      </c>
      <c r="AK1919">
        <f>IF($AJ1919=1,SUMPRODUCT(--($AN$2:$AN$4001&lt;$AN1919))+1,"")</f>
        <v/>
      </c>
      <c r="AL1919">
        <f>IF($C1919="","",IF(OR($Q1919=TRUE(),$Q1919="TRUE"),1,0))</f>
        <v/>
      </c>
      <c r="AM1919">
        <f>IF($C1919="","",IF($W1919="Yes",1,0))</f>
        <v/>
      </c>
      <c r="AN1919">
        <f>IF($AJ1919=1,IFERROR(IF(VALUE($C1919)&lt;100000000,VALUE($C1919),1000000000),IFERROR(IF(VALUE(MID($C1919,2,20))&lt;100000000,VALUE(MID($C1919,2,20)),1000000000),1000000000))+ROW()/100000,"")</f>
        <v/>
      </c>
    </row>
    <row r="1920">
      <c r="E1920" s="11" t="n"/>
      <c r="M1920" s="7">
        <f>IF($C1920="","",L1920*U1920/100)</f>
        <v/>
      </c>
      <c r="N1920" s="7" t="n"/>
      <c r="T1920" s="7" t="n"/>
      <c r="U1920" s="7">
        <f>IF($C1920="","",S1920*T1920)</f>
        <v/>
      </c>
      <c r="X1920">
        <f>IF($C1920="","",IF($AM1920=1,0,IF($AL1920=1,Settings!$C$6,Settings!$C$7))*100)</f>
        <v/>
      </c>
      <c r="AB1920" s="7" t="n"/>
      <c r="AE1920" s="11" t="n"/>
      <c r="AG1920" s="7">
        <f>IF($C1920="","",U1920*X1920/100)</f>
        <v/>
      </c>
      <c r="AH1920" s="7">
        <f>IF($C1920="","",U1920-AG1920)</f>
        <v/>
      </c>
      <c r="AI1920" s="7">
        <f>IF($C1920="","",AH1920-M1920)</f>
        <v/>
      </c>
      <c r="AJ1920">
        <f>IF($C1920="","",IF(COUNTIF($C$2:$C1920,$C1920)=1,1,0))</f>
        <v/>
      </c>
      <c r="AK1920">
        <f>IF($AJ1920=1,SUMPRODUCT(--($AN$2:$AN$4001&lt;$AN1920))+1,"")</f>
        <v/>
      </c>
      <c r="AL1920">
        <f>IF($C1920="","",IF(OR($Q1920=TRUE(),$Q1920="TRUE"),1,0))</f>
        <v/>
      </c>
      <c r="AM1920">
        <f>IF($C1920="","",IF($W1920="Yes",1,0))</f>
        <v/>
      </c>
      <c r="AN1920">
        <f>IF($AJ1920=1,IFERROR(IF(VALUE($C1920)&lt;100000000,VALUE($C1920),1000000000),IFERROR(IF(VALUE(MID($C1920,2,20))&lt;100000000,VALUE(MID($C1920,2,20)),1000000000),1000000000))+ROW()/100000,"")</f>
        <v/>
      </c>
    </row>
    <row r="1921">
      <c r="E1921" s="11" t="n"/>
      <c r="M1921" s="7">
        <f>IF($C1921="","",L1921*U1921/100)</f>
        <v/>
      </c>
      <c r="N1921" s="7" t="n"/>
      <c r="T1921" s="7" t="n"/>
      <c r="U1921" s="7">
        <f>IF($C1921="","",S1921*T1921)</f>
        <v/>
      </c>
      <c r="X1921">
        <f>IF($C1921="","",IF($AM1921=1,0,IF($AL1921=1,Settings!$C$6,Settings!$C$7))*100)</f>
        <v/>
      </c>
      <c r="AB1921" s="7" t="n"/>
      <c r="AE1921" s="11" t="n"/>
      <c r="AG1921" s="7">
        <f>IF($C1921="","",U1921*X1921/100)</f>
        <v/>
      </c>
      <c r="AH1921" s="7">
        <f>IF($C1921="","",U1921-AG1921)</f>
        <v/>
      </c>
      <c r="AI1921" s="7">
        <f>IF($C1921="","",AH1921-M1921)</f>
        <v/>
      </c>
      <c r="AJ1921">
        <f>IF($C1921="","",IF(COUNTIF($C$2:$C1921,$C1921)=1,1,0))</f>
        <v/>
      </c>
      <c r="AK1921">
        <f>IF($AJ1921=1,SUMPRODUCT(--($AN$2:$AN$4001&lt;$AN1921))+1,"")</f>
        <v/>
      </c>
      <c r="AL1921">
        <f>IF($C1921="","",IF(OR($Q1921=TRUE(),$Q1921="TRUE"),1,0))</f>
        <v/>
      </c>
      <c r="AM1921">
        <f>IF($C1921="","",IF($W1921="Yes",1,0))</f>
        <v/>
      </c>
      <c r="AN1921">
        <f>IF($AJ1921=1,IFERROR(IF(VALUE($C1921)&lt;100000000,VALUE($C1921),1000000000),IFERROR(IF(VALUE(MID($C1921,2,20))&lt;100000000,VALUE(MID($C1921,2,20)),1000000000),1000000000))+ROW()/100000,"")</f>
        <v/>
      </c>
    </row>
    <row r="1922">
      <c r="E1922" s="11" t="n"/>
      <c r="M1922" s="7">
        <f>IF($C1922="","",L1922*U1922/100)</f>
        <v/>
      </c>
      <c r="N1922" s="7" t="n"/>
      <c r="T1922" s="7" t="n"/>
      <c r="U1922" s="7">
        <f>IF($C1922="","",S1922*T1922)</f>
        <v/>
      </c>
      <c r="X1922">
        <f>IF($C1922="","",IF($AM1922=1,0,IF($AL1922=1,Settings!$C$6,Settings!$C$7))*100)</f>
        <v/>
      </c>
      <c r="AB1922" s="7" t="n"/>
      <c r="AE1922" s="11" t="n"/>
      <c r="AG1922" s="7">
        <f>IF($C1922="","",U1922*X1922/100)</f>
        <v/>
      </c>
      <c r="AH1922" s="7">
        <f>IF($C1922="","",U1922-AG1922)</f>
        <v/>
      </c>
      <c r="AI1922" s="7">
        <f>IF($C1922="","",AH1922-M1922)</f>
        <v/>
      </c>
      <c r="AJ1922">
        <f>IF($C1922="","",IF(COUNTIF($C$2:$C1922,$C1922)=1,1,0))</f>
        <v/>
      </c>
      <c r="AK1922">
        <f>IF($AJ1922=1,SUMPRODUCT(--($AN$2:$AN$4001&lt;$AN1922))+1,"")</f>
        <v/>
      </c>
      <c r="AL1922">
        <f>IF($C1922="","",IF(OR($Q1922=TRUE(),$Q1922="TRUE"),1,0))</f>
        <v/>
      </c>
      <c r="AM1922">
        <f>IF($C1922="","",IF($W1922="Yes",1,0))</f>
        <v/>
      </c>
      <c r="AN1922">
        <f>IF($AJ1922=1,IFERROR(IF(VALUE($C1922)&lt;100000000,VALUE($C1922),1000000000),IFERROR(IF(VALUE(MID($C1922,2,20))&lt;100000000,VALUE(MID($C1922,2,20)),1000000000),1000000000))+ROW()/100000,"")</f>
        <v/>
      </c>
    </row>
    <row r="1923">
      <c r="E1923" s="11" t="n"/>
      <c r="M1923" s="7">
        <f>IF($C1923="","",L1923*U1923/100)</f>
        <v/>
      </c>
      <c r="N1923" s="7" t="n"/>
      <c r="T1923" s="7" t="n"/>
      <c r="U1923" s="7">
        <f>IF($C1923="","",S1923*T1923)</f>
        <v/>
      </c>
      <c r="X1923">
        <f>IF($C1923="","",IF($AM1923=1,0,IF($AL1923=1,Settings!$C$6,Settings!$C$7))*100)</f>
        <v/>
      </c>
      <c r="AB1923" s="7" t="n"/>
      <c r="AE1923" s="11" t="n"/>
      <c r="AG1923" s="7">
        <f>IF($C1923="","",U1923*X1923/100)</f>
        <v/>
      </c>
      <c r="AH1923" s="7">
        <f>IF($C1923="","",U1923-AG1923)</f>
        <v/>
      </c>
      <c r="AI1923" s="7">
        <f>IF($C1923="","",AH1923-M1923)</f>
        <v/>
      </c>
      <c r="AJ1923">
        <f>IF($C1923="","",IF(COUNTIF($C$2:$C1923,$C1923)=1,1,0))</f>
        <v/>
      </c>
      <c r="AK1923">
        <f>IF($AJ1923=1,SUMPRODUCT(--($AN$2:$AN$4001&lt;$AN1923))+1,"")</f>
        <v/>
      </c>
      <c r="AL1923">
        <f>IF($C1923="","",IF(OR($Q1923=TRUE(),$Q1923="TRUE"),1,0))</f>
        <v/>
      </c>
      <c r="AM1923">
        <f>IF($C1923="","",IF($W1923="Yes",1,0))</f>
        <v/>
      </c>
      <c r="AN1923">
        <f>IF($AJ1923=1,IFERROR(IF(VALUE($C1923)&lt;100000000,VALUE($C1923),1000000000),IFERROR(IF(VALUE(MID($C1923,2,20))&lt;100000000,VALUE(MID($C1923,2,20)),1000000000),1000000000))+ROW()/100000,"")</f>
        <v/>
      </c>
    </row>
    <row r="1924">
      <c r="E1924" s="11" t="n"/>
      <c r="M1924" s="7">
        <f>IF($C1924="","",L1924*U1924/100)</f>
        <v/>
      </c>
      <c r="N1924" s="7" t="n"/>
      <c r="T1924" s="7" t="n"/>
      <c r="U1924" s="7">
        <f>IF($C1924="","",S1924*T1924)</f>
        <v/>
      </c>
      <c r="X1924">
        <f>IF($C1924="","",IF($AM1924=1,0,IF($AL1924=1,Settings!$C$6,Settings!$C$7))*100)</f>
        <v/>
      </c>
      <c r="AB1924" s="7" t="n"/>
      <c r="AE1924" s="11" t="n"/>
      <c r="AG1924" s="7">
        <f>IF($C1924="","",U1924*X1924/100)</f>
        <v/>
      </c>
      <c r="AH1924" s="7">
        <f>IF($C1924="","",U1924-AG1924)</f>
        <v/>
      </c>
      <c r="AI1924" s="7">
        <f>IF($C1924="","",AH1924-M1924)</f>
        <v/>
      </c>
      <c r="AJ1924">
        <f>IF($C1924="","",IF(COUNTIF($C$2:$C1924,$C1924)=1,1,0))</f>
        <v/>
      </c>
      <c r="AK1924">
        <f>IF($AJ1924=1,SUMPRODUCT(--($AN$2:$AN$4001&lt;$AN1924))+1,"")</f>
        <v/>
      </c>
      <c r="AL1924">
        <f>IF($C1924="","",IF(OR($Q1924=TRUE(),$Q1924="TRUE"),1,0))</f>
        <v/>
      </c>
      <c r="AM1924">
        <f>IF($C1924="","",IF($W1924="Yes",1,0))</f>
        <v/>
      </c>
      <c r="AN1924">
        <f>IF($AJ1924=1,IFERROR(IF(VALUE($C1924)&lt;100000000,VALUE($C1924),1000000000),IFERROR(IF(VALUE(MID($C1924,2,20))&lt;100000000,VALUE(MID($C1924,2,20)),1000000000),1000000000))+ROW()/100000,"")</f>
        <v/>
      </c>
    </row>
    <row r="1925">
      <c r="E1925" s="11" t="n"/>
      <c r="M1925" s="7">
        <f>IF($C1925="","",L1925*U1925/100)</f>
        <v/>
      </c>
      <c r="N1925" s="7" t="n"/>
      <c r="T1925" s="7" t="n"/>
      <c r="U1925" s="7">
        <f>IF($C1925="","",S1925*T1925)</f>
        <v/>
      </c>
      <c r="X1925">
        <f>IF($C1925="","",IF($AM1925=1,0,IF($AL1925=1,Settings!$C$6,Settings!$C$7))*100)</f>
        <v/>
      </c>
      <c r="AB1925" s="7" t="n"/>
      <c r="AE1925" s="11" t="n"/>
      <c r="AG1925" s="7">
        <f>IF($C1925="","",U1925*X1925/100)</f>
        <v/>
      </c>
      <c r="AH1925" s="7">
        <f>IF($C1925="","",U1925-AG1925)</f>
        <v/>
      </c>
      <c r="AI1925" s="7">
        <f>IF($C1925="","",AH1925-M1925)</f>
        <v/>
      </c>
      <c r="AJ1925">
        <f>IF($C1925="","",IF(COUNTIF($C$2:$C1925,$C1925)=1,1,0))</f>
        <v/>
      </c>
      <c r="AK1925">
        <f>IF($AJ1925=1,SUMPRODUCT(--($AN$2:$AN$4001&lt;$AN1925))+1,"")</f>
        <v/>
      </c>
      <c r="AL1925">
        <f>IF($C1925="","",IF(OR($Q1925=TRUE(),$Q1925="TRUE"),1,0))</f>
        <v/>
      </c>
      <c r="AM1925">
        <f>IF($C1925="","",IF($W1925="Yes",1,0))</f>
        <v/>
      </c>
      <c r="AN1925">
        <f>IF($AJ1925=1,IFERROR(IF(VALUE($C1925)&lt;100000000,VALUE($C1925),1000000000),IFERROR(IF(VALUE(MID($C1925,2,20))&lt;100000000,VALUE(MID($C1925,2,20)),1000000000),1000000000))+ROW()/100000,"")</f>
        <v/>
      </c>
    </row>
    <row r="1926">
      <c r="E1926" s="11" t="n"/>
      <c r="M1926" s="7">
        <f>IF($C1926="","",L1926*U1926/100)</f>
        <v/>
      </c>
      <c r="N1926" s="7" t="n"/>
      <c r="T1926" s="7" t="n"/>
      <c r="U1926" s="7">
        <f>IF($C1926="","",S1926*T1926)</f>
        <v/>
      </c>
      <c r="X1926">
        <f>IF($C1926="","",IF($AM1926=1,0,IF($AL1926=1,Settings!$C$6,Settings!$C$7))*100)</f>
        <v/>
      </c>
      <c r="AB1926" s="7" t="n"/>
      <c r="AE1926" s="11" t="n"/>
      <c r="AG1926" s="7">
        <f>IF($C1926="","",U1926*X1926/100)</f>
        <v/>
      </c>
      <c r="AH1926" s="7">
        <f>IF($C1926="","",U1926-AG1926)</f>
        <v/>
      </c>
      <c r="AI1926" s="7">
        <f>IF($C1926="","",AH1926-M1926)</f>
        <v/>
      </c>
      <c r="AJ1926">
        <f>IF($C1926="","",IF(COUNTIF($C$2:$C1926,$C1926)=1,1,0))</f>
        <v/>
      </c>
      <c r="AK1926">
        <f>IF($AJ1926=1,SUMPRODUCT(--($AN$2:$AN$4001&lt;$AN1926))+1,"")</f>
        <v/>
      </c>
      <c r="AL1926">
        <f>IF($C1926="","",IF(OR($Q1926=TRUE(),$Q1926="TRUE"),1,0))</f>
        <v/>
      </c>
      <c r="AM1926">
        <f>IF($C1926="","",IF($W1926="Yes",1,0))</f>
        <v/>
      </c>
      <c r="AN1926">
        <f>IF($AJ1926=1,IFERROR(IF(VALUE($C1926)&lt;100000000,VALUE($C1926),1000000000),IFERROR(IF(VALUE(MID($C1926,2,20))&lt;100000000,VALUE(MID($C1926,2,20)),1000000000),1000000000))+ROW()/100000,"")</f>
        <v/>
      </c>
    </row>
    <row r="1927">
      <c r="E1927" s="11" t="n"/>
      <c r="M1927" s="7">
        <f>IF($C1927="","",L1927*U1927/100)</f>
        <v/>
      </c>
      <c r="N1927" s="7" t="n"/>
      <c r="T1927" s="7" t="n"/>
      <c r="U1927" s="7">
        <f>IF($C1927="","",S1927*T1927)</f>
        <v/>
      </c>
      <c r="X1927">
        <f>IF($C1927="","",IF($AM1927=1,0,IF($AL1927=1,Settings!$C$6,Settings!$C$7))*100)</f>
        <v/>
      </c>
      <c r="AB1927" s="7" t="n"/>
      <c r="AE1927" s="11" t="n"/>
      <c r="AG1927" s="7">
        <f>IF($C1927="","",U1927*X1927/100)</f>
        <v/>
      </c>
      <c r="AH1927" s="7">
        <f>IF($C1927="","",U1927-AG1927)</f>
        <v/>
      </c>
      <c r="AI1927" s="7">
        <f>IF($C1927="","",AH1927-M1927)</f>
        <v/>
      </c>
      <c r="AJ1927">
        <f>IF($C1927="","",IF(COUNTIF($C$2:$C1927,$C1927)=1,1,0))</f>
        <v/>
      </c>
      <c r="AK1927">
        <f>IF($AJ1927=1,SUMPRODUCT(--($AN$2:$AN$4001&lt;$AN1927))+1,"")</f>
        <v/>
      </c>
      <c r="AL1927">
        <f>IF($C1927="","",IF(OR($Q1927=TRUE(),$Q1927="TRUE"),1,0))</f>
        <v/>
      </c>
      <c r="AM1927">
        <f>IF($C1927="","",IF($W1927="Yes",1,0))</f>
        <v/>
      </c>
      <c r="AN1927">
        <f>IF($AJ1927=1,IFERROR(IF(VALUE($C1927)&lt;100000000,VALUE($C1927),1000000000),IFERROR(IF(VALUE(MID($C1927,2,20))&lt;100000000,VALUE(MID($C1927,2,20)),1000000000),1000000000))+ROW()/100000,"")</f>
        <v/>
      </c>
    </row>
    <row r="1928">
      <c r="E1928" s="11" t="n"/>
      <c r="M1928" s="7">
        <f>IF($C1928="","",L1928*U1928/100)</f>
        <v/>
      </c>
      <c r="N1928" s="7" t="n"/>
      <c r="T1928" s="7" t="n"/>
      <c r="U1928" s="7">
        <f>IF($C1928="","",S1928*T1928)</f>
        <v/>
      </c>
      <c r="X1928">
        <f>IF($C1928="","",IF($AM1928=1,0,IF($AL1928=1,Settings!$C$6,Settings!$C$7))*100)</f>
        <v/>
      </c>
      <c r="AB1928" s="7" t="n"/>
      <c r="AE1928" s="11" t="n"/>
      <c r="AG1928" s="7">
        <f>IF($C1928="","",U1928*X1928/100)</f>
        <v/>
      </c>
      <c r="AH1928" s="7">
        <f>IF($C1928="","",U1928-AG1928)</f>
        <v/>
      </c>
      <c r="AI1928" s="7">
        <f>IF($C1928="","",AH1928-M1928)</f>
        <v/>
      </c>
      <c r="AJ1928">
        <f>IF($C1928="","",IF(COUNTIF($C$2:$C1928,$C1928)=1,1,0))</f>
        <v/>
      </c>
      <c r="AK1928">
        <f>IF($AJ1928=1,SUMPRODUCT(--($AN$2:$AN$4001&lt;$AN1928))+1,"")</f>
        <v/>
      </c>
      <c r="AL1928">
        <f>IF($C1928="","",IF(OR($Q1928=TRUE(),$Q1928="TRUE"),1,0))</f>
        <v/>
      </c>
      <c r="AM1928">
        <f>IF($C1928="","",IF($W1928="Yes",1,0))</f>
        <v/>
      </c>
      <c r="AN1928">
        <f>IF($AJ1928=1,IFERROR(IF(VALUE($C1928)&lt;100000000,VALUE($C1928),1000000000),IFERROR(IF(VALUE(MID($C1928,2,20))&lt;100000000,VALUE(MID($C1928,2,20)),1000000000),1000000000))+ROW()/100000,"")</f>
        <v/>
      </c>
    </row>
    <row r="1929">
      <c r="E1929" s="11" t="n"/>
      <c r="M1929" s="7">
        <f>IF($C1929="","",L1929*U1929/100)</f>
        <v/>
      </c>
      <c r="N1929" s="7" t="n"/>
      <c r="T1929" s="7" t="n"/>
      <c r="U1929" s="7">
        <f>IF($C1929="","",S1929*T1929)</f>
        <v/>
      </c>
      <c r="X1929">
        <f>IF($C1929="","",IF($AM1929=1,0,IF($AL1929=1,Settings!$C$6,Settings!$C$7))*100)</f>
        <v/>
      </c>
      <c r="AB1929" s="7" t="n"/>
      <c r="AE1929" s="11" t="n"/>
      <c r="AG1929" s="7">
        <f>IF($C1929="","",U1929*X1929/100)</f>
        <v/>
      </c>
      <c r="AH1929" s="7">
        <f>IF($C1929="","",U1929-AG1929)</f>
        <v/>
      </c>
      <c r="AI1929" s="7">
        <f>IF($C1929="","",AH1929-M1929)</f>
        <v/>
      </c>
      <c r="AJ1929">
        <f>IF($C1929="","",IF(COUNTIF($C$2:$C1929,$C1929)=1,1,0))</f>
        <v/>
      </c>
      <c r="AK1929">
        <f>IF($AJ1929=1,SUMPRODUCT(--($AN$2:$AN$4001&lt;$AN1929))+1,"")</f>
        <v/>
      </c>
      <c r="AL1929">
        <f>IF($C1929="","",IF(OR($Q1929=TRUE(),$Q1929="TRUE"),1,0))</f>
        <v/>
      </c>
      <c r="AM1929">
        <f>IF($C1929="","",IF($W1929="Yes",1,0))</f>
        <v/>
      </c>
      <c r="AN1929">
        <f>IF($AJ1929=1,IFERROR(IF(VALUE($C1929)&lt;100000000,VALUE($C1929),1000000000),IFERROR(IF(VALUE(MID($C1929,2,20))&lt;100000000,VALUE(MID($C1929,2,20)),1000000000),1000000000))+ROW()/100000,"")</f>
        <v/>
      </c>
    </row>
    <row r="1930">
      <c r="E1930" s="11" t="n"/>
      <c r="M1930" s="7">
        <f>IF($C1930="","",L1930*U1930/100)</f>
        <v/>
      </c>
      <c r="N1930" s="7" t="n"/>
      <c r="T1930" s="7" t="n"/>
      <c r="U1930" s="7">
        <f>IF($C1930="","",S1930*T1930)</f>
        <v/>
      </c>
      <c r="X1930">
        <f>IF($C1930="","",IF($AM1930=1,0,IF($AL1930=1,Settings!$C$6,Settings!$C$7))*100)</f>
        <v/>
      </c>
      <c r="AB1930" s="7" t="n"/>
      <c r="AE1930" s="11" t="n"/>
      <c r="AG1930" s="7">
        <f>IF($C1930="","",U1930*X1930/100)</f>
        <v/>
      </c>
      <c r="AH1930" s="7">
        <f>IF($C1930="","",U1930-AG1930)</f>
        <v/>
      </c>
      <c r="AI1930" s="7">
        <f>IF($C1930="","",AH1930-M1930)</f>
        <v/>
      </c>
      <c r="AJ1930">
        <f>IF($C1930="","",IF(COUNTIF($C$2:$C1930,$C1930)=1,1,0))</f>
        <v/>
      </c>
      <c r="AK1930">
        <f>IF($AJ1930=1,SUMPRODUCT(--($AN$2:$AN$4001&lt;$AN1930))+1,"")</f>
        <v/>
      </c>
      <c r="AL1930">
        <f>IF($C1930="","",IF(OR($Q1930=TRUE(),$Q1930="TRUE"),1,0))</f>
        <v/>
      </c>
      <c r="AM1930">
        <f>IF($C1930="","",IF($W1930="Yes",1,0))</f>
        <v/>
      </c>
      <c r="AN1930">
        <f>IF($AJ1930=1,IFERROR(IF(VALUE($C1930)&lt;100000000,VALUE($C1930),1000000000),IFERROR(IF(VALUE(MID($C1930,2,20))&lt;100000000,VALUE(MID($C1930,2,20)),1000000000),1000000000))+ROW()/100000,"")</f>
        <v/>
      </c>
    </row>
    <row r="1931">
      <c r="E1931" s="11" t="n"/>
      <c r="M1931" s="7">
        <f>IF($C1931="","",L1931*U1931/100)</f>
        <v/>
      </c>
      <c r="N1931" s="7" t="n"/>
      <c r="T1931" s="7" t="n"/>
      <c r="U1931" s="7">
        <f>IF($C1931="","",S1931*T1931)</f>
        <v/>
      </c>
      <c r="X1931">
        <f>IF($C1931="","",IF($AM1931=1,0,IF($AL1931=1,Settings!$C$6,Settings!$C$7))*100)</f>
        <v/>
      </c>
      <c r="AB1931" s="7" t="n"/>
      <c r="AE1931" s="11" t="n"/>
      <c r="AG1931" s="7">
        <f>IF($C1931="","",U1931*X1931/100)</f>
        <v/>
      </c>
      <c r="AH1931" s="7">
        <f>IF($C1931="","",U1931-AG1931)</f>
        <v/>
      </c>
      <c r="AI1931" s="7">
        <f>IF($C1931="","",AH1931-M1931)</f>
        <v/>
      </c>
      <c r="AJ1931">
        <f>IF($C1931="","",IF(COUNTIF($C$2:$C1931,$C1931)=1,1,0))</f>
        <v/>
      </c>
      <c r="AK1931">
        <f>IF($AJ1931=1,SUMPRODUCT(--($AN$2:$AN$4001&lt;$AN1931))+1,"")</f>
        <v/>
      </c>
      <c r="AL1931">
        <f>IF($C1931="","",IF(OR($Q1931=TRUE(),$Q1931="TRUE"),1,0))</f>
        <v/>
      </c>
      <c r="AM1931">
        <f>IF($C1931="","",IF($W1931="Yes",1,0))</f>
        <v/>
      </c>
      <c r="AN1931">
        <f>IF($AJ1931=1,IFERROR(IF(VALUE($C1931)&lt;100000000,VALUE($C1931),1000000000),IFERROR(IF(VALUE(MID($C1931,2,20))&lt;100000000,VALUE(MID($C1931,2,20)),1000000000),1000000000))+ROW()/100000,"")</f>
        <v/>
      </c>
    </row>
    <row r="1932">
      <c r="E1932" s="11" t="n"/>
      <c r="M1932" s="7">
        <f>IF($C1932="","",L1932*U1932/100)</f>
        <v/>
      </c>
      <c r="N1932" s="7" t="n"/>
      <c r="T1932" s="7" t="n"/>
      <c r="U1932" s="7">
        <f>IF($C1932="","",S1932*T1932)</f>
        <v/>
      </c>
      <c r="X1932">
        <f>IF($C1932="","",IF($AM1932=1,0,IF($AL1932=1,Settings!$C$6,Settings!$C$7))*100)</f>
        <v/>
      </c>
      <c r="AB1932" s="7" t="n"/>
      <c r="AE1932" s="11" t="n"/>
      <c r="AG1932" s="7">
        <f>IF($C1932="","",U1932*X1932/100)</f>
        <v/>
      </c>
      <c r="AH1932" s="7">
        <f>IF($C1932="","",U1932-AG1932)</f>
        <v/>
      </c>
      <c r="AI1932" s="7">
        <f>IF($C1932="","",AH1932-M1932)</f>
        <v/>
      </c>
      <c r="AJ1932">
        <f>IF($C1932="","",IF(COUNTIF($C$2:$C1932,$C1932)=1,1,0))</f>
        <v/>
      </c>
      <c r="AK1932">
        <f>IF($AJ1932=1,SUMPRODUCT(--($AN$2:$AN$4001&lt;$AN1932))+1,"")</f>
        <v/>
      </c>
      <c r="AL1932">
        <f>IF($C1932="","",IF(OR($Q1932=TRUE(),$Q1932="TRUE"),1,0))</f>
        <v/>
      </c>
      <c r="AM1932">
        <f>IF($C1932="","",IF($W1932="Yes",1,0))</f>
        <v/>
      </c>
      <c r="AN1932">
        <f>IF($AJ1932=1,IFERROR(IF(VALUE($C1932)&lt;100000000,VALUE($C1932),1000000000),IFERROR(IF(VALUE(MID($C1932,2,20))&lt;100000000,VALUE(MID($C1932,2,20)),1000000000),1000000000))+ROW()/100000,"")</f>
        <v/>
      </c>
    </row>
    <row r="1933">
      <c r="E1933" s="11" t="n"/>
      <c r="M1933" s="7">
        <f>IF($C1933="","",L1933*U1933/100)</f>
        <v/>
      </c>
      <c r="N1933" s="7" t="n"/>
      <c r="T1933" s="7" t="n"/>
      <c r="U1933" s="7">
        <f>IF($C1933="","",S1933*T1933)</f>
        <v/>
      </c>
      <c r="X1933">
        <f>IF($C1933="","",IF($AM1933=1,0,IF($AL1933=1,Settings!$C$6,Settings!$C$7))*100)</f>
        <v/>
      </c>
      <c r="AB1933" s="7" t="n"/>
      <c r="AE1933" s="11" t="n"/>
      <c r="AG1933" s="7">
        <f>IF($C1933="","",U1933*X1933/100)</f>
        <v/>
      </c>
      <c r="AH1933" s="7">
        <f>IF($C1933="","",U1933-AG1933)</f>
        <v/>
      </c>
      <c r="AI1933" s="7">
        <f>IF($C1933="","",AH1933-M1933)</f>
        <v/>
      </c>
      <c r="AJ1933">
        <f>IF($C1933="","",IF(COUNTIF($C$2:$C1933,$C1933)=1,1,0))</f>
        <v/>
      </c>
      <c r="AK1933">
        <f>IF($AJ1933=1,SUMPRODUCT(--($AN$2:$AN$4001&lt;$AN1933))+1,"")</f>
        <v/>
      </c>
      <c r="AL1933">
        <f>IF($C1933="","",IF(OR($Q1933=TRUE(),$Q1933="TRUE"),1,0))</f>
        <v/>
      </c>
      <c r="AM1933">
        <f>IF($C1933="","",IF($W1933="Yes",1,0))</f>
        <v/>
      </c>
      <c r="AN1933">
        <f>IF($AJ1933=1,IFERROR(IF(VALUE($C1933)&lt;100000000,VALUE($C1933),1000000000),IFERROR(IF(VALUE(MID($C1933,2,20))&lt;100000000,VALUE(MID($C1933,2,20)),1000000000),1000000000))+ROW()/100000,"")</f>
        <v/>
      </c>
    </row>
    <row r="1934">
      <c r="E1934" s="11" t="n"/>
      <c r="M1934" s="7">
        <f>IF($C1934="","",L1934*U1934/100)</f>
        <v/>
      </c>
      <c r="N1934" s="7" t="n"/>
      <c r="T1934" s="7" t="n"/>
      <c r="U1934" s="7">
        <f>IF($C1934="","",S1934*T1934)</f>
        <v/>
      </c>
      <c r="X1934">
        <f>IF($C1934="","",IF($AM1934=1,0,IF($AL1934=1,Settings!$C$6,Settings!$C$7))*100)</f>
        <v/>
      </c>
      <c r="AB1934" s="7" t="n"/>
      <c r="AE1934" s="11" t="n"/>
      <c r="AG1934" s="7">
        <f>IF($C1934="","",U1934*X1934/100)</f>
        <v/>
      </c>
      <c r="AH1934" s="7">
        <f>IF($C1934="","",U1934-AG1934)</f>
        <v/>
      </c>
      <c r="AI1934" s="7">
        <f>IF($C1934="","",AH1934-M1934)</f>
        <v/>
      </c>
      <c r="AJ1934">
        <f>IF($C1934="","",IF(COUNTIF($C$2:$C1934,$C1934)=1,1,0))</f>
        <v/>
      </c>
      <c r="AK1934">
        <f>IF($AJ1934=1,SUMPRODUCT(--($AN$2:$AN$4001&lt;$AN1934))+1,"")</f>
        <v/>
      </c>
      <c r="AL1934">
        <f>IF($C1934="","",IF(OR($Q1934=TRUE(),$Q1934="TRUE"),1,0))</f>
        <v/>
      </c>
      <c r="AM1934">
        <f>IF($C1934="","",IF($W1934="Yes",1,0))</f>
        <v/>
      </c>
      <c r="AN1934">
        <f>IF($AJ1934=1,IFERROR(IF(VALUE($C1934)&lt;100000000,VALUE($C1934),1000000000),IFERROR(IF(VALUE(MID($C1934,2,20))&lt;100000000,VALUE(MID($C1934,2,20)),1000000000),1000000000))+ROW()/100000,"")</f>
        <v/>
      </c>
    </row>
    <row r="1935">
      <c r="E1935" s="11" t="n"/>
      <c r="M1935" s="7">
        <f>IF($C1935="","",L1935*U1935/100)</f>
        <v/>
      </c>
      <c r="N1935" s="7" t="n"/>
      <c r="T1935" s="7" t="n"/>
      <c r="U1935" s="7">
        <f>IF($C1935="","",S1935*T1935)</f>
        <v/>
      </c>
      <c r="X1935">
        <f>IF($C1935="","",IF($AM1935=1,0,IF($AL1935=1,Settings!$C$6,Settings!$C$7))*100)</f>
        <v/>
      </c>
      <c r="AB1935" s="7" t="n"/>
      <c r="AE1935" s="11" t="n"/>
      <c r="AG1935" s="7">
        <f>IF($C1935="","",U1935*X1935/100)</f>
        <v/>
      </c>
      <c r="AH1935" s="7">
        <f>IF($C1935="","",U1935-AG1935)</f>
        <v/>
      </c>
      <c r="AI1935" s="7">
        <f>IF($C1935="","",AH1935-M1935)</f>
        <v/>
      </c>
      <c r="AJ1935">
        <f>IF($C1935="","",IF(COUNTIF($C$2:$C1935,$C1935)=1,1,0))</f>
        <v/>
      </c>
      <c r="AK1935">
        <f>IF($AJ1935=1,SUMPRODUCT(--($AN$2:$AN$4001&lt;$AN1935))+1,"")</f>
        <v/>
      </c>
      <c r="AL1935">
        <f>IF($C1935="","",IF(OR($Q1935=TRUE(),$Q1935="TRUE"),1,0))</f>
        <v/>
      </c>
      <c r="AM1935">
        <f>IF($C1935="","",IF($W1935="Yes",1,0))</f>
        <v/>
      </c>
      <c r="AN1935">
        <f>IF($AJ1935=1,IFERROR(IF(VALUE($C1935)&lt;100000000,VALUE($C1935),1000000000),IFERROR(IF(VALUE(MID($C1935,2,20))&lt;100000000,VALUE(MID($C1935,2,20)),1000000000),1000000000))+ROW()/100000,"")</f>
        <v/>
      </c>
    </row>
    <row r="1936">
      <c r="E1936" s="11" t="n"/>
      <c r="M1936" s="7">
        <f>IF($C1936="","",L1936*U1936/100)</f>
        <v/>
      </c>
      <c r="N1936" s="7" t="n"/>
      <c r="T1936" s="7" t="n"/>
      <c r="U1936" s="7">
        <f>IF($C1936="","",S1936*T1936)</f>
        <v/>
      </c>
      <c r="X1936">
        <f>IF($C1936="","",IF($AM1936=1,0,IF($AL1936=1,Settings!$C$6,Settings!$C$7))*100)</f>
        <v/>
      </c>
      <c r="AB1936" s="7" t="n"/>
      <c r="AE1936" s="11" t="n"/>
      <c r="AG1936" s="7">
        <f>IF($C1936="","",U1936*X1936/100)</f>
        <v/>
      </c>
      <c r="AH1936" s="7">
        <f>IF($C1936="","",U1936-AG1936)</f>
        <v/>
      </c>
      <c r="AI1936" s="7">
        <f>IF($C1936="","",AH1936-M1936)</f>
        <v/>
      </c>
      <c r="AJ1936">
        <f>IF($C1936="","",IF(COUNTIF($C$2:$C1936,$C1936)=1,1,0))</f>
        <v/>
      </c>
      <c r="AK1936">
        <f>IF($AJ1936=1,SUMPRODUCT(--($AN$2:$AN$4001&lt;$AN1936))+1,"")</f>
        <v/>
      </c>
      <c r="AL1936">
        <f>IF($C1936="","",IF(OR($Q1936=TRUE(),$Q1936="TRUE"),1,0))</f>
        <v/>
      </c>
      <c r="AM1936">
        <f>IF($C1936="","",IF($W1936="Yes",1,0))</f>
        <v/>
      </c>
      <c r="AN1936">
        <f>IF($AJ1936=1,IFERROR(IF(VALUE($C1936)&lt;100000000,VALUE($C1936),1000000000),IFERROR(IF(VALUE(MID($C1936,2,20))&lt;100000000,VALUE(MID($C1936,2,20)),1000000000),1000000000))+ROW()/100000,"")</f>
        <v/>
      </c>
    </row>
    <row r="1937">
      <c r="E1937" s="11" t="n"/>
      <c r="M1937" s="7">
        <f>IF($C1937="","",L1937*U1937/100)</f>
        <v/>
      </c>
      <c r="N1937" s="7" t="n"/>
      <c r="T1937" s="7" t="n"/>
      <c r="U1937" s="7">
        <f>IF($C1937="","",S1937*T1937)</f>
        <v/>
      </c>
      <c r="X1937">
        <f>IF($C1937="","",IF($AM1937=1,0,IF($AL1937=1,Settings!$C$6,Settings!$C$7))*100)</f>
        <v/>
      </c>
      <c r="AB1937" s="7" t="n"/>
      <c r="AE1937" s="11" t="n"/>
      <c r="AG1937" s="7">
        <f>IF($C1937="","",U1937*X1937/100)</f>
        <v/>
      </c>
      <c r="AH1937" s="7">
        <f>IF($C1937="","",U1937-AG1937)</f>
        <v/>
      </c>
      <c r="AI1937" s="7">
        <f>IF($C1937="","",AH1937-M1937)</f>
        <v/>
      </c>
      <c r="AJ1937">
        <f>IF($C1937="","",IF(COUNTIF($C$2:$C1937,$C1937)=1,1,0))</f>
        <v/>
      </c>
      <c r="AK1937">
        <f>IF($AJ1937=1,SUMPRODUCT(--($AN$2:$AN$4001&lt;$AN1937))+1,"")</f>
        <v/>
      </c>
      <c r="AL1937">
        <f>IF($C1937="","",IF(OR($Q1937=TRUE(),$Q1937="TRUE"),1,0))</f>
        <v/>
      </c>
      <c r="AM1937">
        <f>IF($C1937="","",IF($W1937="Yes",1,0))</f>
        <v/>
      </c>
      <c r="AN1937">
        <f>IF($AJ1937=1,IFERROR(IF(VALUE($C1937)&lt;100000000,VALUE($C1937),1000000000),IFERROR(IF(VALUE(MID($C1937,2,20))&lt;100000000,VALUE(MID($C1937,2,20)),1000000000),1000000000))+ROW()/100000,"")</f>
        <v/>
      </c>
    </row>
    <row r="1938">
      <c r="E1938" s="11" t="n"/>
      <c r="M1938" s="7">
        <f>IF($C1938="","",L1938*U1938/100)</f>
        <v/>
      </c>
      <c r="N1938" s="7" t="n"/>
      <c r="T1938" s="7" t="n"/>
      <c r="U1938" s="7">
        <f>IF($C1938="","",S1938*T1938)</f>
        <v/>
      </c>
      <c r="X1938">
        <f>IF($C1938="","",IF($AM1938=1,0,IF($AL1938=1,Settings!$C$6,Settings!$C$7))*100)</f>
        <v/>
      </c>
      <c r="AB1938" s="7" t="n"/>
      <c r="AE1938" s="11" t="n"/>
      <c r="AG1938" s="7">
        <f>IF($C1938="","",U1938*X1938/100)</f>
        <v/>
      </c>
      <c r="AH1938" s="7">
        <f>IF($C1938="","",U1938-AG1938)</f>
        <v/>
      </c>
      <c r="AI1938" s="7">
        <f>IF($C1938="","",AH1938-M1938)</f>
        <v/>
      </c>
      <c r="AJ1938">
        <f>IF($C1938="","",IF(COUNTIF($C$2:$C1938,$C1938)=1,1,0))</f>
        <v/>
      </c>
      <c r="AK1938">
        <f>IF($AJ1938=1,SUMPRODUCT(--($AN$2:$AN$4001&lt;$AN1938))+1,"")</f>
        <v/>
      </c>
      <c r="AL1938">
        <f>IF($C1938="","",IF(OR($Q1938=TRUE(),$Q1938="TRUE"),1,0))</f>
        <v/>
      </c>
      <c r="AM1938">
        <f>IF($C1938="","",IF($W1938="Yes",1,0))</f>
        <v/>
      </c>
      <c r="AN1938">
        <f>IF($AJ1938=1,IFERROR(IF(VALUE($C1938)&lt;100000000,VALUE($C1938),1000000000),IFERROR(IF(VALUE(MID($C1938,2,20))&lt;100000000,VALUE(MID($C1938,2,20)),1000000000),1000000000))+ROW()/100000,"")</f>
        <v/>
      </c>
    </row>
    <row r="1939">
      <c r="E1939" s="11" t="n"/>
      <c r="M1939" s="7">
        <f>IF($C1939="","",L1939*U1939/100)</f>
        <v/>
      </c>
      <c r="N1939" s="7" t="n"/>
      <c r="T1939" s="7" t="n"/>
      <c r="U1939" s="7">
        <f>IF($C1939="","",S1939*T1939)</f>
        <v/>
      </c>
      <c r="X1939">
        <f>IF($C1939="","",IF($AM1939=1,0,IF($AL1939=1,Settings!$C$6,Settings!$C$7))*100)</f>
        <v/>
      </c>
      <c r="AB1939" s="7" t="n"/>
      <c r="AE1939" s="11" t="n"/>
      <c r="AG1939" s="7">
        <f>IF($C1939="","",U1939*X1939/100)</f>
        <v/>
      </c>
      <c r="AH1939" s="7">
        <f>IF($C1939="","",U1939-AG1939)</f>
        <v/>
      </c>
      <c r="AI1939" s="7">
        <f>IF($C1939="","",AH1939-M1939)</f>
        <v/>
      </c>
      <c r="AJ1939">
        <f>IF($C1939="","",IF(COUNTIF($C$2:$C1939,$C1939)=1,1,0))</f>
        <v/>
      </c>
      <c r="AK1939">
        <f>IF($AJ1939=1,SUMPRODUCT(--($AN$2:$AN$4001&lt;$AN1939))+1,"")</f>
        <v/>
      </c>
      <c r="AL1939">
        <f>IF($C1939="","",IF(OR($Q1939=TRUE(),$Q1939="TRUE"),1,0))</f>
        <v/>
      </c>
      <c r="AM1939">
        <f>IF($C1939="","",IF($W1939="Yes",1,0))</f>
        <v/>
      </c>
      <c r="AN1939">
        <f>IF($AJ1939=1,IFERROR(IF(VALUE($C1939)&lt;100000000,VALUE($C1939),1000000000),IFERROR(IF(VALUE(MID($C1939,2,20))&lt;100000000,VALUE(MID($C1939,2,20)),1000000000),1000000000))+ROW()/100000,"")</f>
        <v/>
      </c>
    </row>
    <row r="1940">
      <c r="E1940" s="11" t="n"/>
      <c r="M1940" s="7">
        <f>IF($C1940="","",L1940*U1940/100)</f>
        <v/>
      </c>
      <c r="N1940" s="7" t="n"/>
      <c r="T1940" s="7" t="n"/>
      <c r="U1940" s="7">
        <f>IF($C1940="","",S1940*T1940)</f>
        <v/>
      </c>
      <c r="X1940">
        <f>IF($C1940="","",IF($AM1940=1,0,IF($AL1940=1,Settings!$C$6,Settings!$C$7))*100)</f>
        <v/>
      </c>
      <c r="AB1940" s="7" t="n"/>
      <c r="AE1940" s="11" t="n"/>
      <c r="AG1940" s="7">
        <f>IF($C1940="","",U1940*X1940/100)</f>
        <v/>
      </c>
      <c r="AH1940" s="7">
        <f>IF($C1940="","",U1940-AG1940)</f>
        <v/>
      </c>
      <c r="AI1940" s="7">
        <f>IF($C1940="","",AH1940-M1940)</f>
        <v/>
      </c>
      <c r="AJ1940">
        <f>IF($C1940="","",IF(COUNTIF($C$2:$C1940,$C1940)=1,1,0))</f>
        <v/>
      </c>
      <c r="AK1940">
        <f>IF($AJ1940=1,SUMPRODUCT(--($AN$2:$AN$4001&lt;$AN1940))+1,"")</f>
        <v/>
      </c>
      <c r="AL1940">
        <f>IF($C1940="","",IF(OR($Q1940=TRUE(),$Q1940="TRUE"),1,0))</f>
        <v/>
      </c>
      <c r="AM1940">
        <f>IF($C1940="","",IF($W1940="Yes",1,0))</f>
        <v/>
      </c>
      <c r="AN1940">
        <f>IF($AJ1940=1,IFERROR(IF(VALUE($C1940)&lt;100000000,VALUE($C1940),1000000000),IFERROR(IF(VALUE(MID($C1940,2,20))&lt;100000000,VALUE(MID($C1940,2,20)),1000000000),1000000000))+ROW()/100000,"")</f>
        <v/>
      </c>
    </row>
    <row r="1941">
      <c r="E1941" s="11" t="n"/>
      <c r="M1941" s="7">
        <f>IF($C1941="","",L1941*U1941/100)</f>
        <v/>
      </c>
      <c r="N1941" s="7" t="n"/>
      <c r="T1941" s="7" t="n"/>
      <c r="U1941" s="7">
        <f>IF($C1941="","",S1941*T1941)</f>
        <v/>
      </c>
      <c r="X1941">
        <f>IF($C1941="","",IF($AM1941=1,0,IF($AL1941=1,Settings!$C$6,Settings!$C$7))*100)</f>
        <v/>
      </c>
      <c r="AB1941" s="7" t="n"/>
      <c r="AE1941" s="11" t="n"/>
      <c r="AG1941" s="7">
        <f>IF($C1941="","",U1941*X1941/100)</f>
        <v/>
      </c>
      <c r="AH1941" s="7">
        <f>IF($C1941="","",U1941-AG1941)</f>
        <v/>
      </c>
      <c r="AI1941" s="7">
        <f>IF($C1941="","",AH1941-M1941)</f>
        <v/>
      </c>
      <c r="AJ1941">
        <f>IF($C1941="","",IF(COUNTIF($C$2:$C1941,$C1941)=1,1,0))</f>
        <v/>
      </c>
      <c r="AK1941">
        <f>IF($AJ1941=1,SUMPRODUCT(--($AN$2:$AN$4001&lt;$AN1941))+1,"")</f>
        <v/>
      </c>
      <c r="AL1941">
        <f>IF($C1941="","",IF(OR($Q1941=TRUE(),$Q1941="TRUE"),1,0))</f>
        <v/>
      </c>
      <c r="AM1941">
        <f>IF($C1941="","",IF($W1941="Yes",1,0))</f>
        <v/>
      </c>
      <c r="AN1941">
        <f>IF($AJ1941=1,IFERROR(IF(VALUE($C1941)&lt;100000000,VALUE($C1941),1000000000),IFERROR(IF(VALUE(MID($C1941,2,20))&lt;100000000,VALUE(MID($C1941,2,20)),1000000000),1000000000))+ROW()/100000,"")</f>
        <v/>
      </c>
    </row>
    <row r="1942">
      <c r="E1942" s="11" t="n"/>
      <c r="M1942" s="7">
        <f>IF($C1942="","",L1942*U1942/100)</f>
        <v/>
      </c>
      <c r="N1942" s="7" t="n"/>
      <c r="T1942" s="7" t="n"/>
      <c r="U1942" s="7">
        <f>IF($C1942="","",S1942*T1942)</f>
        <v/>
      </c>
      <c r="X1942">
        <f>IF($C1942="","",IF($AM1942=1,0,IF($AL1942=1,Settings!$C$6,Settings!$C$7))*100)</f>
        <v/>
      </c>
      <c r="AB1942" s="7" t="n"/>
      <c r="AE1942" s="11" t="n"/>
      <c r="AG1942" s="7">
        <f>IF($C1942="","",U1942*X1942/100)</f>
        <v/>
      </c>
      <c r="AH1942" s="7">
        <f>IF($C1942="","",U1942-AG1942)</f>
        <v/>
      </c>
      <c r="AI1942" s="7">
        <f>IF($C1942="","",AH1942-M1942)</f>
        <v/>
      </c>
      <c r="AJ1942">
        <f>IF($C1942="","",IF(COUNTIF($C$2:$C1942,$C1942)=1,1,0))</f>
        <v/>
      </c>
      <c r="AK1942">
        <f>IF($AJ1942=1,SUMPRODUCT(--($AN$2:$AN$4001&lt;$AN1942))+1,"")</f>
        <v/>
      </c>
      <c r="AL1942">
        <f>IF($C1942="","",IF(OR($Q1942=TRUE(),$Q1942="TRUE"),1,0))</f>
        <v/>
      </c>
      <c r="AM1942">
        <f>IF($C1942="","",IF($W1942="Yes",1,0))</f>
        <v/>
      </c>
      <c r="AN1942">
        <f>IF($AJ1942=1,IFERROR(IF(VALUE($C1942)&lt;100000000,VALUE($C1942),1000000000),IFERROR(IF(VALUE(MID($C1942,2,20))&lt;100000000,VALUE(MID($C1942,2,20)),1000000000),1000000000))+ROW()/100000,"")</f>
        <v/>
      </c>
    </row>
    <row r="1943">
      <c r="E1943" s="11" t="n"/>
      <c r="M1943" s="7">
        <f>IF($C1943="","",L1943*U1943/100)</f>
        <v/>
      </c>
      <c r="N1943" s="7" t="n"/>
      <c r="T1943" s="7" t="n"/>
      <c r="U1943" s="7">
        <f>IF($C1943="","",S1943*T1943)</f>
        <v/>
      </c>
      <c r="X1943">
        <f>IF($C1943="","",IF($AM1943=1,0,IF($AL1943=1,Settings!$C$6,Settings!$C$7))*100)</f>
        <v/>
      </c>
      <c r="AB1943" s="7" t="n"/>
      <c r="AE1943" s="11" t="n"/>
      <c r="AG1943" s="7">
        <f>IF($C1943="","",U1943*X1943/100)</f>
        <v/>
      </c>
      <c r="AH1943" s="7">
        <f>IF($C1943="","",U1943-AG1943)</f>
        <v/>
      </c>
      <c r="AI1943" s="7">
        <f>IF($C1943="","",AH1943-M1943)</f>
        <v/>
      </c>
      <c r="AJ1943">
        <f>IF($C1943="","",IF(COUNTIF($C$2:$C1943,$C1943)=1,1,0))</f>
        <v/>
      </c>
      <c r="AK1943">
        <f>IF($AJ1943=1,SUMPRODUCT(--($AN$2:$AN$4001&lt;$AN1943))+1,"")</f>
        <v/>
      </c>
      <c r="AL1943">
        <f>IF($C1943="","",IF(OR($Q1943=TRUE(),$Q1943="TRUE"),1,0))</f>
        <v/>
      </c>
      <c r="AM1943">
        <f>IF($C1943="","",IF($W1943="Yes",1,0))</f>
        <v/>
      </c>
      <c r="AN1943">
        <f>IF($AJ1943=1,IFERROR(IF(VALUE($C1943)&lt;100000000,VALUE($C1943),1000000000),IFERROR(IF(VALUE(MID($C1943,2,20))&lt;100000000,VALUE(MID($C1943,2,20)),1000000000),1000000000))+ROW()/100000,"")</f>
        <v/>
      </c>
    </row>
    <row r="1944">
      <c r="E1944" s="11" t="n"/>
      <c r="M1944" s="7">
        <f>IF($C1944="","",L1944*U1944/100)</f>
        <v/>
      </c>
      <c r="N1944" s="7" t="n"/>
      <c r="T1944" s="7" t="n"/>
      <c r="U1944" s="7">
        <f>IF($C1944="","",S1944*T1944)</f>
        <v/>
      </c>
      <c r="X1944">
        <f>IF($C1944="","",IF($AM1944=1,0,IF($AL1944=1,Settings!$C$6,Settings!$C$7))*100)</f>
        <v/>
      </c>
      <c r="AB1944" s="7" t="n"/>
      <c r="AE1944" s="11" t="n"/>
      <c r="AG1944" s="7">
        <f>IF($C1944="","",U1944*X1944/100)</f>
        <v/>
      </c>
      <c r="AH1944" s="7">
        <f>IF($C1944="","",U1944-AG1944)</f>
        <v/>
      </c>
      <c r="AI1944" s="7">
        <f>IF($C1944="","",AH1944-M1944)</f>
        <v/>
      </c>
      <c r="AJ1944">
        <f>IF($C1944="","",IF(COUNTIF($C$2:$C1944,$C1944)=1,1,0))</f>
        <v/>
      </c>
      <c r="AK1944">
        <f>IF($AJ1944=1,SUMPRODUCT(--($AN$2:$AN$4001&lt;$AN1944))+1,"")</f>
        <v/>
      </c>
      <c r="AL1944">
        <f>IF($C1944="","",IF(OR($Q1944=TRUE(),$Q1944="TRUE"),1,0))</f>
        <v/>
      </c>
      <c r="AM1944">
        <f>IF($C1944="","",IF($W1944="Yes",1,0))</f>
        <v/>
      </c>
      <c r="AN1944">
        <f>IF($AJ1944=1,IFERROR(IF(VALUE($C1944)&lt;100000000,VALUE($C1944),1000000000),IFERROR(IF(VALUE(MID($C1944,2,20))&lt;100000000,VALUE(MID($C1944,2,20)),1000000000),1000000000))+ROW()/100000,"")</f>
        <v/>
      </c>
    </row>
    <row r="1945">
      <c r="E1945" s="11" t="n"/>
      <c r="M1945" s="7">
        <f>IF($C1945="","",L1945*U1945/100)</f>
        <v/>
      </c>
      <c r="N1945" s="7" t="n"/>
      <c r="T1945" s="7" t="n"/>
      <c r="U1945" s="7">
        <f>IF($C1945="","",S1945*T1945)</f>
        <v/>
      </c>
      <c r="X1945">
        <f>IF($C1945="","",IF($AM1945=1,0,IF($AL1945=1,Settings!$C$6,Settings!$C$7))*100)</f>
        <v/>
      </c>
      <c r="AB1945" s="7" t="n"/>
      <c r="AE1945" s="11" t="n"/>
      <c r="AG1945" s="7">
        <f>IF($C1945="","",U1945*X1945/100)</f>
        <v/>
      </c>
      <c r="AH1945" s="7">
        <f>IF($C1945="","",U1945-AG1945)</f>
        <v/>
      </c>
      <c r="AI1945" s="7">
        <f>IF($C1945="","",AH1945-M1945)</f>
        <v/>
      </c>
      <c r="AJ1945">
        <f>IF($C1945="","",IF(COUNTIF($C$2:$C1945,$C1945)=1,1,0))</f>
        <v/>
      </c>
      <c r="AK1945">
        <f>IF($AJ1945=1,SUMPRODUCT(--($AN$2:$AN$4001&lt;$AN1945))+1,"")</f>
        <v/>
      </c>
      <c r="AL1945">
        <f>IF($C1945="","",IF(OR($Q1945=TRUE(),$Q1945="TRUE"),1,0))</f>
        <v/>
      </c>
      <c r="AM1945">
        <f>IF($C1945="","",IF($W1945="Yes",1,0))</f>
        <v/>
      </c>
      <c r="AN1945">
        <f>IF($AJ1945=1,IFERROR(IF(VALUE($C1945)&lt;100000000,VALUE($C1945),1000000000),IFERROR(IF(VALUE(MID($C1945,2,20))&lt;100000000,VALUE(MID($C1945,2,20)),1000000000),1000000000))+ROW()/100000,"")</f>
        <v/>
      </c>
    </row>
    <row r="1946">
      <c r="E1946" s="11" t="n"/>
      <c r="M1946" s="7">
        <f>IF($C1946="","",L1946*U1946/100)</f>
        <v/>
      </c>
      <c r="N1946" s="7" t="n"/>
      <c r="T1946" s="7" t="n"/>
      <c r="U1946" s="7">
        <f>IF($C1946="","",S1946*T1946)</f>
        <v/>
      </c>
      <c r="X1946">
        <f>IF($C1946="","",IF($AM1946=1,0,IF($AL1946=1,Settings!$C$6,Settings!$C$7))*100)</f>
        <v/>
      </c>
      <c r="AB1946" s="7" t="n"/>
      <c r="AE1946" s="11" t="n"/>
      <c r="AG1946" s="7">
        <f>IF($C1946="","",U1946*X1946/100)</f>
        <v/>
      </c>
      <c r="AH1946" s="7">
        <f>IF($C1946="","",U1946-AG1946)</f>
        <v/>
      </c>
      <c r="AI1946" s="7">
        <f>IF($C1946="","",AH1946-M1946)</f>
        <v/>
      </c>
      <c r="AJ1946">
        <f>IF($C1946="","",IF(COUNTIF($C$2:$C1946,$C1946)=1,1,0))</f>
        <v/>
      </c>
      <c r="AK1946">
        <f>IF($AJ1946=1,SUMPRODUCT(--($AN$2:$AN$4001&lt;$AN1946))+1,"")</f>
        <v/>
      </c>
      <c r="AL1946">
        <f>IF($C1946="","",IF(OR($Q1946=TRUE(),$Q1946="TRUE"),1,0))</f>
        <v/>
      </c>
      <c r="AM1946">
        <f>IF($C1946="","",IF($W1946="Yes",1,0))</f>
        <v/>
      </c>
      <c r="AN1946">
        <f>IF($AJ1946=1,IFERROR(IF(VALUE($C1946)&lt;100000000,VALUE($C1946),1000000000),IFERROR(IF(VALUE(MID($C1946,2,20))&lt;100000000,VALUE(MID($C1946,2,20)),1000000000),1000000000))+ROW()/100000,"")</f>
        <v/>
      </c>
    </row>
    <row r="1947">
      <c r="E1947" s="11" t="n"/>
      <c r="M1947" s="7">
        <f>IF($C1947="","",L1947*U1947/100)</f>
        <v/>
      </c>
      <c r="N1947" s="7" t="n"/>
      <c r="T1947" s="7" t="n"/>
      <c r="U1947" s="7">
        <f>IF($C1947="","",S1947*T1947)</f>
        <v/>
      </c>
      <c r="X1947">
        <f>IF($C1947="","",IF($AM1947=1,0,IF($AL1947=1,Settings!$C$6,Settings!$C$7))*100)</f>
        <v/>
      </c>
      <c r="AB1947" s="7" t="n"/>
      <c r="AE1947" s="11" t="n"/>
      <c r="AG1947" s="7">
        <f>IF($C1947="","",U1947*X1947/100)</f>
        <v/>
      </c>
      <c r="AH1947" s="7">
        <f>IF($C1947="","",U1947-AG1947)</f>
        <v/>
      </c>
      <c r="AI1947" s="7">
        <f>IF($C1947="","",AH1947-M1947)</f>
        <v/>
      </c>
      <c r="AJ1947">
        <f>IF($C1947="","",IF(COUNTIF($C$2:$C1947,$C1947)=1,1,0))</f>
        <v/>
      </c>
      <c r="AK1947">
        <f>IF($AJ1947=1,SUMPRODUCT(--($AN$2:$AN$4001&lt;$AN1947))+1,"")</f>
        <v/>
      </c>
      <c r="AL1947">
        <f>IF($C1947="","",IF(OR($Q1947=TRUE(),$Q1947="TRUE"),1,0))</f>
        <v/>
      </c>
      <c r="AM1947">
        <f>IF($C1947="","",IF($W1947="Yes",1,0))</f>
        <v/>
      </c>
      <c r="AN1947">
        <f>IF($AJ1947=1,IFERROR(IF(VALUE($C1947)&lt;100000000,VALUE($C1947),1000000000),IFERROR(IF(VALUE(MID($C1947,2,20))&lt;100000000,VALUE(MID($C1947,2,20)),1000000000),1000000000))+ROW()/100000,"")</f>
        <v/>
      </c>
    </row>
    <row r="1948">
      <c r="E1948" s="11" t="n"/>
      <c r="M1948" s="7">
        <f>IF($C1948="","",L1948*U1948/100)</f>
        <v/>
      </c>
      <c r="N1948" s="7" t="n"/>
      <c r="T1948" s="7" t="n"/>
      <c r="U1948" s="7">
        <f>IF($C1948="","",S1948*T1948)</f>
        <v/>
      </c>
      <c r="X1948">
        <f>IF($C1948="","",IF($AM1948=1,0,IF($AL1948=1,Settings!$C$6,Settings!$C$7))*100)</f>
        <v/>
      </c>
      <c r="AB1948" s="7" t="n"/>
      <c r="AE1948" s="11" t="n"/>
      <c r="AG1948" s="7">
        <f>IF($C1948="","",U1948*X1948/100)</f>
        <v/>
      </c>
      <c r="AH1948" s="7">
        <f>IF($C1948="","",U1948-AG1948)</f>
        <v/>
      </c>
      <c r="AI1948" s="7">
        <f>IF($C1948="","",AH1948-M1948)</f>
        <v/>
      </c>
      <c r="AJ1948">
        <f>IF($C1948="","",IF(COUNTIF($C$2:$C1948,$C1948)=1,1,0))</f>
        <v/>
      </c>
      <c r="AK1948">
        <f>IF($AJ1948=1,SUMPRODUCT(--($AN$2:$AN$4001&lt;$AN1948))+1,"")</f>
        <v/>
      </c>
      <c r="AL1948">
        <f>IF($C1948="","",IF(OR($Q1948=TRUE(),$Q1948="TRUE"),1,0))</f>
        <v/>
      </c>
      <c r="AM1948">
        <f>IF($C1948="","",IF($W1948="Yes",1,0))</f>
        <v/>
      </c>
      <c r="AN1948">
        <f>IF($AJ1948=1,IFERROR(IF(VALUE($C1948)&lt;100000000,VALUE($C1948),1000000000),IFERROR(IF(VALUE(MID($C1948,2,20))&lt;100000000,VALUE(MID($C1948,2,20)),1000000000),1000000000))+ROW()/100000,"")</f>
        <v/>
      </c>
    </row>
    <row r="1949">
      <c r="E1949" s="11" t="n"/>
      <c r="M1949" s="7">
        <f>IF($C1949="","",L1949*U1949/100)</f>
        <v/>
      </c>
      <c r="N1949" s="7" t="n"/>
      <c r="T1949" s="7" t="n"/>
      <c r="U1949" s="7">
        <f>IF($C1949="","",S1949*T1949)</f>
        <v/>
      </c>
      <c r="X1949">
        <f>IF($C1949="","",IF($AM1949=1,0,IF($AL1949=1,Settings!$C$6,Settings!$C$7))*100)</f>
        <v/>
      </c>
      <c r="AB1949" s="7" t="n"/>
      <c r="AE1949" s="11" t="n"/>
      <c r="AG1949" s="7">
        <f>IF($C1949="","",U1949*X1949/100)</f>
        <v/>
      </c>
      <c r="AH1949" s="7">
        <f>IF($C1949="","",U1949-AG1949)</f>
        <v/>
      </c>
      <c r="AI1949" s="7">
        <f>IF($C1949="","",AH1949-M1949)</f>
        <v/>
      </c>
      <c r="AJ1949">
        <f>IF($C1949="","",IF(COUNTIF($C$2:$C1949,$C1949)=1,1,0))</f>
        <v/>
      </c>
      <c r="AK1949">
        <f>IF($AJ1949=1,SUMPRODUCT(--($AN$2:$AN$4001&lt;$AN1949))+1,"")</f>
        <v/>
      </c>
      <c r="AL1949">
        <f>IF($C1949="","",IF(OR($Q1949=TRUE(),$Q1949="TRUE"),1,0))</f>
        <v/>
      </c>
      <c r="AM1949">
        <f>IF($C1949="","",IF($W1949="Yes",1,0))</f>
        <v/>
      </c>
      <c r="AN1949">
        <f>IF($AJ1949=1,IFERROR(IF(VALUE($C1949)&lt;100000000,VALUE($C1949),1000000000),IFERROR(IF(VALUE(MID($C1949,2,20))&lt;100000000,VALUE(MID($C1949,2,20)),1000000000),1000000000))+ROW()/100000,"")</f>
        <v/>
      </c>
    </row>
    <row r="1950">
      <c r="E1950" s="11" t="n"/>
      <c r="M1950" s="7">
        <f>IF($C1950="","",L1950*U1950/100)</f>
        <v/>
      </c>
      <c r="N1950" s="7" t="n"/>
      <c r="T1950" s="7" t="n"/>
      <c r="U1950" s="7">
        <f>IF($C1950="","",S1950*T1950)</f>
        <v/>
      </c>
      <c r="X1950">
        <f>IF($C1950="","",IF($AM1950=1,0,IF($AL1950=1,Settings!$C$6,Settings!$C$7))*100)</f>
        <v/>
      </c>
      <c r="AB1950" s="7" t="n"/>
      <c r="AE1950" s="11" t="n"/>
      <c r="AG1950" s="7">
        <f>IF($C1950="","",U1950*X1950/100)</f>
        <v/>
      </c>
      <c r="AH1950" s="7">
        <f>IF($C1950="","",U1950-AG1950)</f>
        <v/>
      </c>
      <c r="AI1950" s="7">
        <f>IF($C1950="","",AH1950-M1950)</f>
        <v/>
      </c>
      <c r="AJ1950">
        <f>IF($C1950="","",IF(COUNTIF($C$2:$C1950,$C1950)=1,1,0))</f>
        <v/>
      </c>
      <c r="AK1950">
        <f>IF($AJ1950=1,SUMPRODUCT(--($AN$2:$AN$4001&lt;$AN1950))+1,"")</f>
        <v/>
      </c>
      <c r="AL1950">
        <f>IF($C1950="","",IF(OR($Q1950=TRUE(),$Q1950="TRUE"),1,0))</f>
        <v/>
      </c>
      <c r="AM1950">
        <f>IF($C1950="","",IF($W1950="Yes",1,0))</f>
        <v/>
      </c>
      <c r="AN1950">
        <f>IF($AJ1950=1,IFERROR(IF(VALUE($C1950)&lt;100000000,VALUE($C1950),1000000000),IFERROR(IF(VALUE(MID($C1950,2,20))&lt;100000000,VALUE(MID($C1950,2,20)),1000000000),1000000000))+ROW()/100000,"")</f>
        <v/>
      </c>
    </row>
    <row r="1951">
      <c r="E1951" s="11" t="n"/>
      <c r="M1951" s="7">
        <f>IF($C1951="","",L1951*U1951/100)</f>
        <v/>
      </c>
      <c r="N1951" s="7" t="n"/>
      <c r="T1951" s="7" t="n"/>
      <c r="U1951" s="7">
        <f>IF($C1951="","",S1951*T1951)</f>
        <v/>
      </c>
      <c r="X1951">
        <f>IF($C1951="","",IF($AM1951=1,0,IF($AL1951=1,Settings!$C$6,Settings!$C$7))*100)</f>
        <v/>
      </c>
      <c r="AB1951" s="7" t="n"/>
      <c r="AE1951" s="11" t="n"/>
      <c r="AG1951" s="7">
        <f>IF($C1951="","",U1951*X1951/100)</f>
        <v/>
      </c>
      <c r="AH1951" s="7">
        <f>IF($C1951="","",U1951-AG1951)</f>
        <v/>
      </c>
      <c r="AI1951" s="7">
        <f>IF($C1951="","",AH1951-M1951)</f>
        <v/>
      </c>
      <c r="AJ1951">
        <f>IF($C1951="","",IF(COUNTIF($C$2:$C1951,$C1951)=1,1,0))</f>
        <v/>
      </c>
      <c r="AK1951">
        <f>IF($AJ1951=1,SUMPRODUCT(--($AN$2:$AN$4001&lt;$AN1951))+1,"")</f>
        <v/>
      </c>
      <c r="AL1951">
        <f>IF($C1951="","",IF(OR($Q1951=TRUE(),$Q1951="TRUE"),1,0))</f>
        <v/>
      </c>
      <c r="AM1951">
        <f>IF($C1951="","",IF($W1951="Yes",1,0))</f>
        <v/>
      </c>
      <c r="AN1951">
        <f>IF($AJ1951=1,IFERROR(IF(VALUE($C1951)&lt;100000000,VALUE($C1951),1000000000),IFERROR(IF(VALUE(MID($C1951,2,20))&lt;100000000,VALUE(MID($C1951,2,20)),1000000000),1000000000))+ROW()/100000,"")</f>
        <v/>
      </c>
    </row>
    <row r="1952">
      <c r="E1952" s="11" t="n"/>
      <c r="M1952" s="7">
        <f>IF($C1952="","",L1952*U1952/100)</f>
        <v/>
      </c>
      <c r="N1952" s="7" t="n"/>
      <c r="T1952" s="7" t="n"/>
      <c r="U1952" s="7">
        <f>IF($C1952="","",S1952*T1952)</f>
        <v/>
      </c>
      <c r="X1952">
        <f>IF($C1952="","",IF($AM1952=1,0,IF($AL1952=1,Settings!$C$6,Settings!$C$7))*100)</f>
        <v/>
      </c>
      <c r="AB1952" s="7" t="n"/>
      <c r="AE1952" s="11" t="n"/>
      <c r="AG1952" s="7">
        <f>IF($C1952="","",U1952*X1952/100)</f>
        <v/>
      </c>
      <c r="AH1952" s="7">
        <f>IF($C1952="","",U1952-AG1952)</f>
        <v/>
      </c>
      <c r="AI1952" s="7">
        <f>IF($C1952="","",AH1952-M1952)</f>
        <v/>
      </c>
      <c r="AJ1952">
        <f>IF($C1952="","",IF(COUNTIF($C$2:$C1952,$C1952)=1,1,0))</f>
        <v/>
      </c>
      <c r="AK1952">
        <f>IF($AJ1952=1,SUMPRODUCT(--($AN$2:$AN$4001&lt;$AN1952))+1,"")</f>
        <v/>
      </c>
      <c r="AL1952">
        <f>IF($C1952="","",IF(OR($Q1952=TRUE(),$Q1952="TRUE"),1,0))</f>
        <v/>
      </c>
      <c r="AM1952">
        <f>IF($C1952="","",IF($W1952="Yes",1,0))</f>
        <v/>
      </c>
      <c r="AN1952">
        <f>IF($AJ1952=1,IFERROR(IF(VALUE($C1952)&lt;100000000,VALUE($C1952),1000000000),IFERROR(IF(VALUE(MID($C1952,2,20))&lt;100000000,VALUE(MID($C1952,2,20)),1000000000),1000000000))+ROW()/100000,"")</f>
        <v/>
      </c>
    </row>
    <row r="1953">
      <c r="E1953" s="11" t="n"/>
      <c r="M1953" s="7">
        <f>IF($C1953="","",L1953*U1953/100)</f>
        <v/>
      </c>
      <c r="N1953" s="7" t="n"/>
      <c r="T1953" s="7" t="n"/>
      <c r="U1953" s="7">
        <f>IF($C1953="","",S1953*T1953)</f>
        <v/>
      </c>
      <c r="X1953">
        <f>IF($C1953="","",IF($AM1953=1,0,IF($AL1953=1,Settings!$C$6,Settings!$C$7))*100)</f>
        <v/>
      </c>
      <c r="AB1953" s="7" t="n"/>
      <c r="AE1953" s="11" t="n"/>
      <c r="AG1953" s="7">
        <f>IF($C1953="","",U1953*X1953/100)</f>
        <v/>
      </c>
      <c r="AH1953" s="7">
        <f>IF($C1953="","",U1953-AG1953)</f>
        <v/>
      </c>
      <c r="AI1953" s="7">
        <f>IF($C1953="","",AH1953-M1953)</f>
        <v/>
      </c>
      <c r="AJ1953">
        <f>IF($C1953="","",IF(COUNTIF($C$2:$C1953,$C1953)=1,1,0))</f>
        <v/>
      </c>
      <c r="AK1953">
        <f>IF($AJ1953=1,SUMPRODUCT(--($AN$2:$AN$4001&lt;$AN1953))+1,"")</f>
        <v/>
      </c>
      <c r="AL1953">
        <f>IF($C1953="","",IF(OR($Q1953=TRUE(),$Q1953="TRUE"),1,0))</f>
        <v/>
      </c>
      <c r="AM1953">
        <f>IF($C1953="","",IF($W1953="Yes",1,0))</f>
        <v/>
      </c>
      <c r="AN1953">
        <f>IF($AJ1953=1,IFERROR(IF(VALUE($C1953)&lt;100000000,VALUE($C1953),1000000000),IFERROR(IF(VALUE(MID($C1953,2,20))&lt;100000000,VALUE(MID($C1953,2,20)),1000000000),1000000000))+ROW()/100000,"")</f>
        <v/>
      </c>
    </row>
    <row r="1954">
      <c r="E1954" s="11" t="n"/>
      <c r="M1954" s="7">
        <f>IF($C1954="","",L1954*U1954/100)</f>
        <v/>
      </c>
      <c r="N1954" s="7" t="n"/>
      <c r="T1954" s="7" t="n"/>
      <c r="U1954" s="7">
        <f>IF($C1954="","",S1954*T1954)</f>
        <v/>
      </c>
      <c r="X1954">
        <f>IF($C1954="","",IF($AM1954=1,0,IF($AL1954=1,Settings!$C$6,Settings!$C$7))*100)</f>
        <v/>
      </c>
      <c r="AB1954" s="7" t="n"/>
      <c r="AE1954" s="11" t="n"/>
      <c r="AG1954" s="7">
        <f>IF($C1954="","",U1954*X1954/100)</f>
        <v/>
      </c>
      <c r="AH1954" s="7">
        <f>IF($C1954="","",U1954-AG1954)</f>
        <v/>
      </c>
      <c r="AI1954" s="7">
        <f>IF($C1954="","",AH1954-M1954)</f>
        <v/>
      </c>
      <c r="AJ1954">
        <f>IF($C1954="","",IF(COUNTIF($C$2:$C1954,$C1954)=1,1,0))</f>
        <v/>
      </c>
      <c r="AK1954">
        <f>IF($AJ1954=1,SUMPRODUCT(--($AN$2:$AN$4001&lt;$AN1954))+1,"")</f>
        <v/>
      </c>
      <c r="AL1954">
        <f>IF($C1954="","",IF(OR($Q1954=TRUE(),$Q1954="TRUE"),1,0))</f>
        <v/>
      </c>
      <c r="AM1954">
        <f>IF($C1954="","",IF($W1954="Yes",1,0))</f>
        <v/>
      </c>
      <c r="AN1954">
        <f>IF($AJ1954=1,IFERROR(IF(VALUE($C1954)&lt;100000000,VALUE($C1954),1000000000),IFERROR(IF(VALUE(MID($C1954,2,20))&lt;100000000,VALUE(MID($C1954,2,20)),1000000000),1000000000))+ROW()/100000,"")</f>
        <v/>
      </c>
    </row>
    <row r="1955">
      <c r="E1955" s="11" t="n"/>
      <c r="M1955" s="7">
        <f>IF($C1955="","",L1955*U1955/100)</f>
        <v/>
      </c>
      <c r="N1955" s="7" t="n"/>
      <c r="T1955" s="7" t="n"/>
      <c r="U1955" s="7">
        <f>IF($C1955="","",S1955*T1955)</f>
        <v/>
      </c>
      <c r="X1955">
        <f>IF($C1955="","",IF($AM1955=1,0,IF($AL1955=1,Settings!$C$6,Settings!$C$7))*100)</f>
        <v/>
      </c>
      <c r="AB1955" s="7" t="n"/>
      <c r="AE1955" s="11" t="n"/>
      <c r="AG1955" s="7">
        <f>IF($C1955="","",U1955*X1955/100)</f>
        <v/>
      </c>
      <c r="AH1955" s="7">
        <f>IF($C1955="","",U1955-AG1955)</f>
        <v/>
      </c>
      <c r="AI1955" s="7">
        <f>IF($C1955="","",AH1955-M1955)</f>
        <v/>
      </c>
      <c r="AJ1955">
        <f>IF($C1955="","",IF(COUNTIF($C$2:$C1955,$C1955)=1,1,0))</f>
        <v/>
      </c>
      <c r="AK1955">
        <f>IF($AJ1955=1,SUMPRODUCT(--($AN$2:$AN$4001&lt;$AN1955))+1,"")</f>
        <v/>
      </c>
      <c r="AL1955">
        <f>IF($C1955="","",IF(OR($Q1955=TRUE(),$Q1955="TRUE"),1,0))</f>
        <v/>
      </c>
      <c r="AM1955">
        <f>IF($C1955="","",IF($W1955="Yes",1,0))</f>
        <v/>
      </c>
      <c r="AN1955">
        <f>IF($AJ1955=1,IFERROR(IF(VALUE($C1955)&lt;100000000,VALUE($C1955),1000000000),IFERROR(IF(VALUE(MID($C1955,2,20))&lt;100000000,VALUE(MID($C1955,2,20)),1000000000),1000000000))+ROW()/100000,"")</f>
        <v/>
      </c>
    </row>
    <row r="1956">
      <c r="E1956" s="11" t="n"/>
      <c r="M1956" s="7">
        <f>IF($C1956="","",L1956*U1956/100)</f>
        <v/>
      </c>
      <c r="N1956" s="7" t="n"/>
      <c r="T1956" s="7" t="n"/>
      <c r="U1956" s="7">
        <f>IF($C1956="","",S1956*T1956)</f>
        <v/>
      </c>
      <c r="X1956">
        <f>IF($C1956="","",IF($AM1956=1,0,IF($AL1956=1,Settings!$C$6,Settings!$C$7))*100)</f>
        <v/>
      </c>
      <c r="AB1956" s="7" t="n"/>
      <c r="AE1956" s="11" t="n"/>
      <c r="AG1956" s="7">
        <f>IF($C1956="","",U1956*X1956/100)</f>
        <v/>
      </c>
      <c r="AH1956" s="7">
        <f>IF($C1956="","",U1956-AG1956)</f>
        <v/>
      </c>
      <c r="AI1956" s="7">
        <f>IF($C1956="","",AH1956-M1956)</f>
        <v/>
      </c>
      <c r="AJ1956">
        <f>IF($C1956="","",IF(COUNTIF($C$2:$C1956,$C1956)=1,1,0))</f>
        <v/>
      </c>
      <c r="AK1956">
        <f>IF($AJ1956=1,SUMPRODUCT(--($AN$2:$AN$4001&lt;$AN1956))+1,"")</f>
        <v/>
      </c>
      <c r="AL1956">
        <f>IF($C1956="","",IF(OR($Q1956=TRUE(),$Q1956="TRUE"),1,0))</f>
        <v/>
      </c>
      <c r="AM1956">
        <f>IF($C1956="","",IF($W1956="Yes",1,0))</f>
        <v/>
      </c>
      <c r="AN1956">
        <f>IF($AJ1956=1,IFERROR(IF(VALUE($C1956)&lt;100000000,VALUE($C1956),1000000000),IFERROR(IF(VALUE(MID($C1956,2,20))&lt;100000000,VALUE(MID($C1956,2,20)),1000000000),1000000000))+ROW()/100000,"")</f>
        <v/>
      </c>
    </row>
    <row r="1957">
      <c r="E1957" s="11" t="n"/>
      <c r="M1957" s="7">
        <f>IF($C1957="","",L1957*U1957/100)</f>
        <v/>
      </c>
      <c r="N1957" s="7" t="n"/>
      <c r="T1957" s="7" t="n"/>
      <c r="U1957" s="7">
        <f>IF($C1957="","",S1957*T1957)</f>
        <v/>
      </c>
      <c r="X1957">
        <f>IF($C1957="","",IF($AM1957=1,0,IF($AL1957=1,Settings!$C$6,Settings!$C$7))*100)</f>
        <v/>
      </c>
      <c r="AB1957" s="7" t="n"/>
      <c r="AE1957" s="11" t="n"/>
      <c r="AG1957" s="7">
        <f>IF($C1957="","",U1957*X1957/100)</f>
        <v/>
      </c>
      <c r="AH1957" s="7">
        <f>IF($C1957="","",U1957-AG1957)</f>
        <v/>
      </c>
      <c r="AI1957" s="7">
        <f>IF($C1957="","",AH1957-M1957)</f>
        <v/>
      </c>
      <c r="AJ1957">
        <f>IF($C1957="","",IF(COUNTIF($C$2:$C1957,$C1957)=1,1,0))</f>
        <v/>
      </c>
      <c r="AK1957">
        <f>IF($AJ1957=1,SUMPRODUCT(--($AN$2:$AN$4001&lt;$AN1957))+1,"")</f>
        <v/>
      </c>
      <c r="AL1957">
        <f>IF($C1957="","",IF(OR($Q1957=TRUE(),$Q1957="TRUE"),1,0))</f>
        <v/>
      </c>
      <c r="AM1957">
        <f>IF($C1957="","",IF($W1957="Yes",1,0))</f>
        <v/>
      </c>
      <c r="AN1957">
        <f>IF($AJ1957=1,IFERROR(IF(VALUE($C1957)&lt;100000000,VALUE($C1957),1000000000),IFERROR(IF(VALUE(MID($C1957,2,20))&lt;100000000,VALUE(MID($C1957,2,20)),1000000000),1000000000))+ROW()/100000,"")</f>
        <v/>
      </c>
    </row>
    <row r="1958">
      <c r="E1958" s="11" t="n"/>
      <c r="M1958" s="7">
        <f>IF($C1958="","",L1958*U1958/100)</f>
        <v/>
      </c>
      <c r="N1958" s="7" t="n"/>
      <c r="T1958" s="7" t="n"/>
      <c r="U1958" s="7">
        <f>IF($C1958="","",S1958*T1958)</f>
        <v/>
      </c>
      <c r="X1958">
        <f>IF($C1958="","",IF($AM1958=1,0,IF($AL1958=1,Settings!$C$6,Settings!$C$7))*100)</f>
        <v/>
      </c>
      <c r="AB1958" s="7" t="n"/>
      <c r="AE1958" s="11" t="n"/>
      <c r="AG1958" s="7">
        <f>IF($C1958="","",U1958*X1958/100)</f>
        <v/>
      </c>
      <c r="AH1958" s="7">
        <f>IF($C1958="","",U1958-AG1958)</f>
        <v/>
      </c>
      <c r="AI1958" s="7">
        <f>IF($C1958="","",AH1958-M1958)</f>
        <v/>
      </c>
      <c r="AJ1958">
        <f>IF($C1958="","",IF(COUNTIF($C$2:$C1958,$C1958)=1,1,0))</f>
        <v/>
      </c>
      <c r="AK1958">
        <f>IF($AJ1958=1,SUMPRODUCT(--($AN$2:$AN$4001&lt;$AN1958))+1,"")</f>
        <v/>
      </c>
      <c r="AL1958">
        <f>IF($C1958="","",IF(OR($Q1958=TRUE(),$Q1958="TRUE"),1,0))</f>
        <v/>
      </c>
      <c r="AM1958">
        <f>IF($C1958="","",IF($W1958="Yes",1,0))</f>
        <v/>
      </c>
      <c r="AN1958">
        <f>IF($AJ1958=1,IFERROR(IF(VALUE($C1958)&lt;100000000,VALUE($C1958),1000000000),IFERROR(IF(VALUE(MID($C1958,2,20))&lt;100000000,VALUE(MID($C1958,2,20)),1000000000),1000000000))+ROW()/100000,"")</f>
        <v/>
      </c>
    </row>
    <row r="1959">
      <c r="E1959" s="11" t="n"/>
      <c r="M1959" s="7">
        <f>IF($C1959="","",L1959*U1959/100)</f>
        <v/>
      </c>
      <c r="N1959" s="7" t="n"/>
      <c r="T1959" s="7" t="n"/>
      <c r="U1959" s="7">
        <f>IF($C1959="","",S1959*T1959)</f>
        <v/>
      </c>
      <c r="X1959">
        <f>IF($C1959="","",IF($AM1959=1,0,IF($AL1959=1,Settings!$C$6,Settings!$C$7))*100)</f>
        <v/>
      </c>
      <c r="AB1959" s="7" t="n"/>
      <c r="AE1959" s="11" t="n"/>
      <c r="AG1959" s="7">
        <f>IF($C1959="","",U1959*X1959/100)</f>
        <v/>
      </c>
      <c r="AH1959" s="7">
        <f>IF($C1959="","",U1959-AG1959)</f>
        <v/>
      </c>
      <c r="AI1959" s="7">
        <f>IF($C1959="","",AH1959-M1959)</f>
        <v/>
      </c>
      <c r="AJ1959">
        <f>IF($C1959="","",IF(COUNTIF($C$2:$C1959,$C1959)=1,1,0))</f>
        <v/>
      </c>
      <c r="AK1959">
        <f>IF($AJ1959=1,SUMPRODUCT(--($AN$2:$AN$4001&lt;$AN1959))+1,"")</f>
        <v/>
      </c>
      <c r="AL1959">
        <f>IF($C1959="","",IF(OR($Q1959=TRUE(),$Q1959="TRUE"),1,0))</f>
        <v/>
      </c>
      <c r="AM1959">
        <f>IF($C1959="","",IF($W1959="Yes",1,0))</f>
        <v/>
      </c>
      <c r="AN1959">
        <f>IF($AJ1959=1,IFERROR(IF(VALUE($C1959)&lt;100000000,VALUE($C1959),1000000000),IFERROR(IF(VALUE(MID($C1959,2,20))&lt;100000000,VALUE(MID($C1959,2,20)),1000000000),1000000000))+ROW()/100000,"")</f>
        <v/>
      </c>
    </row>
    <row r="1960">
      <c r="E1960" s="11" t="n"/>
      <c r="M1960" s="7">
        <f>IF($C1960="","",L1960*U1960/100)</f>
        <v/>
      </c>
      <c r="N1960" s="7" t="n"/>
      <c r="T1960" s="7" t="n"/>
      <c r="U1960" s="7">
        <f>IF($C1960="","",S1960*T1960)</f>
        <v/>
      </c>
      <c r="X1960">
        <f>IF($C1960="","",IF($AM1960=1,0,IF($AL1960=1,Settings!$C$6,Settings!$C$7))*100)</f>
        <v/>
      </c>
      <c r="AB1960" s="7" t="n"/>
      <c r="AE1960" s="11" t="n"/>
      <c r="AG1960" s="7">
        <f>IF($C1960="","",U1960*X1960/100)</f>
        <v/>
      </c>
      <c r="AH1960" s="7">
        <f>IF($C1960="","",U1960-AG1960)</f>
        <v/>
      </c>
      <c r="AI1960" s="7">
        <f>IF($C1960="","",AH1960-M1960)</f>
        <v/>
      </c>
      <c r="AJ1960">
        <f>IF($C1960="","",IF(COUNTIF($C$2:$C1960,$C1960)=1,1,0))</f>
        <v/>
      </c>
      <c r="AK1960">
        <f>IF($AJ1960=1,SUMPRODUCT(--($AN$2:$AN$4001&lt;$AN1960))+1,"")</f>
        <v/>
      </c>
      <c r="AL1960">
        <f>IF($C1960="","",IF(OR($Q1960=TRUE(),$Q1960="TRUE"),1,0))</f>
        <v/>
      </c>
      <c r="AM1960">
        <f>IF($C1960="","",IF($W1960="Yes",1,0))</f>
        <v/>
      </c>
      <c r="AN1960">
        <f>IF($AJ1960=1,IFERROR(IF(VALUE($C1960)&lt;100000000,VALUE($C1960),1000000000),IFERROR(IF(VALUE(MID($C1960,2,20))&lt;100000000,VALUE(MID($C1960,2,20)),1000000000),1000000000))+ROW()/100000,"")</f>
        <v/>
      </c>
    </row>
    <row r="1961">
      <c r="E1961" s="11" t="n"/>
      <c r="M1961" s="7">
        <f>IF($C1961="","",L1961*U1961/100)</f>
        <v/>
      </c>
      <c r="N1961" s="7" t="n"/>
      <c r="T1961" s="7" t="n"/>
      <c r="U1961" s="7">
        <f>IF($C1961="","",S1961*T1961)</f>
        <v/>
      </c>
      <c r="X1961">
        <f>IF($C1961="","",IF($AM1961=1,0,IF($AL1961=1,Settings!$C$6,Settings!$C$7))*100)</f>
        <v/>
      </c>
      <c r="AB1961" s="7" t="n"/>
      <c r="AE1961" s="11" t="n"/>
      <c r="AG1961" s="7">
        <f>IF($C1961="","",U1961*X1961/100)</f>
        <v/>
      </c>
      <c r="AH1961" s="7">
        <f>IF($C1961="","",U1961-AG1961)</f>
        <v/>
      </c>
      <c r="AI1961" s="7">
        <f>IF($C1961="","",AH1961-M1961)</f>
        <v/>
      </c>
      <c r="AJ1961">
        <f>IF($C1961="","",IF(COUNTIF($C$2:$C1961,$C1961)=1,1,0))</f>
        <v/>
      </c>
      <c r="AK1961">
        <f>IF($AJ1961=1,SUMPRODUCT(--($AN$2:$AN$4001&lt;$AN1961))+1,"")</f>
        <v/>
      </c>
      <c r="AL1961">
        <f>IF($C1961="","",IF(OR($Q1961=TRUE(),$Q1961="TRUE"),1,0))</f>
        <v/>
      </c>
      <c r="AM1961">
        <f>IF($C1961="","",IF($W1961="Yes",1,0))</f>
        <v/>
      </c>
      <c r="AN1961">
        <f>IF($AJ1961=1,IFERROR(IF(VALUE($C1961)&lt;100000000,VALUE($C1961),1000000000),IFERROR(IF(VALUE(MID($C1961,2,20))&lt;100000000,VALUE(MID($C1961,2,20)),1000000000),1000000000))+ROW()/100000,"")</f>
        <v/>
      </c>
    </row>
    <row r="1962">
      <c r="E1962" s="11" t="n"/>
      <c r="M1962" s="7">
        <f>IF($C1962="","",L1962*U1962/100)</f>
        <v/>
      </c>
      <c r="N1962" s="7" t="n"/>
      <c r="T1962" s="7" t="n"/>
      <c r="U1962" s="7">
        <f>IF($C1962="","",S1962*T1962)</f>
        <v/>
      </c>
      <c r="X1962">
        <f>IF($C1962="","",IF($AM1962=1,0,IF($AL1962=1,Settings!$C$6,Settings!$C$7))*100)</f>
        <v/>
      </c>
      <c r="AB1962" s="7" t="n"/>
      <c r="AE1962" s="11" t="n"/>
      <c r="AG1962" s="7">
        <f>IF($C1962="","",U1962*X1962/100)</f>
        <v/>
      </c>
      <c r="AH1962" s="7">
        <f>IF($C1962="","",U1962-AG1962)</f>
        <v/>
      </c>
      <c r="AI1962" s="7">
        <f>IF($C1962="","",AH1962-M1962)</f>
        <v/>
      </c>
      <c r="AJ1962">
        <f>IF($C1962="","",IF(COUNTIF($C$2:$C1962,$C1962)=1,1,0))</f>
        <v/>
      </c>
      <c r="AK1962">
        <f>IF($AJ1962=1,SUMPRODUCT(--($AN$2:$AN$4001&lt;$AN1962))+1,"")</f>
        <v/>
      </c>
      <c r="AL1962">
        <f>IF($C1962="","",IF(OR($Q1962=TRUE(),$Q1962="TRUE"),1,0))</f>
        <v/>
      </c>
      <c r="AM1962">
        <f>IF($C1962="","",IF($W1962="Yes",1,0))</f>
        <v/>
      </c>
      <c r="AN1962">
        <f>IF($AJ1962=1,IFERROR(IF(VALUE($C1962)&lt;100000000,VALUE($C1962),1000000000),IFERROR(IF(VALUE(MID($C1962,2,20))&lt;100000000,VALUE(MID($C1962,2,20)),1000000000),1000000000))+ROW()/100000,"")</f>
        <v/>
      </c>
    </row>
    <row r="1963">
      <c r="E1963" s="11" t="n"/>
      <c r="M1963" s="7">
        <f>IF($C1963="","",L1963*U1963/100)</f>
        <v/>
      </c>
      <c r="N1963" s="7" t="n"/>
      <c r="T1963" s="7" t="n"/>
      <c r="U1963" s="7">
        <f>IF($C1963="","",S1963*T1963)</f>
        <v/>
      </c>
      <c r="X1963">
        <f>IF($C1963="","",IF($AM1963=1,0,IF($AL1963=1,Settings!$C$6,Settings!$C$7))*100)</f>
        <v/>
      </c>
      <c r="AB1963" s="7" t="n"/>
      <c r="AE1963" s="11" t="n"/>
      <c r="AG1963" s="7">
        <f>IF($C1963="","",U1963*X1963/100)</f>
        <v/>
      </c>
      <c r="AH1963" s="7">
        <f>IF($C1963="","",U1963-AG1963)</f>
        <v/>
      </c>
      <c r="AI1963" s="7">
        <f>IF($C1963="","",AH1963-M1963)</f>
        <v/>
      </c>
      <c r="AJ1963">
        <f>IF($C1963="","",IF(COUNTIF($C$2:$C1963,$C1963)=1,1,0))</f>
        <v/>
      </c>
      <c r="AK1963">
        <f>IF($AJ1963=1,SUMPRODUCT(--($AN$2:$AN$4001&lt;$AN1963))+1,"")</f>
        <v/>
      </c>
      <c r="AL1963">
        <f>IF($C1963="","",IF(OR($Q1963=TRUE(),$Q1963="TRUE"),1,0))</f>
        <v/>
      </c>
      <c r="AM1963">
        <f>IF($C1963="","",IF($W1963="Yes",1,0))</f>
        <v/>
      </c>
      <c r="AN1963">
        <f>IF($AJ1963=1,IFERROR(IF(VALUE($C1963)&lt;100000000,VALUE($C1963),1000000000),IFERROR(IF(VALUE(MID($C1963,2,20))&lt;100000000,VALUE(MID($C1963,2,20)),1000000000),1000000000))+ROW()/100000,"")</f>
        <v/>
      </c>
    </row>
    <row r="1964">
      <c r="E1964" s="11" t="n"/>
      <c r="M1964" s="7">
        <f>IF($C1964="","",L1964*U1964/100)</f>
        <v/>
      </c>
      <c r="N1964" s="7" t="n"/>
      <c r="T1964" s="7" t="n"/>
      <c r="U1964" s="7">
        <f>IF($C1964="","",S1964*T1964)</f>
        <v/>
      </c>
      <c r="X1964">
        <f>IF($C1964="","",IF($AM1964=1,0,IF($AL1964=1,Settings!$C$6,Settings!$C$7))*100)</f>
        <v/>
      </c>
      <c r="AB1964" s="7" t="n"/>
      <c r="AE1964" s="11" t="n"/>
      <c r="AG1964" s="7">
        <f>IF($C1964="","",U1964*X1964/100)</f>
        <v/>
      </c>
      <c r="AH1964" s="7">
        <f>IF($C1964="","",U1964-AG1964)</f>
        <v/>
      </c>
      <c r="AI1964" s="7">
        <f>IF($C1964="","",AH1964-M1964)</f>
        <v/>
      </c>
      <c r="AJ1964">
        <f>IF($C1964="","",IF(COUNTIF($C$2:$C1964,$C1964)=1,1,0))</f>
        <v/>
      </c>
      <c r="AK1964">
        <f>IF($AJ1964=1,SUMPRODUCT(--($AN$2:$AN$4001&lt;$AN1964))+1,"")</f>
        <v/>
      </c>
      <c r="AL1964">
        <f>IF($C1964="","",IF(OR($Q1964=TRUE(),$Q1964="TRUE"),1,0))</f>
        <v/>
      </c>
      <c r="AM1964">
        <f>IF($C1964="","",IF($W1964="Yes",1,0))</f>
        <v/>
      </c>
      <c r="AN1964">
        <f>IF($AJ1964=1,IFERROR(IF(VALUE($C1964)&lt;100000000,VALUE($C1964),1000000000),IFERROR(IF(VALUE(MID($C1964,2,20))&lt;100000000,VALUE(MID($C1964,2,20)),1000000000),1000000000))+ROW()/100000,"")</f>
        <v/>
      </c>
    </row>
    <row r="1965">
      <c r="E1965" s="11" t="n"/>
      <c r="M1965" s="7">
        <f>IF($C1965="","",L1965*U1965/100)</f>
        <v/>
      </c>
      <c r="N1965" s="7" t="n"/>
      <c r="T1965" s="7" t="n"/>
      <c r="U1965" s="7">
        <f>IF($C1965="","",S1965*T1965)</f>
        <v/>
      </c>
      <c r="X1965">
        <f>IF($C1965="","",IF($AM1965=1,0,IF($AL1965=1,Settings!$C$6,Settings!$C$7))*100)</f>
        <v/>
      </c>
      <c r="AB1965" s="7" t="n"/>
      <c r="AE1965" s="11" t="n"/>
      <c r="AG1965" s="7">
        <f>IF($C1965="","",U1965*X1965/100)</f>
        <v/>
      </c>
      <c r="AH1965" s="7">
        <f>IF($C1965="","",U1965-AG1965)</f>
        <v/>
      </c>
      <c r="AI1965" s="7">
        <f>IF($C1965="","",AH1965-M1965)</f>
        <v/>
      </c>
      <c r="AJ1965">
        <f>IF($C1965="","",IF(COUNTIF($C$2:$C1965,$C1965)=1,1,0))</f>
        <v/>
      </c>
      <c r="AK1965">
        <f>IF($AJ1965=1,SUMPRODUCT(--($AN$2:$AN$4001&lt;$AN1965))+1,"")</f>
        <v/>
      </c>
      <c r="AL1965">
        <f>IF($C1965="","",IF(OR($Q1965=TRUE(),$Q1965="TRUE"),1,0))</f>
        <v/>
      </c>
      <c r="AM1965">
        <f>IF($C1965="","",IF($W1965="Yes",1,0))</f>
        <v/>
      </c>
      <c r="AN1965">
        <f>IF($AJ1965=1,IFERROR(IF(VALUE($C1965)&lt;100000000,VALUE($C1965),1000000000),IFERROR(IF(VALUE(MID($C1965,2,20))&lt;100000000,VALUE(MID($C1965,2,20)),1000000000),1000000000))+ROW()/100000,"")</f>
        <v/>
      </c>
    </row>
    <row r="1966">
      <c r="E1966" s="11" t="n"/>
      <c r="M1966" s="7">
        <f>IF($C1966="","",L1966*U1966/100)</f>
        <v/>
      </c>
      <c r="N1966" s="7" t="n"/>
      <c r="T1966" s="7" t="n"/>
      <c r="U1966" s="7">
        <f>IF($C1966="","",S1966*T1966)</f>
        <v/>
      </c>
      <c r="X1966">
        <f>IF($C1966="","",IF($AM1966=1,0,IF($AL1966=1,Settings!$C$6,Settings!$C$7))*100)</f>
        <v/>
      </c>
      <c r="AB1966" s="7" t="n"/>
      <c r="AE1966" s="11" t="n"/>
      <c r="AG1966" s="7">
        <f>IF($C1966="","",U1966*X1966/100)</f>
        <v/>
      </c>
      <c r="AH1966" s="7">
        <f>IF($C1966="","",U1966-AG1966)</f>
        <v/>
      </c>
      <c r="AI1966" s="7">
        <f>IF($C1966="","",AH1966-M1966)</f>
        <v/>
      </c>
      <c r="AJ1966">
        <f>IF($C1966="","",IF(COUNTIF($C$2:$C1966,$C1966)=1,1,0))</f>
        <v/>
      </c>
      <c r="AK1966">
        <f>IF($AJ1966=1,SUMPRODUCT(--($AN$2:$AN$4001&lt;$AN1966))+1,"")</f>
        <v/>
      </c>
      <c r="AL1966">
        <f>IF($C1966="","",IF(OR($Q1966=TRUE(),$Q1966="TRUE"),1,0))</f>
        <v/>
      </c>
      <c r="AM1966">
        <f>IF($C1966="","",IF($W1966="Yes",1,0))</f>
        <v/>
      </c>
      <c r="AN1966">
        <f>IF($AJ1966=1,IFERROR(IF(VALUE($C1966)&lt;100000000,VALUE($C1966),1000000000),IFERROR(IF(VALUE(MID($C1966,2,20))&lt;100000000,VALUE(MID($C1966,2,20)),1000000000),1000000000))+ROW()/100000,"")</f>
        <v/>
      </c>
    </row>
    <row r="1967">
      <c r="E1967" s="11" t="n"/>
      <c r="M1967" s="7">
        <f>IF($C1967="","",L1967*U1967/100)</f>
        <v/>
      </c>
      <c r="N1967" s="7" t="n"/>
      <c r="T1967" s="7" t="n"/>
      <c r="U1967" s="7">
        <f>IF($C1967="","",S1967*T1967)</f>
        <v/>
      </c>
      <c r="X1967">
        <f>IF($C1967="","",IF($AM1967=1,0,IF($AL1967=1,Settings!$C$6,Settings!$C$7))*100)</f>
        <v/>
      </c>
      <c r="AB1967" s="7" t="n"/>
      <c r="AE1967" s="11" t="n"/>
      <c r="AG1967" s="7">
        <f>IF($C1967="","",U1967*X1967/100)</f>
        <v/>
      </c>
      <c r="AH1967" s="7">
        <f>IF($C1967="","",U1967-AG1967)</f>
        <v/>
      </c>
      <c r="AI1967" s="7">
        <f>IF($C1967="","",AH1967-M1967)</f>
        <v/>
      </c>
      <c r="AJ1967">
        <f>IF($C1967="","",IF(COUNTIF($C$2:$C1967,$C1967)=1,1,0))</f>
        <v/>
      </c>
      <c r="AK1967">
        <f>IF($AJ1967=1,SUMPRODUCT(--($AN$2:$AN$4001&lt;$AN1967))+1,"")</f>
        <v/>
      </c>
      <c r="AL1967">
        <f>IF($C1967="","",IF(OR($Q1967=TRUE(),$Q1967="TRUE"),1,0))</f>
        <v/>
      </c>
      <c r="AM1967">
        <f>IF($C1967="","",IF($W1967="Yes",1,0))</f>
        <v/>
      </c>
      <c r="AN1967">
        <f>IF($AJ1967=1,IFERROR(IF(VALUE($C1967)&lt;100000000,VALUE($C1967),1000000000),IFERROR(IF(VALUE(MID($C1967,2,20))&lt;100000000,VALUE(MID($C1967,2,20)),1000000000),1000000000))+ROW()/100000,"")</f>
        <v/>
      </c>
    </row>
    <row r="1968">
      <c r="E1968" s="11" t="n"/>
      <c r="M1968" s="7">
        <f>IF($C1968="","",L1968*U1968/100)</f>
        <v/>
      </c>
      <c r="N1968" s="7" t="n"/>
      <c r="T1968" s="7" t="n"/>
      <c r="U1968" s="7">
        <f>IF($C1968="","",S1968*T1968)</f>
        <v/>
      </c>
      <c r="X1968">
        <f>IF($C1968="","",IF($AM1968=1,0,IF($AL1968=1,Settings!$C$6,Settings!$C$7))*100)</f>
        <v/>
      </c>
      <c r="AB1968" s="7" t="n"/>
      <c r="AE1968" s="11" t="n"/>
      <c r="AG1968" s="7">
        <f>IF($C1968="","",U1968*X1968/100)</f>
        <v/>
      </c>
      <c r="AH1968" s="7">
        <f>IF($C1968="","",U1968-AG1968)</f>
        <v/>
      </c>
      <c r="AI1968" s="7">
        <f>IF($C1968="","",AH1968-M1968)</f>
        <v/>
      </c>
      <c r="AJ1968">
        <f>IF($C1968="","",IF(COUNTIF($C$2:$C1968,$C1968)=1,1,0))</f>
        <v/>
      </c>
      <c r="AK1968">
        <f>IF($AJ1968=1,SUMPRODUCT(--($AN$2:$AN$4001&lt;$AN1968))+1,"")</f>
        <v/>
      </c>
      <c r="AL1968">
        <f>IF($C1968="","",IF(OR($Q1968=TRUE(),$Q1968="TRUE"),1,0))</f>
        <v/>
      </c>
      <c r="AM1968">
        <f>IF($C1968="","",IF($W1968="Yes",1,0))</f>
        <v/>
      </c>
      <c r="AN1968">
        <f>IF($AJ1968=1,IFERROR(IF(VALUE($C1968)&lt;100000000,VALUE($C1968),1000000000),IFERROR(IF(VALUE(MID($C1968,2,20))&lt;100000000,VALUE(MID($C1968,2,20)),1000000000),1000000000))+ROW()/100000,"")</f>
        <v/>
      </c>
    </row>
    <row r="1969">
      <c r="E1969" s="11" t="n"/>
      <c r="M1969" s="7">
        <f>IF($C1969="","",L1969*U1969/100)</f>
        <v/>
      </c>
      <c r="N1969" s="7" t="n"/>
      <c r="T1969" s="7" t="n"/>
      <c r="U1969" s="7">
        <f>IF($C1969="","",S1969*T1969)</f>
        <v/>
      </c>
      <c r="X1969">
        <f>IF($C1969="","",IF($AM1969=1,0,IF($AL1969=1,Settings!$C$6,Settings!$C$7))*100)</f>
        <v/>
      </c>
      <c r="AB1969" s="7" t="n"/>
      <c r="AE1969" s="11" t="n"/>
      <c r="AG1969" s="7">
        <f>IF($C1969="","",U1969*X1969/100)</f>
        <v/>
      </c>
      <c r="AH1969" s="7">
        <f>IF($C1969="","",U1969-AG1969)</f>
        <v/>
      </c>
      <c r="AI1969" s="7">
        <f>IF($C1969="","",AH1969-M1969)</f>
        <v/>
      </c>
      <c r="AJ1969">
        <f>IF($C1969="","",IF(COUNTIF($C$2:$C1969,$C1969)=1,1,0))</f>
        <v/>
      </c>
      <c r="AK1969">
        <f>IF($AJ1969=1,SUMPRODUCT(--($AN$2:$AN$4001&lt;$AN1969))+1,"")</f>
        <v/>
      </c>
      <c r="AL1969">
        <f>IF($C1969="","",IF(OR($Q1969=TRUE(),$Q1969="TRUE"),1,0))</f>
        <v/>
      </c>
      <c r="AM1969">
        <f>IF($C1969="","",IF($W1969="Yes",1,0))</f>
        <v/>
      </c>
      <c r="AN1969">
        <f>IF($AJ1969=1,IFERROR(IF(VALUE($C1969)&lt;100000000,VALUE($C1969),1000000000),IFERROR(IF(VALUE(MID($C1969,2,20))&lt;100000000,VALUE(MID($C1969,2,20)),1000000000),1000000000))+ROW()/100000,"")</f>
        <v/>
      </c>
    </row>
    <row r="1970">
      <c r="E1970" s="11" t="n"/>
      <c r="M1970" s="7">
        <f>IF($C1970="","",L1970*U1970/100)</f>
        <v/>
      </c>
      <c r="N1970" s="7" t="n"/>
      <c r="T1970" s="7" t="n"/>
      <c r="U1970" s="7">
        <f>IF($C1970="","",S1970*T1970)</f>
        <v/>
      </c>
      <c r="X1970">
        <f>IF($C1970="","",IF($AM1970=1,0,IF($AL1970=1,Settings!$C$6,Settings!$C$7))*100)</f>
        <v/>
      </c>
      <c r="AB1970" s="7" t="n"/>
      <c r="AE1970" s="11" t="n"/>
      <c r="AG1970" s="7">
        <f>IF($C1970="","",U1970*X1970/100)</f>
        <v/>
      </c>
      <c r="AH1970" s="7">
        <f>IF($C1970="","",U1970-AG1970)</f>
        <v/>
      </c>
      <c r="AI1970" s="7">
        <f>IF($C1970="","",AH1970-M1970)</f>
        <v/>
      </c>
      <c r="AJ1970">
        <f>IF($C1970="","",IF(COUNTIF($C$2:$C1970,$C1970)=1,1,0))</f>
        <v/>
      </c>
      <c r="AK1970">
        <f>IF($AJ1970=1,SUMPRODUCT(--($AN$2:$AN$4001&lt;$AN1970))+1,"")</f>
        <v/>
      </c>
      <c r="AL1970">
        <f>IF($C1970="","",IF(OR($Q1970=TRUE(),$Q1970="TRUE"),1,0))</f>
        <v/>
      </c>
      <c r="AM1970">
        <f>IF($C1970="","",IF($W1970="Yes",1,0))</f>
        <v/>
      </c>
      <c r="AN1970">
        <f>IF($AJ1970=1,IFERROR(IF(VALUE($C1970)&lt;100000000,VALUE($C1970),1000000000),IFERROR(IF(VALUE(MID($C1970,2,20))&lt;100000000,VALUE(MID($C1970,2,20)),1000000000),1000000000))+ROW()/100000,"")</f>
        <v/>
      </c>
    </row>
    <row r="1971">
      <c r="E1971" s="11" t="n"/>
      <c r="M1971" s="7">
        <f>IF($C1971="","",L1971*U1971/100)</f>
        <v/>
      </c>
      <c r="N1971" s="7" t="n"/>
      <c r="T1971" s="7" t="n"/>
      <c r="U1971" s="7">
        <f>IF($C1971="","",S1971*T1971)</f>
        <v/>
      </c>
      <c r="X1971">
        <f>IF($C1971="","",IF($AM1971=1,0,IF($AL1971=1,Settings!$C$6,Settings!$C$7))*100)</f>
        <v/>
      </c>
      <c r="AB1971" s="7" t="n"/>
      <c r="AE1971" s="11" t="n"/>
      <c r="AG1971" s="7">
        <f>IF($C1971="","",U1971*X1971/100)</f>
        <v/>
      </c>
      <c r="AH1971" s="7">
        <f>IF($C1971="","",U1971-AG1971)</f>
        <v/>
      </c>
      <c r="AI1971" s="7">
        <f>IF($C1971="","",AH1971-M1971)</f>
        <v/>
      </c>
      <c r="AJ1971">
        <f>IF($C1971="","",IF(COUNTIF($C$2:$C1971,$C1971)=1,1,0))</f>
        <v/>
      </c>
      <c r="AK1971">
        <f>IF($AJ1971=1,SUMPRODUCT(--($AN$2:$AN$4001&lt;$AN1971))+1,"")</f>
        <v/>
      </c>
      <c r="AL1971">
        <f>IF($C1971="","",IF(OR($Q1971=TRUE(),$Q1971="TRUE"),1,0))</f>
        <v/>
      </c>
      <c r="AM1971">
        <f>IF($C1971="","",IF($W1971="Yes",1,0))</f>
        <v/>
      </c>
      <c r="AN1971">
        <f>IF($AJ1971=1,IFERROR(IF(VALUE($C1971)&lt;100000000,VALUE($C1971),1000000000),IFERROR(IF(VALUE(MID($C1971,2,20))&lt;100000000,VALUE(MID($C1971,2,20)),1000000000),1000000000))+ROW()/100000,"")</f>
        <v/>
      </c>
    </row>
    <row r="1972">
      <c r="E1972" s="11" t="n"/>
      <c r="M1972" s="7">
        <f>IF($C1972="","",L1972*U1972/100)</f>
        <v/>
      </c>
      <c r="N1972" s="7" t="n"/>
      <c r="T1972" s="7" t="n"/>
      <c r="U1972" s="7">
        <f>IF($C1972="","",S1972*T1972)</f>
        <v/>
      </c>
      <c r="X1972">
        <f>IF($C1972="","",IF($AM1972=1,0,IF($AL1972=1,Settings!$C$6,Settings!$C$7))*100)</f>
        <v/>
      </c>
      <c r="AB1972" s="7" t="n"/>
      <c r="AE1972" s="11" t="n"/>
      <c r="AG1972" s="7">
        <f>IF($C1972="","",U1972*X1972/100)</f>
        <v/>
      </c>
      <c r="AH1972" s="7">
        <f>IF($C1972="","",U1972-AG1972)</f>
        <v/>
      </c>
      <c r="AI1972" s="7">
        <f>IF($C1972="","",AH1972-M1972)</f>
        <v/>
      </c>
      <c r="AJ1972">
        <f>IF($C1972="","",IF(COUNTIF($C$2:$C1972,$C1972)=1,1,0))</f>
        <v/>
      </c>
      <c r="AK1972">
        <f>IF($AJ1972=1,SUMPRODUCT(--($AN$2:$AN$4001&lt;$AN1972))+1,"")</f>
        <v/>
      </c>
      <c r="AL1972">
        <f>IF($C1972="","",IF(OR($Q1972=TRUE(),$Q1972="TRUE"),1,0))</f>
        <v/>
      </c>
      <c r="AM1972">
        <f>IF($C1972="","",IF($W1972="Yes",1,0))</f>
        <v/>
      </c>
      <c r="AN1972">
        <f>IF($AJ1972=1,IFERROR(IF(VALUE($C1972)&lt;100000000,VALUE($C1972),1000000000),IFERROR(IF(VALUE(MID($C1972,2,20))&lt;100000000,VALUE(MID($C1972,2,20)),1000000000),1000000000))+ROW()/100000,"")</f>
        <v/>
      </c>
    </row>
    <row r="1973">
      <c r="E1973" s="11" t="n"/>
      <c r="M1973" s="7">
        <f>IF($C1973="","",L1973*U1973/100)</f>
        <v/>
      </c>
      <c r="N1973" s="7" t="n"/>
      <c r="T1973" s="7" t="n"/>
      <c r="U1973" s="7">
        <f>IF($C1973="","",S1973*T1973)</f>
        <v/>
      </c>
      <c r="X1973">
        <f>IF($C1973="","",IF($AM1973=1,0,IF($AL1973=1,Settings!$C$6,Settings!$C$7))*100)</f>
        <v/>
      </c>
      <c r="AB1973" s="7" t="n"/>
      <c r="AE1973" s="11" t="n"/>
      <c r="AG1973" s="7">
        <f>IF($C1973="","",U1973*X1973/100)</f>
        <v/>
      </c>
      <c r="AH1973" s="7">
        <f>IF($C1973="","",U1973-AG1973)</f>
        <v/>
      </c>
      <c r="AI1973" s="7">
        <f>IF($C1973="","",AH1973-M1973)</f>
        <v/>
      </c>
      <c r="AJ1973">
        <f>IF($C1973="","",IF(COUNTIF($C$2:$C1973,$C1973)=1,1,0))</f>
        <v/>
      </c>
      <c r="AK1973">
        <f>IF($AJ1973=1,SUMPRODUCT(--($AN$2:$AN$4001&lt;$AN1973))+1,"")</f>
        <v/>
      </c>
      <c r="AL1973">
        <f>IF($C1973="","",IF(OR($Q1973=TRUE(),$Q1973="TRUE"),1,0))</f>
        <v/>
      </c>
      <c r="AM1973">
        <f>IF($C1973="","",IF($W1973="Yes",1,0))</f>
        <v/>
      </c>
      <c r="AN1973">
        <f>IF($AJ1973=1,IFERROR(IF(VALUE($C1973)&lt;100000000,VALUE($C1973),1000000000),IFERROR(IF(VALUE(MID($C1973,2,20))&lt;100000000,VALUE(MID($C1973,2,20)),1000000000),1000000000))+ROW()/100000,"")</f>
        <v/>
      </c>
    </row>
    <row r="1974">
      <c r="E1974" s="11" t="n"/>
      <c r="M1974" s="7">
        <f>IF($C1974="","",L1974*U1974/100)</f>
        <v/>
      </c>
      <c r="N1974" s="7" t="n"/>
      <c r="T1974" s="7" t="n"/>
      <c r="U1974" s="7">
        <f>IF($C1974="","",S1974*T1974)</f>
        <v/>
      </c>
      <c r="X1974">
        <f>IF($C1974="","",IF($AM1974=1,0,IF($AL1974=1,Settings!$C$6,Settings!$C$7))*100)</f>
        <v/>
      </c>
      <c r="AB1974" s="7" t="n"/>
      <c r="AE1974" s="11" t="n"/>
      <c r="AG1974" s="7">
        <f>IF($C1974="","",U1974*X1974/100)</f>
        <v/>
      </c>
      <c r="AH1974" s="7">
        <f>IF($C1974="","",U1974-AG1974)</f>
        <v/>
      </c>
      <c r="AI1974" s="7">
        <f>IF($C1974="","",AH1974-M1974)</f>
        <v/>
      </c>
      <c r="AJ1974">
        <f>IF($C1974="","",IF(COUNTIF($C$2:$C1974,$C1974)=1,1,0))</f>
        <v/>
      </c>
      <c r="AK1974">
        <f>IF($AJ1974=1,SUMPRODUCT(--($AN$2:$AN$4001&lt;$AN1974))+1,"")</f>
        <v/>
      </c>
      <c r="AL1974">
        <f>IF($C1974="","",IF(OR($Q1974=TRUE(),$Q1974="TRUE"),1,0))</f>
        <v/>
      </c>
      <c r="AM1974">
        <f>IF($C1974="","",IF($W1974="Yes",1,0))</f>
        <v/>
      </c>
      <c r="AN1974">
        <f>IF($AJ1974=1,IFERROR(IF(VALUE($C1974)&lt;100000000,VALUE($C1974),1000000000),IFERROR(IF(VALUE(MID($C1974,2,20))&lt;100000000,VALUE(MID($C1974,2,20)),1000000000),1000000000))+ROW()/100000,"")</f>
        <v/>
      </c>
    </row>
    <row r="1975">
      <c r="E1975" s="11" t="n"/>
      <c r="M1975" s="7">
        <f>IF($C1975="","",L1975*U1975/100)</f>
        <v/>
      </c>
      <c r="N1975" s="7" t="n"/>
      <c r="T1975" s="7" t="n"/>
      <c r="U1975" s="7">
        <f>IF($C1975="","",S1975*T1975)</f>
        <v/>
      </c>
      <c r="X1975">
        <f>IF($C1975="","",IF($AM1975=1,0,IF($AL1975=1,Settings!$C$6,Settings!$C$7))*100)</f>
        <v/>
      </c>
      <c r="AB1975" s="7" t="n"/>
      <c r="AE1975" s="11" t="n"/>
      <c r="AG1975" s="7">
        <f>IF($C1975="","",U1975*X1975/100)</f>
        <v/>
      </c>
      <c r="AH1975" s="7">
        <f>IF($C1975="","",U1975-AG1975)</f>
        <v/>
      </c>
      <c r="AI1975" s="7">
        <f>IF($C1975="","",AH1975-M1975)</f>
        <v/>
      </c>
      <c r="AJ1975">
        <f>IF($C1975="","",IF(COUNTIF($C$2:$C1975,$C1975)=1,1,0))</f>
        <v/>
      </c>
      <c r="AK1975">
        <f>IF($AJ1975=1,SUMPRODUCT(--($AN$2:$AN$4001&lt;$AN1975))+1,"")</f>
        <v/>
      </c>
      <c r="AL1975">
        <f>IF($C1975="","",IF(OR($Q1975=TRUE(),$Q1975="TRUE"),1,0))</f>
        <v/>
      </c>
      <c r="AM1975">
        <f>IF($C1975="","",IF($W1975="Yes",1,0))</f>
        <v/>
      </c>
      <c r="AN1975">
        <f>IF($AJ1975=1,IFERROR(IF(VALUE($C1975)&lt;100000000,VALUE($C1975),1000000000),IFERROR(IF(VALUE(MID($C1975,2,20))&lt;100000000,VALUE(MID($C1975,2,20)),1000000000),1000000000))+ROW()/100000,"")</f>
        <v/>
      </c>
    </row>
    <row r="1976">
      <c r="E1976" s="11" t="n"/>
      <c r="M1976" s="7">
        <f>IF($C1976="","",L1976*U1976/100)</f>
        <v/>
      </c>
      <c r="N1976" s="7" t="n"/>
      <c r="T1976" s="7" t="n"/>
      <c r="U1976" s="7">
        <f>IF($C1976="","",S1976*T1976)</f>
        <v/>
      </c>
      <c r="X1976">
        <f>IF($C1976="","",IF($AM1976=1,0,IF($AL1976=1,Settings!$C$6,Settings!$C$7))*100)</f>
        <v/>
      </c>
      <c r="AB1976" s="7" t="n"/>
      <c r="AE1976" s="11" t="n"/>
      <c r="AG1976" s="7">
        <f>IF($C1976="","",U1976*X1976/100)</f>
        <v/>
      </c>
      <c r="AH1976" s="7">
        <f>IF($C1976="","",U1976-AG1976)</f>
        <v/>
      </c>
      <c r="AI1976" s="7">
        <f>IF($C1976="","",AH1976-M1976)</f>
        <v/>
      </c>
      <c r="AJ1976">
        <f>IF($C1976="","",IF(COUNTIF($C$2:$C1976,$C1976)=1,1,0))</f>
        <v/>
      </c>
      <c r="AK1976">
        <f>IF($AJ1976=1,SUMPRODUCT(--($AN$2:$AN$4001&lt;$AN1976))+1,"")</f>
        <v/>
      </c>
      <c r="AL1976">
        <f>IF($C1976="","",IF(OR($Q1976=TRUE(),$Q1976="TRUE"),1,0))</f>
        <v/>
      </c>
      <c r="AM1976">
        <f>IF($C1976="","",IF($W1976="Yes",1,0))</f>
        <v/>
      </c>
      <c r="AN1976">
        <f>IF($AJ1976=1,IFERROR(IF(VALUE($C1976)&lt;100000000,VALUE($C1976),1000000000),IFERROR(IF(VALUE(MID($C1976,2,20))&lt;100000000,VALUE(MID($C1976,2,20)),1000000000),1000000000))+ROW()/100000,"")</f>
        <v/>
      </c>
    </row>
    <row r="1977">
      <c r="E1977" s="11" t="n"/>
      <c r="M1977" s="7">
        <f>IF($C1977="","",L1977*U1977/100)</f>
        <v/>
      </c>
      <c r="N1977" s="7" t="n"/>
      <c r="T1977" s="7" t="n"/>
      <c r="U1977" s="7">
        <f>IF($C1977="","",S1977*T1977)</f>
        <v/>
      </c>
      <c r="X1977">
        <f>IF($C1977="","",IF($AM1977=1,0,IF($AL1977=1,Settings!$C$6,Settings!$C$7))*100)</f>
        <v/>
      </c>
      <c r="AB1977" s="7" t="n"/>
      <c r="AE1977" s="11" t="n"/>
      <c r="AG1977" s="7">
        <f>IF($C1977="","",U1977*X1977/100)</f>
        <v/>
      </c>
      <c r="AH1977" s="7">
        <f>IF($C1977="","",U1977-AG1977)</f>
        <v/>
      </c>
      <c r="AI1977" s="7">
        <f>IF($C1977="","",AH1977-M1977)</f>
        <v/>
      </c>
      <c r="AJ1977">
        <f>IF($C1977="","",IF(COUNTIF($C$2:$C1977,$C1977)=1,1,0))</f>
        <v/>
      </c>
      <c r="AK1977">
        <f>IF($AJ1977=1,SUMPRODUCT(--($AN$2:$AN$4001&lt;$AN1977))+1,"")</f>
        <v/>
      </c>
      <c r="AL1977">
        <f>IF($C1977="","",IF(OR($Q1977=TRUE(),$Q1977="TRUE"),1,0))</f>
        <v/>
      </c>
      <c r="AM1977">
        <f>IF($C1977="","",IF($W1977="Yes",1,0))</f>
        <v/>
      </c>
      <c r="AN1977">
        <f>IF($AJ1977=1,IFERROR(IF(VALUE($C1977)&lt;100000000,VALUE($C1977),1000000000),IFERROR(IF(VALUE(MID($C1977,2,20))&lt;100000000,VALUE(MID($C1977,2,20)),1000000000),1000000000))+ROW()/100000,"")</f>
        <v/>
      </c>
    </row>
    <row r="1978">
      <c r="E1978" s="11" t="n"/>
      <c r="M1978" s="7">
        <f>IF($C1978="","",L1978*U1978/100)</f>
        <v/>
      </c>
      <c r="N1978" s="7" t="n"/>
      <c r="T1978" s="7" t="n"/>
      <c r="U1978" s="7">
        <f>IF($C1978="","",S1978*T1978)</f>
        <v/>
      </c>
      <c r="X1978">
        <f>IF($C1978="","",IF($AM1978=1,0,IF($AL1978=1,Settings!$C$6,Settings!$C$7))*100)</f>
        <v/>
      </c>
      <c r="AB1978" s="7" t="n"/>
      <c r="AE1978" s="11" t="n"/>
      <c r="AG1978" s="7">
        <f>IF($C1978="","",U1978*X1978/100)</f>
        <v/>
      </c>
      <c r="AH1978" s="7">
        <f>IF($C1978="","",U1978-AG1978)</f>
        <v/>
      </c>
      <c r="AI1978" s="7">
        <f>IF($C1978="","",AH1978-M1978)</f>
        <v/>
      </c>
      <c r="AJ1978">
        <f>IF($C1978="","",IF(COUNTIF($C$2:$C1978,$C1978)=1,1,0))</f>
        <v/>
      </c>
      <c r="AK1978">
        <f>IF($AJ1978=1,SUMPRODUCT(--($AN$2:$AN$4001&lt;$AN1978))+1,"")</f>
        <v/>
      </c>
      <c r="AL1978">
        <f>IF($C1978="","",IF(OR($Q1978=TRUE(),$Q1978="TRUE"),1,0))</f>
        <v/>
      </c>
      <c r="AM1978">
        <f>IF($C1978="","",IF($W1978="Yes",1,0))</f>
        <v/>
      </c>
      <c r="AN1978">
        <f>IF($AJ1978=1,IFERROR(IF(VALUE($C1978)&lt;100000000,VALUE($C1978),1000000000),IFERROR(IF(VALUE(MID($C1978,2,20))&lt;100000000,VALUE(MID($C1978,2,20)),1000000000),1000000000))+ROW()/100000,"")</f>
        <v/>
      </c>
    </row>
    <row r="1979">
      <c r="E1979" s="11" t="n"/>
      <c r="M1979" s="7">
        <f>IF($C1979="","",L1979*U1979/100)</f>
        <v/>
      </c>
      <c r="N1979" s="7" t="n"/>
      <c r="T1979" s="7" t="n"/>
      <c r="U1979" s="7">
        <f>IF($C1979="","",S1979*T1979)</f>
        <v/>
      </c>
      <c r="X1979">
        <f>IF($C1979="","",IF($AM1979=1,0,IF($AL1979=1,Settings!$C$6,Settings!$C$7))*100)</f>
        <v/>
      </c>
      <c r="AB1979" s="7" t="n"/>
      <c r="AE1979" s="11" t="n"/>
      <c r="AG1979" s="7">
        <f>IF($C1979="","",U1979*X1979/100)</f>
        <v/>
      </c>
      <c r="AH1979" s="7">
        <f>IF($C1979="","",U1979-AG1979)</f>
        <v/>
      </c>
      <c r="AI1979" s="7">
        <f>IF($C1979="","",AH1979-M1979)</f>
        <v/>
      </c>
      <c r="AJ1979">
        <f>IF($C1979="","",IF(COUNTIF($C$2:$C1979,$C1979)=1,1,0))</f>
        <v/>
      </c>
      <c r="AK1979">
        <f>IF($AJ1979=1,SUMPRODUCT(--($AN$2:$AN$4001&lt;$AN1979))+1,"")</f>
        <v/>
      </c>
      <c r="AL1979">
        <f>IF($C1979="","",IF(OR($Q1979=TRUE(),$Q1979="TRUE"),1,0))</f>
        <v/>
      </c>
      <c r="AM1979">
        <f>IF($C1979="","",IF($W1979="Yes",1,0))</f>
        <v/>
      </c>
      <c r="AN1979">
        <f>IF($AJ1979=1,IFERROR(IF(VALUE($C1979)&lt;100000000,VALUE($C1979),1000000000),IFERROR(IF(VALUE(MID($C1979,2,20))&lt;100000000,VALUE(MID($C1979,2,20)),1000000000),1000000000))+ROW()/100000,"")</f>
        <v/>
      </c>
    </row>
    <row r="1980">
      <c r="E1980" s="11" t="n"/>
      <c r="M1980" s="7">
        <f>IF($C1980="","",L1980*U1980/100)</f>
        <v/>
      </c>
      <c r="N1980" s="7" t="n"/>
      <c r="T1980" s="7" t="n"/>
      <c r="U1980" s="7">
        <f>IF($C1980="","",S1980*T1980)</f>
        <v/>
      </c>
      <c r="X1980">
        <f>IF($C1980="","",IF($AM1980=1,0,IF($AL1980=1,Settings!$C$6,Settings!$C$7))*100)</f>
        <v/>
      </c>
      <c r="AB1980" s="7" t="n"/>
      <c r="AE1980" s="11" t="n"/>
      <c r="AG1980" s="7">
        <f>IF($C1980="","",U1980*X1980/100)</f>
        <v/>
      </c>
      <c r="AH1980" s="7">
        <f>IF($C1980="","",U1980-AG1980)</f>
        <v/>
      </c>
      <c r="AI1980" s="7">
        <f>IF($C1980="","",AH1980-M1980)</f>
        <v/>
      </c>
      <c r="AJ1980">
        <f>IF($C1980="","",IF(COUNTIF($C$2:$C1980,$C1980)=1,1,0))</f>
        <v/>
      </c>
      <c r="AK1980">
        <f>IF($AJ1980=1,SUMPRODUCT(--($AN$2:$AN$4001&lt;$AN1980))+1,"")</f>
        <v/>
      </c>
      <c r="AL1980">
        <f>IF($C1980="","",IF(OR($Q1980=TRUE(),$Q1980="TRUE"),1,0))</f>
        <v/>
      </c>
      <c r="AM1980">
        <f>IF($C1980="","",IF($W1980="Yes",1,0))</f>
        <v/>
      </c>
      <c r="AN1980">
        <f>IF($AJ1980=1,IFERROR(IF(VALUE($C1980)&lt;100000000,VALUE($C1980),1000000000),IFERROR(IF(VALUE(MID($C1980,2,20))&lt;100000000,VALUE(MID($C1980,2,20)),1000000000),1000000000))+ROW()/100000,"")</f>
        <v/>
      </c>
    </row>
    <row r="1981">
      <c r="E1981" s="11" t="n"/>
      <c r="M1981" s="7">
        <f>IF($C1981="","",L1981*U1981/100)</f>
        <v/>
      </c>
      <c r="N1981" s="7" t="n"/>
      <c r="T1981" s="7" t="n"/>
      <c r="U1981" s="7">
        <f>IF($C1981="","",S1981*T1981)</f>
        <v/>
      </c>
      <c r="X1981">
        <f>IF($C1981="","",IF($AM1981=1,0,IF($AL1981=1,Settings!$C$6,Settings!$C$7))*100)</f>
        <v/>
      </c>
      <c r="AB1981" s="7" t="n"/>
      <c r="AE1981" s="11" t="n"/>
      <c r="AG1981" s="7">
        <f>IF($C1981="","",U1981*X1981/100)</f>
        <v/>
      </c>
      <c r="AH1981" s="7">
        <f>IF($C1981="","",U1981-AG1981)</f>
        <v/>
      </c>
      <c r="AI1981" s="7">
        <f>IF($C1981="","",AH1981-M1981)</f>
        <v/>
      </c>
      <c r="AJ1981">
        <f>IF($C1981="","",IF(COUNTIF($C$2:$C1981,$C1981)=1,1,0))</f>
        <v/>
      </c>
      <c r="AK1981">
        <f>IF($AJ1981=1,SUMPRODUCT(--($AN$2:$AN$4001&lt;$AN1981))+1,"")</f>
        <v/>
      </c>
      <c r="AL1981">
        <f>IF($C1981="","",IF(OR($Q1981=TRUE(),$Q1981="TRUE"),1,0))</f>
        <v/>
      </c>
      <c r="AM1981">
        <f>IF($C1981="","",IF($W1981="Yes",1,0))</f>
        <v/>
      </c>
      <c r="AN1981">
        <f>IF($AJ1981=1,IFERROR(IF(VALUE($C1981)&lt;100000000,VALUE($C1981),1000000000),IFERROR(IF(VALUE(MID($C1981,2,20))&lt;100000000,VALUE(MID($C1981,2,20)),1000000000),1000000000))+ROW()/100000,"")</f>
        <v/>
      </c>
    </row>
    <row r="1982">
      <c r="E1982" s="11" t="n"/>
      <c r="M1982" s="7">
        <f>IF($C1982="","",L1982*U1982/100)</f>
        <v/>
      </c>
      <c r="N1982" s="7" t="n"/>
      <c r="T1982" s="7" t="n"/>
      <c r="U1982" s="7">
        <f>IF($C1982="","",S1982*T1982)</f>
        <v/>
      </c>
      <c r="X1982">
        <f>IF($C1982="","",IF($AM1982=1,0,IF($AL1982=1,Settings!$C$6,Settings!$C$7))*100)</f>
        <v/>
      </c>
      <c r="AB1982" s="7" t="n"/>
      <c r="AE1982" s="11" t="n"/>
      <c r="AG1982" s="7">
        <f>IF($C1982="","",U1982*X1982/100)</f>
        <v/>
      </c>
      <c r="AH1982" s="7">
        <f>IF($C1982="","",U1982-AG1982)</f>
        <v/>
      </c>
      <c r="AI1982" s="7">
        <f>IF($C1982="","",AH1982-M1982)</f>
        <v/>
      </c>
      <c r="AJ1982">
        <f>IF($C1982="","",IF(COUNTIF($C$2:$C1982,$C1982)=1,1,0))</f>
        <v/>
      </c>
      <c r="AK1982">
        <f>IF($AJ1982=1,SUMPRODUCT(--($AN$2:$AN$4001&lt;$AN1982))+1,"")</f>
        <v/>
      </c>
      <c r="AL1982">
        <f>IF($C1982="","",IF(OR($Q1982=TRUE(),$Q1982="TRUE"),1,0))</f>
        <v/>
      </c>
      <c r="AM1982">
        <f>IF($C1982="","",IF($W1982="Yes",1,0))</f>
        <v/>
      </c>
      <c r="AN1982">
        <f>IF($AJ1982=1,IFERROR(IF(VALUE($C1982)&lt;100000000,VALUE($C1982),1000000000),IFERROR(IF(VALUE(MID($C1982,2,20))&lt;100000000,VALUE(MID($C1982,2,20)),1000000000),1000000000))+ROW()/100000,"")</f>
        <v/>
      </c>
    </row>
    <row r="1983">
      <c r="E1983" s="11" t="n"/>
      <c r="M1983" s="7">
        <f>IF($C1983="","",L1983*U1983/100)</f>
        <v/>
      </c>
      <c r="N1983" s="7" t="n"/>
      <c r="T1983" s="7" t="n"/>
      <c r="U1983" s="7">
        <f>IF($C1983="","",S1983*T1983)</f>
        <v/>
      </c>
      <c r="X1983">
        <f>IF($C1983="","",IF($AM1983=1,0,IF($AL1983=1,Settings!$C$6,Settings!$C$7))*100)</f>
        <v/>
      </c>
      <c r="AB1983" s="7" t="n"/>
      <c r="AE1983" s="11" t="n"/>
      <c r="AG1983" s="7">
        <f>IF($C1983="","",U1983*X1983/100)</f>
        <v/>
      </c>
      <c r="AH1983" s="7">
        <f>IF($C1983="","",U1983-AG1983)</f>
        <v/>
      </c>
      <c r="AI1983" s="7">
        <f>IF($C1983="","",AH1983-M1983)</f>
        <v/>
      </c>
      <c r="AJ1983">
        <f>IF($C1983="","",IF(COUNTIF($C$2:$C1983,$C1983)=1,1,0))</f>
        <v/>
      </c>
      <c r="AK1983">
        <f>IF($AJ1983=1,SUMPRODUCT(--($AN$2:$AN$4001&lt;$AN1983))+1,"")</f>
        <v/>
      </c>
      <c r="AL1983">
        <f>IF($C1983="","",IF(OR($Q1983=TRUE(),$Q1983="TRUE"),1,0))</f>
        <v/>
      </c>
      <c r="AM1983">
        <f>IF($C1983="","",IF($W1983="Yes",1,0))</f>
        <v/>
      </c>
      <c r="AN1983">
        <f>IF($AJ1983=1,IFERROR(IF(VALUE($C1983)&lt;100000000,VALUE($C1983),1000000000),IFERROR(IF(VALUE(MID($C1983,2,20))&lt;100000000,VALUE(MID($C1983,2,20)),1000000000),1000000000))+ROW()/100000,"")</f>
        <v/>
      </c>
    </row>
    <row r="1984">
      <c r="E1984" s="11" t="n"/>
      <c r="M1984" s="7">
        <f>IF($C1984="","",L1984*U1984/100)</f>
        <v/>
      </c>
      <c r="N1984" s="7" t="n"/>
      <c r="T1984" s="7" t="n"/>
      <c r="U1984" s="7">
        <f>IF($C1984="","",S1984*T1984)</f>
        <v/>
      </c>
      <c r="X1984">
        <f>IF($C1984="","",IF($AM1984=1,0,IF($AL1984=1,Settings!$C$6,Settings!$C$7))*100)</f>
        <v/>
      </c>
      <c r="AB1984" s="7" t="n"/>
      <c r="AE1984" s="11" t="n"/>
      <c r="AG1984" s="7">
        <f>IF($C1984="","",U1984*X1984/100)</f>
        <v/>
      </c>
      <c r="AH1984" s="7">
        <f>IF($C1984="","",U1984-AG1984)</f>
        <v/>
      </c>
      <c r="AI1984" s="7">
        <f>IF($C1984="","",AH1984-M1984)</f>
        <v/>
      </c>
      <c r="AJ1984">
        <f>IF($C1984="","",IF(COUNTIF($C$2:$C1984,$C1984)=1,1,0))</f>
        <v/>
      </c>
      <c r="AK1984">
        <f>IF($AJ1984=1,SUMPRODUCT(--($AN$2:$AN$4001&lt;$AN1984))+1,"")</f>
        <v/>
      </c>
      <c r="AL1984">
        <f>IF($C1984="","",IF(OR($Q1984=TRUE(),$Q1984="TRUE"),1,0))</f>
        <v/>
      </c>
      <c r="AM1984">
        <f>IF($C1984="","",IF($W1984="Yes",1,0))</f>
        <v/>
      </c>
      <c r="AN1984">
        <f>IF($AJ1984=1,IFERROR(IF(VALUE($C1984)&lt;100000000,VALUE($C1984),1000000000),IFERROR(IF(VALUE(MID($C1984,2,20))&lt;100000000,VALUE(MID($C1984,2,20)),1000000000),1000000000))+ROW()/100000,"")</f>
        <v/>
      </c>
    </row>
    <row r="1985">
      <c r="E1985" s="11" t="n"/>
      <c r="M1985" s="7">
        <f>IF($C1985="","",L1985*U1985/100)</f>
        <v/>
      </c>
      <c r="N1985" s="7" t="n"/>
      <c r="T1985" s="7" t="n"/>
      <c r="U1985" s="7">
        <f>IF($C1985="","",S1985*T1985)</f>
        <v/>
      </c>
      <c r="X1985">
        <f>IF($C1985="","",IF($AM1985=1,0,IF($AL1985=1,Settings!$C$6,Settings!$C$7))*100)</f>
        <v/>
      </c>
      <c r="AB1985" s="7" t="n"/>
      <c r="AE1985" s="11" t="n"/>
      <c r="AG1985" s="7">
        <f>IF($C1985="","",U1985*X1985/100)</f>
        <v/>
      </c>
      <c r="AH1985" s="7">
        <f>IF($C1985="","",U1985-AG1985)</f>
        <v/>
      </c>
      <c r="AI1985" s="7">
        <f>IF($C1985="","",AH1985-M1985)</f>
        <v/>
      </c>
      <c r="AJ1985">
        <f>IF($C1985="","",IF(COUNTIF($C$2:$C1985,$C1985)=1,1,0))</f>
        <v/>
      </c>
      <c r="AK1985">
        <f>IF($AJ1985=1,SUMPRODUCT(--($AN$2:$AN$4001&lt;$AN1985))+1,"")</f>
        <v/>
      </c>
      <c r="AL1985">
        <f>IF($C1985="","",IF(OR($Q1985=TRUE(),$Q1985="TRUE"),1,0))</f>
        <v/>
      </c>
      <c r="AM1985">
        <f>IF($C1985="","",IF($W1985="Yes",1,0))</f>
        <v/>
      </c>
      <c r="AN1985">
        <f>IF($AJ1985=1,IFERROR(IF(VALUE($C1985)&lt;100000000,VALUE($C1985),1000000000),IFERROR(IF(VALUE(MID($C1985,2,20))&lt;100000000,VALUE(MID($C1985,2,20)),1000000000),1000000000))+ROW()/100000,"")</f>
        <v/>
      </c>
    </row>
    <row r="1986">
      <c r="E1986" s="11" t="n"/>
      <c r="M1986" s="7">
        <f>IF($C1986="","",L1986*U1986/100)</f>
        <v/>
      </c>
      <c r="N1986" s="7" t="n"/>
      <c r="T1986" s="7" t="n"/>
      <c r="U1986" s="7">
        <f>IF($C1986="","",S1986*T1986)</f>
        <v/>
      </c>
      <c r="X1986">
        <f>IF($C1986="","",IF($AM1986=1,0,IF($AL1986=1,Settings!$C$6,Settings!$C$7))*100)</f>
        <v/>
      </c>
      <c r="AB1986" s="7" t="n"/>
      <c r="AE1986" s="11" t="n"/>
      <c r="AG1986" s="7">
        <f>IF($C1986="","",U1986*X1986/100)</f>
        <v/>
      </c>
      <c r="AH1986" s="7">
        <f>IF($C1986="","",U1986-AG1986)</f>
        <v/>
      </c>
      <c r="AI1986" s="7">
        <f>IF($C1986="","",AH1986-M1986)</f>
        <v/>
      </c>
      <c r="AJ1986">
        <f>IF($C1986="","",IF(COUNTIF($C$2:$C1986,$C1986)=1,1,0))</f>
        <v/>
      </c>
      <c r="AK1986">
        <f>IF($AJ1986=1,SUMPRODUCT(--($AN$2:$AN$4001&lt;$AN1986))+1,"")</f>
        <v/>
      </c>
      <c r="AL1986">
        <f>IF($C1986="","",IF(OR($Q1986=TRUE(),$Q1986="TRUE"),1,0))</f>
        <v/>
      </c>
      <c r="AM1986">
        <f>IF($C1986="","",IF($W1986="Yes",1,0))</f>
        <v/>
      </c>
      <c r="AN1986">
        <f>IF($AJ1986=1,IFERROR(IF(VALUE($C1986)&lt;100000000,VALUE($C1986),1000000000),IFERROR(IF(VALUE(MID($C1986,2,20))&lt;100000000,VALUE(MID($C1986,2,20)),1000000000),1000000000))+ROW()/100000,"")</f>
        <v/>
      </c>
    </row>
    <row r="1987">
      <c r="E1987" s="11" t="n"/>
      <c r="M1987" s="7">
        <f>IF($C1987="","",L1987*U1987/100)</f>
        <v/>
      </c>
      <c r="N1987" s="7" t="n"/>
      <c r="T1987" s="7" t="n"/>
      <c r="U1987" s="7">
        <f>IF($C1987="","",S1987*T1987)</f>
        <v/>
      </c>
      <c r="X1987">
        <f>IF($C1987="","",IF($AM1987=1,0,IF($AL1987=1,Settings!$C$6,Settings!$C$7))*100)</f>
        <v/>
      </c>
      <c r="AB1987" s="7" t="n"/>
      <c r="AE1987" s="11" t="n"/>
      <c r="AG1987" s="7">
        <f>IF($C1987="","",U1987*X1987/100)</f>
        <v/>
      </c>
      <c r="AH1987" s="7">
        <f>IF($C1987="","",U1987-AG1987)</f>
        <v/>
      </c>
      <c r="AI1987" s="7">
        <f>IF($C1987="","",AH1987-M1987)</f>
        <v/>
      </c>
      <c r="AJ1987">
        <f>IF($C1987="","",IF(COUNTIF($C$2:$C1987,$C1987)=1,1,0))</f>
        <v/>
      </c>
      <c r="AK1987">
        <f>IF($AJ1987=1,SUMPRODUCT(--($AN$2:$AN$4001&lt;$AN1987))+1,"")</f>
        <v/>
      </c>
      <c r="AL1987">
        <f>IF($C1987="","",IF(OR($Q1987=TRUE(),$Q1987="TRUE"),1,0))</f>
        <v/>
      </c>
      <c r="AM1987">
        <f>IF($C1987="","",IF($W1987="Yes",1,0))</f>
        <v/>
      </c>
      <c r="AN1987">
        <f>IF($AJ1987=1,IFERROR(IF(VALUE($C1987)&lt;100000000,VALUE($C1987),1000000000),IFERROR(IF(VALUE(MID($C1987,2,20))&lt;100000000,VALUE(MID($C1987,2,20)),1000000000),1000000000))+ROW()/100000,"")</f>
        <v/>
      </c>
    </row>
    <row r="1988">
      <c r="E1988" s="11" t="n"/>
      <c r="M1988" s="7">
        <f>IF($C1988="","",L1988*U1988/100)</f>
        <v/>
      </c>
      <c r="N1988" s="7" t="n"/>
      <c r="T1988" s="7" t="n"/>
      <c r="U1988" s="7">
        <f>IF($C1988="","",S1988*T1988)</f>
        <v/>
      </c>
      <c r="X1988">
        <f>IF($C1988="","",IF($AM1988=1,0,IF($AL1988=1,Settings!$C$6,Settings!$C$7))*100)</f>
        <v/>
      </c>
      <c r="AB1988" s="7" t="n"/>
      <c r="AE1988" s="11" t="n"/>
      <c r="AG1988" s="7">
        <f>IF($C1988="","",U1988*X1988/100)</f>
        <v/>
      </c>
      <c r="AH1988" s="7">
        <f>IF($C1988="","",U1988-AG1988)</f>
        <v/>
      </c>
      <c r="AI1988" s="7">
        <f>IF($C1988="","",AH1988-M1988)</f>
        <v/>
      </c>
      <c r="AJ1988">
        <f>IF($C1988="","",IF(COUNTIF($C$2:$C1988,$C1988)=1,1,0))</f>
        <v/>
      </c>
      <c r="AK1988">
        <f>IF($AJ1988=1,SUMPRODUCT(--($AN$2:$AN$4001&lt;$AN1988))+1,"")</f>
        <v/>
      </c>
      <c r="AL1988">
        <f>IF($C1988="","",IF(OR($Q1988=TRUE(),$Q1988="TRUE"),1,0))</f>
        <v/>
      </c>
      <c r="AM1988">
        <f>IF($C1988="","",IF($W1988="Yes",1,0))</f>
        <v/>
      </c>
      <c r="AN1988">
        <f>IF($AJ1988=1,IFERROR(IF(VALUE($C1988)&lt;100000000,VALUE($C1988),1000000000),IFERROR(IF(VALUE(MID($C1988,2,20))&lt;100000000,VALUE(MID($C1988,2,20)),1000000000),1000000000))+ROW()/100000,"")</f>
        <v/>
      </c>
    </row>
    <row r="1989">
      <c r="E1989" s="11" t="n"/>
      <c r="M1989" s="7">
        <f>IF($C1989="","",L1989*U1989/100)</f>
        <v/>
      </c>
      <c r="N1989" s="7" t="n"/>
      <c r="T1989" s="7" t="n"/>
      <c r="U1989" s="7">
        <f>IF($C1989="","",S1989*T1989)</f>
        <v/>
      </c>
      <c r="X1989">
        <f>IF($C1989="","",IF($AM1989=1,0,IF($AL1989=1,Settings!$C$6,Settings!$C$7))*100)</f>
        <v/>
      </c>
      <c r="AB1989" s="7" t="n"/>
      <c r="AE1989" s="11" t="n"/>
      <c r="AG1989" s="7">
        <f>IF($C1989="","",U1989*X1989/100)</f>
        <v/>
      </c>
      <c r="AH1989" s="7">
        <f>IF($C1989="","",U1989-AG1989)</f>
        <v/>
      </c>
      <c r="AI1989" s="7">
        <f>IF($C1989="","",AH1989-M1989)</f>
        <v/>
      </c>
      <c r="AJ1989">
        <f>IF($C1989="","",IF(COUNTIF($C$2:$C1989,$C1989)=1,1,0))</f>
        <v/>
      </c>
      <c r="AK1989">
        <f>IF($AJ1989=1,SUMPRODUCT(--($AN$2:$AN$4001&lt;$AN1989))+1,"")</f>
        <v/>
      </c>
      <c r="AL1989">
        <f>IF($C1989="","",IF(OR($Q1989=TRUE(),$Q1989="TRUE"),1,0))</f>
        <v/>
      </c>
      <c r="AM1989">
        <f>IF($C1989="","",IF($W1989="Yes",1,0))</f>
        <v/>
      </c>
      <c r="AN1989">
        <f>IF($AJ1989=1,IFERROR(IF(VALUE($C1989)&lt;100000000,VALUE($C1989),1000000000),IFERROR(IF(VALUE(MID($C1989,2,20))&lt;100000000,VALUE(MID($C1989,2,20)),1000000000),1000000000))+ROW()/100000,"")</f>
        <v/>
      </c>
    </row>
    <row r="1990">
      <c r="E1990" s="11" t="n"/>
      <c r="M1990" s="7">
        <f>IF($C1990="","",L1990*U1990/100)</f>
        <v/>
      </c>
      <c r="N1990" s="7" t="n"/>
      <c r="T1990" s="7" t="n"/>
      <c r="U1990" s="7">
        <f>IF($C1990="","",S1990*T1990)</f>
        <v/>
      </c>
      <c r="X1990">
        <f>IF($C1990="","",IF($AM1990=1,0,IF($AL1990=1,Settings!$C$6,Settings!$C$7))*100)</f>
        <v/>
      </c>
      <c r="AB1990" s="7" t="n"/>
      <c r="AE1990" s="11" t="n"/>
      <c r="AG1990" s="7">
        <f>IF($C1990="","",U1990*X1990/100)</f>
        <v/>
      </c>
      <c r="AH1990" s="7">
        <f>IF($C1990="","",U1990-AG1990)</f>
        <v/>
      </c>
      <c r="AI1990" s="7">
        <f>IF($C1990="","",AH1990-M1990)</f>
        <v/>
      </c>
      <c r="AJ1990">
        <f>IF($C1990="","",IF(COUNTIF($C$2:$C1990,$C1990)=1,1,0))</f>
        <v/>
      </c>
      <c r="AK1990">
        <f>IF($AJ1990=1,SUMPRODUCT(--($AN$2:$AN$4001&lt;$AN1990))+1,"")</f>
        <v/>
      </c>
      <c r="AL1990">
        <f>IF($C1990="","",IF(OR($Q1990=TRUE(),$Q1990="TRUE"),1,0))</f>
        <v/>
      </c>
      <c r="AM1990">
        <f>IF($C1990="","",IF($W1990="Yes",1,0))</f>
        <v/>
      </c>
      <c r="AN1990">
        <f>IF($AJ1990=1,IFERROR(IF(VALUE($C1990)&lt;100000000,VALUE($C1990),1000000000),IFERROR(IF(VALUE(MID($C1990,2,20))&lt;100000000,VALUE(MID($C1990,2,20)),1000000000),1000000000))+ROW()/100000,"")</f>
        <v/>
      </c>
    </row>
    <row r="1991">
      <c r="E1991" s="11" t="n"/>
      <c r="M1991" s="7">
        <f>IF($C1991="","",L1991*U1991/100)</f>
        <v/>
      </c>
      <c r="N1991" s="7" t="n"/>
      <c r="T1991" s="7" t="n"/>
      <c r="U1991" s="7">
        <f>IF($C1991="","",S1991*T1991)</f>
        <v/>
      </c>
      <c r="X1991">
        <f>IF($C1991="","",IF($AM1991=1,0,IF($AL1991=1,Settings!$C$6,Settings!$C$7))*100)</f>
        <v/>
      </c>
      <c r="AB1991" s="7" t="n"/>
      <c r="AE1991" s="11" t="n"/>
      <c r="AG1991" s="7">
        <f>IF($C1991="","",U1991*X1991/100)</f>
        <v/>
      </c>
      <c r="AH1991" s="7">
        <f>IF($C1991="","",U1991-AG1991)</f>
        <v/>
      </c>
      <c r="AI1991" s="7">
        <f>IF($C1991="","",AH1991-M1991)</f>
        <v/>
      </c>
      <c r="AJ1991">
        <f>IF($C1991="","",IF(COUNTIF($C$2:$C1991,$C1991)=1,1,0))</f>
        <v/>
      </c>
      <c r="AK1991">
        <f>IF($AJ1991=1,SUMPRODUCT(--($AN$2:$AN$4001&lt;$AN1991))+1,"")</f>
        <v/>
      </c>
      <c r="AL1991">
        <f>IF($C1991="","",IF(OR($Q1991=TRUE(),$Q1991="TRUE"),1,0))</f>
        <v/>
      </c>
      <c r="AM1991">
        <f>IF($C1991="","",IF($W1991="Yes",1,0))</f>
        <v/>
      </c>
      <c r="AN1991">
        <f>IF($AJ1991=1,IFERROR(IF(VALUE($C1991)&lt;100000000,VALUE($C1991),1000000000),IFERROR(IF(VALUE(MID($C1991,2,20))&lt;100000000,VALUE(MID($C1991,2,20)),1000000000),1000000000))+ROW()/100000,"")</f>
        <v/>
      </c>
    </row>
    <row r="1992">
      <c r="E1992" s="11" t="n"/>
      <c r="M1992" s="7">
        <f>IF($C1992="","",L1992*U1992/100)</f>
        <v/>
      </c>
      <c r="N1992" s="7" t="n"/>
      <c r="T1992" s="7" t="n"/>
      <c r="U1992" s="7">
        <f>IF($C1992="","",S1992*T1992)</f>
        <v/>
      </c>
      <c r="X1992">
        <f>IF($C1992="","",IF($AM1992=1,0,IF($AL1992=1,Settings!$C$6,Settings!$C$7))*100)</f>
        <v/>
      </c>
      <c r="AB1992" s="7" t="n"/>
      <c r="AE1992" s="11" t="n"/>
      <c r="AG1992" s="7">
        <f>IF($C1992="","",U1992*X1992/100)</f>
        <v/>
      </c>
      <c r="AH1992" s="7">
        <f>IF($C1992="","",U1992-AG1992)</f>
        <v/>
      </c>
      <c r="AI1992" s="7">
        <f>IF($C1992="","",AH1992-M1992)</f>
        <v/>
      </c>
      <c r="AJ1992">
        <f>IF($C1992="","",IF(COUNTIF($C$2:$C1992,$C1992)=1,1,0))</f>
        <v/>
      </c>
      <c r="AK1992">
        <f>IF($AJ1992=1,SUMPRODUCT(--($AN$2:$AN$4001&lt;$AN1992))+1,"")</f>
        <v/>
      </c>
      <c r="AL1992">
        <f>IF($C1992="","",IF(OR($Q1992=TRUE(),$Q1992="TRUE"),1,0))</f>
        <v/>
      </c>
      <c r="AM1992">
        <f>IF($C1992="","",IF($W1992="Yes",1,0))</f>
        <v/>
      </c>
      <c r="AN1992">
        <f>IF($AJ1992=1,IFERROR(IF(VALUE($C1992)&lt;100000000,VALUE($C1992),1000000000),IFERROR(IF(VALUE(MID($C1992,2,20))&lt;100000000,VALUE(MID($C1992,2,20)),1000000000),1000000000))+ROW()/100000,"")</f>
        <v/>
      </c>
    </row>
    <row r="1993">
      <c r="E1993" s="11" t="n"/>
      <c r="M1993" s="7">
        <f>IF($C1993="","",L1993*U1993/100)</f>
        <v/>
      </c>
      <c r="N1993" s="7" t="n"/>
      <c r="T1993" s="7" t="n"/>
      <c r="U1993" s="7">
        <f>IF($C1993="","",S1993*T1993)</f>
        <v/>
      </c>
      <c r="X1993">
        <f>IF($C1993="","",IF($AM1993=1,0,IF($AL1993=1,Settings!$C$6,Settings!$C$7))*100)</f>
        <v/>
      </c>
      <c r="AB1993" s="7" t="n"/>
      <c r="AE1993" s="11" t="n"/>
      <c r="AG1993" s="7">
        <f>IF($C1993="","",U1993*X1993/100)</f>
        <v/>
      </c>
      <c r="AH1993" s="7">
        <f>IF($C1993="","",U1993-AG1993)</f>
        <v/>
      </c>
      <c r="AI1993" s="7">
        <f>IF($C1993="","",AH1993-M1993)</f>
        <v/>
      </c>
      <c r="AJ1993">
        <f>IF($C1993="","",IF(COUNTIF($C$2:$C1993,$C1993)=1,1,0))</f>
        <v/>
      </c>
      <c r="AK1993">
        <f>IF($AJ1993=1,SUMPRODUCT(--($AN$2:$AN$4001&lt;$AN1993))+1,"")</f>
        <v/>
      </c>
      <c r="AL1993">
        <f>IF($C1993="","",IF(OR($Q1993=TRUE(),$Q1993="TRUE"),1,0))</f>
        <v/>
      </c>
      <c r="AM1993">
        <f>IF($C1993="","",IF($W1993="Yes",1,0))</f>
        <v/>
      </c>
      <c r="AN1993">
        <f>IF($AJ1993=1,IFERROR(IF(VALUE($C1993)&lt;100000000,VALUE($C1993),1000000000),IFERROR(IF(VALUE(MID($C1993,2,20))&lt;100000000,VALUE(MID($C1993,2,20)),1000000000),1000000000))+ROW()/100000,"")</f>
        <v/>
      </c>
    </row>
    <row r="1994">
      <c r="E1994" s="11" t="n"/>
      <c r="M1994" s="7">
        <f>IF($C1994="","",L1994*U1994/100)</f>
        <v/>
      </c>
      <c r="N1994" s="7" t="n"/>
      <c r="T1994" s="7" t="n"/>
      <c r="U1994" s="7">
        <f>IF($C1994="","",S1994*T1994)</f>
        <v/>
      </c>
      <c r="X1994">
        <f>IF($C1994="","",IF($AM1994=1,0,IF($AL1994=1,Settings!$C$6,Settings!$C$7))*100)</f>
        <v/>
      </c>
      <c r="AB1994" s="7" t="n"/>
      <c r="AE1994" s="11" t="n"/>
      <c r="AG1994" s="7">
        <f>IF($C1994="","",U1994*X1994/100)</f>
        <v/>
      </c>
      <c r="AH1994" s="7">
        <f>IF($C1994="","",U1994-AG1994)</f>
        <v/>
      </c>
      <c r="AI1994" s="7">
        <f>IF($C1994="","",AH1994-M1994)</f>
        <v/>
      </c>
      <c r="AJ1994">
        <f>IF($C1994="","",IF(COUNTIF($C$2:$C1994,$C1994)=1,1,0))</f>
        <v/>
      </c>
      <c r="AK1994">
        <f>IF($AJ1994=1,SUMPRODUCT(--($AN$2:$AN$4001&lt;$AN1994))+1,"")</f>
        <v/>
      </c>
      <c r="AL1994">
        <f>IF($C1994="","",IF(OR($Q1994=TRUE(),$Q1994="TRUE"),1,0))</f>
        <v/>
      </c>
      <c r="AM1994">
        <f>IF($C1994="","",IF($W1994="Yes",1,0))</f>
        <v/>
      </c>
      <c r="AN1994">
        <f>IF($AJ1994=1,IFERROR(IF(VALUE($C1994)&lt;100000000,VALUE($C1994),1000000000),IFERROR(IF(VALUE(MID($C1994,2,20))&lt;100000000,VALUE(MID($C1994,2,20)),1000000000),1000000000))+ROW()/100000,"")</f>
        <v/>
      </c>
    </row>
    <row r="1995">
      <c r="E1995" s="11" t="n"/>
      <c r="M1995" s="7">
        <f>IF($C1995="","",L1995*U1995/100)</f>
        <v/>
      </c>
      <c r="N1995" s="7" t="n"/>
      <c r="T1995" s="7" t="n"/>
      <c r="U1995" s="7">
        <f>IF($C1995="","",S1995*T1995)</f>
        <v/>
      </c>
      <c r="X1995">
        <f>IF($C1995="","",IF($AM1995=1,0,IF($AL1995=1,Settings!$C$6,Settings!$C$7))*100)</f>
        <v/>
      </c>
      <c r="AB1995" s="7" t="n"/>
      <c r="AE1995" s="11" t="n"/>
      <c r="AG1995" s="7">
        <f>IF($C1995="","",U1995*X1995/100)</f>
        <v/>
      </c>
      <c r="AH1995" s="7">
        <f>IF($C1995="","",U1995-AG1995)</f>
        <v/>
      </c>
      <c r="AI1995" s="7">
        <f>IF($C1995="","",AH1995-M1995)</f>
        <v/>
      </c>
      <c r="AJ1995">
        <f>IF($C1995="","",IF(COUNTIF($C$2:$C1995,$C1995)=1,1,0))</f>
        <v/>
      </c>
      <c r="AK1995">
        <f>IF($AJ1995=1,SUMPRODUCT(--($AN$2:$AN$4001&lt;$AN1995))+1,"")</f>
        <v/>
      </c>
      <c r="AL1995">
        <f>IF($C1995="","",IF(OR($Q1995=TRUE(),$Q1995="TRUE"),1,0))</f>
        <v/>
      </c>
      <c r="AM1995">
        <f>IF($C1995="","",IF($W1995="Yes",1,0))</f>
        <v/>
      </c>
      <c r="AN1995">
        <f>IF($AJ1995=1,IFERROR(IF(VALUE($C1995)&lt;100000000,VALUE($C1995),1000000000),IFERROR(IF(VALUE(MID($C1995,2,20))&lt;100000000,VALUE(MID($C1995,2,20)),1000000000),1000000000))+ROW()/100000,"")</f>
        <v/>
      </c>
    </row>
    <row r="1996">
      <c r="E1996" s="11" t="n"/>
      <c r="M1996" s="7">
        <f>IF($C1996="","",L1996*U1996/100)</f>
        <v/>
      </c>
      <c r="N1996" s="7" t="n"/>
      <c r="T1996" s="7" t="n"/>
      <c r="U1996" s="7">
        <f>IF($C1996="","",S1996*T1996)</f>
        <v/>
      </c>
      <c r="X1996">
        <f>IF($C1996="","",IF($AM1996=1,0,IF($AL1996=1,Settings!$C$6,Settings!$C$7))*100)</f>
        <v/>
      </c>
      <c r="AB1996" s="7" t="n"/>
      <c r="AE1996" s="11" t="n"/>
      <c r="AG1996" s="7">
        <f>IF($C1996="","",U1996*X1996/100)</f>
        <v/>
      </c>
      <c r="AH1996" s="7">
        <f>IF($C1996="","",U1996-AG1996)</f>
        <v/>
      </c>
      <c r="AI1996" s="7">
        <f>IF($C1996="","",AH1996-M1996)</f>
        <v/>
      </c>
      <c r="AJ1996">
        <f>IF($C1996="","",IF(COUNTIF($C$2:$C1996,$C1996)=1,1,0))</f>
        <v/>
      </c>
      <c r="AK1996">
        <f>IF($AJ1996=1,SUMPRODUCT(--($AN$2:$AN$4001&lt;$AN1996))+1,"")</f>
        <v/>
      </c>
      <c r="AL1996">
        <f>IF($C1996="","",IF(OR($Q1996=TRUE(),$Q1996="TRUE"),1,0))</f>
        <v/>
      </c>
      <c r="AM1996">
        <f>IF($C1996="","",IF($W1996="Yes",1,0))</f>
        <v/>
      </c>
      <c r="AN1996">
        <f>IF($AJ1996=1,IFERROR(IF(VALUE($C1996)&lt;100000000,VALUE($C1996),1000000000),IFERROR(IF(VALUE(MID($C1996,2,20))&lt;100000000,VALUE(MID($C1996,2,20)),1000000000),1000000000))+ROW()/100000,"")</f>
        <v/>
      </c>
    </row>
    <row r="1997">
      <c r="E1997" s="11" t="n"/>
      <c r="M1997" s="7">
        <f>IF($C1997="","",L1997*U1997/100)</f>
        <v/>
      </c>
      <c r="N1997" s="7" t="n"/>
      <c r="T1997" s="7" t="n"/>
      <c r="U1997" s="7">
        <f>IF($C1997="","",S1997*T1997)</f>
        <v/>
      </c>
      <c r="X1997">
        <f>IF($C1997="","",IF($AM1997=1,0,IF($AL1997=1,Settings!$C$6,Settings!$C$7))*100)</f>
        <v/>
      </c>
      <c r="AB1997" s="7" t="n"/>
      <c r="AE1997" s="11" t="n"/>
      <c r="AG1997" s="7">
        <f>IF($C1997="","",U1997*X1997/100)</f>
        <v/>
      </c>
      <c r="AH1997" s="7">
        <f>IF($C1997="","",U1997-AG1997)</f>
        <v/>
      </c>
      <c r="AI1997" s="7">
        <f>IF($C1997="","",AH1997-M1997)</f>
        <v/>
      </c>
      <c r="AJ1997">
        <f>IF($C1997="","",IF(COUNTIF($C$2:$C1997,$C1997)=1,1,0))</f>
        <v/>
      </c>
      <c r="AK1997">
        <f>IF($AJ1997=1,SUMPRODUCT(--($AN$2:$AN$4001&lt;$AN1997))+1,"")</f>
        <v/>
      </c>
      <c r="AL1997">
        <f>IF($C1997="","",IF(OR($Q1997=TRUE(),$Q1997="TRUE"),1,0))</f>
        <v/>
      </c>
      <c r="AM1997">
        <f>IF($C1997="","",IF($W1997="Yes",1,0))</f>
        <v/>
      </c>
      <c r="AN1997">
        <f>IF($AJ1997=1,IFERROR(IF(VALUE($C1997)&lt;100000000,VALUE($C1997),1000000000),IFERROR(IF(VALUE(MID($C1997,2,20))&lt;100000000,VALUE(MID($C1997,2,20)),1000000000),1000000000))+ROW()/100000,"")</f>
        <v/>
      </c>
    </row>
    <row r="1998">
      <c r="E1998" s="11" t="n"/>
      <c r="M1998" s="7">
        <f>IF($C1998="","",L1998*U1998/100)</f>
        <v/>
      </c>
      <c r="N1998" s="7" t="n"/>
      <c r="T1998" s="7" t="n"/>
      <c r="U1998" s="7">
        <f>IF($C1998="","",S1998*T1998)</f>
        <v/>
      </c>
      <c r="X1998">
        <f>IF($C1998="","",IF($AM1998=1,0,IF($AL1998=1,Settings!$C$6,Settings!$C$7))*100)</f>
        <v/>
      </c>
      <c r="AB1998" s="7" t="n"/>
      <c r="AE1998" s="11" t="n"/>
      <c r="AG1998" s="7">
        <f>IF($C1998="","",U1998*X1998/100)</f>
        <v/>
      </c>
      <c r="AH1998" s="7">
        <f>IF($C1998="","",U1998-AG1998)</f>
        <v/>
      </c>
      <c r="AI1998" s="7">
        <f>IF($C1998="","",AH1998-M1998)</f>
        <v/>
      </c>
      <c r="AJ1998">
        <f>IF($C1998="","",IF(COUNTIF($C$2:$C1998,$C1998)=1,1,0))</f>
        <v/>
      </c>
      <c r="AK1998">
        <f>IF($AJ1998=1,SUMPRODUCT(--($AN$2:$AN$4001&lt;$AN1998))+1,"")</f>
        <v/>
      </c>
      <c r="AL1998">
        <f>IF($C1998="","",IF(OR($Q1998=TRUE(),$Q1998="TRUE"),1,0))</f>
        <v/>
      </c>
      <c r="AM1998">
        <f>IF($C1998="","",IF($W1998="Yes",1,0))</f>
        <v/>
      </c>
      <c r="AN1998">
        <f>IF($AJ1998=1,IFERROR(IF(VALUE($C1998)&lt;100000000,VALUE($C1998),1000000000),IFERROR(IF(VALUE(MID($C1998,2,20))&lt;100000000,VALUE(MID($C1998,2,20)),1000000000),1000000000))+ROW()/100000,"")</f>
        <v/>
      </c>
    </row>
    <row r="1999">
      <c r="E1999" s="11" t="n"/>
      <c r="M1999" s="7">
        <f>IF($C1999="","",L1999*U1999/100)</f>
        <v/>
      </c>
      <c r="N1999" s="7" t="n"/>
      <c r="T1999" s="7" t="n"/>
      <c r="U1999" s="7">
        <f>IF($C1999="","",S1999*T1999)</f>
        <v/>
      </c>
      <c r="X1999">
        <f>IF($C1999="","",IF($AM1999=1,0,IF($AL1999=1,Settings!$C$6,Settings!$C$7))*100)</f>
        <v/>
      </c>
      <c r="AB1999" s="7" t="n"/>
      <c r="AE1999" s="11" t="n"/>
      <c r="AG1999" s="7">
        <f>IF($C1999="","",U1999*X1999/100)</f>
        <v/>
      </c>
      <c r="AH1999" s="7">
        <f>IF($C1999="","",U1999-AG1999)</f>
        <v/>
      </c>
      <c r="AI1999" s="7">
        <f>IF($C1999="","",AH1999-M1999)</f>
        <v/>
      </c>
      <c r="AJ1999">
        <f>IF($C1999="","",IF(COUNTIF($C$2:$C1999,$C1999)=1,1,0))</f>
        <v/>
      </c>
      <c r="AK1999">
        <f>IF($AJ1999=1,SUMPRODUCT(--($AN$2:$AN$4001&lt;$AN1999))+1,"")</f>
        <v/>
      </c>
      <c r="AL1999">
        <f>IF($C1999="","",IF(OR($Q1999=TRUE(),$Q1999="TRUE"),1,0))</f>
        <v/>
      </c>
      <c r="AM1999">
        <f>IF($C1999="","",IF($W1999="Yes",1,0))</f>
        <v/>
      </c>
      <c r="AN1999">
        <f>IF($AJ1999=1,IFERROR(IF(VALUE($C1999)&lt;100000000,VALUE($C1999),1000000000),IFERROR(IF(VALUE(MID($C1999,2,20))&lt;100000000,VALUE(MID($C1999,2,20)),1000000000),1000000000))+ROW()/100000,"")</f>
        <v/>
      </c>
    </row>
    <row r="2000">
      <c r="E2000" s="11" t="n"/>
      <c r="M2000" s="7">
        <f>IF($C2000="","",L2000*U2000/100)</f>
        <v/>
      </c>
      <c r="N2000" s="7" t="n"/>
      <c r="T2000" s="7" t="n"/>
      <c r="U2000" s="7">
        <f>IF($C2000="","",S2000*T2000)</f>
        <v/>
      </c>
      <c r="X2000">
        <f>IF($C2000="","",IF($AM2000=1,0,IF($AL2000=1,Settings!$C$6,Settings!$C$7))*100)</f>
        <v/>
      </c>
      <c r="AB2000" s="7" t="n"/>
      <c r="AE2000" s="11" t="n"/>
      <c r="AG2000" s="7">
        <f>IF($C2000="","",U2000*X2000/100)</f>
        <v/>
      </c>
      <c r="AH2000" s="7">
        <f>IF($C2000="","",U2000-AG2000)</f>
        <v/>
      </c>
      <c r="AI2000" s="7">
        <f>IF($C2000="","",AH2000-M2000)</f>
        <v/>
      </c>
      <c r="AJ2000">
        <f>IF($C2000="","",IF(COUNTIF($C$2:$C2000,$C2000)=1,1,0))</f>
        <v/>
      </c>
      <c r="AK2000">
        <f>IF($AJ2000=1,SUMPRODUCT(--($AN$2:$AN$4001&lt;$AN2000))+1,"")</f>
        <v/>
      </c>
      <c r="AL2000">
        <f>IF($C2000="","",IF(OR($Q2000=TRUE(),$Q2000="TRUE"),1,0))</f>
        <v/>
      </c>
      <c r="AM2000">
        <f>IF($C2000="","",IF($W2000="Yes",1,0))</f>
        <v/>
      </c>
      <c r="AN2000">
        <f>IF($AJ2000=1,IFERROR(IF(VALUE($C2000)&lt;100000000,VALUE($C2000),1000000000),IFERROR(IF(VALUE(MID($C2000,2,20))&lt;100000000,VALUE(MID($C2000,2,20)),1000000000),1000000000))+ROW()/100000,"")</f>
        <v/>
      </c>
    </row>
    <row r="2001">
      <c r="E2001" s="11" t="n"/>
      <c r="M2001" s="7">
        <f>IF($C2001="","",L2001*U2001/100)</f>
        <v/>
      </c>
      <c r="N2001" s="7" t="n"/>
      <c r="T2001" s="7" t="n"/>
      <c r="U2001" s="7">
        <f>IF($C2001="","",S2001*T2001)</f>
        <v/>
      </c>
      <c r="X2001">
        <f>IF($C2001="","",IF($AM2001=1,0,IF($AL2001=1,Settings!$C$6,Settings!$C$7))*100)</f>
        <v/>
      </c>
      <c r="AB2001" s="7" t="n"/>
      <c r="AE2001" s="11" t="n"/>
      <c r="AG2001" s="7">
        <f>IF($C2001="","",U2001*X2001/100)</f>
        <v/>
      </c>
      <c r="AH2001" s="7">
        <f>IF($C2001="","",U2001-AG2001)</f>
        <v/>
      </c>
      <c r="AI2001" s="7">
        <f>IF($C2001="","",AH2001-M2001)</f>
        <v/>
      </c>
      <c r="AJ2001">
        <f>IF($C2001="","",IF(COUNTIF($C$2:$C2001,$C2001)=1,1,0))</f>
        <v/>
      </c>
      <c r="AK2001">
        <f>IF($AJ2001=1,SUMPRODUCT(--($AN$2:$AN$4001&lt;$AN2001))+1,"")</f>
        <v/>
      </c>
      <c r="AL2001">
        <f>IF($C2001="","",IF(OR($Q2001=TRUE(),$Q2001="TRUE"),1,0))</f>
        <v/>
      </c>
      <c r="AM2001">
        <f>IF($C2001="","",IF($W2001="Yes",1,0))</f>
        <v/>
      </c>
      <c r="AN2001">
        <f>IF($AJ2001=1,IFERROR(IF(VALUE($C2001)&lt;100000000,VALUE($C2001),1000000000),IFERROR(IF(VALUE(MID($C2001,2,20))&lt;100000000,VALUE(MID($C2001,2,20)),1000000000),1000000000))+ROW()/100000,"")</f>
        <v/>
      </c>
    </row>
    <row r="2002">
      <c r="E2002" s="11" t="n"/>
      <c r="M2002" s="7">
        <f>IF($C2002="","",L2002*U2002/100)</f>
        <v/>
      </c>
      <c r="N2002" s="7" t="n"/>
      <c r="T2002" s="7" t="n"/>
      <c r="U2002" s="7">
        <f>IF($C2002="","",S2002*T2002)</f>
        <v/>
      </c>
      <c r="X2002">
        <f>IF($C2002="","",IF($AM2002=1,0,IF($AL2002=1,Settings!$C$6,Settings!$C$7))*100)</f>
        <v/>
      </c>
      <c r="AB2002" s="7" t="n"/>
      <c r="AE2002" s="11" t="n"/>
      <c r="AG2002" s="7">
        <f>IF($C2002="","",U2002*X2002/100)</f>
        <v/>
      </c>
      <c r="AH2002" s="7">
        <f>IF($C2002="","",U2002-AG2002)</f>
        <v/>
      </c>
      <c r="AI2002" s="7">
        <f>IF($C2002="","",AH2002-M2002)</f>
        <v/>
      </c>
      <c r="AJ2002">
        <f>IF($C2002="","",IF(COUNTIF($C$2:$C2002,$C2002)=1,1,0))</f>
        <v/>
      </c>
      <c r="AK2002">
        <f>IF($AJ2002=1,SUMPRODUCT(--($AN$2:$AN$4001&lt;$AN2002))+1,"")</f>
        <v/>
      </c>
      <c r="AL2002">
        <f>IF($C2002="","",IF(OR($Q2002=TRUE(),$Q2002="TRUE"),1,0))</f>
        <v/>
      </c>
      <c r="AM2002">
        <f>IF($C2002="","",IF($W2002="Yes",1,0))</f>
        <v/>
      </c>
      <c r="AN2002">
        <f>IF($AJ2002=1,IFERROR(IF(VALUE($C2002)&lt;100000000,VALUE($C2002),1000000000),IFERROR(IF(VALUE(MID($C2002,2,20))&lt;100000000,VALUE(MID($C2002,2,20)),1000000000),1000000000))+ROW()/100000,"")</f>
        <v/>
      </c>
    </row>
    <row r="2003">
      <c r="E2003" s="11" t="n"/>
      <c r="M2003" s="7">
        <f>IF($C2003="","",L2003*U2003/100)</f>
        <v/>
      </c>
      <c r="N2003" s="7" t="n"/>
      <c r="T2003" s="7" t="n"/>
      <c r="U2003" s="7">
        <f>IF($C2003="","",S2003*T2003)</f>
        <v/>
      </c>
      <c r="X2003">
        <f>IF($C2003="","",IF($AM2003=1,0,IF($AL2003=1,Settings!$C$6,Settings!$C$7))*100)</f>
        <v/>
      </c>
      <c r="AB2003" s="7" t="n"/>
      <c r="AE2003" s="11" t="n"/>
      <c r="AG2003" s="7">
        <f>IF($C2003="","",U2003*X2003/100)</f>
        <v/>
      </c>
      <c r="AH2003" s="7">
        <f>IF($C2003="","",U2003-AG2003)</f>
        <v/>
      </c>
      <c r="AI2003" s="7">
        <f>IF($C2003="","",AH2003-M2003)</f>
        <v/>
      </c>
      <c r="AJ2003">
        <f>IF($C2003="","",IF(COUNTIF($C$2:$C2003,$C2003)=1,1,0))</f>
        <v/>
      </c>
      <c r="AK2003">
        <f>IF($AJ2003=1,SUMPRODUCT(--($AN$2:$AN$4001&lt;$AN2003))+1,"")</f>
        <v/>
      </c>
      <c r="AL2003">
        <f>IF($C2003="","",IF(OR($Q2003=TRUE(),$Q2003="TRUE"),1,0))</f>
        <v/>
      </c>
      <c r="AM2003">
        <f>IF($C2003="","",IF($W2003="Yes",1,0))</f>
        <v/>
      </c>
      <c r="AN2003">
        <f>IF($AJ2003=1,IFERROR(IF(VALUE($C2003)&lt;100000000,VALUE($C2003),1000000000),IFERROR(IF(VALUE(MID($C2003,2,20))&lt;100000000,VALUE(MID($C2003,2,20)),1000000000),1000000000))+ROW()/100000,"")</f>
        <v/>
      </c>
    </row>
    <row r="2004">
      <c r="E2004" s="11" t="n"/>
      <c r="M2004" s="7">
        <f>IF($C2004="","",L2004*U2004/100)</f>
        <v/>
      </c>
      <c r="N2004" s="7" t="n"/>
      <c r="T2004" s="7" t="n"/>
      <c r="U2004" s="7">
        <f>IF($C2004="","",S2004*T2004)</f>
        <v/>
      </c>
      <c r="X2004">
        <f>IF($C2004="","",IF($AM2004=1,0,IF($AL2004=1,Settings!$C$6,Settings!$C$7))*100)</f>
        <v/>
      </c>
      <c r="AB2004" s="7" t="n"/>
      <c r="AE2004" s="11" t="n"/>
      <c r="AG2004" s="7">
        <f>IF($C2004="","",U2004*X2004/100)</f>
        <v/>
      </c>
      <c r="AH2004" s="7">
        <f>IF($C2004="","",U2004-AG2004)</f>
        <v/>
      </c>
      <c r="AI2004" s="7">
        <f>IF($C2004="","",AH2004-M2004)</f>
        <v/>
      </c>
      <c r="AJ2004">
        <f>IF($C2004="","",IF(COUNTIF($C$2:$C2004,$C2004)=1,1,0))</f>
        <v/>
      </c>
      <c r="AK2004">
        <f>IF($AJ2004=1,SUMPRODUCT(--($AN$2:$AN$4001&lt;$AN2004))+1,"")</f>
        <v/>
      </c>
      <c r="AL2004">
        <f>IF($C2004="","",IF(OR($Q2004=TRUE(),$Q2004="TRUE"),1,0))</f>
        <v/>
      </c>
      <c r="AM2004">
        <f>IF($C2004="","",IF($W2004="Yes",1,0))</f>
        <v/>
      </c>
      <c r="AN2004">
        <f>IF($AJ2004=1,IFERROR(IF(VALUE($C2004)&lt;100000000,VALUE($C2004),1000000000),IFERROR(IF(VALUE(MID($C2004,2,20))&lt;100000000,VALUE(MID($C2004,2,20)),1000000000),1000000000))+ROW()/100000,"")</f>
        <v/>
      </c>
    </row>
    <row r="2005">
      <c r="E2005" s="11" t="n"/>
      <c r="M2005" s="7">
        <f>IF($C2005="","",L2005*U2005/100)</f>
        <v/>
      </c>
      <c r="N2005" s="7" t="n"/>
      <c r="T2005" s="7" t="n"/>
      <c r="U2005" s="7">
        <f>IF($C2005="","",S2005*T2005)</f>
        <v/>
      </c>
      <c r="X2005">
        <f>IF($C2005="","",IF($AM2005=1,0,IF($AL2005=1,Settings!$C$6,Settings!$C$7))*100)</f>
        <v/>
      </c>
      <c r="AB2005" s="7" t="n"/>
      <c r="AE2005" s="11" t="n"/>
      <c r="AG2005" s="7">
        <f>IF($C2005="","",U2005*X2005/100)</f>
        <v/>
      </c>
      <c r="AH2005" s="7">
        <f>IF($C2005="","",U2005-AG2005)</f>
        <v/>
      </c>
      <c r="AI2005" s="7">
        <f>IF($C2005="","",AH2005-M2005)</f>
        <v/>
      </c>
      <c r="AJ2005">
        <f>IF($C2005="","",IF(COUNTIF($C$2:$C2005,$C2005)=1,1,0))</f>
        <v/>
      </c>
      <c r="AK2005">
        <f>IF($AJ2005=1,SUMPRODUCT(--($AN$2:$AN$4001&lt;$AN2005))+1,"")</f>
        <v/>
      </c>
      <c r="AL2005">
        <f>IF($C2005="","",IF(OR($Q2005=TRUE(),$Q2005="TRUE"),1,0))</f>
        <v/>
      </c>
      <c r="AM2005">
        <f>IF($C2005="","",IF($W2005="Yes",1,0))</f>
        <v/>
      </c>
      <c r="AN2005">
        <f>IF($AJ2005=1,IFERROR(IF(VALUE($C2005)&lt;100000000,VALUE($C2005),1000000000),IFERROR(IF(VALUE(MID($C2005,2,20))&lt;100000000,VALUE(MID($C2005,2,20)),1000000000),1000000000))+ROW()/100000,"")</f>
        <v/>
      </c>
    </row>
    <row r="2006">
      <c r="E2006" s="11" t="n"/>
      <c r="M2006" s="7">
        <f>IF($C2006="","",L2006*U2006/100)</f>
        <v/>
      </c>
      <c r="N2006" s="7" t="n"/>
      <c r="T2006" s="7" t="n"/>
      <c r="U2006" s="7">
        <f>IF($C2006="","",S2006*T2006)</f>
        <v/>
      </c>
      <c r="X2006">
        <f>IF($C2006="","",IF($AM2006=1,0,IF($AL2006=1,Settings!$C$6,Settings!$C$7))*100)</f>
        <v/>
      </c>
      <c r="AB2006" s="7" t="n"/>
      <c r="AE2006" s="11" t="n"/>
      <c r="AG2006" s="7">
        <f>IF($C2006="","",U2006*X2006/100)</f>
        <v/>
      </c>
      <c r="AH2006" s="7">
        <f>IF($C2006="","",U2006-AG2006)</f>
        <v/>
      </c>
      <c r="AI2006" s="7">
        <f>IF($C2006="","",AH2006-M2006)</f>
        <v/>
      </c>
      <c r="AJ2006">
        <f>IF($C2006="","",IF(COUNTIF($C$2:$C2006,$C2006)=1,1,0))</f>
        <v/>
      </c>
      <c r="AK2006">
        <f>IF($AJ2006=1,SUMPRODUCT(--($AN$2:$AN$4001&lt;$AN2006))+1,"")</f>
        <v/>
      </c>
      <c r="AL2006">
        <f>IF($C2006="","",IF(OR($Q2006=TRUE(),$Q2006="TRUE"),1,0))</f>
        <v/>
      </c>
      <c r="AM2006">
        <f>IF($C2006="","",IF($W2006="Yes",1,0))</f>
        <v/>
      </c>
      <c r="AN2006">
        <f>IF($AJ2006=1,IFERROR(IF(VALUE($C2006)&lt;100000000,VALUE($C2006),1000000000),IFERROR(IF(VALUE(MID($C2006,2,20))&lt;100000000,VALUE(MID($C2006,2,20)),1000000000),1000000000))+ROW()/100000,"")</f>
        <v/>
      </c>
    </row>
    <row r="2007">
      <c r="E2007" s="11" t="n"/>
      <c r="M2007" s="7">
        <f>IF($C2007="","",L2007*U2007/100)</f>
        <v/>
      </c>
      <c r="N2007" s="7" t="n"/>
      <c r="T2007" s="7" t="n"/>
      <c r="U2007" s="7">
        <f>IF($C2007="","",S2007*T2007)</f>
        <v/>
      </c>
      <c r="X2007">
        <f>IF($C2007="","",IF($AM2007=1,0,IF($AL2007=1,Settings!$C$6,Settings!$C$7))*100)</f>
        <v/>
      </c>
      <c r="AB2007" s="7" t="n"/>
      <c r="AE2007" s="11" t="n"/>
      <c r="AG2007" s="7">
        <f>IF($C2007="","",U2007*X2007/100)</f>
        <v/>
      </c>
      <c r="AH2007" s="7">
        <f>IF($C2007="","",U2007-AG2007)</f>
        <v/>
      </c>
      <c r="AI2007" s="7">
        <f>IF($C2007="","",AH2007-M2007)</f>
        <v/>
      </c>
      <c r="AJ2007">
        <f>IF($C2007="","",IF(COUNTIF($C$2:$C2007,$C2007)=1,1,0))</f>
        <v/>
      </c>
      <c r="AK2007">
        <f>IF($AJ2007=1,SUMPRODUCT(--($AN$2:$AN$4001&lt;$AN2007))+1,"")</f>
        <v/>
      </c>
      <c r="AL2007">
        <f>IF($C2007="","",IF(OR($Q2007=TRUE(),$Q2007="TRUE"),1,0))</f>
        <v/>
      </c>
      <c r="AM2007">
        <f>IF($C2007="","",IF($W2007="Yes",1,0))</f>
        <v/>
      </c>
      <c r="AN2007">
        <f>IF($AJ2007=1,IFERROR(IF(VALUE($C2007)&lt;100000000,VALUE($C2007),1000000000),IFERROR(IF(VALUE(MID($C2007,2,20))&lt;100000000,VALUE(MID($C2007,2,20)),1000000000),1000000000))+ROW()/100000,"")</f>
        <v/>
      </c>
    </row>
    <row r="2008">
      <c r="E2008" s="11" t="n"/>
      <c r="M2008" s="7">
        <f>IF($C2008="","",L2008*U2008/100)</f>
        <v/>
      </c>
      <c r="N2008" s="7" t="n"/>
      <c r="T2008" s="7" t="n"/>
      <c r="U2008" s="7">
        <f>IF($C2008="","",S2008*T2008)</f>
        <v/>
      </c>
      <c r="X2008">
        <f>IF($C2008="","",IF($AM2008=1,0,IF($AL2008=1,Settings!$C$6,Settings!$C$7))*100)</f>
        <v/>
      </c>
      <c r="AB2008" s="7" t="n"/>
      <c r="AE2008" s="11" t="n"/>
      <c r="AG2008" s="7">
        <f>IF($C2008="","",U2008*X2008/100)</f>
        <v/>
      </c>
      <c r="AH2008" s="7">
        <f>IF($C2008="","",U2008-AG2008)</f>
        <v/>
      </c>
      <c r="AI2008" s="7">
        <f>IF($C2008="","",AH2008-M2008)</f>
        <v/>
      </c>
      <c r="AJ2008">
        <f>IF($C2008="","",IF(COUNTIF($C$2:$C2008,$C2008)=1,1,0))</f>
        <v/>
      </c>
      <c r="AK2008">
        <f>IF($AJ2008=1,SUMPRODUCT(--($AN$2:$AN$4001&lt;$AN2008))+1,"")</f>
        <v/>
      </c>
      <c r="AL2008">
        <f>IF($C2008="","",IF(OR($Q2008=TRUE(),$Q2008="TRUE"),1,0))</f>
        <v/>
      </c>
      <c r="AM2008">
        <f>IF($C2008="","",IF($W2008="Yes",1,0))</f>
        <v/>
      </c>
      <c r="AN2008">
        <f>IF($AJ2008=1,IFERROR(IF(VALUE($C2008)&lt;100000000,VALUE($C2008),1000000000),IFERROR(IF(VALUE(MID($C2008,2,20))&lt;100000000,VALUE(MID($C2008,2,20)),1000000000),1000000000))+ROW()/100000,"")</f>
        <v/>
      </c>
    </row>
    <row r="2009">
      <c r="E2009" s="11" t="n"/>
      <c r="M2009" s="7">
        <f>IF($C2009="","",L2009*U2009/100)</f>
        <v/>
      </c>
      <c r="N2009" s="7" t="n"/>
      <c r="T2009" s="7" t="n"/>
      <c r="U2009" s="7">
        <f>IF($C2009="","",S2009*T2009)</f>
        <v/>
      </c>
      <c r="X2009">
        <f>IF($C2009="","",IF($AM2009=1,0,IF($AL2009=1,Settings!$C$6,Settings!$C$7))*100)</f>
        <v/>
      </c>
      <c r="AB2009" s="7" t="n"/>
      <c r="AE2009" s="11" t="n"/>
      <c r="AG2009" s="7">
        <f>IF($C2009="","",U2009*X2009/100)</f>
        <v/>
      </c>
      <c r="AH2009" s="7">
        <f>IF($C2009="","",U2009-AG2009)</f>
        <v/>
      </c>
      <c r="AI2009" s="7">
        <f>IF($C2009="","",AH2009-M2009)</f>
        <v/>
      </c>
      <c r="AJ2009">
        <f>IF($C2009="","",IF(COUNTIF($C$2:$C2009,$C2009)=1,1,0))</f>
        <v/>
      </c>
      <c r="AK2009">
        <f>IF($AJ2009=1,SUMPRODUCT(--($AN$2:$AN$4001&lt;$AN2009))+1,"")</f>
        <v/>
      </c>
      <c r="AL2009">
        <f>IF($C2009="","",IF(OR($Q2009=TRUE(),$Q2009="TRUE"),1,0))</f>
        <v/>
      </c>
      <c r="AM2009">
        <f>IF($C2009="","",IF($W2009="Yes",1,0))</f>
        <v/>
      </c>
      <c r="AN2009">
        <f>IF($AJ2009=1,IFERROR(IF(VALUE($C2009)&lt;100000000,VALUE($C2009),1000000000),IFERROR(IF(VALUE(MID($C2009,2,20))&lt;100000000,VALUE(MID($C2009,2,20)),1000000000),1000000000))+ROW()/100000,"")</f>
        <v/>
      </c>
    </row>
    <row r="2010">
      <c r="E2010" s="11" t="n"/>
      <c r="M2010" s="7">
        <f>IF($C2010="","",L2010*U2010/100)</f>
        <v/>
      </c>
      <c r="N2010" s="7" t="n"/>
      <c r="T2010" s="7" t="n"/>
      <c r="U2010" s="7">
        <f>IF($C2010="","",S2010*T2010)</f>
        <v/>
      </c>
      <c r="X2010">
        <f>IF($C2010="","",IF($AM2010=1,0,IF($AL2010=1,Settings!$C$6,Settings!$C$7))*100)</f>
        <v/>
      </c>
      <c r="AB2010" s="7" t="n"/>
      <c r="AE2010" s="11" t="n"/>
      <c r="AG2010" s="7">
        <f>IF($C2010="","",U2010*X2010/100)</f>
        <v/>
      </c>
      <c r="AH2010" s="7">
        <f>IF($C2010="","",U2010-AG2010)</f>
        <v/>
      </c>
      <c r="AI2010" s="7">
        <f>IF($C2010="","",AH2010-M2010)</f>
        <v/>
      </c>
      <c r="AJ2010">
        <f>IF($C2010="","",IF(COUNTIF($C$2:$C2010,$C2010)=1,1,0))</f>
        <v/>
      </c>
      <c r="AK2010">
        <f>IF($AJ2010=1,SUMPRODUCT(--($AN$2:$AN$4001&lt;$AN2010))+1,"")</f>
        <v/>
      </c>
      <c r="AL2010">
        <f>IF($C2010="","",IF(OR($Q2010=TRUE(),$Q2010="TRUE"),1,0))</f>
        <v/>
      </c>
      <c r="AM2010">
        <f>IF($C2010="","",IF($W2010="Yes",1,0))</f>
        <v/>
      </c>
      <c r="AN2010">
        <f>IF($AJ2010=1,IFERROR(IF(VALUE($C2010)&lt;100000000,VALUE($C2010),1000000000),IFERROR(IF(VALUE(MID($C2010,2,20))&lt;100000000,VALUE(MID($C2010,2,20)),1000000000),1000000000))+ROW()/100000,"")</f>
        <v/>
      </c>
    </row>
    <row r="2011">
      <c r="E2011" s="11" t="n"/>
      <c r="M2011" s="7">
        <f>IF($C2011="","",L2011*U2011/100)</f>
        <v/>
      </c>
      <c r="N2011" s="7" t="n"/>
      <c r="T2011" s="7" t="n"/>
      <c r="U2011" s="7">
        <f>IF($C2011="","",S2011*T2011)</f>
        <v/>
      </c>
      <c r="X2011">
        <f>IF($C2011="","",IF($AM2011=1,0,IF($AL2011=1,Settings!$C$6,Settings!$C$7))*100)</f>
        <v/>
      </c>
      <c r="AB2011" s="7" t="n"/>
      <c r="AE2011" s="11" t="n"/>
      <c r="AG2011" s="7">
        <f>IF($C2011="","",U2011*X2011/100)</f>
        <v/>
      </c>
      <c r="AH2011" s="7">
        <f>IF($C2011="","",U2011-AG2011)</f>
        <v/>
      </c>
      <c r="AI2011" s="7">
        <f>IF($C2011="","",AH2011-M2011)</f>
        <v/>
      </c>
      <c r="AJ2011">
        <f>IF($C2011="","",IF(COUNTIF($C$2:$C2011,$C2011)=1,1,0))</f>
        <v/>
      </c>
      <c r="AK2011">
        <f>IF($AJ2011=1,SUMPRODUCT(--($AN$2:$AN$4001&lt;$AN2011))+1,"")</f>
        <v/>
      </c>
      <c r="AL2011">
        <f>IF($C2011="","",IF(OR($Q2011=TRUE(),$Q2011="TRUE"),1,0))</f>
        <v/>
      </c>
      <c r="AM2011">
        <f>IF($C2011="","",IF($W2011="Yes",1,0))</f>
        <v/>
      </c>
      <c r="AN2011">
        <f>IF($AJ2011=1,IFERROR(IF(VALUE($C2011)&lt;100000000,VALUE($C2011),1000000000),IFERROR(IF(VALUE(MID($C2011,2,20))&lt;100000000,VALUE(MID($C2011,2,20)),1000000000),1000000000))+ROW()/100000,"")</f>
        <v/>
      </c>
    </row>
    <row r="2012">
      <c r="E2012" s="11" t="n"/>
      <c r="M2012" s="7">
        <f>IF($C2012="","",L2012*U2012/100)</f>
        <v/>
      </c>
      <c r="N2012" s="7" t="n"/>
      <c r="T2012" s="7" t="n"/>
      <c r="U2012" s="7">
        <f>IF($C2012="","",S2012*T2012)</f>
        <v/>
      </c>
      <c r="X2012">
        <f>IF($C2012="","",IF($AM2012=1,0,IF($AL2012=1,Settings!$C$6,Settings!$C$7))*100)</f>
        <v/>
      </c>
      <c r="AB2012" s="7" t="n"/>
      <c r="AE2012" s="11" t="n"/>
      <c r="AG2012" s="7">
        <f>IF($C2012="","",U2012*X2012/100)</f>
        <v/>
      </c>
      <c r="AH2012" s="7">
        <f>IF($C2012="","",U2012-AG2012)</f>
        <v/>
      </c>
      <c r="AI2012" s="7">
        <f>IF($C2012="","",AH2012-M2012)</f>
        <v/>
      </c>
      <c r="AJ2012">
        <f>IF($C2012="","",IF(COUNTIF($C$2:$C2012,$C2012)=1,1,0))</f>
        <v/>
      </c>
      <c r="AK2012">
        <f>IF($AJ2012=1,SUMPRODUCT(--($AN$2:$AN$4001&lt;$AN2012))+1,"")</f>
        <v/>
      </c>
      <c r="AL2012">
        <f>IF($C2012="","",IF(OR($Q2012=TRUE(),$Q2012="TRUE"),1,0))</f>
        <v/>
      </c>
      <c r="AM2012">
        <f>IF($C2012="","",IF($W2012="Yes",1,0))</f>
        <v/>
      </c>
      <c r="AN2012">
        <f>IF($AJ2012=1,IFERROR(IF(VALUE($C2012)&lt;100000000,VALUE($C2012),1000000000),IFERROR(IF(VALUE(MID($C2012,2,20))&lt;100000000,VALUE(MID($C2012,2,20)),1000000000),1000000000))+ROW()/100000,"")</f>
        <v/>
      </c>
    </row>
    <row r="2013">
      <c r="E2013" s="11" t="n"/>
      <c r="M2013" s="7">
        <f>IF($C2013="","",L2013*U2013/100)</f>
        <v/>
      </c>
      <c r="N2013" s="7" t="n"/>
      <c r="T2013" s="7" t="n"/>
      <c r="U2013" s="7">
        <f>IF($C2013="","",S2013*T2013)</f>
        <v/>
      </c>
      <c r="X2013">
        <f>IF($C2013="","",IF($AM2013=1,0,IF($AL2013=1,Settings!$C$6,Settings!$C$7))*100)</f>
        <v/>
      </c>
      <c r="AB2013" s="7" t="n"/>
      <c r="AE2013" s="11" t="n"/>
      <c r="AG2013" s="7">
        <f>IF($C2013="","",U2013*X2013/100)</f>
        <v/>
      </c>
      <c r="AH2013" s="7">
        <f>IF($C2013="","",U2013-AG2013)</f>
        <v/>
      </c>
      <c r="AI2013" s="7">
        <f>IF($C2013="","",AH2013-M2013)</f>
        <v/>
      </c>
      <c r="AJ2013">
        <f>IF($C2013="","",IF(COUNTIF($C$2:$C2013,$C2013)=1,1,0))</f>
        <v/>
      </c>
      <c r="AK2013">
        <f>IF($AJ2013=1,SUMPRODUCT(--($AN$2:$AN$4001&lt;$AN2013))+1,"")</f>
        <v/>
      </c>
      <c r="AL2013">
        <f>IF($C2013="","",IF(OR($Q2013=TRUE(),$Q2013="TRUE"),1,0))</f>
        <v/>
      </c>
      <c r="AM2013">
        <f>IF($C2013="","",IF($W2013="Yes",1,0))</f>
        <v/>
      </c>
      <c r="AN2013">
        <f>IF($AJ2013=1,IFERROR(IF(VALUE($C2013)&lt;100000000,VALUE($C2013),1000000000),IFERROR(IF(VALUE(MID($C2013,2,20))&lt;100000000,VALUE(MID($C2013,2,20)),1000000000),1000000000))+ROW()/100000,"")</f>
        <v/>
      </c>
    </row>
    <row r="2014">
      <c r="E2014" s="11" t="n"/>
      <c r="M2014" s="7">
        <f>IF($C2014="","",L2014*U2014/100)</f>
        <v/>
      </c>
      <c r="N2014" s="7" t="n"/>
      <c r="T2014" s="7" t="n"/>
      <c r="U2014" s="7">
        <f>IF($C2014="","",S2014*T2014)</f>
        <v/>
      </c>
      <c r="X2014">
        <f>IF($C2014="","",IF($AM2014=1,0,IF($AL2014=1,Settings!$C$6,Settings!$C$7))*100)</f>
        <v/>
      </c>
      <c r="AB2014" s="7" t="n"/>
      <c r="AE2014" s="11" t="n"/>
      <c r="AG2014" s="7">
        <f>IF($C2014="","",U2014*X2014/100)</f>
        <v/>
      </c>
      <c r="AH2014" s="7">
        <f>IF($C2014="","",U2014-AG2014)</f>
        <v/>
      </c>
      <c r="AI2014" s="7">
        <f>IF($C2014="","",AH2014-M2014)</f>
        <v/>
      </c>
      <c r="AJ2014">
        <f>IF($C2014="","",IF(COUNTIF($C$2:$C2014,$C2014)=1,1,0))</f>
        <v/>
      </c>
      <c r="AK2014">
        <f>IF($AJ2014=1,SUMPRODUCT(--($AN$2:$AN$4001&lt;$AN2014))+1,"")</f>
        <v/>
      </c>
      <c r="AL2014">
        <f>IF($C2014="","",IF(OR($Q2014=TRUE(),$Q2014="TRUE"),1,0))</f>
        <v/>
      </c>
      <c r="AM2014">
        <f>IF($C2014="","",IF($W2014="Yes",1,0))</f>
        <v/>
      </c>
      <c r="AN2014">
        <f>IF($AJ2014=1,IFERROR(IF(VALUE($C2014)&lt;100000000,VALUE($C2014),1000000000),IFERROR(IF(VALUE(MID($C2014,2,20))&lt;100000000,VALUE(MID($C2014,2,20)),1000000000),1000000000))+ROW()/100000,"")</f>
        <v/>
      </c>
    </row>
    <row r="2015">
      <c r="E2015" s="11" t="n"/>
      <c r="M2015" s="7">
        <f>IF($C2015="","",L2015*U2015/100)</f>
        <v/>
      </c>
      <c r="N2015" s="7" t="n"/>
      <c r="T2015" s="7" t="n"/>
      <c r="U2015" s="7">
        <f>IF($C2015="","",S2015*T2015)</f>
        <v/>
      </c>
      <c r="X2015">
        <f>IF($C2015="","",IF($AM2015=1,0,IF($AL2015=1,Settings!$C$6,Settings!$C$7))*100)</f>
        <v/>
      </c>
      <c r="AB2015" s="7" t="n"/>
      <c r="AE2015" s="11" t="n"/>
      <c r="AG2015" s="7">
        <f>IF($C2015="","",U2015*X2015/100)</f>
        <v/>
      </c>
      <c r="AH2015" s="7">
        <f>IF($C2015="","",U2015-AG2015)</f>
        <v/>
      </c>
      <c r="AI2015" s="7">
        <f>IF($C2015="","",AH2015-M2015)</f>
        <v/>
      </c>
      <c r="AJ2015">
        <f>IF($C2015="","",IF(COUNTIF($C$2:$C2015,$C2015)=1,1,0))</f>
        <v/>
      </c>
      <c r="AK2015">
        <f>IF($AJ2015=1,SUMPRODUCT(--($AN$2:$AN$4001&lt;$AN2015))+1,"")</f>
        <v/>
      </c>
      <c r="AL2015">
        <f>IF($C2015="","",IF(OR($Q2015=TRUE(),$Q2015="TRUE"),1,0))</f>
        <v/>
      </c>
      <c r="AM2015">
        <f>IF($C2015="","",IF($W2015="Yes",1,0))</f>
        <v/>
      </c>
      <c r="AN2015">
        <f>IF($AJ2015=1,IFERROR(IF(VALUE($C2015)&lt;100000000,VALUE($C2015),1000000000),IFERROR(IF(VALUE(MID($C2015,2,20))&lt;100000000,VALUE(MID($C2015,2,20)),1000000000),1000000000))+ROW()/100000,"")</f>
        <v/>
      </c>
    </row>
    <row r="2016">
      <c r="E2016" s="11" t="n"/>
      <c r="M2016" s="7">
        <f>IF($C2016="","",L2016*U2016/100)</f>
        <v/>
      </c>
      <c r="N2016" s="7" t="n"/>
      <c r="T2016" s="7" t="n"/>
      <c r="U2016" s="7">
        <f>IF($C2016="","",S2016*T2016)</f>
        <v/>
      </c>
      <c r="X2016">
        <f>IF($C2016="","",IF($AM2016=1,0,IF($AL2016=1,Settings!$C$6,Settings!$C$7))*100)</f>
        <v/>
      </c>
      <c r="AB2016" s="7" t="n"/>
      <c r="AE2016" s="11" t="n"/>
      <c r="AG2016" s="7">
        <f>IF($C2016="","",U2016*X2016/100)</f>
        <v/>
      </c>
      <c r="AH2016" s="7">
        <f>IF($C2016="","",U2016-AG2016)</f>
        <v/>
      </c>
      <c r="AI2016" s="7">
        <f>IF($C2016="","",AH2016-M2016)</f>
        <v/>
      </c>
      <c r="AJ2016">
        <f>IF($C2016="","",IF(COUNTIF($C$2:$C2016,$C2016)=1,1,0))</f>
        <v/>
      </c>
      <c r="AK2016">
        <f>IF($AJ2016=1,SUMPRODUCT(--($AN$2:$AN$4001&lt;$AN2016))+1,"")</f>
        <v/>
      </c>
      <c r="AL2016">
        <f>IF($C2016="","",IF(OR($Q2016=TRUE(),$Q2016="TRUE"),1,0))</f>
        <v/>
      </c>
      <c r="AM2016">
        <f>IF($C2016="","",IF($W2016="Yes",1,0))</f>
        <v/>
      </c>
      <c r="AN2016">
        <f>IF($AJ2016=1,IFERROR(IF(VALUE($C2016)&lt;100000000,VALUE($C2016),1000000000),IFERROR(IF(VALUE(MID($C2016,2,20))&lt;100000000,VALUE(MID($C2016,2,20)),1000000000),1000000000))+ROW()/100000,"")</f>
        <v/>
      </c>
    </row>
    <row r="2017">
      <c r="E2017" s="11" t="n"/>
      <c r="M2017" s="7">
        <f>IF($C2017="","",L2017*U2017/100)</f>
        <v/>
      </c>
      <c r="N2017" s="7" t="n"/>
      <c r="T2017" s="7" t="n"/>
      <c r="U2017" s="7">
        <f>IF($C2017="","",S2017*T2017)</f>
        <v/>
      </c>
      <c r="X2017">
        <f>IF($C2017="","",IF($AM2017=1,0,IF($AL2017=1,Settings!$C$6,Settings!$C$7))*100)</f>
        <v/>
      </c>
      <c r="AB2017" s="7" t="n"/>
      <c r="AE2017" s="11" t="n"/>
      <c r="AG2017" s="7">
        <f>IF($C2017="","",U2017*X2017/100)</f>
        <v/>
      </c>
      <c r="AH2017" s="7">
        <f>IF($C2017="","",U2017-AG2017)</f>
        <v/>
      </c>
      <c r="AI2017" s="7">
        <f>IF($C2017="","",AH2017-M2017)</f>
        <v/>
      </c>
      <c r="AJ2017">
        <f>IF($C2017="","",IF(COUNTIF($C$2:$C2017,$C2017)=1,1,0))</f>
        <v/>
      </c>
      <c r="AK2017">
        <f>IF($AJ2017=1,SUMPRODUCT(--($AN$2:$AN$4001&lt;$AN2017))+1,"")</f>
        <v/>
      </c>
      <c r="AL2017">
        <f>IF($C2017="","",IF(OR($Q2017=TRUE(),$Q2017="TRUE"),1,0))</f>
        <v/>
      </c>
      <c r="AM2017">
        <f>IF($C2017="","",IF($W2017="Yes",1,0))</f>
        <v/>
      </c>
      <c r="AN2017">
        <f>IF($AJ2017=1,IFERROR(IF(VALUE($C2017)&lt;100000000,VALUE($C2017),1000000000),IFERROR(IF(VALUE(MID($C2017,2,20))&lt;100000000,VALUE(MID($C2017,2,20)),1000000000),1000000000))+ROW()/100000,"")</f>
        <v/>
      </c>
    </row>
    <row r="2018">
      <c r="E2018" s="11" t="n"/>
      <c r="M2018" s="7">
        <f>IF($C2018="","",L2018*U2018/100)</f>
        <v/>
      </c>
      <c r="N2018" s="7" t="n"/>
      <c r="T2018" s="7" t="n"/>
      <c r="U2018" s="7">
        <f>IF($C2018="","",S2018*T2018)</f>
        <v/>
      </c>
      <c r="X2018">
        <f>IF($C2018="","",IF($AM2018=1,0,IF($AL2018=1,Settings!$C$6,Settings!$C$7))*100)</f>
        <v/>
      </c>
      <c r="AB2018" s="7" t="n"/>
      <c r="AE2018" s="11" t="n"/>
      <c r="AG2018" s="7">
        <f>IF($C2018="","",U2018*X2018/100)</f>
        <v/>
      </c>
      <c r="AH2018" s="7">
        <f>IF($C2018="","",U2018-AG2018)</f>
        <v/>
      </c>
      <c r="AI2018" s="7">
        <f>IF($C2018="","",AH2018-M2018)</f>
        <v/>
      </c>
      <c r="AJ2018">
        <f>IF($C2018="","",IF(COUNTIF($C$2:$C2018,$C2018)=1,1,0))</f>
        <v/>
      </c>
      <c r="AK2018">
        <f>IF($AJ2018=1,SUMPRODUCT(--($AN$2:$AN$4001&lt;$AN2018))+1,"")</f>
        <v/>
      </c>
      <c r="AL2018">
        <f>IF($C2018="","",IF(OR($Q2018=TRUE(),$Q2018="TRUE"),1,0))</f>
        <v/>
      </c>
      <c r="AM2018">
        <f>IF($C2018="","",IF($W2018="Yes",1,0))</f>
        <v/>
      </c>
      <c r="AN2018">
        <f>IF($AJ2018=1,IFERROR(IF(VALUE($C2018)&lt;100000000,VALUE($C2018),1000000000),IFERROR(IF(VALUE(MID($C2018,2,20))&lt;100000000,VALUE(MID($C2018,2,20)),1000000000),1000000000))+ROW()/100000,"")</f>
        <v/>
      </c>
    </row>
    <row r="2019">
      <c r="E2019" s="11" t="n"/>
      <c r="M2019" s="7">
        <f>IF($C2019="","",L2019*U2019/100)</f>
        <v/>
      </c>
      <c r="N2019" s="7" t="n"/>
      <c r="T2019" s="7" t="n"/>
      <c r="U2019" s="7">
        <f>IF($C2019="","",S2019*T2019)</f>
        <v/>
      </c>
      <c r="X2019">
        <f>IF($C2019="","",IF($AM2019=1,0,IF($AL2019=1,Settings!$C$6,Settings!$C$7))*100)</f>
        <v/>
      </c>
      <c r="AB2019" s="7" t="n"/>
      <c r="AE2019" s="11" t="n"/>
      <c r="AG2019" s="7">
        <f>IF($C2019="","",U2019*X2019/100)</f>
        <v/>
      </c>
      <c r="AH2019" s="7">
        <f>IF($C2019="","",U2019-AG2019)</f>
        <v/>
      </c>
      <c r="AI2019" s="7">
        <f>IF($C2019="","",AH2019-M2019)</f>
        <v/>
      </c>
      <c r="AJ2019">
        <f>IF($C2019="","",IF(COUNTIF($C$2:$C2019,$C2019)=1,1,0))</f>
        <v/>
      </c>
      <c r="AK2019">
        <f>IF($AJ2019=1,SUMPRODUCT(--($AN$2:$AN$4001&lt;$AN2019))+1,"")</f>
        <v/>
      </c>
      <c r="AL2019">
        <f>IF($C2019="","",IF(OR($Q2019=TRUE(),$Q2019="TRUE"),1,0))</f>
        <v/>
      </c>
      <c r="AM2019">
        <f>IF($C2019="","",IF($W2019="Yes",1,0))</f>
        <v/>
      </c>
      <c r="AN2019">
        <f>IF($AJ2019=1,IFERROR(IF(VALUE($C2019)&lt;100000000,VALUE($C2019),1000000000),IFERROR(IF(VALUE(MID($C2019,2,20))&lt;100000000,VALUE(MID($C2019,2,20)),1000000000),1000000000))+ROW()/100000,"")</f>
        <v/>
      </c>
    </row>
    <row r="2020">
      <c r="E2020" s="11" t="n"/>
      <c r="M2020" s="7">
        <f>IF($C2020="","",L2020*U2020/100)</f>
        <v/>
      </c>
      <c r="N2020" s="7" t="n"/>
      <c r="T2020" s="7" t="n"/>
      <c r="U2020" s="7">
        <f>IF($C2020="","",S2020*T2020)</f>
        <v/>
      </c>
      <c r="X2020">
        <f>IF($C2020="","",IF($AM2020=1,0,IF($AL2020=1,Settings!$C$6,Settings!$C$7))*100)</f>
        <v/>
      </c>
      <c r="AB2020" s="7" t="n"/>
      <c r="AE2020" s="11" t="n"/>
      <c r="AG2020" s="7">
        <f>IF($C2020="","",U2020*X2020/100)</f>
        <v/>
      </c>
      <c r="AH2020" s="7">
        <f>IF($C2020="","",U2020-AG2020)</f>
        <v/>
      </c>
      <c r="AI2020" s="7">
        <f>IF($C2020="","",AH2020-M2020)</f>
        <v/>
      </c>
      <c r="AJ2020">
        <f>IF($C2020="","",IF(COUNTIF($C$2:$C2020,$C2020)=1,1,0))</f>
        <v/>
      </c>
      <c r="AK2020">
        <f>IF($AJ2020=1,SUMPRODUCT(--($AN$2:$AN$4001&lt;$AN2020))+1,"")</f>
        <v/>
      </c>
      <c r="AL2020">
        <f>IF($C2020="","",IF(OR($Q2020=TRUE(),$Q2020="TRUE"),1,0))</f>
        <v/>
      </c>
      <c r="AM2020">
        <f>IF($C2020="","",IF($W2020="Yes",1,0))</f>
        <v/>
      </c>
      <c r="AN2020">
        <f>IF($AJ2020=1,IFERROR(IF(VALUE($C2020)&lt;100000000,VALUE($C2020),1000000000),IFERROR(IF(VALUE(MID($C2020,2,20))&lt;100000000,VALUE(MID($C2020,2,20)),1000000000),1000000000))+ROW()/100000,"")</f>
        <v/>
      </c>
    </row>
    <row r="2021">
      <c r="E2021" s="11" t="n"/>
      <c r="M2021" s="7">
        <f>IF($C2021="","",L2021*U2021/100)</f>
        <v/>
      </c>
      <c r="N2021" s="7" t="n"/>
      <c r="T2021" s="7" t="n"/>
      <c r="U2021" s="7">
        <f>IF($C2021="","",S2021*T2021)</f>
        <v/>
      </c>
      <c r="X2021">
        <f>IF($C2021="","",IF($AM2021=1,0,IF($AL2021=1,Settings!$C$6,Settings!$C$7))*100)</f>
        <v/>
      </c>
      <c r="AB2021" s="7" t="n"/>
      <c r="AE2021" s="11" t="n"/>
      <c r="AG2021" s="7">
        <f>IF($C2021="","",U2021*X2021/100)</f>
        <v/>
      </c>
      <c r="AH2021" s="7">
        <f>IF($C2021="","",U2021-AG2021)</f>
        <v/>
      </c>
      <c r="AI2021" s="7">
        <f>IF($C2021="","",AH2021-M2021)</f>
        <v/>
      </c>
      <c r="AJ2021">
        <f>IF($C2021="","",IF(COUNTIF($C$2:$C2021,$C2021)=1,1,0))</f>
        <v/>
      </c>
      <c r="AK2021">
        <f>IF($AJ2021=1,SUMPRODUCT(--($AN$2:$AN$4001&lt;$AN2021))+1,"")</f>
        <v/>
      </c>
      <c r="AL2021">
        <f>IF($C2021="","",IF(OR($Q2021=TRUE(),$Q2021="TRUE"),1,0))</f>
        <v/>
      </c>
      <c r="AM2021">
        <f>IF($C2021="","",IF($W2021="Yes",1,0))</f>
        <v/>
      </c>
      <c r="AN2021">
        <f>IF($AJ2021=1,IFERROR(IF(VALUE($C2021)&lt;100000000,VALUE($C2021),1000000000),IFERROR(IF(VALUE(MID($C2021,2,20))&lt;100000000,VALUE(MID($C2021,2,20)),1000000000),1000000000))+ROW()/100000,"")</f>
        <v/>
      </c>
    </row>
    <row r="2022">
      <c r="E2022" s="11" t="n"/>
      <c r="M2022" s="7">
        <f>IF($C2022="","",L2022*U2022/100)</f>
        <v/>
      </c>
      <c r="N2022" s="7" t="n"/>
      <c r="T2022" s="7" t="n"/>
      <c r="U2022" s="7">
        <f>IF($C2022="","",S2022*T2022)</f>
        <v/>
      </c>
      <c r="X2022">
        <f>IF($C2022="","",IF($AM2022=1,0,IF($AL2022=1,Settings!$C$6,Settings!$C$7))*100)</f>
        <v/>
      </c>
      <c r="AB2022" s="7" t="n"/>
      <c r="AE2022" s="11" t="n"/>
      <c r="AG2022" s="7">
        <f>IF($C2022="","",U2022*X2022/100)</f>
        <v/>
      </c>
      <c r="AH2022" s="7">
        <f>IF($C2022="","",U2022-AG2022)</f>
        <v/>
      </c>
      <c r="AI2022" s="7">
        <f>IF($C2022="","",AH2022-M2022)</f>
        <v/>
      </c>
      <c r="AJ2022">
        <f>IF($C2022="","",IF(COUNTIF($C$2:$C2022,$C2022)=1,1,0))</f>
        <v/>
      </c>
      <c r="AK2022">
        <f>IF($AJ2022=1,SUMPRODUCT(--($AN$2:$AN$4001&lt;$AN2022))+1,"")</f>
        <v/>
      </c>
      <c r="AL2022">
        <f>IF($C2022="","",IF(OR($Q2022=TRUE(),$Q2022="TRUE"),1,0))</f>
        <v/>
      </c>
      <c r="AM2022">
        <f>IF($C2022="","",IF($W2022="Yes",1,0))</f>
        <v/>
      </c>
      <c r="AN2022">
        <f>IF($AJ2022=1,IFERROR(IF(VALUE($C2022)&lt;100000000,VALUE($C2022),1000000000),IFERROR(IF(VALUE(MID($C2022,2,20))&lt;100000000,VALUE(MID($C2022,2,20)),1000000000),1000000000))+ROW()/100000,"")</f>
        <v/>
      </c>
    </row>
    <row r="2023">
      <c r="E2023" s="11" t="n"/>
      <c r="M2023" s="7">
        <f>IF($C2023="","",L2023*U2023/100)</f>
        <v/>
      </c>
      <c r="N2023" s="7" t="n"/>
      <c r="T2023" s="7" t="n"/>
      <c r="U2023" s="7">
        <f>IF($C2023="","",S2023*T2023)</f>
        <v/>
      </c>
      <c r="X2023">
        <f>IF($C2023="","",IF($AM2023=1,0,IF($AL2023=1,Settings!$C$6,Settings!$C$7))*100)</f>
        <v/>
      </c>
      <c r="AB2023" s="7" t="n"/>
      <c r="AE2023" s="11" t="n"/>
      <c r="AG2023" s="7">
        <f>IF($C2023="","",U2023*X2023/100)</f>
        <v/>
      </c>
      <c r="AH2023" s="7">
        <f>IF($C2023="","",U2023-AG2023)</f>
        <v/>
      </c>
      <c r="AI2023" s="7">
        <f>IF($C2023="","",AH2023-M2023)</f>
        <v/>
      </c>
      <c r="AJ2023">
        <f>IF($C2023="","",IF(COUNTIF($C$2:$C2023,$C2023)=1,1,0))</f>
        <v/>
      </c>
      <c r="AK2023">
        <f>IF($AJ2023=1,SUMPRODUCT(--($AN$2:$AN$4001&lt;$AN2023))+1,"")</f>
        <v/>
      </c>
      <c r="AL2023">
        <f>IF($C2023="","",IF(OR($Q2023=TRUE(),$Q2023="TRUE"),1,0))</f>
        <v/>
      </c>
      <c r="AM2023">
        <f>IF($C2023="","",IF($W2023="Yes",1,0))</f>
        <v/>
      </c>
      <c r="AN2023">
        <f>IF($AJ2023=1,IFERROR(IF(VALUE($C2023)&lt;100000000,VALUE($C2023),1000000000),IFERROR(IF(VALUE(MID($C2023,2,20))&lt;100000000,VALUE(MID($C2023,2,20)),1000000000),1000000000))+ROW()/100000,"")</f>
        <v/>
      </c>
    </row>
    <row r="2024">
      <c r="E2024" s="11" t="n"/>
      <c r="M2024" s="7">
        <f>IF($C2024="","",L2024*U2024/100)</f>
        <v/>
      </c>
      <c r="N2024" s="7" t="n"/>
      <c r="T2024" s="7" t="n"/>
      <c r="U2024" s="7">
        <f>IF($C2024="","",S2024*T2024)</f>
        <v/>
      </c>
      <c r="X2024">
        <f>IF($C2024="","",IF($AM2024=1,0,IF($AL2024=1,Settings!$C$6,Settings!$C$7))*100)</f>
        <v/>
      </c>
      <c r="AB2024" s="7" t="n"/>
      <c r="AE2024" s="11" t="n"/>
      <c r="AG2024" s="7">
        <f>IF($C2024="","",U2024*X2024/100)</f>
        <v/>
      </c>
      <c r="AH2024" s="7">
        <f>IF($C2024="","",U2024-AG2024)</f>
        <v/>
      </c>
      <c r="AI2024" s="7">
        <f>IF($C2024="","",AH2024-M2024)</f>
        <v/>
      </c>
      <c r="AJ2024">
        <f>IF($C2024="","",IF(COUNTIF($C$2:$C2024,$C2024)=1,1,0))</f>
        <v/>
      </c>
      <c r="AK2024">
        <f>IF($AJ2024=1,SUMPRODUCT(--($AN$2:$AN$4001&lt;$AN2024))+1,"")</f>
        <v/>
      </c>
      <c r="AL2024">
        <f>IF($C2024="","",IF(OR($Q2024=TRUE(),$Q2024="TRUE"),1,0))</f>
        <v/>
      </c>
      <c r="AM2024">
        <f>IF($C2024="","",IF($W2024="Yes",1,0))</f>
        <v/>
      </c>
      <c r="AN2024">
        <f>IF($AJ2024=1,IFERROR(IF(VALUE($C2024)&lt;100000000,VALUE($C2024),1000000000),IFERROR(IF(VALUE(MID($C2024,2,20))&lt;100000000,VALUE(MID($C2024,2,20)),1000000000),1000000000))+ROW()/100000,"")</f>
        <v/>
      </c>
    </row>
    <row r="2025">
      <c r="E2025" s="11" t="n"/>
      <c r="M2025" s="7">
        <f>IF($C2025="","",L2025*U2025/100)</f>
        <v/>
      </c>
      <c r="N2025" s="7" t="n"/>
      <c r="T2025" s="7" t="n"/>
      <c r="U2025" s="7">
        <f>IF($C2025="","",S2025*T2025)</f>
        <v/>
      </c>
      <c r="X2025">
        <f>IF($C2025="","",IF($AM2025=1,0,IF($AL2025=1,Settings!$C$6,Settings!$C$7))*100)</f>
        <v/>
      </c>
      <c r="AB2025" s="7" t="n"/>
      <c r="AE2025" s="11" t="n"/>
      <c r="AG2025" s="7">
        <f>IF($C2025="","",U2025*X2025/100)</f>
        <v/>
      </c>
      <c r="AH2025" s="7">
        <f>IF($C2025="","",U2025-AG2025)</f>
        <v/>
      </c>
      <c r="AI2025" s="7">
        <f>IF($C2025="","",AH2025-M2025)</f>
        <v/>
      </c>
      <c r="AJ2025">
        <f>IF($C2025="","",IF(COUNTIF($C$2:$C2025,$C2025)=1,1,0))</f>
        <v/>
      </c>
      <c r="AK2025">
        <f>IF($AJ2025=1,SUMPRODUCT(--($AN$2:$AN$4001&lt;$AN2025))+1,"")</f>
        <v/>
      </c>
      <c r="AL2025">
        <f>IF($C2025="","",IF(OR($Q2025=TRUE(),$Q2025="TRUE"),1,0))</f>
        <v/>
      </c>
      <c r="AM2025">
        <f>IF($C2025="","",IF($W2025="Yes",1,0))</f>
        <v/>
      </c>
      <c r="AN2025">
        <f>IF($AJ2025=1,IFERROR(IF(VALUE($C2025)&lt;100000000,VALUE($C2025),1000000000),IFERROR(IF(VALUE(MID($C2025,2,20))&lt;100000000,VALUE(MID($C2025,2,20)),1000000000),1000000000))+ROW()/100000,"")</f>
        <v/>
      </c>
    </row>
    <row r="2026">
      <c r="E2026" s="11" t="n"/>
      <c r="M2026" s="7">
        <f>IF($C2026="","",L2026*U2026/100)</f>
        <v/>
      </c>
      <c r="N2026" s="7" t="n"/>
      <c r="T2026" s="7" t="n"/>
      <c r="U2026" s="7">
        <f>IF($C2026="","",S2026*T2026)</f>
        <v/>
      </c>
      <c r="X2026">
        <f>IF($C2026="","",IF($AM2026=1,0,IF($AL2026=1,Settings!$C$6,Settings!$C$7))*100)</f>
        <v/>
      </c>
      <c r="AB2026" s="7" t="n"/>
      <c r="AE2026" s="11" t="n"/>
      <c r="AG2026" s="7">
        <f>IF($C2026="","",U2026*X2026/100)</f>
        <v/>
      </c>
      <c r="AH2026" s="7">
        <f>IF($C2026="","",U2026-AG2026)</f>
        <v/>
      </c>
      <c r="AI2026" s="7">
        <f>IF($C2026="","",AH2026-M2026)</f>
        <v/>
      </c>
      <c r="AJ2026">
        <f>IF($C2026="","",IF(COUNTIF($C$2:$C2026,$C2026)=1,1,0))</f>
        <v/>
      </c>
      <c r="AK2026">
        <f>IF($AJ2026=1,SUMPRODUCT(--($AN$2:$AN$4001&lt;$AN2026))+1,"")</f>
        <v/>
      </c>
      <c r="AL2026">
        <f>IF($C2026="","",IF(OR($Q2026=TRUE(),$Q2026="TRUE"),1,0))</f>
        <v/>
      </c>
      <c r="AM2026">
        <f>IF($C2026="","",IF($W2026="Yes",1,0))</f>
        <v/>
      </c>
      <c r="AN2026">
        <f>IF($AJ2026=1,IFERROR(IF(VALUE($C2026)&lt;100000000,VALUE($C2026),1000000000),IFERROR(IF(VALUE(MID($C2026,2,20))&lt;100000000,VALUE(MID($C2026,2,20)),1000000000),1000000000))+ROW()/100000,"")</f>
        <v/>
      </c>
    </row>
    <row r="2027">
      <c r="E2027" s="11" t="n"/>
      <c r="M2027" s="7">
        <f>IF($C2027="","",L2027*U2027/100)</f>
        <v/>
      </c>
      <c r="N2027" s="7" t="n"/>
      <c r="T2027" s="7" t="n"/>
      <c r="U2027" s="7">
        <f>IF($C2027="","",S2027*T2027)</f>
        <v/>
      </c>
      <c r="X2027">
        <f>IF($C2027="","",IF($AM2027=1,0,IF($AL2027=1,Settings!$C$6,Settings!$C$7))*100)</f>
        <v/>
      </c>
      <c r="AB2027" s="7" t="n"/>
      <c r="AE2027" s="11" t="n"/>
      <c r="AG2027" s="7">
        <f>IF($C2027="","",U2027*X2027/100)</f>
        <v/>
      </c>
      <c r="AH2027" s="7">
        <f>IF($C2027="","",U2027-AG2027)</f>
        <v/>
      </c>
      <c r="AI2027" s="7">
        <f>IF($C2027="","",AH2027-M2027)</f>
        <v/>
      </c>
      <c r="AJ2027">
        <f>IF($C2027="","",IF(COUNTIF($C$2:$C2027,$C2027)=1,1,0))</f>
        <v/>
      </c>
      <c r="AK2027">
        <f>IF($AJ2027=1,SUMPRODUCT(--($AN$2:$AN$4001&lt;$AN2027))+1,"")</f>
        <v/>
      </c>
      <c r="AL2027">
        <f>IF($C2027="","",IF(OR($Q2027=TRUE(),$Q2027="TRUE"),1,0))</f>
        <v/>
      </c>
      <c r="AM2027">
        <f>IF($C2027="","",IF($W2027="Yes",1,0))</f>
        <v/>
      </c>
      <c r="AN2027">
        <f>IF($AJ2027=1,IFERROR(IF(VALUE($C2027)&lt;100000000,VALUE($C2027),1000000000),IFERROR(IF(VALUE(MID($C2027,2,20))&lt;100000000,VALUE(MID($C2027,2,20)),1000000000),1000000000))+ROW()/100000,"")</f>
        <v/>
      </c>
    </row>
    <row r="2028">
      <c r="E2028" s="11" t="n"/>
      <c r="M2028" s="7">
        <f>IF($C2028="","",L2028*U2028/100)</f>
        <v/>
      </c>
      <c r="N2028" s="7" t="n"/>
      <c r="T2028" s="7" t="n"/>
      <c r="U2028" s="7">
        <f>IF($C2028="","",S2028*T2028)</f>
        <v/>
      </c>
      <c r="X2028">
        <f>IF($C2028="","",IF($AM2028=1,0,IF($AL2028=1,Settings!$C$6,Settings!$C$7))*100)</f>
        <v/>
      </c>
      <c r="AB2028" s="7" t="n"/>
      <c r="AE2028" s="11" t="n"/>
      <c r="AG2028" s="7">
        <f>IF($C2028="","",U2028*X2028/100)</f>
        <v/>
      </c>
      <c r="AH2028" s="7">
        <f>IF($C2028="","",U2028-AG2028)</f>
        <v/>
      </c>
      <c r="AI2028" s="7">
        <f>IF($C2028="","",AH2028-M2028)</f>
        <v/>
      </c>
      <c r="AJ2028">
        <f>IF($C2028="","",IF(COUNTIF($C$2:$C2028,$C2028)=1,1,0))</f>
        <v/>
      </c>
      <c r="AK2028">
        <f>IF($AJ2028=1,SUMPRODUCT(--($AN$2:$AN$4001&lt;$AN2028))+1,"")</f>
        <v/>
      </c>
      <c r="AL2028">
        <f>IF($C2028="","",IF(OR($Q2028=TRUE(),$Q2028="TRUE"),1,0))</f>
        <v/>
      </c>
      <c r="AM2028">
        <f>IF($C2028="","",IF($W2028="Yes",1,0))</f>
        <v/>
      </c>
      <c r="AN2028">
        <f>IF($AJ2028=1,IFERROR(IF(VALUE($C2028)&lt;100000000,VALUE($C2028),1000000000),IFERROR(IF(VALUE(MID($C2028,2,20))&lt;100000000,VALUE(MID($C2028,2,20)),1000000000),1000000000))+ROW()/100000,"")</f>
        <v/>
      </c>
    </row>
    <row r="2029">
      <c r="E2029" s="11" t="n"/>
      <c r="M2029" s="7">
        <f>IF($C2029="","",L2029*U2029/100)</f>
        <v/>
      </c>
      <c r="N2029" s="7" t="n"/>
      <c r="T2029" s="7" t="n"/>
      <c r="U2029" s="7">
        <f>IF($C2029="","",S2029*T2029)</f>
        <v/>
      </c>
      <c r="X2029">
        <f>IF($C2029="","",IF($AM2029=1,0,IF($AL2029=1,Settings!$C$6,Settings!$C$7))*100)</f>
        <v/>
      </c>
      <c r="AB2029" s="7" t="n"/>
      <c r="AE2029" s="11" t="n"/>
      <c r="AG2029" s="7">
        <f>IF($C2029="","",U2029*X2029/100)</f>
        <v/>
      </c>
      <c r="AH2029" s="7">
        <f>IF($C2029="","",U2029-AG2029)</f>
        <v/>
      </c>
      <c r="AI2029" s="7">
        <f>IF($C2029="","",AH2029-M2029)</f>
        <v/>
      </c>
      <c r="AJ2029">
        <f>IF($C2029="","",IF(COUNTIF($C$2:$C2029,$C2029)=1,1,0))</f>
        <v/>
      </c>
      <c r="AK2029">
        <f>IF($AJ2029=1,SUMPRODUCT(--($AN$2:$AN$4001&lt;$AN2029))+1,"")</f>
        <v/>
      </c>
      <c r="AL2029">
        <f>IF($C2029="","",IF(OR($Q2029=TRUE(),$Q2029="TRUE"),1,0))</f>
        <v/>
      </c>
      <c r="AM2029">
        <f>IF($C2029="","",IF($W2029="Yes",1,0))</f>
        <v/>
      </c>
      <c r="AN2029">
        <f>IF($AJ2029=1,IFERROR(IF(VALUE($C2029)&lt;100000000,VALUE($C2029),1000000000),IFERROR(IF(VALUE(MID($C2029,2,20))&lt;100000000,VALUE(MID($C2029,2,20)),1000000000),1000000000))+ROW()/100000,"")</f>
        <v/>
      </c>
    </row>
    <row r="2030">
      <c r="E2030" s="11" t="n"/>
      <c r="M2030" s="7">
        <f>IF($C2030="","",L2030*U2030/100)</f>
        <v/>
      </c>
      <c r="N2030" s="7" t="n"/>
      <c r="T2030" s="7" t="n"/>
      <c r="U2030" s="7">
        <f>IF($C2030="","",S2030*T2030)</f>
        <v/>
      </c>
      <c r="X2030">
        <f>IF($C2030="","",IF($AM2030=1,0,IF($AL2030=1,Settings!$C$6,Settings!$C$7))*100)</f>
        <v/>
      </c>
      <c r="AB2030" s="7" t="n"/>
      <c r="AE2030" s="11" t="n"/>
      <c r="AG2030" s="7">
        <f>IF($C2030="","",U2030*X2030/100)</f>
        <v/>
      </c>
      <c r="AH2030" s="7">
        <f>IF($C2030="","",U2030-AG2030)</f>
        <v/>
      </c>
      <c r="AI2030" s="7">
        <f>IF($C2030="","",AH2030-M2030)</f>
        <v/>
      </c>
      <c r="AJ2030">
        <f>IF($C2030="","",IF(COUNTIF($C$2:$C2030,$C2030)=1,1,0))</f>
        <v/>
      </c>
      <c r="AK2030">
        <f>IF($AJ2030=1,SUMPRODUCT(--($AN$2:$AN$4001&lt;$AN2030))+1,"")</f>
        <v/>
      </c>
      <c r="AL2030">
        <f>IF($C2030="","",IF(OR($Q2030=TRUE(),$Q2030="TRUE"),1,0))</f>
        <v/>
      </c>
      <c r="AM2030">
        <f>IF($C2030="","",IF($W2030="Yes",1,0))</f>
        <v/>
      </c>
      <c r="AN2030">
        <f>IF($AJ2030=1,IFERROR(IF(VALUE($C2030)&lt;100000000,VALUE($C2030),1000000000),IFERROR(IF(VALUE(MID($C2030,2,20))&lt;100000000,VALUE(MID($C2030,2,20)),1000000000),1000000000))+ROW()/100000,"")</f>
        <v/>
      </c>
    </row>
    <row r="2031">
      <c r="E2031" s="11" t="n"/>
      <c r="M2031" s="7">
        <f>IF($C2031="","",L2031*U2031/100)</f>
        <v/>
      </c>
      <c r="N2031" s="7" t="n"/>
      <c r="T2031" s="7" t="n"/>
      <c r="U2031" s="7">
        <f>IF($C2031="","",S2031*T2031)</f>
        <v/>
      </c>
      <c r="X2031">
        <f>IF($C2031="","",IF($AM2031=1,0,IF($AL2031=1,Settings!$C$6,Settings!$C$7))*100)</f>
        <v/>
      </c>
      <c r="AB2031" s="7" t="n"/>
      <c r="AE2031" s="11" t="n"/>
      <c r="AG2031" s="7">
        <f>IF($C2031="","",U2031*X2031/100)</f>
        <v/>
      </c>
      <c r="AH2031" s="7">
        <f>IF($C2031="","",U2031-AG2031)</f>
        <v/>
      </c>
      <c r="AI2031" s="7">
        <f>IF($C2031="","",AH2031-M2031)</f>
        <v/>
      </c>
      <c r="AJ2031">
        <f>IF($C2031="","",IF(COUNTIF($C$2:$C2031,$C2031)=1,1,0))</f>
        <v/>
      </c>
      <c r="AK2031">
        <f>IF($AJ2031=1,SUMPRODUCT(--($AN$2:$AN$4001&lt;$AN2031))+1,"")</f>
        <v/>
      </c>
      <c r="AL2031">
        <f>IF($C2031="","",IF(OR($Q2031=TRUE(),$Q2031="TRUE"),1,0))</f>
        <v/>
      </c>
      <c r="AM2031">
        <f>IF($C2031="","",IF($W2031="Yes",1,0))</f>
        <v/>
      </c>
      <c r="AN2031">
        <f>IF($AJ2031=1,IFERROR(IF(VALUE($C2031)&lt;100000000,VALUE($C2031),1000000000),IFERROR(IF(VALUE(MID($C2031,2,20))&lt;100000000,VALUE(MID($C2031,2,20)),1000000000),1000000000))+ROW()/100000,"")</f>
        <v/>
      </c>
    </row>
    <row r="2032">
      <c r="E2032" s="11" t="n"/>
      <c r="M2032" s="7">
        <f>IF($C2032="","",L2032*U2032/100)</f>
        <v/>
      </c>
      <c r="N2032" s="7" t="n"/>
      <c r="T2032" s="7" t="n"/>
      <c r="U2032" s="7">
        <f>IF($C2032="","",S2032*T2032)</f>
        <v/>
      </c>
      <c r="X2032">
        <f>IF($C2032="","",IF($AM2032=1,0,IF($AL2032=1,Settings!$C$6,Settings!$C$7))*100)</f>
        <v/>
      </c>
      <c r="AB2032" s="7" t="n"/>
      <c r="AE2032" s="11" t="n"/>
      <c r="AG2032" s="7">
        <f>IF($C2032="","",U2032*X2032/100)</f>
        <v/>
      </c>
      <c r="AH2032" s="7">
        <f>IF($C2032="","",U2032-AG2032)</f>
        <v/>
      </c>
      <c r="AI2032" s="7">
        <f>IF($C2032="","",AH2032-M2032)</f>
        <v/>
      </c>
      <c r="AJ2032">
        <f>IF($C2032="","",IF(COUNTIF($C$2:$C2032,$C2032)=1,1,0))</f>
        <v/>
      </c>
      <c r="AK2032">
        <f>IF($AJ2032=1,SUMPRODUCT(--($AN$2:$AN$4001&lt;$AN2032))+1,"")</f>
        <v/>
      </c>
      <c r="AL2032">
        <f>IF($C2032="","",IF(OR($Q2032=TRUE(),$Q2032="TRUE"),1,0))</f>
        <v/>
      </c>
      <c r="AM2032">
        <f>IF($C2032="","",IF($W2032="Yes",1,0))</f>
        <v/>
      </c>
      <c r="AN2032">
        <f>IF($AJ2032=1,IFERROR(IF(VALUE($C2032)&lt;100000000,VALUE($C2032),1000000000),IFERROR(IF(VALUE(MID($C2032,2,20))&lt;100000000,VALUE(MID($C2032,2,20)),1000000000),1000000000))+ROW()/100000,"")</f>
        <v/>
      </c>
    </row>
    <row r="2033">
      <c r="E2033" s="11" t="n"/>
      <c r="M2033" s="7">
        <f>IF($C2033="","",L2033*U2033/100)</f>
        <v/>
      </c>
      <c r="N2033" s="7" t="n"/>
      <c r="T2033" s="7" t="n"/>
      <c r="U2033" s="7">
        <f>IF($C2033="","",S2033*T2033)</f>
        <v/>
      </c>
      <c r="X2033">
        <f>IF($C2033="","",IF($AM2033=1,0,IF($AL2033=1,Settings!$C$6,Settings!$C$7))*100)</f>
        <v/>
      </c>
      <c r="AB2033" s="7" t="n"/>
      <c r="AE2033" s="11" t="n"/>
      <c r="AG2033" s="7">
        <f>IF($C2033="","",U2033*X2033/100)</f>
        <v/>
      </c>
      <c r="AH2033" s="7">
        <f>IF($C2033="","",U2033-AG2033)</f>
        <v/>
      </c>
      <c r="AI2033" s="7">
        <f>IF($C2033="","",AH2033-M2033)</f>
        <v/>
      </c>
      <c r="AJ2033">
        <f>IF($C2033="","",IF(COUNTIF($C$2:$C2033,$C2033)=1,1,0))</f>
        <v/>
      </c>
      <c r="AK2033">
        <f>IF($AJ2033=1,SUMPRODUCT(--($AN$2:$AN$4001&lt;$AN2033))+1,"")</f>
        <v/>
      </c>
      <c r="AL2033">
        <f>IF($C2033="","",IF(OR($Q2033=TRUE(),$Q2033="TRUE"),1,0))</f>
        <v/>
      </c>
      <c r="AM2033">
        <f>IF($C2033="","",IF($W2033="Yes",1,0))</f>
        <v/>
      </c>
      <c r="AN2033">
        <f>IF($AJ2033=1,IFERROR(IF(VALUE($C2033)&lt;100000000,VALUE($C2033),1000000000),IFERROR(IF(VALUE(MID($C2033,2,20))&lt;100000000,VALUE(MID($C2033,2,20)),1000000000),1000000000))+ROW()/100000,"")</f>
        <v/>
      </c>
    </row>
    <row r="2034">
      <c r="E2034" s="11" t="n"/>
      <c r="M2034" s="7">
        <f>IF($C2034="","",L2034*U2034/100)</f>
        <v/>
      </c>
      <c r="N2034" s="7" t="n"/>
      <c r="T2034" s="7" t="n"/>
      <c r="U2034" s="7">
        <f>IF($C2034="","",S2034*T2034)</f>
        <v/>
      </c>
      <c r="X2034">
        <f>IF($C2034="","",IF($AM2034=1,0,IF($AL2034=1,Settings!$C$6,Settings!$C$7))*100)</f>
        <v/>
      </c>
      <c r="AB2034" s="7" t="n"/>
      <c r="AE2034" s="11" t="n"/>
      <c r="AG2034" s="7">
        <f>IF($C2034="","",U2034*X2034/100)</f>
        <v/>
      </c>
      <c r="AH2034" s="7">
        <f>IF($C2034="","",U2034-AG2034)</f>
        <v/>
      </c>
      <c r="AI2034" s="7">
        <f>IF($C2034="","",AH2034-M2034)</f>
        <v/>
      </c>
      <c r="AJ2034">
        <f>IF($C2034="","",IF(COUNTIF($C$2:$C2034,$C2034)=1,1,0))</f>
        <v/>
      </c>
      <c r="AK2034">
        <f>IF($AJ2034=1,SUMPRODUCT(--($AN$2:$AN$4001&lt;$AN2034))+1,"")</f>
        <v/>
      </c>
      <c r="AL2034">
        <f>IF($C2034="","",IF(OR($Q2034=TRUE(),$Q2034="TRUE"),1,0))</f>
        <v/>
      </c>
      <c r="AM2034">
        <f>IF($C2034="","",IF($W2034="Yes",1,0))</f>
        <v/>
      </c>
      <c r="AN2034">
        <f>IF($AJ2034=1,IFERROR(IF(VALUE($C2034)&lt;100000000,VALUE($C2034),1000000000),IFERROR(IF(VALUE(MID($C2034,2,20))&lt;100000000,VALUE(MID($C2034,2,20)),1000000000),1000000000))+ROW()/100000,"")</f>
        <v/>
      </c>
    </row>
    <row r="2035">
      <c r="E2035" s="11" t="n"/>
      <c r="M2035" s="7">
        <f>IF($C2035="","",L2035*U2035/100)</f>
        <v/>
      </c>
      <c r="N2035" s="7" t="n"/>
      <c r="T2035" s="7" t="n"/>
      <c r="U2035" s="7">
        <f>IF($C2035="","",S2035*T2035)</f>
        <v/>
      </c>
      <c r="X2035">
        <f>IF($C2035="","",IF($AM2035=1,0,IF($AL2035=1,Settings!$C$6,Settings!$C$7))*100)</f>
        <v/>
      </c>
      <c r="AB2035" s="7" t="n"/>
      <c r="AE2035" s="11" t="n"/>
      <c r="AG2035" s="7">
        <f>IF($C2035="","",U2035*X2035/100)</f>
        <v/>
      </c>
      <c r="AH2035" s="7">
        <f>IF($C2035="","",U2035-AG2035)</f>
        <v/>
      </c>
      <c r="AI2035" s="7">
        <f>IF($C2035="","",AH2035-M2035)</f>
        <v/>
      </c>
      <c r="AJ2035">
        <f>IF($C2035="","",IF(COUNTIF($C$2:$C2035,$C2035)=1,1,0))</f>
        <v/>
      </c>
      <c r="AK2035">
        <f>IF($AJ2035=1,SUMPRODUCT(--($AN$2:$AN$4001&lt;$AN2035))+1,"")</f>
        <v/>
      </c>
      <c r="AL2035">
        <f>IF($C2035="","",IF(OR($Q2035=TRUE(),$Q2035="TRUE"),1,0))</f>
        <v/>
      </c>
      <c r="AM2035">
        <f>IF($C2035="","",IF($W2035="Yes",1,0))</f>
        <v/>
      </c>
      <c r="AN2035">
        <f>IF($AJ2035=1,IFERROR(IF(VALUE($C2035)&lt;100000000,VALUE($C2035),1000000000),IFERROR(IF(VALUE(MID($C2035,2,20))&lt;100000000,VALUE(MID($C2035,2,20)),1000000000),1000000000))+ROW()/100000,"")</f>
        <v/>
      </c>
    </row>
    <row r="2036">
      <c r="E2036" s="11" t="n"/>
      <c r="M2036" s="7">
        <f>IF($C2036="","",L2036*U2036/100)</f>
        <v/>
      </c>
      <c r="N2036" s="7" t="n"/>
      <c r="T2036" s="7" t="n"/>
      <c r="U2036" s="7">
        <f>IF($C2036="","",S2036*T2036)</f>
        <v/>
      </c>
      <c r="X2036">
        <f>IF($C2036="","",IF($AM2036=1,0,IF($AL2036=1,Settings!$C$6,Settings!$C$7))*100)</f>
        <v/>
      </c>
      <c r="AB2036" s="7" t="n"/>
      <c r="AE2036" s="11" t="n"/>
      <c r="AG2036" s="7">
        <f>IF($C2036="","",U2036*X2036/100)</f>
        <v/>
      </c>
      <c r="AH2036" s="7">
        <f>IF($C2036="","",U2036-AG2036)</f>
        <v/>
      </c>
      <c r="AI2036" s="7">
        <f>IF($C2036="","",AH2036-M2036)</f>
        <v/>
      </c>
      <c r="AJ2036">
        <f>IF($C2036="","",IF(COUNTIF($C$2:$C2036,$C2036)=1,1,0))</f>
        <v/>
      </c>
      <c r="AK2036">
        <f>IF($AJ2036=1,SUMPRODUCT(--($AN$2:$AN$4001&lt;$AN2036))+1,"")</f>
        <v/>
      </c>
      <c r="AL2036">
        <f>IF($C2036="","",IF(OR($Q2036=TRUE(),$Q2036="TRUE"),1,0))</f>
        <v/>
      </c>
      <c r="AM2036">
        <f>IF($C2036="","",IF($W2036="Yes",1,0))</f>
        <v/>
      </c>
      <c r="AN2036">
        <f>IF($AJ2036=1,IFERROR(IF(VALUE($C2036)&lt;100000000,VALUE($C2036),1000000000),IFERROR(IF(VALUE(MID($C2036,2,20))&lt;100000000,VALUE(MID($C2036,2,20)),1000000000),1000000000))+ROW()/100000,"")</f>
        <v/>
      </c>
    </row>
    <row r="2037">
      <c r="E2037" s="11" t="n"/>
      <c r="M2037" s="7">
        <f>IF($C2037="","",L2037*U2037/100)</f>
        <v/>
      </c>
      <c r="N2037" s="7" t="n"/>
      <c r="T2037" s="7" t="n"/>
      <c r="U2037" s="7">
        <f>IF($C2037="","",S2037*T2037)</f>
        <v/>
      </c>
      <c r="X2037">
        <f>IF($C2037="","",IF($AM2037=1,0,IF($AL2037=1,Settings!$C$6,Settings!$C$7))*100)</f>
        <v/>
      </c>
      <c r="AB2037" s="7" t="n"/>
      <c r="AE2037" s="11" t="n"/>
      <c r="AG2037" s="7">
        <f>IF($C2037="","",U2037*X2037/100)</f>
        <v/>
      </c>
      <c r="AH2037" s="7">
        <f>IF($C2037="","",U2037-AG2037)</f>
        <v/>
      </c>
      <c r="AI2037" s="7">
        <f>IF($C2037="","",AH2037-M2037)</f>
        <v/>
      </c>
      <c r="AJ2037">
        <f>IF($C2037="","",IF(COUNTIF($C$2:$C2037,$C2037)=1,1,0))</f>
        <v/>
      </c>
      <c r="AK2037">
        <f>IF($AJ2037=1,SUMPRODUCT(--($AN$2:$AN$4001&lt;$AN2037))+1,"")</f>
        <v/>
      </c>
      <c r="AL2037">
        <f>IF($C2037="","",IF(OR($Q2037=TRUE(),$Q2037="TRUE"),1,0))</f>
        <v/>
      </c>
      <c r="AM2037">
        <f>IF($C2037="","",IF($W2037="Yes",1,0))</f>
        <v/>
      </c>
      <c r="AN2037">
        <f>IF($AJ2037=1,IFERROR(IF(VALUE($C2037)&lt;100000000,VALUE($C2037),1000000000),IFERROR(IF(VALUE(MID($C2037,2,20))&lt;100000000,VALUE(MID($C2037,2,20)),1000000000),1000000000))+ROW()/100000,"")</f>
        <v/>
      </c>
    </row>
    <row r="2038">
      <c r="E2038" s="11" t="n"/>
      <c r="M2038" s="7">
        <f>IF($C2038="","",L2038*U2038/100)</f>
        <v/>
      </c>
      <c r="N2038" s="7" t="n"/>
      <c r="T2038" s="7" t="n"/>
      <c r="U2038" s="7">
        <f>IF($C2038="","",S2038*T2038)</f>
        <v/>
      </c>
      <c r="X2038">
        <f>IF($C2038="","",IF($AM2038=1,0,IF($AL2038=1,Settings!$C$6,Settings!$C$7))*100)</f>
        <v/>
      </c>
      <c r="AB2038" s="7" t="n"/>
      <c r="AE2038" s="11" t="n"/>
      <c r="AG2038" s="7">
        <f>IF($C2038="","",U2038*X2038/100)</f>
        <v/>
      </c>
      <c r="AH2038" s="7">
        <f>IF($C2038="","",U2038-AG2038)</f>
        <v/>
      </c>
      <c r="AI2038" s="7">
        <f>IF($C2038="","",AH2038-M2038)</f>
        <v/>
      </c>
      <c r="AJ2038">
        <f>IF($C2038="","",IF(COUNTIF($C$2:$C2038,$C2038)=1,1,0))</f>
        <v/>
      </c>
      <c r="AK2038">
        <f>IF($AJ2038=1,SUMPRODUCT(--($AN$2:$AN$4001&lt;$AN2038))+1,"")</f>
        <v/>
      </c>
      <c r="AL2038">
        <f>IF($C2038="","",IF(OR($Q2038=TRUE(),$Q2038="TRUE"),1,0))</f>
        <v/>
      </c>
      <c r="AM2038">
        <f>IF($C2038="","",IF($W2038="Yes",1,0))</f>
        <v/>
      </c>
      <c r="AN2038">
        <f>IF($AJ2038=1,IFERROR(IF(VALUE($C2038)&lt;100000000,VALUE($C2038),1000000000),IFERROR(IF(VALUE(MID($C2038,2,20))&lt;100000000,VALUE(MID($C2038,2,20)),1000000000),1000000000))+ROW()/100000,"")</f>
        <v/>
      </c>
    </row>
    <row r="2039">
      <c r="E2039" s="11" t="n"/>
      <c r="M2039" s="7">
        <f>IF($C2039="","",L2039*U2039/100)</f>
        <v/>
      </c>
      <c r="N2039" s="7" t="n"/>
      <c r="T2039" s="7" t="n"/>
      <c r="U2039" s="7">
        <f>IF($C2039="","",S2039*T2039)</f>
        <v/>
      </c>
      <c r="X2039">
        <f>IF($C2039="","",IF($AM2039=1,0,IF($AL2039=1,Settings!$C$6,Settings!$C$7))*100)</f>
        <v/>
      </c>
      <c r="AB2039" s="7" t="n"/>
      <c r="AE2039" s="11" t="n"/>
      <c r="AG2039" s="7">
        <f>IF($C2039="","",U2039*X2039/100)</f>
        <v/>
      </c>
      <c r="AH2039" s="7">
        <f>IF($C2039="","",U2039-AG2039)</f>
        <v/>
      </c>
      <c r="AI2039" s="7">
        <f>IF($C2039="","",AH2039-M2039)</f>
        <v/>
      </c>
      <c r="AJ2039">
        <f>IF($C2039="","",IF(COUNTIF($C$2:$C2039,$C2039)=1,1,0))</f>
        <v/>
      </c>
      <c r="AK2039">
        <f>IF($AJ2039=1,SUMPRODUCT(--($AN$2:$AN$4001&lt;$AN2039))+1,"")</f>
        <v/>
      </c>
      <c r="AL2039">
        <f>IF($C2039="","",IF(OR($Q2039=TRUE(),$Q2039="TRUE"),1,0))</f>
        <v/>
      </c>
      <c r="AM2039">
        <f>IF($C2039="","",IF($W2039="Yes",1,0))</f>
        <v/>
      </c>
      <c r="AN2039">
        <f>IF($AJ2039=1,IFERROR(IF(VALUE($C2039)&lt;100000000,VALUE($C2039),1000000000),IFERROR(IF(VALUE(MID($C2039,2,20))&lt;100000000,VALUE(MID($C2039,2,20)),1000000000),1000000000))+ROW()/100000,"")</f>
        <v/>
      </c>
    </row>
    <row r="2040">
      <c r="E2040" s="11" t="n"/>
      <c r="M2040" s="7">
        <f>IF($C2040="","",L2040*U2040/100)</f>
        <v/>
      </c>
      <c r="N2040" s="7" t="n"/>
      <c r="T2040" s="7" t="n"/>
      <c r="U2040" s="7">
        <f>IF($C2040="","",S2040*T2040)</f>
        <v/>
      </c>
      <c r="X2040">
        <f>IF($C2040="","",IF($AM2040=1,0,IF($AL2040=1,Settings!$C$6,Settings!$C$7))*100)</f>
        <v/>
      </c>
      <c r="AB2040" s="7" t="n"/>
      <c r="AE2040" s="11" t="n"/>
      <c r="AG2040" s="7">
        <f>IF($C2040="","",U2040*X2040/100)</f>
        <v/>
      </c>
      <c r="AH2040" s="7">
        <f>IF($C2040="","",U2040-AG2040)</f>
        <v/>
      </c>
      <c r="AI2040" s="7">
        <f>IF($C2040="","",AH2040-M2040)</f>
        <v/>
      </c>
      <c r="AJ2040">
        <f>IF($C2040="","",IF(COUNTIF($C$2:$C2040,$C2040)=1,1,0))</f>
        <v/>
      </c>
      <c r="AK2040">
        <f>IF($AJ2040=1,SUMPRODUCT(--($AN$2:$AN$4001&lt;$AN2040))+1,"")</f>
        <v/>
      </c>
      <c r="AL2040">
        <f>IF($C2040="","",IF(OR($Q2040=TRUE(),$Q2040="TRUE"),1,0))</f>
        <v/>
      </c>
      <c r="AM2040">
        <f>IF($C2040="","",IF($W2040="Yes",1,0))</f>
        <v/>
      </c>
      <c r="AN2040">
        <f>IF($AJ2040=1,IFERROR(IF(VALUE($C2040)&lt;100000000,VALUE($C2040),1000000000),IFERROR(IF(VALUE(MID($C2040,2,20))&lt;100000000,VALUE(MID($C2040,2,20)),1000000000),1000000000))+ROW()/100000,"")</f>
        <v/>
      </c>
    </row>
    <row r="2041">
      <c r="E2041" s="11" t="n"/>
      <c r="M2041" s="7">
        <f>IF($C2041="","",L2041*U2041/100)</f>
        <v/>
      </c>
      <c r="N2041" s="7" t="n"/>
      <c r="T2041" s="7" t="n"/>
      <c r="U2041" s="7">
        <f>IF($C2041="","",S2041*T2041)</f>
        <v/>
      </c>
      <c r="X2041">
        <f>IF($C2041="","",IF($AM2041=1,0,IF($AL2041=1,Settings!$C$6,Settings!$C$7))*100)</f>
        <v/>
      </c>
      <c r="AB2041" s="7" t="n"/>
      <c r="AE2041" s="11" t="n"/>
      <c r="AG2041" s="7">
        <f>IF($C2041="","",U2041*X2041/100)</f>
        <v/>
      </c>
      <c r="AH2041" s="7">
        <f>IF($C2041="","",U2041-AG2041)</f>
        <v/>
      </c>
      <c r="AI2041" s="7">
        <f>IF($C2041="","",AH2041-M2041)</f>
        <v/>
      </c>
      <c r="AJ2041">
        <f>IF($C2041="","",IF(COUNTIF($C$2:$C2041,$C2041)=1,1,0))</f>
        <v/>
      </c>
      <c r="AK2041">
        <f>IF($AJ2041=1,SUMPRODUCT(--($AN$2:$AN$4001&lt;$AN2041))+1,"")</f>
        <v/>
      </c>
      <c r="AL2041">
        <f>IF($C2041="","",IF(OR($Q2041=TRUE(),$Q2041="TRUE"),1,0))</f>
        <v/>
      </c>
      <c r="AM2041">
        <f>IF($C2041="","",IF($W2041="Yes",1,0))</f>
        <v/>
      </c>
      <c r="AN2041">
        <f>IF($AJ2041=1,IFERROR(IF(VALUE($C2041)&lt;100000000,VALUE($C2041),1000000000),IFERROR(IF(VALUE(MID($C2041,2,20))&lt;100000000,VALUE(MID($C2041,2,20)),1000000000),1000000000))+ROW()/100000,"")</f>
        <v/>
      </c>
    </row>
    <row r="2042">
      <c r="E2042" s="11" t="n"/>
      <c r="M2042" s="7">
        <f>IF($C2042="","",L2042*U2042/100)</f>
        <v/>
      </c>
      <c r="N2042" s="7" t="n"/>
      <c r="T2042" s="7" t="n"/>
      <c r="U2042" s="7">
        <f>IF($C2042="","",S2042*T2042)</f>
        <v/>
      </c>
      <c r="X2042">
        <f>IF($C2042="","",IF($AM2042=1,0,IF($AL2042=1,Settings!$C$6,Settings!$C$7))*100)</f>
        <v/>
      </c>
      <c r="AB2042" s="7" t="n"/>
      <c r="AE2042" s="11" t="n"/>
      <c r="AG2042" s="7">
        <f>IF($C2042="","",U2042*X2042/100)</f>
        <v/>
      </c>
      <c r="AH2042" s="7">
        <f>IF($C2042="","",U2042-AG2042)</f>
        <v/>
      </c>
      <c r="AI2042" s="7">
        <f>IF($C2042="","",AH2042-M2042)</f>
        <v/>
      </c>
      <c r="AJ2042">
        <f>IF($C2042="","",IF(COUNTIF($C$2:$C2042,$C2042)=1,1,0))</f>
        <v/>
      </c>
      <c r="AK2042">
        <f>IF($AJ2042=1,SUMPRODUCT(--($AN$2:$AN$4001&lt;$AN2042))+1,"")</f>
        <v/>
      </c>
      <c r="AL2042">
        <f>IF($C2042="","",IF(OR($Q2042=TRUE(),$Q2042="TRUE"),1,0))</f>
        <v/>
      </c>
      <c r="AM2042">
        <f>IF($C2042="","",IF($W2042="Yes",1,0))</f>
        <v/>
      </c>
      <c r="AN2042">
        <f>IF($AJ2042=1,IFERROR(IF(VALUE($C2042)&lt;100000000,VALUE($C2042),1000000000),IFERROR(IF(VALUE(MID($C2042,2,20))&lt;100000000,VALUE(MID($C2042,2,20)),1000000000),1000000000))+ROW()/100000,"")</f>
        <v/>
      </c>
    </row>
    <row r="2043">
      <c r="E2043" s="11" t="n"/>
      <c r="M2043" s="7">
        <f>IF($C2043="","",L2043*U2043/100)</f>
        <v/>
      </c>
      <c r="N2043" s="7" t="n"/>
      <c r="T2043" s="7" t="n"/>
      <c r="U2043" s="7">
        <f>IF($C2043="","",S2043*T2043)</f>
        <v/>
      </c>
      <c r="X2043">
        <f>IF($C2043="","",IF($AM2043=1,0,IF($AL2043=1,Settings!$C$6,Settings!$C$7))*100)</f>
        <v/>
      </c>
      <c r="AB2043" s="7" t="n"/>
      <c r="AE2043" s="11" t="n"/>
      <c r="AG2043" s="7">
        <f>IF($C2043="","",U2043*X2043/100)</f>
        <v/>
      </c>
      <c r="AH2043" s="7">
        <f>IF($C2043="","",U2043-AG2043)</f>
        <v/>
      </c>
      <c r="AI2043" s="7">
        <f>IF($C2043="","",AH2043-M2043)</f>
        <v/>
      </c>
      <c r="AJ2043">
        <f>IF($C2043="","",IF(COUNTIF($C$2:$C2043,$C2043)=1,1,0))</f>
        <v/>
      </c>
      <c r="AK2043">
        <f>IF($AJ2043=1,SUMPRODUCT(--($AN$2:$AN$4001&lt;$AN2043))+1,"")</f>
        <v/>
      </c>
      <c r="AL2043">
        <f>IF($C2043="","",IF(OR($Q2043=TRUE(),$Q2043="TRUE"),1,0))</f>
        <v/>
      </c>
      <c r="AM2043">
        <f>IF($C2043="","",IF($W2043="Yes",1,0))</f>
        <v/>
      </c>
      <c r="AN2043">
        <f>IF($AJ2043=1,IFERROR(IF(VALUE($C2043)&lt;100000000,VALUE($C2043),1000000000),IFERROR(IF(VALUE(MID($C2043,2,20))&lt;100000000,VALUE(MID($C2043,2,20)),1000000000),1000000000))+ROW()/100000,"")</f>
        <v/>
      </c>
    </row>
    <row r="2044">
      <c r="E2044" s="11" t="n"/>
      <c r="M2044" s="7">
        <f>IF($C2044="","",L2044*U2044/100)</f>
        <v/>
      </c>
      <c r="N2044" s="7" t="n"/>
      <c r="T2044" s="7" t="n"/>
      <c r="U2044" s="7">
        <f>IF($C2044="","",S2044*T2044)</f>
        <v/>
      </c>
      <c r="X2044">
        <f>IF($C2044="","",IF($AM2044=1,0,IF($AL2044=1,Settings!$C$6,Settings!$C$7))*100)</f>
        <v/>
      </c>
      <c r="AB2044" s="7" t="n"/>
      <c r="AE2044" s="11" t="n"/>
      <c r="AG2044" s="7">
        <f>IF($C2044="","",U2044*X2044/100)</f>
        <v/>
      </c>
      <c r="AH2044" s="7">
        <f>IF($C2044="","",U2044-AG2044)</f>
        <v/>
      </c>
      <c r="AI2044" s="7">
        <f>IF($C2044="","",AH2044-M2044)</f>
        <v/>
      </c>
      <c r="AJ2044">
        <f>IF($C2044="","",IF(COUNTIF($C$2:$C2044,$C2044)=1,1,0))</f>
        <v/>
      </c>
      <c r="AK2044">
        <f>IF($AJ2044=1,SUMPRODUCT(--($AN$2:$AN$4001&lt;$AN2044))+1,"")</f>
        <v/>
      </c>
      <c r="AL2044">
        <f>IF($C2044="","",IF(OR($Q2044=TRUE(),$Q2044="TRUE"),1,0))</f>
        <v/>
      </c>
      <c r="AM2044">
        <f>IF($C2044="","",IF($W2044="Yes",1,0))</f>
        <v/>
      </c>
      <c r="AN2044">
        <f>IF($AJ2044=1,IFERROR(IF(VALUE($C2044)&lt;100000000,VALUE($C2044),1000000000),IFERROR(IF(VALUE(MID($C2044,2,20))&lt;100000000,VALUE(MID($C2044,2,20)),1000000000),1000000000))+ROW()/100000,"")</f>
        <v/>
      </c>
    </row>
    <row r="2045">
      <c r="E2045" s="11" t="n"/>
      <c r="M2045" s="7">
        <f>IF($C2045="","",L2045*U2045/100)</f>
        <v/>
      </c>
      <c r="N2045" s="7" t="n"/>
      <c r="T2045" s="7" t="n"/>
      <c r="U2045" s="7">
        <f>IF($C2045="","",S2045*T2045)</f>
        <v/>
      </c>
      <c r="X2045">
        <f>IF($C2045="","",IF($AM2045=1,0,IF($AL2045=1,Settings!$C$6,Settings!$C$7))*100)</f>
        <v/>
      </c>
      <c r="AB2045" s="7" t="n"/>
      <c r="AE2045" s="11" t="n"/>
      <c r="AG2045" s="7">
        <f>IF($C2045="","",U2045*X2045/100)</f>
        <v/>
      </c>
      <c r="AH2045" s="7">
        <f>IF($C2045="","",U2045-AG2045)</f>
        <v/>
      </c>
      <c r="AI2045" s="7">
        <f>IF($C2045="","",AH2045-M2045)</f>
        <v/>
      </c>
      <c r="AJ2045">
        <f>IF($C2045="","",IF(COUNTIF($C$2:$C2045,$C2045)=1,1,0))</f>
        <v/>
      </c>
      <c r="AK2045">
        <f>IF($AJ2045=1,SUMPRODUCT(--($AN$2:$AN$4001&lt;$AN2045))+1,"")</f>
        <v/>
      </c>
      <c r="AL2045">
        <f>IF($C2045="","",IF(OR($Q2045=TRUE(),$Q2045="TRUE"),1,0))</f>
        <v/>
      </c>
      <c r="AM2045">
        <f>IF($C2045="","",IF($W2045="Yes",1,0))</f>
        <v/>
      </c>
      <c r="AN2045">
        <f>IF($AJ2045=1,IFERROR(IF(VALUE($C2045)&lt;100000000,VALUE($C2045),1000000000),IFERROR(IF(VALUE(MID($C2045,2,20))&lt;100000000,VALUE(MID($C2045,2,20)),1000000000),1000000000))+ROW()/100000,"")</f>
        <v/>
      </c>
    </row>
    <row r="2046">
      <c r="E2046" s="11" t="n"/>
      <c r="M2046" s="7">
        <f>IF($C2046="","",L2046*U2046/100)</f>
        <v/>
      </c>
      <c r="N2046" s="7" t="n"/>
      <c r="T2046" s="7" t="n"/>
      <c r="U2046" s="7">
        <f>IF($C2046="","",S2046*T2046)</f>
        <v/>
      </c>
      <c r="X2046">
        <f>IF($C2046="","",IF($AM2046=1,0,IF($AL2046=1,Settings!$C$6,Settings!$C$7))*100)</f>
        <v/>
      </c>
      <c r="AB2046" s="7" t="n"/>
      <c r="AE2046" s="11" t="n"/>
      <c r="AG2046" s="7">
        <f>IF($C2046="","",U2046*X2046/100)</f>
        <v/>
      </c>
      <c r="AH2046" s="7">
        <f>IF($C2046="","",U2046-AG2046)</f>
        <v/>
      </c>
      <c r="AI2046" s="7">
        <f>IF($C2046="","",AH2046-M2046)</f>
        <v/>
      </c>
      <c r="AJ2046">
        <f>IF($C2046="","",IF(COUNTIF($C$2:$C2046,$C2046)=1,1,0))</f>
        <v/>
      </c>
      <c r="AK2046">
        <f>IF($AJ2046=1,SUMPRODUCT(--($AN$2:$AN$4001&lt;$AN2046))+1,"")</f>
        <v/>
      </c>
      <c r="AL2046">
        <f>IF($C2046="","",IF(OR($Q2046=TRUE(),$Q2046="TRUE"),1,0))</f>
        <v/>
      </c>
      <c r="AM2046">
        <f>IF($C2046="","",IF($W2046="Yes",1,0))</f>
        <v/>
      </c>
      <c r="AN2046">
        <f>IF($AJ2046=1,IFERROR(IF(VALUE($C2046)&lt;100000000,VALUE($C2046),1000000000),IFERROR(IF(VALUE(MID($C2046,2,20))&lt;100000000,VALUE(MID($C2046,2,20)),1000000000),1000000000))+ROW()/100000,"")</f>
        <v/>
      </c>
    </row>
    <row r="2047">
      <c r="E2047" s="11" t="n"/>
      <c r="M2047" s="7">
        <f>IF($C2047="","",L2047*U2047/100)</f>
        <v/>
      </c>
      <c r="N2047" s="7" t="n"/>
      <c r="T2047" s="7" t="n"/>
      <c r="U2047" s="7">
        <f>IF($C2047="","",S2047*T2047)</f>
        <v/>
      </c>
      <c r="X2047">
        <f>IF($C2047="","",IF($AM2047=1,0,IF($AL2047=1,Settings!$C$6,Settings!$C$7))*100)</f>
        <v/>
      </c>
      <c r="AB2047" s="7" t="n"/>
      <c r="AE2047" s="11" t="n"/>
      <c r="AG2047" s="7">
        <f>IF($C2047="","",U2047*X2047/100)</f>
        <v/>
      </c>
      <c r="AH2047" s="7">
        <f>IF($C2047="","",U2047-AG2047)</f>
        <v/>
      </c>
      <c r="AI2047" s="7">
        <f>IF($C2047="","",AH2047-M2047)</f>
        <v/>
      </c>
      <c r="AJ2047">
        <f>IF($C2047="","",IF(COUNTIF($C$2:$C2047,$C2047)=1,1,0))</f>
        <v/>
      </c>
      <c r="AK2047">
        <f>IF($AJ2047=1,SUMPRODUCT(--($AN$2:$AN$4001&lt;$AN2047))+1,"")</f>
        <v/>
      </c>
      <c r="AL2047">
        <f>IF($C2047="","",IF(OR($Q2047=TRUE(),$Q2047="TRUE"),1,0))</f>
        <v/>
      </c>
      <c r="AM2047">
        <f>IF($C2047="","",IF($W2047="Yes",1,0))</f>
        <v/>
      </c>
      <c r="AN2047">
        <f>IF($AJ2047=1,IFERROR(IF(VALUE($C2047)&lt;100000000,VALUE($C2047),1000000000),IFERROR(IF(VALUE(MID($C2047,2,20))&lt;100000000,VALUE(MID($C2047,2,20)),1000000000),1000000000))+ROW()/100000,"")</f>
        <v/>
      </c>
    </row>
    <row r="2048">
      <c r="E2048" s="11" t="n"/>
      <c r="M2048" s="7">
        <f>IF($C2048="","",L2048*U2048/100)</f>
        <v/>
      </c>
      <c r="N2048" s="7" t="n"/>
      <c r="T2048" s="7" t="n"/>
      <c r="U2048" s="7">
        <f>IF($C2048="","",S2048*T2048)</f>
        <v/>
      </c>
      <c r="X2048">
        <f>IF($C2048="","",IF($AM2048=1,0,IF($AL2048=1,Settings!$C$6,Settings!$C$7))*100)</f>
        <v/>
      </c>
      <c r="AB2048" s="7" t="n"/>
      <c r="AE2048" s="11" t="n"/>
      <c r="AG2048" s="7">
        <f>IF($C2048="","",U2048*X2048/100)</f>
        <v/>
      </c>
      <c r="AH2048" s="7">
        <f>IF($C2048="","",U2048-AG2048)</f>
        <v/>
      </c>
      <c r="AI2048" s="7">
        <f>IF($C2048="","",AH2048-M2048)</f>
        <v/>
      </c>
      <c r="AJ2048">
        <f>IF($C2048="","",IF(COUNTIF($C$2:$C2048,$C2048)=1,1,0))</f>
        <v/>
      </c>
      <c r="AK2048">
        <f>IF($AJ2048=1,SUMPRODUCT(--($AN$2:$AN$4001&lt;$AN2048))+1,"")</f>
        <v/>
      </c>
      <c r="AL2048">
        <f>IF($C2048="","",IF(OR($Q2048=TRUE(),$Q2048="TRUE"),1,0))</f>
        <v/>
      </c>
      <c r="AM2048">
        <f>IF($C2048="","",IF($W2048="Yes",1,0))</f>
        <v/>
      </c>
      <c r="AN2048">
        <f>IF($AJ2048=1,IFERROR(IF(VALUE($C2048)&lt;100000000,VALUE($C2048),1000000000),IFERROR(IF(VALUE(MID($C2048,2,20))&lt;100000000,VALUE(MID($C2048,2,20)),1000000000),1000000000))+ROW()/100000,"")</f>
        <v/>
      </c>
    </row>
    <row r="2049">
      <c r="E2049" s="11" t="n"/>
      <c r="M2049" s="7">
        <f>IF($C2049="","",L2049*U2049/100)</f>
        <v/>
      </c>
      <c r="N2049" s="7" t="n"/>
      <c r="T2049" s="7" t="n"/>
      <c r="U2049" s="7">
        <f>IF($C2049="","",S2049*T2049)</f>
        <v/>
      </c>
      <c r="X2049">
        <f>IF($C2049="","",IF($AM2049=1,0,IF($AL2049=1,Settings!$C$6,Settings!$C$7))*100)</f>
        <v/>
      </c>
      <c r="AB2049" s="7" t="n"/>
      <c r="AE2049" s="11" t="n"/>
      <c r="AG2049" s="7">
        <f>IF($C2049="","",U2049*X2049/100)</f>
        <v/>
      </c>
      <c r="AH2049" s="7">
        <f>IF($C2049="","",U2049-AG2049)</f>
        <v/>
      </c>
      <c r="AI2049" s="7">
        <f>IF($C2049="","",AH2049-M2049)</f>
        <v/>
      </c>
      <c r="AJ2049">
        <f>IF($C2049="","",IF(COUNTIF($C$2:$C2049,$C2049)=1,1,0))</f>
        <v/>
      </c>
      <c r="AK2049">
        <f>IF($AJ2049=1,SUMPRODUCT(--($AN$2:$AN$4001&lt;$AN2049))+1,"")</f>
        <v/>
      </c>
      <c r="AL2049">
        <f>IF($C2049="","",IF(OR($Q2049=TRUE(),$Q2049="TRUE"),1,0))</f>
        <v/>
      </c>
      <c r="AM2049">
        <f>IF($C2049="","",IF($W2049="Yes",1,0))</f>
        <v/>
      </c>
      <c r="AN2049">
        <f>IF($AJ2049=1,IFERROR(IF(VALUE($C2049)&lt;100000000,VALUE($C2049),1000000000),IFERROR(IF(VALUE(MID($C2049,2,20))&lt;100000000,VALUE(MID($C2049,2,20)),1000000000),1000000000))+ROW()/100000,"")</f>
        <v/>
      </c>
    </row>
    <row r="2050">
      <c r="E2050" s="11" t="n"/>
      <c r="M2050" s="7">
        <f>IF($C2050="","",L2050*U2050/100)</f>
        <v/>
      </c>
      <c r="N2050" s="7" t="n"/>
      <c r="T2050" s="7" t="n"/>
      <c r="U2050" s="7">
        <f>IF($C2050="","",S2050*T2050)</f>
        <v/>
      </c>
      <c r="X2050">
        <f>IF($C2050="","",IF($AM2050=1,0,IF($AL2050=1,Settings!$C$6,Settings!$C$7))*100)</f>
        <v/>
      </c>
      <c r="AB2050" s="7" t="n"/>
      <c r="AE2050" s="11" t="n"/>
      <c r="AG2050" s="7">
        <f>IF($C2050="","",U2050*X2050/100)</f>
        <v/>
      </c>
      <c r="AH2050" s="7">
        <f>IF($C2050="","",U2050-AG2050)</f>
        <v/>
      </c>
      <c r="AI2050" s="7">
        <f>IF($C2050="","",AH2050-M2050)</f>
        <v/>
      </c>
      <c r="AJ2050">
        <f>IF($C2050="","",IF(COUNTIF($C$2:$C2050,$C2050)=1,1,0))</f>
        <v/>
      </c>
      <c r="AK2050">
        <f>IF($AJ2050=1,SUMPRODUCT(--($AN$2:$AN$4001&lt;$AN2050))+1,"")</f>
        <v/>
      </c>
      <c r="AL2050">
        <f>IF($C2050="","",IF(OR($Q2050=TRUE(),$Q2050="TRUE"),1,0))</f>
        <v/>
      </c>
      <c r="AM2050">
        <f>IF($C2050="","",IF($W2050="Yes",1,0))</f>
        <v/>
      </c>
      <c r="AN2050">
        <f>IF($AJ2050=1,IFERROR(IF(VALUE($C2050)&lt;100000000,VALUE($C2050),1000000000),IFERROR(IF(VALUE(MID($C2050,2,20))&lt;100000000,VALUE(MID($C2050,2,20)),1000000000),1000000000))+ROW()/100000,"")</f>
        <v/>
      </c>
    </row>
    <row r="2051">
      <c r="E2051" s="11" t="n"/>
      <c r="M2051" s="7">
        <f>IF($C2051="","",L2051*U2051/100)</f>
        <v/>
      </c>
      <c r="N2051" s="7" t="n"/>
      <c r="T2051" s="7" t="n"/>
      <c r="U2051" s="7">
        <f>IF($C2051="","",S2051*T2051)</f>
        <v/>
      </c>
      <c r="X2051">
        <f>IF($C2051="","",IF($AM2051=1,0,IF($AL2051=1,Settings!$C$6,Settings!$C$7))*100)</f>
        <v/>
      </c>
      <c r="AB2051" s="7" t="n"/>
      <c r="AE2051" s="11" t="n"/>
      <c r="AG2051" s="7">
        <f>IF($C2051="","",U2051*X2051/100)</f>
        <v/>
      </c>
      <c r="AH2051" s="7">
        <f>IF($C2051="","",U2051-AG2051)</f>
        <v/>
      </c>
      <c r="AI2051" s="7">
        <f>IF($C2051="","",AH2051-M2051)</f>
        <v/>
      </c>
      <c r="AJ2051">
        <f>IF($C2051="","",IF(COUNTIF($C$2:$C2051,$C2051)=1,1,0))</f>
        <v/>
      </c>
      <c r="AK2051">
        <f>IF($AJ2051=1,SUMPRODUCT(--($AN$2:$AN$4001&lt;$AN2051))+1,"")</f>
        <v/>
      </c>
      <c r="AL2051">
        <f>IF($C2051="","",IF(OR($Q2051=TRUE(),$Q2051="TRUE"),1,0))</f>
        <v/>
      </c>
      <c r="AM2051">
        <f>IF($C2051="","",IF($W2051="Yes",1,0))</f>
        <v/>
      </c>
      <c r="AN2051">
        <f>IF($AJ2051=1,IFERROR(IF(VALUE($C2051)&lt;100000000,VALUE($C2051),1000000000),IFERROR(IF(VALUE(MID($C2051,2,20))&lt;100000000,VALUE(MID($C2051,2,20)),1000000000),1000000000))+ROW()/100000,"")</f>
        <v/>
      </c>
    </row>
    <row r="2052">
      <c r="E2052" s="11" t="n"/>
      <c r="M2052" s="7">
        <f>IF($C2052="","",L2052*U2052/100)</f>
        <v/>
      </c>
      <c r="N2052" s="7" t="n"/>
      <c r="T2052" s="7" t="n"/>
      <c r="U2052" s="7">
        <f>IF($C2052="","",S2052*T2052)</f>
        <v/>
      </c>
      <c r="X2052">
        <f>IF($C2052="","",IF($AM2052=1,0,IF($AL2052=1,Settings!$C$6,Settings!$C$7))*100)</f>
        <v/>
      </c>
      <c r="AB2052" s="7" t="n"/>
      <c r="AE2052" s="11" t="n"/>
      <c r="AG2052" s="7">
        <f>IF($C2052="","",U2052*X2052/100)</f>
        <v/>
      </c>
      <c r="AH2052" s="7">
        <f>IF($C2052="","",U2052-AG2052)</f>
        <v/>
      </c>
      <c r="AI2052" s="7">
        <f>IF($C2052="","",AH2052-M2052)</f>
        <v/>
      </c>
      <c r="AJ2052">
        <f>IF($C2052="","",IF(COUNTIF($C$2:$C2052,$C2052)=1,1,0))</f>
        <v/>
      </c>
      <c r="AK2052">
        <f>IF($AJ2052=1,SUMPRODUCT(--($AN$2:$AN$4001&lt;$AN2052))+1,"")</f>
        <v/>
      </c>
      <c r="AL2052">
        <f>IF($C2052="","",IF(OR($Q2052=TRUE(),$Q2052="TRUE"),1,0))</f>
        <v/>
      </c>
      <c r="AM2052">
        <f>IF($C2052="","",IF($W2052="Yes",1,0))</f>
        <v/>
      </c>
      <c r="AN2052">
        <f>IF($AJ2052=1,IFERROR(IF(VALUE($C2052)&lt;100000000,VALUE($C2052),1000000000),IFERROR(IF(VALUE(MID($C2052,2,20))&lt;100000000,VALUE(MID($C2052,2,20)),1000000000),1000000000))+ROW()/100000,"")</f>
        <v/>
      </c>
    </row>
    <row r="2053">
      <c r="E2053" s="11" t="n"/>
      <c r="M2053" s="7">
        <f>IF($C2053="","",L2053*U2053/100)</f>
        <v/>
      </c>
      <c r="N2053" s="7" t="n"/>
      <c r="T2053" s="7" t="n"/>
      <c r="U2053" s="7">
        <f>IF($C2053="","",S2053*T2053)</f>
        <v/>
      </c>
      <c r="X2053">
        <f>IF($C2053="","",IF($AM2053=1,0,IF($AL2053=1,Settings!$C$6,Settings!$C$7))*100)</f>
        <v/>
      </c>
      <c r="AB2053" s="7" t="n"/>
      <c r="AE2053" s="11" t="n"/>
      <c r="AG2053" s="7">
        <f>IF($C2053="","",U2053*X2053/100)</f>
        <v/>
      </c>
      <c r="AH2053" s="7">
        <f>IF($C2053="","",U2053-AG2053)</f>
        <v/>
      </c>
      <c r="AI2053" s="7">
        <f>IF($C2053="","",AH2053-M2053)</f>
        <v/>
      </c>
      <c r="AJ2053">
        <f>IF($C2053="","",IF(COUNTIF($C$2:$C2053,$C2053)=1,1,0))</f>
        <v/>
      </c>
      <c r="AK2053">
        <f>IF($AJ2053=1,SUMPRODUCT(--($AN$2:$AN$4001&lt;$AN2053))+1,"")</f>
        <v/>
      </c>
      <c r="AL2053">
        <f>IF($C2053="","",IF(OR($Q2053=TRUE(),$Q2053="TRUE"),1,0))</f>
        <v/>
      </c>
      <c r="AM2053">
        <f>IF($C2053="","",IF($W2053="Yes",1,0))</f>
        <v/>
      </c>
      <c r="AN2053">
        <f>IF($AJ2053=1,IFERROR(IF(VALUE($C2053)&lt;100000000,VALUE($C2053),1000000000),IFERROR(IF(VALUE(MID($C2053,2,20))&lt;100000000,VALUE(MID($C2053,2,20)),1000000000),1000000000))+ROW()/100000,"")</f>
        <v/>
      </c>
    </row>
    <row r="2054">
      <c r="E2054" s="11" t="n"/>
      <c r="M2054" s="7">
        <f>IF($C2054="","",L2054*U2054/100)</f>
        <v/>
      </c>
      <c r="N2054" s="7" t="n"/>
      <c r="T2054" s="7" t="n"/>
      <c r="U2054" s="7">
        <f>IF($C2054="","",S2054*T2054)</f>
        <v/>
      </c>
      <c r="X2054">
        <f>IF($C2054="","",IF($AM2054=1,0,IF($AL2054=1,Settings!$C$6,Settings!$C$7))*100)</f>
        <v/>
      </c>
      <c r="AB2054" s="7" t="n"/>
      <c r="AE2054" s="11" t="n"/>
      <c r="AG2054" s="7">
        <f>IF($C2054="","",U2054*X2054/100)</f>
        <v/>
      </c>
      <c r="AH2054" s="7">
        <f>IF($C2054="","",U2054-AG2054)</f>
        <v/>
      </c>
      <c r="AI2054" s="7">
        <f>IF($C2054="","",AH2054-M2054)</f>
        <v/>
      </c>
      <c r="AJ2054">
        <f>IF($C2054="","",IF(COUNTIF($C$2:$C2054,$C2054)=1,1,0))</f>
        <v/>
      </c>
      <c r="AK2054">
        <f>IF($AJ2054=1,SUMPRODUCT(--($AN$2:$AN$4001&lt;$AN2054))+1,"")</f>
        <v/>
      </c>
      <c r="AL2054">
        <f>IF($C2054="","",IF(OR($Q2054=TRUE(),$Q2054="TRUE"),1,0))</f>
        <v/>
      </c>
      <c r="AM2054">
        <f>IF($C2054="","",IF($W2054="Yes",1,0))</f>
        <v/>
      </c>
      <c r="AN2054">
        <f>IF($AJ2054=1,IFERROR(IF(VALUE($C2054)&lt;100000000,VALUE($C2054),1000000000),IFERROR(IF(VALUE(MID($C2054,2,20))&lt;100000000,VALUE(MID($C2054,2,20)),1000000000),1000000000))+ROW()/100000,"")</f>
        <v/>
      </c>
    </row>
    <row r="2055">
      <c r="E2055" s="11" t="n"/>
      <c r="M2055" s="7">
        <f>IF($C2055="","",L2055*U2055/100)</f>
        <v/>
      </c>
      <c r="N2055" s="7" t="n"/>
      <c r="T2055" s="7" t="n"/>
      <c r="U2055" s="7">
        <f>IF($C2055="","",S2055*T2055)</f>
        <v/>
      </c>
      <c r="X2055">
        <f>IF($C2055="","",IF($AM2055=1,0,IF($AL2055=1,Settings!$C$6,Settings!$C$7))*100)</f>
        <v/>
      </c>
      <c r="AB2055" s="7" t="n"/>
      <c r="AE2055" s="11" t="n"/>
      <c r="AG2055" s="7">
        <f>IF($C2055="","",U2055*X2055/100)</f>
        <v/>
      </c>
      <c r="AH2055" s="7">
        <f>IF($C2055="","",U2055-AG2055)</f>
        <v/>
      </c>
      <c r="AI2055" s="7">
        <f>IF($C2055="","",AH2055-M2055)</f>
        <v/>
      </c>
      <c r="AJ2055">
        <f>IF($C2055="","",IF(COUNTIF($C$2:$C2055,$C2055)=1,1,0))</f>
        <v/>
      </c>
      <c r="AK2055">
        <f>IF($AJ2055=1,SUMPRODUCT(--($AN$2:$AN$4001&lt;$AN2055))+1,"")</f>
        <v/>
      </c>
      <c r="AL2055">
        <f>IF($C2055="","",IF(OR($Q2055=TRUE(),$Q2055="TRUE"),1,0))</f>
        <v/>
      </c>
      <c r="AM2055">
        <f>IF($C2055="","",IF($W2055="Yes",1,0))</f>
        <v/>
      </c>
      <c r="AN2055">
        <f>IF($AJ2055=1,IFERROR(IF(VALUE($C2055)&lt;100000000,VALUE($C2055),1000000000),IFERROR(IF(VALUE(MID($C2055,2,20))&lt;100000000,VALUE(MID($C2055,2,20)),1000000000),1000000000))+ROW()/100000,"")</f>
        <v/>
      </c>
    </row>
    <row r="2056">
      <c r="E2056" s="11" t="n"/>
      <c r="M2056" s="7">
        <f>IF($C2056="","",L2056*U2056/100)</f>
        <v/>
      </c>
      <c r="N2056" s="7" t="n"/>
      <c r="T2056" s="7" t="n"/>
      <c r="U2056" s="7">
        <f>IF($C2056="","",S2056*T2056)</f>
        <v/>
      </c>
      <c r="X2056">
        <f>IF($C2056="","",IF($AM2056=1,0,IF($AL2056=1,Settings!$C$6,Settings!$C$7))*100)</f>
        <v/>
      </c>
      <c r="AB2056" s="7" t="n"/>
      <c r="AE2056" s="11" t="n"/>
      <c r="AG2056" s="7">
        <f>IF($C2056="","",U2056*X2056/100)</f>
        <v/>
      </c>
      <c r="AH2056" s="7">
        <f>IF($C2056="","",U2056-AG2056)</f>
        <v/>
      </c>
      <c r="AI2056" s="7">
        <f>IF($C2056="","",AH2056-M2056)</f>
        <v/>
      </c>
      <c r="AJ2056">
        <f>IF($C2056="","",IF(COUNTIF($C$2:$C2056,$C2056)=1,1,0))</f>
        <v/>
      </c>
      <c r="AK2056">
        <f>IF($AJ2056=1,SUMPRODUCT(--($AN$2:$AN$4001&lt;$AN2056))+1,"")</f>
        <v/>
      </c>
      <c r="AL2056">
        <f>IF($C2056="","",IF(OR($Q2056=TRUE(),$Q2056="TRUE"),1,0))</f>
        <v/>
      </c>
      <c r="AM2056">
        <f>IF($C2056="","",IF($W2056="Yes",1,0))</f>
        <v/>
      </c>
      <c r="AN2056">
        <f>IF($AJ2056=1,IFERROR(IF(VALUE($C2056)&lt;100000000,VALUE($C2056),1000000000),IFERROR(IF(VALUE(MID($C2056,2,20))&lt;100000000,VALUE(MID($C2056,2,20)),1000000000),1000000000))+ROW()/100000,"")</f>
        <v/>
      </c>
    </row>
    <row r="2057">
      <c r="E2057" s="11" t="n"/>
      <c r="M2057" s="7">
        <f>IF($C2057="","",L2057*U2057/100)</f>
        <v/>
      </c>
      <c r="N2057" s="7" t="n"/>
      <c r="T2057" s="7" t="n"/>
      <c r="U2057" s="7">
        <f>IF($C2057="","",S2057*T2057)</f>
        <v/>
      </c>
      <c r="X2057">
        <f>IF($C2057="","",IF($AM2057=1,0,IF($AL2057=1,Settings!$C$6,Settings!$C$7))*100)</f>
        <v/>
      </c>
      <c r="AB2057" s="7" t="n"/>
      <c r="AE2057" s="11" t="n"/>
      <c r="AG2057" s="7">
        <f>IF($C2057="","",U2057*X2057/100)</f>
        <v/>
      </c>
      <c r="AH2057" s="7">
        <f>IF($C2057="","",U2057-AG2057)</f>
        <v/>
      </c>
      <c r="AI2057" s="7">
        <f>IF($C2057="","",AH2057-M2057)</f>
        <v/>
      </c>
      <c r="AJ2057">
        <f>IF($C2057="","",IF(COUNTIF($C$2:$C2057,$C2057)=1,1,0))</f>
        <v/>
      </c>
      <c r="AK2057">
        <f>IF($AJ2057=1,SUMPRODUCT(--($AN$2:$AN$4001&lt;$AN2057))+1,"")</f>
        <v/>
      </c>
      <c r="AL2057">
        <f>IF($C2057="","",IF(OR($Q2057=TRUE(),$Q2057="TRUE"),1,0))</f>
        <v/>
      </c>
      <c r="AM2057">
        <f>IF($C2057="","",IF($W2057="Yes",1,0))</f>
        <v/>
      </c>
      <c r="AN2057">
        <f>IF($AJ2057=1,IFERROR(IF(VALUE($C2057)&lt;100000000,VALUE($C2057),1000000000),IFERROR(IF(VALUE(MID($C2057,2,20))&lt;100000000,VALUE(MID($C2057,2,20)),1000000000),1000000000))+ROW()/100000,"")</f>
        <v/>
      </c>
    </row>
    <row r="2058">
      <c r="E2058" s="11" t="n"/>
      <c r="M2058" s="7">
        <f>IF($C2058="","",L2058*U2058/100)</f>
        <v/>
      </c>
      <c r="N2058" s="7" t="n"/>
      <c r="T2058" s="7" t="n"/>
      <c r="U2058" s="7">
        <f>IF($C2058="","",S2058*T2058)</f>
        <v/>
      </c>
      <c r="X2058">
        <f>IF($C2058="","",IF($AM2058=1,0,IF($AL2058=1,Settings!$C$6,Settings!$C$7))*100)</f>
        <v/>
      </c>
      <c r="AB2058" s="7" t="n"/>
      <c r="AE2058" s="11" t="n"/>
      <c r="AG2058" s="7">
        <f>IF($C2058="","",U2058*X2058/100)</f>
        <v/>
      </c>
      <c r="AH2058" s="7">
        <f>IF($C2058="","",U2058-AG2058)</f>
        <v/>
      </c>
      <c r="AI2058" s="7">
        <f>IF($C2058="","",AH2058-M2058)</f>
        <v/>
      </c>
      <c r="AJ2058">
        <f>IF($C2058="","",IF(COUNTIF($C$2:$C2058,$C2058)=1,1,0))</f>
        <v/>
      </c>
      <c r="AK2058">
        <f>IF($AJ2058=1,SUMPRODUCT(--($AN$2:$AN$4001&lt;$AN2058))+1,"")</f>
        <v/>
      </c>
      <c r="AL2058">
        <f>IF($C2058="","",IF(OR($Q2058=TRUE(),$Q2058="TRUE"),1,0))</f>
        <v/>
      </c>
      <c r="AM2058">
        <f>IF($C2058="","",IF($W2058="Yes",1,0))</f>
        <v/>
      </c>
      <c r="AN2058">
        <f>IF($AJ2058=1,IFERROR(IF(VALUE($C2058)&lt;100000000,VALUE($C2058),1000000000),IFERROR(IF(VALUE(MID($C2058,2,20))&lt;100000000,VALUE(MID($C2058,2,20)),1000000000),1000000000))+ROW()/100000,"")</f>
        <v/>
      </c>
    </row>
    <row r="2059">
      <c r="E2059" s="11" t="n"/>
      <c r="M2059" s="7">
        <f>IF($C2059="","",L2059*U2059/100)</f>
        <v/>
      </c>
      <c r="N2059" s="7" t="n"/>
      <c r="T2059" s="7" t="n"/>
      <c r="U2059" s="7">
        <f>IF($C2059="","",S2059*T2059)</f>
        <v/>
      </c>
      <c r="X2059">
        <f>IF($C2059="","",IF($AM2059=1,0,IF($AL2059=1,Settings!$C$6,Settings!$C$7))*100)</f>
        <v/>
      </c>
      <c r="AB2059" s="7" t="n"/>
      <c r="AE2059" s="11" t="n"/>
      <c r="AG2059" s="7">
        <f>IF($C2059="","",U2059*X2059/100)</f>
        <v/>
      </c>
      <c r="AH2059" s="7">
        <f>IF($C2059="","",U2059-AG2059)</f>
        <v/>
      </c>
      <c r="AI2059" s="7">
        <f>IF($C2059="","",AH2059-M2059)</f>
        <v/>
      </c>
      <c r="AJ2059">
        <f>IF($C2059="","",IF(COUNTIF($C$2:$C2059,$C2059)=1,1,0))</f>
        <v/>
      </c>
      <c r="AK2059">
        <f>IF($AJ2059=1,SUMPRODUCT(--($AN$2:$AN$4001&lt;$AN2059))+1,"")</f>
        <v/>
      </c>
      <c r="AL2059">
        <f>IF($C2059="","",IF(OR($Q2059=TRUE(),$Q2059="TRUE"),1,0))</f>
        <v/>
      </c>
      <c r="AM2059">
        <f>IF($C2059="","",IF($W2059="Yes",1,0))</f>
        <v/>
      </c>
      <c r="AN2059">
        <f>IF($AJ2059=1,IFERROR(IF(VALUE($C2059)&lt;100000000,VALUE($C2059),1000000000),IFERROR(IF(VALUE(MID($C2059,2,20))&lt;100000000,VALUE(MID($C2059,2,20)),1000000000),1000000000))+ROW()/100000,"")</f>
        <v/>
      </c>
    </row>
    <row r="2060">
      <c r="E2060" s="11" t="n"/>
      <c r="M2060" s="7">
        <f>IF($C2060="","",L2060*U2060/100)</f>
        <v/>
      </c>
      <c r="N2060" s="7" t="n"/>
      <c r="T2060" s="7" t="n"/>
      <c r="U2060" s="7">
        <f>IF($C2060="","",S2060*T2060)</f>
        <v/>
      </c>
      <c r="X2060">
        <f>IF($C2060="","",IF($AM2060=1,0,IF($AL2060=1,Settings!$C$6,Settings!$C$7))*100)</f>
        <v/>
      </c>
      <c r="AB2060" s="7" t="n"/>
      <c r="AE2060" s="11" t="n"/>
      <c r="AG2060" s="7">
        <f>IF($C2060="","",U2060*X2060/100)</f>
        <v/>
      </c>
      <c r="AH2060" s="7">
        <f>IF($C2060="","",U2060-AG2060)</f>
        <v/>
      </c>
      <c r="AI2060" s="7">
        <f>IF($C2060="","",AH2060-M2060)</f>
        <v/>
      </c>
      <c r="AJ2060">
        <f>IF($C2060="","",IF(COUNTIF($C$2:$C2060,$C2060)=1,1,0))</f>
        <v/>
      </c>
      <c r="AK2060">
        <f>IF($AJ2060=1,SUMPRODUCT(--($AN$2:$AN$4001&lt;$AN2060))+1,"")</f>
        <v/>
      </c>
      <c r="AL2060">
        <f>IF($C2060="","",IF(OR($Q2060=TRUE(),$Q2060="TRUE"),1,0))</f>
        <v/>
      </c>
      <c r="AM2060">
        <f>IF($C2060="","",IF($W2060="Yes",1,0))</f>
        <v/>
      </c>
      <c r="AN2060">
        <f>IF($AJ2060=1,IFERROR(IF(VALUE($C2060)&lt;100000000,VALUE($C2060),1000000000),IFERROR(IF(VALUE(MID($C2060,2,20))&lt;100000000,VALUE(MID($C2060,2,20)),1000000000),1000000000))+ROW()/100000,"")</f>
        <v/>
      </c>
    </row>
    <row r="2061">
      <c r="E2061" s="11" t="n"/>
      <c r="M2061" s="7">
        <f>IF($C2061="","",L2061*U2061/100)</f>
        <v/>
      </c>
      <c r="N2061" s="7" t="n"/>
      <c r="T2061" s="7" t="n"/>
      <c r="U2061" s="7">
        <f>IF($C2061="","",S2061*T2061)</f>
        <v/>
      </c>
      <c r="X2061">
        <f>IF($C2061="","",IF($AM2061=1,0,IF($AL2061=1,Settings!$C$6,Settings!$C$7))*100)</f>
        <v/>
      </c>
      <c r="AB2061" s="7" t="n"/>
      <c r="AE2061" s="11" t="n"/>
      <c r="AG2061" s="7">
        <f>IF($C2061="","",U2061*X2061/100)</f>
        <v/>
      </c>
      <c r="AH2061" s="7">
        <f>IF($C2061="","",U2061-AG2061)</f>
        <v/>
      </c>
      <c r="AI2061" s="7">
        <f>IF($C2061="","",AH2061-M2061)</f>
        <v/>
      </c>
      <c r="AJ2061">
        <f>IF($C2061="","",IF(COUNTIF($C$2:$C2061,$C2061)=1,1,0))</f>
        <v/>
      </c>
      <c r="AK2061">
        <f>IF($AJ2061=1,SUMPRODUCT(--($AN$2:$AN$4001&lt;$AN2061))+1,"")</f>
        <v/>
      </c>
      <c r="AL2061">
        <f>IF($C2061="","",IF(OR($Q2061=TRUE(),$Q2061="TRUE"),1,0))</f>
        <v/>
      </c>
      <c r="AM2061">
        <f>IF($C2061="","",IF($W2061="Yes",1,0))</f>
        <v/>
      </c>
      <c r="AN2061">
        <f>IF($AJ2061=1,IFERROR(IF(VALUE($C2061)&lt;100000000,VALUE($C2061),1000000000),IFERROR(IF(VALUE(MID($C2061,2,20))&lt;100000000,VALUE(MID($C2061,2,20)),1000000000),1000000000))+ROW()/100000,"")</f>
        <v/>
      </c>
    </row>
    <row r="2062">
      <c r="E2062" s="11" t="n"/>
      <c r="M2062" s="7">
        <f>IF($C2062="","",L2062*U2062/100)</f>
        <v/>
      </c>
      <c r="N2062" s="7" t="n"/>
      <c r="T2062" s="7" t="n"/>
      <c r="U2062" s="7">
        <f>IF($C2062="","",S2062*T2062)</f>
        <v/>
      </c>
      <c r="X2062">
        <f>IF($C2062="","",IF($AM2062=1,0,IF($AL2062=1,Settings!$C$6,Settings!$C$7))*100)</f>
        <v/>
      </c>
      <c r="AB2062" s="7" t="n"/>
      <c r="AE2062" s="11" t="n"/>
      <c r="AG2062" s="7">
        <f>IF($C2062="","",U2062*X2062/100)</f>
        <v/>
      </c>
      <c r="AH2062" s="7">
        <f>IF($C2062="","",U2062-AG2062)</f>
        <v/>
      </c>
      <c r="AI2062" s="7">
        <f>IF($C2062="","",AH2062-M2062)</f>
        <v/>
      </c>
      <c r="AJ2062">
        <f>IF($C2062="","",IF(COUNTIF($C$2:$C2062,$C2062)=1,1,0))</f>
        <v/>
      </c>
      <c r="AK2062">
        <f>IF($AJ2062=1,SUMPRODUCT(--($AN$2:$AN$4001&lt;$AN2062))+1,"")</f>
        <v/>
      </c>
      <c r="AL2062">
        <f>IF($C2062="","",IF(OR($Q2062=TRUE(),$Q2062="TRUE"),1,0))</f>
        <v/>
      </c>
      <c r="AM2062">
        <f>IF($C2062="","",IF($W2062="Yes",1,0))</f>
        <v/>
      </c>
      <c r="AN2062">
        <f>IF($AJ2062=1,IFERROR(IF(VALUE($C2062)&lt;100000000,VALUE($C2062),1000000000),IFERROR(IF(VALUE(MID($C2062,2,20))&lt;100000000,VALUE(MID($C2062,2,20)),1000000000),1000000000))+ROW()/100000,"")</f>
        <v/>
      </c>
    </row>
    <row r="2063">
      <c r="E2063" s="11" t="n"/>
      <c r="M2063" s="7">
        <f>IF($C2063="","",L2063*U2063/100)</f>
        <v/>
      </c>
      <c r="N2063" s="7" t="n"/>
      <c r="T2063" s="7" t="n"/>
      <c r="U2063" s="7">
        <f>IF($C2063="","",S2063*T2063)</f>
        <v/>
      </c>
      <c r="X2063">
        <f>IF($C2063="","",IF($AM2063=1,0,IF($AL2063=1,Settings!$C$6,Settings!$C$7))*100)</f>
        <v/>
      </c>
      <c r="AB2063" s="7" t="n"/>
      <c r="AE2063" s="11" t="n"/>
      <c r="AG2063" s="7">
        <f>IF($C2063="","",U2063*X2063/100)</f>
        <v/>
      </c>
      <c r="AH2063" s="7">
        <f>IF($C2063="","",U2063-AG2063)</f>
        <v/>
      </c>
      <c r="AI2063" s="7">
        <f>IF($C2063="","",AH2063-M2063)</f>
        <v/>
      </c>
      <c r="AJ2063">
        <f>IF($C2063="","",IF(COUNTIF($C$2:$C2063,$C2063)=1,1,0))</f>
        <v/>
      </c>
      <c r="AK2063">
        <f>IF($AJ2063=1,SUMPRODUCT(--($AN$2:$AN$4001&lt;$AN2063))+1,"")</f>
        <v/>
      </c>
      <c r="AL2063">
        <f>IF($C2063="","",IF(OR($Q2063=TRUE(),$Q2063="TRUE"),1,0))</f>
        <v/>
      </c>
      <c r="AM2063">
        <f>IF($C2063="","",IF($W2063="Yes",1,0))</f>
        <v/>
      </c>
      <c r="AN2063">
        <f>IF($AJ2063=1,IFERROR(IF(VALUE($C2063)&lt;100000000,VALUE($C2063),1000000000),IFERROR(IF(VALUE(MID($C2063,2,20))&lt;100000000,VALUE(MID($C2063,2,20)),1000000000),1000000000))+ROW()/100000,"")</f>
        <v/>
      </c>
    </row>
    <row r="2064">
      <c r="E2064" s="11" t="n"/>
      <c r="M2064" s="7">
        <f>IF($C2064="","",L2064*U2064/100)</f>
        <v/>
      </c>
      <c r="N2064" s="7" t="n"/>
      <c r="T2064" s="7" t="n"/>
      <c r="U2064" s="7">
        <f>IF($C2064="","",S2064*T2064)</f>
        <v/>
      </c>
      <c r="X2064">
        <f>IF($C2064="","",IF($AM2064=1,0,IF($AL2064=1,Settings!$C$6,Settings!$C$7))*100)</f>
        <v/>
      </c>
      <c r="AB2064" s="7" t="n"/>
      <c r="AE2064" s="11" t="n"/>
      <c r="AG2064" s="7">
        <f>IF($C2064="","",U2064*X2064/100)</f>
        <v/>
      </c>
      <c r="AH2064" s="7">
        <f>IF($C2064="","",U2064-AG2064)</f>
        <v/>
      </c>
      <c r="AI2064" s="7">
        <f>IF($C2064="","",AH2064-M2064)</f>
        <v/>
      </c>
      <c r="AJ2064">
        <f>IF($C2064="","",IF(COUNTIF($C$2:$C2064,$C2064)=1,1,0))</f>
        <v/>
      </c>
      <c r="AK2064">
        <f>IF($AJ2064=1,SUMPRODUCT(--($AN$2:$AN$4001&lt;$AN2064))+1,"")</f>
        <v/>
      </c>
      <c r="AL2064">
        <f>IF($C2064="","",IF(OR($Q2064=TRUE(),$Q2064="TRUE"),1,0))</f>
        <v/>
      </c>
      <c r="AM2064">
        <f>IF($C2064="","",IF($W2064="Yes",1,0))</f>
        <v/>
      </c>
      <c r="AN2064">
        <f>IF($AJ2064=1,IFERROR(IF(VALUE($C2064)&lt;100000000,VALUE($C2064),1000000000),IFERROR(IF(VALUE(MID($C2064,2,20))&lt;100000000,VALUE(MID($C2064,2,20)),1000000000),1000000000))+ROW()/100000,"")</f>
        <v/>
      </c>
    </row>
    <row r="2065">
      <c r="E2065" s="11" t="n"/>
      <c r="M2065" s="7">
        <f>IF($C2065="","",L2065*U2065/100)</f>
        <v/>
      </c>
      <c r="N2065" s="7" t="n"/>
      <c r="T2065" s="7" t="n"/>
      <c r="U2065" s="7">
        <f>IF($C2065="","",S2065*T2065)</f>
        <v/>
      </c>
      <c r="X2065">
        <f>IF($C2065="","",IF($AM2065=1,0,IF($AL2065=1,Settings!$C$6,Settings!$C$7))*100)</f>
        <v/>
      </c>
      <c r="AB2065" s="7" t="n"/>
      <c r="AE2065" s="11" t="n"/>
      <c r="AG2065" s="7">
        <f>IF($C2065="","",U2065*X2065/100)</f>
        <v/>
      </c>
      <c r="AH2065" s="7">
        <f>IF($C2065="","",U2065-AG2065)</f>
        <v/>
      </c>
      <c r="AI2065" s="7">
        <f>IF($C2065="","",AH2065-M2065)</f>
        <v/>
      </c>
      <c r="AJ2065">
        <f>IF($C2065="","",IF(COUNTIF($C$2:$C2065,$C2065)=1,1,0))</f>
        <v/>
      </c>
      <c r="AK2065">
        <f>IF($AJ2065=1,SUMPRODUCT(--($AN$2:$AN$4001&lt;$AN2065))+1,"")</f>
        <v/>
      </c>
      <c r="AL2065">
        <f>IF($C2065="","",IF(OR($Q2065=TRUE(),$Q2065="TRUE"),1,0))</f>
        <v/>
      </c>
      <c r="AM2065">
        <f>IF($C2065="","",IF($W2065="Yes",1,0))</f>
        <v/>
      </c>
      <c r="AN2065">
        <f>IF($AJ2065=1,IFERROR(IF(VALUE($C2065)&lt;100000000,VALUE($C2065),1000000000),IFERROR(IF(VALUE(MID($C2065,2,20))&lt;100000000,VALUE(MID($C2065,2,20)),1000000000),1000000000))+ROW()/100000,"")</f>
        <v/>
      </c>
    </row>
    <row r="2066">
      <c r="E2066" s="11" t="n"/>
      <c r="M2066" s="7">
        <f>IF($C2066="","",L2066*U2066/100)</f>
        <v/>
      </c>
      <c r="N2066" s="7" t="n"/>
      <c r="T2066" s="7" t="n"/>
      <c r="U2066" s="7">
        <f>IF($C2066="","",S2066*T2066)</f>
        <v/>
      </c>
      <c r="X2066">
        <f>IF($C2066="","",IF($AM2066=1,0,IF($AL2066=1,Settings!$C$6,Settings!$C$7))*100)</f>
        <v/>
      </c>
      <c r="AB2066" s="7" t="n"/>
      <c r="AE2066" s="11" t="n"/>
      <c r="AG2066" s="7">
        <f>IF($C2066="","",U2066*X2066/100)</f>
        <v/>
      </c>
      <c r="AH2066" s="7">
        <f>IF($C2066="","",U2066-AG2066)</f>
        <v/>
      </c>
      <c r="AI2066" s="7">
        <f>IF($C2066="","",AH2066-M2066)</f>
        <v/>
      </c>
      <c r="AJ2066">
        <f>IF($C2066="","",IF(COUNTIF($C$2:$C2066,$C2066)=1,1,0))</f>
        <v/>
      </c>
      <c r="AK2066">
        <f>IF($AJ2066=1,SUMPRODUCT(--($AN$2:$AN$4001&lt;$AN2066))+1,"")</f>
        <v/>
      </c>
      <c r="AL2066">
        <f>IF($C2066="","",IF(OR($Q2066=TRUE(),$Q2066="TRUE"),1,0))</f>
        <v/>
      </c>
      <c r="AM2066">
        <f>IF($C2066="","",IF($W2066="Yes",1,0))</f>
        <v/>
      </c>
      <c r="AN2066">
        <f>IF($AJ2066=1,IFERROR(IF(VALUE($C2066)&lt;100000000,VALUE($C2066),1000000000),IFERROR(IF(VALUE(MID($C2066,2,20))&lt;100000000,VALUE(MID($C2066,2,20)),1000000000),1000000000))+ROW()/100000,"")</f>
        <v/>
      </c>
    </row>
    <row r="2067">
      <c r="E2067" s="11" t="n"/>
      <c r="M2067" s="7">
        <f>IF($C2067="","",L2067*U2067/100)</f>
        <v/>
      </c>
      <c r="N2067" s="7" t="n"/>
      <c r="T2067" s="7" t="n"/>
      <c r="U2067" s="7">
        <f>IF($C2067="","",S2067*T2067)</f>
        <v/>
      </c>
      <c r="X2067">
        <f>IF($C2067="","",IF($AM2067=1,0,IF($AL2067=1,Settings!$C$6,Settings!$C$7))*100)</f>
        <v/>
      </c>
      <c r="AB2067" s="7" t="n"/>
      <c r="AE2067" s="11" t="n"/>
      <c r="AG2067" s="7">
        <f>IF($C2067="","",U2067*X2067/100)</f>
        <v/>
      </c>
      <c r="AH2067" s="7">
        <f>IF($C2067="","",U2067-AG2067)</f>
        <v/>
      </c>
      <c r="AI2067" s="7">
        <f>IF($C2067="","",AH2067-M2067)</f>
        <v/>
      </c>
      <c r="AJ2067">
        <f>IF($C2067="","",IF(COUNTIF($C$2:$C2067,$C2067)=1,1,0))</f>
        <v/>
      </c>
      <c r="AK2067">
        <f>IF($AJ2067=1,SUMPRODUCT(--($AN$2:$AN$4001&lt;$AN2067))+1,"")</f>
        <v/>
      </c>
      <c r="AL2067">
        <f>IF($C2067="","",IF(OR($Q2067=TRUE(),$Q2067="TRUE"),1,0))</f>
        <v/>
      </c>
      <c r="AM2067">
        <f>IF($C2067="","",IF($W2067="Yes",1,0))</f>
        <v/>
      </c>
      <c r="AN2067">
        <f>IF($AJ2067=1,IFERROR(IF(VALUE($C2067)&lt;100000000,VALUE($C2067),1000000000),IFERROR(IF(VALUE(MID($C2067,2,20))&lt;100000000,VALUE(MID($C2067,2,20)),1000000000),1000000000))+ROW()/100000,"")</f>
        <v/>
      </c>
    </row>
    <row r="2068">
      <c r="E2068" s="11" t="n"/>
      <c r="M2068" s="7">
        <f>IF($C2068="","",L2068*U2068/100)</f>
        <v/>
      </c>
      <c r="N2068" s="7" t="n"/>
      <c r="T2068" s="7" t="n"/>
      <c r="U2068" s="7">
        <f>IF($C2068="","",S2068*T2068)</f>
        <v/>
      </c>
      <c r="X2068">
        <f>IF($C2068="","",IF($AM2068=1,0,IF($AL2068=1,Settings!$C$6,Settings!$C$7))*100)</f>
        <v/>
      </c>
      <c r="AB2068" s="7" t="n"/>
      <c r="AE2068" s="11" t="n"/>
      <c r="AG2068" s="7">
        <f>IF($C2068="","",U2068*X2068/100)</f>
        <v/>
      </c>
      <c r="AH2068" s="7">
        <f>IF($C2068="","",U2068-AG2068)</f>
        <v/>
      </c>
      <c r="AI2068" s="7">
        <f>IF($C2068="","",AH2068-M2068)</f>
        <v/>
      </c>
      <c r="AJ2068">
        <f>IF($C2068="","",IF(COUNTIF($C$2:$C2068,$C2068)=1,1,0))</f>
        <v/>
      </c>
      <c r="AK2068">
        <f>IF($AJ2068=1,SUMPRODUCT(--($AN$2:$AN$4001&lt;$AN2068))+1,"")</f>
        <v/>
      </c>
      <c r="AL2068">
        <f>IF($C2068="","",IF(OR($Q2068=TRUE(),$Q2068="TRUE"),1,0))</f>
        <v/>
      </c>
      <c r="AM2068">
        <f>IF($C2068="","",IF($W2068="Yes",1,0))</f>
        <v/>
      </c>
      <c r="AN2068">
        <f>IF($AJ2068=1,IFERROR(IF(VALUE($C2068)&lt;100000000,VALUE($C2068),1000000000),IFERROR(IF(VALUE(MID($C2068,2,20))&lt;100000000,VALUE(MID($C2068,2,20)),1000000000),1000000000))+ROW()/100000,"")</f>
        <v/>
      </c>
    </row>
    <row r="2069">
      <c r="E2069" s="11" t="n"/>
      <c r="M2069" s="7">
        <f>IF($C2069="","",L2069*U2069/100)</f>
        <v/>
      </c>
      <c r="N2069" s="7" t="n"/>
      <c r="T2069" s="7" t="n"/>
      <c r="U2069" s="7">
        <f>IF($C2069="","",S2069*T2069)</f>
        <v/>
      </c>
      <c r="X2069">
        <f>IF($C2069="","",IF($AM2069=1,0,IF($AL2069=1,Settings!$C$6,Settings!$C$7))*100)</f>
        <v/>
      </c>
      <c r="AB2069" s="7" t="n"/>
      <c r="AE2069" s="11" t="n"/>
      <c r="AG2069" s="7">
        <f>IF($C2069="","",U2069*X2069/100)</f>
        <v/>
      </c>
      <c r="AH2069" s="7">
        <f>IF($C2069="","",U2069-AG2069)</f>
        <v/>
      </c>
      <c r="AI2069" s="7">
        <f>IF($C2069="","",AH2069-M2069)</f>
        <v/>
      </c>
      <c r="AJ2069">
        <f>IF($C2069="","",IF(COUNTIF($C$2:$C2069,$C2069)=1,1,0))</f>
        <v/>
      </c>
      <c r="AK2069">
        <f>IF($AJ2069=1,SUMPRODUCT(--($AN$2:$AN$4001&lt;$AN2069))+1,"")</f>
        <v/>
      </c>
      <c r="AL2069">
        <f>IF($C2069="","",IF(OR($Q2069=TRUE(),$Q2069="TRUE"),1,0))</f>
        <v/>
      </c>
      <c r="AM2069">
        <f>IF($C2069="","",IF($W2069="Yes",1,0))</f>
        <v/>
      </c>
      <c r="AN2069">
        <f>IF($AJ2069=1,IFERROR(IF(VALUE($C2069)&lt;100000000,VALUE($C2069),1000000000),IFERROR(IF(VALUE(MID($C2069,2,20))&lt;100000000,VALUE(MID($C2069,2,20)),1000000000),1000000000))+ROW()/100000,"")</f>
        <v/>
      </c>
    </row>
    <row r="2070">
      <c r="E2070" s="11" t="n"/>
      <c r="M2070" s="7">
        <f>IF($C2070="","",L2070*U2070/100)</f>
        <v/>
      </c>
      <c r="N2070" s="7" t="n"/>
      <c r="T2070" s="7" t="n"/>
      <c r="U2070" s="7">
        <f>IF($C2070="","",S2070*T2070)</f>
        <v/>
      </c>
      <c r="X2070">
        <f>IF($C2070="","",IF($AM2070=1,0,IF($AL2070=1,Settings!$C$6,Settings!$C$7))*100)</f>
        <v/>
      </c>
      <c r="AB2070" s="7" t="n"/>
      <c r="AE2070" s="11" t="n"/>
      <c r="AG2070" s="7">
        <f>IF($C2070="","",U2070*X2070/100)</f>
        <v/>
      </c>
      <c r="AH2070" s="7">
        <f>IF($C2070="","",U2070-AG2070)</f>
        <v/>
      </c>
      <c r="AI2070" s="7">
        <f>IF($C2070="","",AH2070-M2070)</f>
        <v/>
      </c>
      <c r="AJ2070">
        <f>IF($C2070="","",IF(COUNTIF($C$2:$C2070,$C2070)=1,1,0))</f>
        <v/>
      </c>
      <c r="AK2070">
        <f>IF($AJ2070=1,SUMPRODUCT(--($AN$2:$AN$4001&lt;$AN2070))+1,"")</f>
        <v/>
      </c>
      <c r="AL2070">
        <f>IF($C2070="","",IF(OR($Q2070=TRUE(),$Q2070="TRUE"),1,0))</f>
        <v/>
      </c>
      <c r="AM2070">
        <f>IF($C2070="","",IF($W2070="Yes",1,0))</f>
        <v/>
      </c>
      <c r="AN2070">
        <f>IF($AJ2070=1,IFERROR(IF(VALUE($C2070)&lt;100000000,VALUE($C2070),1000000000),IFERROR(IF(VALUE(MID($C2070,2,20))&lt;100000000,VALUE(MID($C2070,2,20)),1000000000),1000000000))+ROW()/100000,"")</f>
        <v/>
      </c>
    </row>
    <row r="2071">
      <c r="E2071" s="11" t="n"/>
      <c r="M2071" s="7">
        <f>IF($C2071="","",L2071*U2071/100)</f>
        <v/>
      </c>
      <c r="N2071" s="7" t="n"/>
      <c r="T2071" s="7" t="n"/>
      <c r="U2071" s="7">
        <f>IF($C2071="","",S2071*T2071)</f>
        <v/>
      </c>
      <c r="X2071">
        <f>IF($C2071="","",IF($AM2071=1,0,IF($AL2071=1,Settings!$C$6,Settings!$C$7))*100)</f>
        <v/>
      </c>
      <c r="AB2071" s="7" t="n"/>
      <c r="AE2071" s="11" t="n"/>
      <c r="AG2071" s="7">
        <f>IF($C2071="","",U2071*X2071/100)</f>
        <v/>
      </c>
      <c r="AH2071" s="7">
        <f>IF($C2071="","",U2071-AG2071)</f>
        <v/>
      </c>
      <c r="AI2071" s="7">
        <f>IF($C2071="","",AH2071-M2071)</f>
        <v/>
      </c>
      <c r="AJ2071">
        <f>IF($C2071="","",IF(COUNTIF($C$2:$C2071,$C2071)=1,1,0))</f>
        <v/>
      </c>
      <c r="AK2071">
        <f>IF($AJ2071=1,SUMPRODUCT(--($AN$2:$AN$4001&lt;$AN2071))+1,"")</f>
        <v/>
      </c>
      <c r="AL2071">
        <f>IF($C2071="","",IF(OR($Q2071=TRUE(),$Q2071="TRUE"),1,0))</f>
        <v/>
      </c>
      <c r="AM2071">
        <f>IF($C2071="","",IF($W2071="Yes",1,0))</f>
        <v/>
      </c>
      <c r="AN2071">
        <f>IF($AJ2071=1,IFERROR(IF(VALUE($C2071)&lt;100000000,VALUE($C2071),1000000000),IFERROR(IF(VALUE(MID($C2071,2,20))&lt;100000000,VALUE(MID($C2071,2,20)),1000000000),1000000000))+ROW()/100000,"")</f>
        <v/>
      </c>
    </row>
    <row r="2072">
      <c r="E2072" s="11" t="n"/>
      <c r="M2072" s="7">
        <f>IF($C2072="","",L2072*U2072/100)</f>
        <v/>
      </c>
      <c r="N2072" s="7" t="n"/>
      <c r="T2072" s="7" t="n"/>
      <c r="U2072" s="7">
        <f>IF($C2072="","",S2072*T2072)</f>
        <v/>
      </c>
      <c r="X2072">
        <f>IF($C2072="","",IF($AM2072=1,0,IF($AL2072=1,Settings!$C$6,Settings!$C$7))*100)</f>
        <v/>
      </c>
      <c r="AB2072" s="7" t="n"/>
      <c r="AE2072" s="11" t="n"/>
      <c r="AG2072" s="7">
        <f>IF($C2072="","",U2072*X2072/100)</f>
        <v/>
      </c>
      <c r="AH2072" s="7">
        <f>IF($C2072="","",U2072-AG2072)</f>
        <v/>
      </c>
      <c r="AI2072" s="7">
        <f>IF($C2072="","",AH2072-M2072)</f>
        <v/>
      </c>
      <c r="AJ2072">
        <f>IF($C2072="","",IF(COUNTIF($C$2:$C2072,$C2072)=1,1,0))</f>
        <v/>
      </c>
      <c r="AK2072">
        <f>IF($AJ2072=1,SUMPRODUCT(--($AN$2:$AN$4001&lt;$AN2072))+1,"")</f>
        <v/>
      </c>
      <c r="AL2072">
        <f>IF($C2072="","",IF(OR($Q2072=TRUE(),$Q2072="TRUE"),1,0))</f>
        <v/>
      </c>
      <c r="AM2072">
        <f>IF($C2072="","",IF($W2072="Yes",1,0))</f>
        <v/>
      </c>
      <c r="AN2072">
        <f>IF($AJ2072=1,IFERROR(IF(VALUE($C2072)&lt;100000000,VALUE($C2072),1000000000),IFERROR(IF(VALUE(MID($C2072,2,20))&lt;100000000,VALUE(MID($C2072,2,20)),1000000000),1000000000))+ROW()/100000,"")</f>
        <v/>
      </c>
    </row>
    <row r="2073">
      <c r="E2073" s="11" t="n"/>
      <c r="M2073" s="7">
        <f>IF($C2073="","",L2073*U2073/100)</f>
        <v/>
      </c>
      <c r="N2073" s="7" t="n"/>
      <c r="T2073" s="7" t="n"/>
      <c r="U2073" s="7">
        <f>IF($C2073="","",S2073*T2073)</f>
        <v/>
      </c>
      <c r="X2073">
        <f>IF($C2073="","",IF($AM2073=1,0,IF($AL2073=1,Settings!$C$6,Settings!$C$7))*100)</f>
        <v/>
      </c>
      <c r="AB2073" s="7" t="n"/>
      <c r="AE2073" s="11" t="n"/>
      <c r="AG2073" s="7">
        <f>IF($C2073="","",U2073*X2073/100)</f>
        <v/>
      </c>
      <c r="AH2073" s="7">
        <f>IF($C2073="","",U2073-AG2073)</f>
        <v/>
      </c>
      <c r="AI2073" s="7">
        <f>IF($C2073="","",AH2073-M2073)</f>
        <v/>
      </c>
      <c r="AJ2073">
        <f>IF($C2073="","",IF(COUNTIF($C$2:$C2073,$C2073)=1,1,0))</f>
        <v/>
      </c>
      <c r="AK2073">
        <f>IF($AJ2073=1,SUMPRODUCT(--($AN$2:$AN$4001&lt;$AN2073))+1,"")</f>
        <v/>
      </c>
      <c r="AL2073">
        <f>IF($C2073="","",IF(OR($Q2073=TRUE(),$Q2073="TRUE"),1,0))</f>
        <v/>
      </c>
      <c r="AM2073">
        <f>IF($C2073="","",IF($W2073="Yes",1,0))</f>
        <v/>
      </c>
      <c r="AN2073">
        <f>IF($AJ2073=1,IFERROR(IF(VALUE($C2073)&lt;100000000,VALUE($C2073),1000000000),IFERROR(IF(VALUE(MID($C2073,2,20))&lt;100000000,VALUE(MID($C2073,2,20)),1000000000),1000000000))+ROW()/100000,"")</f>
        <v/>
      </c>
    </row>
    <row r="2074">
      <c r="E2074" s="11" t="n"/>
      <c r="M2074" s="7">
        <f>IF($C2074="","",L2074*U2074/100)</f>
        <v/>
      </c>
      <c r="N2074" s="7" t="n"/>
      <c r="T2074" s="7" t="n"/>
      <c r="U2074" s="7">
        <f>IF($C2074="","",S2074*T2074)</f>
        <v/>
      </c>
      <c r="X2074">
        <f>IF($C2074="","",IF($AM2074=1,0,IF($AL2074=1,Settings!$C$6,Settings!$C$7))*100)</f>
        <v/>
      </c>
      <c r="AB2074" s="7" t="n"/>
      <c r="AE2074" s="11" t="n"/>
      <c r="AG2074" s="7">
        <f>IF($C2074="","",U2074*X2074/100)</f>
        <v/>
      </c>
      <c r="AH2074" s="7">
        <f>IF($C2074="","",U2074-AG2074)</f>
        <v/>
      </c>
      <c r="AI2074" s="7">
        <f>IF($C2074="","",AH2074-M2074)</f>
        <v/>
      </c>
      <c r="AJ2074">
        <f>IF($C2074="","",IF(COUNTIF($C$2:$C2074,$C2074)=1,1,0))</f>
        <v/>
      </c>
      <c r="AK2074">
        <f>IF($AJ2074=1,SUMPRODUCT(--($AN$2:$AN$4001&lt;$AN2074))+1,"")</f>
        <v/>
      </c>
      <c r="AL2074">
        <f>IF($C2074="","",IF(OR($Q2074=TRUE(),$Q2074="TRUE"),1,0))</f>
        <v/>
      </c>
      <c r="AM2074">
        <f>IF($C2074="","",IF($W2074="Yes",1,0))</f>
        <v/>
      </c>
      <c r="AN2074">
        <f>IF($AJ2074=1,IFERROR(IF(VALUE($C2074)&lt;100000000,VALUE($C2074),1000000000),IFERROR(IF(VALUE(MID($C2074,2,20))&lt;100000000,VALUE(MID($C2074,2,20)),1000000000),1000000000))+ROW()/100000,"")</f>
        <v/>
      </c>
    </row>
    <row r="2075">
      <c r="E2075" s="11" t="n"/>
      <c r="M2075" s="7">
        <f>IF($C2075="","",L2075*U2075/100)</f>
        <v/>
      </c>
      <c r="N2075" s="7" t="n"/>
      <c r="T2075" s="7" t="n"/>
      <c r="U2075" s="7">
        <f>IF($C2075="","",S2075*T2075)</f>
        <v/>
      </c>
      <c r="X2075">
        <f>IF($C2075="","",IF($AM2075=1,0,IF($AL2075=1,Settings!$C$6,Settings!$C$7))*100)</f>
        <v/>
      </c>
      <c r="AB2075" s="7" t="n"/>
      <c r="AE2075" s="11" t="n"/>
      <c r="AG2075" s="7">
        <f>IF($C2075="","",U2075*X2075/100)</f>
        <v/>
      </c>
      <c r="AH2075" s="7">
        <f>IF($C2075="","",U2075-AG2075)</f>
        <v/>
      </c>
      <c r="AI2075" s="7">
        <f>IF($C2075="","",AH2075-M2075)</f>
        <v/>
      </c>
      <c r="AJ2075">
        <f>IF($C2075="","",IF(COUNTIF($C$2:$C2075,$C2075)=1,1,0))</f>
        <v/>
      </c>
      <c r="AK2075">
        <f>IF($AJ2075=1,SUMPRODUCT(--($AN$2:$AN$4001&lt;$AN2075))+1,"")</f>
        <v/>
      </c>
      <c r="AL2075">
        <f>IF($C2075="","",IF(OR($Q2075=TRUE(),$Q2075="TRUE"),1,0))</f>
        <v/>
      </c>
      <c r="AM2075">
        <f>IF($C2075="","",IF($W2075="Yes",1,0))</f>
        <v/>
      </c>
      <c r="AN2075">
        <f>IF($AJ2075=1,IFERROR(IF(VALUE($C2075)&lt;100000000,VALUE($C2075),1000000000),IFERROR(IF(VALUE(MID($C2075,2,20))&lt;100000000,VALUE(MID($C2075,2,20)),1000000000),1000000000))+ROW()/100000,"")</f>
        <v/>
      </c>
    </row>
    <row r="2076">
      <c r="E2076" s="11" t="n"/>
      <c r="M2076" s="7">
        <f>IF($C2076="","",L2076*U2076/100)</f>
        <v/>
      </c>
      <c r="N2076" s="7" t="n"/>
      <c r="T2076" s="7" t="n"/>
      <c r="U2076" s="7">
        <f>IF($C2076="","",S2076*T2076)</f>
        <v/>
      </c>
      <c r="X2076">
        <f>IF($C2076="","",IF($AM2076=1,0,IF($AL2076=1,Settings!$C$6,Settings!$C$7))*100)</f>
        <v/>
      </c>
      <c r="AB2076" s="7" t="n"/>
      <c r="AE2076" s="11" t="n"/>
      <c r="AG2076" s="7">
        <f>IF($C2076="","",U2076*X2076/100)</f>
        <v/>
      </c>
      <c r="AH2076" s="7">
        <f>IF($C2076="","",U2076-AG2076)</f>
        <v/>
      </c>
      <c r="AI2076" s="7">
        <f>IF($C2076="","",AH2076-M2076)</f>
        <v/>
      </c>
      <c r="AJ2076">
        <f>IF($C2076="","",IF(COUNTIF($C$2:$C2076,$C2076)=1,1,0))</f>
        <v/>
      </c>
      <c r="AK2076">
        <f>IF($AJ2076=1,SUMPRODUCT(--($AN$2:$AN$4001&lt;$AN2076))+1,"")</f>
        <v/>
      </c>
      <c r="AL2076">
        <f>IF($C2076="","",IF(OR($Q2076=TRUE(),$Q2076="TRUE"),1,0))</f>
        <v/>
      </c>
      <c r="AM2076">
        <f>IF($C2076="","",IF($W2076="Yes",1,0))</f>
        <v/>
      </c>
      <c r="AN2076">
        <f>IF($AJ2076=1,IFERROR(IF(VALUE($C2076)&lt;100000000,VALUE($C2076),1000000000),IFERROR(IF(VALUE(MID($C2076,2,20))&lt;100000000,VALUE(MID($C2076,2,20)),1000000000),1000000000))+ROW()/100000,"")</f>
        <v/>
      </c>
    </row>
    <row r="2077">
      <c r="E2077" s="11" t="n"/>
      <c r="M2077" s="7">
        <f>IF($C2077="","",L2077*U2077/100)</f>
        <v/>
      </c>
      <c r="N2077" s="7" t="n"/>
      <c r="T2077" s="7" t="n"/>
      <c r="U2077" s="7">
        <f>IF($C2077="","",S2077*T2077)</f>
        <v/>
      </c>
      <c r="X2077">
        <f>IF($C2077="","",IF($AM2077=1,0,IF($AL2077=1,Settings!$C$6,Settings!$C$7))*100)</f>
        <v/>
      </c>
      <c r="AB2077" s="7" t="n"/>
      <c r="AE2077" s="11" t="n"/>
      <c r="AG2077" s="7">
        <f>IF($C2077="","",U2077*X2077/100)</f>
        <v/>
      </c>
      <c r="AH2077" s="7">
        <f>IF($C2077="","",U2077-AG2077)</f>
        <v/>
      </c>
      <c r="AI2077" s="7">
        <f>IF($C2077="","",AH2077-M2077)</f>
        <v/>
      </c>
      <c r="AJ2077">
        <f>IF($C2077="","",IF(COUNTIF($C$2:$C2077,$C2077)=1,1,0))</f>
        <v/>
      </c>
      <c r="AK2077">
        <f>IF($AJ2077=1,SUMPRODUCT(--($AN$2:$AN$4001&lt;$AN2077))+1,"")</f>
        <v/>
      </c>
      <c r="AL2077">
        <f>IF($C2077="","",IF(OR($Q2077=TRUE(),$Q2077="TRUE"),1,0))</f>
        <v/>
      </c>
      <c r="AM2077">
        <f>IF($C2077="","",IF($W2077="Yes",1,0))</f>
        <v/>
      </c>
      <c r="AN2077">
        <f>IF($AJ2077=1,IFERROR(IF(VALUE($C2077)&lt;100000000,VALUE($C2077),1000000000),IFERROR(IF(VALUE(MID($C2077,2,20))&lt;100000000,VALUE(MID($C2077,2,20)),1000000000),1000000000))+ROW()/100000,"")</f>
        <v/>
      </c>
    </row>
    <row r="2078">
      <c r="E2078" s="11" t="n"/>
      <c r="M2078" s="7">
        <f>IF($C2078="","",L2078*U2078/100)</f>
        <v/>
      </c>
      <c r="N2078" s="7" t="n"/>
      <c r="T2078" s="7" t="n"/>
      <c r="U2078" s="7">
        <f>IF($C2078="","",S2078*T2078)</f>
        <v/>
      </c>
      <c r="X2078">
        <f>IF($C2078="","",IF($AM2078=1,0,IF($AL2078=1,Settings!$C$6,Settings!$C$7))*100)</f>
        <v/>
      </c>
      <c r="AB2078" s="7" t="n"/>
      <c r="AE2078" s="11" t="n"/>
      <c r="AG2078" s="7">
        <f>IF($C2078="","",U2078*X2078/100)</f>
        <v/>
      </c>
      <c r="AH2078" s="7">
        <f>IF($C2078="","",U2078-AG2078)</f>
        <v/>
      </c>
      <c r="AI2078" s="7">
        <f>IF($C2078="","",AH2078-M2078)</f>
        <v/>
      </c>
      <c r="AJ2078">
        <f>IF($C2078="","",IF(COUNTIF($C$2:$C2078,$C2078)=1,1,0))</f>
        <v/>
      </c>
      <c r="AK2078">
        <f>IF($AJ2078=1,SUMPRODUCT(--($AN$2:$AN$4001&lt;$AN2078))+1,"")</f>
        <v/>
      </c>
      <c r="AL2078">
        <f>IF($C2078="","",IF(OR($Q2078=TRUE(),$Q2078="TRUE"),1,0))</f>
        <v/>
      </c>
      <c r="AM2078">
        <f>IF($C2078="","",IF($W2078="Yes",1,0))</f>
        <v/>
      </c>
      <c r="AN2078">
        <f>IF($AJ2078=1,IFERROR(IF(VALUE($C2078)&lt;100000000,VALUE($C2078),1000000000),IFERROR(IF(VALUE(MID($C2078,2,20))&lt;100000000,VALUE(MID($C2078,2,20)),1000000000),1000000000))+ROW()/100000,"")</f>
        <v/>
      </c>
    </row>
    <row r="2079">
      <c r="E2079" s="11" t="n"/>
      <c r="M2079" s="7">
        <f>IF($C2079="","",L2079*U2079/100)</f>
        <v/>
      </c>
      <c r="N2079" s="7" t="n"/>
      <c r="T2079" s="7" t="n"/>
      <c r="U2079" s="7">
        <f>IF($C2079="","",S2079*T2079)</f>
        <v/>
      </c>
      <c r="X2079">
        <f>IF($C2079="","",IF($AM2079=1,0,IF($AL2079=1,Settings!$C$6,Settings!$C$7))*100)</f>
        <v/>
      </c>
      <c r="AB2079" s="7" t="n"/>
      <c r="AE2079" s="11" t="n"/>
      <c r="AG2079" s="7">
        <f>IF($C2079="","",U2079*X2079/100)</f>
        <v/>
      </c>
      <c r="AH2079" s="7">
        <f>IF($C2079="","",U2079-AG2079)</f>
        <v/>
      </c>
      <c r="AI2079" s="7">
        <f>IF($C2079="","",AH2079-M2079)</f>
        <v/>
      </c>
      <c r="AJ2079">
        <f>IF($C2079="","",IF(COUNTIF($C$2:$C2079,$C2079)=1,1,0))</f>
        <v/>
      </c>
      <c r="AK2079">
        <f>IF($AJ2079=1,SUMPRODUCT(--($AN$2:$AN$4001&lt;$AN2079))+1,"")</f>
        <v/>
      </c>
      <c r="AL2079">
        <f>IF($C2079="","",IF(OR($Q2079=TRUE(),$Q2079="TRUE"),1,0))</f>
        <v/>
      </c>
      <c r="AM2079">
        <f>IF($C2079="","",IF($W2079="Yes",1,0))</f>
        <v/>
      </c>
      <c r="AN2079">
        <f>IF($AJ2079=1,IFERROR(IF(VALUE($C2079)&lt;100000000,VALUE($C2079),1000000000),IFERROR(IF(VALUE(MID($C2079,2,20))&lt;100000000,VALUE(MID($C2079,2,20)),1000000000),1000000000))+ROW()/100000,"")</f>
        <v/>
      </c>
    </row>
    <row r="2080">
      <c r="E2080" s="11" t="n"/>
      <c r="M2080" s="7">
        <f>IF($C2080="","",L2080*U2080/100)</f>
        <v/>
      </c>
      <c r="N2080" s="7" t="n"/>
      <c r="T2080" s="7" t="n"/>
      <c r="U2080" s="7">
        <f>IF($C2080="","",S2080*T2080)</f>
        <v/>
      </c>
      <c r="X2080">
        <f>IF($C2080="","",IF($AM2080=1,0,IF($AL2080=1,Settings!$C$6,Settings!$C$7))*100)</f>
        <v/>
      </c>
      <c r="AB2080" s="7" t="n"/>
      <c r="AE2080" s="11" t="n"/>
      <c r="AG2080" s="7">
        <f>IF($C2080="","",U2080*X2080/100)</f>
        <v/>
      </c>
      <c r="AH2080" s="7">
        <f>IF($C2080="","",U2080-AG2080)</f>
        <v/>
      </c>
      <c r="AI2080" s="7">
        <f>IF($C2080="","",AH2080-M2080)</f>
        <v/>
      </c>
      <c r="AJ2080">
        <f>IF($C2080="","",IF(COUNTIF($C$2:$C2080,$C2080)=1,1,0))</f>
        <v/>
      </c>
      <c r="AK2080">
        <f>IF($AJ2080=1,SUMPRODUCT(--($AN$2:$AN$4001&lt;$AN2080))+1,"")</f>
        <v/>
      </c>
      <c r="AL2080">
        <f>IF($C2080="","",IF(OR($Q2080=TRUE(),$Q2080="TRUE"),1,0))</f>
        <v/>
      </c>
      <c r="AM2080">
        <f>IF($C2080="","",IF($W2080="Yes",1,0))</f>
        <v/>
      </c>
      <c r="AN2080">
        <f>IF($AJ2080=1,IFERROR(IF(VALUE($C2080)&lt;100000000,VALUE($C2080),1000000000),IFERROR(IF(VALUE(MID($C2080,2,20))&lt;100000000,VALUE(MID($C2080,2,20)),1000000000),1000000000))+ROW()/100000,"")</f>
        <v/>
      </c>
    </row>
    <row r="2081">
      <c r="E2081" s="11" t="n"/>
      <c r="M2081" s="7">
        <f>IF($C2081="","",L2081*U2081/100)</f>
        <v/>
      </c>
      <c r="N2081" s="7" t="n"/>
      <c r="T2081" s="7" t="n"/>
      <c r="U2081" s="7">
        <f>IF($C2081="","",S2081*T2081)</f>
        <v/>
      </c>
      <c r="X2081">
        <f>IF($C2081="","",IF($AM2081=1,0,IF($AL2081=1,Settings!$C$6,Settings!$C$7))*100)</f>
        <v/>
      </c>
      <c r="AB2081" s="7" t="n"/>
      <c r="AE2081" s="11" t="n"/>
      <c r="AG2081" s="7">
        <f>IF($C2081="","",U2081*X2081/100)</f>
        <v/>
      </c>
      <c r="AH2081" s="7">
        <f>IF($C2081="","",U2081-AG2081)</f>
        <v/>
      </c>
      <c r="AI2081" s="7">
        <f>IF($C2081="","",AH2081-M2081)</f>
        <v/>
      </c>
      <c r="AJ2081">
        <f>IF($C2081="","",IF(COUNTIF($C$2:$C2081,$C2081)=1,1,0))</f>
        <v/>
      </c>
      <c r="AK2081">
        <f>IF($AJ2081=1,SUMPRODUCT(--($AN$2:$AN$4001&lt;$AN2081))+1,"")</f>
        <v/>
      </c>
      <c r="AL2081">
        <f>IF($C2081="","",IF(OR($Q2081=TRUE(),$Q2081="TRUE"),1,0))</f>
        <v/>
      </c>
      <c r="AM2081">
        <f>IF($C2081="","",IF($W2081="Yes",1,0))</f>
        <v/>
      </c>
      <c r="AN2081">
        <f>IF($AJ2081=1,IFERROR(IF(VALUE($C2081)&lt;100000000,VALUE($C2081),1000000000),IFERROR(IF(VALUE(MID($C2081,2,20))&lt;100000000,VALUE(MID($C2081,2,20)),1000000000),1000000000))+ROW()/100000,"")</f>
        <v/>
      </c>
    </row>
    <row r="2082">
      <c r="E2082" s="11" t="n"/>
      <c r="M2082" s="7">
        <f>IF($C2082="","",L2082*U2082/100)</f>
        <v/>
      </c>
      <c r="N2082" s="7" t="n"/>
      <c r="T2082" s="7" t="n"/>
      <c r="U2082" s="7">
        <f>IF($C2082="","",S2082*T2082)</f>
        <v/>
      </c>
      <c r="X2082">
        <f>IF($C2082="","",IF($AM2082=1,0,IF($AL2082=1,Settings!$C$6,Settings!$C$7))*100)</f>
        <v/>
      </c>
      <c r="AB2082" s="7" t="n"/>
      <c r="AE2082" s="11" t="n"/>
      <c r="AG2082" s="7">
        <f>IF($C2082="","",U2082*X2082/100)</f>
        <v/>
      </c>
      <c r="AH2082" s="7">
        <f>IF($C2082="","",U2082-AG2082)</f>
        <v/>
      </c>
      <c r="AI2082" s="7">
        <f>IF($C2082="","",AH2082-M2082)</f>
        <v/>
      </c>
      <c r="AJ2082">
        <f>IF($C2082="","",IF(COUNTIF($C$2:$C2082,$C2082)=1,1,0))</f>
        <v/>
      </c>
      <c r="AK2082">
        <f>IF($AJ2082=1,SUMPRODUCT(--($AN$2:$AN$4001&lt;$AN2082))+1,"")</f>
        <v/>
      </c>
      <c r="AL2082">
        <f>IF($C2082="","",IF(OR($Q2082=TRUE(),$Q2082="TRUE"),1,0))</f>
        <v/>
      </c>
      <c r="AM2082">
        <f>IF($C2082="","",IF($W2082="Yes",1,0))</f>
        <v/>
      </c>
      <c r="AN2082">
        <f>IF($AJ2082=1,IFERROR(IF(VALUE($C2082)&lt;100000000,VALUE($C2082),1000000000),IFERROR(IF(VALUE(MID($C2082,2,20))&lt;100000000,VALUE(MID($C2082,2,20)),1000000000),1000000000))+ROW()/100000,"")</f>
        <v/>
      </c>
    </row>
    <row r="2083">
      <c r="E2083" s="11" t="n"/>
      <c r="M2083" s="7">
        <f>IF($C2083="","",L2083*U2083/100)</f>
        <v/>
      </c>
      <c r="N2083" s="7" t="n"/>
      <c r="T2083" s="7" t="n"/>
      <c r="U2083" s="7">
        <f>IF($C2083="","",S2083*T2083)</f>
        <v/>
      </c>
      <c r="X2083">
        <f>IF($C2083="","",IF($AM2083=1,0,IF($AL2083=1,Settings!$C$6,Settings!$C$7))*100)</f>
        <v/>
      </c>
      <c r="AB2083" s="7" t="n"/>
      <c r="AE2083" s="11" t="n"/>
      <c r="AG2083" s="7">
        <f>IF($C2083="","",U2083*X2083/100)</f>
        <v/>
      </c>
      <c r="AH2083" s="7">
        <f>IF($C2083="","",U2083-AG2083)</f>
        <v/>
      </c>
      <c r="AI2083" s="7">
        <f>IF($C2083="","",AH2083-M2083)</f>
        <v/>
      </c>
      <c r="AJ2083">
        <f>IF($C2083="","",IF(COUNTIF($C$2:$C2083,$C2083)=1,1,0))</f>
        <v/>
      </c>
      <c r="AK2083">
        <f>IF($AJ2083=1,SUMPRODUCT(--($AN$2:$AN$4001&lt;$AN2083))+1,"")</f>
        <v/>
      </c>
      <c r="AL2083">
        <f>IF($C2083="","",IF(OR($Q2083=TRUE(),$Q2083="TRUE"),1,0))</f>
        <v/>
      </c>
      <c r="AM2083">
        <f>IF($C2083="","",IF($W2083="Yes",1,0))</f>
        <v/>
      </c>
      <c r="AN2083">
        <f>IF($AJ2083=1,IFERROR(IF(VALUE($C2083)&lt;100000000,VALUE($C2083),1000000000),IFERROR(IF(VALUE(MID($C2083,2,20))&lt;100000000,VALUE(MID($C2083,2,20)),1000000000),1000000000))+ROW()/100000,"")</f>
        <v/>
      </c>
    </row>
    <row r="2084">
      <c r="E2084" s="11" t="n"/>
      <c r="M2084" s="7">
        <f>IF($C2084="","",L2084*U2084/100)</f>
        <v/>
      </c>
      <c r="N2084" s="7" t="n"/>
      <c r="T2084" s="7" t="n"/>
      <c r="U2084" s="7">
        <f>IF($C2084="","",S2084*T2084)</f>
        <v/>
      </c>
      <c r="X2084">
        <f>IF($C2084="","",IF($AM2084=1,0,IF($AL2084=1,Settings!$C$6,Settings!$C$7))*100)</f>
        <v/>
      </c>
      <c r="AB2084" s="7" t="n"/>
      <c r="AE2084" s="11" t="n"/>
      <c r="AG2084" s="7">
        <f>IF($C2084="","",U2084*X2084/100)</f>
        <v/>
      </c>
      <c r="AH2084" s="7">
        <f>IF($C2084="","",U2084-AG2084)</f>
        <v/>
      </c>
      <c r="AI2084" s="7">
        <f>IF($C2084="","",AH2084-M2084)</f>
        <v/>
      </c>
      <c r="AJ2084">
        <f>IF($C2084="","",IF(COUNTIF($C$2:$C2084,$C2084)=1,1,0))</f>
        <v/>
      </c>
      <c r="AK2084">
        <f>IF($AJ2084=1,SUMPRODUCT(--($AN$2:$AN$4001&lt;$AN2084))+1,"")</f>
        <v/>
      </c>
      <c r="AL2084">
        <f>IF($C2084="","",IF(OR($Q2084=TRUE(),$Q2084="TRUE"),1,0))</f>
        <v/>
      </c>
      <c r="AM2084">
        <f>IF($C2084="","",IF($W2084="Yes",1,0))</f>
        <v/>
      </c>
      <c r="AN2084">
        <f>IF($AJ2084=1,IFERROR(IF(VALUE($C2084)&lt;100000000,VALUE($C2084),1000000000),IFERROR(IF(VALUE(MID($C2084,2,20))&lt;100000000,VALUE(MID($C2084,2,20)),1000000000),1000000000))+ROW()/100000,"")</f>
        <v/>
      </c>
    </row>
    <row r="2085">
      <c r="E2085" s="11" t="n"/>
      <c r="M2085" s="7">
        <f>IF($C2085="","",L2085*U2085/100)</f>
        <v/>
      </c>
      <c r="N2085" s="7" t="n"/>
      <c r="T2085" s="7" t="n"/>
      <c r="U2085" s="7">
        <f>IF($C2085="","",S2085*T2085)</f>
        <v/>
      </c>
      <c r="X2085">
        <f>IF($C2085="","",IF($AM2085=1,0,IF($AL2085=1,Settings!$C$6,Settings!$C$7))*100)</f>
        <v/>
      </c>
      <c r="AB2085" s="7" t="n"/>
      <c r="AE2085" s="11" t="n"/>
      <c r="AG2085" s="7">
        <f>IF($C2085="","",U2085*X2085/100)</f>
        <v/>
      </c>
      <c r="AH2085" s="7">
        <f>IF($C2085="","",U2085-AG2085)</f>
        <v/>
      </c>
      <c r="AI2085" s="7">
        <f>IF($C2085="","",AH2085-M2085)</f>
        <v/>
      </c>
      <c r="AJ2085">
        <f>IF($C2085="","",IF(COUNTIF($C$2:$C2085,$C2085)=1,1,0))</f>
        <v/>
      </c>
      <c r="AK2085">
        <f>IF($AJ2085=1,SUMPRODUCT(--($AN$2:$AN$4001&lt;$AN2085))+1,"")</f>
        <v/>
      </c>
      <c r="AL2085">
        <f>IF($C2085="","",IF(OR($Q2085=TRUE(),$Q2085="TRUE"),1,0))</f>
        <v/>
      </c>
      <c r="AM2085">
        <f>IF($C2085="","",IF($W2085="Yes",1,0))</f>
        <v/>
      </c>
      <c r="AN2085">
        <f>IF($AJ2085=1,IFERROR(IF(VALUE($C2085)&lt;100000000,VALUE($C2085),1000000000),IFERROR(IF(VALUE(MID($C2085,2,20))&lt;100000000,VALUE(MID($C2085,2,20)),1000000000),1000000000))+ROW()/100000,"")</f>
        <v/>
      </c>
    </row>
    <row r="2086">
      <c r="E2086" s="11" t="n"/>
      <c r="M2086" s="7">
        <f>IF($C2086="","",L2086*U2086/100)</f>
        <v/>
      </c>
      <c r="N2086" s="7" t="n"/>
      <c r="T2086" s="7" t="n"/>
      <c r="U2086" s="7">
        <f>IF($C2086="","",S2086*T2086)</f>
        <v/>
      </c>
      <c r="X2086">
        <f>IF($C2086="","",IF($AM2086=1,0,IF($AL2086=1,Settings!$C$6,Settings!$C$7))*100)</f>
        <v/>
      </c>
      <c r="AB2086" s="7" t="n"/>
      <c r="AE2086" s="11" t="n"/>
      <c r="AG2086" s="7">
        <f>IF($C2086="","",U2086*X2086/100)</f>
        <v/>
      </c>
      <c r="AH2086" s="7">
        <f>IF($C2086="","",U2086-AG2086)</f>
        <v/>
      </c>
      <c r="AI2086" s="7">
        <f>IF($C2086="","",AH2086-M2086)</f>
        <v/>
      </c>
      <c r="AJ2086">
        <f>IF($C2086="","",IF(COUNTIF($C$2:$C2086,$C2086)=1,1,0))</f>
        <v/>
      </c>
      <c r="AK2086">
        <f>IF($AJ2086=1,SUMPRODUCT(--($AN$2:$AN$4001&lt;$AN2086))+1,"")</f>
        <v/>
      </c>
      <c r="AL2086">
        <f>IF($C2086="","",IF(OR($Q2086=TRUE(),$Q2086="TRUE"),1,0))</f>
        <v/>
      </c>
      <c r="AM2086">
        <f>IF($C2086="","",IF($W2086="Yes",1,0))</f>
        <v/>
      </c>
      <c r="AN2086">
        <f>IF($AJ2086=1,IFERROR(IF(VALUE($C2086)&lt;100000000,VALUE($C2086),1000000000),IFERROR(IF(VALUE(MID($C2086,2,20))&lt;100000000,VALUE(MID($C2086,2,20)),1000000000),1000000000))+ROW()/100000,"")</f>
        <v/>
      </c>
    </row>
    <row r="2087">
      <c r="E2087" s="11" t="n"/>
      <c r="M2087" s="7">
        <f>IF($C2087="","",L2087*U2087/100)</f>
        <v/>
      </c>
      <c r="N2087" s="7" t="n"/>
      <c r="T2087" s="7" t="n"/>
      <c r="U2087" s="7">
        <f>IF($C2087="","",S2087*T2087)</f>
        <v/>
      </c>
      <c r="X2087">
        <f>IF($C2087="","",IF($AM2087=1,0,IF($AL2087=1,Settings!$C$6,Settings!$C$7))*100)</f>
        <v/>
      </c>
      <c r="AB2087" s="7" t="n"/>
      <c r="AE2087" s="11" t="n"/>
      <c r="AG2087" s="7">
        <f>IF($C2087="","",U2087*X2087/100)</f>
        <v/>
      </c>
      <c r="AH2087" s="7">
        <f>IF($C2087="","",U2087-AG2087)</f>
        <v/>
      </c>
      <c r="AI2087" s="7">
        <f>IF($C2087="","",AH2087-M2087)</f>
        <v/>
      </c>
      <c r="AJ2087">
        <f>IF($C2087="","",IF(COUNTIF($C$2:$C2087,$C2087)=1,1,0))</f>
        <v/>
      </c>
      <c r="AK2087">
        <f>IF($AJ2087=1,SUMPRODUCT(--($AN$2:$AN$4001&lt;$AN2087))+1,"")</f>
        <v/>
      </c>
      <c r="AL2087">
        <f>IF($C2087="","",IF(OR($Q2087=TRUE(),$Q2087="TRUE"),1,0))</f>
        <v/>
      </c>
      <c r="AM2087">
        <f>IF($C2087="","",IF($W2087="Yes",1,0))</f>
        <v/>
      </c>
      <c r="AN2087">
        <f>IF($AJ2087=1,IFERROR(IF(VALUE($C2087)&lt;100000000,VALUE($C2087),1000000000),IFERROR(IF(VALUE(MID($C2087,2,20))&lt;100000000,VALUE(MID($C2087,2,20)),1000000000),1000000000))+ROW()/100000,"")</f>
        <v/>
      </c>
    </row>
    <row r="2088">
      <c r="E2088" s="11" t="n"/>
      <c r="M2088" s="7">
        <f>IF($C2088="","",L2088*U2088/100)</f>
        <v/>
      </c>
      <c r="N2088" s="7" t="n"/>
      <c r="T2088" s="7" t="n"/>
      <c r="U2088" s="7">
        <f>IF($C2088="","",S2088*T2088)</f>
        <v/>
      </c>
      <c r="X2088">
        <f>IF($C2088="","",IF($AM2088=1,0,IF($AL2088=1,Settings!$C$6,Settings!$C$7))*100)</f>
        <v/>
      </c>
      <c r="AB2088" s="7" t="n"/>
      <c r="AE2088" s="11" t="n"/>
      <c r="AG2088" s="7">
        <f>IF($C2088="","",U2088*X2088/100)</f>
        <v/>
      </c>
      <c r="AH2088" s="7">
        <f>IF($C2088="","",U2088-AG2088)</f>
        <v/>
      </c>
      <c r="AI2088" s="7">
        <f>IF($C2088="","",AH2088-M2088)</f>
        <v/>
      </c>
      <c r="AJ2088">
        <f>IF($C2088="","",IF(COUNTIF($C$2:$C2088,$C2088)=1,1,0))</f>
        <v/>
      </c>
      <c r="AK2088">
        <f>IF($AJ2088=1,SUMPRODUCT(--($AN$2:$AN$4001&lt;$AN2088))+1,"")</f>
        <v/>
      </c>
      <c r="AL2088">
        <f>IF($C2088="","",IF(OR($Q2088=TRUE(),$Q2088="TRUE"),1,0))</f>
        <v/>
      </c>
      <c r="AM2088">
        <f>IF($C2088="","",IF($W2088="Yes",1,0))</f>
        <v/>
      </c>
      <c r="AN2088">
        <f>IF($AJ2088=1,IFERROR(IF(VALUE($C2088)&lt;100000000,VALUE($C2088),1000000000),IFERROR(IF(VALUE(MID($C2088,2,20))&lt;100000000,VALUE(MID($C2088,2,20)),1000000000),1000000000))+ROW()/100000,"")</f>
        <v/>
      </c>
    </row>
    <row r="2089">
      <c r="E2089" s="11" t="n"/>
      <c r="M2089" s="7">
        <f>IF($C2089="","",L2089*U2089/100)</f>
        <v/>
      </c>
      <c r="N2089" s="7" t="n"/>
      <c r="T2089" s="7" t="n"/>
      <c r="U2089" s="7">
        <f>IF($C2089="","",S2089*T2089)</f>
        <v/>
      </c>
      <c r="X2089">
        <f>IF($C2089="","",IF($AM2089=1,0,IF($AL2089=1,Settings!$C$6,Settings!$C$7))*100)</f>
        <v/>
      </c>
      <c r="AB2089" s="7" t="n"/>
      <c r="AE2089" s="11" t="n"/>
      <c r="AG2089" s="7">
        <f>IF($C2089="","",U2089*X2089/100)</f>
        <v/>
      </c>
      <c r="AH2089" s="7">
        <f>IF($C2089="","",U2089-AG2089)</f>
        <v/>
      </c>
      <c r="AI2089" s="7">
        <f>IF($C2089="","",AH2089-M2089)</f>
        <v/>
      </c>
      <c r="AJ2089">
        <f>IF($C2089="","",IF(COUNTIF($C$2:$C2089,$C2089)=1,1,0))</f>
        <v/>
      </c>
      <c r="AK2089">
        <f>IF($AJ2089=1,SUMPRODUCT(--($AN$2:$AN$4001&lt;$AN2089))+1,"")</f>
        <v/>
      </c>
      <c r="AL2089">
        <f>IF($C2089="","",IF(OR($Q2089=TRUE(),$Q2089="TRUE"),1,0))</f>
        <v/>
      </c>
      <c r="AM2089">
        <f>IF($C2089="","",IF($W2089="Yes",1,0))</f>
        <v/>
      </c>
      <c r="AN2089">
        <f>IF($AJ2089=1,IFERROR(IF(VALUE($C2089)&lt;100000000,VALUE($C2089),1000000000),IFERROR(IF(VALUE(MID($C2089,2,20))&lt;100000000,VALUE(MID($C2089,2,20)),1000000000),1000000000))+ROW()/100000,"")</f>
        <v/>
      </c>
    </row>
    <row r="2090">
      <c r="E2090" s="11" t="n"/>
      <c r="M2090" s="7">
        <f>IF($C2090="","",L2090*U2090/100)</f>
        <v/>
      </c>
      <c r="N2090" s="7" t="n"/>
      <c r="T2090" s="7" t="n"/>
      <c r="U2090" s="7">
        <f>IF($C2090="","",S2090*T2090)</f>
        <v/>
      </c>
      <c r="X2090">
        <f>IF($C2090="","",IF($AM2090=1,0,IF($AL2090=1,Settings!$C$6,Settings!$C$7))*100)</f>
        <v/>
      </c>
      <c r="AB2090" s="7" t="n"/>
      <c r="AE2090" s="11" t="n"/>
      <c r="AG2090" s="7">
        <f>IF($C2090="","",U2090*X2090/100)</f>
        <v/>
      </c>
      <c r="AH2090" s="7">
        <f>IF($C2090="","",U2090-AG2090)</f>
        <v/>
      </c>
      <c r="AI2090" s="7">
        <f>IF($C2090="","",AH2090-M2090)</f>
        <v/>
      </c>
      <c r="AJ2090">
        <f>IF($C2090="","",IF(COUNTIF($C$2:$C2090,$C2090)=1,1,0))</f>
        <v/>
      </c>
      <c r="AK2090">
        <f>IF($AJ2090=1,SUMPRODUCT(--($AN$2:$AN$4001&lt;$AN2090))+1,"")</f>
        <v/>
      </c>
      <c r="AL2090">
        <f>IF($C2090="","",IF(OR($Q2090=TRUE(),$Q2090="TRUE"),1,0))</f>
        <v/>
      </c>
      <c r="AM2090">
        <f>IF($C2090="","",IF($W2090="Yes",1,0))</f>
        <v/>
      </c>
      <c r="AN2090">
        <f>IF($AJ2090=1,IFERROR(IF(VALUE($C2090)&lt;100000000,VALUE($C2090),1000000000),IFERROR(IF(VALUE(MID($C2090,2,20))&lt;100000000,VALUE(MID($C2090,2,20)),1000000000),1000000000))+ROW()/100000,"")</f>
        <v/>
      </c>
    </row>
    <row r="2091">
      <c r="E2091" s="11" t="n"/>
      <c r="M2091" s="7">
        <f>IF($C2091="","",L2091*U2091/100)</f>
        <v/>
      </c>
      <c r="N2091" s="7" t="n"/>
      <c r="T2091" s="7" t="n"/>
      <c r="U2091" s="7">
        <f>IF($C2091="","",S2091*T2091)</f>
        <v/>
      </c>
      <c r="X2091">
        <f>IF($C2091="","",IF($AM2091=1,0,IF($AL2091=1,Settings!$C$6,Settings!$C$7))*100)</f>
        <v/>
      </c>
      <c r="AB2091" s="7" t="n"/>
      <c r="AE2091" s="11" t="n"/>
      <c r="AG2091" s="7">
        <f>IF($C2091="","",U2091*X2091/100)</f>
        <v/>
      </c>
      <c r="AH2091" s="7">
        <f>IF($C2091="","",U2091-AG2091)</f>
        <v/>
      </c>
      <c r="AI2091" s="7">
        <f>IF($C2091="","",AH2091-M2091)</f>
        <v/>
      </c>
      <c r="AJ2091">
        <f>IF($C2091="","",IF(COUNTIF($C$2:$C2091,$C2091)=1,1,0))</f>
        <v/>
      </c>
      <c r="AK2091">
        <f>IF($AJ2091=1,SUMPRODUCT(--($AN$2:$AN$4001&lt;$AN2091))+1,"")</f>
        <v/>
      </c>
      <c r="AL2091">
        <f>IF($C2091="","",IF(OR($Q2091=TRUE(),$Q2091="TRUE"),1,0))</f>
        <v/>
      </c>
      <c r="AM2091">
        <f>IF($C2091="","",IF($W2091="Yes",1,0))</f>
        <v/>
      </c>
      <c r="AN2091">
        <f>IF($AJ2091=1,IFERROR(IF(VALUE($C2091)&lt;100000000,VALUE($C2091),1000000000),IFERROR(IF(VALUE(MID($C2091,2,20))&lt;100000000,VALUE(MID($C2091,2,20)),1000000000),1000000000))+ROW()/100000,"")</f>
        <v/>
      </c>
    </row>
    <row r="2092">
      <c r="E2092" s="11" t="n"/>
      <c r="M2092" s="7">
        <f>IF($C2092="","",L2092*U2092/100)</f>
        <v/>
      </c>
      <c r="N2092" s="7" t="n"/>
      <c r="T2092" s="7" t="n"/>
      <c r="U2092" s="7">
        <f>IF($C2092="","",S2092*T2092)</f>
        <v/>
      </c>
      <c r="X2092">
        <f>IF($C2092="","",IF($AM2092=1,0,IF($AL2092=1,Settings!$C$6,Settings!$C$7))*100)</f>
        <v/>
      </c>
      <c r="AB2092" s="7" t="n"/>
      <c r="AE2092" s="11" t="n"/>
      <c r="AG2092" s="7">
        <f>IF($C2092="","",U2092*X2092/100)</f>
        <v/>
      </c>
      <c r="AH2092" s="7">
        <f>IF($C2092="","",U2092-AG2092)</f>
        <v/>
      </c>
      <c r="AI2092" s="7">
        <f>IF($C2092="","",AH2092-M2092)</f>
        <v/>
      </c>
      <c r="AJ2092">
        <f>IF($C2092="","",IF(COUNTIF($C$2:$C2092,$C2092)=1,1,0))</f>
        <v/>
      </c>
      <c r="AK2092">
        <f>IF($AJ2092=1,SUMPRODUCT(--($AN$2:$AN$4001&lt;$AN2092))+1,"")</f>
        <v/>
      </c>
      <c r="AL2092">
        <f>IF($C2092="","",IF(OR($Q2092=TRUE(),$Q2092="TRUE"),1,0))</f>
        <v/>
      </c>
      <c r="AM2092">
        <f>IF($C2092="","",IF($W2092="Yes",1,0))</f>
        <v/>
      </c>
      <c r="AN2092">
        <f>IF($AJ2092=1,IFERROR(IF(VALUE($C2092)&lt;100000000,VALUE($C2092),1000000000),IFERROR(IF(VALUE(MID($C2092,2,20))&lt;100000000,VALUE(MID($C2092,2,20)),1000000000),1000000000))+ROW()/100000,"")</f>
        <v/>
      </c>
    </row>
    <row r="2093">
      <c r="E2093" s="11" t="n"/>
      <c r="M2093" s="7">
        <f>IF($C2093="","",L2093*U2093/100)</f>
        <v/>
      </c>
      <c r="N2093" s="7" t="n"/>
      <c r="T2093" s="7" t="n"/>
      <c r="U2093" s="7">
        <f>IF($C2093="","",S2093*T2093)</f>
        <v/>
      </c>
      <c r="X2093">
        <f>IF($C2093="","",IF($AM2093=1,0,IF($AL2093=1,Settings!$C$6,Settings!$C$7))*100)</f>
        <v/>
      </c>
      <c r="AB2093" s="7" t="n"/>
      <c r="AE2093" s="11" t="n"/>
      <c r="AG2093" s="7">
        <f>IF($C2093="","",U2093*X2093/100)</f>
        <v/>
      </c>
      <c r="AH2093" s="7">
        <f>IF($C2093="","",U2093-AG2093)</f>
        <v/>
      </c>
      <c r="AI2093" s="7">
        <f>IF($C2093="","",AH2093-M2093)</f>
        <v/>
      </c>
      <c r="AJ2093">
        <f>IF($C2093="","",IF(COUNTIF($C$2:$C2093,$C2093)=1,1,0))</f>
        <v/>
      </c>
      <c r="AK2093">
        <f>IF($AJ2093=1,SUMPRODUCT(--($AN$2:$AN$4001&lt;$AN2093))+1,"")</f>
        <v/>
      </c>
      <c r="AL2093">
        <f>IF($C2093="","",IF(OR($Q2093=TRUE(),$Q2093="TRUE"),1,0))</f>
        <v/>
      </c>
      <c r="AM2093">
        <f>IF($C2093="","",IF($W2093="Yes",1,0))</f>
        <v/>
      </c>
      <c r="AN2093">
        <f>IF($AJ2093=1,IFERROR(IF(VALUE($C2093)&lt;100000000,VALUE($C2093),1000000000),IFERROR(IF(VALUE(MID($C2093,2,20))&lt;100000000,VALUE(MID($C2093,2,20)),1000000000),1000000000))+ROW()/100000,"")</f>
        <v/>
      </c>
    </row>
    <row r="2094">
      <c r="E2094" s="11" t="n"/>
      <c r="M2094" s="7">
        <f>IF($C2094="","",L2094*U2094/100)</f>
        <v/>
      </c>
      <c r="N2094" s="7" t="n"/>
      <c r="T2094" s="7" t="n"/>
      <c r="U2094" s="7">
        <f>IF($C2094="","",S2094*T2094)</f>
        <v/>
      </c>
      <c r="X2094">
        <f>IF($C2094="","",IF($AM2094=1,0,IF($AL2094=1,Settings!$C$6,Settings!$C$7))*100)</f>
        <v/>
      </c>
      <c r="AB2094" s="7" t="n"/>
      <c r="AE2094" s="11" t="n"/>
      <c r="AG2094" s="7">
        <f>IF($C2094="","",U2094*X2094/100)</f>
        <v/>
      </c>
      <c r="AH2094" s="7">
        <f>IF($C2094="","",U2094-AG2094)</f>
        <v/>
      </c>
      <c r="AI2094" s="7">
        <f>IF($C2094="","",AH2094-M2094)</f>
        <v/>
      </c>
      <c r="AJ2094">
        <f>IF($C2094="","",IF(COUNTIF($C$2:$C2094,$C2094)=1,1,0))</f>
        <v/>
      </c>
      <c r="AK2094">
        <f>IF($AJ2094=1,SUMPRODUCT(--($AN$2:$AN$4001&lt;$AN2094))+1,"")</f>
        <v/>
      </c>
      <c r="AL2094">
        <f>IF($C2094="","",IF(OR($Q2094=TRUE(),$Q2094="TRUE"),1,0))</f>
        <v/>
      </c>
      <c r="AM2094">
        <f>IF($C2094="","",IF($W2094="Yes",1,0))</f>
        <v/>
      </c>
      <c r="AN2094">
        <f>IF($AJ2094=1,IFERROR(IF(VALUE($C2094)&lt;100000000,VALUE($C2094),1000000000),IFERROR(IF(VALUE(MID($C2094,2,20))&lt;100000000,VALUE(MID($C2094,2,20)),1000000000),1000000000))+ROW()/100000,"")</f>
        <v/>
      </c>
    </row>
    <row r="2095">
      <c r="E2095" s="11" t="n"/>
      <c r="M2095" s="7">
        <f>IF($C2095="","",L2095*U2095/100)</f>
        <v/>
      </c>
      <c r="N2095" s="7" t="n"/>
      <c r="T2095" s="7" t="n"/>
      <c r="U2095" s="7">
        <f>IF($C2095="","",S2095*T2095)</f>
        <v/>
      </c>
      <c r="X2095">
        <f>IF($C2095="","",IF($AM2095=1,0,IF($AL2095=1,Settings!$C$6,Settings!$C$7))*100)</f>
        <v/>
      </c>
      <c r="AB2095" s="7" t="n"/>
      <c r="AE2095" s="11" t="n"/>
      <c r="AG2095" s="7">
        <f>IF($C2095="","",U2095*X2095/100)</f>
        <v/>
      </c>
      <c r="AH2095" s="7">
        <f>IF($C2095="","",U2095-AG2095)</f>
        <v/>
      </c>
      <c r="AI2095" s="7">
        <f>IF($C2095="","",AH2095-M2095)</f>
        <v/>
      </c>
      <c r="AJ2095">
        <f>IF($C2095="","",IF(COUNTIF($C$2:$C2095,$C2095)=1,1,0))</f>
        <v/>
      </c>
      <c r="AK2095">
        <f>IF($AJ2095=1,SUMPRODUCT(--($AN$2:$AN$4001&lt;$AN2095))+1,"")</f>
        <v/>
      </c>
      <c r="AL2095">
        <f>IF($C2095="","",IF(OR($Q2095=TRUE(),$Q2095="TRUE"),1,0))</f>
        <v/>
      </c>
      <c r="AM2095">
        <f>IF($C2095="","",IF($W2095="Yes",1,0))</f>
        <v/>
      </c>
      <c r="AN2095">
        <f>IF($AJ2095=1,IFERROR(IF(VALUE($C2095)&lt;100000000,VALUE($C2095),1000000000),IFERROR(IF(VALUE(MID($C2095,2,20))&lt;100000000,VALUE(MID($C2095,2,20)),1000000000),1000000000))+ROW()/100000,"")</f>
        <v/>
      </c>
    </row>
    <row r="2096">
      <c r="E2096" s="11" t="n"/>
      <c r="M2096" s="7">
        <f>IF($C2096="","",L2096*U2096/100)</f>
        <v/>
      </c>
      <c r="N2096" s="7" t="n"/>
      <c r="T2096" s="7" t="n"/>
      <c r="U2096" s="7">
        <f>IF($C2096="","",S2096*T2096)</f>
        <v/>
      </c>
      <c r="X2096">
        <f>IF($C2096="","",IF($AM2096=1,0,IF($AL2096=1,Settings!$C$6,Settings!$C$7))*100)</f>
        <v/>
      </c>
      <c r="AB2096" s="7" t="n"/>
      <c r="AE2096" s="11" t="n"/>
      <c r="AG2096" s="7">
        <f>IF($C2096="","",U2096*X2096/100)</f>
        <v/>
      </c>
      <c r="AH2096" s="7">
        <f>IF($C2096="","",U2096-AG2096)</f>
        <v/>
      </c>
      <c r="AI2096" s="7">
        <f>IF($C2096="","",AH2096-M2096)</f>
        <v/>
      </c>
      <c r="AJ2096">
        <f>IF($C2096="","",IF(COUNTIF($C$2:$C2096,$C2096)=1,1,0))</f>
        <v/>
      </c>
      <c r="AK2096">
        <f>IF($AJ2096=1,SUMPRODUCT(--($AN$2:$AN$4001&lt;$AN2096))+1,"")</f>
        <v/>
      </c>
      <c r="AL2096">
        <f>IF($C2096="","",IF(OR($Q2096=TRUE(),$Q2096="TRUE"),1,0))</f>
        <v/>
      </c>
      <c r="AM2096">
        <f>IF($C2096="","",IF($W2096="Yes",1,0))</f>
        <v/>
      </c>
      <c r="AN2096">
        <f>IF($AJ2096=1,IFERROR(IF(VALUE($C2096)&lt;100000000,VALUE($C2096),1000000000),IFERROR(IF(VALUE(MID($C2096,2,20))&lt;100000000,VALUE(MID($C2096,2,20)),1000000000),1000000000))+ROW()/100000,"")</f>
        <v/>
      </c>
    </row>
    <row r="2097">
      <c r="E2097" s="11" t="n"/>
      <c r="M2097" s="7">
        <f>IF($C2097="","",L2097*U2097/100)</f>
        <v/>
      </c>
      <c r="N2097" s="7" t="n"/>
      <c r="T2097" s="7" t="n"/>
      <c r="U2097" s="7">
        <f>IF($C2097="","",S2097*T2097)</f>
        <v/>
      </c>
      <c r="X2097">
        <f>IF($C2097="","",IF($AM2097=1,0,IF($AL2097=1,Settings!$C$6,Settings!$C$7))*100)</f>
        <v/>
      </c>
      <c r="AB2097" s="7" t="n"/>
      <c r="AE2097" s="11" t="n"/>
      <c r="AG2097" s="7">
        <f>IF($C2097="","",U2097*X2097/100)</f>
        <v/>
      </c>
      <c r="AH2097" s="7">
        <f>IF($C2097="","",U2097-AG2097)</f>
        <v/>
      </c>
      <c r="AI2097" s="7">
        <f>IF($C2097="","",AH2097-M2097)</f>
        <v/>
      </c>
      <c r="AJ2097">
        <f>IF($C2097="","",IF(COUNTIF($C$2:$C2097,$C2097)=1,1,0))</f>
        <v/>
      </c>
      <c r="AK2097">
        <f>IF($AJ2097=1,SUMPRODUCT(--($AN$2:$AN$4001&lt;$AN2097))+1,"")</f>
        <v/>
      </c>
      <c r="AL2097">
        <f>IF($C2097="","",IF(OR($Q2097=TRUE(),$Q2097="TRUE"),1,0))</f>
        <v/>
      </c>
      <c r="AM2097">
        <f>IF($C2097="","",IF($W2097="Yes",1,0))</f>
        <v/>
      </c>
      <c r="AN2097">
        <f>IF($AJ2097=1,IFERROR(IF(VALUE($C2097)&lt;100000000,VALUE($C2097),1000000000),IFERROR(IF(VALUE(MID($C2097,2,20))&lt;100000000,VALUE(MID($C2097,2,20)),1000000000),1000000000))+ROW()/100000,"")</f>
        <v/>
      </c>
    </row>
    <row r="2098">
      <c r="E2098" s="11" t="n"/>
      <c r="M2098" s="7">
        <f>IF($C2098="","",L2098*U2098/100)</f>
        <v/>
      </c>
      <c r="N2098" s="7" t="n"/>
      <c r="T2098" s="7" t="n"/>
      <c r="U2098" s="7">
        <f>IF($C2098="","",S2098*T2098)</f>
        <v/>
      </c>
      <c r="X2098">
        <f>IF($C2098="","",IF($AM2098=1,0,IF($AL2098=1,Settings!$C$6,Settings!$C$7))*100)</f>
        <v/>
      </c>
      <c r="AB2098" s="7" t="n"/>
      <c r="AE2098" s="11" t="n"/>
      <c r="AG2098" s="7">
        <f>IF($C2098="","",U2098*X2098/100)</f>
        <v/>
      </c>
      <c r="AH2098" s="7">
        <f>IF($C2098="","",U2098-AG2098)</f>
        <v/>
      </c>
      <c r="AI2098" s="7">
        <f>IF($C2098="","",AH2098-M2098)</f>
        <v/>
      </c>
      <c r="AJ2098">
        <f>IF($C2098="","",IF(COUNTIF($C$2:$C2098,$C2098)=1,1,0))</f>
        <v/>
      </c>
      <c r="AK2098">
        <f>IF($AJ2098=1,SUMPRODUCT(--($AN$2:$AN$4001&lt;$AN2098))+1,"")</f>
        <v/>
      </c>
      <c r="AL2098">
        <f>IF($C2098="","",IF(OR($Q2098=TRUE(),$Q2098="TRUE"),1,0))</f>
        <v/>
      </c>
      <c r="AM2098">
        <f>IF($C2098="","",IF($W2098="Yes",1,0))</f>
        <v/>
      </c>
      <c r="AN2098">
        <f>IF($AJ2098=1,IFERROR(IF(VALUE($C2098)&lt;100000000,VALUE($C2098),1000000000),IFERROR(IF(VALUE(MID($C2098,2,20))&lt;100000000,VALUE(MID($C2098,2,20)),1000000000),1000000000))+ROW()/100000,"")</f>
        <v/>
      </c>
    </row>
    <row r="2099">
      <c r="E2099" s="11" t="n"/>
      <c r="M2099" s="7">
        <f>IF($C2099="","",L2099*U2099/100)</f>
        <v/>
      </c>
      <c r="N2099" s="7" t="n"/>
      <c r="T2099" s="7" t="n"/>
      <c r="U2099" s="7">
        <f>IF($C2099="","",S2099*T2099)</f>
        <v/>
      </c>
      <c r="X2099">
        <f>IF($C2099="","",IF($AM2099=1,0,IF($AL2099=1,Settings!$C$6,Settings!$C$7))*100)</f>
        <v/>
      </c>
      <c r="AB2099" s="7" t="n"/>
      <c r="AE2099" s="11" t="n"/>
      <c r="AG2099" s="7">
        <f>IF($C2099="","",U2099*X2099/100)</f>
        <v/>
      </c>
      <c r="AH2099" s="7">
        <f>IF($C2099="","",U2099-AG2099)</f>
        <v/>
      </c>
      <c r="AI2099" s="7">
        <f>IF($C2099="","",AH2099-M2099)</f>
        <v/>
      </c>
      <c r="AJ2099">
        <f>IF($C2099="","",IF(COUNTIF($C$2:$C2099,$C2099)=1,1,0))</f>
        <v/>
      </c>
      <c r="AK2099">
        <f>IF($AJ2099=1,SUMPRODUCT(--($AN$2:$AN$4001&lt;$AN2099))+1,"")</f>
        <v/>
      </c>
      <c r="AL2099">
        <f>IF($C2099="","",IF(OR($Q2099=TRUE(),$Q2099="TRUE"),1,0))</f>
        <v/>
      </c>
      <c r="AM2099">
        <f>IF($C2099="","",IF($W2099="Yes",1,0))</f>
        <v/>
      </c>
      <c r="AN2099">
        <f>IF($AJ2099=1,IFERROR(IF(VALUE($C2099)&lt;100000000,VALUE($C2099),1000000000),IFERROR(IF(VALUE(MID($C2099,2,20))&lt;100000000,VALUE(MID($C2099,2,20)),1000000000),1000000000))+ROW()/100000,"")</f>
        <v/>
      </c>
    </row>
    <row r="2100">
      <c r="E2100" s="11" t="n"/>
      <c r="M2100" s="7">
        <f>IF($C2100="","",L2100*U2100/100)</f>
        <v/>
      </c>
      <c r="N2100" s="7" t="n"/>
      <c r="T2100" s="7" t="n"/>
      <c r="U2100" s="7">
        <f>IF($C2100="","",S2100*T2100)</f>
        <v/>
      </c>
      <c r="X2100">
        <f>IF($C2100="","",IF($AM2100=1,0,IF($AL2100=1,Settings!$C$6,Settings!$C$7))*100)</f>
        <v/>
      </c>
      <c r="AB2100" s="7" t="n"/>
      <c r="AE2100" s="11" t="n"/>
      <c r="AG2100" s="7">
        <f>IF($C2100="","",U2100*X2100/100)</f>
        <v/>
      </c>
      <c r="AH2100" s="7">
        <f>IF($C2100="","",U2100-AG2100)</f>
        <v/>
      </c>
      <c r="AI2100" s="7">
        <f>IF($C2100="","",AH2100-M2100)</f>
        <v/>
      </c>
      <c r="AJ2100">
        <f>IF($C2100="","",IF(COUNTIF($C$2:$C2100,$C2100)=1,1,0))</f>
        <v/>
      </c>
      <c r="AK2100">
        <f>IF($AJ2100=1,SUMPRODUCT(--($AN$2:$AN$4001&lt;$AN2100))+1,"")</f>
        <v/>
      </c>
      <c r="AL2100">
        <f>IF($C2100="","",IF(OR($Q2100=TRUE(),$Q2100="TRUE"),1,0))</f>
        <v/>
      </c>
      <c r="AM2100">
        <f>IF($C2100="","",IF($W2100="Yes",1,0))</f>
        <v/>
      </c>
      <c r="AN2100">
        <f>IF($AJ2100=1,IFERROR(IF(VALUE($C2100)&lt;100000000,VALUE($C2100),1000000000),IFERROR(IF(VALUE(MID($C2100,2,20))&lt;100000000,VALUE(MID($C2100,2,20)),1000000000),1000000000))+ROW()/100000,"")</f>
        <v/>
      </c>
    </row>
    <row r="2101">
      <c r="E2101" s="11" t="n"/>
      <c r="M2101" s="7">
        <f>IF($C2101="","",L2101*U2101/100)</f>
        <v/>
      </c>
      <c r="N2101" s="7" t="n"/>
      <c r="T2101" s="7" t="n"/>
      <c r="U2101" s="7">
        <f>IF($C2101="","",S2101*T2101)</f>
        <v/>
      </c>
      <c r="X2101">
        <f>IF($C2101="","",IF($AM2101=1,0,IF($AL2101=1,Settings!$C$6,Settings!$C$7))*100)</f>
        <v/>
      </c>
      <c r="AB2101" s="7" t="n"/>
      <c r="AE2101" s="11" t="n"/>
      <c r="AG2101" s="7">
        <f>IF($C2101="","",U2101*X2101/100)</f>
        <v/>
      </c>
      <c r="AH2101" s="7">
        <f>IF($C2101="","",U2101-AG2101)</f>
        <v/>
      </c>
      <c r="AI2101" s="7">
        <f>IF($C2101="","",AH2101-M2101)</f>
        <v/>
      </c>
      <c r="AJ2101">
        <f>IF($C2101="","",IF(COUNTIF($C$2:$C2101,$C2101)=1,1,0))</f>
        <v/>
      </c>
      <c r="AK2101">
        <f>IF($AJ2101=1,SUMPRODUCT(--($AN$2:$AN$4001&lt;$AN2101))+1,"")</f>
        <v/>
      </c>
      <c r="AL2101">
        <f>IF($C2101="","",IF(OR($Q2101=TRUE(),$Q2101="TRUE"),1,0))</f>
        <v/>
      </c>
      <c r="AM2101">
        <f>IF($C2101="","",IF($W2101="Yes",1,0))</f>
        <v/>
      </c>
      <c r="AN2101">
        <f>IF($AJ2101=1,IFERROR(IF(VALUE($C2101)&lt;100000000,VALUE($C2101),1000000000),IFERROR(IF(VALUE(MID($C2101,2,20))&lt;100000000,VALUE(MID($C2101,2,20)),1000000000),1000000000))+ROW()/100000,"")</f>
        <v/>
      </c>
    </row>
    <row r="2102">
      <c r="E2102" s="11" t="n"/>
      <c r="M2102" s="7">
        <f>IF($C2102="","",L2102*U2102/100)</f>
        <v/>
      </c>
      <c r="N2102" s="7" t="n"/>
      <c r="T2102" s="7" t="n"/>
      <c r="U2102" s="7">
        <f>IF($C2102="","",S2102*T2102)</f>
        <v/>
      </c>
      <c r="X2102">
        <f>IF($C2102="","",IF($AM2102=1,0,IF($AL2102=1,Settings!$C$6,Settings!$C$7))*100)</f>
        <v/>
      </c>
      <c r="AB2102" s="7" t="n"/>
      <c r="AE2102" s="11" t="n"/>
      <c r="AG2102" s="7">
        <f>IF($C2102="","",U2102*X2102/100)</f>
        <v/>
      </c>
      <c r="AH2102" s="7">
        <f>IF($C2102="","",U2102-AG2102)</f>
        <v/>
      </c>
      <c r="AI2102" s="7">
        <f>IF($C2102="","",AH2102-M2102)</f>
        <v/>
      </c>
      <c r="AJ2102">
        <f>IF($C2102="","",IF(COUNTIF($C$2:$C2102,$C2102)=1,1,0))</f>
        <v/>
      </c>
      <c r="AK2102">
        <f>IF($AJ2102=1,SUMPRODUCT(--($AN$2:$AN$4001&lt;$AN2102))+1,"")</f>
        <v/>
      </c>
      <c r="AL2102">
        <f>IF($C2102="","",IF(OR($Q2102=TRUE(),$Q2102="TRUE"),1,0))</f>
        <v/>
      </c>
      <c r="AM2102">
        <f>IF($C2102="","",IF($W2102="Yes",1,0))</f>
        <v/>
      </c>
      <c r="AN2102">
        <f>IF($AJ2102=1,IFERROR(IF(VALUE($C2102)&lt;100000000,VALUE($C2102),1000000000),IFERROR(IF(VALUE(MID($C2102,2,20))&lt;100000000,VALUE(MID($C2102,2,20)),1000000000),1000000000))+ROW()/100000,"")</f>
        <v/>
      </c>
    </row>
    <row r="2103">
      <c r="E2103" s="11" t="n"/>
      <c r="M2103" s="7">
        <f>IF($C2103="","",L2103*U2103/100)</f>
        <v/>
      </c>
      <c r="N2103" s="7" t="n"/>
      <c r="T2103" s="7" t="n"/>
      <c r="U2103" s="7">
        <f>IF($C2103="","",S2103*T2103)</f>
        <v/>
      </c>
      <c r="X2103">
        <f>IF($C2103="","",IF($AM2103=1,0,IF($AL2103=1,Settings!$C$6,Settings!$C$7))*100)</f>
        <v/>
      </c>
      <c r="AB2103" s="7" t="n"/>
      <c r="AE2103" s="11" t="n"/>
      <c r="AG2103" s="7">
        <f>IF($C2103="","",U2103*X2103/100)</f>
        <v/>
      </c>
      <c r="AH2103" s="7">
        <f>IF($C2103="","",U2103-AG2103)</f>
        <v/>
      </c>
      <c r="AI2103" s="7">
        <f>IF($C2103="","",AH2103-M2103)</f>
        <v/>
      </c>
      <c r="AJ2103">
        <f>IF($C2103="","",IF(COUNTIF($C$2:$C2103,$C2103)=1,1,0))</f>
        <v/>
      </c>
      <c r="AK2103">
        <f>IF($AJ2103=1,SUMPRODUCT(--($AN$2:$AN$4001&lt;$AN2103))+1,"")</f>
        <v/>
      </c>
      <c r="AL2103">
        <f>IF($C2103="","",IF(OR($Q2103=TRUE(),$Q2103="TRUE"),1,0))</f>
        <v/>
      </c>
      <c r="AM2103">
        <f>IF($C2103="","",IF($W2103="Yes",1,0))</f>
        <v/>
      </c>
      <c r="AN2103">
        <f>IF($AJ2103=1,IFERROR(IF(VALUE($C2103)&lt;100000000,VALUE($C2103),1000000000),IFERROR(IF(VALUE(MID($C2103,2,20))&lt;100000000,VALUE(MID($C2103,2,20)),1000000000),1000000000))+ROW()/100000,"")</f>
        <v/>
      </c>
    </row>
    <row r="2104">
      <c r="E2104" s="11" t="n"/>
      <c r="M2104" s="7">
        <f>IF($C2104="","",L2104*U2104/100)</f>
        <v/>
      </c>
      <c r="N2104" s="7" t="n"/>
      <c r="T2104" s="7" t="n"/>
      <c r="U2104" s="7">
        <f>IF($C2104="","",S2104*T2104)</f>
        <v/>
      </c>
      <c r="X2104">
        <f>IF($C2104="","",IF($AM2104=1,0,IF($AL2104=1,Settings!$C$6,Settings!$C$7))*100)</f>
        <v/>
      </c>
      <c r="AB2104" s="7" t="n"/>
      <c r="AE2104" s="11" t="n"/>
      <c r="AG2104" s="7">
        <f>IF($C2104="","",U2104*X2104/100)</f>
        <v/>
      </c>
      <c r="AH2104" s="7">
        <f>IF($C2104="","",U2104-AG2104)</f>
        <v/>
      </c>
      <c r="AI2104" s="7">
        <f>IF($C2104="","",AH2104-M2104)</f>
        <v/>
      </c>
      <c r="AJ2104">
        <f>IF($C2104="","",IF(COUNTIF($C$2:$C2104,$C2104)=1,1,0))</f>
        <v/>
      </c>
      <c r="AK2104">
        <f>IF($AJ2104=1,SUMPRODUCT(--($AN$2:$AN$4001&lt;$AN2104))+1,"")</f>
        <v/>
      </c>
      <c r="AL2104">
        <f>IF($C2104="","",IF(OR($Q2104=TRUE(),$Q2104="TRUE"),1,0))</f>
        <v/>
      </c>
      <c r="AM2104">
        <f>IF($C2104="","",IF($W2104="Yes",1,0))</f>
        <v/>
      </c>
      <c r="AN2104">
        <f>IF($AJ2104=1,IFERROR(IF(VALUE($C2104)&lt;100000000,VALUE($C2104),1000000000),IFERROR(IF(VALUE(MID($C2104,2,20))&lt;100000000,VALUE(MID($C2104,2,20)),1000000000),1000000000))+ROW()/100000,"")</f>
        <v/>
      </c>
    </row>
    <row r="2105">
      <c r="E2105" s="11" t="n"/>
      <c r="M2105" s="7">
        <f>IF($C2105="","",L2105*U2105/100)</f>
        <v/>
      </c>
      <c r="N2105" s="7" t="n"/>
      <c r="T2105" s="7" t="n"/>
      <c r="U2105" s="7">
        <f>IF($C2105="","",S2105*T2105)</f>
        <v/>
      </c>
      <c r="X2105">
        <f>IF($C2105="","",IF($AM2105=1,0,IF($AL2105=1,Settings!$C$6,Settings!$C$7))*100)</f>
        <v/>
      </c>
      <c r="AB2105" s="7" t="n"/>
      <c r="AE2105" s="11" t="n"/>
      <c r="AG2105" s="7">
        <f>IF($C2105="","",U2105*X2105/100)</f>
        <v/>
      </c>
      <c r="AH2105" s="7">
        <f>IF($C2105="","",U2105-AG2105)</f>
        <v/>
      </c>
      <c r="AI2105" s="7">
        <f>IF($C2105="","",AH2105-M2105)</f>
        <v/>
      </c>
      <c r="AJ2105">
        <f>IF($C2105="","",IF(COUNTIF($C$2:$C2105,$C2105)=1,1,0))</f>
        <v/>
      </c>
      <c r="AK2105">
        <f>IF($AJ2105=1,SUMPRODUCT(--($AN$2:$AN$4001&lt;$AN2105))+1,"")</f>
        <v/>
      </c>
      <c r="AL2105">
        <f>IF($C2105="","",IF(OR($Q2105=TRUE(),$Q2105="TRUE"),1,0))</f>
        <v/>
      </c>
      <c r="AM2105">
        <f>IF($C2105="","",IF($W2105="Yes",1,0))</f>
        <v/>
      </c>
      <c r="AN2105">
        <f>IF($AJ2105=1,IFERROR(IF(VALUE($C2105)&lt;100000000,VALUE($C2105),1000000000),IFERROR(IF(VALUE(MID($C2105,2,20))&lt;100000000,VALUE(MID($C2105,2,20)),1000000000),1000000000))+ROW()/100000,"")</f>
        <v/>
      </c>
    </row>
    <row r="2106">
      <c r="E2106" s="11" t="n"/>
      <c r="M2106" s="7">
        <f>IF($C2106="","",L2106*U2106/100)</f>
        <v/>
      </c>
      <c r="N2106" s="7" t="n"/>
      <c r="T2106" s="7" t="n"/>
      <c r="U2106" s="7">
        <f>IF($C2106="","",S2106*T2106)</f>
        <v/>
      </c>
      <c r="X2106">
        <f>IF($C2106="","",IF($AM2106=1,0,IF($AL2106=1,Settings!$C$6,Settings!$C$7))*100)</f>
        <v/>
      </c>
      <c r="AB2106" s="7" t="n"/>
      <c r="AE2106" s="11" t="n"/>
      <c r="AG2106" s="7">
        <f>IF($C2106="","",U2106*X2106/100)</f>
        <v/>
      </c>
      <c r="AH2106" s="7">
        <f>IF($C2106="","",U2106-AG2106)</f>
        <v/>
      </c>
      <c r="AI2106" s="7">
        <f>IF($C2106="","",AH2106-M2106)</f>
        <v/>
      </c>
      <c r="AJ2106">
        <f>IF($C2106="","",IF(COUNTIF($C$2:$C2106,$C2106)=1,1,0))</f>
        <v/>
      </c>
      <c r="AK2106">
        <f>IF($AJ2106=1,SUMPRODUCT(--($AN$2:$AN$4001&lt;$AN2106))+1,"")</f>
        <v/>
      </c>
      <c r="AL2106">
        <f>IF($C2106="","",IF(OR($Q2106=TRUE(),$Q2106="TRUE"),1,0))</f>
        <v/>
      </c>
      <c r="AM2106">
        <f>IF($C2106="","",IF($W2106="Yes",1,0))</f>
        <v/>
      </c>
      <c r="AN2106">
        <f>IF($AJ2106=1,IFERROR(IF(VALUE($C2106)&lt;100000000,VALUE($C2106),1000000000),IFERROR(IF(VALUE(MID($C2106,2,20))&lt;100000000,VALUE(MID($C2106,2,20)),1000000000),1000000000))+ROW()/100000,"")</f>
        <v/>
      </c>
    </row>
    <row r="2107">
      <c r="E2107" s="11" t="n"/>
      <c r="M2107" s="7">
        <f>IF($C2107="","",L2107*U2107/100)</f>
        <v/>
      </c>
      <c r="N2107" s="7" t="n"/>
      <c r="T2107" s="7" t="n"/>
      <c r="U2107" s="7">
        <f>IF($C2107="","",S2107*T2107)</f>
        <v/>
      </c>
      <c r="X2107">
        <f>IF($C2107="","",IF($AM2107=1,0,IF($AL2107=1,Settings!$C$6,Settings!$C$7))*100)</f>
        <v/>
      </c>
      <c r="AB2107" s="7" t="n"/>
      <c r="AE2107" s="11" t="n"/>
      <c r="AG2107" s="7">
        <f>IF($C2107="","",U2107*X2107/100)</f>
        <v/>
      </c>
      <c r="AH2107" s="7">
        <f>IF($C2107="","",U2107-AG2107)</f>
        <v/>
      </c>
      <c r="AI2107" s="7">
        <f>IF($C2107="","",AH2107-M2107)</f>
        <v/>
      </c>
      <c r="AJ2107">
        <f>IF($C2107="","",IF(COUNTIF($C$2:$C2107,$C2107)=1,1,0))</f>
        <v/>
      </c>
      <c r="AK2107">
        <f>IF($AJ2107=1,SUMPRODUCT(--($AN$2:$AN$4001&lt;$AN2107))+1,"")</f>
        <v/>
      </c>
      <c r="AL2107">
        <f>IF($C2107="","",IF(OR($Q2107=TRUE(),$Q2107="TRUE"),1,0))</f>
        <v/>
      </c>
      <c r="AM2107">
        <f>IF($C2107="","",IF($W2107="Yes",1,0))</f>
        <v/>
      </c>
      <c r="AN2107">
        <f>IF($AJ2107=1,IFERROR(IF(VALUE($C2107)&lt;100000000,VALUE($C2107),1000000000),IFERROR(IF(VALUE(MID($C2107,2,20))&lt;100000000,VALUE(MID($C2107,2,20)),1000000000),1000000000))+ROW()/100000,"")</f>
        <v/>
      </c>
    </row>
    <row r="2108">
      <c r="E2108" s="11" t="n"/>
      <c r="M2108" s="7">
        <f>IF($C2108="","",L2108*U2108/100)</f>
        <v/>
      </c>
      <c r="N2108" s="7" t="n"/>
      <c r="T2108" s="7" t="n"/>
      <c r="U2108" s="7">
        <f>IF($C2108="","",S2108*T2108)</f>
        <v/>
      </c>
      <c r="X2108">
        <f>IF($C2108="","",IF($AM2108=1,0,IF($AL2108=1,Settings!$C$6,Settings!$C$7))*100)</f>
        <v/>
      </c>
      <c r="AB2108" s="7" t="n"/>
      <c r="AE2108" s="11" t="n"/>
      <c r="AG2108" s="7">
        <f>IF($C2108="","",U2108*X2108/100)</f>
        <v/>
      </c>
      <c r="AH2108" s="7">
        <f>IF($C2108="","",U2108-AG2108)</f>
        <v/>
      </c>
      <c r="AI2108" s="7">
        <f>IF($C2108="","",AH2108-M2108)</f>
        <v/>
      </c>
      <c r="AJ2108">
        <f>IF($C2108="","",IF(COUNTIF($C$2:$C2108,$C2108)=1,1,0))</f>
        <v/>
      </c>
      <c r="AK2108">
        <f>IF($AJ2108=1,SUMPRODUCT(--($AN$2:$AN$4001&lt;$AN2108))+1,"")</f>
        <v/>
      </c>
      <c r="AL2108">
        <f>IF($C2108="","",IF(OR($Q2108=TRUE(),$Q2108="TRUE"),1,0))</f>
        <v/>
      </c>
      <c r="AM2108">
        <f>IF($C2108="","",IF($W2108="Yes",1,0))</f>
        <v/>
      </c>
      <c r="AN2108">
        <f>IF($AJ2108=1,IFERROR(IF(VALUE($C2108)&lt;100000000,VALUE($C2108),1000000000),IFERROR(IF(VALUE(MID($C2108,2,20))&lt;100000000,VALUE(MID($C2108,2,20)),1000000000),1000000000))+ROW()/100000,"")</f>
        <v/>
      </c>
    </row>
    <row r="2109">
      <c r="E2109" s="11" t="n"/>
      <c r="M2109" s="7">
        <f>IF($C2109="","",L2109*U2109/100)</f>
        <v/>
      </c>
      <c r="N2109" s="7" t="n"/>
      <c r="T2109" s="7" t="n"/>
      <c r="U2109" s="7">
        <f>IF($C2109="","",S2109*T2109)</f>
        <v/>
      </c>
      <c r="X2109">
        <f>IF($C2109="","",IF($AM2109=1,0,IF($AL2109=1,Settings!$C$6,Settings!$C$7))*100)</f>
        <v/>
      </c>
      <c r="AB2109" s="7" t="n"/>
      <c r="AE2109" s="11" t="n"/>
      <c r="AG2109" s="7">
        <f>IF($C2109="","",U2109*X2109/100)</f>
        <v/>
      </c>
      <c r="AH2109" s="7">
        <f>IF($C2109="","",U2109-AG2109)</f>
        <v/>
      </c>
      <c r="AI2109" s="7">
        <f>IF($C2109="","",AH2109-M2109)</f>
        <v/>
      </c>
      <c r="AJ2109">
        <f>IF($C2109="","",IF(COUNTIF($C$2:$C2109,$C2109)=1,1,0))</f>
        <v/>
      </c>
      <c r="AK2109">
        <f>IF($AJ2109=1,SUMPRODUCT(--($AN$2:$AN$4001&lt;$AN2109))+1,"")</f>
        <v/>
      </c>
      <c r="AL2109">
        <f>IF($C2109="","",IF(OR($Q2109=TRUE(),$Q2109="TRUE"),1,0))</f>
        <v/>
      </c>
      <c r="AM2109">
        <f>IF($C2109="","",IF($W2109="Yes",1,0))</f>
        <v/>
      </c>
      <c r="AN2109">
        <f>IF($AJ2109=1,IFERROR(IF(VALUE($C2109)&lt;100000000,VALUE($C2109),1000000000),IFERROR(IF(VALUE(MID($C2109,2,20))&lt;100000000,VALUE(MID($C2109,2,20)),1000000000),1000000000))+ROW()/100000,"")</f>
        <v/>
      </c>
    </row>
    <row r="2110">
      <c r="E2110" s="11" t="n"/>
      <c r="M2110" s="7">
        <f>IF($C2110="","",L2110*U2110/100)</f>
        <v/>
      </c>
      <c r="N2110" s="7" t="n"/>
      <c r="T2110" s="7" t="n"/>
      <c r="U2110" s="7">
        <f>IF($C2110="","",S2110*T2110)</f>
        <v/>
      </c>
      <c r="X2110">
        <f>IF($C2110="","",IF($AM2110=1,0,IF($AL2110=1,Settings!$C$6,Settings!$C$7))*100)</f>
        <v/>
      </c>
      <c r="AB2110" s="7" t="n"/>
      <c r="AE2110" s="11" t="n"/>
      <c r="AG2110" s="7">
        <f>IF($C2110="","",U2110*X2110/100)</f>
        <v/>
      </c>
      <c r="AH2110" s="7">
        <f>IF($C2110="","",U2110-AG2110)</f>
        <v/>
      </c>
      <c r="AI2110" s="7">
        <f>IF($C2110="","",AH2110-M2110)</f>
        <v/>
      </c>
      <c r="AJ2110">
        <f>IF($C2110="","",IF(COUNTIF($C$2:$C2110,$C2110)=1,1,0))</f>
        <v/>
      </c>
      <c r="AK2110">
        <f>IF($AJ2110=1,SUMPRODUCT(--($AN$2:$AN$4001&lt;$AN2110))+1,"")</f>
        <v/>
      </c>
      <c r="AL2110">
        <f>IF($C2110="","",IF(OR($Q2110=TRUE(),$Q2110="TRUE"),1,0))</f>
        <v/>
      </c>
      <c r="AM2110">
        <f>IF($C2110="","",IF($W2110="Yes",1,0))</f>
        <v/>
      </c>
      <c r="AN2110">
        <f>IF($AJ2110=1,IFERROR(IF(VALUE($C2110)&lt;100000000,VALUE($C2110),1000000000),IFERROR(IF(VALUE(MID($C2110,2,20))&lt;100000000,VALUE(MID($C2110,2,20)),1000000000),1000000000))+ROW()/100000,"")</f>
        <v/>
      </c>
    </row>
    <row r="2111">
      <c r="E2111" s="11" t="n"/>
      <c r="M2111" s="7">
        <f>IF($C2111="","",L2111*U2111/100)</f>
        <v/>
      </c>
      <c r="N2111" s="7" t="n"/>
      <c r="T2111" s="7" t="n"/>
      <c r="U2111" s="7">
        <f>IF($C2111="","",S2111*T2111)</f>
        <v/>
      </c>
      <c r="X2111">
        <f>IF($C2111="","",IF($AM2111=1,0,IF($AL2111=1,Settings!$C$6,Settings!$C$7))*100)</f>
        <v/>
      </c>
      <c r="AB2111" s="7" t="n"/>
      <c r="AE2111" s="11" t="n"/>
      <c r="AG2111" s="7">
        <f>IF($C2111="","",U2111*X2111/100)</f>
        <v/>
      </c>
      <c r="AH2111" s="7">
        <f>IF($C2111="","",U2111-AG2111)</f>
        <v/>
      </c>
      <c r="AI2111" s="7">
        <f>IF($C2111="","",AH2111-M2111)</f>
        <v/>
      </c>
      <c r="AJ2111">
        <f>IF($C2111="","",IF(COUNTIF($C$2:$C2111,$C2111)=1,1,0))</f>
        <v/>
      </c>
      <c r="AK2111">
        <f>IF($AJ2111=1,SUMPRODUCT(--($AN$2:$AN$4001&lt;$AN2111))+1,"")</f>
        <v/>
      </c>
      <c r="AL2111">
        <f>IF($C2111="","",IF(OR($Q2111=TRUE(),$Q2111="TRUE"),1,0))</f>
        <v/>
      </c>
      <c r="AM2111">
        <f>IF($C2111="","",IF($W2111="Yes",1,0))</f>
        <v/>
      </c>
      <c r="AN2111">
        <f>IF($AJ2111=1,IFERROR(IF(VALUE($C2111)&lt;100000000,VALUE($C2111),1000000000),IFERROR(IF(VALUE(MID($C2111,2,20))&lt;100000000,VALUE(MID($C2111,2,20)),1000000000),1000000000))+ROW()/100000,"")</f>
        <v/>
      </c>
    </row>
    <row r="2112">
      <c r="E2112" s="11" t="n"/>
      <c r="M2112" s="7">
        <f>IF($C2112="","",L2112*U2112/100)</f>
        <v/>
      </c>
      <c r="N2112" s="7" t="n"/>
      <c r="T2112" s="7" t="n"/>
      <c r="U2112" s="7">
        <f>IF($C2112="","",S2112*T2112)</f>
        <v/>
      </c>
      <c r="X2112">
        <f>IF($C2112="","",IF($AM2112=1,0,IF($AL2112=1,Settings!$C$6,Settings!$C$7))*100)</f>
        <v/>
      </c>
      <c r="AB2112" s="7" t="n"/>
      <c r="AE2112" s="11" t="n"/>
      <c r="AG2112" s="7">
        <f>IF($C2112="","",U2112*X2112/100)</f>
        <v/>
      </c>
      <c r="AH2112" s="7">
        <f>IF($C2112="","",U2112-AG2112)</f>
        <v/>
      </c>
      <c r="AI2112" s="7">
        <f>IF($C2112="","",AH2112-M2112)</f>
        <v/>
      </c>
      <c r="AJ2112">
        <f>IF($C2112="","",IF(COUNTIF($C$2:$C2112,$C2112)=1,1,0))</f>
        <v/>
      </c>
      <c r="AK2112">
        <f>IF($AJ2112=1,SUMPRODUCT(--($AN$2:$AN$4001&lt;$AN2112))+1,"")</f>
        <v/>
      </c>
      <c r="AL2112">
        <f>IF($C2112="","",IF(OR($Q2112=TRUE(),$Q2112="TRUE"),1,0))</f>
        <v/>
      </c>
      <c r="AM2112">
        <f>IF($C2112="","",IF($W2112="Yes",1,0))</f>
        <v/>
      </c>
      <c r="AN2112">
        <f>IF($AJ2112=1,IFERROR(IF(VALUE($C2112)&lt;100000000,VALUE($C2112),1000000000),IFERROR(IF(VALUE(MID($C2112,2,20))&lt;100000000,VALUE(MID($C2112,2,20)),1000000000),1000000000))+ROW()/100000,"")</f>
        <v/>
      </c>
    </row>
    <row r="2113">
      <c r="E2113" s="11" t="n"/>
      <c r="M2113" s="7">
        <f>IF($C2113="","",L2113*U2113/100)</f>
        <v/>
      </c>
      <c r="N2113" s="7" t="n"/>
      <c r="T2113" s="7" t="n"/>
      <c r="U2113" s="7">
        <f>IF($C2113="","",S2113*T2113)</f>
        <v/>
      </c>
      <c r="X2113">
        <f>IF($C2113="","",IF($AM2113=1,0,IF($AL2113=1,Settings!$C$6,Settings!$C$7))*100)</f>
        <v/>
      </c>
      <c r="AB2113" s="7" t="n"/>
      <c r="AE2113" s="11" t="n"/>
      <c r="AG2113" s="7">
        <f>IF($C2113="","",U2113*X2113/100)</f>
        <v/>
      </c>
      <c r="AH2113" s="7">
        <f>IF($C2113="","",U2113-AG2113)</f>
        <v/>
      </c>
      <c r="AI2113" s="7">
        <f>IF($C2113="","",AH2113-M2113)</f>
        <v/>
      </c>
      <c r="AJ2113">
        <f>IF($C2113="","",IF(COUNTIF($C$2:$C2113,$C2113)=1,1,0))</f>
        <v/>
      </c>
      <c r="AK2113">
        <f>IF($AJ2113=1,SUMPRODUCT(--($AN$2:$AN$4001&lt;$AN2113))+1,"")</f>
        <v/>
      </c>
      <c r="AL2113">
        <f>IF($C2113="","",IF(OR($Q2113=TRUE(),$Q2113="TRUE"),1,0))</f>
        <v/>
      </c>
      <c r="AM2113">
        <f>IF($C2113="","",IF($W2113="Yes",1,0))</f>
        <v/>
      </c>
      <c r="AN2113">
        <f>IF($AJ2113=1,IFERROR(IF(VALUE($C2113)&lt;100000000,VALUE($C2113),1000000000),IFERROR(IF(VALUE(MID($C2113,2,20))&lt;100000000,VALUE(MID($C2113,2,20)),1000000000),1000000000))+ROW()/100000,"")</f>
        <v/>
      </c>
    </row>
    <row r="2114">
      <c r="E2114" s="11" t="n"/>
      <c r="M2114" s="7">
        <f>IF($C2114="","",L2114*U2114/100)</f>
        <v/>
      </c>
      <c r="N2114" s="7" t="n"/>
      <c r="T2114" s="7" t="n"/>
      <c r="U2114" s="7">
        <f>IF($C2114="","",S2114*T2114)</f>
        <v/>
      </c>
      <c r="X2114">
        <f>IF($C2114="","",IF($AM2114=1,0,IF($AL2114=1,Settings!$C$6,Settings!$C$7))*100)</f>
        <v/>
      </c>
      <c r="AB2114" s="7" t="n"/>
      <c r="AE2114" s="11" t="n"/>
      <c r="AG2114" s="7">
        <f>IF($C2114="","",U2114*X2114/100)</f>
        <v/>
      </c>
      <c r="AH2114" s="7">
        <f>IF($C2114="","",U2114-AG2114)</f>
        <v/>
      </c>
      <c r="AI2114" s="7">
        <f>IF($C2114="","",AH2114-M2114)</f>
        <v/>
      </c>
      <c r="AJ2114">
        <f>IF($C2114="","",IF(COUNTIF($C$2:$C2114,$C2114)=1,1,0))</f>
        <v/>
      </c>
      <c r="AK2114">
        <f>IF($AJ2114=1,SUMPRODUCT(--($AN$2:$AN$4001&lt;$AN2114))+1,"")</f>
        <v/>
      </c>
      <c r="AL2114">
        <f>IF($C2114="","",IF(OR($Q2114=TRUE(),$Q2114="TRUE"),1,0))</f>
        <v/>
      </c>
      <c r="AM2114">
        <f>IF($C2114="","",IF($W2114="Yes",1,0))</f>
        <v/>
      </c>
      <c r="AN2114">
        <f>IF($AJ2114=1,IFERROR(IF(VALUE($C2114)&lt;100000000,VALUE($C2114),1000000000),IFERROR(IF(VALUE(MID($C2114,2,20))&lt;100000000,VALUE(MID($C2114,2,20)),1000000000),1000000000))+ROW()/100000,"")</f>
        <v/>
      </c>
    </row>
    <row r="2115">
      <c r="E2115" s="11" t="n"/>
      <c r="M2115" s="7">
        <f>IF($C2115="","",L2115*U2115/100)</f>
        <v/>
      </c>
      <c r="N2115" s="7" t="n"/>
      <c r="T2115" s="7" t="n"/>
      <c r="U2115" s="7">
        <f>IF($C2115="","",S2115*T2115)</f>
        <v/>
      </c>
      <c r="X2115">
        <f>IF($C2115="","",IF($AM2115=1,0,IF($AL2115=1,Settings!$C$6,Settings!$C$7))*100)</f>
        <v/>
      </c>
      <c r="AB2115" s="7" t="n"/>
      <c r="AE2115" s="11" t="n"/>
      <c r="AG2115" s="7">
        <f>IF($C2115="","",U2115*X2115/100)</f>
        <v/>
      </c>
      <c r="AH2115" s="7">
        <f>IF($C2115="","",U2115-AG2115)</f>
        <v/>
      </c>
      <c r="AI2115" s="7">
        <f>IF($C2115="","",AH2115-M2115)</f>
        <v/>
      </c>
      <c r="AJ2115">
        <f>IF($C2115="","",IF(COUNTIF($C$2:$C2115,$C2115)=1,1,0))</f>
        <v/>
      </c>
      <c r="AK2115">
        <f>IF($AJ2115=1,SUMPRODUCT(--($AN$2:$AN$4001&lt;$AN2115))+1,"")</f>
        <v/>
      </c>
      <c r="AL2115">
        <f>IF($C2115="","",IF(OR($Q2115=TRUE(),$Q2115="TRUE"),1,0))</f>
        <v/>
      </c>
      <c r="AM2115">
        <f>IF($C2115="","",IF($W2115="Yes",1,0))</f>
        <v/>
      </c>
      <c r="AN2115">
        <f>IF($AJ2115=1,IFERROR(IF(VALUE($C2115)&lt;100000000,VALUE($C2115),1000000000),IFERROR(IF(VALUE(MID($C2115,2,20))&lt;100000000,VALUE(MID($C2115,2,20)),1000000000),1000000000))+ROW()/100000,"")</f>
        <v/>
      </c>
    </row>
    <row r="2116">
      <c r="E2116" s="11" t="n"/>
      <c r="M2116" s="7">
        <f>IF($C2116="","",L2116*U2116/100)</f>
        <v/>
      </c>
      <c r="N2116" s="7" t="n"/>
      <c r="T2116" s="7" t="n"/>
      <c r="U2116" s="7">
        <f>IF($C2116="","",S2116*T2116)</f>
        <v/>
      </c>
      <c r="X2116">
        <f>IF($C2116="","",IF($AM2116=1,0,IF($AL2116=1,Settings!$C$6,Settings!$C$7))*100)</f>
        <v/>
      </c>
      <c r="AB2116" s="7" t="n"/>
      <c r="AE2116" s="11" t="n"/>
      <c r="AG2116" s="7">
        <f>IF($C2116="","",U2116*X2116/100)</f>
        <v/>
      </c>
      <c r="AH2116" s="7">
        <f>IF($C2116="","",U2116-AG2116)</f>
        <v/>
      </c>
      <c r="AI2116" s="7">
        <f>IF($C2116="","",AH2116-M2116)</f>
        <v/>
      </c>
      <c r="AJ2116">
        <f>IF($C2116="","",IF(COUNTIF($C$2:$C2116,$C2116)=1,1,0))</f>
        <v/>
      </c>
      <c r="AK2116">
        <f>IF($AJ2116=1,SUMPRODUCT(--($AN$2:$AN$4001&lt;$AN2116))+1,"")</f>
        <v/>
      </c>
      <c r="AL2116">
        <f>IF($C2116="","",IF(OR($Q2116=TRUE(),$Q2116="TRUE"),1,0))</f>
        <v/>
      </c>
      <c r="AM2116">
        <f>IF($C2116="","",IF($W2116="Yes",1,0))</f>
        <v/>
      </c>
      <c r="AN2116">
        <f>IF($AJ2116=1,IFERROR(IF(VALUE($C2116)&lt;100000000,VALUE($C2116),1000000000),IFERROR(IF(VALUE(MID($C2116,2,20))&lt;100000000,VALUE(MID($C2116,2,20)),1000000000),1000000000))+ROW()/100000,"")</f>
        <v/>
      </c>
    </row>
    <row r="2117">
      <c r="E2117" s="11" t="n"/>
      <c r="M2117" s="7">
        <f>IF($C2117="","",L2117*U2117/100)</f>
        <v/>
      </c>
      <c r="N2117" s="7" t="n"/>
      <c r="T2117" s="7" t="n"/>
      <c r="U2117" s="7">
        <f>IF($C2117="","",S2117*T2117)</f>
        <v/>
      </c>
      <c r="X2117">
        <f>IF($C2117="","",IF($AM2117=1,0,IF($AL2117=1,Settings!$C$6,Settings!$C$7))*100)</f>
        <v/>
      </c>
      <c r="AB2117" s="7" t="n"/>
      <c r="AE2117" s="11" t="n"/>
      <c r="AG2117" s="7">
        <f>IF($C2117="","",U2117*X2117/100)</f>
        <v/>
      </c>
      <c r="AH2117" s="7">
        <f>IF($C2117="","",U2117-AG2117)</f>
        <v/>
      </c>
      <c r="AI2117" s="7">
        <f>IF($C2117="","",AH2117-M2117)</f>
        <v/>
      </c>
      <c r="AJ2117">
        <f>IF($C2117="","",IF(COUNTIF($C$2:$C2117,$C2117)=1,1,0))</f>
        <v/>
      </c>
      <c r="AK2117">
        <f>IF($AJ2117=1,SUMPRODUCT(--($AN$2:$AN$4001&lt;$AN2117))+1,"")</f>
        <v/>
      </c>
      <c r="AL2117">
        <f>IF($C2117="","",IF(OR($Q2117=TRUE(),$Q2117="TRUE"),1,0))</f>
        <v/>
      </c>
      <c r="AM2117">
        <f>IF($C2117="","",IF($W2117="Yes",1,0))</f>
        <v/>
      </c>
      <c r="AN2117">
        <f>IF($AJ2117=1,IFERROR(IF(VALUE($C2117)&lt;100000000,VALUE($C2117),1000000000),IFERROR(IF(VALUE(MID($C2117,2,20))&lt;100000000,VALUE(MID($C2117,2,20)),1000000000),1000000000))+ROW()/100000,"")</f>
        <v/>
      </c>
    </row>
    <row r="2118">
      <c r="E2118" s="11" t="n"/>
      <c r="M2118" s="7">
        <f>IF($C2118="","",L2118*U2118/100)</f>
        <v/>
      </c>
      <c r="N2118" s="7" t="n"/>
      <c r="T2118" s="7" t="n"/>
      <c r="U2118" s="7">
        <f>IF($C2118="","",S2118*T2118)</f>
        <v/>
      </c>
      <c r="X2118">
        <f>IF($C2118="","",IF($AM2118=1,0,IF($AL2118=1,Settings!$C$6,Settings!$C$7))*100)</f>
        <v/>
      </c>
      <c r="AB2118" s="7" t="n"/>
      <c r="AE2118" s="11" t="n"/>
      <c r="AG2118" s="7">
        <f>IF($C2118="","",U2118*X2118/100)</f>
        <v/>
      </c>
      <c r="AH2118" s="7">
        <f>IF($C2118="","",U2118-AG2118)</f>
        <v/>
      </c>
      <c r="AI2118" s="7">
        <f>IF($C2118="","",AH2118-M2118)</f>
        <v/>
      </c>
      <c r="AJ2118">
        <f>IF($C2118="","",IF(COUNTIF($C$2:$C2118,$C2118)=1,1,0))</f>
        <v/>
      </c>
      <c r="AK2118">
        <f>IF($AJ2118=1,SUMPRODUCT(--($AN$2:$AN$4001&lt;$AN2118))+1,"")</f>
        <v/>
      </c>
      <c r="AL2118">
        <f>IF($C2118="","",IF(OR($Q2118=TRUE(),$Q2118="TRUE"),1,0))</f>
        <v/>
      </c>
      <c r="AM2118">
        <f>IF($C2118="","",IF($W2118="Yes",1,0))</f>
        <v/>
      </c>
      <c r="AN2118">
        <f>IF($AJ2118=1,IFERROR(IF(VALUE($C2118)&lt;100000000,VALUE($C2118),1000000000),IFERROR(IF(VALUE(MID($C2118,2,20))&lt;100000000,VALUE(MID($C2118,2,20)),1000000000),1000000000))+ROW()/100000,"")</f>
        <v/>
      </c>
    </row>
    <row r="2119">
      <c r="E2119" s="11" t="n"/>
      <c r="M2119" s="7">
        <f>IF($C2119="","",L2119*U2119/100)</f>
        <v/>
      </c>
      <c r="N2119" s="7" t="n"/>
      <c r="T2119" s="7" t="n"/>
      <c r="U2119" s="7">
        <f>IF($C2119="","",S2119*T2119)</f>
        <v/>
      </c>
      <c r="X2119">
        <f>IF($C2119="","",IF($AM2119=1,0,IF($AL2119=1,Settings!$C$6,Settings!$C$7))*100)</f>
        <v/>
      </c>
      <c r="AB2119" s="7" t="n"/>
      <c r="AE2119" s="11" t="n"/>
      <c r="AG2119" s="7">
        <f>IF($C2119="","",U2119*X2119/100)</f>
        <v/>
      </c>
      <c r="AH2119" s="7">
        <f>IF($C2119="","",U2119-AG2119)</f>
        <v/>
      </c>
      <c r="AI2119" s="7">
        <f>IF($C2119="","",AH2119-M2119)</f>
        <v/>
      </c>
      <c r="AJ2119">
        <f>IF($C2119="","",IF(COUNTIF($C$2:$C2119,$C2119)=1,1,0))</f>
        <v/>
      </c>
      <c r="AK2119">
        <f>IF($AJ2119=1,SUMPRODUCT(--($AN$2:$AN$4001&lt;$AN2119))+1,"")</f>
        <v/>
      </c>
      <c r="AL2119">
        <f>IF($C2119="","",IF(OR($Q2119=TRUE(),$Q2119="TRUE"),1,0))</f>
        <v/>
      </c>
      <c r="AM2119">
        <f>IF($C2119="","",IF($W2119="Yes",1,0))</f>
        <v/>
      </c>
      <c r="AN2119">
        <f>IF($AJ2119=1,IFERROR(IF(VALUE($C2119)&lt;100000000,VALUE($C2119),1000000000),IFERROR(IF(VALUE(MID($C2119,2,20))&lt;100000000,VALUE(MID($C2119,2,20)),1000000000),1000000000))+ROW()/100000,"")</f>
        <v/>
      </c>
    </row>
    <row r="2120">
      <c r="E2120" s="11" t="n"/>
      <c r="M2120" s="7">
        <f>IF($C2120="","",L2120*U2120/100)</f>
        <v/>
      </c>
      <c r="N2120" s="7" t="n"/>
      <c r="T2120" s="7" t="n"/>
      <c r="U2120" s="7">
        <f>IF($C2120="","",S2120*T2120)</f>
        <v/>
      </c>
      <c r="X2120">
        <f>IF($C2120="","",IF($AM2120=1,0,IF($AL2120=1,Settings!$C$6,Settings!$C$7))*100)</f>
        <v/>
      </c>
      <c r="AB2120" s="7" t="n"/>
      <c r="AE2120" s="11" t="n"/>
      <c r="AG2120" s="7">
        <f>IF($C2120="","",U2120*X2120/100)</f>
        <v/>
      </c>
      <c r="AH2120" s="7">
        <f>IF($C2120="","",U2120-AG2120)</f>
        <v/>
      </c>
      <c r="AI2120" s="7">
        <f>IF($C2120="","",AH2120-M2120)</f>
        <v/>
      </c>
      <c r="AJ2120">
        <f>IF($C2120="","",IF(COUNTIF($C$2:$C2120,$C2120)=1,1,0))</f>
        <v/>
      </c>
      <c r="AK2120">
        <f>IF($AJ2120=1,SUMPRODUCT(--($AN$2:$AN$4001&lt;$AN2120))+1,"")</f>
        <v/>
      </c>
      <c r="AL2120">
        <f>IF($C2120="","",IF(OR($Q2120=TRUE(),$Q2120="TRUE"),1,0))</f>
        <v/>
      </c>
      <c r="AM2120">
        <f>IF($C2120="","",IF($W2120="Yes",1,0))</f>
        <v/>
      </c>
      <c r="AN2120">
        <f>IF($AJ2120=1,IFERROR(IF(VALUE($C2120)&lt;100000000,VALUE($C2120),1000000000),IFERROR(IF(VALUE(MID($C2120,2,20))&lt;100000000,VALUE(MID($C2120,2,20)),1000000000),1000000000))+ROW()/100000,"")</f>
        <v/>
      </c>
    </row>
    <row r="2121">
      <c r="E2121" s="11" t="n"/>
      <c r="M2121" s="7">
        <f>IF($C2121="","",L2121*U2121/100)</f>
        <v/>
      </c>
      <c r="N2121" s="7" t="n"/>
      <c r="T2121" s="7" t="n"/>
      <c r="U2121" s="7">
        <f>IF($C2121="","",S2121*T2121)</f>
        <v/>
      </c>
      <c r="X2121">
        <f>IF($C2121="","",IF($AM2121=1,0,IF($AL2121=1,Settings!$C$6,Settings!$C$7))*100)</f>
        <v/>
      </c>
      <c r="AB2121" s="7" t="n"/>
      <c r="AE2121" s="11" t="n"/>
      <c r="AG2121" s="7">
        <f>IF($C2121="","",U2121*X2121/100)</f>
        <v/>
      </c>
      <c r="AH2121" s="7">
        <f>IF($C2121="","",U2121-AG2121)</f>
        <v/>
      </c>
      <c r="AI2121" s="7">
        <f>IF($C2121="","",AH2121-M2121)</f>
        <v/>
      </c>
      <c r="AJ2121">
        <f>IF($C2121="","",IF(COUNTIF($C$2:$C2121,$C2121)=1,1,0))</f>
        <v/>
      </c>
      <c r="AK2121">
        <f>IF($AJ2121=1,SUMPRODUCT(--($AN$2:$AN$4001&lt;$AN2121))+1,"")</f>
        <v/>
      </c>
      <c r="AL2121">
        <f>IF($C2121="","",IF(OR($Q2121=TRUE(),$Q2121="TRUE"),1,0))</f>
        <v/>
      </c>
      <c r="AM2121">
        <f>IF($C2121="","",IF($W2121="Yes",1,0))</f>
        <v/>
      </c>
      <c r="AN2121">
        <f>IF($AJ2121=1,IFERROR(IF(VALUE($C2121)&lt;100000000,VALUE($C2121),1000000000),IFERROR(IF(VALUE(MID($C2121,2,20))&lt;100000000,VALUE(MID($C2121,2,20)),1000000000),1000000000))+ROW()/100000,"")</f>
        <v/>
      </c>
    </row>
    <row r="2122">
      <c r="E2122" s="11" t="n"/>
      <c r="M2122" s="7">
        <f>IF($C2122="","",L2122*U2122/100)</f>
        <v/>
      </c>
      <c r="N2122" s="7" t="n"/>
      <c r="T2122" s="7" t="n"/>
      <c r="U2122" s="7">
        <f>IF($C2122="","",S2122*T2122)</f>
        <v/>
      </c>
      <c r="X2122">
        <f>IF($C2122="","",IF($AM2122=1,0,IF($AL2122=1,Settings!$C$6,Settings!$C$7))*100)</f>
        <v/>
      </c>
      <c r="AB2122" s="7" t="n"/>
      <c r="AE2122" s="11" t="n"/>
      <c r="AG2122" s="7">
        <f>IF($C2122="","",U2122*X2122/100)</f>
        <v/>
      </c>
      <c r="AH2122" s="7">
        <f>IF($C2122="","",U2122-AG2122)</f>
        <v/>
      </c>
      <c r="AI2122" s="7">
        <f>IF($C2122="","",AH2122-M2122)</f>
        <v/>
      </c>
      <c r="AJ2122">
        <f>IF($C2122="","",IF(COUNTIF($C$2:$C2122,$C2122)=1,1,0))</f>
        <v/>
      </c>
      <c r="AK2122">
        <f>IF($AJ2122=1,SUMPRODUCT(--($AN$2:$AN$4001&lt;$AN2122))+1,"")</f>
        <v/>
      </c>
      <c r="AL2122">
        <f>IF($C2122="","",IF(OR($Q2122=TRUE(),$Q2122="TRUE"),1,0))</f>
        <v/>
      </c>
      <c r="AM2122">
        <f>IF($C2122="","",IF($W2122="Yes",1,0))</f>
        <v/>
      </c>
      <c r="AN2122">
        <f>IF($AJ2122=1,IFERROR(IF(VALUE($C2122)&lt;100000000,VALUE($C2122),1000000000),IFERROR(IF(VALUE(MID($C2122,2,20))&lt;100000000,VALUE(MID($C2122,2,20)),1000000000),1000000000))+ROW()/100000,"")</f>
        <v/>
      </c>
    </row>
    <row r="2123">
      <c r="E2123" s="11" t="n"/>
      <c r="M2123" s="7">
        <f>IF($C2123="","",L2123*U2123/100)</f>
        <v/>
      </c>
      <c r="N2123" s="7" t="n"/>
      <c r="T2123" s="7" t="n"/>
      <c r="U2123" s="7">
        <f>IF($C2123="","",S2123*T2123)</f>
        <v/>
      </c>
      <c r="X2123">
        <f>IF($C2123="","",IF($AM2123=1,0,IF($AL2123=1,Settings!$C$6,Settings!$C$7))*100)</f>
        <v/>
      </c>
      <c r="AB2123" s="7" t="n"/>
      <c r="AE2123" s="11" t="n"/>
      <c r="AG2123" s="7">
        <f>IF($C2123="","",U2123*X2123/100)</f>
        <v/>
      </c>
      <c r="AH2123" s="7">
        <f>IF($C2123="","",U2123-AG2123)</f>
        <v/>
      </c>
      <c r="AI2123" s="7">
        <f>IF($C2123="","",AH2123-M2123)</f>
        <v/>
      </c>
      <c r="AJ2123">
        <f>IF($C2123="","",IF(COUNTIF($C$2:$C2123,$C2123)=1,1,0))</f>
        <v/>
      </c>
      <c r="AK2123">
        <f>IF($AJ2123=1,SUMPRODUCT(--($AN$2:$AN$4001&lt;$AN2123))+1,"")</f>
        <v/>
      </c>
      <c r="AL2123">
        <f>IF($C2123="","",IF(OR($Q2123=TRUE(),$Q2123="TRUE"),1,0))</f>
        <v/>
      </c>
      <c r="AM2123">
        <f>IF($C2123="","",IF($W2123="Yes",1,0))</f>
        <v/>
      </c>
      <c r="AN2123">
        <f>IF($AJ2123=1,IFERROR(IF(VALUE($C2123)&lt;100000000,VALUE($C2123),1000000000),IFERROR(IF(VALUE(MID($C2123,2,20))&lt;100000000,VALUE(MID($C2123,2,20)),1000000000),1000000000))+ROW()/100000,"")</f>
        <v/>
      </c>
    </row>
    <row r="2124">
      <c r="E2124" s="11" t="n"/>
      <c r="M2124" s="7">
        <f>IF($C2124="","",L2124*U2124/100)</f>
        <v/>
      </c>
      <c r="N2124" s="7" t="n"/>
      <c r="T2124" s="7" t="n"/>
      <c r="U2124" s="7">
        <f>IF($C2124="","",S2124*T2124)</f>
        <v/>
      </c>
      <c r="X2124">
        <f>IF($C2124="","",IF($AM2124=1,0,IF($AL2124=1,Settings!$C$6,Settings!$C$7))*100)</f>
        <v/>
      </c>
      <c r="AB2124" s="7" t="n"/>
      <c r="AE2124" s="11" t="n"/>
      <c r="AG2124" s="7">
        <f>IF($C2124="","",U2124*X2124/100)</f>
        <v/>
      </c>
      <c r="AH2124" s="7">
        <f>IF($C2124="","",U2124-AG2124)</f>
        <v/>
      </c>
      <c r="AI2124" s="7">
        <f>IF($C2124="","",AH2124-M2124)</f>
        <v/>
      </c>
      <c r="AJ2124">
        <f>IF($C2124="","",IF(COUNTIF($C$2:$C2124,$C2124)=1,1,0))</f>
        <v/>
      </c>
      <c r="AK2124">
        <f>IF($AJ2124=1,SUMPRODUCT(--($AN$2:$AN$4001&lt;$AN2124))+1,"")</f>
        <v/>
      </c>
      <c r="AL2124">
        <f>IF($C2124="","",IF(OR($Q2124=TRUE(),$Q2124="TRUE"),1,0))</f>
        <v/>
      </c>
      <c r="AM2124">
        <f>IF($C2124="","",IF($W2124="Yes",1,0))</f>
        <v/>
      </c>
      <c r="AN2124">
        <f>IF($AJ2124=1,IFERROR(IF(VALUE($C2124)&lt;100000000,VALUE($C2124),1000000000),IFERROR(IF(VALUE(MID($C2124,2,20))&lt;100000000,VALUE(MID($C2124,2,20)),1000000000),1000000000))+ROW()/100000,"")</f>
        <v/>
      </c>
    </row>
    <row r="2125">
      <c r="E2125" s="11" t="n"/>
      <c r="M2125" s="7">
        <f>IF($C2125="","",L2125*U2125/100)</f>
        <v/>
      </c>
      <c r="N2125" s="7" t="n"/>
      <c r="T2125" s="7" t="n"/>
      <c r="U2125" s="7">
        <f>IF($C2125="","",S2125*T2125)</f>
        <v/>
      </c>
      <c r="X2125">
        <f>IF($C2125="","",IF($AM2125=1,0,IF($AL2125=1,Settings!$C$6,Settings!$C$7))*100)</f>
        <v/>
      </c>
      <c r="AB2125" s="7" t="n"/>
      <c r="AE2125" s="11" t="n"/>
      <c r="AG2125" s="7">
        <f>IF($C2125="","",U2125*X2125/100)</f>
        <v/>
      </c>
      <c r="AH2125" s="7">
        <f>IF($C2125="","",U2125-AG2125)</f>
        <v/>
      </c>
      <c r="AI2125" s="7">
        <f>IF($C2125="","",AH2125-M2125)</f>
        <v/>
      </c>
      <c r="AJ2125">
        <f>IF($C2125="","",IF(COUNTIF($C$2:$C2125,$C2125)=1,1,0))</f>
        <v/>
      </c>
      <c r="AK2125">
        <f>IF($AJ2125=1,SUMPRODUCT(--($AN$2:$AN$4001&lt;$AN2125))+1,"")</f>
        <v/>
      </c>
      <c r="AL2125">
        <f>IF($C2125="","",IF(OR($Q2125=TRUE(),$Q2125="TRUE"),1,0))</f>
        <v/>
      </c>
      <c r="AM2125">
        <f>IF($C2125="","",IF($W2125="Yes",1,0))</f>
        <v/>
      </c>
      <c r="AN2125">
        <f>IF($AJ2125=1,IFERROR(IF(VALUE($C2125)&lt;100000000,VALUE($C2125),1000000000),IFERROR(IF(VALUE(MID($C2125,2,20))&lt;100000000,VALUE(MID($C2125,2,20)),1000000000),1000000000))+ROW()/100000,"")</f>
        <v/>
      </c>
    </row>
    <row r="2126">
      <c r="E2126" s="11" t="n"/>
      <c r="M2126" s="7">
        <f>IF($C2126="","",L2126*U2126/100)</f>
        <v/>
      </c>
      <c r="N2126" s="7" t="n"/>
      <c r="T2126" s="7" t="n"/>
      <c r="U2126" s="7">
        <f>IF($C2126="","",S2126*T2126)</f>
        <v/>
      </c>
      <c r="X2126">
        <f>IF($C2126="","",IF($AM2126=1,0,IF($AL2126=1,Settings!$C$6,Settings!$C$7))*100)</f>
        <v/>
      </c>
      <c r="AB2126" s="7" t="n"/>
      <c r="AE2126" s="11" t="n"/>
      <c r="AG2126" s="7">
        <f>IF($C2126="","",U2126*X2126/100)</f>
        <v/>
      </c>
      <c r="AH2126" s="7">
        <f>IF($C2126="","",U2126-AG2126)</f>
        <v/>
      </c>
      <c r="AI2126" s="7">
        <f>IF($C2126="","",AH2126-M2126)</f>
        <v/>
      </c>
      <c r="AJ2126">
        <f>IF($C2126="","",IF(COUNTIF($C$2:$C2126,$C2126)=1,1,0))</f>
        <v/>
      </c>
      <c r="AK2126">
        <f>IF($AJ2126=1,SUMPRODUCT(--($AN$2:$AN$4001&lt;$AN2126))+1,"")</f>
        <v/>
      </c>
      <c r="AL2126">
        <f>IF($C2126="","",IF(OR($Q2126=TRUE(),$Q2126="TRUE"),1,0))</f>
        <v/>
      </c>
      <c r="AM2126">
        <f>IF($C2126="","",IF($W2126="Yes",1,0))</f>
        <v/>
      </c>
      <c r="AN2126">
        <f>IF($AJ2126=1,IFERROR(IF(VALUE($C2126)&lt;100000000,VALUE($C2126),1000000000),IFERROR(IF(VALUE(MID($C2126,2,20))&lt;100000000,VALUE(MID($C2126,2,20)),1000000000),1000000000))+ROW()/100000,"")</f>
        <v/>
      </c>
    </row>
    <row r="2127">
      <c r="E2127" s="11" t="n"/>
      <c r="M2127" s="7">
        <f>IF($C2127="","",L2127*U2127/100)</f>
        <v/>
      </c>
      <c r="N2127" s="7" t="n"/>
      <c r="T2127" s="7" t="n"/>
      <c r="U2127" s="7">
        <f>IF($C2127="","",S2127*T2127)</f>
        <v/>
      </c>
      <c r="X2127">
        <f>IF($C2127="","",IF($AM2127=1,0,IF($AL2127=1,Settings!$C$6,Settings!$C$7))*100)</f>
        <v/>
      </c>
      <c r="AB2127" s="7" t="n"/>
      <c r="AE2127" s="11" t="n"/>
      <c r="AG2127" s="7">
        <f>IF($C2127="","",U2127*X2127/100)</f>
        <v/>
      </c>
      <c r="AH2127" s="7">
        <f>IF($C2127="","",U2127-AG2127)</f>
        <v/>
      </c>
      <c r="AI2127" s="7">
        <f>IF($C2127="","",AH2127-M2127)</f>
        <v/>
      </c>
      <c r="AJ2127">
        <f>IF($C2127="","",IF(COUNTIF($C$2:$C2127,$C2127)=1,1,0))</f>
        <v/>
      </c>
      <c r="AK2127">
        <f>IF($AJ2127=1,SUMPRODUCT(--($AN$2:$AN$4001&lt;$AN2127))+1,"")</f>
        <v/>
      </c>
      <c r="AL2127">
        <f>IF($C2127="","",IF(OR($Q2127=TRUE(),$Q2127="TRUE"),1,0))</f>
        <v/>
      </c>
      <c r="AM2127">
        <f>IF($C2127="","",IF($W2127="Yes",1,0))</f>
        <v/>
      </c>
      <c r="AN2127">
        <f>IF($AJ2127=1,IFERROR(IF(VALUE($C2127)&lt;100000000,VALUE($C2127),1000000000),IFERROR(IF(VALUE(MID($C2127,2,20))&lt;100000000,VALUE(MID($C2127,2,20)),1000000000),1000000000))+ROW()/100000,"")</f>
        <v/>
      </c>
    </row>
    <row r="2128">
      <c r="E2128" s="11" t="n"/>
      <c r="M2128" s="7">
        <f>IF($C2128="","",L2128*U2128/100)</f>
        <v/>
      </c>
      <c r="N2128" s="7" t="n"/>
      <c r="T2128" s="7" t="n"/>
      <c r="U2128" s="7">
        <f>IF($C2128="","",S2128*T2128)</f>
        <v/>
      </c>
      <c r="X2128">
        <f>IF($C2128="","",IF($AM2128=1,0,IF($AL2128=1,Settings!$C$6,Settings!$C$7))*100)</f>
        <v/>
      </c>
      <c r="AB2128" s="7" t="n"/>
      <c r="AE2128" s="11" t="n"/>
      <c r="AG2128" s="7">
        <f>IF($C2128="","",U2128*X2128/100)</f>
        <v/>
      </c>
      <c r="AH2128" s="7">
        <f>IF($C2128="","",U2128-AG2128)</f>
        <v/>
      </c>
      <c r="AI2128" s="7">
        <f>IF($C2128="","",AH2128-M2128)</f>
        <v/>
      </c>
      <c r="AJ2128">
        <f>IF($C2128="","",IF(COUNTIF($C$2:$C2128,$C2128)=1,1,0))</f>
        <v/>
      </c>
      <c r="AK2128">
        <f>IF($AJ2128=1,SUMPRODUCT(--($AN$2:$AN$4001&lt;$AN2128))+1,"")</f>
        <v/>
      </c>
      <c r="AL2128">
        <f>IF($C2128="","",IF(OR($Q2128=TRUE(),$Q2128="TRUE"),1,0))</f>
        <v/>
      </c>
      <c r="AM2128">
        <f>IF($C2128="","",IF($W2128="Yes",1,0))</f>
        <v/>
      </c>
      <c r="AN2128">
        <f>IF($AJ2128=1,IFERROR(IF(VALUE($C2128)&lt;100000000,VALUE($C2128),1000000000),IFERROR(IF(VALUE(MID($C2128,2,20))&lt;100000000,VALUE(MID($C2128,2,20)),1000000000),1000000000))+ROW()/100000,"")</f>
        <v/>
      </c>
    </row>
    <row r="2129">
      <c r="E2129" s="11" t="n"/>
      <c r="M2129" s="7">
        <f>IF($C2129="","",L2129*U2129/100)</f>
        <v/>
      </c>
      <c r="N2129" s="7" t="n"/>
      <c r="T2129" s="7" t="n"/>
      <c r="U2129" s="7">
        <f>IF($C2129="","",S2129*T2129)</f>
        <v/>
      </c>
      <c r="X2129">
        <f>IF($C2129="","",IF($AM2129=1,0,IF($AL2129=1,Settings!$C$6,Settings!$C$7))*100)</f>
        <v/>
      </c>
      <c r="AB2129" s="7" t="n"/>
      <c r="AE2129" s="11" t="n"/>
      <c r="AG2129" s="7">
        <f>IF($C2129="","",U2129*X2129/100)</f>
        <v/>
      </c>
      <c r="AH2129" s="7">
        <f>IF($C2129="","",U2129-AG2129)</f>
        <v/>
      </c>
      <c r="AI2129" s="7">
        <f>IF($C2129="","",AH2129-M2129)</f>
        <v/>
      </c>
      <c r="AJ2129">
        <f>IF($C2129="","",IF(COUNTIF($C$2:$C2129,$C2129)=1,1,0))</f>
        <v/>
      </c>
      <c r="AK2129">
        <f>IF($AJ2129=1,SUMPRODUCT(--($AN$2:$AN$4001&lt;$AN2129))+1,"")</f>
        <v/>
      </c>
      <c r="AL2129">
        <f>IF($C2129="","",IF(OR($Q2129=TRUE(),$Q2129="TRUE"),1,0))</f>
        <v/>
      </c>
      <c r="AM2129">
        <f>IF($C2129="","",IF($W2129="Yes",1,0))</f>
        <v/>
      </c>
      <c r="AN2129">
        <f>IF($AJ2129=1,IFERROR(IF(VALUE($C2129)&lt;100000000,VALUE($C2129),1000000000),IFERROR(IF(VALUE(MID($C2129,2,20))&lt;100000000,VALUE(MID($C2129,2,20)),1000000000),1000000000))+ROW()/100000,"")</f>
        <v/>
      </c>
    </row>
    <row r="2130">
      <c r="E2130" s="11" t="n"/>
      <c r="M2130" s="7">
        <f>IF($C2130="","",L2130*U2130/100)</f>
        <v/>
      </c>
      <c r="N2130" s="7" t="n"/>
      <c r="T2130" s="7" t="n"/>
      <c r="U2130" s="7">
        <f>IF($C2130="","",S2130*T2130)</f>
        <v/>
      </c>
      <c r="X2130">
        <f>IF($C2130="","",IF($AM2130=1,0,IF($AL2130=1,Settings!$C$6,Settings!$C$7))*100)</f>
        <v/>
      </c>
      <c r="AB2130" s="7" t="n"/>
      <c r="AE2130" s="11" t="n"/>
      <c r="AG2130" s="7">
        <f>IF($C2130="","",U2130*X2130/100)</f>
        <v/>
      </c>
      <c r="AH2130" s="7">
        <f>IF($C2130="","",U2130-AG2130)</f>
        <v/>
      </c>
      <c r="AI2130" s="7">
        <f>IF($C2130="","",AH2130-M2130)</f>
        <v/>
      </c>
      <c r="AJ2130">
        <f>IF($C2130="","",IF(COUNTIF($C$2:$C2130,$C2130)=1,1,0))</f>
        <v/>
      </c>
      <c r="AK2130">
        <f>IF($AJ2130=1,SUMPRODUCT(--($AN$2:$AN$4001&lt;$AN2130))+1,"")</f>
        <v/>
      </c>
      <c r="AL2130">
        <f>IF($C2130="","",IF(OR($Q2130=TRUE(),$Q2130="TRUE"),1,0))</f>
        <v/>
      </c>
      <c r="AM2130">
        <f>IF($C2130="","",IF($W2130="Yes",1,0))</f>
        <v/>
      </c>
      <c r="AN2130">
        <f>IF($AJ2130=1,IFERROR(IF(VALUE($C2130)&lt;100000000,VALUE($C2130),1000000000),IFERROR(IF(VALUE(MID($C2130,2,20))&lt;100000000,VALUE(MID($C2130,2,20)),1000000000),1000000000))+ROW()/100000,"")</f>
        <v/>
      </c>
    </row>
    <row r="2131">
      <c r="E2131" s="11" t="n"/>
      <c r="M2131" s="7">
        <f>IF($C2131="","",L2131*U2131/100)</f>
        <v/>
      </c>
      <c r="N2131" s="7" t="n"/>
      <c r="T2131" s="7" t="n"/>
      <c r="U2131" s="7">
        <f>IF($C2131="","",S2131*T2131)</f>
        <v/>
      </c>
      <c r="X2131">
        <f>IF($C2131="","",IF($AM2131=1,0,IF($AL2131=1,Settings!$C$6,Settings!$C$7))*100)</f>
        <v/>
      </c>
      <c r="AB2131" s="7" t="n"/>
      <c r="AE2131" s="11" t="n"/>
      <c r="AG2131" s="7">
        <f>IF($C2131="","",U2131*X2131/100)</f>
        <v/>
      </c>
      <c r="AH2131" s="7">
        <f>IF($C2131="","",U2131-AG2131)</f>
        <v/>
      </c>
      <c r="AI2131" s="7">
        <f>IF($C2131="","",AH2131-M2131)</f>
        <v/>
      </c>
      <c r="AJ2131">
        <f>IF($C2131="","",IF(COUNTIF($C$2:$C2131,$C2131)=1,1,0))</f>
        <v/>
      </c>
      <c r="AK2131">
        <f>IF($AJ2131=1,SUMPRODUCT(--($AN$2:$AN$4001&lt;$AN2131))+1,"")</f>
        <v/>
      </c>
      <c r="AL2131">
        <f>IF($C2131="","",IF(OR($Q2131=TRUE(),$Q2131="TRUE"),1,0))</f>
        <v/>
      </c>
      <c r="AM2131">
        <f>IF($C2131="","",IF($W2131="Yes",1,0))</f>
        <v/>
      </c>
      <c r="AN2131">
        <f>IF($AJ2131=1,IFERROR(IF(VALUE($C2131)&lt;100000000,VALUE($C2131),1000000000),IFERROR(IF(VALUE(MID($C2131,2,20))&lt;100000000,VALUE(MID($C2131,2,20)),1000000000),1000000000))+ROW()/100000,"")</f>
        <v/>
      </c>
    </row>
    <row r="2132">
      <c r="E2132" s="11" t="n"/>
      <c r="M2132" s="7">
        <f>IF($C2132="","",L2132*U2132/100)</f>
        <v/>
      </c>
      <c r="N2132" s="7" t="n"/>
      <c r="T2132" s="7" t="n"/>
      <c r="U2132" s="7">
        <f>IF($C2132="","",S2132*T2132)</f>
        <v/>
      </c>
      <c r="X2132">
        <f>IF($C2132="","",IF($AM2132=1,0,IF($AL2132=1,Settings!$C$6,Settings!$C$7))*100)</f>
        <v/>
      </c>
      <c r="AB2132" s="7" t="n"/>
      <c r="AE2132" s="11" t="n"/>
      <c r="AG2132" s="7">
        <f>IF($C2132="","",U2132*X2132/100)</f>
        <v/>
      </c>
      <c r="AH2132" s="7">
        <f>IF($C2132="","",U2132-AG2132)</f>
        <v/>
      </c>
      <c r="AI2132" s="7">
        <f>IF($C2132="","",AH2132-M2132)</f>
        <v/>
      </c>
      <c r="AJ2132">
        <f>IF($C2132="","",IF(COUNTIF($C$2:$C2132,$C2132)=1,1,0))</f>
        <v/>
      </c>
      <c r="AK2132">
        <f>IF($AJ2132=1,SUMPRODUCT(--($AN$2:$AN$4001&lt;$AN2132))+1,"")</f>
        <v/>
      </c>
      <c r="AL2132">
        <f>IF($C2132="","",IF(OR($Q2132=TRUE(),$Q2132="TRUE"),1,0))</f>
        <v/>
      </c>
      <c r="AM2132">
        <f>IF($C2132="","",IF($W2132="Yes",1,0))</f>
        <v/>
      </c>
      <c r="AN2132">
        <f>IF($AJ2132=1,IFERROR(IF(VALUE($C2132)&lt;100000000,VALUE($C2132),1000000000),IFERROR(IF(VALUE(MID($C2132,2,20))&lt;100000000,VALUE(MID($C2132,2,20)),1000000000),1000000000))+ROW()/100000,"")</f>
        <v/>
      </c>
    </row>
    <row r="2133">
      <c r="E2133" s="11" t="n"/>
      <c r="M2133" s="7">
        <f>IF($C2133="","",L2133*U2133/100)</f>
        <v/>
      </c>
      <c r="N2133" s="7" t="n"/>
      <c r="T2133" s="7" t="n"/>
      <c r="U2133" s="7">
        <f>IF($C2133="","",S2133*T2133)</f>
        <v/>
      </c>
      <c r="X2133">
        <f>IF($C2133="","",IF($AM2133=1,0,IF($AL2133=1,Settings!$C$6,Settings!$C$7))*100)</f>
        <v/>
      </c>
      <c r="AB2133" s="7" t="n"/>
      <c r="AE2133" s="11" t="n"/>
      <c r="AG2133" s="7">
        <f>IF($C2133="","",U2133*X2133/100)</f>
        <v/>
      </c>
      <c r="AH2133" s="7">
        <f>IF($C2133="","",U2133-AG2133)</f>
        <v/>
      </c>
      <c r="AI2133" s="7">
        <f>IF($C2133="","",AH2133-M2133)</f>
        <v/>
      </c>
      <c r="AJ2133">
        <f>IF($C2133="","",IF(COUNTIF($C$2:$C2133,$C2133)=1,1,0))</f>
        <v/>
      </c>
      <c r="AK2133">
        <f>IF($AJ2133=1,SUMPRODUCT(--($AN$2:$AN$4001&lt;$AN2133))+1,"")</f>
        <v/>
      </c>
      <c r="AL2133">
        <f>IF($C2133="","",IF(OR($Q2133=TRUE(),$Q2133="TRUE"),1,0))</f>
        <v/>
      </c>
      <c r="AM2133">
        <f>IF($C2133="","",IF($W2133="Yes",1,0))</f>
        <v/>
      </c>
      <c r="AN2133">
        <f>IF($AJ2133=1,IFERROR(IF(VALUE($C2133)&lt;100000000,VALUE($C2133),1000000000),IFERROR(IF(VALUE(MID($C2133,2,20))&lt;100000000,VALUE(MID($C2133,2,20)),1000000000),1000000000))+ROW()/100000,"")</f>
        <v/>
      </c>
    </row>
    <row r="2134">
      <c r="E2134" s="11" t="n"/>
      <c r="M2134" s="7">
        <f>IF($C2134="","",L2134*U2134/100)</f>
        <v/>
      </c>
      <c r="N2134" s="7" t="n"/>
      <c r="T2134" s="7" t="n"/>
      <c r="U2134" s="7">
        <f>IF($C2134="","",S2134*T2134)</f>
        <v/>
      </c>
      <c r="X2134">
        <f>IF($C2134="","",IF($AM2134=1,0,IF($AL2134=1,Settings!$C$6,Settings!$C$7))*100)</f>
        <v/>
      </c>
      <c r="AB2134" s="7" t="n"/>
      <c r="AE2134" s="11" t="n"/>
      <c r="AG2134" s="7">
        <f>IF($C2134="","",U2134*X2134/100)</f>
        <v/>
      </c>
      <c r="AH2134" s="7">
        <f>IF($C2134="","",U2134-AG2134)</f>
        <v/>
      </c>
      <c r="AI2134" s="7">
        <f>IF($C2134="","",AH2134-M2134)</f>
        <v/>
      </c>
      <c r="AJ2134">
        <f>IF($C2134="","",IF(COUNTIF($C$2:$C2134,$C2134)=1,1,0))</f>
        <v/>
      </c>
      <c r="AK2134">
        <f>IF($AJ2134=1,SUMPRODUCT(--($AN$2:$AN$4001&lt;$AN2134))+1,"")</f>
        <v/>
      </c>
      <c r="AL2134">
        <f>IF($C2134="","",IF(OR($Q2134=TRUE(),$Q2134="TRUE"),1,0))</f>
        <v/>
      </c>
      <c r="AM2134">
        <f>IF($C2134="","",IF($W2134="Yes",1,0))</f>
        <v/>
      </c>
      <c r="AN2134">
        <f>IF($AJ2134=1,IFERROR(IF(VALUE($C2134)&lt;100000000,VALUE($C2134),1000000000),IFERROR(IF(VALUE(MID($C2134,2,20))&lt;100000000,VALUE(MID($C2134,2,20)),1000000000),1000000000))+ROW()/100000,"")</f>
        <v/>
      </c>
    </row>
    <row r="2135">
      <c r="E2135" s="11" t="n"/>
      <c r="M2135" s="7">
        <f>IF($C2135="","",L2135*U2135/100)</f>
        <v/>
      </c>
      <c r="N2135" s="7" t="n"/>
      <c r="T2135" s="7" t="n"/>
      <c r="U2135" s="7">
        <f>IF($C2135="","",S2135*T2135)</f>
        <v/>
      </c>
      <c r="X2135">
        <f>IF($C2135="","",IF($AM2135=1,0,IF($AL2135=1,Settings!$C$6,Settings!$C$7))*100)</f>
        <v/>
      </c>
      <c r="AB2135" s="7" t="n"/>
      <c r="AE2135" s="11" t="n"/>
      <c r="AG2135" s="7">
        <f>IF($C2135="","",U2135*X2135/100)</f>
        <v/>
      </c>
      <c r="AH2135" s="7">
        <f>IF($C2135="","",U2135-AG2135)</f>
        <v/>
      </c>
      <c r="AI2135" s="7">
        <f>IF($C2135="","",AH2135-M2135)</f>
        <v/>
      </c>
      <c r="AJ2135">
        <f>IF($C2135="","",IF(COUNTIF($C$2:$C2135,$C2135)=1,1,0))</f>
        <v/>
      </c>
      <c r="AK2135">
        <f>IF($AJ2135=1,SUMPRODUCT(--($AN$2:$AN$4001&lt;$AN2135))+1,"")</f>
        <v/>
      </c>
      <c r="AL2135">
        <f>IF($C2135="","",IF(OR($Q2135=TRUE(),$Q2135="TRUE"),1,0))</f>
        <v/>
      </c>
      <c r="AM2135">
        <f>IF($C2135="","",IF($W2135="Yes",1,0))</f>
        <v/>
      </c>
      <c r="AN2135">
        <f>IF($AJ2135=1,IFERROR(IF(VALUE($C2135)&lt;100000000,VALUE($C2135),1000000000),IFERROR(IF(VALUE(MID($C2135,2,20))&lt;100000000,VALUE(MID($C2135,2,20)),1000000000),1000000000))+ROW()/100000,"")</f>
        <v/>
      </c>
    </row>
    <row r="2136">
      <c r="E2136" s="11" t="n"/>
      <c r="M2136" s="7">
        <f>IF($C2136="","",L2136*U2136/100)</f>
        <v/>
      </c>
      <c r="N2136" s="7" t="n"/>
      <c r="T2136" s="7" t="n"/>
      <c r="U2136" s="7">
        <f>IF($C2136="","",S2136*T2136)</f>
        <v/>
      </c>
      <c r="X2136">
        <f>IF($C2136="","",IF($AM2136=1,0,IF($AL2136=1,Settings!$C$6,Settings!$C$7))*100)</f>
        <v/>
      </c>
      <c r="AB2136" s="7" t="n"/>
      <c r="AE2136" s="11" t="n"/>
      <c r="AG2136" s="7">
        <f>IF($C2136="","",U2136*X2136/100)</f>
        <v/>
      </c>
      <c r="AH2136" s="7">
        <f>IF($C2136="","",U2136-AG2136)</f>
        <v/>
      </c>
      <c r="AI2136" s="7">
        <f>IF($C2136="","",AH2136-M2136)</f>
        <v/>
      </c>
      <c r="AJ2136">
        <f>IF($C2136="","",IF(COUNTIF($C$2:$C2136,$C2136)=1,1,0))</f>
        <v/>
      </c>
      <c r="AK2136">
        <f>IF($AJ2136=1,SUMPRODUCT(--($AN$2:$AN$4001&lt;$AN2136))+1,"")</f>
        <v/>
      </c>
      <c r="AL2136">
        <f>IF($C2136="","",IF(OR($Q2136=TRUE(),$Q2136="TRUE"),1,0))</f>
        <v/>
      </c>
      <c r="AM2136">
        <f>IF($C2136="","",IF($W2136="Yes",1,0))</f>
        <v/>
      </c>
      <c r="AN2136">
        <f>IF($AJ2136=1,IFERROR(IF(VALUE($C2136)&lt;100000000,VALUE($C2136),1000000000),IFERROR(IF(VALUE(MID($C2136,2,20))&lt;100000000,VALUE(MID($C2136,2,20)),1000000000),1000000000))+ROW()/100000,"")</f>
        <v/>
      </c>
    </row>
    <row r="2137">
      <c r="E2137" s="11" t="n"/>
      <c r="M2137" s="7">
        <f>IF($C2137="","",L2137*U2137/100)</f>
        <v/>
      </c>
      <c r="N2137" s="7" t="n"/>
      <c r="T2137" s="7" t="n"/>
      <c r="U2137" s="7">
        <f>IF($C2137="","",S2137*T2137)</f>
        <v/>
      </c>
      <c r="X2137">
        <f>IF($C2137="","",IF($AM2137=1,0,IF($AL2137=1,Settings!$C$6,Settings!$C$7))*100)</f>
        <v/>
      </c>
      <c r="AB2137" s="7" t="n"/>
      <c r="AE2137" s="11" t="n"/>
      <c r="AG2137" s="7">
        <f>IF($C2137="","",U2137*X2137/100)</f>
        <v/>
      </c>
      <c r="AH2137" s="7">
        <f>IF($C2137="","",U2137-AG2137)</f>
        <v/>
      </c>
      <c r="AI2137" s="7">
        <f>IF($C2137="","",AH2137-M2137)</f>
        <v/>
      </c>
      <c r="AJ2137">
        <f>IF($C2137="","",IF(COUNTIF($C$2:$C2137,$C2137)=1,1,0))</f>
        <v/>
      </c>
      <c r="AK2137">
        <f>IF($AJ2137=1,SUMPRODUCT(--($AN$2:$AN$4001&lt;$AN2137))+1,"")</f>
        <v/>
      </c>
      <c r="AL2137">
        <f>IF($C2137="","",IF(OR($Q2137=TRUE(),$Q2137="TRUE"),1,0))</f>
        <v/>
      </c>
      <c r="AM2137">
        <f>IF($C2137="","",IF($W2137="Yes",1,0))</f>
        <v/>
      </c>
      <c r="AN2137">
        <f>IF($AJ2137=1,IFERROR(IF(VALUE($C2137)&lt;100000000,VALUE($C2137),1000000000),IFERROR(IF(VALUE(MID($C2137,2,20))&lt;100000000,VALUE(MID($C2137,2,20)),1000000000),1000000000))+ROW()/100000,"")</f>
        <v/>
      </c>
    </row>
    <row r="2138">
      <c r="E2138" s="11" t="n"/>
      <c r="M2138" s="7">
        <f>IF($C2138="","",L2138*U2138/100)</f>
        <v/>
      </c>
      <c r="N2138" s="7" t="n"/>
      <c r="T2138" s="7" t="n"/>
      <c r="U2138" s="7">
        <f>IF($C2138="","",S2138*T2138)</f>
        <v/>
      </c>
      <c r="X2138">
        <f>IF($C2138="","",IF($AM2138=1,0,IF($AL2138=1,Settings!$C$6,Settings!$C$7))*100)</f>
        <v/>
      </c>
      <c r="AB2138" s="7" t="n"/>
      <c r="AE2138" s="11" t="n"/>
      <c r="AG2138" s="7">
        <f>IF($C2138="","",U2138*X2138/100)</f>
        <v/>
      </c>
      <c r="AH2138" s="7">
        <f>IF($C2138="","",U2138-AG2138)</f>
        <v/>
      </c>
      <c r="AI2138" s="7">
        <f>IF($C2138="","",AH2138-M2138)</f>
        <v/>
      </c>
      <c r="AJ2138">
        <f>IF($C2138="","",IF(COUNTIF($C$2:$C2138,$C2138)=1,1,0))</f>
        <v/>
      </c>
      <c r="AK2138">
        <f>IF($AJ2138=1,SUMPRODUCT(--($AN$2:$AN$4001&lt;$AN2138))+1,"")</f>
        <v/>
      </c>
      <c r="AL2138">
        <f>IF($C2138="","",IF(OR($Q2138=TRUE(),$Q2138="TRUE"),1,0))</f>
        <v/>
      </c>
      <c r="AM2138">
        <f>IF($C2138="","",IF($W2138="Yes",1,0))</f>
        <v/>
      </c>
      <c r="AN2138">
        <f>IF($AJ2138=1,IFERROR(IF(VALUE($C2138)&lt;100000000,VALUE($C2138),1000000000),IFERROR(IF(VALUE(MID($C2138,2,20))&lt;100000000,VALUE(MID($C2138,2,20)),1000000000),1000000000))+ROW()/100000,"")</f>
        <v/>
      </c>
    </row>
    <row r="2139">
      <c r="E2139" s="11" t="n"/>
      <c r="M2139" s="7">
        <f>IF($C2139="","",L2139*U2139/100)</f>
        <v/>
      </c>
      <c r="N2139" s="7" t="n"/>
      <c r="T2139" s="7" t="n"/>
      <c r="U2139" s="7">
        <f>IF($C2139="","",S2139*T2139)</f>
        <v/>
      </c>
      <c r="X2139">
        <f>IF($C2139="","",IF($AM2139=1,0,IF($AL2139=1,Settings!$C$6,Settings!$C$7))*100)</f>
        <v/>
      </c>
      <c r="AB2139" s="7" t="n"/>
      <c r="AE2139" s="11" t="n"/>
      <c r="AG2139" s="7">
        <f>IF($C2139="","",U2139*X2139/100)</f>
        <v/>
      </c>
      <c r="AH2139" s="7">
        <f>IF($C2139="","",U2139-AG2139)</f>
        <v/>
      </c>
      <c r="AI2139" s="7">
        <f>IF($C2139="","",AH2139-M2139)</f>
        <v/>
      </c>
      <c r="AJ2139">
        <f>IF($C2139="","",IF(COUNTIF($C$2:$C2139,$C2139)=1,1,0))</f>
        <v/>
      </c>
      <c r="AK2139">
        <f>IF($AJ2139=1,SUMPRODUCT(--($AN$2:$AN$4001&lt;$AN2139))+1,"")</f>
        <v/>
      </c>
      <c r="AL2139">
        <f>IF($C2139="","",IF(OR($Q2139=TRUE(),$Q2139="TRUE"),1,0))</f>
        <v/>
      </c>
      <c r="AM2139">
        <f>IF($C2139="","",IF($W2139="Yes",1,0))</f>
        <v/>
      </c>
      <c r="AN2139">
        <f>IF($AJ2139=1,IFERROR(IF(VALUE($C2139)&lt;100000000,VALUE($C2139),1000000000),IFERROR(IF(VALUE(MID($C2139,2,20))&lt;100000000,VALUE(MID($C2139,2,20)),1000000000),1000000000))+ROW()/100000,"")</f>
        <v/>
      </c>
    </row>
    <row r="2140">
      <c r="E2140" s="11" t="n"/>
      <c r="M2140" s="7">
        <f>IF($C2140="","",L2140*U2140/100)</f>
        <v/>
      </c>
      <c r="N2140" s="7" t="n"/>
      <c r="T2140" s="7" t="n"/>
      <c r="U2140" s="7">
        <f>IF($C2140="","",S2140*T2140)</f>
        <v/>
      </c>
      <c r="X2140">
        <f>IF($C2140="","",IF($AM2140=1,0,IF($AL2140=1,Settings!$C$6,Settings!$C$7))*100)</f>
        <v/>
      </c>
      <c r="AB2140" s="7" t="n"/>
      <c r="AE2140" s="11" t="n"/>
      <c r="AG2140" s="7">
        <f>IF($C2140="","",U2140*X2140/100)</f>
        <v/>
      </c>
      <c r="AH2140" s="7">
        <f>IF($C2140="","",U2140-AG2140)</f>
        <v/>
      </c>
      <c r="AI2140" s="7">
        <f>IF($C2140="","",AH2140-M2140)</f>
        <v/>
      </c>
      <c r="AJ2140">
        <f>IF($C2140="","",IF(COUNTIF($C$2:$C2140,$C2140)=1,1,0))</f>
        <v/>
      </c>
      <c r="AK2140">
        <f>IF($AJ2140=1,SUMPRODUCT(--($AN$2:$AN$4001&lt;$AN2140))+1,"")</f>
        <v/>
      </c>
      <c r="AL2140">
        <f>IF($C2140="","",IF(OR($Q2140=TRUE(),$Q2140="TRUE"),1,0))</f>
        <v/>
      </c>
      <c r="AM2140">
        <f>IF($C2140="","",IF($W2140="Yes",1,0))</f>
        <v/>
      </c>
      <c r="AN2140">
        <f>IF($AJ2140=1,IFERROR(IF(VALUE($C2140)&lt;100000000,VALUE($C2140),1000000000),IFERROR(IF(VALUE(MID($C2140,2,20))&lt;100000000,VALUE(MID($C2140,2,20)),1000000000),1000000000))+ROW()/100000,"")</f>
        <v/>
      </c>
    </row>
    <row r="2141">
      <c r="E2141" s="11" t="n"/>
      <c r="M2141" s="7">
        <f>IF($C2141="","",L2141*U2141/100)</f>
        <v/>
      </c>
      <c r="N2141" s="7" t="n"/>
      <c r="T2141" s="7" t="n"/>
      <c r="U2141" s="7">
        <f>IF($C2141="","",S2141*T2141)</f>
        <v/>
      </c>
      <c r="X2141">
        <f>IF($C2141="","",IF($AM2141=1,0,IF($AL2141=1,Settings!$C$6,Settings!$C$7))*100)</f>
        <v/>
      </c>
      <c r="AB2141" s="7" t="n"/>
      <c r="AE2141" s="11" t="n"/>
      <c r="AG2141" s="7">
        <f>IF($C2141="","",U2141*X2141/100)</f>
        <v/>
      </c>
      <c r="AH2141" s="7">
        <f>IF($C2141="","",U2141-AG2141)</f>
        <v/>
      </c>
      <c r="AI2141" s="7">
        <f>IF($C2141="","",AH2141-M2141)</f>
        <v/>
      </c>
      <c r="AJ2141">
        <f>IF($C2141="","",IF(COUNTIF($C$2:$C2141,$C2141)=1,1,0))</f>
        <v/>
      </c>
      <c r="AK2141">
        <f>IF($AJ2141=1,SUMPRODUCT(--($AN$2:$AN$4001&lt;$AN2141))+1,"")</f>
        <v/>
      </c>
      <c r="AL2141">
        <f>IF($C2141="","",IF(OR($Q2141=TRUE(),$Q2141="TRUE"),1,0))</f>
        <v/>
      </c>
      <c r="AM2141">
        <f>IF($C2141="","",IF($W2141="Yes",1,0))</f>
        <v/>
      </c>
      <c r="AN2141">
        <f>IF($AJ2141=1,IFERROR(IF(VALUE($C2141)&lt;100000000,VALUE($C2141),1000000000),IFERROR(IF(VALUE(MID($C2141,2,20))&lt;100000000,VALUE(MID($C2141,2,20)),1000000000),1000000000))+ROW()/100000,"")</f>
        <v/>
      </c>
    </row>
    <row r="2142">
      <c r="E2142" s="11" t="n"/>
      <c r="M2142" s="7">
        <f>IF($C2142="","",L2142*U2142/100)</f>
        <v/>
      </c>
      <c r="N2142" s="7" t="n"/>
      <c r="T2142" s="7" t="n"/>
      <c r="U2142" s="7">
        <f>IF($C2142="","",S2142*T2142)</f>
        <v/>
      </c>
      <c r="X2142">
        <f>IF($C2142="","",IF($AM2142=1,0,IF($AL2142=1,Settings!$C$6,Settings!$C$7))*100)</f>
        <v/>
      </c>
      <c r="AB2142" s="7" t="n"/>
      <c r="AE2142" s="11" t="n"/>
      <c r="AG2142" s="7">
        <f>IF($C2142="","",U2142*X2142/100)</f>
        <v/>
      </c>
      <c r="AH2142" s="7">
        <f>IF($C2142="","",U2142-AG2142)</f>
        <v/>
      </c>
      <c r="AI2142" s="7">
        <f>IF($C2142="","",AH2142-M2142)</f>
        <v/>
      </c>
      <c r="AJ2142">
        <f>IF($C2142="","",IF(COUNTIF($C$2:$C2142,$C2142)=1,1,0))</f>
        <v/>
      </c>
      <c r="AK2142">
        <f>IF($AJ2142=1,SUMPRODUCT(--($AN$2:$AN$4001&lt;$AN2142))+1,"")</f>
        <v/>
      </c>
      <c r="AL2142">
        <f>IF($C2142="","",IF(OR($Q2142=TRUE(),$Q2142="TRUE"),1,0))</f>
        <v/>
      </c>
      <c r="AM2142">
        <f>IF($C2142="","",IF($W2142="Yes",1,0))</f>
        <v/>
      </c>
      <c r="AN2142">
        <f>IF($AJ2142=1,IFERROR(IF(VALUE($C2142)&lt;100000000,VALUE($C2142),1000000000),IFERROR(IF(VALUE(MID($C2142,2,20))&lt;100000000,VALUE(MID($C2142,2,20)),1000000000),1000000000))+ROW()/100000,"")</f>
        <v/>
      </c>
    </row>
    <row r="2143">
      <c r="E2143" s="11" t="n"/>
      <c r="M2143" s="7">
        <f>IF($C2143="","",L2143*U2143/100)</f>
        <v/>
      </c>
      <c r="N2143" s="7" t="n"/>
      <c r="T2143" s="7" t="n"/>
      <c r="U2143" s="7">
        <f>IF($C2143="","",S2143*T2143)</f>
        <v/>
      </c>
      <c r="X2143">
        <f>IF($C2143="","",IF($AM2143=1,0,IF($AL2143=1,Settings!$C$6,Settings!$C$7))*100)</f>
        <v/>
      </c>
      <c r="AB2143" s="7" t="n"/>
      <c r="AE2143" s="11" t="n"/>
      <c r="AG2143" s="7">
        <f>IF($C2143="","",U2143*X2143/100)</f>
        <v/>
      </c>
      <c r="AH2143" s="7">
        <f>IF($C2143="","",U2143-AG2143)</f>
        <v/>
      </c>
      <c r="AI2143" s="7">
        <f>IF($C2143="","",AH2143-M2143)</f>
        <v/>
      </c>
      <c r="AJ2143">
        <f>IF($C2143="","",IF(COUNTIF($C$2:$C2143,$C2143)=1,1,0))</f>
        <v/>
      </c>
      <c r="AK2143">
        <f>IF($AJ2143=1,SUMPRODUCT(--($AN$2:$AN$4001&lt;$AN2143))+1,"")</f>
        <v/>
      </c>
      <c r="AL2143">
        <f>IF($C2143="","",IF(OR($Q2143=TRUE(),$Q2143="TRUE"),1,0))</f>
        <v/>
      </c>
      <c r="AM2143">
        <f>IF($C2143="","",IF($W2143="Yes",1,0))</f>
        <v/>
      </c>
      <c r="AN2143">
        <f>IF($AJ2143=1,IFERROR(IF(VALUE($C2143)&lt;100000000,VALUE($C2143),1000000000),IFERROR(IF(VALUE(MID($C2143,2,20))&lt;100000000,VALUE(MID($C2143,2,20)),1000000000),1000000000))+ROW()/100000,"")</f>
        <v/>
      </c>
    </row>
    <row r="2144">
      <c r="E2144" s="11" t="n"/>
      <c r="M2144" s="7">
        <f>IF($C2144="","",L2144*U2144/100)</f>
        <v/>
      </c>
      <c r="N2144" s="7" t="n"/>
      <c r="T2144" s="7" t="n"/>
      <c r="U2144" s="7">
        <f>IF($C2144="","",S2144*T2144)</f>
        <v/>
      </c>
      <c r="X2144">
        <f>IF($C2144="","",IF($AM2144=1,0,IF($AL2144=1,Settings!$C$6,Settings!$C$7))*100)</f>
        <v/>
      </c>
      <c r="AB2144" s="7" t="n"/>
      <c r="AE2144" s="11" t="n"/>
      <c r="AG2144" s="7">
        <f>IF($C2144="","",U2144*X2144/100)</f>
        <v/>
      </c>
      <c r="AH2144" s="7">
        <f>IF($C2144="","",U2144-AG2144)</f>
        <v/>
      </c>
      <c r="AI2144" s="7">
        <f>IF($C2144="","",AH2144-M2144)</f>
        <v/>
      </c>
      <c r="AJ2144">
        <f>IF($C2144="","",IF(COUNTIF($C$2:$C2144,$C2144)=1,1,0))</f>
        <v/>
      </c>
      <c r="AK2144">
        <f>IF($AJ2144=1,SUMPRODUCT(--($AN$2:$AN$4001&lt;$AN2144))+1,"")</f>
        <v/>
      </c>
      <c r="AL2144">
        <f>IF($C2144="","",IF(OR($Q2144=TRUE(),$Q2144="TRUE"),1,0))</f>
        <v/>
      </c>
      <c r="AM2144">
        <f>IF($C2144="","",IF($W2144="Yes",1,0))</f>
        <v/>
      </c>
      <c r="AN2144">
        <f>IF($AJ2144=1,IFERROR(IF(VALUE($C2144)&lt;100000000,VALUE($C2144),1000000000),IFERROR(IF(VALUE(MID($C2144,2,20))&lt;100000000,VALUE(MID($C2144,2,20)),1000000000),1000000000))+ROW()/100000,"")</f>
        <v/>
      </c>
    </row>
    <row r="2145">
      <c r="E2145" s="11" t="n"/>
      <c r="M2145" s="7">
        <f>IF($C2145="","",L2145*U2145/100)</f>
        <v/>
      </c>
      <c r="N2145" s="7" t="n"/>
      <c r="T2145" s="7" t="n"/>
      <c r="U2145" s="7">
        <f>IF($C2145="","",S2145*T2145)</f>
        <v/>
      </c>
      <c r="X2145">
        <f>IF($C2145="","",IF($AM2145=1,0,IF($AL2145=1,Settings!$C$6,Settings!$C$7))*100)</f>
        <v/>
      </c>
      <c r="AB2145" s="7" t="n"/>
      <c r="AE2145" s="11" t="n"/>
      <c r="AG2145" s="7">
        <f>IF($C2145="","",U2145*X2145/100)</f>
        <v/>
      </c>
      <c r="AH2145" s="7">
        <f>IF($C2145="","",U2145-AG2145)</f>
        <v/>
      </c>
      <c r="AI2145" s="7">
        <f>IF($C2145="","",AH2145-M2145)</f>
        <v/>
      </c>
      <c r="AJ2145">
        <f>IF($C2145="","",IF(COUNTIF($C$2:$C2145,$C2145)=1,1,0))</f>
        <v/>
      </c>
      <c r="AK2145">
        <f>IF($AJ2145=1,SUMPRODUCT(--($AN$2:$AN$4001&lt;$AN2145))+1,"")</f>
        <v/>
      </c>
      <c r="AL2145">
        <f>IF($C2145="","",IF(OR($Q2145=TRUE(),$Q2145="TRUE"),1,0))</f>
        <v/>
      </c>
      <c r="AM2145">
        <f>IF($C2145="","",IF($W2145="Yes",1,0))</f>
        <v/>
      </c>
      <c r="AN2145">
        <f>IF($AJ2145=1,IFERROR(IF(VALUE($C2145)&lt;100000000,VALUE($C2145),1000000000),IFERROR(IF(VALUE(MID($C2145,2,20))&lt;100000000,VALUE(MID($C2145,2,20)),1000000000),1000000000))+ROW()/100000,"")</f>
        <v/>
      </c>
    </row>
    <row r="2146">
      <c r="E2146" s="11" t="n"/>
      <c r="M2146" s="7">
        <f>IF($C2146="","",L2146*U2146/100)</f>
        <v/>
      </c>
      <c r="N2146" s="7" t="n"/>
      <c r="T2146" s="7" t="n"/>
      <c r="U2146" s="7">
        <f>IF($C2146="","",S2146*T2146)</f>
        <v/>
      </c>
      <c r="X2146">
        <f>IF($C2146="","",IF($AM2146=1,0,IF($AL2146=1,Settings!$C$6,Settings!$C$7))*100)</f>
        <v/>
      </c>
      <c r="AB2146" s="7" t="n"/>
      <c r="AE2146" s="11" t="n"/>
      <c r="AG2146" s="7">
        <f>IF($C2146="","",U2146*X2146/100)</f>
        <v/>
      </c>
      <c r="AH2146" s="7">
        <f>IF($C2146="","",U2146-AG2146)</f>
        <v/>
      </c>
      <c r="AI2146" s="7">
        <f>IF($C2146="","",AH2146-M2146)</f>
        <v/>
      </c>
      <c r="AJ2146">
        <f>IF($C2146="","",IF(COUNTIF($C$2:$C2146,$C2146)=1,1,0))</f>
        <v/>
      </c>
      <c r="AK2146">
        <f>IF($AJ2146=1,SUMPRODUCT(--($AN$2:$AN$4001&lt;$AN2146))+1,"")</f>
        <v/>
      </c>
      <c r="AL2146">
        <f>IF($C2146="","",IF(OR($Q2146=TRUE(),$Q2146="TRUE"),1,0))</f>
        <v/>
      </c>
      <c r="AM2146">
        <f>IF($C2146="","",IF($W2146="Yes",1,0))</f>
        <v/>
      </c>
      <c r="AN2146">
        <f>IF($AJ2146=1,IFERROR(IF(VALUE($C2146)&lt;100000000,VALUE($C2146),1000000000),IFERROR(IF(VALUE(MID($C2146,2,20))&lt;100000000,VALUE(MID($C2146,2,20)),1000000000),1000000000))+ROW()/100000,"")</f>
        <v/>
      </c>
    </row>
    <row r="2147">
      <c r="E2147" s="11" t="n"/>
      <c r="M2147" s="7">
        <f>IF($C2147="","",L2147*U2147/100)</f>
        <v/>
      </c>
      <c r="N2147" s="7" t="n"/>
      <c r="T2147" s="7" t="n"/>
      <c r="U2147" s="7">
        <f>IF($C2147="","",S2147*T2147)</f>
        <v/>
      </c>
      <c r="X2147">
        <f>IF($C2147="","",IF($AM2147=1,0,IF($AL2147=1,Settings!$C$6,Settings!$C$7))*100)</f>
        <v/>
      </c>
      <c r="AB2147" s="7" t="n"/>
      <c r="AE2147" s="11" t="n"/>
      <c r="AG2147" s="7">
        <f>IF($C2147="","",U2147*X2147/100)</f>
        <v/>
      </c>
      <c r="AH2147" s="7">
        <f>IF($C2147="","",U2147-AG2147)</f>
        <v/>
      </c>
      <c r="AI2147" s="7">
        <f>IF($C2147="","",AH2147-M2147)</f>
        <v/>
      </c>
      <c r="AJ2147">
        <f>IF($C2147="","",IF(COUNTIF($C$2:$C2147,$C2147)=1,1,0))</f>
        <v/>
      </c>
      <c r="AK2147">
        <f>IF($AJ2147=1,SUMPRODUCT(--($AN$2:$AN$4001&lt;$AN2147))+1,"")</f>
        <v/>
      </c>
      <c r="AL2147">
        <f>IF($C2147="","",IF(OR($Q2147=TRUE(),$Q2147="TRUE"),1,0))</f>
        <v/>
      </c>
      <c r="AM2147">
        <f>IF($C2147="","",IF($W2147="Yes",1,0))</f>
        <v/>
      </c>
      <c r="AN2147">
        <f>IF($AJ2147=1,IFERROR(IF(VALUE($C2147)&lt;100000000,VALUE($C2147),1000000000),IFERROR(IF(VALUE(MID($C2147,2,20))&lt;100000000,VALUE(MID($C2147,2,20)),1000000000),1000000000))+ROW()/100000,"")</f>
        <v/>
      </c>
    </row>
    <row r="2148">
      <c r="E2148" s="11" t="n"/>
      <c r="M2148" s="7">
        <f>IF($C2148="","",L2148*U2148/100)</f>
        <v/>
      </c>
      <c r="N2148" s="7" t="n"/>
      <c r="T2148" s="7" t="n"/>
      <c r="U2148" s="7">
        <f>IF($C2148="","",S2148*T2148)</f>
        <v/>
      </c>
      <c r="X2148">
        <f>IF($C2148="","",IF($AM2148=1,0,IF($AL2148=1,Settings!$C$6,Settings!$C$7))*100)</f>
        <v/>
      </c>
      <c r="AB2148" s="7" t="n"/>
      <c r="AE2148" s="11" t="n"/>
      <c r="AG2148" s="7">
        <f>IF($C2148="","",U2148*X2148/100)</f>
        <v/>
      </c>
      <c r="AH2148" s="7">
        <f>IF($C2148="","",U2148-AG2148)</f>
        <v/>
      </c>
      <c r="AI2148" s="7">
        <f>IF($C2148="","",AH2148-M2148)</f>
        <v/>
      </c>
      <c r="AJ2148">
        <f>IF($C2148="","",IF(COUNTIF($C$2:$C2148,$C2148)=1,1,0))</f>
        <v/>
      </c>
      <c r="AK2148">
        <f>IF($AJ2148=1,SUMPRODUCT(--($AN$2:$AN$4001&lt;$AN2148))+1,"")</f>
        <v/>
      </c>
      <c r="AL2148">
        <f>IF($C2148="","",IF(OR($Q2148=TRUE(),$Q2148="TRUE"),1,0))</f>
        <v/>
      </c>
      <c r="AM2148">
        <f>IF($C2148="","",IF($W2148="Yes",1,0))</f>
        <v/>
      </c>
      <c r="AN2148">
        <f>IF($AJ2148=1,IFERROR(IF(VALUE($C2148)&lt;100000000,VALUE($C2148),1000000000),IFERROR(IF(VALUE(MID($C2148,2,20))&lt;100000000,VALUE(MID($C2148,2,20)),1000000000),1000000000))+ROW()/100000,"")</f>
        <v/>
      </c>
    </row>
    <row r="2149">
      <c r="E2149" s="11" t="n"/>
      <c r="M2149" s="7">
        <f>IF($C2149="","",L2149*U2149/100)</f>
        <v/>
      </c>
      <c r="N2149" s="7" t="n"/>
      <c r="T2149" s="7" t="n"/>
      <c r="U2149" s="7">
        <f>IF($C2149="","",S2149*T2149)</f>
        <v/>
      </c>
      <c r="X2149">
        <f>IF($C2149="","",IF($AM2149=1,0,IF($AL2149=1,Settings!$C$6,Settings!$C$7))*100)</f>
        <v/>
      </c>
      <c r="AB2149" s="7" t="n"/>
      <c r="AE2149" s="11" t="n"/>
      <c r="AG2149" s="7">
        <f>IF($C2149="","",U2149*X2149/100)</f>
        <v/>
      </c>
      <c r="AH2149" s="7">
        <f>IF($C2149="","",U2149-AG2149)</f>
        <v/>
      </c>
      <c r="AI2149" s="7">
        <f>IF($C2149="","",AH2149-M2149)</f>
        <v/>
      </c>
      <c r="AJ2149">
        <f>IF($C2149="","",IF(COUNTIF($C$2:$C2149,$C2149)=1,1,0))</f>
        <v/>
      </c>
      <c r="AK2149">
        <f>IF($AJ2149=1,SUMPRODUCT(--($AN$2:$AN$4001&lt;$AN2149))+1,"")</f>
        <v/>
      </c>
      <c r="AL2149">
        <f>IF($C2149="","",IF(OR($Q2149=TRUE(),$Q2149="TRUE"),1,0))</f>
        <v/>
      </c>
      <c r="AM2149">
        <f>IF($C2149="","",IF($W2149="Yes",1,0))</f>
        <v/>
      </c>
      <c r="AN2149">
        <f>IF($AJ2149=1,IFERROR(IF(VALUE($C2149)&lt;100000000,VALUE($C2149),1000000000),IFERROR(IF(VALUE(MID($C2149,2,20))&lt;100000000,VALUE(MID($C2149,2,20)),1000000000),1000000000))+ROW()/100000,"")</f>
        <v/>
      </c>
    </row>
    <row r="2150">
      <c r="E2150" s="11" t="n"/>
      <c r="M2150" s="7">
        <f>IF($C2150="","",L2150*U2150/100)</f>
        <v/>
      </c>
      <c r="N2150" s="7" t="n"/>
      <c r="T2150" s="7" t="n"/>
      <c r="U2150" s="7">
        <f>IF($C2150="","",S2150*T2150)</f>
        <v/>
      </c>
      <c r="X2150">
        <f>IF($C2150="","",IF($AM2150=1,0,IF($AL2150=1,Settings!$C$6,Settings!$C$7))*100)</f>
        <v/>
      </c>
      <c r="AB2150" s="7" t="n"/>
      <c r="AE2150" s="11" t="n"/>
      <c r="AG2150" s="7">
        <f>IF($C2150="","",U2150*X2150/100)</f>
        <v/>
      </c>
      <c r="AH2150" s="7">
        <f>IF($C2150="","",U2150-AG2150)</f>
        <v/>
      </c>
      <c r="AI2150" s="7">
        <f>IF($C2150="","",AH2150-M2150)</f>
        <v/>
      </c>
      <c r="AJ2150">
        <f>IF($C2150="","",IF(COUNTIF($C$2:$C2150,$C2150)=1,1,0))</f>
        <v/>
      </c>
      <c r="AK2150">
        <f>IF($AJ2150=1,SUMPRODUCT(--($AN$2:$AN$4001&lt;$AN2150))+1,"")</f>
        <v/>
      </c>
      <c r="AL2150">
        <f>IF($C2150="","",IF(OR($Q2150=TRUE(),$Q2150="TRUE"),1,0))</f>
        <v/>
      </c>
      <c r="AM2150">
        <f>IF($C2150="","",IF($W2150="Yes",1,0))</f>
        <v/>
      </c>
      <c r="AN2150">
        <f>IF($AJ2150=1,IFERROR(IF(VALUE($C2150)&lt;100000000,VALUE($C2150),1000000000),IFERROR(IF(VALUE(MID($C2150,2,20))&lt;100000000,VALUE(MID($C2150,2,20)),1000000000),1000000000))+ROW()/100000,"")</f>
        <v/>
      </c>
    </row>
    <row r="2151">
      <c r="E2151" s="11" t="n"/>
      <c r="M2151" s="7">
        <f>IF($C2151="","",L2151*U2151/100)</f>
        <v/>
      </c>
      <c r="N2151" s="7" t="n"/>
      <c r="T2151" s="7" t="n"/>
      <c r="U2151" s="7">
        <f>IF($C2151="","",S2151*T2151)</f>
        <v/>
      </c>
      <c r="X2151">
        <f>IF($C2151="","",IF($AM2151=1,0,IF($AL2151=1,Settings!$C$6,Settings!$C$7))*100)</f>
        <v/>
      </c>
      <c r="AB2151" s="7" t="n"/>
      <c r="AE2151" s="11" t="n"/>
      <c r="AG2151" s="7">
        <f>IF($C2151="","",U2151*X2151/100)</f>
        <v/>
      </c>
      <c r="AH2151" s="7">
        <f>IF($C2151="","",U2151-AG2151)</f>
        <v/>
      </c>
      <c r="AI2151" s="7">
        <f>IF($C2151="","",AH2151-M2151)</f>
        <v/>
      </c>
      <c r="AJ2151">
        <f>IF($C2151="","",IF(COUNTIF($C$2:$C2151,$C2151)=1,1,0))</f>
        <v/>
      </c>
      <c r="AK2151">
        <f>IF($AJ2151=1,SUMPRODUCT(--($AN$2:$AN$4001&lt;$AN2151))+1,"")</f>
        <v/>
      </c>
      <c r="AL2151">
        <f>IF($C2151="","",IF(OR($Q2151=TRUE(),$Q2151="TRUE"),1,0))</f>
        <v/>
      </c>
      <c r="AM2151">
        <f>IF($C2151="","",IF($W2151="Yes",1,0))</f>
        <v/>
      </c>
      <c r="AN2151">
        <f>IF($AJ2151=1,IFERROR(IF(VALUE($C2151)&lt;100000000,VALUE($C2151),1000000000),IFERROR(IF(VALUE(MID($C2151,2,20))&lt;100000000,VALUE(MID($C2151,2,20)),1000000000),1000000000))+ROW()/100000,"")</f>
        <v/>
      </c>
    </row>
    <row r="2152">
      <c r="E2152" s="11" t="n"/>
      <c r="M2152" s="7">
        <f>IF($C2152="","",L2152*U2152/100)</f>
        <v/>
      </c>
      <c r="N2152" s="7" t="n"/>
      <c r="T2152" s="7" t="n"/>
      <c r="U2152" s="7">
        <f>IF($C2152="","",S2152*T2152)</f>
        <v/>
      </c>
      <c r="X2152">
        <f>IF($C2152="","",IF($AM2152=1,0,IF($AL2152=1,Settings!$C$6,Settings!$C$7))*100)</f>
        <v/>
      </c>
      <c r="AB2152" s="7" t="n"/>
      <c r="AE2152" s="11" t="n"/>
      <c r="AG2152" s="7">
        <f>IF($C2152="","",U2152*X2152/100)</f>
        <v/>
      </c>
      <c r="AH2152" s="7">
        <f>IF($C2152="","",U2152-AG2152)</f>
        <v/>
      </c>
      <c r="AI2152" s="7">
        <f>IF($C2152="","",AH2152-M2152)</f>
        <v/>
      </c>
      <c r="AJ2152">
        <f>IF($C2152="","",IF(COUNTIF($C$2:$C2152,$C2152)=1,1,0))</f>
        <v/>
      </c>
      <c r="AK2152">
        <f>IF($AJ2152=1,SUMPRODUCT(--($AN$2:$AN$4001&lt;$AN2152))+1,"")</f>
        <v/>
      </c>
      <c r="AL2152">
        <f>IF($C2152="","",IF(OR($Q2152=TRUE(),$Q2152="TRUE"),1,0))</f>
        <v/>
      </c>
      <c r="AM2152">
        <f>IF($C2152="","",IF($W2152="Yes",1,0))</f>
        <v/>
      </c>
      <c r="AN2152">
        <f>IF($AJ2152=1,IFERROR(IF(VALUE($C2152)&lt;100000000,VALUE($C2152),1000000000),IFERROR(IF(VALUE(MID($C2152,2,20))&lt;100000000,VALUE(MID($C2152,2,20)),1000000000),1000000000))+ROW()/100000,"")</f>
        <v/>
      </c>
    </row>
    <row r="2153">
      <c r="E2153" s="11" t="n"/>
      <c r="M2153" s="7">
        <f>IF($C2153="","",L2153*U2153/100)</f>
        <v/>
      </c>
      <c r="N2153" s="7" t="n"/>
      <c r="T2153" s="7" t="n"/>
      <c r="U2153" s="7">
        <f>IF($C2153="","",S2153*T2153)</f>
        <v/>
      </c>
      <c r="X2153">
        <f>IF($C2153="","",IF($AM2153=1,0,IF($AL2153=1,Settings!$C$6,Settings!$C$7))*100)</f>
        <v/>
      </c>
      <c r="AB2153" s="7" t="n"/>
      <c r="AE2153" s="11" t="n"/>
      <c r="AG2153" s="7">
        <f>IF($C2153="","",U2153*X2153/100)</f>
        <v/>
      </c>
      <c r="AH2153" s="7">
        <f>IF($C2153="","",U2153-AG2153)</f>
        <v/>
      </c>
      <c r="AI2153" s="7">
        <f>IF($C2153="","",AH2153-M2153)</f>
        <v/>
      </c>
      <c r="AJ2153">
        <f>IF($C2153="","",IF(COUNTIF($C$2:$C2153,$C2153)=1,1,0))</f>
        <v/>
      </c>
      <c r="AK2153">
        <f>IF($AJ2153=1,SUMPRODUCT(--($AN$2:$AN$4001&lt;$AN2153))+1,"")</f>
        <v/>
      </c>
      <c r="AL2153">
        <f>IF($C2153="","",IF(OR($Q2153=TRUE(),$Q2153="TRUE"),1,0))</f>
        <v/>
      </c>
      <c r="AM2153">
        <f>IF($C2153="","",IF($W2153="Yes",1,0))</f>
        <v/>
      </c>
      <c r="AN2153">
        <f>IF($AJ2153=1,IFERROR(IF(VALUE($C2153)&lt;100000000,VALUE($C2153),1000000000),IFERROR(IF(VALUE(MID($C2153,2,20))&lt;100000000,VALUE(MID($C2153,2,20)),1000000000),1000000000))+ROW()/100000,"")</f>
        <v/>
      </c>
    </row>
    <row r="2154">
      <c r="E2154" s="11" t="n"/>
      <c r="M2154" s="7">
        <f>IF($C2154="","",L2154*U2154/100)</f>
        <v/>
      </c>
      <c r="N2154" s="7" t="n"/>
      <c r="T2154" s="7" t="n"/>
      <c r="U2154" s="7">
        <f>IF($C2154="","",S2154*T2154)</f>
        <v/>
      </c>
      <c r="X2154">
        <f>IF($C2154="","",IF($AM2154=1,0,IF($AL2154=1,Settings!$C$6,Settings!$C$7))*100)</f>
        <v/>
      </c>
      <c r="AB2154" s="7" t="n"/>
      <c r="AE2154" s="11" t="n"/>
      <c r="AG2154" s="7">
        <f>IF($C2154="","",U2154*X2154/100)</f>
        <v/>
      </c>
      <c r="AH2154" s="7">
        <f>IF($C2154="","",U2154-AG2154)</f>
        <v/>
      </c>
      <c r="AI2154" s="7">
        <f>IF($C2154="","",AH2154-M2154)</f>
        <v/>
      </c>
      <c r="AJ2154">
        <f>IF($C2154="","",IF(COUNTIF($C$2:$C2154,$C2154)=1,1,0))</f>
        <v/>
      </c>
      <c r="AK2154">
        <f>IF($AJ2154=1,SUMPRODUCT(--($AN$2:$AN$4001&lt;$AN2154))+1,"")</f>
        <v/>
      </c>
      <c r="AL2154">
        <f>IF($C2154="","",IF(OR($Q2154=TRUE(),$Q2154="TRUE"),1,0))</f>
        <v/>
      </c>
      <c r="AM2154">
        <f>IF($C2154="","",IF($W2154="Yes",1,0))</f>
        <v/>
      </c>
      <c r="AN2154">
        <f>IF($AJ2154=1,IFERROR(IF(VALUE($C2154)&lt;100000000,VALUE($C2154),1000000000),IFERROR(IF(VALUE(MID($C2154,2,20))&lt;100000000,VALUE(MID($C2154,2,20)),1000000000),1000000000))+ROW()/100000,"")</f>
        <v/>
      </c>
    </row>
    <row r="2155">
      <c r="E2155" s="11" t="n"/>
      <c r="M2155" s="7">
        <f>IF($C2155="","",L2155*U2155/100)</f>
        <v/>
      </c>
      <c r="N2155" s="7" t="n"/>
      <c r="T2155" s="7" t="n"/>
      <c r="U2155" s="7">
        <f>IF($C2155="","",S2155*T2155)</f>
        <v/>
      </c>
      <c r="X2155">
        <f>IF($C2155="","",IF($AM2155=1,0,IF($AL2155=1,Settings!$C$6,Settings!$C$7))*100)</f>
        <v/>
      </c>
      <c r="AB2155" s="7" t="n"/>
      <c r="AE2155" s="11" t="n"/>
      <c r="AG2155" s="7">
        <f>IF($C2155="","",U2155*X2155/100)</f>
        <v/>
      </c>
      <c r="AH2155" s="7">
        <f>IF($C2155="","",U2155-AG2155)</f>
        <v/>
      </c>
      <c r="AI2155" s="7">
        <f>IF($C2155="","",AH2155-M2155)</f>
        <v/>
      </c>
      <c r="AJ2155">
        <f>IF($C2155="","",IF(COUNTIF($C$2:$C2155,$C2155)=1,1,0))</f>
        <v/>
      </c>
      <c r="AK2155">
        <f>IF($AJ2155=1,SUMPRODUCT(--($AN$2:$AN$4001&lt;$AN2155))+1,"")</f>
        <v/>
      </c>
      <c r="AL2155">
        <f>IF($C2155="","",IF(OR($Q2155=TRUE(),$Q2155="TRUE"),1,0))</f>
        <v/>
      </c>
      <c r="AM2155">
        <f>IF($C2155="","",IF($W2155="Yes",1,0))</f>
        <v/>
      </c>
      <c r="AN2155">
        <f>IF($AJ2155=1,IFERROR(IF(VALUE($C2155)&lt;100000000,VALUE($C2155),1000000000),IFERROR(IF(VALUE(MID($C2155,2,20))&lt;100000000,VALUE(MID($C2155,2,20)),1000000000),1000000000))+ROW()/100000,"")</f>
        <v/>
      </c>
    </row>
    <row r="2156">
      <c r="E2156" s="11" t="n"/>
      <c r="M2156" s="7">
        <f>IF($C2156="","",L2156*U2156/100)</f>
        <v/>
      </c>
      <c r="N2156" s="7" t="n"/>
      <c r="T2156" s="7" t="n"/>
      <c r="U2156" s="7">
        <f>IF($C2156="","",S2156*T2156)</f>
        <v/>
      </c>
      <c r="X2156">
        <f>IF($C2156="","",IF($AM2156=1,0,IF($AL2156=1,Settings!$C$6,Settings!$C$7))*100)</f>
        <v/>
      </c>
      <c r="AB2156" s="7" t="n"/>
      <c r="AE2156" s="11" t="n"/>
      <c r="AG2156" s="7">
        <f>IF($C2156="","",U2156*X2156/100)</f>
        <v/>
      </c>
      <c r="AH2156" s="7">
        <f>IF($C2156="","",U2156-AG2156)</f>
        <v/>
      </c>
      <c r="AI2156" s="7">
        <f>IF($C2156="","",AH2156-M2156)</f>
        <v/>
      </c>
      <c r="AJ2156">
        <f>IF($C2156="","",IF(COUNTIF($C$2:$C2156,$C2156)=1,1,0))</f>
        <v/>
      </c>
      <c r="AK2156">
        <f>IF($AJ2156=1,SUMPRODUCT(--($AN$2:$AN$4001&lt;$AN2156))+1,"")</f>
        <v/>
      </c>
      <c r="AL2156">
        <f>IF($C2156="","",IF(OR($Q2156=TRUE(),$Q2156="TRUE"),1,0))</f>
        <v/>
      </c>
      <c r="AM2156">
        <f>IF($C2156="","",IF($W2156="Yes",1,0))</f>
        <v/>
      </c>
      <c r="AN2156">
        <f>IF($AJ2156=1,IFERROR(IF(VALUE($C2156)&lt;100000000,VALUE($C2156),1000000000),IFERROR(IF(VALUE(MID($C2156,2,20))&lt;100000000,VALUE(MID($C2156,2,20)),1000000000),1000000000))+ROW()/100000,"")</f>
        <v/>
      </c>
    </row>
    <row r="2157">
      <c r="E2157" s="11" t="n"/>
      <c r="M2157" s="7">
        <f>IF($C2157="","",L2157*U2157/100)</f>
        <v/>
      </c>
      <c r="N2157" s="7" t="n"/>
      <c r="T2157" s="7" t="n"/>
      <c r="U2157" s="7">
        <f>IF($C2157="","",S2157*T2157)</f>
        <v/>
      </c>
      <c r="X2157">
        <f>IF($C2157="","",IF($AM2157=1,0,IF($AL2157=1,Settings!$C$6,Settings!$C$7))*100)</f>
        <v/>
      </c>
      <c r="AB2157" s="7" t="n"/>
      <c r="AE2157" s="11" t="n"/>
      <c r="AG2157" s="7">
        <f>IF($C2157="","",U2157*X2157/100)</f>
        <v/>
      </c>
      <c r="AH2157" s="7">
        <f>IF($C2157="","",U2157-AG2157)</f>
        <v/>
      </c>
      <c r="AI2157" s="7">
        <f>IF($C2157="","",AH2157-M2157)</f>
        <v/>
      </c>
      <c r="AJ2157">
        <f>IF($C2157="","",IF(COUNTIF($C$2:$C2157,$C2157)=1,1,0))</f>
        <v/>
      </c>
      <c r="AK2157">
        <f>IF($AJ2157=1,SUMPRODUCT(--($AN$2:$AN$4001&lt;$AN2157))+1,"")</f>
        <v/>
      </c>
      <c r="AL2157">
        <f>IF($C2157="","",IF(OR($Q2157=TRUE(),$Q2157="TRUE"),1,0))</f>
        <v/>
      </c>
      <c r="AM2157">
        <f>IF($C2157="","",IF($W2157="Yes",1,0))</f>
        <v/>
      </c>
      <c r="AN2157">
        <f>IF($AJ2157=1,IFERROR(IF(VALUE($C2157)&lt;100000000,VALUE($C2157),1000000000),IFERROR(IF(VALUE(MID($C2157,2,20))&lt;100000000,VALUE(MID($C2157,2,20)),1000000000),1000000000))+ROW()/100000,"")</f>
        <v/>
      </c>
    </row>
    <row r="2158">
      <c r="E2158" s="11" t="n"/>
      <c r="M2158" s="7">
        <f>IF($C2158="","",L2158*U2158/100)</f>
        <v/>
      </c>
      <c r="N2158" s="7" t="n"/>
      <c r="T2158" s="7" t="n"/>
      <c r="U2158" s="7">
        <f>IF($C2158="","",S2158*T2158)</f>
        <v/>
      </c>
      <c r="X2158">
        <f>IF($C2158="","",IF($AM2158=1,0,IF($AL2158=1,Settings!$C$6,Settings!$C$7))*100)</f>
        <v/>
      </c>
      <c r="AB2158" s="7" t="n"/>
      <c r="AE2158" s="11" t="n"/>
      <c r="AG2158" s="7">
        <f>IF($C2158="","",U2158*X2158/100)</f>
        <v/>
      </c>
      <c r="AH2158" s="7">
        <f>IF($C2158="","",U2158-AG2158)</f>
        <v/>
      </c>
      <c r="AI2158" s="7">
        <f>IF($C2158="","",AH2158-M2158)</f>
        <v/>
      </c>
      <c r="AJ2158">
        <f>IF($C2158="","",IF(COUNTIF($C$2:$C2158,$C2158)=1,1,0))</f>
        <v/>
      </c>
      <c r="AK2158">
        <f>IF($AJ2158=1,SUMPRODUCT(--($AN$2:$AN$4001&lt;$AN2158))+1,"")</f>
        <v/>
      </c>
      <c r="AL2158">
        <f>IF($C2158="","",IF(OR($Q2158=TRUE(),$Q2158="TRUE"),1,0))</f>
        <v/>
      </c>
      <c r="AM2158">
        <f>IF($C2158="","",IF($W2158="Yes",1,0))</f>
        <v/>
      </c>
      <c r="AN2158">
        <f>IF($AJ2158=1,IFERROR(IF(VALUE($C2158)&lt;100000000,VALUE($C2158),1000000000),IFERROR(IF(VALUE(MID($C2158,2,20))&lt;100000000,VALUE(MID($C2158,2,20)),1000000000),1000000000))+ROW()/100000,"")</f>
        <v/>
      </c>
    </row>
    <row r="2159">
      <c r="E2159" s="11" t="n"/>
      <c r="M2159" s="7">
        <f>IF($C2159="","",L2159*U2159/100)</f>
        <v/>
      </c>
      <c r="N2159" s="7" t="n"/>
      <c r="T2159" s="7" t="n"/>
      <c r="U2159" s="7">
        <f>IF($C2159="","",S2159*T2159)</f>
        <v/>
      </c>
      <c r="X2159">
        <f>IF($C2159="","",IF($AM2159=1,0,IF($AL2159=1,Settings!$C$6,Settings!$C$7))*100)</f>
        <v/>
      </c>
      <c r="AB2159" s="7" t="n"/>
      <c r="AE2159" s="11" t="n"/>
      <c r="AG2159" s="7">
        <f>IF($C2159="","",U2159*X2159/100)</f>
        <v/>
      </c>
      <c r="AH2159" s="7">
        <f>IF($C2159="","",U2159-AG2159)</f>
        <v/>
      </c>
      <c r="AI2159" s="7">
        <f>IF($C2159="","",AH2159-M2159)</f>
        <v/>
      </c>
      <c r="AJ2159">
        <f>IF($C2159="","",IF(COUNTIF($C$2:$C2159,$C2159)=1,1,0))</f>
        <v/>
      </c>
      <c r="AK2159">
        <f>IF($AJ2159=1,SUMPRODUCT(--($AN$2:$AN$4001&lt;$AN2159))+1,"")</f>
        <v/>
      </c>
      <c r="AL2159">
        <f>IF($C2159="","",IF(OR($Q2159=TRUE(),$Q2159="TRUE"),1,0))</f>
        <v/>
      </c>
      <c r="AM2159">
        <f>IF($C2159="","",IF($W2159="Yes",1,0))</f>
        <v/>
      </c>
      <c r="AN2159">
        <f>IF($AJ2159=1,IFERROR(IF(VALUE($C2159)&lt;100000000,VALUE($C2159),1000000000),IFERROR(IF(VALUE(MID($C2159,2,20))&lt;100000000,VALUE(MID($C2159,2,20)),1000000000),1000000000))+ROW()/100000,"")</f>
        <v/>
      </c>
    </row>
    <row r="2160">
      <c r="E2160" s="11" t="n"/>
      <c r="M2160" s="7">
        <f>IF($C2160="","",L2160*U2160/100)</f>
        <v/>
      </c>
      <c r="N2160" s="7" t="n"/>
      <c r="T2160" s="7" t="n"/>
      <c r="U2160" s="7">
        <f>IF($C2160="","",S2160*T2160)</f>
        <v/>
      </c>
      <c r="X2160">
        <f>IF($C2160="","",IF($AM2160=1,0,IF($AL2160=1,Settings!$C$6,Settings!$C$7))*100)</f>
        <v/>
      </c>
      <c r="AB2160" s="7" t="n"/>
      <c r="AE2160" s="11" t="n"/>
      <c r="AG2160" s="7">
        <f>IF($C2160="","",U2160*X2160/100)</f>
        <v/>
      </c>
      <c r="AH2160" s="7">
        <f>IF($C2160="","",U2160-AG2160)</f>
        <v/>
      </c>
      <c r="AI2160" s="7">
        <f>IF($C2160="","",AH2160-M2160)</f>
        <v/>
      </c>
      <c r="AJ2160">
        <f>IF($C2160="","",IF(COUNTIF($C$2:$C2160,$C2160)=1,1,0))</f>
        <v/>
      </c>
      <c r="AK2160">
        <f>IF($AJ2160=1,SUMPRODUCT(--($AN$2:$AN$4001&lt;$AN2160))+1,"")</f>
        <v/>
      </c>
      <c r="AL2160">
        <f>IF($C2160="","",IF(OR($Q2160=TRUE(),$Q2160="TRUE"),1,0))</f>
        <v/>
      </c>
      <c r="AM2160">
        <f>IF($C2160="","",IF($W2160="Yes",1,0))</f>
        <v/>
      </c>
      <c r="AN2160">
        <f>IF($AJ2160=1,IFERROR(IF(VALUE($C2160)&lt;100000000,VALUE($C2160),1000000000),IFERROR(IF(VALUE(MID($C2160,2,20))&lt;100000000,VALUE(MID($C2160,2,20)),1000000000),1000000000))+ROW()/100000,"")</f>
        <v/>
      </c>
    </row>
    <row r="2161">
      <c r="E2161" s="11" t="n"/>
      <c r="M2161" s="7">
        <f>IF($C2161="","",L2161*U2161/100)</f>
        <v/>
      </c>
      <c r="N2161" s="7" t="n"/>
      <c r="T2161" s="7" t="n"/>
      <c r="U2161" s="7">
        <f>IF($C2161="","",S2161*T2161)</f>
        <v/>
      </c>
      <c r="X2161">
        <f>IF($C2161="","",IF($AM2161=1,0,IF($AL2161=1,Settings!$C$6,Settings!$C$7))*100)</f>
        <v/>
      </c>
      <c r="AB2161" s="7" t="n"/>
      <c r="AE2161" s="11" t="n"/>
      <c r="AG2161" s="7">
        <f>IF($C2161="","",U2161*X2161/100)</f>
        <v/>
      </c>
      <c r="AH2161" s="7">
        <f>IF($C2161="","",U2161-AG2161)</f>
        <v/>
      </c>
      <c r="AI2161" s="7">
        <f>IF($C2161="","",AH2161-M2161)</f>
        <v/>
      </c>
      <c r="AJ2161">
        <f>IF($C2161="","",IF(COUNTIF($C$2:$C2161,$C2161)=1,1,0))</f>
        <v/>
      </c>
      <c r="AK2161">
        <f>IF($AJ2161=1,SUMPRODUCT(--($AN$2:$AN$4001&lt;$AN2161))+1,"")</f>
        <v/>
      </c>
      <c r="AL2161">
        <f>IF($C2161="","",IF(OR($Q2161=TRUE(),$Q2161="TRUE"),1,0))</f>
        <v/>
      </c>
      <c r="AM2161">
        <f>IF($C2161="","",IF($W2161="Yes",1,0))</f>
        <v/>
      </c>
      <c r="AN2161">
        <f>IF($AJ2161=1,IFERROR(IF(VALUE($C2161)&lt;100000000,VALUE($C2161),1000000000),IFERROR(IF(VALUE(MID($C2161,2,20))&lt;100000000,VALUE(MID($C2161,2,20)),1000000000),1000000000))+ROW()/100000,"")</f>
        <v/>
      </c>
    </row>
    <row r="2162">
      <c r="E2162" s="11" t="n"/>
      <c r="M2162" s="7">
        <f>IF($C2162="","",L2162*U2162/100)</f>
        <v/>
      </c>
      <c r="N2162" s="7" t="n"/>
      <c r="T2162" s="7" t="n"/>
      <c r="U2162" s="7">
        <f>IF($C2162="","",S2162*T2162)</f>
        <v/>
      </c>
      <c r="X2162">
        <f>IF($C2162="","",IF($AM2162=1,0,IF($AL2162=1,Settings!$C$6,Settings!$C$7))*100)</f>
        <v/>
      </c>
      <c r="AB2162" s="7" t="n"/>
      <c r="AE2162" s="11" t="n"/>
      <c r="AG2162" s="7">
        <f>IF($C2162="","",U2162*X2162/100)</f>
        <v/>
      </c>
      <c r="AH2162" s="7">
        <f>IF($C2162="","",U2162-AG2162)</f>
        <v/>
      </c>
      <c r="AI2162" s="7">
        <f>IF($C2162="","",AH2162-M2162)</f>
        <v/>
      </c>
      <c r="AJ2162">
        <f>IF($C2162="","",IF(COUNTIF($C$2:$C2162,$C2162)=1,1,0))</f>
        <v/>
      </c>
      <c r="AK2162">
        <f>IF($AJ2162=1,SUMPRODUCT(--($AN$2:$AN$4001&lt;$AN2162))+1,"")</f>
        <v/>
      </c>
      <c r="AL2162">
        <f>IF($C2162="","",IF(OR($Q2162=TRUE(),$Q2162="TRUE"),1,0))</f>
        <v/>
      </c>
      <c r="AM2162">
        <f>IF($C2162="","",IF($W2162="Yes",1,0))</f>
        <v/>
      </c>
      <c r="AN2162">
        <f>IF($AJ2162=1,IFERROR(IF(VALUE($C2162)&lt;100000000,VALUE($C2162),1000000000),IFERROR(IF(VALUE(MID($C2162,2,20))&lt;100000000,VALUE(MID($C2162,2,20)),1000000000),1000000000))+ROW()/100000,"")</f>
        <v/>
      </c>
    </row>
    <row r="2163">
      <c r="E2163" s="11" t="n"/>
      <c r="M2163" s="7">
        <f>IF($C2163="","",L2163*U2163/100)</f>
        <v/>
      </c>
      <c r="N2163" s="7" t="n"/>
      <c r="T2163" s="7" t="n"/>
      <c r="U2163" s="7">
        <f>IF($C2163="","",S2163*T2163)</f>
        <v/>
      </c>
      <c r="X2163">
        <f>IF($C2163="","",IF($AM2163=1,0,IF($AL2163=1,Settings!$C$6,Settings!$C$7))*100)</f>
        <v/>
      </c>
      <c r="AB2163" s="7" t="n"/>
      <c r="AE2163" s="11" t="n"/>
      <c r="AG2163" s="7">
        <f>IF($C2163="","",U2163*X2163/100)</f>
        <v/>
      </c>
      <c r="AH2163" s="7">
        <f>IF($C2163="","",U2163-AG2163)</f>
        <v/>
      </c>
      <c r="AI2163" s="7">
        <f>IF($C2163="","",AH2163-M2163)</f>
        <v/>
      </c>
      <c r="AJ2163">
        <f>IF($C2163="","",IF(COUNTIF($C$2:$C2163,$C2163)=1,1,0))</f>
        <v/>
      </c>
      <c r="AK2163">
        <f>IF($AJ2163=1,SUMPRODUCT(--($AN$2:$AN$4001&lt;$AN2163))+1,"")</f>
        <v/>
      </c>
      <c r="AL2163">
        <f>IF($C2163="","",IF(OR($Q2163=TRUE(),$Q2163="TRUE"),1,0))</f>
        <v/>
      </c>
      <c r="AM2163">
        <f>IF($C2163="","",IF($W2163="Yes",1,0))</f>
        <v/>
      </c>
      <c r="AN2163">
        <f>IF($AJ2163=1,IFERROR(IF(VALUE($C2163)&lt;100000000,VALUE($C2163),1000000000),IFERROR(IF(VALUE(MID($C2163,2,20))&lt;100000000,VALUE(MID($C2163,2,20)),1000000000),1000000000))+ROW()/100000,"")</f>
        <v/>
      </c>
    </row>
    <row r="2164">
      <c r="E2164" s="11" t="n"/>
      <c r="M2164" s="7">
        <f>IF($C2164="","",L2164*U2164/100)</f>
        <v/>
      </c>
      <c r="N2164" s="7" t="n"/>
      <c r="T2164" s="7" t="n"/>
      <c r="U2164" s="7">
        <f>IF($C2164="","",S2164*T2164)</f>
        <v/>
      </c>
      <c r="X2164">
        <f>IF($C2164="","",IF($AM2164=1,0,IF($AL2164=1,Settings!$C$6,Settings!$C$7))*100)</f>
        <v/>
      </c>
      <c r="AB2164" s="7" t="n"/>
      <c r="AE2164" s="11" t="n"/>
      <c r="AG2164" s="7">
        <f>IF($C2164="","",U2164*X2164/100)</f>
        <v/>
      </c>
      <c r="AH2164" s="7">
        <f>IF($C2164="","",U2164-AG2164)</f>
        <v/>
      </c>
      <c r="AI2164" s="7">
        <f>IF($C2164="","",AH2164-M2164)</f>
        <v/>
      </c>
      <c r="AJ2164">
        <f>IF($C2164="","",IF(COUNTIF($C$2:$C2164,$C2164)=1,1,0))</f>
        <v/>
      </c>
      <c r="AK2164">
        <f>IF($AJ2164=1,SUMPRODUCT(--($AN$2:$AN$4001&lt;$AN2164))+1,"")</f>
        <v/>
      </c>
      <c r="AL2164">
        <f>IF($C2164="","",IF(OR($Q2164=TRUE(),$Q2164="TRUE"),1,0))</f>
        <v/>
      </c>
      <c r="AM2164">
        <f>IF($C2164="","",IF($W2164="Yes",1,0))</f>
        <v/>
      </c>
      <c r="AN2164">
        <f>IF($AJ2164=1,IFERROR(IF(VALUE($C2164)&lt;100000000,VALUE($C2164),1000000000),IFERROR(IF(VALUE(MID($C2164,2,20))&lt;100000000,VALUE(MID($C2164,2,20)),1000000000),1000000000))+ROW()/100000,"")</f>
        <v/>
      </c>
    </row>
    <row r="2165">
      <c r="E2165" s="11" t="n"/>
      <c r="M2165" s="7">
        <f>IF($C2165="","",L2165*U2165/100)</f>
        <v/>
      </c>
      <c r="N2165" s="7" t="n"/>
      <c r="T2165" s="7" t="n"/>
      <c r="U2165" s="7">
        <f>IF($C2165="","",S2165*T2165)</f>
        <v/>
      </c>
      <c r="X2165">
        <f>IF($C2165="","",IF($AM2165=1,0,IF($AL2165=1,Settings!$C$6,Settings!$C$7))*100)</f>
        <v/>
      </c>
      <c r="AB2165" s="7" t="n"/>
      <c r="AE2165" s="11" t="n"/>
      <c r="AG2165" s="7">
        <f>IF($C2165="","",U2165*X2165/100)</f>
        <v/>
      </c>
      <c r="AH2165" s="7">
        <f>IF($C2165="","",U2165-AG2165)</f>
        <v/>
      </c>
      <c r="AI2165" s="7">
        <f>IF($C2165="","",AH2165-M2165)</f>
        <v/>
      </c>
      <c r="AJ2165">
        <f>IF($C2165="","",IF(COUNTIF($C$2:$C2165,$C2165)=1,1,0))</f>
        <v/>
      </c>
      <c r="AK2165">
        <f>IF($AJ2165=1,SUMPRODUCT(--($AN$2:$AN$4001&lt;$AN2165))+1,"")</f>
        <v/>
      </c>
      <c r="AL2165">
        <f>IF($C2165="","",IF(OR($Q2165=TRUE(),$Q2165="TRUE"),1,0))</f>
        <v/>
      </c>
      <c r="AM2165">
        <f>IF($C2165="","",IF($W2165="Yes",1,0))</f>
        <v/>
      </c>
      <c r="AN2165">
        <f>IF($AJ2165=1,IFERROR(IF(VALUE($C2165)&lt;100000000,VALUE($C2165),1000000000),IFERROR(IF(VALUE(MID($C2165,2,20))&lt;100000000,VALUE(MID($C2165,2,20)),1000000000),1000000000))+ROW()/100000,"")</f>
        <v/>
      </c>
    </row>
    <row r="2166">
      <c r="E2166" s="11" t="n"/>
      <c r="M2166" s="7">
        <f>IF($C2166="","",L2166*U2166/100)</f>
        <v/>
      </c>
      <c r="N2166" s="7" t="n"/>
      <c r="T2166" s="7" t="n"/>
      <c r="U2166" s="7">
        <f>IF($C2166="","",S2166*T2166)</f>
        <v/>
      </c>
      <c r="X2166">
        <f>IF($C2166="","",IF($AM2166=1,0,IF($AL2166=1,Settings!$C$6,Settings!$C$7))*100)</f>
        <v/>
      </c>
      <c r="AB2166" s="7" t="n"/>
      <c r="AE2166" s="11" t="n"/>
      <c r="AG2166" s="7">
        <f>IF($C2166="","",U2166*X2166/100)</f>
        <v/>
      </c>
      <c r="AH2166" s="7">
        <f>IF($C2166="","",U2166-AG2166)</f>
        <v/>
      </c>
      <c r="AI2166" s="7">
        <f>IF($C2166="","",AH2166-M2166)</f>
        <v/>
      </c>
      <c r="AJ2166">
        <f>IF($C2166="","",IF(COUNTIF($C$2:$C2166,$C2166)=1,1,0))</f>
        <v/>
      </c>
      <c r="AK2166">
        <f>IF($AJ2166=1,SUMPRODUCT(--($AN$2:$AN$4001&lt;$AN2166))+1,"")</f>
        <v/>
      </c>
      <c r="AL2166">
        <f>IF($C2166="","",IF(OR($Q2166=TRUE(),$Q2166="TRUE"),1,0))</f>
        <v/>
      </c>
      <c r="AM2166">
        <f>IF($C2166="","",IF($W2166="Yes",1,0))</f>
        <v/>
      </c>
      <c r="AN2166">
        <f>IF($AJ2166=1,IFERROR(IF(VALUE($C2166)&lt;100000000,VALUE($C2166),1000000000),IFERROR(IF(VALUE(MID($C2166,2,20))&lt;100000000,VALUE(MID($C2166,2,20)),1000000000),1000000000))+ROW()/100000,"")</f>
        <v/>
      </c>
    </row>
    <row r="2167">
      <c r="E2167" s="11" t="n"/>
      <c r="M2167" s="7">
        <f>IF($C2167="","",L2167*U2167/100)</f>
        <v/>
      </c>
      <c r="N2167" s="7" t="n"/>
      <c r="T2167" s="7" t="n"/>
      <c r="U2167" s="7">
        <f>IF($C2167="","",S2167*T2167)</f>
        <v/>
      </c>
      <c r="X2167">
        <f>IF($C2167="","",IF($AM2167=1,0,IF($AL2167=1,Settings!$C$6,Settings!$C$7))*100)</f>
        <v/>
      </c>
      <c r="AB2167" s="7" t="n"/>
      <c r="AE2167" s="11" t="n"/>
      <c r="AG2167" s="7">
        <f>IF($C2167="","",U2167*X2167/100)</f>
        <v/>
      </c>
      <c r="AH2167" s="7">
        <f>IF($C2167="","",U2167-AG2167)</f>
        <v/>
      </c>
      <c r="AI2167" s="7">
        <f>IF($C2167="","",AH2167-M2167)</f>
        <v/>
      </c>
      <c r="AJ2167">
        <f>IF($C2167="","",IF(COUNTIF($C$2:$C2167,$C2167)=1,1,0))</f>
        <v/>
      </c>
      <c r="AK2167">
        <f>IF($AJ2167=1,SUMPRODUCT(--($AN$2:$AN$4001&lt;$AN2167))+1,"")</f>
        <v/>
      </c>
      <c r="AL2167">
        <f>IF($C2167="","",IF(OR($Q2167=TRUE(),$Q2167="TRUE"),1,0))</f>
        <v/>
      </c>
      <c r="AM2167">
        <f>IF($C2167="","",IF($W2167="Yes",1,0))</f>
        <v/>
      </c>
      <c r="AN2167">
        <f>IF($AJ2167=1,IFERROR(IF(VALUE($C2167)&lt;100000000,VALUE($C2167),1000000000),IFERROR(IF(VALUE(MID($C2167,2,20))&lt;100000000,VALUE(MID($C2167,2,20)),1000000000),1000000000))+ROW()/100000,"")</f>
        <v/>
      </c>
    </row>
    <row r="2168">
      <c r="E2168" s="11" t="n"/>
      <c r="M2168" s="7">
        <f>IF($C2168="","",L2168*U2168/100)</f>
        <v/>
      </c>
      <c r="N2168" s="7" t="n"/>
      <c r="T2168" s="7" t="n"/>
      <c r="U2168" s="7">
        <f>IF($C2168="","",S2168*T2168)</f>
        <v/>
      </c>
      <c r="X2168">
        <f>IF($C2168="","",IF($AM2168=1,0,IF($AL2168=1,Settings!$C$6,Settings!$C$7))*100)</f>
        <v/>
      </c>
      <c r="AB2168" s="7" t="n"/>
      <c r="AE2168" s="11" t="n"/>
      <c r="AG2168" s="7">
        <f>IF($C2168="","",U2168*X2168/100)</f>
        <v/>
      </c>
      <c r="AH2168" s="7">
        <f>IF($C2168="","",U2168-AG2168)</f>
        <v/>
      </c>
      <c r="AI2168" s="7">
        <f>IF($C2168="","",AH2168-M2168)</f>
        <v/>
      </c>
      <c r="AJ2168">
        <f>IF($C2168="","",IF(COUNTIF($C$2:$C2168,$C2168)=1,1,0))</f>
        <v/>
      </c>
      <c r="AK2168">
        <f>IF($AJ2168=1,SUMPRODUCT(--($AN$2:$AN$4001&lt;$AN2168))+1,"")</f>
        <v/>
      </c>
      <c r="AL2168">
        <f>IF($C2168="","",IF(OR($Q2168=TRUE(),$Q2168="TRUE"),1,0))</f>
        <v/>
      </c>
      <c r="AM2168">
        <f>IF($C2168="","",IF($W2168="Yes",1,0))</f>
        <v/>
      </c>
      <c r="AN2168">
        <f>IF($AJ2168=1,IFERROR(IF(VALUE($C2168)&lt;100000000,VALUE($C2168),1000000000),IFERROR(IF(VALUE(MID($C2168,2,20))&lt;100000000,VALUE(MID($C2168,2,20)),1000000000),1000000000))+ROW()/100000,"")</f>
        <v/>
      </c>
    </row>
    <row r="2169">
      <c r="E2169" s="11" t="n"/>
      <c r="M2169" s="7">
        <f>IF($C2169="","",L2169*U2169/100)</f>
        <v/>
      </c>
      <c r="N2169" s="7" t="n"/>
      <c r="T2169" s="7" t="n"/>
      <c r="U2169" s="7">
        <f>IF($C2169="","",S2169*T2169)</f>
        <v/>
      </c>
      <c r="X2169">
        <f>IF($C2169="","",IF($AM2169=1,0,IF($AL2169=1,Settings!$C$6,Settings!$C$7))*100)</f>
        <v/>
      </c>
      <c r="AB2169" s="7" t="n"/>
      <c r="AE2169" s="11" t="n"/>
      <c r="AG2169" s="7">
        <f>IF($C2169="","",U2169*X2169/100)</f>
        <v/>
      </c>
      <c r="AH2169" s="7">
        <f>IF($C2169="","",U2169-AG2169)</f>
        <v/>
      </c>
      <c r="AI2169" s="7">
        <f>IF($C2169="","",AH2169-M2169)</f>
        <v/>
      </c>
      <c r="AJ2169">
        <f>IF($C2169="","",IF(COUNTIF($C$2:$C2169,$C2169)=1,1,0))</f>
        <v/>
      </c>
      <c r="AK2169">
        <f>IF($AJ2169=1,SUMPRODUCT(--($AN$2:$AN$4001&lt;$AN2169))+1,"")</f>
        <v/>
      </c>
      <c r="AL2169">
        <f>IF($C2169="","",IF(OR($Q2169=TRUE(),$Q2169="TRUE"),1,0))</f>
        <v/>
      </c>
      <c r="AM2169">
        <f>IF($C2169="","",IF($W2169="Yes",1,0))</f>
        <v/>
      </c>
      <c r="AN2169">
        <f>IF($AJ2169=1,IFERROR(IF(VALUE($C2169)&lt;100000000,VALUE($C2169),1000000000),IFERROR(IF(VALUE(MID($C2169,2,20))&lt;100000000,VALUE(MID($C2169,2,20)),1000000000),1000000000))+ROW()/100000,"")</f>
        <v/>
      </c>
    </row>
    <row r="2170">
      <c r="E2170" s="11" t="n"/>
      <c r="M2170" s="7">
        <f>IF($C2170="","",L2170*U2170/100)</f>
        <v/>
      </c>
      <c r="N2170" s="7" t="n"/>
      <c r="T2170" s="7" t="n"/>
      <c r="U2170" s="7">
        <f>IF($C2170="","",S2170*T2170)</f>
        <v/>
      </c>
      <c r="X2170">
        <f>IF($C2170="","",IF($AM2170=1,0,IF($AL2170=1,Settings!$C$6,Settings!$C$7))*100)</f>
        <v/>
      </c>
      <c r="AB2170" s="7" t="n"/>
      <c r="AE2170" s="11" t="n"/>
      <c r="AG2170" s="7">
        <f>IF($C2170="","",U2170*X2170/100)</f>
        <v/>
      </c>
      <c r="AH2170" s="7">
        <f>IF($C2170="","",U2170-AG2170)</f>
        <v/>
      </c>
      <c r="AI2170" s="7">
        <f>IF($C2170="","",AH2170-M2170)</f>
        <v/>
      </c>
      <c r="AJ2170">
        <f>IF($C2170="","",IF(COUNTIF($C$2:$C2170,$C2170)=1,1,0))</f>
        <v/>
      </c>
      <c r="AK2170">
        <f>IF($AJ2170=1,SUMPRODUCT(--($AN$2:$AN$4001&lt;$AN2170))+1,"")</f>
        <v/>
      </c>
      <c r="AL2170">
        <f>IF($C2170="","",IF(OR($Q2170=TRUE(),$Q2170="TRUE"),1,0))</f>
        <v/>
      </c>
      <c r="AM2170">
        <f>IF($C2170="","",IF($W2170="Yes",1,0))</f>
        <v/>
      </c>
      <c r="AN2170">
        <f>IF($AJ2170=1,IFERROR(IF(VALUE($C2170)&lt;100000000,VALUE($C2170),1000000000),IFERROR(IF(VALUE(MID($C2170,2,20))&lt;100000000,VALUE(MID($C2170,2,20)),1000000000),1000000000))+ROW()/100000,"")</f>
        <v/>
      </c>
    </row>
    <row r="2171">
      <c r="E2171" s="11" t="n"/>
      <c r="M2171" s="7">
        <f>IF($C2171="","",L2171*U2171/100)</f>
        <v/>
      </c>
      <c r="N2171" s="7" t="n"/>
      <c r="T2171" s="7" t="n"/>
      <c r="U2171" s="7">
        <f>IF($C2171="","",S2171*T2171)</f>
        <v/>
      </c>
      <c r="X2171">
        <f>IF($C2171="","",IF($AM2171=1,0,IF($AL2171=1,Settings!$C$6,Settings!$C$7))*100)</f>
        <v/>
      </c>
      <c r="AB2171" s="7" t="n"/>
      <c r="AE2171" s="11" t="n"/>
      <c r="AG2171" s="7">
        <f>IF($C2171="","",U2171*X2171/100)</f>
        <v/>
      </c>
      <c r="AH2171" s="7">
        <f>IF($C2171="","",U2171-AG2171)</f>
        <v/>
      </c>
      <c r="AI2171" s="7">
        <f>IF($C2171="","",AH2171-M2171)</f>
        <v/>
      </c>
      <c r="AJ2171">
        <f>IF($C2171="","",IF(COUNTIF($C$2:$C2171,$C2171)=1,1,0))</f>
        <v/>
      </c>
      <c r="AK2171">
        <f>IF($AJ2171=1,SUMPRODUCT(--($AN$2:$AN$4001&lt;$AN2171))+1,"")</f>
        <v/>
      </c>
      <c r="AL2171">
        <f>IF($C2171="","",IF(OR($Q2171=TRUE(),$Q2171="TRUE"),1,0))</f>
        <v/>
      </c>
      <c r="AM2171">
        <f>IF($C2171="","",IF($W2171="Yes",1,0))</f>
        <v/>
      </c>
      <c r="AN2171">
        <f>IF($AJ2171=1,IFERROR(IF(VALUE($C2171)&lt;100000000,VALUE($C2171),1000000000),IFERROR(IF(VALUE(MID($C2171,2,20))&lt;100000000,VALUE(MID($C2171,2,20)),1000000000),1000000000))+ROW()/100000,"")</f>
        <v/>
      </c>
    </row>
    <row r="2172">
      <c r="E2172" s="11" t="n"/>
      <c r="M2172" s="7">
        <f>IF($C2172="","",L2172*U2172/100)</f>
        <v/>
      </c>
      <c r="N2172" s="7" t="n"/>
      <c r="T2172" s="7" t="n"/>
      <c r="U2172" s="7">
        <f>IF($C2172="","",S2172*T2172)</f>
        <v/>
      </c>
      <c r="X2172">
        <f>IF($C2172="","",IF($AM2172=1,0,IF($AL2172=1,Settings!$C$6,Settings!$C$7))*100)</f>
        <v/>
      </c>
      <c r="AB2172" s="7" t="n"/>
      <c r="AE2172" s="11" t="n"/>
      <c r="AG2172" s="7">
        <f>IF($C2172="","",U2172*X2172/100)</f>
        <v/>
      </c>
      <c r="AH2172" s="7">
        <f>IF($C2172="","",U2172-AG2172)</f>
        <v/>
      </c>
      <c r="AI2172" s="7">
        <f>IF($C2172="","",AH2172-M2172)</f>
        <v/>
      </c>
      <c r="AJ2172">
        <f>IF($C2172="","",IF(COUNTIF($C$2:$C2172,$C2172)=1,1,0))</f>
        <v/>
      </c>
      <c r="AK2172">
        <f>IF($AJ2172=1,SUMPRODUCT(--($AN$2:$AN$4001&lt;$AN2172))+1,"")</f>
        <v/>
      </c>
      <c r="AL2172">
        <f>IF($C2172="","",IF(OR($Q2172=TRUE(),$Q2172="TRUE"),1,0))</f>
        <v/>
      </c>
      <c r="AM2172">
        <f>IF($C2172="","",IF($W2172="Yes",1,0))</f>
        <v/>
      </c>
      <c r="AN2172">
        <f>IF($AJ2172=1,IFERROR(IF(VALUE($C2172)&lt;100000000,VALUE($C2172),1000000000),IFERROR(IF(VALUE(MID($C2172,2,20))&lt;100000000,VALUE(MID($C2172,2,20)),1000000000),1000000000))+ROW()/100000,"")</f>
        <v/>
      </c>
    </row>
    <row r="2173">
      <c r="E2173" s="11" t="n"/>
      <c r="M2173" s="7">
        <f>IF($C2173="","",L2173*U2173/100)</f>
        <v/>
      </c>
      <c r="N2173" s="7" t="n"/>
      <c r="T2173" s="7" t="n"/>
      <c r="U2173" s="7">
        <f>IF($C2173="","",S2173*T2173)</f>
        <v/>
      </c>
      <c r="X2173">
        <f>IF($C2173="","",IF($AM2173=1,0,IF($AL2173=1,Settings!$C$6,Settings!$C$7))*100)</f>
        <v/>
      </c>
      <c r="AB2173" s="7" t="n"/>
      <c r="AE2173" s="11" t="n"/>
      <c r="AG2173" s="7">
        <f>IF($C2173="","",U2173*X2173/100)</f>
        <v/>
      </c>
      <c r="AH2173" s="7">
        <f>IF($C2173="","",U2173-AG2173)</f>
        <v/>
      </c>
      <c r="AI2173" s="7">
        <f>IF($C2173="","",AH2173-M2173)</f>
        <v/>
      </c>
      <c r="AJ2173">
        <f>IF($C2173="","",IF(COUNTIF($C$2:$C2173,$C2173)=1,1,0))</f>
        <v/>
      </c>
      <c r="AK2173">
        <f>IF($AJ2173=1,SUMPRODUCT(--($AN$2:$AN$4001&lt;$AN2173))+1,"")</f>
        <v/>
      </c>
      <c r="AL2173">
        <f>IF($C2173="","",IF(OR($Q2173=TRUE(),$Q2173="TRUE"),1,0))</f>
        <v/>
      </c>
      <c r="AM2173">
        <f>IF($C2173="","",IF($W2173="Yes",1,0))</f>
        <v/>
      </c>
      <c r="AN2173">
        <f>IF($AJ2173=1,IFERROR(IF(VALUE($C2173)&lt;100000000,VALUE($C2173),1000000000),IFERROR(IF(VALUE(MID($C2173,2,20))&lt;100000000,VALUE(MID($C2173,2,20)),1000000000),1000000000))+ROW()/100000,"")</f>
        <v/>
      </c>
    </row>
    <row r="2174">
      <c r="E2174" s="11" t="n"/>
      <c r="M2174" s="7">
        <f>IF($C2174="","",L2174*U2174/100)</f>
        <v/>
      </c>
      <c r="N2174" s="7" t="n"/>
      <c r="T2174" s="7" t="n"/>
      <c r="U2174" s="7">
        <f>IF($C2174="","",S2174*T2174)</f>
        <v/>
      </c>
      <c r="X2174">
        <f>IF($C2174="","",IF($AM2174=1,0,IF($AL2174=1,Settings!$C$6,Settings!$C$7))*100)</f>
        <v/>
      </c>
      <c r="AB2174" s="7" t="n"/>
      <c r="AE2174" s="11" t="n"/>
      <c r="AG2174" s="7">
        <f>IF($C2174="","",U2174*X2174/100)</f>
        <v/>
      </c>
      <c r="AH2174" s="7">
        <f>IF($C2174="","",U2174-AG2174)</f>
        <v/>
      </c>
      <c r="AI2174" s="7">
        <f>IF($C2174="","",AH2174-M2174)</f>
        <v/>
      </c>
      <c r="AJ2174">
        <f>IF($C2174="","",IF(COUNTIF($C$2:$C2174,$C2174)=1,1,0))</f>
        <v/>
      </c>
      <c r="AK2174">
        <f>IF($AJ2174=1,SUMPRODUCT(--($AN$2:$AN$4001&lt;$AN2174))+1,"")</f>
        <v/>
      </c>
      <c r="AL2174">
        <f>IF($C2174="","",IF(OR($Q2174=TRUE(),$Q2174="TRUE"),1,0))</f>
        <v/>
      </c>
      <c r="AM2174">
        <f>IF($C2174="","",IF($W2174="Yes",1,0))</f>
        <v/>
      </c>
      <c r="AN2174">
        <f>IF($AJ2174=1,IFERROR(IF(VALUE($C2174)&lt;100000000,VALUE($C2174),1000000000),IFERROR(IF(VALUE(MID($C2174,2,20))&lt;100000000,VALUE(MID($C2174,2,20)),1000000000),1000000000))+ROW()/100000,"")</f>
        <v/>
      </c>
    </row>
    <row r="2175">
      <c r="E2175" s="11" t="n"/>
      <c r="M2175" s="7">
        <f>IF($C2175="","",L2175*U2175/100)</f>
        <v/>
      </c>
      <c r="N2175" s="7" t="n"/>
      <c r="T2175" s="7" t="n"/>
      <c r="U2175" s="7">
        <f>IF($C2175="","",S2175*T2175)</f>
        <v/>
      </c>
      <c r="X2175">
        <f>IF($C2175="","",IF($AM2175=1,0,IF($AL2175=1,Settings!$C$6,Settings!$C$7))*100)</f>
        <v/>
      </c>
      <c r="AB2175" s="7" t="n"/>
      <c r="AE2175" s="11" t="n"/>
      <c r="AG2175" s="7">
        <f>IF($C2175="","",U2175*X2175/100)</f>
        <v/>
      </c>
      <c r="AH2175" s="7">
        <f>IF($C2175="","",U2175-AG2175)</f>
        <v/>
      </c>
      <c r="AI2175" s="7">
        <f>IF($C2175="","",AH2175-M2175)</f>
        <v/>
      </c>
      <c r="AJ2175">
        <f>IF($C2175="","",IF(COUNTIF($C$2:$C2175,$C2175)=1,1,0))</f>
        <v/>
      </c>
      <c r="AK2175">
        <f>IF($AJ2175=1,SUMPRODUCT(--($AN$2:$AN$4001&lt;$AN2175))+1,"")</f>
        <v/>
      </c>
      <c r="AL2175">
        <f>IF($C2175="","",IF(OR($Q2175=TRUE(),$Q2175="TRUE"),1,0))</f>
        <v/>
      </c>
      <c r="AM2175">
        <f>IF($C2175="","",IF($W2175="Yes",1,0))</f>
        <v/>
      </c>
      <c r="AN2175">
        <f>IF($AJ2175=1,IFERROR(IF(VALUE($C2175)&lt;100000000,VALUE($C2175),1000000000),IFERROR(IF(VALUE(MID($C2175,2,20))&lt;100000000,VALUE(MID($C2175,2,20)),1000000000),1000000000))+ROW()/100000,"")</f>
        <v/>
      </c>
    </row>
    <row r="2176">
      <c r="E2176" s="11" t="n"/>
      <c r="M2176" s="7">
        <f>IF($C2176="","",L2176*U2176/100)</f>
        <v/>
      </c>
      <c r="N2176" s="7" t="n"/>
      <c r="T2176" s="7" t="n"/>
      <c r="U2176" s="7">
        <f>IF($C2176="","",S2176*T2176)</f>
        <v/>
      </c>
      <c r="X2176">
        <f>IF($C2176="","",IF($AM2176=1,0,IF($AL2176=1,Settings!$C$6,Settings!$C$7))*100)</f>
        <v/>
      </c>
      <c r="AB2176" s="7" t="n"/>
      <c r="AE2176" s="11" t="n"/>
      <c r="AG2176" s="7">
        <f>IF($C2176="","",U2176*X2176/100)</f>
        <v/>
      </c>
      <c r="AH2176" s="7">
        <f>IF($C2176="","",U2176-AG2176)</f>
        <v/>
      </c>
      <c r="AI2176" s="7">
        <f>IF($C2176="","",AH2176-M2176)</f>
        <v/>
      </c>
      <c r="AJ2176">
        <f>IF($C2176="","",IF(COUNTIF($C$2:$C2176,$C2176)=1,1,0))</f>
        <v/>
      </c>
      <c r="AK2176">
        <f>IF($AJ2176=1,SUMPRODUCT(--($AN$2:$AN$4001&lt;$AN2176))+1,"")</f>
        <v/>
      </c>
      <c r="AL2176">
        <f>IF($C2176="","",IF(OR($Q2176=TRUE(),$Q2176="TRUE"),1,0))</f>
        <v/>
      </c>
      <c r="AM2176">
        <f>IF($C2176="","",IF($W2176="Yes",1,0))</f>
        <v/>
      </c>
      <c r="AN2176">
        <f>IF($AJ2176=1,IFERROR(IF(VALUE($C2176)&lt;100000000,VALUE($C2176),1000000000),IFERROR(IF(VALUE(MID($C2176,2,20))&lt;100000000,VALUE(MID($C2176,2,20)),1000000000),1000000000))+ROW()/100000,"")</f>
        <v/>
      </c>
    </row>
    <row r="2177">
      <c r="E2177" s="11" t="n"/>
      <c r="M2177" s="7">
        <f>IF($C2177="","",L2177*U2177/100)</f>
        <v/>
      </c>
      <c r="N2177" s="7" t="n"/>
      <c r="T2177" s="7" t="n"/>
      <c r="U2177" s="7">
        <f>IF($C2177="","",S2177*T2177)</f>
        <v/>
      </c>
      <c r="X2177">
        <f>IF($C2177="","",IF($AM2177=1,0,IF($AL2177=1,Settings!$C$6,Settings!$C$7))*100)</f>
        <v/>
      </c>
      <c r="AB2177" s="7" t="n"/>
      <c r="AE2177" s="11" t="n"/>
      <c r="AG2177" s="7">
        <f>IF($C2177="","",U2177*X2177/100)</f>
        <v/>
      </c>
      <c r="AH2177" s="7">
        <f>IF($C2177="","",U2177-AG2177)</f>
        <v/>
      </c>
      <c r="AI2177" s="7">
        <f>IF($C2177="","",AH2177-M2177)</f>
        <v/>
      </c>
      <c r="AJ2177">
        <f>IF($C2177="","",IF(COUNTIF($C$2:$C2177,$C2177)=1,1,0))</f>
        <v/>
      </c>
      <c r="AK2177">
        <f>IF($AJ2177=1,SUMPRODUCT(--($AN$2:$AN$4001&lt;$AN2177))+1,"")</f>
        <v/>
      </c>
      <c r="AL2177">
        <f>IF($C2177="","",IF(OR($Q2177=TRUE(),$Q2177="TRUE"),1,0))</f>
        <v/>
      </c>
      <c r="AM2177">
        <f>IF($C2177="","",IF($W2177="Yes",1,0))</f>
        <v/>
      </c>
      <c r="AN2177">
        <f>IF($AJ2177=1,IFERROR(IF(VALUE($C2177)&lt;100000000,VALUE($C2177),1000000000),IFERROR(IF(VALUE(MID($C2177,2,20))&lt;100000000,VALUE(MID($C2177,2,20)),1000000000),1000000000))+ROW()/100000,"")</f>
        <v/>
      </c>
    </row>
    <row r="2178">
      <c r="E2178" s="11" t="n"/>
      <c r="M2178" s="7">
        <f>IF($C2178="","",L2178*U2178/100)</f>
        <v/>
      </c>
      <c r="N2178" s="7" t="n"/>
      <c r="T2178" s="7" t="n"/>
      <c r="U2178" s="7">
        <f>IF($C2178="","",S2178*T2178)</f>
        <v/>
      </c>
      <c r="X2178">
        <f>IF($C2178="","",IF($AM2178=1,0,IF($AL2178=1,Settings!$C$6,Settings!$C$7))*100)</f>
        <v/>
      </c>
      <c r="AB2178" s="7" t="n"/>
      <c r="AE2178" s="11" t="n"/>
      <c r="AG2178" s="7">
        <f>IF($C2178="","",U2178*X2178/100)</f>
        <v/>
      </c>
      <c r="AH2178" s="7">
        <f>IF($C2178="","",U2178-AG2178)</f>
        <v/>
      </c>
      <c r="AI2178" s="7">
        <f>IF($C2178="","",AH2178-M2178)</f>
        <v/>
      </c>
      <c r="AJ2178">
        <f>IF($C2178="","",IF(COUNTIF($C$2:$C2178,$C2178)=1,1,0))</f>
        <v/>
      </c>
      <c r="AK2178">
        <f>IF($AJ2178=1,SUMPRODUCT(--($AN$2:$AN$4001&lt;$AN2178))+1,"")</f>
        <v/>
      </c>
      <c r="AL2178">
        <f>IF($C2178="","",IF(OR($Q2178=TRUE(),$Q2178="TRUE"),1,0))</f>
        <v/>
      </c>
      <c r="AM2178">
        <f>IF($C2178="","",IF($W2178="Yes",1,0))</f>
        <v/>
      </c>
      <c r="AN2178">
        <f>IF($AJ2178=1,IFERROR(IF(VALUE($C2178)&lt;100000000,VALUE($C2178),1000000000),IFERROR(IF(VALUE(MID($C2178,2,20))&lt;100000000,VALUE(MID($C2178,2,20)),1000000000),1000000000))+ROW()/100000,"")</f>
        <v/>
      </c>
    </row>
    <row r="2179">
      <c r="E2179" s="11" t="n"/>
      <c r="M2179" s="7">
        <f>IF($C2179="","",L2179*U2179/100)</f>
        <v/>
      </c>
      <c r="N2179" s="7" t="n"/>
      <c r="T2179" s="7" t="n"/>
      <c r="U2179" s="7">
        <f>IF($C2179="","",S2179*T2179)</f>
        <v/>
      </c>
      <c r="X2179">
        <f>IF($C2179="","",IF($AM2179=1,0,IF($AL2179=1,Settings!$C$6,Settings!$C$7))*100)</f>
        <v/>
      </c>
      <c r="AB2179" s="7" t="n"/>
      <c r="AE2179" s="11" t="n"/>
      <c r="AG2179" s="7">
        <f>IF($C2179="","",U2179*X2179/100)</f>
        <v/>
      </c>
      <c r="AH2179" s="7">
        <f>IF($C2179="","",U2179-AG2179)</f>
        <v/>
      </c>
      <c r="AI2179" s="7">
        <f>IF($C2179="","",AH2179-M2179)</f>
        <v/>
      </c>
      <c r="AJ2179">
        <f>IF($C2179="","",IF(COUNTIF($C$2:$C2179,$C2179)=1,1,0))</f>
        <v/>
      </c>
      <c r="AK2179">
        <f>IF($AJ2179=1,SUMPRODUCT(--($AN$2:$AN$4001&lt;$AN2179))+1,"")</f>
        <v/>
      </c>
      <c r="AL2179">
        <f>IF($C2179="","",IF(OR($Q2179=TRUE(),$Q2179="TRUE"),1,0))</f>
        <v/>
      </c>
      <c r="AM2179">
        <f>IF($C2179="","",IF($W2179="Yes",1,0))</f>
        <v/>
      </c>
      <c r="AN2179">
        <f>IF($AJ2179=1,IFERROR(IF(VALUE($C2179)&lt;100000000,VALUE($C2179),1000000000),IFERROR(IF(VALUE(MID($C2179,2,20))&lt;100000000,VALUE(MID($C2179,2,20)),1000000000),1000000000))+ROW()/100000,"")</f>
        <v/>
      </c>
    </row>
    <row r="2180">
      <c r="E2180" s="11" t="n"/>
      <c r="M2180" s="7">
        <f>IF($C2180="","",L2180*U2180/100)</f>
        <v/>
      </c>
      <c r="N2180" s="7" t="n"/>
      <c r="T2180" s="7" t="n"/>
      <c r="U2180" s="7">
        <f>IF($C2180="","",S2180*T2180)</f>
        <v/>
      </c>
      <c r="X2180">
        <f>IF($C2180="","",IF($AM2180=1,0,IF($AL2180=1,Settings!$C$6,Settings!$C$7))*100)</f>
        <v/>
      </c>
      <c r="AB2180" s="7" t="n"/>
      <c r="AE2180" s="11" t="n"/>
      <c r="AG2180" s="7">
        <f>IF($C2180="","",U2180*X2180/100)</f>
        <v/>
      </c>
      <c r="AH2180" s="7">
        <f>IF($C2180="","",U2180-AG2180)</f>
        <v/>
      </c>
      <c r="AI2180" s="7">
        <f>IF($C2180="","",AH2180-M2180)</f>
        <v/>
      </c>
      <c r="AJ2180">
        <f>IF($C2180="","",IF(COUNTIF($C$2:$C2180,$C2180)=1,1,0))</f>
        <v/>
      </c>
      <c r="AK2180">
        <f>IF($AJ2180=1,SUMPRODUCT(--($AN$2:$AN$4001&lt;$AN2180))+1,"")</f>
        <v/>
      </c>
      <c r="AL2180">
        <f>IF($C2180="","",IF(OR($Q2180=TRUE(),$Q2180="TRUE"),1,0))</f>
        <v/>
      </c>
      <c r="AM2180">
        <f>IF($C2180="","",IF($W2180="Yes",1,0))</f>
        <v/>
      </c>
      <c r="AN2180">
        <f>IF($AJ2180=1,IFERROR(IF(VALUE($C2180)&lt;100000000,VALUE($C2180),1000000000),IFERROR(IF(VALUE(MID($C2180,2,20))&lt;100000000,VALUE(MID($C2180,2,20)),1000000000),1000000000))+ROW()/100000,"")</f>
        <v/>
      </c>
    </row>
    <row r="2181">
      <c r="E2181" s="11" t="n"/>
      <c r="M2181" s="7">
        <f>IF($C2181="","",L2181*U2181/100)</f>
        <v/>
      </c>
      <c r="N2181" s="7" t="n"/>
      <c r="T2181" s="7" t="n"/>
      <c r="U2181" s="7">
        <f>IF($C2181="","",S2181*T2181)</f>
        <v/>
      </c>
      <c r="X2181">
        <f>IF($C2181="","",IF($AM2181=1,0,IF($AL2181=1,Settings!$C$6,Settings!$C$7))*100)</f>
        <v/>
      </c>
      <c r="AB2181" s="7" t="n"/>
      <c r="AE2181" s="11" t="n"/>
      <c r="AG2181" s="7">
        <f>IF($C2181="","",U2181*X2181/100)</f>
        <v/>
      </c>
      <c r="AH2181" s="7">
        <f>IF($C2181="","",U2181-AG2181)</f>
        <v/>
      </c>
      <c r="AI2181" s="7">
        <f>IF($C2181="","",AH2181-M2181)</f>
        <v/>
      </c>
      <c r="AJ2181">
        <f>IF($C2181="","",IF(COUNTIF($C$2:$C2181,$C2181)=1,1,0))</f>
        <v/>
      </c>
      <c r="AK2181">
        <f>IF($AJ2181=1,SUMPRODUCT(--($AN$2:$AN$4001&lt;$AN2181))+1,"")</f>
        <v/>
      </c>
      <c r="AL2181">
        <f>IF($C2181="","",IF(OR($Q2181=TRUE(),$Q2181="TRUE"),1,0))</f>
        <v/>
      </c>
      <c r="AM2181">
        <f>IF($C2181="","",IF($W2181="Yes",1,0))</f>
        <v/>
      </c>
      <c r="AN2181">
        <f>IF($AJ2181=1,IFERROR(IF(VALUE($C2181)&lt;100000000,VALUE($C2181),1000000000),IFERROR(IF(VALUE(MID($C2181,2,20))&lt;100000000,VALUE(MID($C2181,2,20)),1000000000),1000000000))+ROW()/100000,"")</f>
        <v/>
      </c>
    </row>
    <row r="2182">
      <c r="E2182" s="11" t="n"/>
      <c r="M2182" s="7">
        <f>IF($C2182="","",L2182*U2182/100)</f>
        <v/>
      </c>
      <c r="N2182" s="7" t="n"/>
      <c r="T2182" s="7" t="n"/>
      <c r="U2182" s="7">
        <f>IF($C2182="","",S2182*T2182)</f>
        <v/>
      </c>
      <c r="X2182">
        <f>IF($C2182="","",IF($AM2182=1,0,IF($AL2182=1,Settings!$C$6,Settings!$C$7))*100)</f>
        <v/>
      </c>
      <c r="AB2182" s="7" t="n"/>
      <c r="AE2182" s="11" t="n"/>
      <c r="AG2182" s="7">
        <f>IF($C2182="","",U2182*X2182/100)</f>
        <v/>
      </c>
      <c r="AH2182" s="7">
        <f>IF($C2182="","",U2182-AG2182)</f>
        <v/>
      </c>
      <c r="AI2182" s="7">
        <f>IF($C2182="","",AH2182-M2182)</f>
        <v/>
      </c>
      <c r="AJ2182">
        <f>IF($C2182="","",IF(COUNTIF($C$2:$C2182,$C2182)=1,1,0))</f>
        <v/>
      </c>
      <c r="AK2182">
        <f>IF($AJ2182=1,SUMPRODUCT(--($AN$2:$AN$4001&lt;$AN2182))+1,"")</f>
        <v/>
      </c>
      <c r="AL2182">
        <f>IF($C2182="","",IF(OR($Q2182=TRUE(),$Q2182="TRUE"),1,0))</f>
        <v/>
      </c>
      <c r="AM2182">
        <f>IF($C2182="","",IF($W2182="Yes",1,0))</f>
        <v/>
      </c>
      <c r="AN2182">
        <f>IF($AJ2182=1,IFERROR(IF(VALUE($C2182)&lt;100000000,VALUE($C2182),1000000000),IFERROR(IF(VALUE(MID($C2182,2,20))&lt;100000000,VALUE(MID($C2182,2,20)),1000000000),1000000000))+ROW()/100000,"")</f>
        <v/>
      </c>
    </row>
    <row r="2183">
      <c r="E2183" s="11" t="n"/>
      <c r="M2183" s="7">
        <f>IF($C2183="","",L2183*U2183/100)</f>
        <v/>
      </c>
      <c r="N2183" s="7" t="n"/>
      <c r="T2183" s="7" t="n"/>
      <c r="U2183" s="7">
        <f>IF($C2183="","",S2183*T2183)</f>
        <v/>
      </c>
      <c r="X2183">
        <f>IF($C2183="","",IF($AM2183=1,0,IF($AL2183=1,Settings!$C$6,Settings!$C$7))*100)</f>
        <v/>
      </c>
      <c r="AB2183" s="7" t="n"/>
      <c r="AE2183" s="11" t="n"/>
      <c r="AG2183" s="7">
        <f>IF($C2183="","",U2183*X2183/100)</f>
        <v/>
      </c>
      <c r="AH2183" s="7">
        <f>IF($C2183="","",U2183-AG2183)</f>
        <v/>
      </c>
      <c r="AI2183" s="7">
        <f>IF($C2183="","",AH2183-M2183)</f>
        <v/>
      </c>
      <c r="AJ2183">
        <f>IF($C2183="","",IF(COUNTIF($C$2:$C2183,$C2183)=1,1,0))</f>
        <v/>
      </c>
      <c r="AK2183">
        <f>IF($AJ2183=1,SUMPRODUCT(--($AN$2:$AN$4001&lt;$AN2183))+1,"")</f>
        <v/>
      </c>
      <c r="AL2183">
        <f>IF($C2183="","",IF(OR($Q2183=TRUE(),$Q2183="TRUE"),1,0))</f>
        <v/>
      </c>
      <c r="AM2183">
        <f>IF($C2183="","",IF($W2183="Yes",1,0))</f>
        <v/>
      </c>
      <c r="AN2183">
        <f>IF($AJ2183=1,IFERROR(IF(VALUE($C2183)&lt;100000000,VALUE($C2183),1000000000),IFERROR(IF(VALUE(MID($C2183,2,20))&lt;100000000,VALUE(MID($C2183,2,20)),1000000000),1000000000))+ROW()/100000,"")</f>
        <v/>
      </c>
    </row>
    <row r="2184">
      <c r="E2184" s="11" t="n"/>
      <c r="M2184" s="7">
        <f>IF($C2184="","",L2184*U2184/100)</f>
        <v/>
      </c>
      <c r="N2184" s="7" t="n"/>
      <c r="T2184" s="7" t="n"/>
      <c r="U2184" s="7">
        <f>IF($C2184="","",S2184*T2184)</f>
        <v/>
      </c>
      <c r="X2184">
        <f>IF($C2184="","",IF($AM2184=1,0,IF($AL2184=1,Settings!$C$6,Settings!$C$7))*100)</f>
        <v/>
      </c>
      <c r="AB2184" s="7" t="n"/>
      <c r="AE2184" s="11" t="n"/>
      <c r="AG2184" s="7">
        <f>IF($C2184="","",U2184*X2184/100)</f>
        <v/>
      </c>
      <c r="AH2184" s="7">
        <f>IF($C2184="","",U2184-AG2184)</f>
        <v/>
      </c>
      <c r="AI2184" s="7">
        <f>IF($C2184="","",AH2184-M2184)</f>
        <v/>
      </c>
      <c r="AJ2184">
        <f>IF($C2184="","",IF(COUNTIF($C$2:$C2184,$C2184)=1,1,0))</f>
        <v/>
      </c>
      <c r="AK2184">
        <f>IF($AJ2184=1,SUMPRODUCT(--($AN$2:$AN$4001&lt;$AN2184))+1,"")</f>
        <v/>
      </c>
      <c r="AL2184">
        <f>IF($C2184="","",IF(OR($Q2184=TRUE(),$Q2184="TRUE"),1,0))</f>
        <v/>
      </c>
      <c r="AM2184">
        <f>IF($C2184="","",IF($W2184="Yes",1,0))</f>
        <v/>
      </c>
      <c r="AN2184">
        <f>IF($AJ2184=1,IFERROR(IF(VALUE($C2184)&lt;100000000,VALUE($C2184),1000000000),IFERROR(IF(VALUE(MID($C2184,2,20))&lt;100000000,VALUE(MID($C2184,2,20)),1000000000),1000000000))+ROW()/100000,"")</f>
        <v/>
      </c>
    </row>
    <row r="2185">
      <c r="E2185" s="11" t="n"/>
      <c r="M2185" s="7">
        <f>IF($C2185="","",L2185*U2185/100)</f>
        <v/>
      </c>
      <c r="N2185" s="7" t="n"/>
      <c r="T2185" s="7" t="n"/>
      <c r="U2185" s="7">
        <f>IF($C2185="","",S2185*T2185)</f>
        <v/>
      </c>
      <c r="X2185">
        <f>IF($C2185="","",IF($AM2185=1,0,IF($AL2185=1,Settings!$C$6,Settings!$C$7))*100)</f>
        <v/>
      </c>
      <c r="AB2185" s="7" t="n"/>
      <c r="AE2185" s="11" t="n"/>
      <c r="AG2185" s="7">
        <f>IF($C2185="","",U2185*X2185/100)</f>
        <v/>
      </c>
      <c r="AH2185" s="7">
        <f>IF($C2185="","",U2185-AG2185)</f>
        <v/>
      </c>
      <c r="AI2185" s="7">
        <f>IF($C2185="","",AH2185-M2185)</f>
        <v/>
      </c>
      <c r="AJ2185">
        <f>IF($C2185="","",IF(COUNTIF($C$2:$C2185,$C2185)=1,1,0))</f>
        <v/>
      </c>
      <c r="AK2185">
        <f>IF($AJ2185=1,SUMPRODUCT(--($AN$2:$AN$4001&lt;$AN2185))+1,"")</f>
        <v/>
      </c>
      <c r="AL2185">
        <f>IF($C2185="","",IF(OR($Q2185=TRUE(),$Q2185="TRUE"),1,0))</f>
        <v/>
      </c>
      <c r="AM2185">
        <f>IF($C2185="","",IF($W2185="Yes",1,0))</f>
        <v/>
      </c>
      <c r="AN2185">
        <f>IF($AJ2185=1,IFERROR(IF(VALUE($C2185)&lt;100000000,VALUE($C2185),1000000000),IFERROR(IF(VALUE(MID($C2185,2,20))&lt;100000000,VALUE(MID($C2185,2,20)),1000000000),1000000000))+ROW()/100000,"")</f>
        <v/>
      </c>
    </row>
    <row r="2186">
      <c r="E2186" s="11" t="n"/>
      <c r="M2186" s="7">
        <f>IF($C2186="","",L2186*U2186/100)</f>
        <v/>
      </c>
      <c r="N2186" s="7" t="n"/>
      <c r="T2186" s="7" t="n"/>
      <c r="U2186" s="7">
        <f>IF($C2186="","",S2186*T2186)</f>
        <v/>
      </c>
      <c r="X2186">
        <f>IF($C2186="","",IF($AM2186=1,0,IF($AL2186=1,Settings!$C$6,Settings!$C$7))*100)</f>
        <v/>
      </c>
      <c r="AB2186" s="7" t="n"/>
      <c r="AE2186" s="11" t="n"/>
      <c r="AG2186" s="7">
        <f>IF($C2186="","",U2186*X2186/100)</f>
        <v/>
      </c>
      <c r="AH2186" s="7">
        <f>IF($C2186="","",U2186-AG2186)</f>
        <v/>
      </c>
      <c r="AI2186" s="7">
        <f>IF($C2186="","",AH2186-M2186)</f>
        <v/>
      </c>
      <c r="AJ2186">
        <f>IF($C2186="","",IF(COUNTIF($C$2:$C2186,$C2186)=1,1,0))</f>
        <v/>
      </c>
      <c r="AK2186">
        <f>IF($AJ2186=1,SUMPRODUCT(--($AN$2:$AN$4001&lt;$AN2186))+1,"")</f>
        <v/>
      </c>
      <c r="AL2186">
        <f>IF($C2186="","",IF(OR($Q2186=TRUE(),$Q2186="TRUE"),1,0))</f>
        <v/>
      </c>
      <c r="AM2186">
        <f>IF($C2186="","",IF($W2186="Yes",1,0))</f>
        <v/>
      </c>
      <c r="AN2186">
        <f>IF($AJ2186=1,IFERROR(IF(VALUE($C2186)&lt;100000000,VALUE($C2186),1000000000),IFERROR(IF(VALUE(MID($C2186,2,20))&lt;100000000,VALUE(MID($C2186,2,20)),1000000000),1000000000))+ROW()/100000,"")</f>
        <v/>
      </c>
    </row>
    <row r="2187">
      <c r="E2187" s="11" t="n"/>
      <c r="M2187" s="7">
        <f>IF($C2187="","",L2187*U2187/100)</f>
        <v/>
      </c>
      <c r="N2187" s="7" t="n"/>
      <c r="T2187" s="7" t="n"/>
      <c r="U2187" s="7">
        <f>IF($C2187="","",S2187*T2187)</f>
        <v/>
      </c>
      <c r="X2187">
        <f>IF($C2187="","",IF($AM2187=1,0,IF($AL2187=1,Settings!$C$6,Settings!$C$7))*100)</f>
        <v/>
      </c>
      <c r="AB2187" s="7" t="n"/>
      <c r="AE2187" s="11" t="n"/>
      <c r="AG2187" s="7">
        <f>IF($C2187="","",U2187*X2187/100)</f>
        <v/>
      </c>
      <c r="AH2187" s="7">
        <f>IF($C2187="","",U2187-AG2187)</f>
        <v/>
      </c>
      <c r="AI2187" s="7">
        <f>IF($C2187="","",AH2187-M2187)</f>
        <v/>
      </c>
      <c r="AJ2187">
        <f>IF($C2187="","",IF(COUNTIF($C$2:$C2187,$C2187)=1,1,0))</f>
        <v/>
      </c>
      <c r="AK2187">
        <f>IF($AJ2187=1,SUMPRODUCT(--($AN$2:$AN$4001&lt;$AN2187))+1,"")</f>
        <v/>
      </c>
      <c r="AL2187">
        <f>IF($C2187="","",IF(OR($Q2187=TRUE(),$Q2187="TRUE"),1,0))</f>
        <v/>
      </c>
      <c r="AM2187">
        <f>IF($C2187="","",IF($W2187="Yes",1,0))</f>
        <v/>
      </c>
      <c r="AN2187">
        <f>IF($AJ2187=1,IFERROR(IF(VALUE($C2187)&lt;100000000,VALUE($C2187),1000000000),IFERROR(IF(VALUE(MID($C2187,2,20))&lt;100000000,VALUE(MID($C2187,2,20)),1000000000),1000000000))+ROW()/100000,"")</f>
        <v/>
      </c>
    </row>
    <row r="2188">
      <c r="E2188" s="11" t="n"/>
      <c r="M2188" s="7">
        <f>IF($C2188="","",L2188*U2188/100)</f>
        <v/>
      </c>
      <c r="N2188" s="7" t="n"/>
      <c r="T2188" s="7" t="n"/>
      <c r="U2188" s="7">
        <f>IF($C2188="","",S2188*T2188)</f>
        <v/>
      </c>
      <c r="X2188">
        <f>IF($C2188="","",IF($AM2188=1,0,IF($AL2188=1,Settings!$C$6,Settings!$C$7))*100)</f>
        <v/>
      </c>
      <c r="AB2188" s="7" t="n"/>
      <c r="AE2188" s="11" t="n"/>
      <c r="AG2188" s="7">
        <f>IF($C2188="","",U2188*X2188/100)</f>
        <v/>
      </c>
      <c r="AH2188" s="7">
        <f>IF($C2188="","",U2188-AG2188)</f>
        <v/>
      </c>
      <c r="AI2188" s="7">
        <f>IF($C2188="","",AH2188-M2188)</f>
        <v/>
      </c>
      <c r="AJ2188">
        <f>IF($C2188="","",IF(COUNTIF($C$2:$C2188,$C2188)=1,1,0))</f>
        <v/>
      </c>
      <c r="AK2188">
        <f>IF($AJ2188=1,SUMPRODUCT(--($AN$2:$AN$4001&lt;$AN2188))+1,"")</f>
        <v/>
      </c>
      <c r="AL2188">
        <f>IF($C2188="","",IF(OR($Q2188=TRUE(),$Q2188="TRUE"),1,0))</f>
        <v/>
      </c>
      <c r="AM2188">
        <f>IF($C2188="","",IF($W2188="Yes",1,0))</f>
        <v/>
      </c>
      <c r="AN2188">
        <f>IF($AJ2188=1,IFERROR(IF(VALUE($C2188)&lt;100000000,VALUE($C2188),1000000000),IFERROR(IF(VALUE(MID($C2188,2,20))&lt;100000000,VALUE(MID($C2188,2,20)),1000000000),1000000000))+ROW()/100000,"")</f>
        <v/>
      </c>
    </row>
    <row r="2189">
      <c r="E2189" s="11" t="n"/>
      <c r="M2189" s="7">
        <f>IF($C2189="","",L2189*U2189/100)</f>
        <v/>
      </c>
      <c r="N2189" s="7" t="n"/>
      <c r="T2189" s="7" t="n"/>
      <c r="U2189" s="7">
        <f>IF($C2189="","",S2189*T2189)</f>
        <v/>
      </c>
      <c r="X2189">
        <f>IF($C2189="","",IF($AM2189=1,0,IF($AL2189=1,Settings!$C$6,Settings!$C$7))*100)</f>
        <v/>
      </c>
      <c r="AB2189" s="7" t="n"/>
      <c r="AE2189" s="11" t="n"/>
      <c r="AG2189" s="7">
        <f>IF($C2189="","",U2189*X2189/100)</f>
        <v/>
      </c>
      <c r="AH2189" s="7">
        <f>IF($C2189="","",U2189-AG2189)</f>
        <v/>
      </c>
      <c r="AI2189" s="7">
        <f>IF($C2189="","",AH2189-M2189)</f>
        <v/>
      </c>
      <c r="AJ2189">
        <f>IF($C2189="","",IF(COUNTIF($C$2:$C2189,$C2189)=1,1,0))</f>
        <v/>
      </c>
      <c r="AK2189">
        <f>IF($AJ2189=1,SUMPRODUCT(--($AN$2:$AN$4001&lt;$AN2189))+1,"")</f>
        <v/>
      </c>
      <c r="AL2189">
        <f>IF($C2189="","",IF(OR($Q2189=TRUE(),$Q2189="TRUE"),1,0))</f>
        <v/>
      </c>
      <c r="AM2189">
        <f>IF($C2189="","",IF($W2189="Yes",1,0))</f>
        <v/>
      </c>
      <c r="AN2189">
        <f>IF($AJ2189=1,IFERROR(IF(VALUE($C2189)&lt;100000000,VALUE($C2189),1000000000),IFERROR(IF(VALUE(MID($C2189,2,20))&lt;100000000,VALUE(MID($C2189,2,20)),1000000000),1000000000))+ROW()/100000,"")</f>
        <v/>
      </c>
    </row>
    <row r="2190">
      <c r="E2190" s="11" t="n"/>
      <c r="M2190" s="7">
        <f>IF($C2190="","",L2190*U2190/100)</f>
        <v/>
      </c>
      <c r="N2190" s="7" t="n"/>
      <c r="T2190" s="7" t="n"/>
      <c r="U2190" s="7">
        <f>IF($C2190="","",S2190*T2190)</f>
        <v/>
      </c>
      <c r="X2190">
        <f>IF($C2190="","",IF($AM2190=1,0,IF($AL2190=1,Settings!$C$6,Settings!$C$7))*100)</f>
        <v/>
      </c>
      <c r="AB2190" s="7" t="n"/>
      <c r="AE2190" s="11" t="n"/>
      <c r="AG2190" s="7">
        <f>IF($C2190="","",U2190*X2190/100)</f>
        <v/>
      </c>
      <c r="AH2190" s="7">
        <f>IF($C2190="","",U2190-AG2190)</f>
        <v/>
      </c>
      <c r="AI2190" s="7">
        <f>IF($C2190="","",AH2190-M2190)</f>
        <v/>
      </c>
      <c r="AJ2190">
        <f>IF($C2190="","",IF(COUNTIF($C$2:$C2190,$C2190)=1,1,0))</f>
        <v/>
      </c>
      <c r="AK2190">
        <f>IF($AJ2190=1,SUMPRODUCT(--($AN$2:$AN$4001&lt;$AN2190))+1,"")</f>
        <v/>
      </c>
      <c r="AL2190">
        <f>IF($C2190="","",IF(OR($Q2190=TRUE(),$Q2190="TRUE"),1,0))</f>
        <v/>
      </c>
      <c r="AM2190">
        <f>IF($C2190="","",IF($W2190="Yes",1,0))</f>
        <v/>
      </c>
      <c r="AN2190">
        <f>IF($AJ2190=1,IFERROR(IF(VALUE($C2190)&lt;100000000,VALUE($C2190),1000000000),IFERROR(IF(VALUE(MID($C2190,2,20))&lt;100000000,VALUE(MID($C2190,2,20)),1000000000),1000000000))+ROW()/100000,"")</f>
        <v/>
      </c>
    </row>
    <row r="2191">
      <c r="E2191" s="11" t="n"/>
      <c r="M2191" s="7">
        <f>IF($C2191="","",L2191*U2191/100)</f>
        <v/>
      </c>
      <c r="N2191" s="7" t="n"/>
      <c r="T2191" s="7" t="n"/>
      <c r="U2191" s="7">
        <f>IF($C2191="","",S2191*T2191)</f>
        <v/>
      </c>
      <c r="X2191">
        <f>IF($C2191="","",IF($AM2191=1,0,IF($AL2191=1,Settings!$C$6,Settings!$C$7))*100)</f>
        <v/>
      </c>
      <c r="AB2191" s="7" t="n"/>
      <c r="AE2191" s="11" t="n"/>
      <c r="AG2191" s="7">
        <f>IF($C2191="","",U2191*X2191/100)</f>
        <v/>
      </c>
      <c r="AH2191" s="7">
        <f>IF($C2191="","",U2191-AG2191)</f>
        <v/>
      </c>
      <c r="AI2191" s="7">
        <f>IF($C2191="","",AH2191-M2191)</f>
        <v/>
      </c>
      <c r="AJ2191">
        <f>IF($C2191="","",IF(COUNTIF($C$2:$C2191,$C2191)=1,1,0))</f>
        <v/>
      </c>
      <c r="AK2191">
        <f>IF($AJ2191=1,SUMPRODUCT(--($AN$2:$AN$4001&lt;$AN2191))+1,"")</f>
        <v/>
      </c>
      <c r="AL2191">
        <f>IF($C2191="","",IF(OR($Q2191=TRUE(),$Q2191="TRUE"),1,0))</f>
        <v/>
      </c>
      <c r="AM2191">
        <f>IF($C2191="","",IF($W2191="Yes",1,0))</f>
        <v/>
      </c>
      <c r="AN2191">
        <f>IF($AJ2191=1,IFERROR(IF(VALUE($C2191)&lt;100000000,VALUE($C2191),1000000000),IFERROR(IF(VALUE(MID($C2191,2,20))&lt;100000000,VALUE(MID($C2191,2,20)),1000000000),1000000000))+ROW()/100000,"")</f>
        <v/>
      </c>
    </row>
    <row r="2192">
      <c r="E2192" s="11" t="n"/>
      <c r="M2192" s="7">
        <f>IF($C2192="","",L2192*U2192/100)</f>
        <v/>
      </c>
      <c r="N2192" s="7" t="n"/>
      <c r="T2192" s="7" t="n"/>
      <c r="U2192" s="7">
        <f>IF($C2192="","",S2192*T2192)</f>
        <v/>
      </c>
      <c r="X2192">
        <f>IF($C2192="","",IF($AM2192=1,0,IF($AL2192=1,Settings!$C$6,Settings!$C$7))*100)</f>
        <v/>
      </c>
      <c r="AB2192" s="7" t="n"/>
      <c r="AE2192" s="11" t="n"/>
      <c r="AG2192" s="7">
        <f>IF($C2192="","",U2192*X2192/100)</f>
        <v/>
      </c>
      <c r="AH2192" s="7">
        <f>IF($C2192="","",U2192-AG2192)</f>
        <v/>
      </c>
      <c r="AI2192" s="7">
        <f>IF($C2192="","",AH2192-M2192)</f>
        <v/>
      </c>
      <c r="AJ2192">
        <f>IF($C2192="","",IF(COUNTIF($C$2:$C2192,$C2192)=1,1,0))</f>
        <v/>
      </c>
      <c r="AK2192">
        <f>IF($AJ2192=1,SUMPRODUCT(--($AN$2:$AN$4001&lt;$AN2192))+1,"")</f>
        <v/>
      </c>
      <c r="AL2192">
        <f>IF($C2192="","",IF(OR($Q2192=TRUE(),$Q2192="TRUE"),1,0))</f>
        <v/>
      </c>
      <c r="AM2192">
        <f>IF($C2192="","",IF($W2192="Yes",1,0))</f>
        <v/>
      </c>
      <c r="AN2192">
        <f>IF($AJ2192=1,IFERROR(IF(VALUE($C2192)&lt;100000000,VALUE($C2192),1000000000),IFERROR(IF(VALUE(MID($C2192,2,20))&lt;100000000,VALUE(MID($C2192,2,20)),1000000000),1000000000))+ROW()/100000,"")</f>
        <v/>
      </c>
    </row>
    <row r="2193">
      <c r="E2193" s="11" t="n"/>
      <c r="M2193" s="7">
        <f>IF($C2193="","",L2193*U2193/100)</f>
        <v/>
      </c>
      <c r="N2193" s="7" t="n"/>
      <c r="T2193" s="7" t="n"/>
      <c r="U2193" s="7">
        <f>IF($C2193="","",S2193*T2193)</f>
        <v/>
      </c>
      <c r="X2193">
        <f>IF($C2193="","",IF($AM2193=1,0,IF($AL2193=1,Settings!$C$6,Settings!$C$7))*100)</f>
        <v/>
      </c>
      <c r="AB2193" s="7" t="n"/>
      <c r="AE2193" s="11" t="n"/>
      <c r="AG2193" s="7">
        <f>IF($C2193="","",U2193*X2193/100)</f>
        <v/>
      </c>
      <c r="AH2193" s="7">
        <f>IF($C2193="","",U2193-AG2193)</f>
        <v/>
      </c>
      <c r="AI2193" s="7">
        <f>IF($C2193="","",AH2193-M2193)</f>
        <v/>
      </c>
      <c r="AJ2193">
        <f>IF($C2193="","",IF(COUNTIF($C$2:$C2193,$C2193)=1,1,0))</f>
        <v/>
      </c>
      <c r="AK2193">
        <f>IF($AJ2193=1,SUMPRODUCT(--($AN$2:$AN$4001&lt;$AN2193))+1,"")</f>
        <v/>
      </c>
      <c r="AL2193">
        <f>IF($C2193="","",IF(OR($Q2193=TRUE(),$Q2193="TRUE"),1,0))</f>
        <v/>
      </c>
      <c r="AM2193">
        <f>IF($C2193="","",IF($W2193="Yes",1,0))</f>
        <v/>
      </c>
      <c r="AN2193">
        <f>IF($AJ2193=1,IFERROR(IF(VALUE($C2193)&lt;100000000,VALUE($C2193),1000000000),IFERROR(IF(VALUE(MID($C2193,2,20))&lt;100000000,VALUE(MID($C2193,2,20)),1000000000),1000000000))+ROW()/100000,"")</f>
        <v/>
      </c>
    </row>
    <row r="2194">
      <c r="E2194" s="11" t="n"/>
      <c r="M2194" s="7">
        <f>IF($C2194="","",L2194*U2194/100)</f>
        <v/>
      </c>
      <c r="N2194" s="7" t="n"/>
      <c r="T2194" s="7" t="n"/>
      <c r="U2194" s="7">
        <f>IF($C2194="","",S2194*T2194)</f>
        <v/>
      </c>
      <c r="X2194">
        <f>IF($C2194="","",IF($AM2194=1,0,IF($AL2194=1,Settings!$C$6,Settings!$C$7))*100)</f>
        <v/>
      </c>
      <c r="AB2194" s="7" t="n"/>
      <c r="AE2194" s="11" t="n"/>
      <c r="AG2194" s="7">
        <f>IF($C2194="","",U2194*X2194/100)</f>
        <v/>
      </c>
      <c r="AH2194" s="7">
        <f>IF($C2194="","",U2194-AG2194)</f>
        <v/>
      </c>
      <c r="AI2194" s="7">
        <f>IF($C2194="","",AH2194-M2194)</f>
        <v/>
      </c>
      <c r="AJ2194">
        <f>IF($C2194="","",IF(COUNTIF($C$2:$C2194,$C2194)=1,1,0))</f>
        <v/>
      </c>
      <c r="AK2194">
        <f>IF($AJ2194=1,SUMPRODUCT(--($AN$2:$AN$4001&lt;$AN2194))+1,"")</f>
        <v/>
      </c>
      <c r="AL2194">
        <f>IF($C2194="","",IF(OR($Q2194=TRUE(),$Q2194="TRUE"),1,0))</f>
        <v/>
      </c>
      <c r="AM2194">
        <f>IF($C2194="","",IF($W2194="Yes",1,0))</f>
        <v/>
      </c>
      <c r="AN2194">
        <f>IF($AJ2194=1,IFERROR(IF(VALUE($C2194)&lt;100000000,VALUE($C2194),1000000000),IFERROR(IF(VALUE(MID($C2194,2,20))&lt;100000000,VALUE(MID($C2194,2,20)),1000000000),1000000000))+ROW()/100000,"")</f>
        <v/>
      </c>
    </row>
    <row r="2195">
      <c r="E2195" s="11" t="n"/>
      <c r="M2195" s="7">
        <f>IF($C2195="","",L2195*U2195/100)</f>
        <v/>
      </c>
      <c r="N2195" s="7" t="n"/>
      <c r="T2195" s="7" t="n"/>
      <c r="U2195" s="7">
        <f>IF($C2195="","",S2195*T2195)</f>
        <v/>
      </c>
      <c r="X2195">
        <f>IF($C2195="","",IF($AM2195=1,0,IF($AL2195=1,Settings!$C$6,Settings!$C$7))*100)</f>
        <v/>
      </c>
      <c r="AB2195" s="7" t="n"/>
      <c r="AE2195" s="11" t="n"/>
      <c r="AG2195" s="7">
        <f>IF($C2195="","",U2195*X2195/100)</f>
        <v/>
      </c>
      <c r="AH2195" s="7">
        <f>IF($C2195="","",U2195-AG2195)</f>
        <v/>
      </c>
      <c r="AI2195" s="7">
        <f>IF($C2195="","",AH2195-M2195)</f>
        <v/>
      </c>
      <c r="AJ2195">
        <f>IF($C2195="","",IF(COUNTIF($C$2:$C2195,$C2195)=1,1,0))</f>
        <v/>
      </c>
      <c r="AK2195">
        <f>IF($AJ2195=1,SUMPRODUCT(--($AN$2:$AN$4001&lt;$AN2195))+1,"")</f>
        <v/>
      </c>
      <c r="AL2195">
        <f>IF($C2195="","",IF(OR($Q2195=TRUE(),$Q2195="TRUE"),1,0))</f>
        <v/>
      </c>
      <c r="AM2195">
        <f>IF($C2195="","",IF($W2195="Yes",1,0))</f>
        <v/>
      </c>
      <c r="AN2195">
        <f>IF($AJ2195=1,IFERROR(IF(VALUE($C2195)&lt;100000000,VALUE($C2195),1000000000),IFERROR(IF(VALUE(MID($C2195,2,20))&lt;100000000,VALUE(MID($C2195,2,20)),1000000000),1000000000))+ROW()/100000,"")</f>
        <v/>
      </c>
    </row>
    <row r="2196">
      <c r="E2196" s="11" t="n"/>
      <c r="M2196" s="7">
        <f>IF($C2196="","",L2196*U2196/100)</f>
        <v/>
      </c>
      <c r="N2196" s="7" t="n"/>
      <c r="T2196" s="7" t="n"/>
      <c r="U2196" s="7">
        <f>IF($C2196="","",S2196*T2196)</f>
        <v/>
      </c>
      <c r="X2196">
        <f>IF($C2196="","",IF($AM2196=1,0,IF($AL2196=1,Settings!$C$6,Settings!$C$7))*100)</f>
        <v/>
      </c>
      <c r="AB2196" s="7" t="n"/>
      <c r="AE2196" s="11" t="n"/>
      <c r="AG2196" s="7">
        <f>IF($C2196="","",U2196*X2196/100)</f>
        <v/>
      </c>
      <c r="AH2196" s="7">
        <f>IF($C2196="","",U2196-AG2196)</f>
        <v/>
      </c>
      <c r="AI2196" s="7">
        <f>IF($C2196="","",AH2196-M2196)</f>
        <v/>
      </c>
      <c r="AJ2196">
        <f>IF($C2196="","",IF(COUNTIF($C$2:$C2196,$C2196)=1,1,0))</f>
        <v/>
      </c>
      <c r="AK2196">
        <f>IF($AJ2196=1,SUMPRODUCT(--($AN$2:$AN$4001&lt;$AN2196))+1,"")</f>
        <v/>
      </c>
      <c r="AL2196">
        <f>IF($C2196="","",IF(OR($Q2196=TRUE(),$Q2196="TRUE"),1,0))</f>
        <v/>
      </c>
      <c r="AM2196">
        <f>IF($C2196="","",IF($W2196="Yes",1,0))</f>
        <v/>
      </c>
      <c r="AN2196">
        <f>IF($AJ2196=1,IFERROR(IF(VALUE($C2196)&lt;100000000,VALUE($C2196),1000000000),IFERROR(IF(VALUE(MID($C2196,2,20))&lt;100000000,VALUE(MID($C2196,2,20)),1000000000),1000000000))+ROW()/100000,"")</f>
        <v/>
      </c>
    </row>
    <row r="2197">
      <c r="E2197" s="11" t="n"/>
      <c r="M2197" s="7">
        <f>IF($C2197="","",L2197*U2197/100)</f>
        <v/>
      </c>
      <c r="N2197" s="7" t="n"/>
      <c r="T2197" s="7" t="n"/>
      <c r="U2197" s="7">
        <f>IF($C2197="","",S2197*T2197)</f>
        <v/>
      </c>
      <c r="X2197">
        <f>IF($C2197="","",IF($AM2197=1,0,IF($AL2197=1,Settings!$C$6,Settings!$C$7))*100)</f>
        <v/>
      </c>
      <c r="AB2197" s="7" t="n"/>
      <c r="AE2197" s="11" t="n"/>
      <c r="AG2197" s="7">
        <f>IF($C2197="","",U2197*X2197/100)</f>
        <v/>
      </c>
      <c r="AH2197" s="7">
        <f>IF($C2197="","",U2197-AG2197)</f>
        <v/>
      </c>
      <c r="AI2197" s="7">
        <f>IF($C2197="","",AH2197-M2197)</f>
        <v/>
      </c>
      <c r="AJ2197">
        <f>IF($C2197="","",IF(COUNTIF($C$2:$C2197,$C2197)=1,1,0))</f>
        <v/>
      </c>
      <c r="AK2197">
        <f>IF($AJ2197=1,SUMPRODUCT(--($AN$2:$AN$4001&lt;$AN2197))+1,"")</f>
        <v/>
      </c>
      <c r="AL2197">
        <f>IF($C2197="","",IF(OR($Q2197=TRUE(),$Q2197="TRUE"),1,0))</f>
        <v/>
      </c>
      <c r="AM2197">
        <f>IF($C2197="","",IF($W2197="Yes",1,0))</f>
        <v/>
      </c>
      <c r="AN2197">
        <f>IF($AJ2197=1,IFERROR(IF(VALUE($C2197)&lt;100000000,VALUE($C2197),1000000000),IFERROR(IF(VALUE(MID($C2197,2,20))&lt;100000000,VALUE(MID($C2197,2,20)),1000000000),1000000000))+ROW()/100000,"")</f>
        <v/>
      </c>
    </row>
    <row r="2198">
      <c r="E2198" s="11" t="n"/>
      <c r="M2198" s="7">
        <f>IF($C2198="","",L2198*U2198/100)</f>
        <v/>
      </c>
      <c r="N2198" s="7" t="n"/>
      <c r="T2198" s="7" t="n"/>
      <c r="U2198" s="7">
        <f>IF($C2198="","",S2198*T2198)</f>
        <v/>
      </c>
      <c r="X2198">
        <f>IF($C2198="","",IF($AM2198=1,0,IF($AL2198=1,Settings!$C$6,Settings!$C$7))*100)</f>
        <v/>
      </c>
      <c r="AB2198" s="7" t="n"/>
      <c r="AE2198" s="11" t="n"/>
      <c r="AG2198" s="7">
        <f>IF($C2198="","",U2198*X2198/100)</f>
        <v/>
      </c>
      <c r="AH2198" s="7">
        <f>IF($C2198="","",U2198-AG2198)</f>
        <v/>
      </c>
      <c r="AI2198" s="7">
        <f>IF($C2198="","",AH2198-M2198)</f>
        <v/>
      </c>
      <c r="AJ2198">
        <f>IF($C2198="","",IF(COUNTIF($C$2:$C2198,$C2198)=1,1,0))</f>
        <v/>
      </c>
      <c r="AK2198">
        <f>IF($AJ2198=1,SUMPRODUCT(--($AN$2:$AN$4001&lt;$AN2198))+1,"")</f>
        <v/>
      </c>
      <c r="AL2198">
        <f>IF($C2198="","",IF(OR($Q2198=TRUE(),$Q2198="TRUE"),1,0))</f>
        <v/>
      </c>
      <c r="AM2198">
        <f>IF($C2198="","",IF($W2198="Yes",1,0))</f>
        <v/>
      </c>
      <c r="AN2198">
        <f>IF($AJ2198=1,IFERROR(IF(VALUE($C2198)&lt;100000000,VALUE($C2198),1000000000),IFERROR(IF(VALUE(MID($C2198,2,20))&lt;100000000,VALUE(MID($C2198,2,20)),1000000000),1000000000))+ROW()/100000,"")</f>
        <v/>
      </c>
    </row>
    <row r="2199">
      <c r="E2199" s="11" t="n"/>
      <c r="M2199" s="7">
        <f>IF($C2199="","",L2199*U2199/100)</f>
        <v/>
      </c>
      <c r="N2199" s="7" t="n"/>
      <c r="T2199" s="7" t="n"/>
      <c r="U2199" s="7">
        <f>IF($C2199="","",S2199*T2199)</f>
        <v/>
      </c>
      <c r="X2199">
        <f>IF($C2199="","",IF($AM2199=1,0,IF($AL2199=1,Settings!$C$6,Settings!$C$7))*100)</f>
        <v/>
      </c>
      <c r="AB2199" s="7" t="n"/>
      <c r="AE2199" s="11" t="n"/>
      <c r="AG2199" s="7">
        <f>IF($C2199="","",U2199*X2199/100)</f>
        <v/>
      </c>
      <c r="AH2199" s="7">
        <f>IF($C2199="","",U2199-AG2199)</f>
        <v/>
      </c>
      <c r="AI2199" s="7">
        <f>IF($C2199="","",AH2199-M2199)</f>
        <v/>
      </c>
      <c r="AJ2199">
        <f>IF($C2199="","",IF(COUNTIF($C$2:$C2199,$C2199)=1,1,0))</f>
        <v/>
      </c>
      <c r="AK2199">
        <f>IF($AJ2199=1,SUMPRODUCT(--($AN$2:$AN$4001&lt;$AN2199))+1,"")</f>
        <v/>
      </c>
      <c r="AL2199">
        <f>IF($C2199="","",IF(OR($Q2199=TRUE(),$Q2199="TRUE"),1,0))</f>
        <v/>
      </c>
      <c r="AM2199">
        <f>IF($C2199="","",IF($W2199="Yes",1,0))</f>
        <v/>
      </c>
      <c r="AN2199">
        <f>IF($AJ2199=1,IFERROR(IF(VALUE($C2199)&lt;100000000,VALUE($C2199),1000000000),IFERROR(IF(VALUE(MID($C2199,2,20))&lt;100000000,VALUE(MID($C2199,2,20)),1000000000),1000000000))+ROW()/100000,"")</f>
        <v/>
      </c>
    </row>
    <row r="2200">
      <c r="E2200" s="11" t="n"/>
      <c r="M2200" s="7">
        <f>IF($C2200="","",L2200*U2200/100)</f>
        <v/>
      </c>
      <c r="N2200" s="7" t="n"/>
      <c r="T2200" s="7" t="n"/>
      <c r="U2200" s="7">
        <f>IF($C2200="","",S2200*T2200)</f>
        <v/>
      </c>
      <c r="X2200">
        <f>IF($C2200="","",IF($AM2200=1,0,IF($AL2200=1,Settings!$C$6,Settings!$C$7))*100)</f>
        <v/>
      </c>
      <c r="AB2200" s="7" t="n"/>
      <c r="AE2200" s="11" t="n"/>
      <c r="AG2200" s="7">
        <f>IF($C2200="","",U2200*X2200/100)</f>
        <v/>
      </c>
      <c r="AH2200" s="7">
        <f>IF($C2200="","",U2200-AG2200)</f>
        <v/>
      </c>
      <c r="AI2200" s="7">
        <f>IF($C2200="","",AH2200-M2200)</f>
        <v/>
      </c>
      <c r="AJ2200">
        <f>IF($C2200="","",IF(COUNTIF($C$2:$C2200,$C2200)=1,1,0))</f>
        <v/>
      </c>
      <c r="AK2200">
        <f>IF($AJ2200=1,SUMPRODUCT(--($AN$2:$AN$4001&lt;$AN2200))+1,"")</f>
        <v/>
      </c>
      <c r="AL2200">
        <f>IF($C2200="","",IF(OR($Q2200=TRUE(),$Q2200="TRUE"),1,0))</f>
        <v/>
      </c>
      <c r="AM2200">
        <f>IF($C2200="","",IF($W2200="Yes",1,0))</f>
        <v/>
      </c>
      <c r="AN2200">
        <f>IF($AJ2200=1,IFERROR(IF(VALUE($C2200)&lt;100000000,VALUE($C2200),1000000000),IFERROR(IF(VALUE(MID($C2200,2,20))&lt;100000000,VALUE(MID($C2200,2,20)),1000000000),1000000000))+ROW()/100000,"")</f>
        <v/>
      </c>
    </row>
    <row r="2201">
      <c r="E2201" s="11" t="n"/>
      <c r="M2201" s="7">
        <f>IF($C2201="","",L2201*U2201/100)</f>
        <v/>
      </c>
      <c r="N2201" s="7" t="n"/>
      <c r="T2201" s="7" t="n"/>
      <c r="U2201" s="7">
        <f>IF($C2201="","",S2201*T2201)</f>
        <v/>
      </c>
      <c r="X2201">
        <f>IF($C2201="","",IF($AM2201=1,0,IF($AL2201=1,Settings!$C$6,Settings!$C$7))*100)</f>
        <v/>
      </c>
      <c r="AB2201" s="7" t="n"/>
      <c r="AE2201" s="11" t="n"/>
      <c r="AG2201" s="7">
        <f>IF($C2201="","",U2201*X2201/100)</f>
        <v/>
      </c>
      <c r="AH2201" s="7">
        <f>IF($C2201="","",U2201-AG2201)</f>
        <v/>
      </c>
      <c r="AI2201" s="7">
        <f>IF($C2201="","",AH2201-M2201)</f>
        <v/>
      </c>
      <c r="AJ2201">
        <f>IF($C2201="","",IF(COUNTIF($C$2:$C2201,$C2201)=1,1,0))</f>
        <v/>
      </c>
      <c r="AK2201">
        <f>IF($AJ2201=1,SUMPRODUCT(--($AN$2:$AN$4001&lt;$AN2201))+1,"")</f>
        <v/>
      </c>
      <c r="AL2201">
        <f>IF($C2201="","",IF(OR($Q2201=TRUE(),$Q2201="TRUE"),1,0))</f>
        <v/>
      </c>
      <c r="AM2201">
        <f>IF($C2201="","",IF($W2201="Yes",1,0))</f>
        <v/>
      </c>
      <c r="AN2201">
        <f>IF($AJ2201=1,IFERROR(IF(VALUE($C2201)&lt;100000000,VALUE($C2201),1000000000),IFERROR(IF(VALUE(MID($C2201,2,20))&lt;100000000,VALUE(MID($C2201,2,20)),1000000000),1000000000))+ROW()/100000,"")</f>
        <v/>
      </c>
    </row>
    <row r="2202">
      <c r="E2202" s="11" t="n"/>
      <c r="M2202" s="7">
        <f>IF($C2202="","",L2202*U2202/100)</f>
        <v/>
      </c>
      <c r="N2202" s="7" t="n"/>
      <c r="T2202" s="7" t="n"/>
      <c r="U2202" s="7">
        <f>IF($C2202="","",S2202*T2202)</f>
        <v/>
      </c>
      <c r="X2202">
        <f>IF($C2202="","",IF($AM2202=1,0,IF($AL2202=1,Settings!$C$6,Settings!$C$7))*100)</f>
        <v/>
      </c>
      <c r="AB2202" s="7" t="n"/>
      <c r="AE2202" s="11" t="n"/>
      <c r="AG2202" s="7">
        <f>IF($C2202="","",U2202*X2202/100)</f>
        <v/>
      </c>
      <c r="AH2202" s="7">
        <f>IF($C2202="","",U2202-AG2202)</f>
        <v/>
      </c>
      <c r="AI2202" s="7">
        <f>IF($C2202="","",AH2202-M2202)</f>
        <v/>
      </c>
      <c r="AJ2202">
        <f>IF($C2202="","",IF(COUNTIF($C$2:$C2202,$C2202)=1,1,0))</f>
        <v/>
      </c>
      <c r="AK2202">
        <f>IF($AJ2202=1,SUMPRODUCT(--($AN$2:$AN$4001&lt;$AN2202))+1,"")</f>
        <v/>
      </c>
      <c r="AL2202">
        <f>IF($C2202="","",IF(OR($Q2202=TRUE(),$Q2202="TRUE"),1,0))</f>
        <v/>
      </c>
      <c r="AM2202">
        <f>IF($C2202="","",IF($W2202="Yes",1,0))</f>
        <v/>
      </c>
      <c r="AN2202">
        <f>IF($AJ2202=1,IFERROR(IF(VALUE($C2202)&lt;100000000,VALUE($C2202),1000000000),IFERROR(IF(VALUE(MID($C2202,2,20))&lt;100000000,VALUE(MID($C2202,2,20)),1000000000),1000000000))+ROW()/100000,"")</f>
        <v/>
      </c>
    </row>
    <row r="2203">
      <c r="E2203" s="11" t="n"/>
      <c r="M2203" s="7">
        <f>IF($C2203="","",L2203*U2203/100)</f>
        <v/>
      </c>
      <c r="N2203" s="7" t="n"/>
      <c r="T2203" s="7" t="n"/>
      <c r="U2203" s="7">
        <f>IF($C2203="","",S2203*T2203)</f>
        <v/>
      </c>
      <c r="X2203">
        <f>IF($C2203="","",IF($AM2203=1,0,IF($AL2203=1,Settings!$C$6,Settings!$C$7))*100)</f>
        <v/>
      </c>
      <c r="AB2203" s="7" t="n"/>
      <c r="AE2203" s="11" t="n"/>
      <c r="AG2203" s="7">
        <f>IF($C2203="","",U2203*X2203/100)</f>
        <v/>
      </c>
      <c r="AH2203" s="7">
        <f>IF($C2203="","",U2203-AG2203)</f>
        <v/>
      </c>
      <c r="AI2203" s="7">
        <f>IF($C2203="","",AH2203-M2203)</f>
        <v/>
      </c>
      <c r="AJ2203">
        <f>IF($C2203="","",IF(COUNTIF($C$2:$C2203,$C2203)=1,1,0))</f>
        <v/>
      </c>
      <c r="AK2203">
        <f>IF($AJ2203=1,SUMPRODUCT(--($AN$2:$AN$4001&lt;$AN2203))+1,"")</f>
        <v/>
      </c>
      <c r="AL2203">
        <f>IF($C2203="","",IF(OR($Q2203=TRUE(),$Q2203="TRUE"),1,0))</f>
        <v/>
      </c>
      <c r="AM2203">
        <f>IF($C2203="","",IF($W2203="Yes",1,0))</f>
        <v/>
      </c>
      <c r="AN2203">
        <f>IF($AJ2203=1,IFERROR(IF(VALUE($C2203)&lt;100000000,VALUE($C2203),1000000000),IFERROR(IF(VALUE(MID($C2203,2,20))&lt;100000000,VALUE(MID($C2203,2,20)),1000000000),1000000000))+ROW()/100000,"")</f>
        <v/>
      </c>
    </row>
    <row r="2204">
      <c r="E2204" s="11" t="n"/>
      <c r="M2204" s="7">
        <f>IF($C2204="","",L2204*U2204/100)</f>
        <v/>
      </c>
      <c r="N2204" s="7" t="n"/>
      <c r="T2204" s="7" t="n"/>
      <c r="U2204" s="7">
        <f>IF($C2204="","",S2204*T2204)</f>
        <v/>
      </c>
      <c r="X2204">
        <f>IF($C2204="","",IF($AM2204=1,0,IF($AL2204=1,Settings!$C$6,Settings!$C$7))*100)</f>
        <v/>
      </c>
      <c r="AB2204" s="7" t="n"/>
      <c r="AE2204" s="11" t="n"/>
      <c r="AG2204" s="7">
        <f>IF($C2204="","",U2204*X2204/100)</f>
        <v/>
      </c>
      <c r="AH2204" s="7">
        <f>IF($C2204="","",U2204-AG2204)</f>
        <v/>
      </c>
      <c r="AI2204" s="7">
        <f>IF($C2204="","",AH2204-M2204)</f>
        <v/>
      </c>
      <c r="AJ2204">
        <f>IF($C2204="","",IF(COUNTIF($C$2:$C2204,$C2204)=1,1,0))</f>
        <v/>
      </c>
      <c r="AK2204">
        <f>IF($AJ2204=1,SUMPRODUCT(--($AN$2:$AN$4001&lt;$AN2204))+1,"")</f>
        <v/>
      </c>
      <c r="AL2204">
        <f>IF($C2204="","",IF(OR($Q2204=TRUE(),$Q2204="TRUE"),1,0))</f>
        <v/>
      </c>
      <c r="AM2204">
        <f>IF($C2204="","",IF($W2204="Yes",1,0))</f>
        <v/>
      </c>
      <c r="AN2204">
        <f>IF($AJ2204=1,IFERROR(IF(VALUE($C2204)&lt;100000000,VALUE($C2204),1000000000),IFERROR(IF(VALUE(MID($C2204,2,20))&lt;100000000,VALUE(MID($C2204,2,20)),1000000000),1000000000))+ROW()/100000,"")</f>
        <v/>
      </c>
    </row>
    <row r="2205">
      <c r="E2205" s="11" t="n"/>
      <c r="M2205" s="7">
        <f>IF($C2205="","",L2205*U2205/100)</f>
        <v/>
      </c>
      <c r="N2205" s="7" t="n"/>
      <c r="T2205" s="7" t="n"/>
      <c r="U2205" s="7">
        <f>IF($C2205="","",S2205*T2205)</f>
        <v/>
      </c>
      <c r="X2205">
        <f>IF($C2205="","",IF($AM2205=1,0,IF($AL2205=1,Settings!$C$6,Settings!$C$7))*100)</f>
        <v/>
      </c>
      <c r="AB2205" s="7" t="n"/>
      <c r="AE2205" s="11" t="n"/>
      <c r="AG2205" s="7">
        <f>IF($C2205="","",U2205*X2205/100)</f>
        <v/>
      </c>
      <c r="AH2205" s="7">
        <f>IF($C2205="","",U2205-AG2205)</f>
        <v/>
      </c>
      <c r="AI2205" s="7">
        <f>IF($C2205="","",AH2205-M2205)</f>
        <v/>
      </c>
      <c r="AJ2205">
        <f>IF($C2205="","",IF(COUNTIF($C$2:$C2205,$C2205)=1,1,0))</f>
        <v/>
      </c>
      <c r="AK2205">
        <f>IF($AJ2205=1,SUMPRODUCT(--($AN$2:$AN$4001&lt;$AN2205))+1,"")</f>
        <v/>
      </c>
      <c r="AL2205">
        <f>IF($C2205="","",IF(OR($Q2205=TRUE(),$Q2205="TRUE"),1,0))</f>
        <v/>
      </c>
      <c r="AM2205">
        <f>IF($C2205="","",IF($W2205="Yes",1,0))</f>
        <v/>
      </c>
      <c r="AN2205">
        <f>IF($AJ2205=1,IFERROR(IF(VALUE($C2205)&lt;100000000,VALUE($C2205),1000000000),IFERROR(IF(VALUE(MID($C2205,2,20))&lt;100000000,VALUE(MID($C2205,2,20)),1000000000),1000000000))+ROW()/100000,"")</f>
        <v/>
      </c>
    </row>
    <row r="2206">
      <c r="E2206" s="11" t="n"/>
      <c r="M2206" s="7">
        <f>IF($C2206="","",L2206*U2206/100)</f>
        <v/>
      </c>
      <c r="N2206" s="7" t="n"/>
      <c r="T2206" s="7" t="n"/>
      <c r="U2206" s="7">
        <f>IF($C2206="","",S2206*T2206)</f>
        <v/>
      </c>
      <c r="X2206">
        <f>IF($C2206="","",IF($AM2206=1,0,IF($AL2206=1,Settings!$C$6,Settings!$C$7))*100)</f>
        <v/>
      </c>
      <c r="AB2206" s="7" t="n"/>
      <c r="AE2206" s="11" t="n"/>
      <c r="AG2206" s="7">
        <f>IF($C2206="","",U2206*X2206/100)</f>
        <v/>
      </c>
      <c r="AH2206" s="7">
        <f>IF($C2206="","",U2206-AG2206)</f>
        <v/>
      </c>
      <c r="AI2206" s="7">
        <f>IF($C2206="","",AH2206-M2206)</f>
        <v/>
      </c>
      <c r="AJ2206">
        <f>IF($C2206="","",IF(COUNTIF($C$2:$C2206,$C2206)=1,1,0))</f>
        <v/>
      </c>
      <c r="AK2206">
        <f>IF($AJ2206=1,SUMPRODUCT(--($AN$2:$AN$4001&lt;$AN2206))+1,"")</f>
        <v/>
      </c>
      <c r="AL2206">
        <f>IF($C2206="","",IF(OR($Q2206=TRUE(),$Q2206="TRUE"),1,0))</f>
        <v/>
      </c>
      <c r="AM2206">
        <f>IF($C2206="","",IF($W2206="Yes",1,0))</f>
        <v/>
      </c>
      <c r="AN2206">
        <f>IF($AJ2206=1,IFERROR(IF(VALUE($C2206)&lt;100000000,VALUE($C2206),1000000000),IFERROR(IF(VALUE(MID($C2206,2,20))&lt;100000000,VALUE(MID($C2206,2,20)),1000000000),1000000000))+ROW()/100000,"")</f>
        <v/>
      </c>
    </row>
    <row r="2207">
      <c r="E2207" s="11" t="n"/>
      <c r="M2207" s="7">
        <f>IF($C2207="","",L2207*U2207/100)</f>
        <v/>
      </c>
      <c r="N2207" s="7" t="n"/>
      <c r="T2207" s="7" t="n"/>
      <c r="U2207" s="7">
        <f>IF($C2207="","",S2207*T2207)</f>
        <v/>
      </c>
      <c r="X2207">
        <f>IF($C2207="","",IF($AM2207=1,0,IF($AL2207=1,Settings!$C$6,Settings!$C$7))*100)</f>
        <v/>
      </c>
      <c r="AB2207" s="7" t="n"/>
      <c r="AE2207" s="11" t="n"/>
      <c r="AG2207" s="7">
        <f>IF($C2207="","",U2207*X2207/100)</f>
        <v/>
      </c>
      <c r="AH2207" s="7">
        <f>IF($C2207="","",U2207-AG2207)</f>
        <v/>
      </c>
      <c r="AI2207" s="7">
        <f>IF($C2207="","",AH2207-M2207)</f>
        <v/>
      </c>
      <c r="AJ2207">
        <f>IF($C2207="","",IF(COUNTIF($C$2:$C2207,$C2207)=1,1,0))</f>
        <v/>
      </c>
      <c r="AK2207">
        <f>IF($AJ2207=1,SUMPRODUCT(--($AN$2:$AN$4001&lt;$AN2207))+1,"")</f>
        <v/>
      </c>
      <c r="AL2207">
        <f>IF($C2207="","",IF(OR($Q2207=TRUE(),$Q2207="TRUE"),1,0))</f>
        <v/>
      </c>
      <c r="AM2207">
        <f>IF($C2207="","",IF($W2207="Yes",1,0))</f>
        <v/>
      </c>
      <c r="AN2207">
        <f>IF($AJ2207=1,IFERROR(IF(VALUE($C2207)&lt;100000000,VALUE($C2207),1000000000),IFERROR(IF(VALUE(MID($C2207,2,20))&lt;100000000,VALUE(MID($C2207,2,20)),1000000000),1000000000))+ROW()/100000,"")</f>
        <v/>
      </c>
    </row>
    <row r="2208">
      <c r="E2208" s="11" t="n"/>
      <c r="M2208" s="7">
        <f>IF($C2208="","",L2208*U2208/100)</f>
        <v/>
      </c>
      <c r="N2208" s="7" t="n"/>
      <c r="T2208" s="7" t="n"/>
      <c r="U2208" s="7">
        <f>IF($C2208="","",S2208*T2208)</f>
        <v/>
      </c>
      <c r="X2208">
        <f>IF($C2208="","",IF($AM2208=1,0,IF($AL2208=1,Settings!$C$6,Settings!$C$7))*100)</f>
        <v/>
      </c>
      <c r="AB2208" s="7" t="n"/>
      <c r="AE2208" s="11" t="n"/>
      <c r="AG2208" s="7">
        <f>IF($C2208="","",U2208*X2208/100)</f>
        <v/>
      </c>
      <c r="AH2208" s="7">
        <f>IF($C2208="","",U2208-AG2208)</f>
        <v/>
      </c>
      <c r="AI2208" s="7">
        <f>IF($C2208="","",AH2208-M2208)</f>
        <v/>
      </c>
      <c r="AJ2208">
        <f>IF($C2208="","",IF(COUNTIF($C$2:$C2208,$C2208)=1,1,0))</f>
        <v/>
      </c>
      <c r="AK2208">
        <f>IF($AJ2208=1,SUMPRODUCT(--($AN$2:$AN$4001&lt;$AN2208))+1,"")</f>
        <v/>
      </c>
      <c r="AL2208">
        <f>IF($C2208="","",IF(OR($Q2208=TRUE(),$Q2208="TRUE"),1,0))</f>
        <v/>
      </c>
      <c r="AM2208">
        <f>IF($C2208="","",IF($W2208="Yes",1,0))</f>
        <v/>
      </c>
      <c r="AN2208">
        <f>IF($AJ2208=1,IFERROR(IF(VALUE($C2208)&lt;100000000,VALUE($C2208),1000000000),IFERROR(IF(VALUE(MID($C2208,2,20))&lt;100000000,VALUE(MID($C2208,2,20)),1000000000),1000000000))+ROW()/100000,"")</f>
        <v/>
      </c>
    </row>
    <row r="2209">
      <c r="E2209" s="11" t="n"/>
      <c r="M2209" s="7">
        <f>IF($C2209="","",L2209*U2209/100)</f>
        <v/>
      </c>
      <c r="N2209" s="7" t="n"/>
      <c r="T2209" s="7" t="n"/>
      <c r="U2209" s="7">
        <f>IF($C2209="","",S2209*T2209)</f>
        <v/>
      </c>
      <c r="X2209">
        <f>IF($C2209="","",IF($AM2209=1,0,IF($AL2209=1,Settings!$C$6,Settings!$C$7))*100)</f>
        <v/>
      </c>
      <c r="AB2209" s="7" t="n"/>
      <c r="AE2209" s="11" t="n"/>
      <c r="AG2209" s="7">
        <f>IF($C2209="","",U2209*X2209/100)</f>
        <v/>
      </c>
      <c r="AH2209" s="7">
        <f>IF($C2209="","",U2209-AG2209)</f>
        <v/>
      </c>
      <c r="AI2209" s="7">
        <f>IF($C2209="","",AH2209-M2209)</f>
        <v/>
      </c>
      <c r="AJ2209">
        <f>IF($C2209="","",IF(COUNTIF($C$2:$C2209,$C2209)=1,1,0))</f>
        <v/>
      </c>
      <c r="AK2209">
        <f>IF($AJ2209=1,SUMPRODUCT(--($AN$2:$AN$4001&lt;$AN2209))+1,"")</f>
        <v/>
      </c>
      <c r="AL2209">
        <f>IF($C2209="","",IF(OR($Q2209=TRUE(),$Q2209="TRUE"),1,0))</f>
        <v/>
      </c>
      <c r="AM2209">
        <f>IF($C2209="","",IF($W2209="Yes",1,0))</f>
        <v/>
      </c>
      <c r="AN2209">
        <f>IF($AJ2209=1,IFERROR(IF(VALUE($C2209)&lt;100000000,VALUE($C2209),1000000000),IFERROR(IF(VALUE(MID($C2209,2,20))&lt;100000000,VALUE(MID($C2209,2,20)),1000000000),1000000000))+ROW()/100000,"")</f>
        <v/>
      </c>
    </row>
    <row r="2210">
      <c r="E2210" s="11" t="n"/>
      <c r="M2210" s="7">
        <f>IF($C2210="","",L2210*U2210/100)</f>
        <v/>
      </c>
      <c r="N2210" s="7" t="n"/>
      <c r="T2210" s="7" t="n"/>
      <c r="U2210" s="7">
        <f>IF($C2210="","",S2210*T2210)</f>
        <v/>
      </c>
      <c r="X2210">
        <f>IF($C2210="","",IF($AM2210=1,0,IF($AL2210=1,Settings!$C$6,Settings!$C$7))*100)</f>
        <v/>
      </c>
      <c r="AB2210" s="7" t="n"/>
      <c r="AE2210" s="11" t="n"/>
      <c r="AG2210" s="7">
        <f>IF($C2210="","",U2210*X2210/100)</f>
        <v/>
      </c>
      <c r="AH2210" s="7">
        <f>IF($C2210="","",U2210-AG2210)</f>
        <v/>
      </c>
      <c r="AI2210" s="7">
        <f>IF($C2210="","",AH2210-M2210)</f>
        <v/>
      </c>
      <c r="AJ2210">
        <f>IF($C2210="","",IF(COUNTIF($C$2:$C2210,$C2210)=1,1,0))</f>
        <v/>
      </c>
      <c r="AK2210">
        <f>IF($AJ2210=1,SUMPRODUCT(--($AN$2:$AN$4001&lt;$AN2210))+1,"")</f>
        <v/>
      </c>
      <c r="AL2210">
        <f>IF($C2210="","",IF(OR($Q2210=TRUE(),$Q2210="TRUE"),1,0))</f>
        <v/>
      </c>
      <c r="AM2210">
        <f>IF($C2210="","",IF($W2210="Yes",1,0))</f>
        <v/>
      </c>
      <c r="AN2210">
        <f>IF($AJ2210=1,IFERROR(IF(VALUE($C2210)&lt;100000000,VALUE($C2210),1000000000),IFERROR(IF(VALUE(MID($C2210,2,20))&lt;100000000,VALUE(MID($C2210,2,20)),1000000000),1000000000))+ROW()/100000,"")</f>
        <v/>
      </c>
    </row>
    <row r="2211">
      <c r="E2211" s="11" t="n"/>
      <c r="M2211" s="7">
        <f>IF($C2211="","",L2211*U2211/100)</f>
        <v/>
      </c>
      <c r="N2211" s="7" t="n"/>
      <c r="T2211" s="7" t="n"/>
      <c r="U2211" s="7">
        <f>IF($C2211="","",S2211*T2211)</f>
        <v/>
      </c>
      <c r="X2211">
        <f>IF($C2211="","",IF($AM2211=1,0,IF($AL2211=1,Settings!$C$6,Settings!$C$7))*100)</f>
        <v/>
      </c>
      <c r="AB2211" s="7" t="n"/>
      <c r="AE2211" s="11" t="n"/>
      <c r="AG2211" s="7">
        <f>IF($C2211="","",U2211*X2211/100)</f>
        <v/>
      </c>
      <c r="AH2211" s="7">
        <f>IF($C2211="","",U2211-AG2211)</f>
        <v/>
      </c>
      <c r="AI2211" s="7">
        <f>IF($C2211="","",AH2211-M2211)</f>
        <v/>
      </c>
      <c r="AJ2211">
        <f>IF($C2211="","",IF(COUNTIF($C$2:$C2211,$C2211)=1,1,0))</f>
        <v/>
      </c>
      <c r="AK2211">
        <f>IF($AJ2211=1,SUMPRODUCT(--($AN$2:$AN$4001&lt;$AN2211))+1,"")</f>
        <v/>
      </c>
      <c r="AL2211">
        <f>IF($C2211="","",IF(OR($Q2211=TRUE(),$Q2211="TRUE"),1,0))</f>
        <v/>
      </c>
      <c r="AM2211">
        <f>IF($C2211="","",IF($W2211="Yes",1,0))</f>
        <v/>
      </c>
      <c r="AN2211">
        <f>IF($AJ2211=1,IFERROR(IF(VALUE($C2211)&lt;100000000,VALUE($C2211),1000000000),IFERROR(IF(VALUE(MID($C2211,2,20))&lt;100000000,VALUE(MID($C2211,2,20)),1000000000),1000000000))+ROW()/100000,"")</f>
        <v/>
      </c>
    </row>
    <row r="2212">
      <c r="E2212" s="11" t="n"/>
      <c r="M2212" s="7">
        <f>IF($C2212="","",L2212*U2212/100)</f>
        <v/>
      </c>
      <c r="N2212" s="7" t="n"/>
      <c r="T2212" s="7" t="n"/>
      <c r="U2212" s="7">
        <f>IF($C2212="","",S2212*T2212)</f>
        <v/>
      </c>
      <c r="X2212">
        <f>IF($C2212="","",IF($AM2212=1,0,IF($AL2212=1,Settings!$C$6,Settings!$C$7))*100)</f>
        <v/>
      </c>
      <c r="AB2212" s="7" t="n"/>
      <c r="AE2212" s="11" t="n"/>
      <c r="AG2212" s="7">
        <f>IF($C2212="","",U2212*X2212/100)</f>
        <v/>
      </c>
      <c r="AH2212" s="7">
        <f>IF($C2212="","",U2212-AG2212)</f>
        <v/>
      </c>
      <c r="AI2212" s="7">
        <f>IF($C2212="","",AH2212-M2212)</f>
        <v/>
      </c>
      <c r="AJ2212">
        <f>IF($C2212="","",IF(COUNTIF($C$2:$C2212,$C2212)=1,1,0))</f>
        <v/>
      </c>
      <c r="AK2212">
        <f>IF($AJ2212=1,SUMPRODUCT(--($AN$2:$AN$4001&lt;$AN2212))+1,"")</f>
        <v/>
      </c>
      <c r="AL2212">
        <f>IF($C2212="","",IF(OR($Q2212=TRUE(),$Q2212="TRUE"),1,0))</f>
        <v/>
      </c>
      <c r="AM2212">
        <f>IF($C2212="","",IF($W2212="Yes",1,0))</f>
        <v/>
      </c>
      <c r="AN2212">
        <f>IF($AJ2212=1,IFERROR(IF(VALUE($C2212)&lt;100000000,VALUE($C2212),1000000000),IFERROR(IF(VALUE(MID($C2212,2,20))&lt;100000000,VALUE(MID($C2212,2,20)),1000000000),1000000000))+ROW()/100000,"")</f>
        <v/>
      </c>
    </row>
    <row r="2213">
      <c r="E2213" s="11" t="n"/>
      <c r="M2213" s="7">
        <f>IF($C2213="","",L2213*U2213/100)</f>
        <v/>
      </c>
      <c r="N2213" s="7" t="n"/>
      <c r="T2213" s="7" t="n"/>
      <c r="U2213" s="7">
        <f>IF($C2213="","",S2213*T2213)</f>
        <v/>
      </c>
      <c r="X2213">
        <f>IF($C2213="","",IF($AM2213=1,0,IF($AL2213=1,Settings!$C$6,Settings!$C$7))*100)</f>
        <v/>
      </c>
      <c r="AB2213" s="7" t="n"/>
      <c r="AE2213" s="11" t="n"/>
      <c r="AG2213" s="7">
        <f>IF($C2213="","",U2213*X2213/100)</f>
        <v/>
      </c>
      <c r="AH2213" s="7">
        <f>IF($C2213="","",U2213-AG2213)</f>
        <v/>
      </c>
      <c r="AI2213" s="7">
        <f>IF($C2213="","",AH2213-M2213)</f>
        <v/>
      </c>
      <c r="AJ2213">
        <f>IF($C2213="","",IF(COUNTIF($C$2:$C2213,$C2213)=1,1,0))</f>
        <v/>
      </c>
      <c r="AK2213">
        <f>IF($AJ2213=1,SUMPRODUCT(--($AN$2:$AN$4001&lt;$AN2213))+1,"")</f>
        <v/>
      </c>
      <c r="AL2213">
        <f>IF($C2213="","",IF(OR($Q2213=TRUE(),$Q2213="TRUE"),1,0))</f>
        <v/>
      </c>
      <c r="AM2213">
        <f>IF($C2213="","",IF($W2213="Yes",1,0))</f>
        <v/>
      </c>
      <c r="AN2213">
        <f>IF($AJ2213=1,IFERROR(IF(VALUE($C2213)&lt;100000000,VALUE($C2213),1000000000),IFERROR(IF(VALUE(MID($C2213,2,20))&lt;100000000,VALUE(MID($C2213,2,20)),1000000000),1000000000))+ROW()/100000,"")</f>
        <v/>
      </c>
    </row>
    <row r="2214">
      <c r="E2214" s="11" t="n"/>
      <c r="M2214" s="7">
        <f>IF($C2214="","",L2214*U2214/100)</f>
        <v/>
      </c>
      <c r="N2214" s="7" t="n"/>
      <c r="T2214" s="7" t="n"/>
      <c r="U2214" s="7">
        <f>IF($C2214="","",S2214*T2214)</f>
        <v/>
      </c>
      <c r="X2214">
        <f>IF($C2214="","",IF($AM2214=1,0,IF($AL2214=1,Settings!$C$6,Settings!$C$7))*100)</f>
        <v/>
      </c>
      <c r="AB2214" s="7" t="n"/>
      <c r="AE2214" s="11" t="n"/>
      <c r="AG2214" s="7">
        <f>IF($C2214="","",U2214*X2214/100)</f>
        <v/>
      </c>
      <c r="AH2214" s="7">
        <f>IF($C2214="","",U2214-AG2214)</f>
        <v/>
      </c>
      <c r="AI2214" s="7">
        <f>IF($C2214="","",AH2214-M2214)</f>
        <v/>
      </c>
      <c r="AJ2214">
        <f>IF($C2214="","",IF(COUNTIF($C$2:$C2214,$C2214)=1,1,0))</f>
        <v/>
      </c>
      <c r="AK2214">
        <f>IF($AJ2214=1,SUMPRODUCT(--($AN$2:$AN$4001&lt;$AN2214))+1,"")</f>
        <v/>
      </c>
      <c r="AL2214">
        <f>IF($C2214="","",IF(OR($Q2214=TRUE(),$Q2214="TRUE"),1,0))</f>
        <v/>
      </c>
      <c r="AM2214">
        <f>IF($C2214="","",IF($W2214="Yes",1,0))</f>
        <v/>
      </c>
      <c r="AN2214">
        <f>IF($AJ2214=1,IFERROR(IF(VALUE($C2214)&lt;100000000,VALUE($C2214),1000000000),IFERROR(IF(VALUE(MID($C2214,2,20))&lt;100000000,VALUE(MID($C2214,2,20)),1000000000),1000000000))+ROW()/100000,"")</f>
        <v/>
      </c>
    </row>
    <row r="2215">
      <c r="E2215" s="11" t="n"/>
      <c r="M2215" s="7">
        <f>IF($C2215="","",L2215*U2215/100)</f>
        <v/>
      </c>
      <c r="N2215" s="7" t="n"/>
      <c r="T2215" s="7" t="n"/>
      <c r="U2215" s="7">
        <f>IF($C2215="","",S2215*T2215)</f>
        <v/>
      </c>
      <c r="X2215">
        <f>IF($C2215="","",IF($AM2215=1,0,IF($AL2215=1,Settings!$C$6,Settings!$C$7))*100)</f>
        <v/>
      </c>
      <c r="AB2215" s="7" t="n"/>
      <c r="AE2215" s="11" t="n"/>
      <c r="AG2215" s="7">
        <f>IF($C2215="","",U2215*X2215/100)</f>
        <v/>
      </c>
      <c r="AH2215" s="7">
        <f>IF($C2215="","",U2215-AG2215)</f>
        <v/>
      </c>
      <c r="AI2215" s="7">
        <f>IF($C2215="","",AH2215-M2215)</f>
        <v/>
      </c>
      <c r="AJ2215">
        <f>IF($C2215="","",IF(COUNTIF($C$2:$C2215,$C2215)=1,1,0))</f>
        <v/>
      </c>
      <c r="AK2215">
        <f>IF($AJ2215=1,SUMPRODUCT(--($AN$2:$AN$4001&lt;$AN2215))+1,"")</f>
        <v/>
      </c>
      <c r="AL2215">
        <f>IF($C2215="","",IF(OR($Q2215=TRUE(),$Q2215="TRUE"),1,0))</f>
        <v/>
      </c>
      <c r="AM2215">
        <f>IF($C2215="","",IF($W2215="Yes",1,0))</f>
        <v/>
      </c>
      <c r="AN2215">
        <f>IF($AJ2215=1,IFERROR(IF(VALUE($C2215)&lt;100000000,VALUE($C2215),1000000000),IFERROR(IF(VALUE(MID($C2215,2,20))&lt;100000000,VALUE(MID($C2215,2,20)),1000000000),1000000000))+ROW()/100000,"")</f>
        <v/>
      </c>
    </row>
    <row r="2216">
      <c r="E2216" s="11" t="n"/>
      <c r="M2216" s="7">
        <f>IF($C2216="","",L2216*U2216/100)</f>
        <v/>
      </c>
      <c r="N2216" s="7" t="n"/>
      <c r="T2216" s="7" t="n"/>
      <c r="U2216" s="7">
        <f>IF($C2216="","",S2216*T2216)</f>
        <v/>
      </c>
      <c r="X2216">
        <f>IF($C2216="","",IF($AM2216=1,0,IF($AL2216=1,Settings!$C$6,Settings!$C$7))*100)</f>
        <v/>
      </c>
      <c r="AB2216" s="7" t="n"/>
      <c r="AE2216" s="11" t="n"/>
      <c r="AG2216" s="7">
        <f>IF($C2216="","",U2216*X2216/100)</f>
        <v/>
      </c>
      <c r="AH2216" s="7">
        <f>IF($C2216="","",U2216-AG2216)</f>
        <v/>
      </c>
      <c r="AI2216" s="7">
        <f>IF($C2216="","",AH2216-M2216)</f>
        <v/>
      </c>
      <c r="AJ2216">
        <f>IF($C2216="","",IF(COUNTIF($C$2:$C2216,$C2216)=1,1,0))</f>
        <v/>
      </c>
      <c r="AK2216">
        <f>IF($AJ2216=1,SUMPRODUCT(--($AN$2:$AN$4001&lt;$AN2216))+1,"")</f>
        <v/>
      </c>
      <c r="AL2216">
        <f>IF($C2216="","",IF(OR($Q2216=TRUE(),$Q2216="TRUE"),1,0))</f>
        <v/>
      </c>
      <c r="AM2216">
        <f>IF($C2216="","",IF($W2216="Yes",1,0))</f>
        <v/>
      </c>
      <c r="AN2216">
        <f>IF($AJ2216=1,IFERROR(IF(VALUE($C2216)&lt;100000000,VALUE($C2216),1000000000),IFERROR(IF(VALUE(MID($C2216,2,20))&lt;100000000,VALUE(MID($C2216,2,20)),1000000000),1000000000))+ROW()/100000,"")</f>
        <v/>
      </c>
    </row>
    <row r="2217">
      <c r="E2217" s="11" t="n"/>
      <c r="M2217" s="7">
        <f>IF($C2217="","",L2217*U2217/100)</f>
        <v/>
      </c>
      <c r="N2217" s="7" t="n"/>
      <c r="T2217" s="7" t="n"/>
      <c r="U2217" s="7">
        <f>IF($C2217="","",S2217*T2217)</f>
        <v/>
      </c>
      <c r="X2217">
        <f>IF($C2217="","",IF($AM2217=1,0,IF($AL2217=1,Settings!$C$6,Settings!$C$7))*100)</f>
        <v/>
      </c>
      <c r="AB2217" s="7" t="n"/>
      <c r="AE2217" s="11" t="n"/>
      <c r="AG2217" s="7">
        <f>IF($C2217="","",U2217*X2217/100)</f>
        <v/>
      </c>
      <c r="AH2217" s="7">
        <f>IF($C2217="","",U2217-AG2217)</f>
        <v/>
      </c>
      <c r="AI2217" s="7">
        <f>IF($C2217="","",AH2217-M2217)</f>
        <v/>
      </c>
      <c r="AJ2217">
        <f>IF($C2217="","",IF(COUNTIF($C$2:$C2217,$C2217)=1,1,0))</f>
        <v/>
      </c>
      <c r="AK2217">
        <f>IF($AJ2217=1,SUMPRODUCT(--($AN$2:$AN$4001&lt;$AN2217))+1,"")</f>
        <v/>
      </c>
      <c r="AL2217">
        <f>IF($C2217="","",IF(OR($Q2217=TRUE(),$Q2217="TRUE"),1,0))</f>
        <v/>
      </c>
      <c r="AM2217">
        <f>IF($C2217="","",IF($W2217="Yes",1,0))</f>
        <v/>
      </c>
      <c r="AN2217">
        <f>IF($AJ2217=1,IFERROR(IF(VALUE($C2217)&lt;100000000,VALUE($C2217),1000000000),IFERROR(IF(VALUE(MID($C2217,2,20))&lt;100000000,VALUE(MID($C2217,2,20)),1000000000),1000000000))+ROW()/100000,"")</f>
        <v/>
      </c>
    </row>
    <row r="2218">
      <c r="E2218" s="11" t="n"/>
      <c r="M2218" s="7">
        <f>IF($C2218="","",L2218*U2218/100)</f>
        <v/>
      </c>
      <c r="N2218" s="7" t="n"/>
      <c r="T2218" s="7" t="n"/>
      <c r="U2218" s="7">
        <f>IF($C2218="","",S2218*T2218)</f>
        <v/>
      </c>
      <c r="X2218">
        <f>IF($C2218="","",IF($AM2218=1,0,IF($AL2218=1,Settings!$C$6,Settings!$C$7))*100)</f>
        <v/>
      </c>
      <c r="AB2218" s="7" t="n"/>
      <c r="AE2218" s="11" t="n"/>
      <c r="AG2218" s="7">
        <f>IF($C2218="","",U2218*X2218/100)</f>
        <v/>
      </c>
      <c r="AH2218" s="7">
        <f>IF($C2218="","",U2218-AG2218)</f>
        <v/>
      </c>
      <c r="AI2218" s="7">
        <f>IF($C2218="","",AH2218-M2218)</f>
        <v/>
      </c>
      <c r="AJ2218">
        <f>IF($C2218="","",IF(COUNTIF($C$2:$C2218,$C2218)=1,1,0))</f>
        <v/>
      </c>
      <c r="AK2218">
        <f>IF($AJ2218=1,SUMPRODUCT(--($AN$2:$AN$4001&lt;$AN2218))+1,"")</f>
        <v/>
      </c>
      <c r="AL2218">
        <f>IF($C2218="","",IF(OR($Q2218=TRUE(),$Q2218="TRUE"),1,0))</f>
        <v/>
      </c>
      <c r="AM2218">
        <f>IF($C2218="","",IF($W2218="Yes",1,0))</f>
        <v/>
      </c>
      <c r="AN2218">
        <f>IF($AJ2218=1,IFERROR(IF(VALUE($C2218)&lt;100000000,VALUE($C2218),1000000000),IFERROR(IF(VALUE(MID($C2218,2,20))&lt;100000000,VALUE(MID($C2218,2,20)),1000000000),1000000000))+ROW()/100000,"")</f>
        <v/>
      </c>
    </row>
    <row r="2219">
      <c r="E2219" s="11" t="n"/>
      <c r="M2219" s="7">
        <f>IF($C2219="","",L2219*U2219/100)</f>
        <v/>
      </c>
      <c r="N2219" s="7" t="n"/>
      <c r="T2219" s="7" t="n"/>
      <c r="U2219" s="7">
        <f>IF($C2219="","",S2219*T2219)</f>
        <v/>
      </c>
      <c r="X2219">
        <f>IF($C2219="","",IF($AM2219=1,0,IF($AL2219=1,Settings!$C$6,Settings!$C$7))*100)</f>
        <v/>
      </c>
      <c r="AB2219" s="7" t="n"/>
      <c r="AE2219" s="11" t="n"/>
      <c r="AG2219" s="7">
        <f>IF($C2219="","",U2219*X2219/100)</f>
        <v/>
      </c>
      <c r="AH2219" s="7">
        <f>IF($C2219="","",U2219-AG2219)</f>
        <v/>
      </c>
      <c r="AI2219" s="7">
        <f>IF($C2219="","",AH2219-M2219)</f>
        <v/>
      </c>
      <c r="AJ2219">
        <f>IF($C2219="","",IF(COUNTIF($C$2:$C2219,$C2219)=1,1,0))</f>
        <v/>
      </c>
      <c r="AK2219">
        <f>IF($AJ2219=1,SUMPRODUCT(--($AN$2:$AN$4001&lt;$AN2219))+1,"")</f>
        <v/>
      </c>
      <c r="AL2219">
        <f>IF($C2219="","",IF(OR($Q2219=TRUE(),$Q2219="TRUE"),1,0))</f>
        <v/>
      </c>
      <c r="AM2219">
        <f>IF($C2219="","",IF($W2219="Yes",1,0))</f>
        <v/>
      </c>
      <c r="AN2219">
        <f>IF($AJ2219=1,IFERROR(IF(VALUE($C2219)&lt;100000000,VALUE($C2219),1000000000),IFERROR(IF(VALUE(MID($C2219,2,20))&lt;100000000,VALUE(MID($C2219,2,20)),1000000000),1000000000))+ROW()/100000,"")</f>
        <v/>
      </c>
    </row>
    <row r="2220">
      <c r="E2220" s="11" t="n"/>
      <c r="M2220" s="7">
        <f>IF($C2220="","",L2220*U2220/100)</f>
        <v/>
      </c>
      <c r="N2220" s="7" t="n"/>
      <c r="T2220" s="7" t="n"/>
      <c r="U2220" s="7">
        <f>IF($C2220="","",S2220*T2220)</f>
        <v/>
      </c>
      <c r="X2220">
        <f>IF($C2220="","",IF($AM2220=1,0,IF($AL2220=1,Settings!$C$6,Settings!$C$7))*100)</f>
        <v/>
      </c>
      <c r="AB2220" s="7" t="n"/>
      <c r="AE2220" s="11" t="n"/>
      <c r="AG2220" s="7">
        <f>IF($C2220="","",U2220*X2220/100)</f>
        <v/>
      </c>
      <c r="AH2220" s="7">
        <f>IF($C2220="","",U2220-AG2220)</f>
        <v/>
      </c>
      <c r="AI2220" s="7">
        <f>IF($C2220="","",AH2220-M2220)</f>
        <v/>
      </c>
      <c r="AJ2220">
        <f>IF($C2220="","",IF(COUNTIF($C$2:$C2220,$C2220)=1,1,0))</f>
        <v/>
      </c>
      <c r="AK2220">
        <f>IF($AJ2220=1,SUMPRODUCT(--($AN$2:$AN$4001&lt;$AN2220))+1,"")</f>
        <v/>
      </c>
      <c r="AL2220">
        <f>IF($C2220="","",IF(OR($Q2220=TRUE(),$Q2220="TRUE"),1,0))</f>
        <v/>
      </c>
      <c r="AM2220">
        <f>IF($C2220="","",IF($W2220="Yes",1,0))</f>
        <v/>
      </c>
      <c r="AN2220">
        <f>IF($AJ2220=1,IFERROR(IF(VALUE($C2220)&lt;100000000,VALUE($C2220),1000000000),IFERROR(IF(VALUE(MID($C2220,2,20))&lt;100000000,VALUE(MID($C2220,2,20)),1000000000),1000000000))+ROW()/100000,"")</f>
        <v/>
      </c>
    </row>
    <row r="2221">
      <c r="E2221" s="11" t="n"/>
      <c r="M2221" s="7">
        <f>IF($C2221="","",L2221*U2221/100)</f>
        <v/>
      </c>
      <c r="N2221" s="7" t="n"/>
      <c r="T2221" s="7" t="n"/>
      <c r="U2221" s="7">
        <f>IF($C2221="","",S2221*T2221)</f>
        <v/>
      </c>
      <c r="X2221">
        <f>IF($C2221="","",IF($AM2221=1,0,IF($AL2221=1,Settings!$C$6,Settings!$C$7))*100)</f>
        <v/>
      </c>
      <c r="AB2221" s="7" t="n"/>
      <c r="AE2221" s="11" t="n"/>
      <c r="AG2221" s="7">
        <f>IF($C2221="","",U2221*X2221/100)</f>
        <v/>
      </c>
      <c r="AH2221" s="7">
        <f>IF($C2221="","",U2221-AG2221)</f>
        <v/>
      </c>
      <c r="AI2221" s="7">
        <f>IF($C2221="","",AH2221-M2221)</f>
        <v/>
      </c>
      <c r="AJ2221">
        <f>IF($C2221="","",IF(COUNTIF($C$2:$C2221,$C2221)=1,1,0))</f>
        <v/>
      </c>
      <c r="AK2221">
        <f>IF($AJ2221=1,SUMPRODUCT(--($AN$2:$AN$4001&lt;$AN2221))+1,"")</f>
        <v/>
      </c>
      <c r="AL2221">
        <f>IF($C2221="","",IF(OR($Q2221=TRUE(),$Q2221="TRUE"),1,0))</f>
        <v/>
      </c>
      <c r="AM2221">
        <f>IF($C2221="","",IF($W2221="Yes",1,0))</f>
        <v/>
      </c>
      <c r="AN2221">
        <f>IF($AJ2221=1,IFERROR(IF(VALUE($C2221)&lt;100000000,VALUE($C2221),1000000000),IFERROR(IF(VALUE(MID($C2221,2,20))&lt;100000000,VALUE(MID($C2221,2,20)),1000000000),1000000000))+ROW()/100000,"")</f>
        <v/>
      </c>
    </row>
    <row r="2222">
      <c r="E2222" s="11" t="n"/>
      <c r="M2222" s="7">
        <f>IF($C2222="","",L2222*U2222/100)</f>
        <v/>
      </c>
      <c r="N2222" s="7" t="n"/>
      <c r="T2222" s="7" t="n"/>
      <c r="U2222" s="7">
        <f>IF($C2222="","",S2222*T2222)</f>
        <v/>
      </c>
      <c r="X2222">
        <f>IF($C2222="","",IF($AM2222=1,0,IF($AL2222=1,Settings!$C$6,Settings!$C$7))*100)</f>
        <v/>
      </c>
      <c r="AB2222" s="7" t="n"/>
      <c r="AE2222" s="11" t="n"/>
      <c r="AG2222" s="7">
        <f>IF($C2222="","",U2222*X2222/100)</f>
        <v/>
      </c>
      <c r="AH2222" s="7">
        <f>IF($C2222="","",U2222-AG2222)</f>
        <v/>
      </c>
      <c r="AI2222" s="7">
        <f>IF($C2222="","",AH2222-M2222)</f>
        <v/>
      </c>
      <c r="AJ2222">
        <f>IF($C2222="","",IF(COUNTIF($C$2:$C2222,$C2222)=1,1,0))</f>
        <v/>
      </c>
      <c r="AK2222">
        <f>IF($AJ2222=1,SUMPRODUCT(--($AN$2:$AN$4001&lt;$AN2222))+1,"")</f>
        <v/>
      </c>
      <c r="AL2222">
        <f>IF($C2222="","",IF(OR($Q2222=TRUE(),$Q2222="TRUE"),1,0))</f>
        <v/>
      </c>
      <c r="AM2222">
        <f>IF($C2222="","",IF($W2222="Yes",1,0))</f>
        <v/>
      </c>
      <c r="AN2222">
        <f>IF($AJ2222=1,IFERROR(IF(VALUE($C2222)&lt;100000000,VALUE($C2222),1000000000),IFERROR(IF(VALUE(MID($C2222,2,20))&lt;100000000,VALUE(MID($C2222,2,20)),1000000000),1000000000))+ROW()/100000,"")</f>
        <v/>
      </c>
    </row>
    <row r="2223">
      <c r="E2223" s="11" t="n"/>
      <c r="M2223" s="7">
        <f>IF($C2223="","",L2223*U2223/100)</f>
        <v/>
      </c>
      <c r="N2223" s="7" t="n"/>
      <c r="T2223" s="7" t="n"/>
      <c r="U2223" s="7">
        <f>IF($C2223="","",S2223*T2223)</f>
        <v/>
      </c>
      <c r="X2223">
        <f>IF($C2223="","",IF($AM2223=1,0,IF($AL2223=1,Settings!$C$6,Settings!$C$7))*100)</f>
        <v/>
      </c>
      <c r="AB2223" s="7" t="n"/>
      <c r="AE2223" s="11" t="n"/>
      <c r="AG2223" s="7">
        <f>IF($C2223="","",U2223*X2223/100)</f>
        <v/>
      </c>
      <c r="AH2223" s="7">
        <f>IF($C2223="","",U2223-AG2223)</f>
        <v/>
      </c>
      <c r="AI2223" s="7">
        <f>IF($C2223="","",AH2223-M2223)</f>
        <v/>
      </c>
      <c r="AJ2223">
        <f>IF($C2223="","",IF(COUNTIF($C$2:$C2223,$C2223)=1,1,0))</f>
        <v/>
      </c>
      <c r="AK2223">
        <f>IF($AJ2223=1,SUMPRODUCT(--($AN$2:$AN$4001&lt;$AN2223))+1,"")</f>
        <v/>
      </c>
      <c r="AL2223">
        <f>IF($C2223="","",IF(OR($Q2223=TRUE(),$Q2223="TRUE"),1,0))</f>
        <v/>
      </c>
      <c r="AM2223">
        <f>IF($C2223="","",IF($W2223="Yes",1,0))</f>
        <v/>
      </c>
      <c r="AN2223">
        <f>IF($AJ2223=1,IFERROR(IF(VALUE($C2223)&lt;100000000,VALUE($C2223),1000000000),IFERROR(IF(VALUE(MID($C2223,2,20))&lt;100000000,VALUE(MID($C2223,2,20)),1000000000),1000000000))+ROW()/100000,"")</f>
        <v/>
      </c>
    </row>
    <row r="2224">
      <c r="E2224" s="11" t="n"/>
      <c r="M2224" s="7">
        <f>IF($C2224="","",L2224*U2224/100)</f>
        <v/>
      </c>
      <c r="N2224" s="7" t="n"/>
      <c r="T2224" s="7" t="n"/>
      <c r="U2224" s="7">
        <f>IF($C2224="","",S2224*T2224)</f>
        <v/>
      </c>
      <c r="X2224">
        <f>IF($C2224="","",IF($AM2224=1,0,IF($AL2224=1,Settings!$C$6,Settings!$C$7))*100)</f>
        <v/>
      </c>
      <c r="AB2224" s="7" t="n"/>
      <c r="AE2224" s="11" t="n"/>
      <c r="AG2224" s="7">
        <f>IF($C2224="","",U2224*X2224/100)</f>
        <v/>
      </c>
      <c r="AH2224" s="7">
        <f>IF($C2224="","",U2224-AG2224)</f>
        <v/>
      </c>
      <c r="AI2224" s="7">
        <f>IF($C2224="","",AH2224-M2224)</f>
        <v/>
      </c>
      <c r="AJ2224">
        <f>IF($C2224="","",IF(COUNTIF($C$2:$C2224,$C2224)=1,1,0))</f>
        <v/>
      </c>
      <c r="AK2224">
        <f>IF($AJ2224=1,SUMPRODUCT(--($AN$2:$AN$4001&lt;$AN2224))+1,"")</f>
        <v/>
      </c>
      <c r="AL2224">
        <f>IF($C2224="","",IF(OR($Q2224=TRUE(),$Q2224="TRUE"),1,0))</f>
        <v/>
      </c>
      <c r="AM2224">
        <f>IF($C2224="","",IF($W2224="Yes",1,0))</f>
        <v/>
      </c>
      <c r="AN2224">
        <f>IF($AJ2224=1,IFERROR(IF(VALUE($C2224)&lt;100000000,VALUE($C2224),1000000000),IFERROR(IF(VALUE(MID($C2224,2,20))&lt;100000000,VALUE(MID($C2224,2,20)),1000000000),1000000000))+ROW()/100000,"")</f>
        <v/>
      </c>
    </row>
    <row r="2225">
      <c r="E2225" s="11" t="n"/>
      <c r="M2225" s="7">
        <f>IF($C2225="","",L2225*U2225/100)</f>
        <v/>
      </c>
      <c r="N2225" s="7" t="n"/>
      <c r="T2225" s="7" t="n"/>
      <c r="U2225" s="7">
        <f>IF($C2225="","",S2225*T2225)</f>
        <v/>
      </c>
      <c r="X2225">
        <f>IF($C2225="","",IF($AM2225=1,0,IF($AL2225=1,Settings!$C$6,Settings!$C$7))*100)</f>
        <v/>
      </c>
      <c r="AB2225" s="7" t="n"/>
      <c r="AE2225" s="11" t="n"/>
      <c r="AG2225" s="7">
        <f>IF($C2225="","",U2225*X2225/100)</f>
        <v/>
      </c>
      <c r="AH2225" s="7">
        <f>IF($C2225="","",U2225-AG2225)</f>
        <v/>
      </c>
      <c r="AI2225" s="7">
        <f>IF($C2225="","",AH2225-M2225)</f>
        <v/>
      </c>
      <c r="AJ2225">
        <f>IF($C2225="","",IF(COUNTIF($C$2:$C2225,$C2225)=1,1,0))</f>
        <v/>
      </c>
      <c r="AK2225">
        <f>IF($AJ2225=1,SUMPRODUCT(--($AN$2:$AN$4001&lt;$AN2225))+1,"")</f>
        <v/>
      </c>
      <c r="AL2225">
        <f>IF($C2225="","",IF(OR($Q2225=TRUE(),$Q2225="TRUE"),1,0))</f>
        <v/>
      </c>
      <c r="AM2225">
        <f>IF($C2225="","",IF($W2225="Yes",1,0))</f>
        <v/>
      </c>
      <c r="AN2225">
        <f>IF($AJ2225=1,IFERROR(IF(VALUE($C2225)&lt;100000000,VALUE($C2225),1000000000),IFERROR(IF(VALUE(MID($C2225,2,20))&lt;100000000,VALUE(MID($C2225,2,20)),1000000000),1000000000))+ROW()/100000,"")</f>
        <v/>
      </c>
    </row>
    <row r="2226">
      <c r="E2226" s="11" t="n"/>
      <c r="M2226" s="7">
        <f>IF($C2226="","",L2226*U2226/100)</f>
        <v/>
      </c>
      <c r="N2226" s="7" t="n"/>
      <c r="T2226" s="7" t="n"/>
      <c r="U2226" s="7">
        <f>IF($C2226="","",S2226*T2226)</f>
        <v/>
      </c>
      <c r="X2226">
        <f>IF($C2226="","",IF($AM2226=1,0,IF($AL2226=1,Settings!$C$6,Settings!$C$7))*100)</f>
        <v/>
      </c>
      <c r="AB2226" s="7" t="n"/>
      <c r="AE2226" s="11" t="n"/>
      <c r="AG2226" s="7">
        <f>IF($C2226="","",U2226*X2226/100)</f>
        <v/>
      </c>
      <c r="AH2226" s="7">
        <f>IF($C2226="","",U2226-AG2226)</f>
        <v/>
      </c>
      <c r="AI2226" s="7">
        <f>IF($C2226="","",AH2226-M2226)</f>
        <v/>
      </c>
      <c r="AJ2226">
        <f>IF($C2226="","",IF(COUNTIF($C$2:$C2226,$C2226)=1,1,0))</f>
        <v/>
      </c>
      <c r="AK2226">
        <f>IF($AJ2226=1,SUMPRODUCT(--($AN$2:$AN$4001&lt;$AN2226))+1,"")</f>
        <v/>
      </c>
      <c r="AL2226">
        <f>IF($C2226="","",IF(OR($Q2226=TRUE(),$Q2226="TRUE"),1,0))</f>
        <v/>
      </c>
      <c r="AM2226">
        <f>IF($C2226="","",IF($W2226="Yes",1,0))</f>
        <v/>
      </c>
      <c r="AN2226">
        <f>IF($AJ2226=1,IFERROR(IF(VALUE($C2226)&lt;100000000,VALUE($C2226),1000000000),IFERROR(IF(VALUE(MID($C2226,2,20))&lt;100000000,VALUE(MID($C2226,2,20)),1000000000),1000000000))+ROW()/100000,"")</f>
        <v/>
      </c>
    </row>
    <row r="2227">
      <c r="E2227" s="11" t="n"/>
      <c r="M2227" s="7">
        <f>IF($C2227="","",L2227*U2227/100)</f>
        <v/>
      </c>
      <c r="N2227" s="7" t="n"/>
      <c r="T2227" s="7" t="n"/>
      <c r="U2227" s="7">
        <f>IF($C2227="","",S2227*T2227)</f>
        <v/>
      </c>
      <c r="X2227">
        <f>IF($C2227="","",IF($AM2227=1,0,IF($AL2227=1,Settings!$C$6,Settings!$C$7))*100)</f>
        <v/>
      </c>
      <c r="AB2227" s="7" t="n"/>
      <c r="AE2227" s="11" t="n"/>
      <c r="AG2227" s="7">
        <f>IF($C2227="","",U2227*X2227/100)</f>
        <v/>
      </c>
      <c r="AH2227" s="7">
        <f>IF($C2227="","",U2227-AG2227)</f>
        <v/>
      </c>
      <c r="AI2227" s="7">
        <f>IF($C2227="","",AH2227-M2227)</f>
        <v/>
      </c>
      <c r="AJ2227">
        <f>IF($C2227="","",IF(COUNTIF($C$2:$C2227,$C2227)=1,1,0))</f>
        <v/>
      </c>
      <c r="AK2227">
        <f>IF($AJ2227=1,SUMPRODUCT(--($AN$2:$AN$4001&lt;$AN2227))+1,"")</f>
        <v/>
      </c>
      <c r="AL2227">
        <f>IF($C2227="","",IF(OR($Q2227=TRUE(),$Q2227="TRUE"),1,0))</f>
        <v/>
      </c>
      <c r="AM2227">
        <f>IF($C2227="","",IF($W2227="Yes",1,0))</f>
        <v/>
      </c>
      <c r="AN2227">
        <f>IF($AJ2227=1,IFERROR(IF(VALUE($C2227)&lt;100000000,VALUE($C2227),1000000000),IFERROR(IF(VALUE(MID($C2227,2,20))&lt;100000000,VALUE(MID($C2227,2,20)),1000000000),1000000000))+ROW()/100000,"")</f>
        <v/>
      </c>
    </row>
    <row r="2228">
      <c r="E2228" s="11" t="n"/>
      <c r="M2228" s="7">
        <f>IF($C2228="","",L2228*U2228/100)</f>
        <v/>
      </c>
      <c r="N2228" s="7" t="n"/>
      <c r="T2228" s="7" t="n"/>
      <c r="U2228" s="7">
        <f>IF($C2228="","",S2228*T2228)</f>
        <v/>
      </c>
      <c r="X2228">
        <f>IF($C2228="","",IF($AM2228=1,0,IF($AL2228=1,Settings!$C$6,Settings!$C$7))*100)</f>
        <v/>
      </c>
      <c r="AB2228" s="7" t="n"/>
      <c r="AE2228" s="11" t="n"/>
      <c r="AG2228" s="7">
        <f>IF($C2228="","",U2228*X2228/100)</f>
        <v/>
      </c>
      <c r="AH2228" s="7">
        <f>IF($C2228="","",U2228-AG2228)</f>
        <v/>
      </c>
      <c r="AI2228" s="7">
        <f>IF($C2228="","",AH2228-M2228)</f>
        <v/>
      </c>
      <c r="AJ2228">
        <f>IF($C2228="","",IF(COUNTIF($C$2:$C2228,$C2228)=1,1,0))</f>
        <v/>
      </c>
      <c r="AK2228">
        <f>IF($AJ2228=1,SUMPRODUCT(--($AN$2:$AN$4001&lt;$AN2228))+1,"")</f>
        <v/>
      </c>
      <c r="AL2228">
        <f>IF($C2228="","",IF(OR($Q2228=TRUE(),$Q2228="TRUE"),1,0))</f>
        <v/>
      </c>
      <c r="AM2228">
        <f>IF($C2228="","",IF($W2228="Yes",1,0))</f>
        <v/>
      </c>
      <c r="AN2228">
        <f>IF($AJ2228=1,IFERROR(IF(VALUE($C2228)&lt;100000000,VALUE($C2228),1000000000),IFERROR(IF(VALUE(MID($C2228,2,20))&lt;100000000,VALUE(MID($C2228,2,20)),1000000000),1000000000))+ROW()/100000,"")</f>
        <v/>
      </c>
    </row>
    <row r="2229">
      <c r="E2229" s="11" t="n"/>
      <c r="M2229" s="7">
        <f>IF($C2229="","",L2229*U2229/100)</f>
        <v/>
      </c>
      <c r="N2229" s="7" t="n"/>
      <c r="T2229" s="7" t="n"/>
      <c r="U2229" s="7">
        <f>IF($C2229="","",S2229*T2229)</f>
        <v/>
      </c>
      <c r="X2229">
        <f>IF($C2229="","",IF($AM2229=1,0,IF($AL2229=1,Settings!$C$6,Settings!$C$7))*100)</f>
        <v/>
      </c>
      <c r="AB2229" s="7" t="n"/>
      <c r="AE2229" s="11" t="n"/>
      <c r="AG2229" s="7">
        <f>IF($C2229="","",U2229*X2229/100)</f>
        <v/>
      </c>
      <c r="AH2229" s="7">
        <f>IF($C2229="","",U2229-AG2229)</f>
        <v/>
      </c>
      <c r="AI2229" s="7">
        <f>IF($C2229="","",AH2229-M2229)</f>
        <v/>
      </c>
      <c r="AJ2229">
        <f>IF($C2229="","",IF(COUNTIF($C$2:$C2229,$C2229)=1,1,0))</f>
        <v/>
      </c>
      <c r="AK2229">
        <f>IF($AJ2229=1,SUMPRODUCT(--($AN$2:$AN$4001&lt;$AN2229))+1,"")</f>
        <v/>
      </c>
      <c r="AL2229">
        <f>IF($C2229="","",IF(OR($Q2229=TRUE(),$Q2229="TRUE"),1,0))</f>
        <v/>
      </c>
      <c r="AM2229">
        <f>IF($C2229="","",IF($W2229="Yes",1,0))</f>
        <v/>
      </c>
      <c r="AN2229">
        <f>IF($AJ2229=1,IFERROR(IF(VALUE($C2229)&lt;100000000,VALUE($C2229),1000000000),IFERROR(IF(VALUE(MID($C2229,2,20))&lt;100000000,VALUE(MID($C2229,2,20)),1000000000),1000000000))+ROW()/100000,"")</f>
        <v/>
      </c>
    </row>
    <row r="2230">
      <c r="E2230" s="11" t="n"/>
      <c r="M2230" s="7">
        <f>IF($C2230="","",L2230*U2230/100)</f>
        <v/>
      </c>
      <c r="N2230" s="7" t="n"/>
      <c r="T2230" s="7" t="n"/>
      <c r="U2230" s="7">
        <f>IF($C2230="","",S2230*T2230)</f>
        <v/>
      </c>
      <c r="X2230">
        <f>IF($C2230="","",IF($AM2230=1,0,IF($AL2230=1,Settings!$C$6,Settings!$C$7))*100)</f>
        <v/>
      </c>
      <c r="AB2230" s="7" t="n"/>
      <c r="AE2230" s="11" t="n"/>
      <c r="AG2230" s="7">
        <f>IF($C2230="","",U2230*X2230/100)</f>
        <v/>
      </c>
      <c r="AH2230" s="7">
        <f>IF($C2230="","",U2230-AG2230)</f>
        <v/>
      </c>
      <c r="AI2230" s="7">
        <f>IF($C2230="","",AH2230-M2230)</f>
        <v/>
      </c>
      <c r="AJ2230">
        <f>IF($C2230="","",IF(COUNTIF($C$2:$C2230,$C2230)=1,1,0))</f>
        <v/>
      </c>
      <c r="AK2230">
        <f>IF($AJ2230=1,SUMPRODUCT(--($AN$2:$AN$4001&lt;$AN2230))+1,"")</f>
        <v/>
      </c>
      <c r="AL2230">
        <f>IF($C2230="","",IF(OR($Q2230=TRUE(),$Q2230="TRUE"),1,0))</f>
        <v/>
      </c>
      <c r="AM2230">
        <f>IF($C2230="","",IF($W2230="Yes",1,0))</f>
        <v/>
      </c>
      <c r="AN2230">
        <f>IF($AJ2230=1,IFERROR(IF(VALUE($C2230)&lt;100000000,VALUE($C2230),1000000000),IFERROR(IF(VALUE(MID($C2230,2,20))&lt;100000000,VALUE(MID($C2230,2,20)),1000000000),1000000000))+ROW()/100000,"")</f>
        <v/>
      </c>
    </row>
    <row r="2231">
      <c r="E2231" s="11" t="n"/>
      <c r="M2231" s="7">
        <f>IF($C2231="","",L2231*U2231/100)</f>
        <v/>
      </c>
      <c r="N2231" s="7" t="n"/>
      <c r="T2231" s="7" t="n"/>
      <c r="U2231" s="7">
        <f>IF($C2231="","",S2231*T2231)</f>
        <v/>
      </c>
      <c r="X2231">
        <f>IF($C2231="","",IF($AM2231=1,0,IF($AL2231=1,Settings!$C$6,Settings!$C$7))*100)</f>
        <v/>
      </c>
      <c r="AB2231" s="7" t="n"/>
      <c r="AE2231" s="11" t="n"/>
      <c r="AG2231" s="7">
        <f>IF($C2231="","",U2231*X2231/100)</f>
        <v/>
      </c>
      <c r="AH2231" s="7">
        <f>IF($C2231="","",U2231-AG2231)</f>
        <v/>
      </c>
      <c r="AI2231" s="7">
        <f>IF($C2231="","",AH2231-M2231)</f>
        <v/>
      </c>
      <c r="AJ2231">
        <f>IF($C2231="","",IF(COUNTIF($C$2:$C2231,$C2231)=1,1,0))</f>
        <v/>
      </c>
      <c r="AK2231">
        <f>IF($AJ2231=1,SUMPRODUCT(--($AN$2:$AN$4001&lt;$AN2231))+1,"")</f>
        <v/>
      </c>
      <c r="AL2231">
        <f>IF($C2231="","",IF(OR($Q2231=TRUE(),$Q2231="TRUE"),1,0))</f>
        <v/>
      </c>
      <c r="AM2231">
        <f>IF($C2231="","",IF($W2231="Yes",1,0))</f>
        <v/>
      </c>
      <c r="AN2231">
        <f>IF($AJ2231=1,IFERROR(IF(VALUE($C2231)&lt;100000000,VALUE($C2231),1000000000),IFERROR(IF(VALUE(MID($C2231,2,20))&lt;100000000,VALUE(MID($C2231,2,20)),1000000000),1000000000))+ROW()/100000,"")</f>
        <v/>
      </c>
    </row>
    <row r="2232">
      <c r="E2232" s="11" t="n"/>
      <c r="M2232" s="7">
        <f>IF($C2232="","",L2232*U2232/100)</f>
        <v/>
      </c>
      <c r="N2232" s="7" t="n"/>
      <c r="T2232" s="7" t="n"/>
      <c r="U2232" s="7">
        <f>IF($C2232="","",S2232*T2232)</f>
        <v/>
      </c>
      <c r="X2232">
        <f>IF($C2232="","",IF($AM2232=1,0,IF($AL2232=1,Settings!$C$6,Settings!$C$7))*100)</f>
        <v/>
      </c>
      <c r="AB2232" s="7" t="n"/>
      <c r="AE2232" s="11" t="n"/>
      <c r="AG2232" s="7">
        <f>IF($C2232="","",U2232*X2232/100)</f>
        <v/>
      </c>
      <c r="AH2232" s="7">
        <f>IF($C2232="","",U2232-AG2232)</f>
        <v/>
      </c>
      <c r="AI2232" s="7">
        <f>IF($C2232="","",AH2232-M2232)</f>
        <v/>
      </c>
      <c r="AJ2232">
        <f>IF($C2232="","",IF(COUNTIF($C$2:$C2232,$C2232)=1,1,0))</f>
        <v/>
      </c>
      <c r="AK2232">
        <f>IF($AJ2232=1,SUMPRODUCT(--($AN$2:$AN$4001&lt;$AN2232))+1,"")</f>
        <v/>
      </c>
      <c r="AL2232">
        <f>IF($C2232="","",IF(OR($Q2232=TRUE(),$Q2232="TRUE"),1,0))</f>
        <v/>
      </c>
      <c r="AM2232">
        <f>IF($C2232="","",IF($W2232="Yes",1,0))</f>
        <v/>
      </c>
      <c r="AN2232">
        <f>IF($AJ2232=1,IFERROR(IF(VALUE($C2232)&lt;100000000,VALUE($C2232),1000000000),IFERROR(IF(VALUE(MID($C2232,2,20))&lt;100000000,VALUE(MID($C2232,2,20)),1000000000),1000000000))+ROW()/100000,"")</f>
        <v/>
      </c>
    </row>
    <row r="2233">
      <c r="E2233" s="11" t="n"/>
      <c r="M2233" s="7">
        <f>IF($C2233="","",L2233*U2233/100)</f>
        <v/>
      </c>
      <c r="N2233" s="7" t="n"/>
      <c r="T2233" s="7" t="n"/>
      <c r="U2233" s="7">
        <f>IF($C2233="","",S2233*T2233)</f>
        <v/>
      </c>
      <c r="X2233">
        <f>IF($C2233="","",IF($AM2233=1,0,IF($AL2233=1,Settings!$C$6,Settings!$C$7))*100)</f>
        <v/>
      </c>
      <c r="AB2233" s="7" t="n"/>
      <c r="AE2233" s="11" t="n"/>
      <c r="AG2233" s="7">
        <f>IF($C2233="","",U2233*X2233/100)</f>
        <v/>
      </c>
      <c r="AH2233" s="7">
        <f>IF($C2233="","",U2233-AG2233)</f>
        <v/>
      </c>
      <c r="AI2233" s="7">
        <f>IF($C2233="","",AH2233-M2233)</f>
        <v/>
      </c>
      <c r="AJ2233">
        <f>IF($C2233="","",IF(COUNTIF($C$2:$C2233,$C2233)=1,1,0))</f>
        <v/>
      </c>
      <c r="AK2233">
        <f>IF($AJ2233=1,SUMPRODUCT(--($AN$2:$AN$4001&lt;$AN2233))+1,"")</f>
        <v/>
      </c>
      <c r="AL2233">
        <f>IF($C2233="","",IF(OR($Q2233=TRUE(),$Q2233="TRUE"),1,0))</f>
        <v/>
      </c>
      <c r="AM2233">
        <f>IF($C2233="","",IF($W2233="Yes",1,0))</f>
        <v/>
      </c>
      <c r="AN2233">
        <f>IF($AJ2233=1,IFERROR(IF(VALUE($C2233)&lt;100000000,VALUE($C2233),1000000000),IFERROR(IF(VALUE(MID($C2233,2,20))&lt;100000000,VALUE(MID($C2233,2,20)),1000000000),1000000000))+ROW()/100000,"")</f>
        <v/>
      </c>
    </row>
    <row r="2234">
      <c r="E2234" s="11" t="n"/>
      <c r="M2234" s="7">
        <f>IF($C2234="","",L2234*U2234/100)</f>
        <v/>
      </c>
      <c r="N2234" s="7" t="n"/>
      <c r="T2234" s="7" t="n"/>
      <c r="U2234" s="7">
        <f>IF($C2234="","",S2234*T2234)</f>
        <v/>
      </c>
      <c r="X2234">
        <f>IF($C2234="","",IF($AM2234=1,0,IF($AL2234=1,Settings!$C$6,Settings!$C$7))*100)</f>
        <v/>
      </c>
      <c r="AB2234" s="7" t="n"/>
      <c r="AE2234" s="11" t="n"/>
      <c r="AG2234" s="7">
        <f>IF($C2234="","",U2234*X2234/100)</f>
        <v/>
      </c>
      <c r="AH2234" s="7">
        <f>IF($C2234="","",U2234-AG2234)</f>
        <v/>
      </c>
      <c r="AI2234" s="7">
        <f>IF($C2234="","",AH2234-M2234)</f>
        <v/>
      </c>
      <c r="AJ2234">
        <f>IF($C2234="","",IF(COUNTIF($C$2:$C2234,$C2234)=1,1,0))</f>
        <v/>
      </c>
      <c r="AK2234">
        <f>IF($AJ2234=1,SUMPRODUCT(--($AN$2:$AN$4001&lt;$AN2234))+1,"")</f>
        <v/>
      </c>
      <c r="AL2234">
        <f>IF($C2234="","",IF(OR($Q2234=TRUE(),$Q2234="TRUE"),1,0))</f>
        <v/>
      </c>
      <c r="AM2234">
        <f>IF($C2234="","",IF($W2234="Yes",1,0))</f>
        <v/>
      </c>
      <c r="AN2234">
        <f>IF($AJ2234=1,IFERROR(IF(VALUE($C2234)&lt;100000000,VALUE($C2234),1000000000),IFERROR(IF(VALUE(MID($C2234,2,20))&lt;100000000,VALUE(MID($C2234,2,20)),1000000000),1000000000))+ROW()/100000,"")</f>
        <v/>
      </c>
    </row>
    <row r="2235">
      <c r="E2235" s="11" t="n"/>
      <c r="M2235" s="7">
        <f>IF($C2235="","",L2235*U2235/100)</f>
        <v/>
      </c>
      <c r="N2235" s="7" t="n"/>
      <c r="T2235" s="7" t="n"/>
      <c r="U2235" s="7">
        <f>IF($C2235="","",S2235*T2235)</f>
        <v/>
      </c>
      <c r="X2235">
        <f>IF($C2235="","",IF($AM2235=1,0,IF($AL2235=1,Settings!$C$6,Settings!$C$7))*100)</f>
        <v/>
      </c>
      <c r="AB2235" s="7" t="n"/>
      <c r="AE2235" s="11" t="n"/>
      <c r="AG2235" s="7">
        <f>IF($C2235="","",U2235*X2235/100)</f>
        <v/>
      </c>
      <c r="AH2235" s="7">
        <f>IF($C2235="","",U2235-AG2235)</f>
        <v/>
      </c>
      <c r="AI2235" s="7">
        <f>IF($C2235="","",AH2235-M2235)</f>
        <v/>
      </c>
      <c r="AJ2235">
        <f>IF($C2235="","",IF(COUNTIF($C$2:$C2235,$C2235)=1,1,0))</f>
        <v/>
      </c>
      <c r="AK2235">
        <f>IF($AJ2235=1,SUMPRODUCT(--($AN$2:$AN$4001&lt;$AN2235))+1,"")</f>
        <v/>
      </c>
      <c r="AL2235">
        <f>IF($C2235="","",IF(OR($Q2235=TRUE(),$Q2235="TRUE"),1,0))</f>
        <v/>
      </c>
      <c r="AM2235">
        <f>IF($C2235="","",IF($W2235="Yes",1,0))</f>
        <v/>
      </c>
      <c r="AN2235">
        <f>IF($AJ2235=1,IFERROR(IF(VALUE($C2235)&lt;100000000,VALUE($C2235),1000000000),IFERROR(IF(VALUE(MID($C2235,2,20))&lt;100000000,VALUE(MID($C2235,2,20)),1000000000),1000000000))+ROW()/100000,"")</f>
        <v/>
      </c>
    </row>
    <row r="2236">
      <c r="E2236" s="11" t="n"/>
      <c r="M2236" s="7">
        <f>IF($C2236="","",L2236*U2236/100)</f>
        <v/>
      </c>
      <c r="N2236" s="7" t="n"/>
      <c r="T2236" s="7" t="n"/>
      <c r="U2236" s="7">
        <f>IF($C2236="","",S2236*T2236)</f>
        <v/>
      </c>
      <c r="X2236">
        <f>IF($C2236="","",IF($AM2236=1,0,IF($AL2236=1,Settings!$C$6,Settings!$C$7))*100)</f>
        <v/>
      </c>
      <c r="AB2236" s="7" t="n"/>
      <c r="AE2236" s="11" t="n"/>
      <c r="AG2236" s="7">
        <f>IF($C2236="","",U2236*X2236/100)</f>
        <v/>
      </c>
      <c r="AH2236" s="7">
        <f>IF($C2236="","",U2236-AG2236)</f>
        <v/>
      </c>
      <c r="AI2236" s="7">
        <f>IF($C2236="","",AH2236-M2236)</f>
        <v/>
      </c>
      <c r="AJ2236">
        <f>IF($C2236="","",IF(COUNTIF($C$2:$C2236,$C2236)=1,1,0))</f>
        <v/>
      </c>
      <c r="AK2236">
        <f>IF($AJ2236=1,SUMPRODUCT(--($AN$2:$AN$4001&lt;$AN2236))+1,"")</f>
        <v/>
      </c>
      <c r="AL2236">
        <f>IF($C2236="","",IF(OR($Q2236=TRUE(),$Q2236="TRUE"),1,0))</f>
        <v/>
      </c>
      <c r="AM2236">
        <f>IF($C2236="","",IF($W2236="Yes",1,0))</f>
        <v/>
      </c>
      <c r="AN2236">
        <f>IF($AJ2236=1,IFERROR(IF(VALUE($C2236)&lt;100000000,VALUE($C2236),1000000000),IFERROR(IF(VALUE(MID($C2236,2,20))&lt;100000000,VALUE(MID($C2236,2,20)),1000000000),1000000000))+ROW()/100000,"")</f>
        <v/>
      </c>
    </row>
    <row r="2237">
      <c r="E2237" s="11" t="n"/>
      <c r="M2237" s="7">
        <f>IF($C2237="","",L2237*U2237/100)</f>
        <v/>
      </c>
      <c r="N2237" s="7" t="n"/>
      <c r="T2237" s="7" t="n"/>
      <c r="U2237" s="7">
        <f>IF($C2237="","",S2237*T2237)</f>
        <v/>
      </c>
      <c r="X2237">
        <f>IF($C2237="","",IF($AM2237=1,0,IF($AL2237=1,Settings!$C$6,Settings!$C$7))*100)</f>
        <v/>
      </c>
      <c r="AB2237" s="7" t="n"/>
      <c r="AE2237" s="11" t="n"/>
      <c r="AG2237" s="7">
        <f>IF($C2237="","",U2237*X2237/100)</f>
        <v/>
      </c>
      <c r="AH2237" s="7">
        <f>IF($C2237="","",U2237-AG2237)</f>
        <v/>
      </c>
      <c r="AI2237" s="7">
        <f>IF($C2237="","",AH2237-M2237)</f>
        <v/>
      </c>
      <c r="AJ2237">
        <f>IF($C2237="","",IF(COUNTIF($C$2:$C2237,$C2237)=1,1,0))</f>
        <v/>
      </c>
      <c r="AK2237">
        <f>IF($AJ2237=1,SUMPRODUCT(--($AN$2:$AN$4001&lt;$AN2237))+1,"")</f>
        <v/>
      </c>
      <c r="AL2237">
        <f>IF($C2237="","",IF(OR($Q2237=TRUE(),$Q2237="TRUE"),1,0))</f>
        <v/>
      </c>
      <c r="AM2237">
        <f>IF($C2237="","",IF($W2237="Yes",1,0))</f>
        <v/>
      </c>
      <c r="AN2237">
        <f>IF($AJ2237=1,IFERROR(IF(VALUE($C2237)&lt;100000000,VALUE($C2237),1000000000),IFERROR(IF(VALUE(MID($C2237,2,20))&lt;100000000,VALUE(MID($C2237,2,20)),1000000000),1000000000))+ROW()/100000,"")</f>
        <v/>
      </c>
    </row>
    <row r="2238">
      <c r="E2238" s="11" t="n"/>
      <c r="M2238" s="7">
        <f>IF($C2238="","",L2238*U2238/100)</f>
        <v/>
      </c>
      <c r="N2238" s="7" t="n"/>
      <c r="T2238" s="7" t="n"/>
      <c r="U2238" s="7">
        <f>IF($C2238="","",S2238*T2238)</f>
        <v/>
      </c>
      <c r="X2238">
        <f>IF($C2238="","",IF($AM2238=1,0,IF($AL2238=1,Settings!$C$6,Settings!$C$7))*100)</f>
        <v/>
      </c>
      <c r="AB2238" s="7" t="n"/>
      <c r="AE2238" s="11" t="n"/>
      <c r="AG2238" s="7">
        <f>IF($C2238="","",U2238*X2238/100)</f>
        <v/>
      </c>
      <c r="AH2238" s="7">
        <f>IF($C2238="","",U2238-AG2238)</f>
        <v/>
      </c>
      <c r="AI2238" s="7">
        <f>IF($C2238="","",AH2238-M2238)</f>
        <v/>
      </c>
      <c r="AJ2238">
        <f>IF($C2238="","",IF(COUNTIF($C$2:$C2238,$C2238)=1,1,0))</f>
        <v/>
      </c>
      <c r="AK2238">
        <f>IF($AJ2238=1,SUMPRODUCT(--($AN$2:$AN$4001&lt;$AN2238))+1,"")</f>
        <v/>
      </c>
      <c r="AL2238">
        <f>IF($C2238="","",IF(OR($Q2238=TRUE(),$Q2238="TRUE"),1,0))</f>
        <v/>
      </c>
      <c r="AM2238">
        <f>IF($C2238="","",IF($W2238="Yes",1,0))</f>
        <v/>
      </c>
      <c r="AN2238">
        <f>IF($AJ2238=1,IFERROR(IF(VALUE($C2238)&lt;100000000,VALUE($C2238),1000000000),IFERROR(IF(VALUE(MID($C2238,2,20))&lt;100000000,VALUE(MID($C2238,2,20)),1000000000),1000000000))+ROW()/100000,"")</f>
        <v/>
      </c>
    </row>
    <row r="2239">
      <c r="E2239" s="11" t="n"/>
      <c r="M2239" s="7">
        <f>IF($C2239="","",L2239*U2239/100)</f>
        <v/>
      </c>
      <c r="N2239" s="7" t="n"/>
      <c r="T2239" s="7" t="n"/>
      <c r="U2239" s="7">
        <f>IF($C2239="","",S2239*T2239)</f>
        <v/>
      </c>
      <c r="X2239">
        <f>IF($C2239="","",IF($AM2239=1,0,IF($AL2239=1,Settings!$C$6,Settings!$C$7))*100)</f>
        <v/>
      </c>
      <c r="AB2239" s="7" t="n"/>
      <c r="AE2239" s="11" t="n"/>
      <c r="AG2239" s="7">
        <f>IF($C2239="","",U2239*X2239/100)</f>
        <v/>
      </c>
      <c r="AH2239" s="7">
        <f>IF($C2239="","",U2239-AG2239)</f>
        <v/>
      </c>
      <c r="AI2239" s="7">
        <f>IF($C2239="","",AH2239-M2239)</f>
        <v/>
      </c>
      <c r="AJ2239">
        <f>IF($C2239="","",IF(COUNTIF($C$2:$C2239,$C2239)=1,1,0))</f>
        <v/>
      </c>
      <c r="AK2239">
        <f>IF($AJ2239=1,SUMPRODUCT(--($AN$2:$AN$4001&lt;$AN2239))+1,"")</f>
        <v/>
      </c>
      <c r="AL2239">
        <f>IF($C2239="","",IF(OR($Q2239=TRUE(),$Q2239="TRUE"),1,0))</f>
        <v/>
      </c>
      <c r="AM2239">
        <f>IF($C2239="","",IF($W2239="Yes",1,0))</f>
        <v/>
      </c>
      <c r="AN2239">
        <f>IF($AJ2239=1,IFERROR(IF(VALUE($C2239)&lt;100000000,VALUE($C2239),1000000000),IFERROR(IF(VALUE(MID($C2239,2,20))&lt;100000000,VALUE(MID($C2239,2,20)),1000000000),1000000000))+ROW()/100000,"")</f>
        <v/>
      </c>
    </row>
    <row r="2240">
      <c r="E2240" s="11" t="n"/>
      <c r="M2240" s="7">
        <f>IF($C2240="","",L2240*U2240/100)</f>
        <v/>
      </c>
      <c r="N2240" s="7" t="n"/>
      <c r="T2240" s="7" t="n"/>
      <c r="U2240" s="7">
        <f>IF($C2240="","",S2240*T2240)</f>
        <v/>
      </c>
      <c r="X2240">
        <f>IF($C2240="","",IF($AM2240=1,0,IF($AL2240=1,Settings!$C$6,Settings!$C$7))*100)</f>
        <v/>
      </c>
      <c r="AB2240" s="7" t="n"/>
      <c r="AE2240" s="11" t="n"/>
      <c r="AG2240" s="7">
        <f>IF($C2240="","",U2240*X2240/100)</f>
        <v/>
      </c>
      <c r="AH2240" s="7">
        <f>IF($C2240="","",U2240-AG2240)</f>
        <v/>
      </c>
      <c r="AI2240" s="7">
        <f>IF($C2240="","",AH2240-M2240)</f>
        <v/>
      </c>
      <c r="AJ2240">
        <f>IF($C2240="","",IF(COUNTIF($C$2:$C2240,$C2240)=1,1,0))</f>
        <v/>
      </c>
      <c r="AK2240">
        <f>IF($AJ2240=1,SUMPRODUCT(--($AN$2:$AN$4001&lt;$AN2240))+1,"")</f>
        <v/>
      </c>
      <c r="AL2240">
        <f>IF($C2240="","",IF(OR($Q2240=TRUE(),$Q2240="TRUE"),1,0))</f>
        <v/>
      </c>
      <c r="AM2240">
        <f>IF($C2240="","",IF($W2240="Yes",1,0))</f>
        <v/>
      </c>
      <c r="AN2240">
        <f>IF($AJ2240=1,IFERROR(IF(VALUE($C2240)&lt;100000000,VALUE($C2240),1000000000),IFERROR(IF(VALUE(MID($C2240,2,20))&lt;100000000,VALUE(MID($C2240,2,20)),1000000000),1000000000))+ROW()/100000,"")</f>
        <v/>
      </c>
    </row>
    <row r="2241">
      <c r="E2241" s="11" t="n"/>
      <c r="M2241" s="7">
        <f>IF($C2241="","",L2241*U2241/100)</f>
        <v/>
      </c>
      <c r="N2241" s="7" t="n"/>
      <c r="T2241" s="7" t="n"/>
      <c r="U2241" s="7">
        <f>IF($C2241="","",S2241*T2241)</f>
        <v/>
      </c>
      <c r="X2241">
        <f>IF($C2241="","",IF($AM2241=1,0,IF($AL2241=1,Settings!$C$6,Settings!$C$7))*100)</f>
        <v/>
      </c>
      <c r="AB2241" s="7" t="n"/>
      <c r="AE2241" s="11" t="n"/>
      <c r="AG2241" s="7">
        <f>IF($C2241="","",U2241*X2241/100)</f>
        <v/>
      </c>
      <c r="AH2241" s="7">
        <f>IF($C2241="","",U2241-AG2241)</f>
        <v/>
      </c>
      <c r="AI2241" s="7">
        <f>IF($C2241="","",AH2241-M2241)</f>
        <v/>
      </c>
      <c r="AJ2241">
        <f>IF($C2241="","",IF(COUNTIF($C$2:$C2241,$C2241)=1,1,0))</f>
        <v/>
      </c>
      <c r="AK2241">
        <f>IF($AJ2241=1,SUMPRODUCT(--($AN$2:$AN$4001&lt;$AN2241))+1,"")</f>
        <v/>
      </c>
      <c r="AL2241">
        <f>IF($C2241="","",IF(OR($Q2241=TRUE(),$Q2241="TRUE"),1,0))</f>
        <v/>
      </c>
      <c r="AM2241">
        <f>IF($C2241="","",IF($W2241="Yes",1,0))</f>
        <v/>
      </c>
      <c r="AN2241">
        <f>IF($AJ2241=1,IFERROR(IF(VALUE($C2241)&lt;100000000,VALUE($C2241),1000000000),IFERROR(IF(VALUE(MID($C2241,2,20))&lt;100000000,VALUE(MID($C2241,2,20)),1000000000),1000000000))+ROW()/100000,"")</f>
        <v/>
      </c>
    </row>
    <row r="2242">
      <c r="E2242" s="11" t="n"/>
      <c r="M2242" s="7">
        <f>IF($C2242="","",L2242*U2242/100)</f>
        <v/>
      </c>
      <c r="N2242" s="7" t="n"/>
      <c r="T2242" s="7" t="n"/>
      <c r="U2242" s="7">
        <f>IF($C2242="","",S2242*T2242)</f>
        <v/>
      </c>
      <c r="X2242">
        <f>IF($C2242="","",IF($AM2242=1,0,IF($AL2242=1,Settings!$C$6,Settings!$C$7))*100)</f>
        <v/>
      </c>
      <c r="AB2242" s="7" t="n"/>
      <c r="AE2242" s="11" t="n"/>
      <c r="AG2242" s="7">
        <f>IF($C2242="","",U2242*X2242/100)</f>
        <v/>
      </c>
      <c r="AH2242" s="7">
        <f>IF($C2242="","",U2242-AG2242)</f>
        <v/>
      </c>
      <c r="AI2242" s="7">
        <f>IF($C2242="","",AH2242-M2242)</f>
        <v/>
      </c>
      <c r="AJ2242">
        <f>IF($C2242="","",IF(COUNTIF($C$2:$C2242,$C2242)=1,1,0))</f>
        <v/>
      </c>
      <c r="AK2242">
        <f>IF($AJ2242=1,SUMPRODUCT(--($AN$2:$AN$4001&lt;$AN2242))+1,"")</f>
        <v/>
      </c>
      <c r="AL2242">
        <f>IF($C2242="","",IF(OR($Q2242=TRUE(),$Q2242="TRUE"),1,0))</f>
        <v/>
      </c>
      <c r="AM2242">
        <f>IF($C2242="","",IF($W2242="Yes",1,0))</f>
        <v/>
      </c>
      <c r="AN2242">
        <f>IF($AJ2242=1,IFERROR(IF(VALUE($C2242)&lt;100000000,VALUE($C2242),1000000000),IFERROR(IF(VALUE(MID($C2242,2,20))&lt;100000000,VALUE(MID($C2242,2,20)),1000000000),1000000000))+ROW()/100000,"")</f>
        <v/>
      </c>
    </row>
    <row r="2243">
      <c r="E2243" s="11" t="n"/>
      <c r="M2243" s="7">
        <f>IF($C2243="","",L2243*U2243/100)</f>
        <v/>
      </c>
      <c r="N2243" s="7" t="n"/>
      <c r="T2243" s="7" t="n"/>
      <c r="U2243" s="7">
        <f>IF($C2243="","",S2243*T2243)</f>
        <v/>
      </c>
      <c r="X2243">
        <f>IF($C2243="","",IF($AM2243=1,0,IF($AL2243=1,Settings!$C$6,Settings!$C$7))*100)</f>
        <v/>
      </c>
      <c r="AB2243" s="7" t="n"/>
      <c r="AE2243" s="11" t="n"/>
      <c r="AG2243" s="7">
        <f>IF($C2243="","",U2243*X2243/100)</f>
        <v/>
      </c>
      <c r="AH2243" s="7">
        <f>IF($C2243="","",U2243-AG2243)</f>
        <v/>
      </c>
      <c r="AI2243" s="7">
        <f>IF($C2243="","",AH2243-M2243)</f>
        <v/>
      </c>
      <c r="AJ2243">
        <f>IF($C2243="","",IF(COUNTIF($C$2:$C2243,$C2243)=1,1,0))</f>
        <v/>
      </c>
      <c r="AK2243">
        <f>IF($AJ2243=1,SUMPRODUCT(--($AN$2:$AN$4001&lt;$AN2243))+1,"")</f>
        <v/>
      </c>
      <c r="AL2243">
        <f>IF($C2243="","",IF(OR($Q2243=TRUE(),$Q2243="TRUE"),1,0))</f>
        <v/>
      </c>
      <c r="AM2243">
        <f>IF($C2243="","",IF($W2243="Yes",1,0))</f>
        <v/>
      </c>
      <c r="AN2243">
        <f>IF($AJ2243=1,IFERROR(IF(VALUE($C2243)&lt;100000000,VALUE($C2243),1000000000),IFERROR(IF(VALUE(MID($C2243,2,20))&lt;100000000,VALUE(MID($C2243,2,20)),1000000000),1000000000))+ROW()/100000,"")</f>
        <v/>
      </c>
    </row>
    <row r="2244">
      <c r="E2244" s="11" t="n"/>
      <c r="M2244" s="7">
        <f>IF($C2244="","",L2244*U2244/100)</f>
        <v/>
      </c>
      <c r="N2244" s="7" t="n"/>
      <c r="T2244" s="7" t="n"/>
      <c r="U2244" s="7">
        <f>IF($C2244="","",S2244*T2244)</f>
        <v/>
      </c>
      <c r="X2244">
        <f>IF($C2244="","",IF($AM2244=1,0,IF($AL2244=1,Settings!$C$6,Settings!$C$7))*100)</f>
        <v/>
      </c>
      <c r="AB2244" s="7" t="n"/>
      <c r="AE2244" s="11" t="n"/>
      <c r="AG2244" s="7">
        <f>IF($C2244="","",U2244*X2244/100)</f>
        <v/>
      </c>
      <c r="AH2244" s="7">
        <f>IF($C2244="","",U2244-AG2244)</f>
        <v/>
      </c>
      <c r="AI2244" s="7">
        <f>IF($C2244="","",AH2244-M2244)</f>
        <v/>
      </c>
      <c r="AJ2244">
        <f>IF($C2244="","",IF(COUNTIF($C$2:$C2244,$C2244)=1,1,0))</f>
        <v/>
      </c>
      <c r="AK2244">
        <f>IF($AJ2244=1,SUMPRODUCT(--($AN$2:$AN$4001&lt;$AN2244))+1,"")</f>
        <v/>
      </c>
      <c r="AL2244">
        <f>IF($C2244="","",IF(OR($Q2244=TRUE(),$Q2244="TRUE"),1,0))</f>
        <v/>
      </c>
      <c r="AM2244">
        <f>IF($C2244="","",IF($W2244="Yes",1,0))</f>
        <v/>
      </c>
      <c r="AN2244">
        <f>IF($AJ2244=1,IFERROR(IF(VALUE($C2244)&lt;100000000,VALUE($C2244),1000000000),IFERROR(IF(VALUE(MID($C2244,2,20))&lt;100000000,VALUE(MID($C2244,2,20)),1000000000),1000000000))+ROW()/100000,"")</f>
        <v/>
      </c>
    </row>
    <row r="2245">
      <c r="E2245" s="11" t="n"/>
      <c r="M2245" s="7">
        <f>IF($C2245="","",L2245*U2245/100)</f>
        <v/>
      </c>
      <c r="N2245" s="7" t="n"/>
      <c r="T2245" s="7" t="n"/>
      <c r="U2245" s="7">
        <f>IF($C2245="","",S2245*T2245)</f>
        <v/>
      </c>
      <c r="X2245">
        <f>IF($C2245="","",IF($AM2245=1,0,IF($AL2245=1,Settings!$C$6,Settings!$C$7))*100)</f>
        <v/>
      </c>
      <c r="AB2245" s="7" t="n"/>
      <c r="AE2245" s="11" t="n"/>
      <c r="AG2245" s="7">
        <f>IF($C2245="","",U2245*X2245/100)</f>
        <v/>
      </c>
      <c r="AH2245" s="7">
        <f>IF($C2245="","",U2245-AG2245)</f>
        <v/>
      </c>
      <c r="AI2245" s="7">
        <f>IF($C2245="","",AH2245-M2245)</f>
        <v/>
      </c>
      <c r="AJ2245">
        <f>IF($C2245="","",IF(COUNTIF($C$2:$C2245,$C2245)=1,1,0))</f>
        <v/>
      </c>
      <c r="AK2245">
        <f>IF($AJ2245=1,SUMPRODUCT(--($AN$2:$AN$4001&lt;$AN2245))+1,"")</f>
        <v/>
      </c>
      <c r="AL2245">
        <f>IF($C2245="","",IF(OR($Q2245=TRUE(),$Q2245="TRUE"),1,0))</f>
        <v/>
      </c>
      <c r="AM2245">
        <f>IF($C2245="","",IF($W2245="Yes",1,0))</f>
        <v/>
      </c>
      <c r="AN2245">
        <f>IF($AJ2245=1,IFERROR(IF(VALUE($C2245)&lt;100000000,VALUE($C2245),1000000000),IFERROR(IF(VALUE(MID($C2245,2,20))&lt;100000000,VALUE(MID($C2245,2,20)),1000000000),1000000000))+ROW()/100000,"")</f>
        <v/>
      </c>
    </row>
    <row r="2246">
      <c r="E2246" s="11" t="n"/>
      <c r="M2246" s="7">
        <f>IF($C2246="","",L2246*U2246/100)</f>
        <v/>
      </c>
      <c r="N2246" s="7" t="n"/>
      <c r="T2246" s="7" t="n"/>
      <c r="U2246" s="7">
        <f>IF($C2246="","",S2246*T2246)</f>
        <v/>
      </c>
      <c r="X2246">
        <f>IF($C2246="","",IF($AM2246=1,0,IF($AL2246=1,Settings!$C$6,Settings!$C$7))*100)</f>
        <v/>
      </c>
      <c r="AB2246" s="7" t="n"/>
      <c r="AE2246" s="11" t="n"/>
      <c r="AG2246" s="7">
        <f>IF($C2246="","",U2246*X2246/100)</f>
        <v/>
      </c>
      <c r="AH2246" s="7">
        <f>IF($C2246="","",U2246-AG2246)</f>
        <v/>
      </c>
      <c r="AI2246" s="7">
        <f>IF($C2246="","",AH2246-M2246)</f>
        <v/>
      </c>
      <c r="AJ2246">
        <f>IF($C2246="","",IF(COUNTIF($C$2:$C2246,$C2246)=1,1,0))</f>
        <v/>
      </c>
      <c r="AK2246">
        <f>IF($AJ2246=1,SUMPRODUCT(--($AN$2:$AN$4001&lt;$AN2246))+1,"")</f>
        <v/>
      </c>
      <c r="AL2246">
        <f>IF($C2246="","",IF(OR($Q2246=TRUE(),$Q2246="TRUE"),1,0))</f>
        <v/>
      </c>
      <c r="AM2246">
        <f>IF($C2246="","",IF($W2246="Yes",1,0))</f>
        <v/>
      </c>
      <c r="AN2246">
        <f>IF($AJ2246=1,IFERROR(IF(VALUE($C2246)&lt;100000000,VALUE($C2246),1000000000),IFERROR(IF(VALUE(MID($C2246,2,20))&lt;100000000,VALUE(MID($C2246,2,20)),1000000000),1000000000))+ROW()/100000,"")</f>
        <v/>
      </c>
    </row>
    <row r="2247">
      <c r="E2247" s="11" t="n"/>
      <c r="M2247" s="7">
        <f>IF($C2247="","",L2247*U2247/100)</f>
        <v/>
      </c>
      <c r="N2247" s="7" t="n"/>
      <c r="T2247" s="7" t="n"/>
      <c r="U2247" s="7">
        <f>IF($C2247="","",S2247*T2247)</f>
        <v/>
      </c>
      <c r="X2247">
        <f>IF($C2247="","",IF($AM2247=1,0,IF($AL2247=1,Settings!$C$6,Settings!$C$7))*100)</f>
        <v/>
      </c>
      <c r="AB2247" s="7" t="n"/>
      <c r="AE2247" s="11" t="n"/>
      <c r="AG2247" s="7">
        <f>IF($C2247="","",U2247*X2247/100)</f>
        <v/>
      </c>
      <c r="AH2247" s="7">
        <f>IF($C2247="","",U2247-AG2247)</f>
        <v/>
      </c>
      <c r="AI2247" s="7">
        <f>IF($C2247="","",AH2247-M2247)</f>
        <v/>
      </c>
      <c r="AJ2247">
        <f>IF($C2247="","",IF(COUNTIF($C$2:$C2247,$C2247)=1,1,0))</f>
        <v/>
      </c>
      <c r="AK2247">
        <f>IF($AJ2247=1,SUMPRODUCT(--($AN$2:$AN$4001&lt;$AN2247))+1,"")</f>
        <v/>
      </c>
      <c r="AL2247">
        <f>IF($C2247="","",IF(OR($Q2247=TRUE(),$Q2247="TRUE"),1,0))</f>
        <v/>
      </c>
      <c r="AM2247">
        <f>IF($C2247="","",IF($W2247="Yes",1,0))</f>
        <v/>
      </c>
      <c r="AN2247">
        <f>IF($AJ2247=1,IFERROR(IF(VALUE($C2247)&lt;100000000,VALUE($C2247),1000000000),IFERROR(IF(VALUE(MID($C2247,2,20))&lt;100000000,VALUE(MID($C2247,2,20)),1000000000),1000000000))+ROW()/100000,"")</f>
        <v/>
      </c>
    </row>
    <row r="2248">
      <c r="E2248" s="11" t="n"/>
      <c r="M2248" s="7">
        <f>IF($C2248="","",L2248*U2248/100)</f>
        <v/>
      </c>
      <c r="N2248" s="7" t="n"/>
      <c r="T2248" s="7" t="n"/>
      <c r="U2248" s="7">
        <f>IF($C2248="","",S2248*T2248)</f>
        <v/>
      </c>
      <c r="X2248">
        <f>IF($C2248="","",IF($AM2248=1,0,IF($AL2248=1,Settings!$C$6,Settings!$C$7))*100)</f>
        <v/>
      </c>
      <c r="AB2248" s="7" t="n"/>
      <c r="AE2248" s="11" t="n"/>
      <c r="AG2248" s="7">
        <f>IF($C2248="","",U2248*X2248/100)</f>
        <v/>
      </c>
      <c r="AH2248" s="7">
        <f>IF($C2248="","",U2248-AG2248)</f>
        <v/>
      </c>
      <c r="AI2248" s="7">
        <f>IF($C2248="","",AH2248-M2248)</f>
        <v/>
      </c>
      <c r="AJ2248">
        <f>IF($C2248="","",IF(COUNTIF($C$2:$C2248,$C2248)=1,1,0))</f>
        <v/>
      </c>
      <c r="AK2248">
        <f>IF($AJ2248=1,SUMPRODUCT(--($AN$2:$AN$4001&lt;$AN2248))+1,"")</f>
        <v/>
      </c>
      <c r="AL2248">
        <f>IF($C2248="","",IF(OR($Q2248=TRUE(),$Q2248="TRUE"),1,0))</f>
        <v/>
      </c>
      <c r="AM2248">
        <f>IF($C2248="","",IF($W2248="Yes",1,0))</f>
        <v/>
      </c>
      <c r="AN2248">
        <f>IF($AJ2248=1,IFERROR(IF(VALUE($C2248)&lt;100000000,VALUE($C2248),1000000000),IFERROR(IF(VALUE(MID($C2248,2,20))&lt;100000000,VALUE(MID($C2248,2,20)),1000000000),1000000000))+ROW()/100000,"")</f>
        <v/>
      </c>
    </row>
    <row r="2249">
      <c r="E2249" s="11" t="n"/>
      <c r="M2249" s="7">
        <f>IF($C2249="","",L2249*U2249/100)</f>
        <v/>
      </c>
      <c r="N2249" s="7" t="n"/>
      <c r="T2249" s="7" t="n"/>
      <c r="U2249" s="7">
        <f>IF($C2249="","",S2249*T2249)</f>
        <v/>
      </c>
      <c r="X2249">
        <f>IF($C2249="","",IF($AM2249=1,0,IF($AL2249=1,Settings!$C$6,Settings!$C$7))*100)</f>
        <v/>
      </c>
      <c r="AB2249" s="7" t="n"/>
      <c r="AE2249" s="11" t="n"/>
      <c r="AG2249" s="7">
        <f>IF($C2249="","",U2249*X2249/100)</f>
        <v/>
      </c>
      <c r="AH2249" s="7">
        <f>IF($C2249="","",U2249-AG2249)</f>
        <v/>
      </c>
      <c r="AI2249" s="7">
        <f>IF($C2249="","",AH2249-M2249)</f>
        <v/>
      </c>
      <c r="AJ2249">
        <f>IF($C2249="","",IF(COUNTIF($C$2:$C2249,$C2249)=1,1,0))</f>
        <v/>
      </c>
      <c r="AK2249">
        <f>IF($AJ2249=1,SUMPRODUCT(--($AN$2:$AN$4001&lt;$AN2249))+1,"")</f>
        <v/>
      </c>
      <c r="AL2249">
        <f>IF($C2249="","",IF(OR($Q2249=TRUE(),$Q2249="TRUE"),1,0))</f>
        <v/>
      </c>
      <c r="AM2249">
        <f>IF($C2249="","",IF($W2249="Yes",1,0))</f>
        <v/>
      </c>
      <c r="AN2249">
        <f>IF($AJ2249=1,IFERROR(IF(VALUE($C2249)&lt;100000000,VALUE($C2249),1000000000),IFERROR(IF(VALUE(MID($C2249,2,20))&lt;100000000,VALUE(MID($C2249,2,20)),1000000000),1000000000))+ROW()/100000,"")</f>
        <v/>
      </c>
    </row>
    <row r="2250">
      <c r="E2250" s="11" t="n"/>
      <c r="M2250" s="7">
        <f>IF($C2250="","",L2250*U2250/100)</f>
        <v/>
      </c>
      <c r="N2250" s="7" t="n"/>
      <c r="T2250" s="7" t="n"/>
      <c r="U2250" s="7">
        <f>IF($C2250="","",S2250*T2250)</f>
        <v/>
      </c>
      <c r="X2250">
        <f>IF($C2250="","",IF($AM2250=1,0,IF($AL2250=1,Settings!$C$6,Settings!$C$7))*100)</f>
        <v/>
      </c>
      <c r="AB2250" s="7" t="n"/>
      <c r="AE2250" s="11" t="n"/>
      <c r="AG2250" s="7">
        <f>IF($C2250="","",U2250*X2250/100)</f>
        <v/>
      </c>
      <c r="AH2250" s="7">
        <f>IF($C2250="","",U2250-AG2250)</f>
        <v/>
      </c>
      <c r="AI2250" s="7">
        <f>IF($C2250="","",AH2250-M2250)</f>
        <v/>
      </c>
      <c r="AJ2250">
        <f>IF($C2250="","",IF(COUNTIF($C$2:$C2250,$C2250)=1,1,0))</f>
        <v/>
      </c>
      <c r="AK2250">
        <f>IF($AJ2250=1,SUMPRODUCT(--($AN$2:$AN$4001&lt;$AN2250))+1,"")</f>
        <v/>
      </c>
      <c r="AL2250">
        <f>IF($C2250="","",IF(OR($Q2250=TRUE(),$Q2250="TRUE"),1,0))</f>
        <v/>
      </c>
      <c r="AM2250">
        <f>IF($C2250="","",IF($W2250="Yes",1,0))</f>
        <v/>
      </c>
      <c r="AN2250">
        <f>IF($AJ2250=1,IFERROR(IF(VALUE($C2250)&lt;100000000,VALUE($C2250),1000000000),IFERROR(IF(VALUE(MID($C2250,2,20))&lt;100000000,VALUE(MID($C2250,2,20)),1000000000),1000000000))+ROW()/100000,"")</f>
        <v/>
      </c>
    </row>
    <row r="2251">
      <c r="E2251" s="11" t="n"/>
      <c r="M2251" s="7">
        <f>IF($C2251="","",L2251*U2251/100)</f>
        <v/>
      </c>
      <c r="N2251" s="7" t="n"/>
      <c r="T2251" s="7" t="n"/>
      <c r="U2251" s="7">
        <f>IF($C2251="","",S2251*T2251)</f>
        <v/>
      </c>
      <c r="X2251">
        <f>IF($C2251="","",IF($AM2251=1,0,IF($AL2251=1,Settings!$C$6,Settings!$C$7))*100)</f>
        <v/>
      </c>
      <c r="AB2251" s="7" t="n"/>
      <c r="AE2251" s="11" t="n"/>
      <c r="AG2251" s="7">
        <f>IF($C2251="","",U2251*X2251/100)</f>
        <v/>
      </c>
      <c r="AH2251" s="7">
        <f>IF($C2251="","",U2251-AG2251)</f>
        <v/>
      </c>
      <c r="AI2251" s="7">
        <f>IF($C2251="","",AH2251-M2251)</f>
        <v/>
      </c>
      <c r="AJ2251">
        <f>IF($C2251="","",IF(COUNTIF($C$2:$C2251,$C2251)=1,1,0))</f>
        <v/>
      </c>
      <c r="AK2251">
        <f>IF($AJ2251=1,SUMPRODUCT(--($AN$2:$AN$4001&lt;$AN2251))+1,"")</f>
        <v/>
      </c>
      <c r="AL2251">
        <f>IF($C2251="","",IF(OR($Q2251=TRUE(),$Q2251="TRUE"),1,0))</f>
        <v/>
      </c>
      <c r="AM2251">
        <f>IF($C2251="","",IF($W2251="Yes",1,0))</f>
        <v/>
      </c>
      <c r="AN2251">
        <f>IF($AJ2251=1,IFERROR(IF(VALUE($C2251)&lt;100000000,VALUE($C2251),1000000000),IFERROR(IF(VALUE(MID($C2251,2,20))&lt;100000000,VALUE(MID($C2251,2,20)),1000000000),1000000000))+ROW()/100000,"")</f>
        <v/>
      </c>
    </row>
    <row r="2252">
      <c r="E2252" s="11" t="n"/>
      <c r="M2252" s="7">
        <f>IF($C2252="","",L2252*U2252/100)</f>
        <v/>
      </c>
      <c r="N2252" s="7" t="n"/>
      <c r="T2252" s="7" t="n"/>
      <c r="U2252" s="7">
        <f>IF($C2252="","",S2252*T2252)</f>
        <v/>
      </c>
      <c r="X2252">
        <f>IF($C2252="","",IF($AM2252=1,0,IF($AL2252=1,Settings!$C$6,Settings!$C$7))*100)</f>
        <v/>
      </c>
      <c r="AB2252" s="7" t="n"/>
      <c r="AE2252" s="11" t="n"/>
      <c r="AG2252" s="7">
        <f>IF($C2252="","",U2252*X2252/100)</f>
        <v/>
      </c>
      <c r="AH2252" s="7">
        <f>IF($C2252="","",U2252-AG2252)</f>
        <v/>
      </c>
      <c r="AI2252" s="7">
        <f>IF($C2252="","",AH2252-M2252)</f>
        <v/>
      </c>
      <c r="AJ2252">
        <f>IF($C2252="","",IF(COUNTIF($C$2:$C2252,$C2252)=1,1,0))</f>
        <v/>
      </c>
      <c r="AK2252">
        <f>IF($AJ2252=1,SUMPRODUCT(--($AN$2:$AN$4001&lt;$AN2252))+1,"")</f>
        <v/>
      </c>
      <c r="AL2252">
        <f>IF($C2252="","",IF(OR($Q2252=TRUE(),$Q2252="TRUE"),1,0))</f>
        <v/>
      </c>
      <c r="AM2252">
        <f>IF($C2252="","",IF($W2252="Yes",1,0))</f>
        <v/>
      </c>
      <c r="AN2252">
        <f>IF($AJ2252=1,IFERROR(IF(VALUE($C2252)&lt;100000000,VALUE($C2252),1000000000),IFERROR(IF(VALUE(MID($C2252,2,20))&lt;100000000,VALUE(MID($C2252,2,20)),1000000000),1000000000))+ROW()/100000,"")</f>
        <v/>
      </c>
    </row>
    <row r="2253">
      <c r="E2253" s="11" t="n"/>
      <c r="M2253" s="7">
        <f>IF($C2253="","",L2253*U2253/100)</f>
        <v/>
      </c>
      <c r="N2253" s="7" t="n"/>
      <c r="T2253" s="7" t="n"/>
      <c r="U2253" s="7">
        <f>IF($C2253="","",S2253*T2253)</f>
        <v/>
      </c>
      <c r="X2253">
        <f>IF($C2253="","",IF($AM2253=1,0,IF($AL2253=1,Settings!$C$6,Settings!$C$7))*100)</f>
        <v/>
      </c>
      <c r="AB2253" s="7" t="n"/>
      <c r="AE2253" s="11" t="n"/>
      <c r="AG2253" s="7">
        <f>IF($C2253="","",U2253*X2253/100)</f>
        <v/>
      </c>
      <c r="AH2253" s="7">
        <f>IF($C2253="","",U2253-AG2253)</f>
        <v/>
      </c>
      <c r="AI2253" s="7">
        <f>IF($C2253="","",AH2253-M2253)</f>
        <v/>
      </c>
      <c r="AJ2253">
        <f>IF($C2253="","",IF(COUNTIF($C$2:$C2253,$C2253)=1,1,0))</f>
        <v/>
      </c>
      <c r="AK2253">
        <f>IF($AJ2253=1,SUMPRODUCT(--($AN$2:$AN$4001&lt;$AN2253))+1,"")</f>
        <v/>
      </c>
      <c r="AL2253">
        <f>IF($C2253="","",IF(OR($Q2253=TRUE(),$Q2253="TRUE"),1,0))</f>
        <v/>
      </c>
      <c r="AM2253">
        <f>IF($C2253="","",IF($W2253="Yes",1,0))</f>
        <v/>
      </c>
      <c r="AN2253">
        <f>IF($AJ2253=1,IFERROR(IF(VALUE($C2253)&lt;100000000,VALUE($C2253),1000000000),IFERROR(IF(VALUE(MID($C2253,2,20))&lt;100000000,VALUE(MID($C2253,2,20)),1000000000),1000000000))+ROW()/100000,"")</f>
        <v/>
      </c>
    </row>
    <row r="2254">
      <c r="E2254" s="11" t="n"/>
      <c r="M2254" s="7">
        <f>IF($C2254="","",L2254*U2254/100)</f>
        <v/>
      </c>
      <c r="N2254" s="7" t="n"/>
      <c r="T2254" s="7" t="n"/>
      <c r="U2254" s="7">
        <f>IF($C2254="","",S2254*T2254)</f>
        <v/>
      </c>
      <c r="X2254">
        <f>IF($C2254="","",IF($AM2254=1,0,IF($AL2254=1,Settings!$C$6,Settings!$C$7))*100)</f>
        <v/>
      </c>
      <c r="AB2254" s="7" t="n"/>
      <c r="AE2254" s="11" t="n"/>
      <c r="AG2254" s="7">
        <f>IF($C2254="","",U2254*X2254/100)</f>
        <v/>
      </c>
      <c r="AH2254" s="7">
        <f>IF($C2254="","",U2254-AG2254)</f>
        <v/>
      </c>
      <c r="AI2254" s="7">
        <f>IF($C2254="","",AH2254-M2254)</f>
        <v/>
      </c>
      <c r="AJ2254">
        <f>IF($C2254="","",IF(COUNTIF($C$2:$C2254,$C2254)=1,1,0))</f>
        <v/>
      </c>
      <c r="AK2254">
        <f>IF($AJ2254=1,SUMPRODUCT(--($AN$2:$AN$4001&lt;$AN2254))+1,"")</f>
        <v/>
      </c>
      <c r="AL2254">
        <f>IF($C2254="","",IF(OR($Q2254=TRUE(),$Q2254="TRUE"),1,0))</f>
        <v/>
      </c>
      <c r="AM2254">
        <f>IF($C2254="","",IF($W2254="Yes",1,0))</f>
        <v/>
      </c>
      <c r="AN2254">
        <f>IF($AJ2254=1,IFERROR(IF(VALUE($C2254)&lt;100000000,VALUE($C2254),1000000000),IFERROR(IF(VALUE(MID($C2254,2,20))&lt;100000000,VALUE(MID($C2254,2,20)),1000000000),1000000000))+ROW()/100000,"")</f>
        <v/>
      </c>
    </row>
    <row r="2255">
      <c r="E2255" s="11" t="n"/>
      <c r="M2255" s="7">
        <f>IF($C2255="","",L2255*U2255/100)</f>
        <v/>
      </c>
      <c r="N2255" s="7" t="n"/>
      <c r="T2255" s="7" t="n"/>
      <c r="U2255" s="7">
        <f>IF($C2255="","",S2255*T2255)</f>
        <v/>
      </c>
      <c r="X2255">
        <f>IF($C2255="","",IF($AM2255=1,0,IF($AL2255=1,Settings!$C$6,Settings!$C$7))*100)</f>
        <v/>
      </c>
      <c r="AB2255" s="7" t="n"/>
      <c r="AE2255" s="11" t="n"/>
      <c r="AG2255" s="7">
        <f>IF($C2255="","",U2255*X2255/100)</f>
        <v/>
      </c>
      <c r="AH2255" s="7">
        <f>IF($C2255="","",U2255-AG2255)</f>
        <v/>
      </c>
      <c r="AI2255" s="7">
        <f>IF($C2255="","",AH2255-M2255)</f>
        <v/>
      </c>
      <c r="AJ2255">
        <f>IF($C2255="","",IF(COUNTIF($C$2:$C2255,$C2255)=1,1,0))</f>
        <v/>
      </c>
      <c r="AK2255">
        <f>IF($AJ2255=1,SUMPRODUCT(--($AN$2:$AN$4001&lt;$AN2255))+1,"")</f>
        <v/>
      </c>
      <c r="AL2255">
        <f>IF($C2255="","",IF(OR($Q2255=TRUE(),$Q2255="TRUE"),1,0))</f>
        <v/>
      </c>
      <c r="AM2255">
        <f>IF($C2255="","",IF($W2255="Yes",1,0))</f>
        <v/>
      </c>
      <c r="AN2255">
        <f>IF($AJ2255=1,IFERROR(IF(VALUE($C2255)&lt;100000000,VALUE($C2255),1000000000),IFERROR(IF(VALUE(MID($C2255,2,20))&lt;100000000,VALUE(MID($C2255,2,20)),1000000000),1000000000))+ROW()/100000,"")</f>
        <v/>
      </c>
    </row>
    <row r="2256">
      <c r="E2256" s="11" t="n"/>
      <c r="M2256" s="7">
        <f>IF($C2256="","",L2256*U2256/100)</f>
        <v/>
      </c>
      <c r="N2256" s="7" t="n"/>
      <c r="T2256" s="7" t="n"/>
      <c r="U2256" s="7">
        <f>IF($C2256="","",S2256*T2256)</f>
        <v/>
      </c>
      <c r="X2256">
        <f>IF($C2256="","",IF($AM2256=1,0,IF($AL2256=1,Settings!$C$6,Settings!$C$7))*100)</f>
        <v/>
      </c>
      <c r="AB2256" s="7" t="n"/>
      <c r="AE2256" s="11" t="n"/>
      <c r="AG2256" s="7">
        <f>IF($C2256="","",U2256*X2256/100)</f>
        <v/>
      </c>
      <c r="AH2256" s="7">
        <f>IF($C2256="","",U2256-AG2256)</f>
        <v/>
      </c>
      <c r="AI2256" s="7">
        <f>IF($C2256="","",AH2256-M2256)</f>
        <v/>
      </c>
      <c r="AJ2256">
        <f>IF($C2256="","",IF(COUNTIF($C$2:$C2256,$C2256)=1,1,0))</f>
        <v/>
      </c>
      <c r="AK2256">
        <f>IF($AJ2256=1,SUMPRODUCT(--($AN$2:$AN$4001&lt;$AN2256))+1,"")</f>
        <v/>
      </c>
      <c r="AL2256">
        <f>IF($C2256="","",IF(OR($Q2256=TRUE(),$Q2256="TRUE"),1,0))</f>
        <v/>
      </c>
      <c r="AM2256">
        <f>IF($C2256="","",IF($W2256="Yes",1,0))</f>
        <v/>
      </c>
      <c r="AN2256">
        <f>IF($AJ2256=1,IFERROR(IF(VALUE($C2256)&lt;100000000,VALUE($C2256),1000000000),IFERROR(IF(VALUE(MID($C2256,2,20))&lt;100000000,VALUE(MID($C2256,2,20)),1000000000),1000000000))+ROW()/100000,"")</f>
        <v/>
      </c>
    </row>
    <row r="2257">
      <c r="E2257" s="11" t="n"/>
      <c r="M2257" s="7">
        <f>IF($C2257="","",L2257*U2257/100)</f>
        <v/>
      </c>
      <c r="N2257" s="7" t="n"/>
      <c r="T2257" s="7" t="n"/>
      <c r="U2257" s="7">
        <f>IF($C2257="","",S2257*T2257)</f>
        <v/>
      </c>
      <c r="X2257">
        <f>IF($C2257="","",IF($AM2257=1,0,IF($AL2257=1,Settings!$C$6,Settings!$C$7))*100)</f>
        <v/>
      </c>
      <c r="AB2257" s="7" t="n"/>
      <c r="AE2257" s="11" t="n"/>
      <c r="AG2257" s="7">
        <f>IF($C2257="","",U2257*X2257/100)</f>
        <v/>
      </c>
      <c r="AH2257" s="7">
        <f>IF($C2257="","",U2257-AG2257)</f>
        <v/>
      </c>
      <c r="AI2257" s="7">
        <f>IF($C2257="","",AH2257-M2257)</f>
        <v/>
      </c>
      <c r="AJ2257">
        <f>IF($C2257="","",IF(COUNTIF($C$2:$C2257,$C2257)=1,1,0))</f>
        <v/>
      </c>
      <c r="AK2257">
        <f>IF($AJ2257=1,SUMPRODUCT(--($AN$2:$AN$4001&lt;$AN2257))+1,"")</f>
        <v/>
      </c>
      <c r="AL2257">
        <f>IF($C2257="","",IF(OR($Q2257=TRUE(),$Q2257="TRUE"),1,0))</f>
        <v/>
      </c>
      <c r="AM2257">
        <f>IF($C2257="","",IF($W2257="Yes",1,0))</f>
        <v/>
      </c>
      <c r="AN2257">
        <f>IF($AJ2257=1,IFERROR(IF(VALUE($C2257)&lt;100000000,VALUE($C2257),1000000000),IFERROR(IF(VALUE(MID($C2257,2,20))&lt;100000000,VALUE(MID($C2257,2,20)),1000000000),1000000000))+ROW()/100000,"")</f>
        <v/>
      </c>
    </row>
    <row r="2258">
      <c r="E2258" s="11" t="n"/>
      <c r="M2258" s="7">
        <f>IF($C2258="","",L2258*U2258/100)</f>
        <v/>
      </c>
      <c r="N2258" s="7" t="n"/>
      <c r="T2258" s="7" t="n"/>
      <c r="U2258" s="7">
        <f>IF($C2258="","",S2258*T2258)</f>
        <v/>
      </c>
      <c r="X2258">
        <f>IF($C2258="","",IF($AM2258=1,0,IF($AL2258=1,Settings!$C$6,Settings!$C$7))*100)</f>
        <v/>
      </c>
      <c r="AB2258" s="7" t="n"/>
      <c r="AE2258" s="11" t="n"/>
      <c r="AG2258" s="7">
        <f>IF($C2258="","",U2258*X2258/100)</f>
        <v/>
      </c>
      <c r="AH2258" s="7">
        <f>IF($C2258="","",U2258-AG2258)</f>
        <v/>
      </c>
      <c r="AI2258" s="7">
        <f>IF($C2258="","",AH2258-M2258)</f>
        <v/>
      </c>
      <c r="AJ2258">
        <f>IF($C2258="","",IF(COUNTIF($C$2:$C2258,$C2258)=1,1,0))</f>
        <v/>
      </c>
      <c r="AK2258">
        <f>IF($AJ2258=1,SUMPRODUCT(--($AN$2:$AN$4001&lt;$AN2258))+1,"")</f>
        <v/>
      </c>
      <c r="AL2258">
        <f>IF($C2258="","",IF(OR($Q2258=TRUE(),$Q2258="TRUE"),1,0))</f>
        <v/>
      </c>
      <c r="AM2258">
        <f>IF($C2258="","",IF($W2258="Yes",1,0))</f>
        <v/>
      </c>
      <c r="AN2258">
        <f>IF($AJ2258=1,IFERROR(IF(VALUE($C2258)&lt;100000000,VALUE($C2258),1000000000),IFERROR(IF(VALUE(MID($C2258,2,20))&lt;100000000,VALUE(MID($C2258,2,20)),1000000000),1000000000))+ROW()/100000,"")</f>
        <v/>
      </c>
    </row>
    <row r="2259">
      <c r="E2259" s="11" t="n"/>
      <c r="M2259" s="7">
        <f>IF($C2259="","",L2259*U2259/100)</f>
        <v/>
      </c>
      <c r="N2259" s="7" t="n"/>
      <c r="T2259" s="7" t="n"/>
      <c r="U2259" s="7">
        <f>IF($C2259="","",S2259*T2259)</f>
        <v/>
      </c>
      <c r="X2259">
        <f>IF($C2259="","",IF($AM2259=1,0,IF($AL2259=1,Settings!$C$6,Settings!$C$7))*100)</f>
        <v/>
      </c>
      <c r="AB2259" s="7" t="n"/>
      <c r="AE2259" s="11" t="n"/>
      <c r="AG2259" s="7">
        <f>IF($C2259="","",U2259*X2259/100)</f>
        <v/>
      </c>
      <c r="AH2259" s="7">
        <f>IF($C2259="","",U2259-AG2259)</f>
        <v/>
      </c>
      <c r="AI2259" s="7">
        <f>IF($C2259="","",AH2259-M2259)</f>
        <v/>
      </c>
      <c r="AJ2259">
        <f>IF($C2259="","",IF(COUNTIF($C$2:$C2259,$C2259)=1,1,0))</f>
        <v/>
      </c>
      <c r="AK2259">
        <f>IF($AJ2259=1,SUMPRODUCT(--($AN$2:$AN$4001&lt;$AN2259))+1,"")</f>
        <v/>
      </c>
      <c r="AL2259">
        <f>IF($C2259="","",IF(OR($Q2259=TRUE(),$Q2259="TRUE"),1,0))</f>
        <v/>
      </c>
      <c r="AM2259">
        <f>IF($C2259="","",IF($W2259="Yes",1,0))</f>
        <v/>
      </c>
      <c r="AN2259">
        <f>IF($AJ2259=1,IFERROR(IF(VALUE($C2259)&lt;100000000,VALUE($C2259),1000000000),IFERROR(IF(VALUE(MID($C2259,2,20))&lt;100000000,VALUE(MID($C2259,2,20)),1000000000),1000000000))+ROW()/100000,"")</f>
        <v/>
      </c>
    </row>
    <row r="2260">
      <c r="E2260" s="11" t="n"/>
      <c r="M2260" s="7">
        <f>IF($C2260="","",L2260*U2260/100)</f>
        <v/>
      </c>
      <c r="N2260" s="7" t="n"/>
      <c r="T2260" s="7" t="n"/>
      <c r="U2260" s="7">
        <f>IF($C2260="","",S2260*T2260)</f>
        <v/>
      </c>
      <c r="X2260">
        <f>IF($C2260="","",IF($AM2260=1,0,IF($AL2260=1,Settings!$C$6,Settings!$C$7))*100)</f>
        <v/>
      </c>
      <c r="AB2260" s="7" t="n"/>
      <c r="AE2260" s="11" t="n"/>
      <c r="AG2260" s="7">
        <f>IF($C2260="","",U2260*X2260/100)</f>
        <v/>
      </c>
      <c r="AH2260" s="7">
        <f>IF($C2260="","",U2260-AG2260)</f>
        <v/>
      </c>
      <c r="AI2260" s="7">
        <f>IF($C2260="","",AH2260-M2260)</f>
        <v/>
      </c>
      <c r="AJ2260">
        <f>IF($C2260="","",IF(COUNTIF($C$2:$C2260,$C2260)=1,1,0))</f>
        <v/>
      </c>
      <c r="AK2260">
        <f>IF($AJ2260=1,SUMPRODUCT(--($AN$2:$AN$4001&lt;$AN2260))+1,"")</f>
        <v/>
      </c>
      <c r="AL2260">
        <f>IF($C2260="","",IF(OR($Q2260=TRUE(),$Q2260="TRUE"),1,0))</f>
        <v/>
      </c>
      <c r="AM2260">
        <f>IF($C2260="","",IF($W2260="Yes",1,0))</f>
        <v/>
      </c>
      <c r="AN2260">
        <f>IF($AJ2260=1,IFERROR(IF(VALUE($C2260)&lt;100000000,VALUE($C2260),1000000000),IFERROR(IF(VALUE(MID($C2260,2,20))&lt;100000000,VALUE(MID($C2260,2,20)),1000000000),1000000000))+ROW()/100000,"")</f>
        <v/>
      </c>
    </row>
    <row r="2261">
      <c r="E2261" s="11" t="n"/>
      <c r="M2261" s="7">
        <f>IF($C2261="","",L2261*U2261/100)</f>
        <v/>
      </c>
      <c r="N2261" s="7" t="n"/>
      <c r="T2261" s="7" t="n"/>
      <c r="U2261" s="7">
        <f>IF($C2261="","",S2261*T2261)</f>
        <v/>
      </c>
      <c r="X2261">
        <f>IF($C2261="","",IF($AM2261=1,0,IF($AL2261=1,Settings!$C$6,Settings!$C$7))*100)</f>
        <v/>
      </c>
      <c r="AB2261" s="7" t="n"/>
      <c r="AE2261" s="11" t="n"/>
      <c r="AG2261" s="7">
        <f>IF($C2261="","",U2261*X2261/100)</f>
        <v/>
      </c>
      <c r="AH2261" s="7">
        <f>IF($C2261="","",U2261-AG2261)</f>
        <v/>
      </c>
      <c r="AI2261" s="7">
        <f>IF($C2261="","",AH2261-M2261)</f>
        <v/>
      </c>
      <c r="AJ2261">
        <f>IF($C2261="","",IF(COUNTIF($C$2:$C2261,$C2261)=1,1,0))</f>
        <v/>
      </c>
      <c r="AK2261">
        <f>IF($AJ2261=1,SUMPRODUCT(--($AN$2:$AN$4001&lt;$AN2261))+1,"")</f>
        <v/>
      </c>
      <c r="AL2261">
        <f>IF($C2261="","",IF(OR($Q2261=TRUE(),$Q2261="TRUE"),1,0))</f>
        <v/>
      </c>
      <c r="AM2261">
        <f>IF($C2261="","",IF($W2261="Yes",1,0))</f>
        <v/>
      </c>
      <c r="AN2261">
        <f>IF($AJ2261=1,IFERROR(IF(VALUE($C2261)&lt;100000000,VALUE($C2261),1000000000),IFERROR(IF(VALUE(MID($C2261,2,20))&lt;100000000,VALUE(MID($C2261,2,20)),1000000000),1000000000))+ROW()/100000,"")</f>
        <v/>
      </c>
    </row>
    <row r="2262">
      <c r="E2262" s="11" t="n"/>
      <c r="M2262" s="7">
        <f>IF($C2262="","",L2262*U2262/100)</f>
        <v/>
      </c>
      <c r="N2262" s="7" t="n"/>
      <c r="T2262" s="7" t="n"/>
      <c r="U2262" s="7">
        <f>IF($C2262="","",S2262*T2262)</f>
        <v/>
      </c>
      <c r="X2262">
        <f>IF($C2262="","",IF($AM2262=1,0,IF($AL2262=1,Settings!$C$6,Settings!$C$7))*100)</f>
        <v/>
      </c>
      <c r="AB2262" s="7" t="n"/>
      <c r="AE2262" s="11" t="n"/>
      <c r="AG2262" s="7">
        <f>IF($C2262="","",U2262*X2262/100)</f>
        <v/>
      </c>
      <c r="AH2262" s="7">
        <f>IF($C2262="","",U2262-AG2262)</f>
        <v/>
      </c>
      <c r="AI2262" s="7">
        <f>IF($C2262="","",AH2262-M2262)</f>
        <v/>
      </c>
      <c r="AJ2262">
        <f>IF($C2262="","",IF(COUNTIF($C$2:$C2262,$C2262)=1,1,0))</f>
        <v/>
      </c>
      <c r="AK2262">
        <f>IF($AJ2262=1,SUMPRODUCT(--($AN$2:$AN$4001&lt;$AN2262))+1,"")</f>
        <v/>
      </c>
      <c r="AL2262">
        <f>IF($C2262="","",IF(OR($Q2262=TRUE(),$Q2262="TRUE"),1,0))</f>
        <v/>
      </c>
      <c r="AM2262">
        <f>IF($C2262="","",IF($W2262="Yes",1,0))</f>
        <v/>
      </c>
      <c r="AN2262">
        <f>IF($AJ2262=1,IFERROR(IF(VALUE($C2262)&lt;100000000,VALUE($C2262),1000000000),IFERROR(IF(VALUE(MID($C2262,2,20))&lt;100000000,VALUE(MID($C2262,2,20)),1000000000),1000000000))+ROW()/100000,"")</f>
        <v/>
      </c>
    </row>
    <row r="2263">
      <c r="E2263" s="11" t="n"/>
      <c r="M2263" s="7">
        <f>IF($C2263="","",L2263*U2263/100)</f>
        <v/>
      </c>
      <c r="N2263" s="7" t="n"/>
      <c r="T2263" s="7" t="n"/>
      <c r="U2263" s="7">
        <f>IF($C2263="","",S2263*T2263)</f>
        <v/>
      </c>
      <c r="X2263">
        <f>IF($C2263="","",IF($AM2263=1,0,IF($AL2263=1,Settings!$C$6,Settings!$C$7))*100)</f>
        <v/>
      </c>
      <c r="AB2263" s="7" t="n"/>
      <c r="AE2263" s="11" t="n"/>
      <c r="AG2263" s="7">
        <f>IF($C2263="","",U2263*X2263/100)</f>
        <v/>
      </c>
      <c r="AH2263" s="7">
        <f>IF($C2263="","",U2263-AG2263)</f>
        <v/>
      </c>
      <c r="AI2263" s="7">
        <f>IF($C2263="","",AH2263-M2263)</f>
        <v/>
      </c>
      <c r="AJ2263">
        <f>IF($C2263="","",IF(COUNTIF($C$2:$C2263,$C2263)=1,1,0))</f>
        <v/>
      </c>
      <c r="AK2263">
        <f>IF($AJ2263=1,SUMPRODUCT(--($AN$2:$AN$4001&lt;$AN2263))+1,"")</f>
        <v/>
      </c>
      <c r="AL2263">
        <f>IF($C2263="","",IF(OR($Q2263=TRUE(),$Q2263="TRUE"),1,0))</f>
        <v/>
      </c>
      <c r="AM2263">
        <f>IF($C2263="","",IF($W2263="Yes",1,0))</f>
        <v/>
      </c>
      <c r="AN2263">
        <f>IF($AJ2263=1,IFERROR(IF(VALUE($C2263)&lt;100000000,VALUE($C2263),1000000000),IFERROR(IF(VALUE(MID($C2263,2,20))&lt;100000000,VALUE(MID($C2263,2,20)),1000000000),1000000000))+ROW()/100000,"")</f>
        <v/>
      </c>
    </row>
    <row r="2264">
      <c r="E2264" s="11" t="n"/>
      <c r="M2264" s="7">
        <f>IF($C2264="","",L2264*U2264/100)</f>
        <v/>
      </c>
      <c r="N2264" s="7" t="n"/>
      <c r="T2264" s="7" t="n"/>
      <c r="U2264" s="7">
        <f>IF($C2264="","",S2264*T2264)</f>
        <v/>
      </c>
      <c r="X2264">
        <f>IF($C2264="","",IF($AM2264=1,0,IF($AL2264=1,Settings!$C$6,Settings!$C$7))*100)</f>
        <v/>
      </c>
      <c r="AB2264" s="7" t="n"/>
      <c r="AE2264" s="11" t="n"/>
      <c r="AG2264" s="7">
        <f>IF($C2264="","",U2264*X2264/100)</f>
        <v/>
      </c>
      <c r="AH2264" s="7">
        <f>IF($C2264="","",U2264-AG2264)</f>
        <v/>
      </c>
      <c r="AI2264" s="7">
        <f>IF($C2264="","",AH2264-M2264)</f>
        <v/>
      </c>
      <c r="AJ2264">
        <f>IF($C2264="","",IF(COUNTIF($C$2:$C2264,$C2264)=1,1,0))</f>
        <v/>
      </c>
      <c r="AK2264">
        <f>IF($AJ2264=1,SUMPRODUCT(--($AN$2:$AN$4001&lt;$AN2264))+1,"")</f>
        <v/>
      </c>
      <c r="AL2264">
        <f>IF($C2264="","",IF(OR($Q2264=TRUE(),$Q2264="TRUE"),1,0))</f>
        <v/>
      </c>
      <c r="AM2264">
        <f>IF($C2264="","",IF($W2264="Yes",1,0))</f>
        <v/>
      </c>
      <c r="AN2264">
        <f>IF($AJ2264=1,IFERROR(IF(VALUE($C2264)&lt;100000000,VALUE($C2264),1000000000),IFERROR(IF(VALUE(MID($C2264,2,20))&lt;100000000,VALUE(MID($C2264,2,20)),1000000000),1000000000))+ROW()/100000,"")</f>
        <v/>
      </c>
    </row>
    <row r="2265">
      <c r="E2265" s="11" t="n"/>
      <c r="M2265" s="7">
        <f>IF($C2265="","",L2265*U2265/100)</f>
        <v/>
      </c>
      <c r="N2265" s="7" t="n"/>
      <c r="T2265" s="7" t="n"/>
      <c r="U2265" s="7">
        <f>IF($C2265="","",S2265*T2265)</f>
        <v/>
      </c>
      <c r="X2265">
        <f>IF($C2265="","",IF($AM2265=1,0,IF($AL2265=1,Settings!$C$6,Settings!$C$7))*100)</f>
        <v/>
      </c>
      <c r="AB2265" s="7" t="n"/>
      <c r="AE2265" s="11" t="n"/>
      <c r="AG2265" s="7">
        <f>IF($C2265="","",U2265*X2265/100)</f>
        <v/>
      </c>
      <c r="AH2265" s="7">
        <f>IF($C2265="","",U2265-AG2265)</f>
        <v/>
      </c>
      <c r="AI2265" s="7">
        <f>IF($C2265="","",AH2265-M2265)</f>
        <v/>
      </c>
      <c r="AJ2265">
        <f>IF($C2265="","",IF(COUNTIF($C$2:$C2265,$C2265)=1,1,0))</f>
        <v/>
      </c>
      <c r="AK2265">
        <f>IF($AJ2265=1,SUMPRODUCT(--($AN$2:$AN$4001&lt;$AN2265))+1,"")</f>
        <v/>
      </c>
      <c r="AL2265">
        <f>IF($C2265="","",IF(OR($Q2265=TRUE(),$Q2265="TRUE"),1,0))</f>
        <v/>
      </c>
      <c r="AM2265">
        <f>IF($C2265="","",IF($W2265="Yes",1,0))</f>
        <v/>
      </c>
      <c r="AN2265">
        <f>IF($AJ2265=1,IFERROR(IF(VALUE($C2265)&lt;100000000,VALUE($C2265),1000000000),IFERROR(IF(VALUE(MID($C2265,2,20))&lt;100000000,VALUE(MID($C2265,2,20)),1000000000),1000000000))+ROW()/100000,"")</f>
        <v/>
      </c>
    </row>
    <row r="2266">
      <c r="E2266" s="11" t="n"/>
      <c r="M2266" s="7">
        <f>IF($C2266="","",L2266*U2266/100)</f>
        <v/>
      </c>
      <c r="N2266" s="7" t="n"/>
      <c r="T2266" s="7" t="n"/>
      <c r="U2266" s="7">
        <f>IF($C2266="","",S2266*T2266)</f>
        <v/>
      </c>
      <c r="X2266">
        <f>IF($C2266="","",IF($AM2266=1,0,IF($AL2266=1,Settings!$C$6,Settings!$C$7))*100)</f>
        <v/>
      </c>
      <c r="AB2266" s="7" t="n"/>
      <c r="AE2266" s="11" t="n"/>
      <c r="AG2266" s="7">
        <f>IF($C2266="","",U2266*X2266/100)</f>
        <v/>
      </c>
      <c r="AH2266" s="7">
        <f>IF($C2266="","",U2266-AG2266)</f>
        <v/>
      </c>
      <c r="AI2266" s="7">
        <f>IF($C2266="","",AH2266-M2266)</f>
        <v/>
      </c>
      <c r="AJ2266">
        <f>IF($C2266="","",IF(COUNTIF($C$2:$C2266,$C2266)=1,1,0))</f>
        <v/>
      </c>
      <c r="AK2266">
        <f>IF($AJ2266=1,SUMPRODUCT(--($AN$2:$AN$4001&lt;$AN2266))+1,"")</f>
        <v/>
      </c>
      <c r="AL2266">
        <f>IF($C2266="","",IF(OR($Q2266=TRUE(),$Q2266="TRUE"),1,0))</f>
        <v/>
      </c>
      <c r="AM2266">
        <f>IF($C2266="","",IF($W2266="Yes",1,0))</f>
        <v/>
      </c>
      <c r="AN2266">
        <f>IF($AJ2266=1,IFERROR(IF(VALUE($C2266)&lt;100000000,VALUE($C2266),1000000000),IFERROR(IF(VALUE(MID($C2266,2,20))&lt;100000000,VALUE(MID($C2266,2,20)),1000000000),1000000000))+ROW()/100000,"")</f>
        <v/>
      </c>
    </row>
    <row r="2267">
      <c r="E2267" s="11" t="n"/>
      <c r="M2267" s="7">
        <f>IF($C2267="","",L2267*U2267/100)</f>
        <v/>
      </c>
      <c r="N2267" s="7" t="n"/>
      <c r="T2267" s="7" t="n"/>
      <c r="U2267" s="7">
        <f>IF($C2267="","",S2267*T2267)</f>
        <v/>
      </c>
      <c r="X2267">
        <f>IF($C2267="","",IF($AM2267=1,0,IF($AL2267=1,Settings!$C$6,Settings!$C$7))*100)</f>
        <v/>
      </c>
      <c r="AB2267" s="7" t="n"/>
      <c r="AE2267" s="11" t="n"/>
      <c r="AG2267" s="7">
        <f>IF($C2267="","",U2267*X2267/100)</f>
        <v/>
      </c>
      <c r="AH2267" s="7">
        <f>IF($C2267="","",U2267-AG2267)</f>
        <v/>
      </c>
      <c r="AI2267" s="7">
        <f>IF($C2267="","",AH2267-M2267)</f>
        <v/>
      </c>
      <c r="AJ2267">
        <f>IF($C2267="","",IF(COUNTIF($C$2:$C2267,$C2267)=1,1,0))</f>
        <v/>
      </c>
      <c r="AK2267">
        <f>IF($AJ2267=1,SUMPRODUCT(--($AN$2:$AN$4001&lt;$AN2267))+1,"")</f>
        <v/>
      </c>
      <c r="AL2267">
        <f>IF($C2267="","",IF(OR($Q2267=TRUE(),$Q2267="TRUE"),1,0))</f>
        <v/>
      </c>
      <c r="AM2267">
        <f>IF($C2267="","",IF($W2267="Yes",1,0))</f>
        <v/>
      </c>
      <c r="AN2267">
        <f>IF($AJ2267=1,IFERROR(IF(VALUE($C2267)&lt;100000000,VALUE($C2267),1000000000),IFERROR(IF(VALUE(MID($C2267,2,20))&lt;100000000,VALUE(MID($C2267,2,20)),1000000000),1000000000))+ROW()/100000,"")</f>
        <v/>
      </c>
    </row>
    <row r="2268">
      <c r="E2268" s="11" t="n"/>
      <c r="M2268" s="7">
        <f>IF($C2268="","",L2268*U2268/100)</f>
        <v/>
      </c>
      <c r="N2268" s="7" t="n"/>
      <c r="T2268" s="7" t="n"/>
      <c r="U2268" s="7">
        <f>IF($C2268="","",S2268*T2268)</f>
        <v/>
      </c>
      <c r="X2268">
        <f>IF($C2268="","",IF($AM2268=1,0,IF($AL2268=1,Settings!$C$6,Settings!$C$7))*100)</f>
        <v/>
      </c>
      <c r="AB2268" s="7" t="n"/>
      <c r="AE2268" s="11" t="n"/>
      <c r="AG2268" s="7">
        <f>IF($C2268="","",U2268*X2268/100)</f>
        <v/>
      </c>
      <c r="AH2268" s="7">
        <f>IF($C2268="","",U2268-AG2268)</f>
        <v/>
      </c>
      <c r="AI2268" s="7">
        <f>IF($C2268="","",AH2268-M2268)</f>
        <v/>
      </c>
      <c r="AJ2268">
        <f>IF($C2268="","",IF(COUNTIF($C$2:$C2268,$C2268)=1,1,0))</f>
        <v/>
      </c>
      <c r="AK2268">
        <f>IF($AJ2268=1,SUMPRODUCT(--($AN$2:$AN$4001&lt;$AN2268))+1,"")</f>
        <v/>
      </c>
      <c r="AL2268">
        <f>IF($C2268="","",IF(OR($Q2268=TRUE(),$Q2268="TRUE"),1,0))</f>
        <v/>
      </c>
      <c r="AM2268">
        <f>IF($C2268="","",IF($W2268="Yes",1,0))</f>
        <v/>
      </c>
      <c r="AN2268">
        <f>IF($AJ2268=1,IFERROR(IF(VALUE($C2268)&lt;100000000,VALUE($C2268),1000000000),IFERROR(IF(VALUE(MID($C2268,2,20))&lt;100000000,VALUE(MID($C2268,2,20)),1000000000),1000000000))+ROW()/100000,"")</f>
        <v/>
      </c>
    </row>
    <row r="2269">
      <c r="E2269" s="11" t="n"/>
      <c r="M2269" s="7">
        <f>IF($C2269="","",L2269*U2269/100)</f>
        <v/>
      </c>
      <c r="N2269" s="7" t="n"/>
      <c r="T2269" s="7" t="n"/>
      <c r="U2269" s="7">
        <f>IF($C2269="","",S2269*T2269)</f>
        <v/>
      </c>
      <c r="X2269">
        <f>IF($C2269="","",IF($AM2269=1,0,IF($AL2269=1,Settings!$C$6,Settings!$C$7))*100)</f>
        <v/>
      </c>
      <c r="AB2269" s="7" t="n"/>
      <c r="AE2269" s="11" t="n"/>
      <c r="AG2269" s="7">
        <f>IF($C2269="","",U2269*X2269/100)</f>
        <v/>
      </c>
      <c r="AH2269" s="7">
        <f>IF($C2269="","",U2269-AG2269)</f>
        <v/>
      </c>
      <c r="AI2269" s="7">
        <f>IF($C2269="","",AH2269-M2269)</f>
        <v/>
      </c>
      <c r="AJ2269">
        <f>IF($C2269="","",IF(COUNTIF($C$2:$C2269,$C2269)=1,1,0))</f>
        <v/>
      </c>
      <c r="AK2269">
        <f>IF($AJ2269=1,SUMPRODUCT(--($AN$2:$AN$4001&lt;$AN2269))+1,"")</f>
        <v/>
      </c>
      <c r="AL2269">
        <f>IF($C2269="","",IF(OR($Q2269=TRUE(),$Q2269="TRUE"),1,0))</f>
        <v/>
      </c>
      <c r="AM2269">
        <f>IF($C2269="","",IF($W2269="Yes",1,0))</f>
        <v/>
      </c>
      <c r="AN2269">
        <f>IF($AJ2269=1,IFERROR(IF(VALUE($C2269)&lt;100000000,VALUE($C2269),1000000000),IFERROR(IF(VALUE(MID($C2269,2,20))&lt;100000000,VALUE(MID($C2269,2,20)),1000000000),1000000000))+ROW()/100000,"")</f>
        <v/>
      </c>
    </row>
    <row r="2270">
      <c r="E2270" s="11" t="n"/>
      <c r="M2270" s="7">
        <f>IF($C2270="","",L2270*U2270/100)</f>
        <v/>
      </c>
      <c r="N2270" s="7" t="n"/>
      <c r="T2270" s="7" t="n"/>
      <c r="U2270" s="7">
        <f>IF($C2270="","",S2270*T2270)</f>
        <v/>
      </c>
      <c r="X2270">
        <f>IF($C2270="","",IF($AM2270=1,0,IF($AL2270=1,Settings!$C$6,Settings!$C$7))*100)</f>
        <v/>
      </c>
      <c r="AB2270" s="7" t="n"/>
      <c r="AE2270" s="11" t="n"/>
      <c r="AG2270" s="7">
        <f>IF($C2270="","",U2270*X2270/100)</f>
        <v/>
      </c>
      <c r="AH2270" s="7">
        <f>IF($C2270="","",U2270-AG2270)</f>
        <v/>
      </c>
      <c r="AI2270" s="7">
        <f>IF($C2270="","",AH2270-M2270)</f>
        <v/>
      </c>
      <c r="AJ2270">
        <f>IF($C2270="","",IF(COUNTIF($C$2:$C2270,$C2270)=1,1,0))</f>
        <v/>
      </c>
      <c r="AK2270">
        <f>IF($AJ2270=1,SUMPRODUCT(--($AN$2:$AN$4001&lt;$AN2270))+1,"")</f>
        <v/>
      </c>
      <c r="AL2270">
        <f>IF($C2270="","",IF(OR($Q2270=TRUE(),$Q2270="TRUE"),1,0))</f>
        <v/>
      </c>
      <c r="AM2270">
        <f>IF($C2270="","",IF($W2270="Yes",1,0))</f>
        <v/>
      </c>
      <c r="AN2270">
        <f>IF($AJ2270=1,IFERROR(IF(VALUE($C2270)&lt;100000000,VALUE($C2270),1000000000),IFERROR(IF(VALUE(MID($C2270,2,20))&lt;100000000,VALUE(MID($C2270,2,20)),1000000000),1000000000))+ROW()/100000,"")</f>
        <v/>
      </c>
    </row>
    <row r="2271">
      <c r="E2271" s="11" t="n"/>
      <c r="M2271" s="7">
        <f>IF($C2271="","",L2271*U2271/100)</f>
        <v/>
      </c>
      <c r="N2271" s="7" t="n"/>
      <c r="T2271" s="7" t="n"/>
      <c r="U2271" s="7">
        <f>IF($C2271="","",S2271*T2271)</f>
        <v/>
      </c>
      <c r="X2271">
        <f>IF($C2271="","",IF($AM2271=1,0,IF($AL2271=1,Settings!$C$6,Settings!$C$7))*100)</f>
        <v/>
      </c>
      <c r="AB2271" s="7" t="n"/>
      <c r="AE2271" s="11" t="n"/>
      <c r="AG2271" s="7">
        <f>IF($C2271="","",U2271*X2271/100)</f>
        <v/>
      </c>
      <c r="AH2271" s="7">
        <f>IF($C2271="","",U2271-AG2271)</f>
        <v/>
      </c>
      <c r="AI2271" s="7">
        <f>IF($C2271="","",AH2271-M2271)</f>
        <v/>
      </c>
      <c r="AJ2271">
        <f>IF($C2271="","",IF(COUNTIF($C$2:$C2271,$C2271)=1,1,0))</f>
        <v/>
      </c>
      <c r="AK2271">
        <f>IF($AJ2271=1,SUMPRODUCT(--($AN$2:$AN$4001&lt;$AN2271))+1,"")</f>
        <v/>
      </c>
      <c r="AL2271">
        <f>IF($C2271="","",IF(OR($Q2271=TRUE(),$Q2271="TRUE"),1,0))</f>
        <v/>
      </c>
      <c r="AM2271">
        <f>IF($C2271="","",IF($W2271="Yes",1,0))</f>
        <v/>
      </c>
      <c r="AN2271">
        <f>IF($AJ2271=1,IFERROR(IF(VALUE($C2271)&lt;100000000,VALUE($C2271),1000000000),IFERROR(IF(VALUE(MID($C2271,2,20))&lt;100000000,VALUE(MID($C2271,2,20)),1000000000),1000000000))+ROW()/100000,"")</f>
        <v/>
      </c>
    </row>
    <row r="2272">
      <c r="E2272" s="11" t="n"/>
      <c r="M2272" s="7">
        <f>IF($C2272="","",L2272*U2272/100)</f>
        <v/>
      </c>
      <c r="N2272" s="7" t="n"/>
      <c r="T2272" s="7" t="n"/>
      <c r="U2272" s="7">
        <f>IF($C2272="","",S2272*T2272)</f>
        <v/>
      </c>
      <c r="X2272">
        <f>IF($C2272="","",IF($AM2272=1,0,IF($AL2272=1,Settings!$C$6,Settings!$C$7))*100)</f>
        <v/>
      </c>
      <c r="AB2272" s="7" t="n"/>
      <c r="AE2272" s="11" t="n"/>
      <c r="AG2272" s="7">
        <f>IF($C2272="","",U2272*X2272/100)</f>
        <v/>
      </c>
      <c r="AH2272" s="7">
        <f>IF($C2272="","",U2272-AG2272)</f>
        <v/>
      </c>
      <c r="AI2272" s="7">
        <f>IF($C2272="","",AH2272-M2272)</f>
        <v/>
      </c>
      <c r="AJ2272">
        <f>IF($C2272="","",IF(COUNTIF($C$2:$C2272,$C2272)=1,1,0))</f>
        <v/>
      </c>
      <c r="AK2272">
        <f>IF($AJ2272=1,SUMPRODUCT(--($AN$2:$AN$4001&lt;$AN2272))+1,"")</f>
        <v/>
      </c>
      <c r="AL2272">
        <f>IF($C2272="","",IF(OR($Q2272=TRUE(),$Q2272="TRUE"),1,0))</f>
        <v/>
      </c>
      <c r="AM2272">
        <f>IF($C2272="","",IF($W2272="Yes",1,0))</f>
        <v/>
      </c>
      <c r="AN2272">
        <f>IF($AJ2272=1,IFERROR(IF(VALUE($C2272)&lt;100000000,VALUE($C2272),1000000000),IFERROR(IF(VALUE(MID($C2272,2,20))&lt;100000000,VALUE(MID($C2272,2,20)),1000000000),1000000000))+ROW()/100000,"")</f>
        <v/>
      </c>
    </row>
    <row r="2273">
      <c r="E2273" s="11" t="n"/>
      <c r="M2273" s="7">
        <f>IF($C2273="","",L2273*U2273/100)</f>
        <v/>
      </c>
      <c r="N2273" s="7" t="n"/>
      <c r="T2273" s="7" t="n"/>
      <c r="U2273" s="7">
        <f>IF($C2273="","",S2273*T2273)</f>
        <v/>
      </c>
      <c r="X2273">
        <f>IF($C2273="","",IF($AM2273=1,0,IF($AL2273=1,Settings!$C$6,Settings!$C$7))*100)</f>
        <v/>
      </c>
      <c r="AB2273" s="7" t="n"/>
      <c r="AE2273" s="11" t="n"/>
      <c r="AG2273" s="7">
        <f>IF($C2273="","",U2273*X2273/100)</f>
        <v/>
      </c>
      <c r="AH2273" s="7">
        <f>IF($C2273="","",U2273-AG2273)</f>
        <v/>
      </c>
      <c r="AI2273" s="7">
        <f>IF($C2273="","",AH2273-M2273)</f>
        <v/>
      </c>
      <c r="AJ2273">
        <f>IF($C2273="","",IF(COUNTIF($C$2:$C2273,$C2273)=1,1,0))</f>
        <v/>
      </c>
      <c r="AK2273">
        <f>IF($AJ2273=1,SUMPRODUCT(--($AN$2:$AN$4001&lt;$AN2273))+1,"")</f>
        <v/>
      </c>
      <c r="AL2273">
        <f>IF($C2273="","",IF(OR($Q2273=TRUE(),$Q2273="TRUE"),1,0))</f>
        <v/>
      </c>
      <c r="AM2273">
        <f>IF($C2273="","",IF($W2273="Yes",1,0))</f>
        <v/>
      </c>
      <c r="AN2273">
        <f>IF($AJ2273=1,IFERROR(IF(VALUE($C2273)&lt;100000000,VALUE($C2273),1000000000),IFERROR(IF(VALUE(MID($C2273,2,20))&lt;100000000,VALUE(MID($C2273,2,20)),1000000000),1000000000))+ROW()/100000,"")</f>
        <v/>
      </c>
    </row>
    <row r="2274">
      <c r="E2274" s="11" t="n"/>
      <c r="M2274" s="7">
        <f>IF($C2274="","",L2274*U2274/100)</f>
        <v/>
      </c>
      <c r="N2274" s="7" t="n"/>
      <c r="T2274" s="7" t="n"/>
      <c r="U2274" s="7">
        <f>IF($C2274="","",S2274*T2274)</f>
        <v/>
      </c>
      <c r="X2274">
        <f>IF($C2274="","",IF($AM2274=1,0,IF($AL2274=1,Settings!$C$6,Settings!$C$7))*100)</f>
        <v/>
      </c>
      <c r="AB2274" s="7" t="n"/>
      <c r="AE2274" s="11" t="n"/>
      <c r="AG2274" s="7">
        <f>IF($C2274="","",U2274*X2274/100)</f>
        <v/>
      </c>
      <c r="AH2274" s="7">
        <f>IF($C2274="","",U2274-AG2274)</f>
        <v/>
      </c>
      <c r="AI2274" s="7">
        <f>IF($C2274="","",AH2274-M2274)</f>
        <v/>
      </c>
      <c r="AJ2274">
        <f>IF($C2274="","",IF(COUNTIF($C$2:$C2274,$C2274)=1,1,0))</f>
        <v/>
      </c>
      <c r="AK2274">
        <f>IF($AJ2274=1,SUMPRODUCT(--($AN$2:$AN$4001&lt;$AN2274))+1,"")</f>
        <v/>
      </c>
      <c r="AL2274">
        <f>IF($C2274="","",IF(OR($Q2274=TRUE(),$Q2274="TRUE"),1,0))</f>
        <v/>
      </c>
      <c r="AM2274">
        <f>IF($C2274="","",IF($W2274="Yes",1,0))</f>
        <v/>
      </c>
      <c r="AN2274">
        <f>IF($AJ2274=1,IFERROR(IF(VALUE($C2274)&lt;100000000,VALUE($C2274),1000000000),IFERROR(IF(VALUE(MID($C2274,2,20))&lt;100000000,VALUE(MID($C2274,2,20)),1000000000),1000000000))+ROW()/100000,"")</f>
        <v/>
      </c>
    </row>
    <row r="2275">
      <c r="E2275" s="11" t="n"/>
      <c r="M2275" s="7">
        <f>IF($C2275="","",L2275*U2275/100)</f>
        <v/>
      </c>
      <c r="N2275" s="7" t="n"/>
      <c r="T2275" s="7" t="n"/>
      <c r="U2275" s="7">
        <f>IF($C2275="","",S2275*T2275)</f>
        <v/>
      </c>
      <c r="X2275">
        <f>IF($C2275="","",IF($AM2275=1,0,IF($AL2275=1,Settings!$C$6,Settings!$C$7))*100)</f>
        <v/>
      </c>
      <c r="AB2275" s="7" t="n"/>
      <c r="AE2275" s="11" t="n"/>
      <c r="AG2275" s="7">
        <f>IF($C2275="","",U2275*X2275/100)</f>
        <v/>
      </c>
      <c r="AH2275" s="7">
        <f>IF($C2275="","",U2275-AG2275)</f>
        <v/>
      </c>
      <c r="AI2275" s="7">
        <f>IF($C2275="","",AH2275-M2275)</f>
        <v/>
      </c>
      <c r="AJ2275">
        <f>IF($C2275="","",IF(COUNTIF($C$2:$C2275,$C2275)=1,1,0))</f>
        <v/>
      </c>
      <c r="AK2275">
        <f>IF($AJ2275=1,SUMPRODUCT(--($AN$2:$AN$4001&lt;$AN2275))+1,"")</f>
        <v/>
      </c>
      <c r="AL2275">
        <f>IF($C2275="","",IF(OR($Q2275=TRUE(),$Q2275="TRUE"),1,0))</f>
        <v/>
      </c>
      <c r="AM2275">
        <f>IF($C2275="","",IF($W2275="Yes",1,0))</f>
        <v/>
      </c>
      <c r="AN2275">
        <f>IF($AJ2275=1,IFERROR(IF(VALUE($C2275)&lt;100000000,VALUE($C2275),1000000000),IFERROR(IF(VALUE(MID($C2275,2,20))&lt;100000000,VALUE(MID($C2275,2,20)),1000000000),1000000000))+ROW()/100000,"")</f>
        <v/>
      </c>
    </row>
    <row r="2276">
      <c r="E2276" s="11" t="n"/>
      <c r="M2276" s="7">
        <f>IF($C2276="","",L2276*U2276/100)</f>
        <v/>
      </c>
      <c r="N2276" s="7" t="n"/>
      <c r="T2276" s="7" t="n"/>
      <c r="U2276" s="7">
        <f>IF($C2276="","",S2276*T2276)</f>
        <v/>
      </c>
      <c r="X2276">
        <f>IF($C2276="","",IF($AM2276=1,0,IF($AL2276=1,Settings!$C$6,Settings!$C$7))*100)</f>
        <v/>
      </c>
      <c r="AB2276" s="7" t="n"/>
      <c r="AE2276" s="11" t="n"/>
      <c r="AG2276" s="7">
        <f>IF($C2276="","",U2276*X2276/100)</f>
        <v/>
      </c>
      <c r="AH2276" s="7">
        <f>IF($C2276="","",U2276-AG2276)</f>
        <v/>
      </c>
      <c r="AI2276" s="7">
        <f>IF($C2276="","",AH2276-M2276)</f>
        <v/>
      </c>
      <c r="AJ2276">
        <f>IF($C2276="","",IF(COUNTIF($C$2:$C2276,$C2276)=1,1,0))</f>
        <v/>
      </c>
      <c r="AK2276">
        <f>IF($AJ2276=1,SUMPRODUCT(--($AN$2:$AN$4001&lt;$AN2276))+1,"")</f>
        <v/>
      </c>
      <c r="AL2276">
        <f>IF($C2276="","",IF(OR($Q2276=TRUE(),$Q2276="TRUE"),1,0))</f>
        <v/>
      </c>
      <c r="AM2276">
        <f>IF($C2276="","",IF($W2276="Yes",1,0))</f>
        <v/>
      </c>
      <c r="AN2276">
        <f>IF($AJ2276=1,IFERROR(IF(VALUE($C2276)&lt;100000000,VALUE($C2276),1000000000),IFERROR(IF(VALUE(MID($C2276,2,20))&lt;100000000,VALUE(MID($C2276,2,20)),1000000000),1000000000))+ROW()/100000,"")</f>
        <v/>
      </c>
    </row>
    <row r="2277">
      <c r="E2277" s="11" t="n"/>
      <c r="M2277" s="7">
        <f>IF($C2277="","",L2277*U2277/100)</f>
        <v/>
      </c>
      <c r="N2277" s="7" t="n"/>
      <c r="T2277" s="7" t="n"/>
      <c r="U2277" s="7">
        <f>IF($C2277="","",S2277*T2277)</f>
        <v/>
      </c>
      <c r="X2277">
        <f>IF($C2277="","",IF($AM2277=1,0,IF($AL2277=1,Settings!$C$6,Settings!$C$7))*100)</f>
        <v/>
      </c>
      <c r="AB2277" s="7" t="n"/>
      <c r="AE2277" s="11" t="n"/>
      <c r="AG2277" s="7">
        <f>IF($C2277="","",U2277*X2277/100)</f>
        <v/>
      </c>
      <c r="AH2277" s="7">
        <f>IF($C2277="","",U2277-AG2277)</f>
        <v/>
      </c>
      <c r="AI2277" s="7">
        <f>IF($C2277="","",AH2277-M2277)</f>
        <v/>
      </c>
      <c r="AJ2277">
        <f>IF($C2277="","",IF(COUNTIF($C$2:$C2277,$C2277)=1,1,0))</f>
        <v/>
      </c>
      <c r="AK2277">
        <f>IF($AJ2277=1,SUMPRODUCT(--($AN$2:$AN$4001&lt;$AN2277))+1,"")</f>
        <v/>
      </c>
      <c r="AL2277">
        <f>IF($C2277="","",IF(OR($Q2277=TRUE(),$Q2277="TRUE"),1,0))</f>
        <v/>
      </c>
      <c r="AM2277">
        <f>IF($C2277="","",IF($W2277="Yes",1,0))</f>
        <v/>
      </c>
      <c r="AN2277">
        <f>IF($AJ2277=1,IFERROR(IF(VALUE($C2277)&lt;100000000,VALUE($C2277),1000000000),IFERROR(IF(VALUE(MID($C2277,2,20))&lt;100000000,VALUE(MID($C2277,2,20)),1000000000),1000000000))+ROW()/100000,"")</f>
        <v/>
      </c>
    </row>
    <row r="2278">
      <c r="E2278" s="11" t="n"/>
      <c r="M2278" s="7">
        <f>IF($C2278="","",L2278*U2278/100)</f>
        <v/>
      </c>
      <c r="N2278" s="7" t="n"/>
      <c r="T2278" s="7" t="n"/>
      <c r="U2278" s="7">
        <f>IF($C2278="","",S2278*T2278)</f>
        <v/>
      </c>
      <c r="X2278">
        <f>IF($C2278="","",IF($AM2278=1,0,IF($AL2278=1,Settings!$C$6,Settings!$C$7))*100)</f>
        <v/>
      </c>
      <c r="AB2278" s="7" t="n"/>
      <c r="AE2278" s="11" t="n"/>
      <c r="AG2278" s="7">
        <f>IF($C2278="","",U2278*X2278/100)</f>
        <v/>
      </c>
      <c r="AH2278" s="7">
        <f>IF($C2278="","",U2278-AG2278)</f>
        <v/>
      </c>
      <c r="AI2278" s="7">
        <f>IF($C2278="","",AH2278-M2278)</f>
        <v/>
      </c>
      <c r="AJ2278">
        <f>IF($C2278="","",IF(COUNTIF($C$2:$C2278,$C2278)=1,1,0))</f>
        <v/>
      </c>
      <c r="AK2278">
        <f>IF($AJ2278=1,SUMPRODUCT(--($AN$2:$AN$4001&lt;$AN2278))+1,"")</f>
        <v/>
      </c>
      <c r="AL2278">
        <f>IF($C2278="","",IF(OR($Q2278=TRUE(),$Q2278="TRUE"),1,0))</f>
        <v/>
      </c>
      <c r="AM2278">
        <f>IF($C2278="","",IF($W2278="Yes",1,0))</f>
        <v/>
      </c>
      <c r="AN2278">
        <f>IF($AJ2278=1,IFERROR(IF(VALUE($C2278)&lt;100000000,VALUE($C2278),1000000000),IFERROR(IF(VALUE(MID($C2278,2,20))&lt;100000000,VALUE(MID($C2278,2,20)),1000000000),1000000000))+ROW()/100000,"")</f>
        <v/>
      </c>
    </row>
    <row r="2279">
      <c r="E2279" s="11" t="n"/>
      <c r="M2279" s="7">
        <f>IF($C2279="","",L2279*U2279/100)</f>
        <v/>
      </c>
      <c r="N2279" s="7" t="n"/>
      <c r="T2279" s="7" t="n"/>
      <c r="U2279" s="7">
        <f>IF($C2279="","",S2279*T2279)</f>
        <v/>
      </c>
      <c r="X2279">
        <f>IF($C2279="","",IF($AM2279=1,0,IF($AL2279=1,Settings!$C$6,Settings!$C$7))*100)</f>
        <v/>
      </c>
      <c r="AB2279" s="7" t="n"/>
      <c r="AE2279" s="11" t="n"/>
      <c r="AG2279" s="7">
        <f>IF($C2279="","",U2279*X2279/100)</f>
        <v/>
      </c>
      <c r="AH2279" s="7">
        <f>IF($C2279="","",U2279-AG2279)</f>
        <v/>
      </c>
      <c r="AI2279" s="7">
        <f>IF($C2279="","",AH2279-M2279)</f>
        <v/>
      </c>
      <c r="AJ2279">
        <f>IF($C2279="","",IF(COUNTIF($C$2:$C2279,$C2279)=1,1,0))</f>
        <v/>
      </c>
      <c r="AK2279">
        <f>IF($AJ2279=1,SUMPRODUCT(--($AN$2:$AN$4001&lt;$AN2279))+1,"")</f>
        <v/>
      </c>
      <c r="AL2279">
        <f>IF($C2279="","",IF(OR($Q2279=TRUE(),$Q2279="TRUE"),1,0))</f>
        <v/>
      </c>
      <c r="AM2279">
        <f>IF($C2279="","",IF($W2279="Yes",1,0))</f>
        <v/>
      </c>
      <c r="AN2279">
        <f>IF($AJ2279=1,IFERROR(IF(VALUE($C2279)&lt;100000000,VALUE($C2279),1000000000),IFERROR(IF(VALUE(MID($C2279,2,20))&lt;100000000,VALUE(MID($C2279,2,20)),1000000000),1000000000))+ROW()/100000,"")</f>
        <v/>
      </c>
    </row>
    <row r="2280">
      <c r="E2280" s="11" t="n"/>
      <c r="M2280" s="7">
        <f>IF($C2280="","",L2280*U2280/100)</f>
        <v/>
      </c>
      <c r="N2280" s="7" t="n"/>
      <c r="T2280" s="7" t="n"/>
      <c r="U2280" s="7">
        <f>IF($C2280="","",S2280*T2280)</f>
        <v/>
      </c>
      <c r="X2280">
        <f>IF($C2280="","",IF($AM2280=1,0,IF($AL2280=1,Settings!$C$6,Settings!$C$7))*100)</f>
        <v/>
      </c>
      <c r="AB2280" s="7" t="n"/>
      <c r="AE2280" s="11" t="n"/>
      <c r="AG2280" s="7">
        <f>IF($C2280="","",U2280*X2280/100)</f>
        <v/>
      </c>
      <c r="AH2280" s="7">
        <f>IF($C2280="","",U2280-AG2280)</f>
        <v/>
      </c>
      <c r="AI2280" s="7">
        <f>IF($C2280="","",AH2280-M2280)</f>
        <v/>
      </c>
      <c r="AJ2280">
        <f>IF($C2280="","",IF(COUNTIF($C$2:$C2280,$C2280)=1,1,0))</f>
        <v/>
      </c>
      <c r="AK2280">
        <f>IF($AJ2280=1,SUMPRODUCT(--($AN$2:$AN$4001&lt;$AN2280))+1,"")</f>
        <v/>
      </c>
      <c r="AL2280">
        <f>IF($C2280="","",IF(OR($Q2280=TRUE(),$Q2280="TRUE"),1,0))</f>
        <v/>
      </c>
      <c r="AM2280">
        <f>IF($C2280="","",IF($W2280="Yes",1,0))</f>
        <v/>
      </c>
      <c r="AN2280">
        <f>IF($AJ2280=1,IFERROR(IF(VALUE($C2280)&lt;100000000,VALUE($C2280),1000000000),IFERROR(IF(VALUE(MID($C2280,2,20))&lt;100000000,VALUE(MID($C2280,2,20)),1000000000),1000000000))+ROW()/100000,"")</f>
        <v/>
      </c>
    </row>
    <row r="2281">
      <c r="E2281" s="11" t="n"/>
      <c r="M2281" s="7">
        <f>IF($C2281="","",L2281*U2281/100)</f>
        <v/>
      </c>
      <c r="N2281" s="7" t="n"/>
      <c r="T2281" s="7" t="n"/>
      <c r="U2281" s="7">
        <f>IF($C2281="","",S2281*T2281)</f>
        <v/>
      </c>
      <c r="X2281">
        <f>IF($C2281="","",IF($AM2281=1,0,IF($AL2281=1,Settings!$C$6,Settings!$C$7))*100)</f>
        <v/>
      </c>
      <c r="AB2281" s="7" t="n"/>
      <c r="AE2281" s="11" t="n"/>
      <c r="AG2281" s="7">
        <f>IF($C2281="","",U2281*X2281/100)</f>
        <v/>
      </c>
      <c r="AH2281" s="7">
        <f>IF($C2281="","",U2281-AG2281)</f>
        <v/>
      </c>
      <c r="AI2281" s="7">
        <f>IF($C2281="","",AH2281-M2281)</f>
        <v/>
      </c>
      <c r="AJ2281">
        <f>IF($C2281="","",IF(COUNTIF($C$2:$C2281,$C2281)=1,1,0))</f>
        <v/>
      </c>
      <c r="AK2281">
        <f>IF($AJ2281=1,SUMPRODUCT(--($AN$2:$AN$4001&lt;$AN2281))+1,"")</f>
        <v/>
      </c>
      <c r="AL2281">
        <f>IF($C2281="","",IF(OR($Q2281=TRUE(),$Q2281="TRUE"),1,0))</f>
        <v/>
      </c>
      <c r="AM2281">
        <f>IF($C2281="","",IF($W2281="Yes",1,0))</f>
        <v/>
      </c>
      <c r="AN2281">
        <f>IF($AJ2281=1,IFERROR(IF(VALUE($C2281)&lt;100000000,VALUE($C2281),1000000000),IFERROR(IF(VALUE(MID($C2281,2,20))&lt;100000000,VALUE(MID($C2281,2,20)),1000000000),1000000000))+ROW()/100000,"")</f>
        <v/>
      </c>
    </row>
    <row r="2282">
      <c r="E2282" s="11" t="n"/>
      <c r="M2282" s="7">
        <f>IF($C2282="","",L2282*U2282/100)</f>
        <v/>
      </c>
      <c r="N2282" s="7" t="n"/>
      <c r="T2282" s="7" t="n"/>
      <c r="U2282" s="7">
        <f>IF($C2282="","",S2282*T2282)</f>
        <v/>
      </c>
      <c r="X2282">
        <f>IF($C2282="","",IF($AM2282=1,0,IF($AL2282=1,Settings!$C$6,Settings!$C$7))*100)</f>
        <v/>
      </c>
      <c r="AB2282" s="7" t="n"/>
      <c r="AE2282" s="11" t="n"/>
      <c r="AG2282" s="7">
        <f>IF($C2282="","",U2282*X2282/100)</f>
        <v/>
      </c>
      <c r="AH2282" s="7">
        <f>IF($C2282="","",U2282-AG2282)</f>
        <v/>
      </c>
      <c r="AI2282" s="7">
        <f>IF($C2282="","",AH2282-M2282)</f>
        <v/>
      </c>
      <c r="AJ2282">
        <f>IF($C2282="","",IF(COUNTIF($C$2:$C2282,$C2282)=1,1,0))</f>
        <v/>
      </c>
      <c r="AK2282">
        <f>IF($AJ2282=1,SUMPRODUCT(--($AN$2:$AN$4001&lt;$AN2282))+1,"")</f>
        <v/>
      </c>
      <c r="AL2282">
        <f>IF($C2282="","",IF(OR($Q2282=TRUE(),$Q2282="TRUE"),1,0))</f>
        <v/>
      </c>
      <c r="AM2282">
        <f>IF($C2282="","",IF($W2282="Yes",1,0))</f>
        <v/>
      </c>
      <c r="AN2282">
        <f>IF($AJ2282=1,IFERROR(IF(VALUE($C2282)&lt;100000000,VALUE($C2282),1000000000),IFERROR(IF(VALUE(MID($C2282,2,20))&lt;100000000,VALUE(MID($C2282,2,20)),1000000000),1000000000))+ROW()/100000,"")</f>
        <v/>
      </c>
    </row>
    <row r="2283">
      <c r="E2283" s="11" t="n"/>
      <c r="M2283" s="7">
        <f>IF($C2283="","",L2283*U2283/100)</f>
        <v/>
      </c>
      <c r="N2283" s="7" t="n"/>
      <c r="T2283" s="7" t="n"/>
      <c r="U2283" s="7">
        <f>IF($C2283="","",S2283*T2283)</f>
        <v/>
      </c>
      <c r="X2283">
        <f>IF($C2283="","",IF($AM2283=1,0,IF($AL2283=1,Settings!$C$6,Settings!$C$7))*100)</f>
        <v/>
      </c>
      <c r="AB2283" s="7" t="n"/>
      <c r="AE2283" s="11" t="n"/>
      <c r="AG2283" s="7">
        <f>IF($C2283="","",U2283*X2283/100)</f>
        <v/>
      </c>
      <c r="AH2283" s="7">
        <f>IF($C2283="","",U2283-AG2283)</f>
        <v/>
      </c>
      <c r="AI2283" s="7">
        <f>IF($C2283="","",AH2283-M2283)</f>
        <v/>
      </c>
      <c r="AJ2283">
        <f>IF($C2283="","",IF(COUNTIF($C$2:$C2283,$C2283)=1,1,0))</f>
        <v/>
      </c>
      <c r="AK2283">
        <f>IF($AJ2283=1,SUMPRODUCT(--($AN$2:$AN$4001&lt;$AN2283))+1,"")</f>
        <v/>
      </c>
      <c r="AL2283">
        <f>IF($C2283="","",IF(OR($Q2283=TRUE(),$Q2283="TRUE"),1,0))</f>
        <v/>
      </c>
      <c r="AM2283">
        <f>IF($C2283="","",IF($W2283="Yes",1,0))</f>
        <v/>
      </c>
      <c r="AN2283">
        <f>IF($AJ2283=1,IFERROR(IF(VALUE($C2283)&lt;100000000,VALUE($C2283),1000000000),IFERROR(IF(VALUE(MID($C2283,2,20))&lt;100000000,VALUE(MID($C2283,2,20)),1000000000),1000000000))+ROW()/100000,"")</f>
        <v/>
      </c>
    </row>
    <row r="2284">
      <c r="E2284" s="11" t="n"/>
      <c r="M2284" s="7">
        <f>IF($C2284="","",L2284*U2284/100)</f>
        <v/>
      </c>
      <c r="N2284" s="7" t="n"/>
      <c r="T2284" s="7" t="n"/>
      <c r="U2284" s="7">
        <f>IF($C2284="","",S2284*T2284)</f>
        <v/>
      </c>
      <c r="X2284">
        <f>IF($C2284="","",IF($AM2284=1,0,IF($AL2284=1,Settings!$C$6,Settings!$C$7))*100)</f>
        <v/>
      </c>
      <c r="AB2284" s="7" t="n"/>
      <c r="AE2284" s="11" t="n"/>
      <c r="AG2284" s="7">
        <f>IF($C2284="","",U2284*X2284/100)</f>
        <v/>
      </c>
      <c r="AH2284" s="7">
        <f>IF($C2284="","",U2284-AG2284)</f>
        <v/>
      </c>
      <c r="AI2284" s="7">
        <f>IF($C2284="","",AH2284-M2284)</f>
        <v/>
      </c>
      <c r="AJ2284">
        <f>IF($C2284="","",IF(COUNTIF($C$2:$C2284,$C2284)=1,1,0))</f>
        <v/>
      </c>
      <c r="AK2284">
        <f>IF($AJ2284=1,SUMPRODUCT(--($AN$2:$AN$4001&lt;$AN2284))+1,"")</f>
        <v/>
      </c>
      <c r="AL2284">
        <f>IF($C2284="","",IF(OR($Q2284=TRUE(),$Q2284="TRUE"),1,0))</f>
        <v/>
      </c>
      <c r="AM2284">
        <f>IF($C2284="","",IF($W2284="Yes",1,0))</f>
        <v/>
      </c>
      <c r="AN2284">
        <f>IF($AJ2284=1,IFERROR(IF(VALUE($C2284)&lt;100000000,VALUE($C2284),1000000000),IFERROR(IF(VALUE(MID($C2284,2,20))&lt;100000000,VALUE(MID($C2284,2,20)),1000000000),1000000000))+ROW()/100000,"")</f>
        <v/>
      </c>
    </row>
    <row r="2285">
      <c r="E2285" s="11" t="n"/>
      <c r="M2285" s="7">
        <f>IF($C2285="","",L2285*U2285/100)</f>
        <v/>
      </c>
      <c r="N2285" s="7" t="n"/>
      <c r="T2285" s="7" t="n"/>
      <c r="U2285" s="7">
        <f>IF($C2285="","",S2285*T2285)</f>
        <v/>
      </c>
      <c r="X2285">
        <f>IF($C2285="","",IF($AM2285=1,0,IF($AL2285=1,Settings!$C$6,Settings!$C$7))*100)</f>
        <v/>
      </c>
      <c r="AB2285" s="7" t="n"/>
      <c r="AE2285" s="11" t="n"/>
      <c r="AG2285" s="7">
        <f>IF($C2285="","",U2285*X2285/100)</f>
        <v/>
      </c>
      <c r="AH2285" s="7">
        <f>IF($C2285="","",U2285-AG2285)</f>
        <v/>
      </c>
      <c r="AI2285" s="7">
        <f>IF($C2285="","",AH2285-M2285)</f>
        <v/>
      </c>
      <c r="AJ2285">
        <f>IF($C2285="","",IF(COUNTIF($C$2:$C2285,$C2285)=1,1,0))</f>
        <v/>
      </c>
      <c r="AK2285">
        <f>IF($AJ2285=1,SUMPRODUCT(--($AN$2:$AN$4001&lt;$AN2285))+1,"")</f>
        <v/>
      </c>
      <c r="AL2285">
        <f>IF($C2285="","",IF(OR($Q2285=TRUE(),$Q2285="TRUE"),1,0))</f>
        <v/>
      </c>
      <c r="AM2285">
        <f>IF($C2285="","",IF($W2285="Yes",1,0))</f>
        <v/>
      </c>
      <c r="AN2285">
        <f>IF($AJ2285=1,IFERROR(IF(VALUE($C2285)&lt;100000000,VALUE($C2285),1000000000),IFERROR(IF(VALUE(MID($C2285,2,20))&lt;100000000,VALUE(MID($C2285,2,20)),1000000000),1000000000))+ROW()/100000,"")</f>
        <v/>
      </c>
    </row>
    <row r="2286">
      <c r="E2286" s="11" t="n"/>
      <c r="M2286" s="7">
        <f>IF($C2286="","",L2286*U2286/100)</f>
        <v/>
      </c>
      <c r="N2286" s="7" t="n"/>
      <c r="T2286" s="7" t="n"/>
      <c r="U2286" s="7">
        <f>IF($C2286="","",S2286*T2286)</f>
        <v/>
      </c>
      <c r="X2286">
        <f>IF($C2286="","",IF($AM2286=1,0,IF($AL2286=1,Settings!$C$6,Settings!$C$7))*100)</f>
        <v/>
      </c>
      <c r="AB2286" s="7" t="n"/>
      <c r="AE2286" s="11" t="n"/>
      <c r="AG2286" s="7">
        <f>IF($C2286="","",U2286*X2286/100)</f>
        <v/>
      </c>
      <c r="AH2286" s="7">
        <f>IF($C2286="","",U2286-AG2286)</f>
        <v/>
      </c>
      <c r="AI2286" s="7">
        <f>IF($C2286="","",AH2286-M2286)</f>
        <v/>
      </c>
      <c r="AJ2286">
        <f>IF($C2286="","",IF(COUNTIF($C$2:$C2286,$C2286)=1,1,0))</f>
        <v/>
      </c>
      <c r="AK2286">
        <f>IF($AJ2286=1,SUMPRODUCT(--($AN$2:$AN$4001&lt;$AN2286))+1,"")</f>
        <v/>
      </c>
      <c r="AL2286">
        <f>IF($C2286="","",IF(OR($Q2286=TRUE(),$Q2286="TRUE"),1,0))</f>
        <v/>
      </c>
      <c r="AM2286">
        <f>IF($C2286="","",IF($W2286="Yes",1,0))</f>
        <v/>
      </c>
      <c r="AN2286">
        <f>IF($AJ2286=1,IFERROR(IF(VALUE($C2286)&lt;100000000,VALUE($C2286),1000000000),IFERROR(IF(VALUE(MID($C2286,2,20))&lt;100000000,VALUE(MID($C2286,2,20)),1000000000),1000000000))+ROW()/100000,"")</f>
        <v/>
      </c>
    </row>
    <row r="2287">
      <c r="E2287" s="11" t="n"/>
      <c r="M2287" s="7">
        <f>IF($C2287="","",L2287*U2287/100)</f>
        <v/>
      </c>
      <c r="N2287" s="7" t="n"/>
      <c r="T2287" s="7" t="n"/>
      <c r="U2287" s="7">
        <f>IF($C2287="","",S2287*T2287)</f>
        <v/>
      </c>
      <c r="X2287">
        <f>IF($C2287="","",IF($AM2287=1,0,IF($AL2287=1,Settings!$C$6,Settings!$C$7))*100)</f>
        <v/>
      </c>
      <c r="AB2287" s="7" t="n"/>
      <c r="AE2287" s="11" t="n"/>
      <c r="AG2287" s="7">
        <f>IF($C2287="","",U2287*X2287/100)</f>
        <v/>
      </c>
      <c r="AH2287" s="7">
        <f>IF($C2287="","",U2287-AG2287)</f>
        <v/>
      </c>
      <c r="AI2287" s="7">
        <f>IF($C2287="","",AH2287-M2287)</f>
        <v/>
      </c>
      <c r="AJ2287">
        <f>IF($C2287="","",IF(COUNTIF($C$2:$C2287,$C2287)=1,1,0))</f>
        <v/>
      </c>
      <c r="AK2287">
        <f>IF($AJ2287=1,SUMPRODUCT(--($AN$2:$AN$4001&lt;$AN2287))+1,"")</f>
        <v/>
      </c>
      <c r="AL2287">
        <f>IF($C2287="","",IF(OR($Q2287=TRUE(),$Q2287="TRUE"),1,0))</f>
        <v/>
      </c>
      <c r="AM2287">
        <f>IF($C2287="","",IF($W2287="Yes",1,0))</f>
        <v/>
      </c>
      <c r="AN2287">
        <f>IF($AJ2287=1,IFERROR(IF(VALUE($C2287)&lt;100000000,VALUE($C2287),1000000000),IFERROR(IF(VALUE(MID($C2287,2,20))&lt;100000000,VALUE(MID($C2287,2,20)),1000000000),1000000000))+ROW()/100000,"")</f>
        <v/>
      </c>
    </row>
    <row r="2288">
      <c r="E2288" s="11" t="n"/>
      <c r="M2288" s="7">
        <f>IF($C2288="","",L2288*U2288/100)</f>
        <v/>
      </c>
      <c r="N2288" s="7" t="n"/>
      <c r="T2288" s="7" t="n"/>
      <c r="U2288" s="7">
        <f>IF($C2288="","",S2288*T2288)</f>
        <v/>
      </c>
      <c r="X2288">
        <f>IF($C2288="","",IF($AM2288=1,0,IF($AL2288=1,Settings!$C$6,Settings!$C$7))*100)</f>
        <v/>
      </c>
      <c r="AB2288" s="7" t="n"/>
      <c r="AE2288" s="11" t="n"/>
      <c r="AG2288" s="7">
        <f>IF($C2288="","",U2288*X2288/100)</f>
        <v/>
      </c>
      <c r="AH2288" s="7">
        <f>IF($C2288="","",U2288-AG2288)</f>
        <v/>
      </c>
      <c r="AI2288" s="7">
        <f>IF($C2288="","",AH2288-M2288)</f>
        <v/>
      </c>
      <c r="AJ2288">
        <f>IF($C2288="","",IF(COUNTIF($C$2:$C2288,$C2288)=1,1,0))</f>
        <v/>
      </c>
      <c r="AK2288">
        <f>IF($AJ2288=1,SUMPRODUCT(--($AN$2:$AN$4001&lt;$AN2288))+1,"")</f>
        <v/>
      </c>
      <c r="AL2288">
        <f>IF($C2288="","",IF(OR($Q2288=TRUE(),$Q2288="TRUE"),1,0))</f>
        <v/>
      </c>
      <c r="AM2288">
        <f>IF($C2288="","",IF($W2288="Yes",1,0))</f>
        <v/>
      </c>
      <c r="AN2288">
        <f>IF($AJ2288=1,IFERROR(IF(VALUE($C2288)&lt;100000000,VALUE($C2288),1000000000),IFERROR(IF(VALUE(MID($C2288,2,20))&lt;100000000,VALUE(MID($C2288,2,20)),1000000000),1000000000))+ROW()/100000,"")</f>
        <v/>
      </c>
    </row>
    <row r="2289">
      <c r="E2289" s="11" t="n"/>
      <c r="M2289" s="7">
        <f>IF($C2289="","",L2289*U2289/100)</f>
        <v/>
      </c>
      <c r="N2289" s="7" t="n"/>
      <c r="T2289" s="7" t="n"/>
      <c r="U2289" s="7">
        <f>IF($C2289="","",S2289*T2289)</f>
        <v/>
      </c>
      <c r="X2289">
        <f>IF($C2289="","",IF($AM2289=1,0,IF($AL2289=1,Settings!$C$6,Settings!$C$7))*100)</f>
        <v/>
      </c>
      <c r="AB2289" s="7" t="n"/>
      <c r="AE2289" s="11" t="n"/>
      <c r="AG2289" s="7">
        <f>IF($C2289="","",U2289*X2289/100)</f>
        <v/>
      </c>
      <c r="AH2289" s="7">
        <f>IF($C2289="","",U2289-AG2289)</f>
        <v/>
      </c>
      <c r="AI2289" s="7">
        <f>IF($C2289="","",AH2289-M2289)</f>
        <v/>
      </c>
      <c r="AJ2289">
        <f>IF($C2289="","",IF(COUNTIF($C$2:$C2289,$C2289)=1,1,0))</f>
        <v/>
      </c>
      <c r="AK2289">
        <f>IF($AJ2289=1,SUMPRODUCT(--($AN$2:$AN$4001&lt;$AN2289))+1,"")</f>
        <v/>
      </c>
      <c r="AL2289">
        <f>IF($C2289="","",IF(OR($Q2289=TRUE(),$Q2289="TRUE"),1,0))</f>
        <v/>
      </c>
      <c r="AM2289">
        <f>IF($C2289="","",IF($W2289="Yes",1,0))</f>
        <v/>
      </c>
      <c r="AN2289">
        <f>IF($AJ2289=1,IFERROR(IF(VALUE($C2289)&lt;100000000,VALUE($C2289),1000000000),IFERROR(IF(VALUE(MID($C2289,2,20))&lt;100000000,VALUE(MID($C2289,2,20)),1000000000),1000000000))+ROW()/100000,"")</f>
        <v/>
      </c>
    </row>
    <row r="2290">
      <c r="E2290" s="11" t="n"/>
      <c r="M2290" s="7">
        <f>IF($C2290="","",L2290*U2290/100)</f>
        <v/>
      </c>
      <c r="N2290" s="7" t="n"/>
      <c r="T2290" s="7" t="n"/>
      <c r="U2290" s="7">
        <f>IF($C2290="","",S2290*T2290)</f>
        <v/>
      </c>
      <c r="X2290">
        <f>IF($C2290="","",IF($AM2290=1,0,IF($AL2290=1,Settings!$C$6,Settings!$C$7))*100)</f>
        <v/>
      </c>
      <c r="AB2290" s="7" t="n"/>
      <c r="AE2290" s="11" t="n"/>
      <c r="AG2290" s="7">
        <f>IF($C2290="","",U2290*X2290/100)</f>
        <v/>
      </c>
      <c r="AH2290" s="7">
        <f>IF($C2290="","",U2290-AG2290)</f>
        <v/>
      </c>
      <c r="AI2290" s="7">
        <f>IF($C2290="","",AH2290-M2290)</f>
        <v/>
      </c>
      <c r="AJ2290">
        <f>IF($C2290="","",IF(COUNTIF($C$2:$C2290,$C2290)=1,1,0))</f>
        <v/>
      </c>
      <c r="AK2290">
        <f>IF($AJ2290=1,SUMPRODUCT(--($AN$2:$AN$4001&lt;$AN2290))+1,"")</f>
        <v/>
      </c>
      <c r="AL2290">
        <f>IF($C2290="","",IF(OR($Q2290=TRUE(),$Q2290="TRUE"),1,0))</f>
        <v/>
      </c>
      <c r="AM2290">
        <f>IF($C2290="","",IF($W2290="Yes",1,0))</f>
        <v/>
      </c>
      <c r="AN2290">
        <f>IF($AJ2290=1,IFERROR(IF(VALUE($C2290)&lt;100000000,VALUE($C2290),1000000000),IFERROR(IF(VALUE(MID($C2290,2,20))&lt;100000000,VALUE(MID($C2290,2,20)),1000000000),1000000000))+ROW()/100000,"")</f>
        <v/>
      </c>
    </row>
    <row r="2291">
      <c r="E2291" s="11" t="n"/>
      <c r="M2291" s="7">
        <f>IF($C2291="","",L2291*U2291/100)</f>
        <v/>
      </c>
      <c r="N2291" s="7" t="n"/>
      <c r="T2291" s="7" t="n"/>
      <c r="U2291" s="7">
        <f>IF($C2291="","",S2291*T2291)</f>
        <v/>
      </c>
      <c r="X2291">
        <f>IF($C2291="","",IF($AM2291=1,0,IF($AL2291=1,Settings!$C$6,Settings!$C$7))*100)</f>
        <v/>
      </c>
      <c r="AB2291" s="7" t="n"/>
      <c r="AE2291" s="11" t="n"/>
      <c r="AG2291" s="7">
        <f>IF($C2291="","",U2291*X2291/100)</f>
        <v/>
      </c>
      <c r="AH2291" s="7">
        <f>IF($C2291="","",U2291-AG2291)</f>
        <v/>
      </c>
      <c r="AI2291" s="7">
        <f>IF($C2291="","",AH2291-M2291)</f>
        <v/>
      </c>
      <c r="AJ2291">
        <f>IF($C2291="","",IF(COUNTIF($C$2:$C2291,$C2291)=1,1,0))</f>
        <v/>
      </c>
      <c r="AK2291">
        <f>IF($AJ2291=1,SUMPRODUCT(--($AN$2:$AN$4001&lt;$AN2291))+1,"")</f>
        <v/>
      </c>
      <c r="AL2291">
        <f>IF($C2291="","",IF(OR($Q2291=TRUE(),$Q2291="TRUE"),1,0))</f>
        <v/>
      </c>
      <c r="AM2291">
        <f>IF($C2291="","",IF($W2291="Yes",1,0))</f>
        <v/>
      </c>
      <c r="AN2291">
        <f>IF($AJ2291=1,IFERROR(IF(VALUE($C2291)&lt;100000000,VALUE($C2291),1000000000),IFERROR(IF(VALUE(MID($C2291,2,20))&lt;100000000,VALUE(MID($C2291,2,20)),1000000000),1000000000))+ROW()/100000,"")</f>
        <v/>
      </c>
    </row>
    <row r="2292">
      <c r="E2292" s="11" t="n"/>
      <c r="M2292" s="7">
        <f>IF($C2292="","",L2292*U2292/100)</f>
        <v/>
      </c>
      <c r="N2292" s="7" t="n"/>
      <c r="T2292" s="7" t="n"/>
      <c r="U2292" s="7">
        <f>IF($C2292="","",S2292*T2292)</f>
        <v/>
      </c>
      <c r="X2292">
        <f>IF($C2292="","",IF($AM2292=1,0,IF($AL2292=1,Settings!$C$6,Settings!$C$7))*100)</f>
        <v/>
      </c>
      <c r="AB2292" s="7" t="n"/>
      <c r="AE2292" s="11" t="n"/>
      <c r="AG2292" s="7">
        <f>IF($C2292="","",U2292*X2292/100)</f>
        <v/>
      </c>
      <c r="AH2292" s="7">
        <f>IF($C2292="","",U2292-AG2292)</f>
        <v/>
      </c>
      <c r="AI2292" s="7">
        <f>IF($C2292="","",AH2292-M2292)</f>
        <v/>
      </c>
      <c r="AJ2292">
        <f>IF($C2292="","",IF(COUNTIF($C$2:$C2292,$C2292)=1,1,0))</f>
        <v/>
      </c>
      <c r="AK2292">
        <f>IF($AJ2292=1,SUMPRODUCT(--($AN$2:$AN$4001&lt;$AN2292))+1,"")</f>
        <v/>
      </c>
      <c r="AL2292">
        <f>IF($C2292="","",IF(OR($Q2292=TRUE(),$Q2292="TRUE"),1,0))</f>
        <v/>
      </c>
      <c r="AM2292">
        <f>IF($C2292="","",IF($W2292="Yes",1,0))</f>
        <v/>
      </c>
      <c r="AN2292">
        <f>IF($AJ2292=1,IFERROR(IF(VALUE($C2292)&lt;100000000,VALUE($C2292),1000000000),IFERROR(IF(VALUE(MID($C2292,2,20))&lt;100000000,VALUE(MID($C2292,2,20)),1000000000),1000000000))+ROW()/100000,"")</f>
        <v/>
      </c>
    </row>
    <row r="2293">
      <c r="E2293" s="11" t="n"/>
      <c r="M2293" s="7">
        <f>IF($C2293="","",L2293*U2293/100)</f>
        <v/>
      </c>
      <c r="N2293" s="7" t="n"/>
      <c r="T2293" s="7" t="n"/>
      <c r="U2293" s="7">
        <f>IF($C2293="","",S2293*T2293)</f>
        <v/>
      </c>
      <c r="X2293">
        <f>IF($C2293="","",IF($AM2293=1,0,IF($AL2293=1,Settings!$C$6,Settings!$C$7))*100)</f>
        <v/>
      </c>
      <c r="AB2293" s="7" t="n"/>
      <c r="AE2293" s="11" t="n"/>
      <c r="AG2293" s="7">
        <f>IF($C2293="","",U2293*X2293/100)</f>
        <v/>
      </c>
      <c r="AH2293" s="7">
        <f>IF($C2293="","",U2293-AG2293)</f>
        <v/>
      </c>
      <c r="AI2293" s="7">
        <f>IF($C2293="","",AH2293-M2293)</f>
        <v/>
      </c>
      <c r="AJ2293">
        <f>IF($C2293="","",IF(COUNTIF($C$2:$C2293,$C2293)=1,1,0))</f>
        <v/>
      </c>
      <c r="AK2293">
        <f>IF($AJ2293=1,SUMPRODUCT(--($AN$2:$AN$4001&lt;$AN2293))+1,"")</f>
        <v/>
      </c>
      <c r="AL2293">
        <f>IF($C2293="","",IF(OR($Q2293=TRUE(),$Q2293="TRUE"),1,0))</f>
        <v/>
      </c>
      <c r="AM2293">
        <f>IF($C2293="","",IF($W2293="Yes",1,0))</f>
        <v/>
      </c>
      <c r="AN2293">
        <f>IF($AJ2293=1,IFERROR(IF(VALUE($C2293)&lt;100000000,VALUE($C2293),1000000000),IFERROR(IF(VALUE(MID($C2293,2,20))&lt;100000000,VALUE(MID($C2293,2,20)),1000000000),1000000000))+ROW()/100000,"")</f>
        <v/>
      </c>
    </row>
    <row r="2294">
      <c r="E2294" s="11" t="n"/>
      <c r="M2294" s="7">
        <f>IF($C2294="","",L2294*U2294/100)</f>
        <v/>
      </c>
      <c r="N2294" s="7" t="n"/>
      <c r="T2294" s="7" t="n"/>
      <c r="U2294" s="7">
        <f>IF($C2294="","",S2294*T2294)</f>
        <v/>
      </c>
      <c r="X2294">
        <f>IF($C2294="","",IF($AM2294=1,0,IF($AL2294=1,Settings!$C$6,Settings!$C$7))*100)</f>
        <v/>
      </c>
      <c r="AB2294" s="7" t="n"/>
      <c r="AE2294" s="11" t="n"/>
      <c r="AG2294" s="7">
        <f>IF($C2294="","",U2294*X2294/100)</f>
        <v/>
      </c>
      <c r="AH2294" s="7">
        <f>IF($C2294="","",U2294-AG2294)</f>
        <v/>
      </c>
      <c r="AI2294" s="7">
        <f>IF($C2294="","",AH2294-M2294)</f>
        <v/>
      </c>
      <c r="AJ2294">
        <f>IF($C2294="","",IF(COUNTIF($C$2:$C2294,$C2294)=1,1,0))</f>
        <v/>
      </c>
      <c r="AK2294">
        <f>IF($AJ2294=1,SUMPRODUCT(--($AN$2:$AN$4001&lt;$AN2294))+1,"")</f>
        <v/>
      </c>
      <c r="AL2294">
        <f>IF($C2294="","",IF(OR($Q2294=TRUE(),$Q2294="TRUE"),1,0))</f>
        <v/>
      </c>
      <c r="AM2294">
        <f>IF($C2294="","",IF($W2294="Yes",1,0))</f>
        <v/>
      </c>
      <c r="AN2294">
        <f>IF($AJ2294=1,IFERROR(IF(VALUE($C2294)&lt;100000000,VALUE($C2294),1000000000),IFERROR(IF(VALUE(MID($C2294,2,20))&lt;100000000,VALUE(MID($C2294,2,20)),1000000000),1000000000))+ROW()/100000,"")</f>
        <v/>
      </c>
    </row>
    <row r="2295">
      <c r="E2295" s="11" t="n"/>
      <c r="M2295" s="7">
        <f>IF($C2295="","",L2295*U2295/100)</f>
        <v/>
      </c>
      <c r="N2295" s="7" t="n"/>
      <c r="T2295" s="7" t="n"/>
      <c r="U2295" s="7">
        <f>IF($C2295="","",S2295*T2295)</f>
        <v/>
      </c>
      <c r="X2295">
        <f>IF($C2295="","",IF($AM2295=1,0,IF($AL2295=1,Settings!$C$6,Settings!$C$7))*100)</f>
        <v/>
      </c>
      <c r="AB2295" s="7" t="n"/>
      <c r="AE2295" s="11" t="n"/>
      <c r="AG2295" s="7">
        <f>IF($C2295="","",U2295*X2295/100)</f>
        <v/>
      </c>
      <c r="AH2295" s="7">
        <f>IF($C2295="","",U2295-AG2295)</f>
        <v/>
      </c>
      <c r="AI2295" s="7">
        <f>IF($C2295="","",AH2295-M2295)</f>
        <v/>
      </c>
      <c r="AJ2295">
        <f>IF($C2295="","",IF(COUNTIF($C$2:$C2295,$C2295)=1,1,0))</f>
        <v/>
      </c>
      <c r="AK2295">
        <f>IF($AJ2295=1,SUMPRODUCT(--($AN$2:$AN$4001&lt;$AN2295))+1,"")</f>
        <v/>
      </c>
      <c r="AL2295">
        <f>IF($C2295="","",IF(OR($Q2295=TRUE(),$Q2295="TRUE"),1,0))</f>
        <v/>
      </c>
      <c r="AM2295">
        <f>IF($C2295="","",IF($W2295="Yes",1,0))</f>
        <v/>
      </c>
      <c r="AN2295">
        <f>IF($AJ2295=1,IFERROR(IF(VALUE($C2295)&lt;100000000,VALUE($C2295),1000000000),IFERROR(IF(VALUE(MID($C2295,2,20))&lt;100000000,VALUE(MID($C2295,2,20)),1000000000),1000000000))+ROW()/100000,"")</f>
        <v/>
      </c>
    </row>
    <row r="2296">
      <c r="E2296" s="11" t="n"/>
      <c r="M2296" s="7">
        <f>IF($C2296="","",L2296*U2296/100)</f>
        <v/>
      </c>
      <c r="N2296" s="7" t="n"/>
      <c r="T2296" s="7" t="n"/>
      <c r="U2296" s="7">
        <f>IF($C2296="","",S2296*T2296)</f>
        <v/>
      </c>
      <c r="X2296">
        <f>IF($C2296="","",IF($AM2296=1,0,IF($AL2296=1,Settings!$C$6,Settings!$C$7))*100)</f>
        <v/>
      </c>
      <c r="AB2296" s="7" t="n"/>
      <c r="AE2296" s="11" t="n"/>
      <c r="AG2296" s="7">
        <f>IF($C2296="","",U2296*X2296/100)</f>
        <v/>
      </c>
      <c r="AH2296" s="7">
        <f>IF($C2296="","",U2296-AG2296)</f>
        <v/>
      </c>
      <c r="AI2296" s="7">
        <f>IF($C2296="","",AH2296-M2296)</f>
        <v/>
      </c>
      <c r="AJ2296">
        <f>IF($C2296="","",IF(COUNTIF($C$2:$C2296,$C2296)=1,1,0))</f>
        <v/>
      </c>
      <c r="AK2296">
        <f>IF($AJ2296=1,SUMPRODUCT(--($AN$2:$AN$4001&lt;$AN2296))+1,"")</f>
        <v/>
      </c>
      <c r="AL2296">
        <f>IF($C2296="","",IF(OR($Q2296=TRUE(),$Q2296="TRUE"),1,0))</f>
        <v/>
      </c>
      <c r="AM2296">
        <f>IF($C2296="","",IF($W2296="Yes",1,0))</f>
        <v/>
      </c>
      <c r="AN2296">
        <f>IF($AJ2296=1,IFERROR(IF(VALUE($C2296)&lt;100000000,VALUE($C2296),1000000000),IFERROR(IF(VALUE(MID($C2296,2,20))&lt;100000000,VALUE(MID($C2296,2,20)),1000000000),1000000000))+ROW()/100000,"")</f>
        <v/>
      </c>
    </row>
    <row r="2297">
      <c r="E2297" s="11" t="n"/>
      <c r="M2297" s="7">
        <f>IF($C2297="","",L2297*U2297/100)</f>
        <v/>
      </c>
      <c r="N2297" s="7" t="n"/>
      <c r="T2297" s="7" t="n"/>
      <c r="U2297" s="7">
        <f>IF($C2297="","",S2297*T2297)</f>
        <v/>
      </c>
      <c r="X2297">
        <f>IF($C2297="","",IF($AM2297=1,0,IF($AL2297=1,Settings!$C$6,Settings!$C$7))*100)</f>
        <v/>
      </c>
      <c r="AB2297" s="7" t="n"/>
      <c r="AE2297" s="11" t="n"/>
      <c r="AG2297" s="7">
        <f>IF($C2297="","",U2297*X2297/100)</f>
        <v/>
      </c>
      <c r="AH2297" s="7">
        <f>IF($C2297="","",U2297-AG2297)</f>
        <v/>
      </c>
      <c r="AI2297" s="7">
        <f>IF($C2297="","",AH2297-M2297)</f>
        <v/>
      </c>
      <c r="AJ2297">
        <f>IF($C2297="","",IF(COUNTIF($C$2:$C2297,$C2297)=1,1,0))</f>
        <v/>
      </c>
      <c r="AK2297">
        <f>IF($AJ2297=1,SUMPRODUCT(--($AN$2:$AN$4001&lt;$AN2297))+1,"")</f>
        <v/>
      </c>
      <c r="AL2297">
        <f>IF($C2297="","",IF(OR($Q2297=TRUE(),$Q2297="TRUE"),1,0))</f>
        <v/>
      </c>
      <c r="AM2297">
        <f>IF($C2297="","",IF($W2297="Yes",1,0))</f>
        <v/>
      </c>
      <c r="AN2297">
        <f>IF($AJ2297=1,IFERROR(IF(VALUE($C2297)&lt;100000000,VALUE($C2297),1000000000),IFERROR(IF(VALUE(MID($C2297,2,20))&lt;100000000,VALUE(MID($C2297,2,20)),1000000000),1000000000))+ROW()/100000,"")</f>
        <v/>
      </c>
    </row>
    <row r="2298">
      <c r="E2298" s="11" t="n"/>
      <c r="M2298" s="7">
        <f>IF($C2298="","",L2298*U2298/100)</f>
        <v/>
      </c>
      <c r="N2298" s="7" t="n"/>
      <c r="T2298" s="7" t="n"/>
      <c r="U2298" s="7">
        <f>IF($C2298="","",S2298*T2298)</f>
        <v/>
      </c>
      <c r="X2298">
        <f>IF($C2298="","",IF($AM2298=1,0,IF($AL2298=1,Settings!$C$6,Settings!$C$7))*100)</f>
        <v/>
      </c>
      <c r="AB2298" s="7" t="n"/>
      <c r="AE2298" s="11" t="n"/>
      <c r="AG2298" s="7">
        <f>IF($C2298="","",U2298*X2298/100)</f>
        <v/>
      </c>
      <c r="AH2298" s="7">
        <f>IF($C2298="","",U2298-AG2298)</f>
        <v/>
      </c>
      <c r="AI2298" s="7">
        <f>IF($C2298="","",AH2298-M2298)</f>
        <v/>
      </c>
      <c r="AJ2298">
        <f>IF($C2298="","",IF(COUNTIF($C$2:$C2298,$C2298)=1,1,0))</f>
        <v/>
      </c>
      <c r="AK2298">
        <f>IF($AJ2298=1,SUMPRODUCT(--($AN$2:$AN$4001&lt;$AN2298))+1,"")</f>
        <v/>
      </c>
      <c r="AL2298">
        <f>IF($C2298="","",IF(OR($Q2298=TRUE(),$Q2298="TRUE"),1,0))</f>
        <v/>
      </c>
      <c r="AM2298">
        <f>IF($C2298="","",IF($W2298="Yes",1,0))</f>
        <v/>
      </c>
      <c r="AN2298">
        <f>IF($AJ2298=1,IFERROR(IF(VALUE($C2298)&lt;100000000,VALUE($C2298),1000000000),IFERROR(IF(VALUE(MID($C2298,2,20))&lt;100000000,VALUE(MID($C2298,2,20)),1000000000),1000000000))+ROW()/100000,"")</f>
        <v/>
      </c>
    </row>
    <row r="2299">
      <c r="E2299" s="11" t="n"/>
      <c r="M2299" s="7">
        <f>IF($C2299="","",L2299*U2299/100)</f>
        <v/>
      </c>
      <c r="N2299" s="7" t="n"/>
      <c r="T2299" s="7" t="n"/>
      <c r="U2299" s="7">
        <f>IF($C2299="","",S2299*T2299)</f>
        <v/>
      </c>
      <c r="X2299">
        <f>IF($C2299="","",IF($AM2299=1,0,IF($AL2299=1,Settings!$C$6,Settings!$C$7))*100)</f>
        <v/>
      </c>
      <c r="AB2299" s="7" t="n"/>
      <c r="AE2299" s="11" t="n"/>
      <c r="AG2299" s="7">
        <f>IF($C2299="","",U2299*X2299/100)</f>
        <v/>
      </c>
      <c r="AH2299" s="7">
        <f>IF($C2299="","",U2299-AG2299)</f>
        <v/>
      </c>
      <c r="AI2299" s="7">
        <f>IF($C2299="","",AH2299-M2299)</f>
        <v/>
      </c>
      <c r="AJ2299">
        <f>IF($C2299="","",IF(COUNTIF($C$2:$C2299,$C2299)=1,1,0))</f>
        <v/>
      </c>
      <c r="AK2299">
        <f>IF($AJ2299=1,SUMPRODUCT(--($AN$2:$AN$4001&lt;$AN2299))+1,"")</f>
        <v/>
      </c>
      <c r="AL2299">
        <f>IF($C2299="","",IF(OR($Q2299=TRUE(),$Q2299="TRUE"),1,0))</f>
        <v/>
      </c>
      <c r="AM2299">
        <f>IF($C2299="","",IF($W2299="Yes",1,0))</f>
        <v/>
      </c>
      <c r="AN2299">
        <f>IF($AJ2299=1,IFERROR(IF(VALUE($C2299)&lt;100000000,VALUE($C2299),1000000000),IFERROR(IF(VALUE(MID($C2299,2,20))&lt;100000000,VALUE(MID($C2299,2,20)),1000000000),1000000000))+ROW()/100000,"")</f>
        <v/>
      </c>
    </row>
    <row r="2300">
      <c r="E2300" s="11" t="n"/>
      <c r="M2300" s="7">
        <f>IF($C2300="","",L2300*U2300/100)</f>
        <v/>
      </c>
      <c r="N2300" s="7" t="n"/>
      <c r="T2300" s="7" t="n"/>
      <c r="U2300" s="7">
        <f>IF($C2300="","",S2300*T2300)</f>
        <v/>
      </c>
      <c r="X2300">
        <f>IF($C2300="","",IF($AM2300=1,0,IF($AL2300=1,Settings!$C$6,Settings!$C$7))*100)</f>
        <v/>
      </c>
      <c r="AB2300" s="7" t="n"/>
      <c r="AE2300" s="11" t="n"/>
      <c r="AG2300" s="7">
        <f>IF($C2300="","",U2300*X2300/100)</f>
        <v/>
      </c>
      <c r="AH2300" s="7">
        <f>IF($C2300="","",U2300-AG2300)</f>
        <v/>
      </c>
      <c r="AI2300" s="7">
        <f>IF($C2300="","",AH2300-M2300)</f>
        <v/>
      </c>
      <c r="AJ2300">
        <f>IF($C2300="","",IF(COUNTIF($C$2:$C2300,$C2300)=1,1,0))</f>
        <v/>
      </c>
      <c r="AK2300">
        <f>IF($AJ2300=1,SUMPRODUCT(--($AN$2:$AN$4001&lt;$AN2300))+1,"")</f>
        <v/>
      </c>
      <c r="AL2300">
        <f>IF($C2300="","",IF(OR($Q2300=TRUE(),$Q2300="TRUE"),1,0))</f>
        <v/>
      </c>
      <c r="AM2300">
        <f>IF($C2300="","",IF($W2300="Yes",1,0))</f>
        <v/>
      </c>
      <c r="AN2300">
        <f>IF($AJ2300=1,IFERROR(IF(VALUE($C2300)&lt;100000000,VALUE($C2300),1000000000),IFERROR(IF(VALUE(MID($C2300,2,20))&lt;100000000,VALUE(MID($C2300,2,20)),1000000000),1000000000))+ROW()/100000,"")</f>
        <v/>
      </c>
    </row>
    <row r="2301">
      <c r="E2301" s="11" t="n"/>
      <c r="M2301" s="7">
        <f>IF($C2301="","",L2301*U2301/100)</f>
        <v/>
      </c>
      <c r="N2301" s="7" t="n"/>
      <c r="T2301" s="7" t="n"/>
      <c r="U2301" s="7">
        <f>IF($C2301="","",S2301*T2301)</f>
        <v/>
      </c>
      <c r="X2301">
        <f>IF($C2301="","",IF($AM2301=1,0,IF($AL2301=1,Settings!$C$6,Settings!$C$7))*100)</f>
        <v/>
      </c>
      <c r="AB2301" s="7" t="n"/>
      <c r="AE2301" s="11" t="n"/>
      <c r="AG2301" s="7">
        <f>IF($C2301="","",U2301*X2301/100)</f>
        <v/>
      </c>
      <c r="AH2301" s="7">
        <f>IF($C2301="","",U2301-AG2301)</f>
        <v/>
      </c>
      <c r="AI2301" s="7">
        <f>IF($C2301="","",AH2301-M2301)</f>
        <v/>
      </c>
      <c r="AJ2301">
        <f>IF($C2301="","",IF(COUNTIF($C$2:$C2301,$C2301)=1,1,0))</f>
        <v/>
      </c>
      <c r="AK2301">
        <f>IF($AJ2301=1,SUMPRODUCT(--($AN$2:$AN$4001&lt;$AN2301))+1,"")</f>
        <v/>
      </c>
      <c r="AL2301">
        <f>IF($C2301="","",IF(OR($Q2301=TRUE(),$Q2301="TRUE"),1,0))</f>
        <v/>
      </c>
      <c r="AM2301">
        <f>IF($C2301="","",IF($W2301="Yes",1,0))</f>
        <v/>
      </c>
      <c r="AN2301">
        <f>IF($AJ2301=1,IFERROR(IF(VALUE($C2301)&lt;100000000,VALUE($C2301),1000000000),IFERROR(IF(VALUE(MID($C2301,2,20))&lt;100000000,VALUE(MID($C2301,2,20)),1000000000),1000000000))+ROW()/100000,"")</f>
        <v/>
      </c>
    </row>
    <row r="2302">
      <c r="E2302" s="11" t="n"/>
      <c r="M2302" s="7">
        <f>IF($C2302="","",L2302*U2302/100)</f>
        <v/>
      </c>
      <c r="N2302" s="7" t="n"/>
      <c r="T2302" s="7" t="n"/>
      <c r="U2302" s="7">
        <f>IF($C2302="","",S2302*T2302)</f>
        <v/>
      </c>
      <c r="X2302">
        <f>IF($C2302="","",IF($AM2302=1,0,IF($AL2302=1,Settings!$C$6,Settings!$C$7))*100)</f>
        <v/>
      </c>
      <c r="AB2302" s="7" t="n"/>
      <c r="AE2302" s="11" t="n"/>
      <c r="AG2302" s="7">
        <f>IF($C2302="","",U2302*X2302/100)</f>
        <v/>
      </c>
      <c r="AH2302" s="7">
        <f>IF($C2302="","",U2302-AG2302)</f>
        <v/>
      </c>
      <c r="AI2302" s="7">
        <f>IF($C2302="","",AH2302-M2302)</f>
        <v/>
      </c>
      <c r="AJ2302">
        <f>IF($C2302="","",IF(COUNTIF($C$2:$C2302,$C2302)=1,1,0))</f>
        <v/>
      </c>
      <c r="AK2302">
        <f>IF($AJ2302=1,SUMPRODUCT(--($AN$2:$AN$4001&lt;$AN2302))+1,"")</f>
        <v/>
      </c>
      <c r="AL2302">
        <f>IF($C2302="","",IF(OR($Q2302=TRUE(),$Q2302="TRUE"),1,0))</f>
        <v/>
      </c>
      <c r="AM2302">
        <f>IF($C2302="","",IF($W2302="Yes",1,0))</f>
        <v/>
      </c>
      <c r="AN2302">
        <f>IF($AJ2302=1,IFERROR(IF(VALUE($C2302)&lt;100000000,VALUE($C2302),1000000000),IFERROR(IF(VALUE(MID($C2302,2,20))&lt;100000000,VALUE(MID($C2302,2,20)),1000000000),1000000000))+ROW()/100000,"")</f>
        <v/>
      </c>
    </row>
    <row r="2303">
      <c r="E2303" s="11" t="n"/>
      <c r="M2303" s="7">
        <f>IF($C2303="","",L2303*U2303/100)</f>
        <v/>
      </c>
      <c r="N2303" s="7" t="n"/>
      <c r="T2303" s="7" t="n"/>
      <c r="U2303" s="7">
        <f>IF($C2303="","",S2303*T2303)</f>
        <v/>
      </c>
      <c r="X2303">
        <f>IF($C2303="","",IF($AM2303=1,0,IF($AL2303=1,Settings!$C$6,Settings!$C$7))*100)</f>
        <v/>
      </c>
      <c r="AB2303" s="7" t="n"/>
      <c r="AE2303" s="11" t="n"/>
      <c r="AG2303" s="7">
        <f>IF($C2303="","",U2303*X2303/100)</f>
        <v/>
      </c>
      <c r="AH2303" s="7">
        <f>IF($C2303="","",U2303-AG2303)</f>
        <v/>
      </c>
      <c r="AI2303" s="7">
        <f>IF($C2303="","",AH2303-M2303)</f>
        <v/>
      </c>
      <c r="AJ2303">
        <f>IF($C2303="","",IF(COUNTIF($C$2:$C2303,$C2303)=1,1,0))</f>
        <v/>
      </c>
      <c r="AK2303">
        <f>IF($AJ2303=1,SUMPRODUCT(--($AN$2:$AN$4001&lt;$AN2303))+1,"")</f>
        <v/>
      </c>
      <c r="AL2303">
        <f>IF($C2303="","",IF(OR($Q2303=TRUE(),$Q2303="TRUE"),1,0))</f>
        <v/>
      </c>
      <c r="AM2303">
        <f>IF($C2303="","",IF($W2303="Yes",1,0))</f>
        <v/>
      </c>
      <c r="AN2303">
        <f>IF($AJ2303=1,IFERROR(IF(VALUE($C2303)&lt;100000000,VALUE($C2303),1000000000),IFERROR(IF(VALUE(MID($C2303,2,20))&lt;100000000,VALUE(MID($C2303,2,20)),1000000000),1000000000))+ROW()/100000,"")</f>
        <v/>
      </c>
    </row>
    <row r="2304">
      <c r="E2304" s="11" t="n"/>
      <c r="M2304" s="7">
        <f>IF($C2304="","",L2304*U2304/100)</f>
        <v/>
      </c>
      <c r="N2304" s="7" t="n"/>
      <c r="T2304" s="7" t="n"/>
      <c r="U2304" s="7">
        <f>IF($C2304="","",S2304*T2304)</f>
        <v/>
      </c>
      <c r="X2304">
        <f>IF($C2304="","",IF($AM2304=1,0,IF($AL2304=1,Settings!$C$6,Settings!$C$7))*100)</f>
        <v/>
      </c>
      <c r="AB2304" s="7" t="n"/>
      <c r="AE2304" s="11" t="n"/>
      <c r="AG2304" s="7">
        <f>IF($C2304="","",U2304*X2304/100)</f>
        <v/>
      </c>
      <c r="AH2304" s="7">
        <f>IF($C2304="","",U2304-AG2304)</f>
        <v/>
      </c>
      <c r="AI2304" s="7">
        <f>IF($C2304="","",AH2304-M2304)</f>
        <v/>
      </c>
      <c r="AJ2304">
        <f>IF($C2304="","",IF(COUNTIF($C$2:$C2304,$C2304)=1,1,0))</f>
        <v/>
      </c>
      <c r="AK2304">
        <f>IF($AJ2304=1,SUMPRODUCT(--($AN$2:$AN$4001&lt;$AN2304))+1,"")</f>
        <v/>
      </c>
      <c r="AL2304">
        <f>IF($C2304="","",IF(OR($Q2304=TRUE(),$Q2304="TRUE"),1,0))</f>
        <v/>
      </c>
      <c r="AM2304">
        <f>IF($C2304="","",IF($W2304="Yes",1,0))</f>
        <v/>
      </c>
      <c r="AN2304">
        <f>IF($AJ2304=1,IFERROR(IF(VALUE($C2304)&lt;100000000,VALUE($C2304),1000000000),IFERROR(IF(VALUE(MID($C2304,2,20))&lt;100000000,VALUE(MID($C2304,2,20)),1000000000),1000000000))+ROW()/100000,"")</f>
        <v/>
      </c>
    </row>
    <row r="2305">
      <c r="E2305" s="11" t="n"/>
      <c r="M2305" s="7">
        <f>IF($C2305="","",L2305*U2305/100)</f>
        <v/>
      </c>
      <c r="N2305" s="7" t="n"/>
      <c r="T2305" s="7" t="n"/>
      <c r="U2305" s="7">
        <f>IF($C2305="","",S2305*T2305)</f>
        <v/>
      </c>
      <c r="X2305">
        <f>IF($C2305="","",IF($AM2305=1,0,IF($AL2305=1,Settings!$C$6,Settings!$C$7))*100)</f>
        <v/>
      </c>
      <c r="AB2305" s="7" t="n"/>
      <c r="AE2305" s="11" t="n"/>
      <c r="AG2305" s="7">
        <f>IF($C2305="","",U2305*X2305/100)</f>
        <v/>
      </c>
      <c r="AH2305" s="7">
        <f>IF($C2305="","",U2305-AG2305)</f>
        <v/>
      </c>
      <c r="AI2305" s="7">
        <f>IF($C2305="","",AH2305-M2305)</f>
        <v/>
      </c>
      <c r="AJ2305">
        <f>IF($C2305="","",IF(COUNTIF($C$2:$C2305,$C2305)=1,1,0))</f>
        <v/>
      </c>
      <c r="AK2305">
        <f>IF($AJ2305=1,SUMPRODUCT(--($AN$2:$AN$4001&lt;$AN2305))+1,"")</f>
        <v/>
      </c>
      <c r="AL2305">
        <f>IF($C2305="","",IF(OR($Q2305=TRUE(),$Q2305="TRUE"),1,0))</f>
        <v/>
      </c>
      <c r="AM2305">
        <f>IF($C2305="","",IF($W2305="Yes",1,0))</f>
        <v/>
      </c>
      <c r="AN2305">
        <f>IF($AJ2305=1,IFERROR(IF(VALUE($C2305)&lt;100000000,VALUE($C2305),1000000000),IFERROR(IF(VALUE(MID($C2305,2,20))&lt;100000000,VALUE(MID($C2305,2,20)),1000000000),1000000000))+ROW()/100000,"")</f>
        <v/>
      </c>
    </row>
    <row r="2306">
      <c r="E2306" s="11" t="n"/>
      <c r="M2306" s="7">
        <f>IF($C2306="","",L2306*U2306/100)</f>
        <v/>
      </c>
      <c r="N2306" s="7" t="n"/>
      <c r="T2306" s="7" t="n"/>
      <c r="U2306" s="7">
        <f>IF($C2306="","",S2306*T2306)</f>
        <v/>
      </c>
      <c r="X2306">
        <f>IF($C2306="","",IF($AM2306=1,0,IF($AL2306=1,Settings!$C$6,Settings!$C$7))*100)</f>
        <v/>
      </c>
      <c r="AB2306" s="7" t="n"/>
      <c r="AE2306" s="11" t="n"/>
      <c r="AG2306" s="7">
        <f>IF($C2306="","",U2306*X2306/100)</f>
        <v/>
      </c>
      <c r="AH2306" s="7">
        <f>IF($C2306="","",U2306-AG2306)</f>
        <v/>
      </c>
      <c r="AI2306" s="7">
        <f>IF($C2306="","",AH2306-M2306)</f>
        <v/>
      </c>
      <c r="AJ2306">
        <f>IF($C2306="","",IF(COUNTIF($C$2:$C2306,$C2306)=1,1,0))</f>
        <v/>
      </c>
      <c r="AK2306">
        <f>IF($AJ2306=1,SUMPRODUCT(--($AN$2:$AN$4001&lt;$AN2306))+1,"")</f>
        <v/>
      </c>
      <c r="AL2306">
        <f>IF($C2306="","",IF(OR($Q2306=TRUE(),$Q2306="TRUE"),1,0))</f>
        <v/>
      </c>
      <c r="AM2306">
        <f>IF($C2306="","",IF($W2306="Yes",1,0))</f>
        <v/>
      </c>
      <c r="AN2306">
        <f>IF($AJ2306=1,IFERROR(IF(VALUE($C2306)&lt;100000000,VALUE($C2306),1000000000),IFERROR(IF(VALUE(MID($C2306,2,20))&lt;100000000,VALUE(MID($C2306,2,20)),1000000000),1000000000))+ROW()/100000,"")</f>
        <v/>
      </c>
    </row>
    <row r="2307">
      <c r="E2307" s="11" t="n"/>
      <c r="M2307" s="7">
        <f>IF($C2307="","",L2307*U2307/100)</f>
        <v/>
      </c>
      <c r="N2307" s="7" t="n"/>
      <c r="T2307" s="7" t="n"/>
      <c r="U2307" s="7">
        <f>IF($C2307="","",S2307*T2307)</f>
        <v/>
      </c>
      <c r="X2307">
        <f>IF($C2307="","",IF($AM2307=1,0,IF($AL2307=1,Settings!$C$6,Settings!$C$7))*100)</f>
        <v/>
      </c>
      <c r="AB2307" s="7" t="n"/>
      <c r="AE2307" s="11" t="n"/>
      <c r="AG2307" s="7">
        <f>IF($C2307="","",U2307*X2307/100)</f>
        <v/>
      </c>
      <c r="AH2307" s="7">
        <f>IF($C2307="","",U2307-AG2307)</f>
        <v/>
      </c>
      <c r="AI2307" s="7">
        <f>IF($C2307="","",AH2307-M2307)</f>
        <v/>
      </c>
      <c r="AJ2307">
        <f>IF($C2307="","",IF(COUNTIF($C$2:$C2307,$C2307)=1,1,0))</f>
        <v/>
      </c>
      <c r="AK2307">
        <f>IF($AJ2307=1,SUMPRODUCT(--($AN$2:$AN$4001&lt;$AN2307))+1,"")</f>
        <v/>
      </c>
      <c r="AL2307">
        <f>IF($C2307="","",IF(OR($Q2307=TRUE(),$Q2307="TRUE"),1,0))</f>
        <v/>
      </c>
      <c r="AM2307">
        <f>IF($C2307="","",IF($W2307="Yes",1,0))</f>
        <v/>
      </c>
      <c r="AN2307">
        <f>IF($AJ2307=1,IFERROR(IF(VALUE($C2307)&lt;100000000,VALUE($C2307),1000000000),IFERROR(IF(VALUE(MID($C2307,2,20))&lt;100000000,VALUE(MID($C2307,2,20)),1000000000),1000000000))+ROW()/100000,"")</f>
        <v/>
      </c>
    </row>
    <row r="2308">
      <c r="E2308" s="11" t="n"/>
      <c r="M2308" s="7">
        <f>IF($C2308="","",L2308*U2308/100)</f>
        <v/>
      </c>
      <c r="N2308" s="7" t="n"/>
      <c r="T2308" s="7" t="n"/>
      <c r="U2308" s="7">
        <f>IF($C2308="","",S2308*T2308)</f>
        <v/>
      </c>
      <c r="X2308">
        <f>IF($C2308="","",IF($AM2308=1,0,IF($AL2308=1,Settings!$C$6,Settings!$C$7))*100)</f>
        <v/>
      </c>
      <c r="AB2308" s="7" t="n"/>
      <c r="AE2308" s="11" t="n"/>
      <c r="AG2308" s="7">
        <f>IF($C2308="","",U2308*X2308/100)</f>
        <v/>
      </c>
      <c r="AH2308" s="7">
        <f>IF($C2308="","",U2308-AG2308)</f>
        <v/>
      </c>
      <c r="AI2308" s="7">
        <f>IF($C2308="","",AH2308-M2308)</f>
        <v/>
      </c>
      <c r="AJ2308">
        <f>IF($C2308="","",IF(COUNTIF($C$2:$C2308,$C2308)=1,1,0))</f>
        <v/>
      </c>
      <c r="AK2308">
        <f>IF($AJ2308=1,SUMPRODUCT(--($AN$2:$AN$4001&lt;$AN2308))+1,"")</f>
        <v/>
      </c>
      <c r="AL2308">
        <f>IF($C2308="","",IF(OR($Q2308=TRUE(),$Q2308="TRUE"),1,0))</f>
        <v/>
      </c>
      <c r="AM2308">
        <f>IF($C2308="","",IF($W2308="Yes",1,0))</f>
        <v/>
      </c>
      <c r="AN2308">
        <f>IF($AJ2308=1,IFERROR(IF(VALUE($C2308)&lt;100000000,VALUE($C2308),1000000000),IFERROR(IF(VALUE(MID($C2308,2,20))&lt;100000000,VALUE(MID($C2308,2,20)),1000000000),1000000000))+ROW()/100000,"")</f>
        <v/>
      </c>
    </row>
    <row r="2309">
      <c r="E2309" s="11" t="n"/>
      <c r="M2309" s="7">
        <f>IF($C2309="","",L2309*U2309/100)</f>
        <v/>
      </c>
      <c r="N2309" s="7" t="n"/>
      <c r="T2309" s="7" t="n"/>
      <c r="U2309" s="7">
        <f>IF($C2309="","",S2309*T2309)</f>
        <v/>
      </c>
      <c r="X2309">
        <f>IF($C2309="","",IF($AM2309=1,0,IF($AL2309=1,Settings!$C$6,Settings!$C$7))*100)</f>
        <v/>
      </c>
      <c r="AB2309" s="7" t="n"/>
      <c r="AE2309" s="11" t="n"/>
      <c r="AG2309" s="7">
        <f>IF($C2309="","",U2309*X2309/100)</f>
        <v/>
      </c>
      <c r="AH2309" s="7">
        <f>IF($C2309="","",U2309-AG2309)</f>
        <v/>
      </c>
      <c r="AI2309" s="7">
        <f>IF($C2309="","",AH2309-M2309)</f>
        <v/>
      </c>
      <c r="AJ2309">
        <f>IF($C2309="","",IF(COUNTIF($C$2:$C2309,$C2309)=1,1,0))</f>
        <v/>
      </c>
      <c r="AK2309">
        <f>IF($AJ2309=1,SUMPRODUCT(--($AN$2:$AN$4001&lt;$AN2309))+1,"")</f>
        <v/>
      </c>
      <c r="AL2309">
        <f>IF($C2309="","",IF(OR($Q2309=TRUE(),$Q2309="TRUE"),1,0))</f>
        <v/>
      </c>
      <c r="AM2309">
        <f>IF($C2309="","",IF($W2309="Yes",1,0))</f>
        <v/>
      </c>
      <c r="AN2309">
        <f>IF($AJ2309=1,IFERROR(IF(VALUE($C2309)&lt;100000000,VALUE($C2309),1000000000),IFERROR(IF(VALUE(MID($C2309,2,20))&lt;100000000,VALUE(MID($C2309,2,20)),1000000000),1000000000))+ROW()/100000,"")</f>
        <v/>
      </c>
    </row>
    <row r="2310">
      <c r="E2310" s="11" t="n"/>
      <c r="M2310" s="7">
        <f>IF($C2310="","",L2310*U2310/100)</f>
        <v/>
      </c>
      <c r="N2310" s="7" t="n"/>
      <c r="T2310" s="7" t="n"/>
      <c r="U2310" s="7">
        <f>IF($C2310="","",S2310*T2310)</f>
        <v/>
      </c>
      <c r="X2310">
        <f>IF($C2310="","",IF($AM2310=1,0,IF($AL2310=1,Settings!$C$6,Settings!$C$7))*100)</f>
        <v/>
      </c>
      <c r="AB2310" s="7" t="n"/>
      <c r="AE2310" s="11" t="n"/>
      <c r="AG2310" s="7">
        <f>IF($C2310="","",U2310*X2310/100)</f>
        <v/>
      </c>
      <c r="AH2310" s="7">
        <f>IF($C2310="","",U2310-AG2310)</f>
        <v/>
      </c>
      <c r="AI2310" s="7">
        <f>IF($C2310="","",AH2310-M2310)</f>
        <v/>
      </c>
      <c r="AJ2310">
        <f>IF($C2310="","",IF(COUNTIF($C$2:$C2310,$C2310)=1,1,0))</f>
        <v/>
      </c>
      <c r="AK2310">
        <f>IF($AJ2310=1,SUMPRODUCT(--($AN$2:$AN$4001&lt;$AN2310))+1,"")</f>
        <v/>
      </c>
      <c r="AL2310">
        <f>IF($C2310="","",IF(OR($Q2310=TRUE(),$Q2310="TRUE"),1,0))</f>
        <v/>
      </c>
      <c r="AM2310">
        <f>IF($C2310="","",IF($W2310="Yes",1,0))</f>
        <v/>
      </c>
      <c r="AN2310">
        <f>IF($AJ2310=1,IFERROR(IF(VALUE($C2310)&lt;100000000,VALUE($C2310),1000000000),IFERROR(IF(VALUE(MID($C2310,2,20))&lt;100000000,VALUE(MID($C2310,2,20)),1000000000),1000000000))+ROW()/100000,"")</f>
        <v/>
      </c>
    </row>
    <row r="2311">
      <c r="E2311" s="11" t="n"/>
      <c r="M2311" s="7">
        <f>IF($C2311="","",L2311*U2311/100)</f>
        <v/>
      </c>
      <c r="N2311" s="7" t="n"/>
      <c r="T2311" s="7" t="n"/>
      <c r="U2311" s="7">
        <f>IF($C2311="","",S2311*T2311)</f>
        <v/>
      </c>
      <c r="X2311">
        <f>IF($C2311="","",IF($AM2311=1,0,IF($AL2311=1,Settings!$C$6,Settings!$C$7))*100)</f>
        <v/>
      </c>
      <c r="AB2311" s="7" t="n"/>
      <c r="AE2311" s="11" t="n"/>
      <c r="AG2311" s="7">
        <f>IF($C2311="","",U2311*X2311/100)</f>
        <v/>
      </c>
      <c r="AH2311" s="7">
        <f>IF($C2311="","",U2311-AG2311)</f>
        <v/>
      </c>
      <c r="AI2311" s="7">
        <f>IF($C2311="","",AH2311-M2311)</f>
        <v/>
      </c>
      <c r="AJ2311">
        <f>IF($C2311="","",IF(COUNTIF($C$2:$C2311,$C2311)=1,1,0))</f>
        <v/>
      </c>
      <c r="AK2311">
        <f>IF($AJ2311=1,SUMPRODUCT(--($AN$2:$AN$4001&lt;$AN2311))+1,"")</f>
        <v/>
      </c>
      <c r="AL2311">
        <f>IF($C2311="","",IF(OR($Q2311=TRUE(),$Q2311="TRUE"),1,0))</f>
        <v/>
      </c>
      <c r="AM2311">
        <f>IF($C2311="","",IF($W2311="Yes",1,0))</f>
        <v/>
      </c>
      <c r="AN2311">
        <f>IF($AJ2311=1,IFERROR(IF(VALUE($C2311)&lt;100000000,VALUE($C2311),1000000000),IFERROR(IF(VALUE(MID($C2311,2,20))&lt;100000000,VALUE(MID($C2311,2,20)),1000000000),1000000000))+ROW()/100000,"")</f>
        <v/>
      </c>
    </row>
    <row r="2312">
      <c r="E2312" s="11" t="n"/>
      <c r="M2312" s="7">
        <f>IF($C2312="","",L2312*U2312/100)</f>
        <v/>
      </c>
      <c r="N2312" s="7" t="n"/>
      <c r="T2312" s="7" t="n"/>
      <c r="U2312" s="7">
        <f>IF($C2312="","",S2312*T2312)</f>
        <v/>
      </c>
      <c r="X2312">
        <f>IF($C2312="","",IF($AM2312=1,0,IF($AL2312=1,Settings!$C$6,Settings!$C$7))*100)</f>
        <v/>
      </c>
      <c r="AB2312" s="7" t="n"/>
      <c r="AE2312" s="11" t="n"/>
      <c r="AG2312" s="7">
        <f>IF($C2312="","",U2312*X2312/100)</f>
        <v/>
      </c>
      <c r="AH2312" s="7">
        <f>IF($C2312="","",U2312-AG2312)</f>
        <v/>
      </c>
      <c r="AI2312" s="7">
        <f>IF($C2312="","",AH2312-M2312)</f>
        <v/>
      </c>
      <c r="AJ2312">
        <f>IF($C2312="","",IF(COUNTIF($C$2:$C2312,$C2312)=1,1,0))</f>
        <v/>
      </c>
      <c r="AK2312">
        <f>IF($AJ2312=1,SUMPRODUCT(--($AN$2:$AN$4001&lt;$AN2312))+1,"")</f>
        <v/>
      </c>
      <c r="AL2312">
        <f>IF($C2312="","",IF(OR($Q2312=TRUE(),$Q2312="TRUE"),1,0))</f>
        <v/>
      </c>
      <c r="AM2312">
        <f>IF($C2312="","",IF($W2312="Yes",1,0))</f>
        <v/>
      </c>
      <c r="AN2312">
        <f>IF($AJ2312=1,IFERROR(IF(VALUE($C2312)&lt;100000000,VALUE($C2312),1000000000),IFERROR(IF(VALUE(MID($C2312,2,20))&lt;100000000,VALUE(MID($C2312,2,20)),1000000000),1000000000))+ROW()/100000,"")</f>
        <v/>
      </c>
    </row>
    <row r="2313">
      <c r="E2313" s="11" t="n"/>
      <c r="M2313" s="7">
        <f>IF($C2313="","",L2313*U2313/100)</f>
        <v/>
      </c>
      <c r="N2313" s="7" t="n"/>
      <c r="T2313" s="7" t="n"/>
      <c r="U2313" s="7">
        <f>IF($C2313="","",S2313*T2313)</f>
        <v/>
      </c>
      <c r="X2313">
        <f>IF($C2313="","",IF($AM2313=1,0,IF($AL2313=1,Settings!$C$6,Settings!$C$7))*100)</f>
        <v/>
      </c>
      <c r="AB2313" s="7" t="n"/>
      <c r="AE2313" s="11" t="n"/>
      <c r="AG2313" s="7">
        <f>IF($C2313="","",U2313*X2313/100)</f>
        <v/>
      </c>
      <c r="AH2313" s="7">
        <f>IF($C2313="","",U2313-AG2313)</f>
        <v/>
      </c>
      <c r="AI2313" s="7">
        <f>IF($C2313="","",AH2313-M2313)</f>
        <v/>
      </c>
      <c r="AJ2313">
        <f>IF($C2313="","",IF(COUNTIF($C$2:$C2313,$C2313)=1,1,0))</f>
        <v/>
      </c>
      <c r="AK2313">
        <f>IF($AJ2313=1,SUMPRODUCT(--($AN$2:$AN$4001&lt;$AN2313))+1,"")</f>
        <v/>
      </c>
      <c r="AL2313">
        <f>IF($C2313="","",IF(OR($Q2313=TRUE(),$Q2313="TRUE"),1,0))</f>
        <v/>
      </c>
      <c r="AM2313">
        <f>IF($C2313="","",IF($W2313="Yes",1,0))</f>
        <v/>
      </c>
      <c r="AN2313">
        <f>IF($AJ2313=1,IFERROR(IF(VALUE($C2313)&lt;100000000,VALUE($C2313),1000000000),IFERROR(IF(VALUE(MID($C2313,2,20))&lt;100000000,VALUE(MID($C2313,2,20)),1000000000),1000000000))+ROW()/100000,"")</f>
        <v/>
      </c>
    </row>
    <row r="2314">
      <c r="E2314" s="11" t="n"/>
      <c r="M2314" s="7">
        <f>IF($C2314="","",L2314*U2314/100)</f>
        <v/>
      </c>
      <c r="N2314" s="7" t="n"/>
      <c r="T2314" s="7" t="n"/>
      <c r="U2314" s="7">
        <f>IF($C2314="","",S2314*T2314)</f>
        <v/>
      </c>
      <c r="X2314">
        <f>IF($C2314="","",IF($AM2314=1,0,IF($AL2314=1,Settings!$C$6,Settings!$C$7))*100)</f>
        <v/>
      </c>
      <c r="AB2314" s="7" t="n"/>
      <c r="AE2314" s="11" t="n"/>
      <c r="AG2314" s="7">
        <f>IF($C2314="","",U2314*X2314/100)</f>
        <v/>
      </c>
      <c r="AH2314" s="7">
        <f>IF($C2314="","",U2314-AG2314)</f>
        <v/>
      </c>
      <c r="AI2314" s="7">
        <f>IF($C2314="","",AH2314-M2314)</f>
        <v/>
      </c>
      <c r="AJ2314">
        <f>IF($C2314="","",IF(COUNTIF($C$2:$C2314,$C2314)=1,1,0))</f>
        <v/>
      </c>
      <c r="AK2314">
        <f>IF($AJ2314=1,SUMPRODUCT(--($AN$2:$AN$4001&lt;$AN2314))+1,"")</f>
        <v/>
      </c>
      <c r="AL2314">
        <f>IF($C2314="","",IF(OR($Q2314=TRUE(),$Q2314="TRUE"),1,0))</f>
        <v/>
      </c>
      <c r="AM2314">
        <f>IF($C2314="","",IF($W2314="Yes",1,0))</f>
        <v/>
      </c>
      <c r="AN2314">
        <f>IF($AJ2314=1,IFERROR(IF(VALUE($C2314)&lt;100000000,VALUE($C2314),1000000000),IFERROR(IF(VALUE(MID($C2314,2,20))&lt;100000000,VALUE(MID($C2314,2,20)),1000000000),1000000000))+ROW()/100000,"")</f>
        <v/>
      </c>
    </row>
    <row r="2315">
      <c r="E2315" s="11" t="n"/>
      <c r="M2315" s="7">
        <f>IF($C2315="","",L2315*U2315/100)</f>
        <v/>
      </c>
      <c r="N2315" s="7" t="n"/>
      <c r="T2315" s="7" t="n"/>
      <c r="U2315" s="7">
        <f>IF($C2315="","",S2315*T2315)</f>
        <v/>
      </c>
      <c r="X2315">
        <f>IF($C2315="","",IF($AM2315=1,0,IF($AL2315=1,Settings!$C$6,Settings!$C$7))*100)</f>
        <v/>
      </c>
      <c r="AB2315" s="7" t="n"/>
      <c r="AE2315" s="11" t="n"/>
      <c r="AG2315" s="7">
        <f>IF($C2315="","",U2315*X2315/100)</f>
        <v/>
      </c>
      <c r="AH2315" s="7">
        <f>IF($C2315="","",U2315-AG2315)</f>
        <v/>
      </c>
      <c r="AI2315" s="7">
        <f>IF($C2315="","",AH2315-M2315)</f>
        <v/>
      </c>
      <c r="AJ2315">
        <f>IF($C2315="","",IF(COUNTIF($C$2:$C2315,$C2315)=1,1,0))</f>
        <v/>
      </c>
      <c r="AK2315">
        <f>IF($AJ2315=1,SUMPRODUCT(--($AN$2:$AN$4001&lt;$AN2315))+1,"")</f>
        <v/>
      </c>
      <c r="AL2315">
        <f>IF($C2315="","",IF(OR($Q2315=TRUE(),$Q2315="TRUE"),1,0))</f>
        <v/>
      </c>
      <c r="AM2315">
        <f>IF($C2315="","",IF($W2315="Yes",1,0))</f>
        <v/>
      </c>
      <c r="AN2315">
        <f>IF($AJ2315=1,IFERROR(IF(VALUE($C2315)&lt;100000000,VALUE($C2315),1000000000),IFERROR(IF(VALUE(MID($C2315,2,20))&lt;100000000,VALUE(MID($C2315,2,20)),1000000000),1000000000))+ROW()/100000,"")</f>
        <v/>
      </c>
    </row>
    <row r="2316">
      <c r="E2316" s="11" t="n"/>
      <c r="M2316" s="7">
        <f>IF($C2316="","",L2316*U2316/100)</f>
        <v/>
      </c>
      <c r="N2316" s="7" t="n"/>
      <c r="T2316" s="7" t="n"/>
      <c r="U2316" s="7">
        <f>IF($C2316="","",S2316*T2316)</f>
        <v/>
      </c>
      <c r="X2316">
        <f>IF($C2316="","",IF($AM2316=1,0,IF($AL2316=1,Settings!$C$6,Settings!$C$7))*100)</f>
        <v/>
      </c>
      <c r="AB2316" s="7" t="n"/>
      <c r="AE2316" s="11" t="n"/>
      <c r="AG2316" s="7">
        <f>IF($C2316="","",U2316*X2316/100)</f>
        <v/>
      </c>
      <c r="AH2316" s="7">
        <f>IF($C2316="","",U2316-AG2316)</f>
        <v/>
      </c>
      <c r="AI2316" s="7">
        <f>IF($C2316="","",AH2316-M2316)</f>
        <v/>
      </c>
      <c r="AJ2316">
        <f>IF($C2316="","",IF(COUNTIF($C$2:$C2316,$C2316)=1,1,0))</f>
        <v/>
      </c>
      <c r="AK2316">
        <f>IF($AJ2316=1,SUMPRODUCT(--($AN$2:$AN$4001&lt;$AN2316))+1,"")</f>
        <v/>
      </c>
      <c r="AL2316">
        <f>IF($C2316="","",IF(OR($Q2316=TRUE(),$Q2316="TRUE"),1,0))</f>
        <v/>
      </c>
      <c r="AM2316">
        <f>IF($C2316="","",IF($W2316="Yes",1,0))</f>
        <v/>
      </c>
      <c r="AN2316">
        <f>IF($AJ2316=1,IFERROR(IF(VALUE($C2316)&lt;100000000,VALUE($C2316),1000000000),IFERROR(IF(VALUE(MID($C2316,2,20))&lt;100000000,VALUE(MID($C2316,2,20)),1000000000),1000000000))+ROW()/100000,"")</f>
        <v/>
      </c>
    </row>
    <row r="2317">
      <c r="E2317" s="11" t="n"/>
      <c r="M2317" s="7">
        <f>IF($C2317="","",L2317*U2317/100)</f>
        <v/>
      </c>
      <c r="N2317" s="7" t="n"/>
      <c r="T2317" s="7" t="n"/>
      <c r="U2317" s="7">
        <f>IF($C2317="","",S2317*T2317)</f>
        <v/>
      </c>
      <c r="X2317">
        <f>IF($C2317="","",IF($AM2317=1,0,IF($AL2317=1,Settings!$C$6,Settings!$C$7))*100)</f>
        <v/>
      </c>
      <c r="AB2317" s="7" t="n"/>
      <c r="AE2317" s="11" t="n"/>
      <c r="AG2317" s="7">
        <f>IF($C2317="","",U2317*X2317/100)</f>
        <v/>
      </c>
      <c r="AH2317" s="7">
        <f>IF($C2317="","",U2317-AG2317)</f>
        <v/>
      </c>
      <c r="AI2317" s="7">
        <f>IF($C2317="","",AH2317-M2317)</f>
        <v/>
      </c>
      <c r="AJ2317">
        <f>IF($C2317="","",IF(COUNTIF($C$2:$C2317,$C2317)=1,1,0))</f>
        <v/>
      </c>
      <c r="AK2317">
        <f>IF($AJ2317=1,SUMPRODUCT(--($AN$2:$AN$4001&lt;$AN2317))+1,"")</f>
        <v/>
      </c>
      <c r="AL2317">
        <f>IF($C2317="","",IF(OR($Q2317=TRUE(),$Q2317="TRUE"),1,0))</f>
        <v/>
      </c>
      <c r="AM2317">
        <f>IF($C2317="","",IF($W2317="Yes",1,0))</f>
        <v/>
      </c>
      <c r="AN2317">
        <f>IF($AJ2317=1,IFERROR(IF(VALUE($C2317)&lt;100000000,VALUE($C2317),1000000000),IFERROR(IF(VALUE(MID($C2317,2,20))&lt;100000000,VALUE(MID($C2317,2,20)),1000000000),1000000000))+ROW()/100000,"")</f>
        <v/>
      </c>
    </row>
    <row r="2318">
      <c r="E2318" s="11" t="n"/>
      <c r="M2318" s="7">
        <f>IF($C2318="","",L2318*U2318/100)</f>
        <v/>
      </c>
      <c r="N2318" s="7" t="n"/>
      <c r="T2318" s="7" t="n"/>
      <c r="U2318" s="7">
        <f>IF($C2318="","",S2318*T2318)</f>
        <v/>
      </c>
      <c r="X2318">
        <f>IF($C2318="","",IF($AM2318=1,0,IF($AL2318=1,Settings!$C$6,Settings!$C$7))*100)</f>
        <v/>
      </c>
      <c r="AB2318" s="7" t="n"/>
      <c r="AE2318" s="11" t="n"/>
      <c r="AG2318" s="7">
        <f>IF($C2318="","",U2318*X2318/100)</f>
        <v/>
      </c>
      <c r="AH2318" s="7">
        <f>IF($C2318="","",U2318-AG2318)</f>
        <v/>
      </c>
      <c r="AI2318" s="7">
        <f>IF($C2318="","",AH2318-M2318)</f>
        <v/>
      </c>
      <c r="AJ2318">
        <f>IF($C2318="","",IF(COUNTIF($C$2:$C2318,$C2318)=1,1,0))</f>
        <v/>
      </c>
      <c r="AK2318">
        <f>IF($AJ2318=1,SUMPRODUCT(--($AN$2:$AN$4001&lt;$AN2318))+1,"")</f>
        <v/>
      </c>
      <c r="AL2318">
        <f>IF($C2318="","",IF(OR($Q2318=TRUE(),$Q2318="TRUE"),1,0))</f>
        <v/>
      </c>
      <c r="AM2318">
        <f>IF($C2318="","",IF($W2318="Yes",1,0))</f>
        <v/>
      </c>
      <c r="AN2318">
        <f>IF($AJ2318=1,IFERROR(IF(VALUE($C2318)&lt;100000000,VALUE($C2318),1000000000),IFERROR(IF(VALUE(MID($C2318,2,20))&lt;100000000,VALUE(MID($C2318,2,20)),1000000000),1000000000))+ROW()/100000,"")</f>
        <v/>
      </c>
    </row>
    <row r="2319">
      <c r="E2319" s="11" t="n"/>
      <c r="M2319" s="7">
        <f>IF($C2319="","",L2319*U2319/100)</f>
        <v/>
      </c>
      <c r="N2319" s="7" t="n"/>
      <c r="T2319" s="7" t="n"/>
      <c r="U2319" s="7">
        <f>IF($C2319="","",S2319*T2319)</f>
        <v/>
      </c>
      <c r="X2319">
        <f>IF($C2319="","",IF($AM2319=1,0,IF($AL2319=1,Settings!$C$6,Settings!$C$7))*100)</f>
        <v/>
      </c>
      <c r="AB2319" s="7" t="n"/>
      <c r="AE2319" s="11" t="n"/>
      <c r="AG2319" s="7">
        <f>IF($C2319="","",U2319*X2319/100)</f>
        <v/>
      </c>
      <c r="AH2319" s="7">
        <f>IF($C2319="","",U2319-AG2319)</f>
        <v/>
      </c>
      <c r="AI2319" s="7">
        <f>IF($C2319="","",AH2319-M2319)</f>
        <v/>
      </c>
      <c r="AJ2319">
        <f>IF($C2319="","",IF(COUNTIF($C$2:$C2319,$C2319)=1,1,0))</f>
        <v/>
      </c>
      <c r="AK2319">
        <f>IF($AJ2319=1,SUMPRODUCT(--($AN$2:$AN$4001&lt;$AN2319))+1,"")</f>
        <v/>
      </c>
      <c r="AL2319">
        <f>IF($C2319="","",IF(OR($Q2319=TRUE(),$Q2319="TRUE"),1,0))</f>
        <v/>
      </c>
      <c r="AM2319">
        <f>IF($C2319="","",IF($W2319="Yes",1,0))</f>
        <v/>
      </c>
      <c r="AN2319">
        <f>IF($AJ2319=1,IFERROR(IF(VALUE($C2319)&lt;100000000,VALUE($C2319),1000000000),IFERROR(IF(VALUE(MID($C2319,2,20))&lt;100000000,VALUE(MID($C2319,2,20)),1000000000),1000000000))+ROW()/100000,"")</f>
        <v/>
      </c>
    </row>
    <row r="2320">
      <c r="E2320" s="11" t="n"/>
      <c r="M2320" s="7">
        <f>IF($C2320="","",L2320*U2320/100)</f>
        <v/>
      </c>
      <c r="N2320" s="7" t="n"/>
      <c r="T2320" s="7" t="n"/>
      <c r="U2320" s="7">
        <f>IF($C2320="","",S2320*T2320)</f>
        <v/>
      </c>
      <c r="X2320">
        <f>IF($C2320="","",IF($AM2320=1,0,IF($AL2320=1,Settings!$C$6,Settings!$C$7))*100)</f>
        <v/>
      </c>
      <c r="AB2320" s="7" t="n"/>
      <c r="AE2320" s="11" t="n"/>
      <c r="AG2320" s="7">
        <f>IF($C2320="","",U2320*X2320/100)</f>
        <v/>
      </c>
      <c r="AH2320" s="7">
        <f>IF($C2320="","",U2320-AG2320)</f>
        <v/>
      </c>
      <c r="AI2320" s="7">
        <f>IF($C2320="","",AH2320-M2320)</f>
        <v/>
      </c>
      <c r="AJ2320">
        <f>IF($C2320="","",IF(COUNTIF($C$2:$C2320,$C2320)=1,1,0))</f>
        <v/>
      </c>
      <c r="AK2320">
        <f>IF($AJ2320=1,SUMPRODUCT(--($AN$2:$AN$4001&lt;$AN2320))+1,"")</f>
        <v/>
      </c>
      <c r="AL2320">
        <f>IF($C2320="","",IF(OR($Q2320=TRUE(),$Q2320="TRUE"),1,0))</f>
        <v/>
      </c>
      <c r="AM2320">
        <f>IF($C2320="","",IF($W2320="Yes",1,0))</f>
        <v/>
      </c>
      <c r="AN2320">
        <f>IF($AJ2320=1,IFERROR(IF(VALUE($C2320)&lt;100000000,VALUE($C2320),1000000000),IFERROR(IF(VALUE(MID($C2320,2,20))&lt;100000000,VALUE(MID($C2320,2,20)),1000000000),1000000000))+ROW()/100000,"")</f>
        <v/>
      </c>
    </row>
    <row r="2321">
      <c r="E2321" s="11" t="n"/>
      <c r="M2321" s="7">
        <f>IF($C2321="","",L2321*U2321/100)</f>
        <v/>
      </c>
      <c r="N2321" s="7" t="n"/>
      <c r="T2321" s="7" t="n"/>
      <c r="U2321" s="7">
        <f>IF($C2321="","",S2321*T2321)</f>
        <v/>
      </c>
      <c r="X2321">
        <f>IF($C2321="","",IF($AM2321=1,0,IF($AL2321=1,Settings!$C$6,Settings!$C$7))*100)</f>
        <v/>
      </c>
      <c r="AB2321" s="7" t="n"/>
      <c r="AE2321" s="11" t="n"/>
      <c r="AG2321" s="7">
        <f>IF($C2321="","",U2321*X2321/100)</f>
        <v/>
      </c>
      <c r="AH2321" s="7">
        <f>IF($C2321="","",U2321-AG2321)</f>
        <v/>
      </c>
      <c r="AI2321" s="7">
        <f>IF($C2321="","",AH2321-M2321)</f>
        <v/>
      </c>
      <c r="AJ2321">
        <f>IF($C2321="","",IF(COUNTIF($C$2:$C2321,$C2321)=1,1,0))</f>
        <v/>
      </c>
      <c r="AK2321">
        <f>IF($AJ2321=1,SUMPRODUCT(--($AN$2:$AN$4001&lt;$AN2321))+1,"")</f>
        <v/>
      </c>
      <c r="AL2321">
        <f>IF($C2321="","",IF(OR($Q2321=TRUE(),$Q2321="TRUE"),1,0))</f>
        <v/>
      </c>
      <c r="AM2321">
        <f>IF($C2321="","",IF($W2321="Yes",1,0))</f>
        <v/>
      </c>
      <c r="AN2321">
        <f>IF($AJ2321=1,IFERROR(IF(VALUE($C2321)&lt;100000000,VALUE($C2321),1000000000),IFERROR(IF(VALUE(MID($C2321,2,20))&lt;100000000,VALUE(MID($C2321,2,20)),1000000000),1000000000))+ROW()/100000,"")</f>
        <v/>
      </c>
    </row>
    <row r="2322">
      <c r="E2322" s="11" t="n"/>
      <c r="M2322" s="7">
        <f>IF($C2322="","",L2322*U2322/100)</f>
        <v/>
      </c>
      <c r="N2322" s="7" t="n"/>
      <c r="T2322" s="7" t="n"/>
      <c r="U2322" s="7">
        <f>IF($C2322="","",S2322*T2322)</f>
        <v/>
      </c>
      <c r="X2322">
        <f>IF($C2322="","",IF($AM2322=1,0,IF($AL2322=1,Settings!$C$6,Settings!$C$7))*100)</f>
        <v/>
      </c>
      <c r="AB2322" s="7" t="n"/>
      <c r="AE2322" s="11" t="n"/>
      <c r="AG2322" s="7">
        <f>IF($C2322="","",U2322*X2322/100)</f>
        <v/>
      </c>
      <c r="AH2322" s="7">
        <f>IF($C2322="","",U2322-AG2322)</f>
        <v/>
      </c>
      <c r="AI2322" s="7">
        <f>IF($C2322="","",AH2322-M2322)</f>
        <v/>
      </c>
      <c r="AJ2322">
        <f>IF($C2322="","",IF(COUNTIF($C$2:$C2322,$C2322)=1,1,0))</f>
        <v/>
      </c>
      <c r="AK2322">
        <f>IF($AJ2322=1,SUMPRODUCT(--($AN$2:$AN$4001&lt;$AN2322))+1,"")</f>
        <v/>
      </c>
      <c r="AL2322">
        <f>IF($C2322="","",IF(OR($Q2322=TRUE(),$Q2322="TRUE"),1,0))</f>
        <v/>
      </c>
      <c r="AM2322">
        <f>IF($C2322="","",IF($W2322="Yes",1,0))</f>
        <v/>
      </c>
      <c r="AN2322">
        <f>IF($AJ2322=1,IFERROR(IF(VALUE($C2322)&lt;100000000,VALUE($C2322),1000000000),IFERROR(IF(VALUE(MID($C2322,2,20))&lt;100000000,VALUE(MID($C2322,2,20)),1000000000),1000000000))+ROW()/100000,"")</f>
        <v/>
      </c>
    </row>
    <row r="2323">
      <c r="E2323" s="11" t="n"/>
      <c r="M2323" s="7">
        <f>IF($C2323="","",L2323*U2323/100)</f>
        <v/>
      </c>
      <c r="N2323" s="7" t="n"/>
      <c r="T2323" s="7" t="n"/>
      <c r="U2323" s="7">
        <f>IF($C2323="","",S2323*T2323)</f>
        <v/>
      </c>
      <c r="X2323">
        <f>IF($C2323="","",IF($AM2323=1,0,IF($AL2323=1,Settings!$C$6,Settings!$C$7))*100)</f>
        <v/>
      </c>
      <c r="AB2323" s="7" t="n"/>
      <c r="AE2323" s="11" t="n"/>
      <c r="AG2323" s="7">
        <f>IF($C2323="","",U2323*X2323/100)</f>
        <v/>
      </c>
      <c r="AH2323" s="7">
        <f>IF($C2323="","",U2323-AG2323)</f>
        <v/>
      </c>
      <c r="AI2323" s="7">
        <f>IF($C2323="","",AH2323-M2323)</f>
        <v/>
      </c>
      <c r="AJ2323">
        <f>IF($C2323="","",IF(COUNTIF($C$2:$C2323,$C2323)=1,1,0))</f>
        <v/>
      </c>
      <c r="AK2323">
        <f>IF($AJ2323=1,SUMPRODUCT(--($AN$2:$AN$4001&lt;$AN2323))+1,"")</f>
        <v/>
      </c>
      <c r="AL2323">
        <f>IF($C2323="","",IF(OR($Q2323=TRUE(),$Q2323="TRUE"),1,0))</f>
        <v/>
      </c>
      <c r="AM2323">
        <f>IF($C2323="","",IF($W2323="Yes",1,0))</f>
        <v/>
      </c>
      <c r="AN2323">
        <f>IF($AJ2323=1,IFERROR(IF(VALUE($C2323)&lt;100000000,VALUE($C2323),1000000000),IFERROR(IF(VALUE(MID($C2323,2,20))&lt;100000000,VALUE(MID($C2323,2,20)),1000000000),1000000000))+ROW()/100000,"")</f>
        <v/>
      </c>
    </row>
    <row r="2324">
      <c r="E2324" s="11" t="n"/>
      <c r="M2324" s="7">
        <f>IF($C2324="","",L2324*U2324/100)</f>
        <v/>
      </c>
      <c r="N2324" s="7" t="n"/>
      <c r="T2324" s="7" t="n"/>
      <c r="U2324" s="7">
        <f>IF($C2324="","",S2324*T2324)</f>
        <v/>
      </c>
      <c r="X2324">
        <f>IF($C2324="","",IF($AM2324=1,0,IF($AL2324=1,Settings!$C$6,Settings!$C$7))*100)</f>
        <v/>
      </c>
      <c r="AB2324" s="7" t="n"/>
      <c r="AE2324" s="11" t="n"/>
      <c r="AG2324" s="7">
        <f>IF($C2324="","",U2324*X2324/100)</f>
        <v/>
      </c>
      <c r="AH2324" s="7">
        <f>IF($C2324="","",U2324-AG2324)</f>
        <v/>
      </c>
      <c r="AI2324" s="7">
        <f>IF($C2324="","",AH2324-M2324)</f>
        <v/>
      </c>
      <c r="AJ2324">
        <f>IF($C2324="","",IF(COUNTIF($C$2:$C2324,$C2324)=1,1,0))</f>
        <v/>
      </c>
      <c r="AK2324">
        <f>IF($AJ2324=1,SUMPRODUCT(--($AN$2:$AN$4001&lt;$AN2324))+1,"")</f>
        <v/>
      </c>
      <c r="AL2324">
        <f>IF($C2324="","",IF(OR($Q2324=TRUE(),$Q2324="TRUE"),1,0))</f>
        <v/>
      </c>
      <c r="AM2324">
        <f>IF($C2324="","",IF($W2324="Yes",1,0))</f>
        <v/>
      </c>
      <c r="AN2324">
        <f>IF($AJ2324=1,IFERROR(IF(VALUE($C2324)&lt;100000000,VALUE($C2324),1000000000),IFERROR(IF(VALUE(MID($C2324,2,20))&lt;100000000,VALUE(MID($C2324,2,20)),1000000000),1000000000))+ROW()/100000,"")</f>
        <v/>
      </c>
    </row>
    <row r="2325">
      <c r="E2325" s="11" t="n"/>
      <c r="M2325" s="7">
        <f>IF($C2325="","",L2325*U2325/100)</f>
        <v/>
      </c>
      <c r="N2325" s="7" t="n"/>
      <c r="T2325" s="7" t="n"/>
      <c r="U2325" s="7">
        <f>IF($C2325="","",S2325*T2325)</f>
        <v/>
      </c>
      <c r="X2325">
        <f>IF($C2325="","",IF($AM2325=1,0,IF($AL2325=1,Settings!$C$6,Settings!$C$7))*100)</f>
        <v/>
      </c>
      <c r="AB2325" s="7" t="n"/>
      <c r="AE2325" s="11" t="n"/>
      <c r="AG2325" s="7">
        <f>IF($C2325="","",U2325*X2325/100)</f>
        <v/>
      </c>
      <c r="AH2325" s="7">
        <f>IF($C2325="","",U2325-AG2325)</f>
        <v/>
      </c>
      <c r="AI2325" s="7">
        <f>IF($C2325="","",AH2325-M2325)</f>
        <v/>
      </c>
      <c r="AJ2325">
        <f>IF($C2325="","",IF(COUNTIF($C$2:$C2325,$C2325)=1,1,0))</f>
        <v/>
      </c>
      <c r="AK2325">
        <f>IF($AJ2325=1,SUMPRODUCT(--($AN$2:$AN$4001&lt;$AN2325))+1,"")</f>
        <v/>
      </c>
      <c r="AL2325">
        <f>IF($C2325="","",IF(OR($Q2325=TRUE(),$Q2325="TRUE"),1,0))</f>
        <v/>
      </c>
      <c r="AM2325">
        <f>IF($C2325="","",IF($W2325="Yes",1,0))</f>
        <v/>
      </c>
      <c r="AN2325">
        <f>IF($AJ2325=1,IFERROR(IF(VALUE($C2325)&lt;100000000,VALUE($C2325),1000000000),IFERROR(IF(VALUE(MID($C2325,2,20))&lt;100000000,VALUE(MID($C2325,2,20)),1000000000),1000000000))+ROW()/100000,"")</f>
        <v/>
      </c>
    </row>
    <row r="2326">
      <c r="E2326" s="11" t="n"/>
      <c r="M2326" s="7">
        <f>IF($C2326="","",L2326*U2326/100)</f>
        <v/>
      </c>
      <c r="N2326" s="7" t="n"/>
      <c r="T2326" s="7" t="n"/>
      <c r="U2326" s="7">
        <f>IF($C2326="","",S2326*T2326)</f>
        <v/>
      </c>
      <c r="X2326">
        <f>IF($C2326="","",IF($AM2326=1,0,IF($AL2326=1,Settings!$C$6,Settings!$C$7))*100)</f>
        <v/>
      </c>
      <c r="AB2326" s="7" t="n"/>
      <c r="AE2326" s="11" t="n"/>
      <c r="AG2326" s="7">
        <f>IF($C2326="","",U2326*X2326/100)</f>
        <v/>
      </c>
      <c r="AH2326" s="7">
        <f>IF($C2326="","",U2326-AG2326)</f>
        <v/>
      </c>
      <c r="AI2326" s="7">
        <f>IF($C2326="","",AH2326-M2326)</f>
        <v/>
      </c>
      <c r="AJ2326">
        <f>IF($C2326="","",IF(COUNTIF($C$2:$C2326,$C2326)=1,1,0))</f>
        <v/>
      </c>
      <c r="AK2326">
        <f>IF($AJ2326=1,SUMPRODUCT(--($AN$2:$AN$4001&lt;$AN2326))+1,"")</f>
        <v/>
      </c>
      <c r="AL2326">
        <f>IF($C2326="","",IF(OR($Q2326=TRUE(),$Q2326="TRUE"),1,0))</f>
        <v/>
      </c>
      <c r="AM2326">
        <f>IF($C2326="","",IF($W2326="Yes",1,0))</f>
        <v/>
      </c>
      <c r="AN2326">
        <f>IF($AJ2326=1,IFERROR(IF(VALUE($C2326)&lt;100000000,VALUE($C2326),1000000000),IFERROR(IF(VALUE(MID($C2326,2,20))&lt;100000000,VALUE(MID($C2326,2,20)),1000000000),1000000000))+ROW()/100000,"")</f>
        <v/>
      </c>
    </row>
    <row r="2327">
      <c r="E2327" s="11" t="n"/>
      <c r="M2327" s="7">
        <f>IF($C2327="","",L2327*U2327/100)</f>
        <v/>
      </c>
      <c r="N2327" s="7" t="n"/>
      <c r="T2327" s="7" t="n"/>
      <c r="U2327" s="7">
        <f>IF($C2327="","",S2327*T2327)</f>
        <v/>
      </c>
      <c r="X2327">
        <f>IF($C2327="","",IF($AM2327=1,0,IF($AL2327=1,Settings!$C$6,Settings!$C$7))*100)</f>
        <v/>
      </c>
      <c r="AB2327" s="7" t="n"/>
      <c r="AE2327" s="11" t="n"/>
      <c r="AG2327" s="7">
        <f>IF($C2327="","",U2327*X2327/100)</f>
        <v/>
      </c>
      <c r="AH2327" s="7">
        <f>IF($C2327="","",U2327-AG2327)</f>
        <v/>
      </c>
      <c r="AI2327" s="7">
        <f>IF($C2327="","",AH2327-M2327)</f>
        <v/>
      </c>
      <c r="AJ2327">
        <f>IF($C2327="","",IF(COUNTIF($C$2:$C2327,$C2327)=1,1,0))</f>
        <v/>
      </c>
      <c r="AK2327">
        <f>IF($AJ2327=1,SUMPRODUCT(--($AN$2:$AN$4001&lt;$AN2327))+1,"")</f>
        <v/>
      </c>
      <c r="AL2327">
        <f>IF($C2327="","",IF(OR($Q2327=TRUE(),$Q2327="TRUE"),1,0))</f>
        <v/>
      </c>
      <c r="AM2327">
        <f>IF($C2327="","",IF($W2327="Yes",1,0))</f>
        <v/>
      </c>
      <c r="AN2327">
        <f>IF($AJ2327=1,IFERROR(IF(VALUE($C2327)&lt;100000000,VALUE($C2327),1000000000),IFERROR(IF(VALUE(MID($C2327,2,20))&lt;100000000,VALUE(MID($C2327,2,20)),1000000000),1000000000))+ROW()/100000,"")</f>
        <v/>
      </c>
    </row>
    <row r="2328">
      <c r="E2328" s="11" t="n"/>
      <c r="M2328" s="7">
        <f>IF($C2328="","",L2328*U2328/100)</f>
        <v/>
      </c>
      <c r="N2328" s="7" t="n"/>
      <c r="T2328" s="7" t="n"/>
      <c r="U2328" s="7">
        <f>IF($C2328="","",S2328*T2328)</f>
        <v/>
      </c>
      <c r="X2328">
        <f>IF($C2328="","",IF($AM2328=1,0,IF($AL2328=1,Settings!$C$6,Settings!$C$7))*100)</f>
        <v/>
      </c>
      <c r="AB2328" s="7" t="n"/>
      <c r="AE2328" s="11" t="n"/>
      <c r="AG2328" s="7">
        <f>IF($C2328="","",U2328*X2328/100)</f>
        <v/>
      </c>
      <c r="AH2328" s="7">
        <f>IF($C2328="","",U2328-AG2328)</f>
        <v/>
      </c>
      <c r="AI2328" s="7">
        <f>IF($C2328="","",AH2328-M2328)</f>
        <v/>
      </c>
      <c r="AJ2328">
        <f>IF($C2328="","",IF(COUNTIF($C$2:$C2328,$C2328)=1,1,0))</f>
        <v/>
      </c>
      <c r="AK2328">
        <f>IF($AJ2328=1,SUMPRODUCT(--($AN$2:$AN$4001&lt;$AN2328))+1,"")</f>
        <v/>
      </c>
      <c r="AL2328">
        <f>IF($C2328="","",IF(OR($Q2328=TRUE(),$Q2328="TRUE"),1,0))</f>
        <v/>
      </c>
      <c r="AM2328">
        <f>IF($C2328="","",IF($W2328="Yes",1,0))</f>
        <v/>
      </c>
      <c r="AN2328">
        <f>IF($AJ2328=1,IFERROR(IF(VALUE($C2328)&lt;100000000,VALUE($C2328),1000000000),IFERROR(IF(VALUE(MID($C2328,2,20))&lt;100000000,VALUE(MID($C2328,2,20)),1000000000),1000000000))+ROW()/100000,"")</f>
        <v/>
      </c>
    </row>
    <row r="2329">
      <c r="E2329" s="11" t="n"/>
      <c r="M2329" s="7">
        <f>IF($C2329="","",L2329*U2329/100)</f>
        <v/>
      </c>
      <c r="N2329" s="7" t="n"/>
      <c r="T2329" s="7" t="n"/>
      <c r="U2329" s="7">
        <f>IF($C2329="","",S2329*T2329)</f>
        <v/>
      </c>
      <c r="X2329">
        <f>IF($C2329="","",IF($AM2329=1,0,IF($AL2329=1,Settings!$C$6,Settings!$C$7))*100)</f>
        <v/>
      </c>
      <c r="AB2329" s="7" t="n"/>
      <c r="AE2329" s="11" t="n"/>
      <c r="AG2329" s="7">
        <f>IF($C2329="","",U2329*X2329/100)</f>
        <v/>
      </c>
      <c r="AH2329" s="7">
        <f>IF($C2329="","",U2329-AG2329)</f>
        <v/>
      </c>
      <c r="AI2329" s="7">
        <f>IF($C2329="","",AH2329-M2329)</f>
        <v/>
      </c>
      <c r="AJ2329">
        <f>IF($C2329="","",IF(COUNTIF($C$2:$C2329,$C2329)=1,1,0))</f>
        <v/>
      </c>
      <c r="AK2329">
        <f>IF($AJ2329=1,SUMPRODUCT(--($AN$2:$AN$4001&lt;$AN2329))+1,"")</f>
        <v/>
      </c>
      <c r="AL2329">
        <f>IF($C2329="","",IF(OR($Q2329=TRUE(),$Q2329="TRUE"),1,0))</f>
        <v/>
      </c>
      <c r="AM2329">
        <f>IF($C2329="","",IF($W2329="Yes",1,0))</f>
        <v/>
      </c>
      <c r="AN2329">
        <f>IF($AJ2329=1,IFERROR(IF(VALUE($C2329)&lt;100000000,VALUE($C2329),1000000000),IFERROR(IF(VALUE(MID($C2329,2,20))&lt;100000000,VALUE(MID($C2329,2,20)),1000000000),1000000000))+ROW()/100000,"")</f>
        <v/>
      </c>
    </row>
    <row r="2330">
      <c r="E2330" s="11" t="n"/>
      <c r="M2330" s="7">
        <f>IF($C2330="","",L2330*U2330/100)</f>
        <v/>
      </c>
      <c r="N2330" s="7" t="n"/>
      <c r="T2330" s="7" t="n"/>
      <c r="U2330" s="7">
        <f>IF($C2330="","",S2330*T2330)</f>
        <v/>
      </c>
      <c r="X2330">
        <f>IF($C2330="","",IF($AM2330=1,0,IF($AL2330=1,Settings!$C$6,Settings!$C$7))*100)</f>
        <v/>
      </c>
      <c r="AB2330" s="7" t="n"/>
      <c r="AE2330" s="11" t="n"/>
      <c r="AG2330" s="7">
        <f>IF($C2330="","",U2330*X2330/100)</f>
        <v/>
      </c>
      <c r="AH2330" s="7">
        <f>IF($C2330="","",U2330-AG2330)</f>
        <v/>
      </c>
      <c r="AI2330" s="7">
        <f>IF($C2330="","",AH2330-M2330)</f>
        <v/>
      </c>
      <c r="AJ2330">
        <f>IF($C2330="","",IF(COUNTIF($C$2:$C2330,$C2330)=1,1,0))</f>
        <v/>
      </c>
      <c r="AK2330">
        <f>IF($AJ2330=1,SUMPRODUCT(--($AN$2:$AN$4001&lt;$AN2330))+1,"")</f>
        <v/>
      </c>
      <c r="AL2330">
        <f>IF($C2330="","",IF(OR($Q2330=TRUE(),$Q2330="TRUE"),1,0))</f>
        <v/>
      </c>
      <c r="AM2330">
        <f>IF($C2330="","",IF($W2330="Yes",1,0))</f>
        <v/>
      </c>
      <c r="AN2330">
        <f>IF($AJ2330=1,IFERROR(IF(VALUE($C2330)&lt;100000000,VALUE($C2330),1000000000),IFERROR(IF(VALUE(MID($C2330,2,20))&lt;100000000,VALUE(MID($C2330,2,20)),1000000000),1000000000))+ROW()/100000,"")</f>
        <v/>
      </c>
    </row>
    <row r="2331">
      <c r="E2331" s="11" t="n"/>
      <c r="M2331" s="7">
        <f>IF($C2331="","",L2331*U2331/100)</f>
        <v/>
      </c>
      <c r="N2331" s="7" t="n"/>
      <c r="T2331" s="7" t="n"/>
      <c r="U2331" s="7">
        <f>IF($C2331="","",S2331*T2331)</f>
        <v/>
      </c>
      <c r="X2331">
        <f>IF($C2331="","",IF($AM2331=1,0,IF($AL2331=1,Settings!$C$6,Settings!$C$7))*100)</f>
        <v/>
      </c>
      <c r="AB2331" s="7" t="n"/>
      <c r="AE2331" s="11" t="n"/>
      <c r="AG2331" s="7">
        <f>IF($C2331="","",U2331*X2331/100)</f>
        <v/>
      </c>
      <c r="AH2331" s="7">
        <f>IF($C2331="","",U2331-AG2331)</f>
        <v/>
      </c>
      <c r="AI2331" s="7">
        <f>IF($C2331="","",AH2331-M2331)</f>
        <v/>
      </c>
      <c r="AJ2331">
        <f>IF($C2331="","",IF(COUNTIF($C$2:$C2331,$C2331)=1,1,0))</f>
        <v/>
      </c>
      <c r="AK2331">
        <f>IF($AJ2331=1,SUMPRODUCT(--($AN$2:$AN$4001&lt;$AN2331))+1,"")</f>
        <v/>
      </c>
      <c r="AL2331">
        <f>IF($C2331="","",IF(OR($Q2331=TRUE(),$Q2331="TRUE"),1,0))</f>
        <v/>
      </c>
      <c r="AM2331">
        <f>IF($C2331="","",IF($W2331="Yes",1,0))</f>
        <v/>
      </c>
      <c r="AN2331">
        <f>IF($AJ2331=1,IFERROR(IF(VALUE($C2331)&lt;100000000,VALUE($C2331),1000000000),IFERROR(IF(VALUE(MID($C2331,2,20))&lt;100000000,VALUE(MID($C2331,2,20)),1000000000),1000000000))+ROW()/100000,"")</f>
        <v/>
      </c>
    </row>
    <row r="2332">
      <c r="E2332" s="11" t="n"/>
      <c r="M2332" s="7">
        <f>IF($C2332="","",L2332*U2332/100)</f>
        <v/>
      </c>
      <c r="N2332" s="7" t="n"/>
      <c r="T2332" s="7" t="n"/>
      <c r="U2332" s="7">
        <f>IF($C2332="","",S2332*T2332)</f>
        <v/>
      </c>
      <c r="X2332">
        <f>IF($C2332="","",IF($AM2332=1,0,IF($AL2332=1,Settings!$C$6,Settings!$C$7))*100)</f>
        <v/>
      </c>
      <c r="AB2332" s="7" t="n"/>
      <c r="AE2332" s="11" t="n"/>
      <c r="AG2332" s="7">
        <f>IF($C2332="","",U2332*X2332/100)</f>
        <v/>
      </c>
      <c r="AH2332" s="7">
        <f>IF($C2332="","",U2332-AG2332)</f>
        <v/>
      </c>
      <c r="AI2332" s="7">
        <f>IF($C2332="","",AH2332-M2332)</f>
        <v/>
      </c>
      <c r="AJ2332">
        <f>IF($C2332="","",IF(COUNTIF($C$2:$C2332,$C2332)=1,1,0))</f>
        <v/>
      </c>
      <c r="AK2332">
        <f>IF($AJ2332=1,SUMPRODUCT(--($AN$2:$AN$4001&lt;$AN2332))+1,"")</f>
        <v/>
      </c>
      <c r="AL2332">
        <f>IF($C2332="","",IF(OR($Q2332=TRUE(),$Q2332="TRUE"),1,0))</f>
        <v/>
      </c>
      <c r="AM2332">
        <f>IF($C2332="","",IF($W2332="Yes",1,0))</f>
        <v/>
      </c>
      <c r="AN2332">
        <f>IF($AJ2332=1,IFERROR(IF(VALUE($C2332)&lt;100000000,VALUE($C2332),1000000000),IFERROR(IF(VALUE(MID($C2332,2,20))&lt;100000000,VALUE(MID($C2332,2,20)),1000000000),1000000000))+ROW()/100000,"")</f>
        <v/>
      </c>
    </row>
    <row r="2333">
      <c r="E2333" s="11" t="n"/>
      <c r="M2333" s="7">
        <f>IF($C2333="","",L2333*U2333/100)</f>
        <v/>
      </c>
      <c r="N2333" s="7" t="n"/>
      <c r="T2333" s="7" t="n"/>
      <c r="U2333" s="7">
        <f>IF($C2333="","",S2333*T2333)</f>
        <v/>
      </c>
      <c r="X2333">
        <f>IF($C2333="","",IF($AM2333=1,0,IF($AL2333=1,Settings!$C$6,Settings!$C$7))*100)</f>
        <v/>
      </c>
      <c r="AB2333" s="7" t="n"/>
      <c r="AE2333" s="11" t="n"/>
      <c r="AG2333" s="7">
        <f>IF($C2333="","",U2333*X2333/100)</f>
        <v/>
      </c>
      <c r="AH2333" s="7">
        <f>IF($C2333="","",U2333-AG2333)</f>
        <v/>
      </c>
      <c r="AI2333" s="7">
        <f>IF($C2333="","",AH2333-M2333)</f>
        <v/>
      </c>
      <c r="AJ2333">
        <f>IF($C2333="","",IF(COUNTIF($C$2:$C2333,$C2333)=1,1,0))</f>
        <v/>
      </c>
      <c r="AK2333">
        <f>IF($AJ2333=1,SUMPRODUCT(--($AN$2:$AN$4001&lt;$AN2333))+1,"")</f>
        <v/>
      </c>
      <c r="AL2333">
        <f>IF($C2333="","",IF(OR($Q2333=TRUE(),$Q2333="TRUE"),1,0))</f>
        <v/>
      </c>
      <c r="AM2333">
        <f>IF($C2333="","",IF($W2333="Yes",1,0))</f>
        <v/>
      </c>
      <c r="AN2333">
        <f>IF($AJ2333=1,IFERROR(IF(VALUE($C2333)&lt;100000000,VALUE($C2333),1000000000),IFERROR(IF(VALUE(MID($C2333,2,20))&lt;100000000,VALUE(MID($C2333,2,20)),1000000000),1000000000))+ROW()/100000,"")</f>
        <v/>
      </c>
    </row>
    <row r="2334">
      <c r="E2334" s="11" t="n"/>
      <c r="M2334" s="7">
        <f>IF($C2334="","",L2334*U2334/100)</f>
        <v/>
      </c>
      <c r="N2334" s="7" t="n"/>
      <c r="T2334" s="7" t="n"/>
      <c r="U2334" s="7">
        <f>IF($C2334="","",S2334*T2334)</f>
        <v/>
      </c>
      <c r="X2334">
        <f>IF($C2334="","",IF($AM2334=1,0,IF($AL2334=1,Settings!$C$6,Settings!$C$7))*100)</f>
        <v/>
      </c>
      <c r="AB2334" s="7" t="n"/>
      <c r="AE2334" s="11" t="n"/>
      <c r="AG2334" s="7">
        <f>IF($C2334="","",U2334*X2334/100)</f>
        <v/>
      </c>
      <c r="AH2334" s="7">
        <f>IF($C2334="","",U2334-AG2334)</f>
        <v/>
      </c>
      <c r="AI2334" s="7">
        <f>IF($C2334="","",AH2334-M2334)</f>
        <v/>
      </c>
      <c r="AJ2334">
        <f>IF($C2334="","",IF(COUNTIF($C$2:$C2334,$C2334)=1,1,0))</f>
        <v/>
      </c>
      <c r="AK2334">
        <f>IF($AJ2334=1,SUMPRODUCT(--($AN$2:$AN$4001&lt;$AN2334))+1,"")</f>
        <v/>
      </c>
      <c r="AL2334">
        <f>IF($C2334="","",IF(OR($Q2334=TRUE(),$Q2334="TRUE"),1,0))</f>
        <v/>
      </c>
      <c r="AM2334">
        <f>IF($C2334="","",IF($W2334="Yes",1,0))</f>
        <v/>
      </c>
      <c r="AN2334">
        <f>IF($AJ2334=1,IFERROR(IF(VALUE($C2334)&lt;100000000,VALUE($C2334),1000000000),IFERROR(IF(VALUE(MID($C2334,2,20))&lt;100000000,VALUE(MID($C2334,2,20)),1000000000),1000000000))+ROW()/100000,"")</f>
        <v/>
      </c>
    </row>
    <row r="2335">
      <c r="E2335" s="11" t="n"/>
      <c r="M2335" s="7">
        <f>IF($C2335="","",L2335*U2335/100)</f>
        <v/>
      </c>
      <c r="N2335" s="7" t="n"/>
      <c r="T2335" s="7" t="n"/>
      <c r="U2335" s="7">
        <f>IF($C2335="","",S2335*T2335)</f>
        <v/>
      </c>
      <c r="X2335">
        <f>IF($C2335="","",IF($AM2335=1,0,IF($AL2335=1,Settings!$C$6,Settings!$C$7))*100)</f>
        <v/>
      </c>
      <c r="AB2335" s="7" t="n"/>
      <c r="AE2335" s="11" t="n"/>
      <c r="AG2335" s="7">
        <f>IF($C2335="","",U2335*X2335/100)</f>
        <v/>
      </c>
      <c r="AH2335" s="7">
        <f>IF($C2335="","",U2335-AG2335)</f>
        <v/>
      </c>
      <c r="AI2335" s="7">
        <f>IF($C2335="","",AH2335-M2335)</f>
        <v/>
      </c>
      <c r="AJ2335">
        <f>IF($C2335="","",IF(COUNTIF($C$2:$C2335,$C2335)=1,1,0))</f>
        <v/>
      </c>
      <c r="AK2335">
        <f>IF($AJ2335=1,SUMPRODUCT(--($AN$2:$AN$4001&lt;$AN2335))+1,"")</f>
        <v/>
      </c>
      <c r="AL2335">
        <f>IF($C2335="","",IF(OR($Q2335=TRUE(),$Q2335="TRUE"),1,0))</f>
        <v/>
      </c>
      <c r="AM2335">
        <f>IF($C2335="","",IF($W2335="Yes",1,0))</f>
        <v/>
      </c>
      <c r="AN2335">
        <f>IF($AJ2335=1,IFERROR(IF(VALUE($C2335)&lt;100000000,VALUE($C2335),1000000000),IFERROR(IF(VALUE(MID($C2335,2,20))&lt;100000000,VALUE(MID($C2335,2,20)),1000000000),1000000000))+ROW()/100000,"")</f>
        <v/>
      </c>
    </row>
    <row r="2336">
      <c r="E2336" s="11" t="n"/>
      <c r="M2336" s="7">
        <f>IF($C2336="","",L2336*U2336/100)</f>
        <v/>
      </c>
      <c r="N2336" s="7" t="n"/>
      <c r="T2336" s="7" t="n"/>
      <c r="U2336" s="7">
        <f>IF($C2336="","",S2336*T2336)</f>
        <v/>
      </c>
      <c r="X2336">
        <f>IF($C2336="","",IF($AM2336=1,0,IF($AL2336=1,Settings!$C$6,Settings!$C$7))*100)</f>
        <v/>
      </c>
      <c r="AB2336" s="7" t="n"/>
      <c r="AE2336" s="11" t="n"/>
      <c r="AG2336" s="7">
        <f>IF($C2336="","",U2336*X2336/100)</f>
        <v/>
      </c>
      <c r="AH2336" s="7">
        <f>IF($C2336="","",U2336-AG2336)</f>
        <v/>
      </c>
      <c r="AI2336" s="7">
        <f>IF($C2336="","",AH2336-M2336)</f>
        <v/>
      </c>
      <c r="AJ2336">
        <f>IF($C2336="","",IF(COUNTIF($C$2:$C2336,$C2336)=1,1,0))</f>
        <v/>
      </c>
      <c r="AK2336">
        <f>IF($AJ2336=1,SUMPRODUCT(--($AN$2:$AN$4001&lt;$AN2336))+1,"")</f>
        <v/>
      </c>
      <c r="AL2336">
        <f>IF($C2336="","",IF(OR($Q2336=TRUE(),$Q2336="TRUE"),1,0))</f>
        <v/>
      </c>
      <c r="AM2336">
        <f>IF($C2336="","",IF($W2336="Yes",1,0))</f>
        <v/>
      </c>
      <c r="AN2336">
        <f>IF($AJ2336=1,IFERROR(IF(VALUE($C2336)&lt;100000000,VALUE($C2336),1000000000),IFERROR(IF(VALUE(MID($C2336,2,20))&lt;100000000,VALUE(MID($C2336,2,20)),1000000000),1000000000))+ROW()/100000,"")</f>
        <v/>
      </c>
    </row>
    <row r="2337">
      <c r="E2337" s="11" t="n"/>
      <c r="M2337" s="7">
        <f>IF($C2337="","",L2337*U2337/100)</f>
        <v/>
      </c>
      <c r="N2337" s="7" t="n"/>
      <c r="T2337" s="7" t="n"/>
      <c r="U2337" s="7">
        <f>IF($C2337="","",S2337*T2337)</f>
        <v/>
      </c>
      <c r="X2337">
        <f>IF($C2337="","",IF($AM2337=1,0,IF($AL2337=1,Settings!$C$6,Settings!$C$7))*100)</f>
        <v/>
      </c>
      <c r="AB2337" s="7" t="n"/>
      <c r="AE2337" s="11" t="n"/>
      <c r="AG2337" s="7">
        <f>IF($C2337="","",U2337*X2337/100)</f>
        <v/>
      </c>
      <c r="AH2337" s="7">
        <f>IF($C2337="","",U2337-AG2337)</f>
        <v/>
      </c>
      <c r="AI2337" s="7">
        <f>IF($C2337="","",AH2337-M2337)</f>
        <v/>
      </c>
      <c r="AJ2337">
        <f>IF($C2337="","",IF(COUNTIF($C$2:$C2337,$C2337)=1,1,0))</f>
        <v/>
      </c>
      <c r="AK2337">
        <f>IF($AJ2337=1,SUMPRODUCT(--($AN$2:$AN$4001&lt;$AN2337))+1,"")</f>
        <v/>
      </c>
      <c r="AL2337">
        <f>IF($C2337="","",IF(OR($Q2337=TRUE(),$Q2337="TRUE"),1,0))</f>
        <v/>
      </c>
      <c r="AM2337">
        <f>IF($C2337="","",IF($W2337="Yes",1,0))</f>
        <v/>
      </c>
      <c r="AN2337">
        <f>IF($AJ2337=1,IFERROR(IF(VALUE($C2337)&lt;100000000,VALUE($C2337),1000000000),IFERROR(IF(VALUE(MID($C2337,2,20))&lt;100000000,VALUE(MID($C2337,2,20)),1000000000),1000000000))+ROW()/100000,"")</f>
        <v/>
      </c>
    </row>
    <row r="2338">
      <c r="E2338" s="11" t="n"/>
      <c r="M2338" s="7">
        <f>IF($C2338="","",L2338*U2338/100)</f>
        <v/>
      </c>
      <c r="N2338" s="7" t="n"/>
      <c r="T2338" s="7" t="n"/>
      <c r="U2338" s="7">
        <f>IF($C2338="","",S2338*T2338)</f>
        <v/>
      </c>
      <c r="X2338">
        <f>IF($C2338="","",IF($AM2338=1,0,IF($AL2338=1,Settings!$C$6,Settings!$C$7))*100)</f>
        <v/>
      </c>
      <c r="AB2338" s="7" t="n"/>
      <c r="AE2338" s="11" t="n"/>
      <c r="AG2338" s="7">
        <f>IF($C2338="","",U2338*X2338/100)</f>
        <v/>
      </c>
      <c r="AH2338" s="7">
        <f>IF($C2338="","",U2338-AG2338)</f>
        <v/>
      </c>
      <c r="AI2338" s="7">
        <f>IF($C2338="","",AH2338-M2338)</f>
        <v/>
      </c>
      <c r="AJ2338">
        <f>IF($C2338="","",IF(COUNTIF($C$2:$C2338,$C2338)=1,1,0))</f>
        <v/>
      </c>
      <c r="AK2338">
        <f>IF($AJ2338=1,SUMPRODUCT(--($AN$2:$AN$4001&lt;$AN2338))+1,"")</f>
        <v/>
      </c>
      <c r="AL2338">
        <f>IF($C2338="","",IF(OR($Q2338=TRUE(),$Q2338="TRUE"),1,0))</f>
        <v/>
      </c>
      <c r="AM2338">
        <f>IF($C2338="","",IF($W2338="Yes",1,0))</f>
        <v/>
      </c>
      <c r="AN2338">
        <f>IF($AJ2338=1,IFERROR(IF(VALUE($C2338)&lt;100000000,VALUE($C2338),1000000000),IFERROR(IF(VALUE(MID($C2338,2,20))&lt;100000000,VALUE(MID($C2338,2,20)),1000000000),1000000000))+ROW()/100000,"")</f>
        <v/>
      </c>
    </row>
    <row r="2339">
      <c r="E2339" s="11" t="n"/>
      <c r="M2339" s="7">
        <f>IF($C2339="","",L2339*U2339/100)</f>
        <v/>
      </c>
      <c r="N2339" s="7" t="n"/>
      <c r="T2339" s="7" t="n"/>
      <c r="U2339" s="7">
        <f>IF($C2339="","",S2339*T2339)</f>
        <v/>
      </c>
      <c r="X2339">
        <f>IF($C2339="","",IF($AM2339=1,0,IF($AL2339=1,Settings!$C$6,Settings!$C$7))*100)</f>
        <v/>
      </c>
      <c r="AB2339" s="7" t="n"/>
      <c r="AE2339" s="11" t="n"/>
      <c r="AG2339" s="7">
        <f>IF($C2339="","",U2339*X2339/100)</f>
        <v/>
      </c>
      <c r="AH2339" s="7">
        <f>IF($C2339="","",U2339-AG2339)</f>
        <v/>
      </c>
      <c r="AI2339" s="7">
        <f>IF($C2339="","",AH2339-M2339)</f>
        <v/>
      </c>
      <c r="AJ2339">
        <f>IF($C2339="","",IF(COUNTIF($C$2:$C2339,$C2339)=1,1,0))</f>
        <v/>
      </c>
      <c r="AK2339">
        <f>IF($AJ2339=1,SUMPRODUCT(--($AN$2:$AN$4001&lt;$AN2339))+1,"")</f>
        <v/>
      </c>
      <c r="AL2339">
        <f>IF($C2339="","",IF(OR($Q2339=TRUE(),$Q2339="TRUE"),1,0))</f>
        <v/>
      </c>
      <c r="AM2339">
        <f>IF($C2339="","",IF($W2339="Yes",1,0))</f>
        <v/>
      </c>
      <c r="AN2339">
        <f>IF($AJ2339=1,IFERROR(IF(VALUE($C2339)&lt;100000000,VALUE($C2339),1000000000),IFERROR(IF(VALUE(MID($C2339,2,20))&lt;100000000,VALUE(MID($C2339,2,20)),1000000000),1000000000))+ROW()/100000,"")</f>
        <v/>
      </c>
    </row>
    <row r="2340">
      <c r="E2340" s="11" t="n"/>
      <c r="M2340" s="7">
        <f>IF($C2340="","",L2340*U2340/100)</f>
        <v/>
      </c>
      <c r="N2340" s="7" t="n"/>
      <c r="T2340" s="7" t="n"/>
      <c r="U2340" s="7">
        <f>IF($C2340="","",S2340*T2340)</f>
        <v/>
      </c>
      <c r="X2340">
        <f>IF($C2340="","",IF($AM2340=1,0,IF($AL2340=1,Settings!$C$6,Settings!$C$7))*100)</f>
        <v/>
      </c>
      <c r="AB2340" s="7" t="n"/>
      <c r="AE2340" s="11" t="n"/>
      <c r="AG2340" s="7">
        <f>IF($C2340="","",U2340*X2340/100)</f>
        <v/>
      </c>
      <c r="AH2340" s="7">
        <f>IF($C2340="","",U2340-AG2340)</f>
        <v/>
      </c>
      <c r="AI2340" s="7">
        <f>IF($C2340="","",AH2340-M2340)</f>
        <v/>
      </c>
      <c r="AJ2340">
        <f>IF($C2340="","",IF(COUNTIF($C$2:$C2340,$C2340)=1,1,0))</f>
        <v/>
      </c>
      <c r="AK2340">
        <f>IF($AJ2340=1,SUMPRODUCT(--($AN$2:$AN$4001&lt;$AN2340))+1,"")</f>
        <v/>
      </c>
      <c r="AL2340">
        <f>IF($C2340="","",IF(OR($Q2340=TRUE(),$Q2340="TRUE"),1,0))</f>
        <v/>
      </c>
      <c r="AM2340">
        <f>IF($C2340="","",IF($W2340="Yes",1,0))</f>
        <v/>
      </c>
      <c r="AN2340">
        <f>IF($AJ2340=1,IFERROR(IF(VALUE($C2340)&lt;100000000,VALUE($C2340),1000000000),IFERROR(IF(VALUE(MID($C2340,2,20))&lt;100000000,VALUE(MID($C2340,2,20)),1000000000),1000000000))+ROW()/100000,"")</f>
        <v/>
      </c>
    </row>
    <row r="2341">
      <c r="E2341" s="11" t="n"/>
      <c r="M2341" s="7">
        <f>IF($C2341="","",L2341*U2341/100)</f>
        <v/>
      </c>
      <c r="N2341" s="7" t="n"/>
      <c r="T2341" s="7" t="n"/>
      <c r="U2341" s="7">
        <f>IF($C2341="","",S2341*T2341)</f>
        <v/>
      </c>
      <c r="X2341">
        <f>IF($C2341="","",IF($AM2341=1,0,IF($AL2341=1,Settings!$C$6,Settings!$C$7))*100)</f>
        <v/>
      </c>
      <c r="AB2341" s="7" t="n"/>
      <c r="AE2341" s="11" t="n"/>
      <c r="AG2341" s="7">
        <f>IF($C2341="","",U2341*X2341/100)</f>
        <v/>
      </c>
      <c r="AH2341" s="7">
        <f>IF($C2341="","",U2341-AG2341)</f>
        <v/>
      </c>
      <c r="AI2341" s="7">
        <f>IF($C2341="","",AH2341-M2341)</f>
        <v/>
      </c>
      <c r="AJ2341">
        <f>IF($C2341="","",IF(COUNTIF($C$2:$C2341,$C2341)=1,1,0))</f>
        <v/>
      </c>
      <c r="AK2341">
        <f>IF($AJ2341=1,SUMPRODUCT(--($AN$2:$AN$4001&lt;$AN2341))+1,"")</f>
        <v/>
      </c>
      <c r="AL2341">
        <f>IF($C2341="","",IF(OR($Q2341=TRUE(),$Q2341="TRUE"),1,0))</f>
        <v/>
      </c>
      <c r="AM2341">
        <f>IF($C2341="","",IF($W2341="Yes",1,0))</f>
        <v/>
      </c>
      <c r="AN2341">
        <f>IF($AJ2341=1,IFERROR(IF(VALUE($C2341)&lt;100000000,VALUE($C2341),1000000000),IFERROR(IF(VALUE(MID($C2341,2,20))&lt;100000000,VALUE(MID($C2341,2,20)),1000000000),1000000000))+ROW()/100000,"")</f>
        <v/>
      </c>
    </row>
    <row r="2342">
      <c r="E2342" s="11" t="n"/>
      <c r="M2342" s="7">
        <f>IF($C2342="","",L2342*U2342/100)</f>
        <v/>
      </c>
      <c r="N2342" s="7" t="n"/>
      <c r="T2342" s="7" t="n"/>
      <c r="U2342" s="7">
        <f>IF($C2342="","",S2342*T2342)</f>
        <v/>
      </c>
      <c r="X2342">
        <f>IF($C2342="","",IF($AM2342=1,0,IF($AL2342=1,Settings!$C$6,Settings!$C$7))*100)</f>
        <v/>
      </c>
      <c r="AB2342" s="7" t="n"/>
      <c r="AE2342" s="11" t="n"/>
      <c r="AG2342" s="7">
        <f>IF($C2342="","",U2342*X2342/100)</f>
        <v/>
      </c>
      <c r="AH2342" s="7">
        <f>IF($C2342="","",U2342-AG2342)</f>
        <v/>
      </c>
      <c r="AI2342" s="7">
        <f>IF($C2342="","",AH2342-M2342)</f>
        <v/>
      </c>
      <c r="AJ2342">
        <f>IF($C2342="","",IF(COUNTIF($C$2:$C2342,$C2342)=1,1,0))</f>
        <v/>
      </c>
      <c r="AK2342">
        <f>IF($AJ2342=1,SUMPRODUCT(--($AN$2:$AN$4001&lt;$AN2342))+1,"")</f>
        <v/>
      </c>
      <c r="AL2342">
        <f>IF($C2342="","",IF(OR($Q2342=TRUE(),$Q2342="TRUE"),1,0))</f>
        <v/>
      </c>
      <c r="AM2342">
        <f>IF($C2342="","",IF($W2342="Yes",1,0))</f>
        <v/>
      </c>
      <c r="AN2342">
        <f>IF($AJ2342=1,IFERROR(IF(VALUE($C2342)&lt;100000000,VALUE($C2342),1000000000),IFERROR(IF(VALUE(MID($C2342,2,20))&lt;100000000,VALUE(MID($C2342,2,20)),1000000000),1000000000))+ROW()/100000,"")</f>
        <v/>
      </c>
    </row>
    <row r="2343">
      <c r="E2343" s="11" t="n"/>
      <c r="M2343" s="7">
        <f>IF($C2343="","",L2343*U2343/100)</f>
        <v/>
      </c>
      <c r="N2343" s="7" t="n"/>
      <c r="T2343" s="7" t="n"/>
      <c r="U2343" s="7">
        <f>IF($C2343="","",S2343*T2343)</f>
        <v/>
      </c>
      <c r="X2343">
        <f>IF($C2343="","",IF($AM2343=1,0,IF($AL2343=1,Settings!$C$6,Settings!$C$7))*100)</f>
        <v/>
      </c>
      <c r="AB2343" s="7" t="n"/>
      <c r="AE2343" s="11" t="n"/>
      <c r="AG2343" s="7">
        <f>IF($C2343="","",U2343*X2343/100)</f>
        <v/>
      </c>
      <c r="AH2343" s="7">
        <f>IF($C2343="","",U2343-AG2343)</f>
        <v/>
      </c>
      <c r="AI2343" s="7">
        <f>IF($C2343="","",AH2343-M2343)</f>
        <v/>
      </c>
      <c r="AJ2343">
        <f>IF($C2343="","",IF(COUNTIF($C$2:$C2343,$C2343)=1,1,0))</f>
        <v/>
      </c>
      <c r="AK2343">
        <f>IF($AJ2343=1,SUMPRODUCT(--($AN$2:$AN$4001&lt;$AN2343))+1,"")</f>
        <v/>
      </c>
      <c r="AL2343">
        <f>IF($C2343="","",IF(OR($Q2343=TRUE(),$Q2343="TRUE"),1,0))</f>
        <v/>
      </c>
      <c r="AM2343">
        <f>IF($C2343="","",IF($W2343="Yes",1,0))</f>
        <v/>
      </c>
      <c r="AN2343">
        <f>IF($AJ2343=1,IFERROR(IF(VALUE($C2343)&lt;100000000,VALUE($C2343),1000000000),IFERROR(IF(VALUE(MID($C2343,2,20))&lt;100000000,VALUE(MID($C2343,2,20)),1000000000),1000000000))+ROW()/100000,"")</f>
        <v/>
      </c>
    </row>
    <row r="2344">
      <c r="E2344" s="11" t="n"/>
      <c r="M2344" s="7">
        <f>IF($C2344="","",L2344*U2344/100)</f>
        <v/>
      </c>
      <c r="N2344" s="7" t="n"/>
      <c r="T2344" s="7" t="n"/>
      <c r="U2344" s="7">
        <f>IF($C2344="","",S2344*T2344)</f>
        <v/>
      </c>
      <c r="X2344">
        <f>IF($C2344="","",IF($AM2344=1,0,IF($AL2344=1,Settings!$C$6,Settings!$C$7))*100)</f>
        <v/>
      </c>
      <c r="AB2344" s="7" t="n"/>
      <c r="AE2344" s="11" t="n"/>
      <c r="AG2344" s="7">
        <f>IF($C2344="","",U2344*X2344/100)</f>
        <v/>
      </c>
      <c r="AH2344" s="7">
        <f>IF($C2344="","",U2344-AG2344)</f>
        <v/>
      </c>
      <c r="AI2344" s="7">
        <f>IF($C2344="","",AH2344-M2344)</f>
        <v/>
      </c>
      <c r="AJ2344">
        <f>IF($C2344="","",IF(COUNTIF($C$2:$C2344,$C2344)=1,1,0))</f>
        <v/>
      </c>
      <c r="AK2344">
        <f>IF($AJ2344=1,SUMPRODUCT(--($AN$2:$AN$4001&lt;$AN2344))+1,"")</f>
        <v/>
      </c>
      <c r="AL2344">
        <f>IF($C2344="","",IF(OR($Q2344=TRUE(),$Q2344="TRUE"),1,0))</f>
        <v/>
      </c>
      <c r="AM2344">
        <f>IF($C2344="","",IF($W2344="Yes",1,0))</f>
        <v/>
      </c>
      <c r="AN2344">
        <f>IF($AJ2344=1,IFERROR(IF(VALUE($C2344)&lt;100000000,VALUE($C2344),1000000000),IFERROR(IF(VALUE(MID($C2344,2,20))&lt;100000000,VALUE(MID($C2344,2,20)),1000000000),1000000000))+ROW()/100000,"")</f>
        <v/>
      </c>
    </row>
    <row r="2345">
      <c r="E2345" s="11" t="n"/>
      <c r="M2345" s="7">
        <f>IF($C2345="","",L2345*U2345/100)</f>
        <v/>
      </c>
      <c r="N2345" s="7" t="n"/>
      <c r="T2345" s="7" t="n"/>
      <c r="U2345" s="7">
        <f>IF($C2345="","",S2345*T2345)</f>
        <v/>
      </c>
      <c r="X2345">
        <f>IF($C2345="","",IF($AM2345=1,0,IF($AL2345=1,Settings!$C$6,Settings!$C$7))*100)</f>
        <v/>
      </c>
      <c r="AB2345" s="7" t="n"/>
      <c r="AE2345" s="11" t="n"/>
      <c r="AG2345" s="7">
        <f>IF($C2345="","",U2345*X2345/100)</f>
        <v/>
      </c>
      <c r="AH2345" s="7">
        <f>IF($C2345="","",U2345-AG2345)</f>
        <v/>
      </c>
      <c r="AI2345" s="7">
        <f>IF($C2345="","",AH2345-M2345)</f>
        <v/>
      </c>
      <c r="AJ2345">
        <f>IF($C2345="","",IF(COUNTIF($C$2:$C2345,$C2345)=1,1,0))</f>
        <v/>
      </c>
      <c r="AK2345">
        <f>IF($AJ2345=1,SUMPRODUCT(--($AN$2:$AN$4001&lt;$AN2345))+1,"")</f>
        <v/>
      </c>
      <c r="AL2345">
        <f>IF($C2345="","",IF(OR($Q2345=TRUE(),$Q2345="TRUE"),1,0))</f>
        <v/>
      </c>
      <c r="AM2345">
        <f>IF($C2345="","",IF($W2345="Yes",1,0))</f>
        <v/>
      </c>
      <c r="AN2345">
        <f>IF($AJ2345=1,IFERROR(IF(VALUE($C2345)&lt;100000000,VALUE($C2345),1000000000),IFERROR(IF(VALUE(MID($C2345,2,20))&lt;100000000,VALUE(MID($C2345,2,20)),1000000000),1000000000))+ROW()/100000,"")</f>
        <v/>
      </c>
    </row>
    <row r="2346">
      <c r="E2346" s="11" t="n"/>
      <c r="M2346" s="7">
        <f>IF($C2346="","",L2346*U2346/100)</f>
        <v/>
      </c>
      <c r="N2346" s="7" t="n"/>
      <c r="T2346" s="7" t="n"/>
      <c r="U2346" s="7">
        <f>IF($C2346="","",S2346*T2346)</f>
        <v/>
      </c>
      <c r="X2346">
        <f>IF($C2346="","",IF($AM2346=1,0,IF($AL2346=1,Settings!$C$6,Settings!$C$7))*100)</f>
        <v/>
      </c>
      <c r="AB2346" s="7" t="n"/>
      <c r="AE2346" s="11" t="n"/>
      <c r="AG2346" s="7">
        <f>IF($C2346="","",U2346*X2346/100)</f>
        <v/>
      </c>
      <c r="AH2346" s="7">
        <f>IF($C2346="","",U2346-AG2346)</f>
        <v/>
      </c>
      <c r="AI2346" s="7">
        <f>IF($C2346="","",AH2346-M2346)</f>
        <v/>
      </c>
      <c r="AJ2346">
        <f>IF($C2346="","",IF(COUNTIF($C$2:$C2346,$C2346)=1,1,0))</f>
        <v/>
      </c>
      <c r="AK2346">
        <f>IF($AJ2346=1,SUMPRODUCT(--($AN$2:$AN$4001&lt;$AN2346))+1,"")</f>
        <v/>
      </c>
      <c r="AL2346">
        <f>IF($C2346="","",IF(OR($Q2346=TRUE(),$Q2346="TRUE"),1,0))</f>
        <v/>
      </c>
      <c r="AM2346">
        <f>IF($C2346="","",IF($W2346="Yes",1,0))</f>
        <v/>
      </c>
      <c r="AN2346">
        <f>IF($AJ2346=1,IFERROR(IF(VALUE($C2346)&lt;100000000,VALUE($C2346),1000000000),IFERROR(IF(VALUE(MID($C2346,2,20))&lt;100000000,VALUE(MID($C2346,2,20)),1000000000),1000000000))+ROW()/100000,"")</f>
        <v/>
      </c>
    </row>
    <row r="2347">
      <c r="E2347" s="11" t="n"/>
      <c r="M2347" s="7">
        <f>IF($C2347="","",L2347*U2347/100)</f>
        <v/>
      </c>
      <c r="N2347" s="7" t="n"/>
      <c r="T2347" s="7" t="n"/>
      <c r="U2347" s="7">
        <f>IF($C2347="","",S2347*T2347)</f>
        <v/>
      </c>
      <c r="X2347">
        <f>IF($C2347="","",IF($AM2347=1,0,IF($AL2347=1,Settings!$C$6,Settings!$C$7))*100)</f>
        <v/>
      </c>
      <c r="AB2347" s="7" t="n"/>
      <c r="AE2347" s="11" t="n"/>
      <c r="AG2347" s="7">
        <f>IF($C2347="","",U2347*X2347/100)</f>
        <v/>
      </c>
      <c r="AH2347" s="7">
        <f>IF($C2347="","",U2347-AG2347)</f>
        <v/>
      </c>
      <c r="AI2347" s="7">
        <f>IF($C2347="","",AH2347-M2347)</f>
        <v/>
      </c>
      <c r="AJ2347">
        <f>IF($C2347="","",IF(COUNTIF($C$2:$C2347,$C2347)=1,1,0))</f>
        <v/>
      </c>
      <c r="AK2347">
        <f>IF($AJ2347=1,SUMPRODUCT(--($AN$2:$AN$4001&lt;$AN2347))+1,"")</f>
        <v/>
      </c>
      <c r="AL2347">
        <f>IF($C2347="","",IF(OR($Q2347=TRUE(),$Q2347="TRUE"),1,0))</f>
        <v/>
      </c>
      <c r="AM2347">
        <f>IF($C2347="","",IF($W2347="Yes",1,0))</f>
        <v/>
      </c>
      <c r="AN2347">
        <f>IF($AJ2347=1,IFERROR(IF(VALUE($C2347)&lt;100000000,VALUE($C2347),1000000000),IFERROR(IF(VALUE(MID($C2347,2,20))&lt;100000000,VALUE(MID($C2347,2,20)),1000000000),1000000000))+ROW()/100000,"")</f>
        <v/>
      </c>
    </row>
    <row r="2348">
      <c r="E2348" s="11" t="n"/>
      <c r="M2348" s="7">
        <f>IF($C2348="","",L2348*U2348/100)</f>
        <v/>
      </c>
      <c r="N2348" s="7" t="n"/>
      <c r="T2348" s="7" t="n"/>
      <c r="U2348" s="7">
        <f>IF($C2348="","",S2348*T2348)</f>
        <v/>
      </c>
      <c r="X2348">
        <f>IF($C2348="","",IF($AM2348=1,0,IF($AL2348=1,Settings!$C$6,Settings!$C$7))*100)</f>
        <v/>
      </c>
      <c r="AB2348" s="7" t="n"/>
      <c r="AE2348" s="11" t="n"/>
      <c r="AG2348" s="7">
        <f>IF($C2348="","",U2348*X2348/100)</f>
        <v/>
      </c>
      <c r="AH2348" s="7">
        <f>IF($C2348="","",U2348-AG2348)</f>
        <v/>
      </c>
      <c r="AI2348" s="7">
        <f>IF($C2348="","",AH2348-M2348)</f>
        <v/>
      </c>
      <c r="AJ2348">
        <f>IF($C2348="","",IF(COUNTIF($C$2:$C2348,$C2348)=1,1,0))</f>
        <v/>
      </c>
      <c r="AK2348">
        <f>IF($AJ2348=1,SUMPRODUCT(--($AN$2:$AN$4001&lt;$AN2348))+1,"")</f>
        <v/>
      </c>
      <c r="AL2348">
        <f>IF($C2348="","",IF(OR($Q2348=TRUE(),$Q2348="TRUE"),1,0))</f>
        <v/>
      </c>
      <c r="AM2348">
        <f>IF($C2348="","",IF($W2348="Yes",1,0))</f>
        <v/>
      </c>
      <c r="AN2348">
        <f>IF($AJ2348=1,IFERROR(IF(VALUE($C2348)&lt;100000000,VALUE($C2348),1000000000),IFERROR(IF(VALUE(MID($C2348,2,20))&lt;100000000,VALUE(MID($C2348,2,20)),1000000000),1000000000))+ROW()/100000,"")</f>
        <v/>
      </c>
    </row>
    <row r="2349">
      <c r="E2349" s="11" t="n"/>
      <c r="M2349" s="7">
        <f>IF($C2349="","",L2349*U2349/100)</f>
        <v/>
      </c>
      <c r="N2349" s="7" t="n"/>
      <c r="T2349" s="7" t="n"/>
      <c r="U2349" s="7">
        <f>IF($C2349="","",S2349*T2349)</f>
        <v/>
      </c>
      <c r="X2349">
        <f>IF($C2349="","",IF($AM2349=1,0,IF($AL2349=1,Settings!$C$6,Settings!$C$7))*100)</f>
        <v/>
      </c>
      <c r="AB2349" s="7" t="n"/>
      <c r="AE2349" s="11" t="n"/>
      <c r="AG2349" s="7">
        <f>IF($C2349="","",U2349*X2349/100)</f>
        <v/>
      </c>
      <c r="AH2349" s="7">
        <f>IF($C2349="","",U2349-AG2349)</f>
        <v/>
      </c>
      <c r="AI2349" s="7">
        <f>IF($C2349="","",AH2349-M2349)</f>
        <v/>
      </c>
      <c r="AJ2349">
        <f>IF($C2349="","",IF(COUNTIF($C$2:$C2349,$C2349)=1,1,0))</f>
        <v/>
      </c>
      <c r="AK2349">
        <f>IF($AJ2349=1,SUMPRODUCT(--($AN$2:$AN$4001&lt;$AN2349))+1,"")</f>
        <v/>
      </c>
      <c r="AL2349">
        <f>IF($C2349="","",IF(OR($Q2349=TRUE(),$Q2349="TRUE"),1,0))</f>
        <v/>
      </c>
      <c r="AM2349">
        <f>IF($C2349="","",IF($W2349="Yes",1,0))</f>
        <v/>
      </c>
      <c r="AN2349">
        <f>IF($AJ2349=1,IFERROR(IF(VALUE($C2349)&lt;100000000,VALUE($C2349),1000000000),IFERROR(IF(VALUE(MID($C2349,2,20))&lt;100000000,VALUE(MID($C2349,2,20)),1000000000),1000000000))+ROW()/100000,"")</f>
        <v/>
      </c>
    </row>
    <row r="2350">
      <c r="E2350" s="11" t="n"/>
      <c r="M2350" s="7">
        <f>IF($C2350="","",L2350*U2350/100)</f>
        <v/>
      </c>
      <c r="N2350" s="7" t="n"/>
      <c r="T2350" s="7" t="n"/>
      <c r="U2350" s="7">
        <f>IF($C2350="","",S2350*T2350)</f>
        <v/>
      </c>
      <c r="X2350">
        <f>IF($C2350="","",IF($AM2350=1,0,IF($AL2350=1,Settings!$C$6,Settings!$C$7))*100)</f>
        <v/>
      </c>
      <c r="AB2350" s="7" t="n"/>
      <c r="AE2350" s="11" t="n"/>
      <c r="AG2350" s="7">
        <f>IF($C2350="","",U2350*X2350/100)</f>
        <v/>
      </c>
      <c r="AH2350" s="7">
        <f>IF($C2350="","",U2350-AG2350)</f>
        <v/>
      </c>
      <c r="AI2350" s="7">
        <f>IF($C2350="","",AH2350-M2350)</f>
        <v/>
      </c>
      <c r="AJ2350">
        <f>IF($C2350="","",IF(COUNTIF($C$2:$C2350,$C2350)=1,1,0))</f>
        <v/>
      </c>
      <c r="AK2350">
        <f>IF($AJ2350=1,SUMPRODUCT(--($AN$2:$AN$4001&lt;$AN2350))+1,"")</f>
        <v/>
      </c>
      <c r="AL2350">
        <f>IF($C2350="","",IF(OR($Q2350=TRUE(),$Q2350="TRUE"),1,0))</f>
        <v/>
      </c>
      <c r="AM2350">
        <f>IF($C2350="","",IF($W2350="Yes",1,0))</f>
        <v/>
      </c>
      <c r="AN2350">
        <f>IF($AJ2350=1,IFERROR(IF(VALUE($C2350)&lt;100000000,VALUE($C2350),1000000000),IFERROR(IF(VALUE(MID($C2350,2,20))&lt;100000000,VALUE(MID($C2350,2,20)),1000000000),1000000000))+ROW()/100000,"")</f>
        <v/>
      </c>
    </row>
    <row r="2351">
      <c r="E2351" s="11" t="n"/>
      <c r="M2351" s="7">
        <f>IF($C2351="","",L2351*U2351/100)</f>
        <v/>
      </c>
      <c r="N2351" s="7" t="n"/>
      <c r="T2351" s="7" t="n"/>
      <c r="U2351" s="7">
        <f>IF($C2351="","",S2351*T2351)</f>
        <v/>
      </c>
      <c r="X2351">
        <f>IF($C2351="","",IF($AM2351=1,0,IF($AL2351=1,Settings!$C$6,Settings!$C$7))*100)</f>
        <v/>
      </c>
      <c r="AB2351" s="7" t="n"/>
      <c r="AE2351" s="11" t="n"/>
      <c r="AG2351" s="7">
        <f>IF($C2351="","",U2351*X2351/100)</f>
        <v/>
      </c>
      <c r="AH2351" s="7">
        <f>IF($C2351="","",U2351-AG2351)</f>
        <v/>
      </c>
      <c r="AI2351" s="7">
        <f>IF($C2351="","",AH2351-M2351)</f>
        <v/>
      </c>
      <c r="AJ2351">
        <f>IF($C2351="","",IF(COUNTIF($C$2:$C2351,$C2351)=1,1,0))</f>
        <v/>
      </c>
      <c r="AK2351">
        <f>IF($AJ2351=1,SUMPRODUCT(--($AN$2:$AN$4001&lt;$AN2351))+1,"")</f>
        <v/>
      </c>
      <c r="AL2351">
        <f>IF($C2351="","",IF(OR($Q2351=TRUE(),$Q2351="TRUE"),1,0))</f>
        <v/>
      </c>
      <c r="AM2351">
        <f>IF($C2351="","",IF($W2351="Yes",1,0))</f>
        <v/>
      </c>
      <c r="AN2351">
        <f>IF($AJ2351=1,IFERROR(IF(VALUE($C2351)&lt;100000000,VALUE($C2351),1000000000),IFERROR(IF(VALUE(MID($C2351,2,20))&lt;100000000,VALUE(MID($C2351,2,20)),1000000000),1000000000))+ROW()/100000,"")</f>
        <v/>
      </c>
    </row>
    <row r="2352">
      <c r="E2352" s="11" t="n"/>
      <c r="M2352" s="7">
        <f>IF($C2352="","",L2352*U2352/100)</f>
        <v/>
      </c>
      <c r="N2352" s="7" t="n"/>
      <c r="T2352" s="7" t="n"/>
      <c r="U2352" s="7">
        <f>IF($C2352="","",S2352*T2352)</f>
        <v/>
      </c>
      <c r="X2352">
        <f>IF($C2352="","",IF($AM2352=1,0,IF($AL2352=1,Settings!$C$6,Settings!$C$7))*100)</f>
        <v/>
      </c>
      <c r="AB2352" s="7" t="n"/>
      <c r="AE2352" s="11" t="n"/>
      <c r="AG2352" s="7">
        <f>IF($C2352="","",U2352*X2352/100)</f>
        <v/>
      </c>
      <c r="AH2352" s="7">
        <f>IF($C2352="","",U2352-AG2352)</f>
        <v/>
      </c>
      <c r="AI2352" s="7">
        <f>IF($C2352="","",AH2352-M2352)</f>
        <v/>
      </c>
      <c r="AJ2352">
        <f>IF($C2352="","",IF(COUNTIF($C$2:$C2352,$C2352)=1,1,0))</f>
        <v/>
      </c>
      <c r="AK2352">
        <f>IF($AJ2352=1,SUMPRODUCT(--($AN$2:$AN$4001&lt;$AN2352))+1,"")</f>
        <v/>
      </c>
      <c r="AL2352">
        <f>IF($C2352="","",IF(OR($Q2352=TRUE(),$Q2352="TRUE"),1,0))</f>
        <v/>
      </c>
      <c r="AM2352">
        <f>IF($C2352="","",IF($W2352="Yes",1,0))</f>
        <v/>
      </c>
      <c r="AN2352">
        <f>IF($AJ2352=1,IFERROR(IF(VALUE($C2352)&lt;100000000,VALUE($C2352),1000000000),IFERROR(IF(VALUE(MID($C2352,2,20))&lt;100000000,VALUE(MID($C2352,2,20)),1000000000),1000000000))+ROW()/100000,"")</f>
        <v/>
      </c>
    </row>
    <row r="2353">
      <c r="E2353" s="11" t="n"/>
      <c r="M2353" s="7">
        <f>IF($C2353="","",L2353*U2353/100)</f>
        <v/>
      </c>
      <c r="N2353" s="7" t="n"/>
      <c r="T2353" s="7" t="n"/>
      <c r="U2353" s="7">
        <f>IF($C2353="","",S2353*T2353)</f>
        <v/>
      </c>
      <c r="X2353">
        <f>IF($C2353="","",IF($AM2353=1,0,IF($AL2353=1,Settings!$C$6,Settings!$C$7))*100)</f>
        <v/>
      </c>
      <c r="AB2353" s="7" t="n"/>
      <c r="AE2353" s="11" t="n"/>
      <c r="AG2353" s="7">
        <f>IF($C2353="","",U2353*X2353/100)</f>
        <v/>
      </c>
      <c r="AH2353" s="7">
        <f>IF($C2353="","",U2353-AG2353)</f>
        <v/>
      </c>
      <c r="AI2353" s="7">
        <f>IF($C2353="","",AH2353-M2353)</f>
        <v/>
      </c>
      <c r="AJ2353">
        <f>IF($C2353="","",IF(COUNTIF($C$2:$C2353,$C2353)=1,1,0))</f>
        <v/>
      </c>
      <c r="AK2353">
        <f>IF($AJ2353=1,SUMPRODUCT(--($AN$2:$AN$4001&lt;$AN2353))+1,"")</f>
        <v/>
      </c>
      <c r="AL2353">
        <f>IF($C2353="","",IF(OR($Q2353=TRUE(),$Q2353="TRUE"),1,0))</f>
        <v/>
      </c>
      <c r="AM2353">
        <f>IF($C2353="","",IF($W2353="Yes",1,0))</f>
        <v/>
      </c>
      <c r="AN2353">
        <f>IF($AJ2353=1,IFERROR(IF(VALUE($C2353)&lt;100000000,VALUE($C2353),1000000000),IFERROR(IF(VALUE(MID($C2353,2,20))&lt;100000000,VALUE(MID($C2353,2,20)),1000000000),1000000000))+ROW()/100000,"")</f>
        <v/>
      </c>
    </row>
    <row r="2354">
      <c r="E2354" s="11" t="n"/>
      <c r="M2354" s="7">
        <f>IF($C2354="","",L2354*U2354/100)</f>
        <v/>
      </c>
      <c r="N2354" s="7" t="n"/>
      <c r="T2354" s="7" t="n"/>
      <c r="U2354" s="7">
        <f>IF($C2354="","",S2354*T2354)</f>
        <v/>
      </c>
      <c r="X2354">
        <f>IF($C2354="","",IF($AM2354=1,0,IF($AL2354=1,Settings!$C$6,Settings!$C$7))*100)</f>
        <v/>
      </c>
      <c r="AB2354" s="7" t="n"/>
      <c r="AE2354" s="11" t="n"/>
      <c r="AG2354" s="7">
        <f>IF($C2354="","",U2354*X2354/100)</f>
        <v/>
      </c>
      <c r="AH2354" s="7">
        <f>IF($C2354="","",U2354-AG2354)</f>
        <v/>
      </c>
      <c r="AI2354" s="7">
        <f>IF($C2354="","",AH2354-M2354)</f>
        <v/>
      </c>
      <c r="AJ2354">
        <f>IF($C2354="","",IF(COUNTIF($C$2:$C2354,$C2354)=1,1,0))</f>
        <v/>
      </c>
      <c r="AK2354">
        <f>IF($AJ2354=1,SUMPRODUCT(--($AN$2:$AN$4001&lt;$AN2354))+1,"")</f>
        <v/>
      </c>
      <c r="AL2354">
        <f>IF($C2354="","",IF(OR($Q2354=TRUE(),$Q2354="TRUE"),1,0))</f>
        <v/>
      </c>
      <c r="AM2354">
        <f>IF($C2354="","",IF($W2354="Yes",1,0))</f>
        <v/>
      </c>
      <c r="AN2354">
        <f>IF($AJ2354=1,IFERROR(IF(VALUE($C2354)&lt;100000000,VALUE($C2354),1000000000),IFERROR(IF(VALUE(MID($C2354,2,20))&lt;100000000,VALUE(MID($C2354,2,20)),1000000000),1000000000))+ROW()/100000,"")</f>
        <v/>
      </c>
    </row>
    <row r="2355">
      <c r="E2355" s="11" t="n"/>
      <c r="M2355" s="7">
        <f>IF($C2355="","",L2355*U2355/100)</f>
        <v/>
      </c>
      <c r="N2355" s="7" t="n"/>
      <c r="T2355" s="7" t="n"/>
      <c r="U2355" s="7">
        <f>IF($C2355="","",S2355*T2355)</f>
        <v/>
      </c>
      <c r="X2355">
        <f>IF($C2355="","",IF($AM2355=1,0,IF($AL2355=1,Settings!$C$6,Settings!$C$7))*100)</f>
        <v/>
      </c>
      <c r="AB2355" s="7" t="n"/>
      <c r="AE2355" s="11" t="n"/>
      <c r="AG2355" s="7">
        <f>IF($C2355="","",U2355*X2355/100)</f>
        <v/>
      </c>
      <c r="AH2355" s="7">
        <f>IF($C2355="","",U2355-AG2355)</f>
        <v/>
      </c>
      <c r="AI2355" s="7">
        <f>IF($C2355="","",AH2355-M2355)</f>
        <v/>
      </c>
      <c r="AJ2355">
        <f>IF($C2355="","",IF(COUNTIF($C$2:$C2355,$C2355)=1,1,0))</f>
        <v/>
      </c>
      <c r="AK2355">
        <f>IF($AJ2355=1,SUMPRODUCT(--($AN$2:$AN$4001&lt;$AN2355))+1,"")</f>
        <v/>
      </c>
      <c r="AL2355">
        <f>IF($C2355="","",IF(OR($Q2355=TRUE(),$Q2355="TRUE"),1,0))</f>
        <v/>
      </c>
      <c r="AM2355">
        <f>IF($C2355="","",IF($W2355="Yes",1,0))</f>
        <v/>
      </c>
      <c r="AN2355">
        <f>IF($AJ2355=1,IFERROR(IF(VALUE($C2355)&lt;100000000,VALUE($C2355),1000000000),IFERROR(IF(VALUE(MID($C2355,2,20))&lt;100000000,VALUE(MID($C2355,2,20)),1000000000),1000000000))+ROW()/100000,"")</f>
        <v/>
      </c>
    </row>
    <row r="2356">
      <c r="E2356" s="11" t="n"/>
      <c r="M2356" s="7">
        <f>IF($C2356="","",L2356*U2356/100)</f>
        <v/>
      </c>
      <c r="N2356" s="7" t="n"/>
      <c r="T2356" s="7" t="n"/>
      <c r="U2356" s="7">
        <f>IF($C2356="","",S2356*T2356)</f>
        <v/>
      </c>
      <c r="X2356">
        <f>IF($C2356="","",IF($AM2356=1,0,IF($AL2356=1,Settings!$C$6,Settings!$C$7))*100)</f>
        <v/>
      </c>
      <c r="AB2356" s="7" t="n"/>
      <c r="AE2356" s="11" t="n"/>
      <c r="AG2356" s="7">
        <f>IF($C2356="","",U2356*X2356/100)</f>
        <v/>
      </c>
      <c r="AH2356" s="7">
        <f>IF($C2356="","",U2356-AG2356)</f>
        <v/>
      </c>
      <c r="AI2356" s="7">
        <f>IF($C2356="","",AH2356-M2356)</f>
        <v/>
      </c>
      <c r="AJ2356">
        <f>IF($C2356="","",IF(COUNTIF($C$2:$C2356,$C2356)=1,1,0))</f>
        <v/>
      </c>
      <c r="AK2356">
        <f>IF($AJ2356=1,SUMPRODUCT(--($AN$2:$AN$4001&lt;$AN2356))+1,"")</f>
        <v/>
      </c>
      <c r="AL2356">
        <f>IF($C2356="","",IF(OR($Q2356=TRUE(),$Q2356="TRUE"),1,0))</f>
        <v/>
      </c>
      <c r="AM2356">
        <f>IF($C2356="","",IF($W2356="Yes",1,0))</f>
        <v/>
      </c>
      <c r="AN2356">
        <f>IF($AJ2356=1,IFERROR(IF(VALUE($C2356)&lt;100000000,VALUE($C2356),1000000000),IFERROR(IF(VALUE(MID($C2356,2,20))&lt;100000000,VALUE(MID($C2356,2,20)),1000000000),1000000000))+ROW()/100000,"")</f>
        <v/>
      </c>
    </row>
    <row r="2357">
      <c r="E2357" s="11" t="n"/>
      <c r="M2357" s="7">
        <f>IF($C2357="","",L2357*U2357/100)</f>
        <v/>
      </c>
      <c r="N2357" s="7" t="n"/>
      <c r="T2357" s="7" t="n"/>
      <c r="U2357" s="7">
        <f>IF($C2357="","",S2357*T2357)</f>
        <v/>
      </c>
      <c r="X2357">
        <f>IF($C2357="","",IF($AM2357=1,0,IF($AL2357=1,Settings!$C$6,Settings!$C$7))*100)</f>
        <v/>
      </c>
      <c r="AB2357" s="7" t="n"/>
      <c r="AE2357" s="11" t="n"/>
      <c r="AG2357" s="7">
        <f>IF($C2357="","",U2357*X2357/100)</f>
        <v/>
      </c>
      <c r="AH2357" s="7">
        <f>IF($C2357="","",U2357-AG2357)</f>
        <v/>
      </c>
      <c r="AI2357" s="7">
        <f>IF($C2357="","",AH2357-M2357)</f>
        <v/>
      </c>
      <c r="AJ2357">
        <f>IF($C2357="","",IF(COUNTIF($C$2:$C2357,$C2357)=1,1,0))</f>
        <v/>
      </c>
      <c r="AK2357">
        <f>IF($AJ2357=1,SUMPRODUCT(--($AN$2:$AN$4001&lt;$AN2357))+1,"")</f>
        <v/>
      </c>
      <c r="AL2357">
        <f>IF($C2357="","",IF(OR($Q2357=TRUE(),$Q2357="TRUE"),1,0))</f>
        <v/>
      </c>
      <c r="AM2357">
        <f>IF($C2357="","",IF($W2357="Yes",1,0))</f>
        <v/>
      </c>
      <c r="AN2357">
        <f>IF($AJ2357=1,IFERROR(IF(VALUE($C2357)&lt;100000000,VALUE($C2357),1000000000),IFERROR(IF(VALUE(MID($C2357,2,20))&lt;100000000,VALUE(MID($C2357,2,20)),1000000000),1000000000))+ROW()/100000,"")</f>
        <v/>
      </c>
    </row>
    <row r="2358">
      <c r="E2358" s="11" t="n"/>
      <c r="M2358" s="7">
        <f>IF($C2358="","",L2358*U2358/100)</f>
        <v/>
      </c>
      <c r="N2358" s="7" t="n"/>
      <c r="T2358" s="7" t="n"/>
      <c r="U2358" s="7">
        <f>IF($C2358="","",S2358*T2358)</f>
        <v/>
      </c>
      <c r="X2358">
        <f>IF($C2358="","",IF($AM2358=1,0,IF($AL2358=1,Settings!$C$6,Settings!$C$7))*100)</f>
        <v/>
      </c>
      <c r="AB2358" s="7" t="n"/>
      <c r="AE2358" s="11" t="n"/>
      <c r="AG2358" s="7">
        <f>IF($C2358="","",U2358*X2358/100)</f>
        <v/>
      </c>
      <c r="AH2358" s="7">
        <f>IF($C2358="","",U2358-AG2358)</f>
        <v/>
      </c>
      <c r="AI2358" s="7">
        <f>IF($C2358="","",AH2358-M2358)</f>
        <v/>
      </c>
      <c r="AJ2358">
        <f>IF($C2358="","",IF(COUNTIF($C$2:$C2358,$C2358)=1,1,0))</f>
        <v/>
      </c>
      <c r="AK2358">
        <f>IF($AJ2358=1,SUMPRODUCT(--($AN$2:$AN$4001&lt;$AN2358))+1,"")</f>
        <v/>
      </c>
      <c r="AL2358">
        <f>IF($C2358="","",IF(OR($Q2358=TRUE(),$Q2358="TRUE"),1,0))</f>
        <v/>
      </c>
      <c r="AM2358">
        <f>IF($C2358="","",IF($W2358="Yes",1,0))</f>
        <v/>
      </c>
      <c r="AN2358">
        <f>IF($AJ2358=1,IFERROR(IF(VALUE($C2358)&lt;100000000,VALUE($C2358),1000000000),IFERROR(IF(VALUE(MID($C2358,2,20))&lt;100000000,VALUE(MID($C2358,2,20)),1000000000),1000000000))+ROW()/100000,"")</f>
        <v/>
      </c>
    </row>
    <row r="2359">
      <c r="E2359" s="11" t="n"/>
      <c r="M2359" s="7">
        <f>IF($C2359="","",L2359*U2359/100)</f>
        <v/>
      </c>
      <c r="N2359" s="7" t="n"/>
      <c r="T2359" s="7" t="n"/>
      <c r="U2359" s="7">
        <f>IF($C2359="","",S2359*T2359)</f>
        <v/>
      </c>
      <c r="X2359">
        <f>IF($C2359="","",IF($AM2359=1,0,IF($AL2359=1,Settings!$C$6,Settings!$C$7))*100)</f>
        <v/>
      </c>
      <c r="AB2359" s="7" t="n"/>
      <c r="AE2359" s="11" t="n"/>
      <c r="AG2359" s="7">
        <f>IF($C2359="","",U2359*X2359/100)</f>
        <v/>
      </c>
      <c r="AH2359" s="7">
        <f>IF($C2359="","",U2359-AG2359)</f>
        <v/>
      </c>
      <c r="AI2359" s="7">
        <f>IF($C2359="","",AH2359-M2359)</f>
        <v/>
      </c>
      <c r="AJ2359">
        <f>IF($C2359="","",IF(COUNTIF($C$2:$C2359,$C2359)=1,1,0))</f>
        <v/>
      </c>
      <c r="AK2359">
        <f>IF($AJ2359=1,SUMPRODUCT(--($AN$2:$AN$4001&lt;$AN2359))+1,"")</f>
        <v/>
      </c>
      <c r="AL2359">
        <f>IF($C2359="","",IF(OR($Q2359=TRUE(),$Q2359="TRUE"),1,0))</f>
        <v/>
      </c>
      <c r="AM2359">
        <f>IF($C2359="","",IF($W2359="Yes",1,0))</f>
        <v/>
      </c>
      <c r="AN2359">
        <f>IF($AJ2359=1,IFERROR(IF(VALUE($C2359)&lt;100000000,VALUE($C2359),1000000000),IFERROR(IF(VALUE(MID($C2359,2,20))&lt;100000000,VALUE(MID($C2359,2,20)),1000000000),1000000000))+ROW()/100000,"")</f>
        <v/>
      </c>
    </row>
    <row r="2360">
      <c r="E2360" s="11" t="n"/>
      <c r="M2360" s="7">
        <f>IF($C2360="","",L2360*U2360/100)</f>
        <v/>
      </c>
      <c r="N2360" s="7" t="n"/>
      <c r="T2360" s="7" t="n"/>
      <c r="U2360" s="7">
        <f>IF($C2360="","",S2360*T2360)</f>
        <v/>
      </c>
      <c r="X2360">
        <f>IF($C2360="","",IF($AM2360=1,0,IF($AL2360=1,Settings!$C$6,Settings!$C$7))*100)</f>
        <v/>
      </c>
      <c r="AB2360" s="7" t="n"/>
      <c r="AE2360" s="11" t="n"/>
      <c r="AG2360" s="7">
        <f>IF($C2360="","",U2360*X2360/100)</f>
        <v/>
      </c>
      <c r="AH2360" s="7">
        <f>IF($C2360="","",U2360-AG2360)</f>
        <v/>
      </c>
      <c r="AI2360" s="7">
        <f>IF($C2360="","",AH2360-M2360)</f>
        <v/>
      </c>
      <c r="AJ2360">
        <f>IF($C2360="","",IF(COUNTIF($C$2:$C2360,$C2360)=1,1,0))</f>
        <v/>
      </c>
      <c r="AK2360">
        <f>IF($AJ2360=1,SUMPRODUCT(--($AN$2:$AN$4001&lt;$AN2360))+1,"")</f>
        <v/>
      </c>
      <c r="AL2360">
        <f>IF($C2360="","",IF(OR($Q2360=TRUE(),$Q2360="TRUE"),1,0))</f>
        <v/>
      </c>
      <c r="AM2360">
        <f>IF($C2360="","",IF($W2360="Yes",1,0))</f>
        <v/>
      </c>
      <c r="AN2360">
        <f>IF($AJ2360=1,IFERROR(IF(VALUE($C2360)&lt;100000000,VALUE($C2360),1000000000),IFERROR(IF(VALUE(MID($C2360,2,20))&lt;100000000,VALUE(MID($C2360,2,20)),1000000000),1000000000))+ROW()/100000,"")</f>
        <v/>
      </c>
    </row>
    <row r="2361">
      <c r="E2361" s="11" t="n"/>
      <c r="M2361" s="7">
        <f>IF($C2361="","",L2361*U2361/100)</f>
        <v/>
      </c>
      <c r="N2361" s="7" t="n"/>
      <c r="T2361" s="7" t="n"/>
      <c r="U2361" s="7">
        <f>IF($C2361="","",S2361*T2361)</f>
        <v/>
      </c>
      <c r="X2361">
        <f>IF($C2361="","",IF($AM2361=1,0,IF($AL2361=1,Settings!$C$6,Settings!$C$7))*100)</f>
        <v/>
      </c>
      <c r="AB2361" s="7" t="n"/>
      <c r="AE2361" s="11" t="n"/>
      <c r="AG2361" s="7">
        <f>IF($C2361="","",U2361*X2361/100)</f>
        <v/>
      </c>
      <c r="AH2361" s="7">
        <f>IF($C2361="","",U2361-AG2361)</f>
        <v/>
      </c>
      <c r="AI2361" s="7">
        <f>IF($C2361="","",AH2361-M2361)</f>
        <v/>
      </c>
      <c r="AJ2361">
        <f>IF($C2361="","",IF(COUNTIF($C$2:$C2361,$C2361)=1,1,0))</f>
        <v/>
      </c>
      <c r="AK2361">
        <f>IF($AJ2361=1,SUMPRODUCT(--($AN$2:$AN$4001&lt;$AN2361))+1,"")</f>
        <v/>
      </c>
      <c r="AL2361">
        <f>IF($C2361="","",IF(OR($Q2361=TRUE(),$Q2361="TRUE"),1,0))</f>
        <v/>
      </c>
      <c r="AM2361">
        <f>IF($C2361="","",IF($W2361="Yes",1,0))</f>
        <v/>
      </c>
      <c r="AN2361">
        <f>IF($AJ2361=1,IFERROR(IF(VALUE($C2361)&lt;100000000,VALUE($C2361),1000000000),IFERROR(IF(VALUE(MID($C2361,2,20))&lt;100000000,VALUE(MID($C2361,2,20)),1000000000),1000000000))+ROW()/100000,"")</f>
        <v/>
      </c>
    </row>
    <row r="2362">
      <c r="E2362" s="11" t="n"/>
      <c r="M2362" s="7">
        <f>IF($C2362="","",L2362*U2362/100)</f>
        <v/>
      </c>
      <c r="N2362" s="7" t="n"/>
      <c r="T2362" s="7" t="n"/>
      <c r="U2362" s="7">
        <f>IF($C2362="","",S2362*T2362)</f>
        <v/>
      </c>
      <c r="X2362">
        <f>IF($C2362="","",IF($AM2362=1,0,IF($AL2362=1,Settings!$C$6,Settings!$C$7))*100)</f>
        <v/>
      </c>
      <c r="AB2362" s="7" t="n"/>
      <c r="AE2362" s="11" t="n"/>
      <c r="AG2362" s="7">
        <f>IF($C2362="","",U2362*X2362/100)</f>
        <v/>
      </c>
      <c r="AH2362" s="7">
        <f>IF($C2362="","",U2362-AG2362)</f>
        <v/>
      </c>
      <c r="AI2362" s="7">
        <f>IF($C2362="","",AH2362-M2362)</f>
        <v/>
      </c>
      <c r="AJ2362">
        <f>IF($C2362="","",IF(COUNTIF($C$2:$C2362,$C2362)=1,1,0))</f>
        <v/>
      </c>
      <c r="AK2362">
        <f>IF($AJ2362=1,SUMPRODUCT(--($AN$2:$AN$4001&lt;$AN2362))+1,"")</f>
        <v/>
      </c>
      <c r="AL2362">
        <f>IF($C2362="","",IF(OR($Q2362=TRUE(),$Q2362="TRUE"),1,0))</f>
        <v/>
      </c>
      <c r="AM2362">
        <f>IF($C2362="","",IF($W2362="Yes",1,0))</f>
        <v/>
      </c>
      <c r="AN2362">
        <f>IF($AJ2362=1,IFERROR(IF(VALUE($C2362)&lt;100000000,VALUE($C2362),1000000000),IFERROR(IF(VALUE(MID($C2362,2,20))&lt;100000000,VALUE(MID($C2362,2,20)),1000000000),1000000000))+ROW()/100000,"")</f>
        <v/>
      </c>
    </row>
    <row r="2363">
      <c r="E2363" s="11" t="n"/>
      <c r="M2363" s="7">
        <f>IF($C2363="","",L2363*U2363/100)</f>
        <v/>
      </c>
      <c r="N2363" s="7" t="n"/>
      <c r="T2363" s="7" t="n"/>
      <c r="U2363" s="7">
        <f>IF($C2363="","",S2363*T2363)</f>
        <v/>
      </c>
      <c r="X2363">
        <f>IF($C2363="","",IF($AM2363=1,0,IF($AL2363=1,Settings!$C$6,Settings!$C$7))*100)</f>
        <v/>
      </c>
      <c r="AB2363" s="7" t="n"/>
      <c r="AE2363" s="11" t="n"/>
      <c r="AG2363" s="7">
        <f>IF($C2363="","",U2363*X2363/100)</f>
        <v/>
      </c>
      <c r="AH2363" s="7">
        <f>IF($C2363="","",U2363-AG2363)</f>
        <v/>
      </c>
      <c r="AI2363" s="7">
        <f>IF($C2363="","",AH2363-M2363)</f>
        <v/>
      </c>
      <c r="AJ2363">
        <f>IF($C2363="","",IF(COUNTIF($C$2:$C2363,$C2363)=1,1,0))</f>
        <v/>
      </c>
      <c r="AK2363">
        <f>IF($AJ2363=1,SUMPRODUCT(--($AN$2:$AN$4001&lt;$AN2363))+1,"")</f>
        <v/>
      </c>
      <c r="AL2363">
        <f>IF($C2363="","",IF(OR($Q2363=TRUE(),$Q2363="TRUE"),1,0))</f>
        <v/>
      </c>
      <c r="AM2363">
        <f>IF($C2363="","",IF($W2363="Yes",1,0))</f>
        <v/>
      </c>
      <c r="AN2363">
        <f>IF($AJ2363=1,IFERROR(IF(VALUE($C2363)&lt;100000000,VALUE($C2363),1000000000),IFERROR(IF(VALUE(MID($C2363,2,20))&lt;100000000,VALUE(MID($C2363,2,20)),1000000000),1000000000))+ROW()/100000,"")</f>
        <v/>
      </c>
    </row>
    <row r="2364">
      <c r="E2364" s="11" t="n"/>
      <c r="M2364" s="7">
        <f>IF($C2364="","",L2364*U2364/100)</f>
        <v/>
      </c>
      <c r="N2364" s="7" t="n"/>
      <c r="T2364" s="7" t="n"/>
      <c r="U2364" s="7">
        <f>IF($C2364="","",S2364*T2364)</f>
        <v/>
      </c>
      <c r="X2364">
        <f>IF($C2364="","",IF($AM2364=1,0,IF($AL2364=1,Settings!$C$6,Settings!$C$7))*100)</f>
        <v/>
      </c>
      <c r="AB2364" s="7" t="n"/>
      <c r="AE2364" s="11" t="n"/>
      <c r="AG2364" s="7">
        <f>IF($C2364="","",U2364*X2364/100)</f>
        <v/>
      </c>
      <c r="AH2364" s="7">
        <f>IF($C2364="","",U2364-AG2364)</f>
        <v/>
      </c>
      <c r="AI2364" s="7">
        <f>IF($C2364="","",AH2364-M2364)</f>
        <v/>
      </c>
      <c r="AJ2364">
        <f>IF($C2364="","",IF(COUNTIF($C$2:$C2364,$C2364)=1,1,0))</f>
        <v/>
      </c>
      <c r="AK2364">
        <f>IF($AJ2364=1,SUMPRODUCT(--($AN$2:$AN$4001&lt;$AN2364))+1,"")</f>
        <v/>
      </c>
      <c r="AL2364">
        <f>IF($C2364="","",IF(OR($Q2364=TRUE(),$Q2364="TRUE"),1,0))</f>
        <v/>
      </c>
      <c r="AM2364">
        <f>IF($C2364="","",IF($W2364="Yes",1,0))</f>
        <v/>
      </c>
      <c r="AN2364">
        <f>IF($AJ2364=1,IFERROR(IF(VALUE($C2364)&lt;100000000,VALUE($C2364),1000000000),IFERROR(IF(VALUE(MID($C2364,2,20))&lt;100000000,VALUE(MID($C2364,2,20)),1000000000),1000000000))+ROW()/100000,"")</f>
        <v/>
      </c>
    </row>
    <row r="2365">
      <c r="E2365" s="11" t="n"/>
      <c r="M2365" s="7">
        <f>IF($C2365="","",L2365*U2365/100)</f>
        <v/>
      </c>
      <c r="N2365" s="7" t="n"/>
      <c r="T2365" s="7" t="n"/>
      <c r="U2365" s="7">
        <f>IF($C2365="","",S2365*T2365)</f>
        <v/>
      </c>
      <c r="X2365">
        <f>IF($C2365="","",IF($AM2365=1,0,IF($AL2365=1,Settings!$C$6,Settings!$C$7))*100)</f>
        <v/>
      </c>
      <c r="AB2365" s="7" t="n"/>
      <c r="AE2365" s="11" t="n"/>
      <c r="AG2365" s="7">
        <f>IF($C2365="","",U2365*X2365/100)</f>
        <v/>
      </c>
      <c r="AH2365" s="7">
        <f>IF($C2365="","",U2365-AG2365)</f>
        <v/>
      </c>
      <c r="AI2365" s="7">
        <f>IF($C2365="","",AH2365-M2365)</f>
        <v/>
      </c>
      <c r="AJ2365">
        <f>IF($C2365="","",IF(COUNTIF($C$2:$C2365,$C2365)=1,1,0))</f>
        <v/>
      </c>
      <c r="AK2365">
        <f>IF($AJ2365=1,SUMPRODUCT(--($AN$2:$AN$4001&lt;$AN2365))+1,"")</f>
        <v/>
      </c>
      <c r="AL2365">
        <f>IF($C2365="","",IF(OR($Q2365=TRUE(),$Q2365="TRUE"),1,0))</f>
        <v/>
      </c>
      <c r="AM2365">
        <f>IF($C2365="","",IF($W2365="Yes",1,0))</f>
        <v/>
      </c>
      <c r="AN2365">
        <f>IF($AJ2365=1,IFERROR(IF(VALUE($C2365)&lt;100000000,VALUE($C2365),1000000000),IFERROR(IF(VALUE(MID($C2365,2,20))&lt;100000000,VALUE(MID($C2365,2,20)),1000000000),1000000000))+ROW()/100000,"")</f>
        <v/>
      </c>
    </row>
    <row r="2366">
      <c r="E2366" s="11" t="n"/>
      <c r="M2366" s="7">
        <f>IF($C2366="","",L2366*U2366/100)</f>
        <v/>
      </c>
      <c r="N2366" s="7" t="n"/>
      <c r="T2366" s="7" t="n"/>
      <c r="U2366" s="7">
        <f>IF($C2366="","",S2366*T2366)</f>
        <v/>
      </c>
      <c r="X2366">
        <f>IF($C2366="","",IF($AM2366=1,0,IF($AL2366=1,Settings!$C$6,Settings!$C$7))*100)</f>
        <v/>
      </c>
      <c r="AB2366" s="7" t="n"/>
      <c r="AE2366" s="11" t="n"/>
      <c r="AG2366" s="7">
        <f>IF($C2366="","",U2366*X2366/100)</f>
        <v/>
      </c>
      <c r="AH2366" s="7">
        <f>IF($C2366="","",U2366-AG2366)</f>
        <v/>
      </c>
      <c r="AI2366" s="7">
        <f>IF($C2366="","",AH2366-M2366)</f>
        <v/>
      </c>
      <c r="AJ2366">
        <f>IF($C2366="","",IF(COUNTIF($C$2:$C2366,$C2366)=1,1,0))</f>
        <v/>
      </c>
      <c r="AK2366">
        <f>IF($AJ2366=1,SUMPRODUCT(--($AN$2:$AN$4001&lt;$AN2366))+1,"")</f>
        <v/>
      </c>
      <c r="AL2366">
        <f>IF($C2366="","",IF(OR($Q2366=TRUE(),$Q2366="TRUE"),1,0))</f>
        <v/>
      </c>
      <c r="AM2366">
        <f>IF($C2366="","",IF($W2366="Yes",1,0))</f>
        <v/>
      </c>
      <c r="AN2366">
        <f>IF($AJ2366=1,IFERROR(IF(VALUE($C2366)&lt;100000000,VALUE($C2366),1000000000),IFERROR(IF(VALUE(MID($C2366,2,20))&lt;100000000,VALUE(MID($C2366,2,20)),1000000000),1000000000))+ROW()/100000,"")</f>
        <v/>
      </c>
    </row>
    <row r="2367">
      <c r="E2367" s="11" t="n"/>
      <c r="M2367" s="7">
        <f>IF($C2367="","",L2367*U2367/100)</f>
        <v/>
      </c>
      <c r="N2367" s="7" t="n"/>
      <c r="T2367" s="7" t="n"/>
      <c r="U2367" s="7">
        <f>IF($C2367="","",S2367*T2367)</f>
        <v/>
      </c>
      <c r="X2367">
        <f>IF($C2367="","",IF($AM2367=1,0,IF($AL2367=1,Settings!$C$6,Settings!$C$7))*100)</f>
        <v/>
      </c>
      <c r="AB2367" s="7" t="n"/>
      <c r="AE2367" s="11" t="n"/>
      <c r="AG2367" s="7">
        <f>IF($C2367="","",U2367*X2367/100)</f>
        <v/>
      </c>
      <c r="AH2367" s="7">
        <f>IF($C2367="","",U2367-AG2367)</f>
        <v/>
      </c>
      <c r="AI2367" s="7">
        <f>IF($C2367="","",AH2367-M2367)</f>
        <v/>
      </c>
      <c r="AJ2367">
        <f>IF($C2367="","",IF(COUNTIF($C$2:$C2367,$C2367)=1,1,0))</f>
        <v/>
      </c>
      <c r="AK2367">
        <f>IF($AJ2367=1,SUMPRODUCT(--($AN$2:$AN$4001&lt;$AN2367))+1,"")</f>
        <v/>
      </c>
      <c r="AL2367">
        <f>IF($C2367="","",IF(OR($Q2367=TRUE(),$Q2367="TRUE"),1,0))</f>
        <v/>
      </c>
      <c r="AM2367">
        <f>IF($C2367="","",IF($W2367="Yes",1,0))</f>
        <v/>
      </c>
      <c r="AN2367">
        <f>IF($AJ2367=1,IFERROR(IF(VALUE($C2367)&lt;100000000,VALUE($C2367),1000000000),IFERROR(IF(VALUE(MID($C2367,2,20))&lt;100000000,VALUE(MID($C2367,2,20)),1000000000),1000000000))+ROW()/100000,"")</f>
        <v/>
      </c>
    </row>
    <row r="2368">
      <c r="E2368" s="11" t="n"/>
      <c r="M2368" s="7">
        <f>IF($C2368="","",L2368*U2368/100)</f>
        <v/>
      </c>
      <c r="N2368" s="7" t="n"/>
      <c r="T2368" s="7" t="n"/>
      <c r="U2368" s="7">
        <f>IF($C2368="","",S2368*T2368)</f>
        <v/>
      </c>
      <c r="X2368">
        <f>IF($C2368="","",IF($AM2368=1,0,IF($AL2368=1,Settings!$C$6,Settings!$C$7))*100)</f>
        <v/>
      </c>
      <c r="AB2368" s="7" t="n"/>
      <c r="AE2368" s="11" t="n"/>
      <c r="AG2368" s="7">
        <f>IF($C2368="","",U2368*X2368/100)</f>
        <v/>
      </c>
      <c r="AH2368" s="7">
        <f>IF($C2368="","",U2368-AG2368)</f>
        <v/>
      </c>
      <c r="AI2368" s="7">
        <f>IF($C2368="","",AH2368-M2368)</f>
        <v/>
      </c>
      <c r="AJ2368">
        <f>IF($C2368="","",IF(COUNTIF($C$2:$C2368,$C2368)=1,1,0))</f>
        <v/>
      </c>
      <c r="AK2368">
        <f>IF($AJ2368=1,SUMPRODUCT(--($AN$2:$AN$4001&lt;$AN2368))+1,"")</f>
        <v/>
      </c>
      <c r="AL2368">
        <f>IF($C2368="","",IF(OR($Q2368=TRUE(),$Q2368="TRUE"),1,0))</f>
        <v/>
      </c>
      <c r="AM2368">
        <f>IF($C2368="","",IF($W2368="Yes",1,0))</f>
        <v/>
      </c>
      <c r="AN2368">
        <f>IF($AJ2368=1,IFERROR(IF(VALUE($C2368)&lt;100000000,VALUE($C2368),1000000000),IFERROR(IF(VALUE(MID($C2368,2,20))&lt;100000000,VALUE(MID($C2368,2,20)),1000000000),1000000000))+ROW()/100000,"")</f>
        <v/>
      </c>
    </row>
    <row r="2369">
      <c r="E2369" s="11" t="n"/>
      <c r="M2369" s="7">
        <f>IF($C2369="","",L2369*U2369/100)</f>
        <v/>
      </c>
      <c r="N2369" s="7" t="n"/>
      <c r="T2369" s="7" t="n"/>
      <c r="U2369" s="7">
        <f>IF($C2369="","",S2369*T2369)</f>
        <v/>
      </c>
      <c r="X2369">
        <f>IF($C2369="","",IF($AM2369=1,0,IF($AL2369=1,Settings!$C$6,Settings!$C$7))*100)</f>
        <v/>
      </c>
      <c r="AB2369" s="7" t="n"/>
      <c r="AE2369" s="11" t="n"/>
      <c r="AG2369" s="7">
        <f>IF($C2369="","",U2369*X2369/100)</f>
        <v/>
      </c>
      <c r="AH2369" s="7">
        <f>IF($C2369="","",U2369-AG2369)</f>
        <v/>
      </c>
      <c r="AI2369" s="7">
        <f>IF($C2369="","",AH2369-M2369)</f>
        <v/>
      </c>
      <c r="AJ2369">
        <f>IF($C2369="","",IF(COUNTIF($C$2:$C2369,$C2369)=1,1,0))</f>
        <v/>
      </c>
      <c r="AK2369">
        <f>IF($AJ2369=1,SUMPRODUCT(--($AN$2:$AN$4001&lt;$AN2369))+1,"")</f>
        <v/>
      </c>
      <c r="AL2369">
        <f>IF($C2369="","",IF(OR($Q2369=TRUE(),$Q2369="TRUE"),1,0))</f>
        <v/>
      </c>
      <c r="AM2369">
        <f>IF($C2369="","",IF($W2369="Yes",1,0))</f>
        <v/>
      </c>
      <c r="AN2369">
        <f>IF($AJ2369=1,IFERROR(IF(VALUE($C2369)&lt;100000000,VALUE($C2369),1000000000),IFERROR(IF(VALUE(MID($C2369,2,20))&lt;100000000,VALUE(MID($C2369,2,20)),1000000000),1000000000))+ROW()/100000,"")</f>
        <v/>
      </c>
    </row>
    <row r="2370">
      <c r="E2370" s="11" t="n"/>
      <c r="M2370" s="7">
        <f>IF($C2370="","",L2370*U2370/100)</f>
        <v/>
      </c>
      <c r="N2370" s="7" t="n"/>
      <c r="T2370" s="7" t="n"/>
      <c r="U2370" s="7">
        <f>IF($C2370="","",S2370*T2370)</f>
        <v/>
      </c>
      <c r="X2370">
        <f>IF($C2370="","",IF($AM2370=1,0,IF($AL2370=1,Settings!$C$6,Settings!$C$7))*100)</f>
        <v/>
      </c>
      <c r="AB2370" s="7" t="n"/>
      <c r="AE2370" s="11" t="n"/>
      <c r="AG2370" s="7">
        <f>IF($C2370="","",U2370*X2370/100)</f>
        <v/>
      </c>
      <c r="AH2370" s="7">
        <f>IF($C2370="","",U2370-AG2370)</f>
        <v/>
      </c>
      <c r="AI2370" s="7">
        <f>IF($C2370="","",AH2370-M2370)</f>
        <v/>
      </c>
      <c r="AJ2370">
        <f>IF($C2370="","",IF(COUNTIF($C$2:$C2370,$C2370)=1,1,0))</f>
        <v/>
      </c>
      <c r="AK2370">
        <f>IF($AJ2370=1,SUMPRODUCT(--($AN$2:$AN$4001&lt;$AN2370))+1,"")</f>
        <v/>
      </c>
      <c r="AL2370">
        <f>IF($C2370="","",IF(OR($Q2370=TRUE(),$Q2370="TRUE"),1,0))</f>
        <v/>
      </c>
      <c r="AM2370">
        <f>IF($C2370="","",IF($W2370="Yes",1,0))</f>
        <v/>
      </c>
      <c r="AN2370">
        <f>IF($AJ2370=1,IFERROR(IF(VALUE($C2370)&lt;100000000,VALUE($C2370),1000000000),IFERROR(IF(VALUE(MID($C2370,2,20))&lt;100000000,VALUE(MID($C2370,2,20)),1000000000),1000000000))+ROW()/100000,"")</f>
        <v/>
      </c>
    </row>
    <row r="2371">
      <c r="E2371" s="11" t="n"/>
      <c r="M2371" s="7">
        <f>IF($C2371="","",L2371*U2371/100)</f>
        <v/>
      </c>
      <c r="N2371" s="7" t="n"/>
      <c r="T2371" s="7" t="n"/>
      <c r="U2371" s="7">
        <f>IF($C2371="","",S2371*T2371)</f>
        <v/>
      </c>
      <c r="X2371">
        <f>IF($C2371="","",IF($AM2371=1,0,IF($AL2371=1,Settings!$C$6,Settings!$C$7))*100)</f>
        <v/>
      </c>
      <c r="AB2371" s="7" t="n"/>
      <c r="AE2371" s="11" t="n"/>
      <c r="AG2371" s="7">
        <f>IF($C2371="","",U2371*X2371/100)</f>
        <v/>
      </c>
      <c r="AH2371" s="7">
        <f>IF($C2371="","",U2371-AG2371)</f>
        <v/>
      </c>
      <c r="AI2371" s="7">
        <f>IF($C2371="","",AH2371-M2371)</f>
        <v/>
      </c>
      <c r="AJ2371">
        <f>IF($C2371="","",IF(COUNTIF($C$2:$C2371,$C2371)=1,1,0))</f>
        <v/>
      </c>
      <c r="AK2371">
        <f>IF($AJ2371=1,SUMPRODUCT(--($AN$2:$AN$4001&lt;$AN2371))+1,"")</f>
        <v/>
      </c>
      <c r="AL2371">
        <f>IF($C2371="","",IF(OR($Q2371=TRUE(),$Q2371="TRUE"),1,0))</f>
        <v/>
      </c>
      <c r="AM2371">
        <f>IF($C2371="","",IF($W2371="Yes",1,0))</f>
        <v/>
      </c>
      <c r="AN2371">
        <f>IF($AJ2371=1,IFERROR(IF(VALUE($C2371)&lt;100000000,VALUE($C2371),1000000000),IFERROR(IF(VALUE(MID($C2371,2,20))&lt;100000000,VALUE(MID($C2371,2,20)),1000000000),1000000000))+ROW()/100000,"")</f>
        <v/>
      </c>
    </row>
    <row r="2372">
      <c r="E2372" s="11" t="n"/>
      <c r="M2372" s="7">
        <f>IF($C2372="","",L2372*U2372/100)</f>
        <v/>
      </c>
      <c r="N2372" s="7" t="n"/>
      <c r="T2372" s="7" t="n"/>
      <c r="U2372" s="7">
        <f>IF($C2372="","",S2372*T2372)</f>
        <v/>
      </c>
      <c r="X2372">
        <f>IF($C2372="","",IF($AM2372=1,0,IF($AL2372=1,Settings!$C$6,Settings!$C$7))*100)</f>
        <v/>
      </c>
      <c r="AB2372" s="7" t="n"/>
      <c r="AE2372" s="11" t="n"/>
      <c r="AG2372" s="7">
        <f>IF($C2372="","",U2372*X2372/100)</f>
        <v/>
      </c>
      <c r="AH2372" s="7">
        <f>IF($C2372="","",U2372-AG2372)</f>
        <v/>
      </c>
      <c r="AI2372" s="7">
        <f>IF($C2372="","",AH2372-M2372)</f>
        <v/>
      </c>
      <c r="AJ2372">
        <f>IF($C2372="","",IF(COUNTIF($C$2:$C2372,$C2372)=1,1,0))</f>
        <v/>
      </c>
      <c r="AK2372">
        <f>IF($AJ2372=1,SUMPRODUCT(--($AN$2:$AN$4001&lt;$AN2372))+1,"")</f>
        <v/>
      </c>
      <c r="AL2372">
        <f>IF($C2372="","",IF(OR($Q2372=TRUE(),$Q2372="TRUE"),1,0))</f>
        <v/>
      </c>
      <c r="AM2372">
        <f>IF($C2372="","",IF($W2372="Yes",1,0))</f>
        <v/>
      </c>
      <c r="AN2372">
        <f>IF($AJ2372=1,IFERROR(IF(VALUE($C2372)&lt;100000000,VALUE($C2372),1000000000),IFERROR(IF(VALUE(MID($C2372,2,20))&lt;100000000,VALUE(MID($C2372,2,20)),1000000000),1000000000))+ROW()/100000,"")</f>
        <v/>
      </c>
    </row>
    <row r="2373">
      <c r="E2373" s="11" t="n"/>
      <c r="M2373" s="7">
        <f>IF($C2373="","",L2373*U2373/100)</f>
        <v/>
      </c>
      <c r="N2373" s="7" t="n"/>
      <c r="T2373" s="7" t="n"/>
      <c r="U2373" s="7">
        <f>IF($C2373="","",S2373*T2373)</f>
        <v/>
      </c>
      <c r="X2373">
        <f>IF($C2373="","",IF($AM2373=1,0,IF($AL2373=1,Settings!$C$6,Settings!$C$7))*100)</f>
        <v/>
      </c>
      <c r="AB2373" s="7" t="n"/>
      <c r="AE2373" s="11" t="n"/>
      <c r="AG2373" s="7">
        <f>IF($C2373="","",U2373*X2373/100)</f>
        <v/>
      </c>
      <c r="AH2373" s="7">
        <f>IF($C2373="","",U2373-AG2373)</f>
        <v/>
      </c>
      <c r="AI2373" s="7">
        <f>IF($C2373="","",AH2373-M2373)</f>
        <v/>
      </c>
      <c r="AJ2373">
        <f>IF($C2373="","",IF(COUNTIF($C$2:$C2373,$C2373)=1,1,0))</f>
        <v/>
      </c>
      <c r="AK2373">
        <f>IF($AJ2373=1,SUMPRODUCT(--($AN$2:$AN$4001&lt;$AN2373))+1,"")</f>
        <v/>
      </c>
      <c r="AL2373">
        <f>IF($C2373="","",IF(OR($Q2373=TRUE(),$Q2373="TRUE"),1,0))</f>
        <v/>
      </c>
      <c r="AM2373">
        <f>IF($C2373="","",IF($W2373="Yes",1,0))</f>
        <v/>
      </c>
      <c r="AN2373">
        <f>IF($AJ2373=1,IFERROR(IF(VALUE($C2373)&lt;100000000,VALUE($C2373),1000000000),IFERROR(IF(VALUE(MID($C2373,2,20))&lt;100000000,VALUE(MID($C2373,2,20)),1000000000),1000000000))+ROW()/100000,"")</f>
        <v/>
      </c>
    </row>
    <row r="2374">
      <c r="E2374" s="11" t="n"/>
      <c r="M2374" s="7">
        <f>IF($C2374="","",L2374*U2374/100)</f>
        <v/>
      </c>
      <c r="N2374" s="7" t="n"/>
      <c r="T2374" s="7" t="n"/>
      <c r="U2374" s="7">
        <f>IF($C2374="","",S2374*T2374)</f>
        <v/>
      </c>
      <c r="X2374">
        <f>IF($C2374="","",IF($AM2374=1,0,IF($AL2374=1,Settings!$C$6,Settings!$C$7))*100)</f>
        <v/>
      </c>
      <c r="AB2374" s="7" t="n"/>
      <c r="AE2374" s="11" t="n"/>
      <c r="AG2374" s="7">
        <f>IF($C2374="","",U2374*X2374/100)</f>
        <v/>
      </c>
      <c r="AH2374" s="7">
        <f>IF($C2374="","",U2374-AG2374)</f>
        <v/>
      </c>
      <c r="AI2374" s="7">
        <f>IF($C2374="","",AH2374-M2374)</f>
        <v/>
      </c>
      <c r="AJ2374">
        <f>IF($C2374="","",IF(COUNTIF($C$2:$C2374,$C2374)=1,1,0))</f>
        <v/>
      </c>
      <c r="AK2374">
        <f>IF($AJ2374=1,SUMPRODUCT(--($AN$2:$AN$4001&lt;$AN2374))+1,"")</f>
        <v/>
      </c>
      <c r="AL2374">
        <f>IF($C2374="","",IF(OR($Q2374=TRUE(),$Q2374="TRUE"),1,0))</f>
        <v/>
      </c>
      <c r="AM2374">
        <f>IF($C2374="","",IF($W2374="Yes",1,0))</f>
        <v/>
      </c>
      <c r="AN2374">
        <f>IF($AJ2374=1,IFERROR(IF(VALUE($C2374)&lt;100000000,VALUE($C2374),1000000000),IFERROR(IF(VALUE(MID($C2374,2,20))&lt;100000000,VALUE(MID($C2374,2,20)),1000000000),1000000000))+ROW()/100000,"")</f>
        <v/>
      </c>
    </row>
    <row r="2375">
      <c r="E2375" s="11" t="n"/>
      <c r="M2375" s="7">
        <f>IF($C2375="","",L2375*U2375/100)</f>
        <v/>
      </c>
      <c r="N2375" s="7" t="n"/>
      <c r="T2375" s="7" t="n"/>
      <c r="U2375" s="7">
        <f>IF($C2375="","",S2375*T2375)</f>
        <v/>
      </c>
      <c r="X2375">
        <f>IF($C2375="","",IF($AM2375=1,0,IF($AL2375=1,Settings!$C$6,Settings!$C$7))*100)</f>
        <v/>
      </c>
      <c r="AB2375" s="7" t="n"/>
      <c r="AE2375" s="11" t="n"/>
      <c r="AG2375" s="7">
        <f>IF($C2375="","",U2375*X2375/100)</f>
        <v/>
      </c>
      <c r="AH2375" s="7">
        <f>IF($C2375="","",U2375-AG2375)</f>
        <v/>
      </c>
      <c r="AI2375" s="7">
        <f>IF($C2375="","",AH2375-M2375)</f>
        <v/>
      </c>
      <c r="AJ2375">
        <f>IF($C2375="","",IF(COUNTIF($C$2:$C2375,$C2375)=1,1,0))</f>
        <v/>
      </c>
      <c r="AK2375">
        <f>IF($AJ2375=1,SUMPRODUCT(--($AN$2:$AN$4001&lt;$AN2375))+1,"")</f>
        <v/>
      </c>
      <c r="AL2375">
        <f>IF($C2375="","",IF(OR($Q2375=TRUE(),$Q2375="TRUE"),1,0))</f>
        <v/>
      </c>
      <c r="AM2375">
        <f>IF($C2375="","",IF($W2375="Yes",1,0))</f>
        <v/>
      </c>
      <c r="AN2375">
        <f>IF($AJ2375=1,IFERROR(IF(VALUE($C2375)&lt;100000000,VALUE($C2375),1000000000),IFERROR(IF(VALUE(MID($C2375,2,20))&lt;100000000,VALUE(MID($C2375,2,20)),1000000000),1000000000))+ROW()/100000,"")</f>
        <v/>
      </c>
    </row>
    <row r="2376">
      <c r="E2376" s="11" t="n"/>
      <c r="M2376" s="7">
        <f>IF($C2376="","",L2376*U2376/100)</f>
        <v/>
      </c>
      <c r="N2376" s="7" t="n"/>
      <c r="T2376" s="7" t="n"/>
      <c r="U2376" s="7">
        <f>IF($C2376="","",S2376*T2376)</f>
        <v/>
      </c>
      <c r="X2376">
        <f>IF($C2376="","",IF($AM2376=1,0,IF($AL2376=1,Settings!$C$6,Settings!$C$7))*100)</f>
        <v/>
      </c>
      <c r="AB2376" s="7" t="n"/>
      <c r="AE2376" s="11" t="n"/>
      <c r="AG2376" s="7">
        <f>IF($C2376="","",U2376*X2376/100)</f>
        <v/>
      </c>
      <c r="AH2376" s="7">
        <f>IF($C2376="","",U2376-AG2376)</f>
        <v/>
      </c>
      <c r="AI2376" s="7">
        <f>IF($C2376="","",AH2376-M2376)</f>
        <v/>
      </c>
      <c r="AJ2376">
        <f>IF($C2376="","",IF(COUNTIF($C$2:$C2376,$C2376)=1,1,0))</f>
        <v/>
      </c>
      <c r="AK2376">
        <f>IF($AJ2376=1,SUMPRODUCT(--($AN$2:$AN$4001&lt;$AN2376))+1,"")</f>
        <v/>
      </c>
      <c r="AL2376">
        <f>IF($C2376="","",IF(OR($Q2376=TRUE(),$Q2376="TRUE"),1,0))</f>
        <v/>
      </c>
      <c r="AM2376">
        <f>IF($C2376="","",IF($W2376="Yes",1,0))</f>
        <v/>
      </c>
      <c r="AN2376">
        <f>IF($AJ2376=1,IFERROR(IF(VALUE($C2376)&lt;100000000,VALUE($C2376),1000000000),IFERROR(IF(VALUE(MID($C2376,2,20))&lt;100000000,VALUE(MID($C2376,2,20)),1000000000),1000000000))+ROW()/100000,"")</f>
        <v/>
      </c>
    </row>
    <row r="2377">
      <c r="E2377" s="11" t="n"/>
      <c r="M2377" s="7">
        <f>IF($C2377="","",L2377*U2377/100)</f>
        <v/>
      </c>
      <c r="N2377" s="7" t="n"/>
      <c r="T2377" s="7" t="n"/>
      <c r="U2377" s="7">
        <f>IF($C2377="","",S2377*T2377)</f>
        <v/>
      </c>
      <c r="X2377">
        <f>IF($C2377="","",IF($AM2377=1,0,IF($AL2377=1,Settings!$C$6,Settings!$C$7))*100)</f>
        <v/>
      </c>
      <c r="AB2377" s="7" t="n"/>
      <c r="AE2377" s="11" t="n"/>
      <c r="AG2377" s="7">
        <f>IF($C2377="","",U2377*X2377/100)</f>
        <v/>
      </c>
      <c r="AH2377" s="7">
        <f>IF($C2377="","",U2377-AG2377)</f>
        <v/>
      </c>
      <c r="AI2377" s="7">
        <f>IF($C2377="","",AH2377-M2377)</f>
        <v/>
      </c>
      <c r="AJ2377">
        <f>IF($C2377="","",IF(COUNTIF($C$2:$C2377,$C2377)=1,1,0))</f>
        <v/>
      </c>
      <c r="AK2377">
        <f>IF($AJ2377=1,SUMPRODUCT(--($AN$2:$AN$4001&lt;$AN2377))+1,"")</f>
        <v/>
      </c>
      <c r="AL2377">
        <f>IF($C2377="","",IF(OR($Q2377=TRUE(),$Q2377="TRUE"),1,0))</f>
        <v/>
      </c>
      <c r="AM2377">
        <f>IF($C2377="","",IF($W2377="Yes",1,0))</f>
        <v/>
      </c>
      <c r="AN2377">
        <f>IF($AJ2377=1,IFERROR(IF(VALUE($C2377)&lt;100000000,VALUE($C2377),1000000000),IFERROR(IF(VALUE(MID($C2377,2,20))&lt;100000000,VALUE(MID($C2377,2,20)),1000000000),1000000000))+ROW()/100000,"")</f>
        <v/>
      </c>
    </row>
    <row r="2378">
      <c r="E2378" s="11" t="n"/>
      <c r="M2378" s="7">
        <f>IF($C2378="","",L2378*U2378/100)</f>
        <v/>
      </c>
      <c r="N2378" s="7" t="n"/>
      <c r="T2378" s="7" t="n"/>
      <c r="U2378" s="7">
        <f>IF($C2378="","",S2378*T2378)</f>
        <v/>
      </c>
      <c r="X2378">
        <f>IF($C2378="","",IF($AM2378=1,0,IF($AL2378=1,Settings!$C$6,Settings!$C$7))*100)</f>
        <v/>
      </c>
      <c r="AB2378" s="7" t="n"/>
      <c r="AE2378" s="11" t="n"/>
      <c r="AG2378" s="7">
        <f>IF($C2378="","",U2378*X2378/100)</f>
        <v/>
      </c>
      <c r="AH2378" s="7">
        <f>IF($C2378="","",U2378-AG2378)</f>
        <v/>
      </c>
      <c r="AI2378" s="7">
        <f>IF($C2378="","",AH2378-M2378)</f>
        <v/>
      </c>
      <c r="AJ2378">
        <f>IF($C2378="","",IF(COUNTIF($C$2:$C2378,$C2378)=1,1,0))</f>
        <v/>
      </c>
      <c r="AK2378">
        <f>IF($AJ2378=1,SUMPRODUCT(--($AN$2:$AN$4001&lt;$AN2378))+1,"")</f>
        <v/>
      </c>
      <c r="AL2378">
        <f>IF($C2378="","",IF(OR($Q2378=TRUE(),$Q2378="TRUE"),1,0))</f>
        <v/>
      </c>
      <c r="AM2378">
        <f>IF($C2378="","",IF($W2378="Yes",1,0))</f>
        <v/>
      </c>
      <c r="AN2378">
        <f>IF($AJ2378=1,IFERROR(IF(VALUE($C2378)&lt;100000000,VALUE($C2378),1000000000),IFERROR(IF(VALUE(MID($C2378,2,20))&lt;100000000,VALUE(MID($C2378,2,20)),1000000000),1000000000))+ROW()/100000,"")</f>
        <v/>
      </c>
    </row>
    <row r="2379">
      <c r="E2379" s="11" t="n"/>
      <c r="M2379" s="7">
        <f>IF($C2379="","",L2379*U2379/100)</f>
        <v/>
      </c>
      <c r="N2379" s="7" t="n"/>
      <c r="T2379" s="7" t="n"/>
      <c r="U2379" s="7">
        <f>IF($C2379="","",S2379*T2379)</f>
        <v/>
      </c>
      <c r="X2379">
        <f>IF($C2379="","",IF($AM2379=1,0,IF($AL2379=1,Settings!$C$6,Settings!$C$7))*100)</f>
        <v/>
      </c>
      <c r="AB2379" s="7" t="n"/>
      <c r="AE2379" s="11" t="n"/>
      <c r="AG2379" s="7">
        <f>IF($C2379="","",U2379*X2379/100)</f>
        <v/>
      </c>
      <c r="AH2379" s="7">
        <f>IF($C2379="","",U2379-AG2379)</f>
        <v/>
      </c>
      <c r="AI2379" s="7">
        <f>IF($C2379="","",AH2379-M2379)</f>
        <v/>
      </c>
      <c r="AJ2379">
        <f>IF($C2379="","",IF(COUNTIF($C$2:$C2379,$C2379)=1,1,0))</f>
        <v/>
      </c>
      <c r="AK2379">
        <f>IF($AJ2379=1,SUMPRODUCT(--($AN$2:$AN$4001&lt;$AN2379))+1,"")</f>
        <v/>
      </c>
      <c r="AL2379">
        <f>IF($C2379="","",IF(OR($Q2379=TRUE(),$Q2379="TRUE"),1,0))</f>
        <v/>
      </c>
      <c r="AM2379">
        <f>IF($C2379="","",IF($W2379="Yes",1,0))</f>
        <v/>
      </c>
      <c r="AN2379">
        <f>IF($AJ2379=1,IFERROR(IF(VALUE($C2379)&lt;100000000,VALUE($C2379),1000000000),IFERROR(IF(VALUE(MID($C2379,2,20))&lt;100000000,VALUE(MID($C2379,2,20)),1000000000),1000000000))+ROW()/100000,"")</f>
        <v/>
      </c>
    </row>
    <row r="2380">
      <c r="E2380" s="11" t="n"/>
      <c r="M2380" s="7">
        <f>IF($C2380="","",L2380*U2380/100)</f>
        <v/>
      </c>
      <c r="N2380" s="7" t="n"/>
      <c r="T2380" s="7" t="n"/>
      <c r="U2380" s="7">
        <f>IF($C2380="","",S2380*T2380)</f>
        <v/>
      </c>
      <c r="X2380">
        <f>IF($C2380="","",IF($AM2380=1,0,IF($AL2380=1,Settings!$C$6,Settings!$C$7))*100)</f>
        <v/>
      </c>
      <c r="AB2380" s="7" t="n"/>
      <c r="AE2380" s="11" t="n"/>
      <c r="AG2380" s="7">
        <f>IF($C2380="","",U2380*X2380/100)</f>
        <v/>
      </c>
      <c r="AH2380" s="7">
        <f>IF($C2380="","",U2380-AG2380)</f>
        <v/>
      </c>
      <c r="AI2380" s="7">
        <f>IF($C2380="","",AH2380-M2380)</f>
        <v/>
      </c>
      <c r="AJ2380">
        <f>IF($C2380="","",IF(COUNTIF($C$2:$C2380,$C2380)=1,1,0))</f>
        <v/>
      </c>
      <c r="AK2380">
        <f>IF($AJ2380=1,SUMPRODUCT(--($AN$2:$AN$4001&lt;$AN2380))+1,"")</f>
        <v/>
      </c>
      <c r="AL2380">
        <f>IF($C2380="","",IF(OR($Q2380=TRUE(),$Q2380="TRUE"),1,0))</f>
        <v/>
      </c>
      <c r="AM2380">
        <f>IF($C2380="","",IF($W2380="Yes",1,0))</f>
        <v/>
      </c>
      <c r="AN2380">
        <f>IF($AJ2380=1,IFERROR(IF(VALUE($C2380)&lt;100000000,VALUE($C2380),1000000000),IFERROR(IF(VALUE(MID($C2380,2,20))&lt;100000000,VALUE(MID($C2380,2,20)),1000000000),1000000000))+ROW()/100000,"")</f>
        <v/>
      </c>
    </row>
    <row r="2381">
      <c r="E2381" s="11" t="n"/>
      <c r="M2381" s="7">
        <f>IF($C2381="","",L2381*U2381/100)</f>
        <v/>
      </c>
      <c r="N2381" s="7" t="n"/>
      <c r="T2381" s="7" t="n"/>
      <c r="U2381" s="7">
        <f>IF($C2381="","",S2381*T2381)</f>
        <v/>
      </c>
      <c r="X2381">
        <f>IF($C2381="","",IF($AM2381=1,0,IF($AL2381=1,Settings!$C$6,Settings!$C$7))*100)</f>
        <v/>
      </c>
      <c r="AB2381" s="7" t="n"/>
      <c r="AE2381" s="11" t="n"/>
      <c r="AG2381" s="7">
        <f>IF($C2381="","",U2381*X2381/100)</f>
        <v/>
      </c>
      <c r="AH2381" s="7">
        <f>IF($C2381="","",U2381-AG2381)</f>
        <v/>
      </c>
      <c r="AI2381" s="7">
        <f>IF($C2381="","",AH2381-M2381)</f>
        <v/>
      </c>
      <c r="AJ2381">
        <f>IF($C2381="","",IF(COUNTIF($C$2:$C2381,$C2381)=1,1,0))</f>
        <v/>
      </c>
      <c r="AK2381">
        <f>IF($AJ2381=1,SUMPRODUCT(--($AN$2:$AN$4001&lt;$AN2381))+1,"")</f>
        <v/>
      </c>
      <c r="AL2381">
        <f>IF($C2381="","",IF(OR($Q2381=TRUE(),$Q2381="TRUE"),1,0))</f>
        <v/>
      </c>
      <c r="AM2381">
        <f>IF($C2381="","",IF($W2381="Yes",1,0))</f>
        <v/>
      </c>
      <c r="AN2381">
        <f>IF($AJ2381=1,IFERROR(IF(VALUE($C2381)&lt;100000000,VALUE($C2381),1000000000),IFERROR(IF(VALUE(MID($C2381,2,20))&lt;100000000,VALUE(MID($C2381,2,20)),1000000000),1000000000))+ROW()/100000,"")</f>
        <v/>
      </c>
    </row>
    <row r="2382">
      <c r="E2382" s="11" t="n"/>
      <c r="M2382" s="7">
        <f>IF($C2382="","",L2382*U2382/100)</f>
        <v/>
      </c>
      <c r="N2382" s="7" t="n"/>
      <c r="T2382" s="7" t="n"/>
      <c r="U2382" s="7">
        <f>IF($C2382="","",S2382*T2382)</f>
        <v/>
      </c>
      <c r="X2382">
        <f>IF($C2382="","",IF($AM2382=1,0,IF($AL2382=1,Settings!$C$6,Settings!$C$7))*100)</f>
        <v/>
      </c>
      <c r="AB2382" s="7" t="n"/>
      <c r="AE2382" s="11" t="n"/>
      <c r="AG2382" s="7">
        <f>IF($C2382="","",U2382*X2382/100)</f>
        <v/>
      </c>
      <c r="AH2382" s="7">
        <f>IF($C2382="","",U2382-AG2382)</f>
        <v/>
      </c>
      <c r="AI2382" s="7">
        <f>IF($C2382="","",AH2382-M2382)</f>
        <v/>
      </c>
      <c r="AJ2382">
        <f>IF($C2382="","",IF(COUNTIF($C$2:$C2382,$C2382)=1,1,0))</f>
        <v/>
      </c>
      <c r="AK2382">
        <f>IF($AJ2382=1,SUMPRODUCT(--($AN$2:$AN$4001&lt;$AN2382))+1,"")</f>
        <v/>
      </c>
      <c r="AL2382">
        <f>IF($C2382="","",IF(OR($Q2382=TRUE(),$Q2382="TRUE"),1,0))</f>
        <v/>
      </c>
      <c r="AM2382">
        <f>IF($C2382="","",IF($W2382="Yes",1,0))</f>
        <v/>
      </c>
      <c r="AN2382">
        <f>IF($AJ2382=1,IFERROR(IF(VALUE($C2382)&lt;100000000,VALUE($C2382),1000000000),IFERROR(IF(VALUE(MID($C2382,2,20))&lt;100000000,VALUE(MID($C2382,2,20)),1000000000),1000000000))+ROW()/100000,"")</f>
        <v/>
      </c>
    </row>
    <row r="2383">
      <c r="E2383" s="11" t="n"/>
      <c r="M2383" s="7">
        <f>IF($C2383="","",L2383*U2383/100)</f>
        <v/>
      </c>
      <c r="N2383" s="7" t="n"/>
      <c r="T2383" s="7" t="n"/>
      <c r="U2383" s="7">
        <f>IF($C2383="","",S2383*T2383)</f>
        <v/>
      </c>
      <c r="X2383">
        <f>IF($C2383="","",IF($AM2383=1,0,IF($AL2383=1,Settings!$C$6,Settings!$C$7))*100)</f>
        <v/>
      </c>
      <c r="AB2383" s="7" t="n"/>
      <c r="AE2383" s="11" t="n"/>
      <c r="AG2383" s="7">
        <f>IF($C2383="","",U2383*X2383/100)</f>
        <v/>
      </c>
      <c r="AH2383" s="7">
        <f>IF($C2383="","",U2383-AG2383)</f>
        <v/>
      </c>
      <c r="AI2383" s="7">
        <f>IF($C2383="","",AH2383-M2383)</f>
        <v/>
      </c>
      <c r="AJ2383">
        <f>IF($C2383="","",IF(COUNTIF($C$2:$C2383,$C2383)=1,1,0))</f>
        <v/>
      </c>
      <c r="AK2383">
        <f>IF($AJ2383=1,SUMPRODUCT(--($AN$2:$AN$4001&lt;$AN2383))+1,"")</f>
        <v/>
      </c>
      <c r="AL2383">
        <f>IF($C2383="","",IF(OR($Q2383=TRUE(),$Q2383="TRUE"),1,0))</f>
        <v/>
      </c>
      <c r="AM2383">
        <f>IF($C2383="","",IF($W2383="Yes",1,0))</f>
        <v/>
      </c>
      <c r="AN2383">
        <f>IF($AJ2383=1,IFERROR(IF(VALUE($C2383)&lt;100000000,VALUE($C2383),1000000000),IFERROR(IF(VALUE(MID($C2383,2,20))&lt;100000000,VALUE(MID($C2383,2,20)),1000000000),1000000000))+ROW()/100000,"")</f>
        <v/>
      </c>
    </row>
    <row r="2384">
      <c r="E2384" s="11" t="n"/>
      <c r="M2384" s="7">
        <f>IF($C2384="","",L2384*U2384/100)</f>
        <v/>
      </c>
      <c r="N2384" s="7" t="n"/>
      <c r="T2384" s="7" t="n"/>
      <c r="U2384" s="7">
        <f>IF($C2384="","",S2384*T2384)</f>
        <v/>
      </c>
      <c r="X2384">
        <f>IF($C2384="","",IF($AM2384=1,0,IF($AL2384=1,Settings!$C$6,Settings!$C$7))*100)</f>
        <v/>
      </c>
      <c r="AB2384" s="7" t="n"/>
      <c r="AE2384" s="11" t="n"/>
      <c r="AG2384" s="7">
        <f>IF($C2384="","",U2384*X2384/100)</f>
        <v/>
      </c>
      <c r="AH2384" s="7">
        <f>IF($C2384="","",U2384-AG2384)</f>
        <v/>
      </c>
      <c r="AI2384" s="7">
        <f>IF($C2384="","",AH2384-M2384)</f>
        <v/>
      </c>
      <c r="AJ2384">
        <f>IF($C2384="","",IF(COUNTIF($C$2:$C2384,$C2384)=1,1,0))</f>
        <v/>
      </c>
      <c r="AK2384">
        <f>IF($AJ2384=1,SUMPRODUCT(--($AN$2:$AN$4001&lt;$AN2384))+1,"")</f>
        <v/>
      </c>
      <c r="AL2384">
        <f>IF($C2384="","",IF(OR($Q2384=TRUE(),$Q2384="TRUE"),1,0))</f>
        <v/>
      </c>
      <c r="AM2384">
        <f>IF($C2384="","",IF($W2384="Yes",1,0))</f>
        <v/>
      </c>
      <c r="AN2384">
        <f>IF($AJ2384=1,IFERROR(IF(VALUE($C2384)&lt;100000000,VALUE($C2384),1000000000),IFERROR(IF(VALUE(MID($C2384,2,20))&lt;100000000,VALUE(MID($C2384,2,20)),1000000000),1000000000))+ROW()/100000,"")</f>
        <v/>
      </c>
    </row>
    <row r="2385">
      <c r="E2385" s="11" t="n"/>
      <c r="M2385" s="7">
        <f>IF($C2385="","",L2385*U2385/100)</f>
        <v/>
      </c>
      <c r="N2385" s="7" t="n"/>
      <c r="T2385" s="7" t="n"/>
      <c r="U2385" s="7">
        <f>IF($C2385="","",S2385*T2385)</f>
        <v/>
      </c>
      <c r="X2385">
        <f>IF($C2385="","",IF($AM2385=1,0,IF($AL2385=1,Settings!$C$6,Settings!$C$7))*100)</f>
        <v/>
      </c>
      <c r="AB2385" s="7" t="n"/>
      <c r="AE2385" s="11" t="n"/>
      <c r="AG2385" s="7">
        <f>IF($C2385="","",U2385*X2385/100)</f>
        <v/>
      </c>
      <c r="AH2385" s="7">
        <f>IF($C2385="","",U2385-AG2385)</f>
        <v/>
      </c>
      <c r="AI2385" s="7">
        <f>IF($C2385="","",AH2385-M2385)</f>
        <v/>
      </c>
      <c r="AJ2385">
        <f>IF($C2385="","",IF(COUNTIF($C$2:$C2385,$C2385)=1,1,0))</f>
        <v/>
      </c>
      <c r="AK2385">
        <f>IF($AJ2385=1,SUMPRODUCT(--($AN$2:$AN$4001&lt;$AN2385))+1,"")</f>
        <v/>
      </c>
      <c r="AL2385">
        <f>IF($C2385="","",IF(OR($Q2385=TRUE(),$Q2385="TRUE"),1,0))</f>
        <v/>
      </c>
      <c r="AM2385">
        <f>IF($C2385="","",IF($W2385="Yes",1,0))</f>
        <v/>
      </c>
      <c r="AN2385">
        <f>IF($AJ2385=1,IFERROR(IF(VALUE($C2385)&lt;100000000,VALUE($C2385),1000000000),IFERROR(IF(VALUE(MID($C2385,2,20))&lt;100000000,VALUE(MID($C2385,2,20)),1000000000),1000000000))+ROW()/100000,"")</f>
        <v/>
      </c>
    </row>
    <row r="2386">
      <c r="E2386" s="11" t="n"/>
      <c r="M2386" s="7">
        <f>IF($C2386="","",L2386*U2386/100)</f>
        <v/>
      </c>
      <c r="N2386" s="7" t="n"/>
      <c r="T2386" s="7" t="n"/>
      <c r="U2386" s="7">
        <f>IF($C2386="","",S2386*T2386)</f>
        <v/>
      </c>
      <c r="X2386">
        <f>IF($C2386="","",IF($AM2386=1,0,IF($AL2386=1,Settings!$C$6,Settings!$C$7))*100)</f>
        <v/>
      </c>
      <c r="AB2386" s="7" t="n"/>
      <c r="AE2386" s="11" t="n"/>
      <c r="AG2386" s="7">
        <f>IF($C2386="","",U2386*X2386/100)</f>
        <v/>
      </c>
      <c r="AH2386" s="7">
        <f>IF($C2386="","",U2386-AG2386)</f>
        <v/>
      </c>
      <c r="AI2386" s="7">
        <f>IF($C2386="","",AH2386-M2386)</f>
        <v/>
      </c>
      <c r="AJ2386">
        <f>IF($C2386="","",IF(COUNTIF($C$2:$C2386,$C2386)=1,1,0))</f>
        <v/>
      </c>
      <c r="AK2386">
        <f>IF($AJ2386=1,SUMPRODUCT(--($AN$2:$AN$4001&lt;$AN2386))+1,"")</f>
        <v/>
      </c>
      <c r="AL2386">
        <f>IF($C2386="","",IF(OR($Q2386=TRUE(),$Q2386="TRUE"),1,0))</f>
        <v/>
      </c>
      <c r="AM2386">
        <f>IF($C2386="","",IF($W2386="Yes",1,0))</f>
        <v/>
      </c>
      <c r="AN2386">
        <f>IF($AJ2386=1,IFERROR(IF(VALUE($C2386)&lt;100000000,VALUE($C2386),1000000000),IFERROR(IF(VALUE(MID($C2386,2,20))&lt;100000000,VALUE(MID($C2386,2,20)),1000000000),1000000000))+ROW()/100000,"")</f>
        <v/>
      </c>
    </row>
    <row r="2387">
      <c r="E2387" s="11" t="n"/>
      <c r="M2387" s="7">
        <f>IF($C2387="","",L2387*U2387/100)</f>
        <v/>
      </c>
      <c r="N2387" s="7" t="n"/>
      <c r="T2387" s="7" t="n"/>
      <c r="U2387" s="7">
        <f>IF($C2387="","",S2387*T2387)</f>
        <v/>
      </c>
      <c r="X2387">
        <f>IF($C2387="","",IF($AM2387=1,0,IF($AL2387=1,Settings!$C$6,Settings!$C$7))*100)</f>
        <v/>
      </c>
      <c r="AB2387" s="7" t="n"/>
      <c r="AE2387" s="11" t="n"/>
      <c r="AG2387" s="7">
        <f>IF($C2387="","",U2387*X2387/100)</f>
        <v/>
      </c>
      <c r="AH2387" s="7">
        <f>IF($C2387="","",U2387-AG2387)</f>
        <v/>
      </c>
      <c r="AI2387" s="7">
        <f>IF($C2387="","",AH2387-M2387)</f>
        <v/>
      </c>
      <c r="AJ2387">
        <f>IF($C2387="","",IF(COUNTIF($C$2:$C2387,$C2387)=1,1,0))</f>
        <v/>
      </c>
      <c r="AK2387">
        <f>IF($AJ2387=1,SUMPRODUCT(--($AN$2:$AN$4001&lt;$AN2387))+1,"")</f>
        <v/>
      </c>
      <c r="AL2387">
        <f>IF($C2387="","",IF(OR($Q2387=TRUE(),$Q2387="TRUE"),1,0))</f>
        <v/>
      </c>
      <c r="AM2387">
        <f>IF($C2387="","",IF($W2387="Yes",1,0))</f>
        <v/>
      </c>
      <c r="AN2387">
        <f>IF($AJ2387=1,IFERROR(IF(VALUE($C2387)&lt;100000000,VALUE($C2387),1000000000),IFERROR(IF(VALUE(MID($C2387,2,20))&lt;100000000,VALUE(MID($C2387,2,20)),1000000000),1000000000))+ROW()/100000,"")</f>
        <v/>
      </c>
    </row>
    <row r="2388">
      <c r="E2388" s="11" t="n"/>
      <c r="M2388" s="7">
        <f>IF($C2388="","",L2388*U2388/100)</f>
        <v/>
      </c>
      <c r="N2388" s="7" t="n"/>
      <c r="T2388" s="7" t="n"/>
      <c r="U2388" s="7">
        <f>IF($C2388="","",S2388*T2388)</f>
        <v/>
      </c>
      <c r="X2388">
        <f>IF($C2388="","",IF($AM2388=1,0,IF($AL2388=1,Settings!$C$6,Settings!$C$7))*100)</f>
        <v/>
      </c>
      <c r="AB2388" s="7" t="n"/>
      <c r="AE2388" s="11" t="n"/>
      <c r="AG2388" s="7">
        <f>IF($C2388="","",U2388*X2388/100)</f>
        <v/>
      </c>
      <c r="AH2388" s="7">
        <f>IF($C2388="","",U2388-AG2388)</f>
        <v/>
      </c>
      <c r="AI2388" s="7">
        <f>IF($C2388="","",AH2388-M2388)</f>
        <v/>
      </c>
      <c r="AJ2388">
        <f>IF($C2388="","",IF(COUNTIF($C$2:$C2388,$C2388)=1,1,0))</f>
        <v/>
      </c>
      <c r="AK2388">
        <f>IF($AJ2388=1,SUMPRODUCT(--($AN$2:$AN$4001&lt;$AN2388))+1,"")</f>
        <v/>
      </c>
      <c r="AL2388">
        <f>IF($C2388="","",IF(OR($Q2388=TRUE(),$Q2388="TRUE"),1,0))</f>
        <v/>
      </c>
      <c r="AM2388">
        <f>IF($C2388="","",IF($W2388="Yes",1,0))</f>
        <v/>
      </c>
      <c r="AN2388">
        <f>IF($AJ2388=1,IFERROR(IF(VALUE($C2388)&lt;100000000,VALUE($C2388),1000000000),IFERROR(IF(VALUE(MID($C2388,2,20))&lt;100000000,VALUE(MID($C2388,2,20)),1000000000),1000000000))+ROW()/100000,"")</f>
        <v/>
      </c>
    </row>
    <row r="2389">
      <c r="E2389" s="11" t="n"/>
      <c r="M2389" s="7">
        <f>IF($C2389="","",L2389*U2389/100)</f>
        <v/>
      </c>
      <c r="N2389" s="7" t="n"/>
      <c r="T2389" s="7" t="n"/>
      <c r="U2389" s="7">
        <f>IF($C2389="","",S2389*T2389)</f>
        <v/>
      </c>
      <c r="X2389">
        <f>IF($C2389="","",IF($AM2389=1,0,IF($AL2389=1,Settings!$C$6,Settings!$C$7))*100)</f>
        <v/>
      </c>
      <c r="AB2389" s="7" t="n"/>
      <c r="AE2389" s="11" t="n"/>
      <c r="AG2389" s="7">
        <f>IF($C2389="","",U2389*X2389/100)</f>
        <v/>
      </c>
      <c r="AH2389" s="7">
        <f>IF($C2389="","",U2389-AG2389)</f>
        <v/>
      </c>
      <c r="AI2389" s="7">
        <f>IF($C2389="","",AH2389-M2389)</f>
        <v/>
      </c>
      <c r="AJ2389">
        <f>IF($C2389="","",IF(COUNTIF($C$2:$C2389,$C2389)=1,1,0))</f>
        <v/>
      </c>
      <c r="AK2389">
        <f>IF($AJ2389=1,SUMPRODUCT(--($AN$2:$AN$4001&lt;$AN2389))+1,"")</f>
        <v/>
      </c>
      <c r="AL2389">
        <f>IF($C2389="","",IF(OR($Q2389=TRUE(),$Q2389="TRUE"),1,0))</f>
        <v/>
      </c>
      <c r="AM2389">
        <f>IF($C2389="","",IF($W2389="Yes",1,0))</f>
        <v/>
      </c>
      <c r="AN2389">
        <f>IF($AJ2389=1,IFERROR(IF(VALUE($C2389)&lt;100000000,VALUE($C2389),1000000000),IFERROR(IF(VALUE(MID($C2389,2,20))&lt;100000000,VALUE(MID($C2389,2,20)),1000000000),1000000000))+ROW()/100000,"")</f>
        <v/>
      </c>
    </row>
    <row r="2390">
      <c r="E2390" s="11" t="n"/>
      <c r="M2390" s="7">
        <f>IF($C2390="","",L2390*U2390/100)</f>
        <v/>
      </c>
      <c r="N2390" s="7" t="n"/>
      <c r="T2390" s="7" t="n"/>
      <c r="U2390" s="7">
        <f>IF($C2390="","",S2390*T2390)</f>
        <v/>
      </c>
      <c r="X2390">
        <f>IF($C2390="","",IF($AM2390=1,0,IF($AL2390=1,Settings!$C$6,Settings!$C$7))*100)</f>
        <v/>
      </c>
      <c r="AB2390" s="7" t="n"/>
      <c r="AE2390" s="11" t="n"/>
      <c r="AG2390" s="7">
        <f>IF($C2390="","",U2390*X2390/100)</f>
        <v/>
      </c>
      <c r="AH2390" s="7">
        <f>IF($C2390="","",U2390-AG2390)</f>
        <v/>
      </c>
      <c r="AI2390" s="7">
        <f>IF($C2390="","",AH2390-M2390)</f>
        <v/>
      </c>
      <c r="AJ2390">
        <f>IF($C2390="","",IF(COUNTIF($C$2:$C2390,$C2390)=1,1,0))</f>
        <v/>
      </c>
      <c r="AK2390">
        <f>IF($AJ2390=1,SUMPRODUCT(--($AN$2:$AN$4001&lt;$AN2390))+1,"")</f>
        <v/>
      </c>
      <c r="AL2390">
        <f>IF($C2390="","",IF(OR($Q2390=TRUE(),$Q2390="TRUE"),1,0))</f>
        <v/>
      </c>
      <c r="AM2390">
        <f>IF($C2390="","",IF($W2390="Yes",1,0))</f>
        <v/>
      </c>
      <c r="AN2390">
        <f>IF($AJ2390=1,IFERROR(IF(VALUE($C2390)&lt;100000000,VALUE($C2390),1000000000),IFERROR(IF(VALUE(MID($C2390,2,20))&lt;100000000,VALUE(MID($C2390,2,20)),1000000000),1000000000))+ROW()/100000,"")</f>
        <v/>
      </c>
    </row>
    <row r="2391">
      <c r="E2391" s="11" t="n"/>
      <c r="M2391" s="7">
        <f>IF($C2391="","",L2391*U2391/100)</f>
        <v/>
      </c>
      <c r="N2391" s="7" t="n"/>
      <c r="T2391" s="7" t="n"/>
      <c r="U2391" s="7">
        <f>IF($C2391="","",S2391*T2391)</f>
        <v/>
      </c>
      <c r="X2391">
        <f>IF($C2391="","",IF($AM2391=1,0,IF($AL2391=1,Settings!$C$6,Settings!$C$7))*100)</f>
        <v/>
      </c>
      <c r="AB2391" s="7" t="n"/>
      <c r="AE2391" s="11" t="n"/>
      <c r="AG2391" s="7">
        <f>IF($C2391="","",U2391*X2391/100)</f>
        <v/>
      </c>
      <c r="AH2391" s="7">
        <f>IF($C2391="","",U2391-AG2391)</f>
        <v/>
      </c>
      <c r="AI2391" s="7">
        <f>IF($C2391="","",AH2391-M2391)</f>
        <v/>
      </c>
      <c r="AJ2391">
        <f>IF($C2391="","",IF(COUNTIF($C$2:$C2391,$C2391)=1,1,0))</f>
        <v/>
      </c>
      <c r="AK2391">
        <f>IF($AJ2391=1,SUMPRODUCT(--($AN$2:$AN$4001&lt;$AN2391))+1,"")</f>
        <v/>
      </c>
      <c r="AL2391">
        <f>IF($C2391="","",IF(OR($Q2391=TRUE(),$Q2391="TRUE"),1,0))</f>
        <v/>
      </c>
      <c r="AM2391">
        <f>IF($C2391="","",IF($W2391="Yes",1,0))</f>
        <v/>
      </c>
      <c r="AN2391">
        <f>IF($AJ2391=1,IFERROR(IF(VALUE($C2391)&lt;100000000,VALUE($C2391),1000000000),IFERROR(IF(VALUE(MID($C2391,2,20))&lt;100000000,VALUE(MID($C2391,2,20)),1000000000),1000000000))+ROW()/100000,"")</f>
        <v/>
      </c>
    </row>
    <row r="2392">
      <c r="E2392" s="11" t="n"/>
      <c r="M2392" s="7">
        <f>IF($C2392="","",L2392*U2392/100)</f>
        <v/>
      </c>
      <c r="N2392" s="7" t="n"/>
      <c r="T2392" s="7" t="n"/>
      <c r="U2392" s="7">
        <f>IF($C2392="","",S2392*T2392)</f>
        <v/>
      </c>
      <c r="X2392">
        <f>IF($C2392="","",IF($AM2392=1,0,IF($AL2392=1,Settings!$C$6,Settings!$C$7))*100)</f>
        <v/>
      </c>
      <c r="AB2392" s="7" t="n"/>
      <c r="AE2392" s="11" t="n"/>
      <c r="AG2392" s="7">
        <f>IF($C2392="","",U2392*X2392/100)</f>
        <v/>
      </c>
      <c r="AH2392" s="7">
        <f>IF($C2392="","",U2392-AG2392)</f>
        <v/>
      </c>
      <c r="AI2392" s="7">
        <f>IF($C2392="","",AH2392-M2392)</f>
        <v/>
      </c>
      <c r="AJ2392">
        <f>IF($C2392="","",IF(COUNTIF($C$2:$C2392,$C2392)=1,1,0))</f>
        <v/>
      </c>
      <c r="AK2392">
        <f>IF($AJ2392=1,SUMPRODUCT(--($AN$2:$AN$4001&lt;$AN2392))+1,"")</f>
        <v/>
      </c>
      <c r="AL2392">
        <f>IF($C2392="","",IF(OR($Q2392=TRUE(),$Q2392="TRUE"),1,0))</f>
        <v/>
      </c>
      <c r="AM2392">
        <f>IF($C2392="","",IF($W2392="Yes",1,0))</f>
        <v/>
      </c>
      <c r="AN2392">
        <f>IF($AJ2392=1,IFERROR(IF(VALUE($C2392)&lt;100000000,VALUE($C2392),1000000000),IFERROR(IF(VALUE(MID($C2392,2,20))&lt;100000000,VALUE(MID($C2392,2,20)),1000000000),1000000000))+ROW()/100000,"")</f>
        <v/>
      </c>
    </row>
    <row r="2393">
      <c r="E2393" s="11" t="n"/>
      <c r="M2393" s="7">
        <f>IF($C2393="","",L2393*U2393/100)</f>
        <v/>
      </c>
      <c r="N2393" s="7" t="n"/>
      <c r="T2393" s="7" t="n"/>
      <c r="U2393" s="7">
        <f>IF($C2393="","",S2393*T2393)</f>
        <v/>
      </c>
      <c r="X2393">
        <f>IF($C2393="","",IF($AM2393=1,0,IF($AL2393=1,Settings!$C$6,Settings!$C$7))*100)</f>
        <v/>
      </c>
      <c r="AB2393" s="7" t="n"/>
      <c r="AE2393" s="11" t="n"/>
      <c r="AG2393" s="7">
        <f>IF($C2393="","",U2393*X2393/100)</f>
        <v/>
      </c>
      <c r="AH2393" s="7">
        <f>IF($C2393="","",U2393-AG2393)</f>
        <v/>
      </c>
      <c r="AI2393" s="7">
        <f>IF($C2393="","",AH2393-M2393)</f>
        <v/>
      </c>
      <c r="AJ2393">
        <f>IF($C2393="","",IF(COUNTIF($C$2:$C2393,$C2393)=1,1,0))</f>
        <v/>
      </c>
      <c r="AK2393">
        <f>IF($AJ2393=1,SUMPRODUCT(--($AN$2:$AN$4001&lt;$AN2393))+1,"")</f>
        <v/>
      </c>
      <c r="AL2393">
        <f>IF($C2393="","",IF(OR($Q2393=TRUE(),$Q2393="TRUE"),1,0))</f>
        <v/>
      </c>
      <c r="AM2393">
        <f>IF($C2393="","",IF($W2393="Yes",1,0))</f>
        <v/>
      </c>
      <c r="AN2393">
        <f>IF($AJ2393=1,IFERROR(IF(VALUE($C2393)&lt;100000000,VALUE($C2393),1000000000),IFERROR(IF(VALUE(MID($C2393,2,20))&lt;100000000,VALUE(MID($C2393,2,20)),1000000000),1000000000))+ROW()/100000,"")</f>
        <v/>
      </c>
    </row>
    <row r="2394">
      <c r="E2394" s="11" t="n"/>
      <c r="M2394" s="7">
        <f>IF($C2394="","",L2394*U2394/100)</f>
        <v/>
      </c>
      <c r="N2394" s="7" t="n"/>
      <c r="T2394" s="7" t="n"/>
      <c r="U2394" s="7">
        <f>IF($C2394="","",S2394*T2394)</f>
        <v/>
      </c>
      <c r="X2394">
        <f>IF($C2394="","",IF($AM2394=1,0,IF($AL2394=1,Settings!$C$6,Settings!$C$7))*100)</f>
        <v/>
      </c>
      <c r="AB2394" s="7" t="n"/>
      <c r="AE2394" s="11" t="n"/>
      <c r="AG2394" s="7">
        <f>IF($C2394="","",U2394*X2394/100)</f>
        <v/>
      </c>
      <c r="AH2394" s="7">
        <f>IF($C2394="","",U2394-AG2394)</f>
        <v/>
      </c>
      <c r="AI2394" s="7">
        <f>IF($C2394="","",AH2394-M2394)</f>
        <v/>
      </c>
      <c r="AJ2394">
        <f>IF($C2394="","",IF(COUNTIF($C$2:$C2394,$C2394)=1,1,0))</f>
        <v/>
      </c>
      <c r="AK2394">
        <f>IF($AJ2394=1,SUMPRODUCT(--($AN$2:$AN$4001&lt;$AN2394))+1,"")</f>
        <v/>
      </c>
      <c r="AL2394">
        <f>IF($C2394="","",IF(OR($Q2394=TRUE(),$Q2394="TRUE"),1,0))</f>
        <v/>
      </c>
      <c r="AM2394">
        <f>IF($C2394="","",IF($W2394="Yes",1,0))</f>
        <v/>
      </c>
      <c r="AN2394">
        <f>IF($AJ2394=1,IFERROR(IF(VALUE($C2394)&lt;100000000,VALUE($C2394),1000000000),IFERROR(IF(VALUE(MID($C2394,2,20))&lt;100000000,VALUE(MID($C2394,2,20)),1000000000),1000000000))+ROW()/100000,"")</f>
        <v/>
      </c>
    </row>
    <row r="2395">
      <c r="E2395" s="11" t="n"/>
      <c r="M2395" s="7">
        <f>IF($C2395="","",L2395*U2395/100)</f>
        <v/>
      </c>
      <c r="N2395" s="7" t="n"/>
      <c r="T2395" s="7" t="n"/>
      <c r="U2395" s="7">
        <f>IF($C2395="","",S2395*T2395)</f>
        <v/>
      </c>
      <c r="X2395">
        <f>IF($C2395="","",IF($AM2395=1,0,IF($AL2395=1,Settings!$C$6,Settings!$C$7))*100)</f>
        <v/>
      </c>
      <c r="AB2395" s="7" t="n"/>
      <c r="AE2395" s="11" t="n"/>
      <c r="AG2395" s="7">
        <f>IF($C2395="","",U2395*X2395/100)</f>
        <v/>
      </c>
      <c r="AH2395" s="7">
        <f>IF($C2395="","",U2395-AG2395)</f>
        <v/>
      </c>
      <c r="AI2395" s="7">
        <f>IF($C2395="","",AH2395-M2395)</f>
        <v/>
      </c>
      <c r="AJ2395">
        <f>IF($C2395="","",IF(COUNTIF($C$2:$C2395,$C2395)=1,1,0))</f>
        <v/>
      </c>
      <c r="AK2395">
        <f>IF($AJ2395=1,SUMPRODUCT(--($AN$2:$AN$4001&lt;$AN2395))+1,"")</f>
        <v/>
      </c>
      <c r="AL2395">
        <f>IF($C2395="","",IF(OR($Q2395=TRUE(),$Q2395="TRUE"),1,0))</f>
        <v/>
      </c>
      <c r="AM2395">
        <f>IF($C2395="","",IF($W2395="Yes",1,0))</f>
        <v/>
      </c>
      <c r="AN2395">
        <f>IF($AJ2395=1,IFERROR(IF(VALUE($C2395)&lt;100000000,VALUE($C2395),1000000000),IFERROR(IF(VALUE(MID($C2395,2,20))&lt;100000000,VALUE(MID($C2395,2,20)),1000000000),1000000000))+ROW()/100000,"")</f>
        <v/>
      </c>
    </row>
    <row r="2396">
      <c r="E2396" s="11" t="n"/>
      <c r="M2396" s="7">
        <f>IF($C2396="","",L2396*U2396/100)</f>
        <v/>
      </c>
      <c r="N2396" s="7" t="n"/>
      <c r="T2396" s="7" t="n"/>
      <c r="U2396" s="7">
        <f>IF($C2396="","",S2396*T2396)</f>
        <v/>
      </c>
      <c r="X2396">
        <f>IF($C2396="","",IF($AM2396=1,0,IF($AL2396=1,Settings!$C$6,Settings!$C$7))*100)</f>
        <v/>
      </c>
      <c r="AB2396" s="7" t="n"/>
      <c r="AE2396" s="11" t="n"/>
      <c r="AG2396" s="7">
        <f>IF($C2396="","",U2396*X2396/100)</f>
        <v/>
      </c>
      <c r="AH2396" s="7">
        <f>IF($C2396="","",U2396-AG2396)</f>
        <v/>
      </c>
      <c r="AI2396" s="7">
        <f>IF($C2396="","",AH2396-M2396)</f>
        <v/>
      </c>
      <c r="AJ2396">
        <f>IF($C2396="","",IF(COUNTIF($C$2:$C2396,$C2396)=1,1,0))</f>
        <v/>
      </c>
      <c r="AK2396">
        <f>IF($AJ2396=1,SUMPRODUCT(--($AN$2:$AN$4001&lt;$AN2396))+1,"")</f>
        <v/>
      </c>
      <c r="AL2396">
        <f>IF($C2396="","",IF(OR($Q2396=TRUE(),$Q2396="TRUE"),1,0))</f>
        <v/>
      </c>
      <c r="AM2396">
        <f>IF($C2396="","",IF($W2396="Yes",1,0))</f>
        <v/>
      </c>
      <c r="AN2396">
        <f>IF($AJ2396=1,IFERROR(IF(VALUE($C2396)&lt;100000000,VALUE($C2396),1000000000),IFERROR(IF(VALUE(MID($C2396,2,20))&lt;100000000,VALUE(MID($C2396,2,20)),1000000000),1000000000))+ROW()/100000,"")</f>
        <v/>
      </c>
    </row>
    <row r="2397">
      <c r="E2397" s="11" t="n"/>
      <c r="M2397" s="7">
        <f>IF($C2397="","",L2397*U2397/100)</f>
        <v/>
      </c>
      <c r="N2397" s="7" t="n"/>
      <c r="T2397" s="7" t="n"/>
      <c r="U2397" s="7">
        <f>IF($C2397="","",S2397*T2397)</f>
        <v/>
      </c>
      <c r="X2397">
        <f>IF($C2397="","",IF($AM2397=1,0,IF($AL2397=1,Settings!$C$6,Settings!$C$7))*100)</f>
        <v/>
      </c>
      <c r="AB2397" s="7" t="n"/>
      <c r="AE2397" s="11" t="n"/>
      <c r="AG2397" s="7">
        <f>IF($C2397="","",U2397*X2397/100)</f>
        <v/>
      </c>
      <c r="AH2397" s="7">
        <f>IF($C2397="","",U2397-AG2397)</f>
        <v/>
      </c>
      <c r="AI2397" s="7">
        <f>IF($C2397="","",AH2397-M2397)</f>
        <v/>
      </c>
      <c r="AJ2397">
        <f>IF($C2397="","",IF(COUNTIF($C$2:$C2397,$C2397)=1,1,0))</f>
        <v/>
      </c>
      <c r="AK2397">
        <f>IF($AJ2397=1,SUMPRODUCT(--($AN$2:$AN$4001&lt;$AN2397))+1,"")</f>
        <v/>
      </c>
      <c r="AL2397">
        <f>IF($C2397="","",IF(OR($Q2397=TRUE(),$Q2397="TRUE"),1,0))</f>
        <v/>
      </c>
      <c r="AM2397">
        <f>IF($C2397="","",IF($W2397="Yes",1,0))</f>
        <v/>
      </c>
      <c r="AN2397">
        <f>IF($AJ2397=1,IFERROR(IF(VALUE($C2397)&lt;100000000,VALUE($C2397),1000000000),IFERROR(IF(VALUE(MID($C2397,2,20))&lt;100000000,VALUE(MID($C2397,2,20)),1000000000),1000000000))+ROW()/100000,"")</f>
        <v/>
      </c>
    </row>
    <row r="2398">
      <c r="E2398" s="11" t="n"/>
      <c r="M2398" s="7">
        <f>IF($C2398="","",L2398*U2398/100)</f>
        <v/>
      </c>
      <c r="N2398" s="7" t="n"/>
      <c r="T2398" s="7" t="n"/>
      <c r="U2398" s="7">
        <f>IF($C2398="","",S2398*T2398)</f>
        <v/>
      </c>
      <c r="X2398">
        <f>IF($C2398="","",IF($AM2398=1,0,IF($AL2398=1,Settings!$C$6,Settings!$C$7))*100)</f>
        <v/>
      </c>
      <c r="AB2398" s="7" t="n"/>
      <c r="AE2398" s="11" t="n"/>
      <c r="AG2398" s="7">
        <f>IF($C2398="","",U2398*X2398/100)</f>
        <v/>
      </c>
      <c r="AH2398" s="7">
        <f>IF($C2398="","",U2398-AG2398)</f>
        <v/>
      </c>
      <c r="AI2398" s="7">
        <f>IF($C2398="","",AH2398-M2398)</f>
        <v/>
      </c>
      <c r="AJ2398">
        <f>IF($C2398="","",IF(COUNTIF($C$2:$C2398,$C2398)=1,1,0))</f>
        <v/>
      </c>
      <c r="AK2398">
        <f>IF($AJ2398=1,SUMPRODUCT(--($AN$2:$AN$4001&lt;$AN2398))+1,"")</f>
        <v/>
      </c>
      <c r="AL2398">
        <f>IF($C2398="","",IF(OR($Q2398=TRUE(),$Q2398="TRUE"),1,0))</f>
        <v/>
      </c>
      <c r="AM2398">
        <f>IF($C2398="","",IF($W2398="Yes",1,0))</f>
        <v/>
      </c>
      <c r="AN2398">
        <f>IF($AJ2398=1,IFERROR(IF(VALUE($C2398)&lt;100000000,VALUE($C2398),1000000000),IFERROR(IF(VALUE(MID($C2398,2,20))&lt;100000000,VALUE(MID($C2398,2,20)),1000000000),1000000000))+ROW()/100000,"")</f>
        <v/>
      </c>
    </row>
    <row r="2399">
      <c r="E2399" s="11" t="n"/>
      <c r="M2399" s="7">
        <f>IF($C2399="","",L2399*U2399/100)</f>
        <v/>
      </c>
      <c r="N2399" s="7" t="n"/>
      <c r="T2399" s="7" t="n"/>
      <c r="U2399" s="7">
        <f>IF($C2399="","",S2399*T2399)</f>
        <v/>
      </c>
      <c r="X2399">
        <f>IF($C2399="","",IF($AM2399=1,0,IF($AL2399=1,Settings!$C$6,Settings!$C$7))*100)</f>
        <v/>
      </c>
      <c r="AB2399" s="7" t="n"/>
      <c r="AE2399" s="11" t="n"/>
      <c r="AG2399" s="7">
        <f>IF($C2399="","",U2399*X2399/100)</f>
        <v/>
      </c>
      <c r="AH2399" s="7">
        <f>IF($C2399="","",U2399-AG2399)</f>
        <v/>
      </c>
      <c r="AI2399" s="7">
        <f>IF($C2399="","",AH2399-M2399)</f>
        <v/>
      </c>
      <c r="AJ2399">
        <f>IF($C2399="","",IF(COUNTIF($C$2:$C2399,$C2399)=1,1,0))</f>
        <v/>
      </c>
      <c r="AK2399">
        <f>IF($AJ2399=1,SUMPRODUCT(--($AN$2:$AN$4001&lt;$AN2399))+1,"")</f>
        <v/>
      </c>
      <c r="AL2399">
        <f>IF($C2399="","",IF(OR($Q2399=TRUE(),$Q2399="TRUE"),1,0))</f>
        <v/>
      </c>
      <c r="AM2399">
        <f>IF($C2399="","",IF($W2399="Yes",1,0))</f>
        <v/>
      </c>
      <c r="AN2399">
        <f>IF($AJ2399=1,IFERROR(IF(VALUE($C2399)&lt;100000000,VALUE($C2399),1000000000),IFERROR(IF(VALUE(MID($C2399,2,20))&lt;100000000,VALUE(MID($C2399,2,20)),1000000000),1000000000))+ROW()/100000,"")</f>
        <v/>
      </c>
    </row>
    <row r="2400">
      <c r="E2400" s="11" t="n"/>
      <c r="M2400" s="7">
        <f>IF($C2400="","",L2400*U2400/100)</f>
        <v/>
      </c>
      <c r="N2400" s="7" t="n"/>
      <c r="T2400" s="7" t="n"/>
      <c r="U2400" s="7">
        <f>IF($C2400="","",S2400*T2400)</f>
        <v/>
      </c>
      <c r="X2400">
        <f>IF($C2400="","",IF($AM2400=1,0,IF($AL2400=1,Settings!$C$6,Settings!$C$7))*100)</f>
        <v/>
      </c>
      <c r="AB2400" s="7" t="n"/>
      <c r="AE2400" s="11" t="n"/>
      <c r="AG2400" s="7">
        <f>IF($C2400="","",U2400*X2400/100)</f>
        <v/>
      </c>
      <c r="AH2400" s="7">
        <f>IF($C2400="","",U2400-AG2400)</f>
        <v/>
      </c>
      <c r="AI2400" s="7">
        <f>IF($C2400="","",AH2400-M2400)</f>
        <v/>
      </c>
      <c r="AJ2400">
        <f>IF($C2400="","",IF(COUNTIF($C$2:$C2400,$C2400)=1,1,0))</f>
        <v/>
      </c>
      <c r="AK2400">
        <f>IF($AJ2400=1,SUMPRODUCT(--($AN$2:$AN$4001&lt;$AN2400))+1,"")</f>
        <v/>
      </c>
      <c r="AL2400">
        <f>IF($C2400="","",IF(OR($Q2400=TRUE(),$Q2400="TRUE"),1,0))</f>
        <v/>
      </c>
      <c r="AM2400">
        <f>IF($C2400="","",IF($W2400="Yes",1,0))</f>
        <v/>
      </c>
      <c r="AN2400">
        <f>IF($AJ2400=1,IFERROR(IF(VALUE($C2400)&lt;100000000,VALUE($C2400),1000000000),IFERROR(IF(VALUE(MID($C2400,2,20))&lt;100000000,VALUE(MID($C2400,2,20)),1000000000),1000000000))+ROW()/100000,"")</f>
        <v/>
      </c>
    </row>
    <row r="2401">
      <c r="E2401" s="11" t="n"/>
      <c r="M2401" s="7">
        <f>IF($C2401="","",L2401*U2401/100)</f>
        <v/>
      </c>
      <c r="N2401" s="7" t="n"/>
      <c r="T2401" s="7" t="n"/>
      <c r="U2401" s="7">
        <f>IF($C2401="","",S2401*T2401)</f>
        <v/>
      </c>
      <c r="X2401">
        <f>IF($C2401="","",IF($AM2401=1,0,IF($AL2401=1,Settings!$C$6,Settings!$C$7))*100)</f>
        <v/>
      </c>
      <c r="AB2401" s="7" t="n"/>
      <c r="AE2401" s="11" t="n"/>
      <c r="AG2401" s="7">
        <f>IF($C2401="","",U2401*X2401/100)</f>
        <v/>
      </c>
      <c r="AH2401" s="7">
        <f>IF($C2401="","",U2401-AG2401)</f>
        <v/>
      </c>
      <c r="AI2401" s="7">
        <f>IF($C2401="","",AH2401-M2401)</f>
        <v/>
      </c>
      <c r="AJ2401">
        <f>IF($C2401="","",IF(COUNTIF($C$2:$C2401,$C2401)=1,1,0))</f>
        <v/>
      </c>
      <c r="AK2401">
        <f>IF($AJ2401=1,SUMPRODUCT(--($AN$2:$AN$4001&lt;$AN2401))+1,"")</f>
        <v/>
      </c>
      <c r="AL2401">
        <f>IF($C2401="","",IF(OR($Q2401=TRUE(),$Q2401="TRUE"),1,0))</f>
        <v/>
      </c>
      <c r="AM2401">
        <f>IF($C2401="","",IF($W2401="Yes",1,0))</f>
        <v/>
      </c>
      <c r="AN2401">
        <f>IF($AJ2401=1,IFERROR(IF(VALUE($C2401)&lt;100000000,VALUE($C2401),1000000000),IFERROR(IF(VALUE(MID($C2401,2,20))&lt;100000000,VALUE(MID($C2401,2,20)),1000000000),1000000000))+ROW()/100000,"")</f>
        <v/>
      </c>
    </row>
    <row r="2402">
      <c r="E2402" s="11" t="n"/>
      <c r="M2402" s="7">
        <f>IF($C2402="","",L2402*U2402/100)</f>
        <v/>
      </c>
      <c r="N2402" s="7" t="n"/>
      <c r="T2402" s="7" t="n"/>
      <c r="U2402" s="7">
        <f>IF($C2402="","",S2402*T2402)</f>
        <v/>
      </c>
      <c r="X2402">
        <f>IF($C2402="","",IF($AM2402=1,0,IF($AL2402=1,Settings!$C$6,Settings!$C$7))*100)</f>
        <v/>
      </c>
      <c r="AB2402" s="7" t="n"/>
      <c r="AE2402" s="11" t="n"/>
      <c r="AG2402" s="7">
        <f>IF($C2402="","",U2402*X2402/100)</f>
        <v/>
      </c>
      <c r="AH2402" s="7">
        <f>IF($C2402="","",U2402-AG2402)</f>
        <v/>
      </c>
      <c r="AI2402" s="7">
        <f>IF($C2402="","",AH2402-M2402)</f>
        <v/>
      </c>
      <c r="AJ2402">
        <f>IF($C2402="","",IF(COUNTIF($C$2:$C2402,$C2402)=1,1,0))</f>
        <v/>
      </c>
      <c r="AK2402">
        <f>IF($AJ2402=1,SUMPRODUCT(--($AN$2:$AN$4001&lt;$AN2402))+1,"")</f>
        <v/>
      </c>
      <c r="AL2402">
        <f>IF($C2402="","",IF(OR($Q2402=TRUE(),$Q2402="TRUE"),1,0))</f>
        <v/>
      </c>
      <c r="AM2402">
        <f>IF($C2402="","",IF($W2402="Yes",1,0))</f>
        <v/>
      </c>
      <c r="AN2402">
        <f>IF($AJ2402=1,IFERROR(IF(VALUE($C2402)&lt;100000000,VALUE($C2402),1000000000),IFERROR(IF(VALUE(MID($C2402,2,20))&lt;100000000,VALUE(MID($C2402,2,20)),1000000000),1000000000))+ROW()/100000,"")</f>
        <v/>
      </c>
    </row>
    <row r="2403">
      <c r="E2403" s="11" t="n"/>
      <c r="M2403" s="7">
        <f>IF($C2403="","",L2403*U2403/100)</f>
        <v/>
      </c>
      <c r="N2403" s="7" t="n"/>
      <c r="T2403" s="7" t="n"/>
      <c r="U2403" s="7">
        <f>IF($C2403="","",S2403*T2403)</f>
        <v/>
      </c>
      <c r="X2403">
        <f>IF($C2403="","",IF($AM2403=1,0,IF($AL2403=1,Settings!$C$6,Settings!$C$7))*100)</f>
        <v/>
      </c>
      <c r="AB2403" s="7" t="n"/>
      <c r="AE2403" s="11" t="n"/>
      <c r="AG2403" s="7">
        <f>IF($C2403="","",U2403*X2403/100)</f>
        <v/>
      </c>
      <c r="AH2403" s="7">
        <f>IF($C2403="","",U2403-AG2403)</f>
        <v/>
      </c>
      <c r="AI2403" s="7">
        <f>IF($C2403="","",AH2403-M2403)</f>
        <v/>
      </c>
      <c r="AJ2403">
        <f>IF($C2403="","",IF(COUNTIF($C$2:$C2403,$C2403)=1,1,0))</f>
        <v/>
      </c>
      <c r="AK2403">
        <f>IF($AJ2403=1,SUMPRODUCT(--($AN$2:$AN$4001&lt;$AN2403))+1,"")</f>
        <v/>
      </c>
      <c r="AL2403">
        <f>IF($C2403="","",IF(OR($Q2403=TRUE(),$Q2403="TRUE"),1,0))</f>
        <v/>
      </c>
      <c r="AM2403">
        <f>IF($C2403="","",IF($W2403="Yes",1,0))</f>
        <v/>
      </c>
      <c r="AN2403">
        <f>IF($AJ2403=1,IFERROR(IF(VALUE($C2403)&lt;100000000,VALUE($C2403),1000000000),IFERROR(IF(VALUE(MID($C2403,2,20))&lt;100000000,VALUE(MID($C2403,2,20)),1000000000),1000000000))+ROW()/100000,"")</f>
        <v/>
      </c>
    </row>
    <row r="2404">
      <c r="E2404" s="11" t="n"/>
      <c r="M2404" s="7">
        <f>IF($C2404="","",L2404*U2404/100)</f>
        <v/>
      </c>
      <c r="N2404" s="7" t="n"/>
      <c r="T2404" s="7" t="n"/>
      <c r="U2404" s="7">
        <f>IF($C2404="","",S2404*T2404)</f>
        <v/>
      </c>
      <c r="X2404">
        <f>IF($C2404="","",IF($AM2404=1,0,IF($AL2404=1,Settings!$C$6,Settings!$C$7))*100)</f>
        <v/>
      </c>
      <c r="AB2404" s="7" t="n"/>
      <c r="AE2404" s="11" t="n"/>
      <c r="AG2404" s="7">
        <f>IF($C2404="","",U2404*X2404/100)</f>
        <v/>
      </c>
      <c r="AH2404" s="7">
        <f>IF($C2404="","",U2404-AG2404)</f>
        <v/>
      </c>
      <c r="AI2404" s="7">
        <f>IF($C2404="","",AH2404-M2404)</f>
        <v/>
      </c>
      <c r="AJ2404">
        <f>IF($C2404="","",IF(COUNTIF($C$2:$C2404,$C2404)=1,1,0))</f>
        <v/>
      </c>
      <c r="AK2404">
        <f>IF($AJ2404=1,SUMPRODUCT(--($AN$2:$AN$4001&lt;$AN2404))+1,"")</f>
        <v/>
      </c>
      <c r="AL2404">
        <f>IF($C2404="","",IF(OR($Q2404=TRUE(),$Q2404="TRUE"),1,0))</f>
        <v/>
      </c>
      <c r="AM2404">
        <f>IF($C2404="","",IF($W2404="Yes",1,0))</f>
        <v/>
      </c>
      <c r="AN2404">
        <f>IF($AJ2404=1,IFERROR(IF(VALUE($C2404)&lt;100000000,VALUE($C2404),1000000000),IFERROR(IF(VALUE(MID($C2404,2,20))&lt;100000000,VALUE(MID($C2404,2,20)),1000000000),1000000000))+ROW()/100000,"")</f>
        <v/>
      </c>
    </row>
    <row r="2405">
      <c r="E2405" s="11" t="n"/>
      <c r="M2405" s="7">
        <f>IF($C2405="","",L2405*U2405/100)</f>
        <v/>
      </c>
      <c r="N2405" s="7" t="n"/>
      <c r="T2405" s="7" t="n"/>
      <c r="U2405" s="7">
        <f>IF($C2405="","",S2405*T2405)</f>
        <v/>
      </c>
      <c r="X2405">
        <f>IF($C2405="","",IF($AM2405=1,0,IF($AL2405=1,Settings!$C$6,Settings!$C$7))*100)</f>
        <v/>
      </c>
      <c r="AB2405" s="7" t="n"/>
      <c r="AE2405" s="11" t="n"/>
      <c r="AG2405" s="7">
        <f>IF($C2405="","",U2405*X2405/100)</f>
        <v/>
      </c>
      <c r="AH2405" s="7">
        <f>IF($C2405="","",U2405-AG2405)</f>
        <v/>
      </c>
      <c r="AI2405" s="7">
        <f>IF($C2405="","",AH2405-M2405)</f>
        <v/>
      </c>
      <c r="AJ2405">
        <f>IF($C2405="","",IF(COUNTIF($C$2:$C2405,$C2405)=1,1,0))</f>
        <v/>
      </c>
      <c r="AK2405">
        <f>IF($AJ2405=1,SUMPRODUCT(--($AN$2:$AN$4001&lt;$AN2405))+1,"")</f>
        <v/>
      </c>
      <c r="AL2405">
        <f>IF($C2405="","",IF(OR($Q2405=TRUE(),$Q2405="TRUE"),1,0))</f>
        <v/>
      </c>
      <c r="AM2405">
        <f>IF($C2405="","",IF($W2405="Yes",1,0))</f>
        <v/>
      </c>
      <c r="AN2405">
        <f>IF($AJ2405=1,IFERROR(IF(VALUE($C2405)&lt;100000000,VALUE($C2405),1000000000),IFERROR(IF(VALUE(MID($C2405,2,20))&lt;100000000,VALUE(MID($C2405,2,20)),1000000000),1000000000))+ROW()/100000,"")</f>
        <v/>
      </c>
    </row>
    <row r="2406">
      <c r="E2406" s="11" t="n"/>
      <c r="M2406" s="7">
        <f>IF($C2406="","",L2406*U2406/100)</f>
        <v/>
      </c>
      <c r="N2406" s="7" t="n"/>
      <c r="T2406" s="7" t="n"/>
      <c r="U2406" s="7">
        <f>IF($C2406="","",S2406*T2406)</f>
        <v/>
      </c>
      <c r="X2406">
        <f>IF($C2406="","",IF($AM2406=1,0,IF($AL2406=1,Settings!$C$6,Settings!$C$7))*100)</f>
        <v/>
      </c>
      <c r="AB2406" s="7" t="n"/>
      <c r="AE2406" s="11" t="n"/>
      <c r="AG2406" s="7">
        <f>IF($C2406="","",U2406*X2406/100)</f>
        <v/>
      </c>
      <c r="AH2406" s="7">
        <f>IF($C2406="","",U2406-AG2406)</f>
        <v/>
      </c>
      <c r="AI2406" s="7">
        <f>IF($C2406="","",AH2406-M2406)</f>
        <v/>
      </c>
      <c r="AJ2406">
        <f>IF($C2406="","",IF(COUNTIF($C$2:$C2406,$C2406)=1,1,0))</f>
        <v/>
      </c>
      <c r="AK2406">
        <f>IF($AJ2406=1,SUMPRODUCT(--($AN$2:$AN$4001&lt;$AN2406))+1,"")</f>
        <v/>
      </c>
      <c r="AL2406">
        <f>IF($C2406="","",IF(OR($Q2406=TRUE(),$Q2406="TRUE"),1,0))</f>
        <v/>
      </c>
      <c r="AM2406">
        <f>IF($C2406="","",IF($W2406="Yes",1,0))</f>
        <v/>
      </c>
      <c r="AN2406">
        <f>IF($AJ2406=1,IFERROR(IF(VALUE($C2406)&lt;100000000,VALUE($C2406),1000000000),IFERROR(IF(VALUE(MID($C2406,2,20))&lt;100000000,VALUE(MID($C2406,2,20)),1000000000),1000000000))+ROW()/100000,"")</f>
        <v/>
      </c>
    </row>
    <row r="2407">
      <c r="E2407" s="11" t="n"/>
      <c r="M2407" s="7">
        <f>IF($C2407="","",L2407*U2407/100)</f>
        <v/>
      </c>
      <c r="N2407" s="7" t="n"/>
      <c r="T2407" s="7" t="n"/>
      <c r="U2407" s="7">
        <f>IF($C2407="","",S2407*T2407)</f>
        <v/>
      </c>
      <c r="X2407">
        <f>IF($C2407="","",IF($AM2407=1,0,IF($AL2407=1,Settings!$C$6,Settings!$C$7))*100)</f>
        <v/>
      </c>
      <c r="AB2407" s="7" t="n"/>
      <c r="AE2407" s="11" t="n"/>
      <c r="AG2407" s="7">
        <f>IF($C2407="","",U2407*X2407/100)</f>
        <v/>
      </c>
      <c r="AH2407" s="7">
        <f>IF($C2407="","",U2407-AG2407)</f>
        <v/>
      </c>
      <c r="AI2407" s="7">
        <f>IF($C2407="","",AH2407-M2407)</f>
        <v/>
      </c>
      <c r="AJ2407">
        <f>IF($C2407="","",IF(COUNTIF($C$2:$C2407,$C2407)=1,1,0))</f>
        <v/>
      </c>
      <c r="AK2407">
        <f>IF($AJ2407=1,SUMPRODUCT(--($AN$2:$AN$4001&lt;$AN2407))+1,"")</f>
        <v/>
      </c>
      <c r="AL2407">
        <f>IF($C2407="","",IF(OR($Q2407=TRUE(),$Q2407="TRUE"),1,0))</f>
        <v/>
      </c>
      <c r="AM2407">
        <f>IF($C2407="","",IF($W2407="Yes",1,0))</f>
        <v/>
      </c>
      <c r="AN2407">
        <f>IF($AJ2407=1,IFERROR(IF(VALUE($C2407)&lt;100000000,VALUE($C2407),1000000000),IFERROR(IF(VALUE(MID($C2407,2,20))&lt;100000000,VALUE(MID($C2407,2,20)),1000000000),1000000000))+ROW()/100000,"")</f>
        <v/>
      </c>
    </row>
    <row r="2408">
      <c r="E2408" s="11" t="n"/>
      <c r="M2408" s="7">
        <f>IF($C2408="","",L2408*U2408/100)</f>
        <v/>
      </c>
      <c r="N2408" s="7" t="n"/>
      <c r="T2408" s="7" t="n"/>
      <c r="U2408" s="7">
        <f>IF($C2408="","",S2408*T2408)</f>
        <v/>
      </c>
      <c r="X2408">
        <f>IF($C2408="","",IF($AM2408=1,0,IF($AL2408=1,Settings!$C$6,Settings!$C$7))*100)</f>
        <v/>
      </c>
      <c r="AB2408" s="7" t="n"/>
      <c r="AE2408" s="11" t="n"/>
      <c r="AG2408" s="7">
        <f>IF($C2408="","",U2408*X2408/100)</f>
        <v/>
      </c>
      <c r="AH2408" s="7">
        <f>IF($C2408="","",U2408-AG2408)</f>
        <v/>
      </c>
      <c r="AI2408" s="7">
        <f>IF($C2408="","",AH2408-M2408)</f>
        <v/>
      </c>
      <c r="AJ2408">
        <f>IF($C2408="","",IF(COUNTIF($C$2:$C2408,$C2408)=1,1,0))</f>
        <v/>
      </c>
      <c r="AK2408">
        <f>IF($AJ2408=1,SUMPRODUCT(--($AN$2:$AN$4001&lt;$AN2408))+1,"")</f>
        <v/>
      </c>
      <c r="AL2408">
        <f>IF($C2408="","",IF(OR($Q2408=TRUE(),$Q2408="TRUE"),1,0))</f>
        <v/>
      </c>
      <c r="AM2408">
        <f>IF($C2408="","",IF($W2408="Yes",1,0))</f>
        <v/>
      </c>
      <c r="AN2408">
        <f>IF($AJ2408=1,IFERROR(IF(VALUE($C2408)&lt;100000000,VALUE($C2408),1000000000),IFERROR(IF(VALUE(MID($C2408,2,20))&lt;100000000,VALUE(MID($C2408,2,20)),1000000000),1000000000))+ROW()/100000,"")</f>
        <v/>
      </c>
    </row>
    <row r="2409">
      <c r="E2409" s="11" t="n"/>
      <c r="M2409" s="7">
        <f>IF($C2409="","",L2409*U2409/100)</f>
        <v/>
      </c>
      <c r="N2409" s="7" t="n"/>
      <c r="T2409" s="7" t="n"/>
      <c r="U2409" s="7">
        <f>IF($C2409="","",S2409*T2409)</f>
        <v/>
      </c>
      <c r="X2409">
        <f>IF($C2409="","",IF($AM2409=1,0,IF($AL2409=1,Settings!$C$6,Settings!$C$7))*100)</f>
        <v/>
      </c>
      <c r="AB2409" s="7" t="n"/>
      <c r="AE2409" s="11" t="n"/>
      <c r="AG2409" s="7">
        <f>IF($C2409="","",U2409*X2409/100)</f>
        <v/>
      </c>
      <c r="AH2409" s="7">
        <f>IF($C2409="","",U2409-AG2409)</f>
        <v/>
      </c>
      <c r="AI2409" s="7">
        <f>IF($C2409="","",AH2409-M2409)</f>
        <v/>
      </c>
      <c r="AJ2409">
        <f>IF($C2409="","",IF(COUNTIF($C$2:$C2409,$C2409)=1,1,0))</f>
        <v/>
      </c>
      <c r="AK2409">
        <f>IF($AJ2409=1,SUMPRODUCT(--($AN$2:$AN$4001&lt;$AN2409))+1,"")</f>
        <v/>
      </c>
      <c r="AL2409">
        <f>IF($C2409="","",IF(OR($Q2409=TRUE(),$Q2409="TRUE"),1,0))</f>
        <v/>
      </c>
      <c r="AM2409">
        <f>IF($C2409="","",IF($W2409="Yes",1,0))</f>
        <v/>
      </c>
      <c r="AN2409">
        <f>IF($AJ2409=1,IFERROR(IF(VALUE($C2409)&lt;100000000,VALUE($C2409),1000000000),IFERROR(IF(VALUE(MID($C2409,2,20))&lt;100000000,VALUE(MID($C2409,2,20)),1000000000),1000000000))+ROW()/100000,"")</f>
        <v/>
      </c>
    </row>
    <row r="2410">
      <c r="E2410" s="11" t="n"/>
      <c r="M2410" s="7">
        <f>IF($C2410="","",L2410*U2410/100)</f>
        <v/>
      </c>
      <c r="N2410" s="7" t="n"/>
      <c r="T2410" s="7" t="n"/>
      <c r="U2410" s="7">
        <f>IF($C2410="","",S2410*T2410)</f>
        <v/>
      </c>
      <c r="X2410">
        <f>IF($C2410="","",IF($AM2410=1,0,IF($AL2410=1,Settings!$C$6,Settings!$C$7))*100)</f>
        <v/>
      </c>
      <c r="AB2410" s="7" t="n"/>
      <c r="AE2410" s="11" t="n"/>
      <c r="AG2410" s="7">
        <f>IF($C2410="","",U2410*X2410/100)</f>
        <v/>
      </c>
      <c r="AH2410" s="7">
        <f>IF($C2410="","",U2410-AG2410)</f>
        <v/>
      </c>
      <c r="AI2410" s="7">
        <f>IF($C2410="","",AH2410-M2410)</f>
        <v/>
      </c>
      <c r="AJ2410">
        <f>IF($C2410="","",IF(COUNTIF($C$2:$C2410,$C2410)=1,1,0))</f>
        <v/>
      </c>
      <c r="AK2410">
        <f>IF($AJ2410=1,SUMPRODUCT(--($AN$2:$AN$4001&lt;$AN2410))+1,"")</f>
        <v/>
      </c>
      <c r="AL2410">
        <f>IF($C2410="","",IF(OR($Q2410=TRUE(),$Q2410="TRUE"),1,0))</f>
        <v/>
      </c>
      <c r="AM2410">
        <f>IF($C2410="","",IF($W2410="Yes",1,0))</f>
        <v/>
      </c>
      <c r="AN2410">
        <f>IF($AJ2410=1,IFERROR(IF(VALUE($C2410)&lt;100000000,VALUE($C2410),1000000000),IFERROR(IF(VALUE(MID($C2410,2,20))&lt;100000000,VALUE(MID($C2410,2,20)),1000000000),1000000000))+ROW()/100000,"")</f>
        <v/>
      </c>
    </row>
    <row r="2411">
      <c r="E2411" s="11" t="n"/>
      <c r="M2411" s="7">
        <f>IF($C2411="","",L2411*U2411/100)</f>
        <v/>
      </c>
      <c r="N2411" s="7" t="n"/>
      <c r="T2411" s="7" t="n"/>
      <c r="U2411" s="7">
        <f>IF($C2411="","",S2411*T2411)</f>
        <v/>
      </c>
      <c r="X2411">
        <f>IF($C2411="","",IF($AM2411=1,0,IF($AL2411=1,Settings!$C$6,Settings!$C$7))*100)</f>
        <v/>
      </c>
      <c r="AB2411" s="7" t="n"/>
      <c r="AE2411" s="11" t="n"/>
      <c r="AG2411" s="7">
        <f>IF($C2411="","",U2411*X2411/100)</f>
        <v/>
      </c>
      <c r="AH2411" s="7">
        <f>IF($C2411="","",U2411-AG2411)</f>
        <v/>
      </c>
      <c r="AI2411" s="7">
        <f>IF($C2411="","",AH2411-M2411)</f>
        <v/>
      </c>
      <c r="AJ2411">
        <f>IF($C2411="","",IF(COUNTIF($C$2:$C2411,$C2411)=1,1,0))</f>
        <v/>
      </c>
      <c r="AK2411">
        <f>IF($AJ2411=1,SUMPRODUCT(--($AN$2:$AN$4001&lt;$AN2411))+1,"")</f>
        <v/>
      </c>
      <c r="AL2411">
        <f>IF($C2411="","",IF(OR($Q2411=TRUE(),$Q2411="TRUE"),1,0))</f>
        <v/>
      </c>
      <c r="AM2411">
        <f>IF($C2411="","",IF($W2411="Yes",1,0))</f>
        <v/>
      </c>
      <c r="AN2411">
        <f>IF($AJ2411=1,IFERROR(IF(VALUE($C2411)&lt;100000000,VALUE($C2411),1000000000),IFERROR(IF(VALUE(MID($C2411,2,20))&lt;100000000,VALUE(MID($C2411,2,20)),1000000000),1000000000))+ROW()/100000,"")</f>
        <v/>
      </c>
    </row>
    <row r="2412">
      <c r="E2412" s="11" t="n"/>
      <c r="M2412" s="7">
        <f>IF($C2412="","",L2412*U2412/100)</f>
        <v/>
      </c>
      <c r="N2412" s="7" t="n"/>
      <c r="T2412" s="7" t="n"/>
      <c r="U2412" s="7">
        <f>IF($C2412="","",S2412*T2412)</f>
        <v/>
      </c>
      <c r="X2412">
        <f>IF($C2412="","",IF($AM2412=1,0,IF($AL2412=1,Settings!$C$6,Settings!$C$7))*100)</f>
        <v/>
      </c>
      <c r="AB2412" s="7" t="n"/>
      <c r="AE2412" s="11" t="n"/>
      <c r="AG2412" s="7">
        <f>IF($C2412="","",U2412*X2412/100)</f>
        <v/>
      </c>
      <c r="AH2412" s="7">
        <f>IF($C2412="","",U2412-AG2412)</f>
        <v/>
      </c>
      <c r="AI2412" s="7">
        <f>IF($C2412="","",AH2412-M2412)</f>
        <v/>
      </c>
      <c r="AJ2412">
        <f>IF($C2412="","",IF(COUNTIF($C$2:$C2412,$C2412)=1,1,0))</f>
        <v/>
      </c>
      <c r="AK2412">
        <f>IF($AJ2412=1,SUMPRODUCT(--($AN$2:$AN$4001&lt;$AN2412))+1,"")</f>
        <v/>
      </c>
      <c r="AL2412">
        <f>IF($C2412="","",IF(OR($Q2412=TRUE(),$Q2412="TRUE"),1,0))</f>
        <v/>
      </c>
      <c r="AM2412">
        <f>IF($C2412="","",IF($W2412="Yes",1,0))</f>
        <v/>
      </c>
      <c r="AN2412">
        <f>IF($AJ2412=1,IFERROR(IF(VALUE($C2412)&lt;100000000,VALUE($C2412),1000000000),IFERROR(IF(VALUE(MID($C2412,2,20))&lt;100000000,VALUE(MID($C2412,2,20)),1000000000),1000000000))+ROW()/100000,"")</f>
        <v/>
      </c>
    </row>
    <row r="2413">
      <c r="E2413" s="11" t="n"/>
      <c r="M2413" s="7">
        <f>IF($C2413="","",L2413*U2413/100)</f>
        <v/>
      </c>
      <c r="N2413" s="7" t="n"/>
      <c r="T2413" s="7" t="n"/>
      <c r="U2413" s="7">
        <f>IF($C2413="","",S2413*T2413)</f>
        <v/>
      </c>
      <c r="X2413">
        <f>IF($C2413="","",IF($AM2413=1,0,IF($AL2413=1,Settings!$C$6,Settings!$C$7))*100)</f>
        <v/>
      </c>
      <c r="AB2413" s="7" t="n"/>
      <c r="AE2413" s="11" t="n"/>
      <c r="AG2413" s="7">
        <f>IF($C2413="","",U2413*X2413/100)</f>
        <v/>
      </c>
      <c r="AH2413" s="7">
        <f>IF($C2413="","",U2413-AG2413)</f>
        <v/>
      </c>
      <c r="AI2413" s="7">
        <f>IF($C2413="","",AH2413-M2413)</f>
        <v/>
      </c>
      <c r="AJ2413">
        <f>IF($C2413="","",IF(COUNTIF($C$2:$C2413,$C2413)=1,1,0))</f>
        <v/>
      </c>
      <c r="AK2413">
        <f>IF($AJ2413=1,SUMPRODUCT(--($AN$2:$AN$4001&lt;$AN2413))+1,"")</f>
        <v/>
      </c>
      <c r="AL2413">
        <f>IF($C2413="","",IF(OR($Q2413=TRUE(),$Q2413="TRUE"),1,0))</f>
        <v/>
      </c>
      <c r="AM2413">
        <f>IF($C2413="","",IF($W2413="Yes",1,0))</f>
        <v/>
      </c>
      <c r="AN2413">
        <f>IF($AJ2413=1,IFERROR(IF(VALUE($C2413)&lt;100000000,VALUE($C2413),1000000000),IFERROR(IF(VALUE(MID($C2413,2,20))&lt;100000000,VALUE(MID($C2413,2,20)),1000000000),1000000000))+ROW()/100000,"")</f>
        <v/>
      </c>
    </row>
    <row r="2414">
      <c r="E2414" s="11" t="n"/>
      <c r="M2414" s="7">
        <f>IF($C2414="","",L2414*U2414/100)</f>
        <v/>
      </c>
      <c r="N2414" s="7" t="n"/>
      <c r="T2414" s="7" t="n"/>
      <c r="U2414" s="7">
        <f>IF($C2414="","",S2414*T2414)</f>
        <v/>
      </c>
      <c r="X2414">
        <f>IF($C2414="","",IF($AM2414=1,0,IF($AL2414=1,Settings!$C$6,Settings!$C$7))*100)</f>
        <v/>
      </c>
      <c r="AB2414" s="7" t="n"/>
      <c r="AE2414" s="11" t="n"/>
      <c r="AG2414" s="7">
        <f>IF($C2414="","",U2414*X2414/100)</f>
        <v/>
      </c>
      <c r="AH2414" s="7">
        <f>IF($C2414="","",U2414-AG2414)</f>
        <v/>
      </c>
      <c r="AI2414" s="7">
        <f>IF($C2414="","",AH2414-M2414)</f>
        <v/>
      </c>
      <c r="AJ2414">
        <f>IF($C2414="","",IF(COUNTIF($C$2:$C2414,$C2414)=1,1,0))</f>
        <v/>
      </c>
      <c r="AK2414">
        <f>IF($AJ2414=1,SUMPRODUCT(--($AN$2:$AN$4001&lt;$AN2414))+1,"")</f>
        <v/>
      </c>
      <c r="AL2414">
        <f>IF($C2414="","",IF(OR($Q2414=TRUE(),$Q2414="TRUE"),1,0))</f>
        <v/>
      </c>
      <c r="AM2414">
        <f>IF($C2414="","",IF($W2414="Yes",1,0))</f>
        <v/>
      </c>
      <c r="AN2414">
        <f>IF($AJ2414=1,IFERROR(IF(VALUE($C2414)&lt;100000000,VALUE($C2414),1000000000),IFERROR(IF(VALUE(MID($C2414,2,20))&lt;100000000,VALUE(MID($C2414,2,20)),1000000000),1000000000))+ROW()/100000,"")</f>
        <v/>
      </c>
    </row>
    <row r="2415">
      <c r="E2415" s="11" t="n"/>
      <c r="M2415" s="7">
        <f>IF($C2415="","",L2415*U2415/100)</f>
        <v/>
      </c>
      <c r="N2415" s="7" t="n"/>
      <c r="T2415" s="7" t="n"/>
      <c r="U2415" s="7">
        <f>IF($C2415="","",S2415*T2415)</f>
        <v/>
      </c>
      <c r="X2415">
        <f>IF($C2415="","",IF($AM2415=1,0,IF($AL2415=1,Settings!$C$6,Settings!$C$7))*100)</f>
        <v/>
      </c>
      <c r="AB2415" s="7" t="n"/>
      <c r="AE2415" s="11" t="n"/>
      <c r="AG2415" s="7">
        <f>IF($C2415="","",U2415*X2415/100)</f>
        <v/>
      </c>
      <c r="AH2415" s="7">
        <f>IF($C2415="","",U2415-AG2415)</f>
        <v/>
      </c>
      <c r="AI2415" s="7">
        <f>IF($C2415="","",AH2415-M2415)</f>
        <v/>
      </c>
      <c r="AJ2415">
        <f>IF($C2415="","",IF(COUNTIF($C$2:$C2415,$C2415)=1,1,0))</f>
        <v/>
      </c>
      <c r="AK2415">
        <f>IF($AJ2415=1,SUMPRODUCT(--($AN$2:$AN$4001&lt;$AN2415))+1,"")</f>
        <v/>
      </c>
      <c r="AL2415">
        <f>IF($C2415="","",IF(OR($Q2415=TRUE(),$Q2415="TRUE"),1,0))</f>
        <v/>
      </c>
      <c r="AM2415">
        <f>IF($C2415="","",IF($W2415="Yes",1,0))</f>
        <v/>
      </c>
      <c r="AN2415">
        <f>IF($AJ2415=1,IFERROR(IF(VALUE($C2415)&lt;100000000,VALUE($C2415),1000000000),IFERROR(IF(VALUE(MID($C2415,2,20))&lt;100000000,VALUE(MID($C2415,2,20)),1000000000),1000000000))+ROW()/100000,"")</f>
        <v/>
      </c>
    </row>
    <row r="2416">
      <c r="E2416" s="11" t="n"/>
      <c r="M2416" s="7">
        <f>IF($C2416="","",L2416*U2416/100)</f>
        <v/>
      </c>
      <c r="N2416" s="7" t="n"/>
      <c r="T2416" s="7" t="n"/>
      <c r="U2416" s="7">
        <f>IF($C2416="","",S2416*T2416)</f>
        <v/>
      </c>
      <c r="X2416">
        <f>IF($C2416="","",IF($AM2416=1,0,IF($AL2416=1,Settings!$C$6,Settings!$C$7))*100)</f>
        <v/>
      </c>
      <c r="AB2416" s="7" t="n"/>
      <c r="AE2416" s="11" t="n"/>
      <c r="AG2416" s="7">
        <f>IF($C2416="","",U2416*X2416/100)</f>
        <v/>
      </c>
      <c r="AH2416" s="7">
        <f>IF($C2416="","",U2416-AG2416)</f>
        <v/>
      </c>
      <c r="AI2416" s="7">
        <f>IF($C2416="","",AH2416-M2416)</f>
        <v/>
      </c>
      <c r="AJ2416">
        <f>IF($C2416="","",IF(COUNTIF($C$2:$C2416,$C2416)=1,1,0))</f>
        <v/>
      </c>
      <c r="AK2416">
        <f>IF($AJ2416=1,SUMPRODUCT(--($AN$2:$AN$4001&lt;$AN2416))+1,"")</f>
        <v/>
      </c>
      <c r="AL2416">
        <f>IF($C2416="","",IF(OR($Q2416=TRUE(),$Q2416="TRUE"),1,0))</f>
        <v/>
      </c>
      <c r="AM2416">
        <f>IF($C2416="","",IF($W2416="Yes",1,0))</f>
        <v/>
      </c>
      <c r="AN2416">
        <f>IF($AJ2416=1,IFERROR(IF(VALUE($C2416)&lt;100000000,VALUE($C2416),1000000000),IFERROR(IF(VALUE(MID($C2416,2,20))&lt;100000000,VALUE(MID($C2416,2,20)),1000000000),1000000000))+ROW()/100000,"")</f>
        <v/>
      </c>
    </row>
    <row r="2417">
      <c r="E2417" s="11" t="n"/>
      <c r="M2417" s="7">
        <f>IF($C2417="","",L2417*U2417/100)</f>
        <v/>
      </c>
      <c r="N2417" s="7" t="n"/>
      <c r="T2417" s="7" t="n"/>
      <c r="U2417" s="7">
        <f>IF($C2417="","",S2417*T2417)</f>
        <v/>
      </c>
      <c r="X2417">
        <f>IF($C2417="","",IF($AM2417=1,0,IF($AL2417=1,Settings!$C$6,Settings!$C$7))*100)</f>
        <v/>
      </c>
      <c r="AB2417" s="7" t="n"/>
      <c r="AE2417" s="11" t="n"/>
      <c r="AG2417" s="7">
        <f>IF($C2417="","",U2417*X2417/100)</f>
        <v/>
      </c>
      <c r="AH2417" s="7">
        <f>IF($C2417="","",U2417-AG2417)</f>
        <v/>
      </c>
      <c r="AI2417" s="7">
        <f>IF($C2417="","",AH2417-M2417)</f>
        <v/>
      </c>
      <c r="AJ2417">
        <f>IF($C2417="","",IF(COUNTIF($C$2:$C2417,$C2417)=1,1,0))</f>
        <v/>
      </c>
      <c r="AK2417">
        <f>IF($AJ2417=1,SUMPRODUCT(--($AN$2:$AN$4001&lt;$AN2417))+1,"")</f>
        <v/>
      </c>
      <c r="AL2417">
        <f>IF($C2417="","",IF(OR($Q2417=TRUE(),$Q2417="TRUE"),1,0))</f>
        <v/>
      </c>
      <c r="AM2417">
        <f>IF($C2417="","",IF($W2417="Yes",1,0))</f>
        <v/>
      </c>
      <c r="AN2417">
        <f>IF($AJ2417=1,IFERROR(IF(VALUE($C2417)&lt;100000000,VALUE($C2417),1000000000),IFERROR(IF(VALUE(MID($C2417,2,20))&lt;100000000,VALUE(MID($C2417,2,20)),1000000000),1000000000))+ROW()/100000,"")</f>
        <v/>
      </c>
    </row>
    <row r="2418">
      <c r="E2418" s="11" t="n"/>
      <c r="M2418" s="7">
        <f>IF($C2418="","",L2418*U2418/100)</f>
        <v/>
      </c>
      <c r="N2418" s="7" t="n"/>
      <c r="T2418" s="7" t="n"/>
      <c r="U2418" s="7">
        <f>IF($C2418="","",S2418*T2418)</f>
        <v/>
      </c>
      <c r="X2418">
        <f>IF($C2418="","",IF($AM2418=1,0,IF($AL2418=1,Settings!$C$6,Settings!$C$7))*100)</f>
        <v/>
      </c>
      <c r="AB2418" s="7" t="n"/>
      <c r="AE2418" s="11" t="n"/>
      <c r="AG2418" s="7">
        <f>IF($C2418="","",U2418*X2418/100)</f>
        <v/>
      </c>
      <c r="AH2418" s="7">
        <f>IF($C2418="","",U2418-AG2418)</f>
        <v/>
      </c>
      <c r="AI2418" s="7">
        <f>IF($C2418="","",AH2418-M2418)</f>
        <v/>
      </c>
      <c r="AJ2418">
        <f>IF($C2418="","",IF(COUNTIF($C$2:$C2418,$C2418)=1,1,0))</f>
        <v/>
      </c>
      <c r="AK2418">
        <f>IF($AJ2418=1,SUMPRODUCT(--($AN$2:$AN$4001&lt;$AN2418))+1,"")</f>
        <v/>
      </c>
      <c r="AL2418">
        <f>IF($C2418="","",IF(OR($Q2418=TRUE(),$Q2418="TRUE"),1,0))</f>
        <v/>
      </c>
      <c r="AM2418">
        <f>IF($C2418="","",IF($W2418="Yes",1,0))</f>
        <v/>
      </c>
      <c r="AN2418">
        <f>IF($AJ2418=1,IFERROR(IF(VALUE($C2418)&lt;100000000,VALUE($C2418),1000000000),IFERROR(IF(VALUE(MID($C2418,2,20))&lt;100000000,VALUE(MID($C2418,2,20)),1000000000),1000000000))+ROW()/100000,"")</f>
        <v/>
      </c>
    </row>
    <row r="2419">
      <c r="E2419" s="11" t="n"/>
      <c r="M2419" s="7">
        <f>IF($C2419="","",L2419*U2419/100)</f>
        <v/>
      </c>
      <c r="N2419" s="7" t="n"/>
      <c r="T2419" s="7" t="n"/>
      <c r="U2419" s="7">
        <f>IF($C2419="","",S2419*T2419)</f>
        <v/>
      </c>
      <c r="X2419">
        <f>IF($C2419="","",IF($AM2419=1,0,IF($AL2419=1,Settings!$C$6,Settings!$C$7))*100)</f>
        <v/>
      </c>
      <c r="AB2419" s="7" t="n"/>
      <c r="AE2419" s="11" t="n"/>
      <c r="AG2419" s="7">
        <f>IF($C2419="","",U2419*X2419/100)</f>
        <v/>
      </c>
      <c r="AH2419" s="7">
        <f>IF($C2419="","",U2419-AG2419)</f>
        <v/>
      </c>
      <c r="AI2419" s="7">
        <f>IF($C2419="","",AH2419-M2419)</f>
        <v/>
      </c>
      <c r="AJ2419">
        <f>IF($C2419="","",IF(COUNTIF($C$2:$C2419,$C2419)=1,1,0))</f>
        <v/>
      </c>
      <c r="AK2419">
        <f>IF($AJ2419=1,SUMPRODUCT(--($AN$2:$AN$4001&lt;$AN2419))+1,"")</f>
        <v/>
      </c>
      <c r="AL2419">
        <f>IF($C2419="","",IF(OR($Q2419=TRUE(),$Q2419="TRUE"),1,0))</f>
        <v/>
      </c>
      <c r="AM2419">
        <f>IF($C2419="","",IF($W2419="Yes",1,0))</f>
        <v/>
      </c>
      <c r="AN2419">
        <f>IF($AJ2419=1,IFERROR(IF(VALUE($C2419)&lt;100000000,VALUE($C2419),1000000000),IFERROR(IF(VALUE(MID($C2419,2,20))&lt;100000000,VALUE(MID($C2419,2,20)),1000000000),1000000000))+ROW()/100000,"")</f>
        <v/>
      </c>
    </row>
    <row r="2420">
      <c r="E2420" s="11" t="n"/>
      <c r="M2420" s="7">
        <f>IF($C2420="","",L2420*U2420/100)</f>
        <v/>
      </c>
      <c r="N2420" s="7" t="n"/>
      <c r="T2420" s="7" t="n"/>
      <c r="U2420" s="7">
        <f>IF($C2420="","",S2420*T2420)</f>
        <v/>
      </c>
      <c r="X2420">
        <f>IF($C2420="","",IF($AM2420=1,0,IF($AL2420=1,Settings!$C$6,Settings!$C$7))*100)</f>
        <v/>
      </c>
      <c r="AB2420" s="7" t="n"/>
      <c r="AE2420" s="11" t="n"/>
      <c r="AG2420" s="7">
        <f>IF($C2420="","",U2420*X2420/100)</f>
        <v/>
      </c>
      <c r="AH2420" s="7">
        <f>IF($C2420="","",U2420-AG2420)</f>
        <v/>
      </c>
      <c r="AI2420" s="7">
        <f>IF($C2420="","",AH2420-M2420)</f>
        <v/>
      </c>
      <c r="AJ2420">
        <f>IF($C2420="","",IF(COUNTIF($C$2:$C2420,$C2420)=1,1,0))</f>
        <v/>
      </c>
      <c r="AK2420">
        <f>IF($AJ2420=1,SUMPRODUCT(--($AN$2:$AN$4001&lt;$AN2420))+1,"")</f>
        <v/>
      </c>
      <c r="AL2420">
        <f>IF($C2420="","",IF(OR($Q2420=TRUE(),$Q2420="TRUE"),1,0))</f>
        <v/>
      </c>
      <c r="AM2420">
        <f>IF($C2420="","",IF($W2420="Yes",1,0))</f>
        <v/>
      </c>
      <c r="AN2420">
        <f>IF($AJ2420=1,IFERROR(IF(VALUE($C2420)&lt;100000000,VALUE($C2420),1000000000),IFERROR(IF(VALUE(MID($C2420,2,20))&lt;100000000,VALUE(MID($C2420,2,20)),1000000000),1000000000))+ROW()/100000,"")</f>
        <v/>
      </c>
    </row>
    <row r="2421">
      <c r="E2421" s="11" t="n"/>
      <c r="M2421" s="7">
        <f>IF($C2421="","",L2421*U2421/100)</f>
        <v/>
      </c>
      <c r="N2421" s="7" t="n"/>
      <c r="T2421" s="7" t="n"/>
      <c r="U2421" s="7">
        <f>IF($C2421="","",S2421*T2421)</f>
        <v/>
      </c>
      <c r="X2421">
        <f>IF($C2421="","",IF($AM2421=1,0,IF($AL2421=1,Settings!$C$6,Settings!$C$7))*100)</f>
        <v/>
      </c>
      <c r="AB2421" s="7" t="n"/>
      <c r="AE2421" s="11" t="n"/>
      <c r="AG2421" s="7">
        <f>IF($C2421="","",U2421*X2421/100)</f>
        <v/>
      </c>
      <c r="AH2421" s="7">
        <f>IF($C2421="","",U2421-AG2421)</f>
        <v/>
      </c>
      <c r="AI2421" s="7">
        <f>IF($C2421="","",AH2421-M2421)</f>
        <v/>
      </c>
      <c r="AJ2421">
        <f>IF($C2421="","",IF(COUNTIF($C$2:$C2421,$C2421)=1,1,0))</f>
        <v/>
      </c>
      <c r="AK2421">
        <f>IF($AJ2421=1,SUMPRODUCT(--($AN$2:$AN$4001&lt;$AN2421))+1,"")</f>
        <v/>
      </c>
      <c r="AL2421">
        <f>IF($C2421="","",IF(OR($Q2421=TRUE(),$Q2421="TRUE"),1,0))</f>
        <v/>
      </c>
      <c r="AM2421">
        <f>IF($C2421="","",IF($W2421="Yes",1,0))</f>
        <v/>
      </c>
      <c r="AN2421">
        <f>IF($AJ2421=1,IFERROR(IF(VALUE($C2421)&lt;100000000,VALUE($C2421),1000000000),IFERROR(IF(VALUE(MID($C2421,2,20))&lt;100000000,VALUE(MID($C2421,2,20)),1000000000),1000000000))+ROW()/100000,"")</f>
        <v/>
      </c>
    </row>
    <row r="2422">
      <c r="E2422" s="11" t="n"/>
      <c r="M2422" s="7">
        <f>IF($C2422="","",L2422*U2422/100)</f>
        <v/>
      </c>
      <c r="N2422" s="7" t="n"/>
      <c r="T2422" s="7" t="n"/>
      <c r="U2422" s="7">
        <f>IF($C2422="","",S2422*T2422)</f>
        <v/>
      </c>
      <c r="X2422">
        <f>IF($C2422="","",IF($AM2422=1,0,IF($AL2422=1,Settings!$C$6,Settings!$C$7))*100)</f>
        <v/>
      </c>
      <c r="AB2422" s="7" t="n"/>
      <c r="AE2422" s="11" t="n"/>
      <c r="AG2422" s="7">
        <f>IF($C2422="","",U2422*X2422/100)</f>
        <v/>
      </c>
      <c r="AH2422" s="7">
        <f>IF($C2422="","",U2422-AG2422)</f>
        <v/>
      </c>
      <c r="AI2422" s="7">
        <f>IF($C2422="","",AH2422-M2422)</f>
        <v/>
      </c>
      <c r="AJ2422">
        <f>IF($C2422="","",IF(COUNTIF($C$2:$C2422,$C2422)=1,1,0))</f>
        <v/>
      </c>
      <c r="AK2422">
        <f>IF($AJ2422=1,SUMPRODUCT(--($AN$2:$AN$4001&lt;$AN2422))+1,"")</f>
        <v/>
      </c>
      <c r="AL2422">
        <f>IF($C2422="","",IF(OR($Q2422=TRUE(),$Q2422="TRUE"),1,0))</f>
        <v/>
      </c>
      <c r="AM2422">
        <f>IF($C2422="","",IF($W2422="Yes",1,0))</f>
        <v/>
      </c>
      <c r="AN2422">
        <f>IF($AJ2422=1,IFERROR(IF(VALUE($C2422)&lt;100000000,VALUE($C2422),1000000000),IFERROR(IF(VALUE(MID($C2422,2,20))&lt;100000000,VALUE(MID($C2422,2,20)),1000000000),1000000000))+ROW()/100000,"")</f>
        <v/>
      </c>
    </row>
    <row r="2423">
      <c r="E2423" s="11" t="n"/>
      <c r="M2423" s="7">
        <f>IF($C2423="","",L2423*U2423/100)</f>
        <v/>
      </c>
      <c r="N2423" s="7" t="n"/>
      <c r="T2423" s="7" t="n"/>
      <c r="U2423" s="7">
        <f>IF($C2423="","",S2423*T2423)</f>
        <v/>
      </c>
      <c r="X2423">
        <f>IF($C2423="","",IF($AM2423=1,0,IF($AL2423=1,Settings!$C$6,Settings!$C$7))*100)</f>
        <v/>
      </c>
      <c r="AB2423" s="7" t="n"/>
      <c r="AE2423" s="11" t="n"/>
      <c r="AG2423" s="7">
        <f>IF($C2423="","",U2423*X2423/100)</f>
        <v/>
      </c>
      <c r="AH2423" s="7">
        <f>IF($C2423="","",U2423-AG2423)</f>
        <v/>
      </c>
      <c r="AI2423" s="7">
        <f>IF($C2423="","",AH2423-M2423)</f>
        <v/>
      </c>
      <c r="AJ2423">
        <f>IF($C2423="","",IF(COUNTIF($C$2:$C2423,$C2423)=1,1,0))</f>
        <v/>
      </c>
      <c r="AK2423">
        <f>IF($AJ2423=1,SUMPRODUCT(--($AN$2:$AN$4001&lt;$AN2423))+1,"")</f>
        <v/>
      </c>
      <c r="AL2423">
        <f>IF($C2423="","",IF(OR($Q2423=TRUE(),$Q2423="TRUE"),1,0))</f>
        <v/>
      </c>
      <c r="AM2423">
        <f>IF($C2423="","",IF($W2423="Yes",1,0))</f>
        <v/>
      </c>
      <c r="AN2423">
        <f>IF($AJ2423=1,IFERROR(IF(VALUE($C2423)&lt;100000000,VALUE($C2423),1000000000),IFERROR(IF(VALUE(MID($C2423,2,20))&lt;100000000,VALUE(MID($C2423,2,20)),1000000000),1000000000))+ROW()/100000,"")</f>
        <v/>
      </c>
    </row>
    <row r="2424">
      <c r="E2424" s="11" t="n"/>
      <c r="M2424" s="7">
        <f>IF($C2424="","",L2424*U2424/100)</f>
        <v/>
      </c>
      <c r="N2424" s="7" t="n"/>
      <c r="T2424" s="7" t="n"/>
      <c r="U2424" s="7">
        <f>IF($C2424="","",S2424*T2424)</f>
        <v/>
      </c>
      <c r="X2424">
        <f>IF($C2424="","",IF($AM2424=1,0,IF($AL2424=1,Settings!$C$6,Settings!$C$7))*100)</f>
        <v/>
      </c>
      <c r="AB2424" s="7" t="n"/>
      <c r="AE2424" s="11" t="n"/>
      <c r="AG2424" s="7">
        <f>IF($C2424="","",U2424*X2424/100)</f>
        <v/>
      </c>
      <c r="AH2424" s="7">
        <f>IF($C2424="","",U2424-AG2424)</f>
        <v/>
      </c>
      <c r="AI2424" s="7">
        <f>IF($C2424="","",AH2424-M2424)</f>
        <v/>
      </c>
      <c r="AJ2424">
        <f>IF($C2424="","",IF(COUNTIF($C$2:$C2424,$C2424)=1,1,0))</f>
        <v/>
      </c>
      <c r="AK2424">
        <f>IF($AJ2424=1,SUMPRODUCT(--($AN$2:$AN$4001&lt;$AN2424))+1,"")</f>
        <v/>
      </c>
      <c r="AL2424">
        <f>IF($C2424="","",IF(OR($Q2424=TRUE(),$Q2424="TRUE"),1,0))</f>
        <v/>
      </c>
      <c r="AM2424">
        <f>IF($C2424="","",IF($W2424="Yes",1,0))</f>
        <v/>
      </c>
      <c r="AN2424">
        <f>IF($AJ2424=1,IFERROR(IF(VALUE($C2424)&lt;100000000,VALUE($C2424),1000000000),IFERROR(IF(VALUE(MID($C2424,2,20))&lt;100000000,VALUE(MID($C2424,2,20)),1000000000),1000000000))+ROW()/100000,"")</f>
        <v/>
      </c>
    </row>
    <row r="2425">
      <c r="E2425" s="11" t="n"/>
      <c r="M2425" s="7">
        <f>IF($C2425="","",L2425*U2425/100)</f>
        <v/>
      </c>
      <c r="N2425" s="7" t="n"/>
      <c r="T2425" s="7" t="n"/>
      <c r="U2425" s="7">
        <f>IF($C2425="","",S2425*T2425)</f>
        <v/>
      </c>
      <c r="X2425">
        <f>IF($C2425="","",IF($AM2425=1,0,IF($AL2425=1,Settings!$C$6,Settings!$C$7))*100)</f>
        <v/>
      </c>
      <c r="AB2425" s="7" t="n"/>
      <c r="AE2425" s="11" t="n"/>
      <c r="AG2425" s="7">
        <f>IF($C2425="","",U2425*X2425/100)</f>
        <v/>
      </c>
      <c r="AH2425" s="7">
        <f>IF($C2425="","",U2425-AG2425)</f>
        <v/>
      </c>
      <c r="AI2425" s="7">
        <f>IF($C2425="","",AH2425-M2425)</f>
        <v/>
      </c>
      <c r="AJ2425">
        <f>IF($C2425="","",IF(COUNTIF($C$2:$C2425,$C2425)=1,1,0))</f>
        <v/>
      </c>
      <c r="AK2425">
        <f>IF($AJ2425=1,SUMPRODUCT(--($AN$2:$AN$4001&lt;$AN2425))+1,"")</f>
        <v/>
      </c>
      <c r="AL2425">
        <f>IF($C2425="","",IF(OR($Q2425=TRUE(),$Q2425="TRUE"),1,0))</f>
        <v/>
      </c>
      <c r="AM2425">
        <f>IF($C2425="","",IF($W2425="Yes",1,0))</f>
        <v/>
      </c>
      <c r="AN2425">
        <f>IF($AJ2425=1,IFERROR(IF(VALUE($C2425)&lt;100000000,VALUE($C2425),1000000000),IFERROR(IF(VALUE(MID($C2425,2,20))&lt;100000000,VALUE(MID($C2425,2,20)),1000000000),1000000000))+ROW()/100000,"")</f>
        <v/>
      </c>
    </row>
    <row r="2426">
      <c r="E2426" s="11" t="n"/>
      <c r="M2426" s="7">
        <f>IF($C2426="","",L2426*U2426/100)</f>
        <v/>
      </c>
      <c r="N2426" s="7" t="n"/>
      <c r="T2426" s="7" t="n"/>
      <c r="U2426" s="7">
        <f>IF($C2426="","",S2426*T2426)</f>
        <v/>
      </c>
      <c r="X2426">
        <f>IF($C2426="","",IF($AM2426=1,0,IF($AL2426=1,Settings!$C$6,Settings!$C$7))*100)</f>
        <v/>
      </c>
      <c r="AB2426" s="7" t="n"/>
      <c r="AE2426" s="11" t="n"/>
      <c r="AG2426" s="7">
        <f>IF($C2426="","",U2426*X2426/100)</f>
        <v/>
      </c>
      <c r="AH2426" s="7">
        <f>IF($C2426="","",U2426-AG2426)</f>
        <v/>
      </c>
      <c r="AI2426" s="7">
        <f>IF($C2426="","",AH2426-M2426)</f>
        <v/>
      </c>
      <c r="AJ2426">
        <f>IF($C2426="","",IF(COUNTIF($C$2:$C2426,$C2426)=1,1,0))</f>
        <v/>
      </c>
      <c r="AK2426">
        <f>IF($AJ2426=1,SUMPRODUCT(--($AN$2:$AN$4001&lt;$AN2426))+1,"")</f>
        <v/>
      </c>
      <c r="AL2426">
        <f>IF($C2426="","",IF(OR($Q2426=TRUE(),$Q2426="TRUE"),1,0))</f>
        <v/>
      </c>
      <c r="AM2426">
        <f>IF($C2426="","",IF($W2426="Yes",1,0))</f>
        <v/>
      </c>
      <c r="AN2426">
        <f>IF($AJ2426=1,IFERROR(IF(VALUE($C2426)&lt;100000000,VALUE($C2426),1000000000),IFERROR(IF(VALUE(MID($C2426,2,20))&lt;100000000,VALUE(MID($C2426,2,20)),1000000000),1000000000))+ROW()/100000,"")</f>
        <v/>
      </c>
    </row>
    <row r="2427">
      <c r="E2427" s="11" t="n"/>
      <c r="M2427" s="7">
        <f>IF($C2427="","",L2427*U2427/100)</f>
        <v/>
      </c>
      <c r="N2427" s="7" t="n"/>
      <c r="T2427" s="7" t="n"/>
      <c r="U2427" s="7">
        <f>IF($C2427="","",S2427*T2427)</f>
        <v/>
      </c>
      <c r="X2427">
        <f>IF($C2427="","",IF($AM2427=1,0,IF($AL2427=1,Settings!$C$6,Settings!$C$7))*100)</f>
        <v/>
      </c>
      <c r="AB2427" s="7" t="n"/>
      <c r="AE2427" s="11" t="n"/>
      <c r="AG2427" s="7">
        <f>IF($C2427="","",U2427*X2427/100)</f>
        <v/>
      </c>
      <c r="AH2427" s="7">
        <f>IF($C2427="","",U2427-AG2427)</f>
        <v/>
      </c>
      <c r="AI2427" s="7">
        <f>IF($C2427="","",AH2427-M2427)</f>
        <v/>
      </c>
      <c r="AJ2427">
        <f>IF($C2427="","",IF(COUNTIF($C$2:$C2427,$C2427)=1,1,0))</f>
        <v/>
      </c>
      <c r="AK2427">
        <f>IF($AJ2427=1,SUMPRODUCT(--($AN$2:$AN$4001&lt;$AN2427))+1,"")</f>
        <v/>
      </c>
      <c r="AL2427">
        <f>IF($C2427="","",IF(OR($Q2427=TRUE(),$Q2427="TRUE"),1,0))</f>
        <v/>
      </c>
      <c r="AM2427">
        <f>IF($C2427="","",IF($W2427="Yes",1,0))</f>
        <v/>
      </c>
      <c r="AN2427">
        <f>IF($AJ2427=1,IFERROR(IF(VALUE($C2427)&lt;100000000,VALUE($C2427),1000000000),IFERROR(IF(VALUE(MID($C2427,2,20))&lt;100000000,VALUE(MID($C2427,2,20)),1000000000),1000000000))+ROW()/100000,"")</f>
        <v/>
      </c>
    </row>
    <row r="2428">
      <c r="E2428" s="11" t="n"/>
      <c r="M2428" s="7">
        <f>IF($C2428="","",L2428*U2428/100)</f>
        <v/>
      </c>
      <c r="N2428" s="7" t="n"/>
      <c r="T2428" s="7" t="n"/>
      <c r="U2428" s="7">
        <f>IF($C2428="","",S2428*T2428)</f>
        <v/>
      </c>
      <c r="X2428">
        <f>IF($C2428="","",IF($AM2428=1,0,IF($AL2428=1,Settings!$C$6,Settings!$C$7))*100)</f>
        <v/>
      </c>
      <c r="AB2428" s="7" t="n"/>
      <c r="AE2428" s="11" t="n"/>
      <c r="AG2428" s="7">
        <f>IF($C2428="","",U2428*X2428/100)</f>
        <v/>
      </c>
      <c r="AH2428" s="7">
        <f>IF($C2428="","",U2428-AG2428)</f>
        <v/>
      </c>
      <c r="AI2428" s="7">
        <f>IF($C2428="","",AH2428-M2428)</f>
        <v/>
      </c>
      <c r="AJ2428">
        <f>IF($C2428="","",IF(COUNTIF($C$2:$C2428,$C2428)=1,1,0))</f>
        <v/>
      </c>
      <c r="AK2428">
        <f>IF($AJ2428=1,SUMPRODUCT(--($AN$2:$AN$4001&lt;$AN2428))+1,"")</f>
        <v/>
      </c>
      <c r="AL2428">
        <f>IF($C2428="","",IF(OR($Q2428=TRUE(),$Q2428="TRUE"),1,0))</f>
        <v/>
      </c>
      <c r="AM2428">
        <f>IF($C2428="","",IF($W2428="Yes",1,0))</f>
        <v/>
      </c>
      <c r="AN2428">
        <f>IF($AJ2428=1,IFERROR(IF(VALUE($C2428)&lt;100000000,VALUE($C2428),1000000000),IFERROR(IF(VALUE(MID($C2428,2,20))&lt;100000000,VALUE(MID($C2428,2,20)),1000000000),1000000000))+ROW()/100000,"")</f>
        <v/>
      </c>
    </row>
    <row r="2429">
      <c r="E2429" s="11" t="n"/>
      <c r="M2429" s="7">
        <f>IF($C2429="","",L2429*U2429/100)</f>
        <v/>
      </c>
      <c r="N2429" s="7" t="n"/>
      <c r="T2429" s="7" t="n"/>
      <c r="U2429" s="7">
        <f>IF($C2429="","",S2429*T2429)</f>
        <v/>
      </c>
      <c r="X2429">
        <f>IF($C2429="","",IF($AM2429=1,0,IF($AL2429=1,Settings!$C$6,Settings!$C$7))*100)</f>
        <v/>
      </c>
      <c r="AB2429" s="7" t="n"/>
      <c r="AE2429" s="11" t="n"/>
      <c r="AG2429" s="7">
        <f>IF($C2429="","",U2429*X2429/100)</f>
        <v/>
      </c>
      <c r="AH2429" s="7">
        <f>IF($C2429="","",U2429-AG2429)</f>
        <v/>
      </c>
      <c r="AI2429" s="7">
        <f>IF($C2429="","",AH2429-M2429)</f>
        <v/>
      </c>
      <c r="AJ2429">
        <f>IF($C2429="","",IF(COUNTIF($C$2:$C2429,$C2429)=1,1,0))</f>
        <v/>
      </c>
      <c r="AK2429">
        <f>IF($AJ2429=1,SUMPRODUCT(--($AN$2:$AN$4001&lt;$AN2429))+1,"")</f>
        <v/>
      </c>
      <c r="AL2429">
        <f>IF($C2429="","",IF(OR($Q2429=TRUE(),$Q2429="TRUE"),1,0))</f>
        <v/>
      </c>
      <c r="AM2429">
        <f>IF($C2429="","",IF($W2429="Yes",1,0))</f>
        <v/>
      </c>
      <c r="AN2429">
        <f>IF($AJ2429=1,IFERROR(IF(VALUE($C2429)&lt;100000000,VALUE($C2429),1000000000),IFERROR(IF(VALUE(MID($C2429,2,20))&lt;100000000,VALUE(MID($C2429,2,20)),1000000000),1000000000))+ROW()/100000,"")</f>
        <v/>
      </c>
    </row>
    <row r="2430">
      <c r="E2430" s="11" t="n"/>
      <c r="M2430" s="7">
        <f>IF($C2430="","",L2430*U2430/100)</f>
        <v/>
      </c>
      <c r="N2430" s="7" t="n"/>
      <c r="T2430" s="7" t="n"/>
      <c r="U2430" s="7">
        <f>IF($C2430="","",S2430*T2430)</f>
        <v/>
      </c>
      <c r="X2430">
        <f>IF($C2430="","",IF($AM2430=1,0,IF($AL2430=1,Settings!$C$6,Settings!$C$7))*100)</f>
        <v/>
      </c>
      <c r="AB2430" s="7" t="n"/>
      <c r="AE2430" s="11" t="n"/>
      <c r="AG2430" s="7">
        <f>IF($C2430="","",U2430*X2430/100)</f>
        <v/>
      </c>
      <c r="AH2430" s="7">
        <f>IF($C2430="","",U2430-AG2430)</f>
        <v/>
      </c>
      <c r="AI2430" s="7">
        <f>IF($C2430="","",AH2430-M2430)</f>
        <v/>
      </c>
      <c r="AJ2430">
        <f>IF($C2430="","",IF(COUNTIF($C$2:$C2430,$C2430)=1,1,0))</f>
        <v/>
      </c>
      <c r="AK2430">
        <f>IF($AJ2430=1,SUMPRODUCT(--($AN$2:$AN$4001&lt;$AN2430))+1,"")</f>
        <v/>
      </c>
      <c r="AL2430">
        <f>IF($C2430="","",IF(OR($Q2430=TRUE(),$Q2430="TRUE"),1,0))</f>
        <v/>
      </c>
      <c r="AM2430">
        <f>IF($C2430="","",IF($W2430="Yes",1,0))</f>
        <v/>
      </c>
      <c r="AN2430">
        <f>IF($AJ2430=1,IFERROR(IF(VALUE($C2430)&lt;100000000,VALUE($C2430),1000000000),IFERROR(IF(VALUE(MID($C2430,2,20))&lt;100000000,VALUE(MID($C2430,2,20)),1000000000),1000000000))+ROW()/100000,"")</f>
        <v/>
      </c>
    </row>
    <row r="2431">
      <c r="E2431" s="11" t="n"/>
      <c r="M2431" s="7">
        <f>IF($C2431="","",L2431*U2431/100)</f>
        <v/>
      </c>
      <c r="N2431" s="7" t="n"/>
      <c r="T2431" s="7" t="n"/>
      <c r="U2431" s="7">
        <f>IF($C2431="","",S2431*T2431)</f>
        <v/>
      </c>
      <c r="X2431">
        <f>IF($C2431="","",IF($AM2431=1,0,IF($AL2431=1,Settings!$C$6,Settings!$C$7))*100)</f>
        <v/>
      </c>
      <c r="AB2431" s="7" t="n"/>
      <c r="AE2431" s="11" t="n"/>
      <c r="AG2431" s="7">
        <f>IF($C2431="","",U2431*X2431/100)</f>
        <v/>
      </c>
      <c r="AH2431" s="7">
        <f>IF($C2431="","",U2431-AG2431)</f>
        <v/>
      </c>
      <c r="AI2431" s="7">
        <f>IF($C2431="","",AH2431-M2431)</f>
        <v/>
      </c>
      <c r="AJ2431">
        <f>IF($C2431="","",IF(COUNTIF($C$2:$C2431,$C2431)=1,1,0))</f>
        <v/>
      </c>
      <c r="AK2431">
        <f>IF($AJ2431=1,SUMPRODUCT(--($AN$2:$AN$4001&lt;$AN2431))+1,"")</f>
        <v/>
      </c>
      <c r="AL2431">
        <f>IF($C2431="","",IF(OR($Q2431=TRUE(),$Q2431="TRUE"),1,0))</f>
        <v/>
      </c>
      <c r="AM2431">
        <f>IF($C2431="","",IF($W2431="Yes",1,0))</f>
        <v/>
      </c>
      <c r="AN2431">
        <f>IF($AJ2431=1,IFERROR(IF(VALUE($C2431)&lt;100000000,VALUE($C2431),1000000000),IFERROR(IF(VALUE(MID($C2431,2,20))&lt;100000000,VALUE(MID($C2431,2,20)),1000000000),1000000000))+ROW()/100000,"")</f>
        <v/>
      </c>
    </row>
    <row r="2432">
      <c r="E2432" s="11" t="n"/>
      <c r="M2432" s="7">
        <f>IF($C2432="","",L2432*U2432/100)</f>
        <v/>
      </c>
      <c r="N2432" s="7" t="n"/>
      <c r="T2432" s="7" t="n"/>
      <c r="U2432" s="7">
        <f>IF($C2432="","",S2432*T2432)</f>
        <v/>
      </c>
      <c r="X2432">
        <f>IF($C2432="","",IF($AM2432=1,0,IF($AL2432=1,Settings!$C$6,Settings!$C$7))*100)</f>
        <v/>
      </c>
      <c r="AB2432" s="7" t="n"/>
      <c r="AE2432" s="11" t="n"/>
      <c r="AG2432" s="7">
        <f>IF($C2432="","",U2432*X2432/100)</f>
        <v/>
      </c>
      <c r="AH2432" s="7">
        <f>IF($C2432="","",U2432-AG2432)</f>
        <v/>
      </c>
      <c r="AI2432" s="7">
        <f>IF($C2432="","",AH2432-M2432)</f>
        <v/>
      </c>
      <c r="AJ2432">
        <f>IF($C2432="","",IF(COUNTIF($C$2:$C2432,$C2432)=1,1,0))</f>
        <v/>
      </c>
      <c r="AK2432">
        <f>IF($AJ2432=1,SUMPRODUCT(--($AN$2:$AN$4001&lt;$AN2432))+1,"")</f>
        <v/>
      </c>
      <c r="AL2432">
        <f>IF($C2432="","",IF(OR($Q2432=TRUE(),$Q2432="TRUE"),1,0))</f>
        <v/>
      </c>
      <c r="AM2432">
        <f>IF($C2432="","",IF($W2432="Yes",1,0))</f>
        <v/>
      </c>
      <c r="AN2432">
        <f>IF($AJ2432=1,IFERROR(IF(VALUE($C2432)&lt;100000000,VALUE($C2432),1000000000),IFERROR(IF(VALUE(MID($C2432,2,20))&lt;100000000,VALUE(MID($C2432,2,20)),1000000000),1000000000))+ROW()/100000,"")</f>
        <v/>
      </c>
    </row>
    <row r="2433">
      <c r="E2433" s="11" t="n"/>
      <c r="M2433" s="7">
        <f>IF($C2433="","",L2433*U2433/100)</f>
        <v/>
      </c>
      <c r="N2433" s="7" t="n"/>
      <c r="T2433" s="7" t="n"/>
      <c r="U2433" s="7">
        <f>IF($C2433="","",S2433*T2433)</f>
        <v/>
      </c>
      <c r="X2433">
        <f>IF($C2433="","",IF($AM2433=1,0,IF($AL2433=1,Settings!$C$6,Settings!$C$7))*100)</f>
        <v/>
      </c>
      <c r="AB2433" s="7" t="n"/>
      <c r="AE2433" s="11" t="n"/>
      <c r="AG2433" s="7">
        <f>IF($C2433="","",U2433*X2433/100)</f>
        <v/>
      </c>
      <c r="AH2433" s="7">
        <f>IF($C2433="","",U2433-AG2433)</f>
        <v/>
      </c>
      <c r="AI2433" s="7">
        <f>IF($C2433="","",AH2433-M2433)</f>
        <v/>
      </c>
      <c r="AJ2433">
        <f>IF($C2433="","",IF(COUNTIF($C$2:$C2433,$C2433)=1,1,0))</f>
        <v/>
      </c>
      <c r="AK2433">
        <f>IF($AJ2433=1,SUMPRODUCT(--($AN$2:$AN$4001&lt;$AN2433))+1,"")</f>
        <v/>
      </c>
      <c r="AL2433">
        <f>IF($C2433="","",IF(OR($Q2433=TRUE(),$Q2433="TRUE"),1,0))</f>
        <v/>
      </c>
      <c r="AM2433">
        <f>IF($C2433="","",IF($W2433="Yes",1,0))</f>
        <v/>
      </c>
      <c r="AN2433">
        <f>IF($AJ2433=1,IFERROR(IF(VALUE($C2433)&lt;100000000,VALUE($C2433),1000000000),IFERROR(IF(VALUE(MID($C2433,2,20))&lt;100000000,VALUE(MID($C2433,2,20)),1000000000),1000000000))+ROW()/100000,"")</f>
        <v/>
      </c>
    </row>
    <row r="2434">
      <c r="E2434" s="11" t="n"/>
      <c r="M2434" s="7">
        <f>IF($C2434="","",L2434*U2434/100)</f>
        <v/>
      </c>
      <c r="N2434" s="7" t="n"/>
      <c r="T2434" s="7" t="n"/>
      <c r="U2434" s="7">
        <f>IF($C2434="","",S2434*T2434)</f>
        <v/>
      </c>
      <c r="X2434">
        <f>IF($C2434="","",IF($AM2434=1,0,IF($AL2434=1,Settings!$C$6,Settings!$C$7))*100)</f>
        <v/>
      </c>
      <c r="AB2434" s="7" t="n"/>
      <c r="AE2434" s="11" t="n"/>
      <c r="AG2434" s="7">
        <f>IF($C2434="","",U2434*X2434/100)</f>
        <v/>
      </c>
      <c r="AH2434" s="7">
        <f>IF($C2434="","",U2434-AG2434)</f>
        <v/>
      </c>
      <c r="AI2434" s="7">
        <f>IF($C2434="","",AH2434-M2434)</f>
        <v/>
      </c>
      <c r="AJ2434">
        <f>IF($C2434="","",IF(COUNTIF($C$2:$C2434,$C2434)=1,1,0))</f>
        <v/>
      </c>
      <c r="AK2434">
        <f>IF($AJ2434=1,SUMPRODUCT(--($AN$2:$AN$4001&lt;$AN2434))+1,"")</f>
        <v/>
      </c>
      <c r="AL2434">
        <f>IF($C2434="","",IF(OR($Q2434=TRUE(),$Q2434="TRUE"),1,0))</f>
        <v/>
      </c>
      <c r="AM2434">
        <f>IF($C2434="","",IF($W2434="Yes",1,0))</f>
        <v/>
      </c>
      <c r="AN2434">
        <f>IF($AJ2434=1,IFERROR(IF(VALUE($C2434)&lt;100000000,VALUE($C2434),1000000000),IFERROR(IF(VALUE(MID($C2434,2,20))&lt;100000000,VALUE(MID($C2434,2,20)),1000000000),1000000000))+ROW()/100000,"")</f>
        <v/>
      </c>
    </row>
    <row r="2435">
      <c r="E2435" s="11" t="n"/>
      <c r="M2435" s="7">
        <f>IF($C2435="","",L2435*U2435/100)</f>
        <v/>
      </c>
      <c r="N2435" s="7" t="n"/>
      <c r="T2435" s="7" t="n"/>
      <c r="U2435" s="7">
        <f>IF($C2435="","",S2435*T2435)</f>
        <v/>
      </c>
      <c r="X2435">
        <f>IF($C2435="","",IF($AM2435=1,0,IF($AL2435=1,Settings!$C$6,Settings!$C$7))*100)</f>
        <v/>
      </c>
      <c r="AB2435" s="7" t="n"/>
      <c r="AE2435" s="11" t="n"/>
      <c r="AG2435" s="7">
        <f>IF($C2435="","",U2435*X2435/100)</f>
        <v/>
      </c>
      <c r="AH2435" s="7">
        <f>IF($C2435="","",U2435-AG2435)</f>
        <v/>
      </c>
      <c r="AI2435" s="7">
        <f>IF($C2435="","",AH2435-M2435)</f>
        <v/>
      </c>
      <c r="AJ2435">
        <f>IF($C2435="","",IF(COUNTIF($C$2:$C2435,$C2435)=1,1,0))</f>
        <v/>
      </c>
      <c r="AK2435">
        <f>IF($AJ2435=1,SUMPRODUCT(--($AN$2:$AN$4001&lt;$AN2435))+1,"")</f>
        <v/>
      </c>
      <c r="AL2435">
        <f>IF($C2435="","",IF(OR($Q2435=TRUE(),$Q2435="TRUE"),1,0))</f>
        <v/>
      </c>
      <c r="AM2435">
        <f>IF($C2435="","",IF($W2435="Yes",1,0))</f>
        <v/>
      </c>
      <c r="AN2435">
        <f>IF($AJ2435=1,IFERROR(IF(VALUE($C2435)&lt;100000000,VALUE($C2435),1000000000),IFERROR(IF(VALUE(MID($C2435,2,20))&lt;100000000,VALUE(MID($C2435,2,20)),1000000000),1000000000))+ROW()/100000,"")</f>
        <v/>
      </c>
    </row>
    <row r="2436">
      <c r="E2436" s="11" t="n"/>
      <c r="M2436" s="7">
        <f>IF($C2436="","",L2436*U2436/100)</f>
        <v/>
      </c>
      <c r="N2436" s="7" t="n"/>
      <c r="T2436" s="7" t="n"/>
      <c r="U2436" s="7">
        <f>IF($C2436="","",S2436*T2436)</f>
        <v/>
      </c>
      <c r="X2436">
        <f>IF($C2436="","",IF($AM2436=1,0,IF($AL2436=1,Settings!$C$6,Settings!$C$7))*100)</f>
        <v/>
      </c>
      <c r="AB2436" s="7" t="n"/>
      <c r="AE2436" s="11" t="n"/>
      <c r="AG2436" s="7">
        <f>IF($C2436="","",U2436*X2436/100)</f>
        <v/>
      </c>
      <c r="AH2436" s="7">
        <f>IF($C2436="","",U2436-AG2436)</f>
        <v/>
      </c>
      <c r="AI2436" s="7">
        <f>IF($C2436="","",AH2436-M2436)</f>
        <v/>
      </c>
      <c r="AJ2436">
        <f>IF($C2436="","",IF(COUNTIF($C$2:$C2436,$C2436)=1,1,0))</f>
        <v/>
      </c>
      <c r="AK2436">
        <f>IF($AJ2436=1,SUMPRODUCT(--($AN$2:$AN$4001&lt;$AN2436))+1,"")</f>
        <v/>
      </c>
      <c r="AL2436">
        <f>IF($C2436="","",IF(OR($Q2436=TRUE(),$Q2436="TRUE"),1,0))</f>
        <v/>
      </c>
      <c r="AM2436">
        <f>IF($C2436="","",IF($W2436="Yes",1,0))</f>
        <v/>
      </c>
      <c r="AN2436">
        <f>IF($AJ2436=1,IFERROR(IF(VALUE($C2436)&lt;100000000,VALUE($C2436),1000000000),IFERROR(IF(VALUE(MID($C2436,2,20))&lt;100000000,VALUE(MID($C2436,2,20)),1000000000),1000000000))+ROW()/100000,"")</f>
        <v/>
      </c>
    </row>
    <row r="2437">
      <c r="E2437" s="11" t="n"/>
      <c r="M2437" s="7">
        <f>IF($C2437="","",L2437*U2437/100)</f>
        <v/>
      </c>
      <c r="N2437" s="7" t="n"/>
      <c r="T2437" s="7" t="n"/>
      <c r="U2437" s="7">
        <f>IF($C2437="","",S2437*T2437)</f>
        <v/>
      </c>
      <c r="X2437">
        <f>IF($C2437="","",IF($AM2437=1,0,IF($AL2437=1,Settings!$C$6,Settings!$C$7))*100)</f>
        <v/>
      </c>
      <c r="AB2437" s="7" t="n"/>
      <c r="AE2437" s="11" t="n"/>
      <c r="AG2437" s="7">
        <f>IF($C2437="","",U2437*X2437/100)</f>
        <v/>
      </c>
      <c r="AH2437" s="7">
        <f>IF($C2437="","",U2437-AG2437)</f>
        <v/>
      </c>
      <c r="AI2437" s="7">
        <f>IF($C2437="","",AH2437-M2437)</f>
        <v/>
      </c>
      <c r="AJ2437">
        <f>IF($C2437="","",IF(COUNTIF($C$2:$C2437,$C2437)=1,1,0))</f>
        <v/>
      </c>
      <c r="AK2437">
        <f>IF($AJ2437=1,SUMPRODUCT(--($AN$2:$AN$4001&lt;$AN2437))+1,"")</f>
        <v/>
      </c>
      <c r="AL2437">
        <f>IF($C2437="","",IF(OR($Q2437=TRUE(),$Q2437="TRUE"),1,0))</f>
        <v/>
      </c>
      <c r="AM2437">
        <f>IF($C2437="","",IF($W2437="Yes",1,0))</f>
        <v/>
      </c>
      <c r="AN2437">
        <f>IF($AJ2437=1,IFERROR(IF(VALUE($C2437)&lt;100000000,VALUE($C2437),1000000000),IFERROR(IF(VALUE(MID($C2437,2,20))&lt;100000000,VALUE(MID($C2437,2,20)),1000000000),1000000000))+ROW()/100000,"")</f>
        <v/>
      </c>
    </row>
    <row r="2438">
      <c r="E2438" s="11" t="n"/>
      <c r="M2438" s="7">
        <f>IF($C2438="","",L2438*U2438/100)</f>
        <v/>
      </c>
      <c r="N2438" s="7" t="n"/>
      <c r="T2438" s="7" t="n"/>
      <c r="U2438" s="7">
        <f>IF($C2438="","",S2438*T2438)</f>
        <v/>
      </c>
      <c r="X2438">
        <f>IF($C2438="","",IF($AM2438=1,0,IF($AL2438=1,Settings!$C$6,Settings!$C$7))*100)</f>
        <v/>
      </c>
      <c r="AB2438" s="7" t="n"/>
      <c r="AE2438" s="11" t="n"/>
      <c r="AG2438" s="7">
        <f>IF($C2438="","",U2438*X2438/100)</f>
        <v/>
      </c>
      <c r="AH2438" s="7">
        <f>IF($C2438="","",U2438-AG2438)</f>
        <v/>
      </c>
      <c r="AI2438" s="7">
        <f>IF($C2438="","",AH2438-M2438)</f>
        <v/>
      </c>
      <c r="AJ2438">
        <f>IF($C2438="","",IF(COUNTIF($C$2:$C2438,$C2438)=1,1,0))</f>
        <v/>
      </c>
      <c r="AK2438">
        <f>IF($AJ2438=1,SUMPRODUCT(--($AN$2:$AN$4001&lt;$AN2438))+1,"")</f>
        <v/>
      </c>
      <c r="AL2438">
        <f>IF($C2438="","",IF(OR($Q2438=TRUE(),$Q2438="TRUE"),1,0))</f>
        <v/>
      </c>
      <c r="AM2438">
        <f>IF($C2438="","",IF($W2438="Yes",1,0))</f>
        <v/>
      </c>
      <c r="AN2438">
        <f>IF($AJ2438=1,IFERROR(IF(VALUE($C2438)&lt;100000000,VALUE($C2438),1000000000),IFERROR(IF(VALUE(MID($C2438,2,20))&lt;100000000,VALUE(MID($C2438,2,20)),1000000000),1000000000))+ROW()/100000,"")</f>
        <v/>
      </c>
    </row>
    <row r="2439">
      <c r="E2439" s="11" t="n"/>
      <c r="M2439" s="7">
        <f>IF($C2439="","",L2439*U2439/100)</f>
        <v/>
      </c>
      <c r="N2439" s="7" t="n"/>
      <c r="T2439" s="7" t="n"/>
      <c r="U2439" s="7">
        <f>IF($C2439="","",S2439*T2439)</f>
        <v/>
      </c>
      <c r="X2439">
        <f>IF($C2439="","",IF($AM2439=1,0,IF($AL2439=1,Settings!$C$6,Settings!$C$7))*100)</f>
        <v/>
      </c>
      <c r="AB2439" s="7" t="n"/>
      <c r="AE2439" s="11" t="n"/>
      <c r="AG2439" s="7">
        <f>IF($C2439="","",U2439*X2439/100)</f>
        <v/>
      </c>
      <c r="AH2439" s="7">
        <f>IF($C2439="","",U2439-AG2439)</f>
        <v/>
      </c>
      <c r="AI2439" s="7">
        <f>IF($C2439="","",AH2439-M2439)</f>
        <v/>
      </c>
      <c r="AJ2439">
        <f>IF($C2439="","",IF(COUNTIF($C$2:$C2439,$C2439)=1,1,0))</f>
        <v/>
      </c>
      <c r="AK2439">
        <f>IF($AJ2439=1,SUMPRODUCT(--($AN$2:$AN$4001&lt;$AN2439))+1,"")</f>
        <v/>
      </c>
      <c r="AL2439">
        <f>IF($C2439="","",IF(OR($Q2439=TRUE(),$Q2439="TRUE"),1,0))</f>
        <v/>
      </c>
      <c r="AM2439">
        <f>IF($C2439="","",IF($W2439="Yes",1,0))</f>
        <v/>
      </c>
      <c r="AN2439">
        <f>IF($AJ2439=1,IFERROR(IF(VALUE($C2439)&lt;100000000,VALUE($C2439),1000000000),IFERROR(IF(VALUE(MID($C2439,2,20))&lt;100000000,VALUE(MID($C2439,2,20)),1000000000),1000000000))+ROW()/100000,"")</f>
        <v/>
      </c>
    </row>
    <row r="2440">
      <c r="E2440" s="11" t="n"/>
      <c r="M2440" s="7">
        <f>IF($C2440="","",L2440*U2440/100)</f>
        <v/>
      </c>
      <c r="N2440" s="7" t="n"/>
      <c r="T2440" s="7" t="n"/>
      <c r="U2440" s="7">
        <f>IF($C2440="","",S2440*T2440)</f>
        <v/>
      </c>
      <c r="X2440">
        <f>IF($C2440="","",IF($AM2440=1,0,IF($AL2440=1,Settings!$C$6,Settings!$C$7))*100)</f>
        <v/>
      </c>
      <c r="AB2440" s="7" t="n"/>
      <c r="AE2440" s="11" t="n"/>
      <c r="AG2440" s="7">
        <f>IF($C2440="","",U2440*X2440/100)</f>
        <v/>
      </c>
      <c r="AH2440" s="7">
        <f>IF($C2440="","",U2440-AG2440)</f>
        <v/>
      </c>
      <c r="AI2440" s="7">
        <f>IF($C2440="","",AH2440-M2440)</f>
        <v/>
      </c>
      <c r="AJ2440">
        <f>IF($C2440="","",IF(COUNTIF($C$2:$C2440,$C2440)=1,1,0))</f>
        <v/>
      </c>
      <c r="AK2440">
        <f>IF($AJ2440=1,SUMPRODUCT(--($AN$2:$AN$4001&lt;$AN2440))+1,"")</f>
        <v/>
      </c>
      <c r="AL2440">
        <f>IF($C2440="","",IF(OR($Q2440=TRUE(),$Q2440="TRUE"),1,0))</f>
        <v/>
      </c>
      <c r="AM2440">
        <f>IF($C2440="","",IF($W2440="Yes",1,0))</f>
        <v/>
      </c>
      <c r="AN2440">
        <f>IF($AJ2440=1,IFERROR(IF(VALUE($C2440)&lt;100000000,VALUE($C2440),1000000000),IFERROR(IF(VALUE(MID($C2440,2,20))&lt;100000000,VALUE(MID($C2440,2,20)),1000000000),1000000000))+ROW()/100000,"")</f>
        <v/>
      </c>
    </row>
    <row r="2441">
      <c r="E2441" s="11" t="n"/>
      <c r="M2441" s="7">
        <f>IF($C2441="","",L2441*U2441/100)</f>
        <v/>
      </c>
      <c r="N2441" s="7" t="n"/>
      <c r="T2441" s="7" t="n"/>
      <c r="U2441" s="7">
        <f>IF($C2441="","",S2441*T2441)</f>
        <v/>
      </c>
      <c r="X2441">
        <f>IF($C2441="","",IF($AM2441=1,0,IF($AL2441=1,Settings!$C$6,Settings!$C$7))*100)</f>
        <v/>
      </c>
      <c r="AB2441" s="7" t="n"/>
      <c r="AE2441" s="11" t="n"/>
      <c r="AG2441" s="7">
        <f>IF($C2441="","",U2441*X2441/100)</f>
        <v/>
      </c>
      <c r="AH2441" s="7">
        <f>IF($C2441="","",U2441-AG2441)</f>
        <v/>
      </c>
      <c r="AI2441" s="7">
        <f>IF($C2441="","",AH2441-M2441)</f>
        <v/>
      </c>
      <c r="AJ2441">
        <f>IF($C2441="","",IF(COUNTIF($C$2:$C2441,$C2441)=1,1,0))</f>
        <v/>
      </c>
      <c r="AK2441">
        <f>IF($AJ2441=1,SUMPRODUCT(--($AN$2:$AN$4001&lt;$AN2441))+1,"")</f>
        <v/>
      </c>
      <c r="AL2441">
        <f>IF($C2441="","",IF(OR($Q2441=TRUE(),$Q2441="TRUE"),1,0))</f>
        <v/>
      </c>
      <c r="AM2441">
        <f>IF($C2441="","",IF($W2441="Yes",1,0))</f>
        <v/>
      </c>
      <c r="AN2441">
        <f>IF($AJ2441=1,IFERROR(IF(VALUE($C2441)&lt;100000000,VALUE($C2441),1000000000),IFERROR(IF(VALUE(MID($C2441,2,20))&lt;100000000,VALUE(MID($C2441,2,20)),1000000000),1000000000))+ROW()/100000,"")</f>
        <v/>
      </c>
    </row>
    <row r="2442">
      <c r="E2442" s="11" t="n"/>
      <c r="M2442" s="7">
        <f>IF($C2442="","",L2442*U2442/100)</f>
        <v/>
      </c>
      <c r="N2442" s="7" t="n"/>
      <c r="T2442" s="7" t="n"/>
      <c r="U2442" s="7">
        <f>IF($C2442="","",S2442*T2442)</f>
        <v/>
      </c>
      <c r="X2442">
        <f>IF($C2442="","",IF($AM2442=1,0,IF($AL2442=1,Settings!$C$6,Settings!$C$7))*100)</f>
        <v/>
      </c>
      <c r="AB2442" s="7" t="n"/>
      <c r="AE2442" s="11" t="n"/>
      <c r="AG2442" s="7">
        <f>IF($C2442="","",U2442*X2442/100)</f>
        <v/>
      </c>
      <c r="AH2442" s="7">
        <f>IF($C2442="","",U2442-AG2442)</f>
        <v/>
      </c>
      <c r="AI2442" s="7">
        <f>IF($C2442="","",AH2442-M2442)</f>
        <v/>
      </c>
      <c r="AJ2442">
        <f>IF($C2442="","",IF(COUNTIF($C$2:$C2442,$C2442)=1,1,0))</f>
        <v/>
      </c>
      <c r="AK2442">
        <f>IF($AJ2442=1,SUMPRODUCT(--($AN$2:$AN$4001&lt;$AN2442))+1,"")</f>
        <v/>
      </c>
      <c r="AL2442">
        <f>IF($C2442="","",IF(OR($Q2442=TRUE(),$Q2442="TRUE"),1,0))</f>
        <v/>
      </c>
      <c r="AM2442">
        <f>IF($C2442="","",IF($W2442="Yes",1,0))</f>
        <v/>
      </c>
      <c r="AN2442">
        <f>IF($AJ2442=1,IFERROR(IF(VALUE($C2442)&lt;100000000,VALUE($C2442),1000000000),IFERROR(IF(VALUE(MID($C2442,2,20))&lt;100000000,VALUE(MID($C2442,2,20)),1000000000),1000000000))+ROW()/100000,"")</f>
        <v/>
      </c>
    </row>
    <row r="2443">
      <c r="E2443" s="11" t="n"/>
      <c r="M2443" s="7">
        <f>IF($C2443="","",L2443*U2443/100)</f>
        <v/>
      </c>
      <c r="N2443" s="7" t="n"/>
      <c r="T2443" s="7" t="n"/>
      <c r="U2443" s="7">
        <f>IF($C2443="","",S2443*T2443)</f>
        <v/>
      </c>
      <c r="X2443">
        <f>IF($C2443="","",IF($AM2443=1,0,IF($AL2443=1,Settings!$C$6,Settings!$C$7))*100)</f>
        <v/>
      </c>
      <c r="AB2443" s="7" t="n"/>
      <c r="AE2443" s="11" t="n"/>
      <c r="AG2443" s="7">
        <f>IF($C2443="","",U2443*X2443/100)</f>
        <v/>
      </c>
      <c r="AH2443" s="7">
        <f>IF($C2443="","",U2443-AG2443)</f>
        <v/>
      </c>
      <c r="AI2443" s="7">
        <f>IF($C2443="","",AH2443-M2443)</f>
        <v/>
      </c>
      <c r="AJ2443">
        <f>IF($C2443="","",IF(COUNTIF($C$2:$C2443,$C2443)=1,1,0))</f>
        <v/>
      </c>
      <c r="AK2443">
        <f>IF($AJ2443=1,SUMPRODUCT(--($AN$2:$AN$4001&lt;$AN2443))+1,"")</f>
        <v/>
      </c>
      <c r="AL2443">
        <f>IF($C2443="","",IF(OR($Q2443=TRUE(),$Q2443="TRUE"),1,0))</f>
        <v/>
      </c>
      <c r="AM2443">
        <f>IF($C2443="","",IF($W2443="Yes",1,0))</f>
        <v/>
      </c>
      <c r="AN2443">
        <f>IF($AJ2443=1,IFERROR(IF(VALUE($C2443)&lt;100000000,VALUE($C2443),1000000000),IFERROR(IF(VALUE(MID($C2443,2,20))&lt;100000000,VALUE(MID($C2443,2,20)),1000000000),1000000000))+ROW()/100000,"")</f>
        <v/>
      </c>
    </row>
    <row r="2444">
      <c r="E2444" s="11" t="n"/>
      <c r="M2444" s="7">
        <f>IF($C2444="","",L2444*U2444/100)</f>
        <v/>
      </c>
      <c r="N2444" s="7" t="n"/>
      <c r="T2444" s="7" t="n"/>
      <c r="U2444" s="7">
        <f>IF($C2444="","",S2444*T2444)</f>
        <v/>
      </c>
      <c r="X2444">
        <f>IF($C2444="","",IF($AM2444=1,0,IF($AL2444=1,Settings!$C$6,Settings!$C$7))*100)</f>
        <v/>
      </c>
      <c r="AB2444" s="7" t="n"/>
      <c r="AE2444" s="11" t="n"/>
      <c r="AG2444" s="7">
        <f>IF($C2444="","",U2444*X2444/100)</f>
        <v/>
      </c>
      <c r="AH2444" s="7">
        <f>IF($C2444="","",U2444-AG2444)</f>
        <v/>
      </c>
      <c r="AI2444" s="7">
        <f>IF($C2444="","",AH2444-M2444)</f>
        <v/>
      </c>
      <c r="AJ2444">
        <f>IF($C2444="","",IF(COUNTIF($C$2:$C2444,$C2444)=1,1,0))</f>
        <v/>
      </c>
      <c r="AK2444">
        <f>IF($AJ2444=1,SUMPRODUCT(--($AN$2:$AN$4001&lt;$AN2444))+1,"")</f>
        <v/>
      </c>
      <c r="AL2444">
        <f>IF($C2444="","",IF(OR($Q2444=TRUE(),$Q2444="TRUE"),1,0))</f>
        <v/>
      </c>
      <c r="AM2444">
        <f>IF($C2444="","",IF($W2444="Yes",1,0))</f>
        <v/>
      </c>
      <c r="AN2444">
        <f>IF($AJ2444=1,IFERROR(IF(VALUE($C2444)&lt;100000000,VALUE($C2444),1000000000),IFERROR(IF(VALUE(MID($C2444,2,20))&lt;100000000,VALUE(MID($C2444,2,20)),1000000000),1000000000))+ROW()/100000,"")</f>
        <v/>
      </c>
    </row>
    <row r="2445">
      <c r="E2445" s="11" t="n"/>
      <c r="M2445" s="7">
        <f>IF($C2445="","",L2445*U2445/100)</f>
        <v/>
      </c>
      <c r="N2445" s="7" t="n"/>
      <c r="T2445" s="7" t="n"/>
      <c r="U2445" s="7">
        <f>IF($C2445="","",S2445*T2445)</f>
        <v/>
      </c>
      <c r="X2445">
        <f>IF($C2445="","",IF($AM2445=1,0,IF($AL2445=1,Settings!$C$6,Settings!$C$7))*100)</f>
        <v/>
      </c>
      <c r="AB2445" s="7" t="n"/>
      <c r="AE2445" s="11" t="n"/>
      <c r="AG2445" s="7">
        <f>IF($C2445="","",U2445*X2445/100)</f>
        <v/>
      </c>
      <c r="AH2445" s="7">
        <f>IF($C2445="","",U2445-AG2445)</f>
        <v/>
      </c>
      <c r="AI2445" s="7">
        <f>IF($C2445="","",AH2445-M2445)</f>
        <v/>
      </c>
      <c r="AJ2445">
        <f>IF($C2445="","",IF(COUNTIF($C$2:$C2445,$C2445)=1,1,0))</f>
        <v/>
      </c>
      <c r="AK2445">
        <f>IF($AJ2445=1,SUMPRODUCT(--($AN$2:$AN$4001&lt;$AN2445))+1,"")</f>
        <v/>
      </c>
      <c r="AL2445">
        <f>IF($C2445="","",IF(OR($Q2445=TRUE(),$Q2445="TRUE"),1,0))</f>
        <v/>
      </c>
      <c r="AM2445">
        <f>IF($C2445="","",IF($W2445="Yes",1,0))</f>
        <v/>
      </c>
      <c r="AN2445">
        <f>IF($AJ2445=1,IFERROR(IF(VALUE($C2445)&lt;100000000,VALUE($C2445),1000000000),IFERROR(IF(VALUE(MID($C2445,2,20))&lt;100000000,VALUE(MID($C2445,2,20)),1000000000),1000000000))+ROW()/100000,"")</f>
        <v/>
      </c>
    </row>
    <row r="2446">
      <c r="E2446" s="11" t="n"/>
      <c r="M2446" s="7">
        <f>IF($C2446="","",L2446*U2446/100)</f>
        <v/>
      </c>
      <c r="N2446" s="7" t="n"/>
      <c r="T2446" s="7" t="n"/>
      <c r="U2446" s="7">
        <f>IF($C2446="","",S2446*T2446)</f>
        <v/>
      </c>
      <c r="X2446">
        <f>IF($C2446="","",IF($AM2446=1,0,IF($AL2446=1,Settings!$C$6,Settings!$C$7))*100)</f>
        <v/>
      </c>
      <c r="AB2446" s="7" t="n"/>
      <c r="AE2446" s="11" t="n"/>
      <c r="AG2446" s="7">
        <f>IF($C2446="","",U2446*X2446/100)</f>
        <v/>
      </c>
      <c r="AH2446" s="7">
        <f>IF($C2446="","",U2446-AG2446)</f>
        <v/>
      </c>
      <c r="AI2446" s="7">
        <f>IF($C2446="","",AH2446-M2446)</f>
        <v/>
      </c>
      <c r="AJ2446">
        <f>IF($C2446="","",IF(COUNTIF($C$2:$C2446,$C2446)=1,1,0))</f>
        <v/>
      </c>
      <c r="AK2446">
        <f>IF($AJ2446=1,SUMPRODUCT(--($AN$2:$AN$4001&lt;$AN2446))+1,"")</f>
        <v/>
      </c>
      <c r="AL2446">
        <f>IF($C2446="","",IF(OR($Q2446=TRUE(),$Q2446="TRUE"),1,0))</f>
        <v/>
      </c>
      <c r="AM2446">
        <f>IF($C2446="","",IF($W2446="Yes",1,0))</f>
        <v/>
      </c>
      <c r="AN2446">
        <f>IF($AJ2446=1,IFERROR(IF(VALUE($C2446)&lt;100000000,VALUE($C2446),1000000000),IFERROR(IF(VALUE(MID($C2446,2,20))&lt;100000000,VALUE(MID($C2446,2,20)),1000000000),1000000000))+ROW()/100000,"")</f>
        <v/>
      </c>
    </row>
    <row r="2447">
      <c r="E2447" s="11" t="n"/>
      <c r="M2447" s="7">
        <f>IF($C2447="","",L2447*U2447/100)</f>
        <v/>
      </c>
      <c r="N2447" s="7" t="n"/>
      <c r="T2447" s="7" t="n"/>
      <c r="U2447" s="7">
        <f>IF($C2447="","",S2447*T2447)</f>
        <v/>
      </c>
      <c r="X2447">
        <f>IF($C2447="","",IF($AM2447=1,0,IF($AL2447=1,Settings!$C$6,Settings!$C$7))*100)</f>
        <v/>
      </c>
      <c r="AB2447" s="7" t="n"/>
      <c r="AE2447" s="11" t="n"/>
      <c r="AG2447" s="7">
        <f>IF($C2447="","",U2447*X2447/100)</f>
        <v/>
      </c>
      <c r="AH2447" s="7">
        <f>IF($C2447="","",U2447-AG2447)</f>
        <v/>
      </c>
      <c r="AI2447" s="7">
        <f>IF($C2447="","",AH2447-M2447)</f>
        <v/>
      </c>
      <c r="AJ2447">
        <f>IF($C2447="","",IF(COUNTIF($C$2:$C2447,$C2447)=1,1,0))</f>
        <v/>
      </c>
      <c r="AK2447">
        <f>IF($AJ2447=1,SUMPRODUCT(--($AN$2:$AN$4001&lt;$AN2447))+1,"")</f>
        <v/>
      </c>
      <c r="AL2447">
        <f>IF($C2447="","",IF(OR($Q2447=TRUE(),$Q2447="TRUE"),1,0))</f>
        <v/>
      </c>
      <c r="AM2447">
        <f>IF($C2447="","",IF($W2447="Yes",1,0))</f>
        <v/>
      </c>
      <c r="AN2447">
        <f>IF($AJ2447=1,IFERROR(IF(VALUE($C2447)&lt;100000000,VALUE($C2447),1000000000),IFERROR(IF(VALUE(MID($C2447,2,20))&lt;100000000,VALUE(MID($C2447,2,20)),1000000000),1000000000))+ROW()/100000,"")</f>
        <v/>
      </c>
    </row>
    <row r="2448">
      <c r="E2448" s="11" t="n"/>
      <c r="M2448" s="7">
        <f>IF($C2448="","",L2448*U2448/100)</f>
        <v/>
      </c>
      <c r="N2448" s="7" t="n"/>
      <c r="T2448" s="7" t="n"/>
      <c r="U2448" s="7">
        <f>IF($C2448="","",S2448*T2448)</f>
        <v/>
      </c>
      <c r="X2448">
        <f>IF($C2448="","",IF($AM2448=1,0,IF($AL2448=1,Settings!$C$6,Settings!$C$7))*100)</f>
        <v/>
      </c>
      <c r="AB2448" s="7" t="n"/>
      <c r="AE2448" s="11" t="n"/>
      <c r="AG2448" s="7">
        <f>IF($C2448="","",U2448*X2448/100)</f>
        <v/>
      </c>
      <c r="AH2448" s="7">
        <f>IF($C2448="","",U2448-AG2448)</f>
        <v/>
      </c>
      <c r="AI2448" s="7">
        <f>IF($C2448="","",AH2448-M2448)</f>
        <v/>
      </c>
      <c r="AJ2448">
        <f>IF($C2448="","",IF(COUNTIF($C$2:$C2448,$C2448)=1,1,0))</f>
        <v/>
      </c>
      <c r="AK2448">
        <f>IF($AJ2448=1,SUMPRODUCT(--($AN$2:$AN$4001&lt;$AN2448))+1,"")</f>
        <v/>
      </c>
      <c r="AL2448">
        <f>IF($C2448="","",IF(OR($Q2448=TRUE(),$Q2448="TRUE"),1,0))</f>
        <v/>
      </c>
      <c r="AM2448">
        <f>IF($C2448="","",IF($W2448="Yes",1,0))</f>
        <v/>
      </c>
      <c r="AN2448">
        <f>IF($AJ2448=1,IFERROR(IF(VALUE($C2448)&lt;100000000,VALUE($C2448),1000000000),IFERROR(IF(VALUE(MID($C2448,2,20))&lt;100000000,VALUE(MID($C2448,2,20)),1000000000),1000000000))+ROW()/100000,"")</f>
        <v/>
      </c>
    </row>
    <row r="2449">
      <c r="E2449" s="11" t="n"/>
      <c r="M2449" s="7">
        <f>IF($C2449="","",L2449*U2449/100)</f>
        <v/>
      </c>
      <c r="N2449" s="7" t="n"/>
      <c r="T2449" s="7" t="n"/>
      <c r="U2449" s="7">
        <f>IF($C2449="","",S2449*T2449)</f>
        <v/>
      </c>
      <c r="X2449">
        <f>IF($C2449="","",IF($AM2449=1,0,IF($AL2449=1,Settings!$C$6,Settings!$C$7))*100)</f>
        <v/>
      </c>
      <c r="AB2449" s="7" t="n"/>
      <c r="AE2449" s="11" t="n"/>
      <c r="AG2449" s="7">
        <f>IF($C2449="","",U2449*X2449/100)</f>
        <v/>
      </c>
      <c r="AH2449" s="7">
        <f>IF($C2449="","",U2449-AG2449)</f>
        <v/>
      </c>
      <c r="AI2449" s="7">
        <f>IF($C2449="","",AH2449-M2449)</f>
        <v/>
      </c>
      <c r="AJ2449">
        <f>IF($C2449="","",IF(COUNTIF($C$2:$C2449,$C2449)=1,1,0))</f>
        <v/>
      </c>
      <c r="AK2449">
        <f>IF($AJ2449=1,SUMPRODUCT(--($AN$2:$AN$4001&lt;$AN2449))+1,"")</f>
        <v/>
      </c>
      <c r="AL2449">
        <f>IF($C2449="","",IF(OR($Q2449=TRUE(),$Q2449="TRUE"),1,0))</f>
        <v/>
      </c>
      <c r="AM2449">
        <f>IF($C2449="","",IF($W2449="Yes",1,0))</f>
        <v/>
      </c>
      <c r="AN2449">
        <f>IF($AJ2449=1,IFERROR(IF(VALUE($C2449)&lt;100000000,VALUE($C2449),1000000000),IFERROR(IF(VALUE(MID($C2449,2,20))&lt;100000000,VALUE(MID($C2449,2,20)),1000000000),1000000000))+ROW()/100000,"")</f>
        <v/>
      </c>
    </row>
    <row r="2450">
      <c r="E2450" s="11" t="n"/>
      <c r="M2450" s="7">
        <f>IF($C2450="","",L2450*U2450/100)</f>
        <v/>
      </c>
      <c r="N2450" s="7" t="n"/>
      <c r="T2450" s="7" t="n"/>
      <c r="U2450" s="7">
        <f>IF($C2450="","",S2450*T2450)</f>
        <v/>
      </c>
      <c r="X2450">
        <f>IF($C2450="","",IF($AM2450=1,0,IF($AL2450=1,Settings!$C$6,Settings!$C$7))*100)</f>
        <v/>
      </c>
      <c r="AB2450" s="7" t="n"/>
      <c r="AE2450" s="11" t="n"/>
      <c r="AG2450" s="7">
        <f>IF($C2450="","",U2450*X2450/100)</f>
        <v/>
      </c>
      <c r="AH2450" s="7">
        <f>IF($C2450="","",U2450-AG2450)</f>
        <v/>
      </c>
      <c r="AI2450" s="7">
        <f>IF($C2450="","",AH2450-M2450)</f>
        <v/>
      </c>
      <c r="AJ2450">
        <f>IF($C2450="","",IF(COUNTIF($C$2:$C2450,$C2450)=1,1,0))</f>
        <v/>
      </c>
      <c r="AK2450">
        <f>IF($AJ2450=1,SUMPRODUCT(--($AN$2:$AN$4001&lt;$AN2450))+1,"")</f>
        <v/>
      </c>
      <c r="AL2450">
        <f>IF($C2450="","",IF(OR($Q2450=TRUE(),$Q2450="TRUE"),1,0))</f>
        <v/>
      </c>
      <c r="AM2450">
        <f>IF($C2450="","",IF($W2450="Yes",1,0))</f>
        <v/>
      </c>
      <c r="AN2450">
        <f>IF($AJ2450=1,IFERROR(IF(VALUE($C2450)&lt;100000000,VALUE($C2450),1000000000),IFERROR(IF(VALUE(MID($C2450,2,20))&lt;100000000,VALUE(MID($C2450,2,20)),1000000000),1000000000))+ROW()/100000,"")</f>
        <v/>
      </c>
    </row>
    <row r="2451">
      <c r="E2451" s="11" t="n"/>
      <c r="M2451" s="7">
        <f>IF($C2451="","",L2451*U2451/100)</f>
        <v/>
      </c>
      <c r="N2451" s="7" t="n"/>
      <c r="T2451" s="7" t="n"/>
      <c r="U2451" s="7">
        <f>IF($C2451="","",S2451*T2451)</f>
        <v/>
      </c>
      <c r="X2451">
        <f>IF($C2451="","",IF($AM2451=1,0,IF($AL2451=1,Settings!$C$6,Settings!$C$7))*100)</f>
        <v/>
      </c>
      <c r="AB2451" s="7" t="n"/>
      <c r="AE2451" s="11" t="n"/>
      <c r="AG2451" s="7">
        <f>IF($C2451="","",U2451*X2451/100)</f>
        <v/>
      </c>
      <c r="AH2451" s="7">
        <f>IF($C2451="","",U2451-AG2451)</f>
        <v/>
      </c>
      <c r="AI2451" s="7">
        <f>IF($C2451="","",AH2451-M2451)</f>
        <v/>
      </c>
      <c r="AJ2451">
        <f>IF($C2451="","",IF(COUNTIF($C$2:$C2451,$C2451)=1,1,0))</f>
        <v/>
      </c>
      <c r="AK2451">
        <f>IF($AJ2451=1,SUMPRODUCT(--($AN$2:$AN$4001&lt;$AN2451))+1,"")</f>
        <v/>
      </c>
      <c r="AL2451">
        <f>IF($C2451="","",IF(OR($Q2451=TRUE(),$Q2451="TRUE"),1,0))</f>
        <v/>
      </c>
      <c r="AM2451">
        <f>IF($C2451="","",IF($W2451="Yes",1,0))</f>
        <v/>
      </c>
      <c r="AN2451">
        <f>IF($AJ2451=1,IFERROR(IF(VALUE($C2451)&lt;100000000,VALUE($C2451),1000000000),IFERROR(IF(VALUE(MID($C2451,2,20))&lt;100000000,VALUE(MID($C2451,2,20)),1000000000),1000000000))+ROW()/100000,"")</f>
        <v/>
      </c>
    </row>
    <row r="2452">
      <c r="E2452" s="11" t="n"/>
      <c r="M2452" s="7">
        <f>IF($C2452="","",L2452*U2452/100)</f>
        <v/>
      </c>
      <c r="N2452" s="7" t="n"/>
      <c r="T2452" s="7" t="n"/>
      <c r="U2452" s="7">
        <f>IF($C2452="","",S2452*T2452)</f>
        <v/>
      </c>
      <c r="X2452">
        <f>IF($C2452="","",IF($AM2452=1,0,IF($AL2452=1,Settings!$C$6,Settings!$C$7))*100)</f>
        <v/>
      </c>
      <c r="AB2452" s="7" t="n"/>
      <c r="AE2452" s="11" t="n"/>
      <c r="AG2452" s="7">
        <f>IF($C2452="","",U2452*X2452/100)</f>
        <v/>
      </c>
      <c r="AH2452" s="7">
        <f>IF($C2452="","",U2452-AG2452)</f>
        <v/>
      </c>
      <c r="AI2452" s="7">
        <f>IF($C2452="","",AH2452-M2452)</f>
        <v/>
      </c>
      <c r="AJ2452">
        <f>IF($C2452="","",IF(COUNTIF($C$2:$C2452,$C2452)=1,1,0))</f>
        <v/>
      </c>
      <c r="AK2452">
        <f>IF($AJ2452=1,SUMPRODUCT(--($AN$2:$AN$4001&lt;$AN2452))+1,"")</f>
        <v/>
      </c>
      <c r="AL2452">
        <f>IF($C2452="","",IF(OR($Q2452=TRUE(),$Q2452="TRUE"),1,0))</f>
        <v/>
      </c>
      <c r="AM2452">
        <f>IF($C2452="","",IF($W2452="Yes",1,0))</f>
        <v/>
      </c>
      <c r="AN2452">
        <f>IF($AJ2452=1,IFERROR(IF(VALUE($C2452)&lt;100000000,VALUE($C2452),1000000000),IFERROR(IF(VALUE(MID($C2452,2,20))&lt;100000000,VALUE(MID($C2452,2,20)),1000000000),1000000000))+ROW()/100000,"")</f>
        <v/>
      </c>
    </row>
    <row r="2453">
      <c r="E2453" s="11" t="n"/>
      <c r="M2453" s="7">
        <f>IF($C2453="","",L2453*U2453/100)</f>
        <v/>
      </c>
      <c r="N2453" s="7" t="n"/>
      <c r="T2453" s="7" t="n"/>
      <c r="U2453" s="7">
        <f>IF($C2453="","",S2453*T2453)</f>
        <v/>
      </c>
      <c r="X2453">
        <f>IF($C2453="","",IF($AM2453=1,0,IF($AL2453=1,Settings!$C$6,Settings!$C$7))*100)</f>
        <v/>
      </c>
      <c r="AB2453" s="7" t="n"/>
      <c r="AE2453" s="11" t="n"/>
      <c r="AG2453" s="7">
        <f>IF($C2453="","",U2453*X2453/100)</f>
        <v/>
      </c>
      <c r="AH2453" s="7">
        <f>IF($C2453="","",U2453-AG2453)</f>
        <v/>
      </c>
      <c r="AI2453" s="7">
        <f>IF($C2453="","",AH2453-M2453)</f>
        <v/>
      </c>
      <c r="AJ2453">
        <f>IF($C2453="","",IF(COUNTIF($C$2:$C2453,$C2453)=1,1,0))</f>
        <v/>
      </c>
      <c r="AK2453">
        <f>IF($AJ2453=1,SUMPRODUCT(--($AN$2:$AN$4001&lt;$AN2453))+1,"")</f>
        <v/>
      </c>
      <c r="AL2453">
        <f>IF($C2453="","",IF(OR($Q2453=TRUE(),$Q2453="TRUE"),1,0))</f>
        <v/>
      </c>
      <c r="AM2453">
        <f>IF($C2453="","",IF($W2453="Yes",1,0))</f>
        <v/>
      </c>
      <c r="AN2453">
        <f>IF($AJ2453=1,IFERROR(IF(VALUE($C2453)&lt;100000000,VALUE($C2453),1000000000),IFERROR(IF(VALUE(MID($C2453,2,20))&lt;100000000,VALUE(MID($C2453,2,20)),1000000000),1000000000))+ROW()/100000,"")</f>
        <v/>
      </c>
    </row>
    <row r="2454">
      <c r="E2454" s="11" t="n"/>
      <c r="M2454" s="7">
        <f>IF($C2454="","",L2454*U2454/100)</f>
        <v/>
      </c>
      <c r="N2454" s="7" t="n"/>
      <c r="T2454" s="7" t="n"/>
      <c r="U2454" s="7">
        <f>IF($C2454="","",S2454*T2454)</f>
        <v/>
      </c>
      <c r="X2454">
        <f>IF($C2454="","",IF($AM2454=1,0,IF($AL2454=1,Settings!$C$6,Settings!$C$7))*100)</f>
        <v/>
      </c>
      <c r="AB2454" s="7" t="n"/>
      <c r="AE2454" s="11" t="n"/>
      <c r="AG2454" s="7">
        <f>IF($C2454="","",U2454*X2454/100)</f>
        <v/>
      </c>
      <c r="AH2454" s="7">
        <f>IF($C2454="","",U2454-AG2454)</f>
        <v/>
      </c>
      <c r="AI2454" s="7">
        <f>IF($C2454="","",AH2454-M2454)</f>
        <v/>
      </c>
      <c r="AJ2454">
        <f>IF($C2454="","",IF(COUNTIF($C$2:$C2454,$C2454)=1,1,0))</f>
        <v/>
      </c>
      <c r="AK2454">
        <f>IF($AJ2454=1,SUMPRODUCT(--($AN$2:$AN$4001&lt;$AN2454))+1,"")</f>
        <v/>
      </c>
      <c r="AL2454">
        <f>IF($C2454="","",IF(OR($Q2454=TRUE(),$Q2454="TRUE"),1,0))</f>
        <v/>
      </c>
      <c r="AM2454">
        <f>IF($C2454="","",IF($W2454="Yes",1,0))</f>
        <v/>
      </c>
      <c r="AN2454">
        <f>IF($AJ2454=1,IFERROR(IF(VALUE($C2454)&lt;100000000,VALUE($C2454),1000000000),IFERROR(IF(VALUE(MID($C2454,2,20))&lt;100000000,VALUE(MID($C2454,2,20)),1000000000),1000000000))+ROW()/100000,"")</f>
        <v/>
      </c>
    </row>
    <row r="2455">
      <c r="E2455" s="11" t="n"/>
      <c r="M2455" s="7">
        <f>IF($C2455="","",L2455*U2455/100)</f>
        <v/>
      </c>
      <c r="N2455" s="7" t="n"/>
      <c r="T2455" s="7" t="n"/>
      <c r="U2455" s="7">
        <f>IF($C2455="","",S2455*T2455)</f>
        <v/>
      </c>
      <c r="X2455">
        <f>IF($C2455="","",IF($AM2455=1,0,IF($AL2455=1,Settings!$C$6,Settings!$C$7))*100)</f>
        <v/>
      </c>
      <c r="AB2455" s="7" t="n"/>
      <c r="AE2455" s="11" t="n"/>
      <c r="AG2455" s="7">
        <f>IF($C2455="","",U2455*X2455/100)</f>
        <v/>
      </c>
      <c r="AH2455" s="7">
        <f>IF($C2455="","",U2455-AG2455)</f>
        <v/>
      </c>
      <c r="AI2455" s="7">
        <f>IF($C2455="","",AH2455-M2455)</f>
        <v/>
      </c>
      <c r="AJ2455">
        <f>IF($C2455="","",IF(COUNTIF($C$2:$C2455,$C2455)=1,1,0))</f>
        <v/>
      </c>
      <c r="AK2455">
        <f>IF($AJ2455=1,SUMPRODUCT(--($AN$2:$AN$4001&lt;$AN2455))+1,"")</f>
        <v/>
      </c>
      <c r="AL2455">
        <f>IF($C2455="","",IF(OR($Q2455=TRUE(),$Q2455="TRUE"),1,0))</f>
        <v/>
      </c>
      <c r="AM2455">
        <f>IF($C2455="","",IF($W2455="Yes",1,0))</f>
        <v/>
      </c>
      <c r="AN2455">
        <f>IF($AJ2455=1,IFERROR(IF(VALUE($C2455)&lt;100000000,VALUE($C2455),1000000000),IFERROR(IF(VALUE(MID($C2455,2,20))&lt;100000000,VALUE(MID($C2455,2,20)),1000000000),1000000000))+ROW()/100000,"")</f>
        <v/>
      </c>
    </row>
    <row r="2456">
      <c r="E2456" s="11" t="n"/>
      <c r="M2456" s="7">
        <f>IF($C2456="","",L2456*U2456/100)</f>
        <v/>
      </c>
      <c r="N2456" s="7" t="n"/>
      <c r="T2456" s="7" t="n"/>
      <c r="U2456" s="7">
        <f>IF($C2456="","",S2456*T2456)</f>
        <v/>
      </c>
      <c r="X2456">
        <f>IF($C2456="","",IF($AM2456=1,0,IF($AL2456=1,Settings!$C$6,Settings!$C$7))*100)</f>
        <v/>
      </c>
      <c r="AB2456" s="7" t="n"/>
      <c r="AE2456" s="11" t="n"/>
      <c r="AG2456" s="7">
        <f>IF($C2456="","",U2456*X2456/100)</f>
        <v/>
      </c>
      <c r="AH2456" s="7">
        <f>IF($C2456="","",U2456-AG2456)</f>
        <v/>
      </c>
      <c r="AI2456" s="7">
        <f>IF($C2456="","",AH2456-M2456)</f>
        <v/>
      </c>
      <c r="AJ2456">
        <f>IF($C2456="","",IF(COUNTIF($C$2:$C2456,$C2456)=1,1,0))</f>
        <v/>
      </c>
      <c r="AK2456">
        <f>IF($AJ2456=1,SUMPRODUCT(--($AN$2:$AN$4001&lt;$AN2456))+1,"")</f>
        <v/>
      </c>
      <c r="AL2456">
        <f>IF($C2456="","",IF(OR($Q2456=TRUE(),$Q2456="TRUE"),1,0))</f>
        <v/>
      </c>
      <c r="AM2456">
        <f>IF($C2456="","",IF($W2456="Yes",1,0))</f>
        <v/>
      </c>
      <c r="AN2456">
        <f>IF($AJ2456=1,IFERROR(IF(VALUE($C2456)&lt;100000000,VALUE($C2456),1000000000),IFERROR(IF(VALUE(MID($C2456,2,20))&lt;100000000,VALUE(MID($C2456,2,20)),1000000000),1000000000))+ROW()/100000,"")</f>
        <v/>
      </c>
    </row>
    <row r="2457">
      <c r="E2457" s="11" t="n"/>
      <c r="M2457" s="7">
        <f>IF($C2457="","",L2457*U2457/100)</f>
        <v/>
      </c>
      <c r="N2457" s="7" t="n"/>
      <c r="T2457" s="7" t="n"/>
      <c r="U2457" s="7">
        <f>IF($C2457="","",S2457*T2457)</f>
        <v/>
      </c>
      <c r="X2457">
        <f>IF($C2457="","",IF($AM2457=1,0,IF($AL2457=1,Settings!$C$6,Settings!$C$7))*100)</f>
        <v/>
      </c>
      <c r="AB2457" s="7" t="n"/>
      <c r="AE2457" s="11" t="n"/>
      <c r="AG2457" s="7">
        <f>IF($C2457="","",U2457*X2457/100)</f>
        <v/>
      </c>
      <c r="AH2457" s="7">
        <f>IF($C2457="","",U2457-AG2457)</f>
        <v/>
      </c>
      <c r="AI2457" s="7">
        <f>IF($C2457="","",AH2457-M2457)</f>
        <v/>
      </c>
      <c r="AJ2457">
        <f>IF($C2457="","",IF(COUNTIF($C$2:$C2457,$C2457)=1,1,0))</f>
        <v/>
      </c>
      <c r="AK2457">
        <f>IF($AJ2457=1,SUMPRODUCT(--($AN$2:$AN$4001&lt;$AN2457))+1,"")</f>
        <v/>
      </c>
      <c r="AL2457">
        <f>IF($C2457="","",IF(OR($Q2457=TRUE(),$Q2457="TRUE"),1,0))</f>
        <v/>
      </c>
      <c r="AM2457">
        <f>IF($C2457="","",IF($W2457="Yes",1,0))</f>
        <v/>
      </c>
      <c r="AN2457">
        <f>IF($AJ2457=1,IFERROR(IF(VALUE($C2457)&lt;100000000,VALUE($C2457),1000000000),IFERROR(IF(VALUE(MID($C2457,2,20))&lt;100000000,VALUE(MID($C2457,2,20)),1000000000),1000000000))+ROW()/100000,"")</f>
        <v/>
      </c>
    </row>
    <row r="2458">
      <c r="E2458" s="11" t="n"/>
      <c r="M2458" s="7">
        <f>IF($C2458="","",L2458*U2458/100)</f>
        <v/>
      </c>
      <c r="N2458" s="7" t="n"/>
      <c r="T2458" s="7" t="n"/>
      <c r="U2458" s="7">
        <f>IF($C2458="","",S2458*T2458)</f>
        <v/>
      </c>
      <c r="X2458">
        <f>IF($C2458="","",IF($AM2458=1,0,IF($AL2458=1,Settings!$C$6,Settings!$C$7))*100)</f>
        <v/>
      </c>
      <c r="AB2458" s="7" t="n"/>
      <c r="AE2458" s="11" t="n"/>
      <c r="AG2458" s="7">
        <f>IF($C2458="","",U2458*X2458/100)</f>
        <v/>
      </c>
      <c r="AH2458" s="7">
        <f>IF($C2458="","",U2458-AG2458)</f>
        <v/>
      </c>
      <c r="AI2458" s="7">
        <f>IF($C2458="","",AH2458-M2458)</f>
        <v/>
      </c>
      <c r="AJ2458">
        <f>IF($C2458="","",IF(COUNTIF($C$2:$C2458,$C2458)=1,1,0))</f>
        <v/>
      </c>
      <c r="AK2458">
        <f>IF($AJ2458=1,SUMPRODUCT(--($AN$2:$AN$4001&lt;$AN2458))+1,"")</f>
        <v/>
      </c>
      <c r="AL2458">
        <f>IF($C2458="","",IF(OR($Q2458=TRUE(),$Q2458="TRUE"),1,0))</f>
        <v/>
      </c>
      <c r="AM2458">
        <f>IF($C2458="","",IF($W2458="Yes",1,0))</f>
        <v/>
      </c>
      <c r="AN2458">
        <f>IF($AJ2458=1,IFERROR(IF(VALUE($C2458)&lt;100000000,VALUE($C2458),1000000000),IFERROR(IF(VALUE(MID($C2458,2,20))&lt;100000000,VALUE(MID($C2458,2,20)),1000000000),1000000000))+ROW()/100000,"")</f>
        <v/>
      </c>
    </row>
    <row r="2459">
      <c r="E2459" s="11" t="n"/>
      <c r="M2459" s="7">
        <f>IF($C2459="","",L2459*U2459/100)</f>
        <v/>
      </c>
      <c r="N2459" s="7" t="n"/>
      <c r="T2459" s="7" t="n"/>
      <c r="U2459" s="7">
        <f>IF($C2459="","",S2459*T2459)</f>
        <v/>
      </c>
      <c r="X2459">
        <f>IF($C2459="","",IF($AM2459=1,0,IF($AL2459=1,Settings!$C$6,Settings!$C$7))*100)</f>
        <v/>
      </c>
      <c r="AB2459" s="7" t="n"/>
      <c r="AE2459" s="11" t="n"/>
      <c r="AG2459" s="7">
        <f>IF($C2459="","",U2459*X2459/100)</f>
        <v/>
      </c>
      <c r="AH2459" s="7">
        <f>IF($C2459="","",U2459-AG2459)</f>
        <v/>
      </c>
      <c r="AI2459" s="7">
        <f>IF($C2459="","",AH2459-M2459)</f>
        <v/>
      </c>
      <c r="AJ2459">
        <f>IF($C2459="","",IF(COUNTIF($C$2:$C2459,$C2459)=1,1,0))</f>
        <v/>
      </c>
      <c r="AK2459">
        <f>IF($AJ2459=1,SUMPRODUCT(--($AN$2:$AN$4001&lt;$AN2459))+1,"")</f>
        <v/>
      </c>
      <c r="AL2459">
        <f>IF($C2459="","",IF(OR($Q2459=TRUE(),$Q2459="TRUE"),1,0))</f>
        <v/>
      </c>
      <c r="AM2459">
        <f>IF($C2459="","",IF($W2459="Yes",1,0))</f>
        <v/>
      </c>
      <c r="AN2459">
        <f>IF($AJ2459=1,IFERROR(IF(VALUE($C2459)&lt;100000000,VALUE($C2459),1000000000),IFERROR(IF(VALUE(MID($C2459,2,20))&lt;100000000,VALUE(MID($C2459,2,20)),1000000000),1000000000))+ROW()/100000,"")</f>
        <v/>
      </c>
    </row>
    <row r="2460">
      <c r="E2460" s="11" t="n"/>
      <c r="M2460" s="7">
        <f>IF($C2460="","",L2460*U2460/100)</f>
        <v/>
      </c>
      <c r="N2460" s="7" t="n"/>
      <c r="T2460" s="7" t="n"/>
      <c r="U2460" s="7">
        <f>IF($C2460="","",S2460*T2460)</f>
        <v/>
      </c>
      <c r="X2460">
        <f>IF($C2460="","",IF($AM2460=1,0,IF($AL2460=1,Settings!$C$6,Settings!$C$7))*100)</f>
        <v/>
      </c>
      <c r="AB2460" s="7" t="n"/>
      <c r="AE2460" s="11" t="n"/>
      <c r="AG2460" s="7">
        <f>IF($C2460="","",U2460*X2460/100)</f>
        <v/>
      </c>
      <c r="AH2460" s="7">
        <f>IF($C2460="","",U2460-AG2460)</f>
        <v/>
      </c>
      <c r="AI2460" s="7">
        <f>IF($C2460="","",AH2460-M2460)</f>
        <v/>
      </c>
      <c r="AJ2460">
        <f>IF($C2460="","",IF(COUNTIF($C$2:$C2460,$C2460)=1,1,0))</f>
        <v/>
      </c>
      <c r="AK2460">
        <f>IF($AJ2460=1,SUMPRODUCT(--($AN$2:$AN$4001&lt;$AN2460))+1,"")</f>
        <v/>
      </c>
      <c r="AL2460">
        <f>IF($C2460="","",IF(OR($Q2460=TRUE(),$Q2460="TRUE"),1,0))</f>
        <v/>
      </c>
      <c r="AM2460">
        <f>IF($C2460="","",IF($W2460="Yes",1,0))</f>
        <v/>
      </c>
      <c r="AN2460">
        <f>IF($AJ2460=1,IFERROR(IF(VALUE($C2460)&lt;100000000,VALUE($C2460),1000000000),IFERROR(IF(VALUE(MID($C2460,2,20))&lt;100000000,VALUE(MID($C2460,2,20)),1000000000),1000000000))+ROW()/100000,"")</f>
        <v/>
      </c>
    </row>
    <row r="2461">
      <c r="E2461" s="11" t="n"/>
      <c r="M2461" s="7">
        <f>IF($C2461="","",L2461*U2461/100)</f>
        <v/>
      </c>
      <c r="N2461" s="7" t="n"/>
      <c r="T2461" s="7" t="n"/>
      <c r="U2461" s="7">
        <f>IF($C2461="","",S2461*T2461)</f>
        <v/>
      </c>
      <c r="X2461">
        <f>IF($C2461="","",IF($AM2461=1,0,IF($AL2461=1,Settings!$C$6,Settings!$C$7))*100)</f>
        <v/>
      </c>
      <c r="AB2461" s="7" t="n"/>
      <c r="AE2461" s="11" t="n"/>
      <c r="AG2461" s="7">
        <f>IF($C2461="","",U2461*X2461/100)</f>
        <v/>
      </c>
      <c r="AH2461" s="7">
        <f>IF($C2461="","",U2461-AG2461)</f>
        <v/>
      </c>
      <c r="AI2461" s="7">
        <f>IF($C2461="","",AH2461-M2461)</f>
        <v/>
      </c>
      <c r="AJ2461">
        <f>IF($C2461="","",IF(COUNTIF($C$2:$C2461,$C2461)=1,1,0))</f>
        <v/>
      </c>
      <c r="AK2461">
        <f>IF($AJ2461=1,SUMPRODUCT(--($AN$2:$AN$4001&lt;$AN2461))+1,"")</f>
        <v/>
      </c>
      <c r="AL2461">
        <f>IF($C2461="","",IF(OR($Q2461=TRUE(),$Q2461="TRUE"),1,0))</f>
        <v/>
      </c>
      <c r="AM2461">
        <f>IF($C2461="","",IF($W2461="Yes",1,0))</f>
        <v/>
      </c>
      <c r="AN2461">
        <f>IF($AJ2461=1,IFERROR(IF(VALUE($C2461)&lt;100000000,VALUE($C2461),1000000000),IFERROR(IF(VALUE(MID($C2461,2,20))&lt;100000000,VALUE(MID($C2461,2,20)),1000000000),1000000000))+ROW()/100000,"")</f>
        <v/>
      </c>
    </row>
    <row r="2462">
      <c r="E2462" s="11" t="n"/>
      <c r="M2462" s="7">
        <f>IF($C2462="","",L2462*U2462/100)</f>
        <v/>
      </c>
      <c r="N2462" s="7" t="n"/>
      <c r="T2462" s="7" t="n"/>
      <c r="U2462" s="7">
        <f>IF($C2462="","",S2462*T2462)</f>
        <v/>
      </c>
      <c r="X2462">
        <f>IF($C2462="","",IF($AM2462=1,0,IF($AL2462=1,Settings!$C$6,Settings!$C$7))*100)</f>
        <v/>
      </c>
      <c r="AB2462" s="7" t="n"/>
      <c r="AE2462" s="11" t="n"/>
      <c r="AG2462" s="7">
        <f>IF($C2462="","",U2462*X2462/100)</f>
        <v/>
      </c>
      <c r="AH2462" s="7">
        <f>IF($C2462="","",U2462-AG2462)</f>
        <v/>
      </c>
      <c r="AI2462" s="7">
        <f>IF($C2462="","",AH2462-M2462)</f>
        <v/>
      </c>
      <c r="AJ2462">
        <f>IF($C2462="","",IF(COUNTIF($C$2:$C2462,$C2462)=1,1,0))</f>
        <v/>
      </c>
      <c r="AK2462">
        <f>IF($AJ2462=1,SUMPRODUCT(--($AN$2:$AN$4001&lt;$AN2462))+1,"")</f>
        <v/>
      </c>
      <c r="AL2462">
        <f>IF($C2462="","",IF(OR($Q2462=TRUE(),$Q2462="TRUE"),1,0))</f>
        <v/>
      </c>
      <c r="AM2462">
        <f>IF($C2462="","",IF($W2462="Yes",1,0))</f>
        <v/>
      </c>
      <c r="AN2462">
        <f>IF($AJ2462=1,IFERROR(IF(VALUE($C2462)&lt;100000000,VALUE($C2462),1000000000),IFERROR(IF(VALUE(MID($C2462,2,20))&lt;100000000,VALUE(MID($C2462,2,20)),1000000000),1000000000))+ROW()/100000,"")</f>
        <v/>
      </c>
    </row>
    <row r="2463">
      <c r="E2463" s="11" t="n"/>
      <c r="M2463" s="7">
        <f>IF($C2463="","",L2463*U2463/100)</f>
        <v/>
      </c>
      <c r="N2463" s="7" t="n"/>
      <c r="T2463" s="7" t="n"/>
      <c r="U2463" s="7">
        <f>IF($C2463="","",S2463*T2463)</f>
        <v/>
      </c>
      <c r="X2463">
        <f>IF($C2463="","",IF($AM2463=1,0,IF($AL2463=1,Settings!$C$6,Settings!$C$7))*100)</f>
        <v/>
      </c>
      <c r="AB2463" s="7" t="n"/>
      <c r="AE2463" s="11" t="n"/>
      <c r="AG2463" s="7">
        <f>IF($C2463="","",U2463*X2463/100)</f>
        <v/>
      </c>
      <c r="AH2463" s="7">
        <f>IF($C2463="","",U2463-AG2463)</f>
        <v/>
      </c>
      <c r="AI2463" s="7">
        <f>IF($C2463="","",AH2463-M2463)</f>
        <v/>
      </c>
      <c r="AJ2463">
        <f>IF($C2463="","",IF(COUNTIF($C$2:$C2463,$C2463)=1,1,0))</f>
        <v/>
      </c>
      <c r="AK2463">
        <f>IF($AJ2463=1,SUMPRODUCT(--($AN$2:$AN$4001&lt;$AN2463))+1,"")</f>
        <v/>
      </c>
      <c r="AL2463">
        <f>IF($C2463="","",IF(OR($Q2463=TRUE(),$Q2463="TRUE"),1,0))</f>
        <v/>
      </c>
      <c r="AM2463">
        <f>IF($C2463="","",IF($W2463="Yes",1,0))</f>
        <v/>
      </c>
      <c r="AN2463">
        <f>IF($AJ2463=1,IFERROR(IF(VALUE($C2463)&lt;100000000,VALUE($C2463),1000000000),IFERROR(IF(VALUE(MID($C2463,2,20))&lt;100000000,VALUE(MID($C2463,2,20)),1000000000),1000000000))+ROW()/100000,"")</f>
        <v/>
      </c>
    </row>
    <row r="2464">
      <c r="E2464" s="11" t="n"/>
      <c r="M2464" s="7">
        <f>IF($C2464="","",L2464*U2464/100)</f>
        <v/>
      </c>
      <c r="N2464" s="7" t="n"/>
      <c r="T2464" s="7" t="n"/>
      <c r="U2464" s="7">
        <f>IF($C2464="","",S2464*T2464)</f>
        <v/>
      </c>
      <c r="X2464">
        <f>IF($C2464="","",IF($AM2464=1,0,IF($AL2464=1,Settings!$C$6,Settings!$C$7))*100)</f>
        <v/>
      </c>
      <c r="AB2464" s="7" t="n"/>
      <c r="AE2464" s="11" t="n"/>
      <c r="AG2464" s="7">
        <f>IF($C2464="","",U2464*X2464/100)</f>
        <v/>
      </c>
      <c r="AH2464" s="7">
        <f>IF($C2464="","",U2464-AG2464)</f>
        <v/>
      </c>
      <c r="AI2464" s="7">
        <f>IF($C2464="","",AH2464-M2464)</f>
        <v/>
      </c>
      <c r="AJ2464">
        <f>IF($C2464="","",IF(COUNTIF($C$2:$C2464,$C2464)=1,1,0))</f>
        <v/>
      </c>
      <c r="AK2464">
        <f>IF($AJ2464=1,SUMPRODUCT(--($AN$2:$AN$4001&lt;$AN2464))+1,"")</f>
        <v/>
      </c>
      <c r="AL2464">
        <f>IF($C2464="","",IF(OR($Q2464=TRUE(),$Q2464="TRUE"),1,0))</f>
        <v/>
      </c>
      <c r="AM2464">
        <f>IF($C2464="","",IF($W2464="Yes",1,0))</f>
        <v/>
      </c>
      <c r="AN2464">
        <f>IF($AJ2464=1,IFERROR(IF(VALUE($C2464)&lt;100000000,VALUE($C2464),1000000000),IFERROR(IF(VALUE(MID($C2464,2,20))&lt;100000000,VALUE(MID($C2464,2,20)),1000000000),1000000000))+ROW()/100000,"")</f>
        <v/>
      </c>
    </row>
    <row r="2465">
      <c r="E2465" s="11" t="n"/>
      <c r="M2465" s="7">
        <f>IF($C2465="","",L2465*U2465/100)</f>
        <v/>
      </c>
      <c r="N2465" s="7" t="n"/>
      <c r="T2465" s="7" t="n"/>
      <c r="U2465" s="7">
        <f>IF($C2465="","",S2465*T2465)</f>
        <v/>
      </c>
      <c r="X2465">
        <f>IF($C2465="","",IF($AM2465=1,0,IF($AL2465=1,Settings!$C$6,Settings!$C$7))*100)</f>
        <v/>
      </c>
      <c r="AB2465" s="7" t="n"/>
      <c r="AE2465" s="11" t="n"/>
      <c r="AG2465" s="7">
        <f>IF($C2465="","",U2465*X2465/100)</f>
        <v/>
      </c>
      <c r="AH2465" s="7">
        <f>IF($C2465="","",U2465-AG2465)</f>
        <v/>
      </c>
      <c r="AI2465" s="7">
        <f>IF($C2465="","",AH2465-M2465)</f>
        <v/>
      </c>
      <c r="AJ2465">
        <f>IF($C2465="","",IF(COUNTIF($C$2:$C2465,$C2465)=1,1,0))</f>
        <v/>
      </c>
      <c r="AK2465">
        <f>IF($AJ2465=1,SUMPRODUCT(--($AN$2:$AN$4001&lt;$AN2465))+1,"")</f>
        <v/>
      </c>
      <c r="AL2465">
        <f>IF($C2465="","",IF(OR($Q2465=TRUE(),$Q2465="TRUE"),1,0))</f>
        <v/>
      </c>
      <c r="AM2465">
        <f>IF($C2465="","",IF($W2465="Yes",1,0))</f>
        <v/>
      </c>
      <c r="AN2465">
        <f>IF($AJ2465=1,IFERROR(IF(VALUE($C2465)&lt;100000000,VALUE($C2465),1000000000),IFERROR(IF(VALUE(MID($C2465,2,20))&lt;100000000,VALUE(MID($C2465,2,20)),1000000000),1000000000))+ROW()/100000,"")</f>
        <v/>
      </c>
    </row>
    <row r="2466">
      <c r="E2466" s="11" t="n"/>
      <c r="M2466" s="7">
        <f>IF($C2466="","",L2466*U2466/100)</f>
        <v/>
      </c>
      <c r="N2466" s="7" t="n"/>
      <c r="T2466" s="7" t="n"/>
      <c r="U2466" s="7">
        <f>IF($C2466="","",S2466*T2466)</f>
        <v/>
      </c>
      <c r="X2466">
        <f>IF($C2466="","",IF($AM2466=1,0,IF($AL2466=1,Settings!$C$6,Settings!$C$7))*100)</f>
        <v/>
      </c>
      <c r="AB2466" s="7" t="n"/>
      <c r="AE2466" s="11" t="n"/>
      <c r="AG2466" s="7">
        <f>IF($C2466="","",U2466*X2466/100)</f>
        <v/>
      </c>
      <c r="AH2466" s="7">
        <f>IF($C2466="","",U2466-AG2466)</f>
        <v/>
      </c>
      <c r="AI2466" s="7">
        <f>IF($C2466="","",AH2466-M2466)</f>
        <v/>
      </c>
      <c r="AJ2466">
        <f>IF($C2466="","",IF(COUNTIF($C$2:$C2466,$C2466)=1,1,0))</f>
        <v/>
      </c>
      <c r="AK2466">
        <f>IF($AJ2466=1,SUMPRODUCT(--($AN$2:$AN$4001&lt;$AN2466))+1,"")</f>
        <v/>
      </c>
      <c r="AL2466">
        <f>IF($C2466="","",IF(OR($Q2466=TRUE(),$Q2466="TRUE"),1,0))</f>
        <v/>
      </c>
      <c r="AM2466">
        <f>IF($C2466="","",IF($W2466="Yes",1,0))</f>
        <v/>
      </c>
      <c r="AN2466">
        <f>IF($AJ2466=1,IFERROR(IF(VALUE($C2466)&lt;100000000,VALUE($C2466),1000000000),IFERROR(IF(VALUE(MID($C2466,2,20))&lt;100000000,VALUE(MID($C2466,2,20)),1000000000),1000000000))+ROW()/100000,"")</f>
        <v/>
      </c>
    </row>
    <row r="2467">
      <c r="E2467" s="11" t="n"/>
      <c r="M2467" s="7">
        <f>IF($C2467="","",L2467*U2467/100)</f>
        <v/>
      </c>
      <c r="N2467" s="7" t="n"/>
      <c r="T2467" s="7" t="n"/>
      <c r="U2467" s="7">
        <f>IF($C2467="","",S2467*T2467)</f>
        <v/>
      </c>
      <c r="X2467">
        <f>IF($C2467="","",IF($AM2467=1,0,IF($AL2467=1,Settings!$C$6,Settings!$C$7))*100)</f>
        <v/>
      </c>
      <c r="AB2467" s="7" t="n"/>
      <c r="AE2467" s="11" t="n"/>
      <c r="AG2467" s="7">
        <f>IF($C2467="","",U2467*X2467/100)</f>
        <v/>
      </c>
      <c r="AH2467" s="7">
        <f>IF($C2467="","",U2467-AG2467)</f>
        <v/>
      </c>
      <c r="AI2467" s="7">
        <f>IF($C2467="","",AH2467-M2467)</f>
        <v/>
      </c>
      <c r="AJ2467">
        <f>IF($C2467="","",IF(COUNTIF($C$2:$C2467,$C2467)=1,1,0))</f>
        <v/>
      </c>
      <c r="AK2467">
        <f>IF($AJ2467=1,SUMPRODUCT(--($AN$2:$AN$4001&lt;$AN2467))+1,"")</f>
        <v/>
      </c>
      <c r="AL2467">
        <f>IF($C2467="","",IF(OR($Q2467=TRUE(),$Q2467="TRUE"),1,0))</f>
        <v/>
      </c>
      <c r="AM2467">
        <f>IF($C2467="","",IF($W2467="Yes",1,0))</f>
        <v/>
      </c>
      <c r="AN2467">
        <f>IF($AJ2467=1,IFERROR(IF(VALUE($C2467)&lt;100000000,VALUE($C2467),1000000000),IFERROR(IF(VALUE(MID($C2467,2,20))&lt;100000000,VALUE(MID($C2467,2,20)),1000000000),1000000000))+ROW()/100000,"")</f>
        <v/>
      </c>
    </row>
    <row r="2468">
      <c r="E2468" s="11" t="n"/>
      <c r="M2468" s="7">
        <f>IF($C2468="","",L2468*U2468/100)</f>
        <v/>
      </c>
      <c r="N2468" s="7" t="n"/>
      <c r="T2468" s="7" t="n"/>
      <c r="U2468" s="7">
        <f>IF($C2468="","",S2468*T2468)</f>
        <v/>
      </c>
      <c r="X2468">
        <f>IF($C2468="","",IF($AM2468=1,0,IF($AL2468=1,Settings!$C$6,Settings!$C$7))*100)</f>
        <v/>
      </c>
      <c r="AB2468" s="7" t="n"/>
      <c r="AE2468" s="11" t="n"/>
      <c r="AG2468" s="7">
        <f>IF($C2468="","",U2468*X2468/100)</f>
        <v/>
      </c>
      <c r="AH2468" s="7">
        <f>IF($C2468="","",U2468-AG2468)</f>
        <v/>
      </c>
      <c r="AI2468" s="7">
        <f>IF($C2468="","",AH2468-M2468)</f>
        <v/>
      </c>
      <c r="AJ2468">
        <f>IF($C2468="","",IF(COUNTIF($C$2:$C2468,$C2468)=1,1,0))</f>
        <v/>
      </c>
      <c r="AK2468">
        <f>IF($AJ2468=1,SUMPRODUCT(--($AN$2:$AN$4001&lt;$AN2468))+1,"")</f>
        <v/>
      </c>
      <c r="AL2468">
        <f>IF($C2468="","",IF(OR($Q2468=TRUE(),$Q2468="TRUE"),1,0))</f>
        <v/>
      </c>
      <c r="AM2468">
        <f>IF($C2468="","",IF($W2468="Yes",1,0))</f>
        <v/>
      </c>
      <c r="AN2468">
        <f>IF($AJ2468=1,IFERROR(IF(VALUE($C2468)&lt;100000000,VALUE($C2468),1000000000),IFERROR(IF(VALUE(MID($C2468,2,20))&lt;100000000,VALUE(MID($C2468,2,20)),1000000000),1000000000))+ROW()/100000,"")</f>
        <v/>
      </c>
    </row>
    <row r="2469">
      <c r="E2469" s="11" t="n"/>
      <c r="M2469" s="7">
        <f>IF($C2469="","",L2469*U2469/100)</f>
        <v/>
      </c>
      <c r="N2469" s="7" t="n"/>
      <c r="T2469" s="7" t="n"/>
      <c r="U2469" s="7">
        <f>IF($C2469="","",S2469*T2469)</f>
        <v/>
      </c>
      <c r="X2469">
        <f>IF($C2469="","",IF($AM2469=1,0,IF($AL2469=1,Settings!$C$6,Settings!$C$7))*100)</f>
        <v/>
      </c>
      <c r="AB2469" s="7" t="n"/>
      <c r="AE2469" s="11" t="n"/>
      <c r="AG2469" s="7">
        <f>IF($C2469="","",U2469*X2469/100)</f>
        <v/>
      </c>
      <c r="AH2469" s="7">
        <f>IF($C2469="","",U2469-AG2469)</f>
        <v/>
      </c>
      <c r="AI2469" s="7">
        <f>IF($C2469="","",AH2469-M2469)</f>
        <v/>
      </c>
      <c r="AJ2469">
        <f>IF($C2469="","",IF(COUNTIF($C$2:$C2469,$C2469)=1,1,0))</f>
        <v/>
      </c>
      <c r="AK2469">
        <f>IF($AJ2469=1,SUMPRODUCT(--($AN$2:$AN$4001&lt;$AN2469))+1,"")</f>
        <v/>
      </c>
      <c r="AL2469">
        <f>IF($C2469="","",IF(OR($Q2469=TRUE(),$Q2469="TRUE"),1,0))</f>
        <v/>
      </c>
      <c r="AM2469">
        <f>IF($C2469="","",IF($W2469="Yes",1,0))</f>
        <v/>
      </c>
      <c r="AN2469">
        <f>IF($AJ2469=1,IFERROR(IF(VALUE($C2469)&lt;100000000,VALUE($C2469),1000000000),IFERROR(IF(VALUE(MID($C2469,2,20))&lt;100000000,VALUE(MID($C2469,2,20)),1000000000),1000000000))+ROW()/100000,"")</f>
        <v/>
      </c>
    </row>
    <row r="2470">
      <c r="E2470" s="11" t="n"/>
      <c r="M2470" s="7">
        <f>IF($C2470="","",L2470*U2470/100)</f>
        <v/>
      </c>
      <c r="N2470" s="7" t="n"/>
      <c r="T2470" s="7" t="n"/>
      <c r="U2470" s="7">
        <f>IF($C2470="","",S2470*T2470)</f>
        <v/>
      </c>
      <c r="X2470">
        <f>IF($C2470="","",IF($AM2470=1,0,IF($AL2470=1,Settings!$C$6,Settings!$C$7))*100)</f>
        <v/>
      </c>
      <c r="AB2470" s="7" t="n"/>
      <c r="AE2470" s="11" t="n"/>
      <c r="AG2470" s="7">
        <f>IF($C2470="","",U2470*X2470/100)</f>
        <v/>
      </c>
      <c r="AH2470" s="7">
        <f>IF($C2470="","",U2470-AG2470)</f>
        <v/>
      </c>
      <c r="AI2470" s="7">
        <f>IF($C2470="","",AH2470-M2470)</f>
        <v/>
      </c>
      <c r="AJ2470">
        <f>IF($C2470="","",IF(COUNTIF($C$2:$C2470,$C2470)=1,1,0))</f>
        <v/>
      </c>
      <c r="AK2470">
        <f>IF($AJ2470=1,SUMPRODUCT(--($AN$2:$AN$4001&lt;$AN2470))+1,"")</f>
        <v/>
      </c>
      <c r="AL2470">
        <f>IF($C2470="","",IF(OR($Q2470=TRUE(),$Q2470="TRUE"),1,0))</f>
        <v/>
      </c>
      <c r="AM2470">
        <f>IF($C2470="","",IF($W2470="Yes",1,0))</f>
        <v/>
      </c>
      <c r="AN2470">
        <f>IF($AJ2470=1,IFERROR(IF(VALUE($C2470)&lt;100000000,VALUE($C2470),1000000000),IFERROR(IF(VALUE(MID($C2470,2,20))&lt;100000000,VALUE(MID($C2470,2,20)),1000000000),1000000000))+ROW()/100000,"")</f>
        <v/>
      </c>
    </row>
    <row r="2471">
      <c r="E2471" s="11" t="n"/>
      <c r="M2471" s="7">
        <f>IF($C2471="","",L2471*U2471/100)</f>
        <v/>
      </c>
      <c r="N2471" s="7" t="n"/>
      <c r="T2471" s="7" t="n"/>
      <c r="U2471" s="7">
        <f>IF($C2471="","",S2471*T2471)</f>
        <v/>
      </c>
      <c r="X2471">
        <f>IF($C2471="","",IF($AM2471=1,0,IF($AL2471=1,Settings!$C$6,Settings!$C$7))*100)</f>
        <v/>
      </c>
      <c r="AB2471" s="7" t="n"/>
      <c r="AE2471" s="11" t="n"/>
      <c r="AG2471" s="7">
        <f>IF($C2471="","",U2471*X2471/100)</f>
        <v/>
      </c>
      <c r="AH2471" s="7">
        <f>IF($C2471="","",U2471-AG2471)</f>
        <v/>
      </c>
      <c r="AI2471" s="7">
        <f>IF($C2471="","",AH2471-M2471)</f>
        <v/>
      </c>
      <c r="AJ2471">
        <f>IF($C2471="","",IF(COUNTIF($C$2:$C2471,$C2471)=1,1,0))</f>
        <v/>
      </c>
      <c r="AK2471">
        <f>IF($AJ2471=1,SUMPRODUCT(--($AN$2:$AN$4001&lt;$AN2471))+1,"")</f>
        <v/>
      </c>
      <c r="AL2471">
        <f>IF($C2471="","",IF(OR($Q2471=TRUE(),$Q2471="TRUE"),1,0))</f>
        <v/>
      </c>
      <c r="AM2471">
        <f>IF($C2471="","",IF($W2471="Yes",1,0))</f>
        <v/>
      </c>
      <c r="AN2471">
        <f>IF($AJ2471=1,IFERROR(IF(VALUE($C2471)&lt;100000000,VALUE($C2471),1000000000),IFERROR(IF(VALUE(MID($C2471,2,20))&lt;100000000,VALUE(MID($C2471,2,20)),1000000000),1000000000))+ROW()/100000,"")</f>
        <v/>
      </c>
    </row>
    <row r="2472">
      <c r="E2472" s="11" t="n"/>
      <c r="M2472" s="7">
        <f>IF($C2472="","",L2472*U2472/100)</f>
        <v/>
      </c>
      <c r="N2472" s="7" t="n"/>
      <c r="T2472" s="7" t="n"/>
      <c r="U2472" s="7">
        <f>IF($C2472="","",S2472*T2472)</f>
        <v/>
      </c>
      <c r="X2472">
        <f>IF($C2472="","",IF($AM2472=1,0,IF($AL2472=1,Settings!$C$6,Settings!$C$7))*100)</f>
        <v/>
      </c>
      <c r="AB2472" s="7" t="n"/>
      <c r="AE2472" s="11" t="n"/>
      <c r="AG2472" s="7">
        <f>IF($C2472="","",U2472*X2472/100)</f>
        <v/>
      </c>
      <c r="AH2472" s="7">
        <f>IF($C2472="","",U2472-AG2472)</f>
        <v/>
      </c>
      <c r="AI2472" s="7">
        <f>IF($C2472="","",AH2472-M2472)</f>
        <v/>
      </c>
      <c r="AJ2472">
        <f>IF($C2472="","",IF(COUNTIF($C$2:$C2472,$C2472)=1,1,0))</f>
        <v/>
      </c>
      <c r="AK2472">
        <f>IF($AJ2472=1,SUMPRODUCT(--($AN$2:$AN$4001&lt;$AN2472))+1,"")</f>
        <v/>
      </c>
      <c r="AL2472">
        <f>IF($C2472="","",IF(OR($Q2472=TRUE(),$Q2472="TRUE"),1,0))</f>
        <v/>
      </c>
      <c r="AM2472">
        <f>IF($C2472="","",IF($W2472="Yes",1,0))</f>
        <v/>
      </c>
      <c r="AN2472">
        <f>IF($AJ2472=1,IFERROR(IF(VALUE($C2472)&lt;100000000,VALUE($C2472),1000000000),IFERROR(IF(VALUE(MID($C2472,2,20))&lt;100000000,VALUE(MID($C2472,2,20)),1000000000),1000000000))+ROW()/100000,"")</f>
        <v/>
      </c>
    </row>
    <row r="2473">
      <c r="E2473" s="11" t="n"/>
      <c r="M2473" s="7">
        <f>IF($C2473="","",L2473*U2473/100)</f>
        <v/>
      </c>
      <c r="N2473" s="7" t="n"/>
      <c r="T2473" s="7" t="n"/>
      <c r="U2473" s="7">
        <f>IF($C2473="","",S2473*T2473)</f>
        <v/>
      </c>
      <c r="X2473">
        <f>IF($C2473="","",IF($AM2473=1,0,IF($AL2473=1,Settings!$C$6,Settings!$C$7))*100)</f>
        <v/>
      </c>
      <c r="AB2473" s="7" t="n"/>
      <c r="AE2473" s="11" t="n"/>
      <c r="AG2473" s="7">
        <f>IF($C2473="","",U2473*X2473/100)</f>
        <v/>
      </c>
      <c r="AH2473" s="7">
        <f>IF($C2473="","",U2473-AG2473)</f>
        <v/>
      </c>
      <c r="AI2473" s="7">
        <f>IF($C2473="","",AH2473-M2473)</f>
        <v/>
      </c>
      <c r="AJ2473">
        <f>IF($C2473="","",IF(COUNTIF($C$2:$C2473,$C2473)=1,1,0))</f>
        <v/>
      </c>
      <c r="AK2473">
        <f>IF($AJ2473=1,SUMPRODUCT(--($AN$2:$AN$4001&lt;$AN2473))+1,"")</f>
        <v/>
      </c>
      <c r="AL2473">
        <f>IF($C2473="","",IF(OR($Q2473=TRUE(),$Q2473="TRUE"),1,0))</f>
        <v/>
      </c>
      <c r="AM2473">
        <f>IF($C2473="","",IF($W2473="Yes",1,0))</f>
        <v/>
      </c>
      <c r="AN2473">
        <f>IF($AJ2473=1,IFERROR(IF(VALUE($C2473)&lt;100000000,VALUE($C2473),1000000000),IFERROR(IF(VALUE(MID($C2473,2,20))&lt;100000000,VALUE(MID($C2473,2,20)),1000000000),1000000000))+ROW()/100000,"")</f>
        <v/>
      </c>
    </row>
    <row r="2474">
      <c r="E2474" s="11" t="n"/>
      <c r="M2474" s="7">
        <f>IF($C2474="","",L2474*U2474/100)</f>
        <v/>
      </c>
      <c r="N2474" s="7" t="n"/>
      <c r="T2474" s="7" t="n"/>
      <c r="U2474" s="7">
        <f>IF($C2474="","",S2474*T2474)</f>
        <v/>
      </c>
      <c r="X2474">
        <f>IF($C2474="","",IF($AM2474=1,0,IF($AL2474=1,Settings!$C$6,Settings!$C$7))*100)</f>
        <v/>
      </c>
      <c r="AB2474" s="7" t="n"/>
      <c r="AE2474" s="11" t="n"/>
      <c r="AG2474" s="7">
        <f>IF($C2474="","",U2474*X2474/100)</f>
        <v/>
      </c>
      <c r="AH2474" s="7">
        <f>IF($C2474="","",U2474-AG2474)</f>
        <v/>
      </c>
      <c r="AI2474" s="7">
        <f>IF($C2474="","",AH2474-M2474)</f>
        <v/>
      </c>
      <c r="AJ2474">
        <f>IF($C2474="","",IF(COUNTIF($C$2:$C2474,$C2474)=1,1,0))</f>
        <v/>
      </c>
      <c r="AK2474">
        <f>IF($AJ2474=1,SUMPRODUCT(--($AN$2:$AN$4001&lt;$AN2474))+1,"")</f>
        <v/>
      </c>
      <c r="AL2474">
        <f>IF($C2474="","",IF(OR($Q2474=TRUE(),$Q2474="TRUE"),1,0))</f>
        <v/>
      </c>
      <c r="AM2474">
        <f>IF($C2474="","",IF($W2474="Yes",1,0))</f>
        <v/>
      </c>
      <c r="AN2474">
        <f>IF($AJ2474=1,IFERROR(IF(VALUE($C2474)&lt;100000000,VALUE($C2474),1000000000),IFERROR(IF(VALUE(MID($C2474,2,20))&lt;100000000,VALUE(MID($C2474,2,20)),1000000000),1000000000))+ROW()/100000,"")</f>
        <v/>
      </c>
    </row>
    <row r="2475">
      <c r="E2475" s="11" t="n"/>
      <c r="M2475" s="7">
        <f>IF($C2475="","",L2475*U2475/100)</f>
        <v/>
      </c>
      <c r="N2475" s="7" t="n"/>
      <c r="T2475" s="7" t="n"/>
      <c r="U2475" s="7">
        <f>IF($C2475="","",S2475*T2475)</f>
        <v/>
      </c>
      <c r="X2475">
        <f>IF($C2475="","",IF($AM2475=1,0,IF($AL2475=1,Settings!$C$6,Settings!$C$7))*100)</f>
        <v/>
      </c>
      <c r="AB2475" s="7" t="n"/>
      <c r="AE2475" s="11" t="n"/>
      <c r="AG2475" s="7">
        <f>IF($C2475="","",U2475*X2475/100)</f>
        <v/>
      </c>
      <c r="AH2475" s="7">
        <f>IF($C2475="","",U2475-AG2475)</f>
        <v/>
      </c>
      <c r="AI2475" s="7">
        <f>IF($C2475="","",AH2475-M2475)</f>
        <v/>
      </c>
      <c r="AJ2475">
        <f>IF($C2475="","",IF(COUNTIF($C$2:$C2475,$C2475)=1,1,0))</f>
        <v/>
      </c>
      <c r="AK2475">
        <f>IF($AJ2475=1,SUMPRODUCT(--($AN$2:$AN$4001&lt;$AN2475))+1,"")</f>
        <v/>
      </c>
      <c r="AL2475">
        <f>IF($C2475="","",IF(OR($Q2475=TRUE(),$Q2475="TRUE"),1,0))</f>
        <v/>
      </c>
      <c r="AM2475">
        <f>IF($C2475="","",IF($W2475="Yes",1,0))</f>
        <v/>
      </c>
      <c r="AN2475">
        <f>IF($AJ2475=1,IFERROR(IF(VALUE($C2475)&lt;100000000,VALUE($C2475),1000000000),IFERROR(IF(VALUE(MID($C2475,2,20))&lt;100000000,VALUE(MID($C2475,2,20)),1000000000),1000000000))+ROW()/100000,"")</f>
        <v/>
      </c>
    </row>
    <row r="2476">
      <c r="E2476" s="11" t="n"/>
      <c r="M2476" s="7">
        <f>IF($C2476="","",L2476*U2476/100)</f>
        <v/>
      </c>
      <c r="N2476" s="7" t="n"/>
      <c r="T2476" s="7" t="n"/>
      <c r="U2476" s="7">
        <f>IF($C2476="","",S2476*T2476)</f>
        <v/>
      </c>
      <c r="X2476">
        <f>IF($C2476="","",IF($AM2476=1,0,IF($AL2476=1,Settings!$C$6,Settings!$C$7))*100)</f>
        <v/>
      </c>
      <c r="AB2476" s="7" t="n"/>
      <c r="AE2476" s="11" t="n"/>
      <c r="AG2476" s="7">
        <f>IF($C2476="","",U2476*X2476/100)</f>
        <v/>
      </c>
      <c r="AH2476" s="7">
        <f>IF($C2476="","",U2476-AG2476)</f>
        <v/>
      </c>
      <c r="AI2476" s="7">
        <f>IF($C2476="","",AH2476-M2476)</f>
        <v/>
      </c>
      <c r="AJ2476">
        <f>IF($C2476="","",IF(COUNTIF($C$2:$C2476,$C2476)=1,1,0))</f>
        <v/>
      </c>
      <c r="AK2476">
        <f>IF($AJ2476=1,SUMPRODUCT(--($AN$2:$AN$4001&lt;$AN2476))+1,"")</f>
        <v/>
      </c>
      <c r="AL2476">
        <f>IF($C2476="","",IF(OR($Q2476=TRUE(),$Q2476="TRUE"),1,0))</f>
        <v/>
      </c>
      <c r="AM2476">
        <f>IF($C2476="","",IF($W2476="Yes",1,0))</f>
        <v/>
      </c>
      <c r="AN2476">
        <f>IF($AJ2476=1,IFERROR(IF(VALUE($C2476)&lt;100000000,VALUE($C2476),1000000000),IFERROR(IF(VALUE(MID($C2476,2,20))&lt;100000000,VALUE(MID($C2476,2,20)),1000000000),1000000000))+ROW()/100000,"")</f>
        <v/>
      </c>
    </row>
    <row r="2477">
      <c r="E2477" s="11" t="n"/>
      <c r="M2477" s="7">
        <f>IF($C2477="","",L2477*U2477/100)</f>
        <v/>
      </c>
      <c r="N2477" s="7" t="n"/>
      <c r="T2477" s="7" t="n"/>
      <c r="U2477" s="7">
        <f>IF($C2477="","",S2477*T2477)</f>
        <v/>
      </c>
      <c r="X2477">
        <f>IF($C2477="","",IF($AM2477=1,0,IF($AL2477=1,Settings!$C$6,Settings!$C$7))*100)</f>
        <v/>
      </c>
      <c r="AB2477" s="7" t="n"/>
      <c r="AE2477" s="11" t="n"/>
      <c r="AG2477" s="7">
        <f>IF($C2477="","",U2477*X2477/100)</f>
        <v/>
      </c>
      <c r="AH2477" s="7">
        <f>IF($C2477="","",U2477-AG2477)</f>
        <v/>
      </c>
      <c r="AI2477" s="7">
        <f>IF($C2477="","",AH2477-M2477)</f>
        <v/>
      </c>
      <c r="AJ2477">
        <f>IF($C2477="","",IF(COUNTIF($C$2:$C2477,$C2477)=1,1,0))</f>
        <v/>
      </c>
      <c r="AK2477">
        <f>IF($AJ2477=1,SUMPRODUCT(--($AN$2:$AN$4001&lt;$AN2477))+1,"")</f>
        <v/>
      </c>
      <c r="AL2477">
        <f>IF($C2477="","",IF(OR($Q2477=TRUE(),$Q2477="TRUE"),1,0))</f>
        <v/>
      </c>
      <c r="AM2477">
        <f>IF($C2477="","",IF($W2477="Yes",1,0))</f>
        <v/>
      </c>
      <c r="AN2477">
        <f>IF($AJ2477=1,IFERROR(IF(VALUE($C2477)&lt;100000000,VALUE($C2477),1000000000),IFERROR(IF(VALUE(MID($C2477,2,20))&lt;100000000,VALUE(MID($C2477,2,20)),1000000000),1000000000))+ROW()/100000,"")</f>
        <v/>
      </c>
    </row>
    <row r="2478">
      <c r="E2478" s="11" t="n"/>
      <c r="M2478" s="7">
        <f>IF($C2478="","",L2478*U2478/100)</f>
        <v/>
      </c>
      <c r="N2478" s="7" t="n"/>
      <c r="T2478" s="7" t="n"/>
      <c r="U2478" s="7">
        <f>IF($C2478="","",S2478*T2478)</f>
        <v/>
      </c>
      <c r="X2478">
        <f>IF($C2478="","",IF($AM2478=1,0,IF($AL2478=1,Settings!$C$6,Settings!$C$7))*100)</f>
        <v/>
      </c>
      <c r="AB2478" s="7" t="n"/>
      <c r="AE2478" s="11" t="n"/>
      <c r="AG2478" s="7">
        <f>IF($C2478="","",U2478*X2478/100)</f>
        <v/>
      </c>
      <c r="AH2478" s="7">
        <f>IF($C2478="","",U2478-AG2478)</f>
        <v/>
      </c>
      <c r="AI2478" s="7">
        <f>IF($C2478="","",AH2478-M2478)</f>
        <v/>
      </c>
      <c r="AJ2478">
        <f>IF($C2478="","",IF(COUNTIF($C$2:$C2478,$C2478)=1,1,0))</f>
        <v/>
      </c>
      <c r="AK2478">
        <f>IF($AJ2478=1,SUMPRODUCT(--($AN$2:$AN$4001&lt;$AN2478))+1,"")</f>
        <v/>
      </c>
      <c r="AL2478">
        <f>IF($C2478="","",IF(OR($Q2478=TRUE(),$Q2478="TRUE"),1,0))</f>
        <v/>
      </c>
      <c r="AM2478">
        <f>IF($C2478="","",IF($W2478="Yes",1,0))</f>
        <v/>
      </c>
      <c r="AN2478">
        <f>IF($AJ2478=1,IFERROR(IF(VALUE($C2478)&lt;100000000,VALUE($C2478),1000000000),IFERROR(IF(VALUE(MID($C2478,2,20))&lt;100000000,VALUE(MID($C2478,2,20)),1000000000),1000000000))+ROW()/100000,"")</f>
        <v/>
      </c>
    </row>
    <row r="2479">
      <c r="E2479" s="11" t="n"/>
      <c r="M2479" s="7">
        <f>IF($C2479="","",L2479*U2479/100)</f>
        <v/>
      </c>
      <c r="N2479" s="7" t="n"/>
      <c r="T2479" s="7" t="n"/>
      <c r="U2479" s="7">
        <f>IF($C2479="","",S2479*T2479)</f>
        <v/>
      </c>
      <c r="X2479">
        <f>IF($C2479="","",IF($AM2479=1,0,IF($AL2479=1,Settings!$C$6,Settings!$C$7))*100)</f>
        <v/>
      </c>
      <c r="AB2479" s="7" t="n"/>
      <c r="AE2479" s="11" t="n"/>
      <c r="AG2479" s="7">
        <f>IF($C2479="","",U2479*X2479/100)</f>
        <v/>
      </c>
      <c r="AH2479" s="7">
        <f>IF($C2479="","",U2479-AG2479)</f>
        <v/>
      </c>
      <c r="AI2479" s="7">
        <f>IF($C2479="","",AH2479-M2479)</f>
        <v/>
      </c>
      <c r="AJ2479">
        <f>IF($C2479="","",IF(COUNTIF($C$2:$C2479,$C2479)=1,1,0))</f>
        <v/>
      </c>
      <c r="AK2479">
        <f>IF($AJ2479=1,SUMPRODUCT(--($AN$2:$AN$4001&lt;$AN2479))+1,"")</f>
        <v/>
      </c>
      <c r="AL2479">
        <f>IF($C2479="","",IF(OR($Q2479=TRUE(),$Q2479="TRUE"),1,0))</f>
        <v/>
      </c>
      <c r="AM2479">
        <f>IF($C2479="","",IF($W2479="Yes",1,0))</f>
        <v/>
      </c>
      <c r="AN2479">
        <f>IF($AJ2479=1,IFERROR(IF(VALUE($C2479)&lt;100000000,VALUE($C2479),1000000000),IFERROR(IF(VALUE(MID($C2479,2,20))&lt;100000000,VALUE(MID($C2479,2,20)),1000000000),1000000000))+ROW()/100000,"")</f>
        <v/>
      </c>
    </row>
    <row r="2480">
      <c r="E2480" s="11" t="n"/>
      <c r="M2480" s="7">
        <f>IF($C2480="","",L2480*U2480/100)</f>
        <v/>
      </c>
      <c r="N2480" s="7" t="n"/>
      <c r="T2480" s="7" t="n"/>
      <c r="U2480" s="7">
        <f>IF($C2480="","",S2480*T2480)</f>
        <v/>
      </c>
      <c r="X2480">
        <f>IF($C2480="","",IF($AM2480=1,0,IF($AL2480=1,Settings!$C$6,Settings!$C$7))*100)</f>
        <v/>
      </c>
      <c r="AB2480" s="7" t="n"/>
      <c r="AE2480" s="11" t="n"/>
      <c r="AG2480" s="7">
        <f>IF($C2480="","",U2480*X2480/100)</f>
        <v/>
      </c>
      <c r="AH2480" s="7">
        <f>IF($C2480="","",U2480-AG2480)</f>
        <v/>
      </c>
      <c r="AI2480" s="7">
        <f>IF($C2480="","",AH2480-M2480)</f>
        <v/>
      </c>
      <c r="AJ2480">
        <f>IF($C2480="","",IF(COUNTIF($C$2:$C2480,$C2480)=1,1,0))</f>
        <v/>
      </c>
      <c r="AK2480">
        <f>IF($AJ2480=1,SUMPRODUCT(--($AN$2:$AN$4001&lt;$AN2480))+1,"")</f>
        <v/>
      </c>
      <c r="AL2480">
        <f>IF($C2480="","",IF(OR($Q2480=TRUE(),$Q2480="TRUE"),1,0))</f>
        <v/>
      </c>
      <c r="AM2480">
        <f>IF($C2480="","",IF($W2480="Yes",1,0))</f>
        <v/>
      </c>
      <c r="AN2480">
        <f>IF($AJ2480=1,IFERROR(IF(VALUE($C2480)&lt;100000000,VALUE($C2480),1000000000),IFERROR(IF(VALUE(MID($C2480,2,20))&lt;100000000,VALUE(MID($C2480,2,20)),1000000000),1000000000))+ROW()/100000,"")</f>
        <v/>
      </c>
    </row>
    <row r="2481">
      <c r="E2481" s="11" t="n"/>
      <c r="M2481" s="7">
        <f>IF($C2481="","",L2481*U2481/100)</f>
        <v/>
      </c>
      <c r="N2481" s="7" t="n"/>
      <c r="T2481" s="7" t="n"/>
      <c r="U2481" s="7">
        <f>IF($C2481="","",S2481*T2481)</f>
        <v/>
      </c>
      <c r="X2481">
        <f>IF($C2481="","",IF($AM2481=1,0,IF($AL2481=1,Settings!$C$6,Settings!$C$7))*100)</f>
        <v/>
      </c>
      <c r="AB2481" s="7" t="n"/>
      <c r="AE2481" s="11" t="n"/>
      <c r="AG2481" s="7">
        <f>IF($C2481="","",U2481*X2481/100)</f>
        <v/>
      </c>
      <c r="AH2481" s="7">
        <f>IF($C2481="","",U2481-AG2481)</f>
        <v/>
      </c>
      <c r="AI2481" s="7">
        <f>IF($C2481="","",AH2481-M2481)</f>
        <v/>
      </c>
      <c r="AJ2481">
        <f>IF($C2481="","",IF(COUNTIF($C$2:$C2481,$C2481)=1,1,0))</f>
        <v/>
      </c>
      <c r="AK2481">
        <f>IF($AJ2481=1,SUMPRODUCT(--($AN$2:$AN$4001&lt;$AN2481))+1,"")</f>
        <v/>
      </c>
      <c r="AL2481">
        <f>IF($C2481="","",IF(OR($Q2481=TRUE(),$Q2481="TRUE"),1,0))</f>
        <v/>
      </c>
      <c r="AM2481">
        <f>IF($C2481="","",IF($W2481="Yes",1,0))</f>
        <v/>
      </c>
      <c r="AN2481">
        <f>IF($AJ2481=1,IFERROR(IF(VALUE($C2481)&lt;100000000,VALUE($C2481),1000000000),IFERROR(IF(VALUE(MID($C2481,2,20))&lt;100000000,VALUE(MID($C2481,2,20)),1000000000),1000000000))+ROW()/100000,"")</f>
        <v/>
      </c>
    </row>
    <row r="2482">
      <c r="E2482" s="11" t="n"/>
      <c r="M2482" s="7">
        <f>IF($C2482="","",L2482*U2482/100)</f>
        <v/>
      </c>
      <c r="N2482" s="7" t="n"/>
      <c r="T2482" s="7" t="n"/>
      <c r="U2482" s="7">
        <f>IF($C2482="","",S2482*T2482)</f>
        <v/>
      </c>
      <c r="X2482">
        <f>IF($C2482="","",IF($AM2482=1,0,IF($AL2482=1,Settings!$C$6,Settings!$C$7))*100)</f>
        <v/>
      </c>
      <c r="AB2482" s="7" t="n"/>
      <c r="AE2482" s="11" t="n"/>
      <c r="AG2482" s="7">
        <f>IF($C2482="","",U2482*X2482/100)</f>
        <v/>
      </c>
      <c r="AH2482" s="7">
        <f>IF($C2482="","",U2482-AG2482)</f>
        <v/>
      </c>
      <c r="AI2482" s="7">
        <f>IF($C2482="","",AH2482-M2482)</f>
        <v/>
      </c>
      <c r="AJ2482">
        <f>IF($C2482="","",IF(COUNTIF($C$2:$C2482,$C2482)=1,1,0))</f>
        <v/>
      </c>
      <c r="AK2482">
        <f>IF($AJ2482=1,SUMPRODUCT(--($AN$2:$AN$4001&lt;$AN2482))+1,"")</f>
        <v/>
      </c>
      <c r="AL2482">
        <f>IF($C2482="","",IF(OR($Q2482=TRUE(),$Q2482="TRUE"),1,0))</f>
        <v/>
      </c>
      <c r="AM2482">
        <f>IF($C2482="","",IF($W2482="Yes",1,0))</f>
        <v/>
      </c>
      <c r="AN2482">
        <f>IF($AJ2482=1,IFERROR(IF(VALUE($C2482)&lt;100000000,VALUE($C2482),1000000000),IFERROR(IF(VALUE(MID($C2482,2,20))&lt;100000000,VALUE(MID($C2482,2,20)),1000000000),1000000000))+ROW()/100000,"")</f>
        <v/>
      </c>
    </row>
    <row r="2483">
      <c r="E2483" s="11" t="n"/>
      <c r="M2483" s="7">
        <f>IF($C2483="","",L2483*U2483/100)</f>
        <v/>
      </c>
      <c r="N2483" s="7" t="n"/>
      <c r="T2483" s="7" t="n"/>
      <c r="U2483" s="7">
        <f>IF($C2483="","",S2483*T2483)</f>
        <v/>
      </c>
      <c r="X2483">
        <f>IF($C2483="","",IF($AM2483=1,0,IF($AL2483=1,Settings!$C$6,Settings!$C$7))*100)</f>
        <v/>
      </c>
      <c r="AB2483" s="7" t="n"/>
      <c r="AE2483" s="11" t="n"/>
      <c r="AG2483" s="7">
        <f>IF($C2483="","",U2483*X2483/100)</f>
        <v/>
      </c>
      <c r="AH2483" s="7">
        <f>IF($C2483="","",U2483-AG2483)</f>
        <v/>
      </c>
      <c r="AI2483" s="7">
        <f>IF($C2483="","",AH2483-M2483)</f>
        <v/>
      </c>
      <c r="AJ2483">
        <f>IF($C2483="","",IF(COUNTIF($C$2:$C2483,$C2483)=1,1,0))</f>
        <v/>
      </c>
      <c r="AK2483">
        <f>IF($AJ2483=1,SUMPRODUCT(--($AN$2:$AN$4001&lt;$AN2483))+1,"")</f>
        <v/>
      </c>
      <c r="AL2483">
        <f>IF($C2483="","",IF(OR($Q2483=TRUE(),$Q2483="TRUE"),1,0))</f>
        <v/>
      </c>
      <c r="AM2483">
        <f>IF($C2483="","",IF($W2483="Yes",1,0))</f>
        <v/>
      </c>
      <c r="AN2483">
        <f>IF($AJ2483=1,IFERROR(IF(VALUE($C2483)&lt;100000000,VALUE($C2483),1000000000),IFERROR(IF(VALUE(MID($C2483,2,20))&lt;100000000,VALUE(MID($C2483,2,20)),1000000000),1000000000))+ROW()/100000,"")</f>
        <v/>
      </c>
    </row>
    <row r="2484">
      <c r="E2484" s="11" t="n"/>
      <c r="M2484" s="7">
        <f>IF($C2484="","",L2484*U2484/100)</f>
        <v/>
      </c>
      <c r="N2484" s="7" t="n"/>
      <c r="T2484" s="7" t="n"/>
      <c r="U2484" s="7">
        <f>IF($C2484="","",S2484*T2484)</f>
        <v/>
      </c>
      <c r="X2484">
        <f>IF($C2484="","",IF($AM2484=1,0,IF($AL2484=1,Settings!$C$6,Settings!$C$7))*100)</f>
        <v/>
      </c>
      <c r="AB2484" s="7" t="n"/>
      <c r="AE2484" s="11" t="n"/>
      <c r="AG2484" s="7">
        <f>IF($C2484="","",U2484*X2484/100)</f>
        <v/>
      </c>
      <c r="AH2484" s="7">
        <f>IF($C2484="","",U2484-AG2484)</f>
        <v/>
      </c>
      <c r="AI2484" s="7">
        <f>IF($C2484="","",AH2484-M2484)</f>
        <v/>
      </c>
      <c r="AJ2484">
        <f>IF($C2484="","",IF(COUNTIF($C$2:$C2484,$C2484)=1,1,0))</f>
        <v/>
      </c>
      <c r="AK2484">
        <f>IF($AJ2484=1,SUMPRODUCT(--($AN$2:$AN$4001&lt;$AN2484))+1,"")</f>
        <v/>
      </c>
      <c r="AL2484">
        <f>IF($C2484="","",IF(OR($Q2484=TRUE(),$Q2484="TRUE"),1,0))</f>
        <v/>
      </c>
      <c r="AM2484">
        <f>IF($C2484="","",IF($W2484="Yes",1,0))</f>
        <v/>
      </c>
      <c r="AN2484">
        <f>IF($AJ2484=1,IFERROR(IF(VALUE($C2484)&lt;100000000,VALUE($C2484),1000000000),IFERROR(IF(VALUE(MID($C2484,2,20))&lt;100000000,VALUE(MID($C2484,2,20)),1000000000),1000000000))+ROW()/100000,"")</f>
        <v/>
      </c>
    </row>
    <row r="2485">
      <c r="E2485" s="11" t="n"/>
      <c r="M2485" s="7">
        <f>IF($C2485="","",L2485*U2485/100)</f>
        <v/>
      </c>
      <c r="N2485" s="7" t="n"/>
      <c r="T2485" s="7" t="n"/>
      <c r="U2485" s="7">
        <f>IF($C2485="","",S2485*T2485)</f>
        <v/>
      </c>
      <c r="X2485">
        <f>IF($C2485="","",IF($AM2485=1,0,IF($AL2485=1,Settings!$C$6,Settings!$C$7))*100)</f>
        <v/>
      </c>
      <c r="AB2485" s="7" t="n"/>
      <c r="AE2485" s="11" t="n"/>
      <c r="AG2485" s="7">
        <f>IF($C2485="","",U2485*X2485/100)</f>
        <v/>
      </c>
      <c r="AH2485" s="7">
        <f>IF($C2485="","",U2485-AG2485)</f>
        <v/>
      </c>
      <c r="AI2485" s="7">
        <f>IF($C2485="","",AH2485-M2485)</f>
        <v/>
      </c>
      <c r="AJ2485">
        <f>IF($C2485="","",IF(COUNTIF($C$2:$C2485,$C2485)=1,1,0))</f>
        <v/>
      </c>
      <c r="AK2485">
        <f>IF($AJ2485=1,SUMPRODUCT(--($AN$2:$AN$4001&lt;$AN2485))+1,"")</f>
        <v/>
      </c>
      <c r="AL2485">
        <f>IF($C2485="","",IF(OR($Q2485=TRUE(),$Q2485="TRUE"),1,0))</f>
        <v/>
      </c>
      <c r="AM2485">
        <f>IF($C2485="","",IF($W2485="Yes",1,0))</f>
        <v/>
      </c>
      <c r="AN2485">
        <f>IF($AJ2485=1,IFERROR(IF(VALUE($C2485)&lt;100000000,VALUE($C2485),1000000000),IFERROR(IF(VALUE(MID($C2485,2,20))&lt;100000000,VALUE(MID($C2485,2,20)),1000000000),1000000000))+ROW()/100000,"")</f>
        <v/>
      </c>
    </row>
    <row r="2486">
      <c r="E2486" s="11" t="n"/>
      <c r="M2486" s="7">
        <f>IF($C2486="","",L2486*U2486/100)</f>
        <v/>
      </c>
      <c r="N2486" s="7" t="n"/>
      <c r="T2486" s="7" t="n"/>
      <c r="U2486" s="7">
        <f>IF($C2486="","",S2486*T2486)</f>
        <v/>
      </c>
      <c r="X2486">
        <f>IF($C2486="","",IF($AM2486=1,0,IF($AL2486=1,Settings!$C$6,Settings!$C$7))*100)</f>
        <v/>
      </c>
      <c r="AB2486" s="7" t="n"/>
      <c r="AE2486" s="11" t="n"/>
      <c r="AG2486" s="7">
        <f>IF($C2486="","",U2486*X2486/100)</f>
        <v/>
      </c>
      <c r="AH2486" s="7">
        <f>IF($C2486="","",U2486-AG2486)</f>
        <v/>
      </c>
      <c r="AI2486" s="7">
        <f>IF($C2486="","",AH2486-M2486)</f>
        <v/>
      </c>
      <c r="AJ2486">
        <f>IF($C2486="","",IF(COUNTIF($C$2:$C2486,$C2486)=1,1,0))</f>
        <v/>
      </c>
      <c r="AK2486">
        <f>IF($AJ2486=1,SUMPRODUCT(--($AN$2:$AN$4001&lt;$AN2486))+1,"")</f>
        <v/>
      </c>
      <c r="AL2486">
        <f>IF($C2486="","",IF(OR($Q2486=TRUE(),$Q2486="TRUE"),1,0))</f>
        <v/>
      </c>
      <c r="AM2486">
        <f>IF($C2486="","",IF($W2486="Yes",1,0))</f>
        <v/>
      </c>
      <c r="AN2486">
        <f>IF($AJ2486=1,IFERROR(IF(VALUE($C2486)&lt;100000000,VALUE($C2486),1000000000),IFERROR(IF(VALUE(MID($C2486,2,20))&lt;100000000,VALUE(MID($C2486,2,20)),1000000000),1000000000))+ROW()/100000,"")</f>
        <v/>
      </c>
    </row>
    <row r="2487">
      <c r="E2487" s="11" t="n"/>
      <c r="M2487" s="7">
        <f>IF($C2487="","",L2487*U2487/100)</f>
        <v/>
      </c>
      <c r="N2487" s="7" t="n"/>
      <c r="T2487" s="7" t="n"/>
      <c r="U2487" s="7">
        <f>IF($C2487="","",S2487*T2487)</f>
        <v/>
      </c>
      <c r="X2487">
        <f>IF($C2487="","",IF($AM2487=1,0,IF($AL2487=1,Settings!$C$6,Settings!$C$7))*100)</f>
        <v/>
      </c>
      <c r="AB2487" s="7" t="n"/>
      <c r="AE2487" s="11" t="n"/>
      <c r="AG2487" s="7">
        <f>IF($C2487="","",U2487*X2487/100)</f>
        <v/>
      </c>
      <c r="AH2487" s="7">
        <f>IF($C2487="","",U2487-AG2487)</f>
        <v/>
      </c>
      <c r="AI2487" s="7">
        <f>IF($C2487="","",AH2487-M2487)</f>
        <v/>
      </c>
      <c r="AJ2487">
        <f>IF($C2487="","",IF(COUNTIF($C$2:$C2487,$C2487)=1,1,0))</f>
        <v/>
      </c>
      <c r="AK2487">
        <f>IF($AJ2487=1,SUMPRODUCT(--($AN$2:$AN$4001&lt;$AN2487))+1,"")</f>
        <v/>
      </c>
      <c r="AL2487">
        <f>IF($C2487="","",IF(OR($Q2487=TRUE(),$Q2487="TRUE"),1,0))</f>
        <v/>
      </c>
      <c r="AM2487">
        <f>IF($C2487="","",IF($W2487="Yes",1,0))</f>
        <v/>
      </c>
      <c r="AN2487">
        <f>IF($AJ2487=1,IFERROR(IF(VALUE($C2487)&lt;100000000,VALUE($C2487),1000000000),IFERROR(IF(VALUE(MID($C2487,2,20))&lt;100000000,VALUE(MID($C2487,2,20)),1000000000),1000000000))+ROW()/100000,"")</f>
        <v/>
      </c>
    </row>
    <row r="2488">
      <c r="E2488" s="11" t="n"/>
      <c r="M2488" s="7">
        <f>IF($C2488="","",L2488*U2488/100)</f>
        <v/>
      </c>
      <c r="N2488" s="7" t="n"/>
      <c r="T2488" s="7" t="n"/>
      <c r="U2488" s="7">
        <f>IF($C2488="","",S2488*T2488)</f>
        <v/>
      </c>
      <c r="X2488">
        <f>IF($C2488="","",IF($AM2488=1,0,IF($AL2488=1,Settings!$C$6,Settings!$C$7))*100)</f>
        <v/>
      </c>
      <c r="AB2488" s="7" t="n"/>
      <c r="AE2488" s="11" t="n"/>
      <c r="AG2488" s="7">
        <f>IF($C2488="","",U2488*X2488/100)</f>
        <v/>
      </c>
      <c r="AH2488" s="7">
        <f>IF($C2488="","",U2488-AG2488)</f>
        <v/>
      </c>
      <c r="AI2488" s="7">
        <f>IF($C2488="","",AH2488-M2488)</f>
        <v/>
      </c>
      <c r="AJ2488">
        <f>IF($C2488="","",IF(COUNTIF($C$2:$C2488,$C2488)=1,1,0))</f>
        <v/>
      </c>
      <c r="AK2488">
        <f>IF($AJ2488=1,SUMPRODUCT(--($AN$2:$AN$4001&lt;$AN2488))+1,"")</f>
        <v/>
      </c>
      <c r="AL2488">
        <f>IF($C2488="","",IF(OR($Q2488=TRUE(),$Q2488="TRUE"),1,0))</f>
        <v/>
      </c>
      <c r="AM2488">
        <f>IF($C2488="","",IF($W2488="Yes",1,0))</f>
        <v/>
      </c>
      <c r="AN2488">
        <f>IF($AJ2488=1,IFERROR(IF(VALUE($C2488)&lt;100000000,VALUE($C2488),1000000000),IFERROR(IF(VALUE(MID($C2488,2,20))&lt;100000000,VALUE(MID($C2488,2,20)),1000000000),1000000000))+ROW()/100000,"")</f>
        <v/>
      </c>
    </row>
    <row r="2489">
      <c r="E2489" s="11" t="n"/>
      <c r="M2489" s="7">
        <f>IF($C2489="","",L2489*U2489/100)</f>
        <v/>
      </c>
      <c r="N2489" s="7" t="n"/>
      <c r="T2489" s="7" t="n"/>
      <c r="U2489" s="7">
        <f>IF($C2489="","",S2489*T2489)</f>
        <v/>
      </c>
      <c r="X2489">
        <f>IF($C2489="","",IF($AM2489=1,0,IF($AL2489=1,Settings!$C$6,Settings!$C$7))*100)</f>
        <v/>
      </c>
      <c r="AB2489" s="7" t="n"/>
      <c r="AE2489" s="11" t="n"/>
      <c r="AG2489" s="7">
        <f>IF($C2489="","",U2489*X2489/100)</f>
        <v/>
      </c>
      <c r="AH2489" s="7">
        <f>IF($C2489="","",U2489-AG2489)</f>
        <v/>
      </c>
      <c r="AI2489" s="7">
        <f>IF($C2489="","",AH2489-M2489)</f>
        <v/>
      </c>
      <c r="AJ2489">
        <f>IF($C2489="","",IF(COUNTIF($C$2:$C2489,$C2489)=1,1,0))</f>
        <v/>
      </c>
      <c r="AK2489">
        <f>IF($AJ2489=1,SUMPRODUCT(--($AN$2:$AN$4001&lt;$AN2489))+1,"")</f>
        <v/>
      </c>
      <c r="AL2489">
        <f>IF($C2489="","",IF(OR($Q2489=TRUE(),$Q2489="TRUE"),1,0))</f>
        <v/>
      </c>
      <c r="AM2489">
        <f>IF($C2489="","",IF($W2489="Yes",1,0))</f>
        <v/>
      </c>
      <c r="AN2489">
        <f>IF($AJ2489=1,IFERROR(IF(VALUE($C2489)&lt;100000000,VALUE($C2489),1000000000),IFERROR(IF(VALUE(MID($C2489,2,20))&lt;100000000,VALUE(MID($C2489,2,20)),1000000000),1000000000))+ROW()/100000,"")</f>
        <v/>
      </c>
    </row>
    <row r="2490">
      <c r="E2490" s="11" t="n"/>
      <c r="M2490" s="7">
        <f>IF($C2490="","",L2490*U2490/100)</f>
        <v/>
      </c>
      <c r="N2490" s="7" t="n"/>
      <c r="T2490" s="7" t="n"/>
      <c r="U2490" s="7">
        <f>IF($C2490="","",S2490*T2490)</f>
        <v/>
      </c>
      <c r="X2490">
        <f>IF($C2490="","",IF($AM2490=1,0,IF($AL2490=1,Settings!$C$6,Settings!$C$7))*100)</f>
        <v/>
      </c>
      <c r="AB2490" s="7" t="n"/>
      <c r="AE2490" s="11" t="n"/>
      <c r="AG2490" s="7">
        <f>IF($C2490="","",U2490*X2490/100)</f>
        <v/>
      </c>
      <c r="AH2490" s="7">
        <f>IF($C2490="","",U2490-AG2490)</f>
        <v/>
      </c>
      <c r="AI2490" s="7">
        <f>IF($C2490="","",AH2490-M2490)</f>
        <v/>
      </c>
      <c r="AJ2490">
        <f>IF($C2490="","",IF(COUNTIF($C$2:$C2490,$C2490)=1,1,0))</f>
        <v/>
      </c>
      <c r="AK2490">
        <f>IF($AJ2490=1,SUMPRODUCT(--($AN$2:$AN$4001&lt;$AN2490))+1,"")</f>
        <v/>
      </c>
      <c r="AL2490">
        <f>IF($C2490="","",IF(OR($Q2490=TRUE(),$Q2490="TRUE"),1,0))</f>
        <v/>
      </c>
      <c r="AM2490">
        <f>IF($C2490="","",IF($W2490="Yes",1,0))</f>
        <v/>
      </c>
      <c r="AN2490">
        <f>IF($AJ2490=1,IFERROR(IF(VALUE($C2490)&lt;100000000,VALUE($C2490),1000000000),IFERROR(IF(VALUE(MID($C2490,2,20))&lt;100000000,VALUE(MID($C2490,2,20)),1000000000),1000000000))+ROW()/100000,"")</f>
        <v/>
      </c>
    </row>
    <row r="2491">
      <c r="E2491" s="11" t="n"/>
      <c r="M2491" s="7">
        <f>IF($C2491="","",L2491*U2491/100)</f>
        <v/>
      </c>
      <c r="N2491" s="7" t="n"/>
      <c r="T2491" s="7" t="n"/>
      <c r="U2491" s="7">
        <f>IF($C2491="","",S2491*T2491)</f>
        <v/>
      </c>
      <c r="X2491">
        <f>IF($C2491="","",IF($AM2491=1,0,IF($AL2491=1,Settings!$C$6,Settings!$C$7))*100)</f>
        <v/>
      </c>
      <c r="AB2491" s="7" t="n"/>
      <c r="AE2491" s="11" t="n"/>
      <c r="AG2491" s="7">
        <f>IF($C2491="","",U2491*X2491/100)</f>
        <v/>
      </c>
      <c r="AH2491" s="7">
        <f>IF($C2491="","",U2491-AG2491)</f>
        <v/>
      </c>
      <c r="AI2491" s="7">
        <f>IF($C2491="","",AH2491-M2491)</f>
        <v/>
      </c>
      <c r="AJ2491">
        <f>IF($C2491="","",IF(COUNTIF($C$2:$C2491,$C2491)=1,1,0))</f>
        <v/>
      </c>
      <c r="AK2491">
        <f>IF($AJ2491=1,SUMPRODUCT(--($AN$2:$AN$4001&lt;$AN2491))+1,"")</f>
        <v/>
      </c>
      <c r="AL2491">
        <f>IF($C2491="","",IF(OR($Q2491=TRUE(),$Q2491="TRUE"),1,0))</f>
        <v/>
      </c>
      <c r="AM2491">
        <f>IF($C2491="","",IF($W2491="Yes",1,0))</f>
        <v/>
      </c>
      <c r="AN2491">
        <f>IF($AJ2491=1,IFERROR(IF(VALUE($C2491)&lt;100000000,VALUE($C2491),1000000000),IFERROR(IF(VALUE(MID($C2491,2,20))&lt;100000000,VALUE(MID($C2491,2,20)),1000000000),1000000000))+ROW()/100000,"")</f>
        <v/>
      </c>
    </row>
    <row r="2492">
      <c r="E2492" s="11" t="n"/>
      <c r="M2492" s="7">
        <f>IF($C2492="","",L2492*U2492/100)</f>
        <v/>
      </c>
      <c r="N2492" s="7" t="n"/>
      <c r="T2492" s="7" t="n"/>
      <c r="U2492" s="7">
        <f>IF($C2492="","",S2492*T2492)</f>
        <v/>
      </c>
      <c r="X2492">
        <f>IF($C2492="","",IF($AM2492=1,0,IF($AL2492=1,Settings!$C$6,Settings!$C$7))*100)</f>
        <v/>
      </c>
      <c r="AB2492" s="7" t="n"/>
      <c r="AE2492" s="11" t="n"/>
      <c r="AG2492" s="7">
        <f>IF($C2492="","",U2492*X2492/100)</f>
        <v/>
      </c>
      <c r="AH2492" s="7">
        <f>IF($C2492="","",U2492-AG2492)</f>
        <v/>
      </c>
      <c r="AI2492" s="7">
        <f>IF($C2492="","",AH2492-M2492)</f>
        <v/>
      </c>
      <c r="AJ2492">
        <f>IF($C2492="","",IF(COUNTIF($C$2:$C2492,$C2492)=1,1,0))</f>
        <v/>
      </c>
      <c r="AK2492">
        <f>IF($AJ2492=1,SUMPRODUCT(--($AN$2:$AN$4001&lt;$AN2492))+1,"")</f>
        <v/>
      </c>
      <c r="AL2492">
        <f>IF($C2492="","",IF(OR($Q2492=TRUE(),$Q2492="TRUE"),1,0))</f>
        <v/>
      </c>
      <c r="AM2492">
        <f>IF($C2492="","",IF($W2492="Yes",1,0))</f>
        <v/>
      </c>
      <c r="AN2492">
        <f>IF($AJ2492=1,IFERROR(IF(VALUE($C2492)&lt;100000000,VALUE($C2492),1000000000),IFERROR(IF(VALUE(MID($C2492,2,20))&lt;100000000,VALUE(MID($C2492,2,20)),1000000000),1000000000))+ROW()/100000,"")</f>
        <v/>
      </c>
    </row>
    <row r="2493">
      <c r="E2493" s="11" t="n"/>
      <c r="M2493" s="7">
        <f>IF($C2493="","",L2493*U2493/100)</f>
        <v/>
      </c>
      <c r="N2493" s="7" t="n"/>
      <c r="T2493" s="7" t="n"/>
      <c r="U2493" s="7">
        <f>IF($C2493="","",S2493*T2493)</f>
        <v/>
      </c>
      <c r="X2493">
        <f>IF($C2493="","",IF($AM2493=1,0,IF($AL2493=1,Settings!$C$6,Settings!$C$7))*100)</f>
        <v/>
      </c>
      <c r="AB2493" s="7" t="n"/>
      <c r="AE2493" s="11" t="n"/>
      <c r="AG2493" s="7">
        <f>IF($C2493="","",U2493*X2493/100)</f>
        <v/>
      </c>
      <c r="AH2493" s="7">
        <f>IF($C2493="","",U2493-AG2493)</f>
        <v/>
      </c>
      <c r="AI2493" s="7">
        <f>IF($C2493="","",AH2493-M2493)</f>
        <v/>
      </c>
      <c r="AJ2493">
        <f>IF($C2493="","",IF(COUNTIF($C$2:$C2493,$C2493)=1,1,0))</f>
        <v/>
      </c>
      <c r="AK2493">
        <f>IF($AJ2493=1,SUMPRODUCT(--($AN$2:$AN$4001&lt;$AN2493))+1,"")</f>
        <v/>
      </c>
      <c r="AL2493">
        <f>IF($C2493="","",IF(OR($Q2493=TRUE(),$Q2493="TRUE"),1,0))</f>
        <v/>
      </c>
      <c r="AM2493">
        <f>IF($C2493="","",IF($W2493="Yes",1,0))</f>
        <v/>
      </c>
      <c r="AN2493">
        <f>IF($AJ2493=1,IFERROR(IF(VALUE($C2493)&lt;100000000,VALUE($C2493),1000000000),IFERROR(IF(VALUE(MID($C2493,2,20))&lt;100000000,VALUE(MID($C2493,2,20)),1000000000),1000000000))+ROW()/100000,"")</f>
        <v/>
      </c>
    </row>
    <row r="2494">
      <c r="E2494" s="11" t="n"/>
      <c r="M2494" s="7">
        <f>IF($C2494="","",L2494*U2494/100)</f>
        <v/>
      </c>
      <c r="N2494" s="7" t="n"/>
      <c r="T2494" s="7" t="n"/>
      <c r="U2494" s="7">
        <f>IF($C2494="","",S2494*T2494)</f>
        <v/>
      </c>
      <c r="X2494">
        <f>IF($C2494="","",IF($AM2494=1,0,IF($AL2494=1,Settings!$C$6,Settings!$C$7))*100)</f>
        <v/>
      </c>
      <c r="AB2494" s="7" t="n"/>
      <c r="AE2494" s="11" t="n"/>
      <c r="AG2494" s="7">
        <f>IF($C2494="","",U2494*X2494/100)</f>
        <v/>
      </c>
      <c r="AH2494" s="7">
        <f>IF($C2494="","",U2494-AG2494)</f>
        <v/>
      </c>
      <c r="AI2494" s="7">
        <f>IF($C2494="","",AH2494-M2494)</f>
        <v/>
      </c>
      <c r="AJ2494">
        <f>IF($C2494="","",IF(COUNTIF($C$2:$C2494,$C2494)=1,1,0))</f>
        <v/>
      </c>
      <c r="AK2494">
        <f>IF($AJ2494=1,SUMPRODUCT(--($AN$2:$AN$4001&lt;$AN2494))+1,"")</f>
        <v/>
      </c>
      <c r="AL2494">
        <f>IF($C2494="","",IF(OR($Q2494=TRUE(),$Q2494="TRUE"),1,0))</f>
        <v/>
      </c>
      <c r="AM2494">
        <f>IF($C2494="","",IF($W2494="Yes",1,0))</f>
        <v/>
      </c>
      <c r="AN2494">
        <f>IF($AJ2494=1,IFERROR(IF(VALUE($C2494)&lt;100000000,VALUE($C2494),1000000000),IFERROR(IF(VALUE(MID($C2494,2,20))&lt;100000000,VALUE(MID($C2494,2,20)),1000000000),1000000000))+ROW()/100000,"")</f>
        <v/>
      </c>
    </row>
    <row r="2495">
      <c r="E2495" s="11" t="n"/>
      <c r="M2495" s="7">
        <f>IF($C2495="","",L2495*U2495/100)</f>
        <v/>
      </c>
      <c r="N2495" s="7" t="n"/>
      <c r="T2495" s="7" t="n"/>
      <c r="U2495" s="7">
        <f>IF($C2495="","",S2495*T2495)</f>
        <v/>
      </c>
      <c r="X2495">
        <f>IF($C2495="","",IF($AM2495=1,0,IF($AL2495=1,Settings!$C$6,Settings!$C$7))*100)</f>
        <v/>
      </c>
      <c r="AB2495" s="7" t="n"/>
      <c r="AE2495" s="11" t="n"/>
      <c r="AG2495" s="7">
        <f>IF($C2495="","",U2495*X2495/100)</f>
        <v/>
      </c>
      <c r="AH2495" s="7">
        <f>IF($C2495="","",U2495-AG2495)</f>
        <v/>
      </c>
      <c r="AI2495" s="7">
        <f>IF($C2495="","",AH2495-M2495)</f>
        <v/>
      </c>
      <c r="AJ2495">
        <f>IF($C2495="","",IF(COUNTIF($C$2:$C2495,$C2495)=1,1,0))</f>
        <v/>
      </c>
      <c r="AK2495">
        <f>IF($AJ2495=1,SUMPRODUCT(--($AN$2:$AN$4001&lt;$AN2495))+1,"")</f>
        <v/>
      </c>
      <c r="AL2495">
        <f>IF($C2495="","",IF(OR($Q2495=TRUE(),$Q2495="TRUE"),1,0))</f>
        <v/>
      </c>
      <c r="AM2495">
        <f>IF($C2495="","",IF($W2495="Yes",1,0))</f>
        <v/>
      </c>
      <c r="AN2495">
        <f>IF($AJ2495=1,IFERROR(IF(VALUE($C2495)&lt;100000000,VALUE($C2495),1000000000),IFERROR(IF(VALUE(MID($C2495,2,20))&lt;100000000,VALUE(MID($C2495,2,20)),1000000000),1000000000))+ROW()/100000,"")</f>
        <v/>
      </c>
    </row>
    <row r="2496">
      <c r="E2496" s="11" t="n"/>
      <c r="M2496" s="7">
        <f>IF($C2496="","",L2496*U2496/100)</f>
        <v/>
      </c>
      <c r="N2496" s="7" t="n"/>
      <c r="T2496" s="7" t="n"/>
      <c r="U2496" s="7">
        <f>IF($C2496="","",S2496*T2496)</f>
        <v/>
      </c>
      <c r="X2496">
        <f>IF($C2496="","",IF($AM2496=1,0,IF($AL2496=1,Settings!$C$6,Settings!$C$7))*100)</f>
        <v/>
      </c>
      <c r="AB2496" s="7" t="n"/>
      <c r="AE2496" s="11" t="n"/>
      <c r="AG2496" s="7">
        <f>IF($C2496="","",U2496*X2496/100)</f>
        <v/>
      </c>
      <c r="AH2496" s="7">
        <f>IF($C2496="","",U2496-AG2496)</f>
        <v/>
      </c>
      <c r="AI2496" s="7">
        <f>IF($C2496="","",AH2496-M2496)</f>
        <v/>
      </c>
      <c r="AJ2496">
        <f>IF($C2496="","",IF(COUNTIF($C$2:$C2496,$C2496)=1,1,0))</f>
        <v/>
      </c>
      <c r="AK2496">
        <f>IF($AJ2496=1,SUMPRODUCT(--($AN$2:$AN$4001&lt;$AN2496))+1,"")</f>
        <v/>
      </c>
      <c r="AL2496">
        <f>IF($C2496="","",IF(OR($Q2496=TRUE(),$Q2496="TRUE"),1,0))</f>
        <v/>
      </c>
      <c r="AM2496">
        <f>IF($C2496="","",IF($W2496="Yes",1,0))</f>
        <v/>
      </c>
      <c r="AN2496">
        <f>IF($AJ2496=1,IFERROR(IF(VALUE($C2496)&lt;100000000,VALUE($C2496),1000000000),IFERROR(IF(VALUE(MID($C2496,2,20))&lt;100000000,VALUE(MID($C2496,2,20)),1000000000),1000000000))+ROW()/100000,"")</f>
        <v/>
      </c>
    </row>
    <row r="2497">
      <c r="E2497" s="11" t="n"/>
      <c r="M2497" s="7">
        <f>IF($C2497="","",L2497*U2497/100)</f>
        <v/>
      </c>
      <c r="N2497" s="7" t="n"/>
      <c r="T2497" s="7" t="n"/>
      <c r="U2497" s="7">
        <f>IF($C2497="","",S2497*T2497)</f>
        <v/>
      </c>
      <c r="X2497">
        <f>IF($C2497="","",IF($AM2497=1,0,IF($AL2497=1,Settings!$C$6,Settings!$C$7))*100)</f>
        <v/>
      </c>
      <c r="AB2497" s="7" t="n"/>
      <c r="AE2497" s="11" t="n"/>
      <c r="AG2497" s="7">
        <f>IF($C2497="","",U2497*X2497/100)</f>
        <v/>
      </c>
      <c r="AH2497" s="7">
        <f>IF($C2497="","",U2497-AG2497)</f>
        <v/>
      </c>
      <c r="AI2497" s="7">
        <f>IF($C2497="","",AH2497-M2497)</f>
        <v/>
      </c>
      <c r="AJ2497">
        <f>IF($C2497="","",IF(COUNTIF($C$2:$C2497,$C2497)=1,1,0))</f>
        <v/>
      </c>
      <c r="AK2497">
        <f>IF($AJ2497=1,SUMPRODUCT(--($AN$2:$AN$4001&lt;$AN2497))+1,"")</f>
        <v/>
      </c>
      <c r="AL2497">
        <f>IF($C2497="","",IF(OR($Q2497=TRUE(),$Q2497="TRUE"),1,0))</f>
        <v/>
      </c>
      <c r="AM2497">
        <f>IF($C2497="","",IF($W2497="Yes",1,0))</f>
        <v/>
      </c>
      <c r="AN2497">
        <f>IF($AJ2497=1,IFERROR(IF(VALUE($C2497)&lt;100000000,VALUE($C2497),1000000000),IFERROR(IF(VALUE(MID($C2497,2,20))&lt;100000000,VALUE(MID($C2497,2,20)),1000000000),1000000000))+ROW()/100000,"")</f>
        <v/>
      </c>
    </row>
    <row r="2498">
      <c r="E2498" s="11" t="n"/>
      <c r="M2498" s="7">
        <f>IF($C2498="","",L2498*U2498/100)</f>
        <v/>
      </c>
      <c r="N2498" s="7" t="n"/>
      <c r="T2498" s="7" t="n"/>
      <c r="U2498" s="7">
        <f>IF($C2498="","",S2498*T2498)</f>
        <v/>
      </c>
      <c r="X2498">
        <f>IF($C2498="","",IF($AM2498=1,0,IF($AL2498=1,Settings!$C$6,Settings!$C$7))*100)</f>
        <v/>
      </c>
      <c r="AB2498" s="7" t="n"/>
      <c r="AE2498" s="11" t="n"/>
      <c r="AG2498" s="7">
        <f>IF($C2498="","",U2498*X2498/100)</f>
        <v/>
      </c>
      <c r="AH2498" s="7">
        <f>IF($C2498="","",U2498-AG2498)</f>
        <v/>
      </c>
      <c r="AI2498" s="7">
        <f>IF($C2498="","",AH2498-M2498)</f>
        <v/>
      </c>
      <c r="AJ2498">
        <f>IF($C2498="","",IF(COUNTIF($C$2:$C2498,$C2498)=1,1,0))</f>
        <v/>
      </c>
      <c r="AK2498">
        <f>IF($AJ2498=1,SUMPRODUCT(--($AN$2:$AN$4001&lt;$AN2498))+1,"")</f>
        <v/>
      </c>
      <c r="AL2498">
        <f>IF($C2498="","",IF(OR($Q2498=TRUE(),$Q2498="TRUE"),1,0))</f>
        <v/>
      </c>
      <c r="AM2498">
        <f>IF($C2498="","",IF($W2498="Yes",1,0))</f>
        <v/>
      </c>
      <c r="AN2498">
        <f>IF($AJ2498=1,IFERROR(IF(VALUE($C2498)&lt;100000000,VALUE($C2498),1000000000),IFERROR(IF(VALUE(MID($C2498,2,20))&lt;100000000,VALUE(MID($C2498,2,20)),1000000000),1000000000))+ROW()/100000,"")</f>
        <v/>
      </c>
    </row>
    <row r="2499">
      <c r="E2499" s="11" t="n"/>
      <c r="M2499" s="7">
        <f>IF($C2499="","",L2499*U2499/100)</f>
        <v/>
      </c>
      <c r="N2499" s="7" t="n"/>
      <c r="T2499" s="7" t="n"/>
      <c r="U2499" s="7">
        <f>IF($C2499="","",S2499*T2499)</f>
        <v/>
      </c>
      <c r="X2499">
        <f>IF($C2499="","",IF($AM2499=1,0,IF($AL2499=1,Settings!$C$6,Settings!$C$7))*100)</f>
        <v/>
      </c>
      <c r="AB2499" s="7" t="n"/>
      <c r="AE2499" s="11" t="n"/>
      <c r="AG2499" s="7">
        <f>IF($C2499="","",U2499*X2499/100)</f>
        <v/>
      </c>
      <c r="AH2499" s="7">
        <f>IF($C2499="","",U2499-AG2499)</f>
        <v/>
      </c>
      <c r="AI2499" s="7">
        <f>IF($C2499="","",AH2499-M2499)</f>
        <v/>
      </c>
      <c r="AJ2499">
        <f>IF($C2499="","",IF(COUNTIF($C$2:$C2499,$C2499)=1,1,0))</f>
        <v/>
      </c>
      <c r="AK2499">
        <f>IF($AJ2499=1,SUMPRODUCT(--($AN$2:$AN$4001&lt;$AN2499))+1,"")</f>
        <v/>
      </c>
      <c r="AL2499">
        <f>IF($C2499="","",IF(OR($Q2499=TRUE(),$Q2499="TRUE"),1,0))</f>
        <v/>
      </c>
      <c r="AM2499">
        <f>IF($C2499="","",IF($W2499="Yes",1,0))</f>
        <v/>
      </c>
      <c r="AN2499">
        <f>IF($AJ2499=1,IFERROR(IF(VALUE($C2499)&lt;100000000,VALUE($C2499),1000000000),IFERROR(IF(VALUE(MID($C2499,2,20))&lt;100000000,VALUE(MID($C2499,2,20)),1000000000),1000000000))+ROW()/100000,"")</f>
        <v/>
      </c>
    </row>
    <row r="2500">
      <c r="E2500" s="11" t="n"/>
      <c r="M2500" s="7">
        <f>IF($C2500="","",L2500*U2500/100)</f>
        <v/>
      </c>
      <c r="N2500" s="7" t="n"/>
      <c r="T2500" s="7" t="n"/>
      <c r="U2500" s="7">
        <f>IF($C2500="","",S2500*T2500)</f>
        <v/>
      </c>
      <c r="X2500">
        <f>IF($C2500="","",IF($AM2500=1,0,IF($AL2500=1,Settings!$C$6,Settings!$C$7))*100)</f>
        <v/>
      </c>
      <c r="AB2500" s="7" t="n"/>
      <c r="AE2500" s="11" t="n"/>
      <c r="AG2500" s="7">
        <f>IF($C2500="","",U2500*X2500/100)</f>
        <v/>
      </c>
      <c r="AH2500" s="7">
        <f>IF($C2500="","",U2500-AG2500)</f>
        <v/>
      </c>
      <c r="AI2500" s="7">
        <f>IF($C2500="","",AH2500-M2500)</f>
        <v/>
      </c>
      <c r="AJ2500">
        <f>IF($C2500="","",IF(COUNTIF($C$2:$C2500,$C2500)=1,1,0))</f>
        <v/>
      </c>
      <c r="AK2500">
        <f>IF($AJ2500=1,SUMPRODUCT(--($AN$2:$AN$4001&lt;$AN2500))+1,"")</f>
        <v/>
      </c>
      <c r="AL2500">
        <f>IF($C2500="","",IF(OR($Q2500=TRUE(),$Q2500="TRUE"),1,0))</f>
        <v/>
      </c>
      <c r="AM2500">
        <f>IF($C2500="","",IF($W2500="Yes",1,0))</f>
        <v/>
      </c>
      <c r="AN2500">
        <f>IF($AJ2500=1,IFERROR(IF(VALUE($C2500)&lt;100000000,VALUE($C2500),1000000000),IFERROR(IF(VALUE(MID($C2500,2,20))&lt;100000000,VALUE(MID($C2500,2,20)),1000000000),1000000000))+ROW()/100000,"")</f>
        <v/>
      </c>
    </row>
    <row r="2501">
      <c r="E2501" s="11" t="n"/>
      <c r="M2501" s="7">
        <f>IF($C2501="","",L2501*U2501/100)</f>
        <v/>
      </c>
      <c r="N2501" s="7" t="n"/>
      <c r="T2501" s="7" t="n"/>
      <c r="U2501" s="7">
        <f>IF($C2501="","",S2501*T2501)</f>
        <v/>
      </c>
      <c r="X2501">
        <f>IF($C2501="","",IF($AM2501=1,0,IF($AL2501=1,Settings!$C$6,Settings!$C$7))*100)</f>
        <v/>
      </c>
      <c r="AB2501" s="7" t="n"/>
      <c r="AE2501" s="11" t="n"/>
      <c r="AG2501" s="7">
        <f>IF($C2501="","",U2501*X2501/100)</f>
        <v/>
      </c>
      <c r="AH2501" s="7">
        <f>IF($C2501="","",U2501-AG2501)</f>
        <v/>
      </c>
      <c r="AI2501" s="7">
        <f>IF($C2501="","",AH2501-M2501)</f>
        <v/>
      </c>
      <c r="AJ2501">
        <f>IF($C2501="","",IF(COUNTIF($C$2:$C2501,$C2501)=1,1,0))</f>
        <v/>
      </c>
      <c r="AK2501">
        <f>IF($AJ2501=1,SUMPRODUCT(--($AN$2:$AN$4001&lt;$AN2501))+1,"")</f>
        <v/>
      </c>
      <c r="AL2501">
        <f>IF($C2501="","",IF(OR($Q2501=TRUE(),$Q2501="TRUE"),1,0))</f>
        <v/>
      </c>
      <c r="AM2501">
        <f>IF($C2501="","",IF($W2501="Yes",1,0))</f>
        <v/>
      </c>
      <c r="AN2501">
        <f>IF($AJ2501=1,IFERROR(IF(VALUE($C2501)&lt;100000000,VALUE($C2501),1000000000),IFERROR(IF(VALUE(MID($C2501,2,20))&lt;100000000,VALUE(MID($C2501,2,20)),1000000000),1000000000))+ROW()/100000,"")</f>
        <v/>
      </c>
    </row>
    <row r="2502">
      <c r="E2502" s="11" t="n"/>
      <c r="M2502" s="7">
        <f>IF($C2502="","",L2502*U2502/100)</f>
        <v/>
      </c>
      <c r="N2502" s="7" t="n"/>
      <c r="T2502" s="7" t="n"/>
      <c r="U2502" s="7">
        <f>IF($C2502="","",S2502*T2502)</f>
        <v/>
      </c>
      <c r="X2502">
        <f>IF($C2502="","",IF($AM2502=1,0,IF($AL2502=1,Settings!$C$6,Settings!$C$7))*100)</f>
        <v/>
      </c>
      <c r="AB2502" s="7" t="n"/>
      <c r="AE2502" s="11" t="n"/>
      <c r="AG2502" s="7">
        <f>IF($C2502="","",U2502*X2502/100)</f>
        <v/>
      </c>
      <c r="AH2502" s="7">
        <f>IF($C2502="","",U2502-AG2502)</f>
        <v/>
      </c>
      <c r="AI2502" s="7">
        <f>IF($C2502="","",AH2502-M2502)</f>
        <v/>
      </c>
      <c r="AJ2502">
        <f>IF($C2502="","",IF(COUNTIF($C$2:$C2502,$C2502)=1,1,0))</f>
        <v/>
      </c>
      <c r="AK2502">
        <f>IF($AJ2502=1,SUMPRODUCT(--($AN$2:$AN$4001&lt;$AN2502))+1,"")</f>
        <v/>
      </c>
      <c r="AL2502">
        <f>IF($C2502="","",IF(OR($Q2502=TRUE(),$Q2502="TRUE"),1,0))</f>
        <v/>
      </c>
      <c r="AM2502">
        <f>IF($C2502="","",IF($W2502="Yes",1,0))</f>
        <v/>
      </c>
      <c r="AN2502">
        <f>IF($AJ2502=1,IFERROR(IF(VALUE($C2502)&lt;100000000,VALUE($C2502),1000000000),IFERROR(IF(VALUE(MID($C2502,2,20))&lt;100000000,VALUE(MID($C2502,2,20)),1000000000),1000000000))+ROW()/100000,"")</f>
        <v/>
      </c>
    </row>
    <row r="2503">
      <c r="E2503" s="11" t="n"/>
      <c r="M2503" s="7">
        <f>IF($C2503="","",L2503*U2503/100)</f>
        <v/>
      </c>
      <c r="N2503" s="7" t="n"/>
      <c r="T2503" s="7" t="n"/>
      <c r="U2503" s="7">
        <f>IF($C2503="","",S2503*T2503)</f>
        <v/>
      </c>
      <c r="X2503">
        <f>IF($C2503="","",IF($AM2503=1,0,IF($AL2503=1,Settings!$C$6,Settings!$C$7))*100)</f>
        <v/>
      </c>
      <c r="AB2503" s="7" t="n"/>
      <c r="AE2503" s="11" t="n"/>
      <c r="AG2503" s="7">
        <f>IF($C2503="","",U2503*X2503/100)</f>
        <v/>
      </c>
      <c r="AH2503" s="7">
        <f>IF($C2503="","",U2503-AG2503)</f>
        <v/>
      </c>
      <c r="AI2503" s="7">
        <f>IF($C2503="","",AH2503-M2503)</f>
        <v/>
      </c>
      <c r="AJ2503">
        <f>IF($C2503="","",IF(COUNTIF($C$2:$C2503,$C2503)=1,1,0))</f>
        <v/>
      </c>
      <c r="AK2503">
        <f>IF($AJ2503=1,SUMPRODUCT(--($AN$2:$AN$4001&lt;$AN2503))+1,"")</f>
        <v/>
      </c>
      <c r="AL2503">
        <f>IF($C2503="","",IF(OR($Q2503=TRUE(),$Q2503="TRUE"),1,0))</f>
        <v/>
      </c>
      <c r="AM2503">
        <f>IF($C2503="","",IF($W2503="Yes",1,0))</f>
        <v/>
      </c>
      <c r="AN2503">
        <f>IF($AJ2503=1,IFERROR(IF(VALUE($C2503)&lt;100000000,VALUE($C2503),1000000000),IFERROR(IF(VALUE(MID($C2503,2,20))&lt;100000000,VALUE(MID($C2503,2,20)),1000000000),1000000000))+ROW()/100000,"")</f>
        <v/>
      </c>
    </row>
    <row r="2504">
      <c r="E2504" s="11" t="n"/>
      <c r="M2504" s="7">
        <f>IF($C2504="","",L2504*U2504/100)</f>
        <v/>
      </c>
      <c r="N2504" s="7" t="n"/>
      <c r="T2504" s="7" t="n"/>
      <c r="U2504" s="7">
        <f>IF($C2504="","",S2504*T2504)</f>
        <v/>
      </c>
      <c r="X2504">
        <f>IF($C2504="","",IF($AM2504=1,0,IF($AL2504=1,Settings!$C$6,Settings!$C$7))*100)</f>
        <v/>
      </c>
      <c r="AB2504" s="7" t="n"/>
      <c r="AE2504" s="11" t="n"/>
      <c r="AG2504" s="7">
        <f>IF($C2504="","",U2504*X2504/100)</f>
        <v/>
      </c>
      <c r="AH2504" s="7">
        <f>IF($C2504="","",U2504-AG2504)</f>
        <v/>
      </c>
      <c r="AI2504" s="7">
        <f>IF($C2504="","",AH2504-M2504)</f>
        <v/>
      </c>
      <c r="AJ2504">
        <f>IF($C2504="","",IF(COUNTIF($C$2:$C2504,$C2504)=1,1,0))</f>
        <v/>
      </c>
      <c r="AK2504">
        <f>IF($AJ2504=1,SUMPRODUCT(--($AN$2:$AN$4001&lt;$AN2504))+1,"")</f>
        <v/>
      </c>
      <c r="AL2504">
        <f>IF($C2504="","",IF(OR($Q2504=TRUE(),$Q2504="TRUE"),1,0))</f>
        <v/>
      </c>
      <c r="AM2504">
        <f>IF($C2504="","",IF($W2504="Yes",1,0))</f>
        <v/>
      </c>
      <c r="AN2504">
        <f>IF($AJ2504=1,IFERROR(IF(VALUE($C2504)&lt;100000000,VALUE($C2504),1000000000),IFERROR(IF(VALUE(MID($C2504,2,20))&lt;100000000,VALUE(MID($C2504,2,20)),1000000000),1000000000))+ROW()/100000,"")</f>
        <v/>
      </c>
    </row>
    <row r="2505">
      <c r="E2505" s="11" t="n"/>
      <c r="M2505" s="7">
        <f>IF($C2505="","",L2505*U2505/100)</f>
        <v/>
      </c>
      <c r="N2505" s="7" t="n"/>
      <c r="T2505" s="7" t="n"/>
      <c r="U2505" s="7">
        <f>IF($C2505="","",S2505*T2505)</f>
        <v/>
      </c>
      <c r="X2505">
        <f>IF($C2505="","",IF($AM2505=1,0,IF($AL2505=1,Settings!$C$6,Settings!$C$7))*100)</f>
        <v/>
      </c>
      <c r="AB2505" s="7" t="n"/>
      <c r="AE2505" s="11" t="n"/>
      <c r="AG2505" s="7">
        <f>IF($C2505="","",U2505*X2505/100)</f>
        <v/>
      </c>
      <c r="AH2505" s="7">
        <f>IF($C2505="","",U2505-AG2505)</f>
        <v/>
      </c>
      <c r="AI2505" s="7">
        <f>IF($C2505="","",AH2505-M2505)</f>
        <v/>
      </c>
      <c r="AJ2505">
        <f>IF($C2505="","",IF(COUNTIF($C$2:$C2505,$C2505)=1,1,0))</f>
        <v/>
      </c>
      <c r="AK2505">
        <f>IF($AJ2505=1,SUMPRODUCT(--($AN$2:$AN$4001&lt;$AN2505))+1,"")</f>
        <v/>
      </c>
      <c r="AL2505">
        <f>IF($C2505="","",IF(OR($Q2505=TRUE(),$Q2505="TRUE"),1,0))</f>
        <v/>
      </c>
      <c r="AM2505">
        <f>IF($C2505="","",IF($W2505="Yes",1,0))</f>
        <v/>
      </c>
      <c r="AN2505">
        <f>IF($AJ2505=1,IFERROR(IF(VALUE($C2505)&lt;100000000,VALUE($C2505),1000000000),IFERROR(IF(VALUE(MID($C2505,2,20))&lt;100000000,VALUE(MID($C2505,2,20)),1000000000),1000000000))+ROW()/100000,"")</f>
        <v/>
      </c>
    </row>
    <row r="2506">
      <c r="E2506" s="11" t="n"/>
      <c r="M2506" s="7">
        <f>IF($C2506="","",L2506*U2506/100)</f>
        <v/>
      </c>
      <c r="N2506" s="7" t="n"/>
      <c r="T2506" s="7" t="n"/>
      <c r="U2506" s="7">
        <f>IF($C2506="","",S2506*T2506)</f>
        <v/>
      </c>
      <c r="X2506">
        <f>IF($C2506="","",IF($AM2506=1,0,IF($AL2506=1,Settings!$C$6,Settings!$C$7))*100)</f>
        <v/>
      </c>
      <c r="AB2506" s="7" t="n"/>
      <c r="AE2506" s="11" t="n"/>
      <c r="AG2506" s="7">
        <f>IF($C2506="","",U2506*X2506/100)</f>
        <v/>
      </c>
      <c r="AH2506" s="7">
        <f>IF($C2506="","",U2506-AG2506)</f>
        <v/>
      </c>
      <c r="AI2506" s="7">
        <f>IF($C2506="","",AH2506-M2506)</f>
        <v/>
      </c>
      <c r="AJ2506">
        <f>IF($C2506="","",IF(COUNTIF($C$2:$C2506,$C2506)=1,1,0))</f>
        <v/>
      </c>
      <c r="AK2506">
        <f>IF($AJ2506=1,SUMPRODUCT(--($AN$2:$AN$4001&lt;$AN2506))+1,"")</f>
        <v/>
      </c>
      <c r="AL2506">
        <f>IF($C2506="","",IF(OR($Q2506=TRUE(),$Q2506="TRUE"),1,0))</f>
        <v/>
      </c>
      <c r="AM2506">
        <f>IF($C2506="","",IF($W2506="Yes",1,0))</f>
        <v/>
      </c>
      <c r="AN2506">
        <f>IF($AJ2506=1,IFERROR(IF(VALUE($C2506)&lt;100000000,VALUE($C2506),1000000000),IFERROR(IF(VALUE(MID($C2506,2,20))&lt;100000000,VALUE(MID($C2506,2,20)),1000000000),1000000000))+ROW()/100000,"")</f>
        <v/>
      </c>
    </row>
    <row r="2507">
      <c r="E2507" s="11" t="n"/>
      <c r="M2507" s="7">
        <f>IF($C2507="","",L2507*U2507/100)</f>
        <v/>
      </c>
      <c r="N2507" s="7" t="n"/>
      <c r="T2507" s="7" t="n"/>
      <c r="U2507" s="7">
        <f>IF($C2507="","",S2507*T2507)</f>
        <v/>
      </c>
      <c r="X2507">
        <f>IF($C2507="","",IF($AM2507=1,0,IF($AL2507=1,Settings!$C$6,Settings!$C$7))*100)</f>
        <v/>
      </c>
      <c r="AB2507" s="7" t="n"/>
      <c r="AE2507" s="11" t="n"/>
      <c r="AG2507" s="7">
        <f>IF($C2507="","",U2507*X2507/100)</f>
        <v/>
      </c>
      <c r="AH2507" s="7">
        <f>IF($C2507="","",U2507-AG2507)</f>
        <v/>
      </c>
      <c r="AI2507" s="7">
        <f>IF($C2507="","",AH2507-M2507)</f>
        <v/>
      </c>
      <c r="AJ2507">
        <f>IF($C2507="","",IF(COUNTIF($C$2:$C2507,$C2507)=1,1,0))</f>
        <v/>
      </c>
      <c r="AK2507">
        <f>IF($AJ2507=1,SUMPRODUCT(--($AN$2:$AN$4001&lt;$AN2507))+1,"")</f>
        <v/>
      </c>
      <c r="AL2507">
        <f>IF($C2507="","",IF(OR($Q2507=TRUE(),$Q2507="TRUE"),1,0))</f>
        <v/>
      </c>
      <c r="AM2507">
        <f>IF($C2507="","",IF($W2507="Yes",1,0))</f>
        <v/>
      </c>
      <c r="AN2507">
        <f>IF($AJ2507=1,IFERROR(IF(VALUE($C2507)&lt;100000000,VALUE($C2507),1000000000),IFERROR(IF(VALUE(MID($C2507,2,20))&lt;100000000,VALUE(MID($C2507,2,20)),1000000000),1000000000))+ROW()/100000,"")</f>
        <v/>
      </c>
    </row>
    <row r="2508">
      <c r="E2508" s="11" t="n"/>
      <c r="M2508" s="7">
        <f>IF($C2508="","",L2508*U2508/100)</f>
        <v/>
      </c>
      <c r="N2508" s="7" t="n"/>
      <c r="T2508" s="7" t="n"/>
      <c r="U2508" s="7">
        <f>IF($C2508="","",S2508*T2508)</f>
        <v/>
      </c>
      <c r="X2508">
        <f>IF($C2508="","",IF($AM2508=1,0,IF($AL2508=1,Settings!$C$6,Settings!$C$7))*100)</f>
        <v/>
      </c>
      <c r="AB2508" s="7" t="n"/>
      <c r="AE2508" s="11" t="n"/>
      <c r="AG2508" s="7">
        <f>IF($C2508="","",U2508*X2508/100)</f>
        <v/>
      </c>
      <c r="AH2508" s="7">
        <f>IF($C2508="","",U2508-AG2508)</f>
        <v/>
      </c>
      <c r="AI2508" s="7">
        <f>IF($C2508="","",AH2508-M2508)</f>
        <v/>
      </c>
      <c r="AJ2508">
        <f>IF($C2508="","",IF(COUNTIF($C$2:$C2508,$C2508)=1,1,0))</f>
        <v/>
      </c>
      <c r="AK2508">
        <f>IF($AJ2508=1,SUMPRODUCT(--($AN$2:$AN$4001&lt;$AN2508))+1,"")</f>
        <v/>
      </c>
      <c r="AL2508">
        <f>IF($C2508="","",IF(OR($Q2508=TRUE(),$Q2508="TRUE"),1,0))</f>
        <v/>
      </c>
      <c r="AM2508">
        <f>IF($C2508="","",IF($W2508="Yes",1,0))</f>
        <v/>
      </c>
      <c r="AN2508">
        <f>IF($AJ2508=1,IFERROR(IF(VALUE($C2508)&lt;100000000,VALUE($C2508),1000000000),IFERROR(IF(VALUE(MID($C2508,2,20))&lt;100000000,VALUE(MID($C2508,2,20)),1000000000),1000000000))+ROW()/100000,"")</f>
        <v/>
      </c>
    </row>
    <row r="2509">
      <c r="E2509" s="11" t="n"/>
      <c r="M2509" s="7">
        <f>IF($C2509="","",L2509*U2509/100)</f>
        <v/>
      </c>
      <c r="N2509" s="7" t="n"/>
      <c r="T2509" s="7" t="n"/>
      <c r="U2509" s="7">
        <f>IF($C2509="","",S2509*T2509)</f>
        <v/>
      </c>
      <c r="X2509">
        <f>IF($C2509="","",IF($AM2509=1,0,IF($AL2509=1,Settings!$C$6,Settings!$C$7))*100)</f>
        <v/>
      </c>
      <c r="AB2509" s="7" t="n"/>
      <c r="AE2509" s="11" t="n"/>
      <c r="AG2509" s="7">
        <f>IF($C2509="","",U2509*X2509/100)</f>
        <v/>
      </c>
      <c r="AH2509" s="7">
        <f>IF($C2509="","",U2509-AG2509)</f>
        <v/>
      </c>
      <c r="AI2509" s="7">
        <f>IF($C2509="","",AH2509-M2509)</f>
        <v/>
      </c>
      <c r="AJ2509">
        <f>IF($C2509="","",IF(COUNTIF($C$2:$C2509,$C2509)=1,1,0))</f>
        <v/>
      </c>
      <c r="AK2509">
        <f>IF($AJ2509=1,SUMPRODUCT(--($AN$2:$AN$4001&lt;$AN2509))+1,"")</f>
        <v/>
      </c>
      <c r="AL2509">
        <f>IF($C2509="","",IF(OR($Q2509=TRUE(),$Q2509="TRUE"),1,0))</f>
        <v/>
      </c>
      <c r="AM2509">
        <f>IF($C2509="","",IF($W2509="Yes",1,0))</f>
        <v/>
      </c>
      <c r="AN2509">
        <f>IF($AJ2509=1,IFERROR(IF(VALUE($C2509)&lt;100000000,VALUE($C2509),1000000000),IFERROR(IF(VALUE(MID($C2509,2,20))&lt;100000000,VALUE(MID($C2509,2,20)),1000000000),1000000000))+ROW()/100000,"")</f>
        <v/>
      </c>
    </row>
    <row r="2510">
      <c r="E2510" s="11" t="n"/>
      <c r="M2510" s="7">
        <f>IF($C2510="","",L2510*U2510/100)</f>
        <v/>
      </c>
      <c r="N2510" s="7" t="n"/>
      <c r="T2510" s="7" t="n"/>
      <c r="U2510" s="7">
        <f>IF($C2510="","",S2510*T2510)</f>
        <v/>
      </c>
      <c r="X2510">
        <f>IF($C2510="","",IF($AM2510=1,0,IF($AL2510=1,Settings!$C$6,Settings!$C$7))*100)</f>
        <v/>
      </c>
      <c r="AB2510" s="7" t="n"/>
      <c r="AE2510" s="11" t="n"/>
      <c r="AG2510" s="7">
        <f>IF($C2510="","",U2510*X2510/100)</f>
        <v/>
      </c>
      <c r="AH2510" s="7">
        <f>IF($C2510="","",U2510-AG2510)</f>
        <v/>
      </c>
      <c r="AI2510" s="7">
        <f>IF($C2510="","",AH2510-M2510)</f>
        <v/>
      </c>
      <c r="AJ2510">
        <f>IF($C2510="","",IF(COUNTIF($C$2:$C2510,$C2510)=1,1,0))</f>
        <v/>
      </c>
      <c r="AK2510">
        <f>IF($AJ2510=1,SUMPRODUCT(--($AN$2:$AN$4001&lt;$AN2510))+1,"")</f>
        <v/>
      </c>
      <c r="AL2510">
        <f>IF($C2510="","",IF(OR($Q2510=TRUE(),$Q2510="TRUE"),1,0))</f>
        <v/>
      </c>
      <c r="AM2510">
        <f>IF($C2510="","",IF($W2510="Yes",1,0))</f>
        <v/>
      </c>
      <c r="AN2510">
        <f>IF($AJ2510=1,IFERROR(IF(VALUE($C2510)&lt;100000000,VALUE($C2510),1000000000),IFERROR(IF(VALUE(MID($C2510,2,20))&lt;100000000,VALUE(MID($C2510,2,20)),1000000000),1000000000))+ROW()/100000,"")</f>
        <v/>
      </c>
    </row>
    <row r="2511">
      <c r="E2511" s="11" t="n"/>
      <c r="M2511" s="7">
        <f>IF($C2511="","",L2511*U2511/100)</f>
        <v/>
      </c>
      <c r="N2511" s="7" t="n"/>
      <c r="T2511" s="7" t="n"/>
      <c r="U2511" s="7">
        <f>IF($C2511="","",S2511*T2511)</f>
        <v/>
      </c>
      <c r="X2511">
        <f>IF($C2511="","",IF($AM2511=1,0,IF($AL2511=1,Settings!$C$6,Settings!$C$7))*100)</f>
        <v/>
      </c>
      <c r="AB2511" s="7" t="n"/>
      <c r="AE2511" s="11" t="n"/>
      <c r="AG2511" s="7">
        <f>IF($C2511="","",U2511*X2511/100)</f>
        <v/>
      </c>
      <c r="AH2511" s="7">
        <f>IF($C2511="","",U2511-AG2511)</f>
        <v/>
      </c>
      <c r="AI2511" s="7">
        <f>IF($C2511="","",AH2511-M2511)</f>
        <v/>
      </c>
      <c r="AJ2511">
        <f>IF($C2511="","",IF(COUNTIF($C$2:$C2511,$C2511)=1,1,0))</f>
        <v/>
      </c>
      <c r="AK2511">
        <f>IF($AJ2511=1,SUMPRODUCT(--($AN$2:$AN$4001&lt;$AN2511))+1,"")</f>
        <v/>
      </c>
      <c r="AL2511">
        <f>IF($C2511="","",IF(OR($Q2511=TRUE(),$Q2511="TRUE"),1,0))</f>
        <v/>
      </c>
      <c r="AM2511">
        <f>IF($C2511="","",IF($W2511="Yes",1,0))</f>
        <v/>
      </c>
      <c r="AN2511">
        <f>IF($AJ2511=1,IFERROR(IF(VALUE($C2511)&lt;100000000,VALUE($C2511),1000000000),IFERROR(IF(VALUE(MID($C2511,2,20))&lt;100000000,VALUE(MID($C2511,2,20)),1000000000),1000000000))+ROW()/100000,"")</f>
        <v/>
      </c>
    </row>
    <row r="2512">
      <c r="E2512" s="11" t="n"/>
      <c r="M2512" s="7">
        <f>IF($C2512="","",L2512*U2512/100)</f>
        <v/>
      </c>
      <c r="N2512" s="7" t="n"/>
      <c r="T2512" s="7" t="n"/>
      <c r="U2512" s="7">
        <f>IF($C2512="","",S2512*T2512)</f>
        <v/>
      </c>
      <c r="X2512">
        <f>IF($C2512="","",IF($AM2512=1,0,IF($AL2512=1,Settings!$C$6,Settings!$C$7))*100)</f>
        <v/>
      </c>
      <c r="AB2512" s="7" t="n"/>
      <c r="AE2512" s="11" t="n"/>
      <c r="AG2512" s="7">
        <f>IF($C2512="","",U2512*X2512/100)</f>
        <v/>
      </c>
      <c r="AH2512" s="7">
        <f>IF($C2512="","",U2512-AG2512)</f>
        <v/>
      </c>
      <c r="AI2512" s="7">
        <f>IF($C2512="","",AH2512-M2512)</f>
        <v/>
      </c>
      <c r="AJ2512">
        <f>IF($C2512="","",IF(COUNTIF($C$2:$C2512,$C2512)=1,1,0))</f>
        <v/>
      </c>
      <c r="AK2512">
        <f>IF($AJ2512=1,SUMPRODUCT(--($AN$2:$AN$4001&lt;$AN2512))+1,"")</f>
        <v/>
      </c>
      <c r="AL2512">
        <f>IF($C2512="","",IF(OR($Q2512=TRUE(),$Q2512="TRUE"),1,0))</f>
        <v/>
      </c>
      <c r="AM2512">
        <f>IF($C2512="","",IF($W2512="Yes",1,0))</f>
        <v/>
      </c>
      <c r="AN2512">
        <f>IF($AJ2512=1,IFERROR(IF(VALUE($C2512)&lt;100000000,VALUE($C2512),1000000000),IFERROR(IF(VALUE(MID($C2512,2,20))&lt;100000000,VALUE(MID($C2512,2,20)),1000000000),1000000000))+ROW()/100000,"")</f>
        <v/>
      </c>
    </row>
    <row r="2513">
      <c r="E2513" s="11" t="n"/>
      <c r="M2513" s="7">
        <f>IF($C2513="","",L2513*U2513/100)</f>
        <v/>
      </c>
      <c r="N2513" s="7" t="n"/>
      <c r="T2513" s="7" t="n"/>
      <c r="U2513" s="7">
        <f>IF($C2513="","",S2513*T2513)</f>
        <v/>
      </c>
      <c r="X2513">
        <f>IF($C2513="","",IF($AM2513=1,0,IF($AL2513=1,Settings!$C$6,Settings!$C$7))*100)</f>
        <v/>
      </c>
      <c r="AB2513" s="7" t="n"/>
      <c r="AE2513" s="11" t="n"/>
      <c r="AG2513" s="7">
        <f>IF($C2513="","",U2513*X2513/100)</f>
        <v/>
      </c>
      <c r="AH2513" s="7">
        <f>IF($C2513="","",U2513-AG2513)</f>
        <v/>
      </c>
      <c r="AI2513" s="7">
        <f>IF($C2513="","",AH2513-M2513)</f>
        <v/>
      </c>
      <c r="AJ2513">
        <f>IF($C2513="","",IF(COUNTIF($C$2:$C2513,$C2513)=1,1,0))</f>
        <v/>
      </c>
      <c r="AK2513">
        <f>IF($AJ2513=1,SUMPRODUCT(--($AN$2:$AN$4001&lt;$AN2513))+1,"")</f>
        <v/>
      </c>
      <c r="AL2513">
        <f>IF($C2513="","",IF(OR($Q2513=TRUE(),$Q2513="TRUE"),1,0))</f>
        <v/>
      </c>
      <c r="AM2513">
        <f>IF($C2513="","",IF($W2513="Yes",1,0))</f>
        <v/>
      </c>
      <c r="AN2513">
        <f>IF($AJ2513=1,IFERROR(IF(VALUE($C2513)&lt;100000000,VALUE($C2513),1000000000),IFERROR(IF(VALUE(MID($C2513,2,20))&lt;100000000,VALUE(MID($C2513,2,20)),1000000000),1000000000))+ROW()/100000,"")</f>
        <v/>
      </c>
    </row>
    <row r="2514">
      <c r="E2514" s="11" t="n"/>
      <c r="M2514" s="7">
        <f>IF($C2514="","",L2514*U2514/100)</f>
        <v/>
      </c>
      <c r="N2514" s="7" t="n"/>
      <c r="T2514" s="7" t="n"/>
      <c r="U2514" s="7">
        <f>IF($C2514="","",S2514*T2514)</f>
        <v/>
      </c>
      <c r="X2514">
        <f>IF($C2514="","",IF($AM2514=1,0,IF($AL2514=1,Settings!$C$6,Settings!$C$7))*100)</f>
        <v/>
      </c>
      <c r="AB2514" s="7" t="n"/>
      <c r="AE2514" s="11" t="n"/>
      <c r="AG2514" s="7">
        <f>IF($C2514="","",U2514*X2514/100)</f>
        <v/>
      </c>
      <c r="AH2514" s="7">
        <f>IF($C2514="","",U2514-AG2514)</f>
        <v/>
      </c>
      <c r="AI2514" s="7">
        <f>IF($C2514="","",AH2514-M2514)</f>
        <v/>
      </c>
      <c r="AJ2514">
        <f>IF($C2514="","",IF(COUNTIF($C$2:$C2514,$C2514)=1,1,0))</f>
        <v/>
      </c>
      <c r="AK2514">
        <f>IF($AJ2514=1,SUMPRODUCT(--($AN$2:$AN$4001&lt;$AN2514))+1,"")</f>
        <v/>
      </c>
      <c r="AL2514">
        <f>IF($C2514="","",IF(OR($Q2514=TRUE(),$Q2514="TRUE"),1,0))</f>
        <v/>
      </c>
      <c r="AM2514">
        <f>IF($C2514="","",IF($W2514="Yes",1,0))</f>
        <v/>
      </c>
      <c r="AN2514">
        <f>IF($AJ2514=1,IFERROR(IF(VALUE($C2514)&lt;100000000,VALUE($C2514),1000000000),IFERROR(IF(VALUE(MID($C2514,2,20))&lt;100000000,VALUE(MID($C2514,2,20)),1000000000),1000000000))+ROW()/100000,"")</f>
        <v/>
      </c>
    </row>
    <row r="2515">
      <c r="E2515" s="11" t="n"/>
      <c r="M2515" s="7">
        <f>IF($C2515="","",L2515*U2515/100)</f>
        <v/>
      </c>
      <c r="N2515" s="7" t="n"/>
      <c r="T2515" s="7" t="n"/>
      <c r="U2515" s="7">
        <f>IF($C2515="","",S2515*T2515)</f>
        <v/>
      </c>
      <c r="X2515">
        <f>IF($C2515="","",IF($AM2515=1,0,IF($AL2515=1,Settings!$C$6,Settings!$C$7))*100)</f>
        <v/>
      </c>
      <c r="AB2515" s="7" t="n"/>
      <c r="AE2515" s="11" t="n"/>
      <c r="AG2515" s="7">
        <f>IF($C2515="","",U2515*X2515/100)</f>
        <v/>
      </c>
      <c r="AH2515" s="7">
        <f>IF($C2515="","",U2515-AG2515)</f>
        <v/>
      </c>
      <c r="AI2515" s="7">
        <f>IF($C2515="","",AH2515-M2515)</f>
        <v/>
      </c>
      <c r="AJ2515">
        <f>IF($C2515="","",IF(COUNTIF($C$2:$C2515,$C2515)=1,1,0))</f>
        <v/>
      </c>
      <c r="AK2515">
        <f>IF($AJ2515=1,SUMPRODUCT(--($AN$2:$AN$4001&lt;$AN2515))+1,"")</f>
        <v/>
      </c>
      <c r="AL2515">
        <f>IF($C2515="","",IF(OR($Q2515=TRUE(),$Q2515="TRUE"),1,0))</f>
        <v/>
      </c>
      <c r="AM2515">
        <f>IF($C2515="","",IF($W2515="Yes",1,0))</f>
        <v/>
      </c>
      <c r="AN2515">
        <f>IF($AJ2515=1,IFERROR(IF(VALUE($C2515)&lt;100000000,VALUE($C2515),1000000000),IFERROR(IF(VALUE(MID($C2515,2,20))&lt;100000000,VALUE(MID($C2515,2,20)),1000000000),1000000000))+ROW()/100000,"")</f>
        <v/>
      </c>
    </row>
    <row r="2516">
      <c r="E2516" s="11" t="n"/>
      <c r="M2516" s="7">
        <f>IF($C2516="","",L2516*U2516/100)</f>
        <v/>
      </c>
      <c r="N2516" s="7" t="n"/>
      <c r="T2516" s="7" t="n"/>
      <c r="U2516" s="7">
        <f>IF($C2516="","",S2516*T2516)</f>
        <v/>
      </c>
      <c r="X2516">
        <f>IF($C2516="","",IF($AM2516=1,0,IF($AL2516=1,Settings!$C$6,Settings!$C$7))*100)</f>
        <v/>
      </c>
      <c r="AB2516" s="7" t="n"/>
      <c r="AE2516" s="11" t="n"/>
      <c r="AG2516" s="7">
        <f>IF($C2516="","",U2516*X2516/100)</f>
        <v/>
      </c>
      <c r="AH2516" s="7">
        <f>IF($C2516="","",U2516-AG2516)</f>
        <v/>
      </c>
      <c r="AI2516" s="7">
        <f>IF($C2516="","",AH2516-M2516)</f>
        <v/>
      </c>
      <c r="AJ2516">
        <f>IF($C2516="","",IF(COUNTIF($C$2:$C2516,$C2516)=1,1,0))</f>
        <v/>
      </c>
      <c r="AK2516">
        <f>IF($AJ2516=1,SUMPRODUCT(--($AN$2:$AN$4001&lt;$AN2516))+1,"")</f>
        <v/>
      </c>
      <c r="AL2516">
        <f>IF($C2516="","",IF(OR($Q2516=TRUE(),$Q2516="TRUE"),1,0))</f>
        <v/>
      </c>
      <c r="AM2516">
        <f>IF($C2516="","",IF($W2516="Yes",1,0))</f>
        <v/>
      </c>
      <c r="AN2516">
        <f>IF($AJ2516=1,IFERROR(IF(VALUE($C2516)&lt;100000000,VALUE($C2516),1000000000),IFERROR(IF(VALUE(MID($C2516,2,20))&lt;100000000,VALUE(MID($C2516,2,20)),1000000000),1000000000))+ROW()/100000,"")</f>
        <v/>
      </c>
    </row>
    <row r="2517">
      <c r="E2517" s="11" t="n"/>
      <c r="M2517" s="7">
        <f>IF($C2517="","",L2517*U2517/100)</f>
        <v/>
      </c>
      <c r="N2517" s="7" t="n"/>
      <c r="T2517" s="7" t="n"/>
      <c r="U2517" s="7">
        <f>IF($C2517="","",S2517*T2517)</f>
        <v/>
      </c>
      <c r="X2517">
        <f>IF($C2517="","",IF($AM2517=1,0,IF($AL2517=1,Settings!$C$6,Settings!$C$7))*100)</f>
        <v/>
      </c>
      <c r="AB2517" s="7" t="n"/>
      <c r="AE2517" s="11" t="n"/>
      <c r="AG2517" s="7">
        <f>IF($C2517="","",U2517*X2517/100)</f>
        <v/>
      </c>
      <c r="AH2517" s="7">
        <f>IF($C2517="","",U2517-AG2517)</f>
        <v/>
      </c>
      <c r="AI2517" s="7">
        <f>IF($C2517="","",AH2517-M2517)</f>
        <v/>
      </c>
      <c r="AJ2517">
        <f>IF($C2517="","",IF(COUNTIF($C$2:$C2517,$C2517)=1,1,0))</f>
        <v/>
      </c>
      <c r="AK2517">
        <f>IF($AJ2517=1,SUMPRODUCT(--($AN$2:$AN$4001&lt;$AN2517))+1,"")</f>
        <v/>
      </c>
      <c r="AL2517">
        <f>IF($C2517="","",IF(OR($Q2517=TRUE(),$Q2517="TRUE"),1,0))</f>
        <v/>
      </c>
      <c r="AM2517">
        <f>IF($C2517="","",IF($W2517="Yes",1,0))</f>
        <v/>
      </c>
      <c r="AN2517">
        <f>IF($AJ2517=1,IFERROR(IF(VALUE($C2517)&lt;100000000,VALUE($C2517),1000000000),IFERROR(IF(VALUE(MID($C2517,2,20))&lt;100000000,VALUE(MID($C2517,2,20)),1000000000),1000000000))+ROW()/100000,"")</f>
        <v/>
      </c>
    </row>
    <row r="2518">
      <c r="E2518" s="11" t="n"/>
      <c r="M2518" s="7">
        <f>IF($C2518="","",L2518*U2518/100)</f>
        <v/>
      </c>
      <c r="N2518" s="7" t="n"/>
      <c r="T2518" s="7" t="n"/>
      <c r="U2518" s="7">
        <f>IF($C2518="","",S2518*T2518)</f>
        <v/>
      </c>
      <c r="X2518">
        <f>IF($C2518="","",IF($AM2518=1,0,IF($AL2518=1,Settings!$C$6,Settings!$C$7))*100)</f>
        <v/>
      </c>
      <c r="AB2518" s="7" t="n"/>
      <c r="AE2518" s="11" t="n"/>
      <c r="AG2518" s="7">
        <f>IF($C2518="","",U2518*X2518/100)</f>
        <v/>
      </c>
      <c r="AH2518" s="7">
        <f>IF($C2518="","",U2518-AG2518)</f>
        <v/>
      </c>
      <c r="AI2518" s="7">
        <f>IF($C2518="","",AH2518-M2518)</f>
        <v/>
      </c>
      <c r="AJ2518">
        <f>IF($C2518="","",IF(COUNTIF($C$2:$C2518,$C2518)=1,1,0))</f>
        <v/>
      </c>
      <c r="AK2518">
        <f>IF($AJ2518=1,SUMPRODUCT(--($AN$2:$AN$4001&lt;$AN2518))+1,"")</f>
        <v/>
      </c>
      <c r="AL2518">
        <f>IF($C2518="","",IF(OR($Q2518=TRUE(),$Q2518="TRUE"),1,0))</f>
        <v/>
      </c>
      <c r="AM2518">
        <f>IF($C2518="","",IF($W2518="Yes",1,0))</f>
        <v/>
      </c>
      <c r="AN2518">
        <f>IF($AJ2518=1,IFERROR(IF(VALUE($C2518)&lt;100000000,VALUE($C2518),1000000000),IFERROR(IF(VALUE(MID($C2518,2,20))&lt;100000000,VALUE(MID($C2518,2,20)),1000000000),1000000000))+ROW()/100000,"")</f>
        <v/>
      </c>
    </row>
    <row r="2519">
      <c r="E2519" s="11" t="n"/>
      <c r="M2519" s="7">
        <f>IF($C2519="","",L2519*U2519/100)</f>
        <v/>
      </c>
      <c r="N2519" s="7" t="n"/>
      <c r="T2519" s="7" t="n"/>
      <c r="U2519" s="7">
        <f>IF($C2519="","",S2519*T2519)</f>
        <v/>
      </c>
      <c r="X2519">
        <f>IF($C2519="","",IF($AM2519=1,0,IF($AL2519=1,Settings!$C$6,Settings!$C$7))*100)</f>
        <v/>
      </c>
      <c r="AB2519" s="7" t="n"/>
      <c r="AE2519" s="11" t="n"/>
      <c r="AG2519" s="7">
        <f>IF($C2519="","",U2519*X2519/100)</f>
        <v/>
      </c>
      <c r="AH2519" s="7">
        <f>IF($C2519="","",U2519-AG2519)</f>
        <v/>
      </c>
      <c r="AI2519" s="7">
        <f>IF($C2519="","",AH2519-M2519)</f>
        <v/>
      </c>
      <c r="AJ2519">
        <f>IF($C2519="","",IF(COUNTIF($C$2:$C2519,$C2519)=1,1,0))</f>
        <v/>
      </c>
      <c r="AK2519">
        <f>IF($AJ2519=1,SUMPRODUCT(--($AN$2:$AN$4001&lt;$AN2519))+1,"")</f>
        <v/>
      </c>
      <c r="AL2519">
        <f>IF($C2519="","",IF(OR($Q2519=TRUE(),$Q2519="TRUE"),1,0))</f>
        <v/>
      </c>
      <c r="AM2519">
        <f>IF($C2519="","",IF($W2519="Yes",1,0))</f>
        <v/>
      </c>
      <c r="AN2519">
        <f>IF($AJ2519=1,IFERROR(IF(VALUE($C2519)&lt;100000000,VALUE($C2519),1000000000),IFERROR(IF(VALUE(MID($C2519,2,20))&lt;100000000,VALUE(MID($C2519,2,20)),1000000000),1000000000))+ROW()/100000,"")</f>
        <v/>
      </c>
    </row>
    <row r="2520">
      <c r="E2520" s="11" t="n"/>
      <c r="M2520" s="7">
        <f>IF($C2520="","",L2520*U2520/100)</f>
        <v/>
      </c>
      <c r="N2520" s="7" t="n"/>
      <c r="T2520" s="7" t="n"/>
      <c r="U2520" s="7">
        <f>IF($C2520="","",S2520*T2520)</f>
        <v/>
      </c>
      <c r="X2520">
        <f>IF($C2520="","",IF($AM2520=1,0,IF($AL2520=1,Settings!$C$6,Settings!$C$7))*100)</f>
        <v/>
      </c>
      <c r="AB2520" s="7" t="n"/>
      <c r="AE2520" s="11" t="n"/>
      <c r="AG2520" s="7">
        <f>IF($C2520="","",U2520*X2520/100)</f>
        <v/>
      </c>
      <c r="AH2520" s="7">
        <f>IF($C2520="","",U2520-AG2520)</f>
        <v/>
      </c>
      <c r="AI2520" s="7">
        <f>IF($C2520="","",AH2520-M2520)</f>
        <v/>
      </c>
      <c r="AJ2520">
        <f>IF($C2520="","",IF(COUNTIF($C$2:$C2520,$C2520)=1,1,0))</f>
        <v/>
      </c>
      <c r="AK2520">
        <f>IF($AJ2520=1,SUMPRODUCT(--($AN$2:$AN$4001&lt;$AN2520))+1,"")</f>
        <v/>
      </c>
      <c r="AL2520">
        <f>IF($C2520="","",IF(OR($Q2520=TRUE(),$Q2520="TRUE"),1,0))</f>
        <v/>
      </c>
      <c r="AM2520">
        <f>IF($C2520="","",IF($W2520="Yes",1,0))</f>
        <v/>
      </c>
      <c r="AN2520">
        <f>IF($AJ2520=1,IFERROR(IF(VALUE($C2520)&lt;100000000,VALUE($C2520),1000000000),IFERROR(IF(VALUE(MID($C2520,2,20))&lt;100000000,VALUE(MID($C2520,2,20)),1000000000),1000000000))+ROW()/100000,"")</f>
        <v/>
      </c>
    </row>
    <row r="2521">
      <c r="E2521" s="11" t="n"/>
      <c r="M2521" s="7">
        <f>IF($C2521="","",L2521*U2521/100)</f>
        <v/>
      </c>
      <c r="N2521" s="7" t="n"/>
      <c r="T2521" s="7" t="n"/>
      <c r="U2521" s="7">
        <f>IF($C2521="","",S2521*T2521)</f>
        <v/>
      </c>
      <c r="X2521">
        <f>IF($C2521="","",IF($AM2521=1,0,IF($AL2521=1,Settings!$C$6,Settings!$C$7))*100)</f>
        <v/>
      </c>
      <c r="AB2521" s="7" t="n"/>
      <c r="AE2521" s="11" t="n"/>
      <c r="AG2521" s="7">
        <f>IF($C2521="","",U2521*X2521/100)</f>
        <v/>
      </c>
      <c r="AH2521" s="7">
        <f>IF($C2521="","",U2521-AG2521)</f>
        <v/>
      </c>
      <c r="AI2521" s="7">
        <f>IF($C2521="","",AH2521-M2521)</f>
        <v/>
      </c>
      <c r="AJ2521">
        <f>IF($C2521="","",IF(COUNTIF($C$2:$C2521,$C2521)=1,1,0))</f>
        <v/>
      </c>
      <c r="AK2521">
        <f>IF($AJ2521=1,SUMPRODUCT(--($AN$2:$AN$4001&lt;$AN2521))+1,"")</f>
        <v/>
      </c>
      <c r="AL2521">
        <f>IF($C2521="","",IF(OR($Q2521=TRUE(),$Q2521="TRUE"),1,0))</f>
        <v/>
      </c>
      <c r="AM2521">
        <f>IF($C2521="","",IF($W2521="Yes",1,0))</f>
        <v/>
      </c>
      <c r="AN2521">
        <f>IF($AJ2521=1,IFERROR(IF(VALUE($C2521)&lt;100000000,VALUE($C2521),1000000000),IFERROR(IF(VALUE(MID($C2521,2,20))&lt;100000000,VALUE(MID($C2521,2,20)),1000000000),1000000000))+ROW()/100000,"")</f>
        <v/>
      </c>
    </row>
    <row r="2522">
      <c r="E2522" s="11" t="n"/>
      <c r="M2522" s="7">
        <f>IF($C2522="","",L2522*U2522/100)</f>
        <v/>
      </c>
      <c r="N2522" s="7" t="n"/>
      <c r="T2522" s="7" t="n"/>
      <c r="U2522" s="7">
        <f>IF($C2522="","",S2522*T2522)</f>
        <v/>
      </c>
      <c r="X2522">
        <f>IF($C2522="","",IF($AM2522=1,0,IF($AL2522=1,Settings!$C$6,Settings!$C$7))*100)</f>
        <v/>
      </c>
      <c r="AB2522" s="7" t="n"/>
      <c r="AE2522" s="11" t="n"/>
      <c r="AG2522" s="7">
        <f>IF($C2522="","",U2522*X2522/100)</f>
        <v/>
      </c>
      <c r="AH2522" s="7">
        <f>IF($C2522="","",U2522-AG2522)</f>
        <v/>
      </c>
      <c r="AI2522" s="7">
        <f>IF($C2522="","",AH2522-M2522)</f>
        <v/>
      </c>
      <c r="AJ2522">
        <f>IF($C2522="","",IF(COUNTIF($C$2:$C2522,$C2522)=1,1,0))</f>
        <v/>
      </c>
      <c r="AK2522">
        <f>IF($AJ2522=1,SUMPRODUCT(--($AN$2:$AN$4001&lt;$AN2522))+1,"")</f>
        <v/>
      </c>
      <c r="AL2522">
        <f>IF($C2522="","",IF(OR($Q2522=TRUE(),$Q2522="TRUE"),1,0))</f>
        <v/>
      </c>
      <c r="AM2522">
        <f>IF($C2522="","",IF($W2522="Yes",1,0))</f>
        <v/>
      </c>
      <c r="AN2522">
        <f>IF($AJ2522=1,IFERROR(IF(VALUE($C2522)&lt;100000000,VALUE($C2522),1000000000),IFERROR(IF(VALUE(MID($C2522,2,20))&lt;100000000,VALUE(MID($C2522,2,20)),1000000000),1000000000))+ROW()/100000,"")</f>
        <v/>
      </c>
    </row>
    <row r="2523">
      <c r="E2523" s="11" t="n"/>
      <c r="M2523" s="7">
        <f>IF($C2523="","",L2523*U2523/100)</f>
        <v/>
      </c>
      <c r="N2523" s="7" t="n"/>
      <c r="T2523" s="7" t="n"/>
      <c r="U2523" s="7">
        <f>IF($C2523="","",S2523*T2523)</f>
        <v/>
      </c>
      <c r="X2523">
        <f>IF($C2523="","",IF($AM2523=1,0,IF($AL2523=1,Settings!$C$6,Settings!$C$7))*100)</f>
        <v/>
      </c>
      <c r="AB2523" s="7" t="n"/>
      <c r="AE2523" s="11" t="n"/>
      <c r="AG2523" s="7">
        <f>IF($C2523="","",U2523*X2523/100)</f>
        <v/>
      </c>
      <c r="AH2523" s="7">
        <f>IF($C2523="","",U2523-AG2523)</f>
        <v/>
      </c>
      <c r="AI2523" s="7">
        <f>IF($C2523="","",AH2523-M2523)</f>
        <v/>
      </c>
      <c r="AJ2523">
        <f>IF($C2523="","",IF(COUNTIF($C$2:$C2523,$C2523)=1,1,0))</f>
        <v/>
      </c>
      <c r="AK2523">
        <f>IF($AJ2523=1,SUMPRODUCT(--($AN$2:$AN$4001&lt;$AN2523))+1,"")</f>
        <v/>
      </c>
      <c r="AL2523">
        <f>IF($C2523="","",IF(OR($Q2523=TRUE(),$Q2523="TRUE"),1,0))</f>
        <v/>
      </c>
      <c r="AM2523">
        <f>IF($C2523="","",IF($W2523="Yes",1,0))</f>
        <v/>
      </c>
      <c r="AN2523">
        <f>IF($AJ2523=1,IFERROR(IF(VALUE($C2523)&lt;100000000,VALUE($C2523),1000000000),IFERROR(IF(VALUE(MID($C2523,2,20))&lt;100000000,VALUE(MID($C2523,2,20)),1000000000),1000000000))+ROW()/100000,"")</f>
        <v/>
      </c>
    </row>
    <row r="2524">
      <c r="E2524" s="11" t="n"/>
      <c r="M2524" s="7">
        <f>IF($C2524="","",L2524*U2524/100)</f>
        <v/>
      </c>
      <c r="N2524" s="7" t="n"/>
      <c r="T2524" s="7" t="n"/>
      <c r="U2524" s="7">
        <f>IF($C2524="","",S2524*T2524)</f>
        <v/>
      </c>
      <c r="X2524">
        <f>IF($C2524="","",IF($AM2524=1,0,IF($AL2524=1,Settings!$C$6,Settings!$C$7))*100)</f>
        <v/>
      </c>
      <c r="AB2524" s="7" t="n"/>
      <c r="AE2524" s="11" t="n"/>
      <c r="AG2524" s="7">
        <f>IF($C2524="","",U2524*X2524/100)</f>
        <v/>
      </c>
      <c r="AH2524" s="7">
        <f>IF($C2524="","",U2524-AG2524)</f>
        <v/>
      </c>
      <c r="AI2524" s="7">
        <f>IF($C2524="","",AH2524-M2524)</f>
        <v/>
      </c>
      <c r="AJ2524">
        <f>IF($C2524="","",IF(COUNTIF($C$2:$C2524,$C2524)=1,1,0))</f>
        <v/>
      </c>
      <c r="AK2524">
        <f>IF($AJ2524=1,SUMPRODUCT(--($AN$2:$AN$4001&lt;$AN2524))+1,"")</f>
        <v/>
      </c>
      <c r="AL2524">
        <f>IF($C2524="","",IF(OR($Q2524=TRUE(),$Q2524="TRUE"),1,0))</f>
        <v/>
      </c>
      <c r="AM2524">
        <f>IF($C2524="","",IF($W2524="Yes",1,0))</f>
        <v/>
      </c>
      <c r="AN2524">
        <f>IF($AJ2524=1,IFERROR(IF(VALUE($C2524)&lt;100000000,VALUE($C2524),1000000000),IFERROR(IF(VALUE(MID($C2524,2,20))&lt;100000000,VALUE(MID($C2524,2,20)),1000000000),1000000000))+ROW()/100000,"")</f>
        <v/>
      </c>
    </row>
    <row r="2525">
      <c r="E2525" s="11" t="n"/>
      <c r="M2525" s="7">
        <f>IF($C2525="","",L2525*U2525/100)</f>
        <v/>
      </c>
      <c r="N2525" s="7" t="n"/>
      <c r="T2525" s="7" t="n"/>
      <c r="U2525" s="7">
        <f>IF($C2525="","",S2525*T2525)</f>
        <v/>
      </c>
      <c r="X2525">
        <f>IF($C2525="","",IF($AM2525=1,0,IF($AL2525=1,Settings!$C$6,Settings!$C$7))*100)</f>
        <v/>
      </c>
      <c r="AB2525" s="7" t="n"/>
      <c r="AE2525" s="11" t="n"/>
      <c r="AG2525" s="7">
        <f>IF($C2525="","",U2525*X2525/100)</f>
        <v/>
      </c>
      <c r="AH2525" s="7">
        <f>IF($C2525="","",U2525-AG2525)</f>
        <v/>
      </c>
      <c r="AI2525" s="7">
        <f>IF($C2525="","",AH2525-M2525)</f>
        <v/>
      </c>
      <c r="AJ2525">
        <f>IF($C2525="","",IF(COUNTIF($C$2:$C2525,$C2525)=1,1,0))</f>
        <v/>
      </c>
      <c r="AK2525">
        <f>IF($AJ2525=1,SUMPRODUCT(--($AN$2:$AN$4001&lt;$AN2525))+1,"")</f>
        <v/>
      </c>
      <c r="AL2525">
        <f>IF($C2525="","",IF(OR($Q2525=TRUE(),$Q2525="TRUE"),1,0))</f>
        <v/>
      </c>
      <c r="AM2525">
        <f>IF($C2525="","",IF($W2525="Yes",1,0))</f>
        <v/>
      </c>
      <c r="AN2525">
        <f>IF($AJ2525=1,IFERROR(IF(VALUE($C2525)&lt;100000000,VALUE($C2525),1000000000),IFERROR(IF(VALUE(MID($C2525,2,20))&lt;100000000,VALUE(MID($C2525,2,20)),1000000000),1000000000))+ROW()/100000,"")</f>
        <v/>
      </c>
    </row>
    <row r="2526">
      <c r="E2526" s="11" t="n"/>
      <c r="M2526" s="7">
        <f>IF($C2526="","",L2526*U2526/100)</f>
        <v/>
      </c>
      <c r="N2526" s="7" t="n"/>
      <c r="T2526" s="7" t="n"/>
      <c r="U2526" s="7">
        <f>IF($C2526="","",S2526*T2526)</f>
        <v/>
      </c>
      <c r="X2526">
        <f>IF($C2526="","",IF($AM2526=1,0,IF($AL2526=1,Settings!$C$6,Settings!$C$7))*100)</f>
        <v/>
      </c>
      <c r="AB2526" s="7" t="n"/>
      <c r="AE2526" s="11" t="n"/>
      <c r="AG2526" s="7">
        <f>IF($C2526="","",U2526*X2526/100)</f>
        <v/>
      </c>
      <c r="AH2526" s="7">
        <f>IF($C2526="","",U2526-AG2526)</f>
        <v/>
      </c>
      <c r="AI2526" s="7">
        <f>IF($C2526="","",AH2526-M2526)</f>
        <v/>
      </c>
      <c r="AJ2526">
        <f>IF($C2526="","",IF(COUNTIF($C$2:$C2526,$C2526)=1,1,0))</f>
        <v/>
      </c>
      <c r="AK2526">
        <f>IF($AJ2526=1,SUMPRODUCT(--($AN$2:$AN$4001&lt;$AN2526))+1,"")</f>
        <v/>
      </c>
      <c r="AL2526">
        <f>IF($C2526="","",IF(OR($Q2526=TRUE(),$Q2526="TRUE"),1,0))</f>
        <v/>
      </c>
      <c r="AM2526">
        <f>IF($C2526="","",IF($W2526="Yes",1,0))</f>
        <v/>
      </c>
      <c r="AN2526">
        <f>IF($AJ2526=1,IFERROR(IF(VALUE($C2526)&lt;100000000,VALUE($C2526),1000000000),IFERROR(IF(VALUE(MID($C2526,2,20))&lt;100000000,VALUE(MID($C2526,2,20)),1000000000),1000000000))+ROW()/100000,"")</f>
        <v/>
      </c>
    </row>
    <row r="2527">
      <c r="E2527" s="11" t="n"/>
      <c r="M2527" s="7">
        <f>IF($C2527="","",L2527*U2527/100)</f>
        <v/>
      </c>
      <c r="N2527" s="7" t="n"/>
      <c r="T2527" s="7" t="n"/>
      <c r="U2527" s="7">
        <f>IF($C2527="","",S2527*T2527)</f>
        <v/>
      </c>
      <c r="X2527">
        <f>IF($C2527="","",IF($AM2527=1,0,IF($AL2527=1,Settings!$C$6,Settings!$C$7))*100)</f>
        <v/>
      </c>
      <c r="AB2527" s="7" t="n"/>
      <c r="AE2527" s="11" t="n"/>
      <c r="AG2527" s="7">
        <f>IF($C2527="","",U2527*X2527/100)</f>
        <v/>
      </c>
      <c r="AH2527" s="7">
        <f>IF($C2527="","",U2527-AG2527)</f>
        <v/>
      </c>
      <c r="AI2527" s="7">
        <f>IF($C2527="","",AH2527-M2527)</f>
        <v/>
      </c>
      <c r="AJ2527">
        <f>IF($C2527="","",IF(COUNTIF($C$2:$C2527,$C2527)=1,1,0))</f>
        <v/>
      </c>
      <c r="AK2527">
        <f>IF($AJ2527=1,SUMPRODUCT(--($AN$2:$AN$4001&lt;$AN2527))+1,"")</f>
        <v/>
      </c>
      <c r="AL2527">
        <f>IF($C2527="","",IF(OR($Q2527=TRUE(),$Q2527="TRUE"),1,0))</f>
        <v/>
      </c>
      <c r="AM2527">
        <f>IF($C2527="","",IF($W2527="Yes",1,0))</f>
        <v/>
      </c>
      <c r="AN2527">
        <f>IF($AJ2527=1,IFERROR(IF(VALUE($C2527)&lt;100000000,VALUE($C2527),1000000000),IFERROR(IF(VALUE(MID($C2527,2,20))&lt;100000000,VALUE(MID($C2527,2,20)),1000000000),1000000000))+ROW()/100000,"")</f>
        <v/>
      </c>
    </row>
    <row r="2528">
      <c r="E2528" s="11" t="n"/>
      <c r="M2528" s="7">
        <f>IF($C2528="","",L2528*U2528/100)</f>
        <v/>
      </c>
      <c r="N2528" s="7" t="n"/>
      <c r="T2528" s="7" t="n"/>
      <c r="U2528" s="7">
        <f>IF($C2528="","",S2528*T2528)</f>
        <v/>
      </c>
      <c r="X2528">
        <f>IF($C2528="","",IF($AM2528=1,0,IF($AL2528=1,Settings!$C$6,Settings!$C$7))*100)</f>
        <v/>
      </c>
      <c r="AB2528" s="7" t="n"/>
      <c r="AE2528" s="11" t="n"/>
      <c r="AG2528" s="7">
        <f>IF($C2528="","",U2528*X2528/100)</f>
        <v/>
      </c>
      <c r="AH2528" s="7">
        <f>IF($C2528="","",U2528-AG2528)</f>
        <v/>
      </c>
      <c r="AI2528" s="7">
        <f>IF($C2528="","",AH2528-M2528)</f>
        <v/>
      </c>
      <c r="AJ2528">
        <f>IF($C2528="","",IF(COUNTIF($C$2:$C2528,$C2528)=1,1,0))</f>
        <v/>
      </c>
      <c r="AK2528">
        <f>IF($AJ2528=1,SUMPRODUCT(--($AN$2:$AN$4001&lt;$AN2528))+1,"")</f>
        <v/>
      </c>
      <c r="AL2528">
        <f>IF($C2528="","",IF(OR($Q2528=TRUE(),$Q2528="TRUE"),1,0))</f>
        <v/>
      </c>
      <c r="AM2528">
        <f>IF($C2528="","",IF($W2528="Yes",1,0))</f>
        <v/>
      </c>
      <c r="AN2528">
        <f>IF($AJ2528=1,IFERROR(IF(VALUE($C2528)&lt;100000000,VALUE($C2528),1000000000),IFERROR(IF(VALUE(MID($C2528,2,20))&lt;100000000,VALUE(MID($C2528,2,20)),1000000000),1000000000))+ROW()/100000,"")</f>
        <v/>
      </c>
    </row>
    <row r="2529">
      <c r="E2529" s="11" t="n"/>
      <c r="M2529" s="7">
        <f>IF($C2529="","",L2529*U2529/100)</f>
        <v/>
      </c>
      <c r="N2529" s="7" t="n"/>
      <c r="T2529" s="7" t="n"/>
      <c r="U2529" s="7">
        <f>IF($C2529="","",S2529*T2529)</f>
        <v/>
      </c>
      <c r="X2529">
        <f>IF($C2529="","",IF($AM2529=1,0,IF($AL2529=1,Settings!$C$6,Settings!$C$7))*100)</f>
        <v/>
      </c>
      <c r="AB2529" s="7" t="n"/>
      <c r="AE2529" s="11" t="n"/>
      <c r="AG2529" s="7">
        <f>IF($C2529="","",U2529*X2529/100)</f>
        <v/>
      </c>
      <c r="AH2529" s="7">
        <f>IF($C2529="","",U2529-AG2529)</f>
        <v/>
      </c>
      <c r="AI2529" s="7">
        <f>IF($C2529="","",AH2529-M2529)</f>
        <v/>
      </c>
      <c r="AJ2529">
        <f>IF($C2529="","",IF(COUNTIF($C$2:$C2529,$C2529)=1,1,0))</f>
        <v/>
      </c>
      <c r="AK2529">
        <f>IF($AJ2529=1,SUMPRODUCT(--($AN$2:$AN$4001&lt;$AN2529))+1,"")</f>
        <v/>
      </c>
      <c r="AL2529">
        <f>IF($C2529="","",IF(OR($Q2529=TRUE(),$Q2529="TRUE"),1,0))</f>
        <v/>
      </c>
      <c r="AM2529">
        <f>IF($C2529="","",IF($W2529="Yes",1,0))</f>
        <v/>
      </c>
      <c r="AN2529">
        <f>IF($AJ2529=1,IFERROR(IF(VALUE($C2529)&lt;100000000,VALUE($C2529),1000000000),IFERROR(IF(VALUE(MID($C2529,2,20))&lt;100000000,VALUE(MID($C2529,2,20)),1000000000),1000000000))+ROW()/100000,"")</f>
        <v/>
      </c>
    </row>
    <row r="2530">
      <c r="E2530" s="11" t="n"/>
      <c r="M2530" s="7">
        <f>IF($C2530="","",L2530*U2530/100)</f>
        <v/>
      </c>
      <c r="N2530" s="7" t="n"/>
      <c r="T2530" s="7" t="n"/>
      <c r="U2530" s="7">
        <f>IF($C2530="","",S2530*T2530)</f>
        <v/>
      </c>
      <c r="X2530">
        <f>IF($C2530="","",IF($AM2530=1,0,IF($AL2530=1,Settings!$C$6,Settings!$C$7))*100)</f>
        <v/>
      </c>
      <c r="AB2530" s="7" t="n"/>
      <c r="AE2530" s="11" t="n"/>
      <c r="AG2530" s="7">
        <f>IF($C2530="","",U2530*X2530/100)</f>
        <v/>
      </c>
      <c r="AH2530" s="7">
        <f>IF($C2530="","",U2530-AG2530)</f>
        <v/>
      </c>
      <c r="AI2530" s="7">
        <f>IF($C2530="","",AH2530-M2530)</f>
        <v/>
      </c>
      <c r="AJ2530">
        <f>IF($C2530="","",IF(COUNTIF($C$2:$C2530,$C2530)=1,1,0))</f>
        <v/>
      </c>
      <c r="AK2530">
        <f>IF($AJ2530=1,SUMPRODUCT(--($AN$2:$AN$4001&lt;$AN2530))+1,"")</f>
        <v/>
      </c>
      <c r="AL2530">
        <f>IF($C2530="","",IF(OR($Q2530=TRUE(),$Q2530="TRUE"),1,0))</f>
        <v/>
      </c>
      <c r="AM2530">
        <f>IF($C2530="","",IF($W2530="Yes",1,0))</f>
        <v/>
      </c>
      <c r="AN2530">
        <f>IF($AJ2530=1,IFERROR(IF(VALUE($C2530)&lt;100000000,VALUE($C2530),1000000000),IFERROR(IF(VALUE(MID($C2530,2,20))&lt;100000000,VALUE(MID($C2530,2,20)),1000000000),1000000000))+ROW()/100000,"")</f>
        <v/>
      </c>
    </row>
    <row r="2531">
      <c r="E2531" s="11" t="n"/>
      <c r="M2531" s="7">
        <f>IF($C2531="","",L2531*U2531/100)</f>
        <v/>
      </c>
      <c r="N2531" s="7" t="n"/>
      <c r="T2531" s="7" t="n"/>
      <c r="U2531" s="7">
        <f>IF($C2531="","",S2531*T2531)</f>
        <v/>
      </c>
      <c r="X2531">
        <f>IF($C2531="","",IF($AM2531=1,0,IF($AL2531=1,Settings!$C$6,Settings!$C$7))*100)</f>
        <v/>
      </c>
      <c r="AB2531" s="7" t="n"/>
      <c r="AE2531" s="11" t="n"/>
      <c r="AG2531" s="7">
        <f>IF($C2531="","",U2531*X2531/100)</f>
        <v/>
      </c>
      <c r="AH2531" s="7">
        <f>IF($C2531="","",U2531-AG2531)</f>
        <v/>
      </c>
      <c r="AI2531" s="7">
        <f>IF($C2531="","",AH2531-M2531)</f>
        <v/>
      </c>
      <c r="AJ2531">
        <f>IF($C2531="","",IF(COUNTIF($C$2:$C2531,$C2531)=1,1,0))</f>
        <v/>
      </c>
      <c r="AK2531">
        <f>IF($AJ2531=1,SUMPRODUCT(--($AN$2:$AN$4001&lt;$AN2531))+1,"")</f>
        <v/>
      </c>
      <c r="AL2531">
        <f>IF($C2531="","",IF(OR($Q2531=TRUE(),$Q2531="TRUE"),1,0))</f>
        <v/>
      </c>
      <c r="AM2531">
        <f>IF($C2531="","",IF($W2531="Yes",1,0))</f>
        <v/>
      </c>
      <c r="AN2531">
        <f>IF($AJ2531=1,IFERROR(IF(VALUE($C2531)&lt;100000000,VALUE($C2531),1000000000),IFERROR(IF(VALUE(MID($C2531,2,20))&lt;100000000,VALUE(MID($C2531,2,20)),1000000000),1000000000))+ROW()/100000,"")</f>
        <v/>
      </c>
    </row>
    <row r="2532">
      <c r="E2532" s="11" t="n"/>
      <c r="M2532" s="7">
        <f>IF($C2532="","",L2532*U2532/100)</f>
        <v/>
      </c>
      <c r="N2532" s="7" t="n"/>
      <c r="T2532" s="7" t="n"/>
      <c r="U2532" s="7">
        <f>IF($C2532="","",S2532*T2532)</f>
        <v/>
      </c>
      <c r="X2532">
        <f>IF($C2532="","",IF($AM2532=1,0,IF($AL2532=1,Settings!$C$6,Settings!$C$7))*100)</f>
        <v/>
      </c>
      <c r="AB2532" s="7" t="n"/>
      <c r="AE2532" s="11" t="n"/>
      <c r="AG2532" s="7">
        <f>IF($C2532="","",U2532*X2532/100)</f>
        <v/>
      </c>
      <c r="AH2532" s="7">
        <f>IF($C2532="","",U2532-AG2532)</f>
        <v/>
      </c>
      <c r="AI2532" s="7">
        <f>IF($C2532="","",AH2532-M2532)</f>
        <v/>
      </c>
      <c r="AJ2532">
        <f>IF($C2532="","",IF(COUNTIF($C$2:$C2532,$C2532)=1,1,0))</f>
        <v/>
      </c>
      <c r="AK2532">
        <f>IF($AJ2532=1,SUMPRODUCT(--($AN$2:$AN$4001&lt;$AN2532))+1,"")</f>
        <v/>
      </c>
      <c r="AL2532">
        <f>IF($C2532="","",IF(OR($Q2532=TRUE(),$Q2532="TRUE"),1,0))</f>
        <v/>
      </c>
      <c r="AM2532">
        <f>IF($C2532="","",IF($W2532="Yes",1,0))</f>
        <v/>
      </c>
      <c r="AN2532">
        <f>IF($AJ2532=1,IFERROR(IF(VALUE($C2532)&lt;100000000,VALUE($C2532),1000000000),IFERROR(IF(VALUE(MID($C2532,2,20))&lt;100000000,VALUE(MID($C2532,2,20)),1000000000),1000000000))+ROW()/100000,"")</f>
        <v/>
      </c>
    </row>
    <row r="2533">
      <c r="E2533" s="11" t="n"/>
      <c r="M2533" s="7">
        <f>IF($C2533="","",L2533*U2533/100)</f>
        <v/>
      </c>
      <c r="N2533" s="7" t="n"/>
      <c r="T2533" s="7" t="n"/>
      <c r="U2533" s="7">
        <f>IF($C2533="","",S2533*T2533)</f>
        <v/>
      </c>
      <c r="X2533">
        <f>IF($C2533="","",IF($AM2533=1,0,IF($AL2533=1,Settings!$C$6,Settings!$C$7))*100)</f>
        <v/>
      </c>
      <c r="AB2533" s="7" t="n"/>
      <c r="AE2533" s="11" t="n"/>
      <c r="AG2533" s="7">
        <f>IF($C2533="","",U2533*X2533/100)</f>
        <v/>
      </c>
      <c r="AH2533" s="7">
        <f>IF($C2533="","",U2533-AG2533)</f>
        <v/>
      </c>
      <c r="AI2533" s="7">
        <f>IF($C2533="","",AH2533-M2533)</f>
        <v/>
      </c>
      <c r="AJ2533">
        <f>IF($C2533="","",IF(COUNTIF($C$2:$C2533,$C2533)=1,1,0))</f>
        <v/>
      </c>
      <c r="AK2533">
        <f>IF($AJ2533=1,SUMPRODUCT(--($AN$2:$AN$4001&lt;$AN2533))+1,"")</f>
        <v/>
      </c>
      <c r="AL2533">
        <f>IF($C2533="","",IF(OR($Q2533=TRUE(),$Q2533="TRUE"),1,0))</f>
        <v/>
      </c>
      <c r="AM2533">
        <f>IF($C2533="","",IF($W2533="Yes",1,0))</f>
        <v/>
      </c>
      <c r="AN2533">
        <f>IF($AJ2533=1,IFERROR(IF(VALUE($C2533)&lt;100000000,VALUE($C2533),1000000000),IFERROR(IF(VALUE(MID($C2533,2,20))&lt;100000000,VALUE(MID($C2533,2,20)),1000000000),1000000000))+ROW()/100000,"")</f>
        <v/>
      </c>
    </row>
    <row r="2534">
      <c r="E2534" s="11" t="n"/>
      <c r="M2534" s="7">
        <f>IF($C2534="","",L2534*U2534/100)</f>
        <v/>
      </c>
      <c r="N2534" s="7" t="n"/>
      <c r="T2534" s="7" t="n"/>
      <c r="U2534" s="7">
        <f>IF($C2534="","",S2534*T2534)</f>
        <v/>
      </c>
      <c r="X2534">
        <f>IF($C2534="","",IF($AM2534=1,0,IF($AL2534=1,Settings!$C$6,Settings!$C$7))*100)</f>
        <v/>
      </c>
      <c r="AB2534" s="7" t="n"/>
      <c r="AE2534" s="11" t="n"/>
      <c r="AG2534" s="7">
        <f>IF($C2534="","",U2534*X2534/100)</f>
        <v/>
      </c>
      <c r="AH2534" s="7">
        <f>IF($C2534="","",U2534-AG2534)</f>
        <v/>
      </c>
      <c r="AI2534" s="7">
        <f>IF($C2534="","",AH2534-M2534)</f>
        <v/>
      </c>
      <c r="AJ2534">
        <f>IF($C2534="","",IF(COUNTIF($C$2:$C2534,$C2534)=1,1,0))</f>
        <v/>
      </c>
      <c r="AK2534">
        <f>IF($AJ2534=1,SUMPRODUCT(--($AN$2:$AN$4001&lt;$AN2534))+1,"")</f>
        <v/>
      </c>
      <c r="AL2534">
        <f>IF($C2534="","",IF(OR($Q2534=TRUE(),$Q2534="TRUE"),1,0))</f>
        <v/>
      </c>
      <c r="AM2534">
        <f>IF($C2534="","",IF($W2534="Yes",1,0))</f>
        <v/>
      </c>
      <c r="AN2534">
        <f>IF($AJ2534=1,IFERROR(IF(VALUE($C2534)&lt;100000000,VALUE($C2534),1000000000),IFERROR(IF(VALUE(MID($C2534,2,20))&lt;100000000,VALUE(MID($C2534,2,20)),1000000000),1000000000))+ROW()/100000,"")</f>
        <v/>
      </c>
    </row>
    <row r="2535">
      <c r="E2535" s="11" t="n"/>
      <c r="M2535" s="7">
        <f>IF($C2535="","",L2535*U2535/100)</f>
        <v/>
      </c>
      <c r="N2535" s="7" t="n"/>
      <c r="T2535" s="7" t="n"/>
      <c r="U2535" s="7">
        <f>IF($C2535="","",S2535*T2535)</f>
        <v/>
      </c>
      <c r="X2535">
        <f>IF($C2535="","",IF($AM2535=1,0,IF($AL2535=1,Settings!$C$6,Settings!$C$7))*100)</f>
        <v/>
      </c>
      <c r="AB2535" s="7" t="n"/>
      <c r="AE2535" s="11" t="n"/>
      <c r="AG2535" s="7">
        <f>IF($C2535="","",U2535*X2535/100)</f>
        <v/>
      </c>
      <c r="AH2535" s="7">
        <f>IF($C2535="","",U2535-AG2535)</f>
        <v/>
      </c>
      <c r="AI2535" s="7">
        <f>IF($C2535="","",AH2535-M2535)</f>
        <v/>
      </c>
      <c r="AJ2535">
        <f>IF($C2535="","",IF(COUNTIF($C$2:$C2535,$C2535)=1,1,0))</f>
        <v/>
      </c>
      <c r="AK2535">
        <f>IF($AJ2535=1,SUMPRODUCT(--($AN$2:$AN$4001&lt;$AN2535))+1,"")</f>
        <v/>
      </c>
      <c r="AL2535">
        <f>IF($C2535="","",IF(OR($Q2535=TRUE(),$Q2535="TRUE"),1,0))</f>
        <v/>
      </c>
      <c r="AM2535">
        <f>IF($C2535="","",IF($W2535="Yes",1,0))</f>
        <v/>
      </c>
      <c r="AN2535">
        <f>IF($AJ2535=1,IFERROR(IF(VALUE($C2535)&lt;100000000,VALUE($C2535),1000000000),IFERROR(IF(VALUE(MID($C2535,2,20))&lt;100000000,VALUE(MID($C2535,2,20)),1000000000),1000000000))+ROW()/100000,"")</f>
        <v/>
      </c>
    </row>
    <row r="2536">
      <c r="E2536" s="11" t="n"/>
      <c r="M2536" s="7">
        <f>IF($C2536="","",L2536*U2536/100)</f>
        <v/>
      </c>
      <c r="N2536" s="7" t="n"/>
      <c r="T2536" s="7" t="n"/>
      <c r="U2536" s="7">
        <f>IF($C2536="","",S2536*T2536)</f>
        <v/>
      </c>
      <c r="X2536">
        <f>IF($C2536="","",IF($AM2536=1,0,IF($AL2536=1,Settings!$C$6,Settings!$C$7))*100)</f>
        <v/>
      </c>
      <c r="AB2536" s="7" t="n"/>
      <c r="AE2536" s="11" t="n"/>
      <c r="AG2536" s="7">
        <f>IF($C2536="","",U2536*X2536/100)</f>
        <v/>
      </c>
      <c r="AH2536" s="7">
        <f>IF($C2536="","",U2536-AG2536)</f>
        <v/>
      </c>
      <c r="AI2536" s="7">
        <f>IF($C2536="","",AH2536-M2536)</f>
        <v/>
      </c>
      <c r="AJ2536">
        <f>IF($C2536="","",IF(COUNTIF($C$2:$C2536,$C2536)=1,1,0))</f>
        <v/>
      </c>
      <c r="AK2536">
        <f>IF($AJ2536=1,SUMPRODUCT(--($AN$2:$AN$4001&lt;$AN2536))+1,"")</f>
        <v/>
      </c>
      <c r="AL2536">
        <f>IF($C2536="","",IF(OR($Q2536=TRUE(),$Q2536="TRUE"),1,0))</f>
        <v/>
      </c>
      <c r="AM2536">
        <f>IF($C2536="","",IF($W2536="Yes",1,0))</f>
        <v/>
      </c>
      <c r="AN2536">
        <f>IF($AJ2536=1,IFERROR(IF(VALUE($C2536)&lt;100000000,VALUE($C2536),1000000000),IFERROR(IF(VALUE(MID($C2536,2,20))&lt;100000000,VALUE(MID($C2536,2,20)),1000000000),1000000000))+ROW()/100000,"")</f>
        <v/>
      </c>
    </row>
    <row r="2537">
      <c r="E2537" s="11" t="n"/>
      <c r="M2537" s="7">
        <f>IF($C2537="","",L2537*U2537/100)</f>
        <v/>
      </c>
      <c r="N2537" s="7" t="n"/>
      <c r="T2537" s="7" t="n"/>
      <c r="U2537" s="7">
        <f>IF($C2537="","",S2537*T2537)</f>
        <v/>
      </c>
      <c r="X2537">
        <f>IF($C2537="","",IF($AM2537=1,0,IF($AL2537=1,Settings!$C$6,Settings!$C$7))*100)</f>
        <v/>
      </c>
      <c r="AB2537" s="7" t="n"/>
      <c r="AE2537" s="11" t="n"/>
      <c r="AG2537" s="7">
        <f>IF($C2537="","",U2537*X2537/100)</f>
        <v/>
      </c>
      <c r="AH2537" s="7">
        <f>IF($C2537="","",U2537-AG2537)</f>
        <v/>
      </c>
      <c r="AI2537" s="7">
        <f>IF($C2537="","",AH2537-M2537)</f>
        <v/>
      </c>
      <c r="AJ2537">
        <f>IF($C2537="","",IF(COUNTIF($C$2:$C2537,$C2537)=1,1,0))</f>
        <v/>
      </c>
      <c r="AK2537">
        <f>IF($AJ2537=1,SUMPRODUCT(--($AN$2:$AN$4001&lt;$AN2537))+1,"")</f>
        <v/>
      </c>
      <c r="AL2537">
        <f>IF($C2537="","",IF(OR($Q2537=TRUE(),$Q2537="TRUE"),1,0))</f>
        <v/>
      </c>
      <c r="AM2537">
        <f>IF($C2537="","",IF($W2537="Yes",1,0))</f>
        <v/>
      </c>
      <c r="AN2537">
        <f>IF($AJ2537=1,IFERROR(IF(VALUE($C2537)&lt;100000000,VALUE($C2537),1000000000),IFERROR(IF(VALUE(MID($C2537,2,20))&lt;100000000,VALUE(MID($C2537,2,20)),1000000000),1000000000))+ROW()/100000,"")</f>
        <v/>
      </c>
    </row>
    <row r="2538">
      <c r="E2538" s="11" t="n"/>
      <c r="M2538" s="7">
        <f>IF($C2538="","",L2538*U2538/100)</f>
        <v/>
      </c>
      <c r="N2538" s="7" t="n"/>
      <c r="T2538" s="7" t="n"/>
      <c r="U2538" s="7">
        <f>IF($C2538="","",S2538*T2538)</f>
        <v/>
      </c>
      <c r="X2538">
        <f>IF($C2538="","",IF($AM2538=1,0,IF($AL2538=1,Settings!$C$6,Settings!$C$7))*100)</f>
        <v/>
      </c>
      <c r="AB2538" s="7" t="n"/>
      <c r="AE2538" s="11" t="n"/>
      <c r="AG2538" s="7">
        <f>IF($C2538="","",U2538*X2538/100)</f>
        <v/>
      </c>
      <c r="AH2538" s="7">
        <f>IF($C2538="","",U2538-AG2538)</f>
        <v/>
      </c>
      <c r="AI2538" s="7">
        <f>IF($C2538="","",AH2538-M2538)</f>
        <v/>
      </c>
      <c r="AJ2538">
        <f>IF($C2538="","",IF(COUNTIF($C$2:$C2538,$C2538)=1,1,0))</f>
        <v/>
      </c>
      <c r="AK2538">
        <f>IF($AJ2538=1,SUMPRODUCT(--($AN$2:$AN$4001&lt;$AN2538))+1,"")</f>
        <v/>
      </c>
      <c r="AL2538">
        <f>IF($C2538="","",IF(OR($Q2538=TRUE(),$Q2538="TRUE"),1,0))</f>
        <v/>
      </c>
      <c r="AM2538">
        <f>IF($C2538="","",IF($W2538="Yes",1,0))</f>
        <v/>
      </c>
      <c r="AN2538">
        <f>IF($AJ2538=1,IFERROR(IF(VALUE($C2538)&lt;100000000,VALUE($C2538),1000000000),IFERROR(IF(VALUE(MID($C2538,2,20))&lt;100000000,VALUE(MID($C2538,2,20)),1000000000),1000000000))+ROW()/100000,"")</f>
        <v/>
      </c>
    </row>
    <row r="2539">
      <c r="E2539" s="11" t="n"/>
      <c r="M2539" s="7">
        <f>IF($C2539="","",L2539*U2539/100)</f>
        <v/>
      </c>
      <c r="N2539" s="7" t="n"/>
      <c r="T2539" s="7" t="n"/>
      <c r="U2539" s="7">
        <f>IF($C2539="","",S2539*T2539)</f>
        <v/>
      </c>
      <c r="X2539">
        <f>IF($C2539="","",IF($AM2539=1,0,IF($AL2539=1,Settings!$C$6,Settings!$C$7))*100)</f>
        <v/>
      </c>
      <c r="AB2539" s="7" t="n"/>
      <c r="AE2539" s="11" t="n"/>
      <c r="AG2539" s="7">
        <f>IF($C2539="","",U2539*X2539/100)</f>
        <v/>
      </c>
      <c r="AH2539" s="7">
        <f>IF($C2539="","",U2539-AG2539)</f>
        <v/>
      </c>
      <c r="AI2539" s="7">
        <f>IF($C2539="","",AH2539-M2539)</f>
        <v/>
      </c>
      <c r="AJ2539">
        <f>IF($C2539="","",IF(COUNTIF($C$2:$C2539,$C2539)=1,1,0))</f>
        <v/>
      </c>
      <c r="AK2539">
        <f>IF($AJ2539=1,SUMPRODUCT(--($AN$2:$AN$4001&lt;$AN2539))+1,"")</f>
        <v/>
      </c>
      <c r="AL2539">
        <f>IF($C2539="","",IF(OR($Q2539=TRUE(),$Q2539="TRUE"),1,0))</f>
        <v/>
      </c>
      <c r="AM2539">
        <f>IF($C2539="","",IF($W2539="Yes",1,0))</f>
        <v/>
      </c>
      <c r="AN2539">
        <f>IF($AJ2539=1,IFERROR(IF(VALUE($C2539)&lt;100000000,VALUE($C2539),1000000000),IFERROR(IF(VALUE(MID($C2539,2,20))&lt;100000000,VALUE(MID($C2539,2,20)),1000000000),1000000000))+ROW()/100000,"")</f>
        <v/>
      </c>
    </row>
    <row r="2540">
      <c r="E2540" s="11" t="n"/>
      <c r="M2540" s="7">
        <f>IF($C2540="","",L2540*U2540/100)</f>
        <v/>
      </c>
      <c r="N2540" s="7" t="n"/>
      <c r="T2540" s="7" t="n"/>
      <c r="U2540" s="7">
        <f>IF($C2540="","",S2540*T2540)</f>
        <v/>
      </c>
      <c r="X2540">
        <f>IF($C2540="","",IF($AM2540=1,0,IF($AL2540=1,Settings!$C$6,Settings!$C$7))*100)</f>
        <v/>
      </c>
      <c r="AB2540" s="7" t="n"/>
      <c r="AE2540" s="11" t="n"/>
      <c r="AG2540" s="7">
        <f>IF($C2540="","",U2540*X2540/100)</f>
        <v/>
      </c>
      <c r="AH2540" s="7">
        <f>IF($C2540="","",U2540-AG2540)</f>
        <v/>
      </c>
      <c r="AI2540" s="7">
        <f>IF($C2540="","",AH2540-M2540)</f>
        <v/>
      </c>
      <c r="AJ2540">
        <f>IF($C2540="","",IF(COUNTIF($C$2:$C2540,$C2540)=1,1,0))</f>
        <v/>
      </c>
      <c r="AK2540">
        <f>IF($AJ2540=1,SUMPRODUCT(--($AN$2:$AN$4001&lt;$AN2540))+1,"")</f>
        <v/>
      </c>
      <c r="AL2540">
        <f>IF($C2540="","",IF(OR($Q2540=TRUE(),$Q2540="TRUE"),1,0))</f>
        <v/>
      </c>
      <c r="AM2540">
        <f>IF($C2540="","",IF($W2540="Yes",1,0))</f>
        <v/>
      </c>
      <c r="AN2540">
        <f>IF($AJ2540=1,IFERROR(IF(VALUE($C2540)&lt;100000000,VALUE($C2540),1000000000),IFERROR(IF(VALUE(MID($C2540,2,20))&lt;100000000,VALUE(MID($C2540,2,20)),1000000000),1000000000))+ROW()/100000,"")</f>
        <v/>
      </c>
    </row>
    <row r="2541">
      <c r="E2541" s="11" t="n"/>
      <c r="M2541" s="7">
        <f>IF($C2541="","",L2541*U2541/100)</f>
        <v/>
      </c>
      <c r="N2541" s="7" t="n"/>
      <c r="T2541" s="7" t="n"/>
      <c r="U2541" s="7">
        <f>IF($C2541="","",S2541*T2541)</f>
        <v/>
      </c>
      <c r="X2541">
        <f>IF($C2541="","",IF($AM2541=1,0,IF($AL2541=1,Settings!$C$6,Settings!$C$7))*100)</f>
        <v/>
      </c>
      <c r="AB2541" s="7" t="n"/>
      <c r="AE2541" s="11" t="n"/>
      <c r="AG2541" s="7">
        <f>IF($C2541="","",U2541*X2541/100)</f>
        <v/>
      </c>
      <c r="AH2541" s="7">
        <f>IF($C2541="","",U2541-AG2541)</f>
        <v/>
      </c>
      <c r="AI2541" s="7">
        <f>IF($C2541="","",AH2541-M2541)</f>
        <v/>
      </c>
      <c r="AJ2541">
        <f>IF($C2541="","",IF(COUNTIF($C$2:$C2541,$C2541)=1,1,0))</f>
        <v/>
      </c>
      <c r="AK2541">
        <f>IF($AJ2541=1,SUMPRODUCT(--($AN$2:$AN$4001&lt;$AN2541))+1,"")</f>
        <v/>
      </c>
      <c r="AL2541">
        <f>IF($C2541="","",IF(OR($Q2541=TRUE(),$Q2541="TRUE"),1,0))</f>
        <v/>
      </c>
      <c r="AM2541">
        <f>IF($C2541="","",IF($W2541="Yes",1,0))</f>
        <v/>
      </c>
      <c r="AN2541">
        <f>IF($AJ2541=1,IFERROR(IF(VALUE($C2541)&lt;100000000,VALUE($C2541),1000000000),IFERROR(IF(VALUE(MID($C2541,2,20))&lt;100000000,VALUE(MID($C2541,2,20)),1000000000),1000000000))+ROW()/100000,"")</f>
        <v/>
      </c>
    </row>
    <row r="2542">
      <c r="E2542" s="11" t="n"/>
      <c r="M2542" s="7">
        <f>IF($C2542="","",L2542*U2542/100)</f>
        <v/>
      </c>
      <c r="N2542" s="7" t="n"/>
      <c r="T2542" s="7" t="n"/>
      <c r="U2542" s="7">
        <f>IF($C2542="","",S2542*T2542)</f>
        <v/>
      </c>
      <c r="X2542">
        <f>IF($C2542="","",IF($AM2542=1,0,IF($AL2542=1,Settings!$C$6,Settings!$C$7))*100)</f>
        <v/>
      </c>
      <c r="AB2542" s="7" t="n"/>
      <c r="AE2542" s="11" t="n"/>
      <c r="AG2542" s="7">
        <f>IF($C2542="","",U2542*X2542/100)</f>
        <v/>
      </c>
      <c r="AH2542" s="7">
        <f>IF($C2542="","",U2542-AG2542)</f>
        <v/>
      </c>
      <c r="AI2542" s="7">
        <f>IF($C2542="","",AH2542-M2542)</f>
        <v/>
      </c>
      <c r="AJ2542">
        <f>IF($C2542="","",IF(COUNTIF($C$2:$C2542,$C2542)=1,1,0))</f>
        <v/>
      </c>
      <c r="AK2542">
        <f>IF($AJ2542=1,SUMPRODUCT(--($AN$2:$AN$4001&lt;$AN2542))+1,"")</f>
        <v/>
      </c>
      <c r="AL2542">
        <f>IF($C2542="","",IF(OR($Q2542=TRUE(),$Q2542="TRUE"),1,0))</f>
        <v/>
      </c>
      <c r="AM2542">
        <f>IF($C2542="","",IF($W2542="Yes",1,0))</f>
        <v/>
      </c>
      <c r="AN2542">
        <f>IF($AJ2542=1,IFERROR(IF(VALUE($C2542)&lt;100000000,VALUE($C2542),1000000000),IFERROR(IF(VALUE(MID($C2542,2,20))&lt;100000000,VALUE(MID($C2542,2,20)),1000000000),1000000000))+ROW()/100000,"")</f>
        <v/>
      </c>
    </row>
    <row r="2543">
      <c r="E2543" s="11" t="n"/>
      <c r="M2543" s="7">
        <f>IF($C2543="","",L2543*U2543/100)</f>
        <v/>
      </c>
      <c r="N2543" s="7" t="n"/>
      <c r="T2543" s="7" t="n"/>
      <c r="U2543" s="7">
        <f>IF($C2543="","",S2543*T2543)</f>
        <v/>
      </c>
      <c r="X2543">
        <f>IF($C2543="","",IF($AM2543=1,0,IF($AL2543=1,Settings!$C$6,Settings!$C$7))*100)</f>
        <v/>
      </c>
      <c r="AB2543" s="7" t="n"/>
      <c r="AE2543" s="11" t="n"/>
      <c r="AG2543" s="7">
        <f>IF($C2543="","",U2543*X2543/100)</f>
        <v/>
      </c>
      <c r="AH2543" s="7">
        <f>IF($C2543="","",U2543-AG2543)</f>
        <v/>
      </c>
      <c r="AI2543" s="7">
        <f>IF($C2543="","",AH2543-M2543)</f>
        <v/>
      </c>
      <c r="AJ2543">
        <f>IF($C2543="","",IF(COUNTIF($C$2:$C2543,$C2543)=1,1,0))</f>
        <v/>
      </c>
      <c r="AK2543">
        <f>IF($AJ2543=1,SUMPRODUCT(--($AN$2:$AN$4001&lt;$AN2543))+1,"")</f>
        <v/>
      </c>
      <c r="AL2543">
        <f>IF($C2543="","",IF(OR($Q2543=TRUE(),$Q2543="TRUE"),1,0))</f>
        <v/>
      </c>
      <c r="AM2543">
        <f>IF($C2543="","",IF($W2543="Yes",1,0))</f>
        <v/>
      </c>
      <c r="AN2543">
        <f>IF($AJ2543=1,IFERROR(IF(VALUE($C2543)&lt;100000000,VALUE($C2543),1000000000),IFERROR(IF(VALUE(MID($C2543,2,20))&lt;100000000,VALUE(MID($C2543,2,20)),1000000000),1000000000))+ROW()/100000,"")</f>
        <v/>
      </c>
    </row>
    <row r="2544">
      <c r="E2544" s="11" t="n"/>
      <c r="M2544" s="7">
        <f>IF($C2544="","",L2544*U2544/100)</f>
        <v/>
      </c>
      <c r="N2544" s="7" t="n"/>
      <c r="T2544" s="7" t="n"/>
      <c r="U2544" s="7">
        <f>IF($C2544="","",S2544*T2544)</f>
        <v/>
      </c>
      <c r="X2544">
        <f>IF($C2544="","",IF($AM2544=1,0,IF($AL2544=1,Settings!$C$6,Settings!$C$7))*100)</f>
        <v/>
      </c>
      <c r="AB2544" s="7" t="n"/>
      <c r="AE2544" s="11" t="n"/>
      <c r="AG2544" s="7">
        <f>IF($C2544="","",U2544*X2544/100)</f>
        <v/>
      </c>
      <c r="AH2544" s="7">
        <f>IF($C2544="","",U2544-AG2544)</f>
        <v/>
      </c>
      <c r="AI2544" s="7">
        <f>IF($C2544="","",AH2544-M2544)</f>
        <v/>
      </c>
      <c r="AJ2544">
        <f>IF($C2544="","",IF(COUNTIF($C$2:$C2544,$C2544)=1,1,0))</f>
        <v/>
      </c>
      <c r="AK2544">
        <f>IF($AJ2544=1,SUMPRODUCT(--($AN$2:$AN$4001&lt;$AN2544))+1,"")</f>
        <v/>
      </c>
      <c r="AL2544">
        <f>IF($C2544="","",IF(OR($Q2544=TRUE(),$Q2544="TRUE"),1,0))</f>
        <v/>
      </c>
      <c r="AM2544">
        <f>IF($C2544="","",IF($W2544="Yes",1,0))</f>
        <v/>
      </c>
      <c r="AN2544">
        <f>IF($AJ2544=1,IFERROR(IF(VALUE($C2544)&lt;100000000,VALUE($C2544),1000000000),IFERROR(IF(VALUE(MID($C2544,2,20))&lt;100000000,VALUE(MID($C2544,2,20)),1000000000),1000000000))+ROW()/100000,"")</f>
        <v/>
      </c>
    </row>
    <row r="2545">
      <c r="E2545" s="11" t="n"/>
      <c r="M2545" s="7">
        <f>IF($C2545="","",L2545*U2545/100)</f>
        <v/>
      </c>
      <c r="N2545" s="7" t="n"/>
      <c r="T2545" s="7" t="n"/>
      <c r="U2545" s="7">
        <f>IF($C2545="","",S2545*T2545)</f>
        <v/>
      </c>
      <c r="X2545">
        <f>IF($C2545="","",IF($AM2545=1,0,IF($AL2545=1,Settings!$C$6,Settings!$C$7))*100)</f>
        <v/>
      </c>
      <c r="AB2545" s="7" t="n"/>
      <c r="AE2545" s="11" t="n"/>
      <c r="AG2545" s="7">
        <f>IF($C2545="","",U2545*X2545/100)</f>
        <v/>
      </c>
      <c r="AH2545" s="7">
        <f>IF($C2545="","",U2545-AG2545)</f>
        <v/>
      </c>
      <c r="AI2545" s="7">
        <f>IF($C2545="","",AH2545-M2545)</f>
        <v/>
      </c>
      <c r="AJ2545">
        <f>IF($C2545="","",IF(COUNTIF($C$2:$C2545,$C2545)=1,1,0))</f>
        <v/>
      </c>
      <c r="AK2545">
        <f>IF($AJ2545=1,SUMPRODUCT(--($AN$2:$AN$4001&lt;$AN2545))+1,"")</f>
        <v/>
      </c>
      <c r="AL2545">
        <f>IF($C2545="","",IF(OR($Q2545=TRUE(),$Q2545="TRUE"),1,0))</f>
        <v/>
      </c>
      <c r="AM2545">
        <f>IF($C2545="","",IF($W2545="Yes",1,0))</f>
        <v/>
      </c>
      <c r="AN2545">
        <f>IF($AJ2545=1,IFERROR(IF(VALUE($C2545)&lt;100000000,VALUE($C2545),1000000000),IFERROR(IF(VALUE(MID($C2545,2,20))&lt;100000000,VALUE(MID($C2545,2,20)),1000000000),1000000000))+ROW()/100000,"")</f>
        <v/>
      </c>
    </row>
    <row r="2546">
      <c r="E2546" s="11" t="n"/>
      <c r="M2546" s="7">
        <f>IF($C2546="","",L2546*U2546/100)</f>
        <v/>
      </c>
      <c r="N2546" s="7" t="n"/>
      <c r="T2546" s="7" t="n"/>
      <c r="U2546" s="7">
        <f>IF($C2546="","",S2546*T2546)</f>
        <v/>
      </c>
      <c r="X2546">
        <f>IF($C2546="","",IF($AM2546=1,0,IF($AL2546=1,Settings!$C$6,Settings!$C$7))*100)</f>
        <v/>
      </c>
      <c r="AB2546" s="7" t="n"/>
      <c r="AE2546" s="11" t="n"/>
      <c r="AG2546" s="7">
        <f>IF($C2546="","",U2546*X2546/100)</f>
        <v/>
      </c>
      <c r="AH2546" s="7">
        <f>IF($C2546="","",U2546-AG2546)</f>
        <v/>
      </c>
      <c r="AI2546" s="7">
        <f>IF($C2546="","",AH2546-M2546)</f>
        <v/>
      </c>
      <c r="AJ2546">
        <f>IF($C2546="","",IF(COUNTIF($C$2:$C2546,$C2546)=1,1,0))</f>
        <v/>
      </c>
      <c r="AK2546">
        <f>IF($AJ2546=1,SUMPRODUCT(--($AN$2:$AN$4001&lt;$AN2546))+1,"")</f>
        <v/>
      </c>
      <c r="AL2546">
        <f>IF($C2546="","",IF(OR($Q2546=TRUE(),$Q2546="TRUE"),1,0))</f>
        <v/>
      </c>
      <c r="AM2546">
        <f>IF($C2546="","",IF($W2546="Yes",1,0))</f>
        <v/>
      </c>
      <c r="AN2546">
        <f>IF($AJ2546=1,IFERROR(IF(VALUE($C2546)&lt;100000000,VALUE($C2546),1000000000),IFERROR(IF(VALUE(MID($C2546,2,20))&lt;100000000,VALUE(MID($C2546,2,20)),1000000000),1000000000))+ROW()/100000,"")</f>
        <v/>
      </c>
    </row>
    <row r="2547">
      <c r="E2547" s="11" t="n"/>
      <c r="M2547" s="7">
        <f>IF($C2547="","",L2547*U2547/100)</f>
        <v/>
      </c>
      <c r="N2547" s="7" t="n"/>
      <c r="T2547" s="7" t="n"/>
      <c r="U2547" s="7">
        <f>IF($C2547="","",S2547*T2547)</f>
        <v/>
      </c>
      <c r="X2547">
        <f>IF($C2547="","",IF($AM2547=1,0,IF($AL2547=1,Settings!$C$6,Settings!$C$7))*100)</f>
        <v/>
      </c>
      <c r="AB2547" s="7" t="n"/>
      <c r="AE2547" s="11" t="n"/>
      <c r="AG2547" s="7">
        <f>IF($C2547="","",U2547*X2547/100)</f>
        <v/>
      </c>
      <c r="AH2547" s="7">
        <f>IF($C2547="","",U2547-AG2547)</f>
        <v/>
      </c>
      <c r="AI2547" s="7">
        <f>IF($C2547="","",AH2547-M2547)</f>
        <v/>
      </c>
      <c r="AJ2547">
        <f>IF($C2547="","",IF(COUNTIF($C$2:$C2547,$C2547)=1,1,0))</f>
        <v/>
      </c>
      <c r="AK2547">
        <f>IF($AJ2547=1,SUMPRODUCT(--($AN$2:$AN$4001&lt;$AN2547))+1,"")</f>
        <v/>
      </c>
      <c r="AL2547">
        <f>IF($C2547="","",IF(OR($Q2547=TRUE(),$Q2547="TRUE"),1,0))</f>
        <v/>
      </c>
      <c r="AM2547">
        <f>IF($C2547="","",IF($W2547="Yes",1,0))</f>
        <v/>
      </c>
      <c r="AN2547">
        <f>IF($AJ2547=1,IFERROR(IF(VALUE($C2547)&lt;100000000,VALUE($C2547),1000000000),IFERROR(IF(VALUE(MID($C2547,2,20))&lt;100000000,VALUE(MID($C2547,2,20)),1000000000),1000000000))+ROW()/100000,"")</f>
        <v/>
      </c>
    </row>
    <row r="2548">
      <c r="E2548" s="11" t="n"/>
      <c r="M2548" s="7">
        <f>IF($C2548="","",L2548*U2548/100)</f>
        <v/>
      </c>
      <c r="N2548" s="7" t="n"/>
      <c r="T2548" s="7" t="n"/>
      <c r="U2548" s="7">
        <f>IF($C2548="","",S2548*T2548)</f>
        <v/>
      </c>
      <c r="X2548">
        <f>IF($C2548="","",IF($AM2548=1,0,IF($AL2548=1,Settings!$C$6,Settings!$C$7))*100)</f>
        <v/>
      </c>
      <c r="AB2548" s="7" t="n"/>
      <c r="AE2548" s="11" t="n"/>
      <c r="AG2548" s="7">
        <f>IF($C2548="","",U2548*X2548/100)</f>
        <v/>
      </c>
      <c r="AH2548" s="7">
        <f>IF($C2548="","",U2548-AG2548)</f>
        <v/>
      </c>
      <c r="AI2548" s="7">
        <f>IF($C2548="","",AH2548-M2548)</f>
        <v/>
      </c>
      <c r="AJ2548">
        <f>IF($C2548="","",IF(COUNTIF($C$2:$C2548,$C2548)=1,1,0))</f>
        <v/>
      </c>
      <c r="AK2548">
        <f>IF($AJ2548=1,SUMPRODUCT(--($AN$2:$AN$4001&lt;$AN2548))+1,"")</f>
        <v/>
      </c>
      <c r="AL2548">
        <f>IF($C2548="","",IF(OR($Q2548=TRUE(),$Q2548="TRUE"),1,0))</f>
        <v/>
      </c>
      <c r="AM2548">
        <f>IF($C2548="","",IF($W2548="Yes",1,0))</f>
        <v/>
      </c>
      <c r="AN2548">
        <f>IF($AJ2548=1,IFERROR(IF(VALUE($C2548)&lt;100000000,VALUE($C2548),1000000000),IFERROR(IF(VALUE(MID($C2548,2,20))&lt;100000000,VALUE(MID($C2548,2,20)),1000000000),1000000000))+ROW()/100000,"")</f>
        <v/>
      </c>
    </row>
    <row r="2549">
      <c r="E2549" s="11" t="n"/>
      <c r="M2549" s="7">
        <f>IF($C2549="","",L2549*U2549/100)</f>
        <v/>
      </c>
      <c r="N2549" s="7" t="n"/>
      <c r="T2549" s="7" t="n"/>
      <c r="U2549" s="7">
        <f>IF($C2549="","",S2549*T2549)</f>
        <v/>
      </c>
      <c r="X2549">
        <f>IF($C2549="","",IF($AM2549=1,0,IF($AL2549=1,Settings!$C$6,Settings!$C$7))*100)</f>
        <v/>
      </c>
      <c r="AB2549" s="7" t="n"/>
      <c r="AE2549" s="11" t="n"/>
      <c r="AG2549" s="7">
        <f>IF($C2549="","",U2549*X2549/100)</f>
        <v/>
      </c>
      <c r="AH2549" s="7">
        <f>IF($C2549="","",U2549-AG2549)</f>
        <v/>
      </c>
      <c r="AI2549" s="7">
        <f>IF($C2549="","",AH2549-M2549)</f>
        <v/>
      </c>
      <c r="AJ2549">
        <f>IF($C2549="","",IF(COUNTIF($C$2:$C2549,$C2549)=1,1,0))</f>
        <v/>
      </c>
      <c r="AK2549">
        <f>IF($AJ2549=1,SUMPRODUCT(--($AN$2:$AN$4001&lt;$AN2549))+1,"")</f>
        <v/>
      </c>
      <c r="AL2549">
        <f>IF($C2549="","",IF(OR($Q2549=TRUE(),$Q2549="TRUE"),1,0))</f>
        <v/>
      </c>
      <c r="AM2549">
        <f>IF($C2549="","",IF($W2549="Yes",1,0))</f>
        <v/>
      </c>
      <c r="AN2549">
        <f>IF($AJ2549=1,IFERROR(IF(VALUE($C2549)&lt;100000000,VALUE($C2549),1000000000),IFERROR(IF(VALUE(MID($C2549,2,20))&lt;100000000,VALUE(MID($C2549,2,20)),1000000000),1000000000))+ROW()/100000,"")</f>
        <v/>
      </c>
    </row>
    <row r="2550">
      <c r="E2550" s="11" t="n"/>
      <c r="M2550" s="7">
        <f>IF($C2550="","",L2550*U2550/100)</f>
        <v/>
      </c>
      <c r="N2550" s="7" t="n"/>
      <c r="T2550" s="7" t="n"/>
      <c r="U2550" s="7">
        <f>IF($C2550="","",S2550*T2550)</f>
        <v/>
      </c>
      <c r="X2550">
        <f>IF($C2550="","",IF($AM2550=1,0,IF($AL2550=1,Settings!$C$6,Settings!$C$7))*100)</f>
        <v/>
      </c>
      <c r="AB2550" s="7" t="n"/>
      <c r="AE2550" s="11" t="n"/>
      <c r="AG2550" s="7">
        <f>IF($C2550="","",U2550*X2550/100)</f>
        <v/>
      </c>
      <c r="AH2550" s="7">
        <f>IF($C2550="","",U2550-AG2550)</f>
        <v/>
      </c>
      <c r="AI2550" s="7">
        <f>IF($C2550="","",AH2550-M2550)</f>
        <v/>
      </c>
      <c r="AJ2550">
        <f>IF($C2550="","",IF(COUNTIF($C$2:$C2550,$C2550)=1,1,0))</f>
        <v/>
      </c>
      <c r="AK2550">
        <f>IF($AJ2550=1,SUMPRODUCT(--($AN$2:$AN$4001&lt;$AN2550))+1,"")</f>
        <v/>
      </c>
      <c r="AL2550">
        <f>IF($C2550="","",IF(OR($Q2550=TRUE(),$Q2550="TRUE"),1,0))</f>
        <v/>
      </c>
      <c r="AM2550">
        <f>IF($C2550="","",IF($W2550="Yes",1,0))</f>
        <v/>
      </c>
      <c r="AN2550">
        <f>IF($AJ2550=1,IFERROR(IF(VALUE($C2550)&lt;100000000,VALUE($C2550),1000000000),IFERROR(IF(VALUE(MID($C2550,2,20))&lt;100000000,VALUE(MID($C2550,2,20)),1000000000),1000000000))+ROW()/100000,"")</f>
        <v/>
      </c>
    </row>
    <row r="2551">
      <c r="E2551" s="11" t="n"/>
      <c r="M2551" s="7">
        <f>IF($C2551="","",L2551*U2551/100)</f>
        <v/>
      </c>
      <c r="N2551" s="7" t="n"/>
      <c r="T2551" s="7" t="n"/>
      <c r="U2551" s="7">
        <f>IF($C2551="","",S2551*T2551)</f>
        <v/>
      </c>
      <c r="X2551">
        <f>IF($C2551="","",IF($AM2551=1,0,IF($AL2551=1,Settings!$C$6,Settings!$C$7))*100)</f>
        <v/>
      </c>
      <c r="AB2551" s="7" t="n"/>
      <c r="AE2551" s="11" t="n"/>
      <c r="AG2551" s="7">
        <f>IF($C2551="","",U2551*X2551/100)</f>
        <v/>
      </c>
      <c r="AH2551" s="7">
        <f>IF($C2551="","",U2551-AG2551)</f>
        <v/>
      </c>
      <c r="AI2551" s="7">
        <f>IF($C2551="","",AH2551-M2551)</f>
        <v/>
      </c>
      <c r="AJ2551">
        <f>IF($C2551="","",IF(COUNTIF($C$2:$C2551,$C2551)=1,1,0))</f>
        <v/>
      </c>
      <c r="AK2551">
        <f>IF($AJ2551=1,SUMPRODUCT(--($AN$2:$AN$4001&lt;$AN2551))+1,"")</f>
        <v/>
      </c>
      <c r="AL2551">
        <f>IF($C2551="","",IF(OR($Q2551=TRUE(),$Q2551="TRUE"),1,0))</f>
        <v/>
      </c>
      <c r="AM2551">
        <f>IF($C2551="","",IF($W2551="Yes",1,0))</f>
        <v/>
      </c>
      <c r="AN2551">
        <f>IF($AJ2551=1,IFERROR(IF(VALUE($C2551)&lt;100000000,VALUE($C2551),1000000000),IFERROR(IF(VALUE(MID($C2551,2,20))&lt;100000000,VALUE(MID($C2551,2,20)),1000000000),1000000000))+ROW()/100000,"")</f>
        <v/>
      </c>
    </row>
    <row r="2552">
      <c r="E2552" s="11" t="n"/>
      <c r="M2552" s="7">
        <f>IF($C2552="","",L2552*U2552/100)</f>
        <v/>
      </c>
      <c r="N2552" s="7" t="n"/>
      <c r="T2552" s="7" t="n"/>
      <c r="U2552" s="7">
        <f>IF($C2552="","",S2552*T2552)</f>
        <v/>
      </c>
      <c r="X2552">
        <f>IF($C2552="","",IF($AM2552=1,0,IF($AL2552=1,Settings!$C$6,Settings!$C$7))*100)</f>
        <v/>
      </c>
      <c r="AB2552" s="7" t="n"/>
      <c r="AE2552" s="11" t="n"/>
      <c r="AG2552" s="7">
        <f>IF($C2552="","",U2552*X2552/100)</f>
        <v/>
      </c>
      <c r="AH2552" s="7">
        <f>IF($C2552="","",U2552-AG2552)</f>
        <v/>
      </c>
      <c r="AI2552" s="7">
        <f>IF($C2552="","",AH2552-M2552)</f>
        <v/>
      </c>
      <c r="AJ2552">
        <f>IF($C2552="","",IF(COUNTIF($C$2:$C2552,$C2552)=1,1,0))</f>
        <v/>
      </c>
      <c r="AK2552">
        <f>IF($AJ2552=1,SUMPRODUCT(--($AN$2:$AN$4001&lt;$AN2552))+1,"")</f>
        <v/>
      </c>
      <c r="AL2552">
        <f>IF($C2552="","",IF(OR($Q2552=TRUE(),$Q2552="TRUE"),1,0))</f>
        <v/>
      </c>
      <c r="AM2552">
        <f>IF($C2552="","",IF($W2552="Yes",1,0))</f>
        <v/>
      </c>
      <c r="AN2552">
        <f>IF($AJ2552=1,IFERROR(IF(VALUE($C2552)&lt;100000000,VALUE($C2552),1000000000),IFERROR(IF(VALUE(MID($C2552,2,20))&lt;100000000,VALUE(MID($C2552,2,20)),1000000000),1000000000))+ROW()/100000,"")</f>
        <v/>
      </c>
    </row>
    <row r="2553">
      <c r="E2553" s="11" t="n"/>
      <c r="M2553" s="7">
        <f>IF($C2553="","",L2553*U2553/100)</f>
        <v/>
      </c>
      <c r="N2553" s="7" t="n"/>
      <c r="T2553" s="7" t="n"/>
      <c r="U2553" s="7">
        <f>IF($C2553="","",S2553*T2553)</f>
        <v/>
      </c>
      <c r="X2553">
        <f>IF($C2553="","",IF($AM2553=1,0,IF($AL2553=1,Settings!$C$6,Settings!$C$7))*100)</f>
        <v/>
      </c>
      <c r="AB2553" s="7" t="n"/>
      <c r="AE2553" s="11" t="n"/>
      <c r="AG2553" s="7">
        <f>IF($C2553="","",U2553*X2553/100)</f>
        <v/>
      </c>
      <c r="AH2553" s="7">
        <f>IF($C2553="","",U2553-AG2553)</f>
        <v/>
      </c>
      <c r="AI2553" s="7">
        <f>IF($C2553="","",AH2553-M2553)</f>
        <v/>
      </c>
      <c r="AJ2553">
        <f>IF($C2553="","",IF(COUNTIF($C$2:$C2553,$C2553)=1,1,0))</f>
        <v/>
      </c>
      <c r="AK2553">
        <f>IF($AJ2553=1,SUMPRODUCT(--($AN$2:$AN$4001&lt;$AN2553))+1,"")</f>
        <v/>
      </c>
      <c r="AL2553">
        <f>IF($C2553="","",IF(OR($Q2553=TRUE(),$Q2553="TRUE"),1,0))</f>
        <v/>
      </c>
      <c r="AM2553">
        <f>IF($C2553="","",IF($W2553="Yes",1,0))</f>
        <v/>
      </c>
      <c r="AN2553">
        <f>IF($AJ2553=1,IFERROR(IF(VALUE($C2553)&lt;100000000,VALUE($C2553),1000000000),IFERROR(IF(VALUE(MID($C2553,2,20))&lt;100000000,VALUE(MID($C2553,2,20)),1000000000),1000000000))+ROW()/100000,"")</f>
        <v/>
      </c>
    </row>
    <row r="2554">
      <c r="E2554" s="11" t="n"/>
      <c r="M2554" s="7">
        <f>IF($C2554="","",L2554*U2554/100)</f>
        <v/>
      </c>
      <c r="N2554" s="7" t="n"/>
      <c r="T2554" s="7" t="n"/>
      <c r="U2554" s="7">
        <f>IF($C2554="","",S2554*T2554)</f>
        <v/>
      </c>
      <c r="X2554">
        <f>IF($C2554="","",IF($AM2554=1,0,IF($AL2554=1,Settings!$C$6,Settings!$C$7))*100)</f>
        <v/>
      </c>
      <c r="AB2554" s="7" t="n"/>
      <c r="AE2554" s="11" t="n"/>
      <c r="AG2554" s="7">
        <f>IF($C2554="","",U2554*X2554/100)</f>
        <v/>
      </c>
      <c r="AH2554" s="7">
        <f>IF($C2554="","",U2554-AG2554)</f>
        <v/>
      </c>
      <c r="AI2554" s="7">
        <f>IF($C2554="","",AH2554-M2554)</f>
        <v/>
      </c>
      <c r="AJ2554">
        <f>IF($C2554="","",IF(COUNTIF($C$2:$C2554,$C2554)=1,1,0))</f>
        <v/>
      </c>
      <c r="AK2554">
        <f>IF($AJ2554=1,SUMPRODUCT(--($AN$2:$AN$4001&lt;$AN2554))+1,"")</f>
        <v/>
      </c>
      <c r="AL2554">
        <f>IF($C2554="","",IF(OR($Q2554=TRUE(),$Q2554="TRUE"),1,0))</f>
        <v/>
      </c>
      <c r="AM2554">
        <f>IF($C2554="","",IF($W2554="Yes",1,0))</f>
        <v/>
      </c>
      <c r="AN2554">
        <f>IF($AJ2554=1,IFERROR(IF(VALUE($C2554)&lt;100000000,VALUE($C2554),1000000000),IFERROR(IF(VALUE(MID($C2554,2,20))&lt;100000000,VALUE(MID($C2554,2,20)),1000000000),1000000000))+ROW()/100000,"")</f>
        <v/>
      </c>
    </row>
    <row r="2555">
      <c r="E2555" s="11" t="n"/>
      <c r="M2555" s="7">
        <f>IF($C2555="","",L2555*U2555/100)</f>
        <v/>
      </c>
      <c r="N2555" s="7" t="n"/>
      <c r="T2555" s="7" t="n"/>
      <c r="U2555" s="7">
        <f>IF($C2555="","",S2555*T2555)</f>
        <v/>
      </c>
      <c r="X2555">
        <f>IF($C2555="","",IF($AM2555=1,0,IF($AL2555=1,Settings!$C$6,Settings!$C$7))*100)</f>
        <v/>
      </c>
      <c r="AB2555" s="7" t="n"/>
      <c r="AE2555" s="11" t="n"/>
      <c r="AG2555" s="7">
        <f>IF($C2555="","",U2555*X2555/100)</f>
        <v/>
      </c>
      <c r="AH2555" s="7">
        <f>IF($C2555="","",U2555-AG2555)</f>
        <v/>
      </c>
      <c r="AI2555" s="7">
        <f>IF($C2555="","",AH2555-M2555)</f>
        <v/>
      </c>
      <c r="AJ2555">
        <f>IF($C2555="","",IF(COUNTIF($C$2:$C2555,$C2555)=1,1,0))</f>
        <v/>
      </c>
      <c r="AK2555">
        <f>IF($AJ2555=1,SUMPRODUCT(--($AN$2:$AN$4001&lt;$AN2555))+1,"")</f>
        <v/>
      </c>
      <c r="AL2555">
        <f>IF($C2555="","",IF(OR($Q2555=TRUE(),$Q2555="TRUE"),1,0))</f>
        <v/>
      </c>
      <c r="AM2555">
        <f>IF($C2555="","",IF($W2555="Yes",1,0))</f>
        <v/>
      </c>
      <c r="AN2555">
        <f>IF($AJ2555=1,IFERROR(IF(VALUE($C2555)&lt;100000000,VALUE($C2555),1000000000),IFERROR(IF(VALUE(MID($C2555,2,20))&lt;100000000,VALUE(MID($C2555,2,20)),1000000000),1000000000))+ROW()/100000,"")</f>
        <v/>
      </c>
    </row>
    <row r="2556">
      <c r="E2556" s="11" t="n"/>
      <c r="M2556" s="7">
        <f>IF($C2556="","",L2556*U2556/100)</f>
        <v/>
      </c>
      <c r="N2556" s="7" t="n"/>
      <c r="T2556" s="7" t="n"/>
      <c r="U2556" s="7">
        <f>IF($C2556="","",S2556*T2556)</f>
        <v/>
      </c>
      <c r="X2556">
        <f>IF($C2556="","",IF($AM2556=1,0,IF($AL2556=1,Settings!$C$6,Settings!$C$7))*100)</f>
        <v/>
      </c>
      <c r="AB2556" s="7" t="n"/>
      <c r="AE2556" s="11" t="n"/>
      <c r="AG2556" s="7">
        <f>IF($C2556="","",U2556*X2556/100)</f>
        <v/>
      </c>
      <c r="AH2556" s="7">
        <f>IF($C2556="","",U2556-AG2556)</f>
        <v/>
      </c>
      <c r="AI2556" s="7">
        <f>IF($C2556="","",AH2556-M2556)</f>
        <v/>
      </c>
      <c r="AJ2556">
        <f>IF($C2556="","",IF(COUNTIF($C$2:$C2556,$C2556)=1,1,0))</f>
        <v/>
      </c>
      <c r="AK2556">
        <f>IF($AJ2556=1,SUMPRODUCT(--($AN$2:$AN$4001&lt;$AN2556))+1,"")</f>
        <v/>
      </c>
      <c r="AL2556">
        <f>IF($C2556="","",IF(OR($Q2556=TRUE(),$Q2556="TRUE"),1,0))</f>
        <v/>
      </c>
      <c r="AM2556">
        <f>IF($C2556="","",IF($W2556="Yes",1,0))</f>
        <v/>
      </c>
      <c r="AN2556">
        <f>IF($AJ2556=1,IFERROR(IF(VALUE($C2556)&lt;100000000,VALUE($C2556),1000000000),IFERROR(IF(VALUE(MID($C2556,2,20))&lt;100000000,VALUE(MID($C2556,2,20)),1000000000),1000000000))+ROW()/100000,"")</f>
        <v/>
      </c>
    </row>
    <row r="2557">
      <c r="E2557" s="11" t="n"/>
      <c r="M2557" s="7">
        <f>IF($C2557="","",L2557*U2557/100)</f>
        <v/>
      </c>
      <c r="N2557" s="7" t="n"/>
      <c r="T2557" s="7" t="n"/>
      <c r="U2557" s="7">
        <f>IF($C2557="","",S2557*T2557)</f>
        <v/>
      </c>
      <c r="X2557">
        <f>IF($C2557="","",IF($AM2557=1,0,IF($AL2557=1,Settings!$C$6,Settings!$C$7))*100)</f>
        <v/>
      </c>
      <c r="AB2557" s="7" t="n"/>
      <c r="AE2557" s="11" t="n"/>
      <c r="AG2557" s="7">
        <f>IF($C2557="","",U2557*X2557/100)</f>
        <v/>
      </c>
      <c r="AH2557" s="7">
        <f>IF($C2557="","",U2557-AG2557)</f>
        <v/>
      </c>
      <c r="AI2557" s="7">
        <f>IF($C2557="","",AH2557-M2557)</f>
        <v/>
      </c>
      <c r="AJ2557">
        <f>IF($C2557="","",IF(COUNTIF($C$2:$C2557,$C2557)=1,1,0))</f>
        <v/>
      </c>
      <c r="AK2557">
        <f>IF($AJ2557=1,SUMPRODUCT(--($AN$2:$AN$4001&lt;$AN2557))+1,"")</f>
        <v/>
      </c>
      <c r="AL2557">
        <f>IF($C2557="","",IF(OR($Q2557=TRUE(),$Q2557="TRUE"),1,0))</f>
        <v/>
      </c>
      <c r="AM2557">
        <f>IF($C2557="","",IF($W2557="Yes",1,0))</f>
        <v/>
      </c>
      <c r="AN2557">
        <f>IF($AJ2557=1,IFERROR(IF(VALUE($C2557)&lt;100000000,VALUE($C2557),1000000000),IFERROR(IF(VALUE(MID($C2557,2,20))&lt;100000000,VALUE(MID($C2557,2,20)),1000000000),1000000000))+ROW()/100000,"")</f>
        <v/>
      </c>
    </row>
    <row r="2558">
      <c r="E2558" s="11" t="n"/>
      <c r="M2558" s="7">
        <f>IF($C2558="","",L2558*U2558/100)</f>
        <v/>
      </c>
      <c r="N2558" s="7" t="n"/>
      <c r="T2558" s="7" t="n"/>
      <c r="U2558" s="7">
        <f>IF($C2558="","",S2558*T2558)</f>
        <v/>
      </c>
      <c r="X2558">
        <f>IF($C2558="","",IF($AM2558=1,0,IF($AL2558=1,Settings!$C$6,Settings!$C$7))*100)</f>
        <v/>
      </c>
      <c r="AB2558" s="7" t="n"/>
      <c r="AE2558" s="11" t="n"/>
      <c r="AG2558" s="7">
        <f>IF($C2558="","",U2558*X2558/100)</f>
        <v/>
      </c>
      <c r="AH2558" s="7">
        <f>IF($C2558="","",U2558-AG2558)</f>
        <v/>
      </c>
      <c r="AI2558" s="7">
        <f>IF($C2558="","",AH2558-M2558)</f>
        <v/>
      </c>
      <c r="AJ2558">
        <f>IF($C2558="","",IF(COUNTIF($C$2:$C2558,$C2558)=1,1,0))</f>
        <v/>
      </c>
      <c r="AK2558">
        <f>IF($AJ2558=1,SUMPRODUCT(--($AN$2:$AN$4001&lt;$AN2558))+1,"")</f>
        <v/>
      </c>
      <c r="AL2558">
        <f>IF($C2558="","",IF(OR($Q2558=TRUE(),$Q2558="TRUE"),1,0))</f>
        <v/>
      </c>
      <c r="AM2558">
        <f>IF($C2558="","",IF($W2558="Yes",1,0))</f>
        <v/>
      </c>
      <c r="AN2558">
        <f>IF($AJ2558=1,IFERROR(IF(VALUE($C2558)&lt;100000000,VALUE($C2558),1000000000),IFERROR(IF(VALUE(MID($C2558,2,20))&lt;100000000,VALUE(MID($C2558,2,20)),1000000000),1000000000))+ROW()/100000,"")</f>
        <v/>
      </c>
    </row>
    <row r="2559">
      <c r="E2559" s="11" t="n"/>
      <c r="M2559" s="7">
        <f>IF($C2559="","",L2559*U2559/100)</f>
        <v/>
      </c>
      <c r="N2559" s="7" t="n"/>
      <c r="T2559" s="7" t="n"/>
      <c r="U2559" s="7">
        <f>IF($C2559="","",S2559*T2559)</f>
        <v/>
      </c>
      <c r="X2559">
        <f>IF($C2559="","",IF($AM2559=1,0,IF($AL2559=1,Settings!$C$6,Settings!$C$7))*100)</f>
        <v/>
      </c>
      <c r="AB2559" s="7" t="n"/>
      <c r="AE2559" s="11" t="n"/>
      <c r="AG2559" s="7">
        <f>IF($C2559="","",U2559*X2559/100)</f>
        <v/>
      </c>
      <c r="AH2559" s="7">
        <f>IF($C2559="","",U2559-AG2559)</f>
        <v/>
      </c>
      <c r="AI2559" s="7">
        <f>IF($C2559="","",AH2559-M2559)</f>
        <v/>
      </c>
      <c r="AJ2559">
        <f>IF($C2559="","",IF(COUNTIF($C$2:$C2559,$C2559)=1,1,0))</f>
        <v/>
      </c>
      <c r="AK2559">
        <f>IF($AJ2559=1,SUMPRODUCT(--($AN$2:$AN$4001&lt;$AN2559))+1,"")</f>
        <v/>
      </c>
      <c r="AL2559">
        <f>IF($C2559="","",IF(OR($Q2559=TRUE(),$Q2559="TRUE"),1,0))</f>
        <v/>
      </c>
      <c r="AM2559">
        <f>IF($C2559="","",IF($W2559="Yes",1,0))</f>
        <v/>
      </c>
      <c r="AN2559">
        <f>IF($AJ2559=1,IFERROR(IF(VALUE($C2559)&lt;100000000,VALUE($C2559),1000000000),IFERROR(IF(VALUE(MID($C2559,2,20))&lt;100000000,VALUE(MID($C2559,2,20)),1000000000),1000000000))+ROW()/100000,"")</f>
        <v/>
      </c>
    </row>
    <row r="2560">
      <c r="E2560" s="11" t="n"/>
      <c r="M2560" s="7">
        <f>IF($C2560="","",L2560*U2560/100)</f>
        <v/>
      </c>
      <c r="N2560" s="7" t="n"/>
      <c r="T2560" s="7" t="n"/>
      <c r="U2560" s="7">
        <f>IF($C2560="","",S2560*T2560)</f>
        <v/>
      </c>
      <c r="X2560">
        <f>IF($C2560="","",IF($AM2560=1,0,IF($AL2560=1,Settings!$C$6,Settings!$C$7))*100)</f>
        <v/>
      </c>
      <c r="AB2560" s="7" t="n"/>
      <c r="AE2560" s="11" t="n"/>
      <c r="AG2560" s="7">
        <f>IF($C2560="","",U2560*X2560/100)</f>
        <v/>
      </c>
      <c r="AH2560" s="7">
        <f>IF($C2560="","",U2560-AG2560)</f>
        <v/>
      </c>
      <c r="AI2560" s="7">
        <f>IF($C2560="","",AH2560-M2560)</f>
        <v/>
      </c>
      <c r="AJ2560">
        <f>IF($C2560="","",IF(COUNTIF($C$2:$C2560,$C2560)=1,1,0))</f>
        <v/>
      </c>
      <c r="AK2560">
        <f>IF($AJ2560=1,SUMPRODUCT(--($AN$2:$AN$4001&lt;$AN2560))+1,"")</f>
        <v/>
      </c>
      <c r="AL2560">
        <f>IF($C2560="","",IF(OR($Q2560=TRUE(),$Q2560="TRUE"),1,0))</f>
        <v/>
      </c>
      <c r="AM2560">
        <f>IF($C2560="","",IF($W2560="Yes",1,0))</f>
        <v/>
      </c>
      <c r="AN2560">
        <f>IF($AJ2560=1,IFERROR(IF(VALUE($C2560)&lt;100000000,VALUE($C2560),1000000000),IFERROR(IF(VALUE(MID($C2560,2,20))&lt;100000000,VALUE(MID($C2560,2,20)),1000000000),1000000000))+ROW()/100000,"")</f>
        <v/>
      </c>
    </row>
    <row r="2561">
      <c r="E2561" s="11" t="n"/>
      <c r="M2561" s="7">
        <f>IF($C2561="","",L2561*U2561/100)</f>
        <v/>
      </c>
      <c r="N2561" s="7" t="n"/>
      <c r="T2561" s="7" t="n"/>
      <c r="U2561" s="7">
        <f>IF($C2561="","",S2561*T2561)</f>
        <v/>
      </c>
      <c r="X2561">
        <f>IF($C2561="","",IF($AM2561=1,0,IF($AL2561=1,Settings!$C$6,Settings!$C$7))*100)</f>
        <v/>
      </c>
      <c r="AB2561" s="7" t="n"/>
      <c r="AE2561" s="11" t="n"/>
      <c r="AG2561" s="7">
        <f>IF($C2561="","",U2561*X2561/100)</f>
        <v/>
      </c>
      <c r="AH2561" s="7">
        <f>IF($C2561="","",U2561-AG2561)</f>
        <v/>
      </c>
      <c r="AI2561" s="7">
        <f>IF($C2561="","",AH2561-M2561)</f>
        <v/>
      </c>
      <c r="AJ2561">
        <f>IF($C2561="","",IF(COUNTIF($C$2:$C2561,$C2561)=1,1,0))</f>
        <v/>
      </c>
      <c r="AK2561">
        <f>IF($AJ2561=1,SUMPRODUCT(--($AN$2:$AN$4001&lt;$AN2561))+1,"")</f>
        <v/>
      </c>
      <c r="AL2561">
        <f>IF($C2561="","",IF(OR($Q2561=TRUE(),$Q2561="TRUE"),1,0))</f>
        <v/>
      </c>
      <c r="AM2561">
        <f>IF($C2561="","",IF($W2561="Yes",1,0))</f>
        <v/>
      </c>
      <c r="AN2561">
        <f>IF($AJ2561=1,IFERROR(IF(VALUE($C2561)&lt;100000000,VALUE($C2561),1000000000),IFERROR(IF(VALUE(MID($C2561,2,20))&lt;100000000,VALUE(MID($C2561,2,20)),1000000000),1000000000))+ROW()/100000,"")</f>
        <v/>
      </c>
    </row>
    <row r="2562">
      <c r="E2562" s="11" t="n"/>
      <c r="M2562" s="7">
        <f>IF($C2562="","",L2562*U2562/100)</f>
        <v/>
      </c>
      <c r="N2562" s="7" t="n"/>
      <c r="T2562" s="7" t="n"/>
      <c r="U2562" s="7">
        <f>IF($C2562="","",S2562*T2562)</f>
        <v/>
      </c>
      <c r="X2562">
        <f>IF($C2562="","",IF($AM2562=1,0,IF($AL2562=1,Settings!$C$6,Settings!$C$7))*100)</f>
        <v/>
      </c>
      <c r="AB2562" s="7" t="n"/>
      <c r="AE2562" s="11" t="n"/>
      <c r="AG2562" s="7">
        <f>IF($C2562="","",U2562*X2562/100)</f>
        <v/>
      </c>
      <c r="AH2562" s="7">
        <f>IF($C2562="","",U2562-AG2562)</f>
        <v/>
      </c>
      <c r="AI2562" s="7">
        <f>IF($C2562="","",AH2562-M2562)</f>
        <v/>
      </c>
      <c r="AJ2562">
        <f>IF($C2562="","",IF(COUNTIF($C$2:$C2562,$C2562)=1,1,0))</f>
        <v/>
      </c>
      <c r="AK2562">
        <f>IF($AJ2562=1,SUMPRODUCT(--($AN$2:$AN$4001&lt;$AN2562))+1,"")</f>
        <v/>
      </c>
      <c r="AL2562">
        <f>IF($C2562="","",IF(OR($Q2562=TRUE(),$Q2562="TRUE"),1,0))</f>
        <v/>
      </c>
      <c r="AM2562">
        <f>IF($C2562="","",IF($W2562="Yes",1,0))</f>
        <v/>
      </c>
      <c r="AN2562">
        <f>IF($AJ2562=1,IFERROR(IF(VALUE($C2562)&lt;100000000,VALUE($C2562),1000000000),IFERROR(IF(VALUE(MID($C2562,2,20))&lt;100000000,VALUE(MID($C2562,2,20)),1000000000),1000000000))+ROW()/100000,"")</f>
        <v/>
      </c>
    </row>
    <row r="2563">
      <c r="E2563" s="11" t="n"/>
      <c r="M2563" s="7">
        <f>IF($C2563="","",L2563*U2563/100)</f>
        <v/>
      </c>
      <c r="N2563" s="7" t="n"/>
      <c r="T2563" s="7" t="n"/>
      <c r="U2563" s="7">
        <f>IF($C2563="","",S2563*T2563)</f>
        <v/>
      </c>
      <c r="X2563">
        <f>IF($C2563="","",IF($AM2563=1,0,IF($AL2563=1,Settings!$C$6,Settings!$C$7))*100)</f>
        <v/>
      </c>
      <c r="AB2563" s="7" t="n"/>
      <c r="AE2563" s="11" t="n"/>
      <c r="AG2563" s="7">
        <f>IF($C2563="","",U2563*X2563/100)</f>
        <v/>
      </c>
      <c r="AH2563" s="7">
        <f>IF($C2563="","",U2563-AG2563)</f>
        <v/>
      </c>
      <c r="AI2563" s="7">
        <f>IF($C2563="","",AH2563-M2563)</f>
        <v/>
      </c>
      <c r="AJ2563">
        <f>IF($C2563="","",IF(COUNTIF($C$2:$C2563,$C2563)=1,1,0))</f>
        <v/>
      </c>
      <c r="AK2563">
        <f>IF($AJ2563=1,SUMPRODUCT(--($AN$2:$AN$4001&lt;$AN2563))+1,"")</f>
        <v/>
      </c>
      <c r="AL2563">
        <f>IF($C2563="","",IF(OR($Q2563=TRUE(),$Q2563="TRUE"),1,0))</f>
        <v/>
      </c>
      <c r="AM2563">
        <f>IF($C2563="","",IF($W2563="Yes",1,0))</f>
        <v/>
      </c>
      <c r="AN2563">
        <f>IF($AJ2563=1,IFERROR(IF(VALUE($C2563)&lt;100000000,VALUE($C2563),1000000000),IFERROR(IF(VALUE(MID($C2563,2,20))&lt;100000000,VALUE(MID($C2563,2,20)),1000000000),1000000000))+ROW()/100000,"")</f>
        <v/>
      </c>
    </row>
    <row r="2564">
      <c r="E2564" s="11" t="n"/>
      <c r="M2564" s="7">
        <f>IF($C2564="","",L2564*U2564/100)</f>
        <v/>
      </c>
      <c r="N2564" s="7" t="n"/>
      <c r="T2564" s="7" t="n"/>
      <c r="U2564" s="7">
        <f>IF($C2564="","",S2564*T2564)</f>
        <v/>
      </c>
      <c r="X2564">
        <f>IF($C2564="","",IF($AM2564=1,0,IF($AL2564=1,Settings!$C$6,Settings!$C$7))*100)</f>
        <v/>
      </c>
      <c r="AB2564" s="7" t="n"/>
      <c r="AE2564" s="11" t="n"/>
      <c r="AG2564" s="7">
        <f>IF($C2564="","",U2564*X2564/100)</f>
        <v/>
      </c>
      <c r="AH2564" s="7">
        <f>IF($C2564="","",U2564-AG2564)</f>
        <v/>
      </c>
      <c r="AI2564" s="7">
        <f>IF($C2564="","",AH2564-M2564)</f>
        <v/>
      </c>
      <c r="AJ2564">
        <f>IF($C2564="","",IF(COUNTIF($C$2:$C2564,$C2564)=1,1,0))</f>
        <v/>
      </c>
      <c r="AK2564">
        <f>IF($AJ2564=1,SUMPRODUCT(--($AN$2:$AN$4001&lt;$AN2564))+1,"")</f>
        <v/>
      </c>
      <c r="AL2564">
        <f>IF($C2564="","",IF(OR($Q2564=TRUE(),$Q2564="TRUE"),1,0))</f>
        <v/>
      </c>
      <c r="AM2564">
        <f>IF($C2564="","",IF($W2564="Yes",1,0))</f>
        <v/>
      </c>
      <c r="AN2564">
        <f>IF($AJ2564=1,IFERROR(IF(VALUE($C2564)&lt;100000000,VALUE($C2564),1000000000),IFERROR(IF(VALUE(MID($C2564,2,20))&lt;100000000,VALUE(MID($C2564,2,20)),1000000000),1000000000))+ROW()/100000,"")</f>
        <v/>
      </c>
    </row>
    <row r="2565">
      <c r="E2565" s="11" t="n"/>
      <c r="M2565" s="7">
        <f>IF($C2565="","",L2565*U2565/100)</f>
        <v/>
      </c>
      <c r="N2565" s="7" t="n"/>
      <c r="T2565" s="7" t="n"/>
      <c r="U2565" s="7">
        <f>IF($C2565="","",S2565*T2565)</f>
        <v/>
      </c>
      <c r="X2565">
        <f>IF($C2565="","",IF($AM2565=1,0,IF($AL2565=1,Settings!$C$6,Settings!$C$7))*100)</f>
        <v/>
      </c>
      <c r="AB2565" s="7" t="n"/>
      <c r="AE2565" s="11" t="n"/>
      <c r="AG2565" s="7">
        <f>IF($C2565="","",U2565*X2565/100)</f>
        <v/>
      </c>
      <c r="AH2565" s="7">
        <f>IF($C2565="","",U2565-AG2565)</f>
        <v/>
      </c>
      <c r="AI2565" s="7">
        <f>IF($C2565="","",AH2565-M2565)</f>
        <v/>
      </c>
      <c r="AJ2565">
        <f>IF($C2565="","",IF(COUNTIF($C$2:$C2565,$C2565)=1,1,0))</f>
        <v/>
      </c>
      <c r="AK2565">
        <f>IF($AJ2565=1,SUMPRODUCT(--($AN$2:$AN$4001&lt;$AN2565))+1,"")</f>
        <v/>
      </c>
      <c r="AL2565">
        <f>IF($C2565="","",IF(OR($Q2565=TRUE(),$Q2565="TRUE"),1,0))</f>
        <v/>
      </c>
      <c r="AM2565">
        <f>IF($C2565="","",IF($W2565="Yes",1,0))</f>
        <v/>
      </c>
      <c r="AN2565">
        <f>IF($AJ2565=1,IFERROR(IF(VALUE($C2565)&lt;100000000,VALUE($C2565),1000000000),IFERROR(IF(VALUE(MID($C2565,2,20))&lt;100000000,VALUE(MID($C2565,2,20)),1000000000),1000000000))+ROW()/100000,"")</f>
        <v/>
      </c>
    </row>
    <row r="2566">
      <c r="E2566" s="11" t="n"/>
      <c r="M2566" s="7">
        <f>IF($C2566="","",L2566*U2566/100)</f>
        <v/>
      </c>
      <c r="N2566" s="7" t="n"/>
      <c r="T2566" s="7" t="n"/>
      <c r="U2566" s="7">
        <f>IF($C2566="","",S2566*T2566)</f>
        <v/>
      </c>
      <c r="X2566">
        <f>IF($C2566="","",IF($AM2566=1,0,IF($AL2566=1,Settings!$C$6,Settings!$C$7))*100)</f>
        <v/>
      </c>
      <c r="AB2566" s="7" t="n"/>
      <c r="AE2566" s="11" t="n"/>
      <c r="AG2566" s="7">
        <f>IF($C2566="","",U2566*X2566/100)</f>
        <v/>
      </c>
      <c r="AH2566" s="7">
        <f>IF($C2566="","",U2566-AG2566)</f>
        <v/>
      </c>
      <c r="AI2566" s="7">
        <f>IF($C2566="","",AH2566-M2566)</f>
        <v/>
      </c>
      <c r="AJ2566">
        <f>IF($C2566="","",IF(COUNTIF($C$2:$C2566,$C2566)=1,1,0))</f>
        <v/>
      </c>
      <c r="AK2566">
        <f>IF($AJ2566=1,SUMPRODUCT(--($AN$2:$AN$4001&lt;$AN2566))+1,"")</f>
        <v/>
      </c>
      <c r="AL2566">
        <f>IF($C2566="","",IF(OR($Q2566=TRUE(),$Q2566="TRUE"),1,0))</f>
        <v/>
      </c>
      <c r="AM2566">
        <f>IF($C2566="","",IF($W2566="Yes",1,0))</f>
        <v/>
      </c>
      <c r="AN2566">
        <f>IF($AJ2566=1,IFERROR(IF(VALUE($C2566)&lt;100000000,VALUE($C2566),1000000000),IFERROR(IF(VALUE(MID($C2566,2,20))&lt;100000000,VALUE(MID($C2566,2,20)),1000000000),1000000000))+ROW()/100000,"")</f>
        <v/>
      </c>
    </row>
    <row r="2567">
      <c r="E2567" s="11" t="n"/>
      <c r="M2567" s="7">
        <f>IF($C2567="","",L2567*U2567/100)</f>
        <v/>
      </c>
      <c r="N2567" s="7" t="n"/>
      <c r="T2567" s="7" t="n"/>
      <c r="U2567" s="7">
        <f>IF($C2567="","",S2567*T2567)</f>
        <v/>
      </c>
      <c r="X2567">
        <f>IF($C2567="","",IF($AM2567=1,0,IF($AL2567=1,Settings!$C$6,Settings!$C$7))*100)</f>
        <v/>
      </c>
      <c r="AB2567" s="7" t="n"/>
      <c r="AE2567" s="11" t="n"/>
      <c r="AG2567" s="7">
        <f>IF($C2567="","",U2567*X2567/100)</f>
        <v/>
      </c>
      <c r="AH2567" s="7">
        <f>IF($C2567="","",U2567-AG2567)</f>
        <v/>
      </c>
      <c r="AI2567" s="7">
        <f>IF($C2567="","",AH2567-M2567)</f>
        <v/>
      </c>
      <c r="AJ2567">
        <f>IF($C2567="","",IF(COUNTIF($C$2:$C2567,$C2567)=1,1,0))</f>
        <v/>
      </c>
      <c r="AK2567">
        <f>IF($AJ2567=1,SUMPRODUCT(--($AN$2:$AN$4001&lt;$AN2567))+1,"")</f>
        <v/>
      </c>
      <c r="AL2567">
        <f>IF($C2567="","",IF(OR($Q2567=TRUE(),$Q2567="TRUE"),1,0))</f>
        <v/>
      </c>
      <c r="AM2567">
        <f>IF($C2567="","",IF($W2567="Yes",1,0))</f>
        <v/>
      </c>
      <c r="AN2567">
        <f>IF($AJ2567=1,IFERROR(IF(VALUE($C2567)&lt;100000000,VALUE($C2567),1000000000),IFERROR(IF(VALUE(MID($C2567,2,20))&lt;100000000,VALUE(MID($C2567,2,20)),1000000000),1000000000))+ROW()/100000,"")</f>
        <v/>
      </c>
    </row>
    <row r="2568">
      <c r="E2568" s="11" t="n"/>
      <c r="M2568" s="7">
        <f>IF($C2568="","",L2568*U2568/100)</f>
        <v/>
      </c>
      <c r="N2568" s="7" t="n"/>
      <c r="T2568" s="7" t="n"/>
      <c r="U2568" s="7">
        <f>IF($C2568="","",S2568*T2568)</f>
        <v/>
      </c>
      <c r="X2568">
        <f>IF($C2568="","",IF($AM2568=1,0,IF($AL2568=1,Settings!$C$6,Settings!$C$7))*100)</f>
        <v/>
      </c>
      <c r="AB2568" s="7" t="n"/>
      <c r="AE2568" s="11" t="n"/>
      <c r="AG2568" s="7">
        <f>IF($C2568="","",U2568*X2568/100)</f>
        <v/>
      </c>
      <c r="AH2568" s="7">
        <f>IF($C2568="","",U2568-AG2568)</f>
        <v/>
      </c>
      <c r="AI2568" s="7">
        <f>IF($C2568="","",AH2568-M2568)</f>
        <v/>
      </c>
      <c r="AJ2568">
        <f>IF($C2568="","",IF(COUNTIF($C$2:$C2568,$C2568)=1,1,0))</f>
        <v/>
      </c>
      <c r="AK2568">
        <f>IF($AJ2568=1,SUMPRODUCT(--($AN$2:$AN$4001&lt;$AN2568))+1,"")</f>
        <v/>
      </c>
      <c r="AL2568">
        <f>IF($C2568="","",IF(OR($Q2568=TRUE(),$Q2568="TRUE"),1,0))</f>
        <v/>
      </c>
      <c r="AM2568">
        <f>IF($C2568="","",IF($W2568="Yes",1,0))</f>
        <v/>
      </c>
      <c r="AN2568">
        <f>IF($AJ2568=1,IFERROR(IF(VALUE($C2568)&lt;100000000,VALUE($C2568),1000000000),IFERROR(IF(VALUE(MID($C2568,2,20))&lt;100000000,VALUE(MID($C2568,2,20)),1000000000),1000000000))+ROW()/100000,"")</f>
        <v/>
      </c>
    </row>
    <row r="2569">
      <c r="E2569" s="11" t="n"/>
      <c r="M2569" s="7">
        <f>IF($C2569="","",L2569*U2569/100)</f>
        <v/>
      </c>
      <c r="N2569" s="7" t="n"/>
      <c r="T2569" s="7" t="n"/>
      <c r="U2569" s="7">
        <f>IF($C2569="","",S2569*T2569)</f>
        <v/>
      </c>
      <c r="X2569">
        <f>IF($C2569="","",IF($AM2569=1,0,IF($AL2569=1,Settings!$C$6,Settings!$C$7))*100)</f>
        <v/>
      </c>
      <c r="AB2569" s="7" t="n"/>
      <c r="AE2569" s="11" t="n"/>
      <c r="AG2569" s="7">
        <f>IF($C2569="","",U2569*X2569/100)</f>
        <v/>
      </c>
      <c r="AH2569" s="7">
        <f>IF($C2569="","",U2569-AG2569)</f>
        <v/>
      </c>
      <c r="AI2569" s="7">
        <f>IF($C2569="","",AH2569-M2569)</f>
        <v/>
      </c>
      <c r="AJ2569">
        <f>IF($C2569="","",IF(COUNTIF($C$2:$C2569,$C2569)=1,1,0))</f>
        <v/>
      </c>
      <c r="AK2569">
        <f>IF($AJ2569=1,SUMPRODUCT(--($AN$2:$AN$4001&lt;$AN2569))+1,"")</f>
        <v/>
      </c>
      <c r="AL2569">
        <f>IF($C2569="","",IF(OR($Q2569=TRUE(),$Q2569="TRUE"),1,0))</f>
        <v/>
      </c>
      <c r="AM2569">
        <f>IF($C2569="","",IF($W2569="Yes",1,0))</f>
        <v/>
      </c>
      <c r="AN2569">
        <f>IF($AJ2569=1,IFERROR(IF(VALUE($C2569)&lt;100000000,VALUE($C2569),1000000000),IFERROR(IF(VALUE(MID($C2569,2,20))&lt;100000000,VALUE(MID($C2569,2,20)),1000000000),1000000000))+ROW()/100000,"")</f>
        <v/>
      </c>
    </row>
    <row r="2570">
      <c r="E2570" s="11" t="n"/>
      <c r="M2570" s="7">
        <f>IF($C2570="","",L2570*U2570/100)</f>
        <v/>
      </c>
      <c r="N2570" s="7" t="n"/>
      <c r="T2570" s="7" t="n"/>
      <c r="U2570" s="7">
        <f>IF($C2570="","",S2570*T2570)</f>
        <v/>
      </c>
      <c r="X2570">
        <f>IF($C2570="","",IF($AM2570=1,0,IF($AL2570=1,Settings!$C$6,Settings!$C$7))*100)</f>
        <v/>
      </c>
      <c r="AB2570" s="7" t="n"/>
      <c r="AE2570" s="11" t="n"/>
      <c r="AG2570" s="7">
        <f>IF($C2570="","",U2570*X2570/100)</f>
        <v/>
      </c>
      <c r="AH2570" s="7">
        <f>IF($C2570="","",U2570-AG2570)</f>
        <v/>
      </c>
      <c r="AI2570" s="7">
        <f>IF($C2570="","",AH2570-M2570)</f>
        <v/>
      </c>
      <c r="AJ2570">
        <f>IF($C2570="","",IF(COUNTIF($C$2:$C2570,$C2570)=1,1,0))</f>
        <v/>
      </c>
      <c r="AK2570">
        <f>IF($AJ2570=1,SUMPRODUCT(--($AN$2:$AN$4001&lt;$AN2570))+1,"")</f>
        <v/>
      </c>
      <c r="AL2570">
        <f>IF($C2570="","",IF(OR($Q2570=TRUE(),$Q2570="TRUE"),1,0))</f>
        <v/>
      </c>
      <c r="AM2570">
        <f>IF($C2570="","",IF($W2570="Yes",1,0))</f>
        <v/>
      </c>
      <c r="AN2570">
        <f>IF($AJ2570=1,IFERROR(IF(VALUE($C2570)&lt;100000000,VALUE($C2570),1000000000),IFERROR(IF(VALUE(MID($C2570,2,20))&lt;100000000,VALUE(MID($C2570,2,20)),1000000000),1000000000))+ROW()/100000,"")</f>
        <v/>
      </c>
    </row>
    <row r="2571">
      <c r="E2571" s="11" t="n"/>
      <c r="M2571" s="7">
        <f>IF($C2571="","",L2571*U2571/100)</f>
        <v/>
      </c>
      <c r="N2571" s="7" t="n"/>
      <c r="T2571" s="7" t="n"/>
      <c r="U2571" s="7">
        <f>IF($C2571="","",S2571*T2571)</f>
        <v/>
      </c>
      <c r="X2571">
        <f>IF($C2571="","",IF($AM2571=1,0,IF($AL2571=1,Settings!$C$6,Settings!$C$7))*100)</f>
        <v/>
      </c>
      <c r="AB2571" s="7" t="n"/>
      <c r="AE2571" s="11" t="n"/>
      <c r="AG2571" s="7">
        <f>IF($C2571="","",U2571*X2571/100)</f>
        <v/>
      </c>
      <c r="AH2571" s="7">
        <f>IF($C2571="","",U2571-AG2571)</f>
        <v/>
      </c>
      <c r="AI2571" s="7">
        <f>IF($C2571="","",AH2571-M2571)</f>
        <v/>
      </c>
      <c r="AJ2571">
        <f>IF($C2571="","",IF(COUNTIF($C$2:$C2571,$C2571)=1,1,0))</f>
        <v/>
      </c>
      <c r="AK2571">
        <f>IF($AJ2571=1,SUMPRODUCT(--($AN$2:$AN$4001&lt;$AN2571))+1,"")</f>
        <v/>
      </c>
      <c r="AL2571">
        <f>IF($C2571="","",IF(OR($Q2571=TRUE(),$Q2571="TRUE"),1,0))</f>
        <v/>
      </c>
      <c r="AM2571">
        <f>IF($C2571="","",IF($W2571="Yes",1,0))</f>
        <v/>
      </c>
      <c r="AN2571">
        <f>IF($AJ2571=1,IFERROR(IF(VALUE($C2571)&lt;100000000,VALUE($C2571),1000000000),IFERROR(IF(VALUE(MID($C2571,2,20))&lt;100000000,VALUE(MID($C2571,2,20)),1000000000),1000000000))+ROW()/100000,"")</f>
        <v/>
      </c>
    </row>
    <row r="2572">
      <c r="E2572" s="11" t="n"/>
      <c r="M2572" s="7">
        <f>IF($C2572="","",L2572*U2572/100)</f>
        <v/>
      </c>
      <c r="N2572" s="7" t="n"/>
      <c r="T2572" s="7" t="n"/>
      <c r="U2572" s="7">
        <f>IF($C2572="","",S2572*T2572)</f>
        <v/>
      </c>
      <c r="X2572">
        <f>IF($C2572="","",IF($AM2572=1,0,IF($AL2572=1,Settings!$C$6,Settings!$C$7))*100)</f>
        <v/>
      </c>
      <c r="AB2572" s="7" t="n"/>
      <c r="AE2572" s="11" t="n"/>
      <c r="AG2572" s="7">
        <f>IF($C2572="","",U2572*X2572/100)</f>
        <v/>
      </c>
      <c r="AH2572" s="7">
        <f>IF($C2572="","",U2572-AG2572)</f>
        <v/>
      </c>
      <c r="AI2572" s="7">
        <f>IF($C2572="","",AH2572-M2572)</f>
        <v/>
      </c>
      <c r="AJ2572">
        <f>IF($C2572="","",IF(COUNTIF($C$2:$C2572,$C2572)=1,1,0))</f>
        <v/>
      </c>
      <c r="AK2572">
        <f>IF($AJ2572=1,SUMPRODUCT(--($AN$2:$AN$4001&lt;$AN2572))+1,"")</f>
        <v/>
      </c>
      <c r="AL2572">
        <f>IF($C2572="","",IF(OR($Q2572=TRUE(),$Q2572="TRUE"),1,0))</f>
        <v/>
      </c>
      <c r="AM2572">
        <f>IF($C2572="","",IF($W2572="Yes",1,0))</f>
        <v/>
      </c>
      <c r="AN2572">
        <f>IF($AJ2572=1,IFERROR(IF(VALUE($C2572)&lt;100000000,VALUE($C2572),1000000000),IFERROR(IF(VALUE(MID($C2572,2,20))&lt;100000000,VALUE(MID($C2572,2,20)),1000000000),1000000000))+ROW()/100000,"")</f>
        <v/>
      </c>
    </row>
    <row r="2573">
      <c r="E2573" s="11" t="n"/>
      <c r="M2573" s="7">
        <f>IF($C2573="","",L2573*U2573/100)</f>
        <v/>
      </c>
      <c r="N2573" s="7" t="n"/>
      <c r="T2573" s="7" t="n"/>
      <c r="U2573" s="7">
        <f>IF($C2573="","",S2573*T2573)</f>
        <v/>
      </c>
      <c r="X2573">
        <f>IF($C2573="","",IF($AM2573=1,0,IF($AL2573=1,Settings!$C$6,Settings!$C$7))*100)</f>
        <v/>
      </c>
      <c r="AB2573" s="7" t="n"/>
      <c r="AE2573" s="11" t="n"/>
      <c r="AG2573" s="7">
        <f>IF($C2573="","",U2573*X2573/100)</f>
        <v/>
      </c>
      <c r="AH2573" s="7">
        <f>IF($C2573="","",U2573-AG2573)</f>
        <v/>
      </c>
      <c r="AI2573" s="7">
        <f>IF($C2573="","",AH2573-M2573)</f>
        <v/>
      </c>
      <c r="AJ2573">
        <f>IF($C2573="","",IF(COUNTIF($C$2:$C2573,$C2573)=1,1,0))</f>
        <v/>
      </c>
      <c r="AK2573">
        <f>IF($AJ2573=1,SUMPRODUCT(--($AN$2:$AN$4001&lt;$AN2573))+1,"")</f>
        <v/>
      </c>
      <c r="AL2573">
        <f>IF($C2573="","",IF(OR($Q2573=TRUE(),$Q2573="TRUE"),1,0))</f>
        <v/>
      </c>
      <c r="AM2573">
        <f>IF($C2573="","",IF($W2573="Yes",1,0))</f>
        <v/>
      </c>
      <c r="AN2573">
        <f>IF($AJ2573=1,IFERROR(IF(VALUE($C2573)&lt;100000000,VALUE($C2573),1000000000),IFERROR(IF(VALUE(MID($C2573,2,20))&lt;100000000,VALUE(MID($C2573,2,20)),1000000000),1000000000))+ROW()/100000,"")</f>
        <v/>
      </c>
    </row>
    <row r="2574">
      <c r="E2574" s="11" t="n"/>
      <c r="M2574" s="7">
        <f>IF($C2574="","",L2574*U2574/100)</f>
        <v/>
      </c>
      <c r="N2574" s="7" t="n"/>
      <c r="T2574" s="7" t="n"/>
      <c r="U2574" s="7">
        <f>IF($C2574="","",S2574*T2574)</f>
        <v/>
      </c>
      <c r="X2574">
        <f>IF($C2574="","",IF($AM2574=1,0,IF($AL2574=1,Settings!$C$6,Settings!$C$7))*100)</f>
        <v/>
      </c>
      <c r="AB2574" s="7" t="n"/>
      <c r="AE2574" s="11" t="n"/>
      <c r="AG2574" s="7">
        <f>IF($C2574="","",U2574*X2574/100)</f>
        <v/>
      </c>
      <c r="AH2574" s="7">
        <f>IF($C2574="","",U2574-AG2574)</f>
        <v/>
      </c>
      <c r="AI2574" s="7">
        <f>IF($C2574="","",AH2574-M2574)</f>
        <v/>
      </c>
      <c r="AJ2574">
        <f>IF($C2574="","",IF(COUNTIF($C$2:$C2574,$C2574)=1,1,0))</f>
        <v/>
      </c>
      <c r="AK2574">
        <f>IF($AJ2574=1,SUMPRODUCT(--($AN$2:$AN$4001&lt;$AN2574))+1,"")</f>
        <v/>
      </c>
      <c r="AL2574">
        <f>IF($C2574="","",IF(OR($Q2574=TRUE(),$Q2574="TRUE"),1,0))</f>
        <v/>
      </c>
      <c r="AM2574">
        <f>IF($C2574="","",IF($W2574="Yes",1,0))</f>
        <v/>
      </c>
      <c r="AN2574">
        <f>IF($AJ2574=1,IFERROR(IF(VALUE($C2574)&lt;100000000,VALUE($C2574),1000000000),IFERROR(IF(VALUE(MID($C2574,2,20))&lt;100000000,VALUE(MID($C2574,2,20)),1000000000),1000000000))+ROW()/100000,"")</f>
        <v/>
      </c>
    </row>
    <row r="2575">
      <c r="E2575" s="11" t="n"/>
      <c r="M2575" s="7">
        <f>IF($C2575="","",L2575*U2575/100)</f>
        <v/>
      </c>
      <c r="N2575" s="7" t="n"/>
      <c r="T2575" s="7" t="n"/>
      <c r="U2575" s="7">
        <f>IF($C2575="","",S2575*T2575)</f>
        <v/>
      </c>
      <c r="X2575">
        <f>IF($C2575="","",IF($AM2575=1,0,IF($AL2575=1,Settings!$C$6,Settings!$C$7))*100)</f>
        <v/>
      </c>
      <c r="AB2575" s="7" t="n"/>
      <c r="AE2575" s="11" t="n"/>
      <c r="AG2575" s="7">
        <f>IF($C2575="","",U2575*X2575/100)</f>
        <v/>
      </c>
      <c r="AH2575" s="7">
        <f>IF($C2575="","",U2575-AG2575)</f>
        <v/>
      </c>
      <c r="AI2575" s="7">
        <f>IF($C2575="","",AH2575-M2575)</f>
        <v/>
      </c>
      <c r="AJ2575">
        <f>IF($C2575="","",IF(COUNTIF($C$2:$C2575,$C2575)=1,1,0))</f>
        <v/>
      </c>
      <c r="AK2575">
        <f>IF($AJ2575=1,SUMPRODUCT(--($AN$2:$AN$4001&lt;$AN2575))+1,"")</f>
        <v/>
      </c>
      <c r="AL2575">
        <f>IF($C2575="","",IF(OR($Q2575=TRUE(),$Q2575="TRUE"),1,0))</f>
        <v/>
      </c>
      <c r="AM2575">
        <f>IF($C2575="","",IF($W2575="Yes",1,0))</f>
        <v/>
      </c>
      <c r="AN2575">
        <f>IF($AJ2575=1,IFERROR(IF(VALUE($C2575)&lt;100000000,VALUE($C2575),1000000000),IFERROR(IF(VALUE(MID($C2575,2,20))&lt;100000000,VALUE(MID($C2575,2,20)),1000000000),1000000000))+ROW()/100000,"")</f>
        <v/>
      </c>
    </row>
    <row r="2576">
      <c r="E2576" s="11" t="n"/>
      <c r="M2576" s="7">
        <f>IF($C2576="","",L2576*U2576/100)</f>
        <v/>
      </c>
      <c r="N2576" s="7" t="n"/>
      <c r="T2576" s="7" t="n"/>
      <c r="U2576" s="7">
        <f>IF($C2576="","",S2576*T2576)</f>
        <v/>
      </c>
      <c r="X2576">
        <f>IF($C2576="","",IF($AM2576=1,0,IF($AL2576=1,Settings!$C$6,Settings!$C$7))*100)</f>
        <v/>
      </c>
      <c r="AB2576" s="7" t="n"/>
      <c r="AE2576" s="11" t="n"/>
      <c r="AG2576" s="7">
        <f>IF($C2576="","",U2576*X2576/100)</f>
        <v/>
      </c>
      <c r="AH2576" s="7">
        <f>IF($C2576="","",U2576-AG2576)</f>
        <v/>
      </c>
      <c r="AI2576" s="7">
        <f>IF($C2576="","",AH2576-M2576)</f>
        <v/>
      </c>
      <c r="AJ2576">
        <f>IF($C2576="","",IF(COUNTIF($C$2:$C2576,$C2576)=1,1,0))</f>
        <v/>
      </c>
      <c r="AK2576">
        <f>IF($AJ2576=1,SUMPRODUCT(--($AN$2:$AN$4001&lt;$AN2576))+1,"")</f>
        <v/>
      </c>
      <c r="AL2576">
        <f>IF($C2576="","",IF(OR($Q2576=TRUE(),$Q2576="TRUE"),1,0))</f>
        <v/>
      </c>
      <c r="AM2576">
        <f>IF($C2576="","",IF($W2576="Yes",1,0))</f>
        <v/>
      </c>
      <c r="AN2576">
        <f>IF($AJ2576=1,IFERROR(IF(VALUE($C2576)&lt;100000000,VALUE($C2576),1000000000),IFERROR(IF(VALUE(MID($C2576,2,20))&lt;100000000,VALUE(MID($C2576,2,20)),1000000000),1000000000))+ROW()/100000,"")</f>
        <v/>
      </c>
    </row>
    <row r="2577">
      <c r="E2577" s="11" t="n"/>
      <c r="M2577" s="7">
        <f>IF($C2577="","",L2577*U2577/100)</f>
        <v/>
      </c>
      <c r="N2577" s="7" t="n"/>
      <c r="T2577" s="7" t="n"/>
      <c r="U2577" s="7">
        <f>IF($C2577="","",S2577*T2577)</f>
        <v/>
      </c>
      <c r="X2577">
        <f>IF($C2577="","",IF($AM2577=1,0,IF($AL2577=1,Settings!$C$6,Settings!$C$7))*100)</f>
        <v/>
      </c>
      <c r="AB2577" s="7" t="n"/>
      <c r="AE2577" s="11" t="n"/>
      <c r="AG2577" s="7">
        <f>IF($C2577="","",U2577*X2577/100)</f>
        <v/>
      </c>
      <c r="AH2577" s="7">
        <f>IF($C2577="","",U2577-AG2577)</f>
        <v/>
      </c>
      <c r="AI2577" s="7">
        <f>IF($C2577="","",AH2577-M2577)</f>
        <v/>
      </c>
      <c r="AJ2577">
        <f>IF($C2577="","",IF(COUNTIF($C$2:$C2577,$C2577)=1,1,0))</f>
        <v/>
      </c>
      <c r="AK2577">
        <f>IF($AJ2577=1,SUMPRODUCT(--($AN$2:$AN$4001&lt;$AN2577))+1,"")</f>
        <v/>
      </c>
      <c r="AL2577">
        <f>IF($C2577="","",IF(OR($Q2577=TRUE(),$Q2577="TRUE"),1,0))</f>
        <v/>
      </c>
      <c r="AM2577">
        <f>IF($C2577="","",IF($W2577="Yes",1,0))</f>
        <v/>
      </c>
      <c r="AN2577">
        <f>IF($AJ2577=1,IFERROR(IF(VALUE($C2577)&lt;100000000,VALUE($C2577),1000000000),IFERROR(IF(VALUE(MID($C2577,2,20))&lt;100000000,VALUE(MID($C2577,2,20)),1000000000),1000000000))+ROW()/100000,"")</f>
        <v/>
      </c>
    </row>
    <row r="2578">
      <c r="E2578" s="11" t="n"/>
      <c r="M2578" s="7">
        <f>IF($C2578="","",L2578*U2578/100)</f>
        <v/>
      </c>
      <c r="N2578" s="7" t="n"/>
      <c r="T2578" s="7" t="n"/>
      <c r="U2578" s="7">
        <f>IF($C2578="","",S2578*T2578)</f>
        <v/>
      </c>
      <c r="X2578">
        <f>IF($C2578="","",IF($AM2578=1,0,IF($AL2578=1,Settings!$C$6,Settings!$C$7))*100)</f>
        <v/>
      </c>
      <c r="AB2578" s="7" t="n"/>
      <c r="AE2578" s="11" t="n"/>
      <c r="AG2578" s="7">
        <f>IF($C2578="","",U2578*X2578/100)</f>
        <v/>
      </c>
      <c r="AH2578" s="7">
        <f>IF($C2578="","",U2578-AG2578)</f>
        <v/>
      </c>
      <c r="AI2578" s="7">
        <f>IF($C2578="","",AH2578-M2578)</f>
        <v/>
      </c>
      <c r="AJ2578">
        <f>IF($C2578="","",IF(COUNTIF($C$2:$C2578,$C2578)=1,1,0))</f>
        <v/>
      </c>
      <c r="AK2578">
        <f>IF($AJ2578=1,SUMPRODUCT(--($AN$2:$AN$4001&lt;$AN2578))+1,"")</f>
        <v/>
      </c>
      <c r="AL2578">
        <f>IF($C2578="","",IF(OR($Q2578=TRUE(),$Q2578="TRUE"),1,0))</f>
        <v/>
      </c>
      <c r="AM2578">
        <f>IF($C2578="","",IF($W2578="Yes",1,0))</f>
        <v/>
      </c>
      <c r="AN2578">
        <f>IF($AJ2578=1,IFERROR(IF(VALUE($C2578)&lt;100000000,VALUE($C2578),1000000000),IFERROR(IF(VALUE(MID($C2578,2,20))&lt;100000000,VALUE(MID($C2578,2,20)),1000000000),1000000000))+ROW()/100000,"")</f>
        <v/>
      </c>
    </row>
    <row r="2579">
      <c r="E2579" s="11" t="n"/>
      <c r="M2579" s="7">
        <f>IF($C2579="","",L2579*U2579/100)</f>
        <v/>
      </c>
      <c r="N2579" s="7" t="n"/>
      <c r="T2579" s="7" t="n"/>
      <c r="U2579" s="7">
        <f>IF($C2579="","",S2579*T2579)</f>
        <v/>
      </c>
      <c r="X2579">
        <f>IF($C2579="","",IF($AM2579=1,0,IF($AL2579=1,Settings!$C$6,Settings!$C$7))*100)</f>
        <v/>
      </c>
      <c r="AB2579" s="7" t="n"/>
      <c r="AE2579" s="11" t="n"/>
      <c r="AG2579" s="7">
        <f>IF($C2579="","",U2579*X2579/100)</f>
        <v/>
      </c>
      <c r="AH2579" s="7">
        <f>IF($C2579="","",U2579-AG2579)</f>
        <v/>
      </c>
      <c r="AI2579" s="7">
        <f>IF($C2579="","",AH2579-M2579)</f>
        <v/>
      </c>
      <c r="AJ2579">
        <f>IF($C2579="","",IF(COUNTIF($C$2:$C2579,$C2579)=1,1,0))</f>
        <v/>
      </c>
      <c r="AK2579">
        <f>IF($AJ2579=1,SUMPRODUCT(--($AN$2:$AN$4001&lt;$AN2579))+1,"")</f>
        <v/>
      </c>
      <c r="AL2579">
        <f>IF($C2579="","",IF(OR($Q2579=TRUE(),$Q2579="TRUE"),1,0))</f>
        <v/>
      </c>
      <c r="AM2579">
        <f>IF($C2579="","",IF($W2579="Yes",1,0))</f>
        <v/>
      </c>
      <c r="AN2579">
        <f>IF($AJ2579=1,IFERROR(IF(VALUE($C2579)&lt;100000000,VALUE($C2579),1000000000),IFERROR(IF(VALUE(MID($C2579,2,20))&lt;100000000,VALUE(MID($C2579,2,20)),1000000000),1000000000))+ROW()/100000,"")</f>
        <v/>
      </c>
    </row>
    <row r="2580">
      <c r="E2580" s="11" t="n"/>
      <c r="M2580" s="7">
        <f>IF($C2580="","",L2580*U2580/100)</f>
        <v/>
      </c>
      <c r="N2580" s="7" t="n"/>
      <c r="T2580" s="7" t="n"/>
      <c r="U2580" s="7">
        <f>IF($C2580="","",S2580*T2580)</f>
        <v/>
      </c>
      <c r="X2580">
        <f>IF($C2580="","",IF($AM2580=1,0,IF($AL2580=1,Settings!$C$6,Settings!$C$7))*100)</f>
        <v/>
      </c>
      <c r="AB2580" s="7" t="n"/>
      <c r="AE2580" s="11" t="n"/>
      <c r="AG2580" s="7">
        <f>IF($C2580="","",U2580*X2580/100)</f>
        <v/>
      </c>
      <c r="AH2580" s="7">
        <f>IF($C2580="","",U2580-AG2580)</f>
        <v/>
      </c>
      <c r="AI2580" s="7">
        <f>IF($C2580="","",AH2580-M2580)</f>
        <v/>
      </c>
      <c r="AJ2580">
        <f>IF($C2580="","",IF(COUNTIF($C$2:$C2580,$C2580)=1,1,0))</f>
        <v/>
      </c>
      <c r="AK2580">
        <f>IF($AJ2580=1,SUMPRODUCT(--($AN$2:$AN$4001&lt;$AN2580))+1,"")</f>
        <v/>
      </c>
      <c r="AL2580">
        <f>IF($C2580="","",IF(OR($Q2580=TRUE(),$Q2580="TRUE"),1,0))</f>
        <v/>
      </c>
      <c r="AM2580">
        <f>IF($C2580="","",IF($W2580="Yes",1,0))</f>
        <v/>
      </c>
      <c r="AN2580">
        <f>IF($AJ2580=1,IFERROR(IF(VALUE($C2580)&lt;100000000,VALUE($C2580),1000000000),IFERROR(IF(VALUE(MID($C2580,2,20))&lt;100000000,VALUE(MID($C2580,2,20)),1000000000),1000000000))+ROW()/100000,"")</f>
        <v/>
      </c>
    </row>
    <row r="2581">
      <c r="E2581" s="11" t="n"/>
      <c r="M2581" s="7">
        <f>IF($C2581="","",L2581*U2581/100)</f>
        <v/>
      </c>
      <c r="N2581" s="7" t="n"/>
      <c r="T2581" s="7" t="n"/>
      <c r="U2581" s="7">
        <f>IF($C2581="","",S2581*T2581)</f>
        <v/>
      </c>
      <c r="X2581">
        <f>IF($C2581="","",IF($AM2581=1,0,IF($AL2581=1,Settings!$C$6,Settings!$C$7))*100)</f>
        <v/>
      </c>
      <c r="AB2581" s="7" t="n"/>
      <c r="AE2581" s="11" t="n"/>
      <c r="AG2581" s="7">
        <f>IF($C2581="","",U2581*X2581/100)</f>
        <v/>
      </c>
      <c r="AH2581" s="7">
        <f>IF($C2581="","",U2581-AG2581)</f>
        <v/>
      </c>
      <c r="AI2581" s="7">
        <f>IF($C2581="","",AH2581-M2581)</f>
        <v/>
      </c>
      <c r="AJ2581">
        <f>IF($C2581="","",IF(COUNTIF($C$2:$C2581,$C2581)=1,1,0))</f>
        <v/>
      </c>
      <c r="AK2581">
        <f>IF($AJ2581=1,SUMPRODUCT(--($AN$2:$AN$4001&lt;$AN2581))+1,"")</f>
        <v/>
      </c>
      <c r="AL2581">
        <f>IF($C2581="","",IF(OR($Q2581=TRUE(),$Q2581="TRUE"),1,0))</f>
        <v/>
      </c>
      <c r="AM2581">
        <f>IF($C2581="","",IF($W2581="Yes",1,0))</f>
        <v/>
      </c>
      <c r="AN2581">
        <f>IF($AJ2581=1,IFERROR(IF(VALUE($C2581)&lt;100000000,VALUE($C2581),1000000000),IFERROR(IF(VALUE(MID($C2581,2,20))&lt;100000000,VALUE(MID($C2581,2,20)),1000000000),1000000000))+ROW()/100000,"")</f>
        <v/>
      </c>
    </row>
    <row r="2582">
      <c r="E2582" s="11" t="n"/>
      <c r="M2582" s="7">
        <f>IF($C2582="","",L2582*U2582/100)</f>
        <v/>
      </c>
      <c r="N2582" s="7" t="n"/>
      <c r="T2582" s="7" t="n"/>
      <c r="U2582" s="7">
        <f>IF($C2582="","",S2582*T2582)</f>
        <v/>
      </c>
      <c r="X2582">
        <f>IF($C2582="","",IF($AM2582=1,0,IF($AL2582=1,Settings!$C$6,Settings!$C$7))*100)</f>
        <v/>
      </c>
      <c r="AB2582" s="7" t="n"/>
      <c r="AE2582" s="11" t="n"/>
      <c r="AG2582" s="7">
        <f>IF($C2582="","",U2582*X2582/100)</f>
        <v/>
      </c>
      <c r="AH2582" s="7">
        <f>IF($C2582="","",U2582-AG2582)</f>
        <v/>
      </c>
      <c r="AI2582" s="7">
        <f>IF($C2582="","",AH2582-M2582)</f>
        <v/>
      </c>
      <c r="AJ2582">
        <f>IF($C2582="","",IF(COUNTIF($C$2:$C2582,$C2582)=1,1,0))</f>
        <v/>
      </c>
      <c r="AK2582">
        <f>IF($AJ2582=1,SUMPRODUCT(--($AN$2:$AN$4001&lt;$AN2582))+1,"")</f>
        <v/>
      </c>
      <c r="AL2582">
        <f>IF($C2582="","",IF(OR($Q2582=TRUE(),$Q2582="TRUE"),1,0))</f>
        <v/>
      </c>
      <c r="AM2582">
        <f>IF($C2582="","",IF($W2582="Yes",1,0))</f>
        <v/>
      </c>
      <c r="AN2582">
        <f>IF($AJ2582=1,IFERROR(IF(VALUE($C2582)&lt;100000000,VALUE($C2582),1000000000),IFERROR(IF(VALUE(MID($C2582,2,20))&lt;100000000,VALUE(MID($C2582,2,20)),1000000000),1000000000))+ROW()/100000,"")</f>
        <v/>
      </c>
    </row>
    <row r="2583">
      <c r="E2583" s="11" t="n"/>
      <c r="M2583" s="7">
        <f>IF($C2583="","",L2583*U2583/100)</f>
        <v/>
      </c>
      <c r="N2583" s="7" t="n"/>
      <c r="T2583" s="7" t="n"/>
      <c r="U2583" s="7">
        <f>IF($C2583="","",S2583*T2583)</f>
        <v/>
      </c>
      <c r="X2583">
        <f>IF($C2583="","",IF($AM2583=1,0,IF($AL2583=1,Settings!$C$6,Settings!$C$7))*100)</f>
        <v/>
      </c>
      <c r="AB2583" s="7" t="n"/>
      <c r="AE2583" s="11" t="n"/>
      <c r="AG2583" s="7">
        <f>IF($C2583="","",U2583*X2583/100)</f>
        <v/>
      </c>
      <c r="AH2583" s="7">
        <f>IF($C2583="","",U2583-AG2583)</f>
        <v/>
      </c>
      <c r="AI2583" s="7">
        <f>IF($C2583="","",AH2583-M2583)</f>
        <v/>
      </c>
      <c r="AJ2583">
        <f>IF($C2583="","",IF(COUNTIF($C$2:$C2583,$C2583)=1,1,0))</f>
        <v/>
      </c>
      <c r="AK2583">
        <f>IF($AJ2583=1,SUMPRODUCT(--($AN$2:$AN$4001&lt;$AN2583))+1,"")</f>
        <v/>
      </c>
      <c r="AL2583">
        <f>IF($C2583="","",IF(OR($Q2583=TRUE(),$Q2583="TRUE"),1,0))</f>
        <v/>
      </c>
      <c r="AM2583">
        <f>IF($C2583="","",IF($W2583="Yes",1,0))</f>
        <v/>
      </c>
      <c r="AN2583">
        <f>IF($AJ2583=1,IFERROR(IF(VALUE($C2583)&lt;100000000,VALUE($C2583),1000000000),IFERROR(IF(VALUE(MID($C2583,2,20))&lt;100000000,VALUE(MID($C2583,2,20)),1000000000),1000000000))+ROW()/100000,"")</f>
        <v/>
      </c>
    </row>
    <row r="2584">
      <c r="E2584" s="11" t="n"/>
      <c r="M2584" s="7">
        <f>IF($C2584="","",L2584*U2584/100)</f>
        <v/>
      </c>
      <c r="N2584" s="7" t="n"/>
      <c r="T2584" s="7" t="n"/>
      <c r="U2584" s="7">
        <f>IF($C2584="","",S2584*T2584)</f>
        <v/>
      </c>
      <c r="X2584">
        <f>IF($C2584="","",IF($AM2584=1,0,IF($AL2584=1,Settings!$C$6,Settings!$C$7))*100)</f>
        <v/>
      </c>
      <c r="AB2584" s="7" t="n"/>
      <c r="AE2584" s="11" t="n"/>
      <c r="AG2584" s="7">
        <f>IF($C2584="","",U2584*X2584/100)</f>
        <v/>
      </c>
      <c r="AH2584" s="7">
        <f>IF($C2584="","",U2584-AG2584)</f>
        <v/>
      </c>
      <c r="AI2584" s="7">
        <f>IF($C2584="","",AH2584-M2584)</f>
        <v/>
      </c>
      <c r="AJ2584">
        <f>IF($C2584="","",IF(COUNTIF($C$2:$C2584,$C2584)=1,1,0))</f>
        <v/>
      </c>
      <c r="AK2584">
        <f>IF($AJ2584=1,SUMPRODUCT(--($AN$2:$AN$4001&lt;$AN2584))+1,"")</f>
        <v/>
      </c>
      <c r="AL2584">
        <f>IF($C2584="","",IF(OR($Q2584=TRUE(),$Q2584="TRUE"),1,0))</f>
        <v/>
      </c>
      <c r="AM2584">
        <f>IF($C2584="","",IF($W2584="Yes",1,0))</f>
        <v/>
      </c>
      <c r="AN2584">
        <f>IF($AJ2584=1,IFERROR(IF(VALUE($C2584)&lt;100000000,VALUE($C2584),1000000000),IFERROR(IF(VALUE(MID($C2584,2,20))&lt;100000000,VALUE(MID($C2584,2,20)),1000000000),1000000000))+ROW()/100000,"")</f>
        <v/>
      </c>
    </row>
    <row r="2585">
      <c r="E2585" s="11" t="n"/>
      <c r="M2585" s="7">
        <f>IF($C2585="","",L2585*U2585/100)</f>
        <v/>
      </c>
      <c r="N2585" s="7" t="n"/>
      <c r="T2585" s="7" t="n"/>
      <c r="U2585" s="7">
        <f>IF($C2585="","",S2585*T2585)</f>
        <v/>
      </c>
      <c r="X2585">
        <f>IF($C2585="","",IF($AM2585=1,0,IF($AL2585=1,Settings!$C$6,Settings!$C$7))*100)</f>
        <v/>
      </c>
      <c r="AB2585" s="7" t="n"/>
      <c r="AE2585" s="11" t="n"/>
      <c r="AG2585" s="7">
        <f>IF($C2585="","",U2585*X2585/100)</f>
        <v/>
      </c>
      <c r="AH2585" s="7">
        <f>IF($C2585="","",U2585-AG2585)</f>
        <v/>
      </c>
      <c r="AI2585" s="7">
        <f>IF($C2585="","",AH2585-M2585)</f>
        <v/>
      </c>
      <c r="AJ2585">
        <f>IF($C2585="","",IF(COUNTIF($C$2:$C2585,$C2585)=1,1,0))</f>
        <v/>
      </c>
      <c r="AK2585">
        <f>IF($AJ2585=1,SUMPRODUCT(--($AN$2:$AN$4001&lt;$AN2585))+1,"")</f>
        <v/>
      </c>
      <c r="AL2585">
        <f>IF($C2585="","",IF(OR($Q2585=TRUE(),$Q2585="TRUE"),1,0))</f>
        <v/>
      </c>
      <c r="AM2585">
        <f>IF($C2585="","",IF($W2585="Yes",1,0))</f>
        <v/>
      </c>
      <c r="AN2585">
        <f>IF($AJ2585=1,IFERROR(IF(VALUE($C2585)&lt;100000000,VALUE($C2585),1000000000),IFERROR(IF(VALUE(MID($C2585,2,20))&lt;100000000,VALUE(MID($C2585,2,20)),1000000000),1000000000))+ROW()/100000,"")</f>
        <v/>
      </c>
    </row>
    <row r="2586">
      <c r="E2586" s="11" t="n"/>
      <c r="M2586" s="7">
        <f>IF($C2586="","",L2586*U2586/100)</f>
        <v/>
      </c>
      <c r="N2586" s="7" t="n"/>
      <c r="T2586" s="7" t="n"/>
      <c r="U2586" s="7">
        <f>IF($C2586="","",S2586*T2586)</f>
        <v/>
      </c>
      <c r="X2586">
        <f>IF($C2586="","",IF($AM2586=1,0,IF($AL2586=1,Settings!$C$6,Settings!$C$7))*100)</f>
        <v/>
      </c>
      <c r="AB2586" s="7" t="n"/>
      <c r="AE2586" s="11" t="n"/>
      <c r="AG2586" s="7">
        <f>IF($C2586="","",U2586*X2586/100)</f>
        <v/>
      </c>
      <c r="AH2586" s="7">
        <f>IF($C2586="","",U2586-AG2586)</f>
        <v/>
      </c>
      <c r="AI2586" s="7">
        <f>IF($C2586="","",AH2586-M2586)</f>
        <v/>
      </c>
      <c r="AJ2586">
        <f>IF($C2586="","",IF(COUNTIF($C$2:$C2586,$C2586)=1,1,0))</f>
        <v/>
      </c>
      <c r="AK2586">
        <f>IF($AJ2586=1,SUMPRODUCT(--($AN$2:$AN$4001&lt;$AN2586))+1,"")</f>
        <v/>
      </c>
      <c r="AL2586">
        <f>IF($C2586="","",IF(OR($Q2586=TRUE(),$Q2586="TRUE"),1,0))</f>
        <v/>
      </c>
      <c r="AM2586">
        <f>IF($C2586="","",IF($W2586="Yes",1,0))</f>
        <v/>
      </c>
      <c r="AN2586">
        <f>IF($AJ2586=1,IFERROR(IF(VALUE($C2586)&lt;100000000,VALUE($C2586),1000000000),IFERROR(IF(VALUE(MID($C2586,2,20))&lt;100000000,VALUE(MID($C2586,2,20)),1000000000),1000000000))+ROW()/100000,"")</f>
        <v/>
      </c>
    </row>
    <row r="2587">
      <c r="E2587" s="11" t="n"/>
      <c r="M2587" s="7">
        <f>IF($C2587="","",L2587*U2587/100)</f>
        <v/>
      </c>
      <c r="N2587" s="7" t="n"/>
      <c r="T2587" s="7" t="n"/>
      <c r="U2587" s="7">
        <f>IF($C2587="","",S2587*T2587)</f>
        <v/>
      </c>
      <c r="X2587">
        <f>IF($C2587="","",IF($AM2587=1,0,IF($AL2587=1,Settings!$C$6,Settings!$C$7))*100)</f>
        <v/>
      </c>
      <c r="AB2587" s="7" t="n"/>
      <c r="AE2587" s="11" t="n"/>
      <c r="AG2587" s="7">
        <f>IF($C2587="","",U2587*X2587/100)</f>
        <v/>
      </c>
      <c r="AH2587" s="7">
        <f>IF($C2587="","",U2587-AG2587)</f>
        <v/>
      </c>
      <c r="AI2587" s="7">
        <f>IF($C2587="","",AH2587-M2587)</f>
        <v/>
      </c>
      <c r="AJ2587">
        <f>IF($C2587="","",IF(COUNTIF($C$2:$C2587,$C2587)=1,1,0))</f>
        <v/>
      </c>
      <c r="AK2587">
        <f>IF($AJ2587=1,SUMPRODUCT(--($AN$2:$AN$4001&lt;$AN2587))+1,"")</f>
        <v/>
      </c>
      <c r="AL2587">
        <f>IF($C2587="","",IF(OR($Q2587=TRUE(),$Q2587="TRUE"),1,0))</f>
        <v/>
      </c>
      <c r="AM2587">
        <f>IF($C2587="","",IF($W2587="Yes",1,0))</f>
        <v/>
      </c>
      <c r="AN2587">
        <f>IF($AJ2587=1,IFERROR(IF(VALUE($C2587)&lt;100000000,VALUE($C2587),1000000000),IFERROR(IF(VALUE(MID($C2587,2,20))&lt;100000000,VALUE(MID($C2587,2,20)),1000000000),1000000000))+ROW()/100000,"")</f>
        <v/>
      </c>
    </row>
    <row r="2588">
      <c r="E2588" s="11" t="n"/>
      <c r="M2588" s="7">
        <f>IF($C2588="","",L2588*U2588/100)</f>
        <v/>
      </c>
      <c r="N2588" s="7" t="n"/>
      <c r="T2588" s="7" t="n"/>
      <c r="U2588" s="7">
        <f>IF($C2588="","",S2588*T2588)</f>
        <v/>
      </c>
      <c r="X2588">
        <f>IF($C2588="","",IF($AM2588=1,0,IF($AL2588=1,Settings!$C$6,Settings!$C$7))*100)</f>
        <v/>
      </c>
      <c r="AB2588" s="7" t="n"/>
      <c r="AE2588" s="11" t="n"/>
      <c r="AG2588" s="7">
        <f>IF($C2588="","",U2588*X2588/100)</f>
        <v/>
      </c>
      <c r="AH2588" s="7">
        <f>IF($C2588="","",U2588-AG2588)</f>
        <v/>
      </c>
      <c r="AI2588" s="7">
        <f>IF($C2588="","",AH2588-M2588)</f>
        <v/>
      </c>
      <c r="AJ2588">
        <f>IF($C2588="","",IF(COUNTIF($C$2:$C2588,$C2588)=1,1,0))</f>
        <v/>
      </c>
      <c r="AK2588">
        <f>IF($AJ2588=1,SUMPRODUCT(--($AN$2:$AN$4001&lt;$AN2588))+1,"")</f>
        <v/>
      </c>
      <c r="AL2588">
        <f>IF($C2588="","",IF(OR($Q2588=TRUE(),$Q2588="TRUE"),1,0))</f>
        <v/>
      </c>
      <c r="AM2588">
        <f>IF($C2588="","",IF($W2588="Yes",1,0))</f>
        <v/>
      </c>
      <c r="AN2588">
        <f>IF($AJ2588=1,IFERROR(IF(VALUE($C2588)&lt;100000000,VALUE($C2588),1000000000),IFERROR(IF(VALUE(MID($C2588,2,20))&lt;100000000,VALUE(MID($C2588,2,20)),1000000000),1000000000))+ROW()/100000,"")</f>
        <v/>
      </c>
    </row>
    <row r="2589">
      <c r="E2589" s="11" t="n"/>
      <c r="M2589" s="7">
        <f>IF($C2589="","",L2589*U2589/100)</f>
        <v/>
      </c>
      <c r="N2589" s="7" t="n"/>
      <c r="T2589" s="7" t="n"/>
      <c r="U2589" s="7">
        <f>IF($C2589="","",S2589*T2589)</f>
        <v/>
      </c>
      <c r="X2589">
        <f>IF($C2589="","",IF($AM2589=1,0,IF($AL2589=1,Settings!$C$6,Settings!$C$7))*100)</f>
        <v/>
      </c>
      <c r="AB2589" s="7" t="n"/>
      <c r="AE2589" s="11" t="n"/>
      <c r="AG2589" s="7">
        <f>IF($C2589="","",U2589*X2589/100)</f>
        <v/>
      </c>
      <c r="AH2589" s="7">
        <f>IF($C2589="","",U2589-AG2589)</f>
        <v/>
      </c>
      <c r="AI2589" s="7">
        <f>IF($C2589="","",AH2589-M2589)</f>
        <v/>
      </c>
      <c r="AJ2589">
        <f>IF($C2589="","",IF(COUNTIF($C$2:$C2589,$C2589)=1,1,0))</f>
        <v/>
      </c>
      <c r="AK2589">
        <f>IF($AJ2589=1,SUMPRODUCT(--($AN$2:$AN$4001&lt;$AN2589))+1,"")</f>
        <v/>
      </c>
      <c r="AL2589">
        <f>IF($C2589="","",IF(OR($Q2589=TRUE(),$Q2589="TRUE"),1,0))</f>
        <v/>
      </c>
      <c r="AM2589">
        <f>IF($C2589="","",IF($W2589="Yes",1,0))</f>
        <v/>
      </c>
      <c r="AN2589">
        <f>IF($AJ2589=1,IFERROR(IF(VALUE($C2589)&lt;100000000,VALUE($C2589),1000000000),IFERROR(IF(VALUE(MID($C2589,2,20))&lt;100000000,VALUE(MID($C2589,2,20)),1000000000),1000000000))+ROW()/100000,"")</f>
        <v/>
      </c>
    </row>
    <row r="2590">
      <c r="E2590" s="11" t="n"/>
      <c r="M2590" s="7">
        <f>IF($C2590="","",L2590*U2590/100)</f>
        <v/>
      </c>
      <c r="N2590" s="7" t="n"/>
      <c r="T2590" s="7" t="n"/>
      <c r="U2590" s="7">
        <f>IF($C2590="","",S2590*T2590)</f>
        <v/>
      </c>
      <c r="X2590">
        <f>IF($C2590="","",IF($AM2590=1,0,IF($AL2590=1,Settings!$C$6,Settings!$C$7))*100)</f>
        <v/>
      </c>
      <c r="AB2590" s="7" t="n"/>
      <c r="AE2590" s="11" t="n"/>
      <c r="AG2590" s="7">
        <f>IF($C2590="","",U2590*X2590/100)</f>
        <v/>
      </c>
      <c r="AH2590" s="7">
        <f>IF($C2590="","",U2590-AG2590)</f>
        <v/>
      </c>
      <c r="AI2590" s="7">
        <f>IF($C2590="","",AH2590-M2590)</f>
        <v/>
      </c>
      <c r="AJ2590">
        <f>IF($C2590="","",IF(COUNTIF($C$2:$C2590,$C2590)=1,1,0))</f>
        <v/>
      </c>
      <c r="AK2590">
        <f>IF($AJ2590=1,SUMPRODUCT(--($AN$2:$AN$4001&lt;$AN2590))+1,"")</f>
        <v/>
      </c>
      <c r="AL2590">
        <f>IF($C2590="","",IF(OR($Q2590=TRUE(),$Q2590="TRUE"),1,0))</f>
        <v/>
      </c>
      <c r="AM2590">
        <f>IF($C2590="","",IF($W2590="Yes",1,0))</f>
        <v/>
      </c>
      <c r="AN2590">
        <f>IF($AJ2590=1,IFERROR(IF(VALUE($C2590)&lt;100000000,VALUE($C2590),1000000000),IFERROR(IF(VALUE(MID($C2590,2,20))&lt;100000000,VALUE(MID($C2590,2,20)),1000000000),1000000000))+ROW()/100000,"")</f>
        <v/>
      </c>
    </row>
    <row r="2591">
      <c r="E2591" s="11" t="n"/>
      <c r="M2591" s="7">
        <f>IF($C2591="","",L2591*U2591/100)</f>
        <v/>
      </c>
      <c r="N2591" s="7" t="n"/>
      <c r="T2591" s="7" t="n"/>
      <c r="U2591" s="7">
        <f>IF($C2591="","",S2591*T2591)</f>
        <v/>
      </c>
      <c r="X2591">
        <f>IF($C2591="","",IF($AM2591=1,0,IF($AL2591=1,Settings!$C$6,Settings!$C$7))*100)</f>
        <v/>
      </c>
      <c r="AB2591" s="7" t="n"/>
      <c r="AE2591" s="11" t="n"/>
      <c r="AG2591" s="7">
        <f>IF($C2591="","",U2591*X2591/100)</f>
        <v/>
      </c>
      <c r="AH2591" s="7">
        <f>IF($C2591="","",U2591-AG2591)</f>
        <v/>
      </c>
      <c r="AI2591" s="7">
        <f>IF($C2591="","",AH2591-M2591)</f>
        <v/>
      </c>
      <c r="AJ2591">
        <f>IF($C2591="","",IF(COUNTIF($C$2:$C2591,$C2591)=1,1,0))</f>
        <v/>
      </c>
      <c r="AK2591">
        <f>IF($AJ2591=1,SUMPRODUCT(--($AN$2:$AN$4001&lt;$AN2591))+1,"")</f>
        <v/>
      </c>
      <c r="AL2591">
        <f>IF($C2591="","",IF(OR($Q2591=TRUE(),$Q2591="TRUE"),1,0))</f>
        <v/>
      </c>
      <c r="AM2591">
        <f>IF($C2591="","",IF($W2591="Yes",1,0))</f>
        <v/>
      </c>
      <c r="AN2591">
        <f>IF($AJ2591=1,IFERROR(IF(VALUE($C2591)&lt;100000000,VALUE($C2591),1000000000),IFERROR(IF(VALUE(MID($C2591,2,20))&lt;100000000,VALUE(MID($C2591,2,20)),1000000000),1000000000))+ROW()/100000,"")</f>
        <v/>
      </c>
    </row>
    <row r="2592">
      <c r="E2592" s="11" t="n"/>
      <c r="M2592" s="7">
        <f>IF($C2592="","",L2592*U2592/100)</f>
        <v/>
      </c>
      <c r="N2592" s="7" t="n"/>
      <c r="T2592" s="7" t="n"/>
      <c r="U2592" s="7">
        <f>IF($C2592="","",S2592*T2592)</f>
        <v/>
      </c>
      <c r="X2592">
        <f>IF($C2592="","",IF($AM2592=1,0,IF($AL2592=1,Settings!$C$6,Settings!$C$7))*100)</f>
        <v/>
      </c>
      <c r="AB2592" s="7" t="n"/>
      <c r="AE2592" s="11" t="n"/>
      <c r="AG2592" s="7">
        <f>IF($C2592="","",U2592*X2592/100)</f>
        <v/>
      </c>
      <c r="AH2592" s="7">
        <f>IF($C2592="","",U2592-AG2592)</f>
        <v/>
      </c>
      <c r="AI2592" s="7">
        <f>IF($C2592="","",AH2592-M2592)</f>
        <v/>
      </c>
      <c r="AJ2592">
        <f>IF($C2592="","",IF(COUNTIF($C$2:$C2592,$C2592)=1,1,0))</f>
        <v/>
      </c>
      <c r="AK2592">
        <f>IF($AJ2592=1,SUMPRODUCT(--($AN$2:$AN$4001&lt;$AN2592))+1,"")</f>
        <v/>
      </c>
      <c r="AL2592">
        <f>IF($C2592="","",IF(OR($Q2592=TRUE(),$Q2592="TRUE"),1,0))</f>
        <v/>
      </c>
      <c r="AM2592">
        <f>IF($C2592="","",IF($W2592="Yes",1,0))</f>
        <v/>
      </c>
      <c r="AN2592">
        <f>IF($AJ2592=1,IFERROR(IF(VALUE($C2592)&lt;100000000,VALUE($C2592),1000000000),IFERROR(IF(VALUE(MID($C2592,2,20))&lt;100000000,VALUE(MID($C2592,2,20)),1000000000),1000000000))+ROW()/100000,"")</f>
        <v/>
      </c>
    </row>
    <row r="2593">
      <c r="E2593" s="11" t="n"/>
      <c r="M2593" s="7">
        <f>IF($C2593="","",L2593*U2593/100)</f>
        <v/>
      </c>
      <c r="N2593" s="7" t="n"/>
      <c r="T2593" s="7" t="n"/>
      <c r="U2593" s="7">
        <f>IF($C2593="","",S2593*T2593)</f>
        <v/>
      </c>
      <c r="X2593">
        <f>IF($C2593="","",IF($AM2593=1,0,IF($AL2593=1,Settings!$C$6,Settings!$C$7))*100)</f>
        <v/>
      </c>
      <c r="AB2593" s="7" t="n"/>
      <c r="AE2593" s="11" t="n"/>
      <c r="AG2593" s="7">
        <f>IF($C2593="","",U2593*X2593/100)</f>
        <v/>
      </c>
      <c r="AH2593" s="7">
        <f>IF($C2593="","",U2593-AG2593)</f>
        <v/>
      </c>
      <c r="AI2593" s="7">
        <f>IF($C2593="","",AH2593-M2593)</f>
        <v/>
      </c>
      <c r="AJ2593">
        <f>IF($C2593="","",IF(COUNTIF($C$2:$C2593,$C2593)=1,1,0))</f>
        <v/>
      </c>
      <c r="AK2593">
        <f>IF($AJ2593=1,SUMPRODUCT(--($AN$2:$AN$4001&lt;$AN2593))+1,"")</f>
        <v/>
      </c>
      <c r="AL2593">
        <f>IF($C2593="","",IF(OR($Q2593=TRUE(),$Q2593="TRUE"),1,0))</f>
        <v/>
      </c>
      <c r="AM2593">
        <f>IF($C2593="","",IF($W2593="Yes",1,0))</f>
        <v/>
      </c>
      <c r="AN2593">
        <f>IF($AJ2593=1,IFERROR(IF(VALUE($C2593)&lt;100000000,VALUE($C2593),1000000000),IFERROR(IF(VALUE(MID($C2593,2,20))&lt;100000000,VALUE(MID($C2593,2,20)),1000000000),1000000000))+ROW()/100000,"")</f>
        <v/>
      </c>
    </row>
    <row r="2594">
      <c r="E2594" s="11" t="n"/>
      <c r="M2594" s="7">
        <f>IF($C2594="","",L2594*U2594/100)</f>
        <v/>
      </c>
      <c r="N2594" s="7" t="n"/>
      <c r="T2594" s="7" t="n"/>
      <c r="U2594" s="7">
        <f>IF($C2594="","",S2594*T2594)</f>
        <v/>
      </c>
      <c r="X2594">
        <f>IF($C2594="","",IF($AM2594=1,0,IF($AL2594=1,Settings!$C$6,Settings!$C$7))*100)</f>
        <v/>
      </c>
      <c r="AB2594" s="7" t="n"/>
      <c r="AE2594" s="11" t="n"/>
      <c r="AG2594" s="7">
        <f>IF($C2594="","",U2594*X2594/100)</f>
        <v/>
      </c>
      <c r="AH2594" s="7">
        <f>IF($C2594="","",U2594-AG2594)</f>
        <v/>
      </c>
      <c r="AI2594" s="7">
        <f>IF($C2594="","",AH2594-M2594)</f>
        <v/>
      </c>
      <c r="AJ2594">
        <f>IF($C2594="","",IF(COUNTIF($C$2:$C2594,$C2594)=1,1,0))</f>
        <v/>
      </c>
      <c r="AK2594">
        <f>IF($AJ2594=1,SUMPRODUCT(--($AN$2:$AN$4001&lt;$AN2594))+1,"")</f>
        <v/>
      </c>
      <c r="AL2594">
        <f>IF($C2594="","",IF(OR($Q2594=TRUE(),$Q2594="TRUE"),1,0))</f>
        <v/>
      </c>
      <c r="AM2594">
        <f>IF($C2594="","",IF($W2594="Yes",1,0))</f>
        <v/>
      </c>
      <c r="AN2594">
        <f>IF($AJ2594=1,IFERROR(IF(VALUE($C2594)&lt;100000000,VALUE($C2594),1000000000),IFERROR(IF(VALUE(MID($C2594,2,20))&lt;100000000,VALUE(MID($C2594,2,20)),1000000000),1000000000))+ROW()/100000,"")</f>
        <v/>
      </c>
    </row>
    <row r="2595">
      <c r="E2595" s="11" t="n"/>
      <c r="M2595" s="7">
        <f>IF($C2595="","",L2595*U2595/100)</f>
        <v/>
      </c>
      <c r="N2595" s="7" t="n"/>
      <c r="T2595" s="7" t="n"/>
      <c r="U2595" s="7">
        <f>IF($C2595="","",S2595*T2595)</f>
        <v/>
      </c>
      <c r="X2595">
        <f>IF($C2595="","",IF($AM2595=1,0,IF($AL2595=1,Settings!$C$6,Settings!$C$7))*100)</f>
        <v/>
      </c>
      <c r="AB2595" s="7" t="n"/>
      <c r="AE2595" s="11" t="n"/>
      <c r="AG2595" s="7">
        <f>IF($C2595="","",U2595*X2595/100)</f>
        <v/>
      </c>
      <c r="AH2595" s="7">
        <f>IF($C2595="","",U2595-AG2595)</f>
        <v/>
      </c>
      <c r="AI2595" s="7">
        <f>IF($C2595="","",AH2595-M2595)</f>
        <v/>
      </c>
      <c r="AJ2595">
        <f>IF($C2595="","",IF(COUNTIF($C$2:$C2595,$C2595)=1,1,0))</f>
        <v/>
      </c>
      <c r="AK2595">
        <f>IF($AJ2595=1,SUMPRODUCT(--($AN$2:$AN$4001&lt;$AN2595))+1,"")</f>
        <v/>
      </c>
      <c r="AL2595">
        <f>IF($C2595="","",IF(OR($Q2595=TRUE(),$Q2595="TRUE"),1,0))</f>
        <v/>
      </c>
      <c r="AM2595">
        <f>IF($C2595="","",IF($W2595="Yes",1,0))</f>
        <v/>
      </c>
      <c r="AN2595">
        <f>IF($AJ2595=1,IFERROR(IF(VALUE($C2595)&lt;100000000,VALUE($C2595),1000000000),IFERROR(IF(VALUE(MID($C2595,2,20))&lt;100000000,VALUE(MID($C2595,2,20)),1000000000),1000000000))+ROW()/100000,"")</f>
        <v/>
      </c>
    </row>
    <row r="2596">
      <c r="E2596" s="11" t="n"/>
      <c r="M2596" s="7">
        <f>IF($C2596="","",L2596*U2596/100)</f>
        <v/>
      </c>
      <c r="N2596" s="7" t="n"/>
      <c r="T2596" s="7" t="n"/>
      <c r="U2596" s="7">
        <f>IF($C2596="","",S2596*T2596)</f>
        <v/>
      </c>
      <c r="X2596">
        <f>IF($C2596="","",IF($AM2596=1,0,IF($AL2596=1,Settings!$C$6,Settings!$C$7))*100)</f>
        <v/>
      </c>
      <c r="AB2596" s="7" t="n"/>
      <c r="AE2596" s="11" t="n"/>
      <c r="AG2596" s="7">
        <f>IF($C2596="","",U2596*X2596/100)</f>
        <v/>
      </c>
      <c r="AH2596" s="7">
        <f>IF($C2596="","",U2596-AG2596)</f>
        <v/>
      </c>
      <c r="AI2596" s="7">
        <f>IF($C2596="","",AH2596-M2596)</f>
        <v/>
      </c>
      <c r="AJ2596">
        <f>IF($C2596="","",IF(COUNTIF($C$2:$C2596,$C2596)=1,1,0))</f>
        <v/>
      </c>
      <c r="AK2596">
        <f>IF($AJ2596=1,SUMPRODUCT(--($AN$2:$AN$4001&lt;$AN2596))+1,"")</f>
        <v/>
      </c>
      <c r="AL2596">
        <f>IF($C2596="","",IF(OR($Q2596=TRUE(),$Q2596="TRUE"),1,0))</f>
        <v/>
      </c>
      <c r="AM2596">
        <f>IF($C2596="","",IF($W2596="Yes",1,0))</f>
        <v/>
      </c>
      <c r="AN2596">
        <f>IF($AJ2596=1,IFERROR(IF(VALUE($C2596)&lt;100000000,VALUE($C2596),1000000000),IFERROR(IF(VALUE(MID($C2596,2,20))&lt;100000000,VALUE(MID($C2596,2,20)),1000000000),1000000000))+ROW()/100000,"")</f>
        <v/>
      </c>
    </row>
    <row r="2597">
      <c r="E2597" s="11" t="n"/>
      <c r="M2597" s="7">
        <f>IF($C2597="","",L2597*U2597/100)</f>
        <v/>
      </c>
      <c r="N2597" s="7" t="n"/>
      <c r="T2597" s="7" t="n"/>
      <c r="U2597" s="7">
        <f>IF($C2597="","",S2597*T2597)</f>
        <v/>
      </c>
      <c r="X2597">
        <f>IF($C2597="","",IF($AM2597=1,0,IF($AL2597=1,Settings!$C$6,Settings!$C$7))*100)</f>
        <v/>
      </c>
      <c r="AB2597" s="7" t="n"/>
      <c r="AE2597" s="11" t="n"/>
      <c r="AG2597" s="7">
        <f>IF($C2597="","",U2597*X2597/100)</f>
        <v/>
      </c>
      <c r="AH2597" s="7">
        <f>IF($C2597="","",U2597-AG2597)</f>
        <v/>
      </c>
      <c r="AI2597" s="7">
        <f>IF($C2597="","",AH2597-M2597)</f>
        <v/>
      </c>
      <c r="AJ2597">
        <f>IF($C2597="","",IF(COUNTIF($C$2:$C2597,$C2597)=1,1,0))</f>
        <v/>
      </c>
      <c r="AK2597">
        <f>IF($AJ2597=1,SUMPRODUCT(--($AN$2:$AN$4001&lt;$AN2597))+1,"")</f>
        <v/>
      </c>
      <c r="AL2597">
        <f>IF($C2597="","",IF(OR($Q2597=TRUE(),$Q2597="TRUE"),1,0))</f>
        <v/>
      </c>
      <c r="AM2597">
        <f>IF($C2597="","",IF($W2597="Yes",1,0))</f>
        <v/>
      </c>
      <c r="AN2597">
        <f>IF($AJ2597=1,IFERROR(IF(VALUE($C2597)&lt;100000000,VALUE($C2597),1000000000),IFERROR(IF(VALUE(MID($C2597,2,20))&lt;100000000,VALUE(MID($C2597,2,20)),1000000000),1000000000))+ROW()/100000,"")</f>
        <v/>
      </c>
    </row>
    <row r="2598">
      <c r="E2598" s="11" t="n"/>
      <c r="M2598" s="7">
        <f>IF($C2598="","",L2598*U2598/100)</f>
        <v/>
      </c>
      <c r="N2598" s="7" t="n"/>
      <c r="T2598" s="7" t="n"/>
      <c r="U2598" s="7">
        <f>IF($C2598="","",S2598*T2598)</f>
        <v/>
      </c>
      <c r="X2598">
        <f>IF($C2598="","",IF($AM2598=1,0,IF($AL2598=1,Settings!$C$6,Settings!$C$7))*100)</f>
        <v/>
      </c>
      <c r="AB2598" s="7" t="n"/>
      <c r="AE2598" s="11" t="n"/>
      <c r="AG2598" s="7">
        <f>IF($C2598="","",U2598*X2598/100)</f>
        <v/>
      </c>
      <c r="AH2598" s="7">
        <f>IF($C2598="","",U2598-AG2598)</f>
        <v/>
      </c>
      <c r="AI2598" s="7">
        <f>IF($C2598="","",AH2598-M2598)</f>
        <v/>
      </c>
      <c r="AJ2598">
        <f>IF($C2598="","",IF(COUNTIF($C$2:$C2598,$C2598)=1,1,0))</f>
        <v/>
      </c>
      <c r="AK2598">
        <f>IF($AJ2598=1,SUMPRODUCT(--($AN$2:$AN$4001&lt;$AN2598))+1,"")</f>
        <v/>
      </c>
      <c r="AL2598">
        <f>IF($C2598="","",IF(OR($Q2598=TRUE(),$Q2598="TRUE"),1,0))</f>
        <v/>
      </c>
      <c r="AM2598">
        <f>IF($C2598="","",IF($W2598="Yes",1,0))</f>
        <v/>
      </c>
      <c r="AN2598">
        <f>IF($AJ2598=1,IFERROR(IF(VALUE($C2598)&lt;100000000,VALUE($C2598),1000000000),IFERROR(IF(VALUE(MID($C2598,2,20))&lt;100000000,VALUE(MID($C2598,2,20)),1000000000),1000000000))+ROW()/100000,"")</f>
        <v/>
      </c>
    </row>
    <row r="2599">
      <c r="E2599" s="11" t="n"/>
      <c r="M2599" s="7">
        <f>IF($C2599="","",L2599*U2599/100)</f>
        <v/>
      </c>
      <c r="N2599" s="7" t="n"/>
      <c r="T2599" s="7" t="n"/>
      <c r="U2599" s="7">
        <f>IF($C2599="","",S2599*T2599)</f>
        <v/>
      </c>
      <c r="X2599">
        <f>IF($C2599="","",IF($AM2599=1,0,IF($AL2599=1,Settings!$C$6,Settings!$C$7))*100)</f>
        <v/>
      </c>
      <c r="AB2599" s="7" t="n"/>
      <c r="AE2599" s="11" t="n"/>
      <c r="AG2599" s="7">
        <f>IF($C2599="","",U2599*X2599/100)</f>
        <v/>
      </c>
      <c r="AH2599" s="7">
        <f>IF($C2599="","",U2599-AG2599)</f>
        <v/>
      </c>
      <c r="AI2599" s="7">
        <f>IF($C2599="","",AH2599-M2599)</f>
        <v/>
      </c>
      <c r="AJ2599">
        <f>IF($C2599="","",IF(COUNTIF($C$2:$C2599,$C2599)=1,1,0))</f>
        <v/>
      </c>
      <c r="AK2599">
        <f>IF($AJ2599=1,SUMPRODUCT(--($AN$2:$AN$4001&lt;$AN2599))+1,"")</f>
        <v/>
      </c>
      <c r="AL2599">
        <f>IF($C2599="","",IF(OR($Q2599=TRUE(),$Q2599="TRUE"),1,0))</f>
        <v/>
      </c>
      <c r="AM2599">
        <f>IF($C2599="","",IF($W2599="Yes",1,0))</f>
        <v/>
      </c>
      <c r="AN2599">
        <f>IF($AJ2599=1,IFERROR(IF(VALUE($C2599)&lt;100000000,VALUE($C2599),1000000000),IFERROR(IF(VALUE(MID($C2599,2,20))&lt;100000000,VALUE(MID($C2599,2,20)),1000000000),1000000000))+ROW()/100000,"")</f>
        <v/>
      </c>
    </row>
    <row r="2600">
      <c r="E2600" s="11" t="n"/>
      <c r="M2600" s="7">
        <f>IF($C2600="","",L2600*U2600/100)</f>
        <v/>
      </c>
      <c r="N2600" s="7" t="n"/>
      <c r="T2600" s="7" t="n"/>
      <c r="U2600" s="7">
        <f>IF($C2600="","",S2600*T2600)</f>
        <v/>
      </c>
      <c r="X2600">
        <f>IF($C2600="","",IF($AM2600=1,0,IF($AL2600=1,Settings!$C$6,Settings!$C$7))*100)</f>
        <v/>
      </c>
      <c r="AB2600" s="7" t="n"/>
      <c r="AE2600" s="11" t="n"/>
      <c r="AG2600" s="7">
        <f>IF($C2600="","",U2600*X2600/100)</f>
        <v/>
      </c>
      <c r="AH2600" s="7">
        <f>IF($C2600="","",U2600-AG2600)</f>
        <v/>
      </c>
      <c r="AI2600" s="7">
        <f>IF($C2600="","",AH2600-M2600)</f>
        <v/>
      </c>
      <c r="AJ2600">
        <f>IF($C2600="","",IF(COUNTIF($C$2:$C2600,$C2600)=1,1,0))</f>
        <v/>
      </c>
      <c r="AK2600">
        <f>IF($AJ2600=1,SUMPRODUCT(--($AN$2:$AN$4001&lt;$AN2600))+1,"")</f>
        <v/>
      </c>
      <c r="AL2600">
        <f>IF($C2600="","",IF(OR($Q2600=TRUE(),$Q2600="TRUE"),1,0))</f>
        <v/>
      </c>
      <c r="AM2600">
        <f>IF($C2600="","",IF($W2600="Yes",1,0))</f>
        <v/>
      </c>
      <c r="AN2600">
        <f>IF($AJ2600=1,IFERROR(IF(VALUE($C2600)&lt;100000000,VALUE($C2600),1000000000),IFERROR(IF(VALUE(MID($C2600,2,20))&lt;100000000,VALUE(MID($C2600,2,20)),1000000000),1000000000))+ROW()/100000,"")</f>
        <v/>
      </c>
    </row>
    <row r="2601">
      <c r="E2601" s="11" t="n"/>
      <c r="M2601" s="7">
        <f>IF($C2601="","",L2601*U2601/100)</f>
        <v/>
      </c>
      <c r="N2601" s="7" t="n"/>
      <c r="T2601" s="7" t="n"/>
      <c r="U2601" s="7">
        <f>IF($C2601="","",S2601*T2601)</f>
        <v/>
      </c>
      <c r="X2601">
        <f>IF($C2601="","",IF($AM2601=1,0,IF($AL2601=1,Settings!$C$6,Settings!$C$7))*100)</f>
        <v/>
      </c>
      <c r="AB2601" s="7" t="n"/>
      <c r="AE2601" s="11" t="n"/>
      <c r="AG2601" s="7">
        <f>IF($C2601="","",U2601*X2601/100)</f>
        <v/>
      </c>
      <c r="AH2601" s="7">
        <f>IF($C2601="","",U2601-AG2601)</f>
        <v/>
      </c>
      <c r="AI2601" s="7">
        <f>IF($C2601="","",AH2601-M2601)</f>
        <v/>
      </c>
      <c r="AJ2601">
        <f>IF($C2601="","",IF(COUNTIF($C$2:$C2601,$C2601)=1,1,0))</f>
        <v/>
      </c>
      <c r="AK2601">
        <f>IF($AJ2601=1,SUMPRODUCT(--($AN$2:$AN$4001&lt;$AN2601))+1,"")</f>
        <v/>
      </c>
      <c r="AL2601">
        <f>IF($C2601="","",IF(OR($Q2601=TRUE(),$Q2601="TRUE"),1,0))</f>
        <v/>
      </c>
      <c r="AM2601">
        <f>IF($C2601="","",IF($W2601="Yes",1,0))</f>
        <v/>
      </c>
      <c r="AN2601">
        <f>IF($AJ2601=1,IFERROR(IF(VALUE($C2601)&lt;100000000,VALUE($C2601),1000000000),IFERROR(IF(VALUE(MID($C2601,2,20))&lt;100000000,VALUE(MID($C2601,2,20)),1000000000),1000000000))+ROW()/100000,"")</f>
        <v/>
      </c>
    </row>
    <row r="2602">
      <c r="E2602" s="11" t="n"/>
      <c r="M2602" s="7">
        <f>IF($C2602="","",L2602*U2602/100)</f>
        <v/>
      </c>
      <c r="N2602" s="7" t="n"/>
      <c r="T2602" s="7" t="n"/>
      <c r="U2602" s="7">
        <f>IF($C2602="","",S2602*T2602)</f>
        <v/>
      </c>
      <c r="X2602">
        <f>IF($C2602="","",IF($AM2602=1,0,IF($AL2602=1,Settings!$C$6,Settings!$C$7))*100)</f>
        <v/>
      </c>
      <c r="AB2602" s="7" t="n"/>
      <c r="AE2602" s="11" t="n"/>
      <c r="AG2602" s="7">
        <f>IF($C2602="","",U2602*X2602/100)</f>
        <v/>
      </c>
      <c r="AH2602" s="7">
        <f>IF($C2602="","",U2602-AG2602)</f>
        <v/>
      </c>
      <c r="AI2602" s="7">
        <f>IF($C2602="","",AH2602-M2602)</f>
        <v/>
      </c>
      <c r="AJ2602">
        <f>IF($C2602="","",IF(COUNTIF($C$2:$C2602,$C2602)=1,1,0))</f>
        <v/>
      </c>
      <c r="AK2602">
        <f>IF($AJ2602=1,SUMPRODUCT(--($AN$2:$AN$4001&lt;$AN2602))+1,"")</f>
        <v/>
      </c>
      <c r="AL2602">
        <f>IF($C2602="","",IF(OR($Q2602=TRUE(),$Q2602="TRUE"),1,0))</f>
        <v/>
      </c>
      <c r="AM2602">
        <f>IF($C2602="","",IF($W2602="Yes",1,0))</f>
        <v/>
      </c>
      <c r="AN2602">
        <f>IF($AJ2602=1,IFERROR(IF(VALUE($C2602)&lt;100000000,VALUE($C2602),1000000000),IFERROR(IF(VALUE(MID($C2602,2,20))&lt;100000000,VALUE(MID($C2602,2,20)),1000000000),1000000000))+ROW()/100000,"")</f>
        <v/>
      </c>
    </row>
    <row r="2603">
      <c r="E2603" s="11" t="n"/>
      <c r="M2603" s="7">
        <f>IF($C2603="","",L2603*U2603/100)</f>
        <v/>
      </c>
      <c r="N2603" s="7" t="n"/>
      <c r="T2603" s="7" t="n"/>
      <c r="U2603" s="7">
        <f>IF($C2603="","",S2603*T2603)</f>
        <v/>
      </c>
      <c r="X2603">
        <f>IF($C2603="","",IF($AM2603=1,0,IF($AL2603=1,Settings!$C$6,Settings!$C$7))*100)</f>
        <v/>
      </c>
      <c r="AB2603" s="7" t="n"/>
      <c r="AE2603" s="11" t="n"/>
      <c r="AG2603" s="7">
        <f>IF($C2603="","",U2603*X2603/100)</f>
        <v/>
      </c>
      <c r="AH2603" s="7">
        <f>IF($C2603="","",U2603-AG2603)</f>
        <v/>
      </c>
      <c r="AI2603" s="7">
        <f>IF($C2603="","",AH2603-M2603)</f>
        <v/>
      </c>
      <c r="AJ2603">
        <f>IF($C2603="","",IF(COUNTIF($C$2:$C2603,$C2603)=1,1,0))</f>
        <v/>
      </c>
      <c r="AK2603">
        <f>IF($AJ2603=1,SUMPRODUCT(--($AN$2:$AN$4001&lt;$AN2603))+1,"")</f>
        <v/>
      </c>
      <c r="AL2603">
        <f>IF($C2603="","",IF(OR($Q2603=TRUE(),$Q2603="TRUE"),1,0))</f>
        <v/>
      </c>
      <c r="AM2603">
        <f>IF($C2603="","",IF($W2603="Yes",1,0))</f>
        <v/>
      </c>
      <c r="AN2603">
        <f>IF($AJ2603=1,IFERROR(IF(VALUE($C2603)&lt;100000000,VALUE($C2603),1000000000),IFERROR(IF(VALUE(MID($C2603,2,20))&lt;100000000,VALUE(MID($C2603,2,20)),1000000000),1000000000))+ROW()/100000,"")</f>
        <v/>
      </c>
    </row>
    <row r="2604">
      <c r="E2604" s="11" t="n"/>
      <c r="M2604" s="7">
        <f>IF($C2604="","",L2604*U2604/100)</f>
        <v/>
      </c>
      <c r="N2604" s="7" t="n"/>
      <c r="T2604" s="7" t="n"/>
      <c r="U2604" s="7">
        <f>IF($C2604="","",S2604*T2604)</f>
        <v/>
      </c>
      <c r="X2604">
        <f>IF($C2604="","",IF($AM2604=1,0,IF($AL2604=1,Settings!$C$6,Settings!$C$7))*100)</f>
        <v/>
      </c>
      <c r="AB2604" s="7" t="n"/>
      <c r="AE2604" s="11" t="n"/>
      <c r="AG2604" s="7">
        <f>IF($C2604="","",U2604*X2604/100)</f>
        <v/>
      </c>
      <c r="AH2604" s="7">
        <f>IF($C2604="","",U2604-AG2604)</f>
        <v/>
      </c>
      <c r="AI2604" s="7">
        <f>IF($C2604="","",AH2604-M2604)</f>
        <v/>
      </c>
      <c r="AJ2604">
        <f>IF($C2604="","",IF(COUNTIF($C$2:$C2604,$C2604)=1,1,0))</f>
        <v/>
      </c>
      <c r="AK2604">
        <f>IF($AJ2604=1,SUMPRODUCT(--($AN$2:$AN$4001&lt;$AN2604))+1,"")</f>
        <v/>
      </c>
      <c r="AL2604">
        <f>IF($C2604="","",IF(OR($Q2604=TRUE(),$Q2604="TRUE"),1,0))</f>
        <v/>
      </c>
      <c r="AM2604">
        <f>IF($C2604="","",IF($W2604="Yes",1,0))</f>
        <v/>
      </c>
      <c r="AN2604">
        <f>IF($AJ2604=1,IFERROR(IF(VALUE($C2604)&lt;100000000,VALUE($C2604),1000000000),IFERROR(IF(VALUE(MID($C2604,2,20))&lt;100000000,VALUE(MID($C2604,2,20)),1000000000),1000000000))+ROW()/100000,"")</f>
        <v/>
      </c>
    </row>
    <row r="2605">
      <c r="E2605" s="11" t="n"/>
      <c r="M2605" s="7">
        <f>IF($C2605="","",L2605*U2605/100)</f>
        <v/>
      </c>
      <c r="N2605" s="7" t="n"/>
      <c r="T2605" s="7" t="n"/>
      <c r="U2605" s="7">
        <f>IF($C2605="","",S2605*T2605)</f>
        <v/>
      </c>
      <c r="X2605">
        <f>IF($C2605="","",IF($AM2605=1,0,IF($AL2605=1,Settings!$C$6,Settings!$C$7))*100)</f>
        <v/>
      </c>
      <c r="AB2605" s="7" t="n"/>
      <c r="AE2605" s="11" t="n"/>
      <c r="AG2605" s="7">
        <f>IF($C2605="","",U2605*X2605/100)</f>
        <v/>
      </c>
      <c r="AH2605" s="7">
        <f>IF($C2605="","",U2605-AG2605)</f>
        <v/>
      </c>
      <c r="AI2605" s="7">
        <f>IF($C2605="","",AH2605-M2605)</f>
        <v/>
      </c>
      <c r="AJ2605">
        <f>IF($C2605="","",IF(COUNTIF($C$2:$C2605,$C2605)=1,1,0))</f>
        <v/>
      </c>
      <c r="AK2605">
        <f>IF($AJ2605=1,SUMPRODUCT(--($AN$2:$AN$4001&lt;$AN2605))+1,"")</f>
        <v/>
      </c>
      <c r="AL2605">
        <f>IF($C2605="","",IF(OR($Q2605=TRUE(),$Q2605="TRUE"),1,0))</f>
        <v/>
      </c>
      <c r="AM2605">
        <f>IF($C2605="","",IF($W2605="Yes",1,0))</f>
        <v/>
      </c>
      <c r="AN2605">
        <f>IF($AJ2605=1,IFERROR(IF(VALUE($C2605)&lt;100000000,VALUE($C2605),1000000000),IFERROR(IF(VALUE(MID($C2605,2,20))&lt;100000000,VALUE(MID($C2605,2,20)),1000000000),1000000000))+ROW()/100000,"")</f>
        <v/>
      </c>
    </row>
    <row r="2606">
      <c r="E2606" s="11" t="n"/>
      <c r="M2606" s="7">
        <f>IF($C2606="","",L2606*U2606/100)</f>
        <v/>
      </c>
      <c r="N2606" s="7" t="n"/>
      <c r="T2606" s="7" t="n"/>
      <c r="U2606" s="7">
        <f>IF($C2606="","",S2606*T2606)</f>
        <v/>
      </c>
      <c r="X2606">
        <f>IF($C2606="","",IF($AM2606=1,0,IF($AL2606=1,Settings!$C$6,Settings!$C$7))*100)</f>
        <v/>
      </c>
      <c r="AB2606" s="7" t="n"/>
      <c r="AE2606" s="11" t="n"/>
      <c r="AG2606" s="7">
        <f>IF($C2606="","",U2606*X2606/100)</f>
        <v/>
      </c>
      <c r="AH2606" s="7">
        <f>IF($C2606="","",U2606-AG2606)</f>
        <v/>
      </c>
      <c r="AI2606" s="7">
        <f>IF($C2606="","",AH2606-M2606)</f>
        <v/>
      </c>
      <c r="AJ2606">
        <f>IF($C2606="","",IF(COUNTIF($C$2:$C2606,$C2606)=1,1,0))</f>
        <v/>
      </c>
      <c r="AK2606">
        <f>IF($AJ2606=1,SUMPRODUCT(--($AN$2:$AN$4001&lt;$AN2606))+1,"")</f>
        <v/>
      </c>
      <c r="AL2606">
        <f>IF($C2606="","",IF(OR($Q2606=TRUE(),$Q2606="TRUE"),1,0))</f>
        <v/>
      </c>
      <c r="AM2606">
        <f>IF($C2606="","",IF($W2606="Yes",1,0))</f>
        <v/>
      </c>
      <c r="AN2606">
        <f>IF($AJ2606=1,IFERROR(IF(VALUE($C2606)&lt;100000000,VALUE($C2606),1000000000),IFERROR(IF(VALUE(MID($C2606,2,20))&lt;100000000,VALUE(MID($C2606,2,20)),1000000000),1000000000))+ROW()/100000,"")</f>
        <v/>
      </c>
    </row>
    <row r="2607">
      <c r="E2607" s="11" t="n"/>
      <c r="M2607" s="7">
        <f>IF($C2607="","",L2607*U2607/100)</f>
        <v/>
      </c>
      <c r="N2607" s="7" t="n"/>
      <c r="T2607" s="7" t="n"/>
      <c r="U2607" s="7">
        <f>IF($C2607="","",S2607*T2607)</f>
        <v/>
      </c>
      <c r="X2607">
        <f>IF($C2607="","",IF($AM2607=1,0,IF($AL2607=1,Settings!$C$6,Settings!$C$7))*100)</f>
        <v/>
      </c>
      <c r="AB2607" s="7" t="n"/>
      <c r="AE2607" s="11" t="n"/>
      <c r="AG2607" s="7">
        <f>IF($C2607="","",U2607*X2607/100)</f>
        <v/>
      </c>
      <c r="AH2607" s="7">
        <f>IF($C2607="","",U2607-AG2607)</f>
        <v/>
      </c>
      <c r="AI2607" s="7">
        <f>IF($C2607="","",AH2607-M2607)</f>
        <v/>
      </c>
      <c r="AJ2607">
        <f>IF($C2607="","",IF(COUNTIF($C$2:$C2607,$C2607)=1,1,0))</f>
        <v/>
      </c>
      <c r="AK2607">
        <f>IF($AJ2607=1,SUMPRODUCT(--($AN$2:$AN$4001&lt;$AN2607))+1,"")</f>
        <v/>
      </c>
      <c r="AL2607">
        <f>IF($C2607="","",IF(OR($Q2607=TRUE(),$Q2607="TRUE"),1,0))</f>
        <v/>
      </c>
      <c r="AM2607">
        <f>IF($C2607="","",IF($W2607="Yes",1,0))</f>
        <v/>
      </c>
      <c r="AN2607">
        <f>IF($AJ2607=1,IFERROR(IF(VALUE($C2607)&lt;100000000,VALUE($C2607),1000000000),IFERROR(IF(VALUE(MID($C2607,2,20))&lt;100000000,VALUE(MID($C2607,2,20)),1000000000),1000000000))+ROW()/100000,"")</f>
        <v/>
      </c>
    </row>
    <row r="2608">
      <c r="E2608" s="11" t="n"/>
      <c r="M2608" s="7">
        <f>IF($C2608="","",L2608*U2608/100)</f>
        <v/>
      </c>
      <c r="N2608" s="7" t="n"/>
      <c r="T2608" s="7" t="n"/>
      <c r="U2608" s="7">
        <f>IF($C2608="","",S2608*T2608)</f>
        <v/>
      </c>
      <c r="X2608">
        <f>IF($C2608="","",IF($AM2608=1,0,IF($AL2608=1,Settings!$C$6,Settings!$C$7))*100)</f>
        <v/>
      </c>
      <c r="AB2608" s="7" t="n"/>
      <c r="AE2608" s="11" t="n"/>
      <c r="AG2608" s="7">
        <f>IF($C2608="","",U2608*X2608/100)</f>
        <v/>
      </c>
      <c r="AH2608" s="7">
        <f>IF($C2608="","",U2608-AG2608)</f>
        <v/>
      </c>
      <c r="AI2608" s="7">
        <f>IF($C2608="","",AH2608-M2608)</f>
        <v/>
      </c>
      <c r="AJ2608">
        <f>IF($C2608="","",IF(COUNTIF($C$2:$C2608,$C2608)=1,1,0))</f>
        <v/>
      </c>
      <c r="AK2608">
        <f>IF($AJ2608=1,SUMPRODUCT(--($AN$2:$AN$4001&lt;$AN2608))+1,"")</f>
        <v/>
      </c>
      <c r="AL2608">
        <f>IF($C2608="","",IF(OR($Q2608=TRUE(),$Q2608="TRUE"),1,0))</f>
        <v/>
      </c>
      <c r="AM2608">
        <f>IF($C2608="","",IF($W2608="Yes",1,0))</f>
        <v/>
      </c>
      <c r="AN2608">
        <f>IF($AJ2608=1,IFERROR(IF(VALUE($C2608)&lt;100000000,VALUE($C2608),1000000000),IFERROR(IF(VALUE(MID($C2608,2,20))&lt;100000000,VALUE(MID($C2608,2,20)),1000000000),1000000000))+ROW()/100000,"")</f>
        <v/>
      </c>
    </row>
    <row r="2609">
      <c r="E2609" s="11" t="n"/>
      <c r="M2609" s="7">
        <f>IF($C2609="","",L2609*U2609/100)</f>
        <v/>
      </c>
      <c r="N2609" s="7" t="n"/>
      <c r="T2609" s="7" t="n"/>
      <c r="U2609" s="7">
        <f>IF($C2609="","",S2609*T2609)</f>
        <v/>
      </c>
      <c r="X2609">
        <f>IF($C2609="","",IF($AM2609=1,0,IF($AL2609=1,Settings!$C$6,Settings!$C$7))*100)</f>
        <v/>
      </c>
      <c r="AB2609" s="7" t="n"/>
      <c r="AE2609" s="11" t="n"/>
      <c r="AG2609" s="7">
        <f>IF($C2609="","",U2609*X2609/100)</f>
        <v/>
      </c>
      <c r="AH2609" s="7">
        <f>IF($C2609="","",U2609-AG2609)</f>
        <v/>
      </c>
      <c r="AI2609" s="7">
        <f>IF($C2609="","",AH2609-M2609)</f>
        <v/>
      </c>
      <c r="AJ2609">
        <f>IF($C2609="","",IF(COUNTIF($C$2:$C2609,$C2609)=1,1,0))</f>
        <v/>
      </c>
      <c r="AK2609">
        <f>IF($AJ2609=1,SUMPRODUCT(--($AN$2:$AN$4001&lt;$AN2609))+1,"")</f>
        <v/>
      </c>
      <c r="AL2609">
        <f>IF($C2609="","",IF(OR($Q2609=TRUE(),$Q2609="TRUE"),1,0))</f>
        <v/>
      </c>
      <c r="AM2609">
        <f>IF($C2609="","",IF($W2609="Yes",1,0))</f>
        <v/>
      </c>
      <c r="AN2609">
        <f>IF($AJ2609=1,IFERROR(IF(VALUE($C2609)&lt;100000000,VALUE($C2609),1000000000),IFERROR(IF(VALUE(MID($C2609,2,20))&lt;100000000,VALUE(MID($C2609,2,20)),1000000000),1000000000))+ROW()/100000,"")</f>
        <v/>
      </c>
    </row>
    <row r="2610">
      <c r="E2610" s="11" t="n"/>
      <c r="M2610" s="7">
        <f>IF($C2610="","",L2610*U2610/100)</f>
        <v/>
      </c>
      <c r="N2610" s="7" t="n"/>
      <c r="T2610" s="7" t="n"/>
      <c r="U2610" s="7">
        <f>IF($C2610="","",S2610*T2610)</f>
        <v/>
      </c>
      <c r="X2610">
        <f>IF($C2610="","",IF($AM2610=1,0,IF($AL2610=1,Settings!$C$6,Settings!$C$7))*100)</f>
        <v/>
      </c>
      <c r="AB2610" s="7" t="n"/>
      <c r="AE2610" s="11" t="n"/>
      <c r="AG2610" s="7">
        <f>IF($C2610="","",U2610*X2610/100)</f>
        <v/>
      </c>
      <c r="AH2610" s="7">
        <f>IF($C2610="","",U2610-AG2610)</f>
        <v/>
      </c>
      <c r="AI2610" s="7">
        <f>IF($C2610="","",AH2610-M2610)</f>
        <v/>
      </c>
      <c r="AJ2610">
        <f>IF($C2610="","",IF(COUNTIF($C$2:$C2610,$C2610)=1,1,0))</f>
        <v/>
      </c>
      <c r="AK2610">
        <f>IF($AJ2610=1,SUMPRODUCT(--($AN$2:$AN$4001&lt;$AN2610))+1,"")</f>
        <v/>
      </c>
      <c r="AL2610">
        <f>IF($C2610="","",IF(OR($Q2610=TRUE(),$Q2610="TRUE"),1,0))</f>
        <v/>
      </c>
      <c r="AM2610">
        <f>IF($C2610="","",IF($W2610="Yes",1,0))</f>
        <v/>
      </c>
      <c r="AN2610">
        <f>IF($AJ2610=1,IFERROR(IF(VALUE($C2610)&lt;100000000,VALUE($C2610),1000000000),IFERROR(IF(VALUE(MID($C2610,2,20))&lt;100000000,VALUE(MID($C2610,2,20)),1000000000),1000000000))+ROW()/100000,"")</f>
        <v/>
      </c>
    </row>
    <row r="2611">
      <c r="E2611" s="11" t="n"/>
      <c r="M2611" s="7">
        <f>IF($C2611="","",L2611*U2611/100)</f>
        <v/>
      </c>
      <c r="N2611" s="7" t="n"/>
      <c r="T2611" s="7" t="n"/>
      <c r="U2611" s="7">
        <f>IF($C2611="","",S2611*T2611)</f>
        <v/>
      </c>
      <c r="X2611">
        <f>IF($C2611="","",IF($AM2611=1,0,IF($AL2611=1,Settings!$C$6,Settings!$C$7))*100)</f>
        <v/>
      </c>
      <c r="AB2611" s="7" t="n"/>
      <c r="AE2611" s="11" t="n"/>
      <c r="AG2611" s="7">
        <f>IF($C2611="","",U2611*X2611/100)</f>
        <v/>
      </c>
      <c r="AH2611" s="7">
        <f>IF($C2611="","",U2611-AG2611)</f>
        <v/>
      </c>
      <c r="AI2611" s="7">
        <f>IF($C2611="","",AH2611-M2611)</f>
        <v/>
      </c>
      <c r="AJ2611">
        <f>IF($C2611="","",IF(COUNTIF($C$2:$C2611,$C2611)=1,1,0))</f>
        <v/>
      </c>
      <c r="AK2611">
        <f>IF($AJ2611=1,SUMPRODUCT(--($AN$2:$AN$4001&lt;$AN2611))+1,"")</f>
        <v/>
      </c>
      <c r="AL2611">
        <f>IF($C2611="","",IF(OR($Q2611=TRUE(),$Q2611="TRUE"),1,0))</f>
        <v/>
      </c>
      <c r="AM2611">
        <f>IF($C2611="","",IF($W2611="Yes",1,0))</f>
        <v/>
      </c>
      <c r="AN2611">
        <f>IF($AJ2611=1,IFERROR(IF(VALUE($C2611)&lt;100000000,VALUE($C2611),1000000000),IFERROR(IF(VALUE(MID($C2611,2,20))&lt;100000000,VALUE(MID($C2611,2,20)),1000000000),1000000000))+ROW()/100000,"")</f>
        <v/>
      </c>
    </row>
    <row r="2612">
      <c r="E2612" s="11" t="n"/>
      <c r="M2612" s="7">
        <f>IF($C2612="","",L2612*U2612/100)</f>
        <v/>
      </c>
      <c r="N2612" s="7" t="n"/>
      <c r="T2612" s="7" t="n"/>
      <c r="U2612" s="7">
        <f>IF($C2612="","",S2612*T2612)</f>
        <v/>
      </c>
      <c r="X2612">
        <f>IF($C2612="","",IF($AM2612=1,0,IF($AL2612=1,Settings!$C$6,Settings!$C$7))*100)</f>
        <v/>
      </c>
      <c r="AB2612" s="7" t="n"/>
      <c r="AE2612" s="11" t="n"/>
      <c r="AG2612" s="7">
        <f>IF($C2612="","",U2612*X2612/100)</f>
        <v/>
      </c>
      <c r="AH2612" s="7">
        <f>IF($C2612="","",U2612-AG2612)</f>
        <v/>
      </c>
      <c r="AI2612" s="7">
        <f>IF($C2612="","",AH2612-M2612)</f>
        <v/>
      </c>
      <c r="AJ2612">
        <f>IF($C2612="","",IF(COUNTIF($C$2:$C2612,$C2612)=1,1,0))</f>
        <v/>
      </c>
      <c r="AK2612">
        <f>IF($AJ2612=1,SUMPRODUCT(--($AN$2:$AN$4001&lt;$AN2612))+1,"")</f>
        <v/>
      </c>
      <c r="AL2612">
        <f>IF($C2612="","",IF(OR($Q2612=TRUE(),$Q2612="TRUE"),1,0))</f>
        <v/>
      </c>
      <c r="AM2612">
        <f>IF($C2612="","",IF($W2612="Yes",1,0))</f>
        <v/>
      </c>
      <c r="AN2612">
        <f>IF($AJ2612=1,IFERROR(IF(VALUE($C2612)&lt;100000000,VALUE($C2612),1000000000),IFERROR(IF(VALUE(MID($C2612,2,20))&lt;100000000,VALUE(MID($C2612,2,20)),1000000000),1000000000))+ROW()/100000,"")</f>
        <v/>
      </c>
    </row>
    <row r="2613">
      <c r="E2613" s="11" t="n"/>
      <c r="M2613" s="7">
        <f>IF($C2613="","",L2613*U2613/100)</f>
        <v/>
      </c>
      <c r="N2613" s="7" t="n"/>
      <c r="T2613" s="7" t="n"/>
      <c r="U2613" s="7">
        <f>IF($C2613="","",S2613*T2613)</f>
        <v/>
      </c>
      <c r="X2613">
        <f>IF($C2613="","",IF($AM2613=1,0,IF($AL2613=1,Settings!$C$6,Settings!$C$7))*100)</f>
        <v/>
      </c>
      <c r="AB2613" s="7" t="n"/>
      <c r="AE2613" s="11" t="n"/>
      <c r="AG2613" s="7">
        <f>IF($C2613="","",U2613*X2613/100)</f>
        <v/>
      </c>
      <c r="AH2613" s="7">
        <f>IF($C2613="","",U2613-AG2613)</f>
        <v/>
      </c>
      <c r="AI2613" s="7">
        <f>IF($C2613="","",AH2613-M2613)</f>
        <v/>
      </c>
      <c r="AJ2613">
        <f>IF($C2613="","",IF(COUNTIF($C$2:$C2613,$C2613)=1,1,0))</f>
        <v/>
      </c>
      <c r="AK2613">
        <f>IF($AJ2613=1,SUMPRODUCT(--($AN$2:$AN$4001&lt;$AN2613))+1,"")</f>
        <v/>
      </c>
      <c r="AL2613">
        <f>IF($C2613="","",IF(OR($Q2613=TRUE(),$Q2613="TRUE"),1,0))</f>
        <v/>
      </c>
      <c r="AM2613">
        <f>IF($C2613="","",IF($W2613="Yes",1,0))</f>
        <v/>
      </c>
      <c r="AN2613">
        <f>IF($AJ2613=1,IFERROR(IF(VALUE($C2613)&lt;100000000,VALUE($C2613),1000000000),IFERROR(IF(VALUE(MID($C2613,2,20))&lt;100000000,VALUE(MID($C2613,2,20)),1000000000),1000000000))+ROW()/100000,"")</f>
        <v/>
      </c>
    </row>
    <row r="2614">
      <c r="E2614" s="11" t="n"/>
      <c r="M2614" s="7">
        <f>IF($C2614="","",L2614*U2614/100)</f>
        <v/>
      </c>
      <c r="N2614" s="7" t="n"/>
      <c r="T2614" s="7" t="n"/>
      <c r="U2614" s="7">
        <f>IF($C2614="","",S2614*T2614)</f>
        <v/>
      </c>
      <c r="X2614">
        <f>IF($C2614="","",IF($AM2614=1,0,IF($AL2614=1,Settings!$C$6,Settings!$C$7))*100)</f>
        <v/>
      </c>
      <c r="AB2614" s="7" t="n"/>
      <c r="AE2614" s="11" t="n"/>
      <c r="AG2614" s="7">
        <f>IF($C2614="","",U2614*X2614/100)</f>
        <v/>
      </c>
      <c r="AH2614" s="7">
        <f>IF($C2614="","",U2614-AG2614)</f>
        <v/>
      </c>
      <c r="AI2614" s="7">
        <f>IF($C2614="","",AH2614-M2614)</f>
        <v/>
      </c>
      <c r="AJ2614">
        <f>IF($C2614="","",IF(COUNTIF($C$2:$C2614,$C2614)=1,1,0))</f>
        <v/>
      </c>
      <c r="AK2614">
        <f>IF($AJ2614=1,SUMPRODUCT(--($AN$2:$AN$4001&lt;$AN2614))+1,"")</f>
        <v/>
      </c>
      <c r="AL2614">
        <f>IF($C2614="","",IF(OR($Q2614=TRUE(),$Q2614="TRUE"),1,0))</f>
        <v/>
      </c>
      <c r="AM2614">
        <f>IF($C2614="","",IF($W2614="Yes",1,0))</f>
        <v/>
      </c>
      <c r="AN2614">
        <f>IF($AJ2614=1,IFERROR(IF(VALUE($C2614)&lt;100000000,VALUE($C2614),1000000000),IFERROR(IF(VALUE(MID($C2614,2,20))&lt;100000000,VALUE(MID($C2614,2,20)),1000000000),1000000000))+ROW()/100000,"")</f>
        <v/>
      </c>
    </row>
    <row r="2615">
      <c r="E2615" s="11" t="n"/>
      <c r="M2615" s="7">
        <f>IF($C2615="","",L2615*U2615/100)</f>
        <v/>
      </c>
      <c r="N2615" s="7" t="n"/>
      <c r="T2615" s="7" t="n"/>
      <c r="U2615" s="7">
        <f>IF($C2615="","",S2615*T2615)</f>
        <v/>
      </c>
      <c r="X2615">
        <f>IF($C2615="","",IF($AM2615=1,0,IF($AL2615=1,Settings!$C$6,Settings!$C$7))*100)</f>
        <v/>
      </c>
      <c r="AB2615" s="7" t="n"/>
      <c r="AE2615" s="11" t="n"/>
      <c r="AG2615" s="7">
        <f>IF($C2615="","",U2615*X2615/100)</f>
        <v/>
      </c>
      <c r="AH2615" s="7">
        <f>IF($C2615="","",U2615-AG2615)</f>
        <v/>
      </c>
      <c r="AI2615" s="7">
        <f>IF($C2615="","",AH2615-M2615)</f>
        <v/>
      </c>
      <c r="AJ2615">
        <f>IF($C2615="","",IF(COUNTIF($C$2:$C2615,$C2615)=1,1,0))</f>
        <v/>
      </c>
      <c r="AK2615">
        <f>IF($AJ2615=1,SUMPRODUCT(--($AN$2:$AN$4001&lt;$AN2615))+1,"")</f>
        <v/>
      </c>
      <c r="AL2615">
        <f>IF($C2615="","",IF(OR($Q2615=TRUE(),$Q2615="TRUE"),1,0))</f>
        <v/>
      </c>
      <c r="AM2615">
        <f>IF($C2615="","",IF($W2615="Yes",1,0))</f>
        <v/>
      </c>
      <c r="AN2615">
        <f>IF($AJ2615=1,IFERROR(IF(VALUE($C2615)&lt;100000000,VALUE($C2615),1000000000),IFERROR(IF(VALUE(MID($C2615,2,20))&lt;100000000,VALUE(MID($C2615,2,20)),1000000000),1000000000))+ROW()/100000,"")</f>
        <v/>
      </c>
    </row>
    <row r="2616">
      <c r="E2616" s="11" t="n"/>
      <c r="M2616" s="7">
        <f>IF($C2616="","",L2616*U2616/100)</f>
        <v/>
      </c>
      <c r="N2616" s="7" t="n"/>
      <c r="T2616" s="7" t="n"/>
      <c r="U2616" s="7">
        <f>IF($C2616="","",S2616*T2616)</f>
        <v/>
      </c>
      <c r="X2616">
        <f>IF($C2616="","",IF($AM2616=1,0,IF($AL2616=1,Settings!$C$6,Settings!$C$7))*100)</f>
        <v/>
      </c>
      <c r="AB2616" s="7" t="n"/>
      <c r="AE2616" s="11" t="n"/>
      <c r="AG2616" s="7">
        <f>IF($C2616="","",U2616*X2616/100)</f>
        <v/>
      </c>
      <c r="AH2616" s="7">
        <f>IF($C2616="","",U2616-AG2616)</f>
        <v/>
      </c>
      <c r="AI2616" s="7">
        <f>IF($C2616="","",AH2616-M2616)</f>
        <v/>
      </c>
      <c r="AJ2616">
        <f>IF($C2616="","",IF(COUNTIF($C$2:$C2616,$C2616)=1,1,0))</f>
        <v/>
      </c>
      <c r="AK2616">
        <f>IF($AJ2616=1,SUMPRODUCT(--($AN$2:$AN$4001&lt;$AN2616))+1,"")</f>
        <v/>
      </c>
      <c r="AL2616">
        <f>IF($C2616="","",IF(OR($Q2616=TRUE(),$Q2616="TRUE"),1,0))</f>
        <v/>
      </c>
      <c r="AM2616">
        <f>IF($C2616="","",IF($W2616="Yes",1,0))</f>
        <v/>
      </c>
      <c r="AN2616">
        <f>IF($AJ2616=1,IFERROR(IF(VALUE($C2616)&lt;100000000,VALUE($C2616),1000000000),IFERROR(IF(VALUE(MID($C2616,2,20))&lt;100000000,VALUE(MID($C2616,2,20)),1000000000),1000000000))+ROW()/100000,"")</f>
        <v/>
      </c>
    </row>
    <row r="2617">
      <c r="E2617" s="11" t="n"/>
      <c r="M2617" s="7">
        <f>IF($C2617="","",L2617*U2617/100)</f>
        <v/>
      </c>
      <c r="N2617" s="7" t="n"/>
      <c r="T2617" s="7" t="n"/>
      <c r="U2617" s="7">
        <f>IF($C2617="","",S2617*T2617)</f>
        <v/>
      </c>
      <c r="X2617">
        <f>IF($C2617="","",IF($AM2617=1,0,IF($AL2617=1,Settings!$C$6,Settings!$C$7))*100)</f>
        <v/>
      </c>
      <c r="AB2617" s="7" t="n"/>
      <c r="AE2617" s="11" t="n"/>
      <c r="AG2617" s="7">
        <f>IF($C2617="","",U2617*X2617/100)</f>
        <v/>
      </c>
      <c r="AH2617" s="7">
        <f>IF($C2617="","",U2617-AG2617)</f>
        <v/>
      </c>
      <c r="AI2617" s="7">
        <f>IF($C2617="","",AH2617-M2617)</f>
        <v/>
      </c>
      <c r="AJ2617">
        <f>IF($C2617="","",IF(COUNTIF($C$2:$C2617,$C2617)=1,1,0))</f>
        <v/>
      </c>
      <c r="AK2617">
        <f>IF($AJ2617=1,SUMPRODUCT(--($AN$2:$AN$4001&lt;$AN2617))+1,"")</f>
        <v/>
      </c>
      <c r="AL2617">
        <f>IF($C2617="","",IF(OR($Q2617=TRUE(),$Q2617="TRUE"),1,0))</f>
        <v/>
      </c>
      <c r="AM2617">
        <f>IF($C2617="","",IF($W2617="Yes",1,0))</f>
        <v/>
      </c>
      <c r="AN2617">
        <f>IF($AJ2617=1,IFERROR(IF(VALUE($C2617)&lt;100000000,VALUE($C2617),1000000000),IFERROR(IF(VALUE(MID($C2617,2,20))&lt;100000000,VALUE(MID($C2617,2,20)),1000000000),1000000000))+ROW()/100000,"")</f>
        <v/>
      </c>
    </row>
    <row r="2618">
      <c r="E2618" s="11" t="n"/>
      <c r="M2618" s="7">
        <f>IF($C2618="","",L2618*U2618/100)</f>
        <v/>
      </c>
      <c r="N2618" s="7" t="n"/>
      <c r="T2618" s="7" t="n"/>
      <c r="U2618" s="7">
        <f>IF($C2618="","",S2618*T2618)</f>
        <v/>
      </c>
      <c r="X2618">
        <f>IF($C2618="","",IF($AM2618=1,0,IF($AL2618=1,Settings!$C$6,Settings!$C$7))*100)</f>
        <v/>
      </c>
      <c r="AB2618" s="7" t="n"/>
      <c r="AE2618" s="11" t="n"/>
      <c r="AG2618" s="7">
        <f>IF($C2618="","",U2618*X2618/100)</f>
        <v/>
      </c>
      <c r="AH2618" s="7">
        <f>IF($C2618="","",U2618-AG2618)</f>
        <v/>
      </c>
      <c r="AI2618" s="7">
        <f>IF($C2618="","",AH2618-M2618)</f>
        <v/>
      </c>
      <c r="AJ2618">
        <f>IF($C2618="","",IF(COUNTIF($C$2:$C2618,$C2618)=1,1,0))</f>
        <v/>
      </c>
      <c r="AK2618">
        <f>IF($AJ2618=1,SUMPRODUCT(--($AN$2:$AN$4001&lt;$AN2618))+1,"")</f>
        <v/>
      </c>
      <c r="AL2618">
        <f>IF($C2618="","",IF(OR($Q2618=TRUE(),$Q2618="TRUE"),1,0))</f>
        <v/>
      </c>
      <c r="AM2618">
        <f>IF($C2618="","",IF($W2618="Yes",1,0))</f>
        <v/>
      </c>
      <c r="AN2618">
        <f>IF($AJ2618=1,IFERROR(IF(VALUE($C2618)&lt;100000000,VALUE($C2618),1000000000),IFERROR(IF(VALUE(MID($C2618,2,20))&lt;100000000,VALUE(MID($C2618,2,20)),1000000000),1000000000))+ROW()/100000,"")</f>
        <v/>
      </c>
    </row>
    <row r="2619">
      <c r="E2619" s="11" t="n"/>
      <c r="M2619" s="7">
        <f>IF($C2619="","",L2619*U2619/100)</f>
        <v/>
      </c>
      <c r="N2619" s="7" t="n"/>
      <c r="T2619" s="7" t="n"/>
      <c r="U2619" s="7">
        <f>IF($C2619="","",S2619*T2619)</f>
        <v/>
      </c>
      <c r="X2619">
        <f>IF($C2619="","",IF($AM2619=1,0,IF($AL2619=1,Settings!$C$6,Settings!$C$7))*100)</f>
        <v/>
      </c>
      <c r="AB2619" s="7" t="n"/>
      <c r="AE2619" s="11" t="n"/>
      <c r="AG2619" s="7">
        <f>IF($C2619="","",U2619*X2619/100)</f>
        <v/>
      </c>
      <c r="AH2619" s="7">
        <f>IF($C2619="","",U2619-AG2619)</f>
        <v/>
      </c>
      <c r="AI2619" s="7">
        <f>IF($C2619="","",AH2619-M2619)</f>
        <v/>
      </c>
      <c r="AJ2619">
        <f>IF($C2619="","",IF(COUNTIF($C$2:$C2619,$C2619)=1,1,0))</f>
        <v/>
      </c>
      <c r="AK2619">
        <f>IF($AJ2619=1,SUMPRODUCT(--($AN$2:$AN$4001&lt;$AN2619))+1,"")</f>
        <v/>
      </c>
      <c r="AL2619">
        <f>IF($C2619="","",IF(OR($Q2619=TRUE(),$Q2619="TRUE"),1,0))</f>
        <v/>
      </c>
      <c r="AM2619">
        <f>IF($C2619="","",IF($W2619="Yes",1,0))</f>
        <v/>
      </c>
      <c r="AN2619">
        <f>IF($AJ2619=1,IFERROR(IF(VALUE($C2619)&lt;100000000,VALUE($C2619),1000000000),IFERROR(IF(VALUE(MID($C2619,2,20))&lt;100000000,VALUE(MID($C2619,2,20)),1000000000),1000000000))+ROW()/100000,"")</f>
        <v/>
      </c>
    </row>
    <row r="2620">
      <c r="E2620" s="11" t="n"/>
      <c r="M2620" s="7">
        <f>IF($C2620="","",L2620*U2620/100)</f>
        <v/>
      </c>
      <c r="N2620" s="7" t="n"/>
      <c r="T2620" s="7" t="n"/>
      <c r="U2620" s="7">
        <f>IF($C2620="","",S2620*T2620)</f>
        <v/>
      </c>
      <c r="X2620">
        <f>IF($C2620="","",IF($AM2620=1,0,IF($AL2620=1,Settings!$C$6,Settings!$C$7))*100)</f>
        <v/>
      </c>
      <c r="AB2620" s="7" t="n"/>
      <c r="AE2620" s="11" t="n"/>
      <c r="AG2620" s="7">
        <f>IF($C2620="","",U2620*X2620/100)</f>
        <v/>
      </c>
      <c r="AH2620" s="7">
        <f>IF($C2620="","",U2620-AG2620)</f>
        <v/>
      </c>
      <c r="AI2620" s="7">
        <f>IF($C2620="","",AH2620-M2620)</f>
        <v/>
      </c>
      <c r="AJ2620">
        <f>IF($C2620="","",IF(COUNTIF($C$2:$C2620,$C2620)=1,1,0))</f>
        <v/>
      </c>
      <c r="AK2620">
        <f>IF($AJ2620=1,SUMPRODUCT(--($AN$2:$AN$4001&lt;$AN2620))+1,"")</f>
        <v/>
      </c>
      <c r="AL2620">
        <f>IF($C2620="","",IF(OR($Q2620=TRUE(),$Q2620="TRUE"),1,0))</f>
        <v/>
      </c>
      <c r="AM2620">
        <f>IF($C2620="","",IF($W2620="Yes",1,0))</f>
        <v/>
      </c>
      <c r="AN2620">
        <f>IF($AJ2620=1,IFERROR(IF(VALUE($C2620)&lt;100000000,VALUE($C2620),1000000000),IFERROR(IF(VALUE(MID($C2620,2,20))&lt;100000000,VALUE(MID($C2620,2,20)),1000000000),1000000000))+ROW()/100000,"")</f>
        <v/>
      </c>
    </row>
    <row r="2621">
      <c r="E2621" s="11" t="n"/>
      <c r="M2621" s="7">
        <f>IF($C2621="","",L2621*U2621/100)</f>
        <v/>
      </c>
      <c r="N2621" s="7" t="n"/>
      <c r="T2621" s="7" t="n"/>
      <c r="U2621" s="7">
        <f>IF($C2621="","",S2621*T2621)</f>
        <v/>
      </c>
      <c r="X2621">
        <f>IF($C2621="","",IF($AM2621=1,0,IF($AL2621=1,Settings!$C$6,Settings!$C$7))*100)</f>
        <v/>
      </c>
      <c r="AB2621" s="7" t="n"/>
      <c r="AE2621" s="11" t="n"/>
      <c r="AG2621" s="7">
        <f>IF($C2621="","",U2621*X2621/100)</f>
        <v/>
      </c>
      <c r="AH2621" s="7">
        <f>IF($C2621="","",U2621-AG2621)</f>
        <v/>
      </c>
      <c r="AI2621" s="7">
        <f>IF($C2621="","",AH2621-M2621)</f>
        <v/>
      </c>
      <c r="AJ2621">
        <f>IF($C2621="","",IF(COUNTIF($C$2:$C2621,$C2621)=1,1,0))</f>
        <v/>
      </c>
      <c r="AK2621">
        <f>IF($AJ2621=1,SUMPRODUCT(--($AN$2:$AN$4001&lt;$AN2621))+1,"")</f>
        <v/>
      </c>
      <c r="AL2621">
        <f>IF($C2621="","",IF(OR($Q2621=TRUE(),$Q2621="TRUE"),1,0))</f>
        <v/>
      </c>
      <c r="AM2621">
        <f>IF($C2621="","",IF($W2621="Yes",1,0))</f>
        <v/>
      </c>
      <c r="AN2621">
        <f>IF($AJ2621=1,IFERROR(IF(VALUE($C2621)&lt;100000000,VALUE($C2621),1000000000),IFERROR(IF(VALUE(MID($C2621,2,20))&lt;100000000,VALUE(MID($C2621,2,20)),1000000000),1000000000))+ROW()/100000,"")</f>
        <v/>
      </c>
    </row>
    <row r="2622">
      <c r="E2622" s="11" t="n"/>
      <c r="M2622" s="7">
        <f>IF($C2622="","",L2622*U2622/100)</f>
        <v/>
      </c>
      <c r="N2622" s="7" t="n"/>
      <c r="T2622" s="7" t="n"/>
      <c r="U2622" s="7">
        <f>IF($C2622="","",S2622*T2622)</f>
        <v/>
      </c>
      <c r="X2622">
        <f>IF($C2622="","",IF($AM2622=1,0,IF($AL2622=1,Settings!$C$6,Settings!$C$7))*100)</f>
        <v/>
      </c>
      <c r="AB2622" s="7" t="n"/>
      <c r="AE2622" s="11" t="n"/>
      <c r="AG2622" s="7">
        <f>IF($C2622="","",U2622*X2622/100)</f>
        <v/>
      </c>
      <c r="AH2622" s="7">
        <f>IF($C2622="","",U2622-AG2622)</f>
        <v/>
      </c>
      <c r="AI2622" s="7">
        <f>IF($C2622="","",AH2622-M2622)</f>
        <v/>
      </c>
      <c r="AJ2622">
        <f>IF($C2622="","",IF(COUNTIF($C$2:$C2622,$C2622)=1,1,0))</f>
        <v/>
      </c>
      <c r="AK2622">
        <f>IF($AJ2622=1,SUMPRODUCT(--($AN$2:$AN$4001&lt;$AN2622))+1,"")</f>
        <v/>
      </c>
      <c r="AL2622">
        <f>IF($C2622="","",IF(OR($Q2622=TRUE(),$Q2622="TRUE"),1,0))</f>
        <v/>
      </c>
      <c r="AM2622">
        <f>IF($C2622="","",IF($W2622="Yes",1,0))</f>
        <v/>
      </c>
      <c r="AN2622">
        <f>IF($AJ2622=1,IFERROR(IF(VALUE($C2622)&lt;100000000,VALUE($C2622),1000000000),IFERROR(IF(VALUE(MID($C2622,2,20))&lt;100000000,VALUE(MID($C2622,2,20)),1000000000),1000000000))+ROW()/100000,"")</f>
        <v/>
      </c>
    </row>
    <row r="2623">
      <c r="E2623" s="11" t="n"/>
      <c r="M2623" s="7">
        <f>IF($C2623="","",L2623*U2623/100)</f>
        <v/>
      </c>
      <c r="N2623" s="7" t="n"/>
      <c r="T2623" s="7" t="n"/>
      <c r="U2623" s="7">
        <f>IF($C2623="","",S2623*T2623)</f>
        <v/>
      </c>
      <c r="X2623">
        <f>IF($C2623="","",IF($AM2623=1,0,IF($AL2623=1,Settings!$C$6,Settings!$C$7))*100)</f>
        <v/>
      </c>
      <c r="AB2623" s="7" t="n"/>
      <c r="AE2623" s="11" t="n"/>
      <c r="AG2623" s="7">
        <f>IF($C2623="","",U2623*X2623/100)</f>
        <v/>
      </c>
      <c r="AH2623" s="7">
        <f>IF($C2623="","",U2623-AG2623)</f>
        <v/>
      </c>
      <c r="AI2623" s="7">
        <f>IF($C2623="","",AH2623-M2623)</f>
        <v/>
      </c>
      <c r="AJ2623">
        <f>IF($C2623="","",IF(COUNTIF($C$2:$C2623,$C2623)=1,1,0))</f>
        <v/>
      </c>
      <c r="AK2623">
        <f>IF($AJ2623=1,SUMPRODUCT(--($AN$2:$AN$4001&lt;$AN2623))+1,"")</f>
        <v/>
      </c>
      <c r="AL2623">
        <f>IF($C2623="","",IF(OR($Q2623=TRUE(),$Q2623="TRUE"),1,0))</f>
        <v/>
      </c>
      <c r="AM2623">
        <f>IF($C2623="","",IF($W2623="Yes",1,0))</f>
        <v/>
      </c>
      <c r="AN2623">
        <f>IF($AJ2623=1,IFERROR(IF(VALUE($C2623)&lt;100000000,VALUE($C2623),1000000000),IFERROR(IF(VALUE(MID($C2623,2,20))&lt;100000000,VALUE(MID($C2623,2,20)),1000000000),1000000000))+ROW()/100000,"")</f>
        <v/>
      </c>
    </row>
    <row r="2624">
      <c r="E2624" s="11" t="n"/>
      <c r="M2624" s="7">
        <f>IF($C2624="","",L2624*U2624/100)</f>
        <v/>
      </c>
      <c r="N2624" s="7" t="n"/>
      <c r="T2624" s="7" t="n"/>
      <c r="U2624" s="7">
        <f>IF($C2624="","",S2624*T2624)</f>
        <v/>
      </c>
      <c r="X2624">
        <f>IF($C2624="","",IF($AM2624=1,0,IF($AL2624=1,Settings!$C$6,Settings!$C$7))*100)</f>
        <v/>
      </c>
      <c r="AB2624" s="7" t="n"/>
      <c r="AE2624" s="11" t="n"/>
      <c r="AG2624" s="7">
        <f>IF($C2624="","",U2624*X2624/100)</f>
        <v/>
      </c>
      <c r="AH2624" s="7">
        <f>IF($C2624="","",U2624-AG2624)</f>
        <v/>
      </c>
      <c r="AI2624" s="7">
        <f>IF($C2624="","",AH2624-M2624)</f>
        <v/>
      </c>
      <c r="AJ2624">
        <f>IF($C2624="","",IF(COUNTIF($C$2:$C2624,$C2624)=1,1,0))</f>
        <v/>
      </c>
      <c r="AK2624">
        <f>IF($AJ2624=1,SUMPRODUCT(--($AN$2:$AN$4001&lt;$AN2624))+1,"")</f>
        <v/>
      </c>
      <c r="AL2624">
        <f>IF($C2624="","",IF(OR($Q2624=TRUE(),$Q2624="TRUE"),1,0))</f>
        <v/>
      </c>
      <c r="AM2624">
        <f>IF($C2624="","",IF($W2624="Yes",1,0))</f>
        <v/>
      </c>
      <c r="AN2624">
        <f>IF($AJ2624=1,IFERROR(IF(VALUE($C2624)&lt;100000000,VALUE($C2624),1000000000),IFERROR(IF(VALUE(MID($C2624,2,20))&lt;100000000,VALUE(MID($C2624,2,20)),1000000000),1000000000))+ROW()/100000,"")</f>
        <v/>
      </c>
    </row>
    <row r="2625">
      <c r="E2625" s="11" t="n"/>
      <c r="M2625" s="7">
        <f>IF($C2625="","",L2625*U2625/100)</f>
        <v/>
      </c>
      <c r="N2625" s="7" t="n"/>
      <c r="T2625" s="7" t="n"/>
      <c r="U2625" s="7">
        <f>IF($C2625="","",S2625*T2625)</f>
        <v/>
      </c>
      <c r="X2625">
        <f>IF($C2625="","",IF($AM2625=1,0,IF($AL2625=1,Settings!$C$6,Settings!$C$7))*100)</f>
        <v/>
      </c>
      <c r="AB2625" s="7" t="n"/>
      <c r="AE2625" s="11" t="n"/>
      <c r="AG2625" s="7">
        <f>IF($C2625="","",U2625*X2625/100)</f>
        <v/>
      </c>
      <c r="AH2625" s="7">
        <f>IF($C2625="","",U2625-AG2625)</f>
        <v/>
      </c>
      <c r="AI2625" s="7">
        <f>IF($C2625="","",AH2625-M2625)</f>
        <v/>
      </c>
      <c r="AJ2625">
        <f>IF($C2625="","",IF(COUNTIF($C$2:$C2625,$C2625)=1,1,0))</f>
        <v/>
      </c>
      <c r="AK2625">
        <f>IF($AJ2625=1,SUMPRODUCT(--($AN$2:$AN$4001&lt;$AN2625))+1,"")</f>
        <v/>
      </c>
      <c r="AL2625">
        <f>IF($C2625="","",IF(OR($Q2625=TRUE(),$Q2625="TRUE"),1,0))</f>
        <v/>
      </c>
      <c r="AM2625">
        <f>IF($C2625="","",IF($W2625="Yes",1,0))</f>
        <v/>
      </c>
      <c r="AN2625">
        <f>IF($AJ2625=1,IFERROR(IF(VALUE($C2625)&lt;100000000,VALUE($C2625),1000000000),IFERROR(IF(VALUE(MID($C2625,2,20))&lt;100000000,VALUE(MID($C2625,2,20)),1000000000),1000000000))+ROW()/100000,"")</f>
        <v/>
      </c>
    </row>
    <row r="2626">
      <c r="E2626" s="11" t="n"/>
      <c r="M2626" s="7">
        <f>IF($C2626="","",L2626*U2626/100)</f>
        <v/>
      </c>
      <c r="N2626" s="7" t="n"/>
      <c r="T2626" s="7" t="n"/>
      <c r="U2626" s="7">
        <f>IF($C2626="","",S2626*T2626)</f>
        <v/>
      </c>
      <c r="X2626">
        <f>IF($C2626="","",IF($AM2626=1,0,IF($AL2626=1,Settings!$C$6,Settings!$C$7))*100)</f>
        <v/>
      </c>
      <c r="AB2626" s="7" t="n"/>
      <c r="AE2626" s="11" t="n"/>
      <c r="AG2626" s="7">
        <f>IF($C2626="","",U2626*X2626/100)</f>
        <v/>
      </c>
      <c r="AH2626" s="7">
        <f>IF($C2626="","",U2626-AG2626)</f>
        <v/>
      </c>
      <c r="AI2626" s="7">
        <f>IF($C2626="","",AH2626-M2626)</f>
        <v/>
      </c>
      <c r="AJ2626">
        <f>IF($C2626="","",IF(COUNTIF($C$2:$C2626,$C2626)=1,1,0))</f>
        <v/>
      </c>
      <c r="AK2626">
        <f>IF($AJ2626=1,SUMPRODUCT(--($AN$2:$AN$4001&lt;$AN2626))+1,"")</f>
        <v/>
      </c>
      <c r="AL2626">
        <f>IF($C2626="","",IF(OR($Q2626=TRUE(),$Q2626="TRUE"),1,0))</f>
        <v/>
      </c>
      <c r="AM2626">
        <f>IF($C2626="","",IF($W2626="Yes",1,0))</f>
        <v/>
      </c>
      <c r="AN2626">
        <f>IF($AJ2626=1,IFERROR(IF(VALUE($C2626)&lt;100000000,VALUE($C2626),1000000000),IFERROR(IF(VALUE(MID($C2626,2,20))&lt;100000000,VALUE(MID($C2626,2,20)),1000000000),1000000000))+ROW()/100000,"")</f>
        <v/>
      </c>
    </row>
    <row r="2627">
      <c r="E2627" s="11" t="n"/>
      <c r="M2627" s="7">
        <f>IF($C2627="","",L2627*U2627/100)</f>
        <v/>
      </c>
      <c r="N2627" s="7" t="n"/>
      <c r="T2627" s="7" t="n"/>
      <c r="U2627" s="7">
        <f>IF($C2627="","",S2627*T2627)</f>
        <v/>
      </c>
      <c r="X2627">
        <f>IF($C2627="","",IF($AM2627=1,0,IF($AL2627=1,Settings!$C$6,Settings!$C$7))*100)</f>
        <v/>
      </c>
      <c r="AB2627" s="7" t="n"/>
      <c r="AE2627" s="11" t="n"/>
      <c r="AG2627" s="7">
        <f>IF($C2627="","",U2627*X2627/100)</f>
        <v/>
      </c>
      <c r="AH2627" s="7">
        <f>IF($C2627="","",U2627-AG2627)</f>
        <v/>
      </c>
      <c r="AI2627" s="7">
        <f>IF($C2627="","",AH2627-M2627)</f>
        <v/>
      </c>
      <c r="AJ2627">
        <f>IF($C2627="","",IF(COUNTIF($C$2:$C2627,$C2627)=1,1,0))</f>
        <v/>
      </c>
      <c r="AK2627">
        <f>IF($AJ2627=1,SUMPRODUCT(--($AN$2:$AN$4001&lt;$AN2627))+1,"")</f>
        <v/>
      </c>
      <c r="AL2627">
        <f>IF($C2627="","",IF(OR($Q2627=TRUE(),$Q2627="TRUE"),1,0))</f>
        <v/>
      </c>
      <c r="AM2627">
        <f>IF($C2627="","",IF($W2627="Yes",1,0))</f>
        <v/>
      </c>
      <c r="AN2627">
        <f>IF($AJ2627=1,IFERROR(IF(VALUE($C2627)&lt;100000000,VALUE($C2627),1000000000),IFERROR(IF(VALUE(MID($C2627,2,20))&lt;100000000,VALUE(MID($C2627,2,20)),1000000000),1000000000))+ROW()/100000,"")</f>
        <v/>
      </c>
    </row>
    <row r="2628">
      <c r="E2628" s="11" t="n"/>
      <c r="M2628" s="7">
        <f>IF($C2628="","",L2628*U2628/100)</f>
        <v/>
      </c>
      <c r="N2628" s="7" t="n"/>
      <c r="T2628" s="7" t="n"/>
      <c r="U2628" s="7">
        <f>IF($C2628="","",S2628*T2628)</f>
        <v/>
      </c>
      <c r="X2628">
        <f>IF($C2628="","",IF($AM2628=1,0,IF($AL2628=1,Settings!$C$6,Settings!$C$7))*100)</f>
        <v/>
      </c>
      <c r="AB2628" s="7" t="n"/>
      <c r="AE2628" s="11" t="n"/>
      <c r="AG2628" s="7">
        <f>IF($C2628="","",U2628*X2628/100)</f>
        <v/>
      </c>
      <c r="AH2628" s="7">
        <f>IF($C2628="","",U2628-AG2628)</f>
        <v/>
      </c>
      <c r="AI2628" s="7">
        <f>IF($C2628="","",AH2628-M2628)</f>
        <v/>
      </c>
      <c r="AJ2628">
        <f>IF($C2628="","",IF(COUNTIF($C$2:$C2628,$C2628)=1,1,0))</f>
        <v/>
      </c>
      <c r="AK2628">
        <f>IF($AJ2628=1,SUMPRODUCT(--($AN$2:$AN$4001&lt;$AN2628))+1,"")</f>
        <v/>
      </c>
      <c r="AL2628">
        <f>IF($C2628="","",IF(OR($Q2628=TRUE(),$Q2628="TRUE"),1,0))</f>
        <v/>
      </c>
      <c r="AM2628">
        <f>IF($C2628="","",IF($W2628="Yes",1,0))</f>
        <v/>
      </c>
      <c r="AN2628">
        <f>IF($AJ2628=1,IFERROR(IF(VALUE($C2628)&lt;100000000,VALUE($C2628),1000000000),IFERROR(IF(VALUE(MID($C2628,2,20))&lt;100000000,VALUE(MID($C2628,2,20)),1000000000),1000000000))+ROW()/100000,"")</f>
        <v/>
      </c>
    </row>
    <row r="2629">
      <c r="E2629" s="11" t="n"/>
      <c r="M2629" s="7">
        <f>IF($C2629="","",L2629*U2629/100)</f>
        <v/>
      </c>
      <c r="N2629" s="7" t="n"/>
      <c r="T2629" s="7" t="n"/>
      <c r="U2629" s="7">
        <f>IF($C2629="","",S2629*T2629)</f>
        <v/>
      </c>
      <c r="X2629">
        <f>IF($C2629="","",IF($AM2629=1,0,IF($AL2629=1,Settings!$C$6,Settings!$C$7))*100)</f>
        <v/>
      </c>
      <c r="AB2629" s="7" t="n"/>
      <c r="AE2629" s="11" t="n"/>
      <c r="AG2629" s="7">
        <f>IF($C2629="","",U2629*X2629/100)</f>
        <v/>
      </c>
      <c r="AH2629" s="7">
        <f>IF($C2629="","",U2629-AG2629)</f>
        <v/>
      </c>
      <c r="AI2629" s="7">
        <f>IF($C2629="","",AH2629-M2629)</f>
        <v/>
      </c>
      <c r="AJ2629">
        <f>IF($C2629="","",IF(COUNTIF($C$2:$C2629,$C2629)=1,1,0))</f>
        <v/>
      </c>
      <c r="AK2629">
        <f>IF($AJ2629=1,SUMPRODUCT(--($AN$2:$AN$4001&lt;$AN2629))+1,"")</f>
        <v/>
      </c>
      <c r="AL2629">
        <f>IF($C2629="","",IF(OR($Q2629=TRUE(),$Q2629="TRUE"),1,0))</f>
        <v/>
      </c>
      <c r="AM2629">
        <f>IF($C2629="","",IF($W2629="Yes",1,0))</f>
        <v/>
      </c>
      <c r="AN2629">
        <f>IF($AJ2629=1,IFERROR(IF(VALUE($C2629)&lt;100000000,VALUE($C2629),1000000000),IFERROR(IF(VALUE(MID($C2629,2,20))&lt;100000000,VALUE(MID($C2629,2,20)),1000000000),1000000000))+ROW()/100000,"")</f>
        <v/>
      </c>
    </row>
    <row r="2630">
      <c r="E2630" s="11" t="n"/>
      <c r="M2630" s="7">
        <f>IF($C2630="","",L2630*U2630/100)</f>
        <v/>
      </c>
      <c r="N2630" s="7" t="n"/>
      <c r="T2630" s="7" t="n"/>
      <c r="U2630" s="7">
        <f>IF($C2630="","",S2630*T2630)</f>
        <v/>
      </c>
      <c r="X2630">
        <f>IF($C2630="","",IF($AM2630=1,0,IF($AL2630=1,Settings!$C$6,Settings!$C$7))*100)</f>
        <v/>
      </c>
      <c r="AB2630" s="7" t="n"/>
      <c r="AE2630" s="11" t="n"/>
      <c r="AG2630" s="7">
        <f>IF($C2630="","",U2630*X2630/100)</f>
        <v/>
      </c>
      <c r="AH2630" s="7">
        <f>IF($C2630="","",U2630-AG2630)</f>
        <v/>
      </c>
      <c r="AI2630" s="7">
        <f>IF($C2630="","",AH2630-M2630)</f>
        <v/>
      </c>
      <c r="AJ2630">
        <f>IF($C2630="","",IF(COUNTIF($C$2:$C2630,$C2630)=1,1,0))</f>
        <v/>
      </c>
      <c r="AK2630">
        <f>IF($AJ2630=1,SUMPRODUCT(--($AN$2:$AN$4001&lt;$AN2630))+1,"")</f>
        <v/>
      </c>
      <c r="AL2630">
        <f>IF($C2630="","",IF(OR($Q2630=TRUE(),$Q2630="TRUE"),1,0))</f>
        <v/>
      </c>
      <c r="AM2630">
        <f>IF($C2630="","",IF($W2630="Yes",1,0))</f>
        <v/>
      </c>
      <c r="AN2630">
        <f>IF($AJ2630=1,IFERROR(IF(VALUE($C2630)&lt;100000000,VALUE($C2630),1000000000),IFERROR(IF(VALUE(MID($C2630,2,20))&lt;100000000,VALUE(MID($C2630,2,20)),1000000000),1000000000))+ROW()/100000,"")</f>
        <v/>
      </c>
    </row>
    <row r="2631">
      <c r="E2631" s="11" t="n"/>
      <c r="M2631" s="7">
        <f>IF($C2631="","",L2631*U2631/100)</f>
        <v/>
      </c>
      <c r="N2631" s="7" t="n"/>
      <c r="T2631" s="7" t="n"/>
      <c r="U2631" s="7">
        <f>IF($C2631="","",S2631*T2631)</f>
        <v/>
      </c>
      <c r="X2631">
        <f>IF($C2631="","",IF($AM2631=1,0,IF($AL2631=1,Settings!$C$6,Settings!$C$7))*100)</f>
        <v/>
      </c>
      <c r="AB2631" s="7" t="n"/>
      <c r="AE2631" s="11" t="n"/>
      <c r="AG2631" s="7">
        <f>IF($C2631="","",U2631*X2631/100)</f>
        <v/>
      </c>
      <c r="AH2631" s="7">
        <f>IF($C2631="","",U2631-AG2631)</f>
        <v/>
      </c>
      <c r="AI2631" s="7">
        <f>IF($C2631="","",AH2631-M2631)</f>
        <v/>
      </c>
      <c r="AJ2631">
        <f>IF($C2631="","",IF(COUNTIF($C$2:$C2631,$C2631)=1,1,0))</f>
        <v/>
      </c>
      <c r="AK2631">
        <f>IF($AJ2631=1,SUMPRODUCT(--($AN$2:$AN$4001&lt;$AN2631))+1,"")</f>
        <v/>
      </c>
      <c r="AL2631">
        <f>IF($C2631="","",IF(OR($Q2631=TRUE(),$Q2631="TRUE"),1,0))</f>
        <v/>
      </c>
      <c r="AM2631">
        <f>IF($C2631="","",IF($W2631="Yes",1,0))</f>
        <v/>
      </c>
      <c r="AN2631">
        <f>IF($AJ2631=1,IFERROR(IF(VALUE($C2631)&lt;100000000,VALUE($C2631),1000000000),IFERROR(IF(VALUE(MID($C2631,2,20))&lt;100000000,VALUE(MID($C2631,2,20)),1000000000),1000000000))+ROW()/100000,"")</f>
        <v/>
      </c>
    </row>
    <row r="2632">
      <c r="E2632" s="11" t="n"/>
      <c r="M2632" s="7">
        <f>IF($C2632="","",L2632*U2632/100)</f>
        <v/>
      </c>
      <c r="N2632" s="7" t="n"/>
      <c r="T2632" s="7" t="n"/>
      <c r="U2632" s="7">
        <f>IF($C2632="","",S2632*T2632)</f>
        <v/>
      </c>
      <c r="X2632">
        <f>IF($C2632="","",IF($AM2632=1,0,IF($AL2632=1,Settings!$C$6,Settings!$C$7))*100)</f>
        <v/>
      </c>
      <c r="AB2632" s="7" t="n"/>
      <c r="AE2632" s="11" t="n"/>
      <c r="AG2632" s="7">
        <f>IF($C2632="","",U2632*X2632/100)</f>
        <v/>
      </c>
      <c r="AH2632" s="7">
        <f>IF($C2632="","",U2632-AG2632)</f>
        <v/>
      </c>
      <c r="AI2632" s="7">
        <f>IF($C2632="","",AH2632-M2632)</f>
        <v/>
      </c>
      <c r="AJ2632">
        <f>IF($C2632="","",IF(COUNTIF($C$2:$C2632,$C2632)=1,1,0))</f>
        <v/>
      </c>
      <c r="AK2632">
        <f>IF($AJ2632=1,SUMPRODUCT(--($AN$2:$AN$4001&lt;$AN2632))+1,"")</f>
        <v/>
      </c>
      <c r="AL2632">
        <f>IF($C2632="","",IF(OR($Q2632=TRUE(),$Q2632="TRUE"),1,0))</f>
        <v/>
      </c>
      <c r="AM2632">
        <f>IF($C2632="","",IF($W2632="Yes",1,0))</f>
        <v/>
      </c>
      <c r="AN2632">
        <f>IF($AJ2632=1,IFERROR(IF(VALUE($C2632)&lt;100000000,VALUE($C2632),1000000000),IFERROR(IF(VALUE(MID($C2632,2,20))&lt;100000000,VALUE(MID($C2632,2,20)),1000000000),1000000000))+ROW()/100000,"")</f>
        <v/>
      </c>
    </row>
    <row r="2633">
      <c r="E2633" s="11" t="n"/>
      <c r="M2633" s="7">
        <f>IF($C2633="","",L2633*U2633/100)</f>
        <v/>
      </c>
      <c r="N2633" s="7" t="n"/>
      <c r="T2633" s="7" t="n"/>
      <c r="U2633" s="7">
        <f>IF($C2633="","",S2633*T2633)</f>
        <v/>
      </c>
      <c r="X2633">
        <f>IF($C2633="","",IF($AM2633=1,0,IF($AL2633=1,Settings!$C$6,Settings!$C$7))*100)</f>
        <v/>
      </c>
      <c r="AB2633" s="7" t="n"/>
      <c r="AE2633" s="11" t="n"/>
      <c r="AG2633" s="7">
        <f>IF($C2633="","",U2633*X2633/100)</f>
        <v/>
      </c>
      <c r="AH2633" s="7">
        <f>IF($C2633="","",U2633-AG2633)</f>
        <v/>
      </c>
      <c r="AI2633" s="7">
        <f>IF($C2633="","",AH2633-M2633)</f>
        <v/>
      </c>
      <c r="AJ2633">
        <f>IF($C2633="","",IF(COUNTIF($C$2:$C2633,$C2633)=1,1,0))</f>
        <v/>
      </c>
      <c r="AK2633">
        <f>IF($AJ2633=1,SUMPRODUCT(--($AN$2:$AN$4001&lt;$AN2633))+1,"")</f>
        <v/>
      </c>
      <c r="AL2633">
        <f>IF($C2633="","",IF(OR($Q2633=TRUE(),$Q2633="TRUE"),1,0))</f>
        <v/>
      </c>
      <c r="AM2633">
        <f>IF($C2633="","",IF($W2633="Yes",1,0))</f>
        <v/>
      </c>
      <c r="AN2633">
        <f>IF($AJ2633=1,IFERROR(IF(VALUE($C2633)&lt;100000000,VALUE($C2633),1000000000),IFERROR(IF(VALUE(MID($C2633,2,20))&lt;100000000,VALUE(MID($C2633,2,20)),1000000000),1000000000))+ROW()/100000,"")</f>
        <v/>
      </c>
    </row>
    <row r="2634">
      <c r="E2634" s="11" t="n"/>
      <c r="M2634" s="7">
        <f>IF($C2634="","",L2634*U2634/100)</f>
        <v/>
      </c>
      <c r="N2634" s="7" t="n"/>
      <c r="T2634" s="7" t="n"/>
      <c r="U2634" s="7">
        <f>IF($C2634="","",S2634*T2634)</f>
        <v/>
      </c>
      <c r="X2634">
        <f>IF($C2634="","",IF($AM2634=1,0,IF($AL2634=1,Settings!$C$6,Settings!$C$7))*100)</f>
        <v/>
      </c>
      <c r="AB2634" s="7" t="n"/>
      <c r="AE2634" s="11" t="n"/>
      <c r="AG2634" s="7">
        <f>IF($C2634="","",U2634*X2634/100)</f>
        <v/>
      </c>
      <c r="AH2634" s="7">
        <f>IF($C2634="","",U2634-AG2634)</f>
        <v/>
      </c>
      <c r="AI2634" s="7">
        <f>IF($C2634="","",AH2634-M2634)</f>
        <v/>
      </c>
      <c r="AJ2634">
        <f>IF($C2634="","",IF(COUNTIF($C$2:$C2634,$C2634)=1,1,0))</f>
        <v/>
      </c>
      <c r="AK2634">
        <f>IF($AJ2634=1,SUMPRODUCT(--($AN$2:$AN$4001&lt;$AN2634))+1,"")</f>
        <v/>
      </c>
      <c r="AL2634">
        <f>IF($C2634="","",IF(OR($Q2634=TRUE(),$Q2634="TRUE"),1,0))</f>
        <v/>
      </c>
      <c r="AM2634">
        <f>IF($C2634="","",IF($W2634="Yes",1,0))</f>
        <v/>
      </c>
      <c r="AN2634">
        <f>IF($AJ2634=1,IFERROR(IF(VALUE($C2634)&lt;100000000,VALUE($C2634),1000000000),IFERROR(IF(VALUE(MID($C2634,2,20))&lt;100000000,VALUE(MID($C2634,2,20)),1000000000),1000000000))+ROW()/100000,"")</f>
        <v/>
      </c>
    </row>
    <row r="2635">
      <c r="E2635" s="11" t="n"/>
      <c r="M2635" s="7">
        <f>IF($C2635="","",L2635*U2635/100)</f>
        <v/>
      </c>
      <c r="N2635" s="7" t="n"/>
      <c r="T2635" s="7" t="n"/>
      <c r="U2635" s="7">
        <f>IF($C2635="","",S2635*T2635)</f>
        <v/>
      </c>
      <c r="X2635">
        <f>IF($C2635="","",IF($AM2635=1,0,IF($AL2635=1,Settings!$C$6,Settings!$C$7))*100)</f>
        <v/>
      </c>
      <c r="AB2635" s="7" t="n"/>
      <c r="AE2635" s="11" t="n"/>
      <c r="AG2635" s="7">
        <f>IF($C2635="","",U2635*X2635/100)</f>
        <v/>
      </c>
      <c r="AH2635" s="7">
        <f>IF($C2635="","",U2635-AG2635)</f>
        <v/>
      </c>
      <c r="AI2635" s="7">
        <f>IF($C2635="","",AH2635-M2635)</f>
        <v/>
      </c>
      <c r="AJ2635">
        <f>IF($C2635="","",IF(COUNTIF($C$2:$C2635,$C2635)=1,1,0))</f>
        <v/>
      </c>
      <c r="AK2635">
        <f>IF($AJ2635=1,SUMPRODUCT(--($AN$2:$AN$4001&lt;$AN2635))+1,"")</f>
        <v/>
      </c>
      <c r="AL2635">
        <f>IF($C2635="","",IF(OR($Q2635=TRUE(),$Q2635="TRUE"),1,0))</f>
        <v/>
      </c>
      <c r="AM2635">
        <f>IF($C2635="","",IF($W2635="Yes",1,0))</f>
        <v/>
      </c>
      <c r="AN2635">
        <f>IF($AJ2635=1,IFERROR(IF(VALUE($C2635)&lt;100000000,VALUE($C2635),1000000000),IFERROR(IF(VALUE(MID($C2635,2,20))&lt;100000000,VALUE(MID($C2635,2,20)),1000000000),1000000000))+ROW()/100000,"")</f>
        <v/>
      </c>
    </row>
    <row r="2636">
      <c r="E2636" s="11" t="n"/>
      <c r="M2636" s="7">
        <f>IF($C2636="","",L2636*U2636/100)</f>
        <v/>
      </c>
      <c r="N2636" s="7" t="n"/>
      <c r="T2636" s="7" t="n"/>
      <c r="U2636" s="7">
        <f>IF($C2636="","",S2636*T2636)</f>
        <v/>
      </c>
      <c r="X2636">
        <f>IF($C2636="","",IF($AM2636=1,0,IF($AL2636=1,Settings!$C$6,Settings!$C$7))*100)</f>
        <v/>
      </c>
      <c r="AB2636" s="7" t="n"/>
      <c r="AE2636" s="11" t="n"/>
      <c r="AG2636" s="7">
        <f>IF($C2636="","",U2636*X2636/100)</f>
        <v/>
      </c>
      <c r="AH2636" s="7">
        <f>IF($C2636="","",U2636-AG2636)</f>
        <v/>
      </c>
      <c r="AI2636" s="7">
        <f>IF($C2636="","",AH2636-M2636)</f>
        <v/>
      </c>
      <c r="AJ2636">
        <f>IF($C2636="","",IF(COUNTIF($C$2:$C2636,$C2636)=1,1,0))</f>
        <v/>
      </c>
      <c r="AK2636">
        <f>IF($AJ2636=1,SUMPRODUCT(--($AN$2:$AN$4001&lt;$AN2636))+1,"")</f>
        <v/>
      </c>
      <c r="AL2636">
        <f>IF($C2636="","",IF(OR($Q2636=TRUE(),$Q2636="TRUE"),1,0))</f>
        <v/>
      </c>
      <c r="AM2636">
        <f>IF($C2636="","",IF($W2636="Yes",1,0))</f>
        <v/>
      </c>
      <c r="AN2636">
        <f>IF($AJ2636=1,IFERROR(IF(VALUE($C2636)&lt;100000000,VALUE($C2636),1000000000),IFERROR(IF(VALUE(MID($C2636,2,20))&lt;100000000,VALUE(MID($C2636,2,20)),1000000000),1000000000))+ROW()/100000,"")</f>
        <v/>
      </c>
    </row>
    <row r="2637">
      <c r="E2637" s="11" t="n"/>
      <c r="M2637" s="7">
        <f>IF($C2637="","",L2637*U2637/100)</f>
        <v/>
      </c>
      <c r="N2637" s="7" t="n"/>
      <c r="T2637" s="7" t="n"/>
      <c r="U2637" s="7">
        <f>IF($C2637="","",S2637*T2637)</f>
        <v/>
      </c>
      <c r="X2637">
        <f>IF($C2637="","",IF($AM2637=1,0,IF($AL2637=1,Settings!$C$6,Settings!$C$7))*100)</f>
        <v/>
      </c>
      <c r="AB2637" s="7" t="n"/>
      <c r="AE2637" s="11" t="n"/>
      <c r="AG2637" s="7">
        <f>IF($C2637="","",U2637*X2637/100)</f>
        <v/>
      </c>
      <c r="AH2637" s="7">
        <f>IF($C2637="","",U2637-AG2637)</f>
        <v/>
      </c>
      <c r="AI2637" s="7">
        <f>IF($C2637="","",AH2637-M2637)</f>
        <v/>
      </c>
      <c r="AJ2637">
        <f>IF($C2637="","",IF(COUNTIF($C$2:$C2637,$C2637)=1,1,0))</f>
        <v/>
      </c>
      <c r="AK2637">
        <f>IF($AJ2637=1,SUMPRODUCT(--($AN$2:$AN$4001&lt;$AN2637))+1,"")</f>
        <v/>
      </c>
      <c r="AL2637">
        <f>IF($C2637="","",IF(OR($Q2637=TRUE(),$Q2637="TRUE"),1,0))</f>
        <v/>
      </c>
      <c r="AM2637">
        <f>IF($C2637="","",IF($W2637="Yes",1,0))</f>
        <v/>
      </c>
      <c r="AN2637">
        <f>IF($AJ2637=1,IFERROR(IF(VALUE($C2637)&lt;100000000,VALUE($C2637),1000000000),IFERROR(IF(VALUE(MID($C2637,2,20))&lt;100000000,VALUE(MID($C2637,2,20)),1000000000),1000000000))+ROW()/100000,"")</f>
        <v/>
      </c>
    </row>
    <row r="2638">
      <c r="E2638" s="11" t="n"/>
      <c r="M2638" s="7">
        <f>IF($C2638="","",L2638*U2638/100)</f>
        <v/>
      </c>
      <c r="N2638" s="7" t="n"/>
      <c r="T2638" s="7" t="n"/>
      <c r="U2638" s="7">
        <f>IF($C2638="","",S2638*T2638)</f>
        <v/>
      </c>
      <c r="X2638">
        <f>IF($C2638="","",IF($AM2638=1,0,IF($AL2638=1,Settings!$C$6,Settings!$C$7))*100)</f>
        <v/>
      </c>
      <c r="AB2638" s="7" t="n"/>
      <c r="AE2638" s="11" t="n"/>
      <c r="AG2638" s="7">
        <f>IF($C2638="","",U2638*X2638/100)</f>
        <v/>
      </c>
      <c r="AH2638" s="7">
        <f>IF($C2638="","",U2638-AG2638)</f>
        <v/>
      </c>
      <c r="AI2638" s="7">
        <f>IF($C2638="","",AH2638-M2638)</f>
        <v/>
      </c>
      <c r="AJ2638">
        <f>IF($C2638="","",IF(COUNTIF($C$2:$C2638,$C2638)=1,1,0))</f>
        <v/>
      </c>
      <c r="AK2638">
        <f>IF($AJ2638=1,SUMPRODUCT(--($AN$2:$AN$4001&lt;$AN2638))+1,"")</f>
        <v/>
      </c>
      <c r="AL2638">
        <f>IF($C2638="","",IF(OR($Q2638=TRUE(),$Q2638="TRUE"),1,0))</f>
        <v/>
      </c>
      <c r="AM2638">
        <f>IF($C2638="","",IF($W2638="Yes",1,0))</f>
        <v/>
      </c>
      <c r="AN2638">
        <f>IF($AJ2638=1,IFERROR(IF(VALUE($C2638)&lt;100000000,VALUE($C2638),1000000000),IFERROR(IF(VALUE(MID($C2638,2,20))&lt;100000000,VALUE(MID($C2638,2,20)),1000000000),1000000000))+ROW()/100000,"")</f>
        <v/>
      </c>
    </row>
    <row r="2639">
      <c r="E2639" s="11" t="n"/>
      <c r="M2639" s="7">
        <f>IF($C2639="","",L2639*U2639/100)</f>
        <v/>
      </c>
      <c r="N2639" s="7" t="n"/>
      <c r="T2639" s="7" t="n"/>
      <c r="U2639" s="7">
        <f>IF($C2639="","",S2639*T2639)</f>
        <v/>
      </c>
      <c r="X2639">
        <f>IF($C2639="","",IF($AM2639=1,0,IF($AL2639=1,Settings!$C$6,Settings!$C$7))*100)</f>
        <v/>
      </c>
      <c r="AB2639" s="7" t="n"/>
      <c r="AE2639" s="11" t="n"/>
      <c r="AG2639" s="7">
        <f>IF($C2639="","",U2639*X2639/100)</f>
        <v/>
      </c>
      <c r="AH2639" s="7">
        <f>IF($C2639="","",U2639-AG2639)</f>
        <v/>
      </c>
      <c r="AI2639" s="7">
        <f>IF($C2639="","",AH2639-M2639)</f>
        <v/>
      </c>
      <c r="AJ2639">
        <f>IF($C2639="","",IF(COUNTIF($C$2:$C2639,$C2639)=1,1,0))</f>
        <v/>
      </c>
      <c r="AK2639">
        <f>IF($AJ2639=1,SUMPRODUCT(--($AN$2:$AN$4001&lt;$AN2639))+1,"")</f>
        <v/>
      </c>
      <c r="AL2639">
        <f>IF($C2639="","",IF(OR($Q2639=TRUE(),$Q2639="TRUE"),1,0))</f>
        <v/>
      </c>
      <c r="AM2639">
        <f>IF($C2639="","",IF($W2639="Yes",1,0))</f>
        <v/>
      </c>
      <c r="AN2639">
        <f>IF($AJ2639=1,IFERROR(IF(VALUE($C2639)&lt;100000000,VALUE($C2639),1000000000),IFERROR(IF(VALUE(MID($C2639,2,20))&lt;100000000,VALUE(MID($C2639,2,20)),1000000000),1000000000))+ROW()/100000,"")</f>
        <v/>
      </c>
    </row>
    <row r="2640">
      <c r="E2640" s="11" t="n"/>
      <c r="M2640" s="7">
        <f>IF($C2640="","",L2640*U2640/100)</f>
        <v/>
      </c>
      <c r="N2640" s="7" t="n"/>
      <c r="T2640" s="7" t="n"/>
      <c r="U2640" s="7">
        <f>IF($C2640="","",S2640*T2640)</f>
        <v/>
      </c>
      <c r="X2640">
        <f>IF($C2640="","",IF($AM2640=1,0,IF($AL2640=1,Settings!$C$6,Settings!$C$7))*100)</f>
        <v/>
      </c>
      <c r="AB2640" s="7" t="n"/>
      <c r="AE2640" s="11" t="n"/>
      <c r="AG2640" s="7">
        <f>IF($C2640="","",U2640*X2640/100)</f>
        <v/>
      </c>
      <c r="AH2640" s="7">
        <f>IF($C2640="","",U2640-AG2640)</f>
        <v/>
      </c>
      <c r="AI2640" s="7">
        <f>IF($C2640="","",AH2640-M2640)</f>
        <v/>
      </c>
      <c r="AJ2640">
        <f>IF($C2640="","",IF(COUNTIF($C$2:$C2640,$C2640)=1,1,0))</f>
        <v/>
      </c>
      <c r="AK2640">
        <f>IF($AJ2640=1,SUMPRODUCT(--($AN$2:$AN$4001&lt;$AN2640))+1,"")</f>
        <v/>
      </c>
      <c r="AL2640">
        <f>IF($C2640="","",IF(OR($Q2640=TRUE(),$Q2640="TRUE"),1,0))</f>
        <v/>
      </c>
      <c r="AM2640">
        <f>IF($C2640="","",IF($W2640="Yes",1,0))</f>
        <v/>
      </c>
      <c r="AN2640">
        <f>IF($AJ2640=1,IFERROR(IF(VALUE($C2640)&lt;100000000,VALUE($C2640),1000000000),IFERROR(IF(VALUE(MID($C2640,2,20))&lt;100000000,VALUE(MID($C2640,2,20)),1000000000),1000000000))+ROW()/100000,"")</f>
        <v/>
      </c>
    </row>
    <row r="2641">
      <c r="E2641" s="11" t="n"/>
      <c r="M2641" s="7">
        <f>IF($C2641="","",L2641*U2641/100)</f>
        <v/>
      </c>
      <c r="N2641" s="7" t="n"/>
      <c r="T2641" s="7" t="n"/>
      <c r="U2641" s="7">
        <f>IF($C2641="","",S2641*T2641)</f>
        <v/>
      </c>
      <c r="X2641">
        <f>IF($C2641="","",IF($AM2641=1,0,IF($AL2641=1,Settings!$C$6,Settings!$C$7))*100)</f>
        <v/>
      </c>
      <c r="AB2641" s="7" t="n"/>
      <c r="AE2641" s="11" t="n"/>
      <c r="AG2641" s="7">
        <f>IF($C2641="","",U2641*X2641/100)</f>
        <v/>
      </c>
      <c r="AH2641" s="7">
        <f>IF($C2641="","",U2641-AG2641)</f>
        <v/>
      </c>
      <c r="AI2641" s="7">
        <f>IF($C2641="","",AH2641-M2641)</f>
        <v/>
      </c>
      <c r="AJ2641">
        <f>IF($C2641="","",IF(COUNTIF($C$2:$C2641,$C2641)=1,1,0))</f>
        <v/>
      </c>
      <c r="AK2641">
        <f>IF($AJ2641=1,SUMPRODUCT(--($AN$2:$AN$4001&lt;$AN2641))+1,"")</f>
        <v/>
      </c>
      <c r="AL2641">
        <f>IF($C2641="","",IF(OR($Q2641=TRUE(),$Q2641="TRUE"),1,0))</f>
        <v/>
      </c>
      <c r="AM2641">
        <f>IF($C2641="","",IF($W2641="Yes",1,0))</f>
        <v/>
      </c>
      <c r="AN2641">
        <f>IF($AJ2641=1,IFERROR(IF(VALUE($C2641)&lt;100000000,VALUE($C2641),1000000000),IFERROR(IF(VALUE(MID($C2641,2,20))&lt;100000000,VALUE(MID($C2641,2,20)),1000000000),1000000000))+ROW()/100000,"")</f>
        <v/>
      </c>
    </row>
    <row r="2642">
      <c r="E2642" s="11" t="n"/>
      <c r="M2642" s="7">
        <f>IF($C2642="","",L2642*U2642/100)</f>
        <v/>
      </c>
      <c r="N2642" s="7" t="n"/>
      <c r="T2642" s="7" t="n"/>
      <c r="U2642" s="7">
        <f>IF($C2642="","",S2642*T2642)</f>
        <v/>
      </c>
      <c r="X2642">
        <f>IF($C2642="","",IF($AM2642=1,0,IF($AL2642=1,Settings!$C$6,Settings!$C$7))*100)</f>
        <v/>
      </c>
      <c r="AB2642" s="7" t="n"/>
      <c r="AE2642" s="11" t="n"/>
      <c r="AG2642" s="7">
        <f>IF($C2642="","",U2642*X2642/100)</f>
        <v/>
      </c>
      <c r="AH2642" s="7">
        <f>IF($C2642="","",U2642-AG2642)</f>
        <v/>
      </c>
      <c r="AI2642" s="7">
        <f>IF($C2642="","",AH2642-M2642)</f>
        <v/>
      </c>
      <c r="AJ2642">
        <f>IF($C2642="","",IF(COUNTIF($C$2:$C2642,$C2642)=1,1,0))</f>
        <v/>
      </c>
      <c r="AK2642">
        <f>IF($AJ2642=1,SUMPRODUCT(--($AN$2:$AN$4001&lt;$AN2642))+1,"")</f>
        <v/>
      </c>
      <c r="AL2642">
        <f>IF($C2642="","",IF(OR($Q2642=TRUE(),$Q2642="TRUE"),1,0))</f>
        <v/>
      </c>
      <c r="AM2642">
        <f>IF($C2642="","",IF($W2642="Yes",1,0))</f>
        <v/>
      </c>
      <c r="AN2642">
        <f>IF($AJ2642=1,IFERROR(IF(VALUE($C2642)&lt;100000000,VALUE($C2642),1000000000),IFERROR(IF(VALUE(MID($C2642,2,20))&lt;100000000,VALUE(MID($C2642,2,20)),1000000000),1000000000))+ROW()/100000,"")</f>
        <v/>
      </c>
    </row>
    <row r="2643">
      <c r="E2643" s="11" t="n"/>
      <c r="M2643" s="7">
        <f>IF($C2643="","",L2643*U2643/100)</f>
        <v/>
      </c>
      <c r="N2643" s="7" t="n"/>
      <c r="T2643" s="7" t="n"/>
      <c r="U2643" s="7">
        <f>IF($C2643="","",S2643*T2643)</f>
        <v/>
      </c>
      <c r="X2643">
        <f>IF($C2643="","",IF($AM2643=1,0,IF($AL2643=1,Settings!$C$6,Settings!$C$7))*100)</f>
        <v/>
      </c>
      <c r="AB2643" s="7" t="n"/>
      <c r="AE2643" s="11" t="n"/>
      <c r="AG2643" s="7">
        <f>IF($C2643="","",U2643*X2643/100)</f>
        <v/>
      </c>
      <c r="AH2643" s="7">
        <f>IF($C2643="","",U2643-AG2643)</f>
        <v/>
      </c>
      <c r="AI2643" s="7">
        <f>IF($C2643="","",AH2643-M2643)</f>
        <v/>
      </c>
      <c r="AJ2643">
        <f>IF($C2643="","",IF(COUNTIF($C$2:$C2643,$C2643)=1,1,0))</f>
        <v/>
      </c>
      <c r="AK2643">
        <f>IF($AJ2643=1,SUMPRODUCT(--($AN$2:$AN$4001&lt;$AN2643))+1,"")</f>
        <v/>
      </c>
      <c r="AL2643">
        <f>IF($C2643="","",IF(OR($Q2643=TRUE(),$Q2643="TRUE"),1,0))</f>
        <v/>
      </c>
      <c r="AM2643">
        <f>IF($C2643="","",IF($W2643="Yes",1,0))</f>
        <v/>
      </c>
      <c r="AN2643">
        <f>IF($AJ2643=1,IFERROR(IF(VALUE($C2643)&lt;100000000,VALUE($C2643),1000000000),IFERROR(IF(VALUE(MID($C2643,2,20))&lt;100000000,VALUE(MID($C2643,2,20)),1000000000),1000000000))+ROW()/100000,"")</f>
        <v/>
      </c>
    </row>
    <row r="2644">
      <c r="E2644" s="11" t="n"/>
      <c r="M2644" s="7">
        <f>IF($C2644="","",L2644*U2644/100)</f>
        <v/>
      </c>
      <c r="N2644" s="7" t="n"/>
      <c r="T2644" s="7" t="n"/>
      <c r="U2644" s="7">
        <f>IF($C2644="","",S2644*T2644)</f>
        <v/>
      </c>
      <c r="X2644">
        <f>IF($C2644="","",IF($AM2644=1,0,IF($AL2644=1,Settings!$C$6,Settings!$C$7))*100)</f>
        <v/>
      </c>
      <c r="AB2644" s="7" t="n"/>
      <c r="AE2644" s="11" t="n"/>
      <c r="AG2644" s="7">
        <f>IF($C2644="","",U2644*X2644/100)</f>
        <v/>
      </c>
      <c r="AH2644" s="7">
        <f>IF($C2644="","",U2644-AG2644)</f>
        <v/>
      </c>
      <c r="AI2644" s="7">
        <f>IF($C2644="","",AH2644-M2644)</f>
        <v/>
      </c>
      <c r="AJ2644">
        <f>IF($C2644="","",IF(COUNTIF($C$2:$C2644,$C2644)=1,1,0))</f>
        <v/>
      </c>
      <c r="AK2644">
        <f>IF($AJ2644=1,SUMPRODUCT(--($AN$2:$AN$4001&lt;$AN2644))+1,"")</f>
        <v/>
      </c>
      <c r="AL2644">
        <f>IF($C2644="","",IF(OR($Q2644=TRUE(),$Q2644="TRUE"),1,0))</f>
        <v/>
      </c>
      <c r="AM2644">
        <f>IF($C2644="","",IF($W2644="Yes",1,0))</f>
        <v/>
      </c>
      <c r="AN2644">
        <f>IF($AJ2644=1,IFERROR(IF(VALUE($C2644)&lt;100000000,VALUE($C2644),1000000000),IFERROR(IF(VALUE(MID($C2644,2,20))&lt;100000000,VALUE(MID($C2644,2,20)),1000000000),1000000000))+ROW()/100000,"")</f>
        <v/>
      </c>
    </row>
    <row r="2645">
      <c r="E2645" s="11" t="n"/>
      <c r="M2645" s="7">
        <f>IF($C2645="","",L2645*U2645/100)</f>
        <v/>
      </c>
      <c r="N2645" s="7" t="n"/>
      <c r="T2645" s="7" t="n"/>
      <c r="U2645" s="7">
        <f>IF($C2645="","",S2645*T2645)</f>
        <v/>
      </c>
      <c r="X2645">
        <f>IF($C2645="","",IF($AM2645=1,0,IF($AL2645=1,Settings!$C$6,Settings!$C$7))*100)</f>
        <v/>
      </c>
      <c r="AB2645" s="7" t="n"/>
      <c r="AE2645" s="11" t="n"/>
      <c r="AG2645" s="7">
        <f>IF($C2645="","",U2645*X2645/100)</f>
        <v/>
      </c>
      <c r="AH2645" s="7">
        <f>IF($C2645="","",U2645-AG2645)</f>
        <v/>
      </c>
      <c r="AI2645" s="7">
        <f>IF($C2645="","",AH2645-M2645)</f>
        <v/>
      </c>
      <c r="AJ2645">
        <f>IF($C2645="","",IF(COUNTIF($C$2:$C2645,$C2645)=1,1,0))</f>
        <v/>
      </c>
      <c r="AK2645">
        <f>IF($AJ2645=1,SUMPRODUCT(--($AN$2:$AN$4001&lt;$AN2645))+1,"")</f>
        <v/>
      </c>
      <c r="AL2645">
        <f>IF($C2645="","",IF(OR($Q2645=TRUE(),$Q2645="TRUE"),1,0))</f>
        <v/>
      </c>
      <c r="AM2645">
        <f>IF($C2645="","",IF($W2645="Yes",1,0))</f>
        <v/>
      </c>
      <c r="AN2645">
        <f>IF($AJ2645=1,IFERROR(IF(VALUE($C2645)&lt;100000000,VALUE($C2645),1000000000),IFERROR(IF(VALUE(MID($C2645,2,20))&lt;100000000,VALUE(MID($C2645,2,20)),1000000000),1000000000))+ROW()/100000,"")</f>
        <v/>
      </c>
    </row>
    <row r="2646">
      <c r="E2646" s="11" t="n"/>
      <c r="M2646" s="7">
        <f>IF($C2646="","",L2646*U2646/100)</f>
        <v/>
      </c>
      <c r="N2646" s="7" t="n"/>
      <c r="T2646" s="7" t="n"/>
      <c r="U2646" s="7">
        <f>IF($C2646="","",S2646*T2646)</f>
        <v/>
      </c>
      <c r="X2646">
        <f>IF($C2646="","",IF($AM2646=1,0,IF($AL2646=1,Settings!$C$6,Settings!$C$7))*100)</f>
        <v/>
      </c>
      <c r="AB2646" s="7" t="n"/>
      <c r="AE2646" s="11" t="n"/>
      <c r="AG2646" s="7">
        <f>IF($C2646="","",U2646*X2646/100)</f>
        <v/>
      </c>
      <c r="AH2646" s="7">
        <f>IF($C2646="","",U2646-AG2646)</f>
        <v/>
      </c>
      <c r="AI2646" s="7">
        <f>IF($C2646="","",AH2646-M2646)</f>
        <v/>
      </c>
      <c r="AJ2646">
        <f>IF($C2646="","",IF(COUNTIF($C$2:$C2646,$C2646)=1,1,0))</f>
        <v/>
      </c>
      <c r="AK2646">
        <f>IF($AJ2646=1,SUMPRODUCT(--($AN$2:$AN$4001&lt;$AN2646))+1,"")</f>
        <v/>
      </c>
      <c r="AL2646">
        <f>IF($C2646="","",IF(OR($Q2646=TRUE(),$Q2646="TRUE"),1,0))</f>
        <v/>
      </c>
      <c r="AM2646">
        <f>IF($C2646="","",IF($W2646="Yes",1,0))</f>
        <v/>
      </c>
      <c r="AN2646">
        <f>IF($AJ2646=1,IFERROR(IF(VALUE($C2646)&lt;100000000,VALUE($C2646),1000000000),IFERROR(IF(VALUE(MID($C2646,2,20))&lt;100000000,VALUE(MID($C2646,2,20)),1000000000),1000000000))+ROW()/100000,"")</f>
        <v/>
      </c>
    </row>
    <row r="2647">
      <c r="E2647" s="11" t="n"/>
      <c r="M2647" s="7">
        <f>IF($C2647="","",L2647*U2647/100)</f>
        <v/>
      </c>
      <c r="N2647" s="7" t="n"/>
      <c r="T2647" s="7" t="n"/>
      <c r="U2647" s="7">
        <f>IF($C2647="","",S2647*T2647)</f>
        <v/>
      </c>
      <c r="X2647">
        <f>IF($C2647="","",IF($AM2647=1,0,IF($AL2647=1,Settings!$C$6,Settings!$C$7))*100)</f>
        <v/>
      </c>
      <c r="AB2647" s="7" t="n"/>
      <c r="AE2647" s="11" t="n"/>
      <c r="AG2647" s="7">
        <f>IF($C2647="","",U2647*X2647/100)</f>
        <v/>
      </c>
      <c r="AH2647" s="7">
        <f>IF($C2647="","",U2647-AG2647)</f>
        <v/>
      </c>
      <c r="AI2647" s="7">
        <f>IF($C2647="","",AH2647-M2647)</f>
        <v/>
      </c>
      <c r="AJ2647">
        <f>IF($C2647="","",IF(COUNTIF($C$2:$C2647,$C2647)=1,1,0))</f>
        <v/>
      </c>
      <c r="AK2647">
        <f>IF($AJ2647=1,SUMPRODUCT(--($AN$2:$AN$4001&lt;$AN2647))+1,"")</f>
        <v/>
      </c>
      <c r="AL2647">
        <f>IF($C2647="","",IF(OR($Q2647=TRUE(),$Q2647="TRUE"),1,0))</f>
        <v/>
      </c>
      <c r="AM2647">
        <f>IF($C2647="","",IF($W2647="Yes",1,0))</f>
        <v/>
      </c>
      <c r="AN2647">
        <f>IF($AJ2647=1,IFERROR(IF(VALUE($C2647)&lt;100000000,VALUE($C2647),1000000000),IFERROR(IF(VALUE(MID($C2647,2,20))&lt;100000000,VALUE(MID($C2647,2,20)),1000000000),1000000000))+ROW()/100000,"")</f>
        <v/>
      </c>
    </row>
    <row r="2648">
      <c r="E2648" s="11" t="n"/>
      <c r="M2648" s="7">
        <f>IF($C2648="","",L2648*U2648/100)</f>
        <v/>
      </c>
      <c r="N2648" s="7" t="n"/>
      <c r="T2648" s="7" t="n"/>
      <c r="U2648" s="7">
        <f>IF($C2648="","",S2648*T2648)</f>
        <v/>
      </c>
      <c r="X2648">
        <f>IF($C2648="","",IF($AM2648=1,0,IF($AL2648=1,Settings!$C$6,Settings!$C$7))*100)</f>
        <v/>
      </c>
      <c r="AB2648" s="7" t="n"/>
      <c r="AE2648" s="11" t="n"/>
      <c r="AG2648" s="7">
        <f>IF($C2648="","",U2648*X2648/100)</f>
        <v/>
      </c>
      <c r="AH2648" s="7">
        <f>IF($C2648="","",U2648-AG2648)</f>
        <v/>
      </c>
      <c r="AI2648" s="7">
        <f>IF($C2648="","",AH2648-M2648)</f>
        <v/>
      </c>
      <c r="AJ2648">
        <f>IF($C2648="","",IF(COUNTIF($C$2:$C2648,$C2648)=1,1,0))</f>
        <v/>
      </c>
      <c r="AK2648">
        <f>IF($AJ2648=1,SUMPRODUCT(--($AN$2:$AN$4001&lt;$AN2648))+1,"")</f>
        <v/>
      </c>
      <c r="AL2648">
        <f>IF($C2648="","",IF(OR($Q2648=TRUE(),$Q2648="TRUE"),1,0))</f>
        <v/>
      </c>
      <c r="AM2648">
        <f>IF($C2648="","",IF($W2648="Yes",1,0))</f>
        <v/>
      </c>
      <c r="AN2648">
        <f>IF($AJ2648=1,IFERROR(IF(VALUE($C2648)&lt;100000000,VALUE($C2648),1000000000),IFERROR(IF(VALUE(MID($C2648,2,20))&lt;100000000,VALUE(MID($C2648,2,20)),1000000000),1000000000))+ROW()/100000,"")</f>
        <v/>
      </c>
    </row>
    <row r="2649">
      <c r="E2649" s="11" t="n"/>
      <c r="M2649" s="7">
        <f>IF($C2649="","",L2649*U2649/100)</f>
        <v/>
      </c>
      <c r="N2649" s="7" t="n"/>
      <c r="T2649" s="7" t="n"/>
      <c r="U2649" s="7">
        <f>IF($C2649="","",S2649*T2649)</f>
        <v/>
      </c>
      <c r="X2649">
        <f>IF($C2649="","",IF($AM2649=1,0,IF($AL2649=1,Settings!$C$6,Settings!$C$7))*100)</f>
        <v/>
      </c>
      <c r="AB2649" s="7" t="n"/>
      <c r="AE2649" s="11" t="n"/>
      <c r="AG2649" s="7">
        <f>IF($C2649="","",U2649*X2649/100)</f>
        <v/>
      </c>
      <c r="AH2649" s="7">
        <f>IF($C2649="","",U2649-AG2649)</f>
        <v/>
      </c>
      <c r="AI2649" s="7">
        <f>IF($C2649="","",AH2649-M2649)</f>
        <v/>
      </c>
      <c r="AJ2649">
        <f>IF($C2649="","",IF(COUNTIF($C$2:$C2649,$C2649)=1,1,0))</f>
        <v/>
      </c>
      <c r="AK2649">
        <f>IF($AJ2649=1,SUMPRODUCT(--($AN$2:$AN$4001&lt;$AN2649))+1,"")</f>
        <v/>
      </c>
      <c r="AL2649">
        <f>IF($C2649="","",IF(OR($Q2649=TRUE(),$Q2649="TRUE"),1,0))</f>
        <v/>
      </c>
      <c r="AM2649">
        <f>IF($C2649="","",IF($W2649="Yes",1,0))</f>
        <v/>
      </c>
      <c r="AN2649">
        <f>IF($AJ2649=1,IFERROR(IF(VALUE($C2649)&lt;100000000,VALUE($C2649),1000000000),IFERROR(IF(VALUE(MID($C2649,2,20))&lt;100000000,VALUE(MID($C2649,2,20)),1000000000),1000000000))+ROW()/100000,"")</f>
        <v/>
      </c>
    </row>
    <row r="2650">
      <c r="E2650" s="11" t="n"/>
      <c r="M2650" s="7">
        <f>IF($C2650="","",L2650*U2650/100)</f>
        <v/>
      </c>
      <c r="N2650" s="7" t="n"/>
      <c r="T2650" s="7" t="n"/>
      <c r="U2650" s="7">
        <f>IF($C2650="","",S2650*T2650)</f>
        <v/>
      </c>
      <c r="X2650">
        <f>IF($C2650="","",IF($AM2650=1,0,IF($AL2650=1,Settings!$C$6,Settings!$C$7))*100)</f>
        <v/>
      </c>
      <c r="AB2650" s="7" t="n"/>
      <c r="AE2650" s="11" t="n"/>
      <c r="AG2650" s="7">
        <f>IF($C2650="","",U2650*X2650/100)</f>
        <v/>
      </c>
      <c r="AH2650" s="7">
        <f>IF($C2650="","",U2650-AG2650)</f>
        <v/>
      </c>
      <c r="AI2650" s="7">
        <f>IF($C2650="","",AH2650-M2650)</f>
        <v/>
      </c>
      <c r="AJ2650">
        <f>IF($C2650="","",IF(COUNTIF($C$2:$C2650,$C2650)=1,1,0))</f>
        <v/>
      </c>
      <c r="AK2650">
        <f>IF($AJ2650=1,SUMPRODUCT(--($AN$2:$AN$4001&lt;$AN2650))+1,"")</f>
        <v/>
      </c>
      <c r="AL2650">
        <f>IF($C2650="","",IF(OR($Q2650=TRUE(),$Q2650="TRUE"),1,0))</f>
        <v/>
      </c>
      <c r="AM2650">
        <f>IF($C2650="","",IF($W2650="Yes",1,0))</f>
        <v/>
      </c>
      <c r="AN2650">
        <f>IF($AJ2650=1,IFERROR(IF(VALUE($C2650)&lt;100000000,VALUE($C2650),1000000000),IFERROR(IF(VALUE(MID($C2650,2,20))&lt;100000000,VALUE(MID($C2650,2,20)),1000000000),1000000000))+ROW()/100000,"")</f>
        <v/>
      </c>
    </row>
    <row r="2651">
      <c r="E2651" s="11" t="n"/>
      <c r="M2651" s="7">
        <f>IF($C2651="","",L2651*U2651/100)</f>
        <v/>
      </c>
      <c r="N2651" s="7" t="n"/>
      <c r="T2651" s="7" t="n"/>
      <c r="U2651" s="7">
        <f>IF($C2651="","",S2651*T2651)</f>
        <v/>
      </c>
      <c r="X2651">
        <f>IF($C2651="","",IF($AM2651=1,0,IF($AL2651=1,Settings!$C$6,Settings!$C$7))*100)</f>
        <v/>
      </c>
      <c r="AB2651" s="7" t="n"/>
      <c r="AE2651" s="11" t="n"/>
      <c r="AG2651" s="7">
        <f>IF($C2651="","",U2651*X2651/100)</f>
        <v/>
      </c>
      <c r="AH2651" s="7">
        <f>IF($C2651="","",U2651-AG2651)</f>
        <v/>
      </c>
      <c r="AI2651" s="7">
        <f>IF($C2651="","",AH2651-M2651)</f>
        <v/>
      </c>
      <c r="AJ2651">
        <f>IF($C2651="","",IF(COUNTIF($C$2:$C2651,$C2651)=1,1,0))</f>
        <v/>
      </c>
      <c r="AK2651">
        <f>IF($AJ2651=1,SUMPRODUCT(--($AN$2:$AN$4001&lt;$AN2651))+1,"")</f>
        <v/>
      </c>
      <c r="AL2651">
        <f>IF($C2651="","",IF(OR($Q2651=TRUE(),$Q2651="TRUE"),1,0))</f>
        <v/>
      </c>
      <c r="AM2651">
        <f>IF($C2651="","",IF($W2651="Yes",1,0))</f>
        <v/>
      </c>
      <c r="AN2651">
        <f>IF($AJ2651=1,IFERROR(IF(VALUE($C2651)&lt;100000000,VALUE($C2651),1000000000),IFERROR(IF(VALUE(MID($C2651,2,20))&lt;100000000,VALUE(MID($C2651,2,20)),1000000000),1000000000))+ROW()/100000,"")</f>
        <v/>
      </c>
    </row>
    <row r="2652">
      <c r="E2652" s="11" t="n"/>
      <c r="M2652" s="7">
        <f>IF($C2652="","",L2652*U2652/100)</f>
        <v/>
      </c>
      <c r="N2652" s="7" t="n"/>
      <c r="T2652" s="7" t="n"/>
      <c r="U2652" s="7">
        <f>IF($C2652="","",S2652*T2652)</f>
        <v/>
      </c>
      <c r="X2652">
        <f>IF($C2652="","",IF($AM2652=1,0,IF($AL2652=1,Settings!$C$6,Settings!$C$7))*100)</f>
        <v/>
      </c>
      <c r="AB2652" s="7" t="n"/>
      <c r="AE2652" s="11" t="n"/>
      <c r="AG2652" s="7">
        <f>IF($C2652="","",U2652*X2652/100)</f>
        <v/>
      </c>
      <c r="AH2652" s="7">
        <f>IF($C2652="","",U2652-AG2652)</f>
        <v/>
      </c>
      <c r="AI2652" s="7">
        <f>IF($C2652="","",AH2652-M2652)</f>
        <v/>
      </c>
      <c r="AJ2652">
        <f>IF($C2652="","",IF(COUNTIF($C$2:$C2652,$C2652)=1,1,0))</f>
        <v/>
      </c>
      <c r="AK2652">
        <f>IF($AJ2652=1,SUMPRODUCT(--($AN$2:$AN$4001&lt;$AN2652))+1,"")</f>
        <v/>
      </c>
      <c r="AL2652">
        <f>IF($C2652="","",IF(OR($Q2652=TRUE(),$Q2652="TRUE"),1,0))</f>
        <v/>
      </c>
      <c r="AM2652">
        <f>IF($C2652="","",IF($W2652="Yes",1,0))</f>
        <v/>
      </c>
      <c r="AN2652">
        <f>IF($AJ2652=1,IFERROR(IF(VALUE($C2652)&lt;100000000,VALUE($C2652),1000000000),IFERROR(IF(VALUE(MID($C2652,2,20))&lt;100000000,VALUE(MID($C2652,2,20)),1000000000),1000000000))+ROW()/100000,"")</f>
        <v/>
      </c>
    </row>
    <row r="2653">
      <c r="E2653" s="11" t="n"/>
      <c r="M2653" s="7">
        <f>IF($C2653="","",L2653*U2653/100)</f>
        <v/>
      </c>
      <c r="N2653" s="7" t="n"/>
      <c r="T2653" s="7" t="n"/>
      <c r="U2653" s="7">
        <f>IF($C2653="","",S2653*T2653)</f>
        <v/>
      </c>
      <c r="X2653">
        <f>IF($C2653="","",IF($AM2653=1,0,IF($AL2653=1,Settings!$C$6,Settings!$C$7))*100)</f>
        <v/>
      </c>
      <c r="AB2653" s="7" t="n"/>
      <c r="AE2653" s="11" t="n"/>
      <c r="AG2653" s="7">
        <f>IF($C2653="","",U2653*X2653/100)</f>
        <v/>
      </c>
      <c r="AH2653" s="7">
        <f>IF($C2653="","",U2653-AG2653)</f>
        <v/>
      </c>
      <c r="AI2653" s="7">
        <f>IF($C2653="","",AH2653-M2653)</f>
        <v/>
      </c>
      <c r="AJ2653">
        <f>IF($C2653="","",IF(COUNTIF($C$2:$C2653,$C2653)=1,1,0))</f>
        <v/>
      </c>
      <c r="AK2653">
        <f>IF($AJ2653=1,SUMPRODUCT(--($AN$2:$AN$4001&lt;$AN2653))+1,"")</f>
        <v/>
      </c>
      <c r="AL2653">
        <f>IF($C2653="","",IF(OR($Q2653=TRUE(),$Q2653="TRUE"),1,0))</f>
        <v/>
      </c>
      <c r="AM2653">
        <f>IF($C2653="","",IF($W2653="Yes",1,0))</f>
        <v/>
      </c>
      <c r="AN2653">
        <f>IF($AJ2653=1,IFERROR(IF(VALUE($C2653)&lt;100000000,VALUE($C2653),1000000000),IFERROR(IF(VALUE(MID($C2653,2,20))&lt;100000000,VALUE(MID($C2653,2,20)),1000000000),1000000000))+ROW()/100000,"")</f>
        <v/>
      </c>
    </row>
    <row r="2654">
      <c r="E2654" s="11" t="n"/>
      <c r="M2654" s="7">
        <f>IF($C2654="","",L2654*U2654/100)</f>
        <v/>
      </c>
      <c r="N2654" s="7" t="n"/>
      <c r="T2654" s="7" t="n"/>
      <c r="U2654" s="7">
        <f>IF($C2654="","",S2654*T2654)</f>
        <v/>
      </c>
      <c r="X2654">
        <f>IF($C2654="","",IF($AM2654=1,0,IF($AL2654=1,Settings!$C$6,Settings!$C$7))*100)</f>
        <v/>
      </c>
      <c r="AB2654" s="7" t="n"/>
      <c r="AE2654" s="11" t="n"/>
      <c r="AG2654" s="7">
        <f>IF($C2654="","",U2654*X2654/100)</f>
        <v/>
      </c>
      <c r="AH2654" s="7">
        <f>IF($C2654="","",U2654-AG2654)</f>
        <v/>
      </c>
      <c r="AI2654" s="7">
        <f>IF($C2654="","",AH2654-M2654)</f>
        <v/>
      </c>
      <c r="AJ2654">
        <f>IF($C2654="","",IF(COUNTIF($C$2:$C2654,$C2654)=1,1,0))</f>
        <v/>
      </c>
      <c r="AK2654">
        <f>IF($AJ2654=1,SUMPRODUCT(--($AN$2:$AN$4001&lt;$AN2654))+1,"")</f>
        <v/>
      </c>
      <c r="AL2654">
        <f>IF($C2654="","",IF(OR($Q2654=TRUE(),$Q2654="TRUE"),1,0))</f>
        <v/>
      </c>
      <c r="AM2654">
        <f>IF($C2654="","",IF($W2654="Yes",1,0))</f>
        <v/>
      </c>
      <c r="AN2654">
        <f>IF($AJ2654=1,IFERROR(IF(VALUE($C2654)&lt;100000000,VALUE($C2654),1000000000),IFERROR(IF(VALUE(MID($C2654,2,20))&lt;100000000,VALUE(MID($C2654,2,20)),1000000000),1000000000))+ROW()/100000,"")</f>
        <v/>
      </c>
    </row>
    <row r="2655">
      <c r="E2655" s="11" t="n"/>
      <c r="M2655" s="7">
        <f>IF($C2655="","",L2655*U2655/100)</f>
        <v/>
      </c>
      <c r="N2655" s="7" t="n"/>
      <c r="T2655" s="7" t="n"/>
      <c r="U2655" s="7">
        <f>IF($C2655="","",S2655*T2655)</f>
        <v/>
      </c>
      <c r="X2655">
        <f>IF($C2655="","",IF($AM2655=1,0,IF($AL2655=1,Settings!$C$6,Settings!$C$7))*100)</f>
        <v/>
      </c>
      <c r="AB2655" s="7" t="n"/>
      <c r="AE2655" s="11" t="n"/>
      <c r="AG2655" s="7">
        <f>IF($C2655="","",U2655*X2655/100)</f>
        <v/>
      </c>
      <c r="AH2655" s="7">
        <f>IF($C2655="","",U2655-AG2655)</f>
        <v/>
      </c>
      <c r="AI2655" s="7">
        <f>IF($C2655="","",AH2655-M2655)</f>
        <v/>
      </c>
      <c r="AJ2655">
        <f>IF($C2655="","",IF(COUNTIF($C$2:$C2655,$C2655)=1,1,0))</f>
        <v/>
      </c>
      <c r="AK2655">
        <f>IF($AJ2655=1,SUMPRODUCT(--($AN$2:$AN$4001&lt;$AN2655))+1,"")</f>
        <v/>
      </c>
      <c r="AL2655">
        <f>IF($C2655="","",IF(OR($Q2655=TRUE(),$Q2655="TRUE"),1,0))</f>
        <v/>
      </c>
      <c r="AM2655">
        <f>IF($C2655="","",IF($W2655="Yes",1,0))</f>
        <v/>
      </c>
      <c r="AN2655">
        <f>IF($AJ2655=1,IFERROR(IF(VALUE($C2655)&lt;100000000,VALUE($C2655),1000000000),IFERROR(IF(VALUE(MID($C2655,2,20))&lt;100000000,VALUE(MID($C2655,2,20)),1000000000),1000000000))+ROW()/100000,"")</f>
        <v/>
      </c>
    </row>
    <row r="2656">
      <c r="E2656" s="11" t="n"/>
      <c r="M2656" s="7">
        <f>IF($C2656="","",L2656*U2656/100)</f>
        <v/>
      </c>
      <c r="N2656" s="7" t="n"/>
      <c r="T2656" s="7" t="n"/>
      <c r="U2656" s="7">
        <f>IF($C2656="","",S2656*T2656)</f>
        <v/>
      </c>
      <c r="X2656">
        <f>IF($C2656="","",IF($AM2656=1,0,IF($AL2656=1,Settings!$C$6,Settings!$C$7))*100)</f>
        <v/>
      </c>
      <c r="AB2656" s="7" t="n"/>
      <c r="AE2656" s="11" t="n"/>
      <c r="AG2656" s="7">
        <f>IF($C2656="","",U2656*X2656/100)</f>
        <v/>
      </c>
      <c r="AH2656" s="7">
        <f>IF($C2656="","",U2656-AG2656)</f>
        <v/>
      </c>
      <c r="AI2656" s="7">
        <f>IF($C2656="","",AH2656-M2656)</f>
        <v/>
      </c>
      <c r="AJ2656">
        <f>IF($C2656="","",IF(COUNTIF($C$2:$C2656,$C2656)=1,1,0))</f>
        <v/>
      </c>
      <c r="AK2656">
        <f>IF($AJ2656=1,SUMPRODUCT(--($AN$2:$AN$4001&lt;$AN2656))+1,"")</f>
        <v/>
      </c>
      <c r="AL2656">
        <f>IF($C2656="","",IF(OR($Q2656=TRUE(),$Q2656="TRUE"),1,0))</f>
        <v/>
      </c>
      <c r="AM2656">
        <f>IF($C2656="","",IF($W2656="Yes",1,0))</f>
        <v/>
      </c>
      <c r="AN2656">
        <f>IF($AJ2656=1,IFERROR(IF(VALUE($C2656)&lt;100000000,VALUE($C2656),1000000000),IFERROR(IF(VALUE(MID($C2656,2,20))&lt;100000000,VALUE(MID($C2656,2,20)),1000000000),1000000000))+ROW()/100000,"")</f>
        <v/>
      </c>
    </row>
    <row r="2657">
      <c r="E2657" s="11" t="n"/>
      <c r="M2657" s="7">
        <f>IF($C2657="","",L2657*U2657/100)</f>
        <v/>
      </c>
      <c r="N2657" s="7" t="n"/>
      <c r="T2657" s="7" t="n"/>
      <c r="U2657" s="7">
        <f>IF($C2657="","",S2657*T2657)</f>
        <v/>
      </c>
      <c r="X2657">
        <f>IF($C2657="","",IF($AM2657=1,0,IF($AL2657=1,Settings!$C$6,Settings!$C$7))*100)</f>
        <v/>
      </c>
      <c r="AB2657" s="7" t="n"/>
      <c r="AE2657" s="11" t="n"/>
      <c r="AG2657" s="7">
        <f>IF($C2657="","",U2657*X2657/100)</f>
        <v/>
      </c>
      <c r="AH2657" s="7">
        <f>IF($C2657="","",U2657-AG2657)</f>
        <v/>
      </c>
      <c r="AI2657" s="7">
        <f>IF($C2657="","",AH2657-M2657)</f>
        <v/>
      </c>
      <c r="AJ2657">
        <f>IF($C2657="","",IF(COUNTIF($C$2:$C2657,$C2657)=1,1,0))</f>
        <v/>
      </c>
      <c r="AK2657">
        <f>IF($AJ2657=1,SUMPRODUCT(--($AN$2:$AN$4001&lt;$AN2657))+1,"")</f>
        <v/>
      </c>
      <c r="AL2657">
        <f>IF($C2657="","",IF(OR($Q2657=TRUE(),$Q2657="TRUE"),1,0))</f>
        <v/>
      </c>
      <c r="AM2657">
        <f>IF($C2657="","",IF($W2657="Yes",1,0))</f>
        <v/>
      </c>
      <c r="AN2657">
        <f>IF($AJ2657=1,IFERROR(IF(VALUE($C2657)&lt;100000000,VALUE($C2657),1000000000),IFERROR(IF(VALUE(MID($C2657,2,20))&lt;100000000,VALUE(MID($C2657,2,20)),1000000000),1000000000))+ROW()/100000,"")</f>
        <v/>
      </c>
    </row>
    <row r="2658">
      <c r="E2658" s="11" t="n"/>
      <c r="M2658" s="7">
        <f>IF($C2658="","",L2658*U2658/100)</f>
        <v/>
      </c>
      <c r="N2658" s="7" t="n"/>
      <c r="T2658" s="7" t="n"/>
      <c r="U2658" s="7">
        <f>IF($C2658="","",S2658*T2658)</f>
        <v/>
      </c>
      <c r="X2658">
        <f>IF($C2658="","",IF($AM2658=1,0,IF($AL2658=1,Settings!$C$6,Settings!$C$7))*100)</f>
        <v/>
      </c>
      <c r="AB2658" s="7" t="n"/>
      <c r="AE2658" s="11" t="n"/>
      <c r="AG2658" s="7">
        <f>IF($C2658="","",U2658*X2658/100)</f>
        <v/>
      </c>
      <c r="AH2658" s="7">
        <f>IF($C2658="","",U2658-AG2658)</f>
        <v/>
      </c>
      <c r="AI2658" s="7">
        <f>IF($C2658="","",AH2658-M2658)</f>
        <v/>
      </c>
      <c r="AJ2658">
        <f>IF($C2658="","",IF(COUNTIF($C$2:$C2658,$C2658)=1,1,0))</f>
        <v/>
      </c>
      <c r="AK2658">
        <f>IF($AJ2658=1,SUMPRODUCT(--($AN$2:$AN$4001&lt;$AN2658))+1,"")</f>
        <v/>
      </c>
      <c r="AL2658">
        <f>IF($C2658="","",IF(OR($Q2658=TRUE(),$Q2658="TRUE"),1,0))</f>
        <v/>
      </c>
      <c r="AM2658">
        <f>IF($C2658="","",IF($W2658="Yes",1,0))</f>
        <v/>
      </c>
      <c r="AN2658">
        <f>IF($AJ2658=1,IFERROR(IF(VALUE($C2658)&lt;100000000,VALUE($C2658),1000000000),IFERROR(IF(VALUE(MID($C2658,2,20))&lt;100000000,VALUE(MID($C2658,2,20)),1000000000),1000000000))+ROW()/100000,"")</f>
        <v/>
      </c>
    </row>
    <row r="2659">
      <c r="E2659" s="11" t="n"/>
      <c r="M2659" s="7">
        <f>IF($C2659="","",L2659*U2659/100)</f>
        <v/>
      </c>
      <c r="N2659" s="7" t="n"/>
      <c r="T2659" s="7" t="n"/>
      <c r="U2659" s="7">
        <f>IF($C2659="","",S2659*T2659)</f>
        <v/>
      </c>
      <c r="X2659">
        <f>IF($C2659="","",IF($AM2659=1,0,IF($AL2659=1,Settings!$C$6,Settings!$C$7))*100)</f>
        <v/>
      </c>
      <c r="AB2659" s="7" t="n"/>
      <c r="AE2659" s="11" t="n"/>
      <c r="AG2659" s="7">
        <f>IF($C2659="","",U2659*X2659/100)</f>
        <v/>
      </c>
      <c r="AH2659" s="7">
        <f>IF($C2659="","",U2659-AG2659)</f>
        <v/>
      </c>
      <c r="AI2659" s="7">
        <f>IF($C2659="","",AH2659-M2659)</f>
        <v/>
      </c>
      <c r="AJ2659">
        <f>IF($C2659="","",IF(COUNTIF($C$2:$C2659,$C2659)=1,1,0))</f>
        <v/>
      </c>
      <c r="AK2659">
        <f>IF($AJ2659=1,SUMPRODUCT(--($AN$2:$AN$4001&lt;$AN2659))+1,"")</f>
        <v/>
      </c>
      <c r="AL2659">
        <f>IF($C2659="","",IF(OR($Q2659=TRUE(),$Q2659="TRUE"),1,0))</f>
        <v/>
      </c>
      <c r="AM2659">
        <f>IF($C2659="","",IF($W2659="Yes",1,0))</f>
        <v/>
      </c>
      <c r="AN2659">
        <f>IF($AJ2659=1,IFERROR(IF(VALUE($C2659)&lt;100000000,VALUE($C2659),1000000000),IFERROR(IF(VALUE(MID($C2659,2,20))&lt;100000000,VALUE(MID($C2659,2,20)),1000000000),1000000000))+ROW()/100000,"")</f>
        <v/>
      </c>
    </row>
    <row r="2660">
      <c r="E2660" s="11" t="n"/>
      <c r="M2660" s="7">
        <f>IF($C2660="","",L2660*U2660/100)</f>
        <v/>
      </c>
      <c r="N2660" s="7" t="n"/>
      <c r="T2660" s="7" t="n"/>
      <c r="U2660" s="7">
        <f>IF($C2660="","",S2660*T2660)</f>
        <v/>
      </c>
      <c r="X2660">
        <f>IF($C2660="","",IF($AM2660=1,0,IF($AL2660=1,Settings!$C$6,Settings!$C$7))*100)</f>
        <v/>
      </c>
      <c r="AB2660" s="7" t="n"/>
      <c r="AE2660" s="11" t="n"/>
      <c r="AG2660" s="7">
        <f>IF($C2660="","",U2660*X2660/100)</f>
        <v/>
      </c>
      <c r="AH2660" s="7">
        <f>IF($C2660="","",U2660-AG2660)</f>
        <v/>
      </c>
      <c r="AI2660" s="7">
        <f>IF($C2660="","",AH2660-M2660)</f>
        <v/>
      </c>
      <c r="AJ2660">
        <f>IF($C2660="","",IF(COUNTIF($C$2:$C2660,$C2660)=1,1,0))</f>
        <v/>
      </c>
      <c r="AK2660">
        <f>IF($AJ2660=1,SUMPRODUCT(--($AN$2:$AN$4001&lt;$AN2660))+1,"")</f>
        <v/>
      </c>
      <c r="AL2660">
        <f>IF($C2660="","",IF(OR($Q2660=TRUE(),$Q2660="TRUE"),1,0))</f>
        <v/>
      </c>
      <c r="AM2660">
        <f>IF($C2660="","",IF($W2660="Yes",1,0))</f>
        <v/>
      </c>
      <c r="AN2660">
        <f>IF($AJ2660=1,IFERROR(IF(VALUE($C2660)&lt;100000000,VALUE($C2660),1000000000),IFERROR(IF(VALUE(MID($C2660,2,20))&lt;100000000,VALUE(MID($C2660,2,20)),1000000000),1000000000))+ROW()/100000,"")</f>
        <v/>
      </c>
    </row>
    <row r="2661">
      <c r="E2661" s="11" t="n"/>
      <c r="M2661" s="7">
        <f>IF($C2661="","",L2661*U2661/100)</f>
        <v/>
      </c>
      <c r="N2661" s="7" t="n"/>
      <c r="T2661" s="7" t="n"/>
      <c r="U2661" s="7">
        <f>IF($C2661="","",S2661*T2661)</f>
        <v/>
      </c>
      <c r="X2661">
        <f>IF($C2661="","",IF($AM2661=1,0,IF($AL2661=1,Settings!$C$6,Settings!$C$7))*100)</f>
        <v/>
      </c>
      <c r="AB2661" s="7" t="n"/>
      <c r="AE2661" s="11" t="n"/>
      <c r="AG2661" s="7">
        <f>IF($C2661="","",U2661*X2661/100)</f>
        <v/>
      </c>
      <c r="AH2661" s="7">
        <f>IF($C2661="","",U2661-AG2661)</f>
        <v/>
      </c>
      <c r="AI2661" s="7">
        <f>IF($C2661="","",AH2661-M2661)</f>
        <v/>
      </c>
      <c r="AJ2661">
        <f>IF($C2661="","",IF(COUNTIF($C$2:$C2661,$C2661)=1,1,0))</f>
        <v/>
      </c>
      <c r="AK2661">
        <f>IF($AJ2661=1,SUMPRODUCT(--($AN$2:$AN$4001&lt;$AN2661))+1,"")</f>
        <v/>
      </c>
      <c r="AL2661">
        <f>IF($C2661="","",IF(OR($Q2661=TRUE(),$Q2661="TRUE"),1,0))</f>
        <v/>
      </c>
      <c r="AM2661">
        <f>IF($C2661="","",IF($W2661="Yes",1,0))</f>
        <v/>
      </c>
      <c r="AN2661">
        <f>IF($AJ2661=1,IFERROR(IF(VALUE($C2661)&lt;100000000,VALUE($C2661),1000000000),IFERROR(IF(VALUE(MID($C2661,2,20))&lt;100000000,VALUE(MID($C2661,2,20)),1000000000),1000000000))+ROW()/100000,"")</f>
        <v/>
      </c>
    </row>
    <row r="2662">
      <c r="E2662" s="11" t="n"/>
      <c r="M2662" s="7">
        <f>IF($C2662="","",L2662*U2662/100)</f>
        <v/>
      </c>
      <c r="N2662" s="7" t="n"/>
      <c r="T2662" s="7" t="n"/>
      <c r="U2662" s="7">
        <f>IF($C2662="","",S2662*T2662)</f>
        <v/>
      </c>
      <c r="X2662">
        <f>IF($C2662="","",IF($AM2662=1,0,IF($AL2662=1,Settings!$C$6,Settings!$C$7))*100)</f>
        <v/>
      </c>
      <c r="AB2662" s="7" t="n"/>
      <c r="AE2662" s="11" t="n"/>
      <c r="AG2662" s="7">
        <f>IF($C2662="","",U2662*X2662/100)</f>
        <v/>
      </c>
      <c r="AH2662" s="7">
        <f>IF($C2662="","",U2662-AG2662)</f>
        <v/>
      </c>
      <c r="AI2662" s="7">
        <f>IF($C2662="","",AH2662-M2662)</f>
        <v/>
      </c>
      <c r="AJ2662">
        <f>IF($C2662="","",IF(COUNTIF($C$2:$C2662,$C2662)=1,1,0))</f>
        <v/>
      </c>
      <c r="AK2662">
        <f>IF($AJ2662=1,SUMPRODUCT(--($AN$2:$AN$4001&lt;$AN2662))+1,"")</f>
        <v/>
      </c>
      <c r="AL2662">
        <f>IF($C2662="","",IF(OR($Q2662=TRUE(),$Q2662="TRUE"),1,0))</f>
        <v/>
      </c>
      <c r="AM2662">
        <f>IF($C2662="","",IF($W2662="Yes",1,0))</f>
        <v/>
      </c>
      <c r="AN2662">
        <f>IF($AJ2662=1,IFERROR(IF(VALUE($C2662)&lt;100000000,VALUE($C2662),1000000000),IFERROR(IF(VALUE(MID($C2662,2,20))&lt;100000000,VALUE(MID($C2662,2,20)),1000000000),1000000000))+ROW()/100000,"")</f>
        <v/>
      </c>
    </row>
    <row r="2663">
      <c r="E2663" s="11" t="n"/>
      <c r="M2663" s="7">
        <f>IF($C2663="","",L2663*U2663/100)</f>
        <v/>
      </c>
      <c r="N2663" s="7" t="n"/>
      <c r="T2663" s="7" t="n"/>
      <c r="U2663" s="7">
        <f>IF($C2663="","",S2663*T2663)</f>
        <v/>
      </c>
      <c r="X2663">
        <f>IF($C2663="","",IF($AM2663=1,0,IF($AL2663=1,Settings!$C$6,Settings!$C$7))*100)</f>
        <v/>
      </c>
      <c r="AB2663" s="7" t="n"/>
      <c r="AE2663" s="11" t="n"/>
      <c r="AG2663" s="7">
        <f>IF($C2663="","",U2663*X2663/100)</f>
        <v/>
      </c>
      <c r="AH2663" s="7">
        <f>IF($C2663="","",U2663-AG2663)</f>
        <v/>
      </c>
      <c r="AI2663" s="7">
        <f>IF($C2663="","",AH2663-M2663)</f>
        <v/>
      </c>
      <c r="AJ2663">
        <f>IF($C2663="","",IF(COUNTIF($C$2:$C2663,$C2663)=1,1,0))</f>
        <v/>
      </c>
      <c r="AK2663">
        <f>IF($AJ2663=1,SUMPRODUCT(--($AN$2:$AN$4001&lt;$AN2663))+1,"")</f>
        <v/>
      </c>
      <c r="AL2663">
        <f>IF($C2663="","",IF(OR($Q2663=TRUE(),$Q2663="TRUE"),1,0))</f>
        <v/>
      </c>
      <c r="AM2663">
        <f>IF($C2663="","",IF($W2663="Yes",1,0))</f>
        <v/>
      </c>
      <c r="AN2663">
        <f>IF($AJ2663=1,IFERROR(IF(VALUE($C2663)&lt;100000000,VALUE($C2663),1000000000),IFERROR(IF(VALUE(MID($C2663,2,20))&lt;100000000,VALUE(MID($C2663,2,20)),1000000000),1000000000))+ROW()/100000,"")</f>
        <v/>
      </c>
    </row>
    <row r="2664">
      <c r="E2664" s="11" t="n"/>
      <c r="M2664" s="7">
        <f>IF($C2664="","",L2664*U2664/100)</f>
        <v/>
      </c>
      <c r="N2664" s="7" t="n"/>
      <c r="T2664" s="7" t="n"/>
      <c r="U2664" s="7">
        <f>IF($C2664="","",S2664*T2664)</f>
        <v/>
      </c>
      <c r="X2664">
        <f>IF($C2664="","",IF($AM2664=1,0,IF($AL2664=1,Settings!$C$6,Settings!$C$7))*100)</f>
        <v/>
      </c>
      <c r="AB2664" s="7" t="n"/>
      <c r="AE2664" s="11" t="n"/>
      <c r="AG2664" s="7">
        <f>IF($C2664="","",U2664*X2664/100)</f>
        <v/>
      </c>
      <c r="AH2664" s="7">
        <f>IF($C2664="","",U2664-AG2664)</f>
        <v/>
      </c>
      <c r="AI2664" s="7">
        <f>IF($C2664="","",AH2664-M2664)</f>
        <v/>
      </c>
      <c r="AJ2664">
        <f>IF($C2664="","",IF(COUNTIF($C$2:$C2664,$C2664)=1,1,0))</f>
        <v/>
      </c>
      <c r="AK2664">
        <f>IF($AJ2664=1,SUMPRODUCT(--($AN$2:$AN$4001&lt;$AN2664))+1,"")</f>
        <v/>
      </c>
      <c r="AL2664">
        <f>IF($C2664="","",IF(OR($Q2664=TRUE(),$Q2664="TRUE"),1,0))</f>
        <v/>
      </c>
      <c r="AM2664">
        <f>IF($C2664="","",IF($W2664="Yes",1,0))</f>
        <v/>
      </c>
      <c r="AN2664">
        <f>IF($AJ2664=1,IFERROR(IF(VALUE($C2664)&lt;100000000,VALUE($C2664),1000000000),IFERROR(IF(VALUE(MID($C2664,2,20))&lt;100000000,VALUE(MID($C2664,2,20)),1000000000),1000000000))+ROW()/100000,"")</f>
        <v/>
      </c>
    </row>
    <row r="2665">
      <c r="E2665" s="11" t="n"/>
      <c r="M2665" s="7">
        <f>IF($C2665="","",L2665*U2665/100)</f>
        <v/>
      </c>
      <c r="N2665" s="7" t="n"/>
      <c r="T2665" s="7" t="n"/>
      <c r="U2665" s="7">
        <f>IF($C2665="","",S2665*T2665)</f>
        <v/>
      </c>
      <c r="X2665">
        <f>IF($C2665="","",IF($AM2665=1,0,IF($AL2665=1,Settings!$C$6,Settings!$C$7))*100)</f>
        <v/>
      </c>
      <c r="AB2665" s="7" t="n"/>
      <c r="AE2665" s="11" t="n"/>
      <c r="AG2665" s="7">
        <f>IF($C2665="","",U2665*X2665/100)</f>
        <v/>
      </c>
      <c r="AH2665" s="7">
        <f>IF($C2665="","",U2665-AG2665)</f>
        <v/>
      </c>
      <c r="AI2665" s="7">
        <f>IF($C2665="","",AH2665-M2665)</f>
        <v/>
      </c>
      <c r="AJ2665">
        <f>IF($C2665="","",IF(COUNTIF($C$2:$C2665,$C2665)=1,1,0))</f>
        <v/>
      </c>
      <c r="AK2665">
        <f>IF($AJ2665=1,SUMPRODUCT(--($AN$2:$AN$4001&lt;$AN2665))+1,"")</f>
        <v/>
      </c>
      <c r="AL2665">
        <f>IF($C2665="","",IF(OR($Q2665=TRUE(),$Q2665="TRUE"),1,0))</f>
        <v/>
      </c>
      <c r="AM2665">
        <f>IF($C2665="","",IF($W2665="Yes",1,0))</f>
        <v/>
      </c>
      <c r="AN2665">
        <f>IF($AJ2665=1,IFERROR(IF(VALUE($C2665)&lt;100000000,VALUE($C2665),1000000000),IFERROR(IF(VALUE(MID($C2665,2,20))&lt;100000000,VALUE(MID($C2665,2,20)),1000000000),1000000000))+ROW()/100000,"")</f>
        <v/>
      </c>
    </row>
    <row r="2666">
      <c r="E2666" s="11" t="n"/>
      <c r="M2666" s="7">
        <f>IF($C2666="","",L2666*U2666/100)</f>
        <v/>
      </c>
      <c r="N2666" s="7" t="n"/>
      <c r="T2666" s="7" t="n"/>
      <c r="U2666" s="7">
        <f>IF($C2666="","",S2666*T2666)</f>
        <v/>
      </c>
      <c r="X2666">
        <f>IF($C2666="","",IF($AM2666=1,0,IF($AL2666=1,Settings!$C$6,Settings!$C$7))*100)</f>
        <v/>
      </c>
      <c r="AB2666" s="7" t="n"/>
      <c r="AE2666" s="11" t="n"/>
      <c r="AG2666" s="7">
        <f>IF($C2666="","",U2666*X2666/100)</f>
        <v/>
      </c>
      <c r="AH2666" s="7">
        <f>IF($C2666="","",U2666-AG2666)</f>
        <v/>
      </c>
      <c r="AI2666" s="7">
        <f>IF($C2666="","",AH2666-M2666)</f>
        <v/>
      </c>
      <c r="AJ2666">
        <f>IF($C2666="","",IF(COUNTIF($C$2:$C2666,$C2666)=1,1,0))</f>
        <v/>
      </c>
      <c r="AK2666">
        <f>IF($AJ2666=1,SUMPRODUCT(--($AN$2:$AN$4001&lt;$AN2666))+1,"")</f>
        <v/>
      </c>
      <c r="AL2666">
        <f>IF($C2666="","",IF(OR($Q2666=TRUE(),$Q2666="TRUE"),1,0))</f>
        <v/>
      </c>
      <c r="AM2666">
        <f>IF($C2666="","",IF($W2666="Yes",1,0))</f>
        <v/>
      </c>
      <c r="AN2666">
        <f>IF($AJ2666=1,IFERROR(IF(VALUE($C2666)&lt;100000000,VALUE($C2666),1000000000),IFERROR(IF(VALUE(MID($C2666,2,20))&lt;100000000,VALUE(MID($C2666,2,20)),1000000000),1000000000))+ROW()/100000,"")</f>
        <v/>
      </c>
    </row>
    <row r="2667">
      <c r="E2667" s="11" t="n"/>
      <c r="M2667" s="7">
        <f>IF($C2667="","",L2667*U2667/100)</f>
        <v/>
      </c>
      <c r="N2667" s="7" t="n"/>
      <c r="T2667" s="7" t="n"/>
      <c r="U2667" s="7">
        <f>IF($C2667="","",S2667*T2667)</f>
        <v/>
      </c>
      <c r="X2667">
        <f>IF($C2667="","",IF($AM2667=1,0,IF($AL2667=1,Settings!$C$6,Settings!$C$7))*100)</f>
        <v/>
      </c>
      <c r="AB2667" s="7" t="n"/>
      <c r="AE2667" s="11" t="n"/>
      <c r="AG2667" s="7">
        <f>IF($C2667="","",U2667*X2667/100)</f>
        <v/>
      </c>
      <c r="AH2667" s="7">
        <f>IF($C2667="","",U2667-AG2667)</f>
        <v/>
      </c>
      <c r="AI2667" s="7">
        <f>IF($C2667="","",AH2667-M2667)</f>
        <v/>
      </c>
      <c r="AJ2667">
        <f>IF($C2667="","",IF(COUNTIF($C$2:$C2667,$C2667)=1,1,0))</f>
        <v/>
      </c>
      <c r="AK2667">
        <f>IF($AJ2667=1,SUMPRODUCT(--($AN$2:$AN$4001&lt;$AN2667))+1,"")</f>
        <v/>
      </c>
      <c r="AL2667">
        <f>IF($C2667="","",IF(OR($Q2667=TRUE(),$Q2667="TRUE"),1,0))</f>
        <v/>
      </c>
      <c r="AM2667">
        <f>IF($C2667="","",IF($W2667="Yes",1,0))</f>
        <v/>
      </c>
      <c r="AN2667">
        <f>IF($AJ2667=1,IFERROR(IF(VALUE($C2667)&lt;100000000,VALUE($C2667),1000000000),IFERROR(IF(VALUE(MID($C2667,2,20))&lt;100000000,VALUE(MID($C2667,2,20)),1000000000),1000000000))+ROW()/100000,"")</f>
        <v/>
      </c>
    </row>
    <row r="2668">
      <c r="E2668" s="11" t="n"/>
      <c r="M2668" s="7">
        <f>IF($C2668="","",L2668*U2668/100)</f>
        <v/>
      </c>
      <c r="N2668" s="7" t="n"/>
      <c r="T2668" s="7" t="n"/>
      <c r="U2668" s="7">
        <f>IF($C2668="","",S2668*T2668)</f>
        <v/>
      </c>
      <c r="X2668">
        <f>IF($C2668="","",IF($AM2668=1,0,IF($AL2668=1,Settings!$C$6,Settings!$C$7))*100)</f>
        <v/>
      </c>
      <c r="AB2668" s="7" t="n"/>
      <c r="AE2668" s="11" t="n"/>
      <c r="AG2668" s="7">
        <f>IF($C2668="","",U2668*X2668/100)</f>
        <v/>
      </c>
      <c r="AH2668" s="7">
        <f>IF($C2668="","",U2668-AG2668)</f>
        <v/>
      </c>
      <c r="AI2668" s="7">
        <f>IF($C2668="","",AH2668-M2668)</f>
        <v/>
      </c>
      <c r="AJ2668">
        <f>IF($C2668="","",IF(COUNTIF($C$2:$C2668,$C2668)=1,1,0))</f>
        <v/>
      </c>
      <c r="AK2668">
        <f>IF($AJ2668=1,SUMPRODUCT(--($AN$2:$AN$4001&lt;$AN2668))+1,"")</f>
        <v/>
      </c>
      <c r="AL2668">
        <f>IF($C2668="","",IF(OR($Q2668=TRUE(),$Q2668="TRUE"),1,0))</f>
        <v/>
      </c>
      <c r="AM2668">
        <f>IF($C2668="","",IF($W2668="Yes",1,0))</f>
        <v/>
      </c>
      <c r="AN2668">
        <f>IF($AJ2668=1,IFERROR(IF(VALUE($C2668)&lt;100000000,VALUE($C2668),1000000000),IFERROR(IF(VALUE(MID($C2668,2,20))&lt;100000000,VALUE(MID($C2668,2,20)),1000000000),1000000000))+ROW()/100000,"")</f>
        <v/>
      </c>
    </row>
    <row r="2669">
      <c r="E2669" s="11" t="n"/>
      <c r="M2669" s="7">
        <f>IF($C2669="","",L2669*U2669/100)</f>
        <v/>
      </c>
      <c r="N2669" s="7" t="n"/>
      <c r="T2669" s="7" t="n"/>
      <c r="U2669" s="7">
        <f>IF($C2669="","",S2669*T2669)</f>
        <v/>
      </c>
      <c r="X2669">
        <f>IF($C2669="","",IF($AM2669=1,0,IF($AL2669=1,Settings!$C$6,Settings!$C$7))*100)</f>
        <v/>
      </c>
      <c r="AB2669" s="7" t="n"/>
      <c r="AE2669" s="11" t="n"/>
      <c r="AG2669" s="7">
        <f>IF($C2669="","",U2669*X2669/100)</f>
        <v/>
      </c>
      <c r="AH2669" s="7">
        <f>IF($C2669="","",U2669-AG2669)</f>
        <v/>
      </c>
      <c r="AI2669" s="7">
        <f>IF($C2669="","",AH2669-M2669)</f>
        <v/>
      </c>
      <c r="AJ2669">
        <f>IF($C2669="","",IF(COUNTIF($C$2:$C2669,$C2669)=1,1,0))</f>
        <v/>
      </c>
      <c r="AK2669">
        <f>IF($AJ2669=1,SUMPRODUCT(--($AN$2:$AN$4001&lt;$AN2669))+1,"")</f>
        <v/>
      </c>
      <c r="AL2669">
        <f>IF($C2669="","",IF(OR($Q2669=TRUE(),$Q2669="TRUE"),1,0))</f>
        <v/>
      </c>
      <c r="AM2669">
        <f>IF($C2669="","",IF($W2669="Yes",1,0))</f>
        <v/>
      </c>
      <c r="AN2669">
        <f>IF($AJ2669=1,IFERROR(IF(VALUE($C2669)&lt;100000000,VALUE($C2669),1000000000),IFERROR(IF(VALUE(MID($C2669,2,20))&lt;100000000,VALUE(MID($C2669,2,20)),1000000000),1000000000))+ROW()/100000,"")</f>
        <v/>
      </c>
    </row>
    <row r="2670">
      <c r="E2670" s="11" t="n"/>
      <c r="M2670" s="7">
        <f>IF($C2670="","",L2670*U2670/100)</f>
        <v/>
      </c>
      <c r="N2670" s="7" t="n"/>
      <c r="T2670" s="7" t="n"/>
      <c r="U2670" s="7">
        <f>IF($C2670="","",S2670*T2670)</f>
        <v/>
      </c>
      <c r="X2670">
        <f>IF($C2670="","",IF($AM2670=1,0,IF($AL2670=1,Settings!$C$6,Settings!$C$7))*100)</f>
        <v/>
      </c>
      <c r="AB2670" s="7" t="n"/>
      <c r="AE2670" s="11" t="n"/>
      <c r="AG2670" s="7">
        <f>IF($C2670="","",U2670*X2670/100)</f>
        <v/>
      </c>
      <c r="AH2670" s="7">
        <f>IF($C2670="","",U2670-AG2670)</f>
        <v/>
      </c>
      <c r="AI2670" s="7">
        <f>IF($C2670="","",AH2670-M2670)</f>
        <v/>
      </c>
      <c r="AJ2670">
        <f>IF($C2670="","",IF(COUNTIF($C$2:$C2670,$C2670)=1,1,0))</f>
        <v/>
      </c>
      <c r="AK2670">
        <f>IF($AJ2670=1,SUMPRODUCT(--($AN$2:$AN$4001&lt;$AN2670))+1,"")</f>
        <v/>
      </c>
      <c r="AL2670">
        <f>IF($C2670="","",IF(OR($Q2670=TRUE(),$Q2670="TRUE"),1,0))</f>
        <v/>
      </c>
      <c r="AM2670">
        <f>IF($C2670="","",IF($W2670="Yes",1,0))</f>
        <v/>
      </c>
      <c r="AN2670">
        <f>IF($AJ2670=1,IFERROR(IF(VALUE($C2670)&lt;100000000,VALUE($C2670),1000000000),IFERROR(IF(VALUE(MID($C2670,2,20))&lt;100000000,VALUE(MID($C2670,2,20)),1000000000),1000000000))+ROW()/100000,"")</f>
        <v/>
      </c>
    </row>
    <row r="2671">
      <c r="E2671" s="11" t="n"/>
      <c r="M2671" s="7">
        <f>IF($C2671="","",L2671*U2671/100)</f>
        <v/>
      </c>
      <c r="N2671" s="7" t="n"/>
      <c r="T2671" s="7" t="n"/>
      <c r="U2671" s="7">
        <f>IF($C2671="","",S2671*T2671)</f>
        <v/>
      </c>
      <c r="X2671">
        <f>IF($C2671="","",IF($AM2671=1,0,IF($AL2671=1,Settings!$C$6,Settings!$C$7))*100)</f>
        <v/>
      </c>
      <c r="AB2671" s="7" t="n"/>
      <c r="AE2671" s="11" t="n"/>
      <c r="AG2671" s="7">
        <f>IF($C2671="","",U2671*X2671/100)</f>
        <v/>
      </c>
      <c r="AH2671" s="7">
        <f>IF($C2671="","",U2671-AG2671)</f>
        <v/>
      </c>
      <c r="AI2671" s="7">
        <f>IF($C2671="","",AH2671-M2671)</f>
        <v/>
      </c>
      <c r="AJ2671">
        <f>IF($C2671="","",IF(COUNTIF($C$2:$C2671,$C2671)=1,1,0))</f>
        <v/>
      </c>
      <c r="AK2671">
        <f>IF($AJ2671=1,SUMPRODUCT(--($AN$2:$AN$4001&lt;$AN2671))+1,"")</f>
        <v/>
      </c>
      <c r="AL2671">
        <f>IF($C2671="","",IF(OR($Q2671=TRUE(),$Q2671="TRUE"),1,0))</f>
        <v/>
      </c>
      <c r="AM2671">
        <f>IF($C2671="","",IF($W2671="Yes",1,0))</f>
        <v/>
      </c>
      <c r="AN2671">
        <f>IF($AJ2671=1,IFERROR(IF(VALUE($C2671)&lt;100000000,VALUE($C2671),1000000000),IFERROR(IF(VALUE(MID($C2671,2,20))&lt;100000000,VALUE(MID($C2671,2,20)),1000000000),1000000000))+ROW()/100000,"")</f>
        <v/>
      </c>
    </row>
    <row r="2672">
      <c r="E2672" s="11" t="n"/>
      <c r="M2672" s="7">
        <f>IF($C2672="","",L2672*U2672/100)</f>
        <v/>
      </c>
      <c r="N2672" s="7" t="n"/>
      <c r="T2672" s="7" t="n"/>
      <c r="U2672" s="7">
        <f>IF($C2672="","",S2672*T2672)</f>
        <v/>
      </c>
      <c r="X2672">
        <f>IF($C2672="","",IF($AM2672=1,0,IF($AL2672=1,Settings!$C$6,Settings!$C$7))*100)</f>
        <v/>
      </c>
      <c r="AB2672" s="7" t="n"/>
      <c r="AE2672" s="11" t="n"/>
      <c r="AG2672" s="7">
        <f>IF($C2672="","",U2672*X2672/100)</f>
        <v/>
      </c>
      <c r="AH2672" s="7">
        <f>IF($C2672="","",U2672-AG2672)</f>
        <v/>
      </c>
      <c r="AI2672" s="7">
        <f>IF($C2672="","",AH2672-M2672)</f>
        <v/>
      </c>
      <c r="AJ2672">
        <f>IF($C2672="","",IF(COUNTIF($C$2:$C2672,$C2672)=1,1,0))</f>
        <v/>
      </c>
      <c r="AK2672">
        <f>IF($AJ2672=1,SUMPRODUCT(--($AN$2:$AN$4001&lt;$AN2672))+1,"")</f>
        <v/>
      </c>
      <c r="AL2672">
        <f>IF($C2672="","",IF(OR($Q2672=TRUE(),$Q2672="TRUE"),1,0))</f>
        <v/>
      </c>
      <c r="AM2672">
        <f>IF($C2672="","",IF($W2672="Yes",1,0))</f>
        <v/>
      </c>
      <c r="AN2672">
        <f>IF($AJ2672=1,IFERROR(IF(VALUE($C2672)&lt;100000000,VALUE($C2672),1000000000),IFERROR(IF(VALUE(MID($C2672,2,20))&lt;100000000,VALUE(MID($C2672,2,20)),1000000000),1000000000))+ROW()/100000,"")</f>
        <v/>
      </c>
    </row>
    <row r="2673">
      <c r="E2673" s="11" t="n"/>
      <c r="M2673" s="7">
        <f>IF($C2673="","",L2673*U2673/100)</f>
        <v/>
      </c>
      <c r="N2673" s="7" t="n"/>
      <c r="T2673" s="7" t="n"/>
      <c r="U2673" s="7">
        <f>IF($C2673="","",S2673*T2673)</f>
        <v/>
      </c>
      <c r="X2673">
        <f>IF($C2673="","",IF($AM2673=1,0,IF($AL2673=1,Settings!$C$6,Settings!$C$7))*100)</f>
        <v/>
      </c>
      <c r="AB2673" s="7" t="n"/>
      <c r="AE2673" s="11" t="n"/>
      <c r="AG2673" s="7">
        <f>IF($C2673="","",U2673*X2673/100)</f>
        <v/>
      </c>
      <c r="AH2673" s="7">
        <f>IF($C2673="","",U2673-AG2673)</f>
        <v/>
      </c>
      <c r="AI2673" s="7">
        <f>IF($C2673="","",AH2673-M2673)</f>
        <v/>
      </c>
      <c r="AJ2673">
        <f>IF($C2673="","",IF(COUNTIF($C$2:$C2673,$C2673)=1,1,0))</f>
        <v/>
      </c>
      <c r="AK2673">
        <f>IF($AJ2673=1,SUMPRODUCT(--($AN$2:$AN$4001&lt;$AN2673))+1,"")</f>
        <v/>
      </c>
      <c r="AL2673">
        <f>IF($C2673="","",IF(OR($Q2673=TRUE(),$Q2673="TRUE"),1,0))</f>
        <v/>
      </c>
      <c r="AM2673">
        <f>IF($C2673="","",IF($W2673="Yes",1,0))</f>
        <v/>
      </c>
      <c r="AN2673">
        <f>IF($AJ2673=1,IFERROR(IF(VALUE($C2673)&lt;100000000,VALUE($C2673),1000000000),IFERROR(IF(VALUE(MID($C2673,2,20))&lt;100000000,VALUE(MID($C2673,2,20)),1000000000),1000000000))+ROW()/100000,"")</f>
        <v/>
      </c>
    </row>
    <row r="2674">
      <c r="E2674" s="11" t="n"/>
      <c r="M2674" s="7">
        <f>IF($C2674="","",L2674*U2674/100)</f>
        <v/>
      </c>
      <c r="N2674" s="7" t="n"/>
      <c r="T2674" s="7" t="n"/>
      <c r="U2674" s="7">
        <f>IF($C2674="","",S2674*T2674)</f>
        <v/>
      </c>
      <c r="X2674">
        <f>IF($C2674="","",IF($AM2674=1,0,IF($AL2674=1,Settings!$C$6,Settings!$C$7))*100)</f>
        <v/>
      </c>
      <c r="AB2674" s="7" t="n"/>
      <c r="AE2674" s="11" t="n"/>
      <c r="AG2674" s="7">
        <f>IF($C2674="","",U2674*X2674/100)</f>
        <v/>
      </c>
      <c r="AH2674" s="7">
        <f>IF($C2674="","",U2674-AG2674)</f>
        <v/>
      </c>
      <c r="AI2674" s="7">
        <f>IF($C2674="","",AH2674-M2674)</f>
        <v/>
      </c>
      <c r="AJ2674">
        <f>IF($C2674="","",IF(COUNTIF($C$2:$C2674,$C2674)=1,1,0))</f>
        <v/>
      </c>
      <c r="AK2674">
        <f>IF($AJ2674=1,SUMPRODUCT(--($AN$2:$AN$4001&lt;$AN2674))+1,"")</f>
        <v/>
      </c>
      <c r="AL2674">
        <f>IF($C2674="","",IF(OR($Q2674=TRUE(),$Q2674="TRUE"),1,0))</f>
        <v/>
      </c>
      <c r="AM2674">
        <f>IF($C2674="","",IF($W2674="Yes",1,0))</f>
        <v/>
      </c>
      <c r="AN2674">
        <f>IF($AJ2674=1,IFERROR(IF(VALUE($C2674)&lt;100000000,VALUE($C2674),1000000000),IFERROR(IF(VALUE(MID($C2674,2,20))&lt;100000000,VALUE(MID($C2674,2,20)),1000000000),1000000000))+ROW()/100000,"")</f>
        <v/>
      </c>
    </row>
    <row r="2675">
      <c r="E2675" s="11" t="n"/>
      <c r="M2675" s="7">
        <f>IF($C2675="","",L2675*U2675/100)</f>
        <v/>
      </c>
      <c r="N2675" s="7" t="n"/>
      <c r="T2675" s="7" t="n"/>
      <c r="U2675" s="7">
        <f>IF($C2675="","",S2675*T2675)</f>
        <v/>
      </c>
      <c r="X2675">
        <f>IF($C2675="","",IF($AM2675=1,0,IF($AL2675=1,Settings!$C$6,Settings!$C$7))*100)</f>
        <v/>
      </c>
      <c r="AB2675" s="7" t="n"/>
      <c r="AE2675" s="11" t="n"/>
      <c r="AG2675" s="7">
        <f>IF($C2675="","",U2675*X2675/100)</f>
        <v/>
      </c>
      <c r="AH2675" s="7">
        <f>IF($C2675="","",U2675-AG2675)</f>
        <v/>
      </c>
      <c r="AI2675" s="7">
        <f>IF($C2675="","",AH2675-M2675)</f>
        <v/>
      </c>
      <c r="AJ2675">
        <f>IF($C2675="","",IF(COUNTIF($C$2:$C2675,$C2675)=1,1,0))</f>
        <v/>
      </c>
      <c r="AK2675">
        <f>IF($AJ2675=1,SUMPRODUCT(--($AN$2:$AN$4001&lt;$AN2675))+1,"")</f>
        <v/>
      </c>
      <c r="AL2675">
        <f>IF($C2675="","",IF(OR($Q2675=TRUE(),$Q2675="TRUE"),1,0))</f>
        <v/>
      </c>
      <c r="AM2675">
        <f>IF($C2675="","",IF($W2675="Yes",1,0))</f>
        <v/>
      </c>
      <c r="AN2675">
        <f>IF($AJ2675=1,IFERROR(IF(VALUE($C2675)&lt;100000000,VALUE($C2675),1000000000),IFERROR(IF(VALUE(MID($C2675,2,20))&lt;100000000,VALUE(MID($C2675,2,20)),1000000000),1000000000))+ROW()/100000,"")</f>
        <v/>
      </c>
    </row>
    <row r="2676">
      <c r="E2676" s="11" t="n"/>
      <c r="M2676" s="7">
        <f>IF($C2676="","",L2676*U2676/100)</f>
        <v/>
      </c>
      <c r="N2676" s="7" t="n"/>
      <c r="T2676" s="7" t="n"/>
      <c r="U2676" s="7">
        <f>IF($C2676="","",S2676*T2676)</f>
        <v/>
      </c>
      <c r="X2676">
        <f>IF($C2676="","",IF($AM2676=1,0,IF($AL2676=1,Settings!$C$6,Settings!$C$7))*100)</f>
        <v/>
      </c>
      <c r="AB2676" s="7" t="n"/>
      <c r="AE2676" s="11" t="n"/>
      <c r="AG2676" s="7">
        <f>IF($C2676="","",U2676*X2676/100)</f>
        <v/>
      </c>
      <c r="AH2676" s="7">
        <f>IF($C2676="","",U2676-AG2676)</f>
        <v/>
      </c>
      <c r="AI2676" s="7">
        <f>IF($C2676="","",AH2676-M2676)</f>
        <v/>
      </c>
      <c r="AJ2676">
        <f>IF($C2676="","",IF(COUNTIF($C$2:$C2676,$C2676)=1,1,0))</f>
        <v/>
      </c>
      <c r="AK2676">
        <f>IF($AJ2676=1,SUMPRODUCT(--($AN$2:$AN$4001&lt;$AN2676))+1,"")</f>
        <v/>
      </c>
      <c r="AL2676">
        <f>IF($C2676="","",IF(OR($Q2676=TRUE(),$Q2676="TRUE"),1,0))</f>
        <v/>
      </c>
      <c r="AM2676">
        <f>IF($C2676="","",IF($W2676="Yes",1,0))</f>
        <v/>
      </c>
      <c r="AN2676">
        <f>IF($AJ2676=1,IFERROR(IF(VALUE($C2676)&lt;100000000,VALUE($C2676),1000000000),IFERROR(IF(VALUE(MID($C2676,2,20))&lt;100000000,VALUE(MID($C2676,2,20)),1000000000),1000000000))+ROW()/100000,"")</f>
        <v/>
      </c>
    </row>
    <row r="2677">
      <c r="E2677" s="11" t="n"/>
      <c r="M2677" s="7">
        <f>IF($C2677="","",L2677*U2677/100)</f>
        <v/>
      </c>
      <c r="N2677" s="7" t="n"/>
      <c r="T2677" s="7" t="n"/>
      <c r="U2677" s="7">
        <f>IF($C2677="","",S2677*T2677)</f>
        <v/>
      </c>
      <c r="X2677">
        <f>IF($C2677="","",IF($AM2677=1,0,IF($AL2677=1,Settings!$C$6,Settings!$C$7))*100)</f>
        <v/>
      </c>
      <c r="AB2677" s="7" t="n"/>
      <c r="AE2677" s="11" t="n"/>
      <c r="AG2677" s="7">
        <f>IF($C2677="","",U2677*X2677/100)</f>
        <v/>
      </c>
      <c r="AH2677" s="7">
        <f>IF($C2677="","",U2677-AG2677)</f>
        <v/>
      </c>
      <c r="AI2677" s="7">
        <f>IF($C2677="","",AH2677-M2677)</f>
        <v/>
      </c>
      <c r="AJ2677">
        <f>IF($C2677="","",IF(COUNTIF($C$2:$C2677,$C2677)=1,1,0))</f>
        <v/>
      </c>
      <c r="AK2677">
        <f>IF($AJ2677=1,SUMPRODUCT(--($AN$2:$AN$4001&lt;$AN2677))+1,"")</f>
        <v/>
      </c>
      <c r="AL2677">
        <f>IF($C2677="","",IF(OR($Q2677=TRUE(),$Q2677="TRUE"),1,0))</f>
        <v/>
      </c>
      <c r="AM2677">
        <f>IF($C2677="","",IF($W2677="Yes",1,0))</f>
        <v/>
      </c>
      <c r="AN2677">
        <f>IF($AJ2677=1,IFERROR(IF(VALUE($C2677)&lt;100000000,VALUE($C2677),1000000000),IFERROR(IF(VALUE(MID($C2677,2,20))&lt;100000000,VALUE(MID($C2677,2,20)),1000000000),1000000000))+ROW()/100000,"")</f>
        <v/>
      </c>
    </row>
    <row r="2678">
      <c r="E2678" s="11" t="n"/>
      <c r="M2678" s="7">
        <f>IF($C2678="","",L2678*U2678/100)</f>
        <v/>
      </c>
      <c r="N2678" s="7" t="n"/>
      <c r="T2678" s="7" t="n"/>
      <c r="U2678" s="7">
        <f>IF($C2678="","",S2678*T2678)</f>
        <v/>
      </c>
      <c r="X2678">
        <f>IF($C2678="","",IF($AM2678=1,0,IF($AL2678=1,Settings!$C$6,Settings!$C$7))*100)</f>
        <v/>
      </c>
      <c r="AB2678" s="7" t="n"/>
      <c r="AE2678" s="11" t="n"/>
      <c r="AG2678" s="7">
        <f>IF($C2678="","",U2678*X2678/100)</f>
        <v/>
      </c>
      <c r="AH2678" s="7">
        <f>IF($C2678="","",U2678-AG2678)</f>
        <v/>
      </c>
      <c r="AI2678" s="7">
        <f>IF($C2678="","",AH2678-M2678)</f>
        <v/>
      </c>
      <c r="AJ2678">
        <f>IF($C2678="","",IF(COUNTIF($C$2:$C2678,$C2678)=1,1,0))</f>
        <v/>
      </c>
      <c r="AK2678">
        <f>IF($AJ2678=1,SUMPRODUCT(--($AN$2:$AN$4001&lt;$AN2678))+1,"")</f>
        <v/>
      </c>
      <c r="AL2678">
        <f>IF($C2678="","",IF(OR($Q2678=TRUE(),$Q2678="TRUE"),1,0))</f>
        <v/>
      </c>
      <c r="AM2678">
        <f>IF($C2678="","",IF($W2678="Yes",1,0))</f>
        <v/>
      </c>
      <c r="AN2678">
        <f>IF($AJ2678=1,IFERROR(IF(VALUE($C2678)&lt;100000000,VALUE($C2678),1000000000),IFERROR(IF(VALUE(MID($C2678,2,20))&lt;100000000,VALUE(MID($C2678,2,20)),1000000000),1000000000))+ROW()/100000,"")</f>
        <v/>
      </c>
    </row>
    <row r="2679">
      <c r="E2679" s="11" t="n"/>
      <c r="M2679" s="7">
        <f>IF($C2679="","",L2679*U2679/100)</f>
        <v/>
      </c>
      <c r="N2679" s="7" t="n"/>
      <c r="T2679" s="7" t="n"/>
      <c r="U2679" s="7">
        <f>IF($C2679="","",S2679*T2679)</f>
        <v/>
      </c>
      <c r="X2679">
        <f>IF($C2679="","",IF($AM2679=1,0,IF($AL2679=1,Settings!$C$6,Settings!$C$7))*100)</f>
        <v/>
      </c>
      <c r="AB2679" s="7" t="n"/>
      <c r="AE2679" s="11" t="n"/>
      <c r="AG2679" s="7">
        <f>IF($C2679="","",U2679*X2679/100)</f>
        <v/>
      </c>
      <c r="AH2679" s="7">
        <f>IF($C2679="","",U2679-AG2679)</f>
        <v/>
      </c>
      <c r="AI2679" s="7">
        <f>IF($C2679="","",AH2679-M2679)</f>
        <v/>
      </c>
      <c r="AJ2679">
        <f>IF($C2679="","",IF(COUNTIF($C$2:$C2679,$C2679)=1,1,0))</f>
        <v/>
      </c>
      <c r="AK2679">
        <f>IF($AJ2679=1,SUMPRODUCT(--($AN$2:$AN$4001&lt;$AN2679))+1,"")</f>
        <v/>
      </c>
      <c r="AL2679">
        <f>IF($C2679="","",IF(OR($Q2679=TRUE(),$Q2679="TRUE"),1,0))</f>
        <v/>
      </c>
      <c r="AM2679">
        <f>IF($C2679="","",IF($W2679="Yes",1,0))</f>
        <v/>
      </c>
      <c r="AN2679">
        <f>IF($AJ2679=1,IFERROR(IF(VALUE($C2679)&lt;100000000,VALUE($C2679),1000000000),IFERROR(IF(VALUE(MID($C2679,2,20))&lt;100000000,VALUE(MID($C2679,2,20)),1000000000),1000000000))+ROW()/100000,"")</f>
        <v/>
      </c>
    </row>
    <row r="2680">
      <c r="E2680" s="11" t="n"/>
      <c r="M2680" s="7">
        <f>IF($C2680="","",L2680*U2680/100)</f>
        <v/>
      </c>
      <c r="N2680" s="7" t="n"/>
      <c r="T2680" s="7" t="n"/>
      <c r="U2680" s="7">
        <f>IF($C2680="","",S2680*T2680)</f>
        <v/>
      </c>
      <c r="X2680">
        <f>IF($C2680="","",IF($AM2680=1,0,IF($AL2680=1,Settings!$C$6,Settings!$C$7))*100)</f>
        <v/>
      </c>
      <c r="AB2680" s="7" t="n"/>
      <c r="AE2680" s="11" t="n"/>
      <c r="AG2680" s="7">
        <f>IF($C2680="","",U2680*X2680/100)</f>
        <v/>
      </c>
      <c r="AH2680" s="7">
        <f>IF($C2680="","",U2680-AG2680)</f>
        <v/>
      </c>
      <c r="AI2680" s="7">
        <f>IF($C2680="","",AH2680-M2680)</f>
        <v/>
      </c>
      <c r="AJ2680">
        <f>IF($C2680="","",IF(COUNTIF($C$2:$C2680,$C2680)=1,1,0))</f>
        <v/>
      </c>
      <c r="AK2680">
        <f>IF($AJ2680=1,SUMPRODUCT(--($AN$2:$AN$4001&lt;$AN2680))+1,"")</f>
        <v/>
      </c>
      <c r="AL2680">
        <f>IF($C2680="","",IF(OR($Q2680=TRUE(),$Q2680="TRUE"),1,0))</f>
        <v/>
      </c>
      <c r="AM2680">
        <f>IF($C2680="","",IF($W2680="Yes",1,0))</f>
        <v/>
      </c>
      <c r="AN2680">
        <f>IF($AJ2680=1,IFERROR(IF(VALUE($C2680)&lt;100000000,VALUE($C2680),1000000000),IFERROR(IF(VALUE(MID($C2680,2,20))&lt;100000000,VALUE(MID($C2680,2,20)),1000000000),1000000000))+ROW()/100000,"")</f>
        <v/>
      </c>
    </row>
    <row r="2681">
      <c r="E2681" s="11" t="n"/>
      <c r="M2681" s="7">
        <f>IF($C2681="","",L2681*U2681/100)</f>
        <v/>
      </c>
      <c r="N2681" s="7" t="n"/>
      <c r="T2681" s="7" t="n"/>
      <c r="U2681" s="7">
        <f>IF($C2681="","",S2681*T2681)</f>
        <v/>
      </c>
      <c r="X2681">
        <f>IF($C2681="","",IF($AM2681=1,0,IF($AL2681=1,Settings!$C$6,Settings!$C$7))*100)</f>
        <v/>
      </c>
      <c r="AB2681" s="7" t="n"/>
      <c r="AE2681" s="11" t="n"/>
      <c r="AG2681" s="7">
        <f>IF($C2681="","",U2681*X2681/100)</f>
        <v/>
      </c>
      <c r="AH2681" s="7">
        <f>IF($C2681="","",U2681-AG2681)</f>
        <v/>
      </c>
      <c r="AI2681" s="7">
        <f>IF($C2681="","",AH2681-M2681)</f>
        <v/>
      </c>
      <c r="AJ2681">
        <f>IF($C2681="","",IF(COUNTIF($C$2:$C2681,$C2681)=1,1,0))</f>
        <v/>
      </c>
      <c r="AK2681">
        <f>IF($AJ2681=1,SUMPRODUCT(--($AN$2:$AN$4001&lt;$AN2681))+1,"")</f>
        <v/>
      </c>
      <c r="AL2681">
        <f>IF($C2681="","",IF(OR($Q2681=TRUE(),$Q2681="TRUE"),1,0))</f>
        <v/>
      </c>
      <c r="AM2681">
        <f>IF($C2681="","",IF($W2681="Yes",1,0))</f>
        <v/>
      </c>
      <c r="AN2681">
        <f>IF($AJ2681=1,IFERROR(IF(VALUE($C2681)&lt;100000000,VALUE($C2681),1000000000),IFERROR(IF(VALUE(MID($C2681,2,20))&lt;100000000,VALUE(MID($C2681,2,20)),1000000000),1000000000))+ROW()/100000,"")</f>
        <v/>
      </c>
    </row>
    <row r="2682">
      <c r="E2682" s="11" t="n"/>
      <c r="M2682" s="7">
        <f>IF($C2682="","",L2682*U2682/100)</f>
        <v/>
      </c>
      <c r="N2682" s="7" t="n"/>
      <c r="T2682" s="7" t="n"/>
      <c r="U2682" s="7">
        <f>IF($C2682="","",S2682*T2682)</f>
        <v/>
      </c>
      <c r="X2682">
        <f>IF($C2682="","",IF($AM2682=1,0,IF($AL2682=1,Settings!$C$6,Settings!$C$7))*100)</f>
        <v/>
      </c>
      <c r="AB2682" s="7" t="n"/>
      <c r="AE2682" s="11" t="n"/>
      <c r="AG2682" s="7">
        <f>IF($C2682="","",U2682*X2682/100)</f>
        <v/>
      </c>
      <c r="AH2682" s="7">
        <f>IF($C2682="","",U2682-AG2682)</f>
        <v/>
      </c>
      <c r="AI2682" s="7">
        <f>IF($C2682="","",AH2682-M2682)</f>
        <v/>
      </c>
      <c r="AJ2682">
        <f>IF($C2682="","",IF(COUNTIF($C$2:$C2682,$C2682)=1,1,0))</f>
        <v/>
      </c>
      <c r="AK2682">
        <f>IF($AJ2682=1,SUMPRODUCT(--($AN$2:$AN$4001&lt;$AN2682))+1,"")</f>
        <v/>
      </c>
      <c r="AL2682">
        <f>IF($C2682="","",IF(OR($Q2682=TRUE(),$Q2682="TRUE"),1,0))</f>
        <v/>
      </c>
      <c r="AM2682">
        <f>IF($C2682="","",IF($W2682="Yes",1,0))</f>
        <v/>
      </c>
      <c r="AN2682">
        <f>IF($AJ2682=1,IFERROR(IF(VALUE($C2682)&lt;100000000,VALUE($C2682),1000000000),IFERROR(IF(VALUE(MID($C2682,2,20))&lt;100000000,VALUE(MID($C2682,2,20)),1000000000),1000000000))+ROW()/100000,"")</f>
        <v/>
      </c>
    </row>
    <row r="2683">
      <c r="E2683" s="11" t="n"/>
      <c r="M2683" s="7">
        <f>IF($C2683="","",L2683*U2683/100)</f>
        <v/>
      </c>
      <c r="N2683" s="7" t="n"/>
      <c r="T2683" s="7" t="n"/>
      <c r="U2683" s="7">
        <f>IF($C2683="","",S2683*T2683)</f>
        <v/>
      </c>
      <c r="X2683">
        <f>IF($C2683="","",IF($AM2683=1,0,IF($AL2683=1,Settings!$C$6,Settings!$C$7))*100)</f>
        <v/>
      </c>
      <c r="AB2683" s="7" t="n"/>
      <c r="AE2683" s="11" t="n"/>
      <c r="AG2683" s="7">
        <f>IF($C2683="","",U2683*X2683/100)</f>
        <v/>
      </c>
      <c r="AH2683" s="7">
        <f>IF($C2683="","",U2683-AG2683)</f>
        <v/>
      </c>
      <c r="AI2683" s="7">
        <f>IF($C2683="","",AH2683-M2683)</f>
        <v/>
      </c>
      <c r="AJ2683">
        <f>IF($C2683="","",IF(COUNTIF($C$2:$C2683,$C2683)=1,1,0))</f>
        <v/>
      </c>
      <c r="AK2683">
        <f>IF($AJ2683=1,SUMPRODUCT(--($AN$2:$AN$4001&lt;$AN2683))+1,"")</f>
        <v/>
      </c>
      <c r="AL2683">
        <f>IF($C2683="","",IF(OR($Q2683=TRUE(),$Q2683="TRUE"),1,0))</f>
        <v/>
      </c>
      <c r="AM2683">
        <f>IF($C2683="","",IF($W2683="Yes",1,0))</f>
        <v/>
      </c>
      <c r="AN2683">
        <f>IF($AJ2683=1,IFERROR(IF(VALUE($C2683)&lt;100000000,VALUE($C2683),1000000000),IFERROR(IF(VALUE(MID($C2683,2,20))&lt;100000000,VALUE(MID($C2683,2,20)),1000000000),1000000000))+ROW()/100000,"")</f>
        <v/>
      </c>
    </row>
    <row r="2684">
      <c r="E2684" s="11" t="n"/>
      <c r="M2684" s="7">
        <f>IF($C2684="","",L2684*U2684/100)</f>
        <v/>
      </c>
      <c r="N2684" s="7" t="n"/>
      <c r="T2684" s="7" t="n"/>
      <c r="U2684" s="7">
        <f>IF($C2684="","",S2684*T2684)</f>
        <v/>
      </c>
      <c r="X2684">
        <f>IF($C2684="","",IF($AM2684=1,0,IF($AL2684=1,Settings!$C$6,Settings!$C$7))*100)</f>
        <v/>
      </c>
      <c r="AB2684" s="7" t="n"/>
      <c r="AE2684" s="11" t="n"/>
      <c r="AG2684" s="7">
        <f>IF($C2684="","",U2684*X2684/100)</f>
        <v/>
      </c>
      <c r="AH2684" s="7">
        <f>IF($C2684="","",U2684-AG2684)</f>
        <v/>
      </c>
      <c r="AI2684" s="7">
        <f>IF($C2684="","",AH2684-M2684)</f>
        <v/>
      </c>
      <c r="AJ2684">
        <f>IF($C2684="","",IF(COUNTIF($C$2:$C2684,$C2684)=1,1,0))</f>
        <v/>
      </c>
      <c r="AK2684">
        <f>IF($AJ2684=1,SUMPRODUCT(--($AN$2:$AN$4001&lt;$AN2684))+1,"")</f>
        <v/>
      </c>
      <c r="AL2684">
        <f>IF($C2684="","",IF(OR($Q2684=TRUE(),$Q2684="TRUE"),1,0))</f>
        <v/>
      </c>
      <c r="AM2684">
        <f>IF($C2684="","",IF($W2684="Yes",1,0))</f>
        <v/>
      </c>
      <c r="AN2684">
        <f>IF($AJ2684=1,IFERROR(IF(VALUE($C2684)&lt;100000000,VALUE($C2684),1000000000),IFERROR(IF(VALUE(MID($C2684,2,20))&lt;100000000,VALUE(MID($C2684,2,20)),1000000000),1000000000))+ROW()/100000,"")</f>
        <v/>
      </c>
    </row>
    <row r="2685">
      <c r="E2685" s="11" t="n"/>
      <c r="M2685" s="7">
        <f>IF($C2685="","",L2685*U2685/100)</f>
        <v/>
      </c>
      <c r="N2685" s="7" t="n"/>
      <c r="T2685" s="7" t="n"/>
      <c r="U2685" s="7">
        <f>IF($C2685="","",S2685*T2685)</f>
        <v/>
      </c>
      <c r="X2685">
        <f>IF($C2685="","",IF($AM2685=1,0,IF($AL2685=1,Settings!$C$6,Settings!$C$7))*100)</f>
        <v/>
      </c>
      <c r="AB2685" s="7" t="n"/>
      <c r="AE2685" s="11" t="n"/>
      <c r="AG2685" s="7">
        <f>IF($C2685="","",U2685*X2685/100)</f>
        <v/>
      </c>
      <c r="AH2685" s="7">
        <f>IF($C2685="","",U2685-AG2685)</f>
        <v/>
      </c>
      <c r="AI2685" s="7">
        <f>IF($C2685="","",AH2685-M2685)</f>
        <v/>
      </c>
      <c r="AJ2685">
        <f>IF($C2685="","",IF(COUNTIF($C$2:$C2685,$C2685)=1,1,0))</f>
        <v/>
      </c>
      <c r="AK2685">
        <f>IF($AJ2685=1,SUMPRODUCT(--($AN$2:$AN$4001&lt;$AN2685))+1,"")</f>
        <v/>
      </c>
      <c r="AL2685">
        <f>IF($C2685="","",IF(OR($Q2685=TRUE(),$Q2685="TRUE"),1,0))</f>
        <v/>
      </c>
      <c r="AM2685">
        <f>IF($C2685="","",IF($W2685="Yes",1,0))</f>
        <v/>
      </c>
      <c r="AN2685">
        <f>IF($AJ2685=1,IFERROR(IF(VALUE($C2685)&lt;100000000,VALUE($C2685),1000000000),IFERROR(IF(VALUE(MID($C2685,2,20))&lt;100000000,VALUE(MID($C2685,2,20)),1000000000),1000000000))+ROW()/100000,"")</f>
        <v/>
      </c>
    </row>
    <row r="2686">
      <c r="E2686" s="11" t="n"/>
      <c r="M2686" s="7">
        <f>IF($C2686="","",L2686*U2686/100)</f>
        <v/>
      </c>
      <c r="N2686" s="7" t="n"/>
      <c r="T2686" s="7" t="n"/>
      <c r="U2686" s="7">
        <f>IF($C2686="","",S2686*T2686)</f>
        <v/>
      </c>
      <c r="X2686">
        <f>IF($C2686="","",IF($AM2686=1,0,IF($AL2686=1,Settings!$C$6,Settings!$C$7))*100)</f>
        <v/>
      </c>
      <c r="AB2686" s="7" t="n"/>
      <c r="AE2686" s="11" t="n"/>
      <c r="AG2686" s="7">
        <f>IF($C2686="","",U2686*X2686/100)</f>
        <v/>
      </c>
      <c r="AH2686" s="7">
        <f>IF($C2686="","",U2686-AG2686)</f>
        <v/>
      </c>
      <c r="AI2686" s="7">
        <f>IF($C2686="","",AH2686-M2686)</f>
        <v/>
      </c>
      <c r="AJ2686">
        <f>IF($C2686="","",IF(COUNTIF($C$2:$C2686,$C2686)=1,1,0))</f>
        <v/>
      </c>
      <c r="AK2686">
        <f>IF($AJ2686=1,SUMPRODUCT(--($AN$2:$AN$4001&lt;$AN2686))+1,"")</f>
        <v/>
      </c>
      <c r="AL2686">
        <f>IF($C2686="","",IF(OR($Q2686=TRUE(),$Q2686="TRUE"),1,0))</f>
        <v/>
      </c>
      <c r="AM2686">
        <f>IF($C2686="","",IF($W2686="Yes",1,0))</f>
        <v/>
      </c>
      <c r="AN2686">
        <f>IF($AJ2686=1,IFERROR(IF(VALUE($C2686)&lt;100000000,VALUE($C2686),1000000000),IFERROR(IF(VALUE(MID($C2686,2,20))&lt;100000000,VALUE(MID($C2686,2,20)),1000000000),1000000000))+ROW()/100000,"")</f>
        <v/>
      </c>
    </row>
    <row r="2687">
      <c r="E2687" s="11" t="n"/>
      <c r="M2687" s="7">
        <f>IF($C2687="","",L2687*U2687/100)</f>
        <v/>
      </c>
      <c r="N2687" s="7" t="n"/>
      <c r="T2687" s="7" t="n"/>
      <c r="U2687" s="7">
        <f>IF($C2687="","",S2687*T2687)</f>
        <v/>
      </c>
      <c r="X2687">
        <f>IF($C2687="","",IF($AM2687=1,0,IF($AL2687=1,Settings!$C$6,Settings!$C$7))*100)</f>
        <v/>
      </c>
      <c r="AB2687" s="7" t="n"/>
      <c r="AE2687" s="11" t="n"/>
      <c r="AG2687" s="7">
        <f>IF($C2687="","",U2687*X2687/100)</f>
        <v/>
      </c>
      <c r="AH2687" s="7">
        <f>IF($C2687="","",U2687-AG2687)</f>
        <v/>
      </c>
      <c r="AI2687" s="7">
        <f>IF($C2687="","",AH2687-M2687)</f>
        <v/>
      </c>
      <c r="AJ2687">
        <f>IF($C2687="","",IF(COUNTIF($C$2:$C2687,$C2687)=1,1,0))</f>
        <v/>
      </c>
      <c r="AK2687">
        <f>IF($AJ2687=1,SUMPRODUCT(--($AN$2:$AN$4001&lt;$AN2687))+1,"")</f>
        <v/>
      </c>
      <c r="AL2687">
        <f>IF($C2687="","",IF(OR($Q2687=TRUE(),$Q2687="TRUE"),1,0))</f>
        <v/>
      </c>
      <c r="AM2687">
        <f>IF($C2687="","",IF($W2687="Yes",1,0))</f>
        <v/>
      </c>
      <c r="AN2687">
        <f>IF($AJ2687=1,IFERROR(IF(VALUE($C2687)&lt;100000000,VALUE($C2687),1000000000),IFERROR(IF(VALUE(MID($C2687,2,20))&lt;100000000,VALUE(MID($C2687,2,20)),1000000000),1000000000))+ROW()/100000,"")</f>
        <v/>
      </c>
    </row>
    <row r="2688">
      <c r="E2688" s="11" t="n"/>
      <c r="M2688" s="7">
        <f>IF($C2688="","",L2688*U2688/100)</f>
        <v/>
      </c>
      <c r="N2688" s="7" t="n"/>
      <c r="T2688" s="7" t="n"/>
      <c r="U2688" s="7">
        <f>IF($C2688="","",S2688*T2688)</f>
        <v/>
      </c>
      <c r="X2688">
        <f>IF($C2688="","",IF($AM2688=1,0,IF($AL2688=1,Settings!$C$6,Settings!$C$7))*100)</f>
        <v/>
      </c>
      <c r="AB2688" s="7" t="n"/>
      <c r="AE2688" s="11" t="n"/>
      <c r="AG2688" s="7">
        <f>IF($C2688="","",U2688*X2688/100)</f>
        <v/>
      </c>
      <c r="AH2688" s="7">
        <f>IF($C2688="","",U2688-AG2688)</f>
        <v/>
      </c>
      <c r="AI2688" s="7">
        <f>IF($C2688="","",AH2688-M2688)</f>
        <v/>
      </c>
      <c r="AJ2688">
        <f>IF($C2688="","",IF(COUNTIF($C$2:$C2688,$C2688)=1,1,0))</f>
        <v/>
      </c>
      <c r="AK2688">
        <f>IF($AJ2688=1,SUMPRODUCT(--($AN$2:$AN$4001&lt;$AN2688))+1,"")</f>
        <v/>
      </c>
      <c r="AL2688">
        <f>IF($C2688="","",IF(OR($Q2688=TRUE(),$Q2688="TRUE"),1,0))</f>
        <v/>
      </c>
      <c r="AM2688">
        <f>IF($C2688="","",IF($W2688="Yes",1,0))</f>
        <v/>
      </c>
      <c r="AN2688">
        <f>IF($AJ2688=1,IFERROR(IF(VALUE($C2688)&lt;100000000,VALUE($C2688),1000000000),IFERROR(IF(VALUE(MID($C2688,2,20))&lt;100000000,VALUE(MID($C2688,2,20)),1000000000),1000000000))+ROW()/100000,"")</f>
        <v/>
      </c>
    </row>
    <row r="2689">
      <c r="E2689" s="11" t="n"/>
      <c r="M2689" s="7">
        <f>IF($C2689="","",L2689*U2689/100)</f>
        <v/>
      </c>
      <c r="N2689" s="7" t="n"/>
      <c r="T2689" s="7" t="n"/>
      <c r="U2689" s="7">
        <f>IF($C2689="","",S2689*T2689)</f>
        <v/>
      </c>
      <c r="X2689">
        <f>IF($C2689="","",IF($AM2689=1,0,IF($AL2689=1,Settings!$C$6,Settings!$C$7))*100)</f>
        <v/>
      </c>
      <c r="AB2689" s="7" t="n"/>
      <c r="AE2689" s="11" t="n"/>
      <c r="AG2689" s="7">
        <f>IF($C2689="","",U2689*X2689/100)</f>
        <v/>
      </c>
      <c r="AH2689" s="7">
        <f>IF($C2689="","",U2689-AG2689)</f>
        <v/>
      </c>
      <c r="AI2689" s="7">
        <f>IF($C2689="","",AH2689-M2689)</f>
        <v/>
      </c>
      <c r="AJ2689">
        <f>IF($C2689="","",IF(COUNTIF($C$2:$C2689,$C2689)=1,1,0))</f>
        <v/>
      </c>
      <c r="AK2689">
        <f>IF($AJ2689=1,SUMPRODUCT(--($AN$2:$AN$4001&lt;$AN2689))+1,"")</f>
        <v/>
      </c>
      <c r="AL2689">
        <f>IF($C2689="","",IF(OR($Q2689=TRUE(),$Q2689="TRUE"),1,0))</f>
        <v/>
      </c>
      <c r="AM2689">
        <f>IF($C2689="","",IF($W2689="Yes",1,0))</f>
        <v/>
      </c>
      <c r="AN2689">
        <f>IF($AJ2689=1,IFERROR(IF(VALUE($C2689)&lt;100000000,VALUE($C2689),1000000000),IFERROR(IF(VALUE(MID($C2689,2,20))&lt;100000000,VALUE(MID($C2689,2,20)),1000000000),1000000000))+ROW()/100000,"")</f>
        <v/>
      </c>
    </row>
    <row r="2690">
      <c r="E2690" s="11" t="n"/>
      <c r="M2690" s="7">
        <f>IF($C2690="","",L2690*U2690/100)</f>
        <v/>
      </c>
      <c r="N2690" s="7" t="n"/>
      <c r="T2690" s="7" t="n"/>
      <c r="U2690" s="7">
        <f>IF($C2690="","",S2690*T2690)</f>
        <v/>
      </c>
      <c r="X2690">
        <f>IF($C2690="","",IF($AM2690=1,0,IF($AL2690=1,Settings!$C$6,Settings!$C$7))*100)</f>
        <v/>
      </c>
      <c r="AB2690" s="7" t="n"/>
      <c r="AE2690" s="11" t="n"/>
      <c r="AG2690" s="7">
        <f>IF($C2690="","",U2690*X2690/100)</f>
        <v/>
      </c>
      <c r="AH2690" s="7">
        <f>IF($C2690="","",U2690-AG2690)</f>
        <v/>
      </c>
      <c r="AI2690" s="7">
        <f>IF($C2690="","",AH2690-M2690)</f>
        <v/>
      </c>
      <c r="AJ2690">
        <f>IF($C2690="","",IF(COUNTIF($C$2:$C2690,$C2690)=1,1,0))</f>
        <v/>
      </c>
      <c r="AK2690">
        <f>IF($AJ2690=1,SUMPRODUCT(--($AN$2:$AN$4001&lt;$AN2690))+1,"")</f>
        <v/>
      </c>
      <c r="AL2690">
        <f>IF($C2690="","",IF(OR($Q2690=TRUE(),$Q2690="TRUE"),1,0))</f>
        <v/>
      </c>
      <c r="AM2690">
        <f>IF($C2690="","",IF($W2690="Yes",1,0))</f>
        <v/>
      </c>
      <c r="AN2690">
        <f>IF($AJ2690=1,IFERROR(IF(VALUE($C2690)&lt;100000000,VALUE($C2690),1000000000),IFERROR(IF(VALUE(MID($C2690,2,20))&lt;100000000,VALUE(MID($C2690,2,20)),1000000000),1000000000))+ROW()/100000,"")</f>
        <v/>
      </c>
    </row>
    <row r="2691">
      <c r="E2691" s="11" t="n"/>
      <c r="M2691" s="7">
        <f>IF($C2691="","",L2691*U2691/100)</f>
        <v/>
      </c>
      <c r="N2691" s="7" t="n"/>
      <c r="T2691" s="7" t="n"/>
      <c r="U2691" s="7">
        <f>IF($C2691="","",S2691*T2691)</f>
        <v/>
      </c>
      <c r="X2691">
        <f>IF($C2691="","",IF($AM2691=1,0,IF($AL2691=1,Settings!$C$6,Settings!$C$7))*100)</f>
        <v/>
      </c>
      <c r="AB2691" s="7" t="n"/>
      <c r="AE2691" s="11" t="n"/>
      <c r="AG2691" s="7">
        <f>IF($C2691="","",U2691*X2691/100)</f>
        <v/>
      </c>
      <c r="AH2691" s="7">
        <f>IF($C2691="","",U2691-AG2691)</f>
        <v/>
      </c>
      <c r="AI2691" s="7">
        <f>IF($C2691="","",AH2691-M2691)</f>
        <v/>
      </c>
      <c r="AJ2691">
        <f>IF($C2691="","",IF(COUNTIF($C$2:$C2691,$C2691)=1,1,0))</f>
        <v/>
      </c>
      <c r="AK2691">
        <f>IF($AJ2691=1,SUMPRODUCT(--($AN$2:$AN$4001&lt;$AN2691))+1,"")</f>
        <v/>
      </c>
      <c r="AL2691">
        <f>IF($C2691="","",IF(OR($Q2691=TRUE(),$Q2691="TRUE"),1,0))</f>
        <v/>
      </c>
      <c r="AM2691">
        <f>IF($C2691="","",IF($W2691="Yes",1,0))</f>
        <v/>
      </c>
      <c r="AN2691">
        <f>IF($AJ2691=1,IFERROR(IF(VALUE($C2691)&lt;100000000,VALUE($C2691),1000000000),IFERROR(IF(VALUE(MID($C2691,2,20))&lt;100000000,VALUE(MID($C2691,2,20)),1000000000),1000000000))+ROW()/100000,"")</f>
        <v/>
      </c>
    </row>
    <row r="2692">
      <c r="E2692" s="11" t="n"/>
      <c r="M2692" s="7">
        <f>IF($C2692="","",L2692*U2692/100)</f>
        <v/>
      </c>
      <c r="N2692" s="7" t="n"/>
      <c r="T2692" s="7" t="n"/>
      <c r="U2692" s="7">
        <f>IF($C2692="","",S2692*T2692)</f>
        <v/>
      </c>
      <c r="X2692">
        <f>IF($C2692="","",IF($AM2692=1,0,IF($AL2692=1,Settings!$C$6,Settings!$C$7))*100)</f>
        <v/>
      </c>
      <c r="AB2692" s="7" t="n"/>
      <c r="AE2692" s="11" t="n"/>
      <c r="AG2692" s="7">
        <f>IF($C2692="","",U2692*X2692/100)</f>
        <v/>
      </c>
      <c r="AH2692" s="7">
        <f>IF($C2692="","",U2692-AG2692)</f>
        <v/>
      </c>
      <c r="AI2692" s="7">
        <f>IF($C2692="","",AH2692-M2692)</f>
        <v/>
      </c>
      <c r="AJ2692">
        <f>IF($C2692="","",IF(COUNTIF($C$2:$C2692,$C2692)=1,1,0))</f>
        <v/>
      </c>
      <c r="AK2692">
        <f>IF($AJ2692=1,SUMPRODUCT(--($AN$2:$AN$4001&lt;$AN2692))+1,"")</f>
        <v/>
      </c>
      <c r="AL2692">
        <f>IF($C2692="","",IF(OR($Q2692=TRUE(),$Q2692="TRUE"),1,0))</f>
        <v/>
      </c>
      <c r="AM2692">
        <f>IF($C2692="","",IF($W2692="Yes",1,0))</f>
        <v/>
      </c>
      <c r="AN2692">
        <f>IF($AJ2692=1,IFERROR(IF(VALUE($C2692)&lt;100000000,VALUE($C2692),1000000000),IFERROR(IF(VALUE(MID($C2692,2,20))&lt;100000000,VALUE(MID($C2692,2,20)),1000000000),1000000000))+ROW()/100000,"")</f>
        <v/>
      </c>
    </row>
    <row r="2693">
      <c r="E2693" s="11" t="n"/>
      <c r="M2693" s="7">
        <f>IF($C2693="","",L2693*U2693/100)</f>
        <v/>
      </c>
      <c r="N2693" s="7" t="n"/>
      <c r="T2693" s="7" t="n"/>
      <c r="U2693" s="7">
        <f>IF($C2693="","",S2693*T2693)</f>
        <v/>
      </c>
      <c r="X2693">
        <f>IF($C2693="","",IF($AM2693=1,0,IF($AL2693=1,Settings!$C$6,Settings!$C$7))*100)</f>
        <v/>
      </c>
      <c r="AB2693" s="7" t="n"/>
      <c r="AE2693" s="11" t="n"/>
      <c r="AG2693" s="7">
        <f>IF($C2693="","",U2693*X2693/100)</f>
        <v/>
      </c>
      <c r="AH2693" s="7">
        <f>IF($C2693="","",U2693-AG2693)</f>
        <v/>
      </c>
      <c r="AI2693" s="7">
        <f>IF($C2693="","",AH2693-M2693)</f>
        <v/>
      </c>
      <c r="AJ2693">
        <f>IF($C2693="","",IF(COUNTIF($C$2:$C2693,$C2693)=1,1,0))</f>
        <v/>
      </c>
      <c r="AK2693">
        <f>IF($AJ2693=1,SUMPRODUCT(--($AN$2:$AN$4001&lt;$AN2693))+1,"")</f>
        <v/>
      </c>
      <c r="AL2693">
        <f>IF($C2693="","",IF(OR($Q2693=TRUE(),$Q2693="TRUE"),1,0))</f>
        <v/>
      </c>
      <c r="AM2693">
        <f>IF($C2693="","",IF($W2693="Yes",1,0))</f>
        <v/>
      </c>
      <c r="AN2693">
        <f>IF($AJ2693=1,IFERROR(IF(VALUE($C2693)&lt;100000000,VALUE($C2693),1000000000),IFERROR(IF(VALUE(MID($C2693,2,20))&lt;100000000,VALUE(MID($C2693,2,20)),1000000000),1000000000))+ROW()/100000,"")</f>
        <v/>
      </c>
    </row>
    <row r="2694">
      <c r="E2694" s="11" t="n"/>
      <c r="M2694" s="7">
        <f>IF($C2694="","",L2694*U2694/100)</f>
        <v/>
      </c>
      <c r="N2694" s="7" t="n"/>
      <c r="T2694" s="7" t="n"/>
      <c r="U2694" s="7">
        <f>IF($C2694="","",S2694*T2694)</f>
        <v/>
      </c>
      <c r="X2694">
        <f>IF($C2694="","",IF($AM2694=1,0,IF($AL2694=1,Settings!$C$6,Settings!$C$7))*100)</f>
        <v/>
      </c>
      <c r="AB2694" s="7" t="n"/>
      <c r="AE2694" s="11" t="n"/>
      <c r="AG2694" s="7">
        <f>IF($C2694="","",U2694*X2694/100)</f>
        <v/>
      </c>
      <c r="AH2694" s="7">
        <f>IF($C2694="","",U2694-AG2694)</f>
        <v/>
      </c>
      <c r="AI2694" s="7">
        <f>IF($C2694="","",AH2694-M2694)</f>
        <v/>
      </c>
      <c r="AJ2694">
        <f>IF($C2694="","",IF(COUNTIF($C$2:$C2694,$C2694)=1,1,0))</f>
        <v/>
      </c>
      <c r="AK2694">
        <f>IF($AJ2694=1,SUMPRODUCT(--($AN$2:$AN$4001&lt;$AN2694))+1,"")</f>
        <v/>
      </c>
      <c r="AL2694">
        <f>IF($C2694="","",IF(OR($Q2694=TRUE(),$Q2694="TRUE"),1,0))</f>
        <v/>
      </c>
      <c r="AM2694">
        <f>IF($C2694="","",IF($W2694="Yes",1,0))</f>
        <v/>
      </c>
      <c r="AN2694">
        <f>IF($AJ2694=1,IFERROR(IF(VALUE($C2694)&lt;100000000,VALUE($C2694),1000000000),IFERROR(IF(VALUE(MID($C2694,2,20))&lt;100000000,VALUE(MID($C2694,2,20)),1000000000),1000000000))+ROW()/100000,"")</f>
        <v/>
      </c>
    </row>
    <row r="2695">
      <c r="E2695" s="11" t="n"/>
      <c r="M2695" s="7">
        <f>IF($C2695="","",L2695*U2695/100)</f>
        <v/>
      </c>
      <c r="N2695" s="7" t="n"/>
      <c r="T2695" s="7" t="n"/>
      <c r="U2695" s="7">
        <f>IF($C2695="","",S2695*T2695)</f>
        <v/>
      </c>
      <c r="X2695">
        <f>IF($C2695="","",IF($AM2695=1,0,IF($AL2695=1,Settings!$C$6,Settings!$C$7))*100)</f>
        <v/>
      </c>
      <c r="AB2695" s="7" t="n"/>
      <c r="AE2695" s="11" t="n"/>
      <c r="AG2695" s="7">
        <f>IF($C2695="","",U2695*X2695/100)</f>
        <v/>
      </c>
      <c r="AH2695" s="7">
        <f>IF($C2695="","",U2695-AG2695)</f>
        <v/>
      </c>
      <c r="AI2695" s="7">
        <f>IF($C2695="","",AH2695-M2695)</f>
        <v/>
      </c>
      <c r="AJ2695">
        <f>IF($C2695="","",IF(COUNTIF($C$2:$C2695,$C2695)=1,1,0))</f>
        <v/>
      </c>
      <c r="AK2695">
        <f>IF($AJ2695=1,SUMPRODUCT(--($AN$2:$AN$4001&lt;$AN2695))+1,"")</f>
        <v/>
      </c>
      <c r="AL2695">
        <f>IF($C2695="","",IF(OR($Q2695=TRUE(),$Q2695="TRUE"),1,0))</f>
        <v/>
      </c>
      <c r="AM2695">
        <f>IF($C2695="","",IF($W2695="Yes",1,0))</f>
        <v/>
      </c>
      <c r="AN2695">
        <f>IF($AJ2695=1,IFERROR(IF(VALUE($C2695)&lt;100000000,VALUE($C2695),1000000000),IFERROR(IF(VALUE(MID($C2695,2,20))&lt;100000000,VALUE(MID($C2695,2,20)),1000000000),1000000000))+ROW()/100000,"")</f>
        <v/>
      </c>
    </row>
    <row r="2696">
      <c r="E2696" s="11" t="n"/>
      <c r="M2696" s="7">
        <f>IF($C2696="","",L2696*U2696/100)</f>
        <v/>
      </c>
      <c r="N2696" s="7" t="n"/>
      <c r="T2696" s="7" t="n"/>
      <c r="U2696" s="7">
        <f>IF($C2696="","",S2696*T2696)</f>
        <v/>
      </c>
      <c r="X2696">
        <f>IF($C2696="","",IF($AM2696=1,0,IF($AL2696=1,Settings!$C$6,Settings!$C$7))*100)</f>
        <v/>
      </c>
      <c r="AB2696" s="7" t="n"/>
      <c r="AE2696" s="11" t="n"/>
      <c r="AG2696" s="7">
        <f>IF($C2696="","",U2696*X2696/100)</f>
        <v/>
      </c>
      <c r="AH2696" s="7">
        <f>IF($C2696="","",U2696-AG2696)</f>
        <v/>
      </c>
      <c r="AI2696" s="7">
        <f>IF($C2696="","",AH2696-M2696)</f>
        <v/>
      </c>
      <c r="AJ2696">
        <f>IF($C2696="","",IF(COUNTIF($C$2:$C2696,$C2696)=1,1,0))</f>
        <v/>
      </c>
      <c r="AK2696">
        <f>IF($AJ2696=1,SUMPRODUCT(--($AN$2:$AN$4001&lt;$AN2696))+1,"")</f>
        <v/>
      </c>
      <c r="AL2696">
        <f>IF($C2696="","",IF(OR($Q2696=TRUE(),$Q2696="TRUE"),1,0))</f>
        <v/>
      </c>
      <c r="AM2696">
        <f>IF($C2696="","",IF($W2696="Yes",1,0))</f>
        <v/>
      </c>
      <c r="AN2696">
        <f>IF($AJ2696=1,IFERROR(IF(VALUE($C2696)&lt;100000000,VALUE($C2696),1000000000),IFERROR(IF(VALUE(MID($C2696,2,20))&lt;100000000,VALUE(MID($C2696,2,20)),1000000000),1000000000))+ROW()/100000,"")</f>
        <v/>
      </c>
    </row>
    <row r="2697">
      <c r="E2697" s="11" t="n"/>
      <c r="M2697" s="7">
        <f>IF($C2697="","",L2697*U2697/100)</f>
        <v/>
      </c>
      <c r="N2697" s="7" t="n"/>
      <c r="T2697" s="7" t="n"/>
      <c r="U2697" s="7">
        <f>IF($C2697="","",S2697*T2697)</f>
        <v/>
      </c>
      <c r="X2697">
        <f>IF($C2697="","",IF($AM2697=1,0,IF($AL2697=1,Settings!$C$6,Settings!$C$7))*100)</f>
        <v/>
      </c>
      <c r="AB2697" s="7" t="n"/>
      <c r="AE2697" s="11" t="n"/>
      <c r="AG2697" s="7">
        <f>IF($C2697="","",U2697*X2697/100)</f>
        <v/>
      </c>
      <c r="AH2697" s="7">
        <f>IF($C2697="","",U2697-AG2697)</f>
        <v/>
      </c>
      <c r="AI2697" s="7">
        <f>IF($C2697="","",AH2697-M2697)</f>
        <v/>
      </c>
      <c r="AJ2697">
        <f>IF($C2697="","",IF(COUNTIF($C$2:$C2697,$C2697)=1,1,0))</f>
        <v/>
      </c>
      <c r="AK2697">
        <f>IF($AJ2697=1,SUMPRODUCT(--($AN$2:$AN$4001&lt;$AN2697))+1,"")</f>
        <v/>
      </c>
      <c r="AL2697">
        <f>IF($C2697="","",IF(OR($Q2697=TRUE(),$Q2697="TRUE"),1,0))</f>
        <v/>
      </c>
      <c r="AM2697">
        <f>IF($C2697="","",IF($W2697="Yes",1,0))</f>
        <v/>
      </c>
      <c r="AN2697">
        <f>IF($AJ2697=1,IFERROR(IF(VALUE($C2697)&lt;100000000,VALUE($C2697),1000000000),IFERROR(IF(VALUE(MID($C2697,2,20))&lt;100000000,VALUE(MID($C2697,2,20)),1000000000),1000000000))+ROW()/100000,"")</f>
        <v/>
      </c>
    </row>
    <row r="2698">
      <c r="E2698" s="11" t="n"/>
      <c r="M2698" s="7">
        <f>IF($C2698="","",L2698*U2698/100)</f>
        <v/>
      </c>
      <c r="N2698" s="7" t="n"/>
      <c r="T2698" s="7" t="n"/>
      <c r="U2698" s="7">
        <f>IF($C2698="","",S2698*T2698)</f>
        <v/>
      </c>
      <c r="X2698">
        <f>IF($C2698="","",IF($AM2698=1,0,IF($AL2698=1,Settings!$C$6,Settings!$C$7))*100)</f>
        <v/>
      </c>
      <c r="AB2698" s="7" t="n"/>
      <c r="AE2698" s="11" t="n"/>
      <c r="AG2698" s="7">
        <f>IF($C2698="","",U2698*X2698/100)</f>
        <v/>
      </c>
      <c r="AH2698" s="7">
        <f>IF($C2698="","",U2698-AG2698)</f>
        <v/>
      </c>
      <c r="AI2698" s="7">
        <f>IF($C2698="","",AH2698-M2698)</f>
        <v/>
      </c>
      <c r="AJ2698">
        <f>IF($C2698="","",IF(COUNTIF($C$2:$C2698,$C2698)=1,1,0))</f>
        <v/>
      </c>
      <c r="AK2698">
        <f>IF($AJ2698=1,SUMPRODUCT(--($AN$2:$AN$4001&lt;$AN2698))+1,"")</f>
        <v/>
      </c>
      <c r="AL2698">
        <f>IF($C2698="","",IF(OR($Q2698=TRUE(),$Q2698="TRUE"),1,0))</f>
        <v/>
      </c>
      <c r="AM2698">
        <f>IF($C2698="","",IF($W2698="Yes",1,0))</f>
        <v/>
      </c>
      <c r="AN2698">
        <f>IF($AJ2698=1,IFERROR(IF(VALUE($C2698)&lt;100000000,VALUE($C2698),1000000000),IFERROR(IF(VALUE(MID($C2698,2,20))&lt;100000000,VALUE(MID($C2698,2,20)),1000000000),1000000000))+ROW()/100000,"")</f>
        <v/>
      </c>
    </row>
    <row r="2699">
      <c r="E2699" s="11" t="n"/>
      <c r="M2699" s="7">
        <f>IF($C2699="","",L2699*U2699/100)</f>
        <v/>
      </c>
      <c r="N2699" s="7" t="n"/>
      <c r="T2699" s="7" t="n"/>
      <c r="U2699" s="7">
        <f>IF($C2699="","",S2699*T2699)</f>
        <v/>
      </c>
      <c r="X2699">
        <f>IF($C2699="","",IF($AM2699=1,0,IF($AL2699=1,Settings!$C$6,Settings!$C$7))*100)</f>
        <v/>
      </c>
      <c r="AB2699" s="7" t="n"/>
      <c r="AE2699" s="11" t="n"/>
      <c r="AG2699" s="7">
        <f>IF($C2699="","",U2699*X2699/100)</f>
        <v/>
      </c>
      <c r="AH2699" s="7">
        <f>IF($C2699="","",U2699-AG2699)</f>
        <v/>
      </c>
      <c r="AI2699" s="7">
        <f>IF($C2699="","",AH2699-M2699)</f>
        <v/>
      </c>
      <c r="AJ2699">
        <f>IF($C2699="","",IF(COUNTIF($C$2:$C2699,$C2699)=1,1,0))</f>
        <v/>
      </c>
      <c r="AK2699">
        <f>IF($AJ2699=1,SUMPRODUCT(--($AN$2:$AN$4001&lt;$AN2699))+1,"")</f>
        <v/>
      </c>
      <c r="AL2699">
        <f>IF($C2699="","",IF(OR($Q2699=TRUE(),$Q2699="TRUE"),1,0))</f>
        <v/>
      </c>
      <c r="AM2699">
        <f>IF($C2699="","",IF($W2699="Yes",1,0))</f>
        <v/>
      </c>
      <c r="AN2699">
        <f>IF($AJ2699=1,IFERROR(IF(VALUE($C2699)&lt;100000000,VALUE($C2699),1000000000),IFERROR(IF(VALUE(MID($C2699,2,20))&lt;100000000,VALUE(MID($C2699,2,20)),1000000000),1000000000))+ROW()/100000,"")</f>
        <v/>
      </c>
    </row>
    <row r="2700">
      <c r="E2700" s="11" t="n"/>
      <c r="M2700" s="7">
        <f>IF($C2700="","",L2700*U2700/100)</f>
        <v/>
      </c>
      <c r="N2700" s="7" t="n"/>
      <c r="T2700" s="7" t="n"/>
      <c r="U2700" s="7">
        <f>IF($C2700="","",S2700*T2700)</f>
        <v/>
      </c>
      <c r="X2700">
        <f>IF($C2700="","",IF($AM2700=1,0,IF($AL2700=1,Settings!$C$6,Settings!$C$7))*100)</f>
        <v/>
      </c>
      <c r="AB2700" s="7" t="n"/>
      <c r="AE2700" s="11" t="n"/>
      <c r="AG2700" s="7">
        <f>IF($C2700="","",U2700*X2700/100)</f>
        <v/>
      </c>
      <c r="AH2700" s="7">
        <f>IF($C2700="","",U2700-AG2700)</f>
        <v/>
      </c>
      <c r="AI2700" s="7">
        <f>IF($C2700="","",AH2700-M2700)</f>
        <v/>
      </c>
      <c r="AJ2700">
        <f>IF($C2700="","",IF(COUNTIF($C$2:$C2700,$C2700)=1,1,0))</f>
        <v/>
      </c>
      <c r="AK2700">
        <f>IF($AJ2700=1,SUMPRODUCT(--($AN$2:$AN$4001&lt;$AN2700))+1,"")</f>
        <v/>
      </c>
      <c r="AL2700">
        <f>IF($C2700="","",IF(OR($Q2700=TRUE(),$Q2700="TRUE"),1,0))</f>
        <v/>
      </c>
      <c r="AM2700">
        <f>IF($C2700="","",IF($W2700="Yes",1,0))</f>
        <v/>
      </c>
      <c r="AN2700">
        <f>IF($AJ2700=1,IFERROR(IF(VALUE($C2700)&lt;100000000,VALUE($C2700),1000000000),IFERROR(IF(VALUE(MID($C2700,2,20))&lt;100000000,VALUE(MID($C2700,2,20)),1000000000),1000000000))+ROW()/100000,"")</f>
        <v/>
      </c>
    </row>
    <row r="2701">
      <c r="E2701" s="11" t="n"/>
      <c r="M2701" s="7">
        <f>IF($C2701="","",L2701*U2701/100)</f>
        <v/>
      </c>
      <c r="N2701" s="7" t="n"/>
      <c r="T2701" s="7" t="n"/>
      <c r="U2701" s="7">
        <f>IF($C2701="","",S2701*T2701)</f>
        <v/>
      </c>
      <c r="X2701">
        <f>IF($C2701="","",IF($AM2701=1,0,IF($AL2701=1,Settings!$C$6,Settings!$C$7))*100)</f>
        <v/>
      </c>
      <c r="AB2701" s="7" t="n"/>
      <c r="AE2701" s="11" t="n"/>
      <c r="AG2701" s="7">
        <f>IF($C2701="","",U2701*X2701/100)</f>
        <v/>
      </c>
      <c r="AH2701" s="7">
        <f>IF($C2701="","",U2701-AG2701)</f>
        <v/>
      </c>
      <c r="AI2701" s="7">
        <f>IF($C2701="","",AH2701-M2701)</f>
        <v/>
      </c>
      <c r="AJ2701">
        <f>IF($C2701="","",IF(COUNTIF($C$2:$C2701,$C2701)=1,1,0))</f>
        <v/>
      </c>
      <c r="AK2701">
        <f>IF($AJ2701=1,SUMPRODUCT(--($AN$2:$AN$4001&lt;$AN2701))+1,"")</f>
        <v/>
      </c>
      <c r="AL2701">
        <f>IF($C2701="","",IF(OR($Q2701=TRUE(),$Q2701="TRUE"),1,0))</f>
        <v/>
      </c>
      <c r="AM2701">
        <f>IF($C2701="","",IF($W2701="Yes",1,0))</f>
        <v/>
      </c>
      <c r="AN2701">
        <f>IF($AJ2701=1,IFERROR(IF(VALUE($C2701)&lt;100000000,VALUE($C2701),1000000000),IFERROR(IF(VALUE(MID($C2701,2,20))&lt;100000000,VALUE(MID($C2701,2,20)),1000000000),1000000000))+ROW()/100000,"")</f>
        <v/>
      </c>
    </row>
    <row r="2702">
      <c r="E2702" s="11" t="n"/>
      <c r="M2702" s="7">
        <f>IF($C2702="","",L2702*U2702/100)</f>
        <v/>
      </c>
      <c r="N2702" s="7" t="n"/>
      <c r="T2702" s="7" t="n"/>
      <c r="U2702" s="7">
        <f>IF($C2702="","",S2702*T2702)</f>
        <v/>
      </c>
      <c r="X2702">
        <f>IF($C2702="","",IF($AM2702=1,0,IF($AL2702=1,Settings!$C$6,Settings!$C$7))*100)</f>
        <v/>
      </c>
      <c r="AB2702" s="7" t="n"/>
      <c r="AE2702" s="11" t="n"/>
      <c r="AG2702" s="7">
        <f>IF($C2702="","",U2702*X2702/100)</f>
        <v/>
      </c>
      <c r="AH2702" s="7">
        <f>IF($C2702="","",U2702-AG2702)</f>
        <v/>
      </c>
      <c r="AI2702" s="7">
        <f>IF($C2702="","",AH2702-M2702)</f>
        <v/>
      </c>
      <c r="AJ2702">
        <f>IF($C2702="","",IF(COUNTIF($C$2:$C2702,$C2702)=1,1,0))</f>
        <v/>
      </c>
      <c r="AK2702">
        <f>IF($AJ2702=1,SUMPRODUCT(--($AN$2:$AN$4001&lt;$AN2702))+1,"")</f>
        <v/>
      </c>
      <c r="AL2702">
        <f>IF($C2702="","",IF(OR($Q2702=TRUE(),$Q2702="TRUE"),1,0))</f>
        <v/>
      </c>
      <c r="AM2702">
        <f>IF($C2702="","",IF($W2702="Yes",1,0))</f>
        <v/>
      </c>
      <c r="AN2702">
        <f>IF($AJ2702=1,IFERROR(IF(VALUE($C2702)&lt;100000000,VALUE($C2702),1000000000),IFERROR(IF(VALUE(MID($C2702,2,20))&lt;100000000,VALUE(MID($C2702,2,20)),1000000000),1000000000))+ROW()/100000,"")</f>
        <v/>
      </c>
    </row>
    <row r="2703">
      <c r="E2703" s="11" t="n"/>
      <c r="M2703" s="7">
        <f>IF($C2703="","",L2703*U2703/100)</f>
        <v/>
      </c>
      <c r="N2703" s="7" t="n"/>
      <c r="T2703" s="7" t="n"/>
      <c r="U2703" s="7">
        <f>IF($C2703="","",S2703*T2703)</f>
        <v/>
      </c>
      <c r="X2703">
        <f>IF($C2703="","",IF($AM2703=1,0,IF($AL2703=1,Settings!$C$6,Settings!$C$7))*100)</f>
        <v/>
      </c>
      <c r="AB2703" s="7" t="n"/>
      <c r="AE2703" s="11" t="n"/>
      <c r="AG2703" s="7">
        <f>IF($C2703="","",U2703*X2703/100)</f>
        <v/>
      </c>
      <c r="AH2703" s="7">
        <f>IF($C2703="","",U2703-AG2703)</f>
        <v/>
      </c>
      <c r="AI2703" s="7">
        <f>IF($C2703="","",AH2703-M2703)</f>
        <v/>
      </c>
      <c r="AJ2703">
        <f>IF($C2703="","",IF(COUNTIF($C$2:$C2703,$C2703)=1,1,0))</f>
        <v/>
      </c>
      <c r="AK2703">
        <f>IF($AJ2703=1,SUMPRODUCT(--($AN$2:$AN$4001&lt;$AN2703))+1,"")</f>
        <v/>
      </c>
      <c r="AL2703">
        <f>IF($C2703="","",IF(OR($Q2703=TRUE(),$Q2703="TRUE"),1,0))</f>
        <v/>
      </c>
      <c r="AM2703">
        <f>IF($C2703="","",IF($W2703="Yes",1,0))</f>
        <v/>
      </c>
      <c r="AN2703">
        <f>IF($AJ2703=1,IFERROR(IF(VALUE($C2703)&lt;100000000,VALUE($C2703),1000000000),IFERROR(IF(VALUE(MID($C2703,2,20))&lt;100000000,VALUE(MID($C2703,2,20)),1000000000),1000000000))+ROW()/100000,"")</f>
        <v/>
      </c>
    </row>
    <row r="2704">
      <c r="E2704" s="11" t="n"/>
      <c r="M2704" s="7">
        <f>IF($C2704="","",L2704*U2704/100)</f>
        <v/>
      </c>
      <c r="N2704" s="7" t="n"/>
      <c r="T2704" s="7" t="n"/>
      <c r="U2704" s="7">
        <f>IF($C2704="","",S2704*T2704)</f>
        <v/>
      </c>
      <c r="X2704">
        <f>IF($C2704="","",IF($AM2704=1,0,IF($AL2704=1,Settings!$C$6,Settings!$C$7))*100)</f>
        <v/>
      </c>
      <c r="AB2704" s="7" t="n"/>
      <c r="AE2704" s="11" t="n"/>
      <c r="AG2704" s="7">
        <f>IF($C2704="","",U2704*X2704/100)</f>
        <v/>
      </c>
      <c r="AH2704" s="7">
        <f>IF($C2704="","",U2704-AG2704)</f>
        <v/>
      </c>
      <c r="AI2704" s="7">
        <f>IF($C2704="","",AH2704-M2704)</f>
        <v/>
      </c>
      <c r="AJ2704">
        <f>IF($C2704="","",IF(COUNTIF($C$2:$C2704,$C2704)=1,1,0))</f>
        <v/>
      </c>
      <c r="AK2704">
        <f>IF($AJ2704=1,SUMPRODUCT(--($AN$2:$AN$4001&lt;$AN2704))+1,"")</f>
        <v/>
      </c>
      <c r="AL2704">
        <f>IF($C2704="","",IF(OR($Q2704=TRUE(),$Q2704="TRUE"),1,0))</f>
        <v/>
      </c>
      <c r="AM2704">
        <f>IF($C2704="","",IF($W2704="Yes",1,0))</f>
        <v/>
      </c>
      <c r="AN2704">
        <f>IF($AJ2704=1,IFERROR(IF(VALUE($C2704)&lt;100000000,VALUE($C2704),1000000000),IFERROR(IF(VALUE(MID($C2704,2,20))&lt;100000000,VALUE(MID($C2704,2,20)),1000000000),1000000000))+ROW()/100000,"")</f>
        <v/>
      </c>
    </row>
    <row r="2705">
      <c r="E2705" s="11" t="n"/>
      <c r="M2705" s="7">
        <f>IF($C2705="","",L2705*U2705/100)</f>
        <v/>
      </c>
      <c r="N2705" s="7" t="n"/>
      <c r="T2705" s="7" t="n"/>
      <c r="U2705" s="7">
        <f>IF($C2705="","",S2705*T2705)</f>
        <v/>
      </c>
      <c r="X2705">
        <f>IF($C2705="","",IF($AM2705=1,0,IF($AL2705=1,Settings!$C$6,Settings!$C$7))*100)</f>
        <v/>
      </c>
      <c r="AB2705" s="7" t="n"/>
      <c r="AE2705" s="11" t="n"/>
      <c r="AG2705" s="7">
        <f>IF($C2705="","",U2705*X2705/100)</f>
        <v/>
      </c>
      <c r="AH2705" s="7">
        <f>IF($C2705="","",U2705-AG2705)</f>
        <v/>
      </c>
      <c r="AI2705" s="7">
        <f>IF($C2705="","",AH2705-M2705)</f>
        <v/>
      </c>
      <c r="AJ2705">
        <f>IF($C2705="","",IF(COUNTIF($C$2:$C2705,$C2705)=1,1,0))</f>
        <v/>
      </c>
      <c r="AK2705">
        <f>IF($AJ2705=1,SUMPRODUCT(--($AN$2:$AN$4001&lt;$AN2705))+1,"")</f>
        <v/>
      </c>
      <c r="AL2705">
        <f>IF($C2705="","",IF(OR($Q2705=TRUE(),$Q2705="TRUE"),1,0))</f>
        <v/>
      </c>
      <c r="AM2705">
        <f>IF($C2705="","",IF($W2705="Yes",1,0))</f>
        <v/>
      </c>
      <c r="AN2705">
        <f>IF($AJ2705=1,IFERROR(IF(VALUE($C2705)&lt;100000000,VALUE($C2705),1000000000),IFERROR(IF(VALUE(MID($C2705,2,20))&lt;100000000,VALUE(MID($C2705,2,20)),1000000000),1000000000))+ROW()/100000,"")</f>
        <v/>
      </c>
    </row>
    <row r="2706">
      <c r="E2706" s="11" t="n"/>
      <c r="M2706" s="7">
        <f>IF($C2706="","",L2706*U2706/100)</f>
        <v/>
      </c>
      <c r="N2706" s="7" t="n"/>
      <c r="T2706" s="7" t="n"/>
      <c r="U2706" s="7">
        <f>IF($C2706="","",S2706*T2706)</f>
        <v/>
      </c>
      <c r="X2706">
        <f>IF($C2706="","",IF($AM2706=1,0,IF($AL2706=1,Settings!$C$6,Settings!$C$7))*100)</f>
        <v/>
      </c>
      <c r="AB2706" s="7" t="n"/>
      <c r="AE2706" s="11" t="n"/>
      <c r="AG2706" s="7">
        <f>IF($C2706="","",U2706*X2706/100)</f>
        <v/>
      </c>
      <c r="AH2706" s="7">
        <f>IF($C2706="","",U2706-AG2706)</f>
        <v/>
      </c>
      <c r="AI2706" s="7">
        <f>IF($C2706="","",AH2706-M2706)</f>
        <v/>
      </c>
      <c r="AJ2706">
        <f>IF($C2706="","",IF(COUNTIF($C$2:$C2706,$C2706)=1,1,0))</f>
        <v/>
      </c>
      <c r="AK2706">
        <f>IF($AJ2706=1,SUMPRODUCT(--($AN$2:$AN$4001&lt;$AN2706))+1,"")</f>
        <v/>
      </c>
      <c r="AL2706">
        <f>IF($C2706="","",IF(OR($Q2706=TRUE(),$Q2706="TRUE"),1,0))</f>
        <v/>
      </c>
      <c r="AM2706">
        <f>IF($C2706="","",IF($W2706="Yes",1,0))</f>
        <v/>
      </c>
      <c r="AN2706">
        <f>IF($AJ2706=1,IFERROR(IF(VALUE($C2706)&lt;100000000,VALUE($C2706),1000000000),IFERROR(IF(VALUE(MID($C2706,2,20))&lt;100000000,VALUE(MID($C2706,2,20)),1000000000),1000000000))+ROW()/100000,"")</f>
        <v/>
      </c>
    </row>
    <row r="2707">
      <c r="E2707" s="11" t="n"/>
      <c r="M2707" s="7">
        <f>IF($C2707="","",L2707*U2707/100)</f>
        <v/>
      </c>
      <c r="N2707" s="7" t="n"/>
      <c r="T2707" s="7" t="n"/>
      <c r="U2707" s="7">
        <f>IF($C2707="","",S2707*T2707)</f>
        <v/>
      </c>
      <c r="X2707">
        <f>IF($C2707="","",IF($AM2707=1,0,IF($AL2707=1,Settings!$C$6,Settings!$C$7))*100)</f>
        <v/>
      </c>
      <c r="AB2707" s="7" t="n"/>
      <c r="AE2707" s="11" t="n"/>
      <c r="AG2707" s="7">
        <f>IF($C2707="","",U2707*X2707/100)</f>
        <v/>
      </c>
      <c r="AH2707" s="7">
        <f>IF($C2707="","",U2707-AG2707)</f>
        <v/>
      </c>
      <c r="AI2707" s="7">
        <f>IF($C2707="","",AH2707-M2707)</f>
        <v/>
      </c>
      <c r="AJ2707">
        <f>IF($C2707="","",IF(COUNTIF($C$2:$C2707,$C2707)=1,1,0))</f>
        <v/>
      </c>
      <c r="AK2707">
        <f>IF($AJ2707=1,SUMPRODUCT(--($AN$2:$AN$4001&lt;$AN2707))+1,"")</f>
        <v/>
      </c>
      <c r="AL2707">
        <f>IF($C2707="","",IF(OR($Q2707=TRUE(),$Q2707="TRUE"),1,0))</f>
        <v/>
      </c>
      <c r="AM2707">
        <f>IF($C2707="","",IF($W2707="Yes",1,0))</f>
        <v/>
      </c>
      <c r="AN2707">
        <f>IF($AJ2707=1,IFERROR(IF(VALUE($C2707)&lt;100000000,VALUE($C2707),1000000000),IFERROR(IF(VALUE(MID($C2707,2,20))&lt;100000000,VALUE(MID($C2707,2,20)),1000000000),1000000000))+ROW()/100000,"")</f>
        <v/>
      </c>
    </row>
    <row r="2708">
      <c r="E2708" s="11" t="n"/>
      <c r="M2708" s="7">
        <f>IF($C2708="","",L2708*U2708/100)</f>
        <v/>
      </c>
      <c r="N2708" s="7" t="n"/>
      <c r="T2708" s="7" t="n"/>
      <c r="U2708" s="7">
        <f>IF($C2708="","",S2708*T2708)</f>
        <v/>
      </c>
      <c r="X2708">
        <f>IF($C2708="","",IF($AM2708=1,0,IF($AL2708=1,Settings!$C$6,Settings!$C$7))*100)</f>
        <v/>
      </c>
      <c r="AB2708" s="7" t="n"/>
      <c r="AE2708" s="11" t="n"/>
      <c r="AG2708" s="7">
        <f>IF($C2708="","",U2708*X2708/100)</f>
        <v/>
      </c>
      <c r="AH2708" s="7">
        <f>IF($C2708="","",U2708-AG2708)</f>
        <v/>
      </c>
      <c r="AI2708" s="7">
        <f>IF($C2708="","",AH2708-M2708)</f>
        <v/>
      </c>
      <c r="AJ2708">
        <f>IF($C2708="","",IF(COUNTIF($C$2:$C2708,$C2708)=1,1,0))</f>
        <v/>
      </c>
      <c r="AK2708">
        <f>IF($AJ2708=1,SUMPRODUCT(--($AN$2:$AN$4001&lt;$AN2708))+1,"")</f>
        <v/>
      </c>
      <c r="AL2708">
        <f>IF($C2708="","",IF(OR($Q2708=TRUE(),$Q2708="TRUE"),1,0))</f>
        <v/>
      </c>
      <c r="AM2708">
        <f>IF($C2708="","",IF($W2708="Yes",1,0))</f>
        <v/>
      </c>
      <c r="AN2708">
        <f>IF($AJ2708=1,IFERROR(IF(VALUE($C2708)&lt;100000000,VALUE($C2708),1000000000),IFERROR(IF(VALUE(MID($C2708,2,20))&lt;100000000,VALUE(MID($C2708,2,20)),1000000000),1000000000))+ROW()/100000,"")</f>
        <v/>
      </c>
    </row>
    <row r="2709">
      <c r="E2709" s="11" t="n"/>
      <c r="M2709" s="7">
        <f>IF($C2709="","",L2709*U2709/100)</f>
        <v/>
      </c>
      <c r="N2709" s="7" t="n"/>
      <c r="T2709" s="7" t="n"/>
      <c r="U2709" s="7">
        <f>IF($C2709="","",S2709*T2709)</f>
        <v/>
      </c>
      <c r="X2709">
        <f>IF($C2709="","",IF($AM2709=1,0,IF($AL2709=1,Settings!$C$6,Settings!$C$7))*100)</f>
        <v/>
      </c>
      <c r="AB2709" s="7" t="n"/>
      <c r="AE2709" s="11" t="n"/>
      <c r="AG2709" s="7">
        <f>IF($C2709="","",U2709*X2709/100)</f>
        <v/>
      </c>
      <c r="AH2709" s="7">
        <f>IF($C2709="","",U2709-AG2709)</f>
        <v/>
      </c>
      <c r="AI2709" s="7">
        <f>IF($C2709="","",AH2709-M2709)</f>
        <v/>
      </c>
      <c r="AJ2709">
        <f>IF($C2709="","",IF(COUNTIF($C$2:$C2709,$C2709)=1,1,0))</f>
        <v/>
      </c>
      <c r="AK2709">
        <f>IF($AJ2709=1,SUMPRODUCT(--($AN$2:$AN$4001&lt;$AN2709))+1,"")</f>
        <v/>
      </c>
      <c r="AL2709">
        <f>IF($C2709="","",IF(OR($Q2709=TRUE(),$Q2709="TRUE"),1,0))</f>
        <v/>
      </c>
      <c r="AM2709">
        <f>IF($C2709="","",IF($W2709="Yes",1,0))</f>
        <v/>
      </c>
      <c r="AN2709">
        <f>IF($AJ2709=1,IFERROR(IF(VALUE($C2709)&lt;100000000,VALUE($C2709),1000000000),IFERROR(IF(VALUE(MID($C2709,2,20))&lt;100000000,VALUE(MID($C2709,2,20)),1000000000),1000000000))+ROW()/100000,"")</f>
        <v/>
      </c>
    </row>
    <row r="2710">
      <c r="E2710" s="11" t="n"/>
      <c r="M2710" s="7">
        <f>IF($C2710="","",L2710*U2710/100)</f>
        <v/>
      </c>
      <c r="N2710" s="7" t="n"/>
      <c r="T2710" s="7" t="n"/>
      <c r="U2710" s="7">
        <f>IF($C2710="","",S2710*T2710)</f>
        <v/>
      </c>
      <c r="X2710">
        <f>IF($C2710="","",IF($AM2710=1,0,IF($AL2710=1,Settings!$C$6,Settings!$C$7))*100)</f>
        <v/>
      </c>
      <c r="AB2710" s="7" t="n"/>
      <c r="AE2710" s="11" t="n"/>
      <c r="AG2710" s="7">
        <f>IF($C2710="","",U2710*X2710/100)</f>
        <v/>
      </c>
      <c r="AH2710" s="7">
        <f>IF($C2710="","",U2710-AG2710)</f>
        <v/>
      </c>
      <c r="AI2710" s="7">
        <f>IF($C2710="","",AH2710-M2710)</f>
        <v/>
      </c>
      <c r="AJ2710">
        <f>IF($C2710="","",IF(COUNTIF($C$2:$C2710,$C2710)=1,1,0))</f>
        <v/>
      </c>
      <c r="AK2710">
        <f>IF($AJ2710=1,SUMPRODUCT(--($AN$2:$AN$4001&lt;$AN2710))+1,"")</f>
        <v/>
      </c>
      <c r="AL2710">
        <f>IF($C2710="","",IF(OR($Q2710=TRUE(),$Q2710="TRUE"),1,0))</f>
        <v/>
      </c>
      <c r="AM2710">
        <f>IF($C2710="","",IF($W2710="Yes",1,0))</f>
        <v/>
      </c>
      <c r="AN2710">
        <f>IF($AJ2710=1,IFERROR(IF(VALUE($C2710)&lt;100000000,VALUE($C2710),1000000000),IFERROR(IF(VALUE(MID($C2710,2,20))&lt;100000000,VALUE(MID($C2710,2,20)),1000000000),1000000000))+ROW()/100000,"")</f>
        <v/>
      </c>
    </row>
    <row r="2711">
      <c r="E2711" s="11" t="n"/>
      <c r="M2711" s="7">
        <f>IF($C2711="","",L2711*U2711/100)</f>
        <v/>
      </c>
      <c r="N2711" s="7" t="n"/>
      <c r="T2711" s="7" t="n"/>
      <c r="U2711" s="7">
        <f>IF($C2711="","",S2711*T2711)</f>
        <v/>
      </c>
      <c r="X2711">
        <f>IF($C2711="","",IF($AM2711=1,0,IF($AL2711=1,Settings!$C$6,Settings!$C$7))*100)</f>
        <v/>
      </c>
      <c r="AB2711" s="7" t="n"/>
      <c r="AE2711" s="11" t="n"/>
      <c r="AG2711" s="7">
        <f>IF($C2711="","",U2711*X2711/100)</f>
        <v/>
      </c>
      <c r="AH2711" s="7">
        <f>IF($C2711="","",U2711-AG2711)</f>
        <v/>
      </c>
      <c r="AI2711" s="7">
        <f>IF($C2711="","",AH2711-M2711)</f>
        <v/>
      </c>
      <c r="AJ2711">
        <f>IF($C2711="","",IF(COUNTIF($C$2:$C2711,$C2711)=1,1,0))</f>
        <v/>
      </c>
      <c r="AK2711">
        <f>IF($AJ2711=1,SUMPRODUCT(--($AN$2:$AN$4001&lt;$AN2711))+1,"")</f>
        <v/>
      </c>
      <c r="AL2711">
        <f>IF($C2711="","",IF(OR($Q2711=TRUE(),$Q2711="TRUE"),1,0))</f>
        <v/>
      </c>
      <c r="AM2711">
        <f>IF($C2711="","",IF($W2711="Yes",1,0))</f>
        <v/>
      </c>
      <c r="AN2711">
        <f>IF($AJ2711=1,IFERROR(IF(VALUE($C2711)&lt;100000000,VALUE($C2711),1000000000),IFERROR(IF(VALUE(MID($C2711,2,20))&lt;100000000,VALUE(MID($C2711,2,20)),1000000000),1000000000))+ROW()/100000,"")</f>
        <v/>
      </c>
    </row>
    <row r="2712">
      <c r="E2712" s="11" t="n"/>
      <c r="M2712" s="7">
        <f>IF($C2712="","",L2712*U2712/100)</f>
        <v/>
      </c>
      <c r="N2712" s="7" t="n"/>
      <c r="T2712" s="7" t="n"/>
      <c r="U2712" s="7">
        <f>IF($C2712="","",S2712*T2712)</f>
        <v/>
      </c>
      <c r="X2712">
        <f>IF($C2712="","",IF($AM2712=1,0,IF($AL2712=1,Settings!$C$6,Settings!$C$7))*100)</f>
        <v/>
      </c>
      <c r="AB2712" s="7" t="n"/>
      <c r="AE2712" s="11" t="n"/>
      <c r="AG2712" s="7">
        <f>IF($C2712="","",U2712*X2712/100)</f>
        <v/>
      </c>
      <c r="AH2712" s="7">
        <f>IF($C2712="","",U2712-AG2712)</f>
        <v/>
      </c>
      <c r="AI2712" s="7">
        <f>IF($C2712="","",AH2712-M2712)</f>
        <v/>
      </c>
      <c r="AJ2712">
        <f>IF($C2712="","",IF(COUNTIF($C$2:$C2712,$C2712)=1,1,0))</f>
        <v/>
      </c>
      <c r="AK2712">
        <f>IF($AJ2712=1,SUMPRODUCT(--($AN$2:$AN$4001&lt;$AN2712))+1,"")</f>
        <v/>
      </c>
      <c r="AL2712">
        <f>IF($C2712="","",IF(OR($Q2712=TRUE(),$Q2712="TRUE"),1,0))</f>
        <v/>
      </c>
      <c r="AM2712">
        <f>IF($C2712="","",IF($W2712="Yes",1,0))</f>
        <v/>
      </c>
      <c r="AN2712">
        <f>IF($AJ2712=1,IFERROR(IF(VALUE($C2712)&lt;100000000,VALUE($C2712),1000000000),IFERROR(IF(VALUE(MID($C2712,2,20))&lt;100000000,VALUE(MID($C2712,2,20)),1000000000),1000000000))+ROW()/100000,"")</f>
        <v/>
      </c>
    </row>
    <row r="2713">
      <c r="E2713" s="11" t="n"/>
      <c r="M2713" s="7">
        <f>IF($C2713="","",L2713*U2713/100)</f>
        <v/>
      </c>
      <c r="N2713" s="7" t="n"/>
      <c r="T2713" s="7" t="n"/>
      <c r="U2713" s="7">
        <f>IF($C2713="","",S2713*T2713)</f>
        <v/>
      </c>
      <c r="X2713">
        <f>IF($C2713="","",IF($AM2713=1,0,IF($AL2713=1,Settings!$C$6,Settings!$C$7))*100)</f>
        <v/>
      </c>
      <c r="AB2713" s="7" t="n"/>
      <c r="AE2713" s="11" t="n"/>
      <c r="AG2713" s="7">
        <f>IF($C2713="","",U2713*X2713/100)</f>
        <v/>
      </c>
      <c r="AH2713" s="7">
        <f>IF($C2713="","",U2713-AG2713)</f>
        <v/>
      </c>
      <c r="AI2713" s="7">
        <f>IF($C2713="","",AH2713-M2713)</f>
        <v/>
      </c>
      <c r="AJ2713">
        <f>IF($C2713="","",IF(COUNTIF($C$2:$C2713,$C2713)=1,1,0))</f>
        <v/>
      </c>
      <c r="AK2713">
        <f>IF($AJ2713=1,SUMPRODUCT(--($AN$2:$AN$4001&lt;$AN2713))+1,"")</f>
        <v/>
      </c>
      <c r="AL2713">
        <f>IF($C2713="","",IF(OR($Q2713=TRUE(),$Q2713="TRUE"),1,0))</f>
        <v/>
      </c>
      <c r="AM2713">
        <f>IF($C2713="","",IF($W2713="Yes",1,0))</f>
        <v/>
      </c>
      <c r="AN2713">
        <f>IF($AJ2713=1,IFERROR(IF(VALUE($C2713)&lt;100000000,VALUE($C2713),1000000000),IFERROR(IF(VALUE(MID($C2713,2,20))&lt;100000000,VALUE(MID($C2713,2,20)),1000000000),1000000000))+ROW()/100000,"")</f>
        <v/>
      </c>
    </row>
    <row r="2714">
      <c r="E2714" s="11" t="n"/>
      <c r="M2714" s="7">
        <f>IF($C2714="","",L2714*U2714/100)</f>
        <v/>
      </c>
      <c r="N2714" s="7" t="n"/>
      <c r="T2714" s="7" t="n"/>
      <c r="U2714" s="7">
        <f>IF($C2714="","",S2714*T2714)</f>
        <v/>
      </c>
      <c r="X2714">
        <f>IF($C2714="","",IF($AM2714=1,0,IF($AL2714=1,Settings!$C$6,Settings!$C$7))*100)</f>
        <v/>
      </c>
      <c r="AB2714" s="7" t="n"/>
      <c r="AE2714" s="11" t="n"/>
      <c r="AG2714" s="7">
        <f>IF($C2714="","",U2714*X2714/100)</f>
        <v/>
      </c>
      <c r="AH2714" s="7">
        <f>IF($C2714="","",U2714-AG2714)</f>
        <v/>
      </c>
      <c r="AI2714" s="7">
        <f>IF($C2714="","",AH2714-M2714)</f>
        <v/>
      </c>
      <c r="AJ2714">
        <f>IF($C2714="","",IF(COUNTIF($C$2:$C2714,$C2714)=1,1,0))</f>
        <v/>
      </c>
      <c r="AK2714">
        <f>IF($AJ2714=1,SUMPRODUCT(--($AN$2:$AN$4001&lt;$AN2714))+1,"")</f>
        <v/>
      </c>
      <c r="AL2714">
        <f>IF($C2714="","",IF(OR($Q2714=TRUE(),$Q2714="TRUE"),1,0))</f>
        <v/>
      </c>
      <c r="AM2714">
        <f>IF($C2714="","",IF($W2714="Yes",1,0))</f>
        <v/>
      </c>
      <c r="AN2714">
        <f>IF($AJ2714=1,IFERROR(IF(VALUE($C2714)&lt;100000000,VALUE($C2714),1000000000),IFERROR(IF(VALUE(MID($C2714,2,20))&lt;100000000,VALUE(MID($C2714,2,20)),1000000000),1000000000))+ROW()/100000,"")</f>
        <v/>
      </c>
    </row>
    <row r="2715">
      <c r="E2715" s="11" t="n"/>
      <c r="M2715" s="7">
        <f>IF($C2715="","",L2715*U2715/100)</f>
        <v/>
      </c>
      <c r="N2715" s="7" t="n"/>
      <c r="T2715" s="7" t="n"/>
      <c r="U2715" s="7">
        <f>IF($C2715="","",S2715*T2715)</f>
        <v/>
      </c>
      <c r="X2715">
        <f>IF($C2715="","",IF($AM2715=1,0,IF($AL2715=1,Settings!$C$6,Settings!$C$7))*100)</f>
        <v/>
      </c>
      <c r="AB2715" s="7" t="n"/>
      <c r="AE2715" s="11" t="n"/>
      <c r="AG2715" s="7">
        <f>IF($C2715="","",U2715*X2715/100)</f>
        <v/>
      </c>
      <c r="AH2715" s="7">
        <f>IF($C2715="","",U2715-AG2715)</f>
        <v/>
      </c>
      <c r="AI2715" s="7">
        <f>IF($C2715="","",AH2715-M2715)</f>
        <v/>
      </c>
      <c r="AJ2715">
        <f>IF($C2715="","",IF(COUNTIF($C$2:$C2715,$C2715)=1,1,0))</f>
        <v/>
      </c>
      <c r="AK2715">
        <f>IF($AJ2715=1,SUMPRODUCT(--($AN$2:$AN$4001&lt;$AN2715))+1,"")</f>
        <v/>
      </c>
      <c r="AL2715">
        <f>IF($C2715="","",IF(OR($Q2715=TRUE(),$Q2715="TRUE"),1,0))</f>
        <v/>
      </c>
      <c r="AM2715">
        <f>IF($C2715="","",IF($W2715="Yes",1,0))</f>
        <v/>
      </c>
      <c r="AN2715">
        <f>IF($AJ2715=1,IFERROR(IF(VALUE($C2715)&lt;100000000,VALUE($C2715),1000000000),IFERROR(IF(VALUE(MID($C2715,2,20))&lt;100000000,VALUE(MID($C2715,2,20)),1000000000),1000000000))+ROW()/100000,"")</f>
        <v/>
      </c>
    </row>
    <row r="2716">
      <c r="E2716" s="11" t="n"/>
      <c r="M2716" s="7">
        <f>IF($C2716="","",L2716*U2716/100)</f>
        <v/>
      </c>
      <c r="N2716" s="7" t="n"/>
      <c r="T2716" s="7" t="n"/>
      <c r="U2716" s="7">
        <f>IF($C2716="","",S2716*T2716)</f>
        <v/>
      </c>
      <c r="X2716">
        <f>IF($C2716="","",IF($AM2716=1,0,IF($AL2716=1,Settings!$C$6,Settings!$C$7))*100)</f>
        <v/>
      </c>
      <c r="AB2716" s="7" t="n"/>
      <c r="AE2716" s="11" t="n"/>
      <c r="AG2716" s="7">
        <f>IF($C2716="","",U2716*X2716/100)</f>
        <v/>
      </c>
      <c r="AH2716" s="7">
        <f>IF($C2716="","",U2716-AG2716)</f>
        <v/>
      </c>
      <c r="AI2716" s="7">
        <f>IF($C2716="","",AH2716-M2716)</f>
        <v/>
      </c>
      <c r="AJ2716">
        <f>IF($C2716="","",IF(COUNTIF($C$2:$C2716,$C2716)=1,1,0))</f>
        <v/>
      </c>
      <c r="AK2716">
        <f>IF($AJ2716=1,SUMPRODUCT(--($AN$2:$AN$4001&lt;$AN2716))+1,"")</f>
        <v/>
      </c>
      <c r="AL2716">
        <f>IF($C2716="","",IF(OR($Q2716=TRUE(),$Q2716="TRUE"),1,0))</f>
        <v/>
      </c>
      <c r="AM2716">
        <f>IF($C2716="","",IF($W2716="Yes",1,0))</f>
        <v/>
      </c>
      <c r="AN2716">
        <f>IF($AJ2716=1,IFERROR(IF(VALUE($C2716)&lt;100000000,VALUE($C2716),1000000000),IFERROR(IF(VALUE(MID($C2716,2,20))&lt;100000000,VALUE(MID($C2716,2,20)),1000000000),1000000000))+ROW()/100000,"")</f>
        <v/>
      </c>
    </row>
    <row r="2717">
      <c r="E2717" s="11" t="n"/>
      <c r="M2717" s="7">
        <f>IF($C2717="","",L2717*U2717/100)</f>
        <v/>
      </c>
      <c r="N2717" s="7" t="n"/>
      <c r="T2717" s="7" t="n"/>
      <c r="U2717" s="7">
        <f>IF($C2717="","",S2717*T2717)</f>
        <v/>
      </c>
      <c r="X2717">
        <f>IF($C2717="","",IF($AM2717=1,0,IF($AL2717=1,Settings!$C$6,Settings!$C$7))*100)</f>
        <v/>
      </c>
      <c r="AB2717" s="7" t="n"/>
      <c r="AE2717" s="11" t="n"/>
      <c r="AG2717" s="7">
        <f>IF($C2717="","",U2717*X2717/100)</f>
        <v/>
      </c>
      <c r="AH2717" s="7">
        <f>IF($C2717="","",U2717-AG2717)</f>
        <v/>
      </c>
      <c r="AI2717" s="7">
        <f>IF($C2717="","",AH2717-M2717)</f>
        <v/>
      </c>
      <c r="AJ2717">
        <f>IF($C2717="","",IF(COUNTIF($C$2:$C2717,$C2717)=1,1,0))</f>
        <v/>
      </c>
      <c r="AK2717">
        <f>IF($AJ2717=1,SUMPRODUCT(--($AN$2:$AN$4001&lt;$AN2717))+1,"")</f>
        <v/>
      </c>
      <c r="AL2717">
        <f>IF($C2717="","",IF(OR($Q2717=TRUE(),$Q2717="TRUE"),1,0))</f>
        <v/>
      </c>
      <c r="AM2717">
        <f>IF($C2717="","",IF($W2717="Yes",1,0))</f>
        <v/>
      </c>
      <c r="AN2717">
        <f>IF($AJ2717=1,IFERROR(IF(VALUE($C2717)&lt;100000000,VALUE($C2717),1000000000),IFERROR(IF(VALUE(MID($C2717,2,20))&lt;100000000,VALUE(MID($C2717,2,20)),1000000000),1000000000))+ROW()/100000,"")</f>
        <v/>
      </c>
    </row>
    <row r="2718">
      <c r="E2718" s="11" t="n"/>
      <c r="M2718" s="7">
        <f>IF($C2718="","",L2718*U2718/100)</f>
        <v/>
      </c>
      <c r="N2718" s="7" t="n"/>
      <c r="T2718" s="7" t="n"/>
      <c r="U2718" s="7">
        <f>IF($C2718="","",S2718*T2718)</f>
        <v/>
      </c>
      <c r="X2718">
        <f>IF($C2718="","",IF($AM2718=1,0,IF($AL2718=1,Settings!$C$6,Settings!$C$7))*100)</f>
        <v/>
      </c>
      <c r="AB2718" s="7" t="n"/>
      <c r="AE2718" s="11" t="n"/>
      <c r="AG2718" s="7">
        <f>IF($C2718="","",U2718*X2718/100)</f>
        <v/>
      </c>
      <c r="AH2718" s="7">
        <f>IF($C2718="","",U2718-AG2718)</f>
        <v/>
      </c>
      <c r="AI2718" s="7">
        <f>IF($C2718="","",AH2718-M2718)</f>
        <v/>
      </c>
      <c r="AJ2718">
        <f>IF($C2718="","",IF(COUNTIF($C$2:$C2718,$C2718)=1,1,0))</f>
        <v/>
      </c>
      <c r="AK2718">
        <f>IF($AJ2718=1,SUMPRODUCT(--($AN$2:$AN$4001&lt;$AN2718))+1,"")</f>
        <v/>
      </c>
      <c r="AL2718">
        <f>IF($C2718="","",IF(OR($Q2718=TRUE(),$Q2718="TRUE"),1,0))</f>
        <v/>
      </c>
      <c r="AM2718">
        <f>IF($C2718="","",IF($W2718="Yes",1,0))</f>
        <v/>
      </c>
      <c r="AN2718">
        <f>IF($AJ2718=1,IFERROR(IF(VALUE($C2718)&lt;100000000,VALUE($C2718),1000000000),IFERROR(IF(VALUE(MID($C2718,2,20))&lt;100000000,VALUE(MID($C2718,2,20)),1000000000),1000000000))+ROW()/100000,"")</f>
        <v/>
      </c>
    </row>
    <row r="2719">
      <c r="E2719" s="11" t="n"/>
      <c r="M2719" s="7">
        <f>IF($C2719="","",L2719*U2719/100)</f>
        <v/>
      </c>
      <c r="N2719" s="7" t="n"/>
      <c r="T2719" s="7" t="n"/>
      <c r="U2719" s="7">
        <f>IF($C2719="","",S2719*T2719)</f>
        <v/>
      </c>
      <c r="X2719">
        <f>IF($C2719="","",IF($AM2719=1,0,IF($AL2719=1,Settings!$C$6,Settings!$C$7))*100)</f>
        <v/>
      </c>
      <c r="AB2719" s="7" t="n"/>
      <c r="AE2719" s="11" t="n"/>
      <c r="AG2719" s="7">
        <f>IF($C2719="","",U2719*X2719/100)</f>
        <v/>
      </c>
      <c r="AH2719" s="7">
        <f>IF($C2719="","",U2719-AG2719)</f>
        <v/>
      </c>
      <c r="AI2719" s="7">
        <f>IF($C2719="","",AH2719-M2719)</f>
        <v/>
      </c>
      <c r="AJ2719">
        <f>IF($C2719="","",IF(COUNTIF($C$2:$C2719,$C2719)=1,1,0))</f>
        <v/>
      </c>
      <c r="AK2719">
        <f>IF($AJ2719=1,SUMPRODUCT(--($AN$2:$AN$4001&lt;$AN2719))+1,"")</f>
        <v/>
      </c>
      <c r="AL2719">
        <f>IF($C2719="","",IF(OR($Q2719=TRUE(),$Q2719="TRUE"),1,0))</f>
        <v/>
      </c>
      <c r="AM2719">
        <f>IF($C2719="","",IF($W2719="Yes",1,0))</f>
        <v/>
      </c>
      <c r="AN2719">
        <f>IF($AJ2719=1,IFERROR(IF(VALUE($C2719)&lt;100000000,VALUE($C2719),1000000000),IFERROR(IF(VALUE(MID($C2719,2,20))&lt;100000000,VALUE(MID($C2719,2,20)),1000000000),1000000000))+ROW()/100000,"")</f>
        <v/>
      </c>
    </row>
    <row r="2720">
      <c r="E2720" s="11" t="n"/>
      <c r="M2720" s="7">
        <f>IF($C2720="","",L2720*U2720/100)</f>
        <v/>
      </c>
      <c r="N2720" s="7" t="n"/>
      <c r="T2720" s="7" t="n"/>
      <c r="U2720" s="7">
        <f>IF($C2720="","",S2720*T2720)</f>
        <v/>
      </c>
      <c r="X2720">
        <f>IF($C2720="","",IF($AM2720=1,0,IF($AL2720=1,Settings!$C$6,Settings!$C$7))*100)</f>
        <v/>
      </c>
      <c r="AB2720" s="7" t="n"/>
      <c r="AE2720" s="11" t="n"/>
      <c r="AG2720" s="7">
        <f>IF($C2720="","",U2720*X2720/100)</f>
        <v/>
      </c>
      <c r="AH2720" s="7">
        <f>IF($C2720="","",U2720-AG2720)</f>
        <v/>
      </c>
      <c r="AI2720" s="7">
        <f>IF($C2720="","",AH2720-M2720)</f>
        <v/>
      </c>
      <c r="AJ2720">
        <f>IF($C2720="","",IF(COUNTIF($C$2:$C2720,$C2720)=1,1,0))</f>
        <v/>
      </c>
      <c r="AK2720">
        <f>IF($AJ2720=1,SUMPRODUCT(--($AN$2:$AN$4001&lt;$AN2720))+1,"")</f>
        <v/>
      </c>
      <c r="AL2720">
        <f>IF($C2720="","",IF(OR($Q2720=TRUE(),$Q2720="TRUE"),1,0))</f>
        <v/>
      </c>
      <c r="AM2720">
        <f>IF($C2720="","",IF($W2720="Yes",1,0))</f>
        <v/>
      </c>
      <c r="AN2720">
        <f>IF($AJ2720=1,IFERROR(IF(VALUE($C2720)&lt;100000000,VALUE($C2720),1000000000),IFERROR(IF(VALUE(MID($C2720,2,20))&lt;100000000,VALUE(MID($C2720,2,20)),1000000000),1000000000))+ROW()/100000,"")</f>
        <v/>
      </c>
    </row>
    <row r="2721">
      <c r="E2721" s="11" t="n"/>
      <c r="M2721" s="7">
        <f>IF($C2721="","",L2721*U2721/100)</f>
        <v/>
      </c>
      <c r="N2721" s="7" t="n"/>
      <c r="T2721" s="7" t="n"/>
      <c r="U2721" s="7">
        <f>IF($C2721="","",S2721*T2721)</f>
        <v/>
      </c>
      <c r="X2721">
        <f>IF($C2721="","",IF($AM2721=1,0,IF($AL2721=1,Settings!$C$6,Settings!$C$7))*100)</f>
        <v/>
      </c>
      <c r="AB2721" s="7" t="n"/>
      <c r="AE2721" s="11" t="n"/>
      <c r="AG2721" s="7">
        <f>IF($C2721="","",U2721*X2721/100)</f>
        <v/>
      </c>
      <c r="AH2721" s="7">
        <f>IF($C2721="","",U2721-AG2721)</f>
        <v/>
      </c>
      <c r="AI2721" s="7">
        <f>IF($C2721="","",AH2721-M2721)</f>
        <v/>
      </c>
      <c r="AJ2721">
        <f>IF($C2721="","",IF(COUNTIF($C$2:$C2721,$C2721)=1,1,0))</f>
        <v/>
      </c>
      <c r="AK2721">
        <f>IF($AJ2721=1,SUMPRODUCT(--($AN$2:$AN$4001&lt;$AN2721))+1,"")</f>
        <v/>
      </c>
      <c r="AL2721">
        <f>IF($C2721="","",IF(OR($Q2721=TRUE(),$Q2721="TRUE"),1,0))</f>
        <v/>
      </c>
      <c r="AM2721">
        <f>IF($C2721="","",IF($W2721="Yes",1,0))</f>
        <v/>
      </c>
      <c r="AN2721">
        <f>IF($AJ2721=1,IFERROR(IF(VALUE($C2721)&lt;100000000,VALUE($C2721),1000000000),IFERROR(IF(VALUE(MID($C2721,2,20))&lt;100000000,VALUE(MID($C2721,2,20)),1000000000),1000000000))+ROW()/100000,"")</f>
        <v/>
      </c>
    </row>
    <row r="2722">
      <c r="E2722" s="11" t="n"/>
      <c r="M2722" s="7">
        <f>IF($C2722="","",L2722*U2722/100)</f>
        <v/>
      </c>
      <c r="N2722" s="7" t="n"/>
      <c r="T2722" s="7" t="n"/>
      <c r="U2722" s="7">
        <f>IF($C2722="","",S2722*T2722)</f>
        <v/>
      </c>
      <c r="X2722">
        <f>IF($C2722="","",IF($AM2722=1,0,IF($AL2722=1,Settings!$C$6,Settings!$C$7))*100)</f>
        <v/>
      </c>
      <c r="AB2722" s="7" t="n"/>
      <c r="AE2722" s="11" t="n"/>
      <c r="AG2722" s="7">
        <f>IF($C2722="","",U2722*X2722/100)</f>
        <v/>
      </c>
      <c r="AH2722" s="7">
        <f>IF($C2722="","",U2722-AG2722)</f>
        <v/>
      </c>
      <c r="AI2722" s="7">
        <f>IF($C2722="","",AH2722-M2722)</f>
        <v/>
      </c>
      <c r="AJ2722">
        <f>IF($C2722="","",IF(COUNTIF($C$2:$C2722,$C2722)=1,1,0))</f>
        <v/>
      </c>
      <c r="AK2722">
        <f>IF($AJ2722=1,SUMPRODUCT(--($AN$2:$AN$4001&lt;$AN2722))+1,"")</f>
        <v/>
      </c>
      <c r="AL2722">
        <f>IF($C2722="","",IF(OR($Q2722=TRUE(),$Q2722="TRUE"),1,0))</f>
        <v/>
      </c>
      <c r="AM2722">
        <f>IF($C2722="","",IF($W2722="Yes",1,0))</f>
        <v/>
      </c>
      <c r="AN2722">
        <f>IF($AJ2722=1,IFERROR(IF(VALUE($C2722)&lt;100000000,VALUE($C2722),1000000000),IFERROR(IF(VALUE(MID($C2722,2,20))&lt;100000000,VALUE(MID($C2722,2,20)),1000000000),1000000000))+ROW()/100000,"")</f>
        <v/>
      </c>
    </row>
    <row r="2723">
      <c r="E2723" s="11" t="n"/>
      <c r="M2723" s="7">
        <f>IF($C2723="","",L2723*U2723/100)</f>
        <v/>
      </c>
      <c r="N2723" s="7" t="n"/>
      <c r="T2723" s="7" t="n"/>
      <c r="U2723" s="7">
        <f>IF($C2723="","",S2723*T2723)</f>
        <v/>
      </c>
      <c r="X2723">
        <f>IF($C2723="","",IF($AM2723=1,0,IF($AL2723=1,Settings!$C$6,Settings!$C$7))*100)</f>
        <v/>
      </c>
      <c r="AB2723" s="7" t="n"/>
      <c r="AE2723" s="11" t="n"/>
      <c r="AG2723" s="7">
        <f>IF($C2723="","",U2723*X2723/100)</f>
        <v/>
      </c>
      <c r="AH2723" s="7">
        <f>IF($C2723="","",U2723-AG2723)</f>
        <v/>
      </c>
      <c r="AI2723" s="7">
        <f>IF($C2723="","",AH2723-M2723)</f>
        <v/>
      </c>
      <c r="AJ2723">
        <f>IF($C2723="","",IF(COUNTIF($C$2:$C2723,$C2723)=1,1,0))</f>
        <v/>
      </c>
      <c r="AK2723">
        <f>IF($AJ2723=1,SUMPRODUCT(--($AN$2:$AN$4001&lt;$AN2723))+1,"")</f>
        <v/>
      </c>
      <c r="AL2723">
        <f>IF($C2723="","",IF(OR($Q2723=TRUE(),$Q2723="TRUE"),1,0))</f>
        <v/>
      </c>
      <c r="AM2723">
        <f>IF($C2723="","",IF($W2723="Yes",1,0))</f>
        <v/>
      </c>
      <c r="AN2723">
        <f>IF($AJ2723=1,IFERROR(IF(VALUE($C2723)&lt;100000000,VALUE($C2723),1000000000),IFERROR(IF(VALUE(MID($C2723,2,20))&lt;100000000,VALUE(MID($C2723,2,20)),1000000000),1000000000))+ROW()/100000,"")</f>
        <v/>
      </c>
    </row>
    <row r="2724">
      <c r="E2724" s="11" t="n"/>
      <c r="M2724" s="7">
        <f>IF($C2724="","",L2724*U2724/100)</f>
        <v/>
      </c>
      <c r="N2724" s="7" t="n"/>
      <c r="T2724" s="7" t="n"/>
      <c r="U2724" s="7">
        <f>IF($C2724="","",S2724*T2724)</f>
        <v/>
      </c>
      <c r="X2724">
        <f>IF($C2724="","",IF($AM2724=1,0,IF($AL2724=1,Settings!$C$6,Settings!$C$7))*100)</f>
        <v/>
      </c>
      <c r="AB2724" s="7" t="n"/>
      <c r="AE2724" s="11" t="n"/>
      <c r="AG2724" s="7">
        <f>IF($C2724="","",U2724*X2724/100)</f>
        <v/>
      </c>
      <c r="AH2724" s="7">
        <f>IF($C2724="","",U2724-AG2724)</f>
        <v/>
      </c>
      <c r="AI2724" s="7">
        <f>IF($C2724="","",AH2724-M2724)</f>
        <v/>
      </c>
      <c r="AJ2724">
        <f>IF($C2724="","",IF(COUNTIF($C$2:$C2724,$C2724)=1,1,0))</f>
        <v/>
      </c>
      <c r="AK2724">
        <f>IF($AJ2724=1,SUMPRODUCT(--($AN$2:$AN$4001&lt;$AN2724))+1,"")</f>
        <v/>
      </c>
      <c r="AL2724">
        <f>IF($C2724="","",IF(OR($Q2724=TRUE(),$Q2724="TRUE"),1,0))</f>
        <v/>
      </c>
      <c r="AM2724">
        <f>IF($C2724="","",IF($W2724="Yes",1,0))</f>
        <v/>
      </c>
      <c r="AN2724">
        <f>IF($AJ2724=1,IFERROR(IF(VALUE($C2724)&lt;100000000,VALUE($C2724),1000000000),IFERROR(IF(VALUE(MID($C2724,2,20))&lt;100000000,VALUE(MID($C2724,2,20)),1000000000),1000000000))+ROW()/100000,"")</f>
        <v/>
      </c>
    </row>
    <row r="2725">
      <c r="E2725" s="11" t="n"/>
      <c r="M2725" s="7">
        <f>IF($C2725="","",L2725*U2725/100)</f>
        <v/>
      </c>
      <c r="N2725" s="7" t="n"/>
      <c r="T2725" s="7" t="n"/>
      <c r="U2725" s="7">
        <f>IF($C2725="","",S2725*T2725)</f>
        <v/>
      </c>
      <c r="X2725">
        <f>IF($C2725="","",IF($AM2725=1,0,IF($AL2725=1,Settings!$C$6,Settings!$C$7))*100)</f>
        <v/>
      </c>
      <c r="AB2725" s="7" t="n"/>
      <c r="AE2725" s="11" t="n"/>
      <c r="AG2725" s="7">
        <f>IF($C2725="","",U2725*X2725/100)</f>
        <v/>
      </c>
      <c r="AH2725" s="7">
        <f>IF($C2725="","",U2725-AG2725)</f>
        <v/>
      </c>
      <c r="AI2725" s="7">
        <f>IF($C2725="","",AH2725-M2725)</f>
        <v/>
      </c>
      <c r="AJ2725">
        <f>IF($C2725="","",IF(COUNTIF($C$2:$C2725,$C2725)=1,1,0))</f>
        <v/>
      </c>
      <c r="AK2725">
        <f>IF($AJ2725=1,SUMPRODUCT(--($AN$2:$AN$4001&lt;$AN2725))+1,"")</f>
        <v/>
      </c>
      <c r="AL2725">
        <f>IF($C2725="","",IF(OR($Q2725=TRUE(),$Q2725="TRUE"),1,0))</f>
        <v/>
      </c>
      <c r="AM2725">
        <f>IF($C2725="","",IF($W2725="Yes",1,0))</f>
        <v/>
      </c>
      <c r="AN2725">
        <f>IF($AJ2725=1,IFERROR(IF(VALUE($C2725)&lt;100000000,VALUE($C2725),1000000000),IFERROR(IF(VALUE(MID($C2725,2,20))&lt;100000000,VALUE(MID($C2725,2,20)),1000000000),1000000000))+ROW()/100000,"")</f>
        <v/>
      </c>
    </row>
    <row r="2726">
      <c r="E2726" s="11" t="n"/>
      <c r="M2726" s="7">
        <f>IF($C2726="","",L2726*U2726/100)</f>
        <v/>
      </c>
      <c r="N2726" s="7" t="n"/>
      <c r="T2726" s="7" t="n"/>
      <c r="U2726" s="7">
        <f>IF($C2726="","",S2726*T2726)</f>
        <v/>
      </c>
      <c r="X2726">
        <f>IF($C2726="","",IF($AM2726=1,0,IF($AL2726=1,Settings!$C$6,Settings!$C$7))*100)</f>
        <v/>
      </c>
      <c r="AB2726" s="7" t="n"/>
      <c r="AE2726" s="11" t="n"/>
      <c r="AG2726" s="7">
        <f>IF($C2726="","",U2726*X2726/100)</f>
        <v/>
      </c>
      <c r="AH2726" s="7">
        <f>IF($C2726="","",U2726-AG2726)</f>
        <v/>
      </c>
      <c r="AI2726" s="7">
        <f>IF($C2726="","",AH2726-M2726)</f>
        <v/>
      </c>
      <c r="AJ2726">
        <f>IF($C2726="","",IF(COUNTIF($C$2:$C2726,$C2726)=1,1,0))</f>
        <v/>
      </c>
      <c r="AK2726">
        <f>IF($AJ2726=1,SUMPRODUCT(--($AN$2:$AN$4001&lt;$AN2726))+1,"")</f>
        <v/>
      </c>
      <c r="AL2726">
        <f>IF($C2726="","",IF(OR($Q2726=TRUE(),$Q2726="TRUE"),1,0))</f>
        <v/>
      </c>
      <c r="AM2726">
        <f>IF($C2726="","",IF($W2726="Yes",1,0))</f>
        <v/>
      </c>
      <c r="AN2726">
        <f>IF($AJ2726=1,IFERROR(IF(VALUE($C2726)&lt;100000000,VALUE($C2726),1000000000),IFERROR(IF(VALUE(MID($C2726,2,20))&lt;100000000,VALUE(MID($C2726,2,20)),1000000000),1000000000))+ROW()/100000,"")</f>
        <v/>
      </c>
    </row>
    <row r="2727">
      <c r="E2727" s="11" t="n"/>
      <c r="M2727" s="7">
        <f>IF($C2727="","",L2727*U2727/100)</f>
        <v/>
      </c>
      <c r="N2727" s="7" t="n"/>
      <c r="T2727" s="7" t="n"/>
      <c r="U2727" s="7">
        <f>IF($C2727="","",S2727*T2727)</f>
        <v/>
      </c>
      <c r="X2727">
        <f>IF($C2727="","",IF($AM2727=1,0,IF($AL2727=1,Settings!$C$6,Settings!$C$7))*100)</f>
        <v/>
      </c>
      <c r="AB2727" s="7" t="n"/>
      <c r="AE2727" s="11" t="n"/>
      <c r="AG2727" s="7">
        <f>IF($C2727="","",U2727*X2727/100)</f>
        <v/>
      </c>
      <c r="AH2727" s="7">
        <f>IF($C2727="","",U2727-AG2727)</f>
        <v/>
      </c>
      <c r="AI2727" s="7">
        <f>IF($C2727="","",AH2727-M2727)</f>
        <v/>
      </c>
      <c r="AJ2727">
        <f>IF($C2727="","",IF(COUNTIF($C$2:$C2727,$C2727)=1,1,0))</f>
        <v/>
      </c>
      <c r="AK2727">
        <f>IF($AJ2727=1,SUMPRODUCT(--($AN$2:$AN$4001&lt;$AN2727))+1,"")</f>
        <v/>
      </c>
      <c r="AL2727">
        <f>IF($C2727="","",IF(OR($Q2727=TRUE(),$Q2727="TRUE"),1,0))</f>
        <v/>
      </c>
      <c r="AM2727">
        <f>IF($C2727="","",IF($W2727="Yes",1,0))</f>
        <v/>
      </c>
      <c r="AN2727">
        <f>IF($AJ2727=1,IFERROR(IF(VALUE($C2727)&lt;100000000,VALUE($C2727),1000000000),IFERROR(IF(VALUE(MID($C2727,2,20))&lt;100000000,VALUE(MID($C2727,2,20)),1000000000),1000000000))+ROW()/100000,"")</f>
        <v/>
      </c>
    </row>
    <row r="2728">
      <c r="E2728" s="11" t="n"/>
      <c r="M2728" s="7">
        <f>IF($C2728="","",L2728*U2728/100)</f>
        <v/>
      </c>
      <c r="N2728" s="7" t="n"/>
      <c r="T2728" s="7" t="n"/>
      <c r="U2728" s="7">
        <f>IF($C2728="","",S2728*T2728)</f>
        <v/>
      </c>
      <c r="X2728">
        <f>IF($C2728="","",IF($AM2728=1,0,IF($AL2728=1,Settings!$C$6,Settings!$C$7))*100)</f>
        <v/>
      </c>
      <c r="AB2728" s="7" t="n"/>
      <c r="AE2728" s="11" t="n"/>
      <c r="AG2728" s="7">
        <f>IF($C2728="","",U2728*X2728/100)</f>
        <v/>
      </c>
      <c r="AH2728" s="7">
        <f>IF($C2728="","",U2728-AG2728)</f>
        <v/>
      </c>
      <c r="AI2728" s="7">
        <f>IF($C2728="","",AH2728-M2728)</f>
        <v/>
      </c>
      <c r="AJ2728">
        <f>IF($C2728="","",IF(COUNTIF($C$2:$C2728,$C2728)=1,1,0))</f>
        <v/>
      </c>
      <c r="AK2728">
        <f>IF($AJ2728=1,SUMPRODUCT(--($AN$2:$AN$4001&lt;$AN2728))+1,"")</f>
        <v/>
      </c>
      <c r="AL2728">
        <f>IF($C2728="","",IF(OR($Q2728=TRUE(),$Q2728="TRUE"),1,0))</f>
        <v/>
      </c>
      <c r="AM2728">
        <f>IF($C2728="","",IF($W2728="Yes",1,0))</f>
        <v/>
      </c>
      <c r="AN2728">
        <f>IF($AJ2728=1,IFERROR(IF(VALUE($C2728)&lt;100000000,VALUE($C2728),1000000000),IFERROR(IF(VALUE(MID($C2728,2,20))&lt;100000000,VALUE(MID($C2728,2,20)),1000000000),1000000000))+ROW()/100000,"")</f>
        <v/>
      </c>
    </row>
    <row r="2729">
      <c r="E2729" s="11" t="n"/>
      <c r="M2729" s="7">
        <f>IF($C2729="","",L2729*U2729/100)</f>
        <v/>
      </c>
      <c r="N2729" s="7" t="n"/>
      <c r="T2729" s="7" t="n"/>
      <c r="U2729" s="7">
        <f>IF($C2729="","",S2729*T2729)</f>
        <v/>
      </c>
      <c r="X2729">
        <f>IF($C2729="","",IF($AM2729=1,0,IF($AL2729=1,Settings!$C$6,Settings!$C$7))*100)</f>
        <v/>
      </c>
      <c r="AB2729" s="7" t="n"/>
      <c r="AE2729" s="11" t="n"/>
      <c r="AG2729" s="7">
        <f>IF($C2729="","",U2729*X2729/100)</f>
        <v/>
      </c>
      <c r="AH2729" s="7">
        <f>IF($C2729="","",U2729-AG2729)</f>
        <v/>
      </c>
      <c r="AI2729" s="7">
        <f>IF($C2729="","",AH2729-M2729)</f>
        <v/>
      </c>
      <c r="AJ2729">
        <f>IF($C2729="","",IF(COUNTIF($C$2:$C2729,$C2729)=1,1,0))</f>
        <v/>
      </c>
      <c r="AK2729">
        <f>IF($AJ2729=1,SUMPRODUCT(--($AN$2:$AN$4001&lt;$AN2729))+1,"")</f>
        <v/>
      </c>
      <c r="AL2729">
        <f>IF($C2729="","",IF(OR($Q2729=TRUE(),$Q2729="TRUE"),1,0))</f>
        <v/>
      </c>
      <c r="AM2729">
        <f>IF($C2729="","",IF($W2729="Yes",1,0))</f>
        <v/>
      </c>
      <c r="AN2729">
        <f>IF($AJ2729=1,IFERROR(IF(VALUE($C2729)&lt;100000000,VALUE($C2729),1000000000),IFERROR(IF(VALUE(MID($C2729,2,20))&lt;100000000,VALUE(MID($C2729,2,20)),1000000000),1000000000))+ROW()/100000,"")</f>
        <v/>
      </c>
    </row>
    <row r="2730">
      <c r="E2730" s="11" t="n"/>
      <c r="M2730" s="7">
        <f>IF($C2730="","",L2730*U2730/100)</f>
        <v/>
      </c>
      <c r="N2730" s="7" t="n"/>
      <c r="T2730" s="7" t="n"/>
      <c r="U2730" s="7">
        <f>IF($C2730="","",S2730*T2730)</f>
        <v/>
      </c>
      <c r="X2730">
        <f>IF($C2730="","",IF($AM2730=1,0,IF($AL2730=1,Settings!$C$6,Settings!$C$7))*100)</f>
        <v/>
      </c>
      <c r="AB2730" s="7" t="n"/>
      <c r="AE2730" s="11" t="n"/>
      <c r="AG2730" s="7">
        <f>IF($C2730="","",U2730*X2730/100)</f>
        <v/>
      </c>
      <c r="AH2730" s="7">
        <f>IF($C2730="","",U2730-AG2730)</f>
        <v/>
      </c>
      <c r="AI2730" s="7">
        <f>IF($C2730="","",AH2730-M2730)</f>
        <v/>
      </c>
      <c r="AJ2730">
        <f>IF($C2730="","",IF(COUNTIF($C$2:$C2730,$C2730)=1,1,0))</f>
        <v/>
      </c>
      <c r="AK2730">
        <f>IF($AJ2730=1,SUMPRODUCT(--($AN$2:$AN$4001&lt;$AN2730))+1,"")</f>
        <v/>
      </c>
      <c r="AL2730">
        <f>IF($C2730="","",IF(OR($Q2730=TRUE(),$Q2730="TRUE"),1,0))</f>
        <v/>
      </c>
      <c r="AM2730">
        <f>IF($C2730="","",IF($W2730="Yes",1,0))</f>
        <v/>
      </c>
      <c r="AN2730">
        <f>IF($AJ2730=1,IFERROR(IF(VALUE($C2730)&lt;100000000,VALUE($C2730),1000000000),IFERROR(IF(VALUE(MID($C2730,2,20))&lt;100000000,VALUE(MID($C2730,2,20)),1000000000),1000000000))+ROW()/100000,"")</f>
        <v/>
      </c>
    </row>
    <row r="2731">
      <c r="E2731" s="11" t="n"/>
      <c r="M2731" s="7">
        <f>IF($C2731="","",L2731*U2731/100)</f>
        <v/>
      </c>
      <c r="N2731" s="7" t="n"/>
      <c r="T2731" s="7" t="n"/>
      <c r="U2731" s="7">
        <f>IF($C2731="","",S2731*T2731)</f>
        <v/>
      </c>
      <c r="X2731">
        <f>IF($C2731="","",IF($AM2731=1,0,IF($AL2731=1,Settings!$C$6,Settings!$C$7))*100)</f>
        <v/>
      </c>
      <c r="AB2731" s="7" t="n"/>
      <c r="AE2731" s="11" t="n"/>
      <c r="AG2731" s="7">
        <f>IF($C2731="","",U2731*X2731/100)</f>
        <v/>
      </c>
      <c r="AH2731" s="7">
        <f>IF($C2731="","",U2731-AG2731)</f>
        <v/>
      </c>
      <c r="AI2731" s="7">
        <f>IF($C2731="","",AH2731-M2731)</f>
        <v/>
      </c>
      <c r="AJ2731">
        <f>IF($C2731="","",IF(COUNTIF($C$2:$C2731,$C2731)=1,1,0))</f>
        <v/>
      </c>
      <c r="AK2731">
        <f>IF($AJ2731=1,SUMPRODUCT(--($AN$2:$AN$4001&lt;$AN2731))+1,"")</f>
        <v/>
      </c>
      <c r="AL2731">
        <f>IF($C2731="","",IF(OR($Q2731=TRUE(),$Q2731="TRUE"),1,0))</f>
        <v/>
      </c>
      <c r="AM2731">
        <f>IF($C2731="","",IF($W2731="Yes",1,0))</f>
        <v/>
      </c>
      <c r="AN2731">
        <f>IF($AJ2731=1,IFERROR(IF(VALUE($C2731)&lt;100000000,VALUE($C2731),1000000000),IFERROR(IF(VALUE(MID($C2731,2,20))&lt;100000000,VALUE(MID($C2731,2,20)),1000000000),1000000000))+ROW()/100000,"")</f>
        <v/>
      </c>
    </row>
    <row r="2732">
      <c r="E2732" s="11" t="n"/>
      <c r="M2732" s="7">
        <f>IF($C2732="","",L2732*U2732/100)</f>
        <v/>
      </c>
      <c r="N2732" s="7" t="n"/>
      <c r="T2732" s="7" t="n"/>
      <c r="U2732" s="7">
        <f>IF($C2732="","",S2732*T2732)</f>
        <v/>
      </c>
      <c r="X2732">
        <f>IF($C2732="","",IF($AM2732=1,0,IF($AL2732=1,Settings!$C$6,Settings!$C$7))*100)</f>
        <v/>
      </c>
      <c r="AB2732" s="7" t="n"/>
      <c r="AE2732" s="11" t="n"/>
      <c r="AG2732" s="7">
        <f>IF($C2732="","",U2732*X2732/100)</f>
        <v/>
      </c>
      <c r="AH2732" s="7">
        <f>IF($C2732="","",U2732-AG2732)</f>
        <v/>
      </c>
      <c r="AI2732" s="7">
        <f>IF($C2732="","",AH2732-M2732)</f>
        <v/>
      </c>
      <c r="AJ2732">
        <f>IF($C2732="","",IF(COUNTIF($C$2:$C2732,$C2732)=1,1,0))</f>
        <v/>
      </c>
      <c r="AK2732">
        <f>IF($AJ2732=1,SUMPRODUCT(--($AN$2:$AN$4001&lt;$AN2732))+1,"")</f>
        <v/>
      </c>
      <c r="AL2732">
        <f>IF($C2732="","",IF(OR($Q2732=TRUE(),$Q2732="TRUE"),1,0))</f>
        <v/>
      </c>
      <c r="AM2732">
        <f>IF($C2732="","",IF($W2732="Yes",1,0))</f>
        <v/>
      </c>
      <c r="AN2732">
        <f>IF($AJ2732=1,IFERROR(IF(VALUE($C2732)&lt;100000000,VALUE($C2732),1000000000),IFERROR(IF(VALUE(MID($C2732,2,20))&lt;100000000,VALUE(MID($C2732,2,20)),1000000000),1000000000))+ROW()/100000,"")</f>
        <v/>
      </c>
    </row>
    <row r="2733">
      <c r="E2733" s="11" t="n"/>
      <c r="M2733" s="7">
        <f>IF($C2733="","",L2733*U2733/100)</f>
        <v/>
      </c>
      <c r="N2733" s="7" t="n"/>
      <c r="T2733" s="7" t="n"/>
      <c r="U2733" s="7">
        <f>IF($C2733="","",S2733*T2733)</f>
        <v/>
      </c>
      <c r="X2733">
        <f>IF($C2733="","",IF($AM2733=1,0,IF($AL2733=1,Settings!$C$6,Settings!$C$7))*100)</f>
        <v/>
      </c>
      <c r="AB2733" s="7" t="n"/>
      <c r="AE2733" s="11" t="n"/>
      <c r="AG2733" s="7">
        <f>IF($C2733="","",U2733*X2733/100)</f>
        <v/>
      </c>
      <c r="AH2733" s="7">
        <f>IF($C2733="","",U2733-AG2733)</f>
        <v/>
      </c>
      <c r="AI2733" s="7">
        <f>IF($C2733="","",AH2733-M2733)</f>
        <v/>
      </c>
      <c r="AJ2733">
        <f>IF($C2733="","",IF(COUNTIF($C$2:$C2733,$C2733)=1,1,0))</f>
        <v/>
      </c>
      <c r="AK2733">
        <f>IF($AJ2733=1,SUMPRODUCT(--($AN$2:$AN$4001&lt;$AN2733))+1,"")</f>
        <v/>
      </c>
      <c r="AL2733">
        <f>IF($C2733="","",IF(OR($Q2733=TRUE(),$Q2733="TRUE"),1,0))</f>
        <v/>
      </c>
      <c r="AM2733">
        <f>IF($C2733="","",IF($W2733="Yes",1,0))</f>
        <v/>
      </c>
      <c r="AN2733">
        <f>IF($AJ2733=1,IFERROR(IF(VALUE($C2733)&lt;100000000,VALUE($C2733),1000000000),IFERROR(IF(VALUE(MID($C2733,2,20))&lt;100000000,VALUE(MID($C2733,2,20)),1000000000),1000000000))+ROW()/100000,"")</f>
        <v/>
      </c>
    </row>
    <row r="2734">
      <c r="E2734" s="11" t="n"/>
      <c r="M2734" s="7">
        <f>IF($C2734="","",L2734*U2734/100)</f>
        <v/>
      </c>
      <c r="N2734" s="7" t="n"/>
      <c r="T2734" s="7" t="n"/>
      <c r="U2734" s="7">
        <f>IF($C2734="","",S2734*T2734)</f>
        <v/>
      </c>
      <c r="X2734">
        <f>IF($C2734="","",IF($AM2734=1,0,IF($AL2734=1,Settings!$C$6,Settings!$C$7))*100)</f>
        <v/>
      </c>
      <c r="AB2734" s="7" t="n"/>
      <c r="AE2734" s="11" t="n"/>
      <c r="AG2734" s="7">
        <f>IF($C2734="","",U2734*X2734/100)</f>
        <v/>
      </c>
      <c r="AH2734" s="7">
        <f>IF($C2734="","",U2734-AG2734)</f>
        <v/>
      </c>
      <c r="AI2734" s="7">
        <f>IF($C2734="","",AH2734-M2734)</f>
        <v/>
      </c>
      <c r="AJ2734">
        <f>IF($C2734="","",IF(COUNTIF($C$2:$C2734,$C2734)=1,1,0))</f>
        <v/>
      </c>
      <c r="AK2734">
        <f>IF($AJ2734=1,SUMPRODUCT(--($AN$2:$AN$4001&lt;$AN2734))+1,"")</f>
        <v/>
      </c>
      <c r="AL2734">
        <f>IF($C2734="","",IF(OR($Q2734=TRUE(),$Q2734="TRUE"),1,0))</f>
        <v/>
      </c>
      <c r="AM2734">
        <f>IF($C2734="","",IF($W2734="Yes",1,0))</f>
        <v/>
      </c>
      <c r="AN2734">
        <f>IF($AJ2734=1,IFERROR(IF(VALUE($C2734)&lt;100000000,VALUE($C2734),1000000000),IFERROR(IF(VALUE(MID($C2734,2,20))&lt;100000000,VALUE(MID($C2734,2,20)),1000000000),1000000000))+ROW()/100000,"")</f>
        <v/>
      </c>
    </row>
    <row r="2735">
      <c r="E2735" s="11" t="n"/>
      <c r="M2735" s="7">
        <f>IF($C2735="","",L2735*U2735/100)</f>
        <v/>
      </c>
      <c r="N2735" s="7" t="n"/>
      <c r="T2735" s="7" t="n"/>
      <c r="U2735" s="7">
        <f>IF($C2735="","",S2735*T2735)</f>
        <v/>
      </c>
      <c r="X2735">
        <f>IF($C2735="","",IF($AM2735=1,0,IF($AL2735=1,Settings!$C$6,Settings!$C$7))*100)</f>
        <v/>
      </c>
      <c r="AB2735" s="7" t="n"/>
      <c r="AE2735" s="11" t="n"/>
      <c r="AG2735" s="7">
        <f>IF($C2735="","",U2735*X2735/100)</f>
        <v/>
      </c>
      <c r="AH2735" s="7">
        <f>IF($C2735="","",U2735-AG2735)</f>
        <v/>
      </c>
      <c r="AI2735" s="7">
        <f>IF($C2735="","",AH2735-M2735)</f>
        <v/>
      </c>
      <c r="AJ2735">
        <f>IF($C2735="","",IF(COUNTIF($C$2:$C2735,$C2735)=1,1,0))</f>
        <v/>
      </c>
      <c r="AK2735">
        <f>IF($AJ2735=1,SUMPRODUCT(--($AN$2:$AN$4001&lt;$AN2735))+1,"")</f>
        <v/>
      </c>
      <c r="AL2735">
        <f>IF($C2735="","",IF(OR($Q2735=TRUE(),$Q2735="TRUE"),1,0))</f>
        <v/>
      </c>
      <c r="AM2735">
        <f>IF($C2735="","",IF($W2735="Yes",1,0))</f>
        <v/>
      </c>
      <c r="AN2735">
        <f>IF($AJ2735=1,IFERROR(IF(VALUE($C2735)&lt;100000000,VALUE($C2735),1000000000),IFERROR(IF(VALUE(MID($C2735,2,20))&lt;100000000,VALUE(MID($C2735,2,20)),1000000000),1000000000))+ROW()/100000,"")</f>
        <v/>
      </c>
    </row>
    <row r="2736">
      <c r="E2736" s="11" t="n"/>
      <c r="M2736" s="7">
        <f>IF($C2736="","",L2736*U2736/100)</f>
        <v/>
      </c>
      <c r="N2736" s="7" t="n"/>
      <c r="T2736" s="7" t="n"/>
      <c r="U2736" s="7">
        <f>IF($C2736="","",S2736*T2736)</f>
        <v/>
      </c>
      <c r="X2736">
        <f>IF($C2736="","",IF($AM2736=1,0,IF($AL2736=1,Settings!$C$6,Settings!$C$7))*100)</f>
        <v/>
      </c>
      <c r="AB2736" s="7" t="n"/>
      <c r="AE2736" s="11" t="n"/>
      <c r="AG2736" s="7">
        <f>IF($C2736="","",U2736*X2736/100)</f>
        <v/>
      </c>
      <c r="AH2736" s="7">
        <f>IF($C2736="","",U2736-AG2736)</f>
        <v/>
      </c>
      <c r="AI2736" s="7">
        <f>IF($C2736="","",AH2736-M2736)</f>
        <v/>
      </c>
      <c r="AJ2736">
        <f>IF($C2736="","",IF(COUNTIF($C$2:$C2736,$C2736)=1,1,0))</f>
        <v/>
      </c>
      <c r="AK2736">
        <f>IF($AJ2736=1,SUMPRODUCT(--($AN$2:$AN$4001&lt;$AN2736))+1,"")</f>
        <v/>
      </c>
      <c r="AL2736">
        <f>IF($C2736="","",IF(OR($Q2736=TRUE(),$Q2736="TRUE"),1,0))</f>
        <v/>
      </c>
      <c r="AM2736">
        <f>IF($C2736="","",IF($W2736="Yes",1,0))</f>
        <v/>
      </c>
      <c r="AN2736">
        <f>IF($AJ2736=1,IFERROR(IF(VALUE($C2736)&lt;100000000,VALUE($C2736),1000000000),IFERROR(IF(VALUE(MID($C2736,2,20))&lt;100000000,VALUE(MID($C2736,2,20)),1000000000),1000000000))+ROW()/100000,"")</f>
        <v/>
      </c>
    </row>
    <row r="2737">
      <c r="E2737" s="11" t="n"/>
      <c r="M2737" s="7">
        <f>IF($C2737="","",L2737*U2737/100)</f>
        <v/>
      </c>
      <c r="N2737" s="7" t="n"/>
      <c r="T2737" s="7" t="n"/>
      <c r="U2737" s="7">
        <f>IF($C2737="","",S2737*T2737)</f>
        <v/>
      </c>
      <c r="X2737">
        <f>IF($C2737="","",IF($AM2737=1,0,IF($AL2737=1,Settings!$C$6,Settings!$C$7))*100)</f>
        <v/>
      </c>
      <c r="AB2737" s="7" t="n"/>
      <c r="AE2737" s="11" t="n"/>
      <c r="AG2737" s="7">
        <f>IF($C2737="","",U2737*X2737/100)</f>
        <v/>
      </c>
      <c r="AH2737" s="7">
        <f>IF($C2737="","",U2737-AG2737)</f>
        <v/>
      </c>
      <c r="AI2737" s="7">
        <f>IF($C2737="","",AH2737-M2737)</f>
        <v/>
      </c>
      <c r="AJ2737">
        <f>IF($C2737="","",IF(COUNTIF($C$2:$C2737,$C2737)=1,1,0))</f>
        <v/>
      </c>
      <c r="AK2737">
        <f>IF($AJ2737=1,SUMPRODUCT(--($AN$2:$AN$4001&lt;$AN2737))+1,"")</f>
        <v/>
      </c>
      <c r="AL2737">
        <f>IF($C2737="","",IF(OR($Q2737=TRUE(),$Q2737="TRUE"),1,0))</f>
        <v/>
      </c>
      <c r="AM2737">
        <f>IF($C2737="","",IF($W2737="Yes",1,0))</f>
        <v/>
      </c>
      <c r="AN2737">
        <f>IF($AJ2737=1,IFERROR(IF(VALUE($C2737)&lt;100000000,VALUE($C2737),1000000000),IFERROR(IF(VALUE(MID($C2737,2,20))&lt;100000000,VALUE(MID($C2737,2,20)),1000000000),1000000000))+ROW()/100000,"")</f>
        <v/>
      </c>
    </row>
    <row r="2738">
      <c r="E2738" s="11" t="n"/>
      <c r="M2738" s="7">
        <f>IF($C2738="","",L2738*U2738/100)</f>
        <v/>
      </c>
      <c r="N2738" s="7" t="n"/>
      <c r="T2738" s="7" t="n"/>
      <c r="U2738" s="7">
        <f>IF($C2738="","",S2738*T2738)</f>
        <v/>
      </c>
      <c r="X2738">
        <f>IF($C2738="","",IF($AM2738=1,0,IF($AL2738=1,Settings!$C$6,Settings!$C$7))*100)</f>
        <v/>
      </c>
      <c r="AB2738" s="7" t="n"/>
      <c r="AE2738" s="11" t="n"/>
      <c r="AG2738" s="7">
        <f>IF($C2738="","",U2738*X2738/100)</f>
        <v/>
      </c>
      <c r="AH2738" s="7">
        <f>IF($C2738="","",U2738-AG2738)</f>
        <v/>
      </c>
      <c r="AI2738" s="7">
        <f>IF($C2738="","",AH2738-M2738)</f>
        <v/>
      </c>
      <c r="AJ2738">
        <f>IF($C2738="","",IF(COUNTIF($C$2:$C2738,$C2738)=1,1,0))</f>
        <v/>
      </c>
      <c r="AK2738">
        <f>IF($AJ2738=1,SUMPRODUCT(--($AN$2:$AN$4001&lt;$AN2738))+1,"")</f>
        <v/>
      </c>
      <c r="AL2738">
        <f>IF($C2738="","",IF(OR($Q2738=TRUE(),$Q2738="TRUE"),1,0))</f>
        <v/>
      </c>
      <c r="AM2738">
        <f>IF($C2738="","",IF($W2738="Yes",1,0))</f>
        <v/>
      </c>
      <c r="AN2738">
        <f>IF($AJ2738=1,IFERROR(IF(VALUE($C2738)&lt;100000000,VALUE($C2738),1000000000),IFERROR(IF(VALUE(MID($C2738,2,20))&lt;100000000,VALUE(MID($C2738,2,20)),1000000000),1000000000))+ROW()/100000,"")</f>
        <v/>
      </c>
    </row>
    <row r="2739">
      <c r="E2739" s="11" t="n"/>
      <c r="M2739" s="7">
        <f>IF($C2739="","",L2739*U2739/100)</f>
        <v/>
      </c>
      <c r="N2739" s="7" t="n"/>
      <c r="T2739" s="7" t="n"/>
      <c r="U2739" s="7">
        <f>IF($C2739="","",S2739*T2739)</f>
        <v/>
      </c>
      <c r="X2739">
        <f>IF($C2739="","",IF($AM2739=1,0,IF($AL2739=1,Settings!$C$6,Settings!$C$7))*100)</f>
        <v/>
      </c>
      <c r="AB2739" s="7" t="n"/>
      <c r="AE2739" s="11" t="n"/>
      <c r="AG2739" s="7">
        <f>IF($C2739="","",U2739*X2739/100)</f>
        <v/>
      </c>
      <c r="AH2739" s="7">
        <f>IF($C2739="","",U2739-AG2739)</f>
        <v/>
      </c>
      <c r="AI2739" s="7">
        <f>IF($C2739="","",AH2739-M2739)</f>
        <v/>
      </c>
      <c r="AJ2739">
        <f>IF($C2739="","",IF(COUNTIF($C$2:$C2739,$C2739)=1,1,0))</f>
        <v/>
      </c>
      <c r="AK2739">
        <f>IF($AJ2739=1,SUMPRODUCT(--($AN$2:$AN$4001&lt;$AN2739))+1,"")</f>
        <v/>
      </c>
      <c r="AL2739">
        <f>IF($C2739="","",IF(OR($Q2739=TRUE(),$Q2739="TRUE"),1,0))</f>
        <v/>
      </c>
      <c r="AM2739">
        <f>IF($C2739="","",IF($W2739="Yes",1,0))</f>
        <v/>
      </c>
      <c r="AN2739">
        <f>IF($AJ2739=1,IFERROR(IF(VALUE($C2739)&lt;100000000,VALUE($C2739),1000000000),IFERROR(IF(VALUE(MID($C2739,2,20))&lt;100000000,VALUE(MID($C2739,2,20)),1000000000),1000000000))+ROW()/100000,"")</f>
        <v/>
      </c>
    </row>
    <row r="2740">
      <c r="E2740" s="11" t="n"/>
      <c r="M2740" s="7">
        <f>IF($C2740="","",L2740*U2740/100)</f>
        <v/>
      </c>
      <c r="N2740" s="7" t="n"/>
      <c r="T2740" s="7" t="n"/>
      <c r="U2740" s="7">
        <f>IF($C2740="","",S2740*T2740)</f>
        <v/>
      </c>
      <c r="X2740">
        <f>IF($C2740="","",IF($AM2740=1,0,IF($AL2740=1,Settings!$C$6,Settings!$C$7))*100)</f>
        <v/>
      </c>
      <c r="AB2740" s="7" t="n"/>
      <c r="AE2740" s="11" t="n"/>
      <c r="AG2740" s="7">
        <f>IF($C2740="","",U2740*X2740/100)</f>
        <v/>
      </c>
      <c r="AH2740" s="7">
        <f>IF($C2740="","",U2740-AG2740)</f>
        <v/>
      </c>
      <c r="AI2740" s="7">
        <f>IF($C2740="","",AH2740-M2740)</f>
        <v/>
      </c>
      <c r="AJ2740">
        <f>IF($C2740="","",IF(COUNTIF($C$2:$C2740,$C2740)=1,1,0))</f>
        <v/>
      </c>
      <c r="AK2740">
        <f>IF($AJ2740=1,SUMPRODUCT(--($AN$2:$AN$4001&lt;$AN2740))+1,"")</f>
        <v/>
      </c>
      <c r="AL2740">
        <f>IF($C2740="","",IF(OR($Q2740=TRUE(),$Q2740="TRUE"),1,0))</f>
        <v/>
      </c>
      <c r="AM2740">
        <f>IF($C2740="","",IF($W2740="Yes",1,0))</f>
        <v/>
      </c>
      <c r="AN2740">
        <f>IF($AJ2740=1,IFERROR(IF(VALUE($C2740)&lt;100000000,VALUE($C2740),1000000000),IFERROR(IF(VALUE(MID($C2740,2,20))&lt;100000000,VALUE(MID($C2740,2,20)),1000000000),1000000000))+ROW()/100000,"")</f>
        <v/>
      </c>
    </row>
    <row r="2741">
      <c r="E2741" s="11" t="n"/>
      <c r="M2741" s="7">
        <f>IF($C2741="","",L2741*U2741/100)</f>
        <v/>
      </c>
      <c r="N2741" s="7" t="n"/>
      <c r="T2741" s="7" t="n"/>
      <c r="U2741" s="7">
        <f>IF($C2741="","",S2741*T2741)</f>
        <v/>
      </c>
      <c r="X2741">
        <f>IF($C2741="","",IF($AM2741=1,0,IF($AL2741=1,Settings!$C$6,Settings!$C$7))*100)</f>
        <v/>
      </c>
      <c r="AB2741" s="7" t="n"/>
      <c r="AE2741" s="11" t="n"/>
      <c r="AG2741" s="7">
        <f>IF($C2741="","",U2741*X2741/100)</f>
        <v/>
      </c>
      <c r="AH2741" s="7">
        <f>IF($C2741="","",U2741-AG2741)</f>
        <v/>
      </c>
      <c r="AI2741" s="7">
        <f>IF($C2741="","",AH2741-M2741)</f>
        <v/>
      </c>
      <c r="AJ2741">
        <f>IF($C2741="","",IF(COUNTIF($C$2:$C2741,$C2741)=1,1,0))</f>
        <v/>
      </c>
      <c r="AK2741">
        <f>IF($AJ2741=1,SUMPRODUCT(--($AN$2:$AN$4001&lt;$AN2741))+1,"")</f>
        <v/>
      </c>
      <c r="AL2741">
        <f>IF($C2741="","",IF(OR($Q2741=TRUE(),$Q2741="TRUE"),1,0))</f>
        <v/>
      </c>
      <c r="AM2741">
        <f>IF($C2741="","",IF($W2741="Yes",1,0))</f>
        <v/>
      </c>
      <c r="AN2741">
        <f>IF($AJ2741=1,IFERROR(IF(VALUE($C2741)&lt;100000000,VALUE($C2741),1000000000),IFERROR(IF(VALUE(MID($C2741,2,20))&lt;100000000,VALUE(MID($C2741,2,20)),1000000000),1000000000))+ROW()/100000,"")</f>
        <v/>
      </c>
    </row>
    <row r="2742">
      <c r="E2742" s="11" t="n"/>
      <c r="M2742" s="7">
        <f>IF($C2742="","",L2742*U2742/100)</f>
        <v/>
      </c>
      <c r="N2742" s="7" t="n"/>
      <c r="T2742" s="7" t="n"/>
      <c r="U2742" s="7">
        <f>IF($C2742="","",S2742*T2742)</f>
        <v/>
      </c>
      <c r="X2742">
        <f>IF($C2742="","",IF($AM2742=1,0,IF($AL2742=1,Settings!$C$6,Settings!$C$7))*100)</f>
        <v/>
      </c>
      <c r="AB2742" s="7" t="n"/>
      <c r="AE2742" s="11" t="n"/>
      <c r="AG2742" s="7">
        <f>IF($C2742="","",U2742*X2742/100)</f>
        <v/>
      </c>
      <c r="AH2742" s="7">
        <f>IF($C2742="","",U2742-AG2742)</f>
        <v/>
      </c>
      <c r="AI2742" s="7">
        <f>IF($C2742="","",AH2742-M2742)</f>
        <v/>
      </c>
      <c r="AJ2742">
        <f>IF($C2742="","",IF(COUNTIF($C$2:$C2742,$C2742)=1,1,0))</f>
        <v/>
      </c>
      <c r="AK2742">
        <f>IF($AJ2742=1,SUMPRODUCT(--($AN$2:$AN$4001&lt;$AN2742))+1,"")</f>
        <v/>
      </c>
      <c r="AL2742">
        <f>IF($C2742="","",IF(OR($Q2742=TRUE(),$Q2742="TRUE"),1,0))</f>
        <v/>
      </c>
      <c r="AM2742">
        <f>IF($C2742="","",IF($W2742="Yes",1,0))</f>
        <v/>
      </c>
      <c r="AN2742">
        <f>IF($AJ2742=1,IFERROR(IF(VALUE($C2742)&lt;100000000,VALUE($C2742),1000000000),IFERROR(IF(VALUE(MID($C2742,2,20))&lt;100000000,VALUE(MID($C2742,2,20)),1000000000),1000000000))+ROW()/100000,"")</f>
        <v/>
      </c>
    </row>
    <row r="2743">
      <c r="E2743" s="11" t="n"/>
      <c r="M2743" s="7">
        <f>IF($C2743="","",L2743*U2743/100)</f>
        <v/>
      </c>
      <c r="N2743" s="7" t="n"/>
      <c r="T2743" s="7" t="n"/>
      <c r="U2743" s="7">
        <f>IF($C2743="","",S2743*T2743)</f>
        <v/>
      </c>
      <c r="X2743">
        <f>IF($C2743="","",IF($AM2743=1,0,IF($AL2743=1,Settings!$C$6,Settings!$C$7))*100)</f>
        <v/>
      </c>
      <c r="AB2743" s="7" t="n"/>
      <c r="AE2743" s="11" t="n"/>
      <c r="AG2743" s="7">
        <f>IF($C2743="","",U2743*X2743/100)</f>
        <v/>
      </c>
      <c r="AH2743" s="7">
        <f>IF($C2743="","",U2743-AG2743)</f>
        <v/>
      </c>
      <c r="AI2743" s="7">
        <f>IF($C2743="","",AH2743-M2743)</f>
        <v/>
      </c>
      <c r="AJ2743">
        <f>IF($C2743="","",IF(COUNTIF($C$2:$C2743,$C2743)=1,1,0))</f>
        <v/>
      </c>
      <c r="AK2743">
        <f>IF($AJ2743=1,SUMPRODUCT(--($AN$2:$AN$4001&lt;$AN2743))+1,"")</f>
        <v/>
      </c>
      <c r="AL2743">
        <f>IF($C2743="","",IF(OR($Q2743=TRUE(),$Q2743="TRUE"),1,0))</f>
        <v/>
      </c>
      <c r="AM2743">
        <f>IF($C2743="","",IF($W2743="Yes",1,0))</f>
        <v/>
      </c>
      <c r="AN2743">
        <f>IF($AJ2743=1,IFERROR(IF(VALUE($C2743)&lt;100000000,VALUE($C2743),1000000000),IFERROR(IF(VALUE(MID($C2743,2,20))&lt;100000000,VALUE(MID($C2743,2,20)),1000000000),1000000000))+ROW()/100000,"")</f>
        <v/>
      </c>
    </row>
    <row r="2744">
      <c r="E2744" s="11" t="n"/>
      <c r="M2744" s="7">
        <f>IF($C2744="","",L2744*U2744/100)</f>
        <v/>
      </c>
      <c r="N2744" s="7" t="n"/>
      <c r="T2744" s="7" t="n"/>
      <c r="U2744" s="7">
        <f>IF($C2744="","",S2744*T2744)</f>
        <v/>
      </c>
      <c r="X2744">
        <f>IF($C2744="","",IF($AM2744=1,0,IF($AL2744=1,Settings!$C$6,Settings!$C$7))*100)</f>
        <v/>
      </c>
      <c r="AB2744" s="7" t="n"/>
      <c r="AE2744" s="11" t="n"/>
      <c r="AG2744" s="7">
        <f>IF($C2744="","",U2744*X2744/100)</f>
        <v/>
      </c>
      <c r="AH2744" s="7">
        <f>IF($C2744="","",U2744-AG2744)</f>
        <v/>
      </c>
      <c r="AI2744" s="7">
        <f>IF($C2744="","",AH2744-M2744)</f>
        <v/>
      </c>
      <c r="AJ2744">
        <f>IF($C2744="","",IF(COUNTIF($C$2:$C2744,$C2744)=1,1,0))</f>
        <v/>
      </c>
      <c r="AK2744">
        <f>IF($AJ2744=1,SUMPRODUCT(--($AN$2:$AN$4001&lt;$AN2744))+1,"")</f>
        <v/>
      </c>
      <c r="AL2744">
        <f>IF($C2744="","",IF(OR($Q2744=TRUE(),$Q2744="TRUE"),1,0))</f>
        <v/>
      </c>
      <c r="AM2744">
        <f>IF($C2744="","",IF($W2744="Yes",1,0))</f>
        <v/>
      </c>
      <c r="AN2744">
        <f>IF($AJ2744=1,IFERROR(IF(VALUE($C2744)&lt;100000000,VALUE($C2744),1000000000),IFERROR(IF(VALUE(MID($C2744,2,20))&lt;100000000,VALUE(MID($C2744,2,20)),1000000000),1000000000))+ROW()/100000,"")</f>
        <v/>
      </c>
    </row>
    <row r="2745">
      <c r="E2745" s="11" t="n"/>
      <c r="M2745" s="7">
        <f>IF($C2745="","",L2745*U2745/100)</f>
        <v/>
      </c>
      <c r="N2745" s="7" t="n"/>
      <c r="T2745" s="7" t="n"/>
      <c r="U2745" s="7">
        <f>IF($C2745="","",S2745*T2745)</f>
        <v/>
      </c>
      <c r="X2745">
        <f>IF($C2745="","",IF($AM2745=1,0,IF($AL2745=1,Settings!$C$6,Settings!$C$7))*100)</f>
        <v/>
      </c>
      <c r="AB2745" s="7" t="n"/>
      <c r="AE2745" s="11" t="n"/>
      <c r="AG2745" s="7">
        <f>IF($C2745="","",U2745*X2745/100)</f>
        <v/>
      </c>
      <c r="AH2745" s="7">
        <f>IF($C2745="","",U2745-AG2745)</f>
        <v/>
      </c>
      <c r="AI2745" s="7">
        <f>IF($C2745="","",AH2745-M2745)</f>
        <v/>
      </c>
      <c r="AJ2745">
        <f>IF($C2745="","",IF(COUNTIF($C$2:$C2745,$C2745)=1,1,0))</f>
        <v/>
      </c>
      <c r="AK2745">
        <f>IF($AJ2745=1,SUMPRODUCT(--($AN$2:$AN$4001&lt;$AN2745))+1,"")</f>
        <v/>
      </c>
      <c r="AL2745">
        <f>IF($C2745="","",IF(OR($Q2745=TRUE(),$Q2745="TRUE"),1,0))</f>
        <v/>
      </c>
      <c r="AM2745">
        <f>IF($C2745="","",IF($W2745="Yes",1,0))</f>
        <v/>
      </c>
      <c r="AN2745">
        <f>IF($AJ2745=1,IFERROR(IF(VALUE($C2745)&lt;100000000,VALUE($C2745),1000000000),IFERROR(IF(VALUE(MID($C2745,2,20))&lt;100000000,VALUE(MID($C2745,2,20)),1000000000),1000000000))+ROW()/100000,"")</f>
        <v/>
      </c>
    </row>
    <row r="2746">
      <c r="E2746" s="11" t="n"/>
      <c r="M2746" s="7">
        <f>IF($C2746="","",L2746*U2746/100)</f>
        <v/>
      </c>
      <c r="N2746" s="7" t="n"/>
      <c r="T2746" s="7" t="n"/>
      <c r="U2746" s="7">
        <f>IF($C2746="","",S2746*T2746)</f>
        <v/>
      </c>
      <c r="X2746">
        <f>IF($C2746="","",IF($AM2746=1,0,IF($AL2746=1,Settings!$C$6,Settings!$C$7))*100)</f>
        <v/>
      </c>
      <c r="AB2746" s="7" t="n"/>
      <c r="AE2746" s="11" t="n"/>
      <c r="AG2746" s="7">
        <f>IF($C2746="","",U2746*X2746/100)</f>
        <v/>
      </c>
      <c r="AH2746" s="7">
        <f>IF($C2746="","",U2746-AG2746)</f>
        <v/>
      </c>
      <c r="AI2746" s="7">
        <f>IF($C2746="","",AH2746-M2746)</f>
        <v/>
      </c>
      <c r="AJ2746">
        <f>IF($C2746="","",IF(COUNTIF($C$2:$C2746,$C2746)=1,1,0))</f>
        <v/>
      </c>
      <c r="AK2746">
        <f>IF($AJ2746=1,SUMPRODUCT(--($AN$2:$AN$4001&lt;$AN2746))+1,"")</f>
        <v/>
      </c>
      <c r="AL2746">
        <f>IF($C2746="","",IF(OR($Q2746=TRUE(),$Q2746="TRUE"),1,0))</f>
        <v/>
      </c>
      <c r="AM2746">
        <f>IF($C2746="","",IF($W2746="Yes",1,0))</f>
        <v/>
      </c>
      <c r="AN2746">
        <f>IF($AJ2746=1,IFERROR(IF(VALUE($C2746)&lt;100000000,VALUE($C2746),1000000000),IFERROR(IF(VALUE(MID($C2746,2,20))&lt;100000000,VALUE(MID($C2746,2,20)),1000000000),1000000000))+ROW()/100000,"")</f>
        <v/>
      </c>
    </row>
    <row r="2747">
      <c r="E2747" s="11" t="n"/>
      <c r="M2747" s="7">
        <f>IF($C2747="","",L2747*U2747/100)</f>
        <v/>
      </c>
      <c r="N2747" s="7" t="n"/>
      <c r="T2747" s="7" t="n"/>
      <c r="U2747" s="7">
        <f>IF($C2747="","",S2747*T2747)</f>
        <v/>
      </c>
      <c r="X2747">
        <f>IF($C2747="","",IF($AM2747=1,0,IF($AL2747=1,Settings!$C$6,Settings!$C$7))*100)</f>
        <v/>
      </c>
      <c r="AB2747" s="7" t="n"/>
      <c r="AE2747" s="11" t="n"/>
      <c r="AG2747" s="7">
        <f>IF($C2747="","",U2747*X2747/100)</f>
        <v/>
      </c>
      <c r="AH2747" s="7">
        <f>IF($C2747="","",U2747-AG2747)</f>
        <v/>
      </c>
      <c r="AI2747" s="7">
        <f>IF($C2747="","",AH2747-M2747)</f>
        <v/>
      </c>
      <c r="AJ2747">
        <f>IF($C2747="","",IF(COUNTIF($C$2:$C2747,$C2747)=1,1,0))</f>
        <v/>
      </c>
      <c r="AK2747">
        <f>IF($AJ2747=1,SUMPRODUCT(--($AN$2:$AN$4001&lt;$AN2747))+1,"")</f>
        <v/>
      </c>
      <c r="AL2747">
        <f>IF($C2747="","",IF(OR($Q2747=TRUE(),$Q2747="TRUE"),1,0))</f>
        <v/>
      </c>
      <c r="AM2747">
        <f>IF($C2747="","",IF($W2747="Yes",1,0))</f>
        <v/>
      </c>
      <c r="AN2747">
        <f>IF($AJ2747=1,IFERROR(IF(VALUE($C2747)&lt;100000000,VALUE($C2747),1000000000),IFERROR(IF(VALUE(MID($C2747,2,20))&lt;100000000,VALUE(MID($C2747,2,20)),1000000000),1000000000))+ROW()/100000,"")</f>
        <v/>
      </c>
    </row>
    <row r="2748">
      <c r="E2748" s="11" t="n"/>
      <c r="M2748" s="7">
        <f>IF($C2748="","",L2748*U2748/100)</f>
        <v/>
      </c>
      <c r="N2748" s="7" t="n"/>
      <c r="T2748" s="7" t="n"/>
      <c r="U2748" s="7">
        <f>IF($C2748="","",S2748*T2748)</f>
        <v/>
      </c>
      <c r="X2748">
        <f>IF($C2748="","",IF($AM2748=1,0,IF($AL2748=1,Settings!$C$6,Settings!$C$7))*100)</f>
        <v/>
      </c>
      <c r="AB2748" s="7" t="n"/>
      <c r="AE2748" s="11" t="n"/>
      <c r="AG2748" s="7">
        <f>IF($C2748="","",U2748*X2748/100)</f>
        <v/>
      </c>
      <c r="AH2748" s="7">
        <f>IF($C2748="","",U2748-AG2748)</f>
        <v/>
      </c>
      <c r="AI2748" s="7">
        <f>IF($C2748="","",AH2748-M2748)</f>
        <v/>
      </c>
      <c r="AJ2748">
        <f>IF($C2748="","",IF(COUNTIF($C$2:$C2748,$C2748)=1,1,0))</f>
        <v/>
      </c>
      <c r="AK2748">
        <f>IF($AJ2748=1,SUMPRODUCT(--($AN$2:$AN$4001&lt;$AN2748))+1,"")</f>
        <v/>
      </c>
      <c r="AL2748">
        <f>IF($C2748="","",IF(OR($Q2748=TRUE(),$Q2748="TRUE"),1,0))</f>
        <v/>
      </c>
      <c r="AM2748">
        <f>IF($C2748="","",IF($W2748="Yes",1,0))</f>
        <v/>
      </c>
      <c r="AN2748">
        <f>IF($AJ2748=1,IFERROR(IF(VALUE($C2748)&lt;100000000,VALUE($C2748),1000000000),IFERROR(IF(VALUE(MID($C2748,2,20))&lt;100000000,VALUE(MID($C2748,2,20)),1000000000),1000000000))+ROW()/100000,"")</f>
        <v/>
      </c>
    </row>
    <row r="2749">
      <c r="E2749" s="11" t="n"/>
      <c r="M2749" s="7">
        <f>IF($C2749="","",L2749*U2749/100)</f>
        <v/>
      </c>
      <c r="N2749" s="7" t="n"/>
      <c r="T2749" s="7" t="n"/>
      <c r="U2749" s="7">
        <f>IF($C2749="","",S2749*T2749)</f>
        <v/>
      </c>
      <c r="X2749">
        <f>IF($C2749="","",IF($AM2749=1,0,IF($AL2749=1,Settings!$C$6,Settings!$C$7))*100)</f>
        <v/>
      </c>
      <c r="AB2749" s="7" t="n"/>
      <c r="AE2749" s="11" t="n"/>
      <c r="AG2749" s="7">
        <f>IF($C2749="","",U2749*X2749/100)</f>
        <v/>
      </c>
      <c r="AH2749" s="7">
        <f>IF($C2749="","",U2749-AG2749)</f>
        <v/>
      </c>
      <c r="AI2749" s="7">
        <f>IF($C2749="","",AH2749-M2749)</f>
        <v/>
      </c>
      <c r="AJ2749">
        <f>IF($C2749="","",IF(COUNTIF($C$2:$C2749,$C2749)=1,1,0))</f>
        <v/>
      </c>
      <c r="AK2749">
        <f>IF($AJ2749=1,SUMPRODUCT(--($AN$2:$AN$4001&lt;$AN2749))+1,"")</f>
        <v/>
      </c>
      <c r="AL2749">
        <f>IF($C2749="","",IF(OR($Q2749=TRUE(),$Q2749="TRUE"),1,0))</f>
        <v/>
      </c>
      <c r="AM2749">
        <f>IF($C2749="","",IF($W2749="Yes",1,0))</f>
        <v/>
      </c>
      <c r="AN2749">
        <f>IF($AJ2749=1,IFERROR(IF(VALUE($C2749)&lt;100000000,VALUE($C2749),1000000000),IFERROR(IF(VALUE(MID($C2749,2,20))&lt;100000000,VALUE(MID($C2749,2,20)),1000000000),1000000000))+ROW()/100000,"")</f>
        <v/>
      </c>
    </row>
    <row r="2750">
      <c r="E2750" s="11" t="n"/>
      <c r="M2750" s="7">
        <f>IF($C2750="","",L2750*U2750/100)</f>
        <v/>
      </c>
      <c r="N2750" s="7" t="n"/>
      <c r="T2750" s="7" t="n"/>
      <c r="U2750" s="7">
        <f>IF($C2750="","",S2750*T2750)</f>
        <v/>
      </c>
      <c r="X2750">
        <f>IF($C2750="","",IF($AM2750=1,0,IF($AL2750=1,Settings!$C$6,Settings!$C$7))*100)</f>
        <v/>
      </c>
      <c r="AB2750" s="7" t="n"/>
      <c r="AE2750" s="11" t="n"/>
      <c r="AG2750" s="7">
        <f>IF($C2750="","",U2750*X2750/100)</f>
        <v/>
      </c>
      <c r="AH2750" s="7">
        <f>IF($C2750="","",U2750-AG2750)</f>
        <v/>
      </c>
      <c r="AI2750" s="7">
        <f>IF($C2750="","",AH2750-M2750)</f>
        <v/>
      </c>
      <c r="AJ2750">
        <f>IF($C2750="","",IF(COUNTIF($C$2:$C2750,$C2750)=1,1,0))</f>
        <v/>
      </c>
      <c r="AK2750">
        <f>IF($AJ2750=1,SUMPRODUCT(--($AN$2:$AN$4001&lt;$AN2750))+1,"")</f>
        <v/>
      </c>
      <c r="AL2750">
        <f>IF($C2750="","",IF(OR($Q2750=TRUE(),$Q2750="TRUE"),1,0))</f>
        <v/>
      </c>
      <c r="AM2750">
        <f>IF($C2750="","",IF($W2750="Yes",1,0))</f>
        <v/>
      </c>
      <c r="AN2750">
        <f>IF($AJ2750=1,IFERROR(IF(VALUE($C2750)&lt;100000000,VALUE($C2750),1000000000),IFERROR(IF(VALUE(MID($C2750,2,20))&lt;100000000,VALUE(MID($C2750,2,20)),1000000000),1000000000))+ROW()/100000,"")</f>
        <v/>
      </c>
    </row>
    <row r="2751">
      <c r="E2751" s="11" t="n"/>
      <c r="M2751" s="7">
        <f>IF($C2751="","",L2751*U2751/100)</f>
        <v/>
      </c>
      <c r="N2751" s="7" t="n"/>
      <c r="T2751" s="7" t="n"/>
      <c r="U2751" s="7">
        <f>IF($C2751="","",S2751*T2751)</f>
        <v/>
      </c>
      <c r="X2751">
        <f>IF($C2751="","",IF($AM2751=1,0,IF($AL2751=1,Settings!$C$6,Settings!$C$7))*100)</f>
        <v/>
      </c>
      <c r="AB2751" s="7" t="n"/>
      <c r="AE2751" s="11" t="n"/>
      <c r="AG2751" s="7">
        <f>IF($C2751="","",U2751*X2751/100)</f>
        <v/>
      </c>
      <c r="AH2751" s="7">
        <f>IF($C2751="","",U2751-AG2751)</f>
        <v/>
      </c>
      <c r="AI2751" s="7">
        <f>IF($C2751="","",AH2751-M2751)</f>
        <v/>
      </c>
      <c r="AJ2751">
        <f>IF($C2751="","",IF(COUNTIF($C$2:$C2751,$C2751)=1,1,0))</f>
        <v/>
      </c>
      <c r="AK2751">
        <f>IF($AJ2751=1,SUMPRODUCT(--($AN$2:$AN$4001&lt;$AN2751))+1,"")</f>
        <v/>
      </c>
      <c r="AL2751">
        <f>IF($C2751="","",IF(OR($Q2751=TRUE(),$Q2751="TRUE"),1,0))</f>
        <v/>
      </c>
      <c r="AM2751">
        <f>IF($C2751="","",IF($W2751="Yes",1,0))</f>
        <v/>
      </c>
      <c r="AN2751">
        <f>IF($AJ2751=1,IFERROR(IF(VALUE($C2751)&lt;100000000,VALUE($C2751),1000000000),IFERROR(IF(VALUE(MID($C2751,2,20))&lt;100000000,VALUE(MID($C2751,2,20)),1000000000),1000000000))+ROW()/100000,"")</f>
        <v/>
      </c>
    </row>
    <row r="2752">
      <c r="E2752" s="11" t="n"/>
      <c r="M2752" s="7">
        <f>IF($C2752="","",L2752*U2752/100)</f>
        <v/>
      </c>
      <c r="N2752" s="7" t="n"/>
      <c r="T2752" s="7" t="n"/>
      <c r="U2752" s="7">
        <f>IF($C2752="","",S2752*T2752)</f>
        <v/>
      </c>
      <c r="X2752">
        <f>IF($C2752="","",IF($AM2752=1,0,IF($AL2752=1,Settings!$C$6,Settings!$C$7))*100)</f>
        <v/>
      </c>
      <c r="AB2752" s="7" t="n"/>
      <c r="AE2752" s="11" t="n"/>
      <c r="AG2752" s="7">
        <f>IF($C2752="","",U2752*X2752/100)</f>
        <v/>
      </c>
      <c r="AH2752" s="7">
        <f>IF($C2752="","",U2752-AG2752)</f>
        <v/>
      </c>
      <c r="AI2752" s="7">
        <f>IF($C2752="","",AH2752-M2752)</f>
        <v/>
      </c>
      <c r="AJ2752">
        <f>IF($C2752="","",IF(COUNTIF($C$2:$C2752,$C2752)=1,1,0))</f>
        <v/>
      </c>
      <c r="AK2752">
        <f>IF($AJ2752=1,SUMPRODUCT(--($AN$2:$AN$4001&lt;$AN2752))+1,"")</f>
        <v/>
      </c>
      <c r="AL2752">
        <f>IF($C2752="","",IF(OR($Q2752=TRUE(),$Q2752="TRUE"),1,0))</f>
        <v/>
      </c>
      <c r="AM2752">
        <f>IF($C2752="","",IF($W2752="Yes",1,0))</f>
        <v/>
      </c>
      <c r="AN2752">
        <f>IF($AJ2752=1,IFERROR(IF(VALUE($C2752)&lt;100000000,VALUE($C2752),1000000000),IFERROR(IF(VALUE(MID($C2752,2,20))&lt;100000000,VALUE(MID($C2752,2,20)),1000000000),1000000000))+ROW()/100000,"")</f>
        <v/>
      </c>
    </row>
    <row r="2753">
      <c r="E2753" s="11" t="n"/>
      <c r="M2753" s="7">
        <f>IF($C2753="","",L2753*U2753/100)</f>
        <v/>
      </c>
      <c r="N2753" s="7" t="n"/>
      <c r="T2753" s="7" t="n"/>
      <c r="U2753" s="7">
        <f>IF($C2753="","",S2753*T2753)</f>
        <v/>
      </c>
      <c r="X2753">
        <f>IF($C2753="","",IF($AM2753=1,0,IF($AL2753=1,Settings!$C$6,Settings!$C$7))*100)</f>
        <v/>
      </c>
      <c r="AB2753" s="7" t="n"/>
      <c r="AE2753" s="11" t="n"/>
      <c r="AG2753" s="7">
        <f>IF($C2753="","",U2753*X2753/100)</f>
        <v/>
      </c>
      <c r="AH2753" s="7">
        <f>IF($C2753="","",U2753-AG2753)</f>
        <v/>
      </c>
      <c r="AI2753" s="7">
        <f>IF($C2753="","",AH2753-M2753)</f>
        <v/>
      </c>
      <c r="AJ2753">
        <f>IF($C2753="","",IF(COUNTIF($C$2:$C2753,$C2753)=1,1,0))</f>
        <v/>
      </c>
      <c r="AK2753">
        <f>IF($AJ2753=1,SUMPRODUCT(--($AN$2:$AN$4001&lt;$AN2753))+1,"")</f>
        <v/>
      </c>
      <c r="AL2753">
        <f>IF($C2753="","",IF(OR($Q2753=TRUE(),$Q2753="TRUE"),1,0))</f>
        <v/>
      </c>
      <c r="AM2753">
        <f>IF($C2753="","",IF($W2753="Yes",1,0))</f>
        <v/>
      </c>
      <c r="AN2753">
        <f>IF($AJ2753=1,IFERROR(IF(VALUE($C2753)&lt;100000000,VALUE($C2753),1000000000),IFERROR(IF(VALUE(MID($C2753,2,20))&lt;100000000,VALUE(MID($C2753,2,20)),1000000000),1000000000))+ROW()/100000,"")</f>
        <v/>
      </c>
    </row>
    <row r="2754">
      <c r="E2754" s="11" t="n"/>
      <c r="M2754" s="7">
        <f>IF($C2754="","",L2754*U2754/100)</f>
        <v/>
      </c>
      <c r="N2754" s="7" t="n"/>
      <c r="T2754" s="7" t="n"/>
      <c r="U2754" s="7">
        <f>IF($C2754="","",S2754*T2754)</f>
        <v/>
      </c>
      <c r="X2754">
        <f>IF($C2754="","",IF($AM2754=1,0,IF($AL2754=1,Settings!$C$6,Settings!$C$7))*100)</f>
        <v/>
      </c>
      <c r="AB2754" s="7" t="n"/>
      <c r="AE2754" s="11" t="n"/>
      <c r="AG2754" s="7">
        <f>IF($C2754="","",U2754*X2754/100)</f>
        <v/>
      </c>
      <c r="AH2754" s="7">
        <f>IF($C2754="","",U2754-AG2754)</f>
        <v/>
      </c>
      <c r="AI2754" s="7">
        <f>IF($C2754="","",AH2754-M2754)</f>
        <v/>
      </c>
      <c r="AJ2754">
        <f>IF($C2754="","",IF(COUNTIF($C$2:$C2754,$C2754)=1,1,0))</f>
        <v/>
      </c>
      <c r="AK2754">
        <f>IF($AJ2754=1,SUMPRODUCT(--($AN$2:$AN$4001&lt;$AN2754))+1,"")</f>
        <v/>
      </c>
      <c r="AL2754">
        <f>IF($C2754="","",IF(OR($Q2754=TRUE(),$Q2754="TRUE"),1,0))</f>
        <v/>
      </c>
      <c r="AM2754">
        <f>IF($C2754="","",IF($W2754="Yes",1,0))</f>
        <v/>
      </c>
      <c r="AN2754">
        <f>IF($AJ2754=1,IFERROR(IF(VALUE($C2754)&lt;100000000,VALUE($C2754),1000000000),IFERROR(IF(VALUE(MID($C2754,2,20))&lt;100000000,VALUE(MID($C2754,2,20)),1000000000),1000000000))+ROW()/100000,"")</f>
        <v/>
      </c>
    </row>
    <row r="2755">
      <c r="E2755" s="11" t="n"/>
      <c r="M2755" s="7">
        <f>IF($C2755="","",L2755*U2755/100)</f>
        <v/>
      </c>
      <c r="N2755" s="7" t="n"/>
      <c r="T2755" s="7" t="n"/>
      <c r="U2755" s="7">
        <f>IF($C2755="","",S2755*T2755)</f>
        <v/>
      </c>
      <c r="X2755">
        <f>IF($C2755="","",IF($AM2755=1,0,IF($AL2755=1,Settings!$C$6,Settings!$C$7))*100)</f>
        <v/>
      </c>
      <c r="AB2755" s="7" t="n"/>
      <c r="AE2755" s="11" t="n"/>
      <c r="AG2755" s="7">
        <f>IF($C2755="","",U2755*X2755/100)</f>
        <v/>
      </c>
      <c r="AH2755" s="7">
        <f>IF($C2755="","",U2755-AG2755)</f>
        <v/>
      </c>
      <c r="AI2755" s="7">
        <f>IF($C2755="","",AH2755-M2755)</f>
        <v/>
      </c>
      <c r="AJ2755">
        <f>IF($C2755="","",IF(COUNTIF($C$2:$C2755,$C2755)=1,1,0))</f>
        <v/>
      </c>
      <c r="AK2755">
        <f>IF($AJ2755=1,SUMPRODUCT(--($AN$2:$AN$4001&lt;$AN2755))+1,"")</f>
        <v/>
      </c>
      <c r="AL2755">
        <f>IF($C2755="","",IF(OR($Q2755=TRUE(),$Q2755="TRUE"),1,0))</f>
        <v/>
      </c>
      <c r="AM2755">
        <f>IF($C2755="","",IF($W2755="Yes",1,0))</f>
        <v/>
      </c>
      <c r="AN2755">
        <f>IF($AJ2755=1,IFERROR(IF(VALUE($C2755)&lt;100000000,VALUE($C2755),1000000000),IFERROR(IF(VALUE(MID($C2755,2,20))&lt;100000000,VALUE(MID($C2755,2,20)),1000000000),1000000000))+ROW()/100000,"")</f>
        <v/>
      </c>
    </row>
    <row r="2756">
      <c r="E2756" s="11" t="n"/>
      <c r="M2756" s="7">
        <f>IF($C2756="","",L2756*U2756/100)</f>
        <v/>
      </c>
      <c r="N2756" s="7" t="n"/>
      <c r="T2756" s="7" t="n"/>
      <c r="U2756" s="7">
        <f>IF($C2756="","",S2756*T2756)</f>
        <v/>
      </c>
      <c r="X2756">
        <f>IF($C2756="","",IF($AM2756=1,0,IF($AL2756=1,Settings!$C$6,Settings!$C$7))*100)</f>
        <v/>
      </c>
      <c r="AB2756" s="7" t="n"/>
      <c r="AE2756" s="11" t="n"/>
      <c r="AG2756" s="7">
        <f>IF($C2756="","",U2756*X2756/100)</f>
        <v/>
      </c>
      <c r="AH2756" s="7">
        <f>IF($C2756="","",U2756-AG2756)</f>
        <v/>
      </c>
      <c r="AI2756" s="7">
        <f>IF($C2756="","",AH2756-M2756)</f>
        <v/>
      </c>
      <c r="AJ2756">
        <f>IF($C2756="","",IF(COUNTIF($C$2:$C2756,$C2756)=1,1,0))</f>
        <v/>
      </c>
      <c r="AK2756">
        <f>IF($AJ2756=1,SUMPRODUCT(--($AN$2:$AN$4001&lt;$AN2756))+1,"")</f>
        <v/>
      </c>
      <c r="AL2756">
        <f>IF($C2756="","",IF(OR($Q2756=TRUE(),$Q2756="TRUE"),1,0))</f>
        <v/>
      </c>
      <c r="AM2756">
        <f>IF($C2756="","",IF($W2756="Yes",1,0))</f>
        <v/>
      </c>
      <c r="AN2756">
        <f>IF($AJ2756=1,IFERROR(IF(VALUE($C2756)&lt;100000000,VALUE($C2756),1000000000),IFERROR(IF(VALUE(MID($C2756,2,20))&lt;100000000,VALUE(MID($C2756,2,20)),1000000000),1000000000))+ROW()/100000,"")</f>
        <v/>
      </c>
    </row>
    <row r="2757">
      <c r="E2757" s="11" t="n"/>
      <c r="M2757" s="7">
        <f>IF($C2757="","",L2757*U2757/100)</f>
        <v/>
      </c>
      <c r="N2757" s="7" t="n"/>
      <c r="T2757" s="7" t="n"/>
      <c r="U2757" s="7">
        <f>IF($C2757="","",S2757*T2757)</f>
        <v/>
      </c>
      <c r="X2757">
        <f>IF($C2757="","",IF($AM2757=1,0,IF($AL2757=1,Settings!$C$6,Settings!$C$7))*100)</f>
        <v/>
      </c>
      <c r="AB2757" s="7" t="n"/>
      <c r="AE2757" s="11" t="n"/>
      <c r="AG2757" s="7">
        <f>IF($C2757="","",U2757*X2757/100)</f>
        <v/>
      </c>
      <c r="AH2757" s="7">
        <f>IF($C2757="","",U2757-AG2757)</f>
        <v/>
      </c>
      <c r="AI2757" s="7">
        <f>IF($C2757="","",AH2757-M2757)</f>
        <v/>
      </c>
      <c r="AJ2757">
        <f>IF($C2757="","",IF(COUNTIF($C$2:$C2757,$C2757)=1,1,0))</f>
        <v/>
      </c>
      <c r="AK2757">
        <f>IF($AJ2757=1,SUMPRODUCT(--($AN$2:$AN$4001&lt;$AN2757))+1,"")</f>
        <v/>
      </c>
      <c r="AL2757">
        <f>IF($C2757="","",IF(OR($Q2757=TRUE(),$Q2757="TRUE"),1,0))</f>
        <v/>
      </c>
      <c r="AM2757">
        <f>IF($C2757="","",IF($W2757="Yes",1,0))</f>
        <v/>
      </c>
      <c r="AN2757">
        <f>IF($AJ2757=1,IFERROR(IF(VALUE($C2757)&lt;100000000,VALUE($C2757),1000000000),IFERROR(IF(VALUE(MID($C2757,2,20))&lt;100000000,VALUE(MID($C2757,2,20)),1000000000),1000000000))+ROW()/100000,"")</f>
        <v/>
      </c>
    </row>
    <row r="2758">
      <c r="E2758" s="11" t="n"/>
      <c r="M2758" s="7">
        <f>IF($C2758="","",L2758*U2758/100)</f>
        <v/>
      </c>
      <c r="N2758" s="7" t="n"/>
      <c r="T2758" s="7" t="n"/>
      <c r="U2758" s="7">
        <f>IF($C2758="","",S2758*T2758)</f>
        <v/>
      </c>
      <c r="X2758">
        <f>IF($C2758="","",IF($AM2758=1,0,IF($AL2758=1,Settings!$C$6,Settings!$C$7))*100)</f>
        <v/>
      </c>
      <c r="AB2758" s="7" t="n"/>
      <c r="AE2758" s="11" t="n"/>
      <c r="AG2758" s="7">
        <f>IF($C2758="","",U2758*X2758/100)</f>
        <v/>
      </c>
      <c r="AH2758" s="7">
        <f>IF($C2758="","",U2758-AG2758)</f>
        <v/>
      </c>
      <c r="AI2758" s="7">
        <f>IF($C2758="","",AH2758-M2758)</f>
        <v/>
      </c>
      <c r="AJ2758">
        <f>IF($C2758="","",IF(COUNTIF($C$2:$C2758,$C2758)=1,1,0))</f>
        <v/>
      </c>
      <c r="AK2758">
        <f>IF($AJ2758=1,SUMPRODUCT(--($AN$2:$AN$4001&lt;$AN2758))+1,"")</f>
        <v/>
      </c>
      <c r="AL2758">
        <f>IF($C2758="","",IF(OR($Q2758=TRUE(),$Q2758="TRUE"),1,0))</f>
        <v/>
      </c>
      <c r="AM2758">
        <f>IF($C2758="","",IF($W2758="Yes",1,0))</f>
        <v/>
      </c>
      <c r="AN2758">
        <f>IF($AJ2758=1,IFERROR(IF(VALUE($C2758)&lt;100000000,VALUE($C2758),1000000000),IFERROR(IF(VALUE(MID($C2758,2,20))&lt;100000000,VALUE(MID($C2758,2,20)),1000000000),1000000000))+ROW()/100000,"")</f>
        <v/>
      </c>
    </row>
    <row r="2759">
      <c r="E2759" s="11" t="n"/>
      <c r="M2759" s="7">
        <f>IF($C2759="","",L2759*U2759/100)</f>
        <v/>
      </c>
      <c r="N2759" s="7" t="n"/>
      <c r="T2759" s="7" t="n"/>
      <c r="U2759" s="7">
        <f>IF($C2759="","",S2759*T2759)</f>
        <v/>
      </c>
      <c r="X2759">
        <f>IF($C2759="","",IF($AM2759=1,0,IF($AL2759=1,Settings!$C$6,Settings!$C$7))*100)</f>
        <v/>
      </c>
      <c r="AB2759" s="7" t="n"/>
      <c r="AE2759" s="11" t="n"/>
      <c r="AG2759" s="7">
        <f>IF($C2759="","",U2759*X2759/100)</f>
        <v/>
      </c>
      <c r="AH2759" s="7">
        <f>IF($C2759="","",U2759-AG2759)</f>
        <v/>
      </c>
      <c r="AI2759" s="7">
        <f>IF($C2759="","",AH2759-M2759)</f>
        <v/>
      </c>
      <c r="AJ2759">
        <f>IF($C2759="","",IF(COUNTIF($C$2:$C2759,$C2759)=1,1,0))</f>
        <v/>
      </c>
      <c r="AK2759">
        <f>IF($AJ2759=1,SUMPRODUCT(--($AN$2:$AN$4001&lt;$AN2759))+1,"")</f>
        <v/>
      </c>
      <c r="AL2759">
        <f>IF($C2759="","",IF(OR($Q2759=TRUE(),$Q2759="TRUE"),1,0))</f>
        <v/>
      </c>
      <c r="AM2759">
        <f>IF($C2759="","",IF($W2759="Yes",1,0))</f>
        <v/>
      </c>
      <c r="AN2759">
        <f>IF($AJ2759=1,IFERROR(IF(VALUE($C2759)&lt;100000000,VALUE($C2759),1000000000),IFERROR(IF(VALUE(MID($C2759,2,20))&lt;100000000,VALUE(MID($C2759,2,20)),1000000000),1000000000))+ROW()/100000,"")</f>
        <v/>
      </c>
    </row>
    <row r="2760">
      <c r="E2760" s="11" t="n"/>
      <c r="M2760" s="7">
        <f>IF($C2760="","",L2760*U2760/100)</f>
        <v/>
      </c>
      <c r="N2760" s="7" t="n"/>
      <c r="T2760" s="7" t="n"/>
      <c r="U2760" s="7">
        <f>IF($C2760="","",S2760*T2760)</f>
        <v/>
      </c>
      <c r="X2760">
        <f>IF($C2760="","",IF($AM2760=1,0,IF($AL2760=1,Settings!$C$6,Settings!$C$7))*100)</f>
        <v/>
      </c>
      <c r="AB2760" s="7" t="n"/>
      <c r="AE2760" s="11" t="n"/>
      <c r="AG2760" s="7">
        <f>IF($C2760="","",U2760*X2760/100)</f>
        <v/>
      </c>
      <c r="AH2760" s="7">
        <f>IF($C2760="","",U2760-AG2760)</f>
        <v/>
      </c>
      <c r="AI2760" s="7">
        <f>IF($C2760="","",AH2760-M2760)</f>
        <v/>
      </c>
      <c r="AJ2760">
        <f>IF($C2760="","",IF(COUNTIF($C$2:$C2760,$C2760)=1,1,0))</f>
        <v/>
      </c>
      <c r="AK2760">
        <f>IF($AJ2760=1,SUMPRODUCT(--($AN$2:$AN$4001&lt;$AN2760))+1,"")</f>
        <v/>
      </c>
      <c r="AL2760">
        <f>IF($C2760="","",IF(OR($Q2760=TRUE(),$Q2760="TRUE"),1,0))</f>
        <v/>
      </c>
      <c r="AM2760">
        <f>IF($C2760="","",IF($W2760="Yes",1,0))</f>
        <v/>
      </c>
      <c r="AN2760">
        <f>IF($AJ2760=1,IFERROR(IF(VALUE($C2760)&lt;100000000,VALUE($C2760),1000000000),IFERROR(IF(VALUE(MID($C2760,2,20))&lt;100000000,VALUE(MID($C2760,2,20)),1000000000),1000000000))+ROW()/100000,"")</f>
        <v/>
      </c>
    </row>
    <row r="2761">
      <c r="E2761" s="11" t="n"/>
      <c r="M2761" s="7">
        <f>IF($C2761="","",L2761*U2761/100)</f>
        <v/>
      </c>
      <c r="N2761" s="7" t="n"/>
      <c r="T2761" s="7" t="n"/>
      <c r="U2761" s="7">
        <f>IF($C2761="","",S2761*T2761)</f>
        <v/>
      </c>
      <c r="X2761">
        <f>IF($C2761="","",IF($AM2761=1,0,IF($AL2761=1,Settings!$C$6,Settings!$C$7))*100)</f>
        <v/>
      </c>
      <c r="AB2761" s="7" t="n"/>
      <c r="AE2761" s="11" t="n"/>
      <c r="AG2761" s="7">
        <f>IF($C2761="","",U2761*X2761/100)</f>
        <v/>
      </c>
      <c r="AH2761" s="7">
        <f>IF($C2761="","",U2761-AG2761)</f>
        <v/>
      </c>
      <c r="AI2761" s="7">
        <f>IF($C2761="","",AH2761-M2761)</f>
        <v/>
      </c>
      <c r="AJ2761">
        <f>IF($C2761="","",IF(COUNTIF($C$2:$C2761,$C2761)=1,1,0))</f>
        <v/>
      </c>
      <c r="AK2761">
        <f>IF($AJ2761=1,SUMPRODUCT(--($AN$2:$AN$4001&lt;$AN2761))+1,"")</f>
        <v/>
      </c>
      <c r="AL2761">
        <f>IF($C2761="","",IF(OR($Q2761=TRUE(),$Q2761="TRUE"),1,0))</f>
        <v/>
      </c>
      <c r="AM2761">
        <f>IF($C2761="","",IF($W2761="Yes",1,0))</f>
        <v/>
      </c>
      <c r="AN2761">
        <f>IF($AJ2761=1,IFERROR(IF(VALUE($C2761)&lt;100000000,VALUE($C2761),1000000000),IFERROR(IF(VALUE(MID($C2761,2,20))&lt;100000000,VALUE(MID($C2761,2,20)),1000000000),1000000000))+ROW()/100000,"")</f>
        <v/>
      </c>
    </row>
    <row r="2762">
      <c r="E2762" s="11" t="n"/>
      <c r="M2762" s="7">
        <f>IF($C2762="","",L2762*U2762/100)</f>
        <v/>
      </c>
      <c r="N2762" s="7" t="n"/>
      <c r="T2762" s="7" t="n"/>
      <c r="U2762" s="7">
        <f>IF($C2762="","",S2762*T2762)</f>
        <v/>
      </c>
      <c r="X2762">
        <f>IF($C2762="","",IF($AM2762=1,0,IF($AL2762=1,Settings!$C$6,Settings!$C$7))*100)</f>
        <v/>
      </c>
      <c r="AB2762" s="7" t="n"/>
      <c r="AE2762" s="11" t="n"/>
      <c r="AG2762" s="7">
        <f>IF($C2762="","",U2762*X2762/100)</f>
        <v/>
      </c>
      <c r="AH2762" s="7">
        <f>IF($C2762="","",U2762-AG2762)</f>
        <v/>
      </c>
      <c r="AI2762" s="7">
        <f>IF($C2762="","",AH2762-M2762)</f>
        <v/>
      </c>
      <c r="AJ2762">
        <f>IF($C2762="","",IF(COUNTIF($C$2:$C2762,$C2762)=1,1,0))</f>
        <v/>
      </c>
      <c r="AK2762">
        <f>IF($AJ2762=1,SUMPRODUCT(--($AN$2:$AN$4001&lt;$AN2762))+1,"")</f>
        <v/>
      </c>
      <c r="AL2762">
        <f>IF($C2762="","",IF(OR($Q2762=TRUE(),$Q2762="TRUE"),1,0))</f>
        <v/>
      </c>
      <c r="AM2762">
        <f>IF($C2762="","",IF($W2762="Yes",1,0))</f>
        <v/>
      </c>
      <c r="AN2762">
        <f>IF($AJ2762=1,IFERROR(IF(VALUE($C2762)&lt;100000000,VALUE($C2762),1000000000),IFERROR(IF(VALUE(MID($C2762,2,20))&lt;100000000,VALUE(MID($C2762,2,20)),1000000000),1000000000))+ROW()/100000,"")</f>
        <v/>
      </c>
    </row>
    <row r="2763">
      <c r="E2763" s="11" t="n"/>
      <c r="M2763" s="7">
        <f>IF($C2763="","",L2763*U2763/100)</f>
        <v/>
      </c>
      <c r="N2763" s="7" t="n"/>
      <c r="T2763" s="7" t="n"/>
      <c r="U2763" s="7">
        <f>IF($C2763="","",S2763*T2763)</f>
        <v/>
      </c>
      <c r="X2763">
        <f>IF($C2763="","",IF($AM2763=1,0,IF($AL2763=1,Settings!$C$6,Settings!$C$7))*100)</f>
        <v/>
      </c>
      <c r="AB2763" s="7" t="n"/>
      <c r="AE2763" s="11" t="n"/>
      <c r="AG2763" s="7">
        <f>IF($C2763="","",U2763*X2763/100)</f>
        <v/>
      </c>
      <c r="AH2763" s="7">
        <f>IF($C2763="","",U2763-AG2763)</f>
        <v/>
      </c>
      <c r="AI2763" s="7">
        <f>IF($C2763="","",AH2763-M2763)</f>
        <v/>
      </c>
      <c r="AJ2763">
        <f>IF($C2763="","",IF(COUNTIF($C$2:$C2763,$C2763)=1,1,0))</f>
        <v/>
      </c>
      <c r="AK2763">
        <f>IF($AJ2763=1,SUMPRODUCT(--($AN$2:$AN$4001&lt;$AN2763))+1,"")</f>
        <v/>
      </c>
      <c r="AL2763">
        <f>IF($C2763="","",IF(OR($Q2763=TRUE(),$Q2763="TRUE"),1,0))</f>
        <v/>
      </c>
      <c r="AM2763">
        <f>IF($C2763="","",IF($W2763="Yes",1,0))</f>
        <v/>
      </c>
      <c r="AN2763">
        <f>IF($AJ2763=1,IFERROR(IF(VALUE($C2763)&lt;100000000,VALUE($C2763),1000000000),IFERROR(IF(VALUE(MID($C2763,2,20))&lt;100000000,VALUE(MID($C2763,2,20)),1000000000),1000000000))+ROW()/100000,"")</f>
        <v/>
      </c>
    </row>
    <row r="2764">
      <c r="E2764" s="11" t="n"/>
      <c r="M2764" s="7">
        <f>IF($C2764="","",L2764*U2764/100)</f>
        <v/>
      </c>
      <c r="N2764" s="7" t="n"/>
      <c r="T2764" s="7" t="n"/>
      <c r="U2764" s="7">
        <f>IF($C2764="","",S2764*T2764)</f>
        <v/>
      </c>
      <c r="X2764">
        <f>IF($C2764="","",IF($AM2764=1,0,IF($AL2764=1,Settings!$C$6,Settings!$C$7))*100)</f>
        <v/>
      </c>
      <c r="AB2764" s="7" t="n"/>
      <c r="AE2764" s="11" t="n"/>
      <c r="AG2764" s="7">
        <f>IF($C2764="","",U2764*X2764/100)</f>
        <v/>
      </c>
      <c r="AH2764" s="7">
        <f>IF($C2764="","",U2764-AG2764)</f>
        <v/>
      </c>
      <c r="AI2764" s="7">
        <f>IF($C2764="","",AH2764-M2764)</f>
        <v/>
      </c>
      <c r="AJ2764">
        <f>IF($C2764="","",IF(COUNTIF($C$2:$C2764,$C2764)=1,1,0))</f>
        <v/>
      </c>
      <c r="AK2764">
        <f>IF($AJ2764=1,SUMPRODUCT(--($AN$2:$AN$4001&lt;$AN2764))+1,"")</f>
        <v/>
      </c>
      <c r="AL2764">
        <f>IF($C2764="","",IF(OR($Q2764=TRUE(),$Q2764="TRUE"),1,0))</f>
        <v/>
      </c>
      <c r="AM2764">
        <f>IF($C2764="","",IF($W2764="Yes",1,0))</f>
        <v/>
      </c>
      <c r="AN2764">
        <f>IF($AJ2764=1,IFERROR(IF(VALUE($C2764)&lt;100000000,VALUE($C2764),1000000000),IFERROR(IF(VALUE(MID($C2764,2,20))&lt;100000000,VALUE(MID($C2764,2,20)),1000000000),1000000000))+ROW()/100000,"")</f>
        <v/>
      </c>
    </row>
    <row r="2765">
      <c r="E2765" s="11" t="n"/>
      <c r="M2765" s="7">
        <f>IF($C2765="","",L2765*U2765/100)</f>
        <v/>
      </c>
      <c r="N2765" s="7" t="n"/>
      <c r="T2765" s="7" t="n"/>
      <c r="U2765" s="7">
        <f>IF($C2765="","",S2765*T2765)</f>
        <v/>
      </c>
      <c r="X2765">
        <f>IF($C2765="","",IF($AM2765=1,0,IF($AL2765=1,Settings!$C$6,Settings!$C$7))*100)</f>
        <v/>
      </c>
      <c r="AB2765" s="7" t="n"/>
      <c r="AE2765" s="11" t="n"/>
      <c r="AG2765" s="7">
        <f>IF($C2765="","",U2765*X2765/100)</f>
        <v/>
      </c>
      <c r="AH2765" s="7">
        <f>IF($C2765="","",U2765-AG2765)</f>
        <v/>
      </c>
      <c r="AI2765" s="7">
        <f>IF($C2765="","",AH2765-M2765)</f>
        <v/>
      </c>
      <c r="AJ2765">
        <f>IF($C2765="","",IF(COUNTIF($C$2:$C2765,$C2765)=1,1,0))</f>
        <v/>
      </c>
      <c r="AK2765">
        <f>IF($AJ2765=1,SUMPRODUCT(--($AN$2:$AN$4001&lt;$AN2765))+1,"")</f>
        <v/>
      </c>
      <c r="AL2765">
        <f>IF($C2765="","",IF(OR($Q2765=TRUE(),$Q2765="TRUE"),1,0))</f>
        <v/>
      </c>
      <c r="AM2765">
        <f>IF($C2765="","",IF($W2765="Yes",1,0))</f>
        <v/>
      </c>
      <c r="AN2765">
        <f>IF($AJ2765=1,IFERROR(IF(VALUE($C2765)&lt;100000000,VALUE($C2765),1000000000),IFERROR(IF(VALUE(MID($C2765,2,20))&lt;100000000,VALUE(MID($C2765,2,20)),1000000000),1000000000))+ROW()/100000,"")</f>
        <v/>
      </c>
    </row>
    <row r="2766">
      <c r="E2766" s="11" t="n"/>
      <c r="M2766" s="7">
        <f>IF($C2766="","",L2766*U2766/100)</f>
        <v/>
      </c>
      <c r="N2766" s="7" t="n"/>
      <c r="T2766" s="7" t="n"/>
      <c r="U2766" s="7">
        <f>IF($C2766="","",S2766*T2766)</f>
        <v/>
      </c>
      <c r="X2766">
        <f>IF($C2766="","",IF($AM2766=1,0,IF($AL2766=1,Settings!$C$6,Settings!$C$7))*100)</f>
        <v/>
      </c>
      <c r="AB2766" s="7" t="n"/>
      <c r="AE2766" s="11" t="n"/>
      <c r="AG2766" s="7">
        <f>IF($C2766="","",U2766*X2766/100)</f>
        <v/>
      </c>
      <c r="AH2766" s="7">
        <f>IF($C2766="","",U2766-AG2766)</f>
        <v/>
      </c>
      <c r="AI2766" s="7">
        <f>IF($C2766="","",AH2766-M2766)</f>
        <v/>
      </c>
      <c r="AJ2766">
        <f>IF($C2766="","",IF(COUNTIF($C$2:$C2766,$C2766)=1,1,0))</f>
        <v/>
      </c>
      <c r="AK2766">
        <f>IF($AJ2766=1,SUMPRODUCT(--($AN$2:$AN$4001&lt;$AN2766))+1,"")</f>
        <v/>
      </c>
      <c r="AL2766">
        <f>IF($C2766="","",IF(OR($Q2766=TRUE(),$Q2766="TRUE"),1,0))</f>
        <v/>
      </c>
      <c r="AM2766">
        <f>IF($C2766="","",IF($W2766="Yes",1,0))</f>
        <v/>
      </c>
      <c r="AN2766">
        <f>IF($AJ2766=1,IFERROR(IF(VALUE($C2766)&lt;100000000,VALUE($C2766),1000000000),IFERROR(IF(VALUE(MID($C2766,2,20))&lt;100000000,VALUE(MID($C2766,2,20)),1000000000),1000000000))+ROW()/100000,"")</f>
        <v/>
      </c>
    </row>
    <row r="2767">
      <c r="E2767" s="11" t="n"/>
      <c r="M2767" s="7">
        <f>IF($C2767="","",L2767*U2767/100)</f>
        <v/>
      </c>
      <c r="N2767" s="7" t="n"/>
      <c r="T2767" s="7" t="n"/>
      <c r="U2767" s="7">
        <f>IF($C2767="","",S2767*T2767)</f>
        <v/>
      </c>
      <c r="X2767">
        <f>IF($C2767="","",IF($AM2767=1,0,IF($AL2767=1,Settings!$C$6,Settings!$C$7))*100)</f>
        <v/>
      </c>
      <c r="AB2767" s="7" t="n"/>
      <c r="AE2767" s="11" t="n"/>
      <c r="AG2767" s="7">
        <f>IF($C2767="","",U2767*X2767/100)</f>
        <v/>
      </c>
      <c r="AH2767" s="7">
        <f>IF($C2767="","",U2767-AG2767)</f>
        <v/>
      </c>
      <c r="AI2767" s="7">
        <f>IF($C2767="","",AH2767-M2767)</f>
        <v/>
      </c>
      <c r="AJ2767">
        <f>IF($C2767="","",IF(COUNTIF($C$2:$C2767,$C2767)=1,1,0))</f>
        <v/>
      </c>
      <c r="AK2767">
        <f>IF($AJ2767=1,SUMPRODUCT(--($AN$2:$AN$4001&lt;$AN2767))+1,"")</f>
        <v/>
      </c>
      <c r="AL2767">
        <f>IF($C2767="","",IF(OR($Q2767=TRUE(),$Q2767="TRUE"),1,0))</f>
        <v/>
      </c>
      <c r="AM2767">
        <f>IF($C2767="","",IF($W2767="Yes",1,0))</f>
        <v/>
      </c>
      <c r="AN2767">
        <f>IF($AJ2767=1,IFERROR(IF(VALUE($C2767)&lt;100000000,VALUE($C2767),1000000000),IFERROR(IF(VALUE(MID($C2767,2,20))&lt;100000000,VALUE(MID($C2767,2,20)),1000000000),1000000000))+ROW()/100000,"")</f>
        <v/>
      </c>
    </row>
    <row r="2768">
      <c r="E2768" s="11" t="n"/>
      <c r="M2768" s="7">
        <f>IF($C2768="","",L2768*U2768/100)</f>
        <v/>
      </c>
      <c r="N2768" s="7" t="n"/>
      <c r="T2768" s="7" t="n"/>
      <c r="U2768" s="7">
        <f>IF($C2768="","",S2768*T2768)</f>
        <v/>
      </c>
      <c r="X2768">
        <f>IF($C2768="","",IF($AM2768=1,0,IF($AL2768=1,Settings!$C$6,Settings!$C$7))*100)</f>
        <v/>
      </c>
      <c r="AB2768" s="7" t="n"/>
      <c r="AE2768" s="11" t="n"/>
      <c r="AG2768" s="7">
        <f>IF($C2768="","",U2768*X2768/100)</f>
        <v/>
      </c>
      <c r="AH2768" s="7">
        <f>IF($C2768="","",U2768-AG2768)</f>
        <v/>
      </c>
      <c r="AI2768" s="7">
        <f>IF($C2768="","",AH2768-M2768)</f>
        <v/>
      </c>
      <c r="AJ2768">
        <f>IF($C2768="","",IF(COUNTIF($C$2:$C2768,$C2768)=1,1,0))</f>
        <v/>
      </c>
      <c r="AK2768">
        <f>IF($AJ2768=1,SUMPRODUCT(--($AN$2:$AN$4001&lt;$AN2768))+1,"")</f>
        <v/>
      </c>
      <c r="AL2768">
        <f>IF($C2768="","",IF(OR($Q2768=TRUE(),$Q2768="TRUE"),1,0))</f>
        <v/>
      </c>
      <c r="AM2768">
        <f>IF($C2768="","",IF($W2768="Yes",1,0))</f>
        <v/>
      </c>
      <c r="AN2768">
        <f>IF($AJ2768=1,IFERROR(IF(VALUE($C2768)&lt;100000000,VALUE($C2768),1000000000),IFERROR(IF(VALUE(MID($C2768,2,20))&lt;100000000,VALUE(MID($C2768,2,20)),1000000000),1000000000))+ROW()/100000,"")</f>
        <v/>
      </c>
    </row>
    <row r="2769">
      <c r="E2769" s="11" t="n"/>
      <c r="M2769" s="7">
        <f>IF($C2769="","",L2769*U2769/100)</f>
        <v/>
      </c>
      <c r="N2769" s="7" t="n"/>
      <c r="T2769" s="7" t="n"/>
      <c r="U2769" s="7">
        <f>IF($C2769="","",S2769*T2769)</f>
        <v/>
      </c>
      <c r="X2769">
        <f>IF($C2769="","",IF($AM2769=1,0,IF($AL2769=1,Settings!$C$6,Settings!$C$7))*100)</f>
        <v/>
      </c>
      <c r="AB2769" s="7" t="n"/>
      <c r="AE2769" s="11" t="n"/>
      <c r="AG2769" s="7">
        <f>IF($C2769="","",U2769*X2769/100)</f>
        <v/>
      </c>
      <c r="AH2769" s="7">
        <f>IF($C2769="","",U2769-AG2769)</f>
        <v/>
      </c>
      <c r="AI2769" s="7">
        <f>IF($C2769="","",AH2769-M2769)</f>
        <v/>
      </c>
      <c r="AJ2769">
        <f>IF($C2769="","",IF(COUNTIF($C$2:$C2769,$C2769)=1,1,0))</f>
        <v/>
      </c>
      <c r="AK2769">
        <f>IF($AJ2769=1,SUMPRODUCT(--($AN$2:$AN$4001&lt;$AN2769))+1,"")</f>
        <v/>
      </c>
      <c r="AL2769">
        <f>IF($C2769="","",IF(OR($Q2769=TRUE(),$Q2769="TRUE"),1,0))</f>
        <v/>
      </c>
      <c r="AM2769">
        <f>IF($C2769="","",IF($W2769="Yes",1,0))</f>
        <v/>
      </c>
      <c r="AN2769">
        <f>IF($AJ2769=1,IFERROR(IF(VALUE($C2769)&lt;100000000,VALUE($C2769),1000000000),IFERROR(IF(VALUE(MID($C2769,2,20))&lt;100000000,VALUE(MID($C2769,2,20)),1000000000),1000000000))+ROW()/100000,"")</f>
        <v/>
      </c>
    </row>
    <row r="2770">
      <c r="E2770" s="11" t="n"/>
      <c r="M2770" s="7">
        <f>IF($C2770="","",L2770*U2770/100)</f>
        <v/>
      </c>
      <c r="N2770" s="7" t="n"/>
      <c r="T2770" s="7" t="n"/>
      <c r="U2770" s="7">
        <f>IF($C2770="","",S2770*T2770)</f>
        <v/>
      </c>
      <c r="X2770">
        <f>IF($C2770="","",IF($AM2770=1,0,IF($AL2770=1,Settings!$C$6,Settings!$C$7))*100)</f>
        <v/>
      </c>
      <c r="AB2770" s="7" t="n"/>
      <c r="AE2770" s="11" t="n"/>
      <c r="AG2770" s="7">
        <f>IF($C2770="","",U2770*X2770/100)</f>
        <v/>
      </c>
      <c r="AH2770" s="7">
        <f>IF($C2770="","",U2770-AG2770)</f>
        <v/>
      </c>
      <c r="AI2770" s="7">
        <f>IF($C2770="","",AH2770-M2770)</f>
        <v/>
      </c>
      <c r="AJ2770">
        <f>IF($C2770="","",IF(COUNTIF($C$2:$C2770,$C2770)=1,1,0))</f>
        <v/>
      </c>
      <c r="AK2770">
        <f>IF($AJ2770=1,SUMPRODUCT(--($AN$2:$AN$4001&lt;$AN2770))+1,"")</f>
        <v/>
      </c>
      <c r="AL2770">
        <f>IF($C2770="","",IF(OR($Q2770=TRUE(),$Q2770="TRUE"),1,0))</f>
        <v/>
      </c>
      <c r="AM2770">
        <f>IF($C2770="","",IF($W2770="Yes",1,0))</f>
        <v/>
      </c>
      <c r="AN2770">
        <f>IF($AJ2770=1,IFERROR(IF(VALUE($C2770)&lt;100000000,VALUE($C2770),1000000000),IFERROR(IF(VALUE(MID($C2770,2,20))&lt;100000000,VALUE(MID($C2770,2,20)),1000000000),1000000000))+ROW()/100000,"")</f>
        <v/>
      </c>
    </row>
    <row r="2771">
      <c r="E2771" s="11" t="n"/>
      <c r="M2771" s="7">
        <f>IF($C2771="","",L2771*U2771/100)</f>
        <v/>
      </c>
      <c r="N2771" s="7" t="n"/>
      <c r="T2771" s="7" t="n"/>
      <c r="U2771" s="7">
        <f>IF($C2771="","",S2771*T2771)</f>
        <v/>
      </c>
      <c r="X2771">
        <f>IF($C2771="","",IF($AM2771=1,0,IF($AL2771=1,Settings!$C$6,Settings!$C$7))*100)</f>
        <v/>
      </c>
      <c r="AB2771" s="7" t="n"/>
      <c r="AE2771" s="11" t="n"/>
      <c r="AG2771" s="7">
        <f>IF($C2771="","",U2771*X2771/100)</f>
        <v/>
      </c>
      <c r="AH2771" s="7">
        <f>IF($C2771="","",U2771-AG2771)</f>
        <v/>
      </c>
      <c r="AI2771" s="7">
        <f>IF($C2771="","",AH2771-M2771)</f>
        <v/>
      </c>
      <c r="AJ2771">
        <f>IF($C2771="","",IF(COUNTIF($C$2:$C2771,$C2771)=1,1,0))</f>
        <v/>
      </c>
      <c r="AK2771">
        <f>IF($AJ2771=1,SUMPRODUCT(--($AN$2:$AN$4001&lt;$AN2771))+1,"")</f>
        <v/>
      </c>
      <c r="AL2771">
        <f>IF($C2771="","",IF(OR($Q2771=TRUE(),$Q2771="TRUE"),1,0))</f>
        <v/>
      </c>
      <c r="AM2771">
        <f>IF($C2771="","",IF($W2771="Yes",1,0))</f>
        <v/>
      </c>
      <c r="AN2771">
        <f>IF($AJ2771=1,IFERROR(IF(VALUE($C2771)&lt;100000000,VALUE($C2771),1000000000),IFERROR(IF(VALUE(MID($C2771,2,20))&lt;100000000,VALUE(MID($C2771,2,20)),1000000000),1000000000))+ROW()/100000,"")</f>
        <v/>
      </c>
    </row>
    <row r="2772">
      <c r="E2772" s="11" t="n"/>
      <c r="M2772" s="7">
        <f>IF($C2772="","",L2772*U2772/100)</f>
        <v/>
      </c>
      <c r="N2772" s="7" t="n"/>
      <c r="T2772" s="7" t="n"/>
      <c r="U2772" s="7">
        <f>IF($C2772="","",S2772*T2772)</f>
        <v/>
      </c>
      <c r="X2772">
        <f>IF($C2772="","",IF($AM2772=1,0,IF($AL2772=1,Settings!$C$6,Settings!$C$7))*100)</f>
        <v/>
      </c>
      <c r="AB2772" s="7" t="n"/>
      <c r="AE2772" s="11" t="n"/>
      <c r="AG2772" s="7">
        <f>IF($C2772="","",U2772*X2772/100)</f>
        <v/>
      </c>
      <c r="AH2772" s="7">
        <f>IF($C2772="","",U2772-AG2772)</f>
        <v/>
      </c>
      <c r="AI2772" s="7">
        <f>IF($C2772="","",AH2772-M2772)</f>
        <v/>
      </c>
      <c r="AJ2772">
        <f>IF($C2772="","",IF(COUNTIF($C$2:$C2772,$C2772)=1,1,0))</f>
        <v/>
      </c>
      <c r="AK2772">
        <f>IF($AJ2772=1,SUMPRODUCT(--($AN$2:$AN$4001&lt;$AN2772))+1,"")</f>
        <v/>
      </c>
      <c r="AL2772">
        <f>IF($C2772="","",IF(OR($Q2772=TRUE(),$Q2772="TRUE"),1,0))</f>
        <v/>
      </c>
      <c r="AM2772">
        <f>IF($C2772="","",IF($W2772="Yes",1,0))</f>
        <v/>
      </c>
      <c r="AN2772">
        <f>IF($AJ2772=1,IFERROR(IF(VALUE($C2772)&lt;100000000,VALUE($C2772),1000000000),IFERROR(IF(VALUE(MID($C2772,2,20))&lt;100000000,VALUE(MID($C2772,2,20)),1000000000),1000000000))+ROW()/100000,"")</f>
        <v/>
      </c>
    </row>
    <row r="2773">
      <c r="E2773" s="11" t="n"/>
      <c r="M2773" s="7">
        <f>IF($C2773="","",L2773*U2773/100)</f>
        <v/>
      </c>
      <c r="N2773" s="7" t="n"/>
      <c r="T2773" s="7" t="n"/>
      <c r="U2773" s="7">
        <f>IF($C2773="","",S2773*T2773)</f>
        <v/>
      </c>
      <c r="X2773">
        <f>IF($C2773="","",IF($AM2773=1,0,IF($AL2773=1,Settings!$C$6,Settings!$C$7))*100)</f>
        <v/>
      </c>
      <c r="AB2773" s="7" t="n"/>
      <c r="AE2773" s="11" t="n"/>
      <c r="AG2773" s="7">
        <f>IF($C2773="","",U2773*X2773/100)</f>
        <v/>
      </c>
      <c r="AH2773" s="7">
        <f>IF($C2773="","",U2773-AG2773)</f>
        <v/>
      </c>
      <c r="AI2773" s="7">
        <f>IF($C2773="","",AH2773-M2773)</f>
        <v/>
      </c>
      <c r="AJ2773">
        <f>IF($C2773="","",IF(COUNTIF($C$2:$C2773,$C2773)=1,1,0))</f>
        <v/>
      </c>
      <c r="AK2773">
        <f>IF($AJ2773=1,SUMPRODUCT(--($AN$2:$AN$4001&lt;$AN2773))+1,"")</f>
        <v/>
      </c>
      <c r="AL2773">
        <f>IF($C2773="","",IF(OR($Q2773=TRUE(),$Q2773="TRUE"),1,0))</f>
        <v/>
      </c>
      <c r="AM2773">
        <f>IF($C2773="","",IF($W2773="Yes",1,0))</f>
        <v/>
      </c>
      <c r="AN2773">
        <f>IF($AJ2773=1,IFERROR(IF(VALUE($C2773)&lt;100000000,VALUE($C2773),1000000000),IFERROR(IF(VALUE(MID($C2773,2,20))&lt;100000000,VALUE(MID($C2773,2,20)),1000000000),1000000000))+ROW()/100000,"")</f>
        <v/>
      </c>
    </row>
    <row r="2774">
      <c r="E2774" s="11" t="n"/>
      <c r="M2774" s="7">
        <f>IF($C2774="","",L2774*U2774/100)</f>
        <v/>
      </c>
      <c r="N2774" s="7" t="n"/>
      <c r="T2774" s="7" t="n"/>
      <c r="U2774" s="7">
        <f>IF($C2774="","",S2774*T2774)</f>
        <v/>
      </c>
      <c r="X2774">
        <f>IF($C2774="","",IF($AM2774=1,0,IF($AL2774=1,Settings!$C$6,Settings!$C$7))*100)</f>
        <v/>
      </c>
      <c r="AB2774" s="7" t="n"/>
      <c r="AE2774" s="11" t="n"/>
      <c r="AG2774" s="7">
        <f>IF($C2774="","",U2774*X2774/100)</f>
        <v/>
      </c>
      <c r="AH2774" s="7">
        <f>IF($C2774="","",U2774-AG2774)</f>
        <v/>
      </c>
      <c r="AI2774" s="7">
        <f>IF($C2774="","",AH2774-M2774)</f>
        <v/>
      </c>
      <c r="AJ2774">
        <f>IF($C2774="","",IF(COUNTIF($C$2:$C2774,$C2774)=1,1,0))</f>
        <v/>
      </c>
      <c r="AK2774">
        <f>IF($AJ2774=1,SUMPRODUCT(--($AN$2:$AN$4001&lt;$AN2774))+1,"")</f>
        <v/>
      </c>
      <c r="AL2774">
        <f>IF($C2774="","",IF(OR($Q2774=TRUE(),$Q2774="TRUE"),1,0))</f>
        <v/>
      </c>
      <c r="AM2774">
        <f>IF($C2774="","",IF($W2774="Yes",1,0))</f>
        <v/>
      </c>
      <c r="AN2774">
        <f>IF($AJ2774=1,IFERROR(IF(VALUE($C2774)&lt;100000000,VALUE($C2774),1000000000),IFERROR(IF(VALUE(MID($C2774,2,20))&lt;100000000,VALUE(MID($C2774,2,20)),1000000000),1000000000))+ROW()/100000,"")</f>
        <v/>
      </c>
    </row>
    <row r="2775">
      <c r="E2775" s="11" t="n"/>
      <c r="M2775" s="7">
        <f>IF($C2775="","",L2775*U2775/100)</f>
        <v/>
      </c>
      <c r="N2775" s="7" t="n"/>
      <c r="T2775" s="7" t="n"/>
      <c r="U2775" s="7">
        <f>IF($C2775="","",S2775*T2775)</f>
        <v/>
      </c>
      <c r="X2775">
        <f>IF($C2775="","",IF($AM2775=1,0,IF($AL2775=1,Settings!$C$6,Settings!$C$7))*100)</f>
        <v/>
      </c>
      <c r="AB2775" s="7" t="n"/>
      <c r="AE2775" s="11" t="n"/>
      <c r="AG2775" s="7">
        <f>IF($C2775="","",U2775*X2775/100)</f>
        <v/>
      </c>
      <c r="AH2775" s="7">
        <f>IF($C2775="","",U2775-AG2775)</f>
        <v/>
      </c>
      <c r="AI2775" s="7">
        <f>IF($C2775="","",AH2775-M2775)</f>
        <v/>
      </c>
      <c r="AJ2775">
        <f>IF($C2775="","",IF(COUNTIF($C$2:$C2775,$C2775)=1,1,0))</f>
        <v/>
      </c>
      <c r="AK2775">
        <f>IF($AJ2775=1,SUMPRODUCT(--($AN$2:$AN$4001&lt;$AN2775))+1,"")</f>
        <v/>
      </c>
      <c r="AL2775">
        <f>IF($C2775="","",IF(OR($Q2775=TRUE(),$Q2775="TRUE"),1,0))</f>
        <v/>
      </c>
      <c r="AM2775">
        <f>IF($C2775="","",IF($W2775="Yes",1,0))</f>
        <v/>
      </c>
      <c r="AN2775">
        <f>IF($AJ2775=1,IFERROR(IF(VALUE($C2775)&lt;100000000,VALUE($C2775),1000000000),IFERROR(IF(VALUE(MID($C2775,2,20))&lt;100000000,VALUE(MID($C2775,2,20)),1000000000),1000000000))+ROW()/100000,"")</f>
        <v/>
      </c>
    </row>
    <row r="2776">
      <c r="E2776" s="11" t="n"/>
      <c r="M2776" s="7">
        <f>IF($C2776="","",L2776*U2776/100)</f>
        <v/>
      </c>
      <c r="N2776" s="7" t="n"/>
      <c r="T2776" s="7" t="n"/>
      <c r="U2776" s="7">
        <f>IF($C2776="","",S2776*T2776)</f>
        <v/>
      </c>
      <c r="X2776">
        <f>IF($C2776="","",IF($AM2776=1,0,IF($AL2776=1,Settings!$C$6,Settings!$C$7))*100)</f>
        <v/>
      </c>
      <c r="AB2776" s="7" t="n"/>
      <c r="AE2776" s="11" t="n"/>
      <c r="AG2776" s="7">
        <f>IF($C2776="","",U2776*X2776/100)</f>
        <v/>
      </c>
      <c r="AH2776" s="7">
        <f>IF($C2776="","",U2776-AG2776)</f>
        <v/>
      </c>
      <c r="AI2776" s="7">
        <f>IF($C2776="","",AH2776-M2776)</f>
        <v/>
      </c>
      <c r="AJ2776">
        <f>IF($C2776="","",IF(COUNTIF($C$2:$C2776,$C2776)=1,1,0))</f>
        <v/>
      </c>
      <c r="AK2776">
        <f>IF($AJ2776=1,SUMPRODUCT(--($AN$2:$AN$4001&lt;$AN2776))+1,"")</f>
        <v/>
      </c>
      <c r="AL2776">
        <f>IF($C2776="","",IF(OR($Q2776=TRUE(),$Q2776="TRUE"),1,0))</f>
        <v/>
      </c>
      <c r="AM2776">
        <f>IF($C2776="","",IF($W2776="Yes",1,0))</f>
        <v/>
      </c>
      <c r="AN2776">
        <f>IF($AJ2776=1,IFERROR(IF(VALUE($C2776)&lt;100000000,VALUE($C2776),1000000000),IFERROR(IF(VALUE(MID($C2776,2,20))&lt;100000000,VALUE(MID($C2776,2,20)),1000000000),1000000000))+ROW()/100000,"")</f>
        <v/>
      </c>
    </row>
    <row r="2777">
      <c r="E2777" s="11" t="n"/>
      <c r="M2777" s="7">
        <f>IF($C2777="","",L2777*U2777/100)</f>
        <v/>
      </c>
      <c r="N2777" s="7" t="n"/>
      <c r="T2777" s="7" t="n"/>
      <c r="U2777" s="7">
        <f>IF($C2777="","",S2777*T2777)</f>
        <v/>
      </c>
      <c r="X2777">
        <f>IF($C2777="","",IF($AM2777=1,0,IF($AL2777=1,Settings!$C$6,Settings!$C$7))*100)</f>
        <v/>
      </c>
      <c r="AB2777" s="7" t="n"/>
      <c r="AE2777" s="11" t="n"/>
      <c r="AG2777" s="7">
        <f>IF($C2777="","",U2777*X2777/100)</f>
        <v/>
      </c>
      <c r="AH2777" s="7">
        <f>IF($C2777="","",U2777-AG2777)</f>
        <v/>
      </c>
      <c r="AI2777" s="7">
        <f>IF($C2777="","",AH2777-M2777)</f>
        <v/>
      </c>
      <c r="AJ2777">
        <f>IF($C2777="","",IF(COUNTIF($C$2:$C2777,$C2777)=1,1,0))</f>
        <v/>
      </c>
      <c r="AK2777">
        <f>IF($AJ2777=1,SUMPRODUCT(--($AN$2:$AN$4001&lt;$AN2777))+1,"")</f>
        <v/>
      </c>
      <c r="AL2777">
        <f>IF($C2777="","",IF(OR($Q2777=TRUE(),$Q2777="TRUE"),1,0))</f>
        <v/>
      </c>
      <c r="AM2777">
        <f>IF($C2777="","",IF($W2777="Yes",1,0))</f>
        <v/>
      </c>
      <c r="AN2777">
        <f>IF($AJ2777=1,IFERROR(IF(VALUE($C2777)&lt;100000000,VALUE($C2777),1000000000),IFERROR(IF(VALUE(MID($C2777,2,20))&lt;100000000,VALUE(MID($C2777,2,20)),1000000000),1000000000))+ROW()/100000,"")</f>
        <v/>
      </c>
    </row>
    <row r="2778">
      <c r="E2778" s="11" t="n"/>
      <c r="M2778" s="7">
        <f>IF($C2778="","",L2778*U2778/100)</f>
        <v/>
      </c>
      <c r="N2778" s="7" t="n"/>
      <c r="T2778" s="7" t="n"/>
      <c r="U2778" s="7">
        <f>IF($C2778="","",S2778*T2778)</f>
        <v/>
      </c>
      <c r="X2778">
        <f>IF($C2778="","",IF($AM2778=1,0,IF($AL2778=1,Settings!$C$6,Settings!$C$7))*100)</f>
        <v/>
      </c>
      <c r="AB2778" s="7" t="n"/>
      <c r="AE2778" s="11" t="n"/>
      <c r="AG2778" s="7">
        <f>IF($C2778="","",U2778*X2778/100)</f>
        <v/>
      </c>
      <c r="AH2778" s="7">
        <f>IF($C2778="","",U2778-AG2778)</f>
        <v/>
      </c>
      <c r="AI2778" s="7">
        <f>IF($C2778="","",AH2778-M2778)</f>
        <v/>
      </c>
      <c r="AJ2778">
        <f>IF($C2778="","",IF(COUNTIF($C$2:$C2778,$C2778)=1,1,0))</f>
        <v/>
      </c>
      <c r="AK2778">
        <f>IF($AJ2778=1,SUMPRODUCT(--($AN$2:$AN$4001&lt;$AN2778))+1,"")</f>
        <v/>
      </c>
      <c r="AL2778">
        <f>IF($C2778="","",IF(OR($Q2778=TRUE(),$Q2778="TRUE"),1,0))</f>
        <v/>
      </c>
      <c r="AM2778">
        <f>IF($C2778="","",IF($W2778="Yes",1,0))</f>
        <v/>
      </c>
      <c r="AN2778">
        <f>IF($AJ2778=1,IFERROR(IF(VALUE($C2778)&lt;100000000,VALUE($C2778),1000000000),IFERROR(IF(VALUE(MID($C2778,2,20))&lt;100000000,VALUE(MID($C2778,2,20)),1000000000),1000000000))+ROW()/100000,"")</f>
        <v/>
      </c>
    </row>
    <row r="2779">
      <c r="E2779" s="11" t="n"/>
      <c r="M2779" s="7">
        <f>IF($C2779="","",L2779*U2779/100)</f>
        <v/>
      </c>
      <c r="N2779" s="7" t="n"/>
      <c r="T2779" s="7" t="n"/>
      <c r="U2779" s="7">
        <f>IF($C2779="","",S2779*T2779)</f>
        <v/>
      </c>
      <c r="X2779">
        <f>IF($C2779="","",IF($AM2779=1,0,IF($AL2779=1,Settings!$C$6,Settings!$C$7))*100)</f>
        <v/>
      </c>
      <c r="AB2779" s="7" t="n"/>
      <c r="AE2779" s="11" t="n"/>
      <c r="AG2779" s="7">
        <f>IF($C2779="","",U2779*X2779/100)</f>
        <v/>
      </c>
      <c r="AH2779" s="7">
        <f>IF($C2779="","",U2779-AG2779)</f>
        <v/>
      </c>
      <c r="AI2779" s="7">
        <f>IF($C2779="","",AH2779-M2779)</f>
        <v/>
      </c>
      <c r="AJ2779">
        <f>IF($C2779="","",IF(COUNTIF($C$2:$C2779,$C2779)=1,1,0))</f>
        <v/>
      </c>
      <c r="AK2779">
        <f>IF($AJ2779=1,SUMPRODUCT(--($AN$2:$AN$4001&lt;$AN2779))+1,"")</f>
        <v/>
      </c>
      <c r="AL2779">
        <f>IF($C2779="","",IF(OR($Q2779=TRUE(),$Q2779="TRUE"),1,0))</f>
        <v/>
      </c>
      <c r="AM2779">
        <f>IF($C2779="","",IF($W2779="Yes",1,0))</f>
        <v/>
      </c>
      <c r="AN2779">
        <f>IF($AJ2779=1,IFERROR(IF(VALUE($C2779)&lt;100000000,VALUE($C2779),1000000000),IFERROR(IF(VALUE(MID($C2779,2,20))&lt;100000000,VALUE(MID($C2779,2,20)),1000000000),1000000000))+ROW()/100000,"")</f>
        <v/>
      </c>
    </row>
    <row r="2780">
      <c r="E2780" s="11" t="n"/>
      <c r="M2780" s="7">
        <f>IF($C2780="","",L2780*U2780/100)</f>
        <v/>
      </c>
      <c r="N2780" s="7" t="n"/>
      <c r="T2780" s="7" t="n"/>
      <c r="U2780" s="7">
        <f>IF($C2780="","",S2780*T2780)</f>
        <v/>
      </c>
      <c r="X2780">
        <f>IF($C2780="","",IF($AM2780=1,0,IF($AL2780=1,Settings!$C$6,Settings!$C$7))*100)</f>
        <v/>
      </c>
      <c r="AB2780" s="7" t="n"/>
      <c r="AE2780" s="11" t="n"/>
      <c r="AG2780" s="7">
        <f>IF($C2780="","",U2780*X2780/100)</f>
        <v/>
      </c>
      <c r="AH2780" s="7">
        <f>IF($C2780="","",U2780-AG2780)</f>
        <v/>
      </c>
      <c r="AI2780" s="7">
        <f>IF($C2780="","",AH2780-M2780)</f>
        <v/>
      </c>
      <c r="AJ2780">
        <f>IF($C2780="","",IF(COUNTIF($C$2:$C2780,$C2780)=1,1,0))</f>
        <v/>
      </c>
      <c r="AK2780">
        <f>IF($AJ2780=1,SUMPRODUCT(--($AN$2:$AN$4001&lt;$AN2780))+1,"")</f>
        <v/>
      </c>
      <c r="AL2780">
        <f>IF($C2780="","",IF(OR($Q2780=TRUE(),$Q2780="TRUE"),1,0))</f>
        <v/>
      </c>
      <c r="AM2780">
        <f>IF($C2780="","",IF($W2780="Yes",1,0))</f>
        <v/>
      </c>
      <c r="AN2780">
        <f>IF($AJ2780=1,IFERROR(IF(VALUE($C2780)&lt;100000000,VALUE($C2780),1000000000),IFERROR(IF(VALUE(MID($C2780,2,20))&lt;100000000,VALUE(MID($C2780,2,20)),1000000000),1000000000))+ROW()/100000,"")</f>
        <v/>
      </c>
    </row>
    <row r="2781">
      <c r="E2781" s="11" t="n"/>
      <c r="M2781" s="7">
        <f>IF($C2781="","",L2781*U2781/100)</f>
        <v/>
      </c>
      <c r="N2781" s="7" t="n"/>
      <c r="T2781" s="7" t="n"/>
      <c r="U2781" s="7">
        <f>IF($C2781="","",S2781*T2781)</f>
        <v/>
      </c>
      <c r="X2781">
        <f>IF($C2781="","",IF($AM2781=1,0,IF($AL2781=1,Settings!$C$6,Settings!$C$7))*100)</f>
        <v/>
      </c>
      <c r="AB2781" s="7" t="n"/>
      <c r="AE2781" s="11" t="n"/>
      <c r="AG2781" s="7">
        <f>IF($C2781="","",U2781*X2781/100)</f>
        <v/>
      </c>
      <c r="AH2781" s="7">
        <f>IF($C2781="","",U2781-AG2781)</f>
        <v/>
      </c>
      <c r="AI2781" s="7">
        <f>IF($C2781="","",AH2781-M2781)</f>
        <v/>
      </c>
      <c r="AJ2781">
        <f>IF($C2781="","",IF(COUNTIF($C$2:$C2781,$C2781)=1,1,0))</f>
        <v/>
      </c>
      <c r="AK2781">
        <f>IF($AJ2781=1,SUMPRODUCT(--($AN$2:$AN$4001&lt;$AN2781))+1,"")</f>
        <v/>
      </c>
      <c r="AL2781">
        <f>IF($C2781="","",IF(OR($Q2781=TRUE(),$Q2781="TRUE"),1,0))</f>
        <v/>
      </c>
      <c r="AM2781">
        <f>IF($C2781="","",IF($W2781="Yes",1,0))</f>
        <v/>
      </c>
      <c r="AN2781">
        <f>IF($AJ2781=1,IFERROR(IF(VALUE($C2781)&lt;100000000,VALUE($C2781),1000000000),IFERROR(IF(VALUE(MID($C2781,2,20))&lt;100000000,VALUE(MID($C2781,2,20)),1000000000),1000000000))+ROW()/100000,"")</f>
        <v/>
      </c>
    </row>
    <row r="2782">
      <c r="E2782" s="11" t="n"/>
      <c r="M2782" s="7">
        <f>IF($C2782="","",L2782*U2782/100)</f>
        <v/>
      </c>
      <c r="N2782" s="7" t="n"/>
      <c r="T2782" s="7" t="n"/>
      <c r="U2782" s="7">
        <f>IF($C2782="","",S2782*T2782)</f>
        <v/>
      </c>
      <c r="X2782">
        <f>IF($C2782="","",IF($AM2782=1,0,IF($AL2782=1,Settings!$C$6,Settings!$C$7))*100)</f>
        <v/>
      </c>
      <c r="AB2782" s="7" t="n"/>
      <c r="AE2782" s="11" t="n"/>
      <c r="AG2782" s="7">
        <f>IF($C2782="","",U2782*X2782/100)</f>
        <v/>
      </c>
      <c r="AH2782" s="7">
        <f>IF($C2782="","",U2782-AG2782)</f>
        <v/>
      </c>
      <c r="AI2782" s="7">
        <f>IF($C2782="","",AH2782-M2782)</f>
        <v/>
      </c>
      <c r="AJ2782">
        <f>IF($C2782="","",IF(COUNTIF($C$2:$C2782,$C2782)=1,1,0))</f>
        <v/>
      </c>
      <c r="AK2782">
        <f>IF($AJ2782=1,SUMPRODUCT(--($AN$2:$AN$4001&lt;$AN2782))+1,"")</f>
        <v/>
      </c>
      <c r="AL2782">
        <f>IF($C2782="","",IF(OR($Q2782=TRUE(),$Q2782="TRUE"),1,0))</f>
        <v/>
      </c>
      <c r="AM2782">
        <f>IF($C2782="","",IF($W2782="Yes",1,0))</f>
        <v/>
      </c>
      <c r="AN2782">
        <f>IF($AJ2782=1,IFERROR(IF(VALUE($C2782)&lt;100000000,VALUE($C2782),1000000000),IFERROR(IF(VALUE(MID($C2782,2,20))&lt;100000000,VALUE(MID($C2782,2,20)),1000000000),1000000000))+ROW()/100000,"")</f>
        <v/>
      </c>
    </row>
    <row r="2783">
      <c r="E2783" s="11" t="n"/>
      <c r="M2783" s="7">
        <f>IF($C2783="","",L2783*U2783/100)</f>
        <v/>
      </c>
      <c r="N2783" s="7" t="n"/>
      <c r="T2783" s="7" t="n"/>
      <c r="U2783" s="7">
        <f>IF($C2783="","",S2783*T2783)</f>
        <v/>
      </c>
      <c r="X2783">
        <f>IF($C2783="","",IF($AM2783=1,0,IF($AL2783=1,Settings!$C$6,Settings!$C$7))*100)</f>
        <v/>
      </c>
      <c r="AB2783" s="7" t="n"/>
      <c r="AE2783" s="11" t="n"/>
      <c r="AG2783" s="7">
        <f>IF($C2783="","",U2783*X2783/100)</f>
        <v/>
      </c>
      <c r="AH2783" s="7">
        <f>IF($C2783="","",U2783-AG2783)</f>
        <v/>
      </c>
      <c r="AI2783" s="7">
        <f>IF($C2783="","",AH2783-M2783)</f>
        <v/>
      </c>
      <c r="AJ2783">
        <f>IF($C2783="","",IF(COUNTIF($C$2:$C2783,$C2783)=1,1,0))</f>
        <v/>
      </c>
      <c r="AK2783">
        <f>IF($AJ2783=1,SUMPRODUCT(--($AN$2:$AN$4001&lt;$AN2783))+1,"")</f>
        <v/>
      </c>
      <c r="AL2783">
        <f>IF($C2783="","",IF(OR($Q2783=TRUE(),$Q2783="TRUE"),1,0))</f>
        <v/>
      </c>
      <c r="AM2783">
        <f>IF($C2783="","",IF($W2783="Yes",1,0))</f>
        <v/>
      </c>
      <c r="AN2783">
        <f>IF($AJ2783=1,IFERROR(IF(VALUE($C2783)&lt;100000000,VALUE($C2783),1000000000),IFERROR(IF(VALUE(MID($C2783,2,20))&lt;100000000,VALUE(MID($C2783,2,20)),1000000000),1000000000))+ROW()/100000,"")</f>
        <v/>
      </c>
    </row>
    <row r="2784">
      <c r="E2784" s="11" t="n"/>
      <c r="M2784" s="7">
        <f>IF($C2784="","",L2784*U2784/100)</f>
        <v/>
      </c>
      <c r="N2784" s="7" t="n"/>
      <c r="T2784" s="7" t="n"/>
      <c r="U2784" s="7">
        <f>IF($C2784="","",S2784*T2784)</f>
        <v/>
      </c>
      <c r="X2784">
        <f>IF($C2784="","",IF($AM2784=1,0,IF($AL2784=1,Settings!$C$6,Settings!$C$7))*100)</f>
        <v/>
      </c>
      <c r="AB2784" s="7" t="n"/>
      <c r="AE2784" s="11" t="n"/>
      <c r="AG2784" s="7">
        <f>IF($C2784="","",U2784*X2784/100)</f>
        <v/>
      </c>
      <c r="AH2784" s="7">
        <f>IF($C2784="","",U2784-AG2784)</f>
        <v/>
      </c>
      <c r="AI2784" s="7">
        <f>IF($C2784="","",AH2784-M2784)</f>
        <v/>
      </c>
      <c r="AJ2784">
        <f>IF($C2784="","",IF(COUNTIF($C$2:$C2784,$C2784)=1,1,0))</f>
        <v/>
      </c>
      <c r="AK2784">
        <f>IF($AJ2784=1,SUMPRODUCT(--($AN$2:$AN$4001&lt;$AN2784))+1,"")</f>
        <v/>
      </c>
      <c r="AL2784">
        <f>IF($C2784="","",IF(OR($Q2784=TRUE(),$Q2784="TRUE"),1,0))</f>
        <v/>
      </c>
      <c r="AM2784">
        <f>IF($C2784="","",IF($W2784="Yes",1,0))</f>
        <v/>
      </c>
      <c r="AN2784">
        <f>IF($AJ2784=1,IFERROR(IF(VALUE($C2784)&lt;100000000,VALUE($C2784),1000000000),IFERROR(IF(VALUE(MID($C2784,2,20))&lt;100000000,VALUE(MID($C2784,2,20)),1000000000),1000000000))+ROW()/100000,"")</f>
        <v/>
      </c>
    </row>
    <row r="2785">
      <c r="E2785" s="11" t="n"/>
      <c r="M2785" s="7">
        <f>IF($C2785="","",L2785*U2785/100)</f>
        <v/>
      </c>
      <c r="N2785" s="7" t="n"/>
      <c r="T2785" s="7" t="n"/>
      <c r="U2785" s="7">
        <f>IF($C2785="","",S2785*T2785)</f>
        <v/>
      </c>
      <c r="X2785">
        <f>IF($C2785="","",IF($AM2785=1,0,IF($AL2785=1,Settings!$C$6,Settings!$C$7))*100)</f>
        <v/>
      </c>
      <c r="AB2785" s="7" t="n"/>
      <c r="AE2785" s="11" t="n"/>
      <c r="AG2785" s="7">
        <f>IF($C2785="","",U2785*X2785/100)</f>
        <v/>
      </c>
      <c r="AH2785" s="7">
        <f>IF($C2785="","",U2785-AG2785)</f>
        <v/>
      </c>
      <c r="AI2785" s="7">
        <f>IF($C2785="","",AH2785-M2785)</f>
        <v/>
      </c>
      <c r="AJ2785">
        <f>IF($C2785="","",IF(COUNTIF($C$2:$C2785,$C2785)=1,1,0))</f>
        <v/>
      </c>
      <c r="AK2785">
        <f>IF($AJ2785=1,SUMPRODUCT(--($AN$2:$AN$4001&lt;$AN2785))+1,"")</f>
        <v/>
      </c>
      <c r="AL2785">
        <f>IF($C2785="","",IF(OR($Q2785=TRUE(),$Q2785="TRUE"),1,0))</f>
        <v/>
      </c>
      <c r="AM2785">
        <f>IF($C2785="","",IF($W2785="Yes",1,0))</f>
        <v/>
      </c>
      <c r="AN2785">
        <f>IF($AJ2785=1,IFERROR(IF(VALUE($C2785)&lt;100000000,VALUE($C2785),1000000000),IFERROR(IF(VALUE(MID($C2785,2,20))&lt;100000000,VALUE(MID($C2785,2,20)),1000000000),1000000000))+ROW()/100000,"")</f>
        <v/>
      </c>
    </row>
    <row r="2786">
      <c r="E2786" s="11" t="n"/>
      <c r="M2786" s="7">
        <f>IF($C2786="","",L2786*U2786/100)</f>
        <v/>
      </c>
      <c r="N2786" s="7" t="n"/>
      <c r="T2786" s="7" t="n"/>
      <c r="U2786" s="7">
        <f>IF($C2786="","",S2786*T2786)</f>
        <v/>
      </c>
      <c r="X2786">
        <f>IF($C2786="","",IF($AM2786=1,0,IF($AL2786=1,Settings!$C$6,Settings!$C$7))*100)</f>
        <v/>
      </c>
      <c r="AB2786" s="7" t="n"/>
      <c r="AE2786" s="11" t="n"/>
      <c r="AG2786" s="7">
        <f>IF($C2786="","",U2786*X2786/100)</f>
        <v/>
      </c>
      <c r="AH2786" s="7">
        <f>IF($C2786="","",U2786-AG2786)</f>
        <v/>
      </c>
      <c r="AI2786" s="7">
        <f>IF($C2786="","",AH2786-M2786)</f>
        <v/>
      </c>
      <c r="AJ2786">
        <f>IF($C2786="","",IF(COUNTIF($C$2:$C2786,$C2786)=1,1,0))</f>
        <v/>
      </c>
      <c r="AK2786">
        <f>IF($AJ2786=1,SUMPRODUCT(--($AN$2:$AN$4001&lt;$AN2786))+1,"")</f>
        <v/>
      </c>
      <c r="AL2786">
        <f>IF($C2786="","",IF(OR($Q2786=TRUE(),$Q2786="TRUE"),1,0))</f>
        <v/>
      </c>
      <c r="AM2786">
        <f>IF($C2786="","",IF($W2786="Yes",1,0))</f>
        <v/>
      </c>
      <c r="AN2786">
        <f>IF($AJ2786=1,IFERROR(IF(VALUE($C2786)&lt;100000000,VALUE($C2786),1000000000),IFERROR(IF(VALUE(MID($C2786,2,20))&lt;100000000,VALUE(MID($C2786,2,20)),1000000000),1000000000))+ROW()/100000,"")</f>
        <v/>
      </c>
    </row>
    <row r="2787">
      <c r="E2787" s="11" t="n"/>
      <c r="M2787" s="7">
        <f>IF($C2787="","",L2787*U2787/100)</f>
        <v/>
      </c>
      <c r="N2787" s="7" t="n"/>
      <c r="T2787" s="7" t="n"/>
      <c r="U2787" s="7">
        <f>IF($C2787="","",S2787*T2787)</f>
        <v/>
      </c>
      <c r="X2787">
        <f>IF($C2787="","",IF($AM2787=1,0,IF($AL2787=1,Settings!$C$6,Settings!$C$7))*100)</f>
        <v/>
      </c>
      <c r="AB2787" s="7" t="n"/>
      <c r="AE2787" s="11" t="n"/>
      <c r="AG2787" s="7">
        <f>IF($C2787="","",U2787*X2787/100)</f>
        <v/>
      </c>
      <c r="AH2787" s="7">
        <f>IF($C2787="","",U2787-AG2787)</f>
        <v/>
      </c>
      <c r="AI2787" s="7">
        <f>IF($C2787="","",AH2787-M2787)</f>
        <v/>
      </c>
      <c r="AJ2787">
        <f>IF($C2787="","",IF(COUNTIF($C$2:$C2787,$C2787)=1,1,0))</f>
        <v/>
      </c>
      <c r="AK2787">
        <f>IF($AJ2787=1,SUMPRODUCT(--($AN$2:$AN$4001&lt;$AN2787))+1,"")</f>
        <v/>
      </c>
      <c r="AL2787">
        <f>IF($C2787="","",IF(OR($Q2787=TRUE(),$Q2787="TRUE"),1,0))</f>
        <v/>
      </c>
      <c r="AM2787">
        <f>IF($C2787="","",IF($W2787="Yes",1,0))</f>
        <v/>
      </c>
      <c r="AN2787">
        <f>IF($AJ2787=1,IFERROR(IF(VALUE($C2787)&lt;100000000,VALUE($C2787),1000000000),IFERROR(IF(VALUE(MID($C2787,2,20))&lt;100000000,VALUE(MID($C2787,2,20)),1000000000),1000000000))+ROW()/100000,"")</f>
        <v/>
      </c>
    </row>
    <row r="2788">
      <c r="E2788" s="11" t="n"/>
      <c r="M2788" s="7">
        <f>IF($C2788="","",L2788*U2788/100)</f>
        <v/>
      </c>
      <c r="N2788" s="7" t="n"/>
      <c r="T2788" s="7" t="n"/>
      <c r="U2788" s="7">
        <f>IF($C2788="","",S2788*T2788)</f>
        <v/>
      </c>
      <c r="X2788">
        <f>IF($C2788="","",IF($AM2788=1,0,IF($AL2788=1,Settings!$C$6,Settings!$C$7))*100)</f>
        <v/>
      </c>
      <c r="AB2788" s="7" t="n"/>
      <c r="AE2788" s="11" t="n"/>
      <c r="AG2788" s="7">
        <f>IF($C2788="","",U2788*X2788/100)</f>
        <v/>
      </c>
      <c r="AH2788" s="7">
        <f>IF($C2788="","",U2788-AG2788)</f>
        <v/>
      </c>
      <c r="AI2788" s="7">
        <f>IF($C2788="","",AH2788-M2788)</f>
        <v/>
      </c>
      <c r="AJ2788">
        <f>IF($C2788="","",IF(COUNTIF($C$2:$C2788,$C2788)=1,1,0))</f>
        <v/>
      </c>
      <c r="AK2788">
        <f>IF($AJ2788=1,SUMPRODUCT(--($AN$2:$AN$4001&lt;$AN2788))+1,"")</f>
        <v/>
      </c>
      <c r="AL2788">
        <f>IF($C2788="","",IF(OR($Q2788=TRUE(),$Q2788="TRUE"),1,0))</f>
        <v/>
      </c>
      <c r="AM2788">
        <f>IF($C2788="","",IF($W2788="Yes",1,0))</f>
        <v/>
      </c>
      <c r="AN2788">
        <f>IF($AJ2788=1,IFERROR(IF(VALUE($C2788)&lt;100000000,VALUE($C2788),1000000000),IFERROR(IF(VALUE(MID($C2788,2,20))&lt;100000000,VALUE(MID($C2788,2,20)),1000000000),1000000000))+ROW()/100000,"")</f>
        <v/>
      </c>
    </row>
    <row r="2789">
      <c r="E2789" s="11" t="n"/>
      <c r="M2789" s="7">
        <f>IF($C2789="","",L2789*U2789/100)</f>
        <v/>
      </c>
      <c r="N2789" s="7" t="n"/>
      <c r="T2789" s="7" t="n"/>
      <c r="U2789" s="7">
        <f>IF($C2789="","",S2789*T2789)</f>
        <v/>
      </c>
      <c r="X2789">
        <f>IF($C2789="","",IF($AM2789=1,0,IF($AL2789=1,Settings!$C$6,Settings!$C$7))*100)</f>
        <v/>
      </c>
      <c r="AB2789" s="7" t="n"/>
      <c r="AE2789" s="11" t="n"/>
      <c r="AG2789" s="7">
        <f>IF($C2789="","",U2789*X2789/100)</f>
        <v/>
      </c>
      <c r="AH2789" s="7">
        <f>IF($C2789="","",U2789-AG2789)</f>
        <v/>
      </c>
      <c r="AI2789" s="7">
        <f>IF($C2789="","",AH2789-M2789)</f>
        <v/>
      </c>
      <c r="AJ2789">
        <f>IF($C2789="","",IF(COUNTIF($C$2:$C2789,$C2789)=1,1,0))</f>
        <v/>
      </c>
      <c r="AK2789">
        <f>IF($AJ2789=1,SUMPRODUCT(--($AN$2:$AN$4001&lt;$AN2789))+1,"")</f>
        <v/>
      </c>
      <c r="AL2789">
        <f>IF($C2789="","",IF(OR($Q2789=TRUE(),$Q2789="TRUE"),1,0))</f>
        <v/>
      </c>
      <c r="AM2789">
        <f>IF($C2789="","",IF($W2789="Yes",1,0))</f>
        <v/>
      </c>
      <c r="AN2789">
        <f>IF($AJ2789=1,IFERROR(IF(VALUE($C2789)&lt;100000000,VALUE($C2789),1000000000),IFERROR(IF(VALUE(MID($C2789,2,20))&lt;100000000,VALUE(MID($C2789,2,20)),1000000000),1000000000))+ROW()/100000,"")</f>
        <v/>
      </c>
    </row>
    <row r="2790">
      <c r="E2790" s="11" t="n"/>
      <c r="M2790" s="7">
        <f>IF($C2790="","",L2790*U2790/100)</f>
        <v/>
      </c>
      <c r="N2790" s="7" t="n"/>
      <c r="T2790" s="7" t="n"/>
      <c r="U2790" s="7">
        <f>IF($C2790="","",S2790*T2790)</f>
        <v/>
      </c>
      <c r="X2790">
        <f>IF($C2790="","",IF($AM2790=1,0,IF($AL2790=1,Settings!$C$6,Settings!$C$7))*100)</f>
        <v/>
      </c>
      <c r="AB2790" s="7" t="n"/>
      <c r="AE2790" s="11" t="n"/>
      <c r="AG2790" s="7">
        <f>IF($C2790="","",U2790*X2790/100)</f>
        <v/>
      </c>
      <c r="AH2790" s="7">
        <f>IF($C2790="","",U2790-AG2790)</f>
        <v/>
      </c>
      <c r="AI2790" s="7">
        <f>IF($C2790="","",AH2790-M2790)</f>
        <v/>
      </c>
      <c r="AJ2790">
        <f>IF($C2790="","",IF(COUNTIF($C$2:$C2790,$C2790)=1,1,0))</f>
        <v/>
      </c>
      <c r="AK2790">
        <f>IF($AJ2790=1,SUMPRODUCT(--($AN$2:$AN$4001&lt;$AN2790))+1,"")</f>
        <v/>
      </c>
      <c r="AL2790">
        <f>IF($C2790="","",IF(OR($Q2790=TRUE(),$Q2790="TRUE"),1,0))</f>
        <v/>
      </c>
      <c r="AM2790">
        <f>IF($C2790="","",IF($W2790="Yes",1,0))</f>
        <v/>
      </c>
      <c r="AN2790">
        <f>IF($AJ2790=1,IFERROR(IF(VALUE($C2790)&lt;100000000,VALUE($C2790),1000000000),IFERROR(IF(VALUE(MID($C2790,2,20))&lt;100000000,VALUE(MID($C2790,2,20)),1000000000),1000000000))+ROW()/100000,"")</f>
        <v/>
      </c>
    </row>
    <row r="2791">
      <c r="E2791" s="11" t="n"/>
      <c r="M2791" s="7">
        <f>IF($C2791="","",L2791*U2791/100)</f>
        <v/>
      </c>
      <c r="N2791" s="7" t="n"/>
      <c r="T2791" s="7" t="n"/>
      <c r="U2791" s="7">
        <f>IF($C2791="","",S2791*T2791)</f>
        <v/>
      </c>
      <c r="X2791">
        <f>IF($C2791="","",IF($AM2791=1,0,IF($AL2791=1,Settings!$C$6,Settings!$C$7))*100)</f>
        <v/>
      </c>
      <c r="AB2791" s="7" t="n"/>
      <c r="AE2791" s="11" t="n"/>
      <c r="AG2791" s="7">
        <f>IF($C2791="","",U2791*X2791/100)</f>
        <v/>
      </c>
      <c r="AH2791" s="7">
        <f>IF($C2791="","",U2791-AG2791)</f>
        <v/>
      </c>
      <c r="AI2791" s="7">
        <f>IF($C2791="","",AH2791-M2791)</f>
        <v/>
      </c>
      <c r="AJ2791">
        <f>IF($C2791="","",IF(COUNTIF($C$2:$C2791,$C2791)=1,1,0))</f>
        <v/>
      </c>
      <c r="AK2791">
        <f>IF($AJ2791=1,SUMPRODUCT(--($AN$2:$AN$4001&lt;$AN2791))+1,"")</f>
        <v/>
      </c>
      <c r="AL2791">
        <f>IF($C2791="","",IF(OR($Q2791=TRUE(),$Q2791="TRUE"),1,0))</f>
        <v/>
      </c>
      <c r="AM2791">
        <f>IF($C2791="","",IF($W2791="Yes",1,0))</f>
        <v/>
      </c>
      <c r="AN2791">
        <f>IF($AJ2791=1,IFERROR(IF(VALUE($C2791)&lt;100000000,VALUE($C2791),1000000000),IFERROR(IF(VALUE(MID($C2791,2,20))&lt;100000000,VALUE(MID($C2791,2,20)),1000000000),1000000000))+ROW()/100000,"")</f>
        <v/>
      </c>
    </row>
    <row r="2792">
      <c r="E2792" s="11" t="n"/>
      <c r="M2792" s="7">
        <f>IF($C2792="","",L2792*U2792/100)</f>
        <v/>
      </c>
      <c r="N2792" s="7" t="n"/>
      <c r="T2792" s="7" t="n"/>
      <c r="U2792" s="7">
        <f>IF($C2792="","",S2792*T2792)</f>
        <v/>
      </c>
      <c r="X2792">
        <f>IF($C2792="","",IF($AM2792=1,0,IF($AL2792=1,Settings!$C$6,Settings!$C$7))*100)</f>
        <v/>
      </c>
      <c r="AB2792" s="7" t="n"/>
      <c r="AE2792" s="11" t="n"/>
      <c r="AG2792" s="7">
        <f>IF($C2792="","",U2792*X2792/100)</f>
        <v/>
      </c>
      <c r="AH2792" s="7">
        <f>IF($C2792="","",U2792-AG2792)</f>
        <v/>
      </c>
      <c r="AI2792" s="7">
        <f>IF($C2792="","",AH2792-M2792)</f>
        <v/>
      </c>
      <c r="AJ2792">
        <f>IF($C2792="","",IF(COUNTIF($C$2:$C2792,$C2792)=1,1,0))</f>
        <v/>
      </c>
      <c r="AK2792">
        <f>IF($AJ2792=1,SUMPRODUCT(--($AN$2:$AN$4001&lt;$AN2792))+1,"")</f>
        <v/>
      </c>
      <c r="AL2792">
        <f>IF($C2792="","",IF(OR($Q2792=TRUE(),$Q2792="TRUE"),1,0))</f>
        <v/>
      </c>
      <c r="AM2792">
        <f>IF($C2792="","",IF($W2792="Yes",1,0))</f>
        <v/>
      </c>
      <c r="AN2792">
        <f>IF($AJ2792=1,IFERROR(IF(VALUE($C2792)&lt;100000000,VALUE($C2792),1000000000),IFERROR(IF(VALUE(MID($C2792,2,20))&lt;100000000,VALUE(MID($C2792,2,20)),1000000000),1000000000))+ROW()/100000,"")</f>
        <v/>
      </c>
    </row>
    <row r="2793">
      <c r="E2793" s="11" t="n"/>
      <c r="M2793" s="7">
        <f>IF($C2793="","",L2793*U2793/100)</f>
        <v/>
      </c>
      <c r="N2793" s="7" t="n"/>
      <c r="T2793" s="7" t="n"/>
      <c r="U2793" s="7">
        <f>IF($C2793="","",S2793*T2793)</f>
        <v/>
      </c>
      <c r="X2793">
        <f>IF($C2793="","",IF($AM2793=1,0,IF($AL2793=1,Settings!$C$6,Settings!$C$7))*100)</f>
        <v/>
      </c>
      <c r="AB2793" s="7" t="n"/>
      <c r="AE2793" s="11" t="n"/>
      <c r="AG2793" s="7">
        <f>IF($C2793="","",U2793*X2793/100)</f>
        <v/>
      </c>
      <c r="AH2793" s="7">
        <f>IF($C2793="","",U2793-AG2793)</f>
        <v/>
      </c>
      <c r="AI2793" s="7">
        <f>IF($C2793="","",AH2793-M2793)</f>
        <v/>
      </c>
      <c r="AJ2793">
        <f>IF($C2793="","",IF(COUNTIF($C$2:$C2793,$C2793)=1,1,0))</f>
        <v/>
      </c>
      <c r="AK2793">
        <f>IF($AJ2793=1,SUMPRODUCT(--($AN$2:$AN$4001&lt;$AN2793))+1,"")</f>
        <v/>
      </c>
      <c r="AL2793">
        <f>IF($C2793="","",IF(OR($Q2793=TRUE(),$Q2793="TRUE"),1,0))</f>
        <v/>
      </c>
      <c r="AM2793">
        <f>IF($C2793="","",IF($W2793="Yes",1,0))</f>
        <v/>
      </c>
      <c r="AN2793">
        <f>IF($AJ2793=1,IFERROR(IF(VALUE($C2793)&lt;100000000,VALUE($C2793),1000000000),IFERROR(IF(VALUE(MID($C2793,2,20))&lt;100000000,VALUE(MID($C2793,2,20)),1000000000),1000000000))+ROW()/100000,"")</f>
        <v/>
      </c>
    </row>
    <row r="2794">
      <c r="E2794" s="11" t="n"/>
      <c r="M2794" s="7">
        <f>IF($C2794="","",L2794*U2794/100)</f>
        <v/>
      </c>
      <c r="N2794" s="7" t="n"/>
      <c r="T2794" s="7" t="n"/>
      <c r="U2794" s="7">
        <f>IF($C2794="","",S2794*T2794)</f>
        <v/>
      </c>
      <c r="X2794">
        <f>IF($C2794="","",IF($AM2794=1,0,IF($AL2794=1,Settings!$C$6,Settings!$C$7))*100)</f>
        <v/>
      </c>
      <c r="AB2794" s="7" t="n"/>
      <c r="AE2794" s="11" t="n"/>
      <c r="AG2794" s="7">
        <f>IF($C2794="","",U2794*X2794/100)</f>
        <v/>
      </c>
      <c r="AH2794" s="7">
        <f>IF($C2794="","",U2794-AG2794)</f>
        <v/>
      </c>
      <c r="AI2794" s="7">
        <f>IF($C2794="","",AH2794-M2794)</f>
        <v/>
      </c>
      <c r="AJ2794">
        <f>IF($C2794="","",IF(COUNTIF($C$2:$C2794,$C2794)=1,1,0))</f>
        <v/>
      </c>
      <c r="AK2794">
        <f>IF($AJ2794=1,SUMPRODUCT(--($AN$2:$AN$4001&lt;$AN2794))+1,"")</f>
        <v/>
      </c>
      <c r="AL2794">
        <f>IF($C2794="","",IF(OR($Q2794=TRUE(),$Q2794="TRUE"),1,0))</f>
        <v/>
      </c>
      <c r="AM2794">
        <f>IF($C2794="","",IF($W2794="Yes",1,0))</f>
        <v/>
      </c>
      <c r="AN2794">
        <f>IF($AJ2794=1,IFERROR(IF(VALUE($C2794)&lt;100000000,VALUE($C2794),1000000000),IFERROR(IF(VALUE(MID($C2794,2,20))&lt;100000000,VALUE(MID($C2794,2,20)),1000000000),1000000000))+ROW()/100000,"")</f>
        <v/>
      </c>
    </row>
    <row r="2795">
      <c r="E2795" s="11" t="n"/>
      <c r="M2795" s="7">
        <f>IF($C2795="","",L2795*U2795/100)</f>
        <v/>
      </c>
      <c r="N2795" s="7" t="n"/>
      <c r="T2795" s="7" t="n"/>
      <c r="U2795" s="7">
        <f>IF($C2795="","",S2795*T2795)</f>
        <v/>
      </c>
      <c r="X2795">
        <f>IF($C2795="","",IF($AM2795=1,0,IF($AL2795=1,Settings!$C$6,Settings!$C$7))*100)</f>
        <v/>
      </c>
      <c r="AB2795" s="7" t="n"/>
      <c r="AE2795" s="11" t="n"/>
      <c r="AG2795" s="7">
        <f>IF($C2795="","",U2795*X2795/100)</f>
        <v/>
      </c>
      <c r="AH2795" s="7">
        <f>IF($C2795="","",U2795-AG2795)</f>
        <v/>
      </c>
      <c r="AI2795" s="7">
        <f>IF($C2795="","",AH2795-M2795)</f>
        <v/>
      </c>
      <c r="AJ2795">
        <f>IF($C2795="","",IF(COUNTIF($C$2:$C2795,$C2795)=1,1,0))</f>
        <v/>
      </c>
      <c r="AK2795">
        <f>IF($AJ2795=1,SUMPRODUCT(--($AN$2:$AN$4001&lt;$AN2795))+1,"")</f>
        <v/>
      </c>
      <c r="AL2795">
        <f>IF($C2795="","",IF(OR($Q2795=TRUE(),$Q2795="TRUE"),1,0))</f>
        <v/>
      </c>
      <c r="AM2795">
        <f>IF($C2795="","",IF($W2795="Yes",1,0))</f>
        <v/>
      </c>
      <c r="AN2795">
        <f>IF($AJ2795=1,IFERROR(IF(VALUE($C2795)&lt;100000000,VALUE($C2795),1000000000),IFERROR(IF(VALUE(MID($C2795,2,20))&lt;100000000,VALUE(MID($C2795,2,20)),1000000000),1000000000))+ROW()/100000,"")</f>
        <v/>
      </c>
    </row>
    <row r="2796">
      <c r="E2796" s="11" t="n"/>
      <c r="M2796" s="7">
        <f>IF($C2796="","",L2796*U2796/100)</f>
        <v/>
      </c>
      <c r="N2796" s="7" t="n"/>
      <c r="T2796" s="7" t="n"/>
      <c r="U2796" s="7">
        <f>IF($C2796="","",S2796*T2796)</f>
        <v/>
      </c>
      <c r="X2796">
        <f>IF($C2796="","",IF($AM2796=1,0,IF($AL2796=1,Settings!$C$6,Settings!$C$7))*100)</f>
        <v/>
      </c>
      <c r="AB2796" s="7" t="n"/>
      <c r="AE2796" s="11" t="n"/>
      <c r="AG2796" s="7">
        <f>IF($C2796="","",U2796*X2796/100)</f>
        <v/>
      </c>
      <c r="AH2796" s="7">
        <f>IF($C2796="","",U2796-AG2796)</f>
        <v/>
      </c>
      <c r="AI2796" s="7">
        <f>IF($C2796="","",AH2796-M2796)</f>
        <v/>
      </c>
      <c r="AJ2796">
        <f>IF($C2796="","",IF(COUNTIF($C$2:$C2796,$C2796)=1,1,0))</f>
        <v/>
      </c>
      <c r="AK2796">
        <f>IF($AJ2796=1,SUMPRODUCT(--($AN$2:$AN$4001&lt;$AN2796))+1,"")</f>
        <v/>
      </c>
      <c r="AL2796">
        <f>IF($C2796="","",IF(OR($Q2796=TRUE(),$Q2796="TRUE"),1,0))</f>
        <v/>
      </c>
      <c r="AM2796">
        <f>IF($C2796="","",IF($W2796="Yes",1,0))</f>
        <v/>
      </c>
      <c r="AN2796">
        <f>IF($AJ2796=1,IFERROR(IF(VALUE($C2796)&lt;100000000,VALUE($C2796),1000000000),IFERROR(IF(VALUE(MID($C2796,2,20))&lt;100000000,VALUE(MID($C2796,2,20)),1000000000),1000000000))+ROW()/100000,"")</f>
        <v/>
      </c>
    </row>
    <row r="2797">
      <c r="E2797" s="11" t="n"/>
      <c r="M2797" s="7">
        <f>IF($C2797="","",L2797*U2797/100)</f>
        <v/>
      </c>
      <c r="N2797" s="7" t="n"/>
      <c r="T2797" s="7" t="n"/>
      <c r="U2797" s="7">
        <f>IF($C2797="","",S2797*T2797)</f>
        <v/>
      </c>
      <c r="X2797">
        <f>IF($C2797="","",IF($AM2797=1,0,IF($AL2797=1,Settings!$C$6,Settings!$C$7))*100)</f>
        <v/>
      </c>
      <c r="AB2797" s="7" t="n"/>
      <c r="AE2797" s="11" t="n"/>
      <c r="AG2797" s="7">
        <f>IF($C2797="","",U2797*X2797/100)</f>
        <v/>
      </c>
      <c r="AH2797" s="7">
        <f>IF($C2797="","",U2797-AG2797)</f>
        <v/>
      </c>
      <c r="AI2797" s="7">
        <f>IF($C2797="","",AH2797-M2797)</f>
        <v/>
      </c>
      <c r="AJ2797">
        <f>IF($C2797="","",IF(COUNTIF($C$2:$C2797,$C2797)=1,1,0))</f>
        <v/>
      </c>
      <c r="AK2797">
        <f>IF($AJ2797=1,SUMPRODUCT(--($AN$2:$AN$4001&lt;$AN2797))+1,"")</f>
        <v/>
      </c>
      <c r="AL2797">
        <f>IF($C2797="","",IF(OR($Q2797=TRUE(),$Q2797="TRUE"),1,0))</f>
        <v/>
      </c>
      <c r="AM2797">
        <f>IF($C2797="","",IF($W2797="Yes",1,0))</f>
        <v/>
      </c>
      <c r="AN2797">
        <f>IF($AJ2797=1,IFERROR(IF(VALUE($C2797)&lt;100000000,VALUE($C2797),1000000000),IFERROR(IF(VALUE(MID($C2797,2,20))&lt;100000000,VALUE(MID($C2797,2,20)),1000000000),1000000000))+ROW()/100000,"")</f>
        <v/>
      </c>
    </row>
    <row r="2798">
      <c r="E2798" s="11" t="n"/>
      <c r="M2798" s="7">
        <f>IF($C2798="","",L2798*U2798/100)</f>
        <v/>
      </c>
      <c r="N2798" s="7" t="n"/>
      <c r="T2798" s="7" t="n"/>
      <c r="U2798" s="7">
        <f>IF($C2798="","",S2798*T2798)</f>
        <v/>
      </c>
      <c r="X2798">
        <f>IF($C2798="","",IF($AM2798=1,0,IF($AL2798=1,Settings!$C$6,Settings!$C$7))*100)</f>
        <v/>
      </c>
      <c r="AB2798" s="7" t="n"/>
      <c r="AE2798" s="11" t="n"/>
      <c r="AG2798" s="7">
        <f>IF($C2798="","",U2798*X2798/100)</f>
        <v/>
      </c>
      <c r="AH2798" s="7">
        <f>IF($C2798="","",U2798-AG2798)</f>
        <v/>
      </c>
      <c r="AI2798" s="7">
        <f>IF($C2798="","",AH2798-M2798)</f>
        <v/>
      </c>
      <c r="AJ2798">
        <f>IF($C2798="","",IF(COUNTIF($C$2:$C2798,$C2798)=1,1,0))</f>
        <v/>
      </c>
      <c r="AK2798">
        <f>IF($AJ2798=1,SUMPRODUCT(--($AN$2:$AN$4001&lt;$AN2798))+1,"")</f>
        <v/>
      </c>
      <c r="AL2798">
        <f>IF($C2798="","",IF(OR($Q2798=TRUE(),$Q2798="TRUE"),1,0))</f>
        <v/>
      </c>
      <c r="AM2798">
        <f>IF($C2798="","",IF($W2798="Yes",1,0))</f>
        <v/>
      </c>
      <c r="AN2798">
        <f>IF($AJ2798=1,IFERROR(IF(VALUE($C2798)&lt;100000000,VALUE($C2798),1000000000),IFERROR(IF(VALUE(MID($C2798,2,20))&lt;100000000,VALUE(MID($C2798,2,20)),1000000000),1000000000))+ROW()/100000,"")</f>
        <v/>
      </c>
    </row>
    <row r="2799">
      <c r="E2799" s="11" t="n"/>
      <c r="M2799" s="7">
        <f>IF($C2799="","",L2799*U2799/100)</f>
        <v/>
      </c>
      <c r="N2799" s="7" t="n"/>
      <c r="T2799" s="7" t="n"/>
      <c r="U2799" s="7">
        <f>IF($C2799="","",S2799*T2799)</f>
        <v/>
      </c>
      <c r="X2799">
        <f>IF($C2799="","",IF($AM2799=1,0,IF($AL2799=1,Settings!$C$6,Settings!$C$7))*100)</f>
        <v/>
      </c>
      <c r="AB2799" s="7" t="n"/>
      <c r="AE2799" s="11" t="n"/>
      <c r="AG2799" s="7">
        <f>IF($C2799="","",U2799*X2799/100)</f>
        <v/>
      </c>
      <c r="AH2799" s="7">
        <f>IF($C2799="","",U2799-AG2799)</f>
        <v/>
      </c>
      <c r="AI2799" s="7">
        <f>IF($C2799="","",AH2799-M2799)</f>
        <v/>
      </c>
      <c r="AJ2799">
        <f>IF($C2799="","",IF(COUNTIF($C$2:$C2799,$C2799)=1,1,0))</f>
        <v/>
      </c>
      <c r="AK2799">
        <f>IF($AJ2799=1,SUMPRODUCT(--($AN$2:$AN$4001&lt;$AN2799))+1,"")</f>
        <v/>
      </c>
      <c r="AL2799">
        <f>IF($C2799="","",IF(OR($Q2799=TRUE(),$Q2799="TRUE"),1,0))</f>
        <v/>
      </c>
      <c r="AM2799">
        <f>IF($C2799="","",IF($W2799="Yes",1,0))</f>
        <v/>
      </c>
      <c r="AN2799">
        <f>IF($AJ2799=1,IFERROR(IF(VALUE($C2799)&lt;100000000,VALUE($C2799),1000000000),IFERROR(IF(VALUE(MID($C2799,2,20))&lt;100000000,VALUE(MID($C2799,2,20)),1000000000),1000000000))+ROW()/100000,"")</f>
        <v/>
      </c>
    </row>
    <row r="2800">
      <c r="E2800" s="11" t="n"/>
      <c r="M2800" s="7">
        <f>IF($C2800="","",L2800*U2800/100)</f>
        <v/>
      </c>
      <c r="N2800" s="7" t="n"/>
      <c r="T2800" s="7" t="n"/>
      <c r="U2800" s="7">
        <f>IF($C2800="","",S2800*T2800)</f>
        <v/>
      </c>
      <c r="X2800">
        <f>IF($C2800="","",IF($AM2800=1,0,IF($AL2800=1,Settings!$C$6,Settings!$C$7))*100)</f>
        <v/>
      </c>
      <c r="AB2800" s="7" t="n"/>
      <c r="AE2800" s="11" t="n"/>
      <c r="AG2800" s="7">
        <f>IF($C2800="","",U2800*X2800/100)</f>
        <v/>
      </c>
      <c r="AH2800" s="7">
        <f>IF($C2800="","",U2800-AG2800)</f>
        <v/>
      </c>
      <c r="AI2800" s="7">
        <f>IF($C2800="","",AH2800-M2800)</f>
        <v/>
      </c>
      <c r="AJ2800">
        <f>IF($C2800="","",IF(COUNTIF($C$2:$C2800,$C2800)=1,1,0))</f>
        <v/>
      </c>
      <c r="AK2800">
        <f>IF($AJ2800=1,SUMPRODUCT(--($AN$2:$AN$4001&lt;$AN2800))+1,"")</f>
        <v/>
      </c>
      <c r="AL2800">
        <f>IF($C2800="","",IF(OR($Q2800=TRUE(),$Q2800="TRUE"),1,0))</f>
        <v/>
      </c>
      <c r="AM2800">
        <f>IF($C2800="","",IF($W2800="Yes",1,0))</f>
        <v/>
      </c>
      <c r="AN2800">
        <f>IF($AJ2800=1,IFERROR(IF(VALUE($C2800)&lt;100000000,VALUE($C2800),1000000000),IFERROR(IF(VALUE(MID($C2800,2,20))&lt;100000000,VALUE(MID($C2800,2,20)),1000000000),1000000000))+ROW()/100000,"")</f>
        <v/>
      </c>
    </row>
    <row r="2801">
      <c r="E2801" s="11" t="n"/>
      <c r="M2801" s="7">
        <f>IF($C2801="","",L2801*U2801/100)</f>
        <v/>
      </c>
      <c r="N2801" s="7" t="n"/>
      <c r="T2801" s="7" t="n"/>
      <c r="U2801" s="7">
        <f>IF($C2801="","",S2801*T2801)</f>
        <v/>
      </c>
      <c r="X2801">
        <f>IF($C2801="","",IF($AM2801=1,0,IF($AL2801=1,Settings!$C$6,Settings!$C$7))*100)</f>
        <v/>
      </c>
      <c r="AB2801" s="7" t="n"/>
      <c r="AE2801" s="11" t="n"/>
      <c r="AG2801" s="7">
        <f>IF($C2801="","",U2801*X2801/100)</f>
        <v/>
      </c>
      <c r="AH2801" s="7">
        <f>IF($C2801="","",U2801-AG2801)</f>
        <v/>
      </c>
      <c r="AI2801" s="7">
        <f>IF($C2801="","",AH2801-M2801)</f>
        <v/>
      </c>
      <c r="AJ2801">
        <f>IF($C2801="","",IF(COUNTIF($C$2:$C2801,$C2801)=1,1,0))</f>
        <v/>
      </c>
      <c r="AK2801">
        <f>IF($AJ2801=1,SUMPRODUCT(--($AN$2:$AN$4001&lt;$AN2801))+1,"")</f>
        <v/>
      </c>
      <c r="AL2801">
        <f>IF($C2801="","",IF(OR($Q2801=TRUE(),$Q2801="TRUE"),1,0))</f>
        <v/>
      </c>
      <c r="AM2801">
        <f>IF($C2801="","",IF($W2801="Yes",1,0))</f>
        <v/>
      </c>
      <c r="AN2801">
        <f>IF($AJ2801=1,IFERROR(IF(VALUE($C2801)&lt;100000000,VALUE($C2801),1000000000),IFERROR(IF(VALUE(MID($C2801,2,20))&lt;100000000,VALUE(MID($C2801,2,20)),1000000000),1000000000))+ROW()/100000,"")</f>
        <v/>
      </c>
    </row>
    <row r="2802">
      <c r="E2802" s="11" t="n"/>
      <c r="M2802" s="7">
        <f>IF($C2802="","",L2802*U2802/100)</f>
        <v/>
      </c>
      <c r="N2802" s="7" t="n"/>
      <c r="T2802" s="7" t="n"/>
      <c r="U2802" s="7">
        <f>IF($C2802="","",S2802*T2802)</f>
        <v/>
      </c>
      <c r="X2802">
        <f>IF($C2802="","",IF($AM2802=1,0,IF($AL2802=1,Settings!$C$6,Settings!$C$7))*100)</f>
        <v/>
      </c>
      <c r="AB2802" s="7" t="n"/>
      <c r="AE2802" s="11" t="n"/>
      <c r="AG2802" s="7">
        <f>IF($C2802="","",U2802*X2802/100)</f>
        <v/>
      </c>
      <c r="AH2802" s="7">
        <f>IF($C2802="","",U2802-AG2802)</f>
        <v/>
      </c>
      <c r="AI2802" s="7">
        <f>IF($C2802="","",AH2802-M2802)</f>
        <v/>
      </c>
      <c r="AJ2802">
        <f>IF($C2802="","",IF(COUNTIF($C$2:$C2802,$C2802)=1,1,0))</f>
        <v/>
      </c>
      <c r="AK2802">
        <f>IF($AJ2802=1,SUMPRODUCT(--($AN$2:$AN$4001&lt;$AN2802))+1,"")</f>
        <v/>
      </c>
      <c r="AL2802">
        <f>IF($C2802="","",IF(OR($Q2802=TRUE(),$Q2802="TRUE"),1,0))</f>
        <v/>
      </c>
      <c r="AM2802">
        <f>IF($C2802="","",IF($W2802="Yes",1,0))</f>
        <v/>
      </c>
      <c r="AN2802">
        <f>IF($AJ2802=1,IFERROR(IF(VALUE($C2802)&lt;100000000,VALUE($C2802),1000000000),IFERROR(IF(VALUE(MID($C2802,2,20))&lt;100000000,VALUE(MID($C2802,2,20)),1000000000),1000000000))+ROW()/100000,"")</f>
        <v/>
      </c>
    </row>
    <row r="2803">
      <c r="E2803" s="11" t="n"/>
      <c r="M2803" s="7">
        <f>IF($C2803="","",L2803*U2803/100)</f>
        <v/>
      </c>
      <c r="N2803" s="7" t="n"/>
      <c r="T2803" s="7" t="n"/>
      <c r="U2803" s="7">
        <f>IF($C2803="","",S2803*T2803)</f>
        <v/>
      </c>
      <c r="X2803">
        <f>IF($C2803="","",IF($AM2803=1,0,IF($AL2803=1,Settings!$C$6,Settings!$C$7))*100)</f>
        <v/>
      </c>
      <c r="AB2803" s="7" t="n"/>
      <c r="AE2803" s="11" t="n"/>
      <c r="AG2803" s="7">
        <f>IF($C2803="","",U2803*X2803/100)</f>
        <v/>
      </c>
      <c r="AH2803" s="7">
        <f>IF($C2803="","",U2803-AG2803)</f>
        <v/>
      </c>
      <c r="AI2803" s="7">
        <f>IF($C2803="","",AH2803-M2803)</f>
        <v/>
      </c>
      <c r="AJ2803">
        <f>IF($C2803="","",IF(COUNTIF($C$2:$C2803,$C2803)=1,1,0))</f>
        <v/>
      </c>
      <c r="AK2803">
        <f>IF($AJ2803=1,SUMPRODUCT(--($AN$2:$AN$4001&lt;$AN2803))+1,"")</f>
        <v/>
      </c>
      <c r="AL2803">
        <f>IF($C2803="","",IF(OR($Q2803=TRUE(),$Q2803="TRUE"),1,0))</f>
        <v/>
      </c>
      <c r="AM2803">
        <f>IF($C2803="","",IF($W2803="Yes",1,0))</f>
        <v/>
      </c>
      <c r="AN2803">
        <f>IF($AJ2803=1,IFERROR(IF(VALUE($C2803)&lt;100000000,VALUE($C2803),1000000000),IFERROR(IF(VALUE(MID($C2803,2,20))&lt;100000000,VALUE(MID($C2803,2,20)),1000000000),1000000000))+ROW()/100000,"")</f>
        <v/>
      </c>
    </row>
    <row r="2804">
      <c r="E2804" s="11" t="n"/>
      <c r="M2804" s="7">
        <f>IF($C2804="","",L2804*U2804/100)</f>
        <v/>
      </c>
      <c r="N2804" s="7" t="n"/>
      <c r="T2804" s="7" t="n"/>
      <c r="U2804" s="7">
        <f>IF($C2804="","",S2804*T2804)</f>
        <v/>
      </c>
      <c r="X2804">
        <f>IF($C2804="","",IF($AM2804=1,0,IF($AL2804=1,Settings!$C$6,Settings!$C$7))*100)</f>
        <v/>
      </c>
      <c r="AB2804" s="7" t="n"/>
      <c r="AE2804" s="11" t="n"/>
      <c r="AG2804" s="7">
        <f>IF($C2804="","",U2804*X2804/100)</f>
        <v/>
      </c>
      <c r="AH2804" s="7">
        <f>IF($C2804="","",U2804-AG2804)</f>
        <v/>
      </c>
      <c r="AI2804" s="7">
        <f>IF($C2804="","",AH2804-M2804)</f>
        <v/>
      </c>
      <c r="AJ2804">
        <f>IF($C2804="","",IF(COUNTIF($C$2:$C2804,$C2804)=1,1,0))</f>
        <v/>
      </c>
      <c r="AK2804">
        <f>IF($AJ2804=1,SUMPRODUCT(--($AN$2:$AN$4001&lt;$AN2804))+1,"")</f>
        <v/>
      </c>
      <c r="AL2804">
        <f>IF($C2804="","",IF(OR($Q2804=TRUE(),$Q2804="TRUE"),1,0))</f>
        <v/>
      </c>
      <c r="AM2804">
        <f>IF($C2804="","",IF($W2804="Yes",1,0))</f>
        <v/>
      </c>
      <c r="AN2804">
        <f>IF($AJ2804=1,IFERROR(IF(VALUE($C2804)&lt;100000000,VALUE($C2804),1000000000),IFERROR(IF(VALUE(MID($C2804,2,20))&lt;100000000,VALUE(MID($C2804,2,20)),1000000000),1000000000))+ROW()/100000,"")</f>
        <v/>
      </c>
    </row>
    <row r="2805">
      <c r="E2805" s="11" t="n"/>
      <c r="M2805" s="7">
        <f>IF($C2805="","",L2805*U2805/100)</f>
        <v/>
      </c>
      <c r="N2805" s="7" t="n"/>
      <c r="T2805" s="7" t="n"/>
      <c r="U2805" s="7">
        <f>IF($C2805="","",S2805*T2805)</f>
        <v/>
      </c>
      <c r="X2805">
        <f>IF($C2805="","",IF($AM2805=1,0,IF($AL2805=1,Settings!$C$6,Settings!$C$7))*100)</f>
        <v/>
      </c>
      <c r="AB2805" s="7" t="n"/>
      <c r="AE2805" s="11" t="n"/>
      <c r="AG2805" s="7">
        <f>IF($C2805="","",U2805*X2805/100)</f>
        <v/>
      </c>
      <c r="AH2805" s="7">
        <f>IF($C2805="","",U2805-AG2805)</f>
        <v/>
      </c>
      <c r="AI2805" s="7">
        <f>IF($C2805="","",AH2805-M2805)</f>
        <v/>
      </c>
      <c r="AJ2805">
        <f>IF($C2805="","",IF(COUNTIF($C$2:$C2805,$C2805)=1,1,0))</f>
        <v/>
      </c>
      <c r="AK2805">
        <f>IF($AJ2805=1,SUMPRODUCT(--($AN$2:$AN$4001&lt;$AN2805))+1,"")</f>
        <v/>
      </c>
      <c r="AL2805">
        <f>IF($C2805="","",IF(OR($Q2805=TRUE(),$Q2805="TRUE"),1,0))</f>
        <v/>
      </c>
      <c r="AM2805">
        <f>IF($C2805="","",IF($W2805="Yes",1,0))</f>
        <v/>
      </c>
      <c r="AN2805">
        <f>IF($AJ2805=1,IFERROR(IF(VALUE($C2805)&lt;100000000,VALUE($C2805),1000000000),IFERROR(IF(VALUE(MID($C2805,2,20))&lt;100000000,VALUE(MID($C2805,2,20)),1000000000),1000000000))+ROW()/100000,"")</f>
        <v/>
      </c>
    </row>
    <row r="2806">
      <c r="E2806" s="11" t="n"/>
      <c r="M2806" s="7">
        <f>IF($C2806="","",L2806*U2806/100)</f>
        <v/>
      </c>
      <c r="N2806" s="7" t="n"/>
      <c r="T2806" s="7" t="n"/>
      <c r="U2806" s="7">
        <f>IF($C2806="","",S2806*T2806)</f>
        <v/>
      </c>
      <c r="X2806">
        <f>IF($C2806="","",IF($AM2806=1,0,IF($AL2806=1,Settings!$C$6,Settings!$C$7))*100)</f>
        <v/>
      </c>
      <c r="AB2806" s="7" t="n"/>
      <c r="AE2806" s="11" t="n"/>
      <c r="AG2806" s="7">
        <f>IF($C2806="","",U2806*X2806/100)</f>
        <v/>
      </c>
      <c r="AH2806" s="7">
        <f>IF($C2806="","",U2806-AG2806)</f>
        <v/>
      </c>
      <c r="AI2806" s="7">
        <f>IF($C2806="","",AH2806-M2806)</f>
        <v/>
      </c>
      <c r="AJ2806">
        <f>IF($C2806="","",IF(COUNTIF($C$2:$C2806,$C2806)=1,1,0))</f>
        <v/>
      </c>
      <c r="AK2806">
        <f>IF($AJ2806=1,SUMPRODUCT(--($AN$2:$AN$4001&lt;$AN2806))+1,"")</f>
        <v/>
      </c>
      <c r="AL2806">
        <f>IF($C2806="","",IF(OR($Q2806=TRUE(),$Q2806="TRUE"),1,0))</f>
        <v/>
      </c>
      <c r="AM2806">
        <f>IF($C2806="","",IF($W2806="Yes",1,0))</f>
        <v/>
      </c>
      <c r="AN2806">
        <f>IF($AJ2806=1,IFERROR(IF(VALUE($C2806)&lt;100000000,VALUE($C2806),1000000000),IFERROR(IF(VALUE(MID($C2806,2,20))&lt;100000000,VALUE(MID($C2806,2,20)),1000000000),1000000000))+ROW()/100000,"")</f>
        <v/>
      </c>
    </row>
    <row r="2807">
      <c r="E2807" s="11" t="n"/>
      <c r="M2807" s="7">
        <f>IF($C2807="","",L2807*U2807/100)</f>
        <v/>
      </c>
      <c r="N2807" s="7" t="n"/>
      <c r="T2807" s="7" t="n"/>
      <c r="U2807" s="7">
        <f>IF($C2807="","",S2807*T2807)</f>
        <v/>
      </c>
      <c r="X2807">
        <f>IF($C2807="","",IF($AM2807=1,0,IF($AL2807=1,Settings!$C$6,Settings!$C$7))*100)</f>
        <v/>
      </c>
      <c r="AB2807" s="7" t="n"/>
      <c r="AE2807" s="11" t="n"/>
      <c r="AG2807" s="7">
        <f>IF($C2807="","",U2807*X2807/100)</f>
        <v/>
      </c>
      <c r="AH2807" s="7">
        <f>IF($C2807="","",U2807-AG2807)</f>
        <v/>
      </c>
      <c r="AI2807" s="7">
        <f>IF($C2807="","",AH2807-M2807)</f>
        <v/>
      </c>
      <c r="AJ2807">
        <f>IF($C2807="","",IF(COUNTIF($C$2:$C2807,$C2807)=1,1,0))</f>
        <v/>
      </c>
      <c r="AK2807">
        <f>IF($AJ2807=1,SUMPRODUCT(--($AN$2:$AN$4001&lt;$AN2807))+1,"")</f>
        <v/>
      </c>
      <c r="AL2807">
        <f>IF($C2807="","",IF(OR($Q2807=TRUE(),$Q2807="TRUE"),1,0))</f>
        <v/>
      </c>
      <c r="AM2807">
        <f>IF($C2807="","",IF($W2807="Yes",1,0))</f>
        <v/>
      </c>
      <c r="AN2807">
        <f>IF($AJ2807=1,IFERROR(IF(VALUE($C2807)&lt;100000000,VALUE($C2807),1000000000),IFERROR(IF(VALUE(MID($C2807,2,20))&lt;100000000,VALUE(MID($C2807,2,20)),1000000000),1000000000))+ROW()/100000,"")</f>
        <v/>
      </c>
    </row>
    <row r="2808">
      <c r="E2808" s="11" t="n"/>
      <c r="M2808" s="7">
        <f>IF($C2808="","",L2808*U2808/100)</f>
        <v/>
      </c>
      <c r="N2808" s="7" t="n"/>
      <c r="T2808" s="7" t="n"/>
      <c r="U2808" s="7">
        <f>IF($C2808="","",S2808*T2808)</f>
        <v/>
      </c>
      <c r="X2808">
        <f>IF($C2808="","",IF($AM2808=1,0,IF($AL2808=1,Settings!$C$6,Settings!$C$7))*100)</f>
        <v/>
      </c>
      <c r="AB2808" s="7" t="n"/>
      <c r="AE2808" s="11" t="n"/>
      <c r="AG2808" s="7">
        <f>IF($C2808="","",U2808*X2808/100)</f>
        <v/>
      </c>
      <c r="AH2808" s="7">
        <f>IF($C2808="","",U2808-AG2808)</f>
        <v/>
      </c>
      <c r="AI2808" s="7">
        <f>IF($C2808="","",AH2808-M2808)</f>
        <v/>
      </c>
      <c r="AJ2808">
        <f>IF($C2808="","",IF(COUNTIF($C$2:$C2808,$C2808)=1,1,0))</f>
        <v/>
      </c>
      <c r="AK2808">
        <f>IF($AJ2808=1,SUMPRODUCT(--($AN$2:$AN$4001&lt;$AN2808))+1,"")</f>
        <v/>
      </c>
      <c r="AL2808">
        <f>IF($C2808="","",IF(OR($Q2808=TRUE(),$Q2808="TRUE"),1,0))</f>
        <v/>
      </c>
      <c r="AM2808">
        <f>IF($C2808="","",IF($W2808="Yes",1,0))</f>
        <v/>
      </c>
      <c r="AN2808">
        <f>IF($AJ2808=1,IFERROR(IF(VALUE($C2808)&lt;100000000,VALUE($C2808),1000000000),IFERROR(IF(VALUE(MID($C2808,2,20))&lt;100000000,VALUE(MID($C2808,2,20)),1000000000),1000000000))+ROW()/100000,"")</f>
        <v/>
      </c>
    </row>
    <row r="2809">
      <c r="E2809" s="11" t="n"/>
      <c r="M2809" s="7">
        <f>IF($C2809="","",L2809*U2809/100)</f>
        <v/>
      </c>
      <c r="N2809" s="7" t="n"/>
      <c r="T2809" s="7" t="n"/>
      <c r="U2809" s="7">
        <f>IF($C2809="","",S2809*T2809)</f>
        <v/>
      </c>
      <c r="X2809">
        <f>IF($C2809="","",IF($AM2809=1,0,IF($AL2809=1,Settings!$C$6,Settings!$C$7))*100)</f>
        <v/>
      </c>
      <c r="AB2809" s="7" t="n"/>
      <c r="AE2809" s="11" t="n"/>
      <c r="AG2809" s="7">
        <f>IF($C2809="","",U2809*X2809/100)</f>
        <v/>
      </c>
      <c r="AH2809" s="7">
        <f>IF($C2809="","",U2809-AG2809)</f>
        <v/>
      </c>
      <c r="AI2809" s="7">
        <f>IF($C2809="","",AH2809-M2809)</f>
        <v/>
      </c>
      <c r="AJ2809">
        <f>IF($C2809="","",IF(COUNTIF($C$2:$C2809,$C2809)=1,1,0))</f>
        <v/>
      </c>
      <c r="AK2809">
        <f>IF($AJ2809=1,SUMPRODUCT(--($AN$2:$AN$4001&lt;$AN2809))+1,"")</f>
        <v/>
      </c>
      <c r="AL2809">
        <f>IF($C2809="","",IF(OR($Q2809=TRUE(),$Q2809="TRUE"),1,0))</f>
        <v/>
      </c>
      <c r="AM2809">
        <f>IF($C2809="","",IF($W2809="Yes",1,0))</f>
        <v/>
      </c>
      <c r="AN2809">
        <f>IF($AJ2809=1,IFERROR(IF(VALUE($C2809)&lt;100000000,VALUE($C2809),1000000000),IFERROR(IF(VALUE(MID($C2809,2,20))&lt;100000000,VALUE(MID($C2809,2,20)),1000000000),1000000000))+ROW()/100000,"")</f>
        <v/>
      </c>
    </row>
    <row r="2810">
      <c r="E2810" s="11" t="n"/>
      <c r="M2810" s="7">
        <f>IF($C2810="","",L2810*U2810/100)</f>
        <v/>
      </c>
      <c r="N2810" s="7" t="n"/>
      <c r="T2810" s="7" t="n"/>
      <c r="U2810" s="7">
        <f>IF($C2810="","",S2810*T2810)</f>
        <v/>
      </c>
      <c r="X2810">
        <f>IF($C2810="","",IF($AM2810=1,0,IF($AL2810=1,Settings!$C$6,Settings!$C$7))*100)</f>
        <v/>
      </c>
      <c r="AB2810" s="7" t="n"/>
      <c r="AE2810" s="11" t="n"/>
      <c r="AG2810" s="7">
        <f>IF($C2810="","",U2810*X2810/100)</f>
        <v/>
      </c>
      <c r="AH2810" s="7">
        <f>IF($C2810="","",U2810-AG2810)</f>
        <v/>
      </c>
      <c r="AI2810" s="7">
        <f>IF($C2810="","",AH2810-M2810)</f>
        <v/>
      </c>
      <c r="AJ2810">
        <f>IF($C2810="","",IF(COUNTIF($C$2:$C2810,$C2810)=1,1,0))</f>
        <v/>
      </c>
      <c r="AK2810">
        <f>IF($AJ2810=1,SUMPRODUCT(--($AN$2:$AN$4001&lt;$AN2810))+1,"")</f>
        <v/>
      </c>
      <c r="AL2810">
        <f>IF($C2810="","",IF(OR($Q2810=TRUE(),$Q2810="TRUE"),1,0))</f>
        <v/>
      </c>
      <c r="AM2810">
        <f>IF($C2810="","",IF($W2810="Yes",1,0))</f>
        <v/>
      </c>
      <c r="AN2810">
        <f>IF($AJ2810=1,IFERROR(IF(VALUE($C2810)&lt;100000000,VALUE($C2810),1000000000),IFERROR(IF(VALUE(MID($C2810,2,20))&lt;100000000,VALUE(MID($C2810,2,20)),1000000000),1000000000))+ROW()/100000,"")</f>
        <v/>
      </c>
    </row>
    <row r="2811">
      <c r="E2811" s="11" t="n"/>
      <c r="M2811" s="7">
        <f>IF($C2811="","",L2811*U2811/100)</f>
        <v/>
      </c>
      <c r="N2811" s="7" t="n"/>
      <c r="T2811" s="7" t="n"/>
      <c r="U2811" s="7">
        <f>IF($C2811="","",S2811*T2811)</f>
        <v/>
      </c>
      <c r="X2811">
        <f>IF($C2811="","",IF($AM2811=1,0,IF($AL2811=1,Settings!$C$6,Settings!$C$7))*100)</f>
        <v/>
      </c>
      <c r="AB2811" s="7" t="n"/>
      <c r="AE2811" s="11" t="n"/>
      <c r="AG2811" s="7">
        <f>IF($C2811="","",U2811*X2811/100)</f>
        <v/>
      </c>
      <c r="AH2811" s="7">
        <f>IF($C2811="","",U2811-AG2811)</f>
        <v/>
      </c>
      <c r="AI2811" s="7">
        <f>IF($C2811="","",AH2811-M2811)</f>
        <v/>
      </c>
      <c r="AJ2811">
        <f>IF($C2811="","",IF(COUNTIF($C$2:$C2811,$C2811)=1,1,0))</f>
        <v/>
      </c>
      <c r="AK2811">
        <f>IF($AJ2811=1,SUMPRODUCT(--($AN$2:$AN$4001&lt;$AN2811))+1,"")</f>
        <v/>
      </c>
      <c r="AL2811">
        <f>IF($C2811="","",IF(OR($Q2811=TRUE(),$Q2811="TRUE"),1,0))</f>
        <v/>
      </c>
      <c r="AM2811">
        <f>IF($C2811="","",IF($W2811="Yes",1,0))</f>
        <v/>
      </c>
      <c r="AN2811">
        <f>IF($AJ2811=1,IFERROR(IF(VALUE($C2811)&lt;100000000,VALUE($C2811),1000000000),IFERROR(IF(VALUE(MID($C2811,2,20))&lt;100000000,VALUE(MID($C2811,2,20)),1000000000),1000000000))+ROW()/100000,"")</f>
        <v/>
      </c>
    </row>
    <row r="2812">
      <c r="E2812" s="11" t="n"/>
      <c r="M2812" s="7">
        <f>IF($C2812="","",L2812*U2812/100)</f>
        <v/>
      </c>
      <c r="N2812" s="7" t="n"/>
      <c r="T2812" s="7" t="n"/>
      <c r="U2812" s="7">
        <f>IF($C2812="","",S2812*T2812)</f>
        <v/>
      </c>
      <c r="X2812">
        <f>IF($C2812="","",IF($AM2812=1,0,IF($AL2812=1,Settings!$C$6,Settings!$C$7))*100)</f>
        <v/>
      </c>
      <c r="AB2812" s="7" t="n"/>
      <c r="AE2812" s="11" t="n"/>
      <c r="AG2812" s="7">
        <f>IF($C2812="","",U2812*X2812/100)</f>
        <v/>
      </c>
      <c r="AH2812" s="7">
        <f>IF($C2812="","",U2812-AG2812)</f>
        <v/>
      </c>
      <c r="AI2812" s="7">
        <f>IF($C2812="","",AH2812-M2812)</f>
        <v/>
      </c>
      <c r="AJ2812">
        <f>IF($C2812="","",IF(COUNTIF($C$2:$C2812,$C2812)=1,1,0))</f>
        <v/>
      </c>
      <c r="AK2812">
        <f>IF($AJ2812=1,SUMPRODUCT(--($AN$2:$AN$4001&lt;$AN2812))+1,"")</f>
        <v/>
      </c>
      <c r="AL2812">
        <f>IF($C2812="","",IF(OR($Q2812=TRUE(),$Q2812="TRUE"),1,0))</f>
        <v/>
      </c>
      <c r="AM2812">
        <f>IF($C2812="","",IF($W2812="Yes",1,0))</f>
        <v/>
      </c>
      <c r="AN2812">
        <f>IF($AJ2812=1,IFERROR(IF(VALUE($C2812)&lt;100000000,VALUE($C2812),1000000000),IFERROR(IF(VALUE(MID($C2812,2,20))&lt;100000000,VALUE(MID($C2812,2,20)),1000000000),1000000000))+ROW()/100000,"")</f>
        <v/>
      </c>
    </row>
    <row r="2813">
      <c r="E2813" s="11" t="n"/>
      <c r="M2813" s="7">
        <f>IF($C2813="","",L2813*U2813/100)</f>
        <v/>
      </c>
      <c r="N2813" s="7" t="n"/>
      <c r="T2813" s="7" t="n"/>
      <c r="U2813" s="7">
        <f>IF($C2813="","",S2813*T2813)</f>
        <v/>
      </c>
      <c r="X2813">
        <f>IF($C2813="","",IF($AM2813=1,0,IF($AL2813=1,Settings!$C$6,Settings!$C$7))*100)</f>
        <v/>
      </c>
      <c r="AB2813" s="7" t="n"/>
      <c r="AE2813" s="11" t="n"/>
      <c r="AG2813" s="7">
        <f>IF($C2813="","",U2813*X2813/100)</f>
        <v/>
      </c>
      <c r="AH2813" s="7">
        <f>IF($C2813="","",U2813-AG2813)</f>
        <v/>
      </c>
      <c r="AI2813" s="7">
        <f>IF($C2813="","",AH2813-M2813)</f>
        <v/>
      </c>
      <c r="AJ2813">
        <f>IF($C2813="","",IF(COUNTIF($C$2:$C2813,$C2813)=1,1,0))</f>
        <v/>
      </c>
      <c r="AK2813">
        <f>IF($AJ2813=1,SUMPRODUCT(--($AN$2:$AN$4001&lt;$AN2813))+1,"")</f>
        <v/>
      </c>
      <c r="AL2813">
        <f>IF($C2813="","",IF(OR($Q2813=TRUE(),$Q2813="TRUE"),1,0))</f>
        <v/>
      </c>
      <c r="AM2813">
        <f>IF($C2813="","",IF($W2813="Yes",1,0))</f>
        <v/>
      </c>
      <c r="AN2813">
        <f>IF($AJ2813=1,IFERROR(IF(VALUE($C2813)&lt;100000000,VALUE($C2813),1000000000),IFERROR(IF(VALUE(MID($C2813,2,20))&lt;100000000,VALUE(MID($C2813,2,20)),1000000000),1000000000))+ROW()/100000,"")</f>
        <v/>
      </c>
    </row>
    <row r="2814">
      <c r="E2814" s="11" t="n"/>
      <c r="M2814" s="7">
        <f>IF($C2814="","",L2814*U2814/100)</f>
        <v/>
      </c>
      <c r="N2814" s="7" t="n"/>
      <c r="T2814" s="7" t="n"/>
      <c r="U2814" s="7">
        <f>IF($C2814="","",S2814*T2814)</f>
        <v/>
      </c>
      <c r="X2814">
        <f>IF($C2814="","",IF($AM2814=1,0,IF($AL2814=1,Settings!$C$6,Settings!$C$7))*100)</f>
        <v/>
      </c>
      <c r="AB2814" s="7" t="n"/>
      <c r="AE2814" s="11" t="n"/>
      <c r="AG2814" s="7">
        <f>IF($C2814="","",U2814*X2814/100)</f>
        <v/>
      </c>
      <c r="AH2814" s="7">
        <f>IF($C2814="","",U2814-AG2814)</f>
        <v/>
      </c>
      <c r="AI2814" s="7">
        <f>IF($C2814="","",AH2814-M2814)</f>
        <v/>
      </c>
      <c r="AJ2814">
        <f>IF($C2814="","",IF(COUNTIF($C$2:$C2814,$C2814)=1,1,0))</f>
        <v/>
      </c>
      <c r="AK2814">
        <f>IF($AJ2814=1,SUMPRODUCT(--($AN$2:$AN$4001&lt;$AN2814))+1,"")</f>
        <v/>
      </c>
      <c r="AL2814">
        <f>IF($C2814="","",IF(OR($Q2814=TRUE(),$Q2814="TRUE"),1,0))</f>
        <v/>
      </c>
      <c r="AM2814">
        <f>IF($C2814="","",IF($W2814="Yes",1,0))</f>
        <v/>
      </c>
      <c r="AN2814">
        <f>IF($AJ2814=1,IFERROR(IF(VALUE($C2814)&lt;100000000,VALUE($C2814),1000000000),IFERROR(IF(VALUE(MID($C2814,2,20))&lt;100000000,VALUE(MID($C2814,2,20)),1000000000),1000000000))+ROW()/100000,"")</f>
        <v/>
      </c>
    </row>
    <row r="2815">
      <c r="E2815" s="11" t="n"/>
      <c r="M2815" s="7">
        <f>IF($C2815="","",L2815*U2815/100)</f>
        <v/>
      </c>
      <c r="N2815" s="7" t="n"/>
      <c r="T2815" s="7" t="n"/>
      <c r="U2815" s="7">
        <f>IF($C2815="","",S2815*T2815)</f>
        <v/>
      </c>
      <c r="X2815">
        <f>IF($C2815="","",IF($AM2815=1,0,IF($AL2815=1,Settings!$C$6,Settings!$C$7))*100)</f>
        <v/>
      </c>
      <c r="AB2815" s="7" t="n"/>
      <c r="AE2815" s="11" t="n"/>
      <c r="AG2815" s="7">
        <f>IF($C2815="","",U2815*X2815/100)</f>
        <v/>
      </c>
      <c r="AH2815" s="7">
        <f>IF($C2815="","",U2815-AG2815)</f>
        <v/>
      </c>
      <c r="AI2815" s="7">
        <f>IF($C2815="","",AH2815-M2815)</f>
        <v/>
      </c>
      <c r="AJ2815">
        <f>IF($C2815="","",IF(COUNTIF($C$2:$C2815,$C2815)=1,1,0))</f>
        <v/>
      </c>
      <c r="AK2815">
        <f>IF($AJ2815=1,SUMPRODUCT(--($AN$2:$AN$4001&lt;$AN2815))+1,"")</f>
        <v/>
      </c>
      <c r="AL2815">
        <f>IF($C2815="","",IF(OR($Q2815=TRUE(),$Q2815="TRUE"),1,0))</f>
        <v/>
      </c>
      <c r="AM2815">
        <f>IF($C2815="","",IF($W2815="Yes",1,0))</f>
        <v/>
      </c>
      <c r="AN2815">
        <f>IF($AJ2815=1,IFERROR(IF(VALUE($C2815)&lt;100000000,VALUE($C2815),1000000000),IFERROR(IF(VALUE(MID($C2815,2,20))&lt;100000000,VALUE(MID($C2815,2,20)),1000000000),1000000000))+ROW()/100000,"")</f>
        <v/>
      </c>
    </row>
    <row r="2816">
      <c r="E2816" s="11" t="n"/>
      <c r="M2816" s="7">
        <f>IF($C2816="","",L2816*U2816/100)</f>
        <v/>
      </c>
      <c r="N2816" s="7" t="n"/>
      <c r="T2816" s="7" t="n"/>
      <c r="U2816" s="7">
        <f>IF($C2816="","",S2816*T2816)</f>
        <v/>
      </c>
      <c r="X2816">
        <f>IF($C2816="","",IF($AM2816=1,0,IF($AL2816=1,Settings!$C$6,Settings!$C$7))*100)</f>
        <v/>
      </c>
      <c r="AB2816" s="7" t="n"/>
      <c r="AE2816" s="11" t="n"/>
      <c r="AG2816" s="7">
        <f>IF($C2816="","",U2816*X2816/100)</f>
        <v/>
      </c>
      <c r="AH2816" s="7">
        <f>IF($C2816="","",U2816-AG2816)</f>
        <v/>
      </c>
      <c r="AI2816" s="7">
        <f>IF($C2816="","",AH2816-M2816)</f>
        <v/>
      </c>
      <c r="AJ2816">
        <f>IF($C2816="","",IF(COUNTIF($C$2:$C2816,$C2816)=1,1,0))</f>
        <v/>
      </c>
      <c r="AK2816">
        <f>IF($AJ2816=1,SUMPRODUCT(--($AN$2:$AN$4001&lt;$AN2816))+1,"")</f>
        <v/>
      </c>
      <c r="AL2816">
        <f>IF($C2816="","",IF(OR($Q2816=TRUE(),$Q2816="TRUE"),1,0))</f>
        <v/>
      </c>
      <c r="AM2816">
        <f>IF($C2816="","",IF($W2816="Yes",1,0))</f>
        <v/>
      </c>
      <c r="AN2816">
        <f>IF($AJ2816=1,IFERROR(IF(VALUE($C2816)&lt;100000000,VALUE($C2816),1000000000),IFERROR(IF(VALUE(MID($C2816,2,20))&lt;100000000,VALUE(MID($C2816,2,20)),1000000000),1000000000))+ROW()/100000,"")</f>
        <v/>
      </c>
    </row>
    <row r="2817">
      <c r="E2817" s="11" t="n"/>
      <c r="M2817" s="7">
        <f>IF($C2817="","",L2817*U2817/100)</f>
        <v/>
      </c>
      <c r="N2817" s="7" t="n"/>
      <c r="T2817" s="7" t="n"/>
      <c r="U2817" s="7">
        <f>IF($C2817="","",S2817*T2817)</f>
        <v/>
      </c>
      <c r="X2817">
        <f>IF($C2817="","",IF($AM2817=1,0,IF($AL2817=1,Settings!$C$6,Settings!$C$7))*100)</f>
        <v/>
      </c>
      <c r="AB2817" s="7" t="n"/>
      <c r="AE2817" s="11" t="n"/>
      <c r="AG2817" s="7">
        <f>IF($C2817="","",U2817*X2817/100)</f>
        <v/>
      </c>
      <c r="AH2817" s="7">
        <f>IF($C2817="","",U2817-AG2817)</f>
        <v/>
      </c>
      <c r="AI2817" s="7">
        <f>IF($C2817="","",AH2817-M2817)</f>
        <v/>
      </c>
      <c r="AJ2817">
        <f>IF($C2817="","",IF(COUNTIF($C$2:$C2817,$C2817)=1,1,0))</f>
        <v/>
      </c>
      <c r="AK2817">
        <f>IF($AJ2817=1,SUMPRODUCT(--($AN$2:$AN$4001&lt;$AN2817))+1,"")</f>
        <v/>
      </c>
      <c r="AL2817">
        <f>IF($C2817="","",IF(OR($Q2817=TRUE(),$Q2817="TRUE"),1,0))</f>
        <v/>
      </c>
      <c r="AM2817">
        <f>IF($C2817="","",IF($W2817="Yes",1,0))</f>
        <v/>
      </c>
      <c r="AN2817">
        <f>IF($AJ2817=1,IFERROR(IF(VALUE($C2817)&lt;100000000,VALUE($C2817),1000000000),IFERROR(IF(VALUE(MID($C2817,2,20))&lt;100000000,VALUE(MID($C2817,2,20)),1000000000),1000000000))+ROW()/100000,"")</f>
        <v/>
      </c>
    </row>
    <row r="2818">
      <c r="E2818" s="11" t="n"/>
      <c r="M2818" s="7">
        <f>IF($C2818="","",L2818*U2818/100)</f>
        <v/>
      </c>
      <c r="N2818" s="7" t="n"/>
      <c r="T2818" s="7" t="n"/>
      <c r="U2818" s="7">
        <f>IF($C2818="","",S2818*T2818)</f>
        <v/>
      </c>
      <c r="X2818">
        <f>IF($C2818="","",IF($AM2818=1,0,IF($AL2818=1,Settings!$C$6,Settings!$C$7))*100)</f>
        <v/>
      </c>
      <c r="AB2818" s="7" t="n"/>
      <c r="AE2818" s="11" t="n"/>
      <c r="AG2818" s="7">
        <f>IF($C2818="","",U2818*X2818/100)</f>
        <v/>
      </c>
      <c r="AH2818" s="7">
        <f>IF($C2818="","",U2818-AG2818)</f>
        <v/>
      </c>
      <c r="AI2818" s="7">
        <f>IF($C2818="","",AH2818-M2818)</f>
        <v/>
      </c>
      <c r="AJ2818">
        <f>IF($C2818="","",IF(COUNTIF($C$2:$C2818,$C2818)=1,1,0))</f>
        <v/>
      </c>
      <c r="AK2818">
        <f>IF($AJ2818=1,SUMPRODUCT(--($AN$2:$AN$4001&lt;$AN2818))+1,"")</f>
        <v/>
      </c>
      <c r="AL2818">
        <f>IF($C2818="","",IF(OR($Q2818=TRUE(),$Q2818="TRUE"),1,0))</f>
        <v/>
      </c>
      <c r="AM2818">
        <f>IF($C2818="","",IF($W2818="Yes",1,0))</f>
        <v/>
      </c>
      <c r="AN2818">
        <f>IF($AJ2818=1,IFERROR(IF(VALUE($C2818)&lt;100000000,VALUE($C2818),1000000000),IFERROR(IF(VALUE(MID($C2818,2,20))&lt;100000000,VALUE(MID($C2818,2,20)),1000000000),1000000000))+ROW()/100000,"")</f>
        <v/>
      </c>
    </row>
    <row r="2819">
      <c r="E2819" s="11" t="n"/>
      <c r="M2819" s="7">
        <f>IF($C2819="","",L2819*U2819/100)</f>
        <v/>
      </c>
      <c r="N2819" s="7" t="n"/>
      <c r="T2819" s="7" t="n"/>
      <c r="U2819" s="7">
        <f>IF($C2819="","",S2819*T2819)</f>
        <v/>
      </c>
      <c r="X2819">
        <f>IF($C2819="","",IF($AM2819=1,0,IF($AL2819=1,Settings!$C$6,Settings!$C$7))*100)</f>
        <v/>
      </c>
      <c r="AB2819" s="7" t="n"/>
      <c r="AE2819" s="11" t="n"/>
      <c r="AG2819" s="7">
        <f>IF($C2819="","",U2819*X2819/100)</f>
        <v/>
      </c>
      <c r="AH2819" s="7">
        <f>IF($C2819="","",U2819-AG2819)</f>
        <v/>
      </c>
      <c r="AI2819" s="7">
        <f>IF($C2819="","",AH2819-M2819)</f>
        <v/>
      </c>
      <c r="AJ2819">
        <f>IF($C2819="","",IF(COUNTIF($C$2:$C2819,$C2819)=1,1,0))</f>
        <v/>
      </c>
      <c r="AK2819">
        <f>IF($AJ2819=1,SUMPRODUCT(--($AN$2:$AN$4001&lt;$AN2819))+1,"")</f>
        <v/>
      </c>
      <c r="AL2819">
        <f>IF($C2819="","",IF(OR($Q2819=TRUE(),$Q2819="TRUE"),1,0))</f>
        <v/>
      </c>
      <c r="AM2819">
        <f>IF($C2819="","",IF($W2819="Yes",1,0))</f>
        <v/>
      </c>
      <c r="AN2819">
        <f>IF($AJ2819=1,IFERROR(IF(VALUE($C2819)&lt;100000000,VALUE($C2819),1000000000),IFERROR(IF(VALUE(MID($C2819,2,20))&lt;100000000,VALUE(MID($C2819,2,20)),1000000000),1000000000))+ROW()/100000,"")</f>
        <v/>
      </c>
    </row>
    <row r="2820">
      <c r="E2820" s="11" t="n"/>
      <c r="M2820" s="7">
        <f>IF($C2820="","",L2820*U2820/100)</f>
        <v/>
      </c>
      <c r="N2820" s="7" t="n"/>
      <c r="T2820" s="7" t="n"/>
      <c r="U2820" s="7">
        <f>IF($C2820="","",S2820*T2820)</f>
        <v/>
      </c>
      <c r="X2820">
        <f>IF($C2820="","",IF($AM2820=1,0,IF($AL2820=1,Settings!$C$6,Settings!$C$7))*100)</f>
        <v/>
      </c>
      <c r="AB2820" s="7" t="n"/>
      <c r="AE2820" s="11" t="n"/>
      <c r="AG2820" s="7">
        <f>IF($C2820="","",U2820*X2820/100)</f>
        <v/>
      </c>
      <c r="AH2820" s="7">
        <f>IF($C2820="","",U2820-AG2820)</f>
        <v/>
      </c>
      <c r="AI2820" s="7">
        <f>IF($C2820="","",AH2820-M2820)</f>
        <v/>
      </c>
      <c r="AJ2820">
        <f>IF($C2820="","",IF(COUNTIF($C$2:$C2820,$C2820)=1,1,0))</f>
        <v/>
      </c>
      <c r="AK2820">
        <f>IF($AJ2820=1,SUMPRODUCT(--($AN$2:$AN$4001&lt;$AN2820))+1,"")</f>
        <v/>
      </c>
      <c r="AL2820">
        <f>IF($C2820="","",IF(OR($Q2820=TRUE(),$Q2820="TRUE"),1,0))</f>
        <v/>
      </c>
      <c r="AM2820">
        <f>IF($C2820="","",IF($W2820="Yes",1,0))</f>
        <v/>
      </c>
      <c r="AN2820">
        <f>IF($AJ2820=1,IFERROR(IF(VALUE($C2820)&lt;100000000,VALUE($C2820),1000000000),IFERROR(IF(VALUE(MID($C2820,2,20))&lt;100000000,VALUE(MID($C2820,2,20)),1000000000),1000000000))+ROW()/100000,"")</f>
        <v/>
      </c>
    </row>
    <row r="2821">
      <c r="E2821" s="11" t="n"/>
      <c r="M2821" s="7">
        <f>IF($C2821="","",L2821*U2821/100)</f>
        <v/>
      </c>
      <c r="N2821" s="7" t="n"/>
      <c r="T2821" s="7" t="n"/>
      <c r="U2821" s="7">
        <f>IF($C2821="","",S2821*T2821)</f>
        <v/>
      </c>
      <c r="X2821">
        <f>IF($C2821="","",IF($AM2821=1,0,IF($AL2821=1,Settings!$C$6,Settings!$C$7))*100)</f>
        <v/>
      </c>
      <c r="AB2821" s="7" t="n"/>
      <c r="AE2821" s="11" t="n"/>
      <c r="AG2821" s="7">
        <f>IF($C2821="","",U2821*X2821/100)</f>
        <v/>
      </c>
      <c r="AH2821" s="7">
        <f>IF($C2821="","",U2821-AG2821)</f>
        <v/>
      </c>
      <c r="AI2821" s="7">
        <f>IF($C2821="","",AH2821-M2821)</f>
        <v/>
      </c>
      <c r="AJ2821">
        <f>IF($C2821="","",IF(COUNTIF($C$2:$C2821,$C2821)=1,1,0))</f>
        <v/>
      </c>
      <c r="AK2821">
        <f>IF($AJ2821=1,SUMPRODUCT(--($AN$2:$AN$4001&lt;$AN2821))+1,"")</f>
        <v/>
      </c>
      <c r="AL2821">
        <f>IF($C2821="","",IF(OR($Q2821=TRUE(),$Q2821="TRUE"),1,0))</f>
        <v/>
      </c>
      <c r="AM2821">
        <f>IF($C2821="","",IF($W2821="Yes",1,0))</f>
        <v/>
      </c>
      <c r="AN2821">
        <f>IF($AJ2821=1,IFERROR(IF(VALUE($C2821)&lt;100000000,VALUE($C2821),1000000000),IFERROR(IF(VALUE(MID($C2821,2,20))&lt;100000000,VALUE(MID($C2821,2,20)),1000000000),1000000000))+ROW()/100000,"")</f>
        <v/>
      </c>
    </row>
    <row r="2822">
      <c r="E2822" s="11" t="n"/>
      <c r="M2822" s="7">
        <f>IF($C2822="","",L2822*U2822/100)</f>
        <v/>
      </c>
      <c r="N2822" s="7" t="n"/>
      <c r="T2822" s="7" t="n"/>
      <c r="U2822" s="7">
        <f>IF($C2822="","",S2822*T2822)</f>
        <v/>
      </c>
      <c r="X2822">
        <f>IF($C2822="","",IF($AM2822=1,0,IF($AL2822=1,Settings!$C$6,Settings!$C$7))*100)</f>
        <v/>
      </c>
      <c r="AB2822" s="7" t="n"/>
      <c r="AE2822" s="11" t="n"/>
      <c r="AG2822" s="7">
        <f>IF($C2822="","",U2822*X2822/100)</f>
        <v/>
      </c>
      <c r="AH2822" s="7">
        <f>IF($C2822="","",U2822-AG2822)</f>
        <v/>
      </c>
      <c r="AI2822" s="7">
        <f>IF($C2822="","",AH2822-M2822)</f>
        <v/>
      </c>
      <c r="AJ2822">
        <f>IF($C2822="","",IF(COUNTIF($C$2:$C2822,$C2822)=1,1,0))</f>
        <v/>
      </c>
      <c r="AK2822">
        <f>IF($AJ2822=1,SUMPRODUCT(--($AN$2:$AN$4001&lt;$AN2822))+1,"")</f>
        <v/>
      </c>
      <c r="AL2822">
        <f>IF($C2822="","",IF(OR($Q2822=TRUE(),$Q2822="TRUE"),1,0))</f>
        <v/>
      </c>
      <c r="AM2822">
        <f>IF($C2822="","",IF($W2822="Yes",1,0))</f>
        <v/>
      </c>
      <c r="AN2822">
        <f>IF($AJ2822=1,IFERROR(IF(VALUE($C2822)&lt;100000000,VALUE($C2822),1000000000),IFERROR(IF(VALUE(MID($C2822,2,20))&lt;100000000,VALUE(MID($C2822,2,20)),1000000000),1000000000))+ROW()/100000,"")</f>
        <v/>
      </c>
    </row>
    <row r="2823">
      <c r="E2823" s="11" t="n"/>
      <c r="M2823" s="7">
        <f>IF($C2823="","",L2823*U2823/100)</f>
        <v/>
      </c>
      <c r="N2823" s="7" t="n"/>
      <c r="T2823" s="7" t="n"/>
      <c r="U2823" s="7">
        <f>IF($C2823="","",S2823*T2823)</f>
        <v/>
      </c>
      <c r="X2823">
        <f>IF($C2823="","",IF($AM2823=1,0,IF($AL2823=1,Settings!$C$6,Settings!$C$7))*100)</f>
        <v/>
      </c>
      <c r="AB2823" s="7" t="n"/>
      <c r="AE2823" s="11" t="n"/>
      <c r="AG2823" s="7">
        <f>IF($C2823="","",U2823*X2823/100)</f>
        <v/>
      </c>
      <c r="AH2823" s="7">
        <f>IF($C2823="","",U2823-AG2823)</f>
        <v/>
      </c>
      <c r="AI2823" s="7">
        <f>IF($C2823="","",AH2823-M2823)</f>
        <v/>
      </c>
      <c r="AJ2823">
        <f>IF($C2823="","",IF(COUNTIF($C$2:$C2823,$C2823)=1,1,0))</f>
        <v/>
      </c>
      <c r="AK2823">
        <f>IF($AJ2823=1,SUMPRODUCT(--($AN$2:$AN$4001&lt;$AN2823))+1,"")</f>
        <v/>
      </c>
      <c r="AL2823">
        <f>IF($C2823="","",IF(OR($Q2823=TRUE(),$Q2823="TRUE"),1,0))</f>
        <v/>
      </c>
      <c r="AM2823">
        <f>IF($C2823="","",IF($W2823="Yes",1,0))</f>
        <v/>
      </c>
      <c r="AN2823">
        <f>IF($AJ2823=1,IFERROR(IF(VALUE($C2823)&lt;100000000,VALUE($C2823),1000000000),IFERROR(IF(VALUE(MID($C2823,2,20))&lt;100000000,VALUE(MID($C2823,2,20)),1000000000),1000000000))+ROW()/100000,"")</f>
        <v/>
      </c>
    </row>
    <row r="2824">
      <c r="E2824" s="11" t="n"/>
      <c r="M2824" s="7">
        <f>IF($C2824="","",L2824*U2824/100)</f>
        <v/>
      </c>
      <c r="N2824" s="7" t="n"/>
      <c r="T2824" s="7" t="n"/>
      <c r="U2824" s="7">
        <f>IF($C2824="","",S2824*T2824)</f>
        <v/>
      </c>
      <c r="X2824">
        <f>IF($C2824="","",IF($AM2824=1,0,IF($AL2824=1,Settings!$C$6,Settings!$C$7))*100)</f>
        <v/>
      </c>
      <c r="AB2824" s="7" t="n"/>
      <c r="AE2824" s="11" t="n"/>
      <c r="AG2824" s="7">
        <f>IF($C2824="","",U2824*X2824/100)</f>
        <v/>
      </c>
      <c r="AH2824" s="7">
        <f>IF($C2824="","",U2824-AG2824)</f>
        <v/>
      </c>
      <c r="AI2824" s="7">
        <f>IF($C2824="","",AH2824-M2824)</f>
        <v/>
      </c>
      <c r="AJ2824">
        <f>IF($C2824="","",IF(COUNTIF($C$2:$C2824,$C2824)=1,1,0))</f>
        <v/>
      </c>
      <c r="AK2824">
        <f>IF($AJ2824=1,SUMPRODUCT(--($AN$2:$AN$4001&lt;$AN2824))+1,"")</f>
        <v/>
      </c>
      <c r="AL2824">
        <f>IF($C2824="","",IF(OR($Q2824=TRUE(),$Q2824="TRUE"),1,0))</f>
        <v/>
      </c>
      <c r="AM2824">
        <f>IF($C2824="","",IF($W2824="Yes",1,0))</f>
        <v/>
      </c>
      <c r="AN2824">
        <f>IF($AJ2824=1,IFERROR(IF(VALUE($C2824)&lt;100000000,VALUE($C2824),1000000000),IFERROR(IF(VALUE(MID($C2824,2,20))&lt;100000000,VALUE(MID($C2824,2,20)),1000000000),1000000000))+ROW()/100000,"")</f>
        <v/>
      </c>
    </row>
    <row r="2825">
      <c r="E2825" s="11" t="n"/>
      <c r="M2825" s="7">
        <f>IF($C2825="","",L2825*U2825/100)</f>
        <v/>
      </c>
      <c r="N2825" s="7" t="n"/>
      <c r="T2825" s="7" t="n"/>
      <c r="U2825" s="7">
        <f>IF($C2825="","",S2825*T2825)</f>
        <v/>
      </c>
      <c r="X2825">
        <f>IF($C2825="","",IF($AM2825=1,0,IF($AL2825=1,Settings!$C$6,Settings!$C$7))*100)</f>
        <v/>
      </c>
      <c r="AB2825" s="7" t="n"/>
      <c r="AE2825" s="11" t="n"/>
      <c r="AG2825" s="7">
        <f>IF($C2825="","",U2825*X2825/100)</f>
        <v/>
      </c>
      <c r="AH2825" s="7">
        <f>IF($C2825="","",U2825-AG2825)</f>
        <v/>
      </c>
      <c r="AI2825" s="7">
        <f>IF($C2825="","",AH2825-M2825)</f>
        <v/>
      </c>
      <c r="AJ2825">
        <f>IF($C2825="","",IF(COUNTIF($C$2:$C2825,$C2825)=1,1,0))</f>
        <v/>
      </c>
      <c r="AK2825">
        <f>IF($AJ2825=1,SUMPRODUCT(--($AN$2:$AN$4001&lt;$AN2825))+1,"")</f>
        <v/>
      </c>
      <c r="AL2825">
        <f>IF($C2825="","",IF(OR($Q2825=TRUE(),$Q2825="TRUE"),1,0))</f>
        <v/>
      </c>
      <c r="AM2825">
        <f>IF($C2825="","",IF($W2825="Yes",1,0))</f>
        <v/>
      </c>
      <c r="AN2825">
        <f>IF($AJ2825=1,IFERROR(IF(VALUE($C2825)&lt;100000000,VALUE($C2825),1000000000),IFERROR(IF(VALUE(MID($C2825,2,20))&lt;100000000,VALUE(MID($C2825,2,20)),1000000000),1000000000))+ROW()/100000,"")</f>
        <v/>
      </c>
    </row>
    <row r="2826">
      <c r="E2826" s="11" t="n"/>
      <c r="M2826" s="7">
        <f>IF($C2826="","",L2826*U2826/100)</f>
        <v/>
      </c>
      <c r="N2826" s="7" t="n"/>
      <c r="T2826" s="7" t="n"/>
      <c r="U2826" s="7">
        <f>IF($C2826="","",S2826*T2826)</f>
        <v/>
      </c>
      <c r="X2826">
        <f>IF($C2826="","",IF($AM2826=1,0,IF($AL2826=1,Settings!$C$6,Settings!$C$7))*100)</f>
        <v/>
      </c>
      <c r="AB2826" s="7" t="n"/>
      <c r="AE2826" s="11" t="n"/>
      <c r="AG2826" s="7">
        <f>IF($C2826="","",U2826*X2826/100)</f>
        <v/>
      </c>
      <c r="AH2826" s="7">
        <f>IF($C2826="","",U2826-AG2826)</f>
        <v/>
      </c>
      <c r="AI2826" s="7">
        <f>IF($C2826="","",AH2826-M2826)</f>
        <v/>
      </c>
      <c r="AJ2826">
        <f>IF($C2826="","",IF(COUNTIF($C$2:$C2826,$C2826)=1,1,0))</f>
        <v/>
      </c>
      <c r="AK2826">
        <f>IF($AJ2826=1,SUMPRODUCT(--($AN$2:$AN$4001&lt;$AN2826))+1,"")</f>
        <v/>
      </c>
      <c r="AL2826">
        <f>IF($C2826="","",IF(OR($Q2826=TRUE(),$Q2826="TRUE"),1,0))</f>
        <v/>
      </c>
      <c r="AM2826">
        <f>IF($C2826="","",IF($W2826="Yes",1,0))</f>
        <v/>
      </c>
      <c r="AN2826">
        <f>IF($AJ2826=1,IFERROR(IF(VALUE($C2826)&lt;100000000,VALUE($C2826),1000000000),IFERROR(IF(VALUE(MID($C2826,2,20))&lt;100000000,VALUE(MID($C2826,2,20)),1000000000),1000000000))+ROW()/100000,"")</f>
        <v/>
      </c>
    </row>
    <row r="2827">
      <c r="E2827" s="11" t="n"/>
      <c r="M2827" s="7">
        <f>IF($C2827="","",L2827*U2827/100)</f>
        <v/>
      </c>
      <c r="N2827" s="7" t="n"/>
      <c r="T2827" s="7" t="n"/>
      <c r="U2827" s="7">
        <f>IF($C2827="","",S2827*T2827)</f>
        <v/>
      </c>
      <c r="X2827">
        <f>IF($C2827="","",IF($AM2827=1,0,IF($AL2827=1,Settings!$C$6,Settings!$C$7))*100)</f>
        <v/>
      </c>
      <c r="AB2827" s="7" t="n"/>
      <c r="AE2827" s="11" t="n"/>
      <c r="AG2827" s="7">
        <f>IF($C2827="","",U2827*X2827/100)</f>
        <v/>
      </c>
      <c r="AH2827" s="7">
        <f>IF($C2827="","",U2827-AG2827)</f>
        <v/>
      </c>
      <c r="AI2827" s="7">
        <f>IF($C2827="","",AH2827-M2827)</f>
        <v/>
      </c>
      <c r="AJ2827">
        <f>IF($C2827="","",IF(COUNTIF($C$2:$C2827,$C2827)=1,1,0))</f>
        <v/>
      </c>
      <c r="AK2827">
        <f>IF($AJ2827=1,SUMPRODUCT(--($AN$2:$AN$4001&lt;$AN2827))+1,"")</f>
        <v/>
      </c>
      <c r="AL2827">
        <f>IF($C2827="","",IF(OR($Q2827=TRUE(),$Q2827="TRUE"),1,0))</f>
        <v/>
      </c>
      <c r="AM2827">
        <f>IF($C2827="","",IF($W2827="Yes",1,0))</f>
        <v/>
      </c>
      <c r="AN2827">
        <f>IF($AJ2827=1,IFERROR(IF(VALUE($C2827)&lt;100000000,VALUE($C2827),1000000000),IFERROR(IF(VALUE(MID($C2827,2,20))&lt;100000000,VALUE(MID($C2827,2,20)),1000000000),1000000000))+ROW()/100000,"")</f>
        <v/>
      </c>
    </row>
    <row r="2828">
      <c r="E2828" s="11" t="n"/>
      <c r="M2828" s="7">
        <f>IF($C2828="","",L2828*U2828/100)</f>
        <v/>
      </c>
      <c r="N2828" s="7" t="n"/>
      <c r="T2828" s="7" t="n"/>
      <c r="U2828" s="7">
        <f>IF($C2828="","",S2828*T2828)</f>
        <v/>
      </c>
      <c r="X2828">
        <f>IF($C2828="","",IF($AM2828=1,0,IF($AL2828=1,Settings!$C$6,Settings!$C$7))*100)</f>
        <v/>
      </c>
      <c r="AB2828" s="7" t="n"/>
      <c r="AE2828" s="11" t="n"/>
      <c r="AG2828" s="7">
        <f>IF($C2828="","",U2828*X2828/100)</f>
        <v/>
      </c>
      <c r="AH2828" s="7">
        <f>IF($C2828="","",U2828-AG2828)</f>
        <v/>
      </c>
      <c r="AI2828" s="7">
        <f>IF($C2828="","",AH2828-M2828)</f>
        <v/>
      </c>
      <c r="AJ2828">
        <f>IF($C2828="","",IF(COUNTIF($C$2:$C2828,$C2828)=1,1,0))</f>
        <v/>
      </c>
      <c r="AK2828">
        <f>IF($AJ2828=1,SUMPRODUCT(--($AN$2:$AN$4001&lt;$AN2828))+1,"")</f>
        <v/>
      </c>
      <c r="AL2828">
        <f>IF($C2828="","",IF(OR($Q2828=TRUE(),$Q2828="TRUE"),1,0))</f>
        <v/>
      </c>
      <c r="AM2828">
        <f>IF($C2828="","",IF($W2828="Yes",1,0))</f>
        <v/>
      </c>
      <c r="AN2828">
        <f>IF($AJ2828=1,IFERROR(IF(VALUE($C2828)&lt;100000000,VALUE($C2828),1000000000),IFERROR(IF(VALUE(MID($C2828,2,20))&lt;100000000,VALUE(MID($C2828,2,20)),1000000000),1000000000))+ROW()/100000,"")</f>
        <v/>
      </c>
    </row>
    <row r="2829">
      <c r="E2829" s="11" t="n"/>
      <c r="M2829" s="7">
        <f>IF($C2829="","",L2829*U2829/100)</f>
        <v/>
      </c>
      <c r="N2829" s="7" t="n"/>
      <c r="T2829" s="7" t="n"/>
      <c r="U2829" s="7">
        <f>IF($C2829="","",S2829*T2829)</f>
        <v/>
      </c>
      <c r="X2829">
        <f>IF($C2829="","",IF($AM2829=1,0,IF($AL2829=1,Settings!$C$6,Settings!$C$7))*100)</f>
        <v/>
      </c>
      <c r="AB2829" s="7" t="n"/>
      <c r="AE2829" s="11" t="n"/>
      <c r="AG2829" s="7">
        <f>IF($C2829="","",U2829*X2829/100)</f>
        <v/>
      </c>
      <c r="AH2829" s="7">
        <f>IF($C2829="","",U2829-AG2829)</f>
        <v/>
      </c>
      <c r="AI2829" s="7">
        <f>IF($C2829="","",AH2829-M2829)</f>
        <v/>
      </c>
      <c r="AJ2829">
        <f>IF($C2829="","",IF(COUNTIF($C$2:$C2829,$C2829)=1,1,0))</f>
        <v/>
      </c>
      <c r="AK2829">
        <f>IF($AJ2829=1,SUMPRODUCT(--($AN$2:$AN$4001&lt;$AN2829))+1,"")</f>
        <v/>
      </c>
      <c r="AL2829">
        <f>IF($C2829="","",IF(OR($Q2829=TRUE(),$Q2829="TRUE"),1,0))</f>
        <v/>
      </c>
      <c r="AM2829">
        <f>IF($C2829="","",IF($W2829="Yes",1,0))</f>
        <v/>
      </c>
      <c r="AN2829">
        <f>IF($AJ2829=1,IFERROR(IF(VALUE($C2829)&lt;100000000,VALUE($C2829),1000000000),IFERROR(IF(VALUE(MID($C2829,2,20))&lt;100000000,VALUE(MID($C2829,2,20)),1000000000),1000000000))+ROW()/100000,"")</f>
        <v/>
      </c>
    </row>
    <row r="2830">
      <c r="E2830" s="11" t="n"/>
      <c r="M2830" s="7">
        <f>IF($C2830="","",L2830*U2830/100)</f>
        <v/>
      </c>
      <c r="N2830" s="7" t="n"/>
      <c r="T2830" s="7" t="n"/>
      <c r="U2830" s="7">
        <f>IF($C2830="","",S2830*T2830)</f>
        <v/>
      </c>
      <c r="X2830">
        <f>IF($C2830="","",IF($AM2830=1,0,IF($AL2830=1,Settings!$C$6,Settings!$C$7))*100)</f>
        <v/>
      </c>
      <c r="AB2830" s="7" t="n"/>
      <c r="AE2830" s="11" t="n"/>
      <c r="AG2830" s="7">
        <f>IF($C2830="","",U2830*X2830/100)</f>
        <v/>
      </c>
      <c r="AH2830" s="7">
        <f>IF($C2830="","",U2830-AG2830)</f>
        <v/>
      </c>
      <c r="AI2830" s="7">
        <f>IF($C2830="","",AH2830-M2830)</f>
        <v/>
      </c>
      <c r="AJ2830">
        <f>IF($C2830="","",IF(COUNTIF($C$2:$C2830,$C2830)=1,1,0))</f>
        <v/>
      </c>
      <c r="AK2830">
        <f>IF($AJ2830=1,SUMPRODUCT(--($AN$2:$AN$4001&lt;$AN2830))+1,"")</f>
        <v/>
      </c>
      <c r="AL2830">
        <f>IF($C2830="","",IF(OR($Q2830=TRUE(),$Q2830="TRUE"),1,0))</f>
        <v/>
      </c>
      <c r="AM2830">
        <f>IF($C2830="","",IF($W2830="Yes",1,0))</f>
        <v/>
      </c>
      <c r="AN2830">
        <f>IF($AJ2830=1,IFERROR(IF(VALUE($C2830)&lt;100000000,VALUE($C2830),1000000000),IFERROR(IF(VALUE(MID($C2830,2,20))&lt;100000000,VALUE(MID($C2830,2,20)),1000000000),1000000000))+ROW()/100000,"")</f>
        <v/>
      </c>
    </row>
    <row r="2831">
      <c r="E2831" s="11" t="n"/>
      <c r="M2831" s="7">
        <f>IF($C2831="","",L2831*U2831/100)</f>
        <v/>
      </c>
      <c r="N2831" s="7" t="n"/>
      <c r="T2831" s="7" t="n"/>
      <c r="U2831" s="7">
        <f>IF($C2831="","",S2831*T2831)</f>
        <v/>
      </c>
      <c r="X2831">
        <f>IF($C2831="","",IF($AM2831=1,0,IF($AL2831=1,Settings!$C$6,Settings!$C$7))*100)</f>
        <v/>
      </c>
      <c r="AB2831" s="7" t="n"/>
      <c r="AE2831" s="11" t="n"/>
      <c r="AG2831" s="7">
        <f>IF($C2831="","",U2831*X2831/100)</f>
        <v/>
      </c>
      <c r="AH2831" s="7">
        <f>IF($C2831="","",U2831-AG2831)</f>
        <v/>
      </c>
      <c r="AI2831" s="7">
        <f>IF($C2831="","",AH2831-M2831)</f>
        <v/>
      </c>
      <c r="AJ2831">
        <f>IF($C2831="","",IF(COUNTIF($C$2:$C2831,$C2831)=1,1,0))</f>
        <v/>
      </c>
      <c r="AK2831">
        <f>IF($AJ2831=1,SUMPRODUCT(--($AN$2:$AN$4001&lt;$AN2831))+1,"")</f>
        <v/>
      </c>
      <c r="AL2831">
        <f>IF($C2831="","",IF(OR($Q2831=TRUE(),$Q2831="TRUE"),1,0))</f>
        <v/>
      </c>
      <c r="AM2831">
        <f>IF($C2831="","",IF($W2831="Yes",1,0))</f>
        <v/>
      </c>
      <c r="AN2831">
        <f>IF($AJ2831=1,IFERROR(IF(VALUE($C2831)&lt;100000000,VALUE($C2831),1000000000),IFERROR(IF(VALUE(MID($C2831,2,20))&lt;100000000,VALUE(MID($C2831,2,20)),1000000000),1000000000))+ROW()/100000,"")</f>
        <v/>
      </c>
    </row>
    <row r="2832">
      <c r="E2832" s="11" t="n"/>
      <c r="M2832" s="7">
        <f>IF($C2832="","",L2832*U2832/100)</f>
        <v/>
      </c>
      <c r="N2832" s="7" t="n"/>
      <c r="T2832" s="7" t="n"/>
      <c r="U2832" s="7">
        <f>IF($C2832="","",S2832*T2832)</f>
        <v/>
      </c>
      <c r="X2832">
        <f>IF($C2832="","",IF($AM2832=1,0,IF($AL2832=1,Settings!$C$6,Settings!$C$7))*100)</f>
        <v/>
      </c>
      <c r="AB2832" s="7" t="n"/>
      <c r="AE2832" s="11" t="n"/>
      <c r="AG2832" s="7">
        <f>IF($C2832="","",U2832*X2832/100)</f>
        <v/>
      </c>
      <c r="AH2832" s="7">
        <f>IF($C2832="","",U2832-AG2832)</f>
        <v/>
      </c>
      <c r="AI2832" s="7">
        <f>IF($C2832="","",AH2832-M2832)</f>
        <v/>
      </c>
      <c r="AJ2832">
        <f>IF($C2832="","",IF(COUNTIF($C$2:$C2832,$C2832)=1,1,0))</f>
        <v/>
      </c>
      <c r="AK2832">
        <f>IF($AJ2832=1,SUMPRODUCT(--($AN$2:$AN$4001&lt;$AN2832))+1,"")</f>
        <v/>
      </c>
      <c r="AL2832">
        <f>IF($C2832="","",IF(OR($Q2832=TRUE(),$Q2832="TRUE"),1,0))</f>
        <v/>
      </c>
      <c r="AM2832">
        <f>IF($C2832="","",IF($W2832="Yes",1,0))</f>
        <v/>
      </c>
      <c r="AN2832">
        <f>IF($AJ2832=1,IFERROR(IF(VALUE($C2832)&lt;100000000,VALUE($C2832),1000000000),IFERROR(IF(VALUE(MID($C2832,2,20))&lt;100000000,VALUE(MID($C2832,2,20)),1000000000),1000000000))+ROW()/100000,"")</f>
        <v/>
      </c>
    </row>
    <row r="2833">
      <c r="E2833" s="11" t="n"/>
      <c r="M2833" s="7">
        <f>IF($C2833="","",L2833*U2833/100)</f>
        <v/>
      </c>
      <c r="N2833" s="7" t="n"/>
      <c r="T2833" s="7" t="n"/>
      <c r="U2833" s="7">
        <f>IF($C2833="","",S2833*T2833)</f>
        <v/>
      </c>
      <c r="X2833">
        <f>IF($C2833="","",IF($AM2833=1,0,IF($AL2833=1,Settings!$C$6,Settings!$C$7))*100)</f>
        <v/>
      </c>
      <c r="AB2833" s="7" t="n"/>
      <c r="AE2833" s="11" t="n"/>
      <c r="AG2833" s="7">
        <f>IF($C2833="","",U2833*X2833/100)</f>
        <v/>
      </c>
      <c r="AH2833" s="7">
        <f>IF($C2833="","",U2833-AG2833)</f>
        <v/>
      </c>
      <c r="AI2833" s="7">
        <f>IF($C2833="","",AH2833-M2833)</f>
        <v/>
      </c>
      <c r="AJ2833">
        <f>IF($C2833="","",IF(COUNTIF($C$2:$C2833,$C2833)=1,1,0))</f>
        <v/>
      </c>
      <c r="AK2833">
        <f>IF($AJ2833=1,SUMPRODUCT(--($AN$2:$AN$4001&lt;$AN2833))+1,"")</f>
        <v/>
      </c>
      <c r="AL2833">
        <f>IF($C2833="","",IF(OR($Q2833=TRUE(),$Q2833="TRUE"),1,0))</f>
        <v/>
      </c>
      <c r="AM2833">
        <f>IF($C2833="","",IF($W2833="Yes",1,0))</f>
        <v/>
      </c>
      <c r="AN2833">
        <f>IF($AJ2833=1,IFERROR(IF(VALUE($C2833)&lt;100000000,VALUE($C2833),1000000000),IFERROR(IF(VALUE(MID($C2833,2,20))&lt;100000000,VALUE(MID($C2833,2,20)),1000000000),1000000000))+ROW()/100000,"")</f>
        <v/>
      </c>
    </row>
    <row r="2834">
      <c r="E2834" s="11" t="n"/>
      <c r="M2834" s="7">
        <f>IF($C2834="","",L2834*U2834/100)</f>
        <v/>
      </c>
      <c r="N2834" s="7" t="n"/>
      <c r="T2834" s="7" t="n"/>
      <c r="U2834" s="7">
        <f>IF($C2834="","",S2834*T2834)</f>
        <v/>
      </c>
      <c r="X2834">
        <f>IF($C2834="","",IF($AM2834=1,0,IF($AL2834=1,Settings!$C$6,Settings!$C$7))*100)</f>
        <v/>
      </c>
      <c r="AB2834" s="7" t="n"/>
      <c r="AE2834" s="11" t="n"/>
      <c r="AG2834" s="7">
        <f>IF($C2834="","",U2834*X2834/100)</f>
        <v/>
      </c>
      <c r="AH2834" s="7">
        <f>IF($C2834="","",U2834-AG2834)</f>
        <v/>
      </c>
      <c r="AI2834" s="7">
        <f>IF($C2834="","",AH2834-M2834)</f>
        <v/>
      </c>
      <c r="AJ2834">
        <f>IF($C2834="","",IF(COUNTIF($C$2:$C2834,$C2834)=1,1,0))</f>
        <v/>
      </c>
      <c r="AK2834">
        <f>IF($AJ2834=1,SUMPRODUCT(--($AN$2:$AN$4001&lt;$AN2834))+1,"")</f>
        <v/>
      </c>
      <c r="AL2834">
        <f>IF($C2834="","",IF(OR($Q2834=TRUE(),$Q2834="TRUE"),1,0))</f>
        <v/>
      </c>
      <c r="AM2834">
        <f>IF($C2834="","",IF($W2834="Yes",1,0))</f>
        <v/>
      </c>
      <c r="AN2834">
        <f>IF($AJ2834=1,IFERROR(IF(VALUE($C2834)&lt;100000000,VALUE($C2834),1000000000),IFERROR(IF(VALUE(MID($C2834,2,20))&lt;100000000,VALUE(MID($C2834,2,20)),1000000000),1000000000))+ROW()/100000,"")</f>
        <v/>
      </c>
    </row>
    <row r="2835">
      <c r="E2835" s="11" t="n"/>
      <c r="M2835" s="7">
        <f>IF($C2835="","",L2835*U2835/100)</f>
        <v/>
      </c>
      <c r="N2835" s="7" t="n"/>
      <c r="T2835" s="7" t="n"/>
      <c r="U2835" s="7">
        <f>IF($C2835="","",S2835*T2835)</f>
        <v/>
      </c>
      <c r="X2835">
        <f>IF($C2835="","",IF($AM2835=1,0,IF($AL2835=1,Settings!$C$6,Settings!$C$7))*100)</f>
        <v/>
      </c>
      <c r="AB2835" s="7" t="n"/>
      <c r="AE2835" s="11" t="n"/>
      <c r="AG2835" s="7">
        <f>IF($C2835="","",U2835*X2835/100)</f>
        <v/>
      </c>
      <c r="AH2835" s="7">
        <f>IF($C2835="","",U2835-AG2835)</f>
        <v/>
      </c>
      <c r="AI2835" s="7">
        <f>IF($C2835="","",AH2835-M2835)</f>
        <v/>
      </c>
      <c r="AJ2835">
        <f>IF($C2835="","",IF(COUNTIF($C$2:$C2835,$C2835)=1,1,0))</f>
        <v/>
      </c>
      <c r="AK2835">
        <f>IF($AJ2835=1,SUMPRODUCT(--($AN$2:$AN$4001&lt;$AN2835))+1,"")</f>
        <v/>
      </c>
      <c r="AL2835">
        <f>IF($C2835="","",IF(OR($Q2835=TRUE(),$Q2835="TRUE"),1,0))</f>
        <v/>
      </c>
      <c r="AM2835">
        <f>IF($C2835="","",IF($W2835="Yes",1,0))</f>
        <v/>
      </c>
      <c r="AN2835">
        <f>IF($AJ2835=1,IFERROR(IF(VALUE($C2835)&lt;100000000,VALUE($C2835),1000000000),IFERROR(IF(VALUE(MID($C2835,2,20))&lt;100000000,VALUE(MID($C2835,2,20)),1000000000),1000000000))+ROW()/100000,"")</f>
        <v/>
      </c>
    </row>
    <row r="2836">
      <c r="E2836" s="11" t="n"/>
      <c r="M2836" s="7">
        <f>IF($C2836="","",L2836*U2836/100)</f>
        <v/>
      </c>
      <c r="N2836" s="7" t="n"/>
      <c r="T2836" s="7" t="n"/>
      <c r="U2836" s="7">
        <f>IF($C2836="","",S2836*T2836)</f>
        <v/>
      </c>
      <c r="X2836">
        <f>IF($C2836="","",IF($AM2836=1,0,IF($AL2836=1,Settings!$C$6,Settings!$C$7))*100)</f>
        <v/>
      </c>
      <c r="AB2836" s="7" t="n"/>
      <c r="AE2836" s="11" t="n"/>
      <c r="AG2836" s="7">
        <f>IF($C2836="","",U2836*X2836/100)</f>
        <v/>
      </c>
      <c r="AH2836" s="7">
        <f>IF($C2836="","",U2836-AG2836)</f>
        <v/>
      </c>
      <c r="AI2836" s="7">
        <f>IF($C2836="","",AH2836-M2836)</f>
        <v/>
      </c>
      <c r="AJ2836">
        <f>IF($C2836="","",IF(COUNTIF($C$2:$C2836,$C2836)=1,1,0))</f>
        <v/>
      </c>
      <c r="AK2836">
        <f>IF($AJ2836=1,SUMPRODUCT(--($AN$2:$AN$4001&lt;$AN2836))+1,"")</f>
        <v/>
      </c>
      <c r="AL2836">
        <f>IF($C2836="","",IF(OR($Q2836=TRUE(),$Q2836="TRUE"),1,0))</f>
        <v/>
      </c>
      <c r="AM2836">
        <f>IF($C2836="","",IF($W2836="Yes",1,0))</f>
        <v/>
      </c>
      <c r="AN2836">
        <f>IF($AJ2836=1,IFERROR(IF(VALUE($C2836)&lt;100000000,VALUE($C2836),1000000000),IFERROR(IF(VALUE(MID($C2836,2,20))&lt;100000000,VALUE(MID($C2836,2,20)),1000000000),1000000000))+ROW()/100000,"")</f>
        <v/>
      </c>
    </row>
    <row r="2837">
      <c r="E2837" s="11" t="n"/>
      <c r="M2837" s="7">
        <f>IF($C2837="","",L2837*U2837/100)</f>
        <v/>
      </c>
      <c r="N2837" s="7" t="n"/>
      <c r="T2837" s="7" t="n"/>
      <c r="U2837" s="7">
        <f>IF($C2837="","",S2837*T2837)</f>
        <v/>
      </c>
      <c r="X2837">
        <f>IF($C2837="","",IF($AM2837=1,0,IF($AL2837=1,Settings!$C$6,Settings!$C$7))*100)</f>
        <v/>
      </c>
      <c r="AB2837" s="7" t="n"/>
      <c r="AE2837" s="11" t="n"/>
      <c r="AG2837" s="7">
        <f>IF($C2837="","",U2837*X2837/100)</f>
        <v/>
      </c>
      <c r="AH2837" s="7">
        <f>IF($C2837="","",U2837-AG2837)</f>
        <v/>
      </c>
      <c r="AI2837" s="7">
        <f>IF($C2837="","",AH2837-M2837)</f>
        <v/>
      </c>
      <c r="AJ2837">
        <f>IF($C2837="","",IF(COUNTIF($C$2:$C2837,$C2837)=1,1,0))</f>
        <v/>
      </c>
      <c r="AK2837">
        <f>IF($AJ2837=1,SUMPRODUCT(--($AN$2:$AN$4001&lt;$AN2837))+1,"")</f>
        <v/>
      </c>
      <c r="AL2837">
        <f>IF($C2837="","",IF(OR($Q2837=TRUE(),$Q2837="TRUE"),1,0))</f>
        <v/>
      </c>
      <c r="AM2837">
        <f>IF($C2837="","",IF($W2837="Yes",1,0))</f>
        <v/>
      </c>
      <c r="AN2837">
        <f>IF($AJ2837=1,IFERROR(IF(VALUE($C2837)&lt;100000000,VALUE($C2837),1000000000),IFERROR(IF(VALUE(MID($C2837,2,20))&lt;100000000,VALUE(MID($C2837,2,20)),1000000000),1000000000))+ROW()/100000,"")</f>
        <v/>
      </c>
    </row>
    <row r="2838">
      <c r="E2838" s="11" t="n"/>
      <c r="M2838" s="7">
        <f>IF($C2838="","",L2838*U2838/100)</f>
        <v/>
      </c>
      <c r="N2838" s="7" t="n"/>
      <c r="T2838" s="7" t="n"/>
      <c r="U2838" s="7">
        <f>IF($C2838="","",S2838*T2838)</f>
        <v/>
      </c>
      <c r="X2838">
        <f>IF($C2838="","",IF($AM2838=1,0,IF($AL2838=1,Settings!$C$6,Settings!$C$7))*100)</f>
        <v/>
      </c>
      <c r="AB2838" s="7" t="n"/>
      <c r="AE2838" s="11" t="n"/>
      <c r="AG2838" s="7">
        <f>IF($C2838="","",U2838*X2838/100)</f>
        <v/>
      </c>
      <c r="AH2838" s="7">
        <f>IF($C2838="","",U2838-AG2838)</f>
        <v/>
      </c>
      <c r="AI2838" s="7">
        <f>IF($C2838="","",AH2838-M2838)</f>
        <v/>
      </c>
      <c r="AJ2838">
        <f>IF($C2838="","",IF(COUNTIF($C$2:$C2838,$C2838)=1,1,0))</f>
        <v/>
      </c>
      <c r="AK2838">
        <f>IF($AJ2838=1,SUMPRODUCT(--($AN$2:$AN$4001&lt;$AN2838))+1,"")</f>
        <v/>
      </c>
      <c r="AL2838">
        <f>IF($C2838="","",IF(OR($Q2838=TRUE(),$Q2838="TRUE"),1,0))</f>
        <v/>
      </c>
      <c r="AM2838">
        <f>IF($C2838="","",IF($W2838="Yes",1,0))</f>
        <v/>
      </c>
      <c r="AN2838">
        <f>IF($AJ2838=1,IFERROR(IF(VALUE($C2838)&lt;100000000,VALUE($C2838),1000000000),IFERROR(IF(VALUE(MID($C2838,2,20))&lt;100000000,VALUE(MID($C2838,2,20)),1000000000),1000000000))+ROW()/100000,"")</f>
        <v/>
      </c>
    </row>
    <row r="2839">
      <c r="E2839" s="11" t="n"/>
      <c r="M2839" s="7">
        <f>IF($C2839="","",L2839*U2839/100)</f>
        <v/>
      </c>
      <c r="N2839" s="7" t="n"/>
      <c r="T2839" s="7" t="n"/>
      <c r="U2839" s="7">
        <f>IF($C2839="","",S2839*T2839)</f>
        <v/>
      </c>
      <c r="X2839">
        <f>IF($C2839="","",IF($AM2839=1,0,IF($AL2839=1,Settings!$C$6,Settings!$C$7))*100)</f>
        <v/>
      </c>
      <c r="AB2839" s="7" t="n"/>
      <c r="AE2839" s="11" t="n"/>
      <c r="AG2839" s="7">
        <f>IF($C2839="","",U2839*X2839/100)</f>
        <v/>
      </c>
      <c r="AH2839" s="7">
        <f>IF($C2839="","",U2839-AG2839)</f>
        <v/>
      </c>
      <c r="AI2839" s="7">
        <f>IF($C2839="","",AH2839-M2839)</f>
        <v/>
      </c>
      <c r="AJ2839">
        <f>IF($C2839="","",IF(COUNTIF($C$2:$C2839,$C2839)=1,1,0))</f>
        <v/>
      </c>
      <c r="AK2839">
        <f>IF($AJ2839=1,SUMPRODUCT(--($AN$2:$AN$4001&lt;$AN2839))+1,"")</f>
        <v/>
      </c>
      <c r="AL2839">
        <f>IF($C2839="","",IF(OR($Q2839=TRUE(),$Q2839="TRUE"),1,0))</f>
        <v/>
      </c>
      <c r="AM2839">
        <f>IF($C2839="","",IF($W2839="Yes",1,0))</f>
        <v/>
      </c>
      <c r="AN2839">
        <f>IF($AJ2839=1,IFERROR(IF(VALUE($C2839)&lt;100000000,VALUE($C2839),1000000000),IFERROR(IF(VALUE(MID($C2839,2,20))&lt;100000000,VALUE(MID($C2839,2,20)),1000000000),1000000000))+ROW()/100000,"")</f>
        <v/>
      </c>
    </row>
    <row r="2840">
      <c r="E2840" s="11" t="n"/>
      <c r="M2840" s="7">
        <f>IF($C2840="","",L2840*U2840/100)</f>
        <v/>
      </c>
      <c r="N2840" s="7" t="n"/>
      <c r="T2840" s="7" t="n"/>
      <c r="U2840" s="7">
        <f>IF($C2840="","",S2840*T2840)</f>
        <v/>
      </c>
      <c r="X2840">
        <f>IF($C2840="","",IF($AM2840=1,0,IF($AL2840=1,Settings!$C$6,Settings!$C$7))*100)</f>
        <v/>
      </c>
      <c r="AB2840" s="7" t="n"/>
      <c r="AE2840" s="11" t="n"/>
      <c r="AG2840" s="7">
        <f>IF($C2840="","",U2840*X2840/100)</f>
        <v/>
      </c>
      <c r="AH2840" s="7">
        <f>IF($C2840="","",U2840-AG2840)</f>
        <v/>
      </c>
      <c r="AI2840" s="7">
        <f>IF($C2840="","",AH2840-M2840)</f>
        <v/>
      </c>
      <c r="AJ2840">
        <f>IF($C2840="","",IF(COUNTIF($C$2:$C2840,$C2840)=1,1,0))</f>
        <v/>
      </c>
      <c r="AK2840">
        <f>IF($AJ2840=1,SUMPRODUCT(--($AN$2:$AN$4001&lt;$AN2840))+1,"")</f>
        <v/>
      </c>
      <c r="AL2840">
        <f>IF($C2840="","",IF(OR($Q2840=TRUE(),$Q2840="TRUE"),1,0))</f>
        <v/>
      </c>
      <c r="AM2840">
        <f>IF($C2840="","",IF($W2840="Yes",1,0))</f>
        <v/>
      </c>
      <c r="AN2840">
        <f>IF($AJ2840=1,IFERROR(IF(VALUE($C2840)&lt;100000000,VALUE($C2840),1000000000),IFERROR(IF(VALUE(MID($C2840,2,20))&lt;100000000,VALUE(MID($C2840,2,20)),1000000000),1000000000))+ROW()/100000,"")</f>
        <v/>
      </c>
    </row>
    <row r="2841">
      <c r="E2841" s="11" t="n"/>
      <c r="M2841" s="7">
        <f>IF($C2841="","",L2841*U2841/100)</f>
        <v/>
      </c>
      <c r="N2841" s="7" t="n"/>
      <c r="T2841" s="7" t="n"/>
      <c r="U2841" s="7">
        <f>IF($C2841="","",S2841*T2841)</f>
        <v/>
      </c>
      <c r="X2841">
        <f>IF($C2841="","",IF($AM2841=1,0,IF($AL2841=1,Settings!$C$6,Settings!$C$7))*100)</f>
        <v/>
      </c>
      <c r="AB2841" s="7" t="n"/>
      <c r="AE2841" s="11" t="n"/>
      <c r="AG2841" s="7">
        <f>IF($C2841="","",U2841*X2841/100)</f>
        <v/>
      </c>
      <c r="AH2841" s="7">
        <f>IF($C2841="","",U2841-AG2841)</f>
        <v/>
      </c>
      <c r="AI2841" s="7">
        <f>IF($C2841="","",AH2841-M2841)</f>
        <v/>
      </c>
      <c r="AJ2841">
        <f>IF($C2841="","",IF(COUNTIF($C$2:$C2841,$C2841)=1,1,0))</f>
        <v/>
      </c>
      <c r="AK2841">
        <f>IF($AJ2841=1,SUMPRODUCT(--($AN$2:$AN$4001&lt;$AN2841))+1,"")</f>
        <v/>
      </c>
      <c r="AL2841">
        <f>IF($C2841="","",IF(OR($Q2841=TRUE(),$Q2841="TRUE"),1,0))</f>
        <v/>
      </c>
      <c r="AM2841">
        <f>IF($C2841="","",IF($W2841="Yes",1,0))</f>
        <v/>
      </c>
      <c r="AN2841">
        <f>IF($AJ2841=1,IFERROR(IF(VALUE($C2841)&lt;100000000,VALUE($C2841),1000000000),IFERROR(IF(VALUE(MID($C2841,2,20))&lt;100000000,VALUE(MID($C2841,2,20)),1000000000),1000000000))+ROW()/100000,"")</f>
        <v/>
      </c>
    </row>
    <row r="2842">
      <c r="E2842" s="11" t="n"/>
      <c r="M2842" s="7">
        <f>IF($C2842="","",L2842*U2842/100)</f>
        <v/>
      </c>
      <c r="N2842" s="7" t="n"/>
      <c r="T2842" s="7" t="n"/>
      <c r="U2842" s="7">
        <f>IF($C2842="","",S2842*T2842)</f>
        <v/>
      </c>
      <c r="X2842">
        <f>IF($C2842="","",IF($AM2842=1,0,IF($AL2842=1,Settings!$C$6,Settings!$C$7))*100)</f>
        <v/>
      </c>
      <c r="AB2842" s="7" t="n"/>
      <c r="AE2842" s="11" t="n"/>
      <c r="AG2842" s="7">
        <f>IF($C2842="","",U2842*X2842/100)</f>
        <v/>
      </c>
      <c r="AH2842" s="7">
        <f>IF($C2842="","",U2842-AG2842)</f>
        <v/>
      </c>
      <c r="AI2842" s="7">
        <f>IF($C2842="","",AH2842-M2842)</f>
        <v/>
      </c>
      <c r="AJ2842">
        <f>IF($C2842="","",IF(COUNTIF($C$2:$C2842,$C2842)=1,1,0))</f>
        <v/>
      </c>
      <c r="AK2842">
        <f>IF($AJ2842=1,SUMPRODUCT(--($AN$2:$AN$4001&lt;$AN2842))+1,"")</f>
        <v/>
      </c>
      <c r="AL2842">
        <f>IF($C2842="","",IF(OR($Q2842=TRUE(),$Q2842="TRUE"),1,0))</f>
        <v/>
      </c>
      <c r="AM2842">
        <f>IF($C2842="","",IF($W2842="Yes",1,0))</f>
        <v/>
      </c>
      <c r="AN2842">
        <f>IF($AJ2842=1,IFERROR(IF(VALUE($C2842)&lt;100000000,VALUE($C2842),1000000000),IFERROR(IF(VALUE(MID($C2842,2,20))&lt;100000000,VALUE(MID($C2842,2,20)),1000000000),1000000000))+ROW()/100000,"")</f>
        <v/>
      </c>
    </row>
    <row r="2843">
      <c r="E2843" s="11" t="n"/>
      <c r="M2843" s="7">
        <f>IF($C2843="","",L2843*U2843/100)</f>
        <v/>
      </c>
      <c r="N2843" s="7" t="n"/>
      <c r="T2843" s="7" t="n"/>
      <c r="U2843" s="7">
        <f>IF($C2843="","",S2843*T2843)</f>
        <v/>
      </c>
      <c r="X2843">
        <f>IF($C2843="","",IF($AM2843=1,0,IF($AL2843=1,Settings!$C$6,Settings!$C$7))*100)</f>
        <v/>
      </c>
      <c r="AB2843" s="7" t="n"/>
      <c r="AE2843" s="11" t="n"/>
      <c r="AG2843" s="7">
        <f>IF($C2843="","",U2843*X2843/100)</f>
        <v/>
      </c>
      <c r="AH2843" s="7">
        <f>IF($C2843="","",U2843-AG2843)</f>
        <v/>
      </c>
      <c r="AI2843" s="7">
        <f>IF($C2843="","",AH2843-M2843)</f>
        <v/>
      </c>
      <c r="AJ2843">
        <f>IF($C2843="","",IF(COUNTIF($C$2:$C2843,$C2843)=1,1,0))</f>
        <v/>
      </c>
      <c r="AK2843">
        <f>IF($AJ2843=1,SUMPRODUCT(--($AN$2:$AN$4001&lt;$AN2843))+1,"")</f>
        <v/>
      </c>
      <c r="AL2843">
        <f>IF($C2843="","",IF(OR($Q2843=TRUE(),$Q2843="TRUE"),1,0))</f>
        <v/>
      </c>
      <c r="AM2843">
        <f>IF($C2843="","",IF($W2843="Yes",1,0))</f>
        <v/>
      </c>
      <c r="AN2843">
        <f>IF($AJ2843=1,IFERROR(IF(VALUE($C2843)&lt;100000000,VALUE($C2843),1000000000),IFERROR(IF(VALUE(MID($C2843,2,20))&lt;100000000,VALUE(MID($C2843,2,20)),1000000000),1000000000))+ROW()/100000,"")</f>
        <v/>
      </c>
    </row>
    <row r="2844">
      <c r="E2844" s="11" t="n"/>
      <c r="M2844" s="7">
        <f>IF($C2844="","",L2844*U2844/100)</f>
        <v/>
      </c>
      <c r="N2844" s="7" t="n"/>
      <c r="T2844" s="7" t="n"/>
      <c r="U2844" s="7">
        <f>IF($C2844="","",S2844*T2844)</f>
        <v/>
      </c>
      <c r="X2844">
        <f>IF($C2844="","",IF($AM2844=1,0,IF($AL2844=1,Settings!$C$6,Settings!$C$7))*100)</f>
        <v/>
      </c>
      <c r="AB2844" s="7" t="n"/>
      <c r="AE2844" s="11" t="n"/>
      <c r="AG2844" s="7">
        <f>IF($C2844="","",U2844*X2844/100)</f>
        <v/>
      </c>
      <c r="AH2844" s="7">
        <f>IF($C2844="","",U2844-AG2844)</f>
        <v/>
      </c>
      <c r="AI2844" s="7">
        <f>IF($C2844="","",AH2844-M2844)</f>
        <v/>
      </c>
      <c r="AJ2844">
        <f>IF($C2844="","",IF(COUNTIF($C$2:$C2844,$C2844)=1,1,0))</f>
        <v/>
      </c>
      <c r="AK2844">
        <f>IF($AJ2844=1,SUMPRODUCT(--($AN$2:$AN$4001&lt;$AN2844))+1,"")</f>
        <v/>
      </c>
      <c r="AL2844">
        <f>IF($C2844="","",IF(OR($Q2844=TRUE(),$Q2844="TRUE"),1,0))</f>
        <v/>
      </c>
      <c r="AM2844">
        <f>IF($C2844="","",IF($W2844="Yes",1,0))</f>
        <v/>
      </c>
      <c r="AN2844">
        <f>IF($AJ2844=1,IFERROR(IF(VALUE($C2844)&lt;100000000,VALUE($C2844),1000000000),IFERROR(IF(VALUE(MID($C2844,2,20))&lt;100000000,VALUE(MID($C2844,2,20)),1000000000),1000000000))+ROW()/100000,"")</f>
        <v/>
      </c>
    </row>
    <row r="2845">
      <c r="E2845" s="11" t="n"/>
      <c r="M2845" s="7">
        <f>IF($C2845="","",L2845*U2845/100)</f>
        <v/>
      </c>
      <c r="N2845" s="7" t="n"/>
      <c r="T2845" s="7" t="n"/>
      <c r="U2845" s="7">
        <f>IF($C2845="","",S2845*T2845)</f>
        <v/>
      </c>
      <c r="X2845">
        <f>IF($C2845="","",IF($AM2845=1,0,IF($AL2845=1,Settings!$C$6,Settings!$C$7))*100)</f>
        <v/>
      </c>
      <c r="AB2845" s="7" t="n"/>
      <c r="AE2845" s="11" t="n"/>
      <c r="AG2845" s="7">
        <f>IF($C2845="","",U2845*X2845/100)</f>
        <v/>
      </c>
      <c r="AH2845" s="7">
        <f>IF($C2845="","",U2845-AG2845)</f>
        <v/>
      </c>
      <c r="AI2845" s="7">
        <f>IF($C2845="","",AH2845-M2845)</f>
        <v/>
      </c>
      <c r="AJ2845">
        <f>IF($C2845="","",IF(COUNTIF($C$2:$C2845,$C2845)=1,1,0))</f>
        <v/>
      </c>
      <c r="AK2845">
        <f>IF($AJ2845=1,SUMPRODUCT(--($AN$2:$AN$4001&lt;$AN2845))+1,"")</f>
        <v/>
      </c>
      <c r="AL2845">
        <f>IF($C2845="","",IF(OR($Q2845=TRUE(),$Q2845="TRUE"),1,0))</f>
        <v/>
      </c>
      <c r="AM2845">
        <f>IF($C2845="","",IF($W2845="Yes",1,0))</f>
        <v/>
      </c>
      <c r="AN2845">
        <f>IF($AJ2845=1,IFERROR(IF(VALUE($C2845)&lt;100000000,VALUE($C2845),1000000000),IFERROR(IF(VALUE(MID($C2845,2,20))&lt;100000000,VALUE(MID($C2845,2,20)),1000000000),1000000000))+ROW()/100000,"")</f>
        <v/>
      </c>
    </row>
    <row r="2846">
      <c r="E2846" s="11" t="n"/>
      <c r="M2846" s="7">
        <f>IF($C2846="","",L2846*U2846/100)</f>
        <v/>
      </c>
      <c r="N2846" s="7" t="n"/>
      <c r="T2846" s="7" t="n"/>
      <c r="U2846" s="7">
        <f>IF($C2846="","",S2846*T2846)</f>
        <v/>
      </c>
      <c r="X2846">
        <f>IF($C2846="","",IF($AM2846=1,0,IF($AL2846=1,Settings!$C$6,Settings!$C$7))*100)</f>
        <v/>
      </c>
      <c r="AB2846" s="7" t="n"/>
      <c r="AE2846" s="11" t="n"/>
      <c r="AG2846" s="7">
        <f>IF($C2846="","",U2846*X2846/100)</f>
        <v/>
      </c>
      <c r="AH2846" s="7">
        <f>IF($C2846="","",U2846-AG2846)</f>
        <v/>
      </c>
      <c r="AI2846" s="7">
        <f>IF($C2846="","",AH2846-M2846)</f>
        <v/>
      </c>
      <c r="AJ2846">
        <f>IF($C2846="","",IF(COUNTIF($C$2:$C2846,$C2846)=1,1,0))</f>
        <v/>
      </c>
      <c r="AK2846">
        <f>IF($AJ2846=1,SUMPRODUCT(--($AN$2:$AN$4001&lt;$AN2846))+1,"")</f>
        <v/>
      </c>
      <c r="AL2846">
        <f>IF($C2846="","",IF(OR($Q2846=TRUE(),$Q2846="TRUE"),1,0))</f>
        <v/>
      </c>
      <c r="AM2846">
        <f>IF($C2846="","",IF($W2846="Yes",1,0))</f>
        <v/>
      </c>
      <c r="AN2846">
        <f>IF($AJ2846=1,IFERROR(IF(VALUE($C2846)&lt;100000000,VALUE($C2846),1000000000),IFERROR(IF(VALUE(MID($C2846,2,20))&lt;100000000,VALUE(MID($C2846,2,20)),1000000000),1000000000))+ROW()/100000,"")</f>
        <v/>
      </c>
    </row>
    <row r="2847">
      <c r="E2847" s="11" t="n"/>
      <c r="M2847" s="7">
        <f>IF($C2847="","",L2847*U2847/100)</f>
        <v/>
      </c>
      <c r="N2847" s="7" t="n"/>
      <c r="T2847" s="7" t="n"/>
      <c r="U2847" s="7">
        <f>IF($C2847="","",S2847*T2847)</f>
        <v/>
      </c>
      <c r="X2847">
        <f>IF($C2847="","",IF($AM2847=1,0,IF($AL2847=1,Settings!$C$6,Settings!$C$7))*100)</f>
        <v/>
      </c>
      <c r="AB2847" s="7" t="n"/>
      <c r="AE2847" s="11" t="n"/>
      <c r="AG2847" s="7">
        <f>IF($C2847="","",U2847*X2847/100)</f>
        <v/>
      </c>
      <c r="AH2847" s="7">
        <f>IF($C2847="","",U2847-AG2847)</f>
        <v/>
      </c>
      <c r="AI2847" s="7">
        <f>IF($C2847="","",AH2847-M2847)</f>
        <v/>
      </c>
      <c r="AJ2847">
        <f>IF($C2847="","",IF(COUNTIF($C$2:$C2847,$C2847)=1,1,0))</f>
        <v/>
      </c>
      <c r="AK2847">
        <f>IF($AJ2847=1,SUMPRODUCT(--($AN$2:$AN$4001&lt;$AN2847))+1,"")</f>
        <v/>
      </c>
      <c r="AL2847">
        <f>IF($C2847="","",IF(OR($Q2847=TRUE(),$Q2847="TRUE"),1,0))</f>
        <v/>
      </c>
      <c r="AM2847">
        <f>IF($C2847="","",IF($W2847="Yes",1,0))</f>
        <v/>
      </c>
      <c r="AN2847">
        <f>IF($AJ2847=1,IFERROR(IF(VALUE($C2847)&lt;100000000,VALUE($C2847),1000000000),IFERROR(IF(VALUE(MID($C2847,2,20))&lt;100000000,VALUE(MID($C2847,2,20)),1000000000),1000000000))+ROW()/100000,"")</f>
        <v/>
      </c>
    </row>
    <row r="2848">
      <c r="E2848" s="11" t="n"/>
      <c r="M2848" s="7">
        <f>IF($C2848="","",L2848*U2848/100)</f>
        <v/>
      </c>
      <c r="N2848" s="7" t="n"/>
      <c r="T2848" s="7" t="n"/>
      <c r="U2848" s="7">
        <f>IF($C2848="","",S2848*T2848)</f>
        <v/>
      </c>
      <c r="X2848">
        <f>IF($C2848="","",IF($AM2848=1,0,IF($AL2848=1,Settings!$C$6,Settings!$C$7))*100)</f>
        <v/>
      </c>
      <c r="AB2848" s="7" t="n"/>
      <c r="AE2848" s="11" t="n"/>
      <c r="AG2848" s="7">
        <f>IF($C2848="","",U2848*X2848/100)</f>
        <v/>
      </c>
      <c r="AH2848" s="7">
        <f>IF($C2848="","",U2848-AG2848)</f>
        <v/>
      </c>
      <c r="AI2848" s="7">
        <f>IF($C2848="","",AH2848-M2848)</f>
        <v/>
      </c>
      <c r="AJ2848">
        <f>IF($C2848="","",IF(COUNTIF($C$2:$C2848,$C2848)=1,1,0))</f>
        <v/>
      </c>
      <c r="AK2848">
        <f>IF($AJ2848=1,SUMPRODUCT(--($AN$2:$AN$4001&lt;$AN2848))+1,"")</f>
        <v/>
      </c>
      <c r="AL2848">
        <f>IF($C2848="","",IF(OR($Q2848=TRUE(),$Q2848="TRUE"),1,0))</f>
        <v/>
      </c>
      <c r="AM2848">
        <f>IF($C2848="","",IF($W2848="Yes",1,0))</f>
        <v/>
      </c>
      <c r="AN2848">
        <f>IF($AJ2848=1,IFERROR(IF(VALUE($C2848)&lt;100000000,VALUE($C2848),1000000000),IFERROR(IF(VALUE(MID($C2848,2,20))&lt;100000000,VALUE(MID($C2848,2,20)),1000000000),1000000000))+ROW()/100000,"")</f>
        <v/>
      </c>
    </row>
    <row r="2849">
      <c r="E2849" s="11" t="n"/>
      <c r="M2849" s="7">
        <f>IF($C2849="","",L2849*U2849/100)</f>
        <v/>
      </c>
      <c r="N2849" s="7" t="n"/>
      <c r="T2849" s="7" t="n"/>
      <c r="U2849" s="7">
        <f>IF($C2849="","",S2849*T2849)</f>
        <v/>
      </c>
      <c r="X2849">
        <f>IF($C2849="","",IF($AM2849=1,0,IF($AL2849=1,Settings!$C$6,Settings!$C$7))*100)</f>
        <v/>
      </c>
      <c r="AB2849" s="7" t="n"/>
      <c r="AE2849" s="11" t="n"/>
      <c r="AG2849" s="7">
        <f>IF($C2849="","",U2849*X2849/100)</f>
        <v/>
      </c>
      <c r="AH2849" s="7">
        <f>IF($C2849="","",U2849-AG2849)</f>
        <v/>
      </c>
      <c r="AI2849" s="7">
        <f>IF($C2849="","",AH2849-M2849)</f>
        <v/>
      </c>
      <c r="AJ2849">
        <f>IF($C2849="","",IF(COUNTIF($C$2:$C2849,$C2849)=1,1,0))</f>
        <v/>
      </c>
      <c r="AK2849">
        <f>IF($AJ2849=1,SUMPRODUCT(--($AN$2:$AN$4001&lt;$AN2849))+1,"")</f>
        <v/>
      </c>
      <c r="AL2849">
        <f>IF($C2849="","",IF(OR($Q2849=TRUE(),$Q2849="TRUE"),1,0))</f>
        <v/>
      </c>
      <c r="AM2849">
        <f>IF($C2849="","",IF($W2849="Yes",1,0))</f>
        <v/>
      </c>
      <c r="AN2849">
        <f>IF($AJ2849=1,IFERROR(IF(VALUE($C2849)&lt;100000000,VALUE($C2849),1000000000),IFERROR(IF(VALUE(MID($C2849,2,20))&lt;100000000,VALUE(MID($C2849,2,20)),1000000000),1000000000))+ROW()/100000,"")</f>
        <v/>
      </c>
    </row>
    <row r="2850">
      <c r="E2850" s="11" t="n"/>
      <c r="M2850" s="7">
        <f>IF($C2850="","",L2850*U2850/100)</f>
        <v/>
      </c>
      <c r="N2850" s="7" t="n"/>
      <c r="T2850" s="7" t="n"/>
      <c r="U2850" s="7">
        <f>IF($C2850="","",S2850*T2850)</f>
        <v/>
      </c>
      <c r="X2850">
        <f>IF($C2850="","",IF($AM2850=1,0,IF($AL2850=1,Settings!$C$6,Settings!$C$7))*100)</f>
        <v/>
      </c>
      <c r="AB2850" s="7" t="n"/>
      <c r="AE2850" s="11" t="n"/>
      <c r="AG2850" s="7">
        <f>IF($C2850="","",U2850*X2850/100)</f>
        <v/>
      </c>
      <c r="AH2850" s="7">
        <f>IF($C2850="","",U2850-AG2850)</f>
        <v/>
      </c>
      <c r="AI2850" s="7">
        <f>IF($C2850="","",AH2850-M2850)</f>
        <v/>
      </c>
      <c r="AJ2850">
        <f>IF($C2850="","",IF(COUNTIF($C$2:$C2850,$C2850)=1,1,0))</f>
        <v/>
      </c>
      <c r="AK2850">
        <f>IF($AJ2850=1,SUMPRODUCT(--($AN$2:$AN$4001&lt;$AN2850))+1,"")</f>
        <v/>
      </c>
      <c r="AL2850">
        <f>IF($C2850="","",IF(OR($Q2850=TRUE(),$Q2850="TRUE"),1,0))</f>
        <v/>
      </c>
      <c r="AM2850">
        <f>IF($C2850="","",IF($W2850="Yes",1,0))</f>
        <v/>
      </c>
      <c r="AN2850">
        <f>IF($AJ2850=1,IFERROR(IF(VALUE($C2850)&lt;100000000,VALUE($C2850),1000000000),IFERROR(IF(VALUE(MID($C2850,2,20))&lt;100000000,VALUE(MID($C2850,2,20)),1000000000),1000000000))+ROW()/100000,"")</f>
        <v/>
      </c>
    </row>
    <row r="2851">
      <c r="E2851" s="11" t="n"/>
      <c r="M2851" s="7">
        <f>IF($C2851="","",L2851*U2851/100)</f>
        <v/>
      </c>
      <c r="N2851" s="7" t="n"/>
      <c r="T2851" s="7" t="n"/>
      <c r="U2851" s="7">
        <f>IF($C2851="","",S2851*T2851)</f>
        <v/>
      </c>
      <c r="X2851">
        <f>IF($C2851="","",IF($AM2851=1,0,IF($AL2851=1,Settings!$C$6,Settings!$C$7))*100)</f>
        <v/>
      </c>
      <c r="AB2851" s="7" t="n"/>
      <c r="AE2851" s="11" t="n"/>
      <c r="AG2851" s="7">
        <f>IF($C2851="","",U2851*X2851/100)</f>
        <v/>
      </c>
      <c r="AH2851" s="7">
        <f>IF($C2851="","",U2851-AG2851)</f>
        <v/>
      </c>
      <c r="AI2851" s="7">
        <f>IF($C2851="","",AH2851-M2851)</f>
        <v/>
      </c>
      <c r="AJ2851">
        <f>IF($C2851="","",IF(COUNTIF($C$2:$C2851,$C2851)=1,1,0))</f>
        <v/>
      </c>
      <c r="AK2851">
        <f>IF($AJ2851=1,SUMPRODUCT(--($AN$2:$AN$4001&lt;$AN2851))+1,"")</f>
        <v/>
      </c>
      <c r="AL2851">
        <f>IF($C2851="","",IF(OR($Q2851=TRUE(),$Q2851="TRUE"),1,0))</f>
        <v/>
      </c>
      <c r="AM2851">
        <f>IF($C2851="","",IF($W2851="Yes",1,0))</f>
        <v/>
      </c>
      <c r="AN2851">
        <f>IF($AJ2851=1,IFERROR(IF(VALUE($C2851)&lt;100000000,VALUE($C2851),1000000000),IFERROR(IF(VALUE(MID($C2851,2,20))&lt;100000000,VALUE(MID($C2851,2,20)),1000000000),1000000000))+ROW()/100000,"")</f>
        <v/>
      </c>
    </row>
    <row r="2852">
      <c r="E2852" s="11" t="n"/>
      <c r="M2852" s="7">
        <f>IF($C2852="","",L2852*U2852/100)</f>
        <v/>
      </c>
      <c r="N2852" s="7" t="n"/>
      <c r="T2852" s="7" t="n"/>
      <c r="U2852" s="7">
        <f>IF($C2852="","",S2852*T2852)</f>
        <v/>
      </c>
      <c r="X2852">
        <f>IF($C2852="","",IF($AM2852=1,0,IF($AL2852=1,Settings!$C$6,Settings!$C$7))*100)</f>
        <v/>
      </c>
      <c r="AB2852" s="7" t="n"/>
      <c r="AE2852" s="11" t="n"/>
      <c r="AG2852" s="7">
        <f>IF($C2852="","",U2852*X2852/100)</f>
        <v/>
      </c>
      <c r="AH2852" s="7">
        <f>IF($C2852="","",U2852-AG2852)</f>
        <v/>
      </c>
      <c r="AI2852" s="7">
        <f>IF($C2852="","",AH2852-M2852)</f>
        <v/>
      </c>
      <c r="AJ2852">
        <f>IF($C2852="","",IF(COUNTIF($C$2:$C2852,$C2852)=1,1,0))</f>
        <v/>
      </c>
      <c r="AK2852">
        <f>IF($AJ2852=1,SUMPRODUCT(--($AN$2:$AN$4001&lt;$AN2852))+1,"")</f>
        <v/>
      </c>
      <c r="AL2852">
        <f>IF($C2852="","",IF(OR($Q2852=TRUE(),$Q2852="TRUE"),1,0))</f>
        <v/>
      </c>
      <c r="AM2852">
        <f>IF($C2852="","",IF($W2852="Yes",1,0))</f>
        <v/>
      </c>
      <c r="AN2852">
        <f>IF($AJ2852=1,IFERROR(IF(VALUE($C2852)&lt;100000000,VALUE($C2852),1000000000),IFERROR(IF(VALUE(MID($C2852,2,20))&lt;100000000,VALUE(MID($C2852,2,20)),1000000000),1000000000))+ROW()/100000,"")</f>
        <v/>
      </c>
    </row>
    <row r="2853">
      <c r="E2853" s="11" t="n"/>
      <c r="M2853" s="7">
        <f>IF($C2853="","",L2853*U2853/100)</f>
        <v/>
      </c>
      <c r="N2853" s="7" t="n"/>
      <c r="T2853" s="7" t="n"/>
      <c r="U2853" s="7">
        <f>IF($C2853="","",S2853*T2853)</f>
        <v/>
      </c>
      <c r="X2853">
        <f>IF($C2853="","",IF($AM2853=1,0,IF($AL2853=1,Settings!$C$6,Settings!$C$7))*100)</f>
        <v/>
      </c>
      <c r="AB2853" s="7" t="n"/>
      <c r="AE2853" s="11" t="n"/>
      <c r="AG2853" s="7">
        <f>IF($C2853="","",U2853*X2853/100)</f>
        <v/>
      </c>
      <c r="AH2853" s="7">
        <f>IF($C2853="","",U2853-AG2853)</f>
        <v/>
      </c>
      <c r="AI2853" s="7">
        <f>IF($C2853="","",AH2853-M2853)</f>
        <v/>
      </c>
      <c r="AJ2853">
        <f>IF($C2853="","",IF(COUNTIF($C$2:$C2853,$C2853)=1,1,0))</f>
        <v/>
      </c>
      <c r="AK2853">
        <f>IF($AJ2853=1,SUMPRODUCT(--($AN$2:$AN$4001&lt;$AN2853))+1,"")</f>
        <v/>
      </c>
      <c r="AL2853">
        <f>IF($C2853="","",IF(OR($Q2853=TRUE(),$Q2853="TRUE"),1,0))</f>
        <v/>
      </c>
      <c r="AM2853">
        <f>IF($C2853="","",IF($W2853="Yes",1,0))</f>
        <v/>
      </c>
      <c r="AN2853">
        <f>IF($AJ2853=1,IFERROR(IF(VALUE($C2853)&lt;100000000,VALUE($C2853),1000000000),IFERROR(IF(VALUE(MID($C2853,2,20))&lt;100000000,VALUE(MID($C2853,2,20)),1000000000),1000000000))+ROW()/100000,"")</f>
        <v/>
      </c>
    </row>
    <row r="2854">
      <c r="E2854" s="11" t="n"/>
      <c r="M2854" s="7">
        <f>IF($C2854="","",L2854*U2854/100)</f>
        <v/>
      </c>
      <c r="N2854" s="7" t="n"/>
      <c r="T2854" s="7" t="n"/>
      <c r="U2854" s="7">
        <f>IF($C2854="","",S2854*T2854)</f>
        <v/>
      </c>
      <c r="X2854">
        <f>IF($C2854="","",IF($AM2854=1,0,IF($AL2854=1,Settings!$C$6,Settings!$C$7))*100)</f>
        <v/>
      </c>
      <c r="AB2854" s="7" t="n"/>
      <c r="AE2854" s="11" t="n"/>
      <c r="AG2854" s="7">
        <f>IF($C2854="","",U2854*X2854/100)</f>
        <v/>
      </c>
      <c r="AH2854" s="7">
        <f>IF($C2854="","",U2854-AG2854)</f>
        <v/>
      </c>
      <c r="AI2854" s="7">
        <f>IF($C2854="","",AH2854-M2854)</f>
        <v/>
      </c>
      <c r="AJ2854">
        <f>IF($C2854="","",IF(COUNTIF($C$2:$C2854,$C2854)=1,1,0))</f>
        <v/>
      </c>
      <c r="AK2854">
        <f>IF($AJ2854=1,SUMPRODUCT(--($AN$2:$AN$4001&lt;$AN2854))+1,"")</f>
        <v/>
      </c>
      <c r="AL2854">
        <f>IF($C2854="","",IF(OR($Q2854=TRUE(),$Q2854="TRUE"),1,0))</f>
        <v/>
      </c>
      <c r="AM2854">
        <f>IF($C2854="","",IF($W2854="Yes",1,0))</f>
        <v/>
      </c>
      <c r="AN2854">
        <f>IF($AJ2854=1,IFERROR(IF(VALUE($C2854)&lt;100000000,VALUE($C2854),1000000000),IFERROR(IF(VALUE(MID($C2854,2,20))&lt;100000000,VALUE(MID($C2854,2,20)),1000000000),1000000000))+ROW()/100000,"")</f>
        <v/>
      </c>
    </row>
    <row r="2855">
      <c r="E2855" s="11" t="n"/>
      <c r="M2855" s="7">
        <f>IF($C2855="","",L2855*U2855/100)</f>
        <v/>
      </c>
      <c r="N2855" s="7" t="n"/>
      <c r="T2855" s="7" t="n"/>
      <c r="U2855" s="7">
        <f>IF($C2855="","",S2855*T2855)</f>
        <v/>
      </c>
      <c r="X2855">
        <f>IF($C2855="","",IF($AM2855=1,0,IF($AL2855=1,Settings!$C$6,Settings!$C$7))*100)</f>
        <v/>
      </c>
      <c r="AB2855" s="7" t="n"/>
      <c r="AE2855" s="11" t="n"/>
      <c r="AG2855" s="7">
        <f>IF($C2855="","",U2855*X2855/100)</f>
        <v/>
      </c>
      <c r="AH2855" s="7">
        <f>IF($C2855="","",U2855-AG2855)</f>
        <v/>
      </c>
      <c r="AI2855" s="7">
        <f>IF($C2855="","",AH2855-M2855)</f>
        <v/>
      </c>
      <c r="AJ2855">
        <f>IF($C2855="","",IF(COUNTIF($C$2:$C2855,$C2855)=1,1,0))</f>
        <v/>
      </c>
      <c r="AK2855">
        <f>IF($AJ2855=1,SUMPRODUCT(--($AN$2:$AN$4001&lt;$AN2855))+1,"")</f>
        <v/>
      </c>
      <c r="AL2855">
        <f>IF($C2855="","",IF(OR($Q2855=TRUE(),$Q2855="TRUE"),1,0))</f>
        <v/>
      </c>
      <c r="AM2855">
        <f>IF($C2855="","",IF($W2855="Yes",1,0))</f>
        <v/>
      </c>
      <c r="AN2855">
        <f>IF($AJ2855=1,IFERROR(IF(VALUE($C2855)&lt;100000000,VALUE($C2855),1000000000),IFERROR(IF(VALUE(MID($C2855,2,20))&lt;100000000,VALUE(MID($C2855,2,20)),1000000000),1000000000))+ROW()/100000,"")</f>
        <v/>
      </c>
    </row>
    <row r="2856">
      <c r="E2856" s="11" t="n"/>
      <c r="M2856" s="7">
        <f>IF($C2856="","",L2856*U2856/100)</f>
        <v/>
      </c>
      <c r="N2856" s="7" t="n"/>
      <c r="T2856" s="7" t="n"/>
      <c r="U2856" s="7">
        <f>IF($C2856="","",S2856*T2856)</f>
        <v/>
      </c>
      <c r="X2856">
        <f>IF($C2856="","",IF($AM2856=1,0,IF($AL2856=1,Settings!$C$6,Settings!$C$7))*100)</f>
        <v/>
      </c>
      <c r="AB2856" s="7" t="n"/>
      <c r="AE2856" s="11" t="n"/>
      <c r="AG2856" s="7">
        <f>IF($C2856="","",U2856*X2856/100)</f>
        <v/>
      </c>
      <c r="AH2856" s="7">
        <f>IF($C2856="","",U2856-AG2856)</f>
        <v/>
      </c>
      <c r="AI2856" s="7">
        <f>IF($C2856="","",AH2856-M2856)</f>
        <v/>
      </c>
      <c r="AJ2856">
        <f>IF($C2856="","",IF(COUNTIF($C$2:$C2856,$C2856)=1,1,0))</f>
        <v/>
      </c>
      <c r="AK2856">
        <f>IF($AJ2856=1,SUMPRODUCT(--($AN$2:$AN$4001&lt;$AN2856))+1,"")</f>
        <v/>
      </c>
      <c r="AL2856">
        <f>IF($C2856="","",IF(OR($Q2856=TRUE(),$Q2856="TRUE"),1,0))</f>
        <v/>
      </c>
      <c r="AM2856">
        <f>IF($C2856="","",IF($W2856="Yes",1,0))</f>
        <v/>
      </c>
      <c r="AN2856">
        <f>IF($AJ2856=1,IFERROR(IF(VALUE($C2856)&lt;100000000,VALUE($C2856),1000000000),IFERROR(IF(VALUE(MID($C2856,2,20))&lt;100000000,VALUE(MID($C2856,2,20)),1000000000),1000000000))+ROW()/100000,"")</f>
        <v/>
      </c>
    </row>
    <row r="2857">
      <c r="E2857" s="11" t="n"/>
      <c r="M2857" s="7">
        <f>IF($C2857="","",L2857*U2857/100)</f>
        <v/>
      </c>
      <c r="N2857" s="7" t="n"/>
      <c r="T2857" s="7" t="n"/>
      <c r="U2857" s="7">
        <f>IF($C2857="","",S2857*T2857)</f>
        <v/>
      </c>
      <c r="X2857">
        <f>IF($C2857="","",IF($AM2857=1,0,IF($AL2857=1,Settings!$C$6,Settings!$C$7))*100)</f>
        <v/>
      </c>
      <c r="AB2857" s="7" t="n"/>
      <c r="AE2857" s="11" t="n"/>
      <c r="AG2857" s="7">
        <f>IF($C2857="","",U2857*X2857/100)</f>
        <v/>
      </c>
      <c r="AH2857" s="7">
        <f>IF($C2857="","",U2857-AG2857)</f>
        <v/>
      </c>
      <c r="AI2857" s="7">
        <f>IF($C2857="","",AH2857-M2857)</f>
        <v/>
      </c>
      <c r="AJ2857">
        <f>IF($C2857="","",IF(COUNTIF($C$2:$C2857,$C2857)=1,1,0))</f>
        <v/>
      </c>
      <c r="AK2857">
        <f>IF($AJ2857=1,SUMPRODUCT(--($AN$2:$AN$4001&lt;$AN2857))+1,"")</f>
        <v/>
      </c>
      <c r="AL2857">
        <f>IF($C2857="","",IF(OR($Q2857=TRUE(),$Q2857="TRUE"),1,0))</f>
        <v/>
      </c>
      <c r="AM2857">
        <f>IF($C2857="","",IF($W2857="Yes",1,0))</f>
        <v/>
      </c>
      <c r="AN2857">
        <f>IF($AJ2857=1,IFERROR(IF(VALUE($C2857)&lt;100000000,VALUE($C2857),1000000000),IFERROR(IF(VALUE(MID($C2857,2,20))&lt;100000000,VALUE(MID($C2857,2,20)),1000000000),1000000000))+ROW()/100000,"")</f>
        <v/>
      </c>
    </row>
    <row r="2858">
      <c r="E2858" s="11" t="n"/>
      <c r="M2858" s="7">
        <f>IF($C2858="","",L2858*U2858/100)</f>
        <v/>
      </c>
      <c r="N2858" s="7" t="n"/>
      <c r="T2858" s="7" t="n"/>
      <c r="U2858" s="7">
        <f>IF($C2858="","",S2858*T2858)</f>
        <v/>
      </c>
      <c r="X2858">
        <f>IF($C2858="","",IF($AM2858=1,0,IF($AL2858=1,Settings!$C$6,Settings!$C$7))*100)</f>
        <v/>
      </c>
      <c r="AB2858" s="7" t="n"/>
      <c r="AE2858" s="11" t="n"/>
      <c r="AG2858" s="7">
        <f>IF($C2858="","",U2858*X2858/100)</f>
        <v/>
      </c>
      <c r="AH2858" s="7">
        <f>IF($C2858="","",U2858-AG2858)</f>
        <v/>
      </c>
      <c r="AI2858" s="7">
        <f>IF($C2858="","",AH2858-M2858)</f>
        <v/>
      </c>
      <c r="AJ2858">
        <f>IF($C2858="","",IF(COUNTIF($C$2:$C2858,$C2858)=1,1,0))</f>
        <v/>
      </c>
      <c r="AK2858">
        <f>IF($AJ2858=1,SUMPRODUCT(--($AN$2:$AN$4001&lt;$AN2858))+1,"")</f>
        <v/>
      </c>
      <c r="AL2858">
        <f>IF($C2858="","",IF(OR($Q2858=TRUE(),$Q2858="TRUE"),1,0))</f>
        <v/>
      </c>
      <c r="AM2858">
        <f>IF($C2858="","",IF($W2858="Yes",1,0))</f>
        <v/>
      </c>
      <c r="AN2858">
        <f>IF($AJ2858=1,IFERROR(IF(VALUE($C2858)&lt;100000000,VALUE($C2858),1000000000),IFERROR(IF(VALUE(MID($C2858,2,20))&lt;100000000,VALUE(MID($C2858,2,20)),1000000000),1000000000))+ROW()/100000,"")</f>
        <v/>
      </c>
    </row>
    <row r="2859">
      <c r="E2859" s="11" t="n"/>
      <c r="M2859" s="7">
        <f>IF($C2859="","",L2859*U2859/100)</f>
        <v/>
      </c>
      <c r="N2859" s="7" t="n"/>
      <c r="T2859" s="7" t="n"/>
      <c r="U2859" s="7">
        <f>IF($C2859="","",S2859*T2859)</f>
        <v/>
      </c>
      <c r="X2859">
        <f>IF($C2859="","",IF($AM2859=1,0,IF($AL2859=1,Settings!$C$6,Settings!$C$7))*100)</f>
        <v/>
      </c>
      <c r="AB2859" s="7" t="n"/>
      <c r="AE2859" s="11" t="n"/>
      <c r="AG2859" s="7">
        <f>IF($C2859="","",U2859*X2859/100)</f>
        <v/>
      </c>
      <c r="AH2859" s="7">
        <f>IF($C2859="","",U2859-AG2859)</f>
        <v/>
      </c>
      <c r="AI2859" s="7">
        <f>IF($C2859="","",AH2859-M2859)</f>
        <v/>
      </c>
      <c r="AJ2859">
        <f>IF($C2859="","",IF(COUNTIF($C$2:$C2859,$C2859)=1,1,0))</f>
        <v/>
      </c>
      <c r="AK2859">
        <f>IF($AJ2859=1,SUMPRODUCT(--($AN$2:$AN$4001&lt;$AN2859))+1,"")</f>
        <v/>
      </c>
      <c r="AL2859">
        <f>IF($C2859="","",IF(OR($Q2859=TRUE(),$Q2859="TRUE"),1,0))</f>
        <v/>
      </c>
      <c r="AM2859">
        <f>IF($C2859="","",IF($W2859="Yes",1,0))</f>
        <v/>
      </c>
      <c r="AN2859">
        <f>IF($AJ2859=1,IFERROR(IF(VALUE($C2859)&lt;100000000,VALUE($C2859),1000000000),IFERROR(IF(VALUE(MID($C2859,2,20))&lt;100000000,VALUE(MID($C2859,2,20)),1000000000),1000000000))+ROW()/100000,"")</f>
        <v/>
      </c>
    </row>
    <row r="2860">
      <c r="E2860" s="11" t="n"/>
      <c r="M2860" s="7">
        <f>IF($C2860="","",L2860*U2860/100)</f>
        <v/>
      </c>
      <c r="N2860" s="7" t="n"/>
      <c r="T2860" s="7" t="n"/>
      <c r="U2860" s="7">
        <f>IF($C2860="","",S2860*T2860)</f>
        <v/>
      </c>
      <c r="X2860">
        <f>IF($C2860="","",IF($AM2860=1,0,IF($AL2860=1,Settings!$C$6,Settings!$C$7))*100)</f>
        <v/>
      </c>
      <c r="AB2860" s="7" t="n"/>
      <c r="AE2860" s="11" t="n"/>
      <c r="AG2860" s="7">
        <f>IF($C2860="","",U2860*X2860/100)</f>
        <v/>
      </c>
      <c r="AH2860" s="7">
        <f>IF($C2860="","",U2860-AG2860)</f>
        <v/>
      </c>
      <c r="AI2860" s="7">
        <f>IF($C2860="","",AH2860-M2860)</f>
        <v/>
      </c>
      <c r="AJ2860">
        <f>IF($C2860="","",IF(COUNTIF($C$2:$C2860,$C2860)=1,1,0))</f>
        <v/>
      </c>
      <c r="AK2860">
        <f>IF($AJ2860=1,SUMPRODUCT(--($AN$2:$AN$4001&lt;$AN2860))+1,"")</f>
        <v/>
      </c>
      <c r="AL2860">
        <f>IF($C2860="","",IF(OR($Q2860=TRUE(),$Q2860="TRUE"),1,0))</f>
        <v/>
      </c>
      <c r="AM2860">
        <f>IF($C2860="","",IF($W2860="Yes",1,0))</f>
        <v/>
      </c>
      <c r="AN2860">
        <f>IF($AJ2860=1,IFERROR(IF(VALUE($C2860)&lt;100000000,VALUE($C2860),1000000000),IFERROR(IF(VALUE(MID($C2860,2,20))&lt;100000000,VALUE(MID($C2860,2,20)),1000000000),1000000000))+ROW()/100000,"")</f>
        <v/>
      </c>
    </row>
    <row r="2861">
      <c r="E2861" s="11" t="n"/>
      <c r="M2861" s="7">
        <f>IF($C2861="","",L2861*U2861/100)</f>
        <v/>
      </c>
      <c r="N2861" s="7" t="n"/>
      <c r="T2861" s="7" t="n"/>
      <c r="U2861" s="7">
        <f>IF($C2861="","",S2861*T2861)</f>
        <v/>
      </c>
      <c r="X2861">
        <f>IF($C2861="","",IF($AM2861=1,0,IF($AL2861=1,Settings!$C$6,Settings!$C$7))*100)</f>
        <v/>
      </c>
      <c r="AB2861" s="7" t="n"/>
      <c r="AE2861" s="11" t="n"/>
      <c r="AG2861" s="7">
        <f>IF($C2861="","",U2861*X2861/100)</f>
        <v/>
      </c>
      <c r="AH2861" s="7">
        <f>IF($C2861="","",U2861-AG2861)</f>
        <v/>
      </c>
      <c r="AI2861" s="7">
        <f>IF($C2861="","",AH2861-M2861)</f>
        <v/>
      </c>
      <c r="AJ2861">
        <f>IF($C2861="","",IF(COUNTIF($C$2:$C2861,$C2861)=1,1,0))</f>
        <v/>
      </c>
      <c r="AK2861">
        <f>IF($AJ2861=1,SUMPRODUCT(--($AN$2:$AN$4001&lt;$AN2861))+1,"")</f>
        <v/>
      </c>
      <c r="AL2861">
        <f>IF($C2861="","",IF(OR($Q2861=TRUE(),$Q2861="TRUE"),1,0))</f>
        <v/>
      </c>
      <c r="AM2861">
        <f>IF($C2861="","",IF($W2861="Yes",1,0))</f>
        <v/>
      </c>
      <c r="AN2861">
        <f>IF($AJ2861=1,IFERROR(IF(VALUE($C2861)&lt;100000000,VALUE($C2861),1000000000),IFERROR(IF(VALUE(MID($C2861,2,20))&lt;100000000,VALUE(MID($C2861,2,20)),1000000000),1000000000))+ROW()/100000,"")</f>
        <v/>
      </c>
    </row>
    <row r="2862">
      <c r="E2862" s="11" t="n"/>
      <c r="M2862" s="7">
        <f>IF($C2862="","",L2862*U2862/100)</f>
        <v/>
      </c>
      <c r="N2862" s="7" t="n"/>
      <c r="T2862" s="7" t="n"/>
      <c r="U2862" s="7">
        <f>IF($C2862="","",S2862*T2862)</f>
        <v/>
      </c>
      <c r="X2862">
        <f>IF($C2862="","",IF($AM2862=1,0,IF($AL2862=1,Settings!$C$6,Settings!$C$7))*100)</f>
        <v/>
      </c>
      <c r="AB2862" s="7" t="n"/>
      <c r="AE2862" s="11" t="n"/>
      <c r="AG2862" s="7">
        <f>IF($C2862="","",U2862*X2862/100)</f>
        <v/>
      </c>
      <c r="AH2862" s="7">
        <f>IF($C2862="","",U2862-AG2862)</f>
        <v/>
      </c>
      <c r="AI2862" s="7">
        <f>IF($C2862="","",AH2862-M2862)</f>
        <v/>
      </c>
      <c r="AJ2862">
        <f>IF($C2862="","",IF(COUNTIF($C$2:$C2862,$C2862)=1,1,0))</f>
        <v/>
      </c>
      <c r="AK2862">
        <f>IF($AJ2862=1,SUMPRODUCT(--($AN$2:$AN$4001&lt;$AN2862))+1,"")</f>
        <v/>
      </c>
      <c r="AL2862">
        <f>IF($C2862="","",IF(OR($Q2862=TRUE(),$Q2862="TRUE"),1,0))</f>
        <v/>
      </c>
      <c r="AM2862">
        <f>IF($C2862="","",IF($W2862="Yes",1,0))</f>
        <v/>
      </c>
      <c r="AN2862">
        <f>IF($AJ2862=1,IFERROR(IF(VALUE($C2862)&lt;100000000,VALUE($C2862),1000000000),IFERROR(IF(VALUE(MID($C2862,2,20))&lt;100000000,VALUE(MID($C2862,2,20)),1000000000),1000000000))+ROW()/100000,"")</f>
        <v/>
      </c>
    </row>
    <row r="2863">
      <c r="E2863" s="11" t="n"/>
      <c r="M2863" s="7">
        <f>IF($C2863="","",L2863*U2863/100)</f>
        <v/>
      </c>
      <c r="N2863" s="7" t="n"/>
      <c r="T2863" s="7" t="n"/>
      <c r="U2863" s="7">
        <f>IF($C2863="","",S2863*T2863)</f>
        <v/>
      </c>
      <c r="X2863">
        <f>IF($C2863="","",IF($AM2863=1,0,IF($AL2863=1,Settings!$C$6,Settings!$C$7))*100)</f>
        <v/>
      </c>
      <c r="AB2863" s="7" t="n"/>
      <c r="AE2863" s="11" t="n"/>
      <c r="AG2863" s="7">
        <f>IF($C2863="","",U2863*X2863/100)</f>
        <v/>
      </c>
      <c r="AH2863" s="7">
        <f>IF($C2863="","",U2863-AG2863)</f>
        <v/>
      </c>
      <c r="AI2863" s="7">
        <f>IF($C2863="","",AH2863-M2863)</f>
        <v/>
      </c>
      <c r="AJ2863">
        <f>IF($C2863="","",IF(COUNTIF($C$2:$C2863,$C2863)=1,1,0))</f>
        <v/>
      </c>
      <c r="AK2863">
        <f>IF($AJ2863=1,SUMPRODUCT(--($AN$2:$AN$4001&lt;$AN2863))+1,"")</f>
        <v/>
      </c>
      <c r="AL2863">
        <f>IF($C2863="","",IF(OR($Q2863=TRUE(),$Q2863="TRUE"),1,0))</f>
        <v/>
      </c>
      <c r="AM2863">
        <f>IF($C2863="","",IF($W2863="Yes",1,0))</f>
        <v/>
      </c>
      <c r="AN2863">
        <f>IF($AJ2863=1,IFERROR(IF(VALUE($C2863)&lt;100000000,VALUE($C2863),1000000000),IFERROR(IF(VALUE(MID($C2863,2,20))&lt;100000000,VALUE(MID($C2863,2,20)),1000000000),1000000000))+ROW()/100000,"")</f>
        <v/>
      </c>
    </row>
    <row r="2864">
      <c r="E2864" s="11" t="n"/>
      <c r="M2864" s="7">
        <f>IF($C2864="","",L2864*U2864/100)</f>
        <v/>
      </c>
      <c r="N2864" s="7" t="n"/>
      <c r="T2864" s="7" t="n"/>
      <c r="U2864" s="7">
        <f>IF($C2864="","",S2864*T2864)</f>
        <v/>
      </c>
      <c r="X2864">
        <f>IF($C2864="","",IF($AM2864=1,0,IF($AL2864=1,Settings!$C$6,Settings!$C$7))*100)</f>
        <v/>
      </c>
      <c r="AB2864" s="7" t="n"/>
      <c r="AE2864" s="11" t="n"/>
      <c r="AG2864" s="7">
        <f>IF($C2864="","",U2864*X2864/100)</f>
        <v/>
      </c>
      <c r="AH2864" s="7">
        <f>IF($C2864="","",U2864-AG2864)</f>
        <v/>
      </c>
      <c r="AI2864" s="7">
        <f>IF($C2864="","",AH2864-M2864)</f>
        <v/>
      </c>
      <c r="AJ2864">
        <f>IF($C2864="","",IF(COUNTIF($C$2:$C2864,$C2864)=1,1,0))</f>
        <v/>
      </c>
      <c r="AK2864">
        <f>IF($AJ2864=1,SUMPRODUCT(--($AN$2:$AN$4001&lt;$AN2864))+1,"")</f>
        <v/>
      </c>
      <c r="AL2864">
        <f>IF($C2864="","",IF(OR($Q2864=TRUE(),$Q2864="TRUE"),1,0))</f>
        <v/>
      </c>
      <c r="AM2864">
        <f>IF($C2864="","",IF($W2864="Yes",1,0))</f>
        <v/>
      </c>
      <c r="AN2864">
        <f>IF($AJ2864=1,IFERROR(IF(VALUE($C2864)&lt;100000000,VALUE($C2864),1000000000),IFERROR(IF(VALUE(MID($C2864,2,20))&lt;100000000,VALUE(MID($C2864,2,20)),1000000000),1000000000))+ROW()/100000,"")</f>
        <v/>
      </c>
    </row>
    <row r="2865">
      <c r="E2865" s="11" t="n"/>
      <c r="M2865" s="7">
        <f>IF($C2865="","",L2865*U2865/100)</f>
        <v/>
      </c>
      <c r="N2865" s="7" t="n"/>
      <c r="T2865" s="7" t="n"/>
      <c r="U2865" s="7">
        <f>IF($C2865="","",S2865*T2865)</f>
        <v/>
      </c>
      <c r="X2865">
        <f>IF($C2865="","",IF($AM2865=1,0,IF($AL2865=1,Settings!$C$6,Settings!$C$7))*100)</f>
        <v/>
      </c>
      <c r="AB2865" s="7" t="n"/>
      <c r="AE2865" s="11" t="n"/>
      <c r="AG2865" s="7">
        <f>IF($C2865="","",U2865*X2865/100)</f>
        <v/>
      </c>
      <c r="AH2865" s="7">
        <f>IF($C2865="","",U2865-AG2865)</f>
        <v/>
      </c>
      <c r="AI2865" s="7">
        <f>IF($C2865="","",AH2865-M2865)</f>
        <v/>
      </c>
      <c r="AJ2865">
        <f>IF($C2865="","",IF(COUNTIF($C$2:$C2865,$C2865)=1,1,0))</f>
        <v/>
      </c>
      <c r="AK2865">
        <f>IF($AJ2865=1,SUMPRODUCT(--($AN$2:$AN$4001&lt;$AN2865))+1,"")</f>
        <v/>
      </c>
      <c r="AL2865">
        <f>IF($C2865="","",IF(OR($Q2865=TRUE(),$Q2865="TRUE"),1,0))</f>
        <v/>
      </c>
      <c r="AM2865">
        <f>IF($C2865="","",IF($W2865="Yes",1,0))</f>
        <v/>
      </c>
      <c r="AN2865">
        <f>IF($AJ2865=1,IFERROR(IF(VALUE($C2865)&lt;100000000,VALUE($C2865),1000000000),IFERROR(IF(VALUE(MID($C2865,2,20))&lt;100000000,VALUE(MID($C2865,2,20)),1000000000),1000000000))+ROW()/100000,"")</f>
        <v/>
      </c>
    </row>
    <row r="2866">
      <c r="E2866" s="11" t="n"/>
      <c r="M2866" s="7">
        <f>IF($C2866="","",L2866*U2866/100)</f>
        <v/>
      </c>
      <c r="N2866" s="7" t="n"/>
      <c r="T2866" s="7" t="n"/>
      <c r="U2866" s="7">
        <f>IF($C2866="","",S2866*T2866)</f>
        <v/>
      </c>
      <c r="X2866">
        <f>IF($C2866="","",IF($AM2866=1,0,IF($AL2866=1,Settings!$C$6,Settings!$C$7))*100)</f>
        <v/>
      </c>
      <c r="AB2866" s="7" t="n"/>
      <c r="AE2866" s="11" t="n"/>
      <c r="AG2866" s="7">
        <f>IF($C2866="","",U2866*X2866/100)</f>
        <v/>
      </c>
      <c r="AH2866" s="7">
        <f>IF($C2866="","",U2866-AG2866)</f>
        <v/>
      </c>
      <c r="AI2866" s="7">
        <f>IF($C2866="","",AH2866-M2866)</f>
        <v/>
      </c>
      <c r="AJ2866">
        <f>IF($C2866="","",IF(COUNTIF($C$2:$C2866,$C2866)=1,1,0))</f>
        <v/>
      </c>
      <c r="AK2866">
        <f>IF($AJ2866=1,SUMPRODUCT(--($AN$2:$AN$4001&lt;$AN2866))+1,"")</f>
        <v/>
      </c>
      <c r="AL2866">
        <f>IF($C2866="","",IF(OR($Q2866=TRUE(),$Q2866="TRUE"),1,0))</f>
        <v/>
      </c>
      <c r="AM2866">
        <f>IF($C2866="","",IF($W2866="Yes",1,0))</f>
        <v/>
      </c>
      <c r="AN2866">
        <f>IF($AJ2866=1,IFERROR(IF(VALUE($C2866)&lt;100000000,VALUE($C2866),1000000000),IFERROR(IF(VALUE(MID($C2866,2,20))&lt;100000000,VALUE(MID($C2866,2,20)),1000000000),1000000000))+ROW()/100000,"")</f>
        <v/>
      </c>
    </row>
    <row r="2867">
      <c r="E2867" s="11" t="n"/>
      <c r="M2867" s="7">
        <f>IF($C2867="","",L2867*U2867/100)</f>
        <v/>
      </c>
      <c r="N2867" s="7" t="n"/>
      <c r="T2867" s="7" t="n"/>
      <c r="U2867" s="7">
        <f>IF($C2867="","",S2867*T2867)</f>
        <v/>
      </c>
      <c r="X2867">
        <f>IF($C2867="","",IF($AM2867=1,0,IF($AL2867=1,Settings!$C$6,Settings!$C$7))*100)</f>
        <v/>
      </c>
      <c r="AB2867" s="7" t="n"/>
      <c r="AE2867" s="11" t="n"/>
      <c r="AG2867" s="7">
        <f>IF($C2867="","",U2867*X2867/100)</f>
        <v/>
      </c>
      <c r="AH2867" s="7">
        <f>IF($C2867="","",U2867-AG2867)</f>
        <v/>
      </c>
      <c r="AI2867" s="7">
        <f>IF($C2867="","",AH2867-M2867)</f>
        <v/>
      </c>
      <c r="AJ2867">
        <f>IF($C2867="","",IF(COUNTIF($C$2:$C2867,$C2867)=1,1,0))</f>
        <v/>
      </c>
      <c r="AK2867">
        <f>IF($AJ2867=1,SUMPRODUCT(--($AN$2:$AN$4001&lt;$AN2867))+1,"")</f>
        <v/>
      </c>
      <c r="AL2867">
        <f>IF($C2867="","",IF(OR($Q2867=TRUE(),$Q2867="TRUE"),1,0))</f>
        <v/>
      </c>
      <c r="AM2867">
        <f>IF($C2867="","",IF($W2867="Yes",1,0))</f>
        <v/>
      </c>
      <c r="AN2867">
        <f>IF($AJ2867=1,IFERROR(IF(VALUE($C2867)&lt;100000000,VALUE($C2867),1000000000),IFERROR(IF(VALUE(MID($C2867,2,20))&lt;100000000,VALUE(MID($C2867,2,20)),1000000000),1000000000))+ROW()/100000,"")</f>
        <v/>
      </c>
    </row>
    <row r="2868">
      <c r="E2868" s="11" t="n"/>
      <c r="M2868" s="7">
        <f>IF($C2868="","",L2868*U2868/100)</f>
        <v/>
      </c>
      <c r="N2868" s="7" t="n"/>
      <c r="T2868" s="7" t="n"/>
      <c r="U2868" s="7">
        <f>IF($C2868="","",S2868*T2868)</f>
        <v/>
      </c>
      <c r="X2868">
        <f>IF($C2868="","",IF($AM2868=1,0,IF($AL2868=1,Settings!$C$6,Settings!$C$7))*100)</f>
        <v/>
      </c>
      <c r="AB2868" s="7" t="n"/>
      <c r="AE2868" s="11" t="n"/>
      <c r="AG2868" s="7">
        <f>IF($C2868="","",U2868*X2868/100)</f>
        <v/>
      </c>
      <c r="AH2868" s="7">
        <f>IF($C2868="","",U2868-AG2868)</f>
        <v/>
      </c>
      <c r="AI2868" s="7">
        <f>IF($C2868="","",AH2868-M2868)</f>
        <v/>
      </c>
      <c r="AJ2868">
        <f>IF($C2868="","",IF(COUNTIF($C$2:$C2868,$C2868)=1,1,0))</f>
        <v/>
      </c>
      <c r="AK2868">
        <f>IF($AJ2868=1,SUMPRODUCT(--($AN$2:$AN$4001&lt;$AN2868))+1,"")</f>
        <v/>
      </c>
      <c r="AL2868">
        <f>IF($C2868="","",IF(OR($Q2868=TRUE(),$Q2868="TRUE"),1,0))</f>
        <v/>
      </c>
      <c r="AM2868">
        <f>IF($C2868="","",IF($W2868="Yes",1,0))</f>
        <v/>
      </c>
      <c r="AN2868">
        <f>IF($AJ2868=1,IFERROR(IF(VALUE($C2868)&lt;100000000,VALUE($C2868),1000000000),IFERROR(IF(VALUE(MID($C2868,2,20))&lt;100000000,VALUE(MID($C2868,2,20)),1000000000),1000000000))+ROW()/100000,"")</f>
        <v/>
      </c>
    </row>
    <row r="2869">
      <c r="E2869" s="11" t="n"/>
      <c r="M2869" s="7">
        <f>IF($C2869="","",L2869*U2869/100)</f>
        <v/>
      </c>
      <c r="N2869" s="7" t="n"/>
      <c r="T2869" s="7" t="n"/>
      <c r="U2869" s="7">
        <f>IF($C2869="","",S2869*T2869)</f>
        <v/>
      </c>
      <c r="X2869">
        <f>IF($C2869="","",IF($AM2869=1,0,IF($AL2869=1,Settings!$C$6,Settings!$C$7))*100)</f>
        <v/>
      </c>
      <c r="AB2869" s="7" t="n"/>
      <c r="AE2869" s="11" t="n"/>
      <c r="AG2869" s="7">
        <f>IF($C2869="","",U2869*X2869/100)</f>
        <v/>
      </c>
      <c r="AH2869" s="7">
        <f>IF($C2869="","",U2869-AG2869)</f>
        <v/>
      </c>
      <c r="AI2869" s="7">
        <f>IF($C2869="","",AH2869-M2869)</f>
        <v/>
      </c>
      <c r="AJ2869">
        <f>IF($C2869="","",IF(COUNTIF($C$2:$C2869,$C2869)=1,1,0))</f>
        <v/>
      </c>
      <c r="AK2869">
        <f>IF($AJ2869=1,SUMPRODUCT(--($AN$2:$AN$4001&lt;$AN2869))+1,"")</f>
        <v/>
      </c>
      <c r="AL2869">
        <f>IF($C2869="","",IF(OR($Q2869=TRUE(),$Q2869="TRUE"),1,0))</f>
        <v/>
      </c>
      <c r="AM2869">
        <f>IF($C2869="","",IF($W2869="Yes",1,0))</f>
        <v/>
      </c>
      <c r="AN2869">
        <f>IF($AJ2869=1,IFERROR(IF(VALUE($C2869)&lt;100000000,VALUE($C2869),1000000000),IFERROR(IF(VALUE(MID($C2869,2,20))&lt;100000000,VALUE(MID($C2869,2,20)),1000000000),1000000000))+ROW()/100000,"")</f>
        <v/>
      </c>
    </row>
    <row r="2870">
      <c r="E2870" s="11" t="n"/>
      <c r="M2870" s="7">
        <f>IF($C2870="","",L2870*U2870/100)</f>
        <v/>
      </c>
      <c r="N2870" s="7" t="n"/>
      <c r="T2870" s="7" t="n"/>
      <c r="U2870" s="7">
        <f>IF($C2870="","",S2870*T2870)</f>
        <v/>
      </c>
      <c r="X2870">
        <f>IF($C2870="","",IF($AM2870=1,0,IF($AL2870=1,Settings!$C$6,Settings!$C$7))*100)</f>
        <v/>
      </c>
      <c r="AB2870" s="7" t="n"/>
      <c r="AE2870" s="11" t="n"/>
      <c r="AG2870" s="7">
        <f>IF($C2870="","",U2870*X2870/100)</f>
        <v/>
      </c>
      <c r="AH2870" s="7">
        <f>IF($C2870="","",U2870-AG2870)</f>
        <v/>
      </c>
      <c r="AI2870" s="7">
        <f>IF($C2870="","",AH2870-M2870)</f>
        <v/>
      </c>
      <c r="AJ2870">
        <f>IF($C2870="","",IF(COUNTIF($C$2:$C2870,$C2870)=1,1,0))</f>
        <v/>
      </c>
      <c r="AK2870">
        <f>IF($AJ2870=1,SUMPRODUCT(--($AN$2:$AN$4001&lt;$AN2870))+1,"")</f>
        <v/>
      </c>
      <c r="AL2870">
        <f>IF($C2870="","",IF(OR($Q2870=TRUE(),$Q2870="TRUE"),1,0))</f>
        <v/>
      </c>
      <c r="AM2870">
        <f>IF($C2870="","",IF($W2870="Yes",1,0))</f>
        <v/>
      </c>
      <c r="AN2870">
        <f>IF($AJ2870=1,IFERROR(IF(VALUE($C2870)&lt;100000000,VALUE($C2870),1000000000),IFERROR(IF(VALUE(MID($C2870,2,20))&lt;100000000,VALUE(MID($C2870,2,20)),1000000000),1000000000))+ROW()/100000,"")</f>
        <v/>
      </c>
    </row>
    <row r="2871">
      <c r="E2871" s="11" t="n"/>
      <c r="M2871" s="7">
        <f>IF($C2871="","",L2871*U2871/100)</f>
        <v/>
      </c>
      <c r="N2871" s="7" t="n"/>
      <c r="T2871" s="7" t="n"/>
      <c r="U2871" s="7">
        <f>IF($C2871="","",S2871*T2871)</f>
        <v/>
      </c>
      <c r="X2871">
        <f>IF($C2871="","",IF($AM2871=1,0,IF($AL2871=1,Settings!$C$6,Settings!$C$7))*100)</f>
        <v/>
      </c>
      <c r="AB2871" s="7" t="n"/>
      <c r="AE2871" s="11" t="n"/>
      <c r="AG2871" s="7">
        <f>IF($C2871="","",U2871*X2871/100)</f>
        <v/>
      </c>
      <c r="AH2871" s="7">
        <f>IF($C2871="","",U2871-AG2871)</f>
        <v/>
      </c>
      <c r="AI2871" s="7">
        <f>IF($C2871="","",AH2871-M2871)</f>
        <v/>
      </c>
      <c r="AJ2871">
        <f>IF($C2871="","",IF(COUNTIF($C$2:$C2871,$C2871)=1,1,0))</f>
        <v/>
      </c>
      <c r="AK2871">
        <f>IF($AJ2871=1,SUMPRODUCT(--($AN$2:$AN$4001&lt;$AN2871))+1,"")</f>
        <v/>
      </c>
      <c r="AL2871">
        <f>IF($C2871="","",IF(OR($Q2871=TRUE(),$Q2871="TRUE"),1,0))</f>
        <v/>
      </c>
      <c r="AM2871">
        <f>IF($C2871="","",IF($W2871="Yes",1,0))</f>
        <v/>
      </c>
      <c r="AN2871">
        <f>IF($AJ2871=1,IFERROR(IF(VALUE($C2871)&lt;100000000,VALUE($C2871),1000000000),IFERROR(IF(VALUE(MID($C2871,2,20))&lt;100000000,VALUE(MID($C2871,2,20)),1000000000),1000000000))+ROW()/100000,"")</f>
        <v/>
      </c>
    </row>
    <row r="2872">
      <c r="E2872" s="11" t="n"/>
      <c r="M2872" s="7">
        <f>IF($C2872="","",L2872*U2872/100)</f>
        <v/>
      </c>
      <c r="N2872" s="7" t="n"/>
      <c r="T2872" s="7" t="n"/>
      <c r="U2872" s="7">
        <f>IF($C2872="","",S2872*T2872)</f>
        <v/>
      </c>
      <c r="X2872">
        <f>IF($C2872="","",IF($AM2872=1,0,IF($AL2872=1,Settings!$C$6,Settings!$C$7))*100)</f>
        <v/>
      </c>
      <c r="AB2872" s="7" t="n"/>
      <c r="AE2872" s="11" t="n"/>
      <c r="AG2872" s="7">
        <f>IF($C2872="","",U2872*X2872/100)</f>
        <v/>
      </c>
      <c r="AH2872" s="7">
        <f>IF($C2872="","",U2872-AG2872)</f>
        <v/>
      </c>
      <c r="AI2872" s="7">
        <f>IF($C2872="","",AH2872-M2872)</f>
        <v/>
      </c>
      <c r="AJ2872">
        <f>IF($C2872="","",IF(COUNTIF($C$2:$C2872,$C2872)=1,1,0))</f>
        <v/>
      </c>
      <c r="AK2872">
        <f>IF($AJ2872=1,SUMPRODUCT(--($AN$2:$AN$4001&lt;$AN2872))+1,"")</f>
        <v/>
      </c>
      <c r="AL2872">
        <f>IF($C2872="","",IF(OR($Q2872=TRUE(),$Q2872="TRUE"),1,0))</f>
        <v/>
      </c>
      <c r="AM2872">
        <f>IF($C2872="","",IF($W2872="Yes",1,0))</f>
        <v/>
      </c>
      <c r="AN2872">
        <f>IF($AJ2872=1,IFERROR(IF(VALUE($C2872)&lt;100000000,VALUE($C2872),1000000000),IFERROR(IF(VALUE(MID($C2872,2,20))&lt;100000000,VALUE(MID($C2872,2,20)),1000000000),1000000000))+ROW()/100000,"")</f>
        <v/>
      </c>
    </row>
    <row r="2873">
      <c r="E2873" s="11" t="n"/>
      <c r="M2873" s="7">
        <f>IF($C2873="","",L2873*U2873/100)</f>
        <v/>
      </c>
      <c r="N2873" s="7" t="n"/>
      <c r="T2873" s="7" t="n"/>
      <c r="U2873" s="7">
        <f>IF($C2873="","",S2873*T2873)</f>
        <v/>
      </c>
      <c r="X2873">
        <f>IF($C2873="","",IF($AM2873=1,0,IF($AL2873=1,Settings!$C$6,Settings!$C$7))*100)</f>
        <v/>
      </c>
      <c r="AB2873" s="7" t="n"/>
      <c r="AE2873" s="11" t="n"/>
      <c r="AG2873" s="7">
        <f>IF($C2873="","",U2873*X2873/100)</f>
        <v/>
      </c>
      <c r="AH2873" s="7">
        <f>IF($C2873="","",U2873-AG2873)</f>
        <v/>
      </c>
      <c r="AI2873" s="7">
        <f>IF($C2873="","",AH2873-M2873)</f>
        <v/>
      </c>
      <c r="AJ2873">
        <f>IF($C2873="","",IF(COUNTIF($C$2:$C2873,$C2873)=1,1,0))</f>
        <v/>
      </c>
      <c r="AK2873">
        <f>IF($AJ2873=1,SUMPRODUCT(--($AN$2:$AN$4001&lt;$AN2873))+1,"")</f>
        <v/>
      </c>
      <c r="AL2873">
        <f>IF($C2873="","",IF(OR($Q2873=TRUE(),$Q2873="TRUE"),1,0))</f>
        <v/>
      </c>
      <c r="AM2873">
        <f>IF($C2873="","",IF($W2873="Yes",1,0))</f>
        <v/>
      </c>
      <c r="AN2873">
        <f>IF($AJ2873=1,IFERROR(IF(VALUE($C2873)&lt;100000000,VALUE($C2873),1000000000),IFERROR(IF(VALUE(MID($C2873,2,20))&lt;100000000,VALUE(MID($C2873,2,20)),1000000000),1000000000))+ROW()/100000,"")</f>
        <v/>
      </c>
    </row>
    <row r="2874">
      <c r="E2874" s="11" t="n"/>
      <c r="M2874" s="7">
        <f>IF($C2874="","",L2874*U2874/100)</f>
        <v/>
      </c>
      <c r="N2874" s="7" t="n"/>
      <c r="T2874" s="7" t="n"/>
      <c r="U2874" s="7">
        <f>IF($C2874="","",S2874*T2874)</f>
        <v/>
      </c>
      <c r="X2874">
        <f>IF($C2874="","",IF($AM2874=1,0,IF($AL2874=1,Settings!$C$6,Settings!$C$7))*100)</f>
        <v/>
      </c>
      <c r="AB2874" s="7" t="n"/>
      <c r="AE2874" s="11" t="n"/>
      <c r="AG2874" s="7">
        <f>IF($C2874="","",U2874*X2874/100)</f>
        <v/>
      </c>
      <c r="AH2874" s="7">
        <f>IF($C2874="","",U2874-AG2874)</f>
        <v/>
      </c>
      <c r="AI2874" s="7">
        <f>IF($C2874="","",AH2874-M2874)</f>
        <v/>
      </c>
      <c r="AJ2874">
        <f>IF($C2874="","",IF(COUNTIF($C$2:$C2874,$C2874)=1,1,0))</f>
        <v/>
      </c>
      <c r="AK2874">
        <f>IF($AJ2874=1,SUMPRODUCT(--($AN$2:$AN$4001&lt;$AN2874))+1,"")</f>
        <v/>
      </c>
      <c r="AL2874">
        <f>IF($C2874="","",IF(OR($Q2874=TRUE(),$Q2874="TRUE"),1,0))</f>
        <v/>
      </c>
      <c r="AM2874">
        <f>IF($C2874="","",IF($W2874="Yes",1,0))</f>
        <v/>
      </c>
      <c r="AN2874">
        <f>IF($AJ2874=1,IFERROR(IF(VALUE($C2874)&lt;100000000,VALUE($C2874),1000000000),IFERROR(IF(VALUE(MID($C2874,2,20))&lt;100000000,VALUE(MID($C2874,2,20)),1000000000),1000000000))+ROW()/100000,"")</f>
        <v/>
      </c>
    </row>
    <row r="2875">
      <c r="E2875" s="11" t="n"/>
      <c r="M2875" s="7">
        <f>IF($C2875="","",L2875*U2875/100)</f>
        <v/>
      </c>
      <c r="N2875" s="7" t="n"/>
      <c r="T2875" s="7" t="n"/>
      <c r="U2875" s="7">
        <f>IF($C2875="","",S2875*T2875)</f>
        <v/>
      </c>
      <c r="X2875">
        <f>IF($C2875="","",IF($AM2875=1,0,IF($AL2875=1,Settings!$C$6,Settings!$C$7))*100)</f>
        <v/>
      </c>
      <c r="AB2875" s="7" t="n"/>
      <c r="AE2875" s="11" t="n"/>
      <c r="AG2875" s="7">
        <f>IF($C2875="","",U2875*X2875/100)</f>
        <v/>
      </c>
      <c r="AH2875" s="7">
        <f>IF($C2875="","",U2875-AG2875)</f>
        <v/>
      </c>
      <c r="AI2875" s="7">
        <f>IF($C2875="","",AH2875-M2875)</f>
        <v/>
      </c>
      <c r="AJ2875">
        <f>IF($C2875="","",IF(COUNTIF($C$2:$C2875,$C2875)=1,1,0))</f>
        <v/>
      </c>
      <c r="AK2875">
        <f>IF($AJ2875=1,SUMPRODUCT(--($AN$2:$AN$4001&lt;$AN2875))+1,"")</f>
        <v/>
      </c>
      <c r="AL2875">
        <f>IF($C2875="","",IF(OR($Q2875=TRUE(),$Q2875="TRUE"),1,0))</f>
        <v/>
      </c>
      <c r="AM2875">
        <f>IF($C2875="","",IF($W2875="Yes",1,0))</f>
        <v/>
      </c>
      <c r="AN2875">
        <f>IF($AJ2875=1,IFERROR(IF(VALUE($C2875)&lt;100000000,VALUE($C2875),1000000000),IFERROR(IF(VALUE(MID($C2875,2,20))&lt;100000000,VALUE(MID($C2875,2,20)),1000000000),1000000000))+ROW()/100000,"")</f>
        <v/>
      </c>
    </row>
    <row r="2876">
      <c r="E2876" s="11" t="n"/>
      <c r="M2876" s="7">
        <f>IF($C2876="","",L2876*U2876/100)</f>
        <v/>
      </c>
      <c r="N2876" s="7" t="n"/>
      <c r="T2876" s="7" t="n"/>
      <c r="U2876" s="7">
        <f>IF($C2876="","",S2876*T2876)</f>
        <v/>
      </c>
      <c r="X2876">
        <f>IF($C2876="","",IF($AM2876=1,0,IF($AL2876=1,Settings!$C$6,Settings!$C$7))*100)</f>
        <v/>
      </c>
      <c r="AB2876" s="7" t="n"/>
      <c r="AE2876" s="11" t="n"/>
      <c r="AG2876" s="7">
        <f>IF($C2876="","",U2876*X2876/100)</f>
        <v/>
      </c>
      <c r="AH2876" s="7">
        <f>IF($C2876="","",U2876-AG2876)</f>
        <v/>
      </c>
      <c r="AI2876" s="7">
        <f>IF($C2876="","",AH2876-M2876)</f>
        <v/>
      </c>
      <c r="AJ2876">
        <f>IF($C2876="","",IF(COUNTIF($C$2:$C2876,$C2876)=1,1,0))</f>
        <v/>
      </c>
      <c r="AK2876">
        <f>IF($AJ2876=1,SUMPRODUCT(--($AN$2:$AN$4001&lt;$AN2876))+1,"")</f>
        <v/>
      </c>
      <c r="AL2876">
        <f>IF($C2876="","",IF(OR($Q2876=TRUE(),$Q2876="TRUE"),1,0))</f>
        <v/>
      </c>
      <c r="AM2876">
        <f>IF($C2876="","",IF($W2876="Yes",1,0))</f>
        <v/>
      </c>
      <c r="AN2876">
        <f>IF($AJ2876=1,IFERROR(IF(VALUE($C2876)&lt;100000000,VALUE($C2876),1000000000),IFERROR(IF(VALUE(MID($C2876,2,20))&lt;100000000,VALUE(MID($C2876,2,20)),1000000000),1000000000))+ROW()/100000,"")</f>
        <v/>
      </c>
    </row>
    <row r="2877">
      <c r="E2877" s="11" t="n"/>
      <c r="M2877" s="7">
        <f>IF($C2877="","",L2877*U2877/100)</f>
        <v/>
      </c>
      <c r="N2877" s="7" t="n"/>
      <c r="T2877" s="7" t="n"/>
      <c r="U2877" s="7">
        <f>IF($C2877="","",S2877*T2877)</f>
        <v/>
      </c>
      <c r="X2877">
        <f>IF($C2877="","",IF($AM2877=1,0,IF($AL2877=1,Settings!$C$6,Settings!$C$7))*100)</f>
        <v/>
      </c>
      <c r="AB2877" s="7" t="n"/>
      <c r="AE2877" s="11" t="n"/>
      <c r="AG2877" s="7">
        <f>IF($C2877="","",U2877*X2877/100)</f>
        <v/>
      </c>
      <c r="AH2877" s="7">
        <f>IF($C2877="","",U2877-AG2877)</f>
        <v/>
      </c>
      <c r="AI2877" s="7">
        <f>IF($C2877="","",AH2877-M2877)</f>
        <v/>
      </c>
      <c r="AJ2877">
        <f>IF($C2877="","",IF(COUNTIF($C$2:$C2877,$C2877)=1,1,0))</f>
        <v/>
      </c>
      <c r="AK2877">
        <f>IF($AJ2877=1,SUMPRODUCT(--($AN$2:$AN$4001&lt;$AN2877))+1,"")</f>
        <v/>
      </c>
      <c r="AL2877">
        <f>IF($C2877="","",IF(OR($Q2877=TRUE(),$Q2877="TRUE"),1,0))</f>
        <v/>
      </c>
      <c r="AM2877">
        <f>IF($C2877="","",IF($W2877="Yes",1,0))</f>
        <v/>
      </c>
      <c r="AN2877">
        <f>IF($AJ2877=1,IFERROR(IF(VALUE($C2877)&lt;100000000,VALUE($C2877),1000000000),IFERROR(IF(VALUE(MID($C2877,2,20))&lt;100000000,VALUE(MID($C2877,2,20)),1000000000),1000000000))+ROW()/100000,"")</f>
        <v/>
      </c>
    </row>
    <row r="2878">
      <c r="E2878" s="11" t="n"/>
      <c r="M2878" s="7">
        <f>IF($C2878="","",L2878*U2878/100)</f>
        <v/>
      </c>
      <c r="N2878" s="7" t="n"/>
      <c r="T2878" s="7" t="n"/>
      <c r="U2878" s="7">
        <f>IF($C2878="","",S2878*T2878)</f>
        <v/>
      </c>
      <c r="X2878">
        <f>IF($C2878="","",IF($AM2878=1,0,IF($AL2878=1,Settings!$C$6,Settings!$C$7))*100)</f>
        <v/>
      </c>
      <c r="AB2878" s="7" t="n"/>
      <c r="AE2878" s="11" t="n"/>
      <c r="AG2878" s="7">
        <f>IF($C2878="","",U2878*X2878/100)</f>
        <v/>
      </c>
      <c r="AH2878" s="7">
        <f>IF($C2878="","",U2878-AG2878)</f>
        <v/>
      </c>
      <c r="AI2878" s="7">
        <f>IF($C2878="","",AH2878-M2878)</f>
        <v/>
      </c>
      <c r="AJ2878">
        <f>IF($C2878="","",IF(COUNTIF($C$2:$C2878,$C2878)=1,1,0))</f>
        <v/>
      </c>
      <c r="AK2878">
        <f>IF($AJ2878=1,SUMPRODUCT(--($AN$2:$AN$4001&lt;$AN2878))+1,"")</f>
        <v/>
      </c>
      <c r="AL2878">
        <f>IF($C2878="","",IF(OR($Q2878=TRUE(),$Q2878="TRUE"),1,0))</f>
        <v/>
      </c>
      <c r="AM2878">
        <f>IF($C2878="","",IF($W2878="Yes",1,0))</f>
        <v/>
      </c>
      <c r="AN2878">
        <f>IF($AJ2878=1,IFERROR(IF(VALUE($C2878)&lt;100000000,VALUE($C2878),1000000000),IFERROR(IF(VALUE(MID($C2878,2,20))&lt;100000000,VALUE(MID($C2878,2,20)),1000000000),1000000000))+ROW()/100000,"")</f>
        <v/>
      </c>
    </row>
    <row r="2879">
      <c r="E2879" s="11" t="n"/>
      <c r="M2879" s="7">
        <f>IF($C2879="","",L2879*U2879/100)</f>
        <v/>
      </c>
      <c r="N2879" s="7" t="n"/>
      <c r="T2879" s="7" t="n"/>
      <c r="U2879" s="7">
        <f>IF($C2879="","",S2879*T2879)</f>
        <v/>
      </c>
      <c r="X2879">
        <f>IF($C2879="","",IF($AM2879=1,0,IF($AL2879=1,Settings!$C$6,Settings!$C$7))*100)</f>
        <v/>
      </c>
      <c r="AB2879" s="7" t="n"/>
      <c r="AE2879" s="11" t="n"/>
      <c r="AG2879" s="7">
        <f>IF($C2879="","",U2879*X2879/100)</f>
        <v/>
      </c>
      <c r="AH2879" s="7">
        <f>IF($C2879="","",U2879-AG2879)</f>
        <v/>
      </c>
      <c r="AI2879" s="7">
        <f>IF($C2879="","",AH2879-M2879)</f>
        <v/>
      </c>
      <c r="AJ2879">
        <f>IF($C2879="","",IF(COUNTIF($C$2:$C2879,$C2879)=1,1,0))</f>
        <v/>
      </c>
      <c r="AK2879">
        <f>IF($AJ2879=1,SUMPRODUCT(--($AN$2:$AN$4001&lt;$AN2879))+1,"")</f>
        <v/>
      </c>
      <c r="AL2879">
        <f>IF($C2879="","",IF(OR($Q2879=TRUE(),$Q2879="TRUE"),1,0))</f>
        <v/>
      </c>
      <c r="AM2879">
        <f>IF($C2879="","",IF($W2879="Yes",1,0))</f>
        <v/>
      </c>
      <c r="AN2879">
        <f>IF($AJ2879=1,IFERROR(IF(VALUE($C2879)&lt;100000000,VALUE($C2879),1000000000),IFERROR(IF(VALUE(MID($C2879,2,20))&lt;100000000,VALUE(MID($C2879,2,20)),1000000000),1000000000))+ROW()/100000,"")</f>
        <v/>
      </c>
    </row>
    <row r="2880">
      <c r="E2880" s="11" t="n"/>
      <c r="M2880" s="7">
        <f>IF($C2880="","",L2880*U2880/100)</f>
        <v/>
      </c>
      <c r="N2880" s="7" t="n"/>
      <c r="T2880" s="7" t="n"/>
      <c r="U2880" s="7">
        <f>IF($C2880="","",S2880*T2880)</f>
        <v/>
      </c>
      <c r="X2880">
        <f>IF($C2880="","",IF($AM2880=1,0,IF($AL2880=1,Settings!$C$6,Settings!$C$7))*100)</f>
        <v/>
      </c>
      <c r="AB2880" s="7" t="n"/>
      <c r="AE2880" s="11" t="n"/>
      <c r="AG2880" s="7">
        <f>IF($C2880="","",U2880*X2880/100)</f>
        <v/>
      </c>
      <c r="AH2880" s="7">
        <f>IF($C2880="","",U2880-AG2880)</f>
        <v/>
      </c>
      <c r="AI2880" s="7">
        <f>IF($C2880="","",AH2880-M2880)</f>
        <v/>
      </c>
      <c r="AJ2880">
        <f>IF($C2880="","",IF(COUNTIF($C$2:$C2880,$C2880)=1,1,0))</f>
        <v/>
      </c>
      <c r="AK2880">
        <f>IF($AJ2880=1,SUMPRODUCT(--($AN$2:$AN$4001&lt;$AN2880))+1,"")</f>
        <v/>
      </c>
      <c r="AL2880">
        <f>IF($C2880="","",IF(OR($Q2880=TRUE(),$Q2880="TRUE"),1,0))</f>
        <v/>
      </c>
      <c r="AM2880">
        <f>IF($C2880="","",IF($W2880="Yes",1,0))</f>
        <v/>
      </c>
      <c r="AN2880">
        <f>IF($AJ2880=1,IFERROR(IF(VALUE($C2880)&lt;100000000,VALUE($C2880),1000000000),IFERROR(IF(VALUE(MID($C2880,2,20))&lt;100000000,VALUE(MID($C2880,2,20)),1000000000),1000000000))+ROW()/100000,"")</f>
        <v/>
      </c>
    </row>
    <row r="2881">
      <c r="E2881" s="11" t="n"/>
      <c r="M2881" s="7">
        <f>IF($C2881="","",L2881*U2881/100)</f>
        <v/>
      </c>
      <c r="N2881" s="7" t="n"/>
      <c r="T2881" s="7" t="n"/>
      <c r="U2881" s="7">
        <f>IF($C2881="","",S2881*T2881)</f>
        <v/>
      </c>
      <c r="X2881">
        <f>IF($C2881="","",IF($AM2881=1,0,IF($AL2881=1,Settings!$C$6,Settings!$C$7))*100)</f>
        <v/>
      </c>
      <c r="AB2881" s="7" t="n"/>
      <c r="AE2881" s="11" t="n"/>
      <c r="AG2881" s="7">
        <f>IF($C2881="","",U2881*X2881/100)</f>
        <v/>
      </c>
      <c r="AH2881" s="7">
        <f>IF($C2881="","",U2881-AG2881)</f>
        <v/>
      </c>
      <c r="AI2881" s="7">
        <f>IF($C2881="","",AH2881-M2881)</f>
        <v/>
      </c>
      <c r="AJ2881">
        <f>IF($C2881="","",IF(COUNTIF($C$2:$C2881,$C2881)=1,1,0))</f>
        <v/>
      </c>
      <c r="AK2881">
        <f>IF($AJ2881=1,SUMPRODUCT(--($AN$2:$AN$4001&lt;$AN2881))+1,"")</f>
        <v/>
      </c>
      <c r="AL2881">
        <f>IF($C2881="","",IF(OR($Q2881=TRUE(),$Q2881="TRUE"),1,0))</f>
        <v/>
      </c>
      <c r="AM2881">
        <f>IF($C2881="","",IF($W2881="Yes",1,0))</f>
        <v/>
      </c>
      <c r="AN2881">
        <f>IF($AJ2881=1,IFERROR(IF(VALUE($C2881)&lt;100000000,VALUE($C2881),1000000000),IFERROR(IF(VALUE(MID($C2881,2,20))&lt;100000000,VALUE(MID($C2881,2,20)),1000000000),1000000000))+ROW()/100000,"")</f>
        <v/>
      </c>
    </row>
    <row r="2882">
      <c r="E2882" s="11" t="n"/>
      <c r="M2882" s="7">
        <f>IF($C2882="","",L2882*U2882/100)</f>
        <v/>
      </c>
      <c r="N2882" s="7" t="n"/>
      <c r="T2882" s="7" t="n"/>
      <c r="U2882" s="7">
        <f>IF($C2882="","",S2882*T2882)</f>
        <v/>
      </c>
      <c r="X2882">
        <f>IF($C2882="","",IF($AM2882=1,0,IF($AL2882=1,Settings!$C$6,Settings!$C$7))*100)</f>
        <v/>
      </c>
      <c r="AB2882" s="7" t="n"/>
      <c r="AE2882" s="11" t="n"/>
      <c r="AG2882" s="7">
        <f>IF($C2882="","",U2882*X2882/100)</f>
        <v/>
      </c>
      <c r="AH2882" s="7">
        <f>IF($C2882="","",U2882-AG2882)</f>
        <v/>
      </c>
      <c r="AI2882" s="7">
        <f>IF($C2882="","",AH2882-M2882)</f>
        <v/>
      </c>
      <c r="AJ2882">
        <f>IF($C2882="","",IF(COUNTIF($C$2:$C2882,$C2882)=1,1,0))</f>
        <v/>
      </c>
      <c r="AK2882">
        <f>IF($AJ2882=1,SUMPRODUCT(--($AN$2:$AN$4001&lt;$AN2882))+1,"")</f>
        <v/>
      </c>
      <c r="AL2882">
        <f>IF($C2882="","",IF(OR($Q2882=TRUE(),$Q2882="TRUE"),1,0))</f>
        <v/>
      </c>
      <c r="AM2882">
        <f>IF($C2882="","",IF($W2882="Yes",1,0))</f>
        <v/>
      </c>
      <c r="AN2882">
        <f>IF($AJ2882=1,IFERROR(IF(VALUE($C2882)&lt;100000000,VALUE($C2882),1000000000),IFERROR(IF(VALUE(MID($C2882,2,20))&lt;100000000,VALUE(MID($C2882,2,20)),1000000000),1000000000))+ROW()/100000,"")</f>
        <v/>
      </c>
    </row>
    <row r="2883">
      <c r="E2883" s="11" t="n"/>
      <c r="M2883" s="7">
        <f>IF($C2883="","",L2883*U2883/100)</f>
        <v/>
      </c>
      <c r="N2883" s="7" t="n"/>
      <c r="T2883" s="7" t="n"/>
      <c r="U2883" s="7">
        <f>IF($C2883="","",S2883*T2883)</f>
        <v/>
      </c>
      <c r="X2883">
        <f>IF($C2883="","",IF($AM2883=1,0,IF($AL2883=1,Settings!$C$6,Settings!$C$7))*100)</f>
        <v/>
      </c>
      <c r="AB2883" s="7" t="n"/>
      <c r="AE2883" s="11" t="n"/>
      <c r="AG2883" s="7">
        <f>IF($C2883="","",U2883*X2883/100)</f>
        <v/>
      </c>
      <c r="AH2883" s="7">
        <f>IF($C2883="","",U2883-AG2883)</f>
        <v/>
      </c>
      <c r="AI2883" s="7">
        <f>IF($C2883="","",AH2883-M2883)</f>
        <v/>
      </c>
      <c r="AJ2883">
        <f>IF($C2883="","",IF(COUNTIF($C$2:$C2883,$C2883)=1,1,0))</f>
        <v/>
      </c>
      <c r="AK2883">
        <f>IF($AJ2883=1,SUMPRODUCT(--($AN$2:$AN$4001&lt;$AN2883))+1,"")</f>
        <v/>
      </c>
      <c r="AL2883">
        <f>IF($C2883="","",IF(OR($Q2883=TRUE(),$Q2883="TRUE"),1,0))</f>
        <v/>
      </c>
      <c r="AM2883">
        <f>IF($C2883="","",IF($W2883="Yes",1,0))</f>
        <v/>
      </c>
      <c r="AN2883">
        <f>IF($AJ2883=1,IFERROR(IF(VALUE($C2883)&lt;100000000,VALUE($C2883),1000000000),IFERROR(IF(VALUE(MID($C2883,2,20))&lt;100000000,VALUE(MID($C2883,2,20)),1000000000),1000000000))+ROW()/100000,"")</f>
        <v/>
      </c>
    </row>
    <row r="2884">
      <c r="E2884" s="11" t="n"/>
      <c r="M2884" s="7">
        <f>IF($C2884="","",L2884*U2884/100)</f>
        <v/>
      </c>
      <c r="N2884" s="7" t="n"/>
      <c r="T2884" s="7" t="n"/>
      <c r="U2884" s="7">
        <f>IF($C2884="","",S2884*T2884)</f>
        <v/>
      </c>
      <c r="X2884">
        <f>IF($C2884="","",IF($AM2884=1,0,IF($AL2884=1,Settings!$C$6,Settings!$C$7))*100)</f>
        <v/>
      </c>
      <c r="AB2884" s="7" t="n"/>
      <c r="AE2884" s="11" t="n"/>
      <c r="AG2884" s="7">
        <f>IF($C2884="","",U2884*X2884/100)</f>
        <v/>
      </c>
      <c r="AH2884" s="7">
        <f>IF($C2884="","",U2884-AG2884)</f>
        <v/>
      </c>
      <c r="AI2884" s="7">
        <f>IF($C2884="","",AH2884-M2884)</f>
        <v/>
      </c>
      <c r="AJ2884">
        <f>IF($C2884="","",IF(COUNTIF($C$2:$C2884,$C2884)=1,1,0))</f>
        <v/>
      </c>
      <c r="AK2884">
        <f>IF($AJ2884=1,SUMPRODUCT(--($AN$2:$AN$4001&lt;$AN2884))+1,"")</f>
        <v/>
      </c>
      <c r="AL2884">
        <f>IF($C2884="","",IF(OR($Q2884=TRUE(),$Q2884="TRUE"),1,0))</f>
        <v/>
      </c>
      <c r="AM2884">
        <f>IF($C2884="","",IF($W2884="Yes",1,0))</f>
        <v/>
      </c>
      <c r="AN2884">
        <f>IF($AJ2884=1,IFERROR(IF(VALUE($C2884)&lt;100000000,VALUE($C2884),1000000000),IFERROR(IF(VALUE(MID($C2884,2,20))&lt;100000000,VALUE(MID($C2884,2,20)),1000000000),1000000000))+ROW()/100000,"")</f>
        <v/>
      </c>
    </row>
    <row r="2885">
      <c r="E2885" s="11" t="n"/>
      <c r="M2885" s="7">
        <f>IF($C2885="","",L2885*U2885/100)</f>
        <v/>
      </c>
      <c r="N2885" s="7" t="n"/>
      <c r="T2885" s="7" t="n"/>
      <c r="U2885" s="7">
        <f>IF($C2885="","",S2885*T2885)</f>
        <v/>
      </c>
      <c r="X2885">
        <f>IF($C2885="","",IF($AM2885=1,0,IF($AL2885=1,Settings!$C$6,Settings!$C$7))*100)</f>
        <v/>
      </c>
      <c r="AB2885" s="7" t="n"/>
      <c r="AE2885" s="11" t="n"/>
      <c r="AG2885" s="7">
        <f>IF($C2885="","",U2885*X2885/100)</f>
        <v/>
      </c>
      <c r="AH2885" s="7">
        <f>IF($C2885="","",U2885-AG2885)</f>
        <v/>
      </c>
      <c r="AI2885" s="7">
        <f>IF($C2885="","",AH2885-M2885)</f>
        <v/>
      </c>
      <c r="AJ2885">
        <f>IF($C2885="","",IF(COUNTIF($C$2:$C2885,$C2885)=1,1,0))</f>
        <v/>
      </c>
      <c r="AK2885">
        <f>IF($AJ2885=1,SUMPRODUCT(--($AN$2:$AN$4001&lt;$AN2885))+1,"")</f>
        <v/>
      </c>
      <c r="AL2885">
        <f>IF($C2885="","",IF(OR($Q2885=TRUE(),$Q2885="TRUE"),1,0))</f>
        <v/>
      </c>
      <c r="AM2885">
        <f>IF($C2885="","",IF($W2885="Yes",1,0))</f>
        <v/>
      </c>
      <c r="AN2885">
        <f>IF($AJ2885=1,IFERROR(IF(VALUE($C2885)&lt;100000000,VALUE($C2885),1000000000),IFERROR(IF(VALUE(MID($C2885,2,20))&lt;100000000,VALUE(MID($C2885,2,20)),1000000000),1000000000))+ROW()/100000,"")</f>
        <v/>
      </c>
    </row>
    <row r="2886">
      <c r="E2886" s="11" t="n"/>
      <c r="M2886" s="7">
        <f>IF($C2886="","",L2886*U2886/100)</f>
        <v/>
      </c>
      <c r="N2886" s="7" t="n"/>
      <c r="T2886" s="7" t="n"/>
      <c r="U2886" s="7">
        <f>IF($C2886="","",S2886*T2886)</f>
        <v/>
      </c>
      <c r="X2886">
        <f>IF($C2886="","",IF($AM2886=1,0,IF($AL2886=1,Settings!$C$6,Settings!$C$7))*100)</f>
        <v/>
      </c>
      <c r="AB2886" s="7" t="n"/>
      <c r="AE2886" s="11" t="n"/>
      <c r="AG2886" s="7">
        <f>IF($C2886="","",U2886*X2886/100)</f>
        <v/>
      </c>
      <c r="AH2886" s="7">
        <f>IF($C2886="","",U2886-AG2886)</f>
        <v/>
      </c>
      <c r="AI2886" s="7">
        <f>IF($C2886="","",AH2886-M2886)</f>
        <v/>
      </c>
      <c r="AJ2886">
        <f>IF($C2886="","",IF(COUNTIF($C$2:$C2886,$C2886)=1,1,0))</f>
        <v/>
      </c>
      <c r="AK2886">
        <f>IF($AJ2886=1,SUMPRODUCT(--($AN$2:$AN$4001&lt;$AN2886))+1,"")</f>
        <v/>
      </c>
      <c r="AL2886">
        <f>IF($C2886="","",IF(OR($Q2886=TRUE(),$Q2886="TRUE"),1,0))</f>
        <v/>
      </c>
      <c r="AM2886">
        <f>IF($C2886="","",IF($W2886="Yes",1,0))</f>
        <v/>
      </c>
      <c r="AN2886">
        <f>IF($AJ2886=1,IFERROR(IF(VALUE($C2886)&lt;100000000,VALUE($C2886),1000000000),IFERROR(IF(VALUE(MID($C2886,2,20))&lt;100000000,VALUE(MID($C2886,2,20)),1000000000),1000000000))+ROW()/100000,"")</f>
        <v/>
      </c>
    </row>
    <row r="2887">
      <c r="E2887" s="11" t="n"/>
      <c r="M2887" s="7">
        <f>IF($C2887="","",L2887*U2887/100)</f>
        <v/>
      </c>
      <c r="N2887" s="7" t="n"/>
      <c r="T2887" s="7" t="n"/>
      <c r="U2887" s="7">
        <f>IF($C2887="","",S2887*T2887)</f>
        <v/>
      </c>
      <c r="X2887">
        <f>IF($C2887="","",IF($AM2887=1,0,IF($AL2887=1,Settings!$C$6,Settings!$C$7))*100)</f>
        <v/>
      </c>
      <c r="AB2887" s="7" t="n"/>
      <c r="AE2887" s="11" t="n"/>
      <c r="AG2887" s="7">
        <f>IF($C2887="","",U2887*X2887/100)</f>
        <v/>
      </c>
      <c r="AH2887" s="7">
        <f>IF($C2887="","",U2887-AG2887)</f>
        <v/>
      </c>
      <c r="AI2887" s="7">
        <f>IF($C2887="","",AH2887-M2887)</f>
        <v/>
      </c>
      <c r="AJ2887">
        <f>IF($C2887="","",IF(COUNTIF($C$2:$C2887,$C2887)=1,1,0))</f>
        <v/>
      </c>
      <c r="AK2887">
        <f>IF($AJ2887=1,SUMPRODUCT(--($AN$2:$AN$4001&lt;$AN2887))+1,"")</f>
        <v/>
      </c>
      <c r="AL2887">
        <f>IF($C2887="","",IF(OR($Q2887=TRUE(),$Q2887="TRUE"),1,0))</f>
        <v/>
      </c>
      <c r="AM2887">
        <f>IF($C2887="","",IF($W2887="Yes",1,0))</f>
        <v/>
      </c>
      <c r="AN2887">
        <f>IF($AJ2887=1,IFERROR(IF(VALUE($C2887)&lt;100000000,VALUE($C2887),1000000000),IFERROR(IF(VALUE(MID($C2887,2,20))&lt;100000000,VALUE(MID($C2887,2,20)),1000000000),1000000000))+ROW()/100000,"")</f>
        <v/>
      </c>
    </row>
    <row r="2888">
      <c r="E2888" s="11" t="n"/>
      <c r="M2888" s="7">
        <f>IF($C2888="","",L2888*U2888/100)</f>
        <v/>
      </c>
      <c r="N2888" s="7" t="n"/>
      <c r="T2888" s="7" t="n"/>
      <c r="U2888" s="7">
        <f>IF($C2888="","",S2888*T2888)</f>
        <v/>
      </c>
      <c r="X2888">
        <f>IF($C2888="","",IF($AM2888=1,0,IF($AL2888=1,Settings!$C$6,Settings!$C$7))*100)</f>
        <v/>
      </c>
      <c r="AB2888" s="7" t="n"/>
      <c r="AE2888" s="11" t="n"/>
      <c r="AG2888" s="7">
        <f>IF($C2888="","",U2888*X2888/100)</f>
        <v/>
      </c>
      <c r="AH2888" s="7">
        <f>IF($C2888="","",U2888-AG2888)</f>
        <v/>
      </c>
      <c r="AI2888" s="7">
        <f>IF($C2888="","",AH2888-M2888)</f>
        <v/>
      </c>
      <c r="AJ2888">
        <f>IF($C2888="","",IF(COUNTIF($C$2:$C2888,$C2888)=1,1,0))</f>
        <v/>
      </c>
      <c r="AK2888">
        <f>IF($AJ2888=1,SUMPRODUCT(--($AN$2:$AN$4001&lt;$AN2888))+1,"")</f>
        <v/>
      </c>
      <c r="AL2888">
        <f>IF($C2888="","",IF(OR($Q2888=TRUE(),$Q2888="TRUE"),1,0))</f>
        <v/>
      </c>
      <c r="AM2888">
        <f>IF($C2888="","",IF($W2888="Yes",1,0))</f>
        <v/>
      </c>
      <c r="AN2888">
        <f>IF($AJ2888=1,IFERROR(IF(VALUE($C2888)&lt;100000000,VALUE($C2888),1000000000),IFERROR(IF(VALUE(MID($C2888,2,20))&lt;100000000,VALUE(MID($C2888,2,20)),1000000000),1000000000))+ROW()/100000,"")</f>
        <v/>
      </c>
    </row>
    <row r="2889">
      <c r="E2889" s="11" t="n"/>
      <c r="M2889" s="7">
        <f>IF($C2889="","",L2889*U2889/100)</f>
        <v/>
      </c>
      <c r="N2889" s="7" t="n"/>
      <c r="T2889" s="7" t="n"/>
      <c r="U2889" s="7">
        <f>IF($C2889="","",S2889*T2889)</f>
        <v/>
      </c>
      <c r="X2889">
        <f>IF($C2889="","",IF($AM2889=1,0,IF($AL2889=1,Settings!$C$6,Settings!$C$7))*100)</f>
        <v/>
      </c>
      <c r="AB2889" s="7" t="n"/>
      <c r="AE2889" s="11" t="n"/>
      <c r="AG2889" s="7">
        <f>IF($C2889="","",U2889*X2889/100)</f>
        <v/>
      </c>
      <c r="AH2889" s="7">
        <f>IF($C2889="","",U2889-AG2889)</f>
        <v/>
      </c>
      <c r="AI2889" s="7">
        <f>IF($C2889="","",AH2889-M2889)</f>
        <v/>
      </c>
      <c r="AJ2889">
        <f>IF($C2889="","",IF(COUNTIF($C$2:$C2889,$C2889)=1,1,0))</f>
        <v/>
      </c>
      <c r="AK2889">
        <f>IF($AJ2889=1,SUMPRODUCT(--($AN$2:$AN$4001&lt;$AN2889))+1,"")</f>
        <v/>
      </c>
      <c r="AL2889">
        <f>IF($C2889="","",IF(OR($Q2889=TRUE(),$Q2889="TRUE"),1,0))</f>
        <v/>
      </c>
      <c r="AM2889">
        <f>IF($C2889="","",IF($W2889="Yes",1,0))</f>
        <v/>
      </c>
      <c r="AN2889">
        <f>IF($AJ2889=1,IFERROR(IF(VALUE($C2889)&lt;100000000,VALUE($C2889),1000000000),IFERROR(IF(VALUE(MID($C2889,2,20))&lt;100000000,VALUE(MID($C2889,2,20)),1000000000),1000000000))+ROW()/100000,"")</f>
        <v/>
      </c>
    </row>
    <row r="2890">
      <c r="E2890" s="11" t="n"/>
      <c r="M2890" s="7">
        <f>IF($C2890="","",L2890*U2890/100)</f>
        <v/>
      </c>
      <c r="N2890" s="7" t="n"/>
      <c r="T2890" s="7" t="n"/>
      <c r="U2890" s="7">
        <f>IF($C2890="","",S2890*T2890)</f>
        <v/>
      </c>
      <c r="X2890">
        <f>IF($C2890="","",IF($AM2890=1,0,IF($AL2890=1,Settings!$C$6,Settings!$C$7))*100)</f>
        <v/>
      </c>
      <c r="AB2890" s="7" t="n"/>
      <c r="AE2890" s="11" t="n"/>
      <c r="AG2890" s="7">
        <f>IF($C2890="","",U2890*X2890/100)</f>
        <v/>
      </c>
      <c r="AH2890" s="7">
        <f>IF($C2890="","",U2890-AG2890)</f>
        <v/>
      </c>
      <c r="AI2890" s="7">
        <f>IF($C2890="","",AH2890-M2890)</f>
        <v/>
      </c>
      <c r="AJ2890">
        <f>IF($C2890="","",IF(COUNTIF($C$2:$C2890,$C2890)=1,1,0))</f>
        <v/>
      </c>
      <c r="AK2890">
        <f>IF($AJ2890=1,SUMPRODUCT(--($AN$2:$AN$4001&lt;$AN2890))+1,"")</f>
        <v/>
      </c>
      <c r="AL2890">
        <f>IF($C2890="","",IF(OR($Q2890=TRUE(),$Q2890="TRUE"),1,0))</f>
        <v/>
      </c>
      <c r="AM2890">
        <f>IF($C2890="","",IF($W2890="Yes",1,0))</f>
        <v/>
      </c>
      <c r="AN2890">
        <f>IF($AJ2890=1,IFERROR(IF(VALUE($C2890)&lt;100000000,VALUE($C2890),1000000000),IFERROR(IF(VALUE(MID($C2890,2,20))&lt;100000000,VALUE(MID($C2890,2,20)),1000000000),1000000000))+ROW()/100000,"")</f>
        <v/>
      </c>
    </row>
    <row r="2891">
      <c r="E2891" s="11" t="n"/>
      <c r="M2891" s="7">
        <f>IF($C2891="","",L2891*U2891/100)</f>
        <v/>
      </c>
      <c r="N2891" s="7" t="n"/>
      <c r="T2891" s="7" t="n"/>
      <c r="U2891" s="7">
        <f>IF($C2891="","",S2891*T2891)</f>
        <v/>
      </c>
      <c r="X2891">
        <f>IF($C2891="","",IF($AM2891=1,0,IF($AL2891=1,Settings!$C$6,Settings!$C$7))*100)</f>
        <v/>
      </c>
      <c r="AB2891" s="7" t="n"/>
      <c r="AE2891" s="11" t="n"/>
      <c r="AG2891" s="7">
        <f>IF($C2891="","",U2891*X2891/100)</f>
        <v/>
      </c>
      <c r="AH2891" s="7">
        <f>IF($C2891="","",U2891-AG2891)</f>
        <v/>
      </c>
      <c r="AI2891" s="7">
        <f>IF($C2891="","",AH2891-M2891)</f>
        <v/>
      </c>
      <c r="AJ2891">
        <f>IF($C2891="","",IF(COUNTIF($C$2:$C2891,$C2891)=1,1,0))</f>
        <v/>
      </c>
      <c r="AK2891">
        <f>IF($AJ2891=1,SUMPRODUCT(--($AN$2:$AN$4001&lt;$AN2891))+1,"")</f>
        <v/>
      </c>
      <c r="AL2891">
        <f>IF($C2891="","",IF(OR($Q2891=TRUE(),$Q2891="TRUE"),1,0))</f>
        <v/>
      </c>
      <c r="AM2891">
        <f>IF($C2891="","",IF($W2891="Yes",1,0))</f>
        <v/>
      </c>
      <c r="AN2891">
        <f>IF($AJ2891=1,IFERROR(IF(VALUE($C2891)&lt;100000000,VALUE($C2891),1000000000),IFERROR(IF(VALUE(MID($C2891,2,20))&lt;100000000,VALUE(MID($C2891,2,20)),1000000000),1000000000))+ROW()/100000,"")</f>
        <v/>
      </c>
    </row>
    <row r="2892">
      <c r="E2892" s="11" t="n"/>
      <c r="M2892" s="7">
        <f>IF($C2892="","",L2892*U2892/100)</f>
        <v/>
      </c>
      <c r="N2892" s="7" t="n"/>
      <c r="T2892" s="7" t="n"/>
      <c r="U2892" s="7">
        <f>IF($C2892="","",S2892*T2892)</f>
        <v/>
      </c>
      <c r="X2892">
        <f>IF($C2892="","",IF($AM2892=1,0,IF($AL2892=1,Settings!$C$6,Settings!$C$7))*100)</f>
        <v/>
      </c>
      <c r="AB2892" s="7" t="n"/>
      <c r="AE2892" s="11" t="n"/>
      <c r="AG2892" s="7">
        <f>IF($C2892="","",U2892*X2892/100)</f>
        <v/>
      </c>
      <c r="AH2892" s="7">
        <f>IF($C2892="","",U2892-AG2892)</f>
        <v/>
      </c>
      <c r="AI2892" s="7">
        <f>IF($C2892="","",AH2892-M2892)</f>
        <v/>
      </c>
      <c r="AJ2892">
        <f>IF($C2892="","",IF(COUNTIF($C$2:$C2892,$C2892)=1,1,0))</f>
        <v/>
      </c>
      <c r="AK2892">
        <f>IF($AJ2892=1,SUMPRODUCT(--($AN$2:$AN$4001&lt;$AN2892))+1,"")</f>
        <v/>
      </c>
      <c r="AL2892">
        <f>IF($C2892="","",IF(OR($Q2892=TRUE(),$Q2892="TRUE"),1,0))</f>
        <v/>
      </c>
      <c r="AM2892">
        <f>IF($C2892="","",IF($W2892="Yes",1,0))</f>
        <v/>
      </c>
      <c r="AN2892">
        <f>IF($AJ2892=1,IFERROR(IF(VALUE($C2892)&lt;100000000,VALUE($C2892),1000000000),IFERROR(IF(VALUE(MID($C2892,2,20))&lt;100000000,VALUE(MID($C2892,2,20)),1000000000),1000000000))+ROW()/100000,"")</f>
        <v/>
      </c>
    </row>
    <row r="2893">
      <c r="E2893" s="11" t="n"/>
      <c r="M2893" s="7">
        <f>IF($C2893="","",L2893*U2893/100)</f>
        <v/>
      </c>
      <c r="N2893" s="7" t="n"/>
      <c r="T2893" s="7" t="n"/>
      <c r="U2893" s="7">
        <f>IF($C2893="","",S2893*T2893)</f>
        <v/>
      </c>
      <c r="X2893">
        <f>IF($C2893="","",IF($AM2893=1,0,IF($AL2893=1,Settings!$C$6,Settings!$C$7))*100)</f>
        <v/>
      </c>
      <c r="AB2893" s="7" t="n"/>
      <c r="AE2893" s="11" t="n"/>
      <c r="AG2893" s="7">
        <f>IF($C2893="","",U2893*X2893/100)</f>
        <v/>
      </c>
      <c r="AH2893" s="7">
        <f>IF($C2893="","",U2893-AG2893)</f>
        <v/>
      </c>
      <c r="AI2893" s="7">
        <f>IF($C2893="","",AH2893-M2893)</f>
        <v/>
      </c>
      <c r="AJ2893">
        <f>IF($C2893="","",IF(COUNTIF($C$2:$C2893,$C2893)=1,1,0))</f>
        <v/>
      </c>
      <c r="AK2893">
        <f>IF($AJ2893=1,SUMPRODUCT(--($AN$2:$AN$4001&lt;$AN2893))+1,"")</f>
        <v/>
      </c>
      <c r="AL2893">
        <f>IF($C2893="","",IF(OR($Q2893=TRUE(),$Q2893="TRUE"),1,0))</f>
        <v/>
      </c>
      <c r="AM2893">
        <f>IF($C2893="","",IF($W2893="Yes",1,0))</f>
        <v/>
      </c>
      <c r="AN2893">
        <f>IF($AJ2893=1,IFERROR(IF(VALUE($C2893)&lt;100000000,VALUE($C2893),1000000000),IFERROR(IF(VALUE(MID($C2893,2,20))&lt;100000000,VALUE(MID($C2893,2,20)),1000000000),1000000000))+ROW()/100000,"")</f>
        <v/>
      </c>
    </row>
    <row r="2894">
      <c r="E2894" s="11" t="n"/>
      <c r="M2894" s="7">
        <f>IF($C2894="","",L2894*U2894/100)</f>
        <v/>
      </c>
      <c r="N2894" s="7" t="n"/>
      <c r="T2894" s="7" t="n"/>
      <c r="U2894" s="7">
        <f>IF($C2894="","",S2894*T2894)</f>
        <v/>
      </c>
      <c r="X2894">
        <f>IF($C2894="","",IF($AM2894=1,0,IF($AL2894=1,Settings!$C$6,Settings!$C$7))*100)</f>
        <v/>
      </c>
      <c r="AB2894" s="7" t="n"/>
      <c r="AE2894" s="11" t="n"/>
      <c r="AG2894" s="7">
        <f>IF($C2894="","",U2894*X2894/100)</f>
        <v/>
      </c>
      <c r="AH2894" s="7">
        <f>IF($C2894="","",U2894-AG2894)</f>
        <v/>
      </c>
      <c r="AI2894" s="7">
        <f>IF($C2894="","",AH2894-M2894)</f>
        <v/>
      </c>
      <c r="AJ2894">
        <f>IF($C2894="","",IF(COUNTIF($C$2:$C2894,$C2894)=1,1,0))</f>
        <v/>
      </c>
      <c r="AK2894">
        <f>IF($AJ2894=1,SUMPRODUCT(--($AN$2:$AN$4001&lt;$AN2894))+1,"")</f>
        <v/>
      </c>
      <c r="AL2894">
        <f>IF($C2894="","",IF(OR($Q2894=TRUE(),$Q2894="TRUE"),1,0))</f>
        <v/>
      </c>
      <c r="AM2894">
        <f>IF($C2894="","",IF($W2894="Yes",1,0))</f>
        <v/>
      </c>
      <c r="AN2894">
        <f>IF($AJ2894=1,IFERROR(IF(VALUE($C2894)&lt;100000000,VALUE($C2894),1000000000),IFERROR(IF(VALUE(MID($C2894,2,20))&lt;100000000,VALUE(MID($C2894,2,20)),1000000000),1000000000))+ROW()/100000,"")</f>
        <v/>
      </c>
    </row>
    <row r="2895">
      <c r="E2895" s="11" t="n"/>
      <c r="M2895" s="7">
        <f>IF($C2895="","",L2895*U2895/100)</f>
        <v/>
      </c>
      <c r="N2895" s="7" t="n"/>
      <c r="T2895" s="7" t="n"/>
      <c r="U2895" s="7">
        <f>IF($C2895="","",S2895*T2895)</f>
        <v/>
      </c>
      <c r="X2895">
        <f>IF($C2895="","",IF($AM2895=1,0,IF($AL2895=1,Settings!$C$6,Settings!$C$7))*100)</f>
        <v/>
      </c>
      <c r="AB2895" s="7" t="n"/>
      <c r="AE2895" s="11" t="n"/>
      <c r="AG2895" s="7">
        <f>IF($C2895="","",U2895*X2895/100)</f>
        <v/>
      </c>
      <c r="AH2895" s="7">
        <f>IF($C2895="","",U2895-AG2895)</f>
        <v/>
      </c>
      <c r="AI2895" s="7">
        <f>IF($C2895="","",AH2895-M2895)</f>
        <v/>
      </c>
      <c r="AJ2895">
        <f>IF($C2895="","",IF(COUNTIF($C$2:$C2895,$C2895)=1,1,0))</f>
        <v/>
      </c>
      <c r="AK2895">
        <f>IF($AJ2895=1,SUMPRODUCT(--($AN$2:$AN$4001&lt;$AN2895))+1,"")</f>
        <v/>
      </c>
      <c r="AL2895">
        <f>IF($C2895="","",IF(OR($Q2895=TRUE(),$Q2895="TRUE"),1,0))</f>
        <v/>
      </c>
      <c r="AM2895">
        <f>IF($C2895="","",IF($W2895="Yes",1,0))</f>
        <v/>
      </c>
      <c r="AN2895">
        <f>IF($AJ2895=1,IFERROR(IF(VALUE($C2895)&lt;100000000,VALUE($C2895),1000000000),IFERROR(IF(VALUE(MID($C2895,2,20))&lt;100000000,VALUE(MID($C2895,2,20)),1000000000),1000000000))+ROW()/100000,"")</f>
        <v/>
      </c>
    </row>
    <row r="2896">
      <c r="E2896" s="11" t="n"/>
      <c r="M2896" s="7">
        <f>IF($C2896="","",L2896*U2896/100)</f>
        <v/>
      </c>
      <c r="N2896" s="7" t="n"/>
      <c r="T2896" s="7" t="n"/>
      <c r="U2896" s="7">
        <f>IF($C2896="","",S2896*T2896)</f>
        <v/>
      </c>
      <c r="X2896">
        <f>IF($C2896="","",IF($AM2896=1,0,IF($AL2896=1,Settings!$C$6,Settings!$C$7))*100)</f>
        <v/>
      </c>
      <c r="AB2896" s="7" t="n"/>
      <c r="AE2896" s="11" t="n"/>
      <c r="AG2896" s="7">
        <f>IF($C2896="","",U2896*X2896/100)</f>
        <v/>
      </c>
      <c r="AH2896" s="7">
        <f>IF($C2896="","",U2896-AG2896)</f>
        <v/>
      </c>
      <c r="AI2896" s="7">
        <f>IF($C2896="","",AH2896-M2896)</f>
        <v/>
      </c>
      <c r="AJ2896">
        <f>IF($C2896="","",IF(COUNTIF($C$2:$C2896,$C2896)=1,1,0))</f>
        <v/>
      </c>
      <c r="AK2896">
        <f>IF($AJ2896=1,SUMPRODUCT(--($AN$2:$AN$4001&lt;$AN2896))+1,"")</f>
        <v/>
      </c>
      <c r="AL2896">
        <f>IF($C2896="","",IF(OR($Q2896=TRUE(),$Q2896="TRUE"),1,0))</f>
        <v/>
      </c>
      <c r="AM2896">
        <f>IF($C2896="","",IF($W2896="Yes",1,0))</f>
        <v/>
      </c>
      <c r="AN2896">
        <f>IF($AJ2896=1,IFERROR(IF(VALUE($C2896)&lt;100000000,VALUE($C2896),1000000000),IFERROR(IF(VALUE(MID($C2896,2,20))&lt;100000000,VALUE(MID($C2896,2,20)),1000000000),1000000000))+ROW()/100000,"")</f>
        <v/>
      </c>
    </row>
    <row r="2897">
      <c r="E2897" s="11" t="n"/>
      <c r="M2897" s="7">
        <f>IF($C2897="","",L2897*U2897/100)</f>
        <v/>
      </c>
      <c r="N2897" s="7" t="n"/>
      <c r="T2897" s="7" t="n"/>
      <c r="U2897" s="7">
        <f>IF($C2897="","",S2897*T2897)</f>
        <v/>
      </c>
      <c r="X2897">
        <f>IF($C2897="","",IF($AM2897=1,0,IF($AL2897=1,Settings!$C$6,Settings!$C$7))*100)</f>
        <v/>
      </c>
      <c r="AB2897" s="7" t="n"/>
      <c r="AE2897" s="11" t="n"/>
      <c r="AG2897" s="7">
        <f>IF($C2897="","",U2897*X2897/100)</f>
        <v/>
      </c>
      <c r="AH2897" s="7">
        <f>IF($C2897="","",U2897-AG2897)</f>
        <v/>
      </c>
      <c r="AI2897" s="7">
        <f>IF($C2897="","",AH2897-M2897)</f>
        <v/>
      </c>
      <c r="AJ2897">
        <f>IF($C2897="","",IF(COUNTIF($C$2:$C2897,$C2897)=1,1,0))</f>
        <v/>
      </c>
      <c r="AK2897">
        <f>IF($AJ2897=1,SUMPRODUCT(--($AN$2:$AN$4001&lt;$AN2897))+1,"")</f>
        <v/>
      </c>
      <c r="AL2897">
        <f>IF($C2897="","",IF(OR($Q2897=TRUE(),$Q2897="TRUE"),1,0))</f>
        <v/>
      </c>
      <c r="AM2897">
        <f>IF($C2897="","",IF($W2897="Yes",1,0))</f>
        <v/>
      </c>
      <c r="AN2897">
        <f>IF($AJ2897=1,IFERROR(IF(VALUE($C2897)&lt;100000000,VALUE($C2897),1000000000),IFERROR(IF(VALUE(MID($C2897,2,20))&lt;100000000,VALUE(MID($C2897,2,20)),1000000000),1000000000))+ROW()/100000,"")</f>
        <v/>
      </c>
    </row>
    <row r="2898">
      <c r="E2898" s="11" t="n"/>
      <c r="M2898" s="7">
        <f>IF($C2898="","",L2898*U2898/100)</f>
        <v/>
      </c>
      <c r="N2898" s="7" t="n"/>
      <c r="T2898" s="7" t="n"/>
      <c r="U2898" s="7">
        <f>IF($C2898="","",S2898*T2898)</f>
        <v/>
      </c>
      <c r="X2898">
        <f>IF($C2898="","",IF($AM2898=1,0,IF($AL2898=1,Settings!$C$6,Settings!$C$7))*100)</f>
        <v/>
      </c>
      <c r="AB2898" s="7" t="n"/>
      <c r="AE2898" s="11" t="n"/>
      <c r="AG2898" s="7">
        <f>IF($C2898="","",U2898*X2898/100)</f>
        <v/>
      </c>
      <c r="AH2898" s="7">
        <f>IF($C2898="","",U2898-AG2898)</f>
        <v/>
      </c>
      <c r="AI2898" s="7">
        <f>IF($C2898="","",AH2898-M2898)</f>
        <v/>
      </c>
      <c r="AJ2898">
        <f>IF($C2898="","",IF(COUNTIF($C$2:$C2898,$C2898)=1,1,0))</f>
        <v/>
      </c>
      <c r="AK2898">
        <f>IF($AJ2898=1,SUMPRODUCT(--($AN$2:$AN$4001&lt;$AN2898))+1,"")</f>
        <v/>
      </c>
      <c r="AL2898">
        <f>IF($C2898="","",IF(OR($Q2898=TRUE(),$Q2898="TRUE"),1,0))</f>
        <v/>
      </c>
      <c r="AM2898">
        <f>IF($C2898="","",IF($W2898="Yes",1,0))</f>
        <v/>
      </c>
      <c r="AN2898">
        <f>IF($AJ2898=1,IFERROR(IF(VALUE($C2898)&lt;100000000,VALUE($C2898),1000000000),IFERROR(IF(VALUE(MID($C2898,2,20))&lt;100000000,VALUE(MID($C2898,2,20)),1000000000),1000000000))+ROW()/100000,"")</f>
        <v/>
      </c>
    </row>
    <row r="2899">
      <c r="E2899" s="11" t="n"/>
      <c r="M2899" s="7">
        <f>IF($C2899="","",L2899*U2899/100)</f>
        <v/>
      </c>
      <c r="N2899" s="7" t="n"/>
      <c r="T2899" s="7" t="n"/>
      <c r="U2899" s="7">
        <f>IF($C2899="","",S2899*T2899)</f>
        <v/>
      </c>
      <c r="X2899">
        <f>IF($C2899="","",IF($AM2899=1,0,IF($AL2899=1,Settings!$C$6,Settings!$C$7))*100)</f>
        <v/>
      </c>
      <c r="AB2899" s="7" t="n"/>
      <c r="AE2899" s="11" t="n"/>
      <c r="AG2899" s="7">
        <f>IF($C2899="","",U2899*X2899/100)</f>
        <v/>
      </c>
      <c r="AH2899" s="7">
        <f>IF($C2899="","",U2899-AG2899)</f>
        <v/>
      </c>
      <c r="AI2899" s="7">
        <f>IF($C2899="","",AH2899-M2899)</f>
        <v/>
      </c>
      <c r="AJ2899">
        <f>IF($C2899="","",IF(COUNTIF($C$2:$C2899,$C2899)=1,1,0))</f>
        <v/>
      </c>
      <c r="AK2899">
        <f>IF($AJ2899=1,SUMPRODUCT(--($AN$2:$AN$4001&lt;$AN2899))+1,"")</f>
        <v/>
      </c>
      <c r="AL2899">
        <f>IF($C2899="","",IF(OR($Q2899=TRUE(),$Q2899="TRUE"),1,0))</f>
        <v/>
      </c>
      <c r="AM2899">
        <f>IF($C2899="","",IF($W2899="Yes",1,0))</f>
        <v/>
      </c>
      <c r="AN2899">
        <f>IF($AJ2899=1,IFERROR(IF(VALUE($C2899)&lt;100000000,VALUE($C2899),1000000000),IFERROR(IF(VALUE(MID($C2899,2,20))&lt;100000000,VALUE(MID($C2899,2,20)),1000000000),1000000000))+ROW()/100000,"")</f>
        <v/>
      </c>
    </row>
    <row r="2900">
      <c r="E2900" s="11" t="n"/>
      <c r="M2900" s="7">
        <f>IF($C2900="","",L2900*U2900/100)</f>
        <v/>
      </c>
      <c r="N2900" s="7" t="n"/>
      <c r="T2900" s="7" t="n"/>
      <c r="U2900" s="7">
        <f>IF($C2900="","",S2900*T2900)</f>
        <v/>
      </c>
      <c r="X2900">
        <f>IF($C2900="","",IF($AM2900=1,0,IF($AL2900=1,Settings!$C$6,Settings!$C$7))*100)</f>
        <v/>
      </c>
      <c r="AB2900" s="7" t="n"/>
      <c r="AE2900" s="11" t="n"/>
      <c r="AG2900" s="7">
        <f>IF($C2900="","",U2900*X2900/100)</f>
        <v/>
      </c>
      <c r="AH2900" s="7">
        <f>IF($C2900="","",U2900-AG2900)</f>
        <v/>
      </c>
      <c r="AI2900" s="7">
        <f>IF($C2900="","",AH2900-M2900)</f>
        <v/>
      </c>
      <c r="AJ2900">
        <f>IF($C2900="","",IF(COUNTIF($C$2:$C2900,$C2900)=1,1,0))</f>
        <v/>
      </c>
      <c r="AK2900">
        <f>IF($AJ2900=1,SUMPRODUCT(--($AN$2:$AN$4001&lt;$AN2900))+1,"")</f>
        <v/>
      </c>
      <c r="AL2900">
        <f>IF($C2900="","",IF(OR($Q2900=TRUE(),$Q2900="TRUE"),1,0))</f>
        <v/>
      </c>
      <c r="AM2900">
        <f>IF($C2900="","",IF($W2900="Yes",1,0))</f>
        <v/>
      </c>
      <c r="AN2900">
        <f>IF($AJ2900=1,IFERROR(IF(VALUE($C2900)&lt;100000000,VALUE($C2900),1000000000),IFERROR(IF(VALUE(MID($C2900,2,20))&lt;100000000,VALUE(MID($C2900,2,20)),1000000000),1000000000))+ROW()/100000,"")</f>
        <v/>
      </c>
    </row>
    <row r="2901">
      <c r="E2901" s="11" t="n"/>
      <c r="M2901" s="7">
        <f>IF($C2901="","",L2901*U2901/100)</f>
        <v/>
      </c>
      <c r="N2901" s="7" t="n"/>
      <c r="T2901" s="7" t="n"/>
      <c r="U2901" s="7">
        <f>IF($C2901="","",S2901*T2901)</f>
        <v/>
      </c>
      <c r="X2901">
        <f>IF($C2901="","",IF($AM2901=1,0,IF($AL2901=1,Settings!$C$6,Settings!$C$7))*100)</f>
        <v/>
      </c>
      <c r="AB2901" s="7" t="n"/>
      <c r="AE2901" s="11" t="n"/>
      <c r="AG2901" s="7">
        <f>IF($C2901="","",U2901*X2901/100)</f>
        <v/>
      </c>
      <c r="AH2901" s="7">
        <f>IF($C2901="","",U2901-AG2901)</f>
        <v/>
      </c>
      <c r="AI2901" s="7">
        <f>IF($C2901="","",AH2901-M2901)</f>
        <v/>
      </c>
      <c r="AJ2901">
        <f>IF($C2901="","",IF(COUNTIF($C$2:$C2901,$C2901)=1,1,0))</f>
        <v/>
      </c>
      <c r="AK2901">
        <f>IF($AJ2901=1,SUMPRODUCT(--($AN$2:$AN$4001&lt;$AN2901))+1,"")</f>
        <v/>
      </c>
      <c r="AL2901">
        <f>IF($C2901="","",IF(OR($Q2901=TRUE(),$Q2901="TRUE"),1,0))</f>
        <v/>
      </c>
      <c r="AM2901">
        <f>IF($C2901="","",IF($W2901="Yes",1,0))</f>
        <v/>
      </c>
      <c r="AN2901">
        <f>IF($AJ2901=1,IFERROR(IF(VALUE($C2901)&lt;100000000,VALUE($C2901),1000000000),IFERROR(IF(VALUE(MID($C2901,2,20))&lt;100000000,VALUE(MID($C2901,2,20)),1000000000),1000000000))+ROW()/100000,"")</f>
        <v/>
      </c>
    </row>
    <row r="2902">
      <c r="E2902" s="11" t="n"/>
      <c r="M2902" s="7">
        <f>IF($C2902="","",L2902*U2902/100)</f>
        <v/>
      </c>
      <c r="N2902" s="7" t="n"/>
      <c r="T2902" s="7" t="n"/>
      <c r="U2902" s="7">
        <f>IF($C2902="","",S2902*T2902)</f>
        <v/>
      </c>
      <c r="X2902">
        <f>IF($C2902="","",IF($AM2902=1,0,IF($AL2902=1,Settings!$C$6,Settings!$C$7))*100)</f>
        <v/>
      </c>
      <c r="AB2902" s="7" t="n"/>
      <c r="AE2902" s="11" t="n"/>
      <c r="AG2902" s="7">
        <f>IF($C2902="","",U2902*X2902/100)</f>
        <v/>
      </c>
      <c r="AH2902" s="7">
        <f>IF($C2902="","",U2902-AG2902)</f>
        <v/>
      </c>
      <c r="AI2902" s="7">
        <f>IF($C2902="","",AH2902-M2902)</f>
        <v/>
      </c>
      <c r="AJ2902">
        <f>IF($C2902="","",IF(COUNTIF($C$2:$C2902,$C2902)=1,1,0))</f>
        <v/>
      </c>
      <c r="AK2902">
        <f>IF($AJ2902=1,SUMPRODUCT(--($AN$2:$AN$4001&lt;$AN2902))+1,"")</f>
        <v/>
      </c>
      <c r="AL2902">
        <f>IF($C2902="","",IF(OR($Q2902=TRUE(),$Q2902="TRUE"),1,0))</f>
        <v/>
      </c>
      <c r="AM2902">
        <f>IF($C2902="","",IF($W2902="Yes",1,0))</f>
        <v/>
      </c>
      <c r="AN2902">
        <f>IF($AJ2902=1,IFERROR(IF(VALUE($C2902)&lt;100000000,VALUE($C2902),1000000000),IFERROR(IF(VALUE(MID($C2902,2,20))&lt;100000000,VALUE(MID($C2902,2,20)),1000000000),1000000000))+ROW()/100000,"")</f>
        <v/>
      </c>
    </row>
    <row r="2903">
      <c r="E2903" s="11" t="n"/>
      <c r="M2903" s="7">
        <f>IF($C2903="","",L2903*U2903/100)</f>
        <v/>
      </c>
      <c r="N2903" s="7" t="n"/>
      <c r="T2903" s="7" t="n"/>
      <c r="U2903" s="7">
        <f>IF($C2903="","",S2903*T2903)</f>
        <v/>
      </c>
      <c r="X2903">
        <f>IF($C2903="","",IF($AM2903=1,0,IF($AL2903=1,Settings!$C$6,Settings!$C$7))*100)</f>
        <v/>
      </c>
      <c r="AB2903" s="7" t="n"/>
      <c r="AE2903" s="11" t="n"/>
      <c r="AG2903" s="7">
        <f>IF($C2903="","",U2903*X2903/100)</f>
        <v/>
      </c>
      <c r="AH2903" s="7">
        <f>IF($C2903="","",U2903-AG2903)</f>
        <v/>
      </c>
      <c r="AI2903" s="7">
        <f>IF($C2903="","",AH2903-M2903)</f>
        <v/>
      </c>
      <c r="AJ2903">
        <f>IF($C2903="","",IF(COUNTIF($C$2:$C2903,$C2903)=1,1,0))</f>
        <v/>
      </c>
      <c r="AK2903">
        <f>IF($AJ2903=1,SUMPRODUCT(--($AN$2:$AN$4001&lt;$AN2903))+1,"")</f>
        <v/>
      </c>
      <c r="AL2903">
        <f>IF($C2903="","",IF(OR($Q2903=TRUE(),$Q2903="TRUE"),1,0))</f>
        <v/>
      </c>
      <c r="AM2903">
        <f>IF($C2903="","",IF($W2903="Yes",1,0))</f>
        <v/>
      </c>
      <c r="AN2903">
        <f>IF($AJ2903=1,IFERROR(IF(VALUE($C2903)&lt;100000000,VALUE($C2903),1000000000),IFERROR(IF(VALUE(MID($C2903,2,20))&lt;100000000,VALUE(MID($C2903,2,20)),1000000000),1000000000))+ROW()/100000,"")</f>
        <v/>
      </c>
    </row>
    <row r="2904">
      <c r="E2904" s="11" t="n"/>
      <c r="M2904" s="7">
        <f>IF($C2904="","",L2904*U2904/100)</f>
        <v/>
      </c>
      <c r="N2904" s="7" t="n"/>
      <c r="T2904" s="7" t="n"/>
      <c r="U2904" s="7">
        <f>IF($C2904="","",S2904*T2904)</f>
        <v/>
      </c>
      <c r="X2904">
        <f>IF($C2904="","",IF($AM2904=1,0,IF($AL2904=1,Settings!$C$6,Settings!$C$7))*100)</f>
        <v/>
      </c>
      <c r="AB2904" s="7" t="n"/>
      <c r="AE2904" s="11" t="n"/>
      <c r="AG2904" s="7">
        <f>IF($C2904="","",U2904*X2904/100)</f>
        <v/>
      </c>
      <c r="AH2904" s="7">
        <f>IF($C2904="","",U2904-AG2904)</f>
        <v/>
      </c>
      <c r="AI2904" s="7">
        <f>IF($C2904="","",AH2904-M2904)</f>
        <v/>
      </c>
      <c r="AJ2904">
        <f>IF($C2904="","",IF(COUNTIF($C$2:$C2904,$C2904)=1,1,0))</f>
        <v/>
      </c>
      <c r="AK2904">
        <f>IF($AJ2904=1,SUMPRODUCT(--($AN$2:$AN$4001&lt;$AN2904))+1,"")</f>
        <v/>
      </c>
      <c r="AL2904">
        <f>IF($C2904="","",IF(OR($Q2904=TRUE(),$Q2904="TRUE"),1,0))</f>
        <v/>
      </c>
      <c r="AM2904">
        <f>IF($C2904="","",IF($W2904="Yes",1,0))</f>
        <v/>
      </c>
      <c r="AN2904">
        <f>IF($AJ2904=1,IFERROR(IF(VALUE($C2904)&lt;100000000,VALUE($C2904),1000000000),IFERROR(IF(VALUE(MID($C2904,2,20))&lt;100000000,VALUE(MID($C2904,2,20)),1000000000),1000000000))+ROW()/100000,"")</f>
        <v/>
      </c>
    </row>
    <row r="2905">
      <c r="E2905" s="11" t="n"/>
      <c r="M2905" s="7">
        <f>IF($C2905="","",L2905*U2905/100)</f>
        <v/>
      </c>
      <c r="N2905" s="7" t="n"/>
      <c r="T2905" s="7" t="n"/>
      <c r="U2905" s="7">
        <f>IF($C2905="","",S2905*T2905)</f>
        <v/>
      </c>
      <c r="X2905">
        <f>IF($C2905="","",IF($AM2905=1,0,IF($AL2905=1,Settings!$C$6,Settings!$C$7))*100)</f>
        <v/>
      </c>
      <c r="AB2905" s="7" t="n"/>
      <c r="AE2905" s="11" t="n"/>
      <c r="AG2905" s="7">
        <f>IF($C2905="","",U2905*X2905/100)</f>
        <v/>
      </c>
      <c r="AH2905" s="7">
        <f>IF($C2905="","",U2905-AG2905)</f>
        <v/>
      </c>
      <c r="AI2905" s="7">
        <f>IF($C2905="","",AH2905-M2905)</f>
        <v/>
      </c>
      <c r="AJ2905">
        <f>IF($C2905="","",IF(COUNTIF($C$2:$C2905,$C2905)=1,1,0))</f>
        <v/>
      </c>
      <c r="AK2905">
        <f>IF($AJ2905=1,SUMPRODUCT(--($AN$2:$AN$4001&lt;$AN2905))+1,"")</f>
        <v/>
      </c>
      <c r="AL2905">
        <f>IF($C2905="","",IF(OR($Q2905=TRUE(),$Q2905="TRUE"),1,0))</f>
        <v/>
      </c>
      <c r="AM2905">
        <f>IF($C2905="","",IF($W2905="Yes",1,0))</f>
        <v/>
      </c>
      <c r="AN2905">
        <f>IF($AJ2905=1,IFERROR(IF(VALUE($C2905)&lt;100000000,VALUE($C2905),1000000000),IFERROR(IF(VALUE(MID($C2905,2,20))&lt;100000000,VALUE(MID($C2905,2,20)),1000000000),1000000000))+ROW()/100000,"")</f>
        <v/>
      </c>
    </row>
    <row r="2906">
      <c r="E2906" s="11" t="n"/>
      <c r="M2906" s="7">
        <f>IF($C2906="","",L2906*U2906/100)</f>
        <v/>
      </c>
      <c r="N2906" s="7" t="n"/>
      <c r="T2906" s="7" t="n"/>
      <c r="U2906" s="7">
        <f>IF($C2906="","",S2906*T2906)</f>
        <v/>
      </c>
      <c r="X2906">
        <f>IF($C2906="","",IF($AM2906=1,0,IF($AL2906=1,Settings!$C$6,Settings!$C$7))*100)</f>
        <v/>
      </c>
      <c r="AB2906" s="7" t="n"/>
      <c r="AE2906" s="11" t="n"/>
      <c r="AG2906" s="7">
        <f>IF($C2906="","",U2906*X2906/100)</f>
        <v/>
      </c>
      <c r="AH2906" s="7">
        <f>IF($C2906="","",U2906-AG2906)</f>
        <v/>
      </c>
      <c r="AI2906" s="7">
        <f>IF($C2906="","",AH2906-M2906)</f>
        <v/>
      </c>
      <c r="AJ2906">
        <f>IF($C2906="","",IF(COUNTIF($C$2:$C2906,$C2906)=1,1,0))</f>
        <v/>
      </c>
      <c r="AK2906">
        <f>IF($AJ2906=1,SUMPRODUCT(--($AN$2:$AN$4001&lt;$AN2906))+1,"")</f>
        <v/>
      </c>
      <c r="AL2906">
        <f>IF($C2906="","",IF(OR($Q2906=TRUE(),$Q2906="TRUE"),1,0))</f>
        <v/>
      </c>
      <c r="AM2906">
        <f>IF($C2906="","",IF($W2906="Yes",1,0))</f>
        <v/>
      </c>
      <c r="AN2906">
        <f>IF($AJ2906=1,IFERROR(IF(VALUE($C2906)&lt;100000000,VALUE($C2906),1000000000),IFERROR(IF(VALUE(MID($C2906,2,20))&lt;100000000,VALUE(MID($C2906,2,20)),1000000000),1000000000))+ROW()/100000,"")</f>
        <v/>
      </c>
    </row>
    <row r="2907">
      <c r="E2907" s="11" t="n"/>
      <c r="M2907" s="7">
        <f>IF($C2907="","",L2907*U2907/100)</f>
        <v/>
      </c>
      <c r="N2907" s="7" t="n"/>
      <c r="T2907" s="7" t="n"/>
      <c r="U2907" s="7">
        <f>IF($C2907="","",S2907*T2907)</f>
        <v/>
      </c>
      <c r="X2907">
        <f>IF($C2907="","",IF($AM2907=1,0,IF($AL2907=1,Settings!$C$6,Settings!$C$7))*100)</f>
        <v/>
      </c>
      <c r="AB2907" s="7" t="n"/>
      <c r="AE2907" s="11" t="n"/>
      <c r="AG2907" s="7">
        <f>IF($C2907="","",U2907*X2907/100)</f>
        <v/>
      </c>
      <c r="AH2907" s="7">
        <f>IF($C2907="","",U2907-AG2907)</f>
        <v/>
      </c>
      <c r="AI2907" s="7">
        <f>IF($C2907="","",AH2907-M2907)</f>
        <v/>
      </c>
      <c r="AJ2907">
        <f>IF($C2907="","",IF(COUNTIF($C$2:$C2907,$C2907)=1,1,0))</f>
        <v/>
      </c>
      <c r="AK2907">
        <f>IF($AJ2907=1,SUMPRODUCT(--($AN$2:$AN$4001&lt;$AN2907))+1,"")</f>
        <v/>
      </c>
      <c r="AL2907">
        <f>IF($C2907="","",IF(OR($Q2907=TRUE(),$Q2907="TRUE"),1,0))</f>
        <v/>
      </c>
      <c r="AM2907">
        <f>IF($C2907="","",IF($W2907="Yes",1,0))</f>
        <v/>
      </c>
      <c r="AN2907">
        <f>IF($AJ2907=1,IFERROR(IF(VALUE($C2907)&lt;100000000,VALUE($C2907),1000000000),IFERROR(IF(VALUE(MID($C2907,2,20))&lt;100000000,VALUE(MID($C2907,2,20)),1000000000),1000000000))+ROW()/100000,"")</f>
        <v/>
      </c>
    </row>
    <row r="2908">
      <c r="E2908" s="11" t="n"/>
      <c r="M2908" s="7">
        <f>IF($C2908="","",L2908*U2908/100)</f>
        <v/>
      </c>
      <c r="N2908" s="7" t="n"/>
      <c r="T2908" s="7" t="n"/>
      <c r="U2908" s="7">
        <f>IF($C2908="","",S2908*T2908)</f>
        <v/>
      </c>
      <c r="X2908">
        <f>IF($C2908="","",IF($AM2908=1,0,IF($AL2908=1,Settings!$C$6,Settings!$C$7))*100)</f>
        <v/>
      </c>
      <c r="AB2908" s="7" t="n"/>
      <c r="AE2908" s="11" t="n"/>
      <c r="AG2908" s="7">
        <f>IF($C2908="","",U2908*X2908/100)</f>
        <v/>
      </c>
      <c r="AH2908" s="7">
        <f>IF($C2908="","",U2908-AG2908)</f>
        <v/>
      </c>
      <c r="AI2908" s="7">
        <f>IF($C2908="","",AH2908-M2908)</f>
        <v/>
      </c>
      <c r="AJ2908">
        <f>IF($C2908="","",IF(COUNTIF($C$2:$C2908,$C2908)=1,1,0))</f>
        <v/>
      </c>
      <c r="AK2908">
        <f>IF($AJ2908=1,SUMPRODUCT(--($AN$2:$AN$4001&lt;$AN2908))+1,"")</f>
        <v/>
      </c>
      <c r="AL2908">
        <f>IF($C2908="","",IF(OR($Q2908=TRUE(),$Q2908="TRUE"),1,0))</f>
        <v/>
      </c>
      <c r="AM2908">
        <f>IF($C2908="","",IF($W2908="Yes",1,0))</f>
        <v/>
      </c>
      <c r="AN2908">
        <f>IF($AJ2908=1,IFERROR(IF(VALUE($C2908)&lt;100000000,VALUE($C2908),1000000000),IFERROR(IF(VALUE(MID($C2908,2,20))&lt;100000000,VALUE(MID($C2908,2,20)),1000000000),1000000000))+ROW()/100000,"")</f>
        <v/>
      </c>
    </row>
    <row r="2909">
      <c r="E2909" s="11" t="n"/>
      <c r="M2909" s="7">
        <f>IF($C2909="","",L2909*U2909/100)</f>
        <v/>
      </c>
      <c r="N2909" s="7" t="n"/>
      <c r="T2909" s="7" t="n"/>
      <c r="U2909" s="7">
        <f>IF($C2909="","",S2909*T2909)</f>
        <v/>
      </c>
      <c r="X2909">
        <f>IF($C2909="","",IF($AM2909=1,0,IF($AL2909=1,Settings!$C$6,Settings!$C$7))*100)</f>
        <v/>
      </c>
      <c r="AB2909" s="7" t="n"/>
      <c r="AE2909" s="11" t="n"/>
      <c r="AG2909" s="7">
        <f>IF($C2909="","",U2909*X2909/100)</f>
        <v/>
      </c>
      <c r="AH2909" s="7">
        <f>IF($C2909="","",U2909-AG2909)</f>
        <v/>
      </c>
      <c r="AI2909" s="7">
        <f>IF($C2909="","",AH2909-M2909)</f>
        <v/>
      </c>
      <c r="AJ2909">
        <f>IF($C2909="","",IF(COUNTIF($C$2:$C2909,$C2909)=1,1,0))</f>
        <v/>
      </c>
      <c r="AK2909">
        <f>IF($AJ2909=1,SUMPRODUCT(--($AN$2:$AN$4001&lt;$AN2909))+1,"")</f>
        <v/>
      </c>
      <c r="AL2909">
        <f>IF($C2909="","",IF(OR($Q2909=TRUE(),$Q2909="TRUE"),1,0))</f>
        <v/>
      </c>
      <c r="AM2909">
        <f>IF($C2909="","",IF($W2909="Yes",1,0))</f>
        <v/>
      </c>
      <c r="AN2909">
        <f>IF($AJ2909=1,IFERROR(IF(VALUE($C2909)&lt;100000000,VALUE($C2909),1000000000),IFERROR(IF(VALUE(MID($C2909,2,20))&lt;100000000,VALUE(MID($C2909,2,20)),1000000000),1000000000))+ROW()/100000,"")</f>
        <v/>
      </c>
    </row>
    <row r="2910">
      <c r="E2910" s="11" t="n"/>
      <c r="M2910" s="7">
        <f>IF($C2910="","",L2910*U2910/100)</f>
        <v/>
      </c>
      <c r="N2910" s="7" t="n"/>
      <c r="T2910" s="7" t="n"/>
      <c r="U2910" s="7">
        <f>IF($C2910="","",S2910*T2910)</f>
        <v/>
      </c>
      <c r="X2910">
        <f>IF($C2910="","",IF($AM2910=1,0,IF($AL2910=1,Settings!$C$6,Settings!$C$7))*100)</f>
        <v/>
      </c>
      <c r="AB2910" s="7" t="n"/>
      <c r="AE2910" s="11" t="n"/>
      <c r="AG2910" s="7">
        <f>IF($C2910="","",U2910*X2910/100)</f>
        <v/>
      </c>
      <c r="AH2910" s="7">
        <f>IF($C2910="","",U2910-AG2910)</f>
        <v/>
      </c>
      <c r="AI2910" s="7">
        <f>IF($C2910="","",AH2910-M2910)</f>
        <v/>
      </c>
      <c r="AJ2910">
        <f>IF($C2910="","",IF(COUNTIF($C$2:$C2910,$C2910)=1,1,0))</f>
        <v/>
      </c>
      <c r="AK2910">
        <f>IF($AJ2910=1,SUMPRODUCT(--($AN$2:$AN$4001&lt;$AN2910))+1,"")</f>
        <v/>
      </c>
      <c r="AL2910">
        <f>IF($C2910="","",IF(OR($Q2910=TRUE(),$Q2910="TRUE"),1,0))</f>
        <v/>
      </c>
      <c r="AM2910">
        <f>IF($C2910="","",IF($W2910="Yes",1,0))</f>
        <v/>
      </c>
      <c r="AN2910">
        <f>IF($AJ2910=1,IFERROR(IF(VALUE($C2910)&lt;100000000,VALUE($C2910),1000000000),IFERROR(IF(VALUE(MID($C2910,2,20))&lt;100000000,VALUE(MID($C2910,2,20)),1000000000),1000000000))+ROW()/100000,"")</f>
        <v/>
      </c>
    </row>
    <row r="2911">
      <c r="E2911" s="11" t="n"/>
      <c r="M2911" s="7">
        <f>IF($C2911="","",L2911*U2911/100)</f>
        <v/>
      </c>
      <c r="N2911" s="7" t="n"/>
      <c r="T2911" s="7" t="n"/>
      <c r="U2911" s="7">
        <f>IF($C2911="","",S2911*T2911)</f>
        <v/>
      </c>
      <c r="X2911">
        <f>IF($C2911="","",IF($AM2911=1,0,IF($AL2911=1,Settings!$C$6,Settings!$C$7))*100)</f>
        <v/>
      </c>
      <c r="AB2911" s="7" t="n"/>
      <c r="AE2911" s="11" t="n"/>
      <c r="AG2911" s="7">
        <f>IF($C2911="","",U2911*X2911/100)</f>
        <v/>
      </c>
      <c r="AH2911" s="7">
        <f>IF($C2911="","",U2911-AG2911)</f>
        <v/>
      </c>
      <c r="AI2911" s="7">
        <f>IF($C2911="","",AH2911-M2911)</f>
        <v/>
      </c>
      <c r="AJ2911">
        <f>IF($C2911="","",IF(COUNTIF($C$2:$C2911,$C2911)=1,1,0))</f>
        <v/>
      </c>
      <c r="AK2911">
        <f>IF($AJ2911=1,SUMPRODUCT(--($AN$2:$AN$4001&lt;$AN2911))+1,"")</f>
        <v/>
      </c>
      <c r="AL2911">
        <f>IF($C2911="","",IF(OR($Q2911=TRUE(),$Q2911="TRUE"),1,0))</f>
        <v/>
      </c>
      <c r="AM2911">
        <f>IF($C2911="","",IF($W2911="Yes",1,0))</f>
        <v/>
      </c>
      <c r="AN2911">
        <f>IF($AJ2911=1,IFERROR(IF(VALUE($C2911)&lt;100000000,VALUE($C2911),1000000000),IFERROR(IF(VALUE(MID($C2911,2,20))&lt;100000000,VALUE(MID($C2911,2,20)),1000000000),1000000000))+ROW()/100000,"")</f>
        <v/>
      </c>
    </row>
    <row r="2912">
      <c r="E2912" s="11" t="n"/>
      <c r="M2912" s="7">
        <f>IF($C2912="","",L2912*U2912/100)</f>
        <v/>
      </c>
      <c r="N2912" s="7" t="n"/>
      <c r="T2912" s="7" t="n"/>
      <c r="U2912" s="7">
        <f>IF($C2912="","",S2912*T2912)</f>
        <v/>
      </c>
      <c r="X2912">
        <f>IF($C2912="","",IF($AM2912=1,0,IF($AL2912=1,Settings!$C$6,Settings!$C$7))*100)</f>
        <v/>
      </c>
      <c r="AB2912" s="7" t="n"/>
      <c r="AE2912" s="11" t="n"/>
      <c r="AG2912" s="7">
        <f>IF($C2912="","",U2912*X2912/100)</f>
        <v/>
      </c>
      <c r="AH2912" s="7">
        <f>IF($C2912="","",U2912-AG2912)</f>
        <v/>
      </c>
      <c r="AI2912" s="7">
        <f>IF($C2912="","",AH2912-M2912)</f>
        <v/>
      </c>
      <c r="AJ2912">
        <f>IF($C2912="","",IF(COUNTIF($C$2:$C2912,$C2912)=1,1,0))</f>
        <v/>
      </c>
      <c r="AK2912">
        <f>IF($AJ2912=1,SUMPRODUCT(--($AN$2:$AN$4001&lt;$AN2912))+1,"")</f>
        <v/>
      </c>
      <c r="AL2912">
        <f>IF($C2912="","",IF(OR($Q2912=TRUE(),$Q2912="TRUE"),1,0))</f>
        <v/>
      </c>
      <c r="AM2912">
        <f>IF($C2912="","",IF($W2912="Yes",1,0))</f>
        <v/>
      </c>
      <c r="AN2912">
        <f>IF($AJ2912=1,IFERROR(IF(VALUE($C2912)&lt;100000000,VALUE($C2912),1000000000),IFERROR(IF(VALUE(MID($C2912,2,20))&lt;100000000,VALUE(MID($C2912,2,20)),1000000000),1000000000))+ROW()/100000,"")</f>
        <v/>
      </c>
    </row>
    <row r="2913">
      <c r="E2913" s="11" t="n"/>
      <c r="M2913" s="7">
        <f>IF($C2913="","",L2913*U2913/100)</f>
        <v/>
      </c>
      <c r="N2913" s="7" t="n"/>
      <c r="T2913" s="7" t="n"/>
      <c r="U2913" s="7">
        <f>IF($C2913="","",S2913*T2913)</f>
        <v/>
      </c>
      <c r="X2913">
        <f>IF($C2913="","",IF($AM2913=1,0,IF($AL2913=1,Settings!$C$6,Settings!$C$7))*100)</f>
        <v/>
      </c>
      <c r="AB2913" s="7" t="n"/>
      <c r="AE2913" s="11" t="n"/>
      <c r="AG2913" s="7">
        <f>IF($C2913="","",U2913*X2913/100)</f>
        <v/>
      </c>
      <c r="AH2913" s="7">
        <f>IF($C2913="","",U2913-AG2913)</f>
        <v/>
      </c>
      <c r="AI2913" s="7">
        <f>IF($C2913="","",AH2913-M2913)</f>
        <v/>
      </c>
      <c r="AJ2913">
        <f>IF($C2913="","",IF(COUNTIF($C$2:$C2913,$C2913)=1,1,0))</f>
        <v/>
      </c>
      <c r="AK2913">
        <f>IF($AJ2913=1,SUMPRODUCT(--($AN$2:$AN$4001&lt;$AN2913))+1,"")</f>
        <v/>
      </c>
      <c r="AL2913">
        <f>IF($C2913="","",IF(OR($Q2913=TRUE(),$Q2913="TRUE"),1,0))</f>
        <v/>
      </c>
      <c r="AM2913">
        <f>IF($C2913="","",IF($W2913="Yes",1,0))</f>
        <v/>
      </c>
      <c r="AN2913">
        <f>IF($AJ2913=1,IFERROR(IF(VALUE($C2913)&lt;100000000,VALUE($C2913),1000000000),IFERROR(IF(VALUE(MID($C2913,2,20))&lt;100000000,VALUE(MID($C2913,2,20)),1000000000),1000000000))+ROW()/100000,"")</f>
        <v/>
      </c>
    </row>
    <row r="2914">
      <c r="E2914" s="11" t="n"/>
      <c r="M2914" s="7">
        <f>IF($C2914="","",L2914*U2914/100)</f>
        <v/>
      </c>
      <c r="N2914" s="7" t="n"/>
      <c r="T2914" s="7" t="n"/>
      <c r="U2914" s="7">
        <f>IF($C2914="","",S2914*T2914)</f>
        <v/>
      </c>
      <c r="X2914">
        <f>IF($C2914="","",IF($AM2914=1,0,IF($AL2914=1,Settings!$C$6,Settings!$C$7))*100)</f>
        <v/>
      </c>
      <c r="AB2914" s="7" t="n"/>
      <c r="AE2914" s="11" t="n"/>
      <c r="AG2914" s="7">
        <f>IF($C2914="","",U2914*X2914/100)</f>
        <v/>
      </c>
      <c r="AH2914" s="7">
        <f>IF($C2914="","",U2914-AG2914)</f>
        <v/>
      </c>
      <c r="AI2914" s="7">
        <f>IF($C2914="","",AH2914-M2914)</f>
        <v/>
      </c>
      <c r="AJ2914">
        <f>IF($C2914="","",IF(COUNTIF($C$2:$C2914,$C2914)=1,1,0))</f>
        <v/>
      </c>
      <c r="AK2914">
        <f>IF($AJ2914=1,SUMPRODUCT(--($AN$2:$AN$4001&lt;$AN2914))+1,"")</f>
        <v/>
      </c>
      <c r="AL2914">
        <f>IF($C2914="","",IF(OR($Q2914=TRUE(),$Q2914="TRUE"),1,0))</f>
        <v/>
      </c>
      <c r="AM2914">
        <f>IF($C2914="","",IF($W2914="Yes",1,0))</f>
        <v/>
      </c>
      <c r="AN2914">
        <f>IF($AJ2914=1,IFERROR(IF(VALUE($C2914)&lt;100000000,VALUE($C2914),1000000000),IFERROR(IF(VALUE(MID($C2914,2,20))&lt;100000000,VALUE(MID($C2914,2,20)),1000000000),1000000000))+ROW()/100000,"")</f>
        <v/>
      </c>
    </row>
    <row r="2915">
      <c r="E2915" s="11" t="n"/>
      <c r="M2915" s="7">
        <f>IF($C2915="","",L2915*U2915/100)</f>
        <v/>
      </c>
      <c r="N2915" s="7" t="n"/>
      <c r="T2915" s="7" t="n"/>
      <c r="U2915" s="7">
        <f>IF($C2915="","",S2915*T2915)</f>
        <v/>
      </c>
      <c r="X2915">
        <f>IF($C2915="","",IF($AM2915=1,0,IF($AL2915=1,Settings!$C$6,Settings!$C$7))*100)</f>
        <v/>
      </c>
      <c r="AB2915" s="7" t="n"/>
      <c r="AE2915" s="11" t="n"/>
      <c r="AG2915" s="7">
        <f>IF($C2915="","",U2915*X2915/100)</f>
        <v/>
      </c>
      <c r="AH2915" s="7">
        <f>IF($C2915="","",U2915-AG2915)</f>
        <v/>
      </c>
      <c r="AI2915" s="7">
        <f>IF($C2915="","",AH2915-M2915)</f>
        <v/>
      </c>
      <c r="AJ2915">
        <f>IF($C2915="","",IF(COUNTIF($C$2:$C2915,$C2915)=1,1,0))</f>
        <v/>
      </c>
      <c r="AK2915">
        <f>IF($AJ2915=1,SUMPRODUCT(--($AN$2:$AN$4001&lt;$AN2915))+1,"")</f>
        <v/>
      </c>
      <c r="AL2915">
        <f>IF($C2915="","",IF(OR($Q2915=TRUE(),$Q2915="TRUE"),1,0))</f>
        <v/>
      </c>
      <c r="AM2915">
        <f>IF($C2915="","",IF($W2915="Yes",1,0))</f>
        <v/>
      </c>
      <c r="AN2915">
        <f>IF($AJ2915=1,IFERROR(IF(VALUE($C2915)&lt;100000000,VALUE($C2915),1000000000),IFERROR(IF(VALUE(MID($C2915,2,20))&lt;100000000,VALUE(MID($C2915,2,20)),1000000000),1000000000))+ROW()/100000,"")</f>
        <v/>
      </c>
    </row>
    <row r="2916">
      <c r="E2916" s="11" t="n"/>
      <c r="M2916" s="7">
        <f>IF($C2916="","",L2916*U2916/100)</f>
        <v/>
      </c>
      <c r="N2916" s="7" t="n"/>
      <c r="T2916" s="7" t="n"/>
      <c r="U2916" s="7">
        <f>IF($C2916="","",S2916*T2916)</f>
        <v/>
      </c>
      <c r="X2916">
        <f>IF($C2916="","",IF($AM2916=1,0,IF($AL2916=1,Settings!$C$6,Settings!$C$7))*100)</f>
        <v/>
      </c>
      <c r="AB2916" s="7" t="n"/>
      <c r="AE2916" s="11" t="n"/>
      <c r="AG2916" s="7">
        <f>IF($C2916="","",U2916*X2916/100)</f>
        <v/>
      </c>
      <c r="AH2916" s="7">
        <f>IF($C2916="","",U2916-AG2916)</f>
        <v/>
      </c>
      <c r="AI2916" s="7">
        <f>IF($C2916="","",AH2916-M2916)</f>
        <v/>
      </c>
      <c r="AJ2916">
        <f>IF($C2916="","",IF(COUNTIF($C$2:$C2916,$C2916)=1,1,0))</f>
        <v/>
      </c>
      <c r="AK2916">
        <f>IF($AJ2916=1,SUMPRODUCT(--($AN$2:$AN$4001&lt;$AN2916))+1,"")</f>
        <v/>
      </c>
      <c r="AL2916">
        <f>IF($C2916="","",IF(OR($Q2916=TRUE(),$Q2916="TRUE"),1,0))</f>
        <v/>
      </c>
      <c r="AM2916">
        <f>IF($C2916="","",IF($W2916="Yes",1,0))</f>
        <v/>
      </c>
      <c r="AN2916">
        <f>IF($AJ2916=1,IFERROR(IF(VALUE($C2916)&lt;100000000,VALUE($C2916),1000000000),IFERROR(IF(VALUE(MID($C2916,2,20))&lt;100000000,VALUE(MID($C2916,2,20)),1000000000),1000000000))+ROW()/100000,"")</f>
        <v/>
      </c>
    </row>
    <row r="2917">
      <c r="E2917" s="11" t="n"/>
      <c r="M2917" s="7">
        <f>IF($C2917="","",L2917*U2917/100)</f>
        <v/>
      </c>
      <c r="N2917" s="7" t="n"/>
      <c r="T2917" s="7" t="n"/>
      <c r="U2917" s="7">
        <f>IF($C2917="","",S2917*T2917)</f>
        <v/>
      </c>
      <c r="X2917">
        <f>IF($C2917="","",IF($AM2917=1,0,IF($AL2917=1,Settings!$C$6,Settings!$C$7))*100)</f>
        <v/>
      </c>
      <c r="AB2917" s="7" t="n"/>
      <c r="AE2917" s="11" t="n"/>
      <c r="AG2917" s="7">
        <f>IF($C2917="","",U2917*X2917/100)</f>
        <v/>
      </c>
      <c r="AH2917" s="7">
        <f>IF($C2917="","",U2917-AG2917)</f>
        <v/>
      </c>
      <c r="AI2917" s="7">
        <f>IF($C2917="","",AH2917-M2917)</f>
        <v/>
      </c>
      <c r="AJ2917">
        <f>IF($C2917="","",IF(COUNTIF($C$2:$C2917,$C2917)=1,1,0))</f>
        <v/>
      </c>
      <c r="AK2917">
        <f>IF($AJ2917=1,SUMPRODUCT(--($AN$2:$AN$4001&lt;$AN2917))+1,"")</f>
        <v/>
      </c>
      <c r="AL2917">
        <f>IF($C2917="","",IF(OR($Q2917=TRUE(),$Q2917="TRUE"),1,0))</f>
        <v/>
      </c>
      <c r="AM2917">
        <f>IF($C2917="","",IF($W2917="Yes",1,0))</f>
        <v/>
      </c>
      <c r="AN2917">
        <f>IF($AJ2917=1,IFERROR(IF(VALUE($C2917)&lt;100000000,VALUE($C2917),1000000000),IFERROR(IF(VALUE(MID($C2917,2,20))&lt;100000000,VALUE(MID($C2917,2,20)),1000000000),1000000000))+ROW()/100000,"")</f>
        <v/>
      </c>
    </row>
    <row r="2918">
      <c r="E2918" s="11" t="n"/>
      <c r="M2918" s="7">
        <f>IF($C2918="","",L2918*U2918/100)</f>
        <v/>
      </c>
      <c r="N2918" s="7" t="n"/>
      <c r="T2918" s="7" t="n"/>
      <c r="U2918" s="7">
        <f>IF($C2918="","",S2918*T2918)</f>
        <v/>
      </c>
      <c r="X2918">
        <f>IF($C2918="","",IF($AM2918=1,0,IF($AL2918=1,Settings!$C$6,Settings!$C$7))*100)</f>
        <v/>
      </c>
      <c r="AB2918" s="7" t="n"/>
      <c r="AE2918" s="11" t="n"/>
      <c r="AG2918" s="7">
        <f>IF($C2918="","",U2918*X2918/100)</f>
        <v/>
      </c>
      <c r="AH2918" s="7">
        <f>IF($C2918="","",U2918-AG2918)</f>
        <v/>
      </c>
      <c r="AI2918" s="7">
        <f>IF($C2918="","",AH2918-M2918)</f>
        <v/>
      </c>
      <c r="AJ2918">
        <f>IF($C2918="","",IF(COUNTIF($C$2:$C2918,$C2918)=1,1,0))</f>
        <v/>
      </c>
      <c r="AK2918">
        <f>IF($AJ2918=1,SUMPRODUCT(--($AN$2:$AN$4001&lt;$AN2918))+1,"")</f>
        <v/>
      </c>
      <c r="AL2918">
        <f>IF($C2918="","",IF(OR($Q2918=TRUE(),$Q2918="TRUE"),1,0))</f>
        <v/>
      </c>
      <c r="AM2918">
        <f>IF($C2918="","",IF($W2918="Yes",1,0))</f>
        <v/>
      </c>
      <c r="AN2918">
        <f>IF($AJ2918=1,IFERROR(IF(VALUE($C2918)&lt;100000000,VALUE($C2918),1000000000),IFERROR(IF(VALUE(MID($C2918,2,20))&lt;100000000,VALUE(MID($C2918,2,20)),1000000000),1000000000))+ROW()/100000,"")</f>
        <v/>
      </c>
    </row>
    <row r="2919">
      <c r="E2919" s="11" t="n"/>
      <c r="M2919" s="7">
        <f>IF($C2919="","",L2919*U2919/100)</f>
        <v/>
      </c>
      <c r="N2919" s="7" t="n"/>
      <c r="T2919" s="7" t="n"/>
      <c r="U2919" s="7">
        <f>IF($C2919="","",S2919*T2919)</f>
        <v/>
      </c>
      <c r="X2919">
        <f>IF($C2919="","",IF($AM2919=1,0,IF($AL2919=1,Settings!$C$6,Settings!$C$7))*100)</f>
        <v/>
      </c>
      <c r="AB2919" s="7" t="n"/>
      <c r="AE2919" s="11" t="n"/>
      <c r="AG2919" s="7">
        <f>IF($C2919="","",U2919*X2919/100)</f>
        <v/>
      </c>
      <c r="AH2919" s="7">
        <f>IF($C2919="","",U2919-AG2919)</f>
        <v/>
      </c>
      <c r="AI2919" s="7">
        <f>IF($C2919="","",AH2919-M2919)</f>
        <v/>
      </c>
      <c r="AJ2919">
        <f>IF($C2919="","",IF(COUNTIF($C$2:$C2919,$C2919)=1,1,0))</f>
        <v/>
      </c>
      <c r="AK2919">
        <f>IF($AJ2919=1,SUMPRODUCT(--($AN$2:$AN$4001&lt;$AN2919))+1,"")</f>
        <v/>
      </c>
      <c r="AL2919">
        <f>IF($C2919="","",IF(OR($Q2919=TRUE(),$Q2919="TRUE"),1,0))</f>
        <v/>
      </c>
      <c r="AM2919">
        <f>IF($C2919="","",IF($W2919="Yes",1,0))</f>
        <v/>
      </c>
      <c r="AN2919">
        <f>IF($AJ2919=1,IFERROR(IF(VALUE($C2919)&lt;100000000,VALUE($C2919),1000000000),IFERROR(IF(VALUE(MID($C2919,2,20))&lt;100000000,VALUE(MID($C2919,2,20)),1000000000),1000000000))+ROW()/100000,"")</f>
        <v/>
      </c>
    </row>
    <row r="2920">
      <c r="E2920" s="11" t="n"/>
      <c r="M2920" s="7">
        <f>IF($C2920="","",L2920*U2920/100)</f>
        <v/>
      </c>
      <c r="N2920" s="7" t="n"/>
      <c r="T2920" s="7" t="n"/>
      <c r="U2920" s="7">
        <f>IF($C2920="","",S2920*T2920)</f>
        <v/>
      </c>
      <c r="X2920">
        <f>IF($C2920="","",IF($AM2920=1,0,IF($AL2920=1,Settings!$C$6,Settings!$C$7))*100)</f>
        <v/>
      </c>
      <c r="AB2920" s="7" t="n"/>
      <c r="AE2920" s="11" t="n"/>
      <c r="AG2920" s="7">
        <f>IF($C2920="","",U2920*X2920/100)</f>
        <v/>
      </c>
      <c r="AH2920" s="7">
        <f>IF($C2920="","",U2920-AG2920)</f>
        <v/>
      </c>
      <c r="AI2920" s="7">
        <f>IF($C2920="","",AH2920-M2920)</f>
        <v/>
      </c>
      <c r="AJ2920">
        <f>IF($C2920="","",IF(COUNTIF($C$2:$C2920,$C2920)=1,1,0))</f>
        <v/>
      </c>
      <c r="AK2920">
        <f>IF($AJ2920=1,SUMPRODUCT(--($AN$2:$AN$4001&lt;$AN2920))+1,"")</f>
        <v/>
      </c>
      <c r="AL2920">
        <f>IF($C2920="","",IF(OR($Q2920=TRUE(),$Q2920="TRUE"),1,0))</f>
        <v/>
      </c>
      <c r="AM2920">
        <f>IF($C2920="","",IF($W2920="Yes",1,0))</f>
        <v/>
      </c>
      <c r="AN2920">
        <f>IF($AJ2920=1,IFERROR(IF(VALUE($C2920)&lt;100000000,VALUE($C2920),1000000000),IFERROR(IF(VALUE(MID($C2920,2,20))&lt;100000000,VALUE(MID($C2920,2,20)),1000000000),1000000000))+ROW()/100000,"")</f>
        <v/>
      </c>
    </row>
    <row r="2921">
      <c r="E2921" s="11" t="n"/>
      <c r="M2921" s="7">
        <f>IF($C2921="","",L2921*U2921/100)</f>
        <v/>
      </c>
      <c r="N2921" s="7" t="n"/>
      <c r="T2921" s="7" t="n"/>
      <c r="U2921" s="7">
        <f>IF($C2921="","",S2921*T2921)</f>
        <v/>
      </c>
      <c r="X2921">
        <f>IF($C2921="","",IF($AM2921=1,0,IF($AL2921=1,Settings!$C$6,Settings!$C$7))*100)</f>
        <v/>
      </c>
      <c r="AB2921" s="7" t="n"/>
      <c r="AE2921" s="11" t="n"/>
      <c r="AG2921" s="7">
        <f>IF($C2921="","",U2921*X2921/100)</f>
        <v/>
      </c>
      <c r="AH2921" s="7">
        <f>IF($C2921="","",U2921-AG2921)</f>
        <v/>
      </c>
      <c r="AI2921" s="7">
        <f>IF($C2921="","",AH2921-M2921)</f>
        <v/>
      </c>
      <c r="AJ2921">
        <f>IF($C2921="","",IF(COUNTIF($C$2:$C2921,$C2921)=1,1,0))</f>
        <v/>
      </c>
      <c r="AK2921">
        <f>IF($AJ2921=1,SUMPRODUCT(--($AN$2:$AN$4001&lt;$AN2921))+1,"")</f>
        <v/>
      </c>
      <c r="AL2921">
        <f>IF($C2921="","",IF(OR($Q2921=TRUE(),$Q2921="TRUE"),1,0))</f>
        <v/>
      </c>
      <c r="AM2921">
        <f>IF($C2921="","",IF($W2921="Yes",1,0))</f>
        <v/>
      </c>
      <c r="AN2921">
        <f>IF($AJ2921=1,IFERROR(IF(VALUE($C2921)&lt;100000000,VALUE($C2921),1000000000),IFERROR(IF(VALUE(MID($C2921,2,20))&lt;100000000,VALUE(MID($C2921,2,20)),1000000000),1000000000))+ROW()/100000,"")</f>
        <v/>
      </c>
    </row>
    <row r="2922">
      <c r="E2922" s="11" t="n"/>
      <c r="M2922" s="7">
        <f>IF($C2922="","",L2922*U2922/100)</f>
        <v/>
      </c>
      <c r="N2922" s="7" t="n"/>
      <c r="T2922" s="7" t="n"/>
      <c r="U2922" s="7">
        <f>IF($C2922="","",S2922*T2922)</f>
        <v/>
      </c>
      <c r="X2922">
        <f>IF($C2922="","",IF($AM2922=1,0,IF($AL2922=1,Settings!$C$6,Settings!$C$7))*100)</f>
        <v/>
      </c>
      <c r="AB2922" s="7" t="n"/>
      <c r="AE2922" s="11" t="n"/>
      <c r="AG2922" s="7">
        <f>IF($C2922="","",U2922*X2922/100)</f>
        <v/>
      </c>
      <c r="AH2922" s="7">
        <f>IF($C2922="","",U2922-AG2922)</f>
        <v/>
      </c>
      <c r="AI2922" s="7">
        <f>IF($C2922="","",AH2922-M2922)</f>
        <v/>
      </c>
      <c r="AJ2922">
        <f>IF($C2922="","",IF(COUNTIF($C$2:$C2922,$C2922)=1,1,0))</f>
        <v/>
      </c>
      <c r="AK2922">
        <f>IF($AJ2922=1,SUMPRODUCT(--($AN$2:$AN$4001&lt;$AN2922))+1,"")</f>
        <v/>
      </c>
      <c r="AL2922">
        <f>IF($C2922="","",IF(OR($Q2922=TRUE(),$Q2922="TRUE"),1,0))</f>
        <v/>
      </c>
      <c r="AM2922">
        <f>IF($C2922="","",IF($W2922="Yes",1,0))</f>
        <v/>
      </c>
      <c r="AN2922">
        <f>IF($AJ2922=1,IFERROR(IF(VALUE($C2922)&lt;100000000,VALUE($C2922),1000000000),IFERROR(IF(VALUE(MID($C2922,2,20))&lt;100000000,VALUE(MID($C2922,2,20)),1000000000),1000000000))+ROW()/100000,"")</f>
        <v/>
      </c>
    </row>
    <row r="2923">
      <c r="E2923" s="11" t="n"/>
      <c r="M2923" s="7">
        <f>IF($C2923="","",L2923*U2923/100)</f>
        <v/>
      </c>
      <c r="N2923" s="7" t="n"/>
      <c r="T2923" s="7" t="n"/>
      <c r="U2923" s="7">
        <f>IF($C2923="","",S2923*T2923)</f>
        <v/>
      </c>
      <c r="X2923">
        <f>IF($C2923="","",IF($AM2923=1,0,IF($AL2923=1,Settings!$C$6,Settings!$C$7))*100)</f>
        <v/>
      </c>
      <c r="AB2923" s="7" t="n"/>
      <c r="AE2923" s="11" t="n"/>
      <c r="AG2923" s="7">
        <f>IF($C2923="","",U2923*X2923/100)</f>
        <v/>
      </c>
      <c r="AH2923" s="7">
        <f>IF($C2923="","",U2923-AG2923)</f>
        <v/>
      </c>
      <c r="AI2923" s="7">
        <f>IF($C2923="","",AH2923-M2923)</f>
        <v/>
      </c>
      <c r="AJ2923">
        <f>IF($C2923="","",IF(COUNTIF($C$2:$C2923,$C2923)=1,1,0))</f>
        <v/>
      </c>
      <c r="AK2923">
        <f>IF($AJ2923=1,SUMPRODUCT(--($AN$2:$AN$4001&lt;$AN2923))+1,"")</f>
        <v/>
      </c>
      <c r="AL2923">
        <f>IF($C2923="","",IF(OR($Q2923=TRUE(),$Q2923="TRUE"),1,0))</f>
        <v/>
      </c>
      <c r="AM2923">
        <f>IF($C2923="","",IF($W2923="Yes",1,0))</f>
        <v/>
      </c>
      <c r="AN2923">
        <f>IF($AJ2923=1,IFERROR(IF(VALUE($C2923)&lt;100000000,VALUE($C2923),1000000000),IFERROR(IF(VALUE(MID($C2923,2,20))&lt;100000000,VALUE(MID($C2923,2,20)),1000000000),1000000000))+ROW()/100000,"")</f>
        <v/>
      </c>
    </row>
    <row r="2924">
      <c r="E2924" s="11" t="n"/>
      <c r="M2924" s="7">
        <f>IF($C2924="","",L2924*U2924/100)</f>
        <v/>
      </c>
      <c r="N2924" s="7" t="n"/>
      <c r="T2924" s="7" t="n"/>
      <c r="U2924" s="7">
        <f>IF($C2924="","",S2924*T2924)</f>
        <v/>
      </c>
      <c r="X2924">
        <f>IF($C2924="","",IF($AM2924=1,0,IF($AL2924=1,Settings!$C$6,Settings!$C$7))*100)</f>
        <v/>
      </c>
      <c r="AB2924" s="7" t="n"/>
      <c r="AE2924" s="11" t="n"/>
      <c r="AG2924" s="7">
        <f>IF($C2924="","",U2924*X2924/100)</f>
        <v/>
      </c>
      <c r="AH2924" s="7">
        <f>IF($C2924="","",U2924-AG2924)</f>
        <v/>
      </c>
      <c r="AI2924" s="7">
        <f>IF($C2924="","",AH2924-M2924)</f>
        <v/>
      </c>
      <c r="AJ2924">
        <f>IF($C2924="","",IF(COUNTIF($C$2:$C2924,$C2924)=1,1,0))</f>
        <v/>
      </c>
      <c r="AK2924">
        <f>IF($AJ2924=1,SUMPRODUCT(--($AN$2:$AN$4001&lt;$AN2924))+1,"")</f>
        <v/>
      </c>
      <c r="AL2924">
        <f>IF($C2924="","",IF(OR($Q2924=TRUE(),$Q2924="TRUE"),1,0))</f>
        <v/>
      </c>
      <c r="AM2924">
        <f>IF($C2924="","",IF($W2924="Yes",1,0))</f>
        <v/>
      </c>
      <c r="AN2924">
        <f>IF($AJ2924=1,IFERROR(IF(VALUE($C2924)&lt;100000000,VALUE($C2924),1000000000),IFERROR(IF(VALUE(MID($C2924,2,20))&lt;100000000,VALUE(MID($C2924,2,20)),1000000000),1000000000))+ROW()/100000,"")</f>
        <v/>
      </c>
    </row>
    <row r="2925">
      <c r="E2925" s="11" t="n"/>
      <c r="M2925" s="7">
        <f>IF($C2925="","",L2925*U2925/100)</f>
        <v/>
      </c>
      <c r="N2925" s="7" t="n"/>
      <c r="T2925" s="7" t="n"/>
      <c r="U2925" s="7">
        <f>IF($C2925="","",S2925*T2925)</f>
        <v/>
      </c>
      <c r="X2925">
        <f>IF($C2925="","",IF($AM2925=1,0,IF($AL2925=1,Settings!$C$6,Settings!$C$7))*100)</f>
        <v/>
      </c>
      <c r="AB2925" s="7" t="n"/>
      <c r="AE2925" s="11" t="n"/>
      <c r="AG2925" s="7">
        <f>IF($C2925="","",U2925*X2925/100)</f>
        <v/>
      </c>
      <c r="AH2925" s="7">
        <f>IF($C2925="","",U2925-AG2925)</f>
        <v/>
      </c>
      <c r="AI2925" s="7">
        <f>IF($C2925="","",AH2925-M2925)</f>
        <v/>
      </c>
      <c r="AJ2925">
        <f>IF($C2925="","",IF(COUNTIF($C$2:$C2925,$C2925)=1,1,0))</f>
        <v/>
      </c>
      <c r="AK2925">
        <f>IF($AJ2925=1,SUMPRODUCT(--($AN$2:$AN$4001&lt;$AN2925))+1,"")</f>
        <v/>
      </c>
      <c r="AL2925">
        <f>IF($C2925="","",IF(OR($Q2925=TRUE(),$Q2925="TRUE"),1,0))</f>
        <v/>
      </c>
      <c r="AM2925">
        <f>IF($C2925="","",IF($W2925="Yes",1,0))</f>
        <v/>
      </c>
      <c r="AN2925">
        <f>IF($AJ2925=1,IFERROR(IF(VALUE($C2925)&lt;100000000,VALUE($C2925),1000000000),IFERROR(IF(VALUE(MID($C2925,2,20))&lt;100000000,VALUE(MID($C2925,2,20)),1000000000),1000000000))+ROW()/100000,"")</f>
        <v/>
      </c>
    </row>
    <row r="2926">
      <c r="E2926" s="11" t="n"/>
      <c r="M2926" s="7">
        <f>IF($C2926="","",L2926*U2926/100)</f>
        <v/>
      </c>
      <c r="N2926" s="7" t="n"/>
      <c r="T2926" s="7" t="n"/>
      <c r="U2926" s="7">
        <f>IF($C2926="","",S2926*T2926)</f>
        <v/>
      </c>
      <c r="X2926">
        <f>IF($C2926="","",IF($AM2926=1,0,IF($AL2926=1,Settings!$C$6,Settings!$C$7))*100)</f>
        <v/>
      </c>
      <c r="AB2926" s="7" t="n"/>
      <c r="AE2926" s="11" t="n"/>
      <c r="AG2926" s="7">
        <f>IF($C2926="","",U2926*X2926/100)</f>
        <v/>
      </c>
      <c r="AH2926" s="7">
        <f>IF($C2926="","",U2926-AG2926)</f>
        <v/>
      </c>
      <c r="AI2926" s="7">
        <f>IF($C2926="","",AH2926-M2926)</f>
        <v/>
      </c>
      <c r="AJ2926">
        <f>IF($C2926="","",IF(COUNTIF($C$2:$C2926,$C2926)=1,1,0))</f>
        <v/>
      </c>
      <c r="AK2926">
        <f>IF($AJ2926=1,SUMPRODUCT(--($AN$2:$AN$4001&lt;$AN2926))+1,"")</f>
        <v/>
      </c>
      <c r="AL2926">
        <f>IF($C2926="","",IF(OR($Q2926=TRUE(),$Q2926="TRUE"),1,0))</f>
        <v/>
      </c>
      <c r="AM2926">
        <f>IF($C2926="","",IF($W2926="Yes",1,0))</f>
        <v/>
      </c>
      <c r="AN2926">
        <f>IF($AJ2926=1,IFERROR(IF(VALUE($C2926)&lt;100000000,VALUE($C2926),1000000000),IFERROR(IF(VALUE(MID($C2926,2,20))&lt;100000000,VALUE(MID($C2926,2,20)),1000000000),1000000000))+ROW()/100000,"")</f>
        <v/>
      </c>
    </row>
    <row r="2927">
      <c r="E2927" s="11" t="n"/>
      <c r="M2927" s="7">
        <f>IF($C2927="","",L2927*U2927/100)</f>
        <v/>
      </c>
      <c r="N2927" s="7" t="n"/>
      <c r="T2927" s="7" t="n"/>
      <c r="U2927" s="7">
        <f>IF($C2927="","",S2927*T2927)</f>
        <v/>
      </c>
      <c r="X2927">
        <f>IF($C2927="","",IF($AM2927=1,0,IF($AL2927=1,Settings!$C$6,Settings!$C$7))*100)</f>
        <v/>
      </c>
      <c r="AB2927" s="7" t="n"/>
      <c r="AE2927" s="11" t="n"/>
      <c r="AG2927" s="7">
        <f>IF($C2927="","",U2927*X2927/100)</f>
        <v/>
      </c>
      <c r="AH2927" s="7">
        <f>IF($C2927="","",U2927-AG2927)</f>
        <v/>
      </c>
      <c r="AI2927" s="7">
        <f>IF($C2927="","",AH2927-M2927)</f>
        <v/>
      </c>
      <c r="AJ2927">
        <f>IF($C2927="","",IF(COUNTIF($C$2:$C2927,$C2927)=1,1,0))</f>
        <v/>
      </c>
      <c r="AK2927">
        <f>IF($AJ2927=1,SUMPRODUCT(--($AN$2:$AN$4001&lt;$AN2927))+1,"")</f>
        <v/>
      </c>
      <c r="AL2927">
        <f>IF($C2927="","",IF(OR($Q2927=TRUE(),$Q2927="TRUE"),1,0))</f>
        <v/>
      </c>
      <c r="AM2927">
        <f>IF($C2927="","",IF($W2927="Yes",1,0))</f>
        <v/>
      </c>
      <c r="AN2927">
        <f>IF($AJ2927=1,IFERROR(IF(VALUE($C2927)&lt;100000000,VALUE($C2927),1000000000),IFERROR(IF(VALUE(MID($C2927,2,20))&lt;100000000,VALUE(MID($C2927,2,20)),1000000000),1000000000))+ROW()/100000,"")</f>
        <v/>
      </c>
    </row>
    <row r="2928">
      <c r="E2928" s="11" t="n"/>
      <c r="M2928" s="7">
        <f>IF($C2928="","",L2928*U2928/100)</f>
        <v/>
      </c>
      <c r="N2928" s="7" t="n"/>
      <c r="T2928" s="7" t="n"/>
      <c r="U2928" s="7">
        <f>IF($C2928="","",S2928*T2928)</f>
        <v/>
      </c>
      <c r="X2928">
        <f>IF($C2928="","",IF($AM2928=1,0,IF($AL2928=1,Settings!$C$6,Settings!$C$7))*100)</f>
        <v/>
      </c>
      <c r="AB2928" s="7" t="n"/>
      <c r="AE2928" s="11" t="n"/>
      <c r="AG2928" s="7">
        <f>IF($C2928="","",U2928*X2928/100)</f>
        <v/>
      </c>
      <c r="AH2928" s="7">
        <f>IF($C2928="","",U2928-AG2928)</f>
        <v/>
      </c>
      <c r="AI2928" s="7">
        <f>IF($C2928="","",AH2928-M2928)</f>
        <v/>
      </c>
      <c r="AJ2928">
        <f>IF($C2928="","",IF(COUNTIF($C$2:$C2928,$C2928)=1,1,0))</f>
        <v/>
      </c>
      <c r="AK2928">
        <f>IF($AJ2928=1,SUMPRODUCT(--($AN$2:$AN$4001&lt;$AN2928))+1,"")</f>
        <v/>
      </c>
      <c r="AL2928">
        <f>IF($C2928="","",IF(OR($Q2928=TRUE(),$Q2928="TRUE"),1,0))</f>
        <v/>
      </c>
      <c r="AM2928">
        <f>IF($C2928="","",IF($W2928="Yes",1,0))</f>
        <v/>
      </c>
      <c r="AN2928">
        <f>IF($AJ2928=1,IFERROR(IF(VALUE($C2928)&lt;100000000,VALUE($C2928),1000000000),IFERROR(IF(VALUE(MID($C2928,2,20))&lt;100000000,VALUE(MID($C2928,2,20)),1000000000),1000000000))+ROW()/100000,"")</f>
        <v/>
      </c>
    </row>
    <row r="2929">
      <c r="E2929" s="11" t="n"/>
      <c r="M2929" s="7">
        <f>IF($C2929="","",L2929*U2929/100)</f>
        <v/>
      </c>
      <c r="N2929" s="7" t="n"/>
      <c r="T2929" s="7" t="n"/>
      <c r="U2929" s="7">
        <f>IF($C2929="","",S2929*T2929)</f>
        <v/>
      </c>
      <c r="X2929">
        <f>IF($C2929="","",IF($AM2929=1,0,IF($AL2929=1,Settings!$C$6,Settings!$C$7))*100)</f>
        <v/>
      </c>
      <c r="AB2929" s="7" t="n"/>
      <c r="AE2929" s="11" t="n"/>
      <c r="AG2929" s="7">
        <f>IF($C2929="","",U2929*X2929/100)</f>
        <v/>
      </c>
      <c r="AH2929" s="7">
        <f>IF($C2929="","",U2929-AG2929)</f>
        <v/>
      </c>
      <c r="AI2929" s="7">
        <f>IF($C2929="","",AH2929-M2929)</f>
        <v/>
      </c>
      <c r="AJ2929">
        <f>IF($C2929="","",IF(COUNTIF($C$2:$C2929,$C2929)=1,1,0))</f>
        <v/>
      </c>
      <c r="AK2929">
        <f>IF($AJ2929=1,SUMPRODUCT(--($AN$2:$AN$4001&lt;$AN2929))+1,"")</f>
        <v/>
      </c>
      <c r="AL2929">
        <f>IF($C2929="","",IF(OR($Q2929=TRUE(),$Q2929="TRUE"),1,0))</f>
        <v/>
      </c>
      <c r="AM2929">
        <f>IF($C2929="","",IF($W2929="Yes",1,0))</f>
        <v/>
      </c>
      <c r="AN2929">
        <f>IF($AJ2929=1,IFERROR(IF(VALUE($C2929)&lt;100000000,VALUE($C2929),1000000000),IFERROR(IF(VALUE(MID($C2929,2,20))&lt;100000000,VALUE(MID($C2929,2,20)),1000000000),1000000000))+ROW()/100000,"")</f>
        <v/>
      </c>
    </row>
    <row r="2930">
      <c r="E2930" s="11" t="n"/>
      <c r="M2930" s="7">
        <f>IF($C2930="","",L2930*U2930/100)</f>
        <v/>
      </c>
      <c r="N2930" s="7" t="n"/>
      <c r="T2930" s="7" t="n"/>
      <c r="U2930" s="7">
        <f>IF($C2930="","",S2930*T2930)</f>
        <v/>
      </c>
      <c r="X2930">
        <f>IF($C2930="","",IF($AM2930=1,0,IF($AL2930=1,Settings!$C$6,Settings!$C$7))*100)</f>
        <v/>
      </c>
      <c r="AB2930" s="7" t="n"/>
      <c r="AE2930" s="11" t="n"/>
      <c r="AG2930" s="7">
        <f>IF($C2930="","",U2930*X2930/100)</f>
        <v/>
      </c>
      <c r="AH2930" s="7">
        <f>IF($C2930="","",U2930-AG2930)</f>
        <v/>
      </c>
      <c r="AI2930" s="7">
        <f>IF($C2930="","",AH2930-M2930)</f>
        <v/>
      </c>
      <c r="AJ2930">
        <f>IF($C2930="","",IF(COUNTIF($C$2:$C2930,$C2930)=1,1,0))</f>
        <v/>
      </c>
      <c r="AK2930">
        <f>IF($AJ2930=1,SUMPRODUCT(--($AN$2:$AN$4001&lt;$AN2930))+1,"")</f>
        <v/>
      </c>
      <c r="AL2930">
        <f>IF($C2930="","",IF(OR($Q2930=TRUE(),$Q2930="TRUE"),1,0))</f>
        <v/>
      </c>
      <c r="AM2930">
        <f>IF($C2930="","",IF($W2930="Yes",1,0))</f>
        <v/>
      </c>
      <c r="AN2930">
        <f>IF($AJ2930=1,IFERROR(IF(VALUE($C2930)&lt;100000000,VALUE($C2930),1000000000),IFERROR(IF(VALUE(MID($C2930,2,20))&lt;100000000,VALUE(MID($C2930,2,20)),1000000000),1000000000))+ROW()/100000,"")</f>
        <v/>
      </c>
    </row>
    <row r="2931">
      <c r="E2931" s="11" t="n"/>
      <c r="M2931" s="7">
        <f>IF($C2931="","",L2931*U2931/100)</f>
        <v/>
      </c>
      <c r="N2931" s="7" t="n"/>
      <c r="T2931" s="7" t="n"/>
      <c r="U2931" s="7">
        <f>IF($C2931="","",S2931*T2931)</f>
        <v/>
      </c>
      <c r="X2931">
        <f>IF($C2931="","",IF($AM2931=1,0,IF($AL2931=1,Settings!$C$6,Settings!$C$7))*100)</f>
        <v/>
      </c>
      <c r="AB2931" s="7" t="n"/>
      <c r="AE2931" s="11" t="n"/>
      <c r="AG2931" s="7">
        <f>IF($C2931="","",U2931*X2931/100)</f>
        <v/>
      </c>
      <c r="AH2931" s="7">
        <f>IF($C2931="","",U2931-AG2931)</f>
        <v/>
      </c>
      <c r="AI2931" s="7">
        <f>IF($C2931="","",AH2931-M2931)</f>
        <v/>
      </c>
      <c r="AJ2931">
        <f>IF($C2931="","",IF(COUNTIF($C$2:$C2931,$C2931)=1,1,0))</f>
        <v/>
      </c>
      <c r="AK2931">
        <f>IF($AJ2931=1,SUMPRODUCT(--($AN$2:$AN$4001&lt;$AN2931))+1,"")</f>
        <v/>
      </c>
      <c r="AL2931">
        <f>IF($C2931="","",IF(OR($Q2931=TRUE(),$Q2931="TRUE"),1,0))</f>
        <v/>
      </c>
      <c r="AM2931">
        <f>IF($C2931="","",IF($W2931="Yes",1,0))</f>
        <v/>
      </c>
      <c r="AN2931">
        <f>IF($AJ2931=1,IFERROR(IF(VALUE($C2931)&lt;100000000,VALUE($C2931),1000000000),IFERROR(IF(VALUE(MID($C2931,2,20))&lt;100000000,VALUE(MID($C2931,2,20)),1000000000),1000000000))+ROW()/100000,"")</f>
        <v/>
      </c>
    </row>
    <row r="2932">
      <c r="E2932" s="11" t="n"/>
      <c r="M2932" s="7">
        <f>IF($C2932="","",L2932*U2932/100)</f>
        <v/>
      </c>
      <c r="N2932" s="7" t="n"/>
      <c r="T2932" s="7" t="n"/>
      <c r="U2932" s="7">
        <f>IF($C2932="","",S2932*T2932)</f>
        <v/>
      </c>
      <c r="X2932">
        <f>IF($C2932="","",IF($AM2932=1,0,IF($AL2932=1,Settings!$C$6,Settings!$C$7))*100)</f>
        <v/>
      </c>
      <c r="AB2932" s="7" t="n"/>
      <c r="AE2932" s="11" t="n"/>
      <c r="AG2932" s="7">
        <f>IF($C2932="","",U2932*X2932/100)</f>
        <v/>
      </c>
      <c r="AH2932" s="7">
        <f>IF($C2932="","",U2932-AG2932)</f>
        <v/>
      </c>
      <c r="AI2932" s="7">
        <f>IF($C2932="","",AH2932-M2932)</f>
        <v/>
      </c>
      <c r="AJ2932">
        <f>IF($C2932="","",IF(COUNTIF($C$2:$C2932,$C2932)=1,1,0))</f>
        <v/>
      </c>
      <c r="AK2932">
        <f>IF($AJ2932=1,SUMPRODUCT(--($AN$2:$AN$4001&lt;$AN2932))+1,"")</f>
        <v/>
      </c>
      <c r="AL2932">
        <f>IF($C2932="","",IF(OR($Q2932=TRUE(),$Q2932="TRUE"),1,0))</f>
        <v/>
      </c>
      <c r="AM2932">
        <f>IF($C2932="","",IF($W2932="Yes",1,0))</f>
        <v/>
      </c>
      <c r="AN2932">
        <f>IF($AJ2932=1,IFERROR(IF(VALUE($C2932)&lt;100000000,VALUE($C2932),1000000000),IFERROR(IF(VALUE(MID($C2932,2,20))&lt;100000000,VALUE(MID($C2932,2,20)),1000000000),1000000000))+ROW()/100000,"")</f>
        <v/>
      </c>
    </row>
    <row r="2933">
      <c r="E2933" s="11" t="n"/>
      <c r="M2933" s="7">
        <f>IF($C2933="","",L2933*U2933/100)</f>
        <v/>
      </c>
      <c r="N2933" s="7" t="n"/>
      <c r="T2933" s="7" t="n"/>
      <c r="U2933" s="7">
        <f>IF($C2933="","",S2933*T2933)</f>
        <v/>
      </c>
      <c r="X2933">
        <f>IF($C2933="","",IF($AM2933=1,0,IF($AL2933=1,Settings!$C$6,Settings!$C$7))*100)</f>
        <v/>
      </c>
      <c r="AB2933" s="7" t="n"/>
      <c r="AE2933" s="11" t="n"/>
      <c r="AG2933" s="7">
        <f>IF($C2933="","",U2933*X2933/100)</f>
        <v/>
      </c>
      <c r="AH2933" s="7">
        <f>IF($C2933="","",U2933-AG2933)</f>
        <v/>
      </c>
      <c r="AI2933" s="7">
        <f>IF($C2933="","",AH2933-M2933)</f>
        <v/>
      </c>
      <c r="AJ2933">
        <f>IF($C2933="","",IF(COUNTIF($C$2:$C2933,$C2933)=1,1,0))</f>
        <v/>
      </c>
      <c r="AK2933">
        <f>IF($AJ2933=1,SUMPRODUCT(--($AN$2:$AN$4001&lt;$AN2933))+1,"")</f>
        <v/>
      </c>
      <c r="AL2933">
        <f>IF($C2933="","",IF(OR($Q2933=TRUE(),$Q2933="TRUE"),1,0))</f>
        <v/>
      </c>
      <c r="AM2933">
        <f>IF($C2933="","",IF($W2933="Yes",1,0))</f>
        <v/>
      </c>
      <c r="AN2933">
        <f>IF($AJ2933=1,IFERROR(IF(VALUE($C2933)&lt;100000000,VALUE($C2933),1000000000),IFERROR(IF(VALUE(MID($C2933,2,20))&lt;100000000,VALUE(MID($C2933,2,20)),1000000000),1000000000))+ROW()/100000,"")</f>
        <v/>
      </c>
    </row>
    <row r="2934">
      <c r="E2934" s="11" t="n"/>
      <c r="M2934" s="7">
        <f>IF($C2934="","",L2934*U2934/100)</f>
        <v/>
      </c>
      <c r="N2934" s="7" t="n"/>
      <c r="T2934" s="7" t="n"/>
      <c r="U2934" s="7">
        <f>IF($C2934="","",S2934*T2934)</f>
        <v/>
      </c>
      <c r="X2934">
        <f>IF($C2934="","",IF($AM2934=1,0,IF($AL2934=1,Settings!$C$6,Settings!$C$7))*100)</f>
        <v/>
      </c>
      <c r="AB2934" s="7" t="n"/>
      <c r="AE2934" s="11" t="n"/>
      <c r="AG2934" s="7">
        <f>IF($C2934="","",U2934*X2934/100)</f>
        <v/>
      </c>
      <c r="AH2934" s="7">
        <f>IF($C2934="","",U2934-AG2934)</f>
        <v/>
      </c>
      <c r="AI2934" s="7">
        <f>IF($C2934="","",AH2934-M2934)</f>
        <v/>
      </c>
      <c r="AJ2934">
        <f>IF($C2934="","",IF(COUNTIF($C$2:$C2934,$C2934)=1,1,0))</f>
        <v/>
      </c>
      <c r="AK2934">
        <f>IF($AJ2934=1,SUMPRODUCT(--($AN$2:$AN$4001&lt;$AN2934))+1,"")</f>
        <v/>
      </c>
      <c r="AL2934">
        <f>IF($C2934="","",IF(OR($Q2934=TRUE(),$Q2934="TRUE"),1,0))</f>
        <v/>
      </c>
      <c r="AM2934">
        <f>IF($C2934="","",IF($W2934="Yes",1,0))</f>
        <v/>
      </c>
      <c r="AN2934">
        <f>IF($AJ2934=1,IFERROR(IF(VALUE($C2934)&lt;100000000,VALUE($C2934),1000000000),IFERROR(IF(VALUE(MID($C2934,2,20))&lt;100000000,VALUE(MID($C2934,2,20)),1000000000),1000000000))+ROW()/100000,"")</f>
        <v/>
      </c>
    </row>
    <row r="2935">
      <c r="E2935" s="11" t="n"/>
      <c r="M2935" s="7">
        <f>IF($C2935="","",L2935*U2935/100)</f>
        <v/>
      </c>
      <c r="N2935" s="7" t="n"/>
      <c r="T2935" s="7" t="n"/>
      <c r="U2935" s="7">
        <f>IF($C2935="","",S2935*T2935)</f>
        <v/>
      </c>
      <c r="X2935">
        <f>IF($C2935="","",IF($AM2935=1,0,IF($AL2935=1,Settings!$C$6,Settings!$C$7))*100)</f>
        <v/>
      </c>
      <c r="AB2935" s="7" t="n"/>
      <c r="AE2935" s="11" t="n"/>
      <c r="AG2935" s="7">
        <f>IF($C2935="","",U2935*X2935/100)</f>
        <v/>
      </c>
      <c r="AH2935" s="7">
        <f>IF($C2935="","",U2935-AG2935)</f>
        <v/>
      </c>
      <c r="AI2935" s="7">
        <f>IF($C2935="","",AH2935-M2935)</f>
        <v/>
      </c>
      <c r="AJ2935">
        <f>IF($C2935="","",IF(COUNTIF($C$2:$C2935,$C2935)=1,1,0))</f>
        <v/>
      </c>
      <c r="AK2935">
        <f>IF($AJ2935=1,SUMPRODUCT(--($AN$2:$AN$4001&lt;$AN2935))+1,"")</f>
        <v/>
      </c>
      <c r="AL2935">
        <f>IF($C2935="","",IF(OR($Q2935=TRUE(),$Q2935="TRUE"),1,0))</f>
        <v/>
      </c>
      <c r="AM2935">
        <f>IF($C2935="","",IF($W2935="Yes",1,0))</f>
        <v/>
      </c>
      <c r="AN2935">
        <f>IF($AJ2935=1,IFERROR(IF(VALUE($C2935)&lt;100000000,VALUE($C2935),1000000000),IFERROR(IF(VALUE(MID($C2935,2,20))&lt;100000000,VALUE(MID($C2935,2,20)),1000000000),1000000000))+ROW()/100000,"")</f>
        <v/>
      </c>
    </row>
    <row r="2936">
      <c r="E2936" s="11" t="n"/>
      <c r="M2936" s="7">
        <f>IF($C2936="","",L2936*U2936/100)</f>
        <v/>
      </c>
      <c r="N2936" s="7" t="n"/>
      <c r="T2936" s="7" t="n"/>
      <c r="U2936" s="7">
        <f>IF($C2936="","",S2936*T2936)</f>
        <v/>
      </c>
      <c r="X2936">
        <f>IF($C2936="","",IF($AM2936=1,0,IF($AL2936=1,Settings!$C$6,Settings!$C$7))*100)</f>
        <v/>
      </c>
      <c r="AB2936" s="7" t="n"/>
      <c r="AE2936" s="11" t="n"/>
      <c r="AG2936" s="7">
        <f>IF($C2936="","",U2936*X2936/100)</f>
        <v/>
      </c>
      <c r="AH2936" s="7">
        <f>IF($C2936="","",U2936-AG2936)</f>
        <v/>
      </c>
      <c r="AI2936" s="7">
        <f>IF($C2936="","",AH2936-M2936)</f>
        <v/>
      </c>
      <c r="AJ2936">
        <f>IF($C2936="","",IF(COUNTIF($C$2:$C2936,$C2936)=1,1,0))</f>
        <v/>
      </c>
      <c r="AK2936">
        <f>IF($AJ2936=1,SUMPRODUCT(--($AN$2:$AN$4001&lt;$AN2936))+1,"")</f>
        <v/>
      </c>
      <c r="AL2936">
        <f>IF($C2936="","",IF(OR($Q2936=TRUE(),$Q2936="TRUE"),1,0))</f>
        <v/>
      </c>
      <c r="AM2936">
        <f>IF($C2936="","",IF($W2936="Yes",1,0))</f>
        <v/>
      </c>
      <c r="AN2936">
        <f>IF($AJ2936=1,IFERROR(IF(VALUE($C2936)&lt;100000000,VALUE($C2936),1000000000),IFERROR(IF(VALUE(MID($C2936,2,20))&lt;100000000,VALUE(MID($C2936,2,20)),1000000000),1000000000))+ROW()/100000,"")</f>
        <v/>
      </c>
    </row>
    <row r="2937">
      <c r="E2937" s="11" t="n"/>
      <c r="M2937" s="7">
        <f>IF($C2937="","",L2937*U2937/100)</f>
        <v/>
      </c>
      <c r="N2937" s="7" t="n"/>
      <c r="T2937" s="7" t="n"/>
      <c r="U2937" s="7">
        <f>IF($C2937="","",S2937*T2937)</f>
        <v/>
      </c>
      <c r="X2937">
        <f>IF($C2937="","",IF($AM2937=1,0,IF($AL2937=1,Settings!$C$6,Settings!$C$7))*100)</f>
        <v/>
      </c>
      <c r="AB2937" s="7" t="n"/>
      <c r="AE2937" s="11" t="n"/>
      <c r="AG2937" s="7">
        <f>IF($C2937="","",U2937*X2937/100)</f>
        <v/>
      </c>
      <c r="AH2937" s="7">
        <f>IF($C2937="","",U2937-AG2937)</f>
        <v/>
      </c>
      <c r="AI2937" s="7">
        <f>IF($C2937="","",AH2937-M2937)</f>
        <v/>
      </c>
      <c r="AJ2937">
        <f>IF($C2937="","",IF(COUNTIF($C$2:$C2937,$C2937)=1,1,0))</f>
        <v/>
      </c>
      <c r="AK2937">
        <f>IF($AJ2937=1,SUMPRODUCT(--($AN$2:$AN$4001&lt;$AN2937))+1,"")</f>
        <v/>
      </c>
      <c r="AL2937">
        <f>IF($C2937="","",IF(OR($Q2937=TRUE(),$Q2937="TRUE"),1,0))</f>
        <v/>
      </c>
      <c r="AM2937">
        <f>IF($C2937="","",IF($W2937="Yes",1,0))</f>
        <v/>
      </c>
      <c r="AN2937">
        <f>IF($AJ2937=1,IFERROR(IF(VALUE($C2937)&lt;100000000,VALUE($C2937),1000000000),IFERROR(IF(VALUE(MID($C2937,2,20))&lt;100000000,VALUE(MID($C2937,2,20)),1000000000),1000000000))+ROW()/100000,"")</f>
        <v/>
      </c>
    </row>
    <row r="2938">
      <c r="E2938" s="11" t="n"/>
      <c r="M2938" s="7">
        <f>IF($C2938="","",L2938*U2938/100)</f>
        <v/>
      </c>
      <c r="N2938" s="7" t="n"/>
      <c r="T2938" s="7" t="n"/>
      <c r="U2938" s="7">
        <f>IF($C2938="","",S2938*T2938)</f>
        <v/>
      </c>
      <c r="X2938">
        <f>IF($C2938="","",IF($AM2938=1,0,IF($AL2938=1,Settings!$C$6,Settings!$C$7))*100)</f>
        <v/>
      </c>
      <c r="AB2938" s="7" t="n"/>
      <c r="AE2938" s="11" t="n"/>
      <c r="AG2938" s="7">
        <f>IF($C2938="","",U2938*X2938/100)</f>
        <v/>
      </c>
      <c r="AH2938" s="7">
        <f>IF($C2938="","",U2938-AG2938)</f>
        <v/>
      </c>
      <c r="AI2938" s="7">
        <f>IF($C2938="","",AH2938-M2938)</f>
        <v/>
      </c>
      <c r="AJ2938">
        <f>IF($C2938="","",IF(COUNTIF($C$2:$C2938,$C2938)=1,1,0))</f>
        <v/>
      </c>
      <c r="AK2938">
        <f>IF($AJ2938=1,SUMPRODUCT(--($AN$2:$AN$4001&lt;$AN2938))+1,"")</f>
        <v/>
      </c>
      <c r="AL2938">
        <f>IF($C2938="","",IF(OR($Q2938=TRUE(),$Q2938="TRUE"),1,0))</f>
        <v/>
      </c>
      <c r="AM2938">
        <f>IF($C2938="","",IF($W2938="Yes",1,0))</f>
        <v/>
      </c>
      <c r="AN2938">
        <f>IF($AJ2938=1,IFERROR(IF(VALUE($C2938)&lt;100000000,VALUE($C2938),1000000000),IFERROR(IF(VALUE(MID($C2938,2,20))&lt;100000000,VALUE(MID($C2938,2,20)),1000000000),1000000000))+ROW()/100000,"")</f>
        <v/>
      </c>
    </row>
    <row r="2939">
      <c r="E2939" s="11" t="n"/>
      <c r="M2939" s="7">
        <f>IF($C2939="","",L2939*U2939/100)</f>
        <v/>
      </c>
      <c r="N2939" s="7" t="n"/>
      <c r="T2939" s="7" t="n"/>
      <c r="U2939" s="7">
        <f>IF($C2939="","",S2939*T2939)</f>
        <v/>
      </c>
      <c r="X2939">
        <f>IF($C2939="","",IF($AM2939=1,0,IF($AL2939=1,Settings!$C$6,Settings!$C$7))*100)</f>
        <v/>
      </c>
      <c r="AB2939" s="7" t="n"/>
      <c r="AE2939" s="11" t="n"/>
      <c r="AG2939" s="7">
        <f>IF($C2939="","",U2939*X2939/100)</f>
        <v/>
      </c>
      <c r="AH2939" s="7">
        <f>IF($C2939="","",U2939-AG2939)</f>
        <v/>
      </c>
      <c r="AI2939" s="7">
        <f>IF($C2939="","",AH2939-M2939)</f>
        <v/>
      </c>
      <c r="AJ2939">
        <f>IF($C2939="","",IF(COUNTIF($C$2:$C2939,$C2939)=1,1,0))</f>
        <v/>
      </c>
      <c r="AK2939">
        <f>IF($AJ2939=1,SUMPRODUCT(--($AN$2:$AN$4001&lt;$AN2939))+1,"")</f>
        <v/>
      </c>
      <c r="AL2939">
        <f>IF($C2939="","",IF(OR($Q2939=TRUE(),$Q2939="TRUE"),1,0))</f>
        <v/>
      </c>
      <c r="AM2939">
        <f>IF($C2939="","",IF($W2939="Yes",1,0))</f>
        <v/>
      </c>
      <c r="AN2939">
        <f>IF($AJ2939=1,IFERROR(IF(VALUE($C2939)&lt;100000000,VALUE($C2939),1000000000),IFERROR(IF(VALUE(MID($C2939,2,20))&lt;100000000,VALUE(MID($C2939,2,20)),1000000000),1000000000))+ROW()/100000,"")</f>
        <v/>
      </c>
    </row>
    <row r="2940">
      <c r="E2940" s="11" t="n"/>
      <c r="M2940" s="7">
        <f>IF($C2940="","",L2940*U2940/100)</f>
        <v/>
      </c>
      <c r="N2940" s="7" t="n"/>
      <c r="T2940" s="7" t="n"/>
      <c r="U2940" s="7">
        <f>IF($C2940="","",S2940*T2940)</f>
        <v/>
      </c>
      <c r="X2940">
        <f>IF($C2940="","",IF($AM2940=1,0,IF($AL2940=1,Settings!$C$6,Settings!$C$7))*100)</f>
        <v/>
      </c>
      <c r="AB2940" s="7" t="n"/>
      <c r="AE2940" s="11" t="n"/>
      <c r="AG2940" s="7">
        <f>IF($C2940="","",U2940*X2940/100)</f>
        <v/>
      </c>
      <c r="AH2940" s="7">
        <f>IF($C2940="","",U2940-AG2940)</f>
        <v/>
      </c>
      <c r="AI2940" s="7">
        <f>IF($C2940="","",AH2940-M2940)</f>
        <v/>
      </c>
      <c r="AJ2940">
        <f>IF($C2940="","",IF(COUNTIF($C$2:$C2940,$C2940)=1,1,0))</f>
        <v/>
      </c>
      <c r="AK2940">
        <f>IF($AJ2940=1,SUMPRODUCT(--($AN$2:$AN$4001&lt;$AN2940))+1,"")</f>
        <v/>
      </c>
      <c r="AL2940">
        <f>IF($C2940="","",IF(OR($Q2940=TRUE(),$Q2940="TRUE"),1,0))</f>
        <v/>
      </c>
      <c r="AM2940">
        <f>IF($C2940="","",IF($W2940="Yes",1,0))</f>
        <v/>
      </c>
      <c r="AN2940">
        <f>IF($AJ2940=1,IFERROR(IF(VALUE($C2940)&lt;100000000,VALUE($C2940),1000000000),IFERROR(IF(VALUE(MID($C2940,2,20))&lt;100000000,VALUE(MID($C2940,2,20)),1000000000),1000000000))+ROW()/100000,"")</f>
        <v/>
      </c>
    </row>
    <row r="2941">
      <c r="E2941" s="11" t="n"/>
      <c r="M2941" s="7">
        <f>IF($C2941="","",L2941*U2941/100)</f>
        <v/>
      </c>
      <c r="N2941" s="7" t="n"/>
      <c r="T2941" s="7" t="n"/>
      <c r="U2941" s="7">
        <f>IF($C2941="","",S2941*T2941)</f>
        <v/>
      </c>
      <c r="X2941">
        <f>IF($C2941="","",IF($AM2941=1,0,IF($AL2941=1,Settings!$C$6,Settings!$C$7))*100)</f>
        <v/>
      </c>
      <c r="AB2941" s="7" t="n"/>
      <c r="AE2941" s="11" t="n"/>
      <c r="AG2941" s="7">
        <f>IF($C2941="","",U2941*X2941/100)</f>
        <v/>
      </c>
      <c r="AH2941" s="7">
        <f>IF($C2941="","",U2941-AG2941)</f>
        <v/>
      </c>
      <c r="AI2941" s="7">
        <f>IF($C2941="","",AH2941-M2941)</f>
        <v/>
      </c>
      <c r="AJ2941">
        <f>IF($C2941="","",IF(COUNTIF($C$2:$C2941,$C2941)=1,1,0))</f>
        <v/>
      </c>
      <c r="AK2941">
        <f>IF($AJ2941=1,SUMPRODUCT(--($AN$2:$AN$4001&lt;$AN2941))+1,"")</f>
        <v/>
      </c>
      <c r="AL2941">
        <f>IF($C2941="","",IF(OR($Q2941=TRUE(),$Q2941="TRUE"),1,0))</f>
        <v/>
      </c>
      <c r="AM2941">
        <f>IF($C2941="","",IF($W2941="Yes",1,0))</f>
        <v/>
      </c>
      <c r="AN2941">
        <f>IF($AJ2941=1,IFERROR(IF(VALUE($C2941)&lt;100000000,VALUE($C2941),1000000000),IFERROR(IF(VALUE(MID($C2941,2,20))&lt;100000000,VALUE(MID($C2941,2,20)),1000000000),1000000000))+ROW()/100000,"")</f>
        <v/>
      </c>
    </row>
    <row r="2942">
      <c r="E2942" s="11" t="n"/>
      <c r="M2942" s="7">
        <f>IF($C2942="","",L2942*U2942/100)</f>
        <v/>
      </c>
      <c r="N2942" s="7" t="n"/>
      <c r="T2942" s="7" t="n"/>
      <c r="U2942" s="7">
        <f>IF($C2942="","",S2942*T2942)</f>
        <v/>
      </c>
      <c r="X2942">
        <f>IF($C2942="","",IF($AM2942=1,0,IF($AL2942=1,Settings!$C$6,Settings!$C$7))*100)</f>
        <v/>
      </c>
      <c r="AB2942" s="7" t="n"/>
      <c r="AE2942" s="11" t="n"/>
      <c r="AG2942" s="7">
        <f>IF($C2942="","",U2942*X2942/100)</f>
        <v/>
      </c>
      <c r="AH2942" s="7">
        <f>IF($C2942="","",U2942-AG2942)</f>
        <v/>
      </c>
      <c r="AI2942" s="7">
        <f>IF($C2942="","",AH2942-M2942)</f>
        <v/>
      </c>
      <c r="AJ2942">
        <f>IF($C2942="","",IF(COUNTIF($C$2:$C2942,$C2942)=1,1,0))</f>
        <v/>
      </c>
      <c r="AK2942">
        <f>IF($AJ2942=1,SUMPRODUCT(--($AN$2:$AN$4001&lt;$AN2942))+1,"")</f>
        <v/>
      </c>
      <c r="AL2942">
        <f>IF($C2942="","",IF(OR($Q2942=TRUE(),$Q2942="TRUE"),1,0))</f>
        <v/>
      </c>
      <c r="AM2942">
        <f>IF($C2942="","",IF($W2942="Yes",1,0))</f>
        <v/>
      </c>
      <c r="AN2942">
        <f>IF($AJ2942=1,IFERROR(IF(VALUE($C2942)&lt;100000000,VALUE($C2942),1000000000),IFERROR(IF(VALUE(MID($C2942,2,20))&lt;100000000,VALUE(MID($C2942,2,20)),1000000000),1000000000))+ROW()/100000,"")</f>
        <v/>
      </c>
    </row>
    <row r="2943">
      <c r="E2943" s="11" t="n"/>
      <c r="M2943" s="7">
        <f>IF($C2943="","",L2943*U2943/100)</f>
        <v/>
      </c>
      <c r="N2943" s="7" t="n"/>
      <c r="T2943" s="7" t="n"/>
      <c r="U2943" s="7">
        <f>IF($C2943="","",S2943*T2943)</f>
        <v/>
      </c>
      <c r="X2943">
        <f>IF($C2943="","",IF($AM2943=1,0,IF($AL2943=1,Settings!$C$6,Settings!$C$7))*100)</f>
        <v/>
      </c>
      <c r="AB2943" s="7" t="n"/>
      <c r="AE2943" s="11" t="n"/>
      <c r="AG2943" s="7">
        <f>IF($C2943="","",U2943*X2943/100)</f>
        <v/>
      </c>
      <c r="AH2943" s="7">
        <f>IF($C2943="","",U2943-AG2943)</f>
        <v/>
      </c>
      <c r="AI2943" s="7">
        <f>IF($C2943="","",AH2943-M2943)</f>
        <v/>
      </c>
      <c r="AJ2943">
        <f>IF($C2943="","",IF(COUNTIF($C$2:$C2943,$C2943)=1,1,0))</f>
        <v/>
      </c>
      <c r="AK2943">
        <f>IF($AJ2943=1,SUMPRODUCT(--($AN$2:$AN$4001&lt;$AN2943))+1,"")</f>
        <v/>
      </c>
      <c r="AL2943">
        <f>IF($C2943="","",IF(OR($Q2943=TRUE(),$Q2943="TRUE"),1,0))</f>
        <v/>
      </c>
      <c r="AM2943">
        <f>IF($C2943="","",IF($W2943="Yes",1,0))</f>
        <v/>
      </c>
      <c r="AN2943">
        <f>IF($AJ2943=1,IFERROR(IF(VALUE($C2943)&lt;100000000,VALUE($C2943),1000000000),IFERROR(IF(VALUE(MID($C2943,2,20))&lt;100000000,VALUE(MID($C2943,2,20)),1000000000),1000000000))+ROW()/100000,"")</f>
        <v/>
      </c>
    </row>
    <row r="2944">
      <c r="E2944" s="11" t="n"/>
      <c r="M2944" s="7">
        <f>IF($C2944="","",L2944*U2944/100)</f>
        <v/>
      </c>
      <c r="N2944" s="7" t="n"/>
      <c r="T2944" s="7" t="n"/>
      <c r="U2944" s="7">
        <f>IF($C2944="","",S2944*T2944)</f>
        <v/>
      </c>
      <c r="X2944">
        <f>IF($C2944="","",IF($AM2944=1,0,IF($AL2944=1,Settings!$C$6,Settings!$C$7))*100)</f>
        <v/>
      </c>
      <c r="AB2944" s="7" t="n"/>
      <c r="AE2944" s="11" t="n"/>
      <c r="AG2944" s="7">
        <f>IF($C2944="","",U2944*X2944/100)</f>
        <v/>
      </c>
      <c r="AH2944" s="7">
        <f>IF($C2944="","",U2944-AG2944)</f>
        <v/>
      </c>
      <c r="AI2944" s="7">
        <f>IF($C2944="","",AH2944-M2944)</f>
        <v/>
      </c>
      <c r="AJ2944">
        <f>IF($C2944="","",IF(COUNTIF($C$2:$C2944,$C2944)=1,1,0))</f>
        <v/>
      </c>
      <c r="AK2944">
        <f>IF($AJ2944=1,SUMPRODUCT(--($AN$2:$AN$4001&lt;$AN2944))+1,"")</f>
        <v/>
      </c>
      <c r="AL2944">
        <f>IF($C2944="","",IF(OR($Q2944=TRUE(),$Q2944="TRUE"),1,0))</f>
        <v/>
      </c>
      <c r="AM2944">
        <f>IF($C2944="","",IF($W2944="Yes",1,0))</f>
        <v/>
      </c>
      <c r="AN2944">
        <f>IF($AJ2944=1,IFERROR(IF(VALUE($C2944)&lt;100000000,VALUE($C2944),1000000000),IFERROR(IF(VALUE(MID($C2944,2,20))&lt;100000000,VALUE(MID($C2944,2,20)),1000000000),1000000000))+ROW()/100000,"")</f>
        <v/>
      </c>
    </row>
    <row r="2945">
      <c r="E2945" s="11" t="n"/>
      <c r="M2945" s="7">
        <f>IF($C2945="","",L2945*U2945/100)</f>
        <v/>
      </c>
      <c r="N2945" s="7" t="n"/>
      <c r="T2945" s="7" t="n"/>
      <c r="U2945" s="7">
        <f>IF($C2945="","",S2945*T2945)</f>
        <v/>
      </c>
      <c r="X2945">
        <f>IF($C2945="","",IF($AM2945=1,0,IF($AL2945=1,Settings!$C$6,Settings!$C$7))*100)</f>
        <v/>
      </c>
      <c r="AB2945" s="7" t="n"/>
      <c r="AE2945" s="11" t="n"/>
      <c r="AG2945" s="7">
        <f>IF($C2945="","",U2945*X2945/100)</f>
        <v/>
      </c>
      <c r="AH2945" s="7">
        <f>IF($C2945="","",U2945-AG2945)</f>
        <v/>
      </c>
      <c r="AI2945" s="7">
        <f>IF($C2945="","",AH2945-M2945)</f>
        <v/>
      </c>
      <c r="AJ2945">
        <f>IF($C2945="","",IF(COUNTIF($C$2:$C2945,$C2945)=1,1,0))</f>
        <v/>
      </c>
      <c r="AK2945">
        <f>IF($AJ2945=1,SUMPRODUCT(--($AN$2:$AN$4001&lt;$AN2945))+1,"")</f>
        <v/>
      </c>
      <c r="AL2945">
        <f>IF($C2945="","",IF(OR($Q2945=TRUE(),$Q2945="TRUE"),1,0))</f>
        <v/>
      </c>
      <c r="AM2945">
        <f>IF($C2945="","",IF($W2945="Yes",1,0))</f>
        <v/>
      </c>
      <c r="AN2945">
        <f>IF($AJ2945=1,IFERROR(IF(VALUE($C2945)&lt;100000000,VALUE($C2945),1000000000),IFERROR(IF(VALUE(MID($C2945,2,20))&lt;100000000,VALUE(MID($C2945,2,20)),1000000000),1000000000))+ROW()/100000,"")</f>
        <v/>
      </c>
    </row>
    <row r="2946">
      <c r="E2946" s="11" t="n"/>
      <c r="M2946" s="7">
        <f>IF($C2946="","",L2946*U2946/100)</f>
        <v/>
      </c>
      <c r="N2946" s="7" t="n"/>
      <c r="T2946" s="7" t="n"/>
      <c r="U2946" s="7">
        <f>IF($C2946="","",S2946*T2946)</f>
        <v/>
      </c>
      <c r="X2946">
        <f>IF($C2946="","",IF($AM2946=1,0,IF($AL2946=1,Settings!$C$6,Settings!$C$7))*100)</f>
        <v/>
      </c>
      <c r="AB2946" s="7" t="n"/>
      <c r="AE2946" s="11" t="n"/>
      <c r="AG2946" s="7">
        <f>IF($C2946="","",U2946*X2946/100)</f>
        <v/>
      </c>
      <c r="AH2946" s="7">
        <f>IF($C2946="","",U2946-AG2946)</f>
        <v/>
      </c>
      <c r="AI2946" s="7">
        <f>IF($C2946="","",AH2946-M2946)</f>
        <v/>
      </c>
      <c r="AJ2946">
        <f>IF($C2946="","",IF(COUNTIF($C$2:$C2946,$C2946)=1,1,0))</f>
        <v/>
      </c>
      <c r="AK2946">
        <f>IF($AJ2946=1,SUMPRODUCT(--($AN$2:$AN$4001&lt;$AN2946))+1,"")</f>
        <v/>
      </c>
      <c r="AL2946">
        <f>IF($C2946="","",IF(OR($Q2946=TRUE(),$Q2946="TRUE"),1,0))</f>
        <v/>
      </c>
      <c r="AM2946">
        <f>IF($C2946="","",IF($W2946="Yes",1,0))</f>
        <v/>
      </c>
      <c r="AN2946">
        <f>IF($AJ2946=1,IFERROR(IF(VALUE($C2946)&lt;100000000,VALUE($C2946),1000000000),IFERROR(IF(VALUE(MID($C2946,2,20))&lt;100000000,VALUE(MID($C2946,2,20)),1000000000),1000000000))+ROW()/100000,"")</f>
        <v/>
      </c>
    </row>
    <row r="2947">
      <c r="E2947" s="11" t="n"/>
      <c r="M2947" s="7">
        <f>IF($C2947="","",L2947*U2947/100)</f>
        <v/>
      </c>
      <c r="N2947" s="7" t="n"/>
      <c r="T2947" s="7" t="n"/>
      <c r="U2947" s="7">
        <f>IF($C2947="","",S2947*T2947)</f>
        <v/>
      </c>
      <c r="X2947">
        <f>IF($C2947="","",IF($AM2947=1,0,IF($AL2947=1,Settings!$C$6,Settings!$C$7))*100)</f>
        <v/>
      </c>
      <c r="AB2947" s="7" t="n"/>
      <c r="AE2947" s="11" t="n"/>
      <c r="AG2947" s="7">
        <f>IF($C2947="","",U2947*X2947/100)</f>
        <v/>
      </c>
      <c r="AH2947" s="7">
        <f>IF($C2947="","",U2947-AG2947)</f>
        <v/>
      </c>
      <c r="AI2947" s="7">
        <f>IF($C2947="","",AH2947-M2947)</f>
        <v/>
      </c>
      <c r="AJ2947">
        <f>IF($C2947="","",IF(COUNTIF($C$2:$C2947,$C2947)=1,1,0))</f>
        <v/>
      </c>
      <c r="AK2947">
        <f>IF($AJ2947=1,SUMPRODUCT(--($AN$2:$AN$4001&lt;$AN2947))+1,"")</f>
        <v/>
      </c>
      <c r="AL2947">
        <f>IF($C2947="","",IF(OR($Q2947=TRUE(),$Q2947="TRUE"),1,0))</f>
        <v/>
      </c>
      <c r="AM2947">
        <f>IF($C2947="","",IF($W2947="Yes",1,0))</f>
        <v/>
      </c>
      <c r="AN2947">
        <f>IF($AJ2947=1,IFERROR(IF(VALUE($C2947)&lt;100000000,VALUE($C2947),1000000000),IFERROR(IF(VALUE(MID($C2947,2,20))&lt;100000000,VALUE(MID($C2947,2,20)),1000000000),1000000000))+ROW()/100000,"")</f>
        <v/>
      </c>
    </row>
    <row r="2948">
      <c r="E2948" s="11" t="n"/>
      <c r="M2948" s="7">
        <f>IF($C2948="","",L2948*U2948/100)</f>
        <v/>
      </c>
      <c r="N2948" s="7" t="n"/>
      <c r="T2948" s="7" t="n"/>
      <c r="U2948" s="7">
        <f>IF($C2948="","",S2948*T2948)</f>
        <v/>
      </c>
      <c r="X2948">
        <f>IF($C2948="","",IF($AM2948=1,0,IF($AL2948=1,Settings!$C$6,Settings!$C$7))*100)</f>
        <v/>
      </c>
      <c r="AB2948" s="7" t="n"/>
      <c r="AE2948" s="11" t="n"/>
      <c r="AG2948" s="7">
        <f>IF($C2948="","",U2948*X2948/100)</f>
        <v/>
      </c>
      <c r="AH2948" s="7">
        <f>IF($C2948="","",U2948-AG2948)</f>
        <v/>
      </c>
      <c r="AI2948" s="7">
        <f>IF($C2948="","",AH2948-M2948)</f>
        <v/>
      </c>
      <c r="AJ2948">
        <f>IF($C2948="","",IF(COUNTIF($C$2:$C2948,$C2948)=1,1,0))</f>
        <v/>
      </c>
      <c r="AK2948">
        <f>IF($AJ2948=1,SUMPRODUCT(--($AN$2:$AN$4001&lt;$AN2948))+1,"")</f>
        <v/>
      </c>
      <c r="AL2948">
        <f>IF($C2948="","",IF(OR($Q2948=TRUE(),$Q2948="TRUE"),1,0))</f>
        <v/>
      </c>
      <c r="AM2948">
        <f>IF($C2948="","",IF($W2948="Yes",1,0))</f>
        <v/>
      </c>
      <c r="AN2948">
        <f>IF($AJ2948=1,IFERROR(IF(VALUE($C2948)&lt;100000000,VALUE($C2948),1000000000),IFERROR(IF(VALUE(MID($C2948,2,20))&lt;100000000,VALUE(MID($C2948,2,20)),1000000000),1000000000))+ROW()/100000,"")</f>
        <v/>
      </c>
    </row>
    <row r="2949">
      <c r="E2949" s="11" t="n"/>
      <c r="M2949" s="7">
        <f>IF($C2949="","",L2949*U2949/100)</f>
        <v/>
      </c>
      <c r="N2949" s="7" t="n"/>
      <c r="T2949" s="7" t="n"/>
      <c r="U2949" s="7">
        <f>IF($C2949="","",S2949*T2949)</f>
        <v/>
      </c>
      <c r="X2949">
        <f>IF($C2949="","",IF($AM2949=1,0,IF($AL2949=1,Settings!$C$6,Settings!$C$7))*100)</f>
        <v/>
      </c>
      <c r="AB2949" s="7" t="n"/>
      <c r="AE2949" s="11" t="n"/>
      <c r="AG2949" s="7">
        <f>IF($C2949="","",U2949*X2949/100)</f>
        <v/>
      </c>
      <c r="AH2949" s="7">
        <f>IF($C2949="","",U2949-AG2949)</f>
        <v/>
      </c>
      <c r="AI2949" s="7">
        <f>IF($C2949="","",AH2949-M2949)</f>
        <v/>
      </c>
      <c r="AJ2949">
        <f>IF($C2949="","",IF(COUNTIF($C$2:$C2949,$C2949)=1,1,0))</f>
        <v/>
      </c>
      <c r="AK2949">
        <f>IF($AJ2949=1,SUMPRODUCT(--($AN$2:$AN$4001&lt;$AN2949))+1,"")</f>
        <v/>
      </c>
      <c r="AL2949">
        <f>IF($C2949="","",IF(OR($Q2949=TRUE(),$Q2949="TRUE"),1,0))</f>
        <v/>
      </c>
      <c r="AM2949">
        <f>IF($C2949="","",IF($W2949="Yes",1,0))</f>
        <v/>
      </c>
      <c r="AN2949">
        <f>IF($AJ2949=1,IFERROR(IF(VALUE($C2949)&lt;100000000,VALUE($C2949),1000000000),IFERROR(IF(VALUE(MID($C2949,2,20))&lt;100000000,VALUE(MID($C2949,2,20)),1000000000),1000000000))+ROW()/100000,"")</f>
        <v/>
      </c>
    </row>
    <row r="2950">
      <c r="E2950" s="11" t="n"/>
      <c r="M2950" s="7">
        <f>IF($C2950="","",L2950*U2950/100)</f>
        <v/>
      </c>
      <c r="N2950" s="7" t="n"/>
      <c r="T2950" s="7" t="n"/>
      <c r="U2950" s="7">
        <f>IF($C2950="","",S2950*T2950)</f>
        <v/>
      </c>
      <c r="X2950">
        <f>IF($C2950="","",IF($AM2950=1,0,IF($AL2950=1,Settings!$C$6,Settings!$C$7))*100)</f>
        <v/>
      </c>
      <c r="AB2950" s="7" t="n"/>
      <c r="AE2950" s="11" t="n"/>
      <c r="AG2950" s="7">
        <f>IF($C2950="","",U2950*X2950/100)</f>
        <v/>
      </c>
      <c r="AH2950" s="7">
        <f>IF($C2950="","",U2950-AG2950)</f>
        <v/>
      </c>
      <c r="AI2950" s="7">
        <f>IF($C2950="","",AH2950-M2950)</f>
        <v/>
      </c>
      <c r="AJ2950">
        <f>IF($C2950="","",IF(COUNTIF($C$2:$C2950,$C2950)=1,1,0))</f>
        <v/>
      </c>
      <c r="AK2950">
        <f>IF($AJ2950=1,SUMPRODUCT(--($AN$2:$AN$4001&lt;$AN2950))+1,"")</f>
        <v/>
      </c>
      <c r="AL2950">
        <f>IF($C2950="","",IF(OR($Q2950=TRUE(),$Q2950="TRUE"),1,0))</f>
        <v/>
      </c>
      <c r="AM2950">
        <f>IF($C2950="","",IF($W2950="Yes",1,0))</f>
        <v/>
      </c>
      <c r="AN2950">
        <f>IF($AJ2950=1,IFERROR(IF(VALUE($C2950)&lt;100000000,VALUE($C2950),1000000000),IFERROR(IF(VALUE(MID($C2950,2,20))&lt;100000000,VALUE(MID($C2950,2,20)),1000000000),1000000000))+ROW()/100000,"")</f>
        <v/>
      </c>
    </row>
    <row r="2951">
      <c r="E2951" s="11" t="n"/>
      <c r="M2951" s="7">
        <f>IF($C2951="","",L2951*U2951/100)</f>
        <v/>
      </c>
      <c r="N2951" s="7" t="n"/>
      <c r="T2951" s="7" t="n"/>
      <c r="U2951" s="7">
        <f>IF($C2951="","",S2951*T2951)</f>
        <v/>
      </c>
      <c r="X2951">
        <f>IF($C2951="","",IF($AM2951=1,0,IF($AL2951=1,Settings!$C$6,Settings!$C$7))*100)</f>
        <v/>
      </c>
      <c r="AB2951" s="7" t="n"/>
      <c r="AE2951" s="11" t="n"/>
      <c r="AG2951" s="7">
        <f>IF($C2951="","",U2951*X2951/100)</f>
        <v/>
      </c>
      <c r="AH2951" s="7">
        <f>IF($C2951="","",U2951-AG2951)</f>
        <v/>
      </c>
      <c r="AI2951" s="7">
        <f>IF($C2951="","",AH2951-M2951)</f>
        <v/>
      </c>
      <c r="AJ2951">
        <f>IF($C2951="","",IF(COUNTIF($C$2:$C2951,$C2951)=1,1,0))</f>
        <v/>
      </c>
      <c r="AK2951">
        <f>IF($AJ2951=1,SUMPRODUCT(--($AN$2:$AN$4001&lt;$AN2951))+1,"")</f>
        <v/>
      </c>
      <c r="AL2951">
        <f>IF($C2951="","",IF(OR($Q2951=TRUE(),$Q2951="TRUE"),1,0))</f>
        <v/>
      </c>
      <c r="AM2951">
        <f>IF($C2951="","",IF($W2951="Yes",1,0))</f>
        <v/>
      </c>
      <c r="AN2951">
        <f>IF($AJ2951=1,IFERROR(IF(VALUE($C2951)&lt;100000000,VALUE($C2951),1000000000),IFERROR(IF(VALUE(MID($C2951,2,20))&lt;100000000,VALUE(MID($C2951,2,20)),1000000000),1000000000))+ROW()/100000,"")</f>
        <v/>
      </c>
    </row>
    <row r="2952">
      <c r="E2952" s="11" t="n"/>
      <c r="M2952" s="7">
        <f>IF($C2952="","",L2952*U2952/100)</f>
        <v/>
      </c>
      <c r="N2952" s="7" t="n"/>
      <c r="T2952" s="7" t="n"/>
      <c r="U2952" s="7">
        <f>IF($C2952="","",S2952*T2952)</f>
        <v/>
      </c>
      <c r="X2952">
        <f>IF($C2952="","",IF($AM2952=1,0,IF($AL2952=1,Settings!$C$6,Settings!$C$7))*100)</f>
        <v/>
      </c>
      <c r="AB2952" s="7" t="n"/>
      <c r="AE2952" s="11" t="n"/>
      <c r="AG2952" s="7">
        <f>IF($C2952="","",U2952*X2952/100)</f>
        <v/>
      </c>
      <c r="AH2952" s="7">
        <f>IF($C2952="","",U2952-AG2952)</f>
        <v/>
      </c>
      <c r="AI2952" s="7">
        <f>IF($C2952="","",AH2952-M2952)</f>
        <v/>
      </c>
      <c r="AJ2952">
        <f>IF($C2952="","",IF(COUNTIF($C$2:$C2952,$C2952)=1,1,0))</f>
        <v/>
      </c>
      <c r="AK2952">
        <f>IF($AJ2952=1,SUMPRODUCT(--($AN$2:$AN$4001&lt;$AN2952))+1,"")</f>
        <v/>
      </c>
      <c r="AL2952">
        <f>IF($C2952="","",IF(OR($Q2952=TRUE(),$Q2952="TRUE"),1,0))</f>
        <v/>
      </c>
      <c r="AM2952">
        <f>IF($C2952="","",IF($W2952="Yes",1,0))</f>
        <v/>
      </c>
      <c r="AN2952">
        <f>IF($AJ2952=1,IFERROR(IF(VALUE($C2952)&lt;100000000,VALUE($C2952),1000000000),IFERROR(IF(VALUE(MID($C2952,2,20))&lt;100000000,VALUE(MID($C2952,2,20)),1000000000),1000000000))+ROW()/100000,"")</f>
        <v/>
      </c>
    </row>
    <row r="2953">
      <c r="E2953" s="11" t="n"/>
      <c r="M2953" s="7">
        <f>IF($C2953="","",L2953*U2953/100)</f>
        <v/>
      </c>
      <c r="N2953" s="7" t="n"/>
      <c r="T2953" s="7" t="n"/>
      <c r="U2953" s="7">
        <f>IF($C2953="","",S2953*T2953)</f>
        <v/>
      </c>
      <c r="X2953">
        <f>IF($C2953="","",IF($AM2953=1,0,IF($AL2953=1,Settings!$C$6,Settings!$C$7))*100)</f>
        <v/>
      </c>
      <c r="AB2953" s="7" t="n"/>
      <c r="AE2953" s="11" t="n"/>
      <c r="AG2953" s="7">
        <f>IF($C2953="","",U2953*X2953/100)</f>
        <v/>
      </c>
      <c r="AH2953" s="7">
        <f>IF($C2953="","",U2953-AG2953)</f>
        <v/>
      </c>
      <c r="AI2953" s="7">
        <f>IF($C2953="","",AH2953-M2953)</f>
        <v/>
      </c>
      <c r="AJ2953">
        <f>IF($C2953="","",IF(COUNTIF($C$2:$C2953,$C2953)=1,1,0))</f>
        <v/>
      </c>
      <c r="AK2953">
        <f>IF($AJ2953=1,SUMPRODUCT(--($AN$2:$AN$4001&lt;$AN2953))+1,"")</f>
        <v/>
      </c>
      <c r="AL2953">
        <f>IF($C2953="","",IF(OR($Q2953=TRUE(),$Q2953="TRUE"),1,0))</f>
        <v/>
      </c>
      <c r="AM2953">
        <f>IF($C2953="","",IF($W2953="Yes",1,0))</f>
        <v/>
      </c>
      <c r="AN2953">
        <f>IF($AJ2953=1,IFERROR(IF(VALUE($C2953)&lt;100000000,VALUE($C2953),1000000000),IFERROR(IF(VALUE(MID($C2953,2,20))&lt;100000000,VALUE(MID($C2953,2,20)),1000000000),1000000000))+ROW()/100000,"")</f>
        <v/>
      </c>
    </row>
    <row r="2954">
      <c r="E2954" s="11" t="n"/>
      <c r="M2954" s="7">
        <f>IF($C2954="","",L2954*U2954/100)</f>
        <v/>
      </c>
      <c r="N2954" s="7" t="n"/>
      <c r="T2954" s="7" t="n"/>
      <c r="U2954" s="7">
        <f>IF($C2954="","",S2954*T2954)</f>
        <v/>
      </c>
      <c r="X2954">
        <f>IF($C2954="","",IF($AM2954=1,0,IF($AL2954=1,Settings!$C$6,Settings!$C$7))*100)</f>
        <v/>
      </c>
      <c r="AB2954" s="7" t="n"/>
      <c r="AE2954" s="11" t="n"/>
      <c r="AG2954" s="7">
        <f>IF($C2954="","",U2954*X2954/100)</f>
        <v/>
      </c>
      <c r="AH2954" s="7">
        <f>IF($C2954="","",U2954-AG2954)</f>
        <v/>
      </c>
      <c r="AI2954" s="7">
        <f>IF($C2954="","",AH2954-M2954)</f>
        <v/>
      </c>
      <c r="AJ2954">
        <f>IF($C2954="","",IF(COUNTIF($C$2:$C2954,$C2954)=1,1,0))</f>
        <v/>
      </c>
      <c r="AK2954">
        <f>IF($AJ2954=1,SUMPRODUCT(--($AN$2:$AN$4001&lt;$AN2954))+1,"")</f>
        <v/>
      </c>
      <c r="AL2954">
        <f>IF($C2954="","",IF(OR($Q2954=TRUE(),$Q2954="TRUE"),1,0))</f>
        <v/>
      </c>
      <c r="AM2954">
        <f>IF($C2954="","",IF($W2954="Yes",1,0))</f>
        <v/>
      </c>
      <c r="AN2954">
        <f>IF($AJ2954=1,IFERROR(IF(VALUE($C2954)&lt;100000000,VALUE($C2954),1000000000),IFERROR(IF(VALUE(MID($C2954,2,20))&lt;100000000,VALUE(MID($C2954,2,20)),1000000000),1000000000))+ROW()/100000,"")</f>
        <v/>
      </c>
    </row>
    <row r="2955">
      <c r="E2955" s="11" t="n"/>
      <c r="M2955" s="7">
        <f>IF($C2955="","",L2955*U2955/100)</f>
        <v/>
      </c>
      <c r="N2955" s="7" t="n"/>
      <c r="T2955" s="7" t="n"/>
      <c r="U2955" s="7">
        <f>IF($C2955="","",S2955*T2955)</f>
        <v/>
      </c>
      <c r="X2955">
        <f>IF($C2955="","",IF($AM2955=1,0,IF($AL2955=1,Settings!$C$6,Settings!$C$7))*100)</f>
        <v/>
      </c>
      <c r="AB2955" s="7" t="n"/>
      <c r="AE2955" s="11" t="n"/>
      <c r="AG2955" s="7">
        <f>IF($C2955="","",U2955*X2955/100)</f>
        <v/>
      </c>
      <c r="AH2955" s="7">
        <f>IF($C2955="","",U2955-AG2955)</f>
        <v/>
      </c>
      <c r="AI2955" s="7">
        <f>IF($C2955="","",AH2955-M2955)</f>
        <v/>
      </c>
      <c r="AJ2955">
        <f>IF($C2955="","",IF(COUNTIF($C$2:$C2955,$C2955)=1,1,0))</f>
        <v/>
      </c>
      <c r="AK2955">
        <f>IF($AJ2955=1,SUMPRODUCT(--($AN$2:$AN$4001&lt;$AN2955))+1,"")</f>
        <v/>
      </c>
      <c r="AL2955">
        <f>IF($C2955="","",IF(OR($Q2955=TRUE(),$Q2955="TRUE"),1,0))</f>
        <v/>
      </c>
      <c r="AM2955">
        <f>IF($C2955="","",IF($W2955="Yes",1,0))</f>
        <v/>
      </c>
      <c r="AN2955">
        <f>IF($AJ2955=1,IFERROR(IF(VALUE($C2955)&lt;100000000,VALUE($C2955),1000000000),IFERROR(IF(VALUE(MID($C2955,2,20))&lt;100000000,VALUE(MID($C2955,2,20)),1000000000),1000000000))+ROW()/100000,"")</f>
        <v/>
      </c>
    </row>
    <row r="2956">
      <c r="E2956" s="11" t="n"/>
      <c r="M2956" s="7">
        <f>IF($C2956="","",L2956*U2956/100)</f>
        <v/>
      </c>
      <c r="N2956" s="7" t="n"/>
      <c r="T2956" s="7" t="n"/>
      <c r="U2956" s="7">
        <f>IF($C2956="","",S2956*T2956)</f>
        <v/>
      </c>
      <c r="X2956">
        <f>IF($C2956="","",IF($AM2956=1,0,IF($AL2956=1,Settings!$C$6,Settings!$C$7))*100)</f>
        <v/>
      </c>
      <c r="AB2956" s="7" t="n"/>
      <c r="AE2956" s="11" t="n"/>
      <c r="AG2956" s="7">
        <f>IF($C2956="","",U2956*X2956/100)</f>
        <v/>
      </c>
      <c r="AH2956" s="7">
        <f>IF($C2956="","",U2956-AG2956)</f>
        <v/>
      </c>
      <c r="AI2956" s="7">
        <f>IF($C2956="","",AH2956-M2956)</f>
        <v/>
      </c>
      <c r="AJ2956">
        <f>IF($C2956="","",IF(COUNTIF($C$2:$C2956,$C2956)=1,1,0))</f>
        <v/>
      </c>
      <c r="AK2956">
        <f>IF($AJ2956=1,SUMPRODUCT(--($AN$2:$AN$4001&lt;$AN2956))+1,"")</f>
        <v/>
      </c>
      <c r="AL2956">
        <f>IF($C2956="","",IF(OR($Q2956=TRUE(),$Q2956="TRUE"),1,0))</f>
        <v/>
      </c>
      <c r="AM2956">
        <f>IF($C2956="","",IF($W2956="Yes",1,0))</f>
        <v/>
      </c>
      <c r="AN2956">
        <f>IF($AJ2956=1,IFERROR(IF(VALUE($C2956)&lt;100000000,VALUE($C2956),1000000000),IFERROR(IF(VALUE(MID($C2956,2,20))&lt;100000000,VALUE(MID($C2956,2,20)),1000000000),1000000000))+ROW()/100000,"")</f>
        <v/>
      </c>
    </row>
    <row r="2957">
      <c r="E2957" s="11" t="n"/>
      <c r="M2957" s="7">
        <f>IF($C2957="","",L2957*U2957/100)</f>
        <v/>
      </c>
      <c r="N2957" s="7" t="n"/>
      <c r="T2957" s="7" t="n"/>
      <c r="U2957" s="7">
        <f>IF($C2957="","",S2957*T2957)</f>
        <v/>
      </c>
      <c r="X2957">
        <f>IF($C2957="","",IF($AM2957=1,0,IF($AL2957=1,Settings!$C$6,Settings!$C$7))*100)</f>
        <v/>
      </c>
      <c r="AB2957" s="7" t="n"/>
      <c r="AE2957" s="11" t="n"/>
      <c r="AG2957" s="7">
        <f>IF($C2957="","",U2957*X2957/100)</f>
        <v/>
      </c>
      <c r="AH2957" s="7">
        <f>IF($C2957="","",U2957-AG2957)</f>
        <v/>
      </c>
      <c r="AI2957" s="7">
        <f>IF($C2957="","",AH2957-M2957)</f>
        <v/>
      </c>
      <c r="AJ2957">
        <f>IF($C2957="","",IF(COUNTIF($C$2:$C2957,$C2957)=1,1,0))</f>
        <v/>
      </c>
      <c r="AK2957">
        <f>IF($AJ2957=1,SUMPRODUCT(--($AN$2:$AN$4001&lt;$AN2957))+1,"")</f>
        <v/>
      </c>
      <c r="AL2957">
        <f>IF($C2957="","",IF(OR($Q2957=TRUE(),$Q2957="TRUE"),1,0))</f>
        <v/>
      </c>
      <c r="AM2957">
        <f>IF($C2957="","",IF($W2957="Yes",1,0))</f>
        <v/>
      </c>
      <c r="AN2957">
        <f>IF($AJ2957=1,IFERROR(IF(VALUE($C2957)&lt;100000000,VALUE($C2957),1000000000),IFERROR(IF(VALUE(MID($C2957,2,20))&lt;100000000,VALUE(MID($C2957,2,20)),1000000000),1000000000))+ROW()/100000,"")</f>
        <v/>
      </c>
    </row>
    <row r="2958">
      <c r="E2958" s="11" t="n"/>
      <c r="M2958" s="7">
        <f>IF($C2958="","",L2958*U2958/100)</f>
        <v/>
      </c>
      <c r="N2958" s="7" t="n"/>
      <c r="T2958" s="7" t="n"/>
      <c r="U2958" s="7">
        <f>IF($C2958="","",S2958*T2958)</f>
        <v/>
      </c>
      <c r="X2958">
        <f>IF($C2958="","",IF($AM2958=1,0,IF($AL2958=1,Settings!$C$6,Settings!$C$7))*100)</f>
        <v/>
      </c>
      <c r="AB2958" s="7" t="n"/>
      <c r="AE2958" s="11" t="n"/>
      <c r="AG2958" s="7">
        <f>IF($C2958="","",U2958*X2958/100)</f>
        <v/>
      </c>
      <c r="AH2958" s="7">
        <f>IF($C2958="","",U2958-AG2958)</f>
        <v/>
      </c>
      <c r="AI2958" s="7">
        <f>IF($C2958="","",AH2958-M2958)</f>
        <v/>
      </c>
      <c r="AJ2958">
        <f>IF($C2958="","",IF(COUNTIF($C$2:$C2958,$C2958)=1,1,0))</f>
        <v/>
      </c>
      <c r="AK2958">
        <f>IF($AJ2958=1,SUMPRODUCT(--($AN$2:$AN$4001&lt;$AN2958))+1,"")</f>
        <v/>
      </c>
      <c r="AL2958">
        <f>IF($C2958="","",IF(OR($Q2958=TRUE(),$Q2958="TRUE"),1,0))</f>
        <v/>
      </c>
      <c r="AM2958">
        <f>IF($C2958="","",IF($W2958="Yes",1,0))</f>
        <v/>
      </c>
      <c r="AN2958">
        <f>IF($AJ2958=1,IFERROR(IF(VALUE($C2958)&lt;100000000,VALUE($C2958),1000000000),IFERROR(IF(VALUE(MID($C2958,2,20))&lt;100000000,VALUE(MID($C2958,2,20)),1000000000),1000000000))+ROW()/100000,"")</f>
        <v/>
      </c>
    </row>
    <row r="2959">
      <c r="E2959" s="11" t="n"/>
      <c r="M2959" s="7">
        <f>IF($C2959="","",L2959*U2959/100)</f>
        <v/>
      </c>
      <c r="N2959" s="7" t="n"/>
      <c r="T2959" s="7" t="n"/>
      <c r="U2959" s="7">
        <f>IF($C2959="","",S2959*T2959)</f>
        <v/>
      </c>
      <c r="X2959">
        <f>IF($C2959="","",IF($AM2959=1,0,IF($AL2959=1,Settings!$C$6,Settings!$C$7))*100)</f>
        <v/>
      </c>
      <c r="AB2959" s="7" t="n"/>
      <c r="AE2959" s="11" t="n"/>
      <c r="AG2959" s="7">
        <f>IF($C2959="","",U2959*X2959/100)</f>
        <v/>
      </c>
      <c r="AH2959" s="7">
        <f>IF($C2959="","",U2959-AG2959)</f>
        <v/>
      </c>
      <c r="AI2959" s="7">
        <f>IF($C2959="","",AH2959-M2959)</f>
        <v/>
      </c>
      <c r="AJ2959">
        <f>IF($C2959="","",IF(COUNTIF($C$2:$C2959,$C2959)=1,1,0))</f>
        <v/>
      </c>
      <c r="AK2959">
        <f>IF($AJ2959=1,SUMPRODUCT(--($AN$2:$AN$4001&lt;$AN2959))+1,"")</f>
        <v/>
      </c>
      <c r="AL2959">
        <f>IF($C2959="","",IF(OR($Q2959=TRUE(),$Q2959="TRUE"),1,0))</f>
        <v/>
      </c>
      <c r="AM2959">
        <f>IF($C2959="","",IF($W2959="Yes",1,0))</f>
        <v/>
      </c>
      <c r="AN2959">
        <f>IF($AJ2959=1,IFERROR(IF(VALUE($C2959)&lt;100000000,VALUE($C2959),1000000000),IFERROR(IF(VALUE(MID($C2959,2,20))&lt;100000000,VALUE(MID($C2959,2,20)),1000000000),1000000000))+ROW()/100000,"")</f>
        <v/>
      </c>
    </row>
    <row r="2960">
      <c r="E2960" s="11" t="n"/>
      <c r="M2960" s="7">
        <f>IF($C2960="","",L2960*U2960/100)</f>
        <v/>
      </c>
      <c r="N2960" s="7" t="n"/>
      <c r="T2960" s="7" t="n"/>
      <c r="U2960" s="7">
        <f>IF($C2960="","",S2960*T2960)</f>
        <v/>
      </c>
      <c r="X2960">
        <f>IF($C2960="","",IF($AM2960=1,0,IF($AL2960=1,Settings!$C$6,Settings!$C$7))*100)</f>
        <v/>
      </c>
      <c r="AB2960" s="7" t="n"/>
      <c r="AE2960" s="11" t="n"/>
      <c r="AG2960" s="7">
        <f>IF($C2960="","",U2960*X2960/100)</f>
        <v/>
      </c>
      <c r="AH2960" s="7">
        <f>IF($C2960="","",U2960-AG2960)</f>
        <v/>
      </c>
      <c r="AI2960" s="7">
        <f>IF($C2960="","",AH2960-M2960)</f>
        <v/>
      </c>
      <c r="AJ2960">
        <f>IF($C2960="","",IF(COUNTIF($C$2:$C2960,$C2960)=1,1,0))</f>
        <v/>
      </c>
      <c r="AK2960">
        <f>IF($AJ2960=1,SUMPRODUCT(--($AN$2:$AN$4001&lt;$AN2960))+1,"")</f>
        <v/>
      </c>
      <c r="AL2960">
        <f>IF($C2960="","",IF(OR($Q2960=TRUE(),$Q2960="TRUE"),1,0))</f>
        <v/>
      </c>
      <c r="AM2960">
        <f>IF($C2960="","",IF($W2960="Yes",1,0))</f>
        <v/>
      </c>
      <c r="AN2960">
        <f>IF($AJ2960=1,IFERROR(IF(VALUE($C2960)&lt;100000000,VALUE($C2960),1000000000),IFERROR(IF(VALUE(MID($C2960,2,20))&lt;100000000,VALUE(MID($C2960,2,20)),1000000000),1000000000))+ROW()/100000,"")</f>
        <v/>
      </c>
    </row>
    <row r="2961">
      <c r="E2961" s="11" t="n"/>
      <c r="M2961" s="7">
        <f>IF($C2961="","",L2961*U2961/100)</f>
        <v/>
      </c>
      <c r="N2961" s="7" t="n"/>
      <c r="T2961" s="7" t="n"/>
      <c r="U2961" s="7">
        <f>IF($C2961="","",S2961*T2961)</f>
        <v/>
      </c>
      <c r="X2961">
        <f>IF($C2961="","",IF($AM2961=1,0,IF($AL2961=1,Settings!$C$6,Settings!$C$7))*100)</f>
        <v/>
      </c>
      <c r="AB2961" s="7" t="n"/>
      <c r="AE2961" s="11" t="n"/>
      <c r="AG2961" s="7">
        <f>IF($C2961="","",U2961*X2961/100)</f>
        <v/>
      </c>
      <c r="AH2961" s="7">
        <f>IF($C2961="","",U2961-AG2961)</f>
        <v/>
      </c>
      <c r="AI2961" s="7">
        <f>IF($C2961="","",AH2961-M2961)</f>
        <v/>
      </c>
      <c r="AJ2961">
        <f>IF($C2961="","",IF(COUNTIF($C$2:$C2961,$C2961)=1,1,0))</f>
        <v/>
      </c>
      <c r="AK2961">
        <f>IF($AJ2961=1,SUMPRODUCT(--($AN$2:$AN$4001&lt;$AN2961))+1,"")</f>
        <v/>
      </c>
      <c r="AL2961">
        <f>IF($C2961="","",IF(OR($Q2961=TRUE(),$Q2961="TRUE"),1,0))</f>
        <v/>
      </c>
      <c r="AM2961">
        <f>IF($C2961="","",IF($W2961="Yes",1,0))</f>
        <v/>
      </c>
      <c r="AN2961">
        <f>IF($AJ2961=1,IFERROR(IF(VALUE($C2961)&lt;100000000,VALUE($C2961),1000000000),IFERROR(IF(VALUE(MID($C2961,2,20))&lt;100000000,VALUE(MID($C2961,2,20)),1000000000),1000000000))+ROW()/100000,"")</f>
        <v/>
      </c>
    </row>
    <row r="2962">
      <c r="E2962" s="11" t="n"/>
      <c r="M2962" s="7">
        <f>IF($C2962="","",L2962*U2962/100)</f>
        <v/>
      </c>
      <c r="N2962" s="7" t="n"/>
      <c r="T2962" s="7" t="n"/>
      <c r="U2962" s="7">
        <f>IF($C2962="","",S2962*T2962)</f>
        <v/>
      </c>
      <c r="X2962">
        <f>IF($C2962="","",IF($AM2962=1,0,IF($AL2962=1,Settings!$C$6,Settings!$C$7))*100)</f>
        <v/>
      </c>
      <c r="AB2962" s="7" t="n"/>
      <c r="AE2962" s="11" t="n"/>
      <c r="AG2962" s="7">
        <f>IF($C2962="","",U2962*X2962/100)</f>
        <v/>
      </c>
      <c r="AH2962" s="7">
        <f>IF($C2962="","",U2962-AG2962)</f>
        <v/>
      </c>
      <c r="AI2962" s="7">
        <f>IF($C2962="","",AH2962-M2962)</f>
        <v/>
      </c>
      <c r="AJ2962">
        <f>IF($C2962="","",IF(COUNTIF($C$2:$C2962,$C2962)=1,1,0))</f>
        <v/>
      </c>
      <c r="AK2962">
        <f>IF($AJ2962=1,SUMPRODUCT(--($AN$2:$AN$4001&lt;$AN2962))+1,"")</f>
        <v/>
      </c>
      <c r="AL2962">
        <f>IF($C2962="","",IF(OR($Q2962=TRUE(),$Q2962="TRUE"),1,0))</f>
        <v/>
      </c>
      <c r="AM2962">
        <f>IF($C2962="","",IF($W2962="Yes",1,0))</f>
        <v/>
      </c>
      <c r="AN2962">
        <f>IF($AJ2962=1,IFERROR(IF(VALUE($C2962)&lt;100000000,VALUE($C2962),1000000000),IFERROR(IF(VALUE(MID($C2962,2,20))&lt;100000000,VALUE(MID($C2962,2,20)),1000000000),1000000000))+ROW()/100000,"")</f>
        <v/>
      </c>
    </row>
    <row r="2963">
      <c r="E2963" s="11" t="n"/>
      <c r="M2963" s="7">
        <f>IF($C2963="","",L2963*U2963/100)</f>
        <v/>
      </c>
      <c r="N2963" s="7" t="n"/>
      <c r="T2963" s="7" t="n"/>
      <c r="U2963" s="7">
        <f>IF($C2963="","",S2963*T2963)</f>
        <v/>
      </c>
      <c r="X2963">
        <f>IF($C2963="","",IF($AM2963=1,0,IF($AL2963=1,Settings!$C$6,Settings!$C$7))*100)</f>
        <v/>
      </c>
      <c r="AB2963" s="7" t="n"/>
      <c r="AE2963" s="11" t="n"/>
      <c r="AG2963" s="7">
        <f>IF($C2963="","",U2963*X2963/100)</f>
        <v/>
      </c>
      <c r="AH2963" s="7">
        <f>IF($C2963="","",U2963-AG2963)</f>
        <v/>
      </c>
      <c r="AI2963" s="7">
        <f>IF($C2963="","",AH2963-M2963)</f>
        <v/>
      </c>
      <c r="AJ2963">
        <f>IF($C2963="","",IF(COUNTIF($C$2:$C2963,$C2963)=1,1,0))</f>
        <v/>
      </c>
      <c r="AK2963">
        <f>IF($AJ2963=1,SUMPRODUCT(--($AN$2:$AN$4001&lt;$AN2963))+1,"")</f>
        <v/>
      </c>
      <c r="AL2963">
        <f>IF($C2963="","",IF(OR($Q2963=TRUE(),$Q2963="TRUE"),1,0))</f>
        <v/>
      </c>
      <c r="AM2963">
        <f>IF($C2963="","",IF($W2963="Yes",1,0))</f>
        <v/>
      </c>
      <c r="AN2963">
        <f>IF($AJ2963=1,IFERROR(IF(VALUE($C2963)&lt;100000000,VALUE($C2963),1000000000),IFERROR(IF(VALUE(MID($C2963,2,20))&lt;100000000,VALUE(MID($C2963,2,20)),1000000000),1000000000))+ROW()/100000,"")</f>
        <v/>
      </c>
    </row>
    <row r="2964">
      <c r="E2964" s="11" t="n"/>
      <c r="M2964" s="7">
        <f>IF($C2964="","",L2964*U2964/100)</f>
        <v/>
      </c>
      <c r="N2964" s="7" t="n"/>
      <c r="T2964" s="7" t="n"/>
      <c r="U2964" s="7">
        <f>IF($C2964="","",S2964*T2964)</f>
        <v/>
      </c>
      <c r="X2964">
        <f>IF($C2964="","",IF($AM2964=1,0,IF($AL2964=1,Settings!$C$6,Settings!$C$7))*100)</f>
        <v/>
      </c>
      <c r="AB2964" s="7" t="n"/>
      <c r="AE2964" s="11" t="n"/>
      <c r="AG2964" s="7">
        <f>IF($C2964="","",U2964*X2964/100)</f>
        <v/>
      </c>
      <c r="AH2964" s="7">
        <f>IF($C2964="","",U2964-AG2964)</f>
        <v/>
      </c>
      <c r="AI2964" s="7">
        <f>IF($C2964="","",AH2964-M2964)</f>
        <v/>
      </c>
      <c r="AJ2964">
        <f>IF($C2964="","",IF(COUNTIF($C$2:$C2964,$C2964)=1,1,0))</f>
        <v/>
      </c>
      <c r="AK2964">
        <f>IF($AJ2964=1,SUMPRODUCT(--($AN$2:$AN$4001&lt;$AN2964))+1,"")</f>
        <v/>
      </c>
      <c r="AL2964">
        <f>IF($C2964="","",IF(OR($Q2964=TRUE(),$Q2964="TRUE"),1,0))</f>
        <v/>
      </c>
      <c r="AM2964">
        <f>IF($C2964="","",IF($W2964="Yes",1,0))</f>
        <v/>
      </c>
      <c r="AN2964">
        <f>IF($AJ2964=1,IFERROR(IF(VALUE($C2964)&lt;100000000,VALUE($C2964),1000000000),IFERROR(IF(VALUE(MID($C2964,2,20))&lt;100000000,VALUE(MID($C2964,2,20)),1000000000),1000000000))+ROW()/100000,"")</f>
        <v/>
      </c>
    </row>
    <row r="2965">
      <c r="E2965" s="11" t="n"/>
      <c r="M2965" s="7">
        <f>IF($C2965="","",L2965*U2965/100)</f>
        <v/>
      </c>
      <c r="N2965" s="7" t="n"/>
      <c r="T2965" s="7" t="n"/>
      <c r="U2965" s="7">
        <f>IF($C2965="","",S2965*T2965)</f>
        <v/>
      </c>
      <c r="X2965">
        <f>IF($C2965="","",IF($AM2965=1,0,IF($AL2965=1,Settings!$C$6,Settings!$C$7))*100)</f>
        <v/>
      </c>
      <c r="AB2965" s="7" t="n"/>
      <c r="AE2965" s="11" t="n"/>
      <c r="AG2965" s="7">
        <f>IF($C2965="","",U2965*X2965/100)</f>
        <v/>
      </c>
      <c r="AH2965" s="7">
        <f>IF($C2965="","",U2965-AG2965)</f>
        <v/>
      </c>
      <c r="AI2965" s="7">
        <f>IF($C2965="","",AH2965-M2965)</f>
        <v/>
      </c>
      <c r="AJ2965">
        <f>IF($C2965="","",IF(COUNTIF($C$2:$C2965,$C2965)=1,1,0))</f>
        <v/>
      </c>
      <c r="AK2965">
        <f>IF($AJ2965=1,SUMPRODUCT(--($AN$2:$AN$4001&lt;$AN2965))+1,"")</f>
        <v/>
      </c>
      <c r="AL2965">
        <f>IF($C2965="","",IF(OR($Q2965=TRUE(),$Q2965="TRUE"),1,0))</f>
        <v/>
      </c>
      <c r="AM2965">
        <f>IF($C2965="","",IF($W2965="Yes",1,0))</f>
        <v/>
      </c>
      <c r="AN2965">
        <f>IF($AJ2965=1,IFERROR(IF(VALUE($C2965)&lt;100000000,VALUE($C2965),1000000000),IFERROR(IF(VALUE(MID($C2965,2,20))&lt;100000000,VALUE(MID($C2965,2,20)),1000000000),1000000000))+ROW()/100000,"")</f>
        <v/>
      </c>
    </row>
    <row r="2966">
      <c r="E2966" s="11" t="n"/>
      <c r="M2966" s="7">
        <f>IF($C2966="","",L2966*U2966/100)</f>
        <v/>
      </c>
      <c r="N2966" s="7" t="n"/>
      <c r="T2966" s="7" t="n"/>
      <c r="U2966" s="7">
        <f>IF($C2966="","",S2966*T2966)</f>
        <v/>
      </c>
      <c r="X2966">
        <f>IF($C2966="","",IF($AM2966=1,0,IF($AL2966=1,Settings!$C$6,Settings!$C$7))*100)</f>
        <v/>
      </c>
      <c r="AB2966" s="7" t="n"/>
      <c r="AE2966" s="11" t="n"/>
      <c r="AG2966" s="7">
        <f>IF($C2966="","",U2966*X2966/100)</f>
        <v/>
      </c>
      <c r="AH2966" s="7">
        <f>IF($C2966="","",U2966-AG2966)</f>
        <v/>
      </c>
      <c r="AI2966" s="7">
        <f>IF($C2966="","",AH2966-M2966)</f>
        <v/>
      </c>
      <c r="AJ2966">
        <f>IF($C2966="","",IF(COUNTIF($C$2:$C2966,$C2966)=1,1,0))</f>
        <v/>
      </c>
      <c r="AK2966">
        <f>IF($AJ2966=1,SUMPRODUCT(--($AN$2:$AN$4001&lt;$AN2966))+1,"")</f>
        <v/>
      </c>
      <c r="AL2966">
        <f>IF($C2966="","",IF(OR($Q2966=TRUE(),$Q2966="TRUE"),1,0))</f>
        <v/>
      </c>
      <c r="AM2966">
        <f>IF($C2966="","",IF($W2966="Yes",1,0))</f>
        <v/>
      </c>
      <c r="AN2966">
        <f>IF($AJ2966=1,IFERROR(IF(VALUE($C2966)&lt;100000000,VALUE($C2966),1000000000),IFERROR(IF(VALUE(MID($C2966,2,20))&lt;100000000,VALUE(MID($C2966,2,20)),1000000000),1000000000))+ROW()/100000,"")</f>
        <v/>
      </c>
    </row>
    <row r="2967">
      <c r="E2967" s="11" t="n"/>
      <c r="M2967" s="7">
        <f>IF($C2967="","",L2967*U2967/100)</f>
        <v/>
      </c>
      <c r="N2967" s="7" t="n"/>
      <c r="T2967" s="7" t="n"/>
      <c r="U2967" s="7">
        <f>IF($C2967="","",S2967*T2967)</f>
        <v/>
      </c>
      <c r="X2967">
        <f>IF($C2967="","",IF($AM2967=1,0,IF($AL2967=1,Settings!$C$6,Settings!$C$7))*100)</f>
        <v/>
      </c>
      <c r="AB2967" s="7" t="n"/>
      <c r="AE2967" s="11" t="n"/>
      <c r="AG2967" s="7">
        <f>IF($C2967="","",U2967*X2967/100)</f>
        <v/>
      </c>
      <c r="AH2967" s="7">
        <f>IF($C2967="","",U2967-AG2967)</f>
        <v/>
      </c>
      <c r="AI2967" s="7">
        <f>IF($C2967="","",AH2967-M2967)</f>
        <v/>
      </c>
      <c r="AJ2967">
        <f>IF($C2967="","",IF(COUNTIF($C$2:$C2967,$C2967)=1,1,0))</f>
        <v/>
      </c>
      <c r="AK2967">
        <f>IF($AJ2967=1,SUMPRODUCT(--($AN$2:$AN$4001&lt;$AN2967))+1,"")</f>
        <v/>
      </c>
      <c r="AL2967">
        <f>IF($C2967="","",IF(OR($Q2967=TRUE(),$Q2967="TRUE"),1,0))</f>
        <v/>
      </c>
      <c r="AM2967">
        <f>IF($C2967="","",IF($W2967="Yes",1,0))</f>
        <v/>
      </c>
      <c r="AN2967">
        <f>IF($AJ2967=1,IFERROR(IF(VALUE($C2967)&lt;100000000,VALUE($C2967),1000000000),IFERROR(IF(VALUE(MID($C2967,2,20))&lt;100000000,VALUE(MID($C2967,2,20)),1000000000),1000000000))+ROW()/100000,"")</f>
        <v/>
      </c>
    </row>
    <row r="2968">
      <c r="E2968" s="11" t="n"/>
      <c r="M2968" s="7">
        <f>IF($C2968="","",L2968*U2968/100)</f>
        <v/>
      </c>
      <c r="N2968" s="7" t="n"/>
      <c r="T2968" s="7" t="n"/>
      <c r="U2968" s="7">
        <f>IF($C2968="","",S2968*T2968)</f>
        <v/>
      </c>
      <c r="X2968">
        <f>IF($C2968="","",IF($AM2968=1,0,IF($AL2968=1,Settings!$C$6,Settings!$C$7))*100)</f>
        <v/>
      </c>
      <c r="AB2968" s="7" t="n"/>
      <c r="AE2968" s="11" t="n"/>
      <c r="AG2968" s="7">
        <f>IF($C2968="","",U2968*X2968/100)</f>
        <v/>
      </c>
      <c r="AH2968" s="7">
        <f>IF($C2968="","",U2968-AG2968)</f>
        <v/>
      </c>
      <c r="AI2968" s="7">
        <f>IF($C2968="","",AH2968-M2968)</f>
        <v/>
      </c>
      <c r="AJ2968">
        <f>IF($C2968="","",IF(COUNTIF($C$2:$C2968,$C2968)=1,1,0))</f>
        <v/>
      </c>
      <c r="AK2968">
        <f>IF($AJ2968=1,SUMPRODUCT(--($AN$2:$AN$4001&lt;$AN2968))+1,"")</f>
        <v/>
      </c>
      <c r="AL2968">
        <f>IF($C2968="","",IF(OR($Q2968=TRUE(),$Q2968="TRUE"),1,0))</f>
        <v/>
      </c>
      <c r="AM2968">
        <f>IF($C2968="","",IF($W2968="Yes",1,0))</f>
        <v/>
      </c>
      <c r="AN2968">
        <f>IF($AJ2968=1,IFERROR(IF(VALUE($C2968)&lt;100000000,VALUE($C2968),1000000000),IFERROR(IF(VALUE(MID($C2968,2,20))&lt;100000000,VALUE(MID($C2968,2,20)),1000000000),1000000000))+ROW()/100000,"")</f>
        <v/>
      </c>
    </row>
    <row r="2969">
      <c r="E2969" s="11" t="n"/>
      <c r="M2969" s="7">
        <f>IF($C2969="","",L2969*U2969/100)</f>
        <v/>
      </c>
      <c r="N2969" s="7" t="n"/>
      <c r="T2969" s="7" t="n"/>
      <c r="U2969" s="7">
        <f>IF($C2969="","",S2969*T2969)</f>
        <v/>
      </c>
      <c r="X2969">
        <f>IF($C2969="","",IF($AM2969=1,0,IF($AL2969=1,Settings!$C$6,Settings!$C$7))*100)</f>
        <v/>
      </c>
      <c r="AB2969" s="7" t="n"/>
      <c r="AE2969" s="11" t="n"/>
      <c r="AG2969" s="7">
        <f>IF($C2969="","",U2969*X2969/100)</f>
        <v/>
      </c>
      <c r="AH2969" s="7">
        <f>IF($C2969="","",U2969-AG2969)</f>
        <v/>
      </c>
      <c r="AI2969" s="7">
        <f>IF($C2969="","",AH2969-M2969)</f>
        <v/>
      </c>
      <c r="AJ2969">
        <f>IF($C2969="","",IF(COUNTIF($C$2:$C2969,$C2969)=1,1,0))</f>
        <v/>
      </c>
      <c r="AK2969">
        <f>IF($AJ2969=1,SUMPRODUCT(--($AN$2:$AN$4001&lt;$AN2969))+1,"")</f>
        <v/>
      </c>
      <c r="AL2969">
        <f>IF($C2969="","",IF(OR($Q2969=TRUE(),$Q2969="TRUE"),1,0))</f>
        <v/>
      </c>
      <c r="AM2969">
        <f>IF($C2969="","",IF($W2969="Yes",1,0))</f>
        <v/>
      </c>
      <c r="AN2969">
        <f>IF($AJ2969=1,IFERROR(IF(VALUE($C2969)&lt;100000000,VALUE($C2969),1000000000),IFERROR(IF(VALUE(MID($C2969,2,20))&lt;100000000,VALUE(MID($C2969,2,20)),1000000000),1000000000))+ROW()/100000,"")</f>
        <v/>
      </c>
    </row>
    <row r="2970">
      <c r="E2970" s="11" t="n"/>
      <c r="M2970" s="7">
        <f>IF($C2970="","",L2970*U2970/100)</f>
        <v/>
      </c>
      <c r="N2970" s="7" t="n"/>
      <c r="T2970" s="7" t="n"/>
      <c r="U2970" s="7">
        <f>IF($C2970="","",S2970*T2970)</f>
        <v/>
      </c>
      <c r="X2970">
        <f>IF($C2970="","",IF($AM2970=1,0,IF($AL2970=1,Settings!$C$6,Settings!$C$7))*100)</f>
        <v/>
      </c>
      <c r="AB2970" s="7" t="n"/>
      <c r="AE2970" s="11" t="n"/>
      <c r="AG2970" s="7">
        <f>IF($C2970="","",U2970*X2970/100)</f>
        <v/>
      </c>
      <c r="AH2970" s="7">
        <f>IF($C2970="","",U2970-AG2970)</f>
        <v/>
      </c>
      <c r="AI2970" s="7">
        <f>IF($C2970="","",AH2970-M2970)</f>
        <v/>
      </c>
      <c r="AJ2970">
        <f>IF($C2970="","",IF(COUNTIF($C$2:$C2970,$C2970)=1,1,0))</f>
        <v/>
      </c>
      <c r="AK2970">
        <f>IF($AJ2970=1,SUMPRODUCT(--($AN$2:$AN$4001&lt;$AN2970))+1,"")</f>
        <v/>
      </c>
      <c r="AL2970">
        <f>IF($C2970="","",IF(OR($Q2970=TRUE(),$Q2970="TRUE"),1,0))</f>
        <v/>
      </c>
      <c r="AM2970">
        <f>IF($C2970="","",IF($W2970="Yes",1,0))</f>
        <v/>
      </c>
      <c r="AN2970">
        <f>IF($AJ2970=1,IFERROR(IF(VALUE($C2970)&lt;100000000,VALUE($C2970),1000000000),IFERROR(IF(VALUE(MID($C2970,2,20))&lt;100000000,VALUE(MID($C2970,2,20)),1000000000),1000000000))+ROW()/100000,"")</f>
        <v/>
      </c>
    </row>
    <row r="2971">
      <c r="E2971" s="11" t="n"/>
      <c r="M2971" s="7">
        <f>IF($C2971="","",L2971*U2971/100)</f>
        <v/>
      </c>
      <c r="N2971" s="7" t="n"/>
      <c r="T2971" s="7" t="n"/>
      <c r="U2971" s="7">
        <f>IF($C2971="","",S2971*T2971)</f>
        <v/>
      </c>
      <c r="X2971">
        <f>IF($C2971="","",IF($AM2971=1,0,IF($AL2971=1,Settings!$C$6,Settings!$C$7))*100)</f>
        <v/>
      </c>
      <c r="AB2971" s="7" t="n"/>
      <c r="AE2971" s="11" t="n"/>
      <c r="AG2971" s="7">
        <f>IF($C2971="","",U2971*X2971/100)</f>
        <v/>
      </c>
      <c r="AH2971" s="7">
        <f>IF($C2971="","",U2971-AG2971)</f>
        <v/>
      </c>
      <c r="AI2971" s="7">
        <f>IF($C2971="","",AH2971-M2971)</f>
        <v/>
      </c>
      <c r="AJ2971">
        <f>IF($C2971="","",IF(COUNTIF($C$2:$C2971,$C2971)=1,1,0))</f>
        <v/>
      </c>
      <c r="AK2971">
        <f>IF($AJ2971=1,SUMPRODUCT(--($AN$2:$AN$4001&lt;$AN2971))+1,"")</f>
        <v/>
      </c>
      <c r="AL2971">
        <f>IF($C2971="","",IF(OR($Q2971=TRUE(),$Q2971="TRUE"),1,0))</f>
        <v/>
      </c>
      <c r="AM2971">
        <f>IF($C2971="","",IF($W2971="Yes",1,0))</f>
        <v/>
      </c>
      <c r="AN2971">
        <f>IF($AJ2971=1,IFERROR(IF(VALUE($C2971)&lt;100000000,VALUE($C2971),1000000000),IFERROR(IF(VALUE(MID($C2971,2,20))&lt;100000000,VALUE(MID($C2971,2,20)),1000000000),1000000000))+ROW()/100000,"")</f>
        <v/>
      </c>
    </row>
    <row r="2972">
      <c r="E2972" s="11" t="n"/>
      <c r="M2972" s="7">
        <f>IF($C2972="","",L2972*U2972/100)</f>
        <v/>
      </c>
      <c r="N2972" s="7" t="n"/>
      <c r="T2972" s="7" t="n"/>
      <c r="U2972" s="7">
        <f>IF($C2972="","",S2972*T2972)</f>
        <v/>
      </c>
      <c r="X2972">
        <f>IF($C2972="","",IF($AM2972=1,0,IF($AL2972=1,Settings!$C$6,Settings!$C$7))*100)</f>
        <v/>
      </c>
      <c r="AB2972" s="7" t="n"/>
      <c r="AE2972" s="11" t="n"/>
      <c r="AG2972" s="7">
        <f>IF($C2972="","",U2972*X2972/100)</f>
        <v/>
      </c>
      <c r="AH2972" s="7">
        <f>IF($C2972="","",U2972-AG2972)</f>
        <v/>
      </c>
      <c r="AI2972" s="7">
        <f>IF($C2972="","",AH2972-M2972)</f>
        <v/>
      </c>
      <c r="AJ2972">
        <f>IF($C2972="","",IF(COUNTIF($C$2:$C2972,$C2972)=1,1,0))</f>
        <v/>
      </c>
      <c r="AK2972">
        <f>IF($AJ2972=1,SUMPRODUCT(--($AN$2:$AN$4001&lt;$AN2972))+1,"")</f>
        <v/>
      </c>
      <c r="AL2972">
        <f>IF($C2972="","",IF(OR($Q2972=TRUE(),$Q2972="TRUE"),1,0))</f>
        <v/>
      </c>
      <c r="AM2972">
        <f>IF($C2972="","",IF($W2972="Yes",1,0))</f>
        <v/>
      </c>
      <c r="AN2972">
        <f>IF($AJ2972=1,IFERROR(IF(VALUE($C2972)&lt;100000000,VALUE($C2972),1000000000),IFERROR(IF(VALUE(MID($C2972,2,20))&lt;100000000,VALUE(MID($C2972,2,20)),1000000000),1000000000))+ROW()/100000,"")</f>
        <v/>
      </c>
    </row>
    <row r="2973">
      <c r="E2973" s="11" t="n"/>
      <c r="M2973" s="7">
        <f>IF($C2973="","",L2973*U2973/100)</f>
        <v/>
      </c>
      <c r="N2973" s="7" t="n"/>
      <c r="T2973" s="7" t="n"/>
      <c r="U2973" s="7">
        <f>IF($C2973="","",S2973*T2973)</f>
        <v/>
      </c>
      <c r="X2973">
        <f>IF($C2973="","",IF($AM2973=1,0,IF($AL2973=1,Settings!$C$6,Settings!$C$7))*100)</f>
        <v/>
      </c>
      <c r="AB2973" s="7" t="n"/>
      <c r="AE2973" s="11" t="n"/>
      <c r="AG2973" s="7">
        <f>IF($C2973="","",U2973*X2973/100)</f>
        <v/>
      </c>
      <c r="AH2973" s="7">
        <f>IF($C2973="","",U2973-AG2973)</f>
        <v/>
      </c>
      <c r="AI2973" s="7">
        <f>IF($C2973="","",AH2973-M2973)</f>
        <v/>
      </c>
      <c r="AJ2973">
        <f>IF($C2973="","",IF(COUNTIF($C$2:$C2973,$C2973)=1,1,0))</f>
        <v/>
      </c>
      <c r="AK2973">
        <f>IF($AJ2973=1,SUMPRODUCT(--($AN$2:$AN$4001&lt;$AN2973))+1,"")</f>
        <v/>
      </c>
      <c r="AL2973">
        <f>IF($C2973="","",IF(OR($Q2973=TRUE(),$Q2973="TRUE"),1,0))</f>
        <v/>
      </c>
      <c r="AM2973">
        <f>IF($C2973="","",IF($W2973="Yes",1,0))</f>
        <v/>
      </c>
      <c r="AN2973">
        <f>IF($AJ2973=1,IFERROR(IF(VALUE($C2973)&lt;100000000,VALUE($C2973),1000000000),IFERROR(IF(VALUE(MID($C2973,2,20))&lt;100000000,VALUE(MID($C2973,2,20)),1000000000),1000000000))+ROW()/100000,"")</f>
        <v/>
      </c>
    </row>
    <row r="2974">
      <c r="E2974" s="11" t="n"/>
      <c r="M2974" s="7">
        <f>IF($C2974="","",L2974*U2974/100)</f>
        <v/>
      </c>
      <c r="N2974" s="7" t="n"/>
      <c r="T2974" s="7" t="n"/>
      <c r="U2974" s="7">
        <f>IF($C2974="","",S2974*T2974)</f>
        <v/>
      </c>
      <c r="X2974">
        <f>IF($C2974="","",IF($AM2974=1,0,IF($AL2974=1,Settings!$C$6,Settings!$C$7))*100)</f>
        <v/>
      </c>
      <c r="AB2974" s="7" t="n"/>
      <c r="AE2974" s="11" t="n"/>
      <c r="AG2974" s="7">
        <f>IF($C2974="","",U2974*X2974/100)</f>
        <v/>
      </c>
      <c r="AH2974" s="7">
        <f>IF($C2974="","",U2974-AG2974)</f>
        <v/>
      </c>
      <c r="AI2974" s="7">
        <f>IF($C2974="","",AH2974-M2974)</f>
        <v/>
      </c>
      <c r="AJ2974">
        <f>IF($C2974="","",IF(COUNTIF($C$2:$C2974,$C2974)=1,1,0))</f>
        <v/>
      </c>
      <c r="AK2974">
        <f>IF($AJ2974=1,SUMPRODUCT(--($AN$2:$AN$4001&lt;$AN2974))+1,"")</f>
        <v/>
      </c>
      <c r="AL2974">
        <f>IF($C2974="","",IF(OR($Q2974=TRUE(),$Q2974="TRUE"),1,0))</f>
        <v/>
      </c>
      <c r="AM2974">
        <f>IF($C2974="","",IF($W2974="Yes",1,0))</f>
        <v/>
      </c>
      <c r="AN2974">
        <f>IF($AJ2974=1,IFERROR(IF(VALUE($C2974)&lt;100000000,VALUE($C2974),1000000000),IFERROR(IF(VALUE(MID($C2974,2,20))&lt;100000000,VALUE(MID($C2974,2,20)),1000000000),1000000000))+ROW()/100000,"")</f>
        <v/>
      </c>
    </row>
    <row r="2975">
      <c r="E2975" s="11" t="n"/>
      <c r="M2975" s="7">
        <f>IF($C2975="","",L2975*U2975/100)</f>
        <v/>
      </c>
      <c r="N2975" s="7" t="n"/>
      <c r="T2975" s="7" t="n"/>
      <c r="U2975" s="7">
        <f>IF($C2975="","",S2975*T2975)</f>
        <v/>
      </c>
      <c r="X2975">
        <f>IF($C2975="","",IF($AM2975=1,0,IF($AL2975=1,Settings!$C$6,Settings!$C$7))*100)</f>
        <v/>
      </c>
      <c r="AB2975" s="7" t="n"/>
      <c r="AE2975" s="11" t="n"/>
      <c r="AG2975" s="7">
        <f>IF($C2975="","",U2975*X2975/100)</f>
        <v/>
      </c>
      <c r="AH2975" s="7">
        <f>IF($C2975="","",U2975-AG2975)</f>
        <v/>
      </c>
      <c r="AI2975" s="7">
        <f>IF($C2975="","",AH2975-M2975)</f>
        <v/>
      </c>
      <c r="AJ2975">
        <f>IF($C2975="","",IF(COUNTIF($C$2:$C2975,$C2975)=1,1,0))</f>
        <v/>
      </c>
      <c r="AK2975">
        <f>IF($AJ2975=1,SUMPRODUCT(--($AN$2:$AN$4001&lt;$AN2975))+1,"")</f>
        <v/>
      </c>
      <c r="AL2975">
        <f>IF($C2975="","",IF(OR($Q2975=TRUE(),$Q2975="TRUE"),1,0))</f>
        <v/>
      </c>
      <c r="AM2975">
        <f>IF($C2975="","",IF($W2975="Yes",1,0))</f>
        <v/>
      </c>
      <c r="AN2975">
        <f>IF($AJ2975=1,IFERROR(IF(VALUE($C2975)&lt;100000000,VALUE($C2975),1000000000),IFERROR(IF(VALUE(MID($C2975,2,20))&lt;100000000,VALUE(MID($C2975,2,20)),1000000000),1000000000))+ROW()/100000,"")</f>
        <v/>
      </c>
    </row>
    <row r="2976">
      <c r="E2976" s="11" t="n"/>
      <c r="M2976" s="7">
        <f>IF($C2976="","",L2976*U2976/100)</f>
        <v/>
      </c>
      <c r="N2976" s="7" t="n"/>
      <c r="T2976" s="7" t="n"/>
      <c r="U2976" s="7">
        <f>IF($C2976="","",S2976*T2976)</f>
        <v/>
      </c>
      <c r="X2976">
        <f>IF($C2976="","",IF($AM2976=1,0,IF($AL2976=1,Settings!$C$6,Settings!$C$7))*100)</f>
        <v/>
      </c>
      <c r="AB2976" s="7" t="n"/>
      <c r="AE2976" s="11" t="n"/>
      <c r="AG2976" s="7">
        <f>IF($C2976="","",U2976*X2976/100)</f>
        <v/>
      </c>
      <c r="AH2976" s="7">
        <f>IF($C2976="","",U2976-AG2976)</f>
        <v/>
      </c>
      <c r="AI2976" s="7">
        <f>IF($C2976="","",AH2976-M2976)</f>
        <v/>
      </c>
      <c r="AJ2976">
        <f>IF($C2976="","",IF(COUNTIF($C$2:$C2976,$C2976)=1,1,0))</f>
        <v/>
      </c>
      <c r="AK2976">
        <f>IF($AJ2976=1,SUMPRODUCT(--($AN$2:$AN$4001&lt;$AN2976))+1,"")</f>
        <v/>
      </c>
      <c r="AL2976">
        <f>IF($C2976="","",IF(OR($Q2976=TRUE(),$Q2976="TRUE"),1,0))</f>
        <v/>
      </c>
      <c r="AM2976">
        <f>IF($C2976="","",IF($W2976="Yes",1,0))</f>
        <v/>
      </c>
      <c r="AN2976">
        <f>IF($AJ2976=1,IFERROR(IF(VALUE($C2976)&lt;100000000,VALUE($C2976),1000000000),IFERROR(IF(VALUE(MID($C2976,2,20))&lt;100000000,VALUE(MID($C2976,2,20)),1000000000),1000000000))+ROW()/100000,"")</f>
        <v/>
      </c>
    </row>
    <row r="2977">
      <c r="E2977" s="11" t="n"/>
      <c r="M2977" s="7">
        <f>IF($C2977="","",L2977*U2977/100)</f>
        <v/>
      </c>
      <c r="N2977" s="7" t="n"/>
      <c r="T2977" s="7" t="n"/>
      <c r="U2977" s="7">
        <f>IF($C2977="","",S2977*T2977)</f>
        <v/>
      </c>
      <c r="X2977">
        <f>IF($C2977="","",IF($AM2977=1,0,IF($AL2977=1,Settings!$C$6,Settings!$C$7))*100)</f>
        <v/>
      </c>
      <c r="AB2977" s="7" t="n"/>
      <c r="AE2977" s="11" t="n"/>
      <c r="AG2977" s="7">
        <f>IF($C2977="","",U2977*X2977/100)</f>
        <v/>
      </c>
      <c r="AH2977" s="7">
        <f>IF($C2977="","",U2977-AG2977)</f>
        <v/>
      </c>
      <c r="AI2977" s="7">
        <f>IF($C2977="","",AH2977-M2977)</f>
        <v/>
      </c>
      <c r="AJ2977">
        <f>IF($C2977="","",IF(COUNTIF($C$2:$C2977,$C2977)=1,1,0))</f>
        <v/>
      </c>
      <c r="AK2977">
        <f>IF($AJ2977=1,SUMPRODUCT(--($AN$2:$AN$4001&lt;$AN2977))+1,"")</f>
        <v/>
      </c>
      <c r="AL2977">
        <f>IF($C2977="","",IF(OR($Q2977=TRUE(),$Q2977="TRUE"),1,0))</f>
        <v/>
      </c>
      <c r="AM2977">
        <f>IF($C2977="","",IF($W2977="Yes",1,0))</f>
        <v/>
      </c>
      <c r="AN2977">
        <f>IF($AJ2977=1,IFERROR(IF(VALUE($C2977)&lt;100000000,VALUE($C2977),1000000000),IFERROR(IF(VALUE(MID($C2977,2,20))&lt;100000000,VALUE(MID($C2977,2,20)),1000000000),1000000000))+ROW()/100000,"")</f>
        <v/>
      </c>
    </row>
    <row r="2978">
      <c r="E2978" s="11" t="n"/>
      <c r="M2978" s="7">
        <f>IF($C2978="","",L2978*U2978/100)</f>
        <v/>
      </c>
      <c r="N2978" s="7" t="n"/>
      <c r="T2978" s="7" t="n"/>
      <c r="U2978" s="7">
        <f>IF($C2978="","",S2978*T2978)</f>
        <v/>
      </c>
      <c r="X2978">
        <f>IF($C2978="","",IF($AM2978=1,0,IF($AL2978=1,Settings!$C$6,Settings!$C$7))*100)</f>
        <v/>
      </c>
      <c r="AB2978" s="7" t="n"/>
      <c r="AE2978" s="11" t="n"/>
      <c r="AG2978" s="7">
        <f>IF($C2978="","",U2978*X2978/100)</f>
        <v/>
      </c>
      <c r="AH2978" s="7">
        <f>IF($C2978="","",U2978-AG2978)</f>
        <v/>
      </c>
      <c r="AI2978" s="7">
        <f>IF($C2978="","",AH2978-M2978)</f>
        <v/>
      </c>
      <c r="AJ2978">
        <f>IF($C2978="","",IF(COUNTIF($C$2:$C2978,$C2978)=1,1,0))</f>
        <v/>
      </c>
      <c r="AK2978">
        <f>IF($AJ2978=1,SUMPRODUCT(--($AN$2:$AN$4001&lt;$AN2978))+1,"")</f>
        <v/>
      </c>
      <c r="AL2978">
        <f>IF($C2978="","",IF(OR($Q2978=TRUE(),$Q2978="TRUE"),1,0))</f>
        <v/>
      </c>
      <c r="AM2978">
        <f>IF($C2978="","",IF($W2978="Yes",1,0))</f>
        <v/>
      </c>
      <c r="AN2978">
        <f>IF($AJ2978=1,IFERROR(IF(VALUE($C2978)&lt;100000000,VALUE($C2978),1000000000),IFERROR(IF(VALUE(MID($C2978,2,20))&lt;100000000,VALUE(MID($C2978,2,20)),1000000000),1000000000))+ROW()/100000,"")</f>
        <v/>
      </c>
    </row>
    <row r="2979">
      <c r="E2979" s="11" t="n"/>
      <c r="M2979" s="7">
        <f>IF($C2979="","",L2979*U2979/100)</f>
        <v/>
      </c>
      <c r="N2979" s="7" t="n"/>
      <c r="T2979" s="7" t="n"/>
      <c r="U2979" s="7">
        <f>IF($C2979="","",S2979*T2979)</f>
        <v/>
      </c>
      <c r="X2979">
        <f>IF($C2979="","",IF($AM2979=1,0,IF($AL2979=1,Settings!$C$6,Settings!$C$7))*100)</f>
        <v/>
      </c>
      <c r="AB2979" s="7" t="n"/>
      <c r="AE2979" s="11" t="n"/>
      <c r="AG2979" s="7">
        <f>IF($C2979="","",U2979*X2979/100)</f>
        <v/>
      </c>
      <c r="AH2979" s="7">
        <f>IF($C2979="","",U2979-AG2979)</f>
        <v/>
      </c>
      <c r="AI2979" s="7">
        <f>IF($C2979="","",AH2979-M2979)</f>
        <v/>
      </c>
      <c r="AJ2979">
        <f>IF($C2979="","",IF(COUNTIF($C$2:$C2979,$C2979)=1,1,0))</f>
        <v/>
      </c>
      <c r="AK2979">
        <f>IF($AJ2979=1,SUMPRODUCT(--($AN$2:$AN$4001&lt;$AN2979))+1,"")</f>
        <v/>
      </c>
      <c r="AL2979">
        <f>IF($C2979="","",IF(OR($Q2979=TRUE(),$Q2979="TRUE"),1,0))</f>
        <v/>
      </c>
      <c r="AM2979">
        <f>IF($C2979="","",IF($W2979="Yes",1,0))</f>
        <v/>
      </c>
      <c r="AN2979">
        <f>IF($AJ2979=1,IFERROR(IF(VALUE($C2979)&lt;100000000,VALUE($C2979),1000000000),IFERROR(IF(VALUE(MID($C2979,2,20))&lt;100000000,VALUE(MID($C2979,2,20)),1000000000),1000000000))+ROW()/100000,"")</f>
        <v/>
      </c>
    </row>
    <row r="2980">
      <c r="E2980" s="11" t="n"/>
      <c r="M2980" s="7">
        <f>IF($C2980="","",L2980*U2980/100)</f>
        <v/>
      </c>
      <c r="N2980" s="7" t="n"/>
      <c r="T2980" s="7" t="n"/>
      <c r="U2980" s="7">
        <f>IF($C2980="","",S2980*T2980)</f>
        <v/>
      </c>
      <c r="X2980">
        <f>IF($C2980="","",IF($AM2980=1,0,IF($AL2980=1,Settings!$C$6,Settings!$C$7))*100)</f>
        <v/>
      </c>
      <c r="AB2980" s="7" t="n"/>
      <c r="AE2980" s="11" t="n"/>
      <c r="AG2980" s="7">
        <f>IF($C2980="","",U2980*X2980/100)</f>
        <v/>
      </c>
      <c r="AH2980" s="7">
        <f>IF($C2980="","",U2980-AG2980)</f>
        <v/>
      </c>
      <c r="AI2980" s="7">
        <f>IF($C2980="","",AH2980-M2980)</f>
        <v/>
      </c>
      <c r="AJ2980">
        <f>IF($C2980="","",IF(COUNTIF($C$2:$C2980,$C2980)=1,1,0))</f>
        <v/>
      </c>
      <c r="AK2980">
        <f>IF($AJ2980=1,SUMPRODUCT(--($AN$2:$AN$4001&lt;$AN2980))+1,"")</f>
        <v/>
      </c>
      <c r="AL2980">
        <f>IF($C2980="","",IF(OR($Q2980=TRUE(),$Q2980="TRUE"),1,0))</f>
        <v/>
      </c>
      <c r="AM2980">
        <f>IF($C2980="","",IF($W2980="Yes",1,0))</f>
        <v/>
      </c>
      <c r="AN2980">
        <f>IF($AJ2980=1,IFERROR(IF(VALUE($C2980)&lt;100000000,VALUE($C2980),1000000000),IFERROR(IF(VALUE(MID($C2980,2,20))&lt;100000000,VALUE(MID($C2980,2,20)),1000000000),1000000000))+ROW()/100000,"")</f>
        <v/>
      </c>
    </row>
    <row r="2981">
      <c r="E2981" s="11" t="n"/>
      <c r="M2981" s="7">
        <f>IF($C2981="","",L2981*U2981/100)</f>
        <v/>
      </c>
      <c r="N2981" s="7" t="n"/>
      <c r="T2981" s="7" t="n"/>
      <c r="U2981" s="7">
        <f>IF($C2981="","",S2981*T2981)</f>
        <v/>
      </c>
      <c r="X2981">
        <f>IF($C2981="","",IF($AM2981=1,0,IF($AL2981=1,Settings!$C$6,Settings!$C$7))*100)</f>
        <v/>
      </c>
      <c r="AB2981" s="7" t="n"/>
      <c r="AE2981" s="11" t="n"/>
      <c r="AG2981" s="7">
        <f>IF($C2981="","",U2981*X2981/100)</f>
        <v/>
      </c>
      <c r="AH2981" s="7">
        <f>IF($C2981="","",U2981-AG2981)</f>
        <v/>
      </c>
      <c r="AI2981" s="7">
        <f>IF($C2981="","",AH2981-M2981)</f>
        <v/>
      </c>
      <c r="AJ2981">
        <f>IF($C2981="","",IF(COUNTIF($C$2:$C2981,$C2981)=1,1,0))</f>
        <v/>
      </c>
      <c r="AK2981">
        <f>IF($AJ2981=1,SUMPRODUCT(--($AN$2:$AN$4001&lt;$AN2981))+1,"")</f>
        <v/>
      </c>
      <c r="AL2981">
        <f>IF($C2981="","",IF(OR($Q2981=TRUE(),$Q2981="TRUE"),1,0))</f>
        <v/>
      </c>
      <c r="AM2981">
        <f>IF($C2981="","",IF($W2981="Yes",1,0))</f>
        <v/>
      </c>
      <c r="AN2981">
        <f>IF($AJ2981=1,IFERROR(IF(VALUE($C2981)&lt;100000000,VALUE($C2981),1000000000),IFERROR(IF(VALUE(MID($C2981,2,20))&lt;100000000,VALUE(MID($C2981,2,20)),1000000000),1000000000))+ROW()/100000,"")</f>
        <v/>
      </c>
    </row>
    <row r="2982">
      <c r="E2982" s="11" t="n"/>
      <c r="M2982" s="7">
        <f>IF($C2982="","",L2982*U2982/100)</f>
        <v/>
      </c>
      <c r="N2982" s="7" t="n"/>
      <c r="T2982" s="7" t="n"/>
      <c r="U2982" s="7">
        <f>IF($C2982="","",S2982*T2982)</f>
        <v/>
      </c>
      <c r="X2982">
        <f>IF($C2982="","",IF($AM2982=1,0,IF($AL2982=1,Settings!$C$6,Settings!$C$7))*100)</f>
        <v/>
      </c>
      <c r="AB2982" s="7" t="n"/>
      <c r="AE2982" s="11" t="n"/>
      <c r="AG2982" s="7">
        <f>IF($C2982="","",U2982*X2982/100)</f>
        <v/>
      </c>
      <c r="AH2982" s="7">
        <f>IF($C2982="","",U2982-AG2982)</f>
        <v/>
      </c>
      <c r="AI2982" s="7">
        <f>IF($C2982="","",AH2982-M2982)</f>
        <v/>
      </c>
      <c r="AJ2982">
        <f>IF($C2982="","",IF(COUNTIF($C$2:$C2982,$C2982)=1,1,0))</f>
        <v/>
      </c>
      <c r="AK2982">
        <f>IF($AJ2982=1,SUMPRODUCT(--($AN$2:$AN$4001&lt;$AN2982))+1,"")</f>
        <v/>
      </c>
      <c r="AL2982">
        <f>IF($C2982="","",IF(OR($Q2982=TRUE(),$Q2982="TRUE"),1,0))</f>
        <v/>
      </c>
      <c r="AM2982">
        <f>IF($C2982="","",IF($W2982="Yes",1,0))</f>
        <v/>
      </c>
      <c r="AN2982">
        <f>IF($AJ2982=1,IFERROR(IF(VALUE($C2982)&lt;100000000,VALUE($C2982),1000000000),IFERROR(IF(VALUE(MID($C2982,2,20))&lt;100000000,VALUE(MID($C2982,2,20)),1000000000),1000000000))+ROW()/100000,"")</f>
        <v/>
      </c>
    </row>
    <row r="2983">
      <c r="E2983" s="11" t="n"/>
      <c r="M2983" s="7">
        <f>IF($C2983="","",L2983*U2983/100)</f>
        <v/>
      </c>
      <c r="N2983" s="7" t="n"/>
      <c r="T2983" s="7" t="n"/>
      <c r="U2983" s="7">
        <f>IF($C2983="","",S2983*T2983)</f>
        <v/>
      </c>
      <c r="X2983">
        <f>IF($C2983="","",IF($AM2983=1,0,IF($AL2983=1,Settings!$C$6,Settings!$C$7))*100)</f>
        <v/>
      </c>
      <c r="AB2983" s="7" t="n"/>
      <c r="AE2983" s="11" t="n"/>
      <c r="AG2983" s="7">
        <f>IF($C2983="","",U2983*X2983/100)</f>
        <v/>
      </c>
      <c r="AH2983" s="7">
        <f>IF($C2983="","",U2983-AG2983)</f>
        <v/>
      </c>
      <c r="AI2983" s="7">
        <f>IF($C2983="","",AH2983-M2983)</f>
        <v/>
      </c>
      <c r="AJ2983">
        <f>IF($C2983="","",IF(COUNTIF($C$2:$C2983,$C2983)=1,1,0))</f>
        <v/>
      </c>
      <c r="AK2983">
        <f>IF($AJ2983=1,SUMPRODUCT(--($AN$2:$AN$4001&lt;$AN2983))+1,"")</f>
        <v/>
      </c>
      <c r="AL2983">
        <f>IF($C2983="","",IF(OR($Q2983=TRUE(),$Q2983="TRUE"),1,0))</f>
        <v/>
      </c>
      <c r="AM2983">
        <f>IF($C2983="","",IF($W2983="Yes",1,0))</f>
        <v/>
      </c>
      <c r="AN2983">
        <f>IF($AJ2983=1,IFERROR(IF(VALUE($C2983)&lt;100000000,VALUE($C2983),1000000000),IFERROR(IF(VALUE(MID($C2983,2,20))&lt;100000000,VALUE(MID($C2983,2,20)),1000000000),1000000000))+ROW()/100000,"")</f>
        <v/>
      </c>
    </row>
    <row r="2984">
      <c r="E2984" s="11" t="n"/>
      <c r="M2984" s="7">
        <f>IF($C2984="","",L2984*U2984/100)</f>
        <v/>
      </c>
      <c r="N2984" s="7" t="n"/>
      <c r="T2984" s="7" t="n"/>
      <c r="U2984" s="7">
        <f>IF($C2984="","",S2984*T2984)</f>
        <v/>
      </c>
      <c r="X2984">
        <f>IF($C2984="","",IF($AM2984=1,0,IF($AL2984=1,Settings!$C$6,Settings!$C$7))*100)</f>
        <v/>
      </c>
      <c r="AB2984" s="7" t="n"/>
      <c r="AE2984" s="11" t="n"/>
      <c r="AG2984" s="7">
        <f>IF($C2984="","",U2984*X2984/100)</f>
        <v/>
      </c>
      <c r="AH2984" s="7">
        <f>IF($C2984="","",U2984-AG2984)</f>
        <v/>
      </c>
      <c r="AI2984" s="7">
        <f>IF($C2984="","",AH2984-M2984)</f>
        <v/>
      </c>
      <c r="AJ2984">
        <f>IF($C2984="","",IF(COUNTIF($C$2:$C2984,$C2984)=1,1,0))</f>
        <v/>
      </c>
      <c r="AK2984">
        <f>IF($AJ2984=1,SUMPRODUCT(--($AN$2:$AN$4001&lt;$AN2984))+1,"")</f>
        <v/>
      </c>
      <c r="AL2984">
        <f>IF($C2984="","",IF(OR($Q2984=TRUE(),$Q2984="TRUE"),1,0))</f>
        <v/>
      </c>
      <c r="AM2984">
        <f>IF($C2984="","",IF($W2984="Yes",1,0))</f>
        <v/>
      </c>
      <c r="AN2984">
        <f>IF($AJ2984=1,IFERROR(IF(VALUE($C2984)&lt;100000000,VALUE($C2984),1000000000),IFERROR(IF(VALUE(MID($C2984,2,20))&lt;100000000,VALUE(MID($C2984,2,20)),1000000000),1000000000))+ROW()/100000,"")</f>
        <v/>
      </c>
    </row>
    <row r="2985">
      <c r="E2985" s="11" t="n"/>
      <c r="M2985" s="7">
        <f>IF($C2985="","",L2985*U2985/100)</f>
        <v/>
      </c>
      <c r="N2985" s="7" t="n"/>
      <c r="T2985" s="7" t="n"/>
      <c r="U2985" s="7">
        <f>IF($C2985="","",S2985*T2985)</f>
        <v/>
      </c>
      <c r="X2985">
        <f>IF($C2985="","",IF($AM2985=1,0,IF($AL2985=1,Settings!$C$6,Settings!$C$7))*100)</f>
        <v/>
      </c>
      <c r="AB2985" s="7" t="n"/>
      <c r="AE2985" s="11" t="n"/>
      <c r="AG2985" s="7">
        <f>IF($C2985="","",U2985*X2985/100)</f>
        <v/>
      </c>
      <c r="AH2985" s="7">
        <f>IF($C2985="","",U2985-AG2985)</f>
        <v/>
      </c>
      <c r="AI2985" s="7">
        <f>IF($C2985="","",AH2985-M2985)</f>
        <v/>
      </c>
      <c r="AJ2985">
        <f>IF($C2985="","",IF(COUNTIF($C$2:$C2985,$C2985)=1,1,0))</f>
        <v/>
      </c>
      <c r="AK2985">
        <f>IF($AJ2985=1,SUMPRODUCT(--($AN$2:$AN$4001&lt;$AN2985))+1,"")</f>
        <v/>
      </c>
      <c r="AL2985">
        <f>IF($C2985="","",IF(OR($Q2985=TRUE(),$Q2985="TRUE"),1,0))</f>
        <v/>
      </c>
      <c r="AM2985">
        <f>IF($C2985="","",IF($W2985="Yes",1,0))</f>
        <v/>
      </c>
      <c r="AN2985">
        <f>IF($AJ2985=1,IFERROR(IF(VALUE($C2985)&lt;100000000,VALUE($C2985),1000000000),IFERROR(IF(VALUE(MID($C2985,2,20))&lt;100000000,VALUE(MID($C2985,2,20)),1000000000),1000000000))+ROW()/100000,"")</f>
        <v/>
      </c>
    </row>
    <row r="2986">
      <c r="E2986" s="11" t="n"/>
      <c r="M2986" s="7">
        <f>IF($C2986="","",L2986*U2986/100)</f>
        <v/>
      </c>
      <c r="N2986" s="7" t="n"/>
      <c r="T2986" s="7" t="n"/>
      <c r="U2986" s="7">
        <f>IF($C2986="","",S2986*T2986)</f>
        <v/>
      </c>
      <c r="X2986">
        <f>IF($C2986="","",IF($AM2986=1,0,IF($AL2986=1,Settings!$C$6,Settings!$C$7))*100)</f>
        <v/>
      </c>
      <c r="AB2986" s="7" t="n"/>
      <c r="AE2986" s="11" t="n"/>
      <c r="AG2986" s="7">
        <f>IF($C2986="","",U2986*X2986/100)</f>
        <v/>
      </c>
      <c r="AH2986" s="7">
        <f>IF($C2986="","",U2986-AG2986)</f>
        <v/>
      </c>
      <c r="AI2986" s="7">
        <f>IF($C2986="","",AH2986-M2986)</f>
        <v/>
      </c>
      <c r="AJ2986">
        <f>IF($C2986="","",IF(COUNTIF($C$2:$C2986,$C2986)=1,1,0))</f>
        <v/>
      </c>
      <c r="AK2986">
        <f>IF($AJ2986=1,SUMPRODUCT(--($AN$2:$AN$4001&lt;$AN2986))+1,"")</f>
        <v/>
      </c>
      <c r="AL2986">
        <f>IF($C2986="","",IF(OR($Q2986=TRUE(),$Q2986="TRUE"),1,0))</f>
        <v/>
      </c>
      <c r="AM2986">
        <f>IF($C2986="","",IF($W2986="Yes",1,0))</f>
        <v/>
      </c>
      <c r="AN2986">
        <f>IF($AJ2986=1,IFERROR(IF(VALUE($C2986)&lt;100000000,VALUE($C2986),1000000000),IFERROR(IF(VALUE(MID($C2986,2,20))&lt;100000000,VALUE(MID($C2986,2,20)),1000000000),1000000000))+ROW()/100000,"")</f>
        <v/>
      </c>
    </row>
    <row r="2987">
      <c r="E2987" s="11" t="n"/>
      <c r="M2987" s="7">
        <f>IF($C2987="","",L2987*U2987/100)</f>
        <v/>
      </c>
      <c r="N2987" s="7" t="n"/>
      <c r="T2987" s="7" t="n"/>
      <c r="U2987" s="7">
        <f>IF($C2987="","",S2987*T2987)</f>
        <v/>
      </c>
      <c r="X2987">
        <f>IF($C2987="","",IF($AM2987=1,0,IF($AL2987=1,Settings!$C$6,Settings!$C$7))*100)</f>
        <v/>
      </c>
      <c r="AB2987" s="7" t="n"/>
      <c r="AE2987" s="11" t="n"/>
      <c r="AG2987" s="7">
        <f>IF($C2987="","",U2987*X2987/100)</f>
        <v/>
      </c>
      <c r="AH2987" s="7">
        <f>IF($C2987="","",U2987-AG2987)</f>
        <v/>
      </c>
      <c r="AI2987" s="7">
        <f>IF($C2987="","",AH2987-M2987)</f>
        <v/>
      </c>
      <c r="AJ2987">
        <f>IF($C2987="","",IF(COUNTIF($C$2:$C2987,$C2987)=1,1,0))</f>
        <v/>
      </c>
      <c r="AK2987">
        <f>IF($AJ2987=1,SUMPRODUCT(--($AN$2:$AN$4001&lt;$AN2987))+1,"")</f>
        <v/>
      </c>
      <c r="AL2987">
        <f>IF($C2987="","",IF(OR($Q2987=TRUE(),$Q2987="TRUE"),1,0))</f>
        <v/>
      </c>
      <c r="AM2987">
        <f>IF($C2987="","",IF($W2987="Yes",1,0))</f>
        <v/>
      </c>
      <c r="AN2987">
        <f>IF($AJ2987=1,IFERROR(IF(VALUE($C2987)&lt;100000000,VALUE($C2987),1000000000),IFERROR(IF(VALUE(MID($C2987,2,20))&lt;100000000,VALUE(MID($C2987,2,20)),1000000000),1000000000))+ROW()/100000,"")</f>
        <v/>
      </c>
    </row>
    <row r="2988">
      <c r="E2988" s="11" t="n"/>
      <c r="M2988" s="7">
        <f>IF($C2988="","",L2988*U2988/100)</f>
        <v/>
      </c>
      <c r="N2988" s="7" t="n"/>
      <c r="T2988" s="7" t="n"/>
      <c r="U2988" s="7">
        <f>IF($C2988="","",S2988*T2988)</f>
        <v/>
      </c>
      <c r="X2988">
        <f>IF($C2988="","",IF($AM2988=1,0,IF($AL2988=1,Settings!$C$6,Settings!$C$7))*100)</f>
        <v/>
      </c>
      <c r="AB2988" s="7" t="n"/>
      <c r="AE2988" s="11" t="n"/>
      <c r="AG2988" s="7">
        <f>IF($C2988="","",U2988*X2988/100)</f>
        <v/>
      </c>
      <c r="AH2988" s="7">
        <f>IF($C2988="","",U2988-AG2988)</f>
        <v/>
      </c>
      <c r="AI2988" s="7">
        <f>IF($C2988="","",AH2988-M2988)</f>
        <v/>
      </c>
      <c r="AJ2988">
        <f>IF($C2988="","",IF(COUNTIF($C$2:$C2988,$C2988)=1,1,0))</f>
        <v/>
      </c>
      <c r="AK2988">
        <f>IF($AJ2988=1,SUMPRODUCT(--($AN$2:$AN$4001&lt;$AN2988))+1,"")</f>
        <v/>
      </c>
      <c r="AL2988">
        <f>IF($C2988="","",IF(OR($Q2988=TRUE(),$Q2988="TRUE"),1,0))</f>
        <v/>
      </c>
      <c r="AM2988">
        <f>IF($C2988="","",IF($W2988="Yes",1,0))</f>
        <v/>
      </c>
      <c r="AN2988">
        <f>IF($AJ2988=1,IFERROR(IF(VALUE($C2988)&lt;100000000,VALUE($C2988),1000000000),IFERROR(IF(VALUE(MID($C2988,2,20))&lt;100000000,VALUE(MID($C2988,2,20)),1000000000),1000000000))+ROW()/100000,"")</f>
        <v/>
      </c>
    </row>
    <row r="2989">
      <c r="E2989" s="11" t="n"/>
      <c r="M2989" s="7">
        <f>IF($C2989="","",L2989*U2989/100)</f>
        <v/>
      </c>
      <c r="N2989" s="7" t="n"/>
      <c r="T2989" s="7" t="n"/>
      <c r="U2989" s="7">
        <f>IF($C2989="","",S2989*T2989)</f>
        <v/>
      </c>
      <c r="X2989">
        <f>IF($C2989="","",IF($AM2989=1,0,IF($AL2989=1,Settings!$C$6,Settings!$C$7))*100)</f>
        <v/>
      </c>
      <c r="AB2989" s="7" t="n"/>
      <c r="AE2989" s="11" t="n"/>
      <c r="AG2989" s="7">
        <f>IF($C2989="","",U2989*X2989/100)</f>
        <v/>
      </c>
      <c r="AH2989" s="7">
        <f>IF($C2989="","",U2989-AG2989)</f>
        <v/>
      </c>
      <c r="AI2989" s="7">
        <f>IF($C2989="","",AH2989-M2989)</f>
        <v/>
      </c>
      <c r="AJ2989">
        <f>IF($C2989="","",IF(COUNTIF($C$2:$C2989,$C2989)=1,1,0))</f>
        <v/>
      </c>
      <c r="AK2989">
        <f>IF($AJ2989=1,SUMPRODUCT(--($AN$2:$AN$4001&lt;$AN2989))+1,"")</f>
        <v/>
      </c>
      <c r="AL2989">
        <f>IF($C2989="","",IF(OR($Q2989=TRUE(),$Q2989="TRUE"),1,0))</f>
        <v/>
      </c>
      <c r="AM2989">
        <f>IF($C2989="","",IF($W2989="Yes",1,0))</f>
        <v/>
      </c>
      <c r="AN2989">
        <f>IF($AJ2989=1,IFERROR(IF(VALUE($C2989)&lt;100000000,VALUE($C2989),1000000000),IFERROR(IF(VALUE(MID($C2989,2,20))&lt;100000000,VALUE(MID($C2989,2,20)),1000000000),1000000000))+ROW()/100000,"")</f>
        <v/>
      </c>
    </row>
    <row r="2990">
      <c r="E2990" s="11" t="n"/>
      <c r="M2990" s="7">
        <f>IF($C2990="","",L2990*U2990/100)</f>
        <v/>
      </c>
      <c r="N2990" s="7" t="n"/>
      <c r="T2990" s="7" t="n"/>
      <c r="U2990" s="7">
        <f>IF($C2990="","",S2990*T2990)</f>
        <v/>
      </c>
      <c r="X2990">
        <f>IF($C2990="","",IF($AM2990=1,0,IF($AL2990=1,Settings!$C$6,Settings!$C$7))*100)</f>
        <v/>
      </c>
      <c r="AB2990" s="7" t="n"/>
      <c r="AE2990" s="11" t="n"/>
      <c r="AG2990" s="7">
        <f>IF($C2990="","",U2990*X2990/100)</f>
        <v/>
      </c>
      <c r="AH2990" s="7">
        <f>IF($C2990="","",U2990-AG2990)</f>
        <v/>
      </c>
      <c r="AI2990" s="7">
        <f>IF($C2990="","",AH2990-M2990)</f>
        <v/>
      </c>
      <c r="AJ2990">
        <f>IF($C2990="","",IF(COUNTIF($C$2:$C2990,$C2990)=1,1,0))</f>
        <v/>
      </c>
      <c r="AK2990">
        <f>IF($AJ2990=1,SUMPRODUCT(--($AN$2:$AN$4001&lt;$AN2990))+1,"")</f>
        <v/>
      </c>
      <c r="AL2990">
        <f>IF($C2990="","",IF(OR($Q2990=TRUE(),$Q2990="TRUE"),1,0))</f>
        <v/>
      </c>
      <c r="AM2990">
        <f>IF($C2990="","",IF($W2990="Yes",1,0))</f>
        <v/>
      </c>
      <c r="AN2990">
        <f>IF($AJ2990=1,IFERROR(IF(VALUE($C2990)&lt;100000000,VALUE($C2990),1000000000),IFERROR(IF(VALUE(MID($C2990,2,20))&lt;100000000,VALUE(MID($C2990,2,20)),1000000000),1000000000))+ROW()/100000,"")</f>
        <v/>
      </c>
    </row>
    <row r="2991">
      <c r="E2991" s="11" t="n"/>
      <c r="M2991" s="7">
        <f>IF($C2991="","",L2991*U2991/100)</f>
        <v/>
      </c>
      <c r="N2991" s="7" t="n"/>
      <c r="T2991" s="7" t="n"/>
      <c r="U2991" s="7">
        <f>IF($C2991="","",S2991*T2991)</f>
        <v/>
      </c>
      <c r="X2991">
        <f>IF($C2991="","",IF($AM2991=1,0,IF($AL2991=1,Settings!$C$6,Settings!$C$7))*100)</f>
        <v/>
      </c>
      <c r="AB2991" s="7" t="n"/>
      <c r="AE2991" s="11" t="n"/>
      <c r="AG2991" s="7">
        <f>IF($C2991="","",U2991*X2991/100)</f>
        <v/>
      </c>
      <c r="AH2991" s="7">
        <f>IF($C2991="","",U2991-AG2991)</f>
        <v/>
      </c>
      <c r="AI2991" s="7">
        <f>IF($C2991="","",AH2991-M2991)</f>
        <v/>
      </c>
      <c r="AJ2991">
        <f>IF($C2991="","",IF(COUNTIF($C$2:$C2991,$C2991)=1,1,0))</f>
        <v/>
      </c>
      <c r="AK2991">
        <f>IF($AJ2991=1,SUMPRODUCT(--($AN$2:$AN$4001&lt;$AN2991))+1,"")</f>
        <v/>
      </c>
      <c r="AL2991">
        <f>IF($C2991="","",IF(OR($Q2991=TRUE(),$Q2991="TRUE"),1,0))</f>
        <v/>
      </c>
      <c r="AM2991">
        <f>IF($C2991="","",IF($W2991="Yes",1,0))</f>
        <v/>
      </c>
      <c r="AN2991">
        <f>IF($AJ2991=1,IFERROR(IF(VALUE($C2991)&lt;100000000,VALUE($C2991),1000000000),IFERROR(IF(VALUE(MID($C2991,2,20))&lt;100000000,VALUE(MID($C2991,2,20)),1000000000),1000000000))+ROW()/100000,"")</f>
        <v/>
      </c>
    </row>
    <row r="2992">
      <c r="E2992" s="11" t="n"/>
      <c r="M2992" s="7">
        <f>IF($C2992="","",L2992*U2992/100)</f>
        <v/>
      </c>
      <c r="N2992" s="7" t="n"/>
      <c r="T2992" s="7" t="n"/>
      <c r="U2992" s="7">
        <f>IF($C2992="","",S2992*T2992)</f>
        <v/>
      </c>
      <c r="X2992">
        <f>IF($C2992="","",IF($AM2992=1,0,IF($AL2992=1,Settings!$C$6,Settings!$C$7))*100)</f>
        <v/>
      </c>
      <c r="AB2992" s="7" t="n"/>
      <c r="AE2992" s="11" t="n"/>
      <c r="AG2992" s="7">
        <f>IF($C2992="","",U2992*X2992/100)</f>
        <v/>
      </c>
      <c r="AH2992" s="7">
        <f>IF($C2992="","",U2992-AG2992)</f>
        <v/>
      </c>
      <c r="AI2992" s="7">
        <f>IF($C2992="","",AH2992-M2992)</f>
        <v/>
      </c>
      <c r="AJ2992">
        <f>IF($C2992="","",IF(COUNTIF($C$2:$C2992,$C2992)=1,1,0))</f>
        <v/>
      </c>
      <c r="AK2992">
        <f>IF($AJ2992=1,SUMPRODUCT(--($AN$2:$AN$4001&lt;$AN2992))+1,"")</f>
        <v/>
      </c>
      <c r="AL2992">
        <f>IF($C2992="","",IF(OR($Q2992=TRUE(),$Q2992="TRUE"),1,0))</f>
        <v/>
      </c>
      <c r="AM2992">
        <f>IF($C2992="","",IF($W2992="Yes",1,0))</f>
        <v/>
      </c>
      <c r="AN2992">
        <f>IF($AJ2992=1,IFERROR(IF(VALUE($C2992)&lt;100000000,VALUE($C2992),1000000000),IFERROR(IF(VALUE(MID($C2992,2,20))&lt;100000000,VALUE(MID($C2992,2,20)),1000000000),1000000000))+ROW()/100000,"")</f>
        <v/>
      </c>
    </row>
    <row r="2993">
      <c r="E2993" s="11" t="n"/>
      <c r="M2993" s="7">
        <f>IF($C2993="","",L2993*U2993/100)</f>
        <v/>
      </c>
      <c r="N2993" s="7" t="n"/>
      <c r="T2993" s="7" t="n"/>
      <c r="U2993" s="7">
        <f>IF($C2993="","",S2993*T2993)</f>
        <v/>
      </c>
      <c r="X2993">
        <f>IF($C2993="","",IF($AM2993=1,0,IF($AL2993=1,Settings!$C$6,Settings!$C$7))*100)</f>
        <v/>
      </c>
      <c r="AB2993" s="7" t="n"/>
      <c r="AE2993" s="11" t="n"/>
      <c r="AG2993" s="7">
        <f>IF($C2993="","",U2993*X2993/100)</f>
        <v/>
      </c>
      <c r="AH2993" s="7">
        <f>IF($C2993="","",U2993-AG2993)</f>
        <v/>
      </c>
      <c r="AI2993" s="7">
        <f>IF($C2993="","",AH2993-M2993)</f>
        <v/>
      </c>
      <c r="AJ2993">
        <f>IF($C2993="","",IF(COUNTIF($C$2:$C2993,$C2993)=1,1,0))</f>
        <v/>
      </c>
      <c r="AK2993">
        <f>IF($AJ2993=1,SUMPRODUCT(--($AN$2:$AN$4001&lt;$AN2993))+1,"")</f>
        <v/>
      </c>
      <c r="AL2993">
        <f>IF($C2993="","",IF(OR($Q2993=TRUE(),$Q2993="TRUE"),1,0))</f>
        <v/>
      </c>
      <c r="AM2993">
        <f>IF($C2993="","",IF($W2993="Yes",1,0))</f>
        <v/>
      </c>
      <c r="AN2993">
        <f>IF($AJ2993=1,IFERROR(IF(VALUE($C2993)&lt;100000000,VALUE($C2993),1000000000),IFERROR(IF(VALUE(MID($C2993,2,20))&lt;100000000,VALUE(MID($C2993,2,20)),1000000000),1000000000))+ROW()/100000,"")</f>
        <v/>
      </c>
    </row>
    <row r="2994">
      <c r="E2994" s="11" t="n"/>
      <c r="M2994" s="7">
        <f>IF($C2994="","",L2994*U2994/100)</f>
        <v/>
      </c>
      <c r="N2994" s="7" t="n"/>
      <c r="T2994" s="7" t="n"/>
      <c r="U2994" s="7">
        <f>IF($C2994="","",S2994*T2994)</f>
        <v/>
      </c>
      <c r="X2994">
        <f>IF($C2994="","",IF($AM2994=1,0,IF($AL2994=1,Settings!$C$6,Settings!$C$7))*100)</f>
        <v/>
      </c>
      <c r="AB2994" s="7" t="n"/>
      <c r="AE2994" s="11" t="n"/>
      <c r="AG2994" s="7">
        <f>IF($C2994="","",U2994*X2994/100)</f>
        <v/>
      </c>
      <c r="AH2994" s="7">
        <f>IF($C2994="","",U2994-AG2994)</f>
        <v/>
      </c>
      <c r="AI2994" s="7">
        <f>IF($C2994="","",AH2994-M2994)</f>
        <v/>
      </c>
      <c r="AJ2994">
        <f>IF($C2994="","",IF(COUNTIF($C$2:$C2994,$C2994)=1,1,0))</f>
        <v/>
      </c>
      <c r="AK2994">
        <f>IF($AJ2994=1,SUMPRODUCT(--($AN$2:$AN$4001&lt;$AN2994))+1,"")</f>
        <v/>
      </c>
      <c r="AL2994">
        <f>IF($C2994="","",IF(OR($Q2994=TRUE(),$Q2994="TRUE"),1,0))</f>
        <v/>
      </c>
      <c r="AM2994">
        <f>IF($C2994="","",IF($W2994="Yes",1,0))</f>
        <v/>
      </c>
      <c r="AN2994">
        <f>IF($AJ2994=1,IFERROR(IF(VALUE($C2994)&lt;100000000,VALUE($C2994),1000000000),IFERROR(IF(VALUE(MID($C2994,2,20))&lt;100000000,VALUE(MID($C2994,2,20)),1000000000),1000000000))+ROW()/100000,"")</f>
        <v/>
      </c>
    </row>
    <row r="2995">
      <c r="E2995" s="11" t="n"/>
      <c r="M2995" s="7">
        <f>IF($C2995="","",L2995*U2995/100)</f>
        <v/>
      </c>
      <c r="N2995" s="7" t="n"/>
      <c r="T2995" s="7" t="n"/>
      <c r="U2995" s="7">
        <f>IF($C2995="","",S2995*T2995)</f>
        <v/>
      </c>
      <c r="X2995">
        <f>IF($C2995="","",IF($AM2995=1,0,IF($AL2995=1,Settings!$C$6,Settings!$C$7))*100)</f>
        <v/>
      </c>
      <c r="AB2995" s="7" t="n"/>
      <c r="AE2995" s="11" t="n"/>
      <c r="AG2995" s="7">
        <f>IF($C2995="","",U2995*X2995/100)</f>
        <v/>
      </c>
      <c r="AH2995" s="7">
        <f>IF($C2995="","",U2995-AG2995)</f>
        <v/>
      </c>
      <c r="AI2995" s="7">
        <f>IF($C2995="","",AH2995-M2995)</f>
        <v/>
      </c>
      <c r="AJ2995">
        <f>IF($C2995="","",IF(COUNTIF($C$2:$C2995,$C2995)=1,1,0))</f>
        <v/>
      </c>
      <c r="AK2995">
        <f>IF($AJ2995=1,SUMPRODUCT(--($AN$2:$AN$4001&lt;$AN2995))+1,"")</f>
        <v/>
      </c>
      <c r="AL2995">
        <f>IF($C2995="","",IF(OR($Q2995=TRUE(),$Q2995="TRUE"),1,0))</f>
        <v/>
      </c>
      <c r="AM2995">
        <f>IF($C2995="","",IF($W2995="Yes",1,0))</f>
        <v/>
      </c>
      <c r="AN2995">
        <f>IF($AJ2995=1,IFERROR(IF(VALUE($C2995)&lt;100000000,VALUE($C2995),1000000000),IFERROR(IF(VALUE(MID($C2995,2,20))&lt;100000000,VALUE(MID($C2995,2,20)),1000000000),1000000000))+ROW()/100000,"")</f>
        <v/>
      </c>
    </row>
    <row r="2996">
      <c r="E2996" s="11" t="n"/>
      <c r="M2996" s="7">
        <f>IF($C2996="","",L2996*U2996/100)</f>
        <v/>
      </c>
      <c r="N2996" s="7" t="n"/>
      <c r="T2996" s="7" t="n"/>
      <c r="U2996" s="7">
        <f>IF($C2996="","",S2996*T2996)</f>
        <v/>
      </c>
      <c r="X2996">
        <f>IF($C2996="","",IF($AM2996=1,0,IF($AL2996=1,Settings!$C$6,Settings!$C$7))*100)</f>
        <v/>
      </c>
      <c r="AB2996" s="7" t="n"/>
      <c r="AE2996" s="11" t="n"/>
      <c r="AG2996" s="7">
        <f>IF($C2996="","",U2996*X2996/100)</f>
        <v/>
      </c>
      <c r="AH2996" s="7">
        <f>IF($C2996="","",U2996-AG2996)</f>
        <v/>
      </c>
      <c r="AI2996" s="7">
        <f>IF($C2996="","",AH2996-M2996)</f>
        <v/>
      </c>
      <c r="AJ2996">
        <f>IF($C2996="","",IF(COUNTIF($C$2:$C2996,$C2996)=1,1,0))</f>
        <v/>
      </c>
      <c r="AK2996">
        <f>IF($AJ2996=1,SUMPRODUCT(--($AN$2:$AN$4001&lt;$AN2996))+1,"")</f>
        <v/>
      </c>
      <c r="AL2996">
        <f>IF($C2996="","",IF(OR($Q2996=TRUE(),$Q2996="TRUE"),1,0))</f>
        <v/>
      </c>
      <c r="AM2996">
        <f>IF($C2996="","",IF($W2996="Yes",1,0))</f>
        <v/>
      </c>
      <c r="AN2996">
        <f>IF($AJ2996=1,IFERROR(IF(VALUE($C2996)&lt;100000000,VALUE($C2996),1000000000),IFERROR(IF(VALUE(MID($C2996,2,20))&lt;100000000,VALUE(MID($C2996,2,20)),1000000000),1000000000))+ROW()/100000,"")</f>
        <v/>
      </c>
    </row>
    <row r="2997">
      <c r="E2997" s="11" t="n"/>
      <c r="M2997" s="7">
        <f>IF($C2997="","",L2997*U2997/100)</f>
        <v/>
      </c>
      <c r="N2997" s="7" t="n"/>
      <c r="T2997" s="7" t="n"/>
      <c r="U2997" s="7">
        <f>IF($C2997="","",S2997*T2997)</f>
        <v/>
      </c>
      <c r="X2997">
        <f>IF($C2997="","",IF($AM2997=1,0,IF($AL2997=1,Settings!$C$6,Settings!$C$7))*100)</f>
        <v/>
      </c>
      <c r="AB2997" s="7" t="n"/>
      <c r="AE2997" s="11" t="n"/>
      <c r="AG2997" s="7">
        <f>IF($C2997="","",U2997*X2997/100)</f>
        <v/>
      </c>
      <c r="AH2997" s="7">
        <f>IF($C2997="","",U2997-AG2997)</f>
        <v/>
      </c>
      <c r="AI2997" s="7">
        <f>IF($C2997="","",AH2997-M2997)</f>
        <v/>
      </c>
      <c r="AJ2997">
        <f>IF($C2997="","",IF(COUNTIF($C$2:$C2997,$C2997)=1,1,0))</f>
        <v/>
      </c>
      <c r="AK2997">
        <f>IF($AJ2997=1,SUMPRODUCT(--($AN$2:$AN$4001&lt;$AN2997))+1,"")</f>
        <v/>
      </c>
      <c r="AL2997">
        <f>IF($C2997="","",IF(OR($Q2997=TRUE(),$Q2997="TRUE"),1,0))</f>
        <v/>
      </c>
      <c r="AM2997">
        <f>IF($C2997="","",IF($W2997="Yes",1,0))</f>
        <v/>
      </c>
      <c r="AN2997">
        <f>IF($AJ2997=1,IFERROR(IF(VALUE($C2997)&lt;100000000,VALUE($C2997),1000000000),IFERROR(IF(VALUE(MID($C2997,2,20))&lt;100000000,VALUE(MID($C2997,2,20)),1000000000),1000000000))+ROW()/100000,"")</f>
        <v/>
      </c>
    </row>
    <row r="2998">
      <c r="E2998" s="11" t="n"/>
      <c r="M2998" s="7">
        <f>IF($C2998="","",L2998*U2998/100)</f>
        <v/>
      </c>
      <c r="N2998" s="7" t="n"/>
      <c r="T2998" s="7" t="n"/>
      <c r="U2998" s="7">
        <f>IF($C2998="","",S2998*T2998)</f>
        <v/>
      </c>
      <c r="X2998">
        <f>IF($C2998="","",IF($AM2998=1,0,IF($AL2998=1,Settings!$C$6,Settings!$C$7))*100)</f>
        <v/>
      </c>
      <c r="AB2998" s="7" t="n"/>
      <c r="AE2998" s="11" t="n"/>
      <c r="AG2998" s="7">
        <f>IF($C2998="","",U2998*X2998/100)</f>
        <v/>
      </c>
      <c r="AH2998" s="7">
        <f>IF($C2998="","",U2998-AG2998)</f>
        <v/>
      </c>
      <c r="AI2998" s="7">
        <f>IF($C2998="","",AH2998-M2998)</f>
        <v/>
      </c>
      <c r="AJ2998">
        <f>IF($C2998="","",IF(COUNTIF($C$2:$C2998,$C2998)=1,1,0))</f>
        <v/>
      </c>
      <c r="AK2998">
        <f>IF($AJ2998=1,SUMPRODUCT(--($AN$2:$AN$4001&lt;$AN2998))+1,"")</f>
        <v/>
      </c>
      <c r="AL2998">
        <f>IF($C2998="","",IF(OR($Q2998=TRUE(),$Q2998="TRUE"),1,0))</f>
        <v/>
      </c>
      <c r="AM2998">
        <f>IF($C2998="","",IF($W2998="Yes",1,0))</f>
        <v/>
      </c>
      <c r="AN2998">
        <f>IF($AJ2998=1,IFERROR(IF(VALUE($C2998)&lt;100000000,VALUE($C2998),1000000000),IFERROR(IF(VALUE(MID($C2998,2,20))&lt;100000000,VALUE(MID($C2998,2,20)),1000000000),1000000000))+ROW()/100000,"")</f>
        <v/>
      </c>
    </row>
    <row r="2999">
      <c r="E2999" s="11" t="n"/>
      <c r="M2999" s="7">
        <f>IF($C2999="","",L2999*U2999/100)</f>
        <v/>
      </c>
      <c r="N2999" s="7" t="n"/>
      <c r="T2999" s="7" t="n"/>
      <c r="U2999" s="7">
        <f>IF($C2999="","",S2999*T2999)</f>
        <v/>
      </c>
      <c r="X2999">
        <f>IF($C2999="","",IF($AM2999=1,0,IF($AL2999=1,Settings!$C$6,Settings!$C$7))*100)</f>
        <v/>
      </c>
      <c r="AB2999" s="7" t="n"/>
      <c r="AE2999" s="11" t="n"/>
      <c r="AG2999" s="7">
        <f>IF($C2999="","",U2999*X2999/100)</f>
        <v/>
      </c>
      <c r="AH2999" s="7">
        <f>IF($C2999="","",U2999-AG2999)</f>
        <v/>
      </c>
      <c r="AI2999" s="7">
        <f>IF($C2999="","",AH2999-M2999)</f>
        <v/>
      </c>
      <c r="AJ2999">
        <f>IF($C2999="","",IF(COUNTIF($C$2:$C2999,$C2999)=1,1,0))</f>
        <v/>
      </c>
      <c r="AK2999">
        <f>IF($AJ2999=1,SUMPRODUCT(--($AN$2:$AN$4001&lt;$AN2999))+1,"")</f>
        <v/>
      </c>
      <c r="AL2999">
        <f>IF($C2999="","",IF(OR($Q2999=TRUE(),$Q2999="TRUE"),1,0))</f>
        <v/>
      </c>
      <c r="AM2999">
        <f>IF($C2999="","",IF($W2999="Yes",1,0))</f>
        <v/>
      </c>
      <c r="AN2999">
        <f>IF($AJ2999=1,IFERROR(IF(VALUE($C2999)&lt;100000000,VALUE($C2999),1000000000),IFERROR(IF(VALUE(MID($C2999,2,20))&lt;100000000,VALUE(MID($C2999,2,20)),1000000000),1000000000))+ROW()/100000,"")</f>
        <v/>
      </c>
    </row>
    <row r="3000">
      <c r="E3000" s="11" t="n"/>
      <c r="M3000" s="7">
        <f>IF($C3000="","",L3000*U3000/100)</f>
        <v/>
      </c>
      <c r="N3000" s="7" t="n"/>
      <c r="T3000" s="7" t="n"/>
      <c r="U3000" s="7">
        <f>IF($C3000="","",S3000*T3000)</f>
        <v/>
      </c>
      <c r="X3000">
        <f>IF($C3000="","",IF($AM3000=1,0,IF($AL3000=1,Settings!$C$6,Settings!$C$7))*100)</f>
        <v/>
      </c>
      <c r="AB3000" s="7" t="n"/>
      <c r="AE3000" s="11" t="n"/>
      <c r="AG3000" s="7">
        <f>IF($C3000="","",U3000*X3000/100)</f>
        <v/>
      </c>
      <c r="AH3000" s="7">
        <f>IF($C3000="","",U3000-AG3000)</f>
        <v/>
      </c>
      <c r="AI3000" s="7">
        <f>IF($C3000="","",AH3000-M3000)</f>
        <v/>
      </c>
      <c r="AJ3000">
        <f>IF($C3000="","",IF(COUNTIF($C$2:$C3000,$C3000)=1,1,0))</f>
        <v/>
      </c>
      <c r="AK3000">
        <f>IF($AJ3000=1,SUMPRODUCT(--($AN$2:$AN$4001&lt;$AN3000))+1,"")</f>
        <v/>
      </c>
      <c r="AL3000">
        <f>IF($C3000="","",IF(OR($Q3000=TRUE(),$Q3000="TRUE"),1,0))</f>
        <v/>
      </c>
      <c r="AM3000">
        <f>IF($C3000="","",IF($W3000="Yes",1,0))</f>
        <v/>
      </c>
      <c r="AN3000">
        <f>IF($AJ3000=1,IFERROR(IF(VALUE($C3000)&lt;100000000,VALUE($C3000),1000000000),IFERROR(IF(VALUE(MID($C3000,2,20))&lt;100000000,VALUE(MID($C3000,2,20)),1000000000),1000000000))+ROW()/100000,"")</f>
        <v/>
      </c>
    </row>
    <row r="3001">
      <c r="E3001" s="11" t="n"/>
      <c r="M3001" s="7">
        <f>IF($C3001="","",L3001*U3001/100)</f>
        <v/>
      </c>
      <c r="N3001" s="7" t="n"/>
      <c r="T3001" s="7" t="n"/>
      <c r="U3001" s="7">
        <f>IF($C3001="","",S3001*T3001)</f>
        <v/>
      </c>
      <c r="X3001">
        <f>IF($C3001="","",IF($AM3001=1,0,IF($AL3001=1,Settings!$C$6,Settings!$C$7))*100)</f>
        <v/>
      </c>
      <c r="AB3001" s="7" t="n"/>
      <c r="AE3001" s="11" t="n"/>
      <c r="AG3001" s="7">
        <f>IF($C3001="","",U3001*X3001/100)</f>
        <v/>
      </c>
      <c r="AH3001" s="7">
        <f>IF($C3001="","",U3001-AG3001)</f>
        <v/>
      </c>
      <c r="AI3001" s="7">
        <f>IF($C3001="","",AH3001-M3001)</f>
        <v/>
      </c>
      <c r="AJ3001">
        <f>IF($C3001="","",IF(COUNTIF($C$2:$C3001,$C3001)=1,1,0))</f>
        <v/>
      </c>
      <c r="AK3001">
        <f>IF($AJ3001=1,SUMPRODUCT(--($AN$2:$AN$4001&lt;$AN3001))+1,"")</f>
        <v/>
      </c>
      <c r="AL3001">
        <f>IF($C3001="","",IF(OR($Q3001=TRUE(),$Q3001="TRUE"),1,0))</f>
        <v/>
      </c>
      <c r="AM3001">
        <f>IF($C3001="","",IF($W3001="Yes",1,0))</f>
        <v/>
      </c>
      <c r="AN3001">
        <f>IF($AJ3001=1,IFERROR(IF(VALUE($C3001)&lt;100000000,VALUE($C3001),1000000000),IFERROR(IF(VALUE(MID($C3001,2,20))&lt;100000000,VALUE(MID($C3001,2,20)),1000000000),1000000000))+ROW()/100000,"")</f>
        <v/>
      </c>
    </row>
    <row r="3002">
      <c r="E3002" s="11" t="n"/>
      <c r="M3002" s="7">
        <f>IF($C3002="","",L3002*U3002/100)</f>
        <v/>
      </c>
      <c r="N3002" s="7" t="n"/>
      <c r="T3002" s="7" t="n"/>
      <c r="U3002" s="7">
        <f>IF($C3002="","",S3002*T3002)</f>
        <v/>
      </c>
      <c r="X3002">
        <f>IF($C3002="","",IF($AM3002=1,0,IF($AL3002=1,Settings!$C$6,Settings!$C$7))*100)</f>
        <v/>
      </c>
      <c r="AB3002" s="7" t="n"/>
      <c r="AE3002" s="11" t="n"/>
      <c r="AG3002" s="7">
        <f>IF($C3002="","",U3002*X3002/100)</f>
        <v/>
      </c>
      <c r="AH3002" s="7">
        <f>IF($C3002="","",U3002-AG3002)</f>
        <v/>
      </c>
      <c r="AI3002" s="7">
        <f>IF($C3002="","",AH3002-M3002)</f>
        <v/>
      </c>
      <c r="AJ3002">
        <f>IF($C3002="","",IF(COUNTIF($C$2:$C3002,$C3002)=1,1,0))</f>
        <v/>
      </c>
      <c r="AK3002">
        <f>IF($AJ3002=1,SUMPRODUCT(--($AN$2:$AN$4001&lt;$AN3002))+1,"")</f>
        <v/>
      </c>
      <c r="AL3002">
        <f>IF($C3002="","",IF(OR($Q3002=TRUE(),$Q3002="TRUE"),1,0))</f>
        <v/>
      </c>
      <c r="AM3002">
        <f>IF($C3002="","",IF($W3002="Yes",1,0))</f>
        <v/>
      </c>
      <c r="AN3002">
        <f>IF($AJ3002=1,IFERROR(IF(VALUE($C3002)&lt;100000000,VALUE($C3002),1000000000),IFERROR(IF(VALUE(MID($C3002,2,20))&lt;100000000,VALUE(MID($C3002,2,20)),1000000000),1000000000))+ROW()/100000,"")</f>
        <v/>
      </c>
    </row>
    <row r="3003">
      <c r="E3003" s="11" t="n"/>
      <c r="M3003" s="7">
        <f>IF($C3003="","",L3003*U3003/100)</f>
        <v/>
      </c>
      <c r="N3003" s="7" t="n"/>
      <c r="T3003" s="7" t="n"/>
      <c r="U3003" s="7">
        <f>IF($C3003="","",S3003*T3003)</f>
        <v/>
      </c>
      <c r="X3003">
        <f>IF($C3003="","",IF($AM3003=1,0,IF($AL3003=1,Settings!$C$6,Settings!$C$7))*100)</f>
        <v/>
      </c>
      <c r="AB3003" s="7" t="n"/>
      <c r="AE3003" s="11" t="n"/>
      <c r="AG3003" s="7">
        <f>IF($C3003="","",U3003*X3003/100)</f>
        <v/>
      </c>
      <c r="AH3003" s="7">
        <f>IF($C3003="","",U3003-AG3003)</f>
        <v/>
      </c>
      <c r="AI3003" s="7">
        <f>IF($C3003="","",AH3003-M3003)</f>
        <v/>
      </c>
      <c r="AJ3003">
        <f>IF($C3003="","",IF(COUNTIF($C$2:$C3003,$C3003)=1,1,0))</f>
        <v/>
      </c>
      <c r="AK3003">
        <f>IF($AJ3003=1,SUMPRODUCT(--($AN$2:$AN$4001&lt;$AN3003))+1,"")</f>
        <v/>
      </c>
      <c r="AL3003">
        <f>IF($C3003="","",IF(OR($Q3003=TRUE(),$Q3003="TRUE"),1,0))</f>
        <v/>
      </c>
      <c r="AM3003">
        <f>IF($C3003="","",IF($W3003="Yes",1,0))</f>
        <v/>
      </c>
      <c r="AN3003">
        <f>IF($AJ3003=1,IFERROR(IF(VALUE($C3003)&lt;100000000,VALUE($C3003),1000000000),IFERROR(IF(VALUE(MID($C3003,2,20))&lt;100000000,VALUE(MID($C3003,2,20)),1000000000),1000000000))+ROW()/100000,"")</f>
        <v/>
      </c>
    </row>
    <row r="3004">
      <c r="E3004" s="11" t="n"/>
      <c r="M3004" s="7">
        <f>IF($C3004="","",L3004*U3004/100)</f>
        <v/>
      </c>
      <c r="N3004" s="7" t="n"/>
      <c r="T3004" s="7" t="n"/>
      <c r="U3004" s="7">
        <f>IF($C3004="","",S3004*T3004)</f>
        <v/>
      </c>
      <c r="X3004">
        <f>IF($C3004="","",IF($AM3004=1,0,IF($AL3004=1,Settings!$C$6,Settings!$C$7))*100)</f>
        <v/>
      </c>
      <c r="AB3004" s="7" t="n"/>
      <c r="AE3004" s="11" t="n"/>
      <c r="AG3004" s="7">
        <f>IF($C3004="","",U3004*X3004/100)</f>
        <v/>
      </c>
      <c r="AH3004" s="7">
        <f>IF($C3004="","",U3004-AG3004)</f>
        <v/>
      </c>
      <c r="AI3004" s="7">
        <f>IF($C3004="","",AH3004-M3004)</f>
        <v/>
      </c>
      <c r="AJ3004">
        <f>IF($C3004="","",IF(COUNTIF($C$2:$C3004,$C3004)=1,1,0))</f>
        <v/>
      </c>
      <c r="AK3004">
        <f>IF($AJ3004=1,SUMPRODUCT(--($AN$2:$AN$4001&lt;$AN3004))+1,"")</f>
        <v/>
      </c>
      <c r="AL3004">
        <f>IF($C3004="","",IF(OR($Q3004=TRUE(),$Q3004="TRUE"),1,0))</f>
        <v/>
      </c>
      <c r="AM3004">
        <f>IF($C3004="","",IF($W3004="Yes",1,0))</f>
        <v/>
      </c>
      <c r="AN3004">
        <f>IF($AJ3004=1,IFERROR(IF(VALUE($C3004)&lt;100000000,VALUE($C3004),1000000000),IFERROR(IF(VALUE(MID($C3004,2,20))&lt;100000000,VALUE(MID($C3004,2,20)),1000000000),1000000000))+ROW()/100000,"")</f>
        <v/>
      </c>
    </row>
    <row r="3005">
      <c r="E3005" s="11" t="n"/>
      <c r="M3005" s="7">
        <f>IF($C3005="","",L3005*U3005/100)</f>
        <v/>
      </c>
      <c r="N3005" s="7" t="n"/>
      <c r="T3005" s="7" t="n"/>
      <c r="U3005" s="7">
        <f>IF($C3005="","",S3005*T3005)</f>
        <v/>
      </c>
      <c r="X3005">
        <f>IF($C3005="","",IF($AM3005=1,0,IF($AL3005=1,Settings!$C$6,Settings!$C$7))*100)</f>
        <v/>
      </c>
      <c r="AB3005" s="7" t="n"/>
      <c r="AE3005" s="11" t="n"/>
      <c r="AG3005" s="7">
        <f>IF($C3005="","",U3005*X3005/100)</f>
        <v/>
      </c>
      <c r="AH3005" s="7">
        <f>IF($C3005="","",U3005-AG3005)</f>
        <v/>
      </c>
      <c r="AI3005" s="7">
        <f>IF($C3005="","",AH3005-M3005)</f>
        <v/>
      </c>
      <c r="AJ3005">
        <f>IF($C3005="","",IF(COUNTIF($C$2:$C3005,$C3005)=1,1,0))</f>
        <v/>
      </c>
      <c r="AK3005">
        <f>IF($AJ3005=1,SUMPRODUCT(--($AN$2:$AN$4001&lt;$AN3005))+1,"")</f>
        <v/>
      </c>
      <c r="AL3005">
        <f>IF($C3005="","",IF(OR($Q3005=TRUE(),$Q3005="TRUE"),1,0))</f>
        <v/>
      </c>
      <c r="AM3005">
        <f>IF($C3005="","",IF($W3005="Yes",1,0))</f>
        <v/>
      </c>
      <c r="AN3005">
        <f>IF($AJ3005=1,IFERROR(IF(VALUE($C3005)&lt;100000000,VALUE($C3005),1000000000),IFERROR(IF(VALUE(MID($C3005,2,20))&lt;100000000,VALUE(MID($C3005,2,20)),1000000000),1000000000))+ROW()/100000,"")</f>
        <v/>
      </c>
    </row>
    <row r="3006">
      <c r="E3006" s="11" t="n"/>
      <c r="M3006" s="7">
        <f>IF($C3006="","",L3006*U3006/100)</f>
        <v/>
      </c>
      <c r="N3006" s="7" t="n"/>
      <c r="T3006" s="7" t="n"/>
      <c r="U3006" s="7">
        <f>IF($C3006="","",S3006*T3006)</f>
        <v/>
      </c>
      <c r="X3006">
        <f>IF($C3006="","",IF($AM3006=1,0,IF($AL3006=1,Settings!$C$6,Settings!$C$7))*100)</f>
        <v/>
      </c>
      <c r="AB3006" s="7" t="n"/>
      <c r="AE3006" s="11" t="n"/>
      <c r="AG3006" s="7">
        <f>IF($C3006="","",U3006*X3006/100)</f>
        <v/>
      </c>
      <c r="AH3006" s="7">
        <f>IF($C3006="","",U3006-AG3006)</f>
        <v/>
      </c>
      <c r="AI3006" s="7">
        <f>IF($C3006="","",AH3006-M3006)</f>
        <v/>
      </c>
      <c r="AJ3006">
        <f>IF($C3006="","",IF(COUNTIF($C$2:$C3006,$C3006)=1,1,0))</f>
        <v/>
      </c>
      <c r="AK3006">
        <f>IF($AJ3006=1,SUMPRODUCT(--($AN$2:$AN$4001&lt;$AN3006))+1,"")</f>
        <v/>
      </c>
      <c r="AL3006">
        <f>IF($C3006="","",IF(OR($Q3006=TRUE(),$Q3006="TRUE"),1,0))</f>
        <v/>
      </c>
      <c r="AM3006">
        <f>IF($C3006="","",IF($W3006="Yes",1,0))</f>
        <v/>
      </c>
      <c r="AN3006">
        <f>IF($AJ3006=1,IFERROR(IF(VALUE($C3006)&lt;100000000,VALUE($C3006),1000000000),IFERROR(IF(VALUE(MID($C3006,2,20))&lt;100000000,VALUE(MID($C3006,2,20)),1000000000),1000000000))+ROW()/100000,"")</f>
        <v/>
      </c>
    </row>
    <row r="3007">
      <c r="E3007" s="11" t="n"/>
      <c r="M3007" s="7">
        <f>IF($C3007="","",L3007*U3007/100)</f>
        <v/>
      </c>
      <c r="N3007" s="7" t="n"/>
      <c r="T3007" s="7" t="n"/>
      <c r="U3007" s="7">
        <f>IF($C3007="","",S3007*T3007)</f>
        <v/>
      </c>
      <c r="X3007">
        <f>IF($C3007="","",IF($AM3007=1,0,IF($AL3007=1,Settings!$C$6,Settings!$C$7))*100)</f>
        <v/>
      </c>
      <c r="AB3007" s="7" t="n"/>
      <c r="AE3007" s="11" t="n"/>
      <c r="AG3007" s="7">
        <f>IF($C3007="","",U3007*X3007/100)</f>
        <v/>
      </c>
      <c r="AH3007" s="7">
        <f>IF($C3007="","",U3007-AG3007)</f>
        <v/>
      </c>
      <c r="AI3007" s="7">
        <f>IF($C3007="","",AH3007-M3007)</f>
        <v/>
      </c>
      <c r="AJ3007">
        <f>IF($C3007="","",IF(COUNTIF($C$2:$C3007,$C3007)=1,1,0))</f>
        <v/>
      </c>
      <c r="AK3007">
        <f>IF($AJ3007=1,SUMPRODUCT(--($AN$2:$AN$4001&lt;$AN3007))+1,"")</f>
        <v/>
      </c>
      <c r="AL3007">
        <f>IF($C3007="","",IF(OR($Q3007=TRUE(),$Q3007="TRUE"),1,0))</f>
        <v/>
      </c>
      <c r="AM3007">
        <f>IF($C3007="","",IF($W3007="Yes",1,0))</f>
        <v/>
      </c>
      <c r="AN3007">
        <f>IF($AJ3007=1,IFERROR(IF(VALUE($C3007)&lt;100000000,VALUE($C3007),1000000000),IFERROR(IF(VALUE(MID($C3007,2,20))&lt;100000000,VALUE(MID($C3007,2,20)),1000000000),1000000000))+ROW()/100000,"")</f>
        <v/>
      </c>
    </row>
    <row r="3008">
      <c r="E3008" s="11" t="n"/>
      <c r="M3008" s="7">
        <f>IF($C3008="","",L3008*U3008/100)</f>
        <v/>
      </c>
      <c r="N3008" s="7" t="n"/>
      <c r="T3008" s="7" t="n"/>
      <c r="U3008" s="7">
        <f>IF($C3008="","",S3008*T3008)</f>
        <v/>
      </c>
      <c r="X3008">
        <f>IF($C3008="","",IF($AM3008=1,0,IF($AL3008=1,Settings!$C$6,Settings!$C$7))*100)</f>
        <v/>
      </c>
      <c r="AB3008" s="7" t="n"/>
      <c r="AE3008" s="11" t="n"/>
      <c r="AG3008" s="7">
        <f>IF($C3008="","",U3008*X3008/100)</f>
        <v/>
      </c>
      <c r="AH3008" s="7">
        <f>IF($C3008="","",U3008-AG3008)</f>
        <v/>
      </c>
      <c r="AI3008" s="7">
        <f>IF($C3008="","",AH3008-M3008)</f>
        <v/>
      </c>
      <c r="AJ3008">
        <f>IF($C3008="","",IF(COUNTIF($C$2:$C3008,$C3008)=1,1,0))</f>
        <v/>
      </c>
      <c r="AK3008">
        <f>IF($AJ3008=1,SUMPRODUCT(--($AN$2:$AN$4001&lt;$AN3008))+1,"")</f>
        <v/>
      </c>
      <c r="AL3008">
        <f>IF($C3008="","",IF(OR($Q3008=TRUE(),$Q3008="TRUE"),1,0))</f>
        <v/>
      </c>
      <c r="AM3008">
        <f>IF($C3008="","",IF($W3008="Yes",1,0))</f>
        <v/>
      </c>
      <c r="AN3008">
        <f>IF($AJ3008=1,IFERROR(IF(VALUE($C3008)&lt;100000000,VALUE($C3008),1000000000),IFERROR(IF(VALUE(MID($C3008,2,20))&lt;100000000,VALUE(MID($C3008,2,20)),1000000000),1000000000))+ROW()/100000,"")</f>
        <v/>
      </c>
    </row>
    <row r="3009">
      <c r="E3009" s="11" t="n"/>
      <c r="M3009" s="7">
        <f>IF($C3009="","",L3009*U3009/100)</f>
        <v/>
      </c>
      <c r="N3009" s="7" t="n"/>
      <c r="T3009" s="7" t="n"/>
      <c r="U3009" s="7">
        <f>IF($C3009="","",S3009*T3009)</f>
        <v/>
      </c>
      <c r="X3009">
        <f>IF($C3009="","",IF($AM3009=1,0,IF($AL3009=1,Settings!$C$6,Settings!$C$7))*100)</f>
        <v/>
      </c>
      <c r="AB3009" s="7" t="n"/>
      <c r="AE3009" s="11" t="n"/>
      <c r="AG3009" s="7">
        <f>IF($C3009="","",U3009*X3009/100)</f>
        <v/>
      </c>
      <c r="AH3009" s="7">
        <f>IF($C3009="","",U3009-AG3009)</f>
        <v/>
      </c>
      <c r="AI3009" s="7">
        <f>IF($C3009="","",AH3009-M3009)</f>
        <v/>
      </c>
      <c r="AJ3009">
        <f>IF($C3009="","",IF(COUNTIF($C$2:$C3009,$C3009)=1,1,0))</f>
        <v/>
      </c>
      <c r="AK3009">
        <f>IF($AJ3009=1,SUMPRODUCT(--($AN$2:$AN$4001&lt;$AN3009))+1,"")</f>
        <v/>
      </c>
      <c r="AL3009">
        <f>IF($C3009="","",IF(OR($Q3009=TRUE(),$Q3009="TRUE"),1,0))</f>
        <v/>
      </c>
      <c r="AM3009">
        <f>IF($C3009="","",IF($W3009="Yes",1,0))</f>
        <v/>
      </c>
      <c r="AN3009">
        <f>IF($AJ3009=1,IFERROR(IF(VALUE($C3009)&lt;100000000,VALUE($C3009),1000000000),IFERROR(IF(VALUE(MID($C3009,2,20))&lt;100000000,VALUE(MID($C3009,2,20)),1000000000),1000000000))+ROW()/100000,"")</f>
        <v/>
      </c>
    </row>
    <row r="3010">
      <c r="E3010" s="11" t="n"/>
      <c r="M3010" s="7">
        <f>IF($C3010="","",L3010*U3010/100)</f>
        <v/>
      </c>
      <c r="N3010" s="7" t="n"/>
      <c r="T3010" s="7" t="n"/>
      <c r="U3010" s="7">
        <f>IF($C3010="","",S3010*T3010)</f>
        <v/>
      </c>
      <c r="X3010">
        <f>IF($C3010="","",IF($AM3010=1,0,IF($AL3010=1,Settings!$C$6,Settings!$C$7))*100)</f>
        <v/>
      </c>
      <c r="AB3010" s="7" t="n"/>
      <c r="AE3010" s="11" t="n"/>
      <c r="AG3010" s="7">
        <f>IF($C3010="","",U3010*X3010/100)</f>
        <v/>
      </c>
      <c r="AH3010" s="7">
        <f>IF($C3010="","",U3010-AG3010)</f>
        <v/>
      </c>
      <c r="AI3010" s="7">
        <f>IF($C3010="","",AH3010-M3010)</f>
        <v/>
      </c>
      <c r="AJ3010">
        <f>IF($C3010="","",IF(COUNTIF($C$2:$C3010,$C3010)=1,1,0))</f>
        <v/>
      </c>
      <c r="AK3010">
        <f>IF($AJ3010=1,SUMPRODUCT(--($AN$2:$AN$4001&lt;$AN3010))+1,"")</f>
        <v/>
      </c>
      <c r="AL3010">
        <f>IF($C3010="","",IF(OR($Q3010=TRUE(),$Q3010="TRUE"),1,0))</f>
        <v/>
      </c>
      <c r="AM3010">
        <f>IF($C3010="","",IF($W3010="Yes",1,0))</f>
        <v/>
      </c>
      <c r="AN3010">
        <f>IF($AJ3010=1,IFERROR(IF(VALUE($C3010)&lt;100000000,VALUE($C3010),1000000000),IFERROR(IF(VALUE(MID($C3010,2,20))&lt;100000000,VALUE(MID($C3010,2,20)),1000000000),1000000000))+ROW()/100000,"")</f>
        <v/>
      </c>
    </row>
    <row r="3011">
      <c r="E3011" s="11" t="n"/>
      <c r="M3011" s="7">
        <f>IF($C3011="","",L3011*U3011/100)</f>
        <v/>
      </c>
      <c r="N3011" s="7" t="n"/>
      <c r="T3011" s="7" t="n"/>
      <c r="U3011" s="7">
        <f>IF($C3011="","",S3011*T3011)</f>
        <v/>
      </c>
      <c r="X3011">
        <f>IF($C3011="","",IF($AM3011=1,0,IF($AL3011=1,Settings!$C$6,Settings!$C$7))*100)</f>
        <v/>
      </c>
      <c r="AB3011" s="7" t="n"/>
      <c r="AE3011" s="11" t="n"/>
      <c r="AG3011" s="7">
        <f>IF($C3011="","",U3011*X3011/100)</f>
        <v/>
      </c>
      <c r="AH3011" s="7">
        <f>IF($C3011="","",U3011-AG3011)</f>
        <v/>
      </c>
      <c r="AI3011" s="7">
        <f>IF($C3011="","",AH3011-M3011)</f>
        <v/>
      </c>
      <c r="AJ3011">
        <f>IF($C3011="","",IF(COUNTIF($C$2:$C3011,$C3011)=1,1,0))</f>
        <v/>
      </c>
      <c r="AK3011">
        <f>IF($AJ3011=1,SUMPRODUCT(--($AN$2:$AN$4001&lt;$AN3011))+1,"")</f>
        <v/>
      </c>
      <c r="AL3011">
        <f>IF($C3011="","",IF(OR($Q3011=TRUE(),$Q3011="TRUE"),1,0))</f>
        <v/>
      </c>
      <c r="AM3011">
        <f>IF($C3011="","",IF($W3011="Yes",1,0))</f>
        <v/>
      </c>
      <c r="AN3011">
        <f>IF($AJ3011=1,IFERROR(IF(VALUE($C3011)&lt;100000000,VALUE($C3011),1000000000),IFERROR(IF(VALUE(MID($C3011,2,20))&lt;100000000,VALUE(MID($C3011,2,20)),1000000000),1000000000))+ROW()/100000,"")</f>
        <v/>
      </c>
    </row>
    <row r="3012">
      <c r="E3012" s="11" t="n"/>
      <c r="M3012" s="7">
        <f>IF($C3012="","",L3012*U3012/100)</f>
        <v/>
      </c>
      <c r="N3012" s="7" t="n"/>
      <c r="T3012" s="7" t="n"/>
      <c r="U3012" s="7">
        <f>IF($C3012="","",S3012*T3012)</f>
        <v/>
      </c>
      <c r="X3012">
        <f>IF($C3012="","",IF($AM3012=1,0,IF($AL3012=1,Settings!$C$6,Settings!$C$7))*100)</f>
        <v/>
      </c>
      <c r="AB3012" s="7" t="n"/>
      <c r="AE3012" s="11" t="n"/>
      <c r="AG3012" s="7">
        <f>IF($C3012="","",U3012*X3012/100)</f>
        <v/>
      </c>
      <c r="AH3012" s="7">
        <f>IF($C3012="","",U3012-AG3012)</f>
        <v/>
      </c>
      <c r="AI3012" s="7">
        <f>IF($C3012="","",AH3012-M3012)</f>
        <v/>
      </c>
      <c r="AJ3012">
        <f>IF($C3012="","",IF(COUNTIF($C$2:$C3012,$C3012)=1,1,0))</f>
        <v/>
      </c>
      <c r="AK3012">
        <f>IF($AJ3012=1,SUMPRODUCT(--($AN$2:$AN$4001&lt;$AN3012))+1,"")</f>
        <v/>
      </c>
      <c r="AL3012">
        <f>IF($C3012="","",IF(OR($Q3012=TRUE(),$Q3012="TRUE"),1,0))</f>
        <v/>
      </c>
      <c r="AM3012">
        <f>IF($C3012="","",IF($W3012="Yes",1,0))</f>
        <v/>
      </c>
      <c r="AN3012">
        <f>IF($AJ3012=1,IFERROR(IF(VALUE($C3012)&lt;100000000,VALUE($C3012),1000000000),IFERROR(IF(VALUE(MID($C3012,2,20))&lt;100000000,VALUE(MID($C3012,2,20)),1000000000),1000000000))+ROW()/100000,"")</f>
        <v/>
      </c>
    </row>
    <row r="3013">
      <c r="E3013" s="11" t="n"/>
      <c r="M3013" s="7">
        <f>IF($C3013="","",L3013*U3013/100)</f>
        <v/>
      </c>
      <c r="N3013" s="7" t="n"/>
      <c r="T3013" s="7" t="n"/>
      <c r="U3013" s="7">
        <f>IF($C3013="","",S3013*T3013)</f>
        <v/>
      </c>
      <c r="X3013">
        <f>IF($C3013="","",IF($AM3013=1,0,IF($AL3013=1,Settings!$C$6,Settings!$C$7))*100)</f>
        <v/>
      </c>
      <c r="AB3013" s="7" t="n"/>
      <c r="AE3013" s="11" t="n"/>
      <c r="AG3013" s="7">
        <f>IF($C3013="","",U3013*X3013/100)</f>
        <v/>
      </c>
      <c r="AH3013" s="7">
        <f>IF($C3013="","",U3013-AG3013)</f>
        <v/>
      </c>
      <c r="AI3013" s="7">
        <f>IF($C3013="","",AH3013-M3013)</f>
        <v/>
      </c>
      <c r="AJ3013">
        <f>IF($C3013="","",IF(COUNTIF($C$2:$C3013,$C3013)=1,1,0))</f>
        <v/>
      </c>
      <c r="AK3013">
        <f>IF($AJ3013=1,SUMPRODUCT(--($AN$2:$AN$4001&lt;$AN3013))+1,"")</f>
        <v/>
      </c>
      <c r="AL3013">
        <f>IF($C3013="","",IF(OR($Q3013=TRUE(),$Q3013="TRUE"),1,0))</f>
        <v/>
      </c>
      <c r="AM3013">
        <f>IF($C3013="","",IF($W3013="Yes",1,0))</f>
        <v/>
      </c>
      <c r="AN3013">
        <f>IF($AJ3013=1,IFERROR(IF(VALUE($C3013)&lt;100000000,VALUE($C3013),1000000000),IFERROR(IF(VALUE(MID($C3013,2,20))&lt;100000000,VALUE(MID($C3013,2,20)),1000000000),1000000000))+ROW()/100000,"")</f>
        <v/>
      </c>
    </row>
    <row r="3014">
      <c r="E3014" s="11" t="n"/>
      <c r="M3014" s="7">
        <f>IF($C3014="","",L3014*U3014/100)</f>
        <v/>
      </c>
      <c r="N3014" s="7" t="n"/>
      <c r="T3014" s="7" t="n"/>
      <c r="U3014" s="7">
        <f>IF($C3014="","",S3014*T3014)</f>
        <v/>
      </c>
      <c r="X3014">
        <f>IF($C3014="","",IF($AM3014=1,0,IF($AL3014=1,Settings!$C$6,Settings!$C$7))*100)</f>
        <v/>
      </c>
      <c r="AB3014" s="7" t="n"/>
      <c r="AE3014" s="11" t="n"/>
      <c r="AG3014" s="7">
        <f>IF($C3014="","",U3014*X3014/100)</f>
        <v/>
      </c>
      <c r="AH3014" s="7">
        <f>IF($C3014="","",U3014-AG3014)</f>
        <v/>
      </c>
      <c r="AI3014" s="7">
        <f>IF($C3014="","",AH3014-M3014)</f>
        <v/>
      </c>
      <c r="AJ3014">
        <f>IF($C3014="","",IF(COUNTIF($C$2:$C3014,$C3014)=1,1,0))</f>
        <v/>
      </c>
      <c r="AK3014">
        <f>IF($AJ3014=1,SUMPRODUCT(--($AN$2:$AN$4001&lt;$AN3014))+1,"")</f>
        <v/>
      </c>
      <c r="AL3014">
        <f>IF($C3014="","",IF(OR($Q3014=TRUE(),$Q3014="TRUE"),1,0))</f>
        <v/>
      </c>
      <c r="AM3014">
        <f>IF($C3014="","",IF($W3014="Yes",1,0))</f>
        <v/>
      </c>
      <c r="AN3014">
        <f>IF($AJ3014=1,IFERROR(IF(VALUE($C3014)&lt;100000000,VALUE($C3014),1000000000),IFERROR(IF(VALUE(MID($C3014,2,20))&lt;100000000,VALUE(MID($C3014,2,20)),1000000000),1000000000))+ROW()/100000,"")</f>
        <v/>
      </c>
    </row>
    <row r="3015">
      <c r="E3015" s="11" t="n"/>
      <c r="M3015" s="7">
        <f>IF($C3015="","",L3015*U3015/100)</f>
        <v/>
      </c>
      <c r="N3015" s="7" t="n"/>
      <c r="T3015" s="7" t="n"/>
      <c r="U3015" s="7">
        <f>IF($C3015="","",S3015*T3015)</f>
        <v/>
      </c>
      <c r="X3015">
        <f>IF($C3015="","",IF($AM3015=1,0,IF($AL3015=1,Settings!$C$6,Settings!$C$7))*100)</f>
        <v/>
      </c>
      <c r="AB3015" s="7" t="n"/>
      <c r="AE3015" s="11" t="n"/>
      <c r="AG3015" s="7">
        <f>IF($C3015="","",U3015*X3015/100)</f>
        <v/>
      </c>
      <c r="AH3015" s="7">
        <f>IF($C3015="","",U3015-AG3015)</f>
        <v/>
      </c>
      <c r="AI3015" s="7">
        <f>IF($C3015="","",AH3015-M3015)</f>
        <v/>
      </c>
      <c r="AJ3015">
        <f>IF($C3015="","",IF(COUNTIF($C$2:$C3015,$C3015)=1,1,0))</f>
        <v/>
      </c>
      <c r="AK3015">
        <f>IF($AJ3015=1,SUMPRODUCT(--($AN$2:$AN$4001&lt;$AN3015))+1,"")</f>
        <v/>
      </c>
      <c r="AL3015">
        <f>IF($C3015="","",IF(OR($Q3015=TRUE(),$Q3015="TRUE"),1,0))</f>
        <v/>
      </c>
      <c r="AM3015">
        <f>IF($C3015="","",IF($W3015="Yes",1,0))</f>
        <v/>
      </c>
      <c r="AN3015">
        <f>IF($AJ3015=1,IFERROR(IF(VALUE($C3015)&lt;100000000,VALUE($C3015),1000000000),IFERROR(IF(VALUE(MID($C3015,2,20))&lt;100000000,VALUE(MID($C3015,2,20)),1000000000),1000000000))+ROW()/100000,"")</f>
        <v/>
      </c>
    </row>
    <row r="3016">
      <c r="E3016" s="11" t="n"/>
      <c r="M3016" s="7">
        <f>IF($C3016="","",L3016*U3016/100)</f>
        <v/>
      </c>
      <c r="N3016" s="7" t="n"/>
      <c r="T3016" s="7" t="n"/>
      <c r="U3016" s="7">
        <f>IF($C3016="","",S3016*T3016)</f>
        <v/>
      </c>
      <c r="X3016">
        <f>IF($C3016="","",IF($AM3016=1,0,IF($AL3016=1,Settings!$C$6,Settings!$C$7))*100)</f>
        <v/>
      </c>
      <c r="AB3016" s="7" t="n"/>
      <c r="AE3016" s="11" t="n"/>
      <c r="AG3016" s="7">
        <f>IF($C3016="","",U3016*X3016/100)</f>
        <v/>
      </c>
      <c r="AH3016" s="7">
        <f>IF($C3016="","",U3016-AG3016)</f>
        <v/>
      </c>
      <c r="AI3016" s="7">
        <f>IF($C3016="","",AH3016-M3016)</f>
        <v/>
      </c>
      <c r="AJ3016">
        <f>IF($C3016="","",IF(COUNTIF($C$2:$C3016,$C3016)=1,1,0))</f>
        <v/>
      </c>
      <c r="AK3016">
        <f>IF($AJ3016=1,SUMPRODUCT(--($AN$2:$AN$4001&lt;$AN3016))+1,"")</f>
        <v/>
      </c>
      <c r="AL3016">
        <f>IF($C3016="","",IF(OR($Q3016=TRUE(),$Q3016="TRUE"),1,0))</f>
        <v/>
      </c>
      <c r="AM3016">
        <f>IF($C3016="","",IF($W3016="Yes",1,0))</f>
        <v/>
      </c>
      <c r="AN3016">
        <f>IF($AJ3016=1,IFERROR(IF(VALUE($C3016)&lt;100000000,VALUE($C3016),1000000000),IFERROR(IF(VALUE(MID($C3016,2,20))&lt;100000000,VALUE(MID($C3016,2,20)),1000000000),1000000000))+ROW()/100000,"")</f>
        <v/>
      </c>
    </row>
    <row r="3017">
      <c r="E3017" s="11" t="n"/>
      <c r="M3017" s="7">
        <f>IF($C3017="","",L3017*U3017/100)</f>
        <v/>
      </c>
      <c r="N3017" s="7" t="n"/>
      <c r="T3017" s="7" t="n"/>
      <c r="U3017" s="7">
        <f>IF($C3017="","",S3017*T3017)</f>
        <v/>
      </c>
      <c r="X3017">
        <f>IF($C3017="","",IF($AM3017=1,0,IF($AL3017=1,Settings!$C$6,Settings!$C$7))*100)</f>
        <v/>
      </c>
      <c r="AB3017" s="7" t="n"/>
      <c r="AE3017" s="11" t="n"/>
      <c r="AG3017" s="7">
        <f>IF($C3017="","",U3017*X3017/100)</f>
        <v/>
      </c>
      <c r="AH3017" s="7">
        <f>IF($C3017="","",U3017-AG3017)</f>
        <v/>
      </c>
      <c r="AI3017" s="7">
        <f>IF($C3017="","",AH3017-M3017)</f>
        <v/>
      </c>
      <c r="AJ3017">
        <f>IF($C3017="","",IF(COUNTIF($C$2:$C3017,$C3017)=1,1,0))</f>
        <v/>
      </c>
      <c r="AK3017">
        <f>IF($AJ3017=1,SUMPRODUCT(--($AN$2:$AN$4001&lt;$AN3017))+1,"")</f>
        <v/>
      </c>
      <c r="AL3017">
        <f>IF($C3017="","",IF(OR($Q3017=TRUE(),$Q3017="TRUE"),1,0))</f>
        <v/>
      </c>
      <c r="AM3017">
        <f>IF($C3017="","",IF($W3017="Yes",1,0))</f>
        <v/>
      </c>
      <c r="AN3017">
        <f>IF($AJ3017=1,IFERROR(IF(VALUE($C3017)&lt;100000000,VALUE($C3017),1000000000),IFERROR(IF(VALUE(MID($C3017,2,20))&lt;100000000,VALUE(MID($C3017,2,20)),1000000000),1000000000))+ROW()/100000,"")</f>
        <v/>
      </c>
    </row>
    <row r="3018">
      <c r="E3018" s="11" t="n"/>
      <c r="M3018" s="7">
        <f>IF($C3018="","",L3018*U3018/100)</f>
        <v/>
      </c>
      <c r="N3018" s="7" t="n"/>
      <c r="T3018" s="7" t="n"/>
      <c r="U3018" s="7">
        <f>IF($C3018="","",S3018*T3018)</f>
        <v/>
      </c>
      <c r="X3018">
        <f>IF($C3018="","",IF($AM3018=1,0,IF($AL3018=1,Settings!$C$6,Settings!$C$7))*100)</f>
        <v/>
      </c>
      <c r="AB3018" s="7" t="n"/>
      <c r="AE3018" s="11" t="n"/>
      <c r="AG3018" s="7">
        <f>IF($C3018="","",U3018*X3018/100)</f>
        <v/>
      </c>
      <c r="AH3018" s="7">
        <f>IF($C3018="","",U3018-AG3018)</f>
        <v/>
      </c>
      <c r="AI3018" s="7">
        <f>IF($C3018="","",AH3018-M3018)</f>
        <v/>
      </c>
      <c r="AJ3018">
        <f>IF($C3018="","",IF(COUNTIF($C$2:$C3018,$C3018)=1,1,0))</f>
        <v/>
      </c>
      <c r="AK3018">
        <f>IF($AJ3018=1,SUMPRODUCT(--($AN$2:$AN$4001&lt;$AN3018))+1,"")</f>
        <v/>
      </c>
      <c r="AL3018">
        <f>IF($C3018="","",IF(OR($Q3018=TRUE(),$Q3018="TRUE"),1,0))</f>
        <v/>
      </c>
      <c r="AM3018">
        <f>IF($C3018="","",IF($W3018="Yes",1,0))</f>
        <v/>
      </c>
      <c r="AN3018">
        <f>IF($AJ3018=1,IFERROR(IF(VALUE($C3018)&lt;100000000,VALUE($C3018),1000000000),IFERROR(IF(VALUE(MID($C3018,2,20))&lt;100000000,VALUE(MID($C3018,2,20)),1000000000),1000000000))+ROW()/100000,"")</f>
        <v/>
      </c>
    </row>
    <row r="3019">
      <c r="E3019" s="11" t="n"/>
      <c r="M3019" s="7">
        <f>IF($C3019="","",L3019*U3019/100)</f>
        <v/>
      </c>
      <c r="N3019" s="7" t="n"/>
      <c r="T3019" s="7" t="n"/>
      <c r="U3019" s="7">
        <f>IF($C3019="","",S3019*T3019)</f>
        <v/>
      </c>
      <c r="X3019">
        <f>IF($C3019="","",IF($AM3019=1,0,IF($AL3019=1,Settings!$C$6,Settings!$C$7))*100)</f>
        <v/>
      </c>
      <c r="AB3019" s="7" t="n"/>
      <c r="AE3019" s="11" t="n"/>
      <c r="AG3019" s="7">
        <f>IF($C3019="","",U3019*X3019/100)</f>
        <v/>
      </c>
      <c r="AH3019" s="7">
        <f>IF($C3019="","",U3019-AG3019)</f>
        <v/>
      </c>
      <c r="AI3019" s="7">
        <f>IF($C3019="","",AH3019-M3019)</f>
        <v/>
      </c>
      <c r="AJ3019">
        <f>IF($C3019="","",IF(COUNTIF($C$2:$C3019,$C3019)=1,1,0))</f>
        <v/>
      </c>
      <c r="AK3019">
        <f>IF($AJ3019=1,SUMPRODUCT(--($AN$2:$AN$4001&lt;$AN3019))+1,"")</f>
        <v/>
      </c>
      <c r="AL3019">
        <f>IF($C3019="","",IF(OR($Q3019=TRUE(),$Q3019="TRUE"),1,0))</f>
        <v/>
      </c>
      <c r="AM3019">
        <f>IF($C3019="","",IF($W3019="Yes",1,0))</f>
        <v/>
      </c>
      <c r="AN3019">
        <f>IF($AJ3019=1,IFERROR(IF(VALUE($C3019)&lt;100000000,VALUE($C3019),1000000000),IFERROR(IF(VALUE(MID($C3019,2,20))&lt;100000000,VALUE(MID($C3019,2,20)),1000000000),1000000000))+ROW()/100000,"")</f>
        <v/>
      </c>
    </row>
    <row r="3020">
      <c r="E3020" s="11" t="n"/>
      <c r="M3020" s="7">
        <f>IF($C3020="","",L3020*U3020/100)</f>
        <v/>
      </c>
      <c r="N3020" s="7" t="n"/>
      <c r="T3020" s="7" t="n"/>
      <c r="U3020" s="7">
        <f>IF($C3020="","",S3020*T3020)</f>
        <v/>
      </c>
      <c r="X3020">
        <f>IF($C3020="","",IF($AM3020=1,0,IF($AL3020=1,Settings!$C$6,Settings!$C$7))*100)</f>
        <v/>
      </c>
      <c r="AB3020" s="7" t="n"/>
      <c r="AE3020" s="11" t="n"/>
      <c r="AG3020" s="7">
        <f>IF($C3020="","",U3020*X3020/100)</f>
        <v/>
      </c>
      <c r="AH3020" s="7">
        <f>IF($C3020="","",U3020-AG3020)</f>
        <v/>
      </c>
      <c r="AI3020" s="7">
        <f>IF($C3020="","",AH3020-M3020)</f>
        <v/>
      </c>
      <c r="AJ3020">
        <f>IF($C3020="","",IF(COUNTIF($C$2:$C3020,$C3020)=1,1,0))</f>
        <v/>
      </c>
      <c r="AK3020">
        <f>IF($AJ3020=1,SUMPRODUCT(--($AN$2:$AN$4001&lt;$AN3020))+1,"")</f>
        <v/>
      </c>
      <c r="AL3020">
        <f>IF($C3020="","",IF(OR($Q3020=TRUE(),$Q3020="TRUE"),1,0))</f>
        <v/>
      </c>
      <c r="AM3020">
        <f>IF($C3020="","",IF($W3020="Yes",1,0))</f>
        <v/>
      </c>
      <c r="AN3020">
        <f>IF($AJ3020=1,IFERROR(IF(VALUE($C3020)&lt;100000000,VALUE($C3020),1000000000),IFERROR(IF(VALUE(MID($C3020,2,20))&lt;100000000,VALUE(MID($C3020,2,20)),1000000000),1000000000))+ROW()/100000,"")</f>
        <v/>
      </c>
    </row>
    <row r="3021">
      <c r="E3021" s="11" t="n"/>
      <c r="M3021" s="7">
        <f>IF($C3021="","",L3021*U3021/100)</f>
        <v/>
      </c>
      <c r="N3021" s="7" t="n"/>
      <c r="T3021" s="7" t="n"/>
      <c r="U3021" s="7">
        <f>IF($C3021="","",S3021*T3021)</f>
        <v/>
      </c>
      <c r="X3021">
        <f>IF($C3021="","",IF($AM3021=1,0,IF($AL3021=1,Settings!$C$6,Settings!$C$7))*100)</f>
        <v/>
      </c>
      <c r="AB3021" s="7" t="n"/>
      <c r="AE3021" s="11" t="n"/>
      <c r="AG3021" s="7">
        <f>IF($C3021="","",U3021*X3021/100)</f>
        <v/>
      </c>
      <c r="AH3021" s="7">
        <f>IF($C3021="","",U3021-AG3021)</f>
        <v/>
      </c>
      <c r="AI3021" s="7">
        <f>IF($C3021="","",AH3021-M3021)</f>
        <v/>
      </c>
      <c r="AJ3021">
        <f>IF($C3021="","",IF(COUNTIF($C$2:$C3021,$C3021)=1,1,0))</f>
        <v/>
      </c>
      <c r="AK3021">
        <f>IF($AJ3021=1,SUMPRODUCT(--($AN$2:$AN$4001&lt;$AN3021))+1,"")</f>
        <v/>
      </c>
      <c r="AL3021">
        <f>IF($C3021="","",IF(OR($Q3021=TRUE(),$Q3021="TRUE"),1,0))</f>
        <v/>
      </c>
      <c r="AM3021">
        <f>IF($C3021="","",IF($W3021="Yes",1,0))</f>
        <v/>
      </c>
      <c r="AN3021">
        <f>IF($AJ3021=1,IFERROR(IF(VALUE($C3021)&lt;100000000,VALUE($C3021),1000000000),IFERROR(IF(VALUE(MID($C3021,2,20))&lt;100000000,VALUE(MID($C3021,2,20)),1000000000),1000000000))+ROW()/100000,"")</f>
        <v/>
      </c>
    </row>
    <row r="3022">
      <c r="E3022" s="11" t="n"/>
      <c r="M3022" s="7">
        <f>IF($C3022="","",L3022*U3022/100)</f>
        <v/>
      </c>
      <c r="N3022" s="7" t="n"/>
      <c r="T3022" s="7" t="n"/>
      <c r="U3022" s="7">
        <f>IF($C3022="","",S3022*T3022)</f>
        <v/>
      </c>
      <c r="X3022">
        <f>IF($C3022="","",IF($AM3022=1,0,IF($AL3022=1,Settings!$C$6,Settings!$C$7))*100)</f>
        <v/>
      </c>
      <c r="AB3022" s="7" t="n"/>
      <c r="AE3022" s="11" t="n"/>
      <c r="AG3022" s="7">
        <f>IF($C3022="","",U3022*X3022/100)</f>
        <v/>
      </c>
      <c r="AH3022" s="7">
        <f>IF($C3022="","",U3022-AG3022)</f>
        <v/>
      </c>
      <c r="AI3022" s="7">
        <f>IF($C3022="","",AH3022-M3022)</f>
        <v/>
      </c>
      <c r="AJ3022">
        <f>IF($C3022="","",IF(COUNTIF($C$2:$C3022,$C3022)=1,1,0))</f>
        <v/>
      </c>
      <c r="AK3022">
        <f>IF($AJ3022=1,SUMPRODUCT(--($AN$2:$AN$4001&lt;$AN3022))+1,"")</f>
        <v/>
      </c>
      <c r="AL3022">
        <f>IF($C3022="","",IF(OR($Q3022=TRUE(),$Q3022="TRUE"),1,0))</f>
        <v/>
      </c>
      <c r="AM3022">
        <f>IF($C3022="","",IF($W3022="Yes",1,0))</f>
        <v/>
      </c>
      <c r="AN3022">
        <f>IF($AJ3022=1,IFERROR(IF(VALUE($C3022)&lt;100000000,VALUE($C3022),1000000000),IFERROR(IF(VALUE(MID($C3022,2,20))&lt;100000000,VALUE(MID($C3022,2,20)),1000000000),1000000000))+ROW()/100000,"")</f>
        <v/>
      </c>
    </row>
    <row r="3023">
      <c r="E3023" s="11" t="n"/>
      <c r="M3023" s="7">
        <f>IF($C3023="","",L3023*U3023/100)</f>
        <v/>
      </c>
      <c r="N3023" s="7" t="n"/>
      <c r="T3023" s="7" t="n"/>
      <c r="U3023" s="7">
        <f>IF($C3023="","",S3023*T3023)</f>
        <v/>
      </c>
      <c r="X3023">
        <f>IF($C3023="","",IF($AM3023=1,0,IF($AL3023=1,Settings!$C$6,Settings!$C$7))*100)</f>
        <v/>
      </c>
      <c r="AB3023" s="7" t="n"/>
      <c r="AE3023" s="11" t="n"/>
      <c r="AG3023" s="7">
        <f>IF($C3023="","",U3023*X3023/100)</f>
        <v/>
      </c>
      <c r="AH3023" s="7">
        <f>IF($C3023="","",U3023-AG3023)</f>
        <v/>
      </c>
      <c r="AI3023" s="7">
        <f>IF($C3023="","",AH3023-M3023)</f>
        <v/>
      </c>
      <c r="AJ3023">
        <f>IF($C3023="","",IF(COUNTIF($C$2:$C3023,$C3023)=1,1,0))</f>
        <v/>
      </c>
      <c r="AK3023">
        <f>IF($AJ3023=1,SUMPRODUCT(--($AN$2:$AN$4001&lt;$AN3023))+1,"")</f>
        <v/>
      </c>
      <c r="AL3023">
        <f>IF($C3023="","",IF(OR($Q3023=TRUE(),$Q3023="TRUE"),1,0))</f>
        <v/>
      </c>
      <c r="AM3023">
        <f>IF($C3023="","",IF($W3023="Yes",1,0))</f>
        <v/>
      </c>
      <c r="AN3023">
        <f>IF($AJ3023=1,IFERROR(IF(VALUE($C3023)&lt;100000000,VALUE($C3023),1000000000),IFERROR(IF(VALUE(MID($C3023,2,20))&lt;100000000,VALUE(MID($C3023,2,20)),1000000000),1000000000))+ROW()/100000,"")</f>
        <v/>
      </c>
    </row>
    <row r="3024">
      <c r="E3024" s="11" t="n"/>
      <c r="M3024" s="7">
        <f>IF($C3024="","",L3024*U3024/100)</f>
        <v/>
      </c>
      <c r="N3024" s="7" t="n"/>
      <c r="T3024" s="7" t="n"/>
      <c r="U3024" s="7">
        <f>IF($C3024="","",S3024*T3024)</f>
        <v/>
      </c>
      <c r="X3024">
        <f>IF($C3024="","",IF($AM3024=1,0,IF($AL3024=1,Settings!$C$6,Settings!$C$7))*100)</f>
        <v/>
      </c>
      <c r="AB3024" s="7" t="n"/>
      <c r="AE3024" s="11" t="n"/>
      <c r="AG3024" s="7">
        <f>IF($C3024="","",U3024*X3024/100)</f>
        <v/>
      </c>
      <c r="AH3024" s="7">
        <f>IF($C3024="","",U3024-AG3024)</f>
        <v/>
      </c>
      <c r="AI3024" s="7">
        <f>IF($C3024="","",AH3024-M3024)</f>
        <v/>
      </c>
      <c r="AJ3024">
        <f>IF($C3024="","",IF(COUNTIF($C$2:$C3024,$C3024)=1,1,0))</f>
        <v/>
      </c>
      <c r="AK3024">
        <f>IF($AJ3024=1,SUMPRODUCT(--($AN$2:$AN$4001&lt;$AN3024))+1,"")</f>
        <v/>
      </c>
      <c r="AL3024">
        <f>IF($C3024="","",IF(OR($Q3024=TRUE(),$Q3024="TRUE"),1,0))</f>
        <v/>
      </c>
      <c r="AM3024">
        <f>IF($C3024="","",IF($W3024="Yes",1,0))</f>
        <v/>
      </c>
      <c r="AN3024">
        <f>IF($AJ3024=1,IFERROR(IF(VALUE($C3024)&lt;100000000,VALUE($C3024),1000000000),IFERROR(IF(VALUE(MID($C3024,2,20))&lt;100000000,VALUE(MID($C3024,2,20)),1000000000),1000000000))+ROW()/100000,"")</f>
        <v/>
      </c>
    </row>
    <row r="3025">
      <c r="E3025" s="11" t="n"/>
      <c r="M3025" s="7">
        <f>IF($C3025="","",L3025*U3025/100)</f>
        <v/>
      </c>
      <c r="N3025" s="7" t="n"/>
      <c r="T3025" s="7" t="n"/>
      <c r="U3025" s="7">
        <f>IF($C3025="","",S3025*T3025)</f>
        <v/>
      </c>
      <c r="X3025">
        <f>IF($C3025="","",IF($AM3025=1,0,IF($AL3025=1,Settings!$C$6,Settings!$C$7))*100)</f>
        <v/>
      </c>
      <c r="AB3025" s="7" t="n"/>
      <c r="AE3025" s="11" t="n"/>
      <c r="AG3025" s="7">
        <f>IF($C3025="","",U3025*X3025/100)</f>
        <v/>
      </c>
      <c r="AH3025" s="7">
        <f>IF($C3025="","",U3025-AG3025)</f>
        <v/>
      </c>
      <c r="AI3025" s="7">
        <f>IF($C3025="","",AH3025-M3025)</f>
        <v/>
      </c>
      <c r="AJ3025">
        <f>IF($C3025="","",IF(COUNTIF($C$2:$C3025,$C3025)=1,1,0))</f>
        <v/>
      </c>
      <c r="AK3025">
        <f>IF($AJ3025=1,SUMPRODUCT(--($AN$2:$AN$4001&lt;$AN3025))+1,"")</f>
        <v/>
      </c>
      <c r="AL3025">
        <f>IF($C3025="","",IF(OR($Q3025=TRUE(),$Q3025="TRUE"),1,0))</f>
        <v/>
      </c>
      <c r="AM3025">
        <f>IF($C3025="","",IF($W3025="Yes",1,0))</f>
        <v/>
      </c>
      <c r="AN3025">
        <f>IF($AJ3025=1,IFERROR(IF(VALUE($C3025)&lt;100000000,VALUE($C3025),1000000000),IFERROR(IF(VALUE(MID($C3025,2,20))&lt;100000000,VALUE(MID($C3025,2,20)),1000000000),1000000000))+ROW()/100000,"")</f>
        <v/>
      </c>
    </row>
    <row r="3026">
      <c r="E3026" s="11" t="n"/>
      <c r="M3026" s="7">
        <f>IF($C3026="","",L3026*U3026/100)</f>
        <v/>
      </c>
      <c r="N3026" s="7" t="n"/>
      <c r="T3026" s="7" t="n"/>
      <c r="U3026" s="7">
        <f>IF($C3026="","",S3026*T3026)</f>
        <v/>
      </c>
      <c r="X3026">
        <f>IF($C3026="","",IF($AM3026=1,0,IF($AL3026=1,Settings!$C$6,Settings!$C$7))*100)</f>
        <v/>
      </c>
      <c r="AB3026" s="7" t="n"/>
      <c r="AE3026" s="11" t="n"/>
      <c r="AG3026" s="7">
        <f>IF($C3026="","",U3026*X3026/100)</f>
        <v/>
      </c>
      <c r="AH3026" s="7">
        <f>IF($C3026="","",U3026-AG3026)</f>
        <v/>
      </c>
      <c r="AI3026" s="7">
        <f>IF($C3026="","",AH3026-M3026)</f>
        <v/>
      </c>
      <c r="AJ3026">
        <f>IF($C3026="","",IF(COUNTIF($C$2:$C3026,$C3026)=1,1,0))</f>
        <v/>
      </c>
      <c r="AK3026">
        <f>IF($AJ3026=1,SUMPRODUCT(--($AN$2:$AN$4001&lt;$AN3026))+1,"")</f>
        <v/>
      </c>
      <c r="AL3026">
        <f>IF($C3026="","",IF(OR($Q3026=TRUE(),$Q3026="TRUE"),1,0))</f>
        <v/>
      </c>
      <c r="AM3026">
        <f>IF($C3026="","",IF($W3026="Yes",1,0))</f>
        <v/>
      </c>
      <c r="AN3026">
        <f>IF($AJ3026=1,IFERROR(IF(VALUE($C3026)&lt;100000000,VALUE($C3026),1000000000),IFERROR(IF(VALUE(MID($C3026,2,20))&lt;100000000,VALUE(MID($C3026,2,20)),1000000000),1000000000))+ROW()/100000,"")</f>
        <v/>
      </c>
    </row>
    <row r="3027">
      <c r="E3027" s="11" t="n"/>
      <c r="M3027" s="7">
        <f>IF($C3027="","",L3027*U3027/100)</f>
        <v/>
      </c>
      <c r="N3027" s="7" t="n"/>
      <c r="T3027" s="7" t="n"/>
      <c r="U3027" s="7">
        <f>IF($C3027="","",S3027*T3027)</f>
        <v/>
      </c>
      <c r="X3027">
        <f>IF($C3027="","",IF($AM3027=1,0,IF($AL3027=1,Settings!$C$6,Settings!$C$7))*100)</f>
        <v/>
      </c>
      <c r="AB3027" s="7" t="n"/>
      <c r="AE3027" s="11" t="n"/>
      <c r="AG3027" s="7">
        <f>IF($C3027="","",U3027*X3027/100)</f>
        <v/>
      </c>
      <c r="AH3027" s="7">
        <f>IF($C3027="","",U3027-AG3027)</f>
        <v/>
      </c>
      <c r="AI3027" s="7">
        <f>IF($C3027="","",AH3027-M3027)</f>
        <v/>
      </c>
      <c r="AJ3027">
        <f>IF($C3027="","",IF(COUNTIF($C$2:$C3027,$C3027)=1,1,0))</f>
        <v/>
      </c>
      <c r="AK3027">
        <f>IF($AJ3027=1,SUMPRODUCT(--($AN$2:$AN$4001&lt;$AN3027))+1,"")</f>
        <v/>
      </c>
      <c r="AL3027">
        <f>IF($C3027="","",IF(OR($Q3027=TRUE(),$Q3027="TRUE"),1,0))</f>
        <v/>
      </c>
      <c r="AM3027">
        <f>IF($C3027="","",IF($W3027="Yes",1,0))</f>
        <v/>
      </c>
      <c r="AN3027">
        <f>IF($AJ3027=1,IFERROR(IF(VALUE($C3027)&lt;100000000,VALUE($C3027),1000000000),IFERROR(IF(VALUE(MID($C3027,2,20))&lt;100000000,VALUE(MID($C3027,2,20)),1000000000),1000000000))+ROW()/100000,"")</f>
        <v/>
      </c>
    </row>
    <row r="3028">
      <c r="E3028" s="11" t="n"/>
      <c r="M3028" s="7">
        <f>IF($C3028="","",L3028*U3028/100)</f>
        <v/>
      </c>
      <c r="N3028" s="7" t="n"/>
      <c r="T3028" s="7" t="n"/>
      <c r="U3028" s="7">
        <f>IF($C3028="","",S3028*T3028)</f>
        <v/>
      </c>
      <c r="X3028">
        <f>IF($C3028="","",IF($AM3028=1,0,IF($AL3028=1,Settings!$C$6,Settings!$C$7))*100)</f>
        <v/>
      </c>
      <c r="AB3028" s="7" t="n"/>
      <c r="AE3028" s="11" t="n"/>
      <c r="AG3028" s="7">
        <f>IF($C3028="","",U3028*X3028/100)</f>
        <v/>
      </c>
      <c r="AH3028" s="7">
        <f>IF($C3028="","",U3028-AG3028)</f>
        <v/>
      </c>
      <c r="AI3028" s="7">
        <f>IF($C3028="","",AH3028-M3028)</f>
        <v/>
      </c>
      <c r="AJ3028">
        <f>IF($C3028="","",IF(COUNTIF($C$2:$C3028,$C3028)=1,1,0))</f>
        <v/>
      </c>
      <c r="AK3028">
        <f>IF($AJ3028=1,SUMPRODUCT(--($AN$2:$AN$4001&lt;$AN3028))+1,"")</f>
        <v/>
      </c>
      <c r="AL3028">
        <f>IF($C3028="","",IF(OR($Q3028=TRUE(),$Q3028="TRUE"),1,0))</f>
        <v/>
      </c>
      <c r="AM3028">
        <f>IF($C3028="","",IF($W3028="Yes",1,0))</f>
        <v/>
      </c>
      <c r="AN3028">
        <f>IF($AJ3028=1,IFERROR(IF(VALUE($C3028)&lt;100000000,VALUE($C3028),1000000000),IFERROR(IF(VALUE(MID($C3028,2,20))&lt;100000000,VALUE(MID($C3028,2,20)),1000000000),1000000000))+ROW()/100000,"")</f>
        <v/>
      </c>
    </row>
    <row r="3029">
      <c r="E3029" s="11" t="n"/>
      <c r="M3029" s="7">
        <f>IF($C3029="","",L3029*U3029/100)</f>
        <v/>
      </c>
      <c r="N3029" s="7" t="n"/>
      <c r="T3029" s="7" t="n"/>
      <c r="U3029" s="7">
        <f>IF($C3029="","",S3029*T3029)</f>
        <v/>
      </c>
      <c r="X3029">
        <f>IF($C3029="","",IF($AM3029=1,0,IF($AL3029=1,Settings!$C$6,Settings!$C$7))*100)</f>
        <v/>
      </c>
      <c r="AB3029" s="7" t="n"/>
      <c r="AE3029" s="11" t="n"/>
      <c r="AG3029" s="7">
        <f>IF($C3029="","",U3029*X3029/100)</f>
        <v/>
      </c>
      <c r="AH3029" s="7">
        <f>IF($C3029="","",U3029-AG3029)</f>
        <v/>
      </c>
      <c r="AI3029" s="7">
        <f>IF($C3029="","",AH3029-M3029)</f>
        <v/>
      </c>
      <c r="AJ3029">
        <f>IF($C3029="","",IF(COUNTIF($C$2:$C3029,$C3029)=1,1,0))</f>
        <v/>
      </c>
      <c r="AK3029">
        <f>IF($AJ3029=1,SUMPRODUCT(--($AN$2:$AN$4001&lt;$AN3029))+1,"")</f>
        <v/>
      </c>
      <c r="AL3029">
        <f>IF($C3029="","",IF(OR($Q3029=TRUE(),$Q3029="TRUE"),1,0))</f>
        <v/>
      </c>
      <c r="AM3029">
        <f>IF($C3029="","",IF($W3029="Yes",1,0))</f>
        <v/>
      </c>
      <c r="AN3029">
        <f>IF($AJ3029=1,IFERROR(IF(VALUE($C3029)&lt;100000000,VALUE($C3029),1000000000),IFERROR(IF(VALUE(MID($C3029,2,20))&lt;100000000,VALUE(MID($C3029,2,20)),1000000000),1000000000))+ROW()/100000,"")</f>
        <v/>
      </c>
    </row>
    <row r="3030">
      <c r="E3030" s="11" t="n"/>
      <c r="M3030" s="7">
        <f>IF($C3030="","",L3030*U3030/100)</f>
        <v/>
      </c>
      <c r="N3030" s="7" t="n"/>
      <c r="T3030" s="7" t="n"/>
      <c r="U3030" s="7">
        <f>IF($C3030="","",S3030*T3030)</f>
        <v/>
      </c>
      <c r="X3030">
        <f>IF($C3030="","",IF($AM3030=1,0,IF($AL3030=1,Settings!$C$6,Settings!$C$7))*100)</f>
        <v/>
      </c>
      <c r="AB3030" s="7" t="n"/>
      <c r="AE3030" s="11" t="n"/>
      <c r="AG3030" s="7">
        <f>IF($C3030="","",U3030*X3030/100)</f>
        <v/>
      </c>
      <c r="AH3030" s="7">
        <f>IF($C3030="","",U3030-AG3030)</f>
        <v/>
      </c>
      <c r="AI3030" s="7">
        <f>IF($C3030="","",AH3030-M3030)</f>
        <v/>
      </c>
      <c r="AJ3030">
        <f>IF($C3030="","",IF(COUNTIF($C$2:$C3030,$C3030)=1,1,0))</f>
        <v/>
      </c>
      <c r="AK3030">
        <f>IF($AJ3030=1,SUMPRODUCT(--($AN$2:$AN$4001&lt;$AN3030))+1,"")</f>
        <v/>
      </c>
      <c r="AL3030">
        <f>IF($C3030="","",IF(OR($Q3030=TRUE(),$Q3030="TRUE"),1,0))</f>
        <v/>
      </c>
      <c r="AM3030">
        <f>IF($C3030="","",IF($W3030="Yes",1,0))</f>
        <v/>
      </c>
      <c r="AN3030">
        <f>IF($AJ3030=1,IFERROR(IF(VALUE($C3030)&lt;100000000,VALUE($C3030),1000000000),IFERROR(IF(VALUE(MID($C3030,2,20))&lt;100000000,VALUE(MID($C3030,2,20)),1000000000),1000000000))+ROW()/100000,"")</f>
        <v/>
      </c>
    </row>
    <row r="3031">
      <c r="E3031" s="11" t="n"/>
      <c r="M3031" s="7">
        <f>IF($C3031="","",L3031*U3031/100)</f>
        <v/>
      </c>
      <c r="N3031" s="7" t="n"/>
      <c r="T3031" s="7" t="n"/>
      <c r="U3031" s="7">
        <f>IF($C3031="","",S3031*T3031)</f>
        <v/>
      </c>
      <c r="X3031">
        <f>IF($C3031="","",IF($AM3031=1,0,IF($AL3031=1,Settings!$C$6,Settings!$C$7))*100)</f>
        <v/>
      </c>
      <c r="AB3031" s="7" t="n"/>
      <c r="AE3031" s="11" t="n"/>
      <c r="AG3031" s="7">
        <f>IF($C3031="","",U3031*X3031/100)</f>
        <v/>
      </c>
      <c r="AH3031" s="7">
        <f>IF($C3031="","",U3031-AG3031)</f>
        <v/>
      </c>
      <c r="AI3031" s="7">
        <f>IF($C3031="","",AH3031-M3031)</f>
        <v/>
      </c>
      <c r="AJ3031">
        <f>IF($C3031="","",IF(COUNTIF($C$2:$C3031,$C3031)=1,1,0))</f>
        <v/>
      </c>
      <c r="AK3031">
        <f>IF($AJ3031=1,SUMPRODUCT(--($AN$2:$AN$4001&lt;$AN3031))+1,"")</f>
        <v/>
      </c>
      <c r="AL3031">
        <f>IF($C3031="","",IF(OR($Q3031=TRUE(),$Q3031="TRUE"),1,0))</f>
        <v/>
      </c>
      <c r="AM3031">
        <f>IF($C3031="","",IF($W3031="Yes",1,0))</f>
        <v/>
      </c>
      <c r="AN3031">
        <f>IF($AJ3031=1,IFERROR(IF(VALUE($C3031)&lt;100000000,VALUE($C3031),1000000000),IFERROR(IF(VALUE(MID($C3031,2,20))&lt;100000000,VALUE(MID($C3031,2,20)),1000000000),1000000000))+ROW()/100000,"")</f>
        <v/>
      </c>
    </row>
    <row r="3032">
      <c r="E3032" s="11" t="n"/>
      <c r="M3032" s="7">
        <f>IF($C3032="","",L3032*U3032/100)</f>
        <v/>
      </c>
      <c r="N3032" s="7" t="n"/>
      <c r="T3032" s="7" t="n"/>
      <c r="U3032" s="7">
        <f>IF($C3032="","",S3032*T3032)</f>
        <v/>
      </c>
      <c r="X3032">
        <f>IF($C3032="","",IF($AM3032=1,0,IF($AL3032=1,Settings!$C$6,Settings!$C$7))*100)</f>
        <v/>
      </c>
      <c r="AB3032" s="7" t="n"/>
      <c r="AE3032" s="11" t="n"/>
      <c r="AG3032" s="7">
        <f>IF($C3032="","",U3032*X3032/100)</f>
        <v/>
      </c>
      <c r="AH3032" s="7">
        <f>IF($C3032="","",U3032-AG3032)</f>
        <v/>
      </c>
      <c r="AI3032" s="7">
        <f>IF($C3032="","",AH3032-M3032)</f>
        <v/>
      </c>
      <c r="AJ3032">
        <f>IF($C3032="","",IF(COUNTIF($C$2:$C3032,$C3032)=1,1,0))</f>
        <v/>
      </c>
      <c r="AK3032">
        <f>IF($AJ3032=1,SUMPRODUCT(--($AN$2:$AN$4001&lt;$AN3032))+1,"")</f>
        <v/>
      </c>
      <c r="AL3032">
        <f>IF($C3032="","",IF(OR($Q3032=TRUE(),$Q3032="TRUE"),1,0))</f>
        <v/>
      </c>
      <c r="AM3032">
        <f>IF($C3032="","",IF($W3032="Yes",1,0))</f>
        <v/>
      </c>
      <c r="AN3032">
        <f>IF($AJ3032=1,IFERROR(IF(VALUE($C3032)&lt;100000000,VALUE($C3032),1000000000),IFERROR(IF(VALUE(MID($C3032,2,20))&lt;100000000,VALUE(MID($C3032,2,20)),1000000000),1000000000))+ROW()/100000,"")</f>
        <v/>
      </c>
    </row>
    <row r="3033">
      <c r="E3033" s="11" t="n"/>
      <c r="M3033" s="7">
        <f>IF($C3033="","",L3033*U3033/100)</f>
        <v/>
      </c>
      <c r="N3033" s="7" t="n"/>
      <c r="T3033" s="7" t="n"/>
      <c r="U3033" s="7">
        <f>IF($C3033="","",S3033*T3033)</f>
        <v/>
      </c>
      <c r="X3033">
        <f>IF($C3033="","",IF($AM3033=1,0,IF($AL3033=1,Settings!$C$6,Settings!$C$7))*100)</f>
        <v/>
      </c>
      <c r="AB3033" s="7" t="n"/>
      <c r="AE3033" s="11" t="n"/>
      <c r="AG3033" s="7">
        <f>IF($C3033="","",U3033*X3033/100)</f>
        <v/>
      </c>
      <c r="AH3033" s="7">
        <f>IF($C3033="","",U3033-AG3033)</f>
        <v/>
      </c>
      <c r="AI3033" s="7">
        <f>IF($C3033="","",AH3033-M3033)</f>
        <v/>
      </c>
      <c r="AJ3033">
        <f>IF($C3033="","",IF(COUNTIF($C$2:$C3033,$C3033)=1,1,0))</f>
        <v/>
      </c>
      <c r="AK3033">
        <f>IF($AJ3033=1,SUMPRODUCT(--($AN$2:$AN$4001&lt;$AN3033))+1,"")</f>
        <v/>
      </c>
      <c r="AL3033">
        <f>IF($C3033="","",IF(OR($Q3033=TRUE(),$Q3033="TRUE"),1,0))</f>
        <v/>
      </c>
      <c r="AM3033">
        <f>IF($C3033="","",IF($W3033="Yes",1,0))</f>
        <v/>
      </c>
      <c r="AN3033">
        <f>IF($AJ3033=1,IFERROR(IF(VALUE($C3033)&lt;100000000,VALUE($C3033),1000000000),IFERROR(IF(VALUE(MID($C3033,2,20))&lt;100000000,VALUE(MID($C3033,2,20)),1000000000),1000000000))+ROW()/100000,"")</f>
        <v/>
      </c>
    </row>
    <row r="3034">
      <c r="E3034" s="11" t="n"/>
      <c r="M3034" s="7">
        <f>IF($C3034="","",L3034*U3034/100)</f>
        <v/>
      </c>
      <c r="N3034" s="7" t="n"/>
      <c r="T3034" s="7" t="n"/>
      <c r="U3034" s="7">
        <f>IF($C3034="","",S3034*T3034)</f>
        <v/>
      </c>
      <c r="X3034">
        <f>IF($C3034="","",IF($AM3034=1,0,IF($AL3034=1,Settings!$C$6,Settings!$C$7))*100)</f>
        <v/>
      </c>
      <c r="AB3034" s="7" t="n"/>
      <c r="AE3034" s="11" t="n"/>
      <c r="AG3034" s="7">
        <f>IF($C3034="","",U3034*X3034/100)</f>
        <v/>
      </c>
      <c r="AH3034" s="7">
        <f>IF($C3034="","",U3034-AG3034)</f>
        <v/>
      </c>
      <c r="AI3034" s="7">
        <f>IF($C3034="","",AH3034-M3034)</f>
        <v/>
      </c>
      <c r="AJ3034">
        <f>IF($C3034="","",IF(COUNTIF($C$2:$C3034,$C3034)=1,1,0))</f>
        <v/>
      </c>
      <c r="AK3034">
        <f>IF($AJ3034=1,SUMPRODUCT(--($AN$2:$AN$4001&lt;$AN3034))+1,"")</f>
        <v/>
      </c>
      <c r="AL3034">
        <f>IF($C3034="","",IF(OR($Q3034=TRUE(),$Q3034="TRUE"),1,0))</f>
        <v/>
      </c>
      <c r="AM3034">
        <f>IF($C3034="","",IF($W3034="Yes",1,0))</f>
        <v/>
      </c>
      <c r="AN3034">
        <f>IF($AJ3034=1,IFERROR(IF(VALUE($C3034)&lt;100000000,VALUE($C3034),1000000000),IFERROR(IF(VALUE(MID($C3034,2,20))&lt;100000000,VALUE(MID($C3034,2,20)),1000000000),1000000000))+ROW()/100000,"")</f>
        <v/>
      </c>
    </row>
    <row r="3035">
      <c r="E3035" s="11" t="n"/>
      <c r="M3035" s="7">
        <f>IF($C3035="","",L3035*U3035/100)</f>
        <v/>
      </c>
      <c r="N3035" s="7" t="n"/>
      <c r="T3035" s="7" t="n"/>
      <c r="U3035" s="7">
        <f>IF($C3035="","",S3035*T3035)</f>
        <v/>
      </c>
      <c r="X3035">
        <f>IF($C3035="","",IF($AM3035=1,0,IF($AL3035=1,Settings!$C$6,Settings!$C$7))*100)</f>
        <v/>
      </c>
      <c r="AB3035" s="7" t="n"/>
      <c r="AE3035" s="11" t="n"/>
      <c r="AG3035" s="7">
        <f>IF($C3035="","",U3035*X3035/100)</f>
        <v/>
      </c>
      <c r="AH3035" s="7">
        <f>IF($C3035="","",U3035-AG3035)</f>
        <v/>
      </c>
      <c r="AI3035" s="7">
        <f>IF($C3035="","",AH3035-M3035)</f>
        <v/>
      </c>
      <c r="AJ3035">
        <f>IF($C3035="","",IF(COUNTIF($C$2:$C3035,$C3035)=1,1,0))</f>
        <v/>
      </c>
      <c r="AK3035">
        <f>IF($AJ3035=1,SUMPRODUCT(--($AN$2:$AN$4001&lt;$AN3035))+1,"")</f>
        <v/>
      </c>
      <c r="AL3035">
        <f>IF($C3035="","",IF(OR($Q3035=TRUE(),$Q3035="TRUE"),1,0))</f>
        <v/>
      </c>
      <c r="AM3035">
        <f>IF($C3035="","",IF($W3035="Yes",1,0))</f>
        <v/>
      </c>
      <c r="AN3035">
        <f>IF($AJ3035=1,IFERROR(IF(VALUE($C3035)&lt;100000000,VALUE($C3035),1000000000),IFERROR(IF(VALUE(MID($C3035,2,20))&lt;100000000,VALUE(MID($C3035,2,20)),1000000000),1000000000))+ROW()/100000,"")</f>
        <v/>
      </c>
    </row>
    <row r="3036">
      <c r="E3036" s="11" t="n"/>
      <c r="M3036" s="7">
        <f>IF($C3036="","",L3036*U3036/100)</f>
        <v/>
      </c>
      <c r="N3036" s="7" t="n"/>
      <c r="T3036" s="7" t="n"/>
      <c r="U3036" s="7">
        <f>IF($C3036="","",S3036*T3036)</f>
        <v/>
      </c>
      <c r="X3036">
        <f>IF($C3036="","",IF($AM3036=1,0,IF($AL3036=1,Settings!$C$6,Settings!$C$7))*100)</f>
        <v/>
      </c>
      <c r="AB3036" s="7" t="n"/>
      <c r="AE3036" s="11" t="n"/>
      <c r="AG3036" s="7">
        <f>IF($C3036="","",U3036*X3036/100)</f>
        <v/>
      </c>
      <c r="AH3036" s="7">
        <f>IF($C3036="","",U3036-AG3036)</f>
        <v/>
      </c>
      <c r="AI3036" s="7">
        <f>IF($C3036="","",AH3036-M3036)</f>
        <v/>
      </c>
      <c r="AJ3036">
        <f>IF($C3036="","",IF(COUNTIF($C$2:$C3036,$C3036)=1,1,0))</f>
        <v/>
      </c>
      <c r="AK3036">
        <f>IF($AJ3036=1,SUMPRODUCT(--($AN$2:$AN$4001&lt;$AN3036))+1,"")</f>
        <v/>
      </c>
      <c r="AL3036">
        <f>IF($C3036="","",IF(OR($Q3036=TRUE(),$Q3036="TRUE"),1,0))</f>
        <v/>
      </c>
      <c r="AM3036">
        <f>IF($C3036="","",IF($W3036="Yes",1,0))</f>
        <v/>
      </c>
      <c r="AN3036">
        <f>IF($AJ3036=1,IFERROR(IF(VALUE($C3036)&lt;100000000,VALUE($C3036),1000000000),IFERROR(IF(VALUE(MID($C3036,2,20))&lt;100000000,VALUE(MID($C3036,2,20)),1000000000),1000000000))+ROW()/100000,"")</f>
        <v/>
      </c>
    </row>
    <row r="3037">
      <c r="E3037" s="11" t="n"/>
      <c r="M3037" s="7">
        <f>IF($C3037="","",L3037*U3037/100)</f>
        <v/>
      </c>
      <c r="N3037" s="7" t="n"/>
      <c r="T3037" s="7" t="n"/>
      <c r="U3037" s="7">
        <f>IF($C3037="","",S3037*T3037)</f>
        <v/>
      </c>
      <c r="X3037">
        <f>IF($C3037="","",IF($AM3037=1,0,IF($AL3037=1,Settings!$C$6,Settings!$C$7))*100)</f>
        <v/>
      </c>
      <c r="AB3037" s="7" t="n"/>
      <c r="AE3037" s="11" t="n"/>
      <c r="AG3037" s="7">
        <f>IF($C3037="","",U3037*X3037/100)</f>
        <v/>
      </c>
      <c r="AH3037" s="7">
        <f>IF($C3037="","",U3037-AG3037)</f>
        <v/>
      </c>
      <c r="AI3037" s="7">
        <f>IF($C3037="","",AH3037-M3037)</f>
        <v/>
      </c>
      <c r="AJ3037">
        <f>IF($C3037="","",IF(COUNTIF($C$2:$C3037,$C3037)=1,1,0))</f>
        <v/>
      </c>
      <c r="AK3037">
        <f>IF($AJ3037=1,SUMPRODUCT(--($AN$2:$AN$4001&lt;$AN3037))+1,"")</f>
        <v/>
      </c>
      <c r="AL3037">
        <f>IF($C3037="","",IF(OR($Q3037=TRUE(),$Q3037="TRUE"),1,0))</f>
        <v/>
      </c>
      <c r="AM3037">
        <f>IF($C3037="","",IF($W3037="Yes",1,0))</f>
        <v/>
      </c>
      <c r="AN3037">
        <f>IF($AJ3037=1,IFERROR(IF(VALUE($C3037)&lt;100000000,VALUE($C3037),1000000000),IFERROR(IF(VALUE(MID($C3037,2,20))&lt;100000000,VALUE(MID($C3037,2,20)),1000000000),1000000000))+ROW()/100000,"")</f>
        <v/>
      </c>
    </row>
    <row r="3038">
      <c r="E3038" s="11" t="n"/>
      <c r="M3038" s="7">
        <f>IF($C3038="","",L3038*U3038/100)</f>
        <v/>
      </c>
      <c r="N3038" s="7" t="n"/>
      <c r="T3038" s="7" t="n"/>
      <c r="U3038" s="7">
        <f>IF($C3038="","",S3038*T3038)</f>
        <v/>
      </c>
      <c r="X3038">
        <f>IF($C3038="","",IF($AM3038=1,0,IF($AL3038=1,Settings!$C$6,Settings!$C$7))*100)</f>
        <v/>
      </c>
      <c r="AB3038" s="7" t="n"/>
      <c r="AE3038" s="11" t="n"/>
      <c r="AG3038" s="7">
        <f>IF($C3038="","",U3038*X3038/100)</f>
        <v/>
      </c>
      <c r="AH3038" s="7">
        <f>IF($C3038="","",U3038-AG3038)</f>
        <v/>
      </c>
      <c r="AI3038" s="7">
        <f>IF($C3038="","",AH3038-M3038)</f>
        <v/>
      </c>
      <c r="AJ3038">
        <f>IF($C3038="","",IF(COUNTIF($C$2:$C3038,$C3038)=1,1,0))</f>
        <v/>
      </c>
      <c r="AK3038">
        <f>IF($AJ3038=1,SUMPRODUCT(--($AN$2:$AN$4001&lt;$AN3038))+1,"")</f>
        <v/>
      </c>
      <c r="AL3038">
        <f>IF($C3038="","",IF(OR($Q3038=TRUE(),$Q3038="TRUE"),1,0))</f>
        <v/>
      </c>
      <c r="AM3038">
        <f>IF($C3038="","",IF($W3038="Yes",1,0))</f>
        <v/>
      </c>
      <c r="AN3038">
        <f>IF($AJ3038=1,IFERROR(IF(VALUE($C3038)&lt;100000000,VALUE($C3038),1000000000),IFERROR(IF(VALUE(MID($C3038,2,20))&lt;100000000,VALUE(MID($C3038,2,20)),1000000000),1000000000))+ROW()/100000,"")</f>
        <v/>
      </c>
    </row>
    <row r="3039">
      <c r="E3039" s="11" t="n"/>
      <c r="M3039" s="7">
        <f>IF($C3039="","",L3039*U3039/100)</f>
        <v/>
      </c>
      <c r="N3039" s="7" t="n"/>
      <c r="T3039" s="7" t="n"/>
      <c r="U3039" s="7">
        <f>IF($C3039="","",S3039*T3039)</f>
        <v/>
      </c>
      <c r="X3039">
        <f>IF($C3039="","",IF($AM3039=1,0,IF($AL3039=1,Settings!$C$6,Settings!$C$7))*100)</f>
        <v/>
      </c>
      <c r="AB3039" s="7" t="n"/>
      <c r="AE3039" s="11" t="n"/>
      <c r="AG3039" s="7">
        <f>IF($C3039="","",U3039*X3039/100)</f>
        <v/>
      </c>
      <c r="AH3039" s="7">
        <f>IF($C3039="","",U3039-AG3039)</f>
        <v/>
      </c>
      <c r="AI3039" s="7">
        <f>IF($C3039="","",AH3039-M3039)</f>
        <v/>
      </c>
      <c r="AJ3039">
        <f>IF($C3039="","",IF(COUNTIF($C$2:$C3039,$C3039)=1,1,0))</f>
        <v/>
      </c>
      <c r="AK3039">
        <f>IF($AJ3039=1,SUMPRODUCT(--($AN$2:$AN$4001&lt;$AN3039))+1,"")</f>
        <v/>
      </c>
      <c r="AL3039">
        <f>IF($C3039="","",IF(OR($Q3039=TRUE(),$Q3039="TRUE"),1,0))</f>
        <v/>
      </c>
      <c r="AM3039">
        <f>IF($C3039="","",IF($W3039="Yes",1,0))</f>
        <v/>
      </c>
      <c r="AN3039">
        <f>IF($AJ3039=1,IFERROR(IF(VALUE($C3039)&lt;100000000,VALUE($C3039),1000000000),IFERROR(IF(VALUE(MID($C3039,2,20))&lt;100000000,VALUE(MID($C3039,2,20)),1000000000),1000000000))+ROW()/100000,"")</f>
        <v/>
      </c>
    </row>
    <row r="3040">
      <c r="E3040" s="11" t="n"/>
      <c r="M3040" s="7">
        <f>IF($C3040="","",L3040*U3040/100)</f>
        <v/>
      </c>
      <c r="N3040" s="7" t="n"/>
      <c r="T3040" s="7" t="n"/>
      <c r="U3040" s="7">
        <f>IF($C3040="","",S3040*T3040)</f>
        <v/>
      </c>
      <c r="X3040">
        <f>IF($C3040="","",IF($AM3040=1,0,IF($AL3040=1,Settings!$C$6,Settings!$C$7))*100)</f>
        <v/>
      </c>
      <c r="AB3040" s="7" t="n"/>
      <c r="AE3040" s="11" t="n"/>
      <c r="AG3040" s="7">
        <f>IF($C3040="","",U3040*X3040/100)</f>
        <v/>
      </c>
      <c r="AH3040" s="7">
        <f>IF($C3040="","",U3040-AG3040)</f>
        <v/>
      </c>
      <c r="AI3040" s="7">
        <f>IF($C3040="","",AH3040-M3040)</f>
        <v/>
      </c>
      <c r="AJ3040">
        <f>IF($C3040="","",IF(COUNTIF($C$2:$C3040,$C3040)=1,1,0))</f>
        <v/>
      </c>
      <c r="AK3040">
        <f>IF($AJ3040=1,SUMPRODUCT(--($AN$2:$AN$4001&lt;$AN3040))+1,"")</f>
        <v/>
      </c>
      <c r="AL3040">
        <f>IF($C3040="","",IF(OR($Q3040=TRUE(),$Q3040="TRUE"),1,0))</f>
        <v/>
      </c>
      <c r="AM3040">
        <f>IF($C3040="","",IF($W3040="Yes",1,0))</f>
        <v/>
      </c>
      <c r="AN3040">
        <f>IF($AJ3040=1,IFERROR(IF(VALUE($C3040)&lt;100000000,VALUE($C3040),1000000000),IFERROR(IF(VALUE(MID($C3040,2,20))&lt;100000000,VALUE(MID($C3040,2,20)),1000000000),1000000000))+ROW()/100000,"")</f>
        <v/>
      </c>
    </row>
    <row r="3041">
      <c r="E3041" s="11" t="n"/>
      <c r="M3041" s="7">
        <f>IF($C3041="","",L3041*U3041/100)</f>
        <v/>
      </c>
      <c r="N3041" s="7" t="n"/>
      <c r="T3041" s="7" t="n"/>
      <c r="U3041" s="7">
        <f>IF($C3041="","",S3041*T3041)</f>
        <v/>
      </c>
      <c r="X3041">
        <f>IF($C3041="","",IF($AM3041=1,0,IF($AL3041=1,Settings!$C$6,Settings!$C$7))*100)</f>
        <v/>
      </c>
      <c r="AB3041" s="7" t="n"/>
      <c r="AE3041" s="11" t="n"/>
      <c r="AG3041" s="7">
        <f>IF($C3041="","",U3041*X3041/100)</f>
        <v/>
      </c>
      <c r="AH3041" s="7">
        <f>IF($C3041="","",U3041-AG3041)</f>
        <v/>
      </c>
      <c r="AI3041" s="7">
        <f>IF($C3041="","",AH3041-M3041)</f>
        <v/>
      </c>
      <c r="AJ3041">
        <f>IF($C3041="","",IF(COUNTIF($C$2:$C3041,$C3041)=1,1,0))</f>
        <v/>
      </c>
      <c r="AK3041">
        <f>IF($AJ3041=1,SUMPRODUCT(--($AN$2:$AN$4001&lt;$AN3041))+1,"")</f>
        <v/>
      </c>
      <c r="AL3041">
        <f>IF($C3041="","",IF(OR($Q3041=TRUE(),$Q3041="TRUE"),1,0))</f>
        <v/>
      </c>
      <c r="AM3041">
        <f>IF($C3041="","",IF($W3041="Yes",1,0))</f>
        <v/>
      </c>
      <c r="AN3041">
        <f>IF($AJ3041=1,IFERROR(IF(VALUE($C3041)&lt;100000000,VALUE($C3041),1000000000),IFERROR(IF(VALUE(MID($C3041,2,20))&lt;100000000,VALUE(MID($C3041,2,20)),1000000000),1000000000))+ROW()/100000,"")</f>
        <v/>
      </c>
    </row>
    <row r="3042">
      <c r="E3042" s="11" t="n"/>
      <c r="M3042" s="7">
        <f>IF($C3042="","",L3042*U3042/100)</f>
        <v/>
      </c>
      <c r="N3042" s="7" t="n"/>
      <c r="T3042" s="7" t="n"/>
      <c r="U3042" s="7">
        <f>IF($C3042="","",S3042*T3042)</f>
        <v/>
      </c>
      <c r="X3042">
        <f>IF($C3042="","",IF($AM3042=1,0,IF($AL3042=1,Settings!$C$6,Settings!$C$7))*100)</f>
        <v/>
      </c>
      <c r="AB3042" s="7" t="n"/>
      <c r="AE3042" s="11" t="n"/>
      <c r="AG3042" s="7">
        <f>IF($C3042="","",U3042*X3042/100)</f>
        <v/>
      </c>
      <c r="AH3042" s="7">
        <f>IF($C3042="","",U3042-AG3042)</f>
        <v/>
      </c>
      <c r="AI3042" s="7">
        <f>IF($C3042="","",AH3042-M3042)</f>
        <v/>
      </c>
      <c r="AJ3042">
        <f>IF($C3042="","",IF(COUNTIF($C$2:$C3042,$C3042)=1,1,0))</f>
        <v/>
      </c>
      <c r="AK3042">
        <f>IF($AJ3042=1,SUMPRODUCT(--($AN$2:$AN$4001&lt;$AN3042))+1,"")</f>
        <v/>
      </c>
      <c r="AL3042">
        <f>IF($C3042="","",IF(OR($Q3042=TRUE(),$Q3042="TRUE"),1,0))</f>
        <v/>
      </c>
      <c r="AM3042">
        <f>IF($C3042="","",IF($W3042="Yes",1,0))</f>
        <v/>
      </c>
      <c r="AN3042">
        <f>IF($AJ3042=1,IFERROR(IF(VALUE($C3042)&lt;100000000,VALUE($C3042),1000000000),IFERROR(IF(VALUE(MID($C3042,2,20))&lt;100000000,VALUE(MID($C3042,2,20)),1000000000),1000000000))+ROW()/100000,"")</f>
        <v/>
      </c>
    </row>
    <row r="3043">
      <c r="E3043" s="11" t="n"/>
      <c r="M3043" s="7">
        <f>IF($C3043="","",L3043*U3043/100)</f>
        <v/>
      </c>
      <c r="N3043" s="7" t="n"/>
      <c r="T3043" s="7" t="n"/>
      <c r="U3043" s="7">
        <f>IF($C3043="","",S3043*T3043)</f>
        <v/>
      </c>
      <c r="X3043">
        <f>IF($C3043="","",IF($AM3043=1,0,IF($AL3043=1,Settings!$C$6,Settings!$C$7))*100)</f>
        <v/>
      </c>
      <c r="AB3043" s="7" t="n"/>
      <c r="AE3043" s="11" t="n"/>
      <c r="AG3043" s="7">
        <f>IF($C3043="","",U3043*X3043/100)</f>
        <v/>
      </c>
      <c r="AH3043" s="7">
        <f>IF($C3043="","",U3043-AG3043)</f>
        <v/>
      </c>
      <c r="AI3043" s="7">
        <f>IF($C3043="","",AH3043-M3043)</f>
        <v/>
      </c>
      <c r="AJ3043">
        <f>IF($C3043="","",IF(COUNTIF($C$2:$C3043,$C3043)=1,1,0))</f>
        <v/>
      </c>
      <c r="AK3043">
        <f>IF($AJ3043=1,SUMPRODUCT(--($AN$2:$AN$4001&lt;$AN3043))+1,"")</f>
        <v/>
      </c>
      <c r="AL3043">
        <f>IF($C3043="","",IF(OR($Q3043=TRUE(),$Q3043="TRUE"),1,0))</f>
        <v/>
      </c>
      <c r="AM3043">
        <f>IF($C3043="","",IF($W3043="Yes",1,0))</f>
        <v/>
      </c>
      <c r="AN3043">
        <f>IF($AJ3043=1,IFERROR(IF(VALUE($C3043)&lt;100000000,VALUE($C3043),1000000000),IFERROR(IF(VALUE(MID($C3043,2,20))&lt;100000000,VALUE(MID($C3043,2,20)),1000000000),1000000000))+ROW()/100000,"")</f>
        <v/>
      </c>
    </row>
    <row r="3044">
      <c r="E3044" s="11" t="n"/>
      <c r="M3044" s="7">
        <f>IF($C3044="","",L3044*U3044/100)</f>
        <v/>
      </c>
      <c r="N3044" s="7" t="n"/>
      <c r="T3044" s="7" t="n"/>
      <c r="U3044" s="7">
        <f>IF($C3044="","",S3044*T3044)</f>
        <v/>
      </c>
      <c r="X3044">
        <f>IF($C3044="","",IF($AM3044=1,0,IF($AL3044=1,Settings!$C$6,Settings!$C$7))*100)</f>
        <v/>
      </c>
      <c r="AB3044" s="7" t="n"/>
      <c r="AE3044" s="11" t="n"/>
      <c r="AG3044" s="7">
        <f>IF($C3044="","",U3044*X3044/100)</f>
        <v/>
      </c>
      <c r="AH3044" s="7">
        <f>IF($C3044="","",U3044-AG3044)</f>
        <v/>
      </c>
      <c r="AI3044" s="7">
        <f>IF($C3044="","",AH3044-M3044)</f>
        <v/>
      </c>
      <c r="AJ3044">
        <f>IF($C3044="","",IF(COUNTIF($C$2:$C3044,$C3044)=1,1,0))</f>
        <v/>
      </c>
      <c r="AK3044">
        <f>IF($AJ3044=1,SUMPRODUCT(--($AN$2:$AN$4001&lt;$AN3044))+1,"")</f>
        <v/>
      </c>
      <c r="AL3044">
        <f>IF($C3044="","",IF(OR($Q3044=TRUE(),$Q3044="TRUE"),1,0))</f>
        <v/>
      </c>
      <c r="AM3044">
        <f>IF($C3044="","",IF($W3044="Yes",1,0))</f>
        <v/>
      </c>
      <c r="AN3044">
        <f>IF($AJ3044=1,IFERROR(IF(VALUE($C3044)&lt;100000000,VALUE($C3044),1000000000),IFERROR(IF(VALUE(MID($C3044,2,20))&lt;100000000,VALUE(MID($C3044,2,20)),1000000000),1000000000))+ROW()/100000,"")</f>
        <v/>
      </c>
    </row>
    <row r="3045">
      <c r="E3045" s="11" t="n"/>
      <c r="M3045" s="7">
        <f>IF($C3045="","",L3045*U3045/100)</f>
        <v/>
      </c>
      <c r="N3045" s="7" t="n"/>
      <c r="T3045" s="7" t="n"/>
      <c r="U3045" s="7">
        <f>IF($C3045="","",S3045*T3045)</f>
        <v/>
      </c>
      <c r="X3045">
        <f>IF($C3045="","",IF($AM3045=1,0,IF($AL3045=1,Settings!$C$6,Settings!$C$7))*100)</f>
        <v/>
      </c>
      <c r="AB3045" s="7" t="n"/>
      <c r="AE3045" s="11" t="n"/>
      <c r="AG3045" s="7">
        <f>IF($C3045="","",U3045*X3045/100)</f>
        <v/>
      </c>
      <c r="AH3045" s="7">
        <f>IF($C3045="","",U3045-AG3045)</f>
        <v/>
      </c>
      <c r="AI3045" s="7">
        <f>IF($C3045="","",AH3045-M3045)</f>
        <v/>
      </c>
      <c r="AJ3045">
        <f>IF($C3045="","",IF(COUNTIF($C$2:$C3045,$C3045)=1,1,0))</f>
        <v/>
      </c>
      <c r="AK3045">
        <f>IF($AJ3045=1,SUMPRODUCT(--($AN$2:$AN$4001&lt;$AN3045))+1,"")</f>
        <v/>
      </c>
      <c r="AL3045">
        <f>IF($C3045="","",IF(OR($Q3045=TRUE(),$Q3045="TRUE"),1,0))</f>
        <v/>
      </c>
      <c r="AM3045">
        <f>IF($C3045="","",IF($W3045="Yes",1,0))</f>
        <v/>
      </c>
      <c r="AN3045">
        <f>IF($AJ3045=1,IFERROR(IF(VALUE($C3045)&lt;100000000,VALUE($C3045),1000000000),IFERROR(IF(VALUE(MID($C3045,2,20))&lt;100000000,VALUE(MID($C3045,2,20)),1000000000),1000000000))+ROW()/100000,"")</f>
        <v/>
      </c>
    </row>
    <row r="3046">
      <c r="E3046" s="11" t="n"/>
      <c r="M3046" s="7">
        <f>IF($C3046="","",L3046*U3046/100)</f>
        <v/>
      </c>
      <c r="N3046" s="7" t="n"/>
      <c r="T3046" s="7" t="n"/>
      <c r="U3046" s="7">
        <f>IF($C3046="","",S3046*T3046)</f>
        <v/>
      </c>
      <c r="X3046">
        <f>IF($C3046="","",IF($AM3046=1,0,IF($AL3046=1,Settings!$C$6,Settings!$C$7))*100)</f>
        <v/>
      </c>
      <c r="AB3046" s="7" t="n"/>
      <c r="AE3046" s="11" t="n"/>
      <c r="AG3046" s="7">
        <f>IF($C3046="","",U3046*X3046/100)</f>
        <v/>
      </c>
      <c r="AH3046" s="7">
        <f>IF($C3046="","",U3046-AG3046)</f>
        <v/>
      </c>
      <c r="AI3046" s="7">
        <f>IF($C3046="","",AH3046-M3046)</f>
        <v/>
      </c>
      <c r="AJ3046">
        <f>IF($C3046="","",IF(COUNTIF($C$2:$C3046,$C3046)=1,1,0))</f>
        <v/>
      </c>
      <c r="AK3046">
        <f>IF($AJ3046=1,SUMPRODUCT(--($AN$2:$AN$4001&lt;$AN3046))+1,"")</f>
        <v/>
      </c>
      <c r="AL3046">
        <f>IF($C3046="","",IF(OR($Q3046=TRUE(),$Q3046="TRUE"),1,0))</f>
        <v/>
      </c>
      <c r="AM3046">
        <f>IF($C3046="","",IF($W3046="Yes",1,0))</f>
        <v/>
      </c>
      <c r="AN3046">
        <f>IF($AJ3046=1,IFERROR(IF(VALUE($C3046)&lt;100000000,VALUE($C3046),1000000000),IFERROR(IF(VALUE(MID($C3046,2,20))&lt;100000000,VALUE(MID($C3046,2,20)),1000000000),1000000000))+ROW()/100000,"")</f>
        <v/>
      </c>
    </row>
    <row r="3047">
      <c r="E3047" s="11" t="n"/>
      <c r="M3047" s="7">
        <f>IF($C3047="","",L3047*U3047/100)</f>
        <v/>
      </c>
      <c r="N3047" s="7" t="n"/>
      <c r="T3047" s="7" t="n"/>
      <c r="U3047" s="7">
        <f>IF($C3047="","",S3047*T3047)</f>
        <v/>
      </c>
      <c r="X3047">
        <f>IF($C3047="","",IF($AM3047=1,0,IF($AL3047=1,Settings!$C$6,Settings!$C$7))*100)</f>
        <v/>
      </c>
      <c r="AB3047" s="7" t="n"/>
      <c r="AE3047" s="11" t="n"/>
      <c r="AG3047" s="7">
        <f>IF($C3047="","",U3047*X3047/100)</f>
        <v/>
      </c>
      <c r="AH3047" s="7">
        <f>IF($C3047="","",U3047-AG3047)</f>
        <v/>
      </c>
      <c r="AI3047" s="7">
        <f>IF($C3047="","",AH3047-M3047)</f>
        <v/>
      </c>
      <c r="AJ3047">
        <f>IF($C3047="","",IF(COUNTIF($C$2:$C3047,$C3047)=1,1,0))</f>
        <v/>
      </c>
      <c r="AK3047">
        <f>IF($AJ3047=1,SUMPRODUCT(--($AN$2:$AN$4001&lt;$AN3047))+1,"")</f>
        <v/>
      </c>
      <c r="AL3047">
        <f>IF($C3047="","",IF(OR($Q3047=TRUE(),$Q3047="TRUE"),1,0))</f>
        <v/>
      </c>
      <c r="AM3047">
        <f>IF($C3047="","",IF($W3047="Yes",1,0))</f>
        <v/>
      </c>
      <c r="AN3047">
        <f>IF($AJ3047=1,IFERROR(IF(VALUE($C3047)&lt;100000000,VALUE($C3047),1000000000),IFERROR(IF(VALUE(MID($C3047,2,20))&lt;100000000,VALUE(MID($C3047,2,20)),1000000000),1000000000))+ROW()/100000,"")</f>
        <v/>
      </c>
    </row>
    <row r="3048">
      <c r="E3048" s="11" t="n"/>
      <c r="M3048" s="7">
        <f>IF($C3048="","",L3048*U3048/100)</f>
        <v/>
      </c>
      <c r="N3048" s="7" t="n"/>
      <c r="T3048" s="7" t="n"/>
      <c r="U3048" s="7">
        <f>IF($C3048="","",S3048*T3048)</f>
        <v/>
      </c>
      <c r="X3048">
        <f>IF($C3048="","",IF($AM3048=1,0,IF($AL3048=1,Settings!$C$6,Settings!$C$7))*100)</f>
        <v/>
      </c>
      <c r="AB3048" s="7" t="n"/>
      <c r="AE3048" s="11" t="n"/>
      <c r="AG3048" s="7">
        <f>IF($C3048="","",U3048*X3048/100)</f>
        <v/>
      </c>
      <c r="AH3048" s="7">
        <f>IF($C3048="","",U3048-AG3048)</f>
        <v/>
      </c>
      <c r="AI3048" s="7">
        <f>IF($C3048="","",AH3048-M3048)</f>
        <v/>
      </c>
      <c r="AJ3048">
        <f>IF($C3048="","",IF(COUNTIF($C$2:$C3048,$C3048)=1,1,0))</f>
        <v/>
      </c>
      <c r="AK3048">
        <f>IF($AJ3048=1,SUMPRODUCT(--($AN$2:$AN$4001&lt;$AN3048))+1,"")</f>
        <v/>
      </c>
      <c r="AL3048">
        <f>IF($C3048="","",IF(OR($Q3048=TRUE(),$Q3048="TRUE"),1,0))</f>
        <v/>
      </c>
      <c r="AM3048">
        <f>IF($C3048="","",IF($W3048="Yes",1,0))</f>
        <v/>
      </c>
      <c r="AN3048">
        <f>IF($AJ3048=1,IFERROR(IF(VALUE($C3048)&lt;100000000,VALUE($C3048),1000000000),IFERROR(IF(VALUE(MID($C3048,2,20))&lt;100000000,VALUE(MID($C3048,2,20)),1000000000),1000000000))+ROW()/100000,"")</f>
        <v/>
      </c>
    </row>
    <row r="3049">
      <c r="E3049" s="11" t="n"/>
      <c r="M3049" s="7">
        <f>IF($C3049="","",L3049*U3049/100)</f>
        <v/>
      </c>
      <c r="N3049" s="7" t="n"/>
      <c r="T3049" s="7" t="n"/>
      <c r="U3049" s="7">
        <f>IF($C3049="","",S3049*T3049)</f>
        <v/>
      </c>
      <c r="X3049">
        <f>IF($C3049="","",IF($AM3049=1,0,IF($AL3049=1,Settings!$C$6,Settings!$C$7))*100)</f>
        <v/>
      </c>
      <c r="AB3049" s="7" t="n"/>
      <c r="AE3049" s="11" t="n"/>
      <c r="AG3049" s="7">
        <f>IF($C3049="","",U3049*X3049/100)</f>
        <v/>
      </c>
      <c r="AH3049" s="7">
        <f>IF($C3049="","",U3049-AG3049)</f>
        <v/>
      </c>
      <c r="AI3049" s="7">
        <f>IF($C3049="","",AH3049-M3049)</f>
        <v/>
      </c>
      <c r="AJ3049">
        <f>IF($C3049="","",IF(COUNTIF($C$2:$C3049,$C3049)=1,1,0))</f>
        <v/>
      </c>
      <c r="AK3049">
        <f>IF($AJ3049=1,SUMPRODUCT(--($AN$2:$AN$4001&lt;$AN3049))+1,"")</f>
        <v/>
      </c>
      <c r="AL3049">
        <f>IF($C3049="","",IF(OR($Q3049=TRUE(),$Q3049="TRUE"),1,0))</f>
        <v/>
      </c>
      <c r="AM3049">
        <f>IF($C3049="","",IF($W3049="Yes",1,0))</f>
        <v/>
      </c>
      <c r="AN3049">
        <f>IF($AJ3049=1,IFERROR(IF(VALUE($C3049)&lt;100000000,VALUE($C3049),1000000000),IFERROR(IF(VALUE(MID($C3049,2,20))&lt;100000000,VALUE(MID($C3049,2,20)),1000000000),1000000000))+ROW()/100000,"")</f>
        <v/>
      </c>
    </row>
    <row r="3050">
      <c r="E3050" s="11" t="n"/>
      <c r="M3050" s="7">
        <f>IF($C3050="","",L3050*U3050/100)</f>
        <v/>
      </c>
      <c r="N3050" s="7" t="n"/>
      <c r="T3050" s="7" t="n"/>
      <c r="U3050" s="7">
        <f>IF($C3050="","",S3050*T3050)</f>
        <v/>
      </c>
      <c r="X3050">
        <f>IF($C3050="","",IF($AM3050=1,0,IF($AL3050=1,Settings!$C$6,Settings!$C$7))*100)</f>
        <v/>
      </c>
      <c r="AB3050" s="7" t="n"/>
      <c r="AE3050" s="11" t="n"/>
      <c r="AG3050" s="7">
        <f>IF($C3050="","",U3050*X3050/100)</f>
        <v/>
      </c>
      <c r="AH3050" s="7">
        <f>IF($C3050="","",U3050-AG3050)</f>
        <v/>
      </c>
      <c r="AI3050" s="7">
        <f>IF($C3050="","",AH3050-M3050)</f>
        <v/>
      </c>
      <c r="AJ3050">
        <f>IF($C3050="","",IF(COUNTIF($C$2:$C3050,$C3050)=1,1,0))</f>
        <v/>
      </c>
      <c r="AK3050">
        <f>IF($AJ3050=1,SUMPRODUCT(--($AN$2:$AN$4001&lt;$AN3050))+1,"")</f>
        <v/>
      </c>
      <c r="AL3050">
        <f>IF($C3050="","",IF(OR($Q3050=TRUE(),$Q3050="TRUE"),1,0))</f>
        <v/>
      </c>
      <c r="AM3050">
        <f>IF($C3050="","",IF($W3050="Yes",1,0))</f>
        <v/>
      </c>
      <c r="AN3050">
        <f>IF($AJ3050=1,IFERROR(IF(VALUE($C3050)&lt;100000000,VALUE($C3050),1000000000),IFERROR(IF(VALUE(MID($C3050,2,20))&lt;100000000,VALUE(MID($C3050,2,20)),1000000000),1000000000))+ROW()/100000,"")</f>
        <v/>
      </c>
    </row>
    <row r="3051">
      <c r="E3051" s="11" t="n"/>
      <c r="M3051" s="7">
        <f>IF($C3051="","",L3051*U3051/100)</f>
        <v/>
      </c>
      <c r="N3051" s="7" t="n"/>
      <c r="T3051" s="7" t="n"/>
      <c r="U3051" s="7">
        <f>IF($C3051="","",S3051*T3051)</f>
        <v/>
      </c>
      <c r="X3051">
        <f>IF($C3051="","",IF($AM3051=1,0,IF($AL3051=1,Settings!$C$6,Settings!$C$7))*100)</f>
        <v/>
      </c>
      <c r="AB3051" s="7" t="n"/>
      <c r="AE3051" s="11" t="n"/>
      <c r="AG3051" s="7">
        <f>IF($C3051="","",U3051*X3051/100)</f>
        <v/>
      </c>
      <c r="AH3051" s="7">
        <f>IF($C3051="","",U3051-AG3051)</f>
        <v/>
      </c>
      <c r="AI3051" s="7">
        <f>IF($C3051="","",AH3051-M3051)</f>
        <v/>
      </c>
      <c r="AJ3051">
        <f>IF($C3051="","",IF(COUNTIF($C$2:$C3051,$C3051)=1,1,0))</f>
        <v/>
      </c>
      <c r="AK3051">
        <f>IF($AJ3051=1,SUMPRODUCT(--($AN$2:$AN$4001&lt;$AN3051))+1,"")</f>
        <v/>
      </c>
      <c r="AL3051">
        <f>IF($C3051="","",IF(OR($Q3051=TRUE(),$Q3051="TRUE"),1,0))</f>
        <v/>
      </c>
      <c r="AM3051">
        <f>IF($C3051="","",IF($W3051="Yes",1,0))</f>
        <v/>
      </c>
      <c r="AN3051">
        <f>IF($AJ3051=1,IFERROR(IF(VALUE($C3051)&lt;100000000,VALUE($C3051),1000000000),IFERROR(IF(VALUE(MID($C3051,2,20))&lt;100000000,VALUE(MID($C3051,2,20)),1000000000),1000000000))+ROW()/100000,"")</f>
        <v/>
      </c>
    </row>
    <row r="3052">
      <c r="E3052" s="11" t="n"/>
      <c r="M3052" s="7">
        <f>IF($C3052="","",L3052*U3052/100)</f>
        <v/>
      </c>
      <c r="N3052" s="7" t="n"/>
      <c r="T3052" s="7" t="n"/>
      <c r="U3052" s="7">
        <f>IF($C3052="","",S3052*T3052)</f>
        <v/>
      </c>
      <c r="X3052">
        <f>IF($C3052="","",IF($AM3052=1,0,IF($AL3052=1,Settings!$C$6,Settings!$C$7))*100)</f>
        <v/>
      </c>
      <c r="AB3052" s="7" t="n"/>
      <c r="AE3052" s="11" t="n"/>
      <c r="AG3052" s="7">
        <f>IF($C3052="","",U3052*X3052/100)</f>
        <v/>
      </c>
      <c r="AH3052" s="7">
        <f>IF($C3052="","",U3052-AG3052)</f>
        <v/>
      </c>
      <c r="AI3052" s="7">
        <f>IF($C3052="","",AH3052-M3052)</f>
        <v/>
      </c>
      <c r="AJ3052">
        <f>IF($C3052="","",IF(COUNTIF($C$2:$C3052,$C3052)=1,1,0))</f>
        <v/>
      </c>
      <c r="AK3052">
        <f>IF($AJ3052=1,SUMPRODUCT(--($AN$2:$AN$4001&lt;$AN3052))+1,"")</f>
        <v/>
      </c>
      <c r="AL3052">
        <f>IF($C3052="","",IF(OR($Q3052=TRUE(),$Q3052="TRUE"),1,0))</f>
        <v/>
      </c>
      <c r="AM3052">
        <f>IF($C3052="","",IF($W3052="Yes",1,0))</f>
        <v/>
      </c>
      <c r="AN3052">
        <f>IF($AJ3052=1,IFERROR(IF(VALUE($C3052)&lt;100000000,VALUE($C3052),1000000000),IFERROR(IF(VALUE(MID($C3052,2,20))&lt;100000000,VALUE(MID($C3052,2,20)),1000000000),1000000000))+ROW()/100000,"")</f>
        <v/>
      </c>
    </row>
    <row r="3053">
      <c r="E3053" s="11" t="n"/>
      <c r="M3053" s="7">
        <f>IF($C3053="","",L3053*U3053/100)</f>
        <v/>
      </c>
      <c r="N3053" s="7" t="n"/>
      <c r="T3053" s="7" t="n"/>
      <c r="U3053" s="7">
        <f>IF($C3053="","",S3053*T3053)</f>
        <v/>
      </c>
      <c r="X3053">
        <f>IF($C3053="","",IF($AM3053=1,0,IF($AL3053=1,Settings!$C$6,Settings!$C$7))*100)</f>
        <v/>
      </c>
      <c r="AB3053" s="7" t="n"/>
      <c r="AE3053" s="11" t="n"/>
      <c r="AG3053" s="7">
        <f>IF($C3053="","",U3053*X3053/100)</f>
        <v/>
      </c>
      <c r="AH3053" s="7">
        <f>IF($C3053="","",U3053-AG3053)</f>
        <v/>
      </c>
      <c r="AI3053" s="7">
        <f>IF($C3053="","",AH3053-M3053)</f>
        <v/>
      </c>
      <c r="AJ3053">
        <f>IF($C3053="","",IF(COUNTIF($C$2:$C3053,$C3053)=1,1,0))</f>
        <v/>
      </c>
      <c r="AK3053">
        <f>IF($AJ3053=1,SUMPRODUCT(--($AN$2:$AN$4001&lt;$AN3053))+1,"")</f>
        <v/>
      </c>
      <c r="AL3053">
        <f>IF($C3053="","",IF(OR($Q3053=TRUE(),$Q3053="TRUE"),1,0))</f>
        <v/>
      </c>
      <c r="AM3053">
        <f>IF($C3053="","",IF($W3053="Yes",1,0))</f>
        <v/>
      </c>
      <c r="AN3053">
        <f>IF($AJ3053=1,IFERROR(IF(VALUE($C3053)&lt;100000000,VALUE($C3053),1000000000),IFERROR(IF(VALUE(MID($C3053,2,20))&lt;100000000,VALUE(MID($C3053,2,20)),1000000000),1000000000))+ROW()/100000,"")</f>
        <v/>
      </c>
    </row>
    <row r="3054">
      <c r="E3054" s="11" t="n"/>
      <c r="M3054" s="7">
        <f>IF($C3054="","",L3054*U3054/100)</f>
        <v/>
      </c>
      <c r="N3054" s="7" t="n"/>
      <c r="T3054" s="7" t="n"/>
      <c r="U3054" s="7">
        <f>IF($C3054="","",S3054*T3054)</f>
        <v/>
      </c>
      <c r="X3054">
        <f>IF($C3054="","",IF($AM3054=1,0,IF($AL3054=1,Settings!$C$6,Settings!$C$7))*100)</f>
        <v/>
      </c>
      <c r="AB3054" s="7" t="n"/>
      <c r="AE3054" s="11" t="n"/>
      <c r="AG3054" s="7">
        <f>IF($C3054="","",U3054*X3054/100)</f>
        <v/>
      </c>
      <c r="AH3054" s="7">
        <f>IF($C3054="","",U3054-AG3054)</f>
        <v/>
      </c>
      <c r="AI3054" s="7">
        <f>IF($C3054="","",AH3054-M3054)</f>
        <v/>
      </c>
      <c r="AJ3054">
        <f>IF($C3054="","",IF(COUNTIF($C$2:$C3054,$C3054)=1,1,0))</f>
        <v/>
      </c>
      <c r="AK3054">
        <f>IF($AJ3054=1,SUMPRODUCT(--($AN$2:$AN$4001&lt;$AN3054))+1,"")</f>
        <v/>
      </c>
      <c r="AL3054">
        <f>IF($C3054="","",IF(OR($Q3054=TRUE(),$Q3054="TRUE"),1,0))</f>
        <v/>
      </c>
      <c r="AM3054">
        <f>IF($C3054="","",IF($W3054="Yes",1,0))</f>
        <v/>
      </c>
      <c r="AN3054">
        <f>IF($AJ3054=1,IFERROR(IF(VALUE($C3054)&lt;100000000,VALUE($C3054),1000000000),IFERROR(IF(VALUE(MID($C3054,2,20))&lt;100000000,VALUE(MID($C3054,2,20)),1000000000),1000000000))+ROW()/100000,"")</f>
        <v/>
      </c>
    </row>
    <row r="3055">
      <c r="E3055" s="11" t="n"/>
      <c r="M3055" s="7">
        <f>IF($C3055="","",L3055*U3055/100)</f>
        <v/>
      </c>
      <c r="N3055" s="7" t="n"/>
      <c r="T3055" s="7" t="n"/>
      <c r="U3055" s="7">
        <f>IF($C3055="","",S3055*T3055)</f>
        <v/>
      </c>
      <c r="X3055">
        <f>IF($C3055="","",IF($AM3055=1,0,IF($AL3055=1,Settings!$C$6,Settings!$C$7))*100)</f>
        <v/>
      </c>
      <c r="AB3055" s="7" t="n"/>
      <c r="AE3055" s="11" t="n"/>
      <c r="AG3055" s="7">
        <f>IF($C3055="","",U3055*X3055/100)</f>
        <v/>
      </c>
      <c r="AH3055" s="7">
        <f>IF($C3055="","",U3055-AG3055)</f>
        <v/>
      </c>
      <c r="AI3055" s="7">
        <f>IF($C3055="","",AH3055-M3055)</f>
        <v/>
      </c>
      <c r="AJ3055">
        <f>IF($C3055="","",IF(COUNTIF($C$2:$C3055,$C3055)=1,1,0))</f>
        <v/>
      </c>
      <c r="AK3055">
        <f>IF($AJ3055=1,SUMPRODUCT(--($AN$2:$AN$4001&lt;$AN3055))+1,"")</f>
        <v/>
      </c>
      <c r="AL3055">
        <f>IF($C3055="","",IF(OR($Q3055=TRUE(),$Q3055="TRUE"),1,0))</f>
        <v/>
      </c>
      <c r="AM3055">
        <f>IF($C3055="","",IF($W3055="Yes",1,0))</f>
        <v/>
      </c>
      <c r="AN3055">
        <f>IF($AJ3055=1,IFERROR(IF(VALUE($C3055)&lt;100000000,VALUE($C3055),1000000000),IFERROR(IF(VALUE(MID($C3055,2,20))&lt;100000000,VALUE(MID($C3055,2,20)),1000000000),1000000000))+ROW()/100000,"")</f>
        <v/>
      </c>
    </row>
    <row r="3056">
      <c r="E3056" s="11" t="n"/>
      <c r="M3056" s="7">
        <f>IF($C3056="","",L3056*U3056/100)</f>
        <v/>
      </c>
      <c r="N3056" s="7" t="n"/>
      <c r="T3056" s="7" t="n"/>
      <c r="U3056" s="7">
        <f>IF($C3056="","",S3056*T3056)</f>
        <v/>
      </c>
      <c r="X3056">
        <f>IF($C3056="","",IF($AM3056=1,0,IF($AL3056=1,Settings!$C$6,Settings!$C$7))*100)</f>
        <v/>
      </c>
      <c r="AB3056" s="7" t="n"/>
      <c r="AE3056" s="11" t="n"/>
      <c r="AG3056" s="7">
        <f>IF($C3056="","",U3056*X3056/100)</f>
        <v/>
      </c>
      <c r="AH3056" s="7">
        <f>IF($C3056="","",U3056-AG3056)</f>
        <v/>
      </c>
      <c r="AI3056" s="7">
        <f>IF($C3056="","",AH3056-M3056)</f>
        <v/>
      </c>
      <c r="AJ3056">
        <f>IF($C3056="","",IF(COUNTIF($C$2:$C3056,$C3056)=1,1,0))</f>
        <v/>
      </c>
      <c r="AK3056">
        <f>IF($AJ3056=1,SUMPRODUCT(--($AN$2:$AN$4001&lt;$AN3056))+1,"")</f>
        <v/>
      </c>
      <c r="AL3056">
        <f>IF($C3056="","",IF(OR($Q3056=TRUE(),$Q3056="TRUE"),1,0))</f>
        <v/>
      </c>
      <c r="AM3056">
        <f>IF($C3056="","",IF($W3056="Yes",1,0))</f>
        <v/>
      </c>
      <c r="AN3056">
        <f>IF($AJ3056=1,IFERROR(IF(VALUE($C3056)&lt;100000000,VALUE($C3056),1000000000),IFERROR(IF(VALUE(MID($C3056,2,20))&lt;100000000,VALUE(MID($C3056,2,20)),1000000000),1000000000))+ROW()/100000,"")</f>
        <v/>
      </c>
    </row>
    <row r="3057">
      <c r="E3057" s="11" t="n"/>
      <c r="M3057" s="7">
        <f>IF($C3057="","",L3057*U3057/100)</f>
        <v/>
      </c>
      <c r="N3057" s="7" t="n"/>
      <c r="T3057" s="7" t="n"/>
      <c r="U3057" s="7">
        <f>IF($C3057="","",S3057*T3057)</f>
        <v/>
      </c>
      <c r="X3057">
        <f>IF($C3057="","",IF($AM3057=1,0,IF($AL3057=1,Settings!$C$6,Settings!$C$7))*100)</f>
        <v/>
      </c>
      <c r="AB3057" s="7" t="n"/>
      <c r="AE3057" s="11" t="n"/>
      <c r="AG3057" s="7">
        <f>IF($C3057="","",U3057*X3057/100)</f>
        <v/>
      </c>
      <c r="AH3057" s="7">
        <f>IF($C3057="","",U3057-AG3057)</f>
        <v/>
      </c>
      <c r="AI3057" s="7">
        <f>IF($C3057="","",AH3057-M3057)</f>
        <v/>
      </c>
      <c r="AJ3057">
        <f>IF($C3057="","",IF(COUNTIF($C$2:$C3057,$C3057)=1,1,0))</f>
        <v/>
      </c>
      <c r="AK3057">
        <f>IF($AJ3057=1,SUMPRODUCT(--($AN$2:$AN$4001&lt;$AN3057))+1,"")</f>
        <v/>
      </c>
      <c r="AL3057">
        <f>IF($C3057="","",IF(OR($Q3057=TRUE(),$Q3057="TRUE"),1,0))</f>
        <v/>
      </c>
      <c r="AM3057">
        <f>IF($C3057="","",IF($W3057="Yes",1,0))</f>
        <v/>
      </c>
      <c r="AN3057">
        <f>IF($AJ3057=1,IFERROR(IF(VALUE($C3057)&lt;100000000,VALUE($C3057),1000000000),IFERROR(IF(VALUE(MID($C3057,2,20))&lt;100000000,VALUE(MID($C3057,2,20)),1000000000),1000000000))+ROW()/100000,"")</f>
        <v/>
      </c>
    </row>
    <row r="3058">
      <c r="E3058" s="11" t="n"/>
      <c r="M3058" s="7">
        <f>IF($C3058="","",L3058*U3058/100)</f>
        <v/>
      </c>
      <c r="N3058" s="7" t="n"/>
      <c r="T3058" s="7" t="n"/>
      <c r="U3058" s="7">
        <f>IF($C3058="","",S3058*T3058)</f>
        <v/>
      </c>
      <c r="X3058">
        <f>IF($C3058="","",IF($AM3058=1,0,IF($AL3058=1,Settings!$C$6,Settings!$C$7))*100)</f>
        <v/>
      </c>
      <c r="AB3058" s="7" t="n"/>
      <c r="AE3058" s="11" t="n"/>
      <c r="AG3058" s="7">
        <f>IF($C3058="","",U3058*X3058/100)</f>
        <v/>
      </c>
      <c r="AH3058" s="7">
        <f>IF($C3058="","",U3058-AG3058)</f>
        <v/>
      </c>
      <c r="AI3058" s="7">
        <f>IF($C3058="","",AH3058-M3058)</f>
        <v/>
      </c>
      <c r="AJ3058">
        <f>IF($C3058="","",IF(COUNTIF($C$2:$C3058,$C3058)=1,1,0))</f>
        <v/>
      </c>
      <c r="AK3058">
        <f>IF($AJ3058=1,SUMPRODUCT(--($AN$2:$AN$4001&lt;$AN3058))+1,"")</f>
        <v/>
      </c>
      <c r="AL3058">
        <f>IF($C3058="","",IF(OR($Q3058=TRUE(),$Q3058="TRUE"),1,0))</f>
        <v/>
      </c>
      <c r="AM3058">
        <f>IF($C3058="","",IF($W3058="Yes",1,0))</f>
        <v/>
      </c>
      <c r="AN3058">
        <f>IF($AJ3058=1,IFERROR(IF(VALUE($C3058)&lt;100000000,VALUE($C3058),1000000000),IFERROR(IF(VALUE(MID($C3058,2,20))&lt;100000000,VALUE(MID($C3058,2,20)),1000000000),1000000000))+ROW()/100000,"")</f>
        <v/>
      </c>
    </row>
    <row r="3059">
      <c r="E3059" s="11" t="n"/>
      <c r="M3059" s="7">
        <f>IF($C3059="","",L3059*U3059/100)</f>
        <v/>
      </c>
      <c r="N3059" s="7" t="n"/>
      <c r="T3059" s="7" t="n"/>
      <c r="U3059" s="7">
        <f>IF($C3059="","",S3059*T3059)</f>
        <v/>
      </c>
      <c r="X3059">
        <f>IF($C3059="","",IF($AM3059=1,0,IF($AL3059=1,Settings!$C$6,Settings!$C$7))*100)</f>
        <v/>
      </c>
      <c r="AB3059" s="7" t="n"/>
      <c r="AE3059" s="11" t="n"/>
      <c r="AG3059" s="7">
        <f>IF($C3059="","",U3059*X3059/100)</f>
        <v/>
      </c>
      <c r="AH3059" s="7">
        <f>IF($C3059="","",U3059-AG3059)</f>
        <v/>
      </c>
      <c r="AI3059" s="7">
        <f>IF($C3059="","",AH3059-M3059)</f>
        <v/>
      </c>
      <c r="AJ3059">
        <f>IF($C3059="","",IF(COUNTIF($C$2:$C3059,$C3059)=1,1,0))</f>
        <v/>
      </c>
      <c r="AK3059">
        <f>IF($AJ3059=1,SUMPRODUCT(--($AN$2:$AN$4001&lt;$AN3059))+1,"")</f>
        <v/>
      </c>
      <c r="AL3059">
        <f>IF($C3059="","",IF(OR($Q3059=TRUE(),$Q3059="TRUE"),1,0))</f>
        <v/>
      </c>
      <c r="AM3059">
        <f>IF($C3059="","",IF($W3059="Yes",1,0))</f>
        <v/>
      </c>
      <c r="AN3059">
        <f>IF($AJ3059=1,IFERROR(IF(VALUE($C3059)&lt;100000000,VALUE($C3059),1000000000),IFERROR(IF(VALUE(MID($C3059,2,20))&lt;100000000,VALUE(MID($C3059,2,20)),1000000000),1000000000))+ROW()/100000,"")</f>
        <v/>
      </c>
    </row>
    <row r="3060">
      <c r="E3060" s="11" t="n"/>
      <c r="M3060" s="7">
        <f>IF($C3060="","",L3060*U3060/100)</f>
        <v/>
      </c>
      <c r="N3060" s="7" t="n"/>
      <c r="T3060" s="7" t="n"/>
      <c r="U3060" s="7">
        <f>IF($C3060="","",S3060*T3060)</f>
        <v/>
      </c>
      <c r="X3060">
        <f>IF($C3060="","",IF($AM3060=1,0,IF($AL3060=1,Settings!$C$6,Settings!$C$7))*100)</f>
        <v/>
      </c>
      <c r="AB3060" s="7" t="n"/>
      <c r="AE3060" s="11" t="n"/>
      <c r="AG3060" s="7">
        <f>IF($C3060="","",U3060*X3060/100)</f>
        <v/>
      </c>
      <c r="AH3060" s="7">
        <f>IF($C3060="","",U3060-AG3060)</f>
        <v/>
      </c>
      <c r="AI3060" s="7">
        <f>IF($C3060="","",AH3060-M3060)</f>
        <v/>
      </c>
      <c r="AJ3060">
        <f>IF($C3060="","",IF(COUNTIF($C$2:$C3060,$C3060)=1,1,0))</f>
        <v/>
      </c>
      <c r="AK3060">
        <f>IF($AJ3060=1,SUMPRODUCT(--($AN$2:$AN$4001&lt;$AN3060))+1,"")</f>
        <v/>
      </c>
      <c r="AL3060">
        <f>IF($C3060="","",IF(OR($Q3060=TRUE(),$Q3060="TRUE"),1,0))</f>
        <v/>
      </c>
      <c r="AM3060">
        <f>IF($C3060="","",IF($W3060="Yes",1,0))</f>
        <v/>
      </c>
      <c r="AN3060">
        <f>IF($AJ3060=1,IFERROR(IF(VALUE($C3060)&lt;100000000,VALUE($C3060),1000000000),IFERROR(IF(VALUE(MID($C3060,2,20))&lt;100000000,VALUE(MID($C3060,2,20)),1000000000),1000000000))+ROW()/100000,"")</f>
        <v/>
      </c>
    </row>
    <row r="3061">
      <c r="E3061" s="11" t="n"/>
      <c r="M3061" s="7">
        <f>IF($C3061="","",L3061*U3061/100)</f>
        <v/>
      </c>
      <c r="N3061" s="7" t="n"/>
      <c r="T3061" s="7" t="n"/>
      <c r="U3061" s="7">
        <f>IF($C3061="","",S3061*T3061)</f>
        <v/>
      </c>
      <c r="X3061">
        <f>IF($C3061="","",IF($AM3061=1,0,IF($AL3061=1,Settings!$C$6,Settings!$C$7))*100)</f>
        <v/>
      </c>
      <c r="AB3061" s="7" t="n"/>
      <c r="AE3061" s="11" t="n"/>
      <c r="AG3061" s="7">
        <f>IF($C3061="","",U3061*X3061/100)</f>
        <v/>
      </c>
      <c r="AH3061" s="7">
        <f>IF($C3061="","",U3061-AG3061)</f>
        <v/>
      </c>
      <c r="AI3061" s="7">
        <f>IF($C3061="","",AH3061-M3061)</f>
        <v/>
      </c>
      <c r="AJ3061">
        <f>IF($C3061="","",IF(COUNTIF($C$2:$C3061,$C3061)=1,1,0))</f>
        <v/>
      </c>
      <c r="AK3061">
        <f>IF($AJ3061=1,SUMPRODUCT(--($AN$2:$AN$4001&lt;$AN3061))+1,"")</f>
        <v/>
      </c>
      <c r="AL3061">
        <f>IF($C3061="","",IF(OR($Q3061=TRUE(),$Q3061="TRUE"),1,0))</f>
        <v/>
      </c>
      <c r="AM3061">
        <f>IF($C3061="","",IF($W3061="Yes",1,0))</f>
        <v/>
      </c>
      <c r="AN3061">
        <f>IF($AJ3061=1,IFERROR(IF(VALUE($C3061)&lt;100000000,VALUE($C3061),1000000000),IFERROR(IF(VALUE(MID($C3061,2,20))&lt;100000000,VALUE(MID($C3061,2,20)),1000000000),1000000000))+ROW()/100000,"")</f>
        <v/>
      </c>
    </row>
    <row r="3062">
      <c r="E3062" s="11" t="n"/>
      <c r="M3062" s="7">
        <f>IF($C3062="","",L3062*U3062/100)</f>
        <v/>
      </c>
      <c r="N3062" s="7" t="n"/>
      <c r="T3062" s="7" t="n"/>
      <c r="U3062" s="7">
        <f>IF($C3062="","",S3062*T3062)</f>
        <v/>
      </c>
      <c r="X3062">
        <f>IF($C3062="","",IF($AM3062=1,0,IF($AL3062=1,Settings!$C$6,Settings!$C$7))*100)</f>
        <v/>
      </c>
      <c r="AB3062" s="7" t="n"/>
      <c r="AE3062" s="11" t="n"/>
      <c r="AG3062" s="7">
        <f>IF($C3062="","",U3062*X3062/100)</f>
        <v/>
      </c>
      <c r="AH3062" s="7">
        <f>IF($C3062="","",U3062-AG3062)</f>
        <v/>
      </c>
      <c r="AI3062" s="7">
        <f>IF($C3062="","",AH3062-M3062)</f>
        <v/>
      </c>
      <c r="AJ3062">
        <f>IF($C3062="","",IF(COUNTIF($C$2:$C3062,$C3062)=1,1,0))</f>
        <v/>
      </c>
      <c r="AK3062">
        <f>IF($AJ3062=1,SUMPRODUCT(--($AN$2:$AN$4001&lt;$AN3062))+1,"")</f>
        <v/>
      </c>
      <c r="AL3062">
        <f>IF($C3062="","",IF(OR($Q3062=TRUE(),$Q3062="TRUE"),1,0))</f>
        <v/>
      </c>
      <c r="AM3062">
        <f>IF($C3062="","",IF($W3062="Yes",1,0))</f>
        <v/>
      </c>
      <c r="AN3062">
        <f>IF($AJ3062=1,IFERROR(IF(VALUE($C3062)&lt;100000000,VALUE($C3062),1000000000),IFERROR(IF(VALUE(MID($C3062,2,20))&lt;100000000,VALUE(MID($C3062,2,20)),1000000000),1000000000))+ROW()/100000,"")</f>
        <v/>
      </c>
    </row>
    <row r="3063">
      <c r="E3063" s="11" t="n"/>
      <c r="M3063" s="7">
        <f>IF($C3063="","",L3063*U3063/100)</f>
        <v/>
      </c>
      <c r="N3063" s="7" t="n"/>
      <c r="T3063" s="7" t="n"/>
      <c r="U3063" s="7">
        <f>IF($C3063="","",S3063*T3063)</f>
        <v/>
      </c>
      <c r="X3063">
        <f>IF($C3063="","",IF($AM3063=1,0,IF($AL3063=1,Settings!$C$6,Settings!$C$7))*100)</f>
        <v/>
      </c>
      <c r="AB3063" s="7" t="n"/>
      <c r="AE3063" s="11" t="n"/>
      <c r="AG3063" s="7">
        <f>IF($C3063="","",U3063*X3063/100)</f>
        <v/>
      </c>
      <c r="AH3063" s="7">
        <f>IF($C3063="","",U3063-AG3063)</f>
        <v/>
      </c>
      <c r="AI3063" s="7">
        <f>IF($C3063="","",AH3063-M3063)</f>
        <v/>
      </c>
      <c r="AJ3063">
        <f>IF($C3063="","",IF(COUNTIF($C$2:$C3063,$C3063)=1,1,0))</f>
        <v/>
      </c>
      <c r="AK3063">
        <f>IF($AJ3063=1,SUMPRODUCT(--($AN$2:$AN$4001&lt;$AN3063))+1,"")</f>
        <v/>
      </c>
      <c r="AL3063">
        <f>IF($C3063="","",IF(OR($Q3063=TRUE(),$Q3063="TRUE"),1,0))</f>
        <v/>
      </c>
      <c r="AM3063">
        <f>IF($C3063="","",IF($W3063="Yes",1,0))</f>
        <v/>
      </c>
      <c r="AN3063">
        <f>IF($AJ3063=1,IFERROR(IF(VALUE($C3063)&lt;100000000,VALUE($C3063),1000000000),IFERROR(IF(VALUE(MID($C3063,2,20))&lt;100000000,VALUE(MID($C3063,2,20)),1000000000),1000000000))+ROW()/100000,"")</f>
        <v/>
      </c>
    </row>
    <row r="3064">
      <c r="E3064" s="11" t="n"/>
      <c r="M3064" s="7">
        <f>IF($C3064="","",L3064*U3064/100)</f>
        <v/>
      </c>
      <c r="N3064" s="7" t="n"/>
      <c r="T3064" s="7" t="n"/>
      <c r="U3064" s="7">
        <f>IF($C3064="","",S3064*T3064)</f>
        <v/>
      </c>
      <c r="X3064">
        <f>IF($C3064="","",IF($AM3064=1,0,IF($AL3064=1,Settings!$C$6,Settings!$C$7))*100)</f>
        <v/>
      </c>
      <c r="AB3064" s="7" t="n"/>
      <c r="AE3064" s="11" t="n"/>
      <c r="AG3064" s="7">
        <f>IF($C3064="","",U3064*X3064/100)</f>
        <v/>
      </c>
      <c r="AH3064" s="7">
        <f>IF($C3064="","",U3064-AG3064)</f>
        <v/>
      </c>
      <c r="AI3064" s="7">
        <f>IF($C3064="","",AH3064-M3064)</f>
        <v/>
      </c>
      <c r="AJ3064">
        <f>IF($C3064="","",IF(COUNTIF($C$2:$C3064,$C3064)=1,1,0))</f>
        <v/>
      </c>
      <c r="AK3064">
        <f>IF($AJ3064=1,SUMPRODUCT(--($AN$2:$AN$4001&lt;$AN3064))+1,"")</f>
        <v/>
      </c>
      <c r="AL3064">
        <f>IF($C3064="","",IF(OR($Q3064=TRUE(),$Q3064="TRUE"),1,0))</f>
        <v/>
      </c>
      <c r="AM3064">
        <f>IF($C3064="","",IF($W3064="Yes",1,0))</f>
        <v/>
      </c>
      <c r="AN3064">
        <f>IF($AJ3064=1,IFERROR(IF(VALUE($C3064)&lt;100000000,VALUE($C3064),1000000000),IFERROR(IF(VALUE(MID($C3064,2,20))&lt;100000000,VALUE(MID($C3064,2,20)),1000000000),1000000000))+ROW()/100000,"")</f>
        <v/>
      </c>
    </row>
    <row r="3065">
      <c r="E3065" s="11" t="n"/>
      <c r="M3065" s="7">
        <f>IF($C3065="","",L3065*U3065/100)</f>
        <v/>
      </c>
      <c r="N3065" s="7" t="n"/>
      <c r="T3065" s="7" t="n"/>
      <c r="U3065" s="7">
        <f>IF($C3065="","",S3065*T3065)</f>
        <v/>
      </c>
      <c r="X3065">
        <f>IF($C3065="","",IF($AM3065=1,0,IF($AL3065=1,Settings!$C$6,Settings!$C$7))*100)</f>
        <v/>
      </c>
      <c r="AB3065" s="7" t="n"/>
      <c r="AE3065" s="11" t="n"/>
      <c r="AG3065" s="7">
        <f>IF($C3065="","",U3065*X3065/100)</f>
        <v/>
      </c>
      <c r="AH3065" s="7">
        <f>IF($C3065="","",U3065-AG3065)</f>
        <v/>
      </c>
      <c r="AI3065" s="7">
        <f>IF($C3065="","",AH3065-M3065)</f>
        <v/>
      </c>
      <c r="AJ3065">
        <f>IF($C3065="","",IF(COUNTIF($C$2:$C3065,$C3065)=1,1,0))</f>
        <v/>
      </c>
      <c r="AK3065">
        <f>IF($AJ3065=1,SUMPRODUCT(--($AN$2:$AN$4001&lt;$AN3065))+1,"")</f>
        <v/>
      </c>
      <c r="AL3065">
        <f>IF($C3065="","",IF(OR($Q3065=TRUE(),$Q3065="TRUE"),1,0))</f>
        <v/>
      </c>
      <c r="AM3065">
        <f>IF($C3065="","",IF($W3065="Yes",1,0))</f>
        <v/>
      </c>
      <c r="AN3065">
        <f>IF($AJ3065=1,IFERROR(IF(VALUE($C3065)&lt;100000000,VALUE($C3065),1000000000),IFERROR(IF(VALUE(MID($C3065,2,20))&lt;100000000,VALUE(MID($C3065,2,20)),1000000000),1000000000))+ROW()/100000,"")</f>
        <v/>
      </c>
    </row>
    <row r="3066">
      <c r="E3066" s="11" t="n"/>
      <c r="M3066" s="7">
        <f>IF($C3066="","",L3066*U3066/100)</f>
        <v/>
      </c>
      <c r="N3066" s="7" t="n"/>
      <c r="T3066" s="7" t="n"/>
      <c r="U3066" s="7">
        <f>IF($C3066="","",S3066*T3066)</f>
        <v/>
      </c>
      <c r="X3066">
        <f>IF($C3066="","",IF($AM3066=1,0,IF($AL3066=1,Settings!$C$6,Settings!$C$7))*100)</f>
        <v/>
      </c>
      <c r="AB3066" s="7" t="n"/>
      <c r="AE3066" s="11" t="n"/>
      <c r="AG3066" s="7">
        <f>IF($C3066="","",U3066*X3066/100)</f>
        <v/>
      </c>
      <c r="AH3066" s="7">
        <f>IF($C3066="","",U3066-AG3066)</f>
        <v/>
      </c>
      <c r="AI3066" s="7">
        <f>IF($C3066="","",AH3066-M3066)</f>
        <v/>
      </c>
      <c r="AJ3066">
        <f>IF($C3066="","",IF(COUNTIF($C$2:$C3066,$C3066)=1,1,0))</f>
        <v/>
      </c>
      <c r="AK3066">
        <f>IF($AJ3066=1,SUMPRODUCT(--($AN$2:$AN$4001&lt;$AN3066))+1,"")</f>
        <v/>
      </c>
      <c r="AL3066">
        <f>IF($C3066="","",IF(OR($Q3066=TRUE(),$Q3066="TRUE"),1,0))</f>
        <v/>
      </c>
      <c r="AM3066">
        <f>IF($C3066="","",IF($W3066="Yes",1,0))</f>
        <v/>
      </c>
      <c r="AN3066">
        <f>IF($AJ3066=1,IFERROR(IF(VALUE($C3066)&lt;100000000,VALUE($C3066),1000000000),IFERROR(IF(VALUE(MID($C3066,2,20))&lt;100000000,VALUE(MID($C3066,2,20)),1000000000),1000000000))+ROW()/100000,"")</f>
        <v/>
      </c>
    </row>
    <row r="3067">
      <c r="E3067" s="11" t="n"/>
      <c r="M3067" s="7">
        <f>IF($C3067="","",L3067*U3067/100)</f>
        <v/>
      </c>
      <c r="N3067" s="7" t="n"/>
      <c r="T3067" s="7" t="n"/>
      <c r="U3067" s="7">
        <f>IF($C3067="","",S3067*T3067)</f>
        <v/>
      </c>
      <c r="X3067">
        <f>IF($C3067="","",IF($AM3067=1,0,IF($AL3067=1,Settings!$C$6,Settings!$C$7))*100)</f>
        <v/>
      </c>
      <c r="AB3067" s="7" t="n"/>
      <c r="AE3067" s="11" t="n"/>
      <c r="AG3067" s="7">
        <f>IF($C3067="","",U3067*X3067/100)</f>
        <v/>
      </c>
      <c r="AH3067" s="7">
        <f>IF($C3067="","",U3067-AG3067)</f>
        <v/>
      </c>
      <c r="AI3067" s="7">
        <f>IF($C3067="","",AH3067-M3067)</f>
        <v/>
      </c>
      <c r="AJ3067">
        <f>IF($C3067="","",IF(COUNTIF($C$2:$C3067,$C3067)=1,1,0))</f>
        <v/>
      </c>
      <c r="AK3067">
        <f>IF($AJ3067=1,SUMPRODUCT(--($AN$2:$AN$4001&lt;$AN3067))+1,"")</f>
        <v/>
      </c>
      <c r="AL3067">
        <f>IF($C3067="","",IF(OR($Q3067=TRUE(),$Q3067="TRUE"),1,0))</f>
        <v/>
      </c>
      <c r="AM3067">
        <f>IF($C3067="","",IF($W3067="Yes",1,0))</f>
        <v/>
      </c>
      <c r="AN3067">
        <f>IF($AJ3067=1,IFERROR(IF(VALUE($C3067)&lt;100000000,VALUE($C3067),1000000000),IFERROR(IF(VALUE(MID($C3067,2,20))&lt;100000000,VALUE(MID($C3067,2,20)),1000000000),1000000000))+ROW()/100000,"")</f>
        <v/>
      </c>
    </row>
    <row r="3068">
      <c r="E3068" s="11" t="n"/>
      <c r="M3068" s="7">
        <f>IF($C3068="","",L3068*U3068/100)</f>
        <v/>
      </c>
      <c r="N3068" s="7" t="n"/>
      <c r="T3068" s="7" t="n"/>
      <c r="U3068" s="7">
        <f>IF($C3068="","",S3068*T3068)</f>
        <v/>
      </c>
      <c r="X3068">
        <f>IF($C3068="","",IF($AM3068=1,0,IF($AL3068=1,Settings!$C$6,Settings!$C$7))*100)</f>
        <v/>
      </c>
      <c r="AB3068" s="7" t="n"/>
      <c r="AE3068" s="11" t="n"/>
      <c r="AG3068" s="7">
        <f>IF($C3068="","",U3068*X3068/100)</f>
        <v/>
      </c>
      <c r="AH3068" s="7">
        <f>IF($C3068="","",U3068-AG3068)</f>
        <v/>
      </c>
      <c r="AI3068" s="7">
        <f>IF($C3068="","",AH3068-M3068)</f>
        <v/>
      </c>
      <c r="AJ3068">
        <f>IF($C3068="","",IF(COUNTIF($C$2:$C3068,$C3068)=1,1,0))</f>
        <v/>
      </c>
      <c r="AK3068">
        <f>IF($AJ3068=1,SUMPRODUCT(--($AN$2:$AN$4001&lt;$AN3068))+1,"")</f>
        <v/>
      </c>
      <c r="AL3068">
        <f>IF($C3068="","",IF(OR($Q3068=TRUE(),$Q3068="TRUE"),1,0))</f>
        <v/>
      </c>
      <c r="AM3068">
        <f>IF($C3068="","",IF($W3068="Yes",1,0))</f>
        <v/>
      </c>
      <c r="AN3068">
        <f>IF($AJ3068=1,IFERROR(IF(VALUE($C3068)&lt;100000000,VALUE($C3068),1000000000),IFERROR(IF(VALUE(MID($C3068,2,20))&lt;100000000,VALUE(MID($C3068,2,20)),1000000000),1000000000))+ROW()/100000,"")</f>
        <v/>
      </c>
    </row>
    <row r="3069">
      <c r="E3069" s="11" t="n"/>
      <c r="M3069" s="7">
        <f>IF($C3069="","",L3069*U3069/100)</f>
        <v/>
      </c>
      <c r="N3069" s="7" t="n"/>
      <c r="T3069" s="7" t="n"/>
      <c r="U3069" s="7">
        <f>IF($C3069="","",S3069*T3069)</f>
        <v/>
      </c>
      <c r="X3069">
        <f>IF($C3069="","",IF($AM3069=1,0,IF($AL3069=1,Settings!$C$6,Settings!$C$7))*100)</f>
        <v/>
      </c>
      <c r="AB3069" s="7" t="n"/>
      <c r="AE3069" s="11" t="n"/>
      <c r="AG3069" s="7">
        <f>IF($C3069="","",U3069*X3069/100)</f>
        <v/>
      </c>
      <c r="AH3069" s="7">
        <f>IF($C3069="","",U3069-AG3069)</f>
        <v/>
      </c>
      <c r="AI3069" s="7">
        <f>IF($C3069="","",AH3069-M3069)</f>
        <v/>
      </c>
      <c r="AJ3069">
        <f>IF($C3069="","",IF(COUNTIF($C$2:$C3069,$C3069)=1,1,0))</f>
        <v/>
      </c>
      <c r="AK3069">
        <f>IF($AJ3069=1,SUMPRODUCT(--($AN$2:$AN$4001&lt;$AN3069))+1,"")</f>
        <v/>
      </c>
      <c r="AL3069">
        <f>IF($C3069="","",IF(OR($Q3069=TRUE(),$Q3069="TRUE"),1,0))</f>
        <v/>
      </c>
      <c r="AM3069">
        <f>IF($C3069="","",IF($W3069="Yes",1,0))</f>
        <v/>
      </c>
      <c r="AN3069">
        <f>IF($AJ3069=1,IFERROR(IF(VALUE($C3069)&lt;100000000,VALUE($C3069),1000000000),IFERROR(IF(VALUE(MID($C3069,2,20))&lt;100000000,VALUE(MID($C3069,2,20)),1000000000),1000000000))+ROW()/100000,"")</f>
        <v/>
      </c>
    </row>
    <row r="3070">
      <c r="E3070" s="11" t="n"/>
      <c r="M3070" s="7">
        <f>IF($C3070="","",L3070*U3070/100)</f>
        <v/>
      </c>
      <c r="N3070" s="7" t="n"/>
      <c r="T3070" s="7" t="n"/>
      <c r="U3070" s="7">
        <f>IF($C3070="","",S3070*T3070)</f>
        <v/>
      </c>
      <c r="X3070">
        <f>IF($C3070="","",IF($AM3070=1,0,IF($AL3070=1,Settings!$C$6,Settings!$C$7))*100)</f>
        <v/>
      </c>
      <c r="AB3070" s="7" t="n"/>
      <c r="AE3070" s="11" t="n"/>
      <c r="AG3070" s="7">
        <f>IF($C3070="","",U3070*X3070/100)</f>
        <v/>
      </c>
      <c r="AH3070" s="7">
        <f>IF($C3070="","",U3070-AG3070)</f>
        <v/>
      </c>
      <c r="AI3070" s="7">
        <f>IF($C3070="","",AH3070-M3070)</f>
        <v/>
      </c>
      <c r="AJ3070">
        <f>IF($C3070="","",IF(COUNTIF($C$2:$C3070,$C3070)=1,1,0))</f>
        <v/>
      </c>
      <c r="AK3070">
        <f>IF($AJ3070=1,SUMPRODUCT(--($AN$2:$AN$4001&lt;$AN3070))+1,"")</f>
        <v/>
      </c>
      <c r="AL3070">
        <f>IF($C3070="","",IF(OR($Q3070=TRUE(),$Q3070="TRUE"),1,0))</f>
        <v/>
      </c>
      <c r="AM3070">
        <f>IF($C3070="","",IF($W3070="Yes",1,0))</f>
        <v/>
      </c>
      <c r="AN3070">
        <f>IF($AJ3070=1,IFERROR(IF(VALUE($C3070)&lt;100000000,VALUE($C3070),1000000000),IFERROR(IF(VALUE(MID($C3070,2,20))&lt;100000000,VALUE(MID($C3070,2,20)),1000000000),1000000000))+ROW()/100000,"")</f>
        <v/>
      </c>
    </row>
    <row r="3071">
      <c r="E3071" s="11" t="n"/>
      <c r="M3071" s="7">
        <f>IF($C3071="","",L3071*U3071/100)</f>
        <v/>
      </c>
      <c r="N3071" s="7" t="n"/>
      <c r="T3071" s="7" t="n"/>
      <c r="U3071" s="7">
        <f>IF($C3071="","",S3071*T3071)</f>
        <v/>
      </c>
      <c r="X3071">
        <f>IF($C3071="","",IF($AM3071=1,0,IF($AL3071=1,Settings!$C$6,Settings!$C$7))*100)</f>
        <v/>
      </c>
      <c r="AB3071" s="7" t="n"/>
      <c r="AE3071" s="11" t="n"/>
      <c r="AG3071" s="7">
        <f>IF($C3071="","",U3071*X3071/100)</f>
        <v/>
      </c>
      <c r="AH3071" s="7">
        <f>IF($C3071="","",U3071-AG3071)</f>
        <v/>
      </c>
      <c r="AI3071" s="7">
        <f>IF($C3071="","",AH3071-M3071)</f>
        <v/>
      </c>
      <c r="AJ3071">
        <f>IF($C3071="","",IF(COUNTIF($C$2:$C3071,$C3071)=1,1,0))</f>
        <v/>
      </c>
      <c r="AK3071">
        <f>IF($AJ3071=1,SUMPRODUCT(--($AN$2:$AN$4001&lt;$AN3071))+1,"")</f>
        <v/>
      </c>
      <c r="AL3071">
        <f>IF($C3071="","",IF(OR($Q3071=TRUE(),$Q3071="TRUE"),1,0))</f>
        <v/>
      </c>
      <c r="AM3071">
        <f>IF($C3071="","",IF($W3071="Yes",1,0))</f>
        <v/>
      </c>
      <c r="AN3071">
        <f>IF($AJ3071=1,IFERROR(IF(VALUE($C3071)&lt;100000000,VALUE($C3071),1000000000),IFERROR(IF(VALUE(MID($C3071,2,20))&lt;100000000,VALUE(MID($C3071,2,20)),1000000000),1000000000))+ROW()/100000,"")</f>
        <v/>
      </c>
    </row>
    <row r="3072">
      <c r="E3072" s="11" t="n"/>
      <c r="M3072" s="7">
        <f>IF($C3072="","",L3072*U3072/100)</f>
        <v/>
      </c>
      <c r="N3072" s="7" t="n"/>
      <c r="T3072" s="7" t="n"/>
      <c r="U3072" s="7">
        <f>IF($C3072="","",S3072*T3072)</f>
        <v/>
      </c>
      <c r="X3072">
        <f>IF($C3072="","",IF($AM3072=1,0,IF($AL3072=1,Settings!$C$6,Settings!$C$7))*100)</f>
        <v/>
      </c>
      <c r="AB3072" s="7" t="n"/>
      <c r="AE3072" s="11" t="n"/>
      <c r="AG3072" s="7">
        <f>IF($C3072="","",U3072*X3072/100)</f>
        <v/>
      </c>
      <c r="AH3072" s="7">
        <f>IF($C3072="","",U3072-AG3072)</f>
        <v/>
      </c>
      <c r="AI3072" s="7">
        <f>IF($C3072="","",AH3072-M3072)</f>
        <v/>
      </c>
      <c r="AJ3072">
        <f>IF($C3072="","",IF(COUNTIF($C$2:$C3072,$C3072)=1,1,0))</f>
        <v/>
      </c>
      <c r="AK3072">
        <f>IF($AJ3072=1,SUMPRODUCT(--($AN$2:$AN$4001&lt;$AN3072))+1,"")</f>
        <v/>
      </c>
      <c r="AL3072">
        <f>IF($C3072="","",IF(OR($Q3072=TRUE(),$Q3072="TRUE"),1,0))</f>
        <v/>
      </c>
      <c r="AM3072">
        <f>IF($C3072="","",IF($W3072="Yes",1,0))</f>
        <v/>
      </c>
      <c r="AN3072">
        <f>IF($AJ3072=1,IFERROR(IF(VALUE($C3072)&lt;100000000,VALUE($C3072),1000000000),IFERROR(IF(VALUE(MID($C3072,2,20))&lt;100000000,VALUE(MID($C3072,2,20)),1000000000),1000000000))+ROW()/100000,"")</f>
        <v/>
      </c>
    </row>
    <row r="3073">
      <c r="E3073" s="11" t="n"/>
      <c r="M3073" s="7">
        <f>IF($C3073="","",L3073*U3073/100)</f>
        <v/>
      </c>
      <c r="N3073" s="7" t="n"/>
      <c r="T3073" s="7" t="n"/>
      <c r="U3073" s="7">
        <f>IF($C3073="","",S3073*T3073)</f>
        <v/>
      </c>
      <c r="X3073">
        <f>IF($C3073="","",IF($AM3073=1,0,IF($AL3073=1,Settings!$C$6,Settings!$C$7))*100)</f>
        <v/>
      </c>
      <c r="AB3073" s="7" t="n"/>
      <c r="AE3073" s="11" t="n"/>
      <c r="AG3073" s="7">
        <f>IF($C3073="","",U3073*X3073/100)</f>
        <v/>
      </c>
      <c r="AH3073" s="7">
        <f>IF($C3073="","",U3073-AG3073)</f>
        <v/>
      </c>
      <c r="AI3073" s="7">
        <f>IF($C3073="","",AH3073-M3073)</f>
        <v/>
      </c>
      <c r="AJ3073">
        <f>IF($C3073="","",IF(COUNTIF($C$2:$C3073,$C3073)=1,1,0))</f>
        <v/>
      </c>
      <c r="AK3073">
        <f>IF($AJ3073=1,SUMPRODUCT(--($AN$2:$AN$4001&lt;$AN3073))+1,"")</f>
        <v/>
      </c>
      <c r="AL3073">
        <f>IF($C3073="","",IF(OR($Q3073=TRUE(),$Q3073="TRUE"),1,0))</f>
        <v/>
      </c>
      <c r="AM3073">
        <f>IF($C3073="","",IF($W3073="Yes",1,0))</f>
        <v/>
      </c>
      <c r="AN3073">
        <f>IF($AJ3073=1,IFERROR(IF(VALUE($C3073)&lt;100000000,VALUE($C3073),1000000000),IFERROR(IF(VALUE(MID($C3073,2,20))&lt;100000000,VALUE(MID($C3073,2,20)),1000000000),1000000000))+ROW()/100000,"")</f>
        <v/>
      </c>
    </row>
    <row r="3074">
      <c r="E3074" s="11" t="n"/>
      <c r="M3074" s="7">
        <f>IF($C3074="","",L3074*U3074/100)</f>
        <v/>
      </c>
      <c r="N3074" s="7" t="n"/>
      <c r="T3074" s="7" t="n"/>
      <c r="U3074" s="7">
        <f>IF($C3074="","",S3074*T3074)</f>
        <v/>
      </c>
      <c r="X3074">
        <f>IF($C3074="","",IF($AM3074=1,0,IF($AL3074=1,Settings!$C$6,Settings!$C$7))*100)</f>
        <v/>
      </c>
      <c r="AB3074" s="7" t="n"/>
      <c r="AE3074" s="11" t="n"/>
      <c r="AG3074" s="7">
        <f>IF($C3074="","",U3074*X3074/100)</f>
        <v/>
      </c>
      <c r="AH3074" s="7">
        <f>IF($C3074="","",U3074-AG3074)</f>
        <v/>
      </c>
      <c r="AI3074" s="7">
        <f>IF($C3074="","",AH3074-M3074)</f>
        <v/>
      </c>
      <c r="AJ3074">
        <f>IF($C3074="","",IF(COUNTIF($C$2:$C3074,$C3074)=1,1,0))</f>
        <v/>
      </c>
      <c r="AK3074">
        <f>IF($AJ3074=1,SUMPRODUCT(--($AN$2:$AN$4001&lt;$AN3074))+1,"")</f>
        <v/>
      </c>
      <c r="AL3074">
        <f>IF($C3074="","",IF(OR($Q3074=TRUE(),$Q3074="TRUE"),1,0))</f>
        <v/>
      </c>
      <c r="AM3074">
        <f>IF($C3074="","",IF($W3074="Yes",1,0))</f>
        <v/>
      </c>
      <c r="AN3074">
        <f>IF($AJ3074=1,IFERROR(IF(VALUE($C3074)&lt;100000000,VALUE($C3074),1000000000),IFERROR(IF(VALUE(MID($C3074,2,20))&lt;100000000,VALUE(MID($C3074,2,20)),1000000000),1000000000))+ROW()/100000,"")</f>
        <v/>
      </c>
    </row>
    <row r="3075">
      <c r="E3075" s="11" t="n"/>
      <c r="M3075" s="7">
        <f>IF($C3075="","",L3075*U3075/100)</f>
        <v/>
      </c>
      <c r="N3075" s="7" t="n"/>
      <c r="T3075" s="7" t="n"/>
      <c r="U3075" s="7">
        <f>IF($C3075="","",S3075*T3075)</f>
        <v/>
      </c>
      <c r="X3075">
        <f>IF($C3075="","",IF($AM3075=1,0,IF($AL3075=1,Settings!$C$6,Settings!$C$7))*100)</f>
        <v/>
      </c>
      <c r="AB3075" s="7" t="n"/>
      <c r="AE3075" s="11" t="n"/>
      <c r="AG3075" s="7">
        <f>IF($C3075="","",U3075*X3075/100)</f>
        <v/>
      </c>
      <c r="AH3075" s="7">
        <f>IF($C3075="","",U3075-AG3075)</f>
        <v/>
      </c>
      <c r="AI3075" s="7">
        <f>IF($C3075="","",AH3075-M3075)</f>
        <v/>
      </c>
      <c r="AJ3075">
        <f>IF($C3075="","",IF(COUNTIF($C$2:$C3075,$C3075)=1,1,0))</f>
        <v/>
      </c>
      <c r="AK3075">
        <f>IF($AJ3075=1,SUMPRODUCT(--($AN$2:$AN$4001&lt;$AN3075))+1,"")</f>
        <v/>
      </c>
      <c r="AL3075">
        <f>IF($C3075="","",IF(OR($Q3075=TRUE(),$Q3075="TRUE"),1,0))</f>
        <v/>
      </c>
      <c r="AM3075">
        <f>IF($C3075="","",IF($W3075="Yes",1,0))</f>
        <v/>
      </c>
      <c r="AN3075">
        <f>IF($AJ3075=1,IFERROR(IF(VALUE($C3075)&lt;100000000,VALUE($C3075),1000000000),IFERROR(IF(VALUE(MID($C3075,2,20))&lt;100000000,VALUE(MID($C3075,2,20)),1000000000),1000000000))+ROW()/100000,"")</f>
        <v/>
      </c>
    </row>
    <row r="3076">
      <c r="E3076" s="11" t="n"/>
      <c r="M3076" s="7">
        <f>IF($C3076="","",L3076*U3076/100)</f>
        <v/>
      </c>
      <c r="N3076" s="7" t="n"/>
      <c r="T3076" s="7" t="n"/>
      <c r="U3076" s="7">
        <f>IF($C3076="","",S3076*T3076)</f>
        <v/>
      </c>
      <c r="X3076">
        <f>IF($C3076="","",IF($AM3076=1,0,IF($AL3076=1,Settings!$C$6,Settings!$C$7))*100)</f>
        <v/>
      </c>
      <c r="AB3076" s="7" t="n"/>
      <c r="AE3076" s="11" t="n"/>
      <c r="AG3076" s="7">
        <f>IF($C3076="","",U3076*X3076/100)</f>
        <v/>
      </c>
      <c r="AH3076" s="7">
        <f>IF($C3076="","",U3076-AG3076)</f>
        <v/>
      </c>
      <c r="AI3076" s="7">
        <f>IF($C3076="","",AH3076-M3076)</f>
        <v/>
      </c>
      <c r="AJ3076">
        <f>IF($C3076="","",IF(COUNTIF($C$2:$C3076,$C3076)=1,1,0))</f>
        <v/>
      </c>
      <c r="AK3076">
        <f>IF($AJ3076=1,SUMPRODUCT(--($AN$2:$AN$4001&lt;$AN3076))+1,"")</f>
        <v/>
      </c>
      <c r="AL3076">
        <f>IF($C3076="","",IF(OR($Q3076=TRUE(),$Q3076="TRUE"),1,0))</f>
        <v/>
      </c>
      <c r="AM3076">
        <f>IF($C3076="","",IF($W3076="Yes",1,0))</f>
        <v/>
      </c>
      <c r="AN3076">
        <f>IF($AJ3076=1,IFERROR(IF(VALUE($C3076)&lt;100000000,VALUE($C3076),1000000000),IFERROR(IF(VALUE(MID($C3076,2,20))&lt;100000000,VALUE(MID($C3076,2,20)),1000000000),1000000000))+ROW()/100000,"")</f>
        <v/>
      </c>
    </row>
    <row r="3077">
      <c r="E3077" s="11" t="n"/>
      <c r="M3077" s="7">
        <f>IF($C3077="","",L3077*U3077/100)</f>
        <v/>
      </c>
      <c r="N3077" s="7" t="n"/>
      <c r="T3077" s="7" t="n"/>
      <c r="U3077" s="7">
        <f>IF($C3077="","",S3077*T3077)</f>
        <v/>
      </c>
      <c r="X3077">
        <f>IF($C3077="","",IF($AM3077=1,0,IF($AL3077=1,Settings!$C$6,Settings!$C$7))*100)</f>
        <v/>
      </c>
      <c r="AB3077" s="7" t="n"/>
      <c r="AE3077" s="11" t="n"/>
      <c r="AG3077" s="7">
        <f>IF($C3077="","",U3077*X3077/100)</f>
        <v/>
      </c>
      <c r="AH3077" s="7">
        <f>IF($C3077="","",U3077-AG3077)</f>
        <v/>
      </c>
      <c r="AI3077" s="7">
        <f>IF($C3077="","",AH3077-M3077)</f>
        <v/>
      </c>
      <c r="AJ3077">
        <f>IF($C3077="","",IF(COUNTIF($C$2:$C3077,$C3077)=1,1,0))</f>
        <v/>
      </c>
      <c r="AK3077">
        <f>IF($AJ3077=1,SUMPRODUCT(--($AN$2:$AN$4001&lt;$AN3077))+1,"")</f>
        <v/>
      </c>
      <c r="AL3077">
        <f>IF($C3077="","",IF(OR($Q3077=TRUE(),$Q3077="TRUE"),1,0))</f>
        <v/>
      </c>
      <c r="AM3077">
        <f>IF($C3077="","",IF($W3077="Yes",1,0))</f>
        <v/>
      </c>
      <c r="AN3077">
        <f>IF($AJ3077=1,IFERROR(IF(VALUE($C3077)&lt;100000000,VALUE($C3077),1000000000),IFERROR(IF(VALUE(MID($C3077,2,20))&lt;100000000,VALUE(MID($C3077,2,20)),1000000000),1000000000))+ROW()/100000,"")</f>
        <v/>
      </c>
    </row>
    <row r="3078">
      <c r="E3078" s="11" t="n"/>
      <c r="M3078" s="7">
        <f>IF($C3078="","",L3078*U3078/100)</f>
        <v/>
      </c>
      <c r="N3078" s="7" t="n"/>
      <c r="T3078" s="7" t="n"/>
      <c r="U3078" s="7">
        <f>IF($C3078="","",S3078*T3078)</f>
        <v/>
      </c>
      <c r="X3078">
        <f>IF($C3078="","",IF($AM3078=1,0,IF($AL3078=1,Settings!$C$6,Settings!$C$7))*100)</f>
        <v/>
      </c>
      <c r="AB3078" s="7" t="n"/>
      <c r="AE3078" s="11" t="n"/>
      <c r="AG3078" s="7">
        <f>IF($C3078="","",U3078*X3078/100)</f>
        <v/>
      </c>
      <c r="AH3078" s="7">
        <f>IF($C3078="","",U3078-AG3078)</f>
        <v/>
      </c>
      <c r="AI3078" s="7">
        <f>IF($C3078="","",AH3078-M3078)</f>
        <v/>
      </c>
      <c r="AJ3078">
        <f>IF($C3078="","",IF(COUNTIF($C$2:$C3078,$C3078)=1,1,0))</f>
        <v/>
      </c>
      <c r="AK3078">
        <f>IF($AJ3078=1,SUMPRODUCT(--($AN$2:$AN$4001&lt;$AN3078))+1,"")</f>
        <v/>
      </c>
      <c r="AL3078">
        <f>IF($C3078="","",IF(OR($Q3078=TRUE(),$Q3078="TRUE"),1,0))</f>
        <v/>
      </c>
      <c r="AM3078">
        <f>IF($C3078="","",IF($W3078="Yes",1,0))</f>
        <v/>
      </c>
      <c r="AN3078">
        <f>IF($AJ3078=1,IFERROR(IF(VALUE($C3078)&lt;100000000,VALUE($C3078),1000000000),IFERROR(IF(VALUE(MID($C3078,2,20))&lt;100000000,VALUE(MID($C3078,2,20)),1000000000),1000000000))+ROW()/100000,"")</f>
        <v/>
      </c>
    </row>
    <row r="3079">
      <c r="E3079" s="11" t="n"/>
      <c r="M3079" s="7">
        <f>IF($C3079="","",L3079*U3079/100)</f>
        <v/>
      </c>
      <c r="N3079" s="7" t="n"/>
      <c r="T3079" s="7" t="n"/>
      <c r="U3079" s="7">
        <f>IF($C3079="","",S3079*T3079)</f>
        <v/>
      </c>
      <c r="X3079">
        <f>IF($C3079="","",IF($AM3079=1,0,IF($AL3079=1,Settings!$C$6,Settings!$C$7))*100)</f>
        <v/>
      </c>
      <c r="AB3079" s="7" t="n"/>
      <c r="AE3079" s="11" t="n"/>
      <c r="AG3079" s="7">
        <f>IF($C3079="","",U3079*X3079/100)</f>
        <v/>
      </c>
      <c r="AH3079" s="7">
        <f>IF($C3079="","",U3079-AG3079)</f>
        <v/>
      </c>
      <c r="AI3079" s="7">
        <f>IF($C3079="","",AH3079-M3079)</f>
        <v/>
      </c>
      <c r="AJ3079">
        <f>IF($C3079="","",IF(COUNTIF($C$2:$C3079,$C3079)=1,1,0))</f>
        <v/>
      </c>
      <c r="AK3079">
        <f>IF($AJ3079=1,SUMPRODUCT(--($AN$2:$AN$4001&lt;$AN3079))+1,"")</f>
        <v/>
      </c>
      <c r="AL3079">
        <f>IF($C3079="","",IF(OR($Q3079=TRUE(),$Q3079="TRUE"),1,0))</f>
        <v/>
      </c>
      <c r="AM3079">
        <f>IF($C3079="","",IF($W3079="Yes",1,0))</f>
        <v/>
      </c>
      <c r="AN3079">
        <f>IF($AJ3079=1,IFERROR(IF(VALUE($C3079)&lt;100000000,VALUE($C3079),1000000000),IFERROR(IF(VALUE(MID($C3079,2,20))&lt;100000000,VALUE(MID($C3079,2,20)),1000000000),1000000000))+ROW()/100000,"")</f>
        <v/>
      </c>
    </row>
    <row r="3080">
      <c r="E3080" s="11" t="n"/>
      <c r="M3080" s="7">
        <f>IF($C3080="","",L3080*U3080/100)</f>
        <v/>
      </c>
      <c r="N3080" s="7" t="n"/>
      <c r="T3080" s="7" t="n"/>
      <c r="U3080" s="7">
        <f>IF($C3080="","",S3080*T3080)</f>
        <v/>
      </c>
      <c r="X3080">
        <f>IF($C3080="","",IF($AM3080=1,0,IF($AL3080=1,Settings!$C$6,Settings!$C$7))*100)</f>
        <v/>
      </c>
      <c r="AB3080" s="7" t="n"/>
      <c r="AE3080" s="11" t="n"/>
      <c r="AG3080" s="7">
        <f>IF($C3080="","",U3080*X3080/100)</f>
        <v/>
      </c>
      <c r="AH3080" s="7">
        <f>IF($C3080="","",U3080-AG3080)</f>
        <v/>
      </c>
      <c r="AI3080" s="7">
        <f>IF($C3080="","",AH3080-M3080)</f>
        <v/>
      </c>
      <c r="AJ3080">
        <f>IF($C3080="","",IF(COUNTIF($C$2:$C3080,$C3080)=1,1,0))</f>
        <v/>
      </c>
      <c r="AK3080">
        <f>IF($AJ3080=1,SUMPRODUCT(--($AN$2:$AN$4001&lt;$AN3080))+1,"")</f>
        <v/>
      </c>
      <c r="AL3080">
        <f>IF($C3080="","",IF(OR($Q3080=TRUE(),$Q3080="TRUE"),1,0))</f>
        <v/>
      </c>
      <c r="AM3080">
        <f>IF($C3080="","",IF($W3080="Yes",1,0))</f>
        <v/>
      </c>
      <c r="AN3080">
        <f>IF($AJ3080=1,IFERROR(IF(VALUE($C3080)&lt;100000000,VALUE($C3080),1000000000),IFERROR(IF(VALUE(MID($C3080,2,20))&lt;100000000,VALUE(MID($C3080,2,20)),1000000000),1000000000))+ROW()/100000,"")</f>
        <v/>
      </c>
    </row>
    <row r="3081">
      <c r="E3081" s="11" t="n"/>
      <c r="M3081" s="7">
        <f>IF($C3081="","",L3081*U3081/100)</f>
        <v/>
      </c>
      <c r="N3081" s="7" t="n"/>
      <c r="T3081" s="7" t="n"/>
      <c r="U3081" s="7">
        <f>IF($C3081="","",S3081*T3081)</f>
        <v/>
      </c>
      <c r="X3081">
        <f>IF($C3081="","",IF($AM3081=1,0,IF($AL3081=1,Settings!$C$6,Settings!$C$7))*100)</f>
        <v/>
      </c>
      <c r="AB3081" s="7" t="n"/>
      <c r="AE3081" s="11" t="n"/>
      <c r="AG3081" s="7">
        <f>IF($C3081="","",U3081*X3081/100)</f>
        <v/>
      </c>
      <c r="AH3081" s="7">
        <f>IF($C3081="","",U3081-AG3081)</f>
        <v/>
      </c>
      <c r="AI3081" s="7">
        <f>IF($C3081="","",AH3081-M3081)</f>
        <v/>
      </c>
      <c r="AJ3081">
        <f>IF($C3081="","",IF(COUNTIF($C$2:$C3081,$C3081)=1,1,0))</f>
        <v/>
      </c>
      <c r="AK3081">
        <f>IF($AJ3081=1,SUMPRODUCT(--($AN$2:$AN$4001&lt;$AN3081))+1,"")</f>
        <v/>
      </c>
      <c r="AL3081">
        <f>IF($C3081="","",IF(OR($Q3081=TRUE(),$Q3081="TRUE"),1,0))</f>
        <v/>
      </c>
      <c r="AM3081">
        <f>IF($C3081="","",IF($W3081="Yes",1,0))</f>
        <v/>
      </c>
      <c r="AN3081">
        <f>IF($AJ3081=1,IFERROR(IF(VALUE($C3081)&lt;100000000,VALUE($C3081),1000000000),IFERROR(IF(VALUE(MID($C3081,2,20))&lt;100000000,VALUE(MID($C3081,2,20)),1000000000),1000000000))+ROW()/100000,"")</f>
        <v/>
      </c>
    </row>
    <row r="3082">
      <c r="E3082" s="11" t="n"/>
      <c r="M3082" s="7">
        <f>IF($C3082="","",L3082*U3082/100)</f>
        <v/>
      </c>
      <c r="N3082" s="7" t="n"/>
      <c r="T3082" s="7" t="n"/>
      <c r="U3082" s="7">
        <f>IF($C3082="","",S3082*T3082)</f>
        <v/>
      </c>
      <c r="X3082">
        <f>IF($C3082="","",IF($AM3082=1,0,IF($AL3082=1,Settings!$C$6,Settings!$C$7))*100)</f>
        <v/>
      </c>
      <c r="AB3082" s="7" t="n"/>
      <c r="AE3082" s="11" t="n"/>
      <c r="AG3082" s="7">
        <f>IF($C3082="","",U3082*X3082/100)</f>
        <v/>
      </c>
      <c r="AH3082" s="7">
        <f>IF($C3082="","",U3082-AG3082)</f>
        <v/>
      </c>
      <c r="AI3082" s="7">
        <f>IF($C3082="","",AH3082-M3082)</f>
        <v/>
      </c>
      <c r="AJ3082">
        <f>IF($C3082="","",IF(COUNTIF($C$2:$C3082,$C3082)=1,1,0))</f>
        <v/>
      </c>
      <c r="AK3082">
        <f>IF($AJ3082=1,SUMPRODUCT(--($AN$2:$AN$4001&lt;$AN3082))+1,"")</f>
        <v/>
      </c>
      <c r="AL3082">
        <f>IF($C3082="","",IF(OR($Q3082=TRUE(),$Q3082="TRUE"),1,0))</f>
        <v/>
      </c>
      <c r="AM3082">
        <f>IF($C3082="","",IF($W3082="Yes",1,0))</f>
        <v/>
      </c>
      <c r="AN3082">
        <f>IF($AJ3082=1,IFERROR(IF(VALUE($C3082)&lt;100000000,VALUE($C3082),1000000000),IFERROR(IF(VALUE(MID($C3082,2,20))&lt;100000000,VALUE(MID($C3082,2,20)),1000000000),1000000000))+ROW()/100000,"")</f>
        <v/>
      </c>
    </row>
    <row r="3083">
      <c r="E3083" s="11" t="n"/>
      <c r="M3083" s="7">
        <f>IF($C3083="","",L3083*U3083/100)</f>
        <v/>
      </c>
      <c r="N3083" s="7" t="n"/>
      <c r="T3083" s="7" t="n"/>
      <c r="U3083" s="7">
        <f>IF($C3083="","",S3083*T3083)</f>
        <v/>
      </c>
      <c r="X3083">
        <f>IF($C3083="","",IF($AM3083=1,0,IF($AL3083=1,Settings!$C$6,Settings!$C$7))*100)</f>
        <v/>
      </c>
      <c r="AB3083" s="7" t="n"/>
      <c r="AE3083" s="11" t="n"/>
      <c r="AG3083" s="7">
        <f>IF($C3083="","",U3083*X3083/100)</f>
        <v/>
      </c>
      <c r="AH3083" s="7">
        <f>IF($C3083="","",U3083-AG3083)</f>
        <v/>
      </c>
      <c r="AI3083" s="7">
        <f>IF($C3083="","",AH3083-M3083)</f>
        <v/>
      </c>
      <c r="AJ3083">
        <f>IF($C3083="","",IF(COUNTIF($C$2:$C3083,$C3083)=1,1,0))</f>
        <v/>
      </c>
      <c r="AK3083">
        <f>IF($AJ3083=1,SUMPRODUCT(--($AN$2:$AN$4001&lt;$AN3083))+1,"")</f>
        <v/>
      </c>
      <c r="AL3083">
        <f>IF($C3083="","",IF(OR($Q3083=TRUE(),$Q3083="TRUE"),1,0))</f>
        <v/>
      </c>
      <c r="AM3083">
        <f>IF($C3083="","",IF($W3083="Yes",1,0))</f>
        <v/>
      </c>
      <c r="AN3083">
        <f>IF($AJ3083=1,IFERROR(IF(VALUE($C3083)&lt;100000000,VALUE($C3083),1000000000),IFERROR(IF(VALUE(MID($C3083,2,20))&lt;100000000,VALUE(MID($C3083,2,20)),1000000000),1000000000))+ROW()/100000,"")</f>
        <v/>
      </c>
    </row>
    <row r="3084">
      <c r="E3084" s="11" t="n"/>
      <c r="M3084" s="7">
        <f>IF($C3084="","",L3084*U3084/100)</f>
        <v/>
      </c>
      <c r="N3084" s="7" t="n"/>
      <c r="T3084" s="7" t="n"/>
      <c r="U3084" s="7">
        <f>IF($C3084="","",S3084*T3084)</f>
        <v/>
      </c>
      <c r="X3084">
        <f>IF($C3084="","",IF($AM3084=1,0,IF($AL3084=1,Settings!$C$6,Settings!$C$7))*100)</f>
        <v/>
      </c>
      <c r="AB3084" s="7" t="n"/>
      <c r="AE3084" s="11" t="n"/>
      <c r="AG3084" s="7">
        <f>IF($C3084="","",U3084*X3084/100)</f>
        <v/>
      </c>
      <c r="AH3084" s="7">
        <f>IF($C3084="","",U3084-AG3084)</f>
        <v/>
      </c>
      <c r="AI3084" s="7">
        <f>IF($C3084="","",AH3084-M3084)</f>
        <v/>
      </c>
      <c r="AJ3084">
        <f>IF($C3084="","",IF(COUNTIF($C$2:$C3084,$C3084)=1,1,0))</f>
        <v/>
      </c>
      <c r="AK3084">
        <f>IF($AJ3084=1,SUMPRODUCT(--($AN$2:$AN$4001&lt;$AN3084))+1,"")</f>
        <v/>
      </c>
      <c r="AL3084">
        <f>IF($C3084="","",IF(OR($Q3084=TRUE(),$Q3084="TRUE"),1,0))</f>
        <v/>
      </c>
      <c r="AM3084">
        <f>IF($C3084="","",IF($W3084="Yes",1,0))</f>
        <v/>
      </c>
      <c r="AN3084">
        <f>IF($AJ3084=1,IFERROR(IF(VALUE($C3084)&lt;100000000,VALUE($C3084),1000000000),IFERROR(IF(VALUE(MID($C3084,2,20))&lt;100000000,VALUE(MID($C3084,2,20)),1000000000),1000000000))+ROW()/100000,"")</f>
        <v/>
      </c>
    </row>
    <row r="3085">
      <c r="E3085" s="11" t="n"/>
      <c r="M3085" s="7">
        <f>IF($C3085="","",L3085*U3085/100)</f>
        <v/>
      </c>
      <c r="N3085" s="7" t="n"/>
      <c r="T3085" s="7" t="n"/>
      <c r="U3085" s="7">
        <f>IF($C3085="","",S3085*T3085)</f>
        <v/>
      </c>
      <c r="X3085">
        <f>IF($C3085="","",IF($AM3085=1,0,IF($AL3085=1,Settings!$C$6,Settings!$C$7))*100)</f>
        <v/>
      </c>
      <c r="AB3085" s="7" t="n"/>
      <c r="AE3085" s="11" t="n"/>
      <c r="AG3085" s="7">
        <f>IF($C3085="","",U3085*X3085/100)</f>
        <v/>
      </c>
      <c r="AH3085" s="7">
        <f>IF($C3085="","",U3085-AG3085)</f>
        <v/>
      </c>
      <c r="AI3085" s="7">
        <f>IF($C3085="","",AH3085-M3085)</f>
        <v/>
      </c>
      <c r="AJ3085">
        <f>IF($C3085="","",IF(COUNTIF($C$2:$C3085,$C3085)=1,1,0))</f>
        <v/>
      </c>
      <c r="AK3085">
        <f>IF($AJ3085=1,SUMPRODUCT(--($AN$2:$AN$4001&lt;$AN3085))+1,"")</f>
        <v/>
      </c>
      <c r="AL3085">
        <f>IF($C3085="","",IF(OR($Q3085=TRUE(),$Q3085="TRUE"),1,0))</f>
        <v/>
      </c>
      <c r="AM3085">
        <f>IF($C3085="","",IF($W3085="Yes",1,0))</f>
        <v/>
      </c>
      <c r="AN3085">
        <f>IF($AJ3085=1,IFERROR(IF(VALUE($C3085)&lt;100000000,VALUE($C3085),1000000000),IFERROR(IF(VALUE(MID($C3085,2,20))&lt;100000000,VALUE(MID($C3085,2,20)),1000000000),1000000000))+ROW()/100000,"")</f>
        <v/>
      </c>
    </row>
    <row r="3086">
      <c r="E3086" s="11" t="n"/>
      <c r="M3086" s="7">
        <f>IF($C3086="","",L3086*U3086/100)</f>
        <v/>
      </c>
      <c r="N3086" s="7" t="n"/>
      <c r="T3086" s="7" t="n"/>
      <c r="U3086" s="7">
        <f>IF($C3086="","",S3086*T3086)</f>
        <v/>
      </c>
      <c r="X3086">
        <f>IF($C3086="","",IF($AM3086=1,0,IF($AL3086=1,Settings!$C$6,Settings!$C$7))*100)</f>
        <v/>
      </c>
      <c r="AB3086" s="7" t="n"/>
      <c r="AE3086" s="11" t="n"/>
      <c r="AG3086" s="7">
        <f>IF($C3086="","",U3086*X3086/100)</f>
        <v/>
      </c>
      <c r="AH3086" s="7">
        <f>IF($C3086="","",U3086-AG3086)</f>
        <v/>
      </c>
      <c r="AI3086" s="7">
        <f>IF($C3086="","",AH3086-M3086)</f>
        <v/>
      </c>
      <c r="AJ3086">
        <f>IF($C3086="","",IF(COUNTIF($C$2:$C3086,$C3086)=1,1,0))</f>
        <v/>
      </c>
      <c r="AK3086">
        <f>IF($AJ3086=1,SUMPRODUCT(--($AN$2:$AN$4001&lt;$AN3086))+1,"")</f>
        <v/>
      </c>
      <c r="AL3086">
        <f>IF($C3086="","",IF(OR($Q3086=TRUE(),$Q3086="TRUE"),1,0))</f>
        <v/>
      </c>
      <c r="AM3086">
        <f>IF($C3086="","",IF($W3086="Yes",1,0))</f>
        <v/>
      </c>
      <c r="AN3086">
        <f>IF($AJ3086=1,IFERROR(IF(VALUE($C3086)&lt;100000000,VALUE($C3086),1000000000),IFERROR(IF(VALUE(MID($C3086,2,20))&lt;100000000,VALUE(MID($C3086,2,20)),1000000000),1000000000))+ROW()/100000,"")</f>
        <v/>
      </c>
    </row>
    <row r="3087">
      <c r="E3087" s="11" t="n"/>
      <c r="M3087" s="7">
        <f>IF($C3087="","",L3087*U3087/100)</f>
        <v/>
      </c>
      <c r="N3087" s="7" t="n"/>
      <c r="T3087" s="7" t="n"/>
      <c r="U3087" s="7">
        <f>IF($C3087="","",S3087*T3087)</f>
        <v/>
      </c>
      <c r="X3087">
        <f>IF($C3087="","",IF($AM3087=1,0,IF($AL3087=1,Settings!$C$6,Settings!$C$7))*100)</f>
        <v/>
      </c>
      <c r="AB3087" s="7" t="n"/>
      <c r="AE3087" s="11" t="n"/>
      <c r="AG3087" s="7">
        <f>IF($C3087="","",U3087*X3087/100)</f>
        <v/>
      </c>
      <c r="AH3087" s="7">
        <f>IF($C3087="","",U3087-AG3087)</f>
        <v/>
      </c>
      <c r="AI3087" s="7">
        <f>IF($C3087="","",AH3087-M3087)</f>
        <v/>
      </c>
      <c r="AJ3087">
        <f>IF($C3087="","",IF(COUNTIF($C$2:$C3087,$C3087)=1,1,0))</f>
        <v/>
      </c>
      <c r="AK3087">
        <f>IF($AJ3087=1,SUMPRODUCT(--($AN$2:$AN$4001&lt;$AN3087))+1,"")</f>
        <v/>
      </c>
      <c r="AL3087">
        <f>IF($C3087="","",IF(OR($Q3087=TRUE(),$Q3087="TRUE"),1,0))</f>
        <v/>
      </c>
      <c r="AM3087">
        <f>IF($C3087="","",IF($W3087="Yes",1,0))</f>
        <v/>
      </c>
      <c r="AN3087">
        <f>IF($AJ3087=1,IFERROR(IF(VALUE($C3087)&lt;100000000,VALUE($C3087),1000000000),IFERROR(IF(VALUE(MID($C3087,2,20))&lt;100000000,VALUE(MID($C3087,2,20)),1000000000),1000000000))+ROW()/100000,"")</f>
        <v/>
      </c>
    </row>
    <row r="3088">
      <c r="E3088" s="11" t="n"/>
      <c r="M3088" s="7">
        <f>IF($C3088="","",L3088*U3088/100)</f>
        <v/>
      </c>
      <c r="N3088" s="7" t="n"/>
      <c r="T3088" s="7" t="n"/>
      <c r="U3088" s="7">
        <f>IF($C3088="","",S3088*T3088)</f>
        <v/>
      </c>
      <c r="X3088">
        <f>IF($C3088="","",IF($AM3088=1,0,IF($AL3088=1,Settings!$C$6,Settings!$C$7))*100)</f>
        <v/>
      </c>
      <c r="AB3088" s="7" t="n"/>
      <c r="AE3088" s="11" t="n"/>
      <c r="AG3088" s="7">
        <f>IF($C3088="","",U3088*X3088/100)</f>
        <v/>
      </c>
      <c r="AH3088" s="7">
        <f>IF($C3088="","",U3088-AG3088)</f>
        <v/>
      </c>
      <c r="AI3088" s="7">
        <f>IF($C3088="","",AH3088-M3088)</f>
        <v/>
      </c>
      <c r="AJ3088">
        <f>IF($C3088="","",IF(COUNTIF($C$2:$C3088,$C3088)=1,1,0))</f>
        <v/>
      </c>
      <c r="AK3088">
        <f>IF($AJ3088=1,SUMPRODUCT(--($AN$2:$AN$4001&lt;$AN3088))+1,"")</f>
        <v/>
      </c>
      <c r="AL3088">
        <f>IF($C3088="","",IF(OR($Q3088=TRUE(),$Q3088="TRUE"),1,0))</f>
        <v/>
      </c>
      <c r="AM3088">
        <f>IF($C3088="","",IF($W3088="Yes",1,0))</f>
        <v/>
      </c>
      <c r="AN3088">
        <f>IF($AJ3088=1,IFERROR(IF(VALUE($C3088)&lt;100000000,VALUE($C3088),1000000000),IFERROR(IF(VALUE(MID($C3088,2,20))&lt;100000000,VALUE(MID($C3088,2,20)),1000000000),1000000000))+ROW()/100000,"")</f>
        <v/>
      </c>
    </row>
    <row r="3089">
      <c r="E3089" s="11" t="n"/>
      <c r="M3089" s="7">
        <f>IF($C3089="","",L3089*U3089/100)</f>
        <v/>
      </c>
      <c r="N3089" s="7" t="n"/>
      <c r="T3089" s="7" t="n"/>
      <c r="U3089" s="7">
        <f>IF($C3089="","",S3089*T3089)</f>
        <v/>
      </c>
      <c r="X3089">
        <f>IF($C3089="","",IF($AM3089=1,0,IF($AL3089=1,Settings!$C$6,Settings!$C$7))*100)</f>
        <v/>
      </c>
      <c r="AB3089" s="7" t="n"/>
      <c r="AE3089" s="11" t="n"/>
      <c r="AG3089" s="7">
        <f>IF($C3089="","",U3089*X3089/100)</f>
        <v/>
      </c>
      <c r="AH3089" s="7">
        <f>IF($C3089="","",U3089-AG3089)</f>
        <v/>
      </c>
      <c r="AI3089" s="7">
        <f>IF($C3089="","",AH3089-M3089)</f>
        <v/>
      </c>
      <c r="AJ3089">
        <f>IF($C3089="","",IF(COUNTIF($C$2:$C3089,$C3089)=1,1,0))</f>
        <v/>
      </c>
      <c r="AK3089">
        <f>IF($AJ3089=1,SUMPRODUCT(--($AN$2:$AN$4001&lt;$AN3089))+1,"")</f>
        <v/>
      </c>
      <c r="AL3089">
        <f>IF($C3089="","",IF(OR($Q3089=TRUE(),$Q3089="TRUE"),1,0))</f>
        <v/>
      </c>
      <c r="AM3089">
        <f>IF($C3089="","",IF($W3089="Yes",1,0))</f>
        <v/>
      </c>
      <c r="AN3089">
        <f>IF($AJ3089=1,IFERROR(IF(VALUE($C3089)&lt;100000000,VALUE($C3089),1000000000),IFERROR(IF(VALUE(MID($C3089,2,20))&lt;100000000,VALUE(MID($C3089,2,20)),1000000000),1000000000))+ROW()/100000,"")</f>
        <v/>
      </c>
    </row>
    <row r="3090">
      <c r="E3090" s="11" t="n"/>
      <c r="M3090" s="7">
        <f>IF($C3090="","",L3090*U3090/100)</f>
        <v/>
      </c>
      <c r="N3090" s="7" t="n"/>
      <c r="T3090" s="7" t="n"/>
      <c r="U3090" s="7">
        <f>IF($C3090="","",S3090*T3090)</f>
        <v/>
      </c>
      <c r="X3090">
        <f>IF($C3090="","",IF($AM3090=1,0,IF($AL3090=1,Settings!$C$6,Settings!$C$7))*100)</f>
        <v/>
      </c>
      <c r="AB3090" s="7" t="n"/>
      <c r="AE3090" s="11" t="n"/>
      <c r="AG3090" s="7">
        <f>IF($C3090="","",U3090*X3090/100)</f>
        <v/>
      </c>
      <c r="AH3090" s="7">
        <f>IF($C3090="","",U3090-AG3090)</f>
        <v/>
      </c>
      <c r="AI3090" s="7">
        <f>IF($C3090="","",AH3090-M3090)</f>
        <v/>
      </c>
      <c r="AJ3090">
        <f>IF($C3090="","",IF(COUNTIF($C$2:$C3090,$C3090)=1,1,0))</f>
        <v/>
      </c>
      <c r="AK3090">
        <f>IF($AJ3090=1,SUMPRODUCT(--($AN$2:$AN$4001&lt;$AN3090))+1,"")</f>
        <v/>
      </c>
      <c r="AL3090">
        <f>IF($C3090="","",IF(OR($Q3090=TRUE(),$Q3090="TRUE"),1,0))</f>
        <v/>
      </c>
      <c r="AM3090">
        <f>IF($C3090="","",IF($W3090="Yes",1,0))</f>
        <v/>
      </c>
      <c r="AN3090">
        <f>IF($AJ3090=1,IFERROR(IF(VALUE($C3090)&lt;100000000,VALUE($C3090),1000000000),IFERROR(IF(VALUE(MID($C3090,2,20))&lt;100000000,VALUE(MID($C3090,2,20)),1000000000),1000000000))+ROW()/100000,"")</f>
        <v/>
      </c>
    </row>
    <row r="3091">
      <c r="E3091" s="11" t="n"/>
      <c r="M3091" s="7">
        <f>IF($C3091="","",L3091*U3091/100)</f>
        <v/>
      </c>
      <c r="N3091" s="7" t="n"/>
      <c r="T3091" s="7" t="n"/>
      <c r="U3091" s="7">
        <f>IF($C3091="","",S3091*T3091)</f>
        <v/>
      </c>
      <c r="X3091">
        <f>IF($C3091="","",IF($AM3091=1,0,IF($AL3091=1,Settings!$C$6,Settings!$C$7))*100)</f>
        <v/>
      </c>
      <c r="AB3091" s="7" t="n"/>
      <c r="AE3091" s="11" t="n"/>
      <c r="AG3091" s="7">
        <f>IF($C3091="","",U3091*X3091/100)</f>
        <v/>
      </c>
      <c r="AH3091" s="7">
        <f>IF($C3091="","",U3091-AG3091)</f>
        <v/>
      </c>
      <c r="AI3091" s="7">
        <f>IF($C3091="","",AH3091-M3091)</f>
        <v/>
      </c>
      <c r="AJ3091">
        <f>IF($C3091="","",IF(COUNTIF($C$2:$C3091,$C3091)=1,1,0))</f>
        <v/>
      </c>
      <c r="AK3091">
        <f>IF($AJ3091=1,SUMPRODUCT(--($AN$2:$AN$4001&lt;$AN3091))+1,"")</f>
        <v/>
      </c>
      <c r="AL3091">
        <f>IF($C3091="","",IF(OR($Q3091=TRUE(),$Q3091="TRUE"),1,0))</f>
        <v/>
      </c>
      <c r="AM3091">
        <f>IF($C3091="","",IF($W3091="Yes",1,0))</f>
        <v/>
      </c>
      <c r="AN3091">
        <f>IF($AJ3091=1,IFERROR(IF(VALUE($C3091)&lt;100000000,VALUE($C3091),1000000000),IFERROR(IF(VALUE(MID($C3091,2,20))&lt;100000000,VALUE(MID($C3091,2,20)),1000000000),1000000000))+ROW()/100000,"")</f>
        <v/>
      </c>
    </row>
    <row r="3092">
      <c r="E3092" s="11" t="n"/>
      <c r="M3092" s="7">
        <f>IF($C3092="","",L3092*U3092/100)</f>
        <v/>
      </c>
      <c r="N3092" s="7" t="n"/>
      <c r="T3092" s="7" t="n"/>
      <c r="U3092" s="7">
        <f>IF($C3092="","",S3092*T3092)</f>
        <v/>
      </c>
      <c r="X3092">
        <f>IF($C3092="","",IF($AM3092=1,0,IF($AL3092=1,Settings!$C$6,Settings!$C$7))*100)</f>
        <v/>
      </c>
      <c r="AB3092" s="7" t="n"/>
      <c r="AE3092" s="11" t="n"/>
      <c r="AG3092" s="7">
        <f>IF($C3092="","",U3092*X3092/100)</f>
        <v/>
      </c>
      <c r="AH3092" s="7">
        <f>IF($C3092="","",U3092-AG3092)</f>
        <v/>
      </c>
      <c r="AI3092" s="7">
        <f>IF($C3092="","",AH3092-M3092)</f>
        <v/>
      </c>
      <c r="AJ3092">
        <f>IF($C3092="","",IF(COUNTIF($C$2:$C3092,$C3092)=1,1,0))</f>
        <v/>
      </c>
      <c r="AK3092">
        <f>IF($AJ3092=1,SUMPRODUCT(--($AN$2:$AN$4001&lt;$AN3092))+1,"")</f>
        <v/>
      </c>
      <c r="AL3092">
        <f>IF($C3092="","",IF(OR($Q3092=TRUE(),$Q3092="TRUE"),1,0))</f>
        <v/>
      </c>
      <c r="AM3092">
        <f>IF($C3092="","",IF($W3092="Yes",1,0))</f>
        <v/>
      </c>
      <c r="AN3092">
        <f>IF($AJ3092=1,IFERROR(IF(VALUE($C3092)&lt;100000000,VALUE($C3092),1000000000),IFERROR(IF(VALUE(MID($C3092,2,20))&lt;100000000,VALUE(MID($C3092,2,20)),1000000000),1000000000))+ROW()/100000,"")</f>
        <v/>
      </c>
    </row>
    <row r="3093">
      <c r="E3093" s="11" t="n"/>
      <c r="M3093" s="7">
        <f>IF($C3093="","",L3093*U3093/100)</f>
        <v/>
      </c>
      <c r="N3093" s="7" t="n"/>
      <c r="T3093" s="7" t="n"/>
      <c r="U3093" s="7">
        <f>IF($C3093="","",S3093*T3093)</f>
        <v/>
      </c>
      <c r="X3093">
        <f>IF($C3093="","",IF($AM3093=1,0,IF($AL3093=1,Settings!$C$6,Settings!$C$7))*100)</f>
        <v/>
      </c>
      <c r="AB3093" s="7" t="n"/>
      <c r="AE3093" s="11" t="n"/>
      <c r="AG3093" s="7">
        <f>IF($C3093="","",U3093*X3093/100)</f>
        <v/>
      </c>
      <c r="AH3093" s="7">
        <f>IF($C3093="","",U3093-AG3093)</f>
        <v/>
      </c>
      <c r="AI3093" s="7">
        <f>IF($C3093="","",AH3093-M3093)</f>
        <v/>
      </c>
      <c r="AJ3093">
        <f>IF($C3093="","",IF(COUNTIF($C$2:$C3093,$C3093)=1,1,0))</f>
        <v/>
      </c>
      <c r="AK3093">
        <f>IF($AJ3093=1,SUMPRODUCT(--($AN$2:$AN$4001&lt;$AN3093))+1,"")</f>
        <v/>
      </c>
      <c r="AL3093">
        <f>IF($C3093="","",IF(OR($Q3093=TRUE(),$Q3093="TRUE"),1,0))</f>
        <v/>
      </c>
      <c r="AM3093">
        <f>IF($C3093="","",IF($W3093="Yes",1,0))</f>
        <v/>
      </c>
      <c r="AN3093">
        <f>IF($AJ3093=1,IFERROR(IF(VALUE($C3093)&lt;100000000,VALUE($C3093),1000000000),IFERROR(IF(VALUE(MID($C3093,2,20))&lt;100000000,VALUE(MID($C3093,2,20)),1000000000),1000000000))+ROW()/100000,"")</f>
        <v/>
      </c>
    </row>
    <row r="3094">
      <c r="E3094" s="11" t="n"/>
      <c r="M3094" s="7">
        <f>IF($C3094="","",L3094*U3094/100)</f>
        <v/>
      </c>
      <c r="N3094" s="7" t="n"/>
      <c r="T3094" s="7" t="n"/>
      <c r="U3094" s="7">
        <f>IF($C3094="","",S3094*T3094)</f>
        <v/>
      </c>
      <c r="X3094">
        <f>IF($C3094="","",IF($AM3094=1,0,IF($AL3094=1,Settings!$C$6,Settings!$C$7))*100)</f>
        <v/>
      </c>
      <c r="AB3094" s="7" t="n"/>
      <c r="AE3094" s="11" t="n"/>
      <c r="AG3094" s="7">
        <f>IF($C3094="","",U3094*X3094/100)</f>
        <v/>
      </c>
      <c r="AH3094" s="7">
        <f>IF($C3094="","",U3094-AG3094)</f>
        <v/>
      </c>
      <c r="AI3094" s="7">
        <f>IF($C3094="","",AH3094-M3094)</f>
        <v/>
      </c>
      <c r="AJ3094">
        <f>IF($C3094="","",IF(COUNTIF($C$2:$C3094,$C3094)=1,1,0))</f>
        <v/>
      </c>
      <c r="AK3094">
        <f>IF($AJ3094=1,SUMPRODUCT(--($AN$2:$AN$4001&lt;$AN3094))+1,"")</f>
        <v/>
      </c>
      <c r="AL3094">
        <f>IF($C3094="","",IF(OR($Q3094=TRUE(),$Q3094="TRUE"),1,0))</f>
        <v/>
      </c>
      <c r="AM3094">
        <f>IF($C3094="","",IF($W3094="Yes",1,0))</f>
        <v/>
      </c>
      <c r="AN3094">
        <f>IF($AJ3094=1,IFERROR(IF(VALUE($C3094)&lt;100000000,VALUE($C3094),1000000000),IFERROR(IF(VALUE(MID($C3094,2,20))&lt;100000000,VALUE(MID($C3094,2,20)),1000000000),1000000000))+ROW()/100000,"")</f>
        <v/>
      </c>
    </row>
    <row r="3095">
      <c r="E3095" s="11" t="n"/>
      <c r="M3095" s="7">
        <f>IF($C3095="","",L3095*U3095/100)</f>
        <v/>
      </c>
      <c r="N3095" s="7" t="n"/>
      <c r="T3095" s="7" t="n"/>
      <c r="U3095" s="7">
        <f>IF($C3095="","",S3095*T3095)</f>
        <v/>
      </c>
      <c r="X3095">
        <f>IF($C3095="","",IF($AM3095=1,0,IF($AL3095=1,Settings!$C$6,Settings!$C$7))*100)</f>
        <v/>
      </c>
      <c r="AB3095" s="7" t="n"/>
      <c r="AE3095" s="11" t="n"/>
      <c r="AG3095" s="7">
        <f>IF($C3095="","",U3095*X3095/100)</f>
        <v/>
      </c>
      <c r="AH3095" s="7">
        <f>IF($C3095="","",U3095-AG3095)</f>
        <v/>
      </c>
      <c r="AI3095" s="7">
        <f>IF($C3095="","",AH3095-M3095)</f>
        <v/>
      </c>
      <c r="AJ3095">
        <f>IF($C3095="","",IF(COUNTIF($C$2:$C3095,$C3095)=1,1,0))</f>
        <v/>
      </c>
      <c r="AK3095">
        <f>IF($AJ3095=1,SUMPRODUCT(--($AN$2:$AN$4001&lt;$AN3095))+1,"")</f>
        <v/>
      </c>
      <c r="AL3095">
        <f>IF($C3095="","",IF(OR($Q3095=TRUE(),$Q3095="TRUE"),1,0))</f>
        <v/>
      </c>
      <c r="AM3095">
        <f>IF($C3095="","",IF($W3095="Yes",1,0))</f>
        <v/>
      </c>
      <c r="AN3095">
        <f>IF($AJ3095=1,IFERROR(IF(VALUE($C3095)&lt;100000000,VALUE($C3095),1000000000),IFERROR(IF(VALUE(MID($C3095,2,20))&lt;100000000,VALUE(MID($C3095,2,20)),1000000000),1000000000))+ROW()/100000,"")</f>
        <v/>
      </c>
    </row>
    <row r="3096">
      <c r="E3096" s="11" t="n"/>
      <c r="M3096" s="7">
        <f>IF($C3096="","",L3096*U3096/100)</f>
        <v/>
      </c>
      <c r="N3096" s="7" t="n"/>
      <c r="T3096" s="7" t="n"/>
      <c r="U3096" s="7">
        <f>IF($C3096="","",S3096*T3096)</f>
        <v/>
      </c>
      <c r="X3096">
        <f>IF($C3096="","",IF($AM3096=1,0,IF($AL3096=1,Settings!$C$6,Settings!$C$7))*100)</f>
        <v/>
      </c>
      <c r="AB3096" s="7" t="n"/>
      <c r="AE3096" s="11" t="n"/>
      <c r="AG3096" s="7">
        <f>IF($C3096="","",U3096*X3096/100)</f>
        <v/>
      </c>
      <c r="AH3096" s="7">
        <f>IF($C3096="","",U3096-AG3096)</f>
        <v/>
      </c>
      <c r="AI3096" s="7">
        <f>IF($C3096="","",AH3096-M3096)</f>
        <v/>
      </c>
      <c r="AJ3096">
        <f>IF($C3096="","",IF(COUNTIF($C$2:$C3096,$C3096)=1,1,0))</f>
        <v/>
      </c>
      <c r="AK3096">
        <f>IF($AJ3096=1,SUMPRODUCT(--($AN$2:$AN$4001&lt;$AN3096))+1,"")</f>
        <v/>
      </c>
      <c r="AL3096">
        <f>IF($C3096="","",IF(OR($Q3096=TRUE(),$Q3096="TRUE"),1,0))</f>
        <v/>
      </c>
      <c r="AM3096">
        <f>IF($C3096="","",IF($W3096="Yes",1,0))</f>
        <v/>
      </c>
      <c r="AN3096">
        <f>IF($AJ3096=1,IFERROR(IF(VALUE($C3096)&lt;100000000,VALUE($C3096),1000000000),IFERROR(IF(VALUE(MID($C3096,2,20))&lt;100000000,VALUE(MID($C3096,2,20)),1000000000),1000000000))+ROW()/100000,"")</f>
        <v/>
      </c>
    </row>
    <row r="3097">
      <c r="E3097" s="11" t="n"/>
      <c r="M3097" s="7">
        <f>IF($C3097="","",L3097*U3097/100)</f>
        <v/>
      </c>
      <c r="N3097" s="7" t="n"/>
      <c r="T3097" s="7" t="n"/>
      <c r="U3097" s="7">
        <f>IF($C3097="","",S3097*T3097)</f>
        <v/>
      </c>
      <c r="X3097">
        <f>IF($C3097="","",IF($AM3097=1,0,IF($AL3097=1,Settings!$C$6,Settings!$C$7))*100)</f>
        <v/>
      </c>
      <c r="AB3097" s="7" t="n"/>
      <c r="AE3097" s="11" t="n"/>
      <c r="AG3097" s="7">
        <f>IF($C3097="","",U3097*X3097/100)</f>
        <v/>
      </c>
      <c r="AH3097" s="7">
        <f>IF($C3097="","",U3097-AG3097)</f>
        <v/>
      </c>
      <c r="AI3097" s="7">
        <f>IF($C3097="","",AH3097-M3097)</f>
        <v/>
      </c>
      <c r="AJ3097">
        <f>IF($C3097="","",IF(COUNTIF($C$2:$C3097,$C3097)=1,1,0))</f>
        <v/>
      </c>
      <c r="AK3097">
        <f>IF($AJ3097=1,SUMPRODUCT(--($AN$2:$AN$4001&lt;$AN3097))+1,"")</f>
        <v/>
      </c>
      <c r="AL3097">
        <f>IF($C3097="","",IF(OR($Q3097=TRUE(),$Q3097="TRUE"),1,0))</f>
        <v/>
      </c>
      <c r="AM3097">
        <f>IF($C3097="","",IF($W3097="Yes",1,0))</f>
        <v/>
      </c>
      <c r="AN3097">
        <f>IF($AJ3097=1,IFERROR(IF(VALUE($C3097)&lt;100000000,VALUE($C3097),1000000000),IFERROR(IF(VALUE(MID($C3097,2,20))&lt;100000000,VALUE(MID($C3097,2,20)),1000000000),1000000000))+ROW()/100000,"")</f>
        <v/>
      </c>
    </row>
    <row r="3098">
      <c r="E3098" s="11" t="n"/>
      <c r="M3098" s="7">
        <f>IF($C3098="","",L3098*U3098/100)</f>
        <v/>
      </c>
      <c r="N3098" s="7" t="n"/>
      <c r="T3098" s="7" t="n"/>
      <c r="U3098" s="7">
        <f>IF($C3098="","",S3098*T3098)</f>
        <v/>
      </c>
      <c r="X3098">
        <f>IF($C3098="","",IF($AM3098=1,0,IF($AL3098=1,Settings!$C$6,Settings!$C$7))*100)</f>
        <v/>
      </c>
      <c r="AB3098" s="7" t="n"/>
      <c r="AE3098" s="11" t="n"/>
      <c r="AG3098" s="7">
        <f>IF($C3098="","",U3098*X3098/100)</f>
        <v/>
      </c>
      <c r="AH3098" s="7">
        <f>IF($C3098="","",U3098-AG3098)</f>
        <v/>
      </c>
      <c r="AI3098" s="7">
        <f>IF($C3098="","",AH3098-M3098)</f>
        <v/>
      </c>
      <c r="AJ3098">
        <f>IF($C3098="","",IF(COUNTIF($C$2:$C3098,$C3098)=1,1,0))</f>
        <v/>
      </c>
      <c r="AK3098">
        <f>IF($AJ3098=1,SUMPRODUCT(--($AN$2:$AN$4001&lt;$AN3098))+1,"")</f>
        <v/>
      </c>
      <c r="AL3098">
        <f>IF($C3098="","",IF(OR($Q3098=TRUE(),$Q3098="TRUE"),1,0))</f>
        <v/>
      </c>
      <c r="AM3098">
        <f>IF($C3098="","",IF($W3098="Yes",1,0))</f>
        <v/>
      </c>
      <c r="AN3098">
        <f>IF($AJ3098=1,IFERROR(IF(VALUE($C3098)&lt;100000000,VALUE($C3098),1000000000),IFERROR(IF(VALUE(MID($C3098,2,20))&lt;100000000,VALUE(MID($C3098,2,20)),1000000000),1000000000))+ROW()/100000,"")</f>
        <v/>
      </c>
    </row>
    <row r="3099">
      <c r="E3099" s="11" t="n"/>
      <c r="M3099" s="7">
        <f>IF($C3099="","",L3099*U3099/100)</f>
        <v/>
      </c>
      <c r="N3099" s="7" t="n"/>
      <c r="T3099" s="7" t="n"/>
      <c r="U3099" s="7">
        <f>IF($C3099="","",S3099*T3099)</f>
        <v/>
      </c>
      <c r="X3099">
        <f>IF($C3099="","",IF($AM3099=1,0,IF($AL3099=1,Settings!$C$6,Settings!$C$7))*100)</f>
        <v/>
      </c>
      <c r="AB3099" s="7" t="n"/>
      <c r="AE3099" s="11" t="n"/>
      <c r="AG3099" s="7">
        <f>IF($C3099="","",U3099*X3099/100)</f>
        <v/>
      </c>
      <c r="AH3099" s="7">
        <f>IF($C3099="","",U3099-AG3099)</f>
        <v/>
      </c>
      <c r="AI3099" s="7">
        <f>IF($C3099="","",AH3099-M3099)</f>
        <v/>
      </c>
      <c r="AJ3099">
        <f>IF($C3099="","",IF(COUNTIF($C$2:$C3099,$C3099)=1,1,0))</f>
        <v/>
      </c>
      <c r="AK3099">
        <f>IF($AJ3099=1,SUMPRODUCT(--($AN$2:$AN$4001&lt;$AN3099))+1,"")</f>
        <v/>
      </c>
      <c r="AL3099">
        <f>IF($C3099="","",IF(OR($Q3099=TRUE(),$Q3099="TRUE"),1,0))</f>
        <v/>
      </c>
      <c r="AM3099">
        <f>IF($C3099="","",IF($W3099="Yes",1,0))</f>
        <v/>
      </c>
      <c r="AN3099">
        <f>IF($AJ3099=1,IFERROR(IF(VALUE($C3099)&lt;100000000,VALUE($C3099),1000000000),IFERROR(IF(VALUE(MID($C3099,2,20))&lt;100000000,VALUE(MID($C3099,2,20)),1000000000),1000000000))+ROW()/100000,"")</f>
        <v/>
      </c>
    </row>
    <row r="3100">
      <c r="E3100" s="11" t="n"/>
      <c r="M3100" s="7">
        <f>IF($C3100="","",L3100*U3100/100)</f>
        <v/>
      </c>
      <c r="N3100" s="7" t="n"/>
      <c r="T3100" s="7" t="n"/>
      <c r="U3100" s="7">
        <f>IF($C3100="","",S3100*T3100)</f>
        <v/>
      </c>
      <c r="X3100">
        <f>IF($C3100="","",IF($AM3100=1,0,IF($AL3100=1,Settings!$C$6,Settings!$C$7))*100)</f>
        <v/>
      </c>
      <c r="AB3100" s="7" t="n"/>
      <c r="AE3100" s="11" t="n"/>
      <c r="AG3100" s="7">
        <f>IF($C3100="","",U3100*X3100/100)</f>
        <v/>
      </c>
      <c r="AH3100" s="7">
        <f>IF($C3100="","",U3100-AG3100)</f>
        <v/>
      </c>
      <c r="AI3100" s="7">
        <f>IF($C3100="","",AH3100-M3100)</f>
        <v/>
      </c>
      <c r="AJ3100">
        <f>IF($C3100="","",IF(COUNTIF($C$2:$C3100,$C3100)=1,1,0))</f>
        <v/>
      </c>
      <c r="AK3100">
        <f>IF($AJ3100=1,SUMPRODUCT(--($AN$2:$AN$4001&lt;$AN3100))+1,"")</f>
        <v/>
      </c>
      <c r="AL3100">
        <f>IF($C3100="","",IF(OR($Q3100=TRUE(),$Q3100="TRUE"),1,0))</f>
        <v/>
      </c>
      <c r="AM3100">
        <f>IF($C3100="","",IF($W3100="Yes",1,0))</f>
        <v/>
      </c>
      <c r="AN3100">
        <f>IF($AJ3100=1,IFERROR(IF(VALUE($C3100)&lt;100000000,VALUE($C3100),1000000000),IFERROR(IF(VALUE(MID($C3100,2,20))&lt;100000000,VALUE(MID($C3100,2,20)),1000000000),1000000000))+ROW()/100000,"")</f>
        <v/>
      </c>
    </row>
    <row r="3101">
      <c r="E3101" s="11" t="n"/>
      <c r="M3101" s="7">
        <f>IF($C3101="","",L3101*U3101/100)</f>
        <v/>
      </c>
      <c r="N3101" s="7" t="n"/>
      <c r="T3101" s="7" t="n"/>
      <c r="U3101" s="7">
        <f>IF($C3101="","",S3101*T3101)</f>
        <v/>
      </c>
      <c r="X3101">
        <f>IF($C3101="","",IF($AM3101=1,0,IF($AL3101=1,Settings!$C$6,Settings!$C$7))*100)</f>
        <v/>
      </c>
      <c r="AB3101" s="7" t="n"/>
      <c r="AE3101" s="11" t="n"/>
      <c r="AG3101" s="7">
        <f>IF($C3101="","",U3101*X3101/100)</f>
        <v/>
      </c>
      <c r="AH3101" s="7">
        <f>IF($C3101="","",U3101-AG3101)</f>
        <v/>
      </c>
      <c r="AI3101" s="7">
        <f>IF($C3101="","",AH3101-M3101)</f>
        <v/>
      </c>
      <c r="AJ3101">
        <f>IF($C3101="","",IF(COUNTIF($C$2:$C3101,$C3101)=1,1,0))</f>
        <v/>
      </c>
      <c r="AK3101">
        <f>IF($AJ3101=1,SUMPRODUCT(--($AN$2:$AN$4001&lt;$AN3101))+1,"")</f>
        <v/>
      </c>
      <c r="AL3101">
        <f>IF($C3101="","",IF(OR($Q3101=TRUE(),$Q3101="TRUE"),1,0))</f>
        <v/>
      </c>
      <c r="AM3101">
        <f>IF($C3101="","",IF($W3101="Yes",1,0))</f>
        <v/>
      </c>
      <c r="AN3101">
        <f>IF($AJ3101=1,IFERROR(IF(VALUE($C3101)&lt;100000000,VALUE($C3101),1000000000),IFERROR(IF(VALUE(MID($C3101,2,20))&lt;100000000,VALUE(MID($C3101,2,20)),1000000000),1000000000))+ROW()/100000,"")</f>
        <v/>
      </c>
    </row>
    <row r="3102">
      <c r="E3102" s="11" t="n"/>
      <c r="M3102" s="7">
        <f>IF($C3102="","",L3102*U3102/100)</f>
        <v/>
      </c>
      <c r="N3102" s="7" t="n"/>
      <c r="T3102" s="7" t="n"/>
      <c r="U3102" s="7">
        <f>IF($C3102="","",S3102*T3102)</f>
        <v/>
      </c>
      <c r="X3102">
        <f>IF($C3102="","",IF($AM3102=1,0,IF($AL3102=1,Settings!$C$6,Settings!$C$7))*100)</f>
        <v/>
      </c>
      <c r="AB3102" s="7" t="n"/>
      <c r="AE3102" s="11" t="n"/>
      <c r="AG3102" s="7">
        <f>IF($C3102="","",U3102*X3102/100)</f>
        <v/>
      </c>
      <c r="AH3102" s="7">
        <f>IF($C3102="","",U3102-AG3102)</f>
        <v/>
      </c>
      <c r="AI3102" s="7">
        <f>IF($C3102="","",AH3102-M3102)</f>
        <v/>
      </c>
      <c r="AJ3102">
        <f>IF($C3102="","",IF(COUNTIF($C$2:$C3102,$C3102)=1,1,0))</f>
        <v/>
      </c>
      <c r="AK3102">
        <f>IF($AJ3102=1,SUMPRODUCT(--($AN$2:$AN$4001&lt;$AN3102))+1,"")</f>
        <v/>
      </c>
      <c r="AL3102">
        <f>IF($C3102="","",IF(OR($Q3102=TRUE(),$Q3102="TRUE"),1,0))</f>
        <v/>
      </c>
      <c r="AM3102">
        <f>IF($C3102="","",IF($W3102="Yes",1,0))</f>
        <v/>
      </c>
      <c r="AN3102">
        <f>IF($AJ3102=1,IFERROR(IF(VALUE($C3102)&lt;100000000,VALUE($C3102),1000000000),IFERROR(IF(VALUE(MID($C3102,2,20))&lt;100000000,VALUE(MID($C3102,2,20)),1000000000),1000000000))+ROW()/100000,"")</f>
        <v/>
      </c>
    </row>
    <row r="3103">
      <c r="E3103" s="11" t="n"/>
      <c r="M3103" s="7">
        <f>IF($C3103="","",L3103*U3103/100)</f>
        <v/>
      </c>
      <c r="N3103" s="7" t="n"/>
      <c r="T3103" s="7" t="n"/>
      <c r="U3103" s="7">
        <f>IF($C3103="","",S3103*T3103)</f>
        <v/>
      </c>
      <c r="X3103">
        <f>IF($C3103="","",IF($AM3103=1,0,IF($AL3103=1,Settings!$C$6,Settings!$C$7))*100)</f>
        <v/>
      </c>
      <c r="AB3103" s="7" t="n"/>
      <c r="AE3103" s="11" t="n"/>
      <c r="AG3103" s="7">
        <f>IF($C3103="","",U3103*X3103/100)</f>
        <v/>
      </c>
      <c r="AH3103" s="7">
        <f>IF($C3103="","",U3103-AG3103)</f>
        <v/>
      </c>
      <c r="AI3103" s="7">
        <f>IF($C3103="","",AH3103-M3103)</f>
        <v/>
      </c>
      <c r="AJ3103">
        <f>IF($C3103="","",IF(COUNTIF($C$2:$C3103,$C3103)=1,1,0))</f>
        <v/>
      </c>
      <c r="AK3103">
        <f>IF($AJ3103=1,SUMPRODUCT(--($AN$2:$AN$4001&lt;$AN3103))+1,"")</f>
        <v/>
      </c>
      <c r="AL3103">
        <f>IF($C3103="","",IF(OR($Q3103=TRUE(),$Q3103="TRUE"),1,0))</f>
        <v/>
      </c>
      <c r="AM3103">
        <f>IF($C3103="","",IF($W3103="Yes",1,0))</f>
        <v/>
      </c>
      <c r="AN3103">
        <f>IF($AJ3103=1,IFERROR(IF(VALUE($C3103)&lt;100000000,VALUE($C3103),1000000000),IFERROR(IF(VALUE(MID($C3103,2,20))&lt;100000000,VALUE(MID($C3103,2,20)),1000000000),1000000000))+ROW()/100000,"")</f>
        <v/>
      </c>
    </row>
    <row r="3104">
      <c r="E3104" s="11" t="n"/>
      <c r="M3104" s="7">
        <f>IF($C3104="","",L3104*U3104/100)</f>
        <v/>
      </c>
      <c r="N3104" s="7" t="n"/>
      <c r="T3104" s="7" t="n"/>
      <c r="U3104" s="7">
        <f>IF($C3104="","",S3104*T3104)</f>
        <v/>
      </c>
      <c r="X3104">
        <f>IF($C3104="","",IF($AM3104=1,0,IF($AL3104=1,Settings!$C$6,Settings!$C$7))*100)</f>
        <v/>
      </c>
      <c r="AB3104" s="7" t="n"/>
      <c r="AE3104" s="11" t="n"/>
      <c r="AG3104" s="7">
        <f>IF($C3104="","",U3104*X3104/100)</f>
        <v/>
      </c>
      <c r="AH3104" s="7">
        <f>IF($C3104="","",U3104-AG3104)</f>
        <v/>
      </c>
      <c r="AI3104" s="7">
        <f>IF($C3104="","",AH3104-M3104)</f>
        <v/>
      </c>
      <c r="AJ3104">
        <f>IF($C3104="","",IF(COUNTIF($C$2:$C3104,$C3104)=1,1,0))</f>
        <v/>
      </c>
      <c r="AK3104">
        <f>IF($AJ3104=1,SUMPRODUCT(--($AN$2:$AN$4001&lt;$AN3104))+1,"")</f>
        <v/>
      </c>
      <c r="AL3104">
        <f>IF($C3104="","",IF(OR($Q3104=TRUE(),$Q3104="TRUE"),1,0))</f>
        <v/>
      </c>
      <c r="AM3104">
        <f>IF($C3104="","",IF($W3104="Yes",1,0))</f>
        <v/>
      </c>
      <c r="AN3104">
        <f>IF($AJ3104=1,IFERROR(IF(VALUE($C3104)&lt;100000000,VALUE($C3104),1000000000),IFERROR(IF(VALUE(MID($C3104,2,20))&lt;100000000,VALUE(MID($C3104,2,20)),1000000000),1000000000))+ROW()/100000,"")</f>
        <v/>
      </c>
    </row>
    <row r="3105">
      <c r="E3105" s="11" t="n"/>
      <c r="M3105" s="7">
        <f>IF($C3105="","",L3105*U3105/100)</f>
        <v/>
      </c>
      <c r="N3105" s="7" t="n"/>
      <c r="T3105" s="7" t="n"/>
      <c r="U3105" s="7">
        <f>IF($C3105="","",S3105*T3105)</f>
        <v/>
      </c>
      <c r="X3105">
        <f>IF($C3105="","",IF($AM3105=1,0,IF($AL3105=1,Settings!$C$6,Settings!$C$7))*100)</f>
        <v/>
      </c>
      <c r="AB3105" s="7" t="n"/>
      <c r="AE3105" s="11" t="n"/>
      <c r="AG3105" s="7">
        <f>IF($C3105="","",U3105*X3105/100)</f>
        <v/>
      </c>
      <c r="AH3105" s="7">
        <f>IF($C3105="","",U3105-AG3105)</f>
        <v/>
      </c>
      <c r="AI3105" s="7">
        <f>IF($C3105="","",AH3105-M3105)</f>
        <v/>
      </c>
      <c r="AJ3105">
        <f>IF($C3105="","",IF(COUNTIF($C$2:$C3105,$C3105)=1,1,0))</f>
        <v/>
      </c>
      <c r="AK3105">
        <f>IF($AJ3105=1,SUMPRODUCT(--($AN$2:$AN$4001&lt;$AN3105))+1,"")</f>
        <v/>
      </c>
      <c r="AL3105">
        <f>IF($C3105="","",IF(OR($Q3105=TRUE(),$Q3105="TRUE"),1,0))</f>
        <v/>
      </c>
      <c r="AM3105">
        <f>IF($C3105="","",IF($W3105="Yes",1,0))</f>
        <v/>
      </c>
      <c r="AN3105">
        <f>IF($AJ3105=1,IFERROR(IF(VALUE($C3105)&lt;100000000,VALUE($C3105),1000000000),IFERROR(IF(VALUE(MID($C3105,2,20))&lt;100000000,VALUE(MID($C3105,2,20)),1000000000),1000000000))+ROW()/100000,"")</f>
        <v/>
      </c>
    </row>
    <row r="3106">
      <c r="E3106" s="11" t="n"/>
      <c r="M3106" s="7">
        <f>IF($C3106="","",L3106*U3106/100)</f>
        <v/>
      </c>
      <c r="N3106" s="7" t="n"/>
      <c r="T3106" s="7" t="n"/>
      <c r="U3106" s="7">
        <f>IF($C3106="","",S3106*T3106)</f>
        <v/>
      </c>
      <c r="X3106">
        <f>IF($C3106="","",IF($AM3106=1,0,IF($AL3106=1,Settings!$C$6,Settings!$C$7))*100)</f>
        <v/>
      </c>
      <c r="AB3106" s="7" t="n"/>
      <c r="AE3106" s="11" t="n"/>
      <c r="AG3106" s="7">
        <f>IF($C3106="","",U3106*X3106/100)</f>
        <v/>
      </c>
      <c r="AH3106" s="7">
        <f>IF($C3106="","",U3106-AG3106)</f>
        <v/>
      </c>
      <c r="AI3106" s="7">
        <f>IF($C3106="","",AH3106-M3106)</f>
        <v/>
      </c>
      <c r="AJ3106">
        <f>IF($C3106="","",IF(COUNTIF($C$2:$C3106,$C3106)=1,1,0))</f>
        <v/>
      </c>
      <c r="AK3106">
        <f>IF($AJ3106=1,SUMPRODUCT(--($AN$2:$AN$4001&lt;$AN3106))+1,"")</f>
        <v/>
      </c>
      <c r="AL3106">
        <f>IF($C3106="","",IF(OR($Q3106=TRUE(),$Q3106="TRUE"),1,0))</f>
        <v/>
      </c>
      <c r="AM3106">
        <f>IF($C3106="","",IF($W3106="Yes",1,0))</f>
        <v/>
      </c>
      <c r="AN3106">
        <f>IF($AJ3106=1,IFERROR(IF(VALUE($C3106)&lt;100000000,VALUE($C3106),1000000000),IFERROR(IF(VALUE(MID($C3106,2,20))&lt;100000000,VALUE(MID($C3106,2,20)),1000000000),1000000000))+ROW()/100000,"")</f>
        <v/>
      </c>
    </row>
    <row r="3107">
      <c r="E3107" s="11" t="n"/>
      <c r="M3107" s="7">
        <f>IF($C3107="","",L3107*U3107/100)</f>
        <v/>
      </c>
      <c r="N3107" s="7" t="n"/>
      <c r="T3107" s="7" t="n"/>
      <c r="U3107" s="7">
        <f>IF($C3107="","",S3107*T3107)</f>
        <v/>
      </c>
      <c r="X3107">
        <f>IF($C3107="","",IF($AM3107=1,0,IF($AL3107=1,Settings!$C$6,Settings!$C$7))*100)</f>
        <v/>
      </c>
      <c r="AB3107" s="7" t="n"/>
      <c r="AE3107" s="11" t="n"/>
      <c r="AG3107" s="7">
        <f>IF($C3107="","",U3107*X3107/100)</f>
        <v/>
      </c>
      <c r="AH3107" s="7">
        <f>IF($C3107="","",U3107-AG3107)</f>
        <v/>
      </c>
      <c r="AI3107" s="7">
        <f>IF($C3107="","",AH3107-M3107)</f>
        <v/>
      </c>
      <c r="AJ3107">
        <f>IF($C3107="","",IF(COUNTIF($C$2:$C3107,$C3107)=1,1,0))</f>
        <v/>
      </c>
      <c r="AK3107">
        <f>IF($AJ3107=1,SUMPRODUCT(--($AN$2:$AN$4001&lt;$AN3107))+1,"")</f>
        <v/>
      </c>
      <c r="AL3107">
        <f>IF($C3107="","",IF(OR($Q3107=TRUE(),$Q3107="TRUE"),1,0))</f>
        <v/>
      </c>
      <c r="AM3107">
        <f>IF($C3107="","",IF($W3107="Yes",1,0))</f>
        <v/>
      </c>
      <c r="AN3107">
        <f>IF($AJ3107=1,IFERROR(IF(VALUE($C3107)&lt;100000000,VALUE($C3107),1000000000),IFERROR(IF(VALUE(MID($C3107,2,20))&lt;100000000,VALUE(MID($C3107,2,20)),1000000000),1000000000))+ROW()/100000,"")</f>
        <v/>
      </c>
    </row>
    <row r="3108">
      <c r="E3108" s="11" t="n"/>
      <c r="M3108" s="7">
        <f>IF($C3108="","",L3108*U3108/100)</f>
        <v/>
      </c>
      <c r="N3108" s="7" t="n"/>
      <c r="T3108" s="7" t="n"/>
      <c r="U3108" s="7">
        <f>IF($C3108="","",S3108*T3108)</f>
        <v/>
      </c>
      <c r="X3108">
        <f>IF($C3108="","",IF($AM3108=1,0,IF($AL3108=1,Settings!$C$6,Settings!$C$7))*100)</f>
        <v/>
      </c>
      <c r="AB3108" s="7" t="n"/>
      <c r="AE3108" s="11" t="n"/>
      <c r="AG3108" s="7">
        <f>IF($C3108="","",U3108*X3108/100)</f>
        <v/>
      </c>
      <c r="AH3108" s="7">
        <f>IF($C3108="","",U3108-AG3108)</f>
        <v/>
      </c>
      <c r="AI3108" s="7">
        <f>IF($C3108="","",AH3108-M3108)</f>
        <v/>
      </c>
      <c r="AJ3108">
        <f>IF($C3108="","",IF(COUNTIF($C$2:$C3108,$C3108)=1,1,0))</f>
        <v/>
      </c>
      <c r="AK3108">
        <f>IF($AJ3108=1,SUMPRODUCT(--($AN$2:$AN$4001&lt;$AN3108))+1,"")</f>
        <v/>
      </c>
      <c r="AL3108">
        <f>IF($C3108="","",IF(OR($Q3108=TRUE(),$Q3108="TRUE"),1,0))</f>
        <v/>
      </c>
      <c r="AM3108">
        <f>IF($C3108="","",IF($W3108="Yes",1,0))</f>
        <v/>
      </c>
      <c r="AN3108">
        <f>IF($AJ3108=1,IFERROR(IF(VALUE($C3108)&lt;100000000,VALUE($C3108),1000000000),IFERROR(IF(VALUE(MID($C3108,2,20))&lt;100000000,VALUE(MID($C3108,2,20)),1000000000),1000000000))+ROW()/100000,"")</f>
        <v/>
      </c>
    </row>
    <row r="3109">
      <c r="E3109" s="11" t="n"/>
      <c r="M3109" s="7">
        <f>IF($C3109="","",L3109*U3109/100)</f>
        <v/>
      </c>
      <c r="N3109" s="7" t="n"/>
      <c r="T3109" s="7" t="n"/>
      <c r="U3109" s="7">
        <f>IF($C3109="","",S3109*T3109)</f>
        <v/>
      </c>
      <c r="X3109">
        <f>IF($C3109="","",IF($AM3109=1,0,IF($AL3109=1,Settings!$C$6,Settings!$C$7))*100)</f>
        <v/>
      </c>
      <c r="AB3109" s="7" t="n"/>
      <c r="AE3109" s="11" t="n"/>
      <c r="AG3109" s="7">
        <f>IF($C3109="","",U3109*X3109/100)</f>
        <v/>
      </c>
      <c r="AH3109" s="7">
        <f>IF($C3109="","",U3109-AG3109)</f>
        <v/>
      </c>
      <c r="AI3109" s="7">
        <f>IF($C3109="","",AH3109-M3109)</f>
        <v/>
      </c>
      <c r="AJ3109">
        <f>IF($C3109="","",IF(COUNTIF($C$2:$C3109,$C3109)=1,1,0))</f>
        <v/>
      </c>
      <c r="AK3109">
        <f>IF($AJ3109=1,SUMPRODUCT(--($AN$2:$AN$4001&lt;$AN3109))+1,"")</f>
        <v/>
      </c>
      <c r="AL3109">
        <f>IF($C3109="","",IF(OR($Q3109=TRUE(),$Q3109="TRUE"),1,0))</f>
        <v/>
      </c>
      <c r="AM3109">
        <f>IF($C3109="","",IF($W3109="Yes",1,0))</f>
        <v/>
      </c>
      <c r="AN3109">
        <f>IF($AJ3109=1,IFERROR(IF(VALUE($C3109)&lt;100000000,VALUE($C3109),1000000000),IFERROR(IF(VALUE(MID($C3109,2,20))&lt;100000000,VALUE(MID($C3109,2,20)),1000000000),1000000000))+ROW()/100000,"")</f>
        <v/>
      </c>
    </row>
    <row r="3110">
      <c r="E3110" s="11" t="n"/>
      <c r="M3110" s="7">
        <f>IF($C3110="","",L3110*U3110/100)</f>
        <v/>
      </c>
      <c r="N3110" s="7" t="n"/>
      <c r="T3110" s="7" t="n"/>
      <c r="U3110" s="7">
        <f>IF($C3110="","",S3110*T3110)</f>
        <v/>
      </c>
      <c r="X3110">
        <f>IF($C3110="","",IF($AM3110=1,0,IF($AL3110=1,Settings!$C$6,Settings!$C$7))*100)</f>
        <v/>
      </c>
      <c r="AB3110" s="7" t="n"/>
      <c r="AE3110" s="11" t="n"/>
      <c r="AG3110" s="7">
        <f>IF($C3110="","",U3110*X3110/100)</f>
        <v/>
      </c>
      <c r="AH3110" s="7">
        <f>IF($C3110="","",U3110-AG3110)</f>
        <v/>
      </c>
      <c r="AI3110" s="7">
        <f>IF($C3110="","",AH3110-M3110)</f>
        <v/>
      </c>
      <c r="AJ3110">
        <f>IF($C3110="","",IF(COUNTIF($C$2:$C3110,$C3110)=1,1,0))</f>
        <v/>
      </c>
      <c r="AK3110">
        <f>IF($AJ3110=1,SUMPRODUCT(--($AN$2:$AN$4001&lt;$AN3110))+1,"")</f>
        <v/>
      </c>
      <c r="AL3110">
        <f>IF($C3110="","",IF(OR($Q3110=TRUE(),$Q3110="TRUE"),1,0))</f>
        <v/>
      </c>
      <c r="AM3110">
        <f>IF($C3110="","",IF($W3110="Yes",1,0))</f>
        <v/>
      </c>
      <c r="AN3110">
        <f>IF($AJ3110=1,IFERROR(IF(VALUE($C3110)&lt;100000000,VALUE($C3110),1000000000),IFERROR(IF(VALUE(MID($C3110,2,20))&lt;100000000,VALUE(MID($C3110,2,20)),1000000000),1000000000))+ROW()/100000,"")</f>
        <v/>
      </c>
    </row>
    <row r="3111">
      <c r="E3111" s="11" t="n"/>
      <c r="M3111" s="7">
        <f>IF($C3111="","",L3111*U3111/100)</f>
        <v/>
      </c>
      <c r="N3111" s="7" t="n"/>
      <c r="T3111" s="7" t="n"/>
      <c r="U3111" s="7">
        <f>IF($C3111="","",S3111*T3111)</f>
        <v/>
      </c>
      <c r="X3111">
        <f>IF($C3111="","",IF($AM3111=1,0,IF($AL3111=1,Settings!$C$6,Settings!$C$7))*100)</f>
        <v/>
      </c>
      <c r="AB3111" s="7" t="n"/>
      <c r="AE3111" s="11" t="n"/>
      <c r="AG3111" s="7">
        <f>IF($C3111="","",U3111*X3111/100)</f>
        <v/>
      </c>
      <c r="AH3111" s="7">
        <f>IF($C3111="","",U3111-AG3111)</f>
        <v/>
      </c>
      <c r="AI3111" s="7">
        <f>IF($C3111="","",AH3111-M3111)</f>
        <v/>
      </c>
      <c r="AJ3111">
        <f>IF($C3111="","",IF(COUNTIF($C$2:$C3111,$C3111)=1,1,0))</f>
        <v/>
      </c>
      <c r="AK3111">
        <f>IF($AJ3111=1,SUMPRODUCT(--($AN$2:$AN$4001&lt;$AN3111))+1,"")</f>
        <v/>
      </c>
      <c r="AL3111">
        <f>IF($C3111="","",IF(OR($Q3111=TRUE(),$Q3111="TRUE"),1,0))</f>
        <v/>
      </c>
      <c r="AM3111">
        <f>IF($C3111="","",IF($W3111="Yes",1,0))</f>
        <v/>
      </c>
      <c r="AN3111">
        <f>IF($AJ3111=1,IFERROR(IF(VALUE($C3111)&lt;100000000,VALUE($C3111),1000000000),IFERROR(IF(VALUE(MID($C3111,2,20))&lt;100000000,VALUE(MID($C3111,2,20)),1000000000),1000000000))+ROW()/100000,"")</f>
        <v/>
      </c>
    </row>
    <row r="3112">
      <c r="E3112" s="11" t="n"/>
      <c r="M3112" s="7">
        <f>IF($C3112="","",L3112*U3112/100)</f>
        <v/>
      </c>
      <c r="N3112" s="7" t="n"/>
      <c r="T3112" s="7" t="n"/>
      <c r="U3112" s="7">
        <f>IF($C3112="","",S3112*T3112)</f>
        <v/>
      </c>
      <c r="X3112">
        <f>IF($C3112="","",IF($AM3112=1,0,IF($AL3112=1,Settings!$C$6,Settings!$C$7))*100)</f>
        <v/>
      </c>
      <c r="AB3112" s="7" t="n"/>
      <c r="AE3112" s="11" t="n"/>
      <c r="AG3112" s="7">
        <f>IF($C3112="","",U3112*X3112/100)</f>
        <v/>
      </c>
      <c r="AH3112" s="7">
        <f>IF($C3112="","",U3112-AG3112)</f>
        <v/>
      </c>
      <c r="AI3112" s="7">
        <f>IF($C3112="","",AH3112-M3112)</f>
        <v/>
      </c>
      <c r="AJ3112">
        <f>IF($C3112="","",IF(COUNTIF($C$2:$C3112,$C3112)=1,1,0))</f>
        <v/>
      </c>
      <c r="AK3112">
        <f>IF($AJ3112=1,SUMPRODUCT(--($AN$2:$AN$4001&lt;$AN3112))+1,"")</f>
        <v/>
      </c>
      <c r="AL3112">
        <f>IF($C3112="","",IF(OR($Q3112=TRUE(),$Q3112="TRUE"),1,0))</f>
        <v/>
      </c>
      <c r="AM3112">
        <f>IF($C3112="","",IF($W3112="Yes",1,0))</f>
        <v/>
      </c>
      <c r="AN3112">
        <f>IF($AJ3112=1,IFERROR(IF(VALUE($C3112)&lt;100000000,VALUE($C3112),1000000000),IFERROR(IF(VALUE(MID($C3112,2,20))&lt;100000000,VALUE(MID($C3112,2,20)),1000000000),1000000000))+ROW()/100000,"")</f>
        <v/>
      </c>
    </row>
    <row r="3113">
      <c r="E3113" s="11" t="n"/>
      <c r="M3113" s="7">
        <f>IF($C3113="","",L3113*U3113/100)</f>
        <v/>
      </c>
      <c r="N3113" s="7" t="n"/>
      <c r="T3113" s="7" t="n"/>
      <c r="U3113" s="7">
        <f>IF($C3113="","",S3113*T3113)</f>
        <v/>
      </c>
      <c r="X3113">
        <f>IF($C3113="","",IF($AM3113=1,0,IF($AL3113=1,Settings!$C$6,Settings!$C$7))*100)</f>
        <v/>
      </c>
      <c r="AB3113" s="7" t="n"/>
      <c r="AE3113" s="11" t="n"/>
      <c r="AG3113" s="7">
        <f>IF($C3113="","",U3113*X3113/100)</f>
        <v/>
      </c>
      <c r="AH3113" s="7">
        <f>IF($C3113="","",U3113-AG3113)</f>
        <v/>
      </c>
      <c r="AI3113" s="7">
        <f>IF($C3113="","",AH3113-M3113)</f>
        <v/>
      </c>
      <c r="AJ3113">
        <f>IF($C3113="","",IF(COUNTIF($C$2:$C3113,$C3113)=1,1,0))</f>
        <v/>
      </c>
      <c r="AK3113">
        <f>IF($AJ3113=1,SUMPRODUCT(--($AN$2:$AN$4001&lt;$AN3113))+1,"")</f>
        <v/>
      </c>
      <c r="AL3113">
        <f>IF($C3113="","",IF(OR($Q3113=TRUE(),$Q3113="TRUE"),1,0))</f>
        <v/>
      </c>
      <c r="AM3113">
        <f>IF($C3113="","",IF($W3113="Yes",1,0))</f>
        <v/>
      </c>
      <c r="AN3113">
        <f>IF($AJ3113=1,IFERROR(IF(VALUE($C3113)&lt;100000000,VALUE($C3113),1000000000),IFERROR(IF(VALUE(MID($C3113,2,20))&lt;100000000,VALUE(MID($C3113,2,20)),1000000000),1000000000))+ROW()/100000,"")</f>
        <v/>
      </c>
    </row>
    <row r="3114">
      <c r="E3114" s="11" t="n"/>
      <c r="M3114" s="7">
        <f>IF($C3114="","",L3114*U3114/100)</f>
        <v/>
      </c>
      <c r="N3114" s="7" t="n"/>
      <c r="T3114" s="7" t="n"/>
      <c r="U3114" s="7">
        <f>IF($C3114="","",S3114*T3114)</f>
        <v/>
      </c>
      <c r="X3114">
        <f>IF($C3114="","",IF($AM3114=1,0,IF($AL3114=1,Settings!$C$6,Settings!$C$7))*100)</f>
        <v/>
      </c>
      <c r="AB3114" s="7" t="n"/>
      <c r="AE3114" s="11" t="n"/>
      <c r="AG3114" s="7">
        <f>IF($C3114="","",U3114*X3114/100)</f>
        <v/>
      </c>
      <c r="AH3114" s="7">
        <f>IF($C3114="","",U3114-AG3114)</f>
        <v/>
      </c>
      <c r="AI3114" s="7">
        <f>IF($C3114="","",AH3114-M3114)</f>
        <v/>
      </c>
      <c r="AJ3114">
        <f>IF($C3114="","",IF(COUNTIF($C$2:$C3114,$C3114)=1,1,0))</f>
        <v/>
      </c>
      <c r="AK3114">
        <f>IF($AJ3114=1,SUMPRODUCT(--($AN$2:$AN$4001&lt;$AN3114))+1,"")</f>
        <v/>
      </c>
      <c r="AL3114">
        <f>IF($C3114="","",IF(OR($Q3114=TRUE(),$Q3114="TRUE"),1,0))</f>
        <v/>
      </c>
      <c r="AM3114">
        <f>IF($C3114="","",IF($W3114="Yes",1,0))</f>
        <v/>
      </c>
      <c r="AN3114">
        <f>IF($AJ3114=1,IFERROR(IF(VALUE($C3114)&lt;100000000,VALUE($C3114),1000000000),IFERROR(IF(VALUE(MID($C3114,2,20))&lt;100000000,VALUE(MID($C3114,2,20)),1000000000),1000000000))+ROW()/100000,"")</f>
        <v/>
      </c>
    </row>
    <row r="3115">
      <c r="E3115" s="11" t="n"/>
      <c r="M3115" s="7">
        <f>IF($C3115="","",L3115*U3115/100)</f>
        <v/>
      </c>
      <c r="N3115" s="7" t="n"/>
      <c r="T3115" s="7" t="n"/>
      <c r="U3115" s="7">
        <f>IF($C3115="","",S3115*T3115)</f>
        <v/>
      </c>
      <c r="X3115">
        <f>IF($C3115="","",IF($AM3115=1,0,IF($AL3115=1,Settings!$C$6,Settings!$C$7))*100)</f>
        <v/>
      </c>
      <c r="AB3115" s="7" t="n"/>
      <c r="AE3115" s="11" t="n"/>
      <c r="AG3115" s="7">
        <f>IF($C3115="","",U3115*X3115/100)</f>
        <v/>
      </c>
      <c r="AH3115" s="7">
        <f>IF($C3115="","",U3115-AG3115)</f>
        <v/>
      </c>
      <c r="AI3115" s="7">
        <f>IF($C3115="","",AH3115-M3115)</f>
        <v/>
      </c>
      <c r="AJ3115">
        <f>IF($C3115="","",IF(COUNTIF($C$2:$C3115,$C3115)=1,1,0))</f>
        <v/>
      </c>
      <c r="AK3115">
        <f>IF($AJ3115=1,SUMPRODUCT(--($AN$2:$AN$4001&lt;$AN3115))+1,"")</f>
        <v/>
      </c>
      <c r="AL3115">
        <f>IF($C3115="","",IF(OR($Q3115=TRUE(),$Q3115="TRUE"),1,0))</f>
        <v/>
      </c>
      <c r="AM3115">
        <f>IF($C3115="","",IF($W3115="Yes",1,0))</f>
        <v/>
      </c>
      <c r="AN3115">
        <f>IF($AJ3115=1,IFERROR(IF(VALUE($C3115)&lt;100000000,VALUE($C3115),1000000000),IFERROR(IF(VALUE(MID($C3115,2,20))&lt;100000000,VALUE(MID($C3115,2,20)),1000000000),1000000000))+ROW()/100000,"")</f>
        <v/>
      </c>
    </row>
    <row r="3116">
      <c r="E3116" s="11" t="n"/>
      <c r="M3116" s="7">
        <f>IF($C3116="","",L3116*U3116/100)</f>
        <v/>
      </c>
      <c r="N3116" s="7" t="n"/>
      <c r="T3116" s="7" t="n"/>
      <c r="U3116" s="7">
        <f>IF($C3116="","",S3116*T3116)</f>
        <v/>
      </c>
      <c r="X3116">
        <f>IF($C3116="","",IF($AM3116=1,0,IF($AL3116=1,Settings!$C$6,Settings!$C$7))*100)</f>
        <v/>
      </c>
      <c r="AB3116" s="7" t="n"/>
      <c r="AE3116" s="11" t="n"/>
      <c r="AG3116" s="7">
        <f>IF($C3116="","",U3116*X3116/100)</f>
        <v/>
      </c>
      <c r="AH3116" s="7">
        <f>IF($C3116="","",U3116-AG3116)</f>
        <v/>
      </c>
      <c r="AI3116" s="7">
        <f>IF($C3116="","",AH3116-M3116)</f>
        <v/>
      </c>
      <c r="AJ3116">
        <f>IF($C3116="","",IF(COUNTIF($C$2:$C3116,$C3116)=1,1,0))</f>
        <v/>
      </c>
      <c r="AK3116">
        <f>IF($AJ3116=1,SUMPRODUCT(--($AN$2:$AN$4001&lt;$AN3116))+1,"")</f>
        <v/>
      </c>
      <c r="AL3116">
        <f>IF($C3116="","",IF(OR($Q3116=TRUE(),$Q3116="TRUE"),1,0))</f>
        <v/>
      </c>
      <c r="AM3116">
        <f>IF($C3116="","",IF($W3116="Yes",1,0))</f>
        <v/>
      </c>
      <c r="AN3116">
        <f>IF($AJ3116=1,IFERROR(IF(VALUE($C3116)&lt;100000000,VALUE($C3116),1000000000),IFERROR(IF(VALUE(MID($C3116,2,20))&lt;100000000,VALUE(MID($C3116,2,20)),1000000000),1000000000))+ROW()/100000,"")</f>
        <v/>
      </c>
    </row>
    <row r="3117">
      <c r="E3117" s="11" t="n"/>
      <c r="M3117" s="7">
        <f>IF($C3117="","",L3117*U3117/100)</f>
        <v/>
      </c>
      <c r="N3117" s="7" t="n"/>
      <c r="T3117" s="7" t="n"/>
      <c r="U3117" s="7">
        <f>IF($C3117="","",S3117*T3117)</f>
        <v/>
      </c>
      <c r="X3117">
        <f>IF($C3117="","",IF($AM3117=1,0,IF($AL3117=1,Settings!$C$6,Settings!$C$7))*100)</f>
        <v/>
      </c>
      <c r="AB3117" s="7" t="n"/>
      <c r="AE3117" s="11" t="n"/>
      <c r="AG3117" s="7">
        <f>IF($C3117="","",U3117*X3117/100)</f>
        <v/>
      </c>
      <c r="AH3117" s="7">
        <f>IF($C3117="","",U3117-AG3117)</f>
        <v/>
      </c>
      <c r="AI3117" s="7">
        <f>IF($C3117="","",AH3117-M3117)</f>
        <v/>
      </c>
      <c r="AJ3117">
        <f>IF($C3117="","",IF(COUNTIF($C$2:$C3117,$C3117)=1,1,0))</f>
        <v/>
      </c>
      <c r="AK3117">
        <f>IF($AJ3117=1,SUMPRODUCT(--($AN$2:$AN$4001&lt;$AN3117))+1,"")</f>
        <v/>
      </c>
      <c r="AL3117">
        <f>IF($C3117="","",IF(OR($Q3117=TRUE(),$Q3117="TRUE"),1,0))</f>
        <v/>
      </c>
      <c r="AM3117">
        <f>IF($C3117="","",IF($W3117="Yes",1,0))</f>
        <v/>
      </c>
      <c r="AN3117">
        <f>IF($AJ3117=1,IFERROR(IF(VALUE($C3117)&lt;100000000,VALUE($C3117),1000000000),IFERROR(IF(VALUE(MID($C3117,2,20))&lt;100000000,VALUE(MID($C3117,2,20)),1000000000),1000000000))+ROW()/100000,"")</f>
        <v/>
      </c>
    </row>
    <row r="3118">
      <c r="E3118" s="11" t="n"/>
      <c r="M3118" s="7">
        <f>IF($C3118="","",L3118*U3118/100)</f>
        <v/>
      </c>
      <c r="N3118" s="7" t="n"/>
      <c r="T3118" s="7" t="n"/>
      <c r="U3118" s="7">
        <f>IF($C3118="","",S3118*T3118)</f>
        <v/>
      </c>
      <c r="X3118">
        <f>IF($C3118="","",IF($AM3118=1,0,IF($AL3118=1,Settings!$C$6,Settings!$C$7))*100)</f>
        <v/>
      </c>
      <c r="AB3118" s="7" t="n"/>
      <c r="AE3118" s="11" t="n"/>
      <c r="AG3118" s="7">
        <f>IF($C3118="","",U3118*X3118/100)</f>
        <v/>
      </c>
      <c r="AH3118" s="7">
        <f>IF($C3118="","",U3118-AG3118)</f>
        <v/>
      </c>
      <c r="AI3118" s="7">
        <f>IF($C3118="","",AH3118-M3118)</f>
        <v/>
      </c>
      <c r="AJ3118">
        <f>IF($C3118="","",IF(COUNTIF($C$2:$C3118,$C3118)=1,1,0))</f>
        <v/>
      </c>
      <c r="AK3118">
        <f>IF($AJ3118=1,SUMPRODUCT(--($AN$2:$AN$4001&lt;$AN3118))+1,"")</f>
        <v/>
      </c>
      <c r="AL3118">
        <f>IF($C3118="","",IF(OR($Q3118=TRUE(),$Q3118="TRUE"),1,0))</f>
        <v/>
      </c>
      <c r="AM3118">
        <f>IF($C3118="","",IF($W3118="Yes",1,0))</f>
        <v/>
      </c>
      <c r="AN3118">
        <f>IF($AJ3118=1,IFERROR(IF(VALUE($C3118)&lt;100000000,VALUE($C3118),1000000000),IFERROR(IF(VALUE(MID($C3118,2,20))&lt;100000000,VALUE(MID($C3118,2,20)),1000000000),1000000000))+ROW()/100000,"")</f>
        <v/>
      </c>
    </row>
    <row r="3119">
      <c r="E3119" s="11" t="n"/>
      <c r="M3119" s="7">
        <f>IF($C3119="","",L3119*U3119/100)</f>
        <v/>
      </c>
      <c r="N3119" s="7" t="n"/>
      <c r="T3119" s="7" t="n"/>
      <c r="U3119" s="7">
        <f>IF($C3119="","",S3119*T3119)</f>
        <v/>
      </c>
      <c r="X3119">
        <f>IF($C3119="","",IF($AM3119=1,0,IF($AL3119=1,Settings!$C$6,Settings!$C$7))*100)</f>
        <v/>
      </c>
      <c r="AB3119" s="7" t="n"/>
      <c r="AE3119" s="11" t="n"/>
      <c r="AG3119" s="7">
        <f>IF($C3119="","",U3119*X3119/100)</f>
        <v/>
      </c>
      <c r="AH3119" s="7">
        <f>IF($C3119="","",U3119-AG3119)</f>
        <v/>
      </c>
      <c r="AI3119" s="7">
        <f>IF($C3119="","",AH3119-M3119)</f>
        <v/>
      </c>
      <c r="AJ3119">
        <f>IF($C3119="","",IF(COUNTIF($C$2:$C3119,$C3119)=1,1,0))</f>
        <v/>
      </c>
      <c r="AK3119">
        <f>IF($AJ3119=1,SUMPRODUCT(--($AN$2:$AN$4001&lt;$AN3119))+1,"")</f>
        <v/>
      </c>
      <c r="AL3119">
        <f>IF($C3119="","",IF(OR($Q3119=TRUE(),$Q3119="TRUE"),1,0))</f>
        <v/>
      </c>
      <c r="AM3119">
        <f>IF($C3119="","",IF($W3119="Yes",1,0))</f>
        <v/>
      </c>
      <c r="AN3119">
        <f>IF($AJ3119=1,IFERROR(IF(VALUE($C3119)&lt;100000000,VALUE($C3119),1000000000),IFERROR(IF(VALUE(MID($C3119,2,20))&lt;100000000,VALUE(MID($C3119,2,20)),1000000000),1000000000))+ROW()/100000,"")</f>
        <v/>
      </c>
    </row>
    <row r="3120">
      <c r="E3120" s="11" t="n"/>
      <c r="M3120" s="7">
        <f>IF($C3120="","",L3120*U3120/100)</f>
        <v/>
      </c>
      <c r="N3120" s="7" t="n"/>
      <c r="T3120" s="7" t="n"/>
      <c r="U3120" s="7">
        <f>IF($C3120="","",S3120*T3120)</f>
        <v/>
      </c>
      <c r="X3120">
        <f>IF($C3120="","",IF($AM3120=1,0,IF($AL3120=1,Settings!$C$6,Settings!$C$7))*100)</f>
        <v/>
      </c>
      <c r="AB3120" s="7" t="n"/>
      <c r="AE3120" s="11" t="n"/>
      <c r="AG3120" s="7">
        <f>IF($C3120="","",U3120*X3120/100)</f>
        <v/>
      </c>
      <c r="AH3120" s="7">
        <f>IF($C3120="","",U3120-AG3120)</f>
        <v/>
      </c>
      <c r="AI3120" s="7">
        <f>IF($C3120="","",AH3120-M3120)</f>
        <v/>
      </c>
      <c r="AJ3120">
        <f>IF($C3120="","",IF(COUNTIF($C$2:$C3120,$C3120)=1,1,0))</f>
        <v/>
      </c>
      <c r="AK3120">
        <f>IF($AJ3120=1,SUMPRODUCT(--($AN$2:$AN$4001&lt;$AN3120))+1,"")</f>
        <v/>
      </c>
      <c r="AL3120">
        <f>IF($C3120="","",IF(OR($Q3120=TRUE(),$Q3120="TRUE"),1,0))</f>
        <v/>
      </c>
      <c r="AM3120">
        <f>IF($C3120="","",IF($W3120="Yes",1,0))</f>
        <v/>
      </c>
      <c r="AN3120">
        <f>IF($AJ3120=1,IFERROR(IF(VALUE($C3120)&lt;100000000,VALUE($C3120),1000000000),IFERROR(IF(VALUE(MID($C3120,2,20))&lt;100000000,VALUE(MID($C3120,2,20)),1000000000),1000000000))+ROW()/100000,"")</f>
        <v/>
      </c>
    </row>
    <row r="3121">
      <c r="E3121" s="11" t="n"/>
      <c r="M3121" s="7">
        <f>IF($C3121="","",L3121*U3121/100)</f>
        <v/>
      </c>
      <c r="N3121" s="7" t="n"/>
      <c r="T3121" s="7" t="n"/>
      <c r="U3121" s="7">
        <f>IF($C3121="","",S3121*T3121)</f>
        <v/>
      </c>
      <c r="X3121">
        <f>IF($C3121="","",IF($AM3121=1,0,IF($AL3121=1,Settings!$C$6,Settings!$C$7))*100)</f>
        <v/>
      </c>
      <c r="AB3121" s="7" t="n"/>
      <c r="AE3121" s="11" t="n"/>
      <c r="AG3121" s="7">
        <f>IF($C3121="","",U3121*X3121/100)</f>
        <v/>
      </c>
      <c r="AH3121" s="7">
        <f>IF($C3121="","",U3121-AG3121)</f>
        <v/>
      </c>
      <c r="AI3121" s="7">
        <f>IF($C3121="","",AH3121-M3121)</f>
        <v/>
      </c>
      <c r="AJ3121">
        <f>IF($C3121="","",IF(COUNTIF($C$2:$C3121,$C3121)=1,1,0))</f>
        <v/>
      </c>
      <c r="AK3121">
        <f>IF($AJ3121=1,SUMPRODUCT(--($AN$2:$AN$4001&lt;$AN3121))+1,"")</f>
        <v/>
      </c>
      <c r="AL3121">
        <f>IF($C3121="","",IF(OR($Q3121=TRUE(),$Q3121="TRUE"),1,0))</f>
        <v/>
      </c>
      <c r="AM3121">
        <f>IF($C3121="","",IF($W3121="Yes",1,0))</f>
        <v/>
      </c>
      <c r="AN3121">
        <f>IF($AJ3121=1,IFERROR(IF(VALUE($C3121)&lt;100000000,VALUE($C3121),1000000000),IFERROR(IF(VALUE(MID($C3121,2,20))&lt;100000000,VALUE(MID($C3121,2,20)),1000000000),1000000000))+ROW()/100000,"")</f>
        <v/>
      </c>
    </row>
    <row r="3122">
      <c r="E3122" s="11" t="n"/>
      <c r="M3122" s="7">
        <f>IF($C3122="","",L3122*U3122/100)</f>
        <v/>
      </c>
      <c r="N3122" s="7" t="n"/>
      <c r="T3122" s="7" t="n"/>
      <c r="U3122" s="7">
        <f>IF($C3122="","",S3122*T3122)</f>
        <v/>
      </c>
      <c r="X3122">
        <f>IF($C3122="","",IF($AM3122=1,0,IF($AL3122=1,Settings!$C$6,Settings!$C$7))*100)</f>
        <v/>
      </c>
      <c r="AB3122" s="7" t="n"/>
      <c r="AE3122" s="11" t="n"/>
      <c r="AG3122" s="7">
        <f>IF($C3122="","",U3122*X3122/100)</f>
        <v/>
      </c>
      <c r="AH3122" s="7">
        <f>IF($C3122="","",U3122-AG3122)</f>
        <v/>
      </c>
      <c r="AI3122" s="7">
        <f>IF($C3122="","",AH3122-M3122)</f>
        <v/>
      </c>
      <c r="AJ3122">
        <f>IF($C3122="","",IF(COUNTIF($C$2:$C3122,$C3122)=1,1,0))</f>
        <v/>
      </c>
      <c r="AK3122">
        <f>IF($AJ3122=1,SUMPRODUCT(--($AN$2:$AN$4001&lt;$AN3122))+1,"")</f>
        <v/>
      </c>
      <c r="AL3122">
        <f>IF($C3122="","",IF(OR($Q3122=TRUE(),$Q3122="TRUE"),1,0))</f>
        <v/>
      </c>
      <c r="AM3122">
        <f>IF($C3122="","",IF($W3122="Yes",1,0))</f>
        <v/>
      </c>
      <c r="AN3122">
        <f>IF($AJ3122=1,IFERROR(IF(VALUE($C3122)&lt;100000000,VALUE($C3122),1000000000),IFERROR(IF(VALUE(MID($C3122,2,20))&lt;100000000,VALUE(MID($C3122,2,20)),1000000000),1000000000))+ROW()/100000,"")</f>
        <v/>
      </c>
    </row>
    <row r="3123">
      <c r="E3123" s="11" t="n"/>
      <c r="M3123" s="7">
        <f>IF($C3123="","",L3123*U3123/100)</f>
        <v/>
      </c>
      <c r="N3123" s="7" t="n"/>
      <c r="T3123" s="7" t="n"/>
      <c r="U3123" s="7">
        <f>IF($C3123="","",S3123*T3123)</f>
        <v/>
      </c>
      <c r="X3123">
        <f>IF($C3123="","",IF($AM3123=1,0,IF($AL3123=1,Settings!$C$6,Settings!$C$7))*100)</f>
        <v/>
      </c>
      <c r="AB3123" s="7" t="n"/>
      <c r="AE3123" s="11" t="n"/>
      <c r="AG3123" s="7">
        <f>IF($C3123="","",U3123*X3123/100)</f>
        <v/>
      </c>
      <c r="AH3123" s="7">
        <f>IF($C3123="","",U3123-AG3123)</f>
        <v/>
      </c>
      <c r="AI3123" s="7">
        <f>IF($C3123="","",AH3123-M3123)</f>
        <v/>
      </c>
      <c r="AJ3123">
        <f>IF($C3123="","",IF(COUNTIF($C$2:$C3123,$C3123)=1,1,0))</f>
        <v/>
      </c>
      <c r="AK3123">
        <f>IF($AJ3123=1,SUMPRODUCT(--($AN$2:$AN$4001&lt;$AN3123))+1,"")</f>
        <v/>
      </c>
      <c r="AL3123">
        <f>IF($C3123="","",IF(OR($Q3123=TRUE(),$Q3123="TRUE"),1,0))</f>
        <v/>
      </c>
      <c r="AM3123">
        <f>IF($C3123="","",IF($W3123="Yes",1,0))</f>
        <v/>
      </c>
      <c r="AN3123">
        <f>IF($AJ3123=1,IFERROR(IF(VALUE($C3123)&lt;100000000,VALUE($C3123),1000000000),IFERROR(IF(VALUE(MID($C3123,2,20))&lt;100000000,VALUE(MID($C3123,2,20)),1000000000),1000000000))+ROW()/100000,"")</f>
        <v/>
      </c>
    </row>
    <row r="3124">
      <c r="E3124" s="11" t="n"/>
      <c r="M3124" s="7">
        <f>IF($C3124="","",L3124*U3124/100)</f>
        <v/>
      </c>
      <c r="N3124" s="7" t="n"/>
      <c r="T3124" s="7" t="n"/>
      <c r="U3124" s="7">
        <f>IF($C3124="","",S3124*T3124)</f>
        <v/>
      </c>
      <c r="X3124">
        <f>IF($C3124="","",IF($AM3124=1,0,IF($AL3124=1,Settings!$C$6,Settings!$C$7))*100)</f>
        <v/>
      </c>
      <c r="AB3124" s="7" t="n"/>
      <c r="AE3124" s="11" t="n"/>
      <c r="AG3124" s="7">
        <f>IF($C3124="","",U3124*X3124/100)</f>
        <v/>
      </c>
      <c r="AH3124" s="7">
        <f>IF($C3124="","",U3124-AG3124)</f>
        <v/>
      </c>
      <c r="AI3124" s="7">
        <f>IF($C3124="","",AH3124-M3124)</f>
        <v/>
      </c>
      <c r="AJ3124">
        <f>IF($C3124="","",IF(COUNTIF($C$2:$C3124,$C3124)=1,1,0))</f>
        <v/>
      </c>
      <c r="AK3124">
        <f>IF($AJ3124=1,SUMPRODUCT(--($AN$2:$AN$4001&lt;$AN3124))+1,"")</f>
        <v/>
      </c>
      <c r="AL3124">
        <f>IF($C3124="","",IF(OR($Q3124=TRUE(),$Q3124="TRUE"),1,0))</f>
        <v/>
      </c>
      <c r="AM3124">
        <f>IF($C3124="","",IF($W3124="Yes",1,0))</f>
        <v/>
      </c>
      <c r="AN3124">
        <f>IF($AJ3124=1,IFERROR(IF(VALUE($C3124)&lt;100000000,VALUE($C3124),1000000000),IFERROR(IF(VALUE(MID($C3124,2,20))&lt;100000000,VALUE(MID($C3124,2,20)),1000000000),1000000000))+ROW()/100000,"")</f>
        <v/>
      </c>
    </row>
    <row r="3125">
      <c r="E3125" s="11" t="n"/>
      <c r="M3125" s="7">
        <f>IF($C3125="","",L3125*U3125/100)</f>
        <v/>
      </c>
      <c r="N3125" s="7" t="n"/>
      <c r="T3125" s="7" t="n"/>
      <c r="U3125" s="7">
        <f>IF($C3125="","",S3125*T3125)</f>
        <v/>
      </c>
      <c r="X3125">
        <f>IF($C3125="","",IF($AM3125=1,0,IF($AL3125=1,Settings!$C$6,Settings!$C$7))*100)</f>
        <v/>
      </c>
      <c r="AB3125" s="7" t="n"/>
      <c r="AE3125" s="11" t="n"/>
      <c r="AG3125" s="7">
        <f>IF($C3125="","",U3125*X3125/100)</f>
        <v/>
      </c>
      <c r="AH3125" s="7">
        <f>IF($C3125="","",U3125-AG3125)</f>
        <v/>
      </c>
      <c r="AI3125" s="7">
        <f>IF($C3125="","",AH3125-M3125)</f>
        <v/>
      </c>
      <c r="AJ3125">
        <f>IF($C3125="","",IF(COUNTIF($C$2:$C3125,$C3125)=1,1,0))</f>
        <v/>
      </c>
      <c r="AK3125">
        <f>IF($AJ3125=1,SUMPRODUCT(--($AN$2:$AN$4001&lt;$AN3125))+1,"")</f>
        <v/>
      </c>
      <c r="AL3125">
        <f>IF($C3125="","",IF(OR($Q3125=TRUE(),$Q3125="TRUE"),1,0))</f>
        <v/>
      </c>
      <c r="AM3125">
        <f>IF($C3125="","",IF($W3125="Yes",1,0))</f>
        <v/>
      </c>
      <c r="AN3125">
        <f>IF($AJ3125=1,IFERROR(IF(VALUE($C3125)&lt;100000000,VALUE($C3125),1000000000),IFERROR(IF(VALUE(MID($C3125,2,20))&lt;100000000,VALUE(MID($C3125,2,20)),1000000000),1000000000))+ROW()/100000,"")</f>
        <v/>
      </c>
    </row>
    <row r="3126">
      <c r="E3126" s="11" t="n"/>
      <c r="M3126" s="7">
        <f>IF($C3126="","",L3126*U3126/100)</f>
        <v/>
      </c>
      <c r="N3126" s="7" t="n"/>
      <c r="T3126" s="7" t="n"/>
      <c r="U3126" s="7">
        <f>IF($C3126="","",S3126*T3126)</f>
        <v/>
      </c>
      <c r="X3126">
        <f>IF($C3126="","",IF($AM3126=1,0,IF($AL3126=1,Settings!$C$6,Settings!$C$7))*100)</f>
        <v/>
      </c>
      <c r="AB3126" s="7" t="n"/>
      <c r="AE3126" s="11" t="n"/>
      <c r="AG3126" s="7">
        <f>IF($C3126="","",U3126*X3126/100)</f>
        <v/>
      </c>
      <c r="AH3126" s="7">
        <f>IF($C3126="","",U3126-AG3126)</f>
        <v/>
      </c>
      <c r="AI3126" s="7">
        <f>IF($C3126="","",AH3126-M3126)</f>
        <v/>
      </c>
      <c r="AJ3126">
        <f>IF($C3126="","",IF(COUNTIF($C$2:$C3126,$C3126)=1,1,0))</f>
        <v/>
      </c>
      <c r="AK3126">
        <f>IF($AJ3126=1,SUMPRODUCT(--($AN$2:$AN$4001&lt;$AN3126))+1,"")</f>
        <v/>
      </c>
      <c r="AL3126">
        <f>IF($C3126="","",IF(OR($Q3126=TRUE(),$Q3126="TRUE"),1,0))</f>
        <v/>
      </c>
      <c r="AM3126">
        <f>IF($C3126="","",IF($W3126="Yes",1,0))</f>
        <v/>
      </c>
      <c r="AN3126">
        <f>IF($AJ3126=1,IFERROR(IF(VALUE($C3126)&lt;100000000,VALUE($C3126),1000000000),IFERROR(IF(VALUE(MID($C3126,2,20))&lt;100000000,VALUE(MID($C3126,2,20)),1000000000),1000000000))+ROW()/100000,"")</f>
        <v/>
      </c>
    </row>
    <row r="3127">
      <c r="E3127" s="11" t="n"/>
      <c r="M3127" s="7">
        <f>IF($C3127="","",L3127*U3127/100)</f>
        <v/>
      </c>
      <c r="N3127" s="7" t="n"/>
      <c r="T3127" s="7" t="n"/>
      <c r="U3127" s="7">
        <f>IF($C3127="","",S3127*T3127)</f>
        <v/>
      </c>
      <c r="X3127">
        <f>IF($C3127="","",IF($AM3127=1,0,IF($AL3127=1,Settings!$C$6,Settings!$C$7))*100)</f>
        <v/>
      </c>
      <c r="AB3127" s="7" t="n"/>
      <c r="AE3127" s="11" t="n"/>
      <c r="AG3127" s="7">
        <f>IF($C3127="","",U3127*X3127/100)</f>
        <v/>
      </c>
      <c r="AH3127" s="7">
        <f>IF($C3127="","",U3127-AG3127)</f>
        <v/>
      </c>
      <c r="AI3127" s="7">
        <f>IF($C3127="","",AH3127-M3127)</f>
        <v/>
      </c>
      <c r="AJ3127">
        <f>IF($C3127="","",IF(COUNTIF($C$2:$C3127,$C3127)=1,1,0))</f>
        <v/>
      </c>
      <c r="AK3127">
        <f>IF($AJ3127=1,SUMPRODUCT(--($AN$2:$AN$4001&lt;$AN3127))+1,"")</f>
        <v/>
      </c>
      <c r="AL3127">
        <f>IF($C3127="","",IF(OR($Q3127=TRUE(),$Q3127="TRUE"),1,0))</f>
        <v/>
      </c>
      <c r="AM3127">
        <f>IF($C3127="","",IF($W3127="Yes",1,0))</f>
        <v/>
      </c>
      <c r="AN3127">
        <f>IF($AJ3127=1,IFERROR(IF(VALUE($C3127)&lt;100000000,VALUE($C3127),1000000000),IFERROR(IF(VALUE(MID($C3127,2,20))&lt;100000000,VALUE(MID($C3127,2,20)),1000000000),1000000000))+ROW()/100000,"")</f>
        <v/>
      </c>
    </row>
    <row r="3128">
      <c r="E3128" s="11" t="n"/>
      <c r="M3128" s="7">
        <f>IF($C3128="","",L3128*U3128/100)</f>
        <v/>
      </c>
      <c r="N3128" s="7" t="n"/>
      <c r="T3128" s="7" t="n"/>
      <c r="U3128" s="7">
        <f>IF($C3128="","",S3128*T3128)</f>
        <v/>
      </c>
      <c r="X3128">
        <f>IF($C3128="","",IF($AM3128=1,0,IF($AL3128=1,Settings!$C$6,Settings!$C$7))*100)</f>
        <v/>
      </c>
      <c r="AB3128" s="7" t="n"/>
      <c r="AE3128" s="11" t="n"/>
      <c r="AG3128" s="7">
        <f>IF($C3128="","",U3128*X3128/100)</f>
        <v/>
      </c>
      <c r="AH3128" s="7">
        <f>IF($C3128="","",U3128-AG3128)</f>
        <v/>
      </c>
      <c r="AI3128" s="7">
        <f>IF($C3128="","",AH3128-M3128)</f>
        <v/>
      </c>
      <c r="AJ3128">
        <f>IF($C3128="","",IF(COUNTIF($C$2:$C3128,$C3128)=1,1,0))</f>
        <v/>
      </c>
      <c r="AK3128">
        <f>IF($AJ3128=1,SUMPRODUCT(--($AN$2:$AN$4001&lt;$AN3128))+1,"")</f>
        <v/>
      </c>
      <c r="AL3128">
        <f>IF($C3128="","",IF(OR($Q3128=TRUE(),$Q3128="TRUE"),1,0))</f>
        <v/>
      </c>
      <c r="AM3128">
        <f>IF($C3128="","",IF($W3128="Yes",1,0))</f>
        <v/>
      </c>
      <c r="AN3128">
        <f>IF($AJ3128=1,IFERROR(IF(VALUE($C3128)&lt;100000000,VALUE($C3128),1000000000),IFERROR(IF(VALUE(MID($C3128,2,20))&lt;100000000,VALUE(MID($C3128,2,20)),1000000000),1000000000))+ROW()/100000,"")</f>
        <v/>
      </c>
    </row>
    <row r="3129">
      <c r="E3129" s="11" t="n"/>
      <c r="M3129" s="7">
        <f>IF($C3129="","",L3129*U3129/100)</f>
        <v/>
      </c>
      <c r="N3129" s="7" t="n"/>
      <c r="T3129" s="7" t="n"/>
      <c r="U3129" s="7">
        <f>IF($C3129="","",S3129*T3129)</f>
        <v/>
      </c>
      <c r="X3129">
        <f>IF($C3129="","",IF($AM3129=1,0,IF($AL3129=1,Settings!$C$6,Settings!$C$7))*100)</f>
        <v/>
      </c>
      <c r="AB3129" s="7" t="n"/>
      <c r="AE3129" s="11" t="n"/>
      <c r="AG3129" s="7">
        <f>IF($C3129="","",U3129*X3129/100)</f>
        <v/>
      </c>
      <c r="AH3129" s="7">
        <f>IF($C3129="","",U3129-AG3129)</f>
        <v/>
      </c>
      <c r="AI3129" s="7">
        <f>IF($C3129="","",AH3129-M3129)</f>
        <v/>
      </c>
      <c r="AJ3129">
        <f>IF($C3129="","",IF(COUNTIF($C$2:$C3129,$C3129)=1,1,0))</f>
        <v/>
      </c>
      <c r="AK3129">
        <f>IF($AJ3129=1,SUMPRODUCT(--($AN$2:$AN$4001&lt;$AN3129))+1,"")</f>
        <v/>
      </c>
      <c r="AL3129">
        <f>IF($C3129="","",IF(OR($Q3129=TRUE(),$Q3129="TRUE"),1,0))</f>
        <v/>
      </c>
      <c r="AM3129">
        <f>IF($C3129="","",IF($W3129="Yes",1,0))</f>
        <v/>
      </c>
      <c r="AN3129">
        <f>IF($AJ3129=1,IFERROR(IF(VALUE($C3129)&lt;100000000,VALUE($C3129),1000000000),IFERROR(IF(VALUE(MID($C3129,2,20))&lt;100000000,VALUE(MID($C3129,2,20)),1000000000),1000000000))+ROW()/100000,"")</f>
        <v/>
      </c>
    </row>
    <row r="3130">
      <c r="E3130" s="11" t="n"/>
      <c r="M3130" s="7">
        <f>IF($C3130="","",L3130*U3130/100)</f>
        <v/>
      </c>
      <c r="N3130" s="7" t="n"/>
      <c r="T3130" s="7" t="n"/>
      <c r="U3130" s="7">
        <f>IF($C3130="","",S3130*T3130)</f>
        <v/>
      </c>
      <c r="X3130">
        <f>IF($C3130="","",IF($AM3130=1,0,IF($AL3130=1,Settings!$C$6,Settings!$C$7))*100)</f>
        <v/>
      </c>
      <c r="AB3130" s="7" t="n"/>
      <c r="AE3130" s="11" t="n"/>
      <c r="AG3130" s="7">
        <f>IF($C3130="","",U3130*X3130/100)</f>
        <v/>
      </c>
      <c r="AH3130" s="7">
        <f>IF($C3130="","",U3130-AG3130)</f>
        <v/>
      </c>
      <c r="AI3130" s="7">
        <f>IF($C3130="","",AH3130-M3130)</f>
        <v/>
      </c>
      <c r="AJ3130">
        <f>IF($C3130="","",IF(COUNTIF($C$2:$C3130,$C3130)=1,1,0))</f>
        <v/>
      </c>
      <c r="AK3130">
        <f>IF($AJ3130=1,SUMPRODUCT(--($AN$2:$AN$4001&lt;$AN3130))+1,"")</f>
        <v/>
      </c>
      <c r="AL3130">
        <f>IF($C3130="","",IF(OR($Q3130=TRUE(),$Q3130="TRUE"),1,0))</f>
        <v/>
      </c>
      <c r="AM3130">
        <f>IF($C3130="","",IF($W3130="Yes",1,0))</f>
        <v/>
      </c>
      <c r="AN3130">
        <f>IF($AJ3130=1,IFERROR(IF(VALUE($C3130)&lt;100000000,VALUE($C3130),1000000000),IFERROR(IF(VALUE(MID($C3130,2,20))&lt;100000000,VALUE(MID($C3130,2,20)),1000000000),1000000000))+ROW()/100000,"")</f>
        <v/>
      </c>
    </row>
    <row r="3131">
      <c r="E3131" s="11" t="n"/>
      <c r="M3131" s="7">
        <f>IF($C3131="","",L3131*U3131/100)</f>
        <v/>
      </c>
      <c r="N3131" s="7" t="n"/>
      <c r="T3131" s="7" t="n"/>
      <c r="U3131" s="7">
        <f>IF($C3131="","",S3131*T3131)</f>
        <v/>
      </c>
      <c r="X3131">
        <f>IF($C3131="","",IF($AM3131=1,0,IF($AL3131=1,Settings!$C$6,Settings!$C$7))*100)</f>
        <v/>
      </c>
      <c r="AB3131" s="7" t="n"/>
      <c r="AE3131" s="11" t="n"/>
      <c r="AG3131" s="7">
        <f>IF($C3131="","",U3131*X3131/100)</f>
        <v/>
      </c>
      <c r="AH3131" s="7">
        <f>IF($C3131="","",U3131-AG3131)</f>
        <v/>
      </c>
      <c r="AI3131" s="7">
        <f>IF($C3131="","",AH3131-M3131)</f>
        <v/>
      </c>
      <c r="AJ3131">
        <f>IF($C3131="","",IF(COUNTIF($C$2:$C3131,$C3131)=1,1,0))</f>
        <v/>
      </c>
      <c r="AK3131">
        <f>IF($AJ3131=1,SUMPRODUCT(--($AN$2:$AN$4001&lt;$AN3131))+1,"")</f>
        <v/>
      </c>
      <c r="AL3131">
        <f>IF($C3131="","",IF(OR($Q3131=TRUE(),$Q3131="TRUE"),1,0))</f>
        <v/>
      </c>
      <c r="AM3131">
        <f>IF($C3131="","",IF($W3131="Yes",1,0))</f>
        <v/>
      </c>
      <c r="AN3131">
        <f>IF($AJ3131=1,IFERROR(IF(VALUE($C3131)&lt;100000000,VALUE($C3131),1000000000),IFERROR(IF(VALUE(MID($C3131,2,20))&lt;100000000,VALUE(MID($C3131,2,20)),1000000000),1000000000))+ROW()/100000,"")</f>
        <v/>
      </c>
    </row>
    <row r="3132">
      <c r="E3132" s="11" t="n"/>
      <c r="M3132" s="7">
        <f>IF($C3132="","",L3132*U3132/100)</f>
        <v/>
      </c>
      <c r="N3132" s="7" t="n"/>
      <c r="T3132" s="7" t="n"/>
      <c r="U3132" s="7">
        <f>IF($C3132="","",S3132*T3132)</f>
        <v/>
      </c>
      <c r="X3132">
        <f>IF($C3132="","",IF($AM3132=1,0,IF($AL3132=1,Settings!$C$6,Settings!$C$7))*100)</f>
        <v/>
      </c>
      <c r="AB3132" s="7" t="n"/>
      <c r="AE3132" s="11" t="n"/>
      <c r="AG3132" s="7">
        <f>IF($C3132="","",U3132*X3132/100)</f>
        <v/>
      </c>
      <c r="AH3132" s="7">
        <f>IF($C3132="","",U3132-AG3132)</f>
        <v/>
      </c>
      <c r="AI3132" s="7">
        <f>IF($C3132="","",AH3132-M3132)</f>
        <v/>
      </c>
      <c r="AJ3132">
        <f>IF($C3132="","",IF(COUNTIF($C$2:$C3132,$C3132)=1,1,0))</f>
        <v/>
      </c>
      <c r="AK3132">
        <f>IF($AJ3132=1,SUMPRODUCT(--($AN$2:$AN$4001&lt;$AN3132))+1,"")</f>
        <v/>
      </c>
      <c r="AL3132">
        <f>IF($C3132="","",IF(OR($Q3132=TRUE(),$Q3132="TRUE"),1,0))</f>
        <v/>
      </c>
      <c r="AM3132">
        <f>IF($C3132="","",IF($W3132="Yes",1,0))</f>
        <v/>
      </c>
      <c r="AN3132">
        <f>IF($AJ3132=1,IFERROR(IF(VALUE($C3132)&lt;100000000,VALUE($C3132),1000000000),IFERROR(IF(VALUE(MID($C3132,2,20))&lt;100000000,VALUE(MID($C3132,2,20)),1000000000),1000000000))+ROW()/100000,"")</f>
        <v/>
      </c>
    </row>
    <row r="3133">
      <c r="E3133" s="11" t="n"/>
      <c r="M3133" s="7">
        <f>IF($C3133="","",L3133*U3133/100)</f>
        <v/>
      </c>
      <c r="N3133" s="7" t="n"/>
      <c r="T3133" s="7" t="n"/>
      <c r="U3133" s="7">
        <f>IF($C3133="","",S3133*T3133)</f>
        <v/>
      </c>
      <c r="X3133">
        <f>IF($C3133="","",IF($AM3133=1,0,IF($AL3133=1,Settings!$C$6,Settings!$C$7))*100)</f>
        <v/>
      </c>
      <c r="AB3133" s="7" t="n"/>
      <c r="AE3133" s="11" t="n"/>
      <c r="AG3133" s="7">
        <f>IF($C3133="","",U3133*X3133/100)</f>
        <v/>
      </c>
      <c r="AH3133" s="7">
        <f>IF($C3133="","",U3133-AG3133)</f>
        <v/>
      </c>
      <c r="AI3133" s="7">
        <f>IF($C3133="","",AH3133-M3133)</f>
        <v/>
      </c>
      <c r="AJ3133">
        <f>IF($C3133="","",IF(COUNTIF($C$2:$C3133,$C3133)=1,1,0))</f>
        <v/>
      </c>
      <c r="AK3133">
        <f>IF($AJ3133=1,SUMPRODUCT(--($AN$2:$AN$4001&lt;$AN3133))+1,"")</f>
        <v/>
      </c>
      <c r="AL3133">
        <f>IF($C3133="","",IF(OR($Q3133=TRUE(),$Q3133="TRUE"),1,0))</f>
        <v/>
      </c>
      <c r="AM3133">
        <f>IF($C3133="","",IF($W3133="Yes",1,0))</f>
        <v/>
      </c>
      <c r="AN3133">
        <f>IF($AJ3133=1,IFERROR(IF(VALUE($C3133)&lt;100000000,VALUE($C3133),1000000000),IFERROR(IF(VALUE(MID($C3133,2,20))&lt;100000000,VALUE(MID($C3133,2,20)),1000000000),1000000000))+ROW()/100000,"")</f>
        <v/>
      </c>
    </row>
    <row r="3134">
      <c r="E3134" s="11" t="n"/>
      <c r="M3134" s="7">
        <f>IF($C3134="","",L3134*U3134/100)</f>
        <v/>
      </c>
      <c r="N3134" s="7" t="n"/>
      <c r="T3134" s="7" t="n"/>
      <c r="U3134" s="7">
        <f>IF($C3134="","",S3134*T3134)</f>
        <v/>
      </c>
      <c r="X3134">
        <f>IF($C3134="","",IF($AM3134=1,0,IF($AL3134=1,Settings!$C$6,Settings!$C$7))*100)</f>
        <v/>
      </c>
      <c r="AB3134" s="7" t="n"/>
      <c r="AE3134" s="11" t="n"/>
      <c r="AG3134" s="7">
        <f>IF($C3134="","",U3134*X3134/100)</f>
        <v/>
      </c>
      <c r="AH3134" s="7">
        <f>IF($C3134="","",U3134-AG3134)</f>
        <v/>
      </c>
      <c r="AI3134" s="7">
        <f>IF($C3134="","",AH3134-M3134)</f>
        <v/>
      </c>
      <c r="AJ3134">
        <f>IF($C3134="","",IF(COUNTIF($C$2:$C3134,$C3134)=1,1,0))</f>
        <v/>
      </c>
      <c r="AK3134">
        <f>IF($AJ3134=1,SUMPRODUCT(--($AN$2:$AN$4001&lt;$AN3134))+1,"")</f>
        <v/>
      </c>
      <c r="AL3134">
        <f>IF($C3134="","",IF(OR($Q3134=TRUE(),$Q3134="TRUE"),1,0))</f>
        <v/>
      </c>
      <c r="AM3134">
        <f>IF($C3134="","",IF($W3134="Yes",1,0))</f>
        <v/>
      </c>
      <c r="AN3134">
        <f>IF($AJ3134=1,IFERROR(IF(VALUE($C3134)&lt;100000000,VALUE($C3134),1000000000),IFERROR(IF(VALUE(MID($C3134,2,20))&lt;100000000,VALUE(MID($C3134,2,20)),1000000000),1000000000))+ROW()/100000,"")</f>
        <v/>
      </c>
    </row>
    <row r="3135">
      <c r="E3135" s="11" t="n"/>
      <c r="M3135" s="7">
        <f>IF($C3135="","",L3135*U3135/100)</f>
        <v/>
      </c>
      <c r="N3135" s="7" t="n"/>
      <c r="T3135" s="7" t="n"/>
      <c r="U3135" s="7">
        <f>IF($C3135="","",S3135*T3135)</f>
        <v/>
      </c>
      <c r="X3135">
        <f>IF($C3135="","",IF($AM3135=1,0,IF($AL3135=1,Settings!$C$6,Settings!$C$7))*100)</f>
        <v/>
      </c>
      <c r="AB3135" s="7" t="n"/>
      <c r="AE3135" s="11" t="n"/>
      <c r="AG3135" s="7">
        <f>IF($C3135="","",U3135*X3135/100)</f>
        <v/>
      </c>
      <c r="AH3135" s="7">
        <f>IF($C3135="","",U3135-AG3135)</f>
        <v/>
      </c>
      <c r="AI3135" s="7">
        <f>IF($C3135="","",AH3135-M3135)</f>
        <v/>
      </c>
      <c r="AJ3135">
        <f>IF($C3135="","",IF(COUNTIF($C$2:$C3135,$C3135)=1,1,0))</f>
        <v/>
      </c>
      <c r="AK3135">
        <f>IF($AJ3135=1,SUMPRODUCT(--($AN$2:$AN$4001&lt;$AN3135))+1,"")</f>
        <v/>
      </c>
      <c r="AL3135">
        <f>IF($C3135="","",IF(OR($Q3135=TRUE(),$Q3135="TRUE"),1,0))</f>
        <v/>
      </c>
      <c r="AM3135">
        <f>IF($C3135="","",IF($W3135="Yes",1,0))</f>
        <v/>
      </c>
      <c r="AN3135">
        <f>IF($AJ3135=1,IFERROR(IF(VALUE($C3135)&lt;100000000,VALUE($C3135),1000000000),IFERROR(IF(VALUE(MID($C3135,2,20))&lt;100000000,VALUE(MID($C3135,2,20)),1000000000),1000000000))+ROW()/100000,"")</f>
        <v/>
      </c>
    </row>
    <row r="3136">
      <c r="E3136" s="11" t="n"/>
      <c r="M3136" s="7">
        <f>IF($C3136="","",L3136*U3136/100)</f>
        <v/>
      </c>
      <c r="N3136" s="7" t="n"/>
      <c r="T3136" s="7" t="n"/>
      <c r="U3136" s="7">
        <f>IF($C3136="","",S3136*T3136)</f>
        <v/>
      </c>
      <c r="X3136">
        <f>IF($C3136="","",IF($AM3136=1,0,IF($AL3136=1,Settings!$C$6,Settings!$C$7))*100)</f>
        <v/>
      </c>
      <c r="AB3136" s="7" t="n"/>
      <c r="AE3136" s="11" t="n"/>
      <c r="AG3136" s="7">
        <f>IF($C3136="","",U3136*X3136/100)</f>
        <v/>
      </c>
      <c r="AH3136" s="7">
        <f>IF($C3136="","",U3136-AG3136)</f>
        <v/>
      </c>
      <c r="AI3136" s="7">
        <f>IF($C3136="","",AH3136-M3136)</f>
        <v/>
      </c>
      <c r="AJ3136">
        <f>IF($C3136="","",IF(COUNTIF($C$2:$C3136,$C3136)=1,1,0))</f>
        <v/>
      </c>
      <c r="AK3136">
        <f>IF($AJ3136=1,SUMPRODUCT(--($AN$2:$AN$4001&lt;$AN3136))+1,"")</f>
        <v/>
      </c>
      <c r="AL3136">
        <f>IF($C3136="","",IF(OR($Q3136=TRUE(),$Q3136="TRUE"),1,0))</f>
        <v/>
      </c>
      <c r="AM3136">
        <f>IF($C3136="","",IF($W3136="Yes",1,0))</f>
        <v/>
      </c>
      <c r="AN3136">
        <f>IF($AJ3136=1,IFERROR(IF(VALUE($C3136)&lt;100000000,VALUE($C3136),1000000000),IFERROR(IF(VALUE(MID($C3136,2,20))&lt;100000000,VALUE(MID($C3136,2,20)),1000000000),1000000000))+ROW()/100000,"")</f>
        <v/>
      </c>
    </row>
    <row r="3137">
      <c r="E3137" s="11" t="n"/>
      <c r="M3137" s="7">
        <f>IF($C3137="","",L3137*U3137/100)</f>
        <v/>
      </c>
      <c r="N3137" s="7" t="n"/>
      <c r="T3137" s="7" t="n"/>
      <c r="U3137" s="7">
        <f>IF($C3137="","",S3137*T3137)</f>
        <v/>
      </c>
      <c r="X3137">
        <f>IF($C3137="","",IF($AM3137=1,0,IF($AL3137=1,Settings!$C$6,Settings!$C$7))*100)</f>
        <v/>
      </c>
      <c r="AB3137" s="7" t="n"/>
      <c r="AE3137" s="11" t="n"/>
      <c r="AG3137" s="7">
        <f>IF($C3137="","",U3137*X3137/100)</f>
        <v/>
      </c>
      <c r="AH3137" s="7">
        <f>IF($C3137="","",U3137-AG3137)</f>
        <v/>
      </c>
      <c r="AI3137" s="7">
        <f>IF($C3137="","",AH3137-M3137)</f>
        <v/>
      </c>
      <c r="AJ3137">
        <f>IF($C3137="","",IF(COUNTIF($C$2:$C3137,$C3137)=1,1,0))</f>
        <v/>
      </c>
      <c r="AK3137">
        <f>IF($AJ3137=1,SUMPRODUCT(--($AN$2:$AN$4001&lt;$AN3137))+1,"")</f>
        <v/>
      </c>
      <c r="AL3137">
        <f>IF($C3137="","",IF(OR($Q3137=TRUE(),$Q3137="TRUE"),1,0))</f>
        <v/>
      </c>
      <c r="AM3137">
        <f>IF($C3137="","",IF($W3137="Yes",1,0))</f>
        <v/>
      </c>
      <c r="AN3137">
        <f>IF($AJ3137=1,IFERROR(IF(VALUE($C3137)&lt;100000000,VALUE($C3137),1000000000),IFERROR(IF(VALUE(MID($C3137,2,20))&lt;100000000,VALUE(MID($C3137,2,20)),1000000000),1000000000))+ROW()/100000,"")</f>
        <v/>
      </c>
    </row>
    <row r="3138">
      <c r="E3138" s="11" t="n"/>
      <c r="M3138" s="7">
        <f>IF($C3138="","",L3138*U3138/100)</f>
        <v/>
      </c>
      <c r="N3138" s="7" t="n"/>
      <c r="T3138" s="7" t="n"/>
      <c r="U3138" s="7">
        <f>IF($C3138="","",S3138*T3138)</f>
        <v/>
      </c>
      <c r="X3138">
        <f>IF($C3138="","",IF($AM3138=1,0,IF($AL3138=1,Settings!$C$6,Settings!$C$7))*100)</f>
        <v/>
      </c>
      <c r="AB3138" s="7" t="n"/>
      <c r="AE3138" s="11" t="n"/>
      <c r="AG3138" s="7">
        <f>IF($C3138="","",U3138*X3138/100)</f>
        <v/>
      </c>
      <c r="AH3138" s="7">
        <f>IF($C3138="","",U3138-AG3138)</f>
        <v/>
      </c>
      <c r="AI3138" s="7">
        <f>IF($C3138="","",AH3138-M3138)</f>
        <v/>
      </c>
      <c r="AJ3138">
        <f>IF($C3138="","",IF(COUNTIF($C$2:$C3138,$C3138)=1,1,0))</f>
        <v/>
      </c>
      <c r="AK3138">
        <f>IF($AJ3138=1,SUMPRODUCT(--($AN$2:$AN$4001&lt;$AN3138))+1,"")</f>
        <v/>
      </c>
      <c r="AL3138">
        <f>IF($C3138="","",IF(OR($Q3138=TRUE(),$Q3138="TRUE"),1,0))</f>
        <v/>
      </c>
      <c r="AM3138">
        <f>IF($C3138="","",IF($W3138="Yes",1,0))</f>
        <v/>
      </c>
      <c r="AN3138">
        <f>IF($AJ3138=1,IFERROR(IF(VALUE($C3138)&lt;100000000,VALUE($C3138),1000000000),IFERROR(IF(VALUE(MID($C3138,2,20))&lt;100000000,VALUE(MID($C3138,2,20)),1000000000),1000000000))+ROW()/100000,"")</f>
        <v/>
      </c>
    </row>
    <row r="3139">
      <c r="E3139" s="11" t="n"/>
      <c r="M3139" s="7">
        <f>IF($C3139="","",L3139*U3139/100)</f>
        <v/>
      </c>
      <c r="N3139" s="7" t="n"/>
      <c r="T3139" s="7" t="n"/>
      <c r="U3139" s="7">
        <f>IF($C3139="","",S3139*T3139)</f>
        <v/>
      </c>
      <c r="X3139">
        <f>IF($C3139="","",IF($AM3139=1,0,IF($AL3139=1,Settings!$C$6,Settings!$C$7))*100)</f>
        <v/>
      </c>
      <c r="AB3139" s="7" t="n"/>
      <c r="AE3139" s="11" t="n"/>
      <c r="AG3139" s="7">
        <f>IF($C3139="","",U3139*X3139/100)</f>
        <v/>
      </c>
      <c r="AH3139" s="7">
        <f>IF($C3139="","",U3139-AG3139)</f>
        <v/>
      </c>
      <c r="AI3139" s="7">
        <f>IF($C3139="","",AH3139-M3139)</f>
        <v/>
      </c>
      <c r="AJ3139">
        <f>IF($C3139="","",IF(COUNTIF($C$2:$C3139,$C3139)=1,1,0))</f>
        <v/>
      </c>
      <c r="AK3139">
        <f>IF($AJ3139=1,SUMPRODUCT(--($AN$2:$AN$4001&lt;$AN3139))+1,"")</f>
        <v/>
      </c>
      <c r="AL3139">
        <f>IF($C3139="","",IF(OR($Q3139=TRUE(),$Q3139="TRUE"),1,0))</f>
        <v/>
      </c>
      <c r="AM3139">
        <f>IF($C3139="","",IF($W3139="Yes",1,0))</f>
        <v/>
      </c>
      <c r="AN3139">
        <f>IF($AJ3139=1,IFERROR(IF(VALUE($C3139)&lt;100000000,VALUE($C3139),1000000000),IFERROR(IF(VALUE(MID($C3139,2,20))&lt;100000000,VALUE(MID($C3139,2,20)),1000000000),1000000000))+ROW()/100000,"")</f>
        <v/>
      </c>
    </row>
    <row r="3140">
      <c r="E3140" s="11" t="n"/>
      <c r="M3140" s="7">
        <f>IF($C3140="","",L3140*U3140/100)</f>
        <v/>
      </c>
      <c r="N3140" s="7" t="n"/>
      <c r="T3140" s="7" t="n"/>
      <c r="U3140" s="7">
        <f>IF($C3140="","",S3140*T3140)</f>
        <v/>
      </c>
      <c r="X3140">
        <f>IF($C3140="","",IF($AM3140=1,0,IF($AL3140=1,Settings!$C$6,Settings!$C$7))*100)</f>
        <v/>
      </c>
      <c r="AB3140" s="7" t="n"/>
      <c r="AE3140" s="11" t="n"/>
      <c r="AG3140" s="7">
        <f>IF($C3140="","",U3140*X3140/100)</f>
        <v/>
      </c>
      <c r="AH3140" s="7">
        <f>IF($C3140="","",U3140-AG3140)</f>
        <v/>
      </c>
      <c r="AI3140" s="7">
        <f>IF($C3140="","",AH3140-M3140)</f>
        <v/>
      </c>
      <c r="AJ3140">
        <f>IF($C3140="","",IF(COUNTIF($C$2:$C3140,$C3140)=1,1,0))</f>
        <v/>
      </c>
      <c r="AK3140">
        <f>IF($AJ3140=1,SUMPRODUCT(--($AN$2:$AN$4001&lt;$AN3140))+1,"")</f>
        <v/>
      </c>
      <c r="AL3140">
        <f>IF($C3140="","",IF(OR($Q3140=TRUE(),$Q3140="TRUE"),1,0))</f>
        <v/>
      </c>
      <c r="AM3140">
        <f>IF($C3140="","",IF($W3140="Yes",1,0))</f>
        <v/>
      </c>
      <c r="AN3140">
        <f>IF($AJ3140=1,IFERROR(IF(VALUE($C3140)&lt;100000000,VALUE($C3140),1000000000),IFERROR(IF(VALUE(MID($C3140,2,20))&lt;100000000,VALUE(MID($C3140,2,20)),1000000000),1000000000))+ROW()/100000,"")</f>
        <v/>
      </c>
    </row>
    <row r="3141">
      <c r="E3141" s="11" t="n"/>
      <c r="M3141" s="7">
        <f>IF($C3141="","",L3141*U3141/100)</f>
        <v/>
      </c>
      <c r="N3141" s="7" t="n"/>
      <c r="T3141" s="7" t="n"/>
      <c r="U3141" s="7">
        <f>IF($C3141="","",S3141*T3141)</f>
        <v/>
      </c>
      <c r="X3141">
        <f>IF($C3141="","",IF($AM3141=1,0,IF($AL3141=1,Settings!$C$6,Settings!$C$7))*100)</f>
        <v/>
      </c>
      <c r="AB3141" s="7" t="n"/>
      <c r="AE3141" s="11" t="n"/>
      <c r="AG3141" s="7">
        <f>IF($C3141="","",U3141*X3141/100)</f>
        <v/>
      </c>
      <c r="AH3141" s="7">
        <f>IF($C3141="","",U3141-AG3141)</f>
        <v/>
      </c>
      <c r="AI3141" s="7">
        <f>IF($C3141="","",AH3141-M3141)</f>
        <v/>
      </c>
      <c r="AJ3141">
        <f>IF($C3141="","",IF(COUNTIF($C$2:$C3141,$C3141)=1,1,0))</f>
        <v/>
      </c>
      <c r="AK3141">
        <f>IF($AJ3141=1,SUMPRODUCT(--($AN$2:$AN$4001&lt;$AN3141))+1,"")</f>
        <v/>
      </c>
      <c r="AL3141">
        <f>IF($C3141="","",IF(OR($Q3141=TRUE(),$Q3141="TRUE"),1,0))</f>
        <v/>
      </c>
      <c r="AM3141">
        <f>IF($C3141="","",IF($W3141="Yes",1,0))</f>
        <v/>
      </c>
      <c r="AN3141">
        <f>IF($AJ3141=1,IFERROR(IF(VALUE($C3141)&lt;100000000,VALUE($C3141),1000000000),IFERROR(IF(VALUE(MID($C3141,2,20))&lt;100000000,VALUE(MID($C3141,2,20)),1000000000),1000000000))+ROW()/100000,"")</f>
        <v/>
      </c>
    </row>
    <row r="3142">
      <c r="E3142" s="11" t="n"/>
      <c r="M3142" s="7">
        <f>IF($C3142="","",L3142*U3142/100)</f>
        <v/>
      </c>
      <c r="N3142" s="7" t="n"/>
      <c r="T3142" s="7" t="n"/>
      <c r="U3142" s="7">
        <f>IF($C3142="","",S3142*T3142)</f>
        <v/>
      </c>
      <c r="X3142">
        <f>IF($C3142="","",IF($AM3142=1,0,IF($AL3142=1,Settings!$C$6,Settings!$C$7))*100)</f>
        <v/>
      </c>
      <c r="AB3142" s="7" t="n"/>
      <c r="AE3142" s="11" t="n"/>
      <c r="AG3142" s="7">
        <f>IF($C3142="","",U3142*X3142/100)</f>
        <v/>
      </c>
      <c r="AH3142" s="7">
        <f>IF($C3142="","",U3142-AG3142)</f>
        <v/>
      </c>
      <c r="AI3142" s="7">
        <f>IF($C3142="","",AH3142-M3142)</f>
        <v/>
      </c>
      <c r="AJ3142">
        <f>IF($C3142="","",IF(COUNTIF($C$2:$C3142,$C3142)=1,1,0))</f>
        <v/>
      </c>
      <c r="AK3142">
        <f>IF($AJ3142=1,SUMPRODUCT(--($AN$2:$AN$4001&lt;$AN3142))+1,"")</f>
        <v/>
      </c>
      <c r="AL3142">
        <f>IF($C3142="","",IF(OR($Q3142=TRUE(),$Q3142="TRUE"),1,0))</f>
        <v/>
      </c>
      <c r="AM3142">
        <f>IF($C3142="","",IF($W3142="Yes",1,0))</f>
        <v/>
      </c>
      <c r="AN3142">
        <f>IF($AJ3142=1,IFERROR(IF(VALUE($C3142)&lt;100000000,VALUE($C3142),1000000000),IFERROR(IF(VALUE(MID($C3142,2,20))&lt;100000000,VALUE(MID($C3142,2,20)),1000000000),1000000000))+ROW()/100000,"")</f>
        <v/>
      </c>
    </row>
    <row r="3143">
      <c r="E3143" s="11" t="n"/>
      <c r="M3143" s="7">
        <f>IF($C3143="","",L3143*U3143/100)</f>
        <v/>
      </c>
      <c r="N3143" s="7" t="n"/>
      <c r="T3143" s="7" t="n"/>
      <c r="U3143" s="7">
        <f>IF($C3143="","",S3143*T3143)</f>
        <v/>
      </c>
      <c r="X3143">
        <f>IF($C3143="","",IF($AM3143=1,0,IF($AL3143=1,Settings!$C$6,Settings!$C$7))*100)</f>
        <v/>
      </c>
      <c r="AB3143" s="7" t="n"/>
      <c r="AE3143" s="11" t="n"/>
      <c r="AG3143" s="7">
        <f>IF($C3143="","",U3143*X3143/100)</f>
        <v/>
      </c>
      <c r="AH3143" s="7">
        <f>IF($C3143="","",U3143-AG3143)</f>
        <v/>
      </c>
      <c r="AI3143" s="7">
        <f>IF($C3143="","",AH3143-M3143)</f>
        <v/>
      </c>
      <c r="AJ3143">
        <f>IF($C3143="","",IF(COUNTIF($C$2:$C3143,$C3143)=1,1,0))</f>
        <v/>
      </c>
      <c r="AK3143">
        <f>IF($AJ3143=1,SUMPRODUCT(--($AN$2:$AN$4001&lt;$AN3143))+1,"")</f>
        <v/>
      </c>
      <c r="AL3143">
        <f>IF($C3143="","",IF(OR($Q3143=TRUE(),$Q3143="TRUE"),1,0))</f>
        <v/>
      </c>
      <c r="AM3143">
        <f>IF($C3143="","",IF($W3143="Yes",1,0))</f>
        <v/>
      </c>
      <c r="AN3143">
        <f>IF($AJ3143=1,IFERROR(IF(VALUE($C3143)&lt;100000000,VALUE($C3143),1000000000),IFERROR(IF(VALUE(MID($C3143,2,20))&lt;100000000,VALUE(MID($C3143,2,20)),1000000000),1000000000))+ROW()/100000,"")</f>
        <v/>
      </c>
    </row>
    <row r="3144">
      <c r="E3144" s="11" t="n"/>
      <c r="M3144" s="7">
        <f>IF($C3144="","",L3144*U3144/100)</f>
        <v/>
      </c>
      <c r="N3144" s="7" t="n"/>
      <c r="T3144" s="7" t="n"/>
      <c r="U3144" s="7">
        <f>IF($C3144="","",S3144*T3144)</f>
        <v/>
      </c>
      <c r="X3144">
        <f>IF($C3144="","",IF($AM3144=1,0,IF($AL3144=1,Settings!$C$6,Settings!$C$7))*100)</f>
        <v/>
      </c>
      <c r="AB3144" s="7" t="n"/>
      <c r="AE3144" s="11" t="n"/>
      <c r="AG3144" s="7">
        <f>IF($C3144="","",U3144*X3144/100)</f>
        <v/>
      </c>
      <c r="AH3144" s="7">
        <f>IF($C3144="","",U3144-AG3144)</f>
        <v/>
      </c>
      <c r="AI3144" s="7">
        <f>IF($C3144="","",AH3144-M3144)</f>
        <v/>
      </c>
      <c r="AJ3144">
        <f>IF($C3144="","",IF(COUNTIF($C$2:$C3144,$C3144)=1,1,0))</f>
        <v/>
      </c>
      <c r="AK3144">
        <f>IF($AJ3144=1,SUMPRODUCT(--($AN$2:$AN$4001&lt;$AN3144))+1,"")</f>
        <v/>
      </c>
      <c r="AL3144">
        <f>IF($C3144="","",IF(OR($Q3144=TRUE(),$Q3144="TRUE"),1,0))</f>
        <v/>
      </c>
      <c r="AM3144">
        <f>IF($C3144="","",IF($W3144="Yes",1,0))</f>
        <v/>
      </c>
      <c r="AN3144">
        <f>IF($AJ3144=1,IFERROR(IF(VALUE($C3144)&lt;100000000,VALUE($C3144),1000000000),IFERROR(IF(VALUE(MID($C3144,2,20))&lt;100000000,VALUE(MID($C3144,2,20)),1000000000),1000000000))+ROW()/100000,"")</f>
        <v/>
      </c>
    </row>
    <row r="3145">
      <c r="E3145" s="11" t="n"/>
      <c r="M3145" s="7">
        <f>IF($C3145="","",L3145*U3145/100)</f>
        <v/>
      </c>
      <c r="N3145" s="7" t="n"/>
      <c r="T3145" s="7" t="n"/>
      <c r="U3145" s="7">
        <f>IF($C3145="","",S3145*T3145)</f>
        <v/>
      </c>
      <c r="X3145">
        <f>IF($C3145="","",IF($AM3145=1,0,IF($AL3145=1,Settings!$C$6,Settings!$C$7))*100)</f>
        <v/>
      </c>
      <c r="AB3145" s="7" t="n"/>
      <c r="AE3145" s="11" t="n"/>
      <c r="AG3145" s="7">
        <f>IF($C3145="","",U3145*X3145/100)</f>
        <v/>
      </c>
      <c r="AH3145" s="7">
        <f>IF($C3145="","",U3145-AG3145)</f>
        <v/>
      </c>
      <c r="AI3145" s="7">
        <f>IF($C3145="","",AH3145-M3145)</f>
        <v/>
      </c>
      <c r="AJ3145">
        <f>IF($C3145="","",IF(COUNTIF($C$2:$C3145,$C3145)=1,1,0))</f>
        <v/>
      </c>
      <c r="AK3145">
        <f>IF($AJ3145=1,SUMPRODUCT(--($AN$2:$AN$4001&lt;$AN3145))+1,"")</f>
        <v/>
      </c>
      <c r="AL3145">
        <f>IF($C3145="","",IF(OR($Q3145=TRUE(),$Q3145="TRUE"),1,0))</f>
        <v/>
      </c>
      <c r="AM3145">
        <f>IF($C3145="","",IF($W3145="Yes",1,0))</f>
        <v/>
      </c>
      <c r="AN3145">
        <f>IF($AJ3145=1,IFERROR(IF(VALUE($C3145)&lt;100000000,VALUE($C3145),1000000000),IFERROR(IF(VALUE(MID($C3145,2,20))&lt;100000000,VALUE(MID($C3145,2,20)),1000000000),1000000000))+ROW()/100000,"")</f>
        <v/>
      </c>
    </row>
    <row r="3146">
      <c r="E3146" s="11" t="n"/>
      <c r="M3146" s="7">
        <f>IF($C3146="","",L3146*U3146/100)</f>
        <v/>
      </c>
      <c r="N3146" s="7" t="n"/>
      <c r="T3146" s="7" t="n"/>
      <c r="U3146" s="7">
        <f>IF($C3146="","",S3146*T3146)</f>
        <v/>
      </c>
      <c r="X3146">
        <f>IF($C3146="","",IF($AM3146=1,0,IF($AL3146=1,Settings!$C$6,Settings!$C$7))*100)</f>
        <v/>
      </c>
      <c r="AB3146" s="7" t="n"/>
      <c r="AE3146" s="11" t="n"/>
      <c r="AG3146" s="7">
        <f>IF($C3146="","",U3146*X3146/100)</f>
        <v/>
      </c>
      <c r="AH3146" s="7">
        <f>IF($C3146="","",U3146-AG3146)</f>
        <v/>
      </c>
      <c r="AI3146" s="7">
        <f>IF($C3146="","",AH3146-M3146)</f>
        <v/>
      </c>
      <c r="AJ3146">
        <f>IF($C3146="","",IF(COUNTIF($C$2:$C3146,$C3146)=1,1,0))</f>
        <v/>
      </c>
      <c r="AK3146">
        <f>IF($AJ3146=1,SUMPRODUCT(--($AN$2:$AN$4001&lt;$AN3146))+1,"")</f>
        <v/>
      </c>
      <c r="AL3146">
        <f>IF($C3146="","",IF(OR($Q3146=TRUE(),$Q3146="TRUE"),1,0))</f>
        <v/>
      </c>
      <c r="AM3146">
        <f>IF($C3146="","",IF($W3146="Yes",1,0))</f>
        <v/>
      </c>
      <c r="AN3146">
        <f>IF($AJ3146=1,IFERROR(IF(VALUE($C3146)&lt;100000000,VALUE($C3146),1000000000),IFERROR(IF(VALUE(MID($C3146,2,20))&lt;100000000,VALUE(MID($C3146,2,20)),1000000000),1000000000))+ROW()/100000,"")</f>
        <v/>
      </c>
    </row>
    <row r="3147">
      <c r="E3147" s="11" t="n"/>
      <c r="M3147" s="7">
        <f>IF($C3147="","",L3147*U3147/100)</f>
        <v/>
      </c>
      <c r="N3147" s="7" t="n"/>
      <c r="T3147" s="7" t="n"/>
      <c r="U3147" s="7">
        <f>IF($C3147="","",S3147*T3147)</f>
        <v/>
      </c>
      <c r="X3147">
        <f>IF($C3147="","",IF($AM3147=1,0,IF($AL3147=1,Settings!$C$6,Settings!$C$7))*100)</f>
        <v/>
      </c>
      <c r="AB3147" s="7" t="n"/>
      <c r="AE3147" s="11" t="n"/>
      <c r="AG3147" s="7">
        <f>IF($C3147="","",U3147*X3147/100)</f>
        <v/>
      </c>
      <c r="AH3147" s="7">
        <f>IF($C3147="","",U3147-AG3147)</f>
        <v/>
      </c>
      <c r="AI3147" s="7">
        <f>IF($C3147="","",AH3147-M3147)</f>
        <v/>
      </c>
      <c r="AJ3147">
        <f>IF($C3147="","",IF(COUNTIF($C$2:$C3147,$C3147)=1,1,0))</f>
        <v/>
      </c>
      <c r="AK3147">
        <f>IF($AJ3147=1,SUMPRODUCT(--($AN$2:$AN$4001&lt;$AN3147))+1,"")</f>
        <v/>
      </c>
      <c r="AL3147">
        <f>IF($C3147="","",IF(OR($Q3147=TRUE(),$Q3147="TRUE"),1,0))</f>
        <v/>
      </c>
      <c r="AM3147">
        <f>IF($C3147="","",IF($W3147="Yes",1,0))</f>
        <v/>
      </c>
      <c r="AN3147">
        <f>IF($AJ3147=1,IFERROR(IF(VALUE($C3147)&lt;100000000,VALUE($C3147),1000000000),IFERROR(IF(VALUE(MID($C3147,2,20))&lt;100000000,VALUE(MID($C3147,2,20)),1000000000),1000000000))+ROW()/100000,"")</f>
        <v/>
      </c>
    </row>
    <row r="3148">
      <c r="E3148" s="11" t="n"/>
      <c r="M3148" s="7">
        <f>IF($C3148="","",L3148*U3148/100)</f>
        <v/>
      </c>
      <c r="N3148" s="7" t="n"/>
      <c r="T3148" s="7" t="n"/>
      <c r="U3148" s="7">
        <f>IF($C3148="","",S3148*T3148)</f>
        <v/>
      </c>
      <c r="X3148">
        <f>IF($C3148="","",IF($AM3148=1,0,IF($AL3148=1,Settings!$C$6,Settings!$C$7))*100)</f>
        <v/>
      </c>
      <c r="AB3148" s="7" t="n"/>
      <c r="AE3148" s="11" t="n"/>
      <c r="AG3148" s="7">
        <f>IF($C3148="","",U3148*X3148/100)</f>
        <v/>
      </c>
      <c r="AH3148" s="7">
        <f>IF($C3148="","",U3148-AG3148)</f>
        <v/>
      </c>
      <c r="AI3148" s="7">
        <f>IF($C3148="","",AH3148-M3148)</f>
        <v/>
      </c>
      <c r="AJ3148">
        <f>IF($C3148="","",IF(COUNTIF($C$2:$C3148,$C3148)=1,1,0))</f>
        <v/>
      </c>
      <c r="AK3148">
        <f>IF($AJ3148=1,SUMPRODUCT(--($AN$2:$AN$4001&lt;$AN3148))+1,"")</f>
        <v/>
      </c>
      <c r="AL3148">
        <f>IF($C3148="","",IF(OR($Q3148=TRUE(),$Q3148="TRUE"),1,0))</f>
        <v/>
      </c>
      <c r="AM3148">
        <f>IF($C3148="","",IF($W3148="Yes",1,0))</f>
        <v/>
      </c>
      <c r="AN3148">
        <f>IF($AJ3148=1,IFERROR(IF(VALUE($C3148)&lt;100000000,VALUE($C3148),1000000000),IFERROR(IF(VALUE(MID($C3148,2,20))&lt;100000000,VALUE(MID($C3148,2,20)),1000000000),1000000000))+ROW()/100000,"")</f>
        <v/>
      </c>
    </row>
    <row r="3149">
      <c r="E3149" s="11" t="n"/>
      <c r="M3149" s="7">
        <f>IF($C3149="","",L3149*U3149/100)</f>
        <v/>
      </c>
      <c r="N3149" s="7" t="n"/>
      <c r="T3149" s="7" t="n"/>
      <c r="U3149" s="7">
        <f>IF($C3149="","",S3149*T3149)</f>
        <v/>
      </c>
      <c r="X3149">
        <f>IF($C3149="","",IF($AM3149=1,0,IF($AL3149=1,Settings!$C$6,Settings!$C$7))*100)</f>
        <v/>
      </c>
      <c r="AB3149" s="7" t="n"/>
      <c r="AE3149" s="11" t="n"/>
      <c r="AG3149" s="7">
        <f>IF($C3149="","",U3149*X3149/100)</f>
        <v/>
      </c>
      <c r="AH3149" s="7">
        <f>IF($C3149="","",U3149-AG3149)</f>
        <v/>
      </c>
      <c r="AI3149" s="7">
        <f>IF($C3149="","",AH3149-M3149)</f>
        <v/>
      </c>
      <c r="AJ3149">
        <f>IF($C3149="","",IF(COUNTIF($C$2:$C3149,$C3149)=1,1,0))</f>
        <v/>
      </c>
      <c r="AK3149">
        <f>IF($AJ3149=1,SUMPRODUCT(--($AN$2:$AN$4001&lt;$AN3149))+1,"")</f>
        <v/>
      </c>
      <c r="AL3149">
        <f>IF($C3149="","",IF(OR($Q3149=TRUE(),$Q3149="TRUE"),1,0))</f>
        <v/>
      </c>
      <c r="AM3149">
        <f>IF($C3149="","",IF($W3149="Yes",1,0))</f>
        <v/>
      </c>
      <c r="AN3149">
        <f>IF($AJ3149=1,IFERROR(IF(VALUE($C3149)&lt;100000000,VALUE($C3149),1000000000),IFERROR(IF(VALUE(MID($C3149,2,20))&lt;100000000,VALUE(MID($C3149,2,20)),1000000000),1000000000))+ROW()/100000,"")</f>
        <v/>
      </c>
    </row>
    <row r="3150">
      <c r="E3150" s="11" t="n"/>
      <c r="M3150" s="7">
        <f>IF($C3150="","",L3150*U3150/100)</f>
        <v/>
      </c>
      <c r="N3150" s="7" t="n"/>
      <c r="T3150" s="7" t="n"/>
      <c r="U3150" s="7">
        <f>IF($C3150="","",S3150*T3150)</f>
        <v/>
      </c>
      <c r="X3150">
        <f>IF($C3150="","",IF($AM3150=1,0,IF($AL3150=1,Settings!$C$6,Settings!$C$7))*100)</f>
        <v/>
      </c>
      <c r="AB3150" s="7" t="n"/>
      <c r="AE3150" s="11" t="n"/>
      <c r="AG3150" s="7">
        <f>IF($C3150="","",U3150*X3150/100)</f>
        <v/>
      </c>
      <c r="AH3150" s="7">
        <f>IF($C3150="","",U3150-AG3150)</f>
        <v/>
      </c>
      <c r="AI3150" s="7">
        <f>IF($C3150="","",AH3150-M3150)</f>
        <v/>
      </c>
      <c r="AJ3150">
        <f>IF($C3150="","",IF(COUNTIF($C$2:$C3150,$C3150)=1,1,0))</f>
        <v/>
      </c>
      <c r="AK3150">
        <f>IF($AJ3150=1,SUMPRODUCT(--($AN$2:$AN$4001&lt;$AN3150))+1,"")</f>
        <v/>
      </c>
      <c r="AL3150">
        <f>IF($C3150="","",IF(OR($Q3150=TRUE(),$Q3150="TRUE"),1,0))</f>
        <v/>
      </c>
      <c r="AM3150">
        <f>IF($C3150="","",IF($W3150="Yes",1,0))</f>
        <v/>
      </c>
      <c r="AN3150">
        <f>IF($AJ3150=1,IFERROR(IF(VALUE($C3150)&lt;100000000,VALUE($C3150),1000000000),IFERROR(IF(VALUE(MID($C3150,2,20))&lt;100000000,VALUE(MID($C3150,2,20)),1000000000),1000000000))+ROW()/100000,"")</f>
        <v/>
      </c>
    </row>
    <row r="3151">
      <c r="E3151" s="11" t="n"/>
      <c r="M3151" s="7">
        <f>IF($C3151="","",L3151*U3151/100)</f>
        <v/>
      </c>
      <c r="N3151" s="7" t="n"/>
      <c r="T3151" s="7" t="n"/>
      <c r="U3151" s="7">
        <f>IF($C3151="","",S3151*T3151)</f>
        <v/>
      </c>
      <c r="X3151">
        <f>IF($C3151="","",IF($AM3151=1,0,IF($AL3151=1,Settings!$C$6,Settings!$C$7))*100)</f>
        <v/>
      </c>
      <c r="AB3151" s="7" t="n"/>
      <c r="AE3151" s="11" t="n"/>
      <c r="AG3151" s="7">
        <f>IF($C3151="","",U3151*X3151/100)</f>
        <v/>
      </c>
      <c r="AH3151" s="7">
        <f>IF($C3151="","",U3151-AG3151)</f>
        <v/>
      </c>
      <c r="AI3151" s="7">
        <f>IF($C3151="","",AH3151-M3151)</f>
        <v/>
      </c>
      <c r="AJ3151">
        <f>IF($C3151="","",IF(COUNTIF($C$2:$C3151,$C3151)=1,1,0))</f>
        <v/>
      </c>
      <c r="AK3151">
        <f>IF($AJ3151=1,SUMPRODUCT(--($AN$2:$AN$4001&lt;$AN3151))+1,"")</f>
        <v/>
      </c>
      <c r="AL3151">
        <f>IF($C3151="","",IF(OR($Q3151=TRUE(),$Q3151="TRUE"),1,0))</f>
        <v/>
      </c>
      <c r="AM3151">
        <f>IF($C3151="","",IF($W3151="Yes",1,0))</f>
        <v/>
      </c>
      <c r="AN3151">
        <f>IF($AJ3151=1,IFERROR(IF(VALUE($C3151)&lt;100000000,VALUE($C3151),1000000000),IFERROR(IF(VALUE(MID($C3151,2,20))&lt;100000000,VALUE(MID($C3151,2,20)),1000000000),1000000000))+ROW()/100000,"")</f>
        <v/>
      </c>
    </row>
    <row r="3152">
      <c r="E3152" s="11" t="n"/>
      <c r="M3152" s="7">
        <f>IF($C3152="","",L3152*U3152/100)</f>
        <v/>
      </c>
      <c r="N3152" s="7" t="n"/>
      <c r="T3152" s="7" t="n"/>
      <c r="U3152" s="7">
        <f>IF($C3152="","",S3152*T3152)</f>
        <v/>
      </c>
      <c r="X3152">
        <f>IF($C3152="","",IF($AM3152=1,0,IF($AL3152=1,Settings!$C$6,Settings!$C$7))*100)</f>
        <v/>
      </c>
      <c r="AB3152" s="7" t="n"/>
      <c r="AE3152" s="11" t="n"/>
      <c r="AG3152" s="7">
        <f>IF($C3152="","",U3152*X3152/100)</f>
        <v/>
      </c>
      <c r="AH3152" s="7">
        <f>IF($C3152="","",U3152-AG3152)</f>
        <v/>
      </c>
      <c r="AI3152" s="7">
        <f>IF($C3152="","",AH3152-M3152)</f>
        <v/>
      </c>
      <c r="AJ3152">
        <f>IF($C3152="","",IF(COUNTIF($C$2:$C3152,$C3152)=1,1,0))</f>
        <v/>
      </c>
      <c r="AK3152">
        <f>IF($AJ3152=1,SUMPRODUCT(--($AN$2:$AN$4001&lt;$AN3152))+1,"")</f>
        <v/>
      </c>
      <c r="AL3152">
        <f>IF($C3152="","",IF(OR($Q3152=TRUE(),$Q3152="TRUE"),1,0))</f>
        <v/>
      </c>
      <c r="AM3152">
        <f>IF($C3152="","",IF($W3152="Yes",1,0))</f>
        <v/>
      </c>
      <c r="AN3152">
        <f>IF($AJ3152=1,IFERROR(IF(VALUE($C3152)&lt;100000000,VALUE($C3152),1000000000),IFERROR(IF(VALUE(MID($C3152,2,20))&lt;100000000,VALUE(MID($C3152,2,20)),1000000000),1000000000))+ROW()/100000,"")</f>
        <v/>
      </c>
    </row>
    <row r="3153">
      <c r="E3153" s="11" t="n"/>
      <c r="M3153" s="7">
        <f>IF($C3153="","",L3153*U3153/100)</f>
        <v/>
      </c>
      <c r="N3153" s="7" t="n"/>
      <c r="T3153" s="7" t="n"/>
      <c r="U3153" s="7">
        <f>IF($C3153="","",S3153*T3153)</f>
        <v/>
      </c>
      <c r="X3153">
        <f>IF($C3153="","",IF($AM3153=1,0,IF($AL3153=1,Settings!$C$6,Settings!$C$7))*100)</f>
        <v/>
      </c>
      <c r="AB3153" s="7" t="n"/>
      <c r="AE3153" s="11" t="n"/>
      <c r="AG3153" s="7">
        <f>IF($C3153="","",U3153*X3153/100)</f>
        <v/>
      </c>
      <c r="AH3153" s="7">
        <f>IF($C3153="","",U3153-AG3153)</f>
        <v/>
      </c>
      <c r="AI3153" s="7">
        <f>IF($C3153="","",AH3153-M3153)</f>
        <v/>
      </c>
      <c r="AJ3153">
        <f>IF($C3153="","",IF(COUNTIF($C$2:$C3153,$C3153)=1,1,0))</f>
        <v/>
      </c>
      <c r="AK3153">
        <f>IF($AJ3153=1,SUMPRODUCT(--($AN$2:$AN$4001&lt;$AN3153))+1,"")</f>
        <v/>
      </c>
      <c r="AL3153">
        <f>IF($C3153="","",IF(OR($Q3153=TRUE(),$Q3153="TRUE"),1,0))</f>
        <v/>
      </c>
      <c r="AM3153">
        <f>IF($C3153="","",IF($W3153="Yes",1,0))</f>
        <v/>
      </c>
      <c r="AN3153">
        <f>IF($AJ3153=1,IFERROR(IF(VALUE($C3153)&lt;100000000,VALUE($C3153),1000000000),IFERROR(IF(VALUE(MID($C3153,2,20))&lt;100000000,VALUE(MID($C3153,2,20)),1000000000),1000000000))+ROW()/100000,"")</f>
        <v/>
      </c>
    </row>
    <row r="3154">
      <c r="E3154" s="11" t="n"/>
      <c r="M3154" s="7">
        <f>IF($C3154="","",L3154*U3154/100)</f>
        <v/>
      </c>
      <c r="N3154" s="7" t="n"/>
      <c r="T3154" s="7" t="n"/>
      <c r="U3154" s="7">
        <f>IF($C3154="","",S3154*T3154)</f>
        <v/>
      </c>
      <c r="X3154">
        <f>IF($C3154="","",IF($AM3154=1,0,IF($AL3154=1,Settings!$C$6,Settings!$C$7))*100)</f>
        <v/>
      </c>
      <c r="AB3154" s="7" t="n"/>
      <c r="AE3154" s="11" t="n"/>
      <c r="AG3154" s="7">
        <f>IF($C3154="","",U3154*X3154/100)</f>
        <v/>
      </c>
      <c r="AH3154" s="7">
        <f>IF($C3154="","",U3154-AG3154)</f>
        <v/>
      </c>
      <c r="AI3154" s="7">
        <f>IF($C3154="","",AH3154-M3154)</f>
        <v/>
      </c>
      <c r="AJ3154">
        <f>IF($C3154="","",IF(COUNTIF($C$2:$C3154,$C3154)=1,1,0))</f>
        <v/>
      </c>
      <c r="AK3154">
        <f>IF($AJ3154=1,SUMPRODUCT(--($AN$2:$AN$4001&lt;$AN3154))+1,"")</f>
        <v/>
      </c>
      <c r="AL3154">
        <f>IF($C3154="","",IF(OR($Q3154=TRUE(),$Q3154="TRUE"),1,0))</f>
        <v/>
      </c>
      <c r="AM3154">
        <f>IF($C3154="","",IF($W3154="Yes",1,0))</f>
        <v/>
      </c>
      <c r="AN3154">
        <f>IF($AJ3154=1,IFERROR(IF(VALUE($C3154)&lt;100000000,VALUE($C3154),1000000000),IFERROR(IF(VALUE(MID($C3154,2,20))&lt;100000000,VALUE(MID($C3154,2,20)),1000000000),1000000000))+ROW()/100000,"")</f>
        <v/>
      </c>
    </row>
    <row r="3155">
      <c r="E3155" s="11" t="n"/>
      <c r="M3155" s="7">
        <f>IF($C3155="","",L3155*U3155/100)</f>
        <v/>
      </c>
      <c r="N3155" s="7" t="n"/>
      <c r="T3155" s="7" t="n"/>
      <c r="U3155" s="7">
        <f>IF($C3155="","",S3155*T3155)</f>
        <v/>
      </c>
      <c r="X3155">
        <f>IF($C3155="","",IF($AM3155=1,0,IF($AL3155=1,Settings!$C$6,Settings!$C$7))*100)</f>
        <v/>
      </c>
      <c r="AB3155" s="7" t="n"/>
      <c r="AE3155" s="11" t="n"/>
      <c r="AG3155" s="7">
        <f>IF($C3155="","",U3155*X3155/100)</f>
        <v/>
      </c>
      <c r="AH3155" s="7">
        <f>IF($C3155="","",U3155-AG3155)</f>
        <v/>
      </c>
      <c r="AI3155" s="7">
        <f>IF($C3155="","",AH3155-M3155)</f>
        <v/>
      </c>
      <c r="AJ3155">
        <f>IF($C3155="","",IF(COUNTIF($C$2:$C3155,$C3155)=1,1,0))</f>
        <v/>
      </c>
      <c r="AK3155">
        <f>IF($AJ3155=1,SUMPRODUCT(--($AN$2:$AN$4001&lt;$AN3155))+1,"")</f>
        <v/>
      </c>
      <c r="AL3155">
        <f>IF($C3155="","",IF(OR($Q3155=TRUE(),$Q3155="TRUE"),1,0))</f>
        <v/>
      </c>
      <c r="AM3155">
        <f>IF($C3155="","",IF($W3155="Yes",1,0))</f>
        <v/>
      </c>
      <c r="AN3155">
        <f>IF($AJ3155=1,IFERROR(IF(VALUE($C3155)&lt;100000000,VALUE($C3155),1000000000),IFERROR(IF(VALUE(MID($C3155,2,20))&lt;100000000,VALUE(MID($C3155,2,20)),1000000000),1000000000))+ROW()/100000,"")</f>
        <v/>
      </c>
    </row>
    <row r="3156">
      <c r="E3156" s="11" t="n"/>
      <c r="M3156" s="7">
        <f>IF($C3156="","",L3156*U3156/100)</f>
        <v/>
      </c>
      <c r="N3156" s="7" t="n"/>
      <c r="T3156" s="7" t="n"/>
      <c r="U3156" s="7">
        <f>IF($C3156="","",S3156*T3156)</f>
        <v/>
      </c>
      <c r="X3156">
        <f>IF($C3156="","",IF($AM3156=1,0,IF($AL3156=1,Settings!$C$6,Settings!$C$7))*100)</f>
        <v/>
      </c>
      <c r="AB3156" s="7" t="n"/>
      <c r="AE3156" s="11" t="n"/>
      <c r="AG3156" s="7">
        <f>IF($C3156="","",U3156*X3156/100)</f>
        <v/>
      </c>
      <c r="AH3156" s="7">
        <f>IF($C3156="","",U3156-AG3156)</f>
        <v/>
      </c>
      <c r="AI3156" s="7">
        <f>IF($C3156="","",AH3156-M3156)</f>
        <v/>
      </c>
      <c r="AJ3156">
        <f>IF($C3156="","",IF(COUNTIF($C$2:$C3156,$C3156)=1,1,0))</f>
        <v/>
      </c>
      <c r="AK3156">
        <f>IF($AJ3156=1,SUMPRODUCT(--($AN$2:$AN$4001&lt;$AN3156))+1,"")</f>
        <v/>
      </c>
      <c r="AL3156">
        <f>IF($C3156="","",IF(OR($Q3156=TRUE(),$Q3156="TRUE"),1,0))</f>
        <v/>
      </c>
      <c r="AM3156">
        <f>IF($C3156="","",IF($W3156="Yes",1,0))</f>
        <v/>
      </c>
      <c r="AN3156">
        <f>IF($AJ3156=1,IFERROR(IF(VALUE($C3156)&lt;100000000,VALUE($C3156),1000000000),IFERROR(IF(VALUE(MID($C3156,2,20))&lt;100000000,VALUE(MID($C3156,2,20)),1000000000),1000000000))+ROW()/100000,"")</f>
        <v/>
      </c>
    </row>
    <row r="3157">
      <c r="E3157" s="11" t="n"/>
      <c r="M3157" s="7">
        <f>IF($C3157="","",L3157*U3157/100)</f>
        <v/>
      </c>
      <c r="N3157" s="7" t="n"/>
      <c r="T3157" s="7" t="n"/>
      <c r="U3157" s="7">
        <f>IF($C3157="","",S3157*T3157)</f>
        <v/>
      </c>
      <c r="X3157">
        <f>IF($C3157="","",IF($AM3157=1,0,IF($AL3157=1,Settings!$C$6,Settings!$C$7))*100)</f>
        <v/>
      </c>
      <c r="AB3157" s="7" t="n"/>
      <c r="AE3157" s="11" t="n"/>
      <c r="AG3157" s="7">
        <f>IF($C3157="","",U3157*X3157/100)</f>
        <v/>
      </c>
      <c r="AH3157" s="7">
        <f>IF($C3157="","",U3157-AG3157)</f>
        <v/>
      </c>
      <c r="AI3157" s="7">
        <f>IF($C3157="","",AH3157-M3157)</f>
        <v/>
      </c>
      <c r="AJ3157">
        <f>IF($C3157="","",IF(COUNTIF($C$2:$C3157,$C3157)=1,1,0))</f>
        <v/>
      </c>
      <c r="AK3157">
        <f>IF($AJ3157=1,SUMPRODUCT(--($AN$2:$AN$4001&lt;$AN3157))+1,"")</f>
        <v/>
      </c>
      <c r="AL3157">
        <f>IF($C3157="","",IF(OR($Q3157=TRUE(),$Q3157="TRUE"),1,0))</f>
        <v/>
      </c>
      <c r="AM3157">
        <f>IF($C3157="","",IF($W3157="Yes",1,0))</f>
        <v/>
      </c>
      <c r="AN3157">
        <f>IF($AJ3157=1,IFERROR(IF(VALUE($C3157)&lt;100000000,VALUE($C3157),1000000000),IFERROR(IF(VALUE(MID($C3157,2,20))&lt;100000000,VALUE(MID($C3157,2,20)),1000000000),1000000000))+ROW()/100000,"")</f>
        <v/>
      </c>
    </row>
    <row r="3158">
      <c r="E3158" s="11" t="n"/>
      <c r="M3158" s="7">
        <f>IF($C3158="","",L3158*U3158/100)</f>
        <v/>
      </c>
      <c r="N3158" s="7" t="n"/>
      <c r="T3158" s="7" t="n"/>
      <c r="U3158" s="7">
        <f>IF($C3158="","",S3158*T3158)</f>
        <v/>
      </c>
      <c r="X3158">
        <f>IF($C3158="","",IF($AM3158=1,0,IF($AL3158=1,Settings!$C$6,Settings!$C$7))*100)</f>
        <v/>
      </c>
      <c r="AB3158" s="7" t="n"/>
      <c r="AE3158" s="11" t="n"/>
      <c r="AG3158" s="7">
        <f>IF($C3158="","",U3158*X3158/100)</f>
        <v/>
      </c>
      <c r="AH3158" s="7">
        <f>IF($C3158="","",U3158-AG3158)</f>
        <v/>
      </c>
      <c r="AI3158" s="7">
        <f>IF($C3158="","",AH3158-M3158)</f>
        <v/>
      </c>
      <c r="AJ3158">
        <f>IF($C3158="","",IF(COUNTIF($C$2:$C3158,$C3158)=1,1,0))</f>
        <v/>
      </c>
      <c r="AK3158">
        <f>IF($AJ3158=1,SUMPRODUCT(--($AN$2:$AN$4001&lt;$AN3158))+1,"")</f>
        <v/>
      </c>
      <c r="AL3158">
        <f>IF($C3158="","",IF(OR($Q3158=TRUE(),$Q3158="TRUE"),1,0))</f>
        <v/>
      </c>
      <c r="AM3158">
        <f>IF($C3158="","",IF($W3158="Yes",1,0))</f>
        <v/>
      </c>
      <c r="AN3158">
        <f>IF($AJ3158=1,IFERROR(IF(VALUE($C3158)&lt;100000000,VALUE($C3158),1000000000),IFERROR(IF(VALUE(MID($C3158,2,20))&lt;100000000,VALUE(MID($C3158,2,20)),1000000000),1000000000))+ROW()/100000,"")</f>
        <v/>
      </c>
    </row>
    <row r="3159">
      <c r="E3159" s="11" t="n"/>
      <c r="M3159" s="7">
        <f>IF($C3159="","",L3159*U3159/100)</f>
        <v/>
      </c>
      <c r="N3159" s="7" t="n"/>
      <c r="T3159" s="7" t="n"/>
      <c r="U3159" s="7">
        <f>IF($C3159="","",S3159*T3159)</f>
        <v/>
      </c>
      <c r="X3159">
        <f>IF($C3159="","",IF($AM3159=1,0,IF($AL3159=1,Settings!$C$6,Settings!$C$7))*100)</f>
        <v/>
      </c>
      <c r="AB3159" s="7" t="n"/>
      <c r="AE3159" s="11" t="n"/>
      <c r="AG3159" s="7">
        <f>IF($C3159="","",U3159*X3159/100)</f>
        <v/>
      </c>
      <c r="AH3159" s="7">
        <f>IF($C3159="","",U3159-AG3159)</f>
        <v/>
      </c>
      <c r="AI3159" s="7">
        <f>IF($C3159="","",AH3159-M3159)</f>
        <v/>
      </c>
      <c r="AJ3159">
        <f>IF($C3159="","",IF(COUNTIF($C$2:$C3159,$C3159)=1,1,0))</f>
        <v/>
      </c>
      <c r="AK3159">
        <f>IF($AJ3159=1,SUMPRODUCT(--($AN$2:$AN$4001&lt;$AN3159))+1,"")</f>
        <v/>
      </c>
      <c r="AL3159">
        <f>IF($C3159="","",IF(OR($Q3159=TRUE(),$Q3159="TRUE"),1,0))</f>
        <v/>
      </c>
      <c r="AM3159">
        <f>IF($C3159="","",IF($W3159="Yes",1,0))</f>
        <v/>
      </c>
      <c r="AN3159">
        <f>IF($AJ3159=1,IFERROR(IF(VALUE($C3159)&lt;100000000,VALUE($C3159),1000000000),IFERROR(IF(VALUE(MID($C3159,2,20))&lt;100000000,VALUE(MID($C3159,2,20)),1000000000),1000000000))+ROW()/100000,"")</f>
        <v/>
      </c>
    </row>
    <row r="3160">
      <c r="E3160" s="11" t="n"/>
      <c r="M3160" s="7">
        <f>IF($C3160="","",L3160*U3160/100)</f>
        <v/>
      </c>
      <c r="N3160" s="7" t="n"/>
      <c r="T3160" s="7" t="n"/>
      <c r="U3160" s="7">
        <f>IF($C3160="","",S3160*T3160)</f>
        <v/>
      </c>
      <c r="X3160">
        <f>IF($C3160="","",IF($AM3160=1,0,IF($AL3160=1,Settings!$C$6,Settings!$C$7))*100)</f>
        <v/>
      </c>
      <c r="AB3160" s="7" t="n"/>
      <c r="AE3160" s="11" t="n"/>
      <c r="AG3160" s="7">
        <f>IF($C3160="","",U3160*X3160/100)</f>
        <v/>
      </c>
      <c r="AH3160" s="7">
        <f>IF($C3160="","",U3160-AG3160)</f>
        <v/>
      </c>
      <c r="AI3160" s="7">
        <f>IF($C3160="","",AH3160-M3160)</f>
        <v/>
      </c>
      <c r="AJ3160">
        <f>IF($C3160="","",IF(COUNTIF($C$2:$C3160,$C3160)=1,1,0))</f>
        <v/>
      </c>
      <c r="AK3160">
        <f>IF($AJ3160=1,SUMPRODUCT(--($AN$2:$AN$4001&lt;$AN3160))+1,"")</f>
        <v/>
      </c>
      <c r="AL3160">
        <f>IF($C3160="","",IF(OR($Q3160=TRUE(),$Q3160="TRUE"),1,0))</f>
        <v/>
      </c>
      <c r="AM3160">
        <f>IF($C3160="","",IF($W3160="Yes",1,0))</f>
        <v/>
      </c>
      <c r="AN3160">
        <f>IF($AJ3160=1,IFERROR(IF(VALUE($C3160)&lt;100000000,VALUE($C3160),1000000000),IFERROR(IF(VALUE(MID($C3160,2,20))&lt;100000000,VALUE(MID($C3160,2,20)),1000000000),1000000000))+ROW()/100000,"")</f>
        <v/>
      </c>
    </row>
    <row r="3161">
      <c r="E3161" s="11" t="n"/>
      <c r="M3161" s="7">
        <f>IF($C3161="","",L3161*U3161/100)</f>
        <v/>
      </c>
      <c r="N3161" s="7" t="n"/>
      <c r="T3161" s="7" t="n"/>
      <c r="U3161" s="7">
        <f>IF($C3161="","",S3161*T3161)</f>
        <v/>
      </c>
      <c r="X3161">
        <f>IF($C3161="","",IF($AM3161=1,0,IF($AL3161=1,Settings!$C$6,Settings!$C$7))*100)</f>
        <v/>
      </c>
      <c r="AB3161" s="7" t="n"/>
      <c r="AE3161" s="11" t="n"/>
      <c r="AG3161" s="7">
        <f>IF($C3161="","",U3161*X3161/100)</f>
        <v/>
      </c>
      <c r="AH3161" s="7">
        <f>IF($C3161="","",U3161-AG3161)</f>
        <v/>
      </c>
      <c r="AI3161" s="7">
        <f>IF($C3161="","",AH3161-M3161)</f>
        <v/>
      </c>
      <c r="AJ3161">
        <f>IF($C3161="","",IF(COUNTIF($C$2:$C3161,$C3161)=1,1,0))</f>
        <v/>
      </c>
      <c r="AK3161">
        <f>IF($AJ3161=1,SUMPRODUCT(--($AN$2:$AN$4001&lt;$AN3161))+1,"")</f>
        <v/>
      </c>
      <c r="AL3161">
        <f>IF($C3161="","",IF(OR($Q3161=TRUE(),$Q3161="TRUE"),1,0))</f>
        <v/>
      </c>
      <c r="AM3161">
        <f>IF($C3161="","",IF($W3161="Yes",1,0))</f>
        <v/>
      </c>
      <c r="AN3161">
        <f>IF($AJ3161=1,IFERROR(IF(VALUE($C3161)&lt;100000000,VALUE($C3161),1000000000),IFERROR(IF(VALUE(MID($C3161,2,20))&lt;100000000,VALUE(MID($C3161,2,20)),1000000000),1000000000))+ROW()/100000,"")</f>
        <v/>
      </c>
    </row>
    <row r="3162">
      <c r="E3162" s="11" t="n"/>
      <c r="M3162" s="7">
        <f>IF($C3162="","",L3162*U3162/100)</f>
        <v/>
      </c>
      <c r="N3162" s="7" t="n"/>
      <c r="T3162" s="7" t="n"/>
      <c r="U3162" s="7">
        <f>IF($C3162="","",S3162*T3162)</f>
        <v/>
      </c>
      <c r="X3162">
        <f>IF($C3162="","",IF($AM3162=1,0,IF($AL3162=1,Settings!$C$6,Settings!$C$7))*100)</f>
        <v/>
      </c>
      <c r="AB3162" s="7" t="n"/>
      <c r="AE3162" s="11" t="n"/>
      <c r="AG3162" s="7">
        <f>IF($C3162="","",U3162*X3162/100)</f>
        <v/>
      </c>
      <c r="AH3162" s="7">
        <f>IF($C3162="","",U3162-AG3162)</f>
        <v/>
      </c>
      <c r="AI3162" s="7">
        <f>IF($C3162="","",AH3162-M3162)</f>
        <v/>
      </c>
      <c r="AJ3162">
        <f>IF($C3162="","",IF(COUNTIF($C$2:$C3162,$C3162)=1,1,0))</f>
        <v/>
      </c>
      <c r="AK3162">
        <f>IF($AJ3162=1,SUMPRODUCT(--($AN$2:$AN$4001&lt;$AN3162))+1,"")</f>
        <v/>
      </c>
      <c r="AL3162">
        <f>IF($C3162="","",IF(OR($Q3162=TRUE(),$Q3162="TRUE"),1,0))</f>
        <v/>
      </c>
      <c r="AM3162">
        <f>IF($C3162="","",IF($W3162="Yes",1,0))</f>
        <v/>
      </c>
      <c r="AN3162">
        <f>IF($AJ3162=1,IFERROR(IF(VALUE($C3162)&lt;100000000,VALUE($C3162),1000000000),IFERROR(IF(VALUE(MID($C3162,2,20))&lt;100000000,VALUE(MID($C3162,2,20)),1000000000),1000000000))+ROW()/100000,"")</f>
        <v/>
      </c>
    </row>
    <row r="3163">
      <c r="E3163" s="11" t="n"/>
      <c r="M3163" s="7">
        <f>IF($C3163="","",L3163*U3163/100)</f>
        <v/>
      </c>
      <c r="N3163" s="7" t="n"/>
      <c r="T3163" s="7" t="n"/>
      <c r="U3163" s="7">
        <f>IF($C3163="","",S3163*T3163)</f>
        <v/>
      </c>
      <c r="X3163">
        <f>IF($C3163="","",IF($AM3163=1,0,IF($AL3163=1,Settings!$C$6,Settings!$C$7))*100)</f>
        <v/>
      </c>
      <c r="AB3163" s="7" t="n"/>
      <c r="AE3163" s="11" t="n"/>
      <c r="AG3163" s="7">
        <f>IF($C3163="","",U3163*X3163/100)</f>
        <v/>
      </c>
      <c r="AH3163" s="7">
        <f>IF($C3163="","",U3163-AG3163)</f>
        <v/>
      </c>
      <c r="AI3163" s="7">
        <f>IF($C3163="","",AH3163-M3163)</f>
        <v/>
      </c>
      <c r="AJ3163">
        <f>IF($C3163="","",IF(COUNTIF($C$2:$C3163,$C3163)=1,1,0))</f>
        <v/>
      </c>
      <c r="AK3163">
        <f>IF($AJ3163=1,SUMPRODUCT(--($AN$2:$AN$4001&lt;$AN3163))+1,"")</f>
        <v/>
      </c>
      <c r="AL3163">
        <f>IF($C3163="","",IF(OR($Q3163=TRUE(),$Q3163="TRUE"),1,0))</f>
        <v/>
      </c>
      <c r="AM3163">
        <f>IF($C3163="","",IF($W3163="Yes",1,0))</f>
        <v/>
      </c>
      <c r="AN3163">
        <f>IF($AJ3163=1,IFERROR(IF(VALUE($C3163)&lt;100000000,VALUE($C3163),1000000000),IFERROR(IF(VALUE(MID($C3163,2,20))&lt;100000000,VALUE(MID($C3163,2,20)),1000000000),1000000000))+ROW()/100000,"")</f>
        <v/>
      </c>
    </row>
    <row r="3164">
      <c r="E3164" s="11" t="n"/>
      <c r="M3164" s="7">
        <f>IF($C3164="","",L3164*U3164/100)</f>
        <v/>
      </c>
      <c r="N3164" s="7" t="n"/>
      <c r="T3164" s="7" t="n"/>
      <c r="U3164" s="7">
        <f>IF($C3164="","",S3164*T3164)</f>
        <v/>
      </c>
      <c r="X3164">
        <f>IF($C3164="","",IF($AM3164=1,0,IF($AL3164=1,Settings!$C$6,Settings!$C$7))*100)</f>
        <v/>
      </c>
      <c r="AB3164" s="7" t="n"/>
      <c r="AE3164" s="11" t="n"/>
      <c r="AG3164" s="7">
        <f>IF($C3164="","",U3164*X3164/100)</f>
        <v/>
      </c>
      <c r="AH3164" s="7">
        <f>IF($C3164="","",U3164-AG3164)</f>
        <v/>
      </c>
      <c r="AI3164" s="7">
        <f>IF($C3164="","",AH3164-M3164)</f>
        <v/>
      </c>
      <c r="AJ3164">
        <f>IF($C3164="","",IF(COUNTIF($C$2:$C3164,$C3164)=1,1,0))</f>
        <v/>
      </c>
      <c r="AK3164">
        <f>IF($AJ3164=1,SUMPRODUCT(--($AN$2:$AN$4001&lt;$AN3164))+1,"")</f>
        <v/>
      </c>
      <c r="AL3164">
        <f>IF($C3164="","",IF(OR($Q3164=TRUE(),$Q3164="TRUE"),1,0))</f>
        <v/>
      </c>
      <c r="AM3164">
        <f>IF($C3164="","",IF($W3164="Yes",1,0))</f>
        <v/>
      </c>
      <c r="AN3164">
        <f>IF($AJ3164=1,IFERROR(IF(VALUE($C3164)&lt;100000000,VALUE($C3164),1000000000),IFERROR(IF(VALUE(MID($C3164,2,20))&lt;100000000,VALUE(MID($C3164,2,20)),1000000000),1000000000))+ROW()/100000,"")</f>
        <v/>
      </c>
    </row>
    <row r="3165">
      <c r="E3165" s="11" t="n"/>
      <c r="M3165" s="7">
        <f>IF($C3165="","",L3165*U3165/100)</f>
        <v/>
      </c>
      <c r="N3165" s="7" t="n"/>
      <c r="T3165" s="7" t="n"/>
      <c r="U3165" s="7">
        <f>IF($C3165="","",S3165*T3165)</f>
        <v/>
      </c>
      <c r="X3165">
        <f>IF($C3165="","",IF($AM3165=1,0,IF($AL3165=1,Settings!$C$6,Settings!$C$7))*100)</f>
        <v/>
      </c>
      <c r="AB3165" s="7" t="n"/>
      <c r="AE3165" s="11" t="n"/>
      <c r="AG3165" s="7">
        <f>IF($C3165="","",U3165*X3165/100)</f>
        <v/>
      </c>
      <c r="AH3165" s="7">
        <f>IF($C3165="","",U3165-AG3165)</f>
        <v/>
      </c>
      <c r="AI3165" s="7">
        <f>IF($C3165="","",AH3165-M3165)</f>
        <v/>
      </c>
      <c r="AJ3165">
        <f>IF($C3165="","",IF(COUNTIF($C$2:$C3165,$C3165)=1,1,0))</f>
        <v/>
      </c>
      <c r="AK3165">
        <f>IF($AJ3165=1,SUMPRODUCT(--($AN$2:$AN$4001&lt;$AN3165))+1,"")</f>
        <v/>
      </c>
      <c r="AL3165">
        <f>IF($C3165="","",IF(OR($Q3165=TRUE(),$Q3165="TRUE"),1,0))</f>
        <v/>
      </c>
      <c r="AM3165">
        <f>IF($C3165="","",IF($W3165="Yes",1,0))</f>
        <v/>
      </c>
      <c r="AN3165">
        <f>IF($AJ3165=1,IFERROR(IF(VALUE($C3165)&lt;100000000,VALUE($C3165),1000000000),IFERROR(IF(VALUE(MID($C3165,2,20))&lt;100000000,VALUE(MID($C3165,2,20)),1000000000),1000000000))+ROW()/100000,"")</f>
        <v/>
      </c>
    </row>
    <row r="3166">
      <c r="E3166" s="11" t="n"/>
      <c r="M3166" s="7">
        <f>IF($C3166="","",L3166*U3166/100)</f>
        <v/>
      </c>
      <c r="N3166" s="7" t="n"/>
      <c r="T3166" s="7" t="n"/>
      <c r="U3166" s="7">
        <f>IF($C3166="","",S3166*T3166)</f>
        <v/>
      </c>
      <c r="X3166">
        <f>IF($C3166="","",IF($AM3166=1,0,IF($AL3166=1,Settings!$C$6,Settings!$C$7))*100)</f>
        <v/>
      </c>
      <c r="AB3166" s="7" t="n"/>
      <c r="AE3166" s="11" t="n"/>
      <c r="AG3166" s="7">
        <f>IF($C3166="","",U3166*X3166/100)</f>
        <v/>
      </c>
      <c r="AH3166" s="7">
        <f>IF($C3166="","",U3166-AG3166)</f>
        <v/>
      </c>
      <c r="AI3166" s="7">
        <f>IF($C3166="","",AH3166-M3166)</f>
        <v/>
      </c>
      <c r="AJ3166">
        <f>IF($C3166="","",IF(COUNTIF($C$2:$C3166,$C3166)=1,1,0))</f>
        <v/>
      </c>
      <c r="AK3166">
        <f>IF($AJ3166=1,SUMPRODUCT(--($AN$2:$AN$4001&lt;$AN3166))+1,"")</f>
        <v/>
      </c>
      <c r="AL3166">
        <f>IF($C3166="","",IF(OR($Q3166=TRUE(),$Q3166="TRUE"),1,0))</f>
        <v/>
      </c>
      <c r="AM3166">
        <f>IF($C3166="","",IF($W3166="Yes",1,0))</f>
        <v/>
      </c>
      <c r="AN3166">
        <f>IF($AJ3166=1,IFERROR(IF(VALUE($C3166)&lt;100000000,VALUE($C3166),1000000000),IFERROR(IF(VALUE(MID($C3166,2,20))&lt;100000000,VALUE(MID($C3166,2,20)),1000000000),1000000000))+ROW()/100000,"")</f>
        <v/>
      </c>
    </row>
    <row r="3167">
      <c r="E3167" s="11" t="n"/>
      <c r="M3167" s="7">
        <f>IF($C3167="","",L3167*U3167/100)</f>
        <v/>
      </c>
      <c r="N3167" s="7" t="n"/>
      <c r="T3167" s="7" t="n"/>
      <c r="U3167" s="7">
        <f>IF($C3167="","",S3167*T3167)</f>
        <v/>
      </c>
      <c r="X3167">
        <f>IF($C3167="","",IF($AM3167=1,0,IF($AL3167=1,Settings!$C$6,Settings!$C$7))*100)</f>
        <v/>
      </c>
      <c r="AB3167" s="7" t="n"/>
      <c r="AE3167" s="11" t="n"/>
      <c r="AG3167" s="7">
        <f>IF($C3167="","",U3167*X3167/100)</f>
        <v/>
      </c>
      <c r="AH3167" s="7">
        <f>IF($C3167="","",U3167-AG3167)</f>
        <v/>
      </c>
      <c r="AI3167" s="7">
        <f>IF($C3167="","",AH3167-M3167)</f>
        <v/>
      </c>
      <c r="AJ3167">
        <f>IF($C3167="","",IF(COUNTIF($C$2:$C3167,$C3167)=1,1,0))</f>
        <v/>
      </c>
      <c r="AK3167">
        <f>IF($AJ3167=1,SUMPRODUCT(--($AN$2:$AN$4001&lt;$AN3167))+1,"")</f>
        <v/>
      </c>
      <c r="AL3167">
        <f>IF($C3167="","",IF(OR($Q3167=TRUE(),$Q3167="TRUE"),1,0))</f>
        <v/>
      </c>
      <c r="AM3167">
        <f>IF($C3167="","",IF($W3167="Yes",1,0))</f>
        <v/>
      </c>
      <c r="AN3167">
        <f>IF($AJ3167=1,IFERROR(IF(VALUE($C3167)&lt;100000000,VALUE($C3167),1000000000),IFERROR(IF(VALUE(MID($C3167,2,20))&lt;100000000,VALUE(MID($C3167,2,20)),1000000000),1000000000))+ROW()/100000,"")</f>
        <v/>
      </c>
    </row>
    <row r="3168">
      <c r="E3168" s="11" t="n"/>
      <c r="M3168" s="7">
        <f>IF($C3168="","",L3168*U3168/100)</f>
        <v/>
      </c>
      <c r="N3168" s="7" t="n"/>
      <c r="T3168" s="7" t="n"/>
      <c r="U3168" s="7">
        <f>IF($C3168="","",S3168*T3168)</f>
        <v/>
      </c>
      <c r="X3168">
        <f>IF($C3168="","",IF($AM3168=1,0,IF($AL3168=1,Settings!$C$6,Settings!$C$7))*100)</f>
        <v/>
      </c>
      <c r="AB3168" s="7" t="n"/>
      <c r="AE3168" s="11" t="n"/>
      <c r="AG3168" s="7">
        <f>IF($C3168="","",U3168*X3168/100)</f>
        <v/>
      </c>
      <c r="AH3168" s="7">
        <f>IF($C3168="","",U3168-AG3168)</f>
        <v/>
      </c>
      <c r="AI3168" s="7">
        <f>IF($C3168="","",AH3168-M3168)</f>
        <v/>
      </c>
      <c r="AJ3168">
        <f>IF($C3168="","",IF(COUNTIF($C$2:$C3168,$C3168)=1,1,0))</f>
        <v/>
      </c>
      <c r="AK3168">
        <f>IF($AJ3168=1,SUMPRODUCT(--($AN$2:$AN$4001&lt;$AN3168))+1,"")</f>
        <v/>
      </c>
      <c r="AL3168">
        <f>IF($C3168="","",IF(OR($Q3168=TRUE(),$Q3168="TRUE"),1,0))</f>
        <v/>
      </c>
      <c r="AM3168">
        <f>IF($C3168="","",IF($W3168="Yes",1,0))</f>
        <v/>
      </c>
      <c r="AN3168">
        <f>IF($AJ3168=1,IFERROR(IF(VALUE($C3168)&lt;100000000,VALUE($C3168),1000000000),IFERROR(IF(VALUE(MID($C3168,2,20))&lt;100000000,VALUE(MID($C3168,2,20)),1000000000),1000000000))+ROW()/100000,"")</f>
        <v/>
      </c>
    </row>
    <row r="3169">
      <c r="E3169" s="11" t="n"/>
      <c r="M3169" s="7">
        <f>IF($C3169="","",L3169*U3169/100)</f>
        <v/>
      </c>
      <c r="N3169" s="7" t="n"/>
      <c r="T3169" s="7" t="n"/>
      <c r="U3169" s="7">
        <f>IF($C3169="","",S3169*T3169)</f>
        <v/>
      </c>
      <c r="X3169">
        <f>IF($C3169="","",IF($AM3169=1,0,IF($AL3169=1,Settings!$C$6,Settings!$C$7))*100)</f>
        <v/>
      </c>
      <c r="AB3169" s="7" t="n"/>
      <c r="AE3169" s="11" t="n"/>
      <c r="AG3169" s="7">
        <f>IF($C3169="","",U3169*X3169/100)</f>
        <v/>
      </c>
      <c r="AH3169" s="7">
        <f>IF($C3169="","",U3169-AG3169)</f>
        <v/>
      </c>
      <c r="AI3169" s="7">
        <f>IF($C3169="","",AH3169-M3169)</f>
        <v/>
      </c>
      <c r="AJ3169">
        <f>IF($C3169="","",IF(COUNTIF($C$2:$C3169,$C3169)=1,1,0))</f>
        <v/>
      </c>
      <c r="AK3169">
        <f>IF($AJ3169=1,SUMPRODUCT(--($AN$2:$AN$4001&lt;$AN3169))+1,"")</f>
        <v/>
      </c>
      <c r="AL3169">
        <f>IF($C3169="","",IF(OR($Q3169=TRUE(),$Q3169="TRUE"),1,0))</f>
        <v/>
      </c>
      <c r="AM3169">
        <f>IF($C3169="","",IF($W3169="Yes",1,0))</f>
        <v/>
      </c>
      <c r="AN3169">
        <f>IF($AJ3169=1,IFERROR(IF(VALUE($C3169)&lt;100000000,VALUE($C3169),1000000000),IFERROR(IF(VALUE(MID($C3169,2,20))&lt;100000000,VALUE(MID($C3169,2,20)),1000000000),1000000000))+ROW()/100000,"")</f>
        <v/>
      </c>
    </row>
    <row r="3170">
      <c r="E3170" s="11" t="n"/>
      <c r="M3170" s="7">
        <f>IF($C3170="","",L3170*U3170/100)</f>
        <v/>
      </c>
      <c r="N3170" s="7" t="n"/>
      <c r="T3170" s="7" t="n"/>
      <c r="U3170" s="7">
        <f>IF($C3170="","",S3170*T3170)</f>
        <v/>
      </c>
      <c r="X3170">
        <f>IF($C3170="","",IF($AM3170=1,0,IF($AL3170=1,Settings!$C$6,Settings!$C$7))*100)</f>
        <v/>
      </c>
      <c r="AB3170" s="7" t="n"/>
      <c r="AE3170" s="11" t="n"/>
      <c r="AG3170" s="7">
        <f>IF($C3170="","",U3170*X3170/100)</f>
        <v/>
      </c>
      <c r="AH3170" s="7">
        <f>IF($C3170="","",U3170-AG3170)</f>
        <v/>
      </c>
      <c r="AI3170" s="7">
        <f>IF($C3170="","",AH3170-M3170)</f>
        <v/>
      </c>
      <c r="AJ3170">
        <f>IF($C3170="","",IF(COUNTIF($C$2:$C3170,$C3170)=1,1,0))</f>
        <v/>
      </c>
      <c r="AK3170">
        <f>IF($AJ3170=1,SUMPRODUCT(--($AN$2:$AN$4001&lt;$AN3170))+1,"")</f>
        <v/>
      </c>
      <c r="AL3170">
        <f>IF($C3170="","",IF(OR($Q3170=TRUE(),$Q3170="TRUE"),1,0))</f>
        <v/>
      </c>
      <c r="AM3170">
        <f>IF($C3170="","",IF($W3170="Yes",1,0))</f>
        <v/>
      </c>
      <c r="AN3170">
        <f>IF($AJ3170=1,IFERROR(IF(VALUE($C3170)&lt;100000000,VALUE($C3170),1000000000),IFERROR(IF(VALUE(MID($C3170,2,20))&lt;100000000,VALUE(MID($C3170,2,20)),1000000000),1000000000))+ROW()/100000,"")</f>
        <v/>
      </c>
    </row>
    <row r="3171">
      <c r="E3171" s="11" t="n"/>
      <c r="M3171" s="7">
        <f>IF($C3171="","",L3171*U3171/100)</f>
        <v/>
      </c>
      <c r="N3171" s="7" t="n"/>
      <c r="T3171" s="7" t="n"/>
      <c r="U3171" s="7">
        <f>IF($C3171="","",S3171*T3171)</f>
        <v/>
      </c>
      <c r="X3171">
        <f>IF($C3171="","",IF($AM3171=1,0,IF($AL3171=1,Settings!$C$6,Settings!$C$7))*100)</f>
        <v/>
      </c>
      <c r="AB3171" s="7" t="n"/>
      <c r="AE3171" s="11" t="n"/>
      <c r="AG3171" s="7">
        <f>IF($C3171="","",U3171*X3171/100)</f>
        <v/>
      </c>
      <c r="AH3171" s="7">
        <f>IF($C3171="","",U3171-AG3171)</f>
        <v/>
      </c>
      <c r="AI3171" s="7">
        <f>IF($C3171="","",AH3171-M3171)</f>
        <v/>
      </c>
      <c r="AJ3171">
        <f>IF($C3171="","",IF(COUNTIF($C$2:$C3171,$C3171)=1,1,0))</f>
        <v/>
      </c>
      <c r="AK3171">
        <f>IF($AJ3171=1,SUMPRODUCT(--($AN$2:$AN$4001&lt;$AN3171))+1,"")</f>
        <v/>
      </c>
      <c r="AL3171">
        <f>IF($C3171="","",IF(OR($Q3171=TRUE(),$Q3171="TRUE"),1,0))</f>
        <v/>
      </c>
      <c r="AM3171">
        <f>IF($C3171="","",IF($W3171="Yes",1,0))</f>
        <v/>
      </c>
      <c r="AN3171">
        <f>IF($AJ3171=1,IFERROR(IF(VALUE($C3171)&lt;100000000,VALUE($C3171),1000000000),IFERROR(IF(VALUE(MID($C3171,2,20))&lt;100000000,VALUE(MID($C3171,2,20)),1000000000),1000000000))+ROW()/100000,"")</f>
        <v/>
      </c>
    </row>
    <row r="3172">
      <c r="E3172" s="11" t="n"/>
      <c r="M3172" s="7">
        <f>IF($C3172="","",L3172*U3172/100)</f>
        <v/>
      </c>
      <c r="N3172" s="7" t="n"/>
      <c r="T3172" s="7" t="n"/>
      <c r="U3172" s="7">
        <f>IF($C3172="","",S3172*T3172)</f>
        <v/>
      </c>
      <c r="X3172">
        <f>IF($C3172="","",IF($AM3172=1,0,IF($AL3172=1,Settings!$C$6,Settings!$C$7))*100)</f>
        <v/>
      </c>
      <c r="AB3172" s="7" t="n"/>
      <c r="AE3172" s="11" t="n"/>
      <c r="AG3172" s="7">
        <f>IF($C3172="","",U3172*X3172/100)</f>
        <v/>
      </c>
      <c r="AH3172" s="7">
        <f>IF($C3172="","",U3172-AG3172)</f>
        <v/>
      </c>
      <c r="AI3172" s="7">
        <f>IF($C3172="","",AH3172-M3172)</f>
        <v/>
      </c>
      <c r="AJ3172">
        <f>IF($C3172="","",IF(COUNTIF($C$2:$C3172,$C3172)=1,1,0))</f>
        <v/>
      </c>
      <c r="AK3172">
        <f>IF($AJ3172=1,SUMPRODUCT(--($AN$2:$AN$4001&lt;$AN3172))+1,"")</f>
        <v/>
      </c>
      <c r="AL3172">
        <f>IF($C3172="","",IF(OR($Q3172=TRUE(),$Q3172="TRUE"),1,0))</f>
        <v/>
      </c>
      <c r="AM3172">
        <f>IF($C3172="","",IF($W3172="Yes",1,0))</f>
        <v/>
      </c>
      <c r="AN3172">
        <f>IF($AJ3172=1,IFERROR(IF(VALUE($C3172)&lt;100000000,VALUE($C3172),1000000000),IFERROR(IF(VALUE(MID($C3172,2,20))&lt;100000000,VALUE(MID($C3172,2,20)),1000000000),1000000000))+ROW()/100000,"")</f>
        <v/>
      </c>
    </row>
    <row r="3173">
      <c r="E3173" s="11" t="n"/>
      <c r="M3173" s="7">
        <f>IF($C3173="","",L3173*U3173/100)</f>
        <v/>
      </c>
      <c r="N3173" s="7" t="n"/>
      <c r="T3173" s="7" t="n"/>
      <c r="U3173" s="7">
        <f>IF($C3173="","",S3173*T3173)</f>
        <v/>
      </c>
      <c r="X3173">
        <f>IF($C3173="","",IF($AM3173=1,0,IF($AL3173=1,Settings!$C$6,Settings!$C$7))*100)</f>
        <v/>
      </c>
      <c r="AB3173" s="7" t="n"/>
      <c r="AE3173" s="11" t="n"/>
      <c r="AG3173" s="7">
        <f>IF($C3173="","",U3173*X3173/100)</f>
        <v/>
      </c>
      <c r="AH3173" s="7">
        <f>IF($C3173="","",U3173-AG3173)</f>
        <v/>
      </c>
      <c r="AI3173" s="7">
        <f>IF($C3173="","",AH3173-M3173)</f>
        <v/>
      </c>
      <c r="AJ3173">
        <f>IF($C3173="","",IF(COUNTIF($C$2:$C3173,$C3173)=1,1,0))</f>
        <v/>
      </c>
      <c r="AK3173">
        <f>IF($AJ3173=1,SUMPRODUCT(--($AN$2:$AN$4001&lt;$AN3173))+1,"")</f>
        <v/>
      </c>
      <c r="AL3173">
        <f>IF($C3173="","",IF(OR($Q3173=TRUE(),$Q3173="TRUE"),1,0))</f>
        <v/>
      </c>
      <c r="AM3173">
        <f>IF($C3173="","",IF($W3173="Yes",1,0))</f>
        <v/>
      </c>
      <c r="AN3173">
        <f>IF($AJ3173=1,IFERROR(IF(VALUE($C3173)&lt;100000000,VALUE($C3173),1000000000),IFERROR(IF(VALUE(MID($C3173,2,20))&lt;100000000,VALUE(MID($C3173,2,20)),1000000000),1000000000))+ROW()/100000,"")</f>
        <v/>
      </c>
    </row>
    <row r="3174">
      <c r="E3174" s="11" t="n"/>
      <c r="M3174" s="7">
        <f>IF($C3174="","",L3174*U3174/100)</f>
        <v/>
      </c>
      <c r="N3174" s="7" t="n"/>
      <c r="T3174" s="7" t="n"/>
      <c r="U3174" s="7">
        <f>IF($C3174="","",S3174*T3174)</f>
        <v/>
      </c>
      <c r="X3174">
        <f>IF($C3174="","",IF($AM3174=1,0,IF($AL3174=1,Settings!$C$6,Settings!$C$7))*100)</f>
        <v/>
      </c>
      <c r="AB3174" s="7" t="n"/>
      <c r="AE3174" s="11" t="n"/>
      <c r="AG3174" s="7">
        <f>IF($C3174="","",U3174*X3174/100)</f>
        <v/>
      </c>
      <c r="AH3174" s="7">
        <f>IF($C3174="","",U3174-AG3174)</f>
        <v/>
      </c>
      <c r="AI3174" s="7">
        <f>IF($C3174="","",AH3174-M3174)</f>
        <v/>
      </c>
      <c r="AJ3174">
        <f>IF($C3174="","",IF(COUNTIF($C$2:$C3174,$C3174)=1,1,0))</f>
        <v/>
      </c>
      <c r="AK3174">
        <f>IF($AJ3174=1,SUMPRODUCT(--($AN$2:$AN$4001&lt;$AN3174))+1,"")</f>
        <v/>
      </c>
      <c r="AL3174">
        <f>IF($C3174="","",IF(OR($Q3174=TRUE(),$Q3174="TRUE"),1,0))</f>
        <v/>
      </c>
      <c r="AM3174">
        <f>IF($C3174="","",IF($W3174="Yes",1,0))</f>
        <v/>
      </c>
      <c r="AN3174">
        <f>IF($AJ3174=1,IFERROR(IF(VALUE($C3174)&lt;100000000,VALUE($C3174),1000000000),IFERROR(IF(VALUE(MID($C3174,2,20))&lt;100000000,VALUE(MID($C3174,2,20)),1000000000),1000000000))+ROW()/100000,"")</f>
        <v/>
      </c>
    </row>
    <row r="3175">
      <c r="E3175" s="11" t="n"/>
      <c r="M3175" s="7">
        <f>IF($C3175="","",L3175*U3175/100)</f>
        <v/>
      </c>
      <c r="N3175" s="7" t="n"/>
      <c r="T3175" s="7" t="n"/>
      <c r="U3175" s="7">
        <f>IF($C3175="","",S3175*T3175)</f>
        <v/>
      </c>
      <c r="X3175">
        <f>IF($C3175="","",IF($AM3175=1,0,IF($AL3175=1,Settings!$C$6,Settings!$C$7))*100)</f>
        <v/>
      </c>
      <c r="AB3175" s="7" t="n"/>
      <c r="AE3175" s="11" t="n"/>
      <c r="AG3175" s="7">
        <f>IF($C3175="","",U3175*X3175/100)</f>
        <v/>
      </c>
      <c r="AH3175" s="7">
        <f>IF($C3175="","",U3175-AG3175)</f>
        <v/>
      </c>
      <c r="AI3175" s="7">
        <f>IF($C3175="","",AH3175-M3175)</f>
        <v/>
      </c>
      <c r="AJ3175">
        <f>IF($C3175="","",IF(COUNTIF($C$2:$C3175,$C3175)=1,1,0))</f>
        <v/>
      </c>
      <c r="AK3175">
        <f>IF($AJ3175=1,SUMPRODUCT(--($AN$2:$AN$4001&lt;$AN3175))+1,"")</f>
        <v/>
      </c>
      <c r="AL3175">
        <f>IF($C3175="","",IF(OR($Q3175=TRUE(),$Q3175="TRUE"),1,0))</f>
        <v/>
      </c>
      <c r="AM3175">
        <f>IF($C3175="","",IF($W3175="Yes",1,0))</f>
        <v/>
      </c>
      <c r="AN3175">
        <f>IF($AJ3175=1,IFERROR(IF(VALUE($C3175)&lt;100000000,VALUE($C3175),1000000000),IFERROR(IF(VALUE(MID($C3175,2,20))&lt;100000000,VALUE(MID($C3175,2,20)),1000000000),1000000000))+ROW()/100000,"")</f>
        <v/>
      </c>
    </row>
    <row r="3176">
      <c r="E3176" s="11" t="n"/>
      <c r="M3176" s="7">
        <f>IF($C3176="","",L3176*U3176/100)</f>
        <v/>
      </c>
      <c r="N3176" s="7" t="n"/>
      <c r="T3176" s="7" t="n"/>
      <c r="U3176" s="7">
        <f>IF($C3176="","",S3176*T3176)</f>
        <v/>
      </c>
      <c r="X3176">
        <f>IF($C3176="","",IF($AM3176=1,0,IF($AL3176=1,Settings!$C$6,Settings!$C$7))*100)</f>
        <v/>
      </c>
      <c r="AB3176" s="7" t="n"/>
      <c r="AE3176" s="11" t="n"/>
      <c r="AG3176" s="7">
        <f>IF($C3176="","",U3176*X3176/100)</f>
        <v/>
      </c>
      <c r="AH3176" s="7">
        <f>IF($C3176="","",U3176-AG3176)</f>
        <v/>
      </c>
      <c r="AI3176" s="7">
        <f>IF($C3176="","",AH3176-M3176)</f>
        <v/>
      </c>
      <c r="AJ3176">
        <f>IF($C3176="","",IF(COUNTIF($C$2:$C3176,$C3176)=1,1,0))</f>
        <v/>
      </c>
      <c r="AK3176">
        <f>IF($AJ3176=1,SUMPRODUCT(--($AN$2:$AN$4001&lt;$AN3176))+1,"")</f>
        <v/>
      </c>
      <c r="AL3176">
        <f>IF($C3176="","",IF(OR($Q3176=TRUE(),$Q3176="TRUE"),1,0))</f>
        <v/>
      </c>
      <c r="AM3176">
        <f>IF($C3176="","",IF($W3176="Yes",1,0))</f>
        <v/>
      </c>
      <c r="AN3176">
        <f>IF($AJ3176=1,IFERROR(IF(VALUE($C3176)&lt;100000000,VALUE($C3176),1000000000),IFERROR(IF(VALUE(MID($C3176,2,20))&lt;100000000,VALUE(MID($C3176,2,20)),1000000000),1000000000))+ROW()/100000,"")</f>
        <v/>
      </c>
    </row>
    <row r="3177">
      <c r="E3177" s="11" t="n"/>
      <c r="M3177" s="7">
        <f>IF($C3177="","",L3177*U3177/100)</f>
        <v/>
      </c>
      <c r="N3177" s="7" t="n"/>
      <c r="T3177" s="7" t="n"/>
      <c r="U3177" s="7">
        <f>IF($C3177="","",S3177*T3177)</f>
        <v/>
      </c>
      <c r="X3177">
        <f>IF($C3177="","",IF($AM3177=1,0,IF($AL3177=1,Settings!$C$6,Settings!$C$7))*100)</f>
        <v/>
      </c>
      <c r="AB3177" s="7" t="n"/>
      <c r="AE3177" s="11" t="n"/>
      <c r="AG3177" s="7">
        <f>IF($C3177="","",U3177*X3177/100)</f>
        <v/>
      </c>
      <c r="AH3177" s="7">
        <f>IF($C3177="","",U3177-AG3177)</f>
        <v/>
      </c>
      <c r="AI3177" s="7">
        <f>IF($C3177="","",AH3177-M3177)</f>
        <v/>
      </c>
      <c r="AJ3177">
        <f>IF($C3177="","",IF(COUNTIF($C$2:$C3177,$C3177)=1,1,0))</f>
        <v/>
      </c>
      <c r="AK3177">
        <f>IF($AJ3177=1,SUMPRODUCT(--($AN$2:$AN$4001&lt;$AN3177))+1,"")</f>
        <v/>
      </c>
      <c r="AL3177">
        <f>IF($C3177="","",IF(OR($Q3177=TRUE(),$Q3177="TRUE"),1,0))</f>
        <v/>
      </c>
      <c r="AM3177">
        <f>IF($C3177="","",IF($W3177="Yes",1,0))</f>
        <v/>
      </c>
      <c r="AN3177">
        <f>IF($AJ3177=1,IFERROR(IF(VALUE($C3177)&lt;100000000,VALUE($C3177),1000000000),IFERROR(IF(VALUE(MID($C3177,2,20))&lt;100000000,VALUE(MID($C3177,2,20)),1000000000),1000000000))+ROW()/100000,"")</f>
        <v/>
      </c>
    </row>
    <row r="3178">
      <c r="E3178" s="11" t="n"/>
      <c r="M3178" s="7">
        <f>IF($C3178="","",L3178*U3178/100)</f>
        <v/>
      </c>
      <c r="N3178" s="7" t="n"/>
      <c r="T3178" s="7" t="n"/>
      <c r="U3178" s="7">
        <f>IF($C3178="","",S3178*T3178)</f>
        <v/>
      </c>
      <c r="X3178">
        <f>IF($C3178="","",IF($AM3178=1,0,IF($AL3178=1,Settings!$C$6,Settings!$C$7))*100)</f>
        <v/>
      </c>
      <c r="AB3178" s="7" t="n"/>
      <c r="AE3178" s="11" t="n"/>
      <c r="AG3178" s="7">
        <f>IF($C3178="","",U3178*X3178/100)</f>
        <v/>
      </c>
      <c r="AH3178" s="7">
        <f>IF($C3178="","",U3178-AG3178)</f>
        <v/>
      </c>
      <c r="AI3178" s="7">
        <f>IF($C3178="","",AH3178-M3178)</f>
        <v/>
      </c>
      <c r="AJ3178">
        <f>IF($C3178="","",IF(COUNTIF($C$2:$C3178,$C3178)=1,1,0))</f>
        <v/>
      </c>
      <c r="AK3178">
        <f>IF($AJ3178=1,SUMPRODUCT(--($AN$2:$AN$4001&lt;$AN3178))+1,"")</f>
        <v/>
      </c>
      <c r="AL3178">
        <f>IF($C3178="","",IF(OR($Q3178=TRUE(),$Q3178="TRUE"),1,0))</f>
        <v/>
      </c>
      <c r="AM3178">
        <f>IF($C3178="","",IF($W3178="Yes",1,0))</f>
        <v/>
      </c>
      <c r="AN3178">
        <f>IF($AJ3178=1,IFERROR(IF(VALUE($C3178)&lt;100000000,VALUE($C3178),1000000000),IFERROR(IF(VALUE(MID($C3178,2,20))&lt;100000000,VALUE(MID($C3178,2,20)),1000000000),1000000000))+ROW()/100000,"")</f>
        <v/>
      </c>
    </row>
    <row r="3179">
      <c r="E3179" s="11" t="n"/>
      <c r="M3179" s="7">
        <f>IF($C3179="","",L3179*U3179/100)</f>
        <v/>
      </c>
      <c r="N3179" s="7" t="n"/>
      <c r="T3179" s="7" t="n"/>
      <c r="U3179" s="7">
        <f>IF($C3179="","",S3179*T3179)</f>
        <v/>
      </c>
      <c r="X3179">
        <f>IF($C3179="","",IF($AM3179=1,0,IF($AL3179=1,Settings!$C$6,Settings!$C$7))*100)</f>
        <v/>
      </c>
      <c r="AB3179" s="7" t="n"/>
      <c r="AE3179" s="11" t="n"/>
      <c r="AG3179" s="7">
        <f>IF($C3179="","",U3179*X3179/100)</f>
        <v/>
      </c>
      <c r="AH3179" s="7">
        <f>IF($C3179="","",U3179-AG3179)</f>
        <v/>
      </c>
      <c r="AI3179" s="7">
        <f>IF($C3179="","",AH3179-M3179)</f>
        <v/>
      </c>
      <c r="AJ3179">
        <f>IF($C3179="","",IF(COUNTIF($C$2:$C3179,$C3179)=1,1,0))</f>
        <v/>
      </c>
      <c r="AK3179">
        <f>IF($AJ3179=1,SUMPRODUCT(--($AN$2:$AN$4001&lt;$AN3179))+1,"")</f>
        <v/>
      </c>
      <c r="AL3179">
        <f>IF($C3179="","",IF(OR($Q3179=TRUE(),$Q3179="TRUE"),1,0))</f>
        <v/>
      </c>
      <c r="AM3179">
        <f>IF($C3179="","",IF($W3179="Yes",1,0))</f>
        <v/>
      </c>
      <c r="AN3179">
        <f>IF($AJ3179=1,IFERROR(IF(VALUE($C3179)&lt;100000000,VALUE($C3179),1000000000),IFERROR(IF(VALUE(MID($C3179,2,20))&lt;100000000,VALUE(MID($C3179,2,20)),1000000000),1000000000))+ROW()/100000,"")</f>
        <v/>
      </c>
    </row>
    <row r="3180">
      <c r="E3180" s="11" t="n"/>
      <c r="M3180" s="7">
        <f>IF($C3180="","",L3180*U3180/100)</f>
        <v/>
      </c>
      <c r="N3180" s="7" t="n"/>
      <c r="T3180" s="7" t="n"/>
      <c r="U3180" s="7">
        <f>IF($C3180="","",S3180*T3180)</f>
        <v/>
      </c>
      <c r="X3180">
        <f>IF($C3180="","",IF($AM3180=1,0,IF($AL3180=1,Settings!$C$6,Settings!$C$7))*100)</f>
        <v/>
      </c>
      <c r="AB3180" s="7" t="n"/>
      <c r="AE3180" s="11" t="n"/>
      <c r="AG3180" s="7">
        <f>IF($C3180="","",U3180*X3180/100)</f>
        <v/>
      </c>
      <c r="AH3180" s="7">
        <f>IF($C3180="","",U3180-AG3180)</f>
        <v/>
      </c>
      <c r="AI3180" s="7">
        <f>IF($C3180="","",AH3180-M3180)</f>
        <v/>
      </c>
      <c r="AJ3180">
        <f>IF($C3180="","",IF(COUNTIF($C$2:$C3180,$C3180)=1,1,0))</f>
        <v/>
      </c>
      <c r="AK3180">
        <f>IF($AJ3180=1,SUMPRODUCT(--($AN$2:$AN$4001&lt;$AN3180))+1,"")</f>
        <v/>
      </c>
      <c r="AL3180">
        <f>IF($C3180="","",IF(OR($Q3180=TRUE(),$Q3180="TRUE"),1,0))</f>
        <v/>
      </c>
      <c r="AM3180">
        <f>IF($C3180="","",IF($W3180="Yes",1,0))</f>
        <v/>
      </c>
      <c r="AN3180">
        <f>IF($AJ3180=1,IFERROR(IF(VALUE($C3180)&lt;100000000,VALUE($C3180),1000000000),IFERROR(IF(VALUE(MID($C3180,2,20))&lt;100000000,VALUE(MID($C3180,2,20)),1000000000),1000000000))+ROW()/100000,"")</f>
        <v/>
      </c>
    </row>
    <row r="3181">
      <c r="E3181" s="11" t="n"/>
      <c r="M3181" s="7">
        <f>IF($C3181="","",L3181*U3181/100)</f>
        <v/>
      </c>
      <c r="N3181" s="7" t="n"/>
      <c r="T3181" s="7" t="n"/>
      <c r="U3181" s="7">
        <f>IF($C3181="","",S3181*T3181)</f>
        <v/>
      </c>
      <c r="X3181">
        <f>IF($C3181="","",IF($AM3181=1,0,IF($AL3181=1,Settings!$C$6,Settings!$C$7))*100)</f>
        <v/>
      </c>
      <c r="AB3181" s="7" t="n"/>
      <c r="AE3181" s="11" t="n"/>
      <c r="AG3181" s="7">
        <f>IF($C3181="","",U3181*X3181/100)</f>
        <v/>
      </c>
      <c r="AH3181" s="7">
        <f>IF($C3181="","",U3181-AG3181)</f>
        <v/>
      </c>
      <c r="AI3181" s="7">
        <f>IF($C3181="","",AH3181-M3181)</f>
        <v/>
      </c>
      <c r="AJ3181">
        <f>IF($C3181="","",IF(COUNTIF($C$2:$C3181,$C3181)=1,1,0))</f>
        <v/>
      </c>
      <c r="AK3181">
        <f>IF($AJ3181=1,SUMPRODUCT(--($AN$2:$AN$4001&lt;$AN3181))+1,"")</f>
        <v/>
      </c>
      <c r="AL3181">
        <f>IF($C3181="","",IF(OR($Q3181=TRUE(),$Q3181="TRUE"),1,0))</f>
        <v/>
      </c>
      <c r="AM3181">
        <f>IF($C3181="","",IF($W3181="Yes",1,0))</f>
        <v/>
      </c>
      <c r="AN3181">
        <f>IF($AJ3181=1,IFERROR(IF(VALUE($C3181)&lt;100000000,VALUE($C3181),1000000000),IFERROR(IF(VALUE(MID($C3181,2,20))&lt;100000000,VALUE(MID($C3181,2,20)),1000000000),1000000000))+ROW()/100000,"")</f>
        <v/>
      </c>
    </row>
    <row r="3182">
      <c r="E3182" s="11" t="n"/>
      <c r="M3182" s="7">
        <f>IF($C3182="","",L3182*U3182/100)</f>
        <v/>
      </c>
      <c r="N3182" s="7" t="n"/>
      <c r="T3182" s="7" t="n"/>
      <c r="U3182" s="7">
        <f>IF($C3182="","",S3182*T3182)</f>
        <v/>
      </c>
      <c r="X3182">
        <f>IF($C3182="","",IF($AM3182=1,0,IF($AL3182=1,Settings!$C$6,Settings!$C$7))*100)</f>
        <v/>
      </c>
      <c r="AB3182" s="7" t="n"/>
      <c r="AE3182" s="11" t="n"/>
      <c r="AG3182" s="7">
        <f>IF($C3182="","",U3182*X3182/100)</f>
        <v/>
      </c>
      <c r="AH3182" s="7">
        <f>IF($C3182="","",U3182-AG3182)</f>
        <v/>
      </c>
      <c r="AI3182" s="7">
        <f>IF($C3182="","",AH3182-M3182)</f>
        <v/>
      </c>
      <c r="AJ3182">
        <f>IF($C3182="","",IF(COUNTIF($C$2:$C3182,$C3182)=1,1,0))</f>
        <v/>
      </c>
      <c r="AK3182">
        <f>IF($AJ3182=1,SUMPRODUCT(--($AN$2:$AN$4001&lt;$AN3182))+1,"")</f>
        <v/>
      </c>
      <c r="AL3182">
        <f>IF($C3182="","",IF(OR($Q3182=TRUE(),$Q3182="TRUE"),1,0))</f>
        <v/>
      </c>
      <c r="AM3182">
        <f>IF($C3182="","",IF($W3182="Yes",1,0))</f>
        <v/>
      </c>
      <c r="AN3182">
        <f>IF($AJ3182=1,IFERROR(IF(VALUE($C3182)&lt;100000000,VALUE($C3182),1000000000),IFERROR(IF(VALUE(MID($C3182,2,20))&lt;100000000,VALUE(MID($C3182,2,20)),1000000000),1000000000))+ROW()/100000,"")</f>
        <v/>
      </c>
    </row>
    <row r="3183">
      <c r="E3183" s="11" t="n"/>
      <c r="M3183" s="7">
        <f>IF($C3183="","",L3183*U3183/100)</f>
        <v/>
      </c>
      <c r="N3183" s="7" t="n"/>
      <c r="T3183" s="7" t="n"/>
      <c r="U3183" s="7">
        <f>IF($C3183="","",S3183*T3183)</f>
        <v/>
      </c>
      <c r="X3183">
        <f>IF($C3183="","",IF($AM3183=1,0,IF($AL3183=1,Settings!$C$6,Settings!$C$7))*100)</f>
        <v/>
      </c>
      <c r="AB3183" s="7" t="n"/>
      <c r="AE3183" s="11" t="n"/>
      <c r="AG3183" s="7">
        <f>IF($C3183="","",U3183*X3183/100)</f>
        <v/>
      </c>
      <c r="AH3183" s="7">
        <f>IF($C3183="","",U3183-AG3183)</f>
        <v/>
      </c>
      <c r="AI3183" s="7">
        <f>IF($C3183="","",AH3183-M3183)</f>
        <v/>
      </c>
      <c r="AJ3183">
        <f>IF($C3183="","",IF(COUNTIF($C$2:$C3183,$C3183)=1,1,0))</f>
        <v/>
      </c>
      <c r="AK3183">
        <f>IF($AJ3183=1,SUMPRODUCT(--($AN$2:$AN$4001&lt;$AN3183))+1,"")</f>
        <v/>
      </c>
      <c r="AL3183">
        <f>IF($C3183="","",IF(OR($Q3183=TRUE(),$Q3183="TRUE"),1,0))</f>
        <v/>
      </c>
      <c r="AM3183">
        <f>IF($C3183="","",IF($W3183="Yes",1,0))</f>
        <v/>
      </c>
      <c r="AN3183">
        <f>IF($AJ3183=1,IFERROR(IF(VALUE($C3183)&lt;100000000,VALUE($C3183),1000000000),IFERROR(IF(VALUE(MID($C3183,2,20))&lt;100000000,VALUE(MID($C3183,2,20)),1000000000),1000000000))+ROW()/100000,"")</f>
        <v/>
      </c>
    </row>
    <row r="3184">
      <c r="E3184" s="11" t="n"/>
      <c r="M3184" s="7">
        <f>IF($C3184="","",L3184*U3184/100)</f>
        <v/>
      </c>
      <c r="N3184" s="7" t="n"/>
      <c r="T3184" s="7" t="n"/>
      <c r="U3184" s="7">
        <f>IF($C3184="","",S3184*T3184)</f>
        <v/>
      </c>
      <c r="X3184">
        <f>IF($C3184="","",IF($AM3184=1,0,IF($AL3184=1,Settings!$C$6,Settings!$C$7))*100)</f>
        <v/>
      </c>
      <c r="AB3184" s="7" t="n"/>
      <c r="AE3184" s="11" t="n"/>
      <c r="AG3184" s="7">
        <f>IF($C3184="","",U3184*X3184/100)</f>
        <v/>
      </c>
      <c r="AH3184" s="7">
        <f>IF($C3184="","",U3184-AG3184)</f>
        <v/>
      </c>
      <c r="AI3184" s="7">
        <f>IF($C3184="","",AH3184-M3184)</f>
        <v/>
      </c>
      <c r="AJ3184">
        <f>IF($C3184="","",IF(COUNTIF($C$2:$C3184,$C3184)=1,1,0))</f>
        <v/>
      </c>
      <c r="AK3184">
        <f>IF($AJ3184=1,SUMPRODUCT(--($AN$2:$AN$4001&lt;$AN3184))+1,"")</f>
        <v/>
      </c>
      <c r="AL3184">
        <f>IF($C3184="","",IF(OR($Q3184=TRUE(),$Q3184="TRUE"),1,0))</f>
        <v/>
      </c>
      <c r="AM3184">
        <f>IF($C3184="","",IF($W3184="Yes",1,0))</f>
        <v/>
      </c>
      <c r="AN3184">
        <f>IF($AJ3184=1,IFERROR(IF(VALUE($C3184)&lt;100000000,VALUE($C3184),1000000000),IFERROR(IF(VALUE(MID($C3184,2,20))&lt;100000000,VALUE(MID($C3184,2,20)),1000000000),1000000000))+ROW()/100000,"")</f>
        <v/>
      </c>
    </row>
    <row r="3185">
      <c r="E3185" s="11" t="n"/>
      <c r="M3185" s="7">
        <f>IF($C3185="","",L3185*U3185/100)</f>
        <v/>
      </c>
      <c r="N3185" s="7" t="n"/>
      <c r="T3185" s="7" t="n"/>
      <c r="U3185" s="7">
        <f>IF($C3185="","",S3185*T3185)</f>
        <v/>
      </c>
      <c r="X3185">
        <f>IF($C3185="","",IF($AM3185=1,0,IF($AL3185=1,Settings!$C$6,Settings!$C$7))*100)</f>
        <v/>
      </c>
      <c r="AB3185" s="7" t="n"/>
      <c r="AE3185" s="11" t="n"/>
      <c r="AG3185" s="7">
        <f>IF($C3185="","",U3185*X3185/100)</f>
        <v/>
      </c>
      <c r="AH3185" s="7">
        <f>IF($C3185="","",U3185-AG3185)</f>
        <v/>
      </c>
      <c r="AI3185" s="7">
        <f>IF($C3185="","",AH3185-M3185)</f>
        <v/>
      </c>
      <c r="AJ3185">
        <f>IF($C3185="","",IF(COUNTIF($C$2:$C3185,$C3185)=1,1,0))</f>
        <v/>
      </c>
      <c r="AK3185">
        <f>IF($AJ3185=1,SUMPRODUCT(--($AN$2:$AN$4001&lt;$AN3185))+1,"")</f>
        <v/>
      </c>
      <c r="AL3185">
        <f>IF($C3185="","",IF(OR($Q3185=TRUE(),$Q3185="TRUE"),1,0))</f>
        <v/>
      </c>
      <c r="AM3185">
        <f>IF($C3185="","",IF($W3185="Yes",1,0))</f>
        <v/>
      </c>
      <c r="AN3185">
        <f>IF($AJ3185=1,IFERROR(IF(VALUE($C3185)&lt;100000000,VALUE($C3185),1000000000),IFERROR(IF(VALUE(MID($C3185,2,20))&lt;100000000,VALUE(MID($C3185,2,20)),1000000000),1000000000))+ROW()/100000,"")</f>
        <v/>
      </c>
    </row>
    <row r="3186">
      <c r="E3186" s="11" t="n"/>
      <c r="M3186" s="7">
        <f>IF($C3186="","",L3186*U3186/100)</f>
        <v/>
      </c>
      <c r="N3186" s="7" t="n"/>
      <c r="T3186" s="7" t="n"/>
      <c r="U3186" s="7">
        <f>IF($C3186="","",S3186*T3186)</f>
        <v/>
      </c>
      <c r="X3186">
        <f>IF($C3186="","",IF($AM3186=1,0,IF($AL3186=1,Settings!$C$6,Settings!$C$7))*100)</f>
        <v/>
      </c>
      <c r="AB3186" s="7" t="n"/>
      <c r="AE3186" s="11" t="n"/>
      <c r="AG3186" s="7">
        <f>IF($C3186="","",U3186*X3186/100)</f>
        <v/>
      </c>
      <c r="AH3186" s="7">
        <f>IF($C3186="","",U3186-AG3186)</f>
        <v/>
      </c>
      <c r="AI3186" s="7">
        <f>IF($C3186="","",AH3186-M3186)</f>
        <v/>
      </c>
      <c r="AJ3186">
        <f>IF($C3186="","",IF(COUNTIF($C$2:$C3186,$C3186)=1,1,0))</f>
        <v/>
      </c>
      <c r="AK3186">
        <f>IF($AJ3186=1,SUMPRODUCT(--($AN$2:$AN$4001&lt;$AN3186))+1,"")</f>
        <v/>
      </c>
      <c r="AL3186">
        <f>IF($C3186="","",IF(OR($Q3186=TRUE(),$Q3186="TRUE"),1,0))</f>
        <v/>
      </c>
      <c r="AM3186">
        <f>IF($C3186="","",IF($W3186="Yes",1,0))</f>
        <v/>
      </c>
      <c r="AN3186">
        <f>IF($AJ3186=1,IFERROR(IF(VALUE($C3186)&lt;100000000,VALUE($C3186),1000000000),IFERROR(IF(VALUE(MID($C3186,2,20))&lt;100000000,VALUE(MID($C3186,2,20)),1000000000),1000000000))+ROW()/100000,"")</f>
        <v/>
      </c>
    </row>
    <row r="3187">
      <c r="E3187" s="11" t="n"/>
      <c r="M3187" s="7">
        <f>IF($C3187="","",L3187*U3187/100)</f>
        <v/>
      </c>
      <c r="N3187" s="7" t="n"/>
      <c r="T3187" s="7" t="n"/>
      <c r="U3187" s="7">
        <f>IF($C3187="","",S3187*T3187)</f>
        <v/>
      </c>
      <c r="X3187">
        <f>IF($C3187="","",IF($AM3187=1,0,IF($AL3187=1,Settings!$C$6,Settings!$C$7))*100)</f>
        <v/>
      </c>
      <c r="AB3187" s="7" t="n"/>
      <c r="AE3187" s="11" t="n"/>
      <c r="AG3187" s="7">
        <f>IF($C3187="","",U3187*X3187/100)</f>
        <v/>
      </c>
      <c r="AH3187" s="7">
        <f>IF($C3187="","",U3187-AG3187)</f>
        <v/>
      </c>
      <c r="AI3187" s="7">
        <f>IF($C3187="","",AH3187-M3187)</f>
        <v/>
      </c>
      <c r="AJ3187">
        <f>IF($C3187="","",IF(COUNTIF($C$2:$C3187,$C3187)=1,1,0))</f>
        <v/>
      </c>
      <c r="AK3187">
        <f>IF($AJ3187=1,SUMPRODUCT(--($AN$2:$AN$4001&lt;$AN3187))+1,"")</f>
        <v/>
      </c>
      <c r="AL3187">
        <f>IF($C3187="","",IF(OR($Q3187=TRUE(),$Q3187="TRUE"),1,0))</f>
        <v/>
      </c>
      <c r="AM3187">
        <f>IF($C3187="","",IF($W3187="Yes",1,0))</f>
        <v/>
      </c>
      <c r="AN3187">
        <f>IF($AJ3187=1,IFERROR(IF(VALUE($C3187)&lt;100000000,VALUE($C3187),1000000000),IFERROR(IF(VALUE(MID($C3187,2,20))&lt;100000000,VALUE(MID($C3187,2,20)),1000000000),1000000000))+ROW()/100000,"")</f>
        <v/>
      </c>
    </row>
    <row r="3188">
      <c r="E3188" s="11" t="n"/>
      <c r="M3188" s="7">
        <f>IF($C3188="","",L3188*U3188/100)</f>
        <v/>
      </c>
      <c r="N3188" s="7" t="n"/>
      <c r="T3188" s="7" t="n"/>
      <c r="U3188" s="7">
        <f>IF($C3188="","",S3188*T3188)</f>
        <v/>
      </c>
      <c r="X3188">
        <f>IF($C3188="","",IF($AM3188=1,0,IF($AL3188=1,Settings!$C$6,Settings!$C$7))*100)</f>
        <v/>
      </c>
      <c r="AB3188" s="7" t="n"/>
      <c r="AE3188" s="11" t="n"/>
      <c r="AG3188" s="7">
        <f>IF($C3188="","",U3188*X3188/100)</f>
        <v/>
      </c>
      <c r="AH3188" s="7">
        <f>IF($C3188="","",U3188-AG3188)</f>
        <v/>
      </c>
      <c r="AI3188" s="7">
        <f>IF($C3188="","",AH3188-M3188)</f>
        <v/>
      </c>
      <c r="AJ3188">
        <f>IF($C3188="","",IF(COUNTIF($C$2:$C3188,$C3188)=1,1,0))</f>
        <v/>
      </c>
      <c r="AK3188">
        <f>IF($AJ3188=1,SUMPRODUCT(--($AN$2:$AN$4001&lt;$AN3188))+1,"")</f>
        <v/>
      </c>
      <c r="AL3188">
        <f>IF($C3188="","",IF(OR($Q3188=TRUE(),$Q3188="TRUE"),1,0))</f>
        <v/>
      </c>
      <c r="AM3188">
        <f>IF($C3188="","",IF($W3188="Yes",1,0))</f>
        <v/>
      </c>
      <c r="AN3188">
        <f>IF($AJ3188=1,IFERROR(IF(VALUE($C3188)&lt;100000000,VALUE($C3188),1000000000),IFERROR(IF(VALUE(MID($C3188,2,20))&lt;100000000,VALUE(MID($C3188,2,20)),1000000000),1000000000))+ROW()/100000,"")</f>
        <v/>
      </c>
    </row>
    <row r="3189">
      <c r="E3189" s="11" t="n"/>
      <c r="M3189" s="7">
        <f>IF($C3189="","",L3189*U3189/100)</f>
        <v/>
      </c>
      <c r="N3189" s="7" t="n"/>
      <c r="T3189" s="7" t="n"/>
      <c r="U3189" s="7">
        <f>IF($C3189="","",S3189*T3189)</f>
        <v/>
      </c>
      <c r="X3189">
        <f>IF($C3189="","",IF($AM3189=1,0,IF($AL3189=1,Settings!$C$6,Settings!$C$7))*100)</f>
        <v/>
      </c>
      <c r="AB3189" s="7" t="n"/>
      <c r="AE3189" s="11" t="n"/>
      <c r="AG3189" s="7">
        <f>IF($C3189="","",U3189*X3189/100)</f>
        <v/>
      </c>
      <c r="AH3189" s="7">
        <f>IF($C3189="","",U3189-AG3189)</f>
        <v/>
      </c>
      <c r="AI3189" s="7">
        <f>IF($C3189="","",AH3189-M3189)</f>
        <v/>
      </c>
      <c r="AJ3189">
        <f>IF($C3189="","",IF(COUNTIF($C$2:$C3189,$C3189)=1,1,0))</f>
        <v/>
      </c>
      <c r="AK3189">
        <f>IF($AJ3189=1,SUMPRODUCT(--($AN$2:$AN$4001&lt;$AN3189))+1,"")</f>
        <v/>
      </c>
      <c r="AL3189">
        <f>IF($C3189="","",IF(OR($Q3189=TRUE(),$Q3189="TRUE"),1,0))</f>
        <v/>
      </c>
      <c r="AM3189">
        <f>IF($C3189="","",IF($W3189="Yes",1,0))</f>
        <v/>
      </c>
      <c r="AN3189">
        <f>IF($AJ3189=1,IFERROR(IF(VALUE($C3189)&lt;100000000,VALUE($C3189),1000000000),IFERROR(IF(VALUE(MID($C3189,2,20))&lt;100000000,VALUE(MID($C3189,2,20)),1000000000),1000000000))+ROW()/100000,"")</f>
        <v/>
      </c>
    </row>
    <row r="3190">
      <c r="E3190" s="11" t="n"/>
      <c r="M3190" s="7">
        <f>IF($C3190="","",L3190*U3190/100)</f>
        <v/>
      </c>
      <c r="N3190" s="7" t="n"/>
      <c r="T3190" s="7" t="n"/>
      <c r="U3190" s="7">
        <f>IF($C3190="","",S3190*T3190)</f>
        <v/>
      </c>
      <c r="X3190">
        <f>IF($C3190="","",IF($AM3190=1,0,IF($AL3190=1,Settings!$C$6,Settings!$C$7))*100)</f>
        <v/>
      </c>
      <c r="AB3190" s="7" t="n"/>
      <c r="AE3190" s="11" t="n"/>
      <c r="AG3190" s="7">
        <f>IF($C3190="","",U3190*X3190/100)</f>
        <v/>
      </c>
      <c r="AH3190" s="7">
        <f>IF($C3190="","",U3190-AG3190)</f>
        <v/>
      </c>
      <c r="AI3190" s="7">
        <f>IF($C3190="","",AH3190-M3190)</f>
        <v/>
      </c>
      <c r="AJ3190">
        <f>IF($C3190="","",IF(COUNTIF($C$2:$C3190,$C3190)=1,1,0))</f>
        <v/>
      </c>
      <c r="AK3190">
        <f>IF($AJ3190=1,SUMPRODUCT(--($AN$2:$AN$4001&lt;$AN3190))+1,"")</f>
        <v/>
      </c>
      <c r="AL3190">
        <f>IF($C3190="","",IF(OR($Q3190=TRUE(),$Q3190="TRUE"),1,0))</f>
        <v/>
      </c>
      <c r="AM3190">
        <f>IF($C3190="","",IF($W3190="Yes",1,0))</f>
        <v/>
      </c>
      <c r="AN3190">
        <f>IF($AJ3190=1,IFERROR(IF(VALUE($C3190)&lt;100000000,VALUE($C3190),1000000000),IFERROR(IF(VALUE(MID($C3190,2,20))&lt;100000000,VALUE(MID($C3190,2,20)),1000000000),1000000000))+ROW()/100000,"")</f>
        <v/>
      </c>
    </row>
    <row r="3191">
      <c r="E3191" s="11" t="n"/>
      <c r="M3191" s="7">
        <f>IF($C3191="","",L3191*U3191/100)</f>
        <v/>
      </c>
      <c r="N3191" s="7" t="n"/>
      <c r="T3191" s="7" t="n"/>
      <c r="U3191" s="7">
        <f>IF($C3191="","",S3191*T3191)</f>
        <v/>
      </c>
      <c r="X3191">
        <f>IF($C3191="","",IF($AM3191=1,0,IF($AL3191=1,Settings!$C$6,Settings!$C$7))*100)</f>
        <v/>
      </c>
      <c r="AB3191" s="7" t="n"/>
      <c r="AE3191" s="11" t="n"/>
      <c r="AG3191" s="7">
        <f>IF($C3191="","",U3191*X3191/100)</f>
        <v/>
      </c>
      <c r="AH3191" s="7">
        <f>IF($C3191="","",U3191-AG3191)</f>
        <v/>
      </c>
      <c r="AI3191" s="7">
        <f>IF($C3191="","",AH3191-M3191)</f>
        <v/>
      </c>
      <c r="AJ3191">
        <f>IF($C3191="","",IF(COUNTIF($C$2:$C3191,$C3191)=1,1,0))</f>
        <v/>
      </c>
      <c r="AK3191">
        <f>IF($AJ3191=1,SUMPRODUCT(--($AN$2:$AN$4001&lt;$AN3191))+1,"")</f>
        <v/>
      </c>
      <c r="AL3191">
        <f>IF($C3191="","",IF(OR($Q3191=TRUE(),$Q3191="TRUE"),1,0))</f>
        <v/>
      </c>
      <c r="AM3191">
        <f>IF($C3191="","",IF($W3191="Yes",1,0))</f>
        <v/>
      </c>
      <c r="AN3191">
        <f>IF($AJ3191=1,IFERROR(IF(VALUE($C3191)&lt;100000000,VALUE($C3191),1000000000),IFERROR(IF(VALUE(MID($C3191,2,20))&lt;100000000,VALUE(MID($C3191,2,20)),1000000000),1000000000))+ROW()/100000,"")</f>
        <v/>
      </c>
    </row>
    <row r="3192">
      <c r="E3192" s="11" t="n"/>
      <c r="M3192" s="7">
        <f>IF($C3192="","",L3192*U3192/100)</f>
        <v/>
      </c>
      <c r="N3192" s="7" t="n"/>
      <c r="T3192" s="7" t="n"/>
      <c r="U3192" s="7">
        <f>IF($C3192="","",S3192*T3192)</f>
        <v/>
      </c>
      <c r="X3192">
        <f>IF($C3192="","",IF($AM3192=1,0,IF($AL3192=1,Settings!$C$6,Settings!$C$7))*100)</f>
        <v/>
      </c>
      <c r="AB3192" s="7" t="n"/>
      <c r="AE3192" s="11" t="n"/>
      <c r="AG3192" s="7">
        <f>IF($C3192="","",U3192*X3192/100)</f>
        <v/>
      </c>
      <c r="AH3192" s="7">
        <f>IF($C3192="","",U3192-AG3192)</f>
        <v/>
      </c>
      <c r="AI3192" s="7">
        <f>IF($C3192="","",AH3192-M3192)</f>
        <v/>
      </c>
      <c r="AJ3192">
        <f>IF($C3192="","",IF(COUNTIF($C$2:$C3192,$C3192)=1,1,0))</f>
        <v/>
      </c>
      <c r="AK3192">
        <f>IF($AJ3192=1,SUMPRODUCT(--($AN$2:$AN$4001&lt;$AN3192))+1,"")</f>
        <v/>
      </c>
      <c r="AL3192">
        <f>IF($C3192="","",IF(OR($Q3192=TRUE(),$Q3192="TRUE"),1,0))</f>
        <v/>
      </c>
      <c r="AM3192">
        <f>IF($C3192="","",IF($W3192="Yes",1,0))</f>
        <v/>
      </c>
      <c r="AN3192">
        <f>IF($AJ3192=1,IFERROR(IF(VALUE($C3192)&lt;100000000,VALUE($C3192),1000000000),IFERROR(IF(VALUE(MID($C3192,2,20))&lt;100000000,VALUE(MID($C3192,2,20)),1000000000),1000000000))+ROW()/100000,"")</f>
        <v/>
      </c>
    </row>
    <row r="3193">
      <c r="E3193" s="11" t="n"/>
      <c r="M3193" s="7">
        <f>IF($C3193="","",L3193*U3193/100)</f>
        <v/>
      </c>
      <c r="N3193" s="7" t="n"/>
      <c r="T3193" s="7" t="n"/>
      <c r="U3193" s="7">
        <f>IF($C3193="","",S3193*T3193)</f>
        <v/>
      </c>
      <c r="X3193">
        <f>IF($C3193="","",IF($AM3193=1,0,IF($AL3193=1,Settings!$C$6,Settings!$C$7))*100)</f>
        <v/>
      </c>
      <c r="AB3193" s="7" t="n"/>
      <c r="AE3193" s="11" t="n"/>
      <c r="AG3193" s="7">
        <f>IF($C3193="","",U3193*X3193/100)</f>
        <v/>
      </c>
      <c r="AH3193" s="7">
        <f>IF($C3193="","",U3193-AG3193)</f>
        <v/>
      </c>
      <c r="AI3193" s="7">
        <f>IF($C3193="","",AH3193-M3193)</f>
        <v/>
      </c>
      <c r="AJ3193">
        <f>IF($C3193="","",IF(COUNTIF($C$2:$C3193,$C3193)=1,1,0))</f>
        <v/>
      </c>
      <c r="AK3193">
        <f>IF($AJ3193=1,SUMPRODUCT(--($AN$2:$AN$4001&lt;$AN3193))+1,"")</f>
        <v/>
      </c>
      <c r="AL3193">
        <f>IF($C3193="","",IF(OR($Q3193=TRUE(),$Q3193="TRUE"),1,0))</f>
        <v/>
      </c>
      <c r="AM3193">
        <f>IF($C3193="","",IF($W3193="Yes",1,0))</f>
        <v/>
      </c>
      <c r="AN3193">
        <f>IF($AJ3193=1,IFERROR(IF(VALUE($C3193)&lt;100000000,VALUE($C3193),1000000000),IFERROR(IF(VALUE(MID($C3193,2,20))&lt;100000000,VALUE(MID($C3193,2,20)),1000000000),1000000000))+ROW()/100000,"")</f>
        <v/>
      </c>
    </row>
    <row r="3194">
      <c r="E3194" s="11" t="n"/>
      <c r="M3194" s="7">
        <f>IF($C3194="","",L3194*U3194/100)</f>
        <v/>
      </c>
      <c r="N3194" s="7" t="n"/>
      <c r="T3194" s="7" t="n"/>
      <c r="U3194" s="7">
        <f>IF($C3194="","",S3194*T3194)</f>
        <v/>
      </c>
      <c r="X3194">
        <f>IF($C3194="","",IF($AM3194=1,0,IF($AL3194=1,Settings!$C$6,Settings!$C$7))*100)</f>
        <v/>
      </c>
      <c r="AB3194" s="7" t="n"/>
      <c r="AE3194" s="11" t="n"/>
      <c r="AG3194" s="7">
        <f>IF($C3194="","",U3194*X3194/100)</f>
        <v/>
      </c>
      <c r="AH3194" s="7">
        <f>IF($C3194="","",U3194-AG3194)</f>
        <v/>
      </c>
      <c r="AI3194" s="7">
        <f>IF($C3194="","",AH3194-M3194)</f>
        <v/>
      </c>
      <c r="AJ3194">
        <f>IF($C3194="","",IF(COUNTIF($C$2:$C3194,$C3194)=1,1,0))</f>
        <v/>
      </c>
      <c r="AK3194">
        <f>IF($AJ3194=1,SUMPRODUCT(--($AN$2:$AN$4001&lt;$AN3194))+1,"")</f>
        <v/>
      </c>
      <c r="AL3194">
        <f>IF($C3194="","",IF(OR($Q3194=TRUE(),$Q3194="TRUE"),1,0))</f>
        <v/>
      </c>
      <c r="AM3194">
        <f>IF($C3194="","",IF($W3194="Yes",1,0))</f>
        <v/>
      </c>
      <c r="AN3194">
        <f>IF($AJ3194=1,IFERROR(IF(VALUE($C3194)&lt;100000000,VALUE($C3194),1000000000),IFERROR(IF(VALUE(MID($C3194,2,20))&lt;100000000,VALUE(MID($C3194,2,20)),1000000000),1000000000))+ROW()/100000,"")</f>
        <v/>
      </c>
    </row>
    <row r="3195">
      <c r="E3195" s="11" t="n"/>
      <c r="M3195" s="7">
        <f>IF($C3195="","",L3195*U3195/100)</f>
        <v/>
      </c>
      <c r="N3195" s="7" t="n"/>
      <c r="T3195" s="7" t="n"/>
      <c r="U3195" s="7">
        <f>IF($C3195="","",S3195*T3195)</f>
        <v/>
      </c>
      <c r="X3195">
        <f>IF($C3195="","",IF($AM3195=1,0,IF($AL3195=1,Settings!$C$6,Settings!$C$7))*100)</f>
        <v/>
      </c>
      <c r="AB3195" s="7" t="n"/>
      <c r="AE3195" s="11" t="n"/>
      <c r="AG3195" s="7">
        <f>IF($C3195="","",U3195*X3195/100)</f>
        <v/>
      </c>
      <c r="AH3195" s="7">
        <f>IF($C3195="","",U3195-AG3195)</f>
        <v/>
      </c>
      <c r="AI3195" s="7">
        <f>IF($C3195="","",AH3195-M3195)</f>
        <v/>
      </c>
      <c r="AJ3195">
        <f>IF($C3195="","",IF(COUNTIF($C$2:$C3195,$C3195)=1,1,0))</f>
        <v/>
      </c>
      <c r="AK3195">
        <f>IF($AJ3195=1,SUMPRODUCT(--($AN$2:$AN$4001&lt;$AN3195))+1,"")</f>
        <v/>
      </c>
      <c r="AL3195">
        <f>IF($C3195="","",IF(OR($Q3195=TRUE(),$Q3195="TRUE"),1,0))</f>
        <v/>
      </c>
      <c r="AM3195">
        <f>IF($C3195="","",IF($W3195="Yes",1,0))</f>
        <v/>
      </c>
      <c r="AN3195">
        <f>IF($AJ3195=1,IFERROR(IF(VALUE($C3195)&lt;100000000,VALUE($C3195),1000000000),IFERROR(IF(VALUE(MID($C3195,2,20))&lt;100000000,VALUE(MID($C3195,2,20)),1000000000),1000000000))+ROW()/100000,"")</f>
        <v/>
      </c>
    </row>
    <row r="3196">
      <c r="E3196" s="11" t="n"/>
      <c r="M3196" s="7">
        <f>IF($C3196="","",L3196*U3196/100)</f>
        <v/>
      </c>
      <c r="N3196" s="7" t="n"/>
      <c r="T3196" s="7" t="n"/>
      <c r="U3196" s="7">
        <f>IF($C3196="","",S3196*T3196)</f>
        <v/>
      </c>
      <c r="X3196">
        <f>IF($C3196="","",IF($AM3196=1,0,IF($AL3196=1,Settings!$C$6,Settings!$C$7))*100)</f>
        <v/>
      </c>
      <c r="AB3196" s="7" t="n"/>
      <c r="AE3196" s="11" t="n"/>
      <c r="AG3196" s="7">
        <f>IF($C3196="","",U3196*X3196/100)</f>
        <v/>
      </c>
      <c r="AH3196" s="7">
        <f>IF($C3196="","",U3196-AG3196)</f>
        <v/>
      </c>
      <c r="AI3196" s="7">
        <f>IF($C3196="","",AH3196-M3196)</f>
        <v/>
      </c>
      <c r="AJ3196">
        <f>IF($C3196="","",IF(COUNTIF($C$2:$C3196,$C3196)=1,1,0))</f>
        <v/>
      </c>
      <c r="AK3196">
        <f>IF($AJ3196=1,SUMPRODUCT(--($AN$2:$AN$4001&lt;$AN3196))+1,"")</f>
        <v/>
      </c>
      <c r="AL3196">
        <f>IF($C3196="","",IF(OR($Q3196=TRUE(),$Q3196="TRUE"),1,0))</f>
        <v/>
      </c>
      <c r="AM3196">
        <f>IF($C3196="","",IF($W3196="Yes",1,0))</f>
        <v/>
      </c>
      <c r="AN3196">
        <f>IF($AJ3196=1,IFERROR(IF(VALUE($C3196)&lt;100000000,VALUE($C3196),1000000000),IFERROR(IF(VALUE(MID($C3196,2,20))&lt;100000000,VALUE(MID($C3196,2,20)),1000000000),1000000000))+ROW()/100000,"")</f>
        <v/>
      </c>
    </row>
    <row r="3197">
      <c r="E3197" s="11" t="n"/>
      <c r="M3197" s="7">
        <f>IF($C3197="","",L3197*U3197/100)</f>
        <v/>
      </c>
      <c r="N3197" s="7" t="n"/>
      <c r="T3197" s="7" t="n"/>
      <c r="U3197" s="7">
        <f>IF($C3197="","",S3197*T3197)</f>
        <v/>
      </c>
      <c r="X3197">
        <f>IF($C3197="","",IF($AM3197=1,0,IF($AL3197=1,Settings!$C$6,Settings!$C$7))*100)</f>
        <v/>
      </c>
      <c r="AB3197" s="7" t="n"/>
      <c r="AE3197" s="11" t="n"/>
      <c r="AG3197" s="7">
        <f>IF($C3197="","",U3197*X3197/100)</f>
        <v/>
      </c>
      <c r="AH3197" s="7">
        <f>IF($C3197="","",U3197-AG3197)</f>
        <v/>
      </c>
      <c r="AI3197" s="7">
        <f>IF($C3197="","",AH3197-M3197)</f>
        <v/>
      </c>
      <c r="AJ3197">
        <f>IF($C3197="","",IF(COUNTIF($C$2:$C3197,$C3197)=1,1,0))</f>
        <v/>
      </c>
      <c r="AK3197">
        <f>IF($AJ3197=1,SUMPRODUCT(--($AN$2:$AN$4001&lt;$AN3197))+1,"")</f>
        <v/>
      </c>
      <c r="AL3197">
        <f>IF($C3197="","",IF(OR($Q3197=TRUE(),$Q3197="TRUE"),1,0))</f>
        <v/>
      </c>
      <c r="AM3197">
        <f>IF($C3197="","",IF($W3197="Yes",1,0))</f>
        <v/>
      </c>
      <c r="AN3197">
        <f>IF($AJ3197=1,IFERROR(IF(VALUE($C3197)&lt;100000000,VALUE($C3197),1000000000),IFERROR(IF(VALUE(MID($C3197,2,20))&lt;100000000,VALUE(MID($C3197,2,20)),1000000000),1000000000))+ROW()/100000,"")</f>
        <v/>
      </c>
    </row>
    <row r="3198">
      <c r="E3198" s="11" t="n"/>
      <c r="M3198" s="7">
        <f>IF($C3198="","",L3198*U3198/100)</f>
        <v/>
      </c>
      <c r="N3198" s="7" t="n"/>
      <c r="T3198" s="7" t="n"/>
      <c r="U3198" s="7">
        <f>IF($C3198="","",S3198*T3198)</f>
        <v/>
      </c>
      <c r="X3198">
        <f>IF($C3198="","",IF($AM3198=1,0,IF($AL3198=1,Settings!$C$6,Settings!$C$7))*100)</f>
        <v/>
      </c>
      <c r="AB3198" s="7" t="n"/>
      <c r="AE3198" s="11" t="n"/>
      <c r="AG3198" s="7">
        <f>IF($C3198="","",U3198*X3198/100)</f>
        <v/>
      </c>
      <c r="AH3198" s="7">
        <f>IF($C3198="","",U3198-AG3198)</f>
        <v/>
      </c>
      <c r="AI3198" s="7">
        <f>IF($C3198="","",AH3198-M3198)</f>
        <v/>
      </c>
      <c r="AJ3198">
        <f>IF($C3198="","",IF(COUNTIF($C$2:$C3198,$C3198)=1,1,0))</f>
        <v/>
      </c>
      <c r="AK3198">
        <f>IF($AJ3198=1,SUMPRODUCT(--($AN$2:$AN$4001&lt;$AN3198))+1,"")</f>
        <v/>
      </c>
      <c r="AL3198">
        <f>IF($C3198="","",IF(OR($Q3198=TRUE(),$Q3198="TRUE"),1,0))</f>
        <v/>
      </c>
      <c r="AM3198">
        <f>IF($C3198="","",IF($W3198="Yes",1,0))</f>
        <v/>
      </c>
      <c r="AN3198">
        <f>IF($AJ3198=1,IFERROR(IF(VALUE($C3198)&lt;100000000,VALUE($C3198),1000000000),IFERROR(IF(VALUE(MID($C3198,2,20))&lt;100000000,VALUE(MID($C3198,2,20)),1000000000),1000000000))+ROW()/100000,"")</f>
        <v/>
      </c>
    </row>
    <row r="3199">
      <c r="E3199" s="11" t="n"/>
      <c r="M3199" s="7">
        <f>IF($C3199="","",L3199*U3199/100)</f>
        <v/>
      </c>
      <c r="N3199" s="7" t="n"/>
      <c r="T3199" s="7" t="n"/>
      <c r="U3199" s="7">
        <f>IF($C3199="","",S3199*T3199)</f>
        <v/>
      </c>
      <c r="X3199">
        <f>IF($C3199="","",IF($AM3199=1,0,IF($AL3199=1,Settings!$C$6,Settings!$C$7))*100)</f>
        <v/>
      </c>
      <c r="AB3199" s="7" t="n"/>
      <c r="AE3199" s="11" t="n"/>
      <c r="AG3199" s="7">
        <f>IF($C3199="","",U3199*X3199/100)</f>
        <v/>
      </c>
      <c r="AH3199" s="7">
        <f>IF($C3199="","",U3199-AG3199)</f>
        <v/>
      </c>
      <c r="AI3199" s="7">
        <f>IF($C3199="","",AH3199-M3199)</f>
        <v/>
      </c>
      <c r="AJ3199">
        <f>IF($C3199="","",IF(COUNTIF($C$2:$C3199,$C3199)=1,1,0))</f>
        <v/>
      </c>
      <c r="AK3199">
        <f>IF($AJ3199=1,SUMPRODUCT(--($AN$2:$AN$4001&lt;$AN3199))+1,"")</f>
        <v/>
      </c>
      <c r="AL3199">
        <f>IF($C3199="","",IF(OR($Q3199=TRUE(),$Q3199="TRUE"),1,0))</f>
        <v/>
      </c>
      <c r="AM3199">
        <f>IF($C3199="","",IF($W3199="Yes",1,0))</f>
        <v/>
      </c>
      <c r="AN3199">
        <f>IF($AJ3199=1,IFERROR(IF(VALUE($C3199)&lt;100000000,VALUE($C3199),1000000000),IFERROR(IF(VALUE(MID($C3199,2,20))&lt;100000000,VALUE(MID($C3199,2,20)),1000000000),1000000000))+ROW()/100000,"")</f>
        <v/>
      </c>
    </row>
    <row r="3200">
      <c r="E3200" s="11" t="n"/>
      <c r="M3200" s="7">
        <f>IF($C3200="","",L3200*U3200/100)</f>
        <v/>
      </c>
      <c r="N3200" s="7" t="n"/>
      <c r="T3200" s="7" t="n"/>
      <c r="U3200" s="7">
        <f>IF($C3200="","",S3200*T3200)</f>
        <v/>
      </c>
      <c r="X3200">
        <f>IF($C3200="","",IF($AM3200=1,0,IF($AL3200=1,Settings!$C$6,Settings!$C$7))*100)</f>
        <v/>
      </c>
      <c r="AB3200" s="7" t="n"/>
      <c r="AE3200" s="11" t="n"/>
      <c r="AG3200" s="7">
        <f>IF($C3200="","",U3200*X3200/100)</f>
        <v/>
      </c>
      <c r="AH3200" s="7">
        <f>IF($C3200="","",U3200-AG3200)</f>
        <v/>
      </c>
      <c r="AI3200" s="7">
        <f>IF($C3200="","",AH3200-M3200)</f>
        <v/>
      </c>
      <c r="AJ3200">
        <f>IF($C3200="","",IF(COUNTIF($C$2:$C3200,$C3200)=1,1,0))</f>
        <v/>
      </c>
      <c r="AK3200">
        <f>IF($AJ3200=1,SUMPRODUCT(--($AN$2:$AN$4001&lt;$AN3200))+1,"")</f>
        <v/>
      </c>
      <c r="AL3200">
        <f>IF($C3200="","",IF(OR($Q3200=TRUE(),$Q3200="TRUE"),1,0))</f>
        <v/>
      </c>
      <c r="AM3200">
        <f>IF($C3200="","",IF($W3200="Yes",1,0))</f>
        <v/>
      </c>
      <c r="AN3200">
        <f>IF($AJ3200=1,IFERROR(IF(VALUE($C3200)&lt;100000000,VALUE($C3200),1000000000),IFERROR(IF(VALUE(MID($C3200,2,20))&lt;100000000,VALUE(MID($C3200,2,20)),1000000000),1000000000))+ROW()/100000,"")</f>
        <v/>
      </c>
    </row>
    <row r="3201">
      <c r="E3201" s="11" t="n"/>
      <c r="M3201" s="7">
        <f>IF($C3201="","",L3201*U3201/100)</f>
        <v/>
      </c>
      <c r="N3201" s="7" t="n"/>
      <c r="T3201" s="7" t="n"/>
      <c r="U3201" s="7">
        <f>IF($C3201="","",S3201*T3201)</f>
        <v/>
      </c>
      <c r="X3201">
        <f>IF($C3201="","",IF($AM3201=1,0,IF($AL3201=1,Settings!$C$6,Settings!$C$7))*100)</f>
        <v/>
      </c>
      <c r="AB3201" s="7" t="n"/>
      <c r="AE3201" s="11" t="n"/>
      <c r="AG3201" s="7">
        <f>IF($C3201="","",U3201*X3201/100)</f>
        <v/>
      </c>
      <c r="AH3201" s="7">
        <f>IF($C3201="","",U3201-AG3201)</f>
        <v/>
      </c>
      <c r="AI3201" s="7">
        <f>IF($C3201="","",AH3201-M3201)</f>
        <v/>
      </c>
      <c r="AJ3201">
        <f>IF($C3201="","",IF(COUNTIF($C$2:$C3201,$C3201)=1,1,0))</f>
        <v/>
      </c>
      <c r="AK3201">
        <f>IF($AJ3201=1,SUMPRODUCT(--($AN$2:$AN$4001&lt;$AN3201))+1,"")</f>
        <v/>
      </c>
      <c r="AL3201">
        <f>IF($C3201="","",IF(OR($Q3201=TRUE(),$Q3201="TRUE"),1,0))</f>
        <v/>
      </c>
      <c r="AM3201">
        <f>IF($C3201="","",IF($W3201="Yes",1,0))</f>
        <v/>
      </c>
      <c r="AN3201">
        <f>IF($AJ3201=1,IFERROR(IF(VALUE($C3201)&lt;100000000,VALUE($C3201),1000000000),IFERROR(IF(VALUE(MID($C3201,2,20))&lt;100000000,VALUE(MID($C3201,2,20)),1000000000),1000000000))+ROW()/100000,"")</f>
        <v/>
      </c>
    </row>
    <row r="3202">
      <c r="E3202" s="11" t="n"/>
      <c r="M3202" s="7">
        <f>IF($C3202="","",L3202*U3202/100)</f>
        <v/>
      </c>
      <c r="N3202" s="7" t="n"/>
      <c r="T3202" s="7" t="n"/>
      <c r="U3202" s="7">
        <f>IF($C3202="","",S3202*T3202)</f>
        <v/>
      </c>
      <c r="X3202">
        <f>IF($C3202="","",IF($AM3202=1,0,IF($AL3202=1,Settings!$C$6,Settings!$C$7))*100)</f>
        <v/>
      </c>
      <c r="AB3202" s="7" t="n"/>
      <c r="AE3202" s="11" t="n"/>
      <c r="AG3202" s="7">
        <f>IF($C3202="","",U3202*X3202/100)</f>
        <v/>
      </c>
      <c r="AH3202" s="7">
        <f>IF($C3202="","",U3202-AG3202)</f>
        <v/>
      </c>
      <c r="AI3202" s="7">
        <f>IF($C3202="","",AH3202-M3202)</f>
        <v/>
      </c>
      <c r="AJ3202">
        <f>IF($C3202="","",IF(COUNTIF($C$2:$C3202,$C3202)=1,1,0))</f>
        <v/>
      </c>
      <c r="AK3202">
        <f>IF($AJ3202=1,SUMPRODUCT(--($AN$2:$AN$4001&lt;$AN3202))+1,"")</f>
        <v/>
      </c>
      <c r="AL3202">
        <f>IF($C3202="","",IF(OR($Q3202=TRUE(),$Q3202="TRUE"),1,0))</f>
        <v/>
      </c>
      <c r="AM3202">
        <f>IF($C3202="","",IF($W3202="Yes",1,0))</f>
        <v/>
      </c>
      <c r="AN3202">
        <f>IF($AJ3202=1,IFERROR(IF(VALUE($C3202)&lt;100000000,VALUE($C3202),1000000000),IFERROR(IF(VALUE(MID($C3202,2,20))&lt;100000000,VALUE(MID($C3202,2,20)),1000000000),1000000000))+ROW()/100000,"")</f>
        <v/>
      </c>
    </row>
    <row r="3203">
      <c r="E3203" s="11" t="n"/>
      <c r="M3203" s="7">
        <f>IF($C3203="","",L3203*U3203/100)</f>
        <v/>
      </c>
      <c r="N3203" s="7" t="n"/>
      <c r="T3203" s="7" t="n"/>
      <c r="U3203" s="7">
        <f>IF($C3203="","",S3203*T3203)</f>
        <v/>
      </c>
      <c r="X3203">
        <f>IF($C3203="","",IF($AM3203=1,0,IF($AL3203=1,Settings!$C$6,Settings!$C$7))*100)</f>
        <v/>
      </c>
      <c r="AB3203" s="7" t="n"/>
      <c r="AE3203" s="11" t="n"/>
      <c r="AG3203" s="7">
        <f>IF($C3203="","",U3203*X3203/100)</f>
        <v/>
      </c>
      <c r="AH3203" s="7">
        <f>IF($C3203="","",U3203-AG3203)</f>
        <v/>
      </c>
      <c r="AI3203" s="7">
        <f>IF($C3203="","",AH3203-M3203)</f>
        <v/>
      </c>
      <c r="AJ3203">
        <f>IF($C3203="","",IF(COUNTIF($C$2:$C3203,$C3203)=1,1,0))</f>
        <v/>
      </c>
      <c r="AK3203">
        <f>IF($AJ3203=1,SUMPRODUCT(--($AN$2:$AN$4001&lt;$AN3203))+1,"")</f>
        <v/>
      </c>
      <c r="AL3203">
        <f>IF($C3203="","",IF(OR($Q3203=TRUE(),$Q3203="TRUE"),1,0))</f>
        <v/>
      </c>
      <c r="AM3203">
        <f>IF($C3203="","",IF($W3203="Yes",1,0))</f>
        <v/>
      </c>
      <c r="AN3203">
        <f>IF($AJ3203=1,IFERROR(IF(VALUE($C3203)&lt;100000000,VALUE($C3203),1000000000),IFERROR(IF(VALUE(MID($C3203,2,20))&lt;100000000,VALUE(MID($C3203,2,20)),1000000000),1000000000))+ROW()/100000,"")</f>
        <v/>
      </c>
    </row>
    <row r="3204">
      <c r="E3204" s="11" t="n"/>
      <c r="M3204" s="7">
        <f>IF($C3204="","",L3204*U3204/100)</f>
        <v/>
      </c>
      <c r="N3204" s="7" t="n"/>
      <c r="T3204" s="7" t="n"/>
      <c r="U3204" s="7">
        <f>IF($C3204="","",S3204*T3204)</f>
        <v/>
      </c>
      <c r="X3204">
        <f>IF($C3204="","",IF($AM3204=1,0,IF($AL3204=1,Settings!$C$6,Settings!$C$7))*100)</f>
        <v/>
      </c>
      <c r="AB3204" s="7" t="n"/>
      <c r="AE3204" s="11" t="n"/>
      <c r="AG3204" s="7">
        <f>IF($C3204="","",U3204*X3204/100)</f>
        <v/>
      </c>
      <c r="AH3204" s="7">
        <f>IF($C3204="","",U3204-AG3204)</f>
        <v/>
      </c>
      <c r="AI3204" s="7">
        <f>IF($C3204="","",AH3204-M3204)</f>
        <v/>
      </c>
      <c r="AJ3204">
        <f>IF($C3204="","",IF(COUNTIF($C$2:$C3204,$C3204)=1,1,0))</f>
        <v/>
      </c>
      <c r="AK3204">
        <f>IF($AJ3204=1,SUMPRODUCT(--($AN$2:$AN$4001&lt;$AN3204))+1,"")</f>
        <v/>
      </c>
      <c r="AL3204">
        <f>IF($C3204="","",IF(OR($Q3204=TRUE(),$Q3204="TRUE"),1,0))</f>
        <v/>
      </c>
      <c r="AM3204">
        <f>IF($C3204="","",IF($W3204="Yes",1,0))</f>
        <v/>
      </c>
      <c r="AN3204">
        <f>IF($AJ3204=1,IFERROR(IF(VALUE($C3204)&lt;100000000,VALUE($C3204),1000000000),IFERROR(IF(VALUE(MID($C3204,2,20))&lt;100000000,VALUE(MID($C3204,2,20)),1000000000),1000000000))+ROW()/100000,"")</f>
        <v/>
      </c>
    </row>
    <row r="3205">
      <c r="E3205" s="11" t="n"/>
      <c r="M3205" s="7">
        <f>IF($C3205="","",L3205*U3205/100)</f>
        <v/>
      </c>
      <c r="N3205" s="7" t="n"/>
      <c r="T3205" s="7" t="n"/>
      <c r="U3205" s="7">
        <f>IF($C3205="","",S3205*T3205)</f>
        <v/>
      </c>
      <c r="X3205">
        <f>IF($C3205="","",IF($AM3205=1,0,IF($AL3205=1,Settings!$C$6,Settings!$C$7))*100)</f>
        <v/>
      </c>
      <c r="AB3205" s="7" t="n"/>
      <c r="AE3205" s="11" t="n"/>
      <c r="AG3205" s="7">
        <f>IF($C3205="","",U3205*X3205/100)</f>
        <v/>
      </c>
      <c r="AH3205" s="7">
        <f>IF($C3205="","",U3205-AG3205)</f>
        <v/>
      </c>
      <c r="AI3205" s="7">
        <f>IF($C3205="","",AH3205-M3205)</f>
        <v/>
      </c>
      <c r="AJ3205">
        <f>IF($C3205="","",IF(COUNTIF($C$2:$C3205,$C3205)=1,1,0))</f>
        <v/>
      </c>
      <c r="AK3205">
        <f>IF($AJ3205=1,SUMPRODUCT(--($AN$2:$AN$4001&lt;$AN3205))+1,"")</f>
        <v/>
      </c>
      <c r="AL3205">
        <f>IF($C3205="","",IF(OR($Q3205=TRUE(),$Q3205="TRUE"),1,0))</f>
        <v/>
      </c>
      <c r="AM3205">
        <f>IF($C3205="","",IF($W3205="Yes",1,0))</f>
        <v/>
      </c>
      <c r="AN3205">
        <f>IF($AJ3205=1,IFERROR(IF(VALUE($C3205)&lt;100000000,VALUE($C3205),1000000000),IFERROR(IF(VALUE(MID($C3205,2,20))&lt;100000000,VALUE(MID($C3205,2,20)),1000000000),1000000000))+ROW()/100000,"")</f>
        <v/>
      </c>
    </row>
    <row r="3206">
      <c r="E3206" s="11" t="n"/>
      <c r="M3206" s="7">
        <f>IF($C3206="","",L3206*U3206/100)</f>
        <v/>
      </c>
      <c r="N3206" s="7" t="n"/>
      <c r="T3206" s="7" t="n"/>
      <c r="U3206" s="7">
        <f>IF($C3206="","",S3206*T3206)</f>
        <v/>
      </c>
      <c r="X3206">
        <f>IF($C3206="","",IF($AM3206=1,0,IF($AL3206=1,Settings!$C$6,Settings!$C$7))*100)</f>
        <v/>
      </c>
      <c r="AB3206" s="7" t="n"/>
      <c r="AE3206" s="11" t="n"/>
      <c r="AG3206" s="7">
        <f>IF($C3206="","",U3206*X3206/100)</f>
        <v/>
      </c>
      <c r="AH3206" s="7">
        <f>IF($C3206="","",U3206-AG3206)</f>
        <v/>
      </c>
      <c r="AI3206" s="7">
        <f>IF($C3206="","",AH3206-M3206)</f>
        <v/>
      </c>
      <c r="AJ3206">
        <f>IF($C3206="","",IF(COUNTIF($C$2:$C3206,$C3206)=1,1,0))</f>
        <v/>
      </c>
      <c r="AK3206">
        <f>IF($AJ3206=1,SUMPRODUCT(--($AN$2:$AN$4001&lt;$AN3206))+1,"")</f>
        <v/>
      </c>
      <c r="AL3206">
        <f>IF($C3206="","",IF(OR($Q3206=TRUE(),$Q3206="TRUE"),1,0))</f>
        <v/>
      </c>
      <c r="AM3206">
        <f>IF($C3206="","",IF($W3206="Yes",1,0))</f>
        <v/>
      </c>
      <c r="AN3206">
        <f>IF($AJ3206=1,IFERROR(IF(VALUE($C3206)&lt;100000000,VALUE($C3206),1000000000),IFERROR(IF(VALUE(MID($C3206,2,20))&lt;100000000,VALUE(MID($C3206,2,20)),1000000000),1000000000))+ROW()/100000,"")</f>
        <v/>
      </c>
    </row>
    <row r="3207">
      <c r="E3207" s="11" t="n"/>
      <c r="M3207" s="7">
        <f>IF($C3207="","",L3207*U3207/100)</f>
        <v/>
      </c>
      <c r="N3207" s="7" t="n"/>
      <c r="T3207" s="7" t="n"/>
      <c r="U3207" s="7">
        <f>IF($C3207="","",S3207*T3207)</f>
        <v/>
      </c>
      <c r="X3207">
        <f>IF($C3207="","",IF($AM3207=1,0,IF($AL3207=1,Settings!$C$6,Settings!$C$7))*100)</f>
        <v/>
      </c>
      <c r="AB3207" s="7" t="n"/>
      <c r="AE3207" s="11" t="n"/>
      <c r="AG3207" s="7">
        <f>IF($C3207="","",U3207*X3207/100)</f>
        <v/>
      </c>
      <c r="AH3207" s="7">
        <f>IF($C3207="","",U3207-AG3207)</f>
        <v/>
      </c>
      <c r="AI3207" s="7">
        <f>IF($C3207="","",AH3207-M3207)</f>
        <v/>
      </c>
      <c r="AJ3207">
        <f>IF($C3207="","",IF(COUNTIF($C$2:$C3207,$C3207)=1,1,0))</f>
        <v/>
      </c>
      <c r="AK3207">
        <f>IF($AJ3207=1,SUMPRODUCT(--($AN$2:$AN$4001&lt;$AN3207))+1,"")</f>
        <v/>
      </c>
      <c r="AL3207">
        <f>IF($C3207="","",IF(OR($Q3207=TRUE(),$Q3207="TRUE"),1,0))</f>
        <v/>
      </c>
      <c r="AM3207">
        <f>IF($C3207="","",IF($W3207="Yes",1,0))</f>
        <v/>
      </c>
      <c r="AN3207">
        <f>IF($AJ3207=1,IFERROR(IF(VALUE($C3207)&lt;100000000,VALUE($C3207),1000000000),IFERROR(IF(VALUE(MID($C3207,2,20))&lt;100000000,VALUE(MID($C3207,2,20)),1000000000),1000000000))+ROW()/100000,"")</f>
        <v/>
      </c>
    </row>
    <row r="3208">
      <c r="E3208" s="11" t="n"/>
      <c r="M3208" s="7">
        <f>IF($C3208="","",L3208*U3208/100)</f>
        <v/>
      </c>
      <c r="N3208" s="7" t="n"/>
      <c r="T3208" s="7" t="n"/>
      <c r="U3208" s="7">
        <f>IF($C3208="","",S3208*T3208)</f>
        <v/>
      </c>
      <c r="X3208">
        <f>IF($C3208="","",IF($AM3208=1,0,IF($AL3208=1,Settings!$C$6,Settings!$C$7))*100)</f>
        <v/>
      </c>
      <c r="AB3208" s="7" t="n"/>
      <c r="AE3208" s="11" t="n"/>
      <c r="AG3208" s="7">
        <f>IF($C3208="","",U3208*X3208/100)</f>
        <v/>
      </c>
      <c r="AH3208" s="7">
        <f>IF($C3208="","",U3208-AG3208)</f>
        <v/>
      </c>
      <c r="AI3208" s="7">
        <f>IF($C3208="","",AH3208-M3208)</f>
        <v/>
      </c>
      <c r="AJ3208">
        <f>IF($C3208="","",IF(COUNTIF($C$2:$C3208,$C3208)=1,1,0))</f>
        <v/>
      </c>
      <c r="AK3208">
        <f>IF($AJ3208=1,SUMPRODUCT(--($AN$2:$AN$4001&lt;$AN3208))+1,"")</f>
        <v/>
      </c>
      <c r="AL3208">
        <f>IF($C3208="","",IF(OR($Q3208=TRUE(),$Q3208="TRUE"),1,0))</f>
        <v/>
      </c>
      <c r="AM3208">
        <f>IF($C3208="","",IF($W3208="Yes",1,0))</f>
        <v/>
      </c>
      <c r="AN3208">
        <f>IF($AJ3208=1,IFERROR(IF(VALUE($C3208)&lt;100000000,VALUE($C3208),1000000000),IFERROR(IF(VALUE(MID($C3208,2,20))&lt;100000000,VALUE(MID($C3208,2,20)),1000000000),1000000000))+ROW()/100000,"")</f>
        <v/>
      </c>
    </row>
    <row r="3209">
      <c r="E3209" s="11" t="n"/>
      <c r="M3209" s="7">
        <f>IF($C3209="","",L3209*U3209/100)</f>
        <v/>
      </c>
      <c r="N3209" s="7" t="n"/>
      <c r="T3209" s="7" t="n"/>
      <c r="U3209" s="7">
        <f>IF($C3209="","",S3209*T3209)</f>
        <v/>
      </c>
      <c r="X3209">
        <f>IF($C3209="","",IF($AM3209=1,0,IF($AL3209=1,Settings!$C$6,Settings!$C$7))*100)</f>
        <v/>
      </c>
      <c r="AB3209" s="7" t="n"/>
      <c r="AE3209" s="11" t="n"/>
      <c r="AG3209" s="7">
        <f>IF($C3209="","",U3209*X3209/100)</f>
        <v/>
      </c>
      <c r="AH3209" s="7">
        <f>IF($C3209="","",U3209-AG3209)</f>
        <v/>
      </c>
      <c r="AI3209" s="7">
        <f>IF($C3209="","",AH3209-M3209)</f>
        <v/>
      </c>
      <c r="AJ3209">
        <f>IF($C3209="","",IF(COUNTIF($C$2:$C3209,$C3209)=1,1,0))</f>
        <v/>
      </c>
      <c r="AK3209">
        <f>IF($AJ3209=1,SUMPRODUCT(--($AN$2:$AN$4001&lt;$AN3209))+1,"")</f>
        <v/>
      </c>
      <c r="AL3209">
        <f>IF($C3209="","",IF(OR($Q3209=TRUE(),$Q3209="TRUE"),1,0))</f>
        <v/>
      </c>
      <c r="AM3209">
        <f>IF($C3209="","",IF($W3209="Yes",1,0))</f>
        <v/>
      </c>
      <c r="AN3209">
        <f>IF($AJ3209=1,IFERROR(IF(VALUE($C3209)&lt;100000000,VALUE($C3209),1000000000),IFERROR(IF(VALUE(MID($C3209,2,20))&lt;100000000,VALUE(MID($C3209,2,20)),1000000000),1000000000))+ROW()/100000,"")</f>
        <v/>
      </c>
    </row>
    <row r="3210">
      <c r="E3210" s="11" t="n"/>
      <c r="M3210" s="7">
        <f>IF($C3210="","",L3210*U3210/100)</f>
        <v/>
      </c>
      <c r="N3210" s="7" t="n"/>
      <c r="T3210" s="7" t="n"/>
      <c r="U3210" s="7">
        <f>IF($C3210="","",S3210*T3210)</f>
        <v/>
      </c>
      <c r="X3210">
        <f>IF($C3210="","",IF($AM3210=1,0,IF($AL3210=1,Settings!$C$6,Settings!$C$7))*100)</f>
        <v/>
      </c>
      <c r="AB3210" s="7" t="n"/>
      <c r="AE3210" s="11" t="n"/>
      <c r="AG3210" s="7">
        <f>IF($C3210="","",U3210*X3210/100)</f>
        <v/>
      </c>
      <c r="AH3210" s="7">
        <f>IF($C3210="","",U3210-AG3210)</f>
        <v/>
      </c>
      <c r="AI3210" s="7">
        <f>IF($C3210="","",AH3210-M3210)</f>
        <v/>
      </c>
      <c r="AJ3210">
        <f>IF($C3210="","",IF(COUNTIF($C$2:$C3210,$C3210)=1,1,0))</f>
        <v/>
      </c>
      <c r="AK3210">
        <f>IF($AJ3210=1,SUMPRODUCT(--($AN$2:$AN$4001&lt;$AN3210))+1,"")</f>
        <v/>
      </c>
      <c r="AL3210">
        <f>IF($C3210="","",IF(OR($Q3210=TRUE(),$Q3210="TRUE"),1,0))</f>
        <v/>
      </c>
      <c r="AM3210">
        <f>IF($C3210="","",IF($W3210="Yes",1,0))</f>
        <v/>
      </c>
      <c r="AN3210">
        <f>IF($AJ3210=1,IFERROR(IF(VALUE($C3210)&lt;100000000,VALUE($C3210),1000000000),IFERROR(IF(VALUE(MID($C3210,2,20))&lt;100000000,VALUE(MID($C3210,2,20)),1000000000),1000000000))+ROW()/100000,"")</f>
        <v/>
      </c>
    </row>
    <row r="3211">
      <c r="E3211" s="11" t="n"/>
      <c r="M3211" s="7">
        <f>IF($C3211="","",L3211*U3211/100)</f>
        <v/>
      </c>
      <c r="N3211" s="7" t="n"/>
      <c r="T3211" s="7" t="n"/>
      <c r="U3211" s="7">
        <f>IF($C3211="","",S3211*T3211)</f>
        <v/>
      </c>
      <c r="X3211">
        <f>IF($C3211="","",IF($AM3211=1,0,IF($AL3211=1,Settings!$C$6,Settings!$C$7))*100)</f>
        <v/>
      </c>
      <c r="AB3211" s="7" t="n"/>
      <c r="AE3211" s="11" t="n"/>
      <c r="AG3211" s="7">
        <f>IF($C3211="","",U3211*X3211/100)</f>
        <v/>
      </c>
      <c r="AH3211" s="7">
        <f>IF($C3211="","",U3211-AG3211)</f>
        <v/>
      </c>
      <c r="AI3211" s="7">
        <f>IF($C3211="","",AH3211-M3211)</f>
        <v/>
      </c>
      <c r="AJ3211">
        <f>IF($C3211="","",IF(COUNTIF($C$2:$C3211,$C3211)=1,1,0))</f>
        <v/>
      </c>
      <c r="AK3211">
        <f>IF($AJ3211=1,SUMPRODUCT(--($AN$2:$AN$4001&lt;$AN3211))+1,"")</f>
        <v/>
      </c>
      <c r="AL3211">
        <f>IF($C3211="","",IF(OR($Q3211=TRUE(),$Q3211="TRUE"),1,0))</f>
        <v/>
      </c>
      <c r="AM3211">
        <f>IF($C3211="","",IF($W3211="Yes",1,0))</f>
        <v/>
      </c>
      <c r="AN3211">
        <f>IF($AJ3211=1,IFERROR(IF(VALUE($C3211)&lt;100000000,VALUE($C3211),1000000000),IFERROR(IF(VALUE(MID($C3211,2,20))&lt;100000000,VALUE(MID($C3211,2,20)),1000000000),1000000000))+ROW()/100000,"")</f>
        <v/>
      </c>
    </row>
    <row r="3212">
      <c r="E3212" s="11" t="n"/>
      <c r="M3212" s="7">
        <f>IF($C3212="","",L3212*U3212/100)</f>
        <v/>
      </c>
      <c r="N3212" s="7" t="n"/>
      <c r="T3212" s="7" t="n"/>
      <c r="U3212" s="7">
        <f>IF($C3212="","",S3212*T3212)</f>
        <v/>
      </c>
      <c r="X3212">
        <f>IF($C3212="","",IF($AM3212=1,0,IF($AL3212=1,Settings!$C$6,Settings!$C$7))*100)</f>
        <v/>
      </c>
      <c r="AB3212" s="7" t="n"/>
      <c r="AE3212" s="11" t="n"/>
      <c r="AG3212" s="7">
        <f>IF($C3212="","",U3212*X3212/100)</f>
        <v/>
      </c>
      <c r="AH3212" s="7">
        <f>IF($C3212="","",U3212-AG3212)</f>
        <v/>
      </c>
      <c r="AI3212" s="7">
        <f>IF($C3212="","",AH3212-M3212)</f>
        <v/>
      </c>
      <c r="AJ3212">
        <f>IF($C3212="","",IF(COUNTIF($C$2:$C3212,$C3212)=1,1,0))</f>
        <v/>
      </c>
      <c r="AK3212">
        <f>IF($AJ3212=1,SUMPRODUCT(--($AN$2:$AN$4001&lt;$AN3212))+1,"")</f>
        <v/>
      </c>
      <c r="AL3212">
        <f>IF($C3212="","",IF(OR($Q3212=TRUE(),$Q3212="TRUE"),1,0))</f>
        <v/>
      </c>
      <c r="AM3212">
        <f>IF($C3212="","",IF($W3212="Yes",1,0))</f>
        <v/>
      </c>
      <c r="AN3212">
        <f>IF($AJ3212=1,IFERROR(IF(VALUE($C3212)&lt;100000000,VALUE($C3212),1000000000),IFERROR(IF(VALUE(MID($C3212,2,20))&lt;100000000,VALUE(MID($C3212,2,20)),1000000000),1000000000))+ROW()/100000,"")</f>
        <v/>
      </c>
    </row>
    <row r="3213">
      <c r="E3213" s="11" t="n"/>
      <c r="M3213" s="7">
        <f>IF($C3213="","",L3213*U3213/100)</f>
        <v/>
      </c>
      <c r="N3213" s="7" t="n"/>
      <c r="T3213" s="7" t="n"/>
      <c r="U3213" s="7">
        <f>IF($C3213="","",S3213*T3213)</f>
        <v/>
      </c>
      <c r="X3213">
        <f>IF($C3213="","",IF($AM3213=1,0,IF($AL3213=1,Settings!$C$6,Settings!$C$7))*100)</f>
        <v/>
      </c>
      <c r="AB3213" s="7" t="n"/>
      <c r="AE3213" s="11" t="n"/>
      <c r="AG3213" s="7">
        <f>IF($C3213="","",U3213*X3213/100)</f>
        <v/>
      </c>
      <c r="AH3213" s="7">
        <f>IF($C3213="","",U3213-AG3213)</f>
        <v/>
      </c>
      <c r="AI3213" s="7">
        <f>IF($C3213="","",AH3213-M3213)</f>
        <v/>
      </c>
      <c r="AJ3213">
        <f>IF($C3213="","",IF(COUNTIF($C$2:$C3213,$C3213)=1,1,0))</f>
        <v/>
      </c>
      <c r="AK3213">
        <f>IF($AJ3213=1,SUMPRODUCT(--($AN$2:$AN$4001&lt;$AN3213))+1,"")</f>
        <v/>
      </c>
      <c r="AL3213">
        <f>IF($C3213="","",IF(OR($Q3213=TRUE(),$Q3213="TRUE"),1,0))</f>
        <v/>
      </c>
      <c r="AM3213">
        <f>IF($C3213="","",IF($W3213="Yes",1,0))</f>
        <v/>
      </c>
      <c r="AN3213">
        <f>IF($AJ3213=1,IFERROR(IF(VALUE($C3213)&lt;100000000,VALUE($C3213),1000000000),IFERROR(IF(VALUE(MID($C3213,2,20))&lt;100000000,VALUE(MID($C3213,2,20)),1000000000),1000000000))+ROW()/100000,"")</f>
        <v/>
      </c>
    </row>
    <row r="3214">
      <c r="E3214" s="11" t="n"/>
      <c r="M3214" s="7">
        <f>IF($C3214="","",L3214*U3214/100)</f>
        <v/>
      </c>
      <c r="N3214" s="7" t="n"/>
      <c r="T3214" s="7" t="n"/>
      <c r="U3214" s="7">
        <f>IF($C3214="","",S3214*T3214)</f>
        <v/>
      </c>
      <c r="X3214">
        <f>IF($C3214="","",IF($AM3214=1,0,IF($AL3214=1,Settings!$C$6,Settings!$C$7))*100)</f>
        <v/>
      </c>
      <c r="AB3214" s="7" t="n"/>
      <c r="AE3214" s="11" t="n"/>
      <c r="AG3214" s="7">
        <f>IF($C3214="","",U3214*X3214/100)</f>
        <v/>
      </c>
      <c r="AH3214" s="7">
        <f>IF($C3214="","",U3214-AG3214)</f>
        <v/>
      </c>
      <c r="AI3214" s="7">
        <f>IF($C3214="","",AH3214-M3214)</f>
        <v/>
      </c>
      <c r="AJ3214">
        <f>IF($C3214="","",IF(COUNTIF($C$2:$C3214,$C3214)=1,1,0))</f>
        <v/>
      </c>
      <c r="AK3214">
        <f>IF($AJ3214=1,SUMPRODUCT(--($AN$2:$AN$4001&lt;$AN3214))+1,"")</f>
        <v/>
      </c>
      <c r="AL3214">
        <f>IF($C3214="","",IF(OR($Q3214=TRUE(),$Q3214="TRUE"),1,0))</f>
        <v/>
      </c>
      <c r="AM3214">
        <f>IF($C3214="","",IF($W3214="Yes",1,0))</f>
        <v/>
      </c>
      <c r="AN3214">
        <f>IF($AJ3214=1,IFERROR(IF(VALUE($C3214)&lt;100000000,VALUE($C3214),1000000000),IFERROR(IF(VALUE(MID($C3214,2,20))&lt;100000000,VALUE(MID($C3214,2,20)),1000000000),1000000000))+ROW()/100000,"")</f>
        <v/>
      </c>
    </row>
    <row r="3215">
      <c r="E3215" s="11" t="n"/>
      <c r="M3215" s="7">
        <f>IF($C3215="","",L3215*U3215/100)</f>
        <v/>
      </c>
      <c r="N3215" s="7" t="n"/>
      <c r="T3215" s="7" t="n"/>
      <c r="U3215" s="7">
        <f>IF($C3215="","",S3215*T3215)</f>
        <v/>
      </c>
      <c r="X3215">
        <f>IF($C3215="","",IF($AM3215=1,0,IF($AL3215=1,Settings!$C$6,Settings!$C$7))*100)</f>
        <v/>
      </c>
      <c r="AB3215" s="7" t="n"/>
      <c r="AE3215" s="11" t="n"/>
      <c r="AG3215" s="7">
        <f>IF($C3215="","",U3215*X3215/100)</f>
        <v/>
      </c>
      <c r="AH3215" s="7">
        <f>IF($C3215="","",U3215-AG3215)</f>
        <v/>
      </c>
      <c r="AI3215" s="7">
        <f>IF($C3215="","",AH3215-M3215)</f>
        <v/>
      </c>
      <c r="AJ3215">
        <f>IF($C3215="","",IF(COUNTIF($C$2:$C3215,$C3215)=1,1,0))</f>
        <v/>
      </c>
      <c r="AK3215">
        <f>IF($AJ3215=1,SUMPRODUCT(--($AN$2:$AN$4001&lt;$AN3215))+1,"")</f>
        <v/>
      </c>
      <c r="AL3215">
        <f>IF($C3215="","",IF(OR($Q3215=TRUE(),$Q3215="TRUE"),1,0))</f>
        <v/>
      </c>
      <c r="AM3215">
        <f>IF($C3215="","",IF($W3215="Yes",1,0))</f>
        <v/>
      </c>
      <c r="AN3215">
        <f>IF($AJ3215=1,IFERROR(IF(VALUE($C3215)&lt;100000000,VALUE($C3215),1000000000),IFERROR(IF(VALUE(MID($C3215,2,20))&lt;100000000,VALUE(MID($C3215,2,20)),1000000000),1000000000))+ROW()/100000,"")</f>
        <v/>
      </c>
    </row>
    <row r="3216">
      <c r="E3216" s="11" t="n"/>
      <c r="M3216" s="7">
        <f>IF($C3216="","",L3216*U3216/100)</f>
        <v/>
      </c>
      <c r="N3216" s="7" t="n"/>
      <c r="T3216" s="7" t="n"/>
      <c r="U3216" s="7">
        <f>IF($C3216="","",S3216*T3216)</f>
        <v/>
      </c>
      <c r="X3216">
        <f>IF($C3216="","",IF($AM3216=1,0,IF($AL3216=1,Settings!$C$6,Settings!$C$7))*100)</f>
        <v/>
      </c>
      <c r="AB3216" s="7" t="n"/>
      <c r="AE3216" s="11" t="n"/>
      <c r="AG3216" s="7">
        <f>IF($C3216="","",U3216*X3216/100)</f>
        <v/>
      </c>
      <c r="AH3216" s="7">
        <f>IF($C3216="","",U3216-AG3216)</f>
        <v/>
      </c>
      <c r="AI3216" s="7">
        <f>IF($C3216="","",AH3216-M3216)</f>
        <v/>
      </c>
      <c r="AJ3216">
        <f>IF($C3216="","",IF(COUNTIF($C$2:$C3216,$C3216)=1,1,0))</f>
        <v/>
      </c>
      <c r="AK3216">
        <f>IF($AJ3216=1,SUMPRODUCT(--($AN$2:$AN$4001&lt;$AN3216))+1,"")</f>
        <v/>
      </c>
      <c r="AL3216">
        <f>IF($C3216="","",IF(OR($Q3216=TRUE(),$Q3216="TRUE"),1,0))</f>
        <v/>
      </c>
      <c r="AM3216">
        <f>IF($C3216="","",IF($W3216="Yes",1,0))</f>
        <v/>
      </c>
      <c r="AN3216">
        <f>IF($AJ3216=1,IFERROR(IF(VALUE($C3216)&lt;100000000,VALUE($C3216),1000000000),IFERROR(IF(VALUE(MID($C3216,2,20))&lt;100000000,VALUE(MID($C3216,2,20)),1000000000),1000000000))+ROW()/100000,"")</f>
        <v/>
      </c>
    </row>
    <row r="3217">
      <c r="E3217" s="11" t="n"/>
      <c r="M3217" s="7">
        <f>IF($C3217="","",L3217*U3217/100)</f>
        <v/>
      </c>
      <c r="N3217" s="7" t="n"/>
      <c r="T3217" s="7" t="n"/>
      <c r="U3217" s="7">
        <f>IF($C3217="","",S3217*T3217)</f>
        <v/>
      </c>
      <c r="X3217">
        <f>IF($C3217="","",IF($AM3217=1,0,IF($AL3217=1,Settings!$C$6,Settings!$C$7))*100)</f>
        <v/>
      </c>
      <c r="AB3217" s="7" t="n"/>
      <c r="AE3217" s="11" t="n"/>
      <c r="AG3217" s="7">
        <f>IF($C3217="","",U3217*X3217/100)</f>
        <v/>
      </c>
      <c r="AH3217" s="7">
        <f>IF($C3217="","",U3217-AG3217)</f>
        <v/>
      </c>
      <c r="AI3217" s="7">
        <f>IF($C3217="","",AH3217-M3217)</f>
        <v/>
      </c>
      <c r="AJ3217">
        <f>IF($C3217="","",IF(COUNTIF($C$2:$C3217,$C3217)=1,1,0))</f>
        <v/>
      </c>
      <c r="AK3217">
        <f>IF($AJ3217=1,SUMPRODUCT(--($AN$2:$AN$4001&lt;$AN3217))+1,"")</f>
        <v/>
      </c>
      <c r="AL3217">
        <f>IF($C3217="","",IF(OR($Q3217=TRUE(),$Q3217="TRUE"),1,0))</f>
        <v/>
      </c>
      <c r="AM3217">
        <f>IF($C3217="","",IF($W3217="Yes",1,0))</f>
        <v/>
      </c>
      <c r="AN3217">
        <f>IF($AJ3217=1,IFERROR(IF(VALUE($C3217)&lt;100000000,VALUE($C3217),1000000000),IFERROR(IF(VALUE(MID($C3217,2,20))&lt;100000000,VALUE(MID($C3217,2,20)),1000000000),1000000000))+ROW()/100000,"")</f>
        <v/>
      </c>
    </row>
    <row r="3218">
      <c r="E3218" s="11" t="n"/>
      <c r="M3218" s="7">
        <f>IF($C3218="","",L3218*U3218/100)</f>
        <v/>
      </c>
      <c r="N3218" s="7" t="n"/>
      <c r="T3218" s="7" t="n"/>
      <c r="U3218" s="7">
        <f>IF($C3218="","",S3218*T3218)</f>
        <v/>
      </c>
      <c r="X3218">
        <f>IF($C3218="","",IF($AM3218=1,0,IF($AL3218=1,Settings!$C$6,Settings!$C$7))*100)</f>
        <v/>
      </c>
      <c r="AB3218" s="7" t="n"/>
      <c r="AE3218" s="11" t="n"/>
      <c r="AG3218" s="7">
        <f>IF($C3218="","",U3218*X3218/100)</f>
        <v/>
      </c>
      <c r="AH3218" s="7">
        <f>IF($C3218="","",U3218-AG3218)</f>
        <v/>
      </c>
      <c r="AI3218" s="7">
        <f>IF($C3218="","",AH3218-M3218)</f>
        <v/>
      </c>
      <c r="AJ3218">
        <f>IF($C3218="","",IF(COUNTIF($C$2:$C3218,$C3218)=1,1,0))</f>
        <v/>
      </c>
      <c r="AK3218">
        <f>IF($AJ3218=1,SUMPRODUCT(--($AN$2:$AN$4001&lt;$AN3218))+1,"")</f>
        <v/>
      </c>
      <c r="AL3218">
        <f>IF($C3218="","",IF(OR($Q3218=TRUE(),$Q3218="TRUE"),1,0))</f>
        <v/>
      </c>
      <c r="AM3218">
        <f>IF($C3218="","",IF($W3218="Yes",1,0))</f>
        <v/>
      </c>
      <c r="AN3218">
        <f>IF($AJ3218=1,IFERROR(IF(VALUE($C3218)&lt;100000000,VALUE($C3218),1000000000),IFERROR(IF(VALUE(MID($C3218,2,20))&lt;100000000,VALUE(MID($C3218,2,20)),1000000000),1000000000))+ROW()/100000,"")</f>
        <v/>
      </c>
    </row>
    <row r="3219">
      <c r="E3219" s="11" t="n"/>
      <c r="M3219" s="7">
        <f>IF($C3219="","",L3219*U3219/100)</f>
        <v/>
      </c>
      <c r="N3219" s="7" t="n"/>
      <c r="T3219" s="7" t="n"/>
      <c r="U3219" s="7">
        <f>IF($C3219="","",S3219*T3219)</f>
        <v/>
      </c>
      <c r="X3219">
        <f>IF($C3219="","",IF($AM3219=1,0,IF($AL3219=1,Settings!$C$6,Settings!$C$7))*100)</f>
        <v/>
      </c>
      <c r="AB3219" s="7" t="n"/>
      <c r="AE3219" s="11" t="n"/>
      <c r="AG3219" s="7">
        <f>IF($C3219="","",U3219*X3219/100)</f>
        <v/>
      </c>
      <c r="AH3219" s="7">
        <f>IF($C3219="","",U3219-AG3219)</f>
        <v/>
      </c>
      <c r="AI3219" s="7">
        <f>IF($C3219="","",AH3219-M3219)</f>
        <v/>
      </c>
      <c r="AJ3219">
        <f>IF($C3219="","",IF(COUNTIF($C$2:$C3219,$C3219)=1,1,0))</f>
        <v/>
      </c>
      <c r="AK3219">
        <f>IF($AJ3219=1,SUMPRODUCT(--($AN$2:$AN$4001&lt;$AN3219))+1,"")</f>
        <v/>
      </c>
      <c r="AL3219">
        <f>IF($C3219="","",IF(OR($Q3219=TRUE(),$Q3219="TRUE"),1,0))</f>
        <v/>
      </c>
      <c r="AM3219">
        <f>IF($C3219="","",IF($W3219="Yes",1,0))</f>
        <v/>
      </c>
      <c r="AN3219">
        <f>IF($AJ3219=1,IFERROR(IF(VALUE($C3219)&lt;100000000,VALUE($C3219),1000000000),IFERROR(IF(VALUE(MID($C3219,2,20))&lt;100000000,VALUE(MID($C3219,2,20)),1000000000),1000000000))+ROW()/100000,"")</f>
        <v/>
      </c>
    </row>
    <row r="3220">
      <c r="E3220" s="11" t="n"/>
      <c r="M3220" s="7">
        <f>IF($C3220="","",L3220*U3220/100)</f>
        <v/>
      </c>
      <c r="N3220" s="7" t="n"/>
      <c r="T3220" s="7" t="n"/>
      <c r="U3220" s="7">
        <f>IF($C3220="","",S3220*T3220)</f>
        <v/>
      </c>
      <c r="X3220">
        <f>IF($C3220="","",IF($AM3220=1,0,IF($AL3220=1,Settings!$C$6,Settings!$C$7))*100)</f>
        <v/>
      </c>
      <c r="AB3220" s="7" t="n"/>
      <c r="AE3220" s="11" t="n"/>
      <c r="AG3220" s="7">
        <f>IF($C3220="","",U3220*X3220/100)</f>
        <v/>
      </c>
      <c r="AH3220" s="7">
        <f>IF($C3220="","",U3220-AG3220)</f>
        <v/>
      </c>
      <c r="AI3220" s="7">
        <f>IF($C3220="","",AH3220-M3220)</f>
        <v/>
      </c>
      <c r="AJ3220">
        <f>IF($C3220="","",IF(COUNTIF($C$2:$C3220,$C3220)=1,1,0))</f>
        <v/>
      </c>
      <c r="AK3220">
        <f>IF($AJ3220=1,SUMPRODUCT(--($AN$2:$AN$4001&lt;$AN3220))+1,"")</f>
        <v/>
      </c>
      <c r="AL3220">
        <f>IF($C3220="","",IF(OR($Q3220=TRUE(),$Q3220="TRUE"),1,0))</f>
        <v/>
      </c>
      <c r="AM3220">
        <f>IF($C3220="","",IF($W3220="Yes",1,0))</f>
        <v/>
      </c>
      <c r="AN3220">
        <f>IF($AJ3220=1,IFERROR(IF(VALUE($C3220)&lt;100000000,VALUE($C3220),1000000000),IFERROR(IF(VALUE(MID($C3220,2,20))&lt;100000000,VALUE(MID($C3220,2,20)),1000000000),1000000000))+ROW()/100000,"")</f>
        <v/>
      </c>
    </row>
    <row r="3221">
      <c r="E3221" s="11" t="n"/>
      <c r="M3221" s="7">
        <f>IF($C3221="","",L3221*U3221/100)</f>
        <v/>
      </c>
      <c r="N3221" s="7" t="n"/>
      <c r="T3221" s="7" t="n"/>
      <c r="U3221" s="7">
        <f>IF($C3221="","",S3221*T3221)</f>
        <v/>
      </c>
      <c r="X3221">
        <f>IF($C3221="","",IF($AM3221=1,0,IF($AL3221=1,Settings!$C$6,Settings!$C$7))*100)</f>
        <v/>
      </c>
      <c r="AB3221" s="7" t="n"/>
      <c r="AE3221" s="11" t="n"/>
      <c r="AG3221" s="7">
        <f>IF($C3221="","",U3221*X3221/100)</f>
        <v/>
      </c>
      <c r="AH3221" s="7">
        <f>IF($C3221="","",U3221-AG3221)</f>
        <v/>
      </c>
      <c r="AI3221" s="7">
        <f>IF($C3221="","",AH3221-M3221)</f>
        <v/>
      </c>
      <c r="AJ3221">
        <f>IF($C3221="","",IF(COUNTIF($C$2:$C3221,$C3221)=1,1,0))</f>
        <v/>
      </c>
      <c r="AK3221">
        <f>IF($AJ3221=1,SUMPRODUCT(--($AN$2:$AN$4001&lt;$AN3221))+1,"")</f>
        <v/>
      </c>
      <c r="AL3221">
        <f>IF($C3221="","",IF(OR($Q3221=TRUE(),$Q3221="TRUE"),1,0))</f>
        <v/>
      </c>
      <c r="AM3221">
        <f>IF($C3221="","",IF($W3221="Yes",1,0))</f>
        <v/>
      </c>
      <c r="AN3221">
        <f>IF($AJ3221=1,IFERROR(IF(VALUE($C3221)&lt;100000000,VALUE($C3221),1000000000),IFERROR(IF(VALUE(MID($C3221,2,20))&lt;100000000,VALUE(MID($C3221,2,20)),1000000000),1000000000))+ROW()/100000,"")</f>
        <v/>
      </c>
    </row>
    <row r="3222">
      <c r="E3222" s="11" t="n"/>
      <c r="M3222" s="7">
        <f>IF($C3222="","",L3222*U3222/100)</f>
        <v/>
      </c>
      <c r="N3222" s="7" t="n"/>
      <c r="T3222" s="7" t="n"/>
      <c r="U3222" s="7">
        <f>IF($C3222="","",S3222*T3222)</f>
        <v/>
      </c>
      <c r="X3222">
        <f>IF($C3222="","",IF($AM3222=1,0,IF($AL3222=1,Settings!$C$6,Settings!$C$7))*100)</f>
        <v/>
      </c>
      <c r="AB3222" s="7" t="n"/>
      <c r="AE3222" s="11" t="n"/>
      <c r="AG3222" s="7">
        <f>IF($C3222="","",U3222*X3222/100)</f>
        <v/>
      </c>
      <c r="AH3222" s="7">
        <f>IF($C3222="","",U3222-AG3222)</f>
        <v/>
      </c>
      <c r="AI3222" s="7">
        <f>IF($C3222="","",AH3222-M3222)</f>
        <v/>
      </c>
      <c r="AJ3222">
        <f>IF($C3222="","",IF(COUNTIF($C$2:$C3222,$C3222)=1,1,0))</f>
        <v/>
      </c>
      <c r="AK3222">
        <f>IF($AJ3222=1,SUMPRODUCT(--($AN$2:$AN$4001&lt;$AN3222))+1,"")</f>
        <v/>
      </c>
      <c r="AL3222">
        <f>IF($C3222="","",IF(OR($Q3222=TRUE(),$Q3222="TRUE"),1,0))</f>
        <v/>
      </c>
      <c r="AM3222">
        <f>IF($C3222="","",IF($W3222="Yes",1,0))</f>
        <v/>
      </c>
      <c r="AN3222">
        <f>IF($AJ3222=1,IFERROR(IF(VALUE($C3222)&lt;100000000,VALUE($C3222),1000000000),IFERROR(IF(VALUE(MID($C3222,2,20))&lt;100000000,VALUE(MID($C3222,2,20)),1000000000),1000000000))+ROW()/100000,"")</f>
        <v/>
      </c>
    </row>
    <row r="3223">
      <c r="E3223" s="11" t="n"/>
      <c r="M3223" s="7">
        <f>IF($C3223="","",L3223*U3223/100)</f>
        <v/>
      </c>
      <c r="N3223" s="7" t="n"/>
      <c r="T3223" s="7" t="n"/>
      <c r="U3223" s="7">
        <f>IF($C3223="","",S3223*T3223)</f>
        <v/>
      </c>
      <c r="X3223">
        <f>IF($C3223="","",IF($AM3223=1,0,IF($AL3223=1,Settings!$C$6,Settings!$C$7))*100)</f>
        <v/>
      </c>
      <c r="AB3223" s="7" t="n"/>
      <c r="AE3223" s="11" t="n"/>
      <c r="AG3223" s="7">
        <f>IF($C3223="","",U3223*X3223/100)</f>
        <v/>
      </c>
      <c r="AH3223" s="7">
        <f>IF($C3223="","",U3223-AG3223)</f>
        <v/>
      </c>
      <c r="AI3223" s="7">
        <f>IF($C3223="","",AH3223-M3223)</f>
        <v/>
      </c>
      <c r="AJ3223">
        <f>IF($C3223="","",IF(COUNTIF($C$2:$C3223,$C3223)=1,1,0))</f>
        <v/>
      </c>
      <c r="AK3223">
        <f>IF($AJ3223=1,SUMPRODUCT(--($AN$2:$AN$4001&lt;$AN3223))+1,"")</f>
        <v/>
      </c>
      <c r="AL3223">
        <f>IF($C3223="","",IF(OR($Q3223=TRUE(),$Q3223="TRUE"),1,0))</f>
        <v/>
      </c>
      <c r="AM3223">
        <f>IF($C3223="","",IF($W3223="Yes",1,0))</f>
        <v/>
      </c>
      <c r="AN3223">
        <f>IF($AJ3223=1,IFERROR(IF(VALUE($C3223)&lt;100000000,VALUE($C3223),1000000000),IFERROR(IF(VALUE(MID($C3223,2,20))&lt;100000000,VALUE(MID($C3223,2,20)),1000000000),1000000000))+ROW()/100000,"")</f>
        <v/>
      </c>
    </row>
    <row r="3224">
      <c r="E3224" s="11" t="n"/>
      <c r="M3224" s="7">
        <f>IF($C3224="","",L3224*U3224/100)</f>
        <v/>
      </c>
      <c r="N3224" s="7" t="n"/>
      <c r="T3224" s="7" t="n"/>
      <c r="U3224" s="7">
        <f>IF($C3224="","",S3224*T3224)</f>
        <v/>
      </c>
      <c r="X3224">
        <f>IF($C3224="","",IF($AM3224=1,0,IF($AL3224=1,Settings!$C$6,Settings!$C$7))*100)</f>
        <v/>
      </c>
      <c r="AB3224" s="7" t="n"/>
      <c r="AE3224" s="11" t="n"/>
      <c r="AG3224" s="7">
        <f>IF($C3224="","",U3224*X3224/100)</f>
        <v/>
      </c>
      <c r="AH3224" s="7">
        <f>IF($C3224="","",U3224-AG3224)</f>
        <v/>
      </c>
      <c r="AI3224" s="7">
        <f>IF($C3224="","",AH3224-M3224)</f>
        <v/>
      </c>
      <c r="AJ3224">
        <f>IF($C3224="","",IF(COUNTIF($C$2:$C3224,$C3224)=1,1,0))</f>
        <v/>
      </c>
      <c r="AK3224">
        <f>IF($AJ3224=1,SUMPRODUCT(--($AN$2:$AN$4001&lt;$AN3224))+1,"")</f>
        <v/>
      </c>
      <c r="AL3224">
        <f>IF($C3224="","",IF(OR($Q3224=TRUE(),$Q3224="TRUE"),1,0))</f>
        <v/>
      </c>
      <c r="AM3224">
        <f>IF($C3224="","",IF($W3224="Yes",1,0))</f>
        <v/>
      </c>
      <c r="AN3224">
        <f>IF($AJ3224=1,IFERROR(IF(VALUE($C3224)&lt;100000000,VALUE($C3224),1000000000),IFERROR(IF(VALUE(MID($C3224,2,20))&lt;100000000,VALUE(MID($C3224,2,20)),1000000000),1000000000))+ROW()/100000,"")</f>
        <v/>
      </c>
    </row>
    <row r="3225">
      <c r="E3225" s="11" t="n"/>
      <c r="M3225" s="7">
        <f>IF($C3225="","",L3225*U3225/100)</f>
        <v/>
      </c>
      <c r="N3225" s="7" t="n"/>
      <c r="T3225" s="7" t="n"/>
      <c r="U3225" s="7">
        <f>IF($C3225="","",S3225*T3225)</f>
        <v/>
      </c>
      <c r="X3225">
        <f>IF($C3225="","",IF($AM3225=1,0,IF($AL3225=1,Settings!$C$6,Settings!$C$7))*100)</f>
        <v/>
      </c>
      <c r="AB3225" s="7" t="n"/>
      <c r="AE3225" s="11" t="n"/>
      <c r="AG3225" s="7">
        <f>IF($C3225="","",U3225*X3225/100)</f>
        <v/>
      </c>
      <c r="AH3225" s="7">
        <f>IF($C3225="","",U3225-AG3225)</f>
        <v/>
      </c>
      <c r="AI3225" s="7">
        <f>IF($C3225="","",AH3225-M3225)</f>
        <v/>
      </c>
      <c r="AJ3225">
        <f>IF($C3225="","",IF(COUNTIF($C$2:$C3225,$C3225)=1,1,0))</f>
        <v/>
      </c>
      <c r="AK3225">
        <f>IF($AJ3225=1,SUMPRODUCT(--($AN$2:$AN$4001&lt;$AN3225))+1,"")</f>
        <v/>
      </c>
      <c r="AL3225">
        <f>IF($C3225="","",IF(OR($Q3225=TRUE(),$Q3225="TRUE"),1,0))</f>
        <v/>
      </c>
      <c r="AM3225">
        <f>IF($C3225="","",IF($W3225="Yes",1,0))</f>
        <v/>
      </c>
      <c r="AN3225">
        <f>IF($AJ3225=1,IFERROR(IF(VALUE($C3225)&lt;100000000,VALUE($C3225),1000000000),IFERROR(IF(VALUE(MID($C3225,2,20))&lt;100000000,VALUE(MID($C3225,2,20)),1000000000),1000000000))+ROW()/100000,"")</f>
        <v/>
      </c>
    </row>
    <row r="3226">
      <c r="E3226" s="11" t="n"/>
      <c r="M3226" s="7">
        <f>IF($C3226="","",L3226*U3226/100)</f>
        <v/>
      </c>
      <c r="N3226" s="7" t="n"/>
      <c r="T3226" s="7" t="n"/>
      <c r="U3226" s="7">
        <f>IF($C3226="","",S3226*T3226)</f>
        <v/>
      </c>
      <c r="X3226">
        <f>IF($C3226="","",IF($AM3226=1,0,IF($AL3226=1,Settings!$C$6,Settings!$C$7))*100)</f>
        <v/>
      </c>
      <c r="AB3226" s="7" t="n"/>
      <c r="AE3226" s="11" t="n"/>
      <c r="AG3226" s="7">
        <f>IF($C3226="","",U3226*X3226/100)</f>
        <v/>
      </c>
      <c r="AH3226" s="7">
        <f>IF($C3226="","",U3226-AG3226)</f>
        <v/>
      </c>
      <c r="AI3226" s="7">
        <f>IF($C3226="","",AH3226-M3226)</f>
        <v/>
      </c>
      <c r="AJ3226">
        <f>IF($C3226="","",IF(COUNTIF($C$2:$C3226,$C3226)=1,1,0))</f>
        <v/>
      </c>
      <c r="AK3226">
        <f>IF($AJ3226=1,SUMPRODUCT(--($AN$2:$AN$4001&lt;$AN3226))+1,"")</f>
        <v/>
      </c>
      <c r="AL3226">
        <f>IF($C3226="","",IF(OR($Q3226=TRUE(),$Q3226="TRUE"),1,0))</f>
        <v/>
      </c>
      <c r="AM3226">
        <f>IF($C3226="","",IF($W3226="Yes",1,0))</f>
        <v/>
      </c>
      <c r="AN3226">
        <f>IF($AJ3226=1,IFERROR(IF(VALUE($C3226)&lt;100000000,VALUE($C3226),1000000000),IFERROR(IF(VALUE(MID($C3226,2,20))&lt;100000000,VALUE(MID($C3226,2,20)),1000000000),1000000000))+ROW()/100000,"")</f>
        <v/>
      </c>
    </row>
    <row r="3227">
      <c r="E3227" s="11" t="n"/>
      <c r="M3227" s="7">
        <f>IF($C3227="","",L3227*U3227/100)</f>
        <v/>
      </c>
      <c r="N3227" s="7" t="n"/>
      <c r="T3227" s="7" t="n"/>
      <c r="U3227" s="7">
        <f>IF($C3227="","",S3227*T3227)</f>
        <v/>
      </c>
      <c r="X3227">
        <f>IF($C3227="","",IF($AM3227=1,0,IF($AL3227=1,Settings!$C$6,Settings!$C$7))*100)</f>
        <v/>
      </c>
      <c r="AB3227" s="7" t="n"/>
      <c r="AE3227" s="11" t="n"/>
      <c r="AG3227" s="7">
        <f>IF($C3227="","",U3227*X3227/100)</f>
        <v/>
      </c>
      <c r="AH3227" s="7">
        <f>IF($C3227="","",U3227-AG3227)</f>
        <v/>
      </c>
      <c r="AI3227" s="7">
        <f>IF($C3227="","",AH3227-M3227)</f>
        <v/>
      </c>
      <c r="AJ3227">
        <f>IF($C3227="","",IF(COUNTIF($C$2:$C3227,$C3227)=1,1,0))</f>
        <v/>
      </c>
      <c r="AK3227">
        <f>IF($AJ3227=1,SUMPRODUCT(--($AN$2:$AN$4001&lt;$AN3227))+1,"")</f>
        <v/>
      </c>
      <c r="AL3227">
        <f>IF($C3227="","",IF(OR($Q3227=TRUE(),$Q3227="TRUE"),1,0))</f>
        <v/>
      </c>
      <c r="AM3227">
        <f>IF($C3227="","",IF($W3227="Yes",1,0))</f>
        <v/>
      </c>
      <c r="AN3227">
        <f>IF($AJ3227=1,IFERROR(IF(VALUE($C3227)&lt;100000000,VALUE($C3227),1000000000),IFERROR(IF(VALUE(MID($C3227,2,20))&lt;100000000,VALUE(MID($C3227,2,20)),1000000000),1000000000))+ROW()/100000,"")</f>
        <v/>
      </c>
    </row>
    <row r="3228">
      <c r="E3228" s="11" t="n"/>
      <c r="M3228" s="7">
        <f>IF($C3228="","",L3228*U3228/100)</f>
        <v/>
      </c>
      <c r="N3228" s="7" t="n"/>
      <c r="T3228" s="7" t="n"/>
      <c r="U3228" s="7">
        <f>IF($C3228="","",S3228*T3228)</f>
        <v/>
      </c>
      <c r="X3228">
        <f>IF($C3228="","",IF($AM3228=1,0,IF($AL3228=1,Settings!$C$6,Settings!$C$7))*100)</f>
        <v/>
      </c>
      <c r="AB3228" s="7" t="n"/>
      <c r="AE3228" s="11" t="n"/>
      <c r="AG3228" s="7">
        <f>IF($C3228="","",U3228*X3228/100)</f>
        <v/>
      </c>
      <c r="AH3228" s="7">
        <f>IF($C3228="","",U3228-AG3228)</f>
        <v/>
      </c>
      <c r="AI3228" s="7">
        <f>IF($C3228="","",AH3228-M3228)</f>
        <v/>
      </c>
      <c r="AJ3228">
        <f>IF($C3228="","",IF(COUNTIF($C$2:$C3228,$C3228)=1,1,0))</f>
        <v/>
      </c>
      <c r="AK3228">
        <f>IF($AJ3228=1,SUMPRODUCT(--($AN$2:$AN$4001&lt;$AN3228))+1,"")</f>
        <v/>
      </c>
      <c r="AL3228">
        <f>IF($C3228="","",IF(OR($Q3228=TRUE(),$Q3228="TRUE"),1,0))</f>
        <v/>
      </c>
      <c r="AM3228">
        <f>IF($C3228="","",IF($W3228="Yes",1,0))</f>
        <v/>
      </c>
      <c r="AN3228">
        <f>IF($AJ3228=1,IFERROR(IF(VALUE($C3228)&lt;100000000,VALUE($C3228),1000000000),IFERROR(IF(VALUE(MID($C3228,2,20))&lt;100000000,VALUE(MID($C3228,2,20)),1000000000),1000000000))+ROW()/100000,"")</f>
        <v/>
      </c>
    </row>
    <row r="3229">
      <c r="E3229" s="11" t="n"/>
      <c r="M3229" s="7">
        <f>IF($C3229="","",L3229*U3229/100)</f>
        <v/>
      </c>
      <c r="N3229" s="7" t="n"/>
      <c r="T3229" s="7" t="n"/>
      <c r="U3229" s="7">
        <f>IF($C3229="","",S3229*T3229)</f>
        <v/>
      </c>
      <c r="X3229">
        <f>IF($C3229="","",IF($AM3229=1,0,IF($AL3229=1,Settings!$C$6,Settings!$C$7))*100)</f>
        <v/>
      </c>
      <c r="AB3229" s="7" t="n"/>
      <c r="AE3229" s="11" t="n"/>
      <c r="AG3229" s="7">
        <f>IF($C3229="","",U3229*X3229/100)</f>
        <v/>
      </c>
      <c r="AH3229" s="7">
        <f>IF($C3229="","",U3229-AG3229)</f>
        <v/>
      </c>
      <c r="AI3229" s="7">
        <f>IF($C3229="","",AH3229-M3229)</f>
        <v/>
      </c>
      <c r="AJ3229">
        <f>IF($C3229="","",IF(COUNTIF($C$2:$C3229,$C3229)=1,1,0))</f>
        <v/>
      </c>
      <c r="AK3229">
        <f>IF($AJ3229=1,SUMPRODUCT(--($AN$2:$AN$4001&lt;$AN3229))+1,"")</f>
        <v/>
      </c>
      <c r="AL3229">
        <f>IF($C3229="","",IF(OR($Q3229=TRUE(),$Q3229="TRUE"),1,0))</f>
        <v/>
      </c>
      <c r="AM3229">
        <f>IF($C3229="","",IF($W3229="Yes",1,0))</f>
        <v/>
      </c>
      <c r="AN3229">
        <f>IF($AJ3229=1,IFERROR(IF(VALUE($C3229)&lt;100000000,VALUE($C3229),1000000000),IFERROR(IF(VALUE(MID($C3229,2,20))&lt;100000000,VALUE(MID($C3229,2,20)),1000000000),1000000000))+ROW()/100000,"")</f>
        <v/>
      </c>
    </row>
    <row r="3230">
      <c r="E3230" s="11" t="n"/>
      <c r="M3230" s="7">
        <f>IF($C3230="","",L3230*U3230/100)</f>
        <v/>
      </c>
      <c r="N3230" s="7" t="n"/>
      <c r="T3230" s="7" t="n"/>
      <c r="U3230" s="7">
        <f>IF($C3230="","",S3230*T3230)</f>
        <v/>
      </c>
      <c r="X3230">
        <f>IF($C3230="","",IF($AM3230=1,0,IF($AL3230=1,Settings!$C$6,Settings!$C$7))*100)</f>
        <v/>
      </c>
      <c r="AB3230" s="7" t="n"/>
      <c r="AE3230" s="11" t="n"/>
      <c r="AG3230" s="7">
        <f>IF($C3230="","",U3230*X3230/100)</f>
        <v/>
      </c>
      <c r="AH3230" s="7">
        <f>IF($C3230="","",U3230-AG3230)</f>
        <v/>
      </c>
      <c r="AI3230" s="7">
        <f>IF($C3230="","",AH3230-M3230)</f>
        <v/>
      </c>
      <c r="AJ3230">
        <f>IF($C3230="","",IF(COUNTIF($C$2:$C3230,$C3230)=1,1,0))</f>
        <v/>
      </c>
      <c r="AK3230">
        <f>IF($AJ3230=1,SUMPRODUCT(--($AN$2:$AN$4001&lt;$AN3230))+1,"")</f>
        <v/>
      </c>
      <c r="AL3230">
        <f>IF($C3230="","",IF(OR($Q3230=TRUE(),$Q3230="TRUE"),1,0))</f>
        <v/>
      </c>
      <c r="AM3230">
        <f>IF($C3230="","",IF($W3230="Yes",1,0))</f>
        <v/>
      </c>
      <c r="AN3230">
        <f>IF($AJ3230=1,IFERROR(IF(VALUE($C3230)&lt;100000000,VALUE($C3230),1000000000),IFERROR(IF(VALUE(MID($C3230,2,20))&lt;100000000,VALUE(MID($C3230,2,20)),1000000000),1000000000))+ROW()/100000,"")</f>
        <v/>
      </c>
    </row>
    <row r="3231">
      <c r="E3231" s="11" t="n"/>
      <c r="M3231" s="7">
        <f>IF($C3231="","",L3231*U3231/100)</f>
        <v/>
      </c>
      <c r="N3231" s="7" t="n"/>
      <c r="T3231" s="7" t="n"/>
      <c r="U3231" s="7">
        <f>IF($C3231="","",S3231*T3231)</f>
        <v/>
      </c>
      <c r="X3231">
        <f>IF($C3231="","",IF($AM3231=1,0,IF($AL3231=1,Settings!$C$6,Settings!$C$7))*100)</f>
        <v/>
      </c>
      <c r="AB3231" s="7" t="n"/>
      <c r="AE3231" s="11" t="n"/>
      <c r="AG3231" s="7">
        <f>IF($C3231="","",U3231*X3231/100)</f>
        <v/>
      </c>
      <c r="AH3231" s="7">
        <f>IF($C3231="","",U3231-AG3231)</f>
        <v/>
      </c>
      <c r="AI3231" s="7">
        <f>IF($C3231="","",AH3231-M3231)</f>
        <v/>
      </c>
      <c r="AJ3231">
        <f>IF($C3231="","",IF(COUNTIF($C$2:$C3231,$C3231)=1,1,0))</f>
        <v/>
      </c>
      <c r="AK3231">
        <f>IF($AJ3231=1,SUMPRODUCT(--($AN$2:$AN$4001&lt;$AN3231))+1,"")</f>
        <v/>
      </c>
      <c r="AL3231">
        <f>IF($C3231="","",IF(OR($Q3231=TRUE(),$Q3231="TRUE"),1,0))</f>
        <v/>
      </c>
      <c r="AM3231">
        <f>IF($C3231="","",IF($W3231="Yes",1,0))</f>
        <v/>
      </c>
      <c r="AN3231">
        <f>IF($AJ3231=1,IFERROR(IF(VALUE($C3231)&lt;100000000,VALUE($C3231),1000000000),IFERROR(IF(VALUE(MID($C3231,2,20))&lt;100000000,VALUE(MID($C3231,2,20)),1000000000),1000000000))+ROW()/100000,"")</f>
        <v/>
      </c>
    </row>
    <row r="3232">
      <c r="E3232" s="11" t="n"/>
      <c r="M3232" s="7">
        <f>IF($C3232="","",L3232*U3232/100)</f>
        <v/>
      </c>
      <c r="N3232" s="7" t="n"/>
      <c r="T3232" s="7" t="n"/>
      <c r="U3232" s="7">
        <f>IF($C3232="","",S3232*T3232)</f>
        <v/>
      </c>
      <c r="X3232">
        <f>IF($C3232="","",IF($AM3232=1,0,IF($AL3232=1,Settings!$C$6,Settings!$C$7))*100)</f>
        <v/>
      </c>
      <c r="AB3232" s="7" t="n"/>
      <c r="AE3232" s="11" t="n"/>
      <c r="AG3232" s="7">
        <f>IF($C3232="","",U3232*X3232/100)</f>
        <v/>
      </c>
      <c r="AH3232" s="7">
        <f>IF($C3232="","",U3232-AG3232)</f>
        <v/>
      </c>
      <c r="AI3232" s="7">
        <f>IF($C3232="","",AH3232-M3232)</f>
        <v/>
      </c>
      <c r="AJ3232">
        <f>IF($C3232="","",IF(COUNTIF($C$2:$C3232,$C3232)=1,1,0))</f>
        <v/>
      </c>
      <c r="AK3232">
        <f>IF($AJ3232=1,SUMPRODUCT(--($AN$2:$AN$4001&lt;$AN3232))+1,"")</f>
        <v/>
      </c>
      <c r="AL3232">
        <f>IF($C3232="","",IF(OR($Q3232=TRUE(),$Q3232="TRUE"),1,0))</f>
        <v/>
      </c>
      <c r="AM3232">
        <f>IF($C3232="","",IF($W3232="Yes",1,0))</f>
        <v/>
      </c>
      <c r="AN3232">
        <f>IF($AJ3232=1,IFERROR(IF(VALUE($C3232)&lt;100000000,VALUE($C3232),1000000000),IFERROR(IF(VALUE(MID($C3232,2,20))&lt;100000000,VALUE(MID($C3232,2,20)),1000000000),1000000000))+ROW()/100000,"")</f>
        <v/>
      </c>
    </row>
    <row r="3233">
      <c r="E3233" s="11" t="n"/>
      <c r="M3233" s="7">
        <f>IF($C3233="","",L3233*U3233/100)</f>
        <v/>
      </c>
      <c r="N3233" s="7" t="n"/>
      <c r="T3233" s="7" t="n"/>
      <c r="U3233" s="7">
        <f>IF($C3233="","",S3233*T3233)</f>
        <v/>
      </c>
      <c r="X3233">
        <f>IF($C3233="","",IF($AM3233=1,0,IF($AL3233=1,Settings!$C$6,Settings!$C$7))*100)</f>
        <v/>
      </c>
      <c r="AB3233" s="7" t="n"/>
      <c r="AE3233" s="11" t="n"/>
      <c r="AG3233" s="7">
        <f>IF($C3233="","",U3233*X3233/100)</f>
        <v/>
      </c>
      <c r="AH3233" s="7">
        <f>IF($C3233="","",U3233-AG3233)</f>
        <v/>
      </c>
      <c r="AI3233" s="7">
        <f>IF($C3233="","",AH3233-M3233)</f>
        <v/>
      </c>
      <c r="AJ3233">
        <f>IF($C3233="","",IF(COUNTIF($C$2:$C3233,$C3233)=1,1,0))</f>
        <v/>
      </c>
      <c r="AK3233">
        <f>IF($AJ3233=1,SUMPRODUCT(--($AN$2:$AN$4001&lt;$AN3233))+1,"")</f>
        <v/>
      </c>
      <c r="AL3233">
        <f>IF($C3233="","",IF(OR($Q3233=TRUE(),$Q3233="TRUE"),1,0))</f>
        <v/>
      </c>
      <c r="AM3233">
        <f>IF($C3233="","",IF($W3233="Yes",1,0))</f>
        <v/>
      </c>
      <c r="AN3233">
        <f>IF($AJ3233=1,IFERROR(IF(VALUE($C3233)&lt;100000000,VALUE($C3233),1000000000),IFERROR(IF(VALUE(MID($C3233,2,20))&lt;100000000,VALUE(MID($C3233,2,20)),1000000000),1000000000))+ROW()/100000,"")</f>
        <v/>
      </c>
    </row>
    <row r="3234">
      <c r="E3234" s="11" t="n"/>
      <c r="M3234" s="7">
        <f>IF($C3234="","",L3234*U3234/100)</f>
        <v/>
      </c>
      <c r="N3234" s="7" t="n"/>
      <c r="T3234" s="7" t="n"/>
      <c r="U3234" s="7">
        <f>IF($C3234="","",S3234*T3234)</f>
        <v/>
      </c>
      <c r="X3234">
        <f>IF($C3234="","",IF($AM3234=1,0,IF($AL3234=1,Settings!$C$6,Settings!$C$7))*100)</f>
        <v/>
      </c>
      <c r="AB3234" s="7" t="n"/>
      <c r="AE3234" s="11" t="n"/>
      <c r="AG3234" s="7">
        <f>IF($C3234="","",U3234*X3234/100)</f>
        <v/>
      </c>
      <c r="AH3234" s="7">
        <f>IF($C3234="","",U3234-AG3234)</f>
        <v/>
      </c>
      <c r="AI3234" s="7">
        <f>IF($C3234="","",AH3234-M3234)</f>
        <v/>
      </c>
      <c r="AJ3234">
        <f>IF($C3234="","",IF(COUNTIF($C$2:$C3234,$C3234)=1,1,0))</f>
        <v/>
      </c>
      <c r="AK3234">
        <f>IF($AJ3234=1,SUMPRODUCT(--($AN$2:$AN$4001&lt;$AN3234))+1,"")</f>
        <v/>
      </c>
      <c r="AL3234">
        <f>IF($C3234="","",IF(OR($Q3234=TRUE(),$Q3234="TRUE"),1,0))</f>
        <v/>
      </c>
      <c r="AM3234">
        <f>IF($C3234="","",IF($W3234="Yes",1,0))</f>
        <v/>
      </c>
      <c r="AN3234">
        <f>IF($AJ3234=1,IFERROR(IF(VALUE($C3234)&lt;100000000,VALUE($C3234),1000000000),IFERROR(IF(VALUE(MID($C3234,2,20))&lt;100000000,VALUE(MID($C3234,2,20)),1000000000),1000000000))+ROW()/100000,"")</f>
        <v/>
      </c>
    </row>
    <row r="3235">
      <c r="E3235" s="11" t="n"/>
      <c r="M3235" s="7">
        <f>IF($C3235="","",L3235*U3235/100)</f>
        <v/>
      </c>
      <c r="N3235" s="7" t="n"/>
      <c r="T3235" s="7" t="n"/>
      <c r="U3235" s="7">
        <f>IF($C3235="","",S3235*T3235)</f>
        <v/>
      </c>
      <c r="X3235">
        <f>IF($C3235="","",IF($AM3235=1,0,IF($AL3235=1,Settings!$C$6,Settings!$C$7))*100)</f>
        <v/>
      </c>
      <c r="AB3235" s="7" t="n"/>
      <c r="AE3235" s="11" t="n"/>
      <c r="AG3235" s="7">
        <f>IF($C3235="","",U3235*X3235/100)</f>
        <v/>
      </c>
      <c r="AH3235" s="7">
        <f>IF($C3235="","",U3235-AG3235)</f>
        <v/>
      </c>
      <c r="AI3235" s="7">
        <f>IF($C3235="","",AH3235-M3235)</f>
        <v/>
      </c>
      <c r="AJ3235">
        <f>IF($C3235="","",IF(COUNTIF($C$2:$C3235,$C3235)=1,1,0))</f>
        <v/>
      </c>
      <c r="AK3235">
        <f>IF($AJ3235=1,SUMPRODUCT(--($AN$2:$AN$4001&lt;$AN3235))+1,"")</f>
        <v/>
      </c>
      <c r="AL3235">
        <f>IF($C3235="","",IF(OR($Q3235=TRUE(),$Q3235="TRUE"),1,0))</f>
        <v/>
      </c>
      <c r="AM3235">
        <f>IF($C3235="","",IF($W3235="Yes",1,0))</f>
        <v/>
      </c>
      <c r="AN3235">
        <f>IF($AJ3235=1,IFERROR(IF(VALUE($C3235)&lt;100000000,VALUE($C3235),1000000000),IFERROR(IF(VALUE(MID($C3235,2,20))&lt;100000000,VALUE(MID($C3235,2,20)),1000000000),1000000000))+ROW()/100000,"")</f>
        <v/>
      </c>
    </row>
    <row r="3236">
      <c r="E3236" s="11" t="n"/>
      <c r="M3236" s="7">
        <f>IF($C3236="","",L3236*U3236/100)</f>
        <v/>
      </c>
      <c r="N3236" s="7" t="n"/>
      <c r="T3236" s="7" t="n"/>
      <c r="U3236" s="7">
        <f>IF($C3236="","",S3236*T3236)</f>
        <v/>
      </c>
      <c r="X3236">
        <f>IF($C3236="","",IF($AM3236=1,0,IF($AL3236=1,Settings!$C$6,Settings!$C$7))*100)</f>
        <v/>
      </c>
      <c r="AB3236" s="7" t="n"/>
      <c r="AE3236" s="11" t="n"/>
      <c r="AG3236" s="7">
        <f>IF($C3236="","",U3236*X3236/100)</f>
        <v/>
      </c>
      <c r="AH3236" s="7">
        <f>IF($C3236="","",U3236-AG3236)</f>
        <v/>
      </c>
      <c r="AI3236" s="7">
        <f>IF($C3236="","",AH3236-M3236)</f>
        <v/>
      </c>
      <c r="AJ3236">
        <f>IF($C3236="","",IF(COUNTIF($C$2:$C3236,$C3236)=1,1,0))</f>
        <v/>
      </c>
      <c r="AK3236">
        <f>IF($AJ3236=1,SUMPRODUCT(--($AN$2:$AN$4001&lt;$AN3236))+1,"")</f>
        <v/>
      </c>
      <c r="AL3236">
        <f>IF($C3236="","",IF(OR($Q3236=TRUE(),$Q3236="TRUE"),1,0))</f>
        <v/>
      </c>
      <c r="AM3236">
        <f>IF($C3236="","",IF($W3236="Yes",1,0))</f>
        <v/>
      </c>
      <c r="AN3236">
        <f>IF($AJ3236=1,IFERROR(IF(VALUE($C3236)&lt;100000000,VALUE($C3236),1000000000),IFERROR(IF(VALUE(MID($C3236,2,20))&lt;100000000,VALUE(MID($C3236,2,20)),1000000000),1000000000))+ROW()/100000,"")</f>
        <v/>
      </c>
    </row>
    <row r="3237">
      <c r="E3237" s="11" t="n"/>
      <c r="M3237" s="7">
        <f>IF($C3237="","",L3237*U3237/100)</f>
        <v/>
      </c>
      <c r="N3237" s="7" t="n"/>
      <c r="T3237" s="7" t="n"/>
      <c r="U3237" s="7">
        <f>IF($C3237="","",S3237*T3237)</f>
        <v/>
      </c>
      <c r="X3237">
        <f>IF($C3237="","",IF($AM3237=1,0,IF($AL3237=1,Settings!$C$6,Settings!$C$7))*100)</f>
        <v/>
      </c>
      <c r="AB3237" s="7" t="n"/>
      <c r="AE3237" s="11" t="n"/>
      <c r="AG3237" s="7">
        <f>IF($C3237="","",U3237*X3237/100)</f>
        <v/>
      </c>
      <c r="AH3237" s="7">
        <f>IF($C3237="","",U3237-AG3237)</f>
        <v/>
      </c>
      <c r="AI3237" s="7">
        <f>IF($C3237="","",AH3237-M3237)</f>
        <v/>
      </c>
      <c r="AJ3237">
        <f>IF($C3237="","",IF(COUNTIF($C$2:$C3237,$C3237)=1,1,0))</f>
        <v/>
      </c>
      <c r="AK3237">
        <f>IF($AJ3237=1,SUMPRODUCT(--($AN$2:$AN$4001&lt;$AN3237))+1,"")</f>
        <v/>
      </c>
      <c r="AL3237">
        <f>IF($C3237="","",IF(OR($Q3237=TRUE(),$Q3237="TRUE"),1,0))</f>
        <v/>
      </c>
      <c r="AM3237">
        <f>IF($C3237="","",IF($W3237="Yes",1,0))</f>
        <v/>
      </c>
      <c r="AN3237">
        <f>IF($AJ3237=1,IFERROR(IF(VALUE($C3237)&lt;100000000,VALUE($C3237),1000000000),IFERROR(IF(VALUE(MID($C3237,2,20))&lt;100000000,VALUE(MID($C3237,2,20)),1000000000),1000000000))+ROW()/100000,"")</f>
        <v/>
      </c>
    </row>
    <row r="3238">
      <c r="E3238" s="11" t="n"/>
      <c r="M3238" s="7">
        <f>IF($C3238="","",L3238*U3238/100)</f>
        <v/>
      </c>
      <c r="N3238" s="7" t="n"/>
      <c r="T3238" s="7" t="n"/>
      <c r="U3238" s="7">
        <f>IF($C3238="","",S3238*T3238)</f>
        <v/>
      </c>
      <c r="X3238">
        <f>IF($C3238="","",IF($AM3238=1,0,IF($AL3238=1,Settings!$C$6,Settings!$C$7))*100)</f>
        <v/>
      </c>
      <c r="AB3238" s="7" t="n"/>
      <c r="AE3238" s="11" t="n"/>
      <c r="AG3238" s="7">
        <f>IF($C3238="","",U3238*X3238/100)</f>
        <v/>
      </c>
      <c r="AH3238" s="7">
        <f>IF($C3238="","",U3238-AG3238)</f>
        <v/>
      </c>
      <c r="AI3238" s="7">
        <f>IF($C3238="","",AH3238-M3238)</f>
        <v/>
      </c>
      <c r="AJ3238">
        <f>IF($C3238="","",IF(COUNTIF($C$2:$C3238,$C3238)=1,1,0))</f>
        <v/>
      </c>
      <c r="AK3238">
        <f>IF($AJ3238=1,SUMPRODUCT(--($AN$2:$AN$4001&lt;$AN3238))+1,"")</f>
        <v/>
      </c>
      <c r="AL3238">
        <f>IF($C3238="","",IF(OR($Q3238=TRUE(),$Q3238="TRUE"),1,0))</f>
        <v/>
      </c>
      <c r="AM3238">
        <f>IF($C3238="","",IF($W3238="Yes",1,0))</f>
        <v/>
      </c>
      <c r="AN3238">
        <f>IF($AJ3238=1,IFERROR(IF(VALUE($C3238)&lt;100000000,VALUE($C3238),1000000000),IFERROR(IF(VALUE(MID($C3238,2,20))&lt;100000000,VALUE(MID($C3238,2,20)),1000000000),1000000000))+ROW()/100000,"")</f>
        <v/>
      </c>
    </row>
    <row r="3239">
      <c r="E3239" s="11" t="n"/>
      <c r="M3239" s="7">
        <f>IF($C3239="","",L3239*U3239/100)</f>
        <v/>
      </c>
      <c r="N3239" s="7" t="n"/>
      <c r="T3239" s="7" t="n"/>
      <c r="U3239" s="7">
        <f>IF($C3239="","",S3239*T3239)</f>
        <v/>
      </c>
      <c r="X3239">
        <f>IF($C3239="","",IF($AM3239=1,0,IF($AL3239=1,Settings!$C$6,Settings!$C$7))*100)</f>
        <v/>
      </c>
      <c r="AB3239" s="7" t="n"/>
      <c r="AE3239" s="11" t="n"/>
      <c r="AG3239" s="7">
        <f>IF($C3239="","",U3239*X3239/100)</f>
        <v/>
      </c>
      <c r="AH3239" s="7">
        <f>IF($C3239="","",U3239-AG3239)</f>
        <v/>
      </c>
      <c r="AI3239" s="7">
        <f>IF($C3239="","",AH3239-M3239)</f>
        <v/>
      </c>
      <c r="AJ3239">
        <f>IF($C3239="","",IF(COUNTIF($C$2:$C3239,$C3239)=1,1,0))</f>
        <v/>
      </c>
      <c r="AK3239">
        <f>IF($AJ3239=1,SUMPRODUCT(--($AN$2:$AN$4001&lt;$AN3239))+1,"")</f>
        <v/>
      </c>
      <c r="AL3239">
        <f>IF($C3239="","",IF(OR($Q3239=TRUE(),$Q3239="TRUE"),1,0))</f>
        <v/>
      </c>
      <c r="AM3239">
        <f>IF($C3239="","",IF($W3239="Yes",1,0))</f>
        <v/>
      </c>
      <c r="AN3239">
        <f>IF($AJ3239=1,IFERROR(IF(VALUE($C3239)&lt;100000000,VALUE($C3239),1000000000),IFERROR(IF(VALUE(MID($C3239,2,20))&lt;100000000,VALUE(MID($C3239,2,20)),1000000000),1000000000))+ROW()/100000,"")</f>
        <v/>
      </c>
    </row>
    <row r="3240">
      <c r="E3240" s="11" t="n"/>
      <c r="M3240" s="7">
        <f>IF($C3240="","",L3240*U3240/100)</f>
        <v/>
      </c>
      <c r="N3240" s="7" t="n"/>
      <c r="T3240" s="7" t="n"/>
      <c r="U3240" s="7">
        <f>IF($C3240="","",S3240*T3240)</f>
        <v/>
      </c>
      <c r="X3240">
        <f>IF($C3240="","",IF($AM3240=1,0,IF($AL3240=1,Settings!$C$6,Settings!$C$7))*100)</f>
        <v/>
      </c>
      <c r="AB3240" s="7" t="n"/>
      <c r="AE3240" s="11" t="n"/>
      <c r="AG3240" s="7">
        <f>IF($C3240="","",U3240*X3240/100)</f>
        <v/>
      </c>
      <c r="AH3240" s="7">
        <f>IF($C3240="","",U3240-AG3240)</f>
        <v/>
      </c>
      <c r="AI3240" s="7">
        <f>IF($C3240="","",AH3240-M3240)</f>
        <v/>
      </c>
      <c r="AJ3240">
        <f>IF($C3240="","",IF(COUNTIF($C$2:$C3240,$C3240)=1,1,0))</f>
        <v/>
      </c>
      <c r="AK3240">
        <f>IF($AJ3240=1,SUMPRODUCT(--($AN$2:$AN$4001&lt;$AN3240))+1,"")</f>
        <v/>
      </c>
      <c r="AL3240">
        <f>IF($C3240="","",IF(OR($Q3240=TRUE(),$Q3240="TRUE"),1,0))</f>
        <v/>
      </c>
      <c r="AM3240">
        <f>IF($C3240="","",IF($W3240="Yes",1,0))</f>
        <v/>
      </c>
      <c r="AN3240">
        <f>IF($AJ3240=1,IFERROR(IF(VALUE($C3240)&lt;100000000,VALUE($C3240),1000000000),IFERROR(IF(VALUE(MID($C3240,2,20))&lt;100000000,VALUE(MID($C3240,2,20)),1000000000),1000000000))+ROW()/100000,"")</f>
        <v/>
      </c>
    </row>
    <row r="3241">
      <c r="E3241" s="11" t="n"/>
      <c r="M3241" s="7">
        <f>IF($C3241="","",L3241*U3241/100)</f>
        <v/>
      </c>
      <c r="N3241" s="7" t="n"/>
      <c r="T3241" s="7" t="n"/>
      <c r="U3241" s="7">
        <f>IF($C3241="","",S3241*T3241)</f>
        <v/>
      </c>
      <c r="X3241">
        <f>IF($C3241="","",IF($AM3241=1,0,IF($AL3241=1,Settings!$C$6,Settings!$C$7))*100)</f>
        <v/>
      </c>
      <c r="AB3241" s="7" t="n"/>
      <c r="AE3241" s="11" t="n"/>
      <c r="AG3241" s="7">
        <f>IF($C3241="","",U3241*X3241/100)</f>
        <v/>
      </c>
      <c r="AH3241" s="7">
        <f>IF($C3241="","",U3241-AG3241)</f>
        <v/>
      </c>
      <c r="AI3241" s="7">
        <f>IF($C3241="","",AH3241-M3241)</f>
        <v/>
      </c>
      <c r="AJ3241">
        <f>IF($C3241="","",IF(COUNTIF($C$2:$C3241,$C3241)=1,1,0))</f>
        <v/>
      </c>
      <c r="AK3241">
        <f>IF($AJ3241=1,SUMPRODUCT(--($AN$2:$AN$4001&lt;$AN3241))+1,"")</f>
        <v/>
      </c>
      <c r="AL3241">
        <f>IF($C3241="","",IF(OR($Q3241=TRUE(),$Q3241="TRUE"),1,0))</f>
        <v/>
      </c>
      <c r="AM3241">
        <f>IF($C3241="","",IF($W3241="Yes",1,0))</f>
        <v/>
      </c>
      <c r="AN3241">
        <f>IF($AJ3241=1,IFERROR(IF(VALUE($C3241)&lt;100000000,VALUE($C3241),1000000000),IFERROR(IF(VALUE(MID($C3241,2,20))&lt;100000000,VALUE(MID($C3241,2,20)),1000000000),1000000000))+ROW()/100000,"")</f>
        <v/>
      </c>
    </row>
    <row r="3242">
      <c r="E3242" s="11" t="n"/>
      <c r="M3242" s="7">
        <f>IF($C3242="","",L3242*U3242/100)</f>
        <v/>
      </c>
      <c r="N3242" s="7" t="n"/>
      <c r="T3242" s="7" t="n"/>
      <c r="U3242" s="7">
        <f>IF($C3242="","",S3242*T3242)</f>
        <v/>
      </c>
      <c r="X3242">
        <f>IF($C3242="","",IF($AM3242=1,0,IF($AL3242=1,Settings!$C$6,Settings!$C$7))*100)</f>
        <v/>
      </c>
      <c r="AB3242" s="7" t="n"/>
      <c r="AE3242" s="11" t="n"/>
      <c r="AG3242" s="7">
        <f>IF($C3242="","",U3242*X3242/100)</f>
        <v/>
      </c>
      <c r="AH3242" s="7">
        <f>IF($C3242="","",U3242-AG3242)</f>
        <v/>
      </c>
      <c r="AI3242" s="7">
        <f>IF($C3242="","",AH3242-M3242)</f>
        <v/>
      </c>
      <c r="AJ3242">
        <f>IF($C3242="","",IF(COUNTIF($C$2:$C3242,$C3242)=1,1,0))</f>
        <v/>
      </c>
      <c r="AK3242">
        <f>IF($AJ3242=1,SUMPRODUCT(--($AN$2:$AN$4001&lt;$AN3242))+1,"")</f>
        <v/>
      </c>
      <c r="AL3242">
        <f>IF($C3242="","",IF(OR($Q3242=TRUE(),$Q3242="TRUE"),1,0))</f>
        <v/>
      </c>
      <c r="AM3242">
        <f>IF($C3242="","",IF($W3242="Yes",1,0))</f>
        <v/>
      </c>
      <c r="AN3242">
        <f>IF($AJ3242=1,IFERROR(IF(VALUE($C3242)&lt;100000000,VALUE($C3242),1000000000),IFERROR(IF(VALUE(MID($C3242,2,20))&lt;100000000,VALUE(MID($C3242,2,20)),1000000000),1000000000))+ROW()/100000,"")</f>
        <v/>
      </c>
    </row>
    <row r="3243">
      <c r="E3243" s="11" t="n"/>
      <c r="M3243" s="7">
        <f>IF($C3243="","",L3243*U3243/100)</f>
        <v/>
      </c>
      <c r="N3243" s="7" t="n"/>
      <c r="T3243" s="7" t="n"/>
      <c r="U3243" s="7">
        <f>IF($C3243="","",S3243*T3243)</f>
        <v/>
      </c>
      <c r="X3243">
        <f>IF($C3243="","",IF($AM3243=1,0,IF($AL3243=1,Settings!$C$6,Settings!$C$7))*100)</f>
        <v/>
      </c>
      <c r="AB3243" s="7" t="n"/>
      <c r="AE3243" s="11" t="n"/>
      <c r="AG3243" s="7">
        <f>IF($C3243="","",U3243*X3243/100)</f>
        <v/>
      </c>
      <c r="AH3243" s="7">
        <f>IF($C3243="","",U3243-AG3243)</f>
        <v/>
      </c>
      <c r="AI3243" s="7">
        <f>IF($C3243="","",AH3243-M3243)</f>
        <v/>
      </c>
      <c r="AJ3243">
        <f>IF($C3243="","",IF(COUNTIF($C$2:$C3243,$C3243)=1,1,0))</f>
        <v/>
      </c>
      <c r="AK3243">
        <f>IF($AJ3243=1,SUMPRODUCT(--($AN$2:$AN$4001&lt;$AN3243))+1,"")</f>
        <v/>
      </c>
      <c r="AL3243">
        <f>IF($C3243="","",IF(OR($Q3243=TRUE(),$Q3243="TRUE"),1,0))</f>
        <v/>
      </c>
      <c r="AM3243">
        <f>IF($C3243="","",IF($W3243="Yes",1,0))</f>
        <v/>
      </c>
      <c r="AN3243">
        <f>IF($AJ3243=1,IFERROR(IF(VALUE($C3243)&lt;100000000,VALUE($C3243),1000000000),IFERROR(IF(VALUE(MID($C3243,2,20))&lt;100000000,VALUE(MID($C3243,2,20)),1000000000),1000000000))+ROW()/100000,"")</f>
        <v/>
      </c>
    </row>
    <row r="3244">
      <c r="E3244" s="11" t="n"/>
      <c r="M3244" s="7">
        <f>IF($C3244="","",L3244*U3244/100)</f>
        <v/>
      </c>
      <c r="N3244" s="7" t="n"/>
      <c r="T3244" s="7" t="n"/>
      <c r="U3244" s="7">
        <f>IF($C3244="","",S3244*T3244)</f>
        <v/>
      </c>
      <c r="X3244">
        <f>IF($C3244="","",IF($AM3244=1,0,IF($AL3244=1,Settings!$C$6,Settings!$C$7))*100)</f>
        <v/>
      </c>
      <c r="AB3244" s="7" t="n"/>
      <c r="AE3244" s="11" t="n"/>
      <c r="AG3244" s="7">
        <f>IF($C3244="","",U3244*X3244/100)</f>
        <v/>
      </c>
      <c r="AH3244" s="7">
        <f>IF($C3244="","",U3244-AG3244)</f>
        <v/>
      </c>
      <c r="AI3244" s="7">
        <f>IF($C3244="","",AH3244-M3244)</f>
        <v/>
      </c>
      <c r="AJ3244">
        <f>IF($C3244="","",IF(COUNTIF($C$2:$C3244,$C3244)=1,1,0))</f>
        <v/>
      </c>
      <c r="AK3244">
        <f>IF($AJ3244=1,SUMPRODUCT(--($AN$2:$AN$4001&lt;$AN3244))+1,"")</f>
        <v/>
      </c>
      <c r="AL3244">
        <f>IF($C3244="","",IF(OR($Q3244=TRUE(),$Q3244="TRUE"),1,0))</f>
        <v/>
      </c>
      <c r="AM3244">
        <f>IF($C3244="","",IF($W3244="Yes",1,0))</f>
        <v/>
      </c>
      <c r="AN3244">
        <f>IF($AJ3244=1,IFERROR(IF(VALUE($C3244)&lt;100000000,VALUE($C3244),1000000000),IFERROR(IF(VALUE(MID($C3244,2,20))&lt;100000000,VALUE(MID($C3244,2,20)),1000000000),1000000000))+ROW()/100000,"")</f>
        <v/>
      </c>
    </row>
    <row r="3245">
      <c r="E3245" s="11" t="n"/>
      <c r="M3245" s="7">
        <f>IF($C3245="","",L3245*U3245/100)</f>
        <v/>
      </c>
      <c r="N3245" s="7" t="n"/>
      <c r="T3245" s="7" t="n"/>
      <c r="U3245" s="7">
        <f>IF($C3245="","",S3245*T3245)</f>
        <v/>
      </c>
      <c r="X3245">
        <f>IF($C3245="","",IF($AM3245=1,0,IF($AL3245=1,Settings!$C$6,Settings!$C$7))*100)</f>
        <v/>
      </c>
      <c r="AB3245" s="7" t="n"/>
      <c r="AE3245" s="11" t="n"/>
      <c r="AG3245" s="7">
        <f>IF($C3245="","",U3245*X3245/100)</f>
        <v/>
      </c>
      <c r="AH3245" s="7">
        <f>IF($C3245="","",U3245-AG3245)</f>
        <v/>
      </c>
      <c r="AI3245" s="7">
        <f>IF($C3245="","",AH3245-M3245)</f>
        <v/>
      </c>
      <c r="AJ3245">
        <f>IF($C3245="","",IF(COUNTIF($C$2:$C3245,$C3245)=1,1,0))</f>
        <v/>
      </c>
      <c r="AK3245">
        <f>IF($AJ3245=1,SUMPRODUCT(--($AN$2:$AN$4001&lt;$AN3245))+1,"")</f>
        <v/>
      </c>
      <c r="AL3245">
        <f>IF($C3245="","",IF(OR($Q3245=TRUE(),$Q3245="TRUE"),1,0))</f>
        <v/>
      </c>
      <c r="AM3245">
        <f>IF($C3245="","",IF($W3245="Yes",1,0))</f>
        <v/>
      </c>
      <c r="AN3245">
        <f>IF($AJ3245=1,IFERROR(IF(VALUE($C3245)&lt;100000000,VALUE($C3245),1000000000),IFERROR(IF(VALUE(MID($C3245,2,20))&lt;100000000,VALUE(MID($C3245,2,20)),1000000000),1000000000))+ROW()/100000,"")</f>
        <v/>
      </c>
    </row>
    <row r="3246">
      <c r="E3246" s="11" t="n"/>
      <c r="M3246" s="7">
        <f>IF($C3246="","",L3246*U3246/100)</f>
        <v/>
      </c>
      <c r="N3246" s="7" t="n"/>
      <c r="T3246" s="7" t="n"/>
      <c r="U3246" s="7">
        <f>IF($C3246="","",S3246*T3246)</f>
        <v/>
      </c>
      <c r="X3246">
        <f>IF($C3246="","",IF($AM3246=1,0,IF($AL3246=1,Settings!$C$6,Settings!$C$7))*100)</f>
        <v/>
      </c>
      <c r="AB3246" s="7" t="n"/>
      <c r="AE3246" s="11" t="n"/>
      <c r="AG3246" s="7">
        <f>IF($C3246="","",U3246*X3246/100)</f>
        <v/>
      </c>
      <c r="AH3246" s="7">
        <f>IF($C3246="","",U3246-AG3246)</f>
        <v/>
      </c>
      <c r="AI3246" s="7">
        <f>IF($C3246="","",AH3246-M3246)</f>
        <v/>
      </c>
      <c r="AJ3246">
        <f>IF($C3246="","",IF(COUNTIF($C$2:$C3246,$C3246)=1,1,0))</f>
        <v/>
      </c>
      <c r="AK3246">
        <f>IF($AJ3246=1,SUMPRODUCT(--($AN$2:$AN$4001&lt;$AN3246))+1,"")</f>
        <v/>
      </c>
      <c r="AL3246">
        <f>IF($C3246="","",IF(OR($Q3246=TRUE(),$Q3246="TRUE"),1,0))</f>
        <v/>
      </c>
      <c r="AM3246">
        <f>IF($C3246="","",IF($W3246="Yes",1,0))</f>
        <v/>
      </c>
      <c r="AN3246">
        <f>IF($AJ3246=1,IFERROR(IF(VALUE($C3246)&lt;100000000,VALUE($C3246),1000000000),IFERROR(IF(VALUE(MID($C3246,2,20))&lt;100000000,VALUE(MID($C3246,2,20)),1000000000),1000000000))+ROW()/100000,"")</f>
        <v/>
      </c>
    </row>
    <row r="3247">
      <c r="E3247" s="11" t="n"/>
      <c r="M3247" s="7">
        <f>IF($C3247="","",L3247*U3247/100)</f>
        <v/>
      </c>
      <c r="N3247" s="7" t="n"/>
      <c r="T3247" s="7" t="n"/>
      <c r="U3247" s="7">
        <f>IF($C3247="","",S3247*T3247)</f>
        <v/>
      </c>
      <c r="X3247">
        <f>IF($C3247="","",IF($AM3247=1,0,IF($AL3247=1,Settings!$C$6,Settings!$C$7))*100)</f>
        <v/>
      </c>
      <c r="AB3247" s="7" t="n"/>
      <c r="AE3247" s="11" t="n"/>
      <c r="AG3247" s="7">
        <f>IF($C3247="","",U3247*X3247/100)</f>
        <v/>
      </c>
      <c r="AH3247" s="7">
        <f>IF($C3247="","",U3247-AG3247)</f>
        <v/>
      </c>
      <c r="AI3247" s="7">
        <f>IF($C3247="","",AH3247-M3247)</f>
        <v/>
      </c>
      <c r="AJ3247">
        <f>IF($C3247="","",IF(COUNTIF($C$2:$C3247,$C3247)=1,1,0))</f>
        <v/>
      </c>
      <c r="AK3247">
        <f>IF($AJ3247=1,SUMPRODUCT(--($AN$2:$AN$4001&lt;$AN3247))+1,"")</f>
        <v/>
      </c>
      <c r="AL3247">
        <f>IF($C3247="","",IF(OR($Q3247=TRUE(),$Q3247="TRUE"),1,0))</f>
        <v/>
      </c>
      <c r="AM3247">
        <f>IF($C3247="","",IF($W3247="Yes",1,0))</f>
        <v/>
      </c>
      <c r="AN3247">
        <f>IF($AJ3247=1,IFERROR(IF(VALUE($C3247)&lt;100000000,VALUE($C3247),1000000000),IFERROR(IF(VALUE(MID($C3247,2,20))&lt;100000000,VALUE(MID($C3247,2,20)),1000000000),1000000000))+ROW()/100000,"")</f>
        <v/>
      </c>
    </row>
    <row r="3248">
      <c r="E3248" s="11" t="n"/>
      <c r="M3248" s="7">
        <f>IF($C3248="","",L3248*U3248/100)</f>
        <v/>
      </c>
      <c r="N3248" s="7" t="n"/>
      <c r="T3248" s="7" t="n"/>
      <c r="U3248" s="7">
        <f>IF($C3248="","",S3248*T3248)</f>
        <v/>
      </c>
      <c r="X3248">
        <f>IF($C3248="","",IF($AM3248=1,0,IF($AL3248=1,Settings!$C$6,Settings!$C$7))*100)</f>
        <v/>
      </c>
      <c r="AB3248" s="7" t="n"/>
      <c r="AE3248" s="11" t="n"/>
      <c r="AG3248" s="7">
        <f>IF($C3248="","",U3248*X3248/100)</f>
        <v/>
      </c>
      <c r="AH3248" s="7">
        <f>IF($C3248="","",U3248-AG3248)</f>
        <v/>
      </c>
      <c r="AI3248" s="7">
        <f>IF($C3248="","",AH3248-M3248)</f>
        <v/>
      </c>
      <c r="AJ3248">
        <f>IF($C3248="","",IF(COUNTIF($C$2:$C3248,$C3248)=1,1,0))</f>
        <v/>
      </c>
      <c r="AK3248">
        <f>IF($AJ3248=1,SUMPRODUCT(--($AN$2:$AN$4001&lt;$AN3248))+1,"")</f>
        <v/>
      </c>
      <c r="AL3248">
        <f>IF($C3248="","",IF(OR($Q3248=TRUE(),$Q3248="TRUE"),1,0))</f>
        <v/>
      </c>
      <c r="AM3248">
        <f>IF($C3248="","",IF($W3248="Yes",1,0))</f>
        <v/>
      </c>
      <c r="AN3248">
        <f>IF($AJ3248=1,IFERROR(IF(VALUE($C3248)&lt;100000000,VALUE($C3248),1000000000),IFERROR(IF(VALUE(MID($C3248,2,20))&lt;100000000,VALUE(MID($C3248,2,20)),1000000000),1000000000))+ROW()/100000,"")</f>
        <v/>
      </c>
    </row>
    <row r="3249">
      <c r="E3249" s="11" t="n"/>
      <c r="M3249" s="7">
        <f>IF($C3249="","",L3249*U3249/100)</f>
        <v/>
      </c>
      <c r="N3249" s="7" t="n"/>
      <c r="T3249" s="7" t="n"/>
      <c r="U3249" s="7">
        <f>IF($C3249="","",S3249*T3249)</f>
        <v/>
      </c>
      <c r="X3249">
        <f>IF($C3249="","",IF($AM3249=1,0,IF($AL3249=1,Settings!$C$6,Settings!$C$7))*100)</f>
        <v/>
      </c>
      <c r="AB3249" s="7" t="n"/>
      <c r="AE3249" s="11" t="n"/>
      <c r="AG3249" s="7">
        <f>IF($C3249="","",U3249*X3249/100)</f>
        <v/>
      </c>
      <c r="AH3249" s="7">
        <f>IF($C3249="","",U3249-AG3249)</f>
        <v/>
      </c>
      <c r="AI3249" s="7">
        <f>IF($C3249="","",AH3249-M3249)</f>
        <v/>
      </c>
      <c r="AJ3249">
        <f>IF($C3249="","",IF(COUNTIF($C$2:$C3249,$C3249)=1,1,0))</f>
        <v/>
      </c>
      <c r="AK3249">
        <f>IF($AJ3249=1,SUMPRODUCT(--($AN$2:$AN$4001&lt;$AN3249))+1,"")</f>
        <v/>
      </c>
      <c r="AL3249">
        <f>IF($C3249="","",IF(OR($Q3249=TRUE(),$Q3249="TRUE"),1,0))</f>
        <v/>
      </c>
      <c r="AM3249">
        <f>IF($C3249="","",IF($W3249="Yes",1,0))</f>
        <v/>
      </c>
      <c r="AN3249">
        <f>IF($AJ3249=1,IFERROR(IF(VALUE($C3249)&lt;100000000,VALUE($C3249),1000000000),IFERROR(IF(VALUE(MID($C3249,2,20))&lt;100000000,VALUE(MID($C3249,2,20)),1000000000),1000000000))+ROW()/100000,"")</f>
        <v/>
      </c>
    </row>
    <row r="3250">
      <c r="E3250" s="11" t="n"/>
      <c r="M3250" s="7">
        <f>IF($C3250="","",L3250*U3250/100)</f>
        <v/>
      </c>
      <c r="N3250" s="7" t="n"/>
      <c r="T3250" s="7" t="n"/>
      <c r="U3250" s="7">
        <f>IF($C3250="","",S3250*T3250)</f>
        <v/>
      </c>
      <c r="X3250">
        <f>IF($C3250="","",IF($AM3250=1,0,IF($AL3250=1,Settings!$C$6,Settings!$C$7))*100)</f>
        <v/>
      </c>
      <c r="AB3250" s="7" t="n"/>
      <c r="AE3250" s="11" t="n"/>
      <c r="AG3250" s="7">
        <f>IF($C3250="","",U3250*X3250/100)</f>
        <v/>
      </c>
      <c r="AH3250" s="7">
        <f>IF($C3250="","",U3250-AG3250)</f>
        <v/>
      </c>
      <c r="AI3250" s="7">
        <f>IF($C3250="","",AH3250-M3250)</f>
        <v/>
      </c>
      <c r="AJ3250">
        <f>IF($C3250="","",IF(COUNTIF($C$2:$C3250,$C3250)=1,1,0))</f>
        <v/>
      </c>
      <c r="AK3250">
        <f>IF($AJ3250=1,SUMPRODUCT(--($AN$2:$AN$4001&lt;$AN3250))+1,"")</f>
        <v/>
      </c>
      <c r="AL3250">
        <f>IF($C3250="","",IF(OR($Q3250=TRUE(),$Q3250="TRUE"),1,0))</f>
        <v/>
      </c>
      <c r="AM3250">
        <f>IF($C3250="","",IF($W3250="Yes",1,0))</f>
        <v/>
      </c>
      <c r="AN3250">
        <f>IF($AJ3250=1,IFERROR(IF(VALUE($C3250)&lt;100000000,VALUE($C3250),1000000000),IFERROR(IF(VALUE(MID($C3250,2,20))&lt;100000000,VALUE(MID($C3250,2,20)),1000000000),1000000000))+ROW()/100000,"")</f>
        <v/>
      </c>
    </row>
    <row r="3251">
      <c r="E3251" s="11" t="n"/>
      <c r="M3251" s="7">
        <f>IF($C3251="","",L3251*U3251/100)</f>
        <v/>
      </c>
      <c r="N3251" s="7" t="n"/>
      <c r="T3251" s="7" t="n"/>
      <c r="U3251" s="7">
        <f>IF($C3251="","",S3251*T3251)</f>
        <v/>
      </c>
      <c r="X3251">
        <f>IF($C3251="","",IF($AM3251=1,0,IF($AL3251=1,Settings!$C$6,Settings!$C$7))*100)</f>
        <v/>
      </c>
      <c r="AB3251" s="7" t="n"/>
      <c r="AE3251" s="11" t="n"/>
      <c r="AG3251" s="7">
        <f>IF($C3251="","",U3251*X3251/100)</f>
        <v/>
      </c>
      <c r="AH3251" s="7">
        <f>IF($C3251="","",U3251-AG3251)</f>
        <v/>
      </c>
      <c r="AI3251" s="7">
        <f>IF($C3251="","",AH3251-M3251)</f>
        <v/>
      </c>
      <c r="AJ3251">
        <f>IF($C3251="","",IF(COUNTIF($C$2:$C3251,$C3251)=1,1,0))</f>
        <v/>
      </c>
      <c r="AK3251">
        <f>IF($AJ3251=1,SUMPRODUCT(--($AN$2:$AN$4001&lt;$AN3251))+1,"")</f>
        <v/>
      </c>
      <c r="AL3251">
        <f>IF($C3251="","",IF(OR($Q3251=TRUE(),$Q3251="TRUE"),1,0))</f>
        <v/>
      </c>
      <c r="AM3251">
        <f>IF($C3251="","",IF($W3251="Yes",1,0))</f>
        <v/>
      </c>
      <c r="AN3251">
        <f>IF($AJ3251=1,IFERROR(IF(VALUE($C3251)&lt;100000000,VALUE($C3251),1000000000),IFERROR(IF(VALUE(MID($C3251,2,20))&lt;100000000,VALUE(MID($C3251,2,20)),1000000000),1000000000))+ROW()/100000,"")</f>
        <v/>
      </c>
    </row>
    <row r="3252">
      <c r="E3252" s="11" t="n"/>
      <c r="M3252" s="7">
        <f>IF($C3252="","",L3252*U3252/100)</f>
        <v/>
      </c>
      <c r="N3252" s="7" t="n"/>
      <c r="T3252" s="7" t="n"/>
      <c r="U3252" s="7">
        <f>IF($C3252="","",S3252*T3252)</f>
        <v/>
      </c>
      <c r="X3252">
        <f>IF($C3252="","",IF($AM3252=1,0,IF($AL3252=1,Settings!$C$6,Settings!$C$7))*100)</f>
        <v/>
      </c>
      <c r="AB3252" s="7" t="n"/>
      <c r="AE3252" s="11" t="n"/>
      <c r="AG3252" s="7">
        <f>IF($C3252="","",U3252*X3252/100)</f>
        <v/>
      </c>
      <c r="AH3252" s="7">
        <f>IF($C3252="","",U3252-AG3252)</f>
        <v/>
      </c>
      <c r="AI3252" s="7">
        <f>IF($C3252="","",AH3252-M3252)</f>
        <v/>
      </c>
      <c r="AJ3252">
        <f>IF($C3252="","",IF(COUNTIF($C$2:$C3252,$C3252)=1,1,0))</f>
        <v/>
      </c>
      <c r="AK3252">
        <f>IF($AJ3252=1,SUMPRODUCT(--($AN$2:$AN$4001&lt;$AN3252))+1,"")</f>
        <v/>
      </c>
      <c r="AL3252">
        <f>IF($C3252="","",IF(OR($Q3252=TRUE(),$Q3252="TRUE"),1,0))</f>
        <v/>
      </c>
      <c r="AM3252">
        <f>IF($C3252="","",IF($W3252="Yes",1,0))</f>
        <v/>
      </c>
      <c r="AN3252">
        <f>IF($AJ3252=1,IFERROR(IF(VALUE($C3252)&lt;100000000,VALUE($C3252),1000000000),IFERROR(IF(VALUE(MID($C3252,2,20))&lt;100000000,VALUE(MID($C3252,2,20)),1000000000),1000000000))+ROW()/100000,"")</f>
        <v/>
      </c>
    </row>
    <row r="3253">
      <c r="E3253" s="11" t="n"/>
      <c r="M3253" s="7">
        <f>IF($C3253="","",L3253*U3253/100)</f>
        <v/>
      </c>
      <c r="N3253" s="7" t="n"/>
      <c r="T3253" s="7" t="n"/>
      <c r="U3253" s="7">
        <f>IF($C3253="","",S3253*T3253)</f>
        <v/>
      </c>
      <c r="X3253">
        <f>IF($C3253="","",IF($AM3253=1,0,IF($AL3253=1,Settings!$C$6,Settings!$C$7))*100)</f>
        <v/>
      </c>
      <c r="AB3253" s="7" t="n"/>
      <c r="AE3253" s="11" t="n"/>
      <c r="AG3253" s="7">
        <f>IF($C3253="","",U3253*X3253/100)</f>
        <v/>
      </c>
      <c r="AH3253" s="7">
        <f>IF($C3253="","",U3253-AG3253)</f>
        <v/>
      </c>
      <c r="AI3253" s="7">
        <f>IF($C3253="","",AH3253-M3253)</f>
        <v/>
      </c>
      <c r="AJ3253">
        <f>IF($C3253="","",IF(COUNTIF($C$2:$C3253,$C3253)=1,1,0))</f>
        <v/>
      </c>
      <c r="AK3253">
        <f>IF($AJ3253=1,SUMPRODUCT(--($AN$2:$AN$4001&lt;$AN3253))+1,"")</f>
        <v/>
      </c>
      <c r="AL3253">
        <f>IF($C3253="","",IF(OR($Q3253=TRUE(),$Q3253="TRUE"),1,0))</f>
        <v/>
      </c>
      <c r="AM3253">
        <f>IF($C3253="","",IF($W3253="Yes",1,0))</f>
        <v/>
      </c>
      <c r="AN3253">
        <f>IF($AJ3253=1,IFERROR(IF(VALUE($C3253)&lt;100000000,VALUE($C3253),1000000000),IFERROR(IF(VALUE(MID($C3253,2,20))&lt;100000000,VALUE(MID($C3253,2,20)),1000000000),1000000000))+ROW()/100000,"")</f>
        <v/>
      </c>
    </row>
    <row r="3254">
      <c r="E3254" s="11" t="n"/>
      <c r="M3254" s="7">
        <f>IF($C3254="","",L3254*U3254/100)</f>
        <v/>
      </c>
      <c r="N3254" s="7" t="n"/>
      <c r="T3254" s="7" t="n"/>
      <c r="U3254" s="7">
        <f>IF($C3254="","",S3254*T3254)</f>
        <v/>
      </c>
      <c r="X3254">
        <f>IF($C3254="","",IF($AM3254=1,0,IF($AL3254=1,Settings!$C$6,Settings!$C$7))*100)</f>
        <v/>
      </c>
      <c r="AB3254" s="7" t="n"/>
      <c r="AE3254" s="11" t="n"/>
      <c r="AG3254" s="7">
        <f>IF($C3254="","",U3254*X3254/100)</f>
        <v/>
      </c>
      <c r="AH3254" s="7">
        <f>IF($C3254="","",U3254-AG3254)</f>
        <v/>
      </c>
      <c r="AI3254" s="7">
        <f>IF($C3254="","",AH3254-M3254)</f>
        <v/>
      </c>
      <c r="AJ3254">
        <f>IF($C3254="","",IF(COUNTIF($C$2:$C3254,$C3254)=1,1,0))</f>
        <v/>
      </c>
      <c r="AK3254">
        <f>IF($AJ3254=1,SUMPRODUCT(--($AN$2:$AN$4001&lt;$AN3254))+1,"")</f>
        <v/>
      </c>
      <c r="AL3254">
        <f>IF($C3254="","",IF(OR($Q3254=TRUE(),$Q3254="TRUE"),1,0))</f>
        <v/>
      </c>
      <c r="AM3254">
        <f>IF($C3254="","",IF($W3254="Yes",1,0))</f>
        <v/>
      </c>
      <c r="AN3254">
        <f>IF($AJ3254=1,IFERROR(IF(VALUE($C3254)&lt;100000000,VALUE($C3254),1000000000),IFERROR(IF(VALUE(MID($C3254,2,20))&lt;100000000,VALUE(MID($C3254,2,20)),1000000000),1000000000))+ROW()/100000,"")</f>
        <v/>
      </c>
    </row>
    <row r="3255">
      <c r="E3255" s="11" t="n"/>
      <c r="M3255" s="7">
        <f>IF($C3255="","",L3255*U3255/100)</f>
        <v/>
      </c>
      <c r="N3255" s="7" t="n"/>
      <c r="T3255" s="7" t="n"/>
      <c r="U3255" s="7">
        <f>IF($C3255="","",S3255*T3255)</f>
        <v/>
      </c>
      <c r="X3255">
        <f>IF($C3255="","",IF($AM3255=1,0,IF($AL3255=1,Settings!$C$6,Settings!$C$7))*100)</f>
        <v/>
      </c>
      <c r="AB3255" s="7" t="n"/>
      <c r="AE3255" s="11" t="n"/>
      <c r="AG3255" s="7">
        <f>IF($C3255="","",U3255*X3255/100)</f>
        <v/>
      </c>
      <c r="AH3255" s="7">
        <f>IF($C3255="","",U3255-AG3255)</f>
        <v/>
      </c>
      <c r="AI3255" s="7">
        <f>IF($C3255="","",AH3255-M3255)</f>
        <v/>
      </c>
      <c r="AJ3255">
        <f>IF($C3255="","",IF(COUNTIF($C$2:$C3255,$C3255)=1,1,0))</f>
        <v/>
      </c>
      <c r="AK3255">
        <f>IF($AJ3255=1,SUMPRODUCT(--($AN$2:$AN$4001&lt;$AN3255))+1,"")</f>
        <v/>
      </c>
      <c r="AL3255">
        <f>IF($C3255="","",IF(OR($Q3255=TRUE(),$Q3255="TRUE"),1,0))</f>
        <v/>
      </c>
      <c r="AM3255">
        <f>IF($C3255="","",IF($W3255="Yes",1,0))</f>
        <v/>
      </c>
      <c r="AN3255">
        <f>IF($AJ3255=1,IFERROR(IF(VALUE($C3255)&lt;100000000,VALUE($C3255),1000000000),IFERROR(IF(VALUE(MID($C3255,2,20))&lt;100000000,VALUE(MID($C3255,2,20)),1000000000),1000000000))+ROW()/100000,"")</f>
        <v/>
      </c>
    </row>
    <row r="3256">
      <c r="E3256" s="11" t="n"/>
      <c r="M3256" s="7">
        <f>IF($C3256="","",L3256*U3256/100)</f>
        <v/>
      </c>
      <c r="N3256" s="7" t="n"/>
      <c r="T3256" s="7" t="n"/>
      <c r="U3256" s="7">
        <f>IF($C3256="","",S3256*T3256)</f>
        <v/>
      </c>
      <c r="X3256">
        <f>IF($C3256="","",IF($AM3256=1,0,IF($AL3256=1,Settings!$C$6,Settings!$C$7))*100)</f>
        <v/>
      </c>
      <c r="AB3256" s="7" t="n"/>
      <c r="AE3256" s="11" t="n"/>
      <c r="AG3256" s="7">
        <f>IF($C3256="","",U3256*X3256/100)</f>
        <v/>
      </c>
      <c r="AH3256" s="7">
        <f>IF($C3256="","",U3256-AG3256)</f>
        <v/>
      </c>
      <c r="AI3256" s="7">
        <f>IF($C3256="","",AH3256-M3256)</f>
        <v/>
      </c>
      <c r="AJ3256">
        <f>IF($C3256="","",IF(COUNTIF($C$2:$C3256,$C3256)=1,1,0))</f>
        <v/>
      </c>
      <c r="AK3256">
        <f>IF($AJ3256=1,SUMPRODUCT(--($AN$2:$AN$4001&lt;$AN3256))+1,"")</f>
        <v/>
      </c>
      <c r="AL3256">
        <f>IF($C3256="","",IF(OR($Q3256=TRUE(),$Q3256="TRUE"),1,0))</f>
        <v/>
      </c>
      <c r="AM3256">
        <f>IF($C3256="","",IF($W3256="Yes",1,0))</f>
        <v/>
      </c>
      <c r="AN3256">
        <f>IF($AJ3256=1,IFERROR(IF(VALUE($C3256)&lt;100000000,VALUE($C3256),1000000000),IFERROR(IF(VALUE(MID($C3256,2,20))&lt;100000000,VALUE(MID($C3256,2,20)),1000000000),1000000000))+ROW()/100000,"")</f>
        <v/>
      </c>
    </row>
    <row r="3257">
      <c r="E3257" s="11" t="n"/>
      <c r="M3257" s="7">
        <f>IF($C3257="","",L3257*U3257/100)</f>
        <v/>
      </c>
      <c r="N3257" s="7" t="n"/>
      <c r="T3257" s="7" t="n"/>
      <c r="U3257" s="7">
        <f>IF($C3257="","",S3257*T3257)</f>
        <v/>
      </c>
      <c r="X3257">
        <f>IF($C3257="","",IF($AM3257=1,0,IF($AL3257=1,Settings!$C$6,Settings!$C$7))*100)</f>
        <v/>
      </c>
      <c r="AB3257" s="7" t="n"/>
      <c r="AE3257" s="11" t="n"/>
      <c r="AG3257" s="7">
        <f>IF($C3257="","",U3257*X3257/100)</f>
        <v/>
      </c>
      <c r="AH3257" s="7">
        <f>IF($C3257="","",U3257-AG3257)</f>
        <v/>
      </c>
      <c r="AI3257" s="7">
        <f>IF($C3257="","",AH3257-M3257)</f>
        <v/>
      </c>
      <c r="AJ3257">
        <f>IF($C3257="","",IF(COUNTIF($C$2:$C3257,$C3257)=1,1,0))</f>
        <v/>
      </c>
      <c r="AK3257">
        <f>IF($AJ3257=1,SUMPRODUCT(--($AN$2:$AN$4001&lt;$AN3257))+1,"")</f>
        <v/>
      </c>
      <c r="AL3257">
        <f>IF($C3257="","",IF(OR($Q3257=TRUE(),$Q3257="TRUE"),1,0))</f>
        <v/>
      </c>
      <c r="AM3257">
        <f>IF($C3257="","",IF($W3257="Yes",1,0))</f>
        <v/>
      </c>
      <c r="AN3257">
        <f>IF($AJ3257=1,IFERROR(IF(VALUE($C3257)&lt;100000000,VALUE($C3257),1000000000),IFERROR(IF(VALUE(MID($C3257,2,20))&lt;100000000,VALUE(MID($C3257,2,20)),1000000000),1000000000))+ROW()/100000,"")</f>
        <v/>
      </c>
    </row>
    <row r="3258">
      <c r="E3258" s="11" t="n"/>
      <c r="M3258" s="7">
        <f>IF($C3258="","",L3258*U3258/100)</f>
        <v/>
      </c>
      <c r="N3258" s="7" t="n"/>
      <c r="T3258" s="7" t="n"/>
      <c r="U3258" s="7">
        <f>IF($C3258="","",S3258*T3258)</f>
        <v/>
      </c>
      <c r="X3258">
        <f>IF($C3258="","",IF($AM3258=1,0,IF($AL3258=1,Settings!$C$6,Settings!$C$7))*100)</f>
        <v/>
      </c>
      <c r="AB3258" s="7" t="n"/>
      <c r="AE3258" s="11" t="n"/>
      <c r="AG3258" s="7">
        <f>IF($C3258="","",U3258*X3258/100)</f>
        <v/>
      </c>
      <c r="AH3258" s="7">
        <f>IF($C3258="","",U3258-AG3258)</f>
        <v/>
      </c>
      <c r="AI3258" s="7">
        <f>IF($C3258="","",AH3258-M3258)</f>
        <v/>
      </c>
      <c r="AJ3258">
        <f>IF($C3258="","",IF(COUNTIF($C$2:$C3258,$C3258)=1,1,0))</f>
        <v/>
      </c>
      <c r="AK3258">
        <f>IF($AJ3258=1,SUMPRODUCT(--($AN$2:$AN$4001&lt;$AN3258))+1,"")</f>
        <v/>
      </c>
      <c r="AL3258">
        <f>IF($C3258="","",IF(OR($Q3258=TRUE(),$Q3258="TRUE"),1,0))</f>
        <v/>
      </c>
      <c r="AM3258">
        <f>IF($C3258="","",IF($W3258="Yes",1,0))</f>
        <v/>
      </c>
      <c r="AN3258">
        <f>IF($AJ3258=1,IFERROR(IF(VALUE($C3258)&lt;100000000,VALUE($C3258),1000000000),IFERROR(IF(VALUE(MID($C3258,2,20))&lt;100000000,VALUE(MID($C3258,2,20)),1000000000),1000000000))+ROW()/100000,"")</f>
        <v/>
      </c>
    </row>
    <row r="3259">
      <c r="E3259" s="11" t="n"/>
      <c r="M3259" s="7">
        <f>IF($C3259="","",L3259*U3259/100)</f>
        <v/>
      </c>
      <c r="N3259" s="7" t="n"/>
      <c r="T3259" s="7" t="n"/>
      <c r="U3259" s="7">
        <f>IF($C3259="","",S3259*T3259)</f>
        <v/>
      </c>
      <c r="X3259">
        <f>IF($C3259="","",IF($AM3259=1,0,IF($AL3259=1,Settings!$C$6,Settings!$C$7))*100)</f>
        <v/>
      </c>
      <c r="AB3259" s="7" t="n"/>
      <c r="AE3259" s="11" t="n"/>
      <c r="AG3259" s="7">
        <f>IF($C3259="","",U3259*X3259/100)</f>
        <v/>
      </c>
      <c r="AH3259" s="7">
        <f>IF($C3259="","",U3259-AG3259)</f>
        <v/>
      </c>
      <c r="AI3259" s="7">
        <f>IF($C3259="","",AH3259-M3259)</f>
        <v/>
      </c>
      <c r="AJ3259">
        <f>IF($C3259="","",IF(COUNTIF($C$2:$C3259,$C3259)=1,1,0))</f>
        <v/>
      </c>
      <c r="AK3259">
        <f>IF($AJ3259=1,SUMPRODUCT(--($AN$2:$AN$4001&lt;$AN3259))+1,"")</f>
        <v/>
      </c>
      <c r="AL3259">
        <f>IF($C3259="","",IF(OR($Q3259=TRUE(),$Q3259="TRUE"),1,0))</f>
        <v/>
      </c>
      <c r="AM3259">
        <f>IF($C3259="","",IF($W3259="Yes",1,0))</f>
        <v/>
      </c>
      <c r="AN3259">
        <f>IF($AJ3259=1,IFERROR(IF(VALUE($C3259)&lt;100000000,VALUE($C3259),1000000000),IFERROR(IF(VALUE(MID($C3259,2,20))&lt;100000000,VALUE(MID($C3259,2,20)),1000000000),1000000000))+ROW()/100000,"")</f>
        <v/>
      </c>
    </row>
    <row r="3260">
      <c r="E3260" s="11" t="n"/>
      <c r="M3260" s="7">
        <f>IF($C3260="","",L3260*U3260/100)</f>
        <v/>
      </c>
      <c r="N3260" s="7" t="n"/>
      <c r="T3260" s="7" t="n"/>
      <c r="U3260" s="7">
        <f>IF($C3260="","",S3260*T3260)</f>
        <v/>
      </c>
      <c r="X3260">
        <f>IF($C3260="","",IF($AM3260=1,0,IF($AL3260=1,Settings!$C$6,Settings!$C$7))*100)</f>
        <v/>
      </c>
      <c r="AB3260" s="7" t="n"/>
      <c r="AE3260" s="11" t="n"/>
      <c r="AG3260" s="7">
        <f>IF($C3260="","",U3260*X3260/100)</f>
        <v/>
      </c>
      <c r="AH3260" s="7">
        <f>IF($C3260="","",U3260-AG3260)</f>
        <v/>
      </c>
      <c r="AI3260" s="7">
        <f>IF($C3260="","",AH3260-M3260)</f>
        <v/>
      </c>
      <c r="AJ3260">
        <f>IF($C3260="","",IF(COUNTIF($C$2:$C3260,$C3260)=1,1,0))</f>
        <v/>
      </c>
      <c r="AK3260">
        <f>IF($AJ3260=1,SUMPRODUCT(--($AN$2:$AN$4001&lt;$AN3260))+1,"")</f>
        <v/>
      </c>
      <c r="AL3260">
        <f>IF($C3260="","",IF(OR($Q3260=TRUE(),$Q3260="TRUE"),1,0))</f>
        <v/>
      </c>
      <c r="AM3260">
        <f>IF($C3260="","",IF($W3260="Yes",1,0))</f>
        <v/>
      </c>
      <c r="AN3260">
        <f>IF($AJ3260=1,IFERROR(IF(VALUE($C3260)&lt;100000000,VALUE($C3260),1000000000),IFERROR(IF(VALUE(MID($C3260,2,20))&lt;100000000,VALUE(MID($C3260,2,20)),1000000000),1000000000))+ROW()/100000,"")</f>
        <v/>
      </c>
    </row>
    <row r="3261">
      <c r="E3261" s="11" t="n"/>
      <c r="M3261" s="7">
        <f>IF($C3261="","",L3261*U3261/100)</f>
        <v/>
      </c>
      <c r="N3261" s="7" t="n"/>
      <c r="T3261" s="7" t="n"/>
      <c r="U3261" s="7">
        <f>IF($C3261="","",S3261*T3261)</f>
        <v/>
      </c>
      <c r="X3261">
        <f>IF($C3261="","",IF($AM3261=1,0,IF($AL3261=1,Settings!$C$6,Settings!$C$7))*100)</f>
        <v/>
      </c>
      <c r="AB3261" s="7" t="n"/>
      <c r="AE3261" s="11" t="n"/>
      <c r="AG3261" s="7">
        <f>IF($C3261="","",U3261*X3261/100)</f>
        <v/>
      </c>
      <c r="AH3261" s="7">
        <f>IF($C3261="","",U3261-AG3261)</f>
        <v/>
      </c>
      <c r="AI3261" s="7">
        <f>IF($C3261="","",AH3261-M3261)</f>
        <v/>
      </c>
      <c r="AJ3261">
        <f>IF($C3261="","",IF(COUNTIF($C$2:$C3261,$C3261)=1,1,0))</f>
        <v/>
      </c>
      <c r="AK3261">
        <f>IF($AJ3261=1,SUMPRODUCT(--($AN$2:$AN$4001&lt;$AN3261))+1,"")</f>
        <v/>
      </c>
      <c r="AL3261">
        <f>IF($C3261="","",IF(OR($Q3261=TRUE(),$Q3261="TRUE"),1,0))</f>
        <v/>
      </c>
      <c r="AM3261">
        <f>IF($C3261="","",IF($W3261="Yes",1,0))</f>
        <v/>
      </c>
      <c r="AN3261">
        <f>IF($AJ3261=1,IFERROR(IF(VALUE($C3261)&lt;100000000,VALUE($C3261),1000000000),IFERROR(IF(VALUE(MID($C3261,2,20))&lt;100000000,VALUE(MID($C3261,2,20)),1000000000),1000000000))+ROW()/100000,"")</f>
        <v/>
      </c>
    </row>
    <row r="3262">
      <c r="E3262" s="11" t="n"/>
      <c r="M3262" s="7">
        <f>IF($C3262="","",L3262*U3262/100)</f>
        <v/>
      </c>
      <c r="N3262" s="7" t="n"/>
      <c r="T3262" s="7" t="n"/>
      <c r="U3262" s="7">
        <f>IF($C3262="","",S3262*T3262)</f>
        <v/>
      </c>
      <c r="X3262">
        <f>IF($C3262="","",IF($AM3262=1,0,IF($AL3262=1,Settings!$C$6,Settings!$C$7))*100)</f>
        <v/>
      </c>
      <c r="AB3262" s="7" t="n"/>
      <c r="AE3262" s="11" t="n"/>
      <c r="AG3262" s="7">
        <f>IF($C3262="","",U3262*X3262/100)</f>
        <v/>
      </c>
      <c r="AH3262" s="7">
        <f>IF($C3262="","",U3262-AG3262)</f>
        <v/>
      </c>
      <c r="AI3262" s="7">
        <f>IF($C3262="","",AH3262-M3262)</f>
        <v/>
      </c>
      <c r="AJ3262">
        <f>IF($C3262="","",IF(COUNTIF($C$2:$C3262,$C3262)=1,1,0))</f>
        <v/>
      </c>
      <c r="AK3262">
        <f>IF($AJ3262=1,SUMPRODUCT(--($AN$2:$AN$4001&lt;$AN3262))+1,"")</f>
        <v/>
      </c>
      <c r="AL3262">
        <f>IF($C3262="","",IF(OR($Q3262=TRUE(),$Q3262="TRUE"),1,0))</f>
        <v/>
      </c>
      <c r="AM3262">
        <f>IF($C3262="","",IF($W3262="Yes",1,0))</f>
        <v/>
      </c>
      <c r="AN3262">
        <f>IF($AJ3262=1,IFERROR(IF(VALUE($C3262)&lt;100000000,VALUE($C3262),1000000000),IFERROR(IF(VALUE(MID($C3262,2,20))&lt;100000000,VALUE(MID($C3262,2,20)),1000000000),1000000000))+ROW()/100000,"")</f>
        <v/>
      </c>
    </row>
    <row r="3263">
      <c r="E3263" s="11" t="n"/>
      <c r="M3263" s="7">
        <f>IF($C3263="","",L3263*U3263/100)</f>
        <v/>
      </c>
      <c r="N3263" s="7" t="n"/>
      <c r="T3263" s="7" t="n"/>
      <c r="U3263" s="7">
        <f>IF($C3263="","",S3263*T3263)</f>
        <v/>
      </c>
      <c r="X3263">
        <f>IF($C3263="","",IF($AM3263=1,0,IF($AL3263=1,Settings!$C$6,Settings!$C$7))*100)</f>
        <v/>
      </c>
      <c r="AB3263" s="7" t="n"/>
      <c r="AE3263" s="11" t="n"/>
      <c r="AG3263" s="7">
        <f>IF($C3263="","",U3263*X3263/100)</f>
        <v/>
      </c>
      <c r="AH3263" s="7">
        <f>IF($C3263="","",U3263-AG3263)</f>
        <v/>
      </c>
      <c r="AI3263" s="7">
        <f>IF($C3263="","",AH3263-M3263)</f>
        <v/>
      </c>
      <c r="AJ3263">
        <f>IF($C3263="","",IF(COUNTIF($C$2:$C3263,$C3263)=1,1,0))</f>
        <v/>
      </c>
      <c r="AK3263">
        <f>IF($AJ3263=1,SUMPRODUCT(--($AN$2:$AN$4001&lt;$AN3263))+1,"")</f>
        <v/>
      </c>
      <c r="AL3263">
        <f>IF($C3263="","",IF(OR($Q3263=TRUE(),$Q3263="TRUE"),1,0))</f>
        <v/>
      </c>
      <c r="AM3263">
        <f>IF($C3263="","",IF($W3263="Yes",1,0))</f>
        <v/>
      </c>
      <c r="AN3263">
        <f>IF($AJ3263=1,IFERROR(IF(VALUE($C3263)&lt;100000000,VALUE($C3263),1000000000),IFERROR(IF(VALUE(MID($C3263,2,20))&lt;100000000,VALUE(MID($C3263,2,20)),1000000000),1000000000))+ROW()/100000,"")</f>
        <v/>
      </c>
    </row>
    <row r="3264">
      <c r="E3264" s="11" t="n"/>
      <c r="M3264" s="7">
        <f>IF($C3264="","",L3264*U3264/100)</f>
        <v/>
      </c>
      <c r="N3264" s="7" t="n"/>
      <c r="T3264" s="7" t="n"/>
      <c r="U3264" s="7">
        <f>IF($C3264="","",S3264*T3264)</f>
        <v/>
      </c>
      <c r="X3264">
        <f>IF($C3264="","",IF($AM3264=1,0,IF($AL3264=1,Settings!$C$6,Settings!$C$7))*100)</f>
        <v/>
      </c>
      <c r="AB3264" s="7" t="n"/>
      <c r="AE3264" s="11" t="n"/>
      <c r="AG3264" s="7">
        <f>IF($C3264="","",U3264*X3264/100)</f>
        <v/>
      </c>
      <c r="AH3264" s="7">
        <f>IF($C3264="","",U3264-AG3264)</f>
        <v/>
      </c>
      <c r="AI3264" s="7">
        <f>IF($C3264="","",AH3264-M3264)</f>
        <v/>
      </c>
      <c r="AJ3264">
        <f>IF($C3264="","",IF(COUNTIF($C$2:$C3264,$C3264)=1,1,0))</f>
        <v/>
      </c>
      <c r="AK3264">
        <f>IF($AJ3264=1,SUMPRODUCT(--($AN$2:$AN$4001&lt;$AN3264))+1,"")</f>
        <v/>
      </c>
      <c r="AL3264">
        <f>IF($C3264="","",IF(OR($Q3264=TRUE(),$Q3264="TRUE"),1,0))</f>
        <v/>
      </c>
      <c r="AM3264">
        <f>IF($C3264="","",IF($W3264="Yes",1,0))</f>
        <v/>
      </c>
      <c r="AN3264">
        <f>IF($AJ3264=1,IFERROR(IF(VALUE($C3264)&lt;100000000,VALUE($C3264),1000000000),IFERROR(IF(VALUE(MID($C3264,2,20))&lt;100000000,VALUE(MID($C3264,2,20)),1000000000),1000000000))+ROW()/100000,"")</f>
        <v/>
      </c>
    </row>
    <row r="3265">
      <c r="E3265" s="11" t="n"/>
      <c r="M3265" s="7">
        <f>IF($C3265="","",L3265*U3265/100)</f>
        <v/>
      </c>
      <c r="N3265" s="7" t="n"/>
      <c r="T3265" s="7" t="n"/>
      <c r="U3265" s="7">
        <f>IF($C3265="","",S3265*T3265)</f>
        <v/>
      </c>
      <c r="X3265">
        <f>IF($C3265="","",IF($AM3265=1,0,IF($AL3265=1,Settings!$C$6,Settings!$C$7))*100)</f>
        <v/>
      </c>
      <c r="AB3265" s="7" t="n"/>
      <c r="AE3265" s="11" t="n"/>
      <c r="AG3265" s="7">
        <f>IF($C3265="","",U3265*X3265/100)</f>
        <v/>
      </c>
      <c r="AH3265" s="7">
        <f>IF($C3265="","",U3265-AG3265)</f>
        <v/>
      </c>
      <c r="AI3265" s="7">
        <f>IF($C3265="","",AH3265-M3265)</f>
        <v/>
      </c>
      <c r="AJ3265">
        <f>IF($C3265="","",IF(COUNTIF($C$2:$C3265,$C3265)=1,1,0))</f>
        <v/>
      </c>
      <c r="AK3265">
        <f>IF($AJ3265=1,SUMPRODUCT(--($AN$2:$AN$4001&lt;$AN3265))+1,"")</f>
        <v/>
      </c>
      <c r="AL3265">
        <f>IF($C3265="","",IF(OR($Q3265=TRUE(),$Q3265="TRUE"),1,0))</f>
        <v/>
      </c>
      <c r="AM3265">
        <f>IF($C3265="","",IF($W3265="Yes",1,0))</f>
        <v/>
      </c>
      <c r="AN3265">
        <f>IF($AJ3265=1,IFERROR(IF(VALUE($C3265)&lt;100000000,VALUE($C3265),1000000000),IFERROR(IF(VALUE(MID($C3265,2,20))&lt;100000000,VALUE(MID($C3265,2,20)),1000000000),1000000000))+ROW()/100000,"")</f>
        <v/>
      </c>
    </row>
    <row r="3266">
      <c r="E3266" s="11" t="n"/>
      <c r="M3266" s="7">
        <f>IF($C3266="","",L3266*U3266/100)</f>
        <v/>
      </c>
      <c r="N3266" s="7" t="n"/>
      <c r="T3266" s="7" t="n"/>
      <c r="U3266" s="7">
        <f>IF($C3266="","",S3266*T3266)</f>
        <v/>
      </c>
      <c r="X3266">
        <f>IF($C3266="","",IF($AM3266=1,0,IF($AL3266=1,Settings!$C$6,Settings!$C$7))*100)</f>
        <v/>
      </c>
      <c r="AB3266" s="7" t="n"/>
      <c r="AE3266" s="11" t="n"/>
      <c r="AG3266" s="7">
        <f>IF($C3266="","",U3266*X3266/100)</f>
        <v/>
      </c>
      <c r="AH3266" s="7">
        <f>IF($C3266="","",U3266-AG3266)</f>
        <v/>
      </c>
      <c r="AI3266" s="7">
        <f>IF($C3266="","",AH3266-M3266)</f>
        <v/>
      </c>
      <c r="AJ3266">
        <f>IF($C3266="","",IF(COUNTIF($C$2:$C3266,$C3266)=1,1,0))</f>
        <v/>
      </c>
      <c r="AK3266">
        <f>IF($AJ3266=1,SUMPRODUCT(--($AN$2:$AN$4001&lt;$AN3266))+1,"")</f>
        <v/>
      </c>
      <c r="AL3266">
        <f>IF($C3266="","",IF(OR($Q3266=TRUE(),$Q3266="TRUE"),1,0))</f>
        <v/>
      </c>
      <c r="AM3266">
        <f>IF($C3266="","",IF($W3266="Yes",1,0))</f>
        <v/>
      </c>
      <c r="AN3266">
        <f>IF($AJ3266=1,IFERROR(IF(VALUE($C3266)&lt;100000000,VALUE($C3266),1000000000),IFERROR(IF(VALUE(MID($C3266,2,20))&lt;100000000,VALUE(MID($C3266,2,20)),1000000000),1000000000))+ROW()/100000,"")</f>
        <v/>
      </c>
    </row>
    <row r="3267">
      <c r="E3267" s="11" t="n"/>
      <c r="M3267" s="7">
        <f>IF($C3267="","",L3267*U3267/100)</f>
        <v/>
      </c>
      <c r="N3267" s="7" t="n"/>
      <c r="T3267" s="7" t="n"/>
      <c r="U3267" s="7">
        <f>IF($C3267="","",S3267*T3267)</f>
        <v/>
      </c>
      <c r="X3267">
        <f>IF($C3267="","",IF($AM3267=1,0,IF($AL3267=1,Settings!$C$6,Settings!$C$7))*100)</f>
        <v/>
      </c>
      <c r="AB3267" s="7" t="n"/>
      <c r="AE3267" s="11" t="n"/>
      <c r="AG3267" s="7">
        <f>IF($C3267="","",U3267*X3267/100)</f>
        <v/>
      </c>
      <c r="AH3267" s="7">
        <f>IF($C3267="","",U3267-AG3267)</f>
        <v/>
      </c>
      <c r="AI3267" s="7">
        <f>IF($C3267="","",AH3267-M3267)</f>
        <v/>
      </c>
      <c r="AJ3267">
        <f>IF($C3267="","",IF(COUNTIF($C$2:$C3267,$C3267)=1,1,0))</f>
        <v/>
      </c>
      <c r="AK3267">
        <f>IF($AJ3267=1,SUMPRODUCT(--($AN$2:$AN$4001&lt;$AN3267))+1,"")</f>
        <v/>
      </c>
      <c r="AL3267">
        <f>IF($C3267="","",IF(OR($Q3267=TRUE(),$Q3267="TRUE"),1,0))</f>
        <v/>
      </c>
      <c r="AM3267">
        <f>IF($C3267="","",IF($W3267="Yes",1,0))</f>
        <v/>
      </c>
      <c r="AN3267">
        <f>IF($AJ3267=1,IFERROR(IF(VALUE($C3267)&lt;100000000,VALUE($C3267),1000000000),IFERROR(IF(VALUE(MID($C3267,2,20))&lt;100000000,VALUE(MID($C3267,2,20)),1000000000),1000000000))+ROW()/100000,"")</f>
        <v/>
      </c>
    </row>
    <row r="3268">
      <c r="E3268" s="11" t="n"/>
      <c r="M3268" s="7">
        <f>IF($C3268="","",L3268*U3268/100)</f>
        <v/>
      </c>
      <c r="N3268" s="7" t="n"/>
      <c r="T3268" s="7" t="n"/>
      <c r="U3268" s="7">
        <f>IF($C3268="","",S3268*T3268)</f>
        <v/>
      </c>
      <c r="X3268">
        <f>IF($C3268="","",IF($AM3268=1,0,IF($AL3268=1,Settings!$C$6,Settings!$C$7))*100)</f>
        <v/>
      </c>
      <c r="AB3268" s="7" t="n"/>
      <c r="AE3268" s="11" t="n"/>
      <c r="AG3268" s="7">
        <f>IF($C3268="","",U3268*X3268/100)</f>
        <v/>
      </c>
      <c r="AH3268" s="7">
        <f>IF($C3268="","",U3268-AG3268)</f>
        <v/>
      </c>
      <c r="AI3268" s="7">
        <f>IF($C3268="","",AH3268-M3268)</f>
        <v/>
      </c>
      <c r="AJ3268">
        <f>IF($C3268="","",IF(COUNTIF($C$2:$C3268,$C3268)=1,1,0))</f>
        <v/>
      </c>
      <c r="AK3268">
        <f>IF($AJ3268=1,SUMPRODUCT(--($AN$2:$AN$4001&lt;$AN3268))+1,"")</f>
        <v/>
      </c>
      <c r="AL3268">
        <f>IF($C3268="","",IF(OR($Q3268=TRUE(),$Q3268="TRUE"),1,0))</f>
        <v/>
      </c>
      <c r="AM3268">
        <f>IF($C3268="","",IF($W3268="Yes",1,0))</f>
        <v/>
      </c>
      <c r="AN3268">
        <f>IF($AJ3268=1,IFERROR(IF(VALUE($C3268)&lt;100000000,VALUE($C3268),1000000000),IFERROR(IF(VALUE(MID($C3268,2,20))&lt;100000000,VALUE(MID($C3268,2,20)),1000000000),1000000000))+ROW()/100000,"")</f>
        <v/>
      </c>
    </row>
    <row r="3269">
      <c r="E3269" s="11" t="n"/>
      <c r="M3269" s="7">
        <f>IF($C3269="","",L3269*U3269/100)</f>
        <v/>
      </c>
      <c r="N3269" s="7" t="n"/>
      <c r="T3269" s="7" t="n"/>
      <c r="U3269" s="7">
        <f>IF($C3269="","",S3269*T3269)</f>
        <v/>
      </c>
      <c r="X3269">
        <f>IF($C3269="","",IF($AM3269=1,0,IF($AL3269=1,Settings!$C$6,Settings!$C$7))*100)</f>
        <v/>
      </c>
      <c r="AB3269" s="7" t="n"/>
      <c r="AE3269" s="11" t="n"/>
      <c r="AG3269" s="7">
        <f>IF($C3269="","",U3269*X3269/100)</f>
        <v/>
      </c>
      <c r="AH3269" s="7">
        <f>IF($C3269="","",U3269-AG3269)</f>
        <v/>
      </c>
      <c r="AI3269" s="7">
        <f>IF($C3269="","",AH3269-M3269)</f>
        <v/>
      </c>
      <c r="AJ3269">
        <f>IF($C3269="","",IF(COUNTIF($C$2:$C3269,$C3269)=1,1,0))</f>
        <v/>
      </c>
      <c r="AK3269">
        <f>IF($AJ3269=1,SUMPRODUCT(--($AN$2:$AN$4001&lt;$AN3269))+1,"")</f>
        <v/>
      </c>
      <c r="AL3269">
        <f>IF($C3269="","",IF(OR($Q3269=TRUE(),$Q3269="TRUE"),1,0))</f>
        <v/>
      </c>
      <c r="AM3269">
        <f>IF($C3269="","",IF($W3269="Yes",1,0))</f>
        <v/>
      </c>
      <c r="AN3269">
        <f>IF($AJ3269=1,IFERROR(IF(VALUE($C3269)&lt;100000000,VALUE($C3269),1000000000),IFERROR(IF(VALUE(MID($C3269,2,20))&lt;100000000,VALUE(MID($C3269,2,20)),1000000000),1000000000))+ROW()/100000,"")</f>
        <v/>
      </c>
    </row>
    <row r="3270">
      <c r="E3270" s="11" t="n"/>
      <c r="M3270" s="7">
        <f>IF($C3270="","",L3270*U3270/100)</f>
        <v/>
      </c>
      <c r="N3270" s="7" t="n"/>
      <c r="T3270" s="7" t="n"/>
      <c r="U3270" s="7">
        <f>IF($C3270="","",S3270*T3270)</f>
        <v/>
      </c>
      <c r="X3270">
        <f>IF($C3270="","",IF($AM3270=1,0,IF($AL3270=1,Settings!$C$6,Settings!$C$7))*100)</f>
        <v/>
      </c>
      <c r="AB3270" s="7" t="n"/>
      <c r="AE3270" s="11" t="n"/>
      <c r="AG3270" s="7">
        <f>IF($C3270="","",U3270*X3270/100)</f>
        <v/>
      </c>
      <c r="AH3270" s="7">
        <f>IF($C3270="","",U3270-AG3270)</f>
        <v/>
      </c>
      <c r="AI3270" s="7">
        <f>IF($C3270="","",AH3270-M3270)</f>
        <v/>
      </c>
      <c r="AJ3270">
        <f>IF($C3270="","",IF(COUNTIF($C$2:$C3270,$C3270)=1,1,0))</f>
        <v/>
      </c>
      <c r="AK3270">
        <f>IF($AJ3270=1,SUMPRODUCT(--($AN$2:$AN$4001&lt;$AN3270))+1,"")</f>
        <v/>
      </c>
      <c r="AL3270">
        <f>IF($C3270="","",IF(OR($Q3270=TRUE(),$Q3270="TRUE"),1,0))</f>
        <v/>
      </c>
      <c r="AM3270">
        <f>IF($C3270="","",IF($W3270="Yes",1,0))</f>
        <v/>
      </c>
      <c r="AN3270">
        <f>IF($AJ3270=1,IFERROR(IF(VALUE($C3270)&lt;100000000,VALUE($C3270),1000000000),IFERROR(IF(VALUE(MID($C3270,2,20))&lt;100000000,VALUE(MID($C3270,2,20)),1000000000),1000000000))+ROW()/100000,"")</f>
        <v/>
      </c>
    </row>
    <row r="3271">
      <c r="E3271" s="11" t="n"/>
      <c r="M3271" s="7">
        <f>IF($C3271="","",L3271*U3271/100)</f>
        <v/>
      </c>
      <c r="N3271" s="7" t="n"/>
      <c r="T3271" s="7" t="n"/>
      <c r="U3271" s="7">
        <f>IF($C3271="","",S3271*T3271)</f>
        <v/>
      </c>
      <c r="X3271">
        <f>IF($C3271="","",IF($AM3271=1,0,IF($AL3271=1,Settings!$C$6,Settings!$C$7))*100)</f>
        <v/>
      </c>
      <c r="AB3271" s="7" t="n"/>
      <c r="AE3271" s="11" t="n"/>
      <c r="AG3271" s="7">
        <f>IF($C3271="","",U3271*X3271/100)</f>
        <v/>
      </c>
      <c r="AH3271" s="7">
        <f>IF($C3271="","",U3271-AG3271)</f>
        <v/>
      </c>
      <c r="AI3271" s="7">
        <f>IF($C3271="","",AH3271-M3271)</f>
        <v/>
      </c>
      <c r="AJ3271">
        <f>IF($C3271="","",IF(COUNTIF($C$2:$C3271,$C3271)=1,1,0))</f>
        <v/>
      </c>
      <c r="AK3271">
        <f>IF($AJ3271=1,SUMPRODUCT(--($AN$2:$AN$4001&lt;$AN3271))+1,"")</f>
        <v/>
      </c>
      <c r="AL3271">
        <f>IF($C3271="","",IF(OR($Q3271=TRUE(),$Q3271="TRUE"),1,0))</f>
        <v/>
      </c>
      <c r="AM3271">
        <f>IF($C3271="","",IF($W3271="Yes",1,0))</f>
        <v/>
      </c>
      <c r="AN3271">
        <f>IF($AJ3271=1,IFERROR(IF(VALUE($C3271)&lt;100000000,VALUE($C3271),1000000000),IFERROR(IF(VALUE(MID($C3271,2,20))&lt;100000000,VALUE(MID($C3271,2,20)),1000000000),1000000000))+ROW()/100000,"")</f>
        <v/>
      </c>
    </row>
    <row r="3272">
      <c r="E3272" s="11" t="n"/>
      <c r="M3272" s="7">
        <f>IF($C3272="","",L3272*U3272/100)</f>
        <v/>
      </c>
      <c r="N3272" s="7" t="n"/>
      <c r="T3272" s="7" t="n"/>
      <c r="U3272" s="7">
        <f>IF($C3272="","",S3272*T3272)</f>
        <v/>
      </c>
      <c r="X3272">
        <f>IF($C3272="","",IF($AM3272=1,0,IF($AL3272=1,Settings!$C$6,Settings!$C$7))*100)</f>
        <v/>
      </c>
      <c r="AB3272" s="7" t="n"/>
      <c r="AE3272" s="11" t="n"/>
      <c r="AG3272" s="7">
        <f>IF($C3272="","",U3272*X3272/100)</f>
        <v/>
      </c>
      <c r="AH3272" s="7">
        <f>IF($C3272="","",U3272-AG3272)</f>
        <v/>
      </c>
      <c r="AI3272" s="7">
        <f>IF($C3272="","",AH3272-M3272)</f>
        <v/>
      </c>
      <c r="AJ3272">
        <f>IF($C3272="","",IF(COUNTIF($C$2:$C3272,$C3272)=1,1,0))</f>
        <v/>
      </c>
      <c r="AK3272">
        <f>IF($AJ3272=1,SUMPRODUCT(--($AN$2:$AN$4001&lt;$AN3272))+1,"")</f>
        <v/>
      </c>
      <c r="AL3272">
        <f>IF($C3272="","",IF(OR($Q3272=TRUE(),$Q3272="TRUE"),1,0))</f>
        <v/>
      </c>
      <c r="AM3272">
        <f>IF($C3272="","",IF($W3272="Yes",1,0))</f>
        <v/>
      </c>
      <c r="AN3272">
        <f>IF($AJ3272=1,IFERROR(IF(VALUE($C3272)&lt;100000000,VALUE($C3272),1000000000),IFERROR(IF(VALUE(MID($C3272,2,20))&lt;100000000,VALUE(MID($C3272,2,20)),1000000000),1000000000))+ROW()/100000,"")</f>
        <v/>
      </c>
    </row>
    <row r="3273">
      <c r="E3273" s="11" t="n"/>
      <c r="M3273" s="7">
        <f>IF($C3273="","",L3273*U3273/100)</f>
        <v/>
      </c>
      <c r="N3273" s="7" t="n"/>
      <c r="T3273" s="7" t="n"/>
      <c r="U3273" s="7">
        <f>IF($C3273="","",S3273*T3273)</f>
        <v/>
      </c>
      <c r="X3273">
        <f>IF($C3273="","",IF($AM3273=1,0,IF($AL3273=1,Settings!$C$6,Settings!$C$7))*100)</f>
        <v/>
      </c>
      <c r="AB3273" s="7" t="n"/>
      <c r="AE3273" s="11" t="n"/>
      <c r="AG3273" s="7">
        <f>IF($C3273="","",U3273*X3273/100)</f>
        <v/>
      </c>
      <c r="AH3273" s="7">
        <f>IF($C3273="","",U3273-AG3273)</f>
        <v/>
      </c>
      <c r="AI3273" s="7">
        <f>IF($C3273="","",AH3273-M3273)</f>
        <v/>
      </c>
      <c r="AJ3273">
        <f>IF($C3273="","",IF(COUNTIF($C$2:$C3273,$C3273)=1,1,0))</f>
        <v/>
      </c>
      <c r="AK3273">
        <f>IF($AJ3273=1,SUMPRODUCT(--($AN$2:$AN$4001&lt;$AN3273))+1,"")</f>
        <v/>
      </c>
      <c r="AL3273">
        <f>IF($C3273="","",IF(OR($Q3273=TRUE(),$Q3273="TRUE"),1,0))</f>
        <v/>
      </c>
      <c r="AM3273">
        <f>IF($C3273="","",IF($W3273="Yes",1,0))</f>
        <v/>
      </c>
      <c r="AN3273">
        <f>IF($AJ3273=1,IFERROR(IF(VALUE($C3273)&lt;100000000,VALUE($C3273),1000000000),IFERROR(IF(VALUE(MID($C3273,2,20))&lt;100000000,VALUE(MID($C3273,2,20)),1000000000),1000000000))+ROW()/100000,"")</f>
        <v/>
      </c>
    </row>
    <row r="3274">
      <c r="E3274" s="11" t="n"/>
      <c r="M3274" s="7">
        <f>IF($C3274="","",L3274*U3274/100)</f>
        <v/>
      </c>
      <c r="N3274" s="7" t="n"/>
      <c r="T3274" s="7" t="n"/>
      <c r="U3274" s="7">
        <f>IF($C3274="","",S3274*T3274)</f>
        <v/>
      </c>
      <c r="X3274">
        <f>IF($C3274="","",IF($AM3274=1,0,IF($AL3274=1,Settings!$C$6,Settings!$C$7))*100)</f>
        <v/>
      </c>
      <c r="AB3274" s="7" t="n"/>
      <c r="AE3274" s="11" t="n"/>
      <c r="AG3274" s="7">
        <f>IF($C3274="","",U3274*X3274/100)</f>
        <v/>
      </c>
      <c r="AH3274" s="7">
        <f>IF($C3274="","",U3274-AG3274)</f>
        <v/>
      </c>
      <c r="AI3274" s="7">
        <f>IF($C3274="","",AH3274-M3274)</f>
        <v/>
      </c>
      <c r="AJ3274">
        <f>IF($C3274="","",IF(COUNTIF($C$2:$C3274,$C3274)=1,1,0))</f>
        <v/>
      </c>
      <c r="AK3274">
        <f>IF($AJ3274=1,SUMPRODUCT(--($AN$2:$AN$4001&lt;$AN3274))+1,"")</f>
        <v/>
      </c>
      <c r="AL3274">
        <f>IF($C3274="","",IF(OR($Q3274=TRUE(),$Q3274="TRUE"),1,0))</f>
        <v/>
      </c>
      <c r="AM3274">
        <f>IF($C3274="","",IF($W3274="Yes",1,0))</f>
        <v/>
      </c>
      <c r="AN3274">
        <f>IF($AJ3274=1,IFERROR(IF(VALUE($C3274)&lt;100000000,VALUE($C3274),1000000000),IFERROR(IF(VALUE(MID($C3274,2,20))&lt;100000000,VALUE(MID($C3274,2,20)),1000000000),1000000000))+ROW()/100000,"")</f>
        <v/>
      </c>
    </row>
    <row r="3275">
      <c r="E3275" s="11" t="n"/>
      <c r="M3275" s="7">
        <f>IF($C3275="","",L3275*U3275/100)</f>
        <v/>
      </c>
      <c r="N3275" s="7" t="n"/>
      <c r="T3275" s="7" t="n"/>
      <c r="U3275" s="7">
        <f>IF($C3275="","",S3275*T3275)</f>
        <v/>
      </c>
      <c r="X3275">
        <f>IF($C3275="","",IF($AM3275=1,0,IF($AL3275=1,Settings!$C$6,Settings!$C$7))*100)</f>
        <v/>
      </c>
      <c r="AB3275" s="7" t="n"/>
      <c r="AE3275" s="11" t="n"/>
      <c r="AG3275" s="7">
        <f>IF($C3275="","",U3275*X3275/100)</f>
        <v/>
      </c>
      <c r="AH3275" s="7">
        <f>IF($C3275="","",U3275-AG3275)</f>
        <v/>
      </c>
      <c r="AI3275" s="7">
        <f>IF($C3275="","",AH3275-M3275)</f>
        <v/>
      </c>
      <c r="AJ3275">
        <f>IF($C3275="","",IF(COUNTIF($C$2:$C3275,$C3275)=1,1,0))</f>
        <v/>
      </c>
      <c r="AK3275">
        <f>IF($AJ3275=1,SUMPRODUCT(--($AN$2:$AN$4001&lt;$AN3275))+1,"")</f>
        <v/>
      </c>
      <c r="AL3275">
        <f>IF($C3275="","",IF(OR($Q3275=TRUE(),$Q3275="TRUE"),1,0))</f>
        <v/>
      </c>
      <c r="AM3275">
        <f>IF($C3275="","",IF($W3275="Yes",1,0))</f>
        <v/>
      </c>
      <c r="AN3275">
        <f>IF($AJ3275=1,IFERROR(IF(VALUE($C3275)&lt;100000000,VALUE($C3275),1000000000),IFERROR(IF(VALUE(MID($C3275,2,20))&lt;100000000,VALUE(MID($C3275,2,20)),1000000000),1000000000))+ROW()/100000,"")</f>
        <v/>
      </c>
    </row>
    <row r="3276">
      <c r="E3276" s="11" t="n"/>
      <c r="M3276" s="7">
        <f>IF($C3276="","",L3276*U3276/100)</f>
        <v/>
      </c>
      <c r="N3276" s="7" t="n"/>
      <c r="T3276" s="7" t="n"/>
      <c r="U3276" s="7">
        <f>IF($C3276="","",S3276*T3276)</f>
        <v/>
      </c>
      <c r="X3276">
        <f>IF($C3276="","",IF($AM3276=1,0,IF($AL3276=1,Settings!$C$6,Settings!$C$7))*100)</f>
        <v/>
      </c>
      <c r="AB3276" s="7" t="n"/>
      <c r="AE3276" s="11" t="n"/>
      <c r="AG3276" s="7">
        <f>IF($C3276="","",U3276*X3276/100)</f>
        <v/>
      </c>
      <c r="AH3276" s="7">
        <f>IF($C3276="","",U3276-AG3276)</f>
        <v/>
      </c>
      <c r="AI3276" s="7">
        <f>IF($C3276="","",AH3276-M3276)</f>
        <v/>
      </c>
      <c r="AJ3276">
        <f>IF($C3276="","",IF(COUNTIF($C$2:$C3276,$C3276)=1,1,0))</f>
        <v/>
      </c>
      <c r="AK3276">
        <f>IF($AJ3276=1,SUMPRODUCT(--($AN$2:$AN$4001&lt;$AN3276))+1,"")</f>
        <v/>
      </c>
      <c r="AL3276">
        <f>IF($C3276="","",IF(OR($Q3276=TRUE(),$Q3276="TRUE"),1,0))</f>
        <v/>
      </c>
      <c r="AM3276">
        <f>IF($C3276="","",IF($W3276="Yes",1,0))</f>
        <v/>
      </c>
      <c r="AN3276">
        <f>IF($AJ3276=1,IFERROR(IF(VALUE($C3276)&lt;100000000,VALUE($C3276),1000000000),IFERROR(IF(VALUE(MID($C3276,2,20))&lt;100000000,VALUE(MID($C3276,2,20)),1000000000),1000000000))+ROW()/100000,"")</f>
        <v/>
      </c>
    </row>
    <row r="3277">
      <c r="E3277" s="11" t="n"/>
      <c r="M3277" s="7">
        <f>IF($C3277="","",L3277*U3277/100)</f>
        <v/>
      </c>
      <c r="N3277" s="7" t="n"/>
      <c r="T3277" s="7" t="n"/>
      <c r="U3277" s="7">
        <f>IF($C3277="","",S3277*T3277)</f>
        <v/>
      </c>
      <c r="X3277">
        <f>IF($C3277="","",IF($AM3277=1,0,IF($AL3277=1,Settings!$C$6,Settings!$C$7))*100)</f>
        <v/>
      </c>
      <c r="AB3277" s="7" t="n"/>
      <c r="AE3277" s="11" t="n"/>
      <c r="AG3277" s="7">
        <f>IF($C3277="","",U3277*X3277/100)</f>
        <v/>
      </c>
      <c r="AH3277" s="7">
        <f>IF($C3277="","",U3277-AG3277)</f>
        <v/>
      </c>
      <c r="AI3277" s="7">
        <f>IF($C3277="","",AH3277-M3277)</f>
        <v/>
      </c>
      <c r="AJ3277">
        <f>IF($C3277="","",IF(COUNTIF($C$2:$C3277,$C3277)=1,1,0))</f>
        <v/>
      </c>
      <c r="AK3277">
        <f>IF($AJ3277=1,SUMPRODUCT(--($AN$2:$AN$4001&lt;$AN3277))+1,"")</f>
        <v/>
      </c>
      <c r="AL3277">
        <f>IF($C3277="","",IF(OR($Q3277=TRUE(),$Q3277="TRUE"),1,0))</f>
        <v/>
      </c>
      <c r="AM3277">
        <f>IF($C3277="","",IF($W3277="Yes",1,0))</f>
        <v/>
      </c>
      <c r="AN3277">
        <f>IF($AJ3277=1,IFERROR(IF(VALUE($C3277)&lt;100000000,VALUE($C3277),1000000000),IFERROR(IF(VALUE(MID($C3277,2,20))&lt;100000000,VALUE(MID($C3277,2,20)),1000000000),1000000000))+ROW()/100000,"")</f>
        <v/>
      </c>
    </row>
    <row r="3278">
      <c r="E3278" s="11" t="n"/>
      <c r="M3278" s="7">
        <f>IF($C3278="","",L3278*U3278/100)</f>
        <v/>
      </c>
      <c r="N3278" s="7" t="n"/>
      <c r="T3278" s="7" t="n"/>
      <c r="U3278" s="7">
        <f>IF($C3278="","",S3278*T3278)</f>
        <v/>
      </c>
      <c r="X3278">
        <f>IF($C3278="","",IF($AM3278=1,0,IF($AL3278=1,Settings!$C$6,Settings!$C$7))*100)</f>
        <v/>
      </c>
      <c r="AB3278" s="7" t="n"/>
      <c r="AE3278" s="11" t="n"/>
      <c r="AG3278" s="7">
        <f>IF($C3278="","",U3278*X3278/100)</f>
        <v/>
      </c>
      <c r="AH3278" s="7">
        <f>IF($C3278="","",U3278-AG3278)</f>
        <v/>
      </c>
      <c r="AI3278" s="7">
        <f>IF($C3278="","",AH3278-M3278)</f>
        <v/>
      </c>
      <c r="AJ3278">
        <f>IF($C3278="","",IF(COUNTIF($C$2:$C3278,$C3278)=1,1,0))</f>
        <v/>
      </c>
      <c r="AK3278">
        <f>IF($AJ3278=1,SUMPRODUCT(--($AN$2:$AN$4001&lt;$AN3278))+1,"")</f>
        <v/>
      </c>
      <c r="AL3278">
        <f>IF($C3278="","",IF(OR($Q3278=TRUE(),$Q3278="TRUE"),1,0))</f>
        <v/>
      </c>
      <c r="AM3278">
        <f>IF($C3278="","",IF($W3278="Yes",1,0))</f>
        <v/>
      </c>
      <c r="AN3278">
        <f>IF($AJ3278=1,IFERROR(IF(VALUE($C3278)&lt;100000000,VALUE($C3278),1000000000),IFERROR(IF(VALUE(MID($C3278,2,20))&lt;100000000,VALUE(MID($C3278,2,20)),1000000000),1000000000))+ROW()/100000,"")</f>
        <v/>
      </c>
    </row>
    <row r="3279">
      <c r="E3279" s="11" t="n"/>
      <c r="M3279" s="7">
        <f>IF($C3279="","",L3279*U3279/100)</f>
        <v/>
      </c>
      <c r="N3279" s="7" t="n"/>
      <c r="T3279" s="7" t="n"/>
      <c r="U3279" s="7">
        <f>IF($C3279="","",S3279*T3279)</f>
        <v/>
      </c>
      <c r="X3279">
        <f>IF($C3279="","",IF($AM3279=1,0,IF($AL3279=1,Settings!$C$6,Settings!$C$7))*100)</f>
        <v/>
      </c>
      <c r="AB3279" s="7" t="n"/>
      <c r="AE3279" s="11" t="n"/>
      <c r="AG3279" s="7">
        <f>IF($C3279="","",U3279*X3279/100)</f>
        <v/>
      </c>
      <c r="AH3279" s="7">
        <f>IF($C3279="","",U3279-AG3279)</f>
        <v/>
      </c>
      <c r="AI3279" s="7">
        <f>IF($C3279="","",AH3279-M3279)</f>
        <v/>
      </c>
      <c r="AJ3279">
        <f>IF($C3279="","",IF(COUNTIF($C$2:$C3279,$C3279)=1,1,0))</f>
        <v/>
      </c>
      <c r="AK3279">
        <f>IF($AJ3279=1,SUMPRODUCT(--($AN$2:$AN$4001&lt;$AN3279))+1,"")</f>
        <v/>
      </c>
      <c r="AL3279">
        <f>IF($C3279="","",IF(OR($Q3279=TRUE(),$Q3279="TRUE"),1,0))</f>
        <v/>
      </c>
      <c r="AM3279">
        <f>IF($C3279="","",IF($W3279="Yes",1,0))</f>
        <v/>
      </c>
      <c r="AN3279">
        <f>IF($AJ3279=1,IFERROR(IF(VALUE($C3279)&lt;100000000,VALUE($C3279),1000000000),IFERROR(IF(VALUE(MID($C3279,2,20))&lt;100000000,VALUE(MID($C3279,2,20)),1000000000),1000000000))+ROW()/100000,"")</f>
        <v/>
      </c>
    </row>
    <row r="3280">
      <c r="E3280" s="11" t="n"/>
      <c r="M3280" s="7">
        <f>IF($C3280="","",L3280*U3280/100)</f>
        <v/>
      </c>
      <c r="N3280" s="7" t="n"/>
      <c r="T3280" s="7" t="n"/>
      <c r="U3280" s="7">
        <f>IF($C3280="","",S3280*T3280)</f>
        <v/>
      </c>
      <c r="X3280">
        <f>IF($C3280="","",IF($AM3280=1,0,IF($AL3280=1,Settings!$C$6,Settings!$C$7))*100)</f>
        <v/>
      </c>
      <c r="AB3280" s="7" t="n"/>
      <c r="AE3280" s="11" t="n"/>
      <c r="AG3280" s="7">
        <f>IF($C3280="","",U3280*X3280/100)</f>
        <v/>
      </c>
      <c r="AH3280" s="7">
        <f>IF($C3280="","",U3280-AG3280)</f>
        <v/>
      </c>
      <c r="AI3280" s="7">
        <f>IF($C3280="","",AH3280-M3280)</f>
        <v/>
      </c>
      <c r="AJ3280">
        <f>IF($C3280="","",IF(COUNTIF($C$2:$C3280,$C3280)=1,1,0))</f>
        <v/>
      </c>
      <c r="AK3280">
        <f>IF($AJ3280=1,SUMPRODUCT(--($AN$2:$AN$4001&lt;$AN3280))+1,"")</f>
        <v/>
      </c>
      <c r="AL3280">
        <f>IF($C3280="","",IF(OR($Q3280=TRUE(),$Q3280="TRUE"),1,0))</f>
        <v/>
      </c>
      <c r="AM3280">
        <f>IF($C3280="","",IF($W3280="Yes",1,0))</f>
        <v/>
      </c>
      <c r="AN3280">
        <f>IF($AJ3280=1,IFERROR(IF(VALUE($C3280)&lt;100000000,VALUE($C3280),1000000000),IFERROR(IF(VALUE(MID($C3280,2,20))&lt;100000000,VALUE(MID($C3280,2,20)),1000000000),1000000000))+ROW()/100000,"")</f>
        <v/>
      </c>
    </row>
    <row r="3281">
      <c r="E3281" s="11" t="n"/>
      <c r="M3281" s="7">
        <f>IF($C3281="","",L3281*U3281/100)</f>
        <v/>
      </c>
      <c r="N3281" s="7" t="n"/>
      <c r="T3281" s="7" t="n"/>
      <c r="U3281" s="7">
        <f>IF($C3281="","",S3281*T3281)</f>
        <v/>
      </c>
      <c r="X3281">
        <f>IF($C3281="","",IF($AM3281=1,0,IF($AL3281=1,Settings!$C$6,Settings!$C$7))*100)</f>
        <v/>
      </c>
      <c r="AB3281" s="7" t="n"/>
      <c r="AE3281" s="11" t="n"/>
      <c r="AG3281" s="7">
        <f>IF($C3281="","",U3281*X3281/100)</f>
        <v/>
      </c>
      <c r="AH3281" s="7">
        <f>IF($C3281="","",U3281-AG3281)</f>
        <v/>
      </c>
      <c r="AI3281" s="7">
        <f>IF($C3281="","",AH3281-M3281)</f>
        <v/>
      </c>
      <c r="AJ3281">
        <f>IF($C3281="","",IF(COUNTIF($C$2:$C3281,$C3281)=1,1,0))</f>
        <v/>
      </c>
      <c r="AK3281">
        <f>IF($AJ3281=1,SUMPRODUCT(--($AN$2:$AN$4001&lt;$AN3281))+1,"")</f>
        <v/>
      </c>
      <c r="AL3281">
        <f>IF($C3281="","",IF(OR($Q3281=TRUE(),$Q3281="TRUE"),1,0))</f>
        <v/>
      </c>
      <c r="AM3281">
        <f>IF($C3281="","",IF($W3281="Yes",1,0))</f>
        <v/>
      </c>
      <c r="AN3281">
        <f>IF($AJ3281=1,IFERROR(IF(VALUE($C3281)&lt;100000000,VALUE($C3281),1000000000),IFERROR(IF(VALUE(MID($C3281,2,20))&lt;100000000,VALUE(MID($C3281,2,20)),1000000000),1000000000))+ROW()/100000,"")</f>
        <v/>
      </c>
    </row>
    <row r="3282">
      <c r="E3282" s="11" t="n"/>
      <c r="M3282" s="7">
        <f>IF($C3282="","",L3282*U3282/100)</f>
        <v/>
      </c>
      <c r="N3282" s="7" t="n"/>
      <c r="T3282" s="7" t="n"/>
      <c r="U3282" s="7">
        <f>IF($C3282="","",S3282*T3282)</f>
        <v/>
      </c>
      <c r="X3282">
        <f>IF($C3282="","",IF($AM3282=1,0,IF($AL3282=1,Settings!$C$6,Settings!$C$7))*100)</f>
        <v/>
      </c>
      <c r="AB3282" s="7" t="n"/>
      <c r="AE3282" s="11" t="n"/>
      <c r="AG3282" s="7">
        <f>IF($C3282="","",U3282*X3282/100)</f>
        <v/>
      </c>
      <c r="AH3282" s="7">
        <f>IF($C3282="","",U3282-AG3282)</f>
        <v/>
      </c>
      <c r="AI3282" s="7">
        <f>IF($C3282="","",AH3282-M3282)</f>
        <v/>
      </c>
      <c r="AJ3282">
        <f>IF($C3282="","",IF(COUNTIF($C$2:$C3282,$C3282)=1,1,0))</f>
        <v/>
      </c>
      <c r="AK3282">
        <f>IF($AJ3282=1,SUMPRODUCT(--($AN$2:$AN$4001&lt;$AN3282))+1,"")</f>
        <v/>
      </c>
      <c r="AL3282">
        <f>IF($C3282="","",IF(OR($Q3282=TRUE(),$Q3282="TRUE"),1,0))</f>
        <v/>
      </c>
      <c r="AM3282">
        <f>IF($C3282="","",IF($W3282="Yes",1,0))</f>
        <v/>
      </c>
      <c r="AN3282">
        <f>IF($AJ3282=1,IFERROR(IF(VALUE($C3282)&lt;100000000,VALUE($C3282),1000000000),IFERROR(IF(VALUE(MID($C3282,2,20))&lt;100000000,VALUE(MID($C3282,2,20)),1000000000),1000000000))+ROW()/100000,"")</f>
        <v/>
      </c>
    </row>
    <row r="3283">
      <c r="E3283" s="11" t="n"/>
      <c r="M3283" s="7">
        <f>IF($C3283="","",L3283*U3283/100)</f>
        <v/>
      </c>
      <c r="N3283" s="7" t="n"/>
      <c r="T3283" s="7" t="n"/>
      <c r="U3283" s="7">
        <f>IF($C3283="","",S3283*T3283)</f>
        <v/>
      </c>
      <c r="X3283">
        <f>IF($C3283="","",IF($AM3283=1,0,IF($AL3283=1,Settings!$C$6,Settings!$C$7))*100)</f>
        <v/>
      </c>
      <c r="AB3283" s="7" t="n"/>
      <c r="AE3283" s="11" t="n"/>
      <c r="AG3283" s="7">
        <f>IF($C3283="","",U3283*X3283/100)</f>
        <v/>
      </c>
      <c r="AH3283" s="7">
        <f>IF($C3283="","",U3283-AG3283)</f>
        <v/>
      </c>
      <c r="AI3283" s="7">
        <f>IF($C3283="","",AH3283-M3283)</f>
        <v/>
      </c>
      <c r="AJ3283">
        <f>IF($C3283="","",IF(COUNTIF($C$2:$C3283,$C3283)=1,1,0))</f>
        <v/>
      </c>
      <c r="AK3283">
        <f>IF($AJ3283=1,SUMPRODUCT(--($AN$2:$AN$4001&lt;$AN3283))+1,"")</f>
        <v/>
      </c>
      <c r="AL3283">
        <f>IF($C3283="","",IF(OR($Q3283=TRUE(),$Q3283="TRUE"),1,0))</f>
        <v/>
      </c>
      <c r="AM3283">
        <f>IF($C3283="","",IF($W3283="Yes",1,0))</f>
        <v/>
      </c>
      <c r="AN3283">
        <f>IF($AJ3283=1,IFERROR(IF(VALUE($C3283)&lt;100000000,VALUE($C3283),1000000000),IFERROR(IF(VALUE(MID($C3283,2,20))&lt;100000000,VALUE(MID($C3283,2,20)),1000000000),1000000000))+ROW()/100000,"")</f>
        <v/>
      </c>
    </row>
    <row r="3284">
      <c r="E3284" s="11" t="n"/>
      <c r="M3284" s="7">
        <f>IF($C3284="","",L3284*U3284/100)</f>
        <v/>
      </c>
      <c r="N3284" s="7" t="n"/>
      <c r="T3284" s="7" t="n"/>
      <c r="U3284" s="7">
        <f>IF($C3284="","",S3284*T3284)</f>
        <v/>
      </c>
      <c r="X3284">
        <f>IF($C3284="","",IF($AM3284=1,0,IF($AL3284=1,Settings!$C$6,Settings!$C$7))*100)</f>
        <v/>
      </c>
      <c r="AB3284" s="7" t="n"/>
      <c r="AE3284" s="11" t="n"/>
      <c r="AG3284" s="7">
        <f>IF($C3284="","",U3284*X3284/100)</f>
        <v/>
      </c>
      <c r="AH3284" s="7">
        <f>IF($C3284="","",U3284-AG3284)</f>
        <v/>
      </c>
      <c r="AI3284" s="7">
        <f>IF($C3284="","",AH3284-M3284)</f>
        <v/>
      </c>
      <c r="AJ3284">
        <f>IF($C3284="","",IF(COUNTIF($C$2:$C3284,$C3284)=1,1,0))</f>
        <v/>
      </c>
      <c r="AK3284">
        <f>IF($AJ3284=1,SUMPRODUCT(--($AN$2:$AN$4001&lt;$AN3284))+1,"")</f>
        <v/>
      </c>
      <c r="AL3284">
        <f>IF($C3284="","",IF(OR($Q3284=TRUE(),$Q3284="TRUE"),1,0))</f>
        <v/>
      </c>
      <c r="AM3284">
        <f>IF($C3284="","",IF($W3284="Yes",1,0))</f>
        <v/>
      </c>
      <c r="AN3284">
        <f>IF($AJ3284=1,IFERROR(IF(VALUE($C3284)&lt;100000000,VALUE($C3284),1000000000),IFERROR(IF(VALUE(MID($C3284,2,20))&lt;100000000,VALUE(MID($C3284,2,20)),1000000000),1000000000))+ROW()/100000,"")</f>
        <v/>
      </c>
    </row>
    <row r="3285">
      <c r="E3285" s="11" t="n"/>
      <c r="M3285" s="7">
        <f>IF($C3285="","",L3285*U3285/100)</f>
        <v/>
      </c>
      <c r="N3285" s="7" t="n"/>
      <c r="T3285" s="7" t="n"/>
      <c r="U3285" s="7">
        <f>IF($C3285="","",S3285*T3285)</f>
        <v/>
      </c>
      <c r="X3285">
        <f>IF($C3285="","",IF($AM3285=1,0,IF($AL3285=1,Settings!$C$6,Settings!$C$7))*100)</f>
        <v/>
      </c>
      <c r="AB3285" s="7" t="n"/>
      <c r="AE3285" s="11" t="n"/>
      <c r="AG3285" s="7">
        <f>IF($C3285="","",U3285*X3285/100)</f>
        <v/>
      </c>
      <c r="AH3285" s="7">
        <f>IF($C3285="","",U3285-AG3285)</f>
        <v/>
      </c>
      <c r="AI3285" s="7">
        <f>IF($C3285="","",AH3285-M3285)</f>
        <v/>
      </c>
      <c r="AJ3285">
        <f>IF($C3285="","",IF(COUNTIF($C$2:$C3285,$C3285)=1,1,0))</f>
        <v/>
      </c>
      <c r="AK3285">
        <f>IF($AJ3285=1,SUMPRODUCT(--($AN$2:$AN$4001&lt;$AN3285))+1,"")</f>
        <v/>
      </c>
      <c r="AL3285">
        <f>IF($C3285="","",IF(OR($Q3285=TRUE(),$Q3285="TRUE"),1,0))</f>
        <v/>
      </c>
      <c r="AM3285">
        <f>IF($C3285="","",IF($W3285="Yes",1,0))</f>
        <v/>
      </c>
      <c r="AN3285">
        <f>IF($AJ3285=1,IFERROR(IF(VALUE($C3285)&lt;100000000,VALUE($C3285),1000000000),IFERROR(IF(VALUE(MID($C3285,2,20))&lt;100000000,VALUE(MID($C3285,2,20)),1000000000),1000000000))+ROW()/100000,"")</f>
        <v/>
      </c>
    </row>
    <row r="3286">
      <c r="E3286" s="11" t="n"/>
      <c r="M3286" s="7">
        <f>IF($C3286="","",L3286*U3286/100)</f>
        <v/>
      </c>
      <c r="N3286" s="7" t="n"/>
      <c r="T3286" s="7" t="n"/>
      <c r="U3286" s="7">
        <f>IF($C3286="","",S3286*T3286)</f>
        <v/>
      </c>
      <c r="X3286">
        <f>IF($C3286="","",IF($AM3286=1,0,IF($AL3286=1,Settings!$C$6,Settings!$C$7))*100)</f>
        <v/>
      </c>
      <c r="AB3286" s="7" t="n"/>
      <c r="AE3286" s="11" t="n"/>
      <c r="AG3286" s="7">
        <f>IF($C3286="","",U3286*X3286/100)</f>
        <v/>
      </c>
      <c r="AH3286" s="7">
        <f>IF($C3286="","",U3286-AG3286)</f>
        <v/>
      </c>
      <c r="AI3286" s="7">
        <f>IF($C3286="","",AH3286-M3286)</f>
        <v/>
      </c>
      <c r="AJ3286">
        <f>IF($C3286="","",IF(COUNTIF($C$2:$C3286,$C3286)=1,1,0))</f>
        <v/>
      </c>
      <c r="AK3286">
        <f>IF($AJ3286=1,SUMPRODUCT(--($AN$2:$AN$4001&lt;$AN3286))+1,"")</f>
        <v/>
      </c>
      <c r="AL3286">
        <f>IF($C3286="","",IF(OR($Q3286=TRUE(),$Q3286="TRUE"),1,0))</f>
        <v/>
      </c>
      <c r="AM3286">
        <f>IF($C3286="","",IF($W3286="Yes",1,0))</f>
        <v/>
      </c>
      <c r="AN3286">
        <f>IF($AJ3286=1,IFERROR(IF(VALUE($C3286)&lt;100000000,VALUE($C3286),1000000000),IFERROR(IF(VALUE(MID($C3286,2,20))&lt;100000000,VALUE(MID($C3286,2,20)),1000000000),1000000000))+ROW()/100000,"")</f>
        <v/>
      </c>
    </row>
    <row r="3287">
      <c r="E3287" s="11" t="n"/>
      <c r="M3287" s="7">
        <f>IF($C3287="","",L3287*U3287/100)</f>
        <v/>
      </c>
      <c r="N3287" s="7" t="n"/>
      <c r="T3287" s="7" t="n"/>
      <c r="U3287" s="7">
        <f>IF($C3287="","",S3287*T3287)</f>
        <v/>
      </c>
      <c r="X3287">
        <f>IF($C3287="","",IF($AM3287=1,0,IF($AL3287=1,Settings!$C$6,Settings!$C$7))*100)</f>
        <v/>
      </c>
      <c r="AB3287" s="7" t="n"/>
      <c r="AE3287" s="11" t="n"/>
      <c r="AG3287" s="7">
        <f>IF($C3287="","",U3287*X3287/100)</f>
        <v/>
      </c>
      <c r="AH3287" s="7">
        <f>IF($C3287="","",U3287-AG3287)</f>
        <v/>
      </c>
      <c r="AI3287" s="7">
        <f>IF($C3287="","",AH3287-M3287)</f>
        <v/>
      </c>
      <c r="AJ3287">
        <f>IF($C3287="","",IF(COUNTIF($C$2:$C3287,$C3287)=1,1,0))</f>
        <v/>
      </c>
      <c r="AK3287">
        <f>IF($AJ3287=1,SUMPRODUCT(--($AN$2:$AN$4001&lt;$AN3287))+1,"")</f>
        <v/>
      </c>
      <c r="AL3287">
        <f>IF($C3287="","",IF(OR($Q3287=TRUE(),$Q3287="TRUE"),1,0))</f>
        <v/>
      </c>
      <c r="AM3287">
        <f>IF($C3287="","",IF($W3287="Yes",1,0))</f>
        <v/>
      </c>
      <c r="AN3287">
        <f>IF($AJ3287=1,IFERROR(IF(VALUE($C3287)&lt;100000000,VALUE($C3287),1000000000),IFERROR(IF(VALUE(MID($C3287,2,20))&lt;100000000,VALUE(MID($C3287,2,20)),1000000000),1000000000))+ROW()/100000,"")</f>
        <v/>
      </c>
    </row>
    <row r="3288">
      <c r="E3288" s="11" t="n"/>
      <c r="M3288" s="7">
        <f>IF($C3288="","",L3288*U3288/100)</f>
        <v/>
      </c>
      <c r="N3288" s="7" t="n"/>
      <c r="T3288" s="7" t="n"/>
      <c r="U3288" s="7">
        <f>IF($C3288="","",S3288*T3288)</f>
        <v/>
      </c>
      <c r="X3288">
        <f>IF($C3288="","",IF($AM3288=1,0,IF($AL3288=1,Settings!$C$6,Settings!$C$7))*100)</f>
        <v/>
      </c>
      <c r="AB3288" s="7" t="n"/>
      <c r="AE3288" s="11" t="n"/>
      <c r="AG3288" s="7">
        <f>IF($C3288="","",U3288*X3288/100)</f>
        <v/>
      </c>
      <c r="AH3288" s="7">
        <f>IF($C3288="","",U3288-AG3288)</f>
        <v/>
      </c>
      <c r="AI3288" s="7">
        <f>IF($C3288="","",AH3288-M3288)</f>
        <v/>
      </c>
      <c r="AJ3288">
        <f>IF($C3288="","",IF(COUNTIF($C$2:$C3288,$C3288)=1,1,0))</f>
        <v/>
      </c>
      <c r="AK3288">
        <f>IF($AJ3288=1,SUMPRODUCT(--($AN$2:$AN$4001&lt;$AN3288))+1,"")</f>
        <v/>
      </c>
      <c r="AL3288">
        <f>IF($C3288="","",IF(OR($Q3288=TRUE(),$Q3288="TRUE"),1,0))</f>
        <v/>
      </c>
      <c r="AM3288">
        <f>IF($C3288="","",IF($W3288="Yes",1,0))</f>
        <v/>
      </c>
      <c r="AN3288">
        <f>IF($AJ3288=1,IFERROR(IF(VALUE($C3288)&lt;100000000,VALUE($C3288),1000000000),IFERROR(IF(VALUE(MID($C3288,2,20))&lt;100000000,VALUE(MID($C3288,2,20)),1000000000),1000000000))+ROW()/100000,"")</f>
        <v/>
      </c>
    </row>
    <row r="3289">
      <c r="E3289" s="11" t="n"/>
      <c r="M3289" s="7">
        <f>IF($C3289="","",L3289*U3289/100)</f>
        <v/>
      </c>
      <c r="N3289" s="7" t="n"/>
      <c r="T3289" s="7" t="n"/>
      <c r="U3289" s="7">
        <f>IF($C3289="","",S3289*T3289)</f>
        <v/>
      </c>
      <c r="X3289">
        <f>IF($C3289="","",IF($AM3289=1,0,IF($AL3289=1,Settings!$C$6,Settings!$C$7))*100)</f>
        <v/>
      </c>
      <c r="AB3289" s="7" t="n"/>
      <c r="AE3289" s="11" t="n"/>
      <c r="AG3289" s="7">
        <f>IF($C3289="","",U3289*X3289/100)</f>
        <v/>
      </c>
      <c r="AH3289" s="7">
        <f>IF($C3289="","",U3289-AG3289)</f>
        <v/>
      </c>
      <c r="AI3289" s="7">
        <f>IF($C3289="","",AH3289-M3289)</f>
        <v/>
      </c>
      <c r="AJ3289">
        <f>IF($C3289="","",IF(COUNTIF($C$2:$C3289,$C3289)=1,1,0))</f>
        <v/>
      </c>
      <c r="AK3289">
        <f>IF($AJ3289=1,SUMPRODUCT(--($AN$2:$AN$4001&lt;$AN3289))+1,"")</f>
        <v/>
      </c>
      <c r="AL3289">
        <f>IF($C3289="","",IF(OR($Q3289=TRUE(),$Q3289="TRUE"),1,0))</f>
        <v/>
      </c>
      <c r="AM3289">
        <f>IF($C3289="","",IF($W3289="Yes",1,0))</f>
        <v/>
      </c>
      <c r="AN3289">
        <f>IF($AJ3289=1,IFERROR(IF(VALUE($C3289)&lt;100000000,VALUE($C3289),1000000000),IFERROR(IF(VALUE(MID($C3289,2,20))&lt;100000000,VALUE(MID($C3289,2,20)),1000000000),1000000000))+ROW()/100000,"")</f>
        <v/>
      </c>
    </row>
    <row r="3290">
      <c r="E3290" s="11" t="n"/>
      <c r="M3290" s="7">
        <f>IF($C3290="","",L3290*U3290/100)</f>
        <v/>
      </c>
      <c r="N3290" s="7" t="n"/>
      <c r="T3290" s="7" t="n"/>
      <c r="U3290" s="7">
        <f>IF($C3290="","",S3290*T3290)</f>
        <v/>
      </c>
      <c r="X3290">
        <f>IF($C3290="","",IF($AM3290=1,0,IF($AL3290=1,Settings!$C$6,Settings!$C$7))*100)</f>
        <v/>
      </c>
      <c r="AB3290" s="7" t="n"/>
      <c r="AE3290" s="11" t="n"/>
      <c r="AG3290" s="7">
        <f>IF($C3290="","",U3290*X3290/100)</f>
        <v/>
      </c>
      <c r="AH3290" s="7">
        <f>IF($C3290="","",U3290-AG3290)</f>
        <v/>
      </c>
      <c r="AI3290" s="7">
        <f>IF($C3290="","",AH3290-M3290)</f>
        <v/>
      </c>
      <c r="AJ3290">
        <f>IF($C3290="","",IF(COUNTIF($C$2:$C3290,$C3290)=1,1,0))</f>
        <v/>
      </c>
      <c r="AK3290">
        <f>IF($AJ3290=1,SUMPRODUCT(--($AN$2:$AN$4001&lt;$AN3290))+1,"")</f>
        <v/>
      </c>
      <c r="AL3290">
        <f>IF($C3290="","",IF(OR($Q3290=TRUE(),$Q3290="TRUE"),1,0))</f>
        <v/>
      </c>
      <c r="AM3290">
        <f>IF($C3290="","",IF($W3290="Yes",1,0))</f>
        <v/>
      </c>
      <c r="AN3290">
        <f>IF($AJ3290=1,IFERROR(IF(VALUE($C3290)&lt;100000000,VALUE($C3290),1000000000),IFERROR(IF(VALUE(MID($C3290,2,20))&lt;100000000,VALUE(MID($C3290,2,20)),1000000000),1000000000))+ROW()/100000,"")</f>
        <v/>
      </c>
    </row>
    <row r="3291">
      <c r="E3291" s="11" t="n"/>
      <c r="M3291" s="7">
        <f>IF($C3291="","",L3291*U3291/100)</f>
        <v/>
      </c>
      <c r="N3291" s="7" t="n"/>
      <c r="T3291" s="7" t="n"/>
      <c r="U3291" s="7">
        <f>IF($C3291="","",S3291*T3291)</f>
        <v/>
      </c>
      <c r="X3291">
        <f>IF($C3291="","",IF($AM3291=1,0,IF($AL3291=1,Settings!$C$6,Settings!$C$7))*100)</f>
        <v/>
      </c>
      <c r="AB3291" s="7" t="n"/>
      <c r="AE3291" s="11" t="n"/>
      <c r="AG3291" s="7">
        <f>IF($C3291="","",U3291*X3291/100)</f>
        <v/>
      </c>
      <c r="AH3291" s="7">
        <f>IF($C3291="","",U3291-AG3291)</f>
        <v/>
      </c>
      <c r="AI3291" s="7">
        <f>IF($C3291="","",AH3291-M3291)</f>
        <v/>
      </c>
      <c r="AJ3291">
        <f>IF($C3291="","",IF(COUNTIF($C$2:$C3291,$C3291)=1,1,0))</f>
        <v/>
      </c>
      <c r="AK3291">
        <f>IF($AJ3291=1,SUMPRODUCT(--($AN$2:$AN$4001&lt;$AN3291))+1,"")</f>
        <v/>
      </c>
      <c r="AL3291">
        <f>IF($C3291="","",IF(OR($Q3291=TRUE(),$Q3291="TRUE"),1,0))</f>
        <v/>
      </c>
      <c r="AM3291">
        <f>IF($C3291="","",IF($W3291="Yes",1,0))</f>
        <v/>
      </c>
      <c r="AN3291">
        <f>IF($AJ3291=1,IFERROR(IF(VALUE($C3291)&lt;100000000,VALUE($C3291),1000000000),IFERROR(IF(VALUE(MID($C3291,2,20))&lt;100000000,VALUE(MID($C3291,2,20)),1000000000),1000000000))+ROW()/100000,"")</f>
        <v/>
      </c>
    </row>
    <row r="3292">
      <c r="E3292" s="11" t="n"/>
      <c r="M3292" s="7">
        <f>IF($C3292="","",L3292*U3292/100)</f>
        <v/>
      </c>
      <c r="N3292" s="7" t="n"/>
      <c r="T3292" s="7" t="n"/>
      <c r="U3292" s="7">
        <f>IF($C3292="","",S3292*T3292)</f>
        <v/>
      </c>
      <c r="X3292">
        <f>IF($C3292="","",IF($AM3292=1,0,IF($AL3292=1,Settings!$C$6,Settings!$C$7))*100)</f>
        <v/>
      </c>
      <c r="AB3292" s="7" t="n"/>
      <c r="AE3292" s="11" t="n"/>
      <c r="AG3292" s="7">
        <f>IF($C3292="","",U3292*X3292/100)</f>
        <v/>
      </c>
      <c r="AH3292" s="7">
        <f>IF($C3292="","",U3292-AG3292)</f>
        <v/>
      </c>
      <c r="AI3292" s="7">
        <f>IF($C3292="","",AH3292-M3292)</f>
        <v/>
      </c>
      <c r="AJ3292">
        <f>IF($C3292="","",IF(COUNTIF($C$2:$C3292,$C3292)=1,1,0))</f>
        <v/>
      </c>
      <c r="AK3292">
        <f>IF($AJ3292=1,SUMPRODUCT(--($AN$2:$AN$4001&lt;$AN3292))+1,"")</f>
        <v/>
      </c>
      <c r="AL3292">
        <f>IF($C3292="","",IF(OR($Q3292=TRUE(),$Q3292="TRUE"),1,0))</f>
        <v/>
      </c>
      <c r="AM3292">
        <f>IF($C3292="","",IF($W3292="Yes",1,0))</f>
        <v/>
      </c>
      <c r="AN3292">
        <f>IF($AJ3292=1,IFERROR(IF(VALUE($C3292)&lt;100000000,VALUE($C3292),1000000000),IFERROR(IF(VALUE(MID($C3292,2,20))&lt;100000000,VALUE(MID($C3292,2,20)),1000000000),1000000000))+ROW()/100000,"")</f>
        <v/>
      </c>
    </row>
    <row r="3293">
      <c r="E3293" s="11" t="n"/>
      <c r="M3293" s="7">
        <f>IF($C3293="","",L3293*U3293/100)</f>
        <v/>
      </c>
      <c r="N3293" s="7" t="n"/>
      <c r="T3293" s="7" t="n"/>
      <c r="U3293" s="7">
        <f>IF($C3293="","",S3293*T3293)</f>
        <v/>
      </c>
      <c r="X3293">
        <f>IF($C3293="","",IF($AM3293=1,0,IF($AL3293=1,Settings!$C$6,Settings!$C$7))*100)</f>
        <v/>
      </c>
      <c r="AB3293" s="7" t="n"/>
      <c r="AE3293" s="11" t="n"/>
      <c r="AG3293" s="7">
        <f>IF($C3293="","",U3293*X3293/100)</f>
        <v/>
      </c>
      <c r="AH3293" s="7">
        <f>IF($C3293="","",U3293-AG3293)</f>
        <v/>
      </c>
      <c r="AI3293" s="7">
        <f>IF($C3293="","",AH3293-M3293)</f>
        <v/>
      </c>
      <c r="AJ3293">
        <f>IF($C3293="","",IF(COUNTIF($C$2:$C3293,$C3293)=1,1,0))</f>
        <v/>
      </c>
      <c r="AK3293">
        <f>IF($AJ3293=1,SUMPRODUCT(--($AN$2:$AN$4001&lt;$AN3293))+1,"")</f>
        <v/>
      </c>
      <c r="AL3293">
        <f>IF($C3293="","",IF(OR($Q3293=TRUE(),$Q3293="TRUE"),1,0))</f>
        <v/>
      </c>
      <c r="AM3293">
        <f>IF($C3293="","",IF($W3293="Yes",1,0))</f>
        <v/>
      </c>
      <c r="AN3293">
        <f>IF($AJ3293=1,IFERROR(IF(VALUE($C3293)&lt;100000000,VALUE($C3293),1000000000),IFERROR(IF(VALUE(MID($C3293,2,20))&lt;100000000,VALUE(MID($C3293,2,20)),1000000000),1000000000))+ROW()/100000,"")</f>
        <v/>
      </c>
    </row>
    <row r="3294">
      <c r="E3294" s="11" t="n"/>
      <c r="M3294" s="7">
        <f>IF($C3294="","",L3294*U3294/100)</f>
        <v/>
      </c>
      <c r="N3294" s="7" t="n"/>
      <c r="T3294" s="7" t="n"/>
      <c r="U3294" s="7">
        <f>IF($C3294="","",S3294*T3294)</f>
        <v/>
      </c>
      <c r="X3294">
        <f>IF($C3294="","",IF($AM3294=1,0,IF($AL3294=1,Settings!$C$6,Settings!$C$7))*100)</f>
        <v/>
      </c>
      <c r="AB3294" s="7" t="n"/>
      <c r="AE3294" s="11" t="n"/>
      <c r="AG3294" s="7">
        <f>IF($C3294="","",U3294*X3294/100)</f>
        <v/>
      </c>
      <c r="AH3294" s="7">
        <f>IF($C3294="","",U3294-AG3294)</f>
        <v/>
      </c>
      <c r="AI3294" s="7">
        <f>IF($C3294="","",AH3294-M3294)</f>
        <v/>
      </c>
      <c r="AJ3294">
        <f>IF($C3294="","",IF(COUNTIF($C$2:$C3294,$C3294)=1,1,0))</f>
        <v/>
      </c>
      <c r="AK3294">
        <f>IF($AJ3294=1,SUMPRODUCT(--($AN$2:$AN$4001&lt;$AN3294))+1,"")</f>
        <v/>
      </c>
      <c r="AL3294">
        <f>IF($C3294="","",IF(OR($Q3294=TRUE(),$Q3294="TRUE"),1,0))</f>
        <v/>
      </c>
      <c r="AM3294">
        <f>IF($C3294="","",IF($W3294="Yes",1,0))</f>
        <v/>
      </c>
      <c r="AN3294">
        <f>IF($AJ3294=1,IFERROR(IF(VALUE($C3294)&lt;100000000,VALUE($C3294),1000000000),IFERROR(IF(VALUE(MID($C3294,2,20))&lt;100000000,VALUE(MID($C3294,2,20)),1000000000),1000000000))+ROW()/100000,"")</f>
        <v/>
      </c>
    </row>
    <row r="3295">
      <c r="E3295" s="11" t="n"/>
      <c r="M3295" s="7">
        <f>IF($C3295="","",L3295*U3295/100)</f>
        <v/>
      </c>
      <c r="N3295" s="7" t="n"/>
      <c r="T3295" s="7" t="n"/>
      <c r="U3295" s="7">
        <f>IF($C3295="","",S3295*T3295)</f>
        <v/>
      </c>
      <c r="X3295">
        <f>IF($C3295="","",IF($AM3295=1,0,IF($AL3295=1,Settings!$C$6,Settings!$C$7))*100)</f>
        <v/>
      </c>
      <c r="AB3295" s="7" t="n"/>
      <c r="AE3295" s="11" t="n"/>
      <c r="AG3295" s="7">
        <f>IF($C3295="","",U3295*X3295/100)</f>
        <v/>
      </c>
      <c r="AH3295" s="7">
        <f>IF($C3295="","",U3295-AG3295)</f>
        <v/>
      </c>
      <c r="AI3295" s="7">
        <f>IF($C3295="","",AH3295-M3295)</f>
        <v/>
      </c>
      <c r="AJ3295">
        <f>IF($C3295="","",IF(COUNTIF($C$2:$C3295,$C3295)=1,1,0))</f>
        <v/>
      </c>
      <c r="AK3295">
        <f>IF($AJ3295=1,SUMPRODUCT(--($AN$2:$AN$4001&lt;$AN3295))+1,"")</f>
        <v/>
      </c>
      <c r="AL3295">
        <f>IF($C3295="","",IF(OR($Q3295=TRUE(),$Q3295="TRUE"),1,0))</f>
        <v/>
      </c>
      <c r="AM3295">
        <f>IF($C3295="","",IF($W3295="Yes",1,0))</f>
        <v/>
      </c>
      <c r="AN3295">
        <f>IF($AJ3295=1,IFERROR(IF(VALUE($C3295)&lt;100000000,VALUE($C3295),1000000000),IFERROR(IF(VALUE(MID($C3295,2,20))&lt;100000000,VALUE(MID($C3295,2,20)),1000000000),1000000000))+ROW()/100000,"")</f>
        <v/>
      </c>
    </row>
    <row r="3296">
      <c r="E3296" s="11" t="n"/>
      <c r="M3296" s="7">
        <f>IF($C3296="","",L3296*U3296/100)</f>
        <v/>
      </c>
      <c r="N3296" s="7" t="n"/>
      <c r="T3296" s="7" t="n"/>
      <c r="U3296" s="7">
        <f>IF($C3296="","",S3296*T3296)</f>
        <v/>
      </c>
      <c r="X3296">
        <f>IF($C3296="","",IF($AM3296=1,0,IF($AL3296=1,Settings!$C$6,Settings!$C$7))*100)</f>
        <v/>
      </c>
      <c r="AB3296" s="7" t="n"/>
      <c r="AE3296" s="11" t="n"/>
      <c r="AG3296" s="7">
        <f>IF($C3296="","",U3296*X3296/100)</f>
        <v/>
      </c>
      <c r="AH3296" s="7">
        <f>IF($C3296="","",U3296-AG3296)</f>
        <v/>
      </c>
      <c r="AI3296" s="7">
        <f>IF($C3296="","",AH3296-M3296)</f>
        <v/>
      </c>
      <c r="AJ3296">
        <f>IF($C3296="","",IF(COUNTIF($C$2:$C3296,$C3296)=1,1,0))</f>
        <v/>
      </c>
      <c r="AK3296">
        <f>IF($AJ3296=1,SUMPRODUCT(--($AN$2:$AN$4001&lt;$AN3296))+1,"")</f>
        <v/>
      </c>
      <c r="AL3296">
        <f>IF($C3296="","",IF(OR($Q3296=TRUE(),$Q3296="TRUE"),1,0))</f>
        <v/>
      </c>
      <c r="AM3296">
        <f>IF($C3296="","",IF($W3296="Yes",1,0))</f>
        <v/>
      </c>
      <c r="AN3296">
        <f>IF($AJ3296=1,IFERROR(IF(VALUE($C3296)&lt;100000000,VALUE($C3296),1000000000),IFERROR(IF(VALUE(MID($C3296,2,20))&lt;100000000,VALUE(MID($C3296,2,20)),1000000000),1000000000))+ROW()/100000,"")</f>
        <v/>
      </c>
    </row>
    <row r="3297">
      <c r="E3297" s="11" t="n"/>
      <c r="M3297" s="7">
        <f>IF($C3297="","",L3297*U3297/100)</f>
        <v/>
      </c>
      <c r="N3297" s="7" t="n"/>
      <c r="T3297" s="7" t="n"/>
      <c r="U3297" s="7">
        <f>IF($C3297="","",S3297*T3297)</f>
        <v/>
      </c>
      <c r="X3297">
        <f>IF($C3297="","",IF($AM3297=1,0,IF($AL3297=1,Settings!$C$6,Settings!$C$7))*100)</f>
        <v/>
      </c>
      <c r="AB3297" s="7" t="n"/>
      <c r="AE3297" s="11" t="n"/>
      <c r="AG3297" s="7">
        <f>IF($C3297="","",U3297*X3297/100)</f>
        <v/>
      </c>
      <c r="AH3297" s="7">
        <f>IF($C3297="","",U3297-AG3297)</f>
        <v/>
      </c>
      <c r="AI3297" s="7">
        <f>IF($C3297="","",AH3297-M3297)</f>
        <v/>
      </c>
      <c r="AJ3297">
        <f>IF($C3297="","",IF(COUNTIF($C$2:$C3297,$C3297)=1,1,0))</f>
        <v/>
      </c>
      <c r="AK3297">
        <f>IF($AJ3297=1,SUMPRODUCT(--($AN$2:$AN$4001&lt;$AN3297))+1,"")</f>
        <v/>
      </c>
      <c r="AL3297">
        <f>IF($C3297="","",IF(OR($Q3297=TRUE(),$Q3297="TRUE"),1,0))</f>
        <v/>
      </c>
      <c r="AM3297">
        <f>IF($C3297="","",IF($W3297="Yes",1,0))</f>
        <v/>
      </c>
      <c r="AN3297">
        <f>IF($AJ3297=1,IFERROR(IF(VALUE($C3297)&lt;100000000,VALUE($C3297),1000000000),IFERROR(IF(VALUE(MID($C3297,2,20))&lt;100000000,VALUE(MID($C3297,2,20)),1000000000),1000000000))+ROW()/100000,"")</f>
        <v/>
      </c>
    </row>
    <row r="3298">
      <c r="E3298" s="11" t="n"/>
      <c r="M3298" s="7">
        <f>IF($C3298="","",L3298*U3298/100)</f>
        <v/>
      </c>
      <c r="N3298" s="7" t="n"/>
      <c r="T3298" s="7" t="n"/>
      <c r="U3298" s="7">
        <f>IF($C3298="","",S3298*T3298)</f>
        <v/>
      </c>
      <c r="X3298">
        <f>IF($C3298="","",IF($AM3298=1,0,IF($AL3298=1,Settings!$C$6,Settings!$C$7))*100)</f>
        <v/>
      </c>
      <c r="AB3298" s="7" t="n"/>
      <c r="AE3298" s="11" t="n"/>
      <c r="AG3298" s="7">
        <f>IF($C3298="","",U3298*X3298/100)</f>
        <v/>
      </c>
      <c r="AH3298" s="7">
        <f>IF($C3298="","",U3298-AG3298)</f>
        <v/>
      </c>
      <c r="AI3298" s="7">
        <f>IF($C3298="","",AH3298-M3298)</f>
        <v/>
      </c>
      <c r="AJ3298">
        <f>IF($C3298="","",IF(COUNTIF($C$2:$C3298,$C3298)=1,1,0))</f>
        <v/>
      </c>
      <c r="AK3298">
        <f>IF($AJ3298=1,SUMPRODUCT(--($AN$2:$AN$4001&lt;$AN3298))+1,"")</f>
        <v/>
      </c>
      <c r="AL3298">
        <f>IF($C3298="","",IF(OR($Q3298=TRUE(),$Q3298="TRUE"),1,0))</f>
        <v/>
      </c>
      <c r="AM3298">
        <f>IF($C3298="","",IF($W3298="Yes",1,0))</f>
        <v/>
      </c>
      <c r="AN3298">
        <f>IF($AJ3298=1,IFERROR(IF(VALUE($C3298)&lt;100000000,VALUE($C3298),1000000000),IFERROR(IF(VALUE(MID($C3298,2,20))&lt;100000000,VALUE(MID($C3298,2,20)),1000000000),1000000000))+ROW()/100000,"")</f>
        <v/>
      </c>
    </row>
    <row r="3299">
      <c r="E3299" s="11" t="n"/>
      <c r="M3299" s="7">
        <f>IF($C3299="","",L3299*U3299/100)</f>
        <v/>
      </c>
      <c r="N3299" s="7" t="n"/>
      <c r="T3299" s="7" t="n"/>
      <c r="U3299" s="7">
        <f>IF($C3299="","",S3299*T3299)</f>
        <v/>
      </c>
      <c r="X3299">
        <f>IF($C3299="","",IF($AM3299=1,0,IF($AL3299=1,Settings!$C$6,Settings!$C$7))*100)</f>
        <v/>
      </c>
      <c r="AB3299" s="7" t="n"/>
      <c r="AE3299" s="11" t="n"/>
      <c r="AG3299" s="7">
        <f>IF($C3299="","",U3299*X3299/100)</f>
        <v/>
      </c>
      <c r="AH3299" s="7">
        <f>IF($C3299="","",U3299-AG3299)</f>
        <v/>
      </c>
      <c r="AI3299" s="7">
        <f>IF($C3299="","",AH3299-M3299)</f>
        <v/>
      </c>
      <c r="AJ3299">
        <f>IF($C3299="","",IF(COUNTIF($C$2:$C3299,$C3299)=1,1,0))</f>
        <v/>
      </c>
      <c r="AK3299">
        <f>IF($AJ3299=1,SUMPRODUCT(--($AN$2:$AN$4001&lt;$AN3299))+1,"")</f>
        <v/>
      </c>
      <c r="AL3299">
        <f>IF($C3299="","",IF(OR($Q3299=TRUE(),$Q3299="TRUE"),1,0))</f>
        <v/>
      </c>
      <c r="AM3299">
        <f>IF($C3299="","",IF($W3299="Yes",1,0))</f>
        <v/>
      </c>
      <c r="AN3299">
        <f>IF($AJ3299=1,IFERROR(IF(VALUE($C3299)&lt;100000000,VALUE($C3299),1000000000),IFERROR(IF(VALUE(MID($C3299,2,20))&lt;100000000,VALUE(MID($C3299,2,20)),1000000000),1000000000))+ROW()/100000,"")</f>
        <v/>
      </c>
    </row>
    <row r="3300">
      <c r="E3300" s="11" t="n"/>
      <c r="M3300" s="7">
        <f>IF($C3300="","",L3300*U3300/100)</f>
        <v/>
      </c>
      <c r="N3300" s="7" t="n"/>
      <c r="T3300" s="7" t="n"/>
      <c r="U3300" s="7">
        <f>IF($C3300="","",S3300*T3300)</f>
        <v/>
      </c>
      <c r="X3300">
        <f>IF($C3300="","",IF($AM3300=1,0,IF($AL3300=1,Settings!$C$6,Settings!$C$7))*100)</f>
        <v/>
      </c>
      <c r="AB3300" s="7" t="n"/>
      <c r="AE3300" s="11" t="n"/>
      <c r="AG3300" s="7">
        <f>IF($C3300="","",U3300*X3300/100)</f>
        <v/>
      </c>
      <c r="AH3300" s="7">
        <f>IF($C3300="","",U3300-AG3300)</f>
        <v/>
      </c>
      <c r="AI3300" s="7">
        <f>IF($C3300="","",AH3300-M3300)</f>
        <v/>
      </c>
      <c r="AJ3300">
        <f>IF($C3300="","",IF(COUNTIF($C$2:$C3300,$C3300)=1,1,0))</f>
        <v/>
      </c>
      <c r="AK3300">
        <f>IF($AJ3300=1,SUMPRODUCT(--($AN$2:$AN$4001&lt;$AN3300))+1,"")</f>
        <v/>
      </c>
      <c r="AL3300">
        <f>IF($C3300="","",IF(OR($Q3300=TRUE(),$Q3300="TRUE"),1,0))</f>
        <v/>
      </c>
      <c r="AM3300">
        <f>IF($C3300="","",IF($W3300="Yes",1,0))</f>
        <v/>
      </c>
      <c r="AN3300">
        <f>IF($AJ3300=1,IFERROR(IF(VALUE($C3300)&lt;100000000,VALUE($C3300),1000000000),IFERROR(IF(VALUE(MID($C3300,2,20))&lt;100000000,VALUE(MID($C3300,2,20)),1000000000),1000000000))+ROW()/100000,"")</f>
        <v/>
      </c>
    </row>
    <row r="3301">
      <c r="E3301" s="11" t="n"/>
      <c r="M3301" s="7">
        <f>IF($C3301="","",L3301*U3301/100)</f>
        <v/>
      </c>
      <c r="N3301" s="7" t="n"/>
      <c r="T3301" s="7" t="n"/>
      <c r="U3301" s="7">
        <f>IF($C3301="","",S3301*T3301)</f>
        <v/>
      </c>
      <c r="X3301">
        <f>IF($C3301="","",IF($AM3301=1,0,IF($AL3301=1,Settings!$C$6,Settings!$C$7))*100)</f>
        <v/>
      </c>
      <c r="AB3301" s="7" t="n"/>
      <c r="AE3301" s="11" t="n"/>
      <c r="AG3301" s="7">
        <f>IF($C3301="","",U3301*X3301/100)</f>
        <v/>
      </c>
      <c r="AH3301" s="7">
        <f>IF($C3301="","",U3301-AG3301)</f>
        <v/>
      </c>
      <c r="AI3301" s="7">
        <f>IF($C3301="","",AH3301-M3301)</f>
        <v/>
      </c>
      <c r="AJ3301">
        <f>IF($C3301="","",IF(COUNTIF($C$2:$C3301,$C3301)=1,1,0))</f>
        <v/>
      </c>
      <c r="AK3301">
        <f>IF($AJ3301=1,SUMPRODUCT(--($AN$2:$AN$4001&lt;$AN3301))+1,"")</f>
        <v/>
      </c>
      <c r="AL3301">
        <f>IF($C3301="","",IF(OR($Q3301=TRUE(),$Q3301="TRUE"),1,0))</f>
        <v/>
      </c>
      <c r="AM3301">
        <f>IF($C3301="","",IF($W3301="Yes",1,0))</f>
        <v/>
      </c>
      <c r="AN3301">
        <f>IF($AJ3301=1,IFERROR(IF(VALUE($C3301)&lt;100000000,VALUE($C3301),1000000000),IFERROR(IF(VALUE(MID($C3301,2,20))&lt;100000000,VALUE(MID($C3301,2,20)),1000000000),1000000000))+ROW()/100000,"")</f>
        <v/>
      </c>
    </row>
    <row r="3302">
      <c r="E3302" s="11" t="n"/>
      <c r="M3302" s="7">
        <f>IF($C3302="","",L3302*U3302/100)</f>
        <v/>
      </c>
      <c r="N3302" s="7" t="n"/>
      <c r="T3302" s="7" t="n"/>
      <c r="U3302" s="7">
        <f>IF($C3302="","",S3302*T3302)</f>
        <v/>
      </c>
      <c r="X3302">
        <f>IF($C3302="","",IF($AM3302=1,0,IF($AL3302=1,Settings!$C$6,Settings!$C$7))*100)</f>
        <v/>
      </c>
      <c r="AB3302" s="7" t="n"/>
      <c r="AE3302" s="11" t="n"/>
      <c r="AG3302" s="7">
        <f>IF($C3302="","",U3302*X3302/100)</f>
        <v/>
      </c>
      <c r="AH3302" s="7">
        <f>IF($C3302="","",U3302-AG3302)</f>
        <v/>
      </c>
      <c r="AI3302" s="7">
        <f>IF($C3302="","",AH3302-M3302)</f>
        <v/>
      </c>
      <c r="AJ3302">
        <f>IF($C3302="","",IF(COUNTIF($C$2:$C3302,$C3302)=1,1,0))</f>
        <v/>
      </c>
      <c r="AK3302">
        <f>IF($AJ3302=1,SUMPRODUCT(--($AN$2:$AN$4001&lt;$AN3302))+1,"")</f>
        <v/>
      </c>
      <c r="AL3302">
        <f>IF($C3302="","",IF(OR($Q3302=TRUE(),$Q3302="TRUE"),1,0))</f>
        <v/>
      </c>
      <c r="AM3302">
        <f>IF($C3302="","",IF($W3302="Yes",1,0))</f>
        <v/>
      </c>
      <c r="AN3302">
        <f>IF($AJ3302=1,IFERROR(IF(VALUE($C3302)&lt;100000000,VALUE($C3302),1000000000),IFERROR(IF(VALUE(MID($C3302,2,20))&lt;100000000,VALUE(MID($C3302,2,20)),1000000000),1000000000))+ROW()/100000,"")</f>
        <v/>
      </c>
    </row>
    <row r="3303">
      <c r="E3303" s="11" t="n"/>
      <c r="M3303" s="7">
        <f>IF($C3303="","",L3303*U3303/100)</f>
        <v/>
      </c>
      <c r="N3303" s="7" t="n"/>
      <c r="T3303" s="7" t="n"/>
      <c r="U3303" s="7">
        <f>IF($C3303="","",S3303*T3303)</f>
        <v/>
      </c>
      <c r="X3303">
        <f>IF($C3303="","",IF($AM3303=1,0,IF($AL3303=1,Settings!$C$6,Settings!$C$7))*100)</f>
        <v/>
      </c>
      <c r="AB3303" s="7" t="n"/>
      <c r="AE3303" s="11" t="n"/>
      <c r="AG3303" s="7">
        <f>IF($C3303="","",U3303*X3303/100)</f>
        <v/>
      </c>
      <c r="AH3303" s="7">
        <f>IF($C3303="","",U3303-AG3303)</f>
        <v/>
      </c>
      <c r="AI3303" s="7">
        <f>IF($C3303="","",AH3303-M3303)</f>
        <v/>
      </c>
      <c r="AJ3303">
        <f>IF($C3303="","",IF(COUNTIF($C$2:$C3303,$C3303)=1,1,0))</f>
        <v/>
      </c>
      <c r="AK3303">
        <f>IF($AJ3303=1,SUMPRODUCT(--($AN$2:$AN$4001&lt;$AN3303))+1,"")</f>
        <v/>
      </c>
      <c r="AL3303">
        <f>IF($C3303="","",IF(OR($Q3303=TRUE(),$Q3303="TRUE"),1,0))</f>
        <v/>
      </c>
      <c r="AM3303">
        <f>IF($C3303="","",IF($W3303="Yes",1,0))</f>
        <v/>
      </c>
      <c r="AN3303">
        <f>IF($AJ3303=1,IFERROR(IF(VALUE($C3303)&lt;100000000,VALUE($C3303),1000000000),IFERROR(IF(VALUE(MID($C3303,2,20))&lt;100000000,VALUE(MID($C3303,2,20)),1000000000),1000000000))+ROW()/100000,"")</f>
        <v/>
      </c>
    </row>
    <row r="3304">
      <c r="E3304" s="11" t="n"/>
      <c r="M3304" s="7">
        <f>IF($C3304="","",L3304*U3304/100)</f>
        <v/>
      </c>
      <c r="N3304" s="7" t="n"/>
      <c r="T3304" s="7" t="n"/>
      <c r="U3304" s="7">
        <f>IF($C3304="","",S3304*T3304)</f>
        <v/>
      </c>
      <c r="X3304">
        <f>IF($C3304="","",IF($AM3304=1,0,IF($AL3304=1,Settings!$C$6,Settings!$C$7))*100)</f>
        <v/>
      </c>
      <c r="AB3304" s="7" t="n"/>
      <c r="AE3304" s="11" t="n"/>
      <c r="AG3304" s="7">
        <f>IF($C3304="","",U3304*X3304/100)</f>
        <v/>
      </c>
      <c r="AH3304" s="7">
        <f>IF($C3304="","",U3304-AG3304)</f>
        <v/>
      </c>
      <c r="AI3304" s="7">
        <f>IF($C3304="","",AH3304-M3304)</f>
        <v/>
      </c>
      <c r="AJ3304">
        <f>IF($C3304="","",IF(COUNTIF($C$2:$C3304,$C3304)=1,1,0))</f>
        <v/>
      </c>
      <c r="AK3304">
        <f>IF($AJ3304=1,SUMPRODUCT(--($AN$2:$AN$4001&lt;$AN3304))+1,"")</f>
        <v/>
      </c>
      <c r="AL3304">
        <f>IF($C3304="","",IF(OR($Q3304=TRUE(),$Q3304="TRUE"),1,0))</f>
        <v/>
      </c>
      <c r="AM3304">
        <f>IF($C3304="","",IF($W3304="Yes",1,0))</f>
        <v/>
      </c>
      <c r="AN3304">
        <f>IF($AJ3304=1,IFERROR(IF(VALUE($C3304)&lt;100000000,VALUE($C3304),1000000000),IFERROR(IF(VALUE(MID($C3304,2,20))&lt;100000000,VALUE(MID($C3304,2,20)),1000000000),1000000000))+ROW()/100000,"")</f>
        <v/>
      </c>
    </row>
    <row r="3305">
      <c r="E3305" s="11" t="n"/>
      <c r="M3305" s="7">
        <f>IF($C3305="","",L3305*U3305/100)</f>
        <v/>
      </c>
      <c r="N3305" s="7" t="n"/>
      <c r="T3305" s="7" t="n"/>
      <c r="U3305" s="7">
        <f>IF($C3305="","",S3305*T3305)</f>
        <v/>
      </c>
      <c r="X3305">
        <f>IF($C3305="","",IF($AM3305=1,0,IF($AL3305=1,Settings!$C$6,Settings!$C$7))*100)</f>
        <v/>
      </c>
      <c r="AB3305" s="7" t="n"/>
      <c r="AE3305" s="11" t="n"/>
      <c r="AG3305" s="7">
        <f>IF($C3305="","",U3305*X3305/100)</f>
        <v/>
      </c>
      <c r="AH3305" s="7">
        <f>IF($C3305="","",U3305-AG3305)</f>
        <v/>
      </c>
      <c r="AI3305" s="7">
        <f>IF($C3305="","",AH3305-M3305)</f>
        <v/>
      </c>
      <c r="AJ3305">
        <f>IF($C3305="","",IF(COUNTIF($C$2:$C3305,$C3305)=1,1,0))</f>
        <v/>
      </c>
      <c r="AK3305">
        <f>IF($AJ3305=1,SUMPRODUCT(--($AN$2:$AN$4001&lt;$AN3305))+1,"")</f>
        <v/>
      </c>
      <c r="AL3305">
        <f>IF($C3305="","",IF(OR($Q3305=TRUE(),$Q3305="TRUE"),1,0))</f>
        <v/>
      </c>
      <c r="AM3305">
        <f>IF($C3305="","",IF($W3305="Yes",1,0))</f>
        <v/>
      </c>
      <c r="AN3305">
        <f>IF($AJ3305=1,IFERROR(IF(VALUE($C3305)&lt;100000000,VALUE($C3305),1000000000),IFERROR(IF(VALUE(MID($C3305,2,20))&lt;100000000,VALUE(MID($C3305,2,20)),1000000000),1000000000))+ROW()/100000,"")</f>
        <v/>
      </c>
    </row>
    <row r="3306">
      <c r="E3306" s="11" t="n"/>
      <c r="M3306" s="7">
        <f>IF($C3306="","",L3306*U3306/100)</f>
        <v/>
      </c>
      <c r="N3306" s="7" t="n"/>
      <c r="T3306" s="7" t="n"/>
      <c r="U3306" s="7">
        <f>IF($C3306="","",S3306*T3306)</f>
        <v/>
      </c>
      <c r="X3306">
        <f>IF($C3306="","",IF($AM3306=1,0,IF($AL3306=1,Settings!$C$6,Settings!$C$7))*100)</f>
        <v/>
      </c>
      <c r="AB3306" s="7" t="n"/>
      <c r="AE3306" s="11" t="n"/>
      <c r="AG3306" s="7">
        <f>IF($C3306="","",U3306*X3306/100)</f>
        <v/>
      </c>
      <c r="AH3306" s="7">
        <f>IF($C3306="","",U3306-AG3306)</f>
        <v/>
      </c>
      <c r="AI3306" s="7">
        <f>IF($C3306="","",AH3306-M3306)</f>
        <v/>
      </c>
      <c r="AJ3306">
        <f>IF($C3306="","",IF(COUNTIF($C$2:$C3306,$C3306)=1,1,0))</f>
        <v/>
      </c>
      <c r="AK3306">
        <f>IF($AJ3306=1,SUMPRODUCT(--($AN$2:$AN$4001&lt;$AN3306))+1,"")</f>
        <v/>
      </c>
      <c r="AL3306">
        <f>IF($C3306="","",IF(OR($Q3306=TRUE(),$Q3306="TRUE"),1,0))</f>
        <v/>
      </c>
      <c r="AM3306">
        <f>IF($C3306="","",IF($W3306="Yes",1,0))</f>
        <v/>
      </c>
      <c r="AN3306">
        <f>IF($AJ3306=1,IFERROR(IF(VALUE($C3306)&lt;100000000,VALUE($C3306),1000000000),IFERROR(IF(VALUE(MID($C3306,2,20))&lt;100000000,VALUE(MID($C3306,2,20)),1000000000),1000000000))+ROW()/100000,"")</f>
        <v/>
      </c>
    </row>
    <row r="3307">
      <c r="E3307" s="11" t="n"/>
      <c r="M3307" s="7">
        <f>IF($C3307="","",L3307*U3307/100)</f>
        <v/>
      </c>
      <c r="N3307" s="7" t="n"/>
      <c r="T3307" s="7" t="n"/>
      <c r="U3307" s="7">
        <f>IF($C3307="","",S3307*T3307)</f>
        <v/>
      </c>
      <c r="X3307">
        <f>IF($C3307="","",IF($AM3307=1,0,IF($AL3307=1,Settings!$C$6,Settings!$C$7))*100)</f>
        <v/>
      </c>
      <c r="AB3307" s="7" t="n"/>
      <c r="AE3307" s="11" t="n"/>
      <c r="AG3307" s="7">
        <f>IF($C3307="","",U3307*X3307/100)</f>
        <v/>
      </c>
      <c r="AH3307" s="7">
        <f>IF($C3307="","",U3307-AG3307)</f>
        <v/>
      </c>
      <c r="AI3307" s="7">
        <f>IF($C3307="","",AH3307-M3307)</f>
        <v/>
      </c>
      <c r="AJ3307">
        <f>IF($C3307="","",IF(COUNTIF($C$2:$C3307,$C3307)=1,1,0))</f>
        <v/>
      </c>
      <c r="AK3307">
        <f>IF($AJ3307=1,SUMPRODUCT(--($AN$2:$AN$4001&lt;$AN3307))+1,"")</f>
        <v/>
      </c>
      <c r="AL3307">
        <f>IF($C3307="","",IF(OR($Q3307=TRUE(),$Q3307="TRUE"),1,0))</f>
        <v/>
      </c>
      <c r="AM3307">
        <f>IF($C3307="","",IF($W3307="Yes",1,0))</f>
        <v/>
      </c>
      <c r="AN3307">
        <f>IF($AJ3307=1,IFERROR(IF(VALUE($C3307)&lt;100000000,VALUE($C3307),1000000000),IFERROR(IF(VALUE(MID($C3307,2,20))&lt;100000000,VALUE(MID($C3307,2,20)),1000000000),1000000000))+ROW()/100000,"")</f>
        <v/>
      </c>
    </row>
    <row r="3308">
      <c r="E3308" s="11" t="n"/>
      <c r="M3308" s="7">
        <f>IF($C3308="","",L3308*U3308/100)</f>
        <v/>
      </c>
      <c r="N3308" s="7" t="n"/>
      <c r="T3308" s="7" t="n"/>
      <c r="U3308" s="7">
        <f>IF($C3308="","",S3308*T3308)</f>
        <v/>
      </c>
      <c r="X3308">
        <f>IF($C3308="","",IF($AM3308=1,0,IF($AL3308=1,Settings!$C$6,Settings!$C$7))*100)</f>
        <v/>
      </c>
      <c r="AB3308" s="7" t="n"/>
      <c r="AE3308" s="11" t="n"/>
      <c r="AG3308" s="7">
        <f>IF($C3308="","",U3308*X3308/100)</f>
        <v/>
      </c>
      <c r="AH3308" s="7">
        <f>IF($C3308="","",U3308-AG3308)</f>
        <v/>
      </c>
      <c r="AI3308" s="7">
        <f>IF($C3308="","",AH3308-M3308)</f>
        <v/>
      </c>
      <c r="AJ3308">
        <f>IF($C3308="","",IF(COUNTIF($C$2:$C3308,$C3308)=1,1,0))</f>
        <v/>
      </c>
      <c r="AK3308">
        <f>IF($AJ3308=1,SUMPRODUCT(--($AN$2:$AN$4001&lt;$AN3308))+1,"")</f>
        <v/>
      </c>
      <c r="AL3308">
        <f>IF($C3308="","",IF(OR($Q3308=TRUE(),$Q3308="TRUE"),1,0))</f>
        <v/>
      </c>
      <c r="AM3308">
        <f>IF($C3308="","",IF($W3308="Yes",1,0))</f>
        <v/>
      </c>
      <c r="AN3308">
        <f>IF($AJ3308=1,IFERROR(IF(VALUE($C3308)&lt;100000000,VALUE($C3308),1000000000),IFERROR(IF(VALUE(MID($C3308,2,20))&lt;100000000,VALUE(MID($C3308,2,20)),1000000000),1000000000))+ROW()/100000,"")</f>
        <v/>
      </c>
    </row>
    <row r="3309">
      <c r="E3309" s="11" t="n"/>
      <c r="M3309" s="7">
        <f>IF($C3309="","",L3309*U3309/100)</f>
        <v/>
      </c>
      <c r="N3309" s="7" t="n"/>
      <c r="T3309" s="7" t="n"/>
      <c r="U3309" s="7">
        <f>IF($C3309="","",S3309*T3309)</f>
        <v/>
      </c>
      <c r="X3309">
        <f>IF($C3309="","",IF($AM3309=1,0,IF($AL3309=1,Settings!$C$6,Settings!$C$7))*100)</f>
        <v/>
      </c>
      <c r="AB3309" s="7" t="n"/>
      <c r="AE3309" s="11" t="n"/>
      <c r="AG3309" s="7">
        <f>IF($C3309="","",U3309*X3309/100)</f>
        <v/>
      </c>
      <c r="AH3309" s="7">
        <f>IF($C3309="","",U3309-AG3309)</f>
        <v/>
      </c>
      <c r="AI3309" s="7">
        <f>IF($C3309="","",AH3309-M3309)</f>
        <v/>
      </c>
      <c r="AJ3309">
        <f>IF($C3309="","",IF(COUNTIF($C$2:$C3309,$C3309)=1,1,0))</f>
        <v/>
      </c>
      <c r="AK3309">
        <f>IF($AJ3309=1,SUMPRODUCT(--($AN$2:$AN$4001&lt;$AN3309))+1,"")</f>
        <v/>
      </c>
      <c r="AL3309">
        <f>IF($C3309="","",IF(OR($Q3309=TRUE(),$Q3309="TRUE"),1,0))</f>
        <v/>
      </c>
      <c r="AM3309">
        <f>IF($C3309="","",IF($W3309="Yes",1,0))</f>
        <v/>
      </c>
      <c r="AN3309">
        <f>IF($AJ3309=1,IFERROR(IF(VALUE($C3309)&lt;100000000,VALUE($C3309),1000000000),IFERROR(IF(VALUE(MID($C3309,2,20))&lt;100000000,VALUE(MID($C3309,2,20)),1000000000),1000000000))+ROW()/100000,"")</f>
        <v/>
      </c>
    </row>
    <row r="3310">
      <c r="E3310" s="11" t="n"/>
      <c r="M3310" s="7">
        <f>IF($C3310="","",L3310*U3310/100)</f>
        <v/>
      </c>
      <c r="N3310" s="7" t="n"/>
      <c r="T3310" s="7" t="n"/>
      <c r="U3310" s="7">
        <f>IF($C3310="","",S3310*T3310)</f>
        <v/>
      </c>
      <c r="X3310">
        <f>IF($C3310="","",IF($AM3310=1,0,IF($AL3310=1,Settings!$C$6,Settings!$C$7))*100)</f>
        <v/>
      </c>
      <c r="AB3310" s="7" t="n"/>
      <c r="AE3310" s="11" t="n"/>
      <c r="AG3310" s="7">
        <f>IF($C3310="","",U3310*X3310/100)</f>
        <v/>
      </c>
      <c r="AH3310" s="7">
        <f>IF($C3310="","",U3310-AG3310)</f>
        <v/>
      </c>
      <c r="AI3310" s="7">
        <f>IF($C3310="","",AH3310-M3310)</f>
        <v/>
      </c>
      <c r="AJ3310">
        <f>IF($C3310="","",IF(COUNTIF($C$2:$C3310,$C3310)=1,1,0))</f>
        <v/>
      </c>
      <c r="AK3310">
        <f>IF($AJ3310=1,SUMPRODUCT(--($AN$2:$AN$4001&lt;$AN3310))+1,"")</f>
        <v/>
      </c>
      <c r="AL3310">
        <f>IF($C3310="","",IF(OR($Q3310=TRUE(),$Q3310="TRUE"),1,0))</f>
        <v/>
      </c>
      <c r="AM3310">
        <f>IF($C3310="","",IF($W3310="Yes",1,0))</f>
        <v/>
      </c>
      <c r="AN3310">
        <f>IF($AJ3310=1,IFERROR(IF(VALUE($C3310)&lt;100000000,VALUE($C3310),1000000000),IFERROR(IF(VALUE(MID($C3310,2,20))&lt;100000000,VALUE(MID($C3310,2,20)),1000000000),1000000000))+ROW()/100000,"")</f>
        <v/>
      </c>
    </row>
    <row r="3311">
      <c r="E3311" s="11" t="n"/>
      <c r="M3311" s="7">
        <f>IF($C3311="","",L3311*U3311/100)</f>
        <v/>
      </c>
      <c r="N3311" s="7" t="n"/>
      <c r="T3311" s="7" t="n"/>
      <c r="U3311" s="7">
        <f>IF($C3311="","",S3311*T3311)</f>
        <v/>
      </c>
      <c r="X3311">
        <f>IF($C3311="","",IF($AM3311=1,0,IF($AL3311=1,Settings!$C$6,Settings!$C$7))*100)</f>
        <v/>
      </c>
      <c r="AB3311" s="7" t="n"/>
      <c r="AE3311" s="11" t="n"/>
      <c r="AG3311" s="7">
        <f>IF($C3311="","",U3311*X3311/100)</f>
        <v/>
      </c>
      <c r="AH3311" s="7">
        <f>IF($C3311="","",U3311-AG3311)</f>
        <v/>
      </c>
      <c r="AI3311" s="7">
        <f>IF($C3311="","",AH3311-M3311)</f>
        <v/>
      </c>
      <c r="AJ3311">
        <f>IF($C3311="","",IF(COUNTIF($C$2:$C3311,$C3311)=1,1,0))</f>
        <v/>
      </c>
      <c r="AK3311">
        <f>IF($AJ3311=1,SUMPRODUCT(--($AN$2:$AN$4001&lt;$AN3311))+1,"")</f>
        <v/>
      </c>
      <c r="AL3311">
        <f>IF($C3311="","",IF(OR($Q3311=TRUE(),$Q3311="TRUE"),1,0))</f>
        <v/>
      </c>
      <c r="AM3311">
        <f>IF($C3311="","",IF($W3311="Yes",1,0))</f>
        <v/>
      </c>
      <c r="AN3311">
        <f>IF($AJ3311=1,IFERROR(IF(VALUE($C3311)&lt;100000000,VALUE($C3311),1000000000),IFERROR(IF(VALUE(MID($C3311,2,20))&lt;100000000,VALUE(MID($C3311,2,20)),1000000000),1000000000))+ROW()/100000,"")</f>
        <v/>
      </c>
    </row>
    <row r="3312">
      <c r="E3312" s="11" t="n"/>
      <c r="M3312" s="7">
        <f>IF($C3312="","",L3312*U3312/100)</f>
        <v/>
      </c>
      <c r="N3312" s="7" t="n"/>
      <c r="T3312" s="7" t="n"/>
      <c r="U3312" s="7">
        <f>IF($C3312="","",S3312*T3312)</f>
        <v/>
      </c>
      <c r="X3312">
        <f>IF($C3312="","",IF($AM3312=1,0,IF($AL3312=1,Settings!$C$6,Settings!$C$7))*100)</f>
        <v/>
      </c>
      <c r="AB3312" s="7" t="n"/>
      <c r="AE3312" s="11" t="n"/>
      <c r="AG3312" s="7">
        <f>IF($C3312="","",U3312*X3312/100)</f>
        <v/>
      </c>
      <c r="AH3312" s="7">
        <f>IF($C3312="","",U3312-AG3312)</f>
        <v/>
      </c>
      <c r="AI3312" s="7">
        <f>IF($C3312="","",AH3312-M3312)</f>
        <v/>
      </c>
      <c r="AJ3312">
        <f>IF($C3312="","",IF(COUNTIF($C$2:$C3312,$C3312)=1,1,0))</f>
        <v/>
      </c>
      <c r="AK3312">
        <f>IF($AJ3312=1,SUMPRODUCT(--($AN$2:$AN$4001&lt;$AN3312))+1,"")</f>
        <v/>
      </c>
      <c r="AL3312">
        <f>IF($C3312="","",IF(OR($Q3312=TRUE(),$Q3312="TRUE"),1,0))</f>
        <v/>
      </c>
      <c r="AM3312">
        <f>IF($C3312="","",IF($W3312="Yes",1,0))</f>
        <v/>
      </c>
      <c r="AN3312">
        <f>IF($AJ3312=1,IFERROR(IF(VALUE($C3312)&lt;100000000,VALUE($C3312),1000000000),IFERROR(IF(VALUE(MID($C3312,2,20))&lt;100000000,VALUE(MID($C3312,2,20)),1000000000),1000000000))+ROW()/100000,"")</f>
        <v/>
      </c>
    </row>
    <row r="3313">
      <c r="E3313" s="11" t="n"/>
      <c r="M3313" s="7">
        <f>IF($C3313="","",L3313*U3313/100)</f>
        <v/>
      </c>
      <c r="N3313" s="7" t="n"/>
      <c r="T3313" s="7" t="n"/>
      <c r="U3313" s="7">
        <f>IF($C3313="","",S3313*T3313)</f>
        <v/>
      </c>
      <c r="X3313">
        <f>IF($C3313="","",IF($AM3313=1,0,IF($AL3313=1,Settings!$C$6,Settings!$C$7))*100)</f>
        <v/>
      </c>
      <c r="AB3313" s="7" t="n"/>
      <c r="AE3313" s="11" t="n"/>
      <c r="AG3313" s="7">
        <f>IF($C3313="","",U3313*X3313/100)</f>
        <v/>
      </c>
      <c r="AH3313" s="7">
        <f>IF($C3313="","",U3313-AG3313)</f>
        <v/>
      </c>
      <c r="AI3313" s="7">
        <f>IF($C3313="","",AH3313-M3313)</f>
        <v/>
      </c>
      <c r="AJ3313">
        <f>IF($C3313="","",IF(COUNTIF($C$2:$C3313,$C3313)=1,1,0))</f>
        <v/>
      </c>
      <c r="AK3313">
        <f>IF($AJ3313=1,SUMPRODUCT(--($AN$2:$AN$4001&lt;$AN3313))+1,"")</f>
        <v/>
      </c>
      <c r="AL3313">
        <f>IF($C3313="","",IF(OR($Q3313=TRUE(),$Q3313="TRUE"),1,0))</f>
        <v/>
      </c>
      <c r="AM3313">
        <f>IF($C3313="","",IF($W3313="Yes",1,0))</f>
        <v/>
      </c>
      <c r="AN3313">
        <f>IF($AJ3313=1,IFERROR(IF(VALUE($C3313)&lt;100000000,VALUE($C3313),1000000000),IFERROR(IF(VALUE(MID($C3313,2,20))&lt;100000000,VALUE(MID($C3313,2,20)),1000000000),1000000000))+ROW()/100000,"")</f>
        <v/>
      </c>
    </row>
    <row r="3314">
      <c r="E3314" s="11" t="n"/>
      <c r="M3314" s="7">
        <f>IF($C3314="","",L3314*U3314/100)</f>
        <v/>
      </c>
      <c r="N3314" s="7" t="n"/>
      <c r="T3314" s="7" t="n"/>
      <c r="U3314" s="7">
        <f>IF($C3314="","",S3314*T3314)</f>
        <v/>
      </c>
      <c r="X3314">
        <f>IF($C3314="","",IF($AM3314=1,0,IF($AL3314=1,Settings!$C$6,Settings!$C$7))*100)</f>
        <v/>
      </c>
      <c r="AB3314" s="7" t="n"/>
      <c r="AE3314" s="11" t="n"/>
      <c r="AG3314" s="7">
        <f>IF($C3314="","",U3314*X3314/100)</f>
        <v/>
      </c>
      <c r="AH3314" s="7">
        <f>IF($C3314="","",U3314-AG3314)</f>
        <v/>
      </c>
      <c r="AI3314" s="7">
        <f>IF($C3314="","",AH3314-M3314)</f>
        <v/>
      </c>
      <c r="AJ3314">
        <f>IF($C3314="","",IF(COUNTIF($C$2:$C3314,$C3314)=1,1,0))</f>
        <v/>
      </c>
      <c r="AK3314">
        <f>IF($AJ3314=1,SUMPRODUCT(--($AN$2:$AN$4001&lt;$AN3314))+1,"")</f>
        <v/>
      </c>
      <c r="AL3314">
        <f>IF($C3314="","",IF(OR($Q3314=TRUE(),$Q3314="TRUE"),1,0))</f>
        <v/>
      </c>
      <c r="AM3314">
        <f>IF($C3314="","",IF($W3314="Yes",1,0))</f>
        <v/>
      </c>
      <c r="AN3314">
        <f>IF($AJ3314=1,IFERROR(IF(VALUE($C3314)&lt;100000000,VALUE($C3314),1000000000),IFERROR(IF(VALUE(MID($C3314,2,20))&lt;100000000,VALUE(MID($C3314,2,20)),1000000000),1000000000))+ROW()/100000,"")</f>
        <v/>
      </c>
    </row>
    <row r="3315">
      <c r="E3315" s="11" t="n"/>
      <c r="M3315" s="7">
        <f>IF($C3315="","",L3315*U3315/100)</f>
        <v/>
      </c>
      <c r="N3315" s="7" t="n"/>
      <c r="T3315" s="7" t="n"/>
      <c r="U3315" s="7">
        <f>IF($C3315="","",S3315*T3315)</f>
        <v/>
      </c>
      <c r="X3315">
        <f>IF($C3315="","",IF($AM3315=1,0,IF($AL3315=1,Settings!$C$6,Settings!$C$7))*100)</f>
        <v/>
      </c>
      <c r="AB3315" s="7" t="n"/>
      <c r="AE3315" s="11" t="n"/>
      <c r="AG3315" s="7">
        <f>IF($C3315="","",U3315*X3315/100)</f>
        <v/>
      </c>
      <c r="AH3315" s="7">
        <f>IF($C3315="","",U3315-AG3315)</f>
        <v/>
      </c>
      <c r="AI3315" s="7">
        <f>IF($C3315="","",AH3315-M3315)</f>
        <v/>
      </c>
      <c r="AJ3315">
        <f>IF($C3315="","",IF(COUNTIF($C$2:$C3315,$C3315)=1,1,0))</f>
        <v/>
      </c>
      <c r="AK3315">
        <f>IF($AJ3315=1,SUMPRODUCT(--($AN$2:$AN$4001&lt;$AN3315))+1,"")</f>
        <v/>
      </c>
      <c r="AL3315">
        <f>IF($C3315="","",IF(OR($Q3315=TRUE(),$Q3315="TRUE"),1,0))</f>
        <v/>
      </c>
      <c r="AM3315">
        <f>IF($C3315="","",IF($W3315="Yes",1,0))</f>
        <v/>
      </c>
      <c r="AN3315">
        <f>IF($AJ3315=1,IFERROR(IF(VALUE($C3315)&lt;100000000,VALUE($C3315),1000000000),IFERROR(IF(VALUE(MID($C3315,2,20))&lt;100000000,VALUE(MID($C3315,2,20)),1000000000),1000000000))+ROW()/100000,"")</f>
        <v/>
      </c>
    </row>
    <row r="3316">
      <c r="E3316" s="11" t="n"/>
      <c r="M3316" s="7">
        <f>IF($C3316="","",L3316*U3316/100)</f>
        <v/>
      </c>
      <c r="N3316" s="7" t="n"/>
      <c r="T3316" s="7" t="n"/>
      <c r="U3316" s="7">
        <f>IF($C3316="","",S3316*T3316)</f>
        <v/>
      </c>
      <c r="X3316">
        <f>IF($C3316="","",IF($AM3316=1,0,IF($AL3316=1,Settings!$C$6,Settings!$C$7))*100)</f>
        <v/>
      </c>
      <c r="AB3316" s="7" t="n"/>
      <c r="AE3316" s="11" t="n"/>
      <c r="AG3316" s="7">
        <f>IF($C3316="","",U3316*X3316/100)</f>
        <v/>
      </c>
      <c r="AH3316" s="7">
        <f>IF($C3316="","",U3316-AG3316)</f>
        <v/>
      </c>
      <c r="AI3316" s="7">
        <f>IF($C3316="","",AH3316-M3316)</f>
        <v/>
      </c>
      <c r="AJ3316">
        <f>IF($C3316="","",IF(COUNTIF($C$2:$C3316,$C3316)=1,1,0))</f>
        <v/>
      </c>
      <c r="AK3316">
        <f>IF($AJ3316=1,SUMPRODUCT(--($AN$2:$AN$4001&lt;$AN3316))+1,"")</f>
        <v/>
      </c>
      <c r="AL3316">
        <f>IF($C3316="","",IF(OR($Q3316=TRUE(),$Q3316="TRUE"),1,0))</f>
        <v/>
      </c>
      <c r="AM3316">
        <f>IF($C3316="","",IF($W3316="Yes",1,0))</f>
        <v/>
      </c>
      <c r="AN3316">
        <f>IF($AJ3316=1,IFERROR(IF(VALUE($C3316)&lt;100000000,VALUE($C3316),1000000000),IFERROR(IF(VALUE(MID($C3316,2,20))&lt;100000000,VALUE(MID($C3316,2,20)),1000000000),1000000000))+ROW()/100000,"")</f>
        <v/>
      </c>
    </row>
    <row r="3317">
      <c r="E3317" s="11" t="n"/>
      <c r="M3317" s="7">
        <f>IF($C3317="","",L3317*U3317/100)</f>
        <v/>
      </c>
      <c r="N3317" s="7" t="n"/>
      <c r="T3317" s="7" t="n"/>
      <c r="U3317" s="7">
        <f>IF($C3317="","",S3317*T3317)</f>
        <v/>
      </c>
      <c r="X3317">
        <f>IF($C3317="","",IF($AM3317=1,0,IF($AL3317=1,Settings!$C$6,Settings!$C$7))*100)</f>
        <v/>
      </c>
      <c r="AB3317" s="7" t="n"/>
      <c r="AE3317" s="11" t="n"/>
      <c r="AG3317" s="7">
        <f>IF($C3317="","",U3317*X3317/100)</f>
        <v/>
      </c>
      <c r="AH3317" s="7">
        <f>IF($C3317="","",U3317-AG3317)</f>
        <v/>
      </c>
      <c r="AI3317" s="7">
        <f>IF($C3317="","",AH3317-M3317)</f>
        <v/>
      </c>
      <c r="AJ3317">
        <f>IF($C3317="","",IF(COUNTIF($C$2:$C3317,$C3317)=1,1,0))</f>
        <v/>
      </c>
      <c r="AK3317">
        <f>IF($AJ3317=1,SUMPRODUCT(--($AN$2:$AN$4001&lt;$AN3317))+1,"")</f>
        <v/>
      </c>
      <c r="AL3317">
        <f>IF($C3317="","",IF(OR($Q3317=TRUE(),$Q3317="TRUE"),1,0))</f>
        <v/>
      </c>
      <c r="AM3317">
        <f>IF($C3317="","",IF($W3317="Yes",1,0))</f>
        <v/>
      </c>
      <c r="AN3317">
        <f>IF($AJ3317=1,IFERROR(IF(VALUE($C3317)&lt;100000000,VALUE($C3317),1000000000),IFERROR(IF(VALUE(MID($C3317,2,20))&lt;100000000,VALUE(MID($C3317,2,20)),1000000000),1000000000))+ROW()/100000,"")</f>
        <v/>
      </c>
    </row>
    <row r="3318">
      <c r="E3318" s="11" t="n"/>
      <c r="M3318" s="7">
        <f>IF($C3318="","",L3318*U3318/100)</f>
        <v/>
      </c>
      <c r="N3318" s="7" t="n"/>
      <c r="T3318" s="7" t="n"/>
      <c r="U3318" s="7">
        <f>IF($C3318="","",S3318*T3318)</f>
        <v/>
      </c>
      <c r="X3318">
        <f>IF($C3318="","",IF($AM3318=1,0,IF($AL3318=1,Settings!$C$6,Settings!$C$7))*100)</f>
        <v/>
      </c>
      <c r="AB3318" s="7" t="n"/>
      <c r="AE3318" s="11" t="n"/>
      <c r="AG3318" s="7">
        <f>IF($C3318="","",U3318*X3318/100)</f>
        <v/>
      </c>
      <c r="AH3318" s="7">
        <f>IF($C3318="","",U3318-AG3318)</f>
        <v/>
      </c>
      <c r="AI3318" s="7">
        <f>IF($C3318="","",AH3318-M3318)</f>
        <v/>
      </c>
      <c r="AJ3318">
        <f>IF($C3318="","",IF(COUNTIF($C$2:$C3318,$C3318)=1,1,0))</f>
        <v/>
      </c>
      <c r="AK3318">
        <f>IF($AJ3318=1,SUMPRODUCT(--($AN$2:$AN$4001&lt;$AN3318))+1,"")</f>
        <v/>
      </c>
      <c r="AL3318">
        <f>IF($C3318="","",IF(OR($Q3318=TRUE(),$Q3318="TRUE"),1,0))</f>
        <v/>
      </c>
      <c r="AM3318">
        <f>IF($C3318="","",IF($W3318="Yes",1,0))</f>
        <v/>
      </c>
      <c r="AN3318">
        <f>IF($AJ3318=1,IFERROR(IF(VALUE($C3318)&lt;100000000,VALUE($C3318),1000000000),IFERROR(IF(VALUE(MID($C3318,2,20))&lt;100000000,VALUE(MID($C3318,2,20)),1000000000),1000000000))+ROW()/100000,"")</f>
        <v/>
      </c>
    </row>
    <row r="3319">
      <c r="E3319" s="11" t="n"/>
      <c r="M3319" s="7">
        <f>IF($C3319="","",L3319*U3319/100)</f>
        <v/>
      </c>
      <c r="N3319" s="7" t="n"/>
      <c r="T3319" s="7" t="n"/>
      <c r="U3319" s="7">
        <f>IF($C3319="","",S3319*T3319)</f>
        <v/>
      </c>
      <c r="X3319">
        <f>IF($C3319="","",IF($AM3319=1,0,IF($AL3319=1,Settings!$C$6,Settings!$C$7))*100)</f>
        <v/>
      </c>
      <c r="AB3319" s="7" t="n"/>
      <c r="AE3319" s="11" t="n"/>
      <c r="AG3319" s="7">
        <f>IF($C3319="","",U3319*X3319/100)</f>
        <v/>
      </c>
      <c r="AH3319" s="7">
        <f>IF($C3319="","",U3319-AG3319)</f>
        <v/>
      </c>
      <c r="AI3319" s="7">
        <f>IF($C3319="","",AH3319-M3319)</f>
        <v/>
      </c>
      <c r="AJ3319">
        <f>IF($C3319="","",IF(COUNTIF($C$2:$C3319,$C3319)=1,1,0))</f>
        <v/>
      </c>
      <c r="AK3319">
        <f>IF($AJ3319=1,SUMPRODUCT(--($AN$2:$AN$4001&lt;$AN3319))+1,"")</f>
        <v/>
      </c>
      <c r="AL3319">
        <f>IF($C3319="","",IF(OR($Q3319=TRUE(),$Q3319="TRUE"),1,0))</f>
        <v/>
      </c>
      <c r="AM3319">
        <f>IF($C3319="","",IF($W3319="Yes",1,0))</f>
        <v/>
      </c>
      <c r="AN3319">
        <f>IF($AJ3319=1,IFERROR(IF(VALUE($C3319)&lt;100000000,VALUE($C3319),1000000000),IFERROR(IF(VALUE(MID($C3319,2,20))&lt;100000000,VALUE(MID($C3319,2,20)),1000000000),1000000000))+ROW()/100000,"")</f>
        <v/>
      </c>
    </row>
    <row r="3320">
      <c r="E3320" s="11" t="n"/>
      <c r="M3320" s="7">
        <f>IF($C3320="","",L3320*U3320/100)</f>
        <v/>
      </c>
      <c r="N3320" s="7" t="n"/>
      <c r="T3320" s="7" t="n"/>
      <c r="U3320" s="7">
        <f>IF($C3320="","",S3320*T3320)</f>
        <v/>
      </c>
      <c r="X3320">
        <f>IF($C3320="","",IF($AM3320=1,0,IF($AL3320=1,Settings!$C$6,Settings!$C$7))*100)</f>
        <v/>
      </c>
      <c r="AB3320" s="7" t="n"/>
      <c r="AE3320" s="11" t="n"/>
      <c r="AG3320" s="7">
        <f>IF($C3320="","",U3320*X3320/100)</f>
        <v/>
      </c>
      <c r="AH3320" s="7">
        <f>IF($C3320="","",U3320-AG3320)</f>
        <v/>
      </c>
      <c r="AI3320" s="7">
        <f>IF($C3320="","",AH3320-M3320)</f>
        <v/>
      </c>
      <c r="AJ3320">
        <f>IF($C3320="","",IF(COUNTIF($C$2:$C3320,$C3320)=1,1,0))</f>
        <v/>
      </c>
      <c r="AK3320">
        <f>IF($AJ3320=1,SUMPRODUCT(--($AN$2:$AN$4001&lt;$AN3320))+1,"")</f>
        <v/>
      </c>
      <c r="AL3320">
        <f>IF($C3320="","",IF(OR($Q3320=TRUE(),$Q3320="TRUE"),1,0))</f>
        <v/>
      </c>
      <c r="AM3320">
        <f>IF($C3320="","",IF($W3320="Yes",1,0))</f>
        <v/>
      </c>
      <c r="AN3320">
        <f>IF($AJ3320=1,IFERROR(IF(VALUE($C3320)&lt;100000000,VALUE($C3320),1000000000),IFERROR(IF(VALUE(MID($C3320,2,20))&lt;100000000,VALUE(MID($C3320,2,20)),1000000000),1000000000))+ROW()/100000,"")</f>
        <v/>
      </c>
    </row>
    <row r="3321">
      <c r="E3321" s="11" t="n"/>
      <c r="M3321" s="7">
        <f>IF($C3321="","",L3321*U3321/100)</f>
        <v/>
      </c>
      <c r="N3321" s="7" t="n"/>
      <c r="T3321" s="7" t="n"/>
      <c r="U3321" s="7">
        <f>IF($C3321="","",S3321*T3321)</f>
        <v/>
      </c>
      <c r="X3321">
        <f>IF($C3321="","",IF($AM3321=1,0,IF($AL3321=1,Settings!$C$6,Settings!$C$7))*100)</f>
        <v/>
      </c>
      <c r="AB3321" s="7" t="n"/>
      <c r="AE3321" s="11" t="n"/>
      <c r="AG3321" s="7">
        <f>IF($C3321="","",U3321*X3321/100)</f>
        <v/>
      </c>
      <c r="AH3321" s="7">
        <f>IF($C3321="","",U3321-AG3321)</f>
        <v/>
      </c>
      <c r="AI3321" s="7">
        <f>IF($C3321="","",AH3321-M3321)</f>
        <v/>
      </c>
      <c r="AJ3321">
        <f>IF($C3321="","",IF(COUNTIF($C$2:$C3321,$C3321)=1,1,0))</f>
        <v/>
      </c>
      <c r="AK3321">
        <f>IF($AJ3321=1,SUMPRODUCT(--($AN$2:$AN$4001&lt;$AN3321))+1,"")</f>
        <v/>
      </c>
      <c r="AL3321">
        <f>IF($C3321="","",IF(OR($Q3321=TRUE(),$Q3321="TRUE"),1,0))</f>
        <v/>
      </c>
      <c r="AM3321">
        <f>IF($C3321="","",IF($W3321="Yes",1,0))</f>
        <v/>
      </c>
      <c r="AN3321">
        <f>IF($AJ3321=1,IFERROR(IF(VALUE($C3321)&lt;100000000,VALUE($C3321),1000000000),IFERROR(IF(VALUE(MID($C3321,2,20))&lt;100000000,VALUE(MID($C3321,2,20)),1000000000),1000000000))+ROW()/100000,"")</f>
        <v/>
      </c>
    </row>
    <row r="3322">
      <c r="E3322" s="11" t="n"/>
      <c r="M3322" s="7">
        <f>IF($C3322="","",L3322*U3322/100)</f>
        <v/>
      </c>
      <c r="N3322" s="7" t="n"/>
      <c r="T3322" s="7" t="n"/>
      <c r="U3322" s="7">
        <f>IF($C3322="","",S3322*T3322)</f>
        <v/>
      </c>
      <c r="X3322">
        <f>IF($C3322="","",IF($AM3322=1,0,IF($AL3322=1,Settings!$C$6,Settings!$C$7))*100)</f>
        <v/>
      </c>
      <c r="AB3322" s="7" t="n"/>
      <c r="AE3322" s="11" t="n"/>
      <c r="AG3322" s="7">
        <f>IF($C3322="","",U3322*X3322/100)</f>
        <v/>
      </c>
      <c r="AH3322" s="7">
        <f>IF($C3322="","",U3322-AG3322)</f>
        <v/>
      </c>
      <c r="AI3322" s="7">
        <f>IF($C3322="","",AH3322-M3322)</f>
        <v/>
      </c>
      <c r="AJ3322">
        <f>IF($C3322="","",IF(COUNTIF($C$2:$C3322,$C3322)=1,1,0))</f>
        <v/>
      </c>
      <c r="AK3322">
        <f>IF($AJ3322=1,SUMPRODUCT(--($AN$2:$AN$4001&lt;$AN3322))+1,"")</f>
        <v/>
      </c>
      <c r="AL3322">
        <f>IF($C3322="","",IF(OR($Q3322=TRUE(),$Q3322="TRUE"),1,0))</f>
        <v/>
      </c>
      <c r="AM3322">
        <f>IF($C3322="","",IF($W3322="Yes",1,0))</f>
        <v/>
      </c>
      <c r="AN3322">
        <f>IF($AJ3322=1,IFERROR(IF(VALUE($C3322)&lt;100000000,VALUE($C3322),1000000000),IFERROR(IF(VALUE(MID($C3322,2,20))&lt;100000000,VALUE(MID($C3322,2,20)),1000000000),1000000000))+ROW()/100000,"")</f>
        <v/>
      </c>
    </row>
    <row r="3323">
      <c r="E3323" s="11" t="n"/>
      <c r="M3323" s="7">
        <f>IF($C3323="","",L3323*U3323/100)</f>
        <v/>
      </c>
      <c r="N3323" s="7" t="n"/>
      <c r="T3323" s="7" t="n"/>
      <c r="U3323" s="7">
        <f>IF($C3323="","",S3323*T3323)</f>
        <v/>
      </c>
      <c r="X3323">
        <f>IF($C3323="","",IF($AM3323=1,0,IF($AL3323=1,Settings!$C$6,Settings!$C$7))*100)</f>
        <v/>
      </c>
      <c r="AB3323" s="7" t="n"/>
      <c r="AE3323" s="11" t="n"/>
      <c r="AG3323" s="7">
        <f>IF($C3323="","",U3323*X3323/100)</f>
        <v/>
      </c>
      <c r="AH3323" s="7">
        <f>IF($C3323="","",U3323-AG3323)</f>
        <v/>
      </c>
      <c r="AI3323" s="7">
        <f>IF($C3323="","",AH3323-M3323)</f>
        <v/>
      </c>
      <c r="AJ3323">
        <f>IF($C3323="","",IF(COUNTIF($C$2:$C3323,$C3323)=1,1,0))</f>
        <v/>
      </c>
      <c r="AK3323">
        <f>IF($AJ3323=1,SUMPRODUCT(--($AN$2:$AN$4001&lt;$AN3323))+1,"")</f>
        <v/>
      </c>
      <c r="AL3323">
        <f>IF($C3323="","",IF(OR($Q3323=TRUE(),$Q3323="TRUE"),1,0))</f>
        <v/>
      </c>
      <c r="AM3323">
        <f>IF($C3323="","",IF($W3323="Yes",1,0))</f>
        <v/>
      </c>
      <c r="AN3323">
        <f>IF($AJ3323=1,IFERROR(IF(VALUE($C3323)&lt;100000000,VALUE($C3323),1000000000),IFERROR(IF(VALUE(MID($C3323,2,20))&lt;100000000,VALUE(MID($C3323,2,20)),1000000000),1000000000))+ROW()/100000,"")</f>
        <v/>
      </c>
    </row>
    <row r="3324">
      <c r="E3324" s="11" t="n"/>
      <c r="M3324" s="7">
        <f>IF($C3324="","",L3324*U3324/100)</f>
        <v/>
      </c>
      <c r="N3324" s="7" t="n"/>
      <c r="T3324" s="7" t="n"/>
      <c r="U3324" s="7">
        <f>IF($C3324="","",S3324*T3324)</f>
        <v/>
      </c>
      <c r="X3324">
        <f>IF($C3324="","",IF($AM3324=1,0,IF($AL3324=1,Settings!$C$6,Settings!$C$7))*100)</f>
        <v/>
      </c>
      <c r="AB3324" s="7" t="n"/>
      <c r="AE3324" s="11" t="n"/>
      <c r="AG3324" s="7">
        <f>IF($C3324="","",U3324*X3324/100)</f>
        <v/>
      </c>
      <c r="AH3324" s="7">
        <f>IF($C3324="","",U3324-AG3324)</f>
        <v/>
      </c>
      <c r="AI3324" s="7">
        <f>IF($C3324="","",AH3324-M3324)</f>
        <v/>
      </c>
      <c r="AJ3324">
        <f>IF($C3324="","",IF(COUNTIF($C$2:$C3324,$C3324)=1,1,0))</f>
        <v/>
      </c>
      <c r="AK3324">
        <f>IF($AJ3324=1,SUMPRODUCT(--($AN$2:$AN$4001&lt;$AN3324))+1,"")</f>
        <v/>
      </c>
      <c r="AL3324">
        <f>IF($C3324="","",IF(OR($Q3324=TRUE(),$Q3324="TRUE"),1,0))</f>
        <v/>
      </c>
      <c r="AM3324">
        <f>IF($C3324="","",IF($W3324="Yes",1,0))</f>
        <v/>
      </c>
      <c r="AN3324">
        <f>IF($AJ3324=1,IFERROR(IF(VALUE($C3324)&lt;100000000,VALUE($C3324),1000000000),IFERROR(IF(VALUE(MID($C3324,2,20))&lt;100000000,VALUE(MID($C3324,2,20)),1000000000),1000000000))+ROW()/100000,"")</f>
        <v/>
      </c>
    </row>
    <row r="3325">
      <c r="E3325" s="11" t="n"/>
      <c r="M3325" s="7">
        <f>IF($C3325="","",L3325*U3325/100)</f>
        <v/>
      </c>
      <c r="N3325" s="7" t="n"/>
      <c r="T3325" s="7" t="n"/>
      <c r="U3325" s="7">
        <f>IF($C3325="","",S3325*T3325)</f>
        <v/>
      </c>
      <c r="X3325">
        <f>IF($C3325="","",IF($AM3325=1,0,IF($AL3325=1,Settings!$C$6,Settings!$C$7))*100)</f>
        <v/>
      </c>
      <c r="AB3325" s="7" t="n"/>
      <c r="AE3325" s="11" t="n"/>
      <c r="AG3325" s="7">
        <f>IF($C3325="","",U3325*X3325/100)</f>
        <v/>
      </c>
      <c r="AH3325" s="7">
        <f>IF($C3325="","",U3325-AG3325)</f>
        <v/>
      </c>
      <c r="AI3325" s="7">
        <f>IF($C3325="","",AH3325-M3325)</f>
        <v/>
      </c>
      <c r="AJ3325">
        <f>IF($C3325="","",IF(COUNTIF($C$2:$C3325,$C3325)=1,1,0))</f>
        <v/>
      </c>
      <c r="AK3325">
        <f>IF($AJ3325=1,SUMPRODUCT(--($AN$2:$AN$4001&lt;$AN3325))+1,"")</f>
        <v/>
      </c>
      <c r="AL3325">
        <f>IF($C3325="","",IF(OR($Q3325=TRUE(),$Q3325="TRUE"),1,0))</f>
        <v/>
      </c>
      <c r="AM3325">
        <f>IF($C3325="","",IF($W3325="Yes",1,0))</f>
        <v/>
      </c>
      <c r="AN3325">
        <f>IF($AJ3325=1,IFERROR(IF(VALUE($C3325)&lt;100000000,VALUE($C3325),1000000000),IFERROR(IF(VALUE(MID($C3325,2,20))&lt;100000000,VALUE(MID($C3325,2,20)),1000000000),1000000000))+ROW()/100000,"")</f>
        <v/>
      </c>
    </row>
    <row r="3326">
      <c r="E3326" s="11" t="n"/>
      <c r="M3326" s="7">
        <f>IF($C3326="","",L3326*U3326/100)</f>
        <v/>
      </c>
      <c r="N3326" s="7" t="n"/>
      <c r="T3326" s="7" t="n"/>
      <c r="U3326" s="7">
        <f>IF($C3326="","",S3326*T3326)</f>
        <v/>
      </c>
      <c r="X3326">
        <f>IF($C3326="","",IF($AM3326=1,0,IF($AL3326=1,Settings!$C$6,Settings!$C$7))*100)</f>
        <v/>
      </c>
      <c r="AB3326" s="7" t="n"/>
      <c r="AE3326" s="11" t="n"/>
      <c r="AG3326" s="7">
        <f>IF($C3326="","",U3326*X3326/100)</f>
        <v/>
      </c>
      <c r="AH3326" s="7">
        <f>IF($C3326="","",U3326-AG3326)</f>
        <v/>
      </c>
      <c r="AI3326" s="7">
        <f>IF($C3326="","",AH3326-M3326)</f>
        <v/>
      </c>
      <c r="AJ3326">
        <f>IF($C3326="","",IF(COUNTIF($C$2:$C3326,$C3326)=1,1,0))</f>
        <v/>
      </c>
      <c r="AK3326">
        <f>IF($AJ3326=1,SUMPRODUCT(--($AN$2:$AN$4001&lt;$AN3326))+1,"")</f>
        <v/>
      </c>
      <c r="AL3326">
        <f>IF($C3326="","",IF(OR($Q3326=TRUE(),$Q3326="TRUE"),1,0))</f>
        <v/>
      </c>
      <c r="AM3326">
        <f>IF($C3326="","",IF($W3326="Yes",1,0))</f>
        <v/>
      </c>
      <c r="AN3326">
        <f>IF($AJ3326=1,IFERROR(IF(VALUE($C3326)&lt;100000000,VALUE($C3326),1000000000),IFERROR(IF(VALUE(MID($C3326,2,20))&lt;100000000,VALUE(MID($C3326,2,20)),1000000000),1000000000))+ROW()/100000,"")</f>
        <v/>
      </c>
    </row>
    <row r="3327">
      <c r="E3327" s="11" t="n"/>
      <c r="M3327" s="7">
        <f>IF($C3327="","",L3327*U3327/100)</f>
        <v/>
      </c>
      <c r="N3327" s="7" t="n"/>
      <c r="T3327" s="7" t="n"/>
      <c r="U3327" s="7">
        <f>IF($C3327="","",S3327*T3327)</f>
        <v/>
      </c>
      <c r="X3327">
        <f>IF($C3327="","",IF($AM3327=1,0,IF($AL3327=1,Settings!$C$6,Settings!$C$7))*100)</f>
        <v/>
      </c>
      <c r="AB3327" s="7" t="n"/>
      <c r="AE3327" s="11" t="n"/>
      <c r="AG3327" s="7">
        <f>IF($C3327="","",U3327*X3327/100)</f>
        <v/>
      </c>
      <c r="AH3327" s="7">
        <f>IF($C3327="","",U3327-AG3327)</f>
        <v/>
      </c>
      <c r="AI3327" s="7">
        <f>IF($C3327="","",AH3327-M3327)</f>
        <v/>
      </c>
      <c r="AJ3327">
        <f>IF($C3327="","",IF(COUNTIF($C$2:$C3327,$C3327)=1,1,0))</f>
        <v/>
      </c>
      <c r="AK3327">
        <f>IF($AJ3327=1,SUMPRODUCT(--($AN$2:$AN$4001&lt;$AN3327))+1,"")</f>
        <v/>
      </c>
      <c r="AL3327">
        <f>IF($C3327="","",IF(OR($Q3327=TRUE(),$Q3327="TRUE"),1,0))</f>
        <v/>
      </c>
      <c r="AM3327">
        <f>IF($C3327="","",IF($W3327="Yes",1,0))</f>
        <v/>
      </c>
      <c r="AN3327">
        <f>IF($AJ3327=1,IFERROR(IF(VALUE($C3327)&lt;100000000,VALUE($C3327),1000000000),IFERROR(IF(VALUE(MID($C3327,2,20))&lt;100000000,VALUE(MID($C3327,2,20)),1000000000),1000000000))+ROW()/100000,"")</f>
        <v/>
      </c>
    </row>
    <row r="3328">
      <c r="E3328" s="11" t="n"/>
      <c r="M3328" s="7">
        <f>IF($C3328="","",L3328*U3328/100)</f>
        <v/>
      </c>
      <c r="N3328" s="7" t="n"/>
      <c r="T3328" s="7" t="n"/>
      <c r="U3328" s="7">
        <f>IF($C3328="","",S3328*T3328)</f>
        <v/>
      </c>
      <c r="X3328">
        <f>IF($C3328="","",IF($AM3328=1,0,IF($AL3328=1,Settings!$C$6,Settings!$C$7))*100)</f>
        <v/>
      </c>
      <c r="AB3328" s="7" t="n"/>
      <c r="AE3328" s="11" t="n"/>
      <c r="AG3328" s="7">
        <f>IF($C3328="","",U3328*X3328/100)</f>
        <v/>
      </c>
      <c r="AH3328" s="7">
        <f>IF($C3328="","",U3328-AG3328)</f>
        <v/>
      </c>
      <c r="AI3328" s="7">
        <f>IF($C3328="","",AH3328-M3328)</f>
        <v/>
      </c>
      <c r="AJ3328">
        <f>IF($C3328="","",IF(COUNTIF($C$2:$C3328,$C3328)=1,1,0))</f>
        <v/>
      </c>
      <c r="AK3328">
        <f>IF($AJ3328=1,SUMPRODUCT(--($AN$2:$AN$4001&lt;$AN3328))+1,"")</f>
        <v/>
      </c>
      <c r="AL3328">
        <f>IF($C3328="","",IF(OR($Q3328=TRUE(),$Q3328="TRUE"),1,0))</f>
        <v/>
      </c>
      <c r="AM3328">
        <f>IF($C3328="","",IF($W3328="Yes",1,0))</f>
        <v/>
      </c>
      <c r="AN3328">
        <f>IF($AJ3328=1,IFERROR(IF(VALUE($C3328)&lt;100000000,VALUE($C3328),1000000000),IFERROR(IF(VALUE(MID($C3328,2,20))&lt;100000000,VALUE(MID($C3328,2,20)),1000000000),1000000000))+ROW()/100000,"")</f>
        <v/>
      </c>
    </row>
    <row r="3329">
      <c r="E3329" s="11" t="n"/>
      <c r="M3329" s="7">
        <f>IF($C3329="","",L3329*U3329/100)</f>
        <v/>
      </c>
      <c r="N3329" s="7" t="n"/>
      <c r="T3329" s="7" t="n"/>
      <c r="U3329" s="7">
        <f>IF($C3329="","",S3329*T3329)</f>
        <v/>
      </c>
      <c r="X3329">
        <f>IF($C3329="","",IF($AM3329=1,0,IF($AL3329=1,Settings!$C$6,Settings!$C$7))*100)</f>
        <v/>
      </c>
      <c r="AB3329" s="7" t="n"/>
      <c r="AE3329" s="11" t="n"/>
      <c r="AG3329" s="7">
        <f>IF($C3329="","",U3329*X3329/100)</f>
        <v/>
      </c>
      <c r="AH3329" s="7">
        <f>IF($C3329="","",U3329-AG3329)</f>
        <v/>
      </c>
      <c r="AI3329" s="7">
        <f>IF($C3329="","",AH3329-M3329)</f>
        <v/>
      </c>
      <c r="AJ3329">
        <f>IF($C3329="","",IF(COUNTIF($C$2:$C3329,$C3329)=1,1,0))</f>
        <v/>
      </c>
      <c r="AK3329">
        <f>IF($AJ3329=1,SUMPRODUCT(--($AN$2:$AN$4001&lt;$AN3329))+1,"")</f>
        <v/>
      </c>
      <c r="AL3329">
        <f>IF($C3329="","",IF(OR($Q3329=TRUE(),$Q3329="TRUE"),1,0))</f>
        <v/>
      </c>
      <c r="AM3329">
        <f>IF($C3329="","",IF($W3329="Yes",1,0))</f>
        <v/>
      </c>
      <c r="AN3329">
        <f>IF($AJ3329=1,IFERROR(IF(VALUE($C3329)&lt;100000000,VALUE($C3329),1000000000),IFERROR(IF(VALUE(MID($C3329,2,20))&lt;100000000,VALUE(MID($C3329,2,20)),1000000000),1000000000))+ROW()/100000,"")</f>
        <v/>
      </c>
    </row>
    <row r="3330">
      <c r="E3330" s="11" t="n"/>
      <c r="M3330" s="7">
        <f>IF($C3330="","",L3330*U3330/100)</f>
        <v/>
      </c>
      <c r="N3330" s="7" t="n"/>
      <c r="T3330" s="7" t="n"/>
      <c r="U3330" s="7">
        <f>IF($C3330="","",S3330*T3330)</f>
        <v/>
      </c>
      <c r="X3330">
        <f>IF($C3330="","",IF($AM3330=1,0,IF($AL3330=1,Settings!$C$6,Settings!$C$7))*100)</f>
        <v/>
      </c>
      <c r="AB3330" s="7" t="n"/>
      <c r="AE3330" s="11" t="n"/>
      <c r="AG3330" s="7">
        <f>IF($C3330="","",U3330*X3330/100)</f>
        <v/>
      </c>
      <c r="AH3330" s="7">
        <f>IF($C3330="","",U3330-AG3330)</f>
        <v/>
      </c>
      <c r="AI3330" s="7">
        <f>IF($C3330="","",AH3330-M3330)</f>
        <v/>
      </c>
      <c r="AJ3330">
        <f>IF($C3330="","",IF(COUNTIF($C$2:$C3330,$C3330)=1,1,0))</f>
        <v/>
      </c>
      <c r="AK3330">
        <f>IF($AJ3330=1,SUMPRODUCT(--($AN$2:$AN$4001&lt;$AN3330))+1,"")</f>
        <v/>
      </c>
      <c r="AL3330">
        <f>IF($C3330="","",IF(OR($Q3330=TRUE(),$Q3330="TRUE"),1,0))</f>
        <v/>
      </c>
      <c r="AM3330">
        <f>IF($C3330="","",IF($W3330="Yes",1,0))</f>
        <v/>
      </c>
      <c r="AN3330">
        <f>IF($AJ3330=1,IFERROR(IF(VALUE($C3330)&lt;100000000,VALUE($C3330),1000000000),IFERROR(IF(VALUE(MID($C3330,2,20))&lt;100000000,VALUE(MID($C3330,2,20)),1000000000),1000000000))+ROW()/100000,"")</f>
        <v/>
      </c>
    </row>
    <row r="3331">
      <c r="E3331" s="11" t="n"/>
      <c r="M3331" s="7">
        <f>IF($C3331="","",L3331*U3331/100)</f>
        <v/>
      </c>
      <c r="N3331" s="7" t="n"/>
      <c r="T3331" s="7" t="n"/>
      <c r="U3331" s="7">
        <f>IF($C3331="","",S3331*T3331)</f>
        <v/>
      </c>
      <c r="X3331">
        <f>IF($C3331="","",IF($AM3331=1,0,IF($AL3331=1,Settings!$C$6,Settings!$C$7))*100)</f>
        <v/>
      </c>
      <c r="AB3331" s="7" t="n"/>
      <c r="AE3331" s="11" t="n"/>
      <c r="AG3331" s="7">
        <f>IF($C3331="","",U3331*X3331/100)</f>
        <v/>
      </c>
      <c r="AH3331" s="7">
        <f>IF($C3331="","",U3331-AG3331)</f>
        <v/>
      </c>
      <c r="AI3331" s="7">
        <f>IF($C3331="","",AH3331-M3331)</f>
        <v/>
      </c>
      <c r="AJ3331">
        <f>IF($C3331="","",IF(COUNTIF($C$2:$C3331,$C3331)=1,1,0))</f>
        <v/>
      </c>
      <c r="AK3331">
        <f>IF($AJ3331=1,SUMPRODUCT(--($AN$2:$AN$4001&lt;$AN3331))+1,"")</f>
        <v/>
      </c>
      <c r="AL3331">
        <f>IF($C3331="","",IF(OR($Q3331=TRUE(),$Q3331="TRUE"),1,0))</f>
        <v/>
      </c>
      <c r="AM3331">
        <f>IF($C3331="","",IF($W3331="Yes",1,0))</f>
        <v/>
      </c>
      <c r="AN3331">
        <f>IF($AJ3331=1,IFERROR(IF(VALUE($C3331)&lt;100000000,VALUE($C3331),1000000000),IFERROR(IF(VALUE(MID($C3331,2,20))&lt;100000000,VALUE(MID($C3331,2,20)),1000000000),1000000000))+ROW()/100000,"")</f>
        <v/>
      </c>
    </row>
    <row r="3332">
      <c r="E3332" s="11" t="n"/>
      <c r="M3332" s="7">
        <f>IF($C3332="","",L3332*U3332/100)</f>
        <v/>
      </c>
      <c r="N3332" s="7" t="n"/>
      <c r="T3332" s="7" t="n"/>
      <c r="U3332" s="7">
        <f>IF($C3332="","",S3332*T3332)</f>
        <v/>
      </c>
      <c r="X3332">
        <f>IF($C3332="","",IF($AM3332=1,0,IF($AL3332=1,Settings!$C$6,Settings!$C$7))*100)</f>
        <v/>
      </c>
      <c r="AB3332" s="7" t="n"/>
      <c r="AE3332" s="11" t="n"/>
      <c r="AG3332" s="7">
        <f>IF($C3332="","",U3332*X3332/100)</f>
        <v/>
      </c>
      <c r="AH3332" s="7">
        <f>IF($C3332="","",U3332-AG3332)</f>
        <v/>
      </c>
      <c r="AI3332" s="7">
        <f>IF($C3332="","",AH3332-M3332)</f>
        <v/>
      </c>
      <c r="AJ3332">
        <f>IF($C3332="","",IF(COUNTIF($C$2:$C3332,$C3332)=1,1,0))</f>
        <v/>
      </c>
      <c r="AK3332">
        <f>IF($AJ3332=1,SUMPRODUCT(--($AN$2:$AN$4001&lt;$AN3332))+1,"")</f>
        <v/>
      </c>
      <c r="AL3332">
        <f>IF($C3332="","",IF(OR($Q3332=TRUE(),$Q3332="TRUE"),1,0))</f>
        <v/>
      </c>
      <c r="AM3332">
        <f>IF($C3332="","",IF($W3332="Yes",1,0))</f>
        <v/>
      </c>
      <c r="AN3332">
        <f>IF($AJ3332=1,IFERROR(IF(VALUE($C3332)&lt;100000000,VALUE($C3332),1000000000),IFERROR(IF(VALUE(MID($C3332,2,20))&lt;100000000,VALUE(MID($C3332,2,20)),1000000000),1000000000))+ROW()/100000,"")</f>
        <v/>
      </c>
    </row>
    <row r="3333">
      <c r="E3333" s="11" t="n"/>
      <c r="M3333" s="7">
        <f>IF($C3333="","",L3333*U3333/100)</f>
        <v/>
      </c>
      <c r="N3333" s="7" t="n"/>
      <c r="T3333" s="7" t="n"/>
      <c r="U3333" s="7">
        <f>IF($C3333="","",S3333*T3333)</f>
        <v/>
      </c>
      <c r="X3333">
        <f>IF($C3333="","",IF($AM3333=1,0,IF($AL3333=1,Settings!$C$6,Settings!$C$7))*100)</f>
        <v/>
      </c>
      <c r="AB3333" s="7" t="n"/>
      <c r="AE3333" s="11" t="n"/>
      <c r="AG3333" s="7">
        <f>IF($C3333="","",U3333*X3333/100)</f>
        <v/>
      </c>
      <c r="AH3333" s="7">
        <f>IF($C3333="","",U3333-AG3333)</f>
        <v/>
      </c>
      <c r="AI3333" s="7">
        <f>IF($C3333="","",AH3333-M3333)</f>
        <v/>
      </c>
      <c r="AJ3333">
        <f>IF($C3333="","",IF(COUNTIF($C$2:$C3333,$C3333)=1,1,0))</f>
        <v/>
      </c>
      <c r="AK3333">
        <f>IF($AJ3333=1,SUMPRODUCT(--($AN$2:$AN$4001&lt;$AN3333))+1,"")</f>
        <v/>
      </c>
      <c r="AL3333">
        <f>IF($C3333="","",IF(OR($Q3333=TRUE(),$Q3333="TRUE"),1,0))</f>
        <v/>
      </c>
      <c r="AM3333">
        <f>IF($C3333="","",IF($W3333="Yes",1,0))</f>
        <v/>
      </c>
      <c r="AN3333">
        <f>IF($AJ3333=1,IFERROR(IF(VALUE($C3333)&lt;100000000,VALUE($C3333),1000000000),IFERROR(IF(VALUE(MID($C3333,2,20))&lt;100000000,VALUE(MID($C3333,2,20)),1000000000),1000000000))+ROW()/100000,"")</f>
        <v/>
      </c>
    </row>
    <row r="3334">
      <c r="E3334" s="11" t="n"/>
      <c r="M3334" s="7">
        <f>IF($C3334="","",L3334*U3334/100)</f>
        <v/>
      </c>
      <c r="N3334" s="7" t="n"/>
      <c r="T3334" s="7" t="n"/>
      <c r="U3334" s="7">
        <f>IF($C3334="","",S3334*T3334)</f>
        <v/>
      </c>
      <c r="X3334">
        <f>IF($C3334="","",IF($AM3334=1,0,IF($AL3334=1,Settings!$C$6,Settings!$C$7))*100)</f>
        <v/>
      </c>
      <c r="AB3334" s="7" t="n"/>
      <c r="AE3334" s="11" t="n"/>
      <c r="AG3334" s="7">
        <f>IF($C3334="","",U3334*X3334/100)</f>
        <v/>
      </c>
      <c r="AH3334" s="7">
        <f>IF($C3334="","",U3334-AG3334)</f>
        <v/>
      </c>
      <c r="AI3334" s="7">
        <f>IF($C3334="","",AH3334-M3334)</f>
        <v/>
      </c>
      <c r="AJ3334">
        <f>IF($C3334="","",IF(COUNTIF($C$2:$C3334,$C3334)=1,1,0))</f>
        <v/>
      </c>
      <c r="AK3334">
        <f>IF($AJ3334=1,SUMPRODUCT(--($AN$2:$AN$4001&lt;$AN3334))+1,"")</f>
        <v/>
      </c>
      <c r="AL3334">
        <f>IF($C3334="","",IF(OR($Q3334=TRUE(),$Q3334="TRUE"),1,0))</f>
        <v/>
      </c>
      <c r="AM3334">
        <f>IF($C3334="","",IF($W3334="Yes",1,0))</f>
        <v/>
      </c>
      <c r="AN3334">
        <f>IF($AJ3334=1,IFERROR(IF(VALUE($C3334)&lt;100000000,VALUE($C3334),1000000000),IFERROR(IF(VALUE(MID($C3334,2,20))&lt;100000000,VALUE(MID($C3334,2,20)),1000000000),1000000000))+ROW()/100000,"")</f>
        <v/>
      </c>
    </row>
    <row r="3335">
      <c r="E3335" s="11" t="n"/>
      <c r="M3335" s="7">
        <f>IF($C3335="","",L3335*U3335/100)</f>
        <v/>
      </c>
      <c r="N3335" s="7" t="n"/>
      <c r="T3335" s="7" t="n"/>
      <c r="U3335" s="7">
        <f>IF($C3335="","",S3335*T3335)</f>
        <v/>
      </c>
      <c r="X3335">
        <f>IF($C3335="","",IF($AM3335=1,0,IF($AL3335=1,Settings!$C$6,Settings!$C$7))*100)</f>
        <v/>
      </c>
      <c r="AB3335" s="7" t="n"/>
      <c r="AE3335" s="11" t="n"/>
      <c r="AG3335" s="7">
        <f>IF($C3335="","",U3335*X3335/100)</f>
        <v/>
      </c>
      <c r="AH3335" s="7">
        <f>IF($C3335="","",U3335-AG3335)</f>
        <v/>
      </c>
      <c r="AI3335" s="7">
        <f>IF($C3335="","",AH3335-M3335)</f>
        <v/>
      </c>
      <c r="AJ3335">
        <f>IF($C3335="","",IF(COUNTIF($C$2:$C3335,$C3335)=1,1,0))</f>
        <v/>
      </c>
      <c r="AK3335">
        <f>IF($AJ3335=1,SUMPRODUCT(--($AN$2:$AN$4001&lt;$AN3335))+1,"")</f>
        <v/>
      </c>
      <c r="AL3335">
        <f>IF($C3335="","",IF(OR($Q3335=TRUE(),$Q3335="TRUE"),1,0))</f>
        <v/>
      </c>
      <c r="AM3335">
        <f>IF($C3335="","",IF($W3335="Yes",1,0))</f>
        <v/>
      </c>
      <c r="AN3335">
        <f>IF($AJ3335=1,IFERROR(IF(VALUE($C3335)&lt;100000000,VALUE($C3335),1000000000),IFERROR(IF(VALUE(MID($C3335,2,20))&lt;100000000,VALUE(MID($C3335,2,20)),1000000000),1000000000))+ROW()/100000,"")</f>
        <v/>
      </c>
    </row>
    <row r="3336">
      <c r="E3336" s="11" t="n"/>
      <c r="M3336" s="7">
        <f>IF($C3336="","",L3336*U3336/100)</f>
        <v/>
      </c>
      <c r="N3336" s="7" t="n"/>
      <c r="T3336" s="7" t="n"/>
      <c r="U3336" s="7">
        <f>IF($C3336="","",S3336*T3336)</f>
        <v/>
      </c>
      <c r="X3336">
        <f>IF($C3336="","",IF($AM3336=1,0,IF($AL3336=1,Settings!$C$6,Settings!$C$7))*100)</f>
        <v/>
      </c>
      <c r="AB3336" s="7" t="n"/>
      <c r="AE3336" s="11" t="n"/>
      <c r="AG3336" s="7">
        <f>IF($C3336="","",U3336*X3336/100)</f>
        <v/>
      </c>
      <c r="AH3336" s="7">
        <f>IF($C3336="","",U3336-AG3336)</f>
        <v/>
      </c>
      <c r="AI3336" s="7">
        <f>IF($C3336="","",AH3336-M3336)</f>
        <v/>
      </c>
      <c r="AJ3336">
        <f>IF($C3336="","",IF(COUNTIF($C$2:$C3336,$C3336)=1,1,0))</f>
        <v/>
      </c>
      <c r="AK3336">
        <f>IF($AJ3336=1,SUMPRODUCT(--($AN$2:$AN$4001&lt;$AN3336))+1,"")</f>
        <v/>
      </c>
      <c r="AL3336">
        <f>IF($C3336="","",IF(OR($Q3336=TRUE(),$Q3336="TRUE"),1,0))</f>
        <v/>
      </c>
      <c r="AM3336">
        <f>IF($C3336="","",IF($W3336="Yes",1,0))</f>
        <v/>
      </c>
      <c r="AN3336">
        <f>IF($AJ3336=1,IFERROR(IF(VALUE($C3336)&lt;100000000,VALUE($C3336),1000000000),IFERROR(IF(VALUE(MID($C3336,2,20))&lt;100000000,VALUE(MID($C3336,2,20)),1000000000),1000000000))+ROW()/100000,"")</f>
        <v/>
      </c>
    </row>
    <row r="3337">
      <c r="E3337" s="11" t="n"/>
      <c r="M3337" s="7">
        <f>IF($C3337="","",L3337*U3337/100)</f>
        <v/>
      </c>
      <c r="N3337" s="7" t="n"/>
      <c r="T3337" s="7" t="n"/>
      <c r="U3337" s="7">
        <f>IF($C3337="","",S3337*T3337)</f>
        <v/>
      </c>
      <c r="X3337">
        <f>IF($C3337="","",IF($AM3337=1,0,IF($AL3337=1,Settings!$C$6,Settings!$C$7))*100)</f>
        <v/>
      </c>
      <c r="AB3337" s="7" t="n"/>
      <c r="AE3337" s="11" t="n"/>
      <c r="AG3337" s="7">
        <f>IF($C3337="","",U3337*X3337/100)</f>
        <v/>
      </c>
      <c r="AH3337" s="7">
        <f>IF($C3337="","",U3337-AG3337)</f>
        <v/>
      </c>
      <c r="AI3337" s="7">
        <f>IF($C3337="","",AH3337-M3337)</f>
        <v/>
      </c>
      <c r="AJ3337">
        <f>IF($C3337="","",IF(COUNTIF($C$2:$C3337,$C3337)=1,1,0))</f>
        <v/>
      </c>
      <c r="AK3337">
        <f>IF($AJ3337=1,SUMPRODUCT(--($AN$2:$AN$4001&lt;$AN3337))+1,"")</f>
        <v/>
      </c>
      <c r="AL3337">
        <f>IF($C3337="","",IF(OR($Q3337=TRUE(),$Q3337="TRUE"),1,0))</f>
        <v/>
      </c>
      <c r="AM3337">
        <f>IF($C3337="","",IF($W3337="Yes",1,0))</f>
        <v/>
      </c>
      <c r="AN3337">
        <f>IF($AJ3337=1,IFERROR(IF(VALUE($C3337)&lt;100000000,VALUE($C3337),1000000000),IFERROR(IF(VALUE(MID($C3337,2,20))&lt;100000000,VALUE(MID($C3337,2,20)),1000000000),1000000000))+ROW()/100000,"")</f>
        <v/>
      </c>
    </row>
    <row r="3338">
      <c r="E3338" s="11" t="n"/>
      <c r="M3338" s="7">
        <f>IF($C3338="","",L3338*U3338/100)</f>
        <v/>
      </c>
      <c r="N3338" s="7" t="n"/>
      <c r="T3338" s="7" t="n"/>
      <c r="U3338" s="7">
        <f>IF($C3338="","",S3338*T3338)</f>
        <v/>
      </c>
      <c r="X3338">
        <f>IF($C3338="","",IF($AM3338=1,0,IF($AL3338=1,Settings!$C$6,Settings!$C$7))*100)</f>
        <v/>
      </c>
      <c r="AB3338" s="7" t="n"/>
      <c r="AE3338" s="11" t="n"/>
      <c r="AG3338" s="7">
        <f>IF($C3338="","",U3338*X3338/100)</f>
        <v/>
      </c>
      <c r="AH3338" s="7">
        <f>IF($C3338="","",U3338-AG3338)</f>
        <v/>
      </c>
      <c r="AI3338" s="7">
        <f>IF($C3338="","",AH3338-M3338)</f>
        <v/>
      </c>
      <c r="AJ3338">
        <f>IF($C3338="","",IF(COUNTIF($C$2:$C3338,$C3338)=1,1,0))</f>
        <v/>
      </c>
      <c r="AK3338">
        <f>IF($AJ3338=1,SUMPRODUCT(--($AN$2:$AN$4001&lt;$AN3338))+1,"")</f>
        <v/>
      </c>
      <c r="AL3338">
        <f>IF($C3338="","",IF(OR($Q3338=TRUE(),$Q3338="TRUE"),1,0))</f>
        <v/>
      </c>
      <c r="AM3338">
        <f>IF($C3338="","",IF($W3338="Yes",1,0))</f>
        <v/>
      </c>
      <c r="AN3338">
        <f>IF($AJ3338=1,IFERROR(IF(VALUE($C3338)&lt;100000000,VALUE($C3338),1000000000),IFERROR(IF(VALUE(MID($C3338,2,20))&lt;100000000,VALUE(MID($C3338,2,20)),1000000000),1000000000))+ROW()/100000,"")</f>
        <v/>
      </c>
    </row>
    <row r="3339">
      <c r="E3339" s="11" t="n"/>
      <c r="M3339" s="7">
        <f>IF($C3339="","",L3339*U3339/100)</f>
        <v/>
      </c>
      <c r="N3339" s="7" t="n"/>
      <c r="T3339" s="7" t="n"/>
      <c r="U3339" s="7">
        <f>IF($C3339="","",S3339*T3339)</f>
        <v/>
      </c>
      <c r="X3339">
        <f>IF($C3339="","",IF($AM3339=1,0,IF($AL3339=1,Settings!$C$6,Settings!$C$7))*100)</f>
        <v/>
      </c>
      <c r="AB3339" s="7" t="n"/>
      <c r="AE3339" s="11" t="n"/>
      <c r="AG3339" s="7">
        <f>IF($C3339="","",U3339*X3339/100)</f>
        <v/>
      </c>
      <c r="AH3339" s="7">
        <f>IF($C3339="","",U3339-AG3339)</f>
        <v/>
      </c>
      <c r="AI3339" s="7">
        <f>IF($C3339="","",AH3339-M3339)</f>
        <v/>
      </c>
      <c r="AJ3339">
        <f>IF($C3339="","",IF(COUNTIF($C$2:$C3339,$C3339)=1,1,0))</f>
        <v/>
      </c>
      <c r="AK3339">
        <f>IF($AJ3339=1,SUMPRODUCT(--($AN$2:$AN$4001&lt;$AN3339))+1,"")</f>
        <v/>
      </c>
      <c r="AL3339">
        <f>IF($C3339="","",IF(OR($Q3339=TRUE(),$Q3339="TRUE"),1,0))</f>
        <v/>
      </c>
      <c r="AM3339">
        <f>IF($C3339="","",IF($W3339="Yes",1,0))</f>
        <v/>
      </c>
      <c r="AN3339">
        <f>IF($AJ3339=1,IFERROR(IF(VALUE($C3339)&lt;100000000,VALUE($C3339),1000000000),IFERROR(IF(VALUE(MID($C3339,2,20))&lt;100000000,VALUE(MID($C3339,2,20)),1000000000),1000000000))+ROW()/100000,"")</f>
        <v/>
      </c>
    </row>
    <row r="3340">
      <c r="E3340" s="11" t="n"/>
      <c r="M3340" s="7">
        <f>IF($C3340="","",L3340*U3340/100)</f>
        <v/>
      </c>
      <c r="N3340" s="7" t="n"/>
      <c r="T3340" s="7" t="n"/>
      <c r="U3340" s="7">
        <f>IF($C3340="","",S3340*T3340)</f>
        <v/>
      </c>
      <c r="X3340">
        <f>IF($C3340="","",IF($AM3340=1,0,IF($AL3340=1,Settings!$C$6,Settings!$C$7))*100)</f>
        <v/>
      </c>
      <c r="AB3340" s="7" t="n"/>
      <c r="AE3340" s="11" t="n"/>
      <c r="AG3340" s="7">
        <f>IF($C3340="","",U3340*X3340/100)</f>
        <v/>
      </c>
      <c r="AH3340" s="7">
        <f>IF($C3340="","",U3340-AG3340)</f>
        <v/>
      </c>
      <c r="AI3340" s="7">
        <f>IF($C3340="","",AH3340-M3340)</f>
        <v/>
      </c>
      <c r="AJ3340">
        <f>IF($C3340="","",IF(COUNTIF($C$2:$C3340,$C3340)=1,1,0))</f>
        <v/>
      </c>
      <c r="AK3340">
        <f>IF($AJ3340=1,SUMPRODUCT(--($AN$2:$AN$4001&lt;$AN3340))+1,"")</f>
        <v/>
      </c>
      <c r="AL3340">
        <f>IF($C3340="","",IF(OR($Q3340=TRUE(),$Q3340="TRUE"),1,0))</f>
        <v/>
      </c>
      <c r="AM3340">
        <f>IF($C3340="","",IF($W3340="Yes",1,0))</f>
        <v/>
      </c>
      <c r="AN3340">
        <f>IF($AJ3340=1,IFERROR(IF(VALUE($C3340)&lt;100000000,VALUE($C3340),1000000000),IFERROR(IF(VALUE(MID($C3340,2,20))&lt;100000000,VALUE(MID($C3340,2,20)),1000000000),1000000000))+ROW()/100000,"")</f>
        <v/>
      </c>
    </row>
    <row r="3341">
      <c r="E3341" s="11" t="n"/>
      <c r="M3341" s="7">
        <f>IF($C3341="","",L3341*U3341/100)</f>
        <v/>
      </c>
      <c r="N3341" s="7" t="n"/>
      <c r="T3341" s="7" t="n"/>
      <c r="U3341" s="7">
        <f>IF($C3341="","",S3341*T3341)</f>
        <v/>
      </c>
      <c r="X3341">
        <f>IF($C3341="","",IF($AM3341=1,0,IF($AL3341=1,Settings!$C$6,Settings!$C$7))*100)</f>
        <v/>
      </c>
      <c r="AB3341" s="7" t="n"/>
      <c r="AE3341" s="11" t="n"/>
      <c r="AG3341" s="7">
        <f>IF($C3341="","",U3341*X3341/100)</f>
        <v/>
      </c>
      <c r="AH3341" s="7">
        <f>IF($C3341="","",U3341-AG3341)</f>
        <v/>
      </c>
      <c r="AI3341" s="7">
        <f>IF($C3341="","",AH3341-M3341)</f>
        <v/>
      </c>
      <c r="AJ3341">
        <f>IF($C3341="","",IF(COUNTIF($C$2:$C3341,$C3341)=1,1,0))</f>
        <v/>
      </c>
      <c r="AK3341">
        <f>IF($AJ3341=1,SUMPRODUCT(--($AN$2:$AN$4001&lt;$AN3341))+1,"")</f>
        <v/>
      </c>
      <c r="AL3341">
        <f>IF($C3341="","",IF(OR($Q3341=TRUE(),$Q3341="TRUE"),1,0))</f>
        <v/>
      </c>
      <c r="AM3341">
        <f>IF($C3341="","",IF($W3341="Yes",1,0))</f>
        <v/>
      </c>
      <c r="AN3341">
        <f>IF($AJ3341=1,IFERROR(IF(VALUE($C3341)&lt;100000000,VALUE($C3341),1000000000),IFERROR(IF(VALUE(MID($C3341,2,20))&lt;100000000,VALUE(MID($C3341,2,20)),1000000000),1000000000))+ROW()/100000,"")</f>
        <v/>
      </c>
    </row>
    <row r="3342">
      <c r="E3342" s="11" t="n"/>
      <c r="M3342" s="7">
        <f>IF($C3342="","",L3342*U3342/100)</f>
        <v/>
      </c>
      <c r="N3342" s="7" t="n"/>
      <c r="T3342" s="7" t="n"/>
      <c r="U3342" s="7">
        <f>IF($C3342="","",S3342*T3342)</f>
        <v/>
      </c>
      <c r="X3342">
        <f>IF($C3342="","",IF($AM3342=1,0,IF($AL3342=1,Settings!$C$6,Settings!$C$7))*100)</f>
        <v/>
      </c>
      <c r="AB3342" s="7" t="n"/>
      <c r="AE3342" s="11" t="n"/>
      <c r="AG3342" s="7">
        <f>IF($C3342="","",U3342*X3342/100)</f>
        <v/>
      </c>
      <c r="AH3342" s="7">
        <f>IF($C3342="","",U3342-AG3342)</f>
        <v/>
      </c>
      <c r="AI3342" s="7">
        <f>IF($C3342="","",AH3342-M3342)</f>
        <v/>
      </c>
      <c r="AJ3342">
        <f>IF($C3342="","",IF(COUNTIF($C$2:$C3342,$C3342)=1,1,0))</f>
        <v/>
      </c>
      <c r="AK3342">
        <f>IF($AJ3342=1,SUMPRODUCT(--($AN$2:$AN$4001&lt;$AN3342))+1,"")</f>
        <v/>
      </c>
      <c r="AL3342">
        <f>IF($C3342="","",IF(OR($Q3342=TRUE(),$Q3342="TRUE"),1,0))</f>
        <v/>
      </c>
      <c r="AM3342">
        <f>IF($C3342="","",IF($W3342="Yes",1,0))</f>
        <v/>
      </c>
      <c r="AN3342">
        <f>IF($AJ3342=1,IFERROR(IF(VALUE($C3342)&lt;100000000,VALUE($C3342),1000000000),IFERROR(IF(VALUE(MID($C3342,2,20))&lt;100000000,VALUE(MID($C3342,2,20)),1000000000),1000000000))+ROW()/100000,"")</f>
        <v/>
      </c>
    </row>
    <row r="3343">
      <c r="E3343" s="11" t="n"/>
      <c r="M3343" s="7">
        <f>IF($C3343="","",L3343*U3343/100)</f>
        <v/>
      </c>
      <c r="N3343" s="7" t="n"/>
      <c r="T3343" s="7" t="n"/>
      <c r="U3343" s="7">
        <f>IF($C3343="","",S3343*T3343)</f>
        <v/>
      </c>
      <c r="X3343">
        <f>IF($C3343="","",IF($AM3343=1,0,IF($AL3343=1,Settings!$C$6,Settings!$C$7))*100)</f>
        <v/>
      </c>
      <c r="AB3343" s="7" t="n"/>
      <c r="AE3343" s="11" t="n"/>
      <c r="AG3343" s="7">
        <f>IF($C3343="","",U3343*X3343/100)</f>
        <v/>
      </c>
      <c r="AH3343" s="7">
        <f>IF($C3343="","",U3343-AG3343)</f>
        <v/>
      </c>
      <c r="AI3343" s="7">
        <f>IF($C3343="","",AH3343-M3343)</f>
        <v/>
      </c>
      <c r="AJ3343">
        <f>IF($C3343="","",IF(COUNTIF($C$2:$C3343,$C3343)=1,1,0))</f>
        <v/>
      </c>
      <c r="AK3343">
        <f>IF($AJ3343=1,SUMPRODUCT(--($AN$2:$AN$4001&lt;$AN3343))+1,"")</f>
        <v/>
      </c>
      <c r="AL3343">
        <f>IF($C3343="","",IF(OR($Q3343=TRUE(),$Q3343="TRUE"),1,0))</f>
        <v/>
      </c>
      <c r="AM3343">
        <f>IF($C3343="","",IF($W3343="Yes",1,0))</f>
        <v/>
      </c>
      <c r="AN3343">
        <f>IF($AJ3343=1,IFERROR(IF(VALUE($C3343)&lt;100000000,VALUE($C3343),1000000000),IFERROR(IF(VALUE(MID($C3343,2,20))&lt;100000000,VALUE(MID($C3343,2,20)),1000000000),1000000000))+ROW()/100000,"")</f>
        <v/>
      </c>
    </row>
    <row r="3344">
      <c r="E3344" s="11" t="n"/>
      <c r="M3344" s="7">
        <f>IF($C3344="","",L3344*U3344/100)</f>
        <v/>
      </c>
      <c r="N3344" s="7" t="n"/>
      <c r="T3344" s="7" t="n"/>
      <c r="U3344" s="7">
        <f>IF($C3344="","",S3344*T3344)</f>
        <v/>
      </c>
      <c r="X3344">
        <f>IF($C3344="","",IF($AM3344=1,0,IF($AL3344=1,Settings!$C$6,Settings!$C$7))*100)</f>
        <v/>
      </c>
      <c r="AB3344" s="7" t="n"/>
      <c r="AE3344" s="11" t="n"/>
      <c r="AG3344" s="7">
        <f>IF($C3344="","",U3344*X3344/100)</f>
        <v/>
      </c>
      <c r="AH3344" s="7">
        <f>IF($C3344="","",U3344-AG3344)</f>
        <v/>
      </c>
      <c r="AI3344" s="7">
        <f>IF($C3344="","",AH3344-M3344)</f>
        <v/>
      </c>
      <c r="AJ3344">
        <f>IF($C3344="","",IF(COUNTIF($C$2:$C3344,$C3344)=1,1,0))</f>
        <v/>
      </c>
      <c r="AK3344">
        <f>IF($AJ3344=1,SUMPRODUCT(--($AN$2:$AN$4001&lt;$AN3344))+1,"")</f>
        <v/>
      </c>
      <c r="AL3344">
        <f>IF($C3344="","",IF(OR($Q3344=TRUE(),$Q3344="TRUE"),1,0))</f>
        <v/>
      </c>
      <c r="AM3344">
        <f>IF($C3344="","",IF($W3344="Yes",1,0))</f>
        <v/>
      </c>
      <c r="AN3344">
        <f>IF($AJ3344=1,IFERROR(IF(VALUE($C3344)&lt;100000000,VALUE($C3344),1000000000),IFERROR(IF(VALUE(MID($C3344,2,20))&lt;100000000,VALUE(MID($C3344,2,20)),1000000000),1000000000))+ROW()/100000,"")</f>
        <v/>
      </c>
    </row>
    <row r="3345">
      <c r="E3345" s="11" t="n"/>
      <c r="M3345" s="7">
        <f>IF($C3345="","",L3345*U3345/100)</f>
        <v/>
      </c>
      <c r="N3345" s="7" t="n"/>
      <c r="T3345" s="7" t="n"/>
      <c r="U3345" s="7">
        <f>IF($C3345="","",S3345*T3345)</f>
        <v/>
      </c>
      <c r="X3345">
        <f>IF($C3345="","",IF($AM3345=1,0,IF($AL3345=1,Settings!$C$6,Settings!$C$7))*100)</f>
        <v/>
      </c>
      <c r="AB3345" s="7" t="n"/>
      <c r="AE3345" s="11" t="n"/>
      <c r="AG3345" s="7">
        <f>IF($C3345="","",U3345*X3345/100)</f>
        <v/>
      </c>
      <c r="AH3345" s="7">
        <f>IF($C3345="","",U3345-AG3345)</f>
        <v/>
      </c>
      <c r="AI3345" s="7">
        <f>IF($C3345="","",AH3345-M3345)</f>
        <v/>
      </c>
      <c r="AJ3345">
        <f>IF($C3345="","",IF(COUNTIF($C$2:$C3345,$C3345)=1,1,0))</f>
        <v/>
      </c>
      <c r="AK3345">
        <f>IF($AJ3345=1,SUMPRODUCT(--($AN$2:$AN$4001&lt;$AN3345))+1,"")</f>
        <v/>
      </c>
      <c r="AL3345">
        <f>IF($C3345="","",IF(OR($Q3345=TRUE(),$Q3345="TRUE"),1,0))</f>
        <v/>
      </c>
      <c r="AM3345">
        <f>IF($C3345="","",IF($W3345="Yes",1,0))</f>
        <v/>
      </c>
      <c r="AN3345">
        <f>IF($AJ3345=1,IFERROR(IF(VALUE($C3345)&lt;100000000,VALUE($C3345),1000000000),IFERROR(IF(VALUE(MID($C3345,2,20))&lt;100000000,VALUE(MID($C3345,2,20)),1000000000),1000000000))+ROW()/100000,"")</f>
        <v/>
      </c>
    </row>
    <row r="3346">
      <c r="E3346" s="11" t="n"/>
      <c r="M3346" s="7">
        <f>IF($C3346="","",L3346*U3346/100)</f>
        <v/>
      </c>
      <c r="N3346" s="7" t="n"/>
      <c r="T3346" s="7" t="n"/>
      <c r="U3346" s="7">
        <f>IF($C3346="","",S3346*T3346)</f>
        <v/>
      </c>
      <c r="X3346">
        <f>IF($C3346="","",IF($AM3346=1,0,IF($AL3346=1,Settings!$C$6,Settings!$C$7))*100)</f>
        <v/>
      </c>
      <c r="AB3346" s="7" t="n"/>
      <c r="AE3346" s="11" t="n"/>
      <c r="AG3346" s="7">
        <f>IF($C3346="","",U3346*X3346/100)</f>
        <v/>
      </c>
      <c r="AH3346" s="7">
        <f>IF($C3346="","",U3346-AG3346)</f>
        <v/>
      </c>
      <c r="AI3346" s="7">
        <f>IF($C3346="","",AH3346-M3346)</f>
        <v/>
      </c>
      <c r="AJ3346">
        <f>IF($C3346="","",IF(COUNTIF($C$2:$C3346,$C3346)=1,1,0))</f>
        <v/>
      </c>
      <c r="AK3346">
        <f>IF($AJ3346=1,SUMPRODUCT(--($AN$2:$AN$4001&lt;$AN3346))+1,"")</f>
        <v/>
      </c>
      <c r="AL3346">
        <f>IF($C3346="","",IF(OR($Q3346=TRUE(),$Q3346="TRUE"),1,0))</f>
        <v/>
      </c>
      <c r="AM3346">
        <f>IF($C3346="","",IF($W3346="Yes",1,0))</f>
        <v/>
      </c>
      <c r="AN3346">
        <f>IF($AJ3346=1,IFERROR(IF(VALUE($C3346)&lt;100000000,VALUE($C3346),1000000000),IFERROR(IF(VALUE(MID($C3346,2,20))&lt;100000000,VALUE(MID($C3346,2,20)),1000000000),1000000000))+ROW()/100000,"")</f>
        <v/>
      </c>
    </row>
    <row r="3347">
      <c r="E3347" s="11" t="n"/>
      <c r="M3347" s="7">
        <f>IF($C3347="","",L3347*U3347/100)</f>
        <v/>
      </c>
      <c r="N3347" s="7" t="n"/>
      <c r="T3347" s="7" t="n"/>
      <c r="U3347" s="7">
        <f>IF($C3347="","",S3347*T3347)</f>
        <v/>
      </c>
      <c r="X3347">
        <f>IF($C3347="","",IF($AM3347=1,0,IF($AL3347=1,Settings!$C$6,Settings!$C$7))*100)</f>
        <v/>
      </c>
      <c r="AB3347" s="7" t="n"/>
      <c r="AE3347" s="11" t="n"/>
      <c r="AG3347" s="7">
        <f>IF($C3347="","",U3347*X3347/100)</f>
        <v/>
      </c>
      <c r="AH3347" s="7">
        <f>IF($C3347="","",U3347-AG3347)</f>
        <v/>
      </c>
      <c r="AI3347" s="7">
        <f>IF($C3347="","",AH3347-M3347)</f>
        <v/>
      </c>
      <c r="AJ3347">
        <f>IF($C3347="","",IF(COUNTIF($C$2:$C3347,$C3347)=1,1,0))</f>
        <v/>
      </c>
      <c r="AK3347">
        <f>IF($AJ3347=1,SUMPRODUCT(--($AN$2:$AN$4001&lt;$AN3347))+1,"")</f>
        <v/>
      </c>
      <c r="AL3347">
        <f>IF($C3347="","",IF(OR($Q3347=TRUE(),$Q3347="TRUE"),1,0))</f>
        <v/>
      </c>
      <c r="AM3347">
        <f>IF($C3347="","",IF($W3347="Yes",1,0))</f>
        <v/>
      </c>
      <c r="AN3347">
        <f>IF($AJ3347=1,IFERROR(IF(VALUE($C3347)&lt;100000000,VALUE($C3347),1000000000),IFERROR(IF(VALUE(MID($C3347,2,20))&lt;100000000,VALUE(MID($C3347,2,20)),1000000000),1000000000))+ROW()/100000,"")</f>
        <v/>
      </c>
    </row>
    <row r="3348">
      <c r="E3348" s="11" t="n"/>
      <c r="M3348" s="7">
        <f>IF($C3348="","",L3348*U3348/100)</f>
        <v/>
      </c>
      <c r="N3348" s="7" t="n"/>
      <c r="T3348" s="7" t="n"/>
      <c r="U3348" s="7">
        <f>IF($C3348="","",S3348*T3348)</f>
        <v/>
      </c>
      <c r="X3348">
        <f>IF($C3348="","",IF($AM3348=1,0,IF($AL3348=1,Settings!$C$6,Settings!$C$7))*100)</f>
        <v/>
      </c>
      <c r="AB3348" s="7" t="n"/>
      <c r="AE3348" s="11" t="n"/>
      <c r="AG3348" s="7">
        <f>IF($C3348="","",U3348*X3348/100)</f>
        <v/>
      </c>
      <c r="AH3348" s="7">
        <f>IF($C3348="","",U3348-AG3348)</f>
        <v/>
      </c>
      <c r="AI3348" s="7">
        <f>IF($C3348="","",AH3348-M3348)</f>
        <v/>
      </c>
      <c r="AJ3348">
        <f>IF($C3348="","",IF(COUNTIF($C$2:$C3348,$C3348)=1,1,0))</f>
        <v/>
      </c>
      <c r="AK3348">
        <f>IF($AJ3348=1,SUMPRODUCT(--($AN$2:$AN$4001&lt;$AN3348))+1,"")</f>
        <v/>
      </c>
      <c r="AL3348">
        <f>IF($C3348="","",IF(OR($Q3348=TRUE(),$Q3348="TRUE"),1,0))</f>
        <v/>
      </c>
      <c r="AM3348">
        <f>IF($C3348="","",IF($W3348="Yes",1,0))</f>
        <v/>
      </c>
      <c r="AN3348">
        <f>IF($AJ3348=1,IFERROR(IF(VALUE($C3348)&lt;100000000,VALUE($C3348),1000000000),IFERROR(IF(VALUE(MID($C3348,2,20))&lt;100000000,VALUE(MID($C3348,2,20)),1000000000),1000000000))+ROW()/100000,"")</f>
        <v/>
      </c>
    </row>
    <row r="3349">
      <c r="E3349" s="11" t="n"/>
      <c r="M3349" s="7">
        <f>IF($C3349="","",L3349*U3349/100)</f>
        <v/>
      </c>
      <c r="N3349" s="7" t="n"/>
      <c r="T3349" s="7" t="n"/>
      <c r="U3349" s="7">
        <f>IF($C3349="","",S3349*T3349)</f>
        <v/>
      </c>
      <c r="X3349">
        <f>IF($C3349="","",IF($AM3349=1,0,IF($AL3349=1,Settings!$C$6,Settings!$C$7))*100)</f>
        <v/>
      </c>
      <c r="AB3349" s="7" t="n"/>
      <c r="AE3349" s="11" t="n"/>
      <c r="AG3349" s="7">
        <f>IF($C3349="","",U3349*X3349/100)</f>
        <v/>
      </c>
      <c r="AH3349" s="7">
        <f>IF($C3349="","",U3349-AG3349)</f>
        <v/>
      </c>
      <c r="AI3349" s="7">
        <f>IF($C3349="","",AH3349-M3349)</f>
        <v/>
      </c>
      <c r="AJ3349">
        <f>IF($C3349="","",IF(COUNTIF($C$2:$C3349,$C3349)=1,1,0))</f>
        <v/>
      </c>
      <c r="AK3349">
        <f>IF($AJ3349=1,SUMPRODUCT(--($AN$2:$AN$4001&lt;$AN3349))+1,"")</f>
        <v/>
      </c>
      <c r="AL3349">
        <f>IF($C3349="","",IF(OR($Q3349=TRUE(),$Q3349="TRUE"),1,0))</f>
        <v/>
      </c>
      <c r="AM3349">
        <f>IF($C3349="","",IF($W3349="Yes",1,0))</f>
        <v/>
      </c>
      <c r="AN3349">
        <f>IF($AJ3349=1,IFERROR(IF(VALUE($C3349)&lt;100000000,VALUE($C3349),1000000000),IFERROR(IF(VALUE(MID($C3349,2,20))&lt;100000000,VALUE(MID($C3349,2,20)),1000000000),1000000000))+ROW()/100000,"")</f>
        <v/>
      </c>
    </row>
    <row r="3350">
      <c r="E3350" s="11" t="n"/>
      <c r="M3350" s="7">
        <f>IF($C3350="","",L3350*U3350/100)</f>
        <v/>
      </c>
      <c r="N3350" s="7" t="n"/>
      <c r="T3350" s="7" t="n"/>
      <c r="U3350" s="7">
        <f>IF($C3350="","",S3350*T3350)</f>
        <v/>
      </c>
      <c r="X3350">
        <f>IF($C3350="","",IF($AM3350=1,0,IF($AL3350=1,Settings!$C$6,Settings!$C$7))*100)</f>
        <v/>
      </c>
      <c r="AB3350" s="7" t="n"/>
      <c r="AE3350" s="11" t="n"/>
      <c r="AG3350" s="7">
        <f>IF($C3350="","",U3350*X3350/100)</f>
        <v/>
      </c>
      <c r="AH3350" s="7">
        <f>IF($C3350="","",U3350-AG3350)</f>
        <v/>
      </c>
      <c r="AI3350" s="7">
        <f>IF($C3350="","",AH3350-M3350)</f>
        <v/>
      </c>
      <c r="AJ3350">
        <f>IF($C3350="","",IF(COUNTIF($C$2:$C3350,$C3350)=1,1,0))</f>
        <v/>
      </c>
      <c r="AK3350">
        <f>IF($AJ3350=1,SUMPRODUCT(--($AN$2:$AN$4001&lt;$AN3350))+1,"")</f>
        <v/>
      </c>
      <c r="AL3350">
        <f>IF($C3350="","",IF(OR($Q3350=TRUE(),$Q3350="TRUE"),1,0))</f>
        <v/>
      </c>
      <c r="AM3350">
        <f>IF($C3350="","",IF($W3350="Yes",1,0))</f>
        <v/>
      </c>
      <c r="AN3350">
        <f>IF($AJ3350=1,IFERROR(IF(VALUE($C3350)&lt;100000000,VALUE($C3350),1000000000),IFERROR(IF(VALUE(MID($C3350,2,20))&lt;100000000,VALUE(MID($C3350,2,20)),1000000000),1000000000))+ROW()/100000,"")</f>
        <v/>
      </c>
    </row>
    <row r="3351">
      <c r="E3351" s="11" t="n"/>
      <c r="M3351" s="7">
        <f>IF($C3351="","",L3351*U3351/100)</f>
        <v/>
      </c>
      <c r="N3351" s="7" t="n"/>
      <c r="T3351" s="7" t="n"/>
      <c r="U3351" s="7">
        <f>IF($C3351="","",S3351*T3351)</f>
        <v/>
      </c>
      <c r="X3351">
        <f>IF($C3351="","",IF($AM3351=1,0,IF($AL3351=1,Settings!$C$6,Settings!$C$7))*100)</f>
        <v/>
      </c>
      <c r="AB3351" s="7" t="n"/>
      <c r="AE3351" s="11" t="n"/>
      <c r="AG3351" s="7">
        <f>IF($C3351="","",U3351*X3351/100)</f>
        <v/>
      </c>
      <c r="AH3351" s="7">
        <f>IF($C3351="","",U3351-AG3351)</f>
        <v/>
      </c>
      <c r="AI3351" s="7">
        <f>IF($C3351="","",AH3351-M3351)</f>
        <v/>
      </c>
      <c r="AJ3351">
        <f>IF($C3351="","",IF(COUNTIF($C$2:$C3351,$C3351)=1,1,0))</f>
        <v/>
      </c>
      <c r="AK3351">
        <f>IF($AJ3351=1,SUMPRODUCT(--($AN$2:$AN$4001&lt;$AN3351))+1,"")</f>
        <v/>
      </c>
      <c r="AL3351">
        <f>IF($C3351="","",IF(OR($Q3351=TRUE(),$Q3351="TRUE"),1,0))</f>
        <v/>
      </c>
      <c r="AM3351">
        <f>IF($C3351="","",IF($W3351="Yes",1,0))</f>
        <v/>
      </c>
      <c r="AN3351">
        <f>IF($AJ3351=1,IFERROR(IF(VALUE($C3351)&lt;100000000,VALUE($C3351),1000000000),IFERROR(IF(VALUE(MID($C3351,2,20))&lt;100000000,VALUE(MID($C3351,2,20)),1000000000),1000000000))+ROW()/100000,"")</f>
        <v/>
      </c>
    </row>
    <row r="3352">
      <c r="E3352" s="11" t="n"/>
      <c r="M3352" s="7">
        <f>IF($C3352="","",L3352*U3352/100)</f>
        <v/>
      </c>
      <c r="N3352" s="7" t="n"/>
      <c r="T3352" s="7" t="n"/>
      <c r="U3352" s="7">
        <f>IF($C3352="","",S3352*T3352)</f>
        <v/>
      </c>
      <c r="X3352">
        <f>IF($C3352="","",IF($AM3352=1,0,IF($AL3352=1,Settings!$C$6,Settings!$C$7))*100)</f>
        <v/>
      </c>
      <c r="AB3352" s="7" t="n"/>
      <c r="AE3352" s="11" t="n"/>
      <c r="AG3352" s="7">
        <f>IF($C3352="","",U3352*X3352/100)</f>
        <v/>
      </c>
      <c r="AH3352" s="7">
        <f>IF($C3352="","",U3352-AG3352)</f>
        <v/>
      </c>
      <c r="AI3352" s="7">
        <f>IF($C3352="","",AH3352-M3352)</f>
        <v/>
      </c>
      <c r="AJ3352">
        <f>IF($C3352="","",IF(COUNTIF($C$2:$C3352,$C3352)=1,1,0))</f>
        <v/>
      </c>
      <c r="AK3352">
        <f>IF($AJ3352=1,SUMPRODUCT(--($AN$2:$AN$4001&lt;$AN3352))+1,"")</f>
        <v/>
      </c>
      <c r="AL3352">
        <f>IF($C3352="","",IF(OR($Q3352=TRUE(),$Q3352="TRUE"),1,0))</f>
        <v/>
      </c>
      <c r="AM3352">
        <f>IF($C3352="","",IF($W3352="Yes",1,0))</f>
        <v/>
      </c>
      <c r="AN3352">
        <f>IF($AJ3352=1,IFERROR(IF(VALUE($C3352)&lt;100000000,VALUE($C3352),1000000000),IFERROR(IF(VALUE(MID($C3352,2,20))&lt;100000000,VALUE(MID($C3352,2,20)),1000000000),1000000000))+ROW()/100000,"")</f>
        <v/>
      </c>
    </row>
    <row r="3353">
      <c r="E3353" s="11" t="n"/>
      <c r="M3353" s="7">
        <f>IF($C3353="","",L3353*U3353/100)</f>
        <v/>
      </c>
      <c r="N3353" s="7" t="n"/>
      <c r="T3353" s="7" t="n"/>
      <c r="U3353" s="7">
        <f>IF($C3353="","",S3353*T3353)</f>
        <v/>
      </c>
      <c r="X3353">
        <f>IF($C3353="","",IF($AM3353=1,0,IF($AL3353=1,Settings!$C$6,Settings!$C$7))*100)</f>
        <v/>
      </c>
      <c r="AB3353" s="7" t="n"/>
      <c r="AE3353" s="11" t="n"/>
      <c r="AG3353" s="7">
        <f>IF($C3353="","",U3353*X3353/100)</f>
        <v/>
      </c>
      <c r="AH3353" s="7">
        <f>IF($C3353="","",U3353-AG3353)</f>
        <v/>
      </c>
      <c r="AI3353" s="7">
        <f>IF($C3353="","",AH3353-M3353)</f>
        <v/>
      </c>
      <c r="AJ3353">
        <f>IF($C3353="","",IF(COUNTIF($C$2:$C3353,$C3353)=1,1,0))</f>
        <v/>
      </c>
      <c r="AK3353">
        <f>IF($AJ3353=1,SUMPRODUCT(--($AN$2:$AN$4001&lt;$AN3353))+1,"")</f>
        <v/>
      </c>
      <c r="AL3353">
        <f>IF($C3353="","",IF(OR($Q3353=TRUE(),$Q3353="TRUE"),1,0))</f>
        <v/>
      </c>
      <c r="AM3353">
        <f>IF($C3353="","",IF($W3353="Yes",1,0))</f>
        <v/>
      </c>
      <c r="AN3353">
        <f>IF($AJ3353=1,IFERROR(IF(VALUE($C3353)&lt;100000000,VALUE($C3353),1000000000),IFERROR(IF(VALUE(MID($C3353,2,20))&lt;100000000,VALUE(MID($C3353,2,20)),1000000000),1000000000))+ROW()/100000,"")</f>
        <v/>
      </c>
    </row>
    <row r="3354">
      <c r="E3354" s="11" t="n"/>
      <c r="M3354" s="7">
        <f>IF($C3354="","",L3354*U3354/100)</f>
        <v/>
      </c>
      <c r="N3354" s="7" t="n"/>
      <c r="T3354" s="7" t="n"/>
      <c r="U3354" s="7">
        <f>IF($C3354="","",S3354*T3354)</f>
        <v/>
      </c>
      <c r="X3354">
        <f>IF($C3354="","",IF($AM3354=1,0,IF($AL3354=1,Settings!$C$6,Settings!$C$7))*100)</f>
        <v/>
      </c>
      <c r="AB3354" s="7" t="n"/>
      <c r="AE3354" s="11" t="n"/>
      <c r="AG3354" s="7">
        <f>IF($C3354="","",U3354*X3354/100)</f>
        <v/>
      </c>
      <c r="AH3354" s="7">
        <f>IF($C3354="","",U3354-AG3354)</f>
        <v/>
      </c>
      <c r="AI3354" s="7">
        <f>IF($C3354="","",AH3354-M3354)</f>
        <v/>
      </c>
      <c r="AJ3354">
        <f>IF($C3354="","",IF(COUNTIF($C$2:$C3354,$C3354)=1,1,0))</f>
        <v/>
      </c>
      <c r="AK3354">
        <f>IF($AJ3354=1,SUMPRODUCT(--($AN$2:$AN$4001&lt;$AN3354))+1,"")</f>
        <v/>
      </c>
      <c r="AL3354">
        <f>IF($C3354="","",IF(OR($Q3354=TRUE(),$Q3354="TRUE"),1,0))</f>
        <v/>
      </c>
      <c r="AM3354">
        <f>IF($C3354="","",IF($W3354="Yes",1,0))</f>
        <v/>
      </c>
      <c r="AN3354">
        <f>IF($AJ3354=1,IFERROR(IF(VALUE($C3354)&lt;100000000,VALUE($C3354),1000000000),IFERROR(IF(VALUE(MID($C3354,2,20))&lt;100000000,VALUE(MID($C3354,2,20)),1000000000),1000000000))+ROW()/100000,"")</f>
        <v/>
      </c>
    </row>
    <row r="3355">
      <c r="E3355" s="11" t="n"/>
      <c r="M3355" s="7">
        <f>IF($C3355="","",L3355*U3355/100)</f>
        <v/>
      </c>
      <c r="N3355" s="7" t="n"/>
      <c r="T3355" s="7" t="n"/>
      <c r="U3355" s="7">
        <f>IF($C3355="","",S3355*T3355)</f>
        <v/>
      </c>
      <c r="X3355">
        <f>IF($C3355="","",IF($AM3355=1,0,IF($AL3355=1,Settings!$C$6,Settings!$C$7))*100)</f>
        <v/>
      </c>
      <c r="AB3355" s="7" t="n"/>
      <c r="AE3355" s="11" t="n"/>
      <c r="AG3355" s="7">
        <f>IF($C3355="","",U3355*X3355/100)</f>
        <v/>
      </c>
      <c r="AH3355" s="7">
        <f>IF($C3355="","",U3355-AG3355)</f>
        <v/>
      </c>
      <c r="AI3355" s="7">
        <f>IF($C3355="","",AH3355-M3355)</f>
        <v/>
      </c>
      <c r="AJ3355">
        <f>IF($C3355="","",IF(COUNTIF($C$2:$C3355,$C3355)=1,1,0))</f>
        <v/>
      </c>
      <c r="AK3355">
        <f>IF($AJ3355=1,SUMPRODUCT(--($AN$2:$AN$4001&lt;$AN3355))+1,"")</f>
        <v/>
      </c>
      <c r="AL3355">
        <f>IF($C3355="","",IF(OR($Q3355=TRUE(),$Q3355="TRUE"),1,0))</f>
        <v/>
      </c>
      <c r="AM3355">
        <f>IF($C3355="","",IF($W3355="Yes",1,0))</f>
        <v/>
      </c>
      <c r="AN3355">
        <f>IF($AJ3355=1,IFERROR(IF(VALUE($C3355)&lt;100000000,VALUE($C3355),1000000000),IFERROR(IF(VALUE(MID($C3355,2,20))&lt;100000000,VALUE(MID($C3355,2,20)),1000000000),1000000000))+ROW()/100000,"")</f>
        <v/>
      </c>
    </row>
    <row r="3356">
      <c r="E3356" s="11" t="n"/>
      <c r="M3356" s="7">
        <f>IF($C3356="","",L3356*U3356/100)</f>
        <v/>
      </c>
      <c r="N3356" s="7" t="n"/>
      <c r="T3356" s="7" t="n"/>
      <c r="U3356" s="7">
        <f>IF($C3356="","",S3356*T3356)</f>
        <v/>
      </c>
      <c r="X3356">
        <f>IF($C3356="","",IF($AM3356=1,0,IF($AL3356=1,Settings!$C$6,Settings!$C$7))*100)</f>
        <v/>
      </c>
      <c r="AB3356" s="7" t="n"/>
      <c r="AE3356" s="11" t="n"/>
      <c r="AG3356" s="7">
        <f>IF($C3356="","",U3356*X3356/100)</f>
        <v/>
      </c>
      <c r="AH3356" s="7">
        <f>IF($C3356="","",U3356-AG3356)</f>
        <v/>
      </c>
      <c r="AI3356" s="7">
        <f>IF($C3356="","",AH3356-M3356)</f>
        <v/>
      </c>
      <c r="AJ3356">
        <f>IF($C3356="","",IF(COUNTIF($C$2:$C3356,$C3356)=1,1,0))</f>
        <v/>
      </c>
      <c r="AK3356">
        <f>IF($AJ3356=1,SUMPRODUCT(--($AN$2:$AN$4001&lt;$AN3356))+1,"")</f>
        <v/>
      </c>
      <c r="AL3356">
        <f>IF($C3356="","",IF(OR($Q3356=TRUE(),$Q3356="TRUE"),1,0))</f>
        <v/>
      </c>
      <c r="AM3356">
        <f>IF($C3356="","",IF($W3356="Yes",1,0))</f>
        <v/>
      </c>
      <c r="AN3356">
        <f>IF($AJ3356=1,IFERROR(IF(VALUE($C3356)&lt;100000000,VALUE($C3356),1000000000),IFERROR(IF(VALUE(MID($C3356,2,20))&lt;100000000,VALUE(MID($C3356,2,20)),1000000000),1000000000))+ROW()/100000,"")</f>
        <v/>
      </c>
    </row>
    <row r="3357">
      <c r="E3357" s="11" t="n"/>
      <c r="M3357" s="7">
        <f>IF($C3357="","",L3357*U3357/100)</f>
        <v/>
      </c>
      <c r="N3357" s="7" t="n"/>
      <c r="T3357" s="7" t="n"/>
      <c r="U3357" s="7">
        <f>IF($C3357="","",S3357*T3357)</f>
        <v/>
      </c>
      <c r="X3357">
        <f>IF($C3357="","",IF($AM3357=1,0,IF($AL3357=1,Settings!$C$6,Settings!$C$7))*100)</f>
        <v/>
      </c>
      <c r="AB3357" s="7" t="n"/>
      <c r="AE3357" s="11" t="n"/>
      <c r="AG3357" s="7">
        <f>IF($C3357="","",U3357*X3357/100)</f>
        <v/>
      </c>
      <c r="AH3357" s="7">
        <f>IF($C3357="","",U3357-AG3357)</f>
        <v/>
      </c>
      <c r="AI3357" s="7">
        <f>IF($C3357="","",AH3357-M3357)</f>
        <v/>
      </c>
      <c r="AJ3357">
        <f>IF($C3357="","",IF(COUNTIF($C$2:$C3357,$C3357)=1,1,0))</f>
        <v/>
      </c>
      <c r="AK3357">
        <f>IF($AJ3357=1,SUMPRODUCT(--($AN$2:$AN$4001&lt;$AN3357))+1,"")</f>
        <v/>
      </c>
      <c r="AL3357">
        <f>IF($C3357="","",IF(OR($Q3357=TRUE(),$Q3357="TRUE"),1,0))</f>
        <v/>
      </c>
      <c r="AM3357">
        <f>IF($C3357="","",IF($W3357="Yes",1,0))</f>
        <v/>
      </c>
      <c r="AN3357">
        <f>IF($AJ3357=1,IFERROR(IF(VALUE($C3357)&lt;100000000,VALUE($C3357),1000000000),IFERROR(IF(VALUE(MID($C3357,2,20))&lt;100000000,VALUE(MID($C3357,2,20)),1000000000),1000000000))+ROW()/100000,"")</f>
        <v/>
      </c>
    </row>
    <row r="3358">
      <c r="E3358" s="11" t="n"/>
      <c r="M3358" s="7">
        <f>IF($C3358="","",L3358*U3358/100)</f>
        <v/>
      </c>
      <c r="N3358" s="7" t="n"/>
      <c r="T3358" s="7" t="n"/>
      <c r="U3358" s="7">
        <f>IF($C3358="","",S3358*T3358)</f>
        <v/>
      </c>
      <c r="X3358">
        <f>IF($C3358="","",IF($AM3358=1,0,IF($AL3358=1,Settings!$C$6,Settings!$C$7))*100)</f>
        <v/>
      </c>
      <c r="AB3358" s="7" t="n"/>
      <c r="AE3358" s="11" t="n"/>
      <c r="AG3358" s="7">
        <f>IF($C3358="","",U3358*X3358/100)</f>
        <v/>
      </c>
      <c r="AH3358" s="7">
        <f>IF($C3358="","",U3358-AG3358)</f>
        <v/>
      </c>
      <c r="AI3358" s="7">
        <f>IF($C3358="","",AH3358-M3358)</f>
        <v/>
      </c>
      <c r="AJ3358">
        <f>IF($C3358="","",IF(COUNTIF($C$2:$C3358,$C3358)=1,1,0))</f>
        <v/>
      </c>
      <c r="AK3358">
        <f>IF($AJ3358=1,SUMPRODUCT(--($AN$2:$AN$4001&lt;$AN3358))+1,"")</f>
        <v/>
      </c>
      <c r="AL3358">
        <f>IF($C3358="","",IF(OR($Q3358=TRUE(),$Q3358="TRUE"),1,0))</f>
        <v/>
      </c>
      <c r="AM3358">
        <f>IF($C3358="","",IF($W3358="Yes",1,0))</f>
        <v/>
      </c>
      <c r="AN3358">
        <f>IF($AJ3358=1,IFERROR(IF(VALUE($C3358)&lt;100000000,VALUE($C3358),1000000000),IFERROR(IF(VALUE(MID($C3358,2,20))&lt;100000000,VALUE(MID($C3358,2,20)),1000000000),1000000000))+ROW()/100000,"")</f>
        <v/>
      </c>
    </row>
    <row r="3359">
      <c r="E3359" s="11" t="n"/>
      <c r="M3359" s="7">
        <f>IF($C3359="","",L3359*U3359/100)</f>
        <v/>
      </c>
      <c r="N3359" s="7" t="n"/>
      <c r="T3359" s="7" t="n"/>
      <c r="U3359" s="7">
        <f>IF($C3359="","",S3359*T3359)</f>
        <v/>
      </c>
      <c r="X3359">
        <f>IF($C3359="","",IF($AM3359=1,0,IF($AL3359=1,Settings!$C$6,Settings!$C$7))*100)</f>
        <v/>
      </c>
      <c r="AB3359" s="7" t="n"/>
      <c r="AE3359" s="11" t="n"/>
      <c r="AG3359" s="7">
        <f>IF($C3359="","",U3359*X3359/100)</f>
        <v/>
      </c>
      <c r="AH3359" s="7">
        <f>IF($C3359="","",U3359-AG3359)</f>
        <v/>
      </c>
      <c r="AI3359" s="7">
        <f>IF($C3359="","",AH3359-M3359)</f>
        <v/>
      </c>
      <c r="AJ3359">
        <f>IF($C3359="","",IF(COUNTIF($C$2:$C3359,$C3359)=1,1,0))</f>
        <v/>
      </c>
      <c r="AK3359">
        <f>IF($AJ3359=1,SUMPRODUCT(--($AN$2:$AN$4001&lt;$AN3359))+1,"")</f>
        <v/>
      </c>
      <c r="AL3359">
        <f>IF($C3359="","",IF(OR($Q3359=TRUE(),$Q3359="TRUE"),1,0))</f>
        <v/>
      </c>
      <c r="AM3359">
        <f>IF($C3359="","",IF($W3359="Yes",1,0))</f>
        <v/>
      </c>
      <c r="AN3359">
        <f>IF($AJ3359=1,IFERROR(IF(VALUE($C3359)&lt;100000000,VALUE($C3359),1000000000),IFERROR(IF(VALUE(MID($C3359,2,20))&lt;100000000,VALUE(MID($C3359,2,20)),1000000000),1000000000))+ROW()/100000,"")</f>
        <v/>
      </c>
    </row>
    <row r="3360">
      <c r="E3360" s="11" t="n"/>
      <c r="M3360" s="7">
        <f>IF($C3360="","",L3360*U3360/100)</f>
        <v/>
      </c>
      <c r="N3360" s="7" t="n"/>
      <c r="T3360" s="7" t="n"/>
      <c r="U3360" s="7">
        <f>IF($C3360="","",S3360*T3360)</f>
        <v/>
      </c>
      <c r="X3360">
        <f>IF($C3360="","",IF($AM3360=1,0,IF($AL3360=1,Settings!$C$6,Settings!$C$7))*100)</f>
        <v/>
      </c>
      <c r="AB3360" s="7" t="n"/>
      <c r="AE3360" s="11" t="n"/>
      <c r="AG3360" s="7">
        <f>IF($C3360="","",U3360*X3360/100)</f>
        <v/>
      </c>
      <c r="AH3360" s="7">
        <f>IF($C3360="","",U3360-AG3360)</f>
        <v/>
      </c>
      <c r="AI3360" s="7">
        <f>IF($C3360="","",AH3360-M3360)</f>
        <v/>
      </c>
      <c r="AJ3360">
        <f>IF($C3360="","",IF(COUNTIF($C$2:$C3360,$C3360)=1,1,0))</f>
        <v/>
      </c>
      <c r="AK3360">
        <f>IF($AJ3360=1,SUMPRODUCT(--($AN$2:$AN$4001&lt;$AN3360))+1,"")</f>
        <v/>
      </c>
      <c r="AL3360">
        <f>IF($C3360="","",IF(OR($Q3360=TRUE(),$Q3360="TRUE"),1,0))</f>
        <v/>
      </c>
      <c r="AM3360">
        <f>IF($C3360="","",IF($W3360="Yes",1,0))</f>
        <v/>
      </c>
      <c r="AN3360">
        <f>IF($AJ3360=1,IFERROR(IF(VALUE($C3360)&lt;100000000,VALUE($C3360),1000000000),IFERROR(IF(VALUE(MID($C3360,2,20))&lt;100000000,VALUE(MID($C3360,2,20)),1000000000),1000000000))+ROW()/100000,"")</f>
        <v/>
      </c>
    </row>
    <row r="3361">
      <c r="E3361" s="11" t="n"/>
      <c r="M3361" s="7">
        <f>IF($C3361="","",L3361*U3361/100)</f>
        <v/>
      </c>
      <c r="N3361" s="7" t="n"/>
      <c r="T3361" s="7" t="n"/>
      <c r="U3361" s="7">
        <f>IF($C3361="","",S3361*T3361)</f>
        <v/>
      </c>
      <c r="X3361">
        <f>IF($C3361="","",IF($AM3361=1,0,IF($AL3361=1,Settings!$C$6,Settings!$C$7))*100)</f>
        <v/>
      </c>
      <c r="AB3361" s="7" t="n"/>
      <c r="AE3361" s="11" t="n"/>
      <c r="AG3361" s="7">
        <f>IF($C3361="","",U3361*X3361/100)</f>
        <v/>
      </c>
      <c r="AH3361" s="7">
        <f>IF($C3361="","",U3361-AG3361)</f>
        <v/>
      </c>
      <c r="AI3361" s="7">
        <f>IF($C3361="","",AH3361-M3361)</f>
        <v/>
      </c>
      <c r="AJ3361">
        <f>IF($C3361="","",IF(COUNTIF($C$2:$C3361,$C3361)=1,1,0))</f>
        <v/>
      </c>
      <c r="AK3361">
        <f>IF($AJ3361=1,SUMPRODUCT(--($AN$2:$AN$4001&lt;$AN3361))+1,"")</f>
        <v/>
      </c>
      <c r="AL3361">
        <f>IF($C3361="","",IF(OR($Q3361=TRUE(),$Q3361="TRUE"),1,0))</f>
        <v/>
      </c>
      <c r="AM3361">
        <f>IF($C3361="","",IF($W3361="Yes",1,0))</f>
        <v/>
      </c>
      <c r="AN3361">
        <f>IF($AJ3361=1,IFERROR(IF(VALUE($C3361)&lt;100000000,VALUE($C3361),1000000000),IFERROR(IF(VALUE(MID($C3361,2,20))&lt;100000000,VALUE(MID($C3361,2,20)),1000000000),1000000000))+ROW()/100000,"")</f>
        <v/>
      </c>
    </row>
    <row r="3362">
      <c r="E3362" s="11" t="n"/>
      <c r="M3362" s="7">
        <f>IF($C3362="","",L3362*U3362/100)</f>
        <v/>
      </c>
      <c r="N3362" s="7" t="n"/>
      <c r="T3362" s="7" t="n"/>
      <c r="U3362" s="7">
        <f>IF($C3362="","",S3362*T3362)</f>
        <v/>
      </c>
      <c r="X3362">
        <f>IF($C3362="","",IF($AM3362=1,0,IF($AL3362=1,Settings!$C$6,Settings!$C$7))*100)</f>
        <v/>
      </c>
      <c r="AB3362" s="7" t="n"/>
      <c r="AE3362" s="11" t="n"/>
      <c r="AG3362" s="7">
        <f>IF($C3362="","",U3362*X3362/100)</f>
        <v/>
      </c>
      <c r="AH3362" s="7">
        <f>IF($C3362="","",U3362-AG3362)</f>
        <v/>
      </c>
      <c r="AI3362" s="7">
        <f>IF($C3362="","",AH3362-M3362)</f>
        <v/>
      </c>
      <c r="AJ3362">
        <f>IF($C3362="","",IF(COUNTIF($C$2:$C3362,$C3362)=1,1,0))</f>
        <v/>
      </c>
      <c r="AK3362">
        <f>IF($AJ3362=1,SUMPRODUCT(--($AN$2:$AN$4001&lt;$AN3362))+1,"")</f>
        <v/>
      </c>
      <c r="AL3362">
        <f>IF($C3362="","",IF(OR($Q3362=TRUE(),$Q3362="TRUE"),1,0))</f>
        <v/>
      </c>
      <c r="AM3362">
        <f>IF($C3362="","",IF($W3362="Yes",1,0))</f>
        <v/>
      </c>
      <c r="AN3362">
        <f>IF($AJ3362=1,IFERROR(IF(VALUE($C3362)&lt;100000000,VALUE($C3362),1000000000),IFERROR(IF(VALUE(MID($C3362,2,20))&lt;100000000,VALUE(MID($C3362,2,20)),1000000000),1000000000))+ROW()/100000,"")</f>
        <v/>
      </c>
    </row>
    <row r="3363">
      <c r="E3363" s="11" t="n"/>
      <c r="M3363" s="7">
        <f>IF($C3363="","",L3363*U3363/100)</f>
        <v/>
      </c>
      <c r="N3363" s="7" t="n"/>
      <c r="T3363" s="7" t="n"/>
      <c r="U3363" s="7">
        <f>IF($C3363="","",S3363*T3363)</f>
        <v/>
      </c>
      <c r="X3363">
        <f>IF($C3363="","",IF($AM3363=1,0,IF($AL3363=1,Settings!$C$6,Settings!$C$7))*100)</f>
        <v/>
      </c>
      <c r="AB3363" s="7" t="n"/>
      <c r="AE3363" s="11" t="n"/>
      <c r="AG3363" s="7">
        <f>IF($C3363="","",U3363*X3363/100)</f>
        <v/>
      </c>
      <c r="AH3363" s="7">
        <f>IF($C3363="","",U3363-AG3363)</f>
        <v/>
      </c>
      <c r="AI3363" s="7">
        <f>IF($C3363="","",AH3363-M3363)</f>
        <v/>
      </c>
      <c r="AJ3363">
        <f>IF($C3363="","",IF(COUNTIF($C$2:$C3363,$C3363)=1,1,0))</f>
        <v/>
      </c>
      <c r="AK3363">
        <f>IF($AJ3363=1,SUMPRODUCT(--($AN$2:$AN$4001&lt;$AN3363))+1,"")</f>
        <v/>
      </c>
      <c r="AL3363">
        <f>IF($C3363="","",IF(OR($Q3363=TRUE(),$Q3363="TRUE"),1,0))</f>
        <v/>
      </c>
      <c r="AM3363">
        <f>IF($C3363="","",IF($W3363="Yes",1,0))</f>
        <v/>
      </c>
      <c r="AN3363">
        <f>IF($AJ3363=1,IFERROR(IF(VALUE($C3363)&lt;100000000,VALUE($C3363),1000000000),IFERROR(IF(VALUE(MID($C3363,2,20))&lt;100000000,VALUE(MID($C3363,2,20)),1000000000),1000000000))+ROW()/100000,"")</f>
        <v/>
      </c>
    </row>
    <row r="3364">
      <c r="E3364" s="11" t="n"/>
      <c r="M3364" s="7">
        <f>IF($C3364="","",L3364*U3364/100)</f>
        <v/>
      </c>
      <c r="N3364" s="7" t="n"/>
      <c r="T3364" s="7" t="n"/>
      <c r="U3364" s="7">
        <f>IF($C3364="","",S3364*T3364)</f>
        <v/>
      </c>
      <c r="X3364">
        <f>IF($C3364="","",IF($AM3364=1,0,IF($AL3364=1,Settings!$C$6,Settings!$C$7))*100)</f>
        <v/>
      </c>
      <c r="AB3364" s="7" t="n"/>
      <c r="AE3364" s="11" t="n"/>
      <c r="AG3364" s="7">
        <f>IF($C3364="","",U3364*X3364/100)</f>
        <v/>
      </c>
      <c r="AH3364" s="7">
        <f>IF($C3364="","",U3364-AG3364)</f>
        <v/>
      </c>
      <c r="AI3364" s="7">
        <f>IF($C3364="","",AH3364-M3364)</f>
        <v/>
      </c>
      <c r="AJ3364">
        <f>IF($C3364="","",IF(COUNTIF($C$2:$C3364,$C3364)=1,1,0))</f>
        <v/>
      </c>
      <c r="AK3364">
        <f>IF($AJ3364=1,SUMPRODUCT(--($AN$2:$AN$4001&lt;$AN3364))+1,"")</f>
        <v/>
      </c>
      <c r="AL3364">
        <f>IF($C3364="","",IF(OR($Q3364=TRUE(),$Q3364="TRUE"),1,0))</f>
        <v/>
      </c>
      <c r="AM3364">
        <f>IF($C3364="","",IF($W3364="Yes",1,0))</f>
        <v/>
      </c>
      <c r="AN3364">
        <f>IF($AJ3364=1,IFERROR(IF(VALUE($C3364)&lt;100000000,VALUE($C3364),1000000000),IFERROR(IF(VALUE(MID($C3364,2,20))&lt;100000000,VALUE(MID($C3364,2,20)),1000000000),1000000000))+ROW()/100000,"")</f>
        <v/>
      </c>
    </row>
    <row r="3365">
      <c r="E3365" s="11" t="n"/>
      <c r="M3365" s="7">
        <f>IF($C3365="","",L3365*U3365/100)</f>
        <v/>
      </c>
      <c r="N3365" s="7" t="n"/>
      <c r="T3365" s="7" t="n"/>
      <c r="U3365" s="7">
        <f>IF($C3365="","",S3365*T3365)</f>
        <v/>
      </c>
      <c r="X3365">
        <f>IF($C3365="","",IF($AM3365=1,0,IF($AL3365=1,Settings!$C$6,Settings!$C$7))*100)</f>
        <v/>
      </c>
      <c r="AB3365" s="7" t="n"/>
      <c r="AE3365" s="11" t="n"/>
      <c r="AG3365" s="7">
        <f>IF($C3365="","",U3365*X3365/100)</f>
        <v/>
      </c>
      <c r="AH3365" s="7">
        <f>IF($C3365="","",U3365-AG3365)</f>
        <v/>
      </c>
      <c r="AI3365" s="7">
        <f>IF($C3365="","",AH3365-M3365)</f>
        <v/>
      </c>
      <c r="AJ3365">
        <f>IF($C3365="","",IF(COUNTIF($C$2:$C3365,$C3365)=1,1,0))</f>
        <v/>
      </c>
      <c r="AK3365">
        <f>IF($AJ3365=1,SUMPRODUCT(--($AN$2:$AN$4001&lt;$AN3365))+1,"")</f>
        <v/>
      </c>
      <c r="AL3365">
        <f>IF($C3365="","",IF(OR($Q3365=TRUE(),$Q3365="TRUE"),1,0))</f>
        <v/>
      </c>
      <c r="AM3365">
        <f>IF($C3365="","",IF($W3365="Yes",1,0))</f>
        <v/>
      </c>
      <c r="AN3365">
        <f>IF($AJ3365=1,IFERROR(IF(VALUE($C3365)&lt;100000000,VALUE($C3365),1000000000),IFERROR(IF(VALUE(MID($C3365,2,20))&lt;100000000,VALUE(MID($C3365,2,20)),1000000000),1000000000))+ROW()/100000,"")</f>
        <v/>
      </c>
    </row>
    <row r="3366">
      <c r="E3366" s="11" t="n"/>
      <c r="M3366" s="7">
        <f>IF($C3366="","",L3366*U3366/100)</f>
        <v/>
      </c>
      <c r="N3366" s="7" t="n"/>
      <c r="T3366" s="7" t="n"/>
      <c r="U3366" s="7">
        <f>IF($C3366="","",S3366*T3366)</f>
        <v/>
      </c>
      <c r="X3366">
        <f>IF($C3366="","",IF($AM3366=1,0,IF($AL3366=1,Settings!$C$6,Settings!$C$7))*100)</f>
        <v/>
      </c>
      <c r="AB3366" s="7" t="n"/>
      <c r="AE3366" s="11" t="n"/>
      <c r="AG3366" s="7">
        <f>IF($C3366="","",U3366*X3366/100)</f>
        <v/>
      </c>
      <c r="AH3366" s="7">
        <f>IF($C3366="","",U3366-AG3366)</f>
        <v/>
      </c>
      <c r="AI3366" s="7">
        <f>IF($C3366="","",AH3366-M3366)</f>
        <v/>
      </c>
      <c r="AJ3366">
        <f>IF($C3366="","",IF(COUNTIF($C$2:$C3366,$C3366)=1,1,0))</f>
        <v/>
      </c>
      <c r="AK3366">
        <f>IF($AJ3366=1,SUMPRODUCT(--($AN$2:$AN$4001&lt;$AN3366))+1,"")</f>
        <v/>
      </c>
      <c r="AL3366">
        <f>IF($C3366="","",IF(OR($Q3366=TRUE(),$Q3366="TRUE"),1,0))</f>
        <v/>
      </c>
      <c r="AM3366">
        <f>IF($C3366="","",IF($W3366="Yes",1,0))</f>
        <v/>
      </c>
      <c r="AN3366">
        <f>IF($AJ3366=1,IFERROR(IF(VALUE($C3366)&lt;100000000,VALUE($C3366),1000000000),IFERROR(IF(VALUE(MID($C3366,2,20))&lt;100000000,VALUE(MID($C3366,2,20)),1000000000),1000000000))+ROW()/100000,"")</f>
        <v/>
      </c>
    </row>
    <row r="3367">
      <c r="E3367" s="11" t="n"/>
      <c r="M3367" s="7">
        <f>IF($C3367="","",L3367*U3367/100)</f>
        <v/>
      </c>
      <c r="N3367" s="7" t="n"/>
      <c r="T3367" s="7" t="n"/>
      <c r="U3367" s="7">
        <f>IF($C3367="","",S3367*T3367)</f>
        <v/>
      </c>
      <c r="X3367">
        <f>IF($C3367="","",IF($AM3367=1,0,IF($AL3367=1,Settings!$C$6,Settings!$C$7))*100)</f>
        <v/>
      </c>
      <c r="AB3367" s="7" t="n"/>
      <c r="AE3367" s="11" t="n"/>
      <c r="AG3367" s="7">
        <f>IF($C3367="","",U3367*X3367/100)</f>
        <v/>
      </c>
      <c r="AH3367" s="7">
        <f>IF($C3367="","",U3367-AG3367)</f>
        <v/>
      </c>
      <c r="AI3367" s="7">
        <f>IF($C3367="","",AH3367-M3367)</f>
        <v/>
      </c>
      <c r="AJ3367">
        <f>IF($C3367="","",IF(COUNTIF($C$2:$C3367,$C3367)=1,1,0))</f>
        <v/>
      </c>
      <c r="AK3367">
        <f>IF($AJ3367=1,SUMPRODUCT(--($AN$2:$AN$4001&lt;$AN3367))+1,"")</f>
        <v/>
      </c>
      <c r="AL3367">
        <f>IF($C3367="","",IF(OR($Q3367=TRUE(),$Q3367="TRUE"),1,0))</f>
        <v/>
      </c>
      <c r="AM3367">
        <f>IF($C3367="","",IF($W3367="Yes",1,0))</f>
        <v/>
      </c>
      <c r="AN3367">
        <f>IF($AJ3367=1,IFERROR(IF(VALUE($C3367)&lt;100000000,VALUE($C3367),1000000000),IFERROR(IF(VALUE(MID($C3367,2,20))&lt;100000000,VALUE(MID($C3367,2,20)),1000000000),1000000000))+ROW()/100000,"")</f>
        <v/>
      </c>
    </row>
    <row r="3368">
      <c r="E3368" s="11" t="n"/>
      <c r="M3368" s="7">
        <f>IF($C3368="","",L3368*U3368/100)</f>
        <v/>
      </c>
      <c r="N3368" s="7" t="n"/>
      <c r="T3368" s="7" t="n"/>
      <c r="U3368" s="7">
        <f>IF($C3368="","",S3368*T3368)</f>
        <v/>
      </c>
      <c r="X3368">
        <f>IF($C3368="","",IF($AM3368=1,0,IF($AL3368=1,Settings!$C$6,Settings!$C$7))*100)</f>
        <v/>
      </c>
      <c r="AB3368" s="7" t="n"/>
      <c r="AE3368" s="11" t="n"/>
      <c r="AG3368" s="7">
        <f>IF($C3368="","",U3368*X3368/100)</f>
        <v/>
      </c>
      <c r="AH3368" s="7">
        <f>IF($C3368="","",U3368-AG3368)</f>
        <v/>
      </c>
      <c r="AI3368" s="7">
        <f>IF($C3368="","",AH3368-M3368)</f>
        <v/>
      </c>
      <c r="AJ3368">
        <f>IF($C3368="","",IF(COUNTIF($C$2:$C3368,$C3368)=1,1,0))</f>
        <v/>
      </c>
      <c r="AK3368">
        <f>IF($AJ3368=1,SUMPRODUCT(--($AN$2:$AN$4001&lt;$AN3368))+1,"")</f>
        <v/>
      </c>
      <c r="AL3368">
        <f>IF($C3368="","",IF(OR($Q3368=TRUE(),$Q3368="TRUE"),1,0))</f>
        <v/>
      </c>
      <c r="AM3368">
        <f>IF($C3368="","",IF($W3368="Yes",1,0))</f>
        <v/>
      </c>
      <c r="AN3368">
        <f>IF($AJ3368=1,IFERROR(IF(VALUE($C3368)&lt;100000000,VALUE($C3368),1000000000),IFERROR(IF(VALUE(MID($C3368,2,20))&lt;100000000,VALUE(MID($C3368,2,20)),1000000000),1000000000))+ROW()/100000,"")</f>
        <v/>
      </c>
    </row>
    <row r="3369">
      <c r="E3369" s="11" t="n"/>
      <c r="M3369" s="7">
        <f>IF($C3369="","",L3369*U3369/100)</f>
        <v/>
      </c>
      <c r="N3369" s="7" t="n"/>
      <c r="T3369" s="7" t="n"/>
      <c r="U3369" s="7">
        <f>IF($C3369="","",S3369*T3369)</f>
        <v/>
      </c>
      <c r="X3369">
        <f>IF($C3369="","",IF($AM3369=1,0,IF($AL3369=1,Settings!$C$6,Settings!$C$7))*100)</f>
        <v/>
      </c>
      <c r="AB3369" s="7" t="n"/>
      <c r="AE3369" s="11" t="n"/>
      <c r="AG3369" s="7">
        <f>IF($C3369="","",U3369*X3369/100)</f>
        <v/>
      </c>
      <c r="AH3369" s="7">
        <f>IF($C3369="","",U3369-AG3369)</f>
        <v/>
      </c>
      <c r="AI3369" s="7">
        <f>IF($C3369="","",AH3369-M3369)</f>
        <v/>
      </c>
      <c r="AJ3369">
        <f>IF($C3369="","",IF(COUNTIF($C$2:$C3369,$C3369)=1,1,0))</f>
        <v/>
      </c>
      <c r="AK3369">
        <f>IF($AJ3369=1,SUMPRODUCT(--($AN$2:$AN$4001&lt;$AN3369))+1,"")</f>
        <v/>
      </c>
      <c r="AL3369">
        <f>IF($C3369="","",IF(OR($Q3369=TRUE(),$Q3369="TRUE"),1,0))</f>
        <v/>
      </c>
      <c r="AM3369">
        <f>IF($C3369="","",IF($W3369="Yes",1,0))</f>
        <v/>
      </c>
      <c r="AN3369">
        <f>IF($AJ3369=1,IFERROR(IF(VALUE($C3369)&lt;100000000,VALUE($C3369),1000000000),IFERROR(IF(VALUE(MID($C3369,2,20))&lt;100000000,VALUE(MID($C3369,2,20)),1000000000),1000000000))+ROW()/100000,"")</f>
        <v/>
      </c>
    </row>
    <row r="3370">
      <c r="E3370" s="11" t="n"/>
      <c r="M3370" s="7">
        <f>IF($C3370="","",L3370*U3370/100)</f>
        <v/>
      </c>
      <c r="N3370" s="7" t="n"/>
      <c r="T3370" s="7" t="n"/>
      <c r="U3370" s="7">
        <f>IF($C3370="","",S3370*T3370)</f>
        <v/>
      </c>
      <c r="X3370">
        <f>IF($C3370="","",IF($AM3370=1,0,IF($AL3370=1,Settings!$C$6,Settings!$C$7))*100)</f>
        <v/>
      </c>
      <c r="AB3370" s="7" t="n"/>
      <c r="AE3370" s="11" t="n"/>
      <c r="AG3370" s="7">
        <f>IF($C3370="","",U3370*X3370/100)</f>
        <v/>
      </c>
      <c r="AH3370" s="7">
        <f>IF($C3370="","",U3370-AG3370)</f>
        <v/>
      </c>
      <c r="AI3370" s="7">
        <f>IF($C3370="","",AH3370-M3370)</f>
        <v/>
      </c>
      <c r="AJ3370">
        <f>IF($C3370="","",IF(COUNTIF($C$2:$C3370,$C3370)=1,1,0))</f>
        <v/>
      </c>
      <c r="AK3370">
        <f>IF($AJ3370=1,SUMPRODUCT(--($AN$2:$AN$4001&lt;$AN3370))+1,"")</f>
        <v/>
      </c>
      <c r="AL3370">
        <f>IF($C3370="","",IF(OR($Q3370=TRUE(),$Q3370="TRUE"),1,0))</f>
        <v/>
      </c>
      <c r="AM3370">
        <f>IF($C3370="","",IF($W3370="Yes",1,0))</f>
        <v/>
      </c>
      <c r="AN3370">
        <f>IF($AJ3370=1,IFERROR(IF(VALUE($C3370)&lt;100000000,VALUE($C3370),1000000000),IFERROR(IF(VALUE(MID($C3370,2,20))&lt;100000000,VALUE(MID($C3370,2,20)),1000000000),1000000000))+ROW()/100000,"")</f>
        <v/>
      </c>
    </row>
    <row r="3371">
      <c r="E3371" s="11" t="n"/>
      <c r="M3371" s="7">
        <f>IF($C3371="","",L3371*U3371/100)</f>
        <v/>
      </c>
      <c r="N3371" s="7" t="n"/>
      <c r="T3371" s="7" t="n"/>
      <c r="U3371" s="7">
        <f>IF($C3371="","",S3371*T3371)</f>
        <v/>
      </c>
      <c r="X3371">
        <f>IF($C3371="","",IF($AM3371=1,0,IF($AL3371=1,Settings!$C$6,Settings!$C$7))*100)</f>
        <v/>
      </c>
      <c r="AB3371" s="7" t="n"/>
      <c r="AE3371" s="11" t="n"/>
      <c r="AG3371" s="7">
        <f>IF($C3371="","",U3371*X3371/100)</f>
        <v/>
      </c>
      <c r="AH3371" s="7">
        <f>IF($C3371="","",U3371-AG3371)</f>
        <v/>
      </c>
      <c r="AI3371" s="7">
        <f>IF($C3371="","",AH3371-M3371)</f>
        <v/>
      </c>
      <c r="AJ3371">
        <f>IF($C3371="","",IF(COUNTIF($C$2:$C3371,$C3371)=1,1,0))</f>
        <v/>
      </c>
      <c r="AK3371">
        <f>IF($AJ3371=1,SUMPRODUCT(--($AN$2:$AN$4001&lt;$AN3371))+1,"")</f>
        <v/>
      </c>
      <c r="AL3371">
        <f>IF($C3371="","",IF(OR($Q3371=TRUE(),$Q3371="TRUE"),1,0))</f>
        <v/>
      </c>
      <c r="AM3371">
        <f>IF($C3371="","",IF($W3371="Yes",1,0))</f>
        <v/>
      </c>
      <c r="AN3371">
        <f>IF($AJ3371=1,IFERROR(IF(VALUE($C3371)&lt;100000000,VALUE($C3371),1000000000),IFERROR(IF(VALUE(MID($C3371,2,20))&lt;100000000,VALUE(MID($C3371,2,20)),1000000000),1000000000))+ROW()/100000,"")</f>
        <v/>
      </c>
    </row>
    <row r="3372">
      <c r="E3372" s="11" t="n"/>
      <c r="M3372" s="7">
        <f>IF($C3372="","",L3372*U3372/100)</f>
        <v/>
      </c>
      <c r="N3372" s="7" t="n"/>
      <c r="T3372" s="7" t="n"/>
      <c r="U3372" s="7">
        <f>IF($C3372="","",S3372*T3372)</f>
        <v/>
      </c>
      <c r="X3372">
        <f>IF($C3372="","",IF($AM3372=1,0,IF($AL3372=1,Settings!$C$6,Settings!$C$7))*100)</f>
        <v/>
      </c>
      <c r="AB3372" s="7" t="n"/>
      <c r="AE3372" s="11" t="n"/>
      <c r="AG3372" s="7">
        <f>IF($C3372="","",U3372*X3372/100)</f>
        <v/>
      </c>
      <c r="AH3372" s="7">
        <f>IF($C3372="","",U3372-AG3372)</f>
        <v/>
      </c>
      <c r="AI3372" s="7">
        <f>IF($C3372="","",AH3372-M3372)</f>
        <v/>
      </c>
      <c r="AJ3372">
        <f>IF($C3372="","",IF(COUNTIF($C$2:$C3372,$C3372)=1,1,0))</f>
        <v/>
      </c>
      <c r="AK3372">
        <f>IF($AJ3372=1,SUMPRODUCT(--($AN$2:$AN$4001&lt;$AN3372))+1,"")</f>
        <v/>
      </c>
      <c r="AL3372">
        <f>IF($C3372="","",IF(OR($Q3372=TRUE(),$Q3372="TRUE"),1,0))</f>
        <v/>
      </c>
      <c r="AM3372">
        <f>IF($C3372="","",IF($W3372="Yes",1,0))</f>
        <v/>
      </c>
      <c r="AN3372">
        <f>IF($AJ3372=1,IFERROR(IF(VALUE($C3372)&lt;100000000,VALUE($C3372),1000000000),IFERROR(IF(VALUE(MID($C3372,2,20))&lt;100000000,VALUE(MID($C3372,2,20)),1000000000),1000000000))+ROW()/100000,"")</f>
        <v/>
      </c>
    </row>
    <row r="3373">
      <c r="E3373" s="11" t="n"/>
      <c r="M3373" s="7">
        <f>IF($C3373="","",L3373*U3373/100)</f>
        <v/>
      </c>
      <c r="N3373" s="7" t="n"/>
      <c r="T3373" s="7" t="n"/>
      <c r="U3373" s="7">
        <f>IF($C3373="","",S3373*T3373)</f>
        <v/>
      </c>
      <c r="X3373">
        <f>IF($C3373="","",IF($AM3373=1,0,IF($AL3373=1,Settings!$C$6,Settings!$C$7))*100)</f>
        <v/>
      </c>
      <c r="AB3373" s="7" t="n"/>
      <c r="AE3373" s="11" t="n"/>
      <c r="AG3373" s="7">
        <f>IF($C3373="","",U3373*X3373/100)</f>
        <v/>
      </c>
      <c r="AH3373" s="7">
        <f>IF($C3373="","",U3373-AG3373)</f>
        <v/>
      </c>
      <c r="AI3373" s="7">
        <f>IF($C3373="","",AH3373-M3373)</f>
        <v/>
      </c>
      <c r="AJ3373">
        <f>IF($C3373="","",IF(COUNTIF($C$2:$C3373,$C3373)=1,1,0))</f>
        <v/>
      </c>
      <c r="AK3373">
        <f>IF($AJ3373=1,SUMPRODUCT(--($AN$2:$AN$4001&lt;$AN3373))+1,"")</f>
        <v/>
      </c>
      <c r="AL3373">
        <f>IF($C3373="","",IF(OR($Q3373=TRUE(),$Q3373="TRUE"),1,0))</f>
        <v/>
      </c>
      <c r="AM3373">
        <f>IF($C3373="","",IF($W3373="Yes",1,0))</f>
        <v/>
      </c>
      <c r="AN3373">
        <f>IF($AJ3373=1,IFERROR(IF(VALUE($C3373)&lt;100000000,VALUE($C3373),1000000000),IFERROR(IF(VALUE(MID($C3373,2,20))&lt;100000000,VALUE(MID($C3373,2,20)),1000000000),1000000000))+ROW()/100000,"")</f>
        <v/>
      </c>
    </row>
    <row r="3374">
      <c r="E3374" s="11" t="n"/>
      <c r="M3374" s="7">
        <f>IF($C3374="","",L3374*U3374/100)</f>
        <v/>
      </c>
      <c r="N3374" s="7" t="n"/>
      <c r="T3374" s="7" t="n"/>
      <c r="U3374" s="7">
        <f>IF($C3374="","",S3374*T3374)</f>
        <v/>
      </c>
      <c r="X3374">
        <f>IF($C3374="","",IF($AM3374=1,0,IF($AL3374=1,Settings!$C$6,Settings!$C$7))*100)</f>
        <v/>
      </c>
      <c r="AB3374" s="7" t="n"/>
      <c r="AE3374" s="11" t="n"/>
      <c r="AG3374" s="7">
        <f>IF($C3374="","",U3374*X3374/100)</f>
        <v/>
      </c>
      <c r="AH3374" s="7">
        <f>IF($C3374="","",U3374-AG3374)</f>
        <v/>
      </c>
      <c r="AI3374" s="7">
        <f>IF($C3374="","",AH3374-M3374)</f>
        <v/>
      </c>
      <c r="AJ3374">
        <f>IF($C3374="","",IF(COUNTIF($C$2:$C3374,$C3374)=1,1,0))</f>
        <v/>
      </c>
      <c r="AK3374">
        <f>IF($AJ3374=1,SUMPRODUCT(--($AN$2:$AN$4001&lt;$AN3374))+1,"")</f>
        <v/>
      </c>
      <c r="AL3374">
        <f>IF($C3374="","",IF(OR($Q3374=TRUE(),$Q3374="TRUE"),1,0))</f>
        <v/>
      </c>
      <c r="AM3374">
        <f>IF($C3374="","",IF($W3374="Yes",1,0))</f>
        <v/>
      </c>
      <c r="AN3374">
        <f>IF($AJ3374=1,IFERROR(IF(VALUE($C3374)&lt;100000000,VALUE($C3374),1000000000),IFERROR(IF(VALUE(MID($C3374,2,20))&lt;100000000,VALUE(MID($C3374,2,20)),1000000000),1000000000))+ROW()/100000,"")</f>
        <v/>
      </c>
    </row>
    <row r="3375">
      <c r="E3375" s="11" t="n"/>
      <c r="M3375" s="7">
        <f>IF($C3375="","",L3375*U3375/100)</f>
        <v/>
      </c>
      <c r="N3375" s="7" t="n"/>
      <c r="T3375" s="7" t="n"/>
      <c r="U3375" s="7">
        <f>IF($C3375="","",S3375*T3375)</f>
        <v/>
      </c>
      <c r="X3375">
        <f>IF($C3375="","",IF($AM3375=1,0,IF($AL3375=1,Settings!$C$6,Settings!$C$7))*100)</f>
        <v/>
      </c>
      <c r="AB3375" s="7" t="n"/>
      <c r="AE3375" s="11" t="n"/>
      <c r="AG3375" s="7">
        <f>IF($C3375="","",U3375*X3375/100)</f>
        <v/>
      </c>
      <c r="AH3375" s="7">
        <f>IF($C3375="","",U3375-AG3375)</f>
        <v/>
      </c>
      <c r="AI3375" s="7">
        <f>IF($C3375="","",AH3375-M3375)</f>
        <v/>
      </c>
      <c r="AJ3375">
        <f>IF($C3375="","",IF(COUNTIF($C$2:$C3375,$C3375)=1,1,0))</f>
        <v/>
      </c>
      <c r="AK3375">
        <f>IF($AJ3375=1,SUMPRODUCT(--($AN$2:$AN$4001&lt;$AN3375))+1,"")</f>
        <v/>
      </c>
      <c r="AL3375">
        <f>IF($C3375="","",IF(OR($Q3375=TRUE(),$Q3375="TRUE"),1,0))</f>
        <v/>
      </c>
      <c r="AM3375">
        <f>IF($C3375="","",IF($W3375="Yes",1,0))</f>
        <v/>
      </c>
      <c r="AN3375">
        <f>IF($AJ3375=1,IFERROR(IF(VALUE($C3375)&lt;100000000,VALUE($C3375),1000000000),IFERROR(IF(VALUE(MID($C3375,2,20))&lt;100000000,VALUE(MID($C3375,2,20)),1000000000),1000000000))+ROW()/100000,"")</f>
        <v/>
      </c>
    </row>
    <row r="3376">
      <c r="E3376" s="11" t="n"/>
      <c r="M3376" s="7">
        <f>IF($C3376="","",L3376*U3376/100)</f>
        <v/>
      </c>
      <c r="N3376" s="7" t="n"/>
      <c r="T3376" s="7" t="n"/>
      <c r="U3376" s="7">
        <f>IF($C3376="","",S3376*T3376)</f>
        <v/>
      </c>
      <c r="X3376">
        <f>IF($C3376="","",IF($AM3376=1,0,IF($AL3376=1,Settings!$C$6,Settings!$C$7))*100)</f>
        <v/>
      </c>
      <c r="AB3376" s="7" t="n"/>
      <c r="AE3376" s="11" t="n"/>
      <c r="AG3376" s="7">
        <f>IF($C3376="","",U3376*X3376/100)</f>
        <v/>
      </c>
      <c r="AH3376" s="7">
        <f>IF($C3376="","",U3376-AG3376)</f>
        <v/>
      </c>
      <c r="AI3376" s="7">
        <f>IF($C3376="","",AH3376-M3376)</f>
        <v/>
      </c>
      <c r="AJ3376">
        <f>IF($C3376="","",IF(COUNTIF($C$2:$C3376,$C3376)=1,1,0))</f>
        <v/>
      </c>
      <c r="AK3376">
        <f>IF($AJ3376=1,SUMPRODUCT(--($AN$2:$AN$4001&lt;$AN3376))+1,"")</f>
        <v/>
      </c>
      <c r="AL3376">
        <f>IF($C3376="","",IF(OR($Q3376=TRUE(),$Q3376="TRUE"),1,0))</f>
        <v/>
      </c>
      <c r="AM3376">
        <f>IF($C3376="","",IF($W3376="Yes",1,0))</f>
        <v/>
      </c>
      <c r="AN3376">
        <f>IF($AJ3376=1,IFERROR(IF(VALUE($C3376)&lt;100000000,VALUE($C3376),1000000000),IFERROR(IF(VALUE(MID($C3376,2,20))&lt;100000000,VALUE(MID($C3376,2,20)),1000000000),1000000000))+ROW()/100000,"")</f>
        <v/>
      </c>
    </row>
    <row r="3377">
      <c r="E3377" s="11" t="n"/>
      <c r="M3377" s="7">
        <f>IF($C3377="","",L3377*U3377/100)</f>
        <v/>
      </c>
      <c r="N3377" s="7" t="n"/>
      <c r="T3377" s="7" t="n"/>
      <c r="U3377" s="7">
        <f>IF($C3377="","",S3377*T3377)</f>
        <v/>
      </c>
      <c r="X3377">
        <f>IF($C3377="","",IF($AM3377=1,0,IF($AL3377=1,Settings!$C$6,Settings!$C$7))*100)</f>
        <v/>
      </c>
      <c r="AB3377" s="7" t="n"/>
      <c r="AE3377" s="11" t="n"/>
      <c r="AG3377" s="7">
        <f>IF($C3377="","",U3377*X3377/100)</f>
        <v/>
      </c>
      <c r="AH3377" s="7">
        <f>IF($C3377="","",U3377-AG3377)</f>
        <v/>
      </c>
      <c r="AI3377" s="7">
        <f>IF($C3377="","",AH3377-M3377)</f>
        <v/>
      </c>
      <c r="AJ3377">
        <f>IF($C3377="","",IF(COUNTIF($C$2:$C3377,$C3377)=1,1,0))</f>
        <v/>
      </c>
      <c r="AK3377">
        <f>IF($AJ3377=1,SUMPRODUCT(--($AN$2:$AN$4001&lt;$AN3377))+1,"")</f>
        <v/>
      </c>
      <c r="AL3377">
        <f>IF($C3377="","",IF(OR($Q3377=TRUE(),$Q3377="TRUE"),1,0))</f>
        <v/>
      </c>
      <c r="AM3377">
        <f>IF($C3377="","",IF($W3377="Yes",1,0))</f>
        <v/>
      </c>
      <c r="AN3377">
        <f>IF($AJ3377=1,IFERROR(IF(VALUE($C3377)&lt;100000000,VALUE($C3377),1000000000),IFERROR(IF(VALUE(MID($C3377,2,20))&lt;100000000,VALUE(MID($C3377,2,20)),1000000000),1000000000))+ROW()/100000,"")</f>
        <v/>
      </c>
    </row>
    <row r="3378">
      <c r="E3378" s="11" t="n"/>
      <c r="M3378" s="7">
        <f>IF($C3378="","",L3378*U3378/100)</f>
        <v/>
      </c>
      <c r="N3378" s="7" t="n"/>
      <c r="T3378" s="7" t="n"/>
      <c r="U3378" s="7">
        <f>IF($C3378="","",S3378*T3378)</f>
        <v/>
      </c>
      <c r="X3378">
        <f>IF($C3378="","",IF($AM3378=1,0,IF($AL3378=1,Settings!$C$6,Settings!$C$7))*100)</f>
        <v/>
      </c>
      <c r="AB3378" s="7" t="n"/>
      <c r="AE3378" s="11" t="n"/>
      <c r="AG3378" s="7">
        <f>IF($C3378="","",U3378*X3378/100)</f>
        <v/>
      </c>
      <c r="AH3378" s="7">
        <f>IF($C3378="","",U3378-AG3378)</f>
        <v/>
      </c>
      <c r="AI3378" s="7">
        <f>IF($C3378="","",AH3378-M3378)</f>
        <v/>
      </c>
      <c r="AJ3378">
        <f>IF($C3378="","",IF(COUNTIF($C$2:$C3378,$C3378)=1,1,0))</f>
        <v/>
      </c>
      <c r="AK3378">
        <f>IF($AJ3378=1,SUMPRODUCT(--($AN$2:$AN$4001&lt;$AN3378))+1,"")</f>
        <v/>
      </c>
      <c r="AL3378">
        <f>IF($C3378="","",IF(OR($Q3378=TRUE(),$Q3378="TRUE"),1,0))</f>
        <v/>
      </c>
      <c r="AM3378">
        <f>IF($C3378="","",IF($W3378="Yes",1,0))</f>
        <v/>
      </c>
      <c r="AN3378">
        <f>IF($AJ3378=1,IFERROR(IF(VALUE($C3378)&lt;100000000,VALUE($C3378),1000000000),IFERROR(IF(VALUE(MID($C3378,2,20))&lt;100000000,VALUE(MID($C3378,2,20)),1000000000),1000000000))+ROW()/100000,"")</f>
        <v/>
      </c>
    </row>
    <row r="3379">
      <c r="E3379" s="11" t="n"/>
      <c r="M3379" s="7">
        <f>IF($C3379="","",L3379*U3379/100)</f>
        <v/>
      </c>
      <c r="N3379" s="7" t="n"/>
      <c r="T3379" s="7" t="n"/>
      <c r="U3379" s="7">
        <f>IF($C3379="","",S3379*T3379)</f>
        <v/>
      </c>
      <c r="X3379">
        <f>IF($C3379="","",IF($AM3379=1,0,IF($AL3379=1,Settings!$C$6,Settings!$C$7))*100)</f>
        <v/>
      </c>
      <c r="AB3379" s="7" t="n"/>
      <c r="AE3379" s="11" t="n"/>
      <c r="AG3379" s="7">
        <f>IF($C3379="","",U3379*X3379/100)</f>
        <v/>
      </c>
      <c r="AH3379" s="7">
        <f>IF($C3379="","",U3379-AG3379)</f>
        <v/>
      </c>
      <c r="AI3379" s="7">
        <f>IF($C3379="","",AH3379-M3379)</f>
        <v/>
      </c>
      <c r="AJ3379">
        <f>IF($C3379="","",IF(COUNTIF($C$2:$C3379,$C3379)=1,1,0))</f>
        <v/>
      </c>
      <c r="AK3379">
        <f>IF($AJ3379=1,SUMPRODUCT(--($AN$2:$AN$4001&lt;$AN3379))+1,"")</f>
        <v/>
      </c>
      <c r="AL3379">
        <f>IF($C3379="","",IF(OR($Q3379=TRUE(),$Q3379="TRUE"),1,0))</f>
        <v/>
      </c>
      <c r="AM3379">
        <f>IF($C3379="","",IF($W3379="Yes",1,0))</f>
        <v/>
      </c>
      <c r="AN3379">
        <f>IF($AJ3379=1,IFERROR(IF(VALUE($C3379)&lt;100000000,VALUE($C3379),1000000000),IFERROR(IF(VALUE(MID($C3379,2,20))&lt;100000000,VALUE(MID($C3379,2,20)),1000000000),1000000000))+ROW()/100000,"")</f>
        <v/>
      </c>
    </row>
    <row r="3380">
      <c r="E3380" s="11" t="n"/>
      <c r="M3380" s="7">
        <f>IF($C3380="","",L3380*U3380/100)</f>
        <v/>
      </c>
      <c r="N3380" s="7" t="n"/>
      <c r="T3380" s="7" t="n"/>
      <c r="U3380" s="7">
        <f>IF($C3380="","",S3380*T3380)</f>
        <v/>
      </c>
      <c r="X3380">
        <f>IF($C3380="","",IF($AM3380=1,0,IF($AL3380=1,Settings!$C$6,Settings!$C$7))*100)</f>
        <v/>
      </c>
      <c r="AB3380" s="7" t="n"/>
      <c r="AE3380" s="11" t="n"/>
      <c r="AG3380" s="7">
        <f>IF($C3380="","",U3380*X3380/100)</f>
        <v/>
      </c>
      <c r="AH3380" s="7">
        <f>IF($C3380="","",U3380-AG3380)</f>
        <v/>
      </c>
      <c r="AI3380" s="7">
        <f>IF($C3380="","",AH3380-M3380)</f>
        <v/>
      </c>
      <c r="AJ3380">
        <f>IF($C3380="","",IF(COUNTIF($C$2:$C3380,$C3380)=1,1,0))</f>
        <v/>
      </c>
      <c r="AK3380">
        <f>IF($AJ3380=1,SUMPRODUCT(--($AN$2:$AN$4001&lt;$AN3380))+1,"")</f>
        <v/>
      </c>
      <c r="AL3380">
        <f>IF($C3380="","",IF(OR($Q3380=TRUE(),$Q3380="TRUE"),1,0))</f>
        <v/>
      </c>
      <c r="AM3380">
        <f>IF($C3380="","",IF($W3380="Yes",1,0))</f>
        <v/>
      </c>
      <c r="AN3380">
        <f>IF($AJ3380=1,IFERROR(IF(VALUE($C3380)&lt;100000000,VALUE($C3380),1000000000),IFERROR(IF(VALUE(MID($C3380,2,20))&lt;100000000,VALUE(MID($C3380,2,20)),1000000000),1000000000))+ROW()/100000,"")</f>
        <v/>
      </c>
    </row>
    <row r="3381">
      <c r="E3381" s="11" t="n"/>
      <c r="M3381" s="7">
        <f>IF($C3381="","",L3381*U3381/100)</f>
        <v/>
      </c>
      <c r="N3381" s="7" t="n"/>
      <c r="T3381" s="7" t="n"/>
      <c r="U3381" s="7">
        <f>IF($C3381="","",S3381*T3381)</f>
        <v/>
      </c>
      <c r="X3381">
        <f>IF($C3381="","",IF($AM3381=1,0,IF($AL3381=1,Settings!$C$6,Settings!$C$7))*100)</f>
        <v/>
      </c>
      <c r="AB3381" s="7" t="n"/>
      <c r="AE3381" s="11" t="n"/>
      <c r="AG3381" s="7">
        <f>IF($C3381="","",U3381*X3381/100)</f>
        <v/>
      </c>
      <c r="AH3381" s="7">
        <f>IF($C3381="","",U3381-AG3381)</f>
        <v/>
      </c>
      <c r="AI3381" s="7">
        <f>IF($C3381="","",AH3381-M3381)</f>
        <v/>
      </c>
      <c r="AJ3381">
        <f>IF($C3381="","",IF(COUNTIF($C$2:$C3381,$C3381)=1,1,0))</f>
        <v/>
      </c>
      <c r="AK3381">
        <f>IF($AJ3381=1,SUMPRODUCT(--($AN$2:$AN$4001&lt;$AN3381))+1,"")</f>
        <v/>
      </c>
      <c r="AL3381">
        <f>IF($C3381="","",IF(OR($Q3381=TRUE(),$Q3381="TRUE"),1,0))</f>
        <v/>
      </c>
      <c r="AM3381">
        <f>IF($C3381="","",IF($W3381="Yes",1,0))</f>
        <v/>
      </c>
      <c r="AN3381">
        <f>IF($AJ3381=1,IFERROR(IF(VALUE($C3381)&lt;100000000,VALUE($C3381),1000000000),IFERROR(IF(VALUE(MID($C3381,2,20))&lt;100000000,VALUE(MID($C3381,2,20)),1000000000),1000000000))+ROW()/100000,"")</f>
        <v/>
      </c>
    </row>
    <row r="3382">
      <c r="E3382" s="11" t="n"/>
      <c r="M3382" s="7">
        <f>IF($C3382="","",L3382*U3382/100)</f>
        <v/>
      </c>
      <c r="N3382" s="7" t="n"/>
      <c r="T3382" s="7" t="n"/>
      <c r="U3382" s="7">
        <f>IF($C3382="","",S3382*T3382)</f>
        <v/>
      </c>
      <c r="X3382">
        <f>IF($C3382="","",IF($AM3382=1,0,IF($AL3382=1,Settings!$C$6,Settings!$C$7))*100)</f>
        <v/>
      </c>
      <c r="AB3382" s="7" t="n"/>
      <c r="AE3382" s="11" t="n"/>
      <c r="AG3382" s="7">
        <f>IF($C3382="","",U3382*X3382/100)</f>
        <v/>
      </c>
      <c r="AH3382" s="7">
        <f>IF($C3382="","",U3382-AG3382)</f>
        <v/>
      </c>
      <c r="AI3382" s="7">
        <f>IF($C3382="","",AH3382-M3382)</f>
        <v/>
      </c>
      <c r="AJ3382">
        <f>IF($C3382="","",IF(COUNTIF($C$2:$C3382,$C3382)=1,1,0))</f>
        <v/>
      </c>
      <c r="AK3382">
        <f>IF($AJ3382=1,SUMPRODUCT(--($AN$2:$AN$4001&lt;$AN3382))+1,"")</f>
        <v/>
      </c>
      <c r="AL3382">
        <f>IF($C3382="","",IF(OR($Q3382=TRUE(),$Q3382="TRUE"),1,0))</f>
        <v/>
      </c>
      <c r="AM3382">
        <f>IF($C3382="","",IF($W3382="Yes",1,0))</f>
        <v/>
      </c>
      <c r="AN3382">
        <f>IF($AJ3382=1,IFERROR(IF(VALUE($C3382)&lt;100000000,VALUE($C3382),1000000000),IFERROR(IF(VALUE(MID($C3382,2,20))&lt;100000000,VALUE(MID($C3382,2,20)),1000000000),1000000000))+ROW()/100000,"")</f>
        <v/>
      </c>
    </row>
    <row r="3383">
      <c r="E3383" s="11" t="n"/>
      <c r="M3383" s="7">
        <f>IF($C3383="","",L3383*U3383/100)</f>
        <v/>
      </c>
      <c r="N3383" s="7" t="n"/>
      <c r="T3383" s="7" t="n"/>
      <c r="U3383" s="7">
        <f>IF($C3383="","",S3383*T3383)</f>
        <v/>
      </c>
      <c r="X3383">
        <f>IF($C3383="","",IF($AM3383=1,0,IF($AL3383=1,Settings!$C$6,Settings!$C$7))*100)</f>
        <v/>
      </c>
      <c r="AB3383" s="7" t="n"/>
      <c r="AE3383" s="11" t="n"/>
      <c r="AG3383" s="7">
        <f>IF($C3383="","",U3383*X3383/100)</f>
        <v/>
      </c>
      <c r="AH3383" s="7">
        <f>IF($C3383="","",U3383-AG3383)</f>
        <v/>
      </c>
      <c r="AI3383" s="7">
        <f>IF($C3383="","",AH3383-M3383)</f>
        <v/>
      </c>
      <c r="AJ3383">
        <f>IF($C3383="","",IF(COUNTIF($C$2:$C3383,$C3383)=1,1,0))</f>
        <v/>
      </c>
      <c r="AK3383">
        <f>IF($AJ3383=1,SUMPRODUCT(--($AN$2:$AN$4001&lt;$AN3383))+1,"")</f>
        <v/>
      </c>
      <c r="AL3383">
        <f>IF($C3383="","",IF(OR($Q3383=TRUE(),$Q3383="TRUE"),1,0))</f>
        <v/>
      </c>
      <c r="AM3383">
        <f>IF($C3383="","",IF($W3383="Yes",1,0))</f>
        <v/>
      </c>
      <c r="AN3383">
        <f>IF($AJ3383=1,IFERROR(IF(VALUE($C3383)&lt;100000000,VALUE($C3383),1000000000),IFERROR(IF(VALUE(MID($C3383,2,20))&lt;100000000,VALUE(MID($C3383,2,20)),1000000000),1000000000))+ROW()/100000,"")</f>
        <v/>
      </c>
    </row>
    <row r="3384">
      <c r="E3384" s="11" t="n"/>
      <c r="M3384" s="7">
        <f>IF($C3384="","",L3384*U3384/100)</f>
        <v/>
      </c>
      <c r="N3384" s="7" t="n"/>
      <c r="T3384" s="7" t="n"/>
      <c r="U3384" s="7">
        <f>IF($C3384="","",S3384*T3384)</f>
        <v/>
      </c>
      <c r="X3384">
        <f>IF($C3384="","",IF($AM3384=1,0,IF($AL3384=1,Settings!$C$6,Settings!$C$7))*100)</f>
        <v/>
      </c>
      <c r="AB3384" s="7" t="n"/>
      <c r="AE3384" s="11" t="n"/>
      <c r="AG3384" s="7">
        <f>IF($C3384="","",U3384*X3384/100)</f>
        <v/>
      </c>
      <c r="AH3384" s="7">
        <f>IF($C3384="","",U3384-AG3384)</f>
        <v/>
      </c>
      <c r="AI3384" s="7">
        <f>IF($C3384="","",AH3384-M3384)</f>
        <v/>
      </c>
      <c r="AJ3384">
        <f>IF($C3384="","",IF(COUNTIF($C$2:$C3384,$C3384)=1,1,0))</f>
        <v/>
      </c>
      <c r="AK3384">
        <f>IF($AJ3384=1,SUMPRODUCT(--($AN$2:$AN$4001&lt;$AN3384))+1,"")</f>
        <v/>
      </c>
      <c r="AL3384">
        <f>IF($C3384="","",IF(OR($Q3384=TRUE(),$Q3384="TRUE"),1,0))</f>
        <v/>
      </c>
      <c r="AM3384">
        <f>IF($C3384="","",IF($W3384="Yes",1,0))</f>
        <v/>
      </c>
      <c r="AN3384">
        <f>IF($AJ3384=1,IFERROR(IF(VALUE($C3384)&lt;100000000,VALUE($C3384),1000000000),IFERROR(IF(VALUE(MID($C3384,2,20))&lt;100000000,VALUE(MID($C3384,2,20)),1000000000),1000000000))+ROW()/100000,"")</f>
        <v/>
      </c>
    </row>
    <row r="3385">
      <c r="E3385" s="11" t="n"/>
      <c r="M3385" s="7">
        <f>IF($C3385="","",L3385*U3385/100)</f>
        <v/>
      </c>
      <c r="N3385" s="7" t="n"/>
      <c r="T3385" s="7" t="n"/>
      <c r="U3385" s="7">
        <f>IF($C3385="","",S3385*T3385)</f>
        <v/>
      </c>
      <c r="X3385">
        <f>IF($C3385="","",IF($AM3385=1,0,IF($AL3385=1,Settings!$C$6,Settings!$C$7))*100)</f>
        <v/>
      </c>
      <c r="AB3385" s="7" t="n"/>
      <c r="AE3385" s="11" t="n"/>
      <c r="AG3385" s="7">
        <f>IF($C3385="","",U3385*X3385/100)</f>
        <v/>
      </c>
      <c r="AH3385" s="7">
        <f>IF($C3385="","",U3385-AG3385)</f>
        <v/>
      </c>
      <c r="AI3385" s="7">
        <f>IF($C3385="","",AH3385-M3385)</f>
        <v/>
      </c>
      <c r="AJ3385">
        <f>IF($C3385="","",IF(COUNTIF($C$2:$C3385,$C3385)=1,1,0))</f>
        <v/>
      </c>
      <c r="AK3385">
        <f>IF($AJ3385=1,SUMPRODUCT(--($AN$2:$AN$4001&lt;$AN3385))+1,"")</f>
        <v/>
      </c>
      <c r="AL3385">
        <f>IF($C3385="","",IF(OR($Q3385=TRUE(),$Q3385="TRUE"),1,0))</f>
        <v/>
      </c>
      <c r="AM3385">
        <f>IF($C3385="","",IF($W3385="Yes",1,0))</f>
        <v/>
      </c>
      <c r="AN3385">
        <f>IF($AJ3385=1,IFERROR(IF(VALUE($C3385)&lt;100000000,VALUE($C3385),1000000000),IFERROR(IF(VALUE(MID($C3385,2,20))&lt;100000000,VALUE(MID($C3385,2,20)),1000000000),1000000000))+ROW()/100000,"")</f>
        <v/>
      </c>
    </row>
    <row r="3386">
      <c r="E3386" s="11" t="n"/>
      <c r="M3386" s="7">
        <f>IF($C3386="","",L3386*U3386/100)</f>
        <v/>
      </c>
      <c r="N3386" s="7" t="n"/>
      <c r="T3386" s="7" t="n"/>
      <c r="U3386" s="7">
        <f>IF($C3386="","",S3386*T3386)</f>
        <v/>
      </c>
      <c r="X3386">
        <f>IF($C3386="","",IF($AM3386=1,0,IF($AL3386=1,Settings!$C$6,Settings!$C$7))*100)</f>
        <v/>
      </c>
      <c r="AB3386" s="7" t="n"/>
      <c r="AE3386" s="11" t="n"/>
      <c r="AG3386" s="7">
        <f>IF($C3386="","",U3386*X3386/100)</f>
        <v/>
      </c>
      <c r="AH3386" s="7">
        <f>IF($C3386="","",U3386-AG3386)</f>
        <v/>
      </c>
      <c r="AI3386" s="7">
        <f>IF($C3386="","",AH3386-M3386)</f>
        <v/>
      </c>
      <c r="AJ3386">
        <f>IF($C3386="","",IF(COUNTIF($C$2:$C3386,$C3386)=1,1,0))</f>
        <v/>
      </c>
      <c r="AK3386">
        <f>IF($AJ3386=1,SUMPRODUCT(--($AN$2:$AN$4001&lt;$AN3386))+1,"")</f>
        <v/>
      </c>
      <c r="AL3386">
        <f>IF($C3386="","",IF(OR($Q3386=TRUE(),$Q3386="TRUE"),1,0))</f>
        <v/>
      </c>
      <c r="AM3386">
        <f>IF($C3386="","",IF($W3386="Yes",1,0))</f>
        <v/>
      </c>
      <c r="AN3386">
        <f>IF($AJ3386=1,IFERROR(IF(VALUE($C3386)&lt;100000000,VALUE($C3386),1000000000),IFERROR(IF(VALUE(MID($C3386,2,20))&lt;100000000,VALUE(MID($C3386,2,20)),1000000000),1000000000))+ROW()/100000,"")</f>
        <v/>
      </c>
    </row>
    <row r="3387">
      <c r="E3387" s="11" t="n"/>
      <c r="M3387" s="7">
        <f>IF($C3387="","",L3387*U3387/100)</f>
        <v/>
      </c>
      <c r="N3387" s="7" t="n"/>
      <c r="T3387" s="7" t="n"/>
      <c r="U3387" s="7">
        <f>IF($C3387="","",S3387*T3387)</f>
        <v/>
      </c>
      <c r="X3387">
        <f>IF($C3387="","",IF($AM3387=1,0,IF($AL3387=1,Settings!$C$6,Settings!$C$7))*100)</f>
        <v/>
      </c>
      <c r="AB3387" s="7" t="n"/>
      <c r="AE3387" s="11" t="n"/>
      <c r="AG3387" s="7">
        <f>IF($C3387="","",U3387*X3387/100)</f>
        <v/>
      </c>
      <c r="AH3387" s="7">
        <f>IF($C3387="","",U3387-AG3387)</f>
        <v/>
      </c>
      <c r="AI3387" s="7">
        <f>IF($C3387="","",AH3387-M3387)</f>
        <v/>
      </c>
      <c r="AJ3387">
        <f>IF($C3387="","",IF(COUNTIF($C$2:$C3387,$C3387)=1,1,0))</f>
        <v/>
      </c>
      <c r="AK3387">
        <f>IF($AJ3387=1,SUMPRODUCT(--($AN$2:$AN$4001&lt;$AN3387))+1,"")</f>
        <v/>
      </c>
      <c r="AL3387">
        <f>IF($C3387="","",IF(OR($Q3387=TRUE(),$Q3387="TRUE"),1,0))</f>
        <v/>
      </c>
      <c r="AM3387">
        <f>IF($C3387="","",IF($W3387="Yes",1,0))</f>
        <v/>
      </c>
      <c r="AN3387">
        <f>IF($AJ3387=1,IFERROR(IF(VALUE($C3387)&lt;100000000,VALUE($C3387),1000000000),IFERROR(IF(VALUE(MID($C3387,2,20))&lt;100000000,VALUE(MID($C3387,2,20)),1000000000),1000000000))+ROW()/100000,"")</f>
        <v/>
      </c>
    </row>
    <row r="3388">
      <c r="E3388" s="11" t="n"/>
      <c r="M3388" s="7">
        <f>IF($C3388="","",L3388*U3388/100)</f>
        <v/>
      </c>
      <c r="N3388" s="7" t="n"/>
      <c r="T3388" s="7" t="n"/>
      <c r="U3388" s="7">
        <f>IF($C3388="","",S3388*T3388)</f>
        <v/>
      </c>
      <c r="X3388">
        <f>IF($C3388="","",IF($AM3388=1,0,IF($AL3388=1,Settings!$C$6,Settings!$C$7))*100)</f>
        <v/>
      </c>
      <c r="AB3388" s="7" t="n"/>
      <c r="AE3388" s="11" t="n"/>
      <c r="AG3388" s="7">
        <f>IF($C3388="","",U3388*X3388/100)</f>
        <v/>
      </c>
      <c r="AH3388" s="7">
        <f>IF($C3388="","",U3388-AG3388)</f>
        <v/>
      </c>
      <c r="AI3388" s="7">
        <f>IF($C3388="","",AH3388-M3388)</f>
        <v/>
      </c>
      <c r="AJ3388">
        <f>IF($C3388="","",IF(COUNTIF($C$2:$C3388,$C3388)=1,1,0))</f>
        <v/>
      </c>
      <c r="AK3388">
        <f>IF($AJ3388=1,SUMPRODUCT(--($AN$2:$AN$4001&lt;$AN3388))+1,"")</f>
        <v/>
      </c>
      <c r="AL3388">
        <f>IF($C3388="","",IF(OR($Q3388=TRUE(),$Q3388="TRUE"),1,0))</f>
        <v/>
      </c>
      <c r="AM3388">
        <f>IF($C3388="","",IF($W3388="Yes",1,0))</f>
        <v/>
      </c>
      <c r="AN3388">
        <f>IF($AJ3388=1,IFERROR(IF(VALUE($C3388)&lt;100000000,VALUE($C3388),1000000000),IFERROR(IF(VALUE(MID($C3388,2,20))&lt;100000000,VALUE(MID($C3388,2,20)),1000000000),1000000000))+ROW()/100000,"")</f>
        <v/>
      </c>
    </row>
    <row r="3389">
      <c r="E3389" s="11" t="n"/>
      <c r="M3389" s="7">
        <f>IF($C3389="","",L3389*U3389/100)</f>
        <v/>
      </c>
      <c r="N3389" s="7" t="n"/>
      <c r="T3389" s="7" t="n"/>
      <c r="U3389" s="7">
        <f>IF($C3389="","",S3389*T3389)</f>
        <v/>
      </c>
      <c r="X3389">
        <f>IF($C3389="","",IF($AM3389=1,0,IF($AL3389=1,Settings!$C$6,Settings!$C$7))*100)</f>
        <v/>
      </c>
      <c r="AB3389" s="7" t="n"/>
      <c r="AE3389" s="11" t="n"/>
      <c r="AG3389" s="7">
        <f>IF($C3389="","",U3389*X3389/100)</f>
        <v/>
      </c>
      <c r="AH3389" s="7">
        <f>IF($C3389="","",U3389-AG3389)</f>
        <v/>
      </c>
      <c r="AI3389" s="7">
        <f>IF($C3389="","",AH3389-M3389)</f>
        <v/>
      </c>
      <c r="AJ3389">
        <f>IF($C3389="","",IF(COUNTIF($C$2:$C3389,$C3389)=1,1,0))</f>
        <v/>
      </c>
      <c r="AK3389">
        <f>IF($AJ3389=1,SUMPRODUCT(--($AN$2:$AN$4001&lt;$AN3389))+1,"")</f>
        <v/>
      </c>
      <c r="AL3389">
        <f>IF($C3389="","",IF(OR($Q3389=TRUE(),$Q3389="TRUE"),1,0))</f>
        <v/>
      </c>
      <c r="AM3389">
        <f>IF($C3389="","",IF($W3389="Yes",1,0))</f>
        <v/>
      </c>
      <c r="AN3389">
        <f>IF($AJ3389=1,IFERROR(IF(VALUE($C3389)&lt;100000000,VALUE($C3389),1000000000),IFERROR(IF(VALUE(MID($C3389,2,20))&lt;100000000,VALUE(MID($C3389,2,20)),1000000000),1000000000))+ROW()/100000,"")</f>
        <v/>
      </c>
    </row>
    <row r="3390">
      <c r="E3390" s="11" t="n"/>
      <c r="M3390" s="7">
        <f>IF($C3390="","",L3390*U3390/100)</f>
        <v/>
      </c>
      <c r="N3390" s="7" t="n"/>
      <c r="T3390" s="7" t="n"/>
      <c r="U3390" s="7">
        <f>IF($C3390="","",S3390*T3390)</f>
        <v/>
      </c>
      <c r="X3390">
        <f>IF($C3390="","",IF($AM3390=1,0,IF($AL3390=1,Settings!$C$6,Settings!$C$7))*100)</f>
        <v/>
      </c>
      <c r="AB3390" s="7" t="n"/>
      <c r="AE3390" s="11" t="n"/>
      <c r="AG3390" s="7">
        <f>IF($C3390="","",U3390*X3390/100)</f>
        <v/>
      </c>
      <c r="AH3390" s="7">
        <f>IF($C3390="","",U3390-AG3390)</f>
        <v/>
      </c>
      <c r="AI3390" s="7">
        <f>IF($C3390="","",AH3390-M3390)</f>
        <v/>
      </c>
      <c r="AJ3390">
        <f>IF($C3390="","",IF(COUNTIF($C$2:$C3390,$C3390)=1,1,0))</f>
        <v/>
      </c>
      <c r="AK3390">
        <f>IF($AJ3390=1,SUMPRODUCT(--($AN$2:$AN$4001&lt;$AN3390))+1,"")</f>
        <v/>
      </c>
      <c r="AL3390">
        <f>IF($C3390="","",IF(OR($Q3390=TRUE(),$Q3390="TRUE"),1,0))</f>
        <v/>
      </c>
      <c r="AM3390">
        <f>IF($C3390="","",IF($W3390="Yes",1,0))</f>
        <v/>
      </c>
      <c r="AN3390">
        <f>IF($AJ3390=1,IFERROR(IF(VALUE($C3390)&lt;100000000,VALUE($C3390),1000000000),IFERROR(IF(VALUE(MID($C3390,2,20))&lt;100000000,VALUE(MID($C3390,2,20)),1000000000),1000000000))+ROW()/100000,"")</f>
        <v/>
      </c>
    </row>
    <row r="3391">
      <c r="E3391" s="11" t="n"/>
      <c r="M3391" s="7">
        <f>IF($C3391="","",L3391*U3391/100)</f>
        <v/>
      </c>
      <c r="N3391" s="7" t="n"/>
      <c r="T3391" s="7" t="n"/>
      <c r="U3391" s="7">
        <f>IF($C3391="","",S3391*T3391)</f>
        <v/>
      </c>
      <c r="X3391">
        <f>IF($C3391="","",IF($AM3391=1,0,IF($AL3391=1,Settings!$C$6,Settings!$C$7))*100)</f>
        <v/>
      </c>
      <c r="AB3391" s="7" t="n"/>
      <c r="AE3391" s="11" t="n"/>
      <c r="AG3391" s="7">
        <f>IF($C3391="","",U3391*X3391/100)</f>
        <v/>
      </c>
      <c r="AH3391" s="7">
        <f>IF($C3391="","",U3391-AG3391)</f>
        <v/>
      </c>
      <c r="AI3391" s="7">
        <f>IF($C3391="","",AH3391-M3391)</f>
        <v/>
      </c>
      <c r="AJ3391">
        <f>IF($C3391="","",IF(COUNTIF($C$2:$C3391,$C3391)=1,1,0))</f>
        <v/>
      </c>
      <c r="AK3391">
        <f>IF($AJ3391=1,SUMPRODUCT(--($AN$2:$AN$4001&lt;$AN3391))+1,"")</f>
        <v/>
      </c>
      <c r="AL3391">
        <f>IF($C3391="","",IF(OR($Q3391=TRUE(),$Q3391="TRUE"),1,0))</f>
        <v/>
      </c>
      <c r="AM3391">
        <f>IF($C3391="","",IF($W3391="Yes",1,0))</f>
        <v/>
      </c>
      <c r="AN3391">
        <f>IF($AJ3391=1,IFERROR(IF(VALUE($C3391)&lt;100000000,VALUE($C3391),1000000000),IFERROR(IF(VALUE(MID($C3391,2,20))&lt;100000000,VALUE(MID($C3391,2,20)),1000000000),1000000000))+ROW()/100000,"")</f>
        <v/>
      </c>
    </row>
    <row r="3392">
      <c r="E3392" s="11" t="n"/>
      <c r="M3392" s="7">
        <f>IF($C3392="","",L3392*U3392/100)</f>
        <v/>
      </c>
      <c r="N3392" s="7" t="n"/>
      <c r="T3392" s="7" t="n"/>
      <c r="U3392" s="7">
        <f>IF($C3392="","",S3392*T3392)</f>
        <v/>
      </c>
      <c r="X3392">
        <f>IF($C3392="","",IF($AM3392=1,0,IF($AL3392=1,Settings!$C$6,Settings!$C$7))*100)</f>
        <v/>
      </c>
      <c r="AB3392" s="7" t="n"/>
      <c r="AE3392" s="11" t="n"/>
      <c r="AG3392" s="7">
        <f>IF($C3392="","",U3392*X3392/100)</f>
        <v/>
      </c>
      <c r="AH3392" s="7">
        <f>IF($C3392="","",U3392-AG3392)</f>
        <v/>
      </c>
      <c r="AI3392" s="7">
        <f>IF($C3392="","",AH3392-M3392)</f>
        <v/>
      </c>
      <c r="AJ3392">
        <f>IF($C3392="","",IF(COUNTIF($C$2:$C3392,$C3392)=1,1,0))</f>
        <v/>
      </c>
      <c r="AK3392">
        <f>IF($AJ3392=1,SUMPRODUCT(--($AN$2:$AN$4001&lt;$AN3392))+1,"")</f>
        <v/>
      </c>
      <c r="AL3392">
        <f>IF($C3392="","",IF(OR($Q3392=TRUE(),$Q3392="TRUE"),1,0))</f>
        <v/>
      </c>
      <c r="AM3392">
        <f>IF($C3392="","",IF($W3392="Yes",1,0))</f>
        <v/>
      </c>
      <c r="AN3392">
        <f>IF($AJ3392=1,IFERROR(IF(VALUE($C3392)&lt;100000000,VALUE($C3392),1000000000),IFERROR(IF(VALUE(MID($C3392,2,20))&lt;100000000,VALUE(MID($C3392,2,20)),1000000000),1000000000))+ROW()/100000,"")</f>
        <v/>
      </c>
    </row>
    <row r="3393">
      <c r="E3393" s="11" t="n"/>
      <c r="M3393" s="7">
        <f>IF($C3393="","",L3393*U3393/100)</f>
        <v/>
      </c>
      <c r="N3393" s="7" t="n"/>
      <c r="T3393" s="7" t="n"/>
      <c r="U3393" s="7">
        <f>IF($C3393="","",S3393*T3393)</f>
        <v/>
      </c>
      <c r="X3393">
        <f>IF($C3393="","",IF($AM3393=1,0,IF($AL3393=1,Settings!$C$6,Settings!$C$7))*100)</f>
        <v/>
      </c>
      <c r="AB3393" s="7" t="n"/>
      <c r="AE3393" s="11" t="n"/>
      <c r="AG3393" s="7">
        <f>IF($C3393="","",U3393*X3393/100)</f>
        <v/>
      </c>
      <c r="AH3393" s="7">
        <f>IF($C3393="","",U3393-AG3393)</f>
        <v/>
      </c>
      <c r="AI3393" s="7">
        <f>IF($C3393="","",AH3393-M3393)</f>
        <v/>
      </c>
      <c r="AJ3393">
        <f>IF($C3393="","",IF(COUNTIF($C$2:$C3393,$C3393)=1,1,0))</f>
        <v/>
      </c>
      <c r="AK3393">
        <f>IF($AJ3393=1,SUMPRODUCT(--($AN$2:$AN$4001&lt;$AN3393))+1,"")</f>
        <v/>
      </c>
      <c r="AL3393">
        <f>IF($C3393="","",IF(OR($Q3393=TRUE(),$Q3393="TRUE"),1,0))</f>
        <v/>
      </c>
      <c r="AM3393">
        <f>IF($C3393="","",IF($W3393="Yes",1,0))</f>
        <v/>
      </c>
      <c r="AN3393">
        <f>IF($AJ3393=1,IFERROR(IF(VALUE($C3393)&lt;100000000,VALUE($C3393),1000000000),IFERROR(IF(VALUE(MID($C3393,2,20))&lt;100000000,VALUE(MID($C3393,2,20)),1000000000),1000000000))+ROW()/100000,"")</f>
        <v/>
      </c>
    </row>
    <row r="3394">
      <c r="E3394" s="11" t="n"/>
      <c r="M3394" s="7">
        <f>IF($C3394="","",L3394*U3394/100)</f>
        <v/>
      </c>
      <c r="N3394" s="7" t="n"/>
      <c r="T3394" s="7" t="n"/>
      <c r="U3394" s="7">
        <f>IF($C3394="","",S3394*T3394)</f>
        <v/>
      </c>
      <c r="X3394">
        <f>IF($C3394="","",IF($AM3394=1,0,IF($AL3394=1,Settings!$C$6,Settings!$C$7))*100)</f>
        <v/>
      </c>
      <c r="AB3394" s="7" t="n"/>
      <c r="AE3394" s="11" t="n"/>
      <c r="AG3394" s="7">
        <f>IF($C3394="","",U3394*X3394/100)</f>
        <v/>
      </c>
      <c r="AH3394" s="7">
        <f>IF($C3394="","",U3394-AG3394)</f>
        <v/>
      </c>
      <c r="AI3394" s="7">
        <f>IF($C3394="","",AH3394-M3394)</f>
        <v/>
      </c>
      <c r="AJ3394">
        <f>IF($C3394="","",IF(COUNTIF($C$2:$C3394,$C3394)=1,1,0))</f>
        <v/>
      </c>
      <c r="AK3394">
        <f>IF($AJ3394=1,SUMPRODUCT(--($AN$2:$AN$4001&lt;$AN3394))+1,"")</f>
        <v/>
      </c>
      <c r="AL3394">
        <f>IF($C3394="","",IF(OR($Q3394=TRUE(),$Q3394="TRUE"),1,0))</f>
        <v/>
      </c>
      <c r="AM3394">
        <f>IF($C3394="","",IF($W3394="Yes",1,0))</f>
        <v/>
      </c>
      <c r="AN3394">
        <f>IF($AJ3394=1,IFERROR(IF(VALUE($C3394)&lt;100000000,VALUE($C3394),1000000000),IFERROR(IF(VALUE(MID($C3394,2,20))&lt;100000000,VALUE(MID($C3394,2,20)),1000000000),1000000000))+ROW()/100000,"")</f>
        <v/>
      </c>
    </row>
    <row r="3395">
      <c r="E3395" s="11" t="n"/>
      <c r="M3395" s="7">
        <f>IF($C3395="","",L3395*U3395/100)</f>
        <v/>
      </c>
      <c r="N3395" s="7" t="n"/>
      <c r="T3395" s="7" t="n"/>
      <c r="U3395" s="7">
        <f>IF($C3395="","",S3395*T3395)</f>
        <v/>
      </c>
      <c r="X3395">
        <f>IF($C3395="","",IF($AM3395=1,0,IF($AL3395=1,Settings!$C$6,Settings!$C$7))*100)</f>
        <v/>
      </c>
      <c r="AB3395" s="7" t="n"/>
      <c r="AE3395" s="11" t="n"/>
      <c r="AG3395" s="7">
        <f>IF($C3395="","",U3395*X3395/100)</f>
        <v/>
      </c>
      <c r="AH3395" s="7">
        <f>IF($C3395="","",U3395-AG3395)</f>
        <v/>
      </c>
      <c r="AI3395" s="7">
        <f>IF($C3395="","",AH3395-M3395)</f>
        <v/>
      </c>
      <c r="AJ3395">
        <f>IF($C3395="","",IF(COUNTIF($C$2:$C3395,$C3395)=1,1,0))</f>
        <v/>
      </c>
      <c r="AK3395">
        <f>IF($AJ3395=1,SUMPRODUCT(--($AN$2:$AN$4001&lt;$AN3395))+1,"")</f>
        <v/>
      </c>
      <c r="AL3395">
        <f>IF($C3395="","",IF(OR($Q3395=TRUE(),$Q3395="TRUE"),1,0))</f>
        <v/>
      </c>
      <c r="AM3395">
        <f>IF($C3395="","",IF($W3395="Yes",1,0))</f>
        <v/>
      </c>
      <c r="AN3395">
        <f>IF($AJ3395=1,IFERROR(IF(VALUE($C3395)&lt;100000000,VALUE($C3395),1000000000),IFERROR(IF(VALUE(MID($C3395,2,20))&lt;100000000,VALUE(MID($C3395,2,20)),1000000000),1000000000))+ROW()/100000,"")</f>
        <v/>
      </c>
    </row>
    <row r="3396">
      <c r="E3396" s="11" t="n"/>
      <c r="M3396" s="7">
        <f>IF($C3396="","",L3396*U3396/100)</f>
        <v/>
      </c>
      <c r="N3396" s="7" t="n"/>
      <c r="T3396" s="7" t="n"/>
      <c r="U3396" s="7">
        <f>IF($C3396="","",S3396*T3396)</f>
        <v/>
      </c>
      <c r="X3396">
        <f>IF($C3396="","",IF($AM3396=1,0,IF($AL3396=1,Settings!$C$6,Settings!$C$7))*100)</f>
        <v/>
      </c>
      <c r="AB3396" s="7" t="n"/>
      <c r="AE3396" s="11" t="n"/>
      <c r="AG3396" s="7">
        <f>IF($C3396="","",U3396*X3396/100)</f>
        <v/>
      </c>
      <c r="AH3396" s="7">
        <f>IF($C3396="","",U3396-AG3396)</f>
        <v/>
      </c>
      <c r="AI3396" s="7">
        <f>IF($C3396="","",AH3396-M3396)</f>
        <v/>
      </c>
      <c r="AJ3396">
        <f>IF($C3396="","",IF(COUNTIF($C$2:$C3396,$C3396)=1,1,0))</f>
        <v/>
      </c>
      <c r="AK3396">
        <f>IF($AJ3396=1,SUMPRODUCT(--($AN$2:$AN$4001&lt;$AN3396))+1,"")</f>
        <v/>
      </c>
      <c r="AL3396">
        <f>IF($C3396="","",IF(OR($Q3396=TRUE(),$Q3396="TRUE"),1,0))</f>
        <v/>
      </c>
      <c r="AM3396">
        <f>IF($C3396="","",IF($W3396="Yes",1,0))</f>
        <v/>
      </c>
      <c r="AN3396">
        <f>IF($AJ3396=1,IFERROR(IF(VALUE($C3396)&lt;100000000,VALUE($C3396),1000000000),IFERROR(IF(VALUE(MID($C3396,2,20))&lt;100000000,VALUE(MID($C3396,2,20)),1000000000),1000000000))+ROW()/100000,"")</f>
        <v/>
      </c>
    </row>
    <row r="3397">
      <c r="E3397" s="11" t="n"/>
      <c r="M3397" s="7">
        <f>IF($C3397="","",L3397*U3397/100)</f>
        <v/>
      </c>
      <c r="N3397" s="7" t="n"/>
      <c r="T3397" s="7" t="n"/>
      <c r="U3397" s="7">
        <f>IF($C3397="","",S3397*T3397)</f>
        <v/>
      </c>
      <c r="X3397">
        <f>IF($C3397="","",IF($AM3397=1,0,IF($AL3397=1,Settings!$C$6,Settings!$C$7))*100)</f>
        <v/>
      </c>
      <c r="AB3397" s="7" t="n"/>
      <c r="AE3397" s="11" t="n"/>
      <c r="AG3397" s="7">
        <f>IF($C3397="","",U3397*X3397/100)</f>
        <v/>
      </c>
      <c r="AH3397" s="7">
        <f>IF($C3397="","",U3397-AG3397)</f>
        <v/>
      </c>
      <c r="AI3397" s="7">
        <f>IF($C3397="","",AH3397-M3397)</f>
        <v/>
      </c>
      <c r="AJ3397">
        <f>IF($C3397="","",IF(COUNTIF($C$2:$C3397,$C3397)=1,1,0))</f>
        <v/>
      </c>
      <c r="AK3397">
        <f>IF($AJ3397=1,SUMPRODUCT(--($AN$2:$AN$4001&lt;$AN3397))+1,"")</f>
        <v/>
      </c>
      <c r="AL3397">
        <f>IF($C3397="","",IF(OR($Q3397=TRUE(),$Q3397="TRUE"),1,0))</f>
        <v/>
      </c>
      <c r="AM3397">
        <f>IF($C3397="","",IF($W3397="Yes",1,0))</f>
        <v/>
      </c>
      <c r="AN3397">
        <f>IF($AJ3397=1,IFERROR(IF(VALUE($C3397)&lt;100000000,VALUE($C3397),1000000000),IFERROR(IF(VALUE(MID($C3397,2,20))&lt;100000000,VALUE(MID($C3397,2,20)),1000000000),1000000000))+ROW()/100000,"")</f>
        <v/>
      </c>
    </row>
    <row r="3398">
      <c r="E3398" s="11" t="n"/>
      <c r="M3398" s="7">
        <f>IF($C3398="","",L3398*U3398/100)</f>
        <v/>
      </c>
      <c r="N3398" s="7" t="n"/>
      <c r="T3398" s="7" t="n"/>
      <c r="U3398" s="7">
        <f>IF($C3398="","",S3398*T3398)</f>
        <v/>
      </c>
      <c r="X3398">
        <f>IF($C3398="","",IF($AM3398=1,0,IF($AL3398=1,Settings!$C$6,Settings!$C$7))*100)</f>
        <v/>
      </c>
      <c r="AB3398" s="7" t="n"/>
      <c r="AE3398" s="11" t="n"/>
      <c r="AG3398" s="7">
        <f>IF($C3398="","",U3398*X3398/100)</f>
        <v/>
      </c>
      <c r="AH3398" s="7">
        <f>IF($C3398="","",U3398-AG3398)</f>
        <v/>
      </c>
      <c r="AI3398" s="7">
        <f>IF($C3398="","",AH3398-M3398)</f>
        <v/>
      </c>
      <c r="AJ3398">
        <f>IF($C3398="","",IF(COUNTIF($C$2:$C3398,$C3398)=1,1,0))</f>
        <v/>
      </c>
      <c r="AK3398">
        <f>IF($AJ3398=1,SUMPRODUCT(--($AN$2:$AN$4001&lt;$AN3398))+1,"")</f>
        <v/>
      </c>
      <c r="AL3398">
        <f>IF($C3398="","",IF(OR($Q3398=TRUE(),$Q3398="TRUE"),1,0))</f>
        <v/>
      </c>
      <c r="AM3398">
        <f>IF($C3398="","",IF($W3398="Yes",1,0))</f>
        <v/>
      </c>
      <c r="AN3398">
        <f>IF($AJ3398=1,IFERROR(IF(VALUE($C3398)&lt;100000000,VALUE($C3398),1000000000),IFERROR(IF(VALUE(MID($C3398,2,20))&lt;100000000,VALUE(MID($C3398,2,20)),1000000000),1000000000))+ROW()/100000,"")</f>
        <v/>
      </c>
    </row>
    <row r="3399">
      <c r="E3399" s="11" t="n"/>
      <c r="M3399" s="7">
        <f>IF($C3399="","",L3399*U3399/100)</f>
        <v/>
      </c>
      <c r="N3399" s="7" t="n"/>
      <c r="T3399" s="7" t="n"/>
      <c r="U3399" s="7">
        <f>IF($C3399="","",S3399*T3399)</f>
        <v/>
      </c>
      <c r="X3399">
        <f>IF($C3399="","",IF($AM3399=1,0,IF($AL3399=1,Settings!$C$6,Settings!$C$7))*100)</f>
        <v/>
      </c>
      <c r="AB3399" s="7" t="n"/>
      <c r="AE3399" s="11" t="n"/>
      <c r="AG3399" s="7">
        <f>IF($C3399="","",U3399*X3399/100)</f>
        <v/>
      </c>
      <c r="AH3399" s="7">
        <f>IF($C3399="","",U3399-AG3399)</f>
        <v/>
      </c>
      <c r="AI3399" s="7">
        <f>IF($C3399="","",AH3399-M3399)</f>
        <v/>
      </c>
      <c r="AJ3399">
        <f>IF($C3399="","",IF(COUNTIF($C$2:$C3399,$C3399)=1,1,0))</f>
        <v/>
      </c>
      <c r="AK3399">
        <f>IF($AJ3399=1,SUMPRODUCT(--($AN$2:$AN$4001&lt;$AN3399))+1,"")</f>
        <v/>
      </c>
      <c r="AL3399">
        <f>IF($C3399="","",IF(OR($Q3399=TRUE(),$Q3399="TRUE"),1,0))</f>
        <v/>
      </c>
      <c r="AM3399">
        <f>IF($C3399="","",IF($W3399="Yes",1,0))</f>
        <v/>
      </c>
      <c r="AN3399">
        <f>IF($AJ3399=1,IFERROR(IF(VALUE($C3399)&lt;100000000,VALUE($C3399),1000000000),IFERROR(IF(VALUE(MID($C3399,2,20))&lt;100000000,VALUE(MID($C3399,2,20)),1000000000),1000000000))+ROW()/100000,"")</f>
        <v/>
      </c>
    </row>
    <row r="3400">
      <c r="E3400" s="11" t="n"/>
      <c r="M3400" s="7">
        <f>IF($C3400="","",L3400*U3400/100)</f>
        <v/>
      </c>
      <c r="N3400" s="7" t="n"/>
      <c r="T3400" s="7" t="n"/>
      <c r="U3400" s="7">
        <f>IF($C3400="","",S3400*T3400)</f>
        <v/>
      </c>
      <c r="X3400">
        <f>IF($C3400="","",IF($AM3400=1,0,IF($AL3400=1,Settings!$C$6,Settings!$C$7))*100)</f>
        <v/>
      </c>
      <c r="AB3400" s="7" t="n"/>
      <c r="AE3400" s="11" t="n"/>
      <c r="AG3400" s="7">
        <f>IF($C3400="","",U3400*X3400/100)</f>
        <v/>
      </c>
      <c r="AH3400" s="7">
        <f>IF($C3400="","",U3400-AG3400)</f>
        <v/>
      </c>
      <c r="AI3400" s="7">
        <f>IF($C3400="","",AH3400-M3400)</f>
        <v/>
      </c>
      <c r="AJ3400">
        <f>IF($C3400="","",IF(COUNTIF($C$2:$C3400,$C3400)=1,1,0))</f>
        <v/>
      </c>
      <c r="AK3400">
        <f>IF($AJ3400=1,SUMPRODUCT(--($AN$2:$AN$4001&lt;$AN3400))+1,"")</f>
        <v/>
      </c>
      <c r="AL3400">
        <f>IF($C3400="","",IF(OR($Q3400=TRUE(),$Q3400="TRUE"),1,0))</f>
        <v/>
      </c>
      <c r="AM3400">
        <f>IF($C3400="","",IF($W3400="Yes",1,0))</f>
        <v/>
      </c>
      <c r="AN3400">
        <f>IF($AJ3400=1,IFERROR(IF(VALUE($C3400)&lt;100000000,VALUE($C3400),1000000000),IFERROR(IF(VALUE(MID($C3400,2,20))&lt;100000000,VALUE(MID($C3400,2,20)),1000000000),1000000000))+ROW()/100000,"")</f>
        <v/>
      </c>
    </row>
    <row r="3401">
      <c r="E3401" s="11" t="n"/>
      <c r="M3401" s="7">
        <f>IF($C3401="","",L3401*U3401/100)</f>
        <v/>
      </c>
      <c r="N3401" s="7" t="n"/>
      <c r="T3401" s="7" t="n"/>
      <c r="U3401" s="7">
        <f>IF($C3401="","",S3401*T3401)</f>
        <v/>
      </c>
      <c r="X3401">
        <f>IF($C3401="","",IF($AM3401=1,0,IF($AL3401=1,Settings!$C$6,Settings!$C$7))*100)</f>
        <v/>
      </c>
      <c r="AB3401" s="7" t="n"/>
      <c r="AE3401" s="11" t="n"/>
      <c r="AG3401" s="7">
        <f>IF($C3401="","",U3401*X3401/100)</f>
        <v/>
      </c>
      <c r="AH3401" s="7">
        <f>IF($C3401="","",U3401-AG3401)</f>
        <v/>
      </c>
      <c r="AI3401" s="7">
        <f>IF($C3401="","",AH3401-M3401)</f>
        <v/>
      </c>
      <c r="AJ3401">
        <f>IF($C3401="","",IF(COUNTIF($C$2:$C3401,$C3401)=1,1,0))</f>
        <v/>
      </c>
      <c r="AK3401">
        <f>IF($AJ3401=1,SUMPRODUCT(--($AN$2:$AN$4001&lt;$AN3401))+1,"")</f>
        <v/>
      </c>
      <c r="AL3401">
        <f>IF($C3401="","",IF(OR($Q3401=TRUE(),$Q3401="TRUE"),1,0))</f>
        <v/>
      </c>
      <c r="AM3401">
        <f>IF($C3401="","",IF($W3401="Yes",1,0))</f>
        <v/>
      </c>
      <c r="AN3401">
        <f>IF($AJ3401=1,IFERROR(IF(VALUE($C3401)&lt;100000000,VALUE($C3401),1000000000),IFERROR(IF(VALUE(MID($C3401,2,20))&lt;100000000,VALUE(MID($C3401,2,20)),1000000000),1000000000))+ROW()/100000,"")</f>
        <v/>
      </c>
    </row>
    <row r="3402">
      <c r="E3402" s="11" t="n"/>
      <c r="M3402" s="7">
        <f>IF($C3402="","",L3402*U3402/100)</f>
        <v/>
      </c>
      <c r="N3402" s="7" t="n"/>
      <c r="T3402" s="7" t="n"/>
      <c r="U3402" s="7">
        <f>IF($C3402="","",S3402*T3402)</f>
        <v/>
      </c>
      <c r="X3402">
        <f>IF($C3402="","",IF($AM3402=1,0,IF($AL3402=1,Settings!$C$6,Settings!$C$7))*100)</f>
        <v/>
      </c>
      <c r="AB3402" s="7" t="n"/>
      <c r="AE3402" s="11" t="n"/>
      <c r="AG3402" s="7">
        <f>IF($C3402="","",U3402*X3402/100)</f>
        <v/>
      </c>
      <c r="AH3402" s="7">
        <f>IF($C3402="","",U3402-AG3402)</f>
        <v/>
      </c>
      <c r="AI3402" s="7">
        <f>IF($C3402="","",AH3402-M3402)</f>
        <v/>
      </c>
      <c r="AJ3402">
        <f>IF($C3402="","",IF(COUNTIF($C$2:$C3402,$C3402)=1,1,0))</f>
        <v/>
      </c>
      <c r="AK3402">
        <f>IF($AJ3402=1,SUMPRODUCT(--($AN$2:$AN$4001&lt;$AN3402))+1,"")</f>
        <v/>
      </c>
      <c r="AL3402">
        <f>IF($C3402="","",IF(OR($Q3402=TRUE(),$Q3402="TRUE"),1,0))</f>
        <v/>
      </c>
      <c r="AM3402">
        <f>IF($C3402="","",IF($W3402="Yes",1,0))</f>
        <v/>
      </c>
      <c r="AN3402">
        <f>IF($AJ3402=1,IFERROR(IF(VALUE($C3402)&lt;100000000,VALUE($C3402),1000000000),IFERROR(IF(VALUE(MID($C3402,2,20))&lt;100000000,VALUE(MID($C3402,2,20)),1000000000),1000000000))+ROW()/100000,"")</f>
        <v/>
      </c>
    </row>
    <row r="3403">
      <c r="E3403" s="11" t="n"/>
      <c r="M3403" s="7">
        <f>IF($C3403="","",L3403*U3403/100)</f>
        <v/>
      </c>
      <c r="N3403" s="7" t="n"/>
      <c r="T3403" s="7" t="n"/>
      <c r="U3403" s="7">
        <f>IF($C3403="","",S3403*T3403)</f>
        <v/>
      </c>
      <c r="X3403">
        <f>IF($C3403="","",IF($AM3403=1,0,IF($AL3403=1,Settings!$C$6,Settings!$C$7))*100)</f>
        <v/>
      </c>
      <c r="AB3403" s="7" t="n"/>
      <c r="AE3403" s="11" t="n"/>
      <c r="AG3403" s="7">
        <f>IF($C3403="","",U3403*X3403/100)</f>
        <v/>
      </c>
      <c r="AH3403" s="7">
        <f>IF($C3403="","",U3403-AG3403)</f>
        <v/>
      </c>
      <c r="AI3403" s="7">
        <f>IF($C3403="","",AH3403-M3403)</f>
        <v/>
      </c>
      <c r="AJ3403">
        <f>IF($C3403="","",IF(COUNTIF($C$2:$C3403,$C3403)=1,1,0))</f>
        <v/>
      </c>
      <c r="AK3403">
        <f>IF($AJ3403=1,SUMPRODUCT(--($AN$2:$AN$4001&lt;$AN3403))+1,"")</f>
        <v/>
      </c>
      <c r="AL3403">
        <f>IF($C3403="","",IF(OR($Q3403=TRUE(),$Q3403="TRUE"),1,0))</f>
        <v/>
      </c>
      <c r="AM3403">
        <f>IF($C3403="","",IF($W3403="Yes",1,0))</f>
        <v/>
      </c>
      <c r="AN3403">
        <f>IF($AJ3403=1,IFERROR(IF(VALUE($C3403)&lt;100000000,VALUE($C3403),1000000000),IFERROR(IF(VALUE(MID($C3403,2,20))&lt;100000000,VALUE(MID($C3403,2,20)),1000000000),1000000000))+ROW()/100000,"")</f>
        <v/>
      </c>
    </row>
    <row r="3404">
      <c r="E3404" s="11" t="n"/>
      <c r="M3404" s="7">
        <f>IF($C3404="","",L3404*U3404/100)</f>
        <v/>
      </c>
      <c r="N3404" s="7" t="n"/>
      <c r="T3404" s="7" t="n"/>
      <c r="U3404" s="7">
        <f>IF($C3404="","",S3404*T3404)</f>
        <v/>
      </c>
      <c r="X3404">
        <f>IF($C3404="","",IF($AM3404=1,0,IF($AL3404=1,Settings!$C$6,Settings!$C$7))*100)</f>
        <v/>
      </c>
      <c r="AB3404" s="7" t="n"/>
      <c r="AE3404" s="11" t="n"/>
      <c r="AG3404" s="7">
        <f>IF($C3404="","",U3404*X3404/100)</f>
        <v/>
      </c>
      <c r="AH3404" s="7">
        <f>IF($C3404="","",U3404-AG3404)</f>
        <v/>
      </c>
      <c r="AI3404" s="7">
        <f>IF($C3404="","",AH3404-M3404)</f>
        <v/>
      </c>
      <c r="AJ3404">
        <f>IF($C3404="","",IF(COUNTIF($C$2:$C3404,$C3404)=1,1,0))</f>
        <v/>
      </c>
      <c r="AK3404">
        <f>IF($AJ3404=1,SUMPRODUCT(--($AN$2:$AN$4001&lt;$AN3404))+1,"")</f>
        <v/>
      </c>
      <c r="AL3404">
        <f>IF($C3404="","",IF(OR($Q3404=TRUE(),$Q3404="TRUE"),1,0))</f>
        <v/>
      </c>
      <c r="AM3404">
        <f>IF($C3404="","",IF($W3404="Yes",1,0))</f>
        <v/>
      </c>
      <c r="AN3404">
        <f>IF($AJ3404=1,IFERROR(IF(VALUE($C3404)&lt;100000000,VALUE($C3404),1000000000),IFERROR(IF(VALUE(MID($C3404,2,20))&lt;100000000,VALUE(MID($C3404,2,20)),1000000000),1000000000))+ROW()/100000,"")</f>
        <v/>
      </c>
    </row>
    <row r="3405">
      <c r="E3405" s="11" t="n"/>
      <c r="M3405" s="7">
        <f>IF($C3405="","",L3405*U3405/100)</f>
        <v/>
      </c>
      <c r="N3405" s="7" t="n"/>
      <c r="T3405" s="7" t="n"/>
      <c r="U3405" s="7">
        <f>IF($C3405="","",S3405*T3405)</f>
        <v/>
      </c>
      <c r="X3405">
        <f>IF($C3405="","",IF($AM3405=1,0,IF($AL3405=1,Settings!$C$6,Settings!$C$7))*100)</f>
        <v/>
      </c>
      <c r="AB3405" s="7" t="n"/>
      <c r="AE3405" s="11" t="n"/>
      <c r="AG3405" s="7">
        <f>IF($C3405="","",U3405*X3405/100)</f>
        <v/>
      </c>
      <c r="AH3405" s="7">
        <f>IF($C3405="","",U3405-AG3405)</f>
        <v/>
      </c>
      <c r="AI3405" s="7">
        <f>IF($C3405="","",AH3405-M3405)</f>
        <v/>
      </c>
      <c r="AJ3405">
        <f>IF($C3405="","",IF(COUNTIF($C$2:$C3405,$C3405)=1,1,0))</f>
        <v/>
      </c>
      <c r="AK3405">
        <f>IF($AJ3405=1,SUMPRODUCT(--($AN$2:$AN$4001&lt;$AN3405))+1,"")</f>
        <v/>
      </c>
      <c r="AL3405">
        <f>IF($C3405="","",IF(OR($Q3405=TRUE(),$Q3405="TRUE"),1,0))</f>
        <v/>
      </c>
      <c r="AM3405">
        <f>IF($C3405="","",IF($W3405="Yes",1,0))</f>
        <v/>
      </c>
      <c r="AN3405">
        <f>IF($AJ3405=1,IFERROR(IF(VALUE($C3405)&lt;100000000,VALUE($C3405),1000000000),IFERROR(IF(VALUE(MID($C3405,2,20))&lt;100000000,VALUE(MID($C3405,2,20)),1000000000),1000000000))+ROW()/100000,"")</f>
        <v/>
      </c>
    </row>
    <row r="3406">
      <c r="E3406" s="11" t="n"/>
      <c r="M3406" s="7">
        <f>IF($C3406="","",L3406*U3406/100)</f>
        <v/>
      </c>
      <c r="N3406" s="7" t="n"/>
      <c r="T3406" s="7" t="n"/>
      <c r="U3406" s="7">
        <f>IF($C3406="","",S3406*T3406)</f>
        <v/>
      </c>
      <c r="X3406">
        <f>IF($C3406="","",IF($AM3406=1,0,IF($AL3406=1,Settings!$C$6,Settings!$C$7))*100)</f>
        <v/>
      </c>
      <c r="AB3406" s="7" t="n"/>
      <c r="AE3406" s="11" t="n"/>
      <c r="AG3406" s="7">
        <f>IF($C3406="","",U3406*X3406/100)</f>
        <v/>
      </c>
      <c r="AH3406" s="7">
        <f>IF($C3406="","",U3406-AG3406)</f>
        <v/>
      </c>
      <c r="AI3406" s="7">
        <f>IF($C3406="","",AH3406-M3406)</f>
        <v/>
      </c>
      <c r="AJ3406">
        <f>IF($C3406="","",IF(COUNTIF($C$2:$C3406,$C3406)=1,1,0))</f>
        <v/>
      </c>
      <c r="AK3406">
        <f>IF($AJ3406=1,SUMPRODUCT(--($AN$2:$AN$4001&lt;$AN3406))+1,"")</f>
        <v/>
      </c>
      <c r="AL3406">
        <f>IF($C3406="","",IF(OR($Q3406=TRUE(),$Q3406="TRUE"),1,0))</f>
        <v/>
      </c>
      <c r="AM3406">
        <f>IF($C3406="","",IF($W3406="Yes",1,0))</f>
        <v/>
      </c>
      <c r="AN3406">
        <f>IF($AJ3406=1,IFERROR(IF(VALUE($C3406)&lt;100000000,VALUE($C3406),1000000000),IFERROR(IF(VALUE(MID($C3406,2,20))&lt;100000000,VALUE(MID($C3406,2,20)),1000000000),1000000000))+ROW()/100000,"")</f>
        <v/>
      </c>
    </row>
    <row r="3407">
      <c r="E3407" s="11" t="n"/>
      <c r="M3407" s="7">
        <f>IF($C3407="","",L3407*U3407/100)</f>
        <v/>
      </c>
      <c r="N3407" s="7" t="n"/>
      <c r="T3407" s="7" t="n"/>
      <c r="U3407" s="7">
        <f>IF($C3407="","",S3407*T3407)</f>
        <v/>
      </c>
      <c r="X3407">
        <f>IF($C3407="","",IF($AM3407=1,0,IF($AL3407=1,Settings!$C$6,Settings!$C$7))*100)</f>
        <v/>
      </c>
      <c r="AB3407" s="7" t="n"/>
      <c r="AE3407" s="11" t="n"/>
      <c r="AG3407" s="7">
        <f>IF($C3407="","",U3407*X3407/100)</f>
        <v/>
      </c>
      <c r="AH3407" s="7">
        <f>IF($C3407="","",U3407-AG3407)</f>
        <v/>
      </c>
      <c r="AI3407" s="7">
        <f>IF($C3407="","",AH3407-M3407)</f>
        <v/>
      </c>
      <c r="AJ3407">
        <f>IF($C3407="","",IF(COUNTIF($C$2:$C3407,$C3407)=1,1,0))</f>
        <v/>
      </c>
      <c r="AK3407">
        <f>IF($AJ3407=1,SUMPRODUCT(--($AN$2:$AN$4001&lt;$AN3407))+1,"")</f>
        <v/>
      </c>
      <c r="AL3407">
        <f>IF($C3407="","",IF(OR($Q3407=TRUE(),$Q3407="TRUE"),1,0))</f>
        <v/>
      </c>
      <c r="AM3407">
        <f>IF($C3407="","",IF($W3407="Yes",1,0))</f>
        <v/>
      </c>
      <c r="AN3407">
        <f>IF($AJ3407=1,IFERROR(IF(VALUE($C3407)&lt;100000000,VALUE($C3407),1000000000),IFERROR(IF(VALUE(MID($C3407,2,20))&lt;100000000,VALUE(MID($C3407,2,20)),1000000000),1000000000))+ROW()/100000,"")</f>
        <v/>
      </c>
    </row>
    <row r="3408">
      <c r="E3408" s="11" t="n"/>
      <c r="M3408" s="7">
        <f>IF($C3408="","",L3408*U3408/100)</f>
        <v/>
      </c>
      <c r="N3408" s="7" t="n"/>
      <c r="T3408" s="7" t="n"/>
      <c r="U3408" s="7">
        <f>IF($C3408="","",S3408*T3408)</f>
        <v/>
      </c>
      <c r="X3408">
        <f>IF($C3408="","",IF($AM3408=1,0,IF($AL3408=1,Settings!$C$6,Settings!$C$7))*100)</f>
        <v/>
      </c>
      <c r="AB3408" s="7" t="n"/>
      <c r="AE3408" s="11" t="n"/>
      <c r="AG3408" s="7">
        <f>IF($C3408="","",U3408*X3408/100)</f>
        <v/>
      </c>
      <c r="AH3408" s="7">
        <f>IF($C3408="","",U3408-AG3408)</f>
        <v/>
      </c>
      <c r="AI3408" s="7">
        <f>IF($C3408="","",AH3408-M3408)</f>
        <v/>
      </c>
      <c r="AJ3408">
        <f>IF($C3408="","",IF(COUNTIF($C$2:$C3408,$C3408)=1,1,0))</f>
        <v/>
      </c>
      <c r="AK3408">
        <f>IF($AJ3408=1,SUMPRODUCT(--($AN$2:$AN$4001&lt;$AN3408))+1,"")</f>
        <v/>
      </c>
      <c r="AL3408">
        <f>IF($C3408="","",IF(OR($Q3408=TRUE(),$Q3408="TRUE"),1,0))</f>
        <v/>
      </c>
      <c r="AM3408">
        <f>IF($C3408="","",IF($W3408="Yes",1,0))</f>
        <v/>
      </c>
      <c r="AN3408">
        <f>IF($AJ3408=1,IFERROR(IF(VALUE($C3408)&lt;100000000,VALUE($C3408),1000000000),IFERROR(IF(VALUE(MID($C3408,2,20))&lt;100000000,VALUE(MID($C3408,2,20)),1000000000),1000000000))+ROW()/100000,"")</f>
        <v/>
      </c>
    </row>
    <row r="3409">
      <c r="E3409" s="11" t="n"/>
      <c r="M3409" s="7">
        <f>IF($C3409="","",L3409*U3409/100)</f>
        <v/>
      </c>
      <c r="N3409" s="7" t="n"/>
      <c r="T3409" s="7" t="n"/>
      <c r="U3409" s="7">
        <f>IF($C3409="","",S3409*T3409)</f>
        <v/>
      </c>
      <c r="X3409">
        <f>IF($C3409="","",IF($AM3409=1,0,IF($AL3409=1,Settings!$C$6,Settings!$C$7))*100)</f>
        <v/>
      </c>
      <c r="AB3409" s="7" t="n"/>
      <c r="AE3409" s="11" t="n"/>
      <c r="AG3409" s="7">
        <f>IF($C3409="","",U3409*X3409/100)</f>
        <v/>
      </c>
      <c r="AH3409" s="7">
        <f>IF($C3409="","",U3409-AG3409)</f>
        <v/>
      </c>
      <c r="AI3409" s="7">
        <f>IF($C3409="","",AH3409-M3409)</f>
        <v/>
      </c>
      <c r="AJ3409">
        <f>IF($C3409="","",IF(COUNTIF($C$2:$C3409,$C3409)=1,1,0))</f>
        <v/>
      </c>
      <c r="AK3409">
        <f>IF($AJ3409=1,SUMPRODUCT(--($AN$2:$AN$4001&lt;$AN3409))+1,"")</f>
        <v/>
      </c>
      <c r="AL3409">
        <f>IF($C3409="","",IF(OR($Q3409=TRUE(),$Q3409="TRUE"),1,0))</f>
        <v/>
      </c>
      <c r="AM3409">
        <f>IF($C3409="","",IF($W3409="Yes",1,0))</f>
        <v/>
      </c>
      <c r="AN3409">
        <f>IF($AJ3409=1,IFERROR(IF(VALUE($C3409)&lt;100000000,VALUE($C3409),1000000000),IFERROR(IF(VALUE(MID($C3409,2,20))&lt;100000000,VALUE(MID($C3409,2,20)),1000000000),1000000000))+ROW()/100000,"")</f>
        <v/>
      </c>
    </row>
    <row r="3410">
      <c r="E3410" s="11" t="n"/>
      <c r="M3410" s="7">
        <f>IF($C3410="","",L3410*U3410/100)</f>
        <v/>
      </c>
      <c r="N3410" s="7" t="n"/>
      <c r="T3410" s="7" t="n"/>
      <c r="U3410" s="7">
        <f>IF($C3410="","",S3410*T3410)</f>
        <v/>
      </c>
      <c r="X3410">
        <f>IF($C3410="","",IF($AM3410=1,0,IF($AL3410=1,Settings!$C$6,Settings!$C$7))*100)</f>
        <v/>
      </c>
      <c r="AB3410" s="7" t="n"/>
      <c r="AE3410" s="11" t="n"/>
      <c r="AG3410" s="7">
        <f>IF($C3410="","",U3410*X3410/100)</f>
        <v/>
      </c>
      <c r="AH3410" s="7">
        <f>IF($C3410="","",U3410-AG3410)</f>
        <v/>
      </c>
      <c r="AI3410" s="7">
        <f>IF($C3410="","",AH3410-M3410)</f>
        <v/>
      </c>
      <c r="AJ3410">
        <f>IF($C3410="","",IF(COUNTIF($C$2:$C3410,$C3410)=1,1,0))</f>
        <v/>
      </c>
      <c r="AK3410">
        <f>IF($AJ3410=1,SUMPRODUCT(--($AN$2:$AN$4001&lt;$AN3410))+1,"")</f>
        <v/>
      </c>
      <c r="AL3410">
        <f>IF($C3410="","",IF(OR($Q3410=TRUE(),$Q3410="TRUE"),1,0))</f>
        <v/>
      </c>
      <c r="AM3410">
        <f>IF($C3410="","",IF($W3410="Yes",1,0))</f>
        <v/>
      </c>
      <c r="AN3410">
        <f>IF($AJ3410=1,IFERROR(IF(VALUE($C3410)&lt;100000000,VALUE($C3410),1000000000),IFERROR(IF(VALUE(MID($C3410,2,20))&lt;100000000,VALUE(MID($C3410,2,20)),1000000000),1000000000))+ROW()/100000,"")</f>
        <v/>
      </c>
    </row>
    <row r="3411">
      <c r="E3411" s="11" t="n"/>
      <c r="M3411" s="7">
        <f>IF($C3411="","",L3411*U3411/100)</f>
        <v/>
      </c>
      <c r="N3411" s="7" t="n"/>
      <c r="T3411" s="7" t="n"/>
      <c r="U3411" s="7">
        <f>IF($C3411="","",S3411*T3411)</f>
        <v/>
      </c>
      <c r="X3411">
        <f>IF($C3411="","",IF($AM3411=1,0,IF($AL3411=1,Settings!$C$6,Settings!$C$7))*100)</f>
        <v/>
      </c>
      <c r="AB3411" s="7" t="n"/>
      <c r="AE3411" s="11" t="n"/>
      <c r="AG3411" s="7">
        <f>IF($C3411="","",U3411*X3411/100)</f>
        <v/>
      </c>
      <c r="AH3411" s="7">
        <f>IF($C3411="","",U3411-AG3411)</f>
        <v/>
      </c>
      <c r="AI3411" s="7">
        <f>IF($C3411="","",AH3411-M3411)</f>
        <v/>
      </c>
      <c r="AJ3411">
        <f>IF($C3411="","",IF(COUNTIF($C$2:$C3411,$C3411)=1,1,0))</f>
        <v/>
      </c>
      <c r="AK3411">
        <f>IF($AJ3411=1,SUMPRODUCT(--($AN$2:$AN$4001&lt;$AN3411))+1,"")</f>
        <v/>
      </c>
      <c r="AL3411">
        <f>IF($C3411="","",IF(OR($Q3411=TRUE(),$Q3411="TRUE"),1,0))</f>
        <v/>
      </c>
      <c r="AM3411">
        <f>IF($C3411="","",IF($W3411="Yes",1,0))</f>
        <v/>
      </c>
      <c r="AN3411">
        <f>IF($AJ3411=1,IFERROR(IF(VALUE($C3411)&lt;100000000,VALUE($C3411),1000000000),IFERROR(IF(VALUE(MID($C3411,2,20))&lt;100000000,VALUE(MID($C3411,2,20)),1000000000),1000000000))+ROW()/100000,"")</f>
        <v/>
      </c>
    </row>
    <row r="3412">
      <c r="E3412" s="11" t="n"/>
      <c r="M3412" s="7">
        <f>IF($C3412="","",L3412*U3412/100)</f>
        <v/>
      </c>
      <c r="N3412" s="7" t="n"/>
      <c r="T3412" s="7" t="n"/>
      <c r="U3412" s="7">
        <f>IF($C3412="","",S3412*T3412)</f>
        <v/>
      </c>
      <c r="X3412">
        <f>IF($C3412="","",IF($AM3412=1,0,IF($AL3412=1,Settings!$C$6,Settings!$C$7))*100)</f>
        <v/>
      </c>
      <c r="AB3412" s="7" t="n"/>
      <c r="AE3412" s="11" t="n"/>
      <c r="AG3412" s="7">
        <f>IF($C3412="","",U3412*X3412/100)</f>
        <v/>
      </c>
      <c r="AH3412" s="7">
        <f>IF($C3412="","",U3412-AG3412)</f>
        <v/>
      </c>
      <c r="AI3412" s="7">
        <f>IF($C3412="","",AH3412-M3412)</f>
        <v/>
      </c>
      <c r="AJ3412">
        <f>IF($C3412="","",IF(COUNTIF($C$2:$C3412,$C3412)=1,1,0))</f>
        <v/>
      </c>
      <c r="AK3412">
        <f>IF($AJ3412=1,SUMPRODUCT(--($AN$2:$AN$4001&lt;$AN3412))+1,"")</f>
        <v/>
      </c>
      <c r="AL3412">
        <f>IF($C3412="","",IF(OR($Q3412=TRUE(),$Q3412="TRUE"),1,0))</f>
        <v/>
      </c>
      <c r="AM3412">
        <f>IF($C3412="","",IF($W3412="Yes",1,0))</f>
        <v/>
      </c>
      <c r="AN3412">
        <f>IF($AJ3412=1,IFERROR(IF(VALUE($C3412)&lt;100000000,VALUE($C3412),1000000000),IFERROR(IF(VALUE(MID($C3412,2,20))&lt;100000000,VALUE(MID($C3412,2,20)),1000000000),1000000000))+ROW()/100000,"")</f>
        <v/>
      </c>
    </row>
    <row r="3413">
      <c r="E3413" s="11" t="n"/>
      <c r="M3413" s="7">
        <f>IF($C3413="","",L3413*U3413/100)</f>
        <v/>
      </c>
      <c r="N3413" s="7" t="n"/>
      <c r="T3413" s="7" t="n"/>
      <c r="U3413" s="7">
        <f>IF($C3413="","",S3413*T3413)</f>
        <v/>
      </c>
      <c r="X3413">
        <f>IF($C3413="","",IF($AM3413=1,0,IF($AL3413=1,Settings!$C$6,Settings!$C$7))*100)</f>
        <v/>
      </c>
      <c r="AB3413" s="7" t="n"/>
      <c r="AE3413" s="11" t="n"/>
      <c r="AG3413" s="7">
        <f>IF($C3413="","",U3413*X3413/100)</f>
        <v/>
      </c>
      <c r="AH3413" s="7">
        <f>IF($C3413="","",U3413-AG3413)</f>
        <v/>
      </c>
      <c r="AI3413" s="7">
        <f>IF($C3413="","",AH3413-M3413)</f>
        <v/>
      </c>
      <c r="AJ3413">
        <f>IF($C3413="","",IF(COUNTIF($C$2:$C3413,$C3413)=1,1,0))</f>
        <v/>
      </c>
      <c r="AK3413">
        <f>IF($AJ3413=1,SUMPRODUCT(--($AN$2:$AN$4001&lt;$AN3413))+1,"")</f>
        <v/>
      </c>
      <c r="AL3413">
        <f>IF($C3413="","",IF(OR($Q3413=TRUE(),$Q3413="TRUE"),1,0))</f>
        <v/>
      </c>
      <c r="AM3413">
        <f>IF($C3413="","",IF($W3413="Yes",1,0))</f>
        <v/>
      </c>
      <c r="AN3413">
        <f>IF($AJ3413=1,IFERROR(IF(VALUE($C3413)&lt;100000000,VALUE($C3413),1000000000),IFERROR(IF(VALUE(MID($C3413,2,20))&lt;100000000,VALUE(MID($C3413,2,20)),1000000000),1000000000))+ROW()/100000,"")</f>
        <v/>
      </c>
    </row>
    <row r="3414">
      <c r="E3414" s="11" t="n"/>
      <c r="M3414" s="7">
        <f>IF($C3414="","",L3414*U3414/100)</f>
        <v/>
      </c>
      <c r="N3414" s="7" t="n"/>
      <c r="T3414" s="7" t="n"/>
      <c r="U3414" s="7">
        <f>IF($C3414="","",S3414*T3414)</f>
        <v/>
      </c>
      <c r="X3414">
        <f>IF($C3414="","",IF($AM3414=1,0,IF($AL3414=1,Settings!$C$6,Settings!$C$7))*100)</f>
        <v/>
      </c>
      <c r="AB3414" s="7" t="n"/>
      <c r="AE3414" s="11" t="n"/>
      <c r="AG3414" s="7">
        <f>IF($C3414="","",U3414*X3414/100)</f>
        <v/>
      </c>
      <c r="AH3414" s="7">
        <f>IF($C3414="","",U3414-AG3414)</f>
        <v/>
      </c>
      <c r="AI3414" s="7">
        <f>IF($C3414="","",AH3414-M3414)</f>
        <v/>
      </c>
      <c r="AJ3414">
        <f>IF($C3414="","",IF(COUNTIF($C$2:$C3414,$C3414)=1,1,0))</f>
        <v/>
      </c>
      <c r="AK3414">
        <f>IF($AJ3414=1,SUMPRODUCT(--($AN$2:$AN$4001&lt;$AN3414))+1,"")</f>
        <v/>
      </c>
      <c r="AL3414">
        <f>IF($C3414="","",IF(OR($Q3414=TRUE(),$Q3414="TRUE"),1,0))</f>
        <v/>
      </c>
      <c r="AM3414">
        <f>IF($C3414="","",IF($W3414="Yes",1,0))</f>
        <v/>
      </c>
      <c r="AN3414">
        <f>IF($AJ3414=1,IFERROR(IF(VALUE($C3414)&lt;100000000,VALUE($C3414),1000000000),IFERROR(IF(VALUE(MID($C3414,2,20))&lt;100000000,VALUE(MID($C3414,2,20)),1000000000),1000000000))+ROW()/100000,"")</f>
        <v/>
      </c>
    </row>
    <row r="3415">
      <c r="E3415" s="11" t="n"/>
      <c r="M3415" s="7">
        <f>IF($C3415="","",L3415*U3415/100)</f>
        <v/>
      </c>
      <c r="N3415" s="7" t="n"/>
      <c r="T3415" s="7" t="n"/>
      <c r="U3415" s="7">
        <f>IF($C3415="","",S3415*T3415)</f>
        <v/>
      </c>
      <c r="X3415">
        <f>IF($C3415="","",IF($AM3415=1,0,IF($AL3415=1,Settings!$C$6,Settings!$C$7))*100)</f>
        <v/>
      </c>
      <c r="AB3415" s="7" t="n"/>
      <c r="AE3415" s="11" t="n"/>
      <c r="AG3415" s="7">
        <f>IF($C3415="","",U3415*X3415/100)</f>
        <v/>
      </c>
      <c r="AH3415" s="7">
        <f>IF($C3415="","",U3415-AG3415)</f>
        <v/>
      </c>
      <c r="AI3415" s="7">
        <f>IF($C3415="","",AH3415-M3415)</f>
        <v/>
      </c>
      <c r="AJ3415">
        <f>IF($C3415="","",IF(COUNTIF($C$2:$C3415,$C3415)=1,1,0))</f>
        <v/>
      </c>
      <c r="AK3415">
        <f>IF($AJ3415=1,SUMPRODUCT(--($AN$2:$AN$4001&lt;$AN3415))+1,"")</f>
        <v/>
      </c>
      <c r="AL3415">
        <f>IF($C3415="","",IF(OR($Q3415=TRUE(),$Q3415="TRUE"),1,0))</f>
        <v/>
      </c>
      <c r="AM3415">
        <f>IF($C3415="","",IF($W3415="Yes",1,0))</f>
        <v/>
      </c>
      <c r="AN3415">
        <f>IF($AJ3415=1,IFERROR(IF(VALUE($C3415)&lt;100000000,VALUE($C3415),1000000000),IFERROR(IF(VALUE(MID($C3415,2,20))&lt;100000000,VALUE(MID($C3415,2,20)),1000000000),1000000000))+ROW()/100000,"")</f>
        <v/>
      </c>
    </row>
    <row r="3416">
      <c r="E3416" s="11" t="n"/>
      <c r="M3416" s="7">
        <f>IF($C3416="","",L3416*U3416/100)</f>
        <v/>
      </c>
      <c r="N3416" s="7" t="n"/>
      <c r="T3416" s="7" t="n"/>
      <c r="U3416" s="7">
        <f>IF($C3416="","",S3416*T3416)</f>
        <v/>
      </c>
      <c r="X3416">
        <f>IF($C3416="","",IF($AM3416=1,0,IF($AL3416=1,Settings!$C$6,Settings!$C$7))*100)</f>
        <v/>
      </c>
      <c r="AB3416" s="7" t="n"/>
      <c r="AE3416" s="11" t="n"/>
      <c r="AG3416" s="7">
        <f>IF($C3416="","",U3416*X3416/100)</f>
        <v/>
      </c>
      <c r="AH3416" s="7">
        <f>IF($C3416="","",U3416-AG3416)</f>
        <v/>
      </c>
      <c r="AI3416" s="7">
        <f>IF($C3416="","",AH3416-M3416)</f>
        <v/>
      </c>
      <c r="AJ3416">
        <f>IF($C3416="","",IF(COUNTIF($C$2:$C3416,$C3416)=1,1,0))</f>
        <v/>
      </c>
      <c r="AK3416">
        <f>IF($AJ3416=1,SUMPRODUCT(--($AN$2:$AN$4001&lt;$AN3416))+1,"")</f>
        <v/>
      </c>
      <c r="AL3416">
        <f>IF($C3416="","",IF(OR($Q3416=TRUE(),$Q3416="TRUE"),1,0))</f>
        <v/>
      </c>
      <c r="AM3416">
        <f>IF($C3416="","",IF($W3416="Yes",1,0))</f>
        <v/>
      </c>
      <c r="AN3416">
        <f>IF($AJ3416=1,IFERROR(IF(VALUE($C3416)&lt;100000000,VALUE($C3416),1000000000),IFERROR(IF(VALUE(MID($C3416,2,20))&lt;100000000,VALUE(MID($C3416,2,20)),1000000000),1000000000))+ROW()/100000,"")</f>
        <v/>
      </c>
    </row>
    <row r="3417">
      <c r="E3417" s="11" t="n"/>
      <c r="M3417" s="7">
        <f>IF($C3417="","",L3417*U3417/100)</f>
        <v/>
      </c>
      <c r="N3417" s="7" t="n"/>
      <c r="T3417" s="7" t="n"/>
      <c r="U3417" s="7">
        <f>IF($C3417="","",S3417*T3417)</f>
        <v/>
      </c>
      <c r="X3417">
        <f>IF($C3417="","",IF($AM3417=1,0,IF($AL3417=1,Settings!$C$6,Settings!$C$7))*100)</f>
        <v/>
      </c>
      <c r="AB3417" s="7" t="n"/>
      <c r="AE3417" s="11" t="n"/>
      <c r="AG3417" s="7">
        <f>IF($C3417="","",U3417*X3417/100)</f>
        <v/>
      </c>
      <c r="AH3417" s="7">
        <f>IF($C3417="","",U3417-AG3417)</f>
        <v/>
      </c>
      <c r="AI3417" s="7">
        <f>IF($C3417="","",AH3417-M3417)</f>
        <v/>
      </c>
      <c r="AJ3417">
        <f>IF($C3417="","",IF(COUNTIF($C$2:$C3417,$C3417)=1,1,0))</f>
        <v/>
      </c>
      <c r="AK3417">
        <f>IF($AJ3417=1,SUMPRODUCT(--($AN$2:$AN$4001&lt;$AN3417))+1,"")</f>
        <v/>
      </c>
      <c r="AL3417">
        <f>IF($C3417="","",IF(OR($Q3417=TRUE(),$Q3417="TRUE"),1,0))</f>
        <v/>
      </c>
      <c r="AM3417">
        <f>IF($C3417="","",IF($W3417="Yes",1,0))</f>
        <v/>
      </c>
      <c r="AN3417">
        <f>IF($AJ3417=1,IFERROR(IF(VALUE($C3417)&lt;100000000,VALUE($C3417),1000000000),IFERROR(IF(VALUE(MID($C3417,2,20))&lt;100000000,VALUE(MID($C3417,2,20)),1000000000),1000000000))+ROW()/100000,"")</f>
        <v/>
      </c>
    </row>
    <row r="3418">
      <c r="E3418" s="11" t="n"/>
      <c r="M3418" s="7">
        <f>IF($C3418="","",L3418*U3418/100)</f>
        <v/>
      </c>
      <c r="N3418" s="7" t="n"/>
      <c r="T3418" s="7" t="n"/>
      <c r="U3418" s="7">
        <f>IF($C3418="","",S3418*T3418)</f>
        <v/>
      </c>
      <c r="X3418">
        <f>IF($C3418="","",IF($AM3418=1,0,IF($AL3418=1,Settings!$C$6,Settings!$C$7))*100)</f>
        <v/>
      </c>
      <c r="AB3418" s="7" t="n"/>
      <c r="AE3418" s="11" t="n"/>
      <c r="AG3418" s="7">
        <f>IF($C3418="","",U3418*X3418/100)</f>
        <v/>
      </c>
      <c r="AH3418" s="7">
        <f>IF($C3418="","",U3418-AG3418)</f>
        <v/>
      </c>
      <c r="AI3418" s="7">
        <f>IF($C3418="","",AH3418-M3418)</f>
        <v/>
      </c>
      <c r="AJ3418">
        <f>IF($C3418="","",IF(COUNTIF($C$2:$C3418,$C3418)=1,1,0))</f>
        <v/>
      </c>
      <c r="AK3418">
        <f>IF($AJ3418=1,SUMPRODUCT(--($AN$2:$AN$4001&lt;$AN3418))+1,"")</f>
        <v/>
      </c>
      <c r="AL3418">
        <f>IF($C3418="","",IF(OR($Q3418=TRUE(),$Q3418="TRUE"),1,0))</f>
        <v/>
      </c>
      <c r="AM3418">
        <f>IF($C3418="","",IF($W3418="Yes",1,0))</f>
        <v/>
      </c>
      <c r="AN3418">
        <f>IF($AJ3418=1,IFERROR(IF(VALUE($C3418)&lt;100000000,VALUE($C3418),1000000000),IFERROR(IF(VALUE(MID($C3418,2,20))&lt;100000000,VALUE(MID($C3418,2,20)),1000000000),1000000000))+ROW()/100000,"")</f>
        <v/>
      </c>
    </row>
    <row r="3419">
      <c r="E3419" s="11" t="n"/>
      <c r="M3419" s="7">
        <f>IF($C3419="","",L3419*U3419/100)</f>
        <v/>
      </c>
      <c r="N3419" s="7" t="n"/>
      <c r="T3419" s="7" t="n"/>
      <c r="U3419" s="7">
        <f>IF($C3419="","",S3419*T3419)</f>
        <v/>
      </c>
      <c r="X3419">
        <f>IF($C3419="","",IF($AM3419=1,0,IF($AL3419=1,Settings!$C$6,Settings!$C$7))*100)</f>
        <v/>
      </c>
      <c r="AB3419" s="7" t="n"/>
      <c r="AE3419" s="11" t="n"/>
      <c r="AG3419" s="7">
        <f>IF($C3419="","",U3419*X3419/100)</f>
        <v/>
      </c>
      <c r="AH3419" s="7">
        <f>IF($C3419="","",U3419-AG3419)</f>
        <v/>
      </c>
      <c r="AI3419" s="7">
        <f>IF($C3419="","",AH3419-M3419)</f>
        <v/>
      </c>
      <c r="AJ3419">
        <f>IF($C3419="","",IF(COUNTIF($C$2:$C3419,$C3419)=1,1,0))</f>
        <v/>
      </c>
      <c r="AK3419">
        <f>IF($AJ3419=1,SUMPRODUCT(--($AN$2:$AN$4001&lt;$AN3419))+1,"")</f>
        <v/>
      </c>
      <c r="AL3419">
        <f>IF($C3419="","",IF(OR($Q3419=TRUE(),$Q3419="TRUE"),1,0))</f>
        <v/>
      </c>
      <c r="AM3419">
        <f>IF($C3419="","",IF($W3419="Yes",1,0))</f>
        <v/>
      </c>
      <c r="AN3419">
        <f>IF($AJ3419=1,IFERROR(IF(VALUE($C3419)&lt;100000000,VALUE($C3419),1000000000),IFERROR(IF(VALUE(MID($C3419,2,20))&lt;100000000,VALUE(MID($C3419,2,20)),1000000000),1000000000))+ROW()/100000,"")</f>
        <v/>
      </c>
    </row>
    <row r="3420">
      <c r="E3420" s="11" t="n"/>
      <c r="M3420" s="7">
        <f>IF($C3420="","",L3420*U3420/100)</f>
        <v/>
      </c>
      <c r="N3420" s="7" t="n"/>
      <c r="T3420" s="7" t="n"/>
      <c r="U3420" s="7">
        <f>IF($C3420="","",S3420*T3420)</f>
        <v/>
      </c>
      <c r="X3420">
        <f>IF($C3420="","",IF($AM3420=1,0,IF($AL3420=1,Settings!$C$6,Settings!$C$7))*100)</f>
        <v/>
      </c>
      <c r="AB3420" s="7" t="n"/>
      <c r="AE3420" s="11" t="n"/>
      <c r="AG3420" s="7">
        <f>IF($C3420="","",U3420*X3420/100)</f>
        <v/>
      </c>
      <c r="AH3420" s="7">
        <f>IF($C3420="","",U3420-AG3420)</f>
        <v/>
      </c>
      <c r="AI3420" s="7">
        <f>IF($C3420="","",AH3420-M3420)</f>
        <v/>
      </c>
      <c r="AJ3420">
        <f>IF($C3420="","",IF(COUNTIF($C$2:$C3420,$C3420)=1,1,0))</f>
        <v/>
      </c>
      <c r="AK3420">
        <f>IF($AJ3420=1,SUMPRODUCT(--($AN$2:$AN$4001&lt;$AN3420))+1,"")</f>
        <v/>
      </c>
      <c r="AL3420">
        <f>IF($C3420="","",IF(OR($Q3420=TRUE(),$Q3420="TRUE"),1,0))</f>
        <v/>
      </c>
      <c r="AM3420">
        <f>IF($C3420="","",IF($W3420="Yes",1,0))</f>
        <v/>
      </c>
      <c r="AN3420">
        <f>IF($AJ3420=1,IFERROR(IF(VALUE($C3420)&lt;100000000,VALUE($C3420),1000000000),IFERROR(IF(VALUE(MID($C3420,2,20))&lt;100000000,VALUE(MID($C3420,2,20)),1000000000),1000000000))+ROW()/100000,"")</f>
        <v/>
      </c>
    </row>
    <row r="3421">
      <c r="E3421" s="11" t="n"/>
      <c r="M3421" s="7">
        <f>IF($C3421="","",L3421*U3421/100)</f>
        <v/>
      </c>
      <c r="N3421" s="7" t="n"/>
      <c r="T3421" s="7" t="n"/>
      <c r="U3421" s="7">
        <f>IF($C3421="","",S3421*T3421)</f>
        <v/>
      </c>
      <c r="X3421">
        <f>IF($C3421="","",IF($AM3421=1,0,IF($AL3421=1,Settings!$C$6,Settings!$C$7))*100)</f>
        <v/>
      </c>
      <c r="AB3421" s="7" t="n"/>
      <c r="AE3421" s="11" t="n"/>
      <c r="AG3421" s="7">
        <f>IF($C3421="","",U3421*X3421/100)</f>
        <v/>
      </c>
      <c r="AH3421" s="7">
        <f>IF($C3421="","",U3421-AG3421)</f>
        <v/>
      </c>
      <c r="AI3421" s="7">
        <f>IF($C3421="","",AH3421-M3421)</f>
        <v/>
      </c>
      <c r="AJ3421">
        <f>IF($C3421="","",IF(COUNTIF($C$2:$C3421,$C3421)=1,1,0))</f>
        <v/>
      </c>
      <c r="AK3421">
        <f>IF($AJ3421=1,SUMPRODUCT(--($AN$2:$AN$4001&lt;$AN3421))+1,"")</f>
        <v/>
      </c>
      <c r="AL3421">
        <f>IF($C3421="","",IF(OR($Q3421=TRUE(),$Q3421="TRUE"),1,0))</f>
        <v/>
      </c>
      <c r="AM3421">
        <f>IF($C3421="","",IF($W3421="Yes",1,0))</f>
        <v/>
      </c>
      <c r="AN3421">
        <f>IF($AJ3421=1,IFERROR(IF(VALUE($C3421)&lt;100000000,VALUE($C3421),1000000000),IFERROR(IF(VALUE(MID($C3421,2,20))&lt;100000000,VALUE(MID($C3421,2,20)),1000000000),1000000000))+ROW()/100000,"")</f>
        <v/>
      </c>
    </row>
    <row r="3422">
      <c r="E3422" s="11" t="n"/>
      <c r="M3422" s="7">
        <f>IF($C3422="","",L3422*U3422/100)</f>
        <v/>
      </c>
      <c r="N3422" s="7" t="n"/>
      <c r="T3422" s="7" t="n"/>
      <c r="U3422" s="7">
        <f>IF($C3422="","",S3422*T3422)</f>
        <v/>
      </c>
      <c r="X3422">
        <f>IF($C3422="","",IF($AM3422=1,0,IF($AL3422=1,Settings!$C$6,Settings!$C$7))*100)</f>
        <v/>
      </c>
      <c r="AB3422" s="7" t="n"/>
      <c r="AE3422" s="11" t="n"/>
      <c r="AG3422" s="7">
        <f>IF($C3422="","",U3422*X3422/100)</f>
        <v/>
      </c>
      <c r="AH3422" s="7">
        <f>IF($C3422="","",U3422-AG3422)</f>
        <v/>
      </c>
      <c r="AI3422" s="7">
        <f>IF($C3422="","",AH3422-M3422)</f>
        <v/>
      </c>
      <c r="AJ3422">
        <f>IF($C3422="","",IF(COUNTIF($C$2:$C3422,$C3422)=1,1,0))</f>
        <v/>
      </c>
      <c r="AK3422">
        <f>IF($AJ3422=1,SUMPRODUCT(--($AN$2:$AN$4001&lt;$AN3422))+1,"")</f>
        <v/>
      </c>
      <c r="AL3422">
        <f>IF($C3422="","",IF(OR($Q3422=TRUE(),$Q3422="TRUE"),1,0))</f>
        <v/>
      </c>
      <c r="AM3422">
        <f>IF($C3422="","",IF($W3422="Yes",1,0))</f>
        <v/>
      </c>
      <c r="AN3422">
        <f>IF($AJ3422=1,IFERROR(IF(VALUE($C3422)&lt;100000000,VALUE($C3422),1000000000),IFERROR(IF(VALUE(MID($C3422,2,20))&lt;100000000,VALUE(MID($C3422,2,20)),1000000000),1000000000))+ROW()/100000,"")</f>
        <v/>
      </c>
    </row>
    <row r="3423">
      <c r="E3423" s="11" t="n"/>
      <c r="M3423" s="7">
        <f>IF($C3423="","",L3423*U3423/100)</f>
        <v/>
      </c>
      <c r="N3423" s="7" t="n"/>
      <c r="T3423" s="7" t="n"/>
      <c r="U3423" s="7">
        <f>IF($C3423="","",S3423*T3423)</f>
        <v/>
      </c>
      <c r="X3423">
        <f>IF($C3423="","",IF($AM3423=1,0,IF($AL3423=1,Settings!$C$6,Settings!$C$7))*100)</f>
        <v/>
      </c>
      <c r="AB3423" s="7" t="n"/>
      <c r="AE3423" s="11" t="n"/>
      <c r="AG3423" s="7">
        <f>IF($C3423="","",U3423*X3423/100)</f>
        <v/>
      </c>
      <c r="AH3423" s="7">
        <f>IF($C3423="","",U3423-AG3423)</f>
        <v/>
      </c>
      <c r="AI3423" s="7">
        <f>IF($C3423="","",AH3423-M3423)</f>
        <v/>
      </c>
      <c r="AJ3423">
        <f>IF($C3423="","",IF(COUNTIF($C$2:$C3423,$C3423)=1,1,0))</f>
        <v/>
      </c>
      <c r="AK3423">
        <f>IF($AJ3423=1,SUMPRODUCT(--($AN$2:$AN$4001&lt;$AN3423))+1,"")</f>
        <v/>
      </c>
      <c r="AL3423">
        <f>IF($C3423="","",IF(OR($Q3423=TRUE(),$Q3423="TRUE"),1,0))</f>
        <v/>
      </c>
      <c r="AM3423">
        <f>IF($C3423="","",IF($W3423="Yes",1,0))</f>
        <v/>
      </c>
      <c r="AN3423">
        <f>IF($AJ3423=1,IFERROR(IF(VALUE($C3423)&lt;100000000,VALUE($C3423),1000000000),IFERROR(IF(VALUE(MID($C3423,2,20))&lt;100000000,VALUE(MID($C3423,2,20)),1000000000),1000000000))+ROW()/100000,"")</f>
        <v/>
      </c>
    </row>
    <row r="3424">
      <c r="E3424" s="11" t="n"/>
      <c r="M3424" s="7">
        <f>IF($C3424="","",L3424*U3424/100)</f>
        <v/>
      </c>
      <c r="N3424" s="7" t="n"/>
      <c r="T3424" s="7" t="n"/>
      <c r="U3424" s="7">
        <f>IF($C3424="","",S3424*T3424)</f>
        <v/>
      </c>
      <c r="X3424">
        <f>IF($C3424="","",IF($AM3424=1,0,IF($AL3424=1,Settings!$C$6,Settings!$C$7))*100)</f>
        <v/>
      </c>
      <c r="AB3424" s="7" t="n"/>
      <c r="AE3424" s="11" t="n"/>
      <c r="AG3424" s="7">
        <f>IF($C3424="","",U3424*X3424/100)</f>
        <v/>
      </c>
      <c r="AH3424" s="7">
        <f>IF($C3424="","",U3424-AG3424)</f>
        <v/>
      </c>
      <c r="AI3424" s="7">
        <f>IF($C3424="","",AH3424-M3424)</f>
        <v/>
      </c>
      <c r="AJ3424">
        <f>IF($C3424="","",IF(COUNTIF($C$2:$C3424,$C3424)=1,1,0))</f>
        <v/>
      </c>
      <c r="AK3424">
        <f>IF($AJ3424=1,SUMPRODUCT(--($AN$2:$AN$4001&lt;$AN3424))+1,"")</f>
        <v/>
      </c>
      <c r="AL3424">
        <f>IF($C3424="","",IF(OR($Q3424=TRUE(),$Q3424="TRUE"),1,0))</f>
        <v/>
      </c>
      <c r="AM3424">
        <f>IF($C3424="","",IF($W3424="Yes",1,0))</f>
        <v/>
      </c>
      <c r="AN3424">
        <f>IF($AJ3424=1,IFERROR(IF(VALUE($C3424)&lt;100000000,VALUE($C3424),1000000000),IFERROR(IF(VALUE(MID($C3424,2,20))&lt;100000000,VALUE(MID($C3424,2,20)),1000000000),1000000000))+ROW()/100000,"")</f>
        <v/>
      </c>
    </row>
    <row r="3425">
      <c r="E3425" s="11" t="n"/>
      <c r="M3425" s="7">
        <f>IF($C3425="","",L3425*U3425/100)</f>
        <v/>
      </c>
      <c r="N3425" s="7" t="n"/>
      <c r="T3425" s="7" t="n"/>
      <c r="U3425" s="7">
        <f>IF($C3425="","",S3425*T3425)</f>
        <v/>
      </c>
      <c r="X3425">
        <f>IF($C3425="","",IF($AM3425=1,0,IF($AL3425=1,Settings!$C$6,Settings!$C$7))*100)</f>
        <v/>
      </c>
      <c r="AB3425" s="7" t="n"/>
      <c r="AE3425" s="11" t="n"/>
      <c r="AG3425" s="7">
        <f>IF($C3425="","",U3425*X3425/100)</f>
        <v/>
      </c>
      <c r="AH3425" s="7">
        <f>IF($C3425="","",U3425-AG3425)</f>
        <v/>
      </c>
      <c r="AI3425" s="7">
        <f>IF($C3425="","",AH3425-M3425)</f>
        <v/>
      </c>
      <c r="AJ3425">
        <f>IF($C3425="","",IF(COUNTIF($C$2:$C3425,$C3425)=1,1,0))</f>
        <v/>
      </c>
      <c r="AK3425">
        <f>IF($AJ3425=1,SUMPRODUCT(--($AN$2:$AN$4001&lt;$AN3425))+1,"")</f>
        <v/>
      </c>
      <c r="AL3425">
        <f>IF($C3425="","",IF(OR($Q3425=TRUE(),$Q3425="TRUE"),1,0))</f>
        <v/>
      </c>
      <c r="AM3425">
        <f>IF($C3425="","",IF($W3425="Yes",1,0))</f>
        <v/>
      </c>
      <c r="AN3425">
        <f>IF($AJ3425=1,IFERROR(IF(VALUE($C3425)&lt;100000000,VALUE($C3425),1000000000),IFERROR(IF(VALUE(MID($C3425,2,20))&lt;100000000,VALUE(MID($C3425,2,20)),1000000000),1000000000))+ROW()/100000,"")</f>
        <v/>
      </c>
    </row>
    <row r="3426">
      <c r="E3426" s="11" t="n"/>
      <c r="M3426" s="7">
        <f>IF($C3426="","",L3426*U3426/100)</f>
        <v/>
      </c>
      <c r="N3426" s="7" t="n"/>
      <c r="T3426" s="7" t="n"/>
      <c r="U3426" s="7">
        <f>IF($C3426="","",S3426*T3426)</f>
        <v/>
      </c>
      <c r="X3426">
        <f>IF($C3426="","",IF($AM3426=1,0,IF($AL3426=1,Settings!$C$6,Settings!$C$7))*100)</f>
        <v/>
      </c>
      <c r="AB3426" s="7" t="n"/>
      <c r="AE3426" s="11" t="n"/>
      <c r="AG3426" s="7">
        <f>IF($C3426="","",U3426*X3426/100)</f>
        <v/>
      </c>
      <c r="AH3426" s="7">
        <f>IF($C3426="","",U3426-AG3426)</f>
        <v/>
      </c>
      <c r="AI3426" s="7">
        <f>IF($C3426="","",AH3426-M3426)</f>
        <v/>
      </c>
      <c r="AJ3426">
        <f>IF($C3426="","",IF(COUNTIF($C$2:$C3426,$C3426)=1,1,0))</f>
        <v/>
      </c>
      <c r="AK3426">
        <f>IF($AJ3426=1,SUMPRODUCT(--($AN$2:$AN$4001&lt;$AN3426))+1,"")</f>
        <v/>
      </c>
      <c r="AL3426">
        <f>IF($C3426="","",IF(OR($Q3426=TRUE(),$Q3426="TRUE"),1,0))</f>
        <v/>
      </c>
      <c r="AM3426">
        <f>IF($C3426="","",IF($W3426="Yes",1,0))</f>
        <v/>
      </c>
      <c r="AN3426">
        <f>IF($AJ3426=1,IFERROR(IF(VALUE($C3426)&lt;100000000,VALUE($C3426),1000000000),IFERROR(IF(VALUE(MID($C3426,2,20))&lt;100000000,VALUE(MID($C3426,2,20)),1000000000),1000000000))+ROW()/100000,"")</f>
        <v/>
      </c>
    </row>
    <row r="3427">
      <c r="E3427" s="11" t="n"/>
      <c r="M3427" s="7">
        <f>IF($C3427="","",L3427*U3427/100)</f>
        <v/>
      </c>
      <c r="N3427" s="7" t="n"/>
      <c r="T3427" s="7" t="n"/>
      <c r="U3427" s="7">
        <f>IF($C3427="","",S3427*T3427)</f>
        <v/>
      </c>
      <c r="X3427">
        <f>IF($C3427="","",IF($AM3427=1,0,IF($AL3427=1,Settings!$C$6,Settings!$C$7))*100)</f>
        <v/>
      </c>
      <c r="AB3427" s="7" t="n"/>
      <c r="AE3427" s="11" t="n"/>
      <c r="AG3427" s="7">
        <f>IF($C3427="","",U3427*X3427/100)</f>
        <v/>
      </c>
      <c r="AH3427" s="7">
        <f>IF($C3427="","",U3427-AG3427)</f>
        <v/>
      </c>
      <c r="AI3427" s="7">
        <f>IF($C3427="","",AH3427-M3427)</f>
        <v/>
      </c>
      <c r="AJ3427">
        <f>IF($C3427="","",IF(COUNTIF($C$2:$C3427,$C3427)=1,1,0))</f>
        <v/>
      </c>
      <c r="AK3427">
        <f>IF($AJ3427=1,SUMPRODUCT(--($AN$2:$AN$4001&lt;$AN3427))+1,"")</f>
        <v/>
      </c>
      <c r="AL3427">
        <f>IF($C3427="","",IF(OR($Q3427=TRUE(),$Q3427="TRUE"),1,0))</f>
        <v/>
      </c>
      <c r="AM3427">
        <f>IF($C3427="","",IF($W3427="Yes",1,0))</f>
        <v/>
      </c>
      <c r="AN3427">
        <f>IF($AJ3427=1,IFERROR(IF(VALUE($C3427)&lt;100000000,VALUE($C3427),1000000000),IFERROR(IF(VALUE(MID($C3427,2,20))&lt;100000000,VALUE(MID($C3427,2,20)),1000000000),1000000000))+ROW()/100000,"")</f>
        <v/>
      </c>
    </row>
    <row r="3428">
      <c r="E3428" s="11" t="n"/>
      <c r="M3428" s="7">
        <f>IF($C3428="","",L3428*U3428/100)</f>
        <v/>
      </c>
      <c r="N3428" s="7" t="n"/>
      <c r="T3428" s="7" t="n"/>
      <c r="U3428" s="7">
        <f>IF($C3428="","",S3428*T3428)</f>
        <v/>
      </c>
      <c r="X3428">
        <f>IF($C3428="","",IF($AM3428=1,0,IF($AL3428=1,Settings!$C$6,Settings!$C$7))*100)</f>
        <v/>
      </c>
      <c r="AB3428" s="7" t="n"/>
      <c r="AE3428" s="11" t="n"/>
      <c r="AG3428" s="7">
        <f>IF($C3428="","",U3428*X3428/100)</f>
        <v/>
      </c>
      <c r="AH3428" s="7">
        <f>IF($C3428="","",U3428-AG3428)</f>
        <v/>
      </c>
      <c r="AI3428" s="7">
        <f>IF($C3428="","",AH3428-M3428)</f>
        <v/>
      </c>
      <c r="AJ3428">
        <f>IF($C3428="","",IF(COUNTIF($C$2:$C3428,$C3428)=1,1,0))</f>
        <v/>
      </c>
      <c r="AK3428">
        <f>IF($AJ3428=1,SUMPRODUCT(--($AN$2:$AN$4001&lt;$AN3428))+1,"")</f>
        <v/>
      </c>
      <c r="AL3428">
        <f>IF($C3428="","",IF(OR($Q3428=TRUE(),$Q3428="TRUE"),1,0))</f>
        <v/>
      </c>
      <c r="AM3428">
        <f>IF($C3428="","",IF($W3428="Yes",1,0))</f>
        <v/>
      </c>
      <c r="AN3428">
        <f>IF($AJ3428=1,IFERROR(IF(VALUE($C3428)&lt;100000000,VALUE($C3428),1000000000),IFERROR(IF(VALUE(MID($C3428,2,20))&lt;100000000,VALUE(MID($C3428,2,20)),1000000000),1000000000))+ROW()/100000,"")</f>
        <v/>
      </c>
    </row>
    <row r="3429">
      <c r="E3429" s="11" t="n"/>
      <c r="M3429" s="7">
        <f>IF($C3429="","",L3429*U3429/100)</f>
        <v/>
      </c>
      <c r="N3429" s="7" t="n"/>
      <c r="T3429" s="7" t="n"/>
      <c r="U3429" s="7">
        <f>IF($C3429="","",S3429*T3429)</f>
        <v/>
      </c>
      <c r="X3429">
        <f>IF($C3429="","",IF($AM3429=1,0,IF($AL3429=1,Settings!$C$6,Settings!$C$7))*100)</f>
        <v/>
      </c>
      <c r="AB3429" s="7" t="n"/>
      <c r="AE3429" s="11" t="n"/>
      <c r="AG3429" s="7">
        <f>IF($C3429="","",U3429*X3429/100)</f>
        <v/>
      </c>
      <c r="AH3429" s="7">
        <f>IF($C3429="","",U3429-AG3429)</f>
        <v/>
      </c>
      <c r="AI3429" s="7">
        <f>IF($C3429="","",AH3429-M3429)</f>
        <v/>
      </c>
      <c r="AJ3429">
        <f>IF($C3429="","",IF(COUNTIF($C$2:$C3429,$C3429)=1,1,0))</f>
        <v/>
      </c>
      <c r="AK3429">
        <f>IF($AJ3429=1,SUMPRODUCT(--($AN$2:$AN$4001&lt;$AN3429))+1,"")</f>
        <v/>
      </c>
      <c r="AL3429">
        <f>IF($C3429="","",IF(OR($Q3429=TRUE(),$Q3429="TRUE"),1,0))</f>
        <v/>
      </c>
      <c r="AM3429">
        <f>IF($C3429="","",IF($W3429="Yes",1,0))</f>
        <v/>
      </c>
      <c r="AN3429">
        <f>IF($AJ3429=1,IFERROR(IF(VALUE($C3429)&lt;100000000,VALUE($C3429),1000000000),IFERROR(IF(VALUE(MID($C3429,2,20))&lt;100000000,VALUE(MID($C3429,2,20)),1000000000),1000000000))+ROW()/100000,"")</f>
        <v/>
      </c>
    </row>
    <row r="3430">
      <c r="E3430" s="11" t="n"/>
      <c r="M3430" s="7">
        <f>IF($C3430="","",L3430*U3430/100)</f>
        <v/>
      </c>
      <c r="N3430" s="7" t="n"/>
      <c r="T3430" s="7" t="n"/>
      <c r="U3430" s="7">
        <f>IF($C3430="","",S3430*T3430)</f>
        <v/>
      </c>
      <c r="X3430">
        <f>IF($C3430="","",IF($AM3430=1,0,IF($AL3430=1,Settings!$C$6,Settings!$C$7))*100)</f>
        <v/>
      </c>
      <c r="AB3430" s="7" t="n"/>
      <c r="AE3430" s="11" t="n"/>
      <c r="AG3430" s="7">
        <f>IF($C3430="","",U3430*X3430/100)</f>
        <v/>
      </c>
      <c r="AH3430" s="7">
        <f>IF($C3430="","",U3430-AG3430)</f>
        <v/>
      </c>
      <c r="AI3430" s="7">
        <f>IF($C3430="","",AH3430-M3430)</f>
        <v/>
      </c>
      <c r="AJ3430">
        <f>IF($C3430="","",IF(COUNTIF($C$2:$C3430,$C3430)=1,1,0))</f>
        <v/>
      </c>
      <c r="AK3430">
        <f>IF($AJ3430=1,SUMPRODUCT(--($AN$2:$AN$4001&lt;$AN3430))+1,"")</f>
        <v/>
      </c>
      <c r="AL3430">
        <f>IF($C3430="","",IF(OR($Q3430=TRUE(),$Q3430="TRUE"),1,0))</f>
        <v/>
      </c>
      <c r="AM3430">
        <f>IF($C3430="","",IF($W3430="Yes",1,0))</f>
        <v/>
      </c>
      <c r="AN3430">
        <f>IF($AJ3430=1,IFERROR(IF(VALUE($C3430)&lt;100000000,VALUE($C3430),1000000000),IFERROR(IF(VALUE(MID($C3430,2,20))&lt;100000000,VALUE(MID($C3430,2,20)),1000000000),1000000000))+ROW()/100000,"")</f>
        <v/>
      </c>
    </row>
    <row r="3431">
      <c r="E3431" s="11" t="n"/>
      <c r="M3431" s="7">
        <f>IF($C3431="","",L3431*U3431/100)</f>
        <v/>
      </c>
      <c r="N3431" s="7" t="n"/>
      <c r="T3431" s="7" t="n"/>
      <c r="U3431" s="7">
        <f>IF($C3431="","",S3431*T3431)</f>
        <v/>
      </c>
      <c r="X3431">
        <f>IF($C3431="","",IF($AM3431=1,0,IF($AL3431=1,Settings!$C$6,Settings!$C$7))*100)</f>
        <v/>
      </c>
      <c r="AB3431" s="7" t="n"/>
      <c r="AE3431" s="11" t="n"/>
      <c r="AG3431" s="7">
        <f>IF($C3431="","",U3431*X3431/100)</f>
        <v/>
      </c>
      <c r="AH3431" s="7">
        <f>IF($C3431="","",U3431-AG3431)</f>
        <v/>
      </c>
      <c r="AI3431" s="7">
        <f>IF($C3431="","",AH3431-M3431)</f>
        <v/>
      </c>
      <c r="AJ3431">
        <f>IF($C3431="","",IF(COUNTIF($C$2:$C3431,$C3431)=1,1,0))</f>
        <v/>
      </c>
      <c r="AK3431">
        <f>IF($AJ3431=1,SUMPRODUCT(--($AN$2:$AN$4001&lt;$AN3431))+1,"")</f>
        <v/>
      </c>
      <c r="AL3431">
        <f>IF($C3431="","",IF(OR($Q3431=TRUE(),$Q3431="TRUE"),1,0))</f>
        <v/>
      </c>
      <c r="AM3431">
        <f>IF($C3431="","",IF($W3431="Yes",1,0))</f>
        <v/>
      </c>
      <c r="AN3431">
        <f>IF($AJ3431=1,IFERROR(IF(VALUE($C3431)&lt;100000000,VALUE($C3431),1000000000),IFERROR(IF(VALUE(MID($C3431,2,20))&lt;100000000,VALUE(MID($C3431,2,20)),1000000000),1000000000))+ROW()/100000,"")</f>
        <v/>
      </c>
    </row>
    <row r="3432">
      <c r="E3432" s="11" t="n"/>
      <c r="M3432" s="7">
        <f>IF($C3432="","",L3432*U3432/100)</f>
        <v/>
      </c>
      <c r="N3432" s="7" t="n"/>
      <c r="T3432" s="7" t="n"/>
      <c r="U3432" s="7">
        <f>IF($C3432="","",S3432*T3432)</f>
        <v/>
      </c>
      <c r="X3432">
        <f>IF($C3432="","",IF($AM3432=1,0,IF($AL3432=1,Settings!$C$6,Settings!$C$7))*100)</f>
        <v/>
      </c>
      <c r="AB3432" s="7" t="n"/>
      <c r="AE3432" s="11" t="n"/>
      <c r="AG3432" s="7">
        <f>IF($C3432="","",U3432*X3432/100)</f>
        <v/>
      </c>
      <c r="AH3432" s="7">
        <f>IF($C3432="","",U3432-AG3432)</f>
        <v/>
      </c>
      <c r="AI3432" s="7">
        <f>IF($C3432="","",AH3432-M3432)</f>
        <v/>
      </c>
      <c r="AJ3432">
        <f>IF($C3432="","",IF(COUNTIF($C$2:$C3432,$C3432)=1,1,0))</f>
        <v/>
      </c>
      <c r="AK3432">
        <f>IF($AJ3432=1,SUMPRODUCT(--($AN$2:$AN$4001&lt;$AN3432))+1,"")</f>
        <v/>
      </c>
      <c r="AL3432">
        <f>IF($C3432="","",IF(OR($Q3432=TRUE(),$Q3432="TRUE"),1,0))</f>
        <v/>
      </c>
      <c r="AM3432">
        <f>IF($C3432="","",IF($W3432="Yes",1,0))</f>
        <v/>
      </c>
      <c r="AN3432">
        <f>IF($AJ3432=1,IFERROR(IF(VALUE($C3432)&lt;100000000,VALUE($C3432),1000000000),IFERROR(IF(VALUE(MID($C3432,2,20))&lt;100000000,VALUE(MID($C3432,2,20)),1000000000),1000000000))+ROW()/100000,"")</f>
        <v/>
      </c>
    </row>
    <row r="3433">
      <c r="E3433" s="11" t="n"/>
      <c r="M3433" s="7">
        <f>IF($C3433="","",L3433*U3433/100)</f>
        <v/>
      </c>
      <c r="N3433" s="7" t="n"/>
      <c r="T3433" s="7" t="n"/>
      <c r="U3433" s="7">
        <f>IF($C3433="","",S3433*T3433)</f>
        <v/>
      </c>
      <c r="X3433">
        <f>IF($C3433="","",IF($AM3433=1,0,IF($AL3433=1,Settings!$C$6,Settings!$C$7))*100)</f>
        <v/>
      </c>
      <c r="AB3433" s="7" t="n"/>
      <c r="AE3433" s="11" t="n"/>
      <c r="AG3433" s="7">
        <f>IF($C3433="","",U3433*X3433/100)</f>
        <v/>
      </c>
      <c r="AH3433" s="7">
        <f>IF($C3433="","",U3433-AG3433)</f>
        <v/>
      </c>
      <c r="AI3433" s="7">
        <f>IF($C3433="","",AH3433-M3433)</f>
        <v/>
      </c>
      <c r="AJ3433">
        <f>IF($C3433="","",IF(COUNTIF($C$2:$C3433,$C3433)=1,1,0))</f>
        <v/>
      </c>
      <c r="AK3433">
        <f>IF($AJ3433=1,SUMPRODUCT(--($AN$2:$AN$4001&lt;$AN3433))+1,"")</f>
        <v/>
      </c>
      <c r="AL3433">
        <f>IF($C3433="","",IF(OR($Q3433=TRUE(),$Q3433="TRUE"),1,0))</f>
        <v/>
      </c>
      <c r="AM3433">
        <f>IF($C3433="","",IF($W3433="Yes",1,0))</f>
        <v/>
      </c>
      <c r="AN3433">
        <f>IF($AJ3433=1,IFERROR(IF(VALUE($C3433)&lt;100000000,VALUE($C3433),1000000000),IFERROR(IF(VALUE(MID($C3433,2,20))&lt;100000000,VALUE(MID($C3433,2,20)),1000000000),1000000000))+ROW()/100000,"")</f>
        <v/>
      </c>
    </row>
    <row r="3434">
      <c r="E3434" s="11" t="n"/>
      <c r="M3434" s="7">
        <f>IF($C3434="","",L3434*U3434/100)</f>
        <v/>
      </c>
      <c r="N3434" s="7" t="n"/>
      <c r="T3434" s="7" t="n"/>
      <c r="U3434" s="7">
        <f>IF($C3434="","",S3434*T3434)</f>
        <v/>
      </c>
      <c r="X3434">
        <f>IF($C3434="","",IF($AM3434=1,0,IF($AL3434=1,Settings!$C$6,Settings!$C$7))*100)</f>
        <v/>
      </c>
      <c r="AB3434" s="7" t="n"/>
      <c r="AE3434" s="11" t="n"/>
      <c r="AG3434" s="7">
        <f>IF($C3434="","",U3434*X3434/100)</f>
        <v/>
      </c>
      <c r="AH3434" s="7">
        <f>IF($C3434="","",U3434-AG3434)</f>
        <v/>
      </c>
      <c r="AI3434" s="7">
        <f>IF($C3434="","",AH3434-M3434)</f>
        <v/>
      </c>
      <c r="AJ3434">
        <f>IF($C3434="","",IF(COUNTIF($C$2:$C3434,$C3434)=1,1,0))</f>
        <v/>
      </c>
      <c r="AK3434">
        <f>IF($AJ3434=1,SUMPRODUCT(--($AN$2:$AN$4001&lt;$AN3434))+1,"")</f>
        <v/>
      </c>
      <c r="AL3434">
        <f>IF($C3434="","",IF(OR($Q3434=TRUE(),$Q3434="TRUE"),1,0))</f>
        <v/>
      </c>
      <c r="AM3434">
        <f>IF($C3434="","",IF($W3434="Yes",1,0))</f>
        <v/>
      </c>
      <c r="AN3434">
        <f>IF($AJ3434=1,IFERROR(IF(VALUE($C3434)&lt;100000000,VALUE($C3434),1000000000),IFERROR(IF(VALUE(MID($C3434,2,20))&lt;100000000,VALUE(MID($C3434,2,20)),1000000000),1000000000))+ROW()/100000,"")</f>
        <v/>
      </c>
    </row>
    <row r="3435">
      <c r="E3435" s="11" t="n"/>
      <c r="M3435" s="7">
        <f>IF($C3435="","",L3435*U3435/100)</f>
        <v/>
      </c>
      <c r="N3435" s="7" t="n"/>
      <c r="T3435" s="7" t="n"/>
      <c r="U3435" s="7">
        <f>IF($C3435="","",S3435*T3435)</f>
        <v/>
      </c>
      <c r="X3435">
        <f>IF($C3435="","",IF($AM3435=1,0,IF($AL3435=1,Settings!$C$6,Settings!$C$7))*100)</f>
        <v/>
      </c>
      <c r="AB3435" s="7" t="n"/>
      <c r="AE3435" s="11" t="n"/>
      <c r="AG3435" s="7">
        <f>IF($C3435="","",U3435*X3435/100)</f>
        <v/>
      </c>
      <c r="AH3435" s="7">
        <f>IF($C3435="","",U3435-AG3435)</f>
        <v/>
      </c>
      <c r="AI3435" s="7">
        <f>IF($C3435="","",AH3435-M3435)</f>
        <v/>
      </c>
      <c r="AJ3435">
        <f>IF($C3435="","",IF(COUNTIF($C$2:$C3435,$C3435)=1,1,0))</f>
        <v/>
      </c>
      <c r="AK3435">
        <f>IF($AJ3435=1,SUMPRODUCT(--($AN$2:$AN$4001&lt;$AN3435))+1,"")</f>
        <v/>
      </c>
      <c r="AL3435">
        <f>IF($C3435="","",IF(OR($Q3435=TRUE(),$Q3435="TRUE"),1,0))</f>
        <v/>
      </c>
      <c r="AM3435">
        <f>IF($C3435="","",IF($W3435="Yes",1,0))</f>
        <v/>
      </c>
      <c r="AN3435">
        <f>IF($AJ3435=1,IFERROR(IF(VALUE($C3435)&lt;100000000,VALUE($C3435),1000000000),IFERROR(IF(VALUE(MID($C3435,2,20))&lt;100000000,VALUE(MID($C3435,2,20)),1000000000),1000000000))+ROW()/100000,"")</f>
        <v/>
      </c>
    </row>
    <row r="3436">
      <c r="E3436" s="11" t="n"/>
      <c r="M3436" s="7">
        <f>IF($C3436="","",L3436*U3436/100)</f>
        <v/>
      </c>
      <c r="N3436" s="7" t="n"/>
      <c r="T3436" s="7" t="n"/>
      <c r="U3436" s="7">
        <f>IF($C3436="","",S3436*T3436)</f>
        <v/>
      </c>
      <c r="X3436">
        <f>IF($C3436="","",IF($AM3436=1,0,IF($AL3436=1,Settings!$C$6,Settings!$C$7))*100)</f>
        <v/>
      </c>
      <c r="AB3436" s="7" t="n"/>
      <c r="AE3436" s="11" t="n"/>
      <c r="AG3436" s="7">
        <f>IF($C3436="","",U3436*X3436/100)</f>
        <v/>
      </c>
      <c r="AH3436" s="7">
        <f>IF($C3436="","",U3436-AG3436)</f>
        <v/>
      </c>
      <c r="AI3436" s="7">
        <f>IF($C3436="","",AH3436-M3436)</f>
        <v/>
      </c>
      <c r="AJ3436">
        <f>IF($C3436="","",IF(COUNTIF($C$2:$C3436,$C3436)=1,1,0))</f>
        <v/>
      </c>
      <c r="AK3436">
        <f>IF($AJ3436=1,SUMPRODUCT(--($AN$2:$AN$4001&lt;$AN3436))+1,"")</f>
        <v/>
      </c>
      <c r="AL3436">
        <f>IF($C3436="","",IF(OR($Q3436=TRUE(),$Q3436="TRUE"),1,0))</f>
        <v/>
      </c>
      <c r="AM3436">
        <f>IF($C3436="","",IF($W3436="Yes",1,0))</f>
        <v/>
      </c>
      <c r="AN3436">
        <f>IF($AJ3436=1,IFERROR(IF(VALUE($C3436)&lt;100000000,VALUE($C3436),1000000000),IFERROR(IF(VALUE(MID($C3436,2,20))&lt;100000000,VALUE(MID($C3436,2,20)),1000000000),1000000000))+ROW()/100000,"")</f>
        <v/>
      </c>
    </row>
    <row r="3437">
      <c r="E3437" s="11" t="n"/>
      <c r="M3437" s="7">
        <f>IF($C3437="","",L3437*U3437/100)</f>
        <v/>
      </c>
      <c r="N3437" s="7" t="n"/>
      <c r="T3437" s="7" t="n"/>
      <c r="U3437" s="7">
        <f>IF($C3437="","",S3437*T3437)</f>
        <v/>
      </c>
      <c r="X3437">
        <f>IF($C3437="","",IF($AM3437=1,0,IF($AL3437=1,Settings!$C$6,Settings!$C$7))*100)</f>
        <v/>
      </c>
      <c r="AB3437" s="7" t="n"/>
      <c r="AE3437" s="11" t="n"/>
      <c r="AG3437" s="7">
        <f>IF($C3437="","",U3437*X3437/100)</f>
        <v/>
      </c>
      <c r="AH3437" s="7">
        <f>IF($C3437="","",U3437-AG3437)</f>
        <v/>
      </c>
      <c r="AI3437" s="7">
        <f>IF($C3437="","",AH3437-M3437)</f>
        <v/>
      </c>
      <c r="AJ3437">
        <f>IF($C3437="","",IF(COUNTIF($C$2:$C3437,$C3437)=1,1,0))</f>
        <v/>
      </c>
      <c r="AK3437">
        <f>IF($AJ3437=1,SUMPRODUCT(--($AN$2:$AN$4001&lt;$AN3437))+1,"")</f>
        <v/>
      </c>
      <c r="AL3437">
        <f>IF($C3437="","",IF(OR($Q3437=TRUE(),$Q3437="TRUE"),1,0))</f>
        <v/>
      </c>
      <c r="AM3437">
        <f>IF($C3437="","",IF($W3437="Yes",1,0))</f>
        <v/>
      </c>
      <c r="AN3437">
        <f>IF($AJ3437=1,IFERROR(IF(VALUE($C3437)&lt;100000000,VALUE($C3437),1000000000),IFERROR(IF(VALUE(MID($C3437,2,20))&lt;100000000,VALUE(MID($C3437,2,20)),1000000000),1000000000))+ROW()/100000,"")</f>
        <v/>
      </c>
    </row>
    <row r="3438">
      <c r="E3438" s="11" t="n"/>
      <c r="M3438" s="7">
        <f>IF($C3438="","",L3438*U3438/100)</f>
        <v/>
      </c>
      <c r="N3438" s="7" t="n"/>
      <c r="T3438" s="7" t="n"/>
      <c r="U3438" s="7">
        <f>IF($C3438="","",S3438*T3438)</f>
        <v/>
      </c>
      <c r="X3438">
        <f>IF($C3438="","",IF($AM3438=1,0,IF($AL3438=1,Settings!$C$6,Settings!$C$7))*100)</f>
        <v/>
      </c>
      <c r="AB3438" s="7" t="n"/>
      <c r="AE3438" s="11" t="n"/>
      <c r="AG3438" s="7">
        <f>IF($C3438="","",U3438*X3438/100)</f>
        <v/>
      </c>
      <c r="AH3438" s="7">
        <f>IF($C3438="","",U3438-AG3438)</f>
        <v/>
      </c>
      <c r="AI3438" s="7">
        <f>IF($C3438="","",AH3438-M3438)</f>
        <v/>
      </c>
      <c r="AJ3438">
        <f>IF($C3438="","",IF(COUNTIF($C$2:$C3438,$C3438)=1,1,0))</f>
        <v/>
      </c>
      <c r="AK3438">
        <f>IF($AJ3438=1,SUMPRODUCT(--($AN$2:$AN$4001&lt;$AN3438))+1,"")</f>
        <v/>
      </c>
      <c r="AL3438">
        <f>IF($C3438="","",IF(OR($Q3438=TRUE(),$Q3438="TRUE"),1,0))</f>
        <v/>
      </c>
      <c r="AM3438">
        <f>IF($C3438="","",IF($W3438="Yes",1,0))</f>
        <v/>
      </c>
      <c r="AN3438">
        <f>IF($AJ3438=1,IFERROR(IF(VALUE($C3438)&lt;100000000,VALUE($C3438),1000000000),IFERROR(IF(VALUE(MID($C3438,2,20))&lt;100000000,VALUE(MID($C3438,2,20)),1000000000),1000000000))+ROW()/100000,"")</f>
        <v/>
      </c>
    </row>
    <row r="3439">
      <c r="E3439" s="11" t="n"/>
      <c r="M3439" s="7">
        <f>IF($C3439="","",L3439*U3439/100)</f>
        <v/>
      </c>
      <c r="N3439" s="7" t="n"/>
      <c r="T3439" s="7" t="n"/>
      <c r="U3439" s="7">
        <f>IF($C3439="","",S3439*T3439)</f>
        <v/>
      </c>
      <c r="X3439">
        <f>IF($C3439="","",IF($AM3439=1,0,IF($AL3439=1,Settings!$C$6,Settings!$C$7))*100)</f>
        <v/>
      </c>
      <c r="AB3439" s="7" t="n"/>
      <c r="AE3439" s="11" t="n"/>
      <c r="AG3439" s="7">
        <f>IF($C3439="","",U3439*X3439/100)</f>
        <v/>
      </c>
      <c r="AH3439" s="7">
        <f>IF($C3439="","",U3439-AG3439)</f>
        <v/>
      </c>
      <c r="AI3439" s="7">
        <f>IF($C3439="","",AH3439-M3439)</f>
        <v/>
      </c>
      <c r="AJ3439">
        <f>IF($C3439="","",IF(COUNTIF($C$2:$C3439,$C3439)=1,1,0))</f>
        <v/>
      </c>
      <c r="AK3439">
        <f>IF($AJ3439=1,SUMPRODUCT(--($AN$2:$AN$4001&lt;$AN3439))+1,"")</f>
        <v/>
      </c>
      <c r="AL3439">
        <f>IF($C3439="","",IF(OR($Q3439=TRUE(),$Q3439="TRUE"),1,0))</f>
        <v/>
      </c>
      <c r="AM3439">
        <f>IF($C3439="","",IF($W3439="Yes",1,0))</f>
        <v/>
      </c>
      <c r="AN3439">
        <f>IF($AJ3439=1,IFERROR(IF(VALUE($C3439)&lt;100000000,VALUE($C3439),1000000000),IFERROR(IF(VALUE(MID($C3439,2,20))&lt;100000000,VALUE(MID($C3439,2,20)),1000000000),1000000000))+ROW()/100000,"")</f>
        <v/>
      </c>
    </row>
    <row r="3440">
      <c r="E3440" s="11" t="n"/>
      <c r="M3440" s="7">
        <f>IF($C3440="","",L3440*U3440/100)</f>
        <v/>
      </c>
      <c r="N3440" s="7" t="n"/>
      <c r="T3440" s="7" t="n"/>
      <c r="U3440" s="7">
        <f>IF($C3440="","",S3440*T3440)</f>
        <v/>
      </c>
      <c r="X3440">
        <f>IF($C3440="","",IF($AM3440=1,0,IF($AL3440=1,Settings!$C$6,Settings!$C$7))*100)</f>
        <v/>
      </c>
      <c r="AB3440" s="7" t="n"/>
      <c r="AE3440" s="11" t="n"/>
      <c r="AG3440" s="7">
        <f>IF($C3440="","",U3440*X3440/100)</f>
        <v/>
      </c>
      <c r="AH3440" s="7">
        <f>IF($C3440="","",U3440-AG3440)</f>
        <v/>
      </c>
      <c r="AI3440" s="7">
        <f>IF($C3440="","",AH3440-M3440)</f>
        <v/>
      </c>
      <c r="AJ3440">
        <f>IF($C3440="","",IF(COUNTIF($C$2:$C3440,$C3440)=1,1,0))</f>
        <v/>
      </c>
      <c r="AK3440">
        <f>IF($AJ3440=1,SUMPRODUCT(--($AN$2:$AN$4001&lt;$AN3440))+1,"")</f>
        <v/>
      </c>
      <c r="AL3440">
        <f>IF($C3440="","",IF(OR($Q3440=TRUE(),$Q3440="TRUE"),1,0))</f>
        <v/>
      </c>
      <c r="AM3440">
        <f>IF($C3440="","",IF($W3440="Yes",1,0))</f>
        <v/>
      </c>
      <c r="AN3440">
        <f>IF($AJ3440=1,IFERROR(IF(VALUE($C3440)&lt;100000000,VALUE($C3440),1000000000),IFERROR(IF(VALUE(MID($C3440,2,20))&lt;100000000,VALUE(MID($C3440,2,20)),1000000000),1000000000))+ROW()/100000,"")</f>
        <v/>
      </c>
    </row>
    <row r="3441">
      <c r="E3441" s="11" t="n"/>
      <c r="M3441" s="7">
        <f>IF($C3441="","",L3441*U3441/100)</f>
        <v/>
      </c>
      <c r="N3441" s="7" t="n"/>
      <c r="T3441" s="7" t="n"/>
      <c r="U3441" s="7">
        <f>IF($C3441="","",S3441*T3441)</f>
        <v/>
      </c>
      <c r="X3441">
        <f>IF($C3441="","",IF($AM3441=1,0,IF($AL3441=1,Settings!$C$6,Settings!$C$7))*100)</f>
        <v/>
      </c>
      <c r="AB3441" s="7" t="n"/>
      <c r="AE3441" s="11" t="n"/>
      <c r="AG3441" s="7">
        <f>IF($C3441="","",U3441*X3441/100)</f>
        <v/>
      </c>
      <c r="AH3441" s="7">
        <f>IF($C3441="","",U3441-AG3441)</f>
        <v/>
      </c>
      <c r="AI3441" s="7">
        <f>IF($C3441="","",AH3441-M3441)</f>
        <v/>
      </c>
      <c r="AJ3441">
        <f>IF($C3441="","",IF(COUNTIF($C$2:$C3441,$C3441)=1,1,0))</f>
        <v/>
      </c>
      <c r="AK3441">
        <f>IF($AJ3441=1,SUMPRODUCT(--($AN$2:$AN$4001&lt;$AN3441))+1,"")</f>
        <v/>
      </c>
      <c r="AL3441">
        <f>IF($C3441="","",IF(OR($Q3441=TRUE(),$Q3441="TRUE"),1,0))</f>
        <v/>
      </c>
      <c r="AM3441">
        <f>IF($C3441="","",IF($W3441="Yes",1,0))</f>
        <v/>
      </c>
      <c r="AN3441">
        <f>IF($AJ3441=1,IFERROR(IF(VALUE($C3441)&lt;100000000,VALUE($C3441),1000000000),IFERROR(IF(VALUE(MID($C3441,2,20))&lt;100000000,VALUE(MID($C3441,2,20)),1000000000),1000000000))+ROW()/100000,"")</f>
        <v/>
      </c>
    </row>
    <row r="3442">
      <c r="E3442" s="11" t="n"/>
      <c r="M3442" s="7">
        <f>IF($C3442="","",L3442*U3442/100)</f>
        <v/>
      </c>
      <c r="N3442" s="7" t="n"/>
      <c r="T3442" s="7" t="n"/>
      <c r="U3442" s="7">
        <f>IF($C3442="","",S3442*T3442)</f>
        <v/>
      </c>
      <c r="X3442">
        <f>IF($C3442="","",IF($AM3442=1,0,IF($AL3442=1,Settings!$C$6,Settings!$C$7))*100)</f>
        <v/>
      </c>
      <c r="AB3442" s="7" t="n"/>
      <c r="AE3442" s="11" t="n"/>
      <c r="AG3442" s="7">
        <f>IF($C3442="","",U3442*X3442/100)</f>
        <v/>
      </c>
      <c r="AH3442" s="7">
        <f>IF($C3442="","",U3442-AG3442)</f>
        <v/>
      </c>
      <c r="AI3442" s="7">
        <f>IF($C3442="","",AH3442-M3442)</f>
        <v/>
      </c>
      <c r="AJ3442">
        <f>IF($C3442="","",IF(COUNTIF($C$2:$C3442,$C3442)=1,1,0))</f>
        <v/>
      </c>
      <c r="AK3442">
        <f>IF($AJ3442=1,SUMPRODUCT(--($AN$2:$AN$4001&lt;$AN3442))+1,"")</f>
        <v/>
      </c>
      <c r="AL3442">
        <f>IF($C3442="","",IF(OR($Q3442=TRUE(),$Q3442="TRUE"),1,0))</f>
        <v/>
      </c>
      <c r="AM3442">
        <f>IF($C3442="","",IF($W3442="Yes",1,0))</f>
        <v/>
      </c>
      <c r="AN3442">
        <f>IF($AJ3442=1,IFERROR(IF(VALUE($C3442)&lt;100000000,VALUE($C3442),1000000000),IFERROR(IF(VALUE(MID($C3442,2,20))&lt;100000000,VALUE(MID($C3442,2,20)),1000000000),1000000000))+ROW()/100000,"")</f>
        <v/>
      </c>
    </row>
    <row r="3443">
      <c r="E3443" s="11" t="n"/>
      <c r="M3443" s="7">
        <f>IF($C3443="","",L3443*U3443/100)</f>
        <v/>
      </c>
      <c r="N3443" s="7" t="n"/>
      <c r="T3443" s="7" t="n"/>
      <c r="U3443" s="7">
        <f>IF($C3443="","",S3443*T3443)</f>
        <v/>
      </c>
      <c r="X3443">
        <f>IF($C3443="","",IF($AM3443=1,0,IF($AL3443=1,Settings!$C$6,Settings!$C$7))*100)</f>
        <v/>
      </c>
      <c r="AB3443" s="7" t="n"/>
      <c r="AE3443" s="11" t="n"/>
      <c r="AG3443" s="7">
        <f>IF($C3443="","",U3443*X3443/100)</f>
        <v/>
      </c>
      <c r="AH3443" s="7">
        <f>IF($C3443="","",U3443-AG3443)</f>
        <v/>
      </c>
      <c r="AI3443" s="7">
        <f>IF($C3443="","",AH3443-M3443)</f>
        <v/>
      </c>
      <c r="AJ3443">
        <f>IF($C3443="","",IF(COUNTIF($C$2:$C3443,$C3443)=1,1,0))</f>
        <v/>
      </c>
      <c r="AK3443">
        <f>IF($AJ3443=1,SUMPRODUCT(--($AN$2:$AN$4001&lt;$AN3443))+1,"")</f>
        <v/>
      </c>
      <c r="AL3443">
        <f>IF($C3443="","",IF(OR($Q3443=TRUE(),$Q3443="TRUE"),1,0))</f>
        <v/>
      </c>
      <c r="AM3443">
        <f>IF($C3443="","",IF($W3443="Yes",1,0))</f>
        <v/>
      </c>
      <c r="AN3443">
        <f>IF($AJ3443=1,IFERROR(IF(VALUE($C3443)&lt;100000000,VALUE($C3443),1000000000),IFERROR(IF(VALUE(MID($C3443,2,20))&lt;100000000,VALUE(MID($C3443,2,20)),1000000000),1000000000))+ROW()/100000,"")</f>
        <v/>
      </c>
    </row>
    <row r="3444">
      <c r="E3444" s="11" t="n"/>
      <c r="M3444" s="7">
        <f>IF($C3444="","",L3444*U3444/100)</f>
        <v/>
      </c>
      <c r="N3444" s="7" t="n"/>
      <c r="T3444" s="7" t="n"/>
      <c r="U3444" s="7">
        <f>IF($C3444="","",S3444*T3444)</f>
        <v/>
      </c>
      <c r="X3444">
        <f>IF($C3444="","",IF($AM3444=1,0,IF($AL3444=1,Settings!$C$6,Settings!$C$7))*100)</f>
        <v/>
      </c>
      <c r="AB3444" s="7" t="n"/>
      <c r="AE3444" s="11" t="n"/>
      <c r="AG3444" s="7">
        <f>IF($C3444="","",U3444*X3444/100)</f>
        <v/>
      </c>
      <c r="AH3444" s="7">
        <f>IF($C3444="","",U3444-AG3444)</f>
        <v/>
      </c>
      <c r="AI3444" s="7">
        <f>IF($C3444="","",AH3444-M3444)</f>
        <v/>
      </c>
      <c r="AJ3444">
        <f>IF($C3444="","",IF(COUNTIF($C$2:$C3444,$C3444)=1,1,0))</f>
        <v/>
      </c>
      <c r="AK3444">
        <f>IF($AJ3444=1,SUMPRODUCT(--($AN$2:$AN$4001&lt;$AN3444))+1,"")</f>
        <v/>
      </c>
      <c r="AL3444">
        <f>IF($C3444="","",IF(OR($Q3444=TRUE(),$Q3444="TRUE"),1,0))</f>
        <v/>
      </c>
      <c r="AM3444">
        <f>IF($C3444="","",IF($W3444="Yes",1,0))</f>
        <v/>
      </c>
      <c r="AN3444">
        <f>IF($AJ3444=1,IFERROR(IF(VALUE($C3444)&lt;100000000,VALUE($C3444),1000000000),IFERROR(IF(VALUE(MID($C3444,2,20))&lt;100000000,VALUE(MID($C3444,2,20)),1000000000),1000000000))+ROW()/100000,"")</f>
        <v/>
      </c>
    </row>
    <row r="3445">
      <c r="E3445" s="11" t="n"/>
      <c r="M3445" s="7">
        <f>IF($C3445="","",L3445*U3445/100)</f>
        <v/>
      </c>
      <c r="N3445" s="7" t="n"/>
      <c r="T3445" s="7" t="n"/>
      <c r="U3445" s="7">
        <f>IF($C3445="","",S3445*T3445)</f>
        <v/>
      </c>
      <c r="X3445">
        <f>IF($C3445="","",IF($AM3445=1,0,IF($AL3445=1,Settings!$C$6,Settings!$C$7))*100)</f>
        <v/>
      </c>
      <c r="AB3445" s="7" t="n"/>
      <c r="AE3445" s="11" t="n"/>
      <c r="AG3445" s="7">
        <f>IF($C3445="","",U3445*X3445/100)</f>
        <v/>
      </c>
      <c r="AH3445" s="7">
        <f>IF($C3445="","",U3445-AG3445)</f>
        <v/>
      </c>
      <c r="AI3445" s="7">
        <f>IF($C3445="","",AH3445-M3445)</f>
        <v/>
      </c>
      <c r="AJ3445">
        <f>IF($C3445="","",IF(COUNTIF($C$2:$C3445,$C3445)=1,1,0))</f>
        <v/>
      </c>
      <c r="AK3445">
        <f>IF($AJ3445=1,SUMPRODUCT(--($AN$2:$AN$4001&lt;$AN3445))+1,"")</f>
        <v/>
      </c>
      <c r="AL3445">
        <f>IF($C3445="","",IF(OR($Q3445=TRUE(),$Q3445="TRUE"),1,0))</f>
        <v/>
      </c>
      <c r="AM3445">
        <f>IF($C3445="","",IF($W3445="Yes",1,0))</f>
        <v/>
      </c>
      <c r="AN3445">
        <f>IF($AJ3445=1,IFERROR(IF(VALUE($C3445)&lt;100000000,VALUE($C3445),1000000000),IFERROR(IF(VALUE(MID($C3445,2,20))&lt;100000000,VALUE(MID($C3445,2,20)),1000000000),1000000000))+ROW()/100000,"")</f>
        <v/>
      </c>
    </row>
    <row r="3446">
      <c r="E3446" s="11" t="n"/>
      <c r="M3446" s="7">
        <f>IF($C3446="","",L3446*U3446/100)</f>
        <v/>
      </c>
      <c r="N3446" s="7" t="n"/>
      <c r="T3446" s="7" t="n"/>
      <c r="U3446" s="7">
        <f>IF($C3446="","",S3446*T3446)</f>
        <v/>
      </c>
      <c r="X3446">
        <f>IF($C3446="","",IF($AM3446=1,0,IF($AL3446=1,Settings!$C$6,Settings!$C$7))*100)</f>
        <v/>
      </c>
      <c r="AB3446" s="7" t="n"/>
      <c r="AE3446" s="11" t="n"/>
      <c r="AG3446" s="7">
        <f>IF($C3446="","",U3446*X3446/100)</f>
        <v/>
      </c>
      <c r="AH3446" s="7">
        <f>IF($C3446="","",U3446-AG3446)</f>
        <v/>
      </c>
      <c r="AI3446" s="7">
        <f>IF($C3446="","",AH3446-M3446)</f>
        <v/>
      </c>
      <c r="AJ3446">
        <f>IF($C3446="","",IF(COUNTIF($C$2:$C3446,$C3446)=1,1,0))</f>
        <v/>
      </c>
      <c r="AK3446">
        <f>IF($AJ3446=1,SUMPRODUCT(--($AN$2:$AN$4001&lt;$AN3446))+1,"")</f>
        <v/>
      </c>
      <c r="AL3446">
        <f>IF($C3446="","",IF(OR($Q3446=TRUE(),$Q3446="TRUE"),1,0))</f>
        <v/>
      </c>
      <c r="AM3446">
        <f>IF($C3446="","",IF($W3446="Yes",1,0))</f>
        <v/>
      </c>
      <c r="AN3446">
        <f>IF($AJ3446=1,IFERROR(IF(VALUE($C3446)&lt;100000000,VALUE($C3446),1000000000),IFERROR(IF(VALUE(MID($C3446,2,20))&lt;100000000,VALUE(MID($C3446,2,20)),1000000000),1000000000))+ROW()/100000,"")</f>
        <v/>
      </c>
    </row>
    <row r="3447">
      <c r="E3447" s="11" t="n"/>
      <c r="M3447" s="7">
        <f>IF($C3447="","",L3447*U3447/100)</f>
        <v/>
      </c>
      <c r="N3447" s="7" t="n"/>
      <c r="T3447" s="7" t="n"/>
      <c r="U3447" s="7">
        <f>IF($C3447="","",S3447*T3447)</f>
        <v/>
      </c>
      <c r="X3447">
        <f>IF($C3447="","",IF($AM3447=1,0,IF($AL3447=1,Settings!$C$6,Settings!$C$7))*100)</f>
        <v/>
      </c>
      <c r="AB3447" s="7" t="n"/>
      <c r="AE3447" s="11" t="n"/>
      <c r="AG3447" s="7">
        <f>IF($C3447="","",U3447*X3447/100)</f>
        <v/>
      </c>
      <c r="AH3447" s="7">
        <f>IF($C3447="","",U3447-AG3447)</f>
        <v/>
      </c>
      <c r="AI3447" s="7">
        <f>IF($C3447="","",AH3447-M3447)</f>
        <v/>
      </c>
      <c r="AJ3447">
        <f>IF($C3447="","",IF(COUNTIF($C$2:$C3447,$C3447)=1,1,0))</f>
        <v/>
      </c>
      <c r="AK3447">
        <f>IF($AJ3447=1,SUMPRODUCT(--($AN$2:$AN$4001&lt;$AN3447))+1,"")</f>
        <v/>
      </c>
      <c r="AL3447">
        <f>IF($C3447="","",IF(OR($Q3447=TRUE(),$Q3447="TRUE"),1,0))</f>
        <v/>
      </c>
      <c r="AM3447">
        <f>IF($C3447="","",IF($W3447="Yes",1,0))</f>
        <v/>
      </c>
      <c r="AN3447">
        <f>IF($AJ3447=1,IFERROR(IF(VALUE($C3447)&lt;100000000,VALUE($C3447),1000000000),IFERROR(IF(VALUE(MID($C3447,2,20))&lt;100000000,VALUE(MID($C3447,2,20)),1000000000),1000000000))+ROW()/100000,"")</f>
        <v/>
      </c>
    </row>
    <row r="3448">
      <c r="E3448" s="11" t="n"/>
      <c r="M3448" s="7">
        <f>IF($C3448="","",L3448*U3448/100)</f>
        <v/>
      </c>
      <c r="N3448" s="7" t="n"/>
      <c r="T3448" s="7" t="n"/>
      <c r="U3448" s="7">
        <f>IF($C3448="","",S3448*T3448)</f>
        <v/>
      </c>
      <c r="X3448">
        <f>IF($C3448="","",IF($AM3448=1,0,IF($AL3448=1,Settings!$C$6,Settings!$C$7))*100)</f>
        <v/>
      </c>
      <c r="AB3448" s="7" t="n"/>
      <c r="AE3448" s="11" t="n"/>
      <c r="AG3448" s="7">
        <f>IF($C3448="","",U3448*X3448/100)</f>
        <v/>
      </c>
      <c r="AH3448" s="7">
        <f>IF($C3448="","",U3448-AG3448)</f>
        <v/>
      </c>
      <c r="AI3448" s="7">
        <f>IF($C3448="","",AH3448-M3448)</f>
        <v/>
      </c>
      <c r="AJ3448">
        <f>IF($C3448="","",IF(COUNTIF($C$2:$C3448,$C3448)=1,1,0))</f>
        <v/>
      </c>
      <c r="AK3448">
        <f>IF($AJ3448=1,SUMPRODUCT(--($AN$2:$AN$4001&lt;$AN3448))+1,"")</f>
        <v/>
      </c>
      <c r="AL3448">
        <f>IF($C3448="","",IF(OR($Q3448=TRUE(),$Q3448="TRUE"),1,0))</f>
        <v/>
      </c>
      <c r="AM3448">
        <f>IF($C3448="","",IF($W3448="Yes",1,0))</f>
        <v/>
      </c>
      <c r="AN3448">
        <f>IF($AJ3448=1,IFERROR(IF(VALUE($C3448)&lt;100000000,VALUE($C3448),1000000000),IFERROR(IF(VALUE(MID($C3448,2,20))&lt;100000000,VALUE(MID($C3448,2,20)),1000000000),1000000000))+ROW()/100000,"")</f>
        <v/>
      </c>
    </row>
    <row r="3449">
      <c r="E3449" s="11" t="n"/>
      <c r="M3449" s="7">
        <f>IF($C3449="","",L3449*U3449/100)</f>
        <v/>
      </c>
      <c r="N3449" s="7" t="n"/>
      <c r="T3449" s="7" t="n"/>
      <c r="U3449" s="7">
        <f>IF($C3449="","",S3449*T3449)</f>
        <v/>
      </c>
      <c r="X3449">
        <f>IF($C3449="","",IF($AM3449=1,0,IF($AL3449=1,Settings!$C$6,Settings!$C$7))*100)</f>
        <v/>
      </c>
      <c r="AB3449" s="7" t="n"/>
      <c r="AE3449" s="11" t="n"/>
      <c r="AG3449" s="7">
        <f>IF($C3449="","",U3449*X3449/100)</f>
        <v/>
      </c>
      <c r="AH3449" s="7">
        <f>IF($C3449="","",U3449-AG3449)</f>
        <v/>
      </c>
      <c r="AI3449" s="7">
        <f>IF($C3449="","",AH3449-M3449)</f>
        <v/>
      </c>
      <c r="AJ3449">
        <f>IF($C3449="","",IF(COUNTIF($C$2:$C3449,$C3449)=1,1,0))</f>
        <v/>
      </c>
      <c r="AK3449">
        <f>IF($AJ3449=1,SUMPRODUCT(--($AN$2:$AN$4001&lt;$AN3449))+1,"")</f>
        <v/>
      </c>
      <c r="AL3449">
        <f>IF($C3449="","",IF(OR($Q3449=TRUE(),$Q3449="TRUE"),1,0))</f>
        <v/>
      </c>
      <c r="AM3449">
        <f>IF($C3449="","",IF($W3449="Yes",1,0))</f>
        <v/>
      </c>
      <c r="AN3449">
        <f>IF($AJ3449=1,IFERROR(IF(VALUE($C3449)&lt;100000000,VALUE($C3449),1000000000),IFERROR(IF(VALUE(MID($C3449,2,20))&lt;100000000,VALUE(MID($C3449,2,20)),1000000000),1000000000))+ROW()/100000,"")</f>
        <v/>
      </c>
    </row>
    <row r="3450">
      <c r="E3450" s="11" t="n"/>
      <c r="M3450" s="7">
        <f>IF($C3450="","",L3450*U3450/100)</f>
        <v/>
      </c>
      <c r="N3450" s="7" t="n"/>
      <c r="T3450" s="7" t="n"/>
      <c r="U3450" s="7">
        <f>IF($C3450="","",S3450*T3450)</f>
        <v/>
      </c>
      <c r="X3450">
        <f>IF($C3450="","",IF($AM3450=1,0,IF($AL3450=1,Settings!$C$6,Settings!$C$7))*100)</f>
        <v/>
      </c>
      <c r="AB3450" s="7" t="n"/>
      <c r="AE3450" s="11" t="n"/>
      <c r="AG3450" s="7">
        <f>IF($C3450="","",U3450*X3450/100)</f>
        <v/>
      </c>
      <c r="AH3450" s="7">
        <f>IF($C3450="","",U3450-AG3450)</f>
        <v/>
      </c>
      <c r="AI3450" s="7">
        <f>IF($C3450="","",AH3450-M3450)</f>
        <v/>
      </c>
      <c r="AJ3450">
        <f>IF($C3450="","",IF(COUNTIF($C$2:$C3450,$C3450)=1,1,0))</f>
        <v/>
      </c>
      <c r="AK3450">
        <f>IF($AJ3450=1,SUMPRODUCT(--($AN$2:$AN$4001&lt;$AN3450))+1,"")</f>
        <v/>
      </c>
      <c r="AL3450">
        <f>IF($C3450="","",IF(OR($Q3450=TRUE(),$Q3450="TRUE"),1,0))</f>
        <v/>
      </c>
      <c r="AM3450">
        <f>IF($C3450="","",IF($W3450="Yes",1,0))</f>
        <v/>
      </c>
      <c r="AN3450">
        <f>IF($AJ3450=1,IFERROR(IF(VALUE($C3450)&lt;100000000,VALUE($C3450),1000000000),IFERROR(IF(VALUE(MID($C3450,2,20))&lt;100000000,VALUE(MID($C3450,2,20)),1000000000),1000000000))+ROW()/100000,"")</f>
        <v/>
      </c>
    </row>
    <row r="3451">
      <c r="E3451" s="11" t="n"/>
      <c r="M3451" s="7">
        <f>IF($C3451="","",L3451*U3451/100)</f>
        <v/>
      </c>
      <c r="N3451" s="7" t="n"/>
      <c r="T3451" s="7" t="n"/>
      <c r="U3451" s="7">
        <f>IF($C3451="","",S3451*T3451)</f>
        <v/>
      </c>
      <c r="X3451">
        <f>IF($C3451="","",IF($AM3451=1,0,IF($AL3451=1,Settings!$C$6,Settings!$C$7))*100)</f>
        <v/>
      </c>
      <c r="AB3451" s="7" t="n"/>
      <c r="AE3451" s="11" t="n"/>
      <c r="AG3451" s="7">
        <f>IF($C3451="","",U3451*X3451/100)</f>
        <v/>
      </c>
      <c r="AH3451" s="7">
        <f>IF($C3451="","",U3451-AG3451)</f>
        <v/>
      </c>
      <c r="AI3451" s="7">
        <f>IF($C3451="","",AH3451-M3451)</f>
        <v/>
      </c>
      <c r="AJ3451">
        <f>IF($C3451="","",IF(COUNTIF($C$2:$C3451,$C3451)=1,1,0))</f>
        <v/>
      </c>
      <c r="AK3451">
        <f>IF($AJ3451=1,SUMPRODUCT(--($AN$2:$AN$4001&lt;$AN3451))+1,"")</f>
        <v/>
      </c>
      <c r="AL3451">
        <f>IF($C3451="","",IF(OR($Q3451=TRUE(),$Q3451="TRUE"),1,0))</f>
        <v/>
      </c>
      <c r="AM3451">
        <f>IF($C3451="","",IF($W3451="Yes",1,0))</f>
        <v/>
      </c>
      <c r="AN3451">
        <f>IF($AJ3451=1,IFERROR(IF(VALUE($C3451)&lt;100000000,VALUE($C3451),1000000000),IFERROR(IF(VALUE(MID($C3451,2,20))&lt;100000000,VALUE(MID($C3451,2,20)),1000000000),1000000000))+ROW()/100000,"")</f>
        <v/>
      </c>
    </row>
    <row r="3452">
      <c r="E3452" s="11" t="n"/>
      <c r="M3452" s="7">
        <f>IF($C3452="","",L3452*U3452/100)</f>
        <v/>
      </c>
      <c r="N3452" s="7" t="n"/>
      <c r="T3452" s="7" t="n"/>
      <c r="U3452" s="7">
        <f>IF($C3452="","",S3452*T3452)</f>
        <v/>
      </c>
      <c r="X3452">
        <f>IF($C3452="","",IF($AM3452=1,0,IF($AL3452=1,Settings!$C$6,Settings!$C$7))*100)</f>
        <v/>
      </c>
      <c r="AB3452" s="7" t="n"/>
      <c r="AE3452" s="11" t="n"/>
      <c r="AG3452" s="7">
        <f>IF($C3452="","",U3452*X3452/100)</f>
        <v/>
      </c>
      <c r="AH3452" s="7">
        <f>IF($C3452="","",U3452-AG3452)</f>
        <v/>
      </c>
      <c r="AI3452" s="7">
        <f>IF($C3452="","",AH3452-M3452)</f>
        <v/>
      </c>
      <c r="AJ3452">
        <f>IF($C3452="","",IF(COUNTIF($C$2:$C3452,$C3452)=1,1,0))</f>
        <v/>
      </c>
      <c r="AK3452">
        <f>IF($AJ3452=1,SUMPRODUCT(--($AN$2:$AN$4001&lt;$AN3452))+1,"")</f>
        <v/>
      </c>
      <c r="AL3452">
        <f>IF($C3452="","",IF(OR($Q3452=TRUE(),$Q3452="TRUE"),1,0))</f>
        <v/>
      </c>
      <c r="AM3452">
        <f>IF($C3452="","",IF($W3452="Yes",1,0))</f>
        <v/>
      </c>
      <c r="AN3452">
        <f>IF($AJ3452=1,IFERROR(IF(VALUE($C3452)&lt;100000000,VALUE($C3452),1000000000),IFERROR(IF(VALUE(MID($C3452,2,20))&lt;100000000,VALUE(MID($C3452,2,20)),1000000000),1000000000))+ROW()/100000,"")</f>
        <v/>
      </c>
    </row>
    <row r="3453">
      <c r="E3453" s="11" t="n"/>
      <c r="M3453" s="7">
        <f>IF($C3453="","",L3453*U3453/100)</f>
        <v/>
      </c>
      <c r="N3453" s="7" t="n"/>
      <c r="T3453" s="7" t="n"/>
      <c r="U3453" s="7">
        <f>IF($C3453="","",S3453*T3453)</f>
        <v/>
      </c>
      <c r="X3453">
        <f>IF($C3453="","",IF($AM3453=1,0,IF($AL3453=1,Settings!$C$6,Settings!$C$7))*100)</f>
        <v/>
      </c>
      <c r="AB3453" s="7" t="n"/>
      <c r="AE3453" s="11" t="n"/>
      <c r="AG3453" s="7">
        <f>IF($C3453="","",U3453*X3453/100)</f>
        <v/>
      </c>
      <c r="AH3453" s="7">
        <f>IF($C3453="","",U3453-AG3453)</f>
        <v/>
      </c>
      <c r="AI3453" s="7">
        <f>IF($C3453="","",AH3453-M3453)</f>
        <v/>
      </c>
      <c r="AJ3453">
        <f>IF($C3453="","",IF(COUNTIF($C$2:$C3453,$C3453)=1,1,0))</f>
        <v/>
      </c>
      <c r="AK3453">
        <f>IF($AJ3453=1,SUMPRODUCT(--($AN$2:$AN$4001&lt;$AN3453))+1,"")</f>
        <v/>
      </c>
      <c r="AL3453">
        <f>IF($C3453="","",IF(OR($Q3453=TRUE(),$Q3453="TRUE"),1,0))</f>
        <v/>
      </c>
      <c r="AM3453">
        <f>IF($C3453="","",IF($W3453="Yes",1,0))</f>
        <v/>
      </c>
      <c r="AN3453">
        <f>IF($AJ3453=1,IFERROR(IF(VALUE($C3453)&lt;100000000,VALUE($C3453),1000000000),IFERROR(IF(VALUE(MID($C3453,2,20))&lt;100000000,VALUE(MID($C3453,2,20)),1000000000),1000000000))+ROW()/100000,"")</f>
        <v/>
      </c>
    </row>
    <row r="3454">
      <c r="E3454" s="11" t="n"/>
      <c r="M3454" s="7">
        <f>IF($C3454="","",L3454*U3454/100)</f>
        <v/>
      </c>
      <c r="N3454" s="7" t="n"/>
      <c r="T3454" s="7" t="n"/>
      <c r="U3454" s="7">
        <f>IF($C3454="","",S3454*T3454)</f>
        <v/>
      </c>
      <c r="X3454">
        <f>IF($C3454="","",IF($AM3454=1,0,IF($AL3454=1,Settings!$C$6,Settings!$C$7))*100)</f>
        <v/>
      </c>
      <c r="AB3454" s="7" t="n"/>
      <c r="AE3454" s="11" t="n"/>
      <c r="AG3454" s="7">
        <f>IF($C3454="","",U3454*X3454/100)</f>
        <v/>
      </c>
      <c r="AH3454" s="7">
        <f>IF($C3454="","",U3454-AG3454)</f>
        <v/>
      </c>
      <c r="AI3454" s="7">
        <f>IF($C3454="","",AH3454-M3454)</f>
        <v/>
      </c>
      <c r="AJ3454">
        <f>IF($C3454="","",IF(COUNTIF($C$2:$C3454,$C3454)=1,1,0))</f>
        <v/>
      </c>
      <c r="AK3454">
        <f>IF($AJ3454=1,SUMPRODUCT(--($AN$2:$AN$4001&lt;$AN3454))+1,"")</f>
        <v/>
      </c>
      <c r="AL3454">
        <f>IF($C3454="","",IF(OR($Q3454=TRUE(),$Q3454="TRUE"),1,0))</f>
        <v/>
      </c>
      <c r="AM3454">
        <f>IF($C3454="","",IF($W3454="Yes",1,0))</f>
        <v/>
      </c>
      <c r="AN3454">
        <f>IF($AJ3454=1,IFERROR(IF(VALUE($C3454)&lt;100000000,VALUE($C3454),1000000000),IFERROR(IF(VALUE(MID($C3454,2,20))&lt;100000000,VALUE(MID($C3454,2,20)),1000000000),1000000000))+ROW()/100000,"")</f>
        <v/>
      </c>
    </row>
    <row r="3455">
      <c r="E3455" s="11" t="n"/>
      <c r="M3455" s="7">
        <f>IF($C3455="","",L3455*U3455/100)</f>
        <v/>
      </c>
      <c r="N3455" s="7" t="n"/>
      <c r="T3455" s="7" t="n"/>
      <c r="U3455" s="7">
        <f>IF($C3455="","",S3455*T3455)</f>
        <v/>
      </c>
      <c r="X3455">
        <f>IF($C3455="","",IF($AM3455=1,0,IF($AL3455=1,Settings!$C$6,Settings!$C$7))*100)</f>
        <v/>
      </c>
      <c r="AB3455" s="7" t="n"/>
      <c r="AE3455" s="11" t="n"/>
      <c r="AG3455" s="7">
        <f>IF($C3455="","",U3455*X3455/100)</f>
        <v/>
      </c>
      <c r="AH3455" s="7">
        <f>IF($C3455="","",U3455-AG3455)</f>
        <v/>
      </c>
      <c r="AI3455" s="7">
        <f>IF($C3455="","",AH3455-M3455)</f>
        <v/>
      </c>
      <c r="AJ3455">
        <f>IF($C3455="","",IF(COUNTIF($C$2:$C3455,$C3455)=1,1,0))</f>
        <v/>
      </c>
      <c r="AK3455">
        <f>IF($AJ3455=1,SUMPRODUCT(--($AN$2:$AN$4001&lt;$AN3455))+1,"")</f>
        <v/>
      </c>
      <c r="AL3455">
        <f>IF($C3455="","",IF(OR($Q3455=TRUE(),$Q3455="TRUE"),1,0))</f>
        <v/>
      </c>
      <c r="AM3455">
        <f>IF($C3455="","",IF($W3455="Yes",1,0))</f>
        <v/>
      </c>
      <c r="AN3455">
        <f>IF($AJ3455=1,IFERROR(IF(VALUE($C3455)&lt;100000000,VALUE($C3455),1000000000),IFERROR(IF(VALUE(MID($C3455,2,20))&lt;100000000,VALUE(MID($C3455,2,20)),1000000000),1000000000))+ROW()/100000,"")</f>
        <v/>
      </c>
    </row>
    <row r="3456">
      <c r="E3456" s="11" t="n"/>
      <c r="M3456" s="7">
        <f>IF($C3456="","",L3456*U3456/100)</f>
        <v/>
      </c>
      <c r="N3456" s="7" t="n"/>
      <c r="T3456" s="7" t="n"/>
      <c r="U3456" s="7">
        <f>IF($C3456="","",S3456*T3456)</f>
        <v/>
      </c>
      <c r="X3456">
        <f>IF($C3456="","",IF($AM3456=1,0,IF($AL3456=1,Settings!$C$6,Settings!$C$7))*100)</f>
        <v/>
      </c>
      <c r="AB3456" s="7" t="n"/>
      <c r="AE3456" s="11" t="n"/>
      <c r="AG3456" s="7">
        <f>IF($C3456="","",U3456*X3456/100)</f>
        <v/>
      </c>
      <c r="AH3456" s="7">
        <f>IF($C3456="","",U3456-AG3456)</f>
        <v/>
      </c>
      <c r="AI3456" s="7">
        <f>IF($C3456="","",AH3456-M3456)</f>
        <v/>
      </c>
      <c r="AJ3456">
        <f>IF($C3456="","",IF(COUNTIF($C$2:$C3456,$C3456)=1,1,0))</f>
        <v/>
      </c>
      <c r="AK3456">
        <f>IF($AJ3456=1,SUMPRODUCT(--($AN$2:$AN$4001&lt;$AN3456))+1,"")</f>
        <v/>
      </c>
      <c r="AL3456">
        <f>IF($C3456="","",IF(OR($Q3456=TRUE(),$Q3456="TRUE"),1,0))</f>
        <v/>
      </c>
      <c r="AM3456">
        <f>IF($C3456="","",IF($W3456="Yes",1,0))</f>
        <v/>
      </c>
      <c r="AN3456">
        <f>IF($AJ3456=1,IFERROR(IF(VALUE($C3456)&lt;100000000,VALUE($C3456),1000000000),IFERROR(IF(VALUE(MID($C3456,2,20))&lt;100000000,VALUE(MID($C3456,2,20)),1000000000),1000000000))+ROW()/100000,"")</f>
        <v/>
      </c>
    </row>
    <row r="3457">
      <c r="E3457" s="11" t="n"/>
      <c r="M3457" s="7">
        <f>IF($C3457="","",L3457*U3457/100)</f>
        <v/>
      </c>
      <c r="N3457" s="7" t="n"/>
      <c r="T3457" s="7" t="n"/>
      <c r="U3457" s="7">
        <f>IF($C3457="","",S3457*T3457)</f>
        <v/>
      </c>
      <c r="X3457">
        <f>IF($C3457="","",IF($AM3457=1,0,IF($AL3457=1,Settings!$C$6,Settings!$C$7))*100)</f>
        <v/>
      </c>
      <c r="AB3457" s="7" t="n"/>
      <c r="AE3457" s="11" t="n"/>
      <c r="AG3457" s="7">
        <f>IF($C3457="","",U3457*X3457/100)</f>
        <v/>
      </c>
      <c r="AH3457" s="7">
        <f>IF($C3457="","",U3457-AG3457)</f>
        <v/>
      </c>
      <c r="AI3457" s="7">
        <f>IF($C3457="","",AH3457-M3457)</f>
        <v/>
      </c>
      <c r="AJ3457">
        <f>IF($C3457="","",IF(COUNTIF($C$2:$C3457,$C3457)=1,1,0))</f>
        <v/>
      </c>
      <c r="AK3457">
        <f>IF($AJ3457=1,SUMPRODUCT(--($AN$2:$AN$4001&lt;$AN3457))+1,"")</f>
        <v/>
      </c>
      <c r="AL3457">
        <f>IF($C3457="","",IF(OR($Q3457=TRUE(),$Q3457="TRUE"),1,0))</f>
        <v/>
      </c>
      <c r="AM3457">
        <f>IF($C3457="","",IF($W3457="Yes",1,0))</f>
        <v/>
      </c>
      <c r="AN3457">
        <f>IF($AJ3457=1,IFERROR(IF(VALUE($C3457)&lt;100000000,VALUE($C3457),1000000000),IFERROR(IF(VALUE(MID($C3457,2,20))&lt;100000000,VALUE(MID($C3457,2,20)),1000000000),1000000000))+ROW()/100000,"")</f>
        <v/>
      </c>
    </row>
    <row r="3458">
      <c r="E3458" s="11" t="n"/>
      <c r="M3458" s="7">
        <f>IF($C3458="","",L3458*U3458/100)</f>
        <v/>
      </c>
      <c r="N3458" s="7" t="n"/>
      <c r="T3458" s="7" t="n"/>
      <c r="U3458" s="7">
        <f>IF($C3458="","",S3458*T3458)</f>
        <v/>
      </c>
      <c r="X3458">
        <f>IF($C3458="","",IF($AM3458=1,0,IF($AL3458=1,Settings!$C$6,Settings!$C$7))*100)</f>
        <v/>
      </c>
      <c r="AB3458" s="7" t="n"/>
      <c r="AE3458" s="11" t="n"/>
      <c r="AG3458" s="7">
        <f>IF($C3458="","",U3458*X3458/100)</f>
        <v/>
      </c>
      <c r="AH3458" s="7">
        <f>IF($C3458="","",U3458-AG3458)</f>
        <v/>
      </c>
      <c r="AI3458" s="7">
        <f>IF($C3458="","",AH3458-M3458)</f>
        <v/>
      </c>
      <c r="AJ3458">
        <f>IF($C3458="","",IF(COUNTIF($C$2:$C3458,$C3458)=1,1,0))</f>
        <v/>
      </c>
      <c r="AK3458">
        <f>IF($AJ3458=1,SUMPRODUCT(--($AN$2:$AN$4001&lt;$AN3458))+1,"")</f>
        <v/>
      </c>
      <c r="AL3458">
        <f>IF($C3458="","",IF(OR($Q3458=TRUE(),$Q3458="TRUE"),1,0))</f>
        <v/>
      </c>
      <c r="AM3458">
        <f>IF($C3458="","",IF($W3458="Yes",1,0))</f>
        <v/>
      </c>
      <c r="AN3458">
        <f>IF($AJ3458=1,IFERROR(IF(VALUE($C3458)&lt;100000000,VALUE($C3458),1000000000),IFERROR(IF(VALUE(MID($C3458,2,20))&lt;100000000,VALUE(MID($C3458,2,20)),1000000000),1000000000))+ROW()/100000,"")</f>
        <v/>
      </c>
    </row>
    <row r="3459">
      <c r="E3459" s="11" t="n"/>
      <c r="M3459" s="7">
        <f>IF($C3459="","",L3459*U3459/100)</f>
        <v/>
      </c>
      <c r="N3459" s="7" t="n"/>
      <c r="T3459" s="7" t="n"/>
      <c r="U3459" s="7">
        <f>IF($C3459="","",S3459*T3459)</f>
        <v/>
      </c>
      <c r="X3459">
        <f>IF($C3459="","",IF($AM3459=1,0,IF($AL3459=1,Settings!$C$6,Settings!$C$7))*100)</f>
        <v/>
      </c>
      <c r="AB3459" s="7" t="n"/>
      <c r="AE3459" s="11" t="n"/>
      <c r="AG3459" s="7">
        <f>IF($C3459="","",U3459*X3459/100)</f>
        <v/>
      </c>
      <c r="AH3459" s="7">
        <f>IF($C3459="","",U3459-AG3459)</f>
        <v/>
      </c>
      <c r="AI3459" s="7">
        <f>IF($C3459="","",AH3459-M3459)</f>
        <v/>
      </c>
      <c r="AJ3459">
        <f>IF($C3459="","",IF(COUNTIF($C$2:$C3459,$C3459)=1,1,0))</f>
        <v/>
      </c>
      <c r="AK3459">
        <f>IF($AJ3459=1,SUMPRODUCT(--($AN$2:$AN$4001&lt;$AN3459))+1,"")</f>
        <v/>
      </c>
      <c r="AL3459">
        <f>IF($C3459="","",IF(OR($Q3459=TRUE(),$Q3459="TRUE"),1,0))</f>
        <v/>
      </c>
      <c r="AM3459">
        <f>IF($C3459="","",IF($W3459="Yes",1,0))</f>
        <v/>
      </c>
      <c r="AN3459">
        <f>IF($AJ3459=1,IFERROR(IF(VALUE($C3459)&lt;100000000,VALUE($C3459),1000000000),IFERROR(IF(VALUE(MID($C3459,2,20))&lt;100000000,VALUE(MID($C3459,2,20)),1000000000),1000000000))+ROW()/100000,"")</f>
        <v/>
      </c>
    </row>
    <row r="3460">
      <c r="E3460" s="11" t="n"/>
      <c r="M3460" s="7">
        <f>IF($C3460="","",L3460*U3460/100)</f>
        <v/>
      </c>
      <c r="N3460" s="7" t="n"/>
      <c r="T3460" s="7" t="n"/>
      <c r="U3460" s="7">
        <f>IF($C3460="","",S3460*T3460)</f>
        <v/>
      </c>
      <c r="X3460">
        <f>IF($C3460="","",IF($AM3460=1,0,IF($AL3460=1,Settings!$C$6,Settings!$C$7))*100)</f>
        <v/>
      </c>
      <c r="AB3460" s="7" t="n"/>
      <c r="AE3460" s="11" t="n"/>
      <c r="AG3460" s="7">
        <f>IF($C3460="","",U3460*X3460/100)</f>
        <v/>
      </c>
      <c r="AH3460" s="7">
        <f>IF($C3460="","",U3460-AG3460)</f>
        <v/>
      </c>
      <c r="AI3460" s="7">
        <f>IF($C3460="","",AH3460-M3460)</f>
        <v/>
      </c>
      <c r="AJ3460">
        <f>IF($C3460="","",IF(COUNTIF($C$2:$C3460,$C3460)=1,1,0))</f>
        <v/>
      </c>
      <c r="AK3460">
        <f>IF($AJ3460=1,SUMPRODUCT(--($AN$2:$AN$4001&lt;$AN3460))+1,"")</f>
        <v/>
      </c>
      <c r="AL3460">
        <f>IF($C3460="","",IF(OR($Q3460=TRUE(),$Q3460="TRUE"),1,0))</f>
        <v/>
      </c>
      <c r="AM3460">
        <f>IF($C3460="","",IF($W3460="Yes",1,0))</f>
        <v/>
      </c>
      <c r="AN3460">
        <f>IF($AJ3460=1,IFERROR(IF(VALUE($C3460)&lt;100000000,VALUE($C3460),1000000000),IFERROR(IF(VALUE(MID($C3460,2,20))&lt;100000000,VALUE(MID($C3460,2,20)),1000000000),1000000000))+ROW()/100000,"")</f>
        <v/>
      </c>
    </row>
    <row r="3461">
      <c r="E3461" s="11" t="n"/>
      <c r="M3461" s="7">
        <f>IF($C3461="","",L3461*U3461/100)</f>
        <v/>
      </c>
      <c r="N3461" s="7" t="n"/>
      <c r="T3461" s="7" t="n"/>
      <c r="U3461" s="7">
        <f>IF($C3461="","",S3461*T3461)</f>
        <v/>
      </c>
      <c r="X3461">
        <f>IF($C3461="","",IF($AM3461=1,0,IF($AL3461=1,Settings!$C$6,Settings!$C$7))*100)</f>
        <v/>
      </c>
      <c r="AB3461" s="7" t="n"/>
      <c r="AE3461" s="11" t="n"/>
      <c r="AG3461" s="7">
        <f>IF($C3461="","",U3461*X3461/100)</f>
        <v/>
      </c>
      <c r="AH3461" s="7">
        <f>IF($C3461="","",U3461-AG3461)</f>
        <v/>
      </c>
      <c r="AI3461" s="7">
        <f>IF($C3461="","",AH3461-M3461)</f>
        <v/>
      </c>
      <c r="AJ3461">
        <f>IF($C3461="","",IF(COUNTIF($C$2:$C3461,$C3461)=1,1,0))</f>
        <v/>
      </c>
      <c r="AK3461">
        <f>IF($AJ3461=1,SUMPRODUCT(--($AN$2:$AN$4001&lt;$AN3461))+1,"")</f>
        <v/>
      </c>
      <c r="AL3461">
        <f>IF($C3461="","",IF(OR($Q3461=TRUE(),$Q3461="TRUE"),1,0))</f>
        <v/>
      </c>
      <c r="AM3461">
        <f>IF($C3461="","",IF($W3461="Yes",1,0))</f>
        <v/>
      </c>
      <c r="AN3461">
        <f>IF($AJ3461=1,IFERROR(IF(VALUE($C3461)&lt;100000000,VALUE($C3461),1000000000),IFERROR(IF(VALUE(MID($C3461,2,20))&lt;100000000,VALUE(MID($C3461,2,20)),1000000000),1000000000))+ROW()/100000,"")</f>
        <v/>
      </c>
    </row>
    <row r="3462">
      <c r="E3462" s="11" t="n"/>
      <c r="M3462" s="7">
        <f>IF($C3462="","",L3462*U3462/100)</f>
        <v/>
      </c>
      <c r="N3462" s="7" t="n"/>
      <c r="T3462" s="7" t="n"/>
      <c r="U3462" s="7">
        <f>IF($C3462="","",S3462*T3462)</f>
        <v/>
      </c>
      <c r="X3462">
        <f>IF($C3462="","",IF($AM3462=1,0,IF($AL3462=1,Settings!$C$6,Settings!$C$7))*100)</f>
        <v/>
      </c>
      <c r="AB3462" s="7" t="n"/>
      <c r="AE3462" s="11" t="n"/>
      <c r="AG3462" s="7">
        <f>IF($C3462="","",U3462*X3462/100)</f>
        <v/>
      </c>
      <c r="AH3462" s="7">
        <f>IF($C3462="","",U3462-AG3462)</f>
        <v/>
      </c>
      <c r="AI3462" s="7">
        <f>IF($C3462="","",AH3462-M3462)</f>
        <v/>
      </c>
      <c r="AJ3462">
        <f>IF($C3462="","",IF(COUNTIF($C$2:$C3462,$C3462)=1,1,0))</f>
        <v/>
      </c>
      <c r="AK3462">
        <f>IF($AJ3462=1,SUMPRODUCT(--($AN$2:$AN$4001&lt;$AN3462))+1,"")</f>
        <v/>
      </c>
      <c r="AL3462">
        <f>IF($C3462="","",IF(OR($Q3462=TRUE(),$Q3462="TRUE"),1,0))</f>
        <v/>
      </c>
      <c r="AM3462">
        <f>IF($C3462="","",IF($W3462="Yes",1,0))</f>
        <v/>
      </c>
      <c r="AN3462">
        <f>IF($AJ3462=1,IFERROR(IF(VALUE($C3462)&lt;100000000,VALUE($C3462),1000000000),IFERROR(IF(VALUE(MID($C3462,2,20))&lt;100000000,VALUE(MID($C3462,2,20)),1000000000),1000000000))+ROW()/100000,"")</f>
        <v/>
      </c>
    </row>
    <row r="3463">
      <c r="E3463" s="11" t="n"/>
      <c r="M3463" s="7">
        <f>IF($C3463="","",L3463*U3463/100)</f>
        <v/>
      </c>
      <c r="N3463" s="7" t="n"/>
      <c r="T3463" s="7" t="n"/>
      <c r="U3463" s="7">
        <f>IF($C3463="","",S3463*T3463)</f>
        <v/>
      </c>
      <c r="X3463">
        <f>IF($C3463="","",IF($AM3463=1,0,IF($AL3463=1,Settings!$C$6,Settings!$C$7))*100)</f>
        <v/>
      </c>
      <c r="AB3463" s="7" t="n"/>
      <c r="AE3463" s="11" t="n"/>
      <c r="AG3463" s="7">
        <f>IF($C3463="","",U3463*X3463/100)</f>
        <v/>
      </c>
      <c r="AH3463" s="7">
        <f>IF($C3463="","",U3463-AG3463)</f>
        <v/>
      </c>
      <c r="AI3463" s="7">
        <f>IF($C3463="","",AH3463-M3463)</f>
        <v/>
      </c>
      <c r="AJ3463">
        <f>IF($C3463="","",IF(COUNTIF($C$2:$C3463,$C3463)=1,1,0))</f>
        <v/>
      </c>
      <c r="AK3463">
        <f>IF($AJ3463=1,SUMPRODUCT(--($AN$2:$AN$4001&lt;$AN3463))+1,"")</f>
        <v/>
      </c>
      <c r="AL3463">
        <f>IF($C3463="","",IF(OR($Q3463=TRUE(),$Q3463="TRUE"),1,0))</f>
        <v/>
      </c>
      <c r="AM3463">
        <f>IF($C3463="","",IF($W3463="Yes",1,0))</f>
        <v/>
      </c>
      <c r="AN3463">
        <f>IF($AJ3463=1,IFERROR(IF(VALUE($C3463)&lt;100000000,VALUE($C3463),1000000000),IFERROR(IF(VALUE(MID($C3463,2,20))&lt;100000000,VALUE(MID($C3463,2,20)),1000000000),1000000000))+ROW()/100000,"")</f>
        <v/>
      </c>
    </row>
    <row r="3464">
      <c r="E3464" s="11" t="n"/>
      <c r="M3464" s="7">
        <f>IF($C3464="","",L3464*U3464/100)</f>
        <v/>
      </c>
      <c r="N3464" s="7" t="n"/>
      <c r="T3464" s="7" t="n"/>
      <c r="U3464" s="7">
        <f>IF($C3464="","",S3464*T3464)</f>
        <v/>
      </c>
      <c r="X3464">
        <f>IF($C3464="","",IF($AM3464=1,0,IF($AL3464=1,Settings!$C$6,Settings!$C$7))*100)</f>
        <v/>
      </c>
      <c r="AB3464" s="7" t="n"/>
      <c r="AE3464" s="11" t="n"/>
      <c r="AG3464" s="7">
        <f>IF($C3464="","",U3464*X3464/100)</f>
        <v/>
      </c>
      <c r="AH3464" s="7">
        <f>IF($C3464="","",U3464-AG3464)</f>
        <v/>
      </c>
      <c r="AI3464" s="7">
        <f>IF($C3464="","",AH3464-M3464)</f>
        <v/>
      </c>
      <c r="AJ3464">
        <f>IF($C3464="","",IF(COUNTIF($C$2:$C3464,$C3464)=1,1,0))</f>
        <v/>
      </c>
      <c r="AK3464">
        <f>IF($AJ3464=1,SUMPRODUCT(--($AN$2:$AN$4001&lt;$AN3464))+1,"")</f>
        <v/>
      </c>
      <c r="AL3464">
        <f>IF($C3464="","",IF(OR($Q3464=TRUE(),$Q3464="TRUE"),1,0))</f>
        <v/>
      </c>
      <c r="AM3464">
        <f>IF($C3464="","",IF($W3464="Yes",1,0))</f>
        <v/>
      </c>
      <c r="AN3464">
        <f>IF($AJ3464=1,IFERROR(IF(VALUE($C3464)&lt;100000000,VALUE($C3464),1000000000),IFERROR(IF(VALUE(MID($C3464,2,20))&lt;100000000,VALUE(MID($C3464,2,20)),1000000000),1000000000))+ROW()/100000,"")</f>
        <v/>
      </c>
    </row>
    <row r="3465">
      <c r="E3465" s="11" t="n"/>
      <c r="M3465" s="7">
        <f>IF($C3465="","",L3465*U3465/100)</f>
        <v/>
      </c>
      <c r="N3465" s="7" t="n"/>
      <c r="T3465" s="7" t="n"/>
      <c r="U3465" s="7">
        <f>IF($C3465="","",S3465*T3465)</f>
        <v/>
      </c>
      <c r="X3465">
        <f>IF($C3465="","",IF($AM3465=1,0,IF($AL3465=1,Settings!$C$6,Settings!$C$7))*100)</f>
        <v/>
      </c>
      <c r="AB3465" s="7" t="n"/>
      <c r="AE3465" s="11" t="n"/>
      <c r="AG3465" s="7">
        <f>IF($C3465="","",U3465*X3465/100)</f>
        <v/>
      </c>
      <c r="AH3465" s="7">
        <f>IF($C3465="","",U3465-AG3465)</f>
        <v/>
      </c>
      <c r="AI3465" s="7">
        <f>IF($C3465="","",AH3465-M3465)</f>
        <v/>
      </c>
      <c r="AJ3465">
        <f>IF($C3465="","",IF(COUNTIF($C$2:$C3465,$C3465)=1,1,0))</f>
        <v/>
      </c>
      <c r="AK3465">
        <f>IF($AJ3465=1,SUMPRODUCT(--($AN$2:$AN$4001&lt;$AN3465))+1,"")</f>
        <v/>
      </c>
      <c r="AL3465">
        <f>IF($C3465="","",IF(OR($Q3465=TRUE(),$Q3465="TRUE"),1,0))</f>
        <v/>
      </c>
      <c r="AM3465">
        <f>IF($C3465="","",IF($W3465="Yes",1,0))</f>
        <v/>
      </c>
      <c r="AN3465">
        <f>IF($AJ3465=1,IFERROR(IF(VALUE($C3465)&lt;100000000,VALUE($C3465),1000000000),IFERROR(IF(VALUE(MID($C3465,2,20))&lt;100000000,VALUE(MID($C3465,2,20)),1000000000),1000000000))+ROW()/100000,"")</f>
        <v/>
      </c>
    </row>
    <row r="3466">
      <c r="E3466" s="11" t="n"/>
      <c r="M3466" s="7">
        <f>IF($C3466="","",L3466*U3466/100)</f>
        <v/>
      </c>
      <c r="N3466" s="7" t="n"/>
      <c r="T3466" s="7" t="n"/>
      <c r="U3466" s="7">
        <f>IF($C3466="","",S3466*T3466)</f>
        <v/>
      </c>
      <c r="X3466">
        <f>IF($C3466="","",IF($AM3466=1,0,IF($AL3466=1,Settings!$C$6,Settings!$C$7))*100)</f>
        <v/>
      </c>
      <c r="AB3466" s="7" t="n"/>
      <c r="AE3466" s="11" t="n"/>
      <c r="AG3466" s="7">
        <f>IF($C3466="","",U3466*X3466/100)</f>
        <v/>
      </c>
      <c r="AH3466" s="7">
        <f>IF($C3466="","",U3466-AG3466)</f>
        <v/>
      </c>
      <c r="AI3466" s="7">
        <f>IF($C3466="","",AH3466-M3466)</f>
        <v/>
      </c>
      <c r="AJ3466">
        <f>IF($C3466="","",IF(COUNTIF($C$2:$C3466,$C3466)=1,1,0))</f>
        <v/>
      </c>
      <c r="AK3466">
        <f>IF($AJ3466=1,SUMPRODUCT(--($AN$2:$AN$4001&lt;$AN3466))+1,"")</f>
        <v/>
      </c>
      <c r="AL3466">
        <f>IF($C3466="","",IF(OR($Q3466=TRUE(),$Q3466="TRUE"),1,0))</f>
        <v/>
      </c>
      <c r="AM3466">
        <f>IF($C3466="","",IF($W3466="Yes",1,0))</f>
        <v/>
      </c>
      <c r="AN3466">
        <f>IF($AJ3466=1,IFERROR(IF(VALUE($C3466)&lt;100000000,VALUE($C3466),1000000000),IFERROR(IF(VALUE(MID($C3466,2,20))&lt;100000000,VALUE(MID($C3466,2,20)),1000000000),1000000000))+ROW()/100000,"")</f>
        <v/>
      </c>
    </row>
    <row r="3467">
      <c r="E3467" s="11" t="n"/>
      <c r="M3467" s="7">
        <f>IF($C3467="","",L3467*U3467/100)</f>
        <v/>
      </c>
      <c r="N3467" s="7" t="n"/>
      <c r="T3467" s="7" t="n"/>
      <c r="U3467" s="7">
        <f>IF($C3467="","",S3467*T3467)</f>
        <v/>
      </c>
      <c r="X3467">
        <f>IF($C3467="","",IF($AM3467=1,0,IF($AL3467=1,Settings!$C$6,Settings!$C$7))*100)</f>
        <v/>
      </c>
      <c r="AB3467" s="7" t="n"/>
      <c r="AE3467" s="11" t="n"/>
      <c r="AG3467" s="7">
        <f>IF($C3467="","",U3467*X3467/100)</f>
        <v/>
      </c>
      <c r="AH3467" s="7">
        <f>IF($C3467="","",U3467-AG3467)</f>
        <v/>
      </c>
      <c r="AI3467" s="7">
        <f>IF($C3467="","",AH3467-M3467)</f>
        <v/>
      </c>
      <c r="AJ3467">
        <f>IF($C3467="","",IF(COUNTIF($C$2:$C3467,$C3467)=1,1,0))</f>
        <v/>
      </c>
      <c r="AK3467">
        <f>IF($AJ3467=1,SUMPRODUCT(--($AN$2:$AN$4001&lt;$AN3467))+1,"")</f>
        <v/>
      </c>
      <c r="AL3467">
        <f>IF($C3467="","",IF(OR($Q3467=TRUE(),$Q3467="TRUE"),1,0))</f>
        <v/>
      </c>
      <c r="AM3467">
        <f>IF($C3467="","",IF($W3467="Yes",1,0))</f>
        <v/>
      </c>
      <c r="AN3467">
        <f>IF($AJ3467=1,IFERROR(IF(VALUE($C3467)&lt;100000000,VALUE($C3467),1000000000),IFERROR(IF(VALUE(MID($C3467,2,20))&lt;100000000,VALUE(MID($C3467,2,20)),1000000000),1000000000))+ROW()/100000,"")</f>
        <v/>
      </c>
    </row>
    <row r="3468">
      <c r="E3468" s="11" t="n"/>
      <c r="M3468" s="7">
        <f>IF($C3468="","",L3468*U3468/100)</f>
        <v/>
      </c>
      <c r="N3468" s="7" t="n"/>
      <c r="T3468" s="7" t="n"/>
      <c r="U3468" s="7">
        <f>IF($C3468="","",S3468*T3468)</f>
        <v/>
      </c>
      <c r="X3468">
        <f>IF($C3468="","",IF($AM3468=1,0,IF($AL3468=1,Settings!$C$6,Settings!$C$7))*100)</f>
        <v/>
      </c>
      <c r="AB3468" s="7" t="n"/>
      <c r="AE3468" s="11" t="n"/>
      <c r="AG3468" s="7">
        <f>IF($C3468="","",U3468*X3468/100)</f>
        <v/>
      </c>
      <c r="AH3468" s="7">
        <f>IF($C3468="","",U3468-AG3468)</f>
        <v/>
      </c>
      <c r="AI3468" s="7">
        <f>IF($C3468="","",AH3468-M3468)</f>
        <v/>
      </c>
      <c r="AJ3468">
        <f>IF($C3468="","",IF(COUNTIF($C$2:$C3468,$C3468)=1,1,0))</f>
        <v/>
      </c>
      <c r="AK3468">
        <f>IF($AJ3468=1,SUMPRODUCT(--($AN$2:$AN$4001&lt;$AN3468))+1,"")</f>
        <v/>
      </c>
      <c r="AL3468">
        <f>IF($C3468="","",IF(OR($Q3468=TRUE(),$Q3468="TRUE"),1,0))</f>
        <v/>
      </c>
      <c r="AM3468">
        <f>IF($C3468="","",IF($W3468="Yes",1,0))</f>
        <v/>
      </c>
      <c r="AN3468">
        <f>IF($AJ3468=1,IFERROR(IF(VALUE($C3468)&lt;100000000,VALUE($C3468),1000000000),IFERROR(IF(VALUE(MID($C3468,2,20))&lt;100000000,VALUE(MID($C3468,2,20)),1000000000),1000000000))+ROW()/100000,"")</f>
        <v/>
      </c>
    </row>
    <row r="3469">
      <c r="E3469" s="11" t="n"/>
      <c r="M3469" s="7">
        <f>IF($C3469="","",L3469*U3469/100)</f>
        <v/>
      </c>
      <c r="N3469" s="7" t="n"/>
      <c r="T3469" s="7" t="n"/>
      <c r="U3469" s="7">
        <f>IF($C3469="","",S3469*T3469)</f>
        <v/>
      </c>
      <c r="X3469">
        <f>IF($C3469="","",IF($AM3469=1,0,IF($AL3469=1,Settings!$C$6,Settings!$C$7))*100)</f>
        <v/>
      </c>
      <c r="AB3469" s="7" t="n"/>
      <c r="AE3469" s="11" t="n"/>
      <c r="AG3469" s="7">
        <f>IF($C3469="","",U3469*X3469/100)</f>
        <v/>
      </c>
      <c r="AH3469" s="7">
        <f>IF($C3469="","",U3469-AG3469)</f>
        <v/>
      </c>
      <c r="AI3469" s="7">
        <f>IF($C3469="","",AH3469-M3469)</f>
        <v/>
      </c>
      <c r="AJ3469">
        <f>IF($C3469="","",IF(COUNTIF($C$2:$C3469,$C3469)=1,1,0))</f>
        <v/>
      </c>
      <c r="AK3469">
        <f>IF($AJ3469=1,SUMPRODUCT(--($AN$2:$AN$4001&lt;$AN3469))+1,"")</f>
        <v/>
      </c>
      <c r="AL3469">
        <f>IF($C3469="","",IF(OR($Q3469=TRUE(),$Q3469="TRUE"),1,0))</f>
        <v/>
      </c>
      <c r="AM3469">
        <f>IF($C3469="","",IF($W3469="Yes",1,0))</f>
        <v/>
      </c>
      <c r="AN3469">
        <f>IF($AJ3469=1,IFERROR(IF(VALUE($C3469)&lt;100000000,VALUE($C3469),1000000000),IFERROR(IF(VALUE(MID($C3469,2,20))&lt;100000000,VALUE(MID($C3469,2,20)),1000000000),1000000000))+ROW()/100000,"")</f>
        <v/>
      </c>
    </row>
    <row r="3470">
      <c r="E3470" s="11" t="n"/>
      <c r="M3470" s="7">
        <f>IF($C3470="","",L3470*U3470/100)</f>
        <v/>
      </c>
      <c r="N3470" s="7" t="n"/>
      <c r="T3470" s="7" t="n"/>
      <c r="U3470" s="7">
        <f>IF($C3470="","",S3470*T3470)</f>
        <v/>
      </c>
      <c r="X3470">
        <f>IF($C3470="","",IF($AM3470=1,0,IF($AL3470=1,Settings!$C$6,Settings!$C$7))*100)</f>
        <v/>
      </c>
      <c r="AB3470" s="7" t="n"/>
      <c r="AE3470" s="11" t="n"/>
      <c r="AG3470" s="7">
        <f>IF($C3470="","",U3470*X3470/100)</f>
        <v/>
      </c>
      <c r="AH3470" s="7">
        <f>IF($C3470="","",U3470-AG3470)</f>
        <v/>
      </c>
      <c r="AI3470" s="7">
        <f>IF($C3470="","",AH3470-M3470)</f>
        <v/>
      </c>
      <c r="AJ3470">
        <f>IF($C3470="","",IF(COUNTIF($C$2:$C3470,$C3470)=1,1,0))</f>
        <v/>
      </c>
      <c r="AK3470">
        <f>IF($AJ3470=1,SUMPRODUCT(--($AN$2:$AN$4001&lt;$AN3470))+1,"")</f>
        <v/>
      </c>
      <c r="AL3470">
        <f>IF($C3470="","",IF(OR($Q3470=TRUE(),$Q3470="TRUE"),1,0))</f>
        <v/>
      </c>
      <c r="AM3470">
        <f>IF($C3470="","",IF($W3470="Yes",1,0))</f>
        <v/>
      </c>
      <c r="AN3470">
        <f>IF($AJ3470=1,IFERROR(IF(VALUE($C3470)&lt;100000000,VALUE($C3470),1000000000),IFERROR(IF(VALUE(MID($C3470,2,20))&lt;100000000,VALUE(MID($C3470,2,20)),1000000000),1000000000))+ROW()/100000,"")</f>
        <v/>
      </c>
    </row>
    <row r="3471">
      <c r="E3471" s="11" t="n"/>
      <c r="M3471" s="7">
        <f>IF($C3471="","",L3471*U3471/100)</f>
        <v/>
      </c>
      <c r="N3471" s="7" t="n"/>
      <c r="T3471" s="7" t="n"/>
      <c r="U3471" s="7">
        <f>IF($C3471="","",S3471*T3471)</f>
        <v/>
      </c>
      <c r="X3471">
        <f>IF($C3471="","",IF($AM3471=1,0,IF($AL3471=1,Settings!$C$6,Settings!$C$7))*100)</f>
        <v/>
      </c>
      <c r="AB3471" s="7" t="n"/>
      <c r="AE3471" s="11" t="n"/>
      <c r="AG3471" s="7">
        <f>IF($C3471="","",U3471*X3471/100)</f>
        <v/>
      </c>
      <c r="AH3471" s="7">
        <f>IF($C3471="","",U3471-AG3471)</f>
        <v/>
      </c>
      <c r="AI3471" s="7">
        <f>IF($C3471="","",AH3471-M3471)</f>
        <v/>
      </c>
      <c r="AJ3471">
        <f>IF($C3471="","",IF(COUNTIF($C$2:$C3471,$C3471)=1,1,0))</f>
        <v/>
      </c>
      <c r="AK3471">
        <f>IF($AJ3471=1,SUMPRODUCT(--($AN$2:$AN$4001&lt;$AN3471))+1,"")</f>
        <v/>
      </c>
      <c r="AL3471">
        <f>IF($C3471="","",IF(OR($Q3471=TRUE(),$Q3471="TRUE"),1,0))</f>
        <v/>
      </c>
      <c r="AM3471">
        <f>IF($C3471="","",IF($W3471="Yes",1,0))</f>
        <v/>
      </c>
      <c r="AN3471">
        <f>IF($AJ3471=1,IFERROR(IF(VALUE($C3471)&lt;100000000,VALUE($C3471),1000000000),IFERROR(IF(VALUE(MID($C3471,2,20))&lt;100000000,VALUE(MID($C3471,2,20)),1000000000),1000000000))+ROW()/100000,"")</f>
        <v/>
      </c>
    </row>
    <row r="3472">
      <c r="E3472" s="11" t="n"/>
      <c r="M3472" s="7">
        <f>IF($C3472="","",L3472*U3472/100)</f>
        <v/>
      </c>
      <c r="N3472" s="7" t="n"/>
      <c r="T3472" s="7" t="n"/>
      <c r="U3472" s="7">
        <f>IF($C3472="","",S3472*T3472)</f>
        <v/>
      </c>
      <c r="X3472">
        <f>IF($C3472="","",IF($AM3472=1,0,IF($AL3472=1,Settings!$C$6,Settings!$C$7))*100)</f>
        <v/>
      </c>
      <c r="AB3472" s="7" t="n"/>
      <c r="AE3472" s="11" t="n"/>
      <c r="AG3472" s="7">
        <f>IF($C3472="","",U3472*X3472/100)</f>
        <v/>
      </c>
      <c r="AH3472" s="7">
        <f>IF($C3472="","",U3472-AG3472)</f>
        <v/>
      </c>
      <c r="AI3472" s="7">
        <f>IF($C3472="","",AH3472-M3472)</f>
        <v/>
      </c>
      <c r="AJ3472">
        <f>IF($C3472="","",IF(COUNTIF($C$2:$C3472,$C3472)=1,1,0))</f>
        <v/>
      </c>
      <c r="AK3472">
        <f>IF($AJ3472=1,SUMPRODUCT(--($AN$2:$AN$4001&lt;$AN3472))+1,"")</f>
        <v/>
      </c>
      <c r="AL3472">
        <f>IF($C3472="","",IF(OR($Q3472=TRUE(),$Q3472="TRUE"),1,0))</f>
        <v/>
      </c>
      <c r="AM3472">
        <f>IF($C3472="","",IF($W3472="Yes",1,0))</f>
        <v/>
      </c>
      <c r="AN3472">
        <f>IF($AJ3472=1,IFERROR(IF(VALUE($C3472)&lt;100000000,VALUE($C3472),1000000000),IFERROR(IF(VALUE(MID($C3472,2,20))&lt;100000000,VALUE(MID($C3472,2,20)),1000000000),1000000000))+ROW()/100000,"")</f>
        <v/>
      </c>
    </row>
    <row r="3473">
      <c r="E3473" s="11" t="n"/>
      <c r="M3473" s="7">
        <f>IF($C3473="","",L3473*U3473/100)</f>
        <v/>
      </c>
      <c r="N3473" s="7" t="n"/>
      <c r="T3473" s="7" t="n"/>
      <c r="U3473" s="7">
        <f>IF($C3473="","",S3473*T3473)</f>
        <v/>
      </c>
      <c r="X3473">
        <f>IF($C3473="","",IF($AM3473=1,0,IF($AL3473=1,Settings!$C$6,Settings!$C$7))*100)</f>
        <v/>
      </c>
      <c r="AB3473" s="7" t="n"/>
      <c r="AE3473" s="11" t="n"/>
      <c r="AG3473" s="7">
        <f>IF($C3473="","",U3473*X3473/100)</f>
        <v/>
      </c>
      <c r="AH3473" s="7">
        <f>IF($C3473="","",U3473-AG3473)</f>
        <v/>
      </c>
      <c r="AI3473" s="7">
        <f>IF($C3473="","",AH3473-M3473)</f>
        <v/>
      </c>
      <c r="AJ3473">
        <f>IF($C3473="","",IF(COUNTIF($C$2:$C3473,$C3473)=1,1,0))</f>
        <v/>
      </c>
      <c r="AK3473">
        <f>IF($AJ3473=1,SUMPRODUCT(--($AN$2:$AN$4001&lt;$AN3473))+1,"")</f>
        <v/>
      </c>
      <c r="AL3473">
        <f>IF($C3473="","",IF(OR($Q3473=TRUE(),$Q3473="TRUE"),1,0))</f>
        <v/>
      </c>
      <c r="AM3473">
        <f>IF($C3473="","",IF($W3473="Yes",1,0))</f>
        <v/>
      </c>
      <c r="AN3473">
        <f>IF($AJ3473=1,IFERROR(IF(VALUE($C3473)&lt;100000000,VALUE($C3473),1000000000),IFERROR(IF(VALUE(MID($C3473,2,20))&lt;100000000,VALUE(MID($C3473,2,20)),1000000000),1000000000))+ROW()/100000,"")</f>
        <v/>
      </c>
    </row>
    <row r="3474">
      <c r="E3474" s="11" t="n"/>
      <c r="M3474" s="7">
        <f>IF($C3474="","",L3474*U3474/100)</f>
        <v/>
      </c>
      <c r="N3474" s="7" t="n"/>
      <c r="T3474" s="7" t="n"/>
      <c r="U3474" s="7">
        <f>IF($C3474="","",S3474*T3474)</f>
        <v/>
      </c>
      <c r="X3474">
        <f>IF($C3474="","",IF($AM3474=1,0,IF($AL3474=1,Settings!$C$6,Settings!$C$7))*100)</f>
        <v/>
      </c>
      <c r="AB3474" s="7" t="n"/>
      <c r="AE3474" s="11" t="n"/>
      <c r="AG3474" s="7">
        <f>IF($C3474="","",U3474*X3474/100)</f>
        <v/>
      </c>
      <c r="AH3474" s="7">
        <f>IF($C3474="","",U3474-AG3474)</f>
        <v/>
      </c>
      <c r="AI3474" s="7">
        <f>IF($C3474="","",AH3474-M3474)</f>
        <v/>
      </c>
      <c r="AJ3474">
        <f>IF($C3474="","",IF(COUNTIF($C$2:$C3474,$C3474)=1,1,0))</f>
        <v/>
      </c>
      <c r="AK3474">
        <f>IF($AJ3474=1,SUMPRODUCT(--($AN$2:$AN$4001&lt;$AN3474))+1,"")</f>
        <v/>
      </c>
      <c r="AL3474">
        <f>IF($C3474="","",IF(OR($Q3474=TRUE(),$Q3474="TRUE"),1,0))</f>
        <v/>
      </c>
      <c r="AM3474">
        <f>IF($C3474="","",IF($W3474="Yes",1,0))</f>
        <v/>
      </c>
      <c r="AN3474">
        <f>IF($AJ3474=1,IFERROR(IF(VALUE($C3474)&lt;100000000,VALUE($C3474),1000000000),IFERROR(IF(VALUE(MID($C3474,2,20))&lt;100000000,VALUE(MID($C3474,2,20)),1000000000),1000000000))+ROW()/100000,"")</f>
        <v/>
      </c>
    </row>
    <row r="3475">
      <c r="E3475" s="11" t="n"/>
      <c r="M3475" s="7">
        <f>IF($C3475="","",L3475*U3475/100)</f>
        <v/>
      </c>
      <c r="N3475" s="7" t="n"/>
      <c r="T3475" s="7" t="n"/>
      <c r="U3475" s="7">
        <f>IF($C3475="","",S3475*T3475)</f>
        <v/>
      </c>
      <c r="X3475">
        <f>IF($C3475="","",IF($AM3475=1,0,IF($AL3475=1,Settings!$C$6,Settings!$C$7))*100)</f>
        <v/>
      </c>
      <c r="AB3475" s="7" t="n"/>
      <c r="AE3475" s="11" t="n"/>
      <c r="AG3475" s="7">
        <f>IF($C3475="","",U3475*X3475/100)</f>
        <v/>
      </c>
      <c r="AH3475" s="7">
        <f>IF($C3475="","",U3475-AG3475)</f>
        <v/>
      </c>
      <c r="AI3475" s="7">
        <f>IF($C3475="","",AH3475-M3475)</f>
        <v/>
      </c>
      <c r="AJ3475">
        <f>IF($C3475="","",IF(COUNTIF($C$2:$C3475,$C3475)=1,1,0))</f>
        <v/>
      </c>
      <c r="AK3475">
        <f>IF($AJ3475=1,SUMPRODUCT(--($AN$2:$AN$4001&lt;$AN3475))+1,"")</f>
        <v/>
      </c>
      <c r="AL3475">
        <f>IF($C3475="","",IF(OR($Q3475=TRUE(),$Q3475="TRUE"),1,0))</f>
        <v/>
      </c>
      <c r="AM3475">
        <f>IF($C3475="","",IF($W3475="Yes",1,0))</f>
        <v/>
      </c>
      <c r="AN3475">
        <f>IF($AJ3475=1,IFERROR(IF(VALUE($C3475)&lt;100000000,VALUE($C3475),1000000000),IFERROR(IF(VALUE(MID($C3475,2,20))&lt;100000000,VALUE(MID($C3475,2,20)),1000000000),1000000000))+ROW()/100000,"")</f>
        <v/>
      </c>
    </row>
    <row r="3476">
      <c r="E3476" s="11" t="n"/>
      <c r="M3476" s="7">
        <f>IF($C3476="","",L3476*U3476/100)</f>
        <v/>
      </c>
      <c r="N3476" s="7" t="n"/>
      <c r="T3476" s="7" t="n"/>
      <c r="U3476" s="7">
        <f>IF($C3476="","",S3476*T3476)</f>
        <v/>
      </c>
      <c r="X3476">
        <f>IF($C3476="","",IF($AM3476=1,0,IF($AL3476=1,Settings!$C$6,Settings!$C$7))*100)</f>
        <v/>
      </c>
      <c r="AB3476" s="7" t="n"/>
      <c r="AE3476" s="11" t="n"/>
      <c r="AG3476" s="7">
        <f>IF($C3476="","",U3476*X3476/100)</f>
        <v/>
      </c>
      <c r="AH3476" s="7">
        <f>IF($C3476="","",U3476-AG3476)</f>
        <v/>
      </c>
      <c r="AI3476" s="7">
        <f>IF($C3476="","",AH3476-M3476)</f>
        <v/>
      </c>
      <c r="AJ3476">
        <f>IF($C3476="","",IF(COUNTIF($C$2:$C3476,$C3476)=1,1,0))</f>
        <v/>
      </c>
      <c r="AK3476">
        <f>IF($AJ3476=1,SUMPRODUCT(--($AN$2:$AN$4001&lt;$AN3476))+1,"")</f>
        <v/>
      </c>
      <c r="AL3476">
        <f>IF($C3476="","",IF(OR($Q3476=TRUE(),$Q3476="TRUE"),1,0))</f>
        <v/>
      </c>
      <c r="AM3476">
        <f>IF($C3476="","",IF($W3476="Yes",1,0))</f>
        <v/>
      </c>
      <c r="AN3476">
        <f>IF($AJ3476=1,IFERROR(IF(VALUE($C3476)&lt;100000000,VALUE($C3476),1000000000),IFERROR(IF(VALUE(MID($C3476,2,20))&lt;100000000,VALUE(MID($C3476,2,20)),1000000000),1000000000))+ROW()/100000,"")</f>
        <v/>
      </c>
    </row>
    <row r="3477">
      <c r="E3477" s="11" t="n"/>
      <c r="M3477" s="7">
        <f>IF($C3477="","",L3477*U3477/100)</f>
        <v/>
      </c>
      <c r="N3477" s="7" t="n"/>
      <c r="T3477" s="7" t="n"/>
      <c r="U3477" s="7">
        <f>IF($C3477="","",S3477*T3477)</f>
        <v/>
      </c>
      <c r="X3477">
        <f>IF($C3477="","",IF($AM3477=1,0,IF($AL3477=1,Settings!$C$6,Settings!$C$7))*100)</f>
        <v/>
      </c>
      <c r="AB3477" s="7" t="n"/>
      <c r="AE3477" s="11" t="n"/>
      <c r="AG3477" s="7">
        <f>IF($C3477="","",U3477*X3477/100)</f>
        <v/>
      </c>
      <c r="AH3477" s="7">
        <f>IF($C3477="","",U3477-AG3477)</f>
        <v/>
      </c>
      <c r="AI3477" s="7">
        <f>IF($C3477="","",AH3477-M3477)</f>
        <v/>
      </c>
      <c r="AJ3477">
        <f>IF($C3477="","",IF(COUNTIF($C$2:$C3477,$C3477)=1,1,0))</f>
        <v/>
      </c>
      <c r="AK3477">
        <f>IF($AJ3477=1,SUMPRODUCT(--($AN$2:$AN$4001&lt;$AN3477))+1,"")</f>
        <v/>
      </c>
      <c r="AL3477">
        <f>IF($C3477="","",IF(OR($Q3477=TRUE(),$Q3477="TRUE"),1,0))</f>
        <v/>
      </c>
      <c r="AM3477">
        <f>IF($C3477="","",IF($W3477="Yes",1,0))</f>
        <v/>
      </c>
      <c r="AN3477">
        <f>IF($AJ3477=1,IFERROR(IF(VALUE($C3477)&lt;100000000,VALUE($C3477),1000000000),IFERROR(IF(VALUE(MID($C3477,2,20))&lt;100000000,VALUE(MID($C3477,2,20)),1000000000),1000000000))+ROW()/100000,"")</f>
        <v/>
      </c>
    </row>
    <row r="3478">
      <c r="E3478" s="11" t="n"/>
      <c r="M3478" s="7">
        <f>IF($C3478="","",L3478*U3478/100)</f>
        <v/>
      </c>
      <c r="N3478" s="7" t="n"/>
      <c r="T3478" s="7" t="n"/>
      <c r="U3478" s="7">
        <f>IF($C3478="","",S3478*T3478)</f>
        <v/>
      </c>
      <c r="X3478">
        <f>IF($C3478="","",IF($AM3478=1,0,IF($AL3478=1,Settings!$C$6,Settings!$C$7))*100)</f>
        <v/>
      </c>
      <c r="AB3478" s="7" t="n"/>
      <c r="AE3478" s="11" t="n"/>
      <c r="AG3478" s="7">
        <f>IF($C3478="","",U3478*X3478/100)</f>
        <v/>
      </c>
      <c r="AH3478" s="7">
        <f>IF($C3478="","",U3478-AG3478)</f>
        <v/>
      </c>
      <c r="AI3478" s="7">
        <f>IF($C3478="","",AH3478-M3478)</f>
        <v/>
      </c>
      <c r="AJ3478">
        <f>IF($C3478="","",IF(COUNTIF($C$2:$C3478,$C3478)=1,1,0))</f>
        <v/>
      </c>
      <c r="AK3478">
        <f>IF($AJ3478=1,SUMPRODUCT(--($AN$2:$AN$4001&lt;$AN3478))+1,"")</f>
        <v/>
      </c>
      <c r="AL3478">
        <f>IF($C3478="","",IF(OR($Q3478=TRUE(),$Q3478="TRUE"),1,0))</f>
        <v/>
      </c>
      <c r="AM3478">
        <f>IF($C3478="","",IF($W3478="Yes",1,0))</f>
        <v/>
      </c>
      <c r="AN3478">
        <f>IF($AJ3478=1,IFERROR(IF(VALUE($C3478)&lt;100000000,VALUE($C3478),1000000000),IFERROR(IF(VALUE(MID($C3478,2,20))&lt;100000000,VALUE(MID($C3478,2,20)),1000000000),1000000000))+ROW()/100000,"")</f>
        <v/>
      </c>
    </row>
    <row r="3479">
      <c r="E3479" s="11" t="n"/>
      <c r="M3479" s="7">
        <f>IF($C3479="","",L3479*U3479/100)</f>
        <v/>
      </c>
      <c r="N3479" s="7" t="n"/>
      <c r="T3479" s="7" t="n"/>
      <c r="U3479" s="7">
        <f>IF($C3479="","",S3479*T3479)</f>
        <v/>
      </c>
      <c r="X3479">
        <f>IF($C3479="","",IF($AM3479=1,0,IF($AL3479=1,Settings!$C$6,Settings!$C$7))*100)</f>
        <v/>
      </c>
      <c r="AB3479" s="7" t="n"/>
      <c r="AE3479" s="11" t="n"/>
      <c r="AG3479" s="7">
        <f>IF($C3479="","",U3479*X3479/100)</f>
        <v/>
      </c>
      <c r="AH3479" s="7">
        <f>IF($C3479="","",U3479-AG3479)</f>
        <v/>
      </c>
      <c r="AI3479" s="7">
        <f>IF($C3479="","",AH3479-M3479)</f>
        <v/>
      </c>
      <c r="AJ3479">
        <f>IF($C3479="","",IF(COUNTIF($C$2:$C3479,$C3479)=1,1,0))</f>
        <v/>
      </c>
      <c r="AK3479">
        <f>IF($AJ3479=1,SUMPRODUCT(--($AN$2:$AN$4001&lt;$AN3479))+1,"")</f>
        <v/>
      </c>
      <c r="AL3479">
        <f>IF($C3479="","",IF(OR($Q3479=TRUE(),$Q3479="TRUE"),1,0))</f>
        <v/>
      </c>
      <c r="AM3479">
        <f>IF($C3479="","",IF($W3479="Yes",1,0))</f>
        <v/>
      </c>
      <c r="AN3479">
        <f>IF($AJ3479=1,IFERROR(IF(VALUE($C3479)&lt;100000000,VALUE($C3479),1000000000),IFERROR(IF(VALUE(MID($C3479,2,20))&lt;100000000,VALUE(MID($C3479,2,20)),1000000000),1000000000))+ROW()/100000,"")</f>
        <v/>
      </c>
    </row>
    <row r="3480">
      <c r="E3480" s="11" t="n"/>
      <c r="M3480" s="7">
        <f>IF($C3480="","",L3480*U3480/100)</f>
        <v/>
      </c>
      <c r="N3480" s="7" t="n"/>
      <c r="T3480" s="7" t="n"/>
      <c r="U3480" s="7">
        <f>IF($C3480="","",S3480*T3480)</f>
        <v/>
      </c>
      <c r="X3480">
        <f>IF($C3480="","",IF($AM3480=1,0,IF($AL3480=1,Settings!$C$6,Settings!$C$7))*100)</f>
        <v/>
      </c>
      <c r="AB3480" s="7" t="n"/>
      <c r="AE3480" s="11" t="n"/>
      <c r="AG3480" s="7">
        <f>IF($C3480="","",U3480*X3480/100)</f>
        <v/>
      </c>
      <c r="AH3480" s="7">
        <f>IF($C3480="","",U3480-AG3480)</f>
        <v/>
      </c>
      <c r="AI3480" s="7">
        <f>IF($C3480="","",AH3480-M3480)</f>
        <v/>
      </c>
      <c r="AJ3480">
        <f>IF($C3480="","",IF(COUNTIF($C$2:$C3480,$C3480)=1,1,0))</f>
        <v/>
      </c>
      <c r="AK3480">
        <f>IF($AJ3480=1,SUMPRODUCT(--($AN$2:$AN$4001&lt;$AN3480))+1,"")</f>
        <v/>
      </c>
      <c r="AL3480">
        <f>IF($C3480="","",IF(OR($Q3480=TRUE(),$Q3480="TRUE"),1,0))</f>
        <v/>
      </c>
      <c r="AM3480">
        <f>IF($C3480="","",IF($W3480="Yes",1,0))</f>
        <v/>
      </c>
      <c r="AN3480">
        <f>IF($AJ3480=1,IFERROR(IF(VALUE($C3480)&lt;100000000,VALUE($C3480),1000000000),IFERROR(IF(VALUE(MID($C3480,2,20))&lt;100000000,VALUE(MID($C3480,2,20)),1000000000),1000000000))+ROW()/100000,"")</f>
        <v/>
      </c>
    </row>
    <row r="3481">
      <c r="E3481" s="11" t="n"/>
      <c r="M3481" s="7">
        <f>IF($C3481="","",L3481*U3481/100)</f>
        <v/>
      </c>
      <c r="N3481" s="7" t="n"/>
      <c r="T3481" s="7" t="n"/>
      <c r="U3481" s="7">
        <f>IF($C3481="","",S3481*T3481)</f>
        <v/>
      </c>
      <c r="X3481">
        <f>IF($C3481="","",IF($AM3481=1,0,IF($AL3481=1,Settings!$C$6,Settings!$C$7))*100)</f>
        <v/>
      </c>
      <c r="AB3481" s="7" t="n"/>
      <c r="AE3481" s="11" t="n"/>
      <c r="AG3481" s="7">
        <f>IF($C3481="","",U3481*X3481/100)</f>
        <v/>
      </c>
      <c r="AH3481" s="7">
        <f>IF($C3481="","",U3481-AG3481)</f>
        <v/>
      </c>
      <c r="AI3481" s="7">
        <f>IF($C3481="","",AH3481-M3481)</f>
        <v/>
      </c>
      <c r="AJ3481">
        <f>IF($C3481="","",IF(COUNTIF($C$2:$C3481,$C3481)=1,1,0))</f>
        <v/>
      </c>
      <c r="AK3481">
        <f>IF($AJ3481=1,SUMPRODUCT(--($AN$2:$AN$4001&lt;$AN3481))+1,"")</f>
        <v/>
      </c>
      <c r="AL3481">
        <f>IF($C3481="","",IF(OR($Q3481=TRUE(),$Q3481="TRUE"),1,0))</f>
        <v/>
      </c>
      <c r="AM3481">
        <f>IF($C3481="","",IF($W3481="Yes",1,0))</f>
        <v/>
      </c>
      <c r="AN3481">
        <f>IF($AJ3481=1,IFERROR(IF(VALUE($C3481)&lt;100000000,VALUE($C3481),1000000000),IFERROR(IF(VALUE(MID($C3481,2,20))&lt;100000000,VALUE(MID($C3481,2,20)),1000000000),1000000000))+ROW()/100000,"")</f>
        <v/>
      </c>
    </row>
    <row r="3482">
      <c r="E3482" s="11" t="n"/>
      <c r="M3482" s="7">
        <f>IF($C3482="","",L3482*U3482/100)</f>
        <v/>
      </c>
      <c r="N3482" s="7" t="n"/>
      <c r="T3482" s="7" t="n"/>
      <c r="U3482" s="7">
        <f>IF($C3482="","",S3482*T3482)</f>
        <v/>
      </c>
      <c r="X3482">
        <f>IF($C3482="","",IF($AM3482=1,0,IF($AL3482=1,Settings!$C$6,Settings!$C$7))*100)</f>
        <v/>
      </c>
      <c r="AB3482" s="7" t="n"/>
      <c r="AE3482" s="11" t="n"/>
      <c r="AG3482" s="7">
        <f>IF($C3482="","",U3482*X3482/100)</f>
        <v/>
      </c>
      <c r="AH3482" s="7">
        <f>IF($C3482="","",U3482-AG3482)</f>
        <v/>
      </c>
      <c r="AI3482" s="7">
        <f>IF($C3482="","",AH3482-M3482)</f>
        <v/>
      </c>
      <c r="AJ3482">
        <f>IF($C3482="","",IF(COUNTIF($C$2:$C3482,$C3482)=1,1,0))</f>
        <v/>
      </c>
      <c r="AK3482">
        <f>IF($AJ3482=1,SUMPRODUCT(--($AN$2:$AN$4001&lt;$AN3482))+1,"")</f>
        <v/>
      </c>
      <c r="AL3482">
        <f>IF($C3482="","",IF(OR($Q3482=TRUE(),$Q3482="TRUE"),1,0))</f>
        <v/>
      </c>
      <c r="AM3482">
        <f>IF($C3482="","",IF($W3482="Yes",1,0))</f>
        <v/>
      </c>
      <c r="AN3482">
        <f>IF($AJ3482=1,IFERROR(IF(VALUE($C3482)&lt;100000000,VALUE($C3482),1000000000),IFERROR(IF(VALUE(MID($C3482,2,20))&lt;100000000,VALUE(MID($C3482,2,20)),1000000000),1000000000))+ROW()/100000,"")</f>
        <v/>
      </c>
    </row>
    <row r="3483">
      <c r="E3483" s="11" t="n"/>
      <c r="M3483" s="7">
        <f>IF($C3483="","",L3483*U3483/100)</f>
        <v/>
      </c>
      <c r="N3483" s="7" t="n"/>
      <c r="T3483" s="7" t="n"/>
      <c r="U3483" s="7">
        <f>IF($C3483="","",S3483*T3483)</f>
        <v/>
      </c>
      <c r="X3483">
        <f>IF($C3483="","",IF($AM3483=1,0,IF($AL3483=1,Settings!$C$6,Settings!$C$7))*100)</f>
        <v/>
      </c>
      <c r="AB3483" s="7" t="n"/>
      <c r="AE3483" s="11" t="n"/>
      <c r="AG3483" s="7">
        <f>IF($C3483="","",U3483*X3483/100)</f>
        <v/>
      </c>
      <c r="AH3483" s="7">
        <f>IF($C3483="","",U3483-AG3483)</f>
        <v/>
      </c>
      <c r="AI3483" s="7">
        <f>IF($C3483="","",AH3483-M3483)</f>
        <v/>
      </c>
      <c r="AJ3483">
        <f>IF($C3483="","",IF(COUNTIF($C$2:$C3483,$C3483)=1,1,0))</f>
        <v/>
      </c>
      <c r="AK3483">
        <f>IF($AJ3483=1,SUMPRODUCT(--($AN$2:$AN$4001&lt;$AN3483))+1,"")</f>
        <v/>
      </c>
      <c r="AL3483">
        <f>IF($C3483="","",IF(OR($Q3483=TRUE(),$Q3483="TRUE"),1,0))</f>
        <v/>
      </c>
      <c r="AM3483">
        <f>IF($C3483="","",IF($W3483="Yes",1,0))</f>
        <v/>
      </c>
      <c r="AN3483">
        <f>IF($AJ3483=1,IFERROR(IF(VALUE($C3483)&lt;100000000,VALUE($C3483),1000000000),IFERROR(IF(VALUE(MID($C3483,2,20))&lt;100000000,VALUE(MID($C3483,2,20)),1000000000),1000000000))+ROW()/100000,"")</f>
        <v/>
      </c>
    </row>
    <row r="3484">
      <c r="E3484" s="11" t="n"/>
      <c r="M3484" s="7">
        <f>IF($C3484="","",L3484*U3484/100)</f>
        <v/>
      </c>
      <c r="N3484" s="7" t="n"/>
      <c r="T3484" s="7" t="n"/>
      <c r="U3484" s="7">
        <f>IF($C3484="","",S3484*T3484)</f>
        <v/>
      </c>
      <c r="X3484">
        <f>IF($C3484="","",IF($AM3484=1,0,IF($AL3484=1,Settings!$C$6,Settings!$C$7))*100)</f>
        <v/>
      </c>
      <c r="AB3484" s="7" t="n"/>
      <c r="AE3484" s="11" t="n"/>
      <c r="AG3484" s="7">
        <f>IF($C3484="","",U3484*X3484/100)</f>
        <v/>
      </c>
      <c r="AH3484" s="7">
        <f>IF($C3484="","",U3484-AG3484)</f>
        <v/>
      </c>
      <c r="AI3484" s="7">
        <f>IF($C3484="","",AH3484-M3484)</f>
        <v/>
      </c>
      <c r="AJ3484">
        <f>IF($C3484="","",IF(COUNTIF($C$2:$C3484,$C3484)=1,1,0))</f>
        <v/>
      </c>
      <c r="AK3484">
        <f>IF($AJ3484=1,SUMPRODUCT(--($AN$2:$AN$4001&lt;$AN3484))+1,"")</f>
        <v/>
      </c>
      <c r="AL3484">
        <f>IF($C3484="","",IF(OR($Q3484=TRUE(),$Q3484="TRUE"),1,0))</f>
        <v/>
      </c>
      <c r="AM3484">
        <f>IF($C3484="","",IF($W3484="Yes",1,0))</f>
        <v/>
      </c>
      <c r="AN3484">
        <f>IF($AJ3484=1,IFERROR(IF(VALUE($C3484)&lt;100000000,VALUE($C3484),1000000000),IFERROR(IF(VALUE(MID($C3484,2,20))&lt;100000000,VALUE(MID($C3484,2,20)),1000000000),1000000000))+ROW()/100000,"")</f>
        <v/>
      </c>
    </row>
    <row r="3485">
      <c r="E3485" s="11" t="n"/>
      <c r="M3485" s="7">
        <f>IF($C3485="","",L3485*U3485/100)</f>
        <v/>
      </c>
      <c r="N3485" s="7" t="n"/>
      <c r="T3485" s="7" t="n"/>
      <c r="U3485" s="7">
        <f>IF($C3485="","",S3485*T3485)</f>
        <v/>
      </c>
      <c r="X3485">
        <f>IF($C3485="","",IF($AM3485=1,0,IF($AL3485=1,Settings!$C$6,Settings!$C$7))*100)</f>
        <v/>
      </c>
      <c r="AB3485" s="7" t="n"/>
      <c r="AE3485" s="11" t="n"/>
      <c r="AG3485" s="7">
        <f>IF($C3485="","",U3485*X3485/100)</f>
        <v/>
      </c>
      <c r="AH3485" s="7">
        <f>IF($C3485="","",U3485-AG3485)</f>
        <v/>
      </c>
      <c r="AI3485" s="7">
        <f>IF($C3485="","",AH3485-M3485)</f>
        <v/>
      </c>
      <c r="AJ3485">
        <f>IF($C3485="","",IF(COUNTIF($C$2:$C3485,$C3485)=1,1,0))</f>
        <v/>
      </c>
      <c r="AK3485">
        <f>IF($AJ3485=1,SUMPRODUCT(--($AN$2:$AN$4001&lt;$AN3485))+1,"")</f>
        <v/>
      </c>
      <c r="AL3485">
        <f>IF($C3485="","",IF(OR($Q3485=TRUE(),$Q3485="TRUE"),1,0))</f>
        <v/>
      </c>
      <c r="AM3485">
        <f>IF($C3485="","",IF($W3485="Yes",1,0))</f>
        <v/>
      </c>
      <c r="AN3485">
        <f>IF($AJ3485=1,IFERROR(IF(VALUE($C3485)&lt;100000000,VALUE($C3485),1000000000),IFERROR(IF(VALUE(MID($C3485,2,20))&lt;100000000,VALUE(MID($C3485,2,20)),1000000000),1000000000))+ROW()/100000,"")</f>
        <v/>
      </c>
    </row>
    <row r="3486">
      <c r="E3486" s="11" t="n"/>
      <c r="M3486" s="7">
        <f>IF($C3486="","",L3486*U3486/100)</f>
        <v/>
      </c>
      <c r="N3486" s="7" t="n"/>
      <c r="T3486" s="7" t="n"/>
      <c r="U3486" s="7">
        <f>IF($C3486="","",S3486*T3486)</f>
        <v/>
      </c>
      <c r="X3486">
        <f>IF($C3486="","",IF($AM3486=1,0,IF($AL3486=1,Settings!$C$6,Settings!$C$7))*100)</f>
        <v/>
      </c>
      <c r="AB3486" s="7" t="n"/>
      <c r="AE3486" s="11" t="n"/>
      <c r="AG3486" s="7">
        <f>IF($C3486="","",U3486*X3486/100)</f>
        <v/>
      </c>
      <c r="AH3486" s="7">
        <f>IF($C3486="","",U3486-AG3486)</f>
        <v/>
      </c>
      <c r="AI3486" s="7">
        <f>IF($C3486="","",AH3486-M3486)</f>
        <v/>
      </c>
      <c r="AJ3486">
        <f>IF($C3486="","",IF(COUNTIF($C$2:$C3486,$C3486)=1,1,0))</f>
        <v/>
      </c>
      <c r="AK3486">
        <f>IF($AJ3486=1,SUMPRODUCT(--($AN$2:$AN$4001&lt;$AN3486))+1,"")</f>
        <v/>
      </c>
      <c r="AL3486">
        <f>IF($C3486="","",IF(OR($Q3486=TRUE(),$Q3486="TRUE"),1,0))</f>
        <v/>
      </c>
      <c r="AM3486">
        <f>IF($C3486="","",IF($W3486="Yes",1,0))</f>
        <v/>
      </c>
      <c r="AN3486">
        <f>IF($AJ3486=1,IFERROR(IF(VALUE($C3486)&lt;100000000,VALUE($C3486),1000000000),IFERROR(IF(VALUE(MID($C3486,2,20))&lt;100000000,VALUE(MID($C3486,2,20)),1000000000),1000000000))+ROW()/100000,"")</f>
        <v/>
      </c>
    </row>
    <row r="3487">
      <c r="E3487" s="11" t="n"/>
      <c r="M3487" s="7">
        <f>IF($C3487="","",L3487*U3487/100)</f>
        <v/>
      </c>
      <c r="N3487" s="7" t="n"/>
      <c r="T3487" s="7" t="n"/>
      <c r="U3487" s="7">
        <f>IF($C3487="","",S3487*T3487)</f>
        <v/>
      </c>
      <c r="X3487">
        <f>IF($C3487="","",IF($AM3487=1,0,IF($AL3487=1,Settings!$C$6,Settings!$C$7))*100)</f>
        <v/>
      </c>
      <c r="AB3487" s="7" t="n"/>
      <c r="AE3487" s="11" t="n"/>
      <c r="AG3487" s="7">
        <f>IF($C3487="","",U3487*X3487/100)</f>
        <v/>
      </c>
      <c r="AH3487" s="7">
        <f>IF($C3487="","",U3487-AG3487)</f>
        <v/>
      </c>
      <c r="AI3487" s="7">
        <f>IF($C3487="","",AH3487-M3487)</f>
        <v/>
      </c>
      <c r="AJ3487">
        <f>IF($C3487="","",IF(COUNTIF($C$2:$C3487,$C3487)=1,1,0))</f>
        <v/>
      </c>
      <c r="AK3487">
        <f>IF($AJ3487=1,SUMPRODUCT(--($AN$2:$AN$4001&lt;$AN3487))+1,"")</f>
        <v/>
      </c>
      <c r="AL3487">
        <f>IF($C3487="","",IF(OR($Q3487=TRUE(),$Q3487="TRUE"),1,0))</f>
        <v/>
      </c>
      <c r="AM3487">
        <f>IF($C3487="","",IF($W3487="Yes",1,0))</f>
        <v/>
      </c>
      <c r="AN3487">
        <f>IF($AJ3487=1,IFERROR(IF(VALUE($C3487)&lt;100000000,VALUE($C3487),1000000000),IFERROR(IF(VALUE(MID($C3487,2,20))&lt;100000000,VALUE(MID($C3487,2,20)),1000000000),1000000000))+ROW()/100000,"")</f>
        <v/>
      </c>
    </row>
    <row r="3488">
      <c r="E3488" s="11" t="n"/>
      <c r="M3488" s="7">
        <f>IF($C3488="","",L3488*U3488/100)</f>
        <v/>
      </c>
      <c r="N3488" s="7" t="n"/>
      <c r="T3488" s="7" t="n"/>
      <c r="U3488" s="7">
        <f>IF($C3488="","",S3488*T3488)</f>
        <v/>
      </c>
      <c r="X3488">
        <f>IF($C3488="","",IF($AM3488=1,0,IF($AL3488=1,Settings!$C$6,Settings!$C$7))*100)</f>
        <v/>
      </c>
      <c r="AB3488" s="7" t="n"/>
      <c r="AE3488" s="11" t="n"/>
      <c r="AG3488" s="7">
        <f>IF($C3488="","",U3488*X3488/100)</f>
        <v/>
      </c>
      <c r="AH3488" s="7">
        <f>IF($C3488="","",U3488-AG3488)</f>
        <v/>
      </c>
      <c r="AI3488" s="7">
        <f>IF($C3488="","",AH3488-M3488)</f>
        <v/>
      </c>
      <c r="AJ3488">
        <f>IF($C3488="","",IF(COUNTIF($C$2:$C3488,$C3488)=1,1,0))</f>
        <v/>
      </c>
      <c r="AK3488">
        <f>IF($AJ3488=1,SUMPRODUCT(--($AN$2:$AN$4001&lt;$AN3488))+1,"")</f>
        <v/>
      </c>
      <c r="AL3488">
        <f>IF($C3488="","",IF(OR($Q3488=TRUE(),$Q3488="TRUE"),1,0))</f>
        <v/>
      </c>
      <c r="AM3488">
        <f>IF($C3488="","",IF($W3488="Yes",1,0))</f>
        <v/>
      </c>
      <c r="AN3488">
        <f>IF($AJ3488=1,IFERROR(IF(VALUE($C3488)&lt;100000000,VALUE($C3488),1000000000),IFERROR(IF(VALUE(MID($C3488,2,20))&lt;100000000,VALUE(MID($C3488,2,20)),1000000000),1000000000))+ROW()/100000,"")</f>
        <v/>
      </c>
    </row>
    <row r="3489">
      <c r="E3489" s="11" t="n"/>
      <c r="M3489" s="7">
        <f>IF($C3489="","",L3489*U3489/100)</f>
        <v/>
      </c>
      <c r="N3489" s="7" t="n"/>
      <c r="T3489" s="7" t="n"/>
      <c r="U3489" s="7">
        <f>IF($C3489="","",S3489*T3489)</f>
        <v/>
      </c>
      <c r="X3489">
        <f>IF($C3489="","",IF($AM3489=1,0,IF($AL3489=1,Settings!$C$6,Settings!$C$7))*100)</f>
        <v/>
      </c>
      <c r="AB3489" s="7" t="n"/>
      <c r="AE3489" s="11" t="n"/>
      <c r="AG3489" s="7">
        <f>IF($C3489="","",U3489*X3489/100)</f>
        <v/>
      </c>
      <c r="AH3489" s="7">
        <f>IF($C3489="","",U3489-AG3489)</f>
        <v/>
      </c>
      <c r="AI3489" s="7">
        <f>IF($C3489="","",AH3489-M3489)</f>
        <v/>
      </c>
      <c r="AJ3489">
        <f>IF($C3489="","",IF(COUNTIF($C$2:$C3489,$C3489)=1,1,0))</f>
        <v/>
      </c>
      <c r="AK3489">
        <f>IF($AJ3489=1,SUMPRODUCT(--($AN$2:$AN$4001&lt;$AN3489))+1,"")</f>
        <v/>
      </c>
      <c r="AL3489">
        <f>IF($C3489="","",IF(OR($Q3489=TRUE(),$Q3489="TRUE"),1,0))</f>
        <v/>
      </c>
      <c r="AM3489">
        <f>IF($C3489="","",IF($W3489="Yes",1,0))</f>
        <v/>
      </c>
      <c r="AN3489">
        <f>IF($AJ3489=1,IFERROR(IF(VALUE($C3489)&lt;100000000,VALUE($C3489),1000000000),IFERROR(IF(VALUE(MID($C3489,2,20))&lt;100000000,VALUE(MID($C3489,2,20)),1000000000),1000000000))+ROW()/100000,"")</f>
        <v/>
      </c>
    </row>
    <row r="3490">
      <c r="E3490" s="11" t="n"/>
      <c r="M3490" s="7">
        <f>IF($C3490="","",L3490*U3490/100)</f>
        <v/>
      </c>
      <c r="N3490" s="7" t="n"/>
      <c r="T3490" s="7" t="n"/>
      <c r="U3490" s="7">
        <f>IF($C3490="","",S3490*T3490)</f>
        <v/>
      </c>
      <c r="X3490">
        <f>IF($C3490="","",IF($AM3490=1,0,IF($AL3490=1,Settings!$C$6,Settings!$C$7))*100)</f>
        <v/>
      </c>
      <c r="AB3490" s="7" t="n"/>
      <c r="AE3490" s="11" t="n"/>
      <c r="AG3490" s="7">
        <f>IF($C3490="","",U3490*X3490/100)</f>
        <v/>
      </c>
      <c r="AH3490" s="7">
        <f>IF($C3490="","",U3490-AG3490)</f>
        <v/>
      </c>
      <c r="AI3490" s="7">
        <f>IF($C3490="","",AH3490-M3490)</f>
        <v/>
      </c>
      <c r="AJ3490">
        <f>IF($C3490="","",IF(COUNTIF($C$2:$C3490,$C3490)=1,1,0))</f>
        <v/>
      </c>
      <c r="AK3490">
        <f>IF($AJ3490=1,SUMPRODUCT(--($AN$2:$AN$4001&lt;$AN3490))+1,"")</f>
        <v/>
      </c>
      <c r="AL3490">
        <f>IF($C3490="","",IF(OR($Q3490=TRUE(),$Q3490="TRUE"),1,0))</f>
        <v/>
      </c>
      <c r="AM3490">
        <f>IF($C3490="","",IF($W3490="Yes",1,0))</f>
        <v/>
      </c>
      <c r="AN3490">
        <f>IF($AJ3490=1,IFERROR(IF(VALUE($C3490)&lt;100000000,VALUE($C3490),1000000000),IFERROR(IF(VALUE(MID($C3490,2,20))&lt;100000000,VALUE(MID($C3490,2,20)),1000000000),1000000000))+ROW()/100000,"")</f>
        <v/>
      </c>
    </row>
    <row r="3491">
      <c r="E3491" s="11" t="n"/>
      <c r="M3491" s="7">
        <f>IF($C3491="","",L3491*U3491/100)</f>
        <v/>
      </c>
      <c r="N3491" s="7" t="n"/>
      <c r="T3491" s="7" t="n"/>
      <c r="U3491" s="7">
        <f>IF($C3491="","",S3491*T3491)</f>
        <v/>
      </c>
      <c r="X3491">
        <f>IF($C3491="","",IF($AM3491=1,0,IF($AL3491=1,Settings!$C$6,Settings!$C$7))*100)</f>
        <v/>
      </c>
      <c r="AB3491" s="7" t="n"/>
      <c r="AE3491" s="11" t="n"/>
      <c r="AG3491" s="7">
        <f>IF($C3491="","",U3491*X3491/100)</f>
        <v/>
      </c>
      <c r="AH3491" s="7">
        <f>IF($C3491="","",U3491-AG3491)</f>
        <v/>
      </c>
      <c r="AI3491" s="7">
        <f>IF($C3491="","",AH3491-M3491)</f>
        <v/>
      </c>
      <c r="AJ3491">
        <f>IF($C3491="","",IF(COUNTIF($C$2:$C3491,$C3491)=1,1,0))</f>
        <v/>
      </c>
      <c r="AK3491">
        <f>IF($AJ3491=1,SUMPRODUCT(--($AN$2:$AN$4001&lt;$AN3491))+1,"")</f>
        <v/>
      </c>
      <c r="AL3491">
        <f>IF($C3491="","",IF(OR($Q3491=TRUE(),$Q3491="TRUE"),1,0))</f>
        <v/>
      </c>
      <c r="AM3491">
        <f>IF($C3491="","",IF($W3491="Yes",1,0))</f>
        <v/>
      </c>
      <c r="AN3491">
        <f>IF($AJ3491=1,IFERROR(IF(VALUE($C3491)&lt;100000000,VALUE($C3491),1000000000),IFERROR(IF(VALUE(MID($C3491,2,20))&lt;100000000,VALUE(MID($C3491,2,20)),1000000000),1000000000))+ROW()/100000,"")</f>
        <v/>
      </c>
    </row>
    <row r="3492">
      <c r="E3492" s="11" t="n"/>
      <c r="M3492" s="7">
        <f>IF($C3492="","",L3492*U3492/100)</f>
        <v/>
      </c>
      <c r="N3492" s="7" t="n"/>
      <c r="T3492" s="7" t="n"/>
      <c r="U3492" s="7">
        <f>IF($C3492="","",S3492*T3492)</f>
        <v/>
      </c>
      <c r="X3492">
        <f>IF($C3492="","",IF($AM3492=1,0,IF($AL3492=1,Settings!$C$6,Settings!$C$7))*100)</f>
        <v/>
      </c>
      <c r="AB3492" s="7" t="n"/>
      <c r="AE3492" s="11" t="n"/>
      <c r="AG3492" s="7">
        <f>IF($C3492="","",U3492*X3492/100)</f>
        <v/>
      </c>
      <c r="AH3492" s="7">
        <f>IF($C3492="","",U3492-AG3492)</f>
        <v/>
      </c>
      <c r="AI3492" s="7">
        <f>IF($C3492="","",AH3492-M3492)</f>
        <v/>
      </c>
      <c r="AJ3492">
        <f>IF($C3492="","",IF(COUNTIF($C$2:$C3492,$C3492)=1,1,0))</f>
        <v/>
      </c>
      <c r="AK3492">
        <f>IF($AJ3492=1,SUMPRODUCT(--($AN$2:$AN$4001&lt;$AN3492))+1,"")</f>
        <v/>
      </c>
      <c r="AL3492">
        <f>IF($C3492="","",IF(OR($Q3492=TRUE(),$Q3492="TRUE"),1,0))</f>
        <v/>
      </c>
      <c r="AM3492">
        <f>IF($C3492="","",IF($W3492="Yes",1,0))</f>
        <v/>
      </c>
      <c r="AN3492">
        <f>IF($AJ3492=1,IFERROR(IF(VALUE($C3492)&lt;100000000,VALUE($C3492),1000000000),IFERROR(IF(VALUE(MID($C3492,2,20))&lt;100000000,VALUE(MID($C3492,2,20)),1000000000),1000000000))+ROW()/100000,"")</f>
        <v/>
      </c>
    </row>
    <row r="3493">
      <c r="E3493" s="11" t="n"/>
      <c r="M3493" s="7">
        <f>IF($C3493="","",L3493*U3493/100)</f>
        <v/>
      </c>
      <c r="N3493" s="7" t="n"/>
      <c r="T3493" s="7" t="n"/>
      <c r="U3493" s="7">
        <f>IF($C3493="","",S3493*T3493)</f>
        <v/>
      </c>
      <c r="X3493">
        <f>IF($C3493="","",IF($AM3493=1,0,IF($AL3493=1,Settings!$C$6,Settings!$C$7))*100)</f>
        <v/>
      </c>
      <c r="AB3493" s="7" t="n"/>
      <c r="AE3493" s="11" t="n"/>
      <c r="AG3493" s="7">
        <f>IF($C3493="","",U3493*X3493/100)</f>
        <v/>
      </c>
      <c r="AH3493" s="7">
        <f>IF($C3493="","",U3493-AG3493)</f>
        <v/>
      </c>
      <c r="AI3493" s="7">
        <f>IF($C3493="","",AH3493-M3493)</f>
        <v/>
      </c>
      <c r="AJ3493">
        <f>IF($C3493="","",IF(COUNTIF($C$2:$C3493,$C3493)=1,1,0))</f>
        <v/>
      </c>
      <c r="AK3493">
        <f>IF($AJ3493=1,SUMPRODUCT(--($AN$2:$AN$4001&lt;$AN3493))+1,"")</f>
        <v/>
      </c>
      <c r="AL3493">
        <f>IF($C3493="","",IF(OR($Q3493=TRUE(),$Q3493="TRUE"),1,0))</f>
        <v/>
      </c>
      <c r="AM3493">
        <f>IF($C3493="","",IF($W3493="Yes",1,0))</f>
        <v/>
      </c>
      <c r="AN3493">
        <f>IF($AJ3493=1,IFERROR(IF(VALUE($C3493)&lt;100000000,VALUE($C3493),1000000000),IFERROR(IF(VALUE(MID($C3493,2,20))&lt;100000000,VALUE(MID($C3493,2,20)),1000000000),1000000000))+ROW()/100000,"")</f>
        <v/>
      </c>
    </row>
    <row r="3494">
      <c r="E3494" s="11" t="n"/>
      <c r="M3494" s="7">
        <f>IF($C3494="","",L3494*U3494/100)</f>
        <v/>
      </c>
      <c r="N3494" s="7" t="n"/>
      <c r="T3494" s="7" t="n"/>
      <c r="U3494" s="7">
        <f>IF($C3494="","",S3494*T3494)</f>
        <v/>
      </c>
      <c r="X3494">
        <f>IF($C3494="","",IF($AM3494=1,0,IF($AL3494=1,Settings!$C$6,Settings!$C$7))*100)</f>
        <v/>
      </c>
      <c r="AB3494" s="7" t="n"/>
      <c r="AE3494" s="11" t="n"/>
      <c r="AG3494" s="7">
        <f>IF($C3494="","",U3494*X3494/100)</f>
        <v/>
      </c>
      <c r="AH3494" s="7">
        <f>IF($C3494="","",U3494-AG3494)</f>
        <v/>
      </c>
      <c r="AI3494" s="7">
        <f>IF($C3494="","",AH3494-M3494)</f>
        <v/>
      </c>
      <c r="AJ3494">
        <f>IF($C3494="","",IF(COUNTIF($C$2:$C3494,$C3494)=1,1,0))</f>
        <v/>
      </c>
      <c r="AK3494">
        <f>IF($AJ3494=1,SUMPRODUCT(--($AN$2:$AN$4001&lt;$AN3494))+1,"")</f>
        <v/>
      </c>
      <c r="AL3494">
        <f>IF($C3494="","",IF(OR($Q3494=TRUE(),$Q3494="TRUE"),1,0))</f>
        <v/>
      </c>
      <c r="AM3494">
        <f>IF($C3494="","",IF($W3494="Yes",1,0))</f>
        <v/>
      </c>
      <c r="AN3494">
        <f>IF($AJ3494=1,IFERROR(IF(VALUE($C3494)&lt;100000000,VALUE($C3494),1000000000),IFERROR(IF(VALUE(MID($C3494,2,20))&lt;100000000,VALUE(MID($C3494,2,20)),1000000000),1000000000))+ROW()/100000,"")</f>
        <v/>
      </c>
    </row>
    <row r="3495">
      <c r="E3495" s="11" t="n"/>
      <c r="M3495" s="7">
        <f>IF($C3495="","",L3495*U3495/100)</f>
        <v/>
      </c>
      <c r="N3495" s="7" t="n"/>
      <c r="T3495" s="7" t="n"/>
      <c r="U3495" s="7">
        <f>IF($C3495="","",S3495*T3495)</f>
        <v/>
      </c>
      <c r="X3495">
        <f>IF($C3495="","",IF($AM3495=1,0,IF($AL3495=1,Settings!$C$6,Settings!$C$7))*100)</f>
        <v/>
      </c>
      <c r="AB3495" s="7" t="n"/>
      <c r="AE3495" s="11" t="n"/>
      <c r="AG3495" s="7">
        <f>IF($C3495="","",U3495*X3495/100)</f>
        <v/>
      </c>
      <c r="AH3495" s="7">
        <f>IF($C3495="","",U3495-AG3495)</f>
        <v/>
      </c>
      <c r="AI3495" s="7">
        <f>IF($C3495="","",AH3495-M3495)</f>
        <v/>
      </c>
      <c r="AJ3495">
        <f>IF($C3495="","",IF(COUNTIF($C$2:$C3495,$C3495)=1,1,0))</f>
        <v/>
      </c>
      <c r="AK3495">
        <f>IF($AJ3495=1,SUMPRODUCT(--($AN$2:$AN$4001&lt;$AN3495))+1,"")</f>
        <v/>
      </c>
      <c r="AL3495">
        <f>IF($C3495="","",IF(OR($Q3495=TRUE(),$Q3495="TRUE"),1,0))</f>
        <v/>
      </c>
      <c r="AM3495">
        <f>IF($C3495="","",IF($W3495="Yes",1,0))</f>
        <v/>
      </c>
      <c r="AN3495">
        <f>IF($AJ3495=1,IFERROR(IF(VALUE($C3495)&lt;100000000,VALUE($C3495),1000000000),IFERROR(IF(VALUE(MID($C3495,2,20))&lt;100000000,VALUE(MID($C3495,2,20)),1000000000),1000000000))+ROW()/100000,"")</f>
        <v/>
      </c>
    </row>
    <row r="3496">
      <c r="E3496" s="11" t="n"/>
      <c r="M3496" s="7">
        <f>IF($C3496="","",L3496*U3496/100)</f>
        <v/>
      </c>
      <c r="N3496" s="7" t="n"/>
      <c r="T3496" s="7" t="n"/>
      <c r="U3496" s="7">
        <f>IF($C3496="","",S3496*T3496)</f>
        <v/>
      </c>
      <c r="X3496">
        <f>IF($C3496="","",IF($AM3496=1,0,IF($AL3496=1,Settings!$C$6,Settings!$C$7))*100)</f>
        <v/>
      </c>
      <c r="AB3496" s="7" t="n"/>
      <c r="AE3496" s="11" t="n"/>
      <c r="AG3496" s="7">
        <f>IF($C3496="","",U3496*X3496/100)</f>
        <v/>
      </c>
      <c r="AH3496" s="7">
        <f>IF($C3496="","",U3496-AG3496)</f>
        <v/>
      </c>
      <c r="AI3496" s="7">
        <f>IF($C3496="","",AH3496-M3496)</f>
        <v/>
      </c>
      <c r="AJ3496">
        <f>IF($C3496="","",IF(COUNTIF($C$2:$C3496,$C3496)=1,1,0))</f>
        <v/>
      </c>
      <c r="AK3496">
        <f>IF($AJ3496=1,SUMPRODUCT(--($AN$2:$AN$4001&lt;$AN3496))+1,"")</f>
        <v/>
      </c>
      <c r="AL3496">
        <f>IF($C3496="","",IF(OR($Q3496=TRUE(),$Q3496="TRUE"),1,0))</f>
        <v/>
      </c>
      <c r="AM3496">
        <f>IF($C3496="","",IF($W3496="Yes",1,0))</f>
        <v/>
      </c>
      <c r="AN3496">
        <f>IF($AJ3496=1,IFERROR(IF(VALUE($C3496)&lt;100000000,VALUE($C3496),1000000000),IFERROR(IF(VALUE(MID($C3496,2,20))&lt;100000000,VALUE(MID($C3496,2,20)),1000000000),1000000000))+ROW()/100000,"")</f>
        <v/>
      </c>
    </row>
    <row r="3497">
      <c r="E3497" s="11" t="n"/>
      <c r="M3497" s="7">
        <f>IF($C3497="","",L3497*U3497/100)</f>
        <v/>
      </c>
      <c r="N3497" s="7" t="n"/>
      <c r="T3497" s="7" t="n"/>
      <c r="U3497" s="7">
        <f>IF($C3497="","",S3497*T3497)</f>
        <v/>
      </c>
      <c r="X3497">
        <f>IF($C3497="","",IF($AM3497=1,0,IF($AL3497=1,Settings!$C$6,Settings!$C$7))*100)</f>
        <v/>
      </c>
      <c r="AB3497" s="7" t="n"/>
      <c r="AE3497" s="11" t="n"/>
      <c r="AG3497" s="7">
        <f>IF($C3497="","",U3497*X3497/100)</f>
        <v/>
      </c>
      <c r="AH3497" s="7">
        <f>IF($C3497="","",U3497-AG3497)</f>
        <v/>
      </c>
      <c r="AI3497" s="7">
        <f>IF($C3497="","",AH3497-M3497)</f>
        <v/>
      </c>
      <c r="AJ3497">
        <f>IF($C3497="","",IF(COUNTIF($C$2:$C3497,$C3497)=1,1,0))</f>
        <v/>
      </c>
      <c r="AK3497">
        <f>IF($AJ3497=1,SUMPRODUCT(--($AN$2:$AN$4001&lt;$AN3497))+1,"")</f>
        <v/>
      </c>
      <c r="AL3497">
        <f>IF($C3497="","",IF(OR($Q3497=TRUE(),$Q3497="TRUE"),1,0))</f>
        <v/>
      </c>
      <c r="AM3497">
        <f>IF($C3497="","",IF($W3497="Yes",1,0))</f>
        <v/>
      </c>
      <c r="AN3497">
        <f>IF($AJ3497=1,IFERROR(IF(VALUE($C3497)&lt;100000000,VALUE($C3497),1000000000),IFERROR(IF(VALUE(MID($C3497,2,20))&lt;100000000,VALUE(MID($C3497,2,20)),1000000000),1000000000))+ROW()/100000,"")</f>
        <v/>
      </c>
    </row>
    <row r="3498">
      <c r="E3498" s="11" t="n"/>
      <c r="M3498" s="7">
        <f>IF($C3498="","",L3498*U3498/100)</f>
        <v/>
      </c>
      <c r="N3498" s="7" t="n"/>
      <c r="T3498" s="7" t="n"/>
      <c r="U3498" s="7">
        <f>IF($C3498="","",S3498*T3498)</f>
        <v/>
      </c>
      <c r="X3498">
        <f>IF($C3498="","",IF($AM3498=1,0,IF($AL3498=1,Settings!$C$6,Settings!$C$7))*100)</f>
        <v/>
      </c>
      <c r="AB3498" s="7" t="n"/>
      <c r="AE3498" s="11" t="n"/>
      <c r="AG3498" s="7">
        <f>IF($C3498="","",U3498*X3498/100)</f>
        <v/>
      </c>
      <c r="AH3498" s="7">
        <f>IF($C3498="","",U3498-AG3498)</f>
        <v/>
      </c>
      <c r="AI3498" s="7">
        <f>IF($C3498="","",AH3498-M3498)</f>
        <v/>
      </c>
      <c r="AJ3498">
        <f>IF($C3498="","",IF(COUNTIF($C$2:$C3498,$C3498)=1,1,0))</f>
        <v/>
      </c>
      <c r="AK3498">
        <f>IF($AJ3498=1,SUMPRODUCT(--($AN$2:$AN$4001&lt;$AN3498))+1,"")</f>
        <v/>
      </c>
      <c r="AL3498">
        <f>IF($C3498="","",IF(OR($Q3498=TRUE(),$Q3498="TRUE"),1,0))</f>
        <v/>
      </c>
      <c r="AM3498">
        <f>IF($C3498="","",IF($W3498="Yes",1,0))</f>
        <v/>
      </c>
      <c r="AN3498">
        <f>IF($AJ3498=1,IFERROR(IF(VALUE($C3498)&lt;100000000,VALUE($C3498),1000000000),IFERROR(IF(VALUE(MID($C3498,2,20))&lt;100000000,VALUE(MID($C3498,2,20)),1000000000),1000000000))+ROW()/100000,"")</f>
        <v/>
      </c>
    </row>
    <row r="3499">
      <c r="E3499" s="11" t="n"/>
      <c r="M3499" s="7">
        <f>IF($C3499="","",L3499*U3499/100)</f>
        <v/>
      </c>
      <c r="N3499" s="7" t="n"/>
      <c r="T3499" s="7" t="n"/>
      <c r="U3499" s="7">
        <f>IF($C3499="","",S3499*T3499)</f>
        <v/>
      </c>
      <c r="X3499">
        <f>IF($C3499="","",IF($AM3499=1,0,IF($AL3499=1,Settings!$C$6,Settings!$C$7))*100)</f>
        <v/>
      </c>
      <c r="AB3499" s="7" t="n"/>
      <c r="AE3499" s="11" t="n"/>
      <c r="AG3499" s="7">
        <f>IF($C3499="","",U3499*X3499/100)</f>
        <v/>
      </c>
      <c r="AH3499" s="7">
        <f>IF($C3499="","",U3499-AG3499)</f>
        <v/>
      </c>
      <c r="AI3499" s="7">
        <f>IF($C3499="","",AH3499-M3499)</f>
        <v/>
      </c>
      <c r="AJ3499">
        <f>IF($C3499="","",IF(COUNTIF($C$2:$C3499,$C3499)=1,1,0))</f>
        <v/>
      </c>
      <c r="AK3499">
        <f>IF($AJ3499=1,SUMPRODUCT(--($AN$2:$AN$4001&lt;$AN3499))+1,"")</f>
        <v/>
      </c>
      <c r="AL3499">
        <f>IF($C3499="","",IF(OR($Q3499=TRUE(),$Q3499="TRUE"),1,0))</f>
        <v/>
      </c>
      <c r="AM3499">
        <f>IF($C3499="","",IF($W3499="Yes",1,0))</f>
        <v/>
      </c>
      <c r="AN3499">
        <f>IF($AJ3499=1,IFERROR(IF(VALUE($C3499)&lt;100000000,VALUE($C3499),1000000000),IFERROR(IF(VALUE(MID($C3499,2,20))&lt;100000000,VALUE(MID($C3499,2,20)),1000000000),1000000000))+ROW()/100000,"")</f>
        <v/>
      </c>
    </row>
    <row r="3500">
      <c r="E3500" s="11" t="n"/>
      <c r="M3500" s="7">
        <f>IF($C3500="","",L3500*U3500/100)</f>
        <v/>
      </c>
      <c r="N3500" s="7" t="n"/>
      <c r="T3500" s="7" t="n"/>
      <c r="U3500" s="7">
        <f>IF($C3500="","",S3500*T3500)</f>
        <v/>
      </c>
      <c r="X3500">
        <f>IF($C3500="","",IF($AM3500=1,0,IF($AL3500=1,Settings!$C$6,Settings!$C$7))*100)</f>
        <v/>
      </c>
      <c r="AB3500" s="7" t="n"/>
      <c r="AE3500" s="11" t="n"/>
      <c r="AG3500" s="7">
        <f>IF($C3500="","",U3500*X3500/100)</f>
        <v/>
      </c>
      <c r="AH3500" s="7">
        <f>IF($C3500="","",U3500-AG3500)</f>
        <v/>
      </c>
      <c r="AI3500" s="7">
        <f>IF($C3500="","",AH3500-M3500)</f>
        <v/>
      </c>
      <c r="AJ3500">
        <f>IF($C3500="","",IF(COUNTIF($C$2:$C3500,$C3500)=1,1,0))</f>
        <v/>
      </c>
      <c r="AK3500">
        <f>IF($AJ3500=1,SUMPRODUCT(--($AN$2:$AN$4001&lt;$AN3500))+1,"")</f>
        <v/>
      </c>
      <c r="AL3500">
        <f>IF($C3500="","",IF(OR($Q3500=TRUE(),$Q3500="TRUE"),1,0))</f>
        <v/>
      </c>
      <c r="AM3500">
        <f>IF($C3500="","",IF($W3500="Yes",1,0))</f>
        <v/>
      </c>
      <c r="AN3500">
        <f>IF($AJ3500=1,IFERROR(IF(VALUE($C3500)&lt;100000000,VALUE($C3500),1000000000),IFERROR(IF(VALUE(MID($C3500,2,20))&lt;100000000,VALUE(MID($C3500,2,20)),1000000000),1000000000))+ROW()/100000,"")</f>
        <v/>
      </c>
    </row>
    <row r="3501">
      <c r="E3501" s="11" t="n"/>
      <c r="M3501" s="7">
        <f>IF($C3501="","",L3501*U3501/100)</f>
        <v/>
      </c>
      <c r="N3501" s="7" t="n"/>
      <c r="T3501" s="7" t="n"/>
      <c r="U3501" s="7">
        <f>IF($C3501="","",S3501*T3501)</f>
        <v/>
      </c>
      <c r="X3501">
        <f>IF($C3501="","",IF($AM3501=1,0,IF($AL3501=1,Settings!$C$6,Settings!$C$7))*100)</f>
        <v/>
      </c>
      <c r="AB3501" s="7" t="n"/>
      <c r="AE3501" s="11" t="n"/>
      <c r="AG3501" s="7">
        <f>IF($C3501="","",U3501*X3501/100)</f>
        <v/>
      </c>
      <c r="AH3501" s="7">
        <f>IF($C3501="","",U3501-AG3501)</f>
        <v/>
      </c>
      <c r="AI3501" s="7">
        <f>IF($C3501="","",AH3501-M3501)</f>
        <v/>
      </c>
      <c r="AJ3501">
        <f>IF($C3501="","",IF(COUNTIF($C$2:$C3501,$C3501)=1,1,0))</f>
        <v/>
      </c>
      <c r="AK3501">
        <f>IF($AJ3501=1,SUMPRODUCT(--($AN$2:$AN$4001&lt;$AN3501))+1,"")</f>
        <v/>
      </c>
      <c r="AL3501">
        <f>IF($C3501="","",IF(OR($Q3501=TRUE(),$Q3501="TRUE"),1,0))</f>
        <v/>
      </c>
      <c r="AM3501">
        <f>IF($C3501="","",IF($W3501="Yes",1,0))</f>
        <v/>
      </c>
      <c r="AN3501">
        <f>IF($AJ3501=1,IFERROR(IF(VALUE($C3501)&lt;100000000,VALUE($C3501),1000000000),IFERROR(IF(VALUE(MID($C3501,2,20))&lt;100000000,VALUE(MID($C3501,2,20)),1000000000),1000000000))+ROW()/100000,"")</f>
        <v/>
      </c>
    </row>
    <row r="3502">
      <c r="E3502" s="11" t="n"/>
      <c r="M3502" s="7">
        <f>IF($C3502="","",L3502*U3502/100)</f>
        <v/>
      </c>
      <c r="N3502" s="7" t="n"/>
      <c r="T3502" s="7" t="n"/>
      <c r="U3502" s="7">
        <f>IF($C3502="","",S3502*T3502)</f>
        <v/>
      </c>
      <c r="X3502">
        <f>IF($C3502="","",IF($AM3502=1,0,IF($AL3502=1,Settings!$C$6,Settings!$C$7))*100)</f>
        <v/>
      </c>
      <c r="AB3502" s="7" t="n"/>
      <c r="AE3502" s="11" t="n"/>
      <c r="AG3502" s="7">
        <f>IF($C3502="","",U3502*X3502/100)</f>
        <v/>
      </c>
      <c r="AH3502" s="7">
        <f>IF($C3502="","",U3502-AG3502)</f>
        <v/>
      </c>
      <c r="AI3502" s="7">
        <f>IF($C3502="","",AH3502-M3502)</f>
        <v/>
      </c>
      <c r="AJ3502">
        <f>IF($C3502="","",IF(COUNTIF($C$2:$C3502,$C3502)=1,1,0))</f>
        <v/>
      </c>
      <c r="AK3502">
        <f>IF($AJ3502=1,SUMPRODUCT(--($AN$2:$AN$4001&lt;$AN3502))+1,"")</f>
        <v/>
      </c>
      <c r="AL3502">
        <f>IF($C3502="","",IF(OR($Q3502=TRUE(),$Q3502="TRUE"),1,0))</f>
        <v/>
      </c>
      <c r="AM3502">
        <f>IF($C3502="","",IF($W3502="Yes",1,0))</f>
        <v/>
      </c>
      <c r="AN3502">
        <f>IF($AJ3502=1,IFERROR(IF(VALUE($C3502)&lt;100000000,VALUE($C3502),1000000000),IFERROR(IF(VALUE(MID($C3502,2,20))&lt;100000000,VALUE(MID($C3502,2,20)),1000000000),1000000000))+ROW()/100000,"")</f>
        <v/>
      </c>
    </row>
    <row r="3503">
      <c r="E3503" s="11" t="n"/>
      <c r="M3503" s="7">
        <f>IF($C3503="","",L3503*U3503/100)</f>
        <v/>
      </c>
      <c r="N3503" s="7" t="n"/>
      <c r="T3503" s="7" t="n"/>
      <c r="U3503" s="7">
        <f>IF($C3503="","",S3503*T3503)</f>
        <v/>
      </c>
      <c r="X3503">
        <f>IF($C3503="","",IF($AM3503=1,0,IF($AL3503=1,Settings!$C$6,Settings!$C$7))*100)</f>
        <v/>
      </c>
      <c r="AB3503" s="7" t="n"/>
      <c r="AE3503" s="11" t="n"/>
      <c r="AG3503" s="7">
        <f>IF($C3503="","",U3503*X3503/100)</f>
        <v/>
      </c>
      <c r="AH3503" s="7">
        <f>IF($C3503="","",U3503-AG3503)</f>
        <v/>
      </c>
      <c r="AI3503" s="7">
        <f>IF($C3503="","",AH3503-M3503)</f>
        <v/>
      </c>
      <c r="AJ3503">
        <f>IF($C3503="","",IF(COUNTIF($C$2:$C3503,$C3503)=1,1,0))</f>
        <v/>
      </c>
      <c r="AK3503">
        <f>IF($AJ3503=1,SUMPRODUCT(--($AN$2:$AN$4001&lt;$AN3503))+1,"")</f>
        <v/>
      </c>
      <c r="AL3503">
        <f>IF($C3503="","",IF(OR($Q3503=TRUE(),$Q3503="TRUE"),1,0))</f>
        <v/>
      </c>
      <c r="AM3503">
        <f>IF($C3503="","",IF($W3503="Yes",1,0))</f>
        <v/>
      </c>
      <c r="AN3503">
        <f>IF($AJ3503=1,IFERROR(IF(VALUE($C3503)&lt;100000000,VALUE($C3503),1000000000),IFERROR(IF(VALUE(MID($C3503,2,20))&lt;100000000,VALUE(MID($C3503,2,20)),1000000000),1000000000))+ROW()/100000,"")</f>
        <v/>
      </c>
    </row>
    <row r="3504">
      <c r="E3504" s="11" t="n"/>
      <c r="M3504" s="7">
        <f>IF($C3504="","",L3504*U3504/100)</f>
        <v/>
      </c>
      <c r="N3504" s="7" t="n"/>
      <c r="T3504" s="7" t="n"/>
      <c r="U3504" s="7">
        <f>IF($C3504="","",S3504*T3504)</f>
        <v/>
      </c>
      <c r="X3504">
        <f>IF($C3504="","",IF($AM3504=1,0,IF($AL3504=1,Settings!$C$6,Settings!$C$7))*100)</f>
        <v/>
      </c>
      <c r="AB3504" s="7" t="n"/>
      <c r="AE3504" s="11" t="n"/>
      <c r="AG3504" s="7">
        <f>IF($C3504="","",U3504*X3504/100)</f>
        <v/>
      </c>
      <c r="AH3504" s="7">
        <f>IF($C3504="","",U3504-AG3504)</f>
        <v/>
      </c>
      <c r="AI3504" s="7">
        <f>IF($C3504="","",AH3504-M3504)</f>
        <v/>
      </c>
      <c r="AJ3504">
        <f>IF($C3504="","",IF(COUNTIF($C$2:$C3504,$C3504)=1,1,0))</f>
        <v/>
      </c>
      <c r="AK3504">
        <f>IF($AJ3504=1,SUMPRODUCT(--($AN$2:$AN$4001&lt;$AN3504))+1,"")</f>
        <v/>
      </c>
      <c r="AL3504">
        <f>IF($C3504="","",IF(OR($Q3504=TRUE(),$Q3504="TRUE"),1,0))</f>
        <v/>
      </c>
      <c r="AM3504">
        <f>IF($C3504="","",IF($W3504="Yes",1,0))</f>
        <v/>
      </c>
      <c r="AN3504">
        <f>IF($AJ3504=1,IFERROR(IF(VALUE($C3504)&lt;100000000,VALUE($C3504),1000000000),IFERROR(IF(VALUE(MID($C3504,2,20))&lt;100000000,VALUE(MID($C3504,2,20)),1000000000),1000000000))+ROW()/100000,"")</f>
        <v/>
      </c>
    </row>
    <row r="3505">
      <c r="E3505" s="11" t="n"/>
      <c r="M3505" s="7">
        <f>IF($C3505="","",L3505*U3505/100)</f>
        <v/>
      </c>
      <c r="N3505" s="7" t="n"/>
      <c r="T3505" s="7" t="n"/>
      <c r="U3505" s="7">
        <f>IF($C3505="","",S3505*T3505)</f>
        <v/>
      </c>
      <c r="X3505">
        <f>IF($C3505="","",IF($AM3505=1,0,IF($AL3505=1,Settings!$C$6,Settings!$C$7))*100)</f>
        <v/>
      </c>
      <c r="AB3505" s="7" t="n"/>
      <c r="AE3505" s="11" t="n"/>
      <c r="AG3505" s="7">
        <f>IF($C3505="","",U3505*X3505/100)</f>
        <v/>
      </c>
      <c r="AH3505" s="7">
        <f>IF($C3505="","",U3505-AG3505)</f>
        <v/>
      </c>
      <c r="AI3505" s="7">
        <f>IF($C3505="","",AH3505-M3505)</f>
        <v/>
      </c>
      <c r="AJ3505">
        <f>IF($C3505="","",IF(COUNTIF($C$2:$C3505,$C3505)=1,1,0))</f>
        <v/>
      </c>
      <c r="AK3505">
        <f>IF($AJ3505=1,SUMPRODUCT(--($AN$2:$AN$4001&lt;$AN3505))+1,"")</f>
        <v/>
      </c>
      <c r="AL3505">
        <f>IF($C3505="","",IF(OR($Q3505=TRUE(),$Q3505="TRUE"),1,0))</f>
        <v/>
      </c>
      <c r="AM3505">
        <f>IF($C3505="","",IF($W3505="Yes",1,0))</f>
        <v/>
      </c>
      <c r="AN3505">
        <f>IF($AJ3505=1,IFERROR(IF(VALUE($C3505)&lt;100000000,VALUE($C3505),1000000000),IFERROR(IF(VALUE(MID($C3505,2,20))&lt;100000000,VALUE(MID($C3505,2,20)),1000000000),1000000000))+ROW()/100000,"")</f>
        <v/>
      </c>
    </row>
    <row r="3506">
      <c r="E3506" s="11" t="n"/>
      <c r="M3506" s="7">
        <f>IF($C3506="","",L3506*U3506/100)</f>
        <v/>
      </c>
      <c r="N3506" s="7" t="n"/>
      <c r="T3506" s="7" t="n"/>
      <c r="U3506" s="7">
        <f>IF($C3506="","",S3506*T3506)</f>
        <v/>
      </c>
      <c r="X3506">
        <f>IF($C3506="","",IF($AM3506=1,0,IF($AL3506=1,Settings!$C$6,Settings!$C$7))*100)</f>
        <v/>
      </c>
      <c r="AB3506" s="7" t="n"/>
      <c r="AE3506" s="11" t="n"/>
      <c r="AG3506" s="7">
        <f>IF($C3506="","",U3506*X3506/100)</f>
        <v/>
      </c>
      <c r="AH3506" s="7">
        <f>IF($C3506="","",U3506-AG3506)</f>
        <v/>
      </c>
      <c r="AI3506" s="7">
        <f>IF($C3506="","",AH3506-M3506)</f>
        <v/>
      </c>
      <c r="AJ3506">
        <f>IF($C3506="","",IF(COUNTIF($C$2:$C3506,$C3506)=1,1,0))</f>
        <v/>
      </c>
      <c r="AK3506">
        <f>IF($AJ3506=1,SUMPRODUCT(--($AN$2:$AN$4001&lt;$AN3506))+1,"")</f>
        <v/>
      </c>
      <c r="AL3506">
        <f>IF($C3506="","",IF(OR($Q3506=TRUE(),$Q3506="TRUE"),1,0))</f>
        <v/>
      </c>
      <c r="AM3506">
        <f>IF($C3506="","",IF($W3506="Yes",1,0))</f>
        <v/>
      </c>
      <c r="AN3506">
        <f>IF($AJ3506=1,IFERROR(IF(VALUE($C3506)&lt;100000000,VALUE($C3506),1000000000),IFERROR(IF(VALUE(MID($C3506,2,20))&lt;100000000,VALUE(MID($C3506,2,20)),1000000000),1000000000))+ROW()/100000,"")</f>
        <v/>
      </c>
    </row>
    <row r="3507">
      <c r="E3507" s="11" t="n"/>
      <c r="M3507" s="7">
        <f>IF($C3507="","",L3507*U3507/100)</f>
        <v/>
      </c>
      <c r="N3507" s="7" t="n"/>
      <c r="T3507" s="7" t="n"/>
      <c r="U3507" s="7">
        <f>IF($C3507="","",S3507*T3507)</f>
        <v/>
      </c>
      <c r="X3507">
        <f>IF($C3507="","",IF($AM3507=1,0,IF($AL3507=1,Settings!$C$6,Settings!$C$7))*100)</f>
        <v/>
      </c>
      <c r="AB3507" s="7" t="n"/>
      <c r="AE3507" s="11" t="n"/>
      <c r="AG3507" s="7">
        <f>IF($C3507="","",U3507*X3507/100)</f>
        <v/>
      </c>
      <c r="AH3507" s="7">
        <f>IF($C3507="","",U3507-AG3507)</f>
        <v/>
      </c>
      <c r="AI3507" s="7">
        <f>IF($C3507="","",AH3507-M3507)</f>
        <v/>
      </c>
      <c r="AJ3507">
        <f>IF($C3507="","",IF(COUNTIF($C$2:$C3507,$C3507)=1,1,0))</f>
        <v/>
      </c>
      <c r="AK3507">
        <f>IF($AJ3507=1,SUMPRODUCT(--($AN$2:$AN$4001&lt;$AN3507))+1,"")</f>
        <v/>
      </c>
      <c r="AL3507">
        <f>IF($C3507="","",IF(OR($Q3507=TRUE(),$Q3507="TRUE"),1,0))</f>
        <v/>
      </c>
      <c r="AM3507">
        <f>IF($C3507="","",IF($W3507="Yes",1,0))</f>
        <v/>
      </c>
      <c r="AN3507">
        <f>IF($AJ3507=1,IFERROR(IF(VALUE($C3507)&lt;100000000,VALUE($C3507),1000000000),IFERROR(IF(VALUE(MID($C3507,2,20))&lt;100000000,VALUE(MID($C3507,2,20)),1000000000),1000000000))+ROW()/100000,"")</f>
        <v/>
      </c>
    </row>
    <row r="3508">
      <c r="E3508" s="11" t="n"/>
      <c r="M3508" s="7">
        <f>IF($C3508="","",L3508*U3508/100)</f>
        <v/>
      </c>
      <c r="N3508" s="7" t="n"/>
      <c r="T3508" s="7" t="n"/>
      <c r="U3508" s="7">
        <f>IF($C3508="","",S3508*T3508)</f>
        <v/>
      </c>
      <c r="X3508">
        <f>IF($C3508="","",IF($AM3508=1,0,IF($AL3508=1,Settings!$C$6,Settings!$C$7))*100)</f>
        <v/>
      </c>
      <c r="AB3508" s="7" t="n"/>
      <c r="AE3508" s="11" t="n"/>
      <c r="AG3508" s="7">
        <f>IF($C3508="","",U3508*X3508/100)</f>
        <v/>
      </c>
      <c r="AH3508" s="7">
        <f>IF($C3508="","",U3508-AG3508)</f>
        <v/>
      </c>
      <c r="AI3508" s="7">
        <f>IF($C3508="","",AH3508-M3508)</f>
        <v/>
      </c>
      <c r="AJ3508">
        <f>IF($C3508="","",IF(COUNTIF($C$2:$C3508,$C3508)=1,1,0))</f>
        <v/>
      </c>
      <c r="AK3508">
        <f>IF($AJ3508=1,SUMPRODUCT(--($AN$2:$AN$4001&lt;$AN3508))+1,"")</f>
        <v/>
      </c>
      <c r="AL3508">
        <f>IF($C3508="","",IF(OR($Q3508=TRUE(),$Q3508="TRUE"),1,0))</f>
        <v/>
      </c>
      <c r="AM3508">
        <f>IF($C3508="","",IF($W3508="Yes",1,0))</f>
        <v/>
      </c>
      <c r="AN3508">
        <f>IF($AJ3508=1,IFERROR(IF(VALUE($C3508)&lt;100000000,VALUE($C3508),1000000000),IFERROR(IF(VALUE(MID($C3508,2,20))&lt;100000000,VALUE(MID($C3508,2,20)),1000000000),1000000000))+ROW()/100000,"")</f>
        <v/>
      </c>
    </row>
    <row r="3509">
      <c r="E3509" s="11" t="n"/>
      <c r="M3509" s="7">
        <f>IF($C3509="","",L3509*U3509/100)</f>
        <v/>
      </c>
      <c r="N3509" s="7" t="n"/>
      <c r="T3509" s="7" t="n"/>
      <c r="U3509" s="7">
        <f>IF($C3509="","",S3509*T3509)</f>
        <v/>
      </c>
      <c r="X3509">
        <f>IF($C3509="","",IF($AM3509=1,0,IF($AL3509=1,Settings!$C$6,Settings!$C$7))*100)</f>
        <v/>
      </c>
      <c r="AB3509" s="7" t="n"/>
      <c r="AE3509" s="11" t="n"/>
      <c r="AG3509" s="7">
        <f>IF($C3509="","",U3509*X3509/100)</f>
        <v/>
      </c>
      <c r="AH3509" s="7">
        <f>IF($C3509="","",U3509-AG3509)</f>
        <v/>
      </c>
      <c r="AI3509" s="7">
        <f>IF($C3509="","",AH3509-M3509)</f>
        <v/>
      </c>
      <c r="AJ3509">
        <f>IF($C3509="","",IF(COUNTIF($C$2:$C3509,$C3509)=1,1,0))</f>
        <v/>
      </c>
      <c r="AK3509">
        <f>IF($AJ3509=1,SUMPRODUCT(--($AN$2:$AN$4001&lt;$AN3509))+1,"")</f>
        <v/>
      </c>
      <c r="AL3509">
        <f>IF($C3509="","",IF(OR($Q3509=TRUE(),$Q3509="TRUE"),1,0))</f>
        <v/>
      </c>
      <c r="AM3509">
        <f>IF($C3509="","",IF($W3509="Yes",1,0))</f>
        <v/>
      </c>
      <c r="AN3509">
        <f>IF($AJ3509=1,IFERROR(IF(VALUE($C3509)&lt;100000000,VALUE($C3509),1000000000),IFERROR(IF(VALUE(MID($C3509,2,20))&lt;100000000,VALUE(MID($C3509,2,20)),1000000000),1000000000))+ROW()/100000,"")</f>
        <v/>
      </c>
    </row>
    <row r="3510">
      <c r="E3510" s="11" t="n"/>
      <c r="M3510" s="7">
        <f>IF($C3510="","",L3510*U3510/100)</f>
        <v/>
      </c>
      <c r="N3510" s="7" t="n"/>
      <c r="T3510" s="7" t="n"/>
      <c r="U3510" s="7">
        <f>IF($C3510="","",S3510*T3510)</f>
        <v/>
      </c>
      <c r="X3510">
        <f>IF($C3510="","",IF($AM3510=1,0,IF($AL3510=1,Settings!$C$6,Settings!$C$7))*100)</f>
        <v/>
      </c>
      <c r="AB3510" s="7" t="n"/>
      <c r="AE3510" s="11" t="n"/>
      <c r="AG3510" s="7">
        <f>IF($C3510="","",U3510*X3510/100)</f>
        <v/>
      </c>
      <c r="AH3510" s="7">
        <f>IF($C3510="","",U3510-AG3510)</f>
        <v/>
      </c>
      <c r="AI3510" s="7">
        <f>IF($C3510="","",AH3510-M3510)</f>
        <v/>
      </c>
      <c r="AJ3510">
        <f>IF($C3510="","",IF(COUNTIF($C$2:$C3510,$C3510)=1,1,0))</f>
        <v/>
      </c>
      <c r="AK3510">
        <f>IF($AJ3510=1,SUMPRODUCT(--($AN$2:$AN$4001&lt;$AN3510))+1,"")</f>
        <v/>
      </c>
      <c r="AL3510">
        <f>IF($C3510="","",IF(OR($Q3510=TRUE(),$Q3510="TRUE"),1,0))</f>
        <v/>
      </c>
      <c r="AM3510">
        <f>IF($C3510="","",IF($W3510="Yes",1,0))</f>
        <v/>
      </c>
      <c r="AN3510">
        <f>IF($AJ3510=1,IFERROR(IF(VALUE($C3510)&lt;100000000,VALUE($C3510),1000000000),IFERROR(IF(VALUE(MID($C3510,2,20))&lt;100000000,VALUE(MID($C3510,2,20)),1000000000),1000000000))+ROW()/100000,"")</f>
        <v/>
      </c>
    </row>
    <row r="3511">
      <c r="E3511" s="11" t="n"/>
      <c r="M3511" s="7">
        <f>IF($C3511="","",L3511*U3511/100)</f>
        <v/>
      </c>
      <c r="N3511" s="7" t="n"/>
      <c r="T3511" s="7" t="n"/>
      <c r="U3511" s="7">
        <f>IF($C3511="","",S3511*T3511)</f>
        <v/>
      </c>
      <c r="X3511">
        <f>IF($C3511="","",IF($AM3511=1,0,IF($AL3511=1,Settings!$C$6,Settings!$C$7))*100)</f>
        <v/>
      </c>
      <c r="AB3511" s="7" t="n"/>
      <c r="AE3511" s="11" t="n"/>
      <c r="AG3511" s="7">
        <f>IF($C3511="","",U3511*X3511/100)</f>
        <v/>
      </c>
      <c r="AH3511" s="7">
        <f>IF($C3511="","",U3511-AG3511)</f>
        <v/>
      </c>
      <c r="AI3511" s="7">
        <f>IF($C3511="","",AH3511-M3511)</f>
        <v/>
      </c>
      <c r="AJ3511">
        <f>IF($C3511="","",IF(COUNTIF($C$2:$C3511,$C3511)=1,1,0))</f>
        <v/>
      </c>
      <c r="AK3511">
        <f>IF($AJ3511=1,SUMPRODUCT(--($AN$2:$AN$4001&lt;$AN3511))+1,"")</f>
        <v/>
      </c>
      <c r="AL3511">
        <f>IF($C3511="","",IF(OR($Q3511=TRUE(),$Q3511="TRUE"),1,0))</f>
        <v/>
      </c>
      <c r="AM3511">
        <f>IF($C3511="","",IF($W3511="Yes",1,0))</f>
        <v/>
      </c>
      <c r="AN3511">
        <f>IF($AJ3511=1,IFERROR(IF(VALUE($C3511)&lt;100000000,VALUE($C3511),1000000000),IFERROR(IF(VALUE(MID($C3511,2,20))&lt;100000000,VALUE(MID($C3511,2,20)),1000000000),1000000000))+ROW()/100000,"")</f>
        <v/>
      </c>
    </row>
    <row r="3512">
      <c r="E3512" s="11" t="n"/>
      <c r="M3512" s="7">
        <f>IF($C3512="","",L3512*U3512/100)</f>
        <v/>
      </c>
      <c r="N3512" s="7" t="n"/>
      <c r="T3512" s="7" t="n"/>
      <c r="U3512" s="7">
        <f>IF($C3512="","",S3512*T3512)</f>
        <v/>
      </c>
      <c r="X3512">
        <f>IF($C3512="","",IF($AM3512=1,0,IF($AL3512=1,Settings!$C$6,Settings!$C$7))*100)</f>
        <v/>
      </c>
      <c r="AB3512" s="7" t="n"/>
      <c r="AE3512" s="11" t="n"/>
      <c r="AG3512" s="7">
        <f>IF($C3512="","",U3512*X3512/100)</f>
        <v/>
      </c>
      <c r="AH3512" s="7">
        <f>IF($C3512="","",U3512-AG3512)</f>
        <v/>
      </c>
      <c r="AI3512" s="7">
        <f>IF($C3512="","",AH3512-M3512)</f>
        <v/>
      </c>
      <c r="AJ3512">
        <f>IF($C3512="","",IF(COUNTIF($C$2:$C3512,$C3512)=1,1,0))</f>
        <v/>
      </c>
      <c r="AK3512">
        <f>IF($AJ3512=1,SUMPRODUCT(--($AN$2:$AN$4001&lt;$AN3512))+1,"")</f>
        <v/>
      </c>
      <c r="AL3512">
        <f>IF($C3512="","",IF(OR($Q3512=TRUE(),$Q3512="TRUE"),1,0))</f>
        <v/>
      </c>
      <c r="AM3512">
        <f>IF($C3512="","",IF($W3512="Yes",1,0))</f>
        <v/>
      </c>
      <c r="AN3512">
        <f>IF($AJ3512=1,IFERROR(IF(VALUE($C3512)&lt;100000000,VALUE($C3512),1000000000),IFERROR(IF(VALUE(MID($C3512,2,20))&lt;100000000,VALUE(MID($C3512,2,20)),1000000000),1000000000))+ROW()/100000,"")</f>
        <v/>
      </c>
    </row>
    <row r="3513">
      <c r="E3513" s="11" t="n"/>
      <c r="M3513" s="7">
        <f>IF($C3513="","",L3513*U3513/100)</f>
        <v/>
      </c>
      <c r="N3513" s="7" t="n"/>
      <c r="T3513" s="7" t="n"/>
      <c r="U3513" s="7">
        <f>IF($C3513="","",S3513*T3513)</f>
        <v/>
      </c>
      <c r="X3513">
        <f>IF($C3513="","",IF($AM3513=1,0,IF($AL3513=1,Settings!$C$6,Settings!$C$7))*100)</f>
        <v/>
      </c>
      <c r="AB3513" s="7" t="n"/>
      <c r="AE3513" s="11" t="n"/>
      <c r="AG3513" s="7">
        <f>IF($C3513="","",U3513*X3513/100)</f>
        <v/>
      </c>
      <c r="AH3513" s="7">
        <f>IF($C3513="","",U3513-AG3513)</f>
        <v/>
      </c>
      <c r="AI3513" s="7">
        <f>IF($C3513="","",AH3513-M3513)</f>
        <v/>
      </c>
      <c r="AJ3513">
        <f>IF($C3513="","",IF(COUNTIF($C$2:$C3513,$C3513)=1,1,0))</f>
        <v/>
      </c>
      <c r="AK3513">
        <f>IF($AJ3513=1,SUMPRODUCT(--($AN$2:$AN$4001&lt;$AN3513))+1,"")</f>
        <v/>
      </c>
      <c r="AL3513">
        <f>IF($C3513="","",IF(OR($Q3513=TRUE(),$Q3513="TRUE"),1,0))</f>
        <v/>
      </c>
      <c r="AM3513">
        <f>IF($C3513="","",IF($W3513="Yes",1,0))</f>
        <v/>
      </c>
      <c r="AN3513">
        <f>IF($AJ3513=1,IFERROR(IF(VALUE($C3513)&lt;100000000,VALUE($C3513),1000000000),IFERROR(IF(VALUE(MID($C3513,2,20))&lt;100000000,VALUE(MID($C3513,2,20)),1000000000),1000000000))+ROW()/100000,"")</f>
        <v/>
      </c>
    </row>
    <row r="3514">
      <c r="E3514" s="11" t="n"/>
      <c r="M3514" s="7">
        <f>IF($C3514="","",L3514*U3514/100)</f>
        <v/>
      </c>
      <c r="N3514" s="7" t="n"/>
      <c r="T3514" s="7" t="n"/>
      <c r="U3514" s="7">
        <f>IF($C3514="","",S3514*T3514)</f>
        <v/>
      </c>
      <c r="X3514">
        <f>IF($C3514="","",IF($AM3514=1,0,IF($AL3514=1,Settings!$C$6,Settings!$C$7))*100)</f>
        <v/>
      </c>
      <c r="AB3514" s="7" t="n"/>
      <c r="AE3514" s="11" t="n"/>
      <c r="AG3514" s="7">
        <f>IF($C3514="","",U3514*X3514/100)</f>
        <v/>
      </c>
      <c r="AH3514" s="7">
        <f>IF($C3514="","",U3514-AG3514)</f>
        <v/>
      </c>
      <c r="AI3514" s="7">
        <f>IF($C3514="","",AH3514-M3514)</f>
        <v/>
      </c>
      <c r="AJ3514">
        <f>IF($C3514="","",IF(COUNTIF($C$2:$C3514,$C3514)=1,1,0))</f>
        <v/>
      </c>
      <c r="AK3514">
        <f>IF($AJ3514=1,SUMPRODUCT(--($AN$2:$AN$4001&lt;$AN3514))+1,"")</f>
        <v/>
      </c>
      <c r="AL3514">
        <f>IF($C3514="","",IF(OR($Q3514=TRUE(),$Q3514="TRUE"),1,0))</f>
        <v/>
      </c>
      <c r="AM3514">
        <f>IF($C3514="","",IF($W3514="Yes",1,0))</f>
        <v/>
      </c>
      <c r="AN3514">
        <f>IF($AJ3514=1,IFERROR(IF(VALUE($C3514)&lt;100000000,VALUE($C3514),1000000000),IFERROR(IF(VALUE(MID($C3514,2,20))&lt;100000000,VALUE(MID($C3514,2,20)),1000000000),1000000000))+ROW()/100000,"")</f>
        <v/>
      </c>
    </row>
    <row r="3515">
      <c r="E3515" s="11" t="n"/>
      <c r="M3515" s="7">
        <f>IF($C3515="","",L3515*U3515/100)</f>
        <v/>
      </c>
      <c r="N3515" s="7" t="n"/>
      <c r="T3515" s="7" t="n"/>
      <c r="U3515" s="7">
        <f>IF($C3515="","",S3515*T3515)</f>
        <v/>
      </c>
      <c r="X3515">
        <f>IF($C3515="","",IF($AM3515=1,0,IF($AL3515=1,Settings!$C$6,Settings!$C$7))*100)</f>
        <v/>
      </c>
      <c r="AB3515" s="7" t="n"/>
      <c r="AE3515" s="11" t="n"/>
      <c r="AG3515" s="7">
        <f>IF($C3515="","",U3515*X3515/100)</f>
        <v/>
      </c>
      <c r="AH3515" s="7">
        <f>IF($C3515="","",U3515-AG3515)</f>
        <v/>
      </c>
      <c r="AI3515" s="7">
        <f>IF($C3515="","",AH3515-M3515)</f>
        <v/>
      </c>
      <c r="AJ3515">
        <f>IF($C3515="","",IF(COUNTIF($C$2:$C3515,$C3515)=1,1,0))</f>
        <v/>
      </c>
      <c r="AK3515">
        <f>IF($AJ3515=1,SUMPRODUCT(--($AN$2:$AN$4001&lt;$AN3515))+1,"")</f>
        <v/>
      </c>
      <c r="AL3515">
        <f>IF($C3515="","",IF(OR($Q3515=TRUE(),$Q3515="TRUE"),1,0))</f>
        <v/>
      </c>
      <c r="AM3515">
        <f>IF($C3515="","",IF($W3515="Yes",1,0))</f>
        <v/>
      </c>
      <c r="AN3515">
        <f>IF($AJ3515=1,IFERROR(IF(VALUE($C3515)&lt;100000000,VALUE($C3515),1000000000),IFERROR(IF(VALUE(MID($C3515,2,20))&lt;100000000,VALUE(MID($C3515,2,20)),1000000000),1000000000))+ROW()/100000,"")</f>
        <v/>
      </c>
    </row>
    <row r="3516">
      <c r="E3516" s="11" t="n"/>
      <c r="M3516" s="7">
        <f>IF($C3516="","",L3516*U3516/100)</f>
        <v/>
      </c>
      <c r="N3516" s="7" t="n"/>
      <c r="T3516" s="7" t="n"/>
      <c r="U3516" s="7">
        <f>IF($C3516="","",S3516*T3516)</f>
        <v/>
      </c>
      <c r="X3516">
        <f>IF($C3516="","",IF($AM3516=1,0,IF($AL3516=1,Settings!$C$6,Settings!$C$7))*100)</f>
        <v/>
      </c>
      <c r="AB3516" s="7" t="n"/>
      <c r="AE3516" s="11" t="n"/>
      <c r="AG3516" s="7">
        <f>IF($C3516="","",U3516*X3516/100)</f>
        <v/>
      </c>
      <c r="AH3516" s="7">
        <f>IF($C3516="","",U3516-AG3516)</f>
        <v/>
      </c>
      <c r="AI3516" s="7">
        <f>IF($C3516="","",AH3516-M3516)</f>
        <v/>
      </c>
      <c r="AJ3516">
        <f>IF($C3516="","",IF(COUNTIF($C$2:$C3516,$C3516)=1,1,0))</f>
        <v/>
      </c>
      <c r="AK3516">
        <f>IF($AJ3516=1,SUMPRODUCT(--($AN$2:$AN$4001&lt;$AN3516))+1,"")</f>
        <v/>
      </c>
      <c r="AL3516">
        <f>IF($C3516="","",IF(OR($Q3516=TRUE(),$Q3516="TRUE"),1,0))</f>
        <v/>
      </c>
      <c r="AM3516">
        <f>IF($C3516="","",IF($W3516="Yes",1,0))</f>
        <v/>
      </c>
      <c r="AN3516">
        <f>IF($AJ3516=1,IFERROR(IF(VALUE($C3516)&lt;100000000,VALUE($C3516),1000000000),IFERROR(IF(VALUE(MID($C3516,2,20))&lt;100000000,VALUE(MID($C3516,2,20)),1000000000),1000000000))+ROW()/100000,"")</f>
        <v/>
      </c>
    </row>
    <row r="3517">
      <c r="E3517" s="11" t="n"/>
      <c r="M3517" s="7">
        <f>IF($C3517="","",L3517*U3517/100)</f>
        <v/>
      </c>
      <c r="N3517" s="7" t="n"/>
      <c r="T3517" s="7" t="n"/>
      <c r="U3517" s="7">
        <f>IF($C3517="","",S3517*T3517)</f>
        <v/>
      </c>
      <c r="X3517">
        <f>IF($C3517="","",IF($AM3517=1,0,IF($AL3517=1,Settings!$C$6,Settings!$C$7))*100)</f>
        <v/>
      </c>
      <c r="AB3517" s="7" t="n"/>
      <c r="AE3517" s="11" t="n"/>
      <c r="AG3517" s="7">
        <f>IF($C3517="","",U3517*X3517/100)</f>
        <v/>
      </c>
      <c r="AH3517" s="7">
        <f>IF($C3517="","",U3517-AG3517)</f>
        <v/>
      </c>
      <c r="AI3517" s="7">
        <f>IF($C3517="","",AH3517-M3517)</f>
        <v/>
      </c>
      <c r="AJ3517">
        <f>IF($C3517="","",IF(COUNTIF($C$2:$C3517,$C3517)=1,1,0))</f>
        <v/>
      </c>
      <c r="AK3517">
        <f>IF($AJ3517=1,SUMPRODUCT(--($AN$2:$AN$4001&lt;$AN3517))+1,"")</f>
        <v/>
      </c>
      <c r="AL3517">
        <f>IF($C3517="","",IF(OR($Q3517=TRUE(),$Q3517="TRUE"),1,0))</f>
        <v/>
      </c>
      <c r="AM3517">
        <f>IF($C3517="","",IF($W3517="Yes",1,0))</f>
        <v/>
      </c>
      <c r="AN3517">
        <f>IF($AJ3517=1,IFERROR(IF(VALUE($C3517)&lt;100000000,VALUE($C3517),1000000000),IFERROR(IF(VALUE(MID($C3517,2,20))&lt;100000000,VALUE(MID($C3517,2,20)),1000000000),1000000000))+ROW()/100000,"")</f>
        <v/>
      </c>
    </row>
    <row r="3518">
      <c r="E3518" s="11" t="n"/>
      <c r="M3518" s="7">
        <f>IF($C3518="","",L3518*U3518/100)</f>
        <v/>
      </c>
      <c r="N3518" s="7" t="n"/>
      <c r="T3518" s="7" t="n"/>
      <c r="U3518" s="7">
        <f>IF($C3518="","",S3518*T3518)</f>
        <v/>
      </c>
      <c r="X3518">
        <f>IF($C3518="","",IF($AM3518=1,0,IF($AL3518=1,Settings!$C$6,Settings!$C$7))*100)</f>
        <v/>
      </c>
      <c r="AB3518" s="7" t="n"/>
      <c r="AE3518" s="11" t="n"/>
      <c r="AG3518" s="7">
        <f>IF($C3518="","",U3518*X3518/100)</f>
        <v/>
      </c>
      <c r="AH3518" s="7">
        <f>IF($C3518="","",U3518-AG3518)</f>
        <v/>
      </c>
      <c r="AI3518" s="7">
        <f>IF($C3518="","",AH3518-M3518)</f>
        <v/>
      </c>
      <c r="AJ3518">
        <f>IF($C3518="","",IF(COUNTIF($C$2:$C3518,$C3518)=1,1,0))</f>
        <v/>
      </c>
      <c r="AK3518">
        <f>IF($AJ3518=1,SUMPRODUCT(--($AN$2:$AN$4001&lt;$AN3518))+1,"")</f>
        <v/>
      </c>
      <c r="AL3518">
        <f>IF($C3518="","",IF(OR($Q3518=TRUE(),$Q3518="TRUE"),1,0))</f>
        <v/>
      </c>
      <c r="AM3518">
        <f>IF($C3518="","",IF($W3518="Yes",1,0))</f>
        <v/>
      </c>
      <c r="AN3518">
        <f>IF($AJ3518=1,IFERROR(IF(VALUE($C3518)&lt;100000000,VALUE($C3518),1000000000),IFERROR(IF(VALUE(MID($C3518,2,20))&lt;100000000,VALUE(MID($C3518,2,20)),1000000000),1000000000))+ROW()/100000,"")</f>
        <v/>
      </c>
    </row>
    <row r="3519">
      <c r="E3519" s="11" t="n"/>
      <c r="M3519" s="7">
        <f>IF($C3519="","",L3519*U3519/100)</f>
        <v/>
      </c>
      <c r="N3519" s="7" t="n"/>
      <c r="T3519" s="7" t="n"/>
      <c r="U3519" s="7">
        <f>IF($C3519="","",S3519*T3519)</f>
        <v/>
      </c>
      <c r="X3519">
        <f>IF($C3519="","",IF($AM3519=1,0,IF($AL3519=1,Settings!$C$6,Settings!$C$7))*100)</f>
        <v/>
      </c>
      <c r="AB3519" s="7" t="n"/>
      <c r="AE3519" s="11" t="n"/>
      <c r="AG3519" s="7">
        <f>IF($C3519="","",U3519*X3519/100)</f>
        <v/>
      </c>
      <c r="AH3519" s="7">
        <f>IF($C3519="","",U3519-AG3519)</f>
        <v/>
      </c>
      <c r="AI3519" s="7">
        <f>IF($C3519="","",AH3519-M3519)</f>
        <v/>
      </c>
      <c r="AJ3519">
        <f>IF($C3519="","",IF(COUNTIF($C$2:$C3519,$C3519)=1,1,0))</f>
        <v/>
      </c>
      <c r="AK3519">
        <f>IF($AJ3519=1,SUMPRODUCT(--($AN$2:$AN$4001&lt;$AN3519))+1,"")</f>
        <v/>
      </c>
      <c r="AL3519">
        <f>IF($C3519="","",IF(OR($Q3519=TRUE(),$Q3519="TRUE"),1,0))</f>
        <v/>
      </c>
      <c r="AM3519">
        <f>IF($C3519="","",IF($W3519="Yes",1,0))</f>
        <v/>
      </c>
      <c r="AN3519">
        <f>IF($AJ3519=1,IFERROR(IF(VALUE($C3519)&lt;100000000,VALUE($C3519),1000000000),IFERROR(IF(VALUE(MID($C3519,2,20))&lt;100000000,VALUE(MID($C3519,2,20)),1000000000),1000000000))+ROW()/100000,"")</f>
        <v/>
      </c>
    </row>
    <row r="3520">
      <c r="E3520" s="11" t="n"/>
      <c r="M3520" s="7">
        <f>IF($C3520="","",L3520*U3520/100)</f>
        <v/>
      </c>
      <c r="N3520" s="7" t="n"/>
      <c r="T3520" s="7" t="n"/>
      <c r="U3520" s="7">
        <f>IF($C3520="","",S3520*T3520)</f>
        <v/>
      </c>
      <c r="X3520">
        <f>IF($C3520="","",IF($AM3520=1,0,IF($AL3520=1,Settings!$C$6,Settings!$C$7))*100)</f>
        <v/>
      </c>
      <c r="AB3520" s="7" t="n"/>
      <c r="AE3520" s="11" t="n"/>
      <c r="AG3520" s="7">
        <f>IF($C3520="","",U3520*X3520/100)</f>
        <v/>
      </c>
      <c r="AH3520" s="7">
        <f>IF($C3520="","",U3520-AG3520)</f>
        <v/>
      </c>
      <c r="AI3520" s="7">
        <f>IF($C3520="","",AH3520-M3520)</f>
        <v/>
      </c>
      <c r="AJ3520">
        <f>IF($C3520="","",IF(COUNTIF($C$2:$C3520,$C3520)=1,1,0))</f>
        <v/>
      </c>
      <c r="AK3520">
        <f>IF($AJ3520=1,SUMPRODUCT(--($AN$2:$AN$4001&lt;$AN3520))+1,"")</f>
        <v/>
      </c>
      <c r="AL3520">
        <f>IF($C3520="","",IF(OR($Q3520=TRUE(),$Q3520="TRUE"),1,0))</f>
        <v/>
      </c>
      <c r="AM3520">
        <f>IF($C3520="","",IF($W3520="Yes",1,0))</f>
        <v/>
      </c>
      <c r="AN3520">
        <f>IF($AJ3520=1,IFERROR(IF(VALUE($C3520)&lt;100000000,VALUE($C3520),1000000000),IFERROR(IF(VALUE(MID($C3520,2,20))&lt;100000000,VALUE(MID($C3520,2,20)),1000000000),1000000000))+ROW()/100000,"")</f>
        <v/>
      </c>
    </row>
    <row r="3521">
      <c r="E3521" s="11" t="n"/>
      <c r="M3521" s="7">
        <f>IF($C3521="","",L3521*U3521/100)</f>
        <v/>
      </c>
      <c r="N3521" s="7" t="n"/>
      <c r="T3521" s="7" t="n"/>
      <c r="U3521" s="7">
        <f>IF($C3521="","",S3521*T3521)</f>
        <v/>
      </c>
      <c r="X3521">
        <f>IF($C3521="","",IF($AM3521=1,0,IF($AL3521=1,Settings!$C$6,Settings!$C$7))*100)</f>
        <v/>
      </c>
      <c r="AB3521" s="7" t="n"/>
      <c r="AE3521" s="11" t="n"/>
      <c r="AG3521" s="7">
        <f>IF($C3521="","",U3521*X3521/100)</f>
        <v/>
      </c>
      <c r="AH3521" s="7">
        <f>IF($C3521="","",U3521-AG3521)</f>
        <v/>
      </c>
      <c r="AI3521" s="7">
        <f>IF($C3521="","",AH3521-M3521)</f>
        <v/>
      </c>
      <c r="AJ3521">
        <f>IF($C3521="","",IF(COUNTIF($C$2:$C3521,$C3521)=1,1,0))</f>
        <v/>
      </c>
      <c r="AK3521">
        <f>IF($AJ3521=1,SUMPRODUCT(--($AN$2:$AN$4001&lt;$AN3521))+1,"")</f>
        <v/>
      </c>
      <c r="AL3521">
        <f>IF($C3521="","",IF(OR($Q3521=TRUE(),$Q3521="TRUE"),1,0))</f>
        <v/>
      </c>
      <c r="AM3521">
        <f>IF($C3521="","",IF($W3521="Yes",1,0))</f>
        <v/>
      </c>
      <c r="AN3521">
        <f>IF($AJ3521=1,IFERROR(IF(VALUE($C3521)&lt;100000000,VALUE($C3521),1000000000),IFERROR(IF(VALUE(MID($C3521,2,20))&lt;100000000,VALUE(MID($C3521,2,20)),1000000000),1000000000))+ROW()/100000,"")</f>
        <v/>
      </c>
    </row>
    <row r="3522">
      <c r="E3522" s="11" t="n"/>
      <c r="M3522" s="7">
        <f>IF($C3522="","",L3522*U3522/100)</f>
        <v/>
      </c>
      <c r="N3522" s="7" t="n"/>
      <c r="T3522" s="7" t="n"/>
      <c r="U3522" s="7">
        <f>IF($C3522="","",S3522*T3522)</f>
        <v/>
      </c>
      <c r="X3522">
        <f>IF($C3522="","",IF($AM3522=1,0,IF($AL3522=1,Settings!$C$6,Settings!$C$7))*100)</f>
        <v/>
      </c>
      <c r="AB3522" s="7" t="n"/>
      <c r="AE3522" s="11" t="n"/>
      <c r="AG3522" s="7">
        <f>IF($C3522="","",U3522*X3522/100)</f>
        <v/>
      </c>
      <c r="AH3522" s="7">
        <f>IF($C3522="","",U3522-AG3522)</f>
        <v/>
      </c>
      <c r="AI3522" s="7">
        <f>IF($C3522="","",AH3522-M3522)</f>
        <v/>
      </c>
      <c r="AJ3522">
        <f>IF($C3522="","",IF(COUNTIF($C$2:$C3522,$C3522)=1,1,0))</f>
        <v/>
      </c>
      <c r="AK3522">
        <f>IF($AJ3522=1,SUMPRODUCT(--($AN$2:$AN$4001&lt;$AN3522))+1,"")</f>
        <v/>
      </c>
      <c r="AL3522">
        <f>IF($C3522="","",IF(OR($Q3522=TRUE(),$Q3522="TRUE"),1,0))</f>
        <v/>
      </c>
      <c r="AM3522">
        <f>IF($C3522="","",IF($W3522="Yes",1,0))</f>
        <v/>
      </c>
      <c r="AN3522">
        <f>IF($AJ3522=1,IFERROR(IF(VALUE($C3522)&lt;100000000,VALUE($C3522),1000000000),IFERROR(IF(VALUE(MID($C3522,2,20))&lt;100000000,VALUE(MID($C3522,2,20)),1000000000),1000000000))+ROW()/100000,"")</f>
        <v/>
      </c>
    </row>
    <row r="3523">
      <c r="E3523" s="11" t="n"/>
      <c r="M3523" s="7">
        <f>IF($C3523="","",L3523*U3523/100)</f>
        <v/>
      </c>
      <c r="N3523" s="7" t="n"/>
      <c r="T3523" s="7" t="n"/>
      <c r="U3523" s="7">
        <f>IF($C3523="","",S3523*T3523)</f>
        <v/>
      </c>
      <c r="X3523">
        <f>IF($C3523="","",IF($AM3523=1,0,IF($AL3523=1,Settings!$C$6,Settings!$C$7))*100)</f>
        <v/>
      </c>
      <c r="AB3523" s="7" t="n"/>
      <c r="AE3523" s="11" t="n"/>
      <c r="AG3523" s="7">
        <f>IF($C3523="","",U3523*X3523/100)</f>
        <v/>
      </c>
      <c r="AH3523" s="7">
        <f>IF($C3523="","",U3523-AG3523)</f>
        <v/>
      </c>
      <c r="AI3523" s="7">
        <f>IF($C3523="","",AH3523-M3523)</f>
        <v/>
      </c>
      <c r="AJ3523">
        <f>IF($C3523="","",IF(COUNTIF($C$2:$C3523,$C3523)=1,1,0))</f>
        <v/>
      </c>
      <c r="AK3523">
        <f>IF($AJ3523=1,SUMPRODUCT(--($AN$2:$AN$4001&lt;$AN3523))+1,"")</f>
        <v/>
      </c>
      <c r="AL3523">
        <f>IF($C3523="","",IF(OR($Q3523=TRUE(),$Q3523="TRUE"),1,0))</f>
        <v/>
      </c>
      <c r="AM3523">
        <f>IF($C3523="","",IF($W3523="Yes",1,0))</f>
        <v/>
      </c>
      <c r="AN3523">
        <f>IF($AJ3523=1,IFERROR(IF(VALUE($C3523)&lt;100000000,VALUE($C3523),1000000000),IFERROR(IF(VALUE(MID($C3523,2,20))&lt;100000000,VALUE(MID($C3523,2,20)),1000000000),1000000000))+ROW()/100000,"")</f>
        <v/>
      </c>
    </row>
    <row r="3524">
      <c r="E3524" s="11" t="n"/>
      <c r="M3524" s="7">
        <f>IF($C3524="","",L3524*U3524/100)</f>
        <v/>
      </c>
      <c r="N3524" s="7" t="n"/>
      <c r="T3524" s="7" t="n"/>
      <c r="U3524" s="7">
        <f>IF($C3524="","",S3524*T3524)</f>
        <v/>
      </c>
      <c r="X3524">
        <f>IF($C3524="","",IF($AM3524=1,0,IF($AL3524=1,Settings!$C$6,Settings!$C$7))*100)</f>
        <v/>
      </c>
      <c r="AB3524" s="7" t="n"/>
      <c r="AE3524" s="11" t="n"/>
      <c r="AG3524" s="7">
        <f>IF($C3524="","",U3524*X3524/100)</f>
        <v/>
      </c>
      <c r="AH3524" s="7">
        <f>IF($C3524="","",U3524-AG3524)</f>
        <v/>
      </c>
      <c r="AI3524" s="7">
        <f>IF($C3524="","",AH3524-M3524)</f>
        <v/>
      </c>
      <c r="AJ3524">
        <f>IF($C3524="","",IF(COUNTIF($C$2:$C3524,$C3524)=1,1,0))</f>
        <v/>
      </c>
      <c r="AK3524">
        <f>IF($AJ3524=1,SUMPRODUCT(--($AN$2:$AN$4001&lt;$AN3524))+1,"")</f>
        <v/>
      </c>
      <c r="AL3524">
        <f>IF($C3524="","",IF(OR($Q3524=TRUE(),$Q3524="TRUE"),1,0))</f>
        <v/>
      </c>
      <c r="AM3524">
        <f>IF($C3524="","",IF($W3524="Yes",1,0))</f>
        <v/>
      </c>
      <c r="AN3524">
        <f>IF($AJ3524=1,IFERROR(IF(VALUE($C3524)&lt;100000000,VALUE($C3524),1000000000),IFERROR(IF(VALUE(MID($C3524,2,20))&lt;100000000,VALUE(MID($C3524,2,20)),1000000000),1000000000))+ROW()/100000,"")</f>
        <v/>
      </c>
    </row>
    <row r="3525">
      <c r="E3525" s="11" t="n"/>
      <c r="M3525" s="7">
        <f>IF($C3525="","",L3525*U3525/100)</f>
        <v/>
      </c>
      <c r="N3525" s="7" t="n"/>
      <c r="T3525" s="7" t="n"/>
      <c r="U3525" s="7">
        <f>IF($C3525="","",S3525*T3525)</f>
        <v/>
      </c>
      <c r="X3525">
        <f>IF($C3525="","",IF($AM3525=1,0,IF($AL3525=1,Settings!$C$6,Settings!$C$7))*100)</f>
        <v/>
      </c>
      <c r="AB3525" s="7" t="n"/>
      <c r="AE3525" s="11" t="n"/>
      <c r="AG3525" s="7">
        <f>IF($C3525="","",U3525*X3525/100)</f>
        <v/>
      </c>
      <c r="AH3525" s="7">
        <f>IF($C3525="","",U3525-AG3525)</f>
        <v/>
      </c>
      <c r="AI3525" s="7">
        <f>IF($C3525="","",AH3525-M3525)</f>
        <v/>
      </c>
      <c r="AJ3525">
        <f>IF($C3525="","",IF(COUNTIF($C$2:$C3525,$C3525)=1,1,0))</f>
        <v/>
      </c>
      <c r="AK3525">
        <f>IF($AJ3525=1,SUMPRODUCT(--($AN$2:$AN$4001&lt;$AN3525))+1,"")</f>
        <v/>
      </c>
      <c r="AL3525">
        <f>IF($C3525="","",IF(OR($Q3525=TRUE(),$Q3525="TRUE"),1,0))</f>
        <v/>
      </c>
      <c r="AM3525">
        <f>IF($C3525="","",IF($W3525="Yes",1,0))</f>
        <v/>
      </c>
      <c r="AN3525">
        <f>IF($AJ3525=1,IFERROR(IF(VALUE($C3525)&lt;100000000,VALUE($C3525),1000000000),IFERROR(IF(VALUE(MID($C3525,2,20))&lt;100000000,VALUE(MID($C3525,2,20)),1000000000),1000000000))+ROW()/100000,"")</f>
        <v/>
      </c>
    </row>
    <row r="3526">
      <c r="E3526" s="11" t="n"/>
      <c r="M3526" s="7">
        <f>IF($C3526="","",L3526*U3526/100)</f>
        <v/>
      </c>
      <c r="N3526" s="7" t="n"/>
      <c r="T3526" s="7" t="n"/>
      <c r="U3526" s="7">
        <f>IF($C3526="","",S3526*T3526)</f>
        <v/>
      </c>
      <c r="X3526">
        <f>IF($C3526="","",IF($AM3526=1,0,IF($AL3526=1,Settings!$C$6,Settings!$C$7))*100)</f>
        <v/>
      </c>
      <c r="AB3526" s="7" t="n"/>
      <c r="AE3526" s="11" t="n"/>
      <c r="AG3526" s="7">
        <f>IF($C3526="","",U3526*X3526/100)</f>
        <v/>
      </c>
      <c r="AH3526" s="7">
        <f>IF($C3526="","",U3526-AG3526)</f>
        <v/>
      </c>
      <c r="AI3526" s="7">
        <f>IF($C3526="","",AH3526-M3526)</f>
        <v/>
      </c>
      <c r="AJ3526">
        <f>IF($C3526="","",IF(COUNTIF($C$2:$C3526,$C3526)=1,1,0))</f>
        <v/>
      </c>
      <c r="AK3526">
        <f>IF($AJ3526=1,SUMPRODUCT(--($AN$2:$AN$4001&lt;$AN3526))+1,"")</f>
        <v/>
      </c>
      <c r="AL3526">
        <f>IF($C3526="","",IF(OR($Q3526=TRUE(),$Q3526="TRUE"),1,0))</f>
        <v/>
      </c>
      <c r="AM3526">
        <f>IF($C3526="","",IF($W3526="Yes",1,0))</f>
        <v/>
      </c>
      <c r="AN3526">
        <f>IF($AJ3526=1,IFERROR(IF(VALUE($C3526)&lt;100000000,VALUE($C3526),1000000000),IFERROR(IF(VALUE(MID($C3526,2,20))&lt;100000000,VALUE(MID($C3526,2,20)),1000000000),1000000000))+ROW()/100000,"")</f>
        <v/>
      </c>
    </row>
    <row r="3527">
      <c r="E3527" s="11" t="n"/>
      <c r="M3527" s="7">
        <f>IF($C3527="","",L3527*U3527/100)</f>
        <v/>
      </c>
      <c r="N3527" s="7" t="n"/>
      <c r="T3527" s="7" t="n"/>
      <c r="U3527" s="7">
        <f>IF($C3527="","",S3527*T3527)</f>
        <v/>
      </c>
      <c r="X3527">
        <f>IF($C3527="","",IF($AM3527=1,0,IF($AL3527=1,Settings!$C$6,Settings!$C$7))*100)</f>
        <v/>
      </c>
      <c r="AB3527" s="7" t="n"/>
      <c r="AE3527" s="11" t="n"/>
      <c r="AG3527" s="7">
        <f>IF($C3527="","",U3527*X3527/100)</f>
        <v/>
      </c>
      <c r="AH3527" s="7">
        <f>IF($C3527="","",U3527-AG3527)</f>
        <v/>
      </c>
      <c r="AI3527" s="7">
        <f>IF($C3527="","",AH3527-M3527)</f>
        <v/>
      </c>
      <c r="AJ3527">
        <f>IF($C3527="","",IF(COUNTIF($C$2:$C3527,$C3527)=1,1,0))</f>
        <v/>
      </c>
      <c r="AK3527">
        <f>IF($AJ3527=1,SUMPRODUCT(--($AN$2:$AN$4001&lt;$AN3527))+1,"")</f>
        <v/>
      </c>
      <c r="AL3527">
        <f>IF($C3527="","",IF(OR($Q3527=TRUE(),$Q3527="TRUE"),1,0))</f>
        <v/>
      </c>
      <c r="AM3527">
        <f>IF($C3527="","",IF($W3527="Yes",1,0))</f>
        <v/>
      </c>
      <c r="AN3527">
        <f>IF($AJ3527=1,IFERROR(IF(VALUE($C3527)&lt;100000000,VALUE($C3527),1000000000),IFERROR(IF(VALUE(MID($C3527,2,20))&lt;100000000,VALUE(MID($C3527,2,20)),1000000000),1000000000))+ROW()/100000,"")</f>
        <v/>
      </c>
    </row>
    <row r="3528">
      <c r="E3528" s="11" t="n"/>
      <c r="M3528" s="7">
        <f>IF($C3528="","",L3528*U3528/100)</f>
        <v/>
      </c>
      <c r="N3528" s="7" t="n"/>
      <c r="T3528" s="7" t="n"/>
      <c r="U3528" s="7">
        <f>IF($C3528="","",S3528*T3528)</f>
        <v/>
      </c>
      <c r="X3528">
        <f>IF($C3528="","",IF($AM3528=1,0,IF($AL3528=1,Settings!$C$6,Settings!$C$7))*100)</f>
        <v/>
      </c>
      <c r="AB3528" s="7" t="n"/>
      <c r="AE3528" s="11" t="n"/>
      <c r="AG3528" s="7">
        <f>IF($C3528="","",U3528*X3528/100)</f>
        <v/>
      </c>
      <c r="AH3528" s="7">
        <f>IF($C3528="","",U3528-AG3528)</f>
        <v/>
      </c>
      <c r="AI3528" s="7">
        <f>IF($C3528="","",AH3528-M3528)</f>
        <v/>
      </c>
      <c r="AJ3528">
        <f>IF($C3528="","",IF(COUNTIF($C$2:$C3528,$C3528)=1,1,0))</f>
        <v/>
      </c>
      <c r="AK3528">
        <f>IF($AJ3528=1,SUMPRODUCT(--($AN$2:$AN$4001&lt;$AN3528))+1,"")</f>
        <v/>
      </c>
      <c r="AL3528">
        <f>IF($C3528="","",IF(OR($Q3528=TRUE(),$Q3528="TRUE"),1,0))</f>
        <v/>
      </c>
      <c r="AM3528">
        <f>IF($C3528="","",IF($W3528="Yes",1,0))</f>
        <v/>
      </c>
      <c r="AN3528">
        <f>IF($AJ3528=1,IFERROR(IF(VALUE($C3528)&lt;100000000,VALUE($C3528),1000000000),IFERROR(IF(VALUE(MID($C3528,2,20))&lt;100000000,VALUE(MID($C3528,2,20)),1000000000),1000000000))+ROW()/100000,"")</f>
        <v/>
      </c>
    </row>
    <row r="3529">
      <c r="E3529" s="11" t="n"/>
      <c r="M3529" s="7">
        <f>IF($C3529="","",L3529*U3529/100)</f>
        <v/>
      </c>
      <c r="N3529" s="7" t="n"/>
      <c r="T3529" s="7" t="n"/>
      <c r="U3529" s="7">
        <f>IF($C3529="","",S3529*T3529)</f>
        <v/>
      </c>
      <c r="X3529">
        <f>IF($C3529="","",IF($AM3529=1,0,IF($AL3529=1,Settings!$C$6,Settings!$C$7))*100)</f>
        <v/>
      </c>
      <c r="AB3529" s="7" t="n"/>
      <c r="AE3529" s="11" t="n"/>
      <c r="AG3529" s="7">
        <f>IF($C3529="","",U3529*X3529/100)</f>
        <v/>
      </c>
      <c r="AH3529" s="7">
        <f>IF($C3529="","",U3529-AG3529)</f>
        <v/>
      </c>
      <c r="AI3529" s="7">
        <f>IF($C3529="","",AH3529-M3529)</f>
        <v/>
      </c>
      <c r="AJ3529">
        <f>IF($C3529="","",IF(COUNTIF($C$2:$C3529,$C3529)=1,1,0))</f>
        <v/>
      </c>
      <c r="AK3529">
        <f>IF($AJ3529=1,SUMPRODUCT(--($AN$2:$AN$4001&lt;$AN3529))+1,"")</f>
        <v/>
      </c>
      <c r="AL3529">
        <f>IF($C3529="","",IF(OR($Q3529=TRUE(),$Q3529="TRUE"),1,0))</f>
        <v/>
      </c>
      <c r="AM3529">
        <f>IF($C3529="","",IF($W3529="Yes",1,0))</f>
        <v/>
      </c>
      <c r="AN3529">
        <f>IF($AJ3529=1,IFERROR(IF(VALUE($C3529)&lt;100000000,VALUE($C3529),1000000000),IFERROR(IF(VALUE(MID($C3529,2,20))&lt;100000000,VALUE(MID($C3529,2,20)),1000000000),1000000000))+ROW()/100000,"")</f>
        <v/>
      </c>
    </row>
    <row r="3530">
      <c r="E3530" s="11" t="n"/>
      <c r="M3530" s="7">
        <f>IF($C3530="","",L3530*U3530/100)</f>
        <v/>
      </c>
      <c r="N3530" s="7" t="n"/>
      <c r="T3530" s="7" t="n"/>
      <c r="U3530" s="7">
        <f>IF($C3530="","",S3530*T3530)</f>
        <v/>
      </c>
      <c r="X3530">
        <f>IF($C3530="","",IF($AM3530=1,0,IF($AL3530=1,Settings!$C$6,Settings!$C$7))*100)</f>
        <v/>
      </c>
      <c r="AB3530" s="7" t="n"/>
      <c r="AE3530" s="11" t="n"/>
      <c r="AG3530" s="7">
        <f>IF($C3530="","",U3530*X3530/100)</f>
        <v/>
      </c>
      <c r="AH3530" s="7">
        <f>IF($C3530="","",U3530-AG3530)</f>
        <v/>
      </c>
      <c r="AI3530" s="7">
        <f>IF($C3530="","",AH3530-M3530)</f>
        <v/>
      </c>
      <c r="AJ3530">
        <f>IF($C3530="","",IF(COUNTIF($C$2:$C3530,$C3530)=1,1,0))</f>
        <v/>
      </c>
      <c r="AK3530">
        <f>IF($AJ3530=1,SUMPRODUCT(--($AN$2:$AN$4001&lt;$AN3530))+1,"")</f>
        <v/>
      </c>
      <c r="AL3530">
        <f>IF($C3530="","",IF(OR($Q3530=TRUE(),$Q3530="TRUE"),1,0))</f>
        <v/>
      </c>
      <c r="AM3530">
        <f>IF($C3530="","",IF($W3530="Yes",1,0))</f>
        <v/>
      </c>
      <c r="AN3530">
        <f>IF($AJ3530=1,IFERROR(IF(VALUE($C3530)&lt;100000000,VALUE($C3530),1000000000),IFERROR(IF(VALUE(MID($C3530,2,20))&lt;100000000,VALUE(MID($C3530,2,20)),1000000000),1000000000))+ROW()/100000,"")</f>
        <v/>
      </c>
    </row>
    <row r="3531">
      <c r="E3531" s="11" t="n"/>
      <c r="M3531" s="7">
        <f>IF($C3531="","",L3531*U3531/100)</f>
        <v/>
      </c>
      <c r="N3531" s="7" t="n"/>
      <c r="T3531" s="7" t="n"/>
      <c r="U3531" s="7">
        <f>IF($C3531="","",S3531*T3531)</f>
        <v/>
      </c>
      <c r="X3531">
        <f>IF($C3531="","",IF($AM3531=1,0,IF($AL3531=1,Settings!$C$6,Settings!$C$7))*100)</f>
        <v/>
      </c>
      <c r="AB3531" s="7" t="n"/>
      <c r="AE3531" s="11" t="n"/>
      <c r="AG3531" s="7">
        <f>IF($C3531="","",U3531*X3531/100)</f>
        <v/>
      </c>
      <c r="AH3531" s="7">
        <f>IF($C3531="","",U3531-AG3531)</f>
        <v/>
      </c>
      <c r="AI3531" s="7">
        <f>IF($C3531="","",AH3531-M3531)</f>
        <v/>
      </c>
      <c r="AJ3531">
        <f>IF($C3531="","",IF(COUNTIF($C$2:$C3531,$C3531)=1,1,0))</f>
        <v/>
      </c>
      <c r="AK3531">
        <f>IF($AJ3531=1,SUMPRODUCT(--($AN$2:$AN$4001&lt;$AN3531))+1,"")</f>
        <v/>
      </c>
      <c r="AL3531">
        <f>IF($C3531="","",IF(OR($Q3531=TRUE(),$Q3531="TRUE"),1,0))</f>
        <v/>
      </c>
      <c r="AM3531">
        <f>IF($C3531="","",IF($W3531="Yes",1,0))</f>
        <v/>
      </c>
      <c r="AN3531">
        <f>IF($AJ3531=1,IFERROR(IF(VALUE($C3531)&lt;100000000,VALUE($C3531),1000000000),IFERROR(IF(VALUE(MID($C3531,2,20))&lt;100000000,VALUE(MID($C3531,2,20)),1000000000),1000000000))+ROW()/100000,"")</f>
        <v/>
      </c>
    </row>
    <row r="3532">
      <c r="E3532" s="11" t="n"/>
      <c r="M3532" s="7">
        <f>IF($C3532="","",L3532*U3532/100)</f>
        <v/>
      </c>
      <c r="N3532" s="7" t="n"/>
      <c r="T3532" s="7" t="n"/>
      <c r="U3532" s="7">
        <f>IF($C3532="","",S3532*T3532)</f>
        <v/>
      </c>
      <c r="X3532">
        <f>IF($C3532="","",IF($AM3532=1,0,IF($AL3532=1,Settings!$C$6,Settings!$C$7))*100)</f>
        <v/>
      </c>
      <c r="AB3532" s="7" t="n"/>
      <c r="AE3532" s="11" t="n"/>
      <c r="AG3532" s="7">
        <f>IF($C3532="","",U3532*X3532/100)</f>
        <v/>
      </c>
      <c r="AH3532" s="7">
        <f>IF($C3532="","",U3532-AG3532)</f>
        <v/>
      </c>
      <c r="AI3532" s="7">
        <f>IF($C3532="","",AH3532-M3532)</f>
        <v/>
      </c>
      <c r="AJ3532">
        <f>IF($C3532="","",IF(COUNTIF($C$2:$C3532,$C3532)=1,1,0))</f>
        <v/>
      </c>
      <c r="AK3532">
        <f>IF($AJ3532=1,SUMPRODUCT(--($AN$2:$AN$4001&lt;$AN3532))+1,"")</f>
        <v/>
      </c>
      <c r="AL3532">
        <f>IF($C3532="","",IF(OR($Q3532=TRUE(),$Q3532="TRUE"),1,0))</f>
        <v/>
      </c>
      <c r="AM3532">
        <f>IF($C3532="","",IF($W3532="Yes",1,0))</f>
        <v/>
      </c>
      <c r="AN3532">
        <f>IF($AJ3532=1,IFERROR(IF(VALUE($C3532)&lt;100000000,VALUE($C3532),1000000000),IFERROR(IF(VALUE(MID($C3532,2,20))&lt;100000000,VALUE(MID($C3532,2,20)),1000000000),1000000000))+ROW()/100000,"")</f>
        <v/>
      </c>
    </row>
    <row r="3533">
      <c r="E3533" s="11" t="n"/>
      <c r="M3533" s="7">
        <f>IF($C3533="","",L3533*U3533/100)</f>
        <v/>
      </c>
      <c r="N3533" s="7" t="n"/>
      <c r="T3533" s="7" t="n"/>
      <c r="U3533" s="7">
        <f>IF($C3533="","",S3533*T3533)</f>
        <v/>
      </c>
      <c r="X3533">
        <f>IF($C3533="","",IF($AM3533=1,0,IF($AL3533=1,Settings!$C$6,Settings!$C$7))*100)</f>
        <v/>
      </c>
      <c r="AB3533" s="7" t="n"/>
      <c r="AE3533" s="11" t="n"/>
      <c r="AG3533" s="7">
        <f>IF($C3533="","",U3533*X3533/100)</f>
        <v/>
      </c>
      <c r="AH3533" s="7">
        <f>IF($C3533="","",U3533-AG3533)</f>
        <v/>
      </c>
      <c r="AI3533" s="7">
        <f>IF($C3533="","",AH3533-M3533)</f>
        <v/>
      </c>
      <c r="AJ3533">
        <f>IF($C3533="","",IF(COUNTIF($C$2:$C3533,$C3533)=1,1,0))</f>
        <v/>
      </c>
      <c r="AK3533">
        <f>IF($AJ3533=1,SUMPRODUCT(--($AN$2:$AN$4001&lt;$AN3533))+1,"")</f>
        <v/>
      </c>
      <c r="AL3533">
        <f>IF($C3533="","",IF(OR($Q3533=TRUE(),$Q3533="TRUE"),1,0))</f>
        <v/>
      </c>
      <c r="AM3533">
        <f>IF($C3533="","",IF($W3533="Yes",1,0))</f>
        <v/>
      </c>
      <c r="AN3533">
        <f>IF($AJ3533=1,IFERROR(IF(VALUE($C3533)&lt;100000000,VALUE($C3533),1000000000),IFERROR(IF(VALUE(MID($C3533,2,20))&lt;100000000,VALUE(MID($C3533,2,20)),1000000000),1000000000))+ROW()/100000,"")</f>
        <v/>
      </c>
    </row>
    <row r="3534">
      <c r="E3534" s="11" t="n"/>
      <c r="M3534" s="7">
        <f>IF($C3534="","",L3534*U3534/100)</f>
        <v/>
      </c>
      <c r="N3534" s="7" t="n"/>
      <c r="T3534" s="7" t="n"/>
      <c r="U3534" s="7">
        <f>IF($C3534="","",S3534*T3534)</f>
        <v/>
      </c>
      <c r="X3534">
        <f>IF($C3534="","",IF($AM3534=1,0,IF($AL3534=1,Settings!$C$6,Settings!$C$7))*100)</f>
        <v/>
      </c>
      <c r="AB3534" s="7" t="n"/>
      <c r="AE3534" s="11" t="n"/>
      <c r="AG3534" s="7">
        <f>IF($C3534="","",U3534*X3534/100)</f>
        <v/>
      </c>
      <c r="AH3534" s="7">
        <f>IF($C3534="","",U3534-AG3534)</f>
        <v/>
      </c>
      <c r="AI3534" s="7">
        <f>IF($C3534="","",AH3534-M3534)</f>
        <v/>
      </c>
      <c r="AJ3534">
        <f>IF($C3534="","",IF(COUNTIF($C$2:$C3534,$C3534)=1,1,0))</f>
        <v/>
      </c>
      <c r="AK3534">
        <f>IF($AJ3534=1,SUMPRODUCT(--($AN$2:$AN$4001&lt;$AN3534))+1,"")</f>
        <v/>
      </c>
      <c r="AL3534">
        <f>IF($C3534="","",IF(OR($Q3534=TRUE(),$Q3534="TRUE"),1,0))</f>
        <v/>
      </c>
      <c r="AM3534">
        <f>IF($C3534="","",IF($W3534="Yes",1,0))</f>
        <v/>
      </c>
      <c r="AN3534">
        <f>IF($AJ3534=1,IFERROR(IF(VALUE($C3534)&lt;100000000,VALUE($C3534),1000000000),IFERROR(IF(VALUE(MID($C3534,2,20))&lt;100000000,VALUE(MID($C3534,2,20)),1000000000),1000000000))+ROW()/100000,"")</f>
        <v/>
      </c>
    </row>
    <row r="3535">
      <c r="E3535" s="11" t="n"/>
      <c r="M3535" s="7">
        <f>IF($C3535="","",L3535*U3535/100)</f>
        <v/>
      </c>
      <c r="N3535" s="7" t="n"/>
      <c r="T3535" s="7" t="n"/>
      <c r="U3535" s="7">
        <f>IF($C3535="","",S3535*T3535)</f>
        <v/>
      </c>
      <c r="X3535">
        <f>IF($C3535="","",IF($AM3535=1,0,IF($AL3535=1,Settings!$C$6,Settings!$C$7))*100)</f>
        <v/>
      </c>
      <c r="AB3535" s="7" t="n"/>
      <c r="AE3535" s="11" t="n"/>
      <c r="AG3535" s="7">
        <f>IF($C3535="","",U3535*X3535/100)</f>
        <v/>
      </c>
      <c r="AH3535" s="7">
        <f>IF($C3535="","",U3535-AG3535)</f>
        <v/>
      </c>
      <c r="AI3535" s="7">
        <f>IF($C3535="","",AH3535-M3535)</f>
        <v/>
      </c>
      <c r="AJ3535">
        <f>IF($C3535="","",IF(COUNTIF($C$2:$C3535,$C3535)=1,1,0))</f>
        <v/>
      </c>
      <c r="AK3535">
        <f>IF($AJ3535=1,SUMPRODUCT(--($AN$2:$AN$4001&lt;$AN3535))+1,"")</f>
        <v/>
      </c>
      <c r="AL3535">
        <f>IF($C3535="","",IF(OR($Q3535=TRUE(),$Q3535="TRUE"),1,0))</f>
        <v/>
      </c>
      <c r="AM3535">
        <f>IF($C3535="","",IF($W3535="Yes",1,0))</f>
        <v/>
      </c>
      <c r="AN3535">
        <f>IF($AJ3535=1,IFERROR(IF(VALUE($C3535)&lt;100000000,VALUE($C3535),1000000000),IFERROR(IF(VALUE(MID($C3535,2,20))&lt;100000000,VALUE(MID($C3535,2,20)),1000000000),1000000000))+ROW()/100000,"")</f>
        <v/>
      </c>
    </row>
    <row r="3536">
      <c r="E3536" s="11" t="n"/>
      <c r="M3536" s="7">
        <f>IF($C3536="","",L3536*U3536/100)</f>
        <v/>
      </c>
      <c r="N3536" s="7" t="n"/>
      <c r="T3536" s="7" t="n"/>
      <c r="U3536" s="7">
        <f>IF($C3536="","",S3536*T3536)</f>
        <v/>
      </c>
      <c r="X3536">
        <f>IF($C3536="","",IF($AM3536=1,0,IF($AL3536=1,Settings!$C$6,Settings!$C$7))*100)</f>
        <v/>
      </c>
      <c r="AB3536" s="7" t="n"/>
      <c r="AE3536" s="11" t="n"/>
      <c r="AG3536" s="7">
        <f>IF($C3536="","",U3536*X3536/100)</f>
        <v/>
      </c>
      <c r="AH3536" s="7">
        <f>IF($C3536="","",U3536-AG3536)</f>
        <v/>
      </c>
      <c r="AI3536" s="7">
        <f>IF($C3536="","",AH3536-M3536)</f>
        <v/>
      </c>
      <c r="AJ3536">
        <f>IF($C3536="","",IF(COUNTIF($C$2:$C3536,$C3536)=1,1,0))</f>
        <v/>
      </c>
      <c r="AK3536">
        <f>IF($AJ3536=1,SUMPRODUCT(--($AN$2:$AN$4001&lt;$AN3536))+1,"")</f>
        <v/>
      </c>
      <c r="AL3536">
        <f>IF($C3536="","",IF(OR($Q3536=TRUE(),$Q3536="TRUE"),1,0))</f>
        <v/>
      </c>
      <c r="AM3536">
        <f>IF($C3536="","",IF($W3536="Yes",1,0))</f>
        <v/>
      </c>
      <c r="AN3536">
        <f>IF($AJ3536=1,IFERROR(IF(VALUE($C3536)&lt;100000000,VALUE($C3536),1000000000),IFERROR(IF(VALUE(MID($C3536,2,20))&lt;100000000,VALUE(MID($C3536,2,20)),1000000000),1000000000))+ROW()/100000,"")</f>
        <v/>
      </c>
    </row>
    <row r="3537">
      <c r="E3537" s="11" t="n"/>
      <c r="M3537" s="7">
        <f>IF($C3537="","",L3537*U3537/100)</f>
        <v/>
      </c>
      <c r="N3537" s="7" t="n"/>
      <c r="T3537" s="7" t="n"/>
      <c r="U3537" s="7">
        <f>IF($C3537="","",S3537*T3537)</f>
        <v/>
      </c>
      <c r="X3537">
        <f>IF($C3537="","",IF($AM3537=1,0,IF($AL3537=1,Settings!$C$6,Settings!$C$7))*100)</f>
        <v/>
      </c>
      <c r="AB3537" s="7" t="n"/>
      <c r="AE3537" s="11" t="n"/>
      <c r="AG3537" s="7">
        <f>IF($C3537="","",U3537*X3537/100)</f>
        <v/>
      </c>
      <c r="AH3537" s="7">
        <f>IF($C3537="","",U3537-AG3537)</f>
        <v/>
      </c>
      <c r="AI3537" s="7">
        <f>IF($C3537="","",AH3537-M3537)</f>
        <v/>
      </c>
      <c r="AJ3537">
        <f>IF($C3537="","",IF(COUNTIF($C$2:$C3537,$C3537)=1,1,0))</f>
        <v/>
      </c>
      <c r="AK3537">
        <f>IF($AJ3537=1,SUMPRODUCT(--($AN$2:$AN$4001&lt;$AN3537))+1,"")</f>
        <v/>
      </c>
      <c r="AL3537">
        <f>IF($C3537="","",IF(OR($Q3537=TRUE(),$Q3537="TRUE"),1,0))</f>
        <v/>
      </c>
      <c r="AM3537">
        <f>IF($C3537="","",IF($W3537="Yes",1,0))</f>
        <v/>
      </c>
      <c r="AN3537">
        <f>IF($AJ3537=1,IFERROR(IF(VALUE($C3537)&lt;100000000,VALUE($C3537),1000000000),IFERROR(IF(VALUE(MID($C3537,2,20))&lt;100000000,VALUE(MID($C3537,2,20)),1000000000),1000000000))+ROW()/100000,"")</f>
        <v/>
      </c>
    </row>
    <row r="3538">
      <c r="E3538" s="11" t="n"/>
      <c r="M3538" s="7">
        <f>IF($C3538="","",L3538*U3538/100)</f>
        <v/>
      </c>
      <c r="N3538" s="7" t="n"/>
      <c r="T3538" s="7" t="n"/>
      <c r="U3538" s="7">
        <f>IF($C3538="","",S3538*T3538)</f>
        <v/>
      </c>
      <c r="X3538">
        <f>IF($C3538="","",IF($AM3538=1,0,IF($AL3538=1,Settings!$C$6,Settings!$C$7))*100)</f>
        <v/>
      </c>
      <c r="AB3538" s="7" t="n"/>
      <c r="AE3538" s="11" t="n"/>
      <c r="AG3538" s="7">
        <f>IF($C3538="","",U3538*X3538/100)</f>
        <v/>
      </c>
      <c r="AH3538" s="7">
        <f>IF($C3538="","",U3538-AG3538)</f>
        <v/>
      </c>
      <c r="AI3538" s="7">
        <f>IF($C3538="","",AH3538-M3538)</f>
        <v/>
      </c>
      <c r="AJ3538">
        <f>IF($C3538="","",IF(COUNTIF($C$2:$C3538,$C3538)=1,1,0))</f>
        <v/>
      </c>
      <c r="AK3538">
        <f>IF($AJ3538=1,SUMPRODUCT(--($AN$2:$AN$4001&lt;$AN3538))+1,"")</f>
        <v/>
      </c>
      <c r="AL3538">
        <f>IF($C3538="","",IF(OR($Q3538=TRUE(),$Q3538="TRUE"),1,0))</f>
        <v/>
      </c>
      <c r="AM3538">
        <f>IF($C3538="","",IF($W3538="Yes",1,0))</f>
        <v/>
      </c>
      <c r="AN3538">
        <f>IF($AJ3538=1,IFERROR(IF(VALUE($C3538)&lt;100000000,VALUE($C3538),1000000000),IFERROR(IF(VALUE(MID($C3538,2,20))&lt;100000000,VALUE(MID($C3538,2,20)),1000000000),1000000000))+ROW()/100000,"")</f>
        <v/>
      </c>
    </row>
    <row r="3539">
      <c r="E3539" s="11" t="n"/>
      <c r="M3539" s="7">
        <f>IF($C3539="","",L3539*U3539/100)</f>
        <v/>
      </c>
      <c r="N3539" s="7" t="n"/>
      <c r="T3539" s="7" t="n"/>
      <c r="U3539" s="7">
        <f>IF($C3539="","",S3539*T3539)</f>
        <v/>
      </c>
      <c r="X3539">
        <f>IF($C3539="","",IF($AM3539=1,0,IF($AL3539=1,Settings!$C$6,Settings!$C$7))*100)</f>
        <v/>
      </c>
      <c r="AB3539" s="7" t="n"/>
      <c r="AE3539" s="11" t="n"/>
      <c r="AG3539" s="7">
        <f>IF($C3539="","",U3539*X3539/100)</f>
        <v/>
      </c>
      <c r="AH3539" s="7">
        <f>IF($C3539="","",U3539-AG3539)</f>
        <v/>
      </c>
      <c r="AI3539" s="7">
        <f>IF($C3539="","",AH3539-M3539)</f>
        <v/>
      </c>
      <c r="AJ3539">
        <f>IF($C3539="","",IF(COUNTIF($C$2:$C3539,$C3539)=1,1,0))</f>
        <v/>
      </c>
      <c r="AK3539">
        <f>IF($AJ3539=1,SUMPRODUCT(--($AN$2:$AN$4001&lt;$AN3539))+1,"")</f>
        <v/>
      </c>
      <c r="AL3539">
        <f>IF($C3539="","",IF(OR($Q3539=TRUE(),$Q3539="TRUE"),1,0))</f>
        <v/>
      </c>
      <c r="AM3539">
        <f>IF($C3539="","",IF($W3539="Yes",1,0))</f>
        <v/>
      </c>
      <c r="AN3539">
        <f>IF($AJ3539=1,IFERROR(IF(VALUE($C3539)&lt;100000000,VALUE($C3539),1000000000),IFERROR(IF(VALUE(MID($C3539,2,20))&lt;100000000,VALUE(MID($C3539,2,20)),1000000000),1000000000))+ROW()/100000,"")</f>
        <v/>
      </c>
    </row>
    <row r="3540">
      <c r="E3540" s="11" t="n"/>
      <c r="M3540" s="7">
        <f>IF($C3540="","",L3540*U3540/100)</f>
        <v/>
      </c>
      <c r="N3540" s="7" t="n"/>
      <c r="T3540" s="7" t="n"/>
      <c r="U3540" s="7">
        <f>IF($C3540="","",S3540*T3540)</f>
        <v/>
      </c>
      <c r="X3540">
        <f>IF($C3540="","",IF($AM3540=1,0,IF($AL3540=1,Settings!$C$6,Settings!$C$7))*100)</f>
        <v/>
      </c>
      <c r="AB3540" s="7" t="n"/>
      <c r="AE3540" s="11" t="n"/>
      <c r="AG3540" s="7">
        <f>IF($C3540="","",U3540*X3540/100)</f>
        <v/>
      </c>
      <c r="AH3540" s="7">
        <f>IF($C3540="","",U3540-AG3540)</f>
        <v/>
      </c>
      <c r="AI3540" s="7">
        <f>IF($C3540="","",AH3540-M3540)</f>
        <v/>
      </c>
      <c r="AJ3540">
        <f>IF($C3540="","",IF(COUNTIF($C$2:$C3540,$C3540)=1,1,0))</f>
        <v/>
      </c>
      <c r="AK3540">
        <f>IF($AJ3540=1,SUMPRODUCT(--($AN$2:$AN$4001&lt;$AN3540))+1,"")</f>
        <v/>
      </c>
      <c r="AL3540">
        <f>IF($C3540="","",IF(OR($Q3540=TRUE(),$Q3540="TRUE"),1,0))</f>
        <v/>
      </c>
      <c r="AM3540">
        <f>IF($C3540="","",IF($W3540="Yes",1,0))</f>
        <v/>
      </c>
      <c r="AN3540">
        <f>IF($AJ3540=1,IFERROR(IF(VALUE($C3540)&lt;100000000,VALUE($C3540),1000000000),IFERROR(IF(VALUE(MID($C3540,2,20))&lt;100000000,VALUE(MID($C3540,2,20)),1000000000),1000000000))+ROW()/100000,"")</f>
        <v/>
      </c>
    </row>
    <row r="3541">
      <c r="E3541" s="11" t="n"/>
      <c r="M3541" s="7">
        <f>IF($C3541="","",L3541*U3541/100)</f>
        <v/>
      </c>
      <c r="N3541" s="7" t="n"/>
      <c r="T3541" s="7" t="n"/>
      <c r="U3541" s="7">
        <f>IF($C3541="","",S3541*T3541)</f>
        <v/>
      </c>
      <c r="X3541">
        <f>IF($C3541="","",IF($AM3541=1,0,IF($AL3541=1,Settings!$C$6,Settings!$C$7))*100)</f>
        <v/>
      </c>
      <c r="AB3541" s="7" t="n"/>
      <c r="AE3541" s="11" t="n"/>
      <c r="AG3541" s="7">
        <f>IF($C3541="","",U3541*X3541/100)</f>
        <v/>
      </c>
      <c r="AH3541" s="7">
        <f>IF($C3541="","",U3541-AG3541)</f>
        <v/>
      </c>
      <c r="AI3541" s="7">
        <f>IF($C3541="","",AH3541-M3541)</f>
        <v/>
      </c>
      <c r="AJ3541">
        <f>IF($C3541="","",IF(COUNTIF($C$2:$C3541,$C3541)=1,1,0))</f>
        <v/>
      </c>
      <c r="AK3541">
        <f>IF($AJ3541=1,SUMPRODUCT(--($AN$2:$AN$4001&lt;$AN3541))+1,"")</f>
        <v/>
      </c>
      <c r="AL3541">
        <f>IF($C3541="","",IF(OR($Q3541=TRUE(),$Q3541="TRUE"),1,0))</f>
        <v/>
      </c>
      <c r="AM3541">
        <f>IF($C3541="","",IF($W3541="Yes",1,0))</f>
        <v/>
      </c>
      <c r="AN3541">
        <f>IF($AJ3541=1,IFERROR(IF(VALUE($C3541)&lt;100000000,VALUE($C3541),1000000000),IFERROR(IF(VALUE(MID($C3541,2,20))&lt;100000000,VALUE(MID($C3541,2,20)),1000000000),1000000000))+ROW()/100000,"")</f>
        <v/>
      </c>
    </row>
    <row r="3542">
      <c r="E3542" s="11" t="n"/>
      <c r="M3542" s="7">
        <f>IF($C3542="","",L3542*U3542/100)</f>
        <v/>
      </c>
      <c r="N3542" s="7" t="n"/>
      <c r="T3542" s="7" t="n"/>
      <c r="U3542" s="7">
        <f>IF($C3542="","",S3542*T3542)</f>
        <v/>
      </c>
      <c r="X3542">
        <f>IF($C3542="","",IF($AM3542=1,0,IF($AL3542=1,Settings!$C$6,Settings!$C$7))*100)</f>
        <v/>
      </c>
      <c r="AB3542" s="7" t="n"/>
      <c r="AE3542" s="11" t="n"/>
      <c r="AG3542" s="7">
        <f>IF($C3542="","",U3542*X3542/100)</f>
        <v/>
      </c>
      <c r="AH3542" s="7">
        <f>IF($C3542="","",U3542-AG3542)</f>
        <v/>
      </c>
      <c r="AI3542" s="7">
        <f>IF($C3542="","",AH3542-M3542)</f>
        <v/>
      </c>
      <c r="AJ3542">
        <f>IF($C3542="","",IF(COUNTIF($C$2:$C3542,$C3542)=1,1,0))</f>
        <v/>
      </c>
      <c r="AK3542">
        <f>IF($AJ3542=1,SUMPRODUCT(--($AN$2:$AN$4001&lt;$AN3542))+1,"")</f>
        <v/>
      </c>
      <c r="AL3542">
        <f>IF($C3542="","",IF(OR($Q3542=TRUE(),$Q3542="TRUE"),1,0))</f>
        <v/>
      </c>
      <c r="AM3542">
        <f>IF($C3542="","",IF($W3542="Yes",1,0))</f>
        <v/>
      </c>
      <c r="AN3542">
        <f>IF($AJ3542=1,IFERROR(IF(VALUE($C3542)&lt;100000000,VALUE($C3542),1000000000),IFERROR(IF(VALUE(MID($C3542,2,20))&lt;100000000,VALUE(MID($C3542,2,20)),1000000000),1000000000))+ROW()/100000,"")</f>
        <v/>
      </c>
    </row>
    <row r="3543">
      <c r="E3543" s="11" t="n"/>
      <c r="M3543" s="7">
        <f>IF($C3543="","",L3543*U3543/100)</f>
        <v/>
      </c>
      <c r="N3543" s="7" t="n"/>
      <c r="T3543" s="7" t="n"/>
      <c r="U3543" s="7">
        <f>IF($C3543="","",S3543*T3543)</f>
        <v/>
      </c>
      <c r="X3543">
        <f>IF($C3543="","",IF($AM3543=1,0,IF($AL3543=1,Settings!$C$6,Settings!$C$7))*100)</f>
        <v/>
      </c>
      <c r="AB3543" s="7" t="n"/>
      <c r="AE3543" s="11" t="n"/>
      <c r="AG3543" s="7">
        <f>IF($C3543="","",U3543*X3543/100)</f>
        <v/>
      </c>
      <c r="AH3543" s="7">
        <f>IF($C3543="","",U3543-AG3543)</f>
        <v/>
      </c>
      <c r="AI3543" s="7">
        <f>IF($C3543="","",AH3543-M3543)</f>
        <v/>
      </c>
      <c r="AJ3543">
        <f>IF($C3543="","",IF(COUNTIF($C$2:$C3543,$C3543)=1,1,0))</f>
        <v/>
      </c>
      <c r="AK3543">
        <f>IF($AJ3543=1,SUMPRODUCT(--($AN$2:$AN$4001&lt;$AN3543))+1,"")</f>
        <v/>
      </c>
      <c r="AL3543">
        <f>IF($C3543="","",IF(OR($Q3543=TRUE(),$Q3543="TRUE"),1,0))</f>
        <v/>
      </c>
      <c r="AM3543">
        <f>IF($C3543="","",IF($W3543="Yes",1,0))</f>
        <v/>
      </c>
      <c r="AN3543">
        <f>IF($AJ3543=1,IFERROR(IF(VALUE($C3543)&lt;100000000,VALUE($C3543),1000000000),IFERROR(IF(VALUE(MID($C3543,2,20))&lt;100000000,VALUE(MID($C3543,2,20)),1000000000),1000000000))+ROW()/100000,"")</f>
        <v/>
      </c>
    </row>
    <row r="3544">
      <c r="E3544" s="11" t="n"/>
      <c r="M3544" s="7">
        <f>IF($C3544="","",L3544*U3544/100)</f>
        <v/>
      </c>
      <c r="N3544" s="7" t="n"/>
      <c r="T3544" s="7" t="n"/>
      <c r="U3544" s="7">
        <f>IF($C3544="","",S3544*T3544)</f>
        <v/>
      </c>
      <c r="X3544">
        <f>IF($C3544="","",IF($AM3544=1,0,IF($AL3544=1,Settings!$C$6,Settings!$C$7))*100)</f>
        <v/>
      </c>
      <c r="AB3544" s="7" t="n"/>
      <c r="AE3544" s="11" t="n"/>
      <c r="AG3544" s="7">
        <f>IF($C3544="","",U3544*X3544/100)</f>
        <v/>
      </c>
      <c r="AH3544" s="7">
        <f>IF($C3544="","",U3544-AG3544)</f>
        <v/>
      </c>
      <c r="AI3544" s="7">
        <f>IF($C3544="","",AH3544-M3544)</f>
        <v/>
      </c>
      <c r="AJ3544">
        <f>IF($C3544="","",IF(COUNTIF($C$2:$C3544,$C3544)=1,1,0))</f>
        <v/>
      </c>
      <c r="AK3544">
        <f>IF($AJ3544=1,SUMPRODUCT(--($AN$2:$AN$4001&lt;$AN3544))+1,"")</f>
        <v/>
      </c>
      <c r="AL3544">
        <f>IF($C3544="","",IF(OR($Q3544=TRUE(),$Q3544="TRUE"),1,0))</f>
        <v/>
      </c>
      <c r="AM3544">
        <f>IF($C3544="","",IF($W3544="Yes",1,0))</f>
        <v/>
      </c>
      <c r="AN3544">
        <f>IF($AJ3544=1,IFERROR(IF(VALUE($C3544)&lt;100000000,VALUE($C3544),1000000000),IFERROR(IF(VALUE(MID($C3544,2,20))&lt;100000000,VALUE(MID($C3544,2,20)),1000000000),1000000000))+ROW()/100000,"")</f>
        <v/>
      </c>
    </row>
    <row r="3545">
      <c r="E3545" s="11" t="n"/>
      <c r="M3545" s="7">
        <f>IF($C3545="","",L3545*U3545/100)</f>
        <v/>
      </c>
      <c r="N3545" s="7" t="n"/>
      <c r="T3545" s="7" t="n"/>
      <c r="U3545" s="7">
        <f>IF($C3545="","",S3545*T3545)</f>
        <v/>
      </c>
      <c r="X3545">
        <f>IF($C3545="","",IF($AM3545=1,0,IF($AL3545=1,Settings!$C$6,Settings!$C$7))*100)</f>
        <v/>
      </c>
      <c r="AB3545" s="7" t="n"/>
      <c r="AE3545" s="11" t="n"/>
      <c r="AG3545" s="7">
        <f>IF($C3545="","",U3545*X3545/100)</f>
        <v/>
      </c>
      <c r="AH3545" s="7">
        <f>IF($C3545="","",U3545-AG3545)</f>
        <v/>
      </c>
      <c r="AI3545" s="7">
        <f>IF($C3545="","",AH3545-M3545)</f>
        <v/>
      </c>
      <c r="AJ3545">
        <f>IF($C3545="","",IF(COUNTIF($C$2:$C3545,$C3545)=1,1,0))</f>
        <v/>
      </c>
      <c r="AK3545">
        <f>IF($AJ3545=1,SUMPRODUCT(--($AN$2:$AN$4001&lt;$AN3545))+1,"")</f>
        <v/>
      </c>
      <c r="AL3545">
        <f>IF($C3545="","",IF(OR($Q3545=TRUE(),$Q3545="TRUE"),1,0))</f>
        <v/>
      </c>
      <c r="AM3545">
        <f>IF($C3545="","",IF($W3545="Yes",1,0))</f>
        <v/>
      </c>
      <c r="AN3545">
        <f>IF($AJ3545=1,IFERROR(IF(VALUE($C3545)&lt;100000000,VALUE($C3545),1000000000),IFERROR(IF(VALUE(MID($C3545,2,20))&lt;100000000,VALUE(MID($C3545,2,20)),1000000000),1000000000))+ROW()/100000,"")</f>
        <v/>
      </c>
    </row>
    <row r="3546">
      <c r="E3546" s="11" t="n"/>
      <c r="M3546" s="7">
        <f>IF($C3546="","",L3546*U3546/100)</f>
        <v/>
      </c>
      <c r="N3546" s="7" t="n"/>
      <c r="T3546" s="7" t="n"/>
      <c r="U3546" s="7">
        <f>IF($C3546="","",S3546*T3546)</f>
        <v/>
      </c>
      <c r="X3546">
        <f>IF($C3546="","",IF($AM3546=1,0,IF($AL3546=1,Settings!$C$6,Settings!$C$7))*100)</f>
        <v/>
      </c>
      <c r="AB3546" s="7" t="n"/>
      <c r="AE3546" s="11" t="n"/>
      <c r="AG3546" s="7">
        <f>IF($C3546="","",U3546*X3546/100)</f>
        <v/>
      </c>
      <c r="AH3546" s="7">
        <f>IF($C3546="","",U3546-AG3546)</f>
        <v/>
      </c>
      <c r="AI3546" s="7">
        <f>IF($C3546="","",AH3546-M3546)</f>
        <v/>
      </c>
      <c r="AJ3546">
        <f>IF($C3546="","",IF(COUNTIF($C$2:$C3546,$C3546)=1,1,0))</f>
        <v/>
      </c>
      <c r="AK3546">
        <f>IF($AJ3546=1,SUMPRODUCT(--($AN$2:$AN$4001&lt;$AN3546))+1,"")</f>
        <v/>
      </c>
      <c r="AL3546">
        <f>IF($C3546="","",IF(OR($Q3546=TRUE(),$Q3546="TRUE"),1,0))</f>
        <v/>
      </c>
      <c r="AM3546">
        <f>IF($C3546="","",IF($W3546="Yes",1,0))</f>
        <v/>
      </c>
      <c r="AN3546">
        <f>IF($AJ3546=1,IFERROR(IF(VALUE($C3546)&lt;100000000,VALUE($C3546),1000000000),IFERROR(IF(VALUE(MID($C3546,2,20))&lt;100000000,VALUE(MID($C3546,2,20)),1000000000),1000000000))+ROW()/100000,"")</f>
        <v/>
      </c>
    </row>
    <row r="3547">
      <c r="E3547" s="11" t="n"/>
      <c r="M3547" s="7">
        <f>IF($C3547="","",L3547*U3547/100)</f>
        <v/>
      </c>
      <c r="N3547" s="7" t="n"/>
      <c r="T3547" s="7" t="n"/>
      <c r="U3547" s="7">
        <f>IF($C3547="","",S3547*T3547)</f>
        <v/>
      </c>
      <c r="X3547">
        <f>IF($C3547="","",IF($AM3547=1,0,IF($AL3547=1,Settings!$C$6,Settings!$C$7))*100)</f>
        <v/>
      </c>
      <c r="AB3547" s="7" t="n"/>
      <c r="AE3547" s="11" t="n"/>
      <c r="AG3547" s="7">
        <f>IF($C3547="","",U3547*X3547/100)</f>
        <v/>
      </c>
      <c r="AH3547" s="7">
        <f>IF($C3547="","",U3547-AG3547)</f>
        <v/>
      </c>
      <c r="AI3547" s="7">
        <f>IF($C3547="","",AH3547-M3547)</f>
        <v/>
      </c>
      <c r="AJ3547">
        <f>IF($C3547="","",IF(COUNTIF($C$2:$C3547,$C3547)=1,1,0))</f>
        <v/>
      </c>
      <c r="AK3547">
        <f>IF($AJ3547=1,SUMPRODUCT(--($AN$2:$AN$4001&lt;$AN3547))+1,"")</f>
        <v/>
      </c>
      <c r="AL3547">
        <f>IF($C3547="","",IF(OR($Q3547=TRUE(),$Q3547="TRUE"),1,0))</f>
        <v/>
      </c>
      <c r="AM3547">
        <f>IF($C3547="","",IF($W3547="Yes",1,0))</f>
        <v/>
      </c>
      <c r="AN3547">
        <f>IF($AJ3547=1,IFERROR(IF(VALUE($C3547)&lt;100000000,VALUE($C3547),1000000000),IFERROR(IF(VALUE(MID($C3547,2,20))&lt;100000000,VALUE(MID($C3547,2,20)),1000000000),1000000000))+ROW()/100000,"")</f>
        <v/>
      </c>
    </row>
    <row r="3548">
      <c r="E3548" s="11" t="n"/>
      <c r="M3548" s="7">
        <f>IF($C3548="","",L3548*U3548/100)</f>
        <v/>
      </c>
      <c r="N3548" s="7" t="n"/>
      <c r="T3548" s="7" t="n"/>
      <c r="U3548" s="7">
        <f>IF($C3548="","",S3548*T3548)</f>
        <v/>
      </c>
      <c r="X3548">
        <f>IF($C3548="","",IF($AM3548=1,0,IF($AL3548=1,Settings!$C$6,Settings!$C$7))*100)</f>
        <v/>
      </c>
      <c r="AB3548" s="7" t="n"/>
      <c r="AE3548" s="11" t="n"/>
      <c r="AG3548" s="7">
        <f>IF($C3548="","",U3548*X3548/100)</f>
        <v/>
      </c>
      <c r="AH3548" s="7">
        <f>IF($C3548="","",U3548-AG3548)</f>
        <v/>
      </c>
      <c r="AI3548" s="7">
        <f>IF($C3548="","",AH3548-M3548)</f>
        <v/>
      </c>
      <c r="AJ3548">
        <f>IF($C3548="","",IF(COUNTIF($C$2:$C3548,$C3548)=1,1,0))</f>
        <v/>
      </c>
      <c r="AK3548">
        <f>IF($AJ3548=1,SUMPRODUCT(--($AN$2:$AN$4001&lt;$AN3548))+1,"")</f>
        <v/>
      </c>
      <c r="AL3548">
        <f>IF($C3548="","",IF(OR($Q3548=TRUE(),$Q3548="TRUE"),1,0))</f>
        <v/>
      </c>
      <c r="AM3548">
        <f>IF($C3548="","",IF($W3548="Yes",1,0))</f>
        <v/>
      </c>
      <c r="AN3548">
        <f>IF($AJ3548=1,IFERROR(IF(VALUE($C3548)&lt;100000000,VALUE($C3548),1000000000),IFERROR(IF(VALUE(MID($C3548,2,20))&lt;100000000,VALUE(MID($C3548,2,20)),1000000000),1000000000))+ROW()/100000,"")</f>
        <v/>
      </c>
    </row>
    <row r="3549">
      <c r="E3549" s="11" t="n"/>
      <c r="M3549" s="7">
        <f>IF($C3549="","",L3549*U3549/100)</f>
        <v/>
      </c>
      <c r="N3549" s="7" t="n"/>
      <c r="T3549" s="7" t="n"/>
      <c r="U3549" s="7">
        <f>IF($C3549="","",S3549*T3549)</f>
        <v/>
      </c>
      <c r="X3549">
        <f>IF($C3549="","",IF($AM3549=1,0,IF($AL3549=1,Settings!$C$6,Settings!$C$7))*100)</f>
        <v/>
      </c>
      <c r="AB3549" s="7" t="n"/>
      <c r="AE3549" s="11" t="n"/>
      <c r="AG3549" s="7">
        <f>IF($C3549="","",U3549*X3549/100)</f>
        <v/>
      </c>
      <c r="AH3549" s="7">
        <f>IF($C3549="","",U3549-AG3549)</f>
        <v/>
      </c>
      <c r="AI3549" s="7">
        <f>IF($C3549="","",AH3549-M3549)</f>
        <v/>
      </c>
      <c r="AJ3549">
        <f>IF($C3549="","",IF(COUNTIF($C$2:$C3549,$C3549)=1,1,0))</f>
        <v/>
      </c>
      <c r="AK3549">
        <f>IF($AJ3549=1,SUMPRODUCT(--($AN$2:$AN$4001&lt;$AN3549))+1,"")</f>
        <v/>
      </c>
      <c r="AL3549">
        <f>IF($C3549="","",IF(OR($Q3549=TRUE(),$Q3549="TRUE"),1,0))</f>
        <v/>
      </c>
      <c r="AM3549">
        <f>IF($C3549="","",IF($W3549="Yes",1,0))</f>
        <v/>
      </c>
      <c r="AN3549">
        <f>IF($AJ3549=1,IFERROR(IF(VALUE($C3549)&lt;100000000,VALUE($C3549),1000000000),IFERROR(IF(VALUE(MID($C3549,2,20))&lt;100000000,VALUE(MID($C3549,2,20)),1000000000),1000000000))+ROW()/100000,"")</f>
        <v/>
      </c>
    </row>
    <row r="3550">
      <c r="E3550" s="11" t="n"/>
      <c r="M3550" s="7">
        <f>IF($C3550="","",L3550*U3550/100)</f>
        <v/>
      </c>
      <c r="N3550" s="7" t="n"/>
      <c r="T3550" s="7" t="n"/>
      <c r="U3550" s="7">
        <f>IF($C3550="","",S3550*T3550)</f>
        <v/>
      </c>
      <c r="X3550">
        <f>IF($C3550="","",IF($AM3550=1,0,IF($AL3550=1,Settings!$C$6,Settings!$C$7))*100)</f>
        <v/>
      </c>
      <c r="AB3550" s="7" t="n"/>
      <c r="AE3550" s="11" t="n"/>
      <c r="AG3550" s="7">
        <f>IF($C3550="","",U3550*X3550/100)</f>
        <v/>
      </c>
      <c r="AH3550" s="7">
        <f>IF($C3550="","",U3550-AG3550)</f>
        <v/>
      </c>
      <c r="AI3550" s="7">
        <f>IF($C3550="","",AH3550-M3550)</f>
        <v/>
      </c>
      <c r="AJ3550">
        <f>IF($C3550="","",IF(COUNTIF($C$2:$C3550,$C3550)=1,1,0))</f>
        <v/>
      </c>
      <c r="AK3550">
        <f>IF($AJ3550=1,SUMPRODUCT(--($AN$2:$AN$4001&lt;$AN3550))+1,"")</f>
        <v/>
      </c>
      <c r="AL3550">
        <f>IF($C3550="","",IF(OR($Q3550=TRUE(),$Q3550="TRUE"),1,0))</f>
        <v/>
      </c>
      <c r="AM3550">
        <f>IF($C3550="","",IF($W3550="Yes",1,0))</f>
        <v/>
      </c>
      <c r="AN3550">
        <f>IF($AJ3550=1,IFERROR(IF(VALUE($C3550)&lt;100000000,VALUE($C3550),1000000000),IFERROR(IF(VALUE(MID($C3550,2,20))&lt;100000000,VALUE(MID($C3550,2,20)),1000000000),1000000000))+ROW()/100000,"")</f>
        <v/>
      </c>
    </row>
    <row r="3551">
      <c r="E3551" s="11" t="n"/>
      <c r="M3551" s="7">
        <f>IF($C3551="","",L3551*U3551/100)</f>
        <v/>
      </c>
      <c r="N3551" s="7" t="n"/>
      <c r="T3551" s="7" t="n"/>
      <c r="U3551" s="7">
        <f>IF($C3551="","",S3551*T3551)</f>
        <v/>
      </c>
      <c r="X3551">
        <f>IF($C3551="","",IF($AM3551=1,0,IF($AL3551=1,Settings!$C$6,Settings!$C$7))*100)</f>
        <v/>
      </c>
      <c r="AB3551" s="7" t="n"/>
      <c r="AE3551" s="11" t="n"/>
      <c r="AG3551" s="7">
        <f>IF($C3551="","",U3551*X3551/100)</f>
        <v/>
      </c>
      <c r="AH3551" s="7">
        <f>IF($C3551="","",U3551-AG3551)</f>
        <v/>
      </c>
      <c r="AI3551" s="7">
        <f>IF($C3551="","",AH3551-M3551)</f>
        <v/>
      </c>
      <c r="AJ3551">
        <f>IF($C3551="","",IF(COUNTIF($C$2:$C3551,$C3551)=1,1,0))</f>
        <v/>
      </c>
      <c r="AK3551">
        <f>IF($AJ3551=1,SUMPRODUCT(--($AN$2:$AN$4001&lt;$AN3551))+1,"")</f>
        <v/>
      </c>
      <c r="AL3551">
        <f>IF($C3551="","",IF(OR($Q3551=TRUE(),$Q3551="TRUE"),1,0))</f>
        <v/>
      </c>
      <c r="AM3551">
        <f>IF($C3551="","",IF($W3551="Yes",1,0))</f>
        <v/>
      </c>
      <c r="AN3551">
        <f>IF($AJ3551=1,IFERROR(IF(VALUE($C3551)&lt;100000000,VALUE($C3551),1000000000),IFERROR(IF(VALUE(MID($C3551,2,20))&lt;100000000,VALUE(MID($C3551,2,20)),1000000000),1000000000))+ROW()/100000,"")</f>
        <v/>
      </c>
    </row>
    <row r="3552">
      <c r="E3552" s="11" t="n"/>
      <c r="M3552" s="7">
        <f>IF($C3552="","",L3552*U3552/100)</f>
        <v/>
      </c>
      <c r="N3552" s="7" t="n"/>
      <c r="T3552" s="7" t="n"/>
      <c r="U3552" s="7">
        <f>IF($C3552="","",S3552*T3552)</f>
        <v/>
      </c>
      <c r="X3552">
        <f>IF($C3552="","",IF($AM3552=1,0,IF($AL3552=1,Settings!$C$6,Settings!$C$7))*100)</f>
        <v/>
      </c>
      <c r="AB3552" s="7" t="n"/>
      <c r="AE3552" s="11" t="n"/>
      <c r="AG3552" s="7">
        <f>IF($C3552="","",U3552*X3552/100)</f>
        <v/>
      </c>
      <c r="AH3552" s="7">
        <f>IF($C3552="","",U3552-AG3552)</f>
        <v/>
      </c>
      <c r="AI3552" s="7">
        <f>IF($C3552="","",AH3552-M3552)</f>
        <v/>
      </c>
      <c r="AJ3552">
        <f>IF($C3552="","",IF(COUNTIF($C$2:$C3552,$C3552)=1,1,0))</f>
        <v/>
      </c>
      <c r="AK3552">
        <f>IF($AJ3552=1,SUMPRODUCT(--($AN$2:$AN$4001&lt;$AN3552))+1,"")</f>
        <v/>
      </c>
      <c r="AL3552">
        <f>IF($C3552="","",IF(OR($Q3552=TRUE(),$Q3552="TRUE"),1,0))</f>
        <v/>
      </c>
      <c r="AM3552">
        <f>IF($C3552="","",IF($W3552="Yes",1,0))</f>
        <v/>
      </c>
      <c r="AN3552">
        <f>IF($AJ3552=1,IFERROR(IF(VALUE($C3552)&lt;100000000,VALUE($C3552),1000000000),IFERROR(IF(VALUE(MID($C3552,2,20))&lt;100000000,VALUE(MID($C3552,2,20)),1000000000),1000000000))+ROW()/100000,"")</f>
        <v/>
      </c>
    </row>
    <row r="3553">
      <c r="E3553" s="11" t="n"/>
      <c r="M3553" s="7">
        <f>IF($C3553="","",L3553*U3553/100)</f>
        <v/>
      </c>
      <c r="N3553" s="7" t="n"/>
      <c r="T3553" s="7" t="n"/>
      <c r="U3553" s="7">
        <f>IF($C3553="","",S3553*T3553)</f>
        <v/>
      </c>
      <c r="X3553">
        <f>IF($C3553="","",IF($AM3553=1,0,IF($AL3553=1,Settings!$C$6,Settings!$C$7))*100)</f>
        <v/>
      </c>
      <c r="AB3553" s="7" t="n"/>
      <c r="AE3553" s="11" t="n"/>
      <c r="AG3553" s="7">
        <f>IF($C3553="","",U3553*X3553/100)</f>
        <v/>
      </c>
      <c r="AH3553" s="7">
        <f>IF($C3553="","",U3553-AG3553)</f>
        <v/>
      </c>
      <c r="AI3553" s="7">
        <f>IF($C3553="","",AH3553-M3553)</f>
        <v/>
      </c>
      <c r="AJ3553">
        <f>IF($C3553="","",IF(COUNTIF($C$2:$C3553,$C3553)=1,1,0))</f>
        <v/>
      </c>
      <c r="AK3553">
        <f>IF($AJ3553=1,SUMPRODUCT(--($AN$2:$AN$4001&lt;$AN3553))+1,"")</f>
        <v/>
      </c>
      <c r="AL3553">
        <f>IF($C3553="","",IF(OR($Q3553=TRUE(),$Q3553="TRUE"),1,0))</f>
        <v/>
      </c>
      <c r="AM3553">
        <f>IF($C3553="","",IF($W3553="Yes",1,0))</f>
        <v/>
      </c>
      <c r="AN3553">
        <f>IF($AJ3553=1,IFERROR(IF(VALUE($C3553)&lt;100000000,VALUE($C3553),1000000000),IFERROR(IF(VALUE(MID($C3553,2,20))&lt;100000000,VALUE(MID($C3553,2,20)),1000000000),1000000000))+ROW()/100000,"")</f>
        <v/>
      </c>
    </row>
    <row r="3554">
      <c r="E3554" s="11" t="n"/>
      <c r="M3554" s="7">
        <f>IF($C3554="","",L3554*U3554/100)</f>
        <v/>
      </c>
      <c r="N3554" s="7" t="n"/>
      <c r="T3554" s="7" t="n"/>
      <c r="U3554" s="7">
        <f>IF($C3554="","",S3554*T3554)</f>
        <v/>
      </c>
      <c r="X3554">
        <f>IF($C3554="","",IF($AM3554=1,0,IF($AL3554=1,Settings!$C$6,Settings!$C$7))*100)</f>
        <v/>
      </c>
      <c r="AB3554" s="7" t="n"/>
      <c r="AE3554" s="11" t="n"/>
      <c r="AG3554" s="7">
        <f>IF($C3554="","",U3554*X3554/100)</f>
        <v/>
      </c>
      <c r="AH3554" s="7">
        <f>IF($C3554="","",U3554-AG3554)</f>
        <v/>
      </c>
      <c r="AI3554" s="7">
        <f>IF($C3554="","",AH3554-M3554)</f>
        <v/>
      </c>
      <c r="AJ3554">
        <f>IF($C3554="","",IF(COUNTIF($C$2:$C3554,$C3554)=1,1,0))</f>
        <v/>
      </c>
      <c r="AK3554">
        <f>IF($AJ3554=1,SUMPRODUCT(--($AN$2:$AN$4001&lt;$AN3554))+1,"")</f>
        <v/>
      </c>
      <c r="AL3554">
        <f>IF($C3554="","",IF(OR($Q3554=TRUE(),$Q3554="TRUE"),1,0))</f>
        <v/>
      </c>
      <c r="AM3554">
        <f>IF($C3554="","",IF($W3554="Yes",1,0))</f>
        <v/>
      </c>
      <c r="AN3554">
        <f>IF($AJ3554=1,IFERROR(IF(VALUE($C3554)&lt;100000000,VALUE($C3554),1000000000),IFERROR(IF(VALUE(MID($C3554,2,20))&lt;100000000,VALUE(MID($C3554,2,20)),1000000000),1000000000))+ROW()/100000,"")</f>
        <v/>
      </c>
    </row>
    <row r="3555">
      <c r="E3555" s="11" t="n"/>
      <c r="M3555" s="7">
        <f>IF($C3555="","",L3555*U3555/100)</f>
        <v/>
      </c>
      <c r="N3555" s="7" t="n"/>
      <c r="T3555" s="7" t="n"/>
      <c r="U3555" s="7">
        <f>IF($C3555="","",S3555*T3555)</f>
        <v/>
      </c>
      <c r="X3555">
        <f>IF($C3555="","",IF($AM3555=1,0,IF($AL3555=1,Settings!$C$6,Settings!$C$7))*100)</f>
        <v/>
      </c>
      <c r="AB3555" s="7" t="n"/>
      <c r="AE3555" s="11" t="n"/>
      <c r="AG3555" s="7">
        <f>IF($C3555="","",U3555*X3555/100)</f>
        <v/>
      </c>
      <c r="AH3555" s="7">
        <f>IF($C3555="","",U3555-AG3555)</f>
        <v/>
      </c>
      <c r="AI3555" s="7">
        <f>IF($C3555="","",AH3555-M3555)</f>
        <v/>
      </c>
      <c r="AJ3555">
        <f>IF($C3555="","",IF(COUNTIF($C$2:$C3555,$C3555)=1,1,0))</f>
        <v/>
      </c>
      <c r="AK3555">
        <f>IF($AJ3555=1,SUMPRODUCT(--($AN$2:$AN$4001&lt;$AN3555))+1,"")</f>
        <v/>
      </c>
      <c r="AL3555">
        <f>IF($C3555="","",IF(OR($Q3555=TRUE(),$Q3555="TRUE"),1,0))</f>
        <v/>
      </c>
      <c r="AM3555">
        <f>IF($C3555="","",IF($W3555="Yes",1,0))</f>
        <v/>
      </c>
      <c r="AN3555">
        <f>IF($AJ3555=1,IFERROR(IF(VALUE($C3555)&lt;100000000,VALUE($C3555),1000000000),IFERROR(IF(VALUE(MID($C3555,2,20))&lt;100000000,VALUE(MID($C3555,2,20)),1000000000),1000000000))+ROW()/100000,"")</f>
        <v/>
      </c>
    </row>
    <row r="3556">
      <c r="E3556" s="11" t="n"/>
      <c r="M3556" s="7">
        <f>IF($C3556="","",L3556*U3556/100)</f>
        <v/>
      </c>
      <c r="N3556" s="7" t="n"/>
      <c r="T3556" s="7" t="n"/>
      <c r="U3556" s="7">
        <f>IF($C3556="","",S3556*T3556)</f>
        <v/>
      </c>
      <c r="X3556">
        <f>IF($C3556="","",IF($AM3556=1,0,IF($AL3556=1,Settings!$C$6,Settings!$C$7))*100)</f>
        <v/>
      </c>
      <c r="AB3556" s="7" t="n"/>
      <c r="AE3556" s="11" t="n"/>
      <c r="AG3556" s="7">
        <f>IF($C3556="","",U3556*X3556/100)</f>
        <v/>
      </c>
      <c r="AH3556" s="7">
        <f>IF($C3556="","",U3556-AG3556)</f>
        <v/>
      </c>
      <c r="AI3556" s="7">
        <f>IF($C3556="","",AH3556-M3556)</f>
        <v/>
      </c>
      <c r="AJ3556">
        <f>IF($C3556="","",IF(COUNTIF($C$2:$C3556,$C3556)=1,1,0))</f>
        <v/>
      </c>
      <c r="AK3556">
        <f>IF($AJ3556=1,SUMPRODUCT(--($AN$2:$AN$4001&lt;$AN3556))+1,"")</f>
        <v/>
      </c>
      <c r="AL3556">
        <f>IF($C3556="","",IF(OR($Q3556=TRUE(),$Q3556="TRUE"),1,0))</f>
        <v/>
      </c>
      <c r="AM3556">
        <f>IF($C3556="","",IF($W3556="Yes",1,0))</f>
        <v/>
      </c>
      <c r="AN3556">
        <f>IF($AJ3556=1,IFERROR(IF(VALUE($C3556)&lt;100000000,VALUE($C3556),1000000000),IFERROR(IF(VALUE(MID($C3556,2,20))&lt;100000000,VALUE(MID($C3556,2,20)),1000000000),1000000000))+ROW()/100000,"")</f>
        <v/>
      </c>
    </row>
    <row r="3557">
      <c r="E3557" s="11" t="n"/>
      <c r="M3557" s="7">
        <f>IF($C3557="","",L3557*U3557/100)</f>
        <v/>
      </c>
      <c r="N3557" s="7" t="n"/>
      <c r="T3557" s="7" t="n"/>
      <c r="U3557" s="7">
        <f>IF($C3557="","",S3557*T3557)</f>
        <v/>
      </c>
      <c r="X3557">
        <f>IF($C3557="","",IF($AM3557=1,0,IF($AL3557=1,Settings!$C$6,Settings!$C$7))*100)</f>
        <v/>
      </c>
      <c r="AB3557" s="7" t="n"/>
      <c r="AE3557" s="11" t="n"/>
      <c r="AG3557" s="7">
        <f>IF($C3557="","",U3557*X3557/100)</f>
        <v/>
      </c>
      <c r="AH3557" s="7">
        <f>IF($C3557="","",U3557-AG3557)</f>
        <v/>
      </c>
      <c r="AI3557" s="7">
        <f>IF($C3557="","",AH3557-M3557)</f>
        <v/>
      </c>
      <c r="AJ3557">
        <f>IF($C3557="","",IF(COUNTIF($C$2:$C3557,$C3557)=1,1,0))</f>
        <v/>
      </c>
      <c r="AK3557">
        <f>IF($AJ3557=1,SUMPRODUCT(--($AN$2:$AN$4001&lt;$AN3557))+1,"")</f>
        <v/>
      </c>
      <c r="AL3557">
        <f>IF($C3557="","",IF(OR($Q3557=TRUE(),$Q3557="TRUE"),1,0))</f>
        <v/>
      </c>
      <c r="AM3557">
        <f>IF($C3557="","",IF($W3557="Yes",1,0))</f>
        <v/>
      </c>
      <c r="AN3557">
        <f>IF($AJ3557=1,IFERROR(IF(VALUE($C3557)&lt;100000000,VALUE($C3557),1000000000),IFERROR(IF(VALUE(MID($C3557,2,20))&lt;100000000,VALUE(MID($C3557,2,20)),1000000000),1000000000))+ROW()/100000,"")</f>
        <v/>
      </c>
    </row>
    <row r="3558">
      <c r="E3558" s="11" t="n"/>
      <c r="M3558" s="7">
        <f>IF($C3558="","",L3558*U3558/100)</f>
        <v/>
      </c>
      <c r="N3558" s="7" t="n"/>
      <c r="T3558" s="7" t="n"/>
      <c r="U3558" s="7">
        <f>IF($C3558="","",S3558*T3558)</f>
        <v/>
      </c>
      <c r="X3558">
        <f>IF($C3558="","",IF($AM3558=1,0,IF($AL3558=1,Settings!$C$6,Settings!$C$7))*100)</f>
        <v/>
      </c>
      <c r="AB3558" s="7" t="n"/>
      <c r="AE3558" s="11" t="n"/>
      <c r="AG3558" s="7">
        <f>IF($C3558="","",U3558*X3558/100)</f>
        <v/>
      </c>
      <c r="AH3558" s="7">
        <f>IF($C3558="","",U3558-AG3558)</f>
        <v/>
      </c>
      <c r="AI3558" s="7">
        <f>IF($C3558="","",AH3558-M3558)</f>
        <v/>
      </c>
      <c r="AJ3558">
        <f>IF($C3558="","",IF(COUNTIF($C$2:$C3558,$C3558)=1,1,0))</f>
        <v/>
      </c>
      <c r="AK3558">
        <f>IF($AJ3558=1,SUMPRODUCT(--($AN$2:$AN$4001&lt;$AN3558))+1,"")</f>
        <v/>
      </c>
      <c r="AL3558">
        <f>IF($C3558="","",IF(OR($Q3558=TRUE(),$Q3558="TRUE"),1,0))</f>
        <v/>
      </c>
      <c r="AM3558">
        <f>IF($C3558="","",IF($W3558="Yes",1,0))</f>
        <v/>
      </c>
      <c r="AN3558">
        <f>IF($AJ3558=1,IFERROR(IF(VALUE($C3558)&lt;100000000,VALUE($C3558),1000000000),IFERROR(IF(VALUE(MID($C3558,2,20))&lt;100000000,VALUE(MID($C3558,2,20)),1000000000),1000000000))+ROW()/100000,"")</f>
        <v/>
      </c>
    </row>
    <row r="3559">
      <c r="E3559" s="11" t="n"/>
      <c r="M3559" s="7">
        <f>IF($C3559="","",L3559*U3559/100)</f>
        <v/>
      </c>
      <c r="N3559" s="7" t="n"/>
      <c r="T3559" s="7" t="n"/>
      <c r="U3559" s="7">
        <f>IF($C3559="","",S3559*T3559)</f>
        <v/>
      </c>
      <c r="X3559">
        <f>IF($C3559="","",IF($AM3559=1,0,IF($AL3559=1,Settings!$C$6,Settings!$C$7))*100)</f>
        <v/>
      </c>
      <c r="AB3559" s="7" t="n"/>
      <c r="AE3559" s="11" t="n"/>
      <c r="AG3559" s="7">
        <f>IF($C3559="","",U3559*X3559/100)</f>
        <v/>
      </c>
      <c r="AH3559" s="7">
        <f>IF($C3559="","",U3559-AG3559)</f>
        <v/>
      </c>
      <c r="AI3559" s="7">
        <f>IF($C3559="","",AH3559-M3559)</f>
        <v/>
      </c>
      <c r="AJ3559">
        <f>IF($C3559="","",IF(COUNTIF($C$2:$C3559,$C3559)=1,1,0))</f>
        <v/>
      </c>
      <c r="AK3559">
        <f>IF($AJ3559=1,SUMPRODUCT(--($AN$2:$AN$4001&lt;$AN3559))+1,"")</f>
        <v/>
      </c>
      <c r="AL3559">
        <f>IF($C3559="","",IF(OR($Q3559=TRUE(),$Q3559="TRUE"),1,0))</f>
        <v/>
      </c>
      <c r="AM3559">
        <f>IF($C3559="","",IF($W3559="Yes",1,0))</f>
        <v/>
      </c>
      <c r="AN3559">
        <f>IF($AJ3559=1,IFERROR(IF(VALUE($C3559)&lt;100000000,VALUE($C3559),1000000000),IFERROR(IF(VALUE(MID($C3559,2,20))&lt;100000000,VALUE(MID($C3559,2,20)),1000000000),1000000000))+ROW()/100000,"")</f>
        <v/>
      </c>
    </row>
    <row r="3560">
      <c r="E3560" s="11" t="n"/>
      <c r="M3560" s="7">
        <f>IF($C3560="","",L3560*U3560/100)</f>
        <v/>
      </c>
      <c r="N3560" s="7" t="n"/>
      <c r="T3560" s="7" t="n"/>
      <c r="U3560" s="7">
        <f>IF($C3560="","",S3560*T3560)</f>
        <v/>
      </c>
      <c r="X3560">
        <f>IF($C3560="","",IF($AM3560=1,0,IF($AL3560=1,Settings!$C$6,Settings!$C$7))*100)</f>
        <v/>
      </c>
      <c r="AB3560" s="7" t="n"/>
      <c r="AE3560" s="11" t="n"/>
      <c r="AG3560" s="7">
        <f>IF($C3560="","",U3560*X3560/100)</f>
        <v/>
      </c>
      <c r="AH3560" s="7">
        <f>IF($C3560="","",U3560-AG3560)</f>
        <v/>
      </c>
      <c r="AI3560" s="7">
        <f>IF($C3560="","",AH3560-M3560)</f>
        <v/>
      </c>
      <c r="AJ3560">
        <f>IF($C3560="","",IF(COUNTIF($C$2:$C3560,$C3560)=1,1,0))</f>
        <v/>
      </c>
      <c r="AK3560">
        <f>IF($AJ3560=1,SUMPRODUCT(--($AN$2:$AN$4001&lt;$AN3560))+1,"")</f>
        <v/>
      </c>
      <c r="AL3560">
        <f>IF($C3560="","",IF(OR($Q3560=TRUE(),$Q3560="TRUE"),1,0))</f>
        <v/>
      </c>
      <c r="AM3560">
        <f>IF($C3560="","",IF($W3560="Yes",1,0))</f>
        <v/>
      </c>
      <c r="AN3560">
        <f>IF($AJ3560=1,IFERROR(IF(VALUE($C3560)&lt;100000000,VALUE($C3560),1000000000),IFERROR(IF(VALUE(MID($C3560,2,20))&lt;100000000,VALUE(MID($C3560,2,20)),1000000000),1000000000))+ROW()/100000,"")</f>
        <v/>
      </c>
    </row>
    <row r="3561">
      <c r="E3561" s="11" t="n"/>
      <c r="M3561" s="7">
        <f>IF($C3561="","",L3561*U3561/100)</f>
        <v/>
      </c>
      <c r="N3561" s="7" t="n"/>
      <c r="T3561" s="7" t="n"/>
      <c r="U3561" s="7">
        <f>IF($C3561="","",S3561*T3561)</f>
        <v/>
      </c>
      <c r="X3561">
        <f>IF($C3561="","",IF($AM3561=1,0,IF($AL3561=1,Settings!$C$6,Settings!$C$7))*100)</f>
        <v/>
      </c>
      <c r="AB3561" s="7" t="n"/>
      <c r="AE3561" s="11" t="n"/>
      <c r="AG3561" s="7">
        <f>IF($C3561="","",U3561*X3561/100)</f>
        <v/>
      </c>
      <c r="AH3561" s="7">
        <f>IF($C3561="","",U3561-AG3561)</f>
        <v/>
      </c>
      <c r="AI3561" s="7">
        <f>IF($C3561="","",AH3561-M3561)</f>
        <v/>
      </c>
      <c r="AJ3561">
        <f>IF($C3561="","",IF(COUNTIF($C$2:$C3561,$C3561)=1,1,0))</f>
        <v/>
      </c>
      <c r="AK3561">
        <f>IF($AJ3561=1,SUMPRODUCT(--($AN$2:$AN$4001&lt;$AN3561))+1,"")</f>
        <v/>
      </c>
      <c r="AL3561">
        <f>IF($C3561="","",IF(OR($Q3561=TRUE(),$Q3561="TRUE"),1,0))</f>
        <v/>
      </c>
      <c r="AM3561">
        <f>IF($C3561="","",IF($W3561="Yes",1,0))</f>
        <v/>
      </c>
      <c r="AN3561">
        <f>IF($AJ3561=1,IFERROR(IF(VALUE($C3561)&lt;100000000,VALUE($C3561),1000000000),IFERROR(IF(VALUE(MID($C3561,2,20))&lt;100000000,VALUE(MID($C3561,2,20)),1000000000),1000000000))+ROW()/100000,"")</f>
        <v/>
      </c>
    </row>
    <row r="3562">
      <c r="E3562" s="11" t="n"/>
      <c r="M3562" s="7">
        <f>IF($C3562="","",L3562*U3562/100)</f>
        <v/>
      </c>
      <c r="N3562" s="7" t="n"/>
      <c r="T3562" s="7" t="n"/>
      <c r="U3562" s="7">
        <f>IF($C3562="","",S3562*T3562)</f>
        <v/>
      </c>
      <c r="X3562">
        <f>IF($C3562="","",IF($AM3562=1,0,IF($AL3562=1,Settings!$C$6,Settings!$C$7))*100)</f>
        <v/>
      </c>
      <c r="AB3562" s="7" t="n"/>
      <c r="AE3562" s="11" t="n"/>
      <c r="AG3562" s="7">
        <f>IF($C3562="","",U3562*X3562/100)</f>
        <v/>
      </c>
      <c r="AH3562" s="7">
        <f>IF($C3562="","",U3562-AG3562)</f>
        <v/>
      </c>
      <c r="AI3562" s="7">
        <f>IF($C3562="","",AH3562-M3562)</f>
        <v/>
      </c>
      <c r="AJ3562">
        <f>IF($C3562="","",IF(COUNTIF($C$2:$C3562,$C3562)=1,1,0))</f>
        <v/>
      </c>
      <c r="AK3562">
        <f>IF($AJ3562=1,SUMPRODUCT(--($AN$2:$AN$4001&lt;$AN3562))+1,"")</f>
        <v/>
      </c>
      <c r="AL3562">
        <f>IF($C3562="","",IF(OR($Q3562=TRUE(),$Q3562="TRUE"),1,0))</f>
        <v/>
      </c>
      <c r="AM3562">
        <f>IF($C3562="","",IF($W3562="Yes",1,0))</f>
        <v/>
      </c>
      <c r="AN3562">
        <f>IF($AJ3562=1,IFERROR(IF(VALUE($C3562)&lt;100000000,VALUE($C3562),1000000000),IFERROR(IF(VALUE(MID($C3562,2,20))&lt;100000000,VALUE(MID($C3562,2,20)),1000000000),1000000000))+ROW()/100000,"")</f>
        <v/>
      </c>
    </row>
    <row r="3563">
      <c r="E3563" s="11" t="n"/>
      <c r="M3563" s="7">
        <f>IF($C3563="","",L3563*U3563/100)</f>
        <v/>
      </c>
      <c r="N3563" s="7" t="n"/>
      <c r="T3563" s="7" t="n"/>
      <c r="U3563" s="7">
        <f>IF($C3563="","",S3563*T3563)</f>
        <v/>
      </c>
      <c r="X3563">
        <f>IF($C3563="","",IF($AM3563=1,0,IF($AL3563=1,Settings!$C$6,Settings!$C$7))*100)</f>
        <v/>
      </c>
      <c r="AB3563" s="7" t="n"/>
      <c r="AE3563" s="11" t="n"/>
      <c r="AG3563" s="7">
        <f>IF($C3563="","",U3563*X3563/100)</f>
        <v/>
      </c>
      <c r="AH3563" s="7">
        <f>IF($C3563="","",U3563-AG3563)</f>
        <v/>
      </c>
      <c r="AI3563" s="7">
        <f>IF($C3563="","",AH3563-M3563)</f>
        <v/>
      </c>
      <c r="AJ3563">
        <f>IF($C3563="","",IF(COUNTIF($C$2:$C3563,$C3563)=1,1,0))</f>
        <v/>
      </c>
      <c r="AK3563">
        <f>IF($AJ3563=1,SUMPRODUCT(--($AN$2:$AN$4001&lt;$AN3563))+1,"")</f>
        <v/>
      </c>
      <c r="AL3563">
        <f>IF($C3563="","",IF(OR($Q3563=TRUE(),$Q3563="TRUE"),1,0))</f>
        <v/>
      </c>
      <c r="AM3563">
        <f>IF($C3563="","",IF($W3563="Yes",1,0))</f>
        <v/>
      </c>
      <c r="AN3563">
        <f>IF($AJ3563=1,IFERROR(IF(VALUE($C3563)&lt;100000000,VALUE($C3563),1000000000),IFERROR(IF(VALUE(MID($C3563,2,20))&lt;100000000,VALUE(MID($C3563,2,20)),1000000000),1000000000))+ROW()/100000,"")</f>
        <v/>
      </c>
    </row>
    <row r="3564">
      <c r="E3564" s="11" t="n"/>
      <c r="M3564" s="7">
        <f>IF($C3564="","",L3564*U3564/100)</f>
        <v/>
      </c>
      <c r="N3564" s="7" t="n"/>
      <c r="T3564" s="7" t="n"/>
      <c r="U3564" s="7">
        <f>IF($C3564="","",S3564*T3564)</f>
        <v/>
      </c>
      <c r="X3564">
        <f>IF($C3564="","",IF($AM3564=1,0,IF($AL3564=1,Settings!$C$6,Settings!$C$7))*100)</f>
        <v/>
      </c>
      <c r="AB3564" s="7" t="n"/>
      <c r="AE3564" s="11" t="n"/>
      <c r="AG3564" s="7">
        <f>IF($C3564="","",U3564*X3564/100)</f>
        <v/>
      </c>
      <c r="AH3564" s="7">
        <f>IF($C3564="","",U3564-AG3564)</f>
        <v/>
      </c>
      <c r="AI3564" s="7">
        <f>IF($C3564="","",AH3564-M3564)</f>
        <v/>
      </c>
      <c r="AJ3564">
        <f>IF($C3564="","",IF(COUNTIF($C$2:$C3564,$C3564)=1,1,0))</f>
        <v/>
      </c>
      <c r="AK3564">
        <f>IF($AJ3564=1,SUMPRODUCT(--($AN$2:$AN$4001&lt;$AN3564))+1,"")</f>
        <v/>
      </c>
      <c r="AL3564">
        <f>IF($C3564="","",IF(OR($Q3564=TRUE(),$Q3564="TRUE"),1,0))</f>
        <v/>
      </c>
      <c r="AM3564">
        <f>IF($C3564="","",IF($W3564="Yes",1,0))</f>
        <v/>
      </c>
      <c r="AN3564">
        <f>IF($AJ3564=1,IFERROR(IF(VALUE($C3564)&lt;100000000,VALUE($C3564),1000000000),IFERROR(IF(VALUE(MID($C3564,2,20))&lt;100000000,VALUE(MID($C3564,2,20)),1000000000),1000000000))+ROW()/100000,"")</f>
        <v/>
      </c>
    </row>
    <row r="3565">
      <c r="E3565" s="11" t="n"/>
      <c r="M3565" s="7">
        <f>IF($C3565="","",L3565*U3565/100)</f>
        <v/>
      </c>
      <c r="N3565" s="7" t="n"/>
      <c r="T3565" s="7" t="n"/>
      <c r="U3565" s="7">
        <f>IF($C3565="","",S3565*T3565)</f>
        <v/>
      </c>
      <c r="X3565">
        <f>IF($C3565="","",IF($AM3565=1,0,IF($AL3565=1,Settings!$C$6,Settings!$C$7))*100)</f>
        <v/>
      </c>
      <c r="AB3565" s="7" t="n"/>
      <c r="AE3565" s="11" t="n"/>
      <c r="AG3565" s="7">
        <f>IF($C3565="","",U3565*X3565/100)</f>
        <v/>
      </c>
      <c r="AH3565" s="7">
        <f>IF($C3565="","",U3565-AG3565)</f>
        <v/>
      </c>
      <c r="AI3565" s="7">
        <f>IF($C3565="","",AH3565-M3565)</f>
        <v/>
      </c>
      <c r="AJ3565">
        <f>IF($C3565="","",IF(COUNTIF($C$2:$C3565,$C3565)=1,1,0))</f>
        <v/>
      </c>
      <c r="AK3565">
        <f>IF($AJ3565=1,SUMPRODUCT(--($AN$2:$AN$4001&lt;$AN3565))+1,"")</f>
        <v/>
      </c>
      <c r="AL3565">
        <f>IF($C3565="","",IF(OR($Q3565=TRUE(),$Q3565="TRUE"),1,0))</f>
        <v/>
      </c>
      <c r="AM3565">
        <f>IF($C3565="","",IF($W3565="Yes",1,0))</f>
        <v/>
      </c>
      <c r="AN3565">
        <f>IF($AJ3565=1,IFERROR(IF(VALUE($C3565)&lt;100000000,VALUE($C3565),1000000000),IFERROR(IF(VALUE(MID($C3565,2,20))&lt;100000000,VALUE(MID($C3565,2,20)),1000000000),1000000000))+ROW()/100000,"")</f>
        <v/>
      </c>
    </row>
    <row r="3566">
      <c r="E3566" s="11" t="n"/>
      <c r="M3566" s="7">
        <f>IF($C3566="","",L3566*U3566/100)</f>
        <v/>
      </c>
      <c r="N3566" s="7" t="n"/>
      <c r="T3566" s="7" t="n"/>
      <c r="U3566" s="7">
        <f>IF($C3566="","",S3566*T3566)</f>
        <v/>
      </c>
      <c r="X3566">
        <f>IF($C3566="","",IF($AM3566=1,0,IF($AL3566=1,Settings!$C$6,Settings!$C$7))*100)</f>
        <v/>
      </c>
      <c r="AB3566" s="7" t="n"/>
      <c r="AE3566" s="11" t="n"/>
      <c r="AG3566" s="7">
        <f>IF($C3566="","",U3566*X3566/100)</f>
        <v/>
      </c>
      <c r="AH3566" s="7">
        <f>IF($C3566="","",U3566-AG3566)</f>
        <v/>
      </c>
      <c r="AI3566" s="7">
        <f>IF($C3566="","",AH3566-M3566)</f>
        <v/>
      </c>
      <c r="AJ3566">
        <f>IF($C3566="","",IF(COUNTIF($C$2:$C3566,$C3566)=1,1,0))</f>
        <v/>
      </c>
      <c r="AK3566">
        <f>IF($AJ3566=1,SUMPRODUCT(--($AN$2:$AN$4001&lt;$AN3566))+1,"")</f>
        <v/>
      </c>
      <c r="AL3566">
        <f>IF($C3566="","",IF(OR($Q3566=TRUE(),$Q3566="TRUE"),1,0))</f>
        <v/>
      </c>
      <c r="AM3566">
        <f>IF($C3566="","",IF($W3566="Yes",1,0))</f>
        <v/>
      </c>
      <c r="AN3566">
        <f>IF($AJ3566=1,IFERROR(IF(VALUE($C3566)&lt;100000000,VALUE($C3566),1000000000),IFERROR(IF(VALUE(MID($C3566,2,20))&lt;100000000,VALUE(MID($C3566,2,20)),1000000000),1000000000))+ROW()/100000,"")</f>
        <v/>
      </c>
    </row>
    <row r="3567">
      <c r="E3567" s="11" t="n"/>
      <c r="M3567" s="7">
        <f>IF($C3567="","",L3567*U3567/100)</f>
        <v/>
      </c>
      <c r="N3567" s="7" t="n"/>
      <c r="T3567" s="7" t="n"/>
      <c r="U3567" s="7">
        <f>IF($C3567="","",S3567*T3567)</f>
        <v/>
      </c>
      <c r="X3567">
        <f>IF($C3567="","",IF($AM3567=1,0,IF($AL3567=1,Settings!$C$6,Settings!$C$7))*100)</f>
        <v/>
      </c>
      <c r="AB3567" s="7" t="n"/>
      <c r="AE3567" s="11" t="n"/>
      <c r="AG3567" s="7">
        <f>IF($C3567="","",U3567*X3567/100)</f>
        <v/>
      </c>
      <c r="AH3567" s="7">
        <f>IF($C3567="","",U3567-AG3567)</f>
        <v/>
      </c>
      <c r="AI3567" s="7">
        <f>IF($C3567="","",AH3567-M3567)</f>
        <v/>
      </c>
      <c r="AJ3567">
        <f>IF($C3567="","",IF(COUNTIF($C$2:$C3567,$C3567)=1,1,0))</f>
        <v/>
      </c>
      <c r="AK3567">
        <f>IF($AJ3567=1,SUMPRODUCT(--($AN$2:$AN$4001&lt;$AN3567))+1,"")</f>
        <v/>
      </c>
      <c r="AL3567">
        <f>IF($C3567="","",IF(OR($Q3567=TRUE(),$Q3567="TRUE"),1,0))</f>
        <v/>
      </c>
      <c r="AM3567">
        <f>IF($C3567="","",IF($W3567="Yes",1,0))</f>
        <v/>
      </c>
      <c r="AN3567">
        <f>IF($AJ3567=1,IFERROR(IF(VALUE($C3567)&lt;100000000,VALUE($C3567),1000000000),IFERROR(IF(VALUE(MID($C3567,2,20))&lt;100000000,VALUE(MID($C3567,2,20)),1000000000),1000000000))+ROW()/100000,"")</f>
        <v/>
      </c>
    </row>
    <row r="3568">
      <c r="E3568" s="11" t="n"/>
      <c r="M3568" s="7">
        <f>IF($C3568="","",L3568*U3568/100)</f>
        <v/>
      </c>
      <c r="N3568" s="7" t="n"/>
      <c r="T3568" s="7" t="n"/>
      <c r="U3568" s="7">
        <f>IF($C3568="","",S3568*T3568)</f>
        <v/>
      </c>
      <c r="X3568">
        <f>IF($C3568="","",IF($AM3568=1,0,IF($AL3568=1,Settings!$C$6,Settings!$C$7))*100)</f>
        <v/>
      </c>
      <c r="AB3568" s="7" t="n"/>
      <c r="AE3568" s="11" t="n"/>
      <c r="AG3568" s="7">
        <f>IF($C3568="","",U3568*X3568/100)</f>
        <v/>
      </c>
      <c r="AH3568" s="7">
        <f>IF($C3568="","",U3568-AG3568)</f>
        <v/>
      </c>
      <c r="AI3568" s="7">
        <f>IF($C3568="","",AH3568-M3568)</f>
        <v/>
      </c>
      <c r="AJ3568">
        <f>IF($C3568="","",IF(COUNTIF($C$2:$C3568,$C3568)=1,1,0))</f>
        <v/>
      </c>
      <c r="AK3568">
        <f>IF($AJ3568=1,SUMPRODUCT(--($AN$2:$AN$4001&lt;$AN3568))+1,"")</f>
        <v/>
      </c>
      <c r="AL3568">
        <f>IF($C3568="","",IF(OR($Q3568=TRUE(),$Q3568="TRUE"),1,0))</f>
        <v/>
      </c>
      <c r="AM3568">
        <f>IF($C3568="","",IF($W3568="Yes",1,0))</f>
        <v/>
      </c>
      <c r="AN3568">
        <f>IF($AJ3568=1,IFERROR(IF(VALUE($C3568)&lt;100000000,VALUE($C3568),1000000000),IFERROR(IF(VALUE(MID($C3568,2,20))&lt;100000000,VALUE(MID($C3568,2,20)),1000000000),1000000000))+ROW()/100000,"")</f>
        <v/>
      </c>
    </row>
    <row r="3569">
      <c r="E3569" s="11" t="n"/>
      <c r="M3569" s="7">
        <f>IF($C3569="","",L3569*U3569/100)</f>
        <v/>
      </c>
      <c r="N3569" s="7" t="n"/>
      <c r="T3569" s="7" t="n"/>
      <c r="U3569" s="7">
        <f>IF($C3569="","",S3569*T3569)</f>
        <v/>
      </c>
      <c r="X3569">
        <f>IF($C3569="","",IF($AM3569=1,0,IF($AL3569=1,Settings!$C$6,Settings!$C$7))*100)</f>
        <v/>
      </c>
      <c r="AB3569" s="7" t="n"/>
      <c r="AE3569" s="11" t="n"/>
      <c r="AG3569" s="7">
        <f>IF($C3569="","",U3569*X3569/100)</f>
        <v/>
      </c>
      <c r="AH3569" s="7">
        <f>IF($C3569="","",U3569-AG3569)</f>
        <v/>
      </c>
      <c r="AI3569" s="7">
        <f>IF($C3569="","",AH3569-M3569)</f>
        <v/>
      </c>
      <c r="AJ3569">
        <f>IF($C3569="","",IF(COUNTIF($C$2:$C3569,$C3569)=1,1,0))</f>
        <v/>
      </c>
      <c r="AK3569">
        <f>IF($AJ3569=1,SUMPRODUCT(--($AN$2:$AN$4001&lt;$AN3569))+1,"")</f>
        <v/>
      </c>
      <c r="AL3569">
        <f>IF($C3569="","",IF(OR($Q3569=TRUE(),$Q3569="TRUE"),1,0))</f>
        <v/>
      </c>
      <c r="AM3569">
        <f>IF($C3569="","",IF($W3569="Yes",1,0))</f>
        <v/>
      </c>
      <c r="AN3569">
        <f>IF($AJ3569=1,IFERROR(IF(VALUE($C3569)&lt;100000000,VALUE($C3569),1000000000),IFERROR(IF(VALUE(MID($C3569,2,20))&lt;100000000,VALUE(MID($C3569,2,20)),1000000000),1000000000))+ROW()/100000,"")</f>
        <v/>
      </c>
    </row>
    <row r="3570">
      <c r="E3570" s="11" t="n"/>
      <c r="M3570" s="7">
        <f>IF($C3570="","",L3570*U3570/100)</f>
        <v/>
      </c>
      <c r="N3570" s="7" t="n"/>
      <c r="T3570" s="7" t="n"/>
      <c r="U3570" s="7">
        <f>IF($C3570="","",S3570*T3570)</f>
        <v/>
      </c>
      <c r="X3570">
        <f>IF($C3570="","",IF($AM3570=1,0,IF($AL3570=1,Settings!$C$6,Settings!$C$7))*100)</f>
        <v/>
      </c>
      <c r="AB3570" s="7" t="n"/>
      <c r="AE3570" s="11" t="n"/>
      <c r="AG3570" s="7">
        <f>IF($C3570="","",U3570*X3570/100)</f>
        <v/>
      </c>
      <c r="AH3570" s="7">
        <f>IF($C3570="","",U3570-AG3570)</f>
        <v/>
      </c>
      <c r="AI3570" s="7">
        <f>IF($C3570="","",AH3570-M3570)</f>
        <v/>
      </c>
      <c r="AJ3570">
        <f>IF($C3570="","",IF(COUNTIF($C$2:$C3570,$C3570)=1,1,0))</f>
        <v/>
      </c>
      <c r="AK3570">
        <f>IF($AJ3570=1,SUMPRODUCT(--($AN$2:$AN$4001&lt;$AN3570))+1,"")</f>
        <v/>
      </c>
      <c r="AL3570">
        <f>IF($C3570="","",IF(OR($Q3570=TRUE(),$Q3570="TRUE"),1,0))</f>
        <v/>
      </c>
      <c r="AM3570">
        <f>IF($C3570="","",IF($W3570="Yes",1,0))</f>
        <v/>
      </c>
      <c r="AN3570">
        <f>IF($AJ3570=1,IFERROR(IF(VALUE($C3570)&lt;100000000,VALUE($C3570),1000000000),IFERROR(IF(VALUE(MID($C3570,2,20))&lt;100000000,VALUE(MID($C3570,2,20)),1000000000),1000000000))+ROW()/100000,"")</f>
        <v/>
      </c>
    </row>
    <row r="3571">
      <c r="E3571" s="11" t="n"/>
      <c r="M3571" s="7">
        <f>IF($C3571="","",L3571*U3571/100)</f>
        <v/>
      </c>
      <c r="N3571" s="7" t="n"/>
      <c r="T3571" s="7" t="n"/>
      <c r="U3571" s="7">
        <f>IF($C3571="","",S3571*T3571)</f>
        <v/>
      </c>
      <c r="X3571">
        <f>IF($C3571="","",IF($AM3571=1,0,IF($AL3571=1,Settings!$C$6,Settings!$C$7))*100)</f>
        <v/>
      </c>
      <c r="AB3571" s="7" t="n"/>
      <c r="AE3571" s="11" t="n"/>
      <c r="AG3571" s="7">
        <f>IF($C3571="","",U3571*X3571/100)</f>
        <v/>
      </c>
      <c r="AH3571" s="7">
        <f>IF($C3571="","",U3571-AG3571)</f>
        <v/>
      </c>
      <c r="AI3571" s="7">
        <f>IF($C3571="","",AH3571-M3571)</f>
        <v/>
      </c>
      <c r="AJ3571">
        <f>IF($C3571="","",IF(COUNTIF($C$2:$C3571,$C3571)=1,1,0))</f>
        <v/>
      </c>
      <c r="AK3571">
        <f>IF($AJ3571=1,SUMPRODUCT(--($AN$2:$AN$4001&lt;$AN3571))+1,"")</f>
        <v/>
      </c>
      <c r="AL3571">
        <f>IF($C3571="","",IF(OR($Q3571=TRUE(),$Q3571="TRUE"),1,0))</f>
        <v/>
      </c>
      <c r="AM3571">
        <f>IF($C3571="","",IF($W3571="Yes",1,0))</f>
        <v/>
      </c>
      <c r="AN3571">
        <f>IF($AJ3571=1,IFERROR(IF(VALUE($C3571)&lt;100000000,VALUE($C3571),1000000000),IFERROR(IF(VALUE(MID($C3571,2,20))&lt;100000000,VALUE(MID($C3571,2,20)),1000000000),1000000000))+ROW()/100000,"")</f>
        <v/>
      </c>
    </row>
    <row r="3572">
      <c r="E3572" s="11" t="n"/>
      <c r="M3572" s="7">
        <f>IF($C3572="","",L3572*U3572/100)</f>
        <v/>
      </c>
      <c r="N3572" s="7" t="n"/>
      <c r="T3572" s="7" t="n"/>
      <c r="U3572" s="7">
        <f>IF($C3572="","",S3572*T3572)</f>
        <v/>
      </c>
      <c r="X3572">
        <f>IF($C3572="","",IF($AM3572=1,0,IF($AL3572=1,Settings!$C$6,Settings!$C$7))*100)</f>
        <v/>
      </c>
      <c r="AB3572" s="7" t="n"/>
      <c r="AE3572" s="11" t="n"/>
      <c r="AG3572" s="7">
        <f>IF($C3572="","",U3572*X3572/100)</f>
        <v/>
      </c>
      <c r="AH3572" s="7">
        <f>IF($C3572="","",U3572-AG3572)</f>
        <v/>
      </c>
      <c r="AI3572" s="7">
        <f>IF($C3572="","",AH3572-M3572)</f>
        <v/>
      </c>
      <c r="AJ3572">
        <f>IF($C3572="","",IF(COUNTIF($C$2:$C3572,$C3572)=1,1,0))</f>
        <v/>
      </c>
      <c r="AK3572">
        <f>IF($AJ3572=1,SUMPRODUCT(--($AN$2:$AN$4001&lt;$AN3572))+1,"")</f>
        <v/>
      </c>
      <c r="AL3572">
        <f>IF($C3572="","",IF(OR($Q3572=TRUE(),$Q3572="TRUE"),1,0))</f>
        <v/>
      </c>
      <c r="AM3572">
        <f>IF($C3572="","",IF($W3572="Yes",1,0))</f>
        <v/>
      </c>
      <c r="AN3572">
        <f>IF($AJ3572=1,IFERROR(IF(VALUE($C3572)&lt;100000000,VALUE($C3572),1000000000),IFERROR(IF(VALUE(MID($C3572,2,20))&lt;100000000,VALUE(MID($C3572,2,20)),1000000000),1000000000))+ROW()/100000,"")</f>
        <v/>
      </c>
    </row>
    <row r="3573">
      <c r="E3573" s="11" t="n"/>
      <c r="M3573" s="7">
        <f>IF($C3573="","",L3573*U3573/100)</f>
        <v/>
      </c>
      <c r="N3573" s="7" t="n"/>
      <c r="T3573" s="7" t="n"/>
      <c r="U3573" s="7">
        <f>IF($C3573="","",S3573*T3573)</f>
        <v/>
      </c>
      <c r="X3573">
        <f>IF($C3573="","",IF($AM3573=1,0,IF($AL3573=1,Settings!$C$6,Settings!$C$7))*100)</f>
        <v/>
      </c>
      <c r="AB3573" s="7" t="n"/>
      <c r="AE3573" s="11" t="n"/>
      <c r="AG3573" s="7">
        <f>IF($C3573="","",U3573*X3573/100)</f>
        <v/>
      </c>
      <c r="AH3573" s="7">
        <f>IF($C3573="","",U3573-AG3573)</f>
        <v/>
      </c>
      <c r="AI3573" s="7">
        <f>IF($C3573="","",AH3573-M3573)</f>
        <v/>
      </c>
      <c r="AJ3573">
        <f>IF($C3573="","",IF(COUNTIF($C$2:$C3573,$C3573)=1,1,0))</f>
        <v/>
      </c>
      <c r="AK3573">
        <f>IF($AJ3573=1,SUMPRODUCT(--($AN$2:$AN$4001&lt;$AN3573))+1,"")</f>
        <v/>
      </c>
      <c r="AL3573">
        <f>IF($C3573="","",IF(OR($Q3573=TRUE(),$Q3573="TRUE"),1,0))</f>
        <v/>
      </c>
      <c r="AM3573">
        <f>IF($C3573="","",IF($W3573="Yes",1,0))</f>
        <v/>
      </c>
      <c r="AN3573">
        <f>IF($AJ3573=1,IFERROR(IF(VALUE($C3573)&lt;100000000,VALUE($C3573),1000000000),IFERROR(IF(VALUE(MID($C3573,2,20))&lt;100000000,VALUE(MID($C3573,2,20)),1000000000),1000000000))+ROW()/100000,"")</f>
        <v/>
      </c>
    </row>
    <row r="3574">
      <c r="E3574" s="11" t="n"/>
      <c r="M3574" s="7">
        <f>IF($C3574="","",L3574*U3574/100)</f>
        <v/>
      </c>
      <c r="N3574" s="7" t="n"/>
      <c r="T3574" s="7" t="n"/>
      <c r="U3574" s="7">
        <f>IF($C3574="","",S3574*T3574)</f>
        <v/>
      </c>
      <c r="X3574">
        <f>IF($C3574="","",IF($AM3574=1,0,IF($AL3574=1,Settings!$C$6,Settings!$C$7))*100)</f>
        <v/>
      </c>
      <c r="AB3574" s="7" t="n"/>
      <c r="AE3574" s="11" t="n"/>
      <c r="AG3574" s="7">
        <f>IF($C3574="","",U3574*X3574/100)</f>
        <v/>
      </c>
      <c r="AH3574" s="7">
        <f>IF($C3574="","",U3574-AG3574)</f>
        <v/>
      </c>
      <c r="AI3574" s="7">
        <f>IF($C3574="","",AH3574-M3574)</f>
        <v/>
      </c>
      <c r="AJ3574">
        <f>IF($C3574="","",IF(COUNTIF($C$2:$C3574,$C3574)=1,1,0))</f>
        <v/>
      </c>
      <c r="AK3574">
        <f>IF($AJ3574=1,SUMPRODUCT(--($AN$2:$AN$4001&lt;$AN3574))+1,"")</f>
        <v/>
      </c>
      <c r="AL3574">
        <f>IF($C3574="","",IF(OR($Q3574=TRUE(),$Q3574="TRUE"),1,0))</f>
        <v/>
      </c>
      <c r="AM3574">
        <f>IF($C3574="","",IF($W3574="Yes",1,0))</f>
        <v/>
      </c>
      <c r="AN3574">
        <f>IF($AJ3574=1,IFERROR(IF(VALUE($C3574)&lt;100000000,VALUE($C3574),1000000000),IFERROR(IF(VALUE(MID($C3574,2,20))&lt;100000000,VALUE(MID($C3574,2,20)),1000000000),1000000000))+ROW()/100000,"")</f>
        <v/>
      </c>
    </row>
    <row r="3575">
      <c r="E3575" s="11" t="n"/>
      <c r="M3575" s="7">
        <f>IF($C3575="","",L3575*U3575/100)</f>
        <v/>
      </c>
      <c r="N3575" s="7" t="n"/>
      <c r="T3575" s="7" t="n"/>
      <c r="U3575" s="7">
        <f>IF($C3575="","",S3575*T3575)</f>
        <v/>
      </c>
      <c r="X3575">
        <f>IF($C3575="","",IF($AM3575=1,0,IF($AL3575=1,Settings!$C$6,Settings!$C$7))*100)</f>
        <v/>
      </c>
      <c r="AB3575" s="7" t="n"/>
      <c r="AE3575" s="11" t="n"/>
      <c r="AG3575" s="7">
        <f>IF($C3575="","",U3575*X3575/100)</f>
        <v/>
      </c>
      <c r="AH3575" s="7">
        <f>IF($C3575="","",U3575-AG3575)</f>
        <v/>
      </c>
      <c r="AI3575" s="7">
        <f>IF($C3575="","",AH3575-M3575)</f>
        <v/>
      </c>
      <c r="AJ3575">
        <f>IF($C3575="","",IF(COUNTIF($C$2:$C3575,$C3575)=1,1,0))</f>
        <v/>
      </c>
      <c r="AK3575">
        <f>IF($AJ3575=1,SUMPRODUCT(--($AN$2:$AN$4001&lt;$AN3575))+1,"")</f>
        <v/>
      </c>
      <c r="AL3575">
        <f>IF($C3575="","",IF(OR($Q3575=TRUE(),$Q3575="TRUE"),1,0))</f>
        <v/>
      </c>
      <c r="AM3575">
        <f>IF($C3575="","",IF($W3575="Yes",1,0))</f>
        <v/>
      </c>
      <c r="AN3575">
        <f>IF($AJ3575=1,IFERROR(IF(VALUE($C3575)&lt;100000000,VALUE($C3575),1000000000),IFERROR(IF(VALUE(MID($C3575,2,20))&lt;100000000,VALUE(MID($C3575,2,20)),1000000000),1000000000))+ROW()/100000,"")</f>
        <v/>
      </c>
    </row>
    <row r="3576">
      <c r="E3576" s="11" t="n"/>
      <c r="M3576" s="7">
        <f>IF($C3576="","",L3576*U3576/100)</f>
        <v/>
      </c>
      <c r="N3576" s="7" t="n"/>
      <c r="T3576" s="7" t="n"/>
      <c r="U3576" s="7">
        <f>IF($C3576="","",S3576*T3576)</f>
        <v/>
      </c>
      <c r="X3576">
        <f>IF($C3576="","",IF($AM3576=1,0,IF($AL3576=1,Settings!$C$6,Settings!$C$7))*100)</f>
        <v/>
      </c>
      <c r="AB3576" s="7" t="n"/>
      <c r="AE3576" s="11" t="n"/>
      <c r="AG3576" s="7">
        <f>IF($C3576="","",U3576*X3576/100)</f>
        <v/>
      </c>
      <c r="AH3576" s="7">
        <f>IF($C3576="","",U3576-AG3576)</f>
        <v/>
      </c>
      <c r="AI3576" s="7">
        <f>IF($C3576="","",AH3576-M3576)</f>
        <v/>
      </c>
      <c r="AJ3576">
        <f>IF($C3576="","",IF(COUNTIF($C$2:$C3576,$C3576)=1,1,0))</f>
        <v/>
      </c>
      <c r="AK3576">
        <f>IF($AJ3576=1,SUMPRODUCT(--($AN$2:$AN$4001&lt;$AN3576))+1,"")</f>
        <v/>
      </c>
      <c r="AL3576">
        <f>IF($C3576="","",IF(OR($Q3576=TRUE(),$Q3576="TRUE"),1,0))</f>
        <v/>
      </c>
      <c r="AM3576">
        <f>IF($C3576="","",IF($W3576="Yes",1,0))</f>
        <v/>
      </c>
      <c r="AN3576">
        <f>IF($AJ3576=1,IFERROR(IF(VALUE($C3576)&lt;100000000,VALUE($C3576),1000000000),IFERROR(IF(VALUE(MID($C3576,2,20))&lt;100000000,VALUE(MID($C3576,2,20)),1000000000),1000000000))+ROW()/100000,"")</f>
        <v/>
      </c>
    </row>
    <row r="3577">
      <c r="E3577" s="11" t="n"/>
      <c r="M3577" s="7">
        <f>IF($C3577="","",L3577*U3577/100)</f>
        <v/>
      </c>
      <c r="N3577" s="7" t="n"/>
      <c r="T3577" s="7" t="n"/>
      <c r="U3577" s="7">
        <f>IF($C3577="","",S3577*T3577)</f>
        <v/>
      </c>
      <c r="X3577">
        <f>IF($C3577="","",IF($AM3577=1,0,IF($AL3577=1,Settings!$C$6,Settings!$C$7))*100)</f>
        <v/>
      </c>
      <c r="AB3577" s="7" t="n"/>
      <c r="AE3577" s="11" t="n"/>
      <c r="AG3577" s="7">
        <f>IF($C3577="","",U3577*X3577/100)</f>
        <v/>
      </c>
      <c r="AH3577" s="7">
        <f>IF($C3577="","",U3577-AG3577)</f>
        <v/>
      </c>
      <c r="AI3577" s="7">
        <f>IF($C3577="","",AH3577-M3577)</f>
        <v/>
      </c>
      <c r="AJ3577">
        <f>IF($C3577="","",IF(COUNTIF($C$2:$C3577,$C3577)=1,1,0))</f>
        <v/>
      </c>
      <c r="AK3577">
        <f>IF($AJ3577=1,SUMPRODUCT(--($AN$2:$AN$4001&lt;$AN3577))+1,"")</f>
        <v/>
      </c>
      <c r="AL3577">
        <f>IF($C3577="","",IF(OR($Q3577=TRUE(),$Q3577="TRUE"),1,0))</f>
        <v/>
      </c>
      <c r="AM3577">
        <f>IF($C3577="","",IF($W3577="Yes",1,0))</f>
        <v/>
      </c>
      <c r="AN3577">
        <f>IF($AJ3577=1,IFERROR(IF(VALUE($C3577)&lt;100000000,VALUE($C3577),1000000000),IFERROR(IF(VALUE(MID($C3577,2,20))&lt;100000000,VALUE(MID($C3577,2,20)),1000000000),1000000000))+ROW()/100000,"")</f>
        <v/>
      </c>
    </row>
    <row r="3578">
      <c r="E3578" s="11" t="n"/>
      <c r="M3578" s="7">
        <f>IF($C3578="","",L3578*U3578/100)</f>
        <v/>
      </c>
      <c r="N3578" s="7" t="n"/>
      <c r="T3578" s="7" t="n"/>
      <c r="U3578" s="7">
        <f>IF($C3578="","",S3578*T3578)</f>
        <v/>
      </c>
      <c r="X3578">
        <f>IF($C3578="","",IF($AM3578=1,0,IF($AL3578=1,Settings!$C$6,Settings!$C$7))*100)</f>
        <v/>
      </c>
      <c r="AB3578" s="7" t="n"/>
      <c r="AE3578" s="11" t="n"/>
      <c r="AG3578" s="7">
        <f>IF($C3578="","",U3578*X3578/100)</f>
        <v/>
      </c>
      <c r="AH3578" s="7">
        <f>IF($C3578="","",U3578-AG3578)</f>
        <v/>
      </c>
      <c r="AI3578" s="7">
        <f>IF($C3578="","",AH3578-M3578)</f>
        <v/>
      </c>
      <c r="AJ3578">
        <f>IF($C3578="","",IF(COUNTIF($C$2:$C3578,$C3578)=1,1,0))</f>
        <v/>
      </c>
      <c r="AK3578">
        <f>IF($AJ3578=1,SUMPRODUCT(--($AN$2:$AN$4001&lt;$AN3578))+1,"")</f>
        <v/>
      </c>
      <c r="AL3578">
        <f>IF($C3578="","",IF(OR($Q3578=TRUE(),$Q3578="TRUE"),1,0))</f>
        <v/>
      </c>
      <c r="AM3578">
        <f>IF($C3578="","",IF($W3578="Yes",1,0))</f>
        <v/>
      </c>
      <c r="AN3578">
        <f>IF($AJ3578=1,IFERROR(IF(VALUE($C3578)&lt;100000000,VALUE($C3578),1000000000),IFERROR(IF(VALUE(MID($C3578,2,20))&lt;100000000,VALUE(MID($C3578,2,20)),1000000000),1000000000))+ROW()/100000,"")</f>
        <v/>
      </c>
    </row>
    <row r="3579">
      <c r="E3579" s="11" t="n"/>
      <c r="M3579" s="7">
        <f>IF($C3579="","",L3579*U3579/100)</f>
        <v/>
      </c>
      <c r="N3579" s="7" t="n"/>
      <c r="T3579" s="7" t="n"/>
      <c r="U3579" s="7">
        <f>IF($C3579="","",S3579*T3579)</f>
        <v/>
      </c>
      <c r="X3579">
        <f>IF($C3579="","",IF($AM3579=1,0,IF($AL3579=1,Settings!$C$6,Settings!$C$7))*100)</f>
        <v/>
      </c>
      <c r="AB3579" s="7" t="n"/>
      <c r="AE3579" s="11" t="n"/>
      <c r="AG3579" s="7">
        <f>IF($C3579="","",U3579*X3579/100)</f>
        <v/>
      </c>
      <c r="AH3579" s="7">
        <f>IF($C3579="","",U3579-AG3579)</f>
        <v/>
      </c>
      <c r="AI3579" s="7">
        <f>IF($C3579="","",AH3579-M3579)</f>
        <v/>
      </c>
      <c r="AJ3579">
        <f>IF($C3579="","",IF(COUNTIF($C$2:$C3579,$C3579)=1,1,0))</f>
        <v/>
      </c>
      <c r="AK3579">
        <f>IF($AJ3579=1,SUMPRODUCT(--($AN$2:$AN$4001&lt;$AN3579))+1,"")</f>
        <v/>
      </c>
      <c r="AL3579">
        <f>IF($C3579="","",IF(OR($Q3579=TRUE(),$Q3579="TRUE"),1,0))</f>
        <v/>
      </c>
      <c r="AM3579">
        <f>IF($C3579="","",IF($W3579="Yes",1,0))</f>
        <v/>
      </c>
      <c r="AN3579">
        <f>IF($AJ3579=1,IFERROR(IF(VALUE($C3579)&lt;100000000,VALUE($C3579),1000000000),IFERROR(IF(VALUE(MID($C3579,2,20))&lt;100000000,VALUE(MID($C3579,2,20)),1000000000),1000000000))+ROW()/100000,"")</f>
        <v/>
      </c>
    </row>
    <row r="3580">
      <c r="E3580" s="11" t="n"/>
      <c r="M3580" s="7">
        <f>IF($C3580="","",L3580*U3580/100)</f>
        <v/>
      </c>
      <c r="N3580" s="7" t="n"/>
      <c r="T3580" s="7" t="n"/>
      <c r="U3580" s="7">
        <f>IF($C3580="","",S3580*T3580)</f>
        <v/>
      </c>
      <c r="X3580">
        <f>IF($C3580="","",IF($AM3580=1,0,IF($AL3580=1,Settings!$C$6,Settings!$C$7))*100)</f>
        <v/>
      </c>
      <c r="AB3580" s="7" t="n"/>
      <c r="AE3580" s="11" t="n"/>
      <c r="AG3580" s="7">
        <f>IF($C3580="","",U3580*X3580/100)</f>
        <v/>
      </c>
      <c r="AH3580" s="7">
        <f>IF($C3580="","",U3580-AG3580)</f>
        <v/>
      </c>
      <c r="AI3580" s="7">
        <f>IF($C3580="","",AH3580-M3580)</f>
        <v/>
      </c>
      <c r="AJ3580">
        <f>IF($C3580="","",IF(COUNTIF($C$2:$C3580,$C3580)=1,1,0))</f>
        <v/>
      </c>
      <c r="AK3580">
        <f>IF($AJ3580=1,SUMPRODUCT(--($AN$2:$AN$4001&lt;$AN3580))+1,"")</f>
        <v/>
      </c>
      <c r="AL3580">
        <f>IF($C3580="","",IF(OR($Q3580=TRUE(),$Q3580="TRUE"),1,0))</f>
        <v/>
      </c>
      <c r="AM3580">
        <f>IF($C3580="","",IF($W3580="Yes",1,0))</f>
        <v/>
      </c>
      <c r="AN3580">
        <f>IF($AJ3580=1,IFERROR(IF(VALUE($C3580)&lt;100000000,VALUE($C3580),1000000000),IFERROR(IF(VALUE(MID($C3580,2,20))&lt;100000000,VALUE(MID($C3580,2,20)),1000000000),1000000000))+ROW()/100000,"")</f>
        <v/>
      </c>
    </row>
    <row r="3581">
      <c r="E3581" s="11" t="n"/>
      <c r="M3581" s="7">
        <f>IF($C3581="","",L3581*U3581/100)</f>
        <v/>
      </c>
      <c r="N3581" s="7" t="n"/>
      <c r="T3581" s="7" t="n"/>
      <c r="U3581" s="7">
        <f>IF($C3581="","",S3581*T3581)</f>
        <v/>
      </c>
      <c r="X3581">
        <f>IF($C3581="","",IF($AM3581=1,0,IF($AL3581=1,Settings!$C$6,Settings!$C$7))*100)</f>
        <v/>
      </c>
      <c r="AB3581" s="7" t="n"/>
      <c r="AE3581" s="11" t="n"/>
      <c r="AG3581" s="7">
        <f>IF($C3581="","",U3581*X3581/100)</f>
        <v/>
      </c>
      <c r="AH3581" s="7">
        <f>IF($C3581="","",U3581-AG3581)</f>
        <v/>
      </c>
      <c r="AI3581" s="7">
        <f>IF($C3581="","",AH3581-M3581)</f>
        <v/>
      </c>
      <c r="AJ3581">
        <f>IF($C3581="","",IF(COUNTIF($C$2:$C3581,$C3581)=1,1,0))</f>
        <v/>
      </c>
      <c r="AK3581">
        <f>IF($AJ3581=1,SUMPRODUCT(--($AN$2:$AN$4001&lt;$AN3581))+1,"")</f>
        <v/>
      </c>
      <c r="AL3581">
        <f>IF($C3581="","",IF(OR($Q3581=TRUE(),$Q3581="TRUE"),1,0))</f>
        <v/>
      </c>
      <c r="AM3581">
        <f>IF($C3581="","",IF($W3581="Yes",1,0))</f>
        <v/>
      </c>
      <c r="AN3581">
        <f>IF($AJ3581=1,IFERROR(IF(VALUE($C3581)&lt;100000000,VALUE($C3581),1000000000),IFERROR(IF(VALUE(MID($C3581,2,20))&lt;100000000,VALUE(MID($C3581,2,20)),1000000000),1000000000))+ROW()/100000,"")</f>
        <v/>
      </c>
    </row>
    <row r="3582">
      <c r="E3582" s="11" t="n"/>
      <c r="M3582" s="7">
        <f>IF($C3582="","",L3582*U3582/100)</f>
        <v/>
      </c>
      <c r="N3582" s="7" t="n"/>
      <c r="T3582" s="7" t="n"/>
      <c r="U3582" s="7">
        <f>IF($C3582="","",S3582*T3582)</f>
        <v/>
      </c>
      <c r="X3582">
        <f>IF($C3582="","",IF($AM3582=1,0,IF($AL3582=1,Settings!$C$6,Settings!$C$7))*100)</f>
        <v/>
      </c>
      <c r="AB3582" s="7" t="n"/>
      <c r="AE3582" s="11" t="n"/>
      <c r="AG3582" s="7">
        <f>IF($C3582="","",U3582*X3582/100)</f>
        <v/>
      </c>
      <c r="AH3582" s="7">
        <f>IF($C3582="","",U3582-AG3582)</f>
        <v/>
      </c>
      <c r="AI3582" s="7">
        <f>IF($C3582="","",AH3582-M3582)</f>
        <v/>
      </c>
      <c r="AJ3582">
        <f>IF($C3582="","",IF(COUNTIF($C$2:$C3582,$C3582)=1,1,0))</f>
        <v/>
      </c>
      <c r="AK3582">
        <f>IF($AJ3582=1,SUMPRODUCT(--($AN$2:$AN$4001&lt;$AN3582))+1,"")</f>
        <v/>
      </c>
      <c r="AL3582">
        <f>IF($C3582="","",IF(OR($Q3582=TRUE(),$Q3582="TRUE"),1,0))</f>
        <v/>
      </c>
      <c r="AM3582">
        <f>IF($C3582="","",IF($W3582="Yes",1,0))</f>
        <v/>
      </c>
      <c r="AN3582">
        <f>IF($AJ3582=1,IFERROR(IF(VALUE($C3582)&lt;100000000,VALUE($C3582),1000000000),IFERROR(IF(VALUE(MID($C3582,2,20))&lt;100000000,VALUE(MID($C3582,2,20)),1000000000),1000000000))+ROW()/100000,"")</f>
        <v/>
      </c>
    </row>
    <row r="3583">
      <c r="E3583" s="11" t="n"/>
      <c r="M3583" s="7">
        <f>IF($C3583="","",L3583*U3583/100)</f>
        <v/>
      </c>
      <c r="N3583" s="7" t="n"/>
      <c r="T3583" s="7" t="n"/>
      <c r="U3583" s="7">
        <f>IF($C3583="","",S3583*T3583)</f>
        <v/>
      </c>
      <c r="X3583">
        <f>IF($C3583="","",IF($AM3583=1,0,IF($AL3583=1,Settings!$C$6,Settings!$C$7))*100)</f>
        <v/>
      </c>
      <c r="AB3583" s="7" t="n"/>
      <c r="AE3583" s="11" t="n"/>
      <c r="AG3583" s="7">
        <f>IF($C3583="","",U3583*X3583/100)</f>
        <v/>
      </c>
      <c r="AH3583" s="7">
        <f>IF($C3583="","",U3583-AG3583)</f>
        <v/>
      </c>
      <c r="AI3583" s="7">
        <f>IF($C3583="","",AH3583-M3583)</f>
        <v/>
      </c>
      <c r="AJ3583">
        <f>IF($C3583="","",IF(COUNTIF($C$2:$C3583,$C3583)=1,1,0))</f>
        <v/>
      </c>
      <c r="AK3583">
        <f>IF($AJ3583=1,SUMPRODUCT(--($AN$2:$AN$4001&lt;$AN3583))+1,"")</f>
        <v/>
      </c>
      <c r="AL3583">
        <f>IF($C3583="","",IF(OR($Q3583=TRUE(),$Q3583="TRUE"),1,0))</f>
        <v/>
      </c>
      <c r="AM3583">
        <f>IF($C3583="","",IF($W3583="Yes",1,0))</f>
        <v/>
      </c>
      <c r="AN3583">
        <f>IF($AJ3583=1,IFERROR(IF(VALUE($C3583)&lt;100000000,VALUE($C3583),1000000000),IFERROR(IF(VALUE(MID($C3583,2,20))&lt;100000000,VALUE(MID($C3583,2,20)),1000000000),1000000000))+ROW()/100000,"")</f>
        <v/>
      </c>
    </row>
    <row r="3584">
      <c r="E3584" s="11" t="n"/>
      <c r="M3584" s="7">
        <f>IF($C3584="","",L3584*U3584/100)</f>
        <v/>
      </c>
      <c r="N3584" s="7" t="n"/>
      <c r="T3584" s="7" t="n"/>
      <c r="U3584" s="7">
        <f>IF($C3584="","",S3584*T3584)</f>
        <v/>
      </c>
      <c r="X3584">
        <f>IF($C3584="","",IF($AM3584=1,0,IF($AL3584=1,Settings!$C$6,Settings!$C$7))*100)</f>
        <v/>
      </c>
      <c r="AB3584" s="7" t="n"/>
      <c r="AE3584" s="11" t="n"/>
      <c r="AG3584" s="7">
        <f>IF($C3584="","",U3584*X3584/100)</f>
        <v/>
      </c>
      <c r="AH3584" s="7">
        <f>IF($C3584="","",U3584-AG3584)</f>
        <v/>
      </c>
      <c r="AI3584" s="7">
        <f>IF($C3584="","",AH3584-M3584)</f>
        <v/>
      </c>
      <c r="AJ3584">
        <f>IF($C3584="","",IF(COUNTIF($C$2:$C3584,$C3584)=1,1,0))</f>
        <v/>
      </c>
      <c r="AK3584">
        <f>IF($AJ3584=1,SUMPRODUCT(--($AN$2:$AN$4001&lt;$AN3584))+1,"")</f>
        <v/>
      </c>
      <c r="AL3584">
        <f>IF($C3584="","",IF(OR($Q3584=TRUE(),$Q3584="TRUE"),1,0))</f>
        <v/>
      </c>
      <c r="AM3584">
        <f>IF($C3584="","",IF($W3584="Yes",1,0))</f>
        <v/>
      </c>
      <c r="AN3584">
        <f>IF($AJ3584=1,IFERROR(IF(VALUE($C3584)&lt;100000000,VALUE($C3584),1000000000),IFERROR(IF(VALUE(MID($C3584,2,20))&lt;100000000,VALUE(MID($C3584,2,20)),1000000000),1000000000))+ROW()/100000,"")</f>
        <v/>
      </c>
    </row>
    <row r="3585">
      <c r="E3585" s="11" t="n"/>
      <c r="M3585" s="7">
        <f>IF($C3585="","",L3585*U3585/100)</f>
        <v/>
      </c>
      <c r="N3585" s="7" t="n"/>
      <c r="T3585" s="7" t="n"/>
      <c r="U3585" s="7">
        <f>IF($C3585="","",S3585*T3585)</f>
        <v/>
      </c>
      <c r="X3585">
        <f>IF($C3585="","",IF($AM3585=1,0,IF($AL3585=1,Settings!$C$6,Settings!$C$7))*100)</f>
        <v/>
      </c>
      <c r="AB3585" s="7" t="n"/>
      <c r="AE3585" s="11" t="n"/>
      <c r="AG3585" s="7">
        <f>IF($C3585="","",U3585*X3585/100)</f>
        <v/>
      </c>
      <c r="AH3585" s="7">
        <f>IF($C3585="","",U3585-AG3585)</f>
        <v/>
      </c>
      <c r="AI3585" s="7">
        <f>IF($C3585="","",AH3585-M3585)</f>
        <v/>
      </c>
      <c r="AJ3585">
        <f>IF($C3585="","",IF(COUNTIF($C$2:$C3585,$C3585)=1,1,0))</f>
        <v/>
      </c>
      <c r="AK3585">
        <f>IF($AJ3585=1,SUMPRODUCT(--($AN$2:$AN$4001&lt;$AN3585))+1,"")</f>
        <v/>
      </c>
      <c r="AL3585">
        <f>IF($C3585="","",IF(OR($Q3585=TRUE(),$Q3585="TRUE"),1,0))</f>
        <v/>
      </c>
      <c r="AM3585">
        <f>IF($C3585="","",IF($W3585="Yes",1,0))</f>
        <v/>
      </c>
      <c r="AN3585">
        <f>IF($AJ3585=1,IFERROR(IF(VALUE($C3585)&lt;100000000,VALUE($C3585),1000000000),IFERROR(IF(VALUE(MID($C3585,2,20))&lt;100000000,VALUE(MID($C3585,2,20)),1000000000),1000000000))+ROW()/100000,"")</f>
        <v/>
      </c>
    </row>
    <row r="3586">
      <c r="E3586" s="11" t="n"/>
      <c r="M3586" s="7">
        <f>IF($C3586="","",L3586*U3586/100)</f>
        <v/>
      </c>
      <c r="N3586" s="7" t="n"/>
      <c r="T3586" s="7" t="n"/>
      <c r="U3586" s="7">
        <f>IF($C3586="","",S3586*T3586)</f>
        <v/>
      </c>
      <c r="X3586">
        <f>IF($C3586="","",IF($AM3586=1,0,IF($AL3586=1,Settings!$C$6,Settings!$C$7))*100)</f>
        <v/>
      </c>
      <c r="AB3586" s="7" t="n"/>
      <c r="AE3586" s="11" t="n"/>
      <c r="AG3586" s="7">
        <f>IF($C3586="","",U3586*X3586/100)</f>
        <v/>
      </c>
      <c r="AH3586" s="7">
        <f>IF($C3586="","",U3586-AG3586)</f>
        <v/>
      </c>
      <c r="AI3586" s="7">
        <f>IF($C3586="","",AH3586-M3586)</f>
        <v/>
      </c>
      <c r="AJ3586">
        <f>IF($C3586="","",IF(COUNTIF($C$2:$C3586,$C3586)=1,1,0))</f>
        <v/>
      </c>
      <c r="AK3586">
        <f>IF($AJ3586=1,SUMPRODUCT(--($AN$2:$AN$4001&lt;$AN3586))+1,"")</f>
        <v/>
      </c>
      <c r="AL3586">
        <f>IF($C3586="","",IF(OR($Q3586=TRUE(),$Q3586="TRUE"),1,0))</f>
        <v/>
      </c>
      <c r="AM3586">
        <f>IF($C3586="","",IF($W3586="Yes",1,0))</f>
        <v/>
      </c>
      <c r="AN3586">
        <f>IF($AJ3586=1,IFERROR(IF(VALUE($C3586)&lt;100000000,VALUE($C3586),1000000000),IFERROR(IF(VALUE(MID($C3586,2,20))&lt;100000000,VALUE(MID($C3586,2,20)),1000000000),1000000000))+ROW()/100000,"")</f>
        <v/>
      </c>
    </row>
    <row r="3587">
      <c r="E3587" s="11" t="n"/>
      <c r="M3587" s="7">
        <f>IF($C3587="","",L3587*U3587/100)</f>
        <v/>
      </c>
      <c r="N3587" s="7" t="n"/>
      <c r="T3587" s="7" t="n"/>
      <c r="U3587" s="7">
        <f>IF($C3587="","",S3587*T3587)</f>
        <v/>
      </c>
      <c r="X3587">
        <f>IF($C3587="","",IF($AM3587=1,0,IF($AL3587=1,Settings!$C$6,Settings!$C$7))*100)</f>
        <v/>
      </c>
      <c r="AB3587" s="7" t="n"/>
      <c r="AE3587" s="11" t="n"/>
      <c r="AG3587" s="7">
        <f>IF($C3587="","",U3587*X3587/100)</f>
        <v/>
      </c>
      <c r="AH3587" s="7">
        <f>IF($C3587="","",U3587-AG3587)</f>
        <v/>
      </c>
      <c r="AI3587" s="7">
        <f>IF($C3587="","",AH3587-M3587)</f>
        <v/>
      </c>
      <c r="AJ3587">
        <f>IF($C3587="","",IF(COUNTIF($C$2:$C3587,$C3587)=1,1,0))</f>
        <v/>
      </c>
      <c r="AK3587">
        <f>IF($AJ3587=1,SUMPRODUCT(--($AN$2:$AN$4001&lt;$AN3587))+1,"")</f>
        <v/>
      </c>
      <c r="AL3587">
        <f>IF($C3587="","",IF(OR($Q3587=TRUE(),$Q3587="TRUE"),1,0))</f>
        <v/>
      </c>
      <c r="AM3587">
        <f>IF($C3587="","",IF($W3587="Yes",1,0))</f>
        <v/>
      </c>
      <c r="AN3587">
        <f>IF($AJ3587=1,IFERROR(IF(VALUE($C3587)&lt;100000000,VALUE($C3587),1000000000),IFERROR(IF(VALUE(MID($C3587,2,20))&lt;100000000,VALUE(MID($C3587,2,20)),1000000000),1000000000))+ROW()/100000,"")</f>
        <v/>
      </c>
    </row>
    <row r="3588">
      <c r="E3588" s="11" t="n"/>
      <c r="M3588" s="7">
        <f>IF($C3588="","",L3588*U3588/100)</f>
        <v/>
      </c>
      <c r="N3588" s="7" t="n"/>
      <c r="T3588" s="7" t="n"/>
      <c r="U3588" s="7">
        <f>IF($C3588="","",S3588*T3588)</f>
        <v/>
      </c>
      <c r="X3588">
        <f>IF($C3588="","",IF($AM3588=1,0,IF($AL3588=1,Settings!$C$6,Settings!$C$7))*100)</f>
        <v/>
      </c>
      <c r="AB3588" s="7" t="n"/>
      <c r="AE3588" s="11" t="n"/>
      <c r="AG3588" s="7">
        <f>IF($C3588="","",U3588*X3588/100)</f>
        <v/>
      </c>
      <c r="AH3588" s="7">
        <f>IF($C3588="","",U3588-AG3588)</f>
        <v/>
      </c>
      <c r="AI3588" s="7">
        <f>IF($C3588="","",AH3588-M3588)</f>
        <v/>
      </c>
      <c r="AJ3588">
        <f>IF($C3588="","",IF(COUNTIF($C$2:$C3588,$C3588)=1,1,0))</f>
        <v/>
      </c>
      <c r="AK3588">
        <f>IF($AJ3588=1,SUMPRODUCT(--($AN$2:$AN$4001&lt;$AN3588))+1,"")</f>
        <v/>
      </c>
      <c r="AL3588">
        <f>IF($C3588="","",IF(OR($Q3588=TRUE(),$Q3588="TRUE"),1,0))</f>
        <v/>
      </c>
      <c r="AM3588">
        <f>IF($C3588="","",IF($W3588="Yes",1,0))</f>
        <v/>
      </c>
      <c r="AN3588">
        <f>IF($AJ3588=1,IFERROR(IF(VALUE($C3588)&lt;100000000,VALUE($C3588),1000000000),IFERROR(IF(VALUE(MID($C3588,2,20))&lt;100000000,VALUE(MID($C3588,2,20)),1000000000),1000000000))+ROW()/100000,"")</f>
        <v/>
      </c>
    </row>
    <row r="3589">
      <c r="E3589" s="11" t="n"/>
      <c r="M3589" s="7">
        <f>IF($C3589="","",L3589*U3589/100)</f>
        <v/>
      </c>
      <c r="N3589" s="7" t="n"/>
      <c r="T3589" s="7" t="n"/>
      <c r="U3589" s="7">
        <f>IF($C3589="","",S3589*T3589)</f>
        <v/>
      </c>
      <c r="X3589">
        <f>IF($C3589="","",IF($AM3589=1,0,IF($AL3589=1,Settings!$C$6,Settings!$C$7))*100)</f>
        <v/>
      </c>
      <c r="AB3589" s="7" t="n"/>
      <c r="AE3589" s="11" t="n"/>
      <c r="AG3589" s="7">
        <f>IF($C3589="","",U3589*X3589/100)</f>
        <v/>
      </c>
      <c r="AH3589" s="7">
        <f>IF($C3589="","",U3589-AG3589)</f>
        <v/>
      </c>
      <c r="AI3589" s="7">
        <f>IF($C3589="","",AH3589-M3589)</f>
        <v/>
      </c>
      <c r="AJ3589">
        <f>IF($C3589="","",IF(COUNTIF($C$2:$C3589,$C3589)=1,1,0))</f>
        <v/>
      </c>
      <c r="AK3589">
        <f>IF($AJ3589=1,SUMPRODUCT(--($AN$2:$AN$4001&lt;$AN3589))+1,"")</f>
        <v/>
      </c>
      <c r="AL3589">
        <f>IF($C3589="","",IF(OR($Q3589=TRUE(),$Q3589="TRUE"),1,0))</f>
        <v/>
      </c>
      <c r="AM3589">
        <f>IF($C3589="","",IF($W3589="Yes",1,0))</f>
        <v/>
      </c>
      <c r="AN3589">
        <f>IF($AJ3589=1,IFERROR(IF(VALUE($C3589)&lt;100000000,VALUE($C3589),1000000000),IFERROR(IF(VALUE(MID($C3589,2,20))&lt;100000000,VALUE(MID($C3589,2,20)),1000000000),1000000000))+ROW()/100000,"")</f>
        <v/>
      </c>
    </row>
    <row r="3590">
      <c r="E3590" s="11" t="n"/>
      <c r="M3590" s="7">
        <f>IF($C3590="","",L3590*U3590/100)</f>
        <v/>
      </c>
      <c r="N3590" s="7" t="n"/>
      <c r="T3590" s="7" t="n"/>
      <c r="U3590" s="7">
        <f>IF($C3590="","",S3590*T3590)</f>
        <v/>
      </c>
      <c r="X3590">
        <f>IF($C3590="","",IF($AM3590=1,0,IF($AL3590=1,Settings!$C$6,Settings!$C$7))*100)</f>
        <v/>
      </c>
      <c r="AB3590" s="7" t="n"/>
      <c r="AE3590" s="11" t="n"/>
      <c r="AG3590" s="7">
        <f>IF($C3590="","",U3590*X3590/100)</f>
        <v/>
      </c>
      <c r="AH3590" s="7">
        <f>IF($C3590="","",U3590-AG3590)</f>
        <v/>
      </c>
      <c r="AI3590" s="7">
        <f>IF($C3590="","",AH3590-M3590)</f>
        <v/>
      </c>
      <c r="AJ3590">
        <f>IF($C3590="","",IF(COUNTIF($C$2:$C3590,$C3590)=1,1,0))</f>
        <v/>
      </c>
      <c r="AK3590">
        <f>IF($AJ3590=1,SUMPRODUCT(--($AN$2:$AN$4001&lt;$AN3590))+1,"")</f>
        <v/>
      </c>
      <c r="AL3590">
        <f>IF($C3590="","",IF(OR($Q3590=TRUE(),$Q3590="TRUE"),1,0))</f>
        <v/>
      </c>
      <c r="AM3590">
        <f>IF($C3590="","",IF($W3590="Yes",1,0))</f>
        <v/>
      </c>
      <c r="AN3590">
        <f>IF($AJ3590=1,IFERROR(IF(VALUE($C3590)&lt;100000000,VALUE($C3590),1000000000),IFERROR(IF(VALUE(MID($C3590,2,20))&lt;100000000,VALUE(MID($C3590,2,20)),1000000000),1000000000))+ROW()/100000,"")</f>
        <v/>
      </c>
    </row>
    <row r="3591">
      <c r="E3591" s="11" t="n"/>
      <c r="M3591" s="7">
        <f>IF($C3591="","",L3591*U3591/100)</f>
        <v/>
      </c>
      <c r="N3591" s="7" t="n"/>
      <c r="T3591" s="7" t="n"/>
      <c r="U3591" s="7">
        <f>IF($C3591="","",S3591*T3591)</f>
        <v/>
      </c>
      <c r="X3591">
        <f>IF($C3591="","",IF($AM3591=1,0,IF($AL3591=1,Settings!$C$6,Settings!$C$7))*100)</f>
        <v/>
      </c>
      <c r="AB3591" s="7" t="n"/>
      <c r="AE3591" s="11" t="n"/>
      <c r="AG3591" s="7">
        <f>IF($C3591="","",U3591*X3591/100)</f>
        <v/>
      </c>
      <c r="AH3591" s="7">
        <f>IF($C3591="","",U3591-AG3591)</f>
        <v/>
      </c>
      <c r="AI3591" s="7">
        <f>IF($C3591="","",AH3591-M3591)</f>
        <v/>
      </c>
      <c r="AJ3591">
        <f>IF($C3591="","",IF(COUNTIF($C$2:$C3591,$C3591)=1,1,0))</f>
        <v/>
      </c>
      <c r="AK3591">
        <f>IF($AJ3591=1,SUMPRODUCT(--($AN$2:$AN$4001&lt;$AN3591))+1,"")</f>
        <v/>
      </c>
      <c r="AL3591">
        <f>IF($C3591="","",IF(OR($Q3591=TRUE(),$Q3591="TRUE"),1,0))</f>
        <v/>
      </c>
      <c r="AM3591">
        <f>IF($C3591="","",IF($W3591="Yes",1,0))</f>
        <v/>
      </c>
      <c r="AN3591">
        <f>IF($AJ3591=1,IFERROR(IF(VALUE($C3591)&lt;100000000,VALUE($C3591),1000000000),IFERROR(IF(VALUE(MID($C3591,2,20))&lt;100000000,VALUE(MID($C3591,2,20)),1000000000),1000000000))+ROW()/100000,"")</f>
        <v/>
      </c>
    </row>
    <row r="3592">
      <c r="E3592" s="11" t="n"/>
      <c r="M3592" s="7">
        <f>IF($C3592="","",L3592*U3592/100)</f>
        <v/>
      </c>
      <c r="N3592" s="7" t="n"/>
      <c r="T3592" s="7" t="n"/>
      <c r="U3592" s="7">
        <f>IF($C3592="","",S3592*T3592)</f>
        <v/>
      </c>
      <c r="X3592">
        <f>IF($C3592="","",IF($AM3592=1,0,IF($AL3592=1,Settings!$C$6,Settings!$C$7))*100)</f>
        <v/>
      </c>
      <c r="AB3592" s="7" t="n"/>
      <c r="AE3592" s="11" t="n"/>
      <c r="AG3592" s="7">
        <f>IF($C3592="","",U3592*X3592/100)</f>
        <v/>
      </c>
      <c r="AH3592" s="7">
        <f>IF($C3592="","",U3592-AG3592)</f>
        <v/>
      </c>
      <c r="AI3592" s="7">
        <f>IF($C3592="","",AH3592-M3592)</f>
        <v/>
      </c>
      <c r="AJ3592">
        <f>IF($C3592="","",IF(COUNTIF($C$2:$C3592,$C3592)=1,1,0))</f>
        <v/>
      </c>
      <c r="AK3592">
        <f>IF($AJ3592=1,SUMPRODUCT(--($AN$2:$AN$4001&lt;$AN3592))+1,"")</f>
        <v/>
      </c>
      <c r="AL3592">
        <f>IF($C3592="","",IF(OR($Q3592=TRUE(),$Q3592="TRUE"),1,0))</f>
        <v/>
      </c>
      <c r="AM3592">
        <f>IF($C3592="","",IF($W3592="Yes",1,0))</f>
        <v/>
      </c>
      <c r="AN3592">
        <f>IF($AJ3592=1,IFERROR(IF(VALUE($C3592)&lt;100000000,VALUE($C3592),1000000000),IFERROR(IF(VALUE(MID($C3592,2,20))&lt;100000000,VALUE(MID($C3592,2,20)),1000000000),1000000000))+ROW()/100000,"")</f>
        <v/>
      </c>
    </row>
    <row r="3593">
      <c r="E3593" s="11" t="n"/>
      <c r="M3593" s="7">
        <f>IF($C3593="","",L3593*U3593/100)</f>
        <v/>
      </c>
      <c r="N3593" s="7" t="n"/>
      <c r="T3593" s="7" t="n"/>
      <c r="U3593" s="7">
        <f>IF($C3593="","",S3593*T3593)</f>
        <v/>
      </c>
      <c r="X3593">
        <f>IF($C3593="","",IF($AM3593=1,0,IF($AL3593=1,Settings!$C$6,Settings!$C$7))*100)</f>
        <v/>
      </c>
      <c r="AB3593" s="7" t="n"/>
      <c r="AE3593" s="11" t="n"/>
      <c r="AG3593" s="7">
        <f>IF($C3593="","",U3593*X3593/100)</f>
        <v/>
      </c>
      <c r="AH3593" s="7">
        <f>IF($C3593="","",U3593-AG3593)</f>
        <v/>
      </c>
      <c r="AI3593" s="7">
        <f>IF($C3593="","",AH3593-M3593)</f>
        <v/>
      </c>
      <c r="AJ3593">
        <f>IF($C3593="","",IF(COUNTIF($C$2:$C3593,$C3593)=1,1,0))</f>
        <v/>
      </c>
      <c r="AK3593">
        <f>IF($AJ3593=1,SUMPRODUCT(--($AN$2:$AN$4001&lt;$AN3593))+1,"")</f>
        <v/>
      </c>
      <c r="AL3593">
        <f>IF($C3593="","",IF(OR($Q3593=TRUE(),$Q3593="TRUE"),1,0))</f>
        <v/>
      </c>
      <c r="AM3593">
        <f>IF($C3593="","",IF($W3593="Yes",1,0))</f>
        <v/>
      </c>
      <c r="AN3593">
        <f>IF($AJ3593=1,IFERROR(IF(VALUE($C3593)&lt;100000000,VALUE($C3593),1000000000),IFERROR(IF(VALUE(MID($C3593,2,20))&lt;100000000,VALUE(MID($C3593,2,20)),1000000000),1000000000))+ROW()/100000,"")</f>
        <v/>
      </c>
    </row>
    <row r="3594">
      <c r="E3594" s="11" t="n"/>
      <c r="M3594" s="7">
        <f>IF($C3594="","",L3594*U3594/100)</f>
        <v/>
      </c>
      <c r="N3594" s="7" t="n"/>
      <c r="T3594" s="7" t="n"/>
      <c r="U3594" s="7">
        <f>IF($C3594="","",S3594*T3594)</f>
        <v/>
      </c>
      <c r="X3594">
        <f>IF($C3594="","",IF($AM3594=1,0,IF($AL3594=1,Settings!$C$6,Settings!$C$7))*100)</f>
        <v/>
      </c>
      <c r="AB3594" s="7" t="n"/>
      <c r="AE3594" s="11" t="n"/>
      <c r="AG3594" s="7">
        <f>IF($C3594="","",U3594*X3594/100)</f>
        <v/>
      </c>
      <c r="AH3594" s="7">
        <f>IF($C3594="","",U3594-AG3594)</f>
        <v/>
      </c>
      <c r="AI3594" s="7">
        <f>IF($C3594="","",AH3594-M3594)</f>
        <v/>
      </c>
      <c r="AJ3594">
        <f>IF($C3594="","",IF(COUNTIF($C$2:$C3594,$C3594)=1,1,0))</f>
        <v/>
      </c>
      <c r="AK3594">
        <f>IF($AJ3594=1,SUMPRODUCT(--($AN$2:$AN$4001&lt;$AN3594))+1,"")</f>
        <v/>
      </c>
      <c r="AL3594">
        <f>IF($C3594="","",IF(OR($Q3594=TRUE(),$Q3594="TRUE"),1,0))</f>
        <v/>
      </c>
      <c r="AM3594">
        <f>IF($C3594="","",IF($W3594="Yes",1,0))</f>
        <v/>
      </c>
      <c r="AN3594">
        <f>IF($AJ3594=1,IFERROR(IF(VALUE($C3594)&lt;100000000,VALUE($C3594),1000000000),IFERROR(IF(VALUE(MID($C3594,2,20))&lt;100000000,VALUE(MID($C3594,2,20)),1000000000),1000000000))+ROW()/100000,"")</f>
        <v/>
      </c>
    </row>
    <row r="3595">
      <c r="E3595" s="11" t="n"/>
      <c r="M3595" s="7">
        <f>IF($C3595="","",L3595*U3595/100)</f>
        <v/>
      </c>
      <c r="N3595" s="7" t="n"/>
      <c r="T3595" s="7" t="n"/>
      <c r="U3595" s="7">
        <f>IF($C3595="","",S3595*T3595)</f>
        <v/>
      </c>
      <c r="X3595">
        <f>IF($C3595="","",IF($AM3595=1,0,IF($AL3595=1,Settings!$C$6,Settings!$C$7))*100)</f>
        <v/>
      </c>
      <c r="AB3595" s="7" t="n"/>
      <c r="AE3595" s="11" t="n"/>
      <c r="AG3595" s="7">
        <f>IF($C3595="","",U3595*X3595/100)</f>
        <v/>
      </c>
      <c r="AH3595" s="7">
        <f>IF($C3595="","",U3595-AG3595)</f>
        <v/>
      </c>
      <c r="AI3595" s="7">
        <f>IF($C3595="","",AH3595-M3595)</f>
        <v/>
      </c>
      <c r="AJ3595">
        <f>IF($C3595="","",IF(COUNTIF($C$2:$C3595,$C3595)=1,1,0))</f>
        <v/>
      </c>
      <c r="AK3595">
        <f>IF($AJ3595=1,SUMPRODUCT(--($AN$2:$AN$4001&lt;$AN3595))+1,"")</f>
        <v/>
      </c>
      <c r="AL3595">
        <f>IF($C3595="","",IF(OR($Q3595=TRUE(),$Q3595="TRUE"),1,0))</f>
        <v/>
      </c>
      <c r="AM3595">
        <f>IF($C3595="","",IF($W3595="Yes",1,0))</f>
        <v/>
      </c>
      <c r="AN3595">
        <f>IF($AJ3595=1,IFERROR(IF(VALUE($C3595)&lt;100000000,VALUE($C3595),1000000000),IFERROR(IF(VALUE(MID($C3595,2,20))&lt;100000000,VALUE(MID($C3595,2,20)),1000000000),1000000000))+ROW()/100000,"")</f>
        <v/>
      </c>
    </row>
    <row r="3596">
      <c r="E3596" s="11" t="n"/>
      <c r="M3596" s="7">
        <f>IF($C3596="","",L3596*U3596/100)</f>
        <v/>
      </c>
      <c r="N3596" s="7" t="n"/>
      <c r="T3596" s="7" t="n"/>
      <c r="U3596" s="7">
        <f>IF($C3596="","",S3596*T3596)</f>
        <v/>
      </c>
      <c r="X3596">
        <f>IF($C3596="","",IF($AM3596=1,0,IF($AL3596=1,Settings!$C$6,Settings!$C$7))*100)</f>
        <v/>
      </c>
      <c r="AB3596" s="7" t="n"/>
      <c r="AE3596" s="11" t="n"/>
      <c r="AG3596" s="7">
        <f>IF($C3596="","",U3596*X3596/100)</f>
        <v/>
      </c>
      <c r="AH3596" s="7">
        <f>IF($C3596="","",U3596-AG3596)</f>
        <v/>
      </c>
      <c r="AI3596" s="7">
        <f>IF($C3596="","",AH3596-M3596)</f>
        <v/>
      </c>
      <c r="AJ3596">
        <f>IF($C3596="","",IF(COUNTIF($C$2:$C3596,$C3596)=1,1,0))</f>
        <v/>
      </c>
      <c r="AK3596">
        <f>IF($AJ3596=1,SUMPRODUCT(--($AN$2:$AN$4001&lt;$AN3596))+1,"")</f>
        <v/>
      </c>
      <c r="AL3596">
        <f>IF($C3596="","",IF(OR($Q3596=TRUE(),$Q3596="TRUE"),1,0))</f>
        <v/>
      </c>
      <c r="AM3596">
        <f>IF($C3596="","",IF($W3596="Yes",1,0))</f>
        <v/>
      </c>
      <c r="AN3596">
        <f>IF($AJ3596=1,IFERROR(IF(VALUE($C3596)&lt;100000000,VALUE($C3596),1000000000),IFERROR(IF(VALUE(MID($C3596,2,20))&lt;100000000,VALUE(MID($C3596,2,20)),1000000000),1000000000))+ROW()/100000,"")</f>
        <v/>
      </c>
    </row>
    <row r="3597">
      <c r="E3597" s="11" t="n"/>
      <c r="M3597" s="7">
        <f>IF($C3597="","",L3597*U3597/100)</f>
        <v/>
      </c>
      <c r="N3597" s="7" t="n"/>
      <c r="T3597" s="7" t="n"/>
      <c r="U3597" s="7">
        <f>IF($C3597="","",S3597*T3597)</f>
        <v/>
      </c>
      <c r="X3597">
        <f>IF($C3597="","",IF($AM3597=1,0,IF($AL3597=1,Settings!$C$6,Settings!$C$7))*100)</f>
        <v/>
      </c>
      <c r="AB3597" s="7" t="n"/>
      <c r="AE3597" s="11" t="n"/>
      <c r="AG3597" s="7">
        <f>IF($C3597="","",U3597*X3597/100)</f>
        <v/>
      </c>
      <c r="AH3597" s="7">
        <f>IF($C3597="","",U3597-AG3597)</f>
        <v/>
      </c>
      <c r="AI3597" s="7">
        <f>IF($C3597="","",AH3597-M3597)</f>
        <v/>
      </c>
      <c r="AJ3597">
        <f>IF($C3597="","",IF(COUNTIF($C$2:$C3597,$C3597)=1,1,0))</f>
        <v/>
      </c>
      <c r="AK3597">
        <f>IF($AJ3597=1,SUMPRODUCT(--($AN$2:$AN$4001&lt;$AN3597))+1,"")</f>
        <v/>
      </c>
      <c r="AL3597">
        <f>IF($C3597="","",IF(OR($Q3597=TRUE(),$Q3597="TRUE"),1,0))</f>
        <v/>
      </c>
      <c r="AM3597">
        <f>IF($C3597="","",IF($W3597="Yes",1,0))</f>
        <v/>
      </c>
      <c r="AN3597">
        <f>IF($AJ3597=1,IFERROR(IF(VALUE($C3597)&lt;100000000,VALUE($C3597),1000000000),IFERROR(IF(VALUE(MID($C3597,2,20))&lt;100000000,VALUE(MID($C3597,2,20)),1000000000),1000000000))+ROW()/100000,"")</f>
        <v/>
      </c>
    </row>
    <row r="3598">
      <c r="E3598" s="11" t="n"/>
      <c r="M3598" s="7">
        <f>IF($C3598="","",L3598*U3598/100)</f>
        <v/>
      </c>
      <c r="N3598" s="7" t="n"/>
      <c r="T3598" s="7" t="n"/>
      <c r="U3598" s="7">
        <f>IF($C3598="","",S3598*T3598)</f>
        <v/>
      </c>
      <c r="X3598">
        <f>IF($C3598="","",IF($AM3598=1,0,IF($AL3598=1,Settings!$C$6,Settings!$C$7))*100)</f>
        <v/>
      </c>
      <c r="AB3598" s="7" t="n"/>
      <c r="AE3598" s="11" t="n"/>
      <c r="AG3598" s="7">
        <f>IF($C3598="","",U3598*X3598/100)</f>
        <v/>
      </c>
      <c r="AH3598" s="7">
        <f>IF($C3598="","",U3598-AG3598)</f>
        <v/>
      </c>
      <c r="AI3598" s="7">
        <f>IF($C3598="","",AH3598-M3598)</f>
        <v/>
      </c>
      <c r="AJ3598">
        <f>IF($C3598="","",IF(COUNTIF($C$2:$C3598,$C3598)=1,1,0))</f>
        <v/>
      </c>
      <c r="AK3598">
        <f>IF($AJ3598=1,SUMPRODUCT(--($AN$2:$AN$4001&lt;$AN3598))+1,"")</f>
        <v/>
      </c>
      <c r="AL3598">
        <f>IF($C3598="","",IF(OR($Q3598=TRUE(),$Q3598="TRUE"),1,0))</f>
        <v/>
      </c>
      <c r="AM3598">
        <f>IF($C3598="","",IF($W3598="Yes",1,0))</f>
        <v/>
      </c>
      <c r="AN3598">
        <f>IF($AJ3598=1,IFERROR(IF(VALUE($C3598)&lt;100000000,VALUE($C3598),1000000000),IFERROR(IF(VALUE(MID($C3598,2,20))&lt;100000000,VALUE(MID($C3598,2,20)),1000000000),1000000000))+ROW()/100000,"")</f>
        <v/>
      </c>
    </row>
    <row r="3599">
      <c r="E3599" s="11" t="n"/>
      <c r="M3599" s="7">
        <f>IF($C3599="","",L3599*U3599/100)</f>
        <v/>
      </c>
      <c r="N3599" s="7" t="n"/>
      <c r="T3599" s="7" t="n"/>
      <c r="U3599" s="7">
        <f>IF($C3599="","",S3599*T3599)</f>
        <v/>
      </c>
      <c r="X3599">
        <f>IF($C3599="","",IF($AM3599=1,0,IF($AL3599=1,Settings!$C$6,Settings!$C$7))*100)</f>
        <v/>
      </c>
      <c r="AB3599" s="7" t="n"/>
      <c r="AE3599" s="11" t="n"/>
      <c r="AG3599" s="7">
        <f>IF($C3599="","",U3599*X3599/100)</f>
        <v/>
      </c>
      <c r="AH3599" s="7">
        <f>IF($C3599="","",U3599-AG3599)</f>
        <v/>
      </c>
      <c r="AI3599" s="7">
        <f>IF($C3599="","",AH3599-M3599)</f>
        <v/>
      </c>
      <c r="AJ3599">
        <f>IF($C3599="","",IF(COUNTIF($C$2:$C3599,$C3599)=1,1,0))</f>
        <v/>
      </c>
      <c r="AK3599">
        <f>IF($AJ3599=1,SUMPRODUCT(--($AN$2:$AN$4001&lt;$AN3599))+1,"")</f>
        <v/>
      </c>
      <c r="AL3599">
        <f>IF($C3599="","",IF(OR($Q3599=TRUE(),$Q3599="TRUE"),1,0))</f>
        <v/>
      </c>
      <c r="AM3599">
        <f>IF($C3599="","",IF($W3599="Yes",1,0))</f>
        <v/>
      </c>
      <c r="AN3599">
        <f>IF($AJ3599=1,IFERROR(IF(VALUE($C3599)&lt;100000000,VALUE($C3599),1000000000),IFERROR(IF(VALUE(MID($C3599,2,20))&lt;100000000,VALUE(MID($C3599,2,20)),1000000000),1000000000))+ROW()/100000,"")</f>
        <v/>
      </c>
    </row>
    <row r="3600">
      <c r="E3600" s="11" t="n"/>
      <c r="M3600" s="7">
        <f>IF($C3600="","",L3600*U3600/100)</f>
        <v/>
      </c>
      <c r="N3600" s="7" t="n"/>
      <c r="T3600" s="7" t="n"/>
      <c r="U3600" s="7">
        <f>IF($C3600="","",S3600*T3600)</f>
        <v/>
      </c>
      <c r="X3600">
        <f>IF($C3600="","",IF($AM3600=1,0,IF($AL3600=1,Settings!$C$6,Settings!$C$7))*100)</f>
        <v/>
      </c>
      <c r="AB3600" s="7" t="n"/>
      <c r="AE3600" s="11" t="n"/>
      <c r="AG3600" s="7">
        <f>IF($C3600="","",U3600*X3600/100)</f>
        <v/>
      </c>
      <c r="AH3600" s="7">
        <f>IF($C3600="","",U3600-AG3600)</f>
        <v/>
      </c>
      <c r="AI3600" s="7">
        <f>IF($C3600="","",AH3600-M3600)</f>
        <v/>
      </c>
      <c r="AJ3600">
        <f>IF($C3600="","",IF(COUNTIF($C$2:$C3600,$C3600)=1,1,0))</f>
        <v/>
      </c>
      <c r="AK3600">
        <f>IF($AJ3600=1,SUMPRODUCT(--($AN$2:$AN$4001&lt;$AN3600))+1,"")</f>
        <v/>
      </c>
      <c r="AL3600">
        <f>IF($C3600="","",IF(OR($Q3600=TRUE(),$Q3600="TRUE"),1,0))</f>
        <v/>
      </c>
      <c r="AM3600">
        <f>IF($C3600="","",IF($W3600="Yes",1,0))</f>
        <v/>
      </c>
      <c r="AN3600">
        <f>IF($AJ3600=1,IFERROR(IF(VALUE($C3600)&lt;100000000,VALUE($C3600),1000000000),IFERROR(IF(VALUE(MID($C3600,2,20))&lt;100000000,VALUE(MID($C3600,2,20)),1000000000),1000000000))+ROW()/100000,"")</f>
        <v/>
      </c>
    </row>
    <row r="3601">
      <c r="E3601" s="11" t="n"/>
      <c r="M3601" s="7">
        <f>IF($C3601="","",L3601*U3601/100)</f>
        <v/>
      </c>
      <c r="N3601" s="7" t="n"/>
      <c r="T3601" s="7" t="n"/>
      <c r="U3601" s="7">
        <f>IF($C3601="","",S3601*T3601)</f>
        <v/>
      </c>
      <c r="X3601">
        <f>IF($C3601="","",IF($AM3601=1,0,IF($AL3601=1,Settings!$C$6,Settings!$C$7))*100)</f>
        <v/>
      </c>
      <c r="AB3601" s="7" t="n"/>
      <c r="AE3601" s="11" t="n"/>
      <c r="AG3601" s="7">
        <f>IF($C3601="","",U3601*X3601/100)</f>
        <v/>
      </c>
      <c r="AH3601" s="7">
        <f>IF($C3601="","",U3601-AG3601)</f>
        <v/>
      </c>
      <c r="AI3601" s="7">
        <f>IF($C3601="","",AH3601-M3601)</f>
        <v/>
      </c>
      <c r="AJ3601">
        <f>IF($C3601="","",IF(COUNTIF($C$2:$C3601,$C3601)=1,1,0))</f>
        <v/>
      </c>
      <c r="AK3601">
        <f>IF($AJ3601=1,SUMPRODUCT(--($AN$2:$AN$4001&lt;$AN3601))+1,"")</f>
        <v/>
      </c>
      <c r="AL3601">
        <f>IF($C3601="","",IF(OR($Q3601=TRUE(),$Q3601="TRUE"),1,0))</f>
        <v/>
      </c>
      <c r="AM3601">
        <f>IF($C3601="","",IF($W3601="Yes",1,0))</f>
        <v/>
      </c>
      <c r="AN3601">
        <f>IF($AJ3601=1,IFERROR(IF(VALUE($C3601)&lt;100000000,VALUE($C3601),1000000000),IFERROR(IF(VALUE(MID($C3601,2,20))&lt;100000000,VALUE(MID($C3601,2,20)),1000000000),1000000000))+ROW()/100000,"")</f>
        <v/>
      </c>
    </row>
    <row r="3602">
      <c r="E3602" s="11" t="n"/>
      <c r="M3602" s="7">
        <f>IF($C3602="","",L3602*U3602/100)</f>
        <v/>
      </c>
      <c r="N3602" s="7" t="n"/>
      <c r="T3602" s="7" t="n"/>
      <c r="U3602" s="7">
        <f>IF($C3602="","",S3602*T3602)</f>
        <v/>
      </c>
      <c r="X3602">
        <f>IF($C3602="","",IF($AM3602=1,0,IF($AL3602=1,Settings!$C$6,Settings!$C$7))*100)</f>
        <v/>
      </c>
      <c r="AB3602" s="7" t="n"/>
      <c r="AE3602" s="11" t="n"/>
      <c r="AG3602" s="7">
        <f>IF($C3602="","",U3602*X3602/100)</f>
        <v/>
      </c>
      <c r="AH3602" s="7">
        <f>IF($C3602="","",U3602-AG3602)</f>
        <v/>
      </c>
      <c r="AI3602" s="7">
        <f>IF($C3602="","",AH3602-M3602)</f>
        <v/>
      </c>
      <c r="AJ3602">
        <f>IF($C3602="","",IF(COUNTIF($C$2:$C3602,$C3602)=1,1,0))</f>
        <v/>
      </c>
      <c r="AK3602">
        <f>IF($AJ3602=1,SUMPRODUCT(--($AN$2:$AN$4001&lt;$AN3602))+1,"")</f>
        <v/>
      </c>
      <c r="AL3602">
        <f>IF($C3602="","",IF(OR($Q3602=TRUE(),$Q3602="TRUE"),1,0))</f>
        <v/>
      </c>
      <c r="AM3602">
        <f>IF($C3602="","",IF($W3602="Yes",1,0))</f>
        <v/>
      </c>
      <c r="AN3602">
        <f>IF($AJ3602=1,IFERROR(IF(VALUE($C3602)&lt;100000000,VALUE($C3602),1000000000),IFERROR(IF(VALUE(MID($C3602,2,20))&lt;100000000,VALUE(MID($C3602,2,20)),1000000000),1000000000))+ROW()/100000,"")</f>
        <v/>
      </c>
    </row>
    <row r="3603">
      <c r="E3603" s="11" t="n"/>
      <c r="M3603" s="7">
        <f>IF($C3603="","",L3603*U3603/100)</f>
        <v/>
      </c>
      <c r="N3603" s="7" t="n"/>
      <c r="T3603" s="7" t="n"/>
      <c r="U3603" s="7">
        <f>IF($C3603="","",S3603*T3603)</f>
        <v/>
      </c>
      <c r="X3603">
        <f>IF($C3603="","",IF($AM3603=1,0,IF($AL3603=1,Settings!$C$6,Settings!$C$7))*100)</f>
        <v/>
      </c>
      <c r="AB3603" s="7" t="n"/>
      <c r="AE3603" s="11" t="n"/>
      <c r="AG3603" s="7">
        <f>IF($C3603="","",U3603*X3603/100)</f>
        <v/>
      </c>
      <c r="AH3603" s="7">
        <f>IF($C3603="","",U3603-AG3603)</f>
        <v/>
      </c>
      <c r="AI3603" s="7">
        <f>IF($C3603="","",AH3603-M3603)</f>
        <v/>
      </c>
      <c r="AJ3603">
        <f>IF($C3603="","",IF(COUNTIF($C$2:$C3603,$C3603)=1,1,0))</f>
        <v/>
      </c>
      <c r="AK3603">
        <f>IF($AJ3603=1,SUMPRODUCT(--($AN$2:$AN$4001&lt;$AN3603))+1,"")</f>
        <v/>
      </c>
      <c r="AL3603">
        <f>IF($C3603="","",IF(OR($Q3603=TRUE(),$Q3603="TRUE"),1,0))</f>
        <v/>
      </c>
      <c r="AM3603">
        <f>IF($C3603="","",IF($W3603="Yes",1,0))</f>
        <v/>
      </c>
      <c r="AN3603">
        <f>IF($AJ3603=1,IFERROR(IF(VALUE($C3603)&lt;100000000,VALUE($C3603),1000000000),IFERROR(IF(VALUE(MID($C3603,2,20))&lt;100000000,VALUE(MID($C3603,2,20)),1000000000),1000000000))+ROW()/100000,"")</f>
        <v/>
      </c>
    </row>
    <row r="3604">
      <c r="E3604" s="11" t="n"/>
      <c r="M3604" s="7">
        <f>IF($C3604="","",L3604*U3604/100)</f>
        <v/>
      </c>
      <c r="N3604" s="7" t="n"/>
      <c r="T3604" s="7" t="n"/>
      <c r="U3604" s="7">
        <f>IF($C3604="","",S3604*T3604)</f>
        <v/>
      </c>
      <c r="X3604">
        <f>IF($C3604="","",IF($AM3604=1,0,IF($AL3604=1,Settings!$C$6,Settings!$C$7))*100)</f>
        <v/>
      </c>
      <c r="AB3604" s="7" t="n"/>
      <c r="AE3604" s="11" t="n"/>
      <c r="AG3604" s="7">
        <f>IF($C3604="","",U3604*X3604/100)</f>
        <v/>
      </c>
      <c r="AH3604" s="7">
        <f>IF($C3604="","",U3604-AG3604)</f>
        <v/>
      </c>
      <c r="AI3604" s="7">
        <f>IF($C3604="","",AH3604-M3604)</f>
        <v/>
      </c>
      <c r="AJ3604">
        <f>IF($C3604="","",IF(COUNTIF($C$2:$C3604,$C3604)=1,1,0))</f>
        <v/>
      </c>
      <c r="AK3604">
        <f>IF($AJ3604=1,SUMPRODUCT(--($AN$2:$AN$4001&lt;$AN3604))+1,"")</f>
        <v/>
      </c>
      <c r="AL3604">
        <f>IF($C3604="","",IF(OR($Q3604=TRUE(),$Q3604="TRUE"),1,0))</f>
        <v/>
      </c>
      <c r="AM3604">
        <f>IF($C3604="","",IF($W3604="Yes",1,0))</f>
        <v/>
      </c>
      <c r="AN3604">
        <f>IF($AJ3604=1,IFERROR(IF(VALUE($C3604)&lt;100000000,VALUE($C3604),1000000000),IFERROR(IF(VALUE(MID($C3604,2,20))&lt;100000000,VALUE(MID($C3604,2,20)),1000000000),1000000000))+ROW()/100000,"")</f>
        <v/>
      </c>
    </row>
    <row r="3605">
      <c r="E3605" s="11" t="n"/>
      <c r="M3605" s="7">
        <f>IF($C3605="","",L3605*U3605/100)</f>
        <v/>
      </c>
      <c r="N3605" s="7" t="n"/>
      <c r="T3605" s="7" t="n"/>
      <c r="U3605" s="7">
        <f>IF($C3605="","",S3605*T3605)</f>
        <v/>
      </c>
      <c r="X3605">
        <f>IF($C3605="","",IF($AM3605=1,0,IF($AL3605=1,Settings!$C$6,Settings!$C$7))*100)</f>
        <v/>
      </c>
      <c r="AB3605" s="7" t="n"/>
      <c r="AE3605" s="11" t="n"/>
      <c r="AG3605" s="7">
        <f>IF($C3605="","",U3605*X3605/100)</f>
        <v/>
      </c>
      <c r="AH3605" s="7">
        <f>IF($C3605="","",U3605-AG3605)</f>
        <v/>
      </c>
      <c r="AI3605" s="7">
        <f>IF($C3605="","",AH3605-M3605)</f>
        <v/>
      </c>
      <c r="AJ3605">
        <f>IF($C3605="","",IF(COUNTIF($C$2:$C3605,$C3605)=1,1,0))</f>
        <v/>
      </c>
      <c r="AK3605">
        <f>IF($AJ3605=1,SUMPRODUCT(--($AN$2:$AN$4001&lt;$AN3605))+1,"")</f>
        <v/>
      </c>
      <c r="AL3605">
        <f>IF($C3605="","",IF(OR($Q3605=TRUE(),$Q3605="TRUE"),1,0))</f>
        <v/>
      </c>
      <c r="AM3605">
        <f>IF($C3605="","",IF($W3605="Yes",1,0))</f>
        <v/>
      </c>
      <c r="AN3605">
        <f>IF($AJ3605=1,IFERROR(IF(VALUE($C3605)&lt;100000000,VALUE($C3605),1000000000),IFERROR(IF(VALUE(MID($C3605,2,20))&lt;100000000,VALUE(MID($C3605,2,20)),1000000000),1000000000))+ROW()/100000,"")</f>
        <v/>
      </c>
    </row>
    <row r="3606">
      <c r="E3606" s="11" t="n"/>
      <c r="M3606" s="7">
        <f>IF($C3606="","",L3606*U3606/100)</f>
        <v/>
      </c>
      <c r="N3606" s="7" t="n"/>
      <c r="T3606" s="7" t="n"/>
      <c r="U3606" s="7">
        <f>IF($C3606="","",S3606*T3606)</f>
        <v/>
      </c>
      <c r="X3606">
        <f>IF($C3606="","",IF($AM3606=1,0,IF($AL3606=1,Settings!$C$6,Settings!$C$7))*100)</f>
        <v/>
      </c>
      <c r="AB3606" s="7" t="n"/>
      <c r="AE3606" s="11" t="n"/>
      <c r="AG3606" s="7">
        <f>IF($C3606="","",U3606*X3606/100)</f>
        <v/>
      </c>
      <c r="AH3606" s="7">
        <f>IF($C3606="","",U3606-AG3606)</f>
        <v/>
      </c>
      <c r="AI3606" s="7">
        <f>IF($C3606="","",AH3606-M3606)</f>
        <v/>
      </c>
      <c r="AJ3606">
        <f>IF($C3606="","",IF(COUNTIF($C$2:$C3606,$C3606)=1,1,0))</f>
        <v/>
      </c>
      <c r="AK3606">
        <f>IF($AJ3606=1,SUMPRODUCT(--($AN$2:$AN$4001&lt;$AN3606))+1,"")</f>
        <v/>
      </c>
      <c r="AL3606">
        <f>IF($C3606="","",IF(OR($Q3606=TRUE(),$Q3606="TRUE"),1,0))</f>
        <v/>
      </c>
      <c r="AM3606">
        <f>IF($C3606="","",IF($W3606="Yes",1,0))</f>
        <v/>
      </c>
      <c r="AN3606">
        <f>IF($AJ3606=1,IFERROR(IF(VALUE($C3606)&lt;100000000,VALUE($C3606),1000000000),IFERROR(IF(VALUE(MID($C3606,2,20))&lt;100000000,VALUE(MID($C3606,2,20)),1000000000),1000000000))+ROW()/100000,"")</f>
        <v/>
      </c>
    </row>
    <row r="3607">
      <c r="E3607" s="11" t="n"/>
      <c r="M3607" s="7">
        <f>IF($C3607="","",L3607*U3607/100)</f>
        <v/>
      </c>
      <c r="N3607" s="7" t="n"/>
      <c r="T3607" s="7" t="n"/>
      <c r="U3607" s="7">
        <f>IF($C3607="","",S3607*T3607)</f>
        <v/>
      </c>
      <c r="X3607">
        <f>IF($C3607="","",IF($AM3607=1,0,IF($AL3607=1,Settings!$C$6,Settings!$C$7))*100)</f>
        <v/>
      </c>
      <c r="AB3607" s="7" t="n"/>
      <c r="AE3607" s="11" t="n"/>
      <c r="AG3607" s="7">
        <f>IF($C3607="","",U3607*X3607/100)</f>
        <v/>
      </c>
      <c r="AH3607" s="7">
        <f>IF($C3607="","",U3607-AG3607)</f>
        <v/>
      </c>
      <c r="AI3607" s="7">
        <f>IF($C3607="","",AH3607-M3607)</f>
        <v/>
      </c>
      <c r="AJ3607">
        <f>IF($C3607="","",IF(COUNTIF($C$2:$C3607,$C3607)=1,1,0))</f>
        <v/>
      </c>
      <c r="AK3607">
        <f>IF($AJ3607=1,SUMPRODUCT(--($AN$2:$AN$4001&lt;$AN3607))+1,"")</f>
        <v/>
      </c>
      <c r="AL3607">
        <f>IF($C3607="","",IF(OR($Q3607=TRUE(),$Q3607="TRUE"),1,0))</f>
        <v/>
      </c>
      <c r="AM3607">
        <f>IF($C3607="","",IF($W3607="Yes",1,0))</f>
        <v/>
      </c>
      <c r="AN3607">
        <f>IF($AJ3607=1,IFERROR(IF(VALUE($C3607)&lt;100000000,VALUE($C3607),1000000000),IFERROR(IF(VALUE(MID($C3607,2,20))&lt;100000000,VALUE(MID($C3607,2,20)),1000000000),1000000000))+ROW()/100000,"")</f>
        <v/>
      </c>
    </row>
    <row r="3608">
      <c r="E3608" s="11" t="n"/>
      <c r="M3608" s="7">
        <f>IF($C3608="","",L3608*U3608/100)</f>
        <v/>
      </c>
      <c r="N3608" s="7" t="n"/>
      <c r="T3608" s="7" t="n"/>
      <c r="U3608" s="7">
        <f>IF($C3608="","",S3608*T3608)</f>
        <v/>
      </c>
      <c r="X3608">
        <f>IF($C3608="","",IF($AM3608=1,0,IF($AL3608=1,Settings!$C$6,Settings!$C$7))*100)</f>
        <v/>
      </c>
      <c r="AB3608" s="7" t="n"/>
      <c r="AE3608" s="11" t="n"/>
      <c r="AG3608" s="7">
        <f>IF($C3608="","",U3608*X3608/100)</f>
        <v/>
      </c>
      <c r="AH3608" s="7">
        <f>IF($C3608="","",U3608-AG3608)</f>
        <v/>
      </c>
      <c r="AI3608" s="7">
        <f>IF($C3608="","",AH3608-M3608)</f>
        <v/>
      </c>
      <c r="AJ3608">
        <f>IF($C3608="","",IF(COUNTIF($C$2:$C3608,$C3608)=1,1,0))</f>
        <v/>
      </c>
      <c r="AK3608">
        <f>IF($AJ3608=1,SUMPRODUCT(--($AN$2:$AN$4001&lt;$AN3608))+1,"")</f>
        <v/>
      </c>
      <c r="AL3608">
        <f>IF($C3608="","",IF(OR($Q3608=TRUE(),$Q3608="TRUE"),1,0))</f>
        <v/>
      </c>
      <c r="AM3608">
        <f>IF($C3608="","",IF($W3608="Yes",1,0))</f>
        <v/>
      </c>
      <c r="AN3608">
        <f>IF($AJ3608=1,IFERROR(IF(VALUE($C3608)&lt;100000000,VALUE($C3608),1000000000),IFERROR(IF(VALUE(MID($C3608,2,20))&lt;100000000,VALUE(MID($C3608,2,20)),1000000000),1000000000))+ROW()/100000,"")</f>
        <v/>
      </c>
    </row>
    <row r="3609">
      <c r="E3609" s="11" t="n"/>
      <c r="M3609" s="7">
        <f>IF($C3609="","",L3609*U3609/100)</f>
        <v/>
      </c>
      <c r="N3609" s="7" t="n"/>
      <c r="T3609" s="7" t="n"/>
      <c r="U3609" s="7">
        <f>IF($C3609="","",S3609*T3609)</f>
        <v/>
      </c>
      <c r="X3609">
        <f>IF($C3609="","",IF($AM3609=1,0,IF($AL3609=1,Settings!$C$6,Settings!$C$7))*100)</f>
        <v/>
      </c>
      <c r="AB3609" s="7" t="n"/>
      <c r="AE3609" s="11" t="n"/>
      <c r="AG3609" s="7">
        <f>IF($C3609="","",U3609*X3609/100)</f>
        <v/>
      </c>
      <c r="AH3609" s="7">
        <f>IF($C3609="","",U3609-AG3609)</f>
        <v/>
      </c>
      <c r="AI3609" s="7">
        <f>IF($C3609="","",AH3609-M3609)</f>
        <v/>
      </c>
      <c r="AJ3609">
        <f>IF($C3609="","",IF(COUNTIF($C$2:$C3609,$C3609)=1,1,0))</f>
        <v/>
      </c>
      <c r="AK3609">
        <f>IF($AJ3609=1,SUMPRODUCT(--($AN$2:$AN$4001&lt;$AN3609))+1,"")</f>
        <v/>
      </c>
      <c r="AL3609">
        <f>IF($C3609="","",IF(OR($Q3609=TRUE(),$Q3609="TRUE"),1,0))</f>
        <v/>
      </c>
      <c r="AM3609">
        <f>IF($C3609="","",IF($W3609="Yes",1,0))</f>
        <v/>
      </c>
      <c r="AN3609">
        <f>IF($AJ3609=1,IFERROR(IF(VALUE($C3609)&lt;100000000,VALUE($C3609),1000000000),IFERROR(IF(VALUE(MID($C3609,2,20))&lt;100000000,VALUE(MID($C3609,2,20)),1000000000),1000000000))+ROW()/100000,"")</f>
        <v/>
      </c>
    </row>
    <row r="3610">
      <c r="E3610" s="11" t="n"/>
      <c r="M3610" s="7">
        <f>IF($C3610="","",L3610*U3610/100)</f>
        <v/>
      </c>
      <c r="N3610" s="7" t="n"/>
      <c r="T3610" s="7" t="n"/>
      <c r="U3610" s="7">
        <f>IF($C3610="","",S3610*T3610)</f>
        <v/>
      </c>
      <c r="X3610">
        <f>IF($C3610="","",IF($AM3610=1,0,IF($AL3610=1,Settings!$C$6,Settings!$C$7))*100)</f>
        <v/>
      </c>
      <c r="AB3610" s="7" t="n"/>
      <c r="AE3610" s="11" t="n"/>
      <c r="AG3610" s="7">
        <f>IF($C3610="","",U3610*X3610/100)</f>
        <v/>
      </c>
      <c r="AH3610" s="7">
        <f>IF($C3610="","",U3610-AG3610)</f>
        <v/>
      </c>
      <c r="AI3610" s="7">
        <f>IF($C3610="","",AH3610-M3610)</f>
        <v/>
      </c>
      <c r="AJ3610">
        <f>IF($C3610="","",IF(COUNTIF($C$2:$C3610,$C3610)=1,1,0))</f>
        <v/>
      </c>
      <c r="AK3610">
        <f>IF($AJ3610=1,SUMPRODUCT(--($AN$2:$AN$4001&lt;$AN3610))+1,"")</f>
        <v/>
      </c>
      <c r="AL3610">
        <f>IF($C3610="","",IF(OR($Q3610=TRUE(),$Q3610="TRUE"),1,0))</f>
        <v/>
      </c>
      <c r="AM3610">
        <f>IF($C3610="","",IF($W3610="Yes",1,0))</f>
        <v/>
      </c>
      <c r="AN3610">
        <f>IF($AJ3610=1,IFERROR(IF(VALUE($C3610)&lt;100000000,VALUE($C3610),1000000000),IFERROR(IF(VALUE(MID($C3610,2,20))&lt;100000000,VALUE(MID($C3610,2,20)),1000000000),1000000000))+ROW()/100000,"")</f>
        <v/>
      </c>
    </row>
    <row r="3611">
      <c r="E3611" s="11" t="n"/>
      <c r="M3611" s="7">
        <f>IF($C3611="","",L3611*U3611/100)</f>
        <v/>
      </c>
      <c r="N3611" s="7" t="n"/>
      <c r="T3611" s="7" t="n"/>
      <c r="U3611" s="7">
        <f>IF($C3611="","",S3611*T3611)</f>
        <v/>
      </c>
      <c r="X3611">
        <f>IF($C3611="","",IF($AM3611=1,0,IF($AL3611=1,Settings!$C$6,Settings!$C$7))*100)</f>
        <v/>
      </c>
      <c r="AB3611" s="7" t="n"/>
      <c r="AE3611" s="11" t="n"/>
      <c r="AG3611" s="7">
        <f>IF($C3611="","",U3611*X3611/100)</f>
        <v/>
      </c>
      <c r="AH3611" s="7">
        <f>IF($C3611="","",U3611-AG3611)</f>
        <v/>
      </c>
      <c r="AI3611" s="7">
        <f>IF($C3611="","",AH3611-M3611)</f>
        <v/>
      </c>
      <c r="AJ3611">
        <f>IF($C3611="","",IF(COUNTIF($C$2:$C3611,$C3611)=1,1,0))</f>
        <v/>
      </c>
      <c r="AK3611">
        <f>IF($AJ3611=1,SUMPRODUCT(--($AN$2:$AN$4001&lt;$AN3611))+1,"")</f>
        <v/>
      </c>
      <c r="AL3611">
        <f>IF($C3611="","",IF(OR($Q3611=TRUE(),$Q3611="TRUE"),1,0))</f>
        <v/>
      </c>
      <c r="AM3611">
        <f>IF($C3611="","",IF($W3611="Yes",1,0))</f>
        <v/>
      </c>
      <c r="AN3611">
        <f>IF($AJ3611=1,IFERROR(IF(VALUE($C3611)&lt;100000000,VALUE($C3611),1000000000),IFERROR(IF(VALUE(MID($C3611,2,20))&lt;100000000,VALUE(MID($C3611,2,20)),1000000000),1000000000))+ROW()/100000,"")</f>
        <v/>
      </c>
    </row>
    <row r="3612">
      <c r="E3612" s="11" t="n"/>
      <c r="M3612" s="7">
        <f>IF($C3612="","",L3612*U3612/100)</f>
        <v/>
      </c>
      <c r="N3612" s="7" t="n"/>
      <c r="T3612" s="7" t="n"/>
      <c r="U3612" s="7">
        <f>IF($C3612="","",S3612*T3612)</f>
        <v/>
      </c>
      <c r="X3612">
        <f>IF($C3612="","",IF($AM3612=1,0,IF($AL3612=1,Settings!$C$6,Settings!$C$7))*100)</f>
        <v/>
      </c>
      <c r="AB3612" s="7" t="n"/>
      <c r="AE3612" s="11" t="n"/>
      <c r="AG3612" s="7">
        <f>IF($C3612="","",U3612*X3612/100)</f>
        <v/>
      </c>
      <c r="AH3612" s="7">
        <f>IF($C3612="","",U3612-AG3612)</f>
        <v/>
      </c>
      <c r="AI3612" s="7">
        <f>IF($C3612="","",AH3612-M3612)</f>
        <v/>
      </c>
      <c r="AJ3612">
        <f>IF($C3612="","",IF(COUNTIF($C$2:$C3612,$C3612)=1,1,0))</f>
        <v/>
      </c>
      <c r="AK3612">
        <f>IF($AJ3612=1,SUMPRODUCT(--($AN$2:$AN$4001&lt;$AN3612))+1,"")</f>
        <v/>
      </c>
      <c r="AL3612">
        <f>IF($C3612="","",IF(OR($Q3612=TRUE(),$Q3612="TRUE"),1,0))</f>
        <v/>
      </c>
      <c r="AM3612">
        <f>IF($C3612="","",IF($W3612="Yes",1,0))</f>
        <v/>
      </c>
      <c r="AN3612">
        <f>IF($AJ3612=1,IFERROR(IF(VALUE($C3612)&lt;100000000,VALUE($C3612),1000000000),IFERROR(IF(VALUE(MID($C3612,2,20))&lt;100000000,VALUE(MID($C3612,2,20)),1000000000),1000000000))+ROW()/100000,"")</f>
        <v/>
      </c>
    </row>
    <row r="3613">
      <c r="E3613" s="11" t="n"/>
      <c r="M3613" s="7">
        <f>IF($C3613="","",L3613*U3613/100)</f>
        <v/>
      </c>
      <c r="N3613" s="7" t="n"/>
      <c r="T3613" s="7" t="n"/>
      <c r="U3613" s="7">
        <f>IF($C3613="","",S3613*T3613)</f>
        <v/>
      </c>
      <c r="X3613">
        <f>IF($C3613="","",IF($AM3613=1,0,IF($AL3613=1,Settings!$C$6,Settings!$C$7))*100)</f>
        <v/>
      </c>
      <c r="AB3613" s="7" t="n"/>
      <c r="AE3613" s="11" t="n"/>
      <c r="AG3613" s="7">
        <f>IF($C3613="","",U3613*X3613/100)</f>
        <v/>
      </c>
      <c r="AH3613" s="7">
        <f>IF($C3613="","",U3613-AG3613)</f>
        <v/>
      </c>
      <c r="AI3613" s="7">
        <f>IF($C3613="","",AH3613-M3613)</f>
        <v/>
      </c>
      <c r="AJ3613">
        <f>IF($C3613="","",IF(COUNTIF($C$2:$C3613,$C3613)=1,1,0))</f>
        <v/>
      </c>
      <c r="AK3613">
        <f>IF($AJ3613=1,SUMPRODUCT(--($AN$2:$AN$4001&lt;$AN3613))+1,"")</f>
        <v/>
      </c>
      <c r="AL3613">
        <f>IF($C3613="","",IF(OR($Q3613=TRUE(),$Q3613="TRUE"),1,0))</f>
        <v/>
      </c>
      <c r="AM3613">
        <f>IF($C3613="","",IF($W3613="Yes",1,0))</f>
        <v/>
      </c>
      <c r="AN3613">
        <f>IF($AJ3613=1,IFERROR(IF(VALUE($C3613)&lt;100000000,VALUE($C3613),1000000000),IFERROR(IF(VALUE(MID($C3613,2,20))&lt;100000000,VALUE(MID($C3613,2,20)),1000000000),1000000000))+ROW()/100000,"")</f>
        <v/>
      </c>
    </row>
    <row r="3614">
      <c r="E3614" s="11" t="n"/>
      <c r="M3614" s="7">
        <f>IF($C3614="","",L3614*U3614/100)</f>
        <v/>
      </c>
      <c r="N3614" s="7" t="n"/>
      <c r="T3614" s="7" t="n"/>
      <c r="U3614" s="7">
        <f>IF($C3614="","",S3614*T3614)</f>
        <v/>
      </c>
      <c r="X3614">
        <f>IF($C3614="","",IF($AM3614=1,0,IF($AL3614=1,Settings!$C$6,Settings!$C$7))*100)</f>
        <v/>
      </c>
      <c r="AB3614" s="7" t="n"/>
      <c r="AE3614" s="11" t="n"/>
      <c r="AG3614" s="7">
        <f>IF($C3614="","",U3614*X3614/100)</f>
        <v/>
      </c>
      <c r="AH3614" s="7">
        <f>IF($C3614="","",U3614-AG3614)</f>
        <v/>
      </c>
      <c r="AI3614" s="7">
        <f>IF($C3614="","",AH3614-M3614)</f>
        <v/>
      </c>
      <c r="AJ3614">
        <f>IF($C3614="","",IF(COUNTIF($C$2:$C3614,$C3614)=1,1,0))</f>
        <v/>
      </c>
      <c r="AK3614">
        <f>IF($AJ3614=1,SUMPRODUCT(--($AN$2:$AN$4001&lt;$AN3614))+1,"")</f>
        <v/>
      </c>
      <c r="AL3614">
        <f>IF($C3614="","",IF(OR($Q3614=TRUE(),$Q3614="TRUE"),1,0))</f>
        <v/>
      </c>
      <c r="AM3614">
        <f>IF($C3614="","",IF($W3614="Yes",1,0))</f>
        <v/>
      </c>
      <c r="AN3614">
        <f>IF($AJ3614=1,IFERROR(IF(VALUE($C3614)&lt;100000000,VALUE($C3614),1000000000),IFERROR(IF(VALUE(MID($C3614,2,20))&lt;100000000,VALUE(MID($C3614,2,20)),1000000000),1000000000))+ROW()/100000,"")</f>
        <v/>
      </c>
    </row>
    <row r="3615">
      <c r="E3615" s="11" t="n"/>
      <c r="M3615" s="7">
        <f>IF($C3615="","",L3615*U3615/100)</f>
        <v/>
      </c>
      <c r="N3615" s="7" t="n"/>
      <c r="T3615" s="7" t="n"/>
      <c r="U3615" s="7">
        <f>IF($C3615="","",S3615*T3615)</f>
        <v/>
      </c>
      <c r="X3615">
        <f>IF($C3615="","",IF($AM3615=1,0,IF($AL3615=1,Settings!$C$6,Settings!$C$7))*100)</f>
        <v/>
      </c>
      <c r="AB3615" s="7" t="n"/>
      <c r="AE3615" s="11" t="n"/>
      <c r="AG3615" s="7">
        <f>IF($C3615="","",U3615*X3615/100)</f>
        <v/>
      </c>
      <c r="AH3615" s="7">
        <f>IF($C3615="","",U3615-AG3615)</f>
        <v/>
      </c>
      <c r="AI3615" s="7">
        <f>IF($C3615="","",AH3615-M3615)</f>
        <v/>
      </c>
      <c r="AJ3615">
        <f>IF($C3615="","",IF(COUNTIF($C$2:$C3615,$C3615)=1,1,0))</f>
        <v/>
      </c>
      <c r="AK3615">
        <f>IF($AJ3615=1,SUMPRODUCT(--($AN$2:$AN$4001&lt;$AN3615))+1,"")</f>
        <v/>
      </c>
      <c r="AL3615">
        <f>IF($C3615="","",IF(OR($Q3615=TRUE(),$Q3615="TRUE"),1,0))</f>
        <v/>
      </c>
      <c r="AM3615">
        <f>IF($C3615="","",IF($W3615="Yes",1,0))</f>
        <v/>
      </c>
      <c r="AN3615">
        <f>IF($AJ3615=1,IFERROR(IF(VALUE($C3615)&lt;100000000,VALUE($C3615),1000000000),IFERROR(IF(VALUE(MID($C3615,2,20))&lt;100000000,VALUE(MID($C3615,2,20)),1000000000),1000000000))+ROW()/100000,"")</f>
        <v/>
      </c>
    </row>
    <row r="3616">
      <c r="E3616" s="11" t="n"/>
      <c r="M3616" s="7">
        <f>IF($C3616="","",L3616*U3616/100)</f>
        <v/>
      </c>
      <c r="N3616" s="7" t="n"/>
      <c r="T3616" s="7" t="n"/>
      <c r="U3616" s="7">
        <f>IF($C3616="","",S3616*T3616)</f>
        <v/>
      </c>
      <c r="X3616">
        <f>IF($C3616="","",IF($AM3616=1,0,IF($AL3616=1,Settings!$C$6,Settings!$C$7))*100)</f>
        <v/>
      </c>
      <c r="AB3616" s="7" t="n"/>
      <c r="AE3616" s="11" t="n"/>
      <c r="AG3616" s="7">
        <f>IF($C3616="","",U3616*X3616/100)</f>
        <v/>
      </c>
      <c r="AH3616" s="7">
        <f>IF($C3616="","",U3616-AG3616)</f>
        <v/>
      </c>
      <c r="AI3616" s="7">
        <f>IF($C3616="","",AH3616-M3616)</f>
        <v/>
      </c>
      <c r="AJ3616">
        <f>IF($C3616="","",IF(COUNTIF($C$2:$C3616,$C3616)=1,1,0))</f>
        <v/>
      </c>
      <c r="AK3616">
        <f>IF($AJ3616=1,SUMPRODUCT(--($AN$2:$AN$4001&lt;$AN3616))+1,"")</f>
        <v/>
      </c>
      <c r="AL3616">
        <f>IF($C3616="","",IF(OR($Q3616=TRUE(),$Q3616="TRUE"),1,0))</f>
        <v/>
      </c>
      <c r="AM3616">
        <f>IF($C3616="","",IF($W3616="Yes",1,0))</f>
        <v/>
      </c>
      <c r="AN3616">
        <f>IF($AJ3616=1,IFERROR(IF(VALUE($C3616)&lt;100000000,VALUE($C3616),1000000000),IFERROR(IF(VALUE(MID($C3616,2,20))&lt;100000000,VALUE(MID($C3616,2,20)),1000000000),1000000000))+ROW()/100000,"")</f>
        <v/>
      </c>
    </row>
    <row r="3617">
      <c r="E3617" s="11" t="n"/>
      <c r="M3617" s="7">
        <f>IF($C3617="","",L3617*U3617/100)</f>
        <v/>
      </c>
      <c r="N3617" s="7" t="n"/>
      <c r="T3617" s="7" t="n"/>
      <c r="U3617" s="7">
        <f>IF($C3617="","",S3617*T3617)</f>
        <v/>
      </c>
      <c r="X3617">
        <f>IF($C3617="","",IF($AM3617=1,0,IF($AL3617=1,Settings!$C$6,Settings!$C$7))*100)</f>
        <v/>
      </c>
      <c r="AB3617" s="7" t="n"/>
      <c r="AE3617" s="11" t="n"/>
      <c r="AG3617" s="7">
        <f>IF($C3617="","",U3617*X3617/100)</f>
        <v/>
      </c>
      <c r="AH3617" s="7">
        <f>IF($C3617="","",U3617-AG3617)</f>
        <v/>
      </c>
      <c r="AI3617" s="7">
        <f>IF($C3617="","",AH3617-M3617)</f>
        <v/>
      </c>
      <c r="AJ3617">
        <f>IF($C3617="","",IF(COUNTIF($C$2:$C3617,$C3617)=1,1,0))</f>
        <v/>
      </c>
      <c r="AK3617">
        <f>IF($AJ3617=1,SUMPRODUCT(--($AN$2:$AN$4001&lt;$AN3617))+1,"")</f>
        <v/>
      </c>
      <c r="AL3617">
        <f>IF($C3617="","",IF(OR($Q3617=TRUE(),$Q3617="TRUE"),1,0))</f>
        <v/>
      </c>
      <c r="AM3617">
        <f>IF($C3617="","",IF($W3617="Yes",1,0))</f>
        <v/>
      </c>
      <c r="AN3617">
        <f>IF($AJ3617=1,IFERROR(IF(VALUE($C3617)&lt;100000000,VALUE($C3617),1000000000),IFERROR(IF(VALUE(MID($C3617,2,20))&lt;100000000,VALUE(MID($C3617,2,20)),1000000000),1000000000))+ROW()/100000,"")</f>
        <v/>
      </c>
    </row>
    <row r="3618">
      <c r="E3618" s="11" t="n"/>
      <c r="M3618" s="7">
        <f>IF($C3618="","",L3618*U3618/100)</f>
        <v/>
      </c>
      <c r="N3618" s="7" t="n"/>
      <c r="T3618" s="7" t="n"/>
      <c r="U3618" s="7">
        <f>IF($C3618="","",S3618*T3618)</f>
        <v/>
      </c>
      <c r="X3618">
        <f>IF($C3618="","",IF($AM3618=1,0,IF($AL3618=1,Settings!$C$6,Settings!$C$7))*100)</f>
        <v/>
      </c>
      <c r="AB3618" s="7" t="n"/>
      <c r="AE3618" s="11" t="n"/>
      <c r="AG3618" s="7">
        <f>IF($C3618="","",U3618*X3618/100)</f>
        <v/>
      </c>
      <c r="AH3618" s="7">
        <f>IF($C3618="","",U3618-AG3618)</f>
        <v/>
      </c>
      <c r="AI3618" s="7">
        <f>IF($C3618="","",AH3618-M3618)</f>
        <v/>
      </c>
      <c r="AJ3618">
        <f>IF($C3618="","",IF(COUNTIF($C$2:$C3618,$C3618)=1,1,0))</f>
        <v/>
      </c>
      <c r="AK3618">
        <f>IF($AJ3618=1,SUMPRODUCT(--($AN$2:$AN$4001&lt;$AN3618))+1,"")</f>
        <v/>
      </c>
      <c r="AL3618">
        <f>IF($C3618="","",IF(OR($Q3618=TRUE(),$Q3618="TRUE"),1,0))</f>
        <v/>
      </c>
      <c r="AM3618">
        <f>IF($C3618="","",IF($W3618="Yes",1,0))</f>
        <v/>
      </c>
      <c r="AN3618">
        <f>IF($AJ3618=1,IFERROR(IF(VALUE($C3618)&lt;100000000,VALUE($C3618),1000000000),IFERROR(IF(VALUE(MID($C3618,2,20))&lt;100000000,VALUE(MID($C3618,2,20)),1000000000),1000000000))+ROW()/100000,"")</f>
        <v/>
      </c>
    </row>
    <row r="3619">
      <c r="E3619" s="11" t="n"/>
      <c r="M3619" s="7">
        <f>IF($C3619="","",L3619*U3619/100)</f>
        <v/>
      </c>
      <c r="N3619" s="7" t="n"/>
      <c r="T3619" s="7" t="n"/>
      <c r="U3619" s="7">
        <f>IF($C3619="","",S3619*T3619)</f>
        <v/>
      </c>
      <c r="X3619">
        <f>IF($C3619="","",IF($AM3619=1,0,IF($AL3619=1,Settings!$C$6,Settings!$C$7))*100)</f>
        <v/>
      </c>
      <c r="AB3619" s="7" t="n"/>
      <c r="AE3619" s="11" t="n"/>
      <c r="AG3619" s="7">
        <f>IF($C3619="","",U3619*X3619/100)</f>
        <v/>
      </c>
      <c r="AH3619" s="7">
        <f>IF($C3619="","",U3619-AG3619)</f>
        <v/>
      </c>
      <c r="AI3619" s="7">
        <f>IF($C3619="","",AH3619-M3619)</f>
        <v/>
      </c>
      <c r="AJ3619">
        <f>IF($C3619="","",IF(COUNTIF($C$2:$C3619,$C3619)=1,1,0))</f>
        <v/>
      </c>
      <c r="AK3619">
        <f>IF($AJ3619=1,SUMPRODUCT(--($AN$2:$AN$4001&lt;$AN3619))+1,"")</f>
        <v/>
      </c>
      <c r="AL3619">
        <f>IF($C3619="","",IF(OR($Q3619=TRUE(),$Q3619="TRUE"),1,0))</f>
        <v/>
      </c>
      <c r="AM3619">
        <f>IF($C3619="","",IF($W3619="Yes",1,0))</f>
        <v/>
      </c>
      <c r="AN3619">
        <f>IF($AJ3619=1,IFERROR(IF(VALUE($C3619)&lt;100000000,VALUE($C3619),1000000000),IFERROR(IF(VALUE(MID($C3619,2,20))&lt;100000000,VALUE(MID($C3619,2,20)),1000000000),1000000000))+ROW()/100000,"")</f>
        <v/>
      </c>
    </row>
    <row r="3620">
      <c r="E3620" s="11" t="n"/>
      <c r="M3620" s="7">
        <f>IF($C3620="","",L3620*U3620/100)</f>
        <v/>
      </c>
      <c r="N3620" s="7" t="n"/>
      <c r="T3620" s="7" t="n"/>
      <c r="U3620" s="7">
        <f>IF($C3620="","",S3620*T3620)</f>
        <v/>
      </c>
      <c r="X3620">
        <f>IF($C3620="","",IF($AM3620=1,0,IF($AL3620=1,Settings!$C$6,Settings!$C$7))*100)</f>
        <v/>
      </c>
      <c r="AB3620" s="7" t="n"/>
      <c r="AE3620" s="11" t="n"/>
      <c r="AG3620" s="7">
        <f>IF($C3620="","",U3620*X3620/100)</f>
        <v/>
      </c>
      <c r="AH3620" s="7">
        <f>IF($C3620="","",U3620-AG3620)</f>
        <v/>
      </c>
      <c r="AI3620" s="7">
        <f>IF($C3620="","",AH3620-M3620)</f>
        <v/>
      </c>
      <c r="AJ3620">
        <f>IF($C3620="","",IF(COUNTIF($C$2:$C3620,$C3620)=1,1,0))</f>
        <v/>
      </c>
      <c r="AK3620">
        <f>IF($AJ3620=1,SUMPRODUCT(--($AN$2:$AN$4001&lt;$AN3620))+1,"")</f>
        <v/>
      </c>
      <c r="AL3620">
        <f>IF($C3620="","",IF(OR($Q3620=TRUE(),$Q3620="TRUE"),1,0))</f>
        <v/>
      </c>
      <c r="AM3620">
        <f>IF($C3620="","",IF($W3620="Yes",1,0))</f>
        <v/>
      </c>
      <c r="AN3620">
        <f>IF($AJ3620=1,IFERROR(IF(VALUE($C3620)&lt;100000000,VALUE($C3620),1000000000),IFERROR(IF(VALUE(MID($C3620,2,20))&lt;100000000,VALUE(MID($C3620,2,20)),1000000000),1000000000))+ROW()/100000,"")</f>
        <v/>
      </c>
    </row>
    <row r="3621">
      <c r="E3621" s="11" t="n"/>
      <c r="M3621" s="7">
        <f>IF($C3621="","",L3621*U3621/100)</f>
        <v/>
      </c>
      <c r="N3621" s="7" t="n"/>
      <c r="T3621" s="7" t="n"/>
      <c r="U3621" s="7">
        <f>IF($C3621="","",S3621*T3621)</f>
        <v/>
      </c>
      <c r="X3621">
        <f>IF($C3621="","",IF($AM3621=1,0,IF($AL3621=1,Settings!$C$6,Settings!$C$7))*100)</f>
        <v/>
      </c>
      <c r="AB3621" s="7" t="n"/>
      <c r="AE3621" s="11" t="n"/>
      <c r="AG3621" s="7">
        <f>IF($C3621="","",U3621*X3621/100)</f>
        <v/>
      </c>
      <c r="AH3621" s="7">
        <f>IF($C3621="","",U3621-AG3621)</f>
        <v/>
      </c>
      <c r="AI3621" s="7">
        <f>IF($C3621="","",AH3621-M3621)</f>
        <v/>
      </c>
      <c r="AJ3621">
        <f>IF($C3621="","",IF(COUNTIF($C$2:$C3621,$C3621)=1,1,0))</f>
        <v/>
      </c>
      <c r="AK3621">
        <f>IF($AJ3621=1,SUMPRODUCT(--($AN$2:$AN$4001&lt;$AN3621))+1,"")</f>
        <v/>
      </c>
      <c r="AL3621">
        <f>IF($C3621="","",IF(OR($Q3621=TRUE(),$Q3621="TRUE"),1,0))</f>
        <v/>
      </c>
      <c r="AM3621">
        <f>IF($C3621="","",IF($W3621="Yes",1,0))</f>
        <v/>
      </c>
      <c r="AN3621">
        <f>IF($AJ3621=1,IFERROR(IF(VALUE($C3621)&lt;100000000,VALUE($C3621),1000000000),IFERROR(IF(VALUE(MID($C3621,2,20))&lt;100000000,VALUE(MID($C3621,2,20)),1000000000),1000000000))+ROW()/100000,"")</f>
        <v/>
      </c>
    </row>
    <row r="3622">
      <c r="E3622" s="11" t="n"/>
      <c r="M3622" s="7">
        <f>IF($C3622="","",L3622*U3622/100)</f>
        <v/>
      </c>
      <c r="N3622" s="7" t="n"/>
      <c r="T3622" s="7" t="n"/>
      <c r="U3622" s="7">
        <f>IF($C3622="","",S3622*T3622)</f>
        <v/>
      </c>
      <c r="X3622">
        <f>IF($C3622="","",IF($AM3622=1,0,IF($AL3622=1,Settings!$C$6,Settings!$C$7))*100)</f>
        <v/>
      </c>
      <c r="AB3622" s="7" t="n"/>
      <c r="AE3622" s="11" t="n"/>
      <c r="AG3622" s="7">
        <f>IF($C3622="","",U3622*X3622/100)</f>
        <v/>
      </c>
      <c r="AH3622" s="7">
        <f>IF($C3622="","",U3622-AG3622)</f>
        <v/>
      </c>
      <c r="AI3622" s="7">
        <f>IF($C3622="","",AH3622-M3622)</f>
        <v/>
      </c>
      <c r="AJ3622">
        <f>IF($C3622="","",IF(COUNTIF($C$2:$C3622,$C3622)=1,1,0))</f>
        <v/>
      </c>
      <c r="AK3622">
        <f>IF($AJ3622=1,SUMPRODUCT(--($AN$2:$AN$4001&lt;$AN3622))+1,"")</f>
        <v/>
      </c>
      <c r="AL3622">
        <f>IF($C3622="","",IF(OR($Q3622=TRUE(),$Q3622="TRUE"),1,0))</f>
        <v/>
      </c>
      <c r="AM3622">
        <f>IF($C3622="","",IF($W3622="Yes",1,0))</f>
        <v/>
      </c>
      <c r="AN3622">
        <f>IF($AJ3622=1,IFERROR(IF(VALUE($C3622)&lt;100000000,VALUE($C3622),1000000000),IFERROR(IF(VALUE(MID($C3622,2,20))&lt;100000000,VALUE(MID($C3622,2,20)),1000000000),1000000000))+ROW()/100000,"")</f>
        <v/>
      </c>
    </row>
    <row r="3623">
      <c r="E3623" s="11" t="n"/>
      <c r="M3623" s="7">
        <f>IF($C3623="","",L3623*U3623/100)</f>
        <v/>
      </c>
      <c r="N3623" s="7" t="n"/>
      <c r="T3623" s="7" t="n"/>
      <c r="U3623" s="7">
        <f>IF($C3623="","",S3623*T3623)</f>
        <v/>
      </c>
      <c r="X3623">
        <f>IF($C3623="","",IF($AM3623=1,0,IF($AL3623=1,Settings!$C$6,Settings!$C$7))*100)</f>
        <v/>
      </c>
      <c r="AB3623" s="7" t="n"/>
      <c r="AE3623" s="11" t="n"/>
      <c r="AG3623" s="7">
        <f>IF($C3623="","",U3623*X3623/100)</f>
        <v/>
      </c>
      <c r="AH3623" s="7">
        <f>IF($C3623="","",U3623-AG3623)</f>
        <v/>
      </c>
      <c r="AI3623" s="7">
        <f>IF($C3623="","",AH3623-M3623)</f>
        <v/>
      </c>
      <c r="AJ3623">
        <f>IF($C3623="","",IF(COUNTIF($C$2:$C3623,$C3623)=1,1,0))</f>
        <v/>
      </c>
      <c r="AK3623">
        <f>IF($AJ3623=1,SUMPRODUCT(--($AN$2:$AN$4001&lt;$AN3623))+1,"")</f>
        <v/>
      </c>
      <c r="AL3623">
        <f>IF($C3623="","",IF(OR($Q3623=TRUE(),$Q3623="TRUE"),1,0))</f>
        <v/>
      </c>
      <c r="AM3623">
        <f>IF($C3623="","",IF($W3623="Yes",1,0))</f>
        <v/>
      </c>
      <c r="AN3623">
        <f>IF($AJ3623=1,IFERROR(IF(VALUE($C3623)&lt;100000000,VALUE($C3623),1000000000),IFERROR(IF(VALUE(MID($C3623,2,20))&lt;100000000,VALUE(MID($C3623,2,20)),1000000000),1000000000))+ROW()/100000,"")</f>
        <v/>
      </c>
    </row>
    <row r="3624">
      <c r="E3624" s="11" t="n"/>
      <c r="M3624" s="7">
        <f>IF($C3624="","",L3624*U3624/100)</f>
        <v/>
      </c>
      <c r="N3624" s="7" t="n"/>
      <c r="T3624" s="7" t="n"/>
      <c r="U3624" s="7">
        <f>IF($C3624="","",S3624*T3624)</f>
        <v/>
      </c>
      <c r="X3624">
        <f>IF($C3624="","",IF($AM3624=1,0,IF($AL3624=1,Settings!$C$6,Settings!$C$7))*100)</f>
        <v/>
      </c>
      <c r="AB3624" s="7" t="n"/>
      <c r="AE3624" s="11" t="n"/>
      <c r="AG3624" s="7">
        <f>IF($C3624="","",U3624*X3624/100)</f>
        <v/>
      </c>
      <c r="AH3624" s="7">
        <f>IF($C3624="","",U3624-AG3624)</f>
        <v/>
      </c>
      <c r="AI3624" s="7">
        <f>IF($C3624="","",AH3624-M3624)</f>
        <v/>
      </c>
      <c r="AJ3624">
        <f>IF($C3624="","",IF(COUNTIF($C$2:$C3624,$C3624)=1,1,0))</f>
        <v/>
      </c>
      <c r="AK3624">
        <f>IF($AJ3624=1,SUMPRODUCT(--($AN$2:$AN$4001&lt;$AN3624))+1,"")</f>
        <v/>
      </c>
      <c r="AL3624">
        <f>IF($C3624="","",IF(OR($Q3624=TRUE(),$Q3624="TRUE"),1,0))</f>
        <v/>
      </c>
      <c r="AM3624">
        <f>IF($C3624="","",IF($W3624="Yes",1,0))</f>
        <v/>
      </c>
      <c r="AN3624">
        <f>IF($AJ3624=1,IFERROR(IF(VALUE($C3624)&lt;100000000,VALUE($C3624),1000000000),IFERROR(IF(VALUE(MID($C3624,2,20))&lt;100000000,VALUE(MID($C3624,2,20)),1000000000),1000000000))+ROW()/100000,"")</f>
        <v/>
      </c>
    </row>
    <row r="3625">
      <c r="E3625" s="11" t="n"/>
      <c r="M3625" s="7">
        <f>IF($C3625="","",L3625*U3625/100)</f>
        <v/>
      </c>
      <c r="N3625" s="7" t="n"/>
      <c r="T3625" s="7" t="n"/>
      <c r="U3625" s="7">
        <f>IF($C3625="","",S3625*T3625)</f>
        <v/>
      </c>
      <c r="X3625">
        <f>IF($C3625="","",IF($AM3625=1,0,IF($AL3625=1,Settings!$C$6,Settings!$C$7))*100)</f>
        <v/>
      </c>
      <c r="AB3625" s="7" t="n"/>
      <c r="AE3625" s="11" t="n"/>
      <c r="AG3625" s="7">
        <f>IF($C3625="","",U3625*X3625/100)</f>
        <v/>
      </c>
      <c r="AH3625" s="7">
        <f>IF($C3625="","",U3625-AG3625)</f>
        <v/>
      </c>
      <c r="AI3625" s="7">
        <f>IF($C3625="","",AH3625-M3625)</f>
        <v/>
      </c>
      <c r="AJ3625">
        <f>IF($C3625="","",IF(COUNTIF($C$2:$C3625,$C3625)=1,1,0))</f>
        <v/>
      </c>
      <c r="AK3625">
        <f>IF($AJ3625=1,SUMPRODUCT(--($AN$2:$AN$4001&lt;$AN3625))+1,"")</f>
        <v/>
      </c>
      <c r="AL3625">
        <f>IF($C3625="","",IF(OR($Q3625=TRUE(),$Q3625="TRUE"),1,0))</f>
        <v/>
      </c>
      <c r="AM3625">
        <f>IF($C3625="","",IF($W3625="Yes",1,0))</f>
        <v/>
      </c>
      <c r="AN3625">
        <f>IF($AJ3625=1,IFERROR(IF(VALUE($C3625)&lt;100000000,VALUE($C3625),1000000000),IFERROR(IF(VALUE(MID($C3625,2,20))&lt;100000000,VALUE(MID($C3625,2,20)),1000000000),1000000000))+ROW()/100000,"")</f>
        <v/>
      </c>
    </row>
    <row r="3626">
      <c r="E3626" s="11" t="n"/>
      <c r="M3626" s="7">
        <f>IF($C3626="","",L3626*U3626/100)</f>
        <v/>
      </c>
      <c r="N3626" s="7" t="n"/>
      <c r="T3626" s="7" t="n"/>
      <c r="U3626" s="7">
        <f>IF($C3626="","",S3626*T3626)</f>
        <v/>
      </c>
      <c r="X3626">
        <f>IF($C3626="","",IF($AM3626=1,0,IF($AL3626=1,Settings!$C$6,Settings!$C$7))*100)</f>
        <v/>
      </c>
      <c r="AB3626" s="7" t="n"/>
      <c r="AE3626" s="11" t="n"/>
      <c r="AG3626" s="7">
        <f>IF($C3626="","",U3626*X3626/100)</f>
        <v/>
      </c>
      <c r="AH3626" s="7">
        <f>IF($C3626="","",U3626-AG3626)</f>
        <v/>
      </c>
      <c r="AI3626" s="7">
        <f>IF($C3626="","",AH3626-M3626)</f>
        <v/>
      </c>
      <c r="AJ3626">
        <f>IF($C3626="","",IF(COUNTIF($C$2:$C3626,$C3626)=1,1,0))</f>
        <v/>
      </c>
      <c r="AK3626">
        <f>IF($AJ3626=1,SUMPRODUCT(--($AN$2:$AN$4001&lt;$AN3626))+1,"")</f>
        <v/>
      </c>
      <c r="AL3626">
        <f>IF($C3626="","",IF(OR($Q3626=TRUE(),$Q3626="TRUE"),1,0))</f>
        <v/>
      </c>
      <c r="AM3626">
        <f>IF($C3626="","",IF($W3626="Yes",1,0))</f>
        <v/>
      </c>
      <c r="AN3626">
        <f>IF($AJ3626=1,IFERROR(IF(VALUE($C3626)&lt;100000000,VALUE($C3626),1000000000),IFERROR(IF(VALUE(MID($C3626,2,20))&lt;100000000,VALUE(MID($C3626,2,20)),1000000000),1000000000))+ROW()/100000,"")</f>
        <v/>
      </c>
    </row>
    <row r="3627">
      <c r="E3627" s="11" t="n"/>
      <c r="M3627" s="7">
        <f>IF($C3627="","",L3627*U3627/100)</f>
        <v/>
      </c>
      <c r="N3627" s="7" t="n"/>
      <c r="T3627" s="7" t="n"/>
      <c r="U3627" s="7">
        <f>IF($C3627="","",S3627*T3627)</f>
        <v/>
      </c>
      <c r="X3627">
        <f>IF($C3627="","",IF($AM3627=1,0,IF($AL3627=1,Settings!$C$6,Settings!$C$7))*100)</f>
        <v/>
      </c>
      <c r="AB3627" s="7" t="n"/>
      <c r="AE3627" s="11" t="n"/>
      <c r="AG3627" s="7">
        <f>IF($C3627="","",U3627*X3627/100)</f>
        <v/>
      </c>
      <c r="AH3627" s="7">
        <f>IF($C3627="","",U3627-AG3627)</f>
        <v/>
      </c>
      <c r="AI3627" s="7">
        <f>IF($C3627="","",AH3627-M3627)</f>
        <v/>
      </c>
      <c r="AJ3627">
        <f>IF($C3627="","",IF(COUNTIF($C$2:$C3627,$C3627)=1,1,0))</f>
        <v/>
      </c>
      <c r="AK3627">
        <f>IF($AJ3627=1,SUMPRODUCT(--($AN$2:$AN$4001&lt;$AN3627))+1,"")</f>
        <v/>
      </c>
      <c r="AL3627">
        <f>IF($C3627="","",IF(OR($Q3627=TRUE(),$Q3627="TRUE"),1,0))</f>
        <v/>
      </c>
      <c r="AM3627">
        <f>IF($C3627="","",IF($W3627="Yes",1,0))</f>
        <v/>
      </c>
      <c r="AN3627">
        <f>IF($AJ3627=1,IFERROR(IF(VALUE($C3627)&lt;100000000,VALUE($C3627),1000000000),IFERROR(IF(VALUE(MID($C3627,2,20))&lt;100000000,VALUE(MID($C3627,2,20)),1000000000),1000000000))+ROW()/100000,"")</f>
        <v/>
      </c>
    </row>
    <row r="3628">
      <c r="E3628" s="11" t="n"/>
      <c r="M3628" s="7">
        <f>IF($C3628="","",L3628*U3628/100)</f>
        <v/>
      </c>
      <c r="N3628" s="7" t="n"/>
      <c r="T3628" s="7" t="n"/>
      <c r="U3628" s="7">
        <f>IF($C3628="","",S3628*T3628)</f>
        <v/>
      </c>
      <c r="X3628">
        <f>IF($C3628="","",IF($AM3628=1,0,IF($AL3628=1,Settings!$C$6,Settings!$C$7))*100)</f>
        <v/>
      </c>
      <c r="AB3628" s="7" t="n"/>
      <c r="AE3628" s="11" t="n"/>
      <c r="AG3628" s="7">
        <f>IF($C3628="","",U3628*X3628/100)</f>
        <v/>
      </c>
      <c r="AH3628" s="7">
        <f>IF($C3628="","",U3628-AG3628)</f>
        <v/>
      </c>
      <c r="AI3628" s="7">
        <f>IF($C3628="","",AH3628-M3628)</f>
        <v/>
      </c>
      <c r="AJ3628">
        <f>IF($C3628="","",IF(COUNTIF($C$2:$C3628,$C3628)=1,1,0))</f>
        <v/>
      </c>
      <c r="AK3628">
        <f>IF($AJ3628=1,SUMPRODUCT(--($AN$2:$AN$4001&lt;$AN3628))+1,"")</f>
        <v/>
      </c>
      <c r="AL3628">
        <f>IF($C3628="","",IF(OR($Q3628=TRUE(),$Q3628="TRUE"),1,0))</f>
        <v/>
      </c>
      <c r="AM3628">
        <f>IF($C3628="","",IF($W3628="Yes",1,0))</f>
        <v/>
      </c>
      <c r="AN3628">
        <f>IF($AJ3628=1,IFERROR(IF(VALUE($C3628)&lt;100000000,VALUE($C3628),1000000000),IFERROR(IF(VALUE(MID($C3628,2,20))&lt;100000000,VALUE(MID($C3628,2,20)),1000000000),1000000000))+ROW()/100000,"")</f>
        <v/>
      </c>
    </row>
    <row r="3629">
      <c r="E3629" s="11" t="n"/>
      <c r="M3629" s="7">
        <f>IF($C3629="","",L3629*U3629/100)</f>
        <v/>
      </c>
      <c r="N3629" s="7" t="n"/>
      <c r="T3629" s="7" t="n"/>
      <c r="U3629" s="7">
        <f>IF($C3629="","",S3629*T3629)</f>
        <v/>
      </c>
      <c r="X3629">
        <f>IF($C3629="","",IF($AM3629=1,0,IF($AL3629=1,Settings!$C$6,Settings!$C$7))*100)</f>
        <v/>
      </c>
      <c r="AB3629" s="7" t="n"/>
      <c r="AE3629" s="11" t="n"/>
      <c r="AG3629" s="7">
        <f>IF($C3629="","",U3629*X3629/100)</f>
        <v/>
      </c>
      <c r="AH3629" s="7">
        <f>IF($C3629="","",U3629-AG3629)</f>
        <v/>
      </c>
      <c r="AI3629" s="7">
        <f>IF($C3629="","",AH3629-M3629)</f>
        <v/>
      </c>
      <c r="AJ3629">
        <f>IF($C3629="","",IF(COUNTIF($C$2:$C3629,$C3629)=1,1,0))</f>
        <v/>
      </c>
      <c r="AK3629">
        <f>IF($AJ3629=1,SUMPRODUCT(--($AN$2:$AN$4001&lt;$AN3629))+1,"")</f>
        <v/>
      </c>
      <c r="AL3629">
        <f>IF($C3629="","",IF(OR($Q3629=TRUE(),$Q3629="TRUE"),1,0))</f>
        <v/>
      </c>
      <c r="AM3629">
        <f>IF($C3629="","",IF($W3629="Yes",1,0))</f>
        <v/>
      </c>
      <c r="AN3629">
        <f>IF($AJ3629=1,IFERROR(IF(VALUE($C3629)&lt;100000000,VALUE($C3629),1000000000),IFERROR(IF(VALUE(MID($C3629,2,20))&lt;100000000,VALUE(MID($C3629,2,20)),1000000000),1000000000))+ROW()/100000,"")</f>
        <v/>
      </c>
    </row>
    <row r="3630">
      <c r="E3630" s="11" t="n"/>
      <c r="M3630" s="7">
        <f>IF($C3630="","",L3630*U3630/100)</f>
        <v/>
      </c>
      <c r="N3630" s="7" t="n"/>
      <c r="T3630" s="7" t="n"/>
      <c r="U3630" s="7">
        <f>IF($C3630="","",S3630*T3630)</f>
        <v/>
      </c>
      <c r="X3630">
        <f>IF($C3630="","",IF($AM3630=1,0,IF($AL3630=1,Settings!$C$6,Settings!$C$7))*100)</f>
        <v/>
      </c>
      <c r="AB3630" s="7" t="n"/>
      <c r="AE3630" s="11" t="n"/>
      <c r="AG3630" s="7">
        <f>IF($C3630="","",U3630*X3630/100)</f>
        <v/>
      </c>
      <c r="AH3630" s="7">
        <f>IF($C3630="","",U3630-AG3630)</f>
        <v/>
      </c>
      <c r="AI3630" s="7">
        <f>IF($C3630="","",AH3630-M3630)</f>
        <v/>
      </c>
      <c r="AJ3630">
        <f>IF($C3630="","",IF(COUNTIF($C$2:$C3630,$C3630)=1,1,0))</f>
        <v/>
      </c>
      <c r="AK3630">
        <f>IF($AJ3630=1,SUMPRODUCT(--($AN$2:$AN$4001&lt;$AN3630))+1,"")</f>
        <v/>
      </c>
      <c r="AL3630">
        <f>IF($C3630="","",IF(OR($Q3630=TRUE(),$Q3630="TRUE"),1,0))</f>
        <v/>
      </c>
      <c r="AM3630">
        <f>IF($C3630="","",IF($W3630="Yes",1,0))</f>
        <v/>
      </c>
      <c r="AN3630">
        <f>IF($AJ3630=1,IFERROR(IF(VALUE($C3630)&lt;100000000,VALUE($C3630),1000000000),IFERROR(IF(VALUE(MID($C3630,2,20))&lt;100000000,VALUE(MID($C3630,2,20)),1000000000),1000000000))+ROW()/100000,"")</f>
        <v/>
      </c>
    </row>
    <row r="3631">
      <c r="E3631" s="11" t="n"/>
      <c r="M3631" s="7">
        <f>IF($C3631="","",L3631*U3631/100)</f>
        <v/>
      </c>
      <c r="N3631" s="7" t="n"/>
      <c r="T3631" s="7" t="n"/>
      <c r="U3631" s="7">
        <f>IF($C3631="","",S3631*T3631)</f>
        <v/>
      </c>
      <c r="X3631">
        <f>IF($C3631="","",IF($AM3631=1,0,IF($AL3631=1,Settings!$C$6,Settings!$C$7))*100)</f>
        <v/>
      </c>
      <c r="AB3631" s="7" t="n"/>
      <c r="AE3631" s="11" t="n"/>
      <c r="AG3631" s="7">
        <f>IF($C3631="","",U3631*X3631/100)</f>
        <v/>
      </c>
      <c r="AH3631" s="7">
        <f>IF($C3631="","",U3631-AG3631)</f>
        <v/>
      </c>
      <c r="AI3631" s="7">
        <f>IF($C3631="","",AH3631-M3631)</f>
        <v/>
      </c>
      <c r="AJ3631">
        <f>IF($C3631="","",IF(COUNTIF($C$2:$C3631,$C3631)=1,1,0))</f>
        <v/>
      </c>
      <c r="AK3631">
        <f>IF($AJ3631=1,SUMPRODUCT(--($AN$2:$AN$4001&lt;$AN3631))+1,"")</f>
        <v/>
      </c>
      <c r="AL3631">
        <f>IF($C3631="","",IF(OR($Q3631=TRUE(),$Q3631="TRUE"),1,0))</f>
        <v/>
      </c>
      <c r="AM3631">
        <f>IF($C3631="","",IF($W3631="Yes",1,0))</f>
        <v/>
      </c>
      <c r="AN3631">
        <f>IF($AJ3631=1,IFERROR(IF(VALUE($C3631)&lt;100000000,VALUE($C3631),1000000000),IFERROR(IF(VALUE(MID($C3631,2,20))&lt;100000000,VALUE(MID($C3631,2,20)),1000000000),1000000000))+ROW()/100000,"")</f>
        <v/>
      </c>
    </row>
    <row r="3632">
      <c r="E3632" s="11" t="n"/>
      <c r="M3632" s="7">
        <f>IF($C3632="","",L3632*U3632/100)</f>
        <v/>
      </c>
      <c r="N3632" s="7" t="n"/>
      <c r="T3632" s="7" t="n"/>
      <c r="U3632" s="7">
        <f>IF($C3632="","",S3632*T3632)</f>
        <v/>
      </c>
      <c r="X3632">
        <f>IF($C3632="","",IF($AM3632=1,0,IF($AL3632=1,Settings!$C$6,Settings!$C$7))*100)</f>
        <v/>
      </c>
      <c r="AB3632" s="7" t="n"/>
      <c r="AE3632" s="11" t="n"/>
      <c r="AG3632" s="7">
        <f>IF($C3632="","",U3632*X3632/100)</f>
        <v/>
      </c>
      <c r="AH3632" s="7">
        <f>IF($C3632="","",U3632-AG3632)</f>
        <v/>
      </c>
      <c r="AI3632" s="7">
        <f>IF($C3632="","",AH3632-M3632)</f>
        <v/>
      </c>
      <c r="AJ3632">
        <f>IF($C3632="","",IF(COUNTIF($C$2:$C3632,$C3632)=1,1,0))</f>
        <v/>
      </c>
      <c r="AK3632">
        <f>IF($AJ3632=1,SUMPRODUCT(--($AN$2:$AN$4001&lt;$AN3632))+1,"")</f>
        <v/>
      </c>
      <c r="AL3632">
        <f>IF($C3632="","",IF(OR($Q3632=TRUE(),$Q3632="TRUE"),1,0))</f>
        <v/>
      </c>
      <c r="AM3632">
        <f>IF($C3632="","",IF($W3632="Yes",1,0))</f>
        <v/>
      </c>
      <c r="AN3632">
        <f>IF($AJ3632=1,IFERROR(IF(VALUE($C3632)&lt;100000000,VALUE($C3632),1000000000),IFERROR(IF(VALUE(MID($C3632,2,20))&lt;100000000,VALUE(MID($C3632,2,20)),1000000000),1000000000))+ROW()/100000,"")</f>
        <v/>
      </c>
    </row>
    <row r="3633">
      <c r="E3633" s="11" t="n"/>
      <c r="M3633" s="7">
        <f>IF($C3633="","",L3633*U3633/100)</f>
        <v/>
      </c>
      <c r="N3633" s="7" t="n"/>
      <c r="T3633" s="7" t="n"/>
      <c r="U3633" s="7">
        <f>IF($C3633="","",S3633*T3633)</f>
        <v/>
      </c>
      <c r="X3633">
        <f>IF($C3633="","",IF($AM3633=1,0,IF($AL3633=1,Settings!$C$6,Settings!$C$7))*100)</f>
        <v/>
      </c>
      <c r="AB3633" s="7" t="n"/>
      <c r="AE3633" s="11" t="n"/>
      <c r="AG3633" s="7">
        <f>IF($C3633="","",U3633*X3633/100)</f>
        <v/>
      </c>
      <c r="AH3633" s="7">
        <f>IF($C3633="","",U3633-AG3633)</f>
        <v/>
      </c>
      <c r="AI3633" s="7">
        <f>IF($C3633="","",AH3633-M3633)</f>
        <v/>
      </c>
      <c r="AJ3633">
        <f>IF($C3633="","",IF(COUNTIF($C$2:$C3633,$C3633)=1,1,0))</f>
        <v/>
      </c>
      <c r="AK3633">
        <f>IF($AJ3633=1,SUMPRODUCT(--($AN$2:$AN$4001&lt;$AN3633))+1,"")</f>
        <v/>
      </c>
      <c r="AL3633">
        <f>IF($C3633="","",IF(OR($Q3633=TRUE(),$Q3633="TRUE"),1,0))</f>
        <v/>
      </c>
      <c r="AM3633">
        <f>IF($C3633="","",IF($W3633="Yes",1,0))</f>
        <v/>
      </c>
      <c r="AN3633">
        <f>IF($AJ3633=1,IFERROR(IF(VALUE($C3633)&lt;100000000,VALUE($C3633),1000000000),IFERROR(IF(VALUE(MID($C3633,2,20))&lt;100000000,VALUE(MID($C3633,2,20)),1000000000),1000000000))+ROW()/100000,"")</f>
        <v/>
      </c>
    </row>
    <row r="3634">
      <c r="E3634" s="11" t="n"/>
      <c r="M3634" s="7">
        <f>IF($C3634="","",L3634*U3634/100)</f>
        <v/>
      </c>
      <c r="N3634" s="7" t="n"/>
      <c r="T3634" s="7" t="n"/>
      <c r="U3634" s="7">
        <f>IF($C3634="","",S3634*T3634)</f>
        <v/>
      </c>
      <c r="X3634">
        <f>IF($C3634="","",IF($AM3634=1,0,IF($AL3634=1,Settings!$C$6,Settings!$C$7))*100)</f>
        <v/>
      </c>
      <c r="AB3634" s="7" t="n"/>
      <c r="AE3634" s="11" t="n"/>
      <c r="AG3634" s="7">
        <f>IF($C3634="","",U3634*X3634/100)</f>
        <v/>
      </c>
      <c r="AH3634" s="7">
        <f>IF($C3634="","",U3634-AG3634)</f>
        <v/>
      </c>
      <c r="AI3634" s="7">
        <f>IF($C3634="","",AH3634-M3634)</f>
        <v/>
      </c>
      <c r="AJ3634">
        <f>IF($C3634="","",IF(COUNTIF($C$2:$C3634,$C3634)=1,1,0))</f>
        <v/>
      </c>
      <c r="AK3634">
        <f>IF($AJ3634=1,SUMPRODUCT(--($AN$2:$AN$4001&lt;$AN3634))+1,"")</f>
        <v/>
      </c>
      <c r="AL3634">
        <f>IF($C3634="","",IF(OR($Q3634=TRUE(),$Q3634="TRUE"),1,0))</f>
        <v/>
      </c>
      <c r="AM3634">
        <f>IF($C3634="","",IF($W3634="Yes",1,0))</f>
        <v/>
      </c>
      <c r="AN3634">
        <f>IF($AJ3634=1,IFERROR(IF(VALUE($C3634)&lt;100000000,VALUE($C3634),1000000000),IFERROR(IF(VALUE(MID($C3634,2,20))&lt;100000000,VALUE(MID($C3634,2,20)),1000000000),1000000000))+ROW()/100000,"")</f>
        <v/>
      </c>
    </row>
    <row r="3635">
      <c r="E3635" s="11" t="n"/>
      <c r="M3635" s="7">
        <f>IF($C3635="","",L3635*U3635/100)</f>
        <v/>
      </c>
      <c r="N3635" s="7" t="n"/>
      <c r="T3635" s="7" t="n"/>
      <c r="U3635" s="7">
        <f>IF($C3635="","",S3635*T3635)</f>
        <v/>
      </c>
      <c r="X3635">
        <f>IF($C3635="","",IF($AM3635=1,0,IF($AL3635=1,Settings!$C$6,Settings!$C$7))*100)</f>
        <v/>
      </c>
      <c r="AB3635" s="7" t="n"/>
      <c r="AE3635" s="11" t="n"/>
      <c r="AG3635" s="7">
        <f>IF($C3635="","",U3635*X3635/100)</f>
        <v/>
      </c>
      <c r="AH3635" s="7">
        <f>IF($C3635="","",U3635-AG3635)</f>
        <v/>
      </c>
      <c r="AI3635" s="7">
        <f>IF($C3635="","",AH3635-M3635)</f>
        <v/>
      </c>
      <c r="AJ3635">
        <f>IF($C3635="","",IF(COUNTIF($C$2:$C3635,$C3635)=1,1,0))</f>
        <v/>
      </c>
      <c r="AK3635">
        <f>IF($AJ3635=1,SUMPRODUCT(--($AN$2:$AN$4001&lt;$AN3635))+1,"")</f>
        <v/>
      </c>
      <c r="AL3635">
        <f>IF($C3635="","",IF(OR($Q3635=TRUE(),$Q3635="TRUE"),1,0))</f>
        <v/>
      </c>
      <c r="AM3635">
        <f>IF($C3635="","",IF($W3635="Yes",1,0))</f>
        <v/>
      </c>
      <c r="AN3635">
        <f>IF($AJ3635=1,IFERROR(IF(VALUE($C3635)&lt;100000000,VALUE($C3635),1000000000),IFERROR(IF(VALUE(MID($C3635,2,20))&lt;100000000,VALUE(MID($C3635,2,20)),1000000000),1000000000))+ROW()/100000,"")</f>
        <v/>
      </c>
    </row>
    <row r="3636">
      <c r="E3636" s="11" t="n"/>
      <c r="M3636" s="7">
        <f>IF($C3636="","",L3636*U3636/100)</f>
        <v/>
      </c>
      <c r="N3636" s="7" t="n"/>
      <c r="T3636" s="7" t="n"/>
      <c r="U3636" s="7">
        <f>IF($C3636="","",S3636*T3636)</f>
        <v/>
      </c>
      <c r="X3636">
        <f>IF($C3636="","",IF($AM3636=1,0,IF($AL3636=1,Settings!$C$6,Settings!$C$7))*100)</f>
        <v/>
      </c>
      <c r="AB3636" s="7" t="n"/>
      <c r="AE3636" s="11" t="n"/>
      <c r="AG3636" s="7">
        <f>IF($C3636="","",U3636*X3636/100)</f>
        <v/>
      </c>
      <c r="AH3636" s="7">
        <f>IF($C3636="","",U3636-AG3636)</f>
        <v/>
      </c>
      <c r="AI3636" s="7">
        <f>IF($C3636="","",AH3636-M3636)</f>
        <v/>
      </c>
      <c r="AJ3636">
        <f>IF($C3636="","",IF(COUNTIF($C$2:$C3636,$C3636)=1,1,0))</f>
        <v/>
      </c>
      <c r="AK3636">
        <f>IF($AJ3636=1,SUMPRODUCT(--($AN$2:$AN$4001&lt;$AN3636))+1,"")</f>
        <v/>
      </c>
      <c r="AL3636">
        <f>IF($C3636="","",IF(OR($Q3636=TRUE(),$Q3636="TRUE"),1,0))</f>
        <v/>
      </c>
      <c r="AM3636">
        <f>IF($C3636="","",IF($W3636="Yes",1,0))</f>
        <v/>
      </c>
      <c r="AN3636">
        <f>IF($AJ3636=1,IFERROR(IF(VALUE($C3636)&lt;100000000,VALUE($C3636),1000000000),IFERROR(IF(VALUE(MID($C3636,2,20))&lt;100000000,VALUE(MID($C3636,2,20)),1000000000),1000000000))+ROW()/100000,"")</f>
        <v/>
      </c>
    </row>
    <row r="3637">
      <c r="E3637" s="11" t="n"/>
      <c r="M3637" s="7">
        <f>IF($C3637="","",L3637*U3637/100)</f>
        <v/>
      </c>
      <c r="N3637" s="7" t="n"/>
      <c r="T3637" s="7" t="n"/>
      <c r="U3637" s="7">
        <f>IF($C3637="","",S3637*T3637)</f>
        <v/>
      </c>
      <c r="X3637">
        <f>IF($C3637="","",IF($AM3637=1,0,IF($AL3637=1,Settings!$C$6,Settings!$C$7))*100)</f>
        <v/>
      </c>
      <c r="AB3637" s="7" t="n"/>
      <c r="AE3637" s="11" t="n"/>
      <c r="AG3637" s="7">
        <f>IF($C3637="","",U3637*X3637/100)</f>
        <v/>
      </c>
      <c r="AH3637" s="7">
        <f>IF($C3637="","",U3637-AG3637)</f>
        <v/>
      </c>
      <c r="AI3637" s="7">
        <f>IF($C3637="","",AH3637-M3637)</f>
        <v/>
      </c>
      <c r="AJ3637">
        <f>IF($C3637="","",IF(COUNTIF($C$2:$C3637,$C3637)=1,1,0))</f>
        <v/>
      </c>
      <c r="AK3637">
        <f>IF($AJ3637=1,SUMPRODUCT(--($AN$2:$AN$4001&lt;$AN3637))+1,"")</f>
        <v/>
      </c>
      <c r="AL3637">
        <f>IF($C3637="","",IF(OR($Q3637=TRUE(),$Q3637="TRUE"),1,0))</f>
        <v/>
      </c>
      <c r="AM3637">
        <f>IF($C3637="","",IF($W3637="Yes",1,0))</f>
        <v/>
      </c>
      <c r="AN3637">
        <f>IF($AJ3637=1,IFERROR(IF(VALUE($C3637)&lt;100000000,VALUE($C3637),1000000000),IFERROR(IF(VALUE(MID($C3637,2,20))&lt;100000000,VALUE(MID($C3637,2,20)),1000000000),1000000000))+ROW()/100000,"")</f>
        <v/>
      </c>
    </row>
    <row r="3638">
      <c r="E3638" s="11" t="n"/>
      <c r="M3638" s="7">
        <f>IF($C3638="","",L3638*U3638/100)</f>
        <v/>
      </c>
      <c r="N3638" s="7" t="n"/>
      <c r="T3638" s="7" t="n"/>
      <c r="U3638" s="7">
        <f>IF($C3638="","",S3638*T3638)</f>
        <v/>
      </c>
      <c r="X3638">
        <f>IF($C3638="","",IF($AM3638=1,0,IF($AL3638=1,Settings!$C$6,Settings!$C$7))*100)</f>
        <v/>
      </c>
      <c r="AB3638" s="7" t="n"/>
      <c r="AE3638" s="11" t="n"/>
      <c r="AG3638" s="7">
        <f>IF($C3638="","",U3638*X3638/100)</f>
        <v/>
      </c>
      <c r="AH3638" s="7">
        <f>IF($C3638="","",U3638-AG3638)</f>
        <v/>
      </c>
      <c r="AI3638" s="7">
        <f>IF($C3638="","",AH3638-M3638)</f>
        <v/>
      </c>
      <c r="AJ3638">
        <f>IF($C3638="","",IF(COUNTIF($C$2:$C3638,$C3638)=1,1,0))</f>
        <v/>
      </c>
      <c r="AK3638">
        <f>IF($AJ3638=1,SUMPRODUCT(--($AN$2:$AN$4001&lt;$AN3638))+1,"")</f>
        <v/>
      </c>
      <c r="AL3638">
        <f>IF($C3638="","",IF(OR($Q3638=TRUE(),$Q3638="TRUE"),1,0))</f>
        <v/>
      </c>
      <c r="AM3638">
        <f>IF($C3638="","",IF($W3638="Yes",1,0))</f>
        <v/>
      </c>
      <c r="AN3638">
        <f>IF($AJ3638=1,IFERROR(IF(VALUE($C3638)&lt;100000000,VALUE($C3638),1000000000),IFERROR(IF(VALUE(MID($C3638,2,20))&lt;100000000,VALUE(MID($C3638,2,20)),1000000000),1000000000))+ROW()/100000,"")</f>
        <v/>
      </c>
    </row>
    <row r="3639">
      <c r="E3639" s="11" t="n"/>
      <c r="M3639" s="7">
        <f>IF($C3639="","",L3639*U3639/100)</f>
        <v/>
      </c>
      <c r="N3639" s="7" t="n"/>
      <c r="T3639" s="7" t="n"/>
      <c r="U3639" s="7">
        <f>IF($C3639="","",S3639*T3639)</f>
        <v/>
      </c>
      <c r="X3639">
        <f>IF($C3639="","",IF($AM3639=1,0,IF($AL3639=1,Settings!$C$6,Settings!$C$7))*100)</f>
        <v/>
      </c>
      <c r="AB3639" s="7" t="n"/>
      <c r="AE3639" s="11" t="n"/>
      <c r="AG3639" s="7">
        <f>IF($C3639="","",U3639*X3639/100)</f>
        <v/>
      </c>
      <c r="AH3639" s="7">
        <f>IF($C3639="","",U3639-AG3639)</f>
        <v/>
      </c>
      <c r="AI3639" s="7">
        <f>IF($C3639="","",AH3639-M3639)</f>
        <v/>
      </c>
      <c r="AJ3639">
        <f>IF($C3639="","",IF(COUNTIF($C$2:$C3639,$C3639)=1,1,0))</f>
        <v/>
      </c>
      <c r="AK3639">
        <f>IF($AJ3639=1,SUMPRODUCT(--($AN$2:$AN$4001&lt;$AN3639))+1,"")</f>
        <v/>
      </c>
      <c r="AL3639">
        <f>IF($C3639="","",IF(OR($Q3639=TRUE(),$Q3639="TRUE"),1,0))</f>
        <v/>
      </c>
      <c r="AM3639">
        <f>IF($C3639="","",IF($W3639="Yes",1,0))</f>
        <v/>
      </c>
      <c r="AN3639">
        <f>IF($AJ3639=1,IFERROR(IF(VALUE($C3639)&lt;100000000,VALUE($C3639),1000000000),IFERROR(IF(VALUE(MID($C3639,2,20))&lt;100000000,VALUE(MID($C3639,2,20)),1000000000),1000000000))+ROW()/100000,"")</f>
        <v/>
      </c>
    </row>
    <row r="3640">
      <c r="E3640" s="11" t="n"/>
      <c r="M3640" s="7">
        <f>IF($C3640="","",L3640*U3640/100)</f>
        <v/>
      </c>
      <c r="N3640" s="7" t="n"/>
      <c r="T3640" s="7" t="n"/>
      <c r="U3640" s="7">
        <f>IF($C3640="","",S3640*T3640)</f>
        <v/>
      </c>
      <c r="X3640">
        <f>IF($C3640="","",IF($AM3640=1,0,IF($AL3640=1,Settings!$C$6,Settings!$C$7))*100)</f>
        <v/>
      </c>
      <c r="AB3640" s="7" t="n"/>
      <c r="AE3640" s="11" t="n"/>
      <c r="AG3640" s="7">
        <f>IF($C3640="","",U3640*X3640/100)</f>
        <v/>
      </c>
      <c r="AH3640" s="7">
        <f>IF($C3640="","",U3640-AG3640)</f>
        <v/>
      </c>
      <c r="AI3640" s="7">
        <f>IF($C3640="","",AH3640-M3640)</f>
        <v/>
      </c>
      <c r="AJ3640">
        <f>IF($C3640="","",IF(COUNTIF($C$2:$C3640,$C3640)=1,1,0))</f>
        <v/>
      </c>
      <c r="AK3640">
        <f>IF($AJ3640=1,SUMPRODUCT(--($AN$2:$AN$4001&lt;$AN3640))+1,"")</f>
        <v/>
      </c>
      <c r="AL3640">
        <f>IF($C3640="","",IF(OR($Q3640=TRUE(),$Q3640="TRUE"),1,0))</f>
        <v/>
      </c>
      <c r="AM3640">
        <f>IF($C3640="","",IF($W3640="Yes",1,0))</f>
        <v/>
      </c>
      <c r="AN3640">
        <f>IF($AJ3640=1,IFERROR(IF(VALUE($C3640)&lt;100000000,VALUE($C3640),1000000000),IFERROR(IF(VALUE(MID($C3640,2,20))&lt;100000000,VALUE(MID($C3640,2,20)),1000000000),1000000000))+ROW()/100000,"")</f>
        <v/>
      </c>
    </row>
    <row r="3641">
      <c r="E3641" s="11" t="n"/>
      <c r="M3641" s="7">
        <f>IF($C3641="","",L3641*U3641/100)</f>
        <v/>
      </c>
      <c r="N3641" s="7" t="n"/>
      <c r="T3641" s="7" t="n"/>
      <c r="U3641" s="7">
        <f>IF($C3641="","",S3641*T3641)</f>
        <v/>
      </c>
      <c r="X3641">
        <f>IF($C3641="","",IF($AM3641=1,0,IF($AL3641=1,Settings!$C$6,Settings!$C$7))*100)</f>
        <v/>
      </c>
      <c r="AB3641" s="7" t="n"/>
      <c r="AE3641" s="11" t="n"/>
      <c r="AG3641" s="7">
        <f>IF($C3641="","",U3641*X3641/100)</f>
        <v/>
      </c>
      <c r="AH3641" s="7">
        <f>IF($C3641="","",U3641-AG3641)</f>
        <v/>
      </c>
      <c r="AI3641" s="7">
        <f>IF($C3641="","",AH3641-M3641)</f>
        <v/>
      </c>
      <c r="AJ3641">
        <f>IF($C3641="","",IF(COUNTIF($C$2:$C3641,$C3641)=1,1,0))</f>
        <v/>
      </c>
      <c r="AK3641">
        <f>IF($AJ3641=1,SUMPRODUCT(--($AN$2:$AN$4001&lt;$AN3641))+1,"")</f>
        <v/>
      </c>
      <c r="AL3641">
        <f>IF($C3641="","",IF(OR($Q3641=TRUE(),$Q3641="TRUE"),1,0))</f>
        <v/>
      </c>
      <c r="AM3641">
        <f>IF($C3641="","",IF($W3641="Yes",1,0))</f>
        <v/>
      </c>
      <c r="AN3641">
        <f>IF($AJ3641=1,IFERROR(IF(VALUE($C3641)&lt;100000000,VALUE($C3641),1000000000),IFERROR(IF(VALUE(MID($C3641,2,20))&lt;100000000,VALUE(MID($C3641,2,20)),1000000000),1000000000))+ROW()/100000,"")</f>
        <v/>
      </c>
    </row>
    <row r="3642">
      <c r="E3642" s="11" t="n"/>
      <c r="M3642" s="7">
        <f>IF($C3642="","",L3642*U3642/100)</f>
        <v/>
      </c>
      <c r="N3642" s="7" t="n"/>
      <c r="T3642" s="7" t="n"/>
      <c r="U3642" s="7">
        <f>IF($C3642="","",S3642*T3642)</f>
        <v/>
      </c>
      <c r="X3642">
        <f>IF($C3642="","",IF($AM3642=1,0,IF($AL3642=1,Settings!$C$6,Settings!$C$7))*100)</f>
        <v/>
      </c>
      <c r="AB3642" s="7" t="n"/>
      <c r="AE3642" s="11" t="n"/>
      <c r="AG3642" s="7">
        <f>IF($C3642="","",U3642*X3642/100)</f>
        <v/>
      </c>
      <c r="AH3642" s="7">
        <f>IF($C3642="","",U3642-AG3642)</f>
        <v/>
      </c>
      <c r="AI3642" s="7">
        <f>IF($C3642="","",AH3642-M3642)</f>
        <v/>
      </c>
      <c r="AJ3642">
        <f>IF($C3642="","",IF(COUNTIF($C$2:$C3642,$C3642)=1,1,0))</f>
        <v/>
      </c>
      <c r="AK3642">
        <f>IF($AJ3642=1,SUMPRODUCT(--($AN$2:$AN$4001&lt;$AN3642))+1,"")</f>
        <v/>
      </c>
      <c r="AL3642">
        <f>IF($C3642="","",IF(OR($Q3642=TRUE(),$Q3642="TRUE"),1,0))</f>
        <v/>
      </c>
      <c r="AM3642">
        <f>IF($C3642="","",IF($W3642="Yes",1,0))</f>
        <v/>
      </c>
      <c r="AN3642">
        <f>IF($AJ3642=1,IFERROR(IF(VALUE($C3642)&lt;100000000,VALUE($C3642),1000000000),IFERROR(IF(VALUE(MID($C3642,2,20))&lt;100000000,VALUE(MID($C3642,2,20)),1000000000),1000000000))+ROW()/100000,"")</f>
        <v/>
      </c>
    </row>
    <row r="3643">
      <c r="E3643" s="11" t="n"/>
      <c r="M3643" s="7">
        <f>IF($C3643="","",L3643*U3643/100)</f>
        <v/>
      </c>
      <c r="N3643" s="7" t="n"/>
      <c r="T3643" s="7" t="n"/>
      <c r="U3643" s="7">
        <f>IF($C3643="","",S3643*T3643)</f>
        <v/>
      </c>
      <c r="X3643">
        <f>IF($C3643="","",IF($AM3643=1,0,IF($AL3643=1,Settings!$C$6,Settings!$C$7))*100)</f>
        <v/>
      </c>
      <c r="AB3643" s="7" t="n"/>
      <c r="AE3643" s="11" t="n"/>
      <c r="AG3643" s="7">
        <f>IF($C3643="","",U3643*X3643/100)</f>
        <v/>
      </c>
      <c r="AH3643" s="7">
        <f>IF($C3643="","",U3643-AG3643)</f>
        <v/>
      </c>
      <c r="AI3643" s="7">
        <f>IF($C3643="","",AH3643-M3643)</f>
        <v/>
      </c>
      <c r="AJ3643">
        <f>IF($C3643="","",IF(COUNTIF($C$2:$C3643,$C3643)=1,1,0))</f>
        <v/>
      </c>
      <c r="AK3643">
        <f>IF($AJ3643=1,SUMPRODUCT(--($AN$2:$AN$4001&lt;$AN3643))+1,"")</f>
        <v/>
      </c>
      <c r="AL3643">
        <f>IF($C3643="","",IF(OR($Q3643=TRUE(),$Q3643="TRUE"),1,0))</f>
        <v/>
      </c>
      <c r="AM3643">
        <f>IF($C3643="","",IF($W3643="Yes",1,0))</f>
        <v/>
      </c>
      <c r="AN3643">
        <f>IF($AJ3643=1,IFERROR(IF(VALUE($C3643)&lt;100000000,VALUE($C3643),1000000000),IFERROR(IF(VALUE(MID($C3643,2,20))&lt;100000000,VALUE(MID($C3643,2,20)),1000000000),1000000000))+ROW()/100000,"")</f>
        <v/>
      </c>
    </row>
    <row r="3644">
      <c r="E3644" s="11" t="n"/>
      <c r="M3644" s="7">
        <f>IF($C3644="","",L3644*U3644/100)</f>
        <v/>
      </c>
      <c r="N3644" s="7" t="n"/>
      <c r="T3644" s="7" t="n"/>
      <c r="U3644" s="7">
        <f>IF($C3644="","",S3644*T3644)</f>
        <v/>
      </c>
      <c r="X3644">
        <f>IF($C3644="","",IF($AM3644=1,0,IF($AL3644=1,Settings!$C$6,Settings!$C$7))*100)</f>
        <v/>
      </c>
      <c r="AB3644" s="7" t="n"/>
      <c r="AE3644" s="11" t="n"/>
      <c r="AG3644" s="7">
        <f>IF($C3644="","",U3644*X3644/100)</f>
        <v/>
      </c>
      <c r="AH3644" s="7">
        <f>IF($C3644="","",U3644-AG3644)</f>
        <v/>
      </c>
      <c r="AI3644" s="7">
        <f>IF($C3644="","",AH3644-M3644)</f>
        <v/>
      </c>
      <c r="AJ3644">
        <f>IF($C3644="","",IF(COUNTIF($C$2:$C3644,$C3644)=1,1,0))</f>
        <v/>
      </c>
      <c r="AK3644">
        <f>IF($AJ3644=1,SUMPRODUCT(--($AN$2:$AN$4001&lt;$AN3644))+1,"")</f>
        <v/>
      </c>
      <c r="AL3644">
        <f>IF($C3644="","",IF(OR($Q3644=TRUE(),$Q3644="TRUE"),1,0))</f>
        <v/>
      </c>
      <c r="AM3644">
        <f>IF($C3644="","",IF($W3644="Yes",1,0))</f>
        <v/>
      </c>
      <c r="AN3644">
        <f>IF($AJ3644=1,IFERROR(IF(VALUE($C3644)&lt;100000000,VALUE($C3644),1000000000),IFERROR(IF(VALUE(MID($C3644,2,20))&lt;100000000,VALUE(MID($C3644,2,20)),1000000000),1000000000))+ROW()/100000,"")</f>
        <v/>
      </c>
    </row>
    <row r="3645">
      <c r="E3645" s="11" t="n"/>
      <c r="M3645" s="7">
        <f>IF($C3645="","",L3645*U3645/100)</f>
        <v/>
      </c>
      <c r="N3645" s="7" t="n"/>
      <c r="T3645" s="7" t="n"/>
      <c r="U3645" s="7">
        <f>IF($C3645="","",S3645*T3645)</f>
        <v/>
      </c>
      <c r="X3645">
        <f>IF($C3645="","",IF($AM3645=1,0,IF($AL3645=1,Settings!$C$6,Settings!$C$7))*100)</f>
        <v/>
      </c>
      <c r="AB3645" s="7" t="n"/>
      <c r="AE3645" s="11" t="n"/>
      <c r="AG3645" s="7">
        <f>IF($C3645="","",U3645*X3645/100)</f>
        <v/>
      </c>
      <c r="AH3645" s="7">
        <f>IF($C3645="","",U3645-AG3645)</f>
        <v/>
      </c>
      <c r="AI3645" s="7">
        <f>IF($C3645="","",AH3645-M3645)</f>
        <v/>
      </c>
      <c r="AJ3645">
        <f>IF($C3645="","",IF(COUNTIF($C$2:$C3645,$C3645)=1,1,0))</f>
        <v/>
      </c>
      <c r="AK3645">
        <f>IF($AJ3645=1,SUMPRODUCT(--($AN$2:$AN$4001&lt;$AN3645))+1,"")</f>
        <v/>
      </c>
      <c r="AL3645">
        <f>IF($C3645="","",IF(OR($Q3645=TRUE(),$Q3645="TRUE"),1,0))</f>
        <v/>
      </c>
      <c r="AM3645">
        <f>IF($C3645="","",IF($W3645="Yes",1,0))</f>
        <v/>
      </c>
      <c r="AN3645">
        <f>IF($AJ3645=1,IFERROR(IF(VALUE($C3645)&lt;100000000,VALUE($C3645),1000000000),IFERROR(IF(VALUE(MID($C3645,2,20))&lt;100000000,VALUE(MID($C3645,2,20)),1000000000),1000000000))+ROW()/100000,"")</f>
        <v/>
      </c>
    </row>
    <row r="3646">
      <c r="E3646" s="11" t="n"/>
      <c r="M3646" s="7">
        <f>IF($C3646="","",L3646*U3646/100)</f>
        <v/>
      </c>
      <c r="N3646" s="7" t="n"/>
      <c r="T3646" s="7" t="n"/>
      <c r="U3646" s="7">
        <f>IF($C3646="","",S3646*T3646)</f>
        <v/>
      </c>
      <c r="X3646">
        <f>IF($C3646="","",IF($AM3646=1,0,IF($AL3646=1,Settings!$C$6,Settings!$C$7))*100)</f>
        <v/>
      </c>
      <c r="AB3646" s="7" t="n"/>
      <c r="AE3646" s="11" t="n"/>
      <c r="AG3646" s="7">
        <f>IF($C3646="","",U3646*X3646/100)</f>
        <v/>
      </c>
      <c r="AH3646" s="7">
        <f>IF($C3646="","",U3646-AG3646)</f>
        <v/>
      </c>
      <c r="AI3646" s="7">
        <f>IF($C3646="","",AH3646-M3646)</f>
        <v/>
      </c>
      <c r="AJ3646">
        <f>IF($C3646="","",IF(COUNTIF($C$2:$C3646,$C3646)=1,1,0))</f>
        <v/>
      </c>
      <c r="AK3646">
        <f>IF($AJ3646=1,SUMPRODUCT(--($AN$2:$AN$4001&lt;$AN3646))+1,"")</f>
        <v/>
      </c>
      <c r="AL3646">
        <f>IF($C3646="","",IF(OR($Q3646=TRUE(),$Q3646="TRUE"),1,0))</f>
        <v/>
      </c>
      <c r="AM3646">
        <f>IF($C3646="","",IF($W3646="Yes",1,0))</f>
        <v/>
      </c>
      <c r="AN3646">
        <f>IF($AJ3646=1,IFERROR(IF(VALUE($C3646)&lt;100000000,VALUE($C3646),1000000000),IFERROR(IF(VALUE(MID($C3646,2,20))&lt;100000000,VALUE(MID($C3646,2,20)),1000000000),1000000000))+ROW()/100000,"")</f>
        <v/>
      </c>
    </row>
    <row r="3647">
      <c r="E3647" s="11" t="n"/>
      <c r="M3647" s="7">
        <f>IF($C3647="","",L3647*U3647/100)</f>
        <v/>
      </c>
      <c r="N3647" s="7" t="n"/>
      <c r="T3647" s="7" t="n"/>
      <c r="U3647" s="7">
        <f>IF($C3647="","",S3647*T3647)</f>
        <v/>
      </c>
      <c r="X3647">
        <f>IF($C3647="","",IF($AM3647=1,0,IF($AL3647=1,Settings!$C$6,Settings!$C$7))*100)</f>
        <v/>
      </c>
      <c r="AB3647" s="7" t="n"/>
      <c r="AE3647" s="11" t="n"/>
      <c r="AG3647" s="7">
        <f>IF($C3647="","",U3647*X3647/100)</f>
        <v/>
      </c>
      <c r="AH3647" s="7">
        <f>IF($C3647="","",U3647-AG3647)</f>
        <v/>
      </c>
      <c r="AI3647" s="7">
        <f>IF($C3647="","",AH3647-M3647)</f>
        <v/>
      </c>
      <c r="AJ3647">
        <f>IF($C3647="","",IF(COUNTIF($C$2:$C3647,$C3647)=1,1,0))</f>
        <v/>
      </c>
      <c r="AK3647">
        <f>IF($AJ3647=1,SUMPRODUCT(--($AN$2:$AN$4001&lt;$AN3647))+1,"")</f>
        <v/>
      </c>
      <c r="AL3647">
        <f>IF($C3647="","",IF(OR($Q3647=TRUE(),$Q3647="TRUE"),1,0))</f>
        <v/>
      </c>
      <c r="AM3647">
        <f>IF($C3647="","",IF($W3647="Yes",1,0))</f>
        <v/>
      </c>
      <c r="AN3647">
        <f>IF($AJ3647=1,IFERROR(IF(VALUE($C3647)&lt;100000000,VALUE($C3647),1000000000),IFERROR(IF(VALUE(MID($C3647,2,20))&lt;100000000,VALUE(MID($C3647,2,20)),1000000000),1000000000))+ROW()/100000,"")</f>
        <v/>
      </c>
    </row>
    <row r="3648">
      <c r="E3648" s="11" t="n"/>
      <c r="M3648" s="7">
        <f>IF($C3648="","",L3648*U3648/100)</f>
        <v/>
      </c>
      <c r="N3648" s="7" t="n"/>
      <c r="T3648" s="7" t="n"/>
      <c r="U3648" s="7">
        <f>IF($C3648="","",S3648*T3648)</f>
        <v/>
      </c>
      <c r="X3648">
        <f>IF($C3648="","",IF($AM3648=1,0,IF($AL3648=1,Settings!$C$6,Settings!$C$7))*100)</f>
        <v/>
      </c>
      <c r="AB3648" s="7" t="n"/>
      <c r="AE3648" s="11" t="n"/>
      <c r="AG3648" s="7">
        <f>IF($C3648="","",U3648*X3648/100)</f>
        <v/>
      </c>
      <c r="AH3648" s="7">
        <f>IF($C3648="","",U3648-AG3648)</f>
        <v/>
      </c>
      <c r="AI3648" s="7">
        <f>IF($C3648="","",AH3648-M3648)</f>
        <v/>
      </c>
      <c r="AJ3648">
        <f>IF($C3648="","",IF(COUNTIF($C$2:$C3648,$C3648)=1,1,0))</f>
        <v/>
      </c>
      <c r="AK3648">
        <f>IF($AJ3648=1,SUMPRODUCT(--($AN$2:$AN$4001&lt;$AN3648))+1,"")</f>
        <v/>
      </c>
      <c r="AL3648">
        <f>IF($C3648="","",IF(OR($Q3648=TRUE(),$Q3648="TRUE"),1,0))</f>
        <v/>
      </c>
      <c r="AM3648">
        <f>IF($C3648="","",IF($W3648="Yes",1,0))</f>
        <v/>
      </c>
      <c r="AN3648">
        <f>IF($AJ3648=1,IFERROR(IF(VALUE($C3648)&lt;100000000,VALUE($C3648),1000000000),IFERROR(IF(VALUE(MID($C3648,2,20))&lt;100000000,VALUE(MID($C3648,2,20)),1000000000),1000000000))+ROW()/100000,"")</f>
        <v/>
      </c>
    </row>
    <row r="3649">
      <c r="E3649" s="11" t="n"/>
      <c r="M3649" s="7">
        <f>IF($C3649="","",L3649*U3649/100)</f>
        <v/>
      </c>
      <c r="N3649" s="7" t="n"/>
      <c r="T3649" s="7" t="n"/>
      <c r="U3649" s="7">
        <f>IF($C3649="","",S3649*T3649)</f>
        <v/>
      </c>
      <c r="X3649">
        <f>IF($C3649="","",IF($AM3649=1,0,IF($AL3649=1,Settings!$C$6,Settings!$C$7))*100)</f>
        <v/>
      </c>
      <c r="AB3649" s="7" t="n"/>
      <c r="AE3649" s="11" t="n"/>
      <c r="AG3649" s="7">
        <f>IF($C3649="","",U3649*X3649/100)</f>
        <v/>
      </c>
      <c r="AH3649" s="7">
        <f>IF($C3649="","",U3649-AG3649)</f>
        <v/>
      </c>
      <c r="AI3649" s="7">
        <f>IF($C3649="","",AH3649-M3649)</f>
        <v/>
      </c>
      <c r="AJ3649">
        <f>IF($C3649="","",IF(COUNTIF($C$2:$C3649,$C3649)=1,1,0))</f>
        <v/>
      </c>
      <c r="AK3649">
        <f>IF($AJ3649=1,SUMPRODUCT(--($AN$2:$AN$4001&lt;$AN3649))+1,"")</f>
        <v/>
      </c>
      <c r="AL3649">
        <f>IF($C3649="","",IF(OR($Q3649=TRUE(),$Q3649="TRUE"),1,0))</f>
        <v/>
      </c>
      <c r="AM3649">
        <f>IF($C3649="","",IF($W3649="Yes",1,0))</f>
        <v/>
      </c>
      <c r="AN3649">
        <f>IF($AJ3649=1,IFERROR(IF(VALUE($C3649)&lt;100000000,VALUE($C3649),1000000000),IFERROR(IF(VALUE(MID($C3649,2,20))&lt;100000000,VALUE(MID($C3649,2,20)),1000000000),1000000000))+ROW()/100000,"")</f>
        <v/>
      </c>
    </row>
    <row r="3650">
      <c r="E3650" s="11" t="n"/>
      <c r="M3650" s="7">
        <f>IF($C3650="","",L3650*U3650/100)</f>
        <v/>
      </c>
      <c r="N3650" s="7" t="n"/>
      <c r="T3650" s="7" t="n"/>
      <c r="U3650" s="7">
        <f>IF($C3650="","",S3650*T3650)</f>
        <v/>
      </c>
      <c r="X3650">
        <f>IF($C3650="","",IF($AM3650=1,0,IF($AL3650=1,Settings!$C$6,Settings!$C$7))*100)</f>
        <v/>
      </c>
      <c r="AB3650" s="7" t="n"/>
      <c r="AE3650" s="11" t="n"/>
      <c r="AG3650" s="7">
        <f>IF($C3650="","",U3650*X3650/100)</f>
        <v/>
      </c>
      <c r="AH3650" s="7">
        <f>IF($C3650="","",U3650-AG3650)</f>
        <v/>
      </c>
      <c r="AI3650" s="7">
        <f>IF($C3650="","",AH3650-M3650)</f>
        <v/>
      </c>
      <c r="AJ3650">
        <f>IF($C3650="","",IF(COUNTIF($C$2:$C3650,$C3650)=1,1,0))</f>
        <v/>
      </c>
      <c r="AK3650">
        <f>IF($AJ3650=1,SUMPRODUCT(--($AN$2:$AN$4001&lt;$AN3650))+1,"")</f>
        <v/>
      </c>
      <c r="AL3650">
        <f>IF($C3650="","",IF(OR($Q3650=TRUE(),$Q3650="TRUE"),1,0))</f>
        <v/>
      </c>
      <c r="AM3650">
        <f>IF($C3650="","",IF($W3650="Yes",1,0))</f>
        <v/>
      </c>
      <c r="AN3650">
        <f>IF($AJ3650=1,IFERROR(IF(VALUE($C3650)&lt;100000000,VALUE($C3650),1000000000),IFERROR(IF(VALUE(MID($C3650,2,20))&lt;100000000,VALUE(MID($C3650,2,20)),1000000000),1000000000))+ROW()/100000,"")</f>
        <v/>
      </c>
    </row>
    <row r="3651">
      <c r="E3651" s="11" t="n"/>
      <c r="M3651" s="7">
        <f>IF($C3651="","",L3651*U3651/100)</f>
        <v/>
      </c>
      <c r="N3651" s="7" t="n"/>
      <c r="T3651" s="7" t="n"/>
      <c r="U3651" s="7">
        <f>IF($C3651="","",S3651*T3651)</f>
        <v/>
      </c>
      <c r="X3651">
        <f>IF($C3651="","",IF($AM3651=1,0,IF($AL3651=1,Settings!$C$6,Settings!$C$7))*100)</f>
        <v/>
      </c>
      <c r="AB3651" s="7" t="n"/>
      <c r="AE3651" s="11" t="n"/>
      <c r="AG3651" s="7">
        <f>IF($C3651="","",U3651*X3651/100)</f>
        <v/>
      </c>
      <c r="AH3651" s="7">
        <f>IF($C3651="","",U3651-AG3651)</f>
        <v/>
      </c>
      <c r="AI3651" s="7">
        <f>IF($C3651="","",AH3651-M3651)</f>
        <v/>
      </c>
      <c r="AJ3651">
        <f>IF($C3651="","",IF(COUNTIF($C$2:$C3651,$C3651)=1,1,0))</f>
        <v/>
      </c>
      <c r="AK3651">
        <f>IF($AJ3651=1,SUMPRODUCT(--($AN$2:$AN$4001&lt;$AN3651))+1,"")</f>
        <v/>
      </c>
      <c r="AL3651">
        <f>IF($C3651="","",IF(OR($Q3651=TRUE(),$Q3651="TRUE"),1,0))</f>
        <v/>
      </c>
      <c r="AM3651">
        <f>IF($C3651="","",IF($W3651="Yes",1,0))</f>
        <v/>
      </c>
      <c r="AN3651">
        <f>IF($AJ3651=1,IFERROR(IF(VALUE($C3651)&lt;100000000,VALUE($C3651),1000000000),IFERROR(IF(VALUE(MID($C3651,2,20))&lt;100000000,VALUE(MID($C3651,2,20)),1000000000),1000000000))+ROW()/100000,"")</f>
        <v/>
      </c>
    </row>
    <row r="3652">
      <c r="E3652" s="11" t="n"/>
      <c r="M3652" s="7">
        <f>IF($C3652="","",L3652*U3652/100)</f>
        <v/>
      </c>
      <c r="N3652" s="7" t="n"/>
      <c r="T3652" s="7" t="n"/>
      <c r="U3652" s="7">
        <f>IF($C3652="","",S3652*T3652)</f>
        <v/>
      </c>
      <c r="X3652">
        <f>IF($C3652="","",IF($AM3652=1,0,IF($AL3652=1,Settings!$C$6,Settings!$C$7))*100)</f>
        <v/>
      </c>
      <c r="AB3652" s="7" t="n"/>
      <c r="AE3652" s="11" t="n"/>
      <c r="AG3652" s="7">
        <f>IF($C3652="","",U3652*X3652/100)</f>
        <v/>
      </c>
      <c r="AH3652" s="7">
        <f>IF($C3652="","",U3652-AG3652)</f>
        <v/>
      </c>
      <c r="AI3652" s="7">
        <f>IF($C3652="","",AH3652-M3652)</f>
        <v/>
      </c>
      <c r="AJ3652">
        <f>IF($C3652="","",IF(COUNTIF($C$2:$C3652,$C3652)=1,1,0))</f>
        <v/>
      </c>
      <c r="AK3652">
        <f>IF($AJ3652=1,SUMPRODUCT(--($AN$2:$AN$4001&lt;$AN3652))+1,"")</f>
        <v/>
      </c>
      <c r="AL3652">
        <f>IF($C3652="","",IF(OR($Q3652=TRUE(),$Q3652="TRUE"),1,0))</f>
        <v/>
      </c>
      <c r="AM3652">
        <f>IF($C3652="","",IF($W3652="Yes",1,0))</f>
        <v/>
      </c>
      <c r="AN3652">
        <f>IF($AJ3652=1,IFERROR(IF(VALUE($C3652)&lt;100000000,VALUE($C3652),1000000000),IFERROR(IF(VALUE(MID($C3652,2,20))&lt;100000000,VALUE(MID($C3652,2,20)),1000000000),1000000000))+ROW()/100000,"")</f>
        <v/>
      </c>
    </row>
    <row r="3653">
      <c r="E3653" s="11" t="n"/>
      <c r="M3653" s="7">
        <f>IF($C3653="","",L3653*U3653/100)</f>
        <v/>
      </c>
      <c r="N3653" s="7" t="n"/>
      <c r="T3653" s="7" t="n"/>
      <c r="U3653" s="7">
        <f>IF($C3653="","",S3653*T3653)</f>
        <v/>
      </c>
      <c r="X3653">
        <f>IF($C3653="","",IF($AM3653=1,0,IF($AL3653=1,Settings!$C$6,Settings!$C$7))*100)</f>
        <v/>
      </c>
      <c r="AB3653" s="7" t="n"/>
      <c r="AE3653" s="11" t="n"/>
      <c r="AG3653" s="7">
        <f>IF($C3653="","",U3653*X3653/100)</f>
        <v/>
      </c>
      <c r="AH3653" s="7">
        <f>IF($C3653="","",U3653-AG3653)</f>
        <v/>
      </c>
      <c r="AI3653" s="7">
        <f>IF($C3653="","",AH3653-M3653)</f>
        <v/>
      </c>
      <c r="AJ3653">
        <f>IF($C3653="","",IF(COUNTIF($C$2:$C3653,$C3653)=1,1,0))</f>
        <v/>
      </c>
      <c r="AK3653">
        <f>IF($AJ3653=1,SUMPRODUCT(--($AN$2:$AN$4001&lt;$AN3653))+1,"")</f>
        <v/>
      </c>
      <c r="AL3653">
        <f>IF($C3653="","",IF(OR($Q3653=TRUE(),$Q3653="TRUE"),1,0))</f>
        <v/>
      </c>
      <c r="AM3653">
        <f>IF($C3653="","",IF($W3653="Yes",1,0))</f>
        <v/>
      </c>
      <c r="AN3653">
        <f>IF($AJ3653=1,IFERROR(IF(VALUE($C3653)&lt;100000000,VALUE($C3653),1000000000),IFERROR(IF(VALUE(MID($C3653,2,20))&lt;100000000,VALUE(MID($C3653,2,20)),1000000000),1000000000))+ROW()/100000,"")</f>
        <v/>
      </c>
    </row>
    <row r="3654">
      <c r="E3654" s="11" t="n"/>
      <c r="M3654" s="7">
        <f>IF($C3654="","",L3654*U3654/100)</f>
        <v/>
      </c>
      <c r="N3654" s="7" t="n"/>
      <c r="T3654" s="7" t="n"/>
      <c r="U3654" s="7">
        <f>IF($C3654="","",S3654*T3654)</f>
        <v/>
      </c>
      <c r="X3654">
        <f>IF($C3654="","",IF($AM3654=1,0,IF($AL3654=1,Settings!$C$6,Settings!$C$7))*100)</f>
        <v/>
      </c>
      <c r="AB3654" s="7" t="n"/>
      <c r="AE3654" s="11" t="n"/>
      <c r="AG3654" s="7">
        <f>IF($C3654="","",U3654*X3654/100)</f>
        <v/>
      </c>
      <c r="AH3654" s="7">
        <f>IF($C3654="","",U3654-AG3654)</f>
        <v/>
      </c>
      <c r="AI3654" s="7">
        <f>IF($C3654="","",AH3654-M3654)</f>
        <v/>
      </c>
      <c r="AJ3654">
        <f>IF($C3654="","",IF(COUNTIF($C$2:$C3654,$C3654)=1,1,0))</f>
        <v/>
      </c>
      <c r="AK3654">
        <f>IF($AJ3654=1,SUMPRODUCT(--($AN$2:$AN$4001&lt;$AN3654))+1,"")</f>
        <v/>
      </c>
      <c r="AL3654">
        <f>IF($C3654="","",IF(OR($Q3654=TRUE(),$Q3654="TRUE"),1,0))</f>
        <v/>
      </c>
      <c r="AM3654">
        <f>IF($C3654="","",IF($W3654="Yes",1,0))</f>
        <v/>
      </c>
      <c r="AN3654">
        <f>IF($AJ3654=1,IFERROR(IF(VALUE($C3654)&lt;100000000,VALUE($C3654),1000000000),IFERROR(IF(VALUE(MID($C3654,2,20))&lt;100000000,VALUE(MID($C3654,2,20)),1000000000),1000000000))+ROW()/100000,"")</f>
        <v/>
      </c>
    </row>
    <row r="3655">
      <c r="E3655" s="11" t="n"/>
      <c r="M3655" s="7">
        <f>IF($C3655="","",L3655*U3655/100)</f>
        <v/>
      </c>
      <c r="N3655" s="7" t="n"/>
      <c r="T3655" s="7" t="n"/>
      <c r="U3655" s="7">
        <f>IF($C3655="","",S3655*T3655)</f>
        <v/>
      </c>
      <c r="X3655">
        <f>IF($C3655="","",IF($AM3655=1,0,IF($AL3655=1,Settings!$C$6,Settings!$C$7))*100)</f>
        <v/>
      </c>
      <c r="AB3655" s="7" t="n"/>
      <c r="AE3655" s="11" t="n"/>
      <c r="AG3655" s="7">
        <f>IF($C3655="","",U3655*X3655/100)</f>
        <v/>
      </c>
      <c r="AH3655" s="7">
        <f>IF($C3655="","",U3655-AG3655)</f>
        <v/>
      </c>
      <c r="AI3655" s="7">
        <f>IF($C3655="","",AH3655-M3655)</f>
        <v/>
      </c>
      <c r="AJ3655">
        <f>IF($C3655="","",IF(COUNTIF($C$2:$C3655,$C3655)=1,1,0))</f>
        <v/>
      </c>
      <c r="AK3655">
        <f>IF($AJ3655=1,SUMPRODUCT(--($AN$2:$AN$4001&lt;$AN3655))+1,"")</f>
        <v/>
      </c>
      <c r="AL3655">
        <f>IF($C3655="","",IF(OR($Q3655=TRUE(),$Q3655="TRUE"),1,0))</f>
        <v/>
      </c>
      <c r="AM3655">
        <f>IF($C3655="","",IF($W3655="Yes",1,0))</f>
        <v/>
      </c>
      <c r="AN3655">
        <f>IF($AJ3655=1,IFERROR(IF(VALUE($C3655)&lt;100000000,VALUE($C3655),1000000000),IFERROR(IF(VALUE(MID($C3655,2,20))&lt;100000000,VALUE(MID($C3655,2,20)),1000000000),1000000000))+ROW()/100000,"")</f>
        <v/>
      </c>
    </row>
    <row r="3656">
      <c r="E3656" s="11" t="n"/>
      <c r="M3656" s="7">
        <f>IF($C3656="","",L3656*U3656/100)</f>
        <v/>
      </c>
      <c r="N3656" s="7" t="n"/>
      <c r="T3656" s="7" t="n"/>
      <c r="U3656" s="7">
        <f>IF($C3656="","",S3656*T3656)</f>
        <v/>
      </c>
      <c r="X3656">
        <f>IF($C3656="","",IF($AM3656=1,0,IF($AL3656=1,Settings!$C$6,Settings!$C$7))*100)</f>
        <v/>
      </c>
      <c r="AB3656" s="7" t="n"/>
      <c r="AE3656" s="11" t="n"/>
      <c r="AG3656" s="7">
        <f>IF($C3656="","",U3656*X3656/100)</f>
        <v/>
      </c>
      <c r="AH3656" s="7">
        <f>IF($C3656="","",U3656-AG3656)</f>
        <v/>
      </c>
      <c r="AI3656" s="7">
        <f>IF($C3656="","",AH3656-M3656)</f>
        <v/>
      </c>
      <c r="AJ3656">
        <f>IF($C3656="","",IF(COUNTIF($C$2:$C3656,$C3656)=1,1,0))</f>
        <v/>
      </c>
      <c r="AK3656">
        <f>IF($AJ3656=1,SUMPRODUCT(--($AN$2:$AN$4001&lt;$AN3656))+1,"")</f>
        <v/>
      </c>
      <c r="AL3656">
        <f>IF($C3656="","",IF(OR($Q3656=TRUE(),$Q3656="TRUE"),1,0))</f>
        <v/>
      </c>
      <c r="AM3656">
        <f>IF($C3656="","",IF($W3656="Yes",1,0))</f>
        <v/>
      </c>
      <c r="AN3656">
        <f>IF($AJ3656=1,IFERROR(IF(VALUE($C3656)&lt;100000000,VALUE($C3656),1000000000),IFERROR(IF(VALUE(MID($C3656,2,20))&lt;100000000,VALUE(MID($C3656,2,20)),1000000000),1000000000))+ROW()/100000,"")</f>
        <v/>
      </c>
    </row>
    <row r="3657">
      <c r="E3657" s="11" t="n"/>
      <c r="M3657" s="7">
        <f>IF($C3657="","",L3657*U3657/100)</f>
        <v/>
      </c>
      <c r="N3657" s="7" t="n"/>
      <c r="T3657" s="7" t="n"/>
      <c r="U3657" s="7">
        <f>IF($C3657="","",S3657*T3657)</f>
        <v/>
      </c>
      <c r="X3657">
        <f>IF($C3657="","",IF($AM3657=1,0,IF($AL3657=1,Settings!$C$6,Settings!$C$7))*100)</f>
        <v/>
      </c>
      <c r="AB3657" s="7" t="n"/>
      <c r="AE3657" s="11" t="n"/>
      <c r="AG3657" s="7">
        <f>IF($C3657="","",U3657*X3657/100)</f>
        <v/>
      </c>
      <c r="AH3657" s="7">
        <f>IF($C3657="","",U3657-AG3657)</f>
        <v/>
      </c>
      <c r="AI3657" s="7">
        <f>IF($C3657="","",AH3657-M3657)</f>
        <v/>
      </c>
      <c r="AJ3657">
        <f>IF($C3657="","",IF(COUNTIF($C$2:$C3657,$C3657)=1,1,0))</f>
        <v/>
      </c>
      <c r="AK3657">
        <f>IF($AJ3657=1,SUMPRODUCT(--($AN$2:$AN$4001&lt;$AN3657))+1,"")</f>
        <v/>
      </c>
      <c r="AL3657">
        <f>IF($C3657="","",IF(OR($Q3657=TRUE(),$Q3657="TRUE"),1,0))</f>
        <v/>
      </c>
      <c r="AM3657">
        <f>IF($C3657="","",IF($W3657="Yes",1,0))</f>
        <v/>
      </c>
      <c r="AN3657">
        <f>IF($AJ3657=1,IFERROR(IF(VALUE($C3657)&lt;100000000,VALUE($C3657),1000000000),IFERROR(IF(VALUE(MID($C3657,2,20))&lt;100000000,VALUE(MID($C3657,2,20)),1000000000),1000000000))+ROW()/100000,"")</f>
        <v/>
      </c>
    </row>
    <row r="3658">
      <c r="E3658" s="11" t="n"/>
      <c r="M3658" s="7">
        <f>IF($C3658="","",L3658*U3658/100)</f>
        <v/>
      </c>
      <c r="N3658" s="7" t="n"/>
      <c r="T3658" s="7" t="n"/>
      <c r="U3658" s="7">
        <f>IF($C3658="","",S3658*T3658)</f>
        <v/>
      </c>
      <c r="X3658">
        <f>IF($C3658="","",IF($AM3658=1,0,IF($AL3658=1,Settings!$C$6,Settings!$C$7))*100)</f>
        <v/>
      </c>
      <c r="AB3658" s="7" t="n"/>
      <c r="AE3658" s="11" t="n"/>
      <c r="AG3658" s="7">
        <f>IF($C3658="","",U3658*X3658/100)</f>
        <v/>
      </c>
      <c r="AH3658" s="7">
        <f>IF($C3658="","",U3658-AG3658)</f>
        <v/>
      </c>
      <c r="AI3658" s="7">
        <f>IF($C3658="","",AH3658-M3658)</f>
        <v/>
      </c>
      <c r="AJ3658">
        <f>IF($C3658="","",IF(COUNTIF($C$2:$C3658,$C3658)=1,1,0))</f>
        <v/>
      </c>
      <c r="AK3658">
        <f>IF($AJ3658=1,SUMPRODUCT(--($AN$2:$AN$4001&lt;$AN3658))+1,"")</f>
        <v/>
      </c>
      <c r="AL3658">
        <f>IF($C3658="","",IF(OR($Q3658=TRUE(),$Q3658="TRUE"),1,0))</f>
        <v/>
      </c>
      <c r="AM3658">
        <f>IF($C3658="","",IF($W3658="Yes",1,0))</f>
        <v/>
      </c>
      <c r="AN3658">
        <f>IF($AJ3658=1,IFERROR(IF(VALUE($C3658)&lt;100000000,VALUE($C3658),1000000000),IFERROR(IF(VALUE(MID($C3658,2,20))&lt;100000000,VALUE(MID($C3658,2,20)),1000000000),1000000000))+ROW()/100000,"")</f>
        <v/>
      </c>
    </row>
    <row r="3659">
      <c r="E3659" s="11" t="n"/>
      <c r="M3659" s="7">
        <f>IF($C3659="","",L3659*U3659/100)</f>
        <v/>
      </c>
      <c r="N3659" s="7" t="n"/>
      <c r="T3659" s="7" t="n"/>
      <c r="U3659" s="7">
        <f>IF($C3659="","",S3659*T3659)</f>
        <v/>
      </c>
      <c r="X3659">
        <f>IF($C3659="","",IF($AM3659=1,0,IF($AL3659=1,Settings!$C$6,Settings!$C$7))*100)</f>
        <v/>
      </c>
      <c r="AB3659" s="7" t="n"/>
      <c r="AE3659" s="11" t="n"/>
      <c r="AG3659" s="7">
        <f>IF($C3659="","",U3659*X3659/100)</f>
        <v/>
      </c>
      <c r="AH3659" s="7">
        <f>IF($C3659="","",U3659-AG3659)</f>
        <v/>
      </c>
      <c r="AI3659" s="7">
        <f>IF($C3659="","",AH3659-M3659)</f>
        <v/>
      </c>
      <c r="AJ3659">
        <f>IF($C3659="","",IF(COUNTIF($C$2:$C3659,$C3659)=1,1,0))</f>
        <v/>
      </c>
      <c r="AK3659">
        <f>IF($AJ3659=1,SUMPRODUCT(--($AN$2:$AN$4001&lt;$AN3659))+1,"")</f>
        <v/>
      </c>
      <c r="AL3659">
        <f>IF($C3659="","",IF(OR($Q3659=TRUE(),$Q3659="TRUE"),1,0))</f>
        <v/>
      </c>
      <c r="AM3659">
        <f>IF($C3659="","",IF($W3659="Yes",1,0))</f>
        <v/>
      </c>
      <c r="AN3659">
        <f>IF($AJ3659=1,IFERROR(IF(VALUE($C3659)&lt;100000000,VALUE($C3659),1000000000),IFERROR(IF(VALUE(MID($C3659,2,20))&lt;100000000,VALUE(MID($C3659,2,20)),1000000000),1000000000))+ROW()/100000,"")</f>
        <v/>
      </c>
    </row>
    <row r="3660">
      <c r="E3660" s="11" t="n"/>
      <c r="M3660" s="7">
        <f>IF($C3660="","",L3660*U3660/100)</f>
        <v/>
      </c>
      <c r="N3660" s="7" t="n"/>
      <c r="T3660" s="7" t="n"/>
      <c r="U3660" s="7">
        <f>IF($C3660="","",S3660*T3660)</f>
        <v/>
      </c>
      <c r="X3660">
        <f>IF($C3660="","",IF($AM3660=1,0,IF($AL3660=1,Settings!$C$6,Settings!$C$7))*100)</f>
        <v/>
      </c>
      <c r="AB3660" s="7" t="n"/>
      <c r="AE3660" s="11" t="n"/>
      <c r="AG3660" s="7">
        <f>IF($C3660="","",U3660*X3660/100)</f>
        <v/>
      </c>
      <c r="AH3660" s="7">
        <f>IF($C3660="","",U3660-AG3660)</f>
        <v/>
      </c>
      <c r="AI3660" s="7">
        <f>IF($C3660="","",AH3660-M3660)</f>
        <v/>
      </c>
      <c r="AJ3660">
        <f>IF($C3660="","",IF(COUNTIF($C$2:$C3660,$C3660)=1,1,0))</f>
        <v/>
      </c>
      <c r="AK3660">
        <f>IF($AJ3660=1,SUMPRODUCT(--($AN$2:$AN$4001&lt;$AN3660))+1,"")</f>
        <v/>
      </c>
      <c r="AL3660">
        <f>IF($C3660="","",IF(OR($Q3660=TRUE(),$Q3660="TRUE"),1,0))</f>
        <v/>
      </c>
      <c r="AM3660">
        <f>IF($C3660="","",IF($W3660="Yes",1,0))</f>
        <v/>
      </c>
      <c r="AN3660">
        <f>IF($AJ3660=1,IFERROR(IF(VALUE($C3660)&lt;100000000,VALUE($C3660),1000000000),IFERROR(IF(VALUE(MID($C3660,2,20))&lt;100000000,VALUE(MID($C3660,2,20)),1000000000),1000000000))+ROW()/100000,"")</f>
        <v/>
      </c>
    </row>
    <row r="3661">
      <c r="E3661" s="11" t="n"/>
      <c r="M3661" s="7">
        <f>IF($C3661="","",L3661*U3661/100)</f>
        <v/>
      </c>
      <c r="N3661" s="7" t="n"/>
      <c r="T3661" s="7" t="n"/>
      <c r="U3661" s="7">
        <f>IF($C3661="","",S3661*T3661)</f>
        <v/>
      </c>
      <c r="X3661">
        <f>IF($C3661="","",IF($AM3661=1,0,IF($AL3661=1,Settings!$C$6,Settings!$C$7))*100)</f>
        <v/>
      </c>
      <c r="AB3661" s="7" t="n"/>
      <c r="AE3661" s="11" t="n"/>
      <c r="AG3661" s="7">
        <f>IF($C3661="","",U3661*X3661/100)</f>
        <v/>
      </c>
      <c r="AH3661" s="7">
        <f>IF($C3661="","",U3661-AG3661)</f>
        <v/>
      </c>
      <c r="AI3661" s="7">
        <f>IF($C3661="","",AH3661-M3661)</f>
        <v/>
      </c>
      <c r="AJ3661">
        <f>IF($C3661="","",IF(COUNTIF($C$2:$C3661,$C3661)=1,1,0))</f>
        <v/>
      </c>
      <c r="AK3661">
        <f>IF($AJ3661=1,SUMPRODUCT(--($AN$2:$AN$4001&lt;$AN3661))+1,"")</f>
        <v/>
      </c>
      <c r="AL3661">
        <f>IF($C3661="","",IF(OR($Q3661=TRUE(),$Q3661="TRUE"),1,0))</f>
        <v/>
      </c>
      <c r="AM3661">
        <f>IF($C3661="","",IF($W3661="Yes",1,0))</f>
        <v/>
      </c>
      <c r="AN3661">
        <f>IF($AJ3661=1,IFERROR(IF(VALUE($C3661)&lt;100000000,VALUE($C3661),1000000000),IFERROR(IF(VALUE(MID($C3661,2,20))&lt;100000000,VALUE(MID($C3661,2,20)),1000000000),1000000000))+ROW()/100000,"")</f>
        <v/>
      </c>
    </row>
    <row r="3662">
      <c r="E3662" s="11" t="n"/>
      <c r="M3662" s="7">
        <f>IF($C3662="","",L3662*U3662/100)</f>
        <v/>
      </c>
      <c r="N3662" s="7" t="n"/>
      <c r="T3662" s="7" t="n"/>
      <c r="U3662" s="7">
        <f>IF($C3662="","",S3662*T3662)</f>
        <v/>
      </c>
      <c r="X3662">
        <f>IF($C3662="","",IF($AM3662=1,0,IF($AL3662=1,Settings!$C$6,Settings!$C$7))*100)</f>
        <v/>
      </c>
      <c r="AB3662" s="7" t="n"/>
      <c r="AE3662" s="11" t="n"/>
      <c r="AG3662" s="7">
        <f>IF($C3662="","",U3662*X3662/100)</f>
        <v/>
      </c>
      <c r="AH3662" s="7">
        <f>IF($C3662="","",U3662-AG3662)</f>
        <v/>
      </c>
      <c r="AI3662" s="7">
        <f>IF($C3662="","",AH3662-M3662)</f>
        <v/>
      </c>
      <c r="AJ3662">
        <f>IF($C3662="","",IF(COUNTIF($C$2:$C3662,$C3662)=1,1,0))</f>
        <v/>
      </c>
      <c r="AK3662">
        <f>IF($AJ3662=1,SUMPRODUCT(--($AN$2:$AN$4001&lt;$AN3662))+1,"")</f>
        <v/>
      </c>
      <c r="AL3662">
        <f>IF($C3662="","",IF(OR($Q3662=TRUE(),$Q3662="TRUE"),1,0))</f>
        <v/>
      </c>
      <c r="AM3662">
        <f>IF($C3662="","",IF($W3662="Yes",1,0))</f>
        <v/>
      </c>
      <c r="AN3662">
        <f>IF($AJ3662=1,IFERROR(IF(VALUE($C3662)&lt;100000000,VALUE($C3662),1000000000),IFERROR(IF(VALUE(MID($C3662,2,20))&lt;100000000,VALUE(MID($C3662,2,20)),1000000000),1000000000))+ROW()/100000,"")</f>
        <v/>
      </c>
    </row>
    <row r="3663">
      <c r="E3663" s="11" t="n"/>
      <c r="M3663" s="7">
        <f>IF($C3663="","",L3663*U3663/100)</f>
        <v/>
      </c>
      <c r="N3663" s="7" t="n"/>
      <c r="T3663" s="7" t="n"/>
      <c r="U3663" s="7">
        <f>IF($C3663="","",S3663*T3663)</f>
        <v/>
      </c>
      <c r="X3663">
        <f>IF($C3663="","",IF($AM3663=1,0,IF($AL3663=1,Settings!$C$6,Settings!$C$7))*100)</f>
        <v/>
      </c>
      <c r="AB3663" s="7" t="n"/>
      <c r="AE3663" s="11" t="n"/>
      <c r="AG3663" s="7">
        <f>IF($C3663="","",U3663*X3663/100)</f>
        <v/>
      </c>
      <c r="AH3663" s="7">
        <f>IF($C3663="","",U3663-AG3663)</f>
        <v/>
      </c>
      <c r="AI3663" s="7">
        <f>IF($C3663="","",AH3663-M3663)</f>
        <v/>
      </c>
      <c r="AJ3663">
        <f>IF($C3663="","",IF(COUNTIF($C$2:$C3663,$C3663)=1,1,0))</f>
        <v/>
      </c>
      <c r="AK3663">
        <f>IF($AJ3663=1,SUMPRODUCT(--($AN$2:$AN$4001&lt;$AN3663))+1,"")</f>
        <v/>
      </c>
      <c r="AL3663">
        <f>IF($C3663="","",IF(OR($Q3663=TRUE(),$Q3663="TRUE"),1,0))</f>
        <v/>
      </c>
      <c r="AM3663">
        <f>IF($C3663="","",IF($W3663="Yes",1,0))</f>
        <v/>
      </c>
      <c r="AN3663">
        <f>IF($AJ3663=1,IFERROR(IF(VALUE($C3663)&lt;100000000,VALUE($C3663),1000000000),IFERROR(IF(VALUE(MID($C3663,2,20))&lt;100000000,VALUE(MID($C3663,2,20)),1000000000),1000000000))+ROW()/100000,"")</f>
        <v/>
      </c>
    </row>
    <row r="3664">
      <c r="E3664" s="11" t="n"/>
      <c r="M3664" s="7">
        <f>IF($C3664="","",L3664*U3664/100)</f>
        <v/>
      </c>
      <c r="N3664" s="7" t="n"/>
      <c r="T3664" s="7" t="n"/>
      <c r="U3664" s="7">
        <f>IF($C3664="","",S3664*T3664)</f>
        <v/>
      </c>
      <c r="X3664">
        <f>IF($C3664="","",IF($AM3664=1,0,IF($AL3664=1,Settings!$C$6,Settings!$C$7))*100)</f>
        <v/>
      </c>
      <c r="AB3664" s="7" t="n"/>
      <c r="AE3664" s="11" t="n"/>
      <c r="AG3664" s="7">
        <f>IF($C3664="","",U3664*X3664/100)</f>
        <v/>
      </c>
      <c r="AH3664" s="7">
        <f>IF($C3664="","",U3664-AG3664)</f>
        <v/>
      </c>
      <c r="AI3664" s="7">
        <f>IF($C3664="","",AH3664-M3664)</f>
        <v/>
      </c>
      <c r="AJ3664">
        <f>IF($C3664="","",IF(COUNTIF($C$2:$C3664,$C3664)=1,1,0))</f>
        <v/>
      </c>
      <c r="AK3664">
        <f>IF($AJ3664=1,SUMPRODUCT(--($AN$2:$AN$4001&lt;$AN3664))+1,"")</f>
        <v/>
      </c>
      <c r="AL3664">
        <f>IF($C3664="","",IF(OR($Q3664=TRUE(),$Q3664="TRUE"),1,0))</f>
        <v/>
      </c>
      <c r="AM3664">
        <f>IF($C3664="","",IF($W3664="Yes",1,0))</f>
        <v/>
      </c>
      <c r="AN3664">
        <f>IF($AJ3664=1,IFERROR(IF(VALUE($C3664)&lt;100000000,VALUE($C3664),1000000000),IFERROR(IF(VALUE(MID($C3664,2,20))&lt;100000000,VALUE(MID($C3664,2,20)),1000000000),1000000000))+ROW()/100000,"")</f>
        <v/>
      </c>
    </row>
    <row r="3665">
      <c r="E3665" s="11" t="n"/>
      <c r="M3665" s="7">
        <f>IF($C3665="","",L3665*U3665/100)</f>
        <v/>
      </c>
      <c r="N3665" s="7" t="n"/>
      <c r="T3665" s="7" t="n"/>
      <c r="U3665" s="7">
        <f>IF($C3665="","",S3665*T3665)</f>
        <v/>
      </c>
      <c r="X3665">
        <f>IF($C3665="","",IF($AM3665=1,0,IF($AL3665=1,Settings!$C$6,Settings!$C$7))*100)</f>
        <v/>
      </c>
      <c r="AB3665" s="7" t="n"/>
      <c r="AE3665" s="11" t="n"/>
      <c r="AG3665" s="7">
        <f>IF($C3665="","",U3665*X3665/100)</f>
        <v/>
      </c>
      <c r="AH3665" s="7">
        <f>IF($C3665="","",U3665-AG3665)</f>
        <v/>
      </c>
      <c r="AI3665" s="7">
        <f>IF($C3665="","",AH3665-M3665)</f>
        <v/>
      </c>
      <c r="AJ3665">
        <f>IF($C3665="","",IF(COUNTIF($C$2:$C3665,$C3665)=1,1,0))</f>
        <v/>
      </c>
      <c r="AK3665">
        <f>IF($AJ3665=1,SUMPRODUCT(--($AN$2:$AN$4001&lt;$AN3665))+1,"")</f>
        <v/>
      </c>
      <c r="AL3665">
        <f>IF($C3665="","",IF(OR($Q3665=TRUE(),$Q3665="TRUE"),1,0))</f>
        <v/>
      </c>
      <c r="AM3665">
        <f>IF($C3665="","",IF($W3665="Yes",1,0))</f>
        <v/>
      </c>
      <c r="AN3665">
        <f>IF($AJ3665=1,IFERROR(IF(VALUE($C3665)&lt;100000000,VALUE($C3665),1000000000),IFERROR(IF(VALUE(MID($C3665,2,20))&lt;100000000,VALUE(MID($C3665,2,20)),1000000000),1000000000))+ROW()/100000,"")</f>
        <v/>
      </c>
    </row>
    <row r="3666">
      <c r="E3666" s="11" t="n"/>
      <c r="M3666" s="7">
        <f>IF($C3666="","",L3666*U3666/100)</f>
        <v/>
      </c>
      <c r="N3666" s="7" t="n"/>
      <c r="T3666" s="7" t="n"/>
      <c r="U3666" s="7">
        <f>IF($C3666="","",S3666*T3666)</f>
        <v/>
      </c>
      <c r="X3666">
        <f>IF($C3666="","",IF($AM3666=1,0,IF($AL3666=1,Settings!$C$6,Settings!$C$7))*100)</f>
        <v/>
      </c>
      <c r="AB3666" s="7" t="n"/>
      <c r="AE3666" s="11" t="n"/>
      <c r="AG3666" s="7">
        <f>IF($C3666="","",U3666*X3666/100)</f>
        <v/>
      </c>
      <c r="AH3666" s="7">
        <f>IF($C3666="","",U3666-AG3666)</f>
        <v/>
      </c>
      <c r="AI3666" s="7">
        <f>IF($C3666="","",AH3666-M3666)</f>
        <v/>
      </c>
      <c r="AJ3666">
        <f>IF($C3666="","",IF(COUNTIF($C$2:$C3666,$C3666)=1,1,0))</f>
        <v/>
      </c>
      <c r="AK3666">
        <f>IF($AJ3666=1,SUMPRODUCT(--($AN$2:$AN$4001&lt;$AN3666))+1,"")</f>
        <v/>
      </c>
      <c r="AL3666">
        <f>IF($C3666="","",IF(OR($Q3666=TRUE(),$Q3666="TRUE"),1,0))</f>
        <v/>
      </c>
      <c r="AM3666">
        <f>IF($C3666="","",IF($W3666="Yes",1,0))</f>
        <v/>
      </c>
      <c r="AN3666">
        <f>IF($AJ3666=1,IFERROR(IF(VALUE($C3666)&lt;100000000,VALUE($C3666),1000000000),IFERROR(IF(VALUE(MID($C3666,2,20))&lt;100000000,VALUE(MID($C3666,2,20)),1000000000),1000000000))+ROW()/100000,"")</f>
        <v/>
      </c>
    </row>
    <row r="3667">
      <c r="E3667" s="11" t="n"/>
      <c r="M3667" s="7">
        <f>IF($C3667="","",L3667*U3667/100)</f>
        <v/>
      </c>
      <c r="N3667" s="7" t="n"/>
      <c r="T3667" s="7" t="n"/>
      <c r="U3667" s="7">
        <f>IF($C3667="","",S3667*T3667)</f>
        <v/>
      </c>
      <c r="X3667">
        <f>IF($C3667="","",IF($AM3667=1,0,IF($AL3667=1,Settings!$C$6,Settings!$C$7))*100)</f>
        <v/>
      </c>
      <c r="AB3667" s="7" t="n"/>
      <c r="AE3667" s="11" t="n"/>
      <c r="AG3667" s="7">
        <f>IF($C3667="","",U3667*X3667/100)</f>
        <v/>
      </c>
      <c r="AH3667" s="7">
        <f>IF($C3667="","",U3667-AG3667)</f>
        <v/>
      </c>
      <c r="AI3667" s="7">
        <f>IF($C3667="","",AH3667-M3667)</f>
        <v/>
      </c>
      <c r="AJ3667">
        <f>IF($C3667="","",IF(COUNTIF($C$2:$C3667,$C3667)=1,1,0))</f>
        <v/>
      </c>
      <c r="AK3667">
        <f>IF($AJ3667=1,SUMPRODUCT(--($AN$2:$AN$4001&lt;$AN3667))+1,"")</f>
        <v/>
      </c>
      <c r="AL3667">
        <f>IF($C3667="","",IF(OR($Q3667=TRUE(),$Q3667="TRUE"),1,0))</f>
        <v/>
      </c>
      <c r="AM3667">
        <f>IF($C3667="","",IF($W3667="Yes",1,0))</f>
        <v/>
      </c>
      <c r="AN3667">
        <f>IF($AJ3667=1,IFERROR(IF(VALUE($C3667)&lt;100000000,VALUE($C3667),1000000000),IFERROR(IF(VALUE(MID($C3667,2,20))&lt;100000000,VALUE(MID($C3667,2,20)),1000000000),1000000000))+ROW()/100000,"")</f>
        <v/>
      </c>
    </row>
    <row r="3668">
      <c r="E3668" s="11" t="n"/>
      <c r="M3668" s="7">
        <f>IF($C3668="","",L3668*U3668/100)</f>
        <v/>
      </c>
      <c r="N3668" s="7" t="n"/>
      <c r="T3668" s="7" t="n"/>
      <c r="U3668" s="7">
        <f>IF($C3668="","",S3668*T3668)</f>
        <v/>
      </c>
      <c r="X3668">
        <f>IF($C3668="","",IF($AM3668=1,0,IF($AL3668=1,Settings!$C$6,Settings!$C$7))*100)</f>
        <v/>
      </c>
      <c r="AB3668" s="7" t="n"/>
      <c r="AE3668" s="11" t="n"/>
      <c r="AG3668" s="7">
        <f>IF($C3668="","",U3668*X3668/100)</f>
        <v/>
      </c>
      <c r="AH3668" s="7">
        <f>IF($C3668="","",U3668-AG3668)</f>
        <v/>
      </c>
      <c r="AI3668" s="7">
        <f>IF($C3668="","",AH3668-M3668)</f>
        <v/>
      </c>
      <c r="AJ3668">
        <f>IF($C3668="","",IF(COUNTIF($C$2:$C3668,$C3668)=1,1,0))</f>
        <v/>
      </c>
      <c r="AK3668">
        <f>IF($AJ3668=1,SUMPRODUCT(--($AN$2:$AN$4001&lt;$AN3668))+1,"")</f>
        <v/>
      </c>
      <c r="AL3668">
        <f>IF($C3668="","",IF(OR($Q3668=TRUE(),$Q3668="TRUE"),1,0))</f>
        <v/>
      </c>
      <c r="AM3668">
        <f>IF($C3668="","",IF($W3668="Yes",1,0))</f>
        <v/>
      </c>
      <c r="AN3668">
        <f>IF($AJ3668=1,IFERROR(IF(VALUE($C3668)&lt;100000000,VALUE($C3668),1000000000),IFERROR(IF(VALUE(MID($C3668,2,20))&lt;100000000,VALUE(MID($C3668,2,20)),1000000000),1000000000))+ROW()/100000,"")</f>
        <v/>
      </c>
    </row>
    <row r="3669">
      <c r="E3669" s="11" t="n"/>
      <c r="M3669" s="7">
        <f>IF($C3669="","",L3669*U3669/100)</f>
        <v/>
      </c>
      <c r="N3669" s="7" t="n"/>
      <c r="T3669" s="7" t="n"/>
      <c r="U3669" s="7">
        <f>IF($C3669="","",S3669*T3669)</f>
        <v/>
      </c>
      <c r="X3669">
        <f>IF($C3669="","",IF($AM3669=1,0,IF($AL3669=1,Settings!$C$6,Settings!$C$7))*100)</f>
        <v/>
      </c>
      <c r="AB3669" s="7" t="n"/>
      <c r="AE3669" s="11" t="n"/>
      <c r="AG3669" s="7">
        <f>IF($C3669="","",U3669*X3669/100)</f>
        <v/>
      </c>
      <c r="AH3669" s="7">
        <f>IF($C3669="","",U3669-AG3669)</f>
        <v/>
      </c>
      <c r="AI3669" s="7">
        <f>IF($C3669="","",AH3669-M3669)</f>
        <v/>
      </c>
      <c r="AJ3669">
        <f>IF($C3669="","",IF(COUNTIF($C$2:$C3669,$C3669)=1,1,0))</f>
        <v/>
      </c>
      <c r="AK3669">
        <f>IF($AJ3669=1,SUMPRODUCT(--($AN$2:$AN$4001&lt;$AN3669))+1,"")</f>
        <v/>
      </c>
      <c r="AL3669">
        <f>IF($C3669="","",IF(OR($Q3669=TRUE(),$Q3669="TRUE"),1,0))</f>
        <v/>
      </c>
      <c r="AM3669">
        <f>IF($C3669="","",IF($W3669="Yes",1,0))</f>
        <v/>
      </c>
      <c r="AN3669">
        <f>IF($AJ3669=1,IFERROR(IF(VALUE($C3669)&lt;100000000,VALUE($C3669),1000000000),IFERROR(IF(VALUE(MID($C3669,2,20))&lt;100000000,VALUE(MID($C3669,2,20)),1000000000),1000000000))+ROW()/100000,"")</f>
        <v/>
      </c>
    </row>
    <row r="3670">
      <c r="E3670" s="11" t="n"/>
      <c r="M3670" s="7">
        <f>IF($C3670="","",L3670*U3670/100)</f>
        <v/>
      </c>
      <c r="N3670" s="7" t="n"/>
      <c r="T3670" s="7" t="n"/>
      <c r="U3670" s="7">
        <f>IF($C3670="","",S3670*T3670)</f>
        <v/>
      </c>
      <c r="X3670">
        <f>IF($C3670="","",IF($AM3670=1,0,IF($AL3670=1,Settings!$C$6,Settings!$C$7))*100)</f>
        <v/>
      </c>
      <c r="AB3670" s="7" t="n"/>
      <c r="AE3670" s="11" t="n"/>
      <c r="AG3670" s="7">
        <f>IF($C3670="","",U3670*X3670/100)</f>
        <v/>
      </c>
      <c r="AH3670" s="7">
        <f>IF($C3670="","",U3670-AG3670)</f>
        <v/>
      </c>
      <c r="AI3670" s="7">
        <f>IF($C3670="","",AH3670-M3670)</f>
        <v/>
      </c>
      <c r="AJ3670">
        <f>IF($C3670="","",IF(COUNTIF($C$2:$C3670,$C3670)=1,1,0))</f>
        <v/>
      </c>
      <c r="AK3670">
        <f>IF($AJ3670=1,SUMPRODUCT(--($AN$2:$AN$4001&lt;$AN3670))+1,"")</f>
        <v/>
      </c>
      <c r="AL3670">
        <f>IF($C3670="","",IF(OR($Q3670=TRUE(),$Q3670="TRUE"),1,0))</f>
        <v/>
      </c>
      <c r="AM3670">
        <f>IF($C3670="","",IF($W3670="Yes",1,0))</f>
        <v/>
      </c>
      <c r="AN3670">
        <f>IF($AJ3670=1,IFERROR(IF(VALUE($C3670)&lt;100000000,VALUE($C3670),1000000000),IFERROR(IF(VALUE(MID($C3670,2,20))&lt;100000000,VALUE(MID($C3670,2,20)),1000000000),1000000000))+ROW()/100000,"")</f>
        <v/>
      </c>
    </row>
    <row r="3671">
      <c r="E3671" s="11" t="n"/>
      <c r="M3671" s="7">
        <f>IF($C3671="","",L3671*U3671/100)</f>
        <v/>
      </c>
      <c r="N3671" s="7" t="n"/>
      <c r="T3671" s="7" t="n"/>
      <c r="U3671" s="7">
        <f>IF($C3671="","",S3671*T3671)</f>
        <v/>
      </c>
      <c r="X3671">
        <f>IF($C3671="","",IF($AM3671=1,0,IF($AL3671=1,Settings!$C$6,Settings!$C$7))*100)</f>
        <v/>
      </c>
      <c r="AB3671" s="7" t="n"/>
      <c r="AE3671" s="11" t="n"/>
      <c r="AG3671" s="7">
        <f>IF($C3671="","",U3671*X3671/100)</f>
        <v/>
      </c>
      <c r="AH3671" s="7">
        <f>IF($C3671="","",U3671-AG3671)</f>
        <v/>
      </c>
      <c r="AI3671" s="7">
        <f>IF($C3671="","",AH3671-M3671)</f>
        <v/>
      </c>
      <c r="AJ3671">
        <f>IF($C3671="","",IF(COUNTIF($C$2:$C3671,$C3671)=1,1,0))</f>
        <v/>
      </c>
      <c r="AK3671">
        <f>IF($AJ3671=1,SUMPRODUCT(--($AN$2:$AN$4001&lt;$AN3671))+1,"")</f>
        <v/>
      </c>
      <c r="AL3671">
        <f>IF($C3671="","",IF(OR($Q3671=TRUE(),$Q3671="TRUE"),1,0))</f>
        <v/>
      </c>
      <c r="AM3671">
        <f>IF($C3671="","",IF($W3671="Yes",1,0))</f>
        <v/>
      </c>
      <c r="AN3671">
        <f>IF($AJ3671=1,IFERROR(IF(VALUE($C3671)&lt;100000000,VALUE($C3671),1000000000),IFERROR(IF(VALUE(MID($C3671,2,20))&lt;100000000,VALUE(MID($C3671,2,20)),1000000000),1000000000))+ROW()/100000,"")</f>
        <v/>
      </c>
    </row>
    <row r="3672">
      <c r="E3672" s="11" t="n"/>
      <c r="M3672" s="7">
        <f>IF($C3672="","",L3672*U3672/100)</f>
        <v/>
      </c>
      <c r="N3672" s="7" t="n"/>
      <c r="T3672" s="7" t="n"/>
      <c r="U3672" s="7">
        <f>IF($C3672="","",S3672*T3672)</f>
        <v/>
      </c>
      <c r="X3672">
        <f>IF($C3672="","",IF($AM3672=1,0,IF($AL3672=1,Settings!$C$6,Settings!$C$7))*100)</f>
        <v/>
      </c>
      <c r="AB3672" s="7" t="n"/>
      <c r="AE3672" s="11" t="n"/>
      <c r="AG3672" s="7">
        <f>IF($C3672="","",U3672*X3672/100)</f>
        <v/>
      </c>
      <c r="AH3672" s="7">
        <f>IF($C3672="","",U3672-AG3672)</f>
        <v/>
      </c>
      <c r="AI3672" s="7">
        <f>IF($C3672="","",AH3672-M3672)</f>
        <v/>
      </c>
      <c r="AJ3672">
        <f>IF($C3672="","",IF(COUNTIF($C$2:$C3672,$C3672)=1,1,0))</f>
        <v/>
      </c>
      <c r="AK3672">
        <f>IF($AJ3672=1,SUMPRODUCT(--($AN$2:$AN$4001&lt;$AN3672))+1,"")</f>
        <v/>
      </c>
      <c r="AL3672">
        <f>IF($C3672="","",IF(OR($Q3672=TRUE(),$Q3672="TRUE"),1,0))</f>
        <v/>
      </c>
      <c r="AM3672">
        <f>IF($C3672="","",IF($W3672="Yes",1,0))</f>
        <v/>
      </c>
      <c r="AN3672">
        <f>IF($AJ3672=1,IFERROR(IF(VALUE($C3672)&lt;100000000,VALUE($C3672),1000000000),IFERROR(IF(VALUE(MID($C3672,2,20))&lt;100000000,VALUE(MID($C3672,2,20)),1000000000),1000000000))+ROW()/100000,"")</f>
        <v/>
      </c>
    </row>
    <row r="3673">
      <c r="E3673" s="11" t="n"/>
      <c r="M3673" s="7">
        <f>IF($C3673="","",L3673*U3673/100)</f>
        <v/>
      </c>
      <c r="N3673" s="7" t="n"/>
      <c r="T3673" s="7" t="n"/>
      <c r="U3673" s="7">
        <f>IF($C3673="","",S3673*T3673)</f>
        <v/>
      </c>
      <c r="X3673">
        <f>IF($C3673="","",IF($AM3673=1,0,IF($AL3673=1,Settings!$C$6,Settings!$C$7))*100)</f>
        <v/>
      </c>
      <c r="AB3673" s="7" t="n"/>
      <c r="AE3673" s="11" t="n"/>
      <c r="AG3673" s="7">
        <f>IF($C3673="","",U3673*X3673/100)</f>
        <v/>
      </c>
      <c r="AH3673" s="7">
        <f>IF($C3673="","",U3673-AG3673)</f>
        <v/>
      </c>
      <c r="AI3673" s="7">
        <f>IF($C3673="","",AH3673-M3673)</f>
        <v/>
      </c>
      <c r="AJ3673">
        <f>IF($C3673="","",IF(COUNTIF($C$2:$C3673,$C3673)=1,1,0))</f>
        <v/>
      </c>
      <c r="AK3673">
        <f>IF($AJ3673=1,SUMPRODUCT(--($AN$2:$AN$4001&lt;$AN3673))+1,"")</f>
        <v/>
      </c>
      <c r="AL3673">
        <f>IF($C3673="","",IF(OR($Q3673=TRUE(),$Q3673="TRUE"),1,0))</f>
        <v/>
      </c>
      <c r="AM3673">
        <f>IF($C3673="","",IF($W3673="Yes",1,0))</f>
        <v/>
      </c>
      <c r="AN3673">
        <f>IF($AJ3673=1,IFERROR(IF(VALUE($C3673)&lt;100000000,VALUE($C3673),1000000000),IFERROR(IF(VALUE(MID($C3673,2,20))&lt;100000000,VALUE(MID($C3673,2,20)),1000000000),1000000000))+ROW()/100000,"")</f>
        <v/>
      </c>
    </row>
    <row r="3674">
      <c r="E3674" s="11" t="n"/>
      <c r="M3674" s="7">
        <f>IF($C3674="","",L3674*U3674/100)</f>
        <v/>
      </c>
      <c r="N3674" s="7" t="n"/>
      <c r="T3674" s="7" t="n"/>
      <c r="U3674" s="7">
        <f>IF($C3674="","",S3674*T3674)</f>
        <v/>
      </c>
      <c r="X3674">
        <f>IF($C3674="","",IF($AM3674=1,0,IF($AL3674=1,Settings!$C$6,Settings!$C$7))*100)</f>
        <v/>
      </c>
      <c r="AB3674" s="7" t="n"/>
      <c r="AE3674" s="11" t="n"/>
      <c r="AG3674" s="7">
        <f>IF($C3674="","",U3674*X3674/100)</f>
        <v/>
      </c>
      <c r="AH3674" s="7">
        <f>IF($C3674="","",U3674-AG3674)</f>
        <v/>
      </c>
      <c r="AI3674" s="7">
        <f>IF($C3674="","",AH3674-M3674)</f>
        <v/>
      </c>
      <c r="AJ3674">
        <f>IF($C3674="","",IF(COUNTIF($C$2:$C3674,$C3674)=1,1,0))</f>
        <v/>
      </c>
      <c r="AK3674">
        <f>IF($AJ3674=1,SUMPRODUCT(--($AN$2:$AN$4001&lt;$AN3674))+1,"")</f>
        <v/>
      </c>
      <c r="AL3674">
        <f>IF($C3674="","",IF(OR($Q3674=TRUE(),$Q3674="TRUE"),1,0))</f>
        <v/>
      </c>
      <c r="AM3674">
        <f>IF($C3674="","",IF($W3674="Yes",1,0))</f>
        <v/>
      </c>
      <c r="AN3674">
        <f>IF($AJ3674=1,IFERROR(IF(VALUE($C3674)&lt;100000000,VALUE($C3674),1000000000),IFERROR(IF(VALUE(MID($C3674,2,20))&lt;100000000,VALUE(MID($C3674,2,20)),1000000000),1000000000))+ROW()/100000,"")</f>
        <v/>
      </c>
    </row>
    <row r="3675">
      <c r="E3675" s="11" t="n"/>
      <c r="M3675" s="7">
        <f>IF($C3675="","",L3675*U3675/100)</f>
        <v/>
      </c>
      <c r="N3675" s="7" t="n"/>
      <c r="T3675" s="7" t="n"/>
      <c r="U3675" s="7">
        <f>IF($C3675="","",S3675*T3675)</f>
        <v/>
      </c>
      <c r="X3675">
        <f>IF($C3675="","",IF($AM3675=1,0,IF($AL3675=1,Settings!$C$6,Settings!$C$7))*100)</f>
        <v/>
      </c>
      <c r="AB3675" s="7" t="n"/>
      <c r="AE3675" s="11" t="n"/>
      <c r="AG3675" s="7">
        <f>IF($C3675="","",U3675*X3675/100)</f>
        <v/>
      </c>
      <c r="AH3675" s="7">
        <f>IF($C3675="","",U3675-AG3675)</f>
        <v/>
      </c>
      <c r="AI3675" s="7">
        <f>IF($C3675="","",AH3675-M3675)</f>
        <v/>
      </c>
      <c r="AJ3675">
        <f>IF($C3675="","",IF(COUNTIF($C$2:$C3675,$C3675)=1,1,0))</f>
        <v/>
      </c>
      <c r="AK3675">
        <f>IF($AJ3675=1,SUMPRODUCT(--($AN$2:$AN$4001&lt;$AN3675))+1,"")</f>
        <v/>
      </c>
      <c r="AL3675">
        <f>IF($C3675="","",IF(OR($Q3675=TRUE(),$Q3675="TRUE"),1,0))</f>
        <v/>
      </c>
      <c r="AM3675">
        <f>IF($C3675="","",IF($W3675="Yes",1,0))</f>
        <v/>
      </c>
      <c r="AN3675">
        <f>IF($AJ3675=1,IFERROR(IF(VALUE($C3675)&lt;100000000,VALUE($C3675),1000000000),IFERROR(IF(VALUE(MID($C3675,2,20))&lt;100000000,VALUE(MID($C3675,2,20)),1000000000),1000000000))+ROW()/100000,"")</f>
        <v/>
      </c>
    </row>
    <row r="3676">
      <c r="E3676" s="11" t="n"/>
      <c r="M3676" s="7">
        <f>IF($C3676="","",L3676*U3676/100)</f>
        <v/>
      </c>
      <c r="N3676" s="7" t="n"/>
      <c r="T3676" s="7" t="n"/>
      <c r="U3676" s="7">
        <f>IF($C3676="","",S3676*T3676)</f>
        <v/>
      </c>
      <c r="X3676">
        <f>IF($C3676="","",IF($AM3676=1,0,IF($AL3676=1,Settings!$C$6,Settings!$C$7))*100)</f>
        <v/>
      </c>
      <c r="AB3676" s="7" t="n"/>
      <c r="AE3676" s="11" t="n"/>
      <c r="AG3676" s="7">
        <f>IF($C3676="","",U3676*X3676/100)</f>
        <v/>
      </c>
      <c r="AH3676" s="7">
        <f>IF($C3676="","",U3676-AG3676)</f>
        <v/>
      </c>
      <c r="AI3676" s="7">
        <f>IF($C3676="","",AH3676-M3676)</f>
        <v/>
      </c>
      <c r="AJ3676">
        <f>IF($C3676="","",IF(COUNTIF($C$2:$C3676,$C3676)=1,1,0))</f>
        <v/>
      </c>
      <c r="AK3676">
        <f>IF($AJ3676=1,SUMPRODUCT(--($AN$2:$AN$4001&lt;$AN3676))+1,"")</f>
        <v/>
      </c>
      <c r="AL3676">
        <f>IF($C3676="","",IF(OR($Q3676=TRUE(),$Q3676="TRUE"),1,0))</f>
        <v/>
      </c>
      <c r="AM3676">
        <f>IF($C3676="","",IF($W3676="Yes",1,0))</f>
        <v/>
      </c>
      <c r="AN3676">
        <f>IF($AJ3676=1,IFERROR(IF(VALUE($C3676)&lt;100000000,VALUE($C3676),1000000000),IFERROR(IF(VALUE(MID($C3676,2,20))&lt;100000000,VALUE(MID($C3676,2,20)),1000000000),1000000000))+ROW()/100000,"")</f>
        <v/>
      </c>
    </row>
    <row r="3677">
      <c r="E3677" s="11" t="n"/>
      <c r="M3677" s="7">
        <f>IF($C3677="","",L3677*U3677/100)</f>
        <v/>
      </c>
      <c r="N3677" s="7" t="n"/>
      <c r="T3677" s="7" t="n"/>
      <c r="U3677" s="7">
        <f>IF($C3677="","",S3677*T3677)</f>
        <v/>
      </c>
      <c r="X3677">
        <f>IF($C3677="","",IF($AM3677=1,0,IF($AL3677=1,Settings!$C$6,Settings!$C$7))*100)</f>
        <v/>
      </c>
      <c r="AB3677" s="7" t="n"/>
      <c r="AE3677" s="11" t="n"/>
      <c r="AG3677" s="7">
        <f>IF($C3677="","",U3677*X3677/100)</f>
        <v/>
      </c>
      <c r="AH3677" s="7">
        <f>IF($C3677="","",U3677-AG3677)</f>
        <v/>
      </c>
      <c r="AI3677" s="7">
        <f>IF($C3677="","",AH3677-M3677)</f>
        <v/>
      </c>
      <c r="AJ3677">
        <f>IF($C3677="","",IF(COUNTIF($C$2:$C3677,$C3677)=1,1,0))</f>
        <v/>
      </c>
      <c r="AK3677">
        <f>IF($AJ3677=1,SUMPRODUCT(--($AN$2:$AN$4001&lt;$AN3677))+1,"")</f>
        <v/>
      </c>
      <c r="AL3677">
        <f>IF($C3677="","",IF(OR($Q3677=TRUE(),$Q3677="TRUE"),1,0))</f>
        <v/>
      </c>
      <c r="AM3677">
        <f>IF($C3677="","",IF($W3677="Yes",1,0))</f>
        <v/>
      </c>
      <c r="AN3677">
        <f>IF($AJ3677=1,IFERROR(IF(VALUE($C3677)&lt;100000000,VALUE($C3677),1000000000),IFERROR(IF(VALUE(MID($C3677,2,20))&lt;100000000,VALUE(MID($C3677,2,20)),1000000000),1000000000))+ROW()/100000,"")</f>
        <v/>
      </c>
    </row>
    <row r="3678">
      <c r="E3678" s="11" t="n"/>
      <c r="M3678" s="7">
        <f>IF($C3678="","",L3678*U3678/100)</f>
        <v/>
      </c>
      <c r="N3678" s="7" t="n"/>
      <c r="T3678" s="7" t="n"/>
      <c r="U3678" s="7">
        <f>IF($C3678="","",S3678*T3678)</f>
        <v/>
      </c>
      <c r="X3678">
        <f>IF($C3678="","",IF($AM3678=1,0,IF($AL3678=1,Settings!$C$6,Settings!$C$7))*100)</f>
        <v/>
      </c>
      <c r="AB3678" s="7" t="n"/>
      <c r="AE3678" s="11" t="n"/>
      <c r="AG3678" s="7">
        <f>IF($C3678="","",U3678*X3678/100)</f>
        <v/>
      </c>
      <c r="AH3678" s="7">
        <f>IF($C3678="","",U3678-AG3678)</f>
        <v/>
      </c>
      <c r="AI3678" s="7">
        <f>IF($C3678="","",AH3678-M3678)</f>
        <v/>
      </c>
      <c r="AJ3678">
        <f>IF($C3678="","",IF(COUNTIF($C$2:$C3678,$C3678)=1,1,0))</f>
        <v/>
      </c>
      <c r="AK3678">
        <f>IF($AJ3678=1,SUMPRODUCT(--($AN$2:$AN$4001&lt;$AN3678))+1,"")</f>
        <v/>
      </c>
      <c r="AL3678">
        <f>IF($C3678="","",IF(OR($Q3678=TRUE(),$Q3678="TRUE"),1,0))</f>
        <v/>
      </c>
      <c r="AM3678">
        <f>IF($C3678="","",IF($W3678="Yes",1,0))</f>
        <v/>
      </c>
      <c r="AN3678">
        <f>IF($AJ3678=1,IFERROR(IF(VALUE($C3678)&lt;100000000,VALUE($C3678),1000000000),IFERROR(IF(VALUE(MID($C3678,2,20))&lt;100000000,VALUE(MID($C3678,2,20)),1000000000),1000000000))+ROW()/100000,"")</f>
        <v/>
      </c>
    </row>
    <row r="3679">
      <c r="E3679" s="11" t="n"/>
      <c r="M3679" s="7">
        <f>IF($C3679="","",L3679*U3679/100)</f>
        <v/>
      </c>
      <c r="N3679" s="7" t="n"/>
      <c r="T3679" s="7" t="n"/>
      <c r="U3679" s="7">
        <f>IF($C3679="","",S3679*T3679)</f>
        <v/>
      </c>
      <c r="X3679">
        <f>IF($C3679="","",IF($AM3679=1,0,IF($AL3679=1,Settings!$C$6,Settings!$C$7))*100)</f>
        <v/>
      </c>
      <c r="AB3679" s="7" t="n"/>
      <c r="AE3679" s="11" t="n"/>
      <c r="AG3679" s="7">
        <f>IF($C3679="","",U3679*X3679/100)</f>
        <v/>
      </c>
      <c r="AH3679" s="7">
        <f>IF($C3679="","",U3679-AG3679)</f>
        <v/>
      </c>
      <c r="AI3679" s="7">
        <f>IF($C3679="","",AH3679-M3679)</f>
        <v/>
      </c>
      <c r="AJ3679">
        <f>IF($C3679="","",IF(COUNTIF($C$2:$C3679,$C3679)=1,1,0))</f>
        <v/>
      </c>
      <c r="AK3679">
        <f>IF($AJ3679=1,SUMPRODUCT(--($AN$2:$AN$4001&lt;$AN3679))+1,"")</f>
        <v/>
      </c>
      <c r="AL3679">
        <f>IF($C3679="","",IF(OR($Q3679=TRUE(),$Q3679="TRUE"),1,0))</f>
        <v/>
      </c>
      <c r="AM3679">
        <f>IF($C3679="","",IF($W3679="Yes",1,0))</f>
        <v/>
      </c>
      <c r="AN3679">
        <f>IF($AJ3679=1,IFERROR(IF(VALUE($C3679)&lt;100000000,VALUE($C3679),1000000000),IFERROR(IF(VALUE(MID($C3679,2,20))&lt;100000000,VALUE(MID($C3679,2,20)),1000000000),1000000000))+ROW()/100000,"")</f>
        <v/>
      </c>
    </row>
    <row r="3680">
      <c r="E3680" s="11" t="n"/>
      <c r="M3680" s="7">
        <f>IF($C3680="","",L3680*U3680/100)</f>
        <v/>
      </c>
      <c r="N3680" s="7" t="n"/>
      <c r="T3680" s="7" t="n"/>
      <c r="U3680" s="7">
        <f>IF($C3680="","",S3680*T3680)</f>
        <v/>
      </c>
      <c r="X3680">
        <f>IF($C3680="","",IF($AM3680=1,0,IF($AL3680=1,Settings!$C$6,Settings!$C$7))*100)</f>
        <v/>
      </c>
      <c r="AB3680" s="7" t="n"/>
      <c r="AE3680" s="11" t="n"/>
      <c r="AG3680" s="7">
        <f>IF($C3680="","",U3680*X3680/100)</f>
        <v/>
      </c>
      <c r="AH3680" s="7">
        <f>IF($C3680="","",U3680-AG3680)</f>
        <v/>
      </c>
      <c r="AI3680" s="7">
        <f>IF($C3680="","",AH3680-M3680)</f>
        <v/>
      </c>
      <c r="AJ3680">
        <f>IF($C3680="","",IF(COUNTIF($C$2:$C3680,$C3680)=1,1,0))</f>
        <v/>
      </c>
      <c r="AK3680">
        <f>IF($AJ3680=1,SUMPRODUCT(--($AN$2:$AN$4001&lt;$AN3680))+1,"")</f>
        <v/>
      </c>
      <c r="AL3680">
        <f>IF($C3680="","",IF(OR($Q3680=TRUE(),$Q3680="TRUE"),1,0))</f>
        <v/>
      </c>
      <c r="AM3680">
        <f>IF($C3680="","",IF($W3680="Yes",1,0))</f>
        <v/>
      </c>
      <c r="AN3680">
        <f>IF($AJ3680=1,IFERROR(IF(VALUE($C3680)&lt;100000000,VALUE($C3680),1000000000),IFERROR(IF(VALUE(MID($C3680,2,20))&lt;100000000,VALUE(MID($C3680,2,20)),1000000000),1000000000))+ROW()/100000,"")</f>
        <v/>
      </c>
    </row>
    <row r="3681">
      <c r="E3681" s="11" t="n"/>
      <c r="M3681" s="7">
        <f>IF($C3681="","",L3681*U3681/100)</f>
        <v/>
      </c>
      <c r="N3681" s="7" t="n"/>
      <c r="T3681" s="7" t="n"/>
      <c r="U3681" s="7">
        <f>IF($C3681="","",S3681*T3681)</f>
        <v/>
      </c>
      <c r="X3681">
        <f>IF($C3681="","",IF($AM3681=1,0,IF($AL3681=1,Settings!$C$6,Settings!$C$7))*100)</f>
        <v/>
      </c>
      <c r="AB3681" s="7" t="n"/>
      <c r="AE3681" s="11" t="n"/>
      <c r="AG3681" s="7">
        <f>IF($C3681="","",U3681*X3681/100)</f>
        <v/>
      </c>
      <c r="AH3681" s="7">
        <f>IF($C3681="","",U3681-AG3681)</f>
        <v/>
      </c>
      <c r="AI3681" s="7">
        <f>IF($C3681="","",AH3681-M3681)</f>
        <v/>
      </c>
      <c r="AJ3681">
        <f>IF($C3681="","",IF(COUNTIF($C$2:$C3681,$C3681)=1,1,0))</f>
        <v/>
      </c>
      <c r="AK3681">
        <f>IF($AJ3681=1,SUMPRODUCT(--($AN$2:$AN$4001&lt;$AN3681))+1,"")</f>
        <v/>
      </c>
      <c r="AL3681">
        <f>IF($C3681="","",IF(OR($Q3681=TRUE(),$Q3681="TRUE"),1,0))</f>
        <v/>
      </c>
      <c r="AM3681">
        <f>IF($C3681="","",IF($W3681="Yes",1,0))</f>
        <v/>
      </c>
      <c r="AN3681">
        <f>IF($AJ3681=1,IFERROR(IF(VALUE($C3681)&lt;100000000,VALUE($C3681),1000000000),IFERROR(IF(VALUE(MID($C3681,2,20))&lt;100000000,VALUE(MID($C3681,2,20)),1000000000),1000000000))+ROW()/100000,"")</f>
        <v/>
      </c>
    </row>
    <row r="3682">
      <c r="E3682" s="11" t="n"/>
      <c r="M3682" s="7">
        <f>IF($C3682="","",L3682*U3682/100)</f>
        <v/>
      </c>
      <c r="N3682" s="7" t="n"/>
      <c r="T3682" s="7" t="n"/>
      <c r="U3682" s="7">
        <f>IF($C3682="","",S3682*T3682)</f>
        <v/>
      </c>
      <c r="X3682">
        <f>IF($C3682="","",IF($AM3682=1,0,IF($AL3682=1,Settings!$C$6,Settings!$C$7))*100)</f>
        <v/>
      </c>
      <c r="AB3682" s="7" t="n"/>
      <c r="AE3682" s="11" t="n"/>
      <c r="AG3682" s="7">
        <f>IF($C3682="","",U3682*X3682/100)</f>
        <v/>
      </c>
      <c r="AH3682" s="7">
        <f>IF($C3682="","",U3682-AG3682)</f>
        <v/>
      </c>
      <c r="AI3682" s="7">
        <f>IF($C3682="","",AH3682-M3682)</f>
        <v/>
      </c>
      <c r="AJ3682">
        <f>IF($C3682="","",IF(COUNTIF($C$2:$C3682,$C3682)=1,1,0))</f>
        <v/>
      </c>
      <c r="AK3682">
        <f>IF($AJ3682=1,SUMPRODUCT(--($AN$2:$AN$4001&lt;$AN3682))+1,"")</f>
        <v/>
      </c>
      <c r="AL3682">
        <f>IF($C3682="","",IF(OR($Q3682=TRUE(),$Q3682="TRUE"),1,0))</f>
        <v/>
      </c>
      <c r="AM3682">
        <f>IF($C3682="","",IF($W3682="Yes",1,0))</f>
        <v/>
      </c>
      <c r="AN3682">
        <f>IF($AJ3682=1,IFERROR(IF(VALUE($C3682)&lt;100000000,VALUE($C3682),1000000000),IFERROR(IF(VALUE(MID($C3682,2,20))&lt;100000000,VALUE(MID($C3682,2,20)),1000000000),1000000000))+ROW()/100000,"")</f>
        <v/>
      </c>
    </row>
    <row r="3683">
      <c r="E3683" s="11" t="n"/>
      <c r="M3683" s="7">
        <f>IF($C3683="","",L3683*U3683/100)</f>
        <v/>
      </c>
      <c r="N3683" s="7" t="n"/>
      <c r="T3683" s="7" t="n"/>
      <c r="U3683" s="7">
        <f>IF($C3683="","",S3683*T3683)</f>
        <v/>
      </c>
      <c r="X3683">
        <f>IF($C3683="","",IF($AM3683=1,0,IF($AL3683=1,Settings!$C$6,Settings!$C$7))*100)</f>
        <v/>
      </c>
      <c r="AB3683" s="7" t="n"/>
      <c r="AE3683" s="11" t="n"/>
      <c r="AG3683" s="7">
        <f>IF($C3683="","",U3683*X3683/100)</f>
        <v/>
      </c>
      <c r="AH3683" s="7">
        <f>IF($C3683="","",U3683-AG3683)</f>
        <v/>
      </c>
      <c r="AI3683" s="7">
        <f>IF($C3683="","",AH3683-M3683)</f>
        <v/>
      </c>
      <c r="AJ3683">
        <f>IF($C3683="","",IF(COUNTIF($C$2:$C3683,$C3683)=1,1,0))</f>
        <v/>
      </c>
      <c r="AK3683">
        <f>IF($AJ3683=1,SUMPRODUCT(--($AN$2:$AN$4001&lt;$AN3683))+1,"")</f>
        <v/>
      </c>
      <c r="AL3683">
        <f>IF($C3683="","",IF(OR($Q3683=TRUE(),$Q3683="TRUE"),1,0))</f>
        <v/>
      </c>
      <c r="AM3683">
        <f>IF($C3683="","",IF($W3683="Yes",1,0))</f>
        <v/>
      </c>
      <c r="AN3683">
        <f>IF($AJ3683=1,IFERROR(IF(VALUE($C3683)&lt;100000000,VALUE($C3683),1000000000),IFERROR(IF(VALUE(MID($C3683,2,20))&lt;100000000,VALUE(MID($C3683,2,20)),1000000000),1000000000))+ROW()/100000,"")</f>
        <v/>
      </c>
    </row>
    <row r="3684">
      <c r="E3684" s="11" t="n"/>
      <c r="M3684" s="7">
        <f>IF($C3684="","",L3684*U3684/100)</f>
        <v/>
      </c>
      <c r="N3684" s="7" t="n"/>
      <c r="T3684" s="7" t="n"/>
      <c r="U3684" s="7">
        <f>IF($C3684="","",S3684*T3684)</f>
        <v/>
      </c>
      <c r="X3684">
        <f>IF($C3684="","",IF($AM3684=1,0,IF($AL3684=1,Settings!$C$6,Settings!$C$7))*100)</f>
        <v/>
      </c>
      <c r="AB3684" s="7" t="n"/>
      <c r="AE3684" s="11" t="n"/>
      <c r="AG3684" s="7">
        <f>IF($C3684="","",U3684*X3684/100)</f>
        <v/>
      </c>
      <c r="AH3684" s="7">
        <f>IF($C3684="","",U3684-AG3684)</f>
        <v/>
      </c>
      <c r="AI3684" s="7">
        <f>IF($C3684="","",AH3684-M3684)</f>
        <v/>
      </c>
      <c r="AJ3684">
        <f>IF($C3684="","",IF(COUNTIF($C$2:$C3684,$C3684)=1,1,0))</f>
        <v/>
      </c>
      <c r="AK3684">
        <f>IF($AJ3684=1,SUMPRODUCT(--($AN$2:$AN$4001&lt;$AN3684))+1,"")</f>
        <v/>
      </c>
      <c r="AL3684">
        <f>IF($C3684="","",IF(OR($Q3684=TRUE(),$Q3684="TRUE"),1,0))</f>
        <v/>
      </c>
      <c r="AM3684">
        <f>IF($C3684="","",IF($W3684="Yes",1,0))</f>
        <v/>
      </c>
      <c r="AN3684">
        <f>IF($AJ3684=1,IFERROR(IF(VALUE($C3684)&lt;100000000,VALUE($C3684),1000000000),IFERROR(IF(VALUE(MID($C3684,2,20))&lt;100000000,VALUE(MID($C3684,2,20)),1000000000),1000000000))+ROW()/100000,"")</f>
        <v/>
      </c>
    </row>
    <row r="3685">
      <c r="E3685" s="11" t="n"/>
      <c r="M3685" s="7">
        <f>IF($C3685="","",L3685*U3685/100)</f>
        <v/>
      </c>
      <c r="N3685" s="7" t="n"/>
      <c r="T3685" s="7" t="n"/>
      <c r="U3685" s="7">
        <f>IF($C3685="","",S3685*T3685)</f>
        <v/>
      </c>
      <c r="X3685">
        <f>IF($C3685="","",IF($AM3685=1,0,IF($AL3685=1,Settings!$C$6,Settings!$C$7))*100)</f>
        <v/>
      </c>
      <c r="AB3685" s="7" t="n"/>
      <c r="AE3685" s="11" t="n"/>
      <c r="AG3685" s="7">
        <f>IF($C3685="","",U3685*X3685/100)</f>
        <v/>
      </c>
      <c r="AH3685" s="7">
        <f>IF($C3685="","",U3685-AG3685)</f>
        <v/>
      </c>
      <c r="AI3685" s="7">
        <f>IF($C3685="","",AH3685-M3685)</f>
        <v/>
      </c>
      <c r="AJ3685">
        <f>IF($C3685="","",IF(COUNTIF($C$2:$C3685,$C3685)=1,1,0))</f>
        <v/>
      </c>
      <c r="AK3685">
        <f>IF($AJ3685=1,SUMPRODUCT(--($AN$2:$AN$4001&lt;$AN3685))+1,"")</f>
        <v/>
      </c>
      <c r="AL3685">
        <f>IF($C3685="","",IF(OR($Q3685=TRUE(),$Q3685="TRUE"),1,0))</f>
        <v/>
      </c>
      <c r="AM3685">
        <f>IF($C3685="","",IF($W3685="Yes",1,0))</f>
        <v/>
      </c>
      <c r="AN3685">
        <f>IF($AJ3685=1,IFERROR(IF(VALUE($C3685)&lt;100000000,VALUE($C3685),1000000000),IFERROR(IF(VALUE(MID($C3685,2,20))&lt;100000000,VALUE(MID($C3685,2,20)),1000000000),1000000000))+ROW()/100000,"")</f>
        <v/>
      </c>
    </row>
    <row r="3686">
      <c r="E3686" s="11" t="n"/>
      <c r="M3686" s="7">
        <f>IF($C3686="","",L3686*U3686/100)</f>
        <v/>
      </c>
      <c r="N3686" s="7" t="n"/>
      <c r="T3686" s="7" t="n"/>
      <c r="U3686" s="7">
        <f>IF($C3686="","",S3686*T3686)</f>
        <v/>
      </c>
      <c r="X3686">
        <f>IF($C3686="","",IF($AM3686=1,0,IF($AL3686=1,Settings!$C$6,Settings!$C$7))*100)</f>
        <v/>
      </c>
      <c r="AB3686" s="7" t="n"/>
      <c r="AE3686" s="11" t="n"/>
      <c r="AG3686" s="7">
        <f>IF($C3686="","",U3686*X3686/100)</f>
        <v/>
      </c>
      <c r="AH3686" s="7">
        <f>IF($C3686="","",U3686-AG3686)</f>
        <v/>
      </c>
      <c r="AI3686" s="7">
        <f>IF($C3686="","",AH3686-M3686)</f>
        <v/>
      </c>
      <c r="AJ3686">
        <f>IF($C3686="","",IF(COUNTIF($C$2:$C3686,$C3686)=1,1,0))</f>
        <v/>
      </c>
      <c r="AK3686">
        <f>IF($AJ3686=1,SUMPRODUCT(--($AN$2:$AN$4001&lt;$AN3686))+1,"")</f>
        <v/>
      </c>
      <c r="AL3686">
        <f>IF($C3686="","",IF(OR($Q3686=TRUE(),$Q3686="TRUE"),1,0))</f>
        <v/>
      </c>
      <c r="AM3686">
        <f>IF($C3686="","",IF($W3686="Yes",1,0))</f>
        <v/>
      </c>
      <c r="AN3686">
        <f>IF($AJ3686=1,IFERROR(IF(VALUE($C3686)&lt;100000000,VALUE($C3686),1000000000),IFERROR(IF(VALUE(MID($C3686,2,20))&lt;100000000,VALUE(MID($C3686,2,20)),1000000000),1000000000))+ROW()/100000,"")</f>
        <v/>
      </c>
    </row>
    <row r="3687">
      <c r="E3687" s="11" t="n"/>
      <c r="M3687" s="7">
        <f>IF($C3687="","",L3687*U3687/100)</f>
        <v/>
      </c>
      <c r="N3687" s="7" t="n"/>
      <c r="T3687" s="7" t="n"/>
      <c r="U3687" s="7">
        <f>IF($C3687="","",S3687*T3687)</f>
        <v/>
      </c>
      <c r="X3687">
        <f>IF($C3687="","",IF($AM3687=1,0,IF($AL3687=1,Settings!$C$6,Settings!$C$7))*100)</f>
        <v/>
      </c>
      <c r="AB3687" s="7" t="n"/>
      <c r="AE3687" s="11" t="n"/>
      <c r="AG3687" s="7">
        <f>IF($C3687="","",U3687*X3687/100)</f>
        <v/>
      </c>
      <c r="AH3687" s="7">
        <f>IF($C3687="","",U3687-AG3687)</f>
        <v/>
      </c>
      <c r="AI3687" s="7">
        <f>IF($C3687="","",AH3687-M3687)</f>
        <v/>
      </c>
      <c r="AJ3687">
        <f>IF($C3687="","",IF(COUNTIF($C$2:$C3687,$C3687)=1,1,0))</f>
        <v/>
      </c>
      <c r="AK3687">
        <f>IF($AJ3687=1,SUMPRODUCT(--($AN$2:$AN$4001&lt;$AN3687))+1,"")</f>
        <v/>
      </c>
      <c r="AL3687">
        <f>IF($C3687="","",IF(OR($Q3687=TRUE(),$Q3687="TRUE"),1,0))</f>
        <v/>
      </c>
      <c r="AM3687">
        <f>IF($C3687="","",IF($W3687="Yes",1,0))</f>
        <v/>
      </c>
      <c r="AN3687">
        <f>IF($AJ3687=1,IFERROR(IF(VALUE($C3687)&lt;100000000,VALUE($C3687),1000000000),IFERROR(IF(VALUE(MID($C3687,2,20))&lt;100000000,VALUE(MID($C3687,2,20)),1000000000),1000000000))+ROW()/100000,"")</f>
        <v/>
      </c>
    </row>
    <row r="3688">
      <c r="E3688" s="11" t="n"/>
      <c r="M3688" s="7">
        <f>IF($C3688="","",L3688*U3688/100)</f>
        <v/>
      </c>
      <c r="N3688" s="7" t="n"/>
      <c r="T3688" s="7" t="n"/>
      <c r="U3688" s="7">
        <f>IF($C3688="","",S3688*T3688)</f>
        <v/>
      </c>
      <c r="X3688">
        <f>IF($C3688="","",IF($AM3688=1,0,IF($AL3688=1,Settings!$C$6,Settings!$C$7))*100)</f>
        <v/>
      </c>
      <c r="AB3688" s="7" t="n"/>
      <c r="AE3688" s="11" t="n"/>
      <c r="AG3688" s="7">
        <f>IF($C3688="","",U3688*X3688/100)</f>
        <v/>
      </c>
      <c r="AH3688" s="7">
        <f>IF($C3688="","",U3688-AG3688)</f>
        <v/>
      </c>
      <c r="AI3688" s="7">
        <f>IF($C3688="","",AH3688-M3688)</f>
        <v/>
      </c>
      <c r="AJ3688">
        <f>IF($C3688="","",IF(COUNTIF($C$2:$C3688,$C3688)=1,1,0))</f>
        <v/>
      </c>
      <c r="AK3688">
        <f>IF($AJ3688=1,SUMPRODUCT(--($AN$2:$AN$4001&lt;$AN3688))+1,"")</f>
        <v/>
      </c>
      <c r="AL3688">
        <f>IF($C3688="","",IF(OR($Q3688=TRUE(),$Q3688="TRUE"),1,0))</f>
        <v/>
      </c>
      <c r="AM3688">
        <f>IF($C3688="","",IF($W3688="Yes",1,0))</f>
        <v/>
      </c>
      <c r="AN3688">
        <f>IF($AJ3688=1,IFERROR(IF(VALUE($C3688)&lt;100000000,VALUE($C3688),1000000000),IFERROR(IF(VALUE(MID($C3688,2,20))&lt;100000000,VALUE(MID($C3688,2,20)),1000000000),1000000000))+ROW()/100000,"")</f>
        <v/>
      </c>
    </row>
    <row r="3689">
      <c r="E3689" s="11" t="n"/>
      <c r="M3689" s="7">
        <f>IF($C3689="","",L3689*U3689/100)</f>
        <v/>
      </c>
      <c r="N3689" s="7" t="n"/>
      <c r="T3689" s="7" t="n"/>
      <c r="U3689" s="7">
        <f>IF($C3689="","",S3689*T3689)</f>
        <v/>
      </c>
      <c r="X3689">
        <f>IF($C3689="","",IF($AM3689=1,0,IF($AL3689=1,Settings!$C$6,Settings!$C$7))*100)</f>
        <v/>
      </c>
      <c r="AB3689" s="7" t="n"/>
      <c r="AE3689" s="11" t="n"/>
      <c r="AG3689" s="7">
        <f>IF($C3689="","",U3689*X3689/100)</f>
        <v/>
      </c>
      <c r="AH3689" s="7">
        <f>IF($C3689="","",U3689-AG3689)</f>
        <v/>
      </c>
      <c r="AI3689" s="7">
        <f>IF($C3689="","",AH3689-M3689)</f>
        <v/>
      </c>
      <c r="AJ3689">
        <f>IF($C3689="","",IF(COUNTIF($C$2:$C3689,$C3689)=1,1,0))</f>
        <v/>
      </c>
      <c r="AK3689">
        <f>IF($AJ3689=1,SUMPRODUCT(--($AN$2:$AN$4001&lt;$AN3689))+1,"")</f>
        <v/>
      </c>
      <c r="AL3689">
        <f>IF($C3689="","",IF(OR($Q3689=TRUE(),$Q3689="TRUE"),1,0))</f>
        <v/>
      </c>
      <c r="AM3689">
        <f>IF($C3689="","",IF($W3689="Yes",1,0))</f>
        <v/>
      </c>
      <c r="AN3689">
        <f>IF($AJ3689=1,IFERROR(IF(VALUE($C3689)&lt;100000000,VALUE($C3689),1000000000),IFERROR(IF(VALUE(MID($C3689,2,20))&lt;100000000,VALUE(MID($C3689,2,20)),1000000000),1000000000))+ROW()/100000,"")</f>
        <v/>
      </c>
    </row>
    <row r="3690">
      <c r="E3690" s="11" t="n"/>
      <c r="M3690" s="7">
        <f>IF($C3690="","",L3690*U3690/100)</f>
        <v/>
      </c>
      <c r="N3690" s="7" t="n"/>
      <c r="T3690" s="7" t="n"/>
      <c r="U3690" s="7">
        <f>IF($C3690="","",S3690*T3690)</f>
        <v/>
      </c>
      <c r="X3690">
        <f>IF($C3690="","",IF($AM3690=1,0,IF($AL3690=1,Settings!$C$6,Settings!$C$7))*100)</f>
        <v/>
      </c>
      <c r="AB3690" s="7" t="n"/>
      <c r="AE3690" s="11" t="n"/>
      <c r="AG3690" s="7">
        <f>IF($C3690="","",U3690*X3690/100)</f>
        <v/>
      </c>
      <c r="AH3690" s="7">
        <f>IF($C3690="","",U3690-AG3690)</f>
        <v/>
      </c>
      <c r="AI3690" s="7">
        <f>IF($C3690="","",AH3690-M3690)</f>
        <v/>
      </c>
      <c r="AJ3690">
        <f>IF($C3690="","",IF(COUNTIF($C$2:$C3690,$C3690)=1,1,0))</f>
        <v/>
      </c>
      <c r="AK3690">
        <f>IF($AJ3690=1,SUMPRODUCT(--($AN$2:$AN$4001&lt;$AN3690))+1,"")</f>
        <v/>
      </c>
      <c r="AL3690">
        <f>IF($C3690="","",IF(OR($Q3690=TRUE(),$Q3690="TRUE"),1,0))</f>
        <v/>
      </c>
      <c r="AM3690">
        <f>IF($C3690="","",IF($W3690="Yes",1,0))</f>
        <v/>
      </c>
      <c r="AN3690">
        <f>IF($AJ3690=1,IFERROR(IF(VALUE($C3690)&lt;100000000,VALUE($C3690),1000000000),IFERROR(IF(VALUE(MID($C3690,2,20))&lt;100000000,VALUE(MID($C3690,2,20)),1000000000),1000000000))+ROW()/100000,"")</f>
        <v/>
      </c>
    </row>
    <row r="3691">
      <c r="E3691" s="11" t="n"/>
      <c r="M3691" s="7">
        <f>IF($C3691="","",L3691*U3691/100)</f>
        <v/>
      </c>
      <c r="N3691" s="7" t="n"/>
      <c r="T3691" s="7" t="n"/>
      <c r="U3691" s="7">
        <f>IF($C3691="","",S3691*T3691)</f>
        <v/>
      </c>
      <c r="X3691">
        <f>IF($C3691="","",IF($AM3691=1,0,IF($AL3691=1,Settings!$C$6,Settings!$C$7))*100)</f>
        <v/>
      </c>
      <c r="AB3691" s="7" t="n"/>
      <c r="AE3691" s="11" t="n"/>
      <c r="AG3691" s="7">
        <f>IF($C3691="","",U3691*X3691/100)</f>
        <v/>
      </c>
      <c r="AH3691" s="7">
        <f>IF($C3691="","",U3691-AG3691)</f>
        <v/>
      </c>
      <c r="AI3691" s="7">
        <f>IF($C3691="","",AH3691-M3691)</f>
        <v/>
      </c>
      <c r="AJ3691">
        <f>IF($C3691="","",IF(COUNTIF($C$2:$C3691,$C3691)=1,1,0))</f>
        <v/>
      </c>
      <c r="AK3691">
        <f>IF($AJ3691=1,SUMPRODUCT(--($AN$2:$AN$4001&lt;$AN3691))+1,"")</f>
        <v/>
      </c>
      <c r="AL3691">
        <f>IF($C3691="","",IF(OR($Q3691=TRUE(),$Q3691="TRUE"),1,0))</f>
        <v/>
      </c>
      <c r="AM3691">
        <f>IF($C3691="","",IF($W3691="Yes",1,0))</f>
        <v/>
      </c>
      <c r="AN3691">
        <f>IF($AJ3691=1,IFERROR(IF(VALUE($C3691)&lt;100000000,VALUE($C3691),1000000000),IFERROR(IF(VALUE(MID($C3691,2,20))&lt;100000000,VALUE(MID($C3691,2,20)),1000000000),1000000000))+ROW()/100000,"")</f>
        <v/>
      </c>
    </row>
    <row r="3692">
      <c r="E3692" s="11" t="n"/>
      <c r="M3692" s="7">
        <f>IF($C3692="","",L3692*U3692/100)</f>
        <v/>
      </c>
      <c r="N3692" s="7" t="n"/>
      <c r="T3692" s="7" t="n"/>
      <c r="U3692" s="7">
        <f>IF($C3692="","",S3692*T3692)</f>
        <v/>
      </c>
      <c r="X3692">
        <f>IF($C3692="","",IF($AM3692=1,0,IF($AL3692=1,Settings!$C$6,Settings!$C$7))*100)</f>
        <v/>
      </c>
      <c r="AB3692" s="7" t="n"/>
      <c r="AE3692" s="11" t="n"/>
      <c r="AG3692" s="7">
        <f>IF($C3692="","",U3692*X3692/100)</f>
        <v/>
      </c>
      <c r="AH3692" s="7">
        <f>IF($C3692="","",U3692-AG3692)</f>
        <v/>
      </c>
      <c r="AI3692" s="7">
        <f>IF($C3692="","",AH3692-M3692)</f>
        <v/>
      </c>
      <c r="AJ3692">
        <f>IF($C3692="","",IF(COUNTIF($C$2:$C3692,$C3692)=1,1,0))</f>
        <v/>
      </c>
      <c r="AK3692">
        <f>IF($AJ3692=1,SUMPRODUCT(--($AN$2:$AN$4001&lt;$AN3692))+1,"")</f>
        <v/>
      </c>
      <c r="AL3692">
        <f>IF($C3692="","",IF(OR($Q3692=TRUE(),$Q3692="TRUE"),1,0))</f>
        <v/>
      </c>
      <c r="AM3692">
        <f>IF($C3692="","",IF($W3692="Yes",1,0))</f>
        <v/>
      </c>
      <c r="AN3692">
        <f>IF($AJ3692=1,IFERROR(IF(VALUE($C3692)&lt;100000000,VALUE($C3692),1000000000),IFERROR(IF(VALUE(MID($C3692,2,20))&lt;100000000,VALUE(MID($C3692,2,20)),1000000000),1000000000))+ROW()/100000,"")</f>
        <v/>
      </c>
    </row>
    <row r="3693">
      <c r="E3693" s="11" t="n"/>
      <c r="M3693" s="7">
        <f>IF($C3693="","",L3693*U3693/100)</f>
        <v/>
      </c>
      <c r="N3693" s="7" t="n"/>
      <c r="T3693" s="7" t="n"/>
      <c r="U3693" s="7">
        <f>IF($C3693="","",S3693*T3693)</f>
        <v/>
      </c>
      <c r="X3693">
        <f>IF($C3693="","",IF($AM3693=1,0,IF($AL3693=1,Settings!$C$6,Settings!$C$7))*100)</f>
        <v/>
      </c>
      <c r="AB3693" s="7" t="n"/>
      <c r="AE3693" s="11" t="n"/>
      <c r="AG3693" s="7">
        <f>IF($C3693="","",U3693*X3693/100)</f>
        <v/>
      </c>
      <c r="AH3693" s="7">
        <f>IF($C3693="","",U3693-AG3693)</f>
        <v/>
      </c>
      <c r="AI3693" s="7">
        <f>IF($C3693="","",AH3693-M3693)</f>
        <v/>
      </c>
      <c r="AJ3693">
        <f>IF($C3693="","",IF(COUNTIF($C$2:$C3693,$C3693)=1,1,0))</f>
        <v/>
      </c>
      <c r="AK3693">
        <f>IF($AJ3693=1,SUMPRODUCT(--($AN$2:$AN$4001&lt;$AN3693))+1,"")</f>
        <v/>
      </c>
      <c r="AL3693">
        <f>IF($C3693="","",IF(OR($Q3693=TRUE(),$Q3693="TRUE"),1,0))</f>
        <v/>
      </c>
      <c r="AM3693">
        <f>IF($C3693="","",IF($W3693="Yes",1,0))</f>
        <v/>
      </c>
      <c r="AN3693">
        <f>IF($AJ3693=1,IFERROR(IF(VALUE($C3693)&lt;100000000,VALUE($C3693),1000000000),IFERROR(IF(VALUE(MID($C3693,2,20))&lt;100000000,VALUE(MID($C3693,2,20)),1000000000),1000000000))+ROW()/100000,"")</f>
        <v/>
      </c>
    </row>
    <row r="3694">
      <c r="E3694" s="11" t="n"/>
      <c r="M3694" s="7">
        <f>IF($C3694="","",L3694*U3694/100)</f>
        <v/>
      </c>
      <c r="N3694" s="7" t="n"/>
      <c r="T3694" s="7" t="n"/>
      <c r="U3694" s="7">
        <f>IF($C3694="","",S3694*T3694)</f>
        <v/>
      </c>
      <c r="X3694">
        <f>IF($C3694="","",IF($AM3694=1,0,IF($AL3694=1,Settings!$C$6,Settings!$C$7))*100)</f>
        <v/>
      </c>
      <c r="AB3694" s="7" t="n"/>
      <c r="AE3694" s="11" t="n"/>
      <c r="AG3694" s="7">
        <f>IF($C3694="","",U3694*X3694/100)</f>
        <v/>
      </c>
      <c r="AH3694" s="7">
        <f>IF($C3694="","",U3694-AG3694)</f>
        <v/>
      </c>
      <c r="AI3694" s="7">
        <f>IF($C3694="","",AH3694-M3694)</f>
        <v/>
      </c>
      <c r="AJ3694">
        <f>IF($C3694="","",IF(COUNTIF($C$2:$C3694,$C3694)=1,1,0))</f>
        <v/>
      </c>
      <c r="AK3694">
        <f>IF($AJ3694=1,SUMPRODUCT(--($AN$2:$AN$4001&lt;$AN3694))+1,"")</f>
        <v/>
      </c>
      <c r="AL3694">
        <f>IF($C3694="","",IF(OR($Q3694=TRUE(),$Q3694="TRUE"),1,0))</f>
        <v/>
      </c>
      <c r="AM3694">
        <f>IF($C3694="","",IF($W3694="Yes",1,0))</f>
        <v/>
      </c>
      <c r="AN3694">
        <f>IF($AJ3694=1,IFERROR(IF(VALUE($C3694)&lt;100000000,VALUE($C3694),1000000000),IFERROR(IF(VALUE(MID($C3694,2,20))&lt;100000000,VALUE(MID($C3694,2,20)),1000000000),1000000000))+ROW()/100000,"")</f>
        <v/>
      </c>
    </row>
    <row r="3695">
      <c r="E3695" s="11" t="n"/>
      <c r="M3695" s="7">
        <f>IF($C3695="","",L3695*U3695/100)</f>
        <v/>
      </c>
      <c r="N3695" s="7" t="n"/>
      <c r="T3695" s="7" t="n"/>
      <c r="U3695" s="7">
        <f>IF($C3695="","",S3695*T3695)</f>
        <v/>
      </c>
      <c r="X3695">
        <f>IF($C3695="","",IF($AM3695=1,0,IF($AL3695=1,Settings!$C$6,Settings!$C$7))*100)</f>
        <v/>
      </c>
      <c r="AB3695" s="7" t="n"/>
      <c r="AE3695" s="11" t="n"/>
      <c r="AG3695" s="7">
        <f>IF($C3695="","",U3695*X3695/100)</f>
        <v/>
      </c>
      <c r="AH3695" s="7">
        <f>IF($C3695="","",U3695-AG3695)</f>
        <v/>
      </c>
      <c r="AI3695" s="7">
        <f>IF($C3695="","",AH3695-M3695)</f>
        <v/>
      </c>
      <c r="AJ3695">
        <f>IF($C3695="","",IF(COUNTIF($C$2:$C3695,$C3695)=1,1,0))</f>
        <v/>
      </c>
      <c r="AK3695">
        <f>IF($AJ3695=1,SUMPRODUCT(--($AN$2:$AN$4001&lt;$AN3695))+1,"")</f>
        <v/>
      </c>
      <c r="AL3695">
        <f>IF($C3695="","",IF(OR($Q3695=TRUE(),$Q3695="TRUE"),1,0))</f>
        <v/>
      </c>
      <c r="AM3695">
        <f>IF($C3695="","",IF($W3695="Yes",1,0))</f>
        <v/>
      </c>
      <c r="AN3695">
        <f>IF($AJ3695=1,IFERROR(IF(VALUE($C3695)&lt;100000000,VALUE($C3695),1000000000),IFERROR(IF(VALUE(MID($C3695,2,20))&lt;100000000,VALUE(MID($C3695,2,20)),1000000000),1000000000))+ROW()/100000,"")</f>
        <v/>
      </c>
    </row>
    <row r="3696">
      <c r="E3696" s="11" t="n"/>
      <c r="M3696" s="7">
        <f>IF($C3696="","",L3696*U3696/100)</f>
        <v/>
      </c>
      <c r="N3696" s="7" t="n"/>
      <c r="T3696" s="7" t="n"/>
      <c r="U3696" s="7">
        <f>IF($C3696="","",S3696*T3696)</f>
        <v/>
      </c>
      <c r="X3696">
        <f>IF($C3696="","",IF($AM3696=1,0,IF($AL3696=1,Settings!$C$6,Settings!$C$7))*100)</f>
        <v/>
      </c>
      <c r="AB3696" s="7" t="n"/>
      <c r="AE3696" s="11" t="n"/>
      <c r="AG3696" s="7">
        <f>IF($C3696="","",U3696*X3696/100)</f>
        <v/>
      </c>
      <c r="AH3696" s="7">
        <f>IF($C3696="","",U3696-AG3696)</f>
        <v/>
      </c>
      <c r="AI3696" s="7">
        <f>IF($C3696="","",AH3696-M3696)</f>
        <v/>
      </c>
      <c r="AJ3696">
        <f>IF($C3696="","",IF(COUNTIF($C$2:$C3696,$C3696)=1,1,0))</f>
        <v/>
      </c>
      <c r="AK3696">
        <f>IF($AJ3696=1,SUMPRODUCT(--($AN$2:$AN$4001&lt;$AN3696))+1,"")</f>
        <v/>
      </c>
      <c r="AL3696">
        <f>IF($C3696="","",IF(OR($Q3696=TRUE(),$Q3696="TRUE"),1,0))</f>
        <v/>
      </c>
      <c r="AM3696">
        <f>IF($C3696="","",IF($W3696="Yes",1,0))</f>
        <v/>
      </c>
      <c r="AN3696">
        <f>IF($AJ3696=1,IFERROR(IF(VALUE($C3696)&lt;100000000,VALUE($C3696),1000000000),IFERROR(IF(VALUE(MID($C3696,2,20))&lt;100000000,VALUE(MID($C3696,2,20)),1000000000),1000000000))+ROW()/100000,"")</f>
        <v/>
      </c>
    </row>
    <row r="3697">
      <c r="E3697" s="11" t="n"/>
      <c r="M3697" s="7">
        <f>IF($C3697="","",L3697*U3697/100)</f>
        <v/>
      </c>
      <c r="N3697" s="7" t="n"/>
      <c r="T3697" s="7" t="n"/>
      <c r="U3697" s="7">
        <f>IF($C3697="","",S3697*T3697)</f>
        <v/>
      </c>
      <c r="X3697">
        <f>IF($C3697="","",IF($AM3697=1,0,IF($AL3697=1,Settings!$C$6,Settings!$C$7))*100)</f>
        <v/>
      </c>
      <c r="AB3697" s="7" t="n"/>
      <c r="AE3697" s="11" t="n"/>
      <c r="AG3697" s="7">
        <f>IF($C3697="","",U3697*X3697/100)</f>
        <v/>
      </c>
      <c r="AH3697" s="7">
        <f>IF($C3697="","",U3697-AG3697)</f>
        <v/>
      </c>
      <c r="AI3697" s="7">
        <f>IF($C3697="","",AH3697-M3697)</f>
        <v/>
      </c>
      <c r="AJ3697">
        <f>IF($C3697="","",IF(COUNTIF($C$2:$C3697,$C3697)=1,1,0))</f>
        <v/>
      </c>
      <c r="AK3697">
        <f>IF($AJ3697=1,SUMPRODUCT(--($AN$2:$AN$4001&lt;$AN3697))+1,"")</f>
        <v/>
      </c>
      <c r="AL3697">
        <f>IF($C3697="","",IF(OR($Q3697=TRUE(),$Q3697="TRUE"),1,0))</f>
        <v/>
      </c>
      <c r="AM3697">
        <f>IF($C3697="","",IF($W3697="Yes",1,0))</f>
        <v/>
      </c>
      <c r="AN3697">
        <f>IF($AJ3697=1,IFERROR(IF(VALUE($C3697)&lt;100000000,VALUE($C3697),1000000000),IFERROR(IF(VALUE(MID($C3697,2,20))&lt;100000000,VALUE(MID($C3697,2,20)),1000000000),1000000000))+ROW()/100000,"")</f>
        <v/>
      </c>
    </row>
    <row r="3698">
      <c r="E3698" s="11" t="n"/>
      <c r="M3698" s="7">
        <f>IF($C3698="","",L3698*U3698/100)</f>
        <v/>
      </c>
      <c r="N3698" s="7" t="n"/>
      <c r="T3698" s="7" t="n"/>
      <c r="U3698" s="7">
        <f>IF($C3698="","",S3698*T3698)</f>
        <v/>
      </c>
      <c r="X3698">
        <f>IF($C3698="","",IF($AM3698=1,0,IF($AL3698=1,Settings!$C$6,Settings!$C$7))*100)</f>
        <v/>
      </c>
      <c r="AB3698" s="7" t="n"/>
      <c r="AE3698" s="11" t="n"/>
      <c r="AG3698" s="7">
        <f>IF($C3698="","",U3698*X3698/100)</f>
        <v/>
      </c>
      <c r="AH3698" s="7">
        <f>IF($C3698="","",U3698-AG3698)</f>
        <v/>
      </c>
      <c r="AI3698" s="7">
        <f>IF($C3698="","",AH3698-M3698)</f>
        <v/>
      </c>
      <c r="AJ3698">
        <f>IF($C3698="","",IF(COUNTIF($C$2:$C3698,$C3698)=1,1,0))</f>
        <v/>
      </c>
      <c r="AK3698">
        <f>IF($AJ3698=1,SUMPRODUCT(--($AN$2:$AN$4001&lt;$AN3698))+1,"")</f>
        <v/>
      </c>
      <c r="AL3698">
        <f>IF($C3698="","",IF(OR($Q3698=TRUE(),$Q3698="TRUE"),1,0))</f>
        <v/>
      </c>
      <c r="AM3698">
        <f>IF($C3698="","",IF($W3698="Yes",1,0))</f>
        <v/>
      </c>
      <c r="AN3698">
        <f>IF($AJ3698=1,IFERROR(IF(VALUE($C3698)&lt;100000000,VALUE($C3698),1000000000),IFERROR(IF(VALUE(MID($C3698,2,20))&lt;100000000,VALUE(MID($C3698,2,20)),1000000000),1000000000))+ROW()/100000,"")</f>
        <v/>
      </c>
    </row>
    <row r="3699">
      <c r="E3699" s="11" t="n"/>
      <c r="M3699" s="7">
        <f>IF($C3699="","",L3699*U3699/100)</f>
        <v/>
      </c>
      <c r="N3699" s="7" t="n"/>
      <c r="T3699" s="7" t="n"/>
      <c r="U3699" s="7">
        <f>IF($C3699="","",S3699*T3699)</f>
        <v/>
      </c>
      <c r="X3699">
        <f>IF($C3699="","",IF($AM3699=1,0,IF($AL3699=1,Settings!$C$6,Settings!$C$7))*100)</f>
        <v/>
      </c>
      <c r="AB3699" s="7" t="n"/>
      <c r="AE3699" s="11" t="n"/>
      <c r="AG3699" s="7">
        <f>IF($C3699="","",U3699*X3699/100)</f>
        <v/>
      </c>
      <c r="AH3699" s="7">
        <f>IF($C3699="","",U3699-AG3699)</f>
        <v/>
      </c>
      <c r="AI3699" s="7">
        <f>IF($C3699="","",AH3699-M3699)</f>
        <v/>
      </c>
      <c r="AJ3699">
        <f>IF($C3699="","",IF(COUNTIF($C$2:$C3699,$C3699)=1,1,0))</f>
        <v/>
      </c>
      <c r="AK3699">
        <f>IF($AJ3699=1,SUMPRODUCT(--($AN$2:$AN$4001&lt;$AN3699))+1,"")</f>
        <v/>
      </c>
      <c r="AL3699">
        <f>IF($C3699="","",IF(OR($Q3699=TRUE(),$Q3699="TRUE"),1,0))</f>
        <v/>
      </c>
      <c r="AM3699">
        <f>IF($C3699="","",IF($W3699="Yes",1,0))</f>
        <v/>
      </c>
      <c r="AN3699">
        <f>IF($AJ3699=1,IFERROR(IF(VALUE($C3699)&lt;100000000,VALUE($C3699),1000000000),IFERROR(IF(VALUE(MID($C3699,2,20))&lt;100000000,VALUE(MID($C3699,2,20)),1000000000),1000000000))+ROW()/100000,"")</f>
        <v/>
      </c>
    </row>
    <row r="3700">
      <c r="E3700" s="11" t="n"/>
      <c r="M3700" s="7">
        <f>IF($C3700="","",L3700*U3700/100)</f>
        <v/>
      </c>
      <c r="N3700" s="7" t="n"/>
      <c r="T3700" s="7" t="n"/>
      <c r="U3700" s="7">
        <f>IF($C3700="","",S3700*T3700)</f>
        <v/>
      </c>
      <c r="X3700">
        <f>IF($C3700="","",IF($AM3700=1,0,IF($AL3700=1,Settings!$C$6,Settings!$C$7))*100)</f>
        <v/>
      </c>
      <c r="AB3700" s="7" t="n"/>
      <c r="AE3700" s="11" t="n"/>
      <c r="AG3700" s="7">
        <f>IF($C3700="","",U3700*X3700/100)</f>
        <v/>
      </c>
      <c r="AH3700" s="7">
        <f>IF($C3700="","",U3700-AG3700)</f>
        <v/>
      </c>
      <c r="AI3700" s="7">
        <f>IF($C3700="","",AH3700-M3700)</f>
        <v/>
      </c>
      <c r="AJ3700">
        <f>IF($C3700="","",IF(COUNTIF($C$2:$C3700,$C3700)=1,1,0))</f>
        <v/>
      </c>
      <c r="AK3700">
        <f>IF($AJ3700=1,SUMPRODUCT(--($AN$2:$AN$4001&lt;$AN3700))+1,"")</f>
        <v/>
      </c>
      <c r="AL3700">
        <f>IF($C3700="","",IF(OR($Q3700=TRUE(),$Q3700="TRUE"),1,0))</f>
        <v/>
      </c>
      <c r="AM3700">
        <f>IF($C3700="","",IF($W3700="Yes",1,0))</f>
        <v/>
      </c>
      <c r="AN3700">
        <f>IF($AJ3700=1,IFERROR(IF(VALUE($C3700)&lt;100000000,VALUE($C3700),1000000000),IFERROR(IF(VALUE(MID($C3700,2,20))&lt;100000000,VALUE(MID($C3700,2,20)),1000000000),1000000000))+ROW()/100000,"")</f>
        <v/>
      </c>
    </row>
    <row r="3701">
      <c r="E3701" s="11" t="n"/>
      <c r="M3701" s="7">
        <f>IF($C3701="","",L3701*U3701/100)</f>
        <v/>
      </c>
      <c r="N3701" s="7" t="n"/>
      <c r="T3701" s="7" t="n"/>
      <c r="U3701" s="7">
        <f>IF($C3701="","",S3701*T3701)</f>
        <v/>
      </c>
      <c r="X3701">
        <f>IF($C3701="","",IF($AM3701=1,0,IF($AL3701=1,Settings!$C$6,Settings!$C$7))*100)</f>
        <v/>
      </c>
      <c r="AB3701" s="7" t="n"/>
      <c r="AE3701" s="11" t="n"/>
      <c r="AG3701" s="7">
        <f>IF($C3701="","",U3701*X3701/100)</f>
        <v/>
      </c>
      <c r="AH3701" s="7">
        <f>IF($C3701="","",U3701-AG3701)</f>
        <v/>
      </c>
      <c r="AI3701" s="7">
        <f>IF($C3701="","",AH3701-M3701)</f>
        <v/>
      </c>
      <c r="AJ3701">
        <f>IF($C3701="","",IF(COUNTIF($C$2:$C3701,$C3701)=1,1,0))</f>
        <v/>
      </c>
      <c r="AK3701">
        <f>IF($AJ3701=1,SUMPRODUCT(--($AN$2:$AN$4001&lt;$AN3701))+1,"")</f>
        <v/>
      </c>
      <c r="AL3701">
        <f>IF($C3701="","",IF(OR($Q3701=TRUE(),$Q3701="TRUE"),1,0))</f>
        <v/>
      </c>
      <c r="AM3701">
        <f>IF($C3701="","",IF($W3701="Yes",1,0))</f>
        <v/>
      </c>
      <c r="AN3701">
        <f>IF($AJ3701=1,IFERROR(IF(VALUE($C3701)&lt;100000000,VALUE($C3701),1000000000),IFERROR(IF(VALUE(MID($C3701,2,20))&lt;100000000,VALUE(MID($C3701,2,20)),1000000000),1000000000))+ROW()/100000,"")</f>
        <v/>
      </c>
    </row>
    <row r="3702">
      <c r="E3702" s="11" t="n"/>
      <c r="M3702" s="7">
        <f>IF($C3702="","",L3702*U3702/100)</f>
        <v/>
      </c>
      <c r="N3702" s="7" t="n"/>
      <c r="T3702" s="7" t="n"/>
      <c r="U3702" s="7">
        <f>IF($C3702="","",S3702*T3702)</f>
        <v/>
      </c>
      <c r="X3702">
        <f>IF($C3702="","",IF($AM3702=1,0,IF($AL3702=1,Settings!$C$6,Settings!$C$7))*100)</f>
        <v/>
      </c>
      <c r="AB3702" s="7" t="n"/>
      <c r="AE3702" s="11" t="n"/>
      <c r="AG3702" s="7">
        <f>IF($C3702="","",U3702*X3702/100)</f>
        <v/>
      </c>
      <c r="AH3702" s="7">
        <f>IF($C3702="","",U3702-AG3702)</f>
        <v/>
      </c>
      <c r="AI3702" s="7">
        <f>IF($C3702="","",AH3702-M3702)</f>
        <v/>
      </c>
      <c r="AJ3702">
        <f>IF($C3702="","",IF(COUNTIF($C$2:$C3702,$C3702)=1,1,0))</f>
        <v/>
      </c>
      <c r="AK3702">
        <f>IF($AJ3702=1,SUMPRODUCT(--($AN$2:$AN$4001&lt;$AN3702))+1,"")</f>
        <v/>
      </c>
      <c r="AL3702">
        <f>IF($C3702="","",IF(OR($Q3702=TRUE(),$Q3702="TRUE"),1,0))</f>
        <v/>
      </c>
      <c r="AM3702">
        <f>IF($C3702="","",IF($W3702="Yes",1,0))</f>
        <v/>
      </c>
      <c r="AN3702">
        <f>IF($AJ3702=1,IFERROR(IF(VALUE($C3702)&lt;100000000,VALUE($C3702),1000000000),IFERROR(IF(VALUE(MID($C3702,2,20))&lt;100000000,VALUE(MID($C3702,2,20)),1000000000),1000000000))+ROW()/100000,"")</f>
        <v/>
      </c>
    </row>
    <row r="3703">
      <c r="E3703" s="11" t="n"/>
      <c r="M3703" s="7">
        <f>IF($C3703="","",L3703*U3703/100)</f>
        <v/>
      </c>
      <c r="N3703" s="7" t="n"/>
      <c r="T3703" s="7" t="n"/>
      <c r="U3703" s="7">
        <f>IF($C3703="","",S3703*T3703)</f>
        <v/>
      </c>
      <c r="X3703">
        <f>IF($C3703="","",IF($AM3703=1,0,IF($AL3703=1,Settings!$C$6,Settings!$C$7))*100)</f>
        <v/>
      </c>
      <c r="AB3703" s="7" t="n"/>
      <c r="AE3703" s="11" t="n"/>
      <c r="AG3703" s="7">
        <f>IF($C3703="","",U3703*X3703/100)</f>
        <v/>
      </c>
      <c r="AH3703" s="7">
        <f>IF($C3703="","",U3703-AG3703)</f>
        <v/>
      </c>
      <c r="AI3703" s="7">
        <f>IF($C3703="","",AH3703-M3703)</f>
        <v/>
      </c>
      <c r="AJ3703">
        <f>IF($C3703="","",IF(COUNTIF($C$2:$C3703,$C3703)=1,1,0))</f>
        <v/>
      </c>
      <c r="AK3703">
        <f>IF($AJ3703=1,SUMPRODUCT(--($AN$2:$AN$4001&lt;$AN3703))+1,"")</f>
        <v/>
      </c>
      <c r="AL3703">
        <f>IF($C3703="","",IF(OR($Q3703=TRUE(),$Q3703="TRUE"),1,0))</f>
        <v/>
      </c>
      <c r="AM3703">
        <f>IF($C3703="","",IF($W3703="Yes",1,0))</f>
        <v/>
      </c>
      <c r="AN3703">
        <f>IF($AJ3703=1,IFERROR(IF(VALUE($C3703)&lt;100000000,VALUE($C3703),1000000000),IFERROR(IF(VALUE(MID($C3703,2,20))&lt;100000000,VALUE(MID($C3703,2,20)),1000000000),1000000000))+ROW()/100000,"")</f>
        <v/>
      </c>
    </row>
    <row r="3704">
      <c r="E3704" s="11" t="n"/>
      <c r="M3704" s="7">
        <f>IF($C3704="","",L3704*U3704/100)</f>
        <v/>
      </c>
      <c r="N3704" s="7" t="n"/>
      <c r="T3704" s="7" t="n"/>
      <c r="U3704" s="7">
        <f>IF($C3704="","",S3704*T3704)</f>
        <v/>
      </c>
      <c r="X3704">
        <f>IF($C3704="","",IF($AM3704=1,0,IF($AL3704=1,Settings!$C$6,Settings!$C$7))*100)</f>
        <v/>
      </c>
      <c r="AB3704" s="7" t="n"/>
      <c r="AE3704" s="11" t="n"/>
      <c r="AG3704" s="7">
        <f>IF($C3704="","",U3704*X3704/100)</f>
        <v/>
      </c>
      <c r="AH3704" s="7">
        <f>IF($C3704="","",U3704-AG3704)</f>
        <v/>
      </c>
      <c r="AI3704" s="7">
        <f>IF($C3704="","",AH3704-M3704)</f>
        <v/>
      </c>
      <c r="AJ3704">
        <f>IF($C3704="","",IF(COUNTIF($C$2:$C3704,$C3704)=1,1,0))</f>
        <v/>
      </c>
      <c r="AK3704">
        <f>IF($AJ3704=1,SUMPRODUCT(--($AN$2:$AN$4001&lt;$AN3704))+1,"")</f>
        <v/>
      </c>
      <c r="AL3704">
        <f>IF($C3704="","",IF(OR($Q3704=TRUE(),$Q3704="TRUE"),1,0))</f>
        <v/>
      </c>
      <c r="AM3704">
        <f>IF($C3704="","",IF($W3704="Yes",1,0))</f>
        <v/>
      </c>
      <c r="AN3704">
        <f>IF($AJ3704=1,IFERROR(IF(VALUE($C3704)&lt;100000000,VALUE($C3704),1000000000),IFERROR(IF(VALUE(MID($C3704,2,20))&lt;100000000,VALUE(MID($C3704,2,20)),1000000000),1000000000))+ROW()/100000,"")</f>
        <v/>
      </c>
    </row>
    <row r="3705">
      <c r="E3705" s="11" t="n"/>
      <c r="M3705" s="7">
        <f>IF($C3705="","",L3705*U3705/100)</f>
        <v/>
      </c>
      <c r="N3705" s="7" t="n"/>
      <c r="T3705" s="7" t="n"/>
      <c r="U3705" s="7">
        <f>IF($C3705="","",S3705*T3705)</f>
        <v/>
      </c>
      <c r="X3705">
        <f>IF($C3705="","",IF($AM3705=1,0,IF($AL3705=1,Settings!$C$6,Settings!$C$7))*100)</f>
        <v/>
      </c>
      <c r="AB3705" s="7" t="n"/>
      <c r="AE3705" s="11" t="n"/>
      <c r="AG3705" s="7">
        <f>IF($C3705="","",U3705*X3705/100)</f>
        <v/>
      </c>
      <c r="AH3705" s="7">
        <f>IF($C3705="","",U3705-AG3705)</f>
        <v/>
      </c>
      <c r="AI3705" s="7">
        <f>IF($C3705="","",AH3705-M3705)</f>
        <v/>
      </c>
      <c r="AJ3705">
        <f>IF($C3705="","",IF(COUNTIF($C$2:$C3705,$C3705)=1,1,0))</f>
        <v/>
      </c>
      <c r="AK3705">
        <f>IF($AJ3705=1,SUMPRODUCT(--($AN$2:$AN$4001&lt;$AN3705))+1,"")</f>
        <v/>
      </c>
      <c r="AL3705">
        <f>IF($C3705="","",IF(OR($Q3705=TRUE(),$Q3705="TRUE"),1,0))</f>
        <v/>
      </c>
      <c r="AM3705">
        <f>IF($C3705="","",IF($W3705="Yes",1,0))</f>
        <v/>
      </c>
      <c r="AN3705">
        <f>IF($AJ3705=1,IFERROR(IF(VALUE($C3705)&lt;100000000,VALUE($C3705),1000000000),IFERROR(IF(VALUE(MID($C3705,2,20))&lt;100000000,VALUE(MID($C3705,2,20)),1000000000),1000000000))+ROW()/100000,"")</f>
        <v/>
      </c>
    </row>
    <row r="3706">
      <c r="E3706" s="11" t="n"/>
      <c r="M3706" s="7">
        <f>IF($C3706="","",L3706*U3706/100)</f>
        <v/>
      </c>
      <c r="N3706" s="7" t="n"/>
      <c r="T3706" s="7" t="n"/>
      <c r="U3706" s="7">
        <f>IF($C3706="","",S3706*T3706)</f>
        <v/>
      </c>
      <c r="X3706">
        <f>IF($C3706="","",IF($AM3706=1,0,IF($AL3706=1,Settings!$C$6,Settings!$C$7))*100)</f>
        <v/>
      </c>
      <c r="AB3706" s="7" t="n"/>
      <c r="AE3706" s="11" t="n"/>
      <c r="AG3706" s="7">
        <f>IF($C3706="","",U3706*X3706/100)</f>
        <v/>
      </c>
      <c r="AH3706" s="7">
        <f>IF($C3706="","",U3706-AG3706)</f>
        <v/>
      </c>
      <c r="AI3706" s="7">
        <f>IF($C3706="","",AH3706-M3706)</f>
        <v/>
      </c>
      <c r="AJ3706">
        <f>IF($C3706="","",IF(COUNTIF($C$2:$C3706,$C3706)=1,1,0))</f>
        <v/>
      </c>
      <c r="AK3706">
        <f>IF($AJ3706=1,SUMPRODUCT(--($AN$2:$AN$4001&lt;$AN3706))+1,"")</f>
        <v/>
      </c>
      <c r="AL3706">
        <f>IF($C3706="","",IF(OR($Q3706=TRUE(),$Q3706="TRUE"),1,0))</f>
        <v/>
      </c>
      <c r="AM3706">
        <f>IF($C3706="","",IF($W3706="Yes",1,0))</f>
        <v/>
      </c>
      <c r="AN3706">
        <f>IF($AJ3706=1,IFERROR(IF(VALUE($C3706)&lt;100000000,VALUE($C3706),1000000000),IFERROR(IF(VALUE(MID($C3706,2,20))&lt;100000000,VALUE(MID($C3706,2,20)),1000000000),1000000000))+ROW()/100000,"")</f>
        <v/>
      </c>
    </row>
    <row r="3707">
      <c r="E3707" s="11" t="n"/>
      <c r="M3707" s="7">
        <f>IF($C3707="","",L3707*U3707/100)</f>
        <v/>
      </c>
      <c r="N3707" s="7" t="n"/>
      <c r="T3707" s="7" t="n"/>
      <c r="U3707" s="7">
        <f>IF($C3707="","",S3707*T3707)</f>
        <v/>
      </c>
      <c r="X3707">
        <f>IF($C3707="","",IF($AM3707=1,0,IF($AL3707=1,Settings!$C$6,Settings!$C$7))*100)</f>
        <v/>
      </c>
      <c r="AB3707" s="7" t="n"/>
      <c r="AE3707" s="11" t="n"/>
      <c r="AG3707" s="7">
        <f>IF($C3707="","",U3707*X3707/100)</f>
        <v/>
      </c>
      <c r="AH3707" s="7">
        <f>IF($C3707="","",U3707-AG3707)</f>
        <v/>
      </c>
      <c r="AI3707" s="7">
        <f>IF($C3707="","",AH3707-M3707)</f>
        <v/>
      </c>
      <c r="AJ3707">
        <f>IF($C3707="","",IF(COUNTIF($C$2:$C3707,$C3707)=1,1,0))</f>
        <v/>
      </c>
      <c r="AK3707">
        <f>IF($AJ3707=1,SUMPRODUCT(--($AN$2:$AN$4001&lt;$AN3707))+1,"")</f>
        <v/>
      </c>
      <c r="AL3707">
        <f>IF($C3707="","",IF(OR($Q3707=TRUE(),$Q3707="TRUE"),1,0))</f>
        <v/>
      </c>
      <c r="AM3707">
        <f>IF($C3707="","",IF($W3707="Yes",1,0))</f>
        <v/>
      </c>
      <c r="AN3707">
        <f>IF($AJ3707=1,IFERROR(IF(VALUE($C3707)&lt;100000000,VALUE($C3707),1000000000),IFERROR(IF(VALUE(MID($C3707,2,20))&lt;100000000,VALUE(MID($C3707,2,20)),1000000000),1000000000))+ROW()/100000,"")</f>
        <v/>
      </c>
    </row>
    <row r="3708">
      <c r="E3708" s="11" t="n"/>
      <c r="M3708" s="7">
        <f>IF($C3708="","",L3708*U3708/100)</f>
        <v/>
      </c>
      <c r="N3708" s="7" t="n"/>
      <c r="T3708" s="7" t="n"/>
      <c r="U3708" s="7">
        <f>IF($C3708="","",S3708*T3708)</f>
        <v/>
      </c>
      <c r="X3708">
        <f>IF($C3708="","",IF($AM3708=1,0,IF($AL3708=1,Settings!$C$6,Settings!$C$7))*100)</f>
        <v/>
      </c>
      <c r="AB3708" s="7" t="n"/>
      <c r="AE3708" s="11" t="n"/>
      <c r="AG3708" s="7">
        <f>IF($C3708="","",U3708*X3708/100)</f>
        <v/>
      </c>
      <c r="AH3708" s="7">
        <f>IF($C3708="","",U3708-AG3708)</f>
        <v/>
      </c>
      <c r="AI3708" s="7">
        <f>IF($C3708="","",AH3708-M3708)</f>
        <v/>
      </c>
      <c r="AJ3708">
        <f>IF($C3708="","",IF(COUNTIF($C$2:$C3708,$C3708)=1,1,0))</f>
        <v/>
      </c>
      <c r="AK3708">
        <f>IF($AJ3708=1,SUMPRODUCT(--($AN$2:$AN$4001&lt;$AN3708))+1,"")</f>
        <v/>
      </c>
      <c r="AL3708">
        <f>IF($C3708="","",IF(OR($Q3708=TRUE(),$Q3708="TRUE"),1,0))</f>
        <v/>
      </c>
      <c r="AM3708">
        <f>IF($C3708="","",IF($W3708="Yes",1,0))</f>
        <v/>
      </c>
      <c r="AN3708">
        <f>IF($AJ3708=1,IFERROR(IF(VALUE($C3708)&lt;100000000,VALUE($C3708),1000000000),IFERROR(IF(VALUE(MID($C3708,2,20))&lt;100000000,VALUE(MID($C3708,2,20)),1000000000),1000000000))+ROW()/100000,"")</f>
        <v/>
      </c>
    </row>
    <row r="3709">
      <c r="E3709" s="11" t="n"/>
      <c r="M3709" s="7">
        <f>IF($C3709="","",L3709*U3709/100)</f>
        <v/>
      </c>
      <c r="N3709" s="7" t="n"/>
      <c r="T3709" s="7" t="n"/>
      <c r="U3709" s="7">
        <f>IF($C3709="","",S3709*T3709)</f>
        <v/>
      </c>
      <c r="X3709">
        <f>IF($C3709="","",IF($AM3709=1,0,IF($AL3709=1,Settings!$C$6,Settings!$C$7))*100)</f>
        <v/>
      </c>
      <c r="AB3709" s="7" t="n"/>
      <c r="AE3709" s="11" t="n"/>
      <c r="AG3709" s="7">
        <f>IF($C3709="","",U3709*X3709/100)</f>
        <v/>
      </c>
      <c r="AH3709" s="7">
        <f>IF($C3709="","",U3709-AG3709)</f>
        <v/>
      </c>
      <c r="AI3709" s="7">
        <f>IF($C3709="","",AH3709-M3709)</f>
        <v/>
      </c>
      <c r="AJ3709">
        <f>IF($C3709="","",IF(COUNTIF($C$2:$C3709,$C3709)=1,1,0))</f>
        <v/>
      </c>
      <c r="AK3709">
        <f>IF($AJ3709=1,SUMPRODUCT(--($AN$2:$AN$4001&lt;$AN3709))+1,"")</f>
        <v/>
      </c>
      <c r="AL3709">
        <f>IF($C3709="","",IF(OR($Q3709=TRUE(),$Q3709="TRUE"),1,0))</f>
        <v/>
      </c>
      <c r="AM3709">
        <f>IF($C3709="","",IF($W3709="Yes",1,0))</f>
        <v/>
      </c>
      <c r="AN3709">
        <f>IF($AJ3709=1,IFERROR(IF(VALUE($C3709)&lt;100000000,VALUE($C3709),1000000000),IFERROR(IF(VALUE(MID($C3709,2,20))&lt;100000000,VALUE(MID($C3709,2,20)),1000000000),1000000000))+ROW()/100000,"")</f>
        <v/>
      </c>
    </row>
    <row r="3710">
      <c r="E3710" s="11" t="n"/>
      <c r="M3710" s="7">
        <f>IF($C3710="","",L3710*U3710/100)</f>
        <v/>
      </c>
      <c r="N3710" s="7" t="n"/>
      <c r="T3710" s="7" t="n"/>
      <c r="U3710" s="7">
        <f>IF($C3710="","",S3710*T3710)</f>
        <v/>
      </c>
      <c r="X3710">
        <f>IF($C3710="","",IF($AM3710=1,0,IF($AL3710=1,Settings!$C$6,Settings!$C$7))*100)</f>
        <v/>
      </c>
      <c r="AB3710" s="7" t="n"/>
      <c r="AE3710" s="11" t="n"/>
      <c r="AG3710" s="7">
        <f>IF($C3710="","",U3710*X3710/100)</f>
        <v/>
      </c>
      <c r="AH3710" s="7">
        <f>IF($C3710="","",U3710-AG3710)</f>
        <v/>
      </c>
      <c r="AI3710" s="7">
        <f>IF($C3710="","",AH3710-M3710)</f>
        <v/>
      </c>
      <c r="AJ3710">
        <f>IF($C3710="","",IF(COUNTIF($C$2:$C3710,$C3710)=1,1,0))</f>
        <v/>
      </c>
      <c r="AK3710">
        <f>IF($AJ3710=1,SUMPRODUCT(--($AN$2:$AN$4001&lt;$AN3710))+1,"")</f>
        <v/>
      </c>
      <c r="AL3710">
        <f>IF($C3710="","",IF(OR($Q3710=TRUE(),$Q3710="TRUE"),1,0))</f>
        <v/>
      </c>
      <c r="AM3710">
        <f>IF($C3710="","",IF($W3710="Yes",1,0))</f>
        <v/>
      </c>
      <c r="AN3710">
        <f>IF($AJ3710=1,IFERROR(IF(VALUE($C3710)&lt;100000000,VALUE($C3710),1000000000),IFERROR(IF(VALUE(MID($C3710,2,20))&lt;100000000,VALUE(MID($C3710,2,20)),1000000000),1000000000))+ROW()/100000,"")</f>
        <v/>
      </c>
    </row>
    <row r="3711">
      <c r="E3711" s="11" t="n"/>
      <c r="M3711" s="7">
        <f>IF($C3711="","",L3711*U3711/100)</f>
        <v/>
      </c>
      <c r="N3711" s="7" t="n"/>
      <c r="T3711" s="7" t="n"/>
      <c r="U3711" s="7">
        <f>IF($C3711="","",S3711*T3711)</f>
        <v/>
      </c>
      <c r="X3711">
        <f>IF($C3711="","",IF($AM3711=1,0,IF($AL3711=1,Settings!$C$6,Settings!$C$7))*100)</f>
        <v/>
      </c>
      <c r="AB3711" s="7" t="n"/>
      <c r="AE3711" s="11" t="n"/>
      <c r="AG3711" s="7">
        <f>IF($C3711="","",U3711*X3711/100)</f>
        <v/>
      </c>
      <c r="AH3711" s="7">
        <f>IF($C3711="","",U3711-AG3711)</f>
        <v/>
      </c>
      <c r="AI3711" s="7">
        <f>IF($C3711="","",AH3711-M3711)</f>
        <v/>
      </c>
      <c r="AJ3711">
        <f>IF($C3711="","",IF(COUNTIF($C$2:$C3711,$C3711)=1,1,0))</f>
        <v/>
      </c>
      <c r="AK3711">
        <f>IF($AJ3711=1,SUMPRODUCT(--($AN$2:$AN$4001&lt;$AN3711))+1,"")</f>
        <v/>
      </c>
      <c r="AL3711">
        <f>IF($C3711="","",IF(OR($Q3711=TRUE(),$Q3711="TRUE"),1,0))</f>
        <v/>
      </c>
      <c r="AM3711">
        <f>IF($C3711="","",IF($W3711="Yes",1,0))</f>
        <v/>
      </c>
      <c r="AN3711">
        <f>IF($AJ3711=1,IFERROR(IF(VALUE($C3711)&lt;100000000,VALUE($C3711),1000000000),IFERROR(IF(VALUE(MID($C3711,2,20))&lt;100000000,VALUE(MID($C3711,2,20)),1000000000),1000000000))+ROW()/100000,"")</f>
        <v/>
      </c>
    </row>
    <row r="3712">
      <c r="E3712" s="11" t="n"/>
      <c r="M3712" s="7">
        <f>IF($C3712="","",L3712*U3712/100)</f>
        <v/>
      </c>
      <c r="N3712" s="7" t="n"/>
      <c r="T3712" s="7" t="n"/>
      <c r="U3712" s="7">
        <f>IF($C3712="","",S3712*T3712)</f>
        <v/>
      </c>
      <c r="X3712">
        <f>IF($C3712="","",IF($AM3712=1,0,IF($AL3712=1,Settings!$C$6,Settings!$C$7))*100)</f>
        <v/>
      </c>
      <c r="AB3712" s="7" t="n"/>
      <c r="AE3712" s="11" t="n"/>
      <c r="AG3712" s="7">
        <f>IF($C3712="","",U3712*X3712/100)</f>
        <v/>
      </c>
      <c r="AH3712" s="7">
        <f>IF($C3712="","",U3712-AG3712)</f>
        <v/>
      </c>
      <c r="AI3712" s="7">
        <f>IF($C3712="","",AH3712-M3712)</f>
        <v/>
      </c>
      <c r="AJ3712">
        <f>IF($C3712="","",IF(COUNTIF($C$2:$C3712,$C3712)=1,1,0))</f>
        <v/>
      </c>
      <c r="AK3712">
        <f>IF($AJ3712=1,SUMPRODUCT(--($AN$2:$AN$4001&lt;$AN3712))+1,"")</f>
        <v/>
      </c>
      <c r="AL3712">
        <f>IF($C3712="","",IF(OR($Q3712=TRUE(),$Q3712="TRUE"),1,0))</f>
        <v/>
      </c>
      <c r="AM3712">
        <f>IF($C3712="","",IF($W3712="Yes",1,0))</f>
        <v/>
      </c>
      <c r="AN3712">
        <f>IF($AJ3712=1,IFERROR(IF(VALUE($C3712)&lt;100000000,VALUE($C3712),1000000000),IFERROR(IF(VALUE(MID($C3712,2,20))&lt;100000000,VALUE(MID($C3712,2,20)),1000000000),1000000000))+ROW()/100000,"")</f>
        <v/>
      </c>
    </row>
    <row r="3713">
      <c r="E3713" s="11" t="n"/>
      <c r="M3713" s="7">
        <f>IF($C3713="","",L3713*U3713/100)</f>
        <v/>
      </c>
      <c r="N3713" s="7" t="n"/>
      <c r="T3713" s="7" t="n"/>
      <c r="U3713" s="7">
        <f>IF($C3713="","",S3713*T3713)</f>
        <v/>
      </c>
      <c r="X3713">
        <f>IF($C3713="","",IF($AM3713=1,0,IF($AL3713=1,Settings!$C$6,Settings!$C$7))*100)</f>
        <v/>
      </c>
      <c r="AB3713" s="7" t="n"/>
      <c r="AE3713" s="11" t="n"/>
      <c r="AG3713" s="7">
        <f>IF($C3713="","",U3713*X3713/100)</f>
        <v/>
      </c>
      <c r="AH3713" s="7">
        <f>IF($C3713="","",U3713-AG3713)</f>
        <v/>
      </c>
      <c r="AI3713" s="7">
        <f>IF($C3713="","",AH3713-M3713)</f>
        <v/>
      </c>
      <c r="AJ3713">
        <f>IF($C3713="","",IF(COUNTIF($C$2:$C3713,$C3713)=1,1,0))</f>
        <v/>
      </c>
      <c r="AK3713">
        <f>IF($AJ3713=1,SUMPRODUCT(--($AN$2:$AN$4001&lt;$AN3713))+1,"")</f>
        <v/>
      </c>
      <c r="AL3713">
        <f>IF($C3713="","",IF(OR($Q3713=TRUE(),$Q3713="TRUE"),1,0))</f>
        <v/>
      </c>
      <c r="AM3713">
        <f>IF($C3713="","",IF($W3713="Yes",1,0))</f>
        <v/>
      </c>
      <c r="AN3713">
        <f>IF($AJ3713=1,IFERROR(IF(VALUE($C3713)&lt;100000000,VALUE($C3713),1000000000),IFERROR(IF(VALUE(MID($C3713,2,20))&lt;100000000,VALUE(MID($C3713,2,20)),1000000000),1000000000))+ROW()/100000,"")</f>
        <v/>
      </c>
    </row>
    <row r="3714">
      <c r="E3714" s="11" t="n"/>
      <c r="M3714" s="7">
        <f>IF($C3714="","",L3714*U3714/100)</f>
        <v/>
      </c>
      <c r="N3714" s="7" t="n"/>
      <c r="T3714" s="7" t="n"/>
      <c r="U3714" s="7">
        <f>IF($C3714="","",S3714*T3714)</f>
        <v/>
      </c>
      <c r="X3714">
        <f>IF($C3714="","",IF($AM3714=1,0,IF($AL3714=1,Settings!$C$6,Settings!$C$7))*100)</f>
        <v/>
      </c>
      <c r="AB3714" s="7" t="n"/>
      <c r="AE3714" s="11" t="n"/>
      <c r="AG3714" s="7">
        <f>IF($C3714="","",U3714*X3714/100)</f>
        <v/>
      </c>
      <c r="AH3714" s="7">
        <f>IF($C3714="","",U3714-AG3714)</f>
        <v/>
      </c>
      <c r="AI3714" s="7">
        <f>IF($C3714="","",AH3714-M3714)</f>
        <v/>
      </c>
      <c r="AJ3714">
        <f>IF($C3714="","",IF(COUNTIF($C$2:$C3714,$C3714)=1,1,0))</f>
        <v/>
      </c>
      <c r="AK3714">
        <f>IF($AJ3714=1,SUMPRODUCT(--($AN$2:$AN$4001&lt;$AN3714))+1,"")</f>
        <v/>
      </c>
      <c r="AL3714">
        <f>IF($C3714="","",IF(OR($Q3714=TRUE(),$Q3714="TRUE"),1,0))</f>
        <v/>
      </c>
      <c r="AM3714">
        <f>IF($C3714="","",IF($W3714="Yes",1,0))</f>
        <v/>
      </c>
      <c r="AN3714">
        <f>IF($AJ3714=1,IFERROR(IF(VALUE($C3714)&lt;100000000,VALUE($C3714),1000000000),IFERROR(IF(VALUE(MID($C3714,2,20))&lt;100000000,VALUE(MID($C3714,2,20)),1000000000),1000000000))+ROW()/100000,"")</f>
        <v/>
      </c>
    </row>
    <row r="3715">
      <c r="E3715" s="11" t="n"/>
      <c r="M3715" s="7">
        <f>IF($C3715="","",L3715*U3715/100)</f>
        <v/>
      </c>
      <c r="N3715" s="7" t="n"/>
      <c r="T3715" s="7" t="n"/>
      <c r="U3715" s="7">
        <f>IF($C3715="","",S3715*T3715)</f>
        <v/>
      </c>
      <c r="X3715">
        <f>IF($C3715="","",IF($AM3715=1,0,IF($AL3715=1,Settings!$C$6,Settings!$C$7))*100)</f>
        <v/>
      </c>
      <c r="AB3715" s="7" t="n"/>
      <c r="AE3715" s="11" t="n"/>
      <c r="AG3715" s="7">
        <f>IF($C3715="","",U3715*X3715/100)</f>
        <v/>
      </c>
      <c r="AH3715" s="7">
        <f>IF($C3715="","",U3715-AG3715)</f>
        <v/>
      </c>
      <c r="AI3715" s="7">
        <f>IF($C3715="","",AH3715-M3715)</f>
        <v/>
      </c>
      <c r="AJ3715">
        <f>IF($C3715="","",IF(COUNTIF($C$2:$C3715,$C3715)=1,1,0))</f>
        <v/>
      </c>
      <c r="AK3715">
        <f>IF($AJ3715=1,SUMPRODUCT(--($AN$2:$AN$4001&lt;$AN3715))+1,"")</f>
        <v/>
      </c>
      <c r="AL3715">
        <f>IF($C3715="","",IF(OR($Q3715=TRUE(),$Q3715="TRUE"),1,0))</f>
        <v/>
      </c>
      <c r="AM3715">
        <f>IF($C3715="","",IF($W3715="Yes",1,0))</f>
        <v/>
      </c>
      <c r="AN3715">
        <f>IF($AJ3715=1,IFERROR(IF(VALUE($C3715)&lt;100000000,VALUE($C3715),1000000000),IFERROR(IF(VALUE(MID($C3715,2,20))&lt;100000000,VALUE(MID($C3715,2,20)),1000000000),1000000000))+ROW()/100000,"")</f>
        <v/>
      </c>
    </row>
    <row r="3716">
      <c r="E3716" s="11" t="n"/>
      <c r="M3716" s="7">
        <f>IF($C3716="","",L3716*U3716/100)</f>
        <v/>
      </c>
      <c r="N3716" s="7" t="n"/>
      <c r="T3716" s="7" t="n"/>
      <c r="U3716" s="7">
        <f>IF($C3716="","",S3716*T3716)</f>
        <v/>
      </c>
      <c r="X3716">
        <f>IF($C3716="","",IF($AM3716=1,0,IF($AL3716=1,Settings!$C$6,Settings!$C$7))*100)</f>
        <v/>
      </c>
      <c r="AB3716" s="7" t="n"/>
      <c r="AE3716" s="11" t="n"/>
      <c r="AG3716" s="7">
        <f>IF($C3716="","",U3716*X3716/100)</f>
        <v/>
      </c>
      <c r="AH3716" s="7">
        <f>IF($C3716="","",U3716-AG3716)</f>
        <v/>
      </c>
      <c r="AI3716" s="7">
        <f>IF($C3716="","",AH3716-M3716)</f>
        <v/>
      </c>
      <c r="AJ3716">
        <f>IF($C3716="","",IF(COUNTIF($C$2:$C3716,$C3716)=1,1,0))</f>
        <v/>
      </c>
      <c r="AK3716">
        <f>IF($AJ3716=1,SUMPRODUCT(--($AN$2:$AN$4001&lt;$AN3716))+1,"")</f>
        <v/>
      </c>
      <c r="AL3716">
        <f>IF($C3716="","",IF(OR($Q3716=TRUE(),$Q3716="TRUE"),1,0))</f>
        <v/>
      </c>
      <c r="AM3716">
        <f>IF($C3716="","",IF($W3716="Yes",1,0))</f>
        <v/>
      </c>
      <c r="AN3716">
        <f>IF($AJ3716=1,IFERROR(IF(VALUE($C3716)&lt;100000000,VALUE($C3716),1000000000),IFERROR(IF(VALUE(MID($C3716,2,20))&lt;100000000,VALUE(MID($C3716,2,20)),1000000000),1000000000))+ROW()/100000,"")</f>
        <v/>
      </c>
    </row>
    <row r="3717">
      <c r="E3717" s="11" t="n"/>
      <c r="M3717" s="7">
        <f>IF($C3717="","",L3717*U3717/100)</f>
        <v/>
      </c>
      <c r="N3717" s="7" t="n"/>
      <c r="T3717" s="7" t="n"/>
      <c r="U3717" s="7">
        <f>IF($C3717="","",S3717*T3717)</f>
        <v/>
      </c>
      <c r="X3717">
        <f>IF($C3717="","",IF($AM3717=1,0,IF($AL3717=1,Settings!$C$6,Settings!$C$7))*100)</f>
        <v/>
      </c>
      <c r="AB3717" s="7" t="n"/>
      <c r="AE3717" s="11" t="n"/>
      <c r="AG3717" s="7">
        <f>IF($C3717="","",U3717*X3717/100)</f>
        <v/>
      </c>
      <c r="AH3717" s="7">
        <f>IF($C3717="","",U3717-AG3717)</f>
        <v/>
      </c>
      <c r="AI3717" s="7">
        <f>IF($C3717="","",AH3717-M3717)</f>
        <v/>
      </c>
      <c r="AJ3717">
        <f>IF($C3717="","",IF(COUNTIF($C$2:$C3717,$C3717)=1,1,0))</f>
        <v/>
      </c>
      <c r="AK3717">
        <f>IF($AJ3717=1,SUMPRODUCT(--($AN$2:$AN$4001&lt;$AN3717))+1,"")</f>
        <v/>
      </c>
      <c r="AL3717">
        <f>IF($C3717="","",IF(OR($Q3717=TRUE(),$Q3717="TRUE"),1,0))</f>
        <v/>
      </c>
      <c r="AM3717">
        <f>IF($C3717="","",IF($W3717="Yes",1,0))</f>
        <v/>
      </c>
      <c r="AN3717">
        <f>IF($AJ3717=1,IFERROR(IF(VALUE($C3717)&lt;100000000,VALUE($C3717),1000000000),IFERROR(IF(VALUE(MID($C3717,2,20))&lt;100000000,VALUE(MID($C3717,2,20)),1000000000),1000000000))+ROW()/100000,"")</f>
        <v/>
      </c>
    </row>
    <row r="3718">
      <c r="E3718" s="11" t="n"/>
      <c r="M3718" s="7">
        <f>IF($C3718="","",L3718*U3718/100)</f>
        <v/>
      </c>
      <c r="N3718" s="7" t="n"/>
      <c r="T3718" s="7" t="n"/>
      <c r="U3718" s="7">
        <f>IF($C3718="","",S3718*T3718)</f>
        <v/>
      </c>
      <c r="X3718">
        <f>IF($C3718="","",IF($AM3718=1,0,IF($AL3718=1,Settings!$C$6,Settings!$C$7))*100)</f>
        <v/>
      </c>
      <c r="AB3718" s="7" t="n"/>
      <c r="AE3718" s="11" t="n"/>
      <c r="AG3718" s="7">
        <f>IF($C3718="","",U3718*X3718/100)</f>
        <v/>
      </c>
      <c r="AH3718" s="7">
        <f>IF($C3718="","",U3718-AG3718)</f>
        <v/>
      </c>
      <c r="AI3718" s="7">
        <f>IF($C3718="","",AH3718-M3718)</f>
        <v/>
      </c>
      <c r="AJ3718">
        <f>IF($C3718="","",IF(COUNTIF($C$2:$C3718,$C3718)=1,1,0))</f>
        <v/>
      </c>
      <c r="AK3718">
        <f>IF($AJ3718=1,SUMPRODUCT(--($AN$2:$AN$4001&lt;$AN3718))+1,"")</f>
        <v/>
      </c>
      <c r="AL3718">
        <f>IF($C3718="","",IF(OR($Q3718=TRUE(),$Q3718="TRUE"),1,0))</f>
        <v/>
      </c>
      <c r="AM3718">
        <f>IF($C3718="","",IF($W3718="Yes",1,0))</f>
        <v/>
      </c>
      <c r="AN3718">
        <f>IF($AJ3718=1,IFERROR(IF(VALUE($C3718)&lt;100000000,VALUE($C3718),1000000000),IFERROR(IF(VALUE(MID($C3718,2,20))&lt;100000000,VALUE(MID($C3718,2,20)),1000000000),1000000000))+ROW()/100000,"")</f>
        <v/>
      </c>
    </row>
    <row r="3719">
      <c r="E3719" s="11" t="n"/>
      <c r="M3719" s="7">
        <f>IF($C3719="","",L3719*U3719/100)</f>
        <v/>
      </c>
      <c r="N3719" s="7" t="n"/>
      <c r="T3719" s="7" t="n"/>
      <c r="U3719" s="7">
        <f>IF($C3719="","",S3719*T3719)</f>
        <v/>
      </c>
      <c r="X3719">
        <f>IF($C3719="","",IF($AM3719=1,0,IF($AL3719=1,Settings!$C$6,Settings!$C$7))*100)</f>
        <v/>
      </c>
      <c r="AB3719" s="7" t="n"/>
      <c r="AE3719" s="11" t="n"/>
      <c r="AG3719" s="7">
        <f>IF($C3719="","",U3719*X3719/100)</f>
        <v/>
      </c>
      <c r="AH3719" s="7">
        <f>IF($C3719="","",U3719-AG3719)</f>
        <v/>
      </c>
      <c r="AI3719" s="7">
        <f>IF($C3719="","",AH3719-M3719)</f>
        <v/>
      </c>
      <c r="AJ3719">
        <f>IF($C3719="","",IF(COUNTIF($C$2:$C3719,$C3719)=1,1,0))</f>
        <v/>
      </c>
      <c r="AK3719">
        <f>IF($AJ3719=1,SUMPRODUCT(--($AN$2:$AN$4001&lt;$AN3719))+1,"")</f>
        <v/>
      </c>
      <c r="AL3719">
        <f>IF($C3719="","",IF(OR($Q3719=TRUE(),$Q3719="TRUE"),1,0))</f>
        <v/>
      </c>
      <c r="AM3719">
        <f>IF($C3719="","",IF($W3719="Yes",1,0))</f>
        <v/>
      </c>
      <c r="AN3719">
        <f>IF($AJ3719=1,IFERROR(IF(VALUE($C3719)&lt;100000000,VALUE($C3719),1000000000),IFERROR(IF(VALUE(MID($C3719,2,20))&lt;100000000,VALUE(MID($C3719,2,20)),1000000000),1000000000))+ROW()/100000,"")</f>
        <v/>
      </c>
    </row>
    <row r="3720">
      <c r="E3720" s="11" t="n"/>
      <c r="M3720" s="7">
        <f>IF($C3720="","",L3720*U3720/100)</f>
        <v/>
      </c>
      <c r="N3720" s="7" t="n"/>
      <c r="T3720" s="7" t="n"/>
      <c r="U3720" s="7">
        <f>IF($C3720="","",S3720*T3720)</f>
        <v/>
      </c>
      <c r="X3720">
        <f>IF($C3720="","",IF($AM3720=1,0,IF($AL3720=1,Settings!$C$6,Settings!$C$7))*100)</f>
        <v/>
      </c>
      <c r="AB3720" s="7" t="n"/>
      <c r="AE3720" s="11" t="n"/>
      <c r="AG3720" s="7">
        <f>IF($C3720="","",U3720*X3720/100)</f>
        <v/>
      </c>
      <c r="AH3720" s="7">
        <f>IF($C3720="","",U3720-AG3720)</f>
        <v/>
      </c>
      <c r="AI3720" s="7">
        <f>IF($C3720="","",AH3720-M3720)</f>
        <v/>
      </c>
      <c r="AJ3720">
        <f>IF($C3720="","",IF(COUNTIF($C$2:$C3720,$C3720)=1,1,0))</f>
        <v/>
      </c>
      <c r="AK3720">
        <f>IF($AJ3720=1,SUMPRODUCT(--($AN$2:$AN$4001&lt;$AN3720))+1,"")</f>
        <v/>
      </c>
      <c r="AL3720">
        <f>IF($C3720="","",IF(OR($Q3720=TRUE(),$Q3720="TRUE"),1,0))</f>
        <v/>
      </c>
      <c r="AM3720">
        <f>IF($C3720="","",IF($W3720="Yes",1,0))</f>
        <v/>
      </c>
      <c r="AN3720">
        <f>IF($AJ3720=1,IFERROR(IF(VALUE($C3720)&lt;100000000,VALUE($C3720),1000000000),IFERROR(IF(VALUE(MID($C3720,2,20))&lt;100000000,VALUE(MID($C3720,2,20)),1000000000),1000000000))+ROW()/100000,"")</f>
        <v/>
      </c>
    </row>
    <row r="3721">
      <c r="E3721" s="11" t="n"/>
      <c r="M3721" s="7">
        <f>IF($C3721="","",L3721*U3721/100)</f>
        <v/>
      </c>
      <c r="N3721" s="7" t="n"/>
      <c r="T3721" s="7" t="n"/>
      <c r="U3721" s="7">
        <f>IF($C3721="","",S3721*T3721)</f>
        <v/>
      </c>
      <c r="X3721">
        <f>IF($C3721="","",IF($AM3721=1,0,IF($AL3721=1,Settings!$C$6,Settings!$C$7))*100)</f>
        <v/>
      </c>
      <c r="AB3721" s="7" t="n"/>
      <c r="AE3721" s="11" t="n"/>
      <c r="AG3721" s="7">
        <f>IF($C3721="","",U3721*X3721/100)</f>
        <v/>
      </c>
      <c r="AH3721" s="7">
        <f>IF($C3721="","",U3721-AG3721)</f>
        <v/>
      </c>
      <c r="AI3721" s="7">
        <f>IF($C3721="","",AH3721-M3721)</f>
        <v/>
      </c>
      <c r="AJ3721">
        <f>IF($C3721="","",IF(COUNTIF($C$2:$C3721,$C3721)=1,1,0))</f>
        <v/>
      </c>
      <c r="AK3721">
        <f>IF($AJ3721=1,SUMPRODUCT(--($AN$2:$AN$4001&lt;$AN3721))+1,"")</f>
        <v/>
      </c>
      <c r="AL3721">
        <f>IF($C3721="","",IF(OR($Q3721=TRUE(),$Q3721="TRUE"),1,0))</f>
        <v/>
      </c>
      <c r="AM3721">
        <f>IF($C3721="","",IF($W3721="Yes",1,0))</f>
        <v/>
      </c>
      <c r="AN3721">
        <f>IF($AJ3721=1,IFERROR(IF(VALUE($C3721)&lt;100000000,VALUE($C3721),1000000000),IFERROR(IF(VALUE(MID($C3721,2,20))&lt;100000000,VALUE(MID($C3721,2,20)),1000000000),1000000000))+ROW()/100000,"")</f>
        <v/>
      </c>
    </row>
    <row r="3722">
      <c r="E3722" s="11" t="n"/>
      <c r="M3722" s="7">
        <f>IF($C3722="","",L3722*U3722/100)</f>
        <v/>
      </c>
      <c r="N3722" s="7" t="n"/>
      <c r="T3722" s="7" t="n"/>
      <c r="U3722" s="7">
        <f>IF($C3722="","",S3722*T3722)</f>
        <v/>
      </c>
      <c r="X3722">
        <f>IF($C3722="","",IF($AM3722=1,0,IF($AL3722=1,Settings!$C$6,Settings!$C$7))*100)</f>
        <v/>
      </c>
      <c r="AB3722" s="7" t="n"/>
      <c r="AE3722" s="11" t="n"/>
      <c r="AG3722" s="7">
        <f>IF($C3722="","",U3722*X3722/100)</f>
        <v/>
      </c>
      <c r="AH3722" s="7">
        <f>IF($C3722="","",U3722-AG3722)</f>
        <v/>
      </c>
      <c r="AI3722" s="7">
        <f>IF($C3722="","",AH3722-M3722)</f>
        <v/>
      </c>
      <c r="AJ3722">
        <f>IF($C3722="","",IF(COUNTIF($C$2:$C3722,$C3722)=1,1,0))</f>
        <v/>
      </c>
      <c r="AK3722">
        <f>IF($AJ3722=1,SUMPRODUCT(--($AN$2:$AN$4001&lt;$AN3722))+1,"")</f>
        <v/>
      </c>
      <c r="AL3722">
        <f>IF($C3722="","",IF(OR($Q3722=TRUE(),$Q3722="TRUE"),1,0))</f>
        <v/>
      </c>
      <c r="AM3722">
        <f>IF($C3722="","",IF($W3722="Yes",1,0))</f>
        <v/>
      </c>
      <c r="AN3722">
        <f>IF($AJ3722=1,IFERROR(IF(VALUE($C3722)&lt;100000000,VALUE($C3722),1000000000),IFERROR(IF(VALUE(MID($C3722,2,20))&lt;100000000,VALUE(MID($C3722,2,20)),1000000000),1000000000))+ROW()/100000,"")</f>
        <v/>
      </c>
    </row>
    <row r="3723">
      <c r="E3723" s="11" t="n"/>
      <c r="M3723" s="7">
        <f>IF($C3723="","",L3723*U3723/100)</f>
        <v/>
      </c>
      <c r="N3723" s="7" t="n"/>
      <c r="T3723" s="7" t="n"/>
      <c r="U3723" s="7">
        <f>IF($C3723="","",S3723*T3723)</f>
        <v/>
      </c>
      <c r="X3723">
        <f>IF($C3723="","",IF($AM3723=1,0,IF($AL3723=1,Settings!$C$6,Settings!$C$7))*100)</f>
        <v/>
      </c>
      <c r="AB3723" s="7" t="n"/>
      <c r="AE3723" s="11" t="n"/>
      <c r="AG3723" s="7">
        <f>IF($C3723="","",U3723*X3723/100)</f>
        <v/>
      </c>
      <c r="AH3723" s="7">
        <f>IF($C3723="","",U3723-AG3723)</f>
        <v/>
      </c>
      <c r="AI3723" s="7">
        <f>IF($C3723="","",AH3723-M3723)</f>
        <v/>
      </c>
      <c r="AJ3723">
        <f>IF($C3723="","",IF(COUNTIF($C$2:$C3723,$C3723)=1,1,0))</f>
        <v/>
      </c>
      <c r="AK3723">
        <f>IF($AJ3723=1,SUMPRODUCT(--($AN$2:$AN$4001&lt;$AN3723))+1,"")</f>
        <v/>
      </c>
      <c r="AL3723">
        <f>IF($C3723="","",IF(OR($Q3723=TRUE(),$Q3723="TRUE"),1,0))</f>
        <v/>
      </c>
      <c r="AM3723">
        <f>IF($C3723="","",IF($W3723="Yes",1,0))</f>
        <v/>
      </c>
      <c r="AN3723">
        <f>IF($AJ3723=1,IFERROR(IF(VALUE($C3723)&lt;100000000,VALUE($C3723),1000000000),IFERROR(IF(VALUE(MID($C3723,2,20))&lt;100000000,VALUE(MID($C3723,2,20)),1000000000),1000000000))+ROW()/100000,"")</f>
        <v/>
      </c>
    </row>
    <row r="3724">
      <c r="E3724" s="11" t="n"/>
      <c r="M3724" s="7">
        <f>IF($C3724="","",L3724*U3724/100)</f>
        <v/>
      </c>
      <c r="N3724" s="7" t="n"/>
      <c r="T3724" s="7" t="n"/>
      <c r="U3724" s="7">
        <f>IF($C3724="","",S3724*T3724)</f>
        <v/>
      </c>
      <c r="X3724">
        <f>IF($C3724="","",IF($AM3724=1,0,IF($AL3724=1,Settings!$C$6,Settings!$C$7))*100)</f>
        <v/>
      </c>
      <c r="AB3724" s="7" t="n"/>
      <c r="AE3724" s="11" t="n"/>
      <c r="AG3724" s="7">
        <f>IF($C3724="","",U3724*X3724/100)</f>
        <v/>
      </c>
      <c r="AH3724" s="7">
        <f>IF($C3724="","",U3724-AG3724)</f>
        <v/>
      </c>
      <c r="AI3724" s="7">
        <f>IF($C3724="","",AH3724-M3724)</f>
        <v/>
      </c>
      <c r="AJ3724">
        <f>IF($C3724="","",IF(COUNTIF($C$2:$C3724,$C3724)=1,1,0))</f>
        <v/>
      </c>
      <c r="AK3724">
        <f>IF($AJ3724=1,SUMPRODUCT(--($AN$2:$AN$4001&lt;$AN3724))+1,"")</f>
        <v/>
      </c>
      <c r="AL3724">
        <f>IF($C3724="","",IF(OR($Q3724=TRUE(),$Q3724="TRUE"),1,0))</f>
        <v/>
      </c>
      <c r="AM3724">
        <f>IF($C3724="","",IF($W3724="Yes",1,0))</f>
        <v/>
      </c>
      <c r="AN3724">
        <f>IF($AJ3724=1,IFERROR(IF(VALUE($C3724)&lt;100000000,VALUE($C3724),1000000000),IFERROR(IF(VALUE(MID($C3724,2,20))&lt;100000000,VALUE(MID($C3724,2,20)),1000000000),1000000000))+ROW()/100000,"")</f>
        <v/>
      </c>
    </row>
    <row r="3725">
      <c r="E3725" s="11" t="n"/>
      <c r="M3725" s="7">
        <f>IF($C3725="","",L3725*U3725/100)</f>
        <v/>
      </c>
      <c r="N3725" s="7" t="n"/>
      <c r="T3725" s="7" t="n"/>
      <c r="U3725" s="7">
        <f>IF($C3725="","",S3725*T3725)</f>
        <v/>
      </c>
      <c r="X3725">
        <f>IF($C3725="","",IF($AM3725=1,0,IF($AL3725=1,Settings!$C$6,Settings!$C$7))*100)</f>
        <v/>
      </c>
      <c r="AB3725" s="7" t="n"/>
      <c r="AE3725" s="11" t="n"/>
      <c r="AG3725" s="7">
        <f>IF($C3725="","",U3725*X3725/100)</f>
        <v/>
      </c>
      <c r="AH3725" s="7">
        <f>IF($C3725="","",U3725-AG3725)</f>
        <v/>
      </c>
      <c r="AI3725" s="7">
        <f>IF($C3725="","",AH3725-M3725)</f>
        <v/>
      </c>
      <c r="AJ3725">
        <f>IF($C3725="","",IF(COUNTIF($C$2:$C3725,$C3725)=1,1,0))</f>
        <v/>
      </c>
      <c r="AK3725">
        <f>IF($AJ3725=1,SUMPRODUCT(--($AN$2:$AN$4001&lt;$AN3725))+1,"")</f>
        <v/>
      </c>
      <c r="AL3725">
        <f>IF($C3725="","",IF(OR($Q3725=TRUE(),$Q3725="TRUE"),1,0))</f>
        <v/>
      </c>
      <c r="AM3725">
        <f>IF($C3725="","",IF($W3725="Yes",1,0))</f>
        <v/>
      </c>
      <c r="AN3725">
        <f>IF($AJ3725=1,IFERROR(IF(VALUE($C3725)&lt;100000000,VALUE($C3725),1000000000),IFERROR(IF(VALUE(MID($C3725,2,20))&lt;100000000,VALUE(MID($C3725,2,20)),1000000000),1000000000))+ROW()/100000,"")</f>
        <v/>
      </c>
    </row>
    <row r="3726">
      <c r="E3726" s="11" t="n"/>
      <c r="M3726" s="7">
        <f>IF($C3726="","",L3726*U3726/100)</f>
        <v/>
      </c>
      <c r="N3726" s="7" t="n"/>
      <c r="T3726" s="7" t="n"/>
      <c r="U3726" s="7">
        <f>IF($C3726="","",S3726*T3726)</f>
        <v/>
      </c>
      <c r="X3726">
        <f>IF($C3726="","",IF($AM3726=1,0,IF($AL3726=1,Settings!$C$6,Settings!$C$7))*100)</f>
        <v/>
      </c>
      <c r="AB3726" s="7" t="n"/>
      <c r="AE3726" s="11" t="n"/>
      <c r="AG3726" s="7">
        <f>IF($C3726="","",U3726*X3726/100)</f>
        <v/>
      </c>
      <c r="AH3726" s="7">
        <f>IF($C3726="","",U3726-AG3726)</f>
        <v/>
      </c>
      <c r="AI3726" s="7">
        <f>IF($C3726="","",AH3726-M3726)</f>
        <v/>
      </c>
      <c r="AJ3726">
        <f>IF($C3726="","",IF(COUNTIF($C$2:$C3726,$C3726)=1,1,0))</f>
        <v/>
      </c>
      <c r="AK3726">
        <f>IF($AJ3726=1,SUMPRODUCT(--($AN$2:$AN$4001&lt;$AN3726))+1,"")</f>
        <v/>
      </c>
      <c r="AL3726">
        <f>IF($C3726="","",IF(OR($Q3726=TRUE(),$Q3726="TRUE"),1,0))</f>
        <v/>
      </c>
      <c r="AM3726">
        <f>IF($C3726="","",IF($W3726="Yes",1,0))</f>
        <v/>
      </c>
      <c r="AN3726">
        <f>IF($AJ3726=1,IFERROR(IF(VALUE($C3726)&lt;100000000,VALUE($C3726),1000000000),IFERROR(IF(VALUE(MID($C3726,2,20))&lt;100000000,VALUE(MID($C3726,2,20)),1000000000),1000000000))+ROW()/100000,"")</f>
        <v/>
      </c>
    </row>
    <row r="3727">
      <c r="E3727" s="11" t="n"/>
      <c r="M3727" s="7">
        <f>IF($C3727="","",L3727*U3727/100)</f>
        <v/>
      </c>
      <c r="N3727" s="7" t="n"/>
      <c r="T3727" s="7" t="n"/>
      <c r="U3727" s="7">
        <f>IF($C3727="","",S3727*T3727)</f>
        <v/>
      </c>
      <c r="X3727">
        <f>IF($C3727="","",IF($AM3727=1,0,IF($AL3727=1,Settings!$C$6,Settings!$C$7))*100)</f>
        <v/>
      </c>
      <c r="AB3727" s="7" t="n"/>
      <c r="AE3727" s="11" t="n"/>
      <c r="AG3727" s="7">
        <f>IF($C3727="","",U3727*X3727/100)</f>
        <v/>
      </c>
      <c r="AH3727" s="7">
        <f>IF($C3727="","",U3727-AG3727)</f>
        <v/>
      </c>
      <c r="AI3727" s="7">
        <f>IF($C3727="","",AH3727-M3727)</f>
        <v/>
      </c>
      <c r="AJ3727">
        <f>IF($C3727="","",IF(COUNTIF($C$2:$C3727,$C3727)=1,1,0))</f>
        <v/>
      </c>
      <c r="AK3727">
        <f>IF($AJ3727=1,SUMPRODUCT(--($AN$2:$AN$4001&lt;$AN3727))+1,"")</f>
        <v/>
      </c>
      <c r="AL3727">
        <f>IF($C3727="","",IF(OR($Q3727=TRUE(),$Q3727="TRUE"),1,0))</f>
        <v/>
      </c>
      <c r="AM3727">
        <f>IF($C3727="","",IF($W3727="Yes",1,0))</f>
        <v/>
      </c>
      <c r="AN3727">
        <f>IF($AJ3727=1,IFERROR(IF(VALUE($C3727)&lt;100000000,VALUE($C3727),1000000000),IFERROR(IF(VALUE(MID($C3727,2,20))&lt;100000000,VALUE(MID($C3727,2,20)),1000000000),1000000000))+ROW()/100000,"")</f>
        <v/>
      </c>
    </row>
    <row r="3728">
      <c r="E3728" s="11" t="n"/>
      <c r="M3728" s="7">
        <f>IF($C3728="","",L3728*U3728/100)</f>
        <v/>
      </c>
      <c r="N3728" s="7" t="n"/>
      <c r="T3728" s="7" t="n"/>
      <c r="U3728" s="7">
        <f>IF($C3728="","",S3728*T3728)</f>
        <v/>
      </c>
      <c r="X3728">
        <f>IF($C3728="","",IF($AM3728=1,0,IF($AL3728=1,Settings!$C$6,Settings!$C$7))*100)</f>
        <v/>
      </c>
      <c r="AB3728" s="7" t="n"/>
      <c r="AE3728" s="11" t="n"/>
      <c r="AG3728" s="7">
        <f>IF($C3728="","",U3728*X3728/100)</f>
        <v/>
      </c>
      <c r="AH3728" s="7">
        <f>IF($C3728="","",U3728-AG3728)</f>
        <v/>
      </c>
      <c r="AI3728" s="7">
        <f>IF($C3728="","",AH3728-M3728)</f>
        <v/>
      </c>
      <c r="AJ3728">
        <f>IF($C3728="","",IF(COUNTIF($C$2:$C3728,$C3728)=1,1,0))</f>
        <v/>
      </c>
      <c r="AK3728">
        <f>IF($AJ3728=1,SUMPRODUCT(--($AN$2:$AN$4001&lt;$AN3728))+1,"")</f>
        <v/>
      </c>
      <c r="AL3728">
        <f>IF($C3728="","",IF(OR($Q3728=TRUE(),$Q3728="TRUE"),1,0))</f>
        <v/>
      </c>
      <c r="AM3728">
        <f>IF($C3728="","",IF($W3728="Yes",1,0))</f>
        <v/>
      </c>
      <c r="AN3728">
        <f>IF($AJ3728=1,IFERROR(IF(VALUE($C3728)&lt;100000000,VALUE($C3728),1000000000),IFERROR(IF(VALUE(MID($C3728,2,20))&lt;100000000,VALUE(MID($C3728,2,20)),1000000000),1000000000))+ROW()/100000,"")</f>
        <v/>
      </c>
    </row>
    <row r="3729">
      <c r="E3729" s="11" t="n"/>
      <c r="M3729" s="7">
        <f>IF($C3729="","",L3729*U3729/100)</f>
        <v/>
      </c>
      <c r="N3729" s="7" t="n"/>
      <c r="T3729" s="7" t="n"/>
      <c r="U3729" s="7">
        <f>IF($C3729="","",S3729*T3729)</f>
        <v/>
      </c>
      <c r="X3729">
        <f>IF($C3729="","",IF($AM3729=1,0,IF($AL3729=1,Settings!$C$6,Settings!$C$7))*100)</f>
        <v/>
      </c>
      <c r="AB3729" s="7" t="n"/>
      <c r="AE3729" s="11" t="n"/>
      <c r="AG3729" s="7">
        <f>IF($C3729="","",U3729*X3729/100)</f>
        <v/>
      </c>
      <c r="AH3729" s="7">
        <f>IF($C3729="","",U3729-AG3729)</f>
        <v/>
      </c>
      <c r="AI3729" s="7">
        <f>IF($C3729="","",AH3729-M3729)</f>
        <v/>
      </c>
      <c r="AJ3729">
        <f>IF($C3729="","",IF(COUNTIF($C$2:$C3729,$C3729)=1,1,0))</f>
        <v/>
      </c>
      <c r="AK3729">
        <f>IF($AJ3729=1,SUMPRODUCT(--($AN$2:$AN$4001&lt;$AN3729))+1,"")</f>
        <v/>
      </c>
      <c r="AL3729">
        <f>IF($C3729="","",IF(OR($Q3729=TRUE(),$Q3729="TRUE"),1,0))</f>
        <v/>
      </c>
      <c r="AM3729">
        <f>IF($C3729="","",IF($W3729="Yes",1,0))</f>
        <v/>
      </c>
      <c r="AN3729">
        <f>IF($AJ3729=1,IFERROR(IF(VALUE($C3729)&lt;100000000,VALUE($C3729),1000000000),IFERROR(IF(VALUE(MID($C3729,2,20))&lt;100000000,VALUE(MID($C3729,2,20)),1000000000),1000000000))+ROW()/100000,"")</f>
        <v/>
      </c>
    </row>
    <row r="3730">
      <c r="E3730" s="11" t="n"/>
      <c r="M3730" s="7">
        <f>IF($C3730="","",L3730*U3730/100)</f>
        <v/>
      </c>
      <c r="N3730" s="7" t="n"/>
      <c r="T3730" s="7" t="n"/>
      <c r="U3730" s="7">
        <f>IF($C3730="","",S3730*T3730)</f>
        <v/>
      </c>
      <c r="X3730">
        <f>IF($C3730="","",IF($AM3730=1,0,IF($AL3730=1,Settings!$C$6,Settings!$C$7))*100)</f>
        <v/>
      </c>
      <c r="AB3730" s="7" t="n"/>
      <c r="AE3730" s="11" t="n"/>
      <c r="AG3730" s="7">
        <f>IF($C3730="","",U3730*X3730/100)</f>
        <v/>
      </c>
      <c r="AH3730" s="7">
        <f>IF($C3730="","",U3730-AG3730)</f>
        <v/>
      </c>
      <c r="AI3730" s="7">
        <f>IF($C3730="","",AH3730-M3730)</f>
        <v/>
      </c>
      <c r="AJ3730">
        <f>IF($C3730="","",IF(COUNTIF($C$2:$C3730,$C3730)=1,1,0))</f>
        <v/>
      </c>
      <c r="AK3730">
        <f>IF($AJ3730=1,SUMPRODUCT(--($AN$2:$AN$4001&lt;$AN3730))+1,"")</f>
        <v/>
      </c>
      <c r="AL3730">
        <f>IF($C3730="","",IF(OR($Q3730=TRUE(),$Q3730="TRUE"),1,0))</f>
        <v/>
      </c>
      <c r="AM3730">
        <f>IF($C3730="","",IF($W3730="Yes",1,0))</f>
        <v/>
      </c>
      <c r="AN3730">
        <f>IF($AJ3730=1,IFERROR(IF(VALUE($C3730)&lt;100000000,VALUE($C3730),1000000000),IFERROR(IF(VALUE(MID($C3730,2,20))&lt;100000000,VALUE(MID($C3730,2,20)),1000000000),1000000000))+ROW()/100000,"")</f>
        <v/>
      </c>
    </row>
    <row r="3731">
      <c r="E3731" s="11" t="n"/>
      <c r="M3731" s="7">
        <f>IF($C3731="","",L3731*U3731/100)</f>
        <v/>
      </c>
      <c r="N3731" s="7" t="n"/>
      <c r="T3731" s="7" t="n"/>
      <c r="U3731" s="7">
        <f>IF($C3731="","",S3731*T3731)</f>
        <v/>
      </c>
      <c r="X3731">
        <f>IF($C3731="","",IF($AM3731=1,0,IF($AL3731=1,Settings!$C$6,Settings!$C$7))*100)</f>
        <v/>
      </c>
      <c r="AB3731" s="7" t="n"/>
      <c r="AE3731" s="11" t="n"/>
      <c r="AG3731" s="7">
        <f>IF($C3731="","",U3731*X3731/100)</f>
        <v/>
      </c>
      <c r="AH3731" s="7">
        <f>IF($C3731="","",U3731-AG3731)</f>
        <v/>
      </c>
      <c r="AI3731" s="7">
        <f>IF($C3731="","",AH3731-M3731)</f>
        <v/>
      </c>
      <c r="AJ3731">
        <f>IF($C3731="","",IF(COUNTIF($C$2:$C3731,$C3731)=1,1,0))</f>
        <v/>
      </c>
      <c r="AK3731">
        <f>IF($AJ3731=1,SUMPRODUCT(--($AN$2:$AN$4001&lt;$AN3731))+1,"")</f>
        <v/>
      </c>
      <c r="AL3731">
        <f>IF($C3731="","",IF(OR($Q3731=TRUE(),$Q3731="TRUE"),1,0))</f>
        <v/>
      </c>
      <c r="AM3731">
        <f>IF($C3731="","",IF($W3731="Yes",1,0))</f>
        <v/>
      </c>
      <c r="AN3731">
        <f>IF($AJ3731=1,IFERROR(IF(VALUE($C3731)&lt;100000000,VALUE($C3731),1000000000),IFERROR(IF(VALUE(MID($C3731,2,20))&lt;100000000,VALUE(MID($C3731,2,20)),1000000000),1000000000))+ROW()/100000,"")</f>
        <v/>
      </c>
    </row>
    <row r="3732">
      <c r="E3732" s="11" t="n"/>
      <c r="M3732" s="7">
        <f>IF($C3732="","",L3732*U3732/100)</f>
        <v/>
      </c>
      <c r="N3732" s="7" t="n"/>
      <c r="T3732" s="7" t="n"/>
      <c r="U3732" s="7">
        <f>IF($C3732="","",S3732*T3732)</f>
        <v/>
      </c>
      <c r="X3732">
        <f>IF($C3732="","",IF($AM3732=1,0,IF($AL3732=1,Settings!$C$6,Settings!$C$7))*100)</f>
        <v/>
      </c>
      <c r="AB3732" s="7" t="n"/>
      <c r="AE3732" s="11" t="n"/>
      <c r="AG3732" s="7">
        <f>IF($C3732="","",U3732*X3732/100)</f>
        <v/>
      </c>
      <c r="AH3732" s="7">
        <f>IF($C3732="","",U3732-AG3732)</f>
        <v/>
      </c>
      <c r="AI3732" s="7">
        <f>IF($C3732="","",AH3732-M3732)</f>
        <v/>
      </c>
      <c r="AJ3732">
        <f>IF($C3732="","",IF(COUNTIF($C$2:$C3732,$C3732)=1,1,0))</f>
        <v/>
      </c>
      <c r="AK3732">
        <f>IF($AJ3732=1,SUMPRODUCT(--($AN$2:$AN$4001&lt;$AN3732))+1,"")</f>
        <v/>
      </c>
      <c r="AL3732">
        <f>IF($C3732="","",IF(OR($Q3732=TRUE(),$Q3732="TRUE"),1,0))</f>
        <v/>
      </c>
      <c r="AM3732">
        <f>IF($C3732="","",IF($W3732="Yes",1,0))</f>
        <v/>
      </c>
      <c r="AN3732">
        <f>IF($AJ3732=1,IFERROR(IF(VALUE($C3732)&lt;100000000,VALUE($C3732),1000000000),IFERROR(IF(VALUE(MID($C3732,2,20))&lt;100000000,VALUE(MID($C3732,2,20)),1000000000),1000000000))+ROW()/100000,"")</f>
        <v/>
      </c>
    </row>
    <row r="3733">
      <c r="E3733" s="11" t="n"/>
      <c r="M3733" s="7">
        <f>IF($C3733="","",L3733*U3733/100)</f>
        <v/>
      </c>
      <c r="N3733" s="7" t="n"/>
      <c r="T3733" s="7" t="n"/>
      <c r="U3733" s="7">
        <f>IF($C3733="","",S3733*T3733)</f>
        <v/>
      </c>
      <c r="X3733">
        <f>IF($C3733="","",IF($AM3733=1,0,IF($AL3733=1,Settings!$C$6,Settings!$C$7))*100)</f>
        <v/>
      </c>
      <c r="AB3733" s="7" t="n"/>
      <c r="AE3733" s="11" t="n"/>
      <c r="AG3733" s="7">
        <f>IF($C3733="","",U3733*X3733/100)</f>
        <v/>
      </c>
      <c r="AH3733" s="7">
        <f>IF($C3733="","",U3733-AG3733)</f>
        <v/>
      </c>
      <c r="AI3733" s="7">
        <f>IF($C3733="","",AH3733-M3733)</f>
        <v/>
      </c>
      <c r="AJ3733">
        <f>IF($C3733="","",IF(COUNTIF($C$2:$C3733,$C3733)=1,1,0))</f>
        <v/>
      </c>
      <c r="AK3733">
        <f>IF($AJ3733=1,SUMPRODUCT(--($AN$2:$AN$4001&lt;$AN3733))+1,"")</f>
        <v/>
      </c>
      <c r="AL3733">
        <f>IF($C3733="","",IF(OR($Q3733=TRUE(),$Q3733="TRUE"),1,0))</f>
        <v/>
      </c>
      <c r="AM3733">
        <f>IF($C3733="","",IF($W3733="Yes",1,0))</f>
        <v/>
      </c>
      <c r="AN3733">
        <f>IF($AJ3733=1,IFERROR(IF(VALUE($C3733)&lt;100000000,VALUE($C3733),1000000000),IFERROR(IF(VALUE(MID($C3733,2,20))&lt;100000000,VALUE(MID($C3733,2,20)),1000000000),1000000000))+ROW()/100000,"")</f>
        <v/>
      </c>
    </row>
    <row r="3734">
      <c r="E3734" s="11" t="n"/>
      <c r="M3734" s="7">
        <f>IF($C3734="","",L3734*U3734/100)</f>
        <v/>
      </c>
      <c r="N3734" s="7" t="n"/>
      <c r="T3734" s="7" t="n"/>
      <c r="U3734" s="7">
        <f>IF($C3734="","",S3734*T3734)</f>
        <v/>
      </c>
      <c r="X3734">
        <f>IF($C3734="","",IF($AM3734=1,0,IF($AL3734=1,Settings!$C$6,Settings!$C$7))*100)</f>
        <v/>
      </c>
      <c r="AB3734" s="7" t="n"/>
      <c r="AE3734" s="11" t="n"/>
      <c r="AG3734" s="7">
        <f>IF($C3734="","",U3734*X3734/100)</f>
        <v/>
      </c>
      <c r="AH3734" s="7">
        <f>IF($C3734="","",U3734-AG3734)</f>
        <v/>
      </c>
      <c r="AI3734" s="7">
        <f>IF($C3734="","",AH3734-M3734)</f>
        <v/>
      </c>
      <c r="AJ3734">
        <f>IF($C3734="","",IF(COUNTIF($C$2:$C3734,$C3734)=1,1,0))</f>
        <v/>
      </c>
      <c r="AK3734">
        <f>IF($AJ3734=1,SUMPRODUCT(--($AN$2:$AN$4001&lt;$AN3734))+1,"")</f>
        <v/>
      </c>
      <c r="AL3734">
        <f>IF($C3734="","",IF(OR($Q3734=TRUE(),$Q3734="TRUE"),1,0))</f>
        <v/>
      </c>
      <c r="AM3734">
        <f>IF($C3734="","",IF($W3734="Yes",1,0))</f>
        <v/>
      </c>
      <c r="AN3734">
        <f>IF($AJ3734=1,IFERROR(IF(VALUE($C3734)&lt;100000000,VALUE($C3734),1000000000),IFERROR(IF(VALUE(MID($C3734,2,20))&lt;100000000,VALUE(MID($C3734,2,20)),1000000000),1000000000))+ROW()/100000,"")</f>
        <v/>
      </c>
    </row>
    <row r="3735">
      <c r="E3735" s="11" t="n"/>
      <c r="M3735" s="7">
        <f>IF($C3735="","",L3735*U3735/100)</f>
        <v/>
      </c>
      <c r="N3735" s="7" t="n"/>
      <c r="T3735" s="7" t="n"/>
      <c r="U3735" s="7">
        <f>IF($C3735="","",S3735*T3735)</f>
        <v/>
      </c>
      <c r="X3735">
        <f>IF($C3735="","",IF($AM3735=1,0,IF($AL3735=1,Settings!$C$6,Settings!$C$7))*100)</f>
        <v/>
      </c>
      <c r="AB3735" s="7" t="n"/>
      <c r="AE3735" s="11" t="n"/>
      <c r="AG3735" s="7">
        <f>IF($C3735="","",U3735*X3735/100)</f>
        <v/>
      </c>
      <c r="AH3735" s="7">
        <f>IF($C3735="","",U3735-AG3735)</f>
        <v/>
      </c>
      <c r="AI3735" s="7">
        <f>IF($C3735="","",AH3735-M3735)</f>
        <v/>
      </c>
      <c r="AJ3735">
        <f>IF($C3735="","",IF(COUNTIF($C$2:$C3735,$C3735)=1,1,0))</f>
        <v/>
      </c>
      <c r="AK3735">
        <f>IF($AJ3735=1,SUMPRODUCT(--($AN$2:$AN$4001&lt;$AN3735))+1,"")</f>
        <v/>
      </c>
      <c r="AL3735">
        <f>IF($C3735="","",IF(OR($Q3735=TRUE(),$Q3735="TRUE"),1,0))</f>
        <v/>
      </c>
      <c r="AM3735">
        <f>IF($C3735="","",IF($W3735="Yes",1,0))</f>
        <v/>
      </c>
      <c r="AN3735">
        <f>IF($AJ3735=1,IFERROR(IF(VALUE($C3735)&lt;100000000,VALUE($C3735),1000000000),IFERROR(IF(VALUE(MID($C3735,2,20))&lt;100000000,VALUE(MID($C3735,2,20)),1000000000),1000000000))+ROW()/100000,"")</f>
        <v/>
      </c>
    </row>
    <row r="3736">
      <c r="E3736" s="11" t="n"/>
      <c r="M3736" s="7">
        <f>IF($C3736="","",L3736*U3736/100)</f>
        <v/>
      </c>
      <c r="N3736" s="7" t="n"/>
      <c r="T3736" s="7" t="n"/>
      <c r="U3736" s="7">
        <f>IF($C3736="","",S3736*T3736)</f>
        <v/>
      </c>
      <c r="X3736">
        <f>IF($C3736="","",IF($AM3736=1,0,IF($AL3736=1,Settings!$C$6,Settings!$C$7))*100)</f>
        <v/>
      </c>
      <c r="AB3736" s="7" t="n"/>
      <c r="AE3736" s="11" t="n"/>
      <c r="AG3736" s="7">
        <f>IF($C3736="","",U3736*X3736/100)</f>
        <v/>
      </c>
      <c r="AH3736" s="7">
        <f>IF($C3736="","",U3736-AG3736)</f>
        <v/>
      </c>
      <c r="AI3736" s="7">
        <f>IF($C3736="","",AH3736-M3736)</f>
        <v/>
      </c>
      <c r="AJ3736">
        <f>IF($C3736="","",IF(COUNTIF($C$2:$C3736,$C3736)=1,1,0))</f>
        <v/>
      </c>
      <c r="AK3736">
        <f>IF($AJ3736=1,SUMPRODUCT(--($AN$2:$AN$4001&lt;$AN3736))+1,"")</f>
        <v/>
      </c>
      <c r="AL3736">
        <f>IF($C3736="","",IF(OR($Q3736=TRUE(),$Q3736="TRUE"),1,0))</f>
        <v/>
      </c>
      <c r="AM3736">
        <f>IF($C3736="","",IF($W3736="Yes",1,0))</f>
        <v/>
      </c>
      <c r="AN3736">
        <f>IF($AJ3736=1,IFERROR(IF(VALUE($C3736)&lt;100000000,VALUE($C3736),1000000000),IFERROR(IF(VALUE(MID($C3736,2,20))&lt;100000000,VALUE(MID($C3736,2,20)),1000000000),1000000000))+ROW()/100000,"")</f>
        <v/>
      </c>
    </row>
    <row r="3737">
      <c r="E3737" s="11" t="n"/>
      <c r="M3737" s="7">
        <f>IF($C3737="","",L3737*U3737/100)</f>
        <v/>
      </c>
      <c r="N3737" s="7" t="n"/>
      <c r="T3737" s="7" t="n"/>
      <c r="U3737" s="7">
        <f>IF($C3737="","",S3737*T3737)</f>
        <v/>
      </c>
      <c r="X3737">
        <f>IF($C3737="","",IF($AM3737=1,0,IF($AL3737=1,Settings!$C$6,Settings!$C$7))*100)</f>
        <v/>
      </c>
      <c r="AB3737" s="7" t="n"/>
      <c r="AE3737" s="11" t="n"/>
      <c r="AG3737" s="7">
        <f>IF($C3737="","",U3737*X3737/100)</f>
        <v/>
      </c>
      <c r="AH3737" s="7">
        <f>IF($C3737="","",U3737-AG3737)</f>
        <v/>
      </c>
      <c r="AI3737" s="7">
        <f>IF($C3737="","",AH3737-M3737)</f>
        <v/>
      </c>
      <c r="AJ3737">
        <f>IF($C3737="","",IF(COUNTIF($C$2:$C3737,$C3737)=1,1,0))</f>
        <v/>
      </c>
      <c r="AK3737">
        <f>IF($AJ3737=1,SUMPRODUCT(--($AN$2:$AN$4001&lt;$AN3737))+1,"")</f>
        <v/>
      </c>
      <c r="AL3737">
        <f>IF($C3737="","",IF(OR($Q3737=TRUE(),$Q3737="TRUE"),1,0))</f>
        <v/>
      </c>
      <c r="AM3737">
        <f>IF($C3737="","",IF($W3737="Yes",1,0))</f>
        <v/>
      </c>
      <c r="AN3737">
        <f>IF($AJ3737=1,IFERROR(IF(VALUE($C3737)&lt;100000000,VALUE($C3737),1000000000),IFERROR(IF(VALUE(MID($C3737,2,20))&lt;100000000,VALUE(MID($C3737,2,20)),1000000000),1000000000))+ROW()/100000,"")</f>
        <v/>
      </c>
    </row>
    <row r="3738">
      <c r="E3738" s="11" t="n"/>
      <c r="M3738" s="7">
        <f>IF($C3738="","",L3738*U3738/100)</f>
        <v/>
      </c>
      <c r="N3738" s="7" t="n"/>
      <c r="T3738" s="7" t="n"/>
      <c r="U3738" s="7">
        <f>IF($C3738="","",S3738*T3738)</f>
        <v/>
      </c>
      <c r="X3738">
        <f>IF($C3738="","",IF($AM3738=1,0,IF($AL3738=1,Settings!$C$6,Settings!$C$7))*100)</f>
        <v/>
      </c>
      <c r="AB3738" s="7" t="n"/>
      <c r="AE3738" s="11" t="n"/>
      <c r="AG3738" s="7">
        <f>IF($C3738="","",U3738*X3738/100)</f>
        <v/>
      </c>
      <c r="AH3738" s="7">
        <f>IF($C3738="","",U3738-AG3738)</f>
        <v/>
      </c>
      <c r="AI3738" s="7">
        <f>IF($C3738="","",AH3738-M3738)</f>
        <v/>
      </c>
      <c r="AJ3738">
        <f>IF($C3738="","",IF(COUNTIF($C$2:$C3738,$C3738)=1,1,0))</f>
        <v/>
      </c>
      <c r="AK3738">
        <f>IF($AJ3738=1,SUMPRODUCT(--($AN$2:$AN$4001&lt;$AN3738))+1,"")</f>
        <v/>
      </c>
      <c r="AL3738">
        <f>IF($C3738="","",IF(OR($Q3738=TRUE(),$Q3738="TRUE"),1,0))</f>
        <v/>
      </c>
      <c r="AM3738">
        <f>IF($C3738="","",IF($W3738="Yes",1,0))</f>
        <v/>
      </c>
      <c r="AN3738">
        <f>IF($AJ3738=1,IFERROR(IF(VALUE($C3738)&lt;100000000,VALUE($C3738),1000000000),IFERROR(IF(VALUE(MID($C3738,2,20))&lt;100000000,VALUE(MID($C3738,2,20)),1000000000),1000000000))+ROW()/100000,"")</f>
        <v/>
      </c>
    </row>
    <row r="3739">
      <c r="E3739" s="11" t="n"/>
      <c r="M3739" s="7">
        <f>IF($C3739="","",L3739*U3739/100)</f>
        <v/>
      </c>
      <c r="N3739" s="7" t="n"/>
      <c r="T3739" s="7" t="n"/>
      <c r="U3739" s="7">
        <f>IF($C3739="","",S3739*T3739)</f>
        <v/>
      </c>
      <c r="X3739">
        <f>IF($C3739="","",IF($AM3739=1,0,IF($AL3739=1,Settings!$C$6,Settings!$C$7))*100)</f>
        <v/>
      </c>
      <c r="AB3739" s="7" t="n"/>
      <c r="AE3739" s="11" t="n"/>
      <c r="AG3739" s="7">
        <f>IF($C3739="","",U3739*X3739/100)</f>
        <v/>
      </c>
      <c r="AH3739" s="7">
        <f>IF($C3739="","",U3739-AG3739)</f>
        <v/>
      </c>
      <c r="AI3739" s="7">
        <f>IF($C3739="","",AH3739-M3739)</f>
        <v/>
      </c>
      <c r="AJ3739">
        <f>IF($C3739="","",IF(COUNTIF($C$2:$C3739,$C3739)=1,1,0))</f>
        <v/>
      </c>
      <c r="AK3739">
        <f>IF($AJ3739=1,SUMPRODUCT(--($AN$2:$AN$4001&lt;$AN3739))+1,"")</f>
        <v/>
      </c>
      <c r="AL3739">
        <f>IF($C3739="","",IF(OR($Q3739=TRUE(),$Q3739="TRUE"),1,0))</f>
        <v/>
      </c>
      <c r="AM3739">
        <f>IF($C3739="","",IF($W3739="Yes",1,0))</f>
        <v/>
      </c>
      <c r="AN3739">
        <f>IF($AJ3739=1,IFERROR(IF(VALUE($C3739)&lt;100000000,VALUE($C3739),1000000000),IFERROR(IF(VALUE(MID($C3739,2,20))&lt;100000000,VALUE(MID($C3739,2,20)),1000000000),1000000000))+ROW()/100000,"")</f>
        <v/>
      </c>
    </row>
    <row r="3740">
      <c r="E3740" s="11" t="n"/>
      <c r="M3740" s="7">
        <f>IF($C3740="","",L3740*U3740/100)</f>
        <v/>
      </c>
      <c r="N3740" s="7" t="n"/>
      <c r="T3740" s="7" t="n"/>
      <c r="U3740" s="7">
        <f>IF($C3740="","",S3740*T3740)</f>
        <v/>
      </c>
      <c r="X3740">
        <f>IF($C3740="","",IF($AM3740=1,0,IF($AL3740=1,Settings!$C$6,Settings!$C$7))*100)</f>
        <v/>
      </c>
      <c r="AB3740" s="7" t="n"/>
      <c r="AE3740" s="11" t="n"/>
      <c r="AG3740" s="7">
        <f>IF($C3740="","",U3740*X3740/100)</f>
        <v/>
      </c>
      <c r="AH3740" s="7">
        <f>IF($C3740="","",U3740-AG3740)</f>
        <v/>
      </c>
      <c r="AI3740" s="7">
        <f>IF($C3740="","",AH3740-M3740)</f>
        <v/>
      </c>
      <c r="AJ3740">
        <f>IF($C3740="","",IF(COUNTIF($C$2:$C3740,$C3740)=1,1,0))</f>
        <v/>
      </c>
      <c r="AK3740">
        <f>IF($AJ3740=1,SUMPRODUCT(--($AN$2:$AN$4001&lt;$AN3740))+1,"")</f>
        <v/>
      </c>
      <c r="AL3740">
        <f>IF($C3740="","",IF(OR($Q3740=TRUE(),$Q3740="TRUE"),1,0))</f>
        <v/>
      </c>
      <c r="AM3740">
        <f>IF($C3740="","",IF($W3740="Yes",1,0))</f>
        <v/>
      </c>
      <c r="AN3740">
        <f>IF($AJ3740=1,IFERROR(IF(VALUE($C3740)&lt;100000000,VALUE($C3740),1000000000),IFERROR(IF(VALUE(MID($C3740,2,20))&lt;100000000,VALUE(MID($C3740,2,20)),1000000000),1000000000))+ROW()/100000,"")</f>
        <v/>
      </c>
    </row>
    <row r="3741">
      <c r="E3741" s="11" t="n"/>
      <c r="M3741" s="7">
        <f>IF($C3741="","",L3741*U3741/100)</f>
        <v/>
      </c>
      <c r="N3741" s="7" t="n"/>
      <c r="T3741" s="7" t="n"/>
      <c r="U3741" s="7">
        <f>IF($C3741="","",S3741*T3741)</f>
        <v/>
      </c>
      <c r="X3741">
        <f>IF($C3741="","",IF($AM3741=1,0,IF($AL3741=1,Settings!$C$6,Settings!$C$7))*100)</f>
        <v/>
      </c>
      <c r="AB3741" s="7" t="n"/>
      <c r="AE3741" s="11" t="n"/>
      <c r="AG3741" s="7">
        <f>IF($C3741="","",U3741*X3741/100)</f>
        <v/>
      </c>
      <c r="AH3741" s="7">
        <f>IF($C3741="","",U3741-AG3741)</f>
        <v/>
      </c>
      <c r="AI3741" s="7">
        <f>IF($C3741="","",AH3741-M3741)</f>
        <v/>
      </c>
      <c r="AJ3741">
        <f>IF($C3741="","",IF(COUNTIF($C$2:$C3741,$C3741)=1,1,0))</f>
        <v/>
      </c>
      <c r="AK3741">
        <f>IF($AJ3741=1,SUMPRODUCT(--($AN$2:$AN$4001&lt;$AN3741))+1,"")</f>
        <v/>
      </c>
      <c r="AL3741">
        <f>IF($C3741="","",IF(OR($Q3741=TRUE(),$Q3741="TRUE"),1,0))</f>
        <v/>
      </c>
      <c r="AM3741">
        <f>IF($C3741="","",IF($W3741="Yes",1,0))</f>
        <v/>
      </c>
      <c r="AN3741">
        <f>IF($AJ3741=1,IFERROR(IF(VALUE($C3741)&lt;100000000,VALUE($C3741),1000000000),IFERROR(IF(VALUE(MID($C3741,2,20))&lt;100000000,VALUE(MID($C3741,2,20)),1000000000),1000000000))+ROW()/100000,"")</f>
        <v/>
      </c>
    </row>
    <row r="3742">
      <c r="E3742" s="11" t="n"/>
      <c r="M3742" s="7">
        <f>IF($C3742="","",L3742*U3742/100)</f>
        <v/>
      </c>
      <c r="N3742" s="7" t="n"/>
      <c r="T3742" s="7" t="n"/>
      <c r="U3742" s="7">
        <f>IF($C3742="","",S3742*T3742)</f>
        <v/>
      </c>
      <c r="X3742">
        <f>IF($C3742="","",IF($AM3742=1,0,IF($AL3742=1,Settings!$C$6,Settings!$C$7))*100)</f>
        <v/>
      </c>
      <c r="AB3742" s="7" t="n"/>
      <c r="AE3742" s="11" t="n"/>
      <c r="AG3742" s="7">
        <f>IF($C3742="","",U3742*X3742/100)</f>
        <v/>
      </c>
      <c r="AH3742" s="7">
        <f>IF($C3742="","",U3742-AG3742)</f>
        <v/>
      </c>
      <c r="AI3742" s="7">
        <f>IF($C3742="","",AH3742-M3742)</f>
        <v/>
      </c>
      <c r="AJ3742">
        <f>IF($C3742="","",IF(COUNTIF($C$2:$C3742,$C3742)=1,1,0))</f>
        <v/>
      </c>
      <c r="AK3742">
        <f>IF($AJ3742=1,SUMPRODUCT(--($AN$2:$AN$4001&lt;$AN3742))+1,"")</f>
        <v/>
      </c>
      <c r="AL3742">
        <f>IF($C3742="","",IF(OR($Q3742=TRUE(),$Q3742="TRUE"),1,0))</f>
        <v/>
      </c>
      <c r="AM3742">
        <f>IF($C3742="","",IF($W3742="Yes",1,0))</f>
        <v/>
      </c>
      <c r="AN3742">
        <f>IF($AJ3742=1,IFERROR(IF(VALUE($C3742)&lt;100000000,VALUE($C3742),1000000000),IFERROR(IF(VALUE(MID($C3742,2,20))&lt;100000000,VALUE(MID($C3742,2,20)),1000000000),1000000000))+ROW()/100000,"")</f>
        <v/>
      </c>
    </row>
    <row r="3743">
      <c r="E3743" s="11" t="n"/>
      <c r="M3743" s="7">
        <f>IF($C3743="","",L3743*U3743/100)</f>
        <v/>
      </c>
      <c r="N3743" s="7" t="n"/>
      <c r="T3743" s="7" t="n"/>
      <c r="U3743" s="7">
        <f>IF($C3743="","",S3743*T3743)</f>
        <v/>
      </c>
      <c r="X3743">
        <f>IF($C3743="","",IF($AM3743=1,0,IF($AL3743=1,Settings!$C$6,Settings!$C$7))*100)</f>
        <v/>
      </c>
      <c r="AB3743" s="7" t="n"/>
      <c r="AE3743" s="11" t="n"/>
      <c r="AG3743" s="7">
        <f>IF($C3743="","",U3743*X3743/100)</f>
        <v/>
      </c>
      <c r="AH3743" s="7">
        <f>IF($C3743="","",U3743-AG3743)</f>
        <v/>
      </c>
      <c r="AI3743" s="7">
        <f>IF($C3743="","",AH3743-M3743)</f>
        <v/>
      </c>
      <c r="AJ3743">
        <f>IF($C3743="","",IF(COUNTIF($C$2:$C3743,$C3743)=1,1,0))</f>
        <v/>
      </c>
      <c r="AK3743">
        <f>IF($AJ3743=1,SUMPRODUCT(--($AN$2:$AN$4001&lt;$AN3743))+1,"")</f>
        <v/>
      </c>
      <c r="AL3743">
        <f>IF($C3743="","",IF(OR($Q3743=TRUE(),$Q3743="TRUE"),1,0))</f>
        <v/>
      </c>
      <c r="AM3743">
        <f>IF($C3743="","",IF($W3743="Yes",1,0))</f>
        <v/>
      </c>
      <c r="AN3743">
        <f>IF($AJ3743=1,IFERROR(IF(VALUE($C3743)&lt;100000000,VALUE($C3743),1000000000),IFERROR(IF(VALUE(MID($C3743,2,20))&lt;100000000,VALUE(MID($C3743,2,20)),1000000000),1000000000))+ROW()/100000,"")</f>
        <v/>
      </c>
    </row>
    <row r="3744">
      <c r="E3744" s="11" t="n"/>
      <c r="M3744" s="7">
        <f>IF($C3744="","",L3744*U3744/100)</f>
        <v/>
      </c>
      <c r="N3744" s="7" t="n"/>
      <c r="T3744" s="7" t="n"/>
      <c r="U3744" s="7">
        <f>IF($C3744="","",S3744*T3744)</f>
        <v/>
      </c>
      <c r="X3744">
        <f>IF($C3744="","",IF($AM3744=1,0,IF($AL3744=1,Settings!$C$6,Settings!$C$7))*100)</f>
        <v/>
      </c>
      <c r="AB3744" s="7" t="n"/>
      <c r="AE3744" s="11" t="n"/>
      <c r="AG3744" s="7">
        <f>IF($C3744="","",U3744*X3744/100)</f>
        <v/>
      </c>
      <c r="AH3744" s="7">
        <f>IF($C3744="","",U3744-AG3744)</f>
        <v/>
      </c>
      <c r="AI3744" s="7">
        <f>IF($C3744="","",AH3744-M3744)</f>
        <v/>
      </c>
      <c r="AJ3744">
        <f>IF($C3744="","",IF(COUNTIF($C$2:$C3744,$C3744)=1,1,0))</f>
        <v/>
      </c>
      <c r="AK3744">
        <f>IF($AJ3744=1,SUMPRODUCT(--($AN$2:$AN$4001&lt;$AN3744))+1,"")</f>
        <v/>
      </c>
      <c r="AL3744">
        <f>IF($C3744="","",IF(OR($Q3744=TRUE(),$Q3744="TRUE"),1,0))</f>
        <v/>
      </c>
      <c r="AM3744">
        <f>IF($C3744="","",IF($W3744="Yes",1,0))</f>
        <v/>
      </c>
      <c r="AN3744">
        <f>IF($AJ3744=1,IFERROR(IF(VALUE($C3744)&lt;100000000,VALUE($C3744),1000000000),IFERROR(IF(VALUE(MID($C3744,2,20))&lt;100000000,VALUE(MID($C3744,2,20)),1000000000),1000000000))+ROW()/100000,"")</f>
        <v/>
      </c>
    </row>
    <row r="3745">
      <c r="E3745" s="11" t="n"/>
      <c r="M3745" s="7">
        <f>IF($C3745="","",L3745*U3745/100)</f>
        <v/>
      </c>
      <c r="N3745" s="7" t="n"/>
      <c r="T3745" s="7" t="n"/>
      <c r="U3745" s="7">
        <f>IF($C3745="","",S3745*T3745)</f>
        <v/>
      </c>
      <c r="X3745">
        <f>IF($C3745="","",IF($AM3745=1,0,IF($AL3745=1,Settings!$C$6,Settings!$C$7))*100)</f>
        <v/>
      </c>
      <c r="AB3745" s="7" t="n"/>
      <c r="AE3745" s="11" t="n"/>
      <c r="AG3745" s="7">
        <f>IF($C3745="","",U3745*X3745/100)</f>
        <v/>
      </c>
      <c r="AH3745" s="7">
        <f>IF($C3745="","",U3745-AG3745)</f>
        <v/>
      </c>
      <c r="AI3745" s="7">
        <f>IF($C3745="","",AH3745-M3745)</f>
        <v/>
      </c>
      <c r="AJ3745">
        <f>IF($C3745="","",IF(COUNTIF($C$2:$C3745,$C3745)=1,1,0))</f>
        <v/>
      </c>
      <c r="AK3745">
        <f>IF($AJ3745=1,SUMPRODUCT(--($AN$2:$AN$4001&lt;$AN3745))+1,"")</f>
        <v/>
      </c>
      <c r="AL3745">
        <f>IF($C3745="","",IF(OR($Q3745=TRUE(),$Q3745="TRUE"),1,0))</f>
        <v/>
      </c>
      <c r="AM3745">
        <f>IF($C3745="","",IF($W3745="Yes",1,0))</f>
        <v/>
      </c>
      <c r="AN3745">
        <f>IF($AJ3745=1,IFERROR(IF(VALUE($C3745)&lt;100000000,VALUE($C3745),1000000000),IFERROR(IF(VALUE(MID($C3745,2,20))&lt;100000000,VALUE(MID($C3745,2,20)),1000000000),1000000000))+ROW()/100000,"")</f>
        <v/>
      </c>
    </row>
    <row r="3746">
      <c r="E3746" s="11" t="n"/>
      <c r="M3746" s="7">
        <f>IF($C3746="","",L3746*U3746/100)</f>
        <v/>
      </c>
      <c r="N3746" s="7" t="n"/>
      <c r="T3746" s="7" t="n"/>
      <c r="U3746" s="7">
        <f>IF($C3746="","",S3746*T3746)</f>
        <v/>
      </c>
      <c r="X3746">
        <f>IF($C3746="","",IF($AM3746=1,0,IF($AL3746=1,Settings!$C$6,Settings!$C$7))*100)</f>
        <v/>
      </c>
      <c r="AB3746" s="7" t="n"/>
      <c r="AE3746" s="11" t="n"/>
      <c r="AG3746" s="7">
        <f>IF($C3746="","",U3746*X3746/100)</f>
        <v/>
      </c>
      <c r="AH3746" s="7">
        <f>IF($C3746="","",U3746-AG3746)</f>
        <v/>
      </c>
      <c r="AI3746" s="7">
        <f>IF($C3746="","",AH3746-M3746)</f>
        <v/>
      </c>
      <c r="AJ3746">
        <f>IF($C3746="","",IF(COUNTIF($C$2:$C3746,$C3746)=1,1,0))</f>
        <v/>
      </c>
      <c r="AK3746">
        <f>IF($AJ3746=1,SUMPRODUCT(--($AN$2:$AN$4001&lt;$AN3746))+1,"")</f>
        <v/>
      </c>
      <c r="AL3746">
        <f>IF($C3746="","",IF(OR($Q3746=TRUE(),$Q3746="TRUE"),1,0))</f>
        <v/>
      </c>
      <c r="AM3746">
        <f>IF($C3746="","",IF($W3746="Yes",1,0))</f>
        <v/>
      </c>
      <c r="AN3746">
        <f>IF($AJ3746=1,IFERROR(IF(VALUE($C3746)&lt;100000000,VALUE($C3746),1000000000),IFERROR(IF(VALUE(MID($C3746,2,20))&lt;100000000,VALUE(MID($C3746,2,20)),1000000000),1000000000))+ROW()/100000,"")</f>
        <v/>
      </c>
    </row>
    <row r="3747">
      <c r="E3747" s="11" t="n"/>
      <c r="M3747" s="7">
        <f>IF($C3747="","",L3747*U3747/100)</f>
        <v/>
      </c>
      <c r="N3747" s="7" t="n"/>
      <c r="T3747" s="7" t="n"/>
      <c r="U3747" s="7">
        <f>IF($C3747="","",S3747*T3747)</f>
        <v/>
      </c>
      <c r="X3747">
        <f>IF($C3747="","",IF($AM3747=1,0,IF($AL3747=1,Settings!$C$6,Settings!$C$7))*100)</f>
        <v/>
      </c>
      <c r="AB3747" s="7" t="n"/>
      <c r="AE3747" s="11" t="n"/>
      <c r="AG3747" s="7">
        <f>IF($C3747="","",U3747*X3747/100)</f>
        <v/>
      </c>
      <c r="AH3747" s="7">
        <f>IF($C3747="","",U3747-AG3747)</f>
        <v/>
      </c>
      <c r="AI3747" s="7">
        <f>IF($C3747="","",AH3747-M3747)</f>
        <v/>
      </c>
      <c r="AJ3747">
        <f>IF($C3747="","",IF(COUNTIF($C$2:$C3747,$C3747)=1,1,0))</f>
        <v/>
      </c>
      <c r="AK3747">
        <f>IF($AJ3747=1,SUMPRODUCT(--($AN$2:$AN$4001&lt;$AN3747))+1,"")</f>
        <v/>
      </c>
      <c r="AL3747">
        <f>IF($C3747="","",IF(OR($Q3747=TRUE(),$Q3747="TRUE"),1,0))</f>
        <v/>
      </c>
      <c r="AM3747">
        <f>IF($C3747="","",IF($W3747="Yes",1,0))</f>
        <v/>
      </c>
      <c r="AN3747">
        <f>IF($AJ3747=1,IFERROR(IF(VALUE($C3747)&lt;100000000,VALUE($C3747),1000000000),IFERROR(IF(VALUE(MID($C3747,2,20))&lt;100000000,VALUE(MID($C3747,2,20)),1000000000),1000000000))+ROW()/100000,"")</f>
        <v/>
      </c>
    </row>
    <row r="3748">
      <c r="E3748" s="11" t="n"/>
      <c r="M3748" s="7">
        <f>IF($C3748="","",L3748*U3748/100)</f>
        <v/>
      </c>
      <c r="N3748" s="7" t="n"/>
      <c r="T3748" s="7" t="n"/>
      <c r="U3748" s="7">
        <f>IF($C3748="","",S3748*T3748)</f>
        <v/>
      </c>
      <c r="X3748">
        <f>IF($C3748="","",IF($AM3748=1,0,IF($AL3748=1,Settings!$C$6,Settings!$C$7))*100)</f>
        <v/>
      </c>
      <c r="AB3748" s="7" t="n"/>
      <c r="AE3748" s="11" t="n"/>
      <c r="AG3748" s="7">
        <f>IF($C3748="","",U3748*X3748/100)</f>
        <v/>
      </c>
      <c r="AH3748" s="7">
        <f>IF($C3748="","",U3748-AG3748)</f>
        <v/>
      </c>
      <c r="AI3748" s="7">
        <f>IF($C3748="","",AH3748-M3748)</f>
        <v/>
      </c>
      <c r="AJ3748">
        <f>IF($C3748="","",IF(COUNTIF($C$2:$C3748,$C3748)=1,1,0))</f>
        <v/>
      </c>
      <c r="AK3748">
        <f>IF($AJ3748=1,SUMPRODUCT(--($AN$2:$AN$4001&lt;$AN3748))+1,"")</f>
        <v/>
      </c>
      <c r="AL3748">
        <f>IF($C3748="","",IF(OR($Q3748=TRUE(),$Q3748="TRUE"),1,0))</f>
        <v/>
      </c>
      <c r="AM3748">
        <f>IF($C3748="","",IF($W3748="Yes",1,0))</f>
        <v/>
      </c>
      <c r="AN3748">
        <f>IF($AJ3748=1,IFERROR(IF(VALUE($C3748)&lt;100000000,VALUE($C3748),1000000000),IFERROR(IF(VALUE(MID($C3748,2,20))&lt;100000000,VALUE(MID($C3748,2,20)),1000000000),1000000000))+ROW()/100000,"")</f>
        <v/>
      </c>
    </row>
    <row r="3749">
      <c r="E3749" s="11" t="n"/>
      <c r="M3749" s="7">
        <f>IF($C3749="","",L3749*U3749/100)</f>
        <v/>
      </c>
      <c r="N3749" s="7" t="n"/>
      <c r="T3749" s="7" t="n"/>
      <c r="U3749" s="7">
        <f>IF($C3749="","",S3749*T3749)</f>
        <v/>
      </c>
      <c r="X3749">
        <f>IF($C3749="","",IF($AM3749=1,0,IF($AL3749=1,Settings!$C$6,Settings!$C$7))*100)</f>
        <v/>
      </c>
      <c r="AB3749" s="7" t="n"/>
      <c r="AE3749" s="11" t="n"/>
      <c r="AG3749" s="7">
        <f>IF($C3749="","",U3749*X3749/100)</f>
        <v/>
      </c>
      <c r="AH3749" s="7">
        <f>IF($C3749="","",U3749-AG3749)</f>
        <v/>
      </c>
      <c r="AI3749" s="7">
        <f>IF($C3749="","",AH3749-M3749)</f>
        <v/>
      </c>
      <c r="AJ3749">
        <f>IF($C3749="","",IF(COUNTIF($C$2:$C3749,$C3749)=1,1,0))</f>
        <v/>
      </c>
      <c r="AK3749">
        <f>IF($AJ3749=1,SUMPRODUCT(--($AN$2:$AN$4001&lt;$AN3749))+1,"")</f>
        <v/>
      </c>
      <c r="AL3749">
        <f>IF($C3749="","",IF(OR($Q3749=TRUE(),$Q3749="TRUE"),1,0))</f>
        <v/>
      </c>
      <c r="AM3749">
        <f>IF($C3749="","",IF($W3749="Yes",1,0))</f>
        <v/>
      </c>
      <c r="AN3749">
        <f>IF($AJ3749=1,IFERROR(IF(VALUE($C3749)&lt;100000000,VALUE($C3749),1000000000),IFERROR(IF(VALUE(MID($C3749,2,20))&lt;100000000,VALUE(MID($C3749,2,20)),1000000000),1000000000))+ROW()/100000,"")</f>
        <v/>
      </c>
    </row>
    <row r="3750">
      <c r="E3750" s="11" t="n"/>
      <c r="M3750" s="7">
        <f>IF($C3750="","",L3750*U3750/100)</f>
        <v/>
      </c>
      <c r="N3750" s="7" t="n"/>
      <c r="T3750" s="7" t="n"/>
      <c r="U3750" s="7">
        <f>IF($C3750="","",S3750*T3750)</f>
        <v/>
      </c>
      <c r="X3750">
        <f>IF($C3750="","",IF($AM3750=1,0,IF($AL3750=1,Settings!$C$6,Settings!$C$7))*100)</f>
        <v/>
      </c>
      <c r="AB3750" s="7" t="n"/>
      <c r="AE3750" s="11" t="n"/>
      <c r="AG3750" s="7">
        <f>IF($C3750="","",U3750*X3750/100)</f>
        <v/>
      </c>
      <c r="AH3750" s="7">
        <f>IF($C3750="","",U3750-AG3750)</f>
        <v/>
      </c>
      <c r="AI3750" s="7">
        <f>IF($C3750="","",AH3750-M3750)</f>
        <v/>
      </c>
      <c r="AJ3750">
        <f>IF($C3750="","",IF(COUNTIF($C$2:$C3750,$C3750)=1,1,0))</f>
        <v/>
      </c>
      <c r="AK3750">
        <f>IF($AJ3750=1,SUMPRODUCT(--($AN$2:$AN$4001&lt;$AN3750))+1,"")</f>
        <v/>
      </c>
      <c r="AL3750">
        <f>IF($C3750="","",IF(OR($Q3750=TRUE(),$Q3750="TRUE"),1,0))</f>
        <v/>
      </c>
      <c r="AM3750">
        <f>IF($C3750="","",IF($W3750="Yes",1,0))</f>
        <v/>
      </c>
      <c r="AN3750">
        <f>IF($AJ3750=1,IFERROR(IF(VALUE($C3750)&lt;100000000,VALUE($C3750),1000000000),IFERROR(IF(VALUE(MID($C3750,2,20))&lt;100000000,VALUE(MID($C3750,2,20)),1000000000),1000000000))+ROW()/100000,"")</f>
        <v/>
      </c>
    </row>
    <row r="3751">
      <c r="E3751" s="11" t="n"/>
      <c r="M3751" s="7">
        <f>IF($C3751="","",L3751*U3751/100)</f>
        <v/>
      </c>
      <c r="N3751" s="7" t="n"/>
      <c r="T3751" s="7" t="n"/>
      <c r="U3751" s="7">
        <f>IF($C3751="","",S3751*T3751)</f>
        <v/>
      </c>
      <c r="X3751">
        <f>IF($C3751="","",IF($AM3751=1,0,IF($AL3751=1,Settings!$C$6,Settings!$C$7))*100)</f>
        <v/>
      </c>
      <c r="AB3751" s="7" t="n"/>
      <c r="AE3751" s="11" t="n"/>
      <c r="AG3751" s="7">
        <f>IF($C3751="","",U3751*X3751/100)</f>
        <v/>
      </c>
      <c r="AH3751" s="7">
        <f>IF($C3751="","",U3751-AG3751)</f>
        <v/>
      </c>
      <c r="AI3751" s="7">
        <f>IF($C3751="","",AH3751-M3751)</f>
        <v/>
      </c>
      <c r="AJ3751">
        <f>IF($C3751="","",IF(COUNTIF($C$2:$C3751,$C3751)=1,1,0))</f>
        <v/>
      </c>
      <c r="AK3751">
        <f>IF($AJ3751=1,SUMPRODUCT(--($AN$2:$AN$4001&lt;$AN3751))+1,"")</f>
        <v/>
      </c>
      <c r="AL3751">
        <f>IF($C3751="","",IF(OR($Q3751=TRUE(),$Q3751="TRUE"),1,0))</f>
        <v/>
      </c>
      <c r="AM3751">
        <f>IF($C3751="","",IF($W3751="Yes",1,0))</f>
        <v/>
      </c>
      <c r="AN3751">
        <f>IF($AJ3751=1,IFERROR(IF(VALUE($C3751)&lt;100000000,VALUE($C3751),1000000000),IFERROR(IF(VALUE(MID($C3751,2,20))&lt;100000000,VALUE(MID($C3751,2,20)),1000000000),1000000000))+ROW()/100000,"")</f>
        <v/>
      </c>
    </row>
    <row r="3752">
      <c r="E3752" s="11" t="n"/>
      <c r="M3752" s="7">
        <f>IF($C3752="","",L3752*U3752/100)</f>
        <v/>
      </c>
      <c r="N3752" s="7" t="n"/>
      <c r="T3752" s="7" t="n"/>
      <c r="U3752" s="7">
        <f>IF($C3752="","",S3752*T3752)</f>
        <v/>
      </c>
      <c r="X3752">
        <f>IF($C3752="","",IF($AM3752=1,0,IF($AL3752=1,Settings!$C$6,Settings!$C$7))*100)</f>
        <v/>
      </c>
      <c r="AB3752" s="7" t="n"/>
      <c r="AE3752" s="11" t="n"/>
      <c r="AG3752" s="7">
        <f>IF($C3752="","",U3752*X3752/100)</f>
        <v/>
      </c>
      <c r="AH3752" s="7">
        <f>IF($C3752="","",U3752-AG3752)</f>
        <v/>
      </c>
      <c r="AI3752" s="7">
        <f>IF($C3752="","",AH3752-M3752)</f>
        <v/>
      </c>
      <c r="AJ3752">
        <f>IF($C3752="","",IF(COUNTIF($C$2:$C3752,$C3752)=1,1,0))</f>
        <v/>
      </c>
      <c r="AK3752">
        <f>IF($AJ3752=1,SUMPRODUCT(--($AN$2:$AN$4001&lt;$AN3752))+1,"")</f>
        <v/>
      </c>
      <c r="AL3752">
        <f>IF($C3752="","",IF(OR($Q3752=TRUE(),$Q3752="TRUE"),1,0))</f>
        <v/>
      </c>
      <c r="AM3752">
        <f>IF($C3752="","",IF($W3752="Yes",1,0))</f>
        <v/>
      </c>
      <c r="AN3752">
        <f>IF($AJ3752=1,IFERROR(IF(VALUE($C3752)&lt;100000000,VALUE($C3752),1000000000),IFERROR(IF(VALUE(MID($C3752,2,20))&lt;100000000,VALUE(MID($C3752,2,20)),1000000000),1000000000))+ROW()/100000,"")</f>
        <v/>
      </c>
    </row>
    <row r="3753">
      <c r="E3753" s="11" t="n"/>
      <c r="M3753" s="7">
        <f>IF($C3753="","",L3753*U3753/100)</f>
        <v/>
      </c>
      <c r="N3753" s="7" t="n"/>
      <c r="T3753" s="7" t="n"/>
      <c r="U3753" s="7">
        <f>IF($C3753="","",S3753*T3753)</f>
        <v/>
      </c>
      <c r="X3753">
        <f>IF($C3753="","",IF($AM3753=1,0,IF($AL3753=1,Settings!$C$6,Settings!$C$7))*100)</f>
        <v/>
      </c>
      <c r="AB3753" s="7" t="n"/>
      <c r="AE3753" s="11" t="n"/>
      <c r="AG3753" s="7">
        <f>IF($C3753="","",U3753*X3753/100)</f>
        <v/>
      </c>
      <c r="AH3753" s="7">
        <f>IF($C3753="","",U3753-AG3753)</f>
        <v/>
      </c>
      <c r="AI3753" s="7">
        <f>IF($C3753="","",AH3753-M3753)</f>
        <v/>
      </c>
      <c r="AJ3753">
        <f>IF($C3753="","",IF(COUNTIF($C$2:$C3753,$C3753)=1,1,0))</f>
        <v/>
      </c>
      <c r="AK3753">
        <f>IF($AJ3753=1,SUMPRODUCT(--($AN$2:$AN$4001&lt;$AN3753))+1,"")</f>
        <v/>
      </c>
      <c r="AL3753">
        <f>IF($C3753="","",IF(OR($Q3753=TRUE(),$Q3753="TRUE"),1,0))</f>
        <v/>
      </c>
      <c r="AM3753">
        <f>IF($C3753="","",IF($W3753="Yes",1,0))</f>
        <v/>
      </c>
      <c r="AN3753">
        <f>IF($AJ3753=1,IFERROR(IF(VALUE($C3753)&lt;100000000,VALUE($C3753),1000000000),IFERROR(IF(VALUE(MID($C3753,2,20))&lt;100000000,VALUE(MID($C3753,2,20)),1000000000),1000000000))+ROW()/100000,"")</f>
        <v/>
      </c>
    </row>
    <row r="3754">
      <c r="E3754" s="11" t="n"/>
      <c r="M3754" s="7">
        <f>IF($C3754="","",L3754*U3754/100)</f>
        <v/>
      </c>
      <c r="N3754" s="7" t="n"/>
      <c r="T3754" s="7" t="n"/>
      <c r="U3754" s="7">
        <f>IF($C3754="","",S3754*T3754)</f>
        <v/>
      </c>
      <c r="X3754">
        <f>IF($C3754="","",IF($AM3754=1,0,IF($AL3754=1,Settings!$C$6,Settings!$C$7))*100)</f>
        <v/>
      </c>
      <c r="AB3754" s="7" t="n"/>
      <c r="AE3754" s="11" t="n"/>
      <c r="AG3754" s="7">
        <f>IF($C3754="","",U3754*X3754/100)</f>
        <v/>
      </c>
      <c r="AH3754" s="7">
        <f>IF($C3754="","",U3754-AG3754)</f>
        <v/>
      </c>
      <c r="AI3754" s="7">
        <f>IF($C3754="","",AH3754-M3754)</f>
        <v/>
      </c>
      <c r="AJ3754">
        <f>IF($C3754="","",IF(COUNTIF($C$2:$C3754,$C3754)=1,1,0))</f>
        <v/>
      </c>
      <c r="AK3754">
        <f>IF($AJ3754=1,SUMPRODUCT(--($AN$2:$AN$4001&lt;$AN3754))+1,"")</f>
        <v/>
      </c>
      <c r="AL3754">
        <f>IF($C3754="","",IF(OR($Q3754=TRUE(),$Q3754="TRUE"),1,0))</f>
        <v/>
      </c>
      <c r="AM3754">
        <f>IF($C3754="","",IF($W3754="Yes",1,0))</f>
        <v/>
      </c>
      <c r="AN3754">
        <f>IF($AJ3754=1,IFERROR(IF(VALUE($C3754)&lt;100000000,VALUE($C3754),1000000000),IFERROR(IF(VALUE(MID($C3754,2,20))&lt;100000000,VALUE(MID($C3754,2,20)),1000000000),1000000000))+ROW()/100000,"")</f>
        <v/>
      </c>
    </row>
    <row r="3755">
      <c r="E3755" s="11" t="n"/>
      <c r="M3755" s="7">
        <f>IF($C3755="","",L3755*U3755/100)</f>
        <v/>
      </c>
      <c r="N3755" s="7" t="n"/>
      <c r="T3755" s="7" t="n"/>
      <c r="U3755" s="7">
        <f>IF($C3755="","",S3755*T3755)</f>
        <v/>
      </c>
      <c r="X3755">
        <f>IF($C3755="","",IF($AM3755=1,0,IF($AL3755=1,Settings!$C$6,Settings!$C$7))*100)</f>
        <v/>
      </c>
      <c r="AB3755" s="7" t="n"/>
      <c r="AE3755" s="11" t="n"/>
      <c r="AG3755" s="7">
        <f>IF($C3755="","",U3755*X3755/100)</f>
        <v/>
      </c>
      <c r="AH3755" s="7">
        <f>IF($C3755="","",U3755-AG3755)</f>
        <v/>
      </c>
      <c r="AI3755" s="7">
        <f>IF($C3755="","",AH3755-M3755)</f>
        <v/>
      </c>
      <c r="AJ3755">
        <f>IF($C3755="","",IF(COUNTIF($C$2:$C3755,$C3755)=1,1,0))</f>
        <v/>
      </c>
      <c r="AK3755">
        <f>IF($AJ3755=1,SUMPRODUCT(--($AN$2:$AN$4001&lt;$AN3755))+1,"")</f>
        <v/>
      </c>
      <c r="AL3755">
        <f>IF($C3755="","",IF(OR($Q3755=TRUE(),$Q3755="TRUE"),1,0))</f>
        <v/>
      </c>
      <c r="AM3755">
        <f>IF($C3755="","",IF($W3755="Yes",1,0))</f>
        <v/>
      </c>
      <c r="AN3755">
        <f>IF($AJ3755=1,IFERROR(IF(VALUE($C3755)&lt;100000000,VALUE($C3755),1000000000),IFERROR(IF(VALUE(MID($C3755,2,20))&lt;100000000,VALUE(MID($C3755,2,20)),1000000000),1000000000))+ROW()/100000,"")</f>
        <v/>
      </c>
    </row>
    <row r="3756">
      <c r="E3756" s="11" t="n"/>
      <c r="M3756" s="7">
        <f>IF($C3756="","",L3756*U3756/100)</f>
        <v/>
      </c>
      <c r="N3756" s="7" t="n"/>
      <c r="T3756" s="7" t="n"/>
      <c r="U3756" s="7">
        <f>IF($C3756="","",S3756*T3756)</f>
        <v/>
      </c>
      <c r="X3756">
        <f>IF($C3756="","",IF($AM3756=1,0,IF($AL3756=1,Settings!$C$6,Settings!$C$7))*100)</f>
        <v/>
      </c>
      <c r="AB3756" s="7" t="n"/>
      <c r="AE3756" s="11" t="n"/>
      <c r="AG3756" s="7">
        <f>IF($C3756="","",U3756*X3756/100)</f>
        <v/>
      </c>
      <c r="AH3756" s="7">
        <f>IF($C3756="","",U3756-AG3756)</f>
        <v/>
      </c>
      <c r="AI3756" s="7">
        <f>IF($C3756="","",AH3756-M3756)</f>
        <v/>
      </c>
      <c r="AJ3756">
        <f>IF($C3756="","",IF(COUNTIF($C$2:$C3756,$C3756)=1,1,0))</f>
        <v/>
      </c>
      <c r="AK3756">
        <f>IF($AJ3756=1,SUMPRODUCT(--($AN$2:$AN$4001&lt;$AN3756))+1,"")</f>
        <v/>
      </c>
      <c r="AL3756">
        <f>IF($C3756="","",IF(OR($Q3756=TRUE(),$Q3756="TRUE"),1,0))</f>
        <v/>
      </c>
      <c r="AM3756">
        <f>IF($C3756="","",IF($W3756="Yes",1,0))</f>
        <v/>
      </c>
      <c r="AN3756">
        <f>IF($AJ3756=1,IFERROR(IF(VALUE($C3756)&lt;100000000,VALUE($C3756),1000000000),IFERROR(IF(VALUE(MID($C3756,2,20))&lt;100000000,VALUE(MID($C3756,2,20)),1000000000),1000000000))+ROW()/100000,"")</f>
        <v/>
      </c>
    </row>
    <row r="3757">
      <c r="E3757" s="11" t="n"/>
      <c r="M3757" s="7">
        <f>IF($C3757="","",L3757*U3757/100)</f>
        <v/>
      </c>
      <c r="N3757" s="7" t="n"/>
      <c r="T3757" s="7" t="n"/>
      <c r="U3757" s="7">
        <f>IF($C3757="","",S3757*T3757)</f>
        <v/>
      </c>
      <c r="X3757">
        <f>IF($C3757="","",IF($AM3757=1,0,IF($AL3757=1,Settings!$C$6,Settings!$C$7))*100)</f>
        <v/>
      </c>
      <c r="AB3757" s="7" t="n"/>
      <c r="AE3757" s="11" t="n"/>
      <c r="AG3757" s="7">
        <f>IF($C3757="","",U3757*X3757/100)</f>
        <v/>
      </c>
      <c r="AH3757" s="7">
        <f>IF($C3757="","",U3757-AG3757)</f>
        <v/>
      </c>
      <c r="AI3757" s="7">
        <f>IF($C3757="","",AH3757-M3757)</f>
        <v/>
      </c>
      <c r="AJ3757">
        <f>IF($C3757="","",IF(COUNTIF($C$2:$C3757,$C3757)=1,1,0))</f>
        <v/>
      </c>
      <c r="AK3757">
        <f>IF($AJ3757=1,SUMPRODUCT(--($AN$2:$AN$4001&lt;$AN3757))+1,"")</f>
        <v/>
      </c>
      <c r="AL3757">
        <f>IF($C3757="","",IF(OR($Q3757=TRUE(),$Q3757="TRUE"),1,0))</f>
        <v/>
      </c>
      <c r="AM3757">
        <f>IF($C3757="","",IF($W3757="Yes",1,0))</f>
        <v/>
      </c>
      <c r="AN3757">
        <f>IF($AJ3757=1,IFERROR(IF(VALUE($C3757)&lt;100000000,VALUE($C3757),1000000000),IFERROR(IF(VALUE(MID($C3757,2,20))&lt;100000000,VALUE(MID($C3757,2,20)),1000000000),1000000000))+ROW()/100000,"")</f>
        <v/>
      </c>
    </row>
    <row r="3758">
      <c r="E3758" s="11" t="n"/>
      <c r="M3758" s="7">
        <f>IF($C3758="","",L3758*U3758/100)</f>
        <v/>
      </c>
      <c r="N3758" s="7" t="n"/>
      <c r="T3758" s="7" t="n"/>
      <c r="U3758" s="7">
        <f>IF($C3758="","",S3758*T3758)</f>
        <v/>
      </c>
      <c r="X3758">
        <f>IF($C3758="","",IF($AM3758=1,0,IF($AL3758=1,Settings!$C$6,Settings!$C$7))*100)</f>
        <v/>
      </c>
      <c r="AB3758" s="7" t="n"/>
      <c r="AE3758" s="11" t="n"/>
      <c r="AG3758" s="7">
        <f>IF($C3758="","",U3758*X3758/100)</f>
        <v/>
      </c>
      <c r="AH3758" s="7">
        <f>IF($C3758="","",U3758-AG3758)</f>
        <v/>
      </c>
      <c r="AI3758" s="7">
        <f>IF($C3758="","",AH3758-M3758)</f>
        <v/>
      </c>
      <c r="AJ3758">
        <f>IF($C3758="","",IF(COUNTIF($C$2:$C3758,$C3758)=1,1,0))</f>
        <v/>
      </c>
      <c r="AK3758">
        <f>IF($AJ3758=1,SUMPRODUCT(--($AN$2:$AN$4001&lt;$AN3758))+1,"")</f>
        <v/>
      </c>
      <c r="AL3758">
        <f>IF($C3758="","",IF(OR($Q3758=TRUE(),$Q3758="TRUE"),1,0))</f>
        <v/>
      </c>
      <c r="AM3758">
        <f>IF($C3758="","",IF($W3758="Yes",1,0))</f>
        <v/>
      </c>
      <c r="AN3758">
        <f>IF($AJ3758=1,IFERROR(IF(VALUE($C3758)&lt;100000000,VALUE($C3758),1000000000),IFERROR(IF(VALUE(MID($C3758,2,20))&lt;100000000,VALUE(MID($C3758,2,20)),1000000000),1000000000))+ROW()/100000,"")</f>
        <v/>
      </c>
    </row>
    <row r="3759">
      <c r="E3759" s="11" t="n"/>
      <c r="M3759" s="7">
        <f>IF($C3759="","",L3759*U3759/100)</f>
        <v/>
      </c>
      <c r="N3759" s="7" t="n"/>
      <c r="T3759" s="7" t="n"/>
      <c r="U3759" s="7">
        <f>IF($C3759="","",S3759*T3759)</f>
        <v/>
      </c>
      <c r="X3759">
        <f>IF($C3759="","",IF($AM3759=1,0,IF($AL3759=1,Settings!$C$6,Settings!$C$7))*100)</f>
        <v/>
      </c>
      <c r="AB3759" s="7" t="n"/>
      <c r="AE3759" s="11" t="n"/>
      <c r="AG3759" s="7">
        <f>IF($C3759="","",U3759*X3759/100)</f>
        <v/>
      </c>
      <c r="AH3759" s="7">
        <f>IF($C3759="","",U3759-AG3759)</f>
        <v/>
      </c>
      <c r="AI3759" s="7">
        <f>IF($C3759="","",AH3759-M3759)</f>
        <v/>
      </c>
      <c r="AJ3759">
        <f>IF($C3759="","",IF(COUNTIF($C$2:$C3759,$C3759)=1,1,0))</f>
        <v/>
      </c>
      <c r="AK3759">
        <f>IF($AJ3759=1,SUMPRODUCT(--($AN$2:$AN$4001&lt;$AN3759))+1,"")</f>
        <v/>
      </c>
      <c r="AL3759">
        <f>IF($C3759="","",IF(OR($Q3759=TRUE(),$Q3759="TRUE"),1,0))</f>
        <v/>
      </c>
      <c r="AM3759">
        <f>IF($C3759="","",IF($W3759="Yes",1,0))</f>
        <v/>
      </c>
      <c r="AN3759">
        <f>IF($AJ3759=1,IFERROR(IF(VALUE($C3759)&lt;100000000,VALUE($C3759),1000000000),IFERROR(IF(VALUE(MID($C3759,2,20))&lt;100000000,VALUE(MID($C3759,2,20)),1000000000),1000000000))+ROW()/100000,"")</f>
        <v/>
      </c>
    </row>
    <row r="3760">
      <c r="E3760" s="11" t="n"/>
      <c r="M3760" s="7">
        <f>IF($C3760="","",L3760*U3760/100)</f>
        <v/>
      </c>
      <c r="N3760" s="7" t="n"/>
      <c r="T3760" s="7" t="n"/>
      <c r="U3760" s="7">
        <f>IF($C3760="","",S3760*T3760)</f>
        <v/>
      </c>
      <c r="X3760">
        <f>IF($C3760="","",IF($AM3760=1,0,IF($AL3760=1,Settings!$C$6,Settings!$C$7))*100)</f>
        <v/>
      </c>
      <c r="AB3760" s="7" t="n"/>
      <c r="AE3760" s="11" t="n"/>
      <c r="AG3760" s="7">
        <f>IF($C3760="","",U3760*X3760/100)</f>
        <v/>
      </c>
      <c r="AH3760" s="7">
        <f>IF($C3760="","",U3760-AG3760)</f>
        <v/>
      </c>
      <c r="AI3760" s="7">
        <f>IF($C3760="","",AH3760-M3760)</f>
        <v/>
      </c>
      <c r="AJ3760">
        <f>IF($C3760="","",IF(COUNTIF($C$2:$C3760,$C3760)=1,1,0))</f>
        <v/>
      </c>
      <c r="AK3760">
        <f>IF($AJ3760=1,SUMPRODUCT(--($AN$2:$AN$4001&lt;$AN3760))+1,"")</f>
        <v/>
      </c>
      <c r="AL3760">
        <f>IF($C3760="","",IF(OR($Q3760=TRUE(),$Q3760="TRUE"),1,0))</f>
        <v/>
      </c>
      <c r="AM3760">
        <f>IF($C3760="","",IF($W3760="Yes",1,0))</f>
        <v/>
      </c>
      <c r="AN3760">
        <f>IF($AJ3760=1,IFERROR(IF(VALUE($C3760)&lt;100000000,VALUE($C3760),1000000000),IFERROR(IF(VALUE(MID($C3760,2,20))&lt;100000000,VALUE(MID($C3760,2,20)),1000000000),1000000000))+ROW()/100000,"")</f>
        <v/>
      </c>
    </row>
    <row r="3761">
      <c r="E3761" s="11" t="n"/>
      <c r="M3761" s="7">
        <f>IF($C3761="","",L3761*U3761/100)</f>
        <v/>
      </c>
      <c r="N3761" s="7" t="n"/>
      <c r="T3761" s="7" t="n"/>
      <c r="U3761" s="7">
        <f>IF($C3761="","",S3761*T3761)</f>
        <v/>
      </c>
      <c r="X3761">
        <f>IF($C3761="","",IF($AM3761=1,0,IF($AL3761=1,Settings!$C$6,Settings!$C$7))*100)</f>
        <v/>
      </c>
      <c r="AB3761" s="7" t="n"/>
      <c r="AE3761" s="11" t="n"/>
      <c r="AG3761" s="7">
        <f>IF($C3761="","",U3761*X3761/100)</f>
        <v/>
      </c>
      <c r="AH3761" s="7">
        <f>IF($C3761="","",U3761-AG3761)</f>
        <v/>
      </c>
      <c r="AI3761" s="7">
        <f>IF($C3761="","",AH3761-M3761)</f>
        <v/>
      </c>
      <c r="AJ3761">
        <f>IF($C3761="","",IF(COUNTIF($C$2:$C3761,$C3761)=1,1,0))</f>
        <v/>
      </c>
      <c r="AK3761">
        <f>IF($AJ3761=1,SUMPRODUCT(--($AN$2:$AN$4001&lt;$AN3761))+1,"")</f>
        <v/>
      </c>
      <c r="AL3761">
        <f>IF($C3761="","",IF(OR($Q3761=TRUE(),$Q3761="TRUE"),1,0))</f>
        <v/>
      </c>
      <c r="AM3761">
        <f>IF($C3761="","",IF($W3761="Yes",1,0))</f>
        <v/>
      </c>
      <c r="AN3761">
        <f>IF($AJ3761=1,IFERROR(IF(VALUE($C3761)&lt;100000000,VALUE($C3761),1000000000),IFERROR(IF(VALUE(MID($C3761,2,20))&lt;100000000,VALUE(MID($C3761,2,20)),1000000000),1000000000))+ROW()/100000,"")</f>
        <v/>
      </c>
    </row>
    <row r="3762">
      <c r="E3762" s="11" t="n"/>
      <c r="M3762" s="7">
        <f>IF($C3762="","",L3762*U3762/100)</f>
        <v/>
      </c>
      <c r="N3762" s="7" t="n"/>
      <c r="T3762" s="7" t="n"/>
      <c r="U3762" s="7">
        <f>IF($C3762="","",S3762*T3762)</f>
        <v/>
      </c>
      <c r="X3762">
        <f>IF($C3762="","",IF($AM3762=1,0,IF($AL3762=1,Settings!$C$6,Settings!$C$7))*100)</f>
        <v/>
      </c>
      <c r="AB3762" s="7" t="n"/>
      <c r="AE3762" s="11" t="n"/>
      <c r="AG3762" s="7">
        <f>IF($C3762="","",U3762*X3762/100)</f>
        <v/>
      </c>
      <c r="AH3762" s="7">
        <f>IF($C3762="","",U3762-AG3762)</f>
        <v/>
      </c>
      <c r="AI3762" s="7">
        <f>IF($C3762="","",AH3762-M3762)</f>
        <v/>
      </c>
      <c r="AJ3762">
        <f>IF($C3762="","",IF(COUNTIF($C$2:$C3762,$C3762)=1,1,0))</f>
        <v/>
      </c>
      <c r="AK3762">
        <f>IF($AJ3762=1,SUMPRODUCT(--($AN$2:$AN$4001&lt;$AN3762))+1,"")</f>
        <v/>
      </c>
      <c r="AL3762">
        <f>IF($C3762="","",IF(OR($Q3762=TRUE(),$Q3762="TRUE"),1,0))</f>
        <v/>
      </c>
      <c r="AM3762">
        <f>IF($C3762="","",IF($W3762="Yes",1,0))</f>
        <v/>
      </c>
      <c r="AN3762">
        <f>IF($AJ3762=1,IFERROR(IF(VALUE($C3762)&lt;100000000,VALUE($C3762),1000000000),IFERROR(IF(VALUE(MID($C3762,2,20))&lt;100000000,VALUE(MID($C3762,2,20)),1000000000),1000000000))+ROW()/100000,"")</f>
        <v/>
      </c>
    </row>
    <row r="3763">
      <c r="E3763" s="11" t="n"/>
      <c r="M3763" s="7">
        <f>IF($C3763="","",L3763*U3763/100)</f>
        <v/>
      </c>
      <c r="N3763" s="7" t="n"/>
      <c r="T3763" s="7" t="n"/>
      <c r="U3763" s="7">
        <f>IF($C3763="","",S3763*T3763)</f>
        <v/>
      </c>
      <c r="X3763">
        <f>IF($C3763="","",IF($AM3763=1,0,IF($AL3763=1,Settings!$C$6,Settings!$C$7))*100)</f>
        <v/>
      </c>
      <c r="AB3763" s="7" t="n"/>
      <c r="AE3763" s="11" t="n"/>
      <c r="AG3763" s="7">
        <f>IF($C3763="","",U3763*X3763/100)</f>
        <v/>
      </c>
      <c r="AH3763" s="7">
        <f>IF($C3763="","",U3763-AG3763)</f>
        <v/>
      </c>
      <c r="AI3763" s="7">
        <f>IF($C3763="","",AH3763-M3763)</f>
        <v/>
      </c>
      <c r="AJ3763">
        <f>IF($C3763="","",IF(COUNTIF($C$2:$C3763,$C3763)=1,1,0))</f>
        <v/>
      </c>
      <c r="AK3763">
        <f>IF($AJ3763=1,SUMPRODUCT(--($AN$2:$AN$4001&lt;$AN3763))+1,"")</f>
        <v/>
      </c>
      <c r="AL3763">
        <f>IF($C3763="","",IF(OR($Q3763=TRUE(),$Q3763="TRUE"),1,0))</f>
        <v/>
      </c>
      <c r="AM3763">
        <f>IF($C3763="","",IF($W3763="Yes",1,0))</f>
        <v/>
      </c>
      <c r="AN3763">
        <f>IF($AJ3763=1,IFERROR(IF(VALUE($C3763)&lt;100000000,VALUE($C3763),1000000000),IFERROR(IF(VALUE(MID($C3763,2,20))&lt;100000000,VALUE(MID($C3763,2,20)),1000000000),1000000000))+ROW()/100000,"")</f>
        <v/>
      </c>
    </row>
    <row r="3764">
      <c r="E3764" s="11" t="n"/>
      <c r="M3764" s="7">
        <f>IF($C3764="","",L3764*U3764/100)</f>
        <v/>
      </c>
      <c r="N3764" s="7" t="n"/>
      <c r="T3764" s="7" t="n"/>
      <c r="U3764" s="7">
        <f>IF($C3764="","",S3764*T3764)</f>
        <v/>
      </c>
      <c r="X3764">
        <f>IF($C3764="","",IF($AM3764=1,0,IF($AL3764=1,Settings!$C$6,Settings!$C$7))*100)</f>
        <v/>
      </c>
      <c r="AB3764" s="7" t="n"/>
      <c r="AE3764" s="11" t="n"/>
      <c r="AG3764" s="7">
        <f>IF($C3764="","",U3764*X3764/100)</f>
        <v/>
      </c>
      <c r="AH3764" s="7">
        <f>IF($C3764="","",U3764-AG3764)</f>
        <v/>
      </c>
      <c r="AI3764" s="7">
        <f>IF($C3764="","",AH3764-M3764)</f>
        <v/>
      </c>
      <c r="AJ3764">
        <f>IF($C3764="","",IF(COUNTIF($C$2:$C3764,$C3764)=1,1,0))</f>
        <v/>
      </c>
      <c r="AK3764">
        <f>IF($AJ3764=1,SUMPRODUCT(--($AN$2:$AN$4001&lt;$AN3764))+1,"")</f>
        <v/>
      </c>
      <c r="AL3764">
        <f>IF($C3764="","",IF(OR($Q3764=TRUE(),$Q3764="TRUE"),1,0))</f>
        <v/>
      </c>
      <c r="AM3764">
        <f>IF($C3764="","",IF($W3764="Yes",1,0))</f>
        <v/>
      </c>
      <c r="AN3764">
        <f>IF($AJ3764=1,IFERROR(IF(VALUE($C3764)&lt;100000000,VALUE($C3764),1000000000),IFERROR(IF(VALUE(MID($C3764,2,20))&lt;100000000,VALUE(MID($C3764,2,20)),1000000000),1000000000))+ROW()/100000,"")</f>
        <v/>
      </c>
    </row>
    <row r="3765">
      <c r="E3765" s="11" t="n"/>
      <c r="M3765" s="7">
        <f>IF($C3765="","",L3765*U3765/100)</f>
        <v/>
      </c>
      <c r="N3765" s="7" t="n"/>
      <c r="T3765" s="7" t="n"/>
      <c r="U3765" s="7">
        <f>IF($C3765="","",S3765*T3765)</f>
        <v/>
      </c>
      <c r="X3765">
        <f>IF($C3765="","",IF($AM3765=1,0,IF($AL3765=1,Settings!$C$6,Settings!$C$7))*100)</f>
        <v/>
      </c>
      <c r="AB3765" s="7" t="n"/>
      <c r="AE3765" s="11" t="n"/>
      <c r="AG3765" s="7">
        <f>IF($C3765="","",U3765*X3765/100)</f>
        <v/>
      </c>
      <c r="AH3765" s="7">
        <f>IF($C3765="","",U3765-AG3765)</f>
        <v/>
      </c>
      <c r="AI3765" s="7">
        <f>IF($C3765="","",AH3765-M3765)</f>
        <v/>
      </c>
      <c r="AJ3765">
        <f>IF($C3765="","",IF(COUNTIF($C$2:$C3765,$C3765)=1,1,0))</f>
        <v/>
      </c>
      <c r="AK3765">
        <f>IF($AJ3765=1,SUMPRODUCT(--($AN$2:$AN$4001&lt;$AN3765))+1,"")</f>
        <v/>
      </c>
      <c r="AL3765">
        <f>IF($C3765="","",IF(OR($Q3765=TRUE(),$Q3765="TRUE"),1,0))</f>
        <v/>
      </c>
      <c r="AM3765">
        <f>IF($C3765="","",IF($W3765="Yes",1,0))</f>
        <v/>
      </c>
      <c r="AN3765">
        <f>IF($AJ3765=1,IFERROR(IF(VALUE($C3765)&lt;100000000,VALUE($C3765),1000000000),IFERROR(IF(VALUE(MID($C3765,2,20))&lt;100000000,VALUE(MID($C3765,2,20)),1000000000),1000000000))+ROW()/100000,"")</f>
        <v/>
      </c>
    </row>
    <row r="3766">
      <c r="E3766" s="11" t="n"/>
      <c r="M3766" s="7">
        <f>IF($C3766="","",L3766*U3766/100)</f>
        <v/>
      </c>
      <c r="N3766" s="7" t="n"/>
      <c r="T3766" s="7" t="n"/>
      <c r="U3766" s="7">
        <f>IF($C3766="","",S3766*T3766)</f>
        <v/>
      </c>
      <c r="X3766">
        <f>IF($C3766="","",IF($AM3766=1,0,IF($AL3766=1,Settings!$C$6,Settings!$C$7))*100)</f>
        <v/>
      </c>
      <c r="AB3766" s="7" t="n"/>
      <c r="AE3766" s="11" t="n"/>
      <c r="AG3766" s="7">
        <f>IF($C3766="","",U3766*X3766/100)</f>
        <v/>
      </c>
      <c r="AH3766" s="7">
        <f>IF($C3766="","",U3766-AG3766)</f>
        <v/>
      </c>
      <c r="AI3766" s="7">
        <f>IF($C3766="","",AH3766-M3766)</f>
        <v/>
      </c>
      <c r="AJ3766">
        <f>IF($C3766="","",IF(COUNTIF($C$2:$C3766,$C3766)=1,1,0))</f>
        <v/>
      </c>
      <c r="AK3766">
        <f>IF($AJ3766=1,SUMPRODUCT(--($AN$2:$AN$4001&lt;$AN3766))+1,"")</f>
        <v/>
      </c>
      <c r="AL3766">
        <f>IF($C3766="","",IF(OR($Q3766=TRUE(),$Q3766="TRUE"),1,0))</f>
        <v/>
      </c>
      <c r="AM3766">
        <f>IF($C3766="","",IF($W3766="Yes",1,0))</f>
        <v/>
      </c>
      <c r="AN3766">
        <f>IF($AJ3766=1,IFERROR(IF(VALUE($C3766)&lt;100000000,VALUE($C3766),1000000000),IFERROR(IF(VALUE(MID($C3766,2,20))&lt;100000000,VALUE(MID($C3766,2,20)),1000000000),1000000000))+ROW()/100000,"")</f>
        <v/>
      </c>
    </row>
    <row r="3767">
      <c r="E3767" s="11" t="n"/>
      <c r="M3767" s="7">
        <f>IF($C3767="","",L3767*U3767/100)</f>
        <v/>
      </c>
      <c r="N3767" s="7" t="n"/>
      <c r="T3767" s="7" t="n"/>
      <c r="U3767" s="7">
        <f>IF($C3767="","",S3767*T3767)</f>
        <v/>
      </c>
      <c r="X3767">
        <f>IF($C3767="","",IF($AM3767=1,0,IF($AL3767=1,Settings!$C$6,Settings!$C$7))*100)</f>
        <v/>
      </c>
      <c r="AB3767" s="7" t="n"/>
      <c r="AE3767" s="11" t="n"/>
      <c r="AG3767" s="7">
        <f>IF($C3767="","",U3767*X3767/100)</f>
        <v/>
      </c>
      <c r="AH3767" s="7">
        <f>IF($C3767="","",U3767-AG3767)</f>
        <v/>
      </c>
      <c r="AI3767" s="7">
        <f>IF($C3767="","",AH3767-M3767)</f>
        <v/>
      </c>
      <c r="AJ3767">
        <f>IF($C3767="","",IF(COUNTIF($C$2:$C3767,$C3767)=1,1,0))</f>
        <v/>
      </c>
      <c r="AK3767">
        <f>IF($AJ3767=1,SUMPRODUCT(--($AN$2:$AN$4001&lt;$AN3767))+1,"")</f>
        <v/>
      </c>
      <c r="AL3767">
        <f>IF($C3767="","",IF(OR($Q3767=TRUE(),$Q3767="TRUE"),1,0))</f>
        <v/>
      </c>
      <c r="AM3767">
        <f>IF($C3767="","",IF($W3767="Yes",1,0))</f>
        <v/>
      </c>
      <c r="AN3767">
        <f>IF($AJ3767=1,IFERROR(IF(VALUE($C3767)&lt;100000000,VALUE($C3767),1000000000),IFERROR(IF(VALUE(MID($C3767,2,20))&lt;100000000,VALUE(MID($C3767,2,20)),1000000000),1000000000))+ROW()/100000,"")</f>
        <v/>
      </c>
    </row>
    <row r="3768">
      <c r="E3768" s="11" t="n"/>
      <c r="M3768" s="7">
        <f>IF($C3768="","",L3768*U3768/100)</f>
        <v/>
      </c>
      <c r="N3768" s="7" t="n"/>
      <c r="T3768" s="7" t="n"/>
      <c r="U3768" s="7">
        <f>IF($C3768="","",S3768*T3768)</f>
        <v/>
      </c>
      <c r="X3768">
        <f>IF($C3768="","",IF($AM3768=1,0,IF($AL3768=1,Settings!$C$6,Settings!$C$7))*100)</f>
        <v/>
      </c>
      <c r="AB3768" s="7" t="n"/>
      <c r="AE3768" s="11" t="n"/>
      <c r="AG3768" s="7">
        <f>IF($C3768="","",U3768*X3768/100)</f>
        <v/>
      </c>
      <c r="AH3768" s="7">
        <f>IF($C3768="","",U3768-AG3768)</f>
        <v/>
      </c>
      <c r="AI3768" s="7">
        <f>IF($C3768="","",AH3768-M3768)</f>
        <v/>
      </c>
      <c r="AJ3768">
        <f>IF($C3768="","",IF(COUNTIF($C$2:$C3768,$C3768)=1,1,0))</f>
        <v/>
      </c>
      <c r="AK3768">
        <f>IF($AJ3768=1,SUMPRODUCT(--($AN$2:$AN$4001&lt;$AN3768))+1,"")</f>
        <v/>
      </c>
      <c r="AL3768">
        <f>IF($C3768="","",IF(OR($Q3768=TRUE(),$Q3768="TRUE"),1,0))</f>
        <v/>
      </c>
      <c r="AM3768">
        <f>IF($C3768="","",IF($W3768="Yes",1,0))</f>
        <v/>
      </c>
      <c r="AN3768">
        <f>IF($AJ3768=1,IFERROR(IF(VALUE($C3768)&lt;100000000,VALUE($C3768),1000000000),IFERROR(IF(VALUE(MID($C3768,2,20))&lt;100000000,VALUE(MID($C3768,2,20)),1000000000),1000000000))+ROW()/100000,"")</f>
        <v/>
      </c>
    </row>
    <row r="3769">
      <c r="E3769" s="11" t="n"/>
      <c r="M3769" s="7">
        <f>IF($C3769="","",L3769*U3769/100)</f>
        <v/>
      </c>
      <c r="N3769" s="7" t="n"/>
      <c r="T3769" s="7" t="n"/>
      <c r="U3769" s="7">
        <f>IF($C3769="","",S3769*T3769)</f>
        <v/>
      </c>
      <c r="X3769">
        <f>IF($C3769="","",IF($AM3769=1,0,IF($AL3769=1,Settings!$C$6,Settings!$C$7))*100)</f>
        <v/>
      </c>
      <c r="AB3769" s="7" t="n"/>
      <c r="AE3769" s="11" t="n"/>
      <c r="AG3769" s="7">
        <f>IF($C3769="","",U3769*X3769/100)</f>
        <v/>
      </c>
      <c r="AH3769" s="7">
        <f>IF($C3769="","",U3769-AG3769)</f>
        <v/>
      </c>
      <c r="AI3769" s="7">
        <f>IF($C3769="","",AH3769-M3769)</f>
        <v/>
      </c>
      <c r="AJ3769">
        <f>IF($C3769="","",IF(COUNTIF($C$2:$C3769,$C3769)=1,1,0))</f>
        <v/>
      </c>
      <c r="AK3769">
        <f>IF($AJ3769=1,SUMPRODUCT(--($AN$2:$AN$4001&lt;$AN3769))+1,"")</f>
        <v/>
      </c>
      <c r="AL3769">
        <f>IF($C3769="","",IF(OR($Q3769=TRUE(),$Q3769="TRUE"),1,0))</f>
        <v/>
      </c>
      <c r="AM3769">
        <f>IF($C3769="","",IF($W3769="Yes",1,0))</f>
        <v/>
      </c>
      <c r="AN3769">
        <f>IF($AJ3769=1,IFERROR(IF(VALUE($C3769)&lt;100000000,VALUE($C3769),1000000000),IFERROR(IF(VALUE(MID($C3769,2,20))&lt;100000000,VALUE(MID($C3769,2,20)),1000000000),1000000000))+ROW()/100000,"")</f>
        <v/>
      </c>
    </row>
    <row r="3770">
      <c r="E3770" s="11" t="n"/>
      <c r="M3770" s="7">
        <f>IF($C3770="","",L3770*U3770/100)</f>
        <v/>
      </c>
      <c r="N3770" s="7" t="n"/>
      <c r="T3770" s="7" t="n"/>
      <c r="U3770" s="7">
        <f>IF($C3770="","",S3770*T3770)</f>
        <v/>
      </c>
      <c r="X3770">
        <f>IF($C3770="","",IF($AM3770=1,0,IF($AL3770=1,Settings!$C$6,Settings!$C$7))*100)</f>
        <v/>
      </c>
      <c r="AB3770" s="7" t="n"/>
      <c r="AE3770" s="11" t="n"/>
      <c r="AG3770" s="7">
        <f>IF($C3770="","",U3770*X3770/100)</f>
        <v/>
      </c>
      <c r="AH3770" s="7">
        <f>IF($C3770="","",U3770-AG3770)</f>
        <v/>
      </c>
      <c r="AI3770" s="7">
        <f>IF($C3770="","",AH3770-M3770)</f>
        <v/>
      </c>
      <c r="AJ3770">
        <f>IF($C3770="","",IF(COUNTIF($C$2:$C3770,$C3770)=1,1,0))</f>
        <v/>
      </c>
      <c r="AK3770">
        <f>IF($AJ3770=1,SUMPRODUCT(--($AN$2:$AN$4001&lt;$AN3770))+1,"")</f>
        <v/>
      </c>
      <c r="AL3770">
        <f>IF($C3770="","",IF(OR($Q3770=TRUE(),$Q3770="TRUE"),1,0))</f>
        <v/>
      </c>
      <c r="AM3770">
        <f>IF($C3770="","",IF($W3770="Yes",1,0))</f>
        <v/>
      </c>
      <c r="AN3770">
        <f>IF($AJ3770=1,IFERROR(IF(VALUE($C3770)&lt;100000000,VALUE($C3770),1000000000),IFERROR(IF(VALUE(MID($C3770,2,20))&lt;100000000,VALUE(MID($C3770,2,20)),1000000000),1000000000))+ROW()/100000,"")</f>
        <v/>
      </c>
    </row>
    <row r="3771">
      <c r="E3771" s="11" t="n"/>
      <c r="M3771" s="7">
        <f>IF($C3771="","",L3771*U3771/100)</f>
        <v/>
      </c>
      <c r="N3771" s="7" t="n"/>
      <c r="T3771" s="7" t="n"/>
      <c r="U3771" s="7">
        <f>IF($C3771="","",S3771*T3771)</f>
        <v/>
      </c>
      <c r="X3771">
        <f>IF($C3771="","",IF($AM3771=1,0,IF($AL3771=1,Settings!$C$6,Settings!$C$7))*100)</f>
        <v/>
      </c>
      <c r="AB3771" s="7" t="n"/>
      <c r="AE3771" s="11" t="n"/>
      <c r="AG3771" s="7">
        <f>IF($C3771="","",U3771*X3771/100)</f>
        <v/>
      </c>
      <c r="AH3771" s="7">
        <f>IF($C3771="","",U3771-AG3771)</f>
        <v/>
      </c>
      <c r="AI3771" s="7">
        <f>IF($C3771="","",AH3771-M3771)</f>
        <v/>
      </c>
      <c r="AJ3771">
        <f>IF($C3771="","",IF(COUNTIF($C$2:$C3771,$C3771)=1,1,0))</f>
        <v/>
      </c>
      <c r="AK3771">
        <f>IF($AJ3771=1,SUMPRODUCT(--($AN$2:$AN$4001&lt;$AN3771))+1,"")</f>
        <v/>
      </c>
      <c r="AL3771">
        <f>IF($C3771="","",IF(OR($Q3771=TRUE(),$Q3771="TRUE"),1,0))</f>
        <v/>
      </c>
      <c r="AM3771">
        <f>IF($C3771="","",IF($W3771="Yes",1,0))</f>
        <v/>
      </c>
      <c r="AN3771">
        <f>IF($AJ3771=1,IFERROR(IF(VALUE($C3771)&lt;100000000,VALUE($C3771),1000000000),IFERROR(IF(VALUE(MID($C3771,2,20))&lt;100000000,VALUE(MID($C3771,2,20)),1000000000),1000000000))+ROW()/100000,"")</f>
        <v/>
      </c>
    </row>
    <row r="3772">
      <c r="E3772" s="11" t="n"/>
      <c r="M3772" s="7">
        <f>IF($C3772="","",L3772*U3772/100)</f>
        <v/>
      </c>
      <c r="N3772" s="7" t="n"/>
      <c r="T3772" s="7" t="n"/>
      <c r="U3772" s="7">
        <f>IF($C3772="","",S3772*T3772)</f>
        <v/>
      </c>
      <c r="X3772">
        <f>IF($C3772="","",IF($AM3772=1,0,IF($AL3772=1,Settings!$C$6,Settings!$C$7))*100)</f>
        <v/>
      </c>
      <c r="AB3772" s="7" t="n"/>
      <c r="AE3772" s="11" t="n"/>
      <c r="AG3772" s="7">
        <f>IF($C3772="","",U3772*X3772/100)</f>
        <v/>
      </c>
      <c r="AH3772" s="7">
        <f>IF($C3772="","",U3772-AG3772)</f>
        <v/>
      </c>
      <c r="AI3772" s="7">
        <f>IF($C3772="","",AH3772-M3772)</f>
        <v/>
      </c>
      <c r="AJ3772">
        <f>IF($C3772="","",IF(COUNTIF($C$2:$C3772,$C3772)=1,1,0))</f>
        <v/>
      </c>
      <c r="AK3772">
        <f>IF($AJ3772=1,SUMPRODUCT(--($AN$2:$AN$4001&lt;$AN3772))+1,"")</f>
        <v/>
      </c>
      <c r="AL3772">
        <f>IF($C3772="","",IF(OR($Q3772=TRUE(),$Q3772="TRUE"),1,0))</f>
        <v/>
      </c>
      <c r="AM3772">
        <f>IF($C3772="","",IF($W3772="Yes",1,0))</f>
        <v/>
      </c>
      <c r="AN3772">
        <f>IF($AJ3772=1,IFERROR(IF(VALUE($C3772)&lt;100000000,VALUE($C3772),1000000000),IFERROR(IF(VALUE(MID($C3772,2,20))&lt;100000000,VALUE(MID($C3772,2,20)),1000000000),1000000000))+ROW()/100000,"")</f>
        <v/>
      </c>
    </row>
    <row r="3773">
      <c r="E3773" s="11" t="n"/>
      <c r="M3773" s="7">
        <f>IF($C3773="","",L3773*U3773/100)</f>
        <v/>
      </c>
      <c r="N3773" s="7" t="n"/>
      <c r="T3773" s="7" t="n"/>
      <c r="U3773" s="7">
        <f>IF($C3773="","",S3773*T3773)</f>
        <v/>
      </c>
      <c r="X3773">
        <f>IF($C3773="","",IF($AM3773=1,0,IF($AL3773=1,Settings!$C$6,Settings!$C$7))*100)</f>
        <v/>
      </c>
      <c r="AB3773" s="7" t="n"/>
      <c r="AE3773" s="11" t="n"/>
      <c r="AG3773" s="7">
        <f>IF($C3773="","",U3773*X3773/100)</f>
        <v/>
      </c>
      <c r="AH3773" s="7">
        <f>IF($C3773="","",U3773-AG3773)</f>
        <v/>
      </c>
      <c r="AI3773" s="7">
        <f>IF($C3773="","",AH3773-M3773)</f>
        <v/>
      </c>
      <c r="AJ3773">
        <f>IF($C3773="","",IF(COUNTIF($C$2:$C3773,$C3773)=1,1,0))</f>
        <v/>
      </c>
      <c r="AK3773">
        <f>IF($AJ3773=1,SUMPRODUCT(--($AN$2:$AN$4001&lt;$AN3773))+1,"")</f>
        <v/>
      </c>
      <c r="AL3773">
        <f>IF($C3773="","",IF(OR($Q3773=TRUE(),$Q3773="TRUE"),1,0))</f>
        <v/>
      </c>
      <c r="AM3773">
        <f>IF($C3773="","",IF($W3773="Yes",1,0))</f>
        <v/>
      </c>
      <c r="AN3773">
        <f>IF($AJ3773=1,IFERROR(IF(VALUE($C3773)&lt;100000000,VALUE($C3773),1000000000),IFERROR(IF(VALUE(MID($C3773,2,20))&lt;100000000,VALUE(MID($C3773,2,20)),1000000000),1000000000))+ROW()/100000,"")</f>
        <v/>
      </c>
    </row>
    <row r="3774">
      <c r="E3774" s="11" t="n"/>
      <c r="M3774" s="7">
        <f>IF($C3774="","",L3774*U3774/100)</f>
        <v/>
      </c>
      <c r="N3774" s="7" t="n"/>
      <c r="T3774" s="7" t="n"/>
      <c r="U3774" s="7">
        <f>IF($C3774="","",S3774*T3774)</f>
        <v/>
      </c>
      <c r="X3774">
        <f>IF($C3774="","",IF($AM3774=1,0,IF($AL3774=1,Settings!$C$6,Settings!$C$7))*100)</f>
        <v/>
      </c>
      <c r="AB3774" s="7" t="n"/>
      <c r="AE3774" s="11" t="n"/>
      <c r="AG3774" s="7">
        <f>IF($C3774="","",U3774*X3774/100)</f>
        <v/>
      </c>
      <c r="AH3774" s="7">
        <f>IF($C3774="","",U3774-AG3774)</f>
        <v/>
      </c>
      <c r="AI3774" s="7">
        <f>IF($C3774="","",AH3774-M3774)</f>
        <v/>
      </c>
      <c r="AJ3774">
        <f>IF($C3774="","",IF(COUNTIF($C$2:$C3774,$C3774)=1,1,0))</f>
        <v/>
      </c>
      <c r="AK3774">
        <f>IF($AJ3774=1,SUMPRODUCT(--($AN$2:$AN$4001&lt;$AN3774))+1,"")</f>
        <v/>
      </c>
      <c r="AL3774">
        <f>IF($C3774="","",IF(OR($Q3774=TRUE(),$Q3774="TRUE"),1,0))</f>
        <v/>
      </c>
      <c r="AM3774">
        <f>IF($C3774="","",IF($W3774="Yes",1,0))</f>
        <v/>
      </c>
      <c r="AN3774">
        <f>IF($AJ3774=1,IFERROR(IF(VALUE($C3774)&lt;100000000,VALUE($C3774),1000000000),IFERROR(IF(VALUE(MID($C3774,2,20))&lt;100000000,VALUE(MID($C3774,2,20)),1000000000),1000000000))+ROW()/100000,"")</f>
        <v/>
      </c>
    </row>
    <row r="3775">
      <c r="E3775" s="11" t="n"/>
      <c r="M3775" s="7">
        <f>IF($C3775="","",L3775*U3775/100)</f>
        <v/>
      </c>
      <c r="N3775" s="7" t="n"/>
      <c r="T3775" s="7" t="n"/>
      <c r="U3775" s="7">
        <f>IF($C3775="","",S3775*T3775)</f>
        <v/>
      </c>
      <c r="X3775">
        <f>IF($C3775="","",IF($AM3775=1,0,IF($AL3775=1,Settings!$C$6,Settings!$C$7))*100)</f>
        <v/>
      </c>
      <c r="AB3775" s="7" t="n"/>
      <c r="AE3775" s="11" t="n"/>
      <c r="AG3775" s="7">
        <f>IF($C3775="","",U3775*X3775/100)</f>
        <v/>
      </c>
      <c r="AH3775" s="7">
        <f>IF($C3775="","",U3775-AG3775)</f>
        <v/>
      </c>
      <c r="AI3775" s="7">
        <f>IF($C3775="","",AH3775-M3775)</f>
        <v/>
      </c>
      <c r="AJ3775">
        <f>IF($C3775="","",IF(COUNTIF($C$2:$C3775,$C3775)=1,1,0))</f>
        <v/>
      </c>
      <c r="AK3775">
        <f>IF($AJ3775=1,SUMPRODUCT(--($AN$2:$AN$4001&lt;$AN3775))+1,"")</f>
        <v/>
      </c>
      <c r="AL3775">
        <f>IF($C3775="","",IF(OR($Q3775=TRUE(),$Q3775="TRUE"),1,0))</f>
        <v/>
      </c>
      <c r="AM3775">
        <f>IF($C3775="","",IF($W3775="Yes",1,0))</f>
        <v/>
      </c>
      <c r="AN3775">
        <f>IF($AJ3775=1,IFERROR(IF(VALUE($C3775)&lt;100000000,VALUE($C3775),1000000000),IFERROR(IF(VALUE(MID($C3775,2,20))&lt;100000000,VALUE(MID($C3775,2,20)),1000000000),1000000000))+ROW()/100000,"")</f>
        <v/>
      </c>
    </row>
    <row r="3776">
      <c r="E3776" s="11" t="n"/>
      <c r="M3776" s="7">
        <f>IF($C3776="","",L3776*U3776/100)</f>
        <v/>
      </c>
      <c r="N3776" s="7" t="n"/>
      <c r="T3776" s="7" t="n"/>
      <c r="U3776" s="7">
        <f>IF($C3776="","",S3776*T3776)</f>
        <v/>
      </c>
      <c r="X3776">
        <f>IF($C3776="","",IF($AM3776=1,0,IF($AL3776=1,Settings!$C$6,Settings!$C$7))*100)</f>
        <v/>
      </c>
      <c r="AB3776" s="7" t="n"/>
      <c r="AE3776" s="11" t="n"/>
      <c r="AG3776" s="7">
        <f>IF($C3776="","",U3776*X3776/100)</f>
        <v/>
      </c>
      <c r="AH3776" s="7">
        <f>IF($C3776="","",U3776-AG3776)</f>
        <v/>
      </c>
      <c r="AI3776" s="7">
        <f>IF($C3776="","",AH3776-M3776)</f>
        <v/>
      </c>
      <c r="AJ3776">
        <f>IF($C3776="","",IF(COUNTIF($C$2:$C3776,$C3776)=1,1,0))</f>
        <v/>
      </c>
      <c r="AK3776">
        <f>IF($AJ3776=1,SUMPRODUCT(--($AN$2:$AN$4001&lt;$AN3776))+1,"")</f>
        <v/>
      </c>
      <c r="AL3776">
        <f>IF($C3776="","",IF(OR($Q3776=TRUE(),$Q3776="TRUE"),1,0))</f>
        <v/>
      </c>
      <c r="AM3776">
        <f>IF($C3776="","",IF($W3776="Yes",1,0))</f>
        <v/>
      </c>
      <c r="AN3776">
        <f>IF($AJ3776=1,IFERROR(IF(VALUE($C3776)&lt;100000000,VALUE($C3776),1000000000),IFERROR(IF(VALUE(MID($C3776,2,20))&lt;100000000,VALUE(MID($C3776,2,20)),1000000000),1000000000))+ROW()/100000,"")</f>
        <v/>
      </c>
    </row>
    <row r="3777">
      <c r="E3777" s="11" t="n"/>
      <c r="M3777" s="7">
        <f>IF($C3777="","",L3777*U3777/100)</f>
        <v/>
      </c>
      <c r="N3777" s="7" t="n"/>
      <c r="T3777" s="7" t="n"/>
      <c r="U3777" s="7">
        <f>IF($C3777="","",S3777*T3777)</f>
        <v/>
      </c>
      <c r="X3777">
        <f>IF($C3777="","",IF($AM3777=1,0,IF($AL3777=1,Settings!$C$6,Settings!$C$7))*100)</f>
        <v/>
      </c>
      <c r="AB3777" s="7" t="n"/>
      <c r="AE3777" s="11" t="n"/>
      <c r="AG3777" s="7">
        <f>IF($C3777="","",U3777*X3777/100)</f>
        <v/>
      </c>
      <c r="AH3777" s="7">
        <f>IF($C3777="","",U3777-AG3777)</f>
        <v/>
      </c>
      <c r="AI3777" s="7">
        <f>IF($C3777="","",AH3777-M3777)</f>
        <v/>
      </c>
      <c r="AJ3777">
        <f>IF($C3777="","",IF(COUNTIF($C$2:$C3777,$C3777)=1,1,0))</f>
        <v/>
      </c>
      <c r="AK3777">
        <f>IF($AJ3777=1,SUMPRODUCT(--($AN$2:$AN$4001&lt;$AN3777))+1,"")</f>
        <v/>
      </c>
      <c r="AL3777">
        <f>IF($C3777="","",IF(OR($Q3777=TRUE(),$Q3777="TRUE"),1,0))</f>
        <v/>
      </c>
      <c r="AM3777">
        <f>IF($C3777="","",IF($W3777="Yes",1,0))</f>
        <v/>
      </c>
      <c r="AN3777">
        <f>IF($AJ3777=1,IFERROR(IF(VALUE($C3777)&lt;100000000,VALUE($C3777),1000000000),IFERROR(IF(VALUE(MID($C3777,2,20))&lt;100000000,VALUE(MID($C3777,2,20)),1000000000),1000000000))+ROW()/100000,"")</f>
        <v/>
      </c>
    </row>
    <row r="3778">
      <c r="E3778" s="11" t="n"/>
      <c r="M3778" s="7">
        <f>IF($C3778="","",L3778*U3778/100)</f>
        <v/>
      </c>
      <c r="N3778" s="7" t="n"/>
      <c r="T3778" s="7" t="n"/>
      <c r="U3778" s="7">
        <f>IF($C3778="","",S3778*T3778)</f>
        <v/>
      </c>
      <c r="X3778">
        <f>IF($C3778="","",IF($AM3778=1,0,IF($AL3778=1,Settings!$C$6,Settings!$C$7))*100)</f>
        <v/>
      </c>
      <c r="AB3778" s="7" t="n"/>
      <c r="AE3778" s="11" t="n"/>
      <c r="AG3778" s="7">
        <f>IF($C3778="","",U3778*X3778/100)</f>
        <v/>
      </c>
      <c r="AH3778" s="7">
        <f>IF($C3778="","",U3778-AG3778)</f>
        <v/>
      </c>
      <c r="AI3778" s="7">
        <f>IF($C3778="","",AH3778-M3778)</f>
        <v/>
      </c>
      <c r="AJ3778">
        <f>IF($C3778="","",IF(COUNTIF($C$2:$C3778,$C3778)=1,1,0))</f>
        <v/>
      </c>
      <c r="AK3778">
        <f>IF($AJ3778=1,SUMPRODUCT(--($AN$2:$AN$4001&lt;$AN3778))+1,"")</f>
        <v/>
      </c>
      <c r="AL3778">
        <f>IF($C3778="","",IF(OR($Q3778=TRUE(),$Q3778="TRUE"),1,0))</f>
        <v/>
      </c>
      <c r="AM3778">
        <f>IF($C3778="","",IF($W3778="Yes",1,0))</f>
        <v/>
      </c>
      <c r="AN3778">
        <f>IF($AJ3778=1,IFERROR(IF(VALUE($C3778)&lt;100000000,VALUE($C3778),1000000000),IFERROR(IF(VALUE(MID($C3778,2,20))&lt;100000000,VALUE(MID($C3778,2,20)),1000000000),1000000000))+ROW()/100000,"")</f>
        <v/>
      </c>
    </row>
    <row r="3779">
      <c r="E3779" s="11" t="n"/>
      <c r="M3779" s="7">
        <f>IF($C3779="","",L3779*U3779/100)</f>
        <v/>
      </c>
      <c r="N3779" s="7" t="n"/>
      <c r="T3779" s="7" t="n"/>
      <c r="U3779" s="7">
        <f>IF($C3779="","",S3779*T3779)</f>
        <v/>
      </c>
      <c r="X3779">
        <f>IF($C3779="","",IF($AM3779=1,0,IF($AL3779=1,Settings!$C$6,Settings!$C$7))*100)</f>
        <v/>
      </c>
      <c r="AB3779" s="7" t="n"/>
      <c r="AE3779" s="11" t="n"/>
      <c r="AG3779" s="7">
        <f>IF($C3779="","",U3779*X3779/100)</f>
        <v/>
      </c>
      <c r="AH3779" s="7">
        <f>IF($C3779="","",U3779-AG3779)</f>
        <v/>
      </c>
      <c r="AI3779" s="7">
        <f>IF($C3779="","",AH3779-M3779)</f>
        <v/>
      </c>
      <c r="AJ3779">
        <f>IF($C3779="","",IF(COUNTIF($C$2:$C3779,$C3779)=1,1,0))</f>
        <v/>
      </c>
      <c r="AK3779">
        <f>IF($AJ3779=1,SUMPRODUCT(--($AN$2:$AN$4001&lt;$AN3779))+1,"")</f>
        <v/>
      </c>
      <c r="AL3779">
        <f>IF($C3779="","",IF(OR($Q3779=TRUE(),$Q3779="TRUE"),1,0))</f>
        <v/>
      </c>
      <c r="AM3779">
        <f>IF($C3779="","",IF($W3779="Yes",1,0))</f>
        <v/>
      </c>
      <c r="AN3779">
        <f>IF($AJ3779=1,IFERROR(IF(VALUE($C3779)&lt;100000000,VALUE($C3779),1000000000),IFERROR(IF(VALUE(MID($C3779,2,20))&lt;100000000,VALUE(MID($C3779,2,20)),1000000000),1000000000))+ROW()/100000,"")</f>
        <v/>
      </c>
    </row>
    <row r="3780">
      <c r="E3780" s="11" t="n"/>
      <c r="M3780" s="7">
        <f>IF($C3780="","",L3780*U3780/100)</f>
        <v/>
      </c>
      <c r="N3780" s="7" t="n"/>
      <c r="T3780" s="7" t="n"/>
      <c r="U3780" s="7">
        <f>IF($C3780="","",S3780*T3780)</f>
        <v/>
      </c>
      <c r="X3780">
        <f>IF($C3780="","",IF($AM3780=1,0,IF($AL3780=1,Settings!$C$6,Settings!$C$7))*100)</f>
        <v/>
      </c>
      <c r="AB3780" s="7" t="n"/>
      <c r="AE3780" s="11" t="n"/>
      <c r="AG3780" s="7">
        <f>IF($C3780="","",U3780*X3780/100)</f>
        <v/>
      </c>
      <c r="AH3780" s="7">
        <f>IF($C3780="","",U3780-AG3780)</f>
        <v/>
      </c>
      <c r="AI3780" s="7">
        <f>IF($C3780="","",AH3780-M3780)</f>
        <v/>
      </c>
      <c r="AJ3780">
        <f>IF($C3780="","",IF(COUNTIF($C$2:$C3780,$C3780)=1,1,0))</f>
        <v/>
      </c>
      <c r="AK3780">
        <f>IF($AJ3780=1,SUMPRODUCT(--($AN$2:$AN$4001&lt;$AN3780))+1,"")</f>
        <v/>
      </c>
      <c r="AL3780">
        <f>IF($C3780="","",IF(OR($Q3780=TRUE(),$Q3780="TRUE"),1,0))</f>
        <v/>
      </c>
      <c r="AM3780">
        <f>IF($C3780="","",IF($W3780="Yes",1,0))</f>
        <v/>
      </c>
      <c r="AN3780">
        <f>IF($AJ3780=1,IFERROR(IF(VALUE($C3780)&lt;100000000,VALUE($C3780),1000000000),IFERROR(IF(VALUE(MID($C3780,2,20))&lt;100000000,VALUE(MID($C3780,2,20)),1000000000),1000000000))+ROW()/100000,"")</f>
        <v/>
      </c>
    </row>
    <row r="3781">
      <c r="E3781" s="11" t="n"/>
      <c r="M3781" s="7">
        <f>IF($C3781="","",L3781*U3781/100)</f>
        <v/>
      </c>
      <c r="N3781" s="7" t="n"/>
      <c r="T3781" s="7" t="n"/>
      <c r="U3781" s="7">
        <f>IF($C3781="","",S3781*T3781)</f>
        <v/>
      </c>
      <c r="X3781">
        <f>IF($C3781="","",IF($AM3781=1,0,IF($AL3781=1,Settings!$C$6,Settings!$C$7))*100)</f>
        <v/>
      </c>
      <c r="AB3781" s="7" t="n"/>
      <c r="AE3781" s="11" t="n"/>
      <c r="AG3781" s="7">
        <f>IF($C3781="","",U3781*X3781/100)</f>
        <v/>
      </c>
      <c r="AH3781" s="7">
        <f>IF($C3781="","",U3781-AG3781)</f>
        <v/>
      </c>
      <c r="AI3781" s="7">
        <f>IF($C3781="","",AH3781-M3781)</f>
        <v/>
      </c>
      <c r="AJ3781">
        <f>IF($C3781="","",IF(COUNTIF($C$2:$C3781,$C3781)=1,1,0))</f>
        <v/>
      </c>
      <c r="AK3781">
        <f>IF($AJ3781=1,SUMPRODUCT(--($AN$2:$AN$4001&lt;$AN3781))+1,"")</f>
        <v/>
      </c>
      <c r="AL3781">
        <f>IF($C3781="","",IF(OR($Q3781=TRUE(),$Q3781="TRUE"),1,0))</f>
        <v/>
      </c>
      <c r="AM3781">
        <f>IF($C3781="","",IF($W3781="Yes",1,0))</f>
        <v/>
      </c>
      <c r="AN3781">
        <f>IF($AJ3781=1,IFERROR(IF(VALUE($C3781)&lt;100000000,VALUE($C3781),1000000000),IFERROR(IF(VALUE(MID($C3781,2,20))&lt;100000000,VALUE(MID($C3781,2,20)),1000000000),1000000000))+ROW()/100000,"")</f>
        <v/>
      </c>
    </row>
    <row r="3782">
      <c r="E3782" s="11" t="n"/>
      <c r="M3782" s="7">
        <f>IF($C3782="","",L3782*U3782/100)</f>
        <v/>
      </c>
      <c r="N3782" s="7" t="n"/>
      <c r="T3782" s="7" t="n"/>
      <c r="U3782" s="7">
        <f>IF($C3782="","",S3782*T3782)</f>
        <v/>
      </c>
      <c r="X3782">
        <f>IF($C3782="","",IF($AM3782=1,0,IF($AL3782=1,Settings!$C$6,Settings!$C$7))*100)</f>
        <v/>
      </c>
      <c r="AB3782" s="7" t="n"/>
      <c r="AE3782" s="11" t="n"/>
      <c r="AG3782" s="7">
        <f>IF($C3782="","",U3782*X3782/100)</f>
        <v/>
      </c>
      <c r="AH3782" s="7">
        <f>IF($C3782="","",U3782-AG3782)</f>
        <v/>
      </c>
      <c r="AI3782" s="7">
        <f>IF($C3782="","",AH3782-M3782)</f>
        <v/>
      </c>
      <c r="AJ3782">
        <f>IF($C3782="","",IF(COUNTIF($C$2:$C3782,$C3782)=1,1,0))</f>
        <v/>
      </c>
      <c r="AK3782">
        <f>IF($AJ3782=1,SUMPRODUCT(--($AN$2:$AN$4001&lt;$AN3782))+1,"")</f>
        <v/>
      </c>
      <c r="AL3782">
        <f>IF($C3782="","",IF(OR($Q3782=TRUE(),$Q3782="TRUE"),1,0))</f>
        <v/>
      </c>
      <c r="AM3782">
        <f>IF($C3782="","",IF($W3782="Yes",1,0))</f>
        <v/>
      </c>
      <c r="AN3782">
        <f>IF($AJ3782=1,IFERROR(IF(VALUE($C3782)&lt;100000000,VALUE($C3782),1000000000),IFERROR(IF(VALUE(MID($C3782,2,20))&lt;100000000,VALUE(MID($C3782,2,20)),1000000000),1000000000))+ROW()/100000,"")</f>
        <v/>
      </c>
    </row>
    <row r="3783">
      <c r="E3783" s="11" t="n"/>
      <c r="M3783" s="7">
        <f>IF($C3783="","",L3783*U3783/100)</f>
        <v/>
      </c>
      <c r="N3783" s="7" t="n"/>
      <c r="T3783" s="7" t="n"/>
      <c r="U3783" s="7">
        <f>IF($C3783="","",S3783*T3783)</f>
        <v/>
      </c>
      <c r="X3783">
        <f>IF($C3783="","",IF($AM3783=1,0,IF($AL3783=1,Settings!$C$6,Settings!$C$7))*100)</f>
        <v/>
      </c>
      <c r="AB3783" s="7" t="n"/>
      <c r="AE3783" s="11" t="n"/>
      <c r="AG3783" s="7">
        <f>IF($C3783="","",U3783*X3783/100)</f>
        <v/>
      </c>
      <c r="AH3783" s="7">
        <f>IF($C3783="","",U3783-AG3783)</f>
        <v/>
      </c>
      <c r="AI3783" s="7">
        <f>IF($C3783="","",AH3783-M3783)</f>
        <v/>
      </c>
      <c r="AJ3783">
        <f>IF($C3783="","",IF(COUNTIF($C$2:$C3783,$C3783)=1,1,0))</f>
        <v/>
      </c>
      <c r="AK3783">
        <f>IF($AJ3783=1,SUMPRODUCT(--($AN$2:$AN$4001&lt;$AN3783))+1,"")</f>
        <v/>
      </c>
      <c r="AL3783">
        <f>IF($C3783="","",IF(OR($Q3783=TRUE(),$Q3783="TRUE"),1,0))</f>
        <v/>
      </c>
      <c r="AM3783">
        <f>IF($C3783="","",IF($W3783="Yes",1,0))</f>
        <v/>
      </c>
      <c r="AN3783">
        <f>IF($AJ3783=1,IFERROR(IF(VALUE($C3783)&lt;100000000,VALUE($C3783),1000000000),IFERROR(IF(VALUE(MID($C3783,2,20))&lt;100000000,VALUE(MID($C3783,2,20)),1000000000),1000000000))+ROW()/100000,"")</f>
        <v/>
      </c>
    </row>
    <row r="3784">
      <c r="E3784" s="11" t="n"/>
      <c r="M3784" s="7">
        <f>IF($C3784="","",L3784*U3784/100)</f>
        <v/>
      </c>
      <c r="N3784" s="7" t="n"/>
      <c r="T3784" s="7" t="n"/>
      <c r="U3784" s="7">
        <f>IF($C3784="","",S3784*T3784)</f>
        <v/>
      </c>
      <c r="X3784">
        <f>IF($C3784="","",IF($AM3784=1,0,IF($AL3784=1,Settings!$C$6,Settings!$C$7))*100)</f>
        <v/>
      </c>
      <c r="AB3784" s="7" t="n"/>
      <c r="AE3784" s="11" t="n"/>
      <c r="AG3784" s="7">
        <f>IF($C3784="","",U3784*X3784/100)</f>
        <v/>
      </c>
      <c r="AH3784" s="7">
        <f>IF($C3784="","",U3784-AG3784)</f>
        <v/>
      </c>
      <c r="AI3784" s="7">
        <f>IF($C3784="","",AH3784-M3784)</f>
        <v/>
      </c>
      <c r="AJ3784">
        <f>IF($C3784="","",IF(COUNTIF($C$2:$C3784,$C3784)=1,1,0))</f>
        <v/>
      </c>
      <c r="AK3784">
        <f>IF($AJ3784=1,SUMPRODUCT(--($AN$2:$AN$4001&lt;$AN3784))+1,"")</f>
        <v/>
      </c>
      <c r="AL3784">
        <f>IF($C3784="","",IF(OR($Q3784=TRUE(),$Q3784="TRUE"),1,0))</f>
        <v/>
      </c>
      <c r="AM3784">
        <f>IF($C3784="","",IF($W3784="Yes",1,0))</f>
        <v/>
      </c>
      <c r="AN3784">
        <f>IF($AJ3784=1,IFERROR(IF(VALUE($C3784)&lt;100000000,VALUE($C3784),1000000000),IFERROR(IF(VALUE(MID($C3784,2,20))&lt;100000000,VALUE(MID($C3784,2,20)),1000000000),1000000000))+ROW()/100000,"")</f>
        <v/>
      </c>
    </row>
    <row r="3785">
      <c r="E3785" s="11" t="n"/>
      <c r="M3785" s="7">
        <f>IF($C3785="","",L3785*U3785/100)</f>
        <v/>
      </c>
      <c r="N3785" s="7" t="n"/>
      <c r="T3785" s="7" t="n"/>
      <c r="U3785" s="7">
        <f>IF($C3785="","",S3785*T3785)</f>
        <v/>
      </c>
      <c r="X3785">
        <f>IF($C3785="","",IF($AM3785=1,0,IF($AL3785=1,Settings!$C$6,Settings!$C$7))*100)</f>
        <v/>
      </c>
      <c r="AB3785" s="7" t="n"/>
      <c r="AE3785" s="11" t="n"/>
      <c r="AG3785" s="7">
        <f>IF($C3785="","",U3785*X3785/100)</f>
        <v/>
      </c>
      <c r="AH3785" s="7">
        <f>IF($C3785="","",U3785-AG3785)</f>
        <v/>
      </c>
      <c r="AI3785" s="7">
        <f>IF($C3785="","",AH3785-M3785)</f>
        <v/>
      </c>
      <c r="AJ3785">
        <f>IF($C3785="","",IF(COUNTIF($C$2:$C3785,$C3785)=1,1,0))</f>
        <v/>
      </c>
      <c r="AK3785">
        <f>IF($AJ3785=1,SUMPRODUCT(--($AN$2:$AN$4001&lt;$AN3785))+1,"")</f>
        <v/>
      </c>
      <c r="AL3785">
        <f>IF($C3785="","",IF(OR($Q3785=TRUE(),$Q3785="TRUE"),1,0))</f>
        <v/>
      </c>
      <c r="AM3785">
        <f>IF($C3785="","",IF($W3785="Yes",1,0))</f>
        <v/>
      </c>
      <c r="AN3785">
        <f>IF($AJ3785=1,IFERROR(IF(VALUE($C3785)&lt;100000000,VALUE($C3785),1000000000),IFERROR(IF(VALUE(MID($C3785,2,20))&lt;100000000,VALUE(MID($C3785,2,20)),1000000000),1000000000))+ROW()/100000,"")</f>
        <v/>
      </c>
    </row>
    <row r="3786">
      <c r="E3786" s="11" t="n"/>
      <c r="M3786" s="7">
        <f>IF($C3786="","",L3786*U3786/100)</f>
        <v/>
      </c>
      <c r="N3786" s="7" t="n"/>
      <c r="T3786" s="7" t="n"/>
      <c r="U3786" s="7">
        <f>IF($C3786="","",S3786*T3786)</f>
        <v/>
      </c>
      <c r="X3786">
        <f>IF($C3786="","",IF($AM3786=1,0,IF($AL3786=1,Settings!$C$6,Settings!$C$7))*100)</f>
        <v/>
      </c>
      <c r="AB3786" s="7" t="n"/>
      <c r="AE3786" s="11" t="n"/>
      <c r="AG3786" s="7">
        <f>IF($C3786="","",U3786*X3786/100)</f>
        <v/>
      </c>
      <c r="AH3786" s="7">
        <f>IF($C3786="","",U3786-AG3786)</f>
        <v/>
      </c>
      <c r="AI3786" s="7">
        <f>IF($C3786="","",AH3786-M3786)</f>
        <v/>
      </c>
      <c r="AJ3786">
        <f>IF($C3786="","",IF(COUNTIF($C$2:$C3786,$C3786)=1,1,0))</f>
        <v/>
      </c>
      <c r="AK3786">
        <f>IF($AJ3786=1,SUMPRODUCT(--($AN$2:$AN$4001&lt;$AN3786))+1,"")</f>
        <v/>
      </c>
      <c r="AL3786">
        <f>IF($C3786="","",IF(OR($Q3786=TRUE(),$Q3786="TRUE"),1,0))</f>
        <v/>
      </c>
      <c r="AM3786">
        <f>IF($C3786="","",IF($W3786="Yes",1,0))</f>
        <v/>
      </c>
      <c r="AN3786">
        <f>IF($AJ3786=1,IFERROR(IF(VALUE($C3786)&lt;100000000,VALUE($C3786),1000000000),IFERROR(IF(VALUE(MID($C3786,2,20))&lt;100000000,VALUE(MID($C3786,2,20)),1000000000),1000000000))+ROW()/100000,"")</f>
        <v/>
      </c>
    </row>
    <row r="3787">
      <c r="E3787" s="11" t="n"/>
      <c r="M3787" s="7">
        <f>IF($C3787="","",L3787*U3787/100)</f>
        <v/>
      </c>
      <c r="N3787" s="7" t="n"/>
      <c r="T3787" s="7" t="n"/>
      <c r="U3787" s="7">
        <f>IF($C3787="","",S3787*T3787)</f>
        <v/>
      </c>
      <c r="X3787">
        <f>IF($C3787="","",IF($AM3787=1,0,IF($AL3787=1,Settings!$C$6,Settings!$C$7))*100)</f>
        <v/>
      </c>
      <c r="AB3787" s="7" t="n"/>
      <c r="AE3787" s="11" t="n"/>
      <c r="AG3787" s="7">
        <f>IF($C3787="","",U3787*X3787/100)</f>
        <v/>
      </c>
      <c r="AH3787" s="7">
        <f>IF($C3787="","",U3787-AG3787)</f>
        <v/>
      </c>
      <c r="AI3787" s="7">
        <f>IF($C3787="","",AH3787-M3787)</f>
        <v/>
      </c>
      <c r="AJ3787">
        <f>IF($C3787="","",IF(COUNTIF($C$2:$C3787,$C3787)=1,1,0))</f>
        <v/>
      </c>
      <c r="AK3787">
        <f>IF($AJ3787=1,SUMPRODUCT(--($AN$2:$AN$4001&lt;$AN3787))+1,"")</f>
        <v/>
      </c>
      <c r="AL3787">
        <f>IF($C3787="","",IF(OR($Q3787=TRUE(),$Q3787="TRUE"),1,0))</f>
        <v/>
      </c>
      <c r="AM3787">
        <f>IF($C3787="","",IF($W3787="Yes",1,0))</f>
        <v/>
      </c>
      <c r="AN3787">
        <f>IF($AJ3787=1,IFERROR(IF(VALUE($C3787)&lt;100000000,VALUE($C3787),1000000000),IFERROR(IF(VALUE(MID($C3787,2,20))&lt;100000000,VALUE(MID($C3787,2,20)),1000000000),1000000000))+ROW()/100000,"")</f>
        <v/>
      </c>
    </row>
    <row r="3788">
      <c r="E3788" s="11" t="n"/>
      <c r="M3788" s="7">
        <f>IF($C3788="","",L3788*U3788/100)</f>
        <v/>
      </c>
      <c r="N3788" s="7" t="n"/>
      <c r="T3788" s="7" t="n"/>
      <c r="U3788" s="7">
        <f>IF($C3788="","",S3788*T3788)</f>
        <v/>
      </c>
      <c r="X3788">
        <f>IF($C3788="","",IF($AM3788=1,0,IF($AL3788=1,Settings!$C$6,Settings!$C$7))*100)</f>
        <v/>
      </c>
      <c r="AB3788" s="7" t="n"/>
      <c r="AE3788" s="11" t="n"/>
      <c r="AG3788" s="7">
        <f>IF($C3788="","",U3788*X3788/100)</f>
        <v/>
      </c>
      <c r="AH3788" s="7">
        <f>IF($C3788="","",U3788-AG3788)</f>
        <v/>
      </c>
      <c r="AI3788" s="7">
        <f>IF($C3788="","",AH3788-M3788)</f>
        <v/>
      </c>
      <c r="AJ3788">
        <f>IF($C3788="","",IF(COUNTIF($C$2:$C3788,$C3788)=1,1,0))</f>
        <v/>
      </c>
      <c r="AK3788">
        <f>IF($AJ3788=1,SUMPRODUCT(--($AN$2:$AN$4001&lt;$AN3788))+1,"")</f>
        <v/>
      </c>
      <c r="AL3788">
        <f>IF($C3788="","",IF(OR($Q3788=TRUE(),$Q3788="TRUE"),1,0))</f>
        <v/>
      </c>
      <c r="AM3788">
        <f>IF($C3788="","",IF($W3788="Yes",1,0))</f>
        <v/>
      </c>
      <c r="AN3788">
        <f>IF($AJ3788=1,IFERROR(IF(VALUE($C3788)&lt;100000000,VALUE($C3788),1000000000),IFERROR(IF(VALUE(MID($C3788,2,20))&lt;100000000,VALUE(MID($C3788,2,20)),1000000000),1000000000))+ROW()/100000,"")</f>
        <v/>
      </c>
    </row>
    <row r="3789">
      <c r="E3789" s="11" t="n"/>
      <c r="M3789" s="7">
        <f>IF($C3789="","",L3789*U3789/100)</f>
        <v/>
      </c>
      <c r="N3789" s="7" t="n"/>
      <c r="T3789" s="7" t="n"/>
      <c r="U3789" s="7">
        <f>IF($C3789="","",S3789*T3789)</f>
        <v/>
      </c>
      <c r="X3789">
        <f>IF($C3789="","",IF($AM3789=1,0,IF($AL3789=1,Settings!$C$6,Settings!$C$7))*100)</f>
        <v/>
      </c>
      <c r="AB3789" s="7" t="n"/>
      <c r="AE3789" s="11" t="n"/>
      <c r="AG3789" s="7">
        <f>IF($C3789="","",U3789*X3789/100)</f>
        <v/>
      </c>
      <c r="AH3789" s="7">
        <f>IF($C3789="","",U3789-AG3789)</f>
        <v/>
      </c>
      <c r="AI3789" s="7">
        <f>IF($C3789="","",AH3789-M3789)</f>
        <v/>
      </c>
      <c r="AJ3789">
        <f>IF($C3789="","",IF(COUNTIF($C$2:$C3789,$C3789)=1,1,0))</f>
        <v/>
      </c>
      <c r="AK3789">
        <f>IF($AJ3789=1,SUMPRODUCT(--($AN$2:$AN$4001&lt;$AN3789))+1,"")</f>
        <v/>
      </c>
      <c r="AL3789">
        <f>IF($C3789="","",IF(OR($Q3789=TRUE(),$Q3789="TRUE"),1,0))</f>
        <v/>
      </c>
      <c r="AM3789">
        <f>IF($C3789="","",IF($W3789="Yes",1,0))</f>
        <v/>
      </c>
      <c r="AN3789">
        <f>IF($AJ3789=1,IFERROR(IF(VALUE($C3789)&lt;100000000,VALUE($C3789),1000000000),IFERROR(IF(VALUE(MID($C3789,2,20))&lt;100000000,VALUE(MID($C3789,2,20)),1000000000),1000000000))+ROW()/100000,"")</f>
        <v/>
      </c>
    </row>
    <row r="3790">
      <c r="E3790" s="11" t="n"/>
      <c r="M3790" s="7">
        <f>IF($C3790="","",L3790*U3790/100)</f>
        <v/>
      </c>
      <c r="N3790" s="7" t="n"/>
      <c r="T3790" s="7" t="n"/>
      <c r="U3790" s="7">
        <f>IF($C3790="","",S3790*T3790)</f>
        <v/>
      </c>
      <c r="X3790">
        <f>IF($C3790="","",IF($AM3790=1,0,IF($AL3790=1,Settings!$C$6,Settings!$C$7))*100)</f>
        <v/>
      </c>
      <c r="AB3790" s="7" t="n"/>
      <c r="AE3790" s="11" t="n"/>
      <c r="AG3790" s="7">
        <f>IF($C3790="","",U3790*X3790/100)</f>
        <v/>
      </c>
      <c r="AH3790" s="7">
        <f>IF($C3790="","",U3790-AG3790)</f>
        <v/>
      </c>
      <c r="AI3790" s="7">
        <f>IF($C3790="","",AH3790-M3790)</f>
        <v/>
      </c>
      <c r="AJ3790">
        <f>IF($C3790="","",IF(COUNTIF($C$2:$C3790,$C3790)=1,1,0))</f>
        <v/>
      </c>
      <c r="AK3790">
        <f>IF($AJ3790=1,SUMPRODUCT(--($AN$2:$AN$4001&lt;$AN3790))+1,"")</f>
        <v/>
      </c>
      <c r="AL3790">
        <f>IF($C3790="","",IF(OR($Q3790=TRUE(),$Q3790="TRUE"),1,0))</f>
        <v/>
      </c>
      <c r="AM3790">
        <f>IF($C3790="","",IF($W3790="Yes",1,0))</f>
        <v/>
      </c>
      <c r="AN3790">
        <f>IF($AJ3790=1,IFERROR(IF(VALUE($C3790)&lt;100000000,VALUE($C3790),1000000000),IFERROR(IF(VALUE(MID($C3790,2,20))&lt;100000000,VALUE(MID($C3790,2,20)),1000000000),1000000000))+ROW()/100000,"")</f>
        <v/>
      </c>
    </row>
    <row r="3791">
      <c r="E3791" s="11" t="n"/>
      <c r="M3791" s="7">
        <f>IF($C3791="","",L3791*U3791/100)</f>
        <v/>
      </c>
      <c r="N3791" s="7" t="n"/>
      <c r="T3791" s="7" t="n"/>
      <c r="U3791" s="7">
        <f>IF($C3791="","",S3791*T3791)</f>
        <v/>
      </c>
      <c r="X3791">
        <f>IF($C3791="","",IF($AM3791=1,0,IF($AL3791=1,Settings!$C$6,Settings!$C$7))*100)</f>
        <v/>
      </c>
      <c r="AB3791" s="7" t="n"/>
      <c r="AE3791" s="11" t="n"/>
      <c r="AG3791" s="7">
        <f>IF($C3791="","",U3791*X3791/100)</f>
        <v/>
      </c>
      <c r="AH3791" s="7">
        <f>IF($C3791="","",U3791-AG3791)</f>
        <v/>
      </c>
      <c r="AI3791" s="7">
        <f>IF($C3791="","",AH3791-M3791)</f>
        <v/>
      </c>
      <c r="AJ3791">
        <f>IF($C3791="","",IF(COUNTIF($C$2:$C3791,$C3791)=1,1,0))</f>
        <v/>
      </c>
      <c r="AK3791">
        <f>IF($AJ3791=1,SUMPRODUCT(--($AN$2:$AN$4001&lt;$AN3791))+1,"")</f>
        <v/>
      </c>
      <c r="AL3791">
        <f>IF($C3791="","",IF(OR($Q3791=TRUE(),$Q3791="TRUE"),1,0))</f>
        <v/>
      </c>
      <c r="AM3791">
        <f>IF($C3791="","",IF($W3791="Yes",1,0))</f>
        <v/>
      </c>
      <c r="AN3791">
        <f>IF($AJ3791=1,IFERROR(IF(VALUE($C3791)&lt;100000000,VALUE($C3791),1000000000),IFERROR(IF(VALUE(MID($C3791,2,20))&lt;100000000,VALUE(MID($C3791,2,20)),1000000000),1000000000))+ROW()/100000,"")</f>
        <v/>
      </c>
    </row>
    <row r="3792">
      <c r="E3792" s="11" t="n"/>
      <c r="M3792" s="7">
        <f>IF($C3792="","",L3792*U3792/100)</f>
        <v/>
      </c>
      <c r="N3792" s="7" t="n"/>
      <c r="T3792" s="7" t="n"/>
      <c r="U3792" s="7">
        <f>IF($C3792="","",S3792*T3792)</f>
        <v/>
      </c>
      <c r="X3792">
        <f>IF($C3792="","",IF($AM3792=1,0,IF($AL3792=1,Settings!$C$6,Settings!$C$7))*100)</f>
        <v/>
      </c>
      <c r="AB3792" s="7" t="n"/>
      <c r="AE3792" s="11" t="n"/>
      <c r="AG3792" s="7">
        <f>IF($C3792="","",U3792*X3792/100)</f>
        <v/>
      </c>
      <c r="AH3792" s="7">
        <f>IF($C3792="","",U3792-AG3792)</f>
        <v/>
      </c>
      <c r="AI3792" s="7">
        <f>IF($C3792="","",AH3792-M3792)</f>
        <v/>
      </c>
      <c r="AJ3792">
        <f>IF($C3792="","",IF(COUNTIF($C$2:$C3792,$C3792)=1,1,0))</f>
        <v/>
      </c>
      <c r="AK3792">
        <f>IF($AJ3792=1,SUMPRODUCT(--($AN$2:$AN$4001&lt;$AN3792))+1,"")</f>
        <v/>
      </c>
      <c r="AL3792">
        <f>IF($C3792="","",IF(OR($Q3792=TRUE(),$Q3792="TRUE"),1,0))</f>
        <v/>
      </c>
      <c r="AM3792">
        <f>IF($C3792="","",IF($W3792="Yes",1,0))</f>
        <v/>
      </c>
      <c r="AN3792">
        <f>IF($AJ3792=1,IFERROR(IF(VALUE($C3792)&lt;100000000,VALUE($C3792),1000000000),IFERROR(IF(VALUE(MID($C3792,2,20))&lt;100000000,VALUE(MID($C3792,2,20)),1000000000),1000000000))+ROW()/100000,"")</f>
        <v/>
      </c>
    </row>
    <row r="3793">
      <c r="E3793" s="11" t="n"/>
      <c r="M3793" s="7">
        <f>IF($C3793="","",L3793*U3793/100)</f>
        <v/>
      </c>
      <c r="N3793" s="7" t="n"/>
      <c r="T3793" s="7" t="n"/>
      <c r="U3793" s="7">
        <f>IF($C3793="","",S3793*T3793)</f>
        <v/>
      </c>
      <c r="X3793">
        <f>IF($C3793="","",IF($AM3793=1,0,IF($AL3793=1,Settings!$C$6,Settings!$C$7))*100)</f>
        <v/>
      </c>
      <c r="AB3793" s="7" t="n"/>
      <c r="AE3793" s="11" t="n"/>
      <c r="AG3793" s="7">
        <f>IF($C3793="","",U3793*X3793/100)</f>
        <v/>
      </c>
      <c r="AH3793" s="7">
        <f>IF($C3793="","",U3793-AG3793)</f>
        <v/>
      </c>
      <c r="AI3793" s="7">
        <f>IF($C3793="","",AH3793-M3793)</f>
        <v/>
      </c>
      <c r="AJ3793">
        <f>IF($C3793="","",IF(COUNTIF($C$2:$C3793,$C3793)=1,1,0))</f>
        <v/>
      </c>
      <c r="AK3793">
        <f>IF($AJ3793=1,SUMPRODUCT(--($AN$2:$AN$4001&lt;$AN3793))+1,"")</f>
        <v/>
      </c>
      <c r="AL3793">
        <f>IF($C3793="","",IF(OR($Q3793=TRUE(),$Q3793="TRUE"),1,0))</f>
        <v/>
      </c>
      <c r="AM3793">
        <f>IF($C3793="","",IF($W3793="Yes",1,0))</f>
        <v/>
      </c>
      <c r="AN3793">
        <f>IF($AJ3793=1,IFERROR(IF(VALUE($C3793)&lt;100000000,VALUE($C3793),1000000000),IFERROR(IF(VALUE(MID($C3793,2,20))&lt;100000000,VALUE(MID($C3793,2,20)),1000000000),1000000000))+ROW()/100000,"")</f>
        <v/>
      </c>
    </row>
    <row r="3794">
      <c r="E3794" s="11" t="n"/>
      <c r="M3794" s="7">
        <f>IF($C3794="","",L3794*U3794/100)</f>
        <v/>
      </c>
      <c r="N3794" s="7" t="n"/>
      <c r="T3794" s="7" t="n"/>
      <c r="U3794" s="7">
        <f>IF($C3794="","",S3794*T3794)</f>
        <v/>
      </c>
      <c r="X3794">
        <f>IF($C3794="","",IF($AM3794=1,0,IF($AL3794=1,Settings!$C$6,Settings!$C$7))*100)</f>
        <v/>
      </c>
      <c r="AB3794" s="7" t="n"/>
      <c r="AE3794" s="11" t="n"/>
      <c r="AG3794" s="7">
        <f>IF($C3794="","",U3794*X3794/100)</f>
        <v/>
      </c>
      <c r="AH3794" s="7">
        <f>IF($C3794="","",U3794-AG3794)</f>
        <v/>
      </c>
      <c r="AI3794" s="7">
        <f>IF($C3794="","",AH3794-M3794)</f>
        <v/>
      </c>
      <c r="AJ3794">
        <f>IF($C3794="","",IF(COUNTIF($C$2:$C3794,$C3794)=1,1,0))</f>
        <v/>
      </c>
      <c r="AK3794">
        <f>IF($AJ3794=1,SUMPRODUCT(--($AN$2:$AN$4001&lt;$AN3794))+1,"")</f>
        <v/>
      </c>
      <c r="AL3794">
        <f>IF($C3794="","",IF(OR($Q3794=TRUE(),$Q3794="TRUE"),1,0))</f>
        <v/>
      </c>
      <c r="AM3794">
        <f>IF($C3794="","",IF($W3794="Yes",1,0))</f>
        <v/>
      </c>
      <c r="AN3794">
        <f>IF($AJ3794=1,IFERROR(IF(VALUE($C3794)&lt;100000000,VALUE($C3794),1000000000),IFERROR(IF(VALUE(MID($C3794,2,20))&lt;100000000,VALUE(MID($C3794,2,20)),1000000000),1000000000))+ROW()/100000,"")</f>
        <v/>
      </c>
    </row>
    <row r="3795">
      <c r="E3795" s="11" t="n"/>
      <c r="M3795" s="7">
        <f>IF($C3795="","",L3795*U3795/100)</f>
        <v/>
      </c>
      <c r="N3795" s="7" t="n"/>
      <c r="T3795" s="7" t="n"/>
      <c r="U3795" s="7">
        <f>IF($C3795="","",S3795*T3795)</f>
        <v/>
      </c>
      <c r="X3795">
        <f>IF($C3795="","",IF($AM3795=1,0,IF($AL3795=1,Settings!$C$6,Settings!$C$7))*100)</f>
        <v/>
      </c>
      <c r="AB3795" s="7" t="n"/>
      <c r="AE3795" s="11" t="n"/>
      <c r="AG3795" s="7">
        <f>IF($C3795="","",U3795*X3795/100)</f>
        <v/>
      </c>
      <c r="AH3795" s="7">
        <f>IF($C3795="","",U3795-AG3795)</f>
        <v/>
      </c>
      <c r="AI3795" s="7">
        <f>IF($C3795="","",AH3795-M3795)</f>
        <v/>
      </c>
      <c r="AJ3795">
        <f>IF($C3795="","",IF(COUNTIF($C$2:$C3795,$C3795)=1,1,0))</f>
        <v/>
      </c>
      <c r="AK3795">
        <f>IF($AJ3795=1,SUMPRODUCT(--($AN$2:$AN$4001&lt;$AN3795))+1,"")</f>
        <v/>
      </c>
      <c r="AL3795">
        <f>IF($C3795="","",IF(OR($Q3795=TRUE(),$Q3795="TRUE"),1,0))</f>
        <v/>
      </c>
      <c r="AM3795">
        <f>IF($C3795="","",IF($W3795="Yes",1,0))</f>
        <v/>
      </c>
      <c r="AN3795">
        <f>IF($AJ3795=1,IFERROR(IF(VALUE($C3795)&lt;100000000,VALUE($C3795),1000000000),IFERROR(IF(VALUE(MID($C3795,2,20))&lt;100000000,VALUE(MID($C3795,2,20)),1000000000),1000000000))+ROW()/100000,"")</f>
        <v/>
      </c>
    </row>
    <row r="3796">
      <c r="E3796" s="11" t="n"/>
      <c r="M3796" s="7">
        <f>IF($C3796="","",L3796*U3796/100)</f>
        <v/>
      </c>
      <c r="N3796" s="7" t="n"/>
      <c r="T3796" s="7" t="n"/>
      <c r="U3796" s="7">
        <f>IF($C3796="","",S3796*T3796)</f>
        <v/>
      </c>
      <c r="X3796">
        <f>IF($C3796="","",IF($AM3796=1,0,IF($AL3796=1,Settings!$C$6,Settings!$C$7))*100)</f>
        <v/>
      </c>
      <c r="AB3796" s="7" t="n"/>
      <c r="AE3796" s="11" t="n"/>
      <c r="AG3796" s="7">
        <f>IF($C3796="","",U3796*X3796/100)</f>
        <v/>
      </c>
      <c r="AH3796" s="7">
        <f>IF($C3796="","",U3796-AG3796)</f>
        <v/>
      </c>
      <c r="AI3796" s="7">
        <f>IF($C3796="","",AH3796-M3796)</f>
        <v/>
      </c>
      <c r="AJ3796">
        <f>IF($C3796="","",IF(COUNTIF($C$2:$C3796,$C3796)=1,1,0))</f>
        <v/>
      </c>
      <c r="AK3796">
        <f>IF($AJ3796=1,SUMPRODUCT(--($AN$2:$AN$4001&lt;$AN3796))+1,"")</f>
        <v/>
      </c>
      <c r="AL3796">
        <f>IF($C3796="","",IF(OR($Q3796=TRUE(),$Q3796="TRUE"),1,0))</f>
        <v/>
      </c>
      <c r="AM3796">
        <f>IF($C3796="","",IF($W3796="Yes",1,0))</f>
        <v/>
      </c>
      <c r="AN3796">
        <f>IF($AJ3796=1,IFERROR(IF(VALUE($C3796)&lt;100000000,VALUE($C3796),1000000000),IFERROR(IF(VALUE(MID($C3796,2,20))&lt;100000000,VALUE(MID($C3796,2,20)),1000000000),1000000000))+ROW()/100000,"")</f>
        <v/>
      </c>
    </row>
    <row r="3797">
      <c r="E3797" s="11" t="n"/>
      <c r="M3797" s="7">
        <f>IF($C3797="","",L3797*U3797/100)</f>
        <v/>
      </c>
      <c r="N3797" s="7" t="n"/>
      <c r="T3797" s="7" t="n"/>
      <c r="U3797" s="7">
        <f>IF($C3797="","",S3797*T3797)</f>
        <v/>
      </c>
      <c r="X3797">
        <f>IF($C3797="","",IF($AM3797=1,0,IF($AL3797=1,Settings!$C$6,Settings!$C$7))*100)</f>
        <v/>
      </c>
      <c r="AB3797" s="7" t="n"/>
      <c r="AE3797" s="11" t="n"/>
      <c r="AG3797" s="7">
        <f>IF($C3797="","",U3797*X3797/100)</f>
        <v/>
      </c>
      <c r="AH3797" s="7">
        <f>IF($C3797="","",U3797-AG3797)</f>
        <v/>
      </c>
      <c r="AI3797" s="7">
        <f>IF($C3797="","",AH3797-M3797)</f>
        <v/>
      </c>
      <c r="AJ3797">
        <f>IF($C3797="","",IF(COUNTIF($C$2:$C3797,$C3797)=1,1,0))</f>
        <v/>
      </c>
      <c r="AK3797">
        <f>IF($AJ3797=1,SUMPRODUCT(--($AN$2:$AN$4001&lt;$AN3797))+1,"")</f>
        <v/>
      </c>
      <c r="AL3797">
        <f>IF($C3797="","",IF(OR($Q3797=TRUE(),$Q3797="TRUE"),1,0))</f>
        <v/>
      </c>
      <c r="AM3797">
        <f>IF($C3797="","",IF($W3797="Yes",1,0))</f>
        <v/>
      </c>
      <c r="AN3797">
        <f>IF($AJ3797=1,IFERROR(IF(VALUE($C3797)&lt;100000000,VALUE($C3797),1000000000),IFERROR(IF(VALUE(MID($C3797,2,20))&lt;100000000,VALUE(MID($C3797,2,20)),1000000000),1000000000))+ROW()/100000,"")</f>
        <v/>
      </c>
    </row>
    <row r="3798">
      <c r="E3798" s="11" t="n"/>
      <c r="M3798" s="7">
        <f>IF($C3798="","",L3798*U3798/100)</f>
        <v/>
      </c>
      <c r="N3798" s="7" t="n"/>
      <c r="T3798" s="7" t="n"/>
      <c r="U3798" s="7">
        <f>IF($C3798="","",S3798*T3798)</f>
        <v/>
      </c>
      <c r="X3798">
        <f>IF($C3798="","",IF($AM3798=1,0,IF($AL3798=1,Settings!$C$6,Settings!$C$7))*100)</f>
        <v/>
      </c>
      <c r="AB3798" s="7" t="n"/>
      <c r="AE3798" s="11" t="n"/>
      <c r="AG3798" s="7">
        <f>IF($C3798="","",U3798*X3798/100)</f>
        <v/>
      </c>
      <c r="AH3798" s="7">
        <f>IF($C3798="","",U3798-AG3798)</f>
        <v/>
      </c>
      <c r="AI3798" s="7">
        <f>IF($C3798="","",AH3798-M3798)</f>
        <v/>
      </c>
      <c r="AJ3798">
        <f>IF($C3798="","",IF(COUNTIF($C$2:$C3798,$C3798)=1,1,0))</f>
        <v/>
      </c>
      <c r="AK3798">
        <f>IF($AJ3798=1,SUMPRODUCT(--($AN$2:$AN$4001&lt;$AN3798))+1,"")</f>
        <v/>
      </c>
      <c r="AL3798">
        <f>IF($C3798="","",IF(OR($Q3798=TRUE(),$Q3798="TRUE"),1,0))</f>
        <v/>
      </c>
      <c r="AM3798">
        <f>IF($C3798="","",IF($W3798="Yes",1,0))</f>
        <v/>
      </c>
      <c r="AN3798">
        <f>IF($AJ3798=1,IFERROR(IF(VALUE($C3798)&lt;100000000,VALUE($C3798),1000000000),IFERROR(IF(VALUE(MID($C3798,2,20))&lt;100000000,VALUE(MID($C3798,2,20)),1000000000),1000000000))+ROW()/100000,"")</f>
        <v/>
      </c>
    </row>
    <row r="3799">
      <c r="E3799" s="11" t="n"/>
      <c r="M3799" s="7">
        <f>IF($C3799="","",L3799*U3799/100)</f>
        <v/>
      </c>
      <c r="N3799" s="7" t="n"/>
      <c r="T3799" s="7" t="n"/>
      <c r="U3799" s="7">
        <f>IF($C3799="","",S3799*T3799)</f>
        <v/>
      </c>
      <c r="X3799">
        <f>IF($C3799="","",IF($AM3799=1,0,IF($AL3799=1,Settings!$C$6,Settings!$C$7))*100)</f>
        <v/>
      </c>
      <c r="AB3799" s="7" t="n"/>
      <c r="AE3799" s="11" t="n"/>
      <c r="AG3799" s="7">
        <f>IF($C3799="","",U3799*X3799/100)</f>
        <v/>
      </c>
      <c r="AH3799" s="7">
        <f>IF($C3799="","",U3799-AG3799)</f>
        <v/>
      </c>
      <c r="AI3799" s="7">
        <f>IF($C3799="","",AH3799-M3799)</f>
        <v/>
      </c>
      <c r="AJ3799">
        <f>IF($C3799="","",IF(COUNTIF($C$2:$C3799,$C3799)=1,1,0))</f>
        <v/>
      </c>
      <c r="AK3799">
        <f>IF($AJ3799=1,SUMPRODUCT(--($AN$2:$AN$4001&lt;$AN3799))+1,"")</f>
        <v/>
      </c>
      <c r="AL3799">
        <f>IF($C3799="","",IF(OR($Q3799=TRUE(),$Q3799="TRUE"),1,0))</f>
        <v/>
      </c>
      <c r="AM3799">
        <f>IF($C3799="","",IF($W3799="Yes",1,0))</f>
        <v/>
      </c>
      <c r="AN3799">
        <f>IF($AJ3799=1,IFERROR(IF(VALUE($C3799)&lt;100000000,VALUE($C3799),1000000000),IFERROR(IF(VALUE(MID($C3799,2,20))&lt;100000000,VALUE(MID($C3799,2,20)),1000000000),1000000000))+ROW()/100000,"")</f>
        <v/>
      </c>
    </row>
    <row r="3800">
      <c r="E3800" s="11" t="n"/>
      <c r="M3800" s="7">
        <f>IF($C3800="","",L3800*U3800/100)</f>
        <v/>
      </c>
      <c r="N3800" s="7" t="n"/>
      <c r="T3800" s="7" t="n"/>
      <c r="U3800" s="7">
        <f>IF($C3800="","",S3800*T3800)</f>
        <v/>
      </c>
      <c r="X3800">
        <f>IF($C3800="","",IF($AM3800=1,0,IF($AL3800=1,Settings!$C$6,Settings!$C$7))*100)</f>
        <v/>
      </c>
      <c r="AB3800" s="7" t="n"/>
      <c r="AE3800" s="11" t="n"/>
      <c r="AG3800" s="7">
        <f>IF($C3800="","",U3800*X3800/100)</f>
        <v/>
      </c>
      <c r="AH3800" s="7">
        <f>IF($C3800="","",U3800-AG3800)</f>
        <v/>
      </c>
      <c r="AI3800" s="7">
        <f>IF($C3800="","",AH3800-M3800)</f>
        <v/>
      </c>
      <c r="AJ3800">
        <f>IF($C3800="","",IF(COUNTIF($C$2:$C3800,$C3800)=1,1,0))</f>
        <v/>
      </c>
      <c r="AK3800">
        <f>IF($AJ3800=1,SUMPRODUCT(--($AN$2:$AN$4001&lt;$AN3800))+1,"")</f>
        <v/>
      </c>
      <c r="AL3800">
        <f>IF($C3800="","",IF(OR($Q3800=TRUE(),$Q3800="TRUE"),1,0))</f>
        <v/>
      </c>
      <c r="AM3800">
        <f>IF($C3800="","",IF($W3800="Yes",1,0))</f>
        <v/>
      </c>
      <c r="AN3800">
        <f>IF($AJ3800=1,IFERROR(IF(VALUE($C3800)&lt;100000000,VALUE($C3800),1000000000),IFERROR(IF(VALUE(MID($C3800,2,20))&lt;100000000,VALUE(MID($C3800,2,20)),1000000000),1000000000))+ROW()/100000,"")</f>
        <v/>
      </c>
    </row>
    <row r="3801">
      <c r="E3801" s="11" t="n"/>
      <c r="M3801" s="7">
        <f>IF($C3801="","",L3801*U3801/100)</f>
        <v/>
      </c>
      <c r="N3801" s="7" t="n"/>
      <c r="T3801" s="7" t="n"/>
      <c r="U3801" s="7">
        <f>IF($C3801="","",S3801*T3801)</f>
        <v/>
      </c>
      <c r="X3801">
        <f>IF($C3801="","",IF($AM3801=1,0,IF($AL3801=1,Settings!$C$6,Settings!$C$7))*100)</f>
        <v/>
      </c>
      <c r="AB3801" s="7" t="n"/>
      <c r="AE3801" s="11" t="n"/>
      <c r="AG3801" s="7">
        <f>IF($C3801="","",U3801*X3801/100)</f>
        <v/>
      </c>
      <c r="AH3801" s="7">
        <f>IF($C3801="","",U3801-AG3801)</f>
        <v/>
      </c>
      <c r="AI3801" s="7">
        <f>IF($C3801="","",AH3801-M3801)</f>
        <v/>
      </c>
      <c r="AJ3801">
        <f>IF($C3801="","",IF(COUNTIF($C$2:$C3801,$C3801)=1,1,0))</f>
        <v/>
      </c>
      <c r="AK3801">
        <f>IF($AJ3801=1,SUMPRODUCT(--($AN$2:$AN$4001&lt;$AN3801))+1,"")</f>
        <v/>
      </c>
      <c r="AL3801">
        <f>IF($C3801="","",IF(OR($Q3801=TRUE(),$Q3801="TRUE"),1,0))</f>
        <v/>
      </c>
      <c r="AM3801">
        <f>IF($C3801="","",IF($W3801="Yes",1,0))</f>
        <v/>
      </c>
      <c r="AN3801">
        <f>IF($AJ3801=1,IFERROR(IF(VALUE($C3801)&lt;100000000,VALUE($C3801),1000000000),IFERROR(IF(VALUE(MID($C3801,2,20))&lt;100000000,VALUE(MID($C3801,2,20)),1000000000),1000000000))+ROW()/100000,"")</f>
        <v/>
      </c>
    </row>
    <row r="3802">
      <c r="E3802" s="11" t="n"/>
      <c r="M3802" s="7">
        <f>IF($C3802="","",L3802*U3802/100)</f>
        <v/>
      </c>
      <c r="N3802" s="7" t="n"/>
      <c r="T3802" s="7" t="n"/>
      <c r="U3802" s="7">
        <f>IF($C3802="","",S3802*T3802)</f>
        <v/>
      </c>
      <c r="X3802">
        <f>IF($C3802="","",IF($AM3802=1,0,IF($AL3802=1,Settings!$C$6,Settings!$C$7))*100)</f>
        <v/>
      </c>
      <c r="AB3802" s="7" t="n"/>
      <c r="AE3802" s="11" t="n"/>
      <c r="AG3802" s="7">
        <f>IF($C3802="","",U3802*X3802/100)</f>
        <v/>
      </c>
      <c r="AH3802" s="7">
        <f>IF($C3802="","",U3802-AG3802)</f>
        <v/>
      </c>
      <c r="AI3802" s="7">
        <f>IF($C3802="","",AH3802-M3802)</f>
        <v/>
      </c>
      <c r="AJ3802">
        <f>IF($C3802="","",IF(COUNTIF($C$2:$C3802,$C3802)=1,1,0))</f>
        <v/>
      </c>
      <c r="AK3802">
        <f>IF($AJ3802=1,SUMPRODUCT(--($AN$2:$AN$4001&lt;$AN3802))+1,"")</f>
        <v/>
      </c>
      <c r="AL3802">
        <f>IF($C3802="","",IF(OR($Q3802=TRUE(),$Q3802="TRUE"),1,0))</f>
        <v/>
      </c>
      <c r="AM3802">
        <f>IF($C3802="","",IF($W3802="Yes",1,0))</f>
        <v/>
      </c>
      <c r="AN3802">
        <f>IF($AJ3802=1,IFERROR(IF(VALUE($C3802)&lt;100000000,VALUE($C3802),1000000000),IFERROR(IF(VALUE(MID($C3802,2,20))&lt;100000000,VALUE(MID($C3802,2,20)),1000000000),1000000000))+ROW()/100000,"")</f>
        <v/>
      </c>
    </row>
    <row r="3803">
      <c r="E3803" s="11" t="n"/>
      <c r="M3803" s="7">
        <f>IF($C3803="","",L3803*U3803/100)</f>
        <v/>
      </c>
      <c r="N3803" s="7" t="n"/>
      <c r="T3803" s="7" t="n"/>
      <c r="U3803" s="7">
        <f>IF($C3803="","",S3803*T3803)</f>
        <v/>
      </c>
      <c r="X3803">
        <f>IF($C3803="","",IF($AM3803=1,0,IF($AL3803=1,Settings!$C$6,Settings!$C$7))*100)</f>
        <v/>
      </c>
      <c r="AB3803" s="7" t="n"/>
      <c r="AE3803" s="11" t="n"/>
      <c r="AG3803" s="7">
        <f>IF($C3803="","",U3803*X3803/100)</f>
        <v/>
      </c>
      <c r="AH3803" s="7">
        <f>IF($C3803="","",U3803-AG3803)</f>
        <v/>
      </c>
      <c r="AI3803" s="7">
        <f>IF($C3803="","",AH3803-M3803)</f>
        <v/>
      </c>
      <c r="AJ3803">
        <f>IF($C3803="","",IF(COUNTIF($C$2:$C3803,$C3803)=1,1,0))</f>
        <v/>
      </c>
      <c r="AK3803">
        <f>IF($AJ3803=1,SUMPRODUCT(--($AN$2:$AN$4001&lt;$AN3803))+1,"")</f>
        <v/>
      </c>
      <c r="AL3803">
        <f>IF($C3803="","",IF(OR($Q3803=TRUE(),$Q3803="TRUE"),1,0))</f>
        <v/>
      </c>
      <c r="AM3803">
        <f>IF($C3803="","",IF($W3803="Yes",1,0))</f>
        <v/>
      </c>
      <c r="AN3803">
        <f>IF($AJ3803=1,IFERROR(IF(VALUE($C3803)&lt;100000000,VALUE($C3803),1000000000),IFERROR(IF(VALUE(MID($C3803,2,20))&lt;100000000,VALUE(MID($C3803,2,20)),1000000000),1000000000))+ROW()/100000,"")</f>
        <v/>
      </c>
    </row>
    <row r="3804">
      <c r="E3804" s="11" t="n"/>
      <c r="M3804" s="7">
        <f>IF($C3804="","",L3804*U3804/100)</f>
        <v/>
      </c>
      <c r="N3804" s="7" t="n"/>
      <c r="T3804" s="7" t="n"/>
      <c r="U3804" s="7">
        <f>IF($C3804="","",S3804*T3804)</f>
        <v/>
      </c>
      <c r="X3804">
        <f>IF($C3804="","",IF($AM3804=1,0,IF($AL3804=1,Settings!$C$6,Settings!$C$7))*100)</f>
        <v/>
      </c>
      <c r="AB3804" s="7" t="n"/>
      <c r="AE3804" s="11" t="n"/>
      <c r="AG3804" s="7">
        <f>IF($C3804="","",U3804*X3804/100)</f>
        <v/>
      </c>
      <c r="AH3804" s="7">
        <f>IF($C3804="","",U3804-AG3804)</f>
        <v/>
      </c>
      <c r="AI3804" s="7">
        <f>IF($C3804="","",AH3804-M3804)</f>
        <v/>
      </c>
      <c r="AJ3804">
        <f>IF($C3804="","",IF(COUNTIF($C$2:$C3804,$C3804)=1,1,0))</f>
        <v/>
      </c>
      <c r="AK3804">
        <f>IF($AJ3804=1,SUMPRODUCT(--($AN$2:$AN$4001&lt;$AN3804))+1,"")</f>
        <v/>
      </c>
      <c r="AL3804">
        <f>IF($C3804="","",IF(OR($Q3804=TRUE(),$Q3804="TRUE"),1,0))</f>
        <v/>
      </c>
      <c r="AM3804">
        <f>IF($C3804="","",IF($W3804="Yes",1,0))</f>
        <v/>
      </c>
      <c r="AN3804">
        <f>IF($AJ3804=1,IFERROR(IF(VALUE($C3804)&lt;100000000,VALUE($C3804),1000000000),IFERROR(IF(VALUE(MID($C3804,2,20))&lt;100000000,VALUE(MID($C3804,2,20)),1000000000),1000000000))+ROW()/100000,"")</f>
        <v/>
      </c>
    </row>
    <row r="3805">
      <c r="E3805" s="11" t="n"/>
      <c r="M3805" s="7">
        <f>IF($C3805="","",L3805*U3805/100)</f>
        <v/>
      </c>
      <c r="N3805" s="7" t="n"/>
      <c r="T3805" s="7" t="n"/>
      <c r="U3805" s="7">
        <f>IF($C3805="","",S3805*T3805)</f>
        <v/>
      </c>
      <c r="X3805">
        <f>IF($C3805="","",IF($AM3805=1,0,IF($AL3805=1,Settings!$C$6,Settings!$C$7))*100)</f>
        <v/>
      </c>
      <c r="AB3805" s="7" t="n"/>
      <c r="AE3805" s="11" t="n"/>
      <c r="AG3805" s="7">
        <f>IF($C3805="","",U3805*X3805/100)</f>
        <v/>
      </c>
      <c r="AH3805" s="7">
        <f>IF($C3805="","",U3805-AG3805)</f>
        <v/>
      </c>
      <c r="AI3805" s="7">
        <f>IF($C3805="","",AH3805-M3805)</f>
        <v/>
      </c>
      <c r="AJ3805">
        <f>IF($C3805="","",IF(COUNTIF($C$2:$C3805,$C3805)=1,1,0))</f>
        <v/>
      </c>
      <c r="AK3805">
        <f>IF($AJ3805=1,SUMPRODUCT(--($AN$2:$AN$4001&lt;$AN3805))+1,"")</f>
        <v/>
      </c>
      <c r="AL3805">
        <f>IF($C3805="","",IF(OR($Q3805=TRUE(),$Q3805="TRUE"),1,0))</f>
        <v/>
      </c>
      <c r="AM3805">
        <f>IF($C3805="","",IF($W3805="Yes",1,0))</f>
        <v/>
      </c>
      <c r="AN3805">
        <f>IF($AJ3805=1,IFERROR(IF(VALUE($C3805)&lt;100000000,VALUE($C3805),1000000000),IFERROR(IF(VALUE(MID($C3805,2,20))&lt;100000000,VALUE(MID($C3805,2,20)),1000000000),1000000000))+ROW()/100000,"")</f>
        <v/>
      </c>
    </row>
    <row r="3806">
      <c r="E3806" s="11" t="n"/>
      <c r="M3806" s="7">
        <f>IF($C3806="","",L3806*U3806/100)</f>
        <v/>
      </c>
      <c r="N3806" s="7" t="n"/>
      <c r="T3806" s="7" t="n"/>
      <c r="U3806" s="7">
        <f>IF($C3806="","",S3806*T3806)</f>
        <v/>
      </c>
      <c r="X3806">
        <f>IF($C3806="","",IF($AM3806=1,0,IF($AL3806=1,Settings!$C$6,Settings!$C$7))*100)</f>
        <v/>
      </c>
      <c r="AB3806" s="7" t="n"/>
      <c r="AE3806" s="11" t="n"/>
      <c r="AG3806" s="7">
        <f>IF($C3806="","",U3806*X3806/100)</f>
        <v/>
      </c>
      <c r="AH3806" s="7">
        <f>IF($C3806="","",U3806-AG3806)</f>
        <v/>
      </c>
      <c r="AI3806" s="7">
        <f>IF($C3806="","",AH3806-M3806)</f>
        <v/>
      </c>
      <c r="AJ3806">
        <f>IF($C3806="","",IF(COUNTIF($C$2:$C3806,$C3806)=1,1,0))</f>
        <v/>
      </c>
      <c r="AK3806">
        <f>IF($AJ3806=1,SUMPRODUCT(--($AN$2:$AN$4001&lt;$AN3806))+1,"")</f>
        <v/>
      </c>
      <c r="AL3806">
        <f>IF($C3806="","",IF(OR($Q3806=TRUE(),$Q3806="TRUE"),1,0))</f>
        <v/>
      </c>
      <c r="AM3806">
        <f>IF($C3806="","",IF($W3806="Yes",1,0))</f>
        <v/>
      </c>
      <c r="AN3806">
        <f>IF($AJ3806=1,IFERROR(IF(VALUE($C3806)&lt;100000000,VALUE($C3806),1000000000),IFERROR(IF(VALUE(MID($C3806,2,20))&lt;100000000,VALUE(MID($C3806,2,20)),1000000000),1000000000))+ROW()/100000,"")</f>
        <v/>
      </c>
    </row>
    <row r="3807">
      <c r="E3807" s="11" t="n"/>
      <c r="M3807" s="7">
        <f>IF($C3807="","",L3807*U3807/100)</f>
        <v/>
      </c>
      <c r="N3807" s="7" t="n"/>
      <c r="T3807" s="7" t="n"/>
      <c r="U3807" s="7">
        <f>IF($C3807="","",S3807*T3807)</f>
        <v/>
      </c>
      <c r="X3807">
        <f>IF($C3807="","",IF($AM3807=1,0,IF($AL3807=1,Settings!$C$6,Settings!$C$7))*100)</f>
        <v/>
      </c>
      <c r="AB3807" s="7" t="n"/>
      <c r="AE3807" s="11" t="n"/>
      <c r="AG3807" s="7">
        <f>IF($C3807="","",U3807*X3807/100)</f>
        <v/>
      </c>
      <c r="AH3807" s="7">
        <f>IF($C3807="","",U3807-AG3807)</f>
        <v/>
      </c>
      <c r="AI3807" s="7">
        <f>IF($C3807="","",AH3807-M3807)</f>
        <v/>
      </c>
      <c r="AJ3807">
        <f>IF($C3807="","",IF(COUNTIF($C$2:$C3807,$C3807)=1,1,0))</f>
        <v/>
      </c>
      <c r="AK3807">
        <f>IF($AJ3807=1,SUMPRODUCT(--($AN$2:$AN$4001&lt;$AN3807))+1,"")</f>
        <v/>
      </c>
      <c r="AL3807">
        <f>IF($C3807="","",IF(OR($Q3807=TRUE(),$Q3807="TRUE"),1,0))</f>
        <v/>
      </c>
      <c r="AM3807">
        <f>IF($C3807="","",IF($W3807="Yes",1,0))</f>
        <v/>
      </c>
      <c r="AN3807">
        <f>IF($AJ3807=1,IFERROR(IF(VALUE($C3807)&lt;100000000,VALUE($C3807),1000000000),IFERROR(IF(VALUE(MID($C3807,2,20))&lt;100000000,VALUE(MID($C3807,2,20)),1000000000),1000000000))+ROW()/100000,"")</f>
        <v/>
      </c>
    </row>
    <row r="3808">
      <c r="E3808" s="11" t="n"/>
      <c r="M3808" s="7">
        <f>IF($C3808="","",L3808*U3808/100)</f>
        <v/>
      </c>
      <c r="N3808" s="7" t="n"/>
      <c r="T3808" s="7" t="n"/>
      <c r="U3808" s="7">
        <f>IF($C3808="","",S3808*T3808)</f>
        <v/>
      </c>
      <c r="X3808">
        <f>IF($C3808="","",IF($AM3808=1,0,IF($AL3808=1,Settings!$C$6,Settings!$C$7))*100)</f>
        <v/>
      </c>
      <c r="AB3808" s="7" t="n"/>
      <c r="AE3808" s="11" t="n"/>
      <c r="AG3808" s="7">
        <f>IF($C3808="","",U3808*X3808/100)</f>
        <v/>
      </c>
      <c r="AH3808" s="7">
        <f>IF($C3808="","",U3808-AG3808)</f>
        <v/>
      </c>
      <c r="AI3808" s="7">
        <f>IF($C3808="","",AH3808-M3808)</f>
        <v/>
      </c>
      <c r="AJ3808">
        <f>IF($C3808="","",IF(COUNTIF($C$2:$C3808,$C3808)=1,1,0))</f>
        <v/>
      </c>
      <c r="AK3808">
        <f>IF($AJ3808=1,SUMPRODUCT(--($AN$2:$AN$4001&lt;$AN3808))+1,"")</f>
        <v/>
      </c>
      <c r="AL3808">
        <f>IF($C3808="","",IF(OR($Q3808=TRUE(),$Q3808="TRUE"),1,0))</f>
        <v/>
      </c>
      <c r="AM3808">
        <f>IF($C3808="","",IF($W3808="Yes",1,0))</f>
        <v/>
      </c>
      <c r="AN3808">
        <f>IF($AJ3808=1,IFERROR(IF(VALUE($C3808)&lt;100000000,VALUE($C3808),1000000000),IFERROR(IF(VALUE(MID($C3808,2,20))&lt;100000000,VALUE(MID($C3808,2,20)),1000000000),1000000000))+ROW()/100000,"")</f>
        <v/>
      </c>
    </row>
    <row r="3809">
      <c r="E3809" s="11" t="n"/>
      <c r="M3809" s="7">
        <f>IF($C3809="","",L3809*U3809/100)</f>
        <v/>
      </c>
      <c r="N3809" s="7" t="n"/>
      <c r="T3809" s="7" t="n"/>
      <c r="U3809" s="7">
        <f>IF($C3809="","",S3809*T3809)</f>
        <v/>
      </c>
      <c r="X3809">
        <f>IF($C3809="","",IF($AM3809=1,0,IF($AL3809=1,Settings!$C$6,Settings!$C$7))*100)</f>
        <v/>
      </c>
      <c r="AB3809" s="7" t="n"/>
      <c r="AE3809" s="11" t="n"/>
      <c r="AG3809" s="7">
        <f>IF($C3809="","",U3809*X3809/100)</f>
        <v/>
      </c>
      <c r="AH3809" s="7">
        <f>IF($C3809="","",U3809-AG3809)</f>
        <v/>
      </c>
      <c r="AI3809" s="7">
        <f>IF($C3809="","",AH3809-M3809)</f>
        <v/>
      </c>
      <c r="AJ3809">
        <f>IF($C3809="","",IF(COUNTIF($C$2:$C3809,$C3809)=1,1,0))</f>
        <v/>
      </c>
      <c r="AK3809">
        <f>IF($AJ3809=1,SUMPRODUCT(--($AN$2:$AN$4001&lt;$AN3809))+1,"")</f>
        <v/>
      </c>
      <c r="AL3809">
        <f>IF($C3809="","",IF(OR($Q3809=TRUE(),$Q3809="TRUE"),1,0))</f>
        <v/>
      </c>
      <c r="AM3809">
        <f>IF($C3809="","",IF($W3809="Yes",1,0))</f>
        <v/>
      </c>
      <c r="AN3809">
        <f>IF($AJ3809=1,IFERROR(IF(VALUE($C3809)&lt;100000000,VALUE($C3809),1000000000),IFERROR(IF(VALUE(MID($C3809,2,20))&lt;100000000,VALUE(MID($C3809,2,20)),1000000000),1000000000))+ROW()/100000,"")</f>
        <v/>
      </c>
    </row>
    <row r="3810">
      <c r="E3810" s="11" t="n"/>
      <c r="M3810" s="7">
        <f>IF($C3810="","",L3810*U3810/100)</f>
        <v/>
      </c>
      <c r="N3810" s="7" t="n"/>
      <c r="T3810" s="7" t="n"/>
      <c r="U3810" s="7">
        <f>IF($C3810="","",S3810*T3810)</f>
        <v/>
      </c>
      <c r="X3810">
        <f>IF($C3810="","",IF($AM3810=1,0,IF($AL3810=1,Settings!$C$6,Settings!$C$7))*100)</f>
        <v/>
      </c>
      <c r="AB3810" s="7" t="n"/>
      <c r="AE3810" s="11" t="n"/>
      <c r="AG3810" s="7">
        <f>IF($C3810="","",U3810*X3810/100)</f>
        <v/>
      </c>
      <c r="AH3810" s="7">
        <f>IF($C3810="","",U3810-AG3810)</f>
        <v/>
      </c>
      <c r="AI3810" s="7">
        <f>IF($C3810="","",AH3810-M3810)</f>
        <v/>
      </c>
      <c r="AJ3810">
        <f>IF($C3810="","",IF(COUNTIF($C$2:$C3810,$C3810)=1,1,0))</f>
        <v/>
      </c>
      <c r="AK3810">
        <f>IF($AJ3810=1,SUMPRODUCT(--($AN$2:$AN$4001&lt;$AN3810))+1,"")</f>
        <v/>
      </c>
      <c r="AL3810">
        <f>IF($C3810="","",IF(OR($Q3810=TRUE(),$Q3810="TRUE"),1,0))</f>
        <v/>
      </c>
      <c r="AM3810">
        <f>IF($C3810="","",IF($W3810="Yes",1,0))</f>
        <v/>
      </c>
      <c r="AN3810">
        <f>IF($AJ3810=1,IFERROR(IF(VALUE($C3810)&lt;100000000,VALUE($C3810),1000000000),IFERROR(IF(VALUE(MID($C3810,2,20))&lt;100000000,VALUE(MID($C3810,2,20)),1000000000),1000000000))+ROW()/100000,"")</f>
        <v/>
      </c>
    </row>
    <row r="3811">
      <c r="E3811" s="11" t="n"/>
      <c r="M3811" s="7">
        <f>IF($C3811="","",L3811*U3811/100)</f>
        <v/>
      </c>
      <c r="N3811" s="7" t="n"/>
      <c r="T3811" s="7" t="n"/>
      <c r="U3811" s="7">
        <f>IF($C3811="","",S3811*T3811)</f>
        <v/>
      </c>
      <c r="X3811">
        <f>IF($C3811="","",IF($AM3811=1,0,IF($AL3811=1,Settings!$C$6,Settings!$C$7))*100)</f>
        <v/>
      </c>
      <c r="AB3811" s="7" t="n"/>
      <c r="AE3811" s="11" t="n"/>
      <c r="AG3811" s="7">
        <f>IF($C3811="","",U3811*X3811/100)</f>
        <v/>
      </c>
      <c r="AH3811" s="7">
        <f>IF($C3811="","",U3811-AG3811)</f>
        <v/>
      </c>
      <c r="AI3811" s="7">
        <f>IF($C3811="","",AH3811-M3811)</f>
        <v/>
      </c>
      <c r="AJ3811">
        <f>IF($C3811="","",IF(COUNTIF($C$2:$C3811,$C3811)=1,1,0))</f>
        <v/>
      </c>
      <c r="AK3811">
        <f>IF($AJ3811=1,SUMPRODUCT(--($AN$2:$AN$4001&lt;$AN3811))+1,"")</f>
        <v/>
      </c>
      <c r="AL3811">
        <f>IF($C3811="","",IF(OR($Q3811=TRUE(),$Q3811="TRUE"),1,0))</f>
        <v/>
      </c>
      <c r="AM3811">
        <f>IF($C3811="","",IF($W3811="Yes",1,0))</f>
        <v/>
      </c>
      <c r="AN3811">
        <f>IF($AJ3811=1,IFERROR(IF(VALUE($C3811)&lt;100000000,VALUE($C3811),1000000000),IFERROR(IF(VALUE(MID($C3811,2,20))&lt;100000000,VALUE(MID($C3811,2,20)),1000000000),1000000000))+ROW()/100000,"")</f>
        <v/>
      </c>
    </row>
    <row r="3812">
      <c r="E3812" s="11" t="n"/>
      <c r="M3812" s="7">
        <f>IF($C3812="","",L3812*U3812/100)</f>
        <v/>
      </c>
      <c r="N3812" s="7" t="n"/>
      <c r="T3812" s="7" t="n"/>
      <c r="U3812" s="7">
        <f>IF($C3812="","",S3812*T3812)</f>
        <v/>
      </c>
      <c r="X3812">
        <f>IF($C3812="","",IF($AM3812=1,0,IF($AL3812=1,Settings!$C$6,Settings!$C$7))*100)</f>
        <v/>
      </c>
      <c r="AB3812" s="7" t="n"/>
      <c r="AE3812" s="11" t="n"/>
      <c r="AG3812" s="7">
        <f>IF($C3812="","",U3812*X3812/100)</f>
        <v/>
      </c>
      <c r="AH3812" s="7">
        <f>IF($C3812="","",U3812-AG3812)</f>
        <v/>
      </c>
      <c r="AI3812" s="7">
        <f>IF($C3812="","",AH3812-M3812)</f>
        <v/>
      </c>
      <c r="AJ3812">
        <f>IF($C3812="","",IF(COUNTIF($C$2:$C3812,$C3812)=1,1,0))</f>
        <v/>
      </c>
      <c r="AK3812">
        <f>IF($AJ3812=1,SUMPRODUCT(--($AN$2:$AN$4001&lt;$AN3812))+1,"")</f>
        <v/>
      </c>
      <c r="AL3812">
        <f>IF($C3812="","",IF(OR($Q3812=TRUE(),$Q3812="TRUE"),1,0))</f>
        <v/>
      </c>
      <c r="AM3812">
        <f>IF($C3812="","",IF($W3812="Yes",1,0))</f>
        <v/>
      </c>
      <c r="AN3812">
        <f>IF($AJ3812=1,IFERROR(IF(VALUE($C3812)&lt;100000000,VALUE($C3812),1000000000),IFERROR(IF(VALUE(MID($C3812,2,20))&lt;100000000,VALUE(MID($C3812,2,20)),1000000000),1000000000))+ROW()/100000,"")</f>
        <v/>
      </c>
    </row>
    <row r="3813">
      <c r="E3813" s="11" t="n"/>
      <c r="M3813" s="7">
        <f>IF($C3813="","",L3813*U3813/100)</f>
        <v/>
      </c>
      <c r="N3813" s="7" t="n"/>
      <c r="T3813" s="7" t="n"/>
      <c r="U3813" s="7">
        <f>IF($C3813="","",S3813*T3813)</f>
        <v/>
      </c>
      <c r="X3813">
        <f>IF($C3813="","",IF($AM3813=1,0,IF($AL3813=1,Settings!$C$6,Settings!$C$7))*100)</f>
        <v/>
      </c>
      <c r="AB3813" s="7" t="n"/>
      <c r="AE3813" s="11" t="n"/>
      <c r="AG3813" s="7">
        <f>IF($C3813="","",U3813*X3813/100)</f>
        <v/>
      </c>
      <c r="AH3813" s="7">
        <f>IF($C3813="","",U3813-AG3813)</f>
        <v/>
      </c>
      <c r="AI3813" s="7">
        <f>IF($C3813="","",AH3813-M3813)</f>
        <v/>
      </c>
      <c r="AJ3813">
        <f>IF($C3813="","",IF(COUNTIF($C$2:$C3813,$C3813)=1,1,0))</f>
        <v/>
      </c>
      <c r="AK3813">
        <f>IF($AJ3813=1,SUMPRODUCT(--($AN$2:$AN$4001&lt;$AN3813))+1,"")</f>
        <v/>
      </c>
      <c r="AL3813">
        <f>IF($C3813="","",IF(OR($Q3813=TRUE(),$Q3813="TRUE"),1,0))</f>
        <v/>
      </c>
      <c r="AM3813">
        <f>IF($C3813="","",IF($W3813="Yes",1,0))</f>
        <v/>
      </c>
      <c r="AN3813">
        <f>IF($AJ3813=1,IFERROR(IF(VALUE($C3813)&lt;100000000,VALUE($C3813),1000000000),IFERROR(IF(VALUE(MID($C3813,2,20))&lt;100000000,VALUE(MID($C3813,2,20)),1000000000),1000000000))+ROW()/100000,"")</f>
        <v/>
      </c>
    </row>
    <row r="3814">
      <c r="E3814" s="11" t="n"/>
      <c r="M3814" s="7">
        <f>IF($C3814="","",L3814*U3814/100)</f>
        <v/>
      </c>
      <c r="N3814" s="7" t="n"/>
      <c r="T3814" s="7" t="n"/>
      <c r="U3814" s="7">
        <f>IF($C3814="","",S3814*T3814)</f>
        <v/>
      </c>
      <c r="X3814">
        <f>IF($C3814="","",IF($AM3814=1,0,IF($AL3814=1,Settings!$C$6,Settings!$C$7))*100)</f>
        <v/>
      </c>
      <c r="AB3814" s="7" t="n"/>
      <c r="AE3814" s="11" t="n"/>
      <c r="AG3814" s="7">
        <f>IF($C3814="","",U3814*X3814/100)</f>
        <v/>
      </c>
      <c r="AH3814" s="7">
        <f>IF($C3814="","",U3814-AG3814)</f>
        <v/>
      </c>
      <c r="AI3814" s="7">
        <f>IF($C3814="","",AH3814-M3814)</f>
        <v/>
      </c>
      <c r="AJ3814">
        <f>IF($C3814="","",IF(COUNTIF($C$2:$C3814,$C3814)=1,1,0))</f>
        <v/>
      </c>
      <c r="AK3814">
        <f>IF($AJ3814=1,SUMPRODUCT(--($AN$2:$AN$4001&lt;$AN3814))+1,"")</f>
        <v/>
      </c>
      <c r="AL3814">
        <f>IF($C3814="","",IF(OR($Q3814=TRUE(),$Q3814="TRUE"),1,0))</f>
        <v/>
      </c>
      <c r="AM3814">
        <f>IF($C3814="","",IF($W3814="Yes",1,0))</f>
        <v/>
      </c>
      <c r="AN3814">
        <f>IF($AJ3814=1,IFERROR(IF(VALUE($C3814)&lt;100000000,VALUE($C3814),1000000000),IFERROR(IF(VALUE(MID($C3814,2,20))&lt;100000000,VALUE(MID($C3814,2,20)),1000000000),1000000000))+ROW()/100000,"")</f>
        <v/>
      </c>
    </row>
    <row r="3815">
      <c r="E3815" s="11" t="n"/>
      <c r="M3815" s="7">
        <f>IF($C3815="","",L3815*U3815/100)</f>
        <v/>
      </c>
      <c r="N3815" s="7" t="n"/>
      <c r="T3815" s="7" t="n"/>
      <c r="U3815" s="7">
        <f>IF($C3815="","",S3815*T3815)</f>
        <v/>
      </c>
      <c r="X3815">
        <f>IF($C3815="","",IF($AM3815=1,0,IF($AL3815=1,Settings!$C$6,Settings!$C$7))*100)</f>
        <v/>
      </c>
      <c r="AB3815" s="7" t="n"/>
      <c r="AE3815" s="11" t="n"/>
      <c r="AG3815" s="7">
        <f>IF($C3815="","",U3815*X3815/100)</f>
        <v/>
      </c>
      <c r="AH3815" s="7">
        <f>IF($C3815="","",U3815-AG3815)</f>
        <v/>
      </c>
      <c r="AI3815" s="7">
        <f>IF($C3815="","",AH3815-M3815)</f>
        <v/>
      </c>
      <c r="AJ3815">
        <f>IF($C3815="","",IF(COUNTIF($C$2:$C3815,$C3815)=1,1,0))</f>
        <v/>
      </c>
      <c r="AK3815">
        <f>IF($AJ3815=1,SUMPRODUCT(--($AN$2:$AN$4001&lt;$AN3815))+1,"")</f>
        <v/>
      </c>
      <c r="AL3815">
        <f>IF($C3815="","",IF(OR($Q3815=TRUE(),$Q3815="TRUE"),1,0))</f>
        <v/>
      </c>
      <c r="AM3815">
        <f>IF($C3815="","",IF($W3815="Yes",1,0))</f>
        <v/>
      </c>
      <c r="AN3815">
        <f>IF($AJ3815=1,IFERROR(IF(VALUE($C3815)&lt;100000000,VALUE($C3815),1000000000),IFERROR(IF(VALUE(MID($C3815,2,20))&lt;100000000,VALUE(MID($C3815,2,20)),1000000000),1000000000))+ROW()/100000,"")</f>
        <v/>
      </c>
    </row>
    <row r="3816">
      <c r="E3816" s="11" t="n"/>
      <c r="M3816" s="7">
        <f>IF($C3816="","",L3816*U3816/100)</f>
        <v/>
      </c>
      <c r="N3816" s="7" t="n"/>
      <c r="T3816" s="7" t="n"/>
      <c r="U3816" s="7">
        <f>IF($C3816="","",S3816*T3816)</f>
        <v/>
      </c>
      <c r="X3816">
        <f>IF($C3816="","",IF($AM3816=1,0,IF($AL3816=1,Settings!$C$6,Settings!$C$7))*100)</f>
        <v/>
      </c>
      <c r="AB3816" s="7" t="n"/>
      <c r="AE3816" s="11" t="n"/>
      <c r="AG3816" s="7">
        <f>IF($C3816="","",U3816*X3816/100)</f>
        <v/>
      </c>
      <c r="AH3816" s="7">
        <f>IF($C3816="","",U3816-AG3816)</f>
        <v/>
      </c>
      <c r="AI3816" s="7">
        <f>IF($C3816="","",AH3816-M3816)</f>
        <v/>
      </c>
      <c r="AJ3816">
        <f>IF($C3816="","",IF(COUNTIF($C$2:$C3816,$C3816)=1,1,0))</f>
        <v/>
      </c>
      <c r="AK3816">
        <f>IF($AJ3816=1,SUMPRODUCT(--($AN$2:$AN$4001&lt;$AN3816))+1,"")</f>
        <v/>
      </c>
      <c r="AL3816">
        <f>IF($C3816="","",IF(OR($Q3816=TRUE(),$Q3816="TRUE"),1,0))</f>
        <v/>
      </c>
      <c r="AM3816">
        <f>IF($C3816="","",IF($W3816="Yes",1,0))</f>
        <v/>
      </c>
      <c r="AN3816">
        <f>IF($AJ3816=1,IFERROR(IF(VALUE($C3816)&lt;100000000,VALUE($C3816),1000000000),IFERROR(IF(VALUE(MID($C3816,2,20))&lt;100000000,VALUE(MID($C3816,2,20)),1000000000),1000000000))+ROW()/100000,"")</f>
        <v/>
      </c>
    </row>
    <row r="3817">
      <c r="E3817" s="11" t="n"/>
      <c r="M3817" s="7">
        <f>IF($C3817="","",L3817*U3817/100)</f>
        <v/>
      </c>
      <c r="N3817" s="7" t="n"/>
      <c r="T3817" s="7" t="n"/>
      <c r="U3817" s="7">
        <f>IF($C3817="","",S3817*T3817)</f>
        <v/>
      </c>
      <c r="X3817">
        <f>IF($C3817="","",IF($AM3817=1,0,IF($AL3817=1,Settings!$C$6,Settings!$C$7))*100)</f>
        <v/>
      </c>
      <c r="AB3817" s="7" t="n"/>
      <c r="AE3817" s="11" t="n"/>
      <c r="AG3817" s="7">
        <f>IF($C3817="","",U3817*X3817/100)</f>
        <v/>
      </c>
      <c r="AH3817" s="7">
        <f>IF($C3817="","",U3817-AG3817)</f>
        <v/>
      </c>
      <c r="AI3817" s="7">
        <f>IF($C3817="","",AH3817-M3817)</f>
        <v/>
      </c>
      <c r="AJ3817">
        <f>IF($C3817="","",IF(COUNTIF($C$2:$C3817,$C3817)=1,1,0))</f>
        <v/>
      </c>
      <c r="AK3817">
        <f>IF($AJ3817=1,SUMPRODUCT(--($AN$2:$AN$4001&lt;$AN3817))+1,"")</f>
        <v/>
      </c>
      <c r="AL3817">
        <f>IF($C3817="","",IF(OR($Q3817=TRUE(),$Q3817="TRUE"),1,0))</f>
        <v/>
      </c>
      <c r="AM3817">
        <f>IF($C3817="","",IF($W3817="Yes",1,0))</f>
        <v/>
      </c>
      <c r="AN3817">
        <f>IF($AJ3817=1,IFERROR(IF(VALUE($C3817)&lt;100000000,VALUE($C3817),1000000000),IFERROR(IF(VALUE(MID($C3817,2,20))&lt;100000000,VALUE(MID($C3817,2,20)),1000000000),1000000000))+ROW()/100000,"")</f>
        <v/>
      </c>
    </row>
    <row r="3818">
      <c r="E3818" s="11" t="n"/>
      <c r="M3818" s="7">
        <f>IF($C3818="","",L3818*U3818/100)</f>
        <v/>
      </c>
      <c r="N3818" s="7" t="n"/>
      <c r="T3818" s="7" t="n"/>
      <c r="U3818" s="7">
        <f>IF($C3818="","",S3818*T3818)</f>
        <v/>
      </c>
      <c r="X3818">
        <f>IF($C3818="","",IF($AM3818=1,0,IF($AL3818=1,Settings!$C$6,Settings!$C$7))*100)</f>
        <v/>
      </c>
      <c r="AB3818" s="7" t="n"/>
      <c r="AE3818" s="11" t="n"/>
      <c r="AG3818" s="7">
        <f>IF($C3818="","",U3818*X3818/100)</f>
        <v/>
      </c>
      <c r="AH3818" s="7">
        <f>IF($C3818="","",U3818-AG3818)</f>
        <v/>
      </c>
      <c r="AI3818" s="7">
        <f>IF($C3818="","",AH3818-M3818)</f>
        <v/>
      </c>
      <c r="AJ3818">
        <f>IF($C3818="","",IF(COUNTIF($C$2:$C3818,$C3818)=1,1,0))</f>
        <v/>
      </c>
      <c r="AK3818">
        <f>IF($AJ3818=1,SUMPRODUCT(--($AN$2:$AN$4001&lt;$AN3818))+1,"")</f>
        <v/>
      </c>
      <c r="AL3818">
        <f>IF($C3818="","",IF(OR($Q3818=TRUE(),$Q3818="TRUE"),1,0))</f>
        <v/>
      </c>
      <c r="AM3818">
        <f>IF($C3818="","",IF($W3818="Yes",1,0))</f>
        <v/>
      </c>
      <c r="AN3818">
        <f>IF($AJ3818=1,IFERROR(IF(VALUE($C3818)&lt;100000000,VALUE($C3818),1000000000),IFERROR(IF(VALUE(MID($C3818,2,20))&lt;100000000,VALUE(MID($C3818,2,20)),1000000000),1000000000))+ROW()/100000,"")</f>
        <v/>
      </c>
    </row>
    <row r="3819">
      <c r="E3819" s="11" t="n"/>
      <c r="M3819" s="7">
        <f>IF($C3819="","",L3819*U3819/100)</f>
        <v/>
      </c>
      <c r="N3819" s="7" t="n"/>
      <c r="T3819" s="7" t="n"/>
      <c r="U3819" s="7">
        <f>IF($C3819="","",S3819*T3819)</f>
        <v/>
      </c>
      <c r="X3819">
        <f>IF($C3819="","",IF($AM3819=1,0,IF($AL3819=1,Settings!$C$6,Settings!$C$7))*100)</f>
        <v/>
      </c>
      <c r="AB3819" s="7" t="n"/>
      <c r="AE3819" s="11" t="n"/>
      <c r="AG3819" s="7">
        <f>IF($C3819="","",U3819*X3819/100)</f>
        <v/>
      </c>
      <c r="AH3819" s="7">
        <f>IF($C3819="","",U3819-AG3819)</f>
        <v/>
      </c>
      <c r="AI3819" s="7">
        <f>IF($C3819="","",AH3819-M3819)</f>
        <v/>
      </c>
      <c r="AJ3819">
        <f>IF($C3819="","",IF(COUNTIF($C$2:$C3819,$C3819)=1,1,0))</f>
        <v/>
      </c>
      <c r="AK3819">
        <f>IF($AJ3819=1,SUMPRODUCT(--($AN$2:$AN$4001&lt;$AN3819))+1,"")</f>
        <v/>
      </c>
      <c r="AL3819">
        <f>IF($C3819="","",IF(OR($Q3819=TRUE(),$Q3819="TRUE"),1,0))</f>
        <v/>
      </c>
      <c r="AM3819">
        <f>IF($C3819="","",IF($W3819="Yes",1,0))</f>
        <v/>
      </c>
      <c r="AN3819">
        <f>IF($AJ3819=1,IFERROR(IF(VALUE($C3819)&lt;100000000,VALUE($C3819),1000000000),IFERROR(IF(VALUE(MID($C3819,2,20))&lt;100000000,VALUE(MID($C3819,2,20)),1000000000),1000000000))+ROW()/100000,"")</f>
        <v/>
      </c>
    </row>
    <row r="3820">
      <c r="E3820" s="11" t="n"/>
      <c r="M3820" s="7">
        <f>IF($C3820="","",L3820*U3820/100)</f>
        <v/>
      </c>
      <c r="N3820" s="7" t="n"/>
      <c r="T3820" s="7" t="n"/>
      <c r="U3820" s="7">
        <f>IF($C3820="","",S3820*T3820)</f>
        <v/>
      </c>
      <c r="X3820">
        <f>IF($C3820="","",IF($AM3820=1,0,IF($AL3820=1,Settings!$C$6,Settings!$C$7))*100)</f>
        <v/>
      </c>
      <c r="AB3820" s="7" t="n"/>
      <c r="AE3820" s="11" t="n"/>
      <c r="AG3820" s="7">
        <f>IF($C3820="","",U3820*X3820/100)</f>
        <v/>
      </c>
      <c r="AH3820" s="7">
        <f>IF($C3820="","",U3820-AG3820)</f>
        <v/>
      </c>
      <c r="AI3820" s="7">
        <f>IF($C3820="","",AH3820-M3820)</f>
        <v/>
      </c>
      <c r="AJ3820">
        <f>IF($C3820="","",IF(COUNTIF($C$2:$C3820,$C3820)=1,1,0))</f>
        <v/>
      </c>
      <c r="AK3820">
        <f>IF($AJ3820=1,SUMPRODUCT(--($AN$2:$AN$4001&lt;$AN3820))+1,"")</f>
        <v/>
      </c>
      <c r="AL3820">
        <f>IF($C3820="","",IF(OR($Q3820=TRUE(),$Q3820="TRUE"),1,0))</f>
        <v/>
      </c>
      <c r="AM3820">
        <f>IF($C3820="","",IF($W3820="Yes",1,0))</f>
        <v/>
      </c>
      <c r="AN3820">
        <f>IF($AJ3820=1,IFERROR(IF(VALUE($C3820)&lt;100000000,VALUE($C3820),1000000000),IFERROR(IF(VALUE(MID($C3820,2,20))&lt;100000000,VALUE(MID($C3820,2,20)),1000000000),1000000000))+ROW()/100000,"")</f>
        <v/>
      </c>
    </row>
    <row r="3821">
      <c r="E3821" s="11" t="n"/>
      <c r="M3821" s="7">
        <f>IF($C3821="","",L3821*U3821/100)</f>
        <v/>
      </c>
      <c r="N3821" s="7" t="n"/>
      <c r="T3821" s="7" t="n"/>
      <c r="U3821" s="7">
        <f>IF($C3821="","",S3821*T3821)</f>
        <v/>
      </c>
      <c r="X3821">
        <f>IF($C3821="","",IF($AM3821=1,0,IF($AL3821=1,Settings!$C$6,Settings!$C$7))*100)</f>
        <v/>
      </c>
      <c r="AB3821" s="7" t="n"/>
      <c r="AE3821" s="11" t="n"/>
      <c r="AG3821" s="7">
        <f>IF($C3821="","",U3821*X3821/100)</f>
        <v/>
      </c>
      <c r="AH3821" s="7">
        <f>IF($C3821="","",U3821-AG3821)</f>
        <v/>
      </c>
      <c r="AI3821" s="7">
        <f>IF($C3821="","",AH3821-M3821)</f>
        <v/>
      </c>
      <c r="AJ3821">
        <f>IF($C3821="","",IF(COUNTIF($C$2:$C3821,$C3821)=1,1,0))</f>
        <v/>
      </c>
      <c r="AK3821">
        <f>IF($AJ3821=1,SUMPRODUCT(--($AN$2:$AN$4001&lt;$AN3821))+1,"")</f>
        <v/>
      </c>
      <c r="AL3821">
        <f>IF($C3821="","",IF(OR($Q3821=TRUE(),$Q3821="TRUE"),1,0))</f>
        <v/>
      </c>
      <c r="AM3821">
        <f>IF($C3821="","",IF($W3821="Yes",1,0))</f>
        <v/>
      </c>
      <c r="AN3821">
        <f>IF($AJ3821=1,IFERROR(IF(VALUE($C3821)&lt;100000000,VALUE($C3821),1000000000),IFERROR(IF(VALUE(MID($C3821,2,20))&lt;100000000,VALUE(MID($C3821,2,20)),1000000000),1000000000))+ROW()/100000,"")</f>
        <v/>
      </c>
    </row>
    <row r="3822">
      <c r="E3822" s="11" t="n"/>
      <c r="M3822" s="7">
        <f>IF($C3822="","",L3822*U3822/100)</f>
        <v/>
      </c>
      <c r="N3822" s="7" t="n"/>
      <c r="T3822" s="7" t="n"/>
      <c r="U3822" s="7">
        <f>IF($C3822="","",S3822*T3822)</f>
        <v/>
      </c>
      <c r="X3822">
        <f>IF($C3822="","",IF($AM3822=1,0,IF($AL3822=1,Settings!$C$6,Settings!$C$7))*100)</f>
        <v/>
      </c>
      <c r="AB3822" s="7" t="n"/>
      <c r="AE3822" s="11" t="n"/>
      <c r="AG3822" s="7">
        <f>IF($C3822="","",U3822*X3822/100)</f>
        <v/>
      </c>
      <c r="AH3822" s="7">
        <f>IF($C3822="","",U3822-AG3822)</f>
        <v/>
      </c>
      <c r="AI3822" s="7">
        <f>IF($C3822="","",AH3822-M3822)</f>
        <v/>
      </c>
      <c r="AJ3822">
        <f>IF($C3822="","",IF(COUNTIF($C$2:$C3822,$C3822)=1,1,0))</f>
        <v/>
      </c>
      <c r="AK3822">
        <f>IF($AJ3822=1,SUMPRODUCT(--($AN$2:$AN$4001&lt;$AN3822))+1,"")</f>
        <v/>
      </c>
      <c r="AL3822">
        <f>IF($C3822="","",IF(OR($Q3822=TRUE(),$Q3822="TRUE"),1,0))</f>
        <v/>
      </c>
      <c r="AM3822">
        <f>IF($C3822="","",IF($W3822="Yes",1,0))</f>
        <v/>
      </c>
      <c r="AN3822">
        <f>IF($AJ3822=1,IFERROR(IF(VALUE($C3822)&lt;100000000,VALUE($C3822),1000000000),IFERROR(IF(VALUE(MID($C3822,2,20))&lt;100000000,VALUE(MID($C3822,2,20)),1000000000),1000000000))+ROW()/100000,"")</f>
        <v/>
      </c>
    </row>
    <row r="3823">
      <c r="E3823" s="11" t="n"/>
      <c r="M3823" s="7">
        <f>IF($C3823="","",L3823*U3823/100)</f>
        <v/>
      </c>
      <c r="N3823" s="7" t="n"/>
      <c r="T3823" s="7" t="n"/>
      <c r="U3823" s="7">
        <f>IF($C3823="","",S3823*T3823)</f>
        <v/>
      </c>
      <c r="X3823">
        <f>IF($C3823="","",IF($AM3823=1,0,IF($AL3823=1,Settings!$C$6,Settings!$C$7))*100)</f>
        <v/>
      </c>
      <c r="AB3823" s="7" t="n"/>
      <c r="AE3823" s="11" t="n"/>
      <c r="AG3823" s="7">
        <f>IF($C3823="","",U3823*X3823/100)</f>
        <v/>
      </c>
      <c r="AH3823" s="7">
        <f>IF($C3823="","",U3823-AG3823)</f>
        <v/>
      </c>
      <c r="AI3823" s="7">
        <f>IF($C3823="","",AH3823-M3823)</f>
        <v/>
      </c>
      <c r="AJ3823">
        <f>IF($C3823="","",IF(COUNTIF($C$2:$C3823,$C3823)=1,1,0))</f>
        <v/>
      </c>
      <c r="AK3823">
        <f>IF($AJ3823=1,SUMPRODUCT(--($AN$2:$AN$4001&lt;$AN3823))+1,"")</f>
        <v/>
      </c>
      <c r="AL3823">
        <f>IF($C3823="","",IF(OR($Q3823=TRUE(),$Q3823="TRUE"),1,0))</f>
        <v/>
      </c>
      <c r="AM3823">
        <f>IF($C3823="","",IF($W3823="Yes",1,0))</f>
        <v/>
      </c>
      <c r="AN3823">
        <f>IF($AJ3823=1,IFERROR(IF(VALUE($C3823)&lt;100000000,VALUE($C3823),1000000000),IFERROR(IF(VALUE(MID($C3823,2,20))&lt;100000000,VALUE(MID($C3823,2,20)),1000000000),1000000000))+ROW()/100000,"")</f>
        <v/>
      </c>
    </row>
    <row r="3824">
      <c r="E3824" s="11" t="n"/>
      <c r="M3824" s="7">
        <f>IF($C3824="","",L3824*U3824/100)</f>
        <v/>
      </c>
      <c r="N3824" s="7" t="n"/>
      <c r="T3824" s="7" t="n"/>
      <c r="U3824" s="7">
        <f>IF($C3824="","",S3824*T3824)</f>
        <v/>
      </c>
      <c r="X3824">
        <f>IF($C3824="","",IF($AM3824=1,0,IF($AL3824=1,Settings!$C$6,Settings!$C$7))*100)</f>
        <v/>
      </c>
      <c r="AB3824" s="7" t="n"/>
      <c r="AE3824" s="11" t="n"/>
      <c r="AG3824" s="7">
        <f>IF($C3824="","",U3824*X3824/100)</f>
        <v/>
      </c>
      <c r="AH3824" s="7">
        <f>IF($C3824="","",U3824-AG3824)</f>
        <v/>
      </c>
      <c r="AI3824" s="7">
        <f>IF($C3824="","",AH3824-M3824)</f>
        <v/>
      </c>
      <c r="AJ3824">
        <f>IF($C3824="","",IF(COUNTIF($C$2:$C3824,$C3824)=1,1,0))</f>
        <v/>
      </c>
      <c r="AK3824">
        <f>IF($AJ3824=1,SUMPRODUCT(--($AN$2:$AN$4001&lt;$AN3824))+1,"")</f>
        <v/>
      </c>
      <c r="AL3824">
        <f>IF($C3824="","",IF(OR($Q3824=TRUE(),$Q3824="TRUE"),1,0))</f>
        <v/>
      </c>
      <c r="AM3824">
        <f>IF($C3824="","",IF($W3824="Yes",1,0))</f>
        <v/>
      </c>
      <c r="AN3824">
        <f>IF($AJ3824=1,IFERROR(IF(VALUE($C3824)&lt;100000000,VALUE($C3824),1000000000),IFERROR(IF(VALUE(MID($C3824,2,20))&lt;100000000,VALUE(MID($C3824,2,20)),1000000000),1000000000))+ROW()/100000,"")</f>
        <v/>
      </c>
    </row>
    <row r="3825">
      <c r="E3825" s="11" t="n"/>
      <c r="M3825" s="7">
        <f>IF($C3825="","",L3825*U3825/100)</f>
        <v/>
      </c>
      <c r="N3825" s="7" t="n"/>
      <c r="T3825" s="7" t="n"/>
      <c r="U3825" s="7">
        <f>IF($C3825="","",S3825*T3825)</f>
        <v/>
      </c>
      <c r="X3825">
        <f>IF($C3825="","",IF($AM3825=1,0,IF($AL3825=1,Settings!$C$6,Settings!$C$7))*100)</f>
        <v/>
      </c>
      <c r="AB3825" s="7" t="n"/>
      <c r="AE3825" s="11" t="n"/>
      <c r="AG3825" s="7">
        <f>IF($C3825="","",U3825*X3825/100)</f>
        <v/>
      </c>
      <c r="AH3825" s="7">
        <f>IF($C3825="","",U3825-AG3825)</f>
        <v/>
      </c>
      <c r="AI3825" s="7">
        <f>IF($C3825="","",AH3825-M3825)</f>
        <v/>
      </c>
      <c r="AJ3825">
        <f>IF($C3825="","",IF(COUNTIF($C$2:$C3825,$C3825)=1,1,0))</f>
        <v/>
      </c>
      <c r="AK3825">
        <f>IF($AJ3825=1,SUMPRODUCT(--($AN$2:$AN$4001&lt;$AN3825))+1,"")</f>
        <v/>
      </c>
      <c r="AL3825">
        <f>IF($C3825="","",IF(OR($Q3825=TRUE(),$Q3825="TRUE"),1,0))</f>
        <v/>
      </c>
      <c r="AM3825">
        <f>IF($C3825="","",IF($W3825="Yes",1,0))</f>
        <v/>
      </c>
      <c r="AN3825">
        <f>IF($AJ3825=1,IFERROR(IF(VALUE($C3825)&lt;100000000,VALUE($C3825),1000000000),IFERROR(IF(VALUE(MID($C3825,2,20))&lt;100000000,VALUE(MID($C3825,2,20)),1000000000),1000000000))+ROW()/100000,"")</f>
        <v/>
      </c>
    </row>
    <row r="3826">
      <c r="E3826" s="11" t="n"/>
      <c r="M3826" s="7">
        <f>IF($C3826="","",L3826*U3826/100)</f>
        <v/>
      </c>
      <c r="N3826" s="7" t="n"/>
      <c r="T3826" s="7" t="n"/>
      <c r="U3826" s="7">
        <f>IF($C3826="","",S3826*T3826)</f>
        <v/>
      </c>
      <c r="X3826">
        <f>IF($C3826="","",IF($AM3826=1,0,IF($AL3826=1,Settings!$C$6,Settings!$C$7))*100)</f>
        <v/>
      </c>
      <c r="AB3826" s="7" t="n"/>
      <c r="AE3826" s="11" t="n"/>
      <c r="AG3826" s="7">
        <f>IF($C3826="","",U3826*X3826/100)</f>
        <v/>
      </c>
      <c r="AH3826" s="7">
        <f>IF($C3826="","",U3826-AG3826)</f>
        <v/>
      </c>
      <c r="AI3826" s="7">
        <f>IF($C3826="","",AH3826-M3826)</f>
        <v/>
      </c>
      <c r="AJ3826">
        <f>IF($C3826="","",IF(COUNTIF($C$2:$C3826,$C3826)=1,1,0))</f>
        <v/>
      </c>
      <c r="AK3826">
        <f>IF($AJ3826=1,SUMPRODUCT(--($AN$2:$AN$4001&lt;$AN3826))+1,"")</f>
        <v/>
      </c>
      <c r="AL3826">
        <f>IF($C3826="","",IF(OR($Q3826=TRUE(),$Q3826="TRUE"),1,0))</f>
        <v/>
      </c>
      <c r="AM3826">
        <f>IF($C3826="","",IF($W3826="Yes",1,0))</f>
        <v/>
      </c>
      <c r="AN3826">
        <f>IF($AJ3826=1,IFERROR(IF(VALUE($C3826)&lt;100000000,VALUE($C3826),1000000000),IFERROR(IF(VALUE(MID($C3826,2,20))&lt;100000000,VALUE(MID($C3826,2,20)),1000000000),1000000000))+ROW()/100000,"")</f>
        <v/>
      </c>
    </row>
    <row r="3827">
      <c r="E3827" s="11" t="n"/>
      <c r="M3827" s="7">
        <f>IF($C3827="","",L3827*U3827/100)</f>
        <v/>
      </c>
      <c r="N3827" s="7" t="n"/>
      <c r="T3827" s="7" t="n"/>
      <c r="U3827" s="7">
        <f>IF($C3827="","",S3827*T3827)</f>
        <v/>
      </c>
      <c r="X3827">
        <f>IF($C3827="","",IF($AM3827=1,0,IF($AL3827=1,Settings!$C$6,Settings!$C$7))*100)</f>
        <v/>
      </c>
      <c r="AB3827" s="7" t="n"/>
      <c r="AE3827" s="11" t="n"/>
      <c r="AG3827" s="7">
        <f>IF($C3827="","",U3827*X3827/100)</f>
        <v/>
      </c>
      <c r="AH3827" s="7">
        <f>IF($C3827="","",U3827-AG3827)</f>
        <v/>
      </c>
      <c r="AI3827" s="7">
        <f>IF($C3827="","",AH3827-M3827)</f>
        <v/>
      </c>
      <c r="AJ3827">
        <f>IF($C3827="","",IF(COUNTIF($C$2:$C3827,$C3827)=1,1,0))</f>
        <v/>
      </c>
      <c r="AK3827">
        <f>IF($AJ3827=1,SUMPRODUCT(--($AN$2:$AN$4001&lt;$AN3827))+1,"")</f>
        <v/>
      </c>
      <c r="AL3827">
        <f>IF($C3827="","",IF(OR($Q3827=TRUE(),$Q3827="TRUE"),1,0))</f>
        <v/>
      </c>
      <c r="AM3827">
        <f>IF($C3827="","",IF($W3827="Yes",1,0))</f>
        <v/>
      </c>
      <c r="AN3827">
        <f>IF($AJ3827=1,IFERROR(IF(VALUE($C3827)&lt;100000000,VALUE($C3827),1000000000),IFERROR(IF(VALUE(MID($C3827,2,20))&lt;100000000,VALUE(MID($C3827,2,20)),1000000000),1000000000))+ROW()/100000,"")</f>
        <v/>
      </c>
    </row>
    <row r="3828">
      <c r="E3828" s="11" t="n"/>
      <c r="M3828" s="7">
        <f>IF($C3828="","",L3828*U3828/100)</f>
        <v/>
      </c>
      <c r="N3828" s="7" t="n"/>
      <c r="T3828" s="7" t="n"/>
      <c r="U3828" s="7">
        <f>IF($C3828="","",S3828*T3828)</f>
        <v/>
      </c>
      <c r="X3828">
        <f>IF($C3828="","",IF($AM3828=1,0,IF($AL3828=1,Settings!$C$6,Settings!$C$7))*100)</f>
        <v/>
      </c>
      <c r="AB3828" s="7" t="n"/>
      <c r="AE3828" s="11" t="n"/>
      <c r="AG3828" s="7">
        <f>IF($C3828="","",U3828*X3828/100)</f>
        <v/>
      </c>
      <c r="AH3828" s="7">
        <f>IF($C3828="","",U3828-AG3828)</f>
        <v/>
      </c>
      <c r="AI3828" s="7">
        <f>IF($C3828="","",AH3828-M3828)</f>
        <v/>
      </c>
      <c r="AJ3828">
        <f>IF($C3828="","",IF(COUNTIF($C$2:$C3828,$C3828)=1,1,0))</f>
        <v/>
      </c>
      <c r="AK3828">
        <f>IF($AJ3828=1,SUMPRODUCT(--($AN$2:$AN$4001&lt;$AN3828))+1,"")</f>
        <v/>
      </c>
      <c r="AL3828">
        <f>IF($C3828="","",IF(OR($Q3828=TRUE(),$Q3828="TRUE"),1,0))</f>
        <v/>
      </c>
      <c r="AM3828">
        <f>IF($C3828="","",IF($W3828="Yes",1,0))</f>
        <v/>
      </c>
      <c r="AN3828">
        <f>IF($AJ3828=1,IFERROR(IF(VALUE($C3828)&lt;100000000,VALUE($C3828),1000000000),IFERROR(IF(VALUE(MID($C3828,2,20))&lt;100000000,VALUE(MID($C3828,2,20)),1000000000),1000000000))+ROW()/100000,"")</f>
        <v/>
      </c>
    </row>
    <row r="3829">
      <c r="E3829" s="11" t="n"/>
      <c r="M3829" s="7">
        <f>IF($C3829="","",L3829*U3829/100)</f>
        <v/>
      </c>
      <c r="N3829" s="7" t="n"/>
      <c r="T3829" s="7" t="n"/>
      <c r="U3829" s="7">
        <f>IF($C3829="","",S3829*T3829)</f>
        <v/>
      </c>
      <c r="X3829">
        <f>IF($C3829="","",IF($AM3829=1,0,IF($AL3829=1,Settings!$C$6,Settings!$C$7))*100)</f>
        <v/>
      </c>
      <c r="AB3829" s="7" t="n"/>
      <c r="AE3829" s="11" t="n"/>
      <c r="AG3829" s="7">
        <f>IF($C3829="","",U3829*X3829/100)</f>
        <v/>
      </c>
      <c r="AH3829" s="7">
        <f>IF($C3829="","",U3829-AG3829)</f>
        <v/>
      </c>
      <c r="AI3829" s="7">
        <f>IF($C3829="","",AH3829-M3829)</f>
        <v/>
      </c>
      <c r="AJ3829">
        <f>IF($C3829="","",IF(COUNTIF($C$2:$C3829,$C3829)=1,1,0))</f>
        <v/>
      </c>
      <c r="AK3829">
        <f>IF($AJ3829=1,SUMPRODUCT(--($AN$2:$AN$4001&lt;$AN3829))+1,"")</f>
        <v/>
      </c>
      <c r="AL3829">
        <f>IF($C3829="","",IF(OR($Q3829=TRUE(),$Q3829="TRUE"),1,0))</f>
        <v/>
      </c>
      <c r="AM3829">
        <f>IF($C3829="","",IF($W3829="Yes",1,0))</f>
        <v/>
      </c>
      <c r="AN3829">
        <f>IF($AJ3829=1,IFERROR(IF(VALUE($C3829)&lt;100000000,VALUE($C3829),1000000000),IFERROR(IF(VALUE(MID($C3829,2,20))&lt;100000000,VALUE(MID($C3829,2,20)),1000000000),1000000000))+ROW()/100000,"")</f>
        <v/>
      </c>
    </row>
    <row r="3830">
      <c r="E3830" s="11" t="n"/>
      <c r="M3830" s="7">
        <f>IF($C3830="","",L3830*U3830/100)</f>
        <v/>
      </c>
      <c r="N3830" s="7" t="n"/>
      <c r="T3830" s="7" t="n"/>
      <c r="U3830" s="7">
        <f>IF($C3830="","",S3830*T3830)</f>
        <v/>
      </c>
      <c r="X3830">
        <f>IF($C3830="","",IF($AM3830=1,0,IF($AL3830=1,Settings!$C$6,Settings!$C$7))*100)</f>
        <v/>
      </c>
      <c r="AB3830" s="7" t="n"/>
      <c r="AE3830" s="11" t="n"/>
      <c r="AG3830" s="7">
        <f>IF($C3830="","",U3830*X3830/100)</f>
        <v/>
      </c>
      <c r="AH3830" s="7">
        <f>IF($C3830="","",U3830-AG3830)</f>
        <v/>
      </c>
      <c r="AI3830" s="7">
        <f>IF($C3830="","",AH3830-M3830)</f>
        <v/>
      </c>
      <c r="AJ3830">
        <f>IF($C3830="","",IF(COUNTIF($C$2:$C3830,$C3830)=1,1,0))</f>
        <v/>
      </c>
      <c r="AK3830">
        <f>IF($AJ3830=1,SUMPRODUCT(--($AN$2:$AN$4001&lt;$AN3830))+1,"")</f>
        <v/>
      </c>
      <c r="AL3830">
        <f>IF($C3830="","",IF(OR($Q3830=TRUE(),$Q3830="TRUE"),1,0))</f>
        <v/>
      </c>
      <c r="AM3830">
        <f>IF($C3830="","",IF($W3830="Yes",1,0))</f>
        <v/>
      </c>
      <c r="AN3830">
        <f>IF($AJ3830=1,IFERROR(IF(VALUE($C3830)&lt;100000000,VALUE($C3830),1000000000),IFERROR(IF(VALUE(MID($C3830,2,20))&lt;100000000,VALUE(MID($C3830,2,20)),1000000000),1000000000))+ROW()/100000,"")</f>
        <v/>
      </c>
    </row>
    <row r="3831">
      <c r="E3831" s="11" t="n"/>
      <c r="M3831" s="7">
        <f>IF($C3831="","",L3831*U3831/100)</f>
        <v/>
      </c>
      <c r="N3831" s="7" t="n"/>
      <c r="T3831" s="7" t="n"/>
      <c r="U3831" s="7">
        <f>IF($C3831="","",S3831*T3831)</f>
        <v/>
      </c>
      <c r="X3831">
        <f>IF($C3831="","",IF($AM3831=1,0,IF($AL3831=1,Settings!$C$6,Settings!$C$7))*100)</f>
        <v/>
      </c>
      <c r="AB3831" s="7" t="n"/>
      <c r="AE3831" s="11" t="n"/>
      <c r="AG3831" s="7">
        <f>IF($C3831="","",U3831*X3831/100)</f>
        <v/>
      </c>
      <c r="AH3831" s="7">
        <f>IF($C3831="","",U3831-AG3831)</f>
        <v/>
      </c>
      <c r="AI3831" s="7">
        <f>IF($C3831="","",AH3831-M3831)</f>
        <v/>
      </c>
      <c r="AJ3831">
        <f>IF($C3831="","",IF(COUNTIF($C$2:$C3831,$C3831)=1,1,0))</f>
        <v/>
      </c>
      <c r="AK3831">
        <f>IF($AJ3831=1,SUMPRODUCT(--($AN$2:$AN$4001&lt;$AN3831))+1,"")</f>
        <v/>
      </c>
      <c r="AL3831">
        <f>IF($C3831="","",IF(OR($Q3831=TRUE(),$Q3831="TRUE"),1,0))</f>
        <v/>
      </c>
      <c r="AM3831">
        <f>IF($C3831="","",IF($W3831="Yes",1,0))</f>
        <v/>
      </c>
      <c r="AN3831">
        <f>IF($AJ3831=1,IFERROR(IF(VALUE($C3831)&lt;100000000,VALUE($C3831),1000000000),IFERROR(IF(VALUE(MID($C3831,2,20))&lt;100000000,VALUE(MID($C3831,2,20)),1000000000),1000000000))+ROW()/100000,"")</f>
        <v/>
      </c>
    </row>
    <row r="3832">
      <c r="E3832" s="11" t="n"/>
      <c r="M3832" s="7">
        <f>IF($C3832="","",L3832*U3832/100)</f>
        <v/>
      </c>
      <c r="N3832" s="7" t="n"/>
      <c r="T3832" s="7" t="n"/>
      <c r="U3832" s="7">
        <f>IF($C3832="","",S3832*T3832)</f>
        <v/>
      </c>
      <c r="X3832">
        <f>IF($C3832="","",IF($AM3832=1,0,IF($AL3832=1,Settings!$C$6,Settings!$C$7))*100)</f>
        <v/>
      </c>
      <c r="AB3832" s="7" t="n"/>
      <c r="AE3832" s="11" t="n"/>
      <c r="AG3832" s="7">
        <f>IF($C3832="","",U3832*X3832/100)</f>
        <v/>
      </c>
      <c r="AH3832" s="7">
        <f>IF($C3832="","",U3832-AG3832)</f>
        <v/>
      </c>
      <c r="AI3832" s="7">
        <f>IF($C3832="","",AH3832-M3832)</f>
        <v/>
      </c>
      <c r="AJ3832">
        <f>IF($C3832="","",IF(COUNTIF($C$2:$C3832,$C3832)=1,1,0))</f>
        <v/>
      </c>
      <c r="AK3832">
        <f>IF($AJ3832=1,SUMPRODUCT(--($AN$2:$AN$4001&lt;$AN3832))+1,"")</f>
        <v/>
      </c>
      <c r="AL3832">
        <f>IF($C3832="","",IF(OR($Q3832=TRUE(),$Q3832="TRUE"),1,0))</f>
        <v/>
      </c>
      <c r="AM3832">
        <f>IF($C3832="","",IF($W3832="Yes",1,0))</f>
        <v/>
      </c>
      <c r="AN3832">
        <f>IF($AJ3832=1,IFERROR(IF(VALUE($C3832)&lt;100000000,VALUE($C3832),1000000000),IFERROR(IF(VALUE(MID($C3832,2,20))&lt;100000000,VALUE(MID($C3832,2,20)),1000000000),1000000000))+ROW()/100000,"")</f>
        <v/>
      </c>
    </row>
    <row r="3833">
      <c r="E3833" s="11" t="n"/>
      <c r="M3833" s="7">
        <f>IF($C3833="","",L3833*U3833/100)</f>
        <v/>
      </c>
      <c r="N3833" s="7" t="n"/>
      <c r="T3833" s="7" t="n"/>
      <c r="U3833" s="7">
        <f>IF($C3833="","",S3833*T3833)</f>
        <v/>
      </c>
      <c r="X3833">
        <f>IF($C3833="","",IF($AM3833=1,0,IF($AL3833=1,Settings!$C$6,Settings!$C$7))*100)</f>
        <v/>
      </c>
      <c r="AB3833" s="7" t="n"/>
      <c r="AE3833" s="11" t="n"/>
      <c r="AG3833" s="7">
        <f>IF($C3833="","",U3833*X3833/100)</f>
        <v/>
      </c>
      <c r="AH3833" s="7">
        <f>IF($C3833="","",U3833-AG3833)</f>
        <v/>
      </c>
      <c r="AI3833" s="7">
        <f>IF($C3833="","",AH3833-M3833)</f>
        <v/>
      </c>
      <c r="AJ3833">
        <f>IF($C3833="","",IF(COUNTIF($C$2:$C3833,$C3833)=1,1,0))</f>
        <v/>
      </c>
      <c r="AK3833">
        <f>IF($AJ3833=1,SUMPRODUCT(--($AN$2:$AN$4001&lt;$AN3833))+1,"")</f>
        <v/>
      </c>
      <c r="AL3833">
        <f>IF($C3833="","",IF(OR($Q3833=TRUE(),$Q3833="TRUE"),1,0))</f>
        <v/>
      </c>
      <c r="AM3833">
        <f>IF($C3833="","",IF($W3833="Yes",1,0))</f>
        <v/>
      </c>
      <c r="AN3833">
        <f>IF($AJ3833=1,IFERROR(IF(VALUE($C3833)&lt;100000000,VALUE($C3833),1000000000),IFERROR(IF(VALUE(MID($C3833,2,20))&lt;100000000,VALUE(MID($C3833,2,20)),1000000000),1000000000))+ROW()/100000,"")</f>
        <v/>
      </c>
    </row>
    <row r="3834">
      <c r="E3834" s="11" t="n"/>
      <c r="M3834" s="7">
        <f>IF($C3834="","",L3834*U3834/100)</f>
        <v/>
      </c>
      <c r="N3834" s="7" t="n"/>
      <c r="T3834" s="7" t="n"/>
      <c r="U3834" s="7">
        <f>IF($C3834="","",S3834*T3834)</f>
        <v/>
      </c>
      <c r="X3834">
        <f>IF($C3834="","",IF($AM3834=1,0,IF($AL3834=1,Settings!$C$6,Settings!$C$7))*100)</f>
        <v/>
      </c>
      <c r="AB3834" s="7" t="n"/>
      <c r="AE3834" s="11" t="n"/>
      <c r="AG3834" s="7">
        <f>IF($C3834="","",U3834*X3834/100)</f>
        <v/>
      </c>
      <c r="AH3834" s="7">
        <f>IF($C3834="","",U3834-AG3834)</f>
        <v/>
      </c>
      <c r="AI3834" s="7">
        <f>IF($C3834="","",AH3834-M3834)</f>
        <v/>
      </c>
      <c r="AJ3834">
        <f>IF($C3834="","",IF(COUNTIF($C$2:$C3834,$C3834)=1,1,0))</f>
        <v/>
      </c>
      <c r="AK3834">
        <f>IF($AJ3834=1,SUMPRODUCT(--($AN$2:$AN$4001&lt;$AN3834))+1,"")</f>
        <v/>
      </c>
      <c r="AL3834">
        <f>IF($C3834="","",IF(OR($Q3834=TRUE(),$Q3834="TRUE"),1,0))</f>
        <v/>
      </c>
      <c r="AM3834">
        <f>IF($C3834="","",IF($W3834="Yes",1,0))</f>
        <v/>
      </c>
      <c r="AN3834">
        <f>IF($AJ3834=1,IFERROR(IF(VALUE($C3834)&lt;100000000,VALUE($C3834),1000000000),IFERROR(IF(VALUE(MID($C3834,2,20))&lt;100000000,VALUE(MID($C3834,2,20)),1000000000),1000000000))+ROW()/100000,"")</f>
        <v/>
      </c>
    </row>
    <row r="3835">
      <c r="E3835" s="11" t="n"/>
      <c r="M3835" s="7">
        <f>IF($C3835="","",L3835*U3835/100)</f>
        <v/>
      </c>
      <c r="N3835" s="7" t="n"/>
      <c r="T3835" s="7" t="n"/>
      <c r="U3835" s="7">
        <f>IF($C3835="","",S3835*T3835)</f>
        <v/>
      </c>
      <c r="X3835">
        <f>IF($C3835="","",IF($AM3835=1,0,IF($AL3835=1,Settings!$C$6,Settings!$C$7))*100)</f>
        <v/>
      </c>
      <c r="AB3835" s="7" t="n"/>
      <c r="AE3835" s="11" t="n"/>
      <c r="AG3835" s="7">
        <f>IF($C3835="","",U3835*X3835/100)</f>
        <v/>
      </c>
      <c r="AH3835" s="7">
        <f>IF($C3835="","",U3835-AG3835)</f>
        <v/>
      </c>
      <c r="AI3835" s="7">
        <f>IF($C3835="","",AH3835-M3835)</f>
        <v/>
      </c>
      <c r="AJ3835">
        <f>IF($C3835="","",IF(COUNTIF($C$2:$C3835,$C3835)=1,1,0))</f>
        <v/>
      </c>
      <c r="AK3835">
        <f>IF($AJ3835=1,SUMPRODUCT(--($AN$2:$AN$4001&lt;$AN3835))+1,"")</f>
        <v/>
      </c>
      <c r="AL3835">
        <f>IF($C3835="","",IF(OR($Q3835=TRUE(),$Q3835="TRUE"),1,0))</f>
        <v/>
      </c>
      <c r="AM3835">
        <f>IF($C3835="","",IF($W3835="Yes",1,0))</f>
        <v/>
      </c>
      <c r="AN3835">
        <f>IF($AJ3835=1,IFERROR(IF(VALUE($C3835)&lt;100000000,VALUE($C3835),1000000000),IFERROR(IF(VALUE(MID($C3835,2,20))&lt;100000000,VALUE(MID($C3835,2,20)),1000000000),1000000000))+ROW()/100000,"")</f>
        <v/>
      </c>
    </row>
    <row r="3836">
      <c r="E3836" s="11" t="n"/>
      <c r="M3836" s="7">
        <f>IF($C3836="","",L3836*U3836/100)</f>
        <v/>
      </c>
      <c r="N3836" s="7" t="n"/>
      <c r="T3836" s="7" t="n"/>
      <c r="U3836" s="7">
        <f>IF($C3836="","",S3836*T3836)</f>
        <v/>
      </c>
      <c r="X3836">
        <f>IF($C3836="","",IF($AM3836=1,0,IF($AL3836=1,Settings!$C$6,Settings!$C$7))*100)</f>
        <v/>
      </c>
      <c r="AB3836" s="7" t="n"/>
      <c r="AE3836" s="11" t="n"/>
      <c r="AG3836" s="7">
        <f>IF($C3836="","",U3836*X3836/100)</f>
        <v/>
      </c>
      <c r="AH3836" s="7">
        <f>IF($C3836="","",U3836-AG3836)</f>
        <v/>
      </c>
      <c r="AI3836" s="7">
        <f>IF($C3836="","",AH3836-M3836)</f>
        <v/>
      </c>
      <c r="AJ3836">
        <f>IF($C3836="","",IF(COUNTIF($C$2:$C3836,$C3836)=1,1,0))</f>
        <v/>
      </c>
      <c r="AK3836">
        <f>IF($AJ3836=1,SUMPRODUCT(--($AN$2:$AN$4001&lt;$AN3836))+1,"")</f>
        <v/>
      </c>
      <c r="AL3836">
        <f>IF($C3836="","",IF(OR($Q3836=TRUE(),$Q3836="TRUE"),1,0))</f>
        <v/>
      </c>
      <c r="AM3836">
        <f>IF($C3836="","",IF($W3836="Yes",1,0))</f>
        <v/>
      </c>
      <c r="AN3836">
        <f>IF($AJ3836=1,IFERROR(IF(VALUE($C3836)&lt;100000000,VALUE($C3836),1000000000),IFERROR(IF(VALUE(MID($C3836,2,20))&lt;100000000,VALUE(MID($C3836,2,20)),1000000000),1000000000))+ROW()/100000,"")</f>
        <v/>
      </c>
    </row>
    <row r="3837">
      <c r="E3837" s="11" t="n"/>
      <c r="M3837" s="7">
        <f>IF($C3837="","",L3837*U3837/100)</f>
        <v/>
      </c>
      <c r="N3837" s="7" t="n"/>
      <c r="T3837" s="7" t="n"/>
      <c r="U3837" s="7">
        <f>IF($C3837="","",S3837*T3837)</f>
        <v/>
      </c>
      <c r="X3837">
        <f>IF($C3837="","",IF($AM3837=1,0,IF($AL3837=1,Settings!$C$6,Settings!$C$7))*100)</f>
        <v/>
      </c>
      <c r="AB3837" s="7" t="n"/>
      <c r="AE3837" s="11" t="n"/>
      <c r="AG3837" s="7">
        <f>IF($C3837="","",U3837*X3837/100)</f>
        <v/>
      </c>
      <c r="AH3837" s="7">
        <f>IF($C3837="","",U3837-AG3837)</f>
        <v/>
      </c>
      <c r="AI3837" s="7">
        <f>IF($C3837="","",AH3837-M3837)</f>
        <v/>
      </c>
      <c r="AJ3837">
        <f>IF($C3837="","",IF(COUNTIF($C$2:$C3837,$C3837)=1,1,0))</f>
        <v/>
      </c>
      <c r="AK3837">
        <f>IF($AJ3837=1,SUMPRODUCT(--($AN$2:$AN$4001&lt;$AN3837))+1,"")</f>
        <v/>
      </c>
      <c r="AL3837">
        <f>IF($C3837="","",IF(OR($Q3837=TRUE(),$Q3837="TRUE"),1,0))</f>
        <v/>
      </c>
      <c r="AM3837">
        <f>IF($C3837="","",IF($W3837="Yes",1,0))</f>
        <v/>
      </c>
      <c r="AN3837">
        <f>IF($AJ3837=1,IFERROR(IF(VALUE($C3837)&lt;100000000,VALUE($C3837),1000000000),IFERROR(IF(VALUE(MID($C3837,2,20))&lt;100000000,VALUE(MID($C3837,2,20)),1000000000),1000000000))+ROW()/100000,"")</f>
        <v/>
      </c>
    </row>
    <row r="3838">
      <c r="E3838" s="11" t="n"/>
      <c r="M3838" s="7">
        <f>IF($C3838="","",L3838*U3838/100)</f>
        <v/>
      </c>
      <c r="N3838" s="7" t="n"/>
      <c r="T3838" s="7" t="n"/>
      <c r="U3838" s="7">
        <f>IF($C3838="","",S3838*T3838)</f>
        <v/>
      </c>
      <c r="X3838">
        <f>IF($C3838="","",IF($AM3838=1,0,IF($AL3838=1,Settings!$C$6,Settings!$C$7))*100)</f>
        <v/>
      </c>
      <c r="AB3838" s="7" t="n"/>
      <c r="AE3838" s="11" t="n"/>
      <c r="AG3838" s="7">
        <f>IF($C3838="","",U3838*X3838/100)</f>
        <v/>
      </c>
      <c r="AH3838" s="7">
        <f>IF($C3838="","",U3838-AG3838)</f>
        <v/>
      </c>
      <c r="AI3838" s="7">
        <f>IF($C3838="","",AH3838-M3838)</f>
        <v/>
      </c>
      <c r="AJ3838">
        <f>IF($C3838="","",IF(COUNTIF($C$2:$C3838,$C3838)=1,1,0))</f>
        <v/>
      </c>
      <c r="AK3838">
        <f>IF($AJ3838=1,SUMPRODUCT(--($AN$2:$AN$4001&lt;$AN3838))+1,"")</f>
        <v/>
      </c>
      <c r="AL3838">
        <f>IF($C3838="","",IF(OR($Q3838=TRUE(),$Q3838="TRUE"),1,0))</f>
        <v/>
      </c>
      <c r="AM3838">
        <f>IF($C3838="","",IF($W3838="Yes",1,0))</f>
        <v/>
      </c>
      <c r="AN3838">
        <f>IF($AJ3838=1,IFERROR(IF(VALUE($C3838)&lt;100000000,VALUE($C3838),1000000000),IFERROR(IF(VALUE(MID($C3838,2,20))&lt;100000000,VALUE(MID($C3838,2,20)),1000000000),1000000000))+ROW()/100000,"")</f>
        <v/>
      </c>
    </row>
    <row r="3839">
      <c r="E3839" s="11" t="n"/>
      <c r="M3839" s="7">
        <f>IF($C3839="","",L3839*U3839/100)</f>
        <v/>
      </c>
      <c r="N3839" s="7" t="n"/>
      <c r="T3839" s="7" t="n"/>
      <c r="U3839" s="7">
        <f>IF($C3839="","",S3839*T3839)</f>
        <v/>
      </c>
      <c r="X3839">
        <f>IF($C3839="","",IF($AM3839=1,0,IF($AL3839=1,Settings!$C$6,Settings!$C$7))*100)</f>
        <v/>
      </c>
      <c r="AB3839" s="7" t="n"/>
      <c r="AE3839" s="11" t="n"/>
      <c r="AG3839" s="7">
        <f>IF($C3839="","",U3839*X3839/100)</f>
        <v/>
      </c>
      <c r="AH3839" s="7">
        <f>IF($C3839="","",U3839-AG3839)</f>
        <v/>
      </c>
      <c r="AI3839" s="7">
        <f>IF($C3839="","",AH3839-M3839)</f>
        <v/>
      </c>
      <c r="AJ3839">
        <f>IF($C3839="","",IF(COUNTIF($C$2:$C3839,$C3839)=1,1,0))</f>
        <v/>
      </c>
      <c r="AK3839">
        <f>IF($AJ3839=1,SUMPRODUCT(--($AN$2:$AN$4001&lt;$AN3839))+1,"")</f>
        <v/>
      </c>
      <c r="AL3839">
        <f>IF($C3839="","",IF(OR($Q3839=TRUE(),$Q3839="TRUE"),1,0))</f>
        <v/>
      </c>
      <c r="AM3839">
        <f>IF($C3839="","",IF($W3839="Yes",1,0))</f>
        <v/>
      </c>
      <c r="AN3839">
        <f>IF($AJ3839=1,IFERROR(IF(VALUE($C3839)&lt;100000000,VALUE($C3839),1000000000),IFERROR(IF(VALUE(MID($C3839,2,20))&lt;100000000,VALUE(MID($C3839,2,20)),1000000000),1000000000))+ROW()/100000,"")</f>
        <v/>
      </c>
    </row>
    <row r="3840">
      <c r="E3840" s="11" t="n"/>
      <c r="M3840" s="7">
        <f>IF($C3840="","",L3840*U3840/100)</f>
        <v/>
      </c>
      <c r="N3840" s="7" t="n"/>
      <c r="T3840" s="7" t="n"/>
      <c r="U3840" s="7">
        <f>IF($C3840="","",S3840*T3840)</f>
        <v/>
      </c>
      <c r="X3840">
        <f>IF($C3840="","",IF($AM3840=1,0,IF($AL3840=1,Settings!$C$6,Settings!$C$7))*100)</f>
        <v/>
      </c>
      <c r="AB3840" s="7" t="n"/>
      <c r="AE3840" s="11" t="n"/>
      <c r="AG3840" s="7">
        <f>IF($C3840="","",U3840*X3840/100)</f>
        <v/>
      </c>
      <c r="AH3840" s="7">
        <f>IF($C3840="","",U3840-AG3840)</f>
        <v/>
      </c>
      <c r="AI3840" s="7">
        <f>IF($C3840="","",AH3840-M3840)</f>
        <v/>
      </c>
      <c r="AJ3840">
        <f>IF($C3840="","",IF(COUNTIF($C$2:$C3840,$C3840)=1,1,0))</f>
        <v/>
      </c>
      <c r="AK3840">
        <f>IF($AJ3840=1,SUMPRODUCT(--($AN$2:$AN$4001&lt;$AN3840))+1,"")</f>
        <v/>
      </c>
      <c r="AL3840">
        <f>IF($C3840="","",IF(OR($Q3840=TRUE(),$Q3840="TRUE"),1,0))</f>
        <v/>
      </c>
      <c r="AM3840">
        <f>IF($C3840="","",IF($W3840="Yes",1,0))</f>
        <v/>
      </c>
      <c r="AN3840">
        <f>IF($AJ3840=1,IFERROR(IF(VALUE($C3840)&lt;100000000,VALUE($C3840),1000000000),IFERROR(IF(VALUE(MID($C3840,2,20))&lt;100000000,VALUE(MID($C3840,2,20)),1000000000),1000000000))+ROW()/100000,"")</f>
        <v/>
      </c>
    </row>
    <row r="3841">
      <c r="E3841" s="11" t="n"/>
      <c r="M3841" s="7">
        <f>IF($C3841="","",L3841*U3841/100)</f>
        <v/>
      </c>
      <c r="N3841" s="7" t="n"/>
      <c r="T3841" s="7" t="n"/>
      <c r="U3841" s="7">
        <f>IF($C3841="","",S3841*T3841)</f>
        <v/>
      </c>
      <c r="X3841">
        <f>IF($C3841="","",IF($AM3841=1,0,IF($AL3841=1,Settings!$C$6,Settings!$C$7))*100)</f>
        <v/>
      </c>
      <c r="AB3841" s="7" t="n"/>
      <c r="AE3841" s="11" t="n"/>
      <c r="AG3841" s="7">
        <f>IF($C3841="","",U3841*X3841/100)</f>
        <v/>
      </c>
      <c r="AH3841" s="7">
        <f>IF($C3841="","",U3841-AG3841)</f>
        <v/>
      </c>
      <c r="AI3841" s="7">
        <f>IF($C3841="","",AH3841-M3841)</f>
        <v/>
      </c>
      <c r="AJ3841">
        <f>IF($C3841="","",IF(COUNTIF($C$2:$C3841,$C3841)=1,1,0))</f>
        <v/>
      </c>
      <c r="AK3841">
        <f>IF($AJ3841=1,SUMPRODUCT(--($AN$2:$AN$4001&lt;$AN3841))+1,"")</f>
        <v/>
      </c>
      <c r="AL3841">
        <f>IF($C3841="","",IF(OR($Q3841=TRUE(),$Q3841="TRUE"),1,0))</f>
        <v/>
      </c>
      <c r="AM3841">
        <f>IF($C3841="","",IF($W3841="Yes",1,0))</f>
        <v/>
      </c>
      <c r="AN3841">
        <f>IF($AJ3841=1,IFERROR(IF(VALUE($C3841)&lt;100000000,VALUE($C3841),1000000000),IFERROR(IF(VALUE(MID($C3841,2,20))&lt;100000000,VALUE(MID($C3841,2,20)),1000000000),1000000000))+ROW()/100000,"")</f>
        <v/>
      </c>
    </row>
    <row r="3842">
      <c r="E3842" s="11" t="n"/>
      <c r="M3842" s="7">
        <f>IF($C3842="","",L3842*U3842/100)</f>
        <v/>
      </c>
      <c r="N3842" s="7" t="n"/>
      <c r="T3842" s="7" t="n"/>
      <c r="U3842" s="7">
        <f>IF($C3842="","",S3842*T3842)</f>
        <v/>
      </c>
      <c r="X3842">
        <f>IF($C3842="","",IF($AM3842=1,0,IF($AL3842=1,Settings!$C$6,Settings!$C$7))*100)</f>
        <v/>
      </c>
      <c r="AB3842" s="7" t="n"/>
      <c r="AE3842" s="11" t="n"/>
      <c r="AG3842" s="7">
        <f>IF($C3842="","",U3842*X3842/100)</f>
        <v/>
      </c>
      <c r="AH3842" s="7">
        <f>IF($C3842="","",U3842-AG3842)</f>
        <v/>
      </c>
      <c r="AI3842" s="7">
        <f>IF($C3842="","",AH3842-M3842)</f>
        <v/>
      </c>
      <c r="AJ3842">
        <f>IF($C3842="","",IF(COUNTIF($C$2:$C3842,$C3842)=1,1,0))</f>
        <v/>
      </c>
      <c r="AK3842">
        <f>IF($AJ3842=1,SUMPRODUCT(--($AN$2:$AN$4001&lt;$AN3842))+1,"")</f>
        <v/>
      </c>
      <c r="AL3842">
        <f>IF($C3842="","",IF(OR($Q3842=TRUE(),$Q3842="TRUE"),1,0))</f>
        <v/>
      </c>
      <c r="AM3842">
        <f>IF($C3842="","",IF($W3842="Yes",1,0))</f>
        <v/>
      </c>
      <c r="AN3842">
        <f>IF($AJ3842=1,IFERROR(IF(VALUE($C3842)&lt;100000000,VALUE($C3842),1000000000),IFERROR(IF(VALUE(MID($C3842,2,20))&lt;100000000,VALUE(MID($C3842,2,20)),1000000000),1000000000))+ROW()/100000,"")</f>
        <v/>
      </c>
    </row>
    <row r="3843">
      <c r="E3843" s="11" t="n"/>
      <c r="M3843" s="7">
        <f>IF($C3843="","",L3843*U3843/100)</f>
        <v/>
      </c>
      <c r="N3843" s="7" t="n"/>
      <c r="T3843" s="7" t="n"/>
      <c r="U3843" s="7">
        <f>IF($C3843="","",S3843*T3843)</f>
        <v/>
      </c>
      <c r="X3843">
        <f>IF($C3843="","",IF($AM3843=1,0,IF($AL3843=1,Settings!$C$6,Settings!$C$7))*100)</f>
        <v/>
      </c>
      <c r="AB3843" s="7" t="n"/>
      <c r="AE3843" s="11" t="n"/>
      <c r="AG3843" s="7">
        <f>IF($C3843="","",U3843*X3843/100)</f>
        <v/>
      </c>
      <c r="AH3843" s="7">
        <f>IF($C3843="","",U3843-AG3843)</f>
        <v/>
      </c>
      <c r="AI3843" s="7">
        <f>IF($C3843="","",AH3843-M3843)</f>
        <v/>
      </c>
      <c r="AJ3843">
        <f>IF($C3843="","",IF(COUNTIF($C$2:$C3843,$C3843)=1,1,0))</f>
        <v/>
      </c>
      <c r="AK3843">
        <f>IF($AJ3843=1,SUMPRODUCT(--($AN$2:$AN$4001&lt;$AN3843))+1,"")</f>
        <v/>
      </c>
      <c r="AL3843">
        <f>IF($C3843="","",IF(OR($Q3843=TRUE(),$Q3843="TRUE"),1,0))</f>
        <v/>
      </c>
      <c r="AM3843">
        <f>IF($C3843="","",IF($W3843="Yes",1,0))</f>
        <v/>
      </c>
      <c r="AN3843">
        <f>IF($AJ3843=1,IFERROR(IF(VALUE($C3843)&lt;100000000,VALUE($C3843),1000000000),IFERROR(IF(VALUE(MID($C3843,2,20))&lt;100000000,VALUE(MID($C3843,2,20)),1000000000),1000000000))+ROW()/100000,"")</f>
        <v/>
      </c>
    </row>
    <row r="3844">
      <c r="E3844" s="11" t="n"/>
      <c r="M3844" s="7">
        <f>IF($C3844="","",L3844*U3844/100)</f>
        <v/>
      </c>
      <c r="N3844" s="7" t="n"/>
      <c r="T3844" s="7" t="n"/>
      <c r="U3844" s="7">
        <f>IF($C3844="","",S3844*T3844)</f>
        <v/>
      </c>
      <c r="X3844">
        <f>IF($C3844="","",IF($AM3844=1,0,IF($AL3844=1,Settings!$C$6,Settings!$C$7))*100)</f>
        <v/>
      </c>
      <c r="AB3844" s="7" t="n"/>
      <c r="AE3844" s="11" t="n"/>
      <c r="AG3844" s="7">
        <f>IF($C3844="","",U3844*X3844/100)</f>
        <v/>
      </c>
      <c r="AH3844" s="7">
        <f>IF($C3844="","",U3844-AG3844)</f>
        <v/>
      </c>
      <c r="AI3844" s="7">
        <f>IF($C3844="","",AH3844-M3844)</f>
        <v/>
      </c>
      <c r="AJ3844">
        <f>IF($C3844="","",IF(COUNTIF($C$2:$C3844,$C3844)=1,1,0))</f>
        <v/>
      </c>
      <c r="AK3844">
        <f>IF($AJ3844=1,SUMPRODUCT(--($AN$2:$AN$4001&lt;$AN3844))+1,"")</f>
        <v/>
      </c>
      <c r="AL3844">
        <f>IF($C3844="","",IF(OR($Q3844=TRUE(),$Q3844="TRUE"),1,0))</f>
        <v/>
      </c>
      <c r="AM3844">
        <f>IF($C3844="","",IF($W3844="Yes",1,0))</f>
        <v/>
      </c>
      <c r="AN3844">
        <f>IF($AJ3844=1,IFERROR(IF(VALUE($C3844)&lt;100000000,VALUE($C3844),1000000000),IFERROR(IF(VALUE(MID($C3844,2,20))&lt;100000000,VALUE(MID($C3844,2,20)),1000000000),1000000000))+ROW()/100000,"")</f>
        <v/>
      </c>
    </row>
    <row r="3845">
      <c r="E3845" s="11" t="n"/>
      <c r="M3845" s="7">
        <f>IF($C3845="","",L3845*U3845/100)</f>
        <v/>
      </c>
      <c r="N3845" s="7" t="n"/>
      <c r="T3845" s="7" t="n"/>
      <c r="U3845" s="7">
        <f>IF($C3845="","",S3845*T3845)</f>
        <v/>
      </c>
      <c r="X3845">
        <f>IF($C3845="","",IF($AM3845=1,0,IF($AL3845=1,Settings!$C$6,Settings!$C$7))*100)</f>
        <v/>
      </c>
      <c r="AB3845" s="7" t="n"/>
      <c r="AE3845" s="11" t="n"/>
      <c r="AG3845" s="7">
        <f>IF($C3845="","",U3845*X3845/100)</f>
        <v/>
      </c>
      <c r="AH3845" s="7">
        <f>IF($C3845="","",U3845-AG3845)</f>
        <v/>
      </c>
      <c r="AI3845" s="7">
        <f>IF($C3845="","",AH3845-M3845)</f>
        <v/>
      </c>
      <c r="AJ3845">
        <f>IF($C3845="","",IF(COUNTIF($C$2:$C3845,$C3845)=1,1,0))</f>
        <v/>
      </c>
      <c r="AK3845">
        <f>IF($AJ3845=1,SUMPRODUCT(--($AN$2:$AN$4001&lt;$AN3845))+1,"")</f>
        <v/>
      </c>
      <c r="AL3845">
        <f>IF($C3845="","",IF(OR($Q3845=TRUE(),$Q3845="TRUE"),1,0))</f>
        <v/>
      </c>
      <c r="AM3845">
        <f>IF($C3845="","",IF($W3845="Yes",1,0))</f>
        <v/>
      </c>
      <c r="AN3845">
        <f>IF($AJ3845=1,IFERROR(IF(VALUE($C3845)&lt;100000000,VALUE($C3845),1000000000),IFERROR(IF(VALUE(MID($C3845,2,20))&lt;100000000,VALUE(MID($C3845,2,20)),1000000000),1000000000))+ROW()/100000,"")</f>
        <v/>
      </c>
    </row>
    <row r="3846">
      <c r="E3846" s="11" t="n"/>
      <c r="M3846" s="7">
        <f>IF($C3846="","",L3846*U3846/100)</f>
        <v/>
      </c>
      <c r="N3846" s="7" t="n"/>
      <c r="T3846" s="7" t="n"/>
      <c r="U3846" s="7">
        <f>IF($C3846="","",S3846*T3846)</f>
        <v/>
      </c>
      <c r="X3846">
        <f>IF($C3846="","",IF($AM3846=1,0,IF($AL3846=1,Settings!$C$6,Settings!$C$7))*100)</f>
        <v/>
      </c>
      <c r="AB3846" s="7" t="n"/>
      <c r="AE3846" s="11" t="n"/>
      <c r="AG3846" s="7">
        <f>IF($C3846="","",U3846*X3846/100)</f>
        <v/>
      </c>
      <c r="AH3846" s="7">
        <f>IF($C3846="","",U3846-AG3846)</f>
        <v/>
      </c>
      <c r="AI3846" s="7">
        <f>IF($C3846="","",AH3846-M3846)</f>
        <v/>
      </c>
      <c r="AJ3846">
        <f>IF($C3846="","",IF(COUNTIF($C$2:$C3846,$C3846)=1,1,0))</f>
        <v/>
      </c>
      <c r="AK3846">
        <f>IF($AJ3846=1,SUMPRODUCT(--($AN$2:$AN$4001&lt;$AN3846))+1,"")</f>
        <v/>
      </c>
      <c r="AL3846">
        <f>IF($C3846="","",IF(OR($Q3846=TRUE(),$Q3846="TRUE"),1,0))</f>
        <v/>
      </c>
      <c r="AM3846">
        <f>IF($C3846="","",IF($W3846="Yes",1,0))</f>
        <v/>
      </c>
      <c r="AN3846">
        <f>IF($AJ3846=1,IFERROR(IF(VALUE($C3846)&lt;100000000,VALUE($C3846),1000000000),IFERROR(IF(VALUE(MID($C3846,2,20))&lt;100000000,VALUE(MID($C3846,2,20)),1000000000),1000000000))+ROW()/100000,"")</f>
        <v/>
      </c>
    </row>
    <row r="3847">
      <c r="E3847" s="11" t="n"/>
      <c r="M3847" s="7">
        <f>IF($C3847="","",L3847*U3847/100)</f>
        <v/>
      </c>
      <c r="N3847" s="7" t="n"/>
      <c r="T3847" s="7" t="n"/>
      <c r="U3847" s="7">
        <f>IF($C3847="","",S3847*T3847)</f>
        <v/>
      </c>
      <c r="X3847">
        <f>IF($C3847="","",IF($AM3847=1,0,IF($AL3847=1,Settings!$C$6,Settings!$C$7))*100)</f>
        <v/>
      </c>
      <c r="AB3847" s="7" t="n"/>
      <c r="AE3847" s="11" t="n"/>
      <c r="AG3847" s="7">
        <f>IF($C3847="","",U3847*X3847/100)</f>
        <v/>
      </c>
      <c r="AH3847" s="7">
        <f>IF($C3847="","",U3847-AG3847)</f>
        <v/>
      </c>
      <c r="AI3847" s="7">
        <f>IF($C3847="","",AH3847-M3847)</f>
        <v/>
      </c>
      <c r="AJ3847">
        <f>IF($C3847="","",IF(COUNTIF($C$2:$C3847,$C3847)=1,1,0))</f>
        <v/>
      </c>
      <c r="AK3847">
        <f>IF($AJ3847=1,SUMPRODUCT(--($AN$2:$AN$4001&lt;$AN3847))+1,"")</f>
        <v/>
      </c>
      <c r="AL3847">
        <f>IF($C3847="","",IF(OR($Q3847=TRUE(),$Q3847="TRUE"),1,0))</f>
        <v/>
      </c>
      <c r="AM3847">
        <f>IF($C3847="","",IF($W3847="Yes",1,0))</f>
        <v/>
      </c>
      <c r="AN3847">
        <f>IF($AJ3847=1,IFERROR(IF(VALUE($C3847)&lt;100000000,VALUE($C3847),1000000000),IFERROR(IF(VALUE(MID($C3847,2,20))&lt;100000000,VALUE(MID($C3847,2,20)),1000000000),1000000000))+ROW()/100000,"")</f>
        <v/>
      </c>
    </row>
    <row r="3848">
      <c r="E3848" s="11" t="n"/>
      <c r="M3848" s="7">
        <f>IF($C3848="","",L3848*U3848/100)</f>
        <v/>
      </c>
      <c r="N3848" s="7" t="n"/>
      <c r="T3848" s="7" t="n"/>
      <c r="U3848" s="7">
        <f>IF($C3848="","",S3848*T3848)</f>
        <v/>
      </c>
      <c r="X3848">
        <f>IF($C3848="","",IF($AM3848=1,0,IF($AL3848=1,Settings!$C$6,Settings!$C$7))*100)</f>
        <v/>
      </c>
      <c r="AB3848" s="7" t="n"/>
      <c r="AE3848" s="11" t="n"/>
      <c r="AG3848" s="7">
        <f>IF($C3848="","",U3848*X3848/100)</f>
        <v/>
      </c>
      <c r="AH3848" s="7">
        <f>IF($C3848="","",U3848-AG3848)</f>
        <v/>
      </c>
      <c r="AI3848" s="7">
        <f>IF($C3848="","",AH3848-M3848)</f>
        <v/>
      </c>
      <c r="AJ3848">
        <f>IF($C3848="","",IF(COUNTIF($C$2:$C3848,$C3848)=1,1,0))</f>
        <v/>
      </c>
      <c r="AK3848">
        <f>IF($AJ3848=1,SUMPRODUCT(--($AN$2:$AN$4001&lt;$AN3848))+1,"")</f>
        <v/>
      </c>
      <c r="AL3848">
        <f>IF($C3848="","",IF(OR($Q3848=TRUE(),$Q3848="TRUE"),1,0))</f>
        <v/>
      </c>
      <c r="AM3848">
        <f>IF($C3848="","",IF($W3848="Yes",1,0))</f>
        <v/>
      </c>
      <c r="AN3848">
        <f>IF($AJ3848=1,IFERROR(IF(VALUE($C3848)&lt;100000000,VALUE($C3848),1000000000),IFERROR(IF(VALUE(MID($C3848,2,20))&lt;100000000,VALUE(MID($C3848,2,20)),1000000000),1000000000))+ROW()/100000,"")</f>
        <v/>
      </c>
    </row>
    <row r="3849">
      <c r="E3849" s="11" t="n"/>
      <c r="M3849" s="7">
        <f>IF($C3849="","",L3849*U3849/100)</f>
        <v/>
      </c>
      <c r="N3849" s="7" t="n"/>
      <c r="T3849" s="7" t="n"/>
      <c r="U3849" s="7">
        <f>IF($C3849="","",S3849*T3849)</f>
        <v/>
      </c>
      <c r="X3849">
        <f>IF($C3849="","",IF($AM3849=1,0,IF($AL3849=1,Settings!$C$6,Settings!$C$7))*100)</f>
        <v/>
      </c>
      <c r="AB3849" s="7" t="n"/>
      <c r="AE3849" s="11" t="n"/>
      <c r="AG3849" s="7">
        <f>IF($C3849="","",U3849*X3849/100)</f>
        <v/>
      </c>
      <c r="AH3849" s="7">
        <f>IF($C3849="","",U3849-AG3849)</f>
        <v/>
      </c>
      <c r="AI3849" s="7">
        <f>IF($C3849="","",AH3849-M3849)</f>
        <v/>
      </c>
      <c r="AJ3849">
        <f>IF($C3849="","",IF(COUNTIF($C$2:$C3849,$C3849)=1,1,0))</f>
        <v/>
      </c>
      <c r="AK3849">
        <f>IF($AJ3849=1,SUMPRODUCT(--($AN$2:$AN$4001&lt;$AN3849))+1,"")</f>
        <v/>
      </c>
      <c r="AL3849">
        <f>IF($C3849="","",IF(OR($Q3849=TRUE(),$Q3849="TRUE"),1,0))</f>
        <v/>
      </c>
      <c r="AM3849">
        <f>IF($C3849="","",IF($W3849="Yes",1,0))</f>
        <v/>
      </c>
      <c r="AN3849">
        <f>IF($AJ3849=1,IFERROR(IF(VALUE($C3849)&lt;100000000,VALUE($C3849),1000000000),IFERROR(IF(VALUE(MID($C3849,2,20))&lt;100000000,VALUE(MID($C3849,2,20)),1000000000),1000000000))+ROW()/100000,"")</f>
        <v/>
      </c>
    </row>
    <row r="3850">
      <c r="E3850" s="11" t="n"/>
      <c r="M3850" s="7">
        <f>IF($C3850="","",L3850*U3850/100)</f>
        <v/>
      </c>
      <c r="N3850" s="7" t="n"/>
      <c r="T3850" s="7" t="n"/>
      <c r="U3850" s="7">
        <f>IF($C3850="","",S3850*T3850)</f>
        <v/>
      </c>
      <c r="X3850">
        <f>IF($C3850="","",IF($AM3850=1,0,IF($AL3850=1,Settings!$C$6,Settings!$C$7))*100)</f>
        <v/>
      </c>
      <c r="AB3850" s="7" t="n"/>
      <c r="AE3850" s="11" t="n"/>
      <c r="AG3850" s="7">
        <f>IF($C3850="","",U3850*X3850/100)</f>
        <v/>
      </c>
      <c r="AH3850" s="7">
        <f>IF($C3850="","",U3850-AG3850)</f>
        <v/>
      </c>
      <c r="AI3850" s="7">
        <f>IF($C3850="","",AH3850-M3850)</f>
        <v/>
      </c>
      <c r="AJ3850">
        <f>IF($C3850="","",IF(COUNTIF($C$2:$C3850,$C3850)=1,1,0))</f>
        <v/>
      </c>
      <c r="AK3850">
        <f>IF($AJ3850=1,SUMPRODUCT(--($AN$2:$AN$4001&lt;$AN3850))+1,"")</f>
        <v/>
      </c>
      <c r="AL3850">
        <f>IF($C3850="","",IF(OR($Q3850=TRUE(),$Q3850="TRUE"),1,0))</f>
        <v/>
      </c>
      <c r="AM3850">
        <f>IF($C3850="","",IF($W3850="Yes",1,0))</f>
        <v/>
      </c>
      <c r="AN3850">
        <f>IF($AJ3850=1,IFERROR(IF(VALUE($C3850)&lt;100000000,VALUE($C3850),1000000000),IFERROR(IF(VALUE(MID($C3850,2,20))&lt;100000000,VALUE(MID($C3850,2,20)),1000000000),1000000000))+ROW()/100000,"")</f>
        <v/>
      </c>
    </row>
    <row r="3851">
      <c r="E3851" s="11" t="n"/>
      <c r="M3851" s="7">
        <f>IF($C3851="","",L3851*U3851/100)</f>
        <v/>
      </c>
      <c r="N3851" s="7" t="n"/>
      <c r="T3851" s="7" t="n"/>
      <c r="U3851" s="7">
        <f>IF($C3851="","",S3851*T3851)</f>
        <v/>
      </c>
      <c r="X3851">
        <f>IF($C3851="","",IF($AM3851=1,0,IF($AL3851=1,Settings!$C$6,Settings!$C$7))*100)</f>
        <v/>
      </c>
      <c r="AB3851" s="7" t="n"/>
      <c r="AE3851" s="11" t="n"/>
      <c r="AG3851" s="7">
        <f>IF($C3851="","",U3851*X3851/100)</f>
        <v/>
      </c>
      <c r="AH3851" s="7">
        <f>IF($C3851="","",U3851-AG3851)</f>
        <v/>
      </c>
      <c r="AI3851" s="7">
        <f>IF($C3851="","",AH3851-M3851)</f>
        <v/>
      </c>
      <c r="AJ3851">
        <f>IF($C3851="","",IF(COUNTIF($C$2:$C3851,$C3851)=1,1,0))</f>
        <v/>
      </c>
      <c r="AK3851">
        <f>IF($AJ3851=1,SUMPRODUCT(--($AN$2:$AN$4001&lt;$AN3851))+1,"")</f>
        <v/>
      </c>
      <c r="AL3851">
        <f>IF($C3851="","",IF(OR($Q3851=TRUE(),$Q3851="TRUE"),1,0))</f>
        <v/>
      </c>
      <c r="AM3851">
        <f>IF($C3851="","",IF($W3851="Yes",1,0))</f>
        <v/>
      </c>
      <c r="AN3851">
        <f>IF($AJ3851=1,IFERROR(IF(VALUE($C3851)&lt;100000000,VALUE($C3851),1000000000),IFERROR(IF(VALUE(MID($C3851,2,20))&lt;100000000,VALUE(MID($C3851,2,20)),1000000000),1000000000))+ROW()/100000,"")</f>
        <v/>
      </c>
    </row>
    <row r="3852">
      <c r="E3852" s="11" t="n"/>
      <c r="M3852" s="7">
        <f>IF($C3852="","",L3852*U3852/100)</f>
        <v/>
      </c>
      <c r="N3852" s="7" t="n"/>
      <c r="T3852" s="7" t="n"/>
      <c r="U3852" s="7">
        <f>IF($C3852="","",S3852*T3852)</f>
        <v/>
      </c>
      <c r="X3852">
        <f>IF($C3852="","",IF($AM3852=1,0,IF($AL3852=1,Settings!$C$6,Settings!$C$7))*100)</f>
        <v/>
      </c>
      <c r="AB3852" s="7" t="n"/>
      <c r="AE3852" s="11" t="n"/>
      <c r="AG3852" s="7">
        <f>IF($C3852="","",U3852*X3852/100)</f>
        <v/>
      </c>
      <c r="AH3852" s="7">
        <f>IF($C3852="","",U3852-AG3852)</f>
        <v/>
      </c>
      <c r="AI3852" s="7">
        <f>IF($C3852="","",AH3852-M3852)</f>
        <v/>
      </c>
      <c r="AJ3852">
        <f>IF($C3852="","",IF(COUNTIF($C$2:$C3852,$C3852)=1,1,0))</f>
        <v/>
      </c>
      <c r="AK3852">
        <f>IF($AJ3852=1,SUMPRODUCT(--($AN$2:$AN$4001&lt;$AN3852))+1,"")</f>
        <v/>
      </c>
      <c r="AL3852">
        <f>IF($C3852="","",IF(OR($Q3852=TRUE(),$Q3852="TRUE"),1,0))</f>
        <v/>
      </c>
      <c r="AM3852">
        <f>IF($C3852="","",IF($W3852="Yes",1,0))</f>
        <v/>
      </c>
      <c r="AN3852">
        <f>IF($AJ3852=1,IFERROR(IF(VALUE($C3852)&lt;100000000,VALUE($C3852),1000000000),IFERROR(IF(VALUE(MID($C3852,2,20))&lt;100000000,VALUE(MID($C3852,2,20)),1000000000),1000000000))+ROW()/100000,"")</f>
        <v/>
      </c>
    </row>
    <row r="3853">
      <c r="E3853" s="11" t="n"/>
      <c r="M3853" s="7">
        <f>IF($C3853="","",L3853*U3853/100)</f>
        <v/>
      </c>
      <c r="N3853" s="7" t="n"/>
      <c r="T3853" s="7" t="n"/>
      <c r="U3853" s="7">
        <f>IF($C3853="","",S3853*T3853)</f>
        <v/>
      </c>
      <c r="X3853">
        <f>IF($C3853="","",IF($AM3853=1,0,IF($AL3853=1,Settings!$C$6,Settings!$C$7))*100)</f>
        <v/>
      </c>
      <c r="AB3853" s="7" t="n"/>
      <c r="AE3853" s="11" t="n"/>
      <c r="AG3853" s="7">
        <f>IF($C3853="","",U3853*X3853/100)</f>
        <v/>
      </c>
      <c r="AH3853" s="7">
        <f>IF($C3853="","",U3853-AG3853)</f>
        <v/>
      </c>
      <c r="AI3853" s="7">
        <f>IF($C3853="","",AH3853-M3853)</f>
        <v/>
      </c>
      <c r="AJ3853">
        <f>IF($C3853="","",IF(COUNTIF($C$2:$C3853,$C3853)=1,1,0))</f>
        <v/>
      </c>
      <c r="AK3853">
        <f>IF($AJ3853=1,SUMPRODUCT(--($AN$2:$AN$4001&lt;$AN3853))+1,"")</f>
        <v/>
      </c>
      <c r="AL3853">
        <f>IF($C3853="","",IF(OR($Q3853=TRUE(),$Q3853="TRUE"),1,0))</f>
        <v/>
      </c>
      <c r="AM3853">
        <f>IF($C3853="","",IF($W3853="Yes",1,0))</f>
        <v/>
      </c>
      <c r="AN3853">
        <f>IF($AJ3853=1,IFERROR(IF(VALUE($C3853)&lt;100000000,VALUE($C3853),1000000000),IFERROR(IF(VALUE(MID($C3853,2,20))&lt;100000000,VALUE(MID($C3853,2,20)),1000000000),1000000000))+ROW()/100000,"")</f>
        <v/>
      </c>
    </row>
    <row r="3854">
      <c r="E3854" s="11" t="n"/>
      <c r="M3854" s="7">
        <f>IF($C3854="","",L3854*U3854/100)</f>
        <v/>
      </c>
      <c r="N3854" s="7" t="n"/>
      <c r="T3854" s="7" t="n"/>
      <c r="U3854" s="7">
        <f>IF($C3854="","",S3854*T3854)</f>
        <v/>
      </c>
      <c r="X3854">
        <f>IF($C3854="","",IF($AM3854=1,0,IF($AL3854=1,Settings!$C$6,Settings!$C$7))*100)</f>
        <v/>
      </c>
      <c r="AB3854" s="7" t="n"/>
      <c r="AE3854" s="11" t="n"/>
      <c r="AG3854" s="7">
        <f>IF($C3854="","",U3854*X3854/100)</f>
        <v/>
      </c>
      <c r="AH3854" s="7">
        <f>IF($C3854="","",U3854-AG3854)</f>
        <v/>
      </c>
      <c r="AI3854" s="7">
        <f>IF($C3854="","",AH3854-M3854)</f>
        <v/>
      </c>
      <c r="AJ3854">
        <f>IF($C3854="","",IF(COUNTIF($C$2:$C3854,$C3854)=1,1,0))</f>
        <v/>
      </c>
      <c r="AK3854">
        <f>IF($AJ3854=1,SUMPRODUCT(--($AN$2:$AN$4001&lt;$AN3854))+1,"")</f>
        <v/>
      </c>
      <c r="AL3854">
        <f>IF($C3854="","",IF(OR($Q3854=TRUE(),$Q3854="TRUE"),1,0))</f>
        <v/>
      </c>
      <c r="AM3854">
        <f>IF($C3854="","",IF($W3854="Yes",1,0))</f>
        <v/>
      </c>
      <c r="AN3854">
        <f>IF($AJ3854=1,IFERROR(IF(VALUE($C3854)&lt;100000000,VALUE($C3854),1000000000),IFERROR(IF(VALUE(MID($C3854,2,20))&lt;100000000,VALUE(MID($C3854,2,20)),1000000000),1000000000))+ROW()/100000,"")</f>
        <v/>
      </c>
    </row>
    <row r="3855">
      <c r="E3855" s="11" t="n"/>
      <c r="M3855" s="7">
        <f>IF($C3855="","",L3855*U3855/100)</f>
        <v/>
      </c>
      <c r="N3855" s="7" t="n"/>
      <c r="T3855" s="7" t="n"/>
      <c r="U3855" s="7">
        <f>IF($C3855="","",S3855*T3855)</f>
        <v/>
      </c>
      <c r="X3855">
        <f>IF($C3855="","",IF($AM3855=1,0,IF($AL3855=1,Settings!$C$6,Settings!$C$7))*100)</f>
        <v/>
      </c>
      <c r="AB3855" s="7" t="n"/>
      <c r="AE3855" s="11" t="n"/>
      <c r="AG3855" s="7">
        <f>IF($C3855="","",U3855*X3855/100)</f>
        <v/>
      </c>
      <c r="AH3855" s="7">
        <f>IF($C3855="","",U3855-AG3855)</f>
        <v/>
      </c>
      <c r="AI3855" s="7">
        <f>IF($C3855="","",AH3855-M3855)</f>
        <v/>
      </c>
      <c r="AJ3855">
        <f>IF($C3855="","",IF(COUNTIF($C$2:$C3855,$C3855)=1,1,0))</f>
        <v/>
      </c>
      <c r="AK3855">
        <f>IF($AJ3855=1,SUMPRODUCT(--($AN$2:$AN$4001&lt;$AN3855))+1,"")</f>
        <v/>
      </c>
      <c r="AL3855">
        <f>IF($C3855="","",IF(OR($Q3855=TRUE(),$Q3855="TRUE"),1,0))</f>
        <v/>
      </c>
      <c r="AM3855">
        <f>IF($C3855="","",IF($W3855="Yes",1,0))</f>
        <v/>
      </c>
      <c r="AN3855">
        <f>IF($AJ3855=1,IFERROR(IF(VALUE($C3855)&lt;100000000,VALUE($C3855),1000000000),IFERROR(IF(VALUE(MID($C3855,2,20))&lt;100000000,VALUE(MID($C3855,2,20)),1000000000),1000000000))+ROW()/100000,"")</f>
        <v/>
      </c>
    </row>
    <row r="3856">
      <c r="E3856" s="11" t="n"/>
      <c r="M3856" s="7">
        <f>IF($C3856="","",L3856*U3856/100)</f>
        <v/>
      </c>
      <c r="N3856" s="7" t="n"/>
      <c r="T3856" s="7" t="n"/>
      <c r="U3856" s="7">
        <f>IF($C3856="","",S3856*T3856)</f>
        <v/>
      </c>
      <c r="X3856">
        <f>IF($C3856="","",IF($AM3856=1,0,IF($AL3856=1,Settings!$C$6,Settings!$C$7))*100)</f>
        <v/>
      </c>
      <c r="AB3856" s="7" t="n"/>
      <c r="AE3856" s="11" t="n"/>
      <c r="AG3856" s="7">
        <f>IF($C3856="","",U3856*X3856/100)</f>
        <v/>
      </c>
      <c r="AH3856" s="7">
        <f>IF($C3856="","",U3856-AG3856)</f>
        <v/>
      </c>
      <c r="AI3856" s="7">
        <f>IF($C3856="","",AH3856-M3856)</f>
        <v/>
      </c>
      <c r="AJ3856">
        <f>IF($C3856="","",IF(COUNTIF($C$2:$C3856,$C3856)=1,1,0))</f>
        <v/>
      </c>
      <c r="AK3856">
        <f>IF($AJ3856=1,SUMPRODUCT(--($AN$2:$AN$4001&lt;$AN3856))+1,"")</f>
        <v/>
      </c>
      <c r="AL3856">
        <f>IF($C3856="","",IF(OR($Q3856=TRUE(),$Q3856="TRUE"),1,0))</f>
        <v/>
      </c>
      <c r="AM3856">
        <f>IF($C3856="","",IF($W3856="Yes",1,0))</f>
        <v/>
      </c>
      <c r="AN3856">
        <f>IF($AJ3856=1,IFERROR(IF(VALUE($C3856)&lt;100000000,VALUE($C3856),1000000000),IFERROR(IF(VALUE(MID($C3856,2,20))&lt;100000000,VALUE(MID($C3856,2,20)),1000000000),1000000000))+ROW()/100000,"")</f>
        <v/>
      </c>
    </row>
    <row r="3857">
      <c r="E3857" s="11" t="n"/>
      <c r="M3857" s="7">
        <f>IF($C3857="","",L3857*U3857/100)</f>
        <v/>
      </c>
      <c r="N3857" s="7" t="n"/>
      <c r="T3857" s="7" t="n"/>
      <c r="U3857" s="7">
        <f>IF($C3857="","",S3857*T3857)</f>
        <v/>
      </c>
      <c r="X3857">
        <f>IF($C3857="","",IF($AM3857=1,0,IF($AL3857=1,Settings!$C$6,Settings!$C$7))*100)</f>
        <v/>
      </c>
      <c r="AB3857" s="7" t="n"/>
      <c r="AE3857" s="11" t="n"/>
      <c r="AG3857" s="7">
        <f>IF($C3857="","",U3857*X3857/100)</f>
        <v/>
      </c>
      <c r="AH3857" s="7">
        <f>IF($C3857="","",U3857-AG3857)</f>
        <v/>
      </c>
      <c r="AI3857" s="7">
        <f>IF($C3857="","",AH3857-M3857)</f>
        <v/>
      </c>
      <c r="AJ3857">
        <f>IF($C3857="","",IF(COUNTIF($C$2:$C3857,$C3857)=1,1,0))</f>
        <v/>
      </c>
      <c r="AK3857">
        <f>IF($AJ3857=1,SUMPRODUCT(--($AN$2:$AN$4001&lt;$AN3857))+1,"")</f>
        <v/>
      </c>
      <c r="AL3857">
        <f>IF($C3857="","",IF(OR($Q3857=TRUE(),$Q3857="TRUE"),1,0))</f>
        <v/>
      </c>
      <c r="AM3857">
        <f>IF($C3857="","",IF($W3857="Yes",1,0))</f>
        <v/>
      </c>
      <c r="AN3857">
        <f>IF($AJ3857=1,IFERROR(IF(VALUE($C3857)&lt;100000000,VALUE($C3857),1000000000),IFERROR(IF(VALUE(MID($C3857,2,20))&lt;100000000,VALUE(MID($C3857,2,20)),1000000000),1000000000))+ROW()/100000,"")</f>
        <v/>
      </c>
    </row>
    <row r="3858">
      <c r="E3858" s="11" t="n"/>
      <c r="M3858" s="7">
        <f>IF($C3858="","",L3858*U3858/100)</f>
        <v/>
      </c>
      <c r="N3858" s="7" t="n"/>
      <c r="T3858" s="7" t="n"/>
      <c r="U3858" s="7">
        <f>IF($C3858="","",S3858*T3858)</f>
        <v/>
      </c>
      <c r="X3858">
        <f>IF($C3858="","",IF($AM3858=1,0,IF($AL3858=1,Settings!$C$6,Settings!$C$7))*100)</f>
        <v/>
      </c>
      <c r="AB3858" s="7" t="n"/>
      <c r="AE3858" s="11" t="n"/>
      <c r="AG3858" s="7">
        <f>IF($C3858="","",U3858*X3858/100)</f>
        <v/>
      </c>
      <c r="AH3858" s="7">
        <f>IF($C3858="","",U3858-AG3858)</f>
        <v/>
      </c>
      <c r="AI3858" s="7">
        <f>IF($C3858="","",AH3858-M3858)</f>
        <v/>
      </c>
      <c r="AJ3858">
        <f>IF($C3858="","",IF(COUNTIF($C$2:$C3858,$C3858)=1,1,0))</f>
        <v/>
      </c>
      <c r="AK3858">
        <f>IF($AJ3858=1,SUMPRODUCT(--($AN$2:$AN$4001&lt;$AN3858))+1,"")</f>
        <v/>
      </c>
      <c r="AL3858">
        <f>IF($C3858="","",IF(OR($Q3858=TRUE(),$Q3858="TRUE"),1,0))</f>
        <v/>
      </c>
      <c r="AM3858">
        <f>IF($C3858="","",IF($W3858="Yes",1,0))</f>
        <v/>
      </c>
      <c r="AN3858">
        <f>IF($AJ3858=1,IFERROR(IF(VALUE($C3858)&lt;100000000,VALUE($C3858),1000000000),IFERROR(IF(VALUE(MID($C3858,2,20))&lt;100000000,VALUE(MID($C3858,2,20)),1000000000),1000000000))+ROW()/100000,"")</f>
        <v/>
      </c>
    </row>
    <row r="3859">
      <c r="E3859" s="11" t="n"/>
      <c r="M3859" s="7">
        <f>IF($C3859="","",L3859*U3859/100)</f>
        <v/>
      </c>
      <c r="N3859" s="7" t="n"/>
      <c r="T3859" s="7" t="n"/>
      <c r="U3859" s="7">
        <f>IF($C3859="","",S3859*T3859)</f>
        <v/>
      </c>
      <c r="X3859">
        <f>IF($C3859="","",IF($AM3859=1,0,IF($AL3859=1,Settings!$C$6,Settings!$C$7))*100)</f>
        <v/>
      </c>
      <c r="AB3859" s="7" t="n"/>
      <c r="AE3859" s="11" t="n"/>
      <c r="AG3859" s="7">
        <f>IF($C3859="","",U3859*X3859/100)</f>
        <v/>
      </c>
      <c r="AH3859" s="7">
        <f>IF($C3859="","",U3859-AG3859)</f>
        <v/>
      </c>
      <c r="AI3859" s="7">
        <f>IF($C3859="","",AH3859-M3859)</f>
        <v/>
      </c>
      <c r="AJ3859">
        <f>IF($C3859="","",IF(COUNTIF($C$2:$C3859,$C3859)=1,1,0))</f>
        <v/>
      </c>
      <c r="AK3859">
        <f>IF($AJ3859=1,SUMPRODUCT(--($AN$2:$AN$4001&lt;$AN3859))+1,"")</f>
        <v/>
      </c>
      <c r="AL3859">
        <f>IF($C3859="","",IF(OR($Q3859=TRUE(),$Q3859="TRUE"),1,0))</f>
        <v/>
      </c>
      <c r="AM3859">
        <f>IF($C3859="","",IF($W3859="Yes",1,0))</f>
        <v/>
      </c>
      <c r="AN3859">
        <f>IF($AJ3859=1,IFERROR(IF(VALUE($C3859)&lt;100000000,VALUE($C3859),1000000000),IFERROR(IF(VALUE(MID($C3859,2,20))&lt;100000000,VALUE(MID($C3859,2,20)),1000000000),1000000000))+ROW()/100000,"")</f>
        <v/>
      </c>
    </row>
    <row r="3860">
      <c r="E3860" s="11" t="n"/>
      <c r="M3860" s="7">
        <f>IF($C3860="","",L3860*U3860/100)</f>
        <v/>
      </c>
      <c r="N3860" s="7" t="n"/>
      <c r="T3860" s="7" t="n"/>
      <c r="U3860" s="7">
        <f>IF($C3860="","",S3860*T3860)</f>
        <v/>
      </c>
      <c r="X3860">
        <f>IF($C3860="","",IF($AM3860=1,0,IF($AL3860=1,Settings!$C$6,Settings!$C$7))*100)</f>
        <v/>
      </c>
      <c r="AB3860" s="7" t="n"/>
      <c r="AE3860" s="11" t="n"/>
      <c r="AG3860" s="7">
        <f>IF($C3860="","",U3860*X3860/100)</f>
        <v/>
      </c>
      <c r="AH3860" s="7">
        <f>IF($C3860="","",U3860-AG3860)</f>
        <v/>
      </c>
      <c r="AI3860" s="7">
        <f>IF($C3860="","",AH3860-M3860)</f>
        <v/>
      </c>
      <c r="AJ3860">
        <f>IF($C3860="","",IF(COUNTIF($C$2:$C3860,$C3860)=1,1,0))</f>
        <v/>
      </c>
      <c r="AK3860">
        <f>IF($AJ3860=1,SUMPRODUCT(--($AN$2:$AN$4001&lt;$AN3860))+1,"")</f>
        <v/>
      </c>
      <c r="AL3860">
        <f>IF($C3860="","",IF(OR($Q3860=TRUE(),$Q3860="TRUE"),1,0))</f>
        <v/>
      </c>
      <c r="AM3860">
        <f>IF($C3860="","",IF($W3860="Yes",1,0))</f>
        <v/>
      </c>
      <c r="AN3860">
        <f>IF($AJ3860=1,IFERROR(IF(VALUE($C3860)&lt;100000000,VALUE($C3860),1000000000),IFERROR(IF(VALUE(MID($C3860,2,20))&lt;100000000,VALUE(MID($C3860,2,20)),1000000000),1000000000))+ROW()/100000,"")</f>
        <v/>
      </c>
    </row>
    <row r="3861">
      <c r="E3861" s="11" t="n"/>
      <c r="M3861" s="7">
        <f>IF($C3861="","",L3861*U3861/100)</f>
        <v/>
      </c>
      <c r="N3861" s="7" t="n"/>
      <c r="T3861" s="7" t="n"/>
      <c r="U3861" s="7">
        <f>IF($C3861="","",S3861*T3861)</f>
        <v/>
      </c>
      <c r="X3861">
        <f>IF($C3861="","",IF($AM3861=1,0,IF($AL3861=1,Settings!$C$6,Settings!$C$7))*100)</f>
        <v/>
      </c>
      <c r="AB3861" s="7" t="n"/>
      <c r="AE3861" s="11" t="n"/>
      <c r="AG3861" s="7">
        <f>IF($C3861="","",U3861*X3861/100)</f>
        <v/>
      </c>
      <c r="AH3861" s="7">
        <f>IF($C3861="","",U3861-AG3861)</f>
        <v/>
      </c>
      <c r="AI3861" s="7">
        <f>IF($C3861="","",AH3861-M3861)</f>
        <v/>
      </c>
      <c r="AJ3861">
        <f>IF($C3861="","",IF(COUNTIF($C$2:$C3861,$C3861)=1,1,0))</f>
        <v/>
      </c>
      <c r="AK3861">
        <f>IF($AJ3861=1,SUMPRODUCT(--($AN$2:$AN$4001&lt;$AN3861))+1,"")</f>
        <v/>
      </c>
      <c r="AL3861">
        <f>IF($C3861="","",IF(OR($Q3861=TRUE(),$Q3861="TRUE"),1,0))</f>
        <v/>
      </c>
      <c r="AM3861">
        <f>IF($C3861="","",IF($W3861="Yes",1,0))</f>
        <v/>
      </c>
      <c r="AN3861">
        <f>IF($AJ3861=1,IFERROR(IF(VALUE($C3861)&lt;100000000,VALUE($C3861),1000000000),IFERROR(IF(VALUE(MID($C3861,2,20))&lt;100000000,VALUE(MID($C3861,2,20)),1000000000),1000000000))+ROW()/100000,"")</f>
        <v/>
      </c>
    </row>
    <row r="3862">
      <c r="E3862" s="11" t="n"/>
      <c r="M3862" s="7">
        <f>IF($C3862="","",L3862*U3862/100)</f>
        <v/>
      </c>
      <c r="N3862" s="7" t="n"/>
      <c r="T3862" s="7" t="n"/>
      <c r="U3862" s="7">
        <f>IF($C3862="","",S3862*T3862)</f>
        <v/>
      </c>
      <c r="X3862">
        <f>IF($C3862="","",IF($AM3862=1,0,IF($AL3862=1,Settings!$C$6,Settings!$C$7))*100)</f>
        <v/>
      </c>
      <c r="AB3862" s="7" t="n"/>
      <c r="AE3862" s="11" t="n"/>
      <c r="AG3862" s="7">
        <f>IF($C3862="","",U3862*X3862/100)</f>
        <v/>
      </c>
      <c r="AH3862" s="7">
        <f>IF($C3862="","",U3862-AG3862)</f>
        <v/>
      </c>
      <c r="AI3862" s="7">
        <f>IF($C3862="","",AH3862-M3862)</f>
        <v/>
      </c>
      <c r="AJ3862">
        <f>IF($C3862="","",IF(COUNTIF($C$2:$C3862,$C3862)=1,1,0))</f>
        <v/>
      </c>
      <c r="AK3862">
        <f>IF($AJ3862=1,SUMPRODUCT(--($AN$2:$AN$4001&lt;$AN3862))+1,"")</f>
        <v/>
      </c>
      <c r="AL3862">
        <f>IF($C3862="","",IF(OR($Q3862=TRUE(),$Q3862="TRUE"),1,0))</f>
        <v/>
      </c>
      <c r="AM3862">
        <f>IF($C3862="","",IF($W3862="Yes",1,0))</f>
        <v/>
      </c>
      <c r="AN3862">
        <f>IF($AJ3862=1,IFERROR(IF(VALUE($C3862)&lt;100000000,VALUE($C3862),1000000000),IFERROR(IF(VALUE(MID($C3862,2,20))&lt;100000000,VALUE(MID($C3862,2,20)),1000000000),1000000000))+ROW()/100000,"")</f>
        <v/>
      </c>
    </row>
    <row r="3863">
      <c r="E3863" s="11" t="n"/>
      <c r="M3863" s="7">
        <f>IF($C3863="","",L3863*U3863/100)</f>
        <v/>
      </c>
      <c r="N3863" s="7" t="n"/>
      <c r="T3863" s="7" t="n"/>
      <c r="U3863" s="7">
        <f>IF($C3863="","",S3863*T3863)</f>
        <v/>
      </c>
      <c r="X3863">
        <f>IF($C3863="","",IF($AM3863=1,0,IF($AL3863=1,Settings!$C$6,Settings!$C$7))*100)</f>
        <v/>
      </c>
      <c r="AB3863" s="7" t="n"/>
      <c r="AE3863" s="11" t="n"/>
      <c r="AG3863" s="7">
        <f>IF($C3863="","",U3863*X3863/100)</f>
        <v/>
      </c>
      <c r="AH3863" s="7">
        <f>IF($C3863="","",U3863-AG3863)</f>
        <v/>
      </c>
      <c r="AI3863" s="7">
        <f>IF($C3863="","",AH3863-M3863)</f>
        <v/>
      </c>
      <c r="AJ3863">
        <f>IF($C3863="","",IF(COUNTIF($C$2:$C3863,$C3863)=1,1,0))</f>
        <v/>
      </c>
      <c r="AK3863">
        <f>IF($AJ3863=1,SUMPRODUCT(--($AN$2:$AN$4001&lt;$AN3863))+1,"")</f>
        <v/>
      </c>
      <c r="AL3863">
        <f>IF($C3863="","",IF(OR($Q3863=TRUE(),$Q3863="TRUE"),1,0))</f>
        <v/>
      </c>
      <c r="AM3863">
        <f>IF($C3863="","",IF($W3863="Yes",1,0))</f>
        <v/>
      </c>
      <c r="AN3863">
        <f>IF($AJ3863=1,IFERROR(IF(VALUE($C3863)&lt;100000000,VALUE($C3863),1000000000),IFERROR(IF(VALUE(MID($C3863,2,20))&lt;100000000,VALUE(MID($C3863,2,20)),1000000000),1000000000))+ROW()/100000,"")</f>
        <v/>
      </c>
    </row>
    <row r="3864">
      <c r="E3864" s="11" t="n"/>
      <c r="M3864" s="7">
        <f>IF($C3864="","",L3864*U3864/100)</f>
        <v/>
      </c>
      <c r="N3864" s="7" t="n"/>
      <c r="T3864" s="7" t="n"/>
      <c r="U3864" s="7">
        <f>IF($C3864="","",S3864*T3864)</f>
        <v/>
      </c>
      <c r="X3864">
        <f>IF($C3864="","",IF($AM3864=1,0,IF($AL3864=1,Settings!$C$6,Settings!$C$7))*100)</f>
        <v/>
      </c>
      <c r="AB3864" s="7" t="n"/>
      <c r="AE3864" s="11" t="n"/>
      <c r="AG3864" s="7">
        <f>IF($C3864="","",U3864*X3864/100)</f>
        <v/>
      </c>
      <c r="AH3864" s="7">
        <f>IF($C3864="","",U3864-AG3864)</f>
        <v/>
      </c>
      <c r="AI3864" s="7">
        <f>IF($C3864="","",AH3864-M3864)</f>
        <v/>
      </c>
      <c r="AJ3864">
        <f>IF($C3864="","",IF(COUNTIF($C$2:$C3864,$C3864)=1,1,0))</f>
        <v/>
      </c>
      <c r="AK3864">
        <f>IF($AJ3864=1,SUMPRODUCT(--($AN$2:$AN$4001&lt;$AN3864))+1,"")</f>
        <v/>
      </c>
      <c r="AL3864">
        <f>IF($C3864="","",IF(OR($Q3864=TRUE(),$Q3864="TRUE"),1,0))</f>
        <v/>
      </c>
      <c r="AM3864">
        <f>IF($C3864="","",IF($W3864="Yes",1,0))</f>
        <v/>
      </c>
      <c r="AN3864">
        <f>IF($AJ3864=1,IFERROR(IF(VALUE($C3864)&lt;100000000,VALUE($C3864),1000000000),IFERROR(IF(VALUE(MID($C3864,2,20))&lt;100000000,VALUE(MID($C3864,2,20)),1000000000),1000000000))+ROW()/100000,"")</f>
        <v/>
      </c>
    </row>
    <row r="3865">
      <c r="E3865" s="11" t="n"/>
      <c r="M3865" s="7">
        <f>IF($C3865="","",L3865*U3865/100)</f>
        <v/>
      </c>
      <c r="N3865" s="7" t="n"/>
      <c r="T3865" s="7" t="n"/>
      <c r="U3865" s="7">
        <f>IF($C3865="","",S3865*T3865)</f>
        <v/>
      </c>
      <c r="X3865">
        <f>IF($C3865="","",IF($AM3865=1,0,IF($AL3865=1,Settings!$C$6,Settings!$C$7))*100)</f>
        <v/>
      </c>
      <c r="AB3865" s="7" t="n"/>
      <c r="AE3865" s="11" t="n"/>
      <c r="AG3865" s="7">
        <f>IF($C3865="","",U3865*X3865/100)</f>
        <v/>
      </c>
      <c r="AH3865" s="7">
        <f>IF($C3865="","",U3865-AG3865)</f>
        <v/>
      </c>
      <c r="AI3865" s="7">
        <f>IF($C3865="","",AH3865-M3865)</f>
        <v/>
      </c>
      <c r="AJ3865">
        <f>IF($C3865="","",IF(COUNTIF($C$2:$C3865,$C3865)=1,1,0))</f>
        <v/>
      </c>
      <c r="AK3865">
        <f>IF($AJ3865=1,SUMPRODUCT(--($AN$2:$AN$4001&lt;$AN3865))+1,"")</f>
        <v/>
      </c>
      <c r="AL3865">
        <f>IF($C3865="","",IF(OR($Q3865=TRUE(),$Q3865="TRUE"),1,0))</f>
        <v/>
      </c>
      <c r="AM3865">
        <f>IF($C3865="","",IF($W3865="Yes",1,0))</f>
        <v/>
      </c>
      <c r="AN3865">
        <f>IF($AJ3865=1,IFERROR(IF(VALUE($C3865)&lt;100000000,VALUE($C3865),1000000000),IFERROR(IF(VALUE(MID($C3865,2,20))&lt;100000000,VALUE(MID($C3865,2,20)),1000000000),1000000000))+ROW()/100000,"")</f>
        <v/>
      </c>
    </row>
    <row r="3866">
      <c r="E3866" s="11" t="n"/>
      <c r="M3866" s="7">
        <f>IF($C3866="","",L3866*U3866/100)</f>
        <v/>
      </c>
      <c r="N3866" s="7" t="n"/>
      <c r="T3866" s="7" t="n"/>
      <c r="U3866" s="7">
        <f>IF($C3866="","",S3866*T3866)</f>
        <v/>
      </c>
      <c r="X3866">
        <f>IF($C3866="","",IF($AM3866=1,0,IF($AL3866=1,Settings!$C$6,Settings!$C$7))*100)</f>
        <v/>
      </c>
      <c r="AB3866" s="7" t="n"/>
      <c r="AE3866" s="11" t="n"/>
      <c r="AG3866" s="7">
        <f>IF($C3866="","",U3866*X3866/100)</f>
        <v/>
      </c>
      <c r="AH3866" s="7">
        <f>IF($C3866="","",U3866-AG3866)</f>
        <v/>
      </c>
      <c r="AI3866" s="7">
        <f>IF($C3866="","",AH3866-M3866)</f>
        <v/>
      </c>
      <c r="AJ3866">
        <f>IF($C3866="","",IF(COUNTIF($C$2:$C3866,$C3866)=1,1,0))</f>
        <v/>
      </c>
      <c r="AK3866">
        <f>IF($AJ3866=1,SUMPRODUCT(--($AN$2:$AN$4001&lt;$AN3866))+1,"")</f>
        <v/>
      </c>
      <c r="AL3866">
        <f>IF($C3866="","",IF(OR($Q3866=TRUE(),$Q3866="TRUE"),1,0))</f>
        <v/>
      </c>
      <c r="AM3866">
        <f>IF($C3866="","",IF($W3866="Yes",1,0))</f>
        <v/>
      </c>
      <c r="AN3866">
        <f>IF($AJ3866=1,IFERROR(IF(VALUE($C3866)&lt;100000000,VALUE($C3866),1000000000),IFERROR(IF(VALUE(MID($C3866,2,20))&lt;100000000,VALUE(MID($C3866,2,20)),1000000000),1000000000))+ROW()/100000,"")</f>
        <v/>
      </c>
    </row>
    <row r="3867">
      <c r="E3867" s="11" t="n"/>
      <c r="M3867" s="7">
        <f>IF($C3867="","",L3867*U3867/100)</f>
        <v/>
      </c>
      <c r="N3867" s="7" t="n"/>
      <c r="T3867" s="7" t="n"/>
      <c r="U3867" s="7">
        <f>IF($C3867="","",S3867*T3867)</f>
        <v/>
      </c>
      <c r="X3867">
        <f>IF($C3867="","",IF($AM3867=1,0,IF($AL3867=1,Settings!$C$6,Settings!$C$7))*100)</f>
        <v/>
      </c>
      <c r="AB3867" s="7" t="n"/>
      <c r="AE3867" s="11" t="n"/>
      <c r="AG3867" s="7">
        <f>IF($C3867="","",U3867*X3867/100)</f>
        <v/>
      </c>
      <c r="AH3867" s="7">
        <f>IF($C3867="","",U3867-AG3867)</f>
        <v/>
      </c>
      <c r="AI3867" s="7">
        <f>IF($C3867="","",AH3867-M3867)</f>
        <v/>
      </c>
      <c r="AJ3867">
        <f>IF($C3867="","",IF(COUNTIF($C$2:$C3867,$C3867)=1,1,0))</f>
        <v/>
      </c>
      <c r="AK3867">
        <f>IF($AJ3867=1,SUMPRODUCT(--($AN$2:$AN$4001&lt;$AN3867))+1,"")</f>
        <v/>
      </c>
      <c r="AL3867">
        <f>IF($C3867="","",IF(OR($Q3867=TRUE(),$Q3867="TRUE"),1,0))</f>
        <v/>
      </c>
      <c r="AM3867">
        <f>IF($C3867="","",IF($W3867="Yes",1,0))</f>
        <v/>
      </c>
      <c r="AN3867">
        <f>IF($AJ3867=1,IFERROR(IF(VALUE($C3867)&lt;100000000,VALUE($C3867),1000000000),IFERROR(IF(VALUE(MID($C3867,2,20))&lt;100000000,VALUE(MID($C3867,2,20)),1000000000),1000000000))+ROW()/100000,"")</f>
        <v/>
      </c>
    </row>
    <row r="3868">
      <c r="E3868" s="11" t="n"/>
      <c r="M3868" s="7">
        <f>IF($C3868="","",L3868*U3868/100)</f>
        <v/>
      </c>
      <c r="N3868" s="7" t="n"/>
      <c r="T3868" s="7" t="n"/>
      <c r="U3868" s="7">
        <f>IF($C3868="","",S3868*T3868)</f>
        <v/>
      </c>
      <c r="X3868">
        <f>IF($C3868="","",IF($AM3868=1,0,IF($AL3868=1,Settings!$C$6,Settings!$C$7))*100)</f>
        <v/>
      </c>
      <c r="AB3868" s="7" t="n"/>
      <c r="AE3868" s="11" t="n"/>
      <c r="AG3868" s="7">
        <f>IF($C3868="","",U3868*X3868/100)</f>
        <v/>
      </c>
      <c r="AH3868" s="7">
        <f>IF($C3868="","",U3868-AG3868)</f>
        <v/>
      </c>
      <c r="AI3868" s="7">
        <f>IF($C3868="","",AH3868-M3868)</f>
        <v/>
      </c>
      <c r="AJ3868">
        <f>IF($C3868="","",IF(COUNTIF($C$2:$C3868,$C3868)=1,1,0))</f>
        <v/>
      </c>
      <c r="AK3868">
        <f>IF($AJ3868=1,SUMPRODUCT(--($AN$2:$AN$4001&lt;$AN3868))+1,"")</f>
        <v/>
      </c>
      <c r="AL3868">
        <f>IF($C3868="","",IF(OR($Q3868=TRUE(),$Q3868="TRUE"),1,0))</f>
        <v/>
      </c>
      <c r="AM3868">
        <f>IF($C3868="","",IF($W3868="Yes",1,0))</f>
        <v/>
      </c>
      <c r="AN3868">
        <f>IF($AJ3868=1,IFERROR(IF(VALUE($C3868)&lt;100000000,VALUE($C3868),1000000000),IFERROR(IF(VALUE(MID($C3868,2,20))&lt;100000000,VALUE(MID($C3868,2,20)),1000000000),1000000000))+ROW()/100000,"")</f>
        <v/>
      </c>
    </row>
    <row r="3869">
      <c r="E3869" s="11" t="n"/>
      <c r="M3869" s="7">
        <f>IF($C3869="","",L3869*U3869/100)</f>
        <v/>
      </c>
      <c r="N3869" s="7" t="n"/>
      <c r="T3869" s="7" t="n"/>
      <c r="U3869" s="7">
        <f>IF($C3869="","",S3869*T3869)</f>
        <v/>
      </c>
      <c r="X3869">
        <f>IF($C3869="","",IF($AM3869=1,0,IF($AL3869=1,Settings!$C$6,Settings!$C$7))*100)</f>
        <v/>
      </c>
      <c r="AB3869" s="7" t="n"/>
      <c r="AE3869" s="11" t="n"/>
      <c r="AG3869" s="7">
        <f>IF($C3869="","",U3869*X3869/100)</f>
        <v/>
      </c>
      <c r="AH3869" s="7">
        <f>IF($C3869="","",U3869-AG3869)</f>
        <v/>
      </c>
      <c r="AI3869" s="7">
        <f>IF($C3869="","",AH3869-M3869)</f>
        <v/>
      </c>
      <c r="AJ3869">
        <f>IF($C3869="","",IF(COUNTIF($C$2:$C3869,$C3869)=1,1,0))</f>
        <v/>
      </c>
      <c r="AK3869">
        <f>IF($AJ3869=1,SUMPRODUCT(--($AN$2:$AN$4001&lt;$AN3869))+1,"")</f>
        <v/>
      </c>
      <c r="AL3869">
        <f>IF($C3869="","",IF(OR($Q3869=TRUE(),$Q3869="TRUE"),1,0))</f>
        <v/>
      </c>
      <c r="AM3869">
        <f>IF($C3869="","",IF($W3869="Yes",1,0))</f>
        <v/>
      </c>
      <c r="AN3869">
        <f>IF($AJ3869=1,IFERROR(IF(VALUE($C3869)&lt;100000000,VALUE($C3869),1000000000),IFERROR(IF(VALUE(MID($C3869,2,20))&lt;100000000,VALUE(MID($C3869,2,20)),1000000000),1000000000))+ROW()/100000,"")</f>
        <v/>
      </c>
    </row>
    <row r="3870">
      <c r="E3870" s="11" t="n"/>
      <c r="M3870" s="7">
        <f>IF($C3870="","",L3870*U3870/100)</f>
        <v/>
      </c>
      <c r="N3870" s="7" t="n"/>
      <c r="T3870" s="7" t="n"/>
      <c r="U3870" s="7">
        <f>IF($C3870="","",S3870*T3870)</f>
        <v/>
      </c>
      <c r="X3870">
        <f>IF($C3870="","",IF($AM3870=1,0,IF($AL3870=1,Settings!$C$6,Settings!$C$7))*100)</f>
        <v/>
      </c>
      <c r="AB3870" s="7" t="n"/>
      <c r="AE3870" s="11" t="n"/>
      <c r="AG3870" s="7">
        <f>IF($C3870="","",U3870*X3870/100)</f>
        <v/>
      </c>
      <c r="AH3870" s="7">
        <f>IF($C3870="","",U3870-AG3870)</f>
        <v/>
      </c>
      <c r="AI3870" s="7">
        <f>IF($C3870="","",AH3870-M3870)</f>
        <v/>
      </c>
      <c r="AJ3870">
        <f>IF($C3870="","",IF(COUNTIF($C$2:$C3870,$C3870)=1,1,0))</f>
        <v/>
      </c>
      <c r="AK3870">
        <f>IF($AJ3870=1,SUMPRODUCT(--($AN$2:$AN$4001&lt;$AN3870))+1,"")</f>
        <v/>
      </c>
      <c r="AL3870">
        <f>IF($C3870="","",IF(OR($Q3870=TRUE(),$Q3870="TRUE"),1,0))</f>
        <v/>
      </c>
      <c r="AM3870">
        <f>IF($C3870="","",IF($W3870="Yes",1,0))</f>
        <v/>
      </c>
      <c r="AN3870">
        <f>IF($AJ3870=1,IFERROR(IF(VALUE($C3870)&lt;100000000,VALUE($C3870),1000000000),IFERROR(IF(VALUE(MID($C3870,2,20))&lt;100000000,VALUE(MID($C3870,2,20)),1000000000),1000000000))+ROW()/100000,"")</f>
        <v/>
      </c>
    </row>
    <row r="3871">
      <c r="E3871" s="11" t="n"/>
      <c r="M3871" s="7">
        <f>IF($C3871="","",L3871*U3871/100)</f>
        <v/>
      </c>
      <c r="N3871" s="7" t="n"/>
      <c r="T3871" s="7" t="n"/>
      <c r="U3871" s="7">
        <f>IF($C3871="","",S3871*T3871)</f>
        <v/>
      </c>
      <c r="X3871">
        <f>IF($C3871="","",IF($AM3871=1,0,IF($AL3871=1,Settings!$C$6,Settings!$C$7))*100)</f>
        <v/>
      </c>
      <c r="AB3871" s="7" t="n"/>
      <c r="AE3871" s="11" t="n"/>
      <c r="AG3871" s="7">
        <f>IF($C3871="","",U3871*X3871/100)</f>
        <v/>
      </c>
      <c r="AH3871" s="7">
        <f>IF($C3871="","",U3871-AG3871)</f>
        <v/>
      </c>
      <c r="AI3871" s="7">
        <f>IF($C3871="","",AH3871-M3871)</f>
        <v/>
      </c>
      <c r="AJ3871">
        <f>IF($C3871="","",IF(COUNTIF($C$2:$C3871,$C3871)=1,1,0))</f>
        <v/>
      </c>
      <c r="AK3871">
        <f>IF($AJ3871=1,SUMPRODUCT(--($AN$2:$AN$4001&lt;$AN3871))+1,"")</f>
        <v/>
      </c>
      <c r="AL3871">
        <f>IF($C3871="","",IF(OR($Q3871=TRUE(),$Q3871="TRUE"),1,0))</f>
        <v/>
      </c>
      <c r="AM3871">
        <f>IF($C3871="","",IF($W3871="Yes",1,0))</f>
        <v/>
      </c>
      <c r="AN3871">
        <f>IF($AJ3871=1,IFERROR(IF(VALUE($C3871)&lt;100000000,VALUE($C3871),1000000000),IFERROR(IF(VALUE(MID($C3871,2,20))&lt;100000000,VALUE(MID($C3871,2,20)),1000000000),1000000000))+ROW()/100000,"")</f>
        <v/>
      </c>
    </row>
    <row r="3872">
      <c r="E3872" s="11" t="n"/>
      <c r="M3872" s="7">
        <f>IF($C3872="","",L3872*U3872/100)</f>
        <v/>
      </c>
      <c r="N3872" s="7" t="n"/>
      <c r="T3872" s="7" t="n"/>
      <c r="U3872" s="7">
        <f>IF($C3872="","",S3872*T3872)</f>
        <v/>
      </c>
      <c r="X3872">
        <f>IF($C3872="","",IF($AM3872=1,0,IF($AL3872=1,Settings!$C$6,Settings!$C$7))*100)</f>
        <v/>
      </c>
      <c r="AB3872" s="7" t="n"/>
      <c r="AE3872" s="11" t="n"/>
      <c r="AG3872" s="7">
        <f>IF($C3872="","",U3872*X3872/100)</f>
        <v/>
      </c>
      <c r="AH3872" s="7">
        <f>IF($C3872="","",U3872-AG3872)</f>
        <v/>
      </c>
      <c r="AI3872" s="7">
        <f>IF($C3872="","",AH3872-M3872)</f>
        <v/>
      </c>
      <c r="AJ3872">
        <f>IF($C3872="","",IF(COUNTIF($C$2:$C3872,$C3872)=1,1,0))</f>
        <v/>
      </c>
      <c r="AK3872">
        <f>IF($AJ3872=1,SUMPRODUCT(--($AN$2:$AN$4001&lt;$AN3872))+1,"")</f>
        <v/>
      </c>
      <c r="AL3872">
        <f>IF($C3872="","",IF(OR($Q3872=TRUE(),$Q3872="TRUE"),1,0))</f>
        <v/>
      </c>
      <c r="AM3872">
        <f>IF($C3872="","",IF($W3872="Yes",1,0))</f>
        <v/>
      </c>
      <c r="AN3872">
        <f>IF($AJ3872=1,IFERROR(IF(VALUE($C3872)&lt;100000000,VALUE($C3872),1000000000),IFERROR(IF(VALUE(MID($C3872,2,20))&lt;100000000,VALUE(MID($C3872,2,20)),1000000000),1000000000))+ROW()/100000,"")</f>
        <v/>
      </c>
    </row>
    <row r="3873">
      <c r="E3873" s="11" t="n"/>
      <c r="M3873" s="7">
        <f>IF($C3873="","",L3873*U3873/100)</f>
        <v/>
      </c>
      <c r="N3873" s="7" t="n"/>
      <c r="T3873" s="7" t="n"/>
      <c r="U3873" s="7">
        <f>IF($C3873="","",S3873*T3873)</f>
        <v/>
      </c>
      <c r="X3873">
        <f>IF($C3873="","",IF($AM3873=1,0,IF($AL3873=1,Settings!$C$6,Settings!$C$7))*100)</f>
        <v/>
      </c>
      <c r="AB3873" s="7" t="n"/>
      <c r="AE3873" s="11" t="n"/>
      <c r="AG3873" s="7">
        <f>IF($C3873="","",U3873*X3873/100)</f>
        <v/>
      </c>
      <c r="AH3873" s="7">
        <f>IF($C3873="","",U3873-AG3873)</f>
        <v/>
      </c>
      <c r="AI3873" s="7">
        <f>IF($C3873="","",AH3873-M3873)</f>
        <v/>
      </c>
      <c r="AJ3873">
        <f>IF($C3873="","",IF(COUNTIF($C$2:$C3873,$C3873)=1,1,0))</f>
        <v/>
      </c>
      <c r="AK3873">
        <f>IF($AJ3873=1,SUMPRODUCT(--($AN$2:$AN$4001&lt;$AN3873))+1,"")</f>
        <v/>
      </c>
      <c r="AL3873">
        <f>IF($C3873="","",IF(OR($Q3873=TRUE(),$Q3873="TRUE"),1,0))</f>
        <v/>
      </c>
      <c r="AM3873">
        <f>IF($C3873="","",IF($W3873="Yes",1,0))</f>
        <v/>
      </c>
      <c r="AN3873">
        <f>IF($AJ3873=1,IFERROR(IF(VALUE($C3873)&lt;100000000,VALUE($C3873),1000000000),IFERROR(IF(VALUE(MID($C3873,2,20))&lt;100000000,VALUE(MID($C3873,2,20)),1000000000),1000000000))+ROW()/100000,"")</f>
        <v/>
      </c>
    </row>
    <row r="3874">
      <c r="E3874" s="11" t="n"/>
      <c r="M3874" s="7">
        <f>IF($C3874="","",L3874*U3874/100)</f>
        <v/>
      </c>
      <c r="N3874" s="7" t="n"/>
      <c r="T3874" s="7" t="n"/>
      <c r="U3874" s="7">
        <f>IF($C3874="","",S3874*T3874)</f>
        <v/>
      </c>
      <c r="X3874">
        <f>IF($C3874="","",IF($AM3874=1,0,IF($AL3874=1,Settings!$C$6,Settings!$C$7))*100)</f>
        <v/>
      </c>
      <c r="AB3874" s="7" t="n"/>
      <c r="AE3874" s="11" t="n"/>
      <c r="AG3874" s="7">
        <f>IF($C3874="","",U3874*X3874/100)</f>
        <v/>
      </c>
      <c r="AH3874" s="7">
        <f>IF($C3874="","",U3874-AG3874)</f>
        <v/>
      </c>
      <c r="AI3874" s="7">
        <f>IF($C3874="","",AH3874-M3874)</f>
        <v/>
      </c>
      <c r="AJ3874">
        <f>IF($C3874="","",IF(COUNTIF($C$2:$C3874,$C3874)=1,1,0))</f>
        <v/>
      </c>
      <c r="AK3874">
        <f>IF($AJ3874=1,SUMPRODUCT(--($AN$2:$AN$4001&lt;$AN3874))+1,"")</f>
        <v/>
      </c>
      <c r="AL3874">
        <f>IF($C3874="","",IF(OR($Q3874=TRUE(),$Q3874="TRUE"),1,0))</f>
        <v/>
      </c>
      <c r="AM3874">
        <f>IF($C3874="","",IF($W3874="Yes",1,0))</f>
        <v/>
      </c>
      <c r="AN3874">
        <f>IF($AJ3874=1,IFERROR(IF(VALUE($C3874)&lt;100000000,VALUE($C3874),1000000000),IFERROR(IF(VALUE(MID($C3874,2,20))&lt;100000000,VALUE(MID($C3874,2,20)),1000000000),1000000000))+ROW()/100000,"")</f>
        <v/>
      </c>
    </row>
    <row r="3875">
      <c r="E3875" s="11" t="n"/>
      <c r="M3875" s="7">
        <f>IF($C3875="","",L3875*U3875/100)</f>
        <v/>
      </c>
      <c r="N3875" s="7" t="n"/>
      <c r="T3875" s="7" t="n"/>
      <c r="U3875" s="7">
        <f>IF($C3875="","",S3875*T3875)</f>
        <v/>
      </c>
      <c r="X3875">
        <f>IF($C3875="","",IF($AM3875=1,0,IF($AL3875=1,Settings!$C$6,Settings!$C$7))*100)</f>
        <v/>
      </c>
      <c r="AB3875" s="7" t="n"/>
      <c r="AE3875" s="11" t="n"/>
      <c r="AG3875" s="7">
        <f>IF($C3875="","",U3875*X3875/100)</f>
        <v/>
      </c>
      <c r="AH3875" s="7">
        <f>IF($C3875="","",U3875-AG3875)</f>
        <v/>
      </c>
      <c r="AI3875" s="7">
        <f>IF($C3875="","",AH3875-M3875)</f>
        <v/>
      </c>
      <c r="AJ3875">
        <f>IF($C3875="","",IF(COUNTIF($C$2:$C3875,$C3875)=1,1,0))</f>
        <v/>
      </c>
      <c r="AK3875">
        <f>IF($AJ3875=1,SUMPRODUCT(--($AN$2:$AN$4001&lt;$AN3875))+1,"")</f>
        <v/>
      </c>
      <c r="AL3875">
        <f>IF($C3875="","",IF(OR($Q3875=TRUE(),$Q3875="TRUE"),1,0))</f>
        <v/>
      </c>
      <c r="AM3875">
        <f>IF($C3875="","",IF($W3875="Yes",1,0))</f>
        <v/>
      </c>
      <c r="AN3875">
        <f>IF($AJ3875=1,IFERROR(IF(VALUE($C3875)&lt;100000000,VALUE($C3875),1000000000),IFERROR(IF(VALUE(MID($C3875,2,20))&lt;100000000,VALUE(MID($C3875,2,20)),1000000000),1000000000))+ROW()/100000,"")</f>
        <v/>
      </c>
    </row>
    <row r="3876">
      <c r="E3876" s="11" t="n"/>
      <c r="M3876" s="7">
        <f>IF($C3876="","",L3876*U3876/100)</f>
        <v/>
      </c>
      <c r="N3876" s="7" t="n"/>
      <c r="T3876" s="7" t="n"/>
      <c r="U3876" s="7">
        <f>IF($C3876="","",S3876*T3876)</f>
        <v/>
      </c>
      <c r="X3876">
        <f>IF($C3876="","",IF($AM3876=1,0,IF($AL3876=1,Settings!$C$6,Settings!$C$7))*100)</f>
        <v/>
      </c>
      <c r="AB3876" s="7" t="n"/>
      <c r="AE3876" s="11" t="n"/>
      <c r="AG3876" s="7">
        <f>IF($C3876="","",U3876*X3876/100)</f>
        <v/>
      </c>
      <c r="AH3876" s="7">
        <f>IF($C3876="","",U3876-AG3876)</f>
        <v/>
      </c>
      <c r="AI3876" s="7">
        <f>IF($C3876="","",AH3876-M3876)</f>
        <v/>
      </c>
      <c r="AJ3876">
        <f>IF($C3876="","",IF(COUNTIF($C$2:$C3876,$C3876)=1,1,0))</f>
        <v/>
      </c>
      <c r="AK3876">
        <f>IF($AJ3876=1,SUMPRODUCT(--($AN$2:$AN$4001&lt;$AN3876))+1,"")</f>
        <v/>
      </c>
      <c r="AL3876">
        <f>IF($C3876="","",IF(OR($Q3876=TRUE(),$Q3876="TRUE"),1,0))</f>
        <v/>
      </c>
      <c r="AM3876">
        <f>IF($C3876="","",IF($W3876="Yes",1,0))</f>
        <v/>
      </c>
      <c r="AN3876">
        <f>IF($AJ3876=1,IFERROR(IF(VALUE($C3876)&lt;100000000,VALUE($C3876),1000000000),IFERROR(IF(VALUE(MID($C3876,2,20))&lt;100000000,VALUE(MID($C3876,2,20)),1000000000),1000000000))+ROW()/100000,"")</f>
        <v/>
      </c>
    </row>
    <row r="3877">
      <c r="E3877" s="11" t="n"/>
      <c r="M3877" s="7">
        <f>IF($C3877="","",L3877*U3877/100)</f>
        <v/>
      </c>
      <c r="N3877" s="7" t="n"/>
      <c r="T3877" s="7" t="n"/>
      <c r="U3877" s="7">
        <f>IF($C3877="","",S3877*T3877)</f>
        <v/>
      </c>
      <c r="X3877">
        <f>IF($C3877="","",IF($AM3877=1,0,IF($AL3877=1,Settings!$C$6,Settings!$C$7))*100)</f>
        <v/>
      </c>
      <c r="AB3877" s="7" t="n"/>
      <c r="AE3877" s="11" t="n"/>
      <c r="AG3877" s="7">
        <f>IF($C3877="","",U3877*X3877/100)</f>
        <v/>
      </c>
      <c r="AH3877" s="7">
        <f>IF($C3877="","",U3877-AG3877)</f>
        <v/>
      </c>
      <c r="AI3877" s="7">
        <f>IF($C3877="","",AH3877-M3877)</f>
        <v/>
      </c>
      <c r="AJ3877">
        <f>IF($C3877="","",IF(COUNTIF($C$2:$C3877,$C3877)=1,1,0))</f>
        <v/>
      </c>
      <c r="AK3877">
        <f>IF($AJ3877=1,SUMPRODUCT(--($AN$2:$AN$4001&lt;$AN3877))+1,"")</f>
        <v/>
      </c>
      <c r="AL3877">
        <f>IF($C3877="","",IF(OR($Q3877=TRUE(),$Q3877="TRUE"),1,0))</f>
        <v/>
      </c>
      <c r="AM3877">
        <f>IF($C3877="","",IF($W3877="Yes",1,0))</f>
        <v/>
      </c>
      <c r="AN3877">
        <f>IF($AJ3877=1,IFERROR(IF(VALUE($C3877)&lt;100000000,VALUE($C3877),1000000000),IFERROR(IF(VALUE(MID($C3877,2,20))&lt;100000000,VALUE(MID($C3877,2,20)),1000000000),1000000000))+ROW()/100000,"")</f>
        <v/>
      </c>
    </row>
    <row r="3878">
      <c r="E3878" s="11" t="n"/>
      <c r="M3878" s="7">
        <f>IF($C3878="","",L3878*U3878/100)</f>
        <v/>
      </c>
      <c r="N3878" s="7" t="n"/>
      <c r="T3878" s="7" t="n"/>
      <c r="U3878" s="7">
        <f>IF($C3878="","",S3878*T3878)</f>
        <v/>
      </c>
      <c r="X3878">
        <f>IF($C3878="","",IF($AM3878=1,0,IF($AL3878=1,Settings!$C$6,Settings!$C$7))*100)</f>
        <v/>
      </c>
      <c r="AB3878" s="7" t="n"/>
      <c r="AE3878" s="11" t="n"/>
      <c r="AG3878" s="7">
        <f>IF($C3878="","",U3878*X3878/100)</f>
        <v/>
      </c>
      <c r="AH3878" s="7">
        <f>IF($C3878="","",U3878-AG3878)</f>
        <v/>
      </c>
      <c r="AI3878" s="7">
        <f>IF($C3878="","",AH3878-M3878)</f>
        <v/>
      </c>
      <c r="AJ3878">
        <f>IF($C3878="","",IF(COUNTIF($C$2:$C3878,$C3878)=1,1,0))</f>
        <v/>
      </c>
      <c r="AK3878">
        <f>IF($AJ3878=1,SUMPRODUCT(--($AN$2:$AN$4001&lt;$AN3878))+1,"")</f>
        <v/>
      </c>
      <c r="AL3878">
        <f>IF($C3878="","",IF(OR($Q3878=TRUE(),$Q3878="TRUE"),1,0))</f>
        <v/>
      </c>
      <c r="AM3878">
        <f>IF($C3878="","",IF($W3878="Yes",1,0))</f>
        <v/>
      </c>
      <c r="AN3878">
        <f>IF($AJ3878=1,IFERROR(IF(VALUE($C3878)&lt;100000000,VALUE($C3878),1000000000),IFERROR(IF(VALUE(MID($C3878,2,20))&lt;100000000,VALUE(MID($C3878,2,20)),1000000000),1000000000))+ROW()/100000,"")</f>
        <v/>
      </c>
    </row>
    <row r="3879">
      <c r="E3879" s="11" t="n"/>
      <c r="M3879" s="7">
        <f>IF($C3879="","",L3879*U3879/100)</f>
        <v/>
      </c>
      <c r="N3879" s="7" t="n"/>
      <c r="T3879" s="7" t="n"/>
      <c r="U3879" s="7">
        <f>IF($C3879="","",S3879*T3879)</f>
        <v/>
      </c>
      <c r="X3879">
        <f>IF($C3879="","",IF($AM3879=1,0,IF($AL3879=1,Settings!$C$6,Settings!$C$7))*100)</f>
        <v/>
      </c>
      <c r="AB3879" s="7" t="n"/>
      <c r="AE3879" s="11" t="n"/>
      <c r="AG3879" s="7">
        <f>IF($C3879="","",U3879*X3879/100)</f>
        <v/>
      </c>
      <c r="AH3879" s="7">
        <f>IF($C3879="","",U3879-AG3879)</f>
        <v/>
      </c>
      <c r="AI3879" s="7">
        <f>IF($C3879="","",AH3879-M3879)</f>
        <v/>
      </c>
      <c r="AJ3879">
        <f>IF($C3879="","",IF(COUNTIF($C$2:$C3879,$C3879)=1,1,0))</f>
        <v/>
      </c>
      <c r="AK3879">
        <f>IF($AJ3879=1,SUMPRODUCT(--($AN$2:$AN$4001&lt;$AN3879))+1,"")</f>
        <v/>
      </c>
      <c r="AL3879">
        <f>IF($C3879="","",IF(OR($Q3879=TRUE(),$Q3879="TRUE"),1,0))</f>
        <v/>
      </c>
      <c r="AM3879">
        <f>IF($C3879="","",IF($W3879="Yes",1,0))</f>
        <v/>
      </c>
      <c r="AN3879">
        <f>IF($AJ3879=1,IFERROR(IF(VALUE($C3879)&lt;100000000,VALUE($C3879),1000000000),IFERROR(IF(VALUE(MID($C3879,2,20))&lt;100000000,VALUE(MID($C3879,2,20)),1000000000),1000000000))+ROW()/100000,"")</f>
        <v/>
      </c>
    </row>
    <row r="3880">
      <c r="E3880" s="11" t="n"/>
      <c r="M3880" s="7">
        <f>IF($C3880="","",L3880*U3880/100)</f>
        <v/>
      </c>
      <c r="N3880" s="7" t="n"/>
      <c r="T3880" s="7" t="n"/>
      <c r="U3880" s="7">
        <f>IF($C3880="","",S3880*T3880)</f>
        <v/>
      </c>
      <c r="X3880">
        <f>IF($C3880="","",IF($AM3880=1,0,IF($AL3880=1,Settings!$C$6,Settings!$C$7))*100)</f>
        <v/>
      </c>
      <c r="AB3880" s="7" t="n"/>
      <c r="AE3880" s="11" t="n"/>
      <c r="AG3880" s="7">
        <f>IF($C3880="","",U3880*X3880/100)</f>
        <v/>
      </c>
      <c r="AH3880" s="7">
        <f>IF($C3880="","",U3880-AG3880)</f>
        <v/>
      </c>
      <c r="AI3880" s="7">
        <f>IF($C3880="","",AH3880-M3880)</f>
        <v/>
      </c>
      <c r="AJ3880">
        <f>IF($C3880="","",IF(COUNTIF($C$2:$C3880,$C3880)=1,1,0))</f>
        <v/>
      </c>
      <c r="AK3880">
        <f>IF($AJ3880=1,SUMPRODUCT(--($AN$2:$AN$4001&lt;$AN3880))+1,"")</f>
        <v/>
      </c>
      <c r="AL3880">
        <f>IF($C3880="","",IF(OR($Q3880=TRUE(),$Q3880="TRUE"),1,0))</f>
        <v/>
      </c>
      <c r="AM3880">
        <f>IF($C3880="","",IF($W3880="Yes",1,0))</f>
        <v/>
      </c>
      <c r="AN3880">
        <f>IF($AJ3880=1,IFERROR(IF(VALUE($C3880)&lt;100000000,VALUE($C3880),1000000000),IFERROR(IF(VALUE(MID($C3880,2,20))&lt;100000000,VALUE(MID($C3880,2,20)),1000000000),1000000000))+ROW()/100000,"")</f>
        <v/>
      </c>
    </row>
    <row r="3881">
      <c r="E3881" s="11" t="n"/>
      <c r="M3881" s="7">
        <f>IF($C3881="","",L3881*U3881/100)</f>
        <v/>
      </c>
      <c r="N3881" s="7" t="n"/>
      <c r="T3881" s="7" t="n"/>
      <c r="U3881" s="7">
        <f>IF($C3881="","",S3881*T3881)</f>
        <v/>
      </c>
      <c r="X3881">
        <f>IF($C3881="","",IF($AM3881=1,0,IF($AL3881=1,Settings!$C$6,Settings!$C$7))*100)</f>
        <v/>
      </c>
      <c r="AB3881" s="7" t="n"/>
      <c r="AE3881" s="11" t="n"/>
      <c r="AG3881" s="7">
        <f>IF($C3881="","",U3881*X3881/100)</f>
        <v/>
      </c>
      <c r="AH3881" s="7">
        <f>IF($C3881="","",U3881-AG3881)</f>
        <v/>
      </c>
      <c r="AI3881" s="7">
        <f>IF($C3881="","",AH3881-M3881)</f>
        <v/>
      </c>
      <c r="AJ3881">
        <f>IF($C3881="","",IF(COUNTIF($C$2:$C3881,$C3881)=1,1,0))</f>
        <v/>
      </c>
      <c r="AK3881">
        <f>IF($AJ3881=1,SUMPRODUCT(--($AN$2:$AN$4001&lt;$AN3881))+1,"")</f>
        <v/>
      </c>
      <c r="AL3881">
        <f>IF($C3881="","",IF(OR($Q3881=TRUE(),$Q3881="TRUE"),1,0))</f>
        <v/>
      </c>
      <c r="AM3881">
        <f>IF($C3881="","",IF($W3881="Yes",1,0))</f>
        <v/>
      </c>
      <c r="AN3881">
        <f>IF($AJ3881=1,IFERROR(IF(VALUE($C3881)&lt;100000000,VALUE($C3881),1000000000),IFERROR(IF(VALUE(MID($C3881,2,20))&lt;100000000,VALUE(MID($C3881,2,20)),1000000000),1000000000))+ROW()/100000,"")</f>
        <v/>
      </c>
    </row>
    <row r="3882">
      <c r="E3882" s="11" t="n"/>
      <c r="M3882" s="7">
        <f>IF($C3882="","",L3882*U3882/100)</f>
        <v/>
      </c>
      <c r="N3882" s="7" t="n"/>
      <c r="T3882" s="7" t="n"/>
      <c r="U3882" s="7">
        <f>IF($C3882="","",S3882*T3882)</f>
        <v/>
      </c>
      <c r="X3882">
        <f>IF($C3882="","",IF($AM3882=1,0,IF($AL3882=1,Settings!$C$6,Settings!$C$7))*100)</f>
        <v/>
      </c>
      <c r="AB3882" s="7" t="n"/>
      <c r="AE3882" s="11" t="n"/>
      <c r="AG3882" s="7">
        <f>IF($C3882="","",U3882*X3882/100)</f>
        <v/>
      </c>
      <c r="AH3882" s="7">
        <f>IF($C3882="","",U3882-AG3882)</f>
        <v/>
      </c>
      <c r="AI3882" s="7">
        <f>IF($C3882="","",AH3882-M3882)</f>
        <v/>
      </c>
      <c r="AJ3882">
        <f>IF($C3882="","",IF(COUNTIF($C$2:$C3882,$C3882)=1,1,0))</f>
        <v/>
      </c>
      <c r="AK3882">
        <f>IF($AJ3882=1,SUMPRODUCT(--($AN$2:$AN$4001&lt;$AN3882))+1,"")</f>
        <v/>
      </c>
      <c r="AL3882">
        <f>IF($C3882="","",IF(OR($Q3882=TRUE(),$Q3882="TRUE"),1,0))</f>
        <v/>
      </c>
      <c r="AM3882">
        <f>IF($C3882="","",IF($W3882="Yes",1,0))</f>
        <v/>
      </c>
      <c r="AN3882">
        <f>IF($AJ3882=1,IFERROR(IF(VALUE($C3882)&lt;100000000,VALUE($C3882),1000000000),IFERROR(IF(VALUE(MID($C3882,2,20))&lt;100000000,VALUE(MID($C3882,2,20)),1000000000),1000000000))+ROW()/100000,"")</f>
        <v/>
      </c>
    </row>
    <row r="3883">
      <c r="E3883" s="11" t="n"/>
      <c r="M3883" s="7">
        <f>IF($C3883="","",L3883*U3883/100)</f>
        <v/>
      </c>
      <c r="N3883" s="7" t="n"/>
      <c r="T3883" s="7" t="n"/>
      <c r="U3883" s="7">
        <f>IF($C3883="","",S3883*T3883)</f>
        <v/>
      </c>
      <c r="X3883">
        <f>IF($C3883="","",IF($AM3883=1,0,IF($AL3883=1,Settings!$C$6,Settings!$C$7))*100)</f>
        <v/>
      </c>
      <c r="AB3883" s="7" t="n"/>
      <c r="AE3883" s="11" t="n"/>
      <c r="AG3883" s="7">
        <f>IF($C3883="","",U3883*X3883/100)</f>
        <v/>
      </c>
      <c r="AH3883" s="7">
        <f>IF($C3883="","",U3883-AG3883)</f>
        <v/>
      </c>
      <c r="AI3883" s="7">
        <f>IF($C3883="","",AH3883-M3883)</f>
        <v/>
      </c>
      <c r="AJ3883">
        <f>IF($C3883="","",IF(COUNTIF($C$2:$C3883,$C3883)=1,1,0))</f>
        <v/>
      </c>
      <c r="AK3883">
        <f>IF($AJ3883=1,SUMPRODUCT(--($AN$2:$AN$4001&lt;$AN3883))+1,"")</f>
        <v/>
      </c>
      <c r="AL3883">
        <f>IF($C3883="","",IF(OR($Q3883=TRUE(),$Q3883="TRUE"),1,0))</f>
        <v/>
      </c>
      <c r="AM3883">
        <f>IF($C3883="","",IF($W3883="Yes",1,0))</f>
        <v/>
      </c>
      <c r="AN3883">
        <f>IF($AJ3883=1,IFERROR(IF(VALUE($C3883)&lt;100000000,VALUE($C3883),1000000000),IFERROR(IF(VALUE(MID($C3883,2,20))&lt;100000000,VALUE(MID($C3883,2,20)),1000000000),1000000000))+ROW()/100000,"")</f>
        <v/>
      </c>
    </row>
    <row r="3884">
      <c r="E3884" s="11" t="n"/>
      <c r="M3884" s="7">
        <f>IF($C3884="","",L3884*U3884/100)</f>
        <v/>
      </c>
      <c r="N3884" s="7" t="n"/>
      <c r="T3884" s="7" t="n"/>
      <c r="U3884" s="7">
        <f>IF($C3884="","",S3884*T3884)</f>
        <v/>
      </c>
      <c r="X3884">
        <f>IF($C3884="","",IF($AM3884=1,0,IF($AL3884=1,Settings!$C$6,Settings!$C$7))*100)</f>
        <v/>
      </c>
      <c r="AB3884" s="7" t="n"/>
      <c r="AE3884" s="11" t="n"/>
      <c r="AG3884" s="7">
        <f>IF($C3884="","",U3884*X3884/100)</f>
        <v/>
      </c>
      <c r="AH3884" s="7">
        <f>IF($C3884="","",U3884-AG3884)</f>
        <v/>
      </c>
      <c r="AI3884" s="7">
        <f>IF($C3884="","",AH3884-M3884)</f>
        <v/>
      </c>
      <c r="AJ3884">
        <f>IF($C3884="","",IF(COUNTIF($C$2:$C3884,$C3884)=1,1,0))</f>
        <v/>
      </c>
      <c r="AK3884">
        <f>IF($AJ3884=1,SUMPRODUCT(--($AN$2:$AN$4001&lt;$AN3884))+1,"")</f>
        <v/>
      </c>
      <c r="AL3884">
        <f>IF($C3884="","",IF(OR($Q3884=TRUE(),$Q3884="TRUE"),1,0))</f>
        <v/>
      </c>
      <c r="AM3884">
        <f>IF($C3884="","",IF($W3884="Yes",1,0))</f>
        <v/>
      </c>
      <c r="AN3884">
        <f>IF($AJ3884=1,IFERROR(IF(VALUE($C3884)&lt;100000000,VALUE($C3884),1000000000),IFERROR(IF(VALUE(MID($C3884,2,20))&lt;100000000,VALUE(MID($C3884,2,20)),1000000000),1000000000))+ROW()/100000,"")</f>
        <v/>
      </c>
    </row>
    <row r="3885">
      <c r="E3885" s="11" t="n"/>
      <c r="M3885" s="7">
        <f>IF($C3885="","",L3885*U3885/100)</f>
        <v/>
      </c>
      <c r="N3885" s="7" t="n"/>
      <c r="T3885" s="7" t="n"/>
      <c r="U3885" s="7">
        <f>IF($C3885="","",S3885*T3885)</f>
        <v/>
      </c>
      <c r="X3885">
        <f>IF($C3885="","",IF($AM3885=1,0,IF($AL3885=1,Settings!$C$6,Settings!$C$7))*100)</f>
        <v/>
      </c>
      <c r="AB3885" s="7" t="n"/>
      <c r="AE3885" s="11" t="n"/>
      <c r="AG3885" s="7">
        <f>IF($C3885="","",U3885*X3885/100)</f>
        <v/>
      </c>
      <c r="AH3885" s="7">
        <f>IF($C3885="","",U3885-AG3885)</f>
        <v/>
      </c>
      <c r="AI3885" s="7">
        <f>IF($C3885="","",AH3885-M3885)</f>
        <v/>
      </c>
      <c r="AJ3885">
        <f>IF($C3885="","",IF(COUNTIF($C$2:$C3885,$C3885)=1,1,0))</f>
        <v/>
      </c>
      <c r="AK3885">
        <f>IF($AJ3885=1,SUMPRODUCT(--($AN$2:$AN$4001&lt;$AN3885))+1,"")</f>
        <v/>
      </c>
      <c r="AL3885">
        <f>IF($C3885="","",IF(OR($Q3885=TRUE(),$Q3885="TRUE"),1,0))</f>
        <v/>
      </c>
      <c r="AM3885">
        <f>IF($C3885="","",IF($W3885="Yes",1,0))</f>
        <v/>
      </c>
      <c r="AN3885">
        <f>IF($AJ3885=1,IFERROR(IF(VALUE($C3885)&lt;100000000,VALUE($C3885),1000000000),IFERROR(IF(VALUE(MID($C3885,2,20))&lt;100000000,VALUE(MID($C3885,2,20)),1000000000),1000000000))+ROW()/100000,"")</f>
        <v/>
      </c>
    </row>
    <row r="3886">
      <c r="E3886" s="11" t="n"/>
      <c r="M3886" s="7">
        <f>IF($C3886="","",L3886*U3886/100)</f>
        <v/>
      </c>
      <c r="N3886" s="7" t="n"/>
      <c r="T3886" s="7" t="n"/>
      <c r="U3886" s="7">
        <f>IF($C3886="","",S3886*T3886)</f>
        <v/>
      </c>
      <c r="X3886">
        <f>IF($C3886="","",IF($AM3886=1,0,IF($AL3886=1,Settings!$C$6,Settings!$C$7))*100)</f>
        <v/>
      </c>
      <c r="AB3886" s="7" t="n"/>
      <c r="AE3886" s="11" t="n"/>
      <c r="AG3886" s="7">
        <f>IF($C3886="","",U3886*X3886/100)</f>
        <v/>
      </c>
      <c r="AH3886" s="7">
        <f>IF($C3886="","",U3886-AG3886)</f>
        <v/>
      </c>
      <c r="AI3886" s="7">
        <f>IF($C3886="","",AH3886-M3886)</f>
        <v/>
      </c>
      <c r="AJ3886">
        <f>IF($C3886="","",IF(COUNTIF($C$2:$C3886,$C3886)=1,1,0))</f>
        <v/>
      </c>
      <c r="AK3886">
        <f>IF($AJ3886=1,SUMPRODUCT(--($AN$2:$AN$4001&lt;$AN3886))+1,"")</f>
        <v/>
      </c>
      <c r="AL3886">
        <f>IF($C3886="","",IF(OR($Q3886=TRUE(),$Q3886="TRUE"),1,0))</f>
        <v/>
      </c>
      <c r="AM3886">
        <f>IF($C3886="","",IF($W3886="Yes",1,0))</f>
        <v/>
      </c>
      <c r="AN3886">
        <f>IF($AJ3886=1,IFERROR(IF(VALUE($C3886)&lt;100000000,VALUE($C3886),1000000000),IFERROR(IF(VALUE(MID($C3886,2,20))&lt;100000000,VALUE(MID($C3886,2,20)),1000000000),1000000000))+ROW()/100000,"")</f>
        <v/>
      </c>
    </row>
    <row r="3887">
      <c r="E3887" s="11" t="n"/>
      <c r="M3887" s="7">
        <f>IF($C3887="","",L3887*U3887/100)</f>
        <v/>
      </c>
      <c r="N3887" s="7" t="n"/>
      <c r="T3887" s="7" t="n"/>
      <c r="U3887" s="7">
        <f>IF($C3887="","",S3887*T3887)</f>
        <v/>
      </c>
      <c r="X3887">
        <f>IF($C3887="","",IF($AM3887=1,0,IF($AL3887=1,Settings!$C$6,Settings!$C$7))*100)</f>
        <v/>
      </c>
      <c r="AB3887" s="7" t="n"/>
      <c r="AE3887" s="11" t="n"/>
      <c r="AG3887" s="7">
        <f>IF($C3887="","",U3887*X3887/100)</f>
        <v/>
      </c>
      <c r="AH3887" s="7">
        <f>IF($C3887="","",U3887-AG3887)</f>
        <v/>
      </c>
      <c r="AI3887" s="7">
        <f>IF($C3887="","",AH3887-M3887)</f>
        <v/>
      </c>
      <c r="AJ3887">
        <f>IF($C3887="","",IF(COUNTIF($C$2:$C3887,$C3887)=1,1,0))</f>
        <v/>
      </c>
      <c r="AK3887">
        <f>IF($AJ3887=1,SUMPRODUCT(--($AN$2:$AN$4001&lt;$AN3887))+1,"")</f>
        <v/>
      </c>
      <c r="AL3887">
        <f>IF($C3887="","",IF(OR($Q3887=TRUE(),$Q3887="TRUE"),1,0))</f>
        <v/>
      </c>
      <c r="AM3887">
        <f>IF($C3887="","",IF($W3887="Yes",1,0))</f>
        <v/>
      </c>
      <c r="AN3887">
        <f>IF($AJ3887=1,IFERROR(IF(VALUE($C3887)&lt;100000000,VALUE($C3887),1000000000),IFERROR(IF(VALUE(MID($C3887,2,20))&lt;100000000,VALUE(MID($C3887,2,20)),1000000000),1000000000))+ROW()/100000,"")</f>
        <v/>
      </c>
    </row>
    <row r="3888">
      <c r="E3888" s="11" t="n"/>
      <c r="M3888" s="7">
        <f>IF($C3888="","",L3888*U3888/100)</f>
        <v/>
      </c>
      <c r="N3888" s="7" t="n"/>
      <c r="T3888" s="7" t="n"/>
      <c r="U3888" s="7">
        <f>IF($C3888="","",S3888*T3888)</f>
        <v/>
      </c>
      <c r="X3888">
        <f>IF($C3888="","",IF($AM3888=1,0,IF($AL3888=1,Settings!$C$6,Settings!$C$7))*100)</f>
        <v/>
      </c>
      <c r="AB3888" s="7" t="n"/>
      <c r="AE3888" s="11" t="n"/>
      <c r="AG3888" s="7">
        <f>IF($C3888="","",U3888*X3888/100)</f>
        <v/>
      </c>
      <c r="AH3888" s="7">
        <f>IF($C3888="","",U3888-AG3888)</f>
        <v/>
      </c>
      <c r="AI3888" s="7">
        <f>IF($C3888="","",AH3888-M3888)</f>
        <v/>
      </c>
      <c r="AJ3888">
        <f>IF($C3888="","",IF(COUNTIF($C$2:$C3888,$C3888)=1,1,0))</f>
        <v/>
      </c>
      <c r="AK3888">
        <f>IF($AJ3888=1,SUMPRODUCT(--($AN$2:$AN$4001&lt;$AN3888))+1,"")</f>
        <v/>
      </c>
      <c r="AL3888">
        <f>IF($C3888="","",IF(OR($Q3888=TRUE(),$Q3888="TRUE"),1,0))</f>
        <v/>
      </c>
      <c r="AM3888">
        <f>IF($C3888="","",IF($W3888="Yes",1,0))</f>
        <v/>
      </c>
      <c r="AN3888">
        <f>IF($AJ3888=1,IFERROR(IF(VALUE($C3888)&lt;100000000,VALUE($C3888),1000000000),IFERROR(IF(VALUE(MID($C3888,2,20))&lt;100000000,VALUE(MID($C3888,2,20)),1000000000),1000000000))+ROW()/100000,"")</f>
        <v/>
      </c>
    </row>
    <row r="3889">
      <c r="E3889" s="11" t="n"/>
      <c r="M3889" s="7">
        <f>IF($C3889="","",L3889*U3889/100)</f>
        <v/>
      </c>
      <c r="N3889" s="7" t="n"/>
      <c r="T3889" s="7" t="n"/>
      <c r="U3889" s="7">
        <f>IF($C3889="","",S3889*T3889)</f>
        <v/>
      </c>
      <c r="X3889">
        <f>IF($C3889="","",IF($AM3889=1,0,IF($AL3889=1,Settings!$C$6,Settings!$C$7))*100)</f>
        <v/>
      </c>
      <c r="AB3889" s="7" t="n"/>
      <c r="AE3889" s="11" t="n"/>
      <c r="AG3889" s="7">
        <f>IF($C3889="","",U3889*X3889/100)</f>
        <v/>
      </c>
      <c r="AH3889" s="7">
        <f>IF($C3889="","",U3889-AG3889)</f>
        <v/>
      </c>
      <c r="AI3889" s="7">
        <f>IF($C3889="","",AH3889-M3889)</f>
        <v/>
      </c>
      <c r="AJ3889">
        <f>IF($C3889="","",IF(COUNTIF($C$2:$C3889,$C3889)=1,1,0))</f>
        <v/>
      </c>
      <c r="AK3889">
        <f>IF($AJ3889=1,SUMPRODUCT(--($AN$2:$AN$4001&lt;$AN3889))+1,"")</f>
        <v/>
      </c>
      <c r="AL3889">
        <f>IF($C3889="","",IF(OR($Q3889=TRUE(),$Q3889="TRUE"),1,0))</f>
        <v/>
      </c>
      <c r="AM3889">
        <f>IF($C3889="","",IF($W3889="Yes",1,0))</f>
        <v/>
      </c>
      <c r="AN3889">
        <f>IF($AJ3889=1,IFERROR(IF(VALUE($C3889)&lt;100000000,VALUE($C3889),1000000000),IFERROR(IF(VALUE(MID($C3889,2,20))&lt;100000000,VALUE(MID($C3889,2,20)),1000000000),1000000000))+ROW()/100000,"")</f>
        <v/>
      </c>
    </row>
    <row r="3890">
      <c r="E3890" s="11" t="n"/>
      <c r="M3890" s="7">
        <f>IF($C3890="","",L3890*U3890/100)</f>
        <v/>
      </c>
      <c r="N3890" s="7" t="n"/>
      <c r="T3890" s="7" t="n"/>
      <c r="U3890" s="7">
        <f>IF($C3890="","",S3890*T3890)</f>
        <v/>
      </c>
      <c r="X3890">
        <f>IF($C3890="","",IF($AM3890=1,0,IF($AL3890=1,Settings!$C$6,Settings!$C$7))*100)</f>
        <v/>
      </c>
      <c r="AB3890" s="7" t="n"/>
      <c r="AE3890" s="11" t="n"/>
      <c r="AG3890" s="7">
        <f>IF($C3890="","",U3890*X3890/100)</f>
        <v/>
      </c>
      <c r="AH3890" s="7">
        <f>IF($C3890="","",U3890-AG3890)</f>
        <v/>
      </c>
      <c r="AI3890" s="7">
        <f>IF($C3890="","",AH3890-M3890)</f>
        <v/>
      </c>
      <c r="AJ3890">
        <f>IF($C3890="","",IF(COUNTIF($C$2:$C3890,$C3890)=1,1,0))</f>
        <v/>
      </c>
      <c r="AK3890">
        <f>IF($AJ3890=1,SUMPRODUCT(--($AN$2:$AN$4001&lt;$AN3890))+1,"")</f>
        <v/>
      </c>
      <c r="AL3890">
        <f>IF($C3890="","",IF(OR($Q3890=TRUE(),$Q3890="TRUE"),1,0))</f>
        <v/>
      </c>
      <c r="AM3890">
        <f>IF($C3890="","",IF($W3890="Yes",1,0))</f>
        <v/>
      </c>
      <c r="AN3890">
        <f>IF($AJ3890=1,IFERROR(IF(VALUE($C3890)&lt;100000000,VALUE($C3890),1000000000),IFERROR(IF(VALUE(MID($C3890,2,20))&lt;100000000,VALUE(MID($C3890,2,20)),1000000000),1000000000))+ROW()/100000,"")</f>
        <v/>
      </c>
    </row>
    <row r="3891">
      <c r="E3891" s="11" t="n"/>
      <c r="M3891" s="7">
        <f>IF($C3891="","",L3891*U3891/100)</f>
        <v/>
      </c>
      <c r="N3891" s="7" t="n"/>
      <c r="T3891" s="7" t="n"/>
      <c r="U3891" s="7">
        <f>IF($C3891="","",S3891*T3891)</f>
        <v/>
      </c>
      <c r="X3891">
        <f>IF($C3891="","",IF($AM3891=1,0,IF($AL3891=1,Settings!$C$6,Settings!$C$7))*100)</f>
        <v/>
      </c>
      <c r="AB3891" s="7" t="n"/>
      <c r="AE3891" s="11" t="n"/>
      <c r="AG3891" s="7">
        <f>IF($C3891="","",U3891*X3891/100)</f>
        <v/>
      </c>
      <c r="AH3891" s="7">
        <f>IF($C3891="","",U3891-AG3891)</f>
        <v/>
      </c>
      <c r="AI3891" s="7">
        <f>IF($C3891="","",AH3891-M3891)</f>
        <v/>
      </c>
      <c r="AJ3891">
        <f>IF($C3891="","",IF(COUNTIF($C$2:$C3891,$C3891)=1,1,0))</f>
        <v/>
      </c>
      <c r="AK3891">
        <f>IF($AJ3891=1,SUMPRODUCT(--($AN$2:$AN$4001&lt;$AN3891))+1,"")</f>
        <v/>
      </c>
      <c r="AL3891">
        <f>IF($C3891="","",IF(OR($Q3891=TRUE(),$Q3891="TRUE"),1,0))</f>
        <v/>
      </c>
      <c r="AM3891">
        <f>IF($C3891="","",IF($W3891="Yes",1,0))</f>
        <v/>
      </c>
      <c r="AN3891">
        <f>IF($AJ3891=1,IFERROR(IF(VALUE($C3891)&lt;100000000,VALUE($C3891),1000000000),IFERROR(IF(VALUE(MID($C3891,2,20))&lt;100000000,VALUE(MID($C3891,2,20)),1000000000),1000000000))+ROW()/100000,"")</f>
        <v/>
      </c>
    </row>
    <row r="3892">
      <c r="E3892" s="11" t="n"/>
      <c r="M3892" s="7">
        <f>IF($C3892="","",L3892*U3892/100)</f>
        <v/>
      </c>
      <c r="N3892" s="7" t="n"/>
      <c r="T3892" s="7" t="n"/>
      <c r="U3892" s="7">
        <f>IF($C3892="","",S3892*T3892)</f>
        <v/>
      </c>
      <c r="X3892">
        <f>IF($C3892="","",IF($AM3892=1,0,IF($AL3892=1,Settings!$C$6,Settings!$C$7))*100)</f>
        <v/>
      </c>
      <c r="AB3892" s="7" t="n"/>
      <c r="AE3892" s="11" t="n"/>
      <c r="AG3892" s="7">
        <f>IF($C3892="","",U3892*X3892/100)</f>
        <v/>
      </c>
      <c r="AH3892" s="7">
        <f>IF($C3892="","",U3892-AG3892)</f>
        <v/>
      </c>
      <c r="AI3892" s="7">
        <f>IF($C3892="","",AH3892-M3892)</f>
        <v/>
      </c>
      <c r="AJ3892">
        <f>IF($C3892="","",IF(COUNTIF($C$2:$C3892,$C3892)=1,1,0))</f>
        <v/>
      </c>
      <c r="AK3892">
        <f>IF($AJ3892=1,SUMPRODUCT(--($AN$2:$AN$4001&lt;$AN3892))+1,"")</f>
        <v/>
      </c>
      <c r="AL3892">
        <f>IF($C3892="","",IF(OR($Q3892=TRUE(),$Q3892="TRUE"),1,0))</f>
        <v/>
      </c>
      <c r="AM3892">
        <f>IF($C3892="","",IF($W3892="Yes",1,0))</f>
        <v/>
      </c>
      <c r="AN3892">
        <f>IF($AJ3892=1,IFERROR(IF(VALUE($C3892)&lt;100000000,VALUE($C3892),1000000000),IFERROR(IF(VALUE(MID($C3892,2,20))&lt;100000000,VALUE(MID($C3892,2,20)),1000000000),1000000000))+ROW()/100000,"")</f>
        <v/>
      </c>
    </row>
    <row r="3893">
      <c r="E3893" s="11" t="n"/>
      <c r="M3893" s="7">
        <f>IF($C3893="","",L3893*U3893/100)</f>
        <v/>
      </c>
      <c r="N3893" s="7" t="n"/>
      <c r="T3893" s="7" t="n"/>
      <c r="U3893" s="7">
        <f>IF($C3893="","",S3893*T3893)</f>
        <v/>
      </c>
      <c r="X3893">
        <f>IF($C3893="","",IF($AM3893=1,0,IF($AL3893=1,Settings!$C$6,Settings!$C$7))*100)</f>
        <v/>
      </c>
      <c r="AB3893" s="7" t="n"/>
      <c r="AE3893" s="11" t="n"/>
      <c r="AG3893" s="7">
        <f>IF($C3893="","",U3893*X3893/100)</f>
        <v/>
      </c>
      <c r="AH3893" s="7">
        <f>IF($C3893="","",U3893-AG3893)</f>
        <v/>
      </c>
      <c r="AI3893" s="7">
        <f>IF($C3893="","",AH3893-M3893)</f>
        <v/>
      </c>
      <c r="AJ3893">
        <f>IF($C3893="","",IF(COUNTIF($C$2:$C3893,$C3893)=1,1,0))</f>
        <v/>
      </c>
      <c r="AK3893">
        <f>IF($AJ3893=1,SUMPRODUCT(--($AN$2:$AN$4001&lt;$AN3893))+1,"")</f>
        <v/>
      </c>
      <c r="AL3893">
        <f>IF($C3893="","",IF(OR($Q3893=TRUE(),$Q3893="TRUE"),1,0))</f>
        <v/>
      </c>
      <c r="AM3893">
        <f>IF($C3893="","",IF($W3893="Yes",1,0))</f>
        <v/>
      </c>
      <c r="AN3893">
        <f>IF($AJ3893=1,IFERROR(IF(VALUE($C3893)&lt;100000000,VALUE($C3893),1000000000),IFERROR(IF(VALUE(MID($C3893,2,20))&lt;100000000,VALUE(MID($C3893,2,20)),1000000000),1000000000))+ROW()/100000,"")</f>
        <v/>
      </c>
    </row>
    <row r="3894">
      <c r="E3894" s="11" t="n"/>
      <c r="M3894" s="7">
        <f>IF($C3894="","",L3894*U3894/100)</f>
        <v/>
      </c>
      <c r="N3894" s="7" t="n"/>
      <c r="T3894" s="7" t="n"/>
      <c r="U3894" s="7">
        <f>IF($C3894="","",S3894*T3894)</f>
        <v/>
      </c>
      <c r="X3894">
        <f>IF($C3894="","",IF($AM3894=1,0,IF($AL3894=1,Settings!$C$6,Settings!$C$7))*100)</f>
        <v/>
      </c>
      <c r="AB3894" s="7" t="n"/>
      <c r="AE3894" s="11" t="n"/>
      <c r="AG3894" s="7">
        <f>IF($C3894="","",U3894*X3894/100)</f>
        <v/>
      </c>
      <c r="AH3894" s="7">
        <f>IF($C3894="","",U3894-AG3894)</f>
        <v/>
      </c>
      <c r="AI3894" s="7">
        <f>IF($C3894="","",AH3894-M3894)</f>
        <v/>
      </c>
      <c r="AJ3894">
        <f>IF($C3894="","",IF(COUNTIF($C$2:$C3894,$C3894)=1,1,0))</f>
        <v/>
      </c>
      <c r="AK3894">
        <f>IF($AJ3894=1,SUMPRODUCT(--($AN$2:$AN$4001&lt;$AN3894))+1,"")</f>
        <v/>
      </c>
      <c r="AL3894">
        <f>IF($C3894="","",IF(OR($Q3894=TRUE(),$Q3894="TRUE"),1,0))</f>
        <v/>
      </c>
      <c r="AM3894">
        <f>IF($C3894="","",IF($W3894="Yes",1,0))</f>
        <v/>
      </c>
      <c r="AN3894">
        <f>IF($AJ3894=1,IFERROR(IF(VALUE($C3894)&lt;100000000,VALUE($C3894),1000000000),IFERROR(IF(VALUE(MID($C3894,2,20))&lt;100000000,VALUE(MID($C3894,2,20)),1000000000),1000000000))+ROW()/100000,"")</f>
        <v/>
      </c>
    </row>
    <row r="3895">
      <c r="E3895" s="11" t="n"/>
      <c r="M3895" s="7">
        <f>IF($C3895="","",L3895*U3895/100)</f>
        <v/>
      </c>
      <c r="N3895" s="7" t="n"/>
      <c r="T3895" s="7" t="n"/>
      <c r="U3895" s="7">
        <f>IF($C3895="","",S3895*T3895)</f>
        <v/>
      </c>
      <c r="X3895">
        <f>IF($C3895="","",IF($AM3895=1,0,IF($AL3895=1,Settings!$C$6,Settings!$C$7))*100)</f>
        <v/>
      </c>
      <c r="AB3895" s="7" t="n"/>
      <c r="AE3895" s="11" t="n"/>
      <c r="AG3895" s="7">
        <f>IF($C3895="","",U3895*X3895/100)</f>
        <v/>
      </c>
      <c r="AH3895" s="7">
        <f>IF($C3895="","",U3895-AG3895)</f>
        <v/>
      </c>
      <c r="AI3895" s="7">
        <f>IF($C3895="","",AH3895-M3895)</f>
        <v/>
      </c>
      <c r="AJ3895">
        <f>IF($C3895="","",IF(COUNTIF($C$2:$C3895,$C3895)=1,1,0))</f>
        <v/>
      </c>
      <c r="AK3895">
        <f>IF($AJ3895=1,SUMPRODUCT(--($AN$2:$AN$4001&lt;$AN3895))+1,"")</f>
        <v/>
      </c>
      <c r="AL3895">
        <f>IF($C3895="","",IF(OR($Q3895=TRUE(),$Q3895="TRUE"),1,0))</f>
        <v/>
      </c>
      <c r="AM3895">
        <f>IF($C3895="","",IF($W3895="Yes",1,0))</f>
        <v/>
      </c>
      <c r="AN3895">
        <f>IF($AJ3895=1,IFERROR(IF(VALUE($C3895)&lt;100000000,VALUE($C3895),1000000000),IFERROR(IF(VALUE(MID($C3895,2,20))&lt;100000000,VALUE(MID($C3895,2,20)),1000000000),1000000000))+ROW()/100000,"")</f>
        <v/>
      </c>
    </row>
    <row r="3896">
      <c r="E3896" s="11" t="n"/>
      <c r="M3896" s="7">
        <f>IF($C3896="","",L3896*U3896/100)</f>
        <v/>
      </c>
      <c r="N3896" s="7" t="n"/>
      <c r="T3896" s="7" t="n"/>
      <c r="U3896" s="7">
        <f>IF($C3896="","",S3896*T3896)</f>
        <v/>
      </c>
      <c r="X3896">
        <f>IF($C3896="","",IF($AM3896=1,0,IF($AL3896=1,Settings!$C$6,Settings!$C$7))*100)</f>
        <v/>
      </c>
      <c r="AB3896" s="7" t="n"/>
      <c r="AE3896" s="11" t="n"/>
      <c r="AG3896" s="7">
        <f>IF($C3896="","",U3896*X3896/100)</f>
        <v/>
      </c>
      <c r="AH3896" s="7">
        <f>IF($C3896="","",U3896-AG3896)</f>
        <v/>
      </c>
      <c r="AI3896" s="7">
        <f>IF($C3896="","",AH3896-M3896)</f>
        <v/>
      </c>
      <c r="AJ3896">
        <f>IF($C3896="","",IF(COUNTIF($C$2:$C3896,$C3896)=1,1,0))</f>
        <v/>
      </c>
      <c r="AK3896">
        <f>IF($AJ3896=1,SUMPRODUCT(--($AN$2:$AN$4001&lt;$AN3896))+1,"")</f>
        <v/>
      </c>
      <c r="AL3896">
        <f>IF($C3896="","",IF(OR($Q3896=TRUE(),$Q3896="TRUE"),1,0))</f>
        <v/>
      </c>
      <c r="AM3896">
        <f>IF($C3896="","",IF($W3896="Yes",1,0))</f>
        <v/>
      </c>
      <c r="AN3896">
        <f>IF($AJ3896=1,IFERROR(IF(VALUE($C3896)&lt;100000000,VALUE($C3896),1000000000),IFERROR(IF(VALUE(MID($C3896,2,20))&lt;100000000,VALUE(MID($C3896,2,20)),1000000000),1000000000))+ROW()/100000,"")</f>
        <v/>
      </c>
    </row>
    <row r="3897">
      <c r="E3897" s="11" t="n"/>
      <c r="M3897" s="7">
        <f>IF($C3897="","",L3897*U3897/100)</f>
        <v/>
      </c>
      <c r="N3897" s="7" t="n"/>
      <c r="T3897" s="7" t="n"/>
      <c r="U3897" s="7">
        <f>IF($C3897="","",S3897*T3897)</f>
        <v/>
      </c>
      <c r="X3897">
        <f>IF($C3897="","",IF($AM3897=1,0,IF($AL3897=1,Settings!$C$6,Settings!$C$7))*100)</f>
        <v/>
      </c>
      <c r="AB3897" s="7" t="n"/>
      <c r="AE3897" s="11" t="n"/>
      <c r="AG3897" s="7">
        <f>IF($C3897="","",U3897*X3897/100)</f>
        <v/>
      </c>
      <c r="AH3897" s="7">
        <f>IF($C3897="","",U3897-AG3897)</f>
        <v/>
      </c>
      <c r="AI3897" s="7">
        <f>IF($C3897="","",AH3897-M3897)</f>
        <v/>
      </c>
      <c r="AJ3897">
        <f>IF($C3897="","",IF(COUNTIF($C$2:$C3897,$C3897)=1,1,0))</f>
        <v/>
      </c>
      <c r="AK3897">
        <f>IF($AJ3897=1,SUMPRODUCT(--($AN$2:$AN$4001&lt;$AN3897))+1,"")</f>
        <v/>
      </c>
      <c r="AL3897">
        <f>IF($C3897="","",IF(OR($Q3897=TRUE(),$Q3897="TRUE"),1,0))</f>
        <v/>
      </c>
      <c r="AM3897">
        <f>IF($C3897="","",IF($W3897="Yes",1,0))</f>
        <v/>
      </c>
      <c r="AN3897">
        <f>IF($AJ3897=1,IFERROR(IF(VALUE($C3897)&lt;100000000,VALUE($C3897),1000000000),IFERROR(IF(VALUE(MID($C3897,2,20))&lt;100000000,VALUE(MID($C3897,2,20)),1000000000),1000000000))+ROW()/100000,"")</f>
        <v/>
      </c>
    </row>
    <row r="3898">
      <c r="E3898" s="11" t="n"/>
      <c r="M3898" s="7">
        <f>IF($C3898="","",L3898*U3898/100)</f>
        <v/>
      </c>
      <c r="N3898" s="7" t="n"/>
      <c r="T3898" s="7" t="n"/>
      <c r="U3898" s="7">
        <f>IF($C3898="","",S3898*T3898)</f>
        <v/>
      </c>
      <c r="X3898">
        <f>IF($C3898="","",IF($AM3898=1,0,IF($AL3898=1,Settings!$C$6,Settings!$C$7))*100)</f>
        <v/>
      </c>
      <c r="AB3898" s="7" t="n"/>
      <c r="AE3898" s="11" t="n"/>
      <c r="AG3898" s="7">
        <f>IF($C3898="","",U3898*X3898/100)</f>
        <v/>
      </c>
      <c r="AH3898" s="7">
        <f>IF($C3898="","",U3898-AG3898)</f>
        <v/>
      </c>
      <c r="AI3898" s="7">
        <f>IF($C3898="","",AH3898-M3898)</f>
        <v/>
      </c>
      <c r="AJ3898">
        <f>IF($C3898="","",IF(COUNTIF($C$2:$C3898,$C3898)=1,1,0))</f>
        <v/>
      </c>
      <c r="AK3898">
        <f>IF($AJ3898=1,SUMPRODUCT(--($AN$2:$AN$4001&lt;$AN3898))+1,"")</f>
        <v/>
      </c>
      <c r="AL3898">
        <f>IF($C3898="","",IF(OR($Q3898=TRUE(),$Q3898="TRUE"),1,0))</f>
        <v/>
      </c>
      <c r="AM3898">
        <f>IF($C3898="","",IF($W3898="Yes",1,0))</f>
        <v/>
      </c>
      <c r="AN3898">
        <f>IF($AJ3898=1,IFERROR(IF(VALUE($C3898)&lt;100000000,VALUE($C3898),1000000000),IFERROR(IF(VALUE(MID($C3898,2,20))&lt;100000000,VALUE(MID($C3898,2,20)),1000000000),1000000000))+ROW()/100000,"")</f>
        <v/>
      </c>
    </row>
    <row r="3899">
      <c r="E3899" s="11" t="n"/>
      <c r="M3899" s="7">
        <f>IF($C3899="","",L3899*U3899/100)</f>
        <v/>
      </c>
      <c r="N3899" s="7" t="n"/>
      <c r="T3899" s="7" t="n"/>
      <c r="U3899" s="7">
        <f>IF($C3899="","",S3899*T3899)</f>
        <v/>
      </c>
      <c r="X3899">
        <f>IF($C3899="","",IF($AM3899=1,0,IF($AL3899=1,Settings!$C$6,Settings!$C$7))*100)</f>
        <v/>
      </c>
      <c r="AB3899" s="7" t="n"/>
      <c r="AE3899" s="11" t="n"/>
      <c r="AG3899" s="7">
        <f>IF($C3899="","",U3899*X3899/100)</f>
        <v/>
      </c>
      <c r="AH3899" s="7">
        <f>IF($C3899="","",U3899-AG3899)</f>
        <v/>
      </c>
      <c r="AI3899" s="7">
        <f>IF($C3899="","",AH3899-M3899)</f>
        <v/>
      </c>
      <c r="AJ3899">
        <f>IF($C3899="","",IF(COUNTIF($C$2:$C3899,$C3899)=1,1,0))</f>
        <v/>
      </c>
      <c r="AK3899">
        <f>IF($AJ3899=1,SUMPRODUCT(--($AN$2:$AN$4001&lt;$AN3899))+1,"")</f>
        <v/>
      </c>
      <c r="AL3899">
        <f>IF($C3899="","",IF(OR($Q3899=TRUE(),$Q3899="TRUE"),1,0))</f>
        <v/>
      </c>
      <c r="AM3899">
        <f>IF($C3899="","",IF($W3899="Yes",1,0))</f>
        <v/>
      </c>
      <c r="AN3899">
        <f>IF($AJ3899=1,IFERROR(IF(VALUE($C3899)&lt;100000000,VALUE($C3899),1000000000),IFERROR(IF(VALUE(MID($C3899,2,20))&lt;100000000,VALUE(MID($C3899,2,20)),1000000000),1000000000))+ROW()/100000,"")</f>
        <v/>
      </c>
    </row>
    <row r="3900">
      <c r="E3900" s="11" t="n"/>
      <c r="M3900" s="7">
        <f>IF($C3900="","",L3900*U3900/100)</f>
        <v/>
      </c>
      <c r="N3900" s="7" t="n"/>
      <c r="T3900" s="7" t="n"/>
      <c r="U3900" s="7">
        <f>IF($C3900="","",S3900*T3900)</f>
        <v/>
      </c>
      <c r="X3900">
        <f>IF($C3900="","",IF($AM3900=1,0,IF($AL3900=1,Settings!$C$6,Settings!$C$7))*100)</f>
        <v/>
      </c>
      <c r="AB3900" s="7" t="n"/>
      <c r="AE3900" s="11" t="n"/>
      <c r="AG3900" s="7">
        <f>IF($C3900="","",U3900*X3900/100)</f>
        <v/>
      </c>
      <c r="AH3900" s="7">
        <f>IF($C3900="","",U3900-AG3900)</f>
        <v/>
      </c>
      <c r="AI3900" s="7">
        <f>IF($C3900="","",AH3900-M3900)</f>
        <v/>
      </c>
      <c r="AJ3900">
        <f>IF($C3900="","",IF(COUNTIF($C$2:$C3900,$C3900)=1,1,0))</f>
        <v/>
      </c>
      <c r="AK3900">
        <f>IF($AJ3900=1,SUMPRODUCT(--($AN$2:$AN$4001&lt;$AN3900))+1,"")</f>
        <v/>
      </c>
      <c r="AL3900">
        <f>IF($C3900="","",IF(OR($Q3900=TRUE(),$Q3900="TRUE"),1,0))</f>
        <v/>
      </c>
      <c r="AM3900">
        <f>IF($C3900="","",IF($W3900="Yes",1,0))</f>
        <v/>
      </c>
      <c r="AN3900">
        <f>IF($AJ3900=1,IFERROR(IF(VALUE($C3900)&lt;100000000,VALUE($C3900),1000000000),IFERROR(IF(VALUE(MID($C3900,2,20))&lt;100000000,VALUE(MID($C3900,2,20)),1000000000),1000000000))+ROW()/100000,"")</f>
        <v/>
      </c>
    </row>
    <row r="3901">
      <c r="E3901" s="11" t="n"/>
      <c r="M3901" s="7">
        <f>IF($C3901="","",L3901*U3901/100)</f>
        <v/>
      </c>
      <c r="N3901" s="7" t="n"/>
      <c r="T3901" s="7" t="n"/>
      <c r="U3901" s="7">
        <f>IF($C3901="","",S3901*T3901)</f>
        <v/>
      </c>
      <c r="X3901">
        <f>IF($C3901="","",IF($AM3901=1,0,IF($AL3901=1,Settings!$C$6,Settings!$C$7))*100)</f>
        <v/>
      </c>
      <c r="AB3901" s="7" t="n"/>
      <c r="AE3901" s="11" t="n"/>
      <c r="AG3901" s="7">
        <f>IF($C3901="","",U3901*X3901/100)</f>
        <v/>
      </c>
      <c r="AH3901" s="7">
        <f>IF($C3901="","",U3901-AG3901)</f>
        <v/>
      </c>
      <c r="AI3901" s="7">
        <f>IF($C3901="","",AH3901-M3901)</f>
        <v/>
      </c>
      <c r="AJ3901">
        <f>IF($C3901="","",IF(COUNTIF($C$2:$C3901,$C3901)=1,1,0))</f>
        <v/>
      </c>
      <c r="AK3901">
        <f>IF($AJ3901=1,SUMPRODUCT(--($AN$2:$AN$4001&lt;$AN3901))+1,"")</f>
        <v/>
      </c>
      <c r="AL3901">
        <f>IF($C3901="","",IF(OR($Q3901=TRUE(),$Q3901="TRUE"),1,0))</f>
        <v/>
      </c>
      <c r="AM3901">
        <f>IF($C3901="","",IF($W3901="Yes",1,0))</f>
        <v/>
      </c>
      <c r="AN3901">
        <f>IF($AJ3901=1,IFERROR(IF(VALUE($C3901)&lt;100000000,VALUE($C3901),1000000000),IFERROR(IF(VALUE(MID($C3901,2,20))&lt;100000000,VALUE(MID($C3901,2,20)),1000000000),1000000000))+ROW()/100000,"")</f>
        <v/>
      </c>
    </row>
    <row r="3902">
      <c r="E3902" s="11" t="n"/>
      <c r="M3902" s="7">
        <f>IF($C3902="","",L3902*U3902/100)</f>
        <v/>
      </c>
      <c r="N3902" s="7" t="n"/>
      <c r="T3902" s="7" t="n"/>
      <c r="U3902" s="7">
        <f>IF($C3902="","",S3902*T3902)</f>
        <v/>
      </c>
      <c r="X3902">
        <f>IF($C3902="","",IF($AM3902=1,0,IF($AL3902=1,Settings!$C$6,Settings!$C$7))*100)</f>
        <v/>
      </c>
      <c r="AB3902" s="7" t="n"/>
      <c r="AE3902" s="11" t="n"/>
      <c r="AG3902" s="7">
        <f>IF($C3902="","",U3902*X3902/100)</f>
        <v/>
      </c>
      <c r="AH3902" s="7">
        <f>IF($C3902="","",U3902-AG3902)</f>
        <v/>
      </c>
      <c r="AI3902" s="7">
        <f>IF($C3902="","",AH3902-M3902)</f>
        <v/>
      </c>
      <c r="AJ3902">
        <f>IF($C3902="","",IF(COUNTIF($C$2:$C3902,$C3902)=1,1,0))</f>
        <v/>
      </c>
      <c r="AK3902">
        <f>IF($AJ3902=1,SUMPRODUCT(--($AN$2:$AN$4001&lt;$AN3902))+1,"")</f>
        <v/>
      </c>
      <c r="AL3902">
        <f>IF($C3902="","",IF(OR($Q3902=TRUE(),$Q3902="TRUE"),1,0))</f>
        <v/>
      </c>
      <c r="AM3902">
        <f>IF($C3902="","",IF($W3902="Yes",1,0))</f>
        <v/>
      </c>
      <c r="AN3902">
        <f>IF($AJ3902=1,IFERROR(IF(VALUE($C3902)&lt;100000000,VALUE($C3902),1000000000),IFERROR(IF(VALUE(MID($C3902,2,20))&lt;100000000,VALUE(MID($C3902,2,20)),1000000000),1000000000))+ROW()/100000,"")</f>
        <v/>
      </c>
    </row>
    <row r="3903">
      <c r="E3903" s="11" t="n"/>
      <c r="M3903" s="7">
        <f>IF($C3903="","",L3903*U3903/100)</f>
        <v/>
      </c>
      <c r="N3903" s="7" t="n"/>
      <c r="T3903" s="7" t="n"/>
      <c r="U3903" s="7">
        <f>IF($C3903="","",S3903*T3903)</f>
        <v/>
      </c>
      <c r="X3903">
        <f>IF($C3903="","",IF($AM3903=1,0,IF($AL3903=1,Settings!$C$6,Settings!$C$7))*100)</f>
        <v/>
      </c>
      <c r="AB3903" s="7" t="n"/>
      <c r="AE3903" s="11" t="n"/>
      <c r="AG3903" s="7">
        <f>IF($C3903="","",U3903*X3903/100)</f>
        <v/>
      </c>
      <c r="AH3903" s="7">
        <f>IF($C3903="","",U3903-AG3903)</f>
        <v/>
      </c>
      <c r="AI3903" s="7">
        <f>IF($C3903="","",AH3903-M3903)</f>
        <v/>
      </c>
      <c r="AJ3903">
        <f>IF($C3903="","",IF(COUNTIF($C$2:$C3903,$C3903)=1,1,0))</f>
        <v/>
      </c>
      <c r="AK3903">
        <f>IF($AJ3903=1,SUMPRODUCT(--($AN$2:$AN$4001&lt;$AN3903))+1,"")</f>
        <v/>
      </c>
      <c r="AL3903">
        <f>IF($C3903="","",IF(OR($Q3903=TRUE(),$Q3903="TRUE"),1,0))</f>
        <v/>
      </c>
      <c r="AM3903">
        <f>IF($C3903="","",IF($W3903="Yes",1,0))</f>
        <v/>
      </c>
      <c r="AN3903">
        <f>IF($AJ3903=1,IFERROR(IF(VALUE($C3903)&lt;100000000,VALUE($C3903),1000000000),IFERROR(IF(VALUE(MID($C3903,2,20))&lt;100000000,VALUE(MID($C3903,2,20)),1000000000),1000000000))+ROW()/100000,"")</f>
        <v/>
      </c>
    </row>
    <row r="3904">
      <c r="E3904" s="11" t="n"/>
      <c r="M3904" s="7">
        <f>IF($C3904="","",L3904*U3904/100)</f>
        <v/>
      </c>
      <c r="N3904" s="7" t="n"/>
      <c r="T3904" s="7" t="n"/>
      <c r="U3904" s="7">
        <f>IF($C3904="","",S3904*T3904)</f>
        <v/>
      </c>
      <c r="X3904">
        <f>IF($C3904="","",IF($AM3904=1,0,IF($AL3904=1,Settings!$C$6,Settings!$C$7))*100)</f>
        <v/>
      </c>
      <c r="AB3904" s="7" t="n"/>
      <c r="AE3904" s="11" t="n"/>
      <c r="AG3904" s="7">
        <f>IF($C3904="","",U3904*X3904/100)</f>
        <v/>
      </c>
      <c r="AH3904" s="7">
        <f>IF($C3904="","",U3904-AG3904)</f>
        <v/>
      </c>
      <c r="AI3904" s="7">
        <f>IF($C3904="","",AH3904-M3904)</f>
        <v/>
      </c>
      <c r="AJ3904">
        <f>IF($C3904="","",IF(COUNTIF($C$2:$C3904,$C3904)=1,1,0))</f>
        <v/>
      </c>
      <c r="AK3904">
        <f>IF($AJ3904=1,SUMPRODUCT(--($AN$2:$AN$4001&lt;$AN3904))+1,"")</f>
        <v/>
      </c>
      <c r="AL3904">
        <f>IF($C3904="","",IF(OR($Q3904=TRUE(),$Q3904="TRUE"),1,0))</f>
        <v/>
      </c>
      <c r="AM3904">
        <f>IF($C3904="","",IF($W3904="Yes",1,0))</f>
        <v/>
      </c>
      <c r="AN3904">
        <f>IF($AJ3904=1,IFERROR(IF(VALUE($C3904)&lt;100000000,VALUE($C3904),1000000000),IFERROR(IF(VALUE(MID($C3904,2,20))&lt;100000000,VALUE(MID($C3904,2,20)),1000000000),1000000000))+ROW()/100000,"")</f>
        <v/>
      </c>
    </row>
    <row r="3905">
      <c r="E3905" s="11" t="n"/>
      <c r="M3905" s="7">
        <f>IF($C3905="","",L3905*U3905/100)</f>
        <v/>
      </c>
      <c r="N3905" s="7" t="n"/>
      <c r="T3905" s="7" t="n"/>
      <c r="U3905" s="7">
        <f>IF($C3905="","",S3905*T3905)</f>
        <v/>
      </c>
      <c r="X3905">
        <f>IF($C3905="","",IF($AM3905=1,0,IF($AL3905=1,Settings!$C$6,Settings!$C$7))*100)</f>
        <v/>
      </c>
      <c r="AB3905" s="7" t="n"/>
      <c r="AE3905" s="11" t="n"/>
      <c r="AG3905" s="7">
        <f>IF($C3905="","",U3905*X3905/100)</f>
        <v/>
      </c>
      <c r="AH3905" s="7">
        <f>IF($C3905="","",U3905-AG3905)</f>
        <v/>
      </c>
      <c r="AI3905" s="7">
        <f>IF($C3905="","",AH3905-M3905)</f>
        <v/>
      </c>
      <c r="AJ3905">
        <f>IF($C3905="","",IF(COUNTIF($C$2:$C3905,$C3905)=1,1,0))</f>
        <v/>
      </c>
      <c r="AK3905">
        <f>IF($AJ3905=1,SUMPRODUCT(--($AN$2:$AN$4001&lt;$AN3905))+1,"")</f>
        <v/>
      </c>
      <c r="AL3905">
        <f>IF($C3905="","",IF(OR($Q3905=TRUE(),$Q3905="TRUE"),1,0))</f>
        <v/>
      </c>
      <c r="AM3905">
        <f>IF($C3905="","",IF($W3905="Yes",1,0))</f>
        <v/>
      </c>
      <c r="AN3905">
        <f>IF($AJ3905=1,IFERROR(IF(VALUE($C3905)&lt;100000000,VALUE($C3905),1000000000),IFERROR(IF(VALUE(MID($C3905,2,20))&lt;100000000,VALUE(MID($C3905,2,20)),1000000000),1000000000))+ROW()/100000,"")</f>
        <v/>
      </c>
    </row>
    <row r="3906">
      <c r="E3906" s="11" t="n"/>
      <c r="M3906" s="7">
        <f>IF($C3906="","",L3906*U3906/100)</f>
        <v/>
      </c>
      <c r="N3906" s="7" t="n"/>
      <c r="T3906" s="7" t="n"/>
      <c r="U3906" s="7">
        <f>IF($C3906="","",S3906*T3906)</f>
        <v/>
      </c>
      <c r="X3906">
        <f>IF($C3906="","",IF($AM3906=1,0,IF($AL3906=1,Settings!$C$6,Settings!$C$7))*100)</f>
        <v/>
      </c>
      <c r="AB3906" s="7" t="n"/>
      <c r="AE3906" s="11" t="n"/>
      <c r="AG3906" s="7">
        <f>IF($C3906="","",U3906*X3906/100)</f>
        <v/>
      </c>
      <c r="AH3906" s="7">
        <f>IF($C3906="","",U3906-AG3906)</f>
        <v/>
      </c>
      <c r="AI3906" s="7">
        <f>IF($C3906="","",AH3906-M3906)</f>
        <v/>
      </c>
      <c r="AJ3906">
        <f>IF($C3906="","",IF(COUNTIF($C$2:$C3906,$C3906)=1,1,0))</f>
        <v/>
      </c>
      <c r="AK3906">
        <f>IF($AJ3906=1,SUMPRODUCT(--($AN$2:$AN$4001&lt;$AN3906))+1,"")</f>
        <v/>
      </c>
      <c r="AL3906">
        <f>IF($C3906="","",IF(OR($Q3906=TRUE(),$Q3906="TRUE"),1,0))</f>
        <v/>
      </c>
      <c r="AM3906">
        <f>IF($C3906="","",IF($W3906="Yes",1,0))</f>
        <v/>
      </c>
      <c r="AN3906">
        <f>IF($AJ3906=1,IFERROR(IF(VALUE($C3906)&lt;100000000,VALUE($C3906),1000000000),IFERROR(IF(VALUE(MID($C3906,2,20))&lt;100000000,VALUE(MID($C3906,2,20)),1000000000),1000000000))+ROW()/100000,"")</f>
        <v/>
      </c>
    </row>
    <row r="3907">
      <c r="E3907" s="11" t="n"/>
      <c r="M3907" s="7">
        <f>IF($C3907="","",L3907*U3907/100)</f>
        <v/>
      </c>
      <c r="N3907" s="7" t="n"/>
      <c r="T3907" s="7" t="n"/>
      <c r="U3907" s="7">
        <f>IF($C3907="","",S3907*T3907)</f>
        <v/>
      </c>
      <c r="X3907">
        <f>IF($C3907="","",IF($AM3907=1,0,IF($AL3907=1,Settings!$C$6,Settings!$C$7))*100)</f>
        <v/>
      </c>
      <c r="AB3907" s="7" t="n"/>
      <c r="AE3907" s="11" t="n"/>
      <c r="AG3907" s="7">
        <f>IF($C3907="","",U3907*X3907/100)</f>
        <v/>
      </c>
      <c r="AH3907" s="7">
        <f>IF($C3907="","",U3907-AG3907)</f>
        <v/>
      </c>
      <c r="AI3907" s="7">
        <f>IF($C3907="","",AH3907-M3907)</f>
        <v/>
      </c>
      <c r="AJ3907">
        <f>IF($C3907="","",IF(COUNTIF($C$2:$C3907,$C3907)=1,1,0))</f>
        <v/>
      </c>
      <c r="AK3907">
        <f>IF($AJ3907=1,SUMPRODUCT(--($AN$2:$AN$4001&lt;$AN3907))+1,"")</f>
        <v/>
      </c>
      <c r="AL3907">
        <f>IF($C3907="","",IF(OR($Q3907=TRUE(),$Q3907="TRUE"),1,0))</f>
        <v/>
      </c>
      <c r="AM3907">
        <f>IF($C3907="","",IF($W3907="Yes",1,0))</f>
        <v/>
      </c>
      <c r="AN3907">
        <f>IF($AJ3907=1,IFERROR(IF(VALUE($C3907)&lt;100000000,VALUE($C3907),1000000000),IFERROR(IF(VALUE(MID($C3907,2,20))&lt;100000000,VALUE(MID($C3907,2,20)),1000000000),1000000000))+ROW()/100000,"")</f>
        <v/>
      </c>
    </row>
    <row r="3908">
      <c r="E3908" s="11" t="n"/>
      <c r="M3908" s="7">
        <f>IF($C3908="","",L3908*U3908/100)</f>
        <v/>
      </c>
      <c r="N3908" s="7" t="n"/>
      <c r="T3908" s="7" t="n"/>
      <c r="U3908" s="7">
        <f>IF($C3908="","",S3908*T3908)</f>
        <v/>
      </c>
      <c r="X3908">
        <f>IF($C3908="","",IF($AM3908=1,0,IF($AL3908=1,Settings!$C$6,Settings!$C$7))*100)</f>
        <v/>
      </c>
      <c r="AB3908" s="7" t="n"/>
      <c r="AE3908" s="11" t="n"/>
      <c r="AG3908" s="7">
        <f>IF($C3908="","",U3908*X3908/100)</f>
        <v/>
      </c>
      <c r="AH3908" s="7">
        <f>IF($C3908="","",U3908-AG3908)</f>
        <v/>
      </c>
      <c r="AI3908" s="7">
        <f>IF($C3908="","",AH3908-M3908)</f>
        <v/>
      </c>
      <c r="AJ3908">
        <f>IF($C3908="","",IF(COUNTIF($C$2:$C3908,$C3908)=1,1,0))</f>
        <v/>
      </c>
      <c r="AK3908">
        <f>IF($AJ3908=1,SUMPRODUCT(--($AN$2:$AN$4001&lt;$AN3908))+1,"")</f>
        <v/>
      </c>
      <c r="AL3908">
        <f>IF($C3908="","",IF(OR($Q3908=TRUE(),$Q3908="TRUE"),1,0))</f>
        <v/>
      </c>
      <c r="AM3908">
        <f>IF($C3908="","",IF($W3908="Yes",1,0))</f>
        <v/>
      </c>
      <c r="AN3908">
        <f>IF($AJ3908=1,IFERROR(IF(VALUE($C3908)&lt;100000000,VALUE($C3908),1000000000),IFERROR(IF(VALUE(MID($C3908,2,20))&lt;100000000,VALUE(MID($C3908,2,20)),1000000000),1000000000))+ROW()/100000,"")</f>
        <v/>
      </c>
    </row>
    <row r="3909">
      <c r="E3909" s="11" t="n"/>
      <c r="M3909" s="7">
        <f>IF($C3909="","",L3909*U3909/100)</f>
        <v/>
      </c>
      <c r="N3909" s="7" t="n"/>
      <c r="T3909" s="7" t="n"/>
      <c r="U3909" s="7">
        <f>IF($C3909="","",S3909*T3909)</f>
        <v/>
      </c>
      <c r="X3909">
        <f>IF($C3909="","",IF($AM3909=1,0,IF($AL3909=1,Settings!$C$6,Settings!$C$7))*100)</f>
        <v/>
      </c>
      <c r="AB3909" s="7" t="n"/>
      <c r="AE3909" s="11" t="n"/>
      <c r="AG3909" s="7">
        <f>IF($C3909="","",U3909*X3909/100)</f>
        <v/>
      </c>
      <c r="AH3909" s="7">
        <f>IF($C3909="","",U3909-AG3909)</f>
        <v/>
      </c>
      <c r="AI3909" s="7">
        <f>IF($C3909="","",AH3909-M3909)</f>
        <v/>
      </c>
      <c r="AJ3909">
        <f>IF($C3909="","",IF(COUNTIF($C$2:$C3909,$C3909)=1,1,0))</f>
        <v/>
      </c>
      <c r="AK3909">
        <f>IF($AJ3909=1,SUMPRODUCT(--($AN$2:$AN$4001&lt;$AN3909))+1,"")</f>
        <v/>
      </c>
      <c r="AL3909">
        <f>IF($C3909="","",IF(OR($Q3909=TRUE(),$Q3909="TRUE"),1,0))</f>
        <v/>
      </c>
      <c r="AM3909">
        <f>IF($C3909="","",IF($W3909="Yes",1,0))</f>
        <v/>
      </c>
      <c r="AN3909">
        <f>IF($AJ3909=1,IFERROR(IF(VALUE($C3909)&lt;100000000,VALUE($C3909),1000000000),IFERROR(IF(VALUE(MID($C3909,2,20))&lt;100000000,VALUE(MID($C3909,2,20)),1000000000),1000000000))+ROW()/100000,"")</f>
        <v/>
      </c>
    </row>
    <row r="3910">
      <c r="E3910" s="11" t="n"/>
      <c r="M3910" s="7">
        <f>IF($C3910="","",L3910*U3910/100)</f>
        <v/>
      </c>
      <c r="N3910" s="7" t="n"/>
      <c r="T3910" s="7" t="n"/>
      <c r="U3910" s="7">
        <f>IF($C3910="","",S3910*T3910)</f>
        <v/>
      </c>
      <c r="X3910">
        <f>IF($C3910="","",IF($AM3910=1,0,IF($AL3910=1,Settings!$C$6,Settings!$C$7))*100)</f>
        <v/>
      </c>
      <c r="AB3910" s="7" t="n"/>
      <c r="AE3910" s="11" t="n"/>
      <c r="AG3910" s="7">
        <f>IF($C3910="","",U3910*X3910/100)</f>
        <v/>
      </c>
      <c r="AH3910" s="7">
        <f>IF($C3910="","",U3910-AG3910)</f>
        <v/>
      </c>
      <c r="AI3910" s="7">
        <f>IF($C3910="","",AH3910-M3910)</f>
        <v/>
      </c>
      <c r="AJ3910">
        <f>IF($C3910="","",IF(COUNTIF($C$2:$C3910,$C3910)=1,1,0))</f>
        <v/>
      </c>
      <c r="AK3910">
        <f>IF($AJ3910=1,SUMPRODUCT(--($AN$2:$AN$4001&lt;$AN3910))+1,"")</f>
        <v/>
      </c>
      <c r="AL3910">
        <f>IF($C3910="","",IF(OR($Q3910=TRUE(),$Q3910="TRUE"),1,0))</f>
        <v/>
      </c>
      <c r="AM3910">
        <f>IF($C3910="","",IF($W3910="Yes",1,0))</f>
        <v/>
      </c>
      <c r="AN3910">
        <f>IF($AJ3910=1,IFERROR(IF(VALUE($C3910)&lt;100000000,VALUE($C3910),1000000000),IFERROR(IF(VALUE(MID($C3910,2,20))&lt;100000000,VALUE(MID($C3910,2,20)),1000000000),1000000000))+ROW()/100000,"")</f>
        <v/>
      </c>
    </row>
    <row r="3911">
      <c r="E3911" s="11" t="n"/>
      <c r="M3911" s="7">
        <f>IF($C3911="","",L3911*U3911/100)</f>
        <v/>
      </c>
      <c r="N3911" s="7" t="n"/>
      <c r="T3911" s="7" t="n"/>
      <c r="U3911" s="7">
        <f>IF($C3911="","",S3911*T3911)</f>
        <v/>
      </c>
      <c r="X3911">
        <f>IF($C3911="","",IF($AM3911=1,0,IF($AL3911=1,Settings!$C$6,Settings!$C$7))*100)</f>
        <v/>
      </c>
      <c r="AB3911" s="7" t="n"/>
      <c r="AE3911" s="11" t="n"/>
      <c r="AG3911" s="7">
        <f>IF($C3911="","",U3911*X3911/100)</f>
        <v/>
      </c>
      <c r="AH3911" s="7">
        <f>IF($C3911="","",U3911-AG3911)</f>
        <v/>
      </c>
      <c r="AI3911" s="7">
        <f>IF($C3911="","",AH3911-M3911)</f>
        <v/>
      </c>
      <c r="AJ3911">
        <f>IF($C3911="","",IF(COUNTIF($C$2:$C3911,$C3911)=1,1,0))</f>
        <v/>
      </c>
      <c r="AK3911">
        <f>IF($AJ3911=1,SUMPRODUCT(--($AN$2:$AN$4001&lt;$AN3911))+1,"")</f>
        <v/>
      </c>
      <c r="AL3911">
        <f>IF($C3911="","",IF(OR($Q3911=TRUE(),$Q3911="TRUE"),1,0))</f>
        <v/>
      </c>
      <c r="AM3911">
        <f>IF($C3911="","",IF($W3911="Yes",1,0))</f>
        <v/>
      </c>
      <c r="AN3911">
        <f>IF($AJ3911=1,IFERROR(IF(VALUE($C3911)&lt;100000000,VALUE($C3911),1000000000),IFERROR(IF(VALUE(MID($C3911,2,20))&lt;100000000,VALUE(MID($C3911,2,20)),1000000000),1000000000))+ROW()/100000,"")</f>
        <v/>
      </c>
    </row>
    <row r="3912">
      <c r="E3912" s="11" t="n"/>
      <c r="M3912" s="7">
        <f>IF($C3912="","",L3912*U3912/100)</f>
        <v/>
      </c>
      <c r="N3912" s="7" t="n"/>
      <c r="T3912" s="7" t="n"/>
      <c r="U3912" s="7">
        <f>IF($C3912="","",S3912*T3912)</f>
        <v/>
      </c>
      <c r="X3912">
        <f>IF($C3912="","",IF($AM3912=1,0,IF($AL3912=1,Settings!$C$6,Settings!$C$7))*100)</f>
        <v/>
      </c>
      <c r="AB3912" s="7" t="n"/>
      <c r="AE3912" s="11" t="n"/>
      <c r="AG3912" s="7">
        <f>IF($C3912="","",U3912*X3912/100)</f>
        <v/>
      </c>
      <c r="AH3912" s="7">
        <f>IF($C3912="","",U3912-AG3912)</f>
        <v/>
      </c>
      <c r="AI3912" s="7">
        <f>IF($C3912="","",AH3912-M3912)</f>
        <v/>
      </c>
      <c r="AJ3912">
        <f>IF($C3912="","",IF(COUNTIF($C$2:$C3912,$C3912)=1,1,0))</f>
        <v/>
      </c>
      <c r="AK3912">
        <f>IF($AJ3912=1,SUMPRODUCT(--($AN$2:$AN$4001&lt;$AN3912))+1,"")</f>
        <v/>
      </c>
      <c r="AL3912">
        <f>IF($C3912="","",IF(OR($Q3912=TRUE(),$Q3912="TRUE"),1,0))</f>
        <v/>
      </c>
      <c r="AM3912">
        <f>IF($C3912="","",IF($W3912="Yes",1,0))</f>
        <v/>
      </c>
      <c r="AN3912">
        <f>IF($AJ3912=1,IFERROR(IF(VALUE($C3912)&lt;100000000,VALUE($C3912),1000000000),IFERROR(IF(VALUE(MID($C3912,2,20))&lt;100000000,VALUE(MID($C3912,2,20)),1000000000),1000000000))+ROW()/100000,"")</f>
        <v/>
      </c>
    </row>
    <row r="3913">
      <c r="E3913" s="11" t="n"/>
      <c r="M3913" s="7">
        <f>IF($C3913="","",L3913*U3913/100)</f>
        <v/>
      </c>
      <c r="N3913" s="7" t="n"/>
      <c r="T3913" s="7" t="n"/>
      <c r="U3913" s="7">
        <f>IF($C3913="","",S3913*T3913)</f>
        <v/>
      </c>
      <c r="X3913">
        <f>IF($C3913="","",IF($AM3913=1,0,IF($AL3913=1,Settings!$C$6,Settings!$C$7))*100)</f>
        <v/>
      </c>
      <c r="AB3913" s="7" t="n"/>
      <c r="AE3913" s="11" t="n"/>
      <c r="AG3913" s="7">
        <f>IF($C3913="","",U3913*X3913/100)</f>
        <v/>
      </c>
      <c r="AH3913" s="7">
        <f>IF($C3913="","",U3913-AG3913)</f>
        <v/>
      </c>
      <c r="AI3913" s="7">
        <f>IF($C3913="","",AH3913-M3913)</f>
        <v/>
      </c>
      <c r="AJ3913">
        <f>IF($C3913="","",IF(COUNTIF($C$2:$C3913,$C3913)=1,1,0))</f>
        <v/>
      </c>
      <c r="AK3913">
        <f>IF($AJ3913=1,SUMPRODUCT(--($AN$2:$AN$4001&lt;$AN3913))+1,"")</f>
        <v/>
      </c>
      <c r="AL3913">
        <f>IF($C3913="","",IF(OR($Q3913=TRUE(),$Q3913="TRUE"),1,0))</f>
        <v/>
      </c>
      <c r="AM3913">
        <f>IF($C3913="","",IF($W3913="Yes",1,0))</f>
        <v/>
      </c>
      <c r="AN3913">
        <f>IF($AJ3913=1,IFERROR(IF(VALUE($C3913)&lt;100000000,VALUE($C3913),1000000000),IFERROR(IF(VALUE(MID($C3913,2,20))&lt;100000000,VALUE(MID($C3913,2,20)),1000000000),1000000000))+ROW()/100000,"")</f>
        <v/>
      </c>
    </row>
    <row r="3914">
      <c r="E3914" s="11" t="n"/>
      <c r="M3914" s="7">
        <f>IF($C3914="","",L3914*U3914/100)</f>
        <v/>
      </c>
      <c r="N3914" s="7" t="n"/>
      <c r="T3914" s="7" t="n"/>
      <c r="U3914" s="7">
        <f>IF($C3914="","",S3914*T3914)</f>
        <v/>
      </c>
      <c r="X3914">
        <f>IF($C3914="","",IF($AM3914=1,0,IF($AL3914=1,Settings!$C$6,Settings!$C$7))*100)</f>
        <v/>
      </c>
      <c r="AB3914" s="7" t="n"/>
      <c r="AE3914" s="11" t="n"/>
      <c r="AG3914" s="7">
        <f>IF($C3914="","",U3914*X3914/100)</f>
        <v/>
      </c>
      <c r="AH3914" s="7">
        <f>IF($C3914="","",U3914-AG3914)</f>
        <v/>
      </c>
      <c r="AI3914" s="7">
        <f>IF($C3914="","",AH3914-M3914)</f>
        <v/>
      </c>
      <c r="AJ3914">
        <f>IF($C3914="","",IF(COUNTIF($C$2:$C3914,$C3914)=1,1,0))</f>
        <v/>
      </c>
      <c r="AK3914">
        <f>IF($AJ3914=1,SUMPRODUCT(--($AN$2:$AN$4001&lt;$AN3914))+1,"")</f>
        <v/>
      </c>
      <c r="AL3914">
        <f>IF($C3914="","",IF(OR($Q3914=TRUE(),$Q3914="TRUE"),1,0))</f>
        <v/>
      </c>
      <c r="AM3914">
        <f>IF($C3914="","",IF($W3914="Yes",1,0))</f>
        <v/>
      </c>
      <c r="AN3914">
        <f>IF($AJ3914=1,IFERROR(IF(VALUE($C3914)&lt;100000000,VALUE($C3914),1000000000),IFERROR(IF(VALUE(MID($C3914,2,20))&lt;100000000,VALUE(MID($C3914,2,20)),1000000000),1000000000))+ROW()/100000,"")</f>
        <v/>
      </c>
    </row>
    <row r="3915">
      <c r="E3915" s="11" t="n"/>
      <c r="M3915" s="7">
        <f>IF($C3915="","",L3915*U3915/100)</f>
        <v/>
      </c>
      <c r="N3915" s="7" t="n"/>
      <c r="T3915" s="7" t="n"/>
      <c r="U3915" s="7">
        <f>IF($C3915="","",S3915*T3915)</f>
        <v/>
      </c>
      <c r="X3915">
        <f>IF($C3915="","",IF($AM3915=1,0,IF($AL3915=1,Settings!$C$6,Settings!$C$7))*100)</f>
        <v/>
      </c>
      <c r="AB3915" s="7" t="n"/>
      <c r="AE3915" s="11" t="n"/>
      <c r="AG3915" s="7">
        <f>IF($C3915="","",U3915*X3915/100)</f>
        <v/>
      </c>
      <c r="AH3915" s="7">
        <f>IF($C3915="","",U3915-AG3915)</f>
        <v/>
      </c>
      <c r="AI3915" s="7">
        <f>IF($C3915="","",AH3915-M3915)</f>
        <v/>
      </c>
      <c r="AJ3915">
        <f>IF($C3915="","",IF(COUNTIF($C$2:$C3915,$C3915)=1,1,0))</f>
        <v/>
      </c>
      <c r="AK3915">
        <f>IF($AJ3915=1,SUMPRODUCT(--($AN$2:$AN$4001&lt;$AN3915))+1,"")</f>
        <v/>
      </c>
      <c r="AL3915">
        <f>IF($C3915="","",IF(OR($Q3915=TRUE(),$Q3915="TRUE"),1,0))</f>
        <v/>
      </c>
      <c r="AM3915">
        <f>IF($C3915="","",IF($W3915="Yes",1,0))</f>
        <v/>
      </c>
      <c r="AN3915">
        <f>IF($AJ3915=1,IFERROR(IF(VALUE($C3915)&lt;100000000,VALUE($C3915),1000000000),IFERROR(IF(VALUE(MID($C3915,2,20))&lt;100000000,VALUE(MID($C3915,2,20)),1000000000),1000000000))+ROW()/100000,"")</f>
        <v/>
      </c>
    </row>
    <row r="3916">
      <c r="E3916" s="11" t="n"/>
      <c r="M3916" s="7">
        <f>IF($C3916="","",L3916*U3916/100)</f>
        <v/>
      </c>
      <c r="N3916" s="7" t="n"/>
      <c r="T3916" s="7" t="n"/>
      <c r="U3916" s="7">
        <f>IF($C3916="","",S3916*T3916)</f>
        <v/>
      </c>
      <c r="X3916">
        <f>IF($C3916="","",IF($AM3916=1,0,IF($AL3916=1,Settings!$C$6,Settings!$C$7))*100)</f>
        <v/>
      </c>
      <c r="AB3916" s="7" t="n"/>
      <c r="AE3916" s="11" t="n"/>
      <c r="AG3916" s="7">
        <f>IF($C3916="","",U3916*X3916/100)</f>
        <v/>
      </c>
      <c r="AH3916" s="7">
        <f>IF($C3916="","",U3916-AG3916)</f>
        <v/>
      </c>
      <c r="AI3916" s="7">
        <f>IF($C3916="","",AH3916-M3916)</f>
        <v/>
      </c>
      <c r="AJ3916">
        <f>IF($C3916="","",IF(COUNTIF($C$2:$C3916,$C3916)=1,1,0))</f>
        <v/>
      </c>
      <c r="AK3916">
        <f>IF($AJ3916=1,SUMPRODUCT(--($AN$2:$AN$4001&lt;$AN3916))+1,"")</f>
        <v/>
      </c>
      <c r="AL3916">
        <f>IF($C3916="","",IF(OR($Q3916=TRUE(),$Q3916="TRUE"),1,0))</f>
        <v/>
      </c>
      <c r="AM3916">
        <f>IF($C3916="","",IF($W3916="Yes",1,0))</f>
        <v/>
      </c>
      <c r="AN3916">
        <f>IF($AJ3916=1,IFERROR(IF(VALUE($C3916)&lt;100000000,VALUE($C3916),1000000000),IFERROR(IF(VALUE(MID($C3916,2,20))&lt;100000000,VALUE(MID($C3916,2,20)),1000000000),1000000000))+ROW()/100000,"")</f>
        <v/>
      </c>
    </row>
    <row r="3917">
      <c r="E3917" s="11" t="n"/>
      <c r="M3917" s="7">
        <f>IF($C3917="","",L3917*U3917/100)</f>
        <v/>
      </c>
      <c r="N3917" s="7" t="n"/>
      <c r="T3917" s="7" t="n"/>
      <c r="U3917" s="7">
        <f>IF($C3917="","",S3917*T3917)</f>
        <v/>
      </c>
      <c r="X3917">
        <f>IF($C3917="","",IF($AM3917=1,0,IF($AL3917=1,Settings!$C$6,Settings!$C$7))*100)</f>
        <v/>
      </c>
      <c r="AB3917" s="7" t="n"/>
      <c r="AE3917" s="11" t="n"/>
      <c r="AG3917" s="7">
        <f>IF($C3917="","",U3917*X3917/100)</f>
        <v/>
      </c>
      <c r="AH3917" s="7">
        <f>IF($C3917="","",U3917-AG3917)</f>
        <v/>
      </c>
      <c r="AI3917" s="7">
        <f>IF($C3917="","",AH3917-M3917)</f>
        <v/>
      </c>
      <c r="AJ3917">
        <f>IF($C3917="","",IF(COUNTIF($C$2:$C3917,$C3917)=1,1,0))</f>
        <v/>
      </c>
      <c r="AK3917">
        <f>IF($AJ3917=1,SUMPRODUCT(--($AN$2:$AN$4001&lt;$AN3917))+1,"")</f>
        <v/>
      </c>
      <c r="AL3917">
        <f>IF($C3917="","",IF(OR($Q3917=TRUE(),$Q3917="TRUE"),1,0))</f>
        <v/>
      </c>
      <c r="AM3917">
        <f>IF($C3917="","",IF($W3917="Yes",1,0))</f>
        <v/>
      </c>
      <c r="AN3917">
        <f>IF($AJ3917=1,IFERROR(IF(VALUE($C3917)&lt;100000000,VALUE($C3917),1000000000),IFERROR(IF(VALUE(MID($C3917,2,20))&lt;100000000,VALUE(MID($C3917,2,20)),1000000000),1000000000))+ROW()/100000,"")</f>
        <v/>
      </c>
    </row>
    <row r="3918">
      <c r="E3918" s="11" t="n"/>
      <c r="M3918" s="7">
        <f>IF($C3918="","",L3918*U3918/100)</f>
        <v/>
      </c>
      <c r="N3918" s="7" t="n"/>
      <c r="T3918" s="7" t="n"/>
      <c r="U3918" s="7">
        <f>IF($C3918="","",S3918*T3918)</f>
        <v/>
      </c>
      <c r="X3918">
        <f>IF($C3918="","",IF($AM3918=1,0,IF($AL3918=1,Settings!$C$6,Settings!$C$7))*100)</f>
        <v/>
      </c>
      <c r="AB3918" s="7" t="n"/>
      <c r="AE3918" s="11" t="n"/>
      <c r="AG3918" s="7">
        <f>IF($C3918="","",U3918*X3918/100)</f>
        <v/>
      </c>
      <c r="AH3918" s="7">
        <f>IF($C3918="","",U3918-AG3918)</f>
        <v/>
      </c>
      <c r="AI3918" s="7">
        <f>IF($C3918="","",AH3918-M3918)</f>
        <v/>
      </c>
      <c r="AJ3918">
        <f>IF($C3918="","",IF(COUNTIF($C$2:$C3918,$C3918)=1,1,0))</f>
        <v/>
      </c>
      <c r="AK3918">
        <f>IF($AJ3918=1,SUMPRODUCT(--($AN$2:$AN$4001&lt;$AN3918))+1,"")</f>
        <v/>
      </c>
      <c r="AL3918">
        <f>IF($C3918="","",IF(OR($Q3918=TRUE(),$Q3918="TRUE"),1,0))</f>
        <v/>
      </c>
      <c r="AM3918">
        <f>IF($C3918="","",IF($W3918="Yes",1,0))</f>
        <v/>
      </c>
      <c r="AN3918">
        <f>IF($AJ3918=1,IFERROR(IF(VALUE($C3918)&lt;100000000,VALUE($C3918),1000000000),IFERROR(IF(VALUE(MID($C3918,2,20))&lt;100000000,VALUE(MID($C3918,2,20)),1000000000),1000000000))+ROW()/100000,"")</f>
        <v/>
      </c>
    </row>
    <row r="3919">
      <c r="E3919" s="11" t="n"/>
      <c r="M3919" s="7">
        <f>IF($C3919="","",L3919*U3919/100)</f>
        <v/>
      </c>
      <c r="N3919" s="7" t="n"/>
      <c r="T3919" s="7" t="n"/>
      <c r="U3919" s="7">
        <f>IF($C3919="","",S3919*T3919)</f>
        <v/>
      </c>
      <c r="X3919">
        <f>IF($C3919="","",IF($AM3919=1,0,IF($AL3919=1,Settings!$C$6,Settings!$C$7))*100)</f>
        <v/>
      </c>
      <c r="AB3919" s="7" t="n"/>
      <c r="AE3919" s="11" t="n"/>
      <c r="AG3919" s="7">
        <f>IF($C3919="","",U3919*X3919/100)</f>
        <v/>
      </c>
      <c r="AH3919" s="7">
        <f>IF($C3919="","",U3919-AG3919)</f>
        <v/>
      </c>
      <c r="AI3919" s="7">
        <f>IF($C3919="","",AH3919-M3919)</f>
        <v/>
      </c>
      <c r="AJ3919">
        <f>IF($C3919="","",IF(COUNTIF($C$2:$C3919,$C3919)=1,1,0))</f>
        <v/>
      </c>
      <c r="AK3919">
        <f>IF($AJ3919=1,SUMPRODUCT(--($AN$2:$AN$4001&lt;$AN3919))+1,"")</f>
        <v/>
      </c>
      <c r="AL3919">
        <f>IF($C3919="","",IF(OR($Q3919=TRUE(),$Q3919="TRUE"),1,0))</f>
        <v/>
      </c>
      <c r="AM3919">
        <f>IF($C3919="","",IF($W3919="Yes",1,0))</f>
        <v/>
      </c>
      <c r="AN3919">
        <f>IF($AJ3919=1,IFERROR(IF(VALUE($C3919)&lt;100000000,VALUE($C3919),1000000000),IFERROR(IF(VALUE(MID($C3919,2,20))&lt;100000000,VALUE(MID($C3919,2,20)),1000000000),1000000000))+ROW()/100000,"")</f>
        <v/>
      </c>
    </row>
    <row r="3920">
      <c r="E3920" s="11" t="n"/>
      <c r="M3920" s="7">
        <f>IF($C3920="","",L3920*U3920/100)</f>
        <v/>
      </c>
      <c r="N3920" s="7" t="n"/>
      <c r="T3920" s="7" t="n"/>
      <c r="U3920" s="7">
        <f>IF($C3920="","",S3920*T3920)</f>
        <v/>
      </c>
      <c r="X3920">
        <f>IF($C3920="","",IF($AM3920=1,0,IF($AL3920=1,Settings!$C$6,Settings!$C$7))*100)</f>
        <v/>
      </c>
      <c r="AB3920" s="7" t="n"/>
      <c r="AE3920" s="11" t="n"/>
      <c r="AG3920" s="7">
        <f>IF($C3920="","",U3920*X3920/100)</f>
        <v/>
      </c>
      <c r="AH3920" s="7">
        <f>IF($C3920="","",U3920-AG3920)</f>
        <v/>
      </c>
      <c r="AI3920" s="7">
        <f>IF($C3920="","",AH3920-M3920)</f>
        <v/>
      </c>
      <c r="AJ3920">
        <f>IF($C3920="","",IF(COUNTIF($C$2:$C3920,$C3920)=1,1,0))</f>
        <v/>
      </c>
      <c r="AK3920">
        <f>IF($AJ3920=1,SUMPRODUCT(--($AN$2:$AN$4001&lt;$AN3920))+1,"")</f>
        <v/>
      </c>
      <c r="AL3920">
        <f>IF($C3920="","",IF(OR($Q3920=TRUE(),$Q3920="TRUE"),1,0))</f>
        <v/>
      </c>
      <c r="AM3920">
        <f>IF($C3920="","",IF($W3920="Yes",1,0))</f>
        <v/>
      </c>
      <c r="AN3920">
        <f>IF($AJ3920=1,IFERROR(IF(VALUE($C3920)&lt;100000000,VALUE($C3920),1000000000),IFERROR(IF(VALUE(MID($C3920,2,20))&lt;100000000,VALUE(MID($C3920,2,20)),1000000000),1000000000))+ROW()/100000,"")</f>
        <v/>
      </c>
    </row>
    <row r="3921">
      <c r="E3921" s="11" t="n"/>
      <c r="M3921" s="7">
        <f>IF($C3921="","",L3921*U3921/100)</f>
        <v/>
      </c>
      <c r="N3921" s="7" t="n"/>
      <c r="T3921" s="7" t="n"/>
      <c r="U3921" s="7">
        <f>IF($C3921="","",S3921*T3921)</f>
        <v/>
      </c>
      <c r="X3921">
        <f>IF($C3921="","",IF($AM3921=1,0,IF($AL3921=1,Settings!$C$6,Settings!$C$7))*100)</f>
        <v/>
      </c>
      <c r="AB3921" s="7" t="n"/>
      <c r="AE3921" s="11" t="n"/>
      <c r="AG3921" s="7">
        <f>IF($C3921="","",U3921*X3921/100)</f>
        <v/>
      </c>
      <c r="AH3921" s="7">
        <f>IF($C3921="","",U3921-AG3921)</f>
        <v/>
      </c>
      <c r="AI3921" s="7">
        <f>IF($C3921="","",AH3921-M3921)</f>
        <v/>
      </c>
      <c r="AJ3921">
        <f>IF($C3921="","",IF(COUNTIF($C$2:$C3921,$C3921)=1,1,0))</f>
        <v/>
      </c>
      <c r="AK3921">
        <f>IF($AJ3921=1,SUMPRODUCT(--($AN$2:$AN$4001&lt;$AN3921))+1,"")</f>
        <v/>
      </c>
      <c r="AL3921">
        <f>IF($C3921="","",IF(OR($Q3921=TRUE(),$Q3921="TRUE"),1,0))</f>
        <v/>
      </c>
      <c r="AM3921">
        <f>IF($C3921="","",IF($W3921="Yes",1,0))</f>
        <v/>
      </c>
      <c r="AN3921">
        <f>IF($AJ3921=1,IFERROR(IF(VALUE($C3921)&lt;100000000,VALUE($C3921),1000000000),IFERROR(IF(VALUE(MID($C3921,2,20))&lt;100000000,VALUE(MID($C3921,2,20)),1000000000),1000000000))+ROW()/100000,"")</f>
        <v/>
      </c>
    </row>
    <row r="3922">
      <c r="E3922" s="11" t="n"/>
      <c r="M3922" s="7">
        <f>IF($C3922="","",L3922*U3922/100)</f>
        <v/>
      </c>
      <c r="N3922" s="7" t="n"/>
      <c r="T3922" s="7" t="n"/>
      <c r="U3922" s="7">
        <f>IF($C3922="","",S3922*T3922)</f>
        <v/>
      </c>
      <c r="X3922">
        <f>IF($C3922="","",IF($AM3922=1,0,IF($AL3922=1,Settings!$C$6,Settings!$C$7))*100)</f>
        <v/>
      </c>
      <c r="AB3922" s="7" t="n"/>
      <c r="AE3922" s="11" t="n"/>
      <c r="AG3922" s="7">
        <f>IF($C3922="","",U3922*X3922/100)</f>
        <v/>
      </c>
      <c r="AH3922" s="7">
        <f>IF($C3922="","",U3922-AG3922)</f>
        <v/>
      </c>
      <c r="AI3922" s="7">
        <f>IF($C3922="","",AH3922-M3922)</f>
        <v/>
      </c>
      <c r="AJ3922">
        <f>IF($C3922="","",IF(COUNTIF($C$2:$C3922,$C3922)=1,1,0))</f>
        <v/>
      </c>
      <c r="AK3922">
        <f>IF($AJ3922=1,SUMPRODUCT(--($AN$2:$AN$4001&lt;$AN3922))+1,"")</f>
        <v/>
      </c>
      <c r="AL3922">
        <f>IF($C3922="","",IF(OR($Q3922=TRUE(),$Q3922="TRUE"),1,0))</f>
        <v/>
      </c>
      <c r="AM3922">
        <f>IF($C3922="","",IF($W3922="Yes",1,0))</f>
        <v/>
      </c>
      <c r="AN3922">
        <f>IF($AJ3922=1,IFERROR(IF(VALUE($C3922)&lt;100000000,VALUE($C3922),1000000000),IFERROR(IF(VALUE(MID($C3922,2,20))&lt;100000000,VALUE(MID($C3922,2,20)),1000000000),1000000000))+ROW()/100000,"")</f>
        <v/>
      </c>
    </row>
    <row r="3923">
      <c r="E3923" s="11" t="n"/>
      <c r="M3923" s="7">
        <f>IF($C3923="","",L3923*U3923/100)</f>
        <v/>
      </c>
      <c r="N3923" s="7" t="n"/>
      <c r="T3923" s="7" t="n"/>
      <c r="U3923" s="7">
        <f>IF($C3923="","",S3923*T3923)</f>
        <v/>
      </c>
      <c r="X3923">
        <f>IF($C3923="","",IF($AM3923=1,0,IF($AL3923=1,Settings!$C$6,Settings!$C$7))*100)</f>
        <v/>
      </c>
      <c r="AB3923" s="7" t="n"/>
      <c r="AE3923" s="11" t="n"/>
      <c r="AG3923" s="7">
        <f>IF($C3923="","",U3923*X3923/100)</f>
        <v/>
      </c>
      <c r="AH3923" s="7">
        <f>IF($C3923="","",U3923-AG3923)</f>
        <v/>
      </c>
      <c r="AI3923" s="7">
        <f>IF($C3923="","",AH3923-M3923)</f>
        <v/>
      </c>
      <c r="AJ3923">
        <f>IF($C3923="","",IF(COUNTIF($C$2:$C3923,$C3923)=1,1,0))</f>
        <v/>
      </c>
      <c r="AK3923">
        <f>IF($AJ3923=1,SUMPRODUCT(--($AN$2:$AN$4001&lt;$AN3923))+1,"")</f>
        <v/>
      </c>
      <c r="AL3923">
        <f>IF($C3923="","",IF(OR($Q3923=TRUE(),$Q3923="TRUE"),1,0))</f>
        <v/>
      </c>
      <c r="AM3923">
        <f>IF($C3923="","",IF($W3923="Yes",1,0))</f>
        <v/>
      </c>
      <c r="AN3923">
        <f>IF($AJ3923=1,IFERROR(IF(VALUE($C3923)&lt;100000000,VALUE($C3923),1000000000),IFERROR(IF(VALUE(MID($C3923,2,20))&lt;100000000,VALUE(MID($C3923,2,20)),1000000000),1000000000))+ROW()/100000,"")</f>
        <v/>
      </c>
    </row>
    <row r="3924">
      <c r="E3924" s="11" t="n"/>
      <c r="M3924" s="7">
        <f>IF($C3924="","",L3924*U3924/100)</f>
        <v/>
      </c>
      <c r="N3924" s="7" t="n"/>
      <c r="T3924" s="7" t="n"/>
      <c r="U3924" s="7">
        <f>IF($C3924="","",S3924*T3924)</f>
        <v/>
      </c>
      <c r="X3924">
        <f>IF($C3924="","",IF($AM3924=1,0,IF($AL3924=1,Settings!$C$6,Settings!$C$7))*100)</f>
        <v/>
      </c>
      <c r="AB3924" s="7" t="n"/>
      <c r="AE3924" s="11" t="n"/>
      <c r="AG3924" s="7">
        <f>IF($C3924="","",U3924*X3924/100)</f>
        <v/>
      </c>
      <c r="AH3924" s="7">
        <f>IF($C3924="","",U3924-AG3924)</f>
        <v/>
      </c>
      <c r="AI3924" s="7">
        <f>IF($C3924="","",AH3924-M3924)</f>
        <v/>
      </c>
      <c r="AJ3924">
        <f>IF($C3924="","",IF(COUNTIF($C$2:$C3924,$C3924)=1,1,0))</f>
        <v/>
      </c>
      <c r="AK3924">
        <f>IF($AJ3924=1,SUMPRODUCT(--($AN$2:$AN$4001&lt;$AN3924))+1,"")</f>
        <v/>
      </c>
      <c r="AL3924">
        <f>IF($C3924="","",IF(OR($Q3924=TRUE(),$Q3924="TRUE"),1,0))</f>
        <v/>
      </c>
      <c r="AM3924">
        <f>IF($C3924="","",IF($W3924="Yes",1,0))</f>
        <v/>
      </c>
      <c r="AN3924">
        <f>IF($AJ3924=1,IFERROR(IF(VALUE($C3924)&lt;100000000,VALUE($C3924),1000000000),IFERROR(IF(VALUE(MID($C3924,2,20))&lt;100000000,VALUE(MID($C3924,2,20)),1000000000),1000000000))+ROW()/100000,"")</f>
        <v/>
      </c>
    </row>
    <row r="3925">
      <c r="E3925" s="11" t="n"/>
      <c r="M3925" s="7">
        <f>IF($C3925="","",L3925*U3925/100)</f>
        <v/>
      </c>
      <c r="N3925" s="7" t="n"/>
      <c r="T3925" s="7" t="n"/>
      <c r="U3925" s="7">
        <f>IF($C3925="","",S3925*T3925)</f>
        <v/>
      </c>
      <c r="X3925">
        <f>IF($C3925="","",IF($AM3925=1,0,IF($AL3925=1,Settings!$C$6,Settings!$C$7))*100)</f>
        <v/>
      </c>
      <c r="AB3925" s="7" t="n"/>
      <c r="AE3925" s="11" t="n"/>
      <c r="AG3925" s="7">
        <f>IF($C3925="","",U3925*X3925/100)</f>
        <v/>
      </c>
      <c r="AH3925" s="7">
        <f>IF($C3925="","",U3925-AG3925)</f>
        <v/>
      </c>
      <c r="AI3925" s="7">
        <f>IF($C3925="","",AH3925-M3925)</f>
        <v/>
      </c>
      <c r="AJ3925">
        <f>IF($C3925="","",IF(COUNTIF($C$2:$C3925,$C3925)=1,1,0))</f>
        <v/>
      </c>
      <c r="AK3925">
        <f>IF($AJ3925=1,SUMPRODUCT(--($AN$2:$AN$4001&lt;$AN3925))+1,"")</f>
        <v/>
      </c>
      <c r="AL3925">
        <f>IF($C3925="","",IF(OR($Q3925=TRUE(),$Q3925="TRUE"),1,0))</f>
        <v/>
      </c>
      <c r="AM3925">
        <f>IF($C3925="","",IF($W3925="Yes",1,0))</f>
        <v/>
      </c>
      <c r="AN3925">
        <f>IF($AJ3925=1,IFERROR(IF(VALUE($C3925)&lt;100000000,VALUE($C3925),1000000000),IFERROR(IF(VALUE(MID($C3925,2,20))&lt;100000000,VALUE(MID($C3925,2,20)),1000000000),1000000000))+ROW()/100000,"")</f>
        <v/>
      </c>
    </row>
    <row r="3926">
      <c r="E3926" s="11" t="n"/>
      <c r="M3926" s="7">
        <f>IF($C3926="","",L3926*U3926/100)</f>
        <v/>
      </c>
      <c r="N3926" s="7" t="n"/>
      <c r="T3926" s="7" t="n"/>
      <c r="U3926" s="7">
        <f>IF($C3926="","",S3926*T3926)</f>
        <v/>
      </c>
      <c r="X3926">
        <f>IF($C3926="","",IF($AM3926=1,0,IF($AL3926=1,Settings!$C$6,Settings!$C$7))*100)</f>
        <v/>
      </c>
      <c r="AB3926" s="7" t="n"/>
      <c r="AE3926" s="11" t="n"/>
      <c r="AG3926" s="7">
        <f>IF($C3926="","",U3926*X3926/100)</f>
        <v/>
      </c>
      <c r="AH3926" s="7">
        <f>IF($C3926="","",U3926-AG3926)</f>
        <v/>
      </c>
      <c r="AI3926" s="7">
        <f>IF($C3926="","",AH3926-M3926)</f>
        <v/>
      </c>
      <c r="AJ3926">
        <f>IF($C3926="","",IF(COUNTIF($C$2:$C3926,$C3926)=1,1,0))</f>
        <v/>
      </c>
      <c r="AK3926">
        <f>IF($AJ3926=1,SUMPRODUCT(--($AN$2:$AN$4001&lt;$AN3926))+1,"")</f>
        <v/>
      </c>
      <c r="AL3926">
        <f>IF($C3926="","",IF(OR($Q3926=TRUE(),$Q3926="TRUE"),1,0))</f>
        <v/>
      </c>
      <c r="AM3926">
        <f>IF($C3926="","",IF($W3926="Yes",1,0))</f>
        <v/>
      </c>
      <c r="AN3926">
        <f>IF($AJ3926=1,IFERROR(IF(VALUE($C3926)&lt;100000000,VALUE($C3926),1000000000),IFERROR(IF(VALUE(MID($C3926,2,20))&lt;100000000,VALUE(MID($C3926,2,20)),1000000000),1000000000))+ROW()/100000,"")</f>
        <v/>
      </c>
    </row>
    <row r="3927">
      <c r="E3927" s="11" t="n"/>
      <c r="M3927" s="7">
        <f>IF($C3927="","",L3927*U3927/100)</f>
        <v/>
      </c>
      <c r="N3927" s="7" t="n"/>
      <c r="T3927" s="7" t="n"/>
      <c r="U3927" s="7">
        <f>IF($C3927="","",S3927*T3927)</f>
        <v/>
      </c>
      <c r="X3927">
        <f>IF($C3927="","",IF($AM3927=1,0,IF($AL3927=1,Settings!$C$6,Settings!$C$7))*100)</f>
        <v/>
      </c>
      <c r="AB3927" s="7" t="n"/>
      <c r="AE3927" s="11" t="n"/>
      <c r="AG3927" s="7">
        <f>IF($C3927="","",U3927*X3927/100)</f>
        <v/>
      </c>
      <c r="AH3927" s="7">
        <f>IF($C3927="","",U3927-AG3927)</f>
        <v/>
      </c>
      <c r="AI3927" s="7">
        <f>IF($C3927="","",AH3927-M3927)</f>
        <v/>
      </c>
      <c r="AJ3927">
        <f>IF($C3927="","",IF(COUNTIF($C$2:$C3927,$C3927)=1,1,0))</f>
        <v/>
      </c>
      <c r="AK3927">
        <f>IF($AJ3927=1,SUMPRODUCT(--($AN$2:$AN$4001&lt;$AN3927))+1,"")</f>
        <v/>
      </c>
      <c r="AL3927">
        <f>IF($C3927="","",IF(OR($Q3927=TRUE(),$Q3927="TRUE"),1,0))</f>
        <v/>
      </c>
      <c r="AM3927">
        <f>IF($C3927="","",IF($W3927="Yes",1,0))</f>
        <v/>
      </c>
      <c r="AN3927">
        <f>IF($AJ3927=1,IFERROR(IF(VALUE($C3927)&lt;100000000,VALUE($C3927),1000000000),IFERROR(IF(VALUE(MID($C3927,2,20))&lt;100000000,VALUE(MID($C3927,2,20)),1000000000),1000000000))+ROW()/100000,"")</f>
        <v/>
      </c>
    </row>
    <row r="3928">
      <c r="E3928" s="11" t="n"/>
      <c r="M3928" s="7">
        <f>IF($C3928="","",L3928*U3928/100)</f>
        <v/>
      </c>
      <c r="N3928" s="7" t="n"/>
      <c r="T3928" s="7" t="n"/>
      <c r="U3928" s="7">
        <f>IF($C3928="","",S3928*T3928)</f>
        <v/>
      </c>
      <c r="X3928">
        <f>IF($C3928="","",IF($AM3928=1,0,IF($AL3928=1,Settings!$C$6,Settings!$C$7))*100)</f>
        <v/>
      </c>
      <c r="AB3928" s="7" t="n"/>
      <c r="AE3928" s="11" t="n"/>
      <c r="AG3928" s="7">
        <f>IF($C3928="","",U3928*X3928/100)</f>
        <v/>
      </c>
      <c r="AH3928" s="7">
        <f>IF($C3928="","",U3928-AG3928)</f>
        <v/>
      </c>
      <c r="AI3928" s="7">
        <f>IF($C3928="","",AH3928-M3928)</f>
        <v/>
      </c>
      <c r="AJ3928">
        <f>IF($C3928="","",IF(COUNTIF($C$2:$C3928,$C3928)=1,1,0))</f>
        <v/>
      </c>
      <c r="AK3928">
        <f>IF($AJ3928=1,SUMPRODUCT(--($AN$2:$AN$4001&lt;$AN3928))+1,"")</f>
        <v/>
      </c>
      <c r="AL3928">
        <f>IF($C3928="","",IF(OR($Q3928=TRUE(),$Q3928="TRUE"),1,0))</f>
        <v/>
      </c>
      <c r="AM3928">
        <f>IF($C3928="","",IF($W3928="Yes",1,0))</f>
        <v/>
      </c>
      <c r="AN3928">
        <f>IF($AJ3928=1,IFERROR(IF(VALUE($C3928)&lt;100000000,VALUE($C3928),1000000000),IFERROR(IF(VALUE(MID($C3928,2,20))&lt;100000000,VALUE(MID($C3928,2,20)),1000000000),1000000000))+ROW()/100000,"")</f>
        <v/>
      </c>
    </row>
    <row r="3929">
      <c r="E3929" s="11" t="n"/>
      <c r="M3929" s="7">
        <f>IF($C3929="","",L3929*U3929/100)</f>
        <v/>
      </c>
      <c r="N3929" s="7" t="n"/>
      <c r="T3929" s="7" t="n"/>
      <c r="U3929" s="7">
        <f>IF($C3929="","",S3929*T3929)</f>
        <v/>
      </c>
      <c r="X3929">
        <f>IF($C3929="","",IF($AM3929=1,0,IF($AL3929=1,Settings!$C$6,Settings!$C$7))*100)</f>
        <v/>
      </c>
      <c r="AB3929" s="7" t="n"/>
      <c r="AE3929" s="11" t="n"/>
      <c r="AG3929" s="7">
        <f>IF($C3929="","",U3929*X3929/100)</f>
        <v/>
      </c>
      <c r="AH3929" s="7">
        <f>IF($C3929="","",U3929-AG3929)</f>
        <v/>
      </c>
      <c r="AI3929" s="7">
        <f>IF($C3929="","",AH3929-M3929)</f>
        <v/>
      </c>
      <c r="AJ3929">
        <f>IF($C3929="","",IF(COUNTIF($C$2:$C3929,$C3929)=1,1,0))</f>
        <v/>
      </c>
      <c r="AK3929">
        <f>IF($AJ3929=1,SUMPRODUCT(--($AN$2:$AN$4001&lt;$AN3929))+1,"")</f>
        <v/>
      </c>
      <c r="AL3929">
        <f>IF($C3929="","",IF(OR($Q3929=TRUE(),$Q3929="TRUE"),1,0))</f>
        <v/>
      </c>
      <c r="AM3929">
        <f>IF($C3929="","",IF($W3929="Yes",1,0))</f>
        <v/>
      </c>
      <c r="AN3929">
        <f>IF($AJ3929=1,IFERROR(IF(VALUE($C3929)&lt;100000000,VALUE($C3929),1000000000),IFERROR(IF(VALUE(MID($C3929,2,20))&lt;100000000,VALUE(MID($C3929,2,20)),1000000000),1000000000))+ROW()/100000,"")</f>
        <v/>
      </c>
    </row>
    <row r="3930">
      <c r="E3930" s="11" t="n"/>
      <c r="M3930" s="7">
        <f>IF($C3930="","",L3930*U3930/100)</f>
        <v/>
      </c>
      <c r="N3930" s="7" t="n"/>
      <c r="T3930" s="7" t="n"/>
      <c r="U3930" s="7">
        <f>IF($C3930="","",S3930*T3930)</f>
        <v/>
      </c>
      <c r="X3930">
        <f>IF($C3930="","",IF($AM3930=1,0,IF($AL3930=1,Settings!$C$6,Settings!$C$7))*100)</f>
        <v/>
      </c>
      <c r="AB3930" s="7" t="n"/>
      <c r="AE3930" s="11" t="n"/>
      <c r="AG3930" s="7">
        <f>IF($C3930="","",U3930*X3930/100)</f>
        <v/>
      </c>
      <c r="AH3930" s="7">
        <f>IF($C3930="","",U3930-AG3930)</f>
        <v/>
      </c>
      <c r="AI3930" s="7">
        <f>IF($C3930="","",AH3930-M3930)</f>
        <v/>
      </c>
      <c r="AJ3930">
        <f>IF($C3930="","",IF(COUNTIF($C$2:$C3930,$C3930)=1,1,0))</f>
        <v/>
      </c>
      <c r="AK3930">
        <f>IF($AJ3930=1,SUMPRODUCT(--($AN$2:$AN$4001&lt;$AN3930))+1,"")</f>
        <v/>
      </c>
      <c r="AL3930">
        <f>IF($C3930="","",IF(OR($Q3930=TRUE(),$Q3930="TRUE"),1,0))</f>
        <v/>
      </c>
      <c r="AM3930">
        <f>IF($C3930="","",IF($W3930="Yes",1,0))</f>
        <v/>
      </c>
      <c r="AN3930">
        <f>IF($AJ3930=1,IFERROR(IF(VALUE($C3930)&lt;100000000,VALUE($C3930),1000000000),IFERROR(IF(VALUE(MID($C3930,2,20))&lt;100000000,VALUE(MID($C3930,2,20)),1000000000),1000000000))+ROW()/100000,"")</f>
        <v/>
      </c>
    </row>
    <row r="3931">
      <c r="E3931" s="11" t="n"/>
      <c r="M3931" s="7">
        <f>IF($C3931="","",L3931*U3931/100)</f>
        <v/>
      </c>
      <c r="N3931" s="7" t="n"/>
      <c r="T3931" s="7" t="n"/>
      <c r="U3931" s="7">
        <f>IF($C3931="","",S3931*T3931)</f>
        <v/>
      </c>
      <c r="X3931">
        <f>IF($C3931="","",IF($AM3931=1,0,IF($AL3931=1,Settings!$C$6,Settings!$C$7))*100)</f>
        <v/>
      </c>
      <c r="AB3931" s="7" t="n"/>
      <c r="AE3931" s="11" t="n"/>
      <c r="AG3931" s="7">
        <f>IF($C3931="","",U3931*X3931/100)</f>
        <v/>
      </c>
      <c r="AH3931" s="7">
        <f>IF($C3931="","",U3931-AG3931)</f>
        <v/>
      </c>
      <c r="AI3931" s="7">
        <f>IF($C3931="","",AH3931-M3931)</f>
        <v/>
      </c>
      <c r="AJ3931">
        <f>IF($C3931="","",IF(COUNTIF($C$2:$C3931,$C3931)=1,1,0))</f>
        <v/>
      </c>
      <c r="AK3931">
        <f>IF($AJ3931=1,SUMPRODUCT(--($AN$2:$AN$4001&lt;$AN3931))+1,"")</f>
        <v/>
      </c>
      <c r="AL3931">
        <f>IF($C3931="","",IF(OR($Q3931=TRUE(),$Q3931="TRUE"),1,0))</f>
        <v/>
      </c>
      <c r="AM3931">
        <f>IF($C3931="","",IF($W3931="Yes",1,0))</f>
        <v/>
      </c>
      <c r="AN3931">
        <f>IF($AJ3931=1,IFERROR(IF(VALUE($C3931)&lt;100000000,VALUE($C3931),1000000000),IFERROR(IF(VALUE(MID($C3931,2,20))&lt;100000000,VALUE(MID($C3931,2,20)),1000000000),1000000000))+ROW()/100000,"")</f>
        <v/>
      </c>
    </row>
    <row r="3932">
      <c r="E3932" s="11" t="n"/>
      <c r="M3932" s="7">
        <f>IF($C3932="","",L3932*U3932/100)</f>
        <v/>
      </c>
      <c r="N3932" s="7" t="n"/>
      <c r="T3932" s="7" t="n"/>
      <c r="U3932" s="7">
        <f>IF($C3932="","",S3932*T3932)</f>
        <v/>
      </c>
      <c r="X3932">
        <f>IF($C3932="","",IF($AM3932=1,0,IF($AL3932=1,Settings!$C$6,Settings!$C$7))*100)</f>
        <v/>
      </c>
      <c r="AB3932" s="7" t="n"/>
      <c r="AE3932" s="11" t="n"/>
      <c r="AG3932" s="7">
        <f>IF($C3932="","",U3932*X3932/100)</f>
        <v/>
      </c>
      <c r="AH3932" s="7">
        <f>IF($C3932="","",U3932-AG3932)</f>
        <v/>
      </c>
      <c r="AI3932" s="7">
        <f>IF($C3932="","",AH3932-M3932)</f>
        <v/>
      </c>
      <c r="AJ3932">
        <f>IF($C3932="","",IF(COUNTIF($C$2:$C3932,$C3932)=1,1,0))</f>
        <v/>
      </c>
      <c r="AK3932">
        <f>IF($AJ3932=1,SUMPRODUCT(--($AN$2:$AN$4001&lt;$AN3932))+1,"")</f>
        <v/>
      </c>
      <c r="AL3932">
        <f>IF($C3932="","",IF(OR($Q3932=TRUE(),$Q3932="TRUE"),1,0))</f>
        <v/>
      </c>
      <c r="AM3932">
        <f>IF($C3932="","",IF($W3932="Yes",1,0))</f>
        <v/>
      </c>
      <c r="AN3932">
        <f>IF($AJ3932=1,IFERROR(IF(VALUE($C3932)&lt;100000000,VALUE($C3932),1000000000),IFERROR(IF(VALUE(MID($C3932,2,20))&lt;100000000,VALUE(MID($C3932,2,20)),1000000000),1000000000))+ROW()/100000,"")</f>
        <v/>
      </c>
    </row>
    <row r="3933">
      <c r="E3933" s="11" t="n"/>
      <c r="M3933" s="7">
        <f>IF($C3933="","",L3933*U3933/100)</f>
        <v/>
      </c>
      <c r="N3933" s="7" t="n"/>
      <c r="T3933" s="7" t="n"/>
      <c r="U3933" s="7">
        <f>IF($C3933="","",S3933*T3933)</f>
        <v/>
      </c>
      <c r="X3933">
        <f>IF($C3933="","",IF($AM3933=1,0,IF($AL3933=1,Settings!$C$6,Settings!$C$7))*100)</f>
        <v/>
      </c>
      <c r="AB3933" s="7" t="n"/>
      <c r="AE3933" s="11" t="n"/>
      <c r="AG3933" s="7">
        <f>IF($C3933="","",U3933*X3933/100)</f>
        <v/>
      </c>
      <c r="AH3933" s="7">
        <f>IF($C3933="","",U3933-AG3933)</f>
        <v/>
      </c>
      <c r="AI3933" s="7">
        <f>IF($C3933="","",AH3933-M3933)</f>
        <v/>
      </c>
      <c r="AJ3933">
        <f>IF($C3933="","",IF(COUNTIF($C$2:$C3933,$C3933)=1,1,0))</f>
        <v/>
      </c>
      <c r="AK3933">
        <f>IF($AJ3933=1,SUMPRODUCT(--($AN$2:$AN$4001&lt;$AN3933))+1,"")</f>
        <v/>
      </c>
      <c r="AL3933">
        <f>IF($C3933="","",IF(OR($Q3933=TRUE(),$Q3933="TRUE"),1,0))</f>
        <v/>
      </c>
      <c r="AM3933">
        <f>IF($C3933="","",IF($W3933="Yes",1,0))</f>
        <v/>
      </c>
      <c r="AN3933">
        <f>IF($AJ3933=1,IFERROR(IF(VALUE($C3933)&lt;100000000,VALUE($C3933),1000000000),IFERROR(IF(VALUE(MID($C3933,2,20))&lt;100000000,VALUE(MID($C3933,2,20)),1000000000),1000000000))+ROW()/100000,"")</f>
        <v/>
      </c>
    </row>
    <row r="3934">
      <c r="E3934" s="11" t="n"/>
      <c r="M3934" s="7">
        <f>IF($C3934="","",L3934*U3934/100)</f>
        <v/>
      </c>
      <c r="N3934" s="7" t="n"/>
      <c r="T3934" s="7" t="n"/>
      <c r="U3934" s="7">
        <f>IF($C3934="","",S3934*T3934)</f>
        <v/>
      </c>
      <c r="X3934">
        <f>IF($C3934="","",IF($AM3934=1,0,IF($AL3934=1,Settings!$C$6,Settings!$C$7))*100)</f>
        <v/>
      </c>
      <c r="AB3934" s="7" t="n"/>
      <c r="AE3934" s="11" t="n"/>
      <c r="AG3934" s="7">
        <f>IF($C3934="","",U3934*X3934/100)</f>
        <v/>
      </c>
      <c r="AH3934" s="7">
        <f>IF($C3934="","",U3934-AG3934)</f>
        <v/>
      </c>
      <c r="AI3934" s="7">
        <f>IF($C3934="","",AH3934-M3934)</f>
        <v/>
      </c>
      <c r="AJ3934">
        <f>IF($C3934="","",IF(COUNTIF($C$2:$C3934,$C3934)=1,1,0))</f>
        <v/>
      </c>
      <c r="AK3934">
        <f>IF($AJ3934=1,SUMPRODUCT(--($AN$2:$AN$4001&lt;$AN3934))+1,"")</f>
        <v/>
      </c>
      <c r="AL3934">
        <f>IF($C3934="","",IF(OR($Q3934=TRUE(),$Q3934="TRUE"),1,0))</f>
        <v/>
      </c>
      <c r="AM3934">
        <f>IF($C3934="","",IF($W3934="Yes",1,0))</f>
        <v/>
      </c>
      <c r="AN3934">
        <f>IF($AJ3934=1,IFERROR(IF(VALUE($C3934)&lt;100000000,VALUE($C3934),1000000000),IFERROR(IF(VALUE(MID($C3934,2,20))&lt;100000000,VALUE(MID($C3934,2,20)),1000000000),1000000000))+ROW()/100000,"")</f>
        <v/>
      </c>
    </row>
    <row r="3935">
      <c r="E3935" s="11" t="n"/>
      <c r="M3935" s="7">
        <f>IF($C3935="","",L3935*U3935/100)</f>
        <v/>
      </c>
      <c r="N3935" s="7" t="n"/>
      <c r="T3935" s="7" t="n"/>
      <c r="U3935" s="7">
        <f>IF($C3935="","",S3935*T3935)</f>
        <v/>
      </c>
      <c r="X3935">
        <f>IF($C3935="","",IF($AM3935=1,0,IF($AL3935=1,Settings!$C$6,Settings!$C$7))*100)</f>
        <v/>
      </c>
      <c r="AB3935" s="7" t="n"/>
      <c r="AE3935" s="11" t="n"/>
      <c r="AG3935" s="7">
        <f>IF($C3935="","",U3935*X3935/100)</f>
        <v/>
      </c>
      <c r="AH3935" s="7">
        <f>IF($C3935="","",U3935-AG3935)</f>
        <v/>
      </c>
      <c r="AI3935" s="7">
        <f>IF($C3935="","",AH3935-M3935)</f>
        <v/>
      </c>
      <c r="AJ3935">
        <f>IF($C3935="","",IF(COUNTIF($C$2:$C3935,$C3935)=1,1,0))</f>
        <v/>
      </c>
      <c r="AK3935">
        <f>IF($AJ3935=1,SUMPRODUCT(--($AN$2:$AN$4001&lt;$AN3935))+1,"")</f>
        <v/>
      </c>
      <c r="AL3935">
        <f>IF($C3935="","",IF(OR($Q3935=TRUE(),$Q3935="TRUE"),1,0))</f>
        <v/>
      </c>
      <c r="AM3935">
        <f>IF($C3935="","",IF($W3935="Yes",1,0))</f>
        <v/>
      </c>
      <c r="AN3935">
        <f>IF($AJ3935=1,IFERROR(IF(VALUE($C3935)&lt;100000000,VALUE($C3935),1000000000),IFERROR(IF(VALUE(MID($C3935,2,20))&lt;100000000,VALUE(MID($C3935,2,20)),1000000000),1000000000))+ROW()/100000,"")</f>
        <v/>
      </c>
    </row>
    <row r="3936">
      <c r="E3936" s="11" t="n"/>
      <c r="M3936" s="7">
        <f>IF($C3936="","",L3936*U3936/100)</f>
        <v/>
      </c>
      <c r="N3936" s="7" t="n"/>
      <c r="T3936" s="7" t="n"/>
      <c r="U3936" s="7">
        <f>IF($C3936="","",S3936*T3936)</f>
        <v/>
      </c>
      <c r="X3936">
        <f>IF($C3936="","",IF($AM3936=1,0,IF($AL3936=1,Settings!$C$6,Settings!$C$7))*100)</f>
        <v/>
      </c>
      <c r="AB3936" s="7" t="n"/>
      <c r="AE3936" s="11" t="n"/>
      <c r="AG3936" s="7">
        <f>IF($C3936="","",U3936*X3936/100)</f>
        <v/>
      </c>
      <c r="AH3936" s="7">
        <f>IF($C3936="","",U3936-AG3936)</f>
        <v/>
      </c>
      <c r="AI3936" s="7">
        <f>IF($C3936="","",AH3936-M3936)</f>
        <v/>
      </c>
      <c r="AJ3936">
        <f>IF($C3936="","",IF(COUNTIF($C$2:$C3936,$C3936)=1,1,0))</f>
        <v/>
      </c>
      <c r="AK3936">
        <f>IF($AJ3936=1,SUMPRODUCT(--($AN$2:$AN$4001&lt;$AN3936))+1,"")</f>
        <v/>
      </c>
      <c r="AL3936">
        <f>IF($C3936="","",IF(OR($Q3936=TRUE(),$Q3936="TRUE"),1,0))</f>
        <v/>
      </c>
      <c r="AM3936">
        <f>IF($C3936="","",IF($W3936="Yes",1,0))</f>
        <v/>
      </c>
      <c r="AN3936">
        <f>IF($AJ3936=1,IFERROR(IF(VALUE($C3936)&lt;100000000,VALUE($C3936),1000000000),IFERROR(IF(VALUE(MID($C3936,2,20))&lt;100000000,VALUE(MID($C3936,2,20)),1000000000),1000000000))+ROW()/100000,"")</f>
        <v/>
      </c>
    </row>
    <row r="3937">
      <c r="E3937" s="11" t="n"/>
      <c r="M3937" s="7">
        <f>IF($C3937="","",L3937*U3937/100)</f>
        <v/>
      </c>
      <c r="N3937" s="7" t="n"/>
      <c r="T3937" s="7" t="n"/>
      <c r="U3937" s="7">
        <f>IF($C3937="","",S3937*T3937)</f>
        <v/>
      </c>
      <c r="X3937">
        <f>IF($C3937="","",IF($AM3937=1,0,IF($AL3937=1,Settings!$C$6,Settings!$C$7))*100)</f>
        <v/>
      </c>
      <c r="AB3937" s="7" t="n"/>
      <c r="AE3937" s="11" t="n"/>
      <c r="AG3937" s="7">
        <f>IF($C3937="","",U3937*X3937/100)</f>
        <v/>
      </c>
      <c r="AH3937" s="7">
        <f>IF($C3937="","",U3937-AG3937)</f>
        <v/>
      </c>
      <c r="AI3937" s="7">
        <f>IF($C3937="","",AH3937-M3937)</f>
        <v/>
      </c>
      <c r="AJ3937">
        <f>IF($C3937="","",IF(COUNTIF($C$2:$C3937,$C3937)=1,1,0))</f>
        <v/>
      </c>
      <c r="AK3937">
        <f>IF($AJ3937=1,SUMPRODUCT(--($AN$2:$AN$4001&lt;$AN3937))+1,"")</f>
        <v/>
      </c>
      <c r="AL3937">
        <f>IF($C3937="","",IF(OR($Q3937=TRUE(),$Q3937="TRUE"),1,0))</f>
        <v/>
      </c>
      <c r="AM3937">
        <f>IF($C3937="","",IF($W3937="Yes",1,0))</f>
        <v/>
      </c>
      <c r="AN3937">
        <f>IF($AJ3937=1,IFERROR(IF(VALUE($C3937)&lt;100000000,VALUE($C3937),1000000000),IFERROR(IF(VALUE(MID($C3937,2,20))&lt;100000000,VALUE(MID($C3937,2,20)),1000000000),1000000000))+ROW()/100000,"")</f>
        <v/>
      </c>
    </row>
    <row r="3938">
      <c r="E3938" s="11" t="n"/>
      <c r="M3938" s="7">
        <f>IF($C3938="","",L3938*U3938/100)</f>
        <v/>
      </c>
      <c r="N3938" s="7" t="n"/>
      <c r="T3938" s="7" t="n"/>
      <c r="U3938" s="7">
        <f>IF($C3938="","",S3938*T3938)</f>
        <v/>
      </c>
      <c r="X3938">
        <f>IF($C3938="","",IF($AM3938=1,0,IF($AL3938=1,Settings!$C$6,Settings!$C$7))*100)</f>
        <v/>
      </c>
      <c r="AB3938" s="7" t="n"/>
      <c r="AE3938" s="11" t="n"/>
      <c r="AG3938" s="7">
        <f>IF($C3938="","",U3938*X3938/100)</f>
        <v/>
      </c>
      <c r="AH3938" s="7">
        <f>IF($C3938="","",U3938-AG3938)</f>
        <v/>
      </c>
      <c r="AI3938" s="7">
        <f>IF($C3938="","",AH3938-M3938)</f>
        <v/>
      </c>
      <c r="AJ3938">
        <f>IF($C3938="","",IF(COUNTIF($C$2:$C3938,$C3938)=1,1,0))</f>
        <v/>
      </c>
      <c r="AK3938">
        <f>IF($AJ3938=1,SUMPRODUCT(--($AN$2:$AN$4001&lt;$AN3938))+1,"")</f>
        <v/>
      </c>
      <c r="AL3938">
        <f>IF($C3938="","",IF(OR($Q3938=TRUE(),$Q3938="TRUE"),1,0))</f>
        <v/>
      </c>
      <c r="AM3938">
        <f>IF($C3938="","",IF($W3938="Yes",1,0))</f>
        <v/>
      </c>
      <c r="AN3938">
        <f>IF($AJ3938=1,IFERROR(IF(VALUE($C3938)&lt;100000000,VALUE($C3938),1000000000),IFERROR(IF(VALUE(MID($C3938,2,20))&lt;100000000,VALUE(MID($C3938,2,20)),1000000000),1000000000))+ROW()/100000,"")</f>
        <v/>
      </c>
    </row>
    <row r="3939">
      <c r="E3939" s="11" t="n"/>
      <c r="M3939" s="7">
        <f>IF($C3939="","",L3939*U3939/100)</f>
        <v/>
      </c>
      <c r="N3939" s="7" t="n"/>
      <c r="T3939" s="7" t="n"/>
      <c r="U3939" s="7">
        <f>IF($C3939="","",S3939*T3939)</f>
        <v/>
      </c>
      <c r="X3939">
        <f>IF($C3939="","",IF($AM3939=1,0,IF($AL3939=1,Settings!$C$6,Settings!$C$7))*100)</f>
        <v/>
      </c>
      <c r="AB3939" s="7" t="n"/>
      <c r="AE3939" s="11" t="n"/>
      <c r="AG3939" s="7">
        <f>IF($C3939="","",U3939*X3939/100)</f>
        <v/>
      </c>
      <c r="AH3939" s="7">
        <f>IF($C3939="","",U3939-AG3939)</f>
        <v/>
      </c>
      <c r="AI3939" s="7">
        <f>IF($C3939="","",AH3939-M3939)</f>
        <v/>
      </c>
      <c r="AJ3939">
        <f>IF($C3939="","",IF(COUNTIF($C$2:$C3939,$C3939)=1,1,0))</f>
        <v/>
      </c>
      <c r="AK3939">
        <f>IF($AJ3939=1,SUMPRODUCT(--($AN$2:$AN$4001&lt;$AN3939))+1,"")</f>
        <v/>
      </c>
      <c r="AL3939">
        <f>IF($C3939="","",IF(OR($Q3939=TRUE(),$Q3939="TRUE"),1,0))</f>
        <v/>
      </c>
      <c r="AM3939">
        <f>IF($C3939="","",IF($W3939="Yes",1,0))</f>
        <v/>
      </c>
      <c r="AN3939">
        <f>IF($AJ3939=1,IFERROR(IF(VALUE($C3939)&lt;100000000,VALUE($C3939),1000000000),IFERROR(IF(VALUE(MID($C3939,2,20))&lt;100000000,VALUE(MID($C3939,2,20)),1000000000),1000000000))+ROW()/100000,"")</f>
        <v/>
      </c>
    </row>
    <row r="3940">
      <c r="E3940" s="11" t="n"/>
      <c r="M3940" s="7">
        <f>IF($C3940="","",L3940*U3940/100)</f>
        <v/>
      </c>
      <c r="N3940" s="7" t="n"/>
      <c r="T3940" s="7" t="n"/>
      <c r="U3940" s="7">
        <f>IF($C3940="","",S3940*T3940)</f>
        <v/>
      </c>
      <c r="X3940">
        <f>IF($C3940="","",IF($AM3940=1,0,IF($AL3940=1,Settings!$C$6,Settings!$C$7))*100)</f>
        <v/>
      </c>
      <c r="AB3940" s="7" t="n"/>
      <c r="AE3940" s="11" t="n"/>
      <c r="AG3940" s="7">
        <f>IF($C3940="","",U3940*X3940/100)</f>
        <v/>
      </c>
      <c r="AH3940" s="7">
        <f>IF($C3940="","",U3940-AG3940)</f>
        <v/>
      </c>
      <c r="AI3940" s="7">
        <f>IF($C3940="","",AH3940-M3940)</f>
        <v/>
      </c>
      <c r="AJ3940">
        <f>IF($C3940="","",IF(COUNTIF($C$2:$C3940,$C3940)=1,1,0))</f>
        <v/>
      </c>
      <c r="AK3940">
        <f>IF($AJ3940=1,SUMPRODUCT(--($AN$2:$AN$4001&lt;$AN3940))+1,"")</f>
        <v/>
      </c>
      <c r="AL3940">
        <f>IF($C3940="","",IF(OR($Q3940=TRUE(),$Q3940="TRUE"),1,0))</f>
        <v/>
      </c>
      <c r="AM3940">
        <f>IF($C3940="","",IF($W3940="Yes",1,0))</f>
        <v/>
      </c>
      <c r="AN3940">
        <f>IF($AJ3940=1,IFERROR(IF(VALUE($C3940)&lt;100000000,VALUE($C3940),1000000000),IFERROR(IF(VALUE(MID($C3940,2,20))&lt;100000000,VALUE(MID($C3940,2,20)),1000000000),1000000000))+ROW()/100000,"")</f>
        <v/>
      </c>
    </row>
    <row r="3941">
      <c r="E3941" s="11" t="n"/>
      <c r="M3941" s="7">
        <f>IF($C3941="","",L3941*U3941/100)</f>
        <v/>
      </c>
      <c r="N3941" s="7" t="n"/>
      <c r="T3941" s="7" t="n"/>
      <c r="U3941" s="7">
        <f>IF($C3941="","",S3941*T3941)</f>
        <v/>
      </c>
      <c r="X3941">
        <f>IF($C3941="","",IF($AM3941=1,0,IF($AL3941=1,Settings!$C$6,Settings!$C$7))*100)</f>
        <v/>
      </c>
      <c r="AB3941" s="7" t="n"/>
      <c r="AE3941" s="11" t="n"/>
      <c r="AG3941" s="7">
        <f>IF($C3941="","",U3941*X3941/100)</f>
        <v/>
      </c>
      <c r="AH3941" s="7">
        <f>IF($C3941="","",U3941-AG3941)</f>
        <v/>
      </c>
      <c r="AI3941" s="7">
        <f>IF($C3941="","",AH3941-M3941)</f>
        <v/>
      </c>
      <c r="AJ3941">
        <f>IF($C3941="","",IF(COUNTIF($C$2:$C3941,$C3941)=1,1,0))</f>
        <v/>
      </c>
      <c r="AK3941">
        <f>IF($AJ3941=1,SUMPRODUCT(--($AN$2:$AN$4001&lt;$AN3941))+1,"")</f>
        <v/>
      </c>
      <c r="AL3941">
        <f>IF($C3941="","",IF(OR($Q3941=TRUE(),$Q3941="TRUE"),1,0))</f>
        <v/>
      </c>
      <c r="AM3941">
        <f>IF($C3941="","",IF($W3941="Yes",1,0))</f>
        <v/>
      </c>
      <c r="AN3941">
        <f>IF($AJ3941=1,IFERROR(IF(VALUE($C3941)&lt;100000000,VALUE($C3941),1000000000),IFERROR(IF(VALUE(MID($C3941,2,20))&lt;100000000,VALUE(MID($C3941,2,20)),1000000000),1000000000))+ROW()/100000,"")</f>
        <v/>
      </c>
    </row>
    <row r="3942">
      <c r="E3942" s="11" t="n"/>
      <c r="M3942" s="7">
        <f>IF($C3942="","",L3942*U3942/100)</f>
        <v/>
      </c>
      <c r="N3942" s="7" t="n"/>
      <c r="T3942" s="7" t="n"/>
      <c r="U3942" s="7">
        <f>IF($C3942="","",S3942*T3942)</f>
        <v/>
      </c>
      <c r="X3942">
        <f>IF($C3942="","",IF($AM3942=1,0,IF($AL3942=1,Settings!$C$6,Settings!$C$7))*100)</f>
        <v/>
      </c>
      <c r="AB3942" s="7" t="n"/>
      <c r="AE3942" s="11" t="n"/>
      <c r="AG3942" s="7">
        <f>IF($C3942="","",U3942*X3942/100)</f>
        <v/>
      </c>
      <c r="AH3942" s="7">
        <f>IF($C3942="","",U3942-AG3942)</f>
        <v/>
      </c>
      <c r="AI3942" s="7">
        <f>IF($C3942="","",AH3942-M3942)</f>
        <v/>
      </c>
      <c r="AJ3942">
        <f>IF($C3942="","",IF(COUNTIF($C$2:$C3942,$C3942)=1,1,0))</f>
        <v/>
      </c>
      <c r="AK3942">
        <f>IF($AJ3942=1,SUMPRODUCT(--($AN$2:$AN$4001&lt;$AN3942))+1,"")</f>
        <v/>
      </c>
      <c r="AL3942">
        <f>IF($C3942="","",IF(OR($Q3942=TRUE(),$Q3942="TRUE"),1,0))</f>
        <v/>
      </c>
      <c r="AM3942">
        <f>IF($C3942="","",IF($W3942="Yes",1,0))</f>
        <v/>
      </c>
      <c r="AN3942">
        <f>IF($AJ3942=1,IFERROR(IF(VALUE($C3942)&lt;100000000,VALUE($C3942),1000000000),IFERROR(IF(VALUE(MID($C3942,2,20))&lt;100000000,VALUE(MID($C3942,2,20)),1000000000),1000000000))+ROW()/100000,"")</f>
        <v/>
      </c>
    </row>
    <row r="3943">
      <c r="E3943" s="11" t="n"/>
      <c r="M3943" s="7">
        <f>IF($C3943="","",L3943*U3943/100)</f>
        <v/>
      </c>
      <c r="N3943" s="7" t="n"/>
      <c r="T3943" s="7" t="n"/>
      <c r="U3943" s="7">
        <f>IF($C3943="","",S3943*T3943)</f>
        <v/>
      </c>
      <c r="X3943">
        <f>IF($C3943="","",IF($AM3943=1,0,IF($AL3943=1,Settings!$C$6,Settings!$C$7))*100)</f>
        <v/>
      </c>
      <c r="AB3943" s="7" t="n"/>
      <c r="AE3943" s="11" t="n"/>
      <c r="AG3943" s="7">
        <f>IF($C3943="","",U3943*X3943/100)</f>
        <v/>
      </c>
      <c r="AH3943" s="7">
        <f>IF($C3943="","",U3943-AG3943)</f>
        <v/>
      </c>
      <c r="AI3943" s="7">
        <f>IF($C3943="","",AH3943-M3943)</f>
        <v/>
      </c>
      <c r="AJ3943">
        <f>IF($C3943="","",IF(COUNTIF($C$2:$C3943,$C3943)=1,1,0))</f>
        <v/>
      </c>
      <c r="AK3943">
        <f>IF($AJ3943=1,SUMPRODUCT(--($AN$2:$AN$4001&lt;$AN3943))+1,"")</f>
        <v/>
      </c>
      <c r="AL3943">
        <f>IF($C3943="","",IF(OR($Q3943=TRUE(),$Q3943="TRUE"),1,0))</f>
        <v/>
      </c>
      <c r="AM3943">
        <f>IF($C3943="","",IF($W3943="Yes",1,0))</f>
        <v/>
      </c>
      <c r="AN3943">
        <f>IF($AJ3943=1,IFERROR(IF(VALUE($C3943)&lt;100000000,VALUE($C3943),1000000000),IFERROR(IF(VALUE(MID($C3943,2,20))&lt;100000000,VALUE(MID($C3943,2,20)),1000000000),1000000000))+ROW()/100000,"")</f>
        <v/>
      </c>
    </row>
    <row r="3944">
      <c r="E3944" s="11" t="n"/>
      <c r="M3944" s="7">
        <f>IF($C3944="","",L3944*U3944/100)</f>
        <v/>
      </c>
      <c r="N3944" s="7" t="n"/>
      <c r="T3944" s="7" t="n"/>
      <c r="U3944" s="7">
        <f>IF($C3944="","",S3944*T3944)</f>
        <v/>
      </c>
      <c r="X3944">
        <f>IF($C3944="","",IF($AM3944=1,0,IF($AL3944=1,Settings!$C$6,Settings!$C$7))*100)</f>
        <v/>
      </c>
      <c r="AB3944" s="7" t="n"/>
      <c r="AE3944" s="11" t="n"/>
      <c r="AG3944" s="7">
        <f>IF($C3944="","",U3944*X3944/100)</f>
        <v/>
      </c>
      <c r="AH3944" s="7">
        <f>IF($C3944="","",U3944-AG3944)</f>
        <v/>
      </c>
      <c r="AI3944" s="7">
        <f>IF($C3944="","",AH3944-M3944)</f>
        <v/>
      </c>
      <c r="AJ3944">
        <f>IF($C3944="","",IF(COUNTIF($C$2:$C3944,$C3944)=1,1,0))</f>
        <v/>
      </c>
      <c r="AK3944">
        <f>IF($AJ3944=1,SUMPRODUCT(--($AN$2:$AN$4001&lt;$AN3944))+1,"")</f>
        <v/>
      </c>
      <c r="AL3944">
        <f>IF($C3944="","",IF(OR($Q3944=TRUE(),$Q3944="TRUE"),1,0))</f>
        <v/>
      </c>
      <c r="AM3944">
        <f>IF($C3944="","",IF($W3944="Yes",1,0))</f>
        <v/>
      </c>
      <c r="AN3944">
        <f>IF($AJ3944=1,IFERROR(IF(VALUE($C3944)&lt;100000000,VALUE($C3944),1000000000),IFERROR(IF(VALUE(MID($C3944,2,20))&lt;100000000,VALUE(MID($C3944,2,20)),1000000000),1000000000))+ROW()/100000,"")</f>
        <v/>
      </c>
    </row>
    <row r="3945">
      <c r="E3945" s="11" t="n"/>
      <c r="M3945" s="7">
        <f>IF($C3945="","",L3945*U3945/100)</f>
        <v/>
      </c>
      <c r="N3945" s="7" t="n"/>
      <c r="T3945" s="7" t="n"/>
      <c r="U3945" s="7">
        <f>IF($C3945="","",S3945*T3945)</f>
        <v/>
      </c>
      <c r="X3945">
        <f>IF($C3945="","",IF($AM3945=1,0,IF($AL3945=1,Settings!$C$6,Settings!$C$7))*100)</f>
        <v/>
      </c>
      <c r="AB3945" s="7" t="n"/>
      <c r="AE3945" s="11" t="n"/>
      <c r="AG3945" s="7">
        <f>IF($C3945="","",U3945*X3945/100)</f>
        <v/>
      </c>
      <c r="AH3945" s="7">
        <f>IF($C3945="","",U3945-AG3945)</f>
        <v/>
      </c>
      <c r="AI3945" s="7">
        <f>IF($C3945="","",AH3945-M3945)</f>
        <v/>
      </c>
      <c r="AJ3945">
        <f>IF($C3945="","",IF(COUNTIF($C$2:$C3945,$C3945)=1,1,0))</f>
        <v/>
      </c>
      <c r="AK3945">
        <f>IF($AJ3945=1,SUMPRODUCT(--($AN$2:$AN$4001&lt;$AN3945))+1,"")</f>
        <v/>
      </c>
      <c r="AL3945">
        <f>IF($C3945="","",IF(OR($Q3945=TRUE(),$Q3945="TRUE"),1,0))</f>
        <v/>
      </c>
      <c r="AM3945">
        <f>IF($C3945="","",IF($W3945="Yes",1,0))</f>
        <v/>
      </c>
      <c r="AN3945">
        <f>IF($AJ3945=1,IFERROR(IF(VALUE($C3945)&lt;100000000,VALUE($C3945),1000000000),IFERROR(IF(VALUE(MID($C3945,2,20))&lt;100000000,VALUE(MID($C3945,2,20)),1000000000),1000000000))+ROW()/100000,"")</f>
        <v/>
      </c>
    </row>
    <row r="3946">
      <c r="E3946" s="11" t="n"/>
      <c r="M3946" s="7">
        <f>IF($C3946="","",L3946*U3946/100)</f>
        <v/>
      </c>
      <c r="N3946" s="7" t="n"/>
      <c r="T3946" s="7" t="n"/>
      <c r="U3946" s="7">
        <f>IF($C3946="","",S3946*T3946)</f>
        <v/>
      </c>
      <c r="X3946">
        <f>IF($C3946="","",IF($AM3946=1,0,IF($AL3946=1,Settings!$C$6,Settings!$C$7))*100)</f>
        <v/>
      </c>
      <c r="AB3946" s="7" t="n"/>
      <c r="AE3946" s="11" t="n"/>
      <c r="AG3946" s="7">
        <f>IF($C3946="","",U3946*X3946/100)</f>
        <v/>
      </c>
      <c r="AH3946" s="7">
        <f>IF($C3946="","",U3946-AG3946)</f>
        <v/>
      </c>
      <c r="AI3946" s="7">
        <f>IF($C3946="","",AH3946-M3946)</f>
        <v/>
      </c>
      <c r="AJ3946">
        <f>IF($C3946="","",IF(COUNTIF($C$2:$C3946,$C3946)=1,1,0))</f>
        <v/>
      </c>
      <c r="AK3946">
        <f>IF($AJ3946=1,SUMPRODUCT(--($AN$2:$AN$4001&lt;$AN3946))+1,"")</f>
        <v/>
      </c>
      <c r="AL3946">
        <f>IF($C3946="","",IF(OR($Q3946=TRUE(),$Q3946="TRUE"),1,0))</f>
        <v/>
      </c>
      <c r="AM3946">
        <f>IF($C3946="","",IF($W3946="Yes",1,0))</f>
        <v/>
      </c>
      <c r="AN3946">
        <f>IF($AJ3946=1,IFERROR(IF(VALUE($C3946)&lt;100000000,VALUE($C3946),1000000000),IFERROR(IF(VALUE(MID($C3946,2,20))&lt;100000000,VALUE(MID($C3946,2,20)),1000000000),1000000000))+ROW()/100000,"")</f>
        <v/>
      </c>
    </row>
    <row r="3947">
      <c r="E3947" s="11" t="n"/>
      <c r="M3947" s="7">
        <f>IF($C3947="","",L3947*U3947/100)</f>
        <v/>
      </c>
      <c r="N3947" s="7" t="n"/>
      <c r="T3947" s="7" t="n"/>
      <c r="U3947" s="7">
        <f>IF($C3947="","",S3947*T3947)</f>
        <v/>
      </c>
      <c r="X3947">
        <f>IF($C3947="","",IF($AM3947=1,0,IF($AL3947=1,Settings!$C$6,Settings!$C$7))*100)</f>
        <v/>
      </c>
      <c r="AB3947" s="7" t="n"/>
      <c r="AE3947" s="11" t="n"/>
      <c r="AG3947" s="7">
        <f>IF($C3947="","",U3947*X3947/100)</f>
        <v/>
      </c>
      <c r="AH3947" s="7">
        <f>IF($C3947="","",U3947-AG3947)</f>
        <v/>
      </c>
      <c r="AI3947" s="7">
        <f>IF($C3947="","",AH3947-M3947)</f>
        <v/>
      </c>
      <c r="AJ3947">
        <f>IF($C3947="","",IF(COUNTIF($C$2:$C3947,$C3947)=1,1,0))</f>
        <v/>
      </c>
      <c r="AK3947">
        <f>IF($AJ3947=1,SUMPRODUCT(--($AN$2:$AN$4001&lt;$AN3947))+1,"")</f>
        <v/>
      </c>
      <c r="AL3947">
        <f>IF($C3947="","",IF(OR($Q3947=TRUE(),$Q3947="TRUE"),1,0))</f>
        <v/>
      </c>
      <c r="AM3947">
        <f>IF($C3947="","",IF($W3947="Yes",1,0))</f>
        <v/>
      </c>
      <c r="AN3947">
        <f>IF($AJ3947=1,IFERROR(IF(VALUE($C3947)&lt;100000000,VALUE($C3947),1000000000),IFERROR(IF(VALUE(MID($C3947,2,20))&lt;100000000,VALUE(MID($C3947,2,20)),1000000000),1000000000))+ROW()/100000,"")</f>
        <v/>
      </c>
    </row>
    <row r="3948">
      <c r="E3948" s="11" t="n"/>
      <c r="M3948" s="7">
        <f>IF($C3948="","",L3948*U3948/100)</f>
        <v/>
      </c>
      <c r="N3948" s="7" t="n"/>
      <c r="T3948" s="7" t="n"/>
      <c r="U3948" s="7">
        <f>IF($C3948="","",S3948*T3948)</f>
        <v/>
      </c>
      <c r="X3948">
        <f>IF($C3948="","",IF($AM3948=1,0,IF($AL3948=1,Settings!$C$6,Settings!$C$7))*100)</f>
        <v/>
      </c>
      <c r="AB3948" s="7" t="n"/>
      <c r="AE3948" s="11" t="n"/>
      <c r="AG3948" s="7">
        <f>IF($C3948="","",U3948*X3948/100)</f>
        <v/>
      </c>
      <c r="AH3948" s="7">
        <f>IF($C3948="","",U3948-AG3948)</f>
        <v/>
      </c>
      <c r="AI3948" s="7">
        <f>IF($C3948="","",AH3948-M3948)</f>
        <v/>
      </c>
      <c r="AJ3948">
        <f>IF($C3948="","",IF(COUNTIF($C$2:$C3948,$C3948)=1,1,0))</f>
        <v/>
      </c>
      <c r="AK3948">
        <f>IF($AJ3948=1,SUMPRODUCT(--($AN$2:$AN$4001&lt;$AN3948))+1,"")</f>
        <v/>
      </c>
      <c r="AL3948">
        <f>IF($C3948="","",IF(OR($Q3948=TRUE(),$Q3948="TRUE"),1,0))</f>
        <v/>
      </c>
      <c r="AM3948">
        <f>IF($C3948="","",IF($W3948="Yes",1,0))</f>
        <v/>
      </c>
      <c r="AN3948">
        <f>IF($AJ3948=1,IFERROR(IF(VALUE($C3948)&lt;100000000,VALUE($C3948),1000000000),IFERROR(IF(VALUE(MID($C3948,2,20))&lt;100000000,VALUE(MID($C3948,2,20)),1000000000),1000000000))+ROW()/100000,"")</f>
        <v/>
      </c>
    </row>
    <row r="3949">
      <c r="E3949" s="11" t="n"/>
      <c r="M3949" s="7">
        <f>IF($C3949="","",L3949*U3949/100)</f>
        <v/>
      </c>
      <c r="N3949" s="7" t="n"/>
      <c r="T3949" s="7" t="n"/>
      <c r="U3949" s="7">
        <f>IF($C3949="","",S3949*T3949)</f>
        <v/>
      </c>
      <c r="X3949">
        <f>IF($C3949="","",IF($AM3949=1,0,IF($AL3949=1,Settings!$C$6,Settings!$C$7))*100)</f>
        <v/>
      </c>
      <c r="AB3949" s="7" t="n"/>
      <c r="AE3949" s="11" t="n"/>
      <c r="AG3949" s="7">
        <f>IF($C3949="","",U3949*X3949/100)</f>
        <v/>
      </c>
      <c r="AH3949" s="7">
        <f>IF($C3949="","",U3949-AG3949)</f>
        <v/>
      </c>
      <c r="AI3949" s="7">
        <f>IF($C3949="","",AH3949-M3949)</f>
        <v/>
      </c>
      <c r="AJ3949">
        <f>IF($C3949="","",IF(COUNTIF($C$2:$C3949,$C3949)=1,1,0))</f>
        <v/>
      </c>
      <c r="AK3949">
        <f>IF($AJ3949=1,SUMPRODUCT(--($AN$2:$AN$4001&lt;$AN3949))+1,"")</f>
        <v/>
      </c>
      <c r="AL3949">
        <f>IF($C3949="","",IF(OR($Q3949=TRUE(),$Q3949="TRUE"),1,0))</f>
        <v/>
      </c>
      <c r="AM3949">
        <f>IF($C3949="","",IF($W3949="Yes",1,0))</f>
        <v/>
      </c>
      <c r="AN3949">
        <f>IF($AJ3949=1,IFERROR(IF(VALUE($C3949)&lt;100000000,VALUE($C3949),1000000000),IFERROR(IF(VALUE(MID($C3949,2,20))&lt;100000000,VALUE(MID($C3949,2,20)),1000000000),1000000000))+ROW()/100000,"")</f>
        <v/>
      </c>
    </row>
    <row r="3950">
      <c r="E3950" s="11" t="n"/>
      <c r="M3950" s="7">
        <f>IF($C3950="","",L3950*U3950/100)</f>
        <v/>
      </c>
      <c r="N3950" s="7" t="n"/>
      <c r="T3950" s="7" t="n"/>
      <c r="U3950" s="7">
        <f>IF($C3950="","",S3950*T3950)</f>
        <v/>
      </c>
      <c r="X3950">
        <f>IF($C3950="","",IF($AM3950=1,0,IF($AL3950=1,Settings!$C$6,Settings!$C$7))*100)</f>
        <v/>
      </c>
      <c r="AB3950" s="7" t="n"/>
      <c r="AE3950" s="11" t="n"/>
      <c r="AG3950" s="7">
        <f>IF($C3950="","",U3950*X3950/100)</f>
        <v/>
      </c>
      <c r="AH3950" s="7">
        <f>IF($C3950="","",U3950-AG3950)</f>
        <v/>
      </c>
      <c r="AI3950" s="7">
        <f>IF($C3950="","",AH3950-M3950)</f>
        <v/>
      </c>
      <c r="AJ3950">
        <f>IF($C3950="","",IF(COUNTIF($C$2:$C3950,$C3950)=1,1,0))</f>
        <v/>
      </c>
      <c r="AK3950">
        <f>IF($AJ3950=1,SUMPRODUCT(--($AN$2:$AN$4001&lt;$AN3950))+1,"")</f>
        <v/>
      </c>
      <c r="AL3950">
        <f>IF($C3950="","",IF(OR($Q3950=TRUE(),$Q3950="TRUE"),1,0))</f>
        <v/>
      </c>
      <c r="AM3950">
        <f>IF($C3950="","",IF($W3950="Yes",1,0))</f>
        <v/>
      </c>
      <c r="AN3950">
        <f>IF($AJ3950=1,IFERROR(IF(VALUE($C3950)&lt;100000000,VALUE($C3950),1000000000),IFERROR(IF(VALUE(MID($C3950,2,20))&lt;100000000,VALUE(MID($C3950,2,20)),1000000000),1000000000))+ROW()/100000,"")</f>
        <v/>
      </c>
    </row>
    <row r="3951">
      <c r="E3951" s="11" t="n"/>
      <c r="M3951" s="7">
        <f>IF($C3951="","",L3951*U3951/100)</f>
        <v/>
      </c>
      <c r="N3951" s="7" t="n"/>
      <c r="T3951" s="7" t="n"/>
      <c r="U3951" s="7">
        <f>IF($C3951="","",S3951*T3951)</f>
        <v/>
      </c>
      <c r="X3951">
        <f>IF($C3951="","",IF($AM3951=1,0,IF($AL3951=1,Settings!$C$6,Settings!$C$7))*100)</f>
        <v/>
      </c>
      <c r="AB3951" s="7" t="n"/>
      <c r="AE3951" s="11" t="n"/>
      <c r="AG3951" s="7">
        <f>IF($C3951="","",U3951*X3951/100)</f>
        <v/>
      </c>
      <c r="AH3951" s="7">
        <f>IF($C3951="","",U3951-AG3951)</f>
        <v/>
      </c>
      <c r="AI3951" s="7">
        <f>IF($C3951="","",AH3951-M3951)</f>
        <v/>
      </c>
      <c r="AJ3951">
        <f>IF($C3951="","",IF(COUNTIF($C$2:$C3951,$C3951)=1,1,0))</f>
        <v/>
      </c>
      <c r="AK3951">
        <f>IF($AJ3951=1,SUMPRODUCT(--($AN$2:$AN$4001&lt;$AN3951))+1,"")</f>
        <v/>
      </c>
      <c r="AL3951">
        <f>IF($C3951="","",IF(OR($Q3951=TRUE(),$Q3951="TRUE"),1,0))</f>
        <v/>
      </c>
      <c r="AM3951">
        <f>IF($C3951="","",IF($W3951="Yes",1,0))</f>
        <v/>
      </c>
      <c r="AN3951">
        <f>IF($AJ3951=1,IFERROR(IF(VALUE($C3951)&lt;100000000,VALUE($C3951),1000000000),IFERROR(IF(VALUE(MID($C3951,2,20))&lt;100000000,VALUE(MID($C3951,2,20)),1000000000),1000000000))+ROW()/100000,"")</f>
        <v/>
      </c>
    </row>
    <row r="3952">
      <c r="E3952" s="11" t="n"/>
      <c r="M3952" s="7">
        <f>IF($C3952="","",L3952*U3952/100)</f>
        <v/>
      </c>
      <c r="N3952" s="7" t="n"/>
      <c r="T3952" s="7" t="n"/>
      <c r="U3952" s="7">
        <f>IF($C3952="","",S3952*T3952)</f>
        <v/>
      </c>
      <c r="X3952">
        <f>IF($C3952="","",IF($AM3952=1,0,IF($AL3952=1,Settings!$C$6,Settings!$C$7))*100)</f>
        <v/>
      </c>
      <c r="AB3952" s="7" t="n"/>
      <c r="AE3952" s="11" t="n"/>
      <c r="AG3952" s="7">
        <f>IF($C3952="","",U3952*X3952/100)</f>
        <v/>
      </c>
      <c r="AH3952" s="7">
        <f>IF($C3952="","",U3952-AG3952)</f>
        <v/>
      </c>
      <c r="AI3952" s="7">
        <f>IF($C3952="","",AH3952-M3952)</f>
        <v/>
      </c>
      <c r="AJ3952">
        <f>IF($C3952="","",IF(COUNTIF($C$2:$C3952,$C3952)=1,1,0))</f>
        <v/>
      </c>
      <c r="AK3952">
        <f>IF($AJ3952=1,SUMPRODUCT(--($AN$2:$AN$4001&lt;$AN3952))+1,"")</f>
        <v/>
      </c>
      <c r="AL3952">
        <f>IF($C3952="","",IF(OR($Q3952=TRUE(),$Q3952="TRUE"),1,0))</f>
        <v/>
      </c>
      <c r="AM3952">
        <f>IF($C3952="","",IF($W3952="Yes",1,0))</f>
        <v/>
      </c>
      <c r="AN3952">
        <f>IF($AJ3952=1,IFERROR(IF(VALUE($C3952)&lt;100000000,VALUE($C3952),1000000000),IFERROR(IF(VALUE(MID($C3952,2,20))&lt;100000000,VALUE(MID($C3952,2,20)),1000000000),1000000000))+ROW()/100000,"")</f>
        <v/>
      </c>
    </row>
    <row r="3953">
      <c r="E3953" s="11" t="n"/>
      <c r="M3953" s="7">
        <f>IF($C3953="","",L3953*U3953/100)</f>
        <v/>
      </c>
      <c r="N3953" s="7" t="n"/>
      <c r="T3953" s="7" t="n"/>
      <c r="U3953" s="7">
        <f>IF($C3953="","",S3953*T3953)</f>
        <v/>
      </c>
      <c r="X3953">
        <f>IF($C3953="","",IF($AM3953=1,0,IF($AL3953=1,Settings!$C$6,Settings!$C$7))*100)</f>
        <v/>
      </c>
      <c r="AB3953" s="7" t="n"/>
      <c r="AE3953" s="11" t="n"/>
      <c r="AG3953" s="7">
        <f>IF($C3953="","",U3953*X3953/100)</f>
        <v/>
      </c>
      <c r="AH3953" s="7">
        <f>IF($C3953="","",U3953-AG3953)</f>
        <v/>
      </c>
      <c r="AI3953" s="7">
        <f>IF($C3953="","",AH3953-M3953)</f>
        <v/>
      </c>
      <c r="AJ3953">
        <f>IF($C3953="","",IF(COUNTIF($C$2:$C3953,$C3953)=1,1,0))</f>
        <v/>
      </c>
      <c r="AK3953">
        <f>IF($AJ3953=1,SUMPRODUCT(--($AN$2:$AN$4001&lt;$AN3953))+1,"")</f>
        <v/>
      </c>
      <c r="AL3953">
        <f>IF($C3953="","",IF(OR($Q3953=TRUE(),$Q3953="TRUE"),1,0))</f>
        <v/>
      </c>
      <c r="AM3953">
        <f>IF($C3953="","",IF($W3953="Yes",1,0))</f>
        <v/>
      </c>
      <c r="AN3953">
        <f>IF($AJ3953=1,IFERROR(IF(VALUE($C3953)&lt;100000000,VALUE($C3953),1000000000),IFERROR(IF(VALUE(MID($C3953,2,20))&lt;100000000,VALUE(MID($C3953,2,20)),1000000000),1000000000))+ROW()/100000,"")</f>
        <v/>
      </c>
    </row>
    <row r="3954">
      <c r="E3954" s="11" t="n"/>
      <c r="M3954" s="7">
        <f>IF($C3954="","",L3954*U3954/100)</f>
        <v/>
      </c>
      <c r="N3954" s="7" t="n"/>
      <c r="T3954" s="7" t="n"/>
      <c r="U3954" s="7">
        <f>IF($C3954="","",S3954*T3954)</f>
        <v/>
      </c>
      <c r="X3954">
        <f>IF($C3954="","",IF($AM3954=1,0,IF($AL3954=1,Settings!$C$6,Settings!$C$7))*100)</f>
        <v/>
      </c>
      <c r="AB3954" s="7" t="n"/>
      <c r="AE3954" s="11" t="n"/>
      <c r="AG3954" s="7">
        <f>IF($C3954="","",U3954*X3954/100)</f>
        <v/>
      </c>
      <c r="AH3954" s="7">
        <f>IF($C3954="","",U3954-AG3954)</f>
        <v/>
      </c>
      <c r="AI3954" s="7">
        <f>IF($C3954="","",AH3954-M3954)</f>
        <v/>
      </c>
      <c r="AJ3954">
        <f>IF($C3954="","",IF(COUNTIF($C$2:$C3954,$C3954)=1,1,0))</f>
        <v/>
      </c>
      <c r="AK3954">
        <f>IF($AJ3954=1,SUMPRODUCT(--($AN$2:$AN$4001&lt;$AN3954))+1,"")</f>
        <v/>
      </c>
      <c r="AL3954">
        <f>IF($C3954="","",IF(OR($Q3954=TRUE(),$Q3954="TRUE"),1,0))</f>
        <v/>
      </c>
      <c r="AM3954">
        <f>IF($C3954="","",IF($W3954="Yes",1,0))</f>
        <v/>
      </c>
      <c r="AN3954">
        <f>IF($AJ3954=1,IFERROR(IF(VALUE($C3954)&lt;100000000,VALUE($C3954),1000000000),IFERROR(IF(VALUE(MID($C3954,2,20))&lt;100000000,VALUE(MID($C3954,2,20)),1000000000),1000000000))+ROW()/100000,"")</f>
        <v/>
      </c>
    </row>
    <row r="3955">
      <c r="E3955" s="11" t="n"/>
      <c r="M3955" s="7">
        <f>IF($C3955="","",L3955*U3955/100)</f>
        <v/>
      </c>
      <c r="N3955" s="7" t="n"/>
      <c r="T3955" s="7" t="n"/>
      <c r="U3955" s="7">
        <f>IF($C3955="","",S3955*T3955)</f>
        <v/>
      </c>
      <c r="X3955">
        <f>IF($C3955="","",IF($AM3955=1,0,IF($AL3955=1,Settings!$C$6,Settings!$C$7))*100)</f>
        <v/>
      </c>
      <c r="AB3955" s="7" t="n"/>
      <c r="AE3955" s="11" t="n"/>
      <c r="AG3955" s="7">
        <f>IF($C3955="","",U3955*X3955/100)</f>
        <v/>
      </c>
      <c r="AH3955" s="7">
        <f>IF($C3955="","",U3955-AG3955)</f>
        <v/>
      </c>
      <c r="AI3955" s="7">
        <f>IF($C3955="","",AH3955-M3955)</f>
        <v/>
      </c>
      <c r="AJ3955">
        <f>IF($C3955="","",IF(COUNTIF($C$2:$C3955,$C3955)=1,1,0))</f>
        <v/>
      </c>
      <c r="AK3955">
        <f>IF($AJ3955=1,SUMPRODUCT(--($AN$2:$AN$4001&lt;$AN3955))+1,"")</f>
        <v/>
      </c>
      <c r="AL3955">
        <f>IF($C3955="","",IF(OR($Q3955=TRUE(),$Q3955="TRUE"),1,0))</f>
        <v/>
      </c>
      <c r="AM3955">
        <f>IF($C3955="","",IF($W3955="Yes",1,0))</f>
        <v/>
      </c>
      <c r="AN3955">
        <f>IF($AJ3955=1,IFERROR(IF(VALUE($C3955)&lt;100000000,VALUE($C3955),1000000000),IFERROR(IF(VALUE(MID($C3955,2,20))&lt;100000000,VALUE(MID($C3955,2,20)),1000000000),1000000000))+ROW()/100000,"")</f>
        <v/>
      </c>
    </row>
    <row r="3956">
      <c r="E3956" s="11" t="n"/>
      <c r="M3956" s="7">
        <f>IF($C3956="","",L3956*U3956/100)</f>
        <v/>
      </c>
      <c r="N3956" s="7" t="n"/>
      <c r="T3956" s="7" t="n"/>
      <c r="U3956" s="7">
        <f>IF($C3956="","",S3956*T3956)</f>
        <v/>
      </c>
      <c r="X3956">
        <f>IF($C3956="","",IF($AM3956=1,0,IF($AL3956=1,Settings!$C$6,Settings!$C$7))*100)</f>
        <v/>
      </c>
      <c r="AB3956" s="7" t="n"/>
      <c r="AE3956" s="11" t="n"/>
      <c r="AG3956" s="7">
        <f>IF($C3956="","",U3956*X3956/100)</f>
        <v/>
      </c>
      <c r="AH3956" s="7">
        <f>IF($C3956="","",U3956-AG3956)</f>
        <v/>
      </c>
      <c r="AI3956" s="7">
        <f>IF($C3956="","",AH3956-M3956)</f>
        <v/>
      </c>
      <c r="AJ3956">
        <f>IF($C3956="","",IF(COUNTIF($C$2:$C3956,$C3956)=1,1,0))</f>
        <v/>
      </c>
      <c r="AK3956">
        <f>IF($AJ3956=1,SUMPRODUCT(--($AN$2:$AN$4001&lt;$AN3956))+1,"")</f>
        <v/>
      </c>
      <c r="AL3956">
        <f>IF($C3956="","",IF(OR($Q3956=TRUE(),$Q3956="TRUE"),1,0))</f>
        <v/>
      </c>
      <c r="AM3956">
        <f>IF($C3956="","",IF($W3956="Yes",1,0))</f>
        <v/>
      </c>
      <c r="AN3956">
        <f>IF($AJ3956=1,IFERROR(IF(VALUE($C3956)&lt;100000000,VALUE($C3956),1000000000),IFERROR(IF(VALUE(MID($C3956,2,20))&lt;100000000,VALUE(MID($C3956,2,20)),1000000000),1000000000))+ROW()/100000,"")</f>
        <v/>
      </c>
    </row>
    <row r="3957">
      <c r="E3957" s="11" t="n"/>
      <c r="M3957" s="7">
        <f>IF($C3957="","",L3957*U3957/100)</f>
        <v/>
      </c>
      <c r="N3957" s="7" t="n"/>
      <c r="T3957" s="7" t="n"/>
      <c r="U3957" s="7">
        <f>IF($C3957="","",S3957*T3957)</f>
        <v/>
      </c>
      <c r="X3957">
        <f>IF($C3957="","",IF($AM3957=1,0,IF($AL3957=1,Settings!$C$6,Settings!$C$7))*100)</f>
        <v/>
      </c>
      <c r="AB3957" s="7" t="n"/>
      <c r="AE3957" s="11" t="n"/>
      <c r="AG3957" s="7">
        <f>IF($C3957="","",U3957*X3957/100)</f>
        <v/>
      </c>
      <c r="AH3957" s="7">
        <f>IF($C3957="","",U3957-AG3957)</f>
        <v/>
      </c>
      <c r="AI3957" s="7">
        <f>IF($C3957="","",AH3957-M3957)</f>
        <v/>
      </c>
      <c r="AJ3957">
        <f>IF($C3957="","",IF(COUNTIF($C$2:$C3957,$C3957)=1,1,0))</f>
        <v/>
      </c>
      <c r="AK3957">
        <f>IF($AJ3957=1,SUMPRODUCT(--($AN$2:$AN$4001&lt;$AN3957))+1,"")</f>
        <v/>
      </c>
      <c r="AL3957">
        <f>IF($C3957="","",IF(OR($Q3957=TRUE(),$Q3957="TRUE"),1,0))</f>
        <v/>
      </c>
      <c r="AM3957">
        <f>IF($C3957="","",IF($W3957="Yes",1,0))</f>
        <v/>
      </c>
      <c r="AN3957">
        <f>IF($AJ3957=1,IFERROR(IF(VALUE($C3957)&lt;100000000,VALUE($C3957),1000000000),IFERROR(IF(VALUE(MID($C3957,2,20))&lt;100000000,VALUE(MID($C3957,2,20)),1000000000),1000000000))+ROW()/100000,"")</f>
        <v/>
      </c>
    </row>
    <row r="3958">
      <c r="E3958" s="11" t="n"/>
      <c r="M3958" s="7">
        <f>IF($C3958="","",L3958*U3958/100)</f>
        <v/>
      </c>
      <c r="N3958" s="7" t="n"/>
      <c r="T3958" s="7" t="n"/>
      <c r="U3958" s="7">
        <f>IF($C3958="","",S3958*T3958)</f>
        <v/>
      </c>
      <c r="X3958">
        <f>IF($C3958="","",IF($AM3958=1,0,IF($AL3958=1,Settings!$C$6,Settings!$C$7))*100)</f>
        <v/>
      </c>
      <c r="AB3958" s="7" t="n"/>
      <c r="AE3958" s="11" t="n"/>
      <c r="AG3958" s="7">
        <f>IF($C3958="","",U3958*X3958/100)</f>
        <v/>
      </c>
      <c r="AH3958" s="7">
        <f>IF($C3958="","",U3958-AG3958)</f>
        <v/>
      </c>
      <c r="AI3958" s="7">
        <f>IF($C3958="","",AH3958-M3958)</f>
        <v/>
      </c>
      <c r="AJ3958">
        <f>IF($C3958="","",IF(COUNTIF($C$2:$C3958,$C3958)=1,1,0))</f>
        <v/>
      </c>
      <c r="AK3958">
        <f>IF($AJ3958=1,SUMPRODUCT(--($AN$2:$AN$4001&lt;$AN3958))+1,"")</f>
        <v/>
      </c>
      <c r="AL3958">
        <f>IF($C3958="","",IF(OR($Q3958=TRUE(),$Q3958="TRUE"),1,0))</f>
        <v/>
      </c>
      <c r="AM3958">
        <f>IF($C3958="","",IF($W3958="Yes",1,0))</f>
        <v/>
      </c>
      <c r="AN3958">
        <f>IF($AJ3958=1,IFERROR(IF(VALUE($C3958)&lt;100000000,VALUE($C3958),1000000000),IFERROR(IF(VALUE(MID($C3958,2,20))&lt;100000000,VALUE(MID($C3958,2,20)),1000000000),1000000000))+ROW()/100000,"")</f>
        <v/>
      </c>
    </row>
    <row r="3959">
      <c r="E3959" s="11" t="n"/>
      <c r="M3959" s="7">
        <f>IF($C3959="","",L3959*U3959/100)</f>
        <v/>
      </c>
      <c r="N3959" s="7" t="n"/>
      <c r="T3959" s="7" t="n"/>
      <c r="U3959" s="7">
        <f>IF($C3959="","",S3959*T3959)</f>
        <v/>
      </c>
      <c r="X3959">
        <f>IF($C3959="","",IF($AM3959=1,0,IF($AL3959=1,Settings!$C$6,Settings!$C$7))*100)</f>
        <v/>
      </c>
      <c r="AB3959" s="7" t="n"/>
      <c r="AE3959" s="11" t="n"/>
      <c r="AG3959" s="7">
        <f>IF($C3959="","",U3959*X3959/100)</f>
        <v/>
      </c>
      <c r="AH3959" s="7">
        <f>IF($C3959="","",U3959-AG3959)</f>
        <v/>
      </c>
      <c r="AI3959" s="7">
        <f>IF($C3959="","",AH3959-M3959)</f>
        <v/>
      </c>
      <c r="AJ3959">
        <f>IF($C3959="","",IF(COUNTIF($C$2:$C3959,$C3959)=1,1,0))</f>
        <v/>
      </c>
      <c r="AK3959">
        <f>IF($AJ3959=1,SUMPRODUCT(--($AN$2:$AN$4001&lt;$AN3959))+1,"")</f>
        <v/>
      </c>
      <c r="AL3959">
        <f>IF($C3959="","",IF(OR($Q3959=TRUE(),$Q3959="TRUE"),1,0))</f>
        <v/>
      </c>
      <c r="AM3959">
        <f>IF($C3959="","",IF($W3959="Yes",1,0))</f>
        <v/>
      </c>
      <c r="AN3959">
        <f>IF($AJ3959=1,IFERROR(IF(VALUE($C3959)&lt;100000000,VALUE($C3959),1000000000),IFERROR(IF(VALUE(MID($C3959,2,20))&lt;100000000,VALUE(MID($C3959,2,20)),1000000000),1000000000))+ROW()/100000,"")</f>
        <v/>
      </c>
    </row>
    <row r="3960">
      <c r="E3960" s="11" t="n"/>
      <c r="M3960" s="7">
        <f>IF($C3960="","",L3960*U3960/100)</f>
        <v/>
      </c>
      <c r="N3960" s="7" t="n"/>
      <c r="T3960" s="7" t="n"/>
      <c r="U3960" s="7">
        <f>IF($C3960="","",S3960*T3960)</f>
        <v/>
      </c>
      <c r="X3960">
        <f>IF($C3960="","",IF($AM3960=1,0,IF($AL3960=1,Settings!$C$6,Settings!$C$7))*100)</f>
        <v/>
      </c>
      <c r="AB3960" s="7" t="n"/>
      <c r="AE3960" s="11" t="n"/>
      <c r="AG3960" s="7">
        <f>IF($C3960="","",U3960*X3960/100)</f>
        <v/>
      </c>
      <c r="AH3960" s="7">
        <f>IF($C3960="","",U3960-AG3960)</f>
        <v/>
      </c>
      <c r="AI3960" s="7">
        <f>IF($C3960="","",AH3960-M3960)</f>
        <v/>
      </c>
      <c r="AJ3960">
        <f>IF($C3960="","",IF(COUNTIF($C$2:$C3960,$C3960)=1,1,0))</f>
        <v/>
      </c>
      <c r="AK3960">
        <f>IF($AJ3960=1,SUMPRODUCT(--($AN$2:$AN$4001&lt;$AN3960))+1,"")</f>
        <v/>
      </c>
      <c r="AL3960">
        <f>IF($C3960="","",IF(OR($Q3960=TRUE(),$Q3960="TRUE"),1,0))</f>
        <v/>
      </c>
      <c r="AM3960">
        <f>IF($C3960="","",IF($W3960="Yes",1,0))</f>
        <v/>
      </c>
      <c r="AN3960">
        <f>IF($AJ3960=1,IFERROR(IF(VALUE($C3960)&lt;100000000,VALUE($C3960),1000000000),IFERROR(IF(VALUE(MID($C3960,2,20))&lt;100000000,VALUE(MID($C3960,2,20)),1000000000),1000000000))+ROW()/100000,"")</f>
        <v/>
      </c>
    </row>
    <row r="3961">
      <c r="E3961" s="11" t="n"/>
      <c r="M3961" s="7">
        <f>IF($C3961="","",L3961*U3961/100)</f>
        <v/>
      </c>
      <c r="N3961" s="7" t="n"/>
      <c r="T3961" s="7" t="n"/>
      <c r="U3961" s="7">
        <f>IF($C3961="","",S3961*T3961)</f>
        <v/>
      </c>
      <c r="X3961">
        <f>IF($C3961="","",IF($AM3961=1,0,IF($AL3961=1,Settings!$C$6,Settings!$C$7))*100)</f>
        <v/>
      </c>
      <c r="AB3961" s="7" t="n"/>
      <c r="AE3961" s="11" t="n"/>
      <c r="AG3961" s="7">
        <f>IF($C3961="","",U3961*X3961/100)</f>
        <v/>
      </c>
      <c r="AH3961" s="7">
        <f>IF($C3961="","",U3961-AG3961)</f>
        <v/>
      </c>
      <c r="AI3961" s="7">
        <f>IF($C3961="","",AH3961-M3961)</f>
        <v/>
      </c>
      <c r="AJ3961">
        <f>IF($C3961="","",IF(COUNTIF($C$2:$C3961,$C3961)=1,1,0))</f>
        <v/>
      </c>
      <c r="AK3961">
        <f>IF($AJ3961=1,SUMPRODUCT(--($AN$2:$AN$4001&lt;$AN3961))+1,"")</f>
        <v/>
      </c>
      <c r="AL3961">
        <f>IF($C3961="","",IF(OR($Q3961=TRUE(),$Q3961="TRUE"),1,0))</f>
        <v/>
      </c>
      <c r="AM3961">
        <f>IF($C3961="","",IF($W3961="Yes",1,0))</f>
        <v/>
      </c>
      <c r="AN3961">
        <f>IF($AJ3961=1,IFERROR(IF(VALUE($C3961)&lt;100000000,VALUE($C3961),1000000000),IFERROR(IF(VALUE(MID($C3961,2,20))&lt;100000000,VALUE(MID($C3961,2,20)),1000000000),1000000000))+ROW()/100000,"")</f>
        <v/>
      </c>
    </row>
    <row r="3962">
      <c r="E3962" s="11" t="n"/>
      <c r="M3962" s="7">
        <f>IF($C3962="","",L3962*U3962/100)</f>
        <v/>
      </c>
      <c r="N3962" s="7" t="n"/>
      <c r="T3962" s="7" t="n"/>
      <c r="U3962" s="7">
        <f>IF($C3962="","",S3962*T3962)</f>
        <v/>
      </c>
      <c r="X3962">
        <f>IF($C3962="","",IF($AM3962=1,0,IF($AL3962=1,Settings!$C$6,Settings!$C$7))*100)</f>
        <v/>
      </c>
      <c r="AB3962" s="7" t="n"/>
      <c r="AE3962" s="11" t="n"/>
      <c r="AG3962" s="7">
        <f>IF($C3962="","",U3962*X3962/100)</f>
        <v/>
      </c>
      <c r="AH3962" s="7">
        <f>IF($C3962="","",U3962-AG3962)</f>
        <v/>
      </c>
      <c r="AI3962" s="7">
        <f>IF($C3962="","",AH3962-M3962)</f>
        <v/>
      </c>
      <c r="AJ3962">
        <f>IF($C3962="","",IF(COUNTIF($C$2:$C3962,$C3962)=1,1,0))</f>
        <v/>
      </c>
      <c r="AK3962">
        <f>IF($AJ3962=1,SUMPRODUCT(--($AN$2:$AN$4001&lt;$AN3962))+1,"")</f>
        <v/>
      </c>
      <c r="AL3962">
        <f>IF($C3962="","",IF(OR($Q3962=TRUE(),$Q3962="TRUE"),1,0))</f>
        <v/>
      </c>
      <c r="AM3962">
        <f>IF($C3962="","",IF($W3962="Yes",1,0))</f>
        <v/>
      </c>
      <c r="AN3962">
        <f>IF($AJ3962=1,IFERROR(IF(VALUE($C3962)&lt;100000000,VALUE($C3962),1000000000),IFERROR(IF(VALUE(MID($C3962,2,20))&lt;100000000,VALUE(MID($C3962,2,20)),1000000000),1000000000))+ROW()/100000,"")</f>
        <v/>
      </c>
    </row>
    <row r="3963">
      <c r="E3963" s="11" t="n"/>
      <c r="M3963" s="7">
        <f>IF($C3963="","",L3963*U3963/100)</f>
        <v/>
      </c>
      <c r="N3963" s="7" t="n"/>
      <c r="T3963" s="7" t="n"/>
      <c r="U3963" s="7">
        <f>IF($C3963="","",S3963*T3963)</f>
        <v/>
      </c>
      <c r="X3963">
        <f>IF($C3963="","",IF($AM3963=1,0,IF($AL3963=1,Settings!$C$6,Settings!$C$7))*100)</f>
        <v/>
      </c>
      <c r="AB3963" s="7" t="n"/>
      <c r="AE3963" s="11" t="n"/>
      <c r="AG3963" s="7">
        <f>IF($C3963="","",U3963*X3963/100)</f>
        <v/>
      </c>
      <c r="AH3963" s="7">
        <f>IF($C3963="","",U3963-AG3963)</f>
        <v/>
      </c>
      <c r="AI3963" s="7">
        <f>IF($C3963="","",AH3963-M3963)</f>
        <v/>
      </c>
      <c r="AJ3963">
        <f>IF($C3963="","",IF(COUNTIF($C$2:$C3963,$C3963)=1,1,0))</f>
        <v/>
      </c>
      <c r="AK3963">
        <f>IF($AJ3963=1,SUMPRODUCT(--($AN$2:$AN$4001&lt;$AN3963))+1,"")</f>
        <v/>
      </c>
      <c r="AL3963">
        <f>IF($C3963="","",IF(OR($Q3963=TRUE(),$Q3963="TRUE"),1,0))</f>
        <v/>
      </c>
      <c r="AM3963">
        <f>IF($C3963="","",IF($W3963="Yes",1,0))</f>
        <v/>
      </c>
      <c r="AN3963">
        <f>IF($AJ3963=1,IFERROR(IF(VALUE($C3963)&lt;100000000,VALUE($C3963),1000000000),IFERROR(IF(VALUE(MID($C3963,2,20))&lt;100000000,VALUE(MID($C3963,2,20)),1000000000),1000000000))+ROW()/100000,"")</f>
        <v/>
      </c>
    </row>
    <row r="3964">
      <c r="E3964" s="11" t="n"/>
      <c r="M3964" s="7">
        <f>IF($C3964="","",L3964*U3964/100)</f>
        <v/>
      </c>
      <c r="N3964" s="7" t="n"/>
      <c r="T3964" s="7" t="n"/>
      <c r="U3964" s="7">
        <f>IF($C3964="","",S3964*T3964)</f>
        <v/>
      </c>
      <c r="X3964">
        <f>IF($C3964="","",IF($AM3964=1,0,IF($AL3964=1,Settings!$C$6,Settings!$C$7))*100)</f>
        <v/>
      </c>
      <c r="AB3964" s="7" t="n"/>
      <c r="AE3964" s="11" t="n"/>
      <c r="AG3964" s="7">
        <f>IF($C3964="","",U3964*X3964/100)</f>
        <v/>
      </c>
      <c r="AH3964" s="7">
        <f>IF($C3964="","",U3964-AG3964)</f>
        <v/>
      </c>
      <c r="AI3964" s="7">
        <f>IF($C3964="","",AH3964-M3964)</f>
        <v/>
      </c>
      <c r="AJ3964">
        <f>IF($C3964="","",IF(COUNTIF($C$2:$C3964,$C3964)=1,1,0))</f>
        <v/>
      </c>
      <c r="AK3964">
        <f>IF($AJ3964=1,SUMPRODUCT(--($AN$2:$AN$4001&lt;$AN3964))+1,"")</f>
        <v/>
      </c>
      <c r="AL3964">
        <f>IF($C3964="","",IF(OR($Q3964=TRUE(),$Q3964="TRUE"),1,0))</f>
        <v/>
      </c>
      <c r="AM3964">
        <f>IF($C3964="","",IF($W3964="Yes",1,0))</f>
        <v/>
      </c>
      <c r="AN3964">
        <f>IF($AJ3964=1,IFERROR(IF(VALUE($C3964)&lt;100000000,VALUE($C3964),1000000000),IFERROR(IF(VALUE(MID($C3964,2,20))&lt;100000000,VALUE(MID($C3964,2,20)),1000000000),1000000000))+ROW()/100000,"")</f>
        <v/>
      </c>
    </row>
    <row r="3965">
      <c r="E3965" s="11" t="n"/>
      <c r="M3965" s="7">
        <f>IF($C3965="","",L3965*U3965/100)</f>
        <v/>
      </c>
      <c r="N3965" s="7" t="n"/>
      <c r="T3965" s="7" t="n"/>
      <c r="U3965" s="7">
        <f>IF($C3965="","",S3965*T3965)</f>
        <v/>
      </c>
      <c r="X3965">
        <f>IF($C3965="","",IF($AM3965=1,0,IF($AL3965=1,Settings!$C$6,Settings!$C$7))*100)</f>
        <v/>
      </c>
      <c r="AB3965" s="7" t="n"/>
      <c r="AE3965" s="11" t="n"/>
      <c r="AG3965" s="7">
        <f>IF($C3965="","",U3965*X3965/100)</f>
        <v/>
      </c>
      <c r="AH3965" s="7">
        <f>IF($C3965="","",U3965-AG3965)</f>
        <v/>
      </c>
      <c r="AI3965" s="7">
        <f>IF($C3965="","",AH3965-M3965)</f>
        <v/>
      </c>
      <c r="AJ3965">
        <f>IF($C3965="","",IF(COUNTIF($C$2:$C3965,$C3965)=1,1,0))</f>
        <v/>
      </c>
      <c r="AK3965">
        <f>IF($AJ3965=1,SUMPRODUCT(--($AN$2:$AN$4001&lt;$AN3965))+1,"")</f>
        <v/>
      </c>
      <c r="AL3965">
        <f>IF($C3965="","",IF(OR($Q3965=TRUE(),$Q3965="TRUE"),1,0))</f>
        <v/>
      </c>
      <c r="AM3965">
        <f>IF($C3965="","",IF($W3965="Yes",1,0))</f>
        <v/>
      </c>
      <c r="AN3965">
        <f>IF($AJ3965=1,IFERROR(IF(VALUE($C3965)&lt;100000000,VALUE($C3965),1000000000),IFERROR(IF(VALUE(MID($C3965,2,20))&lt;100000000,VALUE(MID($C3965,2,20)),1000000000),1000000000))+ROW()/100000,"")</f>
        <v/>
      </c>
    </row>
    <row r="3966">
      <c r="E3966" s="11" t="n"/>
      <c r="M3966" s="7">
        <f>IF($C3966="","",L3966*U3966/100)</f>
        <v/>
      </c>
      <c r="N3966" s="7" t="n"/>
      <c r="T3966" s="7" t="n"/>
      <c r="U3966" s="7">
        <f>IF($C3966="","",S3966*T3966)</f>
        <v/>
      </c>
      <c r="X3966">
        <f>IF($C3966="","",IF($AM3966=1,0,IF($AL3966=1,Settings!$C$6,Settings!$C$7))*100)</f>
        <v/>
      </c>
      <c r="AB3966" s="7" t="n"/>
      <c r="AE3966" s="11" t="n"/>
      <c r="AG3966" s="7">
        <f>IF($C3966="","",U3966*X3966/100)</f>
        <v/>
      </c>
      <c r="AH3966" s="7">
        <f>IF($C3966="","",U3966-AG3966)</f>
        <v/>
      </c>
      <c r="AI3966" s="7">
        <f>IF($C3966="","",AH3966-M3966)</f>
        <v/>
      </c>
      <c r="AJ3966">
        <f>IF($C3966="","",IF(COUNTIF($C$2:$C3966,$C3966)=1,1,0))</f>
        <v/>
      </c>
      <c r="AK3966">
        <f>IF($AJ3966=1,SUMPRODUCT(--($AN$2:$AN$4001&lt;$AN3966))+1,"")</f>
        <v/>
      </c>
      <c r="AL3966">
        <f>IF($C3966="","",IF(OR($Q3966=TRUE(),$Q3966="TRUE"),1,0))</f>
        <v/>
      </c>
      <c r="AM3966">
        <f>IF($C3966="","",IF($W3966="Yes",1,0))</f>
        <v/>
      </c>
      <c r="AN3966">
        <f>IF($AJ3966=1,IFERROR(IF(VALUE($C3966)&lt;100000000,VALUE($C3966),1000000000),IFERROR(IF(VALUE(MID($C3966,2,20))&lt;100000000,VALUE(MID($C3966,2,20)),1000000000),1000000000))+ROW()/100000,"")</f>
        <v/>
      </c>
    </row>
    <row r="3967">
      <c r="E3967" s="11" t="n"/>
      <c r="M3967" s="7">
        <f>IF($C3967="","",L3967*U3967/100)</f>
        <v/>
      </c>
      <c r="N3967" s="7" t="n"/>
      <c r="T3967" s="7" t="n"/>
      <c r="U3967" s="7">
        <f>IF($C3967="","",S3967*T3967)</f>
        <v/>
      </c>
      <c r="X3967">
        <f>IF($C3967="","",IF($AM3967=1,0,IF($AL3967=1,Settings!$C$6,Settings!$C$7))*100)</f>
        <v/>
      </c>
      <c r="AB3967" s="7" t="n"/>
      <c r="AE3967" s="11" t="n"/>
      <c r="AG3967" s="7">
        <f>IF($C3967="","",U3967*X3967/100)</f>
        <v/>
      </c>
      <c r="AH3967" s="7">
        <f>IF($C3967="","",U3967-AG3967)</f>
        <v/>
      </c>
      <c r="AI3967" s="7">
        <f>IF($C3967="","",AH3967-M3967)</f>
        <v/>
      </c>
      <c r="AJ3967">
        <f>IF($C3967="","",IF(COUNTIF($C$2:$C3967,$C3967)=1,1,0))</f>
        <v/>
      </c>
      <c r="AK3967">
        <f>IF($AJ3967=1,SUMPRODUCT(--($AN$2:$AN$4001&lt;$AN3967))+1,"")</f>
        <v/>
      </c>
      <c r="AL3967">
        <f>IF($C3967="","",IF(OR($Q3967=TRUE(),$Q3967="TRUE"),1,0))</f>
        <v/>
      </c>
      <c r="AM3967">
        <f>IF($C3967="","",IF($W3967="Yes",1,0))</f>
        <v/>
      </c>
      <c r="AN3967">
        <f>IF($AJ3967=1,IFERROR(IF(VALUE($C3967)&lt;100000000,VALUE($C3967),1000000000),IFERROR(IF(VALUE(MID($C3967,2,20))&lt;100000000,VALUE(MID($C3967,2,20)),1000000000),1000000000))+ROW()/100000,"")</f>
        <v/>
      </c>
    </row>
    <row r="3968">
      <c r="E3968" s="11" t="n"/>
      <c r="M3968" s="7">
        <f>IF($C3968="","",L3968*U3968/100)</f>
        <v/>
      </c>
      <c r="N3968" s="7" t="n"/>
      <c r="T3968" s="7" t="n"/>
      <c r="U3968" s="7">
        <f>IF($C3968="","",S3968*T3968)</f>
        <v/>
      </c>
      <c r="X3968">
        <f>IF($C3968="","",IF($AM3968=1,0,IF($AL3968=1,Settings!$C$6,Settings!$C$7))*100)</f>
        <v/>
      </c>
      <c r="AB3968" s="7" t="n"/>
      <c r="AE3968" s="11" t="n"/>
      <c r="AG3968" s="7">
        <f>IF($C3968="","",U3968*X3968/100)</f>
        <v/>
      </c>
      <c r="AH3968" s="7">
        <f>IF($C3968="","",U3968-AG3968)</f>
        <v/>
      </c>
      <c r="AI3968" s="7">
        <f>IF($C3968="","",AH3968-M3968)</f>
        <v/>
      </c>
      <c r="AJ3968">
        <f>IF($C3968="","",IF(COUNTIF($C$2:$C3968,$C3968)=1,1,0))</f>
        <v/>
      </c>
      <c r="AK3968">
        <f>IF($AJ3968=1,SUMPRODUCT(--($AN$2:$AN$4001&lt;$AN3968))+1,"")</f>
        <v/>
      </c>
      <c r="AL3968">
        <f>IF($C3968="","",IF(OR($Q3968=TRUE(),$Q3968="TRUE"),1,0))</f>
        <v/>
      </c>
      <c r="AM3968">
        <f>IF($C3968="","",IF($W3968="Yes",1,0))</f>
        <v/>
      </c>
      <c r="AN3968">
        <f>IF($AJ3968=1,IFERROR(IF(VALUE($C3968)&lt;100000000,VALUE($C3968),1000000000),IFERROR(IF(VALUE(MID($C3968,2,20))&lt;100000000,VALUE(MID($C3968,2,20)),1000000000),1000000000))+ROW()/100000,"")</f>
        <v/>
      </c>
    </row>
    <row r="3969">
      <c r="E3969" s="11" t="n"/>
      <c r="M3969" s="7">
        <f>IF($C3969="","",L3969*U3969/100)</f>
        <v/>
      </c>
      <c r="N3969" s="7" t="n"/>
      <c r="T3969" s="7" t="n"/>
      <c r="U3969" s="7">
        <f>IF($C3969="","",S3969*T3969)</f>
        <v/>
      </c>
      <c r="X3969">
        <f>IF($C3969="","",IF($AM3969=1,0,IF($AL3969=1,Settings!$C$6,Settings!$C$7))*100)</f>
        <v/>
      </c>
      <c r="AB3969" s="7" t="n"/>
      <c r="AE3969" s="11" t="n"/>
      <c r="AG3969" s="7">
        <f>IF($C3969="","",U3969*X3969/100)</f>
        <v/>
      </c>
      <c r="AH3969" s="7">
        <f>IF($C3969="","",U3969-AG3969)</f>
        <v/>
      </c>
      <c r="AI3969" s="7">
        <f>IF($C3969="","",AH3969-M3969)</f>
        <v/>
      </c>
      <c r="AJ3969">
        <f>IF($C3969="","",IF(COUNTIF($C$2:$C3969,$C3969)=1,1,0))</f>
        <v/>
      </c>
      <c r="AK3969">
        <f>IF($AJ3969=1,SUMPRODUCT(--($AN$2:$AN$4001&lt;$AN3969))+1,"")</f>
        <v/>
      </c>
      <c r="AL3969">
        <f>IF($C3969="","",IF(OR($Q3969=TRUE(),$Q3969="TRUE"),1,0))</f>
        <v/>
      </c>
      <c r="AM3969">
        <f>IF($C3969="","",IF($W3969="Yes",1,0))</f>
        <v/>
      </c>
      <c r="AN3969">
        <f>IF($AJ3969=1,IFERROR(IF(VALUE($C3969)&lt;100000000,VALUE($C3969),1000000000),IFERROR(IF(VALUE(MID($C3969,2,20))&lt;100000000,VALUE(MID($C3969,2,20)),1000000000),1000000000))+ROW()/100000,"")</f>
        <v/>
      </c>
    </row>
    <row r="3970">
      <c r="E3970" s="11" t="n"/>
      <c r="M3970" s="7">
        <f>IF($C3970="","",L3970*U3970/100)</f>
        <v/>
      </c>
      <c r="N3970" s="7" t="n"/>
      <c r="T3970" s="7" t="n"/>
      <c r="U3970" s="7">
        <f>IF($C3970="","",S3970*T3970)</f>
        <v/>
      </c>
      <c r="X3970">
        <f>IF($C3970="","",IF($AM3970=1,0,IF($AL3970=1,Settings!$C$6,Settings!$C$7))*100)</f>
        <v/>
      </c>
      <c r="AB3970" s="7" t="n"/>
      <c r="AE3970" s="11" t="n"/>
      <c r="AG3970" s="7">
        <f>IF($C3970="","",U3970*X3970/100)</f>
        <v/>
      </c>
      <c r="AH3970" s="7">
        <f>IF($C3970="","",U3970-AG3970)</f>
        <v/>
      </c>
      <c r="AI3970" s="7">
        <f>IF($C3970="","",AH3970-M3970)</f>
        <v/>
      </c>
      <c r="AJ3970">
        <f>IF($C3970="","",IF(COUNTIF($C$2:$C3970,$C3970)=1,1,0))</f>
        <v/>
      </c>
      <c r="AK3970">
        <f>IF($AJ3970=1,SUMPRODUCT(--($AN$2:$AN$4001&lt;$AN3970))+1,"")</f>
        <v/>
      </c>
      <c r="AL3970">
        <f>IF($C3970="","",IF(OR($Q3970=TRUE(),$Q3970="TRUE"),1,0))</f>
        <v/>
      </c>
      <c r="AM3970">
        <f>IF($C3970="","",IF($W3970="Yes",1,0))</f>
        <v/>
      </c>
      <c r="AN3970">
        <f>IF($AJ3970=1,IFERROR(IF(VALUE($C3970)&lt;100000000,VALUE($C3970),1000000000),IFERROR(IF(VALUE(MID($C3970,2,20))&lt;100000000,VALUE(MID($C3970,2,20)),1000000000),1000000000))+ROW()/100000,"")</f>
        <v/>
      </c>
    </row>
    <row r="3971">
      <c r="E3971" s="11" t="n"/>
      <c r="M3971" s="7">
        <f>IF($C3971="","",L3971*U3971/100)</f>
        <v/>
      </c>
      <c r="N3971" s="7" t="n"/>
      <c r="T3971" s="7" t="n"/>
      <c r="U3971" s="7">
        <f>IF($C3971="","",S3971*T3971)</f>
        <v/>
      </c>
      <c r="X3971">
        <f>IF($C3971="","",IF($AM3971=1,0,IF($AL3971=1,Settings!$C$6,Settings!$C$7))*100)</f>
        <v/>
      </c>
      <c r="AB3971" s="7" t="n"/>
      <c r="AE3971" s="11" t="n"/>
      <c r="AG3971" s="7">
        <f>IF($C3971="","",U3971*X3971/100)</f>
        <v/>
      </c>
      <c r="AH3971" s="7">
        <f>IF($C3971="","",U3971-AG3971)</f>
        <v/>
      </c>
      <c r="AI3971" s="7">
        <f>IF($C3971="","",AH3971-M3971)</f>
        <v/>
      </c>
      <c r="AJ3971">
        <f>IF($C3971="","",IF(COUNTIF($C$2:$C3971,$C3971)=1,1,0))</f>
        <v/>
      </c>
      <c r="AK3971">
        <f>IF($AJ3971=1,SUMPRODUCT(--($AN$2:$AN$4001&lt;$AN3971))+1,"")</f>
        <v/>
      </c>
      <c r="AL3971">
        <f>IF($C3971="","",IF(OR($Q3971=TRUE(),$Q3971="TRUE"),1,0))</f>
        <v/>
      </c>
      <c r="AM3971">
        <f>IF($C3971="","",IF($W3971="Yes",1,0))</f>
        <v/>
      </c>
      <c r="AN3971">
        <f>IF($AJ3971=1,IFERROR(IF(VALUE($C3971)&lt;100000000,VALUE($C3971),1000000000),IFERROR(IF(VALUE(MID($C3971,2,20))&lt;100000000,VALUE(MID($C3971,2,20)),1000000000),1000000000))+ROW()/100000,"")</f>
        <v/>
      </c>
    </row>
    <row r="3972">
      <c r="E3972" s="11" t="n"/>
      <c r="M3972" s="7">
        <f>IF($C3972="","",L3972*U3972/100)</f>
        <v/>
      </c>
      <c r="N3972" s="7" t="n"/>
      <c r="T3972" s="7" t="n"/>
      <c r="U3972" s="7">
        <f>IF($C3972="","",S3972*T3972)</f>
        <v/>
      </c>
      <c r="X3972">
        <f>IF($C3972="","",IF($AM3972=1,0,IF($AL3972=1,Settings!$C$6,Settings!$C$7))*100)</f>
        <v/>
      </c>
      <c r="AB3972" s="7" t="n"/>
      <c r="AE3972" s="11" t="n"/>
      <c r="AG3972" s="7">
        <f>IF($C3972="","",U3972*X3972/100)</f>
        <v/>
      </c>
      <c r="AH3972" s="7">
        <f>IF($C3972="","",U3972-AG3972)</f>
        <v/>
      </c>
      <c r="AI3972" s="7">
        <f>IF($C3972="","",AH3972-M3972)</f>
        <v/>
      </c>
      <c r="AJ3972">
        <f>IF($C3972="","",IF(COUNTIF($C$2:$C3972,$C3972)=1,1,0))</f>
        <v/>
      </c>
      <c r="AK3972">
        <f>IF($AJ3972=1,SUMPRODUCT(--($AN$2:$AN$4001&lt;$AN3972))+1,"")</f>
        <v/>
      </c>
      <c r="AL3972">
        <f>IF($C3972="","",IF(OR($Q3972=TRUE(),$Q3972="TRUE"),1,0))</f>
        <v/>
      </c>
      <c r="AM3972">
        <f>IF($C3972="","",IF($W3972="Yes",1,0))</f>
        <v/>
      </c>
      <c r="AN3972">
        <f>IF($AJ3972=1,IFERROR(IF(VALUE($C3972)&lt;100000000,VALUE($C3972),1000000000),IFERROR(IF(VALUE(MID($C3972,2,20))&lt;100000000,VALUE(MID($C3972,2,20)),1000000000),1000000000))+ROW()/100000,"")</f>
        <v/>
      </c>
    </row>
    <row r="3973">
      <c r="E3973" s="11" t="n"/>
      <c r="M3973" s="7">
        <f>IF($C3973="","",L3973*U3973/100)</f>
        <v/>
      </c>
      <c r="N3973" s="7" t="n"/>
      <c r="T3973" s="7" t="n"/>
      <c r="U3973" s="7">
        <f>IF($C3973="","",S3973*T3973)</f>
        <v/>
      </c>
      <c r="X3973">
        <f>IF($C3973="","",IF($AM3973=1,0,IF($AL3973=1,Settings!$C$6,Settings!$C$7))*100)</f>
        <v/>
      </c>
      <c r="AB3973" s="7" t="n"/>
      <c r="AE3973" s="11" t="n"/>
      <c r="AG3973" s="7">
        <f>IF($C3973="","",U3973*X3973/100)</f>
        <v/>
      </c>
      <c r="AH3973" s="7">
        <f>IF($C3973="","",U3973-AG3973)</f>
        <v/>
      </c>
      <c r="AI3973" s="7">
        <f>IF($C3973="","",AH3973-M3973)</f>
        <v/>
      </c>
      <c r="AJ3973">
        <f>IF($C3973="","",IF(COUNTIF($C$2:$C3973,$C3973)=1,1,0))</f>
        <v/>
      </c>
      <c r="AK3973">
        <f>IF($AJ3973=1,SUMPRODUCT(--($AN$2:$AN$4001&lt;$AN3973))+1,"")</f>
        <v/>
      </c>
      <c r="AL3973">
        <f>IF($C3973="","",IF(OR($Q3973=TRUE(),$Q3973="TRUE"),1,0))</f>
        <v/>
      </c>
      <c r="AM3973">
        <f>IF($C3973="","",IF($W3973="Yes",1,0))</f>
        <v/>
      </c>
      <c r="AN3973">
        <f>IF($AJ3973=1,IFERROR(IF(VALUE($C3973)&lt;100000000,VALUE($C3973),1000000000),IFERROR(IF(VALUE(MID($C3973,2,20))&lt;100000000,VALUE(MID($C3973,2,20)),1000000000),1000000000))+ROW()/100000,"")</f>
        <v/>
      </c>
    </row>
    <row r="3974">
      <c r="E3974" s="11" t="n"/>
      <c r="M3974" s="7">
        <f>IF($C3974="","",L3974*U3974/100)</f>
        <v/>
      </c>
      <c r="N3974" s="7" t="n"/>
      <c r="T3974" s="7" t="n"/>
      <c r="U3974" s="7">
        <f>IF($C3974="","",S3974*T3974)</f>
        <v/>
      </c>
      <c r="X3974">
        <f>IF($C3974="","",IF($AM3974=1,0,IF($AL3974=1,Settings!$C$6,Settings!$C$7))*100)</f>
        <v/>
      </c>
      <c r="AB3974" s="7" t="n"/>
      <c r="AE3974" s="11" t="n"/>
      <c r="AG3974" s="7">
        <f>IF($C3974="","",U3974*X3974/100)</f>
        <v/>
      </c>
      <c r="AH3974" s="7">
        <f>IF($C3974="","",U3974-AG3974)</f>
        <v/>
      </c>
      <c r="AI3974" s="7">
        <f>IF($C3974="","",AH3974-M3974)</f>
        <v/>
      </c>
      <c r="AJ3974">
        <f>IF($C3974="","",IF(COUNTIF($C$2:$C3974,$C3974)=1,1,0))</f>
        <v/>
      </c>
      <c r="AK3974">
        <f>IF($AJ3974=1,SUMPRODUCT(--($AN$2:$AN$4001&lt;$AN3974))+1,"")</f>
        <v/>
      </c>
      <c r="AL3974">
        <f>IF($C3974="","",IF(OR($Q3974=TRUE(),$Q3974="TRUE"),1,0))</f>
        <v/>
      </c>
      <c r="AM3974">
        <f>IF($C3974="","",IF($W3974="Yes",1,0))</f>
        <v/>
      </c>
      <c r="AN3974">
        <f>IF($AJ3974=1,IFERROR(IF(VALUE($C3974)&lt;100000000,VALUE($C3974),1000000000),IFERROR(IF(VALUE(MID($C3974,2,20))&lt;100000000,VALUE(MID($C3974,2,20)),1000000000),1000000000))+ROW()/100000,"")</f>
        <v/>
      </c>
    </row>
    <row r="3975">
      <c r="E3975" s="11" t="n"/>
      <c r="M3975" s="7">
        <f>IF($C3975="","",L3975*U3975/100)</f>
        <v/>
      </c>
      <c r="N3975" s="7" t="n"/>
      <c r="T3975" s="7" t="n"/>
      <c r="U3975" s="7">
        <f>IF($C3975="","",S3975*T3975)</f>
        <v/>
      </c>
      <c r="X3975">
        <f>IF($C3975="","",IF($AM3975=1,0,IF($AL3975=1,Settings!$C$6,Settings!$C$7))*100)</f>
        <v/>
      </c>
      <c r="AB3975" s="7" t="n"/>
      <c r="AE3975" s="11" t="n"/>
      <c r="AG3975" s="7">
        <f>IF($C3975="","",U3975*X3975/100)</f>
        <v/>
      </c>
      <c r="AH3975" s="7">
        <f>IF($C3975="","",U3975-AG3975)</f>
        <v/>
      </c>
      <c r="AI3975" s="7">
        <f>IF($C3975="","",AH3975-M3975)</f>
        <v/>
      </c>
      <c r="AJ3975">
        <f>IF($C3975="","",IF(COUNTIF($C$2:$C3975,$C3975)=1,1,0))</f>
        <v/>
      </c>
      <c r="AK3975">
        <f>IF($AJ3975=1,SUMPRODUCT(--($AN$2:$AN$4001&lt;$AN3975))+1,"")</f>
        <v/>
      </c>
      <c r="AL3975">
        <f>IF($C3975="","",IF(OR($Q3975=TRUE(),$Q3975="TRUE"),1,0))</f>
        <v/>
      </c>
      <c r="AM3975">
        <f>IF($C3975="","",IF($W3975="Yes",1,0))</f>
        <v/>
      </c>
      <c r="AN3975">
        <f>IF($AJ3975=1,IFERROR(IF(VALUE($C3975)&lt;100000000,VALUE($C3975),1000000000),IFERROR(IF(VALUE(MID($C3975,2,20))&lt;100000000,VALUE(MID($C3975,2,20)),1000000000),1000000000))+ROW()/100000,"")</f>
        <v/>
      </c>
    </row>
    <row r="3976">
      <c r="E3976" s="11" t="n"/>
      <c r="M3976" s="7">
        <f>IF($C3976="","",L3976*U3976/100)</f>
        <v/>
      </c>
      <c r="N3976" s="7" t="n"/>
      <c r="T3976" s="7" t="n"/>
      <c r="U3976" s="7">
        <f>IF($C3976="","",S3976*T3976)</f>
        <v/>
      </c>
      <c r="X3976">
        <f>IF($C3976="","",IF($AM3976=1,0,IF($AL3976=1,Settings!$C$6,Settings!$C$7))*100)</f>
        <v/>
      </c>
      <c r="AB3976" s="7" t="n"/>
      <c r="AE3976" s="11" t="n"/>
      <c r="AG3976" s="7">
        <f>IF($C3976="","",U3976*X3976/100)</f>
        <v/>
      </c>
      <c r="AH3976" s="7">
        <f>IF($C3976="","",U3976-AG3976)</f>
        <v/>
      </c>
      <c r="AI3976" s="7">
        <f>IF($C3976="","",AH3976-M3976)</f>
        <v/>
      </c>
      <c r="AJ3976">
        <f>IF($C3976="","",IF(COUNTIF($C$2:$C3976,$C3976)=1,1,0))</f>
        <v/>
      </c>
      <c r="AK3976">
        <f>IF($AJ3976=1,SUMPRODUCT(--($AN$2:$AN$4001&lt;$AN3976))+1,"")</f>
        <v/>
      </c>
      <c r="AL3976">
        <f>IF($C3976="","",IF(OR($Q3976=TRUE(),$Q3976="TRUE"),1,0))</f>
        <v/>
      </c>
      <c r="AM3976">
        <f>IF($C3976="","",IF($W3976="Yes",1,0))</f>
        <v/>
      </c>
      <c r="AN3976">
        <f>IF($AJ3976=1,IFERROR(IF(VALUE($C3976)&lt;100000000,VALUE($C3976),1000000000),IFERROR(IF(VALUE(MID($C3976,2,20))&lt;100000000,VALUE(MID($C3976,2,20)),1000000000),1000000000))+ROW()/100000,"")</f>
        <v/>
      </c>
    </row>
    <row r="3977">
      <c r="E3977" s="11" t="n"/>
      <c r="M3977" s="7">
        <f>IF($C3977="","",L3977*U3977/100)</f>
        <v/>
      </c>
      <c r="N3977" s="7" t="n"/>
      <c r="T3977" s="7" t="n"/>
      <c r="U3977" s="7">
        <f>IF($C3977="","",S3977*T3977)</f>
        <v/>
      </c>
      <c r="X3977">
        <f>IF($C3977="","",IF($AM3977=1,0,IF($AL3977=1,Settings!$C$6,Settings!$C$7))*100)</f>
        <v/>
      </c>
      <c r="AB3977" s="7" t="n"/>
      <c r="AE3977" s="11" t="n"/>
      <c r="AG3977" s="7">
        <f>IF($C3977="","",U3977*X3977/100)</f>
        <v/>
      </c>
      <c r="AH3977" s="7">
        <f>IF($C3977="","",U3977-AG3977)</f>
        <v/>
      </c>
      <c r="AI3977" s="7">
        <f>IF($C3977="","",AH3977-M3977)</f>
        <v/>
      </c>
      <c r="AJ3977">
        <f>IF($C3977="","",IF(COUNTIF($C$2:$C3977,$C3977)=1,1,0))</f>
        <v/>
      </c>
      <c r="AK3977">
        <f>IF($AJ3977=1,SUMPRODUCT(--($AN$2:$AN$4001&lt;$AN3977))+1,"")</f>
        <v/>
      </c>
      <c r="AL3977">
        <f>IF($C3977="","",IF(OR($Q3977=TRUE(),$Q3977="TRUE"),1,0))</f>
        <v/>
      </c>
      <c r="AM3977">
        <f>IF($C3977="","",IF($W3977="Yes",1,0))</f>
        <v/>
      </c>
      <c r="AN3977">
        <f>IF($AJ3977=1,IFERROR(IF(VALUE($C3977)&lt;100000000,VALUE($C3977),1000000000),IFERROR(IF(VALUE(MID($C3977,2,20))&lt;100000000,VALUE(MID($C3977,2,20)),1000000000),1000000000))+ROW()/100000,"")</f>
        <v/>
      </c>
    </row>
    <row r="3978">
      <c r="E3978" s="11" t="n"/>
      <c r="M3978" s="7">
        <f>IF($C3978="","",L3978*U3978/100)</f>
        <v/>
      </c>
      <c r="N3978" s="7" t="n"/>
      <c r="T3978" s="7" t="n"/>
      <c r="U3978" s="7">
        <f>IF($C3978="","",S3978*T3978)</f>
        <v/>
      </c>
      <c r="X3978">
        <f>IF($C3978="","",IF($AM3978=1,0,IF($AL3978=1,Settings!$C$6,Settings!$C$7))*100)</f>
        <v/>
      </c>
      <c r="AB3978" s="7" t="n"/>
      <c r="AE3978" s="11" t="n"/>
      <c r="AG3978" s="7">
        <f>IF($C3978="","",U3978*X3978/100)</f>
        <v/>
      </c>
      <c r="AH3978" s="7">
        <f>IF($C3978="","",U3978-AG3978)</f>
        <v/>
      </c>
      <c r="AI3978" s="7">
        <f>IF($C3978="","",AH3978-M3978)</f>
        <v/>
      </c>
      <c r="AJ3978">
        <f>IF($C3978="","",IF(COUNTIF($C$2:$C3978,$C3978)=1,1,0))</f>
        <v/>
      </c>
      <c r="AK3978">
        <f>IF($AJ3978=1,SUMPRODUCT(--($AN$2:$AN$4001&lt;$AN3978))+1,"")</f>
        <v/>
      </c>
      <c r="AL3978">
        <f>IF($C3978="","",IF(OR($Q3978=TRUE(),$Q3978="TRUE"),1,0))</f>
        <v/>
      </c>
      <c r="AM3978">
        <f>IF($C3978="","",IF($W3978="Yes",1,0))</f>
        <v/>
      </c>
      <c r="AN3978">
        <f>IF($AJ3978=1,IFERROR(IF(VALUE($C3978)&lt;100000000,VALUE($C3978),1000000000),IFERROR(IF(VALUE(MID($C3978,2,20))&lt;100000000,VALUE(MID($C3978,2,20)),1000000000),1000000000))+ROW()/100000,"")</f>
        <v/>
      </c>
    </row>
    <row r="3979">
      <c r="E3979" s="11" t="n"/>
      <c r="M3979" s="7">
        <f>IF($C3979="","",L3979*U3979/100)</f>
        <v/>
      </c>
      <c r="N3979" s="7" t="n"/>
      <c r="T3979" s="7" t="n"/>
      <c r="U3979" s="7">
        <f>IF($C3979="","",S3979*T3979)</f>
        <v/>
      </c>
      <c r="X3979">
        <f>IF($C3979="","",IF($AM3979=1,0,IF($AL3979=1,Settings!$C$6,Settings!$C$7))*100)</f>
        <v/>
      </c>
      <c r="AB3979" s="7" t="n"/>
      <c r="AE3979" s="11" t="n"/>
      <c r="AG3979" s="7">
        <f>IF($C3979="","",U3979*X3979/100)</f>
        <v/>
      </c>
      <c r="AH3979" s="7">
        <f>IF($C3979="","",U3979-AG3979)</f>
        <v/>
      </c>
      <c r="AI3979" s="7">
        <f>IF($C3979="","",AH3979-M3979)</f>
        <v/>
      </c>
      <c r="AJ3979">
        <f>IF($C3979="","",IF(COUNTIF($C$2:$C3979,$C3979)=1,1,0))</f>
        <v/>
      </c>
      <c r="AK3979">
        <f>IF($AJ3979=1,SUMPRODUCT(--($AN$2:$AN$4001&lt;$AN3979))+1,"")</f>
        <v/>
      </c>
      <c r="AL3979">
        <f>IF($C3979="","",IF(OR($Q3979=TRUE(),$Q3979="TRUE"),1,0))</f>
        <v/>
      </c>
      <c r="AM3979">
        <f>IF($C3979="","",IF($W3979="Yes",1,0))</f>
        <v/>
      </c>
      <c r="AN3979">
        <f>IF($AJ3979=1,IFERROR(IF(VALUE($C3979)&lt;100000000,VALUE($C3979),1000000000),IFERROR(IF(VALUE(MID($C3979,2,20))&lt;100000000,VALUE(MID($C3979,2,20)),1000000000),1000000000))+ROW()/100000,"")</f>
        <v/>
      </c>
    </row>
    <row r="3980">
      <c r="E3980" s="11" t="n"/>
      <c r="M3980" s="7">
        <f>IF($C3980="","",L3980*U3980/100)</f>
        <v/>
      </c>
      <c r="N3980" s="7" t="n"/>
      <c r="T3980" s="7" t="n"/>
      <c r="U3980" s="7">
        <f>IF($C3980="","",S3980*T3980)</f>
        <v/>
      </c>
      <c r="X3980">
        <f>IF($C3980="","",IF($AM3980=1,0,IF($AL3980=1,Settings!$C$6,Settings!$C$7))*100)</f>
        <v/>
      </c>
      <c r="AB3980" s="7" t="n"/>
      <c r="AE3980" s="11" t="n"/>
      <c r="AG3980" s="7">
        <f>IF($C3980="","",U3980*X3980/100)</f>
        <v/>
      </c>
      <c r="AH3980" s="7">
        <f>IF($C3980="","",U3980-AG3980)</f>
        <v/>
      </c>
      <c r="AI3980" s="7">
        <f>IF($C3980="","",AH3980-M3980)</f>
        <v/>
      </c>
      <c r="AJ3980">
        <f>IF($C3980="","",IF(COUNTIF($C$2:$C3980,$C3980)=1,1,0))</f>
        <v/>
      </c>
      <c r="AK3980">
        <f>IF($AJ3980=1,SUMPRODUCT(--($AN$2:$AN$4001&lt;$AN3980))+1,"")</f>
        <v/>
      </c>
      <c r="AL3980">
        <f>IF($C3980="","",IF(OR($Q3980=TRUE(),$Q3980="TRUE"),1,0))</f>
        <v/>
      </c>
      <c r="AM3980">
        <f>IF($C3980="","",IF($W3980="Yes",1,0))</f>
        <v/>
      </c>
      <c r="AN3980">
        <f>IF($AJ3980=1,IFERROR(IF(VALUE($C3980)&lt;100000000,VALUE($C3980),1000000000),IFERROR(IF(VALUE(MID($C3980,2,20))&lt;100000000,VALUE(MID($C3980,2,20)),1000000000),1000000000))+ROW()/100000,"")</f>
        <v/>
      </c>
    </row>
    <row r="3981">
      <c r="E3981" s="11" t="n"/>
      <c r="M3981" s="7">
        <f>IF($C3981="","",L3981*U3981/100)</f>
        <v/>
      </c>
      <c r="N3981" s="7" t="n"/>
      <c r="T3981" s="7" t="n"/>
      <c r="U3981" s="7">
        <f>IF($C3981="","",S3981*T3981)</f>
        <v/>
      </c>
      <c r="X3981">
        <f>IF($C3981="","",IF($AM3981=1,0,IF($AL3981=1,Settings!$C$6,Settings!$C$7))*100)</f>
        <v/>
      </c>
      <c r="AB3981" s="7" t="n"/>
      <c r="AE3981" s="11" t="n"/>
      <c r="AG3981" s="7">
        <f>IF($C3981="","",U3981*X3981/100)</f>
        <v/>
      </c>
      <c r="AH3981" s="7">
        <f>IF($C3981="","",U3981-AG3981)</f>
        <v/>
      </c>
      <c r="AI3981" s="7">
        <f>IF($C3981="","",AH3981-M3981)</f>
        <v/>
      </c>
      <c r="AJ3981">
        <f>IF($C3981="","",IF(COUNTIF($C$2:$C3981,$C3981)=1,1,0))</f>
        <v/>
      </c>
      <c r="AK3981">
        <f>IF($AJ3981=1,SUMPRODUCT(--($AN$2:$AN$4001&lt;$AN3981))+1,"")</f>
        <v/>
      </c>
      <c r="AL3981">
        <f>IF($C3981="","",IF(OR($Q3981=TRUE(),$Q3981="TRUE"),1,0))</f>
        <v/>
      </c>
      <c r="AM3981">
        <f>IF($C3981="","",IF($W3981="Yes",1,0))</f>
        <v/>
      </c>
      <c r="AN3981">
        <f>IF($AJ3981=1,IFERROR(IF(VALUE($C3981)&lt;100000000,VALUE($C3981),1000000000),IFERROR(IF(VALUE(MID($C3981,2,20))&lt;100000000,VALUE(MID($C3981,2,20)),1000000000),1000000000))+ROW()/100000,"")</f>
        <v/>
      </c>
    </row>
    <row r="3982">
      <c r="E3982" s="11" t="n"/>
      <c r="M3982" s="7">
        <f>IF($C3982="","",L3982*U3982/100)</f>
        <v/>
      </c>
      <c r="N3982" s="7" t="n"/>
      <c r="T3982" s="7" t="n"/>
      <c r="U3982" s="7">
        <f>IF($C3982="","",S3982*T3982)</f>
        <v/>
      </c>
      <c r="X3982">
        <f>IF($C3982="","",IF($AM3982=1,0,IF($AL3982=1,Settings!$C$6,Settings!$C$7))*100)</f>
        <v/>
      </c>
      <c r="AB3982" s="7" t="n"/>
      <c r="AE3982" s="11" t="n"/>
      <c r="AG3982" s="7">
        <f>IF($C3982="","",U3982*X3982/100)</f>
        <v/>
      </c>
      <c r="AH3982" s="7">
        <f>IF($C3982="","",U3982-AG3982)</f>
        <v/>
      </c>
      <c r="AI3982" s="7">
        <f>IF($C3982="","",AH3982-M3982)</f>
        <v/>
      </c>
      <c r="AJ3982">
        <f>IF($C3982="","",IF(COUNTIF($C$2:$C3982,$C3982)=1,1,0))</f>
        <v/>
      </c>
      <c r="AK3982">
        <f>IF($AJ3982=1,SUMPRODUCT(--($AN$2:$AN$4001&lt;$AN3982))+1,"")</f>
        <v/>
      </c>
      <c r="AL3982">
        <f>IF($C3982="","",IF(OR($Q3982=TRUE(),$Q3982="TRUE"),1,0))</f>
        <v/>
      </c>
      <c r="AM3982">
        <f>IF($C3982="","",IF($W3982="Yes",1,0))</f>
        <v/>
      </c>
      <c r="AN3982">
        <f>IF($AJ3982=1,IFERROR(IF(VALUE($C3982)&lt;100000000,VALUE($C3982),1000000000),IFERROR(IF(VALUE(MID($C3982,2,20))&lt;100000000,VALUE(MID($C3982,2,20)),1000000000),1000000000))+ROW()/100000,"")</f>
        <v/>
      </c>
    </row>
    <row r="3983">
      <c r="E3983" s="11" t="n"/>
      <c r="M3983" s="7">
        <f>IF($C3983="","",L3983*U3983/100)</f>
        <v/>
      </c>
      <c r="N3983" s="7" t="n"/>
      <c r="T3983" s="7" t="n"/>
      <c r="U3983" s="7">
        <f>IF($C3983="","",S3983*T3983)</f>
        <v/>
      </c>
      <c r="X3983">
        <f>IF($C3983="","",IF($AM3983=1,0,IF($AL3983=1,Settings!$C$6,Settings!$C$7))*100)</f>
        <v/>
      </c>
      <c r="AB3983" s="7" t="n"/>
      <c r="AE3983" s="11" t="n"/>
      <c r="AG3983" s="7">
        <f>IF($C3983="","",U3983*X3983/100)</f>
        <v/>
      </c>
      <c r="AH3983" s="7">
        <f>IF($C3983="","",U3983-AG3983)</f>
        <v/>
      </c>
      <c r="AI3983" s="7">
        <f>IF($C3983="","",AH3983-M3983)</f>
        <v/>
      </c>
      <c r="AJ3983">
        <f>IF($C3983="","",IF(COUNTIF($C$2:$C3983,$C3983)=1,1,0))</f>
        <v/>
      </c>
      <c r="AK3983">
        <f>IF($AJ3983=1,SUMPRODUCT(--($AN$2:$AN$4001&lt;$AN3983))+1,"")</f>
        <v/>
      </c>
      <c r="AL3983">
        <f>IF($C3983="","",IF(OR($Q3983=TRUE(),$Q3983="TRUE"),1,0))</f>
        <v/>
      </c>
      <c r="AM3983">
        <f>IF($C3983="","",IF($W3983="Yes",1,0))</f>
        <v/>
      </c>
      <c r="AN3983">
        <f>IF($AJ3983=1,IFERROR(IF(VALUE($C3983)&lt;100000000,VALUE($C3983),1000000000),IFERROR(IF(VALUE(MID($C3983,2,20))&lt;100000000,VALUE(MID($C3983,2,20)),1000000000),1000000000))+ROW()/100000,"")</f>
        <v/>
      </c>
    </row>
    <row r="3984">
      <c r="E3984" s="11" t="n"/>
      <c r="M3984" s="7">
        <f>IF($C3984="","",L3984*U3984/100)</f>
        <v/>
      </c>
      <c r="N3984" s="7" t="n"/>
      <c r="T3984" s="7" t="n"/>
      <c r="U3984" s="7">
        <f>IF($C3984="","",S3984*T3984)</f>
        <v/>
      </c>
      <c r="X3984">
        <f>IF($C3984="","",IF($AM3984=1,0,IF($AL3984=1,Settings!$C$6,Settings!$C$7))*100)</f>
        <v/>
      </c>
      <c r="AB3984" s="7" t="n"/>
      <c r="AE3984" s="11" t="n"/>
      <c r="AG3984" s="7">
        <f>IF($C3984="","",U3984*X3984/100)</f>
        <v/>
      </c>
      <c r="AH3984" s="7">
        <f>IF($C3984="","",U3984-AG3984)</f>
        <v/>
      </c>
      <c r="AI3984" s="7">
        <f>IF($C3984="","",AH3984-M3984)</f>
        <v/>
      </c>
      <c r="AJ3984">
        <f>IF($C3984="","",IF(COUNTIF($C$2:$C3984,$C3984)=1,1,0))</f>
        <v/>
      </c>
      <c r="AK3984">
        <f>IF($AJ3984=1,SUMPRODUCT(--($AN$2:$AN$4001&lt;$AN3984))+1,"")</f>
        <v/>
      </c>
      <c r="AL3984">
        <f>IF($C3984="","",IF(OR($Q3984=TRUE(),$Q3984="TRUE"),1,0))</f>
        <v/>
      </c>
      <c r="AM3984">
        <f>IF($C3984="","",IF($W3984="Yes",1,0))</f>
        <v/>
      </c>
      <c r="AN3984">
        <f>IF($AJ3984=1,IFERROR(IF(VALUE($C3984)&lt;100000000,VALUE($C3984),1000000000),IFERROR(IF(VALUE(MID($C3984,2,20))&lt;100000000,VALUE(MID($C3984,2,20)),1000000000),1000000000))+ROW()/100000,"")</f>
        <v/>
      </c>
    </row>
    <row r="3985">
      <c r="E3985" s="11" t="n"/>
      <c r="M3985" s="7">
        <f>IF($C3985="","",L3985*U3985/100)</f>
        <v/>
      </c>
      <c r="N3985" s="7" t="n"/>
      <c r="T3985" s="7" t="n"/>
      <c r="U3985" s="7">
        <f>IF($C3985="","",S3985*T3985)</f>
        <v/>
      </c>
      <c r="X3985">
        <f>IF($C3985="","",IF($AM3985=1,0,IF($AL3985=1,Settings!$C$6,Settings!$C$7))*100)</f>
        <v/>
      </c>
      <c r="AB3985" s="7" t="n"/>
      <c r="AE3985" s="11" t="n"/>
      <c r="AG3985" s="7">
        <f>IF($C3985="","",U3985*X3985/100)</f>
        <v/>
      </c>
      <c r="AH3985" s="7">
        <f>IF($C3985="","",U3985-AG3985)</f>
        <v/>
      </c>
      <c r="AI3985" s="7">
        <f>IF($C3985="","",AH3985-M3985)</f>
        <v/>
      </c>
      <c r="AJ3985">
        <f>IF($C3985="","",IF(COUNTIF($C$2:$C3985,$C3985)=1,1,0))</f>
        <v/>
      </c>
      <c r="AK3985">
        <f>IF($AJ3985=1,SUMPRODUCT(--($AN$2:$AN$4001&lt;$AN3985))+1,"")</f>
        <v/>
      </c>
      <c r="AL3985">
        <f>IF($C3985="","",IF(OR($Q3985=TRUE(),$Q3985="TRUE"),1,0))</f>
        <v/>
      </c>
      <c r="AM3985">
        <f>IF($C3985="","",IF($W3985="Yes",1,0))</f>
        <v/>
      </c>
      <c r="AN3985">
        <f>IF($AJ3985=1,IFERROR(IF(VALUE($C3985)&lt;100000000,VALUE($C3985),1000000000),IFERROR(IF(VALUE(MID($C3985,2,20))&lt;100000000,VALUE(MID($C3985,2,20)),1000000000),1000000000))+ROW()/100000,"")</f>
        <v/>
      </c>
    </row>
    <row r="3986">
      <c r="E3986" s="11" t="n"/>
      <c r="M3986" s="7">
        <f>IF($C3986="","",L3986*U3986/100)</f>
        <v/>
      </c>
      <c r="N3986" s="7" t="n"/>
      <c r="T3986" s="7" t="n"/>
      <c r="U3986" s="7">
        <f>IF($C3986="","",S3986*T3986)</f>
        <v/>
      </c>
      <c r="X3986">
        <f>IF($C3986="","",IF($AM3986=1,0,IF($AL3986=1,Settings!$C$6,Settings!$C$7))*100)</f>
        <v/>
      </c>
      <c r="AB3986" s="7" t="n"/>
      <c r="AE3986" s="11" t="n"/>
      <c r="AG3986" s="7">
        <f>IF($C3986="","",U3986*X3986/100)</f>
        <v/>
      </c>
      <c r="AH3986" s="7">
        <f>IF($C3986="","",U3986-AG3986)</f>
        <v/>
      </c>
      <c r="AI3986" s="7">
        <f>IF($C3986="","",AH3986-M3986)</f>
        <v/>
      </c>
      <c r="AJ3986">
        <f>IF($C3986="","",IF(COUNTIF($C$2:$C3986,$C3986)=1,1,0))</f>
        <v/>
      </c>
      <c r="AK3986">
        <f>IF($AJ3986=1,SUMPRODUCT(--($AN$2:$AN$4001&lt;$AN3986))+1,"")</f>
        <v/>
      </c>
      <c r="AL3986">
        <f>IF($C3986="","",IF(OR($Q3986=TRUE(),$Q3986="TRUE"),1,0))</f>
        <v/>
      </c>
      <c r="AM3986">
        <f>IF($C3986="","",IF($W3986="Yes",1,0))</f>
        <v/>
      </c>
      <c r="AN3986">
        <f>IF($AJ3986=1,IFERROR(IF(VALUE($C3986)&lt;100000000,VALUE($C3986),1000000000),IFERROR(IF(VALUE(MID($C3986,2,20))&lt;100000000,VALUE(MID($C3986,2,20)),1000000000),1000000000))+ROW()/100000,"")</f>
        <v/>
      </c>
    </row>
    <row r="3987">
      <c r="E3987" s="11" t="n"/>
      <c r="M3987" s="7">
        <f>IF($C3987="","",L3987*U3987/100)</f>
        <v/>
      </c>
      <c r="N3987" s="7" t="n"/>
      <c r="T3987" s="7" t="n"/>
      <c r="U3987" s="7">
        <f>IF($C3987="","",S3987*T3987)</f>
        <v/>
      </c>
      <c r="X3987">
        <f>IF($C3987="","",IF($AM3987=1,0,IF($AL3987=1,Settings!$C$6,Settings!$C$7))*100)</f>
        <v/>
      </c>
      <c r="AB3987" s="7" t="n"/>
      <c r="AE3987" s="11" t="n"/>
      <c r="AG3987" s="7">
        <f>IF($C3987="","",U3987*X3987/100)</f>
        <v/>
      </c>
      <c r="AH3987" s="7">
        <f>IF($C3987="","",U3987-AG3987)</f>
        <v/>
      </c>
      <c r="AI3987" s="7">
        <f>IF($C3987="","",AH3987-M3987)</f>
        <v/>
      </c>
      <c r="AJ3987">
        <f>IF($C3987="","",IF(COUNTIF($C$2:$C3987,$C3987)=1,1,0))</f>
        <v/>
      </c>
      <c r="AK3987">
        <f>IF($AJ3987=1,SUMPRODUCT(--($AN$2:$AN$4001&lt;$AN3987))+1,"")</f>
        <v/>
      </c>
      <c r="AL3987">
        <f>IF($C3987="","",IF(OR($Q3987=TRUE(),$Q3987="TRUE"),1,0))</f>
        <v/>
      </c>
      <c r="AM3987">
        <f>IF($C3987="","",IF($W3987="Yes",1,0))</f>
        <v/>
      </c>
      <c r="AN3987">
        <f>IF($AJ3987=1,IFERROR(IF(VALUE($C3987)&lt;100000000,VALUE($C3987),1000000000),IFERROR(IF(VALUE(MID($C3987,2,20))&lt;100000000,VALUE(MID($C3987,2,20)),1000000000),1000000000))+ROW()/100000,"")</f>
        <v/>
      </c>
    </row>
    <row r="3988">
      <c r="E3988" s="11" t="n"/>
      <c r="M3988" s="7">
        <f>IF($C3988="","",L3988*U3988/100)</f>
        <v/>
      </c>
      <c r="N3988" s="7" t="n"/>
      <c r="T3988" s="7" t="n"/>
      <c r="U3988" s="7">
        <f>IF($C3988="","",S3988*T3988)</f>
        <v/>
      </c>
      <c r="X3988">
        <f>IF($C3988="","",IF($AM3988=1,0,IF($AL3988=1,Settings!$C$6,Settings!$C$7))*100)</f>
        <v/>
      </c>
      <c r="AB3988" s="7" t="n"/>
      <c r="AE3988" s="11" t="n"/>
      <c r="AG3988" s="7">
        <f>IF($C3988="","",U3988*X3988/100)</f>
        <v/>
      </c>
      <c r="AH3988" s="7">
        <f>IF($C3988="","",U3988-AG3988)</f>
        <v/>
      </c>
      <c r="AI3988" s="7">
        <f>IF($C3988="","",AH3988-M3988)</f>
        <v/>
      </c>
      <c r="AJ3988">
        <f>IF($C3988="","",IF(COUNTIF($C$2:$C3988,$C3988)=1,1,0))</f>
        <v/>
      </c>
      <c r="AK3988">
        <f>IF($AJ3988=1,SUMPRODUCT(--($AN$2:$AN$4001&lt;$AN3988))+1,"")</f>
        <v/>
      </c>
      <c r="AL3988">
        <f>IF($C3988="","",IF(OR($Q3988=TRUE(),$Q3988="TRUE"),1,0))</f>
        <v/>
      </c>
      <c r="AM3988">
        <f>IF($C3988="","",IF($W3988="Yes",1,0))</f>
        <v/>
      </c>
      <c r="AN3988">
        <f>IF($AJ3988=1,IFERROR(IF(VALUE($C3988)&lt;100000000,VALUE($C3988),1000000000),IFERROR(IF(VALUE(MID($C3988,2,20))&lt;100000000,VALUE(MID($C3988,2,20)),1000000000),1000000000))+ROW()/100000,"")</f>
        <v/>
      </c>
    </row>
    <row r="3989">
      <c r="E3989" s="11" t="n"/>
      <c r="M3989" s="7">
        <f>IF($C3989="","",L3989*U3989/100)</f>
        <v/>
      </c>
      <c r="N3989" s="7" t="n"/>
      <c r="T3989" s="7" t="n"/>
      <c r="U3989" s="7">
        <f>IF($C3989="","",S3989*T3989)</f>
        <v/>
      </c>
      <c r="X3989">
        <f>IF($C3989="","",IF($AM3989=1,0,IF($AL3989=1,Settings!$C$6,Settings!$C$7))*100)</f>
        <v/>
      </c>
      <c r="AB3989" s="7" t="n"/>
      <c r="AE3989" s="11" t="n"/>
      <c r="AG3989" s="7">
        <f>IF($C3989="","",U3989*X3989/100)</f>
        <v/>
      </c>
      <c r="AH3989" s="7">
        <f>IF($C3989="","",U3989-AG3989)</f>
        <v/>
      </c>
      <c r="AI3989" s="7">
        <f>IF($C3989="","",AH3989-M3989)</f>
        <v/>
      </c>
      <c r="AJ3989">
        <f>IF($C3989="","",IF(COUNTIF($C$2:$C3989,$C3989)=1,1,0))</f>
        <v/>
      </c>
      <c r="AK3989">
        <f>IF($AJ3989=1,SUMPRODUCT(--($AN$2:$AN$4001&lt;$AN3989))+1,"")</f>
        <v/>
      </c>
      <c r="AL3989">
        <f>IF($C3989="","",IF(OR($Q3989=TRUE(),$Q3989="TRUE"),1,0))</f>
        <v/>
      </c>
      <c r="AM3989">
        <f>IF($C3989="","",IF($W3989="Yes",1,0))</f>
        <v/>
      </c>
      <c r="AN3989">
        <f>IF($AJ3989=1,IFERROR(IF(VALUE($C3989)&lt;100000000,VALUE($C3989),1000000000),IFERROR(IF(VALUE(MID($C3989,2,20))&lt;100000000,VALUE(MID($C3989,2,20)),1000000000),1000000000))+ROW()/100000,"")</f>
        <v/>
      </c>
    </row>
    <row r="3990">
      <c r="E3990" s="11" t="n"/>
      <c r="M3990" s="7">
        <f>IF($C3990="","",L3990*U3990/100)</f>
        <v/>
      </c>
      <c r="N3990" s="7" t="n"/>
      <c r="T3990" s="7" t="n"/>
      <c r="U3990" s="7">
        <f>IF($C3990="","",S3990*T3990)</f>
        <v/>
      </c>
      <c r="X3990">
        <f>IF($C3990="","",IF($AM3990=1,0,IF($AL3990=1,Settings!$C$6,Settings!$C$7))*100)</f>
        <v/>
      </c>
      <c r="AB3990" s="7" t="n"/>
      <c r="AE3990" s="11" t="n"/>
      <c r="AG3990" s="7">
        <f>IF($C3990="","",U3990*X3990/100)</f>
        <v/>
      </c>
      <c r="AH3990" s="7">
        <f>IF($C3990="","",U3990-AG3990)</f>
        <v/>
      </c>
      <c r="AI3990" s="7">
        <f>IF($C3990="","",AH3990-M3990)</f>
        <v/>
      </c>
      <c r="AJ3990">
        <f>IF($C3990="","",IF(COUNTIF($C$2:$C3990,$C3990)=1,1,0))</f>
        <v/>
      </c>
      <c r="AK3990">
        <f>IF($AJ3990=1,SUMPRODUCT(--($AN$2:$AN$4001&lt;$AN3990))+1,"")</f>
        <v/>
      </c>
      <c r="AL3990">
        <f>IF($C3990="","",IF(OR($Q3990=TRUE(),$Q3990="TRUE"),1,0))</f>
        <v/>
      </c>
      <c r="AM3990">
        <f>IF($C3990="","",IF($W3990="Yes",1,0))</f>
        <v/>
      </c>
      <c r="AN3990">
        <f>IF($AJ3990=1,IFERROR(IF(VALUE($C3990)&lt;100000000,VALUE($C3990),1000000000),IFERROR(IF(VALUE(MID($C3990,2,20))&lt;100000000,VALUE(MID($C3990,2,20)),1000000000),1000000000))+ROW()/100000,"")</f>
        <v/>
      </c>
    </row>
    <row r="3991">
      <c r="E3991" s="11" t="n"/>
      <c r="M3991" s="7">
        <f>IF($C3991="","",L3991*U3991/100)</f>
        <v/>
      </c>
      <c r="N3991" s="7" t="n"/>
      <c r="T3991" s="7" t="n"/>
      <c r="U3991" s="7">
        <f>IF($C3991="","",S3991*T3991)</f>
        <v/>
      </c>
      <c r="X3991">
        <f>IF($C3991="","",IF($AM3991=1,0,IF($AL3991=1,Settings!$C$6,Settings!$C$7))*100)</f>
        <v/>
      </c>
      <c r="AB3991" s="7" t="n"/>
      <c r="AE3991" s="11" t="n"/>
      <c r="AG3991" s="7">
        <f>IF($C3991="","",U3991*X3991/100)</f>
        <v/>
      </c>
      <c r="AH3991" s="7">
        <f>IF($C3991="","",U3991-AG3991)</f>
        <v/>
      </c>
      <c r="AI3991" s="7">
        <f>IF($C3991="","",AH3991-M3991)</f>
        <v/>
      </c>
      <c r="AJ3991">
        <f>IF($C3991="","",IF(COUNTIF($C$2:$C3991,$C3991)=1,1,0))</f>
        <v/>
      </c>
      <c r="AK3991">
        <f>IF($AJ3991=1,SUMPRODUCT(--($AN$2:$AN$4001&lt;$AN3991))+1,"")</f>
        <v/>
      </c>
      <c r="AL3991">
        <f>IF($C3991="","",IF(OR($Q3991=TRUE(),$Q3991="TRUE"),1,0))</f>
        <v/>
      </c>
      <c r="AM3991">
        <f>IF($C3991="","",IF($W3991="Yes",1,0))</f>
        <v/>
      </c>
      <c r="AN3991">
        <f>IF($AJ3991=1,IFERROR(IF(VALUE($C3991)&lt;100000000,VALUE($C3991),1000000000),IFERROR(IF(VALUE(MID($C3991,2,20))&lt;100000000,VALUE(MID($C3991,2,20)),1000000000),1000000000))+ROW()/100000,"")</f>
        <v/>
      </c>
    </row>
    <row r="3992">
      <c r="E3992" s="11" t="n"/>
      <c r="M3992" s="7">
        <f>IF($C3992="","",L3992*U3992/100)</f>
        <v/>
      </c>
      <c r="N3992" s="7" t="n"/>
      <c r="T3992" s="7" t="n"/>
      <c r="U3992" s="7">
        <f>IF($C3992="","",S3992*T3992)</f>
        <v/>
      </c>
      <c r="X3992">
        <f>IF($C3992="","",IF($AM3992=1,0,IF($AL3992=1,Settings!$C$6,Settings!$C$7))*100)</f>
        <v/>
      </c>
      <c r="AB3992" s="7" t="n"/>
      <c r="AE3992" s="11" t="n"/>
      <c r="AG3992" s="7">
        <f>IF($C3992="","",U3992*X3992/100)</f>
        <v/>
      </c>
      <c r="AH3992" s="7">
        <f>IF($C3992="","",U3992-AG3992)</f>
        <v/>
      </c>
      <c r="AI3992" s="7">
        <f>IF($C3992="","",AH3992-M3992)</f>
        <v/>
      </c>
      <c r="AJ3992">
        <f>IF($C3992="","",IF(COUNTIF($C$2:$C3992,$C3992)=1,1,0))</f>
        <v/>
      </c>
      <c r="AK3992">
        <f>IF($AJ3992=1,SUMPRODUCT(--($AN$2:$AN$4001&lt;$AN3992))+1,"")</f>
        <v/>
      </c>
      <c r="AL3992">
        <f>IF($C3992="","",IF(OR($Q3992=TRUE(),$Q3992="TRUE"),1,0))</f>
        <v/>
      </c>
      <c r="AM3992">
        <f>IF($C3992="","",IF($W3992="Yes",1,0))</f>
        <v/>
      </c>
      <c r="AN3992">
        <f>IF($AJ3992=1,IFERROR(IF(VALUE($C3992)&lt;100000000,VALUE($C3992),1000000000),IFERROR(IF(VALUE(MID($C3992,2,20))&lt;100000000,VALUE(MID($C3992,2,20)),1000000000),1000000000))+ROW()/100000,"")</f>
        <v/>
      </c>
    </row>
    <row r="3993">
      <c r="E3993" s="11" t="n"/>
      <c r="M3993" s="7">
        <f>IF($C3993="","",L3993*U3993/100)</f>
        <v/>
      </c>
      <c r="N3993" s="7" t="n"/>
      <c r="T3993" s="7" t="n"/>
      <c r="U3993" s="7">
        <f>IF($C3993="","",S3993*T3993)</f>
        <v/>
      </c>
      <c r="X3993">
        <f>IF($C3993="","",IF($AM3993=1,0,IF($AL3993=1,Settings!$C$6,Settings!$C$7))*100)</f>
        <v/>
      </c>
      <c r="AB3993" s="7" t="n"/>
      <c r="AE3993" s="11" t="n"/>
      <c r="AG3993" s="7">
        <f>IF($C3993="","",U3993*X3993/100)</f>
        <v/>
      </c>
      <c r="AH3993" s="7">
        <f>IF($C3993="","",U3993-AG3993)</f>
        <v/>
      </c>
      <c r="AI3993" s="7">
        <f>IF($C3993="","",AH3993-M3993)</f>
        <v/>
      </c>
      <c r="AJ3993">
        <f>IF($C3993="","",IF(COUNTIF($C$2:$C3993,$C3993)=1,1,0))</f>
        <v/>
      </c>
      <c r="AK3993">
        <f>IF($AJ3993=1,SUMPRODUCT(--($AN$2:$AN$4001&lt;$AN3993))+1,"")</f>
        <v/>
      </c>
      <c r="AL3993">
        <f>IF($C3993="","",IF(OR($Q3993=TRUE(),$Q3993="TRUE"),1,0))</f>
        <v/>
      </c>
      <c r="AM3993">
        <f>IF($C3993="","",IF($W3993="Yes",1,0))</f>
        <v/>
      </c>
      <c r="AN3993">
        <f>IF($AJ3993=1,IFERROR(IF(VALUE($C3993)&lt;100000000,VALUE($C3993),1000000000),IFERROR(IF(VALUE(MID($C3993,2,20))&lt;100000000,VALUE(MID($C3993,2,20)),1000000000),1000000000))+ROW()/100000,"")</f>
        <v/>
      </c>
    </row>
    <row r="3994">
      <c r="E3994" s="11" t="n"/>
      <c r="M3994" s="7">
        <f>IF($C3994="","",L3994*U3994/100)</f>
        <v/>
      </c>
      <c r="N3994" s="7" t="n"/>
      <c r="T3994" s="7" t="n"/>
      <c r="U3994" s="7">
        <f>IF($C3994="","",S3994*T3994)</f>
        <v/>
      </c>
      <c r="X3994">
        <f>IF($C3994="","",IF($AM3994=1,0,IF($AL3994=1,Settings!$C$6,Settings!$C$7))*100)</f>
        <v/>
      </c>
      <c r="AB3994" s="7" t="n"/>
      <c r="AE3994" s="11" t="n"/>
      <c r="AG3994" s="7">
        <f>IF($C3994="","",U3994*X3994/100)</f>
        <v/>
      </c>
      <c r="AH3994" s="7">
        <f>IF($C3994="","",U3994-AG3994)</f>
        <v/>
      </c>
      <c r="AI3994" s="7">
        <f>IF($C3994="","",AH3994-M3994)</f>
        <v/>
      </c>
      <c r="AJ3994">
        <f>IF($C3994="","",IF(COUNTIF($C$2:$C3994,$C3994)=1,1,0))</f>
        <v/>
      </c>
      <c r="AK3994">
        <f>IF($AJ3994=1,SUMPRODUCT(--($AN$2:$AN$4001&lt;$AN3994))+1,"")</f>
        <v/>
      </c>
      <c r="AL3994">
        <f>IF($C3994="","",IF(OR($Q3994=TRUE(),$Q3994="TRUE"),1,0))</f>
        <v/>
      </c>
      <c r="AM3994">
        <f>IF($C3994="","",IF($W3994="Yes",1,0))</f>
        <v/>
      </c>
      <c r="AN3994">
        <f>IF($AJ3994=1,IFERROR(IF(VALUE($C3994)&lt;100000000,VALUE($C3994),1000000000),IFERROR(IF(VALUE(MID($C3994,2,20))&lt;100000000,VALUE(MID($C3994,2,20)),1000000000),1000000000))+ROW()/100000,"")</f>
        <v/>
      </c>
    </row>
    <row r="3995">
      <c r="E3995" s="11" t="n"/>
      <c r="M3995" s="7">
        <f>IF($C3995="","",L3995*U3995/100)</f>
        <v/>
      </c>
      <c r="N3995" s="7" t="n"/>
      <c r="T3995" s="7" t="n"/>
      <c r="U3995" s="7">
        <f>IF($C3995="","",S3995*T3995)</f>
        <v/>
      </c>
      <c r="X3995">
        <f>IF($C3995="","",IF($AM3995=1,0,IF($AL3995=1,Settings!$C$6,Settings!$C$7))*100)</f>
        <v/>
      </c>
      <c r="AB3995" s="7" t="n"/>
      <c r="AE3995" s="11" t="n"/>
      <c r="AG3995" s="7">
        <f>IF($C3995="","",U3995*X3995/100)</f>
        <v/>
      </c>
      <c r="AH3995" s="7">
        <f>IF($C3995="","",U3995-AG3995)</f>
        <v/>
      </c>
      <c r="AI3995" s="7">
        <f>IF($C3995="","",AH3995-M3995)</f>
        <v/>
      </c>
      <c r="AJ3995">
        <f>IF($C3995="","",IF(COUNTIF($C$2:$C3995,$C3995)=1,1,0))</f>
        <v/>
      </c>
      <c r="AK3995">
        <f>IF($AJ3995=1,SUMPRODUCT(--($AN$2:$AN$4001&lt;$AN3995))+1,"")</f>
        <v/>
      </c>
      <c r="AL3995">
        <f>IF($C3995="","",IF(OR($Q3995=TRUE(),$Q3995="TRUE"),1,0))</f>
        <v/>
      </c>
      <c r="AM3995">
        <f>IF($C3995="","",IF($W3995="Yes",1,0))</f>
        <v/>
      </c>
      <c r="AN3995">
        <f>IF($AJ3995=1,IFERROR(IF(VALUE($C3995)&lt;100000000,VALUE($C3995),1000000000),IFERROR(IF(VALUE(MID($C3995,2,20))&lt;100000000,VALUE(MID($C3995,2,20)),1000000000),1000000000))+ROW()/100000,"")</f>
        <v/>
      </c>
    </row>
    <row r="3996">
      <c r="E3996" s="11" t="n"/>
      <c r="M3996" s="7">
        <f>IF($C3996="","",L3996*U3996/100)</f>
        <v/>
      </c>
      <c r="N3996" s="7" t="n"/>
      <c r="T3996" s="7" t="n"/>
      <c r="U3996" s="7">
        <f>IF($C3996="","",S3996*T3996)</f>
        <v/>
      </c>
      <c r="X3996">
        <f>IF($C3996="","",IF($AM3996=1,0,IF($AL3996=1,Settings!$C$6,Settings!$C$7))*100)</f>
        <v/>
      </c>
      <c r="AB3996" s="7" t="n"/>
      <c r="AE3996" s="11" t="n"/>
      <c r="AG3996" s="7">
        <f>IF($C3996="","",U3996*X3996/100)</f>
        <v/>
      </c>
      <c r="AH3996" s="7">
        <f>IF($C3996="","",U3996-AG3996)</f>
        <v/>
      </c>
      <c r="AI3996" s="7">
        <f>IF($C3996="","",AH3996-M3996)</f>
        <v/>
      </c>
      <c r="AJ3996">
        <f>IF($C3996="","",IF(COUNTIF($C$2:$C3996,$C3996)=1,1,0))</f>
        <v/>
      </c>
      <c r="AK3996">
        <f>IF($AJ3996=1,SUMPRODUCT(--($AN$2:$AN$4001&lt;$AN3996))+1,"")</f>
        <v/>
      </c>
      <c r="AL3996">
        <f>IF($C3996="","",IF(OR($Q3996=TRUE(),$Q3996="TRUE"),1,0))</f>
        <v/>
      </c>
      <c r="AM3996">
        <f>IF($C3996="","",IF($W3996="Yes",1,0))</f>
        <v/>
      </c>
      <c r="AN3996">
        <f>IF($AJ3996=1,IFERROR(IF(VALUE($C3996)&lt;100000000,VALUE($C3996),1000000000),IFERROR(IF(VALUE(MID($C3996,2,20))&lt;100000000,VALUE(MID($C3996,2,20)),1000000000),1000000000))+ROW()/100000,"")</f>
        <v/>
      </c>
    </row>
    <row r="3997">
      <c r="E3997" s="11" t="n"/>
      <c r="M3997" s="7">
        <f>IF($C3997="","",L3997*U3997/100)</f>
        <v/>
      </c>
      <c r="N3997" s="7" t="n"/>
      <c r="T3997" s="7" t="n"/>
      <c r="U3997" s="7">
        <f>IF($C3997="","",S3997*T3997)</f>
        <v/>
      </c>
      <c r="X3997">
        <f>IF($C3997="","",IF($AM3997=1,0,IF($AL3997=1,Settings!$C$6,Settings!$C$7))*100)</f>
        <v/>
      </c>
      <c r="AB3997" s="7" t="n"/>
      <c r="AE3997" s="11" t="n"/>
      <c r="AG3997" s="7">
        <f>IF($C3997="","",U3997*X3997/100)</f>
        <v/>
      </c>
      <c r="AH3997" s="7">
        <f>IF($C3997="","",U3997-AG3997)</f>
        <v/>
      </c>
      <c r="AI3997" s="7">
        <f>IF($C3997="","",AH3997-M3997)</f>
        <v/>
      </c>
      <c r="AJ3997">
        <f>IF($C3997="","",IF(COUNTIF($C$2:$C3997,$C3997)=1,1,0))</f>
        <v/>
      </c>
      <c r="AK3997">
        <f>IF($AJ3997=1,SUMPRODUCT(--($AN$2:$AN$4001&lt;$AN3997))+1,"")</f>
        <v/>
      </c>
      <c r="AL3997">
        <f>IF($C3997="","",IF(OR($Q3997=TRUE(),$Q3997="TRUE"),1,0))</f>
        <v/>
      </c>
      <c r="AM3997">
        <f>IF($C3997="","",IF($W3997="Yes",1,0))</f>
        <v/>
      </c>
      <c r="AN3997">
        <f>IF($AJ3997=1,IFERROR(IF(VALUE($C3997)&lt;100000000,VALUE($C3997),1000000000),IFERROR(IF(VALUE(MID($C3997,2,20))&lt;100000000,VALUE(MID($C3997,2,20)),1000000000),1000000000))+ROW()/100000,"")</f>
        <v/>
      </c>
    </row>
    <row r="3998">
      <c r="E3998" s="11" t="n"/>
      <c r="M3998" s="7">
        <f>IF($C3998="","",L3998*U3998/100)</f>
        <v/>
      </c>
      <c r="N3998" s="7" t="n"/>
      <c r="T3998" s="7" t="n"/>
      <c r="U3998" s="7">
        <f>IF($C3998="","",S3998*T3998)</f>
        <v/>
      </c>
      <c r="X3998">
        <f>IF($C3998="","",IF($AM3998=1,0,IF($AL3998=1,Settings!$C$6,Settings!$C$7))*100)</f>
        <v/>
      </c>
      <c r="AB3998" s="7" t="n"/>
      <c r="AE3998" s="11" t="n"/>
      <c r="AG3998" s="7">
        <f>IF($C3998="","",U3998*X3998/100)</f>
        <v/>
      </c>
      <c r="AH3998" s="7">
        <f>IF($C3998="","",U3998-AG3998)</f>
        <v/>
      </c>
      <c r="AI3998" s="7">
        <f>IF($C3998="","",AH3998-M3998)</f>
        <v/>
      </c>
      <c r="AJ3998">
        <f>IF($C3998="","",IF(COUNTIF($C$2:$C3998,$C3998)=1,1,0))</f>
        <v/>
      </c>
      <c r="AK3998">
        <f>IF($AJ3998=1,SUMPRODUCT(--($AN$2:$AN$4001&lt;$AN3998))+1,"")</f>
        <v/>
      </c>
      <c r="AL3998">
        <f>IF($C3998="","",IF(OR($Q3998=TRUE(),$Q3998="TRUE"),1,0))</f>
        <v/>
      </c>
      <c r="AM3998">
        <f>IF($C3998="","",IF($W3998="Yes",1,0))</f>
        <v/>
      </c>
      <c r="AN3998">
        <f>IF($AJ3998=1,IFERROR(IF(VALUE($C3998)&lt;100000000,VALUE($C3998),1000000000),IFERROR(IF(VALUE(MID($C3998,2,20))&lt;100000000,VALUE(MID($C3998,2,20)),1000000000),1000000000))+ROW()/100000,"")</f>
        <v/>
      </c>
    </row>
    <row r="3999">
      <c r="E3999" s="11" t="n"/>
      <c r="M3999" s="7">
        <f>IF($C3999="","",L3999*U3999/100)</f>
        <v/>
      </c>
      <c r="N3999" s="7" t="n"/>
      <c r="T3999" s="7" t="n"/>
      <c r="U3999" s="7">
        <f>IF($C3999="","",S3999*T3999)</f>
        <v/>
      </c>
      <c r="X3999">
        <f>IF($C3999="","",IF($AM3999=1,0,IF($AL3999=1,Settings!$C$6,Settings!$C$7))*100)</f>
        <v/>
      </c>
      <c r="AB3999" s="7" t="n"/>
      <c r="AE3999" s="11" t="n"/>
      <c r="AG3999" s="7">
        <f>IF($C3999="","",U3999*X3999/100)</f>
        <v/>
      </c>
      <c r="AH3999" s="7">
        <f>IF($C3999="","",U3999-AG3999)</f>
        <v/>
      </c>
      <c r="AI3999" s="7">
        <f>IF($C3999="","",AH3999-M3999)</f>
        <v/>
      </c>
      <c r="AJ3999">
        <f>IF($C3999="","",IF(COUNTIF($C$2:$C3999,$C3999)=1,1,0))</f>
        <v/>
      </c>
      <c r="AK3999">
        <f>IF($AJ3999=1,SUMPRODUCT(--($AN$2:$AN$4001&lt;$AN3999))+1,"")</f>
        <v/>
      </c>
      <c r="AL3999">
        <f>IF($C3999="","",IF(OR($Q3999=TRUE(),$Q3999="TRUE"),1,0))</f>
        <v/>
      </c>
      <c r="AM3999">
        <f>IF($C3999="","",IF($W3999="Yes",1,0))</f>
        <v/>
      </c>
      <c r="AN3999">
        <f>IF($AJ3999=1,IFERROR(IF(VALUE($C3999)&lt;100000000,VALUE($C3999),1000000000),IFERROR(IF(VALUE(MID($C3999,2,20))&lt;100000000,VALUE(MID($C3999,2,20)),1000000000),1000000000))+ROW()/100000,"")</f>
        <v/>
      </c>
    </row>
    <row r="4000">
      <c r="E4000" s="11" t="n"/>
      <c r="M4000" s="7">
        <f>IF($C4000="","",L4000*U4000/100)</f>
        <v/>
      </c>
      <c r="N4000" s="7" t="n"/>
      <c r="T4000" s="7" t="n"/>
      <c r="U4000" s="7">
        <f>IF($C4000="","",S4000*T4000)</f>
        <v/>
      </c>
      <c r="X4000">
        <f>IF($C4000="","",IF($AM4000=1,0,IF($AL4000=1,Settings!$C$6,Settings!$C$7))*100)</f>
        <v/>
      </c>
      <c r="AB4000" s="7" t="n"/>
      <c r="AE4000" s="11" t="n"/>
      <c r="AG4000" s="7">
        <f>IF($C4000="","",U4000*X4000/100)</f>
        <v/>
      </c>
      <c r="AH4000" s="7">
        <f>IF($C4000="","",U4000-AG4000)</f>
        <v/>
      </c>
      <c r="AI4000" s="7">
        <f>IF($C4000="","",AH4000-M4000)</f>
        <v/>
      </c>
      <c r="AJ4000">
        <f>IF($C4000="","",IF(COUNTIF($C$2:$C4000,$C4000)=1,1,0))</f>
        <v/>
      </c>
      <c r="AK4000">
        <f>IF($AJ4000=1,SUMPRODUCT(--($AN$2:$AN$4001&lt;$AN4000))+1,"")</f>
        <v/>
      </c>
      <c r="AL4000">
        <f>IF($C4000="","",IF(OR($Q4000=TRUE(),$Q4000="TRUE"),1,0))</f>
        <v/>
      </c>
      <c r="AM4000">
        <f>IF($C4000="","",IF($W4000="Yes",1,0))</f>
        <v/>
      </c>
      <c r="AN4000">
        <f>IF($AJ4000=1,IFERROR(IF(VALUE($C4000)&lt;100000000,VALUE($C4000),1000000000),IFERROR(IF(VALUE(MID($C4000,2,20))&lt;100000000,VALUE(MID($C4000,2,20)),1000000000),1000000000))+ROW()/100000,"")</f>
        <v/>
      </c>
    </row>
    <row r="4001">
      <c r="E4001" s="11" t="n"/>
      <c r="M4001" s="7">
        <f>IF($C4001="","",L4001*U4001/100)</f>
        <v/>
      </c>
      <c r="N4001" s="7" t="n"/>
      <c r="T4001" s="7" t="n"/>
      <c r="U4001" s="7">
        <f>IF($C4001="","",S4001*T4001)</f>
        <v/>
      </c>
      <c r="X4001">
        <f>IF($C4001="","",IF($AM4001=1,0,IF($AL4001=1,Settings!$C$6,Settings!$C$7))*100)</f>
        <v/>
      </c>
      <c r="AB4001" s="7" t="n"/>
      <c r="AE4001" s="11" t="n"/>
      <c r="AG4001" s="7">
        <f>IF($C4001="","",U4001*X4001/100)</f>
        <v/>
      </c>
      <c r="AH4001" s="7">
        <f>IF($C4001="","",U4001-AG4001)</f>
        <v/>
      </c>
      <c r="AI4001" s="7">
        <f>IF($C4001="","",AH4001-M4001)</f>
        <v/>
      </c>
      <c r="AJ4001">
        <f>IF($C4001="","",IF(COUNTIF($C$2:$C4001,$C4001)=1,1,0))</f>
        <v/>
      </c>
      <c r="AK4001">
        <f>IF($AJ4001=1,SUMPRODUCT(--($AN$2:$AN$4001&lt;$AN4001))+1,"")</f>
        <v/>
      </c>
      <c r="AL4001">
        <f>IF($C4001="","",IF(OR($Q4001=TRUE(),$Q4001="TRUE"),1,0))</f>
        <v/>
      </c>
      <c r="AM4001">
        <f>IF($C4001="","",IF($W4001="Yes",1,0))</f>
        <v/>
      </c>
      <c r="AN4001">
        <f>IF($AJ4001=1,IFERROR(IF(VALUE($C4001)&lt;100000000,VALUE($C4001),1000000000),IFERROR(IF(VALUE(MID($C4001,2,20))&lt;100000000,VALUE(MID($C4001,2,20)),1000000000),1000000000))+ROW()/100000,"")</f>
        <v/>
      </c>
    </row>
  </sheetData>
  <autoFilter ref="A1:AN4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10" customWidth="1" min="5" max="5"/>
    <col width="17" customWidth="1" min="6" max="6"/>
    <col width="18" customWidth="1" min="7" max="7"/>
    <col width="24" customWidth="1" min="8" max="8"/>
    <col width="12" customWidth="1" min="9" max="9"/>
    <col width="26" customWidth="1" min="10" max="10"/>
    <col width="14" customWidth="1" min="11" max="11"/>
    <col width="12" customWidth="1" min="12" max="12"/>
    <col width="12" customWidth="1" min="13" max="13"/>
    <col width="36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3" customWidth="1" min="28" max="28"/>
    <col width="14" customWidth="1" min="29" max="29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Channel</t>
        </is>
      </c>
      <c r="D1" s="9" t="inlineStr">
        <is>
          <t>Stage</t>
        </is>
      </c>
      <c r="E1" s="9" t="inlineStr">
        <is>
          <t>Ticket #</t>
        </is>
      </c>
      <c r="F1" s="9" t="inlineStr">
        <is>
          <t>Create At</t>
        </is>
      </c>
      <c r="G1" s="9" t="inlineStr">
        <is>
          <t>Insurance Company</t>
        </is>
      </c>
      <c r="H1" s="9" t="inlineStr">
        <is>
          <t>Corporate</t>
        </is>
      </c>
      <c r="I1" s="9" t="inlineStr">
        <is>
          <t>Card</t>
        </is>
      </c>
      <c r="J1" s="9" t="inlineStr">
        <is>
          <t>Name</t>
        </is>
      </c>
      <c r="K1" s="9" t="inlineStr">
        <is>
          <t>Status</t>
        </is>
      </c>
      <c r="L1" s="9" t="inlineStr">
        <is>
          <t>Order Co Payment</t>
        </is>
      </c>
      <c r="M1" s="9" t="inlineStr">
        <is>
          <t>Co val</t>
        </is>
      </c>
      <c r="N1" s="9" t="inlineStr">
        <is>
          <t>ERX ID</t>
        </is>
      </c>
      <c r="O1" s="9" t="inlineStr">
        <is>
          <t>Max Limit</t>
        </is>
      </c>
      <c r="P1" s="9" t="inlineStr">
        <is>
          <t>Exceeding Limit</t>
        </is>
      </c>
      <c r="Q1" s="9" t="inlineStr">
        <is>
          <t>SP</t>
        </is>
      </c>
      <c r="R1" s="9" t="inlineStr">
        <is>
          <t>IMP%</t>
        </is>
      </c>
      <c r="S1" s="9" t="inlineStr">
        <is>
          <t>IMP</t>
        </is>
      </c>
      <c r="T1" s="9" t="inlineStr">
        <is>
          <t>IMP VAL</t>
        </is>
      </c>
      <c r="U1" s="9" t="inlineStr">
        <is>
          <t>LOCAL%</t>
        </is>
      </c>
      <c r="V1" s="9" t="inlineStr">
        <is>
          <t>LOCAL</t>
        </is>
      </c>
      <c r="W1" s="9" t="inlineStr">
        <is>
          <t>LOCAL VAL</t>
        </is>
      </c>
      <c r="X1" s="9" t="inlineStr">
        <is>
          <t>TOTAL VAL</t>
        </is>
      </c>
      <c r="Y1" s="9" t="inlineStr">
        <is>
          <t>SUBTOTAL</t>
        </is>
      </c>
      <c r="Z1" s="9" t="inlineStr">
        <is>
          <t>Grand Total</t>
        </is>
      </c>
      <c r="AA1" s="9" t="inlineStr">
        <is>
          <t>NET</t>
        </is>
      </c>
      <c r="AB1" s="10" t="inlineStr">
        <is>
          <t>Src Row (helper)</t>
        </is>
      </c>
      <c r="AC1" s="10" t="inlineStr">
        <is>
          <t>Limit Adj (helper)</t>
        </is>
      </c>
    </row>
    <row r="2">
      <c r="A2" s="12" t="n"/>
      <c r="B2">
        <f>IF($AB2="","",INDEX('Per Line'!$C$2:$C$4001,$AB2)&amp;"")</f>
        <v/>
      </c>
      <c r="C2">
        <f>IF($AB2="","",INDEX('Per Line'!$D$2:$D$4001,$AB2)&amp;"")</f>
        <v/>
      </c>
      <c r="D2">
        <f>IF($AB2="","",INDEX('Per Line'!$B$2:$B$4001,$AB2)&amp;"")</f>
        <v/>
      </c>
      <c r="E2">
        <f>IF($AB2="","",INDEX('Per Line'!$A$2:$A$4001,$AB2))</f>
        <v/>
      </c>
      <c r="F2" s="11">
        <f>IF($AB2="","",INDEX('Per Line'!$E$2:$E$4001,$AB2))</f>
        <v/>
      </c>
      <c r="G2">
        <f>IF($AB2="","",INDEX('Per Line'!$F$2:$F$4001,$AB2)&amp;"")</f>
        <v/>
      </c>
      <c r="H2">
        <f>IF($AB2="","",INDEX('Per Line'!$H$2:$H$4001,$AB2)&amp;"")</f>
        <v/>
      </c>
      <c r="I2">
        <f>IF($AB2="","",INDEX('Per Line'!$I$2:$I$4001,$AB2)&amp;"")</f>
        <v/>
      </c>
      <c r="J2">
        <f>IF($AB2="","",INDEX('Per Line'!$J$2:$J$4001,$AB2)&amp;"")</f>
        <v/>
      </c>
      <c r="K2">
        <f>IF($AB2="","",INDEX('Per Line'!$K$2:$K$4001,$AB2)&amp;"")</f>
        <v/>
      </c>
      <c r="L2">
        <f>IF($AB2="","",INDEX('Per Line'!$L$2:$L$4001,$AB2))</f>
        <v/>
      </c>
      <c r="M2" s="7">
        <f>IF($AB2="","",IF(AND(ISNUMBER(O2),O2&gt;0,Z2&gt;O2),L2*O2/100+(Z2-O2),L2*Z2/100))</f>
        <v/>
      </c>
      <c r="N2">
        <f>IF($AB2="","",INDEX('Per Line'!$V$2:$V$4001,$AB2)&amp;"")</f>
        <v/>
      </c>
      <c r="O2">
        <f>IF($AB2="","",INDEX('Per Line'!$Z$2:$Z$4001,$AB2))</f>
        <v/>
      </c>
      <c r="P2">
        <f>IF($AB2="","",IF(AND(ISNUMBER(O2),O2&gt;0),Z2&gt;O2,FALSE))</f>
        <v/>
      </c>
      <c r="Q2" s="7">
        <f>IF($AB2="","",SUMIFS('Per Line'!$U$2:$U$4001,'Per Line'!$C$2:$C$4001,$B2,'Per Line'!$AM$2:$AM$4001,1))</f>
        <v/>
      </c>
      <c r="R2">
        <f>IF($AB2="","",Settings!$C$7)</f>
        <v/>
      </c>
      <c r="S2" s="7">
        <f>IF($AB2="","",SUMIFS('Per Line'!$U$2:$U$4001,'Per Line'!$C$2:$C$4001,$B2,'Per Line'!$AL$2:$AL$4001,0,'Per Line'!$AM$2:$AM$4001,0))</f>
        <v/>
      </c>
      <c r="T2" s="7">
        <f>IF($AB2="","",S2*R2)</f>
        <v/>
      </c>
      <c r="U2">
        <f>IF($AB2="","",Settings!$C$6)</f>
        <v/>
      </c>
      <c r="V2" s="7">
        <f>IF($AB2="","",SUMIFS('Per Line'!$U$2:$U$4001,'Per Line'!$C$2:$C$4001,$B2,'Per Line'!$AL$2:$AL$4001,1,'Per Line'!$AM$2:$AM$4001,0))</f>
        <v/>
      </c>
      <c r="W2" s="7">
        <f>IF($AB2="","",V2*U2)</f>
        <v/>
      </c>
      <c r="X2" s="7">
        <f>IF($AB2="","",W2+T2)</f>
        <v/>
      </c>
      <c r="Y2" s="7">
        <f>IF($AB2="","",Z2-X2)</f>
        <v/>
      </c>
      <c r="Z2" s="7">
        <f>IF($AB2="","",S2+V2+Q2)</f>
        <v/>
      </c>
      <c r="AA2" s="7">
        <f>IF($AB2="","",Z2-X2-M2)</f>
        <v/>
      </c>
      <c r="AB2" s="13">
        <f>IF(ROWS($AB$2:$AB2)&lt;=MAX('Per Line'!$AK$2:$AK$4001),MATCH(ROWS($AB$2:$AB2),'Per Line'!$AK$2:$AK$4001,0),"")</f>
        <v/>
      </c>
      <c r="AC2" s="14">
        <f>IF($AB2="","",M2-L2*Z2/100)</f>
        <v/>
      </c>
    </row>
    <row r="3">
      <c r="A3" s="12" t="n"/>
      <c r="B3">
        <f>IF($AB3="","",INDEX('Per Line'!$C$2:$C$4001,$AB3)&amp;"")</f>
        <v/>
      </c>
      <c r="C3">
        <f>IF($AB3="","",INDEX('Per Line'!$D$2:$D$4001,$AB3)&amp;"")</f>
        <v/>
      </c>
      <c r="D3">
        <f>IF($AB3="","",INDEX('Per Line'!$B$2:$B$4001,$AB3)&amp;"")</f>
        <v/>
      </c>
      <c r="E3">
        <f>IF($AB3="","",INDEX('Per Line'!$A$2:$A$4001,$AB3))</f>
        <v/>
      </c>
      <c r="F3" s="11">
        <f>IF($AB3="","",INDEX('Per Line'!$E$2:$E$4001,$AB3))</f>
        <v/>
      </c>
      <c r="G3">
        <f>IF($AB3="","",INDEX('Per Line'!$F$2:$F$4001,$AB3)&amp;"")</f>
        <v/>
      </c>
      <c r="H3">
        <f>IF($AB3="","",INDEX('Per Line'!$H$2:$H$4001,$AB3)&amp;"")</f>
        <v/>
      </c>
      <c r="I3">
        <f>IF($AB3="","",INDEX('Per Line'!$I$2:$I$4001,$AB3)&amp;"")</f>
        <v/>
      </c>
      <c r="J3">
        <f>IF($AB3="","",INDEX('Per Line'!$J$2:$J$4001,$AB3)&amp;"")</f>
        <v/>
      </c>
      <c r="K3">
        <f>IF($AB3="","",INDEX('Per Line'!$K$2:$K$4001,$AB3)&amp;"")</f>
        <v/>
      </c>
      <c r="L3">
        <f>IF($AB3="","",INDEX('Per Line'!$L$2:$L$4001,$AB3))</f>
        <v/>
      </c>
      <c r="M3" s="7">
        <f>IF($AB3="","",IF(AND(ISNUMBER(O3),O3&gt;0,Z3&gt;O3),L3*O3/100+(Z3-O3),L3*Z3/100))</f>
        <v/>
      </c>
      <c r="N3">
        <f>IF($AB3="","",INDEX('Per Line'!$V$2:$V$4001,$AB3)&amp;"")</f>
        <v/>
      </c>
      <c r="O3">
        <f>IF($AB3="","",INDEX('Per Line'!$Z$2:$Z$4001,$AB3))</f>
        <v/>
      </c>
      <c r="P3">
        <f>IF($AB3="","",IF(AND(ISNUMBER(O3),O3&gt;0),Z3&gt;O3,FALSE))</f>
        <v/>
      </c>
      <c r="Q3" s="7">
        <f>IF($AB3="","",SUMIFS('Per Line'!$U$2:$U$4001,'Per Line'!$C$2:$C$4001,$B3,'Per Line'!$AM$2:$AM$4001,1))</f>
        <v/>
      </c>
      <c r="R3">
        <f>IF($AB3="","",Settings!$C$7)</f>
        <v/>
      </c>
      <c r="S3" s="7">
        <f>IF($AB3="","",SUMIFS('Per Line'!$U$2:$U$4001,'Per Line'!$C$2:$C$4001,$B3,'Per Line'!$AL$2:$AL$4001,0,'Per Line'!$AM$2:$AM$4001,0))</f>
        <v/>
      </c>
      <c r="T3" s="7">
        <f>IF($AB3="","",S3*R3)</f>
        <v/>
      </c>
      <c r="U3">
        <f>IF($AB3="","",Settings!$C$6)</f>
        <v/>
      </c>
      <c r="V3" s="7">
        <f>IF($AB3="","",SUMIFS('Per Line'!$U$2:$U$4001,'Per Line'!$C$2:$C$4001,$B3,'Per Line'!$AL$2:$AL$4001,1,'Per Line'!$AM$2:$AM$4001,0))</f>
        <v/>
      </c>
      <c r="W3" s="7">
        <f>IF($AB3="","",V3*U3)</f>
        <v/>
      </c>
      <c r="X3" s="7">
        <f>IF($AB3="","",W3+T3)</f>
        <v/>
      </c>
      <c r="Y3" s="7">
        <f>IF($AB3="","",Z3-X3)</f>
        <v/>
      </c>
      <c r="Z3" s="7">
        <f>IF($AB3="","",S3+V3+Q3)</f>
        <v/>
      </c>
      <c r="AA3" s="7">
        <f>IF($AB3="","",Z3-X3-M3)</f>
        <v/>
      </c>
      <c r="AB3" s="13">
        <f>IF(ROWS($AB$2:$AB3)&lt;=MAX('Per Line'!$AK$2:$AK$4001),MATCH(ROWS($AB$2:$AB3),'Per Line'!$AK$2:$AK$4001,0),"")</f>
        <v/>
      </c>
      <c r="AC3" s="14">
        <f>IF($AB3="","",M3-L3*Z3/100)</f>
        <v/>
      </c>
    </row>
    <row r="4">
      <c r="A4" s="12" t="n"/>
      <c r="B4">
        <f>IF($AB4="","",INDEX('Per Line'!$C$2:$C$4001,$AB4)&amp;"")</f>
        <v/>
      </c>
      <c r="C4">
        <f>IF($AB4="","",INDEX('Per Line'!$D$2:$D$4001,$AB4)&amp;"")</f>
        <v/>
      </c>
      <c r="D4">
        <f>IF($AB4="","",INDEX('Per Line'!$B$2:$B$4001,$AB4)&amp;"")</f>
        <v/>
      </c>
      <c r="E4">
        <f>IF($AB4="","",INDEX('Per Line'!$A$2:$A$4001,$AB4))</f>
        <v/>
      </c>
      <c r="F4" s="11">
        <f>IF($AB4="","",INDEX('Per Line'!$E$2:$E$4001,$AB4))</f>
        <v/>
      </c>
      <c r="G4">
        <f>IF($AB4="","",INDEX('Per Line'!$F$2:$F$4001,$AB4)&amp;"")</f>
        <v/>
      </c>
      <c r="H4">
        <f>IF($AB4="","",INDEX('Per Line'!$H$2:$H$4001,$AB4)&amp;"")</f>
        <v/>
      </c>
      <c r="I4">
        <f>IF($AB4="","",INDEX('Per Line'!$I$2:$I$4001,$AB4)&amp;"")</f>
        <v/>
      </c>
      <c r="J4">
        <f>IF($AB4="","",INDEX('Per Line'!$J$2:$J$4001,$AB4)&amp;"")</f>
        <v/>
      </c>
      <c r="K4">
        <f>IF($AB4="","",INDEX('Per Line'!$K$2:$K$4001,$AB4)&amp;"")</f>
        <v/>
      </c>
      <c r="L4">
        <f>IF($AB4="","",INDEX('Per Line'!$L$2:$L$4001,$AB4))</f>
        <v/>
      </c>
      <c r="M4" s="7">
        <f>IF($AB4="","",IF(AND(ISNUMBER(O4),O4&gt;0,Z4&gt;O4),L4*O4/100+(Z4-O4),L4*Z4/100))</f>
        <v/>
      </c>
      <c r="N4">
        <f>IF($AB4="","",INDEX('Per Line'!$V$2:$V$4001,$AB4)&amp;"")</f>
        <v/>
      </c>
      <c r="O4">
        <f>IF($AB4="","",INDEX('Per Line'!$Z$2:$Z$4001,$AB4))</f>
        <v/>
      </c>
      <c r="P4">
        <f>IF($AB4="","",IF(AND(ISNUMBER(O4),O4&gt;0),Z4&gt;O4,FALSE))</f>
        <v/>
      </c>
      <c r="Q4" s="7">
        <f>IF($AB4="","",SUMIFS('Per Line'!$U$2:$U$4001,'Per Line'!$C$2:$C$4001,$B4,'Per Line'!$AM$2:$AM$4001,1))</f>
        <v/>
      </c>
      <c r="R4">
        <f>IF($AB4="","",Settings!$C$7)</f>
        <v/>
      </c>
      <c r="S4" s="7">
        <f>IF($AB4="","",SUMIFS('Per Line'!$U$2:$U$4001,'Per Line'!$C$2:$C$4001,$B4,'Per Line'!$AL$2:$AL$4001,0,'Per Line'!$AM$2:$AM$4001,0))</f>
        <v/>
      </c>
      <c r="T4" s="7">
        <f>IF($AB4="","",S4*R4)</f>
        <v/>
      </c>
      <c r="U4">
        <f>IF($AB4="","",Settings!$C$6)</f>
        <v/>
      </c>
      <c r="V4" s="7">
        <f>IF($AB4="","",SUMIFS('Per Line'!$U$2:$U$4001,'Per Line'!$C$2:$C$4001,$B4,'Per Line'!$AL$2:$AL$4001,1,'Per Line'!$AM$2:$AM$4001,0))</f>
        <v/>
      </c>
      <c r="W4" s="7">
        <f>IF($AB4="","",V4*U4)</f>
        <v/>
      </c>
      <c r="X4" s="7">
        <f>IF($AB4="","",W4+T4)</f>
        <v/>
      </c>
      <c r="Y4" s="7">
        <f>IF($AB4="","",Z4-X4)</f>
        <v/>
      </c>
      <c r="Z4" s="7">
        <f>IF($AB4="","",S4+V4+Q4)</f>
        <v/>
      </c>
      <c r="AA4" s="7">
        <f>IF($AB4="","",Z4-X4-M4)</f>
        <v/>
      </c>
      <c r="AB4" s="13">
        <f>IF(ROWS($AB$2:$AB4)&lt;=MAX('Per Line'!$AK$2:$AK$4001),MATCH(ROWS($AB$2:$AB4),'Per Line'!$AK$2:$AK$4001,0),"")</f>
        <v/>
      </c>
      <c r="AC4" s="14">
        <f>IF($AB4="","",M4-L4*Z4/100)</f>
        <v/>
      </c>
    </row>
    <row r="5">
      <c r="A5" s="12" t="n"/>
      <c r="B5">
        <f>IF($AB5="","",INDEX('Per Line'!$C$2:$C$4001,$AB5)&amp;"")</f>
        <v/>
      </c>
      <c r="C5">
        <f>IF($AB5="","",INDEX('Per Line'!$D$2:$D$4001,$AB5)&amp;"")</f>
        <v/>
      </c>
      <c r="D5">
        <f>IF($AB5="","",INDEX('Per Line'!$B$2:$B$4001,$AB5)&amp;"")</f>
        <v/>
      </c>
      <c r="E5">
        <f>IF($AB5="","",INDEX('Per Line'!$A$2:$A$4001,$AB5))</f>
        <v/>
      </c>
      <c r="F5" s="11">
        <f>IF($AB5="","",INDEX('Per Line'!$E$2:$E$4001,$AB5))</f>
        <v/>
      </c>
      <c r="G5">
        <f>IF($AB5="","",INDEX('Per Line'!$F$2:$F$4001,$AB5)&amp;"")</f>
        <v/>
      </c>
      <c r="H5">
        <f>IF($AB5="","",INDEX('Per Line'!$H$2:$H$4001,$AB5)&amp;"")</f>
        <v/>
      </c>
      <c r="I5">
        <f>IF($AB5="","",INDEX('Per Line'!$I$2:$I$4001,$AB5)&amp;"")</f>
        <v/>
      </c>
      <c r="J5">
        <f>IF($AB5="","",INDEX('Per Line'!$J$2:$J$4001,$AB5)&amp;"")</f>
        <v/>
      </c>
      <c r="K5">
        <f>IF($AB5="","",INDEX('Per Line'!$K$2:$K$4001,$AB5)&amp;"")</f>
        <v/>
      </c>
      <c r="L5">
        <f>IF($AB5="","",INDEX('Per Line'!$L$2:$L$4001,$AB5))</f>
        <v/>
      </c>
      <c r="M5" s="7">
        <f>IF($AB5="","",IF(AND(ISNUMBER(O5),O5&gt;0,Z5&gt;O5),L5*O5/100+(Z5-O5),L5*Z5/100))</f>
        <v/>
      </c>
      <c r="N5">
        <f>IF($AB5="","",INDEX('Per Line'!$V$2:$V$4001,$AB5)&amp;"")</f>
        <v/>
      </c>
      <c r="O5">
        <f>IF($AB5="","",INDEX('Per Line'!$Z$2:$Z$4001,$AB5))</f>
        <v/>
      </c>
      <c r="P5">
        <f>IF($AB5="","",IF(AND(ISNUMBER(O5),O5&gt;0),Z5&gt;O5,FALSE))</f>
        <v/>
      </c>
      <c r="Q5" s="7">
        <f>IF($AB5="","",SUMIFS('Per Line'!$U$2:$U$4001,'Per Line'!$C$2:$C$4001,$B5,'Per Line'!$AM$2:$AM$4001,1))</f>
        <v/>
      </c>
      <c r="R5">
        <f>IF($AB5="","",Settings!$C$7)</f>
        <v/>
      </c>
      <c r="S5" s="7">
        <f>IF($AB5="","",SUMIFS('Per Line'!$U$2:$U$4001,'Per Line'!$C$2:$C$4001,$B5,'Per Line'!$AL$2:$AL$4001,0,'Per Line'!$AM$2:$AM$4001,0))</f>
        <v/>
      </c>
      <c r="T5" s="7">
        <f>IF($AB5="","",S5*R5)</f>
        <v/>
      </c>
      <c r="U5">
        <f>IF($AB5="","",Settings!$C$6)</f>
        <v/>
      </c>
      <c r="V5" s="7">
        <f>IF($AB5="","",SUMIFS('Per Line'!$U$2:$U$4001,'Per Line'!$C$2:$C$4001,$B5,'Per Line'!$AL$2:$AL$4001,1,'Per Line'!$AM$2:$AM$4001,0))</f>
        <v/>
      </c>
      <c r="W5" s="7">
        <f>IF($AB5="","",V5*U5)</f>
        <v/>
      </c>
      <c r="X5" s="7">
        <f>IF($AB5="","",W5+T5)</f>
        <v/>
      </c>
      <c r="Y5" s="7">
        <f>IF($AB5="","",Z5-X5)</f>
        <v/>
      </c>
      <c r="Z5" s="7">
        <f>IF($AB5="","",S5+V5+Q5)</f>
        <v/>
      </c>
      <c r="AA5" s="7">
        <f>IF($AB5="","",Z5-X5-M5)</f>
        <v/>
      </c>
      <c r="AB5" s="13">
        <f>IF(ROWS($AB$2:$AB5)&lt;=MAX('Per Line'!$AK$2:$AK$4001),MATCH(ROWS($AB$2:$AB5),'Per Line'!$AK$2:$AK$4001,0),"")</f>
        <v/>
      </c>
      <c r="AC5" s="14">
        <f>IF($AB5="","",M5-L5*Z5/100)</f>
        <v/>
      </c>
    </row>
    <row r="6">
      <c r="A6" s="12" t="n"/>
      <c r="B6">
        <f>IF($AB6="","",INDEX('Per Line'!$C$2:$C$4001,$AB6)&amp;"")</f>
        <v/>
      </c>
      <c r="C6">
        <f>IF($AB6="","",INDEX('Per Line'!$D$2:$D$4001,$AB6)&amp;"")</f>
        <v/>
      </c>
      <c r="D6">
        <f>IF($AB6="","",INDEX('Per Line'!$B$2:$B$4001,$AB6)&amp;"")</f>
        <v/>
      </c>
      <c r="E6">
        <f>IF($AB6="","",INDEX('Per Line'!$A$2:$A$4001,$AB6))</f>
        <v/>
      </c>
      <c r="F6" s="11">
        <f>IF($AB6="","",INDEX('Per Line'!$E$2:$E$4001,$AB6))</f>
        <v/>
      </c>
      <c r="G6">
        <f>IF($AB6="","",INDEX('Per Line'!$F$2:$F$4001,$AB6)&amp;"")</f>
        <v/>
      </c>
      <c r="H6">
        <f>IF($AB6="","",INDEX('Per Line'!$H$2:$H$4001,$AB6)&amp;"")</f>
        <v/>
      </c>
      <c r="I6">
        <f>IF($AB6="","",INDEX('Per Line'!$I$2:$I$4001,$AB6)&amp;"")</f>
        <v/>
      </c>
      <c r="J6">
        <f>IF($AB6="","",INDEX('Per Line'!$J$2:$J$4001,$AB6)&amp;"")</f>
        <v/>
      </c>
      <c r="K6">
        <f>IF($AB6="","",INDEX('Per Line'!$K$2:$K$4001,$AB6)&amp;"")</f>
        <v/>
      </c>
      <c r="L6">
        <f>IF($AB6="","",INDEX('Per Line'!$L$2:$L$4001,$AB6))</f>
        <v/>
      </c>
      <c r="M6" s="7">
        <f>IF($AB6="","",IF(AND(ISNUMBER(O6),O6&gt;0,Z6&gt;O6),L6*O6/100+(Z6-O6),L6*Z6/100))</f>
        <v/>
      </c>
      <c r="N6">
        <f>IF($AB6="","",INDEX('Per Line'!$V$2:$V$4001,$AB6)&amp;"")</f>
        <v/>
      </c>
      <c r="O6">
        <f>IF($AB6="","",INDEX('Per Line'!$Z$2:$Z$4001,$AB6))</f>
        <v/>
      </c>
      <c r="P6">
        <f>IF($AB6="","",IF(AND(ISNUMBER(O6),O6&gt;0),Z6&gt;O6,FALSE))</f>
        <v/>
      </c>
      <c r="Q6" s="7">
        <f>IF($AB6="","",SUMIFS('Per Line'!$U$2:$U$4001,'Per Line'!$C$2:$C$4001,$B6,'Per Line'!$AM$2:$AM$4001,1))</f>
        <v/>
      </c>
      <c r="R6">
        <f>IF($AB6="","",Settings!$C$7)</f>
        <v/>
      </c>
      <c r="S6" s="7">
        <f>IF($AB6="","",SUMIFS('Per Line'!$U$2:$U$4001,'Per Line'!$C$2:$C$4001,$B6,'Per Line'!$AL$2:$AL$4001,0,'Per Line'!$AM$2:$AM$4001,0))</f>
        <v/>
      </c>
      <c r="T6" s="7">
        <f>IF($AB6="","",S6*R6)</f>
        <v/>
      </c>
      <c r="U6">
        <f>IF($AB6="","",Settings!$C$6)</f>
        <v/>
      </c>
      <c r="V6" s="7">
        <f>IF($AB6="","",SUMIFS('Per Line'!$U$2:$U$4001,'Per Line'!$C$2:$C$4001,$B6,'Per Line'!$AL$2:$AL$4001,1,'Per Line'!$AM$2:$AM$4001,0))</f>
        <v/>
      </c>
      <c r="W6" s="7">
        <f>IF($AB6="","",V6*U6)</f>
        <v/>
      </c>
      <c r="X6" s="7">
        <f>IF($AB6="","",W6+T6)</f>
        <v/>
      </c>
      <c r="Y6" s="7">
        <f>IF($AB6="","",Z6-X6)</f>
        <v/>
      </c>
      <c r="Z6" s="7">
        <f>IF($AB6="","",S6+V6+Q6)</f>
        <v/>
      </c>
      <c r="AA6" s="7">
        <f>IF($AB6="","",Z6-X6-M6)</f>
        <v/>
      </c>
      <c r="AB6" s="13">
        <f>IF(ROWS($AB$2:$AB6)&lt;=MAX('Per Line'!$AK$2:$AK$4001),MATCH(ROWS($AB$2:$AB6),'Per Line'!$AK$2:$AK$4001,0),"")</f>
        <v/>
      </c>
      <c r="AC6" s="14">
        <f>IF($AB6="","",M6-L6*Z6/100)</f>
        <v/>
      </c>
    </row>
    <row r="7">
      <c r="A7" s="12" t="n"/>
      <c r="B7">
        <f>IF($AB7="","",INDEX('Per Line'!$C$2:$C$4001,$AB7)&amp;"")</f>
        <v/>
      </c>
      <c r="C7">
        <f>IF($AB7="","",INDEX('Per Line'!$D$2:$D$4001,$AB7)&amp;"")</f>
        <v/>
      </c>
      <c r="D7">
        <f>IF($AB7="","",INDEX('Per Line'!$B$2:$B$4001,$AB7)&amp;"")</f>
        <v/>
      </c>
      <c r="E7">
        <f>IF($AB7="","",INDEX('Per Line'!$A$2:$A$4001,$AB7))</f>
        <v/>
      </c>
      <c r="F7" s="11">
        <f>IF($AB7="","",INDEX('Per Line'!$E$2:$E$4001,$AB7))</f>
        <v/>
      </c>
      <c r="G7">
        <f>IF($AB7="","",INDEX('Per Line'!$F$2:$F$4001,$AB7)&amp;"")</f>
        <v/>
      </c>
      <c r="H7">
        <f>IF($AB7="","",INDEX('Per Line'!$H$2:$H$4001,$AB7)&amp;"")</f>
        <v/>
      </c>
      <c r="I7">
        <f>IF($AB7="","",INDEX('Per Line'!$I$2:$I$4001,$AB7)&amp;"")</f>
        <v/>
      </c>
      <c r="J7">
        <f>IF($AB7="","",INDEX('Per Line'!$J$2:$J$4001,$AB7)&amp;"")</f>
        <v/>
      </c>
      <c r="K7">
        <f>IF($AB7="","",INDEX('Per Line'!$K$2:$K$4001,$AB7)&amp;"")</f>
        <v/>
      </c>
      <c r="L7">
        <f>IF($AB7="","",INDEX('Per Line'!$L$2:$L$4001,$AB7))</f>
        <v/>
      </c>
      <c r="M7" s="7">
        <f>IF($AB7="","",IF(AND(ISNUMBER(O7),O7&gt;0,Z7&gt;O7),L7*O7/100+(Z7-O7),L7*Z7/100))</f>
        <v/>
      </c>
      <c r="N7">
        <f>IF($AB7="","",INDEX('Per Line'!$V$2:$V$4001,$AB7)&amp;"")</f>
        <v/>
      </c>
      <c r="O7">
        <f>IF($AB7="","",INDEX('Per Line'!$Z$2:$Z$4001,$AB7))</f>
        <v/>
      </c>
      <c r="P7">
        <f>IF($AB7="","",IF(AND(ISNUMBER(O7),O7&gt;0),Z7&gt;O7,FALSE))</f>
        <v/>
      </c>
      <c r="Q7" s="7">
        <f>IF($AB7="","",SUMIFS('Per Line'!$U$2:$U$4001,'Per Line'!$C$2:$C$4001,$B7,'Per Line'!$AM$2:$AM$4001,1))</f>
        <v/>
      </c>
      <c r="R7">
        <f>IF($AB7="","",Settings!$C$7)</f>
        <v/>
      </c>
      <c r="S7" s="7">
        <f>IF($AB7="","",SUMIFS('Per Line'!$U$2:$U$4001,'Per Line'!$C$2:$C$4001,$B7,'Per Line'!$AL$2:$AL$4001,0,'Per Line'!$AM$2:$AM$4001,0))</f>
        <v/>
      </c>
      <c r="T7" s="7">
        <f>IF($AB7="","",S7*R7)</f>
        <v/>
      </c>
      <c r="U7">
        <f>IF($AB7="","",Settings!$C$6)</f>
        <v/>
      </c>
      <c r="V7" s="7">
        <f>IF($AB7="","",SUMIFS('Per Line'!$U$2:$U$4001,'Per Line'!$C$2:$C$4001,$B7,'Per Line'!$AL$2:$AL$4001,1,'Per Line'!$AM$2:$AM$4001,0))</f>
        <v/>
      </c>
      <c r="W7" s="7">
        <f>IF($AB7="","",V7*U7)</f>
        <v/>
      </c>
      <c r="X7" s="7">
        <f>IF($AB7="","",W7+T7)</f>
        <v/>
      </c>
      <c r="Y7" s="7">
        <f>IF($AB7="","",Z7-X7)</f>
        <v/>
      </c>
      <c r="Z7" s="7">
        <f>IF($AB7="","",S7+V7+Q7)</f>
        <v/>
      </c>
      <c r="AA7" s="7">
        <f>IF($AB7="","",Z7-X7-M7)</f>
        <v/>
      </c>
      <c r="AB7" s="13">
        <f>IF(ROWS($AB$2:$AB7)&lt;=MAX('Per Line'!$AK$2:$AK$4001),MATCH(ROWS($AB$2:$AB7),'Per Line'!$AK$2:$AK$4001,0),"")</f>
        <v/>
      </c>
      <c r="AC7" s="14">
        <f>IF($AB7="","",M7-L7*Z7/100)</f>
        <v/>
      </c>
    </row>
    <row r="8">
      <c r="A8" s="12" t="n"/>
      <c r="B8">
        <f>IF($AB8="","",INDEX('Per Line'!$C$2:$C$4001,$AB8)&amp;"")</f>
        <v/>
      </c>
      <c r="C8">
        <f>IF($AB8="","",INDEX('Per Line'!$D$2:$D$4001,$AB8)&amp;"")</f>
        <v/>
      </c>
      <c r="D8">
        <f>IF($AB8="","",INDEX('Per Line'!$B$2:$B$4001,$AB8)&amp;"")</f>
        <v/>
      </c>
      <c r="E8">
        <f>IF($AB8="","",INDEX('Per Line'!$A$2:$A$4001,$AB8))</f>
        <v/>
      </c>
      <c r="F8" s="11">
        <f>IF($AB8="","",INDEX('Per Line'!$E$2:$E$4001,$AB8))</f>
        <v/>
      </c>
      <c r="G8">
        <f>IF($AB8="","",INDEX('Per Line'!$F$2:$F$4001,$AB8)&amp;"")</f>
        <v/>
      </c>
      <c r="H8">
        <f>IF($AB8="","",INDEX('Per Line'!$H$2:$H$4001,$AB8)&amp;"")</f>
        <v/>
      </c>
      <c r="I8">
        <f>IF($AB8="","",INDEX('Per Line'!$I$2:$I$4001,$AB8)&amp;"")</f>
        <v/>
      </c>
      <c r="J8">
        <f>IF($AB8="","",INDEX('Per Line'!$J$2:$J$4001,$AB8)&amp;"")</f>
        <v/>
      </c>
      <c r="K8">
        <f>IF($AB8="","",INDEX('Per Line'!$K$2:$K$4001,$AB8)&amp;"")</f>
        <v/>
      </c>
      <c r="L8">
        <f>IF($AB8="","",INDEX('Per Line'!$L$2:$L$4001,$AB8))</f>
        <v/>
      </c>
      <c r="M8" s="7">
        <f>IF($AB8="","",IF(AND(ISNUMBER(O8),O8&gt;0,Z8&gt;O8),L8*O8/100+(Z8-O8),L8*Z8/100))</f>
        <v/>
      </c>
      <c r="N8">
        <f>IF($AB8="","",INDEX('Per Line'!$V$2:$V$4001,$AB8)&amp;"")</f>
        <v/>
      </c>
      <c r="O8">
        <f>IF($AB8="","",INDEX('Per Line'!$Z$2:$Z$4001,$AB8))</f>
        <v/>
      </c>
      <c r="P8">
        <f>IF($AB8="","",IF(AND(ISNUMBER(O8),O8&gt;0),Z8&gt;O8,FALSE))</f>
        <v/>
      </c>
      <c r="Q8" s="7">
        <f>IF($AB8="","",SUMIFS('Per Line'!$U$2:$U$4001,'Per Line'!$C$2:$C$4001,$B8,'Per Line'!$AM$2:$AM$4001,1))</f>
        <v/>
      </c>
      <c r="R8">
        <f>IF($AB8="","",Settings!$C$7)</f>
        <v/>
      </c>
      <c r="S8" s="7">
        <f>IF($AB8="","",SUMIFS('Per Line'!$U$2:$U$4001,'Per Line'!$C$2:$C$4001,$B8,'Per Line'!$AL$2:$AL$4001,0,'Per Line'!$AM$2:$AM$4001,0))</f>
        <v/>
      </c>
      <c r="T8" s="7">
        <f>IF($AB8="","",S8*R8)</f>
        <v/>
      </c>
      <c r="U8">
        <f>IF($AB8="","",Settings!$C$6)</f>
        <v/>
      </c>
      <c r="V8" s="7">
        <f>IF($AB8="","",SUMIFS('Per Line'!$U$2:$U$4001,'Per Line'!$C$2:$C$4001,$B8,'Per Line'!$AL$2:$AL$4001,1,'Per Line'!$AM$2:$AM$4001,0))</f>
        <v/>
      </c>
      <c r="W8" s="7">
        <f>IF($AB8="","",V8*U8)</f>
        <v/>
      </c>
      <c r="X8" s="7">
        <f>IF($AB8="","",W8+T8)</f>
        <v/>
      </c>
      <c r="Y8" s="7">
        <f>IF($AB8="","",Z8-X8)</f>
        <v/>
      </c>
      <c r="Z8" s="7">
        <f>IF($AB8="","",S8+V8+Q8)</f>
        <v/>
      </c>
      <c r="AA8" s="7">
        <f>IF($AB8="","",Z8-X8-M8)</f>
        <v/>
      </c>
      <c r="AB8" s="13">
        <f>IF(ROWS($AB$2:$AB8)&lt;=MAX('Per Line'!$AK$2:$AK$4001),MATCH(ROWS($AB$2:$AB8),'Per Line'!$AK$2:$AK$4001,0),"")</f>
        <v/>
      </c>
      <c r="AC8" s="14">
        <f>IF($AB8="","",M8-L8*Z8/100)</f>
        <v/>
      </c>
    </row>
    <row r="9">
      <c r="A9" s="12" t="n"/>
      <c r="B9">
        <f>IF($AB9="","",INDEX('Per Line'!$C$2:$C$4001,$AB9)&amp;"")</f>
        <v/>
      </c>
      <c r="C9">
        <f>IF($AB9="","",INDEX('Per Line'!$D$2:$D$4001,$AB9)&amp;"")</f>
        <v/>
      </c>
      <c r="D9">
        <f>IF($AB9="","",INDEX('Per Line'!$B$2:$B$4001,$AB9)&amp;"")</f>
        <v/>
      </c>
      <c r="E9">
        <f>IF($AB9="","",INDEX('Per Line'!$A$2:$A$4001,$AB9))</f>
        <v/>
      </c>
      <c r="F9" s="11">
        <f>IF($AB9="","",INDEX('Per Line'!$E$2:$E$4001,$AB9))</f>
        <v/>
      </c>
      <c r="G9">
        <f>IF($AB9="","",INDEX('Per Line'!$F$2:$F$4001,$AB9)&amp;"")</f>
        <v/>
      </c>
      <c r="H9">
        <f>IF($AB9="","",INDEX('Per Line'!$H$2:$H$4001,$AB9)&amp;"")</f>
        <v/>
      </c>
      <c r="I9">
        <f>IF($AB9="","",INDEX('Per Line'!$I$2:$I$4001,$AB9)&amp;"")</f>
        <v/>
      </c>
      <c r="J9">
        <f>IF($AB9="","",INDEX('Per Line'!$J$2:$J$4001,$AB9)&amp;"")</f>
        <v/>
      </c>
      <c r="K9">
        <f>IF($AB9="","",INDEX('Per Line'!$K$2:$K$4001,$AB9)&amp;"")</f>
        <v/>
      </c>
      <c r="L9">
        <f>IF($AB9="","",INDEX('Per Line'!$L$2:$L$4001,$AB9))</f>
        <v/>
      </c>
      <c r="M9" s="7">
        <f>IF($AB9="","",IF(AND(ISNUMBER(O9),O9&gt;0,Z9&gt;O9),L9*O9/100+(Z9-O9),L9*Z9/100))</f>
        <v/>
      </c>
      <c r="N9">
        <f>IF($AB9="","",INDEX('Per Line'!$V$2:$V$4001,$AB9)&amp;"")</f>
        <v/>
      </c>
      <c r="O9">
        <f>IF($AB9="","",INDEX('Per Line'!$Z$2:$Z$4001,$AB9))</f>
        <v/>
      </c>
      <c r="P9">
        <f>IF($AB9="","",IF(AND(ISNUMBER(O9),O9&gt;0),Z9&gt;O9,FALSE))</f>
        <v/>
      </c>
      <c r="Q9" s="7">
        <f>IF($AB9="","",SUMIFS('Per Line'!$U$2:$U$4001,'Per Line'!$C$2:$C$4001,$B9,'Per Line'!$AM$2:$AM$4001,1))</f>
        <v/>
      </c>
      <c r="R9">
        <f>IF($AB9="","",Settings!$C$7)</f>
        <v/>
      </c>
      <c r="S9" s="7">
        <f>IF($AB9="","",SUMIFS('Per Line'!$U$2:$U$4001,'Per Line'!$C$2:$C$4001,$B9,'Per Line'!$AL$2:$AL$4001,0,'Per Line'!$AM$2:$AM$4001,0))</f>
        <v/>
      </c>
      <c r="T9" s="7">
        <f>IF($AB9="","",S9*R9)</f>
        <v/>
      </c>
      <c r="U9">
        <f>IF($AB9="","",Settings!$C$6)</f>
        <v/>
      </c>
      <c r="V9" s="7">
        <f>IF($AB9="","",SUMIFS('Per Line'!$U$2:$U$4001,'Per Line'!$C$2:$C$4001,$B9,'Per Line'!$AL$2:$AL$4001,1,'Per Line'!$AM$2:$AM$4001,0))</f>
        <v/>
      </c>
      <c r="W9" s="7">
        <f>IF($AB9="","",V9*U9)</f>
        <v/>
      </c>
      <c r="X9" s="7">
        <f>IF($AB9="","",W9+T9)</f>
        <v/>
      </c>
      <c r="Y9" s="7">
        <f>IF($AB9="","",Z9-X9)</f>
        <v/>
      </c>
      <c r="Z9" s="7">
        <f>IF($AB9="","",S9+V9+Q9)</f>
        <v/>
      </c>
      <c r="AA9" s="7">
        <f>IF($AB9="","",Z9-X9-M9)</f>
        <v/>
      </c>
      <c r="AB9" s="13">
        <f>IF(ROWS($AB$2:$AB9)&lt;=MAX('Per Line'!$AK$2:$AK$4001),MATCH(ROWS($AB$2:$AB9),'Per Line'!$AK$2:$AK$4001,0),"")</f>
        <v/>
      </c>
      <c r="AC9" s="14">
        <f>IF($AB9="","",M9-L9*Z9/100)</f>
        <v/>
      </c>
    </row>
    <row r="10">
      <c r="A10" s="12" t="n"/>
      <c r="B10">
        <f>IF($AB10="","",INDEX('Per Line'!$C$2:$C$4001,$AB10)&amp;"")</f>
        <v/>
      </c>
      <c r="C10">
        <f>IF($AB10="","",INDEX('Per Line'!$D$2:$D$4001,$AB10)&amp;"")</f>
        <v/>
      </c>
      <c r="D10">
        <f>IF($AB10="","",INDEX('Per Line'!$B$2:$B$4001,$AB10)&amp;"")</f>
        <v/>
      </c>
      <c r="E10">
        <f>IF($AB10="","",INDEX('Per Line'!$A$2:$A$4001,$AB10))</f>
        <v/>
      </c>
      <c r="F10" s="11">
        <f>IF($AB10="","",INDEX('Per Line'!$E$2:$E$4001,$AB10))</f>
        <v/>
      </c>
      <c r="G10">
        <f>IF($AB10="","",INDEX('Per Line'!$F$2:$F$4001,$AB10)&amp;"")</f>
        <v/>
      </c>
      <c r="H10">
        <f>IF($AB10="","",INDEX('Per Line'!$H$2:$H$4001,$AB10)&amp;"")</f>
        <v/>
      </c>
      <c r="I10">
        <f>IF($AB10="","",INDEX('Per Line'!$I$2:$I$4001,$AB10)&amp;"")</f>
        <v/>
      </c>
      <c r="J10">
        <f>IF($AB10="","",INDEX('Per Line'!$J$2:$J$4001,$AB10)&amp;"")</f>
        <v/>
      </c>
      <c r="K10">
        <f>IF($AB10="","",INDEX('Per Line'!$K$2:$K$4001,$AB10)&amp;"")</f>
        <v/>
      </c>
      <c r="L10">
        <f>IF($AB10="","",INDEX('Per Line'!$L$2:$L$4001,$AB10))</f>
        <v/>
      </c>
      <c r="M10" s="7">
        <f>IF($AB10="","",IF(AND(ISNUMBER(O10),O10&gt;0,Z10&gt;O10),L10*O10/100+(Z10-O10),L10*Z10/100))</f>
        <v/>
      </c>
      <c r="N10">
        <f>IF($AB10="","",INDEX('Per Line'!$V$2:$V$4001,$AB10)&amp;"")</f>
        <v/>
      </c>
      <c r="O10">
        <f>IF($AB10="","",INDEX('Per Line'!$Z$2:$Z$4001,$AB10))</f>
        <v/>
      </c>
      <c r="P10">
        <f>IF($AB10="","",IF(AND(ISNUMBER(O10),O10&gt;0),Z10&gt;O10,FALSE))</f>
        <v/>
      </c>
      <c r="Q10" s="7">
        <f>IF($AB10="","",SUMIFS('Per Line'!$U$2:$U$4001,'Per Line'!$C$2:$C$4001,$B10,'Per Line'!$AM$2:$AM$4001,1))</f>
        <v/>
      </c>
      <c r="R10">
        <f>IF($AB10="","",Settings!$C$7)</f>
        <v/>
      </c>
      <c r="S10" s="7">
        <f>IF($AB10="","",SUMIFS('Per Line'!$U$2:$U$4001,'Per Line'!$C$2:$C$4001,$B10,'Per Line'!$AL$2:$AL$4001,0,'Per Line'!$AM$2:$AM$4001,0))</f>
        <v/>
      </c>
      <c r="T10" s="7">
        <f>IF($AB10="","",S10*R10)</f>
        <v/>
      </c>
      <c r="U10">
        <f>IF($AB10="","",Settings!$C$6)</f>
        <v/>
      </c>
      <c r="V10" s="7">
        <f>IF($AB10="","",SUMIFS('Per Line'!$U$2:$U$4001,'Per Line'!$C$2:$C$4001,$B10,'Per Line'!$AL$2:$AL$4001,1,'Per Line'!$AM$2:$AM$4001,0))</f>
        <v/>
      </c>
      <c r="W10" s="7">
        <f>IF($AB10="","",V10*U10)</f>
        <v/>
      </c>
      <c r="X10" s="7">
        <f>IF($AB10="","",W10+T10)</f>
        <v/>
      </c>
      <c r="Y10" s="7">
        <f>IF($AB10="","",Z10-X10)</f>
        <v/>
      </c>
      <c r="Z10" s="7">
        <f>IF($AB10="","",S10+V10+Q10)</f>
        <v/>
      </c>
      <c r="AA10" s="7">
        <f>IF($AB10="","",Z10-X10-M10)</f>
        <v/>
      </c>
      <c r="AB10" s="13">
        <f>IF(ROWS($AB$2:$AB10)&lt;=MAX('Per Line'!$AK$2:$AK$4001),MATCH(ROWS($AB$2:$AB10),'Per Line'!$AK$2:$AK$4001,0),"")</f>
        <v/>
      </c>
      <c r="AC10" s="14">
        <f>IF($AB10="","",M10-L10*Z10/100)</f>
        <v/>
      </c>
    </row>
    <row r="11">
      <c r="A11" s="12" t="n"/>
      <c r="B11">
        <f>IF($AB11="","",INDEX('Per Line'!$C$2:$C$4001,$AB11)&amp;"")</f>
        <v/>
      </c>
      <c r="C11">
        <f>IF($AB11="","",INDEX('Per Line'!$D$2:$D$4001,$AB11)&amp;"")</f>
        <v/>
      </c>
      <c r="D11">
        <f>IF($AB11="","",INDEX('Per Line'!$B$2:$B$4001,$AB11)&amp;"")</f>
        <v/>
      </c>
      <c r="E11">
        <f>IF($AB11="","",INDEX('Per Line'!$A$2:$A$4001,$AB11))</f>
        <v/>
      </c>
      <c r="F11" s="11">
        <f>IF($AB11="","",INDEX('Per Line'!$E$2:$E$4001,$AB11))</f>
        <v/>
      </c>
      <c r="G11">
        <f>IF($AB11="","",INDEX('Per Line'!$F$2:$F$4001,$AB11)&amp;"")</f>
        <v/>
      </c>
      <c r="H11">
        <f>IF($AB11="","",INDEX('Per Line'!$H$2:$H$4001,$AB11)&amp;"")</f>
        <v/>
      </c>
      <c r="I11">
        <f>IF($AB11="","",INDEX('Per Line'!$I$2:$I$4001,$AB11)&amp;"")</f>
        <v/>
      </c>
      <c r="J11">
        <f>IF($AB11="","",INDEX('Per Line'!$J$2:$J$4001,$AB11)&amp;"")</f>
        <v/>
      </c>
      <c r="K11">
        <f>IF($AB11="","",INDEX('Per Line'!$K$2:$K$4001,$AB11)&amp;"")</f>
        <v/>
      </c>
      <c r="L11">
        <f>IF($AB11="","",INDEX('Per Line'!$L$2:$L$4001,$AB11))</f>
        <v/>
      </c>
      <c r="M11" s="7">
        <f>IF($AB11="","",IF(AND(ISNUMBER(O11),O11&gt;0,Z11&gt;O11),L11*O11/100+(Z11-O11),L11*Z11/100))</f>
        <v/>
      </c>
      <c r="N11">
        <f>IF($AB11="","",INDEX('Per Line'!$V$2:$V$4001,$AB11)&amp;"")</f>
        <v/>
      </c>
      <c r="O11">
        <f>IF($AB11="","",INDEX('Per Line'!$Z$2:$Z$4001,$AB11))</f>
        <v/>
      </c>
      <c r="P11">
        <f>IF($AB11="","",IF(AND(ISNUMBER(O11),O11&gt;0),Z11&gt;O11,FALSE))</f>
        <v/>
      </c>
      <c r="Q11" s="7">
        <f>IF($AB11="","",SUMIFS('Per Line'!$U$2:$U$4001,'Per Line'!$C$2:$C$4001,$B11,'Per Line'!$AM$2:$AM$4001,1))</f>
        <v/>
      </c>
      <c r="R11">
        <f>IF($AB11="","",Settings!$C$7)</f>
        <v/>
      </c>
      <c r="S11" s="7">
        <f>IF($AB11="","",SUMIFS('Per Line'!$U$2:$U$4001,'Per Line'!$C$2:$C$4001,$B11,'Per Line'!$AL$2:$AL$4001,0,'Per Line'!$AM$2:$AM$4001,0))</f>
        <v/>
      </c>
      <c r="T11" s="7">
        <f>IF($AB11="","",S11*R11)</f>
        <v/>
      </c>
      <c r="U11">
        <f>IF($AB11="","",Settings!$C$6)</f>
        <v/>
      </c>
      <c r="V11" s="7">
        <f>IF($AB11="","",SUMIFS('Per Line'!$U$2:$U$4001,'Per Line'!$C$2:$C$4001,$B11,'Per Line'!$AL$2:$AL$4001,1,'Per Line'!$AM$2:$AM$4001,0))</f>
        <v/>
      </c>
      <c r="W11" s="7">
        <f>IF($AB11="","",V11*U11)</f>
        <v/>
      </c>
      <c r="X11" s="7">
        <f>IF($AB11="","",W11+T11)</f>
        <v/>
      </c>
      <c r="Y11" s="7">
        <f>IF($AB11="","",Z11-X11)</f>
        <v/>
      </c>
      <c r="Z11" s="7">
        <f>IF($AB11="","",S11+V11+Q11)</f>
        <v/>
      </c>
      <c r="AA11" s="7">
        <f>IF($AB11="","",Z11-X11-M11)</f>
        <v/>
      </c>
      <c r="AB11" s="13">
        <f>IF(ROWS($AB$2:$AB11)&lt;=MAX('Per Line'!$AK$2:$AK$4001),MATCH(ROWS($AB$2:$AB11),'Per Line'!$AK$2:$AK$4001,0),"")</f>
        <v/>
      </c>
      <c r="AC11" s="14">
        <f>IF($AB11="","",M11-L11*Z11/100)</f>
        <v/>
      </c>
    </row>
    <row r="12">
      <c r="A12" s="12" t="n"/>
      <c r="B12">
        <f>IF($AB12="","",INDEX('Per Line'!$C$2:$C$4001,$AB12)&amp;"")</f>
        <v/>
      </c>
      <c r="C12">
        <f>IF($AB12="","",INDEX('Per Line'!$D$2:$D$4001,$AB12)&amp;"")</f>
        <v/>
      </c>
      <c r="D12">
        <f>IF($AB12="","",INDEX('Per Line'!$B$2:$B$4001,$AB12)&amp;"")</f>
        <v/>
      </c>
      <c r="E12">
        <f>IF($AB12="","",INDEX('Per Line'!$A$2:$A$4001,$AB12))</f>
        <v/>
      </c>
      <c r="F12" s="11">
        <f>IF($AB12="","",INDEX('Per Line'!$E$2:$E$4001,$AB12))</f>
        <v/>
      </c>
      <c r="G12">
        <f>IF($AB12="","",INDEX('Per Line'!$F$2:$F$4001,$AB12)&amp;"")</f>
        <v/>
      </c>
      <c r="H12">
        <f>IF($AB12="","",INDEX('Per Line'!$H$2:$H$4001,$AB12)&amp;"")</f>
        <v/>
      </c>
      <c r="I12">
        <f>IF($AB12="","",INDEX('Per Line'!$I$2:$I$4001,$AB12)&amp;"")</f>
        <v/>
      </c>
      <c r="J12">
        <f>IF($AB12="","",INDEX('Per Line'!$J$2:$J$4001,$AB12)&amp;"")</f>
        <v/>
      </c>
      <c r="K12">
        <f>IF($AB12="","",INDEX('Per Line'!$K$2:$K$4001,$AB12)&amp;"")</f>
        <v/>
      </c>
      <c r="L12">
        <f>IF($AB12="","",INDEX('Per Line'!$L$2:$L$4001,$AB12))</f>
        <v/>
      </c>
      <c r="M12" s="7">
        <f>IF($AB12="","",IF(AND(ISNUMBER(O12),O12&gt;0,Z12&gt;O12),L12*O12/100+(Z12-O12),L12*Z12/100))</f>
        <v/>
      </c>
      <c r="N12">
        <f>IF($AB12="","",INDEX('Per Line'!$V$2:$V$4001,$AB12)&amp;"")</f>
        <v/>
      </c>
      <c r="O12">
        <f>IF($AB12="","",INDEX('Per Line'!$Z$2:$Z$4001,$AB12))</f>
        <v/>
      </c>
      <c r="P12">
        <f>IF($AB12="","",IF(AND(ISNUMBER(O12),O12&gt;0),Z12&gt;O12,FALSE))</f>
        <v/>
      </c>
      <c r="Q12" s="7">
        <f>IF($AB12="","",SUMIFS('Per Line'!$U$2:$U$4001,'Per Line'!$C$2:$C$4001,$B12,'Per Line'!$AM$2:$AM$4001,1))</f>
        <v/>
      </c>
      <c r="R12">
        <f>IF($AB12="","",Settings!$C$7)</f>
        <v/>
      </c>
      <c r="S12" s="7">
        <f>IF($AB12="","",SUMIFS('Per Line'!$U$2:$U$4001,'Per Line'!$C$2:$C$4001,$B12,'Per Line'!$AL$2:$AL$4001,0,'Per Line'!$AM$2:$AM$4001,0))</f>
        <v/>
      </c>
      <c r="T12" s="7">
        <f>IF($AB12="","",S12*R12)</f>
        <v/>
      </c>
      <c r="U12">
        <f>IF($AB12="","",Settings!$C$6)</f>
        <v/>
      </c>
      <c r="V12" s="7">
        <f>IF($AB12="","",SUMIFS('Per Line'!$U$2:$U$4001,'Per Line'!$C$2:$C$4001,$B12,'Per Line'!$AL$2:$AL$4001,1,'Per Line'!$AM$2:$AM$4001,0))</f>
        <v/>
      </c>
      <c r="W12" s="7">
        <f>IF($AB12="","",V12*U12)</f>
        <v/>
      </c>
      <c r="X12" s="7">
        <f>IF($AB12="","",W12+T12)</f>
        <v/>
      </c>
      <c r="Y12" s="7">
        <f>IF($AB12="","",Z12-X12)</f>
        <v/>
      </c>
      <c r="Z12" s="7">
        <f>IF($AB12="","",S12+V12+Q12)</f>
        <v/>
      </c>
      <c r="AA12" s="7">
        <f>IF($AB12="","",Z12-X12-M12)</f>
        <v/>
      </c>
      <c r="AB12" s="13">
        <f>IF(ROWS($AB$2:$AB12)&lt;=MAX('Per Line'!$AK$2:$AK$4001),MATCH(ROWS($AB$2:$AB12),'Per Line'!$AK$2:$AK$4001,0),"")</f>
        <v/>
      </c>
      <c r="AC12" s="14">
        <f>IF($AB12="","",M12-L12*Z12/100)</f>
        <v/>
      </c>
    </row>
    <row r="13">
      <c r="A13" s="12" t="n"/>
      <c r="B13">
        <f>IF($AB13="","",INDEX('Per Line'!$C$2:$C$4001,$AB13)&amp;"")</f>
        <v/>
      </c>
      <c r="C13">
        <f>IF($AB13="","",INDEX('Per Line'!$D$2:$D$4001,$AB13)&amp;"")</f>
        <v/>
      </c>
      <c r="D13">
        <f>IF($AB13="","",INDEX('Per Line'!$B$2:$B$4001,$AB13)&amp;"")</f>
        <v/>
      </c>
      <c r="E13">
        <f>IF($AB13="","",INDEX('Per Line'!$A$2:$A$4001,$AB13))</f>
        <v/>
      </c>
      <c r="F13" s="11">
        <f>IF($AB13="","",INDEX('Per Line'!$E$2:$E$4001,$AB13))</f>
        <v/>
      </c>
      <c r="G13">
        <f>IF($AB13="","",INDEX('Per Line'!$F$2:$F$4001,$AB13)&amp;"")</f>
        <v/>
      </c>
      <c r="H13">
        <f>IF($AB13="","",INDEX('Per Line'!$H$2:$H$4001,$AB13)&amp;"")</f>
        <v/>
      </c>
      <c r="I13">
        <f>IF($AB13="","",INDEX('Per Line'!$I$2:$I$4001,$AB13)&amp;"")</f>
        <v/>
      </c>
      <c r="J13">
        <f>IF($AB13="","",INDEX('Per Line'!$J$2:$J$4001,$AB13)&amp;"")</f>
        <v/>
      </c>
      <c r="K13">
        <f>IF($AB13="","",INDEX('Per Line'!$K$2:$K$4001,$AB13)&amp;"")</f>
        <v/>
      </c>
      <c r="L13">
        <f>IF($AB13="","",INDEX('Per Line'!$L$2:$L$4001,$AB13))</f>
        <v/>
      </c>
      <c r="M13" s="7">
        <f>IF($AB13="","",IF(AND(ISNUMBER(O13),O13&gt;0,Z13&gt;O13),L13*O13/100+(Z13-O13),L13*Z13/100))</f>
        <v/>
      </c>
      <c r="N13">
        <f>IF($AB13="","",INDEX('Per Line'!$V$2:$V$4001,$AB13)&amp;"")</f>
        <v/>
      </c>
      <c r="O13">
        <f>IF($AB13="","",INDEX('Per Line'!$Z$2:$Z$4001,$AB13))</f>
        <v/>
      </c>
      <c r="P13">
        <f>IF($AB13="","",IF(AND(ISNUMBER(O13),O13&gt;0),Z13&gt;O13,FALSE))</f>
        <v/>
      </c>
      <c r="Q13" s="7">
        <f>IF($AB13="","",SUMIFS('Per Line'!$U$2:$U$4001,'Per Line'!$C$2:$C$4001,$B13,'Per Line'!$AM$2:$AM$4001,1))</f>
        <v/>
      </c>
      <c r="R13">
        <f>IF($AB13="","",Settings!$C$7)</f>
        <v/>
      </c>
      <c r="S13" s="7">
        <f>IF($AB13="","",SUMIFS('Per Line'!$U$2:$U$4001,'Per Line'!$C$2:$C$4001,$B13,'Per Line'!$AL$2:$AL$4001,0,'Per Line'!$AM$2:$AM$4001,0))</f>
        <v/>
      </c>
      <c r="T13" s="7">
        <f>IF($AB13="","",S13*R13)</f>
        <v/>
      </c>
      <c r="U13">
        <f>IF($AB13="","",Settings!$C$6)</f>
        <v/>
      </c>
      <c r="V13" s="7">
        <f>IF($AB13="","",SUMIFS('Per Line'!$U$2:$U$4001,'Per Line'!$C$2:$C$4001,$B13,'Per Line'!$AL$2:$AL$4001,1,'Per Line'!$AM$2:$AM$4001,0))</f>
        <v/>
      </c>
      <c r="W13" s="7">
        <f>IF($AB13="","",V13*U13)</f>
        <v/>
      </c>
      <c r="X13" s="7">
        <f>IF($AB13="","",W13+T13)</f>
        <v/>
      </c>
      <c r="Y13" s="7">
        <f>IF($AB13="","",Z13-X13)</f>
        <v/>
      </c>
      <c r="Z13" s="7">
        <f>IF($AB13="","",S13+V13+Q13)</f>
        <v/>
      </c>
      <c r="AA13" s="7">
        <f>IF($AB13="","",Z13-X13-M13)</f>
        <v/>
      </c>
      <c r="AB13" s="13">
        <f>IF(ROWS($AB$2:$AB13)&lt;=MAX('Per Line'!$AK$2:$AK$4001),MATCH(ROWS($AB$2:$AB13),'Per Line'!$AK$2:$AK$4001,0),"")</f>
        <v/>
      </c>
      <c r="AC13" s="14">
        <f>IF($AB13="","",M13-L13*Z13/100)</f>
        <v/>
      </c>
    </row>
    <row r="14">
      <c r="A14" s="12" t="n"/>
      <c r="B14">
        <f>IF($AB14="","",INDEX('Per Line'!$C$2:$C$4001,$AB14)&amp;"")</f>
        <v/>
      </c>
      <c r="C14">
        <f>IF($AB14="","",INDEX('Per Line'!$D$2:$D$4001,$AB14)&amp;"")</f>
        <v/>
      </c>
      <c r="D14">
        <f>IF($AB14="","",INDEX('Per Line'!$B$2:$B$4001,$AB14)&amp;"")</f>
        <v/>
      </c>
      <c r="E14">
        <f>IF($AB14="","",INDEX('Per Line'!$A$2:$A$4001,$AB14))</f>
        <v/>
      </c>
      <c r="F14" s="11">
        <f>IF($AB14="","",INDEX('Per Line'!$E$2:$E$4001,$AB14))</f>
        <v/>
      </c>
      <c r="G14">
        <f>IF($AB14="","",INDEX('Per Line'!$F$2:$F$4001,$AB14)&amp;"")</f>
        <v/>
      </c>
      <c r="H14">
        <f>IF($AB14="","",INDEX('Per Line'!$H$2:$H$4001,$AB14)&amp;"")</f>
        <v/>
      </c>
      <c r="I14">
        <f>IF($AB14="","",INDEX('Per Line'!$I$2:$I$4001,$AB14)&amp;"")</f>
        <v/>
      </c>
      <c r="J14">
        <f>IF($AB14="","",INDEX('Per Line'!$J$2:$J$4001,$AB14)&amp;"")</f>
        <v/>
      </c>
      <c r="K14">
        <f>IF($AB14="","",INDEX('Per Line'!$K$2:$K$4001,$AB14)&amp;"")</f>
        <v/>
      </c>
      <c r="L14">
        <f>IF($AB14="","",INDEX('Per Line'!$L$2:$L$4001,$AB14))</f>
        <v/>
      </c>
      <c r="M14" s="7">
        <f>IF($AB14="","",IF(AND(ISNUMBER(O14),O14&gt;0,Z14&gt;O14),L14*O14/100+(Z14-O14),L14*Z14/100))</f>
        <v/>
      </c>
      <c r="N14">
        <f>IF($AB14="","",INDEX('Per Line'!$V$2:$V$4001,$AB14)&amp;"")</f>
        <v/>
      </c>
      <c r="O14">
        <f>IF($AB14="","",INDEX('Per Line'!$Z$2:$Z$4001,$AB14))</f>
        <v/>
      </c>
      <c r="P14">
        <f>IF($AB14="","",IF(AND(ISNUMBER(O14),O14&gt;0),Z14&gt;O14,FALSE))</f>
        <v/>
      </c>
      <c r="Q14" s="7">
        <f>IF($AB14="","",SUMIFS('Per Line'!$U$2:$U$4001,'Per Line'!$C$2:$C$4001,$B14,'Per Line'!$AM$2:$AM$4001,1))</f>
        <v/>
      </c>
      <c r="R14">
        <f>IF($AB14="","",Settings!$C$7)</f>
        <v/>
      </c>
      <c r="S14" s="7">
        <f>IF($AB14="","",SUMIFS('Per Line'!$U$2:$U$4001,'Per Line'!$C$2:$C$4001,$B14,'Per Line'!$AL$2:$AL$4001,0,'Per Line'!$AM$2:$AM$4001,0))</f>
        <v/>
      </c>
      <c r="T14" s="7">
        <f>IF($AB14="","",S14*R14)</f>
        <v/>
      </c>
      <c r="U14">
        <f>IF($AB14="","",Settings!$C$6)</f>
        <v/>
      </c>
      <c r="V14" s="7">
        <f>IF($AB14="","",SUMIFS('Per Line'!$U$2:$U$4001,'Per Line'!$C$2:$C$4001,$B14,'Per Line'!$AL$2:$AL$4001,1,'Per Line'!$AM$2:$AM$4001,0))</f>
        <v/>
      </c>
      <c r="W14" s="7">
        <f>IF($AB14="","",V14*U14)</f>
        <v/>
      </c>
      <c r="X14" s="7">
        <f>IF($AB14="","",W14+T14)</f>
        <v/>
      </c>
      <c r="Y14" s="7">
        <f>IF($AB14="","",Z14-X14)</f>
        <v/>
      </c>
      <c r="Z14" s="7">
        <f>IF($AB14="","",S14+V14+Q14)</f>
        <v/>
      </c>
      <c r="AA14" s="7">
        <f>IF($AB14="","",Z14-X14-M14)</f>
        <v/>
      </c>
      <c r="AB14" s="13">
        <f>IF(ROWS($AB$2:$AB14)&lt;=MAX('Per Line'!$AK$2:$AK$4001),MATCH(ROWS($AB$2:$AB14),'Per Line'!$AK$2:$AK$4001,0),"")</f>
        <v/>
      </c>
      <c r="AC14" s="14">
        <f>IF($AB14="","",M14-L14*Z14/100)</f>
        <v/>
      </c>
    </row>
    <row r="15">
      <c r="A15" s="12" t="n"/>
      <c r="B15">
        <f>IF($AB15="","",INDEX('Per Line'!$C$2:$C$4001,$AB15)&amp;"")</f>
        <v/>
      </c>
      <c r="C15">
        <f>IF($AB15="","",INDEX('Per Line'!$D$2:$D$4001,$AB15)&amp;"")</f>
        <v/>
      </c>
      <c r="D15">
        <f>IF($AB15="","",INDEX('Per Line'!$B$2:$B$4001,$AB15)&amp;"")</f>
        <v/>
      </c>
      <c r="E15">
        <f>IF($AB15="","",INDEX('Per Line'!$A$2:$A$4001,$AB15))</f>
        <v/>
      </c>
      <c r="F15" s="11">
        <f>IF($AB15="","",INDEX('Per Line'!$E$2:$E$4001,$AB15))</f>
        <v/>
      </c>
      <c r="G15">
        <f>IF($AB15="","",INDEX('Per Line'!$F$2:$F$4001,$AB15)&amp;"")</f>
        <v/>
      </c>
      <c r="H15">
        <f>IF($AB15="","",INDEX('Per Line'!$H$2:$H$4001,$AB15)&amp;"")</f>
        <v/>
      </c>
      <c r="I15">
        <f>IF($AB15="","",INDEX('Per Line'!$I$2:$I$4001,$AB15)&amp;"")</f>
        <v/>
      </c>
      <c r="J15">
        <f>IF($AB15="","",INDEX('Per Line'!$J$2:$J$4001,$AB15)&amp;"")</f>
        <v/>
      </c>
      <c r="K15">
        <f>IF($AB15="","",INDEX('Per Line'!$K$2:$K$4001,$AB15)&amp;"")</f>
        <v/>
      </c>
      <c r="L15">
        <f>IF($AB15="","",INDEX('Per Line'!$L$2:$L$4001,$AB15))</f>
        <v/>
      </c>
      <c r="M15" s="7">
        <f>IF($AB15="","",IF(AND(ISNUMBER(O15),O15&gt;0,Z15&gt;O15),L15*O15/100+(Z15-O15),L15*Z15/100))</f>
        <v/>
      </c>
      <c r="N15">
        <f>IF($AB15="","",INDEX('Per Line'!$V$2:$V$4001,$AB15)&amp;"")</f>
        <v/>
      </c>
      <c r="O15">
        <f>IF($AB15="","",INDEX('Per Line'!$Z$2:$Z$4001,$AB15))</f>
        <v/>
      </c>
      <c r="P15">
        <f>IF($AB15="","",IF(AND(ISNUMBER(O15),O15&gt;0),Z15&gt;O15,FALSE))</f>
        <v/>
      </c>
      <c r="Q15" s="7">
        <f>IF($AB15="","",SUMIFS('Per Line'!$U$2:$U$4001,'Per Line'!$C$2:$C$4001,$B15,'Per Line'!$AM$2:$AM$4001,1))</f>
        <v/>
      </c>
      <c r="R15">
        <f>IF($AB15="","",Settings!$C$7)</f>
        <v/>
      </c>
      <c r="S15" s="7">
        <f>IF($AB15="","",SUMIFS('Per Line'!$U$2:$U$4001,'Per Line'!$C$2:$C$4001,$B15,'Per Line'!$AL$2:$AL$4001,0,'Per Line'!$AM$2:$AM$4001,0))</f>
        <v/>
      </c>
      <c r="T15" s="7">
        <f>IF($AB15="","",S15*R15)</f>
        <v/>
      </c>
      <c r="U15">
        <f>IF($AB15="","",Settings!$C$6)</f>
        <v/>
      </c>
      <c r="V15" s="7">
        <f>IF($AB15="","",SUMIFS('Per Line'!$U$2:$U$4001,'Per Line'!$C$2:$C$4001,$B15,'Per Line'!$AL$2:$AL$4001,1,'Per Line'!$AM$2:$AM$4001,0))</f>
        <v/>
      </c>
      <c r="W15" s="7">
        <f>IF($AB15="","",V15*U15)</f>
        <v/>
      </c>
      <c r="X15" s="7">
        <f>IF($AB15="","",W15+T15)</f>
        <v/>
      </c>
      <c r="Y15" s="7">
        <f>IF($AB15="","",Z15-X15)</f>
        <v/>
      </c>
      <c r="Z15" s="7">
        <f>IF($AB15="","",S15+V15+Q15)</f>
        <v/>
      </c>
      <c r="AA15" s="7">
        <f>IF($AB15="","",Z15-X15-M15)</f>
        <v/>
      </c>
      <c r="AB15" s="13">
        <f>IF(ROWS($AB$2:$AB15)&lt;=MAX('Per Line'!$AK$2:$AK$4001),MATCH(ROWS($AB$2:$AB15),'Per Line'!$AK$2:$AK$4001,0),"")</f>
        <v/>
      </c>
      <c r="AC15" s="14">
        <f>IF($AB15="","",M15-L15*Z15/100)</f>
        <v/>
      </c>
    </row>
    <row r="16">
      <c r="A16" s="12" t="n"/>
      <c r="B16">
        <f>IF($AB16="","",INDEX('Per Line'!$C$2:$C$4001,$AB16)&amp;"")</f>
        <v/>
      </c>
      <c r="C16">
        <f>IF($AB16="","",INDEX('Per Line'!$D$2:$D$4001,$AB16)&amp;"")</f>
        <v/>
      </c>
      <c r="D16">
        <f>IF($AB16="","",INDEX('Per Line'!$B$2:$B$4001,$AB16)&amp;"")</f>
        <v/>
      </c>
      <c r="E16">
        <f>IF($AB16="","",INDEX('Per Line'!$A$2:$A$4001,$AB16))</f>
        <v/>
      </c>
      <c r="F16" s="11">
        <f>IF($AB16="","",INDEX('Per Line'!$E$2:$E$4001,$AB16))</f>
        <v/>
      </c>
      <c r="G16">
        <f>IF($AB16="","",INDEX('Per Line'!$F$2:$F$4001,$AB16)&amp;"")</f>
        <v/>
      </c>
      <c r="H16">
        <f>IF($AB16="","",INDEX('Per Line'!$H$2:$H$4001,$AB16)&amp;"")</f>
        <v/>
      </c>
      <c r="I16">
        <f>IF($AB16="","",INDEX('Per Line'!$I$2:$I$4001,$AB16)&amp;"")</f>
        <v/>
      </c>
      <c r="J16">
        <f>IF($AB16="","",INDEX('Per Line'!$J$2:$J$4001,$AB16)&amp;"")</f>
        <v/>
      </c>
      <c r="K16">
        <f>IF($AB16="","",INDEX('Per Line'!$K$2:$K$4001,$AB16)&amp;"")</f>
        <v/>
      </c>
      <c r="L16">
        <f>IF($AB16="","",INDEX('Per Line'!$L$2:$L$4001,$AB16))</f>
        <v/>
      </c>
      <c r="M16" s="7">
        <f>IF($AB16="","",IF(AND(ISNUMBER(O16),O16&gt;0,Z16&gt;O16),L16*O16/100+(Z16-O16),L16*Z16/100))</f>
        <v/>
      </c>
      <c r="N16">
        <f>IF($AB16="","",INDEX('Per Line'!$V$2:$V$4001,$AB16)&amp;"")</f>
        <v/>
      </c>
      <c r="O16">
        <f>IF($AB16="","",INDEX('Per Line'!$Z$2:$Z$4001,$AB16))</f>
        <v/>
      </c>
      <c r="P16">
        <f>IF($AB16="","",IF(AND(ISNUMBER(O16),O16&gt;0),Z16&gt;O16,FALSE))</f>
        <v/>
      </c>
      <c r="Q16" s="7">
        <f>IF($AB16="","",SUMIFS('Per Line'!$U$2:$U$4001,'Per Line'!$C$2:$C$4001,$B16,'Per Line'!$AM$2:$AM$4001,1))</f>
        <v/>
      </c>
      <c r="R16">
        <f>IF($AB16="","",Settings!$C$7)</f>
        <v/>
      </c>
      <c r="S16" s="7">
        <f>IF($AB16="","",SUMIFS('Per Line'!$U$2:$U$4001,'Per Line'!$C$2:$C$4001,$B16,'Per Line'!$AL$2:$AL$4001,0,'Per Line'!$AM$2:$AM$4001,0))</f>
        <v/>
      </c>
      <c r="T16" s="7">
        <f>IF($AB16="","",S16*R16)</f>
        <v/>
      </c>
      <c r="U16">
        <f>IF($AB16="","",Settings!$C$6)</f>
        <v/>
      </c>
      <c r="V16" s="7">
        <f>IF($AB16="","",SUMIFS('Per Line'!$U$2:$U$4001,'Per Line'!$C$2:$C$4001,$B16,'Per Line'!$AL$2:$AL$4001,1,'Per Line'!$AM$2:$AM$4001,0))</f>
        <v/>
      </c>
      <c r="W16" s="7">
        <f>IF($AB16="","",V16*U16)</f>
        <v/>
      </c>
      <c r="X16" s="7">
        <f>IF($AB16="","",W16+T16)</f>
        <v/>
      </c>
      <c r="Y16" s="7">
        <f>IF($AB16="","",Z16-X16)</f>
        <v/>
      </c>
      <c r="Z16" s="7">
        <f>IF($AB16="","",S16+V16+Q16)</f>
        <v/>
      </c>
      <c r="AA16" s="7">
        <f>IF($AB16="","",Z16-X16-M16)</f>
        <v/>
      </c>
      <c r="AB16" s="13">
        <f>IF(ROWS($AB$2:$AB16)&lt;=MAX('Per Line'!$AK$2:$AK$4001),MATCH(ROWS($AB$2:$AB16),'Per Line'!$AK$2:$AK$4001,0),"")</f>
        <v/>
      </c>
      <c r="AC16" s="14">
        <f>IF($AB16="","",M16-L16*Z16/100)</f>
        <v/>
      </c>
    </row>
    <row r="17">
      <c r="A17" s="12" t="n"/>
      <c r="B17">
        <f>IF($AB17="","",INDEX('Per Line'!$C$2:$C$4001,$AB17)&amp;"")</f>
        <v/>
      </c>
      <c r="C17">
        <f>IF($AB17="","",INDEX('Per Line'!$D$2:$D$4001,$AB17)&amp;"")</f>
        <v/>
      </c>
      <c r="D17">
        <f>IF($AB17="","",INDEX('Per Line'!$B$2:$B$4001,$AB17)&amp;"")</f>
        <v/>
      </c>
      <c r="E17">
        <f>IF($AB17="","",INDEX('Per Line'!$A$2:$A$4001,$AB17))</f>
        <v/>
      </c>
      <c r="F17" s="11">
        <f>IF($AB17="","",INDEX('Per Line'!$E$2:$E$4001,$AB17))</f>
        <v/>
      </c>
      <c r="G17">
        <f>IF($AB17="","",INDEX('Per Line'!$F$2:$F$4001,$AB17)&amp;"")</f>
        <v/>
      </c>
      <c r="H17">
        <f>IF($AB17="","",INDEX('Per Line'!$H$2:$H$4001,$AB17)&amp;"")</f>
        <v/>
      </c>
      <c r="I17">
        <f>IF($AB17="","",INDEX('Per Line'!$I$2:$I$4001,$AB17)&amp;"")</f>
        <v/>
      </c>
      <c r="J17">
        <f>IF($AB17="","",INDEX('Per Line'!$J$2:$J$4001,$AB17)&amp;"")</f>
        <v/>
      </c>
      <c r="K17">
        <f>IF($AB17="","",INDEX('Per Line'!$K$2:$K$4001,$AB17)&amp;"")</f>
        <v/>
      </c>
      <c r="L17">
        <f>IF($AB17="","",INDEX('Per Line'!$L$2:$L$4001,$AB17))</f>
        <v/>
      </c>
      <c r="M17" s="7">
        <f>IF($AB17="","",IF(AND(ISNUMBER(O17),O17&gt;0,Z17&gt;O17),L17*O17/100+(Z17-O17),L17*Z17/100))</f>
        <v/>
      </c>
      <c r="N17">
        <f>IF($AB17="","",INDEX('Per Line'!$V$2:$V$4001,$AB17)&amp;"")</f>
        <v/>
      </c>
      <c r="O17">
        <f>IF($AB17="","",INDEX('Per Line'!$Z$2:$Z$4001,$AB17))</f>
        <v/>
      </c>
      <c r="P17">
        <f>IF($AB17="","",IF(AND(ISNUMBER(O17),O17&gt;0),Z17&gt;O17,FALSE))</f>
        <v/>
      </c>
      <c r="Q17" s="7">
        <f>IF($AB17="","",SUMIFS('Per Line'!$U$2:$U$4001,'Per Line'!$C$2:$C$4001,$B17,'Per Line'!$AM$2:$AM$4001,1))</f>
        <v/>
      </c>
      <c r="R17">
        <f>IF($AB17="","",Settings!$C$7)</f>
        <v/>
      </c>
      <c r="S17" s="7">
        <f>IF($AB17="","",SUMIFS('Per Line'!$U$2:$U$4001,'Per Line'!$C$2:$C$4001,$B17,'Per Line'!$AL$2:$AL$4001,0,'Per Line'!$AM$2:$AM$4001,0))</f>
        <v/>
      </c>
      <c r="T17" s="7">
        <f>IF($AB17="","",S17*R17)</f>
        <v/>
      </c>
      <c r="U17">
        <f>IF($AB17="","",Settings!$C$6)</f>
        <v/>
      </c>
      <c r="V17" s="7">
        <f>IF($AB17="","",SUMIFS('Per Line'!$U$2:$U$4001,'Per Line'!$C$2:$C$4001,$B17,'Per Line'!$AL$2:$AL$4001,1,'Per Line'!$AM$2:$AM$4001,0))</f>
        <v/>
      </c>
      <c r="W17" s="7">
        <f>IF($AB17="","",V17*U17)</f>
        <v/>
      </c>
      <c r="X17" s="7">
        <f>IF($AB17="","",W17+T17)</f>
        <v/>
      </c>
      <c r="Y17" s="7">
        <f>IF($AB17="","",Z17-X17)</f>
        <v/>
      </c>
      <c r="Z17" s="7">
        <f>IF($AB17="","",S17+V17+Q17)</f>
        <v/>
      </c>
      <c r="AA17" s="7">
        <f>IF($AB17="","",Z17-X17-M17)</f>
        <v/>
      </c>
      <c r="AB17" s="13">
        <f>IF(ROWS($AB$2:$AB17)&lt;=MAX('Per Line'!$AK$2:$AK$4001),MATCH(ROWS($AB$2:$AB17),'Per Line'!$AK$2:$AK$4001,0),"")</f>
        <v/>
      </c>
      <c r="AC17" s="14">
        <f>IF($AB17="","",M17-L17*Z17/100)</f>
        <v/>
      </c>
    </row>
    <row r="18">
      <c r="A18" s="12" t="n"/>
      <c r="B18">
        <f>IF($AB18="","",INDEX('Per Line'!$C$2:$C$4001,$AB18)&amp;"")</f>
        <v/>
      </c>
      <c r="C18">
        <f>IF($AB18="","",INDEX('Per Line'!$D$2:$D$4001,$AB18)&amp;"")</f>
        <v/>
      </c>
      <c r="D18">
        <f>IF($AB18="","",INDEX('Per Line'!$B$2:$B$4001,$AB18)&amp;"")</f>
        <v/>
      </c>
      <c r="E18">
        <f>IF($AB18="","",INDEX('Per Line'!$A$2:$A$4001,$AB18))</f>
        <v/>
      </c>
      <c r="F18" s="11">
        <f>IF($AB18="","",INDEX('Per Line'!$E$2:$E$4001,$AB18))</f>
        <v/>
      </c>
      <c r="G18">
        <f>IF($AB18="","",INDEX('Per Line'!$F$2:$F$4001,$AB18)&amp;"")</f>
        <v/>
      </c>
      <c r="H18">
        <f>IF($AB18="","",INDEX('Per Line'!$H$2:$H$4001,$AB18)&amp;"")</f>
        <v/>
      </c>
      <c r="I18">
        <f>IF($AB18="","",INDEX('Per Line'!$I$2:$I$4001,$AB18)&amp;"")</f>
        <v/>
      </c>
      <c r="J18">
        <f>IF($AB18="","",INDEX('Per Line'!$J$2:$J$4001,$AB18)&amp;"")</f>
        <v/>
      </c>
      <c r="K18">
        <f>IF($AB18="","",INDEX('Per Line'!$K$2:$K$4001,$AB18)&amp;"")</f>
        <v/>
      </c>
      <c r="L18">
        <f>IF($AB18="","",INDEX('Per Line'!$L$2:$L$4001,$AB18))</f>
        <v/>
      </c>
      <c r="M18" s="7">
        <f>IF($AB18="","",IF(AND(ISNUMBER(O18),O18&gt;0,Z18&gt;O18),L18*O18/100+(Z18-O18),L18*Z18/100))</f>
        <v/>
      </c>
      <c r="N18">
        <f>IF($AB18="","",INDEX('Per Line'!$V$2:$V$4001,$AB18)&amp;"")</f>
        <v/>
      </c>
      <c r="O18">
        <f>IF($AB18="","",INDEX('Per Line'!$Z$2:$Z$4001,$AB18))</f>
        <v/>
      </c>
      <c r="P18">
        <f>IF($AB18="","",IF(AND(ISNUMBER(O18),O18&gt;0),Z18&gt;O18,FALSE))</f>
        <v/>
      </c>
      <c r="Q18" s="7">
        <f>IF($AB18="","",SUMIFS('Per Line'!$U$2:$U$4001,'Per Line'!$C$2:$C$4001,$B18,'Per Line'!$AM$2:$AM$4001,1))</f>
        <v/>
      </c>
      <c r="R18">
        <f>IF($AB18="","",Settings!$C$7)</f>
        <v/>
      </c>
      <c r="S18" s="7">
        <f>IF($AB18="","",SUMIFS('Per Line'!$U$2:$U$4001,'Per Line'!$C$2:$C$4001,$B18,'Per Line'!$AL$2:$AL$4001,0,'Per Line'!$AM$2:$AM$4001,0))</f>
        <v/>
      </c>
      <c r="T18" s="7">
        <f>IF($AB18="","",S18*R18)</f>
        <v/>
      </c>
      <c r="U18">
        <f>IF($AB18="","",Settings!$C$6)</f>
        <v/>
      </c>
      <c r="V18" s="7">
        <f>IF($AB18="","",SUMIFS('Per Line'!$U$2:$U$4001,'Per Line'!$C$2:$C$4001,$B18,'Per Line'!$AL$2:$AL$4001,1,'Per Line'!$AM$2:$AM$4001,0))</f>
        <v/>
      </c>
      <c r="W18" s="7">
        <f>IF($AB18="","",V18*U18)</f>
        <v/>
      </c>
      <c r="X18" s="7">
        <f>IF($AB18="","",W18+T18)</f>
        <v/>
      </c>
      <c r="Y18" s="7">
        <f>IF($AB18="","",Z18-X18)</f>
        <v/>
      </c>
      <c r="Z18" s="7">
        <f>IF($AB18="","",S18+V18+Q18)</f>
        <v/>
      </c>
      <c r="AA18" s="7">
        <f>IF($AB18="","",Z18-X18-M18)</f>
        <v/>
      </c>
      <c r="AB18" s="13">
        <f>IF(ROWS($AB$2:$AB18)&lt;=MAX('Per Line'!$AK$2:$AK$4001),MATCH(ROWS($AB$2:$AB18),'Per Line'!$AK$2:$AK$4001,0),"")</f>
        <v/>
      </c>
      <c r="AC18" s="14">
        <f>IF($AB18="","",M18-L18*Z18/100)</f>
        <v/>
      </c>
    </row>
    <row r="19">
      <c r="A19" s="12" t="n"/>
      <c r="B19">
        <f>IF($AB19="","",INDEX('Per Line'!$C$2:$C$4001,$AB19)&amp;"")</f>
        <v/>
      </c>
      <c r="C19">
        <f>IF($AB19="","",INDEX('Per Line'!$D$2:$D$4001,$AB19)&amp;"")</f>
        <v/>
      </c>
      <c r="D19">
        <f>IF($AB19="","",INDEX('Per Line'!$B$2:$B$4001,$AB19)&amp;"")</f>
        <v/>
      </c>
      <c r="E19">
        <f>IF($AB19="","",INDEX('Per Line'!$A$2:$A$4001,$AB19))</f>
        <v/>
      </c>
      <c r="F19" s="11">
        <f>IF($AB19="","",INDEX('Per Line'!$E$2:$E$4001,$AB19))</f>
        <v/>
      </c>
      <c r="G19">
        <f>IF($AB19="","",INDEX('Per Line'!$F$2:$F$4001,$AB19)&amp;"")</f>
        <v/>
      </c>
      <c r="H19">
        <f>IF($AB19="","",INDEX('Per Line'!$H$2:$H$4001,$AB19)&amp;"")</f>
        <v/>
      </c>
      <c r="I19">
        <f>IF($AB19="","",INDEX('Per Line'!$I$2:$I$4001,$AB19)&amp;"")</f>
        <v/>
      </c>
      <c r="J19">
        <f>IF($AB19="","",INDEX('Per Line'!$J$2:$J$4001,$AB19)&amp;"")</f>
        <v/>
      </c>
      <c r="K19">
        <f>IF($AB19="","",INDEX('Per Line'!$K$2:$K$4001,$AB19)&amp;"")</f>
        <v/>
      </c>
      <c r="L19">
        <f>IF($AB19="","",INDEX('Per Line'!$L$2:$L$4001,$AB19))</f>
        <v/>
      </c>
      <c r="M19" s="7">
        <f>IF($AB19="","",IF(AND(ISNUMBER(O19),O19&gt;0,Z19&gt;O19),L19*O19/100+(Z19-O19),L19*Z19/100))</f>
        <v/>
      </c>
      <c r="N19">
        <f>IF($AB19="","",INDEX('Per Line'!$V$2:$V$4001,$AB19)&amp;"")</f>
        <v/>
      </c>
      <c r="O19">
        <f>IF($AB19="","",INDEX('Per Line'!$Z$2:$Z$4001,$AB19))</f>
        <v/>
      </c>
      <c r="P19">
        <f>IF($AB19="","",IF(AND(ISNUMBER(O19),O19&gt;0),Z19&gt;O19,FALSE))</f>
        <v/>
      </c>
      <c r="Q19" s="7">
        <f>IF($AB19="","",SUMIFS('Per Line'!$U$2:$U$4001,'Per Line'!$C$2:$C$4001,$B19,'Per Line'!$AM$2:$AM$4001,1))</f>
        <v/>
      </c>
      <c r="R19">
        <f>IF($AB19="","",Settings!$C$7)</f>
        <v/>
      </c>
      <c r="S19" s="7">
        <f>IF($AB19="","",SUMIFS('Per Line'!$U$2:$U$4001,'Per Line'!$C$2:$C$4001,$B19,'Per Line'!$AL$2:$AL$4001,0,'Per Line'!$AM$2:$AM$4001,0))</f>
        <v/>
      </c>
      <c r="T19" s="7">
        <f>IF($AB19="","",S19*R19)</f>
        <v/>
      </c>
      <c r="U19">
        <f>IF($AB19="","",Settings!$C$6)</f>
        <v/>
      </c>
      <c r="V19" s="7">
        <f>IF($AB19="","",SUMIFS('Per Line'!$U$2:$U$4001,'Per Line'!$C$2:$C$4001,$B19,'Per Line'!$AL$2:$AL$4001,1,'Per Line'!$AM$2:$AM$4001,0))</f>
        <v/>
      </c>
      <c r="W19" s="7">
        <f>IF($AB19="","",V19*U19)</f>
        <v/>
      </c>
      <c r="X19" s="7">
        <f>IF($AB19="","",W19+T19)</f>
        <v/>
      </c>
      <c r="Y19" s="7">
        <f>IF($AB19="","",Z19-X19)</f>
        <v/>
      </c>
      <c r="Z19" s="7">
        <f>IF($AB19="","",S19+V19+Q19)</f>
        <v/>
      </c>
      <c r="AA19" s="7">
        <f>IF($AB19="","",Z19-X19-M19)</f>
        <v/>
      </c>
      <c r="AB19" s="13">
        <f>IF(ROWS($AB$2:$AB19)&lt;=MAX('Per Line'!$AK$2:$AK$4001),MATCH(ROWS($AB$2:$AB19),'Per Line'!$AK$2:$AK$4001,0),"")</f>
        <v/>
      </c>
      <c r="AC19" s="14">
        <f>IF($AB19="","",M19-L19*Z19/100)</f>
        <v/>
      </c>
    </row>
    <row r="20">
      <c r="A20" s="12" t="n"/>
      <c r="B20">
        <f>IF($AB20="","",INDEX('Per Line'!$C$2:$C$4001,$AB20)&amp;"")</f>
        <v/>
      </c>
      <c r="C20">
        <f>IF($AB20="","",INDEX('Per Line'!$D$2:$D$4001,$AB20)&amp;"")</f>
        <v/>
      </c>
      <c r="D20">
        <f>IF($AB20="","",INDEX('Per Line'!$B$2:$B$4001,$AB20)&amp;"")</f>
        <v/>
      </c>
      <c r="E20">
        <f>IF($AB20="","",INDEX('Per Line'!$A$2:$A$4001,$AB20))</f>
        <v/>
      </c>
      <c r="F20" s="11">
        <f>IF($AB20="","",INDEX('Per Line'!$E$2:$E$4001,$AB20))</f>
        <v/>
      </c>
      <c r="G20">
        <f>IF($AB20="","",INDEX('Per Line'!$F$2:$F$4001,$AB20)&amp;"")</f>
        <v/>
      </c>
      <c r="H20">
        <f>IF($AB20="","",INDEX('Per Line'!$H$2:$H$4001,$AB20)&amp;"")</f>
        <v/>
      </c>
      <c r="I20">
        <f>IF($AB20="","",INDEX('Per Line'!$I$2:$I$4001,$AB20)&amp;"")</f>
        <v/>
      </c>
      <c r="J20">
        <f>IF($AB20="","",INDEX('Per Line'!$J$2:$J$4001,$AB20)&amp;"")</f>
        <v/>
      </c>
      <c r="K20">
        <f>IF($AB20="","",INDEX('Per Line'!$K$2:$K$4001,$AB20)&amp;"")</f>
        <v/>
      </c>
      <c r="L20">
        <f>IF($AB20="","",INDEX('Per Line'!$L$2:$L$4001,$AB20))</f>
        <v/>
      </c>
      <c r="M20" s="7">
        <f>IF($AB20="","",IF(AND(ISNUMBER(O20),O20&gt;0,Z20&gt;O20),L20*O20/100+(Z20-O20),L20*Z20/100))</f>
        <v/>
      </c>
      <c r="N20">
        <f>IF($AB20="","",INDEX('Per Line'!$V$2:$V$4001,$AB20)&amp;"")</f>
        <v/>
      </c>
      <c r="O20">
        <f>IF($AB20="","",INDEX('Per Line'!$Z$2:$Z$4001,$AB20))</f>
        <v/>
      </c>
      <c r="P20">
        <f>IF($AB20="","",IF(AND(ISNUMBER(O20),O20&gt;0),Z20&gt;O20,FALSE))</f>
        <v/>
      </c>
      <c r="Q20" s="7">
        <f>IF($AB20="","",SUMIFS('Per Line'!$U$2:$U$4001,'Per Line'!$C$2:$C$4001,$B20,'Per Line'!$AM$2:$AM$4001,1))</f>
        <v/>
      </c>
      <c r="R20">
        <f>IF($AB20="","",Settings!$C$7)</f>
        <v/>
      </c>
      <c r="S20" s="7">
        <f>IF($AB20="","",SUMIFS('Per Line'!$U$2:$U$4001,'Per Line'!$C$2:$C$4001,$B20,'Per Line'!$AL$2:$AL$4001,0,'Per Line'!$AM$2:$AM$4001,0))</f>
        <v/>
      </c>
      <c r="T20" s="7">
        <f>IF($AB20="","",S20*R20)</f>
        <v/>
      </c>
      <c r="U20">
        <f>IF($AB20="","",Settings!$C$6)</f>
        <v/>
      </c>
      <c r="V20" s="7">
        <f>IF($AB20="","",SUMIFS('Per Line'!$U$2:$U$4001,'Per Line'!$C$2:$C$4001,$B20,'Per Line'!$AL$2:$AL$4001,1,'Per Line'!$AM$2:$AM$4001,0))</f>
        <v/>
      </c>
      <c r="W20" s="7">
        <f>IF($AB20="","",V20*U20)</f>
        <v/>
      </c>
      <c r="X20" s="7">
        <f>IF($AB20="","",W20+T20)</f>
        <v/>
      </c>
      <c r="Y20" s="7">
        <f>IF($AB20="","",Z20-X20)</f>
        <v/>
      </c>
      <c r="Z20" s="7">
        <f>IF($AB20="","",S20+V20+Q20)</f>
        <v/>
      </c>
      <c r="AA20" s="7">
        <f>IF($AB20="","",Z20-X20-M20)</f>
        <v/>
      </c>
      <c r="AB20" s="13">
        <f>IF(ROWS($AB$2:$AB20)&lt;=MAX('Per Line'!$AK$2:$AK$4001),MATCH(ROWS($AB$2:$AB20),'Per Line'!$AK$2:$AK$4001,0),"")</f>
        <v/>
      </c>
      <c r="AC20" s="14">
        <f>IF($AB20="","",M20-L20*Z20/100)</f>
        <v/>
      </c>
    </row>
    <row r="21">
      <c r="A21" s="12" t="n"/>
      <c r="B21">
        <f>IF($AB21="","",INDEX('Per Line'!$C$2:$C$4001,$AB21)&amp;"")</f>
        <v/>
      </c>
      <c r="C21">
        <f>IF($AB21="","",INDEX('Per Line'!$D$2:$D$4001,$AB21)&amp;"")</f>
        <v/>
      </c>
      <c r="D21">
        <f>IF($AB21="","",INDEX('Per Line'!$B$2:$B$4001,$AB21)&amp;"")</f>
        <v/>
      </c>
      <c r="E21">
        <f>IF($AB21="","",INDEX('Per Line'!$A$2:$A$4001,$AB21))</f>
        <v/>
      </c>
      <c r="F21" s="11">
        <f>IF($AB21="","",INDEX('Per Line'!$E$2:$E$4001,$AB21))</f>
        <v/>
      </c>
      <c r="G21">
        <f>IF($AB21="","",INDEX('Per Line'!$F$2:$F$4001,$AB21)&amp;"")</f>
        <v/>
      </c>
      <c r="H21">
        <f>IF($AB21="","",INDEX('Per Line'!$H$2:$H$4001,$AB21)&amp;"")</f>
        <v/>
      </c>
      <c r="I21">
        <f>IF($AB21="","",INDEX('Per Line'!$I$2:$I$4001,$AB21)&amp;"")</f>
        <v/>
      </c>
      <c r="J21">
        <f>IF($AB21="","",INDEX('Per Line'!$J$2:$J$4001,$AB21)&amp;"")</f>
        <v/>
      </c>
      <c r="K21">
        <f>IF($AB21="","",INDEX('Per Line'!$K$2:$K$4001,$AB21)&amp;"")</f>
        <v/>
      </c>
      <c r="L21">
        <f>IF($AB21="","",INDEX('Per Line'!$L$2:$L$4001,$AB21))</f>
        <v/>
      </c>
      <c r="M21" s="7">
        <f>IF($AB21="","",IF(AND(ISNUMBER(O21),O21&gt;0,Z21&gt;O21),L21*O21/100+(Z21-O21),L21*Z21/100))</f>
        <v/>
      </c>
      <c r="N21">
        <f>IF($AB21="","",INDEX('Per Line'!$V$2:$V$4001,$AB21)&amp;"")</f>
        <v/>
      </c>
      <c r="O21">
        <f>IF($AB21="","",INDEX('Per Line'!$Z$2:$Z$4001,$AB21))</f>
        <v/>
      </c>
      <c r="P21">
        <f>IF($AB21="","",IF(AND(ISNUMBER(O21),O21&gt;0),Z21&gt;O21,FALSE))</f>
        <v/>
      </c>
      <c r="Q21" s="7">
        <f>IF($AB21="","",SUMIFS('Per Line'!$U$2:$U$4001,'Per Line'!$C$2:$C$4001,$B21,'Per Line'!$AM$2:$AM$4001,1))</f>
        <v/>
      </c>
      <c r="R21">
        <f>IF($AB21="","",Settings!$C$7)</f>
        <v/>
      </c>
      <c r="S21" s="7">
        <f>IF($AB21="","",SUMIFS('Per Line'!$U$2:$U$4001,'Per Line'!$C$2:$C$4001,$B21,'Per Line'!$AL$2:$AL$4001,0,'Per Line'!$AM$2:$AM$4001,0))</f>
        <v/>
      </c>
      <c r="T21" s="7">
        <f>IF($AB21="","",S21*R21)</f>
        <v/>
      </c>
      <c r="U21">
        <f>IF($AB21="","",Settings!$C$6)</f>
        <v/>
      </c>
      <c r="V21" s="7">
        <f>IF($AB21="","",SUMIFS('Per Line'!$U$2:$U$4001,'Per Line'!$C$2:$C$4001,$B21,'Per Line'!$AL$2:$AL$4001,1,'Per Line'!$AM$2:$AM$4001,0))</f>
        <v/>
      </c>
      <c r="W21" s="7">
        <f>IF($AB21="","",V21*U21)</f>
        <v/>
      </c>
      <c r="X21" s="7">
        <f>IF($AB21="","",W21+T21)</f>
        <v/>
      </c>
      <c r="Y21" s="7">
        <f>IF($AB21="","",Z21-X21)</f>
        <v/>
      </c>
      <c r="Z21" s="7">
        <f>IF($AB21="","",S21+V21+Q21)</f>
        <v/>
      </c>
      <c r="AA21" s="7">
        <f>IF($AB21="","",Z21-X21-M21)</f>
        <v/>
      </c>
      <c r="AB21" s="13">
        <f>IF(ROWS($AB$2:$AB21)&lt;=MAX('Per Line'!$AK$2:$AK$4001),MATCH(ROWS($AB$2:$AB21),'Per Line'!$AK$2:$AK$4001,0),"")</f>
        <v/>
      </c>
      <c r="AC21" s="14">
        <f>IF($AB21="","",M21-L21*Z21/100)</f>
        <v/>
      </c>
    </row>
    <row r="22">
      <c r="A22" s="12" t="n"/>
      <c r="B22">
        <f>IF($AB22="","",INDEX('Per Line'!$C$2:$C$4001,$AB22)&amp;"")</f>
        <v/>
      </c>
      <c r="C22">
        <f>IF($AB22="","",INDEX('Per Line'!$D$2:$D$4001,$AB22)&amp;"")</f>
        <v/>
      </c>
      <c r="D22">
        <f>IF($AB22="","",INDEX('Per Line'!$B$2:$B$4001,$AB22)&amp;"")</f>
        <v/>
      </c>
      <c r="E22">
        <f>IF($AB22="","",INDEX('Per Line'!$A$2:$A$4001,$AB22))</f>
        <v/>
      </c>
      <c r="F22" s="11">
        <f>IF($AB22="","",INDEX('Per Line'!$E$2:$E$4001,$AB22))</f>
        <v/>
      </c>
      <c r="G22">
        <f>IF($AB22="","",INDEX('Per Line'!$F$2:$F$4001,$AB22)&amp;"")</f>
        <v/>
      </c>
      <c r="H22">
        <f>IF($AB22="","",INDEX('Per Line'!$H$2:$H$4001,$AB22)&amp;"")</f>
        <v/>
      </c>
      <c r="I22">
        <f>IF($AB22="","",INDEX('Per Line'!$I$2:$I$4001,$AB22)&amp;"")</f>
        <v/>
      </c>
      <c r="J22">
        <f>IF($AB22="","",INDEX('Per Line'!$J$2:$J$4001,$AB22)&amp;"")</f>
        <v/>
      </c>
      <c r="K22">
        <f>IF($AB22="","",INDEX('Per Line'!$K$2:$K$4001,$AB22)&amp;"")</f>
        <v/>
      </c>
      <c r="L22">
        <f>IF($AB22="","",INDEX('Per Line'!$L$2:$L$4001,$AB22))</f>
        <v/>
      </c>
      <c r="M22" s="7">
        <f>IF($AB22="","",IF(AND(ISNUMBER(O22),O22&gt;0,Z22&gt;O22),L22*O22/100+(Z22-O22),L22*Z22/100))</f>
        <v/>
      </c>
      <c r="N22">
        <f>IF($AB22="","",INDEX('Per Line'!$V$2:$V$4001,$AB22)&amp;"")</f>
        <v/>
      </c>
      <c r="O22">
        <f>IF($AB22="","",INDEX('Per Line'!$Z$2:$Z$4001,$AB22))</f>
        <v/>
      </c>
      <c r="P22">
        <f>IF($AB22="","",IF(AND(ISNUMBER(O22),O22&gt;0),Z22&gt;O22,FALSE))</f>
        <v/>
      </c>
      <c r="Q22" s="7">
        <f>IF($AB22="","",SUMIFS('Per Line'!$U$2:$U$4001,'Per Line'!$C$2:$C$4001,$B22,'Per Line'!$AM$2:$AM$4001,1))</f>
        <v/>
      </c>
      <c r="R22">
        <f>IF($AB22="","",Settings!$C$7)</f>
        <v/>
      </c>
      <c r="S22" s="7">
        <f>IF($AB22="","",SUMIFS('Per Line'!$U$2:$U$4001,'Per Line'!$C$2:$C$4001,$B22,'Per Line'!$AL$2:$AL$4001,0,'Per Line'!$AM$2:$AM$4001,0))</f>
        <v/>
      </c>
      <c r="T22" s="7">
        <f>IF($AB22="","",S22*R22)</f>
        <v/>
      </c>
      <c r="U22">
        <f>IF($AB22="","",Settings!$C$6)</f>
        <v/>
      </c>
      <c r="V22" s="7">
        <f>IF($AB22="","",SUMIFS('Per Line'!$U$2:$U$4001,'Per Line'!$C$2:$C$4001,$B22,'Per Line'!$AL$2:$AL$4001,1,'Per Line'!$AM$2:$AM$4001,0))</f>
        <v/>
      </c>
      <c r="W22" s="7">
        <f>IF($AB22="","",V22*U22)</f>
        <v/>
      </c>
      <c r="X22" s="7">
        <f>IF($AB22="","",W22+T22)</f>
        <v/>
      </c>
      <c r="Y22" s="7">
        <f>IF($AB22="","",Z22-X22)</f>
        <v/>
      </c>
      <c r="Z22" s="7">
        <f>IF($AB22="","",S22+V22+Q22)</f>
        <v/>
      </c>
      <c r="AA22" s="7">
        <f>IF($AB22="","",Z22-X22-M22)</f>
        <v/>
      </c>
      <c r="AB22" s="13">
        <f>IF(ROWS($AB$2:$AB22)&lt;=MAX('Per Line'!$AK$2:$AK$4001),MATCH(ROWS($AB$2:$AB22),'Per Line'!$AK$2:$AK$4001,0),"")</f>
        <v/>
      </c>
      <c r="AC22" s="14">
        <f>IF($AB22="","",M22-L22*Z22/100)</f>
        <v/>
      </c>
    </row>
    <row r="23">
      <c r="A23" s="12" t="n"/>
      <c r="B23">
        <f>IF($AB23="","",INDEX('Per Line'!$C$2:$C$4001,$AB23)&amp;"")</f>
        <v/>
      </c>
      <c r="C23">
        <f>IF($AB23="","",INDEX('Per Line'!$D$2:$D$4001,$AB23)&amp;"")</f>
        <v/>
      </c>
      <c r="D23">
        <f>IF($AB23="","",INDEX('Per Line'!$B$2:$B$4001,$AB23)&amp;"")</f>
        <v/>
      </c>
      <c r="E23">
        <f>IF($AB23="","",INDEX('Per Line'!$A$2:$A$4001,$AB23))</f>
        <v/>
      </c>
      <c r="F23" s="11">
        <f>IF($AB23="","",INDEX('Per Line'!$E$2:$E$4001,$AB23))</f>
        <v/>
      </c>
      <c r="G23">
        <f>IF($AB23="","",INDEX('Per Line'!$F$2:$F$4001,$AB23)&amp;"")</f>
        <v/>
      </c>
      <c r="H23">
        <f>IF($AB23="","",INDEX('Per Line'!$H$2:$H$4001,$AB23)&amp;"")</f>
        <v/>
      </c>
      <c r="I23">
        <f>IF($AB23="","",INDEX('Per Line'!$I$2:$I$4001,$AB23)&amp;"")</f>
        <v/>
      </c>
      <c r="J23">
        <f>IF($AB23="","",INDEX('Per Line'!$J$2:$J$4001,$AB23)&amp;"")</f>
        <v/>
      </c>
      <c r="K23">
        <f>IF($AB23="","",INDEX('Per Line'!$K$2:$K$4001,$AB23)&amp;"")</f>
        <v/>
      </c>
      <c r="L23">
        <f>IF($AB23="","",INDEX('Per Line'!$L$2:$L$4001,$AB23))</f>
        <v/>
      </c>
      <c r="M23" s="7">
        <f>IF($AB23="","",IF(AND(ISNUMBER(O23),O23&gt;0,Z23&gt;O23),L23*O23/100+(Z23-O23),L23*Z23/100))</f>
        <v/>
      </c>
      <c r="N23">
        <f>IF($AB23="","",INDEX('Per Line'!$V$2:$V$4001,$AB23)&amp;"")</f>
        <v/>
      </c>
      <c r="O23">
        <f>IF($AB23="","",INDEX('Per Line'!$Z$2:$Z$4001,$AB23))</f>
        <v/>
      </c>
      <c r="P23">
        <f>IF($AB23="","",IF(AND(ISNUMBER(O23),O23&gt;0),Z23&gt;O23,FALSE))</f>
        <v/>
      </c>
      <c r="Q23" s="7">
        <f>IF($AB23="","",SUMIFS('Per Line'!$U$2:$U$4001,'Per Line'!$C$2:$C$4001,$B23,'Per Line'!$AM$2:$AM$4001,1))</f>
        <v/>
      </c>
      <c r="R23">
        <f>IF($AB23="","",Settings!$C$7)</f>
        <v/>
      </c>
      <c r="S23" s="7">
        <f>IF($AB23="","",SUMIFS('Per Line'!$U$2:$U$4001,'Per Line'!$C$2:$C$4001,$B23,'Per Line'!$AL$2:$AL$4001,0,'Per Line'!$AM$2:$AM$4001,0))</f>
        <v/>
      </c>
      <c r="T23" s="7">
        <f>IF($AB23="","",S23*R23)</f>
        <v/>
      </c>
      <c r="U23">
        <f>IF($AB23="","",Settings!$C$6)</f>
        <v/>
      </c>
      <c r="V23" s="7">
        <f>IF($AB23="","",SUMIFS('Per Line'!$U$2:$U$4001,'Per Line'!$C$2:$C$4001,$B23,'Per Line'!$AL$2:$AL$4001,1,'Per Line'!$AM$2:$AM$4001,0))</f>
        <v/>
      </c>
      <c r="W23" s="7">
        <f>IF($AB23="","",V23*U23)</f>
        <v/>
      </c>
      <c r="X23" s="7">
        <f>IF($AB23="","",W23+T23)</f>
        <v/>
      </c>
      <c r="Y23" s="7">
        <f>IF($AB23="","",Z23-X23)</f>
        <v/>
      </c>
      <c r="Z23" s="7">
        <f>IF($AB23="","",S23+V23+Q23)</f>
        <v/>
      </c>
      <c r="AA23" s="7">
        <f>IF($AB23="","",Z23-X23-M23)</f>
        <v/>
      </c>
      <c r="AB23" s="13">
        <f>IF(ROWS($AB$2:$AB23)&lt;=MAX('Per Line'!$AK$2:$AK$4001),MATCH(ROWS($AB$2:$AB23),'Per Line'!$AK$2:$AK$4001,0),"")</f>
        <v/>
      </c>
      <c r="AC23" s="14">
        <f>IF($AB23="","",M23-L23*Z23/100)</f>
        <v/>
      </c>
    </row>
    <row r="24">
      <c r="A24" s="12" t="n"/>
      <c r="B24">
        <f>IF($AB24="","",INDEX('Per Line'!$C$2:$C$4001,$AB24)&amp;"")</f>
        <v/>
      </c>
      <c r="C24">
        <f>IF($AB24="","",INDEX('Per Line'!$D$2:$D$4001,$AB24)&amp;"")</f>
        <v/>
      </c>
      <c r="D24">
        <f>IF($AB24="","",INDEX('Per Line'!$B$2:$B$4001,$AB24)&amp;"")</f>
        <v/>
      </c>
      <c r="E24">
        <f>IF($AB24="","",INDEX('Per Line'!$A$2:$A$4001,$AB24))</f>
        <v/>
      </c>
      <c r="F24" s="11">
        <f>IF($AB24="","",INDEX('Per Line'!$E$2:$E$4001,$AB24))</f>
        <v/>
      </c>
      <c r="G24">
        <f>IF($AB24="","",INDEX('Per Line'!$F$2:$F$4001,$AB24)&amp;"")</f>
        <v/>
      </c>
      <c r="H24">
        <f>IF($AB24="","",INDEX('Per Line'!$H$2:$H$4001,$AB24)&amp;"")</f>
        <v/>
      </c>
      <c r="I24">
        <f>IF($AB24="","",INDEX('Per Line'!$I$2:$I$4001,$AB24)&amp;"")</f>
        <v/>
      </c>
      <c r="J24">
        <f>IF($AB24="","",INDEX('Per Line'!$J$2:$J$4001,$AB24)&amp;"")</f>
        <v/>
      </c>
      <c r="K24">
        <f>IF($AB24="","",INDEX('Per Line'!$K$2:$K$4001,$AB24)&amp;"")</f>
        <v/>
      </c>
      <c r="L24">
        <f>IF($AB24="","",INDEX('Per Line'!$L$2:$L$4001,$AB24))</f>
        <v/>
      </c>
      <c r="M24" s="7">
        <f>IF($AB24="","",IF(AND(ISNUMBER(O24),O24&gt;0,Z24&gt;O24),L24*O24/100+(Z24-O24),L24*Z24/100))</f>
        <v/>
      </c>
      <c r="N24">
        <f>IF($AB24="","",INDEX('Per Line'!$V$2:$V$4001,$AB24)&amp;"")</f>
        <v/>
      </c>
      <c r="O24">
        <f>IF($AB24="","",INDEX('Per Line'!$Z$2:$Z$4001,$AB24))</f>
        <v/>
      </c>
      <c r="P24">
        <f>IF($AB24="","",IF(AND(ISNUMBER(O24),O24&gt;0),Z24&gt;O24,FALSE))</f>
        <v/>
      </c>
      <c r="Q24" s="7">
        <f>IF($AB24="","",SUMIFS('Per Line'!$U$2:$U$4001,'Per Line'!$C$2:$C$4001,$B24,'Per Line'!$AM$2:$AM$4001,1))</f>
        <v/>
      </c>
      <c r="R24">
        <f>IF($AB24="","",Settings!$C$7)</f>
        <v/>
      </c>
      <c r="S24" s="7">
        <f>IF($AB24="","",SUMIFS('Per Line'!$U$2:$U$4001,'Per Line'!$C$2:$C$4001,$B24,'Per Line'!$AL$2:$AL$4001,0,'Per Line'!$AM$2:$AM$4001,0))</f>
        <v/>
      </c>
      <c r="T24" s="7">
        <f>IF($AB24="","",S24*R24)</f>
        <v/>
      </c>
      <c r="U24">
        <f>IF($AB24="","",Settings!$C$6)</f>
        <v/>
      </c>
      <c r="V24" s="7">
        <f>IF($AB24="","",SUMIFS('Per Line'!$U$2:$U$4001,'Per Line'!$C$2:$C$4001,$B24,'Per Line'!$AL$2:$AL$4001,1,'Per Line'!$AM$2:$AM$4001,0))</f>
        <v/>
      </c>
      <c r="W24" s="7">
        <f>IF($AB24="","",V24*U24)</f>
        <v/>
      </c>
      <c r="X24" s="7">
        <f>IF($AB24="","",W24+T24)</f>
        <v/>
      </c>
      <c r="Y24" s="7">
        <f>IF($AB24="","",Z24-X24)</f>
        <v/>
      </c>
      <c r="Z24" s="7">
        <f>IF($AB24="","",S24+V24+Q24)</f>
        <v/>
      </c>
      <c r="AA24" s="7">
        <f>IF($AB24="","",Z24-X24-M24)</f>
        <v/>
      </c>
      <c r="AB24" s="13">
        <f>IF(ROWS($AB$2:$AB24)&lt;=MAX('Per Line'!$AK$2:$AK$4001),MATCH(ROWS($AB$2:$AB24),'Per Line'!$AK$2:$AK$4001,0),"")</f>
        <v/>
      </c>
      <c r="AC24" s="14">
        <f>IF($AB24="","",M24-L24*Z24/100)</f>
        <v/>
      </c>
    </row>
    <row r="25">
      <c r="A25" s="12" t="n"/>
      <c r="B25">
        <f>IF($AB25="","",INDEX('Per Line'!$C$2:$C$4001,$AB25)&amp;"")</f>
        <v/>
      </c>
      <c r="C25">
        <f>IF($AB25="","",INDEX('Per Line'!$D$2:$D$4001,$AB25)&amp;"")</f>
        <v/>
      </c>
      <c r="D25">
        <f>IF($AB25="","",INDEX('Per Line'!$B$2:$B$4001,$AB25)&amp;"")</f>
        <v/>
      </c>
      <c r="E25">
        <f>IF($AB25="","",INDEX('Per Line'!$A$2:$A$4001,$AB25))</f>
        <v/>
      </c>
      <c r="F25" s="11">
        <f>IF($AB25="","",INDEX('Per Line'!$E$2:$E$4001,$AB25))</f>
        <v/>
      </c>
      <c r="G25">
        <f>IF($AB25="","",INDEX('Per Line'!$F$2:$F$4001,$AB25)&amp;"")</f>
        <v/>
      </c>
      <c r="H25">
        <f>IF($AB25="","",INDEX('Per Line'!$H$2:$H$4001,$AB25)&amp;"")</f>
        <v/>
      </c>
      <c r="I25">
        <f>IF($AB25="","",INDEX('Per Line'!$I$2:$I$4001,$AB25)&amp;"")</f>
        <v/>
      </c>
      <c r="J25">
        <f>IF($AB25="","",INDEX('Per Line'!$J$2:$J$4001,$AB25)&amp;"")</f>
        <v/>
      </c>
      <c r="K25">
        <f>IF($AB25="","",INDEX('Per Line'!$K$2:$K$4001,$AB25)&amp;"")</f>
        <v/>
      </c>
      <c r="L25">
        <f>IF($AB25="","",INDEX('Per Line'!$L$2:$L$4001,$AB25))</f>
        <v/>
      </c>
      <c r="M25" s="7">
        <f>IF($AB25="","",IF(AND(ISNUMBER(O25),O25&gt;0,Z25&gt;O25),L25*O25/100+(Z25-O25),L25*Z25/100))</f>
        <v/>
      </c>
      <c r="N25">
        <f>IF($AB25="","",INDEX('Per Line'!$V$2:$V$4001,$AB25)&amp;"")</f>
        <v/>
      </c>
      <c r="O25">
        <f>IF($AB25="","",INDEX('Per Line'!$Z$2:$Z$4001,$AB25))</f>
        <v/>
      </c>
      <c r="P25">
        <f>IF($AB25="","",IF(AND(ISNUMBER(O25),O25&gt;0),Z25&gt;O25,FALSE))</f>
        <v/>
      </c>
      <c r="Q25" s="7">
        <f>IF($AB25="","",SUMIFS('Per Line'!$U$2:$U$4001,'Per Line'!$C$2:$C$4001,$B25,'Per Line'!$AM$2:$AM$4001,1))</f>
        <v/>
      </c>
      <c r="R25">
        <f>IF($AB25="","",Settings!$C$7)</f>
        <v/>
      </c>
      <c r="S25" s="7">
        <f>IF($AB25="","",SUMIFS('Per Line'!$U$2:$U$4001,'Per Line'!$C$2:$C$4001,$B25,'Per Line'!$AL$2:$AL$4001,0,'Per Line'!$AM$2:$AM$4001,0))</f>
        <v/>
      </c>
      <c r="T25" s="7">
        <f>IF($AB25="","",S25*R25)</f>
        <v/>
      </c>
      <c r="U25">
        <f>IF($AB25="","",Settings!$C$6)</f>
        <v/>
      </c>
      <c r="V25" s="7">
        <f>IF($AB25="","",SUMIFS('Per Line'!$U$2:$U$4001,'Per Line'!$C$2:$C$4001,$B25,'Per Line'!$AL$2:$AL$4001,1,'Per Line'!$AM$2:$AM$4001,0))</f>
        <v/>
      </c>
      <c r="W25" s="7">
        <f>IF($AB25="","",V25*U25)</f>
        <v/>
      </c>
      <c r="X25" s="7">
        <f>IF($AB25="","",W25+T25)</f>
        <v/>
      </c>
      <c r="Y25" s="7">
        <f>IF($AB25="","",Z25-X25)</f>
        <v/>
      </c>
      <c r="Z25" s="7">
        <f>IF($AB25="","",S25+V25+Q25)</f>
        <v/>
      </c>
      <c r="AA25" s="7">
        <f>IF($AB25="","",Z25-X25-M25)</f>
        <v/>
      </c>
      <c r="AB25" s="13">
        <f>IF(ROWS($AB$2:$AB25)&lt;=MAX('Per Line'!$AK$2:$AK$4001),MATCH(ROWS($AB$2:$AB25),'Per Line'!$AK$2:$AK$4001,0),"")</f>
        <v/>
      </c>
      <c r="AC25" s="14">
        <f>IF($AB25="","",M25-L25*Z25/100)</f>
        <v/>
      </c>
    </row>
    <row r="26">
      <c r="A26" s="12" t="n"/>
      <c r="B26">
        <f>IF($AB26="","",INDEX('Per Line'!$C$2:$C$4001,$AB26)&amp;"")</f>
        <v/>
      </c>
      <c r="C26">
        <f>IF($AB26="","",INDEX('Per Line'!$D$2:$D$4001,$AB26)&amp;"")</f>
        <v/>
      </c>
      <c r="D26">
        <f>IF($AB26="","",INDEX('Per Line'!$B$2:$B$4001,$AB26)&amp;"")</f>
        <v/>
      </c>
      <c r="E26">
        <f>IF($AB26="","",INDEX('Per Line'!$A$2:$A$4001,$AB26))</f>
        <v/>
      </c>
      <c r="F26" s="11">
        <f>IF($AB26="","",INDEX('Per Line'!$E$2:$E$4001,$AB26))</f>
        <v/>
      </c>
      <c r="G26">
        <f>IF($AB26="","",INDEX('Per Line'!$F$2:$F$4001,$AB26)&amp;"")</f>
        <v/>
      </c>
      <c r="H26">
        <f>IF($AB26="","",INDEX('Per Line'!$H$2:$H$4001,$AB26)&amp;"")</f>
        <v/>
      </c>
      <c r="I26">
        <f>IF($AB26="","",INDEX('Per Line'!$I$2:$I$4001,$AB26)&amp;"")</f>
        <v/>
      </c>
      <c r="J26">
        <f>IF($AB26="","",INDEX('Per Line'!$J$2:$J$4001,$AB26)&amp;"")</f>
        <v/>
      </c>
      <c r="K26">
        <f>IF($AB26="","",INDEX('Per Line'!$K$2:$K$4001,$AB26)&amp;"")</f>
        <v/>
      </c>
      <c r="L26">
        <f>IF($AB26="","",INDEX('Per Line'!$L$2:$L$4001,$AB26))</f>
        <v/>
      </c>
      <c r="M26" s="7">
        <f>IF($AB26="","",IF(AND(ISNUMBER(O26),O26&gt;0,Z26&gt;O26),L26*O26/100+(Z26-O26),L26*Z26/100))</f>
        <v/>
      </c>
      <c r="N26">
        <f>IF($AB26="","",INDEX('Per Line'!$V$2:$V$4001,$AB26)&amp;"")</f>
        <v/>
      </c>
      <c r="O26">
        <f>IF($AB26="","",INDEX('Per Line'!$Z$2:$Z$4001,$AB26))</f>
        <v/>
      </c>
      <c r="P26">
        <f>IF($AB26="","",IF(AND(ISNUMBER(O26),O26&gt;0),Z26&gt;O26,FALSE))</f>
        <v/>
      </c>
      <c r="Q26" s="7">
        <f>IF($AB26="","",SUMIFS('Per Line'!$U$2:$U$4001,'Per Line'!$C$2:$C$4001,$B26,'Per Line'!$AM$2:$AM$4001,1))</f>
        <v/>
      </c>
      <c r="R26">
        <f>IF($AB26="","",Settings!$C$7)</f>
        <v/>
      </c>
      <c r="S26" s="7">
        <f>IF($AB26="","",SUMIFS('Per Line'!$U$2:$U$4001,'Per Line'!$C$2:$C$4001,$B26,'Per Line'!$AL$2:$AL$4001,0,'Per Line'!$AM$2:$AM$4001,0))</f>
        <v/>
      </c>
      <c r="T26" s="7">
        <f>IF($AB26="","",S26*R26)</f>
        <v/>
      </c>
      <c r="U26">
        <f>IF($AB26="","",Settings!$C$6)</f>
        <v/>
      </c>
      <c r="V26" s="7">
        <f>IF($AB26="","",SUMIFS('Per Line'!$U$2:$U$4001,'Per Line'!$C$2:$C$4001,$B26,'Per Line'!$AL$2:$AL$4001,1,'Per Line'!$AM$2:$AM$4001,0))</f>
        <v/>
      </c>
      <c r="W26" s="7">
        <f>IF($AB26="","",V26*U26)</f>
        <v/>
      </c>
      <c r="X26" s="7">
        <f>IF($AB26="","",W26+T26)</f>
        <v/>
      </c>
      <c r="Y26" s="7">
        <f>IF($AB26="","",Z26-X26)</f>
        <v/>
      </c>
      <c r="Z26" s="7">
        <f>IF($AB26="","",S26+V26+Q26)</f>
        <v/>
      </c>
      <c r="AA26" s="7">
        <f>IF($AB26="","",Z26-X26-M26)</f>
        <v/>
      </c>
      <c r="AB26" s="13">
        <f>IF(ROWS($AB$2:$AB26)&lt;=MAX('Per Line'!$AK$2:$AK$4001),MATCH(ROWS($AB$2:$AB26),'Per Line'!$AK$2:$AK$4001,0),"")</f>
        <v/>
      </c>
      <c r="AC26" s="14">
        <f>IF($AB26="","",M26-L26*Z26/100)</f>
        <v/>
      </c>
    </row>
    <row r="27">
      <c r="A27" s="12" t="n"/>
      <c r="B27">
        <f>IF($AB27="","",INDEX('Per Line'!$C$2:$C$4001,$AB27)&amp;"")</f>
        <v/>
      </c>
      <c r="C27">
        <f>IF($AB27="","",INDEX('Per Line'!$D$2:$D$4001,$AB27)&amp;"")</f>
        <v/>
      </c>
      <c r="D27">
        <f>IF($AB27="","",INDEX('Per Line'!$B$2:$B$4001,$AB27)&amp;"")</f>
        <v/>
      </c>
      <c r="E27">
        <f>IF($AB27="","",INDEX('Per Line'!$A$2:$A$4001,$AB27))</f>
        <v/>
      </c>
      <c r="F27" s="11">
        <f>IF($AB27="","",INDEX('Per Line'!$E$2:$E$4001,$AB27))</f>
        <v/>
      </c>
      <c r="G27">
        <f>IF($AB27="","",INDEX('Per Line'!$F$2:$F$4001,$AB27)&amp;"")</f>
        <v/>
      </c>
      <c r="H27">
        <f>IF($AB27="","",INDEX('Per Line'!$H$2:$H$4001,$AB27)&amp;"")</f>
        <v/>
      </c>
      <c r="I27">
        <f>IF($AB27="","",INDEX('Per Line'!$I$2:$I$4001,$AB27)&amp;"")</f>
        <v/>
      </c>
      <c r="J27">
        <f>IF($AB27="","",INDEX('Per Line'!$J$2:$J$4001,$AB27)&amp;"")</f>
        <v/>
      </c>
      <c r="K27">
        <f>IF($AB27="","",INDEX('Per Line'!$K$2:$K$4001,$AB27)&amp;"")</f>
        <v/>
      </c>
      <c r="L27">
        <f>IF($AB27="","",INDEX('Per Line'!$L$2:$L$4001,$AB27))</f>
        <v/>
      </c>
      <c r="M27" s="7">
        <f>IF($AB27="","",IF(AND(ISNUMBER(O27),O27&gt;0,Z27&gt;O27),L27*O27/100+(Z27-O27),L27*Z27/100))</f>
        <v/>
      </c>
      <c r="N27">
        <f>IF($AB27="","",INDEX('Per Line'!$V$2:$V$4001,$AB27)&amp;"")</f>
        <v/>
      </c>
      <c r="O27">
        <f>IF($AB27="","",INDEX('Per Line'!$Z$2:$Z$4001,$AB27))</f>
        <v/>
      </c>
      <c r="P27">
        <f>IF($AB27="","",IF(AND(ISNUMBER(O27),O27&gt;0),Z27&gt;O27,FALSE))</f>
        <v/>
      </c>
      <c r="Q27" s="7">
        <f>IF($AB27="","",SUMIFS('Per Line'!$U$2:$U$4001,'Per Line'!$C$2:$C$4001,$B27,'Per Line'!$AM$2:$AM$4001,1))</f>
        <v/>
      </c>
      <c r="R27">
        <f>IF($AB27="","",Settings!$C$7)</f>
        <v/>
      </c>
      <c r="S27" s="7">
        <f>IF($AB27="","",SUMIFS('Per Line'!$U$2:$U$4001,'Per Line'!$C$2:$C$4001,$B27,'Per Line'!$AL$2:$AL$4001,0,'Per Line'!$AM$2:$AM$4001,0))</f>
        <v/>
      </c>
      <c r="T27" s="7">
        <f>IF($AB27="","",S27*R27)</f>
        <v/>
      </c>
      <c r="U27">
        <f>IF($AB27="","",Settings!$C$6)</f>
        <v/>
      </c>
      <c r="V27" s="7">
        <f>IF($AB27="","",SUMIFS('Per Line'!$U$2:$U$4001,'Per Line'!$C$2:$C$4001,$B27,'Per Line'!$AL$2:$AL$4001,1,'Per Line'!$AM$2:$AM$4001,0))</f>
        <v/>
      </c>
      <c r="W27" s="7">
        <f>IF($AB27="","",V27*U27)</f>
        <v/>
      </c>
      <c r="X27" s="7">
        <f>IF($AB27="","",W27+T27)</f>
        <v/>
      </c>
      <c r="Y27" s="7">
        <f>IF($AB27="","",Z27-X27)</f>
        <v/>
      </c>
      <c r="Z27" s="7">
        <f>IF($AB27="","",S27+V27+Q27)</f>
        <v/>
      </c>
      <c r="AA27" s="7">
        <f>IF($AB27="","",Z27-X27-M27)</f>
        <v/>
      </c>
      <c r="AB27" s="13">
        <f>IF(ROWS($AB$2:$AB27)&lt;=MAX('Per Line'!$AK$2:$AK$4001),MATCH(ROWS($AB$2:$AB27),'Per Line'!$AK$2:$AK$4001,0),"")</f>
        <v/>
      </c>
      <c r="AC27" s="14">
        <f>IF($AB27="","",M27-L27*Z27/100)</f>
        <v/>
      </c>
    </row>
    <row r="28">
      <c r="A28" s="12" t="n"/>
      <c r="B28">
        <f>IF($AB28="","",INDEX('Per Line'!$C$2:$C$4001,$AB28)&amp;"")</f>
        <v/>
      </c>
      <c r="C28">
        <f>IF($AB28="","",INDEX('Per Line'!$D$2:$D$4001,$AB28)&amp;"")</f>
        <v/>
      </c>
      <c r="D28">
        <f>IF($AB28="","",INDEX('Per Line'!$B$2:$B$4001,$AB28)&amp;"")</f>
        <v/>
      </c>
      <c r="E28">
        <f>IF($AB28="","",INDEX('Per Line'!$A$2:$A$4001,$AB28))</f>
        <v/>
      </c>
      <c r="F28" s="11">
        <f>IF($AB28="","",INDEX('Per Line'!$E$2:$E$4001,$AB28))</f>
        <v/>
      </c>
      <c r="G28">
        <f>IF($AB28="","",INDEX('Per Line'!$F$2:$F$4001,$AB28)&amp;"")</f>
        <v/>
      </c>
      <c r="H28">
        <f>IF($AB28="","",INDEX('Per Line'!$H$2:$H$4001,$AB28)&amp;"")</f>
        <v/>
      </c>
      <c r="I28">
        <f>IF($AB28="","",INDEX('Per Line'!$I$2:$I$4001,$AB28)&amp;"")</f>
        <v/>
      </c>
      <c r="J28">
        <f>IF($AB28="","",INDEX('Per Line'!$J$2:$J$4001,$AB28)&amp;"")</f>
        <v/>
      </c>
      <c r="K28">
        <f>IF($AB28="","",INDEX('Per Line'!$K$2:$K$4001,$AB28)&amp;"")</f>
        <v/>
      </c>
      <c r="L28">
        <f>IF($AB28="","",INDEX('Per Line'!$L$2:$L$4001,$AB28))</f>
        <v/>
      </c>
      <c r="M28" s="7">
        <f>IF($AB28="","",IF(AND(ISNUMBER(O28),O28&gt;0,Z28&gt;O28),L28*O28/100+(Z28-O28),L28*Z28/100))</f>
        <v/>
      </c>
      <c r="N28">
        <f>IF($AB28="","",INDEX('Per Line'!$V$2:$V$4001,$AB28)&amp;"")</f>
        <v/>
      </c>
      <c r="O28">
        <f>IF($AB28="","",INDEX('Per Line'!$Z$2:$Z$4001,$AB28))</f>
        <v/>
      </c>
      <c r="P28">
        <f>IF($AB28="","",IF(AND(ISNUMBER(O28),O28&gt;0),Z28&gt;O28,FALSE))</f>
        <v/>
      </c>
      <c r="Q28" s="7">
        <f>IF($AB28="","",SUMIFS('Per Line'!$U$2:$U$4001,'Per Line'!$C$2:$C$4001,$B28,'Per Line'!$AM$2:$AM$4001,1))</f>
        <v/>
      </c>
      <c r="R28">
        <f>IF($AB28="","",Settings!$C$7)</f>
        <v/>
      </c>
      <c r="S28" s="7">
        <f>IF($AB28="","",SUMIFS('Per Line'!$U$2:$U$4001,'Per Line'!$C$2:$C$4001,$B28,'Per Line'!$AL$2:$AL$4001,0,'Per Line'!$AM$2:$AM$4001,0))</f>
        <v/>
      </c>
      <c r="T28" s="7">
        <f>IF($AB28="","",S28*R28)</f>
        <v/>
      </c>
      <c r="U28">
        <f>IF($AB28="","",Settings!$C$6)</f>
        <v/>
      </c>
      <c r="V28" s="7">
        <f>IF($AB28="","",SUMIFS('Per Line'!$U$2:$U$4001,'Per Line'!$C$2:$C$4001,$B28,'Per Line'!$AL$2:$AL$4001,1,'Per Line'!$AM$2:$AM$4001,0))</f>
        <v/>
      </c>
      <c r="W28" s="7">
        <f>IF($AB28="","",V28*U28)</f>
        <v/>
      </c>
      <c r="X28" s="7">
        <f>IF($AB28="","",W28+T28)</f>
        <v/>
      </c>
      <c r="Y28" s="7">
        <f>IF($AB28="","",Z28-X28)</f>
        <v/>
      </c>
      <c r="Z28" s="7">
        <f>IF($AB28="","",S28+V28+Q28)</f>
        <v/>
      </c>
      <c r="AA28" s="7">
        <f>IF($AB28="","",Z28-X28-M28)</f>
        <v/>
      </c>
      <c r="AB28" s="13">
        <f>IF(ROWS($AB$2:$AB28)&lt;=MAX('Per Line'!$AK$2:$AK$4001),MATCH(ROWS($AB$2:$AB28),'Per Line'!$AK$2:$AK$4001,0),"")</f>
        <v/>
      </c>
      <c r="AC28" s="14">
        <f>IF($AB28="","",M28-L28*Z28/100)</f>
        <v/>
      </c>
    </row>
    <row r="29">
      <c r="A29" s="12" t="n"/>
      <c r="B29">
        <f>IF($AB29="","",INDEX('Per Line'!$C$2:$C$4001,$AB29)&amp;"")</f>
        <v/>
      </c>
      <c r="C29">
        <f>IF($AB29="","",INDEX('Per Line'!$D$2:$D$4001,$AB29)&amp;"")</f>
        <v/>
      </c>
      <c r="D29">
        <f>IF($AB29="","",INDEX('Per Line'!$B$2:$B$4001,$AB29)&amp;"")</f>
        <v/>
      </c>
      <c r="E29">
        <f>IF($AB29="","",INDEX('Per Line'!$A$2:$A$4001,$AB29))</f>
        <v/>
      </c>
      <c r="F29" s="11">
        <f>IF($AB29="","",INDEX('Per Line'!$E$2:$E$4001,$AB29))</f>
        <v/>
      </c>
      <c r="G29">
        <f>IF($AB29="","",INDEX('Per Line'!$F$2:$F$4001,$AB29)&amp;"")</f>
        <v/>
      </c>
      <c r="H29">
        <f>IF($AB29="","",INDEX('Per Line'!$H$2:$H$4001,$AB29)&amp;"")</f>
        <v/>
      </c>
      <c r="I29">
        <f>IF($AB29="","",INDEX('Per Line'!$I$2:$I$4001,$AB29)&amp;"")</f>
        <v/>
      </c>
      <c r="J29">
        <f>IF($AB29="","",INDEX('Per Line'!$J$2:$J$4001,$AB29)&amp;"")</f>
        <v/>
      </c>
      <c r="K29">
        <f>IF($AB29="","",INDEX('Per Line'!$K$2:$K$4001,$AB29)&amp;"")</f>
        <v/>
      </c>
      <c r="L29">
        <f>IF($AB29="","",INDEX('Per Line'!$L$2:$L$4001,$AB29))</f>
        <v/>
      </c>
      <c r="M29" s="7">
        <f>IF($AB29="","",IF(AND(ISNUMBER(O29),O29&gt;0,Z29&gt;O29),L29*O29/100+(Z29-O29),L29*Z29/100))</f>
        <v/>
      </c>
      <c r="N29">
        <f>IF($AB29="","",INDEX('Per Line'!$V$2:$V$4001,$AB29)&amp;"")</f>
        <v/>
      </c>
      <c r="O29">
        <f>IF($AB29="","",INDEX('Per Line'!$Z$2:$Z$4001,$AB29))</f>
        <v/>
      </c>
      <c r="P29">
        <f>IF($AB29="","",IF(AND(ISNUMBER(O29),O29&gt;0),Z29&gt;O29,FALSE))</f>
        <v/>
      </c>
      <c r="Q29" s="7">
        <f>IF($AB29="","",SUMIFS('Per Line'!$U$2:$U$4001,'Per Line'!$C$2:$C$4001,$B29,'Per Line'!$AM$2:$AM$4001,1))</f>
        <v/>
      </c>
      <c r="R29">
        <f>IF($AB29="","",Settings!$C$7)</f>
        <v/>
      </c>
      <c r="S29" s="7">
        <f>IF($AB29="","",SUMIFS('Per Line'!$U$2:$U$4001,'Per Line'!$C$2:$C$4001,$B29,'Per Line'!$AL$2:$AL$4001,0,'Per Line'!$AM$2:$AM$4001,0))</f>
        <v/>
      </c>
      <c r="T29" s="7">
        <f>IF($AB29="","",S29*R29)</f>
        <v/>
      </c>
      <c r="U29">
        <f>IF($AB29="","",Settings!$C$6)</f>
        <v/>
      </c>
      <c r="V29" s="7">
        <f>IF($AB29="","",SUMIFS('Per Line'!$U$2:$U$4001,'Per Line'!$C$2:$C$4001,$B29,'Per Line'!$AL$2:$AL$4001,1,'Per Line'!$AM$2:$AM$4001,0))</f>
        <v/>
      </c>
      <c r="W29" s="7">
        <f>IF($AB29="","",V29*U29)</f>
        <v/>
      </c>
      <c r="X29" s="7">
        <f>IF($AB29="","",W29+T29)</f>
        <v/>
      </c>
      <c r="Y29" s="7">
        <f>IF($AB29="","",Z29-X29)</f>
        <v/>
      </c>
      <c r="Z29" s="7">
        <f>IF($AB29="","",S29+V29+Q29)</f>
        <v/>
      </c>
      <c r="AA29" s="7">
        <f>IF($AB29="","",Z29-X29-M29)</f>
        <v/>
      </c>
      <c r="AB29" s="13">
        <f>IF(ROWS($AB$2:$AB29)&lt;=MAX('Per Line'!$AK$2:$AK$4001),MATCH(ROWS($AB$2:$AB29),'Per Line'!$AK$2:$AK$4001,0),"")</f>
        <v/>
      </c>
      <c r="AC29" s="14">
        <f>IF($AB29="","",M29-L29*Z29/100)</f>
        <v/>
      </c>
    </row>
    <row r="30">
      <c r="A30" s="12" t="n"/>
      <c r="B30">
        <f>IF($AB30="","",INDEX('Per Line'!$C$2:$C$4001,$AB30)&amp;"")</f>
        <v/>
      </c>
      <c r="C30">
        <f>IF($AB30="","",INDEX('Per Line'!$D$2:$D$4001,$AB30)&amp;"")</f>
        <v/>
      </c>
      <c r="D30">
        <f>IF($AB30="","",INDEX('Per Line'!$B$2:$B$4001,$AB30)&amp;"")</f>
        <v/>
      </c>
      <c r="E30">
        <f>IF($AB30="","",INDEX('Per Line'!$A$2:$A$4001,$AB30))</f>
        <v/>
      </c>
      <c r="F30" s="11">
        <f>IF($AB30="","",INDEX('Per Line'!$E$2:$E$4001,$AB30))</f>
        <v/>
      </c>
      <c r="G30">
        <f>IF($AB30="","",INDEX('Per Line'!$F$2:$F$4001,$AB30)&amp;"")</f>
        <v/>
      </c>
      <c r="H30">
        <f>IF($AB30="","",INDEX('Per Line'!$H$2:$H$4001,$AB30)&amp;"")</f>
        <v/>
      </c>
      <c r="I30">
        <f>IF($AB30="","",INDEX('Per Line'!$I$2:$I$4001,$AB30)&amp;"")</f>
        <v/>
      </c>
      <c r="J30">
        <f>IF($AB30="","",INDEX('Per Line'!$J$2:$J$4001,$AB30)&amp;"")</f>
        <v/>
      </c>
      <c r="K30">
        <f>IF($AB30="","",INDEX('Per Line'!$K$2:$K$4001,$AB30)&amp;"")</f>
        <v/>
      </c>
      <c r="L30">
        <f>IF($AB30="","",INDEX('Per Line'!$L$2:$L$4001,$AB30))</f>
        <v/>
      </c>
      <c r="M30" s="7">
        <f>IF($AB30="","",IF(AND(ISNUMBER(O30),O30&gt;0,Z30&gt;O30),L30*O30/100+(Z30-O30),L30*Z30/100))</f>
        <v/>
      </c>
      <c r="N30">
        <f>IF($AB30="","",INDEX('Per Line'!$V$2:$V$4001,$AB30)&amp;"")</f>
        <v/>
      </c>
      <c r="O30">
        <f>IF($AB30="","",INDEX('Per Line'!$Z$2:$Z$4001,$AB30))</f>
        <v/>
      </c>
      <c r="P30">
        <f>IF($AB30="","",IF(AND(ISNUMBER(O30),O30&gt;0),Z30&gt;O30,FALSE))</f>
        <v/>
      </c>
      <c r="Q30" s="7">
        <f>IF($AB30="","",SUMIFS('Per Line'!$U$2:$U$4001,'Per Line'!$C$2:$C$4001,$B30,'Per Line'!$AM$2:$AM$4001,1))</f>
        <v/>
      </c>
      <c r="R30">
        <f>IF($AB30="","",Settings!$C$7)</f>
        <v/>
      </c>
      <c r="S30" s="7">
        <f>IF($AB30="","",SUMIFS('Per Line'!$U$2:$U$4001,'Per Line'!$C$2:$C$4001,$B30,'Per Line'!$AL$2:$AL$4001,0,'Per Line'!$AM$2:$AM$4001,0))</f>
        <v/>
      </c>
      <c r="T30" s="7">
        <f>IF($AB30="","",S30*R30)</f>
        <v/>
      </c>
      <c r="U30">
        <f>IF($AB30="","",Settings!$C$6)</f>
        <v/>
      </c>
      <c r="V30" s="7">
        <f>IF($AB30="","",SUMIFS('Per Line'!$U$2:$U$4001,'Per Line'!$C$2:$C$4001,$B30,'Per Line'!$AL$2:$AL$4001,1,'Per Line'!$AM$2:$AM$4001,0))</f>
        <v/>
      </c>
      <c r="W30" s="7">
        <f>IF($AB30="","",V30*U30)</f>
        <v/>
      </c>
      <c r="X30" s="7">
        <f>IF($AB30="","",W30+T30)</f>
        <v/>
      </c>
      <c r="Y30" s="7">
        <f>IF($AB30="","",Z30-X30)</f>
        <v/>
      </c>
      <c r="Z30" s="7">
        <f>IF($AB30="","",S30+V30+Q30)</f>
        <v/>
      </c>
      <c r="AA30" s="7">
        <f>IF($AB30="","",Z30-X30-M30)</f>
        <v/>
      </c>
      <c r="AB30" s="13">
        <f>IF(ROWS($AB$2:$AB30)&lt;=MAX('Per Line'!$AK$2:$AK$4001),MATCH(ROWS($AB$2:$AB30),'Per Line'!$AK$2:$AK$4001,0),"")</f>
        <v/>
      </c>
      <c r="AC30" s="14">
        <f>IF($AB30="","",M30-L30*Z30/100)</f>
        <v/>
      </c>
    </row>
    <row r="31">
      <c r="A31" s="12" t="n"/>
      <c r="B31">
        <f>IF($AB31="","",INDEX('Per Line'!$C$2:$C$4001,$AB31)&amp;"")</f>
        <v/>
      </c>
      <c r="C31">
        <f>IF($AB31="","",INDEX('Per Line'!$D$2:$D$4001,$AB31)&amp;"")</f>
        <v/>
      </c>
      <c r="D31">
        <f>IF($AB31="","",INDEX('Per Line'!$B$2:$B$4001,$AB31)&amp;"")</f>
        <v/>
      </c>
      <c r="E31">
        <f>IF($AB31="","",INDEX('Per Line'!$A$2:$A$4001,$AB31))</f>
        <v/>
      </c>
      <c r="F31" s="11">
        <f>IF($AB31="","",INDEX('Per Line'!$E$2:$E$4001,$AB31))</f>
        <v/>
      </c>
      <c r="G31">
        <f>IF($AB31="","",INDEX('Per Line'!$F$2:$F$4001,$AB31)&amp;"")</f>
        <v/>
      </c>
      <c r="H31">
        <f>IF($AB31="","",INDEX('Per Line'!$H$2:$H$4001,$AB31)&amp;"")</f>
        <v/>
      </c>
      <c r="I31">
        <f>IF($AB31="","",INDEX('Per Line'!$I$2:$I$4001,$AB31)&amp;"")</f>
        <v/>
      </c>
      <c r="J31">
        <f>IF($AB31="","",INDEX('Per Line'!$J$2:$J$4001,$AB31)&amp;"")</f>
        <v/>
      </c>
      <c r="K31">
        <f>IF($AB31="","",INDEX('Per Line'!$K$2:$K$4001,$AB31)&amp;"")</f>
        <v/>
      </c>
      <c r="L31">
        <f>IF($AB31="","",INDEX('Per Line'!$L$2:$L$4001,$AB31))</f>
        <v/>
      </c>
      <c r="M31" s="7">
        <f>IF($AB31="","",IF(AND(ISNUMBER(O31),O31&gt;0,Z31&gt;O31),L31*O31/100+(Z31-O31),L31*Z31/100))</f>
        <v/>
      </c>
      <c r="N31">
        <f>IF($AB31="","",INDEX('Per Line'!$V$2:$V$4001,$AB31)&amp;"")</f>
        <v/>
      </c>
      <c r="O31">
        <f>IF($AB31="","",INDEX('Per Line'!$Z$2:$Z$4001,$AB31))</f>
        <v/>
      </c>
      <c r="P31">
        <f>IF($AB31="","",IF(AND(ISNUMBER(O31),O31&gt;0),Z31&gt;O31,FALSE))</f>
        <v/>
      </c>
      <c r="Q31" s="7">
        <f>IF($AB31="","",SUMIFS('Per Line'!$U$2:$U$4001,'Per Line'!$C$2:$C$4001,$B31,'Per Line'!$AM$2:$AM$4001,1))</f>
        <v/>
      </c>
      <c r="R31">
        <f>IF($AB31="","",Settings!$C$7)</f>
        <v/>
      </c>
      <c r="S31" s="7">
        <f>IF($AB31="","",SUMIFS('Per Line'!$U$2:$U$4001,'Per Line'!$C$2:$C$4001,$B31,'Per Line'!$AL$2:$AL$4001,0,'Per Line'!$AM$2:$AM$4001,0))</f>
        <v/>
      </c>
      <c r="T31" s="7">
        <f>IF($AB31="","",S31*R31)</f>
        <v/>
      </c>
      <c r="U31">
        <f>IF($AB31="","",Settings!$C$6)</f>
        <v/>
      </c>
      <c r="V31" s="7">
        <f>IF($AB31="","",SUMIFS('Per Line'!$U$2:$U$4001,'Per Line'!$C$2:$C$4001,$B31,'Per Line'!$AL$2:$AL$4001,1,'Per Line'!$AM$2:$AM$4001,0))</f>
        <v/>
      </c>
      <c r="W31" s="7">
        <f>IF($AB31="","",V31*U31)</f>
        <v/>
      </c>
      <c r="X31" s="7">
        <f>IF($AB31="","",W31+T31)</f>
        <v/>
      </c>
      <c r="Y31" s="7">
        <f>IF($AB31="","",Z31-X31)</f>
        <v/>
      </c>
      <c r="Z31" s="7">
        <f>IF($AB31="","",S31+V31+Q31)</f>
        <v/>
      </c>
      <c r="AA31" s="7">
        <f>IF($AB31="","",Z31-X31-M31)</f>
        <v/>
      </c>
      <c r="AB31" s="13">
        <f>IF(ROWS($AB$2:$AB31)&lt;=MAX('Per Line'!$AK$2:$AK$4001),MATCH(ROWS($AB$2:$AB31),'Per Line'!$AK$2:$AK$4001,0),"")</f>
        <v/>
      </c>
      <c r="AC31" s="14">
        <f>IF($AB31="","",M31-L31*Z31/100)</f>
        <v/>
      </c>
    </row>
    <row r="32">
      <c r="A32" s="12" t="n"/>
      <c r="B32">
        <f>IF($AB32="","",INDEX('Per Line'!$C$2:$C$4001,$AB32)&amp;"")</f>
        <v/>
      </c>
      <c r="C32">
        <f>IF($AB32="","",INDEX('Per Line'!$D$2:$D$4001,$AB32)&amp;"")</f>
        <v/>
      </c>
      <c r="D32">
        <f>IF($AB32="","",INDEX('Per Line'!$B$2:$B$4001,$AB32)&amp;"")</f>
        <v/>
      </c>
      <c r="E32">
        <f>IF($AB32="","",INDEX('Per Line'!$A$2:$A$4001,$AB32))</f>
        <v/>
      </c>
      <c r="F32" s="11">
        <f>IF($AB32="","",INDEX('Per Line'!$E$2:$E$4001,$AB32))</f>
        <v/>
      </c>
      <c r="G32">
        <f>IF($AB32="","",INDEX('Per Line'!$F$2:$F$4001,$AB32)&amp;"")</f>
        <v/>
      </c>
      <c r="H32">
        <f>IF($AB32="","",INDEX('Per Line'!$H$2:$H$4001,$AB32)&amp;"")</f>
        <v/>
      </c>
      <c r="I32">
        <f>IF($AB32="","",INDEX('Per Line'!$I$2:$I$4001,$AB32)&amp;"")</f>
        <v/>
      </c>
      <c r="J32">
        <f>IF($AB32="","",INDEX('Per Line'!$J$2:$J$4001,$AB32)&amp;"")</f>
        <v/>
      </c>
      <c r="K32">
        <f>IF($AB32="","",INDEX('Per Line'!$K$2:$K$4001,$AB32)&amp;"")</f>
        <v/>
      </c>
      <c r="L32">
        <f>IF($AB32="","",INDEX('Per Line'!$L$2:$L$4001,$AB32))</f>
        <v/>
      </c>
      <c r="M32" s="7">
        <f>IF($AB32="","",IF(AND(ISNUMBER(O32),O32&gt;0,Z32&gt;O32),L32*O32/100+(Z32-O32),L32*Z32/100))</f>
        <v/>
      </c>
      <c r="N32">
        <f>IF($AB32="","",INDEX('Per Line'!$V$2:$V$4001,$AB32)&amp;"")</f>
        <v/>
      </c>
      <c r="O32">
        <f>IF($AB32="","",INDEX('Per Line'!$Z$2:$Z$4001,$AB32))</f>
        <v/>
      </c>
      <c r="P32">
        <f>IF($AB32="","",IF(AND(ISNUMBER(O32),O32&gt;0),Z32&gt;O32,FALSE))</f>
        <v/>
      </c>
      <c r="Q32" s="7">
        <f>IF($AB32="","",SUMIFS('Per Line'!$U$2:$U$4001,'Per Line'!$C$2:$C$4001,$B32,'Per Line'!$AM$2:$AM$4001,1))</f>
        <v/>
      </c>
      <c r="R32">
        <f>IF($AB32="","",Settings!$C$7)</f>
        <v/>
      </c>
      <c r="S32" s="7">
        <f>IF($AB32="","",SUMIFS('Per Line'!$U$2:$U$4001,'Per Line'!$C$2:$C$4001,$B32,'Per Line'!$AL$2:$AL$4001,0,'Per Line'!$AM$2:$AM$4001,0))</f>
        <v/>
      </c>
      <c r="T32" s="7">
        <f>IF($AB32="","",S32*R32)</f>
        <v/>
      </c>
      <c r="U32">
        <f>IF($AB32="","",Settings!$C$6)</f>
        <v/>
      </c>
      <c r="V32" s="7">
        <f>IF($AB32="","",SUMIFS('Per Line'!$U$2:$U$4001,'Per Line'!$C$2:$C$4001,$B32,'Per Line'!$AL$2:$AL$4001,1,'Per Line'!$AM$2:$AM$4001,0))</f>
        <v/>
      </c>
      <c r="W32" s="7">
        <f>IF($AB32="","",V32*U32)</f>
        <v/>
      </c>
      <c r="X32" s="7">
        <f>IF($AB32="","",W32+T32)</f>
        <v/>
      </c>
      <c r="Y32" s="7">
        <f>IF($AB32="","",Z32-X32)</f>
        <v/>
      </c>
      <c r="Z32" s="7">
        <f>IF($AB32="","",S32+V32+Q32)</f>
        <v/>
      </c>
      <c r="AA32" s="7">
        <f>IF($AB32="","",Z32-X32-M32)</f>
        <v/>
      </c>
      <c r="AB32" s="13">
        <f>IF(ROWS($AB$2:$AB32)&lt;=MAX('Per Line'!$AK$2:$AK$4001),MATCH(ROWS($AB$2:$AB32),'Per Line'!$AK$2:$AK$4001,0),"")</f>
        <v/>
      </c>
      <c r="AC32" s="14">
        <f>IF($AB32="","",M32-L32*Z32/100)</f>
        <v/>
      </c>
    </row>
    <row r="33">
      <c r="A33" s="12" t="n"/>
      <c r="B33">
        <f>IF($AB33="","",INDEX('Per Line'!$C$2:$C$4001,$AB33)&amp;"")</f>
        <v/>
      </c>
      <c r="C33">
        <f>IF($AB33="","",INDEX('Per Line'!$D$2:$D$4001,$AB33)&amp;"")</f>
        <v/>
      </c>
      <c r="D33">
        <f>IF($AB33="","",INDEX('Per Line'!$B$2:$B$4001,$AB33)&amp;"")</f>
        <v/>
      </c>
      <c r="E33">
        <f>IF($AB33="","",INDEX('Per Line'!$A$2:$A$4001,$AB33))</f>
        <v/>
      </c>
      <c r="F33" s="11">
        <f>IF($AB33="","",INDEX('Per Line'!$E$2:$E$4001,$AB33))</f>
        <v/>
      </c>
      <c r="G33">
        <f>IF($AB33="","",INDEX('Per Line'!$F$2:$F$4001,$AB33)&amp;"")</f>
        <v/>
      </c>
      <c r="H33">
        <f>IF($AB33="","",INDEX('Per Line'!$H$2:$H$4001,$AB33)&amp;"")</f>
        <v/>
      </c>
      <c r="I33">
        <f>IF($AB33="","",INDEX('Per Line'!$I$2:$I$4001,$AB33)&amp;"")</f>
        <v/>
      </c>
      <c r="J33">
        <f>IF($AB33="","",INDEX('Per Line'!$J$2:$J$4001,$AB33)&amp;"")</f>
        <v/>
      </c>
      <c r="K33">
        <f>IF($AB33="","",INDEX('Per Line'!$K$2:$K$4001,$AB33)&amp;"")</f>
        <v/>
      </c>
      <c r="L33">
        <f>IF($AB33="","",INDEX('Per Line'!$L$2:$L$4001,$AB33))</f>
        <v/>
      </c>
      <c r="M33" s="7">
        <f>IF($AB33="","",IF(AND(ISNUMBER(O33),O33&gt;0,Z33&gt;O33),L33*O33/100+(Z33-O33),L33*Z33/100))</f>
        <v/>
      </c>
      <c r="N33">
        <f>IF($AB33="","",INDEX('Per Line'!$V$2:$V$4001,$AB33)&amp;"")</f>
        <v/>
      </c>
      <c r="O33">
        <f>IF($AB33="","",INDEX('Per Line'!$Z$2:$Z$4001,$AB33))</f>
        <v/>
      </c>
      <c r="P33">
        <f>IF($AB33="","",IF(AND(ISNUMBER(O33),O33&gt;0),Z33&gt;O33,FALSE))</f>
        <v/>
      </c>
      <c r="Q33" s="7">
        <f>IF($AB33="","",SUMIFS('Per Line'!$U$2:$U$4001,'Per Line'!$C$2:$C$4001,$B33,'Per Line'!$AM$2:$AM$4001,1))</f>
        <v/>
      </c>
      <c r="R33">
        <f>IF($AB33="","",Settings!$C$7)</f>
        <v/>
      </c>
      <c r="S33" s="7">
        <f>IF($AB33="","",SUMIFS('Per Line'!$U$2:$U$4001,'Per Line'!$C$2:$C$4001,$B33,'Per Line'!$AL$2:$AL$4001,0,'Per Line'!$AM$2:$AM$4001,0))</f>
        <v/>
      </c>
      <c r="T33" s="7">
        <f>IF($AB33="","",S33*R33)</f>
        <v/>
      </c>
      <c r="U33">
        <f>IF($AB33="","",Settings!$C$6)</f>
        <v/>
      </c>
      <c r="V33" s="7">
        <f>IF($AB33="","",SUMIFS('Per Line'!$U$2:$U$4001,'Per Line'!$C$2:$C$4001,$B33,'Per Line'!$AL$2:$AL$4001,1,'Per Line'!$AM$2:$AM$4001,0))</f>
        <v/>
      </c>
      <c r="W33" s="7">
        <f>IF($AB33="","",V33*U33)</f>
        <v/>
      </c>
      <c r="X33" s="7">
        <f>IF($AB33="","",W33+T33)</f>
        <v/>
      </c>
      <c r="Y33" s="7">
        <f>IF($AB33="","",Z33-X33)</f>
        <v/>
      </c>
      <c r="Z33" s="7">
        <f>IF($AB33="","",S33+V33+Q33)</f>
        <v/>
      </c>
      <c r="AA33" s="7">
        <f>IF($AB33="","",Z33-X33-M33)</f>
        <v/>
      </c>
      <c r="AB33" s="13">
        <f>IF(ROWS($AB$2:$AB33)&lt;=MAX('Per Line'!$AK$2:$AK$4001),MATCH(ROWS($AB$2:$AB33),'Per Line'!$AK$2:$AK$4001,0),"")</f>
        <v/>
      </c>
      <c r="AC33" s="14">
        <f>IF($AB33="","",M33-L33*Z33/100)</f>
        <v/>
      </c>
    </row>
    <row r="34">
      <c r="A34" s="12" t="n"/>
      <c r="B34">
        <f>IF($AB34="","",INDEX('Per Line'!$C$2:$C$4001,$AB34)&amp;"")</f>
        <v/>
      </c>
      <c r="C34">
        <f>IF($AB34="","",INDEX('Per Line'!$D$2:$D$4001,$AB34)&amp;"")</f>
        <v/>
      </c>
      <c r="D34">
        <f>IF($AB34="","",INDEX('Per Line'!$B$2:$B$4001,$AB34)&amp;"")</f>
        <v/>
      </c>
      <c r="E34">
        <f>IF($AB34="","",INDEX('Per Line'!$A$2:$A$4001,$AB34))</f>
        <v/>
      </c>
      <c r="F34" s="11">
        <f>IF($AB34="","",INDEX('Per Line'!$E$2:$E$4001,$AB34))</f>
        <v/>
      </c>
      <c r="G34">
        <f>IF($AB34="","",INDEX('Per Line'!$F$2:$F$4001,$AB34)&amp;"")</f>
        <v/>
      </c>
      <c r="H34">
        <f>IF($AB34="","",INDEX('Per Line'!$H$2:$H$4001,$AB34)&amp;"")</f>
        <v/>
      </c>
      <c r="I34">
        <f>IF($AB34="","",INDEX('Per Line'!$I$2:$I$4001,$AB34)&amp;"")</f>
        <v/>
      </c>
      <c r="J34">
        <f>IF($AB34="","",INDEX('Per Line'!$J$2:$J$4001,$AB34)&amp;"")</f>
        <v/>
      </c>
      <c r="K34">
        <f>IF($AB34="","",INDEX('Per Line'!$K$2:$K$4001,$AB34)&amp;"")</f>
        <v/>
      </c>
      <c r="L34">
        <f>IF($AB34="","",INDEX('Per Line'!$L$2:$L$4001,$AB34))</f>
        <v/>
      </c>
      <c r="M34" s="7">
        <f>IF($AB34="","",IF(AND(ISNUMBER(O34),O34&gt;0,Z34&gt;O34),L34*O34/100+(Z34-O34),L34*Z34/100))</f>
        <v/>
      </c>
      <c r="N34">
        <f>IF($AB34="","",INDEX('Per Line'!$V$2:$V$4001,$AB34)&amp;"")</f>
        <v/>
      </c>
      <c r="O34">
        <f>IF($AB34="","",INDEX('Per Line'!$Z$2:$Z$4001,$AB34))</f>
        <v/>
      </c>
      <c r="P34">
        <f>IF($AB34="","",IF(AND(ISNUMBER(O34),O34&gt;0),Z34&gt;O34,FALSE))</f>
        <v/>
      </c>
      <c r="Q34" s="7">
        <f>IF($AB34="","",SUMIFS('Per Line'!$U$2:$U$4001,'Per Line'!$C$2:$C$4001,$B34,'Per Line'!$AM$2:$AM$4001,1))</f>
        <v/>
      </c>
      <c r="R34">
        <f>IF($AB34="","",Settings!$C$7)</f>
        <v/>
      </c>
      <c r="S34" s="7">
        <f>IF($AB34="","",SUMIFS('Per Line'!$U$2:$U$4001,'Per Line'!$C$2:$C$4001,$B34,'Per Line'!$AL$2:$AL$4001,0,'Per Line'!$AM$2:$AM$4001,0))</f>
        <v/>
      </c>
      <c r="T34" s="7">
        <f>IF($AB34="","",S34*R34)</f>
        <v/>
      </c>
      <c r="U34">
        <f>IF($AB34="","",Settings!$C$6)</f>
        <v/>
      </c>
      <c r="V34" s="7">
        <f>IF($AB34="","",SUMIFS('Per Line'!$U$2:$U$4001,'Per Line'!$C$2:$C$4001,$B34,'Per Line'!$AL$2:$AL$4001,1,'Per Line'!$AM$2:$AM$4001,0))</f>
        <v/>
      </c>
      <c r="W34" s="7">
        <f>IF($AB34="","",V34*U34)</f>
        <v/>
      </c>
      <c r="X34" s="7">
        <f>IF($AB34="","",W34+T34)</f>
        <v/>
      </c>
      <c r="Y34" s="7">
        <f>IF($AB34="","",Z34-X34)</f>
        <v/>
      </c>
      <c r="Z34" s="7">
        <f>IF($AB34="","",S34+V34+Q34)</f>
        <v/>
      </c>
      <c r="AA34" s="7">
        <f>IF($AB34="","",Z34-X34-M34)</f>
        <v/>
      </c>
      <c r="AB34" s="13">
        <f>IF(ROWS($AB$2:$AB34)&lt;=MAX('Per Line'!$AK$2:$AK$4001),MATCH(ROWS($AB$2:$AB34),'Per Line'!$AK$2:$AK$4001,0),"")</f>
        <v/>
      </c>
      <c r="AC34" s="14">
        <f>IF($AB34="","",M34-L34*Z34/100)</f>
        <v/>
      </c>
    </row>
    <row r="35">
      <c r="A35" s="12" t="n"/>
      <c r="B35">
        <f>IF($AB35="","",INDEX('Per Line'!$C$2:$C$4001,$AB35)&amp;"")</f>
        <v/>
      </c>
      <c r="C35">
        <f>IF($AB35="","",INDEX('Per Line'!$D$2:$D$4001,$AB35)&amp;"")</f>
        <v/>
      </c>
      <c r="D35">
        <f>IF($AB35="","",INDEX('Per Line'!$B$2:$B$4001,$AB35)&amp;"")</f>
        <v/>
      </c>
      <c r="E35">
        <f>IF($AB35="","",INDEX('Per Line'!$A$2:$A$4001,$AB35))</f>
        <v/>
      </c>
      <c r="F35" s="11">
        <f>IF($AB35="","",INDEX('Per Line'!$E$2:$E$4001,$AB35))</f>
        <v/>
      </c>
      <c r="G35">
        <f>IF($AB35="","",INDEX('Per Line'!$F$2:$F$4001,$AB35)&amp;"")</f>
        <v/>
      </c>
      <c r="H35">
        <f>IF($AB35="","",INDEX('Per Line'!$H$2:$H$4001,$AB35)&amp;"")</f>
        <v/>
      </c>
      <c r="I35">
        <f>IF($AB35="","",INDEX('Per Line'!$I$2:$I$4001,$AB35)&amp;"")</f>
        <v/>
      </c>
      <c r="J35">
        <f>IF($AB35="","",INDEX('Per Line'!$J$2:$J$4001,$AB35)&amp;"")</f>
        <v/>
      </c>
      <c r="K35">
        <f>IF($AB35="","",INDEX('Per Line'!$K$2:$K$4001,$AB35)&amp;"")</f>
        <v/>
      </c>
      <c r="L35">
        <f>IF($AB35="","",INDEX('Per Line'!$L$2:$L$4001,$AB35))</f>
        <v/>
      </c>
      <c r="M35" s="7">
        <f>IF($AB35="","",IF(AND(ISNUMBER(O35),O35&gt;0,Z35&gt;O35),L35*O35/100+(Z35-O35),L35*Z35/100))</f>
        <v/>
      </c>
      <c r="N35">
        <f>IF($AB35="","",INDEX('Per Line'!$V$2:$V$4001,$AB35)&amp;"")</f>
        <v/>
      </c>
      <c r="O35">
        <f>IF($AB35="","",INDEX('Per Line'!$Z$2:$Z$4001,$AB35))</f>
        <v/>
      </c>
      <c r="P35">
        <f>IF($AB35="","",IF(AND(ISNUMBER(O35),O35&gt;0),Z35&gt;O35,FALSE))</f>
        <v/>
      </c>
      <c r="Q35" s="7">
        <f>IF($AB35="","",SUMIFS('Per Line'!$U$2:$U$4001,'Per Line'!$C$2:$C$4001,$B35,'Per Line'!$AM$2:$AM$4001,1))</f>
        <v/>
      </c>
      <c r="R35">
        <f>IF($AB35="","",Settings!$C$7)</f>
        <v/>
      </c>
      <c r="S35" s="7">
        <f>IF($AB35="","",SUMIFS('Per Line'!$U$2:$U$4001,'Per Line'!$C$2:$C$4001,$B35,'Per Line'!$AL$2:$AL$4001,0,'Per Line'!$AM$2:$AM$4001,0))</f>
        <v/>
      </c>
      <c r="T35" s="7">
        <f>IF($AB35="","",S35*R35)</f>
        <v/>
      </c>
      <c r="U35">
        <f>IF($AB35="","",Settings!$C$6)</f>
        <v/>
      </c>
      <c r="V35" s="7">
        <f>IF($AB35="","",SUMIFS('Per Line'!$U$2:$U$4001,'Per Line'!$C$2:$C$4001,$B35,'Per Line'!$AL$2:$AL$4001,1,'Per Line'!$AM$2:$AM$4001,0))</f>
        <v/>
      </c>
      <c r="W35" s="7">
        <f>IF($AB35="","",V35*U35)</f>
        <v/>
      </c>
      <c r="X35" s="7">
        <f>IF($AB35="","",W35+T35)</f>
        <v/>
      </c>
      <c r="Y35" s="7">
        <f>IF($AB35="","",Z35-X35)</f>
        <v/>
      </c>
      <c r="Z35" s="7">
        <f>IF($AB35="","",S35+V35+Q35)</f>
        <v/>
      </c>
      <c r="AA35" s="7">
        <f>IF($AB35="","",Z35-X35-M35)</f>
        <v/>
      </c>
      <c r="AB35" s="13">
        <f>IF(ROWS($AB$2:$AB35)&lt;=MAX('Per Line'!$AK$2:$AK$4001),MATCH(ROWS($AB$2:$AB35),'Per Line'!$AK$2:$AK$4001,0),"")</f>
        <v/>
      </c>
      <c r="AC35" s="14">
        <f>IF($AB35="","",M35-L35*Z35/100)</f>
        <v/>
      </c>
    </row>
    <row r="36">
      <c r="A36" s="12" t="n"/>
      <c r="B36">
        <f>IF($AB36="","",INDEX('Per Line'!$C$2:$C$4001,$AB36)&amp;"")</f>
        <v/>
      </c>
      <c r="C36">
        <f>IF($AB36="","",INDEX('Per Line'!$D$2:$D$4001,$AB36)&amp;"")</f>
        <v/>
      </c>
      <c r="D36">
        <f>IF($AB36="","",INDEX('Per Line'!$B$2:$B$4001,$AB36)&amp;"")</f>
        <v/>
      </c>
      <c r="E36">
        <f>IF($AB36="","",INDEX('Per Line'!$A$2:$A$4001,$AB36))</f>
        <v/>
      </c>
      <c r="F36" s="11">
        <f>IF($AB36="","",INDEX('Per Line'!$E$2:$E$4001,$AB36))</f>
        <v/>
      </c>
      <c r="G36">
        <f>IF($AB36="","",INDEX('Per Line'!$F$2:$F$4001,$AB36)&amp;"")</f>
        <v/>
      </c>
      <c r="H36">
        <f>IF($AB36="","",INDEX('Per Line'!$H$2:$H$4001,$AB36)&amp;"")</f>
        <v/>
      </c>
      <c r="I36">
        <f>IF($AB36="","",INDEX('Per Line'!$I$2:$I$4001,$AB36)&amp;"")</f>
        <v/>
      </c>
      <c r="J36">
        <f>IF($AB36="","",INDEX('Per Line'!$J$2:$J$4001,$AB36)&amp;"")</f>
        <v/>
      </c>
      <c r="K36">
        <f>IF($AB36="","",INDEX('Per Line'!$K$2:$K$4001,$AB36)&amp;"")</f>
        <v/>
      </c>
      <c r="L36">
        <f>IF($AB36="","",INDEX('Per Line'!$L$2:$L$4001,$AB36))</f>
        <v/>
      </c>
      <c r="M36" s="7">
        <f>IF($AB36="","",IF(AND(ISNUMBER(O36),O36&gt;0,Z36&gt;O36),L36*O36/100+(Z36-O36),L36*Z36/100))</f>
        <v/>
      </c>
      <c r="N36">
        <f>IF($AB36="","",INDEX('Per Line'!$V$2:$V$4001,$AB36)&amp;"")</f>
        <v/>
      </c>
      <c r="O36">
        <f>IF($AB36="","",INDEX('Per Line'!$Z$2:$Z$4001,$AB36))</f>
        <v/>
      </c>
      <c r="P36">
        <f>IF($AB36="","",IF(AND(ISNUMBER(O36),O36&gt;0),Z36&gt;O36,FALSE))</f>
        <v/>
      </c>
      <c r="Q36" s="7">
        <f>IF($AB36="","",SUMIFS('Per Line'!$U$2:$U$4001,'Per Line'!$C$2:$C$4001,$B36,'Per Line'!$AM$2:$AM$4001,1))</f>
        <v/>
      </c>
      <c r="R36">
        <f>IF($AB36="","",Settings!$C$7)</f>
        <v/>
      </c>
      <c r="S36" s="7">
        <f>IF($AB36="","",SUMIFS('Per Line'!$U$2:$U$4001,'Per Line'!$C$2:$C$4001,$B36,'Per Line'!$AL$2:$AL$4001,0,'Per Line'!$AM$2:$AM$4001,0))</f>
        <v/>
      </c>
      <c r="T36" s="7">
        <f>IF($AB36="","",S36*R36)</f>
        <v/>
      </c>
      <c r="U36">
        <f>IF($AB36="","",Settings!$C$6)</f>
        <v/>
      </c>
      <c r="V36" s="7">
        <f>IF($AB36="","",SUMIFS('Per Line'!$U$2:$U$4001,'Per Line'!$C$2:$C$4001,$B36,'Per Line'!$AL$2:$AL$4001,1,'Per Line'!$AM$2:$AM$4001,0))</f>
        <v/>
      </c>
      <c r="W36" s="7">
        <f>IF($AB36="","",V36*U36)</f>
        <v/>
      </c>
      <c r="X36" s="7">
        <f>IF($AB36="","",W36+T36)</f>
        <v/>
      </c>
      <c r="Y36" s="7">
        <f>IF($AB36="","",Z36-X36)</f>
        <v/>
      </c>
      <c r="Z36" s="7">
        <f>IF($AB36="","",S36+V36+Q36)</f>
        <v/>
      </c>
      <c r="AA36" s="7">
        <f>IF($AB36="","",Z36-X36-M36)</f>
        <v/>
      </c>
      <c r="AB36" s="13">
        <f>IF(ROWS($AB$2:$AB36)&lt;=MAX('Per Line'!$AK$2:$AK$4001),MATCH(ROWS($AB$2:$AB36),'Per Line'!$AK$2:$AK$4001,0),"")</f>
        <v/>
      </c>
      <c r="AC36" s="14">
        <f>IF($AB36="","",M36-L36*Z36/100)</f>
        <v/>
      </c>
    </row>
    <row r="37">
      <c r="A37" s="12" t="n"/>
      <c r="B37">
        <f>IF($AB37="","",INDEX('Per Line'!$C$2:$C$4001,$AB37)&amp;"")</f>
        <v/>
      </c>
      <c r="C37">
        <f>IF($AB37="","",INDEX('Per Line'!$D$2:$D$4001,$AB37)&amp;"")</f>
        <v/>
      </c>
      <c r="D37">
        <f>IF($AB37="","",INDEX('Per Line'!$B$2:$B$4001,$AB37)&amp;"")</f>
        <v/>
      </c>
      <c r="E37">
        <f>IF($AB37="","",INDEX('Per Line'!$A$2:$A$4001,$AB37))</f>
        <v/>
      </c>
      <c r="F37" s="11">
        <f>IF($AB37="","",INDEX('Per Line'!$E$2:$E$4001,$AB37))</f>
        <v/>
      </c>
      <c r="G37">
        <f>IF($AB37="","",INDEX('Per Line'!$F$2:$F$4001,$AB37)&amp;"")</f>
        <v/>
      </c>
      <c r="H37">
        <f>IF($AB37="","",INDEX('Per Line'!$H$2:$H$4001,$AB37)&amp;"")</f>
        <v/>
      </c>
      <c r="I37">
        <f>IF($AB37="","",INDEX('Per Line'!$I$2:$I$4001,$AB37)&amp;"")</f>
        <v/>
      </c>
      <c r="J37">
        <f>IF($AB37="","",INDEX('Per Line'!$J$2:$J$4001,$AB37)&amp;"")</f>
        <v/>
      </c>
      <c r="K37">
        <f>IF($AB37="","",INDEX('Per Line'!$K$2:$K$4001,$AB37)&amp;"")</f>
        <v/>
      </c>
      <c r="L37">
        <f>IF($AB37="","",INDEX('Per Line'!$L$2:$L$4001,$AB37))</f>
        <v/>
      </c>
      <c r="M37" s="7">
        <f>IF($AB37="","",IF(AND(ISNUMBER(O37),O37&gt;0,Z37&gt;O37),L37*O37/100+(Z37-O37),L37*Z37/100))</f>
        <v/>
      </c>
      <c r="N37">
        <f>IF($AB37="","",INDEX('Per Line'!$V$2:$V$4001,$AB37)&amp;"")</f>
        <v/>
      </c>
      <c r="O37">
        <f>IF($AB37="","",INDEX('Per Line'!$Z$2:$Z$4001,$AB37))</f>
        <v/>
      </c>
      <c r="P37">
        <f>IF($AB37="","",IF(AND(ISNUMBER(O37),O37&gt;0),Z37&gt;O37,FALSE))</f>
        <v/>
      </c>
      <c r="Q37" s="7">
        <f>IF($AB37="","",SUMIFS('Per Line'!$U$2:$U$4001,'Per Line'!$C$2:$C$4001,$B37,'Per Line'!$AM$2:$AM$4001,1))</f>
        <v/>
      </c>
      <c r="R37">
        <f>IF($AB37="","",Settings!$C$7)</f>
        <v/>
      </c>
      <c r="S37" s="7">
        <f>IF($AB37="","",SUMIFS('Per Line'!$U$2:$U$4001,'Per Line'!$C$2:$C$4001,$B37,'Per Line'!$AL$2:$AL$4001,0,'Per Line'!$AM$2:$AM$4001,0))</f>
        <v/>
      </c>
      <c r="T37" s="7">
        <f>IF($AB37="","",S37*R37)</f>
        <v/>
      </c>
      <c r="U37">
        <f>IF($AB37="","",Settings!$C$6)</f>
        <v/>
      </c>
      <c r="V37" s="7">
        <f>IF($AB37="","",SUMIFS('Per Line'!$U$2:$U$4001,'Per Line'!$C$2:$C$4001,$B37,'Per Line'!$AL$2:$AL$4001,1,'Per Line'!$AM$2:$AM$4001,0))</f>
        <v/>
      </c>
      <c r="W37" s="7">
        <f>IF($AB37="","",V37*U37)</f>
        <v/>
      </c>
      <c r="X37" s="7">
        <f>IF($AB37="","",W37+T37)</f>
        <v/>
      </c>
      <c r="Y37" s="7">
        <f>IF($AB37="","",Z37-X37)</f>
        <v/>
      </c>
      <c r="Z37" s="7">
        <f>IF($AB37="","",S37+V37+Q37)</f>
        <v/>
      </c>
      <c r="AA37" s="7">
        <f>IF($AB37="","",Z37-X37-M37)</f>
        <v/>
      </c>
      <c r="AB37" s="13">
        <f>IF(ROWS($AB$2:$AB37)&lt;=MAX('Per Line'!$AK$2:$AK$4001),MATCH(ROWS($AB$2:$AB37),'Per Line'!$AK$2:$AK$4001,0),"")</f>
        <v/>
      </c>
      <c r="AC37" s="14">
        <f>IF($AB37="","",M37-L37*Z37/100)</f>
        <v/>
      </c>
    </row>
    <row r="38">
      <c r="A38" s="12" t="n"/>
      <c r="B38">
        <f>IF($AB38="","",INDEX('Per Line'!$C$2:$C$4001,$AB38)&amp;"")</f>
        <v/>
      </c>
      <c r="C38">
        <f>IF($AB38="","",INDEX('Per Line'!$D$2:$D$4001,$AB38)&amp;"")</f>
        <v/>
      </c>
      <c r="D38">
        <f>IF($AB38="","",INDEX('Per Line'!$B$2:$B$4001,$AB38)&amp;"")</f>
        <v/>
      </c>
      <c r="E38">
        <f>IF($AB38="","",INDEX('Per Line'!$A$2:$A$4001,$AB38))</f>
        <v/>
      </c>
      <c r="F38" s="11">
        <f>IF($AB38="","",INDEX('Per Line'!$E$2:$E$4001,$AB38))</f>
        <v/>
      </c>
      <c r="G38">
        <f>IF($AB38="","",INDEX('Per Line'!$F$2:$F$4001,$AB38)&amp;"")</f>
        <v/>
      </c>
      <c r="H38">
        <f>IF($AB38="","",INDEX('Per Line'!$H$2:$H$4001,$AB38)&amp;"")</f>
        <v/>
      </c>
      <c r="I38">
        <f>IF($AB38="","",INDEX('Per Line'!$I$2:$I$4001,$AB38)&amp;"")</f>
        <v/>
      </c>
      <c r="J38">
        <f>IF($AB38="","",INDEX('Per Line'!$J$2:$J$4001,$AB38)&amp;"")</f>
        <v/>
      </c>
      <c r="K38">
        <f>IF($AB38="","",INDEX('Per Line'!$K$2:$K$4001,$AB38)&amp;"")</f>
        <v/>
      </c>
      <c r="L38">
        <f>IF($AB38="","",INDEX('Per Line'!$L$2:$L$4001,$AB38))</f>
        <v/>
      </c>
      <c r="M38" s="7">
        <f>IF($AB38="","",IF(AND(ISNUMBER(O38),O38&gt;0,Z38&gt;O38),L38*O38/100+(Z38-O38),L38*Z38/100))</f>
        <v/>
      </c>
      <c r="N38">
        <f>IF($AB38="","",INDEX('Per Line'!$V$2:$V$4001,$AB38)&amp;"")</f>
        <v/>
      </c>
      <c r="O38">
        <f>IF($AB38="","",INDEX('Per Line'!$Z$2:$Z$4001,$AB38))</f>
        <v/>
      </c>
      <c r="P38">
        <f>IF($AB38="","",IF(AND(ISNUMBER(O38),O38&gt;0),Z38&gt;O38,FALSE))</f>
        <v/>
      </c>
      <c r="Q38" s="7">
        <f>IF($AB38="","",SUMIFS('Per Line'!$U$2:$U$4001,'Per Line'!$C$2:$C$4001,$B38,'Per Line'!$AM$2:$AM$4001,1))</f>
        <v/>
      </c>
      <c r="R38">
        <f>IF($AB38="","",Settings!$C$7)</f>
        <v/>
      </c>
      <c r="S38" s="7">
        <f>IF($AB38="","",SUMIFS('Per Line'!$U$2:$U$4001,'Per Line'!$C$2:$C$4001,$B38,'Per Line'!$AL$2:$AL$4001,0,'Per Line'!$AM$2:$AM$4001,0))</f>
        <v/>
      </c>
      <c r="T38" s="7">
        <f>IF($AB38="","",S38*R38)</f>
        <v/>
      </c>
      <c r="U38">
        <f>IF($AB38="","",Settings!$C$6)</f>
        <v/>
      </c>
      <c r="V38" s="7">
        <f>IF($AB38="","",SUMIFS('Per Line'!$U$2:$U$4001,'Per Line'!$C$2:$C$4001,$B38,'Per Line'!$AL$2:$AL$4001,1,'Per Line'!$AM$2:$AM$4001,0))</f>
        <v/>
      </c>
      <c r="W38" s="7">
        <f>IF($AB38="","",V38*U38)</f>
        <v/>
      </c>
      <c r="X38" s="7">
        <f>IF($AB38="","",W38+T38)</f>
        <v/>
      </c>
      <c r="Y38" s="7">
        <f>IF($AB38="","",Z38-X38)</f>
        <v/>
      </c>
      <c r="Z38" s="7">
        <f>IF($AB38="","",S38+V38+Q38)</f>
        <v/>
      </c>
      <c r="AA38" s="7">
        <f>IF($AB38="","",Z38-X38-M38)</f>
        <v/>
      </c>
      <c r="AB38" s="13">
        <f>IF(ROWS($AB$2:$AB38)&lt;=MAX('Per Line'!$AK$2:$AK$4001),MATCH(ROWS($AB$2:$AB38),'Per Line'!$AK$2:$AK$4001,0),"")</f>
        <v/>
      </c>
      <c r="AC38" s="14">
        <f>IF($AB38="","",M38-L38*Z38/100)</f>
        <v/>
      </c>
    </row>
    <row r="39">
      <c r="A39" s="12" t="n"/>
      <c r="B39">
        <f>IF($AB39="","",INDEX('Per Line'!$C$2:$C$4001,$AB39)&amp;"")</f>
        <v/>
      </c>
      <c r="C39">
        <f>IF($AB39="","",INDEX('Per Line'!$D$2:$D$4001,$AB39)&amp;"")</f>
        <v/>
      </c>
      <c r="D39">
        <f>IF($AB39="","",INDEX('Per Line'!$B$2:$B$4001,$AB39)&amp;"")</f>
        <v/>
      </c>
      <c r="E39">
        <f>IF($AB39="","",INDEX('Per Line'!$A$2:$A$4001,$AB39))</f>
        <v/>
      </c>
      <c r="F39" s="11">
        <f>IF($AB39="","",INDEX('Per Line'!$E$2:$E$4001,$AB39))</f>
        <v/>
      </c>
      <c r="G39">
        <f>IF($AB39="","",INDEX('Per Line'!$F$2:$F$4001,$AB39)&amp;"")</f>
        <v/>
      </c>
      <c r="H39">
        <f>IF($AB39="","",INDEX('Per Line'!$H$2:$H$4001,$AB39)&amp;"")</f>
        <v/>
      </c>
      <c r="I39">
        <f>IF($AB39="","",INDEX('Per Line'!$I$2:$I$4001,$AB39)&amp;"")</f>
        <v/>
      </c>
      <c r="J39">
        <f>IF($AB39="","",INDEX('Per Line'!$J$2:$J$4001,$AB39)&amp;"")</f>
        <v/>
      </c>
      <c r="K39">
        <f>IF($AB39="","",INDEX('Per Line'!$K$2:$K$4001,$AB39)&amp;"")</f>
        <v/>
      </c>
      <c r="L39">
        <f>IF($AB39="","",INDEX('Per Line'!$L$2:$L$4001,$AB39))</f>
        <v/>
      </c>
      <c r="M39" s="7">
        <f>IF($AB39="","",IF(AND(ISNUMBER(O39),O39&gt;0,Z39&gt;O39),L39*O39/100+(Z39-O39),L39*Z39/100))</f>
        <v/>
      </c>
      <c r="N39">
        <f>IF($AB39="","",INDEX('Per Line'!$V$2:$V$4001,$AB39)&amp;"")</f>
        <v/>
      </c>
      <c r="O39">
        <f>IF($AB39="","",INDEX('Per Line'!$Z$2:$Z$4001,$AB39))</f>
        <v/>
      </c>
      <c r="P39">
        <f>IF($AB39="","",IF(AND(ISNUMBER(O39),O39&gt;0),Z39&gt;O39,FALSE))</f>
        <v/>
      </c>
      <c r="Q39" s="7">
        <f>IF($AB39="","",SUMIFS('Per Line'!$U$2:$U$4001,'Per Line'!$C$2:$C$4001,$B39,'Per Line'!$AM$2:$AM$4001,1))</f>
        <v/>
      </c>
      <c r="R39">
        <f>IF($AB39="","",Settings!$C$7)</f>
        <v/>
      </c>
      <c r="S39" s="7">
        <f>IF($AB39="","",SUMIFS('Per Line'!$U$2:$U$4001,'Per Line'!$C$2:$C$4001,$B39,'Per Line'!$AL$2:$AL$4001,0,'Per Line'!$AM$2:$AM$4001,0))</f>
        <v/>
      </c>
      <c r="T39" s="7">
        <f>IF($AB39="","",S39*R39)</f>
        <v/>
      </c>
      <c r="U39">
        <f>IF($AB39="","",Settings!$C$6)</f>
        <v/>
      </c>
      <c r="V39" s="7">
        <f>IF($AB39="","",SUMIFS('Per Line'!$U$2:$U$4001,'Per Line'!$C$2:$C$4001,$B39,'Per Line'!$AL$2:$AL$4001,1,'Per Line'!$AM$2:$AM$4001,0))</f>
        <v/>
      </c>
      <c r="W39" s="7">
        <f>IF($AB39="","",V39*U39)</f>
        <v/>
      </c>
      <c r="X39" s="7">
        <f>IF($AB39="","",W39+T39)</f>
        <v/>
      </c>
      <c r="Y39" s="7">
        <f>IF($AB39="","",Z39-X39)</f>
        <v/>
      </c>
      <c r="Z39" s="7">
        <f>IF($AB39="","",S39+V39+Q39)</f>
        <v/>
      </c>
      <c r="AA39" s="7">
        <f>IF($AB39="","",Z39-X39-M39)</f>
        <v/>
      </c>
      <c r="AB39" s="13">
        <f>IF(ROWS($AB$2:$AB39)&lt;=MAX('Per Line'!$AK$2:$AK$4001),MATCH(ROWS($AB$2:$AB39),'Per Line'!$AK$2:$AK$4001,0),"")</f>
        <v/>
      </c>
      <c r="AC39" s="14">
        <f>IF($AB39="","",M39-L39*Z39/100)</f>
        <v/>
      </c>
    </row>
    <row r="40">
      <c r="A40" s="12" t="n"/>
      <c r="B40">
        <f>IF($AB40="","",INDEX('Per Line'!$C$2:$C$4001,$AB40)&amp;"")</f>
        <v/>
      </c>
      <c r="C40">
        <f>IF($AB40="","",INDEX('Per Line'!$D$2:$D$4001,$AB40)&amp;"")</f>
        <v/>
      </c>
      <c r="D40">
        <f>IF($AB40="","",INDEX('Per Line'!$B$2:$B$4001,$AB40)&amp;"")</f>
        <v/>
      </c>
      <c r="E40">
        <f>IF($AB40="","",INDEX('Per Line'!$A$2:$A$4001,$AB40))</f>
        <v/>
      </c>
      <c r="F40" s="11">
        <f>IF($AB40="","",INDEX('Per Line'!$E$2:$E$4001,$AB40))</f>
        <v/>
      </c>
      <c r="G40">
        <f>IF($AB40="","",INDEX('Per Line'!$F$2:$F$4001,$AB40)&amp;"")</f>
        <v/>
      </c>
      <c r="H40">
        <f>IF($AB40="","",INDEX('Per Line'!$H$2:$H$4001,$AB40)&amp;"")</f>
        <v/>
      </c>
      <c r="I40">
        <f>IF($AB40="","",INDEX('Per Line'!$I$2:$I$4001,$AB40)&amp;"")</f>
        <v/>
      </c>
      <c r="J40">
        <f>IF($AB40="","",INDEX('Per Line'!$J$2:$J$4001,$AB40)&amp;"")</f>
        <v/>
      </c>
      <c r="K40">
        <f>IF($AB40="","",INDEX('Per Line'!$K$2:$K$4001,$AB40)&amp;"")</f>
        <v/>
      </c>
      <c r="L40">
        <f>IF($AB40="","",INDEX('Per Line'!$L$2:$L$4001,$AB40))</f>
        <v/>
      </c>
      <c r="M40" s="7">
        <f>IF($AB40="","",IF(AND(ISNUMBER(O40),O40&gt;0,Z40&gt;O40),L40*O40/100+(Z40-O40),L40*Z40/100))</f>
        <v/>
      </c>
      <c r="N40">
        <f>IF($AB40="","",INDEX('Per Line'!$V$2:$V$4001,$AB40)&amp;"")</f>
        <v/>
      </c>
      <c r="O40">
        <f>IF($AB40="","",INDEX('Per Line'!$Z$2:$Z$4001,$AB40))</f>
        <v/>
      </c>
      <c r="P40">
        <f>IF($AB40="","",IF(AND(ISNUMBER(O40),O40&gt;0),Z40&gt;O40,FALSE))</f>
        <v/>
      </c>
      <c r="Q40" s="7">
        <f>IF($AB40="","",SUMIFS('Per Line'!$U$2:$U$4001,'Per Line'!$C$2:$C$4001,$B40,'Per Line'!$AM$2:$AM$4001,1))</f>
        <v/>
      </c>
      <c r="R40">
        <f>IF($AB40="","",Settings!$C$7)</f>
        <v/>
      </c>
      <c r="S40" s="7">
        <f>IF($AB40="","",SUMIFS('Per Line'!$U$2:$U$4001,'Per Line'!$C$2:$C$4001,$B40,'Per Line'!$AL$2:$AL$4001,0,'Per Line'!$AM$2:$AM$4001,0))</f>
        <v/>
      </c>
      <c r="T40" s="7">
        <f>IF($AB40="","",S40*R40)</f>
        <v/>
      </c>
      <c r="U40">
        <f>IF($AB40="","",Settings!$C$6)</f>
        <v/>
      </c>
      <c r="V40" s="7">
        <f>IF($AB40="","",SUMIFS('Per Line'!$U$2:$U$4001,'Per Line'!$C$2:$C$4001,$B40,'Per Line'!$AL$2:$AL$4001,1,'Per Line'!$AM$2:$AM$4001,0))</f>
        <v/>
      </c>
      <c r="W40" s="7">
        <f>IF($AB40="","",V40*U40)</f>
        <v/>
      </c>
      <c r="X40" s="7">
        <f>IF($AB40="","",W40+T40)</f>
        <v/>
      </c>
      <c r="Y40" s="7">
        <f>IF($AB40="","",Z40-X40)</f>
        <v/>
      </c>
      <c r="Z40" s="7">
        <f>IF($AB40="","",S40+V40+Q40)</f>
        <v/>
      </c>
      <c r="AA40" s="7">
        <f>IF($AB40="","",Z40-X40-M40)</f>
        <v/>
      </c>
      <c r="AB40" s="13">
        <f>IF(ROWS($AB$2:$AB40)&lt;=MAX('Per Line'!$AK$2:$AK$4001),MATCH(ROWS($AB$2:$AB40),'Per Line'!$AK$2:$AK$4001,0),"")</f>
        <v/>
      </c>
      <c r="AC40" s="14">
        <f>IF($AB40="","",M40-L40*Z40/100)</f>
        <v/>
      </c>
    </row>
    <row r="41">
      <c r="A41" s="12" t="n"/>
      <c r="B41">
        <f>IF($AB41="","",INDEX('Per Line'!$C$2:$C$4001,$AB41)&amp;"")</f>
        <v/>
      </c>
      <c r="C41">
        <f>IF($AB41="","",INDEX('Per Line'!$D$2:$D$4001,$AB41)&amp;"")</f>
        <v/>
      </c>
      <c r="D41">
        <f>IF($AB41="","",INDEX('Per Line'!$B$2:$B$4001,$AB41)&amp;"")</f>
        <v/>
      </c>
      <c r="E41">
        <f>IF($AB41="","",INDEX('Per Line'!$A$2:$A$4001,$AB41))</f>
        <v/>
      </c>
      <c r="F41" s="11">
        <f>IF($AB41="","",INDEX('Per Line'!$E$2:$E$4001,$AB41))</f>
        <v/>
      </c>
      <c r="G41">
        <f>IF($AB41="","",INDEX('Per Line'!$F$2:$F$4001,$AB41)&amp;"")</f>
        <v/>
      </c>
      <c r="H41">
        <f>IF($AB41="","",INDEX('Per Line'!$H$2:$H$4001,$AB41)&amp;"")</f>
        <v/>
      </c>
      <c r="I41">
        <f>IF($AB41="","",INDEX('Per Line'!$I$2:$I$4001,$AB41)&amp;"")</f>
        <v/>
      </c>
      <c r="J41">
        <f>IF($AB41="","",INDEX('Per Line'!$J$2:$J$4001,$AB41)&amp;"")</f>
        <v/>
      </c>
      <c r="K41">
        <f>IF($AB41="","",INDEX('Per Line'!$K$2:$K$4001,$AB41)&amp;"")</f>
        <v/>
      </c>
      <c r="L41">
        <f>IF($AB41="","",INDEX('Per Line'!$L$2:$L$4001,$AB41))</f>
        <v/>
      </c>
      <c r="M41" s="7">
        <f>IF($AB41="","",IF(AND(ISNUMBER(O41),O41&gt;0,Z41&gt;O41),L41*O41/100+(Z41-O41),L41*Z41/100))</f>
        <v/>
      </c>
      <c r="N41">
        <f>IF($AB41="","",INDEX('Per Line'!$V$2:$V$4001,$AB41)&amp;"")</f>
        <v/>
      </c>
      <c r="O41">
        <f>IF($AB41="","",INDEX('Per Line'!$Z$2:$Z$4001,$AB41))</f>
        <v/>
      </c>
      <c r="P41">
        <f>IF($AB41="","",IF(AND(ISNUMBER(O41),O41&gt;0),Z41&gt;O41,FALSE))</f>
        <v/>
      </c>
      <c r="Q41" s="7">
        <f>IF($AB41="","",SUMIFS('Per Line'!$U$2:$U$4001,'Per Line'!$C$2:$C$4001,$B41,'Per Line'!$AM$2:$AM$4001,1))</f>
        <v/>
      </c>
      <c r="R41">
        <f>IF($AB41="","",Settings!$C$7)</f>
        <v/>
      </c>
      <c r="S41" s="7">
        <f>IF($AB41="","",SUMIFS('Per Line'!$U$2:$U$4001,'Per Line'!$C$2:$C$4001,$B41,'Per Line'!$AL$2:$AL$4001,0,'Per Line'!$AM$2:$AM$4001,0))</f>
        <v/>
      </c>
      <c r="T41" s="7">
        <f>IF($AB41="","",S41*R41)</f>
        <v/>
      </c>
      <c r="U41">
        <f>IF($AB41="","",Settings!$C$6)</f>
        <v/>
      </c>
      <c r="V41" s="7">
        <f>IF($AB41="","",SUMIFS('Per Line'!$U$2:$U$4001,'Per Line'!$C$2:$C$4001,$B41,'Per Line'!$AL$2:$AL$4001,1,'Per Line'!$AM$2:$AM$4001,0))</f>
        <v/>
      </c>
      <c r="W41" s="7">
        <f>IF($AB41="","",V41*U41)</f>
        <v/>
      </c>
      <c r="X41" s="7">
        <f>IF($AB41="","",W41+T41)</f>
        <v/>
      </c>
      <c r="Y41" s="7">
        <f>IF($AB41="","",Z41-X41)</f>
        <v/>
      </c>
      <c r="Z41" s="7">
        <f>IF($AB41="","",S41+V41+Q41)</f>
        <v/>
      </c>
      <c r="AA41" s="7">
        <f>IF($AB41="","",Z41-X41-M41)</f>
        <v/>
      </c>
      <c r="AB41" s="13">
        <f>IF(ROWS($AB$2:$AB41)&lt;=MAX('Per Line'!$AK$2:$AK$4001),MATCH(ROWS($AB$2:$AB41),'Per Line'!$AK$2:$AK$4001,0),"")</f>
        <v/>
      </c>
      <c r="AC41" s="14">
        <f>IF($AB41="","",M41-L41*Z41/100)</f>
        <v/>
      </c>
    </row>
    <row r="42">
      <c r="A42" s="12" t="n"/>
      <c r="B42">
        <f>IF($AB42="","",INDEX('Per Line'!$C$2:$C$4001,$AB42)&amp;"")</f>
        <v/>
      </c>
      <c r="C42">
        <f>IF($AB42="","",INDEX('Per Line'!$D$2:$D$4001,$AB42)&amp;"")</f>
        <v/>
      </c>
      <c r="D42">
        <f>IF($AB42="","",INDEX('Per Line'!$B$2:$B$4001,$AB42)&amp;"")</f>
        <v/>
      </c>
      <c r="E42">
        <f>IF($AB42="","",INDEX('Per Line'!$A$2:$A$4001,$AB42))</f>
        <v/>
      </c>
      <c r="F42" s="11">
        <f>IF($AB42="","",INDEX('Per Line'!$E$2:$E$4001,$AB42))</f>
        <v/>
      </c>
      <c r="G42">
        <f>IF($AB42="","",INDEX('Per Line'!$F$2:$F$4001,$AB42)&amp;"")</f>
        <v/>
      </c>
      <c r="H42">
        <f>IF($AB42="","",INDEX('Per Line'!$H$2:$H$4001,$AB42)&amp;"")</f>
        <v/>
      </c>
      <c r="I42">
        <f>IF($AB42="","",INDEX('Per Line'!$I$2:$I$4001,$AB42)&amp;"")</f>
        <v/>
      </c>
      <c r="J42">
        <f>IF($AB42="","",INDEX('Per Line'!$J$2:$J$4001,$AB42)&amp;"")</f>
        <v/>
      </c>
      <c r="K42">
        <f>IF($AB42="","",INDEX('Per Line'!$K$2:$K$4001,$AB42)&amp;"")</f>
        <v/>
      </c>
      <c r="L42">
        <f>IF($AB42="","",INDEX('Per Line'!$L$2:$L$4001,$AB42))</f>
        <v/>
      </c>
      <c r="M42" s="7">
        <f>IF($AB42="","",IF(AND(ISNUMBER(O42),O42&gt;0,Z42&gt;O42),L42*O42/100+(Z42-O42),L42*Z42/100))</f>
        <v/>
      </c>
      <c r="N42">
        <f>IF($AB42="","",INDEX('Per Line'!$V$2:$V$4001,$AB42)&amp;"")</f>
        <v/>
      </c>
      <c r="O42">
        <f>IF($AB42="","",INDEX('Per Line'!$Z$2:$Z$4001,$AB42))</f>
        <v/>
      </c>
      <c r="P42">
        <f>IF($AB42="","",IF(AND(ISNUMBER(O42),O42&gt;0),Z42&gt;O42,FALSE))</f>
        <v/>
      </c>
      <c r="Q42" s="7">
        <f>IF($AB42="","",SUMIFS('Per Line'!$U$2:$U$4001,'Per Line'!$C$2:$C$4001,$B42,'Per Line'!$AM$2:$AM$4001,1))</f>
        <v/>
      </c>
      <c r="R42">
        <f>IF($AB42="","",Settings!$C$7)</f>
        <v/>
      </c>
      <c r="S42" s="7">
        <f>IF($AB42="","",SUMIFS('Per Line'!$U$2:$U$4001,'Per Line'!$C$2:$C$4001,$B42,'Per Line'!$AL$2:$AL$4001,0,'Per Line'!$AM$2:$AM$4001,0))</f>
        <v/>
      </c>
      <c r="T42" s="7">
        <f>IF($AB42="","",S42*R42)</f>
        <v/>
      </c>
      <c r="U42">
        <f>IF($AB42="","",Settings!$C$6)</f>
        <v/>
      </c>
      <c r="V42" s="7">
        <f>IF($AB42="","",SUMIFS('Per Line'!$U$2:$U$4001,'Per Line'!$C$2:$C$4001,$B42,'Per Line'!$AL$2:$AL$4001,1,'Per Line'!$AM$2:$AM$4001,0))</f>
        <v/>
      </c>
      <c r="W42" s="7">
        <f>IF($AB42="","",V42*U42)</f>
        <v/>
      </c>
      <c r="X42" s="7">
        <f>IF($AB42="","",W42+T42)</f>
        <v/>
      </c>
      <c r="Y42" s="7">
        <f>IF($AB42="","",Z42-X42)</f>
        <v/>
      </c>
      <c r="Z42" s="7">
        <f>IF($AB42="","",S42+V42+Q42)</f>
        <v/>
      </c>
      <c r="AA42" s="7">
        <f>IF($AB42="","",Z42-X42-M42)</f>
        <v/>
      </c>
      <c r="AB42" s="13">
        <f>IF(ROWS($AB$2:$AB42)&lt;=MAX('Per Line'!$AK$2:$AK$4001),MATCH(ROWS($AB$2:$AB42),'Per Line'!$AK$2:$AK$4001,0),"")</f>
        <v/>
      </c>
      <c r="AC42" s="14">
        <f>IF($AB42="","",M42-L42*Z42/100)</f>
        <v/>
      </c>
    </row>
    <row r="43">
      <c r="A43" s="12" t="n"/>
      <c r="B43">
        <f>IF($AB43="","",INDEX('Per Line'!$C$2:$C$4001,$AB43)&amp;"")</f>
        <v/>
      </c>
      <c r="C43">
        <f>IF($AB43="","",INDEX('Per Line'!$D$2:$D$4001,$AB43)&amp;"")</f>
        <v/>
      </c>
      <c r="D43">
        <f>IF($AB43="","",INDEX('Per Line'!$B$2:$B$4001,$AB43)&amp;"")</f>
        <v/>
      </c>
      <c r="E43">
        <f>IF($AB43="","",INDEX('Per Line'!$A$2:$A$4001,$AB43))</f>
        <v/>
      </c>
      <c r="F43" s="11">
        <f>IF($AB43="","",INDEX('Per Line'!$E$2:$E$4001,$AB43))</f>
        <v/>
      </c>
      <c r="G43">
        <f>IF($AB43="","",INDEX('Per Line'!$F$2:$F$4001,$AB43)&amp;"")</f>
        <v/>
      </c>
      <c r="H43">
        <f>IF($AB43="","",INDEX('Per Line'!$H$2:$H$4001,$AB43)&amp;"")</f>
        <v/>
      </c>
      <c r="I43">
        <f>IF($AB43="","",INDEX('Per Line'!$I$2:$I$4001,$AB43)&amp;"")</f>
        <v/>
      </c>
      <c r="J43">
        <f>IF($AB43="","",INDEX('Per Line'!$J$2:$J$4001,$AB43)&amp;"")</f>
        <v/>
      </c>
      <c r="K43">
        <f>IF($AB43="","",INDEX('Per Line'!$K$2:$K$4001,$AB43)&amp;"")</f>
        <v/>
      </c>
      <c r="L43">
        <f>IF($AB43="","",INDEX('Per Line'!$L$2:$L$4001,$AB43))</f>
        <v/>
      </c>
      <c r="M43" s="7">
        <f>IF($AB43="","",IF(AND(ISNUMBER(O43),O43&gt;0,Z43&gt;O43),L43*O43/100+(Z43-O43),L43*Z43/100))</f>
        <v/>
      </c>
      <c r="N43">
        <f>IF($AB43="","",INDEX('Per Line'!$V$2:$V$4001,$AB43)&amp;"")</f>
        <v/>
      </c>
      <c r="O43">
        <f>IF($AB43="","",INDEX('Per Line'!$Z$2:$Z$4001,$AB43))</f>
        <v/>
      </c>
      <c r="P43">
        <f>IF($AB43="","",IF(AND(ISNUMBER(O43),O43&gt;0),Z43&gt;O43,FALSE))</f>
        <v/>
      </c>
      <c r="Q43" s="7">
        <f>IF($AB43="","",SUMIFS('Per Line'!$U$2:$U$4001,'Per Line'!$C$2:$C$4001,$B43,'Per Line'!$AM$2:$AM$4001,1))</f>
        <v/>
      </c>
      <c r="R43">
        <f>IF($AB43="","",Settings!$C$7)</f>
        <v/>
      </c>
      <c r="S43" s="7">
        <f>IF($AB43="","",SUMIFS('Per Line'!$U$2:$U$4001,'Per Line'!$C$2:$C$4001,$B43,'Per Line'!$AL$2:$AL$4001,0,'Per Line'!$AM$2:$AM$4001,0))</f>
        <v/>
      </c>
      <c r="T43" s="7">
        <f>IF($AB43="","",S43*R43)</f>
        <v/>
      </c>
      <c r="U43">
        <f>IF($AB43="","",Settings!$C$6)</f>
        <v/>
      </c>
      <c r="V43" s="7">
        <f>IF($AB43="","",SUMIFS('Per Line'!$U$2:$U$4001,'Per Line'!$C$2:$C$4001,$B43,'Per Line'!$AL$2:$AL$4001,1,'Per Line'!$AM$2:$AM$4001,0))</f>
        <v/>
      </c>
      <c r="W43" s="7">
        <f>IF($AB43="","",V43*U43)</f>
        <v/>
      </c>
      <c r="X43" s="7">
        <f>IF($AB43="","",W43+T43)</f>
        <v/>
      </c>
      <c r="Y43" s="7">
        <f>IF($AB43="","",Z43-X43)</f>
        <v/>
      </c>
      <c r="Z43" s="7">
        <f>IF($AB43="","",S43+V43+Q43)</f>
        <v/>
      </c>
      <c r="AA43" s="7">
        <f>IF($AB43="","",Z43-X43-M43)</f>
        <v/>
      </c>
      <c r="AB43" s="13">
        <f>IF(ROWS($AB$2:$AB43)&lt;=MAX('Per Line'!$AK$2:$AK$4001),MATCH(ROWS($AB$2:$AB43),'Per Line'!$AK$2:$AK$4001,0),"")</f>
        <v/>
      </c>
      <c r="AC43" s="14">
        <f>IF($AB43="","",M43-L43*Z43/100)</f>
        <v/>
      </c>
    </row>
    <row r="44">
      <c r="A44" s="12" t="n"/>
      <c r="B44">
        <f>IF($AB44="","",INDEX('Per Line'!$C$2:$C$4001,$AB44)&amp;"")</f>
        <v/>
      </c>
      <c r="C44">
        <f>IF($AB44="","",INDEX('Per Line'!$D$2:$D$4001,$AB44)&amp;"")</f>
        <v/>
      </c>
      <c r="D44">
        <f>IF($AB44="","",INDEX('Per Line'!$B$2:$B$4001,$AB44)&amp;"")</f>
        <v/>
      </c>
      <c r="E44">
        <f>IF($AB44="","",INDEX('Per Line'!$A$2:$A$4001,$AB44))</f>
        <v/>
      </c>
      <c r="F44" s="11">
        <f>IF($AB44="","",INDEX('Per Line'!$E$2:$E$4001,$AB44))</f>
        <v/>
      </c>
      <c r="G44">
        <f>IF($AB44="","",INDEX('Per Line'!$F$2:$F$4001,$AB44)&amp;"")</f>
        <v/>
      </c>
      <c r="H44">
        <f>IF($AB44="","",INDEX('Per Line'!$H$2:$H$4001,$AB44)&amp;"")</f>
        <v/>
      </c>
      <c r="I44">
        <f>IF($AB44="","",INDEX('Per Line'!$I$2:$I$4001,$AB44)&amp;"")</f>
        <v/>
      </c>
      <c r="J44">
        <f>IF($AB44="","",INDEX('Per Line'!$J$2:$J$4001,$AB44)&amp;"")</f>
        <v/>
      </c>
      <c r="K44">
        <f>IF($AB44="","",INDEX('Per Line'!$K$2:$K$4001,$AB44)&amp;"")</f>
        <v/>
      </c>
      <c r="L44">
        <f>IF($AB44="","",INDEX('Per Line'!$L$2:$L$4001,$AB44))</f>
        <v/>
      </c>
      <c r="M44" s="7">
        <f>IF($AB44="","",IF(AND(ISNUMBER(O44),O44&gt;0,Z44&gt;O44),L44*O44/100+(Z44-O44),L44*Z44/100))</f>
        <v/>
      </c>
      <c r="N44">
        <f>IF($AB44="","",INDEX('Per Line'!$V$2:$V$4001,$AB44)&amp;"")</f>
        <v/>
      </c>
      <c r="O44">
        <f>IF($AB44="","",INDEX('Per Line'!$Z$2:$Z$4001,$AB44))</f>
        <v/>
      </c>
      <c r="P44">
        <f>IF($AB44="","",IF(AND(ISNUMBER(O44),O44&gt;0),Z44&gt;O44,FALSE))</f>
        <v/>
      </c>
      <c r="Q44" s="7">
        <f>IF($AB44="","",SUMIFS('Per Line'!$U$2:$U$4001,'Per Line'!$C$2:$C$4001,$B44,'Per Line'!$AM$2:$AM$4001,1))</f>
        <v/>
      </c>
      <c r="R44">
        <f>IF($AB44="","",Settings!$C$7)</f>
        <v/>
      </c>
      <c r="S44" s="7">
        <f>IF($AB44="","",SUMIFS('Per Line'!$U$2:$U$4001,'Per Line'!$C$2:$C$4001,$B44,'Per Line'!$AL$2:$AL$4001,0,'Per Line'!$AM$2:$AM$4001,0))</f>
        <v/>
      </c>
      <c r="T44" s="7">
        <f>IF($AB44="","",S44*R44)</f>
        <v/>
      </c>
      <c r="U44">
        <f>IF($AB44="","",Settings!$C$6)</f>
        <v/>
      </c>
      <c r="V44" s="7">
        <f>IF($AB44="","",SUMIFS('Per Line'!$U$2:$U$4001,'Per Line'!$C$2:$C$4001,$B44,'Per Line'!$AL$2:$AL$4001,1,'Per Line'!$AM$2:$AM$4001,0))</f>
        <v/>
      </c>
      <c r="W44" s="7">
        <f>IF($AB44="","",V44*U44)</f>
        <v/>
      </c>
      <c r="X44" s="7">
        <f>IF($AB44="","",W44+T44)</f>
        <v/>
      </c>
      <c r="Y44" s="7">
        <f>IF($AB44="","",Z44-X44)</f>
        <v/>
      </c>
      <c r="Z44" s="7">
        <f>IF($AB44="","",S44+V44+Q44)</f>
        <v/>
      </c>
      <c r="AA44" s="7">
        <f>IF($AB44="","",Z44-X44-M44)</f>
        <v/>
      </c>
      <c r="AB44" s="13">
        <f>IF(ROWS($AB$2:$AB44)&lt;=MAX('Per Line'!$AK$2:$AK$4001),MATCH(ROWS($AB$2:$AB44),'Per Line'!$AK$2:$AK$4001,0),"")</f>
        <v/>
      </c>
      <c r="AC44" s="14">
        <f>IF($AB44="","",M44-L44*Z44/100)</f>
        <v/>
      </c>
    </row>
    <row r="45">
      <c r="A45" s="12" t="n"/>
      <c r="B45">
        <f>IF($AB45="","",INDEX('Per Line'!$C$2:$C$4001,$AB45)&amp;"")</f>
        <v/>
      </c>
      <c r="C45">
        <f>IF($AB45="","",INDEX('Per Line'!$D$2:$D$4001,$AB45)&amp;"")</f>
        <v/>
      </c>
      <c r="D45">
        <f>IF($AB45="","",INDEX('Per Line'!$B$2:$B$4001,$AB45)&amp;"")</f>
        <v/>
      </c>
      <c r="E45">
        <f>IF($AB45="","",INDEX('Per Line'!$A$2:$A$4001,$AB45))</f>
        <v/>
      </c>
      <c r="F45" s="11">
        <f>IF($AB45="","",INDEX('Per Line'!$E$2:$E$4001,$AB45))</f>
        <v/>
      </c>
      <c r="G45">
        <f>IF($AB45="","",INDEX('Per Line'!$F$2:$F$4001,$AB45)&amp;"")</f>
        <v/>
      </c>
      <c r="H45">
        <f>IF($AB45="","",INDEX('Per Line'!$H$2:$H$4001,$AB45)&amp;"")</f>
        <v/>
      </c>
      <c r="I45">
        <f>IF($AB45="","",INDEX('Per Line'!$I$2:$I$4001,$AB45)&amp;"")</f>
        <v/>
      </c>
      <c r="J45">
        <f>IF($AB45="","",INDEX('Per Line'!$J$2:$J$4001,$AB45)&amp;"")</f>
        <v/>
      </c>
      <c r="K45">
        <f>IF($AB45="","",INDEX('Per Line'!$K$2:$K$4001,$AB45)&amp;"")</f>
        <v/>
      </c>
      <c r="L45">
        <f>IF($AB45="","",INDEX('Per Line'!$L$2:$L$4001,$AB45))</f>
        <v/>
      </c>
      <c r="M45" s="7">
        <f>IF($AB45="","",IF(AND(ISNUMBER(O45),O45&gt;0,Z45&gt;O45),L45*O45/100+(Z45-O45),L45*Z45/100))</f>
        <v/>
      </c>
      <c r="N45">
        <f>IF($AB45="","",INDEX('Per Line'!$V$2:$V$4001,$AB45)&amp;"")</f>
        <v/>
      </c>
      <c r="O45">
        <f>IF($AB45="","",INDEX('Per Line'!$Z$2:$Z$4001,$AB45))</f>
        <v/>
      </c>
      <c r="P45">
        <f>IF($AB45="","",IF(AND(ISNUMBER(O45),O45&gt;0),Z45&gt;O45,FALSE))</f>
        <v/>
      </c>
      <c r="Q45" s="7">
        <f>IF($AB45="","",SUMIFS('Per Line'!$U$2:$U$4001,'Per Line'!$C$2:$C$4001,$B45,'Per Line'!$AM$2:$AM$4001,1))</f>
        <v/>
      </c>
      <c r="R45">
        <f>IF($AB45="","",Settings!$C$7)</f>
        <v/>
      </c>
      <c r="S45" s="7">
        <f>IF($AB45="","",SUMIFS('Per Line'!$U$2:$U$4001,'Per Line'!$C$2:$C$4001,$B45,'Per Line'!$AL$2:$AL$4001,0,'Per Line'!$AM$2:$AM$4001,0))</f>
        <v/>
      </c>
      <c r="T45" s="7">
        <f>IF($AB45="","",S45*R45)</f>
        <v/>
      </c>
      <c r="U45">
        <f>IF($AB45="","",Settings!$C$6)</f>
        <v/>
      </c>
      <c r="V45" s="7">
        <f>IF($AB45="","",SUMIFS('Per Line'!$U$2:$U$4001,'Per Line'!$C$2:$C$4001,$B45,'Per Line'!$AL$2:$AL$4001,1,'Per Line'!$AM$2:$AM$4001,0))</f>
        <v/>
      </c>
      <c r="W45" s="7">
        <f>IF($AB45="","",V45*U45)</f>
        <v/>
      </c>
      <c r="X45" s="7">
        <f>IF($AB45="","",W45+T45)</f>
        <v/>
      </c>
      <c r="Y45" s="7">
        <f>IF($AB45="","",Z45-X45)</f>
        <v/>
      </c>
      <c r="Z45" s="7">
        <f>IF($AB45="","",S45+V45+Q45)</f>
        <v/>
      </c>
      <c r="AA45" s="7">
        <f>IF($AB45="","",Z45-X45-M45)</f>
        <v/>
      </c>
      <c r="AB45" s="13">
        <f>IF(ROWS($AB$2:$AB45)&lt;=MAX('Per Line'!$AK$2:$AK$4001),MATCH(ROWS($AB$2:$AB45),'Per Line'!$AK$2:$AK$4001,0),"")</f>
        <v/>
      </c>
      <c r="AC45" s="14">
        <f>IF($AB45="","",M45-L45*Z45/100)</f>
        <v/>
      </c>
    </row>
    <row r="46">
      <c r="A46" s="12" t="n"/>
      <c r="B46">
        <f>IF($AB46="","",INDEX('Per Line'!$C$2:$C$4001,$AB46)&amp;"")</f>
        <v/>
      </c>
      <c r="C46">
        <f>IF($AB46="","",INDEX('Per Line'!$D$2:$D$4001,$AB46)&amp;"")</f>
        <v/>
      </c>
      <c r="D46">
        <f>IF($AB46="","",INDEX('Per Line'!$B$2:$B$4001,$AB46)&amp;"")</f>
        <v/>
      </c>
      <c r="E46">
        <f>IF($AB46="","",INDEX('Per Line'!$A$2:$A$4001,$AB46))</f>
        <v/>
      </c>
      <c r="F46" s="11">
        <f>IF($AB46="","",INDEX('Per Line'!$E$2:$E$4001,$AB46))</f>
        <v/>
      </c>
      <c r="G46">
        <f>IF($AB46="","",INDEX('Per Line'!$F$2:$F$4001,$AB46)&amp;"")</f>
        <v/>
      </c>
      <c r="H46">
        <f>IF($AB46="","",INDEX('Per Line'!$H$2:$H$4001,$AB46)&amp;"")</f>
        <v/>
      </c>
      <c r="I46">
        <f>IF($AB46="","",INDEX('Per Line'!$I$2:$I$4001,$AB46)&amp;"")</f>
        <v/>
      </c>
      <c r="J46">
        <f>IF($AB46="","",INDEX('Per Line'!$J$2:$J$4001,$AB46)&amp;"")</f>
        <v/>
      </c>
      <c r="K46">
        <f>IF($AB46="","",INDEX('Per Line'!$K$2:$K$4001,$AB46)&amp;"")</f>
        <v/>
      </c>
      <c r="L46">
        <f>IF($AB46="","",INDEX('Per Line'!$L$2:$L$4001,$AB46))</f>
        <v/>
      </c>
      <c r="M46" s="7">
        <f>IF($AB46="","",IF(AND(ISNUMBER(O46),O46&gt;0,Z46&gt;O46),L46*O46/100+(Z46-O46),L46*Z46/100))</f>
        <v/>
      </c>
      <c r="N46">
        <f>IF($AB46="","",INDEX('Per Line'!$V$2:$V$4001,$AB46)&amp;"")</f>
        <v/>
      </c>
      <c r="O46">
        <f>IF($AB46="","",INDEX('Per Line'!$Z$2:$Z$4001,$AB46))</f>
        <v/>
      </c>
      <c r="P46">
        <f>IF($AB46="","",IF(AND(ISNUMBER(O46),O46&gt;0),Z46&gt;O46,FALSE))</f>
        <v/>
      </c>
      <c r="Q46" s="7">
        <f>IF($AB46="","",SUMIFS('Per Line'!$U$2:$U$4001,'Per Line'!$C$2:$C$4001,$B46,'Per Line'!$AM$2:$AM$4001,1))</f>
        <v/>
      </c>
      <c r="R46">
        <f>IF($AB46="","",Settings!$C$7)</f>
        <v/>
      </c>
      <c r="S46" s="7">
        <f>IF($AB46="","",SUMIFS('Per Line'!$U$2:$U$4001,'Per Line'!$C$2:$C$4001,$B46,'Per Line'!$AL$2:$AL$4001,0,'Per Line'!$AM$2:$AM$4001,0))</f>
        <v/>
      </c>
      <c r="T46" s="7">
        <f>IF($AB46="","",S46*R46)</f>
        <v/>
      </c>
      <c r="U46">
        <f>IF($AB46="","",Settings!$C$6)</f>
        <v/>
      </c>
      <c r="V46" s="7">
        <f>IF($AB46="","",SUMIFS('Per Line'!$U$2:$U$4001,'Per Line'!$C$2:$C$4001,$B46,'Per Line'!$AL$2:$AL$4001,1,'Per Line'!$AM$2:$AM$4001,0))</f>
        <v/>
      </c>
      <c r="W46" s="7">
        <f>IF($AB46="","",V46*U46)</f>
        <v/>
      </c>
      <c r="X46" s="7">
        <f>IF($AB46="","",W46+T46)</f>
        <v/>
      </c>
      <c r="Y46" s="7">
        <f>IF($AB46="","",Z46-X46)</f>
        <v/>
      </c>
      <c r="Z46" s="7">
        <f>IF($AB46="","",S46+V46+Q46)</f>
        <v/>
      </c>
      <c r="AA46" s="7">
        <f>IF($AB46="","",Z46-X46-M46)</f>
        <v/>
      </c>
      <c r="AB46" s="13">
        <f>IF(ROWS($AB$2:$AB46)&lt;=MAX('Per Line'!$AK$2:$AK$4001),MATCH(ROWS($AB$2:$AB46),'Per Line'!$AK$2:$AK$4001,0),"")</f>
        <v/>
      </c>
      <c r="AC46" s="14">
        <f>IF($AB46="","",M46-L46*Z46/100)</f>
        <v/>
      </c>
    </row>
    <row r="47">
      <c r="A47" s="12" t="n"/>
      <c r="B47">
        <f>IF($AB47="","",INDEX('Per Line'!$C$2:$C$4001,$AB47)&amp;"")</f>
        <v/>
      </c>
      <c r="C47">
        <f>IF($AB47="","",INDEX('Per Line'!$D$2:$D$4001,$AB47)&amp;"")</f>
        <v/>
      </c>
      <c r="D47">
        <f>IF($AB47="","",INDEX('Per Line'!$B$2:$B$4001,$AB47)&amp;"")</f>
        <v/>
      </c>
      <c r="E47">
        <f>IF($AB47="","",INDEX('Per Line'!$A$2:$A$4001,$AB47))</f>
        <v/>
      </c>
      <c r="F47" s="11">
        <f>IF($AB47="","",INDEX('Per Line'!$E$2:$E$4001,$AB47))</f>
        <v/>
      </c>
      <c r="G47">
        <f>IF($AB47="","",INDEX('Per Line'!$F$2:$F$4001,$AB47)&amp;"")</f>
        <v/>
      </c>
      <c r="H47">
        <f>IF($AB47="","",INDEX('Per Line'!$H$2:$H$4001,$AB47)&amp;"")</f>
        <v/>
      </c>
      <c r="I47">
        <f>IF($AB47="","",INDEX('Per Line'!$I$2:$I$4001,$AB47)&amp;"")</f>
        <v/>
      </c>
      <c r="J47">
        <f>IF($AB47="","",INDEX('Per Line'!$J$2:$J$4001,$AB47)&amp;"")</f>
        <v/>
      </c>
      <c r="K47">
        <f>IF($AB47="","",INDEX('Per Line'!$K$2:$K$4001,$AB47)&amp;"")</f>
        <v/>
      </c>
      <c r="L47">
        <f>IF($AB47="","",INDEX('Per Line'!$L$2:$L$4001,$AB47))</f>
        <v/>
      </c>
      <c r="M47" s="7">
        <f>IF($AB47="","",IF(AND(ISNUMBER(O47),O47&gt;0,Z47&gt;O47),L47*O47/100+(Z47-O47),L47*Z47/100))</f>
        <v/>
      </c>
      <c r="N47">
        <f>IF($AB47="","",INDEX('Per Line'!$V$2:$V$4001,$AB47)&amp;"")</f>
        <v/>
      </c>
      <c r="O47">
        <f>IF($AB47="","",INDEX('Per Line'!$Z$2:$Z$4001,$AB47))</f>
        <v/>
      </c>
      <c r="P47">
        <f>IF($AB47="","",IF(AND(ISNUMBER(O47),O47&gt;0),Z47&gt;O47,FALSE))</f>
        <v/>
      </c>
      <c r="Q47" s="7">
        <f>IF($AB47="","",SUMIFS('Per Line'!$U$2:$U$4001,'Per Line'!$C$2:$C$4001,$B47,'Per Line'!$AM$2:$AM$4001,1))</f>
        <v/>
      </c>
      <c r="R47">
        <f>IF($AB47="","",Settings!$C$7)</f>
        <v/>
      </c>
      <c r="S47" s="7">
        <f>IF($AB47="","",SUMIFS('Per Line'!$U$2:$U$4001,'Per Line'!$C$2:$C$4001,$B47,'Per Line'!$AL$2:$AL$4001,0,'Per Line'!$AM$2:$AM$4001,0))</f>
        <v/>
      </c>
      <c r="T47" s="7">
        <f>IF($AB47="","",S47*R47)</f>
        <v/>
      </c>
      <c r="U47">
        <f>IF($AB47="","",Settings!$C$6)</f>
        <v/>
      </c>
      <c r="V47" s="7">
        <f>IF($AB47="","",SUMIFS('Per Line'!$U$2:$U$4001,'Per Line'!$C$2:$C$4001,$B47,'Per Line'!$AL$2:$AL$4001,1,'Per Line'!$AM$2:$AM$4001,0))</f>
        <v/>
      </c>
      <c r="W47" s="7">
        <f>IF($AB47="","",V47*U47)</f>
        <v/>
      </c>
      <c r="X47" s="7">
        <f>IF($AB47="","",W47+T47)</f>
        <v/>
      </c>
      <c r="Y47" s="7">
        <f>IF($AB47="","",Z47-X47)</f>
        <v/>
      </c>
      <c r="Z47" s="7">
        <f>IF($AB47="","",S47+V47+Q47)</f>
        <v/>
      </c>
      <c r="AA47" s="7">
        <f>IF($AB47="","",Z47-X47-M47)</f>
        <v/>
      </c>
      <c r="AB47" s="13">
        <f>IF(ROWS($AB$2:$AB47)&lt;=MAX('Per Line'!$AK$2:$AK$4001),MATCH(ROWS($AB$2:$AB47),'Per Line'!$AK$2:$AK$4001,0),"")</f>
        <v/>
      </c>
      <c r="AC47" s="14">
        <f>IF($AB47="","",M47-L47*Z47/100)</f>
        <v/>
      </c>
    </row>
    <row r="48">
      <c r="A48" s="12" t="n"/>
      <c r="B48">
        <f>IF($AB48="","",INDEX('Per Line'!$C$2:$C$4001,$AB48)&amp;"")</f>
        <v/>
      </c>
      <c r="C48">
        <f>IF($AB48="","",INDEX('Per Line'!$D$2:$D$4001,$AB48)&amp;"")</f>
        <v/>
      </c>
      <c r="D48">
        <f>IF($AB48="","",INDEX('Per Line'!$B$2:$B$4001,$AB48)&amp;"")</f>
        <v/>
      </c>
      <c r="E48">
        <f>IF($AB48="","",INDEX('Per Line'!$A$2:$A$4001,$AB48))</f>
        <v/>
      </c>
      <c r="F48" s="11">
        <f>IF($AB48="","",INDEX('Per Line'!$E$2:$E$4001,$AB48))</f>
        <v/>
      </c>
      <c r="G48">
        <f>IF($AB48="","",INDEX('Per Line'!$F$2:$F$4001,$AB48)&amp;"")</f>
        <v/>
      </c>
      <c r="H48">
        <f>IF($AB48="","",INDEX('Per Line'!$H$2:$H$4001,$AB48)&amp;"")</f>
        <v/>
      </c>
      <c r="I48">
        <f>IF($AB48="","",INDEX('Per Line'!$I$2:$I$4001,$AB48)&amp;"")</f>
        <v/>
      </c>
      <c r="J48">
        <f>IF($AB48="","",INDEX('Per Line'!$J$2:$J$4001,$AB48)&amp;"")</f>
        <v/>
      </c>
      <c r="K48">
        <f>IF($AB48="","",INDEX('Per Line'!$K$2:$K$4001,$AB48)&amp;"")</f>
        <v/>
      </c>
      <c r="L48">
        <f>IF($AB48="","",INDEX('Per Line'!$L$2:$L$4001,$AB48))</f>
        <v/>
      </c>
      <c r="M48" s="7">
        <f>IF($AB48="","",IF(AND(ISNUMBER(O48),O48&gt;0,Z48&gt;O48),L48*O48/100+(Z48-O48),L48*Z48/100))</f>
        <v/>
      </c>
      <c r="N48">
        <f>IF($AB48="","",INDEX('Per Line'!$V$2:$V$4001,$AB48)&amp;"")</f>
        <v/>
      </c>
      <c r="O48">
        <f>IF($AB48="","",INDEX('Per Line'!$Z$2:$Z$4001,$AB48))</f>
        <v/>
      </c>
      <c r="P48">
        <f>IF($AB48="","",IF(AND(ISNUMBER(O48),O48&gt;0),Z48&gt;O48,FALSE))</f>
        <v/>
      </c>
      <c r="Q48" s="7">
        <f>IF($AB48="","",SUMIFS('Per Line'!$U$2:$U$4001,'Per Line'!$C$2:$C$4001,$B48,'Per Line'!$AM$2:$AM$4001,1))</f>
        <v/>
      </c>
      <c r="R48">
        <f>IF($AB48="","",Settings!$C$7)</f>
        <v/>
      </c>
      <c r="S48" s="7">
        <f>IF($AB48="","",SUMIFS('Per Line'!$U$2:$U$4001,'Per Line'!$C$2:$C$4001,$B48,'Per Line'!$AL$2:$AL$4001,0,'Per Line'!$AM$2:$AM$4001,0))</f>
        <v/>
      </c>
      <c r="T48" s="7">
        <f>IF($AB48="","",S48*R48)</f>
        <v/>
      </c>
      <c r="U48">
        <f>IF($AB48="","",Settings!$C$6)</f>
        <v/>
      </c>
      <c r="V48" s="7">
        <f>IF($AB48="","",SUMIFS('Per Line'!$U$2:$U$4001,'Per Line'!$C$2:$C$4001,$B48,'Per Line'!$AL$2:$AL$4001,1,'Per Line'!$AM$2:$AM$4001,0))</f>
        <v/>
      </c>
      <c r="W48" s="7">
        <f>IF($AB48="","",V48*U48)</f>
        <v/>
      </c>
      <c r="X48" s="7">
        <f>IF($AB48="","",W48+T48)</f>
        <v/>
      </c>
      <c r="Y48" s="7">
        <f>IF($AB48="","",Z48-X48)</f>
        <v/>
      </c>
      <c r="Z48" s="7">
        <f>IF($AB48="","",S48+V48+Q48)</f>
        <v/>
      </c>
      <c r="AA48" s="7">
        <f>IF($AB48="","",Z48-X48-M48)</f>
        <v/>
      </c>
      <c r="AB48" s="13">
        <f>IF(ROWS($AB$2:$AB48)&lt;=MAX('Per Line'!$AK$2:$AK$4001),MATCH(ROWS($AB$2:$AB48),'Per Line'!$AK$2:$AK$4001,0),"")</f>
        <v/>
      </c>
      <c r="AC48" s="14">
        <f>IF($AB48="","",M48-L48*Z48/100)</f>
        <v/>
      </c>
    </row>
    <row r="49">
      <c r="A49" s="12" t="n"/>
      <c r="B49">
        <f>IF($AB49="","",INDEX('Per Line'!$C$2:$C$4001,$AB49)&amp;"")</f>
        <v/>
      </c>
      <c r="C49">
        <f>IF($AB49="","",INDEX('Per Line'!$D$2:$D$4001,$AB49)&amp;"")</f>
        <v/>
      </c>
      <c r="D49">
        <f>IF($AB49="","",INDEX('Per Line'!$B$2:$B$4001,$AB49)&amp;"")</f>
        <v/>
      </c>
      <c r="E49">
        <f>IF($AB49="","",INDEX('Per Line'!$A$2:$A$4001,$AB49))</f>
        <v/>
      </c>
      <c r="F49" s="11">
        <f>IF($AB49="","",INDEX('Per Line'!$E$2:$E$4001,$AB49))</f>
        <v/>
      </c>
      <c r="G49">
        <f>IF($AB49="","",INDEX('Per Line'!$F$2:$F$4001,$AB49)&amp;"")</f>
        <v/>
      </c>
      <c r="H49">
        <f>IF($AB49="","",INDEX('Per Line'!$H$2:$H$4001,$AB49)&amp;"")</f>
        <v/>
      </c>
      <c r="I49">
        <f>IF($AB49="","",INDEX('Per Line'!$I$2:$I$4001,$AB49)&amp;"")</f>
        <v/>
      </c>
      <c r="J49">
        <f>IF($AB49="","",INDEX('Per Line'!$J$2:$J$4001,$AB49)&amp;"")</f>
        <v/>
      </c>
      <c r="K49">
        <f>IF($AB49="","",INDEX('Per Line'!$K$2:$K$4001,$AB49)&amp;"")</f>
        <v/>
      </c>
      <c r="L49">
        <f>IF($AB49="","",INDEX('Per Line'!$L$2:$L$4001,$AB49))</f>
        <v/>
      </c>
      <c r="M49" s="7">
        <f>IF($AB49="","",IF(AND(ISNUMBER(O49),O49&gt;0,Z49&gt;O49),L49*O49/100+(Z49-O49),L49*Z49/100))</f>
        <v/>
      </c>
      <c r="N49">
        <f>IF($AB49="","",INDEX('Per Line'!$V$2:$V$4001,$AB49)&amp;"")</f>
        <v/>
      </c>
      <c r="O49">
        <f>IF($AB49="","",INDEX('Per Line'!$Z$2:$Z$4001,$AB49))</f>
        <v/>
      </c>
      <c r="P49">
        <f>IF($AB49="","",IF(AND(ISNUMBER(O49),O49&gt;0),Z49&gt;O49,FALSE))</f>
        <v/>
      </c>
      <c r="Q49" s="7">
        <f>IF($AB49="","",SUMIFS('Per Line'!$U$2:$U$4001,'Per Line'!$C$2:$C$4001,$B49,'Per Line'!$AM$2:$AM$4001,1))</f>
        <v/>
      </c>
      <c r="R49">
        <f>IF($AB49="","",Settings!$C$7)</f>
        <v/>
      </c>
      <c r="S49" s="7">
        <f>IF($AB49="","",SUMIFS('Per Line'!$U$2:$U$4001,'Per Line'!$C$2:$C$4001,$B49,'Per Line'!$AL$2:$AL$4001,0,'Per Line'!$AM$2:$AM$4001,0))</f>
        <v/>
      </c>
      <c r="T49" s="7">
        <f>IF($AB49="","",S49*R49)</f>
        <v/>
      </c>
      <c r="U49">
        <f>IF($AB49="","",Settings!$C$6)</f>
        <v/>
      </c>
      <c r="V49" s="7">
        <f>IF($AB49="","",SUMIFS('Per Line'!$U$2:$U$4001,'Per Line'!$C$2:$C$4001,$B49,'Per Line'!$AL$2:$AL$4001,1,'Per Line'!$AM$2:$AM$4001,0))</f>
        <v/>
      </c>
      <c r="W49" s="7">
        <f>IF($AB49="","",V49*U49)</f>
        <v/>
      </c>
      <c r="X49" s="7">
        <f>IF($AB49="","",W49+T49)</f>
        <v/>
      </c>
      <c r="Y49" s="7">
        <f>IF($AB49="","",Z49-X49)</f>
        <v/>
      </c>
      <c r="Z49" s="7">
        <f>IF($AB49="","",S49+V49+Q49)</f>
        <v/>
      </c>
      <c r="AA49" s="7">
        <f>IF($AB49="","",Z49-X49-M49)</f>
        <v/>
      </c>
      <c r="AB49" s="13">
        <f>IF(ROWS($AB$2:$AB49)&lt;=MAX('Per Line'!$AK$2:$AK$4001),MATCH(ROWS($AB$2:$AB49),'Per Line'!$AK$2:$AK$4001,0),"")</f>
        <v/>
      </c>
      <c r="AC49" s="14">
        <f>IF($AB49="","",M49-L49*Z49/100)</f>
        <v/>
      </c>
    </row>
    <row r="50">
      <c r="A50" s="12" t="n"/>
      <c r="B50">
        <f>IF($AB50="","",INDEX('Per Line'!$C$2:$C$4001,$AB50)&amp;"")</f>
        <v/>
      </c>
      <c r="C50">
        <f>IF($AB50="","",INDEX('Per Line'!$D$2:$D$4001,$AB50)&amp;"")</f>
        <v/>
      </c>
      <c r="D50">
        <f>IF($AB50="","",INDEX('Per Line'!$B$2:$B$4001,$AB50)&amp;"")</f>
        <v/>
      </c>
      <c r="E50">
        <f>IF($AB50="","",INDEX('Per Line'!$A$2:$A$4001,$AB50))</f>
        <v/>
      </c>
      <c r="F50" s="11">
        <f>IF($AB50="","",INDEX('Per Line'!$E$2:$E$4001,$AB50))</f>
        <v/>
      </c>
      <c r="G50">
        <f>IF($AB50="","",INDEX('Per Line'!$F$2:$F$4001,$AB50)&amp;"")</f>
        <v/>
      </c>
      <c r="H50">
        <f>IF($AB50="","",INDEX('Per Line'!$H$2:$H$4001,$AB50)&amp;"")</f>
        <v/>
      </c>
      <c r="I50">
        <f>IF($AB50="","",INDEX('Per Line'!$I$2:$I$4001,$AB50)&amp;"")</f>
        <v/>
      </c>
      <c r="J50">
        <f>IF($AB50="","",INDEX('Per Line'!$J$2:$J$4001,$AB50)&amp;"")</f>
        <v/>
      </c>
      <c r="K50">
        <f>IF($AB50="","",INDEX('Per Line'!$K$2:$K$4001,$AB50)&amp;"")</f>
        <v/>
      </c>
      <c r="L50">
        <f>IF($AB50="","",INDEX('Per Line'!$L$2:$L$4001,$AB50))</f>
        <v/>
      </c>
      <c r="M50" s="7">
        <f>IF($AB50="","",IF(AND(ISNUMBER(O50),O50&gt;0,Z50&gt;O50),L50*O50/100+(Z50-O50),L50*Z50/100))</f>
        <v/>
      </c>
      <c r="N50">
        <f>IF($AB50="","",INDEX('Per Line'!$V$2:$V$4001,$AB50)&amp;"")</f>
        <v/>
      </c>
      <c r="O50">
        <f>IF($AB50="","",INDEX('Per Line'!$Z$2:$Z$4001,$AB50))</f>
        <v/>
      </c>
      <c r="P50">
        <f>IF($AB50="","",IF(AND(ISNUMBER(O50),O50&gt;0),Z50&gt;O50,FALSE))</f>
        <v/>
      </c>
      <c r="Q50" s="7">
        <f>IF($AB50="","",SUMIFS('Per Line'!$U$2:$U$4001,'Per Line'!$C$2:$C$4001,$B50,'Per Line'!$AM$2:$AM$4001,1))</f>
        <v/>
      </c>
      <c r="R50">
        <f>IF($AB50="","",Settings!$C$7)</f>
        <v/>
      </c>
      <c r="S50" s="7">
        <f>IF($AB50="","",SUMIFS('Per Line'!$U$2:$U$4001,'Per Line'!$C$2:$C$4001,$B50,'Per Line'!$AL$2:$AL$4001,0,'Per Line'!$AM$2:$AM$4001,0))</f>
        <v/>
      </c>
      <c r="T50" s="7">
        <f>IF($AB50="","",S50*R50)</f>
        <v/>
      </c>
      <c r="U50">
        <f>IF($AB50="","",Settings!$C$6)</f>
        <v/>
      </c>
      <c r="V50" s="7">
        <f>IF($AB50="","",SUMIFS('Per Line'!$U$2:$U$4001,'Per Line'!$C$2:$C$4001,$B50,'Per Line'!$AL$2:$AL$4001,1,'Per Line'!$AM$2:$AM$4001,0))</f>
        <v/>
      </c>
      <c r="W50" s="7">
        <f>IF($AB50="","",V50*U50)</f>
        <v/>
      </c>
      <c r="X50" s="7">
        <f>IF($AB50="","",W50+T50)</f>
        <v/>
      </c>
      <c r="Y50" s="7">
        <f>IF($AB50="","",Z50-X50)</f>
        <v/>
      </c>
      <c r="Z50" s="7">
        <f>IF($AB50="","",S50+V50+Q50)</f>
        <v/>
      </c>
      <c r="AA50" s="7">
        <f>IF($AB50="","",Z50-X50-M50)</f>
        <v/>
      </c>
      <c r="AB50" s="13">
        <f>IF(ROWS($AB$2:$AB50)&lt;=MAX('Per Line'!$AK$2:$AK$4001),MATCH(ROWS($AB$2:$AB50),'Per Line'!$AK$2:$AK$4001,0),"")</f>
        <v/>
      </c>
      <c r="AC50" s="14">
        <f>IF($AB50="","",M50-L50*Z50/100)</f>
        <v/>
      </c>
    </row>
    <row r="51">
      <c r="A51" s="12" t="n"/>
      <c r="B51">
        <f>IF($AB51="","",INDEX('Per Line'!$C$2:$C$4001,$AB51)&amp;"")</f>
        <v/>
      </c>
      <c r="C51">
        <f>IF($AB51="","",INDEX('Per Line'!$D$2:$D$4001,$AB51)&amp;"")</f>
        <v/>
      </c>
      <c r="D51">
        <f>IF($AB51="","",INDEX('Per Line'!$B$2:$B$4001,$AB51)&amp;"")</f>
        <v/>
      </c>
      <c r="E51">
        <f>IF($AB51="","",INDEX('Per Line'!$A$2:$A$4001,$AB51))</f>
        <v/>
      </c>
      <c r="F51" s="11">
        <f>IF($AB51="","",INDEX('Per Line'!$E$2:$E$4001,$AB51))</f>
        <v/>
      </c>
      <c r="G51">
        <f>IF($AB51="","",INDEX('Per Line'!$F$2:$F$4001,$AB51)&amp;"")</f>
        <v/>
      </c>
      <c r="H51">
        <f>IF($AB51="","",INDEX('Per Line'!$H$2:$H$4001,$AB51)&amp;"")</f>
        <v/>
      </c>
      <c r="I51">
        <f>IF($AB51="","",INDEX('Per Line'!$I$2:$I$4001,$AB51)&amp;"")</f>
        <v/>
      </c>
      <c r="J51">
        <f>IF($AB51="","",INDEX('Per Line'!$J$2:$J$4001,$AB51)&amp;"")</f>
        <v/>
      </c>
      <c r="K51">
        <f>IF($AB51="","",INDEX('Per Line'!$K$2:$K$4001,$AB51)&amp;"")</f>
        <v/>
      </c>
      <c r="L51">
        <f>IF($AB51="","",INDEX('Per Line'!$L$2:$L$4001,$AB51))</f>
        <v/>
      </c>
      <c r="M51" s="7">
        <f>IF($AB51="","",IF(AND(ISNUMBER(O51),O51&gt;0,Z51&gt;O51),L51*O51/100+(Z51-O51),L51*Z51/100))</f>
        <v/>
      </c>
      <c r="N51">
        <f>IF($AB51="","",INDEX('Per Line'!$V$2:$V$4001,$AB51)&amp;"")</f>
        <v/>
      </c>
      <c r="O51">
        <f>IF($AB51="","",INDEX('Per Line'!$Z$2:$Z$4001,$AB51))</f>
        <v/>
      </c>
      <c r="P51">
        <f>IF($AB51="","",IF(AND(ISNUMBER(O51),O51&gt;0),Z51&gt;O51,FALSE))</f>
        <v/>
      </c>
      <c r="Q51" s="7">
        <f>IF($AB51="","",SUMIFS('Per Line'!$U$2:$U$4001,'Per Line'!$C$2:$C$4001,$B51,'Per Line'!$AM$2:$AM$4001,1))</f>
        <v/>
      </c>
      <c r="R51">
        <f>IF($AB51="","",Settings!$C$7)</f>
        <v/>
      </c>
      <c r="S51" s="7">
        <f>IF($AB51="","",SUMIFS('Per Line'!$U$2:$U$4001,'Per Line'!$C$2:$C$4001,$B51,'Per Line'!$AL$2:$AL$4001,0,'Per Line'!$AM$2:$AM$4001,0))</f>
        <v/>
      </c>
      <c r="T51" s="7">
        <f>IF($AB51="","",S51*R51)</f>
        <v/>
      </c>
      <c r="U51">
        <f>IF($AB51="","",Settings!$C$6)</f>
        <v/>
      </c>
      <c r="V51" s="7">
        <f>IF($AB51="","",SUMIFS('Per Line'!$U$2:$U$4001,'Per Line'!$C$2:$C$4001,$B51,'Per Line'!$AL$2:$AL$4001,1,'Per Line'!$AM$2:$AM$4001,0))</f>
        <v/>
      </c>
      <c r="W51" s="7">
        <f>IF($AB51="","",V51*U51)</f>
        <v/>
      </c>
      <c r="X51" s="7">
        <f>IF($AB51="","",W51+T51)</f>
        <v/>
      </c>
      <c r="Y51" s="7">
        <f>IF($AB51="","",Z51-X51)</f>
        <v/>
      </c>
      <c r="Z51" s="7">
        <f>IF($AB51="","",S51+V51+Q51)</f>
        <v/>
      </c>
      <c r="AA51" s="7">
        <f>IF($AB51="","",Z51-X51-M51)</f>
        <v/>
      </c>
      <c r="AB51" s="13">
        <f>IF(ROWS($AB$2:$AB51)&lt;=MAX('Per Line'!$AK$2:$AK$4001),MATCH(ROWS($AB$2:$AB51),'Per Line'!$AK$2:$AK$4001,0),"")</f>
        <v/>
      </c>
      <c r="AC51" s="14">
        <f>IF($AB51="","",M51-L51*Z51/100)</f>
        <v/>
      </c>
    </row>
    <row r="52">
      <c r="A52" s="12" t="n"/>
      <c r="B52">
        <f>IF($AB52="","",INDEX('Per Line'!$C$2:$C$4001,$AB52)&amp;"")</f>
        <v/>
      </c>
      <c r="C52">
        <f>IF($AB52="","",INDEX('Per Line'!$D$2:$D$4001,$AB52)&amp;"")</f>
        <v/>
      </c>
      <c r="D52">
        <f>IF($AB52="","",INDEX('Per Line'!$B$2:$B$4001,$AB52)&amp;"")</f>
        <v/>
      </c>
      <c r="E52">
        <f>IF($AB52="","",INDEX('Per Line'!$A$2:$A$4001,$AB52))</f>
        <v/>
      </c>
      <c r="F52" s="11">
        <f>IF($AB52="","",INDEX('Per Line'!$E$2:$E$4001,$AB52))</f>
        <v/>
      </c>
      <c r="G52">
        <f>IF($AB52="","",INDEX('Per Line'!$F$2:$F$4001,$AB52)&amp;"")</f>
        <v/>
      </c>
      <c r="H52">
        <f>IF($AB52="","",INDEX('Per Line'!$H$2:$H$4001,$AB52)&amp;"")</f>
        <v/>
      </c>
      <c r="I52">
        <f>IF($AB52="","",INDEX('Per Line'!$I$2:$I$4001,$AB52)&amp;"")</f>
        <v/>
      </c>
      <c r="J52">
        <f>IF($AB52="","",INDEX('Per Line'!$J$2:$J$4001,$AB52)&amp;"")</f>
        <v/>
      </c>
      <c r="K52">
        <f>IF($AB52="","",INDEX('Per Line'!$K$2:$K$4001,$AB52)&amp;"")</f>
        <v/>
      </c>
      <c r="L52">
        <f>IF($AB52="","",INDEX('Per Line'!$L$2:$L$4001,$AB52))</f>
        <v/>
      </c>
      <c r="M52" s="7">
        <f>IF($AB52="","",IF(AND(ISNUMBER(O52),O52&gt;0,Z52&gt;O52),L52*O52/100+(Z52-O52),L52*Z52/100))</f>
        <v/>
      </c>
      <c r="N52">
        <f>IF($AB52="","",INDEX('Per Line'!$V$2:$V$4001,$AB52)&amp;"")</f>
        <v/>
      </c>
      <c r="O52">
        <f>IF($AB52="","",INDEX('Per Line'!$Z$2:$Z$4001,$AB52))</f>
        <v/>
      </c>
      <c r="P52">
        <f>IF($AB52="","",IF(AND(ISNUMBER(O52),O52&gt;0),Z52&gt;O52,FALSE))</f>
        <v/>
      </c>
      <c r="Q52" s="7">
        <f>IF($AB52="","",SUMIFS('Per Line'!$U$2:$U$4001,'Per Line'!$C$2:$C$4001,$B52,'Per Line'!$AM$2:$AM$4001,1))</f>
        <v/>
      </c>
      <c r="R52">
        <f>IF($AB52="","",Settings!$C$7)</f>
        <v/>
      </c>
      <c r="S52" s="7">
        <f>IF($AB52="","",SUMIFS('Per Line'!$U$2:$U$4001,'Per Line'!$C$2:$C$4001,$B52,'Per Line'!$AL$2:$AL$4001,0,'Per Line'!$AM$2:$AM$4001,0))</f>
        <v/>
      </c>
      <c r="T52" s="7">
        <f>IF($AB52="","",S52*R52)</f>
        <v/>
      </c>
      <c r="U52">
        <f>IF($AB52="","",Settings!$C$6)</f>
        <v/>
      </c>
      <c r="V52" s="7">
        <f>IF($AB52="","",SUMIFS('Per Line'!$U$2:$U$4001,'Per Line'!$C$2:$C$4001,$B52,'Per Line'!$AL$2:$AL$4001,1,'Per Line'!$AM$2:$AM$4001,0))</f>
        <v/>
      </c>
      <c r="W52" s="7">
        <f>IF($AB52="","",V52*U52)</f>
        <v/>
      </c>
      <c r="X52" s="7">
        <f>IF($AB52="","",W52+T52)</f>
        <v/>
      </c>
      <c r="Y52" s="7">
        <f>IF($AB52="","",Z52-X52)</f>
        <v/>
      </c>
      <c r="Z52" s="7">
        <f>IF($AB52="","",S52+V52+Q52)</f>
        <v/>
      </c>
      <c r="AA52" s="7">
        <f>IF($AB52="","",Z52-X52-M52)</f>
        <v/>
      </c>
      <c r="AB52" s="13">
        <f>IF(ROWS($AB$2:$AB52)&lt;=MAX('Per Line'!$AK$2:$AK$4001),MATCH(ROWS($AB$2:$AB52),'Per Line'!$AK$2:$AK$4001,0),"")</f>
        <v/>
      </c>
      <c r="AC52" s="14">
        <f>IF($AB52="","",M52-L52*Z52/100)</f>
        <v/>
      </c>
    </row>
    <row r="53">
      <c r="A53" s="12" t="n"/>
      <c r="B53">
        <f>IF($AB53="","",INDEX('Per Line'!$C$2:$C$4001,$AB53)&amp;"")</f>
        <v/>
      </c>
      <c r="C53">
        <f>IF($AB53="","",INDEX('Per Line'!$D$2:$D$4001,$AB53)&amp;"")</f>
        <v/>
      </c>
      <c r="D53">
        <f>IF($AB53="","",INDEX('Per Line'!$B$2:$B$4001,$AB53)&amp;"")</f>
        <v/>
      </c>
      <c r="E53">
        <f>IF($AB53="","",INDEX('Per Line'!$A$2:$A$4001,$AB53))</f>
        <v/>
      </c>
      <c r="F53" s="11">
        <f>IF($AB53="","",INDEX('Per Line'!$E$2:$E$4001,$AB53))</f>
        <v/>
      </c>
      <c r="G53">
        <f>IF($AB53="","",INDEX('Per Line'!$F$2:$F$4001,$AB53)&amp;"")</f>
        <v/>
      </c>
      <c r="H53">
        <f>IF($AB53="","",INDEX('Per Line'!$H$2:$H$4001,$AB53)&amp;"")</f>
        <v/>
      </c>
      <c r="I53">
        <f>IF($AB53="","",INDEX('Per Line'!$I$2:$I$4001,$AB53)&amp;"")</f>
        <v/>
      </c>
      <c r="J53">
        <f>IF($AB53="","",INDEX('Per Line'!$J$2:$J$4001,$AB53)&amp;"")</f>
        <v/>
      </c>
      <c r="K53">
        <f>IF($AB53="","",INDEX('Per Line'!$K$2:$K$4001,$AB53)&amp;"")</f>
        <v/>
      </c>
      <c r="L53">
        <f>IF($AB53="","",INDEX('Per Line'!$L$2:$L$4001,$AB53))</f>
        <v/>
      </c>
      <c r="M53" s="7">
        <f>IF($AB53="","",IF(AND(ISNUMBER(O53),O53&gt;0,Z53&gt;O53),L53*O53/100+(Z53-O53),L53*Z53/100))</f>
        <v/>
      </c>
      <c r="N53">
        <f>IF($AB53="","",INDEX('Per Line'!$V$2:$V$4001,$AB53)&amp;"")</f>
        <v/>
      </c>
      <c r="O53">
        <f>IF($AB53="","",INDEX('Per Line'!$Z$2:$Z$4001,$AB53))</f>
        <v/>
      </c>
      <c r="P53">
        <f>IF($AB53="","",IF(AND(ISNUMBER(O53),O53&gt;0),Z53&gt;O53,FALSE))</f>
        <v/>
      </c>
      <c r="Q53" s="7">
        <f>IF($AB53="","",SUMIFS('Per Line'!$U$2:$U$4001,'Per Line'!$C$2:$C$4001,$B53,'Per Line'!$AM$2:$AM$4001,1))</f>
        <v/>
      </c>
      <c r="R53">
        <f>IF($AB53="","",Settings!$C$7)</f>
        <v/>
      </c>
      <c r="S53" s="7">
        <f>IF($AB53="","",SUMIFS('Per Line'!$U$2:$U$4001,'Per Line'!$C$2:$C$4001,$B53,'Per Line'!$AL$2:$AL$4001,0,'Per Line'!$AM$2:$AM$4001,0))</f>
        <v/>
      </c>
      <c r="T53" s="7">
        <f>IF($AB53="","",S53*R53)</f>
        <v/>
      </c>
      <c r="U53">
        <f>IF($AB53="","",Settings!$C$6)</f>
        <v/>
      </c>
      <c r="V53" s="7">
        <f>IF($AB53="","",SUMIFS('Per Line'!$U$2:$U$4001,'Per Line'!$C$2:$C$4001,$B53,'Per Line'!$AL$2:$AL$4001,1,'Per Line'!$AM$2:$AM$4001,0))</f>
        <v/>
      </c>
      <c r="W53" s="7">
        <f>IF($AB53="","",V53*U53)</f>
        <v/>
      </c>
      <c r="X53" s="7">
        <f>IF($AB53="","",W53+T53)</f>
        <v/>
      </c>
      <c r="Y53" s="7">
        <f>IF($AB53="","",Z53-X53)</f>
        <v/>
      </c>
      <c r="Z53" s="7">
        <f>IF($AB53="","",S53+V53+Q53)</f>
        <v/>
      </c>
      <c r="AA53" s="7">
        <f>IF($AB53="","",Z53-X53-M53)</f>
        <v/>
      </c>
      <c r="AB53" s="13">
        <f>IF(ROWS($AB$2:$AB53)&lt;=MAX('Per Line'!$AK$2:$AK$4001),MATCH(ROWS($AB$2:$AB53),'Per Line'!$AK$2:$AK$4001,0),"")</f>
        <v/>
      </c>
      <c r="AC53" s="14">
        <f>IF($AB53="","",M53-L53*Z53/100)</f>
        <v/>
      </c>
    </row>
    <row r="54">
      <c r="A54" s="12" t="n"/>
      <c r="B54">
        <f>IF($AB54="","",INDEX('Per Line'!$C$2:$C$4001,$AB54)&amp;"")</f>
        <v/>
      </c>
      <c r="C54">
        <f>IF($AB54="","",INDEX('Per Line'!$D$2:$D$4001,$AB54)&amp;"")</f>
        <v/>
      </c>
      <c r="D54">
        <f>IF($AB54="","",INDEX('Per Line'!$B$2:$B$4001,$AB54)&amp;"")</f>
        <v/>
      </c>
      <c r="E54">
        <f>IF($AB54="","",INDEX('Per Line'!$A$2:$A$4001,$AB54))</f>
        <v/>
      </c>
      <c r="F54" s="11">
        <f>IF($AB54="","",INDEX('Per Line'!$E$2:$E$4001,$AB54))</f>
        <v/>
      </c>
      <c r="G54">
        <f>IF($AB54="","",INDEX('Per Line'!$F$2:$F$4001,$AB54)&amp;"")</f>
        <v/>
      </c>
      <c r="H54">
        <f>IF($AB54="","",INDEX('Per Line'!$H$2:$H$4001,$AB54)&amp;"")</f>
        <v/>
      </c>
      <c r="I54">
        <f>IF($AB54="","",INDEX('Per Line'!$I$2:$I$4001,$AB54)&amp;"")</f>
        <v/>
      </c>
      <c r="J54">
        <f>IF($AB54="","",INDEX('Per Line'!$J$2:$J$4001,$AB54)&amp;"")</f>
        <v/>
      </c>
      <c r="K54">
        <f>IF($AB54="","",INDEX('Per Line'!$K$2:$K$4001,$AB54)&amp;"")</f>
        <v/>
      </c>
      <c r="L54">
        <f>IF($AB54="","",INDEX('Per Line'!$L$2:$L$4001,$AB54))</f>
        <v/>
      </c>
      <c r="M54" s="7">
        <f>IF($AB54="","",IF(AND(ISNUMBER(O54),O54&gt;0,Z54&gt;O54),L54*O54/100+(Z54-O54),L54*Z54/100))</f>
        <v/>
      </c>
      <c r="N54">
        <f>IF($AB54="","",INDEX('Per Line'!$V$2:$V$4001,$AB54)&amp;"")</f>
        <v/>
      </c>
      <c r="O54">
        <f>IF($AB54="","",INDEX('Per Line'!$Z$2:$Z$4001,$AB54))</f>
        <v/>
      </c>
      <c r="P54">
        <f>IF($AB54="","",IF(AND(ISNUMBER(O54),O54&gt;0),Z54&gt;O54,FALSE))</f>
        <v/>
      </c>
      <c r="Q54" s="7">
        <f>IF($AB54="","",SUMIFS('Per Line'!$U$2:$U$4001,'Per Line'!$C$2:$C$4001,$B54,'Per Line'!$AM$2:$AM$4001,1))</f>
        <v/>
      </c>
      <c r="R54">
        <f>IF($AB54="","",Settings!$C$7)</f>
        <v/>
      </c>
      <c r="S54" s="7">
        <f>IF($AB54="","",SUMIFS('Per Line'!$U$2:$U$4001,'Per Line'!$C$2:$C$4001,$B54,'Per Line'!$AL$2:$AL$4001,0,'Per Line'!$AM$2:$AM$4001,0))</f>
        <v/>
      </c>
      <c r="T54" s="7">
        <f>IF($AB54="","",S54*R54)</f>
        <v/>
      </c>
      <c r="U54">
        <f>IF($AB54="","",Settings!$C$6)</f>
        <v/>
      </c>
      <c r="V54" s="7">
        <f>IF($AB54="","",SUMIFS('Per Line'!$U$2:$U$4001,'Per Line'!$C$2:$C$4001,$B54,'Per Line'!$AL$2:$AL$4001,1,'Per Line'!$AM$2:$AM$4001,0))</f>
        <v/>
      </c>
      <c r="W54" s="7">
        <f>IF($AB54="","",V54*U54)</f>
        <v/>
      </c>
      <c r="X54" s="7">
        <f>IF($AB54="","",W54+T54)</f>
        <v/>
      </c>
      <c r="Y54" s="7">
        <f>IF($AB54="","",Z54-X54)</f>
        <v/>
      </c>
      <c r="Z54" s="7">
        <f>IF($AB54="","",S54+V54+Q54)</f>
        <v/>
      </c>
      <c r="AA54" s="7">
        <f>IF($AB54="","",Z54-X54-M54)</f>
        <v/>
      </c>
      <c r="AB54" s="13">
        <f>IF(ROWS($AB$2:$AB54)&lt;=MAX('Per Line'!$AK$2:$AK$4001),MATCH(ROWS($AB$2:$AB54),'Per Line'!$AK$2:$AK$4001,0),"")</f>
        <v/>
      </c>
      <c r="AC54" s="14">
        <f>IF($AB54="","",M54-L54*Z54/100)</f>
        <v/>
      </c>
    </row>
    <row r="55">
      <c r="A55" s="12" t="n"/>
      <c r="B55">
        <f>IF($AB55="","",INDEX('Per Line'!$C$2:$C$4001,$AB55)&amp;"")</f>
        <v/>
      </c>
      <c r="C55">
        <f>IF($AB55="","",INDEX('Per Line'!$D$2:$D$4001,$AB55)&amp;"")</f>
        <v/>
      </c>
      <c r="D55">
        <f>IF($AB55="","",INDEX('Per Line'!$B$2:$B$4001,$AB55)&amp;"")</f>
        <v/>
      </c>
      <c r="E55">
        <f>IF($AB55="","",INDEX('Per Line'!$A$2:$A$4001,$AB55))</f>
        <v/>
      </c>
      <c r="F55" s="11">
        <f>IF($AB55="","",INDEX('Per Line'!$E$2:$E$4001,$AB55))</f>
        <v/>
      </c>
      <c r="G55">
        <f>IF($AB55="","",INDEX('Per Line'!$F$2:$F$4001,$AB55)&amp;"")</f>
        <v/>
      </c>
      <c r="H55">
        <f>IF($AB55="","",INDEX('Per Line'!$H$2:$H$4001,$AB55)&amp;"")</f>
        <v/>
      </c>
      <c r="I55">
        <f>IF($AB55="","",INDEX('Per Line'!$I$2:$I$4001,$AB55)&amp;"")</f>
        <v/>
      </c>
      <c r="J55">
        <f>IF($AB55="","",INDEX('Per Line'!$J$2:$J$4001,$AB55)&amp;"")</f>
        <v/>
      </c>
      <c r="K55">
        <f>IF($AB55="","",INDEX('Per Line'!$K$2:$K$4001,$AB55)&amp;"")</f>
        <v/>
      </c>
      <c r="L55">
        <f>IF($AB55="","",INDEX('Per Line'!$L$2:$L$4001,$AB55))</f>
        <v/>
      </c>
      <c r="M55" s="7">
        <f>IF($AB55="","",IF(AND(ISNUMBER(O55),O55&gt;0,Z55&gt;O55),L55*O55/100+(Z55-O55),L55*Z55/100))</f>
        <v/>
      </c>
      <c r="N55">
        <f>IF($AB55="","",INDEX('Per Line'!$V$2:$V$4001,$AB55)&amp;"")</f>
        <v/>
      </c>
      <c r="O55">
        <f>IF($AB55="","",INDEX('Per Line'!$Z$2:$Z$4001,$AB55))</f>
        <v/>
      </c>
      <c r="P55">
        <f>IF($AB55="","",IF(AND(ISNUMBER(O55),O55&gt;0),Z55&gt;O55,FALSE))</f>
        <v/>
      </c>
      <c r="Q55" s="7">
        <f>IF($AB55="","",SUMIFS('Per Line'!$U$2:$U$4001,'Per Line'!$C$2:$C$4001,$B55,'Per Line'!$AM$2:$AM$4001,1))</f>
        <v/>
      </c>
      <c r="R55">
        <f>IF($AB55="","",Settings!$C$7)</f>
        <v/>
      </c>
      <c r="S55" s="7">
        <f>IF($AB55="","",SUMIFS('Per Line'!$U$2:$U$4001,'Per Line'!$C$2:$C$4001,$B55,'Per Line'!$AL$2:$AL$4001,0,'Per Line'!$AM$2:$AM$4001,0))</f>
        <v/>
      </c>
      <c r="T55" s="7">
        <f>IF($AB55="","",S55*R55)</f>
        <v/>
      </c>
      <c r="U55">
        <f>IF($AB55="","",Settings!$C$6)</f>
        <v/>
      </c>
      <c r="V55" s="7">
        <f>IF($AB55="","",SUMIFS('Per Line'!$U$2:$U$4001,'Per Line'!$C$2:$C$4001,$B55,'Per Line'!$AL$2:$AL$4001,1,'Per Line'!$AM$2:$AM$4001,0))</f>
        <v/>
      </c>
      <c r="W55" s="7">
        <f>IF($AB55="","",V55*U55)</f>
        <v/>
      </c>
      <c r="X55" s="7">
        <f>IF($AB55="","",W55+T55)</f>
        <v/>
      </c>
      <c r="Y55" s="7">
        <f>IF($AB55="","",Z55-X55)</f>
        <v/>
      </c>
      <c r="Z55" s="7">
        <f>IF($AB55="","",S55+V55+Q55)</f>
        <v/>
      </c>
      <c r="AA55" s="7">
        <f>IF($AB55="","",Z55-X55-M55)</f>
        <v/>
      </c>
      <c r="AB55" s="13">
        <f>IF(ROWS($AB$2:$AB55)&lt;=MAX('Per Line'!$AK$2:$AK$4001),MATCH(ROWS($AB$2:$AB55),'Per Line'!$AK$2:$AK$4001,0),"")</f>
        <v/>
      </c>
      <c r="AC55" s="14">
        <f>IF($AB55="","",M55-L55*Z55/100)</f>
        <v/>
      </c>
    </row>
    <row r="56">
      <c r="A56" s="12" t="n"/>
      <c r="B56">
        <f>IF($AB56="","",INDEX('Per Line'!$C$2:$C$4001,$AB56)&amp;"")</f>
        <v/>
      </c>
      <c r="C56">
        <f>IF($AB56="","",INDEX('Per Line'!$D$2:$D$4001,$AB56)&amp;"")</f>
        <v/>
      </c>
      <c r="D56">
        <f>IF($AB56="","",INDEX('Per Line'!$B$2:$B$4001,$AB56)&amp;"")</f>
        <v/>
      </c>
      <c r="E56">
        <f>IF($AB56="","",INDEX('Per Line'!$A$2:$A$4001,$AB56))</f>
        <v/>
      </c>
      <c r="F56" s="11">
        <f>IF($AB56="","",INDEX('Per Line'!$E$2:$E$4001,$AB56))</f>
        <v/>
      </c>
      <c r="G56">
        <f>IF($AB56="","",INDEX('Per Line'!$F$2:$F$4001,$AB56)&amp;"")</f>
        <v/>
      </c>
      <c r="H56">
        <f>IF($AB56="","",INDEX('Per Line'!$H$2:$H$4001,$AB56)&amp;"")</f>
        <v/>
      </c>
      <c r="I56">
        <f>IF($AB56="","",INDEX('Per Line'!$I$2:$I$4001,$AB56)&amp;"")</f>
        <v/>
      </c>
      <c r="J56">
        <f>IF($AB56="","",INDEX('Per Line'!$J$2:$J$4001,$AB56)&amp;"")</f>
        <v/>
      </c>
      <c r="K56">
        <f>IF($AB56="","",INDEX('Per Line'!$K$2:$K$4001,$AB56)&amp;"")</f>
        <v/>
      </c>
      <c r="L56">
        <f>IF($AB56="","",INDEX('Per Line'!$L$2:$L$4001,$AB56))</f>
        <v/>
      </c>
      <c r="M56" s="7">
        <f>IF($AB56="","",IF(AND(ISNUMBER(O56),O56&gt;0,Z56&gt;O56),L56*O56/100+(Z56-O56),L56*Z56/100))</f>
        <v/>
      </c>
      <c r="N56">
        <f>IF($AB56="","",INDEX('Per Line'!$V$2:$V$4001,$AB56)&amp;"")</f>
        <v/>
      </c>
      <c r="O56">
        <f>IF($AB56="","",INDEX('Per Line'!$Z$2:$Z$4001,$AB56))</f>
        <v/>
      </c>
      <c r="P56">
        <f>IF($AB56="","",IF(AND(ISNUMBER(O56),O56&gt;0),Z56&gt;O56,FALSE))</f>
        <v/>
      </c>
      <c r="Q56" s="7">
        <f>IF($AB56="","",SUMIFS('Per Line'!$U$2:$U$4001,'Per Line'!$C$2:$C$4001,$B56,'Per Line'!$AM$2:$AM$4001,1))</f>
        <v/>
      </c>
      <c r="R56">
        <f>IF($AB56="","",Settings!$C$7)</f>
        <v/>
      </c>
      <c r="S56" s="7">
        <f>IF($AB56="","",SUMIFS('Per Line'!$U$2:$U$4001,'Per Line'!$C$2:$C$4001,$B56,'Per Line'!$AL$2:$AL$4001,0,'Per Line'!$AM$2:$AM$4001,0))</f>
        <v/>
      </c>
      <c r="T56" s="7">
        <f>IF($AB56="","",S56*R56)</f>
        <v/>
      </c>
      <c r="U56">
        <f>IF($AB56="","",Settings!$C$6)</f>
        <v/>
      </c>
      <c r="V56" s="7">
        <f>IF($AB56="","",SUMIFS('Per Line'!$U$2:$U$4001,'Per Line'!$C$2:$C$4001,$B56,'Per Line'!$AL$2:$AL$4001,1,'Per Line'!$AM$2:$AM$4001,0))</f>
        <v/>
      </c>
      <c r="W56" s="7">
        <f>IF($AB56="","",V56*U56)</f>
        <v/>
      </c>
      <c r="X56" s="7">
        <f>IF($AB56="","",W56+T56)</f>
        <v/>
      </c>
      <c r="Y56" s="7">
        <f>IF($AB56="","",Z56-X56)</f>
        <v/>
      </c>
      <c r="Z56" s="7">
        <f>IF($AB56="","",S56+V56+Q56)</f>
        <v/>
      </c>
      <c r="AA56" s="7">
        <f>IF($AB56="","",Z56-X56-M56)</f>
        <v/>
      </c>
      <c r="AB56" s="13">
        <f>IF(ROWS($AB$2:$AB56)&lt;=MAX('Per Line'!$AK$2:$AK$4001),MATCH(ROWS($AB$2:$AB56),'Per Line'!$AK$2:$AK$4001,0),"")</f>
        <v/>
      </c>
      <c r="AC56" s="14">
        <f>IF($AB56="","",M56-L56*Z56/100)</f>
        <v/>
      </c>
    </row>
    <row r="57">
      <c r="A57" s="12" t="n"/>
      <c r="B57">
        <f>IF($AB57="","",INDEX('Per Line'!$C$2:$C$4001,$AB57)&amp;"")</f>
        <v/>
      </c>
      <c r="C57">
        <f>IF($AB57="","",INDEX('Per Line'!$D$2:$D$4001,$AB57)&amp;"")</f>
        <v/>
      </c>
      <c r="D57">
        <f>IF($AB57="","",INDEX('Per Line'!$B$2:$B$4001,$AB57)&amp;"")</f>
        <v/>
      </c>
      <c r="E57">
        <f>IF($AB57="","",INDEX('Per Line'!$A$2:$A$4001,$AB57))</f>
        <v/>
      </c>
      <c r="F57" s="11">
        <f>IF($AB57="","",INDEX('Per Line'!$E$2:$E$4001,$AB57))</f>
        <v/>
      </c>
      <c r="G57">
        <f>IF($AB57="","",INDEX('Per Line'!$F$2:$F$4001,$AB57)&amp;"")</f>
        <v/>
      </c>
      <c r="H57">
        <f>IF($AB57="","",INDEX('Per Line'!$H$2:$H$4001,$AB57)&amp;"")</f>
        <v/>
      </c>
      <c r="I57">
        <f>IF($AB57="","",INDEX('Per Line'!$I$2:$I$4001,$AB57)&amp;"")</f>
        <v/>
      </c>
      <c r="J57">
        <f>IF($AB57="","",INDEX('Per Line'!$J$2:$J$4001,$AB57)&amp;"")</f>
        <v/>
      </c>
      <c r="K57">
        <f>IF($AB57="","",INDEX('Per Line'!$K$2:$K$4001,$AB57)&amp;"")</f>
        <v/>
      </c>
      <c r="L57">
        <f>IF($AB57="","",INDEX('Per Line'!$L$2:$L$4001,$AB57))</f>
        <v/>
      </c>
      <c r="M57" s="7">
        <f>IF($AB57="","",IF(AND(ISNUMBER(O57),O57&gt;0,Z57&gt;O57),L57*O57/100+(Z57-O57),L57*Z57/100))</f>
        <v/>
      </c>
      <c r="N57">
        <f>IF($AB57="","",INDEX('Per Line'!$V$2:$V$4001,$AB57)&amp;"")</f>
        <v/>
      </c>
      <c r="O57">
        <f>IF($AB57="","",INDEX('Per Line'!$Z$2:$Z$4001,$AB57))</f>
        <v/>
      </c>
      <c r="P57">
        <f>IF($AB57="","",IF(AND(ISNUMBER(O57),O57&gt;0),Z57&gt;O57,FALSE))</f>
        <v/>
      </c>
      <c r="Q57" s="7">
        <f>IF($AB57="","",SUMIFS('Per Line'!$U$2:$U$4001,'Per Line'!$C$2:$C$4001,$B57,'Per Line'!$AM$2:$AM$4001,1))</f>
        <v/>
      </c>
      <c r="R57">
        <f>IF($AB57="","",Settings!$C$7)</f>
        <v/>
      </c>
      <c r="S57" s="7">
        <f>IF($AB57="","",SUMIFS('Per Line'!$U$2:$U$4001,'Per Line'!$C$2:$C$4001,$B57,'Per Line'!$AL$2:$AL$4001,0,'Per Line'!$AM$2:$AM$4001,0))</f>
        <v/>
      </c>
      <c r="T57" s="7">
        <f>IF($AB57="","",S57*R57)</f>
        <v/>
      </c>
      <c r="U57">
        <f>IF($AB57="","",Settings!$C$6)</f>
        <v/>
      </c>
      <c r="V57" s="7">
        <f>IF($AB57="","",SUMIFS('Per Line'!$U$2:$U$4001,'Per Line'!$C$2:$C$4001,$B57,'Per Line'!$AL$2:$AL$4001,1,'Per Line'!$AM$2:$AM$4001,0))</f>
        <v/>
      </c>
      <c r="W57" s="7">
        <f>IF($AB57="","",V57*U57)</f>
        <v/>
      </c>
      <c r="X57" s="7">
        <f>IF($AB57="","",W57+T57)</f>
        <v/>
      </c>
      <c r="Y57" s="7">
        <f>IF($AB57="","",Z57-X57)</f>
        <v/>
      </c>
      <c r="Z57" s="7">
        <f>IF($AB57="","",S57+V57+Q57)</f>
        <v/>
      </c>
      <c r="AA57" s="7">
        <f>IF($AB57="","",Z57-X57-M57)</f>
        <v/>
      </c>
      <c r="AB57" s="13">
        <f>IF(ROWS($AB$2:$AB57)&lt;=MAX('Per Line'!$AK$2:$AK$4001),MATCH(ROWS($AB$2:$AB57),'Per Line'!$AK$2:$AK$4001,0),"")</f>
        <v/>
      </c>
      <c r="AC57" s="14">
        <f>IF($AB57="","",M57-L57*Z57/100)</f>
        <v/>
      </c>
    </row>
    <row r="58">
      <c r="A58" s="12" t="n"/>
      <c r="B58">
        <f>IF($AB58="","",INDEX('Per Line'!$C$2:$C$4001,$AB58)&amp;"")</f>
        <v/>
      </c>
      <c r="C58">
        <f>IF($AB58="","",INDEX('Per Line'!$D$2:$D$4001,$AB58)&amp;"")</f>
        <v/>
      </c>
      <c r="D58">
        <f>IF($AB58="","",INDEX('Per Line'!$B$2:$B$4001,$AB58)&amp;"")</f>
        <v/>
      </c>
      <c r="E58">
        <f>IF($AB58="","",INDEX('Per Line'!$A$2:$A$4001,$AB58))</f>
        <v/>
      </c>
      <c r="F58" s="11">
        <f>IF($AB58="","",INDEX('Per Line'!$E$2:$E$4001,$AB58))</f>
        <v/>
      </c>
      <c r="G58">
        <f>IF($AB58="","",INDEX('Per Line'!$F$2:$F$4001,$AB58)&amp;"")</f>
        <v/>
      </c>
      <c r="H58">
        <f>IF($AB58="","",INDEX('Per Line'!$H$2:$H$4001,$AB58)&amp;"")</f>
        <v/>
      </c>
      <c r="I58">
        <f>IF($AB58="","",INDEX('Per Line'!$I$2:$I$4001,$AB58)&amp;"")</f>
        <v/>
      </c>
      <c r="J58">
        <f>IF($AB58="","",INDEX('Per Line'!$J$2:$J$4001,$AB58)&amp;"")</f>
        <v/>
      </c>
      <c r="K58">
        <f>IF($AB58="","",INDEX('Per Line'!$K$2:$K$4001,$AB58)&amp;"")</f>
        <v/>
      </c>
      <c r="L58">
        <f>IF($AB58="","",INDEX('Per Line'!$L$2:$L$4001,$AB58))</f>
        <v/>
      </c>
      <c r="M58" s="7">
        <f>IF($AB58="","",IF(AND(ISNUMBER(O58),O58&gt;0,Z58&gt;O58),L58*O58/100+(Z58-O58),L58*Z58/100))</f>
        <v/>
      </c>
      <c r="N58">
        <f>IF($AB58="","",INDEX('Per Line'!$V$2:$V$4001,$AB58)&amp;"")</f>
        <v/>
      </c>
      <c r="O58">
        <f>IF($AB58="","",INDEX('Per Line'!$Z$2:$Z$4001,$AB58))</f>
        <v/>
      </c>
      <c r="P58">
        <f>IF($AB58="","",IF(AND(ISNUMBER(O58),O58&gt;0),Z58&gt;O58,FALSE))</f>
        <v/>
      </c>
      <c r="Q58" s="7">
        <f>IF($AB58="","",SUMIFS('Per Line'!$U$2:$U$4001,'Per Line'!$C$2:$C$4001,$B58,'Per Line'!$AM$2:$AM$4001,1))</f>
        <v/>
      </c>
      <c r="R58">
        <f>IF($AB58="","",Settings!$C$7)</f>
        <v/>
      </c>
      <c r="S58" s="7">
        <f>IF($AB58="","",SUMIFS('Per Line'!$U$2:$U$4001,'Per Line'!$C$2:$C$4001,$B58,'Per Line'!$AL$2:$AL$4001,0,'Per Line'!$AM$2:$AM$4001,0))</f>
        <v/>
      </c>
      <c r="T58" s="7">
        <f>IF($AB58="","",S58*R58)</f>
        <v/>
      </c>
      <c r="U58">
        <f>IF($AB58="","",Settings!$C$6)</f>
        <v/>
      </c>
      <c r="V58" s="7">
        <f>IF($AB58="","",SUMIFS('Per Line'!$U$2:$U$4001,'Per Line'!$C$2:$C$4001,$B58,'Per Line'!$AL$2:$AL$4001,1,'Per Line'!$AM$2:$AM$4001,0))</f>
        <v/>
      </c>
      <c r="W58" s="7">
        <f>IF($AB58="","",V58*U58)</f>
        <v/>
      </c>
      <c r="X58" s="7">
        <f>IF($AB58="","",W58+T58)</f>
        <v/>
      </c>
      <c r="Y58" s="7">
        <f>IF($AB58="","",Z58-X58)</f>
        <v/>
      </c>
      <c r="Z58" s="7">
        <f>IF($AB58="","",S58+V58+Q58)</f>
        <v/>
      </c>
      <c r="AA58" s="7">
        <f>IF($AB58="","",Z58-X58-M58)</f>
        <v/>
      </c>
      <c r="AB58" s="13">
        <f>IF(ROWS($AB$2:$AB58)&lt;=MAX('Per Line'!$AK$2:$AK$4001),MATCH(ROWS($AB$2:$AB58),'Per Line'!$AK$2:$AK$4001,0),"")</f>
        <v/>
      </c>
      <c r="AC58" s="14">
        <f>IF($AB58="","",M58-L58*Z58/100)</f>
        <v/>
      </c>
    </row>
    <row r="59">
      <c r="A59" s="12" t="n"/>
      <c r="B59">
        <f>IF($AB59="","",INDEX('Per Line'!$C$2:$C$4001,$AB59)&amp;"")</f>
        <v/>
      </c>
      <c r="C59">
        <f>IF($AB59="","",INDEX('Per Line'!$D$2:$D$4001,$AB59)&amp;"")</f>
        <v/>
      </c>
      <c r="D59">
        <f>IF($AB59="","",INDEX('Per Line'!$B$2:$B$4001,$AB59)&amp;"")</f>
        <v/>
      </c>
      <c r="E59">
        <f>IF($AB59="","",INDEX('Per Line'!$A$2:$A$4001,$AB59))</f>
        <v/>
      </c>
      <c r="F59" s="11">
        <f>IF($AB59="","",INDEX('Per Line'!$E$2:$E$4001,$AB59))</f>
        <v/>
      </c>
      <c r="G59">
        <f>IF($AB59="","",INDEX('Per Line'!$F$2:$F$4001,$AB59)&amp;"")</f>
        <v/>
      </c>
      <c r="H59">
        <f>IF($AB59="","",INDEX('Per Line'!$H$2:$H$4001,$AB59)&amp;"")</f>
        <v/>
      </c>
      <c r="I59">
        <f>IF($AB59="","",INDEX('Per Line'!$I$2:$I$4001,$AB59)&amp;"")</f>
        <v/>
      </c>
      <c r="J59">
        <f>IF($AB59="","",INDEX('Per Line'!$J$2:$J$4001,$AB59)&amp;"")</f>
        <v/>
      </c>
      <c r="K59">
        <f>IF($AB59="","",INDEX('Per Line'!$K$2:$K$4001,$AB59)&amp;"")</f>
        <v/>
      </c>
      <c r="L59">
        <f>IF($AB59="","",INDEX('Per Line'!$L$2:$L$4001,$AB59))</f>
        <v/>
      </c>
      <c r="M59" s="7">
        <f>IF($AB59="","",IF(AND(ISNUMBER(O59),O59&gt;0,Z59&gt;O59),L59*O59/100+(Z59-O59),L59*Z59/100))</f>
        <v/>
      </c>
      <c r="N59">
        <f>IF($AB59="","",INDEX('Per Line'!$V$2:$V$4001,$AB59)&amp;"")</f>
        <v/>
      </c>
      <c r="O59">
        <f>IF($AB59="","",INDEX('Per Line'!$Z$2:$Z$4001,$AB59))</f>
        <v/>
      </c>
      <c r="P59">
        <f>IF($AB59="","",IF(AND(ISNUMBER(O59),O59&gt;0),Z59&gt;O59,FALSE))</f>
        <v/>
      </c>
      <c r="Q59" s="7">
        <f>IF($AB59="","",SUMIFS('Per Line'!$U$2:$U$4001,'Per Line'!$C$2:$C$4001,$B59,'Per Line'!$AM$2:$AM$4001,1))</f>
        <v/>
      </c>
      <c r="R59">
        <f>IF($AB59="","",Settings!$C$7)</f>
        <v/>
      </c>
      <c r="S59" s="7">
        <f>IF($AB59="","",SUMIFS('Per Line'!$U$2:$U$4001,'Per Line'!$C$2:$C$4001,$B59,'Per Line'!$AL$2:$AL$4001,0,'Per Line'!$AM$2:$AM$4001,0))</f>
        <v/>
      </c>
      <c r="T59" s="7">
        <f>IF($AB59="","",S59*R59)</f>
        <v/>
      </c>
      <c r="U59">
        <f>IF($AB59="","",Settings!$C$6)</f>
        <v/>
      </c>
      <c r="V59" s="7">
        <f>IF($AB59="","",SUMIFS('Per Line'!$U$2:$U$4001,'Per Line'!$C$2:$C$4001,$B59,'Per Line'!$AL$2:$AL$4001,1,'Per Line'!$AM$2:$AM$4001,0))</f>
        <v/>
      </c>
      <c r="W59" s="7">
        <f>IF($AB59="","",V59*U59)</f>
        <v/>
      </c>
      <c r="X59" s="7">
        <f>IF($AB59="","",W59+T59)</f>
        <v/>
      </c>
      <c r="Y59" s="7">
        <f>IF($AB59="","",Z59-X59)</f>
        <v/>
      </c>
      <c r="Z59" s="7">
        <f>IF($AB59="","",S59+V59+Q59)</f>
        <v/>
      </c>
      <c r="AA59" s="7">
        <f>IF($AB59="","",Z59-X59-M59)</f>
        <v/>
      </c>
      <c r="AB59" s="13">
        <f>IF(ROWS($AB$2:$AB59)&lt;=MAX('Per Line'!$AK$2:$AK$4001),MATCH(ROWS($AB$2:$AB59),'Per Line'!$AK$2:$AK$4001,0),"")</f>
        <v/>
      </c>
      <c r="AC59" s="14">
        <f>IF($AB59="","",M59-L59*Z59/100)</f>
        <v/>
      </c>
    </row>
    <row r="60">
      <c r="A60" s="12" t="n"/>
      <c r="B60">
        <f>IF($AB60="","",INDEX('Per Line'!$C$2:$C$4001,$AB60)&amp;"")</f>
        <v/>
      </c>
      <c r="C60">
        <f>IF($AB60="","",INDEX('Per Line'!$D$2:$D$4001,$AB60)&amp;"")</f>
        <v/>
      </c>
      <c r="D60">
        <f>IF($AB60="","",INDEX('Per Line'!$B$2:$B$4001,$AB60)&amp;"")</f>
        <v/>
      </c>
      <c r="E60">
        <f>IF($AB60="","",INDEX('Per Line'!$A$2:$A$4001,$AB60))</f>
        <v/>
      </c>
      <c r="F60" s="11">
        <f>IF($AB60="","",INDEX('Per Line'!$E$2:$E$4001,$AB60))</f>
        <v/>
      </c>
      <c r="G60">
        <f>IF($AB60="","",INDEX('Per Line'!$F$2:$F$4001,$AB60)&amp;"")</f>
        <v/>
      </c>
      <c r="H60">
        <f>IF($AB60="","",INDEX('Per Line'!$H$2:$H$4001,$AB60)&amp;"")</f>
        <v/>
      </c>
      <c r="I60">
        <f>IF($AB60="","",INDEX('Per Line'!$I$2:$I$4001,$AB60)&amp;"")</f>
        <v/>
      </c>
      <c r="J60">
        <f>IF($AB60="","",INDEX('Per Line'!$J$2:$J$4001,$AB60)&amp;"")</f>
        <v/>
      </c>
      <c r="K60">
        <f>IF($AB60="","",INDEX('Per Line'!$K$2:$K$4001,$AB60)&amp;"")</f>
        <v/>
      </c>
      <c r="L60">
        <f>IF($AB60="","",INDEX('Per Line'!$L$2:$L$4001,$AB60))</f>
        <v/>
      </c>
      <c r="M60" s="7">
        <f>IF($AB60="","",IF(AND(ISNUMBER(O60),O60&gt;0,Z60&gt;O60),L60*O60/100+(Z60-O60),L60*Z60/100))</f>
        <v/>
      </c>
      <c r="N60">
        <f>IF($AB60="","",INDEX('Per Line'!$V$2:$V$4001,$AB60)&amp;"")</f>
        <v/>
      </c>
      <c r="O60">
        <f>IF($AB60="","",INDEX('Per Line'!$Z$2:$Z$4001,$AB60))</f>
        <v/>
      </c>
      <c r="P60">
        <f>IF($AB60="","",IF(AND(ISNUMBER(O60),O60&gt;0),Z60&gt;O60,FALSE))</f>
        <v/>
      </c>
      <c r="Q60" s="7">
        <f>IF($AB60="","",SUMIFS('Per Line'!$U$2:$U$4001,'Per Line'!$C$2:$C$4001,$B60,'Per Line'!$AM$2:$AM$4001,1))</f>
        <v/>
      </c>
      <c r="R60">
        <f>IF($AB60="","",Settings!$C$7)</f>
        <v/>
      </c>
      <c r="S60" s="7">
        <f>IF($AB60="","",SUMIFS('Per Line'!$U$2:$U$4001,'Per Line'!$C$2:$C$4001,$B60,'Per Line'!$AL$2:$AL$4001,0,'Per Line'!$AM$2:$AM$4001,0))</f>
        <v/>
      </c>
      <c r="T60" s="7">
        <f>IF($AB60="","",S60*R60)</f>
        <v/>
      </c>
      <c r="U60">
        <f>IF($AB60="","",Settings!$C$6)</f>
        <v/>
      </c>
      <c r="V60" s="7">
        <f>IF($AB60="","",SUMIFS('Per Line'!$U$2:$U$4001,'Per Line'!$C$2:$C$4001,$B60,'Per Line'!$AL$2:$AL$4001,1,'Per Line'!$AM$2:$AM$4001,0))</f>
        <v/>
      </c>
      <c r="W60" s="7">
        <f>IF($AB60="","",V60*U60)</f>
        <v/>
      </c>
      <c r="X60" s="7">
        <f>IF($AB60="","",W60+T60)</f>
        <v/>
      </c>
      <c r="Y60" s="7">
        <f>IF($AB60="","",Z60-X60)</f>
        <v/>
      </c>
      <c r="Z60" s="7">
        <f>IF($AB60="","",S60+V60+Q60)</f>
        <v/>
      </c>
      <c r="AA60" s="7">
        <f>IF($AB60="","",Z60-X60-M60)</f>
        <v/>
      </c>
      <c r="AB60" s="13">
        <f>IF(ROWS($AB$2:$AB60)&lt;=MAX('Per Line'!$AK$2:$AK$4001),MATCH(ROWS($AB$2:$AB60),'Per Line'!$AK$2:$AK$4001,0),"")</f>
        <v/>
      </c>
      <c r="AC60" s="14">
        <f>IF($AB60="","",M60-L60*Z60/100)</f>
        <v/>
      </c>
    </row>
    <row r="61">
      <c r="A61" s="12" t="n"/>
      <c r="B61">
        <f>IF($AB61="","",INDEX('Per Line'!$C$2:$C$4001,$AB61)&amp;"")</f>
        <v/>
      </c>
      <c r="C61">
        <f>IF($AB61="","",INDEX('Per Line'!$D$2:$D$4001,$AB61)&amp;"")</f>
        <v/>
      </c>
      <c r="D61">
        <f>IF($AB61="","",INDEX('Per Line'!$B$2:$B$4001,$AB61)&amp;"")</f>
        <v/>
      </c>
      <c r="E61">
        <f>IF($AB61="","",INDEX('Per Line'!$A$2:$A$4001,$AB61))</f>
        <v/>
      </c>
      <c r="F61" s="11">
        <f>IF($AB61="","",INDEX('Per Line'!$E$2:$E$4001,$AB61))</f>
        <v/>
      </c>
      <c r="G61">
        <f>IF($AB61="","",INDEX('Per Line'!$F$2:$F$4001,$AB61)&amp;"")</f>
        <v/>
      </c>
      <c r="H61">
        <f>IF($AB61="","",INDEX('Per Line'!$H$2:$H$4001,$AB61)&amp;"")</f>
        <v/>
      </c>
      <c r="I61">
        <f>IF($AB61="","",INDEX('Per Line'!$I$2:$I$4001,$AB61)&amp;"")</f>
        <v/>
      </c>
      <c r="J61">
        <f>IF($AB61="","",INDEX('Per Line'!$J$2:$J$4001,$AB61)&amp;"")</f>
        <v/>
      </c>
      <c r="K61">
        <f>IF($AB61="","",INDEX('Per Line'!$K$2:$K$4001,$AB61)&amp;"")</f>
        <v/>
      </c>
      <c r="L61">
        <f>IF($AB61="","",INDEX('Per Line'!$L$2:$L$4001,$AB61))</f>
        <v/>
      </c>
      <c r="M61" s="7">
        <f>IF($AB61="","",IF(AND(ISNUMBER(O61),O61&gt;0,Z61&gt;O61),L61*O61/100+(Z61-O61),L61*Z61/100))</f>
        <v/>
      </c>
      <c r="N61">
        <f>IF($AB61="","",INDEX('Per Line'!$V$2:$V$4001,$AB61)&amp;"")</f>
        <v/>
      </c>
      <c r="O61">
        <f>IF($AB61="","",INDEX('Per Line'!$Z$2:$Z$4001,$AB61))</f>
        <v/>
      </c>
      <c r="P61">
        <f>IF($AB61="","",IF(AND(ISNUMBER(O61),O61&gt;0),Z61&gt;O61,FALSE))</f>
        <v/>
      </c>
      <c r="Q61" s="7">
        <f>IF($AB61="","",SUMIFS('Per Line'!$U$2:$U$4001,'Per Line'!$C$2:$C$4001,$B61,'Per Line'!$AM$2:$AM$4001,1))</f>
        <v/>
      </c>
      <c r="R61">
        <f>IF($AB61="","",Settings!$C$7)</f>
        <v/>
      </c>
      <c r="S61" s="7">
        <f>IF($AB61="","",SUMIFS('Per Line'!$U$2:$U$4001,'Per Line'!$C$2:$C$4001,$B61,'Per Line'!$AL$2:$AL$4001,0,'Per Line'!$AM$2:$AM$4001,0))</f>
        <v/>
      </c>
      <c r="T61" s="7">
        <f>IF($AB61="","",S61*R61)</f>
        <v/>
      </c>
      <c r="U61">
        <f>IF($AB61="","",Settings!$C$6)</f>
        <v/>
      </c>
      <c r="V61" s="7">
        <f>IF($AB61="","",SUMIFS('Per Line'!$U$2:$U$4001,'Per Line'!$C$2:$C$4001,$B61,'Per Line'!$AL$2:$AL$4001,1,'Per Line'!$AM$2:$AM$4001,0))</f>
        <v/>
      </c>
      <c r="W61" s="7">
        <f>IF($AB61="","",V61*U61)</f>
        <v/>
      </c>
      <c r="X61" s="7">
        <f>IF($AB61="","",W61+T61)</f>
        <v/>
      </c>
      <c r="Y61" s="7">
        <f>IF($AB61="","",Z61-X61)</f>
        <v/>
      </c>
      <c r="Z61" s="7">
        <f>IF($AB61="","",S61+V61+Q61)</f>
        <v/>
      </c>
      <c r="AA61" s="7">
        <f>IF($AB61="","",Z61-X61-M61)</f>
        <v/>
      </c>
      <c r="AB61" s="13">
        <f>IF(ROWS($AB$2:$AB61)&lt;=MAX('Per Line'!$AK$2:$AK$4001),MATCH(ROWS($AB$2:$AB61),'Per Line'!$AK$2:$AK$4001,0),"")</f>
        <v/>
      </c>
      <c r="AC61" s="14">
        <f>IF($AB61="","",M61-L61*Z61/100)</f>
        <v/>
      </c>
    </row>
    <row r="62">
      <c r="A62" s="12" t="n"/>
      <c r="B62">
        <f>IF($AB62="","",INDEX('Per Line'!$C$2:$C$4001,$AB62)&amp;"")</f>
        <v/>
      </c>
      <c r="C62">
        <f>IF($AB62="","",INDEX('Per Line'!$D$2:$D$4001,$AB62)&amp;"")</f>
        <v/>
      </c>
      <c r="D62">
        <f>IF($AB62="","",INDEX('Per Line'!$B$2:$B$4001,$AB62)&amp;"")</f>
        <v/>
      </c>
      <c r="E62">
        <f>IF($AB62="","",INDEX('Per Line'!$A$2:$A$4001,$AB62))</f>
        <v/>
      </c>
      <c r="F62" s="11">
        <f>IF($AB62="","",INDEX('Per Line'!$E$2:$E$4001,$AB62))</f>
        <v/>
      </c>
      <c r="G62">
        <f>IF($AB62="","",INDEX('Per Line'!$F$2:$F$4001,$AB62)&amp;"")</f>
        <v/>
      </c>
      <c r="H62">
        <f>IF($AB62="","",INDEX('Per Line'!$H$2:$H$4001,$AB62)&amp;"")</f>
        <v/>
      </c>
      <c r="I62">
        <f>IF($AB62="","",INDEX('Per Line'!$I$2:$I$4001,$AB62)&amp;"")</f>
        <v/>
      </c>
      <c r="J62">
        <f>IF($AB62="","",INDEX('Per Line'!$J$2:$J$4001,$AB62)&amp;"")</f>
        <v/>
      </c>
      <c r="K62">
        <f>IF($AB62="","",INDEX('Per Line'!$K$2:$K$4001,$AB62)&amp;"")</f>
        <v/>
      </c>
      <c r="L62">
        <f>IF($AB62="","",INDEX('Per Line'!$L$2:$L$4001,$AB62))</f>
        <v/>
      </c>
      <c r="M62" s="7">
        <f>IF($AB62="","",IF(AND(ISNUMBER(O62),O62&gt;0,Z62&gt;O62),L62*O62/100+(Z62-O62),L62*Z62/100))</f>
        <v/>
      </c>
      <c r="N62">
        <f>IF($AB62="","",INDEX('Per Line'!$V$2:$V$4001,$AB62)&amp;"")</f>
        <v/>
      </c>
      <c r="O62">
        <f>IF($AB62="","",INDEX('Per Line'!$Z$2:$Z$4001,$AB62))</f>
        <v/>
      </c>
      <c r="P62">
        <f>IF($AB62="","",IF(AND(ISNUMBER(O62),O62&gt;0),Z62&gt;O62,FALSE))</f>
        <v/>
      </c>
      <c r="Q62" s="7">
        <f>IF($AB62="","",SUMIFS('Per Line'!$U$2:$U$4001,'Per Line'!$C$2:$C$4001,$B62,'Per Line'!$AM$2:$AM$4001,1))</f>
        <v/>
      </c>
      <c r="R62">
        <f>IF($AB62="","",Settings!$C$7)</f>
        <v/>
      </c>
      <c r="S62" s="7">
        <f>IF($AB62="","",SUMIFS('Per Line'!$U$2:$U$4001,'Per Line'!$C$2:$C$4001,$B62,'Per Line'!$AL$2:$AL$4001,0,'Per Line'!$AM$2:$AM$4001,0))</f>
        <v/>
      </c>
      <c r="T62" s="7">
        <f>IF($AB62="","",S62*R62)</f>
        <v/>
      </c>
      <c r="U62">
        <f>IF($AB62="","",Settings!$C$6)</f>
        <v/>
      </c>
      <c r="V62" s="7">
        <f>IF($AB62="","",SUMIFS('Per Line'!$U$2:$U$4001,'Per Line'!$C$2:$C$4001,$B62,'Per Line'!$AL$2:$AL$4001,1,'Per Line'!$AM$2:$AM$4001,0))</f>
        <v/>
      </c>
      <c r="W62" s="7">
        <f>IF($AB62="","",V62*U62)</f>
        <v/>
      </c>
      <c r="X62" s="7">
        <f>IF($AB62="","",W62+T62)</f>
        <v/>
      </c>
      <c r="Y62" s="7">
        <f>IF($AB62="","",Z62-X62)</f>
        <v/>
      </c>
      <c r="Z62" s="7">
        <f>IF($AB62="","",S62+V62+Q62)</f>
        <v/>
      </c>
      <c r="AA62" s="7">
        <f>IF($AB62="","",Z62-X62-M62)</f>
        <v/>
      </c>
      <c r="AB62" s="13">
        <f>IF(ROWS($AB$2:$AB62)&lt;=MAX('Per Line'!$AK$2:$AK$4001),MATCH(ROWS($AB$2:$AB62),'Per Line'!$AK$2:$AK$4001,0),"")</f>
        <v/>
      </c>
      <c r="AC62" s="14">
        <f>IF($AB62="","",M62-L62*Z62/100)</f>
        <v/>
      </c>
    </row>
    <row r="63">
      <c r="A63" s="12" t="n"/>
      <c r="B63">
        <f>IF($AB63="","",INDEX('Per Line'!$C$2:$C$4001,$AB63)&amp;"")</f>
        <v/>
      </c>
      <c r="C63">
        <f>IF($AB63="","",INDEX('Per Line'!$D$2:$D$4001,$AB63)&amp;"")</f>
        <v/>
      </c>
      <c r="D63">
        <f>IF($AB63="","",INDEX('Per Line'!$B$2:$B$4001,$AB63)&amp;"")</f>
        <v/>
      </c>
      <c r="E63">
        <f>IF($AB63="","",INDEX('Per Line'!$A$2:$A$4001,$AB63))</f>
        <v/>
      </c>
      <c r="F63" s="11">
        <f>IF($AB63="","",INDEX('Per Line'!$E$2:$E$4001,$AB63))</f>
        <v/>
      </c>
      <c r="G63">
        <f>IF($AB63="","",INDEX('Per Line'!$F$2:$F$4001,$AB63)&amp;"")</f>
        <v/>
      </c>
      <c r="H63">
        <f>IF($AB63="","",INDEX('Per Line'!$H$2:$H$4001,$AB63)&amp;"")</f>
        <v/>
      </c>
      <c r="I63">
        <f>IF($AB63="","",INDEX('Per Line'!$I$2:$I$4001,$AB63)&amp;"")</f>
        <v/>
      </c>
      <c r="J63">
        <f>IF($AB63="","",INDEX('Per Line'!$J$2:$J$4001,$AB63)&amp;"")</f>
        <v/>
      </c>
      <c r="K63">
        <f>IF($AB63="","",INDEX('Per Line'!$K$2:$K$4001,$AB63)&amp;"")</f>
        <v/>
      </c>
      <c r="L63">
        <f>IF($AB63="","",INDEX('Per Line'!$L$2:$L$4001,$AB63))</f>
        <v/>
      </c>
      <c r="M63" s="7">
        <f>IF($AB63="","",IF(AND(ISNUMBER(O63),O63&gt;0,Z63&gt;O63),L63*O63/100+(Z63-O63),L63*Z63/100))</f>
        <v/>
      </c>
      <c r="N63">
        <f>IF($AB63="","",INDEX('Per Line'!$V$2:$V$4001,$AB63)&amp;"")</f>
        <v/>
      </c>
      <c r="O63">
        <f>IF($AB63="","",INDEX('Per Line'!$Z$2:$Z$4001,$AB63))</f>
        <v/>
      </c>
      <c r="P63">
        <f>IF($AB63="","",IF(AND(ISNUMBER(O63),O63&gt;0),Z63&gt;O63,FALSE))</f>
        <v/>
      </c>
      <c r="Q63" s="7">
        <f>IF($AB63="","",SUMIFS('Per Line'!$U$2:$U$4001,'Per Line'!$C$2:$C$4001,$B63,'Per Line'!$AM$2:$AM$4001,1))</f>
        <v/>
      </c>
      <c r="R63">
        <f>IF($AB63="","",Settings!$C$7)</f>
        <v/>
      </c>
      <c r="S63" s="7">
        <f>IF($AB63="","",SUMIFS('Per Line'!$U$2:$U$4001,'Per Line'!$C$2:$C$4001,$B63,'Per Line'!$AL$2:$AL$4001,0,'Per Line'!$AM$2:$AM$4001,0))</f>
        <v/>
      </c>
      <c r="T63" s="7">
        <f>IF($AB63="","",S63*R63)</f>
        <v/>
      </c>
      <c r="U63">
        <f>IF($AB63="","",Settings!$C$6)</f>
        <v/>
      </c>
      <c r="V63" s="7">
        <f>IF($AB63="","",SUMIFS('Per Line'!$U$2:$U$4001,'Per Line'!$C$2:$C$4001,$B63,'Per Line'!$AL$2:$AL$4001,1,'Per Line'!$AM$2:$AM$4001,0))</f>
        <v/>
      </c>
      <c r="W63" s="7">
        <f>IF($AB63="","",V63*U63)</f>
        <v/>
      </c>
      <c r="X63" s="7">
        <f>IF($AB63="","",W63+T63)</f>
        <v/>
      </c>
      <c r="Y63" s="7">
        <f>IF($AB63="","",Z63-X63)</f>
        <v/>
      </c>
      <c r="Z63" s="7">
        <f>IF($AB63="","",S63+V63+Q63)</f>
        <v/>
      </c>
      <c r="AA63" s="7">
        <f>IF($AB63="","",Z63-X63-M63)</f>
        <v/>
      </c>
      <c r="AB63" s="13">
        <f>IF(ROWS($AB$2:$AB63)&lt;=MAX('Per Line'!$AK$2:$AK$4001),MATCH(ROWS($AB$2:$AB63),'Per Line'!$AK$2:$AK$4001,0),"")</f>
        <v/>
      </c>
      <c r="AC63" s="14">
        <f>IF($AB63="","",M63-L63*Z63/100)</f>
        <v/>
      </c>
    </row>
    <row r="64">
      <c r="A64" s="12" t="n"/>
      <c r="B64">
        <f>IF($AB64="","",INDEX('Per Line'!$C$2:$C$4001,$AB64)&amp;"")</f>
        <v/>
      </c>
      <c r="C64">
        <f>IF($AB64="","",INDEX('Per Line'!$D$2:$D$4001,$AB64)&amp;"")</f>
        <v/>
      </c>
      <c r="D64">
        <f>IF($AB64="","",INDEX('Per Line'!$B$2:$B$4001,$AB64)&amp;"")</f>
        <v/>
      </c>
      <c r="E64">
        <f>IF($AB64="","",INDEX('Per Line'!$A$2:$A$4001,$AB64))</f>
        <v/>
      </c>
      <c r="F64" s="11">
        <f>IF($AB64="","",INDEX('Per Line'!$E$2:$E$4001,$AB64))</f>
        <v/>
      </c>
      <c r="G64">
        <f>IF($AB64="","",INDEX('Per Line'!$F$2:$F$4001,$AB64)&amp;"")</f>
        <v/>
      </c>
      <c r="H64">
        <f>IF($AB64="","",INDEX('Per Line'!$H$2:$H$4001,$AB64)&amp;"")</f>
        <v/>
      </c>
      <c r="I64">
        <f>IF($AB64="","",INDEX('Per Line'!$I$2:$I$4001,$AB64)&amp;"")</f>
        <v/>
      </c>
      <c r="J64">
        <f>IF($AB64="","",INDEX('Per Line'!$J$2:$J$4001,$AB64)&amp;"")</f>
        <v/>
      </c>
      <c r="K64">
        <f>IF($AB64="","",INDEX('Per Line'!$K$2:$K$4001,$AB64)&amp;"")</f>
        <v/>
      </c>
      <c r="L64">
        <f>IF($AB64="","",INDEX('Per Line'!$L$2:$L$4001,$AB64))</f>
        <v/>
      </c>
      <c r="M64" s="7">
        <f>IF($AB64="","",IF(AND(ISNUMBER(O64),O64&gt;0,Z64&gt;O64),L64*O64/100+(Z64-O64),L64*Z64/100))</f>
        <v/>
      </c>
      <c r="N64">
        <f>IF($AB64="","",INDEX('Per Line'!$V$2:$V$4001,$AB64)&amp;"")</f>
        <v/>
      </c>
      <c r="O64">
        <f>IF($AB64="","",INDEX('Per Line'!$Z$2:$Z$4001,$AB64))</f>
        <v/>
      </c>
      <c r="P64">
        <f>IF($AB64="","",IF(AND(ISNUMBER(O64),O64&gt;0),Z64&gt;O64,FALSE))</f>
        <v/>
      </c>
      <c r="Q64" s="7">
        <f>IF($AB64="","",SUMIFS('Per Line'!$U$2:$U$4001,'Per Line'!$C$2:$C$4001,$B64,'Per Line'!$AM$2:$AM$4001,1))</f>
        <v/>
      </c>
      <c r="R64">
        <f>IF($AB64="","",Settings!$C$7)</f>
        <v/>
      </c>
      <c r="S64" s="7">
        <f>IF($AB64="","",SUMIFS('Per Line'!$U$2:$U$4001,'Per Line'!$C$2:$C$4001,$B64,'Per Line'!$AL$2:$AL$4001,0,'Per Line'!$AM$2:$AM$4001,0))</f>
        <v/>
      </c>
      <c r="T64" s="7">
        <f>IF($AB64="","",S64*R64)</f>
        <v/>
      </c>
      <c r="U64">
        <f>IF($AB64="","",Settings!$C$6)</f>
        <v/>
      </c>
      <c r="V64" s="7">
        <f>IF($AB64="","",SUMIFS('Per Line'!$U$2:$U$4001,'Per Line'!$C$2:$C$4001,$B64,'Per Line'!$AL$2:$AL$4001,1,'Per Line'!$AM$2:$AM$4001,0))</f>
        <v/>
      </c>
      <c r="W64" s="7">
        <f>IF($AB64="","",V64*U64)</f>
        <v/>
      </c>
      <c r="X64" s="7">
        <f>IF($AB64="","",W64+T64)</f>
        <v/>
      </c>
      <c r="Y64" s="7">
        <f>IF($AB64="","",Z64-X64)</f>
        <v/>
      </c>
      <c r="Z64" s="7">
        <f>IF($AB64="","",S64+V64+Q64)</f>
        <v/>
      </c>
      <c r="AA64" s="7">
        <f>IF($AB64="","",Z64-X64-M64)</f>
        <v/>
      </c>
      <c r="AB64" s="13">
        <f>IF(ROWS($AB$2:$AB64)&lt;=MAX('Per Line'!$AK$2:$AK$4001),MATCH(ROWS($AB$2:$AB64),'Per Line'!$AK$2:$AK$4001,0),"")</f>
        <v/>
      </c>
      <c r="AC64" s="14">
        <f>IF($AB64="","",M64-L64*Z64/100)</f>
        <v/>
      </c>
    </row>
    <row r="65">
      <c r="A65" s="12" t="n"/>
      <c r="B65">
        <f>IF($AB65="","",INDEX('Per Line'!$C$2:$C$4001,$AB65)&amp;"")</f>
        <v/>
      </c>
      <c r="C65">
        <f>IF($AB65="","",INDEX('Per Line'!$D$2:$D$4001,$AB65)&amp;"")</f>
        <v/>
      </c>
      <c r="D65">
        <f>IF($AB65="","",INDEX('Per Line'!$B$2:$B$4001,$AB65)&amp;"")</f>
        <v/>
      </c>
      <c r="E65">
        <f>IF($AB65="","",INDEX('Per Line'!$A$2:$A$4001,$AB65))</f>
        <v/>
      </c>
      <c r="F65" s="11">
        <f>IF($AB65="","",INDEX('Per Line'!$E$2:$E$4001,$AB65))</f>
        <v/>
      </c>
      <c r="G65">
        <f>IF($AB65="","",INDEX('Per Line'!$F$2:$F$4001,$AB65)&amp;"")</f>
        <v/>
      </c>
      <c r="H65">
        <f>IF($AB65="","",INDEX('Per Line'!$H$2:$H$4001,$AB65)&amp;"")</f>
        <v/>
      </c>
      <c r="I65">
        <f>IF($AB65="","",INDEX('Per Line'!$I$2:$I$4001,$AB65)&amp;"")</f>
        <v/>
      </c>
      <c r="J65">
        <f>IF($AB65="","",INDEX('Per Line'!$J$2:$J$4001,$AB65)&amp;"")</f>
        <v/>
      </c>
      <c r="K65">
        <f>IF($AB65="","",INDEX('Per Line'!$K$2:$K$4001,$AB65)&amp;"")</f>
        <v/>
      </c>
      <c r="L65">
        <f>IF($AB65="","",INDEX('Per Line'!$L$2:$L$4001,$AB65))</f>
        <v/>
      </c>
      <c r="M65" s="7">
        <f>IF($AB65="","",IF(AND(ISNUMBER(O65),O65&gt;0,Z65&gt;O65),L65*O65/100+(Z65-O65),L65*Z65/100))</f>
        <v/>
      </c>
      <c r="N65">
        <f>IF($AB65="","",INDEX('Per Line'!$V$2:$V$4001,$AB65)&amp;"")</f>
        <v/>
      </c>
      <c r="O65">
        <f>IF($AB65="","",INDEX('Per Line'!$Z$2:$Z$4001,$AB65))</f>
        <v/>
      </c>
      <c r="P65">
        <f>IF($AB65="","",IF(AND(ISNUMBER(O65),O65&gt;0),Z65&gt;O65,FALSE))</f>
        <v/>
      </c>
      <c r="Q65" s="7">
        <f>IF($AB65="","",SUMIFS('Per Line'!$U$2:$U$4001,'Per Line'!$C$2:$C$4001,$B65,'Per Line'!$AM$2:$AM$4001,1))</f>
        <v/>
      </c>
      <c r="R65">
        <f>IF($AB65="","",Settings!$C$7)</f>
        <v/>
      </c>
      <c r="S65" s="7">
        <f>IF($AB65="","",SUMIFS('Per Line'!$U$2:$U$4001,'Per Line'!$C$2:$C$4001,$B65,'Per Line'!$AL$2:$AL$4001,0,'Per Line'!$AM$2:$AM$4001,0))</f>
        <v/>
      </c>
      <c r="T65" s="7">
        <f>IF($AB65="","",S65*R65)</f>
        <v/>
      </c>
      <c r="U65">
        <f>IF($AB65="","",Settings!$C$6)</f>
        <v/>
      </c>
      <c r="V65" s="7">
        <f>IF($AB65="","",SUMIFS('Per Line'!$U$2:$U$4001,'Per Line'!$C$2:$C$4001,$B65,'Per Line'!$AL$2:$AL$4001,1,'Per Line'!$AM$2:$AM$4001,0))</f>
        <v/>
      </c>
      <c r="W65" s="7">
        <f>IF($AB65="","",V65*U65)</f>
        <v/>
      </c>
      <c r="X65" s="7">
        <f>IF($AB65="","",W65+T65)</f>
        <v/>
      </c>
      <c r="Y65" s="7">
        <f>IF($AB65="","",Z65-X65)</f>
        <v/>
      </c>
      <c r="Z65" s="7">
        <f>IF($AB65="","",S65+V65+Q65)</f>
        <v/>
      </c>
      <c r="AA65" s="7">
        <f>IF($AB65="","",Z65-X65-M65)</f>
        <v/>
      </c>
      <c r="AB65" s="13">
        <f>IF(ROWS($AB$2:$AB65)&lt;=MAX('Per Line'!$AK$2:$AK$4001),MATCH(ROWS($AB$2:$AB65),'Per Line'!$AK$2:$AK$4001,0),"")</f>
        <v/>
      </c>
      <c r="AC65" s="14">
        <f>IF($AB65="","",M65-L65*Z65/100)</f>
        <v/>
      </c>
    </row>
    <row r="66">
      <c r="A66" s="12" t="n"/>
      <c r="B66">
        <f>IF($AB66="","",INDEX('Per Line'!$C$2:$C$4001,$AB66)&amp;"")</f>
        <v/>
      </c>
      <c r="C66">
        <f>IF($AB66="","",INDEX('Per Line'!$D$2:$D$4001,$AB66)&amp;"")</f>
        <v/>
      </c>
      <c r="D66">
        <f>IF($AB66="","",INDEX('Per Line'!$B$2:$B$4001,$AB66)&amp;"")</f>
        <v/>
      </c>
      <c r="E66">
        <f>IF($AB66="","",INDEX('Per Line'!$A$2:$A$4001,$AB66))</f>
        <v/>
      </c>
      <c r="F66" s="11">
        <f>IF($AB66="","",INDEX('Per Line'!$E$2:$E$4001,$AB66))</f>
        <v/>
      </c>
      <c r="G66">
        <f>IF($AB66="","",INDEX('Per Line'!$F$2:$F$4001,$AB66)&amp;"")</f>
        <v/>
      </c>
      <c r="H66">
        <f>IF($AB66="","",INDEX('Per Line'!$H$2:$H$4001,$AB66)&amp;"")</f>
        <v/>
      </c>
      <c r="I66">
        <f>IF($AB66="","",INDEX('Per Line'!$I$2:$I$4001,$AB66)&amp;"")</f>
        <v/>
      </c>
      <c r="J66">
        <f>IF($AB66="","",INDEX('Per Line'!$J$2:$J$4001,$AB66)&amp;"")</f>
        <v/>
      </c>
      <c r="K66">
        <f>IF($AB66="","",INDEX('Per Line'!$K$2:$K$4001,$AB66)&amp;"")</f>
        <v/>
      </c>
      <c r="L66">
        <f>IF($AB66="","",INDEX('Per Line'!$L$2:$L$4001,$AB66))</f>
        <v/>
      </c>
      <c r="M66" s="7">
        <f>IF($AB66="","",IF(AND(ISNUMBER(O66),O66&gt;0,Z66&gt;O66),L66*O66/100+(Z66-O66),L66*Z66/100))</f>
        <v/>
      </c>
      <c r="N66">
        <f>IF($AB66="","",INDEX('Per Line'!$V$2:$V$4001,$AB66)&amp;"")</f>
        <v/>
      </c>
      <c r="O66">
        <f>IF($AB66="","",INDEX('Per Line'!$Z$2:$Z$4001,$AB66))</f>
        <v/>
      </c>
      <c r="P66">
        <f>IF($AB66="","",IF(AND(ISNUMBER(O66),O66&gt;0),Z66&gt;O66,FALSE))</f>
        <v/>
      </c>
      <c r="Q66" s="7">
        <f>IF($AB66="","",SUMIFS('Per Line'!$U$2:$U$4001,'Per Line'!$C$2:$C$4001,$B66,'Per Line'!$AM$2:$AM$4001,1))</f>
        <v/>
      </c>
      <c r="R66">
        <f>IF($AB66="","",Settings!$C$7)</f>
        <v/>
      </c>
      <c r="S66" s="7">
        <f>IF($AB66="","",SUMIFS('Per Line'!$U$2:$U$4001,'Per Line'!$C$2:$C$4001,$B66,'Per Line'!$AL$2:$AL$4001,0,'Per Line'!$AM$2:$AM$4001,0))</f>
        <v/>
      </c>
      <c r="T66" s="7">
        <f>IF($AB66="","",S66*R66)</f>
        <v/>
      </c>
      <c r="U66">
        <f>IF($AB66="","",Settings!$C$6)</f>
        <v/>
      </c>
      <c r="V66" s="7">
        <f>IF($AB66="","",SUMIFS('Per Line'!$U$2:$U$4001,'Per Line'!$C$2:$C$4001,$B66,'Per Line'!$AL$2:$AL$4001,1,'Per Line'!$AM$2:$AM$4001,0))</f>
        <v/>
      </c>
      <c r="W66" s="7">
        <f>IF($AB66="","",V66*U66)</f>
        <v/>
      </c>
      <c r="X66" s="7">
        <f>IF($AB66="","",W66+T66)</f>
        <v/>
      </c>
      <c r="Y66" s="7">
        <f>IF($AB66="","",Z66-X66)</f>
        <v/>
      </c>
      <c r="Z66" s="7">
        <f>IF($AB66="","",S66+V66+Q66)</f>
        <v/>
      </c>
      <c r="AA66" s="7">
        <f>IF($AB66="","",Z66-X66-M66)</f>
        <v/>
      </c>
      <c r="AB66" s="13">
        <f>IF(ROWS($AB$2:$AB66)&lt;=MAX('Per Line'!$AK$2:$AK$4001),MATCH(ROWS($AB$2:$AB66),'Per Line'!$AK$2:$AK$4001,0),"")</f>
        <v/>
      </c>
      <c r="AC66" s="14">
        <f>IF($AB66="","",M66-L66*Z66/100)</f>
        <v/>
      </c>
    </row>
    <row r="67">
      <c r="A67" s="12" t="n"/>
      <c r="B67">
        <f>IF($AB67="","",INDEX('Per Line'!$C$2:$C$4001,$AB67)&amp;"")</f>
        <v/>
      </c>
      <c r="C67">
        <f>IF($AB67="","",INDEX('Per Line'!$D$2:$D$4001,$AB67)&amp;"")</f>
        <v/>
      </c>
      <c r="D67">
        <f>IF($AB67="","",INDEX('Per Line'!$B$2:$B$4001,$AB67)&amp;"")</f>
        <v/>
      </c>
      <c r="E67">
        <f>IF($AB67="","",INDEX('Per Line'!$A$2:$A$4001,$AB67))</f>
        <v/>
      </c>
      <c r="F67" s="11">
        <f>IF($AB67="","",INDEX('Per Line'!$E$2:$E$4001,$AB67))</f>
        <v/>
      </c>
      <c r="G67">
        <f>IF($AB67="","",INDEX('Per Line'!$F$2:$F$4001,$AB67)&amp;"")</f>
        <v/>
      </c>
      <c r="H67">
        <f>IF($AB67="","",INDEX('Per Line'!$H$2:$H$4001,$AB67)&amp;"")</f>
        <v/>
      </c>
      <c r="I67">
        <f>IF($AB67="","",INDEX('Per Line'!$I$2:$I$4001,$AB67)&amp;"")</f>
        <v/>
      </c>
      <c r="J67">
        <f>IF($AB67="","",INDEX('Per Line'!$J$2:$J$4001,$AB67)&amp;"")</f>
        <v/>
      </c>
      <c r="K67">
        <f>IF($AB67="","",INDEX('Per Line'!$K$2:$K$4001,$AB67)&amp;"")</f>
        <v/>
      </c>
      <c r="L67">
        <f>IF($AB67="","",INDEX('Per Line'!$L$2:$L$4001,$AB67))</f>
        <v/>
      </c>
      <c r="M67" s="7">
        <f>IF($AB67="","",IF(AND(ISNUMBER(O67),O67&gt;0,Z67&gt;O67),L67*O67/100+(Z67-O67),L67*Z67/100))</f>
        <v/>
      </c>
      <c r="N67">
        <f>IF($AB67="","",INDEX('Per Line'!$V$2:$V$4001,$AB67)&amp;"")</f>
        <v/>
      </c>
      <c r="O67">
        <f>IF($AB67="","",INDEX('Per Line'!$Z$2:$Z$4001,$AB67))</f>
        <v/>
      </c>
      <c r="P67">
        <f>IF($AB67="","",IF(AND(ISNUMBER(O67),O67&gt;0),Z67&gt;O67,FALSE))</f>
        <v/>
      </c>
      <c r="Q67" s="7">
        <f>IF($AB67="","",SUMIFS('Per Line'!$U$2:$U$4001,'Per Line'!$C$2:$C$4001,$B67,'Per Line'!$AM$2:$AM$4001,1))</f>
        <v/>
      </c>
      <c r="R67">
        <f>IF($AB67="","",Settings!$C$7)</f>
        <v/>
      </c>
      <c r="S67" s="7">
        <f>IF($AB67="","",SUMIFS('Per Line'!$U$2:$U$4001,'Per Line'!$C$2:$C$4001,$B67,'Per Line'!$AL$2:$AL$4001,0,'Per Line'!$AM$2:$AM$4001,0))</f>
        <v/>
      </c>
      <c r="T67" s="7">
        <f>IF($AB67="","",S67*R67)</f>
        <v/>
      </c>
      <c r="U67">
        <f>IF($AB67="","",Settings!$C$6)</f>
        <v/>
      </c>
      <c r="V67" s="7">
        <f>IF($AB67="","",SUMIFS('Per Line'!$U$2:$U$4001,'Per Line'!$C$2:$C$4001,$B67,'Per Line'!$AL$2:$AL$4001,1,'Per Line'!$AM$2:$AM$4001,0))</f>
        <v/>
      </c>
      <c r="W67" s="7">
        <f>IF($AB67="","",V67*U67)</f>
        <v/>
      </c>
      <c r="X67" s="7">
        <f>IF($AB67="","",W67+T67)</f>
        <v/>
      </c>
      <c r="Y67" s="7">
        <f>IF($AB67="","",Z67-X67)</f>
        <v/>
      </c>
      <c r="Z67" s="7">
        <f>IF($AB67="","",S67+V67+Q67)</f>
        <v/>
      </c>
      <c r="AA67" s="7">
        <f>IF($AB67="","",Z67-X67-M67)</f>
        <v/>
      </c>
      <c r="AB67" s="13">
        <f>IF(ROWS($AB$2:$AB67)&lt;=MAX('Per Line'!$AK$2:$AK$4001),MATCH(ROWS($AB$2:$AB67),'Per Line'!$AK$2:$AK$4001,0),"")</f>
        <v/>
      </c>
      <c r="AC67" s="14">
        <f>IF($AB67="","",M67-L67*Z67/100)</f>
        <v/>
      </c>
    </row>
    <row r="68">
      <c r="A68" s="12" t="n"/>
      <c r="B68">
        <f>IF($AB68="","",INDEX('Per Line'!$C$2:$C$4001,$AB68)&amp;"")</f>
        <v/>
      </c>
      <c r="C68">
        <f>IF($AB68="","",INDEX('Per Line'!$D$2:$D$4001,$AB68)&amp;"")</f>
        <v/>
      </c>
      <c r="D68">
        <f>IF($AB68="","",INDEX('Per Line'!$B$2:$B$4001,$AB68)&amp;"")</f>
        <v/>
      </c>
      <c r="E68">
        <f>IF($AB68="","",INDEX('Per Line'!$A$2:$A$4001,$AB68))</f>
        <v/>
      </c>
      <c r="F68" s="11">
        <f>IF($AB68="","",INDEX('Per Line'!$E$2:$E$4001,$AB68))</f>
        <v/>
      </c>
      <c r="G68">
        <f>IF($AB68="","",INDEX('Per Line'!$F$2:$F$4001,$AB68)&amp;"")</f>
        <v/>
      </c>
      <c r="H68">
        <f>IF($AB68="","",INDEX('Per Line'!$H$2:$H$4001,$AB68)&amp;"")</f>
        <v/>
      </c>
      <c r="I68">
        <f>IF($AB68="","",INDEX('Per Line'!$I$2:$I$4001,$AB68)&amp;"")</f>
        <v/>
      </c>
      <c r="J68">
        <f>IF($AB68="","",INDEX('Per Line'!$J$2:$J$4001,$AB68)&amp;"")</f>
        <v/>
      </c>
      <c r="K68">
        <f>IF($AB68="","",INDEX('Per Line'!$K$2:$K$4001,$AB68)&amp;"")</f>
        <v/>
      </c>
      <c r="L68">
        <f>IF($AB68="","",INDEX('Per Line'!$L$2:$L$4001,$AB68))</f>
        <v/>
      </c>
      <c r="M68" s="7">
        <f>IF($AB68="","",IF(AND(ISNUMBER(O68),O68&gt;0,Z68&gt;O68),L68*O68/100+(Z68-O68),L68*Z68/100))</f>
        <v/>
      </c>
      <c r="N68">
        <f>IF($AB68="","",INDEX('Per Line'!$V$2:$V$4001,$AB68)&amp;"")</f>
        <v/>
      </c>
      <c r="O68">
        <f>IF($AB68="","",INDEX('Per Line'!$Z$2:$Z$4001,$AB68))</f>
        <v/>
      </c>
      <c r="P68">
        <f>IF($AB68="","",IF(AND(ISNUMBER(O68),O68&gt;0),Z68&gt;O68,FALSE))</f>
        <v/>
      </c>
      <c r="Q68" s="7">
        <f>IF($AB68="","",SUMIFS('Per Line'!$U$2:$U$4001,'Per Line'!$C$2:$C$4001,$B68,'Per Line'!$AM$2:$AM$4001,1))</f>
        <v/>
      </c>
      <c r="R68">
        <f>IF($AB68="","",Settings!$C$7)</f>
        <v/>
      </c>
      <c r="S68" s="7">
        <f>IF($AB68="","",SUMIFS('Per Line'!$U$2:$U$4001,'Per Line'!$C$2:$C$4001,$B68,'Per Line'!$AL$2:$AL$4001,0,'Per Line'!$AM$2:$AM$4001,0))</f>
        <v/>
      </c>
      <c r="T68" s="7">
        <f>IF($AB68="","",S68*R68)</f>
        <v/>
      </c>
      <c r="U68">
        <f>IF($AB68="","",Settings!$C$6)</f>
        <v/>
      </c>
      <c r="V68" s="7">
        <f>IF($AB68="","",SUMIFS('Per Line'!$U$2:$U$4001,'Per Line'!$C$2:$C$4001,$B68,'Per Line'!$AL$2:$AL$4001,1,'Per Line'!$AM$2:$AM$4001,0))</f>
        <v/>
      </c>
      <c r="W68" s="7">
        <f>IF($AB68="","",V68*U68)</f>
        <v/>
      </c>
      <c r="X68" s="7">
        <f>IF($AB68="","",W68+T68)</f>
        <v/>
      </c>
      <c r="Y68" s="7">
        <f>IF($AB68="","",Z68-X68)</f>
        <v/>
      </c>
      <c r="Z68" s="7">
        <f>IF($AB68="","",S68+V68+Q68)</f>
        <v/>
      </c>
      <c r="AA68" s="7">
        <f>IF($AB68="","",Z68-X68-M68)</f>
        <v/>
      </c>
      <c r="AB68" s="13">
        <f>IF(ROWS($AB$2:$AB68)&lt;=MAX('Per Line'!$AK$2:$AK$4001),MATCH(ROWS($AB$2:$AB68),'Per Line'!$AK$2:$AK$4001,0),"")</f>
        <v/>
      </c>
      <c r="AC68" s="14">
        <f>IF($AB68="","",M68-L68*Z68/100)</f>
        <v/>
      </c>
    </row>
    <row r="69">
      <c r="A69" s="12" t="n"/>
      <c r="B69">
        <f>IF($AB69="","",INDEX('Per Line'!$C$2:$C$4001,$AB69)&amp;"")</f>
        <v/>
      </c>
      <c r="C69">
        <f>IF($AB69="","",INDEX('Per Line'!$D$2:$D$4001,$AB69)&amp;"")</f>
        <v/>
      </c>
      <c r="D69">
        <f>IF($AB69="","",INDEX('Per Line'!$B$2:$B$4001,$AB69)&amp;"")</f>
        <v/>
      </c>
      <c r="E69">
        <f>IF($AB69="","",INDEX('Per Line'!$A$2:$A$4001,$AB69))</f>
        <v/>
      </c>
      <c r="F69" s="11">
        <f>IF($AB69="","",INDEX('Per Line'!$E$2:$E$4001,$AB69))</f>
        <v/>
      </c>
      <c r="G69">
        <f>IF($AB69="","",INDEX('Per Line'!$F$2:$F$4001,$AB69)&amp;"")</f>
        <v/>
      </c>
      <c r="H69">
        <f>IF($AB69="","",INDEX('Per Line'!$H$2:$H$4001,$AB69)&amp;"")</f>
        <v/>
      </c>
      <c r="I69">
        <f>IF($AB69="","",INDEX('Per Line'!$I$2:$I$4001,$AB69)&amp;"")</f>
        <v/>
      </c>
      <c r="J69">
        <f>IF($AB69="","",INDEX('Per Line'!$J$2:$J$4001,$AB69)&amp;"")</f>
        <v/>
      </c>
      <c r="K69">
        <f>IF($AB69="","",INDEX('Per Line'!$K$2:$K$4001,$AB69)&amp;"")</f>
        <v/>
      </c>
      <c r="L69">
        <f>IF($AB69="","",INDEX('Per Line'!$L$2:$L$4001,$AB69))</f>
        <v/>
      </c>
      <c r="M69" s="7">
        <f>IF($AB69="","",IF(AND(ISNUMBER(O69),O69&gt;0,Z69&gt;O69),L69*O69/100+(Z69-O69),L69*Z69/100))</f>
        <v/>
      </c>
      <c r="N69">
        <f>IF($AB69="","",INDEX('Per Line'!$V$2:$V$4001,$AB69)&amp;"")</f>
        <v/>
      </c>
      <c r="O69">
        <f>IF($AB69="","",INDEX('Per Line'!$Z$2:$Z$4001,$AB69))</f>
        <v/>
      </c>
      <c r="P69">
        <f>IF($AB69="","",IF(AND(ISNUMBER(O69),O69&gt;0),Z69&gt;O69,FALSE))</f>
        <v/>
      </c>
      <c r="Q69" s="7">
        <f>IF($AB69="","",SUMIFS('Per Line'!$U$2:$U$4001,'Per Line'!$C$2:$C$4001,$B69,'Per Line'!$AM$2:$AM$4001,1))</f>
        <v/>
      </c>
      <c r="R69">
        <f>IF($AB69="","",Settings!$C$7)</f>
        <v/>
      </c>
      <c r="S69" s="7">
        <f>IF($AB69="","",SUMIFS('Per Line'!$U$2:$U$4001,'Per Line'!$C$2:$C$4001,$B69,'Per Line'!$AL$2:$AL$4001,0,'Per Line'!$AM$2:$AM$4001,0))</f>
        <v/>
      </c>
      <c r="T69" s="7">
        <f>IF($AB69="","",S69*R69)</f>
        <v/>
      </c>
      <c r="U69">
        <f>IF($AB69="","",Settings!$C$6)</f>
        <v/>
      </c>
      <c r="V69" s="7">
        <f>IF($AB69="","",SUMIFS('Per Line'!$U$2:$U$4001,'Per Line'!$C$2:$C$4001,$B69,'Per Line'!$AL$2:$AL$4001,1,'Per Line'!$AM$2:$AM$4001,0))</f>
        <v/>
      </c>
      <c r="W69" s="7">
        <f>IF($AB69="","",V69*U69)</f>
        <v/>
      </c>
      <c r="X69" s="7">
        <f>IF($AB69="","",W69+T69)</f>
        <v/>
      </c>
      <c r="Y69" s="7">
        <f>IF($AB69="","",Z69-X69)</f>
        <v/>
      </c>
      <c r="Z69" s="7">
        <f>IF($AB69="","",S69+V69+Q69)</f>
        <v/>
      </c>
      <c r="AA69" s="7">
        <f>IF($AB69="","",Z69-X69-M69)</f>
        <v/>
      </c>
      <c r="AB69" s="13">
        <f>IF(ROWS($AB$2:$AB69)&lt;=MAX('Per Line'!$AK$2:$AK$4001),MATCH(ROWS($AB$2:$AB69),'Per Line'!$AK$2:$AK$4001,0),"")</f>
        <v/>
      </c>
      <c r="AC69" s="14">
        <f>IF($AB69="","",M69-L69*Z69/100)</f>
        <v/>
      </c>
    </row>
    <row r="70">
      <c r="A70" s="12" t="n"/>
      <c r="B70">
        <f>IF($AB70="","",INDEX('Per Line'!$C$2:$C$4001,$AB70)&amp;"")</f>
        <v/>
      </c>
      <c r="C70">
        <f>IF($AB70="","",INDEX('Per Line'!$D$2:$D$4001,$AB70)&amp;"")</f>
        <v/>
      </c>
      <c r="D70">
        <f>IF($AB70="","",INDEX('Per Line'!$B$2:$B$4001,$AB70)&amp;"")</f>
        <v/>
      </c>
      <c r="E70">
        <f>IF($AB70="","",INDEX('Per Line'!$A$2:$A$4001,$AB70))</f>
        <v/>
      </c>
      <c r="F70" s="11">
        <f>IF($AB70="","",INDEX('Per Line'!$E$2:$E$4001,$AB70))</f>
        <v/>
      </c>
      <c r="G70">
        <f>IF($AB70="","",INDEX('Per Line'!$F$2:$F$4001,$AB70)&amp;"")</f>
        <v/>
      </c>
      <c r="H70">
        <f>IF($AB70="","",INDEX('Per Line'!$H$2:$H$4001,$AB70)&amp;"")</f>
        <v/>
      </c>
      <c r="I70">
        <f>IF($AB70="","",INDEX('Per Line'!$I$2:$I$4001,$AB70)&amp;"")</f>
        <v/>
      </c>
      <c r="J70">
        <f>IF($AB70="","",INDEX('Per Line'!$J$2:$J$4001,$AB70)&amp;"")</f>
        <v/>
      </c>
      <c r="K70">
        <f>IF($AB70="","",INDEX('Per Line'!$K$2:$K$4001,$AB70)&amp;"")</f>
        <v/>
      </c>
      <c r="L70">
        <f>IF($AB70="","",INDEX('Per Line'!$L$2:$L$4001,$AB70))</f>
        <v/>
      </c>
      <c r="M70" s="7">
        <f>IF($AB70="","",IF(AND(ISNUMBER(O70),O70&gt;0,Z70&gt;O70),L70*O70/100+(Z70-O70),L70*Z70/100))</f>
        <v/>
      </c>
      <c r="N70">
        <f>IF($AB70="","",INDEX('Per Line'!$V$2:$V$4001,$AB70)&amp;"")</f>
        <v/>
      </c>
      <c r="O70">
        <f>IF($AB70="","",INDEX('Per Line'!$Z$2:$Z$4001,$AB70))</f>
        <v/>
      </c>
      <c r="P70">
        <f>IF($AB70="","",IF(AND(ISNUMBER(O70),O70&gt;0),Z70&gt;O70,FALSE))</f>
        <v/>
      </c>
      <c r="Q70" s="7">
        <f>IF($AB70="","",SUMIFS('Per Line'!$U$2:$U$4001,'Per Line'!$C$2:$C$4001,$B70,'Per Line'!$AM$2:$AM$4001,1))</f>
        <v/>
      </c>
      <c r="R70">
        <f>IF($AB70="","",Settings!$C$7)</f>
        <v/>
      </c>
      <c r="S70" s="7">
        <f>IF($AB70="","",SUMIFS('Per Line'!$U$2:$U$4001,'Per Line'!$C$2:$C$4001,$B70,'Per Line'!$AL$2:$AL$4001,0,'Per Line'!$AM$2:$AM$4001,0))</f>
        <v/>
      </c>
      <c r="T70" s="7">
        <f>IF($AB70="","",S70*R70)</f>
        <v/>
      </c>
      <c r="U70">
        <f>IF($AB70="","",Settings!$C$6)</f>
        <v/>
      </c>
      <c r="V70" s="7">
        <f>IF($AB70="","",SUMIFS('Per Line'!$U$2:$U$4001,'Per Line'!$C$2:$C$4001,$B70,'Per Line'!$AL$2:$AL$4001,1,'Per Line'!$AM$2:$AM$4001,0))</f>
        <v/>
      </c>
      <c r="W70" s="7">
        <f>IF($AB70="","",V70*U70)</f>
        <v/>
      </c>
      <c r="X70" s="7">
        <f>IF($AB70="","",W70+T70)</f>
        <v/>
      </c>
      <c r="Y70" s="7">
        <f>IF($AB70="","",Z70-X70)</f>
        <v/>
      </c>
      <c r="Z70" s="7">
        <f>IF($AB70="","",S70+V70+Q70)</f>
        <v/>
      </c>
      <c r="AA70" s="7">
        <f>IF($AB70="","",Z70-X70-M70)</f>
        <v/>
      </c>
      <c r="AB70" s="13">
        <f>IF(ROWS($AB$2:$AB70)&lt;=MAX('Per Line'!$AK$2:$AK$4001),MATCH(ROWS($AB$2:$AB70),'Per Line'!$AK$2:$AK$4001,0),"")</f>
        <v/>
      </c>
      <c r="AC70" s="14">
        <f>IF($AB70="","",M70-L70*Z70/100)</f>
        <v/>
      </c>
    </row>
    <row r="71">
      <c r="A71" s="12" t="n"/>
      <c r="B71">
        <f>IF($AB71="","",INDEX('Per Line'!$C$2:$C$4001,$AB71)&amp;"")</f>
        <v/>
      </c>
      <c r="C71">
        <f>IF($AB71="","",INDEX('Per Line'!$D$2:$D$4001,$AB71)&amp;"")</f>
        <v/>
      </c>
      <c r="D71">
        <f>IF($AB71="","",INDEX('Per Line'!$B$2:$B$4001,$AB71)&amp;"")</f>
        <v/>
      </c>
      <c r="E71">
        <f>IF($AB71="","",INDEX('Per Line'!$A$2:$A$4001,$AB71))</f>
        <v/>
      </c>
      <c r="F71" s="11">
        <f>IF($AB71="","",INDEX('Per Line'!$E$2:$E$4001,$AB71))</f>
        <v/>
      </c>
      <c r="G71">
        <f>IF($AB71="","",INDEX('Per Line'!$F$2:$F$4001,$AB71)&amp;"")</f>
        <v/>
      </c>
      <c r="H71">
        <f>IF($AB71="","",INDEX('Per Line'!$H$2:$H$4001,$AB71)&amp;"")</f>
        <v/>
      </c>
      <c r="I71">
        <f>IF($AB71="","",INDEX('Per Line'!$I$2:$I$4001,$AB71)&amp;"")</f>
        <v/>
      </c>
      <c r="J71">
        <f>IF($AB71="","",INDEX('Per Line'!$J$2:$J$4001,$AB71)&amp;"")</f>
        <v/>
      </c>
      <c r="K71">
        <f>IF($AB71="","",INDEX('Per Line'!$K$2:$K$4001,$AB71)&amp;"")</f>
        <v/>
      </c>
      <c r="L71">
        <f>IF($AB71="","",INDEX('Per Line'!$L$2:$L$4001,$AB71))</f>
        <v/>
      </c>
      <c r="M71" s="7">
        <f>IF($AB71="","",IF(AND(ISNUMBER(O71),O71&gt;0,Z71&gt;O71),L71*O71/100+(Z71-O71),L71*Z71/100))</f>
        <v/>
      </c>
      <c r="N71">
        <f>IF($AB71="","",INDEX('Per Line'!$V$2:$V$4001,$AB71)&amp;"")</f>
        <v/>
      </c>
      <c r="O71">
        <f>IF($AB71="","",INDEX('Per Line'!$Z$2:$Z$4001,$AB71))</f>
        <v/>
      </c>
      <c r="P71">
        <f>IF($AB71="","",IF(AND(ISNUMBER(O71),O71&gt;0),Z71&gt;O71,FALSE))</f>
        <v/>
      </c>
      <c r="Q71" s="7">
        <f>IF($AB71="","",SUMIFS('Per Line'!$U$2:$U$4001,'Per Line'!$C$2:$C$4001,$B71,'Per Line'!$AM$2:$AM$4001,1))</f>
        <v/>
      </c>
      <c r="R71">
        <f>IF($AB71="","",Settings!$C$7)</f>
        <v/>
      </c>
      <c r="S71" s="7">
        <f>IF($AB71="","",SUMIFS('Per Line'!$U$2:$U$4001,'Per Line'!$C$2:$C$4001,$B71,'Per Line'!$AL$2:$AL$4001,0,'Per Line'!$AM$2:$AM$4001,0))</f>
        <v/>
      </c>
      <c r="T71" s="7">
        <f>IF($AB71="","",S71*R71)</f>
        <v/>
      </c>
      <c r="U71">
        <f>IF($AB71="","",Settings!$C$6)</f>
        <v/>
      </c>
      <c r="V71" s="7">
        <f>IF($AB71="","",SUMIFS('Per Line'!$U$2:$U$4001,'Per Line'!$C$2:$C$4001,$B71,'Per Line'!$AL$2:$AL$4001,1,'Per Line'!$AM$2:$AM$4001,0))</f>
        <v/>
      </c>
      <c r="W71" s="7">
        <f>IF($AB71="","",V71*U71)</f>
        <v/>
      </c>
      <c r="X71" s="7">
        <f>IF($AB71="","",W71+T71)</f>
        <v/>
      </c>
      <c r="Y71" s="7">
        <f>IF($AB71="","",Z71-X71)</f>
        <v/>
      </c>
      <c r="Z71" s="7">
        <f>IF($AB71="","",S71+V71+Q71)</f>
        <v/>
      </c>
      <c r="AA71" s="7">
        <f>IF($AB71="","",Z71-X71-M71)</f>
        <v/>
      </c>
      <c r="AB71" s="13">
        <f>IF(ROWS($AB$2:$AB71)&lt;=MAX('Per Line'!$AK$2:$AK$4001),MATCH(ROWS($AB$2:$AB71),'Per Line'!$AK$2:$AK$4001,0),"")</f>
        <v/>
      </c>
      <c r="AC71" s="14">
        <f>IF($AB71="","",M71-L71*Z71/100)</f>
        <v/>
      </c>
    </row>
    <row r="72">
      <c r="A72" s="12" t="n"/>
      <c r="B72">
        <f>IF($AB72="","",INDEX('Per Line'!$C$2:$C$4001,$AB72)&amp;"")</f>
        <v/>
      </c>
      <c r="C72">
        <f>IF($AB72="","",INDEX('Per Line'!$D$2:$D$4001,$AB72)&amp;"")</f>
        <v/>
      </c>
      <c r="D72">
        <f>IF($AB72="","",INDEX('Per Line'!$B$2:$B$4001,$AB72)&amp;"")</f>
        <v/>
      </c>
      <c r="E72">
        <f>IF($AB72="","",INDEX('Per Line'!$A$2:$A$4001,$AB72))</f>
        <v/>
      </c>
      <c r="F72" s="11">
        <f>IF($AB72="","",INDEX('Per Line'!$E$2:$E$4001,$AB72))</f>
        <v/>
      </c>
      <c r="G72">
        <f>IF($AB72="","",INDEX('Per Line'!$F$2:$F$4001,$AB72)&amp;"")</f>
        <v/>
      </c>
      <c r="H72">
        <f>IF($AB72="","",INDEX('Per Line'!$H$2:$H$4001,$AB72)&amp;"")</f>
        <v/>
      </c>
      <c r="I72">
        <f>IF($AB72="","",INDEX('Per Line'!$I$2:$I$4001,$AB72)&amp;"")</f>
        <v/>
      </c>
      <c r="J72">
        <f>IF($AB72="","",INDEX('Per Line'!$J$2:$J$4001,$AB72)&amp;"")</f>
        <v/>
      </c>
      <c r="K72">
        <f>IF($AB72="","",INDEX('Per Line'!$K$2:$K$4001,$AB72)&amp;"")</f>
        <v/>
      </c>
      <c r="L72">
        <f>IF($AB72="","",INDEX('Per Line'!$L$2:$L$4001,$AB72))</f>
        <v/>
      </c>
      <c r="M72" s="7">
        <f>IF($AB72="","",IF(AND(ISNUMBER(O72),O72&gt;0,Z72&gt;O72),L72*O72/100+(Z72-O72),L72*Z72/100))</f>
        <v/>
      </c>
      <c r="N72">
        <f>IF($AB72="","",INDEX('Per Line'!$V$2:$V$4001,$AB72)&amp;"")</f>
        <v/>
      </c>
      <c r="O72">
        <f>IF($AB72="","",INDEX('Per Line'!$Z$2:$Z$4001,$AB72))</f>
        <v/>
      </c>
      <c r="P72">
        <f>IF($AB72="","",IF(AND(ISNUMBER(O72),O72&gt;0),Z72&gt;O72,FALSE))</f>
        <v/>
      </c>
      <c r="Q72" s="7">
        <f>IF($AB72="","",SUMIFS('Per Line'!$U$2:$U$4001,'Per Line'!$C$2:$C$4001,$B72,'Per Line'!$AM$2:$AM$4001,1))</f>
        <v/>
      </c>
      <c r="R72">
        <f>IF($AB72="","",Settings!$C$7)</f>
        <v/>
      </c>
      <c r="S72" s="7">
        <f>IF($AB72="","",SUMIFS('Per Line'!$U$2:$U$4001,'Per Line'!$C$2:$C$4001,$B72,'Per Line'!$AL$2:$AL$4001,0,'Per Line'!$AM$2:$AM$4001,0))</f>
        <v/>
      </c>
      <c r="T72" s="7">
        <f>IF($AB72="","",S72*R72)</f>
        <v/>
      </c>
      <c r="U72">
        <f>IF($AB72="","",Settings!$C$6)</f>
        <v/>
      </c>
      <c r="V72" s="7">
        <f>IF($AB72="","",SUMIFS('Per Line'!$U$2:$U$4001,'Per Line'!$C$2:$C$4001,$B72,'Per Line'!$AL$2:$AL$4001,1,'Per Line'!$AM$2:$AM$4001,0))</f>
        <v/>
      </c>
      <c r="W72" s="7">
        <f>IF($AB72="","",V72*U72)</f>
        <v/>
      </c>
      <c r="X72" s="7">
        <f>IF($AB72="","",W72+T72)</f>
        <v/>
      </c>
      <c r="Y72" s="7">
        <f>IF($AB72="","",Z72-X72)</f>
        <v/>
      </c>
      <c r="Z72" s="7">
        <f>IF($AB72="","",S72+V72+Q72)</f>
        <v/>
      </c>
      <c r="AA72" s="7">
        <f>IF($AB72="","",Z72-X72-M72)</f>
        <v/>
      </c>
      <c r="AB72" s="13">
        <f>IF(ROWS($AB$2:$AB72)&lt;=MAX('Per Line'!$AK$2:$AK$4001),MATCH(ROWS($AB$2:$AB72),'Per Line'!$AK$2:$AK$4001,0),"")</f>
        <v/>
      </c>
      <c r="AC72" s="14">
        <f>IF($AB72="","",M72-L72*Z72/100)</f>
        <v/>
      </c>
    </row>
    <row r="73">
      <c r="A73" s="12" t="n"/>
      <c r="B73">
        <f>IF($AB73="","",INDEX('Per Line'!$C$2:$C$4001,$AB73)&amp;"")</f>
        <v/>
      </c>
      <c r="C73">
        <f>IF($AB73="","",INDEX('Per Line'!$D$2:$D$4001,$AB73)&amp;"")</f>
        <v/>
      </c>
      <c r="D73">
        <f>IF($AB73="","",INDEX('Per Line'!$B$2:$B$4001,$AB73)&amp;"")</f>
        <v/>
      </c>
      <c r="E73">
        <f>IF($AB73="","",INDEX('Per Line'!$A$2:$A$4001,$AB73))</f>
        <v/>
      </c>
      <c r="F73" s="11">
        <f>IF($AB73="","",INDEX('Per Line'!$E$2:$E$4001,$AB73))</f>
        <v/>
      </c>
      <c r="G73">
        <f>IF($AB73="","",INDEX('Per Line'!$F$2:$F$4001,$AB73)&amp;"")</f>
        <v/>
      </c>
      <c r="H73">
        <f>IF($AB73="","",INDEX('Per Line'!$H$2:$H$4001,$AB73)&amp;"")</f>
        <v/>
      </c>
      <c r="I73">
        <f>IF($AB73="","",INDEX('Per Line'!$I$2:$I$4001,$AB73)&amp;"")</f>
        <v/>
      </c>
      <c r="J73">
        <f>IF($AB73="","",INDEX('Per Line'!$J$2:$J$4001,$AB73)&amp;"")</f>
        <v/>
      </c>
      <c r="K73">
        <f>IF($AB73="","",INDEX('Per Line'!$K$2:$K$4001,$AB73)&amp;"")</f>
        <v/>
      </c>
      <c r="L73">
        <f>IF($AB73="","",INDEX('Per Line'!$L$2:$L$4001,$AB73))</f>
        <v/>
      </c>
      <c r="M73" s="7">
        <f>IF($AB73="","",IF(AND(ISNUMBER(O73),O73&gt;0,Z73&gt;O73),L73*O73/100+(Z73-O73),L73*Z73/100))</f>
        <v/>
      </c>
      <c r="N73">
        <f>IF($AB73="","",INDEX('Per Line'!$V$2:$V$4001,$AB73)&amp;"")</f>
        <v/>
      </c>
      <c r="O73">
        <f>IF($AB73="","",INDEX('Per Line'!$Z$2:$Z$4001,$AB73))</f>
        <v/>
      </c>
      <c r="P73">
        <f>IF($AB73="","",IF(AND(ISNUMBER(O73),O73&gt;0),Z73&gt;O73,FALSE))</f>
        <v/>
      </c>
      <c r="Q73" s="7">
        <f>IF($AB73="","",SUMIFS('Per Line'!$U$2:$U$4001,'Per Line'!$C$2:$C$4001,$B73,'Per Line'!$AM$2:$AM$4001,1))</f>
        <v/>
      </c>
      <c r="R73">
        <f>IF($AB73="","",Settings!$C$7)</f>
        <v/>
      </c>
      <c r="S73" s="7">
        <f>IF($AB73="","",SUMIFS('Per Line'!$U$2:$U$4001,'Per Line'!$C$2:$C$4001,$B73,'Per Line'!$AL$2:$AL$4001,0,'Per Line'!$AM$2:$AM$4001,0))</f>
        <v/>
      </c>
      <c r="T73" s="7">
        <f>IF($AB73="","",S73*R73)</f>
        <v/>
      </c>
      <c r="U73">
        <f>IF($AB73="","",Settings!$C$6)</f>
        <v/>
      </c>
      <c r="V73" s="7">
        <f>IF($AB73="","",SUMIFS('Per Line'!$U$2:$U$4001,'Per Line'!$C$2:$C$4001,$B73,'Per Line'!$AL$2:$AL$4001,1,'Per Line'!$AM$2:$AM$4001,0))</f>
        <v/>
      </c>
      <c r="W73" s="7">
        <f>IF($AB73="","",V73*U73)</f>
        <v/>
      </c>
      <c r="X73" s="7">
        <f>IF($AB73="","",W73+T73)</f>
        <v/>
      </c>
      <c r="Y73" s="7">
        <f>IF($AB73="","",Z73-X73)</f>
        <v/>
      </c>
      <c r="Z73" s="7">
        <f>IF($AB73="","",S73+V73+Q73)</f>
        <v/>
      </c>
      <c r="AA73" s="7">
        <f>IF($AB73="","",Z73-X73-M73)</f>
        <v/>
      </c>
      <c r="AB73" s="13">
        <f>IF(ROWS($AB$2:$AB73)&lt;=MAX('Per Line'!$AK$2:$AK$4001),MATCH(ROWS($AB$2:$AB73),'Per Line'!$AK$2:$AK$4001,0),"")</f>
        <v/>
      </c>
      <c r="AC73" s="14">
        <f>IF($AB73="","",M73-L73*Z73/100)</f>
        <v/>
      </c>
    </row>
    <row r="74">
      <c r="A74" s="12" t="n"/>
      <c r="B74">
        <f>IF($AB74="","",INDEX('Per Line'!$C$2:$C$4001,$AB74)&amp;"")</f>
        <v/>
      </c>
      <c r="C74">
        <f>IF($AB74="","",INDEX('Per Line'!$D$2:$D$4001,$AB74)&amp;"")</f>
        <v/>
      </c>
      <c r="D74">
        <f>IF($AB74="","",INDEX('Per Line'!$B$2:$B$4001,$AB74)&amp;"")</f>
        <v/>
      </c>
      <c r="E74">
        <f>IF($AB74="","",INDEX('Per Line'!$A$2:$A$4001,$AB74))</f>
        <v/>
      </c>
      <c r="F74" s="11">
        <f>IF($AB74="","",INDEX('Per Line'!$E$2:$E$4001,$AB74))</f>
        <v/>
      </c>
      <c r="G74">
        <f>IF($AB74="","",INDEX('Per Line'!$F$2:$F$4001,$AB74)&amp;"")</f>
        <v/>
      </c>
      <c r="H74">
        <f>IF($AB74="","",INDEX('Per Line'!$H$2:$H$4001,$AB74)&amp;"")</f>
        <v/>
      </c>
      <c r="I74">
        <f>IF($AB74="","",INDEX('Per Line'!$I$2:$I$4001,$AB74)&amp;"")</f>
        <v/>
      </c>
      <c r="J74">
        <f>IF($AB74="","",INDEX('Per Line'!$J$2:$J$4001,$AB74)&amp;"")</f>
        <v/>
      </c>
      <c r="K74">
        <f>IF($AB74="","",INDEX('Per Line'!$K$2:$K$4001,$AB74)&amp;"")</f>
        <v/>
      </c>
      <c r="L74">
        <f>IF($AB74="","",INDEX('Per Line'!$L$2:$L$4001,$AB74))</f>
        <v/>
      </c>
      <c r="M74" s="7">
        <f>IF($AB74="","",IF(AND(ISNUMBER(O74),O74&gt;0,Z74&gt;O74),L74*O74/100+(Z74-O74),L74*Z74/100))</f>
        <v/>
      </c>
      <c r="N74">
        <f>IF($AB74="","",INDEX('Per Line'!$V$2:$V$4001,$AB74)&amp;"")</f>
        <v/>
      </c>
      <c r="O74">
        <f>IF($AB74="","",INDEX('Per Line'!$Z$2:$Z$4001,$AB74))</f>
        <v/>
      </c>
      <c r="P74">
        <f>IF($AB74="","",IF(AND(ISNUMBER(O74),O74&gt;0),Z74&gt;O74,FALSE))</f>
        <v/>
      </c>
      <c r="Q74" s="7">
        <f>IF($AB74="","",SUMIFS('Per Line'!$U$2:$U$4001,'Per Line'!$C$2:$C$4001,$B74,'Per Line'!$AM$2:$AM$4001,1))</f>
        <v/>
      </c>
      <c r="R74">
        <f>IF($AB74="","",Settings!$C$7)</f>
        <v/>
      </c>
      <c r="S74" s="7">
        <f>IF($AB74="","",SUMIFS('Per Line'!$U$2:$U$4001,'Per Line'!$C$2:$C$4001,$B74,'Per Line'!$AL$2:$AL$4001,0,'Per Line'!$AM$2:$AM$4001,0))</f>
        <v/>
      </c>
      <c r="T74" s="7">
        <f>IF($AB74="","",S74*R74)</f>
        <v/>
      </c>
      <c r="U74">
        <f>IF($AB74="","",Settings!$C$6)</f>
        <v/>
      </c>
      <c r="V74" s="7">
        <f>IF($AB74="","",SUMIFS('Per Line'!$U$2:$U$4001,'Per Line'!$C$2:$C$4001,$B74,'Per Line'!$AL$2:$AL$4001,1,'Per Line'!$AM$2:$AM$4001,0))</f>
        <v/>
      </c>
      <c r="W74" s="7">
        <f>IF($AB74="","",V74*U74)</f>
        <v/>
      </c>
      <c r="X74" s="7">
        <f>IF($AB74="","",W74+T74)</f>
        <v/>
      </c>
      <c r="Y74" s="7">
        <f>IF($AB74="","",Z74-X74)</f>
        <v/>
      </c>
      <c r="Z74" s="7">
        <f>IF($AB74="","",S74+V74+Q74)</f>
        <v/>
      </c>
      <c r="AA74" s="7">
        <f>IF($AB74="","",Z74-X74-M74)</f>
        <v/>
      </c>
      <c r="AB74" s="13">
        <f>IF(ROWS($AB$2:$AB74)&lt;=MAX('Per Line'!$AK$2:$AK$4001),MATCH(ROWS($AB$2:$AB74),'Per Line'!$AK$2:$AK$4001,0),"")</f>
        <v/>
      </c>
      <c r="AC74" s="14">
        <f>IF($AB74="","",M74-L74*Z74/100)</f>
        <v/>
      </c>
    </row>
    <row r="75">
      <c r="A75" s="12" t="n"/>
      <c r="B75">
        <f>IF($AB75="","",INDEX('Per Line'!$C$2:$C$4001,$AB75)&amp;"")</f>
        <v/>
      </c>
      <c r="C75">
        <f>IF($AB75="","",INDEX('Per Line'!$D$2:$D$4001,$AB75)&amp;"")</f>
        <v/>
      </c>
      <c r="D75">
        <f>IF($AB75="","",INDEX('Per Line'!$B$2:$B$4001,$AB75)&amp;"")</f>
        <v/>
      </c>
      <c r="E75">
        <f>IF($AB75="","",INDEX('Per Line'!$A$2:$A$4001,$AB75))</f>
        <v/>
      </c>
      <c r="F75" s="11">
        <f>IF($AB75="","",INDEX('Per Line'!$E$2:$E$4001,$AB75))</f>
        <v/>
      </c>
      <c r="G75">
        <f>IF($AB75="","",INDEX('Per Line'!$F$2:$F$4001,$AB75)&amp;"")</f>
        <v/>
      </c>
      <c r="H75">
        <f>IF($AB75="","",INDEX('Per Line'!$H$2:$H$4001,$AB75)&amp;"")</f>
        <v/>
      </c>
      <c r="I75">
        <f>IF($AB75="","",INDEX('Per Line'!$I$2:$I$4001,$AB75)&amp;"")</f>
        <v/>
      </c>
      <c r="J75">
        <f>IF($AB75="","",INDEX('Per Line'!$J$2:$J$4001,$AB75)&amp;"")</f>
        <v/>
      </c>
      <c r="K75">
        <f>IF($AB75="","",INDEX('Per Line'!$K$2:$K$4001,$AB75)&amp;"")</f>
        <v/>
      </c>
      <c r="L75">
        <f>IF($AB75="","",INDEX('Per Line'!$L$2:$L$4001,$AB75))</f>
        <v/>
      </c>
      <c r="M75" s="7">
        <f>IF($AB75="","",IF(AND(ISNUMBER(O75),O75&gt;0,Z75&gt;O75),L75*O75/100+(Z75-O75),L75*Z75/100))</f>
        <v/>
      </c>
      <c r="N75">
        <f>IF($AB75="","",INDEX('Per Line'!$V$2:$V$4001,$AB75)&amp;"")</f>
        <v/>
      </c>
      <c r="O75">
        <f>IF($AB75="","",INDEX('Per Line'!$Z$2:$Z$4001,$AB75))</f>
        <v/>
      </c>
      <c r="P75">
        <f>IF($AB75="","",IF(AND(ISNUMBER(O75),O75&gt;0),Z75&gt;O75,FALSE))</f>
        <v/>
      </c>
      <c r="Q75" s="7">
        <f>IF($AB75="","",SUMIFS('Per Line'!$U$2:$U$4001,'Per Line'!$C$2:$C$4001,$B75,'Per Line'!$AM$2:$AM$4001,1))</f>
        <v/>
      </c>
      <c r="R75">
        <f>IF($AB75="","",Settings!$C$7)</f>
        <v/>
      </c>
      <c r="S75" s="7">
        <f>IF($AB75="","",SUMIFS('Per Line'!$U$2:$U$4001,'Per Line'!$C$2:$C$4001,$B75,'Per Line'!$AL$2:$AL$4001,0,'Per Line'!$AM$2:$AM$4001,0))</f>
        <v/>
      </c>
      <c r="T75" s="7">
        <f>IF($AB75="","",S75*R75)</f>
        <v/>
      </c>
      <c r="U75">
        <f>IF($AB75="","",Settings!$C$6)</f>
        <v/>
      </c>
      <c r="V75" s="7">
        <f>IF($AB75="","",SUMIFS('Per Line'!$U$2:$U$4001,'Per Line'!$C$2:$C$4001,$B75,'Per Line'!$AL$2:$AL$4001,1,'Per Line'!$AM$2:$AM$4001,0))</f>
        <v/>
      </c>
      <c r="W75" s="7">
        <f>IF($AB75="","",V75*U75)</f>
        <v/>
      </c>
      <c r="X75" s="7">
        <f>IF($AB75="","",W75+T75)</f>
        <v/>
      </c>
      <c r="Y75" s="7">
        <f>IF($AB75="","",Z75-X75)</f>
        <v/>
      </c>
      <c r="Z75" s="7">
        <f>IF($AB75="","",S75+V75+Q75)</f>
        <v/>
      </c>
      <c r="AA75" s="7">
        <f>IF($AB75="","",Z75-X75-M75)</f>
        <v/>
      </c>
      <c r="AB75" s="13">
        <f>IF(ROWS($AB$2:$AB75)&lt;=MAX('Per Line'!$AK$2:$AK$4001),MATCH(ROWS($AB$2:$AB75),'Per Line'!$AK$2:$AK$4001,0),"")</f>
        <v/>
      </c>
      <c r="AC75" s="14">
        <f>IF($AB75="","",M75-L75*Z75/100)</f>
        <v/>
      </c>
    </row>
    <row r="76">
      <c r="A76" s="12" t="n"/>
      <c r="B76">
        <f>IF($AB76="","",INDEX('Per Line'!$C$2:$C$4001,$AB76)&amp;"")</f>
        <v/>
      </c>
      <c r="C76">
        <f>IF($AB76="","",INDEX('Per Line'!$D$2:$D$4001,$AB76)&amp;"")</f>
        <v/>
      </c>
      <c r="D76">
        <f>IF($AB76="","",INDEX('Per Line'!$B$2:$B$4001,$AB76)&amp;"")</f>
        <v/>
      </c>
      <c r="E76">
        <f>IF($AB76="","",INDEX('Per Line'!$A$2:$A$4001,$AB76))</f>
        <v/>
      </c>
      <c r="F76" s="11">
        <f>IF($AB76="","",INDEX('Per Line'!$E$2:$E$4001,$AB76))</f>
        <v/>
      </c>
      <c r="G76">
        <f>IF($AB76="","",INDEX('Per Line'!$F$2:$F$4001,$AB76)&amp;"")</f>
        <v/>
      </c>
      <c r="H76">
        <f>IF($AB76="","",INDEX('Per Line'!$H$2:$H$4001,$AB76)&amp;"")</f>
        <v/>
      </c>
      <c r="I76">
        <f>IF($AB76="","",INDEX('Per Line'!$I$2:$I$4001,$AB76)&amp;"")</f>
        <v/>
      </c>
      <c r="J76">
        <f>IF($AB76="","",INDEX('Per Line'!$J$2:$J$4001,$AB76)&amp;"")</f>
        <v/>
      </c>
      <c r="K76">
        <f>IF($AB76="","",INDEX('Per Line'!$K$2:$K$4001,$AB76)&amp;"")</f>
        <v/>
      </c>
      <c r="L76">
        <f>IF($AB76="","",INDEX('Per Line'!$L$2:$L$4001,$AB76))</f>
        <v/>
      </c>
      <c r="M76" s="7">
        <f>IF($AB76="","",IF(AND(ISNUMBER(O76),O76&gt;0,Z76&gt;O76),L76*O76/100+(Z76-O76),L76*Z76/100))</f>
        <v/>
      </c>
      <c r="N76">
        <f>IF($AB76="","",INDEX('Per Line'!$V$2:$V$4001,$AB76)&amp;"")</f>
        <v/>
      </c>
      <c r="O76">
        <f>IF($AB76="","",INDEX('Per Line'!$Z$2:$Z$4001,$AB76))</f>
        <v/>
      </c>
      <c r="P76">
        <f>IF($AB76="","",IF(AND(ISNUMBER(O76),O76&gt;0),Z76&gt;O76,FALSE))</f>
        <v/>
      </c>
      <c r="Q76" s="7">
        <f>IF($AB76="","",SUMIFS('Per Line'!$U$2:$U$4001,'Per Line'!$C$2:$C$4001,$B76,'Per Line'!$AM$2:$AM$4001,1))</f>
        <v/>
      </c>
      <c r="R76">
        <f>IF($AB76="","",Settings!$C$7)</f>
        <v/>
      </c>
      <c r="S76" s="7">
        <f>IF($AB76="","",SUMIFS('Per Line'!$U$2:$U$4001,'Per Line'!$C$2:$C$4001,$B76,'Per Line'!$AL$2:$AL$4001,0,'Per Line'!$AM$2:$AM$4001,0))</f>
        <v/>
      </c>
      <c r="T76" s="7">
        <f>IF($AB76="","",S76*R76)</f>
        <v/>
      </c>
      <c r="U76">
        <f>IF($AB76="","",Settings!$C$6)</f>
        <v/>
      </c>
      <c r="V76" s="7">
        <f>IF($AB76="","",SUMIFS('Per Line'!$U$2:$U$4001,'Per Line'!$C$2:$C$4001,$B76,'Per Line'!$AL$2:$AL$4001,1,'Per Line'!$AM$2:$AM$4001,0))</f>
        <v/>
      </c>
      <c r="W76" s="7">
        <f>IF($AB76="","",V76*U76)</f>
        <v/>
      </c>
      <c r="X76" s="7">
        <f>IF($AB76="","",W76+T76)</f>
        <v/>
      </c>
      <c r="Y76" s="7">
        <f>IF($AB76="","",Z76-X76)</f>
        <v/>
      </c>
      <c r="Z76" s="7">
        <f>IF($AB76="","",S76+V76+Q76)</f>
        <v/>
      </c>
      <c r="AA76" s="7">
        <f>IF($AB76="","",Z76-X76-M76)</f>
        <v/>
      </c>
      <c r="AB76" s="13">
        <f>IF(ROWS($AB$2:$AB76)&lt;=MAX('Per Line'!$AK$2:$AK$4001),MATCH(ROWS($AB$2:$AB76),'Per Line'!$AK$2:$AK$4001,0),"")</f>
        <v/>
      </c>
      <c r="AC76" s="14">
        <f>IF($AB76="","",M76-L76*Z76/100)</f>
        <v/>
      </c>
    </row>
    <row r="77">
      <c r="A77" s="12" t="n"/>
      <c r="B77">
        <f>IF($AB77="","",INDEX('Per Line'!$C$2:$C$4001,$AB77)&amp;"")</f>
        <v/>
      </c>
      <c r="C77">
        <f>IF($AB77="","",INDEX('Per Line'!$D$2:$D$4001,$AB77)&amp;"")</f>
        <v/>
      </c>
      <c r="D77">
        <f>IF($AB77="","",INDEX('Per Line'!$B$2:$B$4001,$AB77)&amp;"")</f>
        <v/>
      </c>
      <c r="E77">
        <f>IF($AB77="","",INDEX('Per Line'!$A$2:$A$4001,$AB77))</f>
        <v/>
      </c>
      <c r="F77" s="11">
        <f>IF($AB77="","",INDEX('Per Line'!$E$2:$E$4001,$AB77))</f>
        <v/>
      </c>
      <c r="G77">
        <f>IF($AB77="","",INDEX('Per Line'!$F$2:$F$4001,$AB77)&amp;"")</f>
        <v/>
      </c>
      <c r="H77">
        <f>IF($AB77="","",INDEX('Per Line'!$H$2:$H$4001,$AB77)&amp;"")</f>
        <v/>
      </c>
      <c r="I77">
        <f>IF($AB77="","",INDEX('Per Line'!$I$2:$I$4001,$AB77)&amp;"")</f>
        <v/>
      </c>
      <c r="J77">
        <f>IF($AB77="","",INDEX('Per Line'!$J$2:$J$4001,$AB77)&amp;"")</f>
        <v/>
      </c>
      <c r="K77">
        <f>IF($AB77="","",INDEX('Per Line'!$K$2:$K$4001,$AB77)&amp;"")</f>
        <v/>
      </c>
      <c r="L77">
        <f>IF($AB77="","",INDEX('Per Line'!$L$2:$L$4001,$AB77))</f>
        <v/>
      </c>
      <c r="M77" s="7">
        <f>IF($AB77="","",IF(AND(ISNUMBER(O77),O77&gt;0,Z77&gt;O77),L77*O77/100+(Z77-O77),L77*Z77/100))</f>
        <v/>
      </c>
      <c r="N77">
        <f>IF($AB77="","",INDEX('Per Line'!$V$2:$V$4001,$AB77)&amp;"")</f>
        <v/>
      </c>
      <c r="O77">
        <f>IF($AB77="","",INDEX('Per Line'!$Z$2:$Z$4001,$AB77))</f>
        <v/>
      </c>
      <c r="P77">
        <f>IF($AB77="","",IF(AND(ISNUMBER(O77),O77&gt;0),Z77&gt;O77,FALSE))</f>
        <v/>
      </c>
      <c r="Q77" s="7">
        <f>IF($AB77="","",SUMIFS('Per Line'!$U$2:$U$4001,'Per Line'!$C$2:$C$4001,$B77,'Per Line'!$AM$2:$AM$4001,1))</f>
        <v/>
      </c>
      <c r="R77">
        <f>IF($AB77="","",Settings!$C$7)</f>
        <v/>
      </c>
      <c r="S77" s="7">
        <f>IF($AB77="","",SUMIFS('Per Line'!$U$2:$U$4001,'Per Line'!$C$2:$C$4001,$B77,'Per Line'!$AL$2:$AL$4001,0,'Per Line'!$AM$2:$AM$4001,0))</f>
        <v/>
      </c>
      <c r="T77" s="7">
        <f>IF($AB77="","",S77*R77)</f>
        <v/>
      </c>
      <c r="U77">
        <f>IF($AB77="","",Settings!$C$6)</f>
        <v/>
      </c>
      <c r="V77" s="7">
        <f>IF($AB77="","",SUMIFS('Per Line'!$U$2:$U$4001,'Per Line'!$C$2:$C$4001,$B77,'Per Line'!$AL$2:$AL$4001,1,'Per Line'!$AM$2:$AM$4001,0))</f>
        <v/>
      </c>
      <c r="W77" s="7">
        <f>IF($AB77="","",V77*U77)</f>
        <v/>
      </c>
      <c r="X77" s="7">
        <f>IF($AB77="","",W77+T77)</f>
        <v/>
      </c>
      <c r="Y77" s="7">
        <f>IF($AB77="","",Z77-X77)</f>
        <v/>
      </c>
      <c r="Z77" s="7">
        <f>IF($AB77="","",S77+V77+Q77)</f>
        <v/>
      </c>
      <c r="AA77" s="7">
        <f>IF($AB77="","",Z77-X77-M77)</f>
        <v/>
      </c>
      <c r="AB77" s="13">
        <f>IF(ROWS($AB$2:$AB77)&lt;=MAX('Per Line'!$AK$2:$AK$4001),MATCH(ROWS($AB$2:$AB77),'Per Line'!$AK$2:$AK$4001,0),"")</f>
        <v/>
      </c>
      <c r="AC77" s="14">
        <f>IF($AB77="","",M77-L77*Z77/100)</f>
        <v/>
      </c>
    </row>
    <row r="78">
      <c r="A78" s="12" t="n"/>
      <c r="B78">
        <f>IF($AB78="","",INDEX('Per Line'!$C$2:$C$4001,$AB78)&amp;"")</f>
        <v/>
      </c>
      <c r="C78">
        <f>IF($AB78="","",INDEX('Per Line'!$D$2:$D$4001,$AB78)&amp;"")</f>
        <v/>
      </c>
      <c r="D78">
        <f>IF($AB78="","",INDEX('Per Line'!$B$2:$B$4001,$AB78)&amp;"")</f>
        <v/>
      </c>
      <c r="E78">
        <f>IF($AB78="","",INDEX('Per Line'!$A$2:$A$4001,$AB78))</f>
        <v/>
      </c>
      <c r="F78" s="11">
        <f>IF($AB78="","",INDEX('Per Line'!$E$2:$E$4001,$AB78))</f>
        <v/>
      </c>
      <c r="G78">
        <f>IF($AB78="","",INDEX('Per Line'!$F$2:$F$4001,$AB78)&amp;"")</f>
        <v/>
      </c>
      <c r="H78">
        <f>IF($AB78="","",INDEX('Per Line'!$H$2:$H$4001,$AB78)&amp;"")</f>
        <v/>
      </c>
      <c r="I78">
        <f>IF($AB78="","",INDEX('Per Line'!$I$2:$I$4001,$AB78)&amp;"")</f>
        <v/>
      </c>
      <c r="J78">
        <f>IF($AB78="","",INDEX('Per Line'!$J$2:$J$4001,$AB78)&amp;"")</f>
        <v/>
      </c>
      <c r="K78">
        <f>IF($AB78="","",INDEX('Per Line'!$K$2:$K$4001,$AB78)&amp;"")</f>
        <v/>
      </c>
      <c r="L78">
        <f>IF($AB78="","",INDEX('Per Line'!$L$2:$L$4001,$AB78))</f>
        <v/>
      </c>
      <c r="M78" s="7">
        <f>IF($AB78="","",IF(AND(ISNUMBER(O78),O78&gt;0,Z78&gt;O78),L78*O78/100+(Z78-O78),L78*Z78/100))</f>
        <v/>
      </c>
      <c r="N78">
        <f>IF($AB78="","",INDEX('Per Line'!$V$2:$V$4001,$AB78)&amp;"")</f>
        <v/>
      </c>
      <c r="O78">
        <f>IF($AB78="","",INDEX('Per Line'!$Z$2:$Z$4001,$AB78))</f>
        <v/>
      </c>
      <c r="P78">
        <f>IF($AB78="","",IF(AND(ISNUMBER(O78),O78&gt;0),Z78&gt;O78,FALSE))</f>
        <v/>
      </c>
      <c r="Q78" s="7">
        <f>IF($AB78="","",SUMIFS('Per Line'!$U$2:$U$4001,'Per Line'!$C$2:$C$4001,$B78,'Per Line'!$AM$2:$AM$4001,1))</f>
        <v/>
      </c>
      <c r="R78">
        <f>IF($AB78="","",Settings!$C$7)</f>
        <v/>
      </c>
      <c r="S78" s="7">
        <f>IF($AB78="","",SUMIFS('Per Line'!$U$2:$U$4001,'Per Line'!$C$2:$C$4001,$B78,'Per Line'!$AL$2:$AL$4001,0,'Per Line'!$AM$2:$AM$4001,0))</f>
        <v/>
      </c>
      <c r="T78" s="7">
        <f>IF($AB78="","",S78*R78)</f>
        <v/>
      </c>
      <c r="U78">
        <f>IF($AB78="","",Settings!$C$6)</f>
        <v/>
      </c>
      <c r="V78" s="7">
        <f>IF($AB78="","",SUMIFS('Per Line'!$U$2:$U$4001,'Per Line'!$C$2:$C$4001,$B78,'Per Line'!$AL$2:$AL$4001,1,'Per Line'!$AM$2:$AM$4001,0))</f>
        <v/>
      </c>
      <c r="W78" s="7">
        <f>IF($AB78="","",V78*U78)</f>
        <v/>
      </c>
      <c r="X78" s="7">
        <f>IF($AB78="","",W78+T78)</f>
        <v/>
      </c>
      <c r="Y78" s="7">
        <f>IF($AB78="","",Z78-X78)</f>
        <v/>
      </c>
      <c r="Z78" s="7">
        <f>IF($AB78="","",S78+V78+Q78)</f>
        <v/>
      </c>
      <c r="AA78" s="7">
        <f>IF($AB78="","",Z78-X78-M78)</f>
        <v/>
      </c>
      <c r="AB78" s="13">
        <f>IF(ROWS($AB$2:$AB78)&lt;=MAX('Per Line'!$AK$2:$AK$4001),MATCH(ROWS($AB$2:$AB78),'Per Line'!$AK$2:$AK$4001,0),"")</f>
        <v/>
      </c>
      <c r="AC78" s="14">
        <f>IF($AB78="","",M78-L78*Z78/100)</f>
        <v/>
      </c>
    </row>
    <row r="79">
      <c r="A79" s="12" t="n"/>
      <c r="B79">
        <f>IF($AB79="","",INDEX('Per Line'!$C$2:$C$4001,$AB79)&amp;"")</f>
        <v/>
      </c>
      <c r="C79">
        <f>IF($AB79="","",INDEX('Per Line'!$D$2:$D$4001,$AB79)&amp;"")</f>
        <v/>
      </c>
      <c r="D79">
        <f>IF($AB79="","",INDEX('Per Line'!$B$2:$B$4001,$AB79)&amp;"")</f>
        <v/>
      </c>
      <c r="E79">
        <f>IF($AB79="","",INDEX('Per Line'!$A$2:$A$4001,$AB79))</f>
        <v/>
      </c>
      <c r="F79" s="11">
        <f>IF($AB79="","",INDEX('Per Line'!$E$2:$E$4001,$AB79))</f>
        <v/>
      </c>
      <c r="G79">
        <f>IF($AB79="","",INDEX('Per Line'!$F$2:$F$4001,$AB79)&amp;"")</f>
        <v/>
      </c>
      <c r="H79">
        <f>IF($AB79="","",INDEX('Per Line'!$H$2:$H$4001,$AB79)&amp;"")</f>
        <v/>
      </c>
      <c r="I79">
        <f>IF($AB79="","",INDEX('Per Line'!$I$2:$I$4001,$AB79)&amp;"")</f>
        <v/>
      </c>
      <c r="J79">
        <f>IF($AB79="","",INDEX('Per Line'!$J$2:$J$4001,$AB79)&amp;"")</f>
        <v/>
      </c>
      <c r="K79">
        <f>IF($AB79="","",INDEX('Per Line'!$K$2:$K$4001,$AB79)&amp;"")</f>
        <v/>
      </c>
      <c r="L79">
        <f>IF($AB79="","",INDEX('Per Line'!$L$2:$L$4001,$AB79))</f>
        <v/>
      </c>
      <c r="M79" s="7">
        <f>IF($AB79="","",IF(AND(ISNUMBER(O79),O79&gt;0,Z79&gt;O79),L79*O79/100+(Z79-O79),L79*Z79/100))</f>
        <v/>
      </c>
      <c r="N79">
        <f>IF($AB79="","",INDEX('Per Line'!$V$2:$V$4001,$AB79)&amp;"")</f>
        <v/>
      </c>
      <c r="O79">
        <f>IF($AB79="","",INDEX('Per Line'!$Z$2:$Z$4001,$AB79))</f>
        <v/>
      </c>
      <c r="P79">
        <f>IF($AB79="","",IF(AND(ISNUMBER(O79),O79&gt;0),Z79&gt;O79,FALSE))</f>
        <v/>
      </c>
      <c r="Q79" s="7">
        <f>IF($AB79="","",SUMIFS('Per Line'!$U$2:$U$4001,'Per Line'!$C$2:$C$4001,$B79,'Per Line'!$AM$2:$AM$4001,1))</f>
        <v/>
      </c>
      <c r="R79">
        <f>IF($AB79="","",Settings!$C$7)</f>
        <v/>
      </c>
      <c r="S79" s="7">
        <f>IF($AB79="","",SUMIFS('Per Line'!$U$2:$U$4001,'Per Line'!$C$2:$C$4001,$B79,'Per Line'!$AL$2:$AL$4001,0,'Per Line'!$AM$2:$AM$4001,0))</f>
        <v/>
      </c>
      <c r="T79" s="7">
        <f>IF($AB79="","",S79*R79)</f>
        <v/>
      </c>
      <c r="U79">
        <f>IF($AB79="","",Settings!$C$6)</f>
        <v/>
      </c>
      <c r="V79" s="7">
        <f>IF($AB79="","",SUMIFS('Per Line'!$U$2:$U$4001,'Per Line'!$C$2:$C$4001,$B79,'Per Line'!$AL$2:$AL$4001,1,'Per Line'!$AM$2:$AM$4001,0))</f>
        <v/>
      </c>
      <c r="W79" s="7">
        <f>IF($AB79="","",V79*U79)</f>
        <v/>
      </c>
      <c r="X79" s="7">
        <f>IF($AB79="","",W79+T79)</f>
        <v/>
      </c>
      <c r="Y79" s="7">
        <f>IF($AB79="","",Z79-X79)</f>
        <v/>
      </c>
      <c r="Z79" s="7">
        <f>IF($AB79="","",S79+V79+Q79)</f>
        <v/>
      </c>
      <c r="AA79" s="7">
        <f>IF($AB79="","",Z79-X79-M79)</f>
        <v/>
      </c>
      <c r="AB79" s="13">
        <f>IF(ROWS($AB$2:$AB79)&lt;=MAX('Per Line'!$AK$2:$AK$4001),MATCH(ROWS($AB$2:$AB79),'Per Line'!$AK$2:$AK$4001,0),"")</f>
        <v/>
      </c>
      <c r="AC79" s="14">
        <f>IF($AB79="","",M79-L79*Z79/100)</f>
        <v/>
      </c>
    </row>
    <row r="80">
      <c r="A80" s="12" t="n"/>
      <c r="B80">
        <f>IF($AB80="","",INDEX('Per Line'!$C$2:$C$4001,$AB80)&amp;"")</f>
        <v/>
      </c>
      <c r="C80">
        <f>IF($AB80="","",INDEX('Per Line'!$D$2:$D$4001,$AB80)&amp;"")</f>
        <v/>
      </c>
      <c r="D80">
        <f>IF($AB80="","",INDEX('Per Line'!$B$2:$B$4001,$AB80)&amp;"")</f>
        <v/>
      </c>
      <c r="E80">
        <f>IF($AB80="","",INDEX('Per Line'!$A$2:$A$4001,$AB80))</f>
        <v/>
      </c>
      <c r="F80" s="11">
        <f>IF($AB80="","",INDEX('Per Line'!$E$2:$E$4001,$AB80))</f>
        <v/>
      </c>
      <c r="G80">
        <f>IF($AB80="","",INDEX('Per Line'!$F$2:$F$4001,$AB80)&amp;"")</f>
        <v/>
      </c>
      <c r="H80">
        <f>IF($AB80="","",INDEX('Per Line'!$H$2:$H$4001,$AB80)&amp;"")</f>
        <v/>
      </c>
      <c r="I80">
        <f>IF($AB80="","",INDEX('Per Line'!$I$2:$I$4001,$AB80)&amp;"")</f>
        <v/>
      </c>
      <c r="J80">
        <f>IF($AB80="","",INDEX('Per Line'!$J$2:$J$4001,$AB80)&amp;"")</f>
        <v/>
      </c>
      <c r="K80">
        <f>IF($AB80="","",INDEX('Per Line'!$K$2:$K$4001,$AB80)&amp;"")</f>
        <v/>
      </c>
      <c r="L80">
        <f>IF($AB80="","",INDEX('Per Line'!$L$2:$L$4001,$AB80))</f>
        <v/>
      </c>
      <c r="M80" s="7">
        <f>IF($AB80="","",IF(AND(ISNUMBER(O80),O80&gt;0,Z80&gt;O80),L80*O80/100+(Z80-O80),L80*Z80/100))</f>
        <v/>
      </c>
      <c r="N80">
        <f>IF($AB80="","",INDEX('Per Line'!$V$2:$V$4001,$AB80)&amp;"")</f>
        <v/>
      </c>
      <c r="O80">
        <f>IF($AB80="","",INDEX('Per Line'!$Z$2:$Z$4001,$AB80))</f>
        <v/>
      </c>
      <c r="P80">
        <f>IF($AB80="","",IF(AND(ISNUMBER(O80),O80&gt;0),Z80&gt;O80,FALSE))</f>
        <v/>
      </c>
      <c r="Q80" s="7">
        <f>IF($AB80="","",SUMIFS('Per Line'!$U$2:$U$4001,'Per Line'!$C$2:$C$4001,$B80,'Per Line'!$AM$2:$AM$4001,1))</f>
        <v/>
      </c>
      <c r="R80">
        <f>IF($AB80="","",Settings!$C$7)</f>
        <v/>
      </c>
      <c r="S80" s="7">
        <f>IF($AB80="","",SUMIFS('Per Line'!$U$2:$U$4001,'Per Line'!$C$2:$C$4001,$B80,'Per Line'!$AL$2:$AL$4001,0,'Per Line'!$AM$2:$AM$4001,0))</f>
        <v/>
      </c>
      <c r="T80" s="7">
        <f>IF($AB80="","",S80*R80)</f>
        <v/>
      </c>
      <c r="U80">
        <f>IF($AB80="","",Settings!$C$6)</f>
        <v/>
      </c>
      <c r="V80" s="7">
        <f>IF($AB80="","",SUMIFS('Per Line'!$U$2:$U$4001,'Per Line'!$C$2:$C$4001,$B80,'Per Line'!$AL$2:$AL$4001,1,'Per Line'!$AM$2:$AM$4001,0))</f>
        <v/>
      </c>
      <c r="W80" s="7">
        <f>IF($AB80="","",V80*U80)</f>
        <v/>
      </c>
      <c r="X80" s="7">
        <f>IF($AB80="","",W80+T80)</f>
        <v/>
      </c>
      <c r="Y80" s="7">
        <f>IF($AB80="","",Z80-X80)</f>
        <v/>
      </c>
      <c r="Z80" s="7">
        <f>IF($AB80="","",S80+V80+Q80)</f>
        <v/>
      </c>
      <c r="AA80" s="7">
        <f>IF($AB80="","",Z80-X80-M80)</f>
        <v/>
      </c>
      <c r="AB80" s="13">
        <f>IF(ROWS($AB$2:$AB80)&lt;=MAX('Per Line'!$AK$2:$AK$4001),MATCH(ROWS($AB$2:$AB80),'Per Line'!$AK$2:$AK$4001,0),"")</f>
        <v/>
      </c>
      <c r="AC80" s="14">
        <f>IF($AB80="","",M80-L80*Z80/100)</f>
        <v/>
      </c>
    </row>
    <row r="81">
      <c r="A81" s="12" t="n"/>
      <c r="B81">
        <f>IF($AB81="","",INDEX('Per Line'!$C$2:$C$4001,$AB81)&amp;"")</f>
        <v/>
      </c>
      <c r="C81">
        <f>IF($AB81="","",INDEX('Per Line'!$D$2:$D$4001,$AB81)&amp;"")</f>
        <v/>
      </c>
      <c r="D81">
        <f>IF($AB81="","",INDEX('Per Line'!$B$2:$B$4001,$AB81)&amp;"")</f>
        <v/>
      </c>
      <c r="E81">
        <f>IF($AB81="","",INDEX('Per Line'!$A$2:$A$4001,$AB81))</f>
        <v/>
      </c>
      <c r="F81" s="11">
        <f>IF($AB81="","",INDEX('Per Line'!$E$2:$E$4001,$AB81))</f>
        <v/>
      </c>
      <c r="G81">
        <f>IF($AB81="","",INDEX('Per Line'!$F$2:$F$4001,$AB81)&amp;"")</f>
        <v/>
      </c>
      <c r="H81">
        <f>IF($AB81="","",INDEX('Per Line'!$H$2:$H$4001,$AB81)&amp;"")</f>
        <v/>
      </c>
      <c r="I81">
        <f>IF($AB81="","",INDEX('Per Line'!$I$2:$I$4001,$AB81)&amp;"")</f>
        <v/>
      </c>
      <c r="J81">
        <f>IF($AB81="","",INDEX('Per Line'!$J$2:$J$4001,$AB81)&amp;"")</f>
        <v/>
      </c>
      <c r="K81">
        <f>IF($AB81="","",INDEX('Per Line'!$K$2:$K$4001,$AB81)&amp;"")</f>
        <v/>
      </c>
      <c r="L81">
        <f>IF($AB81="","",INDEX('Per Line'!$L$2:$L$4001,$AB81))</f>
        <v/>
      </c>
      <c r="M81" s="7">
        <f>IF($AB81="","",IF(AND(ISNUMBER(O81),O81&gt;0,Z81&gt;O81),L81*O81/100+(Z81-O81),L81*Z81/100))</f>
        <v/>
      </c>
      <c r="N81">
        <f>IF($AB81="","",INDEX('Per Line'!$V$2:$V$4001,$AB81)&amp;"")</f>
        <v/>
      </c>
      <c r="O81">
        <f>IF($AB81="","",INDEX('Per Line'!$Z$2:$Z$4001,$AB81))</f>
        <v/>
      </c>
      <c r="P81">
        <f>IF($AB81="","",IF(AND(ISNUMBER(O81),O81&gt;0),Z81&gt;O81,FALSE))</f>
        <v/>
      </c>
      <c r="Q81" s="7">
        <f>IF($AB81="","",SUMIFS('Per Line'!$U$2:$U$4001,'Per Line'!$C$2:$C$4001,$B81,'Per Line'!$AM$2:$AM$4001,1))</f>
        <v/>
      </c>
      <c r="R81">
        <f>IF($AB81="","",Settings!$C$7)</f>
        <v/>
      </c>
      <c r="S81" s="7">
        <f>IF($AB81="","",SUMIFS('Per Line'!$U$2:$U$4001,'Per Line'!$C$2:$C$4001,$B81,'Per Line'!$AL$2:$AL$4001,0,'Per Line'!$AM$2:$AM$4001,0))</f>
        <v/>
      </c>
      <c r="T81" s="7">
        <f>IF($AB81="","",S81*R81)</f>
        <v/>
      </c>
      <c r="U81">
        <f>IF($AB81="","",Settings!$C$6)</f>
        <v/>
      </c>
      <c r="V81" s="7">
        <f>IF($AB81="","",SUMIFS('Per Line'!$U$2:$U$4001,'Per Line'!$C$2:$C$4001,$B81,'Per Line'!$AL$2:$AL$4001,1,'Per Line'!$AM$2:$AM$4001,0))</f>
        <v/>
      </c>
      <c r="W81" s="7">
        <f>IF($AB81="","",V81*U81)</f>
        <v/>
      </c>
      <c r="X81" s="7">
        <f>IF($AB81="","",W81+T81)</f>
        <v/>
      </c>
      <c r="Y81" s="7">
        <f>IF($AB81="","",Z81-X81)</f>
        <v/>
      </c>
      <c r="Z81" s="7">
        <f>IF($AB81="","",S81+V81+Q81)</f>
        <v/>
      </c>
      <c r="AA81" s="7">
        <f>IF($AB81="","",Z81-X81-M81)</f>
        <v/>
      </c>
      <c r="AB81" s="13">
        <f>IF(ROWS($AB$2:$AB81)&lt;=MAX('Per Line'!$AK$2:$AK$4001),MATCH(ROWS($AB$2:$AB81),'Per Line'!$AK$2:$AK$4001,0),"")</f>
        <v/>
      </c>
      <c r="AC81" s="14">
        <f>IF($AB81="","",M81-L81*Z81/100)</f>
        <v/>
      </c>
    </row>
    <row r="82">
      <c r="A82" s="12" t="n"/>
      <c r="B82">
        <f>IF($AB82="","",INDEX('Per Line'!$C$2:$C$4001,$AB82)&amp;"")</f>
        <v/>
      </c>
      <c r="C82">
        <f>IF($AB82="","",INDEX('Per Line'!$D$2:$D$4001,$AB82)&amp;"")</f>
        <v/>
      </c>
      <c r="D82">
        <f>IF($AB82="","",INDEX('Per Line'!$B$2:$B$4001,$AB82)&amp;"")</f>
        <v/>
      </c>
      <c r="E82">
        <f>IF($AB82="","",INDEX('Per Line'!$A$2:$A$4001,$AB82))</f>
        <v/>
      </c>
      <c r="F82" s="11">
        <f>IF($AB82="","",INDEX('Per Line'!$E$2:$E$4001,$AB82))</f>
        <v/>
      </c>
      <c r="G82">
        <f>IF($AB82="","",INDEX('Per Line'!$F$2:$F$4001,$AB82)&amp;"")</f>
        <v/>
      </c>
      <c r="H82">
        <f>IF($AB82="","",INDEX('Per Line'!$H$2:$H$4001,$AB82)&amp;"")</f>
        <v/>
      </c>
      <c r="I82">
        <f>IF($AB82="","",INDEX('Per Line'!$I$2:$I$4001,$AB82)&amp;"")</f>
        <v/>
      </c>
      <c r="J82">
        <f>IF($AB82="","",INDEX('Per Line'!$J$2:$J$4001,$AB82)&amp;"")</f>
        <v/>
      </c>
      <c r="K82">
        <f>IF($AB82="","",INDEX('Per Line'!$K$2:$K$4001,$AB82)&amp;"")</f>
        <v/>
      </c>
      <c r="L82">
        <f>IF($AB82="","",INDEX('Per Line'!$L$2:$L$4001,$AB82))</f>
        <v/>
      </c>
      <c r="M82" s="7">
        <f>IF($AB82="","",IF(AND(ISNUMBER(O82),O82&gt;0,Z82&gt;O82),L82*O82/100+(Z82-O82),L82*Z82/100))</f>
        <v/>
      </c>
      <c r="N82">
        <f>IF($AB82="","",INDEX('Per Line'!$V$2:$V$4001,$AB82)&amp;"")</f>
        <v/>
      </c>
      <c r="O82">
        <f>IF($AB82="","",INDEX('Per Line'!$Z$2:$Z$4001,$AB82))</f>
        <v/>
      </c>
      <c r="P82">
        <f>IF($AB82="","",IF(AND(ISNUMBER(O82),O82&gt;0),Z82&gt;O82,FALSE))</f>
        <v/>
      </c>
      <c r="Q82" s="7">
        <f>IF($AB82="","",SUMIFS('Per Line'!$U$2:$U$4001,'Per Line'!$C$2:$C$4001,$B82,'Per Line'!$AM$2:$AM$4001,1))</f>
        <v/>
      </c>
      <c r="R82">
        <f>IF($AB82="","",Settings!$C$7)</f>
        <v/>
      </c>
      <c r="S82" s="7">
        <f>IF($AB82="","",SUMIFS('Per Line'!$U$2:$U$4001,'Per Line'!$C$2:$C$4001,$B82,'Per Line'!$AL$2:$AL$4001,0,'Per Line'!$AM$2:$AM$4001,0))</f>
        <v/>
      </c>
      <c r="T82" s="7">
        <f>IF($AB82="","",S82*R82)</f>
        <v/>
      </c>
      <c r="U82">
        <f>IF($AB82="","",Settings!$C$6)</f>
        <v/>
      </c>
      <c r="V82" s="7">
        <f>IF($AB82="","",SUMIFS('Per Line'!$U$2:$U$4001,'Per Line'!$C$2:$C$4001,$B82,'Per Line'!$AL$2:$AL$4001,1,'Per Line'!$AM$2:$AM$4001,0))</f>
        <v/>
      </c>
      <c r="W82" s="7">
        <f>IF($AB82="","",V82*U82)</f>
        <v/>
      </c>
      <c r="X82" s="7">
        <f>IF($AB82="","",W82+T82)</f>
        <v/>
      </c>
      <c r="Y82" s="7">
        <f>IF($AB82="","",Z82-X82)</f>
        <v/>
      </c>
      <c r="Z82" s="7">
        <f>IF($AB82="","",S82+V82+Q82)</f>
        <v/>
      </c>
      <c r="AA82" s="7">
        <f>IF($AB82="","",Z82-X82-M82)</f>
        <v/>
      </c>
      <c r="AB82" s="13">
        <f>IF(ROWS($AB$2:$AB82)&lt;=MAX('Per Line'!$AK$2:$AK$4001),MATCH(ROWS($AB$2:$AB82),'Per Line'!$AK$2:$AK$4001,0),"")</f>
        <v/>
      </c>
      <c r="AC82" s="14">
        <f>IF($AB82="","",M82-L82*Z82/100)</f>
        <v/>
      </c>
    </row>
    <row r="83">
      <c r="A83" s="12" t="n"/>
      <c r="B83">
        <f>IF($AB83="","",INDEX('Per Line'!$C$2:$C$4001,$AB83)&amp;"")</f>
        <v/>
      </c>
      <c r="C83">
        <f>IF($AB83="","",INDEX('Per Line'!$D$2:$D$4001,$AB83)&amp;"")</f>
        <v/>
      </c>
      <c r="D83">
        <f>IF($AB83="","",INDEX('Per Line'!$B$2:$B$4001,$AB83)&amp;"")</f>
        <v/>
      </c>
      <c r="E83">
        <f>IF($AB83="","",INDEX('Per Line'!$A$2:$A$4001,$AB83))</f>
        <v/>
      </c>
      <c r="F83" s="11">
        <f>IF($AB83="","",INDEX('Per Line'!$E$2:$E$4001,$AB83))</f>
        <v/>
      </c>
      <c r="G83">
        <f>IF($AB83="","",INDEX('Per Line'!$F$2:$F$4001,$AB83)&amp;"")</f>
        <v/>
      </c>
      <c r="H83">
        <f>IF($AB83="","",INDEX('Per Line'!$H$2:$H$4001,$AB83)&amp;"")</f>
        <v/>
      </c>
      <c r="I83">
        <f>IF($AB83="","",INDEX('Per Line'!$I$2:$I$4001,$AB83)&amp;"")</f>
        <v/>
      </c>
      <c r="J83">
        <f>IF($AB83="","",INDEX('Per Line'!$J$2:$J$4001,$AB83)&amp;"")</f>
        <v/>
      </c>
      <c r="K83">
        <f>IF($AB83="","",INDEX('Per Line'!$K$2:$K$4001,$AB83)&amp;"")</f>
        <v/>
      </c>
      <c r="L83">
        <f>IF($AB83="","",INDEX('Per Line'!$L$2:$L$4001,$AB83))</f>
        <v/>
      </c>
      <c r="M83" s="7">
        <f>IF($AB83="","",IF(AND(ISNUMBER(O83),O83&gt;0,Z83&gt;O83),L83*O83/100+(Z83-O83),L83*Z83/100))</f>
        <v/>
      </c>
      <c r="N83">
        <f>IF($AB83="","",INDEX('Per Line'!$V$2:$V$4001,$AB83)&amp;"")</f>
        <v/>
      </c>
      <c r="O83">
        <f>IF($AB83="","",INDEX('Per Line'!$Z$2:$Z$4001,$AB83))</f>
        <v/>
      </c>
      <c r="P83">
        <f>IF($AB83="","",IF(AND(ISNUMBER(O83),O83&gt;0),Z83&gt;O83,FALSE))</f>
        <v/>
      </c>
      <c r="Q83" s="7">
        <f>IF($AB83="","",SUMIFS('Per Line'!$U$2:$U$4001,'Per Line'!$C$2:$C$4001,$B83,'Per Line'!$AM$2:$AM$4001,1))</f>
        <v/>
      </c>
      <c r="R83">
        <f>IF($AB83="","",Settings!$C$7)</f>
        <v/>
      </c>
      <c r="S83" s="7">
        <f>IF($AB83="","",SUMIFS('Per Line'!$U$2:$U$4001,'Per Line'!$C$2:$C$4001,$B83,'Per Line'!$AL$2:$AL$4001,0,'Per Line'!$AM$2:$AM$4001,0))</f>
        <v/>
      </c>
      <c r="T83" s="7">
        <f>IF($AB83="","",S83*R83)</f>
        <v/>
      </c>
      <c r="U83">
        <f>IF($AB83="","",Settings!$C$6)</f>
        <v/>
      </c>
      <c r="V83" s="7">
        <f>IF($AB83="","",SUMIFS('Per Line'!$U$2:$U$4001,'Per Line'!$C$2:$C$4001,$B83,'Per Line'!$AL$2:$AL$4001,1,'Per Line'!$AM$2:$AM$4001,0))</f>
        <v/>
      </c>
      <c r="W83" s="7">
        <f>IF($AB83="","",V83*U83)</f>
        <v/>
      </c>
      <c r="X83" s="7">
        <f>IF($AB83="","",W83+T83)</f>
        <v/>
      </c>
      <c r="Y83" s="7">
        <f>IF($AB83="","",Z83-X83)</f>
        <v/>
      </c>
      <c r="Z83" s="7">
        <f>IF($AB83="","",S83+V83+Q83)</f>
        <v/>
      </c>
      <c r="AA83" s="7">
        <f>IF($AB83="","",Z83-X83-M83)</f>
        <v/>
      </c>
      <c r="AB83" s="13">
        <f>IF(ROWS($AB$2:$AB83)&lt;=MAX('Per Line'!$AK$2:$AK$4001),MATCH(ROWS($AB$2:$AB83),'Per Line'!$AK$2:$AK$4001,0),"")</f>
        <v/>
      </c>
      <c r="AC83" s="14">
        <f>IF($AB83="","",M83-L83*Z83/100)</f>
        <v/>
      </c>
    </row>
    <row r="84">
      <c r="A84" s="12" t="n"/>
      <c r="B84">
        <f>IF($AB84="","",INDEX('Per Line'!$C$2:$C$4001,$AB84)&amp;"")</f>
        <v/>
      </c>
      <c r="C84">
        <f>IF($AB84="","",INDEX('Per Line'!$D$2:$D$4001,$AB84)&amp;"")</f>
        <v/>
      </c>
      <c r="D84">
        <f>IF($AB84="","",INDEX('Per Line'!$B$2:$B$4001,$AB84)&amp;"")</f>
        <v/>
      </c>
      <c r="E84">
        <f>IF($AB84="","",INDEX('Per Line'!$A$2:$A$4001,$AB84))</f>
        <v/>
      </c>
      <c r="F84" s="11">
        <f>IF($AB84="","",INDEX('Per Line'!$E$2:$E$4001,$AB84))</f>
        <v/>
      </c>
      <c r="G84">
        <f>IF($AB84="","",INDEX('Per Line'!$F$2:$F$4001,$AB84)&amp;"")</f>
        <v/>
      </c>
      <c r="H84">
        <f>IF($AB84="","",INDEX('Per Line'!$H$2:$H$4001,$AB84)&amp;"")</f>
        <v/>
      </c>
      <c r="I84">
        <f>IF($AB84="","",INDEX('Per Line'!$I$2:$I$4001,$AB84)&amp;"")</f>
        <v/>
      </c>
      <c r="J84">
        <f>IF($AB84="","",INDEX('Per Line'!$J$2:$J$4001,$AB84)&amp;"")</f>
        <v/>
      </c>
      <c r="K84">
        <f>IF($AB84="","",INDEX('Per Line'!$K$2:$K$4001,$AB84)&amp;"")</f>
        <v/>
      </c>
      <c r="L84">
        <f>IF($AB84="","",INDEX('Per Line'!$L$2:$L$4001,$AB84))</f>
        <v/>
      </c>
      <c r="M84" s="7">
        <f>IF($AB84="","",IF(AND(ISNUMBER(O84),O84&gt;0,Z84&gt;O84),L84*O84/100+(Z84-O84),L84*Z84/100))</f>
        <v/>
      </c>
      <c r="N84">
        <f>IF($AB84="","",INDEX('Per Line'!$V$2:$V$4001,$AB84)&amp;"")</f>
        <v/>
      </c>
      <c r="O84">
        <f>IF($AB84="","",INDEX('Per Line'!$Z$2:$Z$4001,$AB84))</f>
        <v/>
      </c>
      <c r="P84">
        <f>IF($AB84="","",IF(AND(ISNUMBER(O84),O84&gt;0),Z84&gt;O84,FALSE))</f>
        <v/>
      </c>
      <c r="Q84" s="7">
        <f>IF($AB84="","",SUMIFS('Per Line'!$U$2:$U$4001,'Per Line'!$C$2:$C$4001,$B84,'Per Line'!$AM$2:$AM$4001,1))</f>
        <v/>
      </c>
      <c r="R84">
        <f>IF($AB84="","",Settings!$C$7)</f>
        <v/>
      </c>
      <c r="S84" s="7">
        <f>IF($AB84="","",SUMIFS('Per Line'!$U$2:$U$4001,'Per Line'!$C$2:$C$4001,$B84,'Per Line'!$AL$2:$AL$4001,0,'Per Line'!$AM$2:$AM$4001,0))</f>
        <v/>
      </c>
      <c r="T84" s="7">
        <f>IF($AB84="","",S84*R84)</f>
        <v/>
      </c>
      <c r="U84">
        <f>IF($AB84="","",Settings!$C$6)</f>
        <v/>
      </c>
      <c r="V84" s="7">
        <f>IF($AB84="","",SUMIFS('Per Line'!$U$2:$U$4001,'Per Line'!$C$2:$C$4001,$B84,'Per Line'!$AL$2:$AL$4001,1,'Per Line'!$AM$2:$AM$4001,0))</f>
        <v/>
      </c>
      <c r="W84" s="7">
        <f>IF($AB84="","",V84*U84)</f>
        <v/>
      </c>
      <c r="X84" s="7">
        <f>IF($AB84="","",W84+T84)</f>
        <v/>
      </c>
      <c r="Y84" s="7">
        <f>IF($AB84="","",Z84-X84)</f>
        <v/>
      </c>
      <c r="Z84" s="7">
        <f>IF($AB84="","",S84+V84+Q84)</f>
        <v/>
      </c>
      <c r="AA84" s="7">
        <f>IF($AB84="","",Z84-X84-M84)</f>
        <v/>
      </c>
      <c r="AB84" s="13">
        <f>IF(ROWS($AB$2:$AB84)&lt;=MAX('Per Line'!$AK$2:$AK$4001),MATCH(ROWS($AB$2:$AB84),'Per Line'!$AK$2:$AK$4001,0),"")</f>
        <v/>
      </c>
      <c r="AC84" s="14">
        <f>IF($AB84="","",M84-L84*Z84/100)</f>
        <v/>
      </c>
    </row>
    <row r="85">
      <c r="A85" s="12" t="n"/>
      <c r="B85">
        <f>IF($AB85="","",INDEX('Per Line'!$C$2:$C$4001,$AB85)&amp;"")</f>
        <v/>
      </c>
      <c r="C85">
        <f>IF($AB85="","",INDEX('Per Line'!$D$2:$D$4001,$AB85)&amp;"")</f>
        <v/>
      </c>
      <c r="D85">
        <f>IF($AB85="","",INDEX('Per Line'!$B$2:$B$4001,$AB85)&amp;"")</f>
        <v/>
      </c>
      <c r="E85">
        <f>IF($AB85="","",INDEX('Per Line'!$A$2:$A$4001,$AB85))</f>
        <v/>
      </c>
      <c r="F85" s="11">
        <f>IF($AB85="","",INDEX('Per Line'!$E$2:$E$4001,$AB85))</f>
        <v/>
      </c>
      <c r="G85">
        <f>IF($AB85="","",INDEX('Per Line'!$F$2:$F$4001,$AB85)&amp;"")</f>
        <v/>
      </c>
      <c r="H85">
        <f>IF($AB85="","",INDEX('Per Line'!$H$2:$H$4001,$AB85)&amp;"")</f>
        <v/>
      </c>
      <c r="I85">
        <f>IF($AB85="","",INDEX('Per Line'!$I$2:$I$4001,$AB85)&amp;"")</f>
        <v/>
      </c>
      <c r="J85">
        <f>IF($AB85="","",INDEX('Per Line'!$J$2:$J$4001,$AB85)&amp;"")</f>
        <v/>
      </c>
      <c r="K85">
        <f>IF($AB85="","",INDEX('Per Line'!$K$2:$K$4001,$AB85)&amp;"")</f>
        <v/>
      </c>
      <c r="L85">
        <f>IF($AB85="","",INDEX('Per Line'!$L$2:$L$4001,$AB85))</f>
        <v/>
      </c>
      <c r="M85" s="7">
        <f>IF($AB85="","",IF(AND(ISNUMBER(O85),O85&gt;0,Z85&gt;O85),L85*O85/100+(Z85-O85),L85*Z85/100))</f>
        <v/>
      </c>
      <c r="N85">
        <f>IF($AB85="","",INDEX('Per Line'!$V$2:$V$4001,$AB85)&amp;"")</f>
        <v/>
      </c>
      <c r="O85">
        <f>IF($AB85="","",INDEX('Per Line'!$Z$2:$Z$4001,$AB85))</f>
        <v/>
      </c>
      <c r="P85">
        <f>IF($AB85="","",IF(AND(ISNUMBER(O85),O85&gt;0),Z85&gt;O85,FALSE))</f>
        <v/>
      </c>
      <c r="Q85" s="7">
        <f>IF($AB85="","",SUMIFS('Per Line'!$U$2:$U$4001,'Per Line'!$C$2:$C$4001,$B85,'Per Line'!$AM$2:$AM$4001,1))</f>
        <v/>
      </c>
      <c r="R85">
        <f>IF($AB85="","",Settings!$C$7)</f>
        <v/>
      </c>
      <c r="S85" s="7">
        <f>IF($AB85="","",SUMIFS('Per Line'!$U$2:$U$4001,'Per Line'!$C$2:$C$4001,$B85,'Per Line'!$AL$2:$AL$4001,0,'Per Line'!$AM$2:$AM$4001,0))</f>
        <v/>
      </c>
      <c r="T85" s="7">
        <f>IF($AB85="","",S85*R85)</f>
        <v/>
      </c>
      <c r="U85">
        <f>IF($AB85="","",Settings!$C$6)</f>
        <v/>
      </c>
      <c r="V85" s="7">
        <f>IF($AB85="","",SUMIFS('Per Line'!$U$2:$U$4001,'Per Line'!$C$2:$C$4001,$B85,'Per Line'!$AL$2:$AL$4001,1,'Per Line'!$AM$2:$AM$4001,0))</f>
        <v/>
      </c>
      <c r="W85" s="7">
        <f>IF($AB85="","",V85*U85)</f>
        <v/>
      </c>
      <c r="X85" s="7">
        <f>IF($AB85="","",W85+T85)</f>
        <v/>
      </c>
      <c r="Y85" s="7">
        <f>IF($AB85="","",Z85-X85)</f>
        <v/>
      </c>
      <c r="Z85" s="7">
        <f>IF($AB85="","",S85+V85+Q85)</f>
        <v/>
      </c>
      <c r="AA85" s="7">
        <f>IF($AB85="","",Z85-X85-M85)</f>
        <v/>
      </c>
      <c r="AB85" s="13">
        <f>IF(ROWS($AB$2:$AB85)&lt;=MAX('Per Line'!$AK$2:$AK$4001),MATCH(ROWS($AB$2:$AB85),'Per Line'!$AK$2:$AK$4001,0),"")</f>
        <v/>
      </c>
      <c r="AC85" s="14">
        <f>IF($AB85="","",M85-L85*Z85/100)</f>
        <v/>
      </c>
    </row>
    <row r="86">
      <c r="A86" s="12" t="n"/>
      <c r="B86">
        <f>IF($AB86="","",INDEX('Per Line'!$C$2:$C$4001,$AB86)&amp;"")</f>
        <v/>
      </c>
      <c r="C86">
        <f>IF($AB86="","",INDEX('Per Line'!$D$2:$D$4001,$AB86)&amp;"")</f>
        <v/>
      </c>
      <c r="D86">
        <f>IF($AB86="","",INDEX('Per Line'!$B$2:$B$4001,$AB86)&amp;"")</f>
        <v/>
      </c>
      <c r="E86">
        <f>IF($AB86="","",INDEX('Per Line'!$A$2:$A$4001,$AB86))</f>
        <v/>
      </c>
      <c r="F86" s="11">
        <f>IF($AB86="","",INDEX('Per Line'!$E$2:$E$4001,$AB86))</f>
        <v/>
      </c>
      <c r="G86">
        <f>IF($AB86="","",INDEX('Per Line'!$F$2:$F$4001,$AB86)&amp;"")</f>
        <v/>
      </c>
      <c r="H86">
        <f>IF($AB86="","",INDEX('Per Line'!$H$2:$H$4001,$AB86)&amp;"")</f>
        <v/>
      </c>
      <c r="I86">
        <f>IF($AB86="","",INDEX('Per Line'!$I$2:$I$4001,$AB86)&amp;"")</f>
        <v/>
      </c>
      <c r="J86">
        <f>IF($AB86="","",INDEX('Per Line'!$J$2:$J$4001,$AB86)&amp;"")</f>
        <v/>
      </c>
      <c r="K86">
        <f>IF($AB86="","",INDEX('Per Line'!$K$2:$K$4001,$AB86)&amp;"")</f>
        <v/>
      </c>
      <c r="L86">
        <f>IF($AB86="","",INDEX('Per Line'!$L$2:$L$4001,$AB86))</f>
        <v/>
      </c>
      <c r="M86" s="7">
        <f>IF($AB86="","",IF(AND(ISNUMBER(O86),O86&gt;0,Z86&gt;O86),L86*O86/100+(Z86-O86),L86*Z86/100))</f>
        <v/>
      </c>
      <c r="N86">
        <f>IF($AB86="","",INDEX('Per Line'!$V$2:$V$4001,$AB86)&amp;"")</f>
        <v/>
      </c>
      <c r="O86">
        <f>IF($AB86="","",INDEX('Per Line'!$Z$2:$Z$4001,$AB86))</f>
        <v/>
      </c>
      <c r="P86">
        <f>IF($AB86="","",IF(AND(ISNUMBER(O86),O86&gt;0),Z86&gt;O86,FALSE))</f>
        <v/>
      </c>
      <c r="Q86" s="7">
        <f>IF($AB86="","",SUMIFS('Per Line'!$U$2:$U$4001,'Per Line'!$C$2:$C$4001,$B86,'Per Line'!$AM$2:$AM$4001,1))</f>
        <v/>
      </c>
      <c r="R86">
        <f>IF($AB86="","",Settings!$C$7)</f>
        <v/>
      </c>
      <c r="S86" s="7">
        <f>IF($AB86="","",SUMIFS('Per Line'!$U$2:$U$4001,'Per Line'!$C$2:$C$4001,$B86,'Per Line'!$AL$2:$AL$4001,0,'Per Line'!$AM$2:$AM$4001,0))</f>
        <v/>
      </c>
      <c r="T86" s="7">
        <f>IF($AB86="","",S86*R86)</f>
        <v/>
      </c>
      <c r="U86">
        <f>IF($AB86="","",Settings!$C$6)</f>
        <v/>
      </c>
      <c r="V86" s="7">
        <f>IF($AB86="","",SUMIFS('Per Line'!$U$2:$U$4001,'Per Line'!$C$2:$C$4001,$B86,'Per Line'!$AL$2:$AL$4001,1,'Per Line'!$AM$2:$AM$4001,0))</f>
        <v/>
      </c>
      <c r="W86" s="7">
        <f>IF($AB86="","",V86*U86)</f>
        <v/>
      </c>
      <c r="X86" s="7">
        <f>IF($AB86="","",W86+T86)</f>
        <v/>
      </c>
      <c r="Y86" s="7">
        <f>IF($AB86="","",Z86-X86)</f>
        <v/>
      </c>
      <c r="Z86" s="7">
        <f>IF($AB86="","",S86+V86+Q86)</f>
        <v/>
      </c>
      <c r="AA86" s="7">
        <f>IF($AB86="","",Z86-X86-M86)</f>
        <v/>
      </c>
      <c r="AB86" s="13">
        <f>IF(ROWS($AB$2:$AB86)&lt;=MAX('Per Line'!$AK$2:$AK$4001),MATCH(ROWS($AB$2:$AB86),'Per Line'!$AK$2:$AK$4001,0),"")</f>
        <v/>
      </c>
      <c r="AC86" s="14">
        <f>IF($AB86="","",M86-L86*Z86/100)</f>
        <v/>
      </c>
    </row>
    <row r="87">
      <c r="A87" s="12" t="n"/>
      <c r="B87">
        <f>IF($AB87="","",INDEX('Per Line'!$C$2:$C$4001,$AB87)&amp;"")</f>
        <v/>
      </c>
      <c r="C87">
        <f>IF($AB87="","",INDEX('Per Line'!$D$2:$D$4001,$AB87)&amp;"")</f>
        <v/>
      </c>
      <c r="D87">
        <f>IF($AB87="","",INDEX('Per Line'!$B$2:$B$4001,$AB87)&amp;"")</f>
        <v/>
      </c>
      <c r="E87">
        <f>IF($AB87="","",INDEX('Per Line'!$A$2:$A$4001,$AB87))</f>
        <v/>
      </c>
      <c r="F87" s="11">
        <f>IF($AB87="","",INDEX('Per Line'!$E$2:$E$4001,$AB87))</f>
        <v/>
      </c>
      <c r="G87">
        <f>IF($AB87="","",INDEX('Per Line'!$F$2:$F$4001,$AB87)&amp;"")</f>
        <v/>
      </c>
      <c r="H87">
        <f>IF($AB87="","",INDEX('Per Line'!$H$2:$H$4001,$AB87)&amp;"")</f>
        <v/>
      </c>
      <c r="I87">
        <f>IF($AB87="","",INDEX('Per Line'!$I$2:$I$4001,$AB87)&amp;"")</f>
        <v/>
      </c>
      <c r="J87">
        <f>IF($AB87="","",INDEX('Per Line'!$J$2:$J$4001,$AB87)&amp;"")</f>
        <v/>
      </c>
      <c r="K87">
        <f>IF($AB87="","",INDEX('Per Line'!$K$2:$K$4001,$AB87)&amp;"")</f>
        <v/>
      </c>
      <c r="L87">
        <f>IF($AB87="","",INDEX('Per Line'!$L$2:$L$4001,$AB87))</f>
        <v/>
      </c>
      <c r="M87" s="7">
        <f>IF($AB87="","",IF(AND(ISNUMBER(O87),O87&gt;0,Z87&gt;O87),L87*O87/100+(Z87-O87),L87*Z87/100))</f>
        <v/>
      </c>
      <c r="N87">
        <f>IF($AB87="","",INDEX('Per Line'!$V$2:$V$4001,$AB87)&amp;"")</f>
        <v/>
      </c>
      <c r="O87">
        <f>IF($AB87="","",INDEX('Per Line'!$Z$2:$Z$4001,$AB87))</f>
        <v/>
      </c>
      <c r="P87">
        <f>IF($AB87="","",IF(AND(ISNUMBER(O87),O87&gt;0),Z87&gt;O87,FALSE))</f>
        <v/>
      </c>
      <c r="Q87" s="7">
        <f>IF($AB87="","",SUMIFS('Per Line'!$U$2:$U$4001,'Per Line'!$C$2:$C$4001,$B87,'Per Line'!$AM$2:$AM$4001,1))</f>
        <v/>
      </c>
      <c r="R87">
        <f>IF($AB87="","",Settings!$C$7)</f>
        <v/>
      </c>
      <c r="S87" s="7">
        <f>IF($AB87="","",SUMIFS('Per Line'!$U$2:$U$4001,'Per Line'!$C$2:$C$4001,$B87,'Per Line'!$AL$2:$AL$4001,0,'Per Line'!$AM$2:$AM$4001,0))</f>
        <v/>
      </c>
      <c r="T87" s="7">
        <f>IF($AB87="","",S87*R87)</f>
        <v/>
      </c>
      <c r="U87">
        <f>IF($AB87="","",Settings!$C$6)</f>
        <v/>
      </c>
      <c r="V87" s="7">
        <f>IF($AB87="","",SUMIFS('Per Line'!$U$2:$U$4001,'Per Line'!$C$2:$C$4001,$B87,'Per Line'!$AL$2:$AL$4001,1,'Per Line'!$AM$2:$AM$4001,0))</f>
        <v/>
      </c>
      <c r="W87" s="7">
        <f>IF($AB87="","",V87*U87)</f>
        <v/>
      </c>
      <c r="X87" s="7">
        <f>IF($AB87="","",W87+T87)</f>
        <v/>
      </c>
      <c r="Y87" s="7">
        <f>IF($AB87="","",Z87-X87)</f>
        <v/>
      </c>
      <c r="Z87" s="7">
        <f>IF($AB87="","",S87+V87+Q87)</f>
        <v/>
      </c>
      <c r="AA87" s="7">
        <f>IF($AB87="","",Z87-X87-M87)</f>
        <v/>
      </c>
      <c r="AB87" s="13">
        <f>IF(ROWS($AB$2:$AB87)&lt;=MAX('Per Line'!$AK$2:$AK$4001),MATCH(ROWS($AB$2:$AB87),'Per Line'!$AK$2:$AK$4001,0),"")</f>
        <v/>
      </c>
      <c r="AC87" s="14">
        <f>IF($AB87="","",M87-L87*Z87/100)</f>
        <v/>
      </c>
    </row>
    <row r="88">
      <c r="A88" s="12" t="n"/>
      <c r="B88">
        <f>IF($AB88="","",INDEX('Per Line'!$C$2:$C$4001,$AB88)&amp;"")</f>
        <v/>
      </c>
      <c r="C88">
        <f>IF($AB88="","",INDEX('Per Line'!$D$2:$D$4001,$AB88)&amp;"")</f>
        <v/>
      </c>
      <c r="D88">
        <f>IF($AB88="","",INDEX('Per Line'!$B$2:$B$4001,$AB88)&amp;"")</f>
        <v/>
      </c>
      <c r="E88">
        <f>IF($AB88="","",INDEX('Per Line'!$A$2:$A$4001,$AB88))</f>
        <v/>
      </c>
      <c r="F88" s="11">
        <f>IF($AB88="","",INDEX('Per Line'!$E$2:$E$4001,$AB88))</f>
        <v/>
      </c>
      <c r="G88">
        <f>IF($AB88="","",INDEX('Per Line'!$F$2:$F$4001,$AB88)&amp;"")</f>
        <v/>
      </c>
      <c r="H88">
        <f>IF($AB88="","",INDEX('Per Line'!$H$2:$H$4001,$AB88)&amp;"")</f>
        <v/>
      </c>
      <c r="I88">
        <f>IF($AB88="","",INDEX('Per Line'!$I$2:$I$4001,$AB88)&amp;"")</f>
        <v/>
      </c>
      <c r="J88">
        <f>IF($AB88="","",INDEX('Per Line'!$J$2:$J$4001,$AB88)&amp;"")</f>
        <v/>
      </c>
      <c r="K88">
        <f>IF($AB88="","",INDEX('Per Line'!$K$2:$K$4001,$AB88)&amp;"")</f>
        <v/>
      </c>
      <c r="L88">
        <f>IF($AB88="","",INDEX('Per Line'!$L$2:$L$4001,$AB88))</f>
        <v/>
      </c>
      <c r="M88" s="7">
        <f>IF($AB88="","",IF(AND(ISNUMBER(O88),O88&gt;0,Z88&gt;O88),L88*O88/100+(Z88-O88),L88*Z88/100))</f>
        <v/>
      </c>
      <c r="N88">
        <f>IF($AB88="","",INDEX('Per Line'!$V$2:$V$4001,$AB88)&amp;"")</f>
        <v/>
      </c>
      <c r="O88">
        <f>IF($AB88="","",INDEX('Per Line'!$Z$2:$Z$4001,$AB88))</f>
        <v/>
      </c>
      <c r="P88">
        <f>IF($AB88="","",IF(AND(ISNUMBER(O88),O88&gt;0),Z88&gt;O88,FALSE))</f>
        <v/>
      </c>
      <c r="Q88" s="7">
        <f>IF($AB88="","",SUMIFS('Per Line'!$U$2:$U$4001,'Per Line'!$C$2:$C$4001,$B88,'Per Line'!$AM$2:$AM$4001,1))</f>
        <v/>
      </c>
      <c r="R88">
        <f>IF($AB88="","",Settings!$C$7)</f>
        <v/>
      </c>
      <c r="S88" s="7">
        <f>IF($AB88="","",SUMIFS('Per Line'!$U$2:$U$4001,'Per Line'!$C$2:$C$4001,$B88,'Per Line'!$AL$2:$AL$4001,0,'Per Line'!$AM$2:$AM$4001,0))</f>
        <v/>
      </c>
      <c r="T88" s="7">
        <f>IF($AB88="","",S88*R88)</f>
        <v/>
      </c>
      <c r="U88">
        <f>IF($AB88="","",Settings!$C$6)</f>
        <v/>
      </c>
      <c r="V88" s="7">
        <f>IF($AB88="","",SUMIFS('Per Line'!$U$2:$U$4001,'Per Line'!$C$2:$C$4001,$B88,'Per Line'!$AL$2:$AL$4001,1,'Per Line'!$AM$2:$AM$4001,0))</f>
        <v/>
      </c>
      <c r="W88" s="7">
        <f>IF($AB88="","",V88*U88)</f>
        <v/>
      </c>
      <c r="X88" s="7">
        <f>IF($AB88="","",W88+T88)</f>
        <v/>
      </c>
      <c r="Y88" s="7">
        <f>IF($AB88="","",Z88-X88)</f>
        <v/>
      </c>
      <c r="Z88" s="7">
        <f>IF($AB88="","",S88+V88+Q88)</f>
        <v/>
      </c>
      <c r="AA88" s="7">
        <f>IF($AB88="","",Z88-X88-M88)</f>
        <v/>
      </c>
      <c r="AB88" s="13">
        <f>IF(ROWS($AB$2:$AB88)&lt;=MAX('Per Line'!$AK$2:$AK$4001),MATCH(ROWS($AB$2:$AB88),'Per Line'!$AK$2:$AK$4001,0),"")</f>
        <v/>
      </c>
      <c r="AC88" s="14">
        <f>IF($AB88="","",M88-L88*Z88/100)</f>
        <v/>
      </c>
    </row>
    <row r="89">
      <c r="A89" s="12" t="n"/>
      <c r="B89">
        <f>IF($AB89="","",INDEX('Per Line'!$C$2:$C$4001,$AB89)&amp;"")</f>
        <v/>
      </c>
      <c r="C89">
        <f>IF($AB89="","",INDEX('Per Line'!$D$2:$D$4001,$AB89)&amp;"")</f>
        <v/>
      </c>
      <c r="D89">
        <f>IF($AB89="","",INDEX('Per Line'!$B$2:$B$4001,$AB89)&amp;"")</f>
        <v/>
      </c>
      <c r="E89">
        <f>IF($AB89="","",INDEX('Per Line'!$A$2:$A$4001,$AB89))</f>
        <v/>
      </c>
      <c r="F89" s="11">
        <f>IF($AB89="","",INDEX('Per Line'!$E$2:$E$4001,$AB89))</f>
        <v/>
      </c>
      <c r="G89">
        <f>IF($AB89="","",INDEX('Per Line'!$F$2:$F$4001,$AB89)&amp;"")</f>
        <v/>
      </c>
      <c r="H89">
        <f>IF($AB89="","",INDEX('Per Line'!$H$2:$H$4001,$AB89)&amp;"")</f>
        <v/>
      </c>
      <c r="I89">
        <f>IF($AB89="","",INDEX('Per Line'!$I$2:$I$4001,$AB89)&amp;"")</f>
        <v/>
      </c>
      <c r="J89">
        <f>IF($AB89="","",INDEX('Per Line'!$J$2:$J$4001,$AB89)&amp;"")</f>
        <v/>
      </c>
      <c r="K89">
        <f>IF($AB89="","",INDEX('Per Line'!$K$2:$K$4001,$AB89)&amp;"")</f>
        <v/>
      </c>
      <c r="L89">
        <f>IF($AB89="","",INDEX('Per Line'!$L$2:$L$4001,$AB89))</f>
        <v/>
      </c>
      <c r="M89" s="7">
        <f>IF($AB89="","",IF(AND(ISNUMBER(O89),O89&gt;0,Z89&gt;O89),L89*O89/100+(Z89-O89),L89*Z89/100))</f>
        <v/>
      </c>
      <c r="N89">
        <f>IF($AB89="","",INDEX('Per Line'!$V$2:$V$4001,$AB89)&amp;"")</f>
        <v/>
      </c>
      <c r="O89">
        <f>IF($AB89="","",INDEX('Per Line'!$Z$2:$Z$4001,$AB89))</f>
        <v/>
      </c>
      <c r="P89">
        <f>IF($AB89="","",IF(AND(ISNUMBER(O89),O89&gt;0),Z89&gt;O89,FALSE))</f>
        <v/>
      </c>
      <c r="Q89" s="7">
        <f>IF($AB89="","",SUMIFS('Per Line'!$U$2:$U$4001,'Per Line'!$C$2:$C$4001,$B89,'Per Line'!$AM$2:$AM$4001,1))</f>
        <v/>
      </c>
      <c r="R89">
        <f>IF($AB89="","",Settings!$C$7)</f>
        <v/>
      </c>
      <c r="S89" s="7">
        <f>IF($AB89="","",SUMIFS('Per Line'!$U$2:$U$4001,'Per Line'!$C$2:$C$4001,$B89,'Per Line'!$AL$2:$AL$4001,0,'Per Line'!$AM$2:$AM$4001,0))</f>
        <v/>
      </c>
      <c r="T89" s="7">
        <f>IF($AB89="","",S89*R89)</f>
        <v/>
      </c>
      <c r="U89">
        <f>IF($AB89="","",Settings!$C$6)</f>
        <v/>
      </c>
      <c r="V89" s="7">
        <f>IF($AB89="","",SUMIFS('Per Line'!$U$2:$U$4001,'Per Line'!$C$2:$C$4001,$B89,'Per Line'!$AL$2:$AL$4001,1,'Per Line'!$AM$2:$AM$4001,0))</f>
        <v/>
      </c>
      <c r="W89" s="7">
        <f>IF($AB89="","",V89*U89)</f>
        <v/>
      </c>
      <c r="X89" s="7">
        <f>IF($AB89="","",W89+T89)</f>
        <v/>
      </c>
      <c r="Y89" s="7">
        <f>IF($AB89="","",Z89-X89)</f>
        <v/>
      </c>
      <c r="Z89" s="7">
        <f>IF($AB89="","",S89+V89+Q89)</f>
        <v/>
      </c>
      <c r="AA89" s="7">
        <f>IF($AB89="","",Z89-X89-M89)</f>
        <v/>
      </c>
      <c r="AB89" s="13">
        <f>IF(ROWS($AB$2:$AB89)&lt;=MAX('Per Line'!$AK$2:$AK$4001),MATCH(ROWS($AB$2:$AB89),'Per Line'!$AK$2:$AK$4001,0),"")</f>
        <v/>
      </c>
      <c r="AC89" s="14">
        <f>IF($AB89="","",M89-L89*Z89/100)</f>
        <v/>
      </c>
    </row>
    <row r="90">
      <c r="A90" s="12" t="n"/>
      <c r="B90">
        <f>IF($AB90="","",INDEX('Per Line'!$C$2:$C$4001,$AB90)&amp;"")</f>
        <v/>
      </c>
      <c r="C90">
        <f>IF($AB90="","",INDEX('Per Line'!$D$2:$D$4001,$AB90)&amp;"")</f>
        <v/>
      </c>
      <c r="D90">
        <f>IF($AB90="","",INDEX('Per Line'!$B$2:$B$4001,$AB90)&amp;"")</f>
        <v/>
      </c>
      <c r="E90">
        <f>IF($AB90="","",INDEX('Per Line'!$A$2:$A$4001,$AB90))</f>
        <v/>
      </c>
      <c r="F90" s="11">
        <f>IF($AB90="","",INDEX('Per Line'!$E$2:$E$4001,$AB90))</f>
        <v/>
      </c>
      <c r="G90">
        <f>IF($AB90="","",INDEX('Per Line'!$F$2:$F$4001,$AB90)&amp;"")</f>
        <v/>
      </c>
      <c r="H90">
        <f>IF($AB90="","",INDEX('Per Line'!$H$2:$H$4001,$AB90)&amp;"")</f>
        <v/>
      </c>
      <c r="I90">
        <f>IF($AB90="","",INDEX('Per Line'!$I$2:$I$4001,$AB90)&amp;"")</f>
        <v/>
      </c>
      <c r="J90">
        <f>IF($AB90="","",INDEX('Per Line'!$J$2:$J$4001,$AB90)&amp;"")</f>
        <v/>
      </c>
      <c r="K90">
        <f>IF($AB90="","",INDEX('Per Line'!$K$2:$K$4001,$AB90)&amp;"")</f>
        <v/>
      </c>
      <c r="L90">
        <f>IF($AB90="","",INDEX('Per Line'!$L$2:$L$4001,$AB90))</f>
        <v/>
      </c>
      <c r="M90" s="7">
        <f>IF($AB90="","",IF(AND(ISNUMBER(O90),O90&gt;0,Z90&gt;O90),L90*O90/100+(Z90-O90),L90*Z90/100))</f>
        <v/>
      </c>
      <c r="N90">
        <f>IF($AB90="","",INDEX('Per Line'!$V$2:$V$4001,$AB90)&amp;"")</f>
        <v/>
      </c>
      <c r="O90">
        <f>IF($AB90="","",INDEX('Per Line'!$Z$2:$Z$4001,$AB90))</f>
        <v/>
      </c>
      <c r="P90">
        <f>IF($AB90="","",IF(AND(ISNUMBER(O90),O90&gt;0),Z90&gt;O90,FALSE))</f>
        <v/>
      </c>
      <c r="Q90" s="7">
        <f>IF($AB90="","",SUMIFS('Per Line'!$U$2:$U$4001,'Per Line'!$C$2:$C$4001,$B90,'Per Line'!$AM$2:$AM$4001,1))</f>
        <v/>
      </c>
      <c r="R90">
        <f>IF($AB90="","",Settings!$C$7)</f>
        <v/>
      </c>
      <c r="S90" s="7">
        <f>IF($AB90="","",SUMIFS('Per Line'!$U$2:$U$4001,'Per Line'!$C$2:$C$4001,$B90,'Per Line'!$AL$2:$AL$4001,0,'Per Line'!$AM$2:$AM$4001,0))</f>
        <v/>
      </c>
      <c r="T90" s="7">
        <f>IF($AB90="","",S90*R90)</f>
        <v/>
      </c>
      <c r="U90">
        <f>IF($AB90="","",Settings!$C$6)</f>
        <v/>
      </c>
      <c r="V90" s="7">
        <f>IF($AB90="","",SUMIFS('Per Line'!$U$2:$U$4001,'Per Line'!$C$2:$C$4001,$B90,'Per Line'!$AL$2:$AL$4001,1,'Per Line'!$AM$2:$AM$4001,0))</f>
        <v/>
      </c>
      <c r="W90" s="7">
        <f>IF($AB90="","",V90*U90)</f>
        <v/>
      </c>
      <c r="X90" s="7">
        <f>IF($AB90="","",W90+T90)</f>
        <v/>
      </c>
      <c r="Y90" s="7">
        <f>IF($AB90="","",Z90-X90)</f>
        <v/>
      </c>
      <c r="Z90" s="7">
        <f>IF($AB90="","",S90+V90+Q90)</f>
        <v/>
      </c>
      <c r="AA90" s="7">
        <f>IF($AB90="","",Z90-X90-M90)</f>
        <v/>
      </c>
      <c r="AB90" s="13">
        <f>IF(ROWS($AB$2:$AB90)&lt;=MAX('Per Line'!$AK$2:$AK$4001),MATCH(ROWS($AB$2:$AB90),'Per Line'!$AK$2:$AK$4001,0),"")</f>
        <v/>
      </c>
      <c r="AC90" s="14">
        <f>IF($AB90="","",M90-L90*Z90/100)</f>
        <v/>
      </c>
    </row>
    <row r="91">
      <c r="A91" s="12" t="n"/>
      <c r="B91">
        <f>IF($AB91="","",INDEX('Per Line'!$C$2:$C$4001,$AB91)&amp;"")</f>
        <v/>
      </c>
      <c r="C91">
        <f>IF($AB91="","",INDEX('Per Line'!$D$2:$D$4001,$AB91)&amp;"")</f>
        <v/>
      </c>
      <c r="D91">
        <f>IF($AB91="","",INDEX('Per Line'!$B$2:$B$4001,$AB91)&amp;"")</f>
        <v/>
      </c>
      <c r="E91">
        <f>IF($AB91="","",INDEX('Per Line'!$A$2:$A$4001,$AB91))</f>
        <v/>
      </c>
      <c r="F91" s="11">
        <f>IF($AB91="","",INDEX('Per Line'!$E$2:$E$4001,$AB91))</f>
        <v/>
      </c>
      <c r="G91">
        <f>IF($AB91="","",INDEX('Per Line'!$F$2:$F$4001,$AB91)&amp;"")</f>
        <v/>
      </c>
      <c r="H91">
        <f>IF($AB91="","",INDEX('Per Line'!$H$2:$H$4001,$AB91)&amp;"")</f>
        <v/>
      </c>
      <c r="I91">
        <f>IF($AB91="","",INDEX('Per Line'!$I$2:$I$4001,$AB91)&amp;"")</f>
        <v/>
      </c>
      <c r="J91">
        <f>IF($AB91="","",INDEX('Per Line'!$J$2:$J$4001,$AB91)&amp;"")</f>
        <v/>
      </c>
      <c r="K91">
        <f>IF($AB91="","",INDEX('Per Line'!$K$2:$K$4001,$AB91)&amp;"")</f>
        <v/>
      </c>
      <c r="L91">
        <f>IF($AB91="","",INDEX('Per Line'!$L$2:$L$4001,$AB91))</f>
        <v/>
      </c>
      <c r="M91" s="7">
        <f>IF($AB91="","",IF(AND(ISNUMBER(O91),O91&gt;0,Z91&gt;O91),L91*O91/100+(Z91-O91),L91*Z91/100))</f>
        <v/>
      </c>
      <c r="N91">
        <f>IF($AB91="","",INDEX('Per Line'!$V$2:$V$4001,$AB91)&amp;"")</f>
        <v/>
      </c>
      <c r="O91">
        <f>IF($AB91="","",INDEX('Per Line'!$Z$2:$Z$4001,$AB91))</f>
        <v/>
      </c>
      <c r="P91">
        <f>IF($AB91="","",IF(AND(ISNUMBER(O91),O91&gt;0),Z91&gt;O91,FALSE))</f>
        <v/>
      </c>
      <c r="Q91" s="7">
        <f>IF($AB91="","",SUMIFS('Per Line'!$U$2:$U$4001,'Per Line'!$C$2:$C$4001,$B91,'Per Line'!$AM$2:$AM$4001,1))</f>
        <v/>
      </c>
      <c r="R91">
        <f>IF($AB91="","",Settings!$C$7)</f>
        <v/>
      </c>
      <c r="S91" s="7">
        <f>IF($AB91="","",SUMIFS('Per Line'!$U$2:$U$4001,'Per Line'!$C$2:$C$4001,$B91,'Per Line'!$AL$2:$AL$4001,0,'Per Line'!$AM$2:$AM$4001,0))</f>
        <v/>
      </c>
      <c r="T91" s="7">
        <f>IF($AB91="","",S91*R91)</f>
        <v/>
      </c>
      <c r="U91">
        <f>IF($AB91="","",Settings!$C$6)</f>
        <v/>
      </c>
      <c r="V91" s="7">
        <f>IF($AB91="","",SUMIFS('Per Line'!$U$2:$U$4001,'Per Line'!$C$2:$C$4001,$B91,'Per Line'!$AL$2:$AL$4001,1,'Per Line'!$AM$2:$AM$4001,0))</f>
        <v/>
      </c>
      <c r="W91" s="7">
        <f>IF($AB91="","",V91*U91)</f>
        <v/>
      </c>
      <c r="X91" s="7">
        <f>IF($AB91="","",W91+T91)</f>
        <v/>
      </c>
      <c r="Y91" s="7">
        <f>IF($AB91="","",Z91-X91)</f>
        <v/>
      </c>
      <c r="Z91" s="7">
        <f>IF($AB91="","",S91+V91+Q91)</f>
        <v/>
      </c>
      <c r="AA91" s="7">
        <f>IF($AB91="","",Z91-X91-M91)</f>
        <v/>
      </c>
      <c r="AB91" s="13">
        <f>IF(ROWS($AB$2:$AB91)&lt;=MAX('Per Line'!$AK$2:$AK$4001),MATCH(ROWS($AB$2:$AB91),'Per Line'!$AK$2:$AK$4001,0),"")</f>
        <v/>
      </c>
      <c r="AC91" s="14">
        <f>IF($AB91="","",M91-L91*Z91/100)</f>
        <v/>
      </c>
    </row>
    <row r="92">
      <c r="A92" s="12" t="n"/>
      <c r="B92">
        <f>IF($AB92="","",INDEX('Per Line'!$C$2:$C$4001,$AB92)&amp;"")</f>
        <v/>
      </c>
      <c r="C92">
        <f>IF($AB92="","",INDEX('Per Line'!$D$2:$D$4001,$AB92)&amp;"")</f>
        <v/>
      </c>
      <c r="D92">
        <f>IF($AB92="","",INDEX('Per Line'!$B$2:$B$4001,$AB92)&amp;"")</f>
        <v/>
      </c>
      <c r="E92">
        <f>IF($AB92="","",INDEX('Per Line'!$A$2:$A$4001,$AB92))</f>
        <v/>
      </c>
      <c r="F92" s="11">
        <f>IF($AB92="","",INDEX('Per Line'!$E$2:$E$4001,$AB92))</f>
        <v/>
      </c>
      <c r="G92">
        <f>IF($AB92="","",INDEX('Per Line'!$F$2:$F$4001,$AB92)&amp;"")</f>
        <v/>
      </c>
      <c r="H92">
        <f>IF($AB92="","",INDEX('Per Line'!$H$2:$H$4001,$AB92)&amp;"")</f>
        <v/>
      </c>
      <c r="I92">
        <f>IF($AB92="","",INDEX('Per Line'!$I$2:$I$4001,$AB92)&amp;"")</f>
        <v/>
      </c>
      <c r="J92">
        <f>IF($AB92="","",INDEX('Per Line'!$J$2:$J$4001,$AB92)&amp;"")</f>
        <v/>
      </c>
      <c r="K92">
        <f>IF($AB92="","",INDEX('Per Line'!$K$2:$K$4001,$AB92)&amp;"")</f>
        <v/>
      </c>
      <c r="L92">
        <f>IF($AB92="","",INDEX('Per Line'!$L$2:$L$4001,$AB92))</f>
        <v/>
      </c>
      <c r="M92" s="7">
        <f>IF($AB92="","",IF(AND(ISNUMBER(O92),O92&gt;0,Z92&gt;O92),L92*O92/100+(Z92-O92),L92*Z92/100))</f>
        <v/>
      </c>
      <c r="N92">
        <f>IF($AB92="","",INDEX('Per Line'!$V$2:$V$4001,$AB92)&amp;"")</f>
        <v/>
      </c>
      <c r="O92">
        <f>IF($AB92="","",INDEX('Per Line'!$Z$2:$Z$4001,$AB92))</f>
        <v/>
      </c>
      <c r="P92">
        <f>IF($AB92="","",IF(AND(ISNUMBER(O92),O92&gt;0),Z92&gt;O92,FALSE))</f>
        <v/>
      </c>
      <c r="Q92" s="7">
        <f>IF($AB92="","",SUMIFS('Per Line'!$U$2:$U$4001,'Per Line'!$C$2:$C$4001,$B92,'Per Line'!$AM$2:$AM$4001,1))</f>
        <v/>
      </c>
      <c r="R92">
        <f>IF($AB92="","",Settings!$C$7)</f>
        <v/>
      </c>
      <c r="S92" s="7">
        <f>IF($AB92="","",SUMIFS('Per Line'!$U$2:$U$4001,'Per Line'!$C$2:$C$4001,$B92,'Per Line'!$AL$2:$AL$4001,0,'Per Line'!$AM$2:$AM$4001,0))</f>
        <v/>
      </c>
      <c r="T92" s="7">
        <f>IF($AB92="","",S92*R92)</f>
        <v/>
      </c>
      <c r="U92">
        <f>IF($AB92="","",Settings!$C$6)</f>
        <v/>
      </c>
      <c r="V92" s="7">
        <f>IF($AB92="","",SUMIFS('Per Line'!$U$2:$U$4001,'Per Line'!$C$2:$C$4001,$B92,'Per Line'!$AL$2:$AL$4001,1,'Per Line'!$AM$2:$AM$4001,0))</f>
        <v/>
      </c>
      <c r="W92" s="7">
        <f>IF($AB92="","",V92*U92)</f>
        <v/>
      </c>
      <c r="X92" s="7">
        <f>IF($AB92="","",W92+T92)</f>
        <v/>
      </c>
      <c r="Y92" s="7">
        <f>IF($AB92="","",Z92-X92)</f>
        <v/>
      </c>
      <c r="Z92" s="7">
        <f>IF($AB92="","",S92+V92+Q92)</f>
        <v/>
      </c>
      <c r="AA92" s="7">
        <f>IF($AB92="","",Z92-X92-M92)</f>
        <v/>
      </c>
      <c r="AB92" s="13">
        <f>IF(ROWS($AB$2:$AB92)&lt;=MAX('Per Line'!$AK$2:$AK$4001),MATCH(ROWS($AB$2:$AB92),'Per Line'!$AK$2:$AK$4001,0),"")</f>
        <v/>
      </c>
      <c r="AC92" s="14">
        <f>IF($AB92="","",M92-L92*Z92/100)</f>
        <v/>
      </c>
    </row>
    <row r="93">
      <c r="A93" s="12" t="n"/>
      <c r="B93">
        <f>IF($AB93="","",INDEX('Per Line'!$C$2:$C$4001,$AB93)&amp;"")</f>
        <v/>
      </c>
      <c r="C93">
        <f>IF($AB93="","",INDEX('Per Line'!$D$2:$D$4001,$AB93)&amp;"")</f>
        <v/>
      </c>
      <c r="D93">
        <f>IF($AB93="","",INDEX('Per Line'!$B$2:$B$4001,$AB93)&amp;"")</f>
        <v/>
      </c>
      <c r="E93">
        <f>IF($AB93="","",INDEX('Per Line'!$A$2:$A$4001,$AB93))</f>
        <v/>
      </c>
      <c r="F93" s="11">
        <f>IF($AB93="","",INDEX('Per Line'!$E$2:$E$4001,$AB93))</f>
        <v/>
      </c>
      <c r="G93">
        <f>IF($AB93="","",INDEX('Per Line'!$F$2:$F$4001,$AB93)&amp;"")</f>
        <v/>
      </c>
      <c r="H93">
        <f>IF($AB93="","",INDEX('Per Line'!$H$2:$H$4001,$AB93)&amp;"")</f>
        <v/>
      </c>
      <c r="I93">
        <f>IF($AB93="","",INDEX('Per Line'!$I$2:$I$4001,$AB93)&amp;"")</f>
        <v/>
      </c>
      <c r="J93">
        <f>IF($AB93="","",INDEX('Per Line'!$J$2:$J$4001,$AB93)&amp;"")</f>
        <v/>
      </c>
      <c r="K93">
        <f>IF($AB93="","",INDEX('Per Line'!$K$2:$K$4001,$AB93)&amp;"")</f>
        <v/>
      </c>
      <c r="L93">
        <f>IF($AB93="","",INDEX('Per Line'!$L$2:$L$4001,$AB93))</f>
        <v/>
      </c>
      <c r="M93" s="7">
        <f>IF($AB93="","",IF(AND(ISNUMBER(O93),O93&gt;0,Z93&gt;O93),L93*O93/100+(Z93-O93),L93*Z93/100))</f>
        <v/>
      </c>
      <c r="N93">
        <f>IF($AB93="","",INDEX('Per Line'!$V$2:$V$4001,$AB93)&amp;"")</f>
        <v/>
      </c>
      <c r="O93">
        <f>IF($AB93="","",INDEX('Per Line'!$Z$2:$Z$4001,$AB93))</f>
        <v/>
      </c>
      <c r="P93">
        <f>IF($AB93="","",IF(AND(ISNUMBER(O93),O93&gt;0),Z93&gt;O93,FALSE))</f>
        <v/>
      </c>
      <c r="Q93" s="7">
        <f>IF($AB93="","",SUMIFS('Per Line'!$U$2:$U$4001,'Per Line'!$C$2:$C$4001,$B93,'Per Line'!$AM$2:$AM$4001,1))</f>
        <v/>
      </c>
      <c r="R93">
        <f>IF($AB93="","",Settings!$C$7)</f>
        <v/>
      </c>
      <c r="S93" s="7">
        <f>IF($AB93="","",SUMIFS('Per Line'!$U$2:$U$4001,'Per Line'!$C$2:$C$4001,$B93,'Per Line'!$AL$2:$AL$4001,0,'Per Line'!$AM$2:$AM$4001,0))</f>
        <v/>
      </c>
      <c r="T93" s="7">
        <f>IF($AB93="","",S93*R93)</f>
        <v/>
      </c>
      <c r="U93">
        <f>IF($AB93="","",Settings!$C$6)</f>
        <v/>
      </c>
      <c r="V93" s="7">
        <f>IF($AB93="","",SUMIFS('Per Line'!$U$2:$U$4001,'Per Line'!$C$2:$C$4001,$B93,'Per Line'!$AL$2:$AL$4001,1,'Per Line'!$AM$2:$AM$4001,0))</f>
        <v/>
      </c>
      <c r="W93" s="7">
        <f>IF($AB93="","",V93*U93)</f>
        <v/>
      </c>
      <c r="X93" s="7">
        <f>IF($AB93="","",W93+T93)</f>
        <v/>
      </c>
      <c r="Y93" s="7">
        <f>IF($AB93="","",Z93-X93)</f>
        <v/>
      </c>
      <c r="Z93" s="7">
        <f>IF($AB93="","",S93+V93+Q93)</f>
        <v/>
      </c>
      <c r="AA93" s="7">
        <f>IF($AB93="","",Z93-X93-M93)</f>
        <v/>
      </c>
      <c r="AB93" s="13">
        <f>IF(ROWS($AB$2:$AB93)&lt;=MAX('Per Line'!$AK$2:$AK$4001),MATCH(ROWS($AB$2:$AB93),'Per Line'!$AK$2:$AK$4001,0),"")</f>
        <v/>
      </c>
      <c r="AC93" s="14">
        <f>IF($AB93="","",M93-L93*Z93/100)</f>
        <v/>
      </c>
    </row>
    <row r="94">
      <c r="A94" s="12" t="n"/>
      <c r="B94">
        <f>IF($AB94="","",INDEX('Per Line'!$C$2:$C$4001,$AB94)&amp;"")</f>
        <v/>
      </c>
      <c r="C94">
        <f>IF($AB94="","",INDEX('Per Line'!$D$2:$D$4001,$AB94)&amp;"")</f>
        <v/>
      </c>
      <c r="D94">
        <f>IF($AB94="","",INDEX('Per Line'!$B$2:$B$4001,$AB94)&amp;"")</f>
        <v/>
      </c>
      <c r="E94">
        <f>IF($AB94="","",INDEX('Per Line'!$A$2:$A$4001,$AB94))</f>
        <v/>
      </c>
      <c r="F94" s="11">
        <f>IF($AB94="","",INDEX('Per Line'!$E$2:$E$4001,$AB94))</f>
        <v/>
      </c>
      <c r="G94">
        <f>IF($AB94="","",INDEX('Per Line'!$F$2:$F$4001,$AB94)&amp;"")</f>
        <v/>
      </c>
      <c r="H94">
        <f>IF($AB94="","",INDEX('Per Line'!$H$2:$H$4001,$AB94)&amp;"")</f>
        <v/>
      </c>
      <c r="I94">
        <f>IF($AB94="","",INDEX('Per Line'!$I$2:$I$4001,$AB94)&amp;"")</f>
        <v/>
      </c>
      <c r="J94">
        <f>IF($AB94="","",INDEX('Per Line'!$J$2:$J$4001,$AB94)&amp;"")</f>
        <v/>
      </c>
      <c r="K94">
        <f>IF($AB94="","",INDEX('Per Line'!$K$2:$K$4001,$AB94)&amp;"")</f>
        <v/>
      </c>
      <c r="L94">
        <f>IF($AB94="","",INDEX('Per Line'!$L$2:$L$4001,$AB94))</f>
        <v/>
      </c>
      <c r="M94" s="7">
        <f>IF($AB94="","",IF(AND(ISNUMBER(O94),O94&gt;0,Z94&gt;O94),L94*O94/100+(Z94-O94),L94*Z94/100))</f>
        <v/>
      </c>
      <c r="N94">
        <f>IF($AB94="","",INDEX('Per Line'!$V$2:$V$4001,$AB94)&amp;"")</f>
        <v/>
      </c>
      <c r="O94">
        <f>IF($AB94="","",INDEX('Per Line'!$Z$2:$Z$4001,$AB94))</f>
        <v/>
      </c>
      <c r="P94">
        <f>IF($AB94="","",IF(AND(ISNUMBER(O94),O94&gt;0),Z94&gt;O94,FALSE))</f>
        <v/>
      </c>
      <c r="Q94" s="7">
        <f>IF($AB94="","",SUMIFS('Per Line'!$U$2:$U$4001,'Per Line'!$C$2:$C$4001,$B94,'Per Line'!$AM$2:$AM$4001,1))</f>
        <v/>
      </c>
      <c r="R94">
        <f>IF($AB94="","",Settings!$C$7)</f>
        <v/>
      </c>
      <c r="S94" s="7">
        <f>IF($AB94="","",SUMIFS('Per Line'!$U$2:$U$4001,'Per Line'!$C$2:$C$4001,$B94,'Per Line'!$AL$2:$AL$4001,0,'Per Line'!$AM$2:$AM$4001,0))</f>
        <v/>
      </c>
      <c r="T94" s="7">
        <f>IF($AB94="","",S94*R94)</f>
        <v/>
      </c>
      <c r="U94">
        <f>IF($AB94="","",Settings!$C$6)</f>
        <v/>
      </c>
      <c r="V94" s="7">
        <f>IF($AB94="","",SUMIFS('Per Line'!$U$2:$U$4001,'Per Line'!$C$2:$C$4001,$B94,'Per Line'!$AL$2:$AL$4001,1,'Per Line'!$AM$2:$AM$4001,0))</f>
        <v/>
      </c>
      <c r="W94" s="7">
        <f>IF($AB94="","",V94*U94)</f>
        <v/>
      </c>
      <c r="X94" s="7">
        <f>IF($AB94="","",W94+T94)</f>
        <v/>
      </c>
      <c r="Y94" s="7">
        <f>IF($AB94="","",Z94-X94)</f>
        <v/>
      </c>
      <c r="Z94" s="7">
        <f>IF($AB94="","",S94+V94+Q94)</f>
        <v/>
      </c>
      <c r="AA94" s="7">
        <f>IF($AB94="","",Z94-X94-M94)</f>
        <v/>
      </c>
      <c r="AB94" s="13">
        <f>IF(ROWS($AB$2:$AB94)&lt;=MAX('Per Line'!$AK$2:$AK$4001),MATCH(ROWS($AB$2:$AB94),'Per Line'!$AK$2:$AK$4001,0),"")</f>
        <v/>
      </c>
      <c r="AC94" s="14">
        <f>IF($AB94="","",M94-L94*Z94/100)</f>
        <v/>
      </c>
    </row>
    <row r="95">
      <c r="A95" s="12" t="n"/>
      <c r="B95">
        <f>IF($AB95="","",INDEX('Per Line'!$C$2:$C$4001,$AB95)&amp;"")</f>
        <v/>
      </c>
      <c r="C95">
        <f>IF($AB95="","",INDEX('Per Line'!$D$2:$D$4001,$AB95)&amp;"")</f>
        <v/>
      </c>
      <c r="D95">
        <f>IF($AB95="","",INDEX('Per Line'!$B$2:$B$4001,$AB95)&amp;"")</f>
        <v/>
      </c>
      <c r="E95">
        <f>IF($AB95="","",INDEX('Per Line'!$A$2:$A$4001,$AB95))</f>
        <v/>
      </c>
      <c r="F95" s="11">
        <f>IF($AB95="","",INDEX('Per Line'!$E$2:$E$4001,$AB95))</f>
        <v/>
      </c>
      <c r="G95">
        <f>IF($AB95="","",INDEX('Per Line'!$F$2:$F$4001,$AB95)&amp;"")</f>
        <v/>
      </c>
      <c r="H95">
        <f>IF($AB95="","",INDEX('Per Line'!$H$2:$H$4001,$AB95)&amp;"")</f>
        <v/>
      </c>
      <c r="I95">
        <f>IF($AB95="","",INDEX('Per Line'!$I$2:$I$4001,$AB95)&amp;"")</f>
        <v/>
      </c>
      <c r="J95">
        <f>IF($AB95="","",INDEX('Per Line'!$J$2:$J$4001,$AB95)&amp;"")</f>
        <v/>
      </c>
      <c r="K95">
        <f>IF($AB95="","",INDEX('Per Line'!$K$2:$K$4001,$AB95)&amp;"")</f>
        <v/>
      </c>
      <c r="L95">
        <f>IF($AB95="","",INDEX('Per Line'!$L$2:$L$4001,$AB95))</f>
        <v/>
      </c>
      <c r="M95" s="7">
        <f>IF($AB95="","",IF(AND(ISNUMBER(O95),O95&gt;0,Z95&gt;O95),L95*O95/100+(Z95-O95),L95*Z95/100))</f>
        <v/>
      </c>
      <c r="N95">
        <f>IF($AB95="","",INDEX('Per Line'!$V$2:$V$4001,$AB95)&amp;"")</f>
        <v/>
      </c>
      <c r="O95">
        <f>IF($AB95="","",INDEX('Per Line'!$Z$2:$Z$4001,$AB95))</f>
        <v/>
      </c>
      <c r="P95">
        <f>IF($AB95="","",IF(AND(ISNUMBER(O95),O95&gt;0),Z95&gt;O95,FALSE))</f>
        <v/>
      </c>
      <c r="Q95" s="7">
        <f>IF($AB95="","",SUMIFS('Per Line'!$U$2:$U$4001,'Per Line'!$C$2:$C$4001,$B95,'Per Line'!$AM$2:$AM$4001,1))</f>
        <v/>
      </c>
      <c r="R95">
        <f>IF($AB95="","",Settings!$C$7)</f>
        <v/>
      </c>
      <c r="S95" s="7">
        <f>IF($AB95="","",SUMIFS('Per Line'!$U$2:$U$4001,'Per Line'!$C$2:$C$4001,$B95,'Per Line'!$AL$2:$AL$4001,0,'Per Line'!$AM$2:$AM$4001,0))</f>
        <v/>
      </c>
      <c r="T95" s="7">
        <f>IF($AB95="","",S95*R95)</f>
        <v/>
      </c>
      <c r="U95">
        <f>IF($AB95="","",Settings!$C$6)</f>
        <v/>
      </c>
      <c r="V95" s="7">
        <f>IF($AB95="","",SUMIFS('Per Line'!$U$2:$U$4001,'Per Line'!$C$2:$C$4001,$B95,'Per Line'!$AL$2:$AL$4001,1,'Per Line'!$AM$2:$AM$4001,0))</f>
        <v/>
      </c>
      <c r="W95" s="7">
        <f>IF($AB95="","",V95*U95)</f>
        <v/>
      </c>
      <c r="X95" s="7">
        <f>IF($AB95="","",W95+T95)</f>
        <v/>
      </c>
      <c r="Y95" s="7">
        <f>IF($AB95="","",Z95-X95)</f>
        <v/>
      </c>
      <c r="Z95" s="7">
        <f>IF($AB95="","",S95+V95+Q95)</f>
        <v/>
      </c>
      <c r="AA95" s="7">
        <f>IF($AB95="","",Z95-X95-M95)</f>
        <v/>
      </c>
      <c r="AB95" s="13">
        <f>IF(ROWS($AB$2:$AB95)&lt;=MAX('Per Line'!$AK$2:$AK$4001),MATCH(ROWS($AB$2:$AB95),'Per Line'!$AK$2:$AK$4001,0),"")</f>
        <v/>
      </c>
      <c r="AC95" s="14">
        <f>IF($AB95="","",M95-L95*Z95/100)</f>
        <v/>
      </c>
    </row>
    <row r="96">
      <c r="A96" s="12" t="n"/>
      <c r="B96">
        <f>IF($AB96="","",INDEX('Per Line'!$C$2:$C$4001,$AB96)&amp;"")</f>
        <v/>
      </c>
      <c r="C96">
        <f>IF($AB96="","",INDEX('Per Line'!$D$2:$D$4001,$AB96)&amp;"")</f>
        <v/>
      </c>
      <c r="D96">
        <f>IF($AB96="","",INDEX('Per Line'!$B$2:$B$4001,$AB96)&amp;"")</f>
        <v/>
      </c>
      <c r="E96">
        <f>IF($AB96="","",INDEX('Per Line'!$A$2:$A$4001,$AB96))</f>
        <v/>
      </c>
      <c r="F96" s="11">
        <f>IF($AB96="","",INDEX('Per Line'!$E$2:$E$4001,$AB96))</f>
        <v/>
      </c>
      <c r="G96">
        <f>IF($AB96="","",INDEX('Per Line'!$F$2:$F$4001,$AB96)&amp;"")</f>
        <v/>
      </c>
      <c r="H96">
        <f>IF($AB96="","",INDEX('Per Line'!$H$2:$H$4001,$AB96)&amp;"")</f>
        <v/>
      </c>
      <c r="I96">
        <f>IF($AB96="","",INDEX('Per Line'!$I$2:$I$4001,$AB96)&amp;"")</f>
        <v/>
      </c>
      <c r="J96">
        <f>IF($AB96="","",INDEX('Per Line'!$J$2:$J$4001,$AB96)&amp;"")</f>
        <v/>
      </c>
      <c r="K96">
        <f>IF($AB96="","",INDEX('Per Line'!$K$2:$K$4001,$AB96)&amp;"")</f>
        <v/>
      </c>
      <c r="L96">
        <f>IF($AB96="","",INDEX('Per Line'!$L$2:$L$4001,$AB96))</f>
        <v/>
      </c>
      <c r="M96" s="7">
        <f>IF($AB96="","",IF(AND(ISNUMBER(O96),O96&gt;0,Z96&gt;O96),L96*O96/100+(Z96-O96),L96*Z96/100))</f>
        <v/>
      </c>
      <c r="N96">
        <f>IF($AB96="","",INDEX('Per Line'!$V$2:$V$4001,$AB96)&amp;"")</f>
        <v/>
      </c>
      <c r="O96">
        <f>IF($AB96="","",INDEX('Per Line'!$Z$2:$Z$4001,$AB96))</f>
        <v/>
      </c>
      <c r="P96">
        <f>IF($AB96="","",IF(AND(ISNUMBER(O96),O96&gt;0),Z96&gt;O96,FALSE))</f>
        <v/>
      </c>
      <c r="Q96" s="7">
        <f>IF($AB96="","",SUMIFS('Per Line'!$U$2:$U$4001,'Per Line'!$C$2:$C$4001,$B96,'Per Line'!$AM$2:$AM$4001,1))</f>
        <v/>
      </c>
      <c r="R96">
        <f>IF($AB96="","",Settings!$C$7)</f>
        <v/>
      </c>
      <c r="S96" s="7">
        <f>IF($AB96="","",SUMIFS('Per Line'!$U$2:$U$4001,'Per Line'!$C$2:$C$4001,$B96,'Per Line'!$AL$2:$AL$4001,0,'Per Line'!$AM$2:$AM$4001,0))</f>
        <v/>
      </c>
      <c r="T96" s="7">
        <f>IF($AB96="","",S96*R96)</f>
        <v/>
      </c>
      <c r="U96">
        <f>IF($AB96="","",Settings!$C$6)</f>
        <v/>
      </c>
      <c r="V96" s="7">
        <f>IF($AB96="","",SUMIFS('Per Line'!$U$2:$U$4001,'Per Line'!$C$2:$C$4001,$B96,'Per Line'!$AL$2:$AL$4001,1,'Per Line'!$AM$2:$AM$4001,0))</f>
        <v/>
      </c>
      <c r="W96" s="7">
        <f>IF($AB96="","",V96*U96)</f>
        <v/>
      </c>
      <c r="X96" s="7">
        <f>IF($AB96="","",W96+T96)</f>
        <v/>
      </c>
      <c r="Y96" s="7">
        <f>IF($AB96="","",Z96-X96)</f>
        <v/>
      </c>
      <c r="Z96" s="7">
        <f>IF($AB96="","",S96+V96+Q96)</f>
        <v/>
      </c>
      <c r="AA96" s="7">
        <f>IF($AB96="","",Z96-X96-M96)</f>
        <v/>
      </c>
      <c r="AB96" s="13">
        <f>IF(ROWS($AB$2:$AB96)&lt;=MAX('Per Line'!$AK$2:$AK$4001),MATCH(ROWS($AB$2:$AB96),'Per Line'!$AK$2:$AK$4001,0),"")</f>
        <v/>
      </c>
      <c r="AC96" s="14">
        <f>IF($AB96="","",M96-L96*Z96/100)</f>
        <v/>
      </c>
    </row>
    <row r="97">
      <c r="A97" s="12" t="n"/>
      <c r="B97">
        <f>IF($AB97="","",INDEX('Per Line'!$C$2:$C$4001,$AB97)&amp;"")</f>
        <v/>
      </c>
      <c r="C97">
        <f>IF($AB97="","",INDEX('Per Line'!$D$2:$D$4001,$AB97)&amp;"")</f>
        <v/>
      </c>
      <c r="D97">
        <f>IF($AB97="","",INDEX('Per Line'!$B$2:$B$4001,$AB97)&amp;"")</f>
        <v/>
      </c>
      <c r="E97">
        <f>IF($AB97="","",INDEX('Per Line'!$A$2:$A$4001,$AB97))</f>
        <v/>
      </c>
      <c r="F97" s="11">
        <f>IF($AB97="","",INDEX('Per Line'!$E$2:$E$4001,$AB97))</f>
        <v/>
      </c>
      <c r="G97">
        <f>IF($AB97="","",INDEX('Per Line'!$F$2:$F$4001,$AB97)&amp;"")</f>
        <v/>
      </c>
      <c r="H97">
        <f>IF($AB97="","",INDEX('Per Line'!$H$2:$H$4001,$AB97)&amp;"")</f>
        <v/>
      </c>
      <c r="I97">
        <f>IF($AB97="","",INDEX('Per Line'!$I$2:$I$4001,$AB97)&amp;"")</f>
        <v/>
      </c>
      <c r="J97">
        <f>IF($AB97="","",INDEX('Per Line'!$J$2:$J$4001,$AB97)&amp;"")</f>
        <v/>
      </c>
      <c r="K97">
        <f>IF($AB97="","",INDEX('Per Line'!$K$2:$K$4001,$AB97)&amp;"")</f>
        <v/>
      </c>
      <c r="L97">
        <f>IF($AB97="","",INDEX('Per Line'!$L$2:$L$4001,$AB97))</f>
        <v/>
      </c>
      <c r="M97" s="7">
        <f>IF($AB97="","",IF(AND(ISNUMBER(O97),O97&gt;0,Z97&gt;O97),L97*O97/100+(Z97-O97),L97*Z97/100))</f>
        <v/>
      </c>
      <c r="N97">
        <f>IF($AB97="","",INDEX('Per Line'!$V$2:$V$4001,$AB97)&amp;"")</f>
        <v/>
      </c>
      <c r="O97">
        <f>IF($AB97="","",INDEX('Per Line'!$Z$2:$Z$4001,$AB97))</f>
        <v/>
      </c>
      <c r="P97">
        <f>IF($AB97="","",IF(AND(ISNUMBER(O97),O97&gt;0),Z97&gt;O97,FALSE))</f>
        <v/>
      </c>
      <c r="Q97" s="7">
        <f>IF($AB97="","",SUMIFS('Per Line'!$U$2:$U$4001,'Per Line'!$C$2:$C$4001,$B97,'Per Line'!$AM$2:$AM$4001,1))</f>
        <v/>
      </c>
      <c r="R97">
        <f>IF($AB97="","",Settings!$C$7)</f>
        <v/>
      </c>
      <c r="S97" s="7">
        <f>IF($AB97="","",SUMIFS('Per Line'!$U$2:$U$4001,'Per Line'!$C$2:$C$4001,$B97,'Per Line'!$AL$2:$AL$4001,0,'Per Line'!$AM$2:$AM$4001,0))</f>
        <v/>
      </c>
      <c r="T97" s="7">
        <f>IF($AB97="","",S97*R97)</f>
        <v/>
      </c>
      <c r="U97">
        <f>IF($AB97="","",Settings!$C$6)</f>
        <v/>
      </c>
      <c r="V97" s="7">
        <f>IF($AB97="","",SUMIFS('Per Line'!$U$2:$U$4001,'Per Line'!$C$2:$C$4001,$B97,'Per Line'!$AL$2:$AL$4001,1,'Per Line'!$AM$2:$AM$4001,0))</f>
        <v/>
      </c>
      <c r="W97" s="7">
        <f>IF($AB97="","",V97*U97)</f>
        <v/>
      </c>
      <c r="X97" s="7">
        <f>IF($AB97="","",W97+T97)</f>
        <v/>
      </c>
      <c r="Y97" s="7">
        <f>IF($AB97="","",Z97-X97)</f>
        <v/>
      </c>
      <c r="Z97" s="7">
        <f>IF($AB97="","",S97+V97+Q97)</f>
        <v/>
      </c>
      <c r="AA97" s="7">
        <f>IF($AB97="","",Z97-X97-M97)</f>
        <v/>
      </c>
      <c r="AB97" s="13">
        <f>IF(ROWS($AB$2:$AB97)&lt;=MAX('Per Line'!$AK$2:$AK$4001),MATCH(ROWS($AB$2:$AB97),'Per Line'!$AK$2:$AK$4001,0),"")</f>
        <v/>
      </c>
      <c r="AC97" s="14">
        <f>IF($AB97="","",M97-L97*Z97/100)</f>
        <v/>
      </c>
    </row>
    <row r="98">
      <c r="A98" s="12" t="n"/>
      <c r="B98">
        <f>IF($AB98="","",INDEX('Per Line'!$C$2:$C$4001,$AB98)&amp;"")</f>
        <v/>
      </c>
      <c r="C98">
        <f>IF($AB98="","",INDEX('Per Line'!$D$2:$D$4001,$AB98)&amp;"")</f>
        <v/>
      </c>
      <c r="D98">
        <f>IF($AB98="","",INDEX('Per Line'!$B$2:$B$4001,$AB98)&amp;"")</f>
        <v/>
      </c>
      <c r="E98">
        <f>IF($AB98="","",INDEX('Per Line'!$A$2:$A$4001,$AB98))</f>
        <v/>
      </c>
      <c r="F98" s="11">
        <f>IF($AB98="","",INDEX('Per Line'!$E$2:$E$4001,$AB98))</f>
        <v/>
      </c>
      <c r="G98">
        <f>IF($AB98="","",INDEX('Per Line'!$F$2:$F$4001,$AB98)&amp;"")</f>
        <v/>
      </c>
      <c r="H98">
        <f>IF($AB98="","",INDEX('Per Line'!$H$2:$H$4001,$AB98)&amp;"")</f>
        <v/>
      </c>
      <c r="I98">
        <f>IF($AB98="","",INDEX('Per Line'!$I$2:$I$4001,$AB98)&amp;"")</f>
        <v/>
      </c>
      <c r="J98">
        <f>IF($AB98="","",INDEX('Per Line'!$J$2:$J$4001,$AB98)&amp;"")</f>
        <v/>
      </c>
      <c r="K98">
        <f>IF($AB98="","",INDEX('Per Line'!$K$2:$K$4001,$AB98)&amp;"")</f>
        <v/>
      </c>
      <c r="L98">
        <f>IF($AB98="","",INDEX('Per Line'!$L$2:$L$4001,$AB98))</f>
        <v/>
      </c>
      <c r="M98" s="7">
        <f>IF($AB98="","",IF(AND(ISNUMBER(O98),O98&gt;0,Z98&gt;O98),L98*O98/100+(Z98-O98),L98*Z98/100))</f>
        <v/>
      </c>
      <c r="N98">
        <f>IF($AB98="","",INDEX('Per Line'!$V$2:$V$4001,$AB98)&amp;"")</f>
        <v/>
      </c>
      <c r="O98">
        <f>IF($AB98="","",INDEX('Per Line'!$Z$2:$Z$4001,$AB98))</f>
        <v/>
      </c>
      <c r="P98">
        <f>IF($AB98="","",IF(AND(ISNUMBER(O98),O98&gt;0),Z98&gt;O98,FALSE))</f>
        <v/>
      </c>
      <c r="Q98" s="7">
        <f>IF($AB98="","",SUMIFS('Per Line'!$U$2:$U$4001,'Per Line'!$C$2:$C$4001,$B98,'Per Line'!$AM$2:$AM$4001,1))</f>
        <v/>
      </c>
      <c r="R98">
        <f>IF($AB98="","",Settings!$C$7)</f>
        <v/>
      </c>
      <c r="S98" s="7">
        <f>IF($AB98="","",SUMIFS('Per Line'!$U$2:$U$4001,'Per Line'!$C$2:$C$4001,$B98,'Per Line'!$AL$2:$AL$4001,0,'Per Line'!$AM$2:$AM$4001,0))</f>
        <v/>
      </c>
      <c r="T98" s="7">
        <f>IF($AB98="","",S98*R98)</f>
        <v/>
      </c>
      <c r="U98">
        <f>IF($AB98="","",Settings!$C$6)</f>
        <v/>
      </c>
      <c r="V98" s="7">
        <f>IF($AB98="","",SUMIFS('Per Line'!$U$2:$U$4001,'Per Line'!$C$2:$C$4001,$B98,'Per Line'!$AL$2:$AL$4001,1,'Per Line'!$AM$2:$AM$4001,0))</f>
        <v/>
      </c>
      <c r="W98" s="7">
        <f>IF($AB98="","",V98*U98)</f>
        <v/>
      </c>
      <c r="X98" s="7">
        <f>IF($AB98="","",W98+T98)</f>
        <v/>
      </c>
      <c r="Y98" s="7">
        <f>IF($AB98="","",Z98-X98)</f>
        <v/>
      </c>
      <c r="Z98" s="7">
        <f>IF($AB98="","",S98+V98+Q98)</f>
        <v/>
      </c>
      <c r="AA98" s="7">
        <f>IF($AB98="","",Z98-X98-M98)</f>
        <v/>
      </c>
      <c r="AB98" s="13">
        <f>IF(ROWS($AB$2:$AB98)&lt;=MAX('Per Line'!$AK$2:$AK$4001),MATCH(ROWS($AB$2:$AB98),'Per Line'!$AK$2:$AK$4001,0),"")</f>
        <v/>
      </c>
      <c r="AC98" s="14">
        <f>IF($AB98="","",M98-L98*Z98/100)</f>
        <v/>
      </c>
    </row>
    <row r="99">
      <c r="A99" s="12" t="n"/>
      <c r="B99">
        <f>IF($AB99="","",INDEX('Per Line'!$C$2:$C$4001,$AB99)&amp;"")</f>
        <v/>
      </c>
      <c r="C99">
        <f>IF($AB99="","",INDEX('Per Line'!$D$2:$D$4001,$AB99)&amp;"")</f>
        <v/>
      </c>
      <c r="D99">
        <f>IF($AB99="","",INDEX('Per Line'!$B$2:$B$4001,$AB99)&amp;"")</f>
        <v/>
      </c>
      <c r="E99">
        <f>IF($AB99="","",INDEX('Per Line'!$A$2:$A$4001,$AB99))</f>
        <v/>
      </c>
      <c r="F99" s="11">
        <f>IF($AB99="","",INDEX('Per Line'!$E$2:$E$4001,$AB99))</f>
        <v/>
      </c>
      <c r="G99">
        <f>IF($AB99="","",INDEX('Per Line'!$F$2:$F$4001,$AB99)&amp;"")</f>
        <v/>
      </c>
      <c r="H99">
        <f>IF($AB99="","",INDEX('Per Line'!$H$2:$H$4001,$AB99)&amp;"")</f>
        <v/>
      </c>
      <c r="I99">
        <f>IF($AB99="","",INDEX('Per Line'!$I$2:$I$4001,$AB99)&amp;"")</f>
        <v/>
      </c>
      <c r="J99">
        <f>IF($AB99="","",INDEX('Per Line'!$J$2:$J$4001,$AB99)&amp;"")</f>
        <v/>
      </c>
      <c r="K99">
        <f>IF($AB99="","",INDEX('Per Line'!$K$2:$K$4001,$AB99)&amp;"")</f>
        <v/>
      </c>
      <c r="L99">
        <f>IF($AB99="","",INDEX('Per Line'!$L$2:$L$4001,$AB99))</f>
        <v/>
      </c>
      <c r="M99" s="7">
        <f>IF($AB99="","",IF(AND(ISNUMBER(O99),O99&gt;0,Z99&gt;O99),L99*O99/100+(Z99-O99),L99*Z99/100))</f>
        <v/>
      </c>
      <c r="N99">
        <f>IF($AB99="","",INDEX('Per Line'!$V$2:$V$4001,$AB99)&amp;"")</f>
        <v/>
      </c>
      <c r="O99">
        <f>IF($AB99="","",INDEX('Per Line'!$Z$2:$Z$4001,$AB99))</f>
        <v/>
      </c>
      <c r="P99">
        <f>IF($AB99="","",IF(AND(ISNUMBER(O99),O99&gt;0),Z99&gt;O99,FALSE))</f>
        <v/>
      </c>
      <c r="Q99" s="7">
        <f>IF($AB99="","",SUMIFS('Per Line'!$U$2:$U$4001,'Per Line'!$C$2:$C$4001,$B99,'Per Line'!$AM$2:$AM$4001,1))</f>
        <v/>
      </c>
      <c r="R99">
        <f>IF($AB99="","",Settings!$C$7)</f>
        <v/>
      </c>
      <c r="S99" s="7">
        <f>IF($AB99="","",SUMIFS('Per Line'!$U$2:$U$4001,'Per Line'!$C$2:$C$4001,$B99,'Per Line'!$AL$2:$AL$4001,0,'Per Line'!$AM$2:$AM$4001,0))</f>
        <v/>
      </c>
      <c r="T99" s="7">
        <f>IF($AB99="","",S99*R99)</f>
        <v/>
      </c>
      <c r="U99">
        <f>IF($AB99="","",Settings!$C$6)</f>
        <v/>
      </c>
      <c r="V99" s="7">
        <f>IF($AB99="","",SUMIFS('Per Line'!$U$2:$U$4001,'Per Line'!$C$2:$C$4001,$B99,'Per Line'!$AL$2:$AL$4001,1,'Per Line'!$AM$2:$AM$4001,0))</f>
        <v/>
      </c>
      <c r="W99" s="7">
        <f>IF($AB99="","",V99*U99)</f>
        <v/>
      </c>
      <c r="X99" s="7">
        <f>IF($AB99="","",W99+T99)</f>
        <v/>
      </c>
      <c r="Y99" s="7">
        <f>IF($AB99="","",Z99-X99)</f>
        <v/>
      </c>
      <c r="Z99" s="7">
        <f>IF($AB99="","",S99+V99+Q99)</f>
        <v/>
      </c>
      <c r="AA99" s="7">
        <f>IF($AB99="","",Z99-X99-M99)</f>
        <v/>
      </c>
      <c r="AB99" s="13">
        <f>IF(ROWS($AB$2:$AB99)&lt;=MAX('Per Line'!$AK$2:$AK$4001),MATCH(ROWS($AB$2:$AB99),'Per Line'!$AK$2:$AK$4001,0),"")</f>
        <v/>
      </c>
      <c r="AC99" s="14">
        <f>IF($AB99="","",M99-L99*Z99/100)</f>
        <v/>
      </c>
    </row>
    <row r="100">
      <c r="A100" s="12" t="n"/>
      <c r="B100">
        <f>IF($AB100="","",INDEX('Per Line'!$C$2:$C$4001,$AB100)&amp;"")</f>
        <v/>
      </c>
      <c r="C100">
        <f>IF($AB100="","",INDEX('Per Line'!$D$2:$D$4001,$AB100)&amp;"")</f>
        <v/>
      </c>
      <c r="D100">
        <f>IF($AB100="","",INDEX('Per Line'!$B$2:$B$4001,$AB100)&amp;"")</f>
        <v/>
      </c>
      <c r="E100">
        <f>IF($AB100="","",INDEX('Per Line'!$A$2:$A$4001,$AB100))</f>
        <v/>
      </c>
      <c r="F100" s="11">
        <f>IF($AB100="","",INDEX('Per Line'!$E$2:$E$4001,$AB100))</f>
        <v/>
      </c>
      <c r="G100">
        <f>IF($AB100="","",INDEX('Per Line'!$F$2:$F$4001,$AB100)&amp;"")</f>
        <v/>
      </c>
      <c r="H100">
        <f>IF($AB100="","",INDEX('Per Line'!$H$2:$H$4001,$AB100)&amp;"")</f>
        <v/>
      </c>
      <c r="I100">
        <f>IF($AB100="","",INDEX('Per Line'!$I$2:$I$4001,$AB100)&amp;"")</f>
        <v/>
      </c>
      <c r="J100">
        <f>IF($AB100="","",INDEX('Per Line'!$J$2:$J$4001,$AB100)&amp;"")</f>
        <v/>
      </c>
      <c r="K100">
        <f>IF($AB100="","",INDEX('Per Line'!$K$2:$K$4001,$AB100)&amp;"")</f>
        <v/>
      </c>
      <c r="L100">
        <f>IF($AB100="","",INDEX('Per Line'!$L$2:$L$4001,$AB100))</f>
        <v/>
      </c>
      <c r="M100" s="7">
        <f>IF($AB100="","",IF(AND(ISNUMBER(O100),O100&gt;0,Z100&gt;O100),L100*O100/100+(Z100-O100),L100*Z100/100))</f>
        <v/>
      </c>
      <c r="N100">
        <f>IF($AB100="","",INDEX('Per Line'!$V$2:$V$4001,$AB100)&amp;"")</f>
        <v/>
      </c>
      <c r="O100">
        <f>IF($AB100="","",INDEX('Per Line'!$Z$2:$Z$4001,$AB100))</f>
        <v/>
      </c>
      <c r="P100">
        <f>IF($AB100="","",IF(AND(ISNUMBER(O100),O100&gt;0),Z100&gt;O100,FALSE))</f>
        <v/>
      </c>
      <c r="Q100" s="7">
        <f>IF($AB100="","",SUMIFS('Per Line'!$U$2:$U$4001,'Per Line'!$C$2:$C$4001,$B100,'Per Line'!$AM$2:$AM$4001,1))</f>
        <v/>
      </c>
      <c r="R100">
        <f>IF($AB100="","",Settings!$C$7)</f>
        <v/>
      </c>
      <c r="S100" s="7">
        <f>IF($AB100="","",SUMIFS('Per Line'!$U$2:$U$4001,'Per Line'!$C$2:$C$4001,$B100,'Per Line'!$AL$2:$AL$4001,0,'Per Line'!$AM$2:$AM$4001,0))</f>
        <v/>
      </c>
      <c r="T100" s="7">
        <f>IF($AB100="","",S100*R100)</f>
        <v/>
      </c>
      <c r="U100">
        <f>IF($AB100="","",Settings!$C$6)</f>
        <v/>
      </c>
      <c r="V100" s="7">
        <f>IF($AB100="","",SUMIFS('Per Line'!$U$2:$U$4001,'Per Line'!$C$2:$C$4001,$B100,'Per Line'!$AL$2:$AL$4001,1,'Per Line'!$AM$2:$AM$4001,0))</f>
        <v/>
      </c>
      <c r="W100" s="7">
        <f>IF($AB100="","",V100*U100)</f>
        <v/>
      </c>
      <c r="X100" s="7">
        <f>IF($AB100="","",W100+T100)</f>
        <v/>
      </c>
      <c r="Y100" s="7">
        <f>IF($AB100="","",Z100-X100)</f>
        <v/>
      </c>
      <c r="Z100" s="7">
        <f>IF($AB100="","",S100+V100+Q100)</f>
        <v/>
      </c>
      <c r="AA100" s="7">
        <f>IF($AB100="","",Z100-X100-M100)</f>
        <v/>
      </c>
      <c r="AB100" s="13">
        <f>IF(ROWS($AB$2:$AB100)&lt;=MAX('Per Line'!$AK$2:$AK$4001),MATCH(ROWS($AB$2:$AB100),'Per Line'!$AK$2:$AK$4001,0),"")</f>
        <v/>
      </c>
      <c r="AC100" s="14">
        <f>IF($AB100="","",M100-L100*Z100/100)</f>
        <v/>
      </c>
    </row>
    <row r="101">
      <c r="A101" s="12" t="n"/>
      <c r="B101">
        <f>IF($AB101="","",INDEX('Per Line'!$C$2:$C$4001,$AB101)&amp;"")</f>
        <v/>
      </c>
      <c r="C101">
        <f>IF($AB101="","",INDEX('Per Line'!$D$2:$D$4001,$AB101)&amp;"")</f>
        <v/>
      </c>
      <c r="D101">
        <f>IF($AB101="","",INDEX('Per Line'!$B$2:$B$4001,$AB101)&amp;"")</f>
        <v/>
      </c>
      <c r="E101">
        <f>IF($AB101="","",INDEX('Per Line'!$A$2:$A$4001,$AB101))</f>
        <v/>
      </c>
      <c r="F101" s="11">
        <f>IF($AB101="","",INDEX('Per Line'!$E$2:$E$4001,$AB101))</f>
        <v/>
      </c>
      <c r="G101">
        <f>IF($AB101="","",INDEX('Per Line'!$F$2:$F$4001,$AB101)&amp;"")</f>
        <v/>
      </c>
      <c r="H101">
        <f>IF($AB101="","",INDEX('Per Line'!$H$2:$H$4001,$AB101)&amp;"")</f>
        <v/>
      </c>
      <c r="I101">
        <f>IF($AB101="","",INDEX('Per Line'!$I$2:$I$4001,$AB101)&amp;"")</f>
        <v/>
      </c>
      <c r="J101">
        <f>IF($AB101="","",INDEX('Per Line'!$J$2:$J$4001,$AB101)&amp;"")</f>
        <v/>
      </c>
      <c r="K101">
        <f>IF($AB101="","",INDEX('Per Line'!$K$2:$K$4001,$AB101)&amp;"")</f>
        <v/>
      </c>
      <c r="L101">
        <f>IF($AB101="","",INDEX('Per Line'!$L$2:$L$4001,$AB101))</f>
        <v/>
      </c>
      <c r="M101" s="7">
        <f>IF($AB101="","",IF(AND(ISNUMBER(O101),O101&gt;0,Z101&gt;O101),L101*O101/100+(Z101-O101),L101*Z101/100))</f>
        <v/>
      </c>
      <c r="N101">
        <f>IF($AB101="","",INDEX('Per Line'!$V$2:$V$4001,$AB101)&amp;"")</f>
        <v/>
      </c>
      <c r="O101">
        <f>IF($AB101="","",INDEX('Per Line'!$Z$2:$Z$4001,$AB101))</f>
        <v/>
      </c>
      <c r="P101">
        <f>IF($AB101="","",IF(AND(ISNUMBER(O101),O101&gt;0),Z101&gt;O101,FALSE))</f>
        <v/>
      </c>
      <c r="Q101" s="7">
        <f>IF($AB101="","",SUMIFS('Per Line'!$U$2:$U$4001,'Per Line'!$C$2:$C$4001,$B101,'Per Line'!$AM$2:$AM$4001,1))</f>
        <v/>
      </c>
      <c r="R101">
        <f>IF($AB101="","",Settings!$C$7)</f>
        <v/>
      </c>
      <c r="S101" s="7">
        <f>IF($AB101="","",SUMIFS('Per Line'!$U$2:$U$4001,'Per Line'!$C$2:$C$4001,$B101,'Per Line'!$AL$2:$AL$4001,0,'Per Line'!$AM$2:$AM$4001,0))</f>
        <v/>
      </c>
      <c r="T101" s="7">
        <f>IF($AB101="","",S101*R101)</f>
        <v/>
      </c>
      <c r="U101">
        <f>IF($AB101="","",Settings!$C$6)</f>
        <v/>
      </c>
      <c r="V101" s="7">
        <f>IF($AB101="","",SUMIFS('Per Line'!$U$2:$U$4001,'Per Line'!$C$2:$C$4001,$B101,'Per Line'!$AL$2:$AL$4001,1,'Per Line'!$AM$2:$AM$4001,0))</f>
        <v/>
      </c>
      <c r="W101" s="7">
        <f>IF($AB101="","",V101*U101)</f>
        <v/>
      </c>
      <c r="X101" s="7">
        <f>IF($AB101="","",W101+T101)</f>
        <v/>
      </c>
      <c r="Y101" s="7">
        <f>IF($AB101="","",Z101-X101)</f>
        <v/>
      </c>
      <c r="Z101" s="7">
        <f>IF($AB101="","",S101+V101+Q101)</f>
        <v/>
      </c>
      <c r="AA101" s="7">
        <f>IF($AB101="","",Z101-X101-M101)</f>
        <v/>
      </c>
      <c r="AB101" s="13">
        <f>IF(ROWS($AB$2:$AB101)&lt;=MAX('Per Line'!$AK$2:$AK$4001),MATCH(ROWS($AB$2:$AB101),'Per Line'!$AK$2:$AK$4001,0),"")</f>
        <v/>
      </c>
      <c r="AC101" s="14">
        <f>IF($AB101="","",M101-L101*Z101/100)</f>
        <v/>
      </c>
    </row>
    <row r="102">
      <c r="A102" s="12" t="n"/>
      <c r="B102">
        <f>IF($AB102="","",INDEX('Per Line'!$C$2:$C$4001,$AB102)&amp;"")</f>
        <v/>
      </c>
      <c r="C102">
        <f>IF($AB102="","",INDEX('Per Line'!$D$2:$D$4001,$AB102)&amp;"")</f>
        <v/>
      </c>
      <c r="D102">
        <f>IF($AB102="","",INDEX('Per Line'!$B$2:$B$4001,$AB102)&amp;"")</f>
        <v/>
      </c>
      <c r="E102">
        <f>IF($AB102="","",INDEX('Per Line'!$A$2:$A$4001,$AB102))</f>
        <v/>
      </c>
      <c r="F102" s="11">
        <f>IF($AB102="","",INDEX('Per Line'!$E$2:$E$4001,$AB102))</f>
        <v/>
      </c>
      <c r="G102">
        <f>IF($AB102="","",INDEX('Per Line'!$F$2:$F$4001,$AB102)&amp;"")</f>
        <v/>
      </c>
      <c r="H102">
        <f>IF($AB102="","",INDEX('Per Line'!$H$2:$H$4001,$AB102)&amp;"")</f>
        <v/>
      </c>
      <c r="I102">
        <f>IF($AB102="","",INDEX('Per Line'!$I$2:$I$4001,$AB102)&amp;"")</f>
        <v/>
      </c>
      <c r="J102">
        <f>IF($AB102="","",INDEX('Per Line'!$J$2:$J$4001,$AB102)&amp;"")</f>
        <v/>
      </c>
      <c r="K102">
        <f>IF($AB102="","",INDEX('Per Line'!$K$2:$K$4001,$AB102)&amp;"")</f>
        <v/>
      </c>
      <c r="L102">
        <f>IF($AB102="","",INDEX('Per Line'!$L$2:$L$4001,$AB102))</f>
        <v/>
      </c>
      <c r="M102" s="7">
        <f>IF($AB102="","",IF(AND(ISNUMBER(O102),O102&gt;0,Z102&gt;O102),L102*O102/100+(Z102-O102),L102*Z102/100))</f>
        <v/>
      </c>
      <c r="N102">
        <f>IF($AB102="","",INDEX('Per Line'!$V$2:$V$4001,$AB102)&amp;"")</f>
        <v/>
      </c>
      <c r="O102">
        <f>IF($AB102="","",INDEX('Per Line'!$Z$2:$Z$4001,$AB102))</f>
        <v/>
      </c>
      <c r="P102">
        <f>IF($AB102="","",IF(AND(ISNUMBER(O102),O102&gt;0),Z102&gt;O102,FALSE))</f>
        <v/>
      </c>
      <c r="Q102" s="7">
        <f>IF($AB102="","",SUMIFS('Per Line'!$U$2:$U$4001,'Per Line'!$C$2:$C$4001,$B102,'Per Line'!$AM$2:$AM$4001,1))</f>
        <v/>
      </c>
      <c r="R102">
        <f>IF($AB102="","",Settings!$C$7)</f>
        <v/>
      </c>
      <c r="S102" s="7">
        <f>IF($AB102="","",SUMIFS('Per Line'!$U$2:$U$4001,'Per Line'!$C$2:$C$4001,$B102,'Per Line'!$AL$2:$AL$4001,0,'Per Line'!$AM$2:$AM$4001,0))</f>
        <v/>
      </c>
      <c r="T102" s="7">
        <f>IF($AB102="","",S102*R102)</f>
        <v/>
      </c>
      <c r="U102">
        <f>IF($AB102="","",Settings!$C$6)</f>
        <v/>
      </c>
      <c r="V102" s="7">
        <f>IF($AB102="","",SUMIFS('Per Line'!$U$2:$U$4001,'Per Line'!$C$2:$C$4001,$B102,'Per Line'!$AL$2:$AL$4001,1,'Per Line'!$AM$2:$AM$4001,0))</f>
        <v/>
      </c>
      <c r="W102" s="7">
        <f>IF($AB102="","",V102*U102)</f>
        <v/>
      </c>
      <c r="X102" s="7">
        <f>IF($AB102="","",W102+T102)</f>
        <v/>
      </c>
      <c r="Y102" s="7">
        <f>IF($AB102="","",Z102-X102)</f>
        <v/>
      </c>
      <c r="Z102" s="7">
        <f>IF($AB102="","",S102+V102+Q102)</f>
        <v/>
      </c>
      <c r="AA102" s="7">
        <f>IF($AB102="","",Z102-X102-M102)</f>
        <v/>
      </c>
      <c r="AB102" s="13">
        <f>IF(ROWS($AB$2:$AB102)&lt;=MAX('Per Line'!$AK$2:$AK$4001),MATCH(ROWS($AB$2:$AB102),'Per Line'!$AK$2:$AK$4001,0),"")</f>
        <v/>
      </c>
      <c r="AC102" s="14">
        <f>IF($AB102="","",M102-L102*Z102/100)</f>
        <v/>
      </c>
    </row>
    <row r="103">
      <c r="A103" s="12" t="n"/>
      <c r="B103">
        <f>IF($AB103="","",INDEX('Per Line'!$C$2:$C$4001,$AB103)&amp;"")</f>
        <v/>
      </c>
      <c r="C103">
        <f>IF($AB103="","",INDEX('Per Line'!$D$2:$D$4001,$AB103)&amp;"")</f>
        <v/>
      </c>
      <c r="D103">
        <f>IF($AB103="","",INDEX('Per Line'!$B$2:$B$4001,$AB103)&amp;"")</f>
        <v/>
      </c>
      <c r="E103">
        <f>IF($AB103="","",INDEX('Per Line'!$A$2:$A$4001,$AB103))</f>
        <v/>
      </c>
      <c r="F103" s="11">
        <f>IF($AB103="","",INDEX('Per Line'!$E$2:$E$4001,$AB103))</f>
        <v/>
      </c>
      <c r="G103">
        <f>IF($AB103="","",INDEX('Per Line'!$F$2:$F$4001,$AB103)&amp;"")</f>
        <v/>
      </c>
      <c r="H103">
        <f>IF($AB103="","",INDEX('Per Line'!$H$2:$H$4001,$AB103)&amp;"")</f>
        <v/>
      </c>
      <c r="I103">
        <f>IF($AB103="","",INDEX('Per Line'!$I$2:$I$4001,$AB103)&amp;"")</f>
        <v/>
      </c>
      <c r="J103">
        <f>IF($AB103="","",INDEX('Per Line'!$J$2:$J$4001,$AB103)&amp;"")</f>
        <v/>
      </c>
      <c r="K103">
        <f>IF($AB103="","",INDEX('Per Line'!$K$2:$K$4001,$AB103)&amp;"")</f>
        <v/>
      </c>
      <c r="L103">
        <f>IF($AB103="","",INDEX('Per Line'!$L$2:$L$4001,$AB103))</f>
        <v/>
      </c>
      <c r="M103" s="7">
        <f>IF($AB103="","",IF(AND(ISNUMBER(O103),O103&gt;0,Z103&gt;O103),L103*O103/100+(Z103-O103),L103*Z103/100))</f>
        <v/>
      </c>
      <c r="N103">
        <f>IF($AB103="","",INDEX('Per Line'!$V$2:$V$4001,$AB103)&amp;"")</f>
        <v/>
      </c>
      <c r="O103">
        <f>IF($AB103="","",INDEX('Per Line'!$Z$2:$Z$4001,$AB103))</f>
        <v/>
      </c>
      <c r="P103">
        <f>IF($AB103="","",IF(AND(ISNUMBER(O103),O103&gt;0),Z103&gt;O103,FALSE))</f>
        <v/>
      </c>
      <c r="Q103" s="7">
        <f>IF($AB103="","",SUMIFS('Per Line'!$U$2:$U$4001,'Per Line'!$C$2:$C$4001,$B103,'Per Line'!$AM$2:$AM$4001,1))</f>
        <v/>
      </c>
      <c r="R103">
        <f>IF($AB103="","",Settings!$C$7)</f>
        <v/>
      </c>
      <c r="S103" s="7">
        <f>IF($AB103="","",SUMIFS('Per Line'!$U$2:$U$4001,'Per Line'!$C$2:$C$4001,$B103,'Per Line'!$AL$2:$AL$4001,0,'Per Line'!$AM$2:$AM$4001,0))</f>
        <v/>
      </c>
      <c r="T103" s="7">
        <f>IF($AB103="","",S103*R103)</f>
        <v/>
      </c>
      <c r="U103">
        <f>IF($AB103="","",Settings!$C$6)</f>
        <v/>
      </c>
      <c r="V103" s="7">
        <f>IF($AB103="","",SUMIFS('Per Line'!$U$2:$U$4001,'Per Line'!$C$2:$C$4001,$B103,'Per Line'!$AL$2:$AL$4001,1,'Per Line'!$AM$2:$AM$4001,0))</f>
        <v/>
      </c>
      <c r="W103" s="7">
        <f>IF($AB103="","",V103*U103)</f>
        <v/>
      </c>
      <c r="X103" s="7">
        <f>IF($AB103="","",W103+T103)</f>
        <v/>
      </c>
      <c r="Y103" s="7">
        <f>IF($AB103="","",Z103-X103)</f>
        <v/>
      </c>
      <c r="Z103" s="7">
        <f>IF($AB103="","",S103+V103+Q103)</f>
        <v/>
      </c>
      <c r="AA103" s="7">
        <f>IF($AB103="","",Z103-X103-M103)</f>
        <v/>
      </c>
      <c r="AB103" s="13">
        <f>IF(ROWS($AB$2:$AB103)&lt;=MAX('Per Line'!$AK$2:$AK$4001),MATCH(ROWS($AB$2:$AB103),'Per Line'!$AK$2:$AK$4001,0),"")</f>
        <v/>
      </c>
      <c r="AC103" s="14">
        <f>IF($AB103="","",M103-L103*Z103/100)</f>
        <v/>
      </c>
    </row>
    <row r="104">
      <c r="A104" s="12" t="n"/>
      <c r="B104">
        <f>IF($AB104="","",INDEX('Per Line'!$C$2:$C$4001,$AB104)&amp;"")</f>
        <v/>
      </c>
      <c r="C104">
        <f>IF($AB104="","",INDEX('Per Line'!$D$2:$D$4001,$AB104)&amp;"")</f>
        <v/>
      </c>
      <c r="D104">
        <f>IF($AB104="","",INDEX('Per Line'!$B$2:$B$4001,$AB104)&amp;"")</f>
        <v/>
      </c>
      <c r="E104">
        <f>IF($AB104="","",INDEX('Per Line'!$A$2:$A$4001,$AB104))</f>
        <v/>
      </c>
      <c r="F104" s="11">
        <f>IF($AB104="","",INDEX('Per Line'!$E$2:$E$4001,$AB104))</f>
        <v/>
      </c>
      <c r="G104">
        <f>IF($AB104="","",INDEX('Per Line'!$F$2:$F$4001,$AB104)&amp;"")</f>
        <v/>
      </c>
      <c r="H104">
        <f>IF($AB104="","",INDEX('Per Line'!$H$2:$H$4001,$AB104)&amp;"")</f>
        <v/>
      </c>
      <c r="I104">
        <f>IF($AB104="","",INDEX('Per Line'!$I$2:$I$4001,$AB104)&amp;"")</f>
        <v/>
      </c>
      <c r="J104">
        <f>IF($AB104="","",INDEX('Per Line'!$J$2:$J$4001,$AB104)&amp;"")</f>
        <v/>
      </c>
      <c r="K104">
        <f>IF($AB104="","",INDEX('Per Line'!$K$2:$K$4001,$AB104)&amp;"")</f>
        <v/>
      </c>
      <c r="L104">
        <f>IF($AB104="","",INDEX('Per Line'!$L$2:$L$4001,$AB104))</f>
        <v/>
      </c>
      <c r="M104" s="7">
        <f>IF($AB104="","",IF(AND(ISNUMBER(O104),O104&gt;0,Z104&gt;O104),L104*O104/100+(Z104-O104),L104*Z104/100))</f>
        <v/>
      </c>
      <c r="N104">
        <f>IF($AB104="","",INDEX('Per Line'!$V$2:$V$4001,$AB104)&amp;"")</f>
        <v/>
      </c>
      <c r="O104">
        <f>IF($AB104="","",INDEX('Per Line'!$Z$2:$Z$4001,$AB104))</f>
        <v/>
      </c>
      <c r="P104">
        <f>IF($AB104="","",IF(AND(ISNUMBER(O104),O104&gt;0),Z104&gt;O104,FALSE))</f>
        <v/>
      </c>
      <c r="Q104" s="7">
        <f>IF($AB104="","",SUMIFS('Per Line'!$U$2:$U$4001,'Per Line'!$C$2:$C$4001,$B104,'Per Line'!$AM$2:$AM$4001,1))</f>
        <v/>
      </c>
      <c r="R104">
        <f>IF($AB104="","",Settings!$C$7)</f>
        <v/>
      </c>
      <c r="S104" s="7">
        <f>IF($AB104="","",SUMIFS('Per Line'!$U$2:$U$4001,'Per Line'!$C$2:$C$4001,$B104,'Per Line'!$AL$2:$AL$4001,0,'Per Line'!$AM$2:$AM$4001,0))</f>
        <v/>
      </c>
      <c r="T104" s="7">
        <f>IF($AB104="","",S104*R104)</f>
        <v/>
      </c>
      <c r="U104">
        <f>IF($AB104="","",Settings!$C$6)</f>
        <v/>
      </c>
      <c r="V104" s="7">
        <f>IF($AB104="","",SUMIFS('Per Line'!$U$2:$U$4001,'Per Line'!$C$2:$C$4001,$B104,'Per Line'!$AL$2:$AL$4001,1,'Per Line'!$AM$2:$AM$4001,0))</f>
        <v/>
      </c>
      <c r="W104" s="7">
        <f>IF($AB104="","",V104*U104)</f>
        <v/>
      </c>
      <c r="X104" s="7">
        <f>IF($AB104="","",W104+T104)</f>
        <v/>
      </c>
      <c r="Y104" s="7">
        <f>IF($AB104="","",Z104-X104)</f>
        <v/>
      </c>
      <c r="Z104" s="7">
        <f>IF($AB104="","",S104+V104+Q104)</f>
        <v/>
      </c>
      <c r="AA104" s="7">
        <f>IF($AB104="","",Z104-X104-M104)</f>
        <v/>
      </c>
      <c r="AB104" s="13">
        <f>IF(ROWS($AB$2:$AB104)&lt;=MAX('Per Line'!$AK$2:$AK$4001),MATCH(ROWS($AB$2:$AB104),'Per Line'!$AK$2:$AK$4001,0),"")</f>
        <v/>
      </c>
      <c r="AC104" s="14">
        <f>IF($AB104="","",M104-L104*Z104/100)</f>
        <v/>
      </c>
    </row>
    <row r="105">
      <c r="A105" s="12" t="n"/>
      <c r="B105">
        <f>IF($AB105="","",INDEX('Per Line'!$C$2:$C$4001,$AB105)&amp;"")</f>
        <v/>
      </c>
      <c r="C105">
        <f>IF($AB105="","",INDEX('Per Line'!$D$2:$D$4001,$AB105)&amp;"")</f>
        <v/>
      </c>
      <c r="D105">
        <f>IF($AB105="","",INDEX('Per Line'!$B$2:$B$4001,$AB105)&amp;"")</f>
        <v/>
      </c>
      <c r="E105">
        <f>IF($AB105="","",INDEX('Per Line'!$A$2:$A$4001,$AB105))</f>
        <v/>
      </c>
      <c r="F105" s="11">
        <f>IF($AB105="","",INDEX('Per Line'!$E$2:$E$4001,$AB105))</f>
        <v/>
      </c>
      <c r="G105">
        <f>IF($AB105="","",INDEX('Per Line'!$F$2:$F$4001,$AB105)&amp;"")</f>
        <v/>
      </c>
      <c r="H105">
        <f>IF($AB105="","",INDEX('Per Line'!$H$2:$H$4001,$AB105)&amp;"")</f>
        <v/>
      </c>
      <c r="I105">
        <f>IF($AB105="","",INDEX('Per Line'!$I$2:$I$4001,$AB105)&amp;"")</f>
        <v/>
      </c>
      <c r="J105">
        <f>IF($AB105="","",INDEX('Per Line'!$J$2:$J$4001,$AB105)&amp;"")</f>
        <v/>
      </c>
      <c r="K105">
        <f>IF($AB105="","",INDEX('Per Line'!$K$2:$K$4001,$AB105)&amp;"")</f>
        <v/>
      </c>
      <c r="L105">
        <f>IF($AB105="","",INDEX('Per Line'!$L$2:$L$4001,$AB105))</f>
        <v/>
      </c>
      <c r="M105" s="7">
        <f>IF($AB105="","",IF(AND(ISNUMBER(O105),O105&gt;0,Z105&gt;O105),L105*O105/100+(Z105-O105),L105*Z105/100))</f>
        <v/>
      </c>
      <c r="N105">
        <f>IF($AB105="","",INDEX('Per Line'!$V$2:$V$4001,$AB105)&amp;"")</f>
        <v/>
      </c>
      <c r="O105">
        <f>IF($AB105="","",INDEX('Per Line'!$Z$2:$Z$4001,$AB105))</f>
        <v/>
      </c>
      <c r="P105">
        <f>IF($AB105="","",IF(AND(ISNUMBER(O105),O105&gt;0),Z105&gt;O105,FALSE))</f>
        <v/>
      </c>
      <c r="Q105" s="7">
        <f>IF($AB105="","",SUMIFS('Per Line'!$U$2:$U$4001,'Per Line'!$C$2:$C$4001,$B105,'Per Line'!$AM$2:$AM$4001,1))</f>
        <v/>
      </c>
      <c r="R105">
        <f>IF($AB105="","",Settings!$C$7)</f>
        <v/>
      </c>
      <c r="S105" s="7">
        <f>IF($AB105="","",SUMIFS('Per Line'!$U$2:$U$4001,'Per Line'!$C$2:$C$4001,$B105,'Per Line'!$AL$2:$AL$4001,0,'Per Line'!$AM$2:$AM$4001,0))</f>
        <v/>
      </c>
      <c r="T105" s="7">
        <f>IF($AB105="","",S105*R105)</f>
        <v/>
      </c>
      <c r="U105">
        <f>IF($AB105="","",Settings!$C$6)</f>
        <v/>
      </c>
      <c r="V105" s="7">
        <f>IF($AB105="","",SUMIFS('Per Line'!$U$2:$U$4001,'Per Line'!$C$2:$C$4001,$B105,'Per Line'!$AL$2:$AL$4001,1,'Per Line'!$AM$2:$AM$4001,0))</f>
        <v/>
      </c>
      <c r="W105" s="7">
        <f>IF($AB105="","",V105*U105)</f>
        <v/>
      </c>
      <c r="X105" s="7">
        <f>IF($AB105="","",W105+T105)</f>
        <v/>
      </c>
      <c r="Y105" s="7">
        <f>IF($AB105="","",Z105-X105)</f>
        <v/>
      </c>
      <c r="Z105" s="7">
        <f>IF($AB105="","",S105+V105+Q105)</f>
        <v/>
      </c>
      <c r="AA105" s="7">
        <f>IF($AB105="","",Z105-X105-M105)</f>
        <v/>
      </c>
      <c r="AB105" s="13">
        <f>IF(ROWS($AB$2:$AB105)&lt;=MAX('Per Line'!$AK$2:$AK$4001),MATCH(ROWS($AB$2:$AB105),'Per Line'!$AK$2:$AK$4001,0),"")</f>
        <v/>
      </c>
      <c r="AC105" s="14">
        <f>IF($AB105="","",M105-L105*Z105/100)</f>
        <v/>
      </c>
    </row>
    <row r="106">
      <c r="A106" s="12" t="n"/>
      <c r="B106">
        <f>IF($AB106="","",INDEX('Per Line'!$C$2:$C$4001,$AB106)&amp;"")</f>
        <v/>
      </c>
      <c r="C106">
        <f>IF($AB106="","",INDEX('Per Line'!$D$2:$D$4001,$AB106)&amp;"")</f>
        <v/>
      </c>
      <c r="D106">
        <f>IF($AB106="","",INDEX('Per Line'!$B$2:$B$4001,$AB106)&amp;"")</f>
        <v/>
      </c>
      <c r="E106">
        <f>IF($AB106="","",INDEX('Per Line'!$A$2:$A$4001,$AB106))</f>
        <v/>
      </c>
      <c r="F106" s="11">
        <f>IF($AB106="","",INDEX('Per Line'!$E$2:$E$4001,$AB106))</f>
        <v/>
      </c>
      <c r="G106">
        <f>IF($AB106="","",INDEX('Per Line'!$F$2:$F$4001,$AB106)&amp;"")</f>
        <v/>
      </c>
      <c r="H106">
        <f>IF($AB106="","",INDEX('Per Line'!$H$2:$H$4001,$AB106)&amp;"")</f>
        <v/>
      </c>
      <c r="I106">
        <f>IF($AB106="","",INDEX('Per Line'!$I$2:$I$4001,$AB106)&amp;"")</f>
        <v/>
      </c>
      <c r="J106">
        <f>IF($AB106="","",INDEX('Per Line'!$J$2:$J$4001,$AB106)&amp;"")</f>
        <v/>
      </c>
      <c r="K106">
        <f>IF($AB106="","",INDEX('Per Line'!$K$2:$K$4001,$AB106)&amp;"")</f>
        <v/>
      </c>
      <c r="L106">
        <f>IF($AB106="","",INDEX('Per Line'!$L$2:$L$4001,$AB106))</f>
        <v/>
      </c>
      <c r="M106" s="7">
        <f>IF($AB106="","",IF(AND(ISNUMBER(O106),O106&gt;0,Z106&gt;O106),L106*O106/100+(Z106-O106),L106*Z106/100))</f>
        <v/>
      </c>
      <c r="N106">
        <f>IF($AB106="","",INDEX('Per Line'!$V$2:$V$4001,$AB106)&amp;"")</f>
        <v/>
      </c>
      <c r="O106">
        <f>IF($AB106="","",INDEX('Per Line'!$Z$2:$Z$4001,$AB106))</f>
        <v/>
      </c>
      <c r="P106">
        <f>IF($AB106="","",IF(AND(ISNUMBER(O106),O106&gt;0),Z106&gt;O106,FALSE))</f>
        <v/>
      </c>
      <c r="Q106" s="7">
        <f>IF($AB106="","",SUMIFS('Per Line'!$U$2:$U$4001,'Per Line'!$C$2:$C$4001,$B106,'Per Line'!$AM$2:$AM$4001,1))</f>
        <v/>
      </c>
      <c r="R106">
        <f>IF($AB106="","",Settings!$C$7)</f>
        <v/>
      </c>
      <c r="S106" s="7">
        <f>IF($AB106="","",SUMIFS('Per Line'!$U$2:$U$4001,'Per Line'!$C$2:$C$4001,$B106,'Per Line'!$AL$2:$AL$4001,0,'Per Line'!$AM$2:$AM$4001,0))</f>
        <v/>
      </c>
      <c r="T106" s="7">
        <f>IF($AB106="","",S106*R106)</f>
        <v/>
      </c>
      <c r="U106">
        <f>IF($AB106="","",Settings!$C$6)</f>
        <v/>
      </c>
      <c r="V106" s="7">
        <f>IF($AB106="","",SUMIFS('Per Line'!$U$2:$U$4001,'Per Line'!$C$2:$C$4001,$B106,'Per Line'!$AL$2:$AL$4001,1,'Per Line'!$AM$2:$AM$4001,0))</f>
        <v/>
      </c>
      <c r="W106" s="7">
        <f>IF($AB106="","",V106*U106)</f>
        <v/>
      </c>
      <c r="X106" s="7">
        <f>IF($AB106="","",W106+T106)</f>
        <v/>
      </c>
      <c r="Y106" s="7">
        <f>IF($AB106="","",Z106-X106)</f>
        <v/>
      </c>
      <c r="Z106" s="7">
        <f>IF($AB106="","",S106+V106+Q106)</f>
        <v/>
      </c>
      <c r="AA106" s="7">
        <f>IF($AB106="","",Z106-X106-M106)</f>
        <v/>
      </c>
      <c r="AB106" s="13">
        <f>IF(ROWS($AB$2:$AB106)&lt;=MAX('Per Line'!$AK$2:$AK$4001),MATCH(ROWS($AB$2:$AB106),'Per Line'!$AK$2:$AK$4001,0),"")</f>
        <v/>
      </c>
      <c r="AC106" s="14">
        <f>IF($AB106="","",M106-L106*Z106/100)</f>
        <v/>
      </c>
    </row>
    <row r="107">
      <c r="A107" s="12" t="n"/>
      <c r="B107">
        <f>IF($AB107="","",INDEX('Per Line'!$C$2:$C$4001,$AB107)&amp;"")</f>
        <v/>
      </c>
      <c r="C107">
        <f>IF($AB107="","",INDEX('Per Line'!$D$2:$D$4001,$AB107)&amp;"")</f>
        <v/>
      </c>
      <c r="D107">
        <f>IF($AB107="","",INDEX('Per Line'!$B$2:$B$4001,$AB107)&amp;"")</f>
        <v/>
      </c>
      <c r="E107">
        <f>IF($AB107="","",INDEX('Per Line'!$A$2:$A$4001,$AB107))</f>
        <v/>
      </c>
      <c r="F107" s="11">
        <f>IF($AB107="","",INDEX('Per Line'!$E$2:$E$4001,$AB107))</f>
        <v/>
      </c>
      <c r="G107">
        <f>IF($AB107="","",INDEX('Per Line'!$F$2:$F$4001,$AB107)&amp;"")</f>
        <v/>
      </c>
      <c r="H107">
        <f>IF($AB107="","",INDEX('Per Line'!$H$2:$H$4001,$AB107)&amp;"")</f>
        <v/>
      </c>
      <c r="I107">
        <f>IF($AB107="","",INDEX('Per Line'!$I$2:$I$4001,$AB107)&amp;"")</f>
        <v/>
      </c>
      <c r="J107">
        <f>IF($AB107="","",INDEX('Per Line'!$J$2:$J$4001,$AB107)&amp;"")</f>
        <v/>
      </c>
      <c r="K107">
        <f>IF($AB107="","",INDEX('Per Line'!$K$2:$K$4001,$AB107)&amp;"")</f>
        <v/>
      </c>
      <c r="L107">
        <f>IF($AB107="","",INDEX('Per Line'!$L$2:$L$4001,$AB107))</f>
        <v/>
      </c>
      <c r="M107" s="7">
        <f>IF($AB107="","",IF(AND(ISNUMBER(O107),O107&gt;0,Z107&gt;O107),L107*O107/100+(Z107-O107),L107*Z107/100))</f>
        <v/>
      </c>
      <c r="N107">
        <f>IF($AB107="","",INDEX('Per Line'!$V$2:$V$4001,$AB107)&amp;"")</f>
        <v/>
      </c>
      <c r="O107">
        <f>IF($AB107="","",INDEX('Per Line'!$Z$2:$Z$4001,$AB107))</f>
        <v/>
      </c>
      <c r="P107">
        <f>IF($AB107="","",IF(AND(ISNUMBER(O107),O107&gt;0),Z107&gt;O107,FALSE))</f>
        <v/>
      </c>
      <c r="Q107" s="7">
        <f>IF($AB107="","",SUMIFS('Per Line'!$U$2:$U$4001,'Per Line'!$C$2:$C$4001,$B107,'Per Line'!$AM$2:$AM$4001,1))</f>
        <v/>
      </c>
      <c r="R107">
        <f>IF($AB107="","",Settings!$C$7)</f>
        <v/>
      </c>
      <c r="S107" s="7">
        <f>IF($AB107="","",SUMIFS('Per Line'!$U$2:$U$4001,'Per Line'!$C$2:$C$4001,$B107,'Per Line'!$AL$2:$AL$4001,0,'Per Line'!$AM$2:$AM$4001,0))</f>
        <v/>
      </c>
      <c r="T107" s="7">
        <f>IF($AB107="","",S107*R107)</f>
        <v/>
      </c>
      <c r="U107">
        <f>IF($AB107="","",Settings!$C$6)</f>
        <v/>
      </c>
      <c r="V107" s="7">
        <f>IF($AB107="","",SUMIFS('Per Line'!$U$2:$U$4001,'Per Line'!$C$2:$C$4001,$B107,'Per Line'!$AL$2:$AL$4001,1,'Per Line'!$AM$2:$AM$4001,0))</f>
        <v/>
      </c>
      <c r="W107" s="7">
        <f>IF($AB107="","",V107*U107)</f>
        <v/>
      </c>
      <c r="X107" s="7">
        <f>IF($AB107="","",W107+T107)</f>
        <v/>
      </c>
      <c r="Y107" s="7">
        <f>IF($AB107="","",Z107-X107)</f>
        <v/>
      </c>
      <c r="Z107" s="7">
        <f>IF($AB107="","",S107+V107+Q107)</f>
        <v/>
      </c>
      <c r="AA107" s="7">
        <f>IF($AB107="","",Z107-X107-M107)</f>
        <v/>
      </c>
      <c r="AB107" s="13">
        <f>IF(ROWS($AB$2:$AB107)&lt;=MAX('Per Line'!$AK$2:$AK$4001),MATCH(ROWS($AB$2:$AB107),'Per Line'!$AK$2:$AK$4001,0),"")</f>
        <v/>
      </c>
      <c r="AC107" s="14">
        <f>IF($AB107="","",M107-L107*Z107/100)</f>
        <v/>
      </c>
    </row>
    <row r="108">
      <c r="A108" s="12" t="n"/>
      <c r="B108">
        <f>IF($AB108="","",INDEX('Per Line'!$C$2:$C$4001,$AB108)&amp;"")</f>
        <v/>
      </c>
      <c r="C108">
        <f>IF($AB108="","",INDEX('Per Line'!$D$2:$D$4001,$AB108)&amp;"")</f>
        <v/>
      </c>
      <c r="D108">
        <f>IF($AB108="","",INDEX('Per Line'!$B$2:$B$4001,$AB108)&amp;"")</f>
        <v/>
      </c>
      <c r="E108">
        <f>IF($AB108="","",INDEX('Per Line'!$A$2:$A$4001,$AB108))</f>
        <v/>
      </c>
      <c r="F108" s="11">
        <f>IF($AB108="","",INDEX('Per Line'!$E$2:$E$4001,$AB108))</f>
        <v/>
      </c>
      <c r="G108">
        <f>IF($AB108="","",INDEX('Per Line'!$F$2:$F$4001,$AB108)&amp;"")</f>
        <v/>
      </c>
      <c r="H108">
        <f>IF($AB108="","",INDEX('Per Line'!$H$2:$H$4001,$AB108)&amp;"")</f>
        <v/>
      </c>
      <c r="I108">
        <f>IF($AB108="","",INDEX('Per Line'!$I$2:$I$4001,$AB108)&amp;"")</f>
        <v/>
      </c>
      <c r="J108">
        <f>IF($AB108="","",INDEX('Per Line'!$J$2:$J$4001,$AB108)&amp;"")</f>
        <v/>
      </c>
      <c r="K108">
        <f>IF($AB108="","",INDEX('Per Line'!$K$2:$K$4001,$AB108)&amp;"")</f>
        <v/>
      </c>
      <c r="L108">
        <f>IF($AB108="","",INDEX('Per Line'!$L$2:$L$4001,$AB108))</f>
        <v/>
      </c>
      <c r="M108" s="7">
        <f>IF($AB108="","",IF(AND(ISNUMBER(O108),O108&gt;0,Z108&gt;O108),L108*O108/100+(Z108-O108),L108*Z108/100))</f>
        <v/>
      </c>
      <c r="N108">
        <f>IF($AB108="","",INDEX('Per Line'!$V$2:$V$4001,$AB108)&amp;"")</f>
        <v/>
      </c>
      <c r="O108">
        <f>IF($AB108="","",INDEX('Per Line'!$Z$2:$Z$4001,$AB108))</f>
        <v/>
      </c>
      <c r="P108">
        <f>IF($AB108="","",IF(AND(ISNUMBER(O108),O108&gt;0),Z108&gt;O108,FALSE))</f>
        <v/>
      </c>
      <c r="Q108" s="7">
        <f>IF($AB108="","",SUMIFS('Per Line'!$U$2:$U$4001,'Per Line'!$C$2:$C$4001,$B108,'Per Line'!$AM$2:$AM$4001,1))</f>
        <v/>
      </c>
      <c r="R108">
        <f>IF($AB108="","",Settings!$C$7)</f>
        <v/>
      </c>
      <c r="S108" s="7">
        <f>IF($AB108="","",SUMIFS('Per Line'!$U$2:$U$4001,'Per Line'!$C$2:$C$4001,$B108,'Per Line'!$AL$2:$AL$4001,0,'Per Line'!$AM$2:$AM$4001,0))</f>
        <v/>
      </c>
      <c r="T108" s="7">
        <f>IF($AB108="","",S108*R108)</f>
        <v/>
      </c>
      <c r="U108">
        <f>IF($AB108="","",Settings!$C$6)</f>
        <v/>
      </c>
      <c r="V108" s="7">
        <f>IF($AB108="","",SUMIFS('Per Line'!$U$2:$U$4001,'Per Line'!$C$2:$C$4001,$B108,'Per Line'!$AL$2:$AL$4001,1,'Per Line'!$AM$2:$AM$4001,0))</f>
        <v/>
      </c>
      <c r="W108" s="7">
        <f>IF($AB108="","",V108*U108)</f>
        <v/>
      </c>
      <c r="X108" s="7">
        <f>IF($AB108="","",W108+T108)</f>
        <v/>
      </c>
      <c r="Y108" s="7">
        <f>IF($AB108="","",Z108-X108)</f>
        <v/>
      </c>
      <c r="Z108" s="7">
        <f>IF($AB108="","",S108+V108+Q108)</f>
        <v/>
      </c>
      <c r="AA108" s="7">
        <f>IF($AB108="","",Z108-X108-M108)</f>
        <v/>
      </c>
      <c r="AB108" s="13">
        <f>IF(ROWS($AB$2:$AB108)&lt;=MAX('Per Line'!$AK$2:$AK$4001),MATCH(ROWS($AB$2:$AB108),'Per Line'!$AK$2:$AK$4001,0),"")</f>
        <v/>
      </c>
      <c r="AC108" s="14">
        <f>IF($AB108="","",M108-L108*Z108/100)</f>
        <v/>
      </c>
    </row>
    <row r="109">
      <c r="A109" s="12" t="n"/>
      <c r="B109">
        <f>IF($AB109="","",INDEX('Per Line'!$C$2:$C$4001,$AB109)&amp;"")</f>
        <v/>
      </c>
      <c r="C109">
        <f>IF($AB109="","",INDEX('Per Line'!$D$2:$D$4001,$AB109)&amp;"")</f>
        <v/>
      </c>
      <c r="D109">
        <f>IF($AB109="","",INDEX('Per Line'!$B$2:$B$4001,$AB109)&amp;"")</f>
        <v/>
      </c>
      <c r="E109">
        <f>IF($AB109="","",INDEX('Per Line'!$A$2:$A$4001,$AB109))</f>
        <v/>
      </c>
      <c r="F109" s="11">
        <f>IF($AB109="","",INDEX('Per Line'!$E$2:$E$4001,$AB109))</f>
        <v/>
      </c>
      <c r="G109">
        <f>IF($AB109="","",INDEX('Per Line'!$F$2:$F$4001,$AB109)&amp;"")</f>
        <v/>
      </c>
      <c r="H109">
        <f>IF($AB109="","",INDEX('Per Line'!$H$2:$H$4001,$AB109)&amp;"")</f>
        <v/>
      </c>
      <c r="I109">
        <f>IF($AB109="","",INDEX('Per Line'!$I$2:$I$4001,$AB109)&amp;"")</f>
        <v/>
      </c>
      <c r="J109">
        <f>IF($AB109="","",INDEX('Per Line'!$J$2:$J$4001,$AB109)&amp;"")</f>
        <v/>
      </c>
      <c r="K109">
        <f>IF($AB109="","",INDEX('Per Line'!$K$2:$K$4001,$AB109)&amp;"")</f>
        <v/>
      </c>
      <c r="L109">
        <f>IF($AB109="","",INDEX('Per Line'!$L$2:$L$4001,$AB109))</f>
        <v/>
      </c>
      <c r="M109" s="7">
        <f>IF($AB109="","",IF(AND(ISNUMBER(O109),O109&gt;0,Z109&gt;O109),L109*O109/100+(Z109-O109),L109*Z109/100))</f>
        <v/>
      </c>
      <c r="N109">
        <f>IF($AB109="","",INDEX('Per Line'!$V$2:$V$4001,$AB109)&amp;"")</f>
        <v/>
      </c>
      <c r="O109">
        <f>IF($AB109="","",INDEX('Per Line'!$Z$2:$Z$4001,$AB109))</f>
        <v/>
      </c>
      <c r="P109">
        <f>IF($AB109="","",IF(AND(ISNUMBER(O109),O109&gt;0),Z109&gt;O109,FALSE))</f>
        <v/>
      </c>
      <c r="Q109" s="7">
        <f>IF($AB109="","",SUMIFS('Per Line'!$U$2:$U$4001,'Per Line'!$C$2:$C$4001,$B109,'Per Line'!$AM$2:$AM$4001,1))</f>
        <v/>
      </c>
      <c r="R109">
        <f>IF($AB109="","",Settings!$C$7)</f>
        <v/>
      </c>
      <c r="S109" s="7">
        <f>IF($AB109="","",SUMIFS('Per Line'!$U$2:$U$4001,'Per Line'!$C$2:$C$4001,$B109,'Per Line'!$AL$2:$AL$4001,0,'Per Line'!$AM$2:$AM$4001,0))</f>
        <v/>
      </c>
      <c r="T109" s="7">
        <f>IF($AB109="","",S109*R109)</f>
        <v/>
      </c>
      <c r="U109">
        <f>IF($AB109="","",Settings!$C$6)</f>
        <v/>
      </c>
      <c r="V109" s="7">
        <f>IF($AB109="","",SUMIFS('Per Line'!$U$2:$U$4001,'Per Line'!$C$2:$C$4001,$B109,'Per Line'!$AL$2:$AL$4001,1,'Per Line'!$AM$2:$AM$4001,0))</f>
        <v/>
      </c>
      <c r="W109" s="7">
        <f>IF($AB109="","",V109*U109)</f>
        <v/>
      </c>
      <c r="X109" s="7">
        <f>IF($AB109="","",W109+T109)</f>
        <v/>
      </c>
      <c r="Y109" s="7">
        <f>IF($AB109="","",Z109-X109)</f>
        <v/>
      </c>
      <c r="Z109" s="7">
        <f>IF($AB109="","",S109+V109+Q109)</f>
        <v/>
      </c>
      <c r="AA109" s="7">
        <f>IF($AB109="","",Z109-X109-M109)</f>
        <v/>
      </c>
      <c r="AB109" s="13">
        <f>IF(ROWS($AB$2:$AB109)&lt;=MAX('Per Line'!$AK$2:$AK$4001),MATCH(ROWS($AB$2:$AB109),'Per Line'!$AK$2:$AK$4001,0),"")</f>
        <v/>
      </c>
      <c r="AC109" s="14">
        <f>IF($AB109="","",M109-L109*Z109/100)</f>
        <v/>
      </c>
    </row>
    <row r="110">
      <c r="A110" s="12" t="n"/>
      <c r="B110">
        <f>IF($AB110="","",INDEX('Per Line'!$C$2:$C$4001,$AB110)&amp;"")</f>
        <v/>
      </c>
      <c r="C110">
        <f>IF($AB110="","",INDEX('Per Line'!$D$2:$D$4001,$AB110)&amp;"")</f>
        <v/>
      </c>
      <c r="D110">
        <f>IF($AB110="","",INDEX('Per Line'!$B$2:$B$4001,$AB110)&amp;"")</f>
        <v/>
      </c>
      <c r="E110">
        <f>IF($AB110="","",INDEX('Per Line'!$A$2:$A$4001,$AB110))</f>
        <v/>
      </c>
      <c r="F110" s="11">
        <f>IF($AB110="","",INDEX('Per Line'!$E$2:$E$4001,$AB110))</f>
        <v/>
      </c>
      <c r="G110">
        <f>IF($AB110="","",INDEX('Per Line'!$F$2:$F$4001,$AB110)&amp;"")</f>
        <v/>
      </c>
      <c r="H110">
        <f>IF($AB110="","",INDEX('Per Line'!$H$2:$H$4001,$AB110)&amp;"")</f>
        <v/>
      </c>
      <c r="I110">
        <f>IF($AB110="","",INDEX('Per Line'!$I$2:$I$4001,$AB110)&amp;"")</f>
        <v/>
      </c>
      <c r="J110">
        <f>IF($AB110="","",INDEX('Per Line'!$J$2:$J$4001,$AB110)&amp;"")</f>
        <v/>
      </c>
      <c r="K110">
        <f>IF($AB110="","",INDEX('Per Line'!$K$2:$K$4001,$AB110)&amp;"")</f>
        <v/>
      </c>
      <c r="L110">
        <f>IF($AB110="","",INDEX('Per Line'!$L$2:$L$4001,$AB110))</f>
        <v/>
      </c>
      <c r="M110" s="7">
        <f>IF($AB110="","",IF(AND(ISNUMBER(O110),O110&gt;0,Z110&gt;O110),L110*O110/100+(Z110-O110),L110*Z110/100))</f>
        <v/>
      </c>
      <c r="N110">
        <f>IF($AB110="","",INDEX('Per Line'!$V$2:$V$4001,$AB110)&amp;"")</f>
        <v/>
      </c>
      <c r="O110">
        <f>IF($AB110="","",INDEX('Per Line'!$Z$2:$Z$4001,$AB110))</f>
        <v/>
      </c>
      <c r="P110">
        <f>IF($AB110="","",IF(AND(ISNUMBER(O110),O110&gt;0),Z110&gt;O110,FALSE))</f>
        <v/>
      </c>
      <c r="Q110" s="7">
        <f>IF($AB110="","",SUMIFS('Per Line'!$U$2:$U$4001,'Per Line'!$C$2:$C$4001,$B110,'Per Line'!$AM$2:$AM$4001,1))</f>
        <v/>
      </c>
      <c r="R110">
        <f>IF($AB110="","",Settings!$C$7)</f>
        <v/>
      </c>
      <c r="S110" s="7">
        <f>IF($AB110="","",SUMIFS('Per Line'!$U$2:$U$4001,'Per Line'!$C$2:$C$4001,$B110,'Per Line'!$AL$2:$AL$4001,0,'Per Line'!$AM$2:$AM$4001,0))</f>
        <v/>
      </c>
      <c r="T110" s="7">
        <f>IF($AB110="","",S110*R110)</f>
        <v/>
      </c>
      <c r="U110">
        <f>IF($AB110="","",Settings!$C$6)</f>
        <v/>
      </c>
      <c r="V110" s="7">
        <f>IF($AB110="","",SUMIFS('Per Line'!$U$2:$U$4001,'Per Line'!$C$2:$C$4001,$B110,'Per Line'!$AL$2:$AL$4001,1,'Per Line'!$AM$2:$AM$4001,0))</f>
        <v/>
      </c>
      <c r="W110" s="7">
        <f>IF($AB110="","",V110*U110)</f>
        <v/>
      </c>
      <c r="X110" s="7">
        <f>IF($AB110="","",W110+T110)</f>
        <v/>
      </c>
      <c r="Y110" s="7">
        <f>IF($AB110="","",Z110-X110)</f>
        <v/>
      </c>
      <c r="Z110" s="7">
        <f>IF($AB110="","",S110+V110+Q110)</f>
        <v/>
      </c>
      <c r="AA110" s="7">
        <f>IF($AB110="","",Z110-X110-M110)</f>
        <v/>
      </c>
      <c r="AB110" s="13">
        <f>IF(ROWS($AB$2:$AB110)&lt;=MAX('Per Line'!$AK$2:$AK$4001),MATCH(ROWS($AB$2:$AB110),'Per Line'!$AK$2:$AK$4001,0),"")</f>
        <v/>
      </c>
      <c r="AC110" s="14">
        <f>IF($AB110="","",M110-L110*Z110/100)</f>
        <v/>
      </c>
    </row>
    <row r="111">
      <c r="A111" s="12" t="n"/>
      <c r="B111">
        <f>IF($AB111="","",INDEX('Per Line'!$C$2:$C$4001,$AB111)&amp;"")</f>
        <v/>
      </c>
      <c r="C111">
        <f>IF($AB111="","",INDEX('Per Line'!$D$2:$D$4001,$AB111)&amp;"")</f>
        <v/>
      </c>
      <c r="D111">
        <f>IF($AB111="","",INDEX('Per Line'!$B$2:$B$4001,$AB111)&amp;"")</f>
        <v/>
      </c>
      <c r="E111">
        <f>IF($AB111="","",INDEX('Per Line'!$A$2:$A$4001,$AB111))</f>
        <v/>
      </c>
      <c r="F111" s="11">
        <f>IF($AB111="","",INDEX('Per Line'!$E$2:$E$4001,$AB111))</f>
        <v/>
      </c>
      <c r="G111">
        <f>IF($AB111="","",INDEX('Per Line'!$F$2:$F$4001,$AB111)&amp;"")</f>
        <v/>
      </c>
      <c r="H111">
        <f>IF($AB111="","",INDEX('Per Line'!$H$2:$H$4001,$AB111)&amp;"")</f>
        <v/>
      </c>
      <c r="I111">
        <f>IF($AB111="","",INDEX('Per Line'!$I$2:$I$4001,$AB111)&amp;"")</f>
        <v/>
      </c>
      <c r="J111">
        <f>IF($AB111="","",INDEX('Per Line'!$J$2:$J$4001,$AB111)&amp;"")</f>
        <v/>
      </c>
      <c r="K111">
        <f>IF($AB111="","",INDEX('Per Line'!$K$2:$K$4001,$AB111)&amp;"")</f>
        <v/>
      </c>
      <c r="L111">
        <f>IF($AB111="","",INDEX('Per Line'!$L$2:$L$4001,$AB111))</f>
        <v/>
      </c>
      <c r="M111" s="7">
        <f>IF($AB111="","",IF(AND(ISNUMBER(O111),O111&gt;0,Z111&gt;O111),L111*O111/100+(Z111-O111),L111*Z111/100))</f>
        <v/>
      </c>
      <c r="N111">
        <f>IF($AB111="","",INDEX('Per Line'!$V$2:$V$4001,$AB111)&amp;"")</f>
        <v/>
      </c>
      <c r="O111">
        <f>IF($AB111="","",INDEX('Per Line'!$Z$2:$Z$4001,$AB111))</f>
        <v/>
      </c>
      <c r="P111">
        <f>IF($AB111="","",IF(AND(ISNUMBER(O111),O111&gt;0),Z111&gt;O111,FALSE))</f>
        <v/>
      </c>
      <c r="Q111" s="7">
        <f>IF($AB111="","",SUMIFS('Per Line'!$U$2:$U$4001,'Per Line'!$C$2:$C$4001,$B111,'Per Line'!$AM$2:$AM$4001,1))</f>
        <v/>
      </c>
      <c r="R111">
        <f>IF($AB111="","",Settings!$C$7)</f>
        <v/>
      </c>
      <c r="S111" s="7">
        <f>IF($AB111="","",SUMIFS('Per Line'!$U$2:$U$4001,'Per Line'!$C$2:$C$4001,$B111,'Per Line'!$AL$2:$AL$4001,0,'Per Line'!$AM$2:$AM$4001,0))</f>
        <v/>
      </c>
      <c r="T111" s="7">
        <f>IF($AB111="","",S111*R111)</f>
        <v/>
      </c>
      <c r="U111">
        <f>IF($AB111="","",Settings!$C$6)</f>
        <v/>
      </c>
      <c r="V111" s="7">
        <f>IF($AB111="","",SUMIFS('Per Line'!$U$2:$U$4001,'Per Line'!$C$2:$C$4001,$B111,'Per Line'!$AL$2:$AL$4001,1,'Per Line'!$AM$2:$AM$4001,0))</f>
        <v/>
      </c>
      <c r="W111" s="7">
        <f>IF($AB111="","",V111*U111)</f>
        <v/>
      </c>
      <c r="X111" s="7">
        <f>IF($AB111="","",W111+T111)</f>
        <v/>
      </c>
      <c r="Y111" s="7">
        <f>IF($AB111="","",Z111-X111)</f>
        <v/>
      </c>
      <c r="Z111" s="7">
        <f>IF($AB111="","",S111+V111+Q111)</f>
        <v/>
      </c>
      <c r="AA111" s="7">
        <f>IF($AB111="","",Z111-X111-M111)</f>
        <v/>
      </c>
      <c r="AB111" s="13">
        <f>IF(ROWS($AB$2:$AB111)&lt;=MAX('Per Line'!$AK$2:$AK$4001),MATCH(ROWS($AB$2:$AB111),'Per Line'!$AK$2:$AK$4001,0),"")</f>
        <v/>
      </c>
      <c r="AC111" s="14">
        <f>IF($AB111="","",M111-L111*Z111/100)</f>
        <v/>
      </c>
    </row>
    <row r="112">
      <c r="A112" s="12" t="n"/>
      <c r="B112">
        <f>IF($AB112="","",INDEX('Per Line'!$C$2:$C$4001,$AB112)&amp;"")</f>
        <v/>
      </c>
      <c r="C112">
        <f>IF($AB112="","",INDEX('Per Line'!$D$2:$D$4001,$AB112)&amp;"")</f>
        <v/>
      </c>
      <c r="D112">
        <f>IF($AB112="","",INDEX('Per Line'!$B$2:$B$4001,$AB112)&amp;"")</f>
        <v/>
      </c>
      <c r="E112">
        <f>IF($AB112="","",INDEX('Per Line'!$A$2:$A$4001,$AB112))</f>
        <v/>
      </c>
      <c r="F112" s="11">
        <f>IF($AB112="","",INDEX('Per Line'!$E$2:$E$4001,$AB112))</f>
        <v/>
      </c>
      <c r="G112">
        <f>IF($AB112="","",INDEX('Per Line'!$F$2:$F$4001,$AB112)&amp;"")</f>
        <v/>
      </c>
      <c r="H112">
        <f>IF($AB112="","",INDEX('Per Line'!$H$2:$H$4001,$AB112)&amp;"")</f>
        <v/>
      </c>
      <c r="I112">
        <f>IF($AB112="","",INDEX('Per Line'!$I$2:$I$4001,$AB112)&amp;"")</f>
        <v/>
      </c>
      <c r="J112">
        <f>IF($AB112="","",INDEX('Per Line'!$J$2:$J$4001,$AB112)&amp;"")</f>
        <v/>
      </c>
      <c r="K112">
        <f>IF($AB112="","",INDEX('Per Line'!$K$2:$K$4001,$AB112)&amp;"")</f>
        <v/>
      </c>
      <c r="L112">
        <f>IF($AB112="","",INDEX('Per Line'!$L$2:$L$4001,$AB112))</f>
        <v/>
      </c>
      <c r="M112" s="7">
        <f>IF($AB112="","",IF(AND(ISNUMBER(O112),O112&gt;0,Z112&gt;O112),L112*O112/100+(Z112-O112),L112*Z112/100))</f>
        <v/>
      </c>
      <c r="N112">
        <f>IF($AB112="","",INDEX('Per Line'!$V$2:$V$4001,$AB112)&amp;"")</f>
        <v/>
      </c>
      <c r="O112">
        <f>IF($AB112="","",INDEX('Per Line'!$Z$2:$Z$4001,$AB112))</f>
        <v/>
      </c>
      <c r="P112">
        <f>IF($AB112="","",IF(AND(ISNUMBER(O112),O112&gt;0),Z112&gt;O112,FALSE))</f>
        <v/>
      </c>
      <c r="Q112" s="7">
        <f>IF($AB112="","",SUMIFS('Per Line'!$U$2:$U$4001,'Per Line'!$C$2:$C$4001,$B112,'Per Line'!$AM$2:$AM$4001,1))</f>
        <v/>
      </c>
      <c r="R112">
        <f>IF($AB112="","",Settings!$C$7)</f>
        <v/>
      </c>
      <c r="S112" s="7">
        <f>IF($AB112="","",SUMIFS('Per Line'!$U$2:$U$4001,'Per Line'!$C$2:$C$4001,$B112,'Per Line'!$AL$2:$AL$4001,0,'Per Line'!$AM$2:$AM$4001,0))</f>
        <v/>
      </c>
      <c r="T112" s="7">
        <f>IF($AB112="","",S112*R112)</f>
        <v/>
      </c>
      <c r="U112">
        <f>IF($AB112="","",Settings!$C$6)</f>
        <v/>
      </c>
      <c r="V112" s="7">
        <f>IF($AB112="","",SUMIFS('Per Line'!$U$2:$U$4001,'Per Line'!$C$2:$C$4001,$B112,'Per Line'!$AL$2:$AL$4001,1,'Per Line'!$AM$2:$AM$4001,0))</f>
        <v/>
      </c>
      <c r="W112" s="7">
        <f>IF($AB112="","",V112*U112)</f>
        <v/>
      </c>
      <c r="X112" s="7">
        <f>IF($AB112="","",W112+T112)</f>
        <v/>
      </c>
      <c r="Y112" s="7">
        <f>IF($AB112="","",Z112-X112)</f>
        <v/>
      </c>
      <c r="Z112" s="7">
        <f>IF($AB112="","",S112+V112+Q112)</f>
        <v/>
      </c>
      <c r="AA112" s="7">
        <f>IF($AB112="","",Z112-X112-M112)</f>
        <v/>
      </c>
      <c r="AB112" s="13">
        <f>IF(ROWS($AB$2:$AB112)&lt;=MAX('Per Line'!$AK$2:$AK$4001),MATCH(ROWS($AB$2:$AB112),'Per Line'!$AK$2:$AK$4001,0),"")</f>
        <v/>
      </c>
      <c r="AC112" s="14">
        <f>IF($AB112="","",M112-L112*Z112/100)</f>
        <v/>
      </c>
    </row>
    <row r="113">
      <c r="A113" s="12" t="n"/>
      <c r="B113">
        <f>IF($AB113="","",INDEX('Per Line'!$C$2:$C$4001,$AB113)&amp;"")</f>
        <v/>
      </c>
      <c r="C113">
        <f>IF($AB113="","",INDEX('Per Line'!$D$2:$D$4001,$AB113)&amp;"")</f>
        <v/>
      </c>
      <c r="D113">
        <f>IF($AB113="","",INDEX('Per Line'!$B$2:$B$4001,$AB113)&amp;"")</f>
        <v/>
      </c>
      <c r="E113">
        <f>IF($AB113="","",INDEX('Per Line'!$A$2:$A$4001,$AB113))</f>
        <v/>
      </c>
      <c r="F113" s="11">
        <f>IF($AB113="","",INDEX('Per Line'!$E$2:$E$4001,$AB113))</f>
        <v/>
      </c>
      <c r="G113">
        <f>IF($AB113="","",INDEX('Per Line'!$F$2:$F$4001,$AB113)&amp;"")</f>
        <v/>
      </c>
      <c r="H113">
        <f>IF($AB113="","",INDEX('Per Line'!$H$2:$H$4001,$AB113)&amp;"")</f>
        <v/>
      </c>
      <c r="I113">
        <f>IF($AB113="","",INDEX('Per Line'!$I$2:$I$4001,$AB113)&amp;"")</f>
        <v/>
      </c>
      <c r="J113">
        <f>IF($AB113="","",INDEX('Per Line'!$J$2:$J$4001,$AB113)&amp;"")</f>
        <v/>
      </c>
      <c r="K113">
        <f>IF($AB113="","",INDEX('Per Line'!$K$2:$K$4001,$AB113)&amp;"")</f>
        <v/>
      </c>
      <c r="L113">
        <f>IF($AB113="","",INDEX('Per Line'!$L$2:$L$4001,$AB113))</f>
        <v/>
      </c>
      <c r="M113" s="7">
        <f>IF($AB113="","",IF(AND(ISNUMBER(O113),O113&gt;0,Z113&gt;O113),L113*O113/100+(Z113-O113),L113*Z113/100))</f>
        <v/>
      </c>
      <c r="N113">
        <f>IF($AB113="","",INDEX('Per Line'!$V$2:$V$4001,$AB113)&amp;"")</f>
        <v/>
      </c>
      <c r="O113">
        <f>IF($AB113="","",INDEX('Per Line'!$Z$2:$Z$4001,$AB113))</f>
        <v/>
      </c>
      <c r="P113">
        <f>IF($AB113="","",IF(AND(ISNUMBER(O113),O113&gt;0),Z113&gt;O113,FALSE))</f>
        <v/>
      </c>
      <c r="Q113" s="7">
        <f>IF($AB113="","",SUMIFS('Per Line'!$U$2:$U$4001,'Per Line'!$C$2:$C$4001,$B113,'Per Line'!$AM$2:$AM$4001,1))</f>
        <v/>
      </c>
      <c r="R113">
        <f>IF($AB113="","",Settings!$C$7)</f>
        <v/>
      </c>
      <c r="S113" s="7">
        <f>IF($AB113="","",SUMIFS('Per Line'!$U$2:$U$4001,'Per Line'!$C$2:$C$4001,$B113,'Per Line'!$AL$2:$AL$4001,0,'Per Line'!$AM$2:$AM$4001,0))</f>
        <v/>
      </c>
      <c r="T113" s="7">
        <f>IF($AB113="","",S113*R113)</f>
        <v/>
      </c>
      <c r="U113">
        <f>IF($AB113="","",Settings!$C$6)</f>
        <v/>
      </c>
      <c r="V113" s="7">
        <f>IF($AB113="","",SUMIFS('Per Line'!$U$2:$U$4001,'Per Line'!$C$2:$C$4001,$B113,'Per Line'!$AL$2:$AL$4001,1,'Per Line'!$AM$2:$AM$4001,0))</f>
        <v/>
      </c>
      <c r="W113" s="7">
        <f>IF($AB113="","",V113*U113)</f>
        <v/>
      </c>
      <c r="X113" s="7">
        <f>IF($AB113="","",W113+T113)</f>
        <v/>
      </c>
      <c r="Y113" s="7">
        <f>IF($AB113="","",Z113-X113)</f>
        <v/>
      </c>
      <c r="Z113" s="7">
        <f>IF($AB113="","",S113+V113+Q113)</f>
        <v/>
      </c>
      <c r="AA113" s="7">
        <f>IF($AB113="","",Z113-X113-M113)</f>
        <v/>
      </c>
      <c r="AB113" s="13">
        <f>IF(ROWS($AB$2:$AB113)&lt;=MAX('Per Line'!$AK$2:$AK$4001),MATCH(ROWS($AB$2:$AB113),'Per Line'!$AK$2:$AK$4001,0),"")</f>
        <v/>
      </c>
      <c r="AC113" s="14">
        <f>IF($AB113="","",M113-L113*Z113/100)</f>
        <v/>
      </c>
    </row>
    <row r="114">
      <c r="A114" s="12" t="n"/>
      <c r="B114">
        <f>IF($AB114="","",INDEX('Per Line'!$C$2:$C$4001,$AB114)&amp;"")</f>
        <v/>
      </c>
      <c r="C114">
        <f>IF($AB114="","",INDEX('Per Line'!$D$2:$D$4001,$AB114)&amp;"")</f>
        <v/>
      </c>
      <c r="D114">
        <f>IF($AB114="","",INDEX('Per Line'!$B$2:$B$4001,$AB114)&amp;"")</f>
        <v/>
      </c>
      <c r="E114">
        <f>IF($AB114="","",INDEX('Per Line'!$A$2:$A$4001,$AB114))</f>
        <v/>
      </c>
      <c r="F114" s="11">
        <f>IF($AB114="","",INDEX('Per Line'!$E$2:$E$4001,$AB114))</f>
        <v/>
      </c>
      <c r="G114">
        <f>IF($AB114="","",INDEX('Per Line'!$F$2:$F$4001,$AB114)&amp;"")</f>
        <v/>
      </c>
      <c r="H114">
        <f>IF($AB114="","",INDEX('Per Line'!$H$2:$H$4001,$AB114)&amp;"")</f>
        <v/>
      </c>
      <c r="I114">
        <f>IF($AB114="","",INDEX('Per Line'!$I$2:$I$4001,$AB114)&amp;"")</f>
        <v/>
      </c>
      <c r="J114">
        <f>IF($AB114="","",INDEX('Per Line'!$J$2:$J$4001,$AB114)&amp;"")</f>
        <v/>
      </c>
      <c r="K114">
        <f>IF($AB114="","",INDEX('Per Line'!$K$2:$K$4001,$AB114)&amp;"")</f>
        <v/>
      </c>
      <c r="L114">
        <f>IF($AB114="","",INDEX('Per Line'!$L$2:$L$4001,$AB114))</f>
        <v/>
      </c>
      <c r="M114" s="7">
        <f>IF($AB114="","",IF(AND(ISNUMBER(O114),O114&gt;0,Z114&gt;O114),L114*O114/100+(Z114-O114),L114*Z114/100))</f>
        <v/>
      </c>
      <c r="N114">
        <f>IF($AB114="","",INDEX('Per Line'!$V$2:$V$4001,$AB114)&amp;"")</f>
        <v/>
      </c>
      <c r="O114">
        <f>IF($AB114="","",INDEX('Per Line'!$Z$2:$Z$4001,$AB114))</f>
        <v/>
      </c>
      <c r="P114">
        <f>IF($AB114="","",IF(AND(ISNUMBER(O114),O114&gt;0),Z114&gt;O114,FALSE))</f>
        <v/>
      </c>
      <c r="Q114" s="7">
        <f>IF($AB114="","",SUMIFS('Per Line'!$U$2:$U$4001,'Per Line'!$C$2:$C$4001,$B114,'Per Line'!$AM$2:$AM$4001,1))</f>
        <v/>
      </c>
      <c r="R114">
        <f>IF($AB114="","",Settings!$C$7)</f>
        <v/>
      </c>
      <c r="S114" s="7">
        <f>IF($AB114="","",SUMIFS('Per Line'!$U$2:$U$4001,'Per Line'!$C$2:$C$4001,$B114,'Per Line'!$AL$2:$AL$4001,0,'Per Line'!$AM$2:$AM$4001,0))</f>
        <v/>
      </c>
      <c r="T114" s="7">
        <f>IF($AB114="","",S114*R114)</f>
        <v/>
      </c>
      <c r="U114">
        <f>IF($AB114="","",Settings!$C$6)</f>
        <v/>
      </c>
      <c r="V114" s="7">
        <f>IF($AB114="","",SUMIFS('Per Line'!$U$2:$U$4001,'Per Line'!$C$2:$C$4001,$B114,'Per Line'!$AL$2:$AL$4001,1,'Per Line'!$AM$2:$AM$4001,0))</f>
        <v/>
      </c>
      <c r="W114" s="7">
        <f>IF($AB114="","",V114*U114)</f>
        <v/>
      </c>
      <c r="X114" s="7">
        <f>IF($AB114="","",W114+T114)</f>
        <v/>
      </c>
      <c r="Y114" s="7">
        <f>IF($AB114="","",Z114-X114)</f>
        <v/>
      </c>
      <c r="Z114" s="7">
        <f>IF($AB114="","",S114+V114+Q114)</f>
        <v/>
      </c>
      <c r="AA114" s="7">
        <f>IF($AB114="","",Z114-X114-M114)</f>
        <v/>
      </c>
      <c r="AB114" s="13">
        <f>IF(ROWS($AB$2:$AB114)&lt;=MAX('Per Line'!$AK$2:$AK$4001),MATCH(ROWS($AB$2:$AB114),'Per Line'!$AK$2:$AK$4001,0),"")</f>
        <v/>
      </c>
      <c r="AC114" s="14">
        <f>IF($AB114="","",M114-L114*Z114/100)</f>
        <v/>
      </c>
    </row>
    <row r="115">
      <c r="A115" s="12" t="n"/>
      <c r="B115">
        <f>IF($AB115="","",INDEX('Per Line'!$C$2:$C$4001,$AB115)&amp;"")</f>
        <v/>
      </c>
      <c r="C115">
        <f>IF($AB115="","",INDEX('Per Line'!$D$2:$D$4001,$AB115)&amp;"")</f>
        <v/>
      </c>
      <c r="D115">
        <f>IF($AB115="","",INDEX('Per Line'!$B$2:$B$4001,$AB115)&amp;"")</f>
        <v/>
      </c>
      <c r="E115">
        <f>IF($AB115="","",INDEX('Per Line'!$A$2:$A$4001,$AB115))</f>
        <v/>
      </c>
      <c r="F115" s="11">
        <f>IF($AB115="","",INDEX('Per Line'!$E$2:$E$4001,$AB115))</f>
        <v/>
      </c>
      <c r="G115">
        <f>IF($AB115="","",INDEX('Per Line'!$F$2:$F$4001,$AB115)&amp;"")</f>
        <v/>
      </c>
      <c r="H115">
        <f>IF($AB115="","",INDEX('Per Line'!$H$2:$H$4001,$AB115)&amp;"")</f>
        <v/>
      </c>
      <c r="I115">
        <f>IF($AB115="","",INDEX('Per Line'!$I$2:$I$4001,$AB115)&amp;"")</f>
        <v/>
      </c>
      <c r="J115">
        <f>IF($AB115="","",INDEX('Per Line'!$J$2:$J$4001,$AB115)&amp;"")</f>
        <v/>
      </c>
      <c r="K115">
        <f>IF($AB115="","",INDEX('Per Line'!$K$2:$K$4001,$AB115)&amp;"")</f>
        <v/>
      </c>
      <c r="L115">
        <f>IF($AB115="","",INDEX('Per Line'!$L$2:$L$4001,$AB115))</f>
        <v/>
      </c>
      <c r="M115" s="7">
        <f>IF($AB115="","",IF(AND(ISNUMBER(O115),O115&gt;0,Z115&gt;O115),L115*O115/100+(Z115-O115),L115*Z115/100))</f>
        <v/>
      </c>
      <c r="N115">
        <f>IF($AB115="","",INDEX('Per Line'!$V$2:$V$4001,$AB115)&amp;"")</f>
        <v/>
      </c>
      <c r="O115">
        <f>IF($AB115="","",INDEX('Per Line'!$Z$2:$Z$4001,$AB115))</f>
        <v/>
      </c>
      <c r="P115">
        <f>IF($AB115="","",IF(AND(ISNUMBER(O115),O115&gt;0),Z115&gt;O115,FALSE))</f>
        <v/>
      </c>
      <c r="Q115" s="7">
        <f>IF($AB115="","",SUMIFS('Per Line'!$U$2:$U$4001,'Per Line'!$C$2:$C$4001,$B115,'Per Line'!$AM$2:$AM$4001,1))</f>
        <v/>
      </c>
      <c r="R115">
        <f>IF($AB115="","",Settings!$C$7)</f>
        <v/>
      </c>
      <c r="S115" s="7">
        <f>IF($AB115="","",SUMIFS('Per Line'!$U$2:$U$4001,'Per Line'!$C$2:$C$4001,$B115,'Per Line'!$AL$2:$AL$4001,0,'Per Line'!$AM$2:$AM$4001,0))</f>
        <v/>
      </c>
      <c r="T115" s="7">
        <f>IF($AB115="","",S115*R115)</f>
        <v/>
      </c>
      <c r="U115">
        <f>IF($AB115="","",Settings!$C$6)</f>
        <v/>
      </c>
      <c r="V115" s="7">
        <f>IF($AB115="","",SUMIFS('Per Line'!$U$2:$U$4001,'Per Line'!$C$2:$C$4001,$B115,'Per Line'!$AL$2:$AL$4001,1,'Per Line'!$AM$2:$AM$4001,0))</f>
        <v/>
      </c>
      <c r="W115" s="7">
        <f>IF($AB115="","",V115*U115)</f>
        <v/>
      </c>
      <c r="X115" s="7">
        <f>IF($AB115="","",W115+T115)</f>
        <v/>
      </c>
      <c r="Y115" s="7">
        <f>IF($AB115="","",Z115-X115)</f>
        <v/>
      </c>
      <c r="Z115" s="7">
        <f>IF($AB115="","",S115+V115+Q115)</f>
        <v/>
      </c>
      <c r="AA115" s="7">
        <f>IF($AB115="","",Z115-X115-M115)</f>
        <v/>
      </c>
      <c r="AB115" s="13">
        <f>IF(ROWS($AB$2:$AB115)&lt;=MAX('Per Line'!$AK$2:$AK$4001),MATCH(ROWS($AB$2:$AB115),'Per Line'!$AK$2:$AK$4001,0),"")</f>
        <v/>
      </c>
      <c r="AC115" s="14">
        <f>IF($AB115="","",M115-L115*Z115/100)</f>
        <v/>
      </c>
    </row>
    <row r="116">
      <c r="A116" s="12" t="n"/>
      <c r="B116">
        <f>IF($AB116="","",INDEX('Per Line'!$C$2:$C$4001,$AB116)&amp;"")</f>
        <v/>
      </c>
      <c r="C116">
        <f>IF($AB116="","",INDEX('Per Line'!$D$2:$D$4001,$AB116)&amp;"")</f>
        <v/>
      </c>
      <c r="D116">
        <f>IF($AB116="","",INDEX('Per Line'!$B$2:$B$4001,$AB116)&amp;"")</f>
        <v/>
      </c>
      <c r="E116">
        <f>IF($AB116="","",INDEX('Per Line'!$A$2:$A$4001,$AB116))</f>
        <v/>
      </c>
      <c r="F116" s="11">
        <f>IF($AB116="","",INDEX('Per Line'!$E$2:$E$4001,$AB116))</f>
        <v/>
      </c>
      <c r="G116">
        <f>IF($AB116="","",INDEX('Per Line'!$F$2:$F$4001,$AB116)&amp;"")</f>
        <v/>
      </c>
      <c r="H116">
        <f>IF($AB116="","",INDEX('Per Line'!$H$2:$H$4001,$AB116)&amp;"")</f>
        <v/>
      </c>
      <c r="I116">
        <f>IF($AB116="","",INDEX('Per Line'!$I$2:$I$4001,$AB116)&amp;"")</f>
        <v/>
      </c>
      <c r="J116">
        <f>IF($AB116="","",INDEX('Per Line'!$J$2:$J$4001,$AB116)&amp;"")</f>
        <v/>
      </c>
      <c r="K116">
        <f>IF($AB116="","",INDEX('Per Line'!$K$2:$K$4001,$AB116)&amp;"")</f>
        <v/>
      </c>
      <c r="L116">
        <f>IF($AB116="","",INDEX('Per Line'!$L$2:$L$4001,$AB116))</f>
        <v/>
      </c>
      <c r="M116" s="7">
        <f>IF($AB116="","",IF(AND(ISNUMBER(O116),O116&gt;0,Z116&gt;O116),L116*O116/100+(Z116-O116),L116*Z116/100))</f>
        <v/>
      </c>
      <c r="N116">
        <f>IF($AB116="","",INDEX('Per Line'!$V$2:$V$4001,$AB116)&amp;"")</f>
        <v/>
      </c>
      <c r="O116">
        <f>IF($AB116="","",INDEX('Per Line'!$Z$2:$Z$4001,$AB116))</f>
        <v/>
      </c>
      <c r="P116">
        <f>IF($AB116="","",IF(AND(ISNUMBER(O116),O116&gt;0),Z116&gt;O116,FALSE))</f>
        <v/>
      </c>
      <c r="Q116" s="7">
        <f>IF($AB116="","",SUMIFS('Per Line'!$U$2:$U$4001,'Per Line'!$C$2:$C$4001,$B116,'Per Line'!$AM$2:$AM$4001,1))</f>
        <v/>
      </c>
      <c r="R116">
        <f>IF($AB116="","",Settings!$C$7)</f>
        <v/>
      </c>
      <c r="S116" s="7">
        <f>IF($AB116="","",SUMIFS('Per Line'!$U$2:$U$4001,'Per Line'!$C$2:$C$4001,$B116,'Per Line'!$AL$2:$AL$4001,0,'Per Line'!$AM$2:$AM$4001,0))</f>
        <v/>
      </c>
      <c r="T116" s="7">
        <f>IF($AB116="","",S116*R116)</f>
        <v/>
      </c>
      <c r="U116">
        <f>IF($AB116="","",Settings!$C$6)</f>
        <v/>
      </c>
      <c r="V116" s="7">
        <f>IF($AB116="","",SUMIFS('Per Line'!$U$2:$U$4001,'Per Line'!$C$2:$C$4001,$B116,'Per Line'!$AL$2:$AL$4001,1,'Per Line'!$AM$2:$AM$4001,0))</f>
        <v/>
      </c>
      <c r="W116" s="7">
        <f>IF($AB116="","",V116*U116)</f>
        <v/>
      </c>
      <c r="X116" s="7">
        <f>IF($AB116="","",W116+T116)</f>
        <v/>
      </c>
      <c r="Y116" s="7">
        <f>IF($AB116="","",Z116-X116)</f>
        <v/>
      </c>
      <c r="Z116" s="7">
        <f>IF($AB116="","",S116+V116+Q116)</f>
        <v/>
      </c>
      <c r="AA116" s="7">
        <f>IF($AB116="","",Z116-X116-M116)</f>
        <v/>
      </c>
      <c r="AB116" s="13">
        <f>IF(ROWS($AB$2:$AB116)&lt;=MAX('Per Line'!$AK$2:$AK$4001),MATCH(ROWS($AB$2:$AB116),'Per Line'!$AK$2:$AK$4001,0),"")</f>
        <v/>
      </c>
      <c r="AC116" s="14">
        <f>IF($AB116="","",M116-L116*Z116/100)</f>
        <v/>
      </c>
    </row>
    <row r="117">
      <c r="A117" s="12" t="n"/>
      <c r="B117">
        <f>IF($AB117="","",INDEX('Per Line'!$C$2:$C$4001,$AB117)&amp;"")</f>
        <v/>
      </c>
      <c r="C117">
        <f>IF($AB117="","",INDEX('Per Line'!$D$2:$D$4001,$AB117)&amp;"")</f>
        <v/>
      </c>
      <c r="D117">
        <f>IF($AB117="","",INDEX('Per Line'!$B$2:$B$4001,$AB117)&amp;"")</f>
        <v/>
      </c>
      <c r="E117">
        <f>IF($AB117="","",INDEX('Per Line'!$A$2:$A$4001,$AB117))</f>
        <v/>
      </c>
      <c r="F117" s="11">
        <f>IF($AB117="","",INDEX('Per Line'!$E$2:$E$4001,$AB117))</f>
        <v/>
      </c>
      <c r="G117">
        <f>IF($AB117="","",INDEX('Per Line'!$F$2:$F$4001,$AB117)&amp;"")</f>
        <v/>
      </c>
      <c r="H117">
        <f>IF($AB117="","",INDEX('Per Line'!$H$2:$H$4001,$AB117)&amp;"")</f>
        <v/>
      </c>
      <c r="I117">
        <f>IF($AB117="","",INDEX('Per Line'!$I$2:$I$4001,$AB117)&amp;"")</f>
        <v/>
      </c>
      <c r="J117">
        <f>IF($AB117="","",INDEX('Per Line'!$J$2:$J$4001,$AB117)&amp;"")</f>
        <v/>
      </c>
      <c r="K117">
        <f>IF($AB117="","",INDEX('Per Line'!$K$2:$K$4001,$AB117)&amp;"")</f>
        <v/>
      </c>
      <c r="L117">
        <f>IF($AB117="","",INDEX('Per Line'!$L$2:$L$4001,$AB117))</f>
        <v/>
      </c>
      <c r="M117" s="7">
        <f>IF($AB117="","",IF(AND(ISNUMBER(O117),O117&gt;0,Z117&gt;O117),L117*O117/100+(Z117-O117),L117*Z117/100))</f>
        <v/>
      </c>
      <c r="N117">
        <f>IF($AB117="","",INDEX('Per Line'!$V$2:$V$4001,$AB117)&amp;"")</f>
        <v/>
      </c>
      <c r="O117">
        <f>IF($AB117="","",INDEX('Per Line'!$Z$2:$Z$4001,$AB117))</f>
        <v/>
      </c>
      <c r="P117">
        <f>IF($AB117="","",IF(AND(ISNUMBER(O117),O117&gt;0),Z117&gt;O117,FALSE))</f>
        <v/>
      </c>
      <c r="Q117" s="7">
        <f>IF($AB117="","",SUMIFS('Per Line'!$U$2:$U$4001,'Per Line'!$C$2:$C$4001,$B117,'Per Line'!$AM$2:$AM$4001,1))</f>
        <v/>
      </c>
      <c r="R117">
        <f>IF($AB117="","",Settings!$C$7)</f>
        <v/>
      </c>
      <c r="S117" s="7">
        <f>IF($AB117="","",SUMIFS('Per Line'!$U$2:$U$4001,'Per Line'!$C$2:$C$4001,$B117,'Per Line'!$AL$2:$AL$4001,0,'Per Line'!$AM$2:$AM$4001,0))</f>
        <v/>
      </c>
      <c r="T117" s="7">
        <f>IF($AB117="","",S117*R117)</f>
        <v/>
      </c>
      <c r="U117">
        <f>IF($AB117="","",Settings!$C$6)</f>
        <v/>
      </c>
      <c r="V117" s="7">
        <f>IF($AB117="","",SUMIFS('Per Line'!$U$2:$U$4001,'Per Line'!$C$2:$C$4001,$B117,'Per Line'!$AL$2:$AL$4001,1,'Per Line'!$AM$2:$AM$4001,0))</f>
        <v/>
      </c>
      <c r="W117" s="7">
        <f>IF($AB117="","",V117*U117)</f>
        <v/>
      </c>
      <c r="X117" s="7">
        <f>IF($AB117="","",W117+T117)</f>
        <v/>
      </c>
      <c r="Y117" s="7">
        <f>IF($AB117="","",Z117-X117)</f>
        <v/>
      </c>
      <c r="Z117" s="7">
        <f>IF($AB117="","",S117+V117+Q117)</f>
        <v/>
      </c>
      <c r="AA117" s="7">
        <f>IF($AB117="","",Z117-X117-M117)</f>
        <v/>
      </c>
      <c r="AB117" s="13">
        <f>IF(ROWS($AB$2:$AB117)&lt;=MAX('Per Line'!$AK$2:$AK$4001),MATCH(ROWS($AB$2:$AB117),'Per Line'!$AK$2:$AK$4001,0),"")</f>
        <v/>
      </c>
      <c r="AC117" s="14">
        <f>IF($AB117="","",M117-L117*Z117/100)</f>
        <v/>
      </c>
    </row>
    <row r="118">
      <c r="A118" s="12" t="n"/>
      <c r="B118">
        <f>IF($AB118="","",INDEX('Per Line'!$C$2:$C$4001,$AB118)&amp;"")</f>
        <v/>
      </c>
      <c r="C118">
        <f>IF($AB118="","",INDEX('Per Line'!$D$2:$D$4001,$AB118)&amp;"")</f>
        <v/>
      </c>
      <c r="D118">
        <f>IF($AB118="","",INDEX('Per Line'!$B$2:$B$4001,$AB118)&amp;"")</f>
        <v/>
      </c>
      <c r="E118">
        <f>IF($AB118="","",INDEX('Per Line'!$A$2:$A$4001,$AB118))</f>
        <v/>
      </c>
      <c r="F118" s="11">
        <f>IF($AB118="","",INDEX('Per Line'!$E$2:$E$4001,$AB118))</f>
        <v/>
      </c>
      <c r="G118">
        <f>IF($AB118="","",INDEX('Per Line'!$F$2:$F$4001,$AB118)&amp;"")</f>
        <v/>
      </c>
      <c r="H118">
        <f>IF($AB118="","",INDEX('Per Line'!$H$2:$H$4001,$AB118)&amp;"")</f>
        <v/>
      </c>
      <c r="I118">
        <f>IF($AB118="","",INDEX('Per Line'!$I$2:$I$4001,$AB118)&amp;"")</f>
        <v/>
      </c>
      <c r="J118">
        <f>IF($AB118="","",INDEX('Per Line'!$J$2:$J$4001,$AB118)&amp;"")</f>
        <v/>
      </c>
      <c r="K118">
        <f>IF($AB118="","",INDEX('Per Line'!$K$2:$K$4001,$AB118)&amp;"")</f>
        <v/>
      </c>
      <c r="L118">
        <f>IF($AB118="","",INDEX('Per Line'!$L$2:$L$4001,$AB118))</f>
        <v/>
      </c>
      <c r="M118" s="7">
        <f>IF($AB118="","",IF(AND(ISNUMBER(O118),O118&gt;0,Z118&gt;O118),L118*O118/100+(Z118-O118),L118*Z118/100))</f>
        <v/>
      </c>
      <c r="N118">
        <f>IF($AB118="","",INDEX('Per Line'!$V$2:$V$4001,$AB118)&amp;"")</f>
        <v/>
      </c>
      <c r="O118">
        <f>IF($AB118="","",INDEX('Per Line'!$Z$2:$Z$4001,$AB118))</f>
        <v/>
      </c>
      <c r="P118">
        <f>IF($AB118="","",IF(AND(ISNUMBER(O118),O118&gt;0),Z118&gt;O118,FALSE))</f>
        <v/>
      </c>
      <c r="Q118" s="7">
        <f>IF($AB118="","",SUMIFS('Per Line'!$U$2:$U$4001,'Per Line'!$C$2:$C$4001,$B118,'Per Line'!$AM$2:$AM$4001,1))</f>
        <v/>
      </c>
      <c r="R118">
        <f>IF($AB118="","",Settings!$C$7)</f>
        <v/>
      </c>
      <c r="S118" s="7">
        <f>IF($AB118="","",SUMIFS('Per Line'!$U$2:$U$4001,'Per Line'!$C$2:$C$4001,$B118,'Per Line'!$AL$2:$AL$4001,0,'Per Line'!$AM$2:$AM$4001,0))</f>
        <v/>
      </c>
      <c r="T118" s="7">
        <f>IF($AB118="","",S118*R118)</f>
        <v/>
      </c>
      <c r="U118">
        <f>IF($AB118="","",Settings!$C$6)</f>
        <v/>
      </c>
      <c r="V118" s="7">
        <f>IF($AB118="","",SUMIFS('Per Line'!$U$2:$U$4001,'Per Line'!$C$2:$C$4001,$B118,'Per Line'!$AL$2:$AL$4001,1,'Per Line'!$AM$2:$AM$4001,0))</f>
        <v/>
      </c>
      <c r="W118" s="7">
        <f>IF($AB118="","",V118*U118)</f>
        <v/>
      </c>
      <c r="X118" s="7">
        <f>IF($AB118="","",W118+T118)</f>
        <v/>
      </c>
      <c r="Y118" s="7">
        <f>IF($AB118="","",Z118-X118)</f>
        <v/>
      </c>
      <c r="Z118" s="7">
        <f>IF($AB118="","",S118+V118+Q118)</f>
        <v/>
      </c>
      <c r="AA118" s="7">
        <f>IF($AB118="","",Z118-X118-M118)</f>
        <v/>
      </c>
      <c r="AB118" s="13">
        <f>IF(ROWS($AB$2:$AB118)&lt;=MAX('Per Line'!$AK$2:$AK$4001),MATCH(ROWS($AB$2:$AB118),'Per Line'!$AK$2:$AK$4001,0),"")</f>
        <v/>
      </c>
      <c r="AC118" s="14">
        <f>IF($AB118="","",M118-L118*Z118/100)</f>
        <v/>
      </c>
    </row>
    <row r="119">
      <c r="A119" s="12" t="n"/>
      <c r="B119">
        <f>IF($AB119="","",INDEX('Per Line'!$C$2:$C$4001,$AB119)&amp;"")</f>
        <v/>
      </c>
      <c r="C119">
        <f>IF($AB119="","",INDEX('Per Line'!$D$2:$D$4001,$AB119)&amp;"")</f>
        <v/>
      </c>
      <c r="D119">
        <f>IF($AB119="","",INDEX('Per Line'!$B$2:$B$4001,$AB119)&amp;"")</f>
        <v/>
      </c>
      <c r="E119">
        <f>IF($AB119="","",INDEX('Per Line'!$A$2:$A$4001,$AB119))</f>
        <v/>
      </c>
      <c r="F119" s="11">
        <f>IF($AB119="","",INDEX('Per Line'!$E$2:$E$4001,$AB119))</f>
        <v/>
      </c>
      <c r="G119">
        <f>IF($AB119="","",INDEX('Per Line'!$F$2:$F$4001,$AB119)&amp;"")</f>
        <v/>
      </c>
      <c r="H119">
        <f>IF($AB119="","",INDEX('Per Line'!$H$2:$H$4001,$AB119)&amp;"")</f>
        <v/>
      </c>
      <c r="I119">
        <f>IF($AB119="","",INDEX('Per Line'!$I$2:$I$4001,$AB119)&amp;"")</f>
        <v/>
      </c>
      <c r="J119">
        <f>IF($AB119="","",INDEX('Per Line'!$J$2:$J$4001,$AB119)&amp;"")</f>
        <v/>
      </c>
      <c r="K119">
        <f>IF($AB119="","",INDEX('Per Line'!$K$2:$K$4001,$AB119)&amp;"")</f>
        <v/>
      </c>
      <c r="L119">
        <f>IF($AB119="","",INDEX('Per Line'!$L$2:$L$4001,$AB119))</f>
        <v/>
      </c>
      <c r="M119" s="7">
        <f>IF($AB119="","",IF(AND(ISNUMBER(O119),O119&gt;0,Z119&gt;O119),L119*O119/100+(Z119-O119),L119*Z119/100))</f>
        <v/>
      </c>
      <c r="N119">
        <f>IF($AB119="","",INDEX('Per Line'!$V$2:$V$4001,$AB119)&amp;"")</f>
        <v/>
      </c>
      <c r="O119">
        <f>IF($AB119="","",INDEX('Per Line'!$Z$2:$Z$4001,$AB119))</f>
        <v/>
      </c>
      <c r="P119">
        <f>IF($AB119="","",IF(AND(ISNUMBER(O119),O119&gt;0),Z119&gt;O119,FALSE))</f>
        <v/>
      </c>
      <c r="Q119" s="7">
        <f>IF($AB119="","",SUMIFS('Per Line'!$U$2:$U$4001,'Per Line'!$C$2:$C$4001,$B119,'Per Line'!$AM$2:$AM$4001,1))</f>
        <v/>
      </c>
      <c r="R119">
        <f>IF($AB119="","",Settings!$C$7)</f>
        <v/>
      </c>
      <c r="S119" s="7">
        <f>IF($AB119="","",SUMIFS('Per Line'!$U$2:$U$4001,'Per Line'!$C$2:$C$4001,$B119,'Per Line'!$AL$2:$AL$4001,0,'Per Line'!$AM$2:$AM$4001,0))</f>
        <v/>
      </c>
      <c r="T119" s="7">
        <f>IF($AB119="","",S119*R119)</f>
        <v/>
      </c>
      <c r="U119">
        <f>IF($AB119="","",Settings!$C$6)</f>
        <v/>
      </c>
      <c r="V119" s="7">
        <f>IF($AB119="","",SUMIFS('Per Line'!$U$2:$U$4001,'Per Line'!$C$2:$C$4001,$B119,'Per Line'!$AL$2:$AL$4001,1,'Per Line'!$AM$2:$AM$4001,0))</f>
        <v/>
      </c>
      <c r="W119" s="7">
        <f>IF($AB119="","",V119*U119)</f>
        <v/>
      </c>
      <c r="X119" s="7">
        <f>IF($AB119="","",W119+T119)</f>
        <v/>
      </c>
      <c r="Y119" s="7">
        <f>IF($AB119="","",Z119-X119)</f>
        <v/>
      </c>
      <c r="Z119" s="7">
        <f>IF($AB119="","",S119+V119+Q119)</f>
        <v/>
      </c>
      <c r="AA119" s="7">
        <f>IF($AB119="","",Z119-X119-M119)</f>
        <v/>
      </c>
      <c r="AB119" s="13">
        <f>IF(ROWS($AB$2:$AB119)&lt;=MAX('Per Line'!$AK$2:$AK$4001),MATCH(ROWS($AB$2:$AB119),'Per Line'!$AK$2:$AK$4001,0),"")</f>
        <v/>
      </c>
      <c r="AC119" s="14">
        <f>IF($AB119="","",M119-L119*Z119/100)</f>
        <v/>
      </c>
    </row>
    <row r="120">
      <c r="A120" s="12" t="n"/>
      <c r="B120">
        <f>IF($AB120="","",INDEX('Per Line'!$C$2:$C$4001,$AB120)&amp;"")</f>
        <v/>
      </c>
      <c r="C120">
        <f>IF($AB120="","",INDEX('Per Line'!$D$2:$D$4001,$AB120)&amp;"")</f>
        <v/>
      </c>
      <c r="D120">
        <f>IF($AB120="","",INDEX('Per Line'!$B$2:$B$4001,$AB120)&amp;"")</f>
        <v/>
      </c>
      <c r="E120">
        <f>IF($AB120="","",INDEX('Per Line'!$A$2:$A$4001,$AB120))</f>
        <v/>
      </c>
      <c r="F120" s="11">
        <f>IF($AB120="","",INDEX('Per Line'!$E$2:$E$4001,$AB120))</f>
        <v/>
      </c>
      <c r="G120">
        <f>IF($AB120="","",INDEX('Per Line'!$F$2:$F$4001,$AB120)&amp;"")</f>
        <v/>
      </c>
      <c r="H120">
        <f>IF($AB120="","",INDEX('Per Line'!$H$2:$H$4001,$AB120)&amp;"")</f>
        <v/>
      </c>
      <c r="I120">
        <f>IF($AB120="","",INDEX('Per Line'!$I$2:$I$4001,$AB120)&amp;"")</f>
        <v/>
      </c>
      <c r="J120">
        <f>IF($AB120="","",INDEX('Per Line'!$J$2:$J$4001,$AB120)&amp;"")</f>
        <v/>
      </c>
      <c r="K120">
        <f>IF($AB120="","",INDEX('Per Line'!$K$2:$K$4001,$AB120)&amp;"")</f>
        <v/>
      </c>
      <c r="L120">
        <f>IF($AB120="","",INDEX('Per Line'!$L$2:$L$4001,$AB120))</f>
        <v/>
      </c>
      <c r="M120" s="7">
        <f>IF($AB120="","",IF(AND(ISNUMBER(O120),O120&gt;0,Z120&gt;O120),L120*O120/100+(Z120-O120),L120*Z120/100))</f>
        <v/>
      </c>
      <c r="N120">
        <f>IF($AB120="","",INDEX('Per Line'!$V$2:$V$4001,$AB120)&amp;"")</f>
        <v/>
      </c>
      <c r="O120">
        <f>IF($AB120="","",INDEX('Per Line'!$Z$2:$Z$4001,$AB120))</f>
        <v/>
      </c>
      <c r="P120">
        <f>IF($AB120="","",IF(AND(ISNUMBER(O120),O120&gt;0),Z120&gt;O120,FALSE))</f>
        <v/>
      </c>
      <c r="Q120" s="7">
        <f>IF($AB120="","",SUMIFS('Per Line'!$U$2:$U$4001,'Per Line'!$C$2:$C$4001,$B120,'Per Line'!$AM$2:$AM$4001,1))</f>
        <v/>
      </c>
      <c r="R120">
        <f>IF($AB120="","",Settings!$C$7)</f>
        <v/>
      </c>
      <c r="S120" s="7">
        <f>IF($AB120="","",SUMIFS('Per Line'!$U$2:$U$4001,'Per Line'!$C$2:$C$4001,$B120,'Per Line'!$AL$2:$AL$4001,0,'Per Line'!$AM$2:$AM$4001,0))</f>
        <v/>
      </c>
      <c r="T120" s="7">
        <f>IF($AB120="","",S120*R120)</f>
        <v/>
      </c>
      <c r="U120">
        <f>IF($AB120="","",Settings!$C$6)</f>
        <v/>
      </c>
      <c r="V120" s="7">
        <f>IF($AB120="","",SUMIFS('Per Line'!$U$2:$U$4001,'Per Line'!$C$2:$C$4001,$B120,'Per Line'!$AL$2:$AL$4001,1,'Per Line'!$AM$2:$AM$4001,0))</f>
        <v/>
      </c>
      <c r="W120" s="7">
        <f>IF($AB120="","",V120*U120)</f>
        <v/>
      </c>
      <c r="X120" s="7">
        <f>IF($AB120="","",W120+T120)</f>
        <v/>
      </c>
      <c r="Y120" s="7">
        <f>IF($AB120="","",Z120-X120)</f>
        <v/>
      </c>
      <c r="Z120" s="7">
        <f>IF($AB120="","",S120+V120+Q120)</f>
        <v/>
      </c>
      <c r="AA120" s="7">
        <f>IF($AB120="","",Z120-X120-M120)</f>
        <v/>
      </c>
      <c r="AB120" s="13">
        <f>IF(ROWS($AB$2:$AB120)&lt;=MAX('Per Line'!$AK$2:$AK$4001),MATCH(ROWS($AB$2:$AB120),'Per Line'!$AK$2:$AK$4001,0),"")</f>
        <v/>
      </c>
      <c r="AC120" s="14">
        <f>IF($AB120="","",M120-L120*Z120/100)</f>
        <v/>
      </c>
    </row>
    <row r="121">
      <c r="A121" s="12" t="n"/>
      <c r="B121">
        <f>IF($AB121="","",INDEX('Per Line'!$C$2:$C$4001,$AB121)&amp;"")</f>
        <v/>
      </c>
      <c r="C121">
        <f>IF($AB121="","",INDEX('Per Line'!$D$2:$D$4001,$AB121)&amp;"")</f>
        <v/>
      </c>
      <c r="D121">
        <f>IF($AB121="","",INDEX('Per Line'!$B$2:$B$4001,$AB121)&amp;"")</f>
        <v/>
      </c>
      <c r="E121">
        <f>IF($AB121="","",INDEX('Per Line'!$A$2:$A$4001,$AB121))</f>
        <v/>
      </c>
      <c r="F121" s="11">
        <f>IF($AB121="","",INDEX('Per Line'!$E$2:$E$4001,$AB121))</f>
        <v/>
      </c>
      <c r="G121">
        <f>IF($AB121="","",INDEX('Per Line'!$F$2:$F$4001,$AB121)&amp;"")</f>
        <v/>
      </c>
      <c r="H121">
        <f>IF($AB121="","",INDEX('Per Line'!$H$2:$H$4001,$AB121)&amp;"")</f>
        <v/>
      </c>
      <c r="I121">
        <f>IF($AB121="","",INDEX('Per Line'!$I$2:$I$4001,$AB121)&amp;"")</f>
        <v/>
      </c>
      <c r="J121">
        <f>IF($AB121="","",INDEX('Per Line'!$J$2:$J$4001,$AB121)&amp;"")</f>
        <v/>
      </c>
      <c r="K121">
        <f>IF($AB121="","",INDEX('Per Line'!$K$2:$K$4001,$AB121)&amp;"")</f>
        <v/>
      </c>
      <c r="L121">
        <f>IF($AB121="","",INDEX('Per Line'!$L$2:$L$4001,$AB121))</f>
        <v/>
      </c>
      <c r="M121" s="7">
        <f>IF($AB121="","",IF(AND(ISNUMBER(O121),O121&gt;0,Z121&gt;O121),L121*O121/100+(Z121-O121),L121*Z121/100))</f>
        <v/>
      </c>
      <c r="N121">
        <f>IF($AB121="","",INDEX('Per Line'!$V$2:$V$4001,$AB121)&amp;"")</f>
        <v/>
      </c>
      <c r="O121">
        <f>IF($AB121="","",INDEX('Per Line'!$Z$2:$Z$4001,$AB121))</f>
        <v/>
      </c>
      <c r="P121">
        <f>IF($AB121="","",IF(AND(ISNUMBER(O121),O121&gt;0),Z121&gt;O121,FALSE))</f>
        <v/>
      </c>
      <c r="Q121" s="7">
        <f>IF($AB121="","",SUMIFS('Per Line'!$U$2:$U$4001,'Per Line'!$C$2:$C$4001,$B121,'Per Line'!$AM$2:$AM$4001,1))</f>
        <v/>
      </c>
      <c r="R121">
        <f>IF($AB121="","",Settings!$C$7)</f>
        <v/>
      </c>
      <c r="S121" s="7">
        <f>IF($AB121="","",SUMIFS('Per Line'!$U$2:$U$4001,'Per Line'!$C$2:$C$4001,$B121,'Per Line'!$AL$2:$AL$4001,0,'Per Line'!$AM$2:$AM$4001,0))</f>
        <v/>
      </c>
      <c r="T121" s="7">
        <f>IF($AB121="","",S121*R121)</f>
        <v/>
      </c>
      <c r="U121">
        <f>IF($AB121="","",Settings!$C$6)</f>
        <v/>
      </c>
      <c r="V121" s="7">
        <f>IF($AB121="","",SUMIFS('Per Line'!$U$2:$U$4001,'Per Line'!$C$2:$C$4001,$B121,'Per Line'!$AL$2:$AL$4001,1,'Per Line'!$AM$2:$AM$4001,0))</f>
        <v/>
      </c>
      <c r="W121" s="7">
        <f>IF($AB121="","",V121*U121)</f>
        <v/>
      </c>
      <c r="X121" s="7">
        <f>IF($AB121="","",W121+T121)</f>
        <v/>
      </c>
      <c r="Y121" s="7">
        <f>IF($AB121="","",Z121-X121)</f>
        <v/>
      </c>
      <c r="Z121" s="7">
        <f>IF($AB121="","",S121+V121+Q121)</f>
        <v/>
      </c>
      <c r="AA121" s="7">
        <f>IF($AB121="","",Z121-X121-M121)</f>
        <v/>
      </c>
      <c r="AB121" s="13">
        <f>IF(ROWS($AB$2:$AB121)&lt;=MAX('Per Line'!$AK$2:$AK$4001),MATCH(ROWS($AB$2:$AB121),'Per Line'!$AK$2:$AK$4001,0),"")</f>
        <v/>
      </c>
      <c r="AC121" s="14">
        <f>IF($AB121="","",M121-L121*Z121/100)</f>
        <v/>
      </c>
    </row>
    <row r="122">
      <c r="A122" s="12" t="n"/>
      <c r="B122">
        <f>IF($AB122="","",INDEX('Per Line'!$C$2:$C$4001,$AB122)&amp;"")</f>
        <v/>
      </c>
      <c r="C122">
        <f>IF($AB122="","",INDEX('Per Line'!$D$2:$D$4001,$AB122)&amp;"")</f>
        <v/>
      </c>
      <c r="D122">
        <f>IF($AB122="","",INDEX('Per Line'!$B$2:$B$4001,$AB122)&amp;"")</f>
        <v/>
      </c>
      <c r="E122">
        <f>IF($AB122="","",INDEX('Per Line'!$A$2:$A$4001,$AB122))</f>
        <v/>
      </c>
      <c r="F122" s="11">
        <f>IF($AB122="","",INDEX('Per Line'!$E$2:$E$4001,$AB122))</f>
        <v/>
      </c>
      <c r="G122">
        <f>IF($AB122="","",INDEX('Per Line'!$F$2:$F$4001,$AB122)&amp;"")</f>
        <v/>
      </c>
      <c r="H122">
        <f>IF($AB122="","",INDEX('Per Line'!$H$2:$H$4001,$AB122)&amp;"")</f>
        <v/>
      </c>
      <c r="I122">
        <f>IF($AB122="","",INDEX('Per Line'!$I$2:$I$4001,$AB122)&amp;"")</f>
        <v/>
      </c>
      <c r="J122">
        <f>IF($AB122="","",INDEX('Per Line'!$J$2:$J$4001,$AB122)&amp;"")</f>
        <v/>
      </c>
      <c r="K122">
        <f>IF($AB122="","",INDEX('Per Line'!$K$2:$K$4001,$AB122)&amp;"")</f>
        <v/>
      </c>
      <c r="L122">
        <f>IF($AB122="","",INDEX('Per Line'!$L$2:$L$4001,$AB122))</f>
        <v/>
      </c>
      <c r="M122" s="7">
        <f>IF($AB122="","",IF(AND(ISNUMBER(O122),O122&gt;0,Z122&gt;O122),L122*O122/100+(Z122-O122),L122*Z122/100))</f>
        <v/>
      </c>
      <c r="N122">
        <f>IF($AB122="","",INDEX('Per Line'!$V$2:$V$4001,$AB122)&amp;"")</f>
        <v/>
      </c>
      <c r="O122">
        <f>IF($AB122="","",INDEX('Per Line'!$Z$2:$Z$4001,$AB122))</f>
        <v/>
      </c>
      <c r="P122">
        <f>IF($AB122="","",IF(AND(ISNUMBER(O122),O122&gt;0),Z122&gt;O122,FALSE))</f>
        <v/>
      </c>
      <c r="Q122" s="7">
        <f>IF($AB122="","",SUMIFS('Per Line'!$U$2:$U$4001,'Per Line'!$C$2:$C$4001,$B122,'Per Line'!$AM$2:$AM$4001,1))</f>
        <v/>
      </c>
      <c r="R122">
        <f>IF($AB122="","",Settings!$C$7)</f>
        <v/>
      </c>
      <c r="S122" s="7">
        <f>IF($AB122="","",SUMIFS('Per Line'!$U$2:$U$4001,'Per Line'!$C$2:$C$4001,$B122,'Per Line'!$AL$2:$AL$4001,0,'Per Line'!$AM$2:$AM$4001,0))</f>
        <v/>
      </c>
      <c r="T122" s="7">
        <f>IF($AB122="","",S122*R122)</f>
        <v/>
      </c>
      <c r="U122">
        <f>IF($AB122="","",Settings!$C$6)</f>
        <v/>
      </c>
      <c r="V122" s="7">
        <f>IF($AB122="","",SUMIFS('Per Line'!$U$2:$U$4001,'Per Line'!$C$2:$C$4001,$B122,'Per Line'!$AL$2:$AL$4001,1,'Per Line'!$AM$2:$AM$4001,0))</f>
        <v/>
      </c>
      <c r="W122" s="7">
        <f>IF($AB122="","",V122*U122)</f>
        <v/>
      </c>
      <c r="X122" s="7">
        <f>IF($AB122="","",W122+T122)</f>
        <v/>
      </c>
      <c r="Y122" s="7">
        <f>IF($AB122="","",Z122-X122)</f>
        <v/>
      </c>
      <c r="Z122" s="7">
        <f>IF($AB122="","",S122+V122+Q122)</f>
        <v/>
      </c>
      <c r="AA122" s="7">
        <f>IF($AB122="","",Z122-X122-M122)</f>
        <v/>
      </c>
      <c r="AB122" s="13">
        <f>IF(ROWS($AB$2:$AB122)&lt;=MAX('Per Line'!$AK$2:$AK$4001),MATCH(ROWS($AB$2:$AB122),'Per Line'!$AK$2:$AK$4001,0),"")</f>
        <v/>
      </c>
      <c r="AC122" s="14">
        <f>IF($AB122="","",M122-L122*Z122/100)</f>
        <v/>
      </c>
    </row>
    <row r="123">
      <c r="A123" s="12" t="n"/>
      <c r="B123">
        <f>IF($AB123="","",INDEX('Per Line'!$C$2:$C$4001,$AB123)&amp;"")</f>
        <v/>
      </c>
      <c r="C123">
        <f>IF($AB123="","",INDEX('Per Line'!$D$2:$D$4001,$AB123)&amp;"")</f>
        <v/>
      </c>
      <c r="D123">
        <f>IF($AB123="","",INDEX('Per Line'!$B$2:$B$4001,$AB123)&amp;"")</f>
        <v/>
      </c>
      <c r="E123">
        <f>IF($AB123="","",INDEX('Per Line'!$A$2:$A$4001,$AB123))</f>
        <v/>
      </c>
      <c r="F123" s="11">
        <f>IF($AB123="","",INDEX('Per Line'!$E$2:$E$4001,$AB123))</f>
        <v/>
      </c>
      <c r="G123">
        <f>IF($AB123="","",INDEX('Per Line'!$F$2:$F$4001,$AB123)&amp;"")</f>
        <v/>
      </c>
      <c r="H123">
        <f>IF($AB123="","",INDEX('Per Line'!$H$2:$H$4001,$AB123)&amp;"")</f>
        <v/>
      </c>
      <c r="I123">
        <f>IF($AB123="","",INDEX('Per Line'!$I$2:$I$4001,$AB123)&amp;"")</f>
        <v/>
      </c>
      <c r="J123">
        <f>IF($AB123="","",INDEX('Per Line'!$J$2:$J$4001,$AB123)&amp;"")</f>
        <v/>
      </c>
      <c r="K123">
        <f>IF($AB123="","",INDEX('Per Line'!$K$2:$K$4001,$AB123)&amp;"")</f>
        <v/>
      </c>
      <c r="L123">
        <f>IF($AB123="","",INDEX('Per Line'!$L$2:$L$4001,$AB123))</f>
        <v/>
      </c>
      <c r="M123" s="7">
        <f>IF($AB123="","",IF(AND(ISNUMBER(O123),O123&gt;0,Z123&gt;O123),L123*O123/100+(Z123-O123),L123*Z123/100))</f>
        <v/>
      </c>
      <c r="N123">
        <f>IF($AB123="","",INDEX('Per Line'!$V$2:$V$4001,$AB123)&amp;"")</f>
        <v/>
      </c>
      <c r="O123">
        <f>IF($AB123="","",INDEX('Per Line'!$Z$2:$Z$4001,$AB123))</f>
        <v/>
      </c>
      <c r="P123">
        <f>IF($AB123="","",IF(AND(ISNUMBER(O123),O123&gt;0),Z123&gt;O123,FALSE))</f>
        <v/>
      </c>
      <c r="Q123" s="7">
        <f>IF($AB123="","",SUMIFS('Per Line'!$U$2:$U$4001,'Per Line'!$C$2:$C$4001,$B123,'Per Line'!$AM$2:$AM$4001,1))</f>
        <v/>
      </c>
      <c r="R123">
        <f>IF($AB123="","",Settings!$C$7)</f>
        <v/>
      </c>
      <c r="S123" s="7">
        <f>IF($AB123="","",SUMIFS('Per Line'!$U$2:$U$4001,'Per Line'!$C$2:$C$4001,$B123,'Per Line'!$AL$2:$AL$4001,0,'Per Line'!$AM$2:$AM$4001,0))</f>
        <v/>
      </c>
      <c r="T123" s="7">
        <f>IF($AB123="","",S123*R123)</f>
        <v/>
      </c>
      <c r="U123">
        <f>IF($AB123="","",Settings!$C$6)</f>
        <v/>
      </c>
      <c r="V123" s="7">
        <f>IF($AB123="","",SUMIFS('Per Line'!$U$2:$U$4001,'Per Line'!$C$2:$C$4001,$B123,'Per Line'!$AL$2:$AL$4001,1,'Per Line'!$AM$2:$AM$4001,0))</f>
        <v/>
      </c>
      <c r="W123" s="7">
        <f>IF($AB123="","",V123*U123)</f>
        <v/>
      </c>
      <c r="X123" s="7">
        <f>IF($AB123="","",W123+T123)</f>
        <v/>
      </c>
      <c r="Y123" s="7">
        <f>IF($AB123="","",Z123-X123)</f>
        <v/>
      </c>
      <c r="Z123" s="7">
        <f>IF($AB123="","",S123+V123+Q123)</f>
        <v/>
      </c>
      <c r="AA123" s="7">
        <f>IF($AB123="","",Z123-X123-M123)</f>
        <v/>
      </c>
      <c r="AB123" s="13">
        <f>IF(ROWS($AB$2:$AB123)&lt;=MAX('Per Line'!$AK$2:$AK$4001),MATCH(ROWS($AB$2:$AB123),'Per Line'!$AK$2:$AK$4001,0),"")</f>
        <v/>
      </c>
      <c r="AC123" s="14">
        <f>IF($AB123="","",M123-L123*Z123/100)</f>
        <v/>
      </c>
    </row>
    <row r="124">
      <c r="A124" s="12" t="n"/>
      <c r="B124">
        <f>IF($AB124="","",INDEX('Per Line'!$C$2:$C$4001,$AB124)&amp;"")</f>
        <v/>
      </c>
      <c r="C124">
        <f>IF($AB124="","",INDEX('Per Line'!$D$2:$D$4001,$AB124)&amp;"")</f>
        <v/>
      </c>
      <c r="D124">
        <f>IF($AB124="","",INDEX('Per Line'!$B$2:$B$4001,$AB124)&amp;"")</f>
        <v/>
      </c>
      <c r="E124">
        <f>IF($AB124="","",INDEX('Per Line'!$A$2:$A$4001,$AB124))</f>
        <v/>
      </c>
      <c r="F124" s="11">
        <f>IF($AB124="","",INDEX('Per Line'!$E$2:$E$4001,$AB124))</f>
        <v/>
      </c>
      <c r="G124">
        <f>IF($AB124="","",INDEX('Per Line'!$F$2:$F$4001,$AB124)&amp;"")</f>
        <v/>
      </c>
      <c r="H124">
        <f>IF($AB124="","",INDEX('Per Line'!$H$2:$H$4001,$AB124)&amp;"")</f>
        <v/>
      </c>
      <c r="I124">
        <f>IF($AB124="","",INDEX('Per Line'!$I$2:$I$4001,$AB124)&amp;"")</f>
        <v/>
      </c>
      <c r="J124">
        <f>IF($AB124="","",INDEX('Per Line'!$J$2:$J$4001,$AB124)&amp;"")</f>
        <v/>
      </c>
      <c r="K124">
        <f>IF($AB124="","",INDEX('Per Line'!$K$2:$K$4001,$AB124)&amp;"")</f>
        <v/>
      </c>
      <c r="L124">
        <f>IF($AB124="","",INDEX('Per Line'!$L$2:$L$4001,$AB124))</f>
        <v/>
      </c>
      <c r="M124" s="7">
        <f>IF($AB124="","",IF(AND(ISNUMBER(O124),O124&gt;0,Z124&gt;O124),L124*O124/100+(Z124-O124),L124*Z124/100))</f>
        <v/>
      </c>
      <c r="N124">
        <f>IF($AB124="","",INDEX('Per Line'!$V$2:$V$4001,$AB124)&amp;"")</f>
        <v/>
      </c>
      <c r="O124">
        <f>IF($AB124="","",INDEX('Per Line'!$Z$2:$Z$4001,$AB124))</f>
        <v/>
      </c>
      <c r="P124">
        <f>IF($AB124="","",IF(AND(ISNUMBER(O124),O124&gt;0),Z124&gt;O124,FALSE))</f>
        <v/>
      </c>
      <c r="Q124" s="7">
        <f>IF($AB124="","",SUMIFS('Per Line'!$U$2:$U$4001,'Per Line'!$C$2:$C$4001,$B124,'Per Line'!$AM$2:$AM$4001,1))</f>
        <v/>
      </c>
      <c r="R124">
        <f>IF($AB124="","",Settings!$C$7)</f>
        <v/>
      </c>
      <c r="S124" s="7">
        <f>IF($AB124="","",SUMIFS('Per Line'!$U$2:$U$4001,'Per Line'!$C$2:$C$4001,$B124,'Per Line'!$AL$2:$AL$4001,0,'Per Line'!$AM$2:$AM$4001,0))</f>
        <v/>
      </c>
      <c r="T124" s="7">
        <f>IF($AB124="","",S124*R124)</f>
        <v/>
      </c>
      <c r="U124">
        <f>IF($AB124="","",Settings!$C$6)</f>
        <v/>
      </c>
      <c r="V124" s="7">
        <f>IF($AB124="","",SUMIFS('Per Line'!$U$2:$U$4001,'Per Line'!$C$2:$C$4001,$B124,'Per Line'!$AL$2:$AL$4001,1,'Per Line'!$AM$2:$AM$4001,0))</f>
        <v/>
      </c>
      <c r="W124" s="7">
        <f>IF($AB124="","",V124*U124)</f>
        <v/>
      </c>
      <c r="X124" s="7">
        <f>IF($AB124="","",W124+T124)</f>
        <v/>
      </c>
      <c r="Y124" s="7">
        <f>IF($AB124="","",Z124-X124)</f>
        <v/>
      </c>
      <c r="Z124" s="7">
        <f>IF($AB124="","",S124+V124+Q124)</f>
        <v/>
      </c>
      <c r="AA124" s="7">
        <f>IF($AB124="","",Z124-X124-M124)</f>
        <v/>
      </c>
      <c r="AB124" s="13">
        <f>IF(ROWS($AB$2:$AB124)&lt;=MAX('Per Line'!$AK$2:$AK$4001),MATCH(ROWS($AB$2:$AB124),'Per Line'!$AK$2:$AK$4001,0),"")</f>
        <v/>
      </c>
      <c r="AC124" s="14">
        <f>IF($AB124="","",M124-L124*Z124/100)</f>
        <v/>
      </c>
    </row>
    <row r="125">
      <c r="A125" s="12" t="n"/>
      <c r="B125">
        <f>IF($AB125="","",INDEX('Per Line'!$C$2:$C$4001,$AB125)&amp;"")</f>
        <v/>
      </c>
      <c r="C125">
        <f>IF($AB125="","",INDEX('Per Line'!$D$2:$D$4001,$AB125)&amp;"")</f>
        <v/>
      </c>
      <c r="D125">
        <f>IF($AB125="","",INDEX('Per Line'!$B$2:$B$4001,$AB125)&amp;"")</f>
        <v/>
      </c>
      <c r="E125">
        <f>IF($AB125="","",INDEX('Per Line'!$A$2:$A$4001,$AB125))</f>
        <v/>
      </c>
      <c r="F125" s="11">
        <f>IF($AB125="","",INDEX('Per Line'!$E$2:$E$4001,$AB125))</f>
        <v/>
      </c>
      <c r="G125">
        <f>IF($AB125="","",INDEX('Per Line'!$F$2:$F$4001,$AB125)&amp;"")</f>
        <v/>
      </c>
      <c r="H125">
        <f>IF($AB125="","",INDEX('Per Line'!$H$2:$H$4001,$AB125)&amp;"")</f>
        <v/>
      </c>
      <c r="I125">
        <f>IF($AB125="","",INDEX('Per Line'!$I$2:$I$4001,$AB125)&amp;"")</f>
        <v/>
      </c>
      <c r="J125">
        <f>IF($AB125="","",INDEX('Per Line'!$J$2:$J$4001,$AB125)&amp;"")</f>
        <v/>
      </c>
      <c r="K125">
        <f>IF($AB125="","",INDEX('Per Line'!$K$2:$K$4001,$AB125)&amp;"")</f>
        <v/>
      </c>
      <c r="L125">
        <f>IF($AB125="","",INDEX('Per Line'!$L$2:$L$4001,$AB125))</f>
        <v/>
      </c>
      <c r="M125" s="7">
        <f>IF($AB125="","",IF(AND(ISNUMBER(O125),O125&gt;0,Z125&gt;O125),L125*O125/100+(Z125-O125),L125*Z125/100))</f>
        <v/>
      </c>
      <c r="N125">
        <f>IF($AB125="","",INDEX('Per Line'!$V$2:$V$4001,$AB125)&amp;"")</f>
        <v/>
      </c>
      <c r="O125">
        <f>IF($AB125="","",INDEX('Per Line'!$Z$2:$Z$4001,$AB125))</f>
        <v/>
      </c>
      <c r="P125">
        <f>IF($AB125="","",IF(AND(ISNUMBER(O125),O125&gt;0),Z125&gt;O125,FALSE))</f>
        <v/>
      </c>
      <c r="Q125" s="7">
        <f>IF($AB125="","",SUMIFS('Per Line'!$U$2:$U$4001,'Per Line'!$C$2:$C$4001,$B125,'Per Line'!$AM$2:$AM$4001,1))</f>
        <v/>
      </c>
      <c r="R125">
        <f>IF($AB125="","",Settings!$C$7)</f>
        <v/>
      </c>
      <c r="S125" s="7">
        <f>IF($AB125="","",SUMIFS('Per Line'!$U$2:$U$4001,'Per Line'!$C$2:$C$4001,$B125,'Per Line'!$AL$2:$AL$4001,0,'Per Line'!$AM$2:$AM$4001,0))</f>
        <v/>
      </c>
      <c r="T125" s="7">
        <f>IF($AB125="","",S125*R125)</f>
        <v/>
      </c>
      <c r="U125">
        <f>IF($AB125="","",Settings!$C$6)</f>
        <v/>
      </c>
      <c r="V125" s="7">
        <f>IF($AB125="","",SUMIFS('Per Line'!$U$2:$U$4001,'Per Line'!$C$2:$C$4001,$B125,'Per Line'!$AL$2:$AL$4001,1,'Per Line'!$AM$2:$AM$4001,0))</f>
        <v/>
      </c>
      <c r="W125" s="7">
        <f>IF($AB125="","",V125*U125)</f>
        <v/>
      </c>
      <c r="X125" s="7">
        <f>IF($AB125="","",W125+T125)</f>
        <v/>
      </c>
      <c r="Y125" s="7">
        <f>IF($AB125="","",Z125-X125)</f>
        <v/>
      </c>
      <c r="Z125" s="7">
        <f>IF($AB125="","",S125+V125+Q125)</f>
        <v/>
      </c>
      <c r="AA125" s="7">
        <f>IF($AB125="","",Z125-X125-M125)</f>
        <v/>
      </c>
      <c r="AB125" s="13">
        <f>IF(ROWS($AB$2:$AB125)&lt;=MAX('Per Line'!$AK$2:$AK$4001),MATCH(ROWS($AB$2:$AB125),'Per Line'!$AK$2:$AK$4001,0),"")</f>
        <v/>
      </c>
      <c r="AC125" s="14">
        <f>IF($AB125="","",M125-L125*Z125/100)</f>
        <v/>
      </c>
    </row>
    <row r="126">
      <c r="A126" s="12" t="n"/>
      <c r="B126">
        <f>IF($AB126="","",INDEX('Per Line'!$C$2:$C$4001,$AB126)&amp;"")</f>
        <v/>
      </c>
      <c r="C126">
        <f>IF($AB126="","",INDEX('Per Line'!$D$2:$D$4001,$AB126)&amp;"")</f>
        <v/>
      </c>
      <c r="D126">
        <f>IF($AB126="","",INDEX('Per Line'!$B$2:$B$4001,$AB126)&amp;"")</f>
        <v/>
      </c>
      <c r="E126">
        <f>IF($AB126="","",INDEX('Per Line'!$A$2:$A$4001,$AB126))</f>
        <v/>
      </c>
      <c r="F126" s="11">
        <f>IF($AB126="","",INDEX('Per Line'!$E$2:$E$4001,$AB126))</f>
        <v/>
      </c>
      <c r="G126">
        <f>IF($AB126="","",INDEX('Per Line'!$F$2:$F$4001,$AB126)&amp;"")</f>
        <v/>
      </c>
      <c r="H126">
        <f>IF($AB126="","",INDEX('Per Line'!$H$2:$H$4001,$AB126)&amp;"")</f>
        <v/>
      </c>
      <c r="I126">
        <f>IF($AB126="","",INDEX('Per Line'!$I$2:$I$4001,$AB126)&amp;"")</f>
        <v/>
      </c>
      <c r="J126">
        <f>IF($AB126="","",INDEX('Per Line'!$J$2:$J$4001,$AB126)&amp;"")</f>
        <v/>
      </c>
      <c r="K126">
        <f>IF($AB126="","",INDEX('Per Line'!$K$2:$K$4001,$AB126)&amp;"")</f>
        <v/>
      </c>
      <c r="L126">
        <f>IF($AB126="","",INDEX('Per Line'!$L$2:$L$4001,$AB126))</f>
        <v/>
      </c>
      <c r="M126" s="7">
        <f>IF($AB126="","",IF(AND(ISNUMBER(O126),O126&gt;0,Z126&gt;O126),L126*O126/100+(Z126-O126),L126*Z126/100))</f>
        <v/>
      </c>
      <c r="N126">
        <f>IF($AB126="","",INDEX('Per Line'!$V$2:$V$4001,$AB126)&amp;"")</f>
        <v/>
      </c>
      <c r="O126">
        <f>IF($AB126="","",INDEX('Per Line'!$Z$2:$Z$4001,$AB126))</f>
        <v/>
      </c>
      <c r="P126">
        <f>IF($AB126="","",IF(AND(ISNUMBER(O126),O126&gt;0),Z126&gt;O126,FALSE))</f>
        <v/>
      </c>
      <c r="Q126" s="7">
        <f>IF($AB126="","",SUMIFS('Per Line'!$U$2:$U$4001,'Per Line'!$C$2:$C$4001,$B126,'Per Line'!$AM$2:$AM$4001,1))</f>
        <v/>
      </c>
      <c r="R126">
        <f>IF($AB126="","",Settings!$C$7)</f>
        <v/>
      </c>
      <c r="S126" s="7">
        <f>IF($AB126="","",SUMIFS('Per Line'!$U$2:$U$4001,'Per Line'!$C$2:$C$4001,$B126,'Per Line'!$AL$2:$AL$4001,0,'Per Line'!$AM$2:$AM$4001,0))</f>
        <v/>
      </c>
      <c r="T126" s="7">
        <f>IF($AB126="","",S126*R126)</f>
        <v/>
      </c>
      <c r="U126">
        <f>IF($AB126="","",Settings!$C$6)</f>
        <v/>
      </c>
      <c r="V126" s="7">
        <f>IF($AB126="","",SUMIFS('Per Line'!$U$2:$U$4001,'Per Line'!$C$2:$C$4001,$B126,'Per Line'!$AL$2:$AL$4001,1,'Per Line'!$AM$2:$AM$4001,0))</f>
        <v/>
      </c>
      <c r="W126" s="7">
        <f>IF($AB126="","",V126*U126)</f>
        <v/>
      </c>
      <c r="X126" s="7">
        <f>IF($AB126="","",W126+T126)</f>
        <v/>
      </c>
      <c r="Y126" s="7">
        <f>IF($AB126="","",Z126-X126)</f>
        <v/>
      </c>
      <c r="Z126" s="7">
        <f>IF($AB126="","",S126+V126+Q126)</f>
        <v/>
      </c>
      <c r="AA126" s="7">
        <f>IF($AB126="","",Z126-X126-M126)</f>
        <v/>
      </c>
      <c r="AB126" s="13">
        <f>IF(ROWS($AB$2:$AB126)&lt;=MAX('Per Line'!$AK$2:$AK$4001),MATCH(ROWS($AB$2:$AB126),'Per Line'!$AK$2:$AK$4001,0),"")</f>
        <v/>
      </c>
      <c r="AC126" s="14">
        <f>IF($AB126="","",M126-L126*Z126/100)</f>
        <v/>
      </c>
    </row>
    <row r="127">
      <c r="A127" s="12" t="n"/>
      <c r="B127">
        <f>IF($AB127="","",INDEX('Per Line'!$C$2:$C$4001,$AB127)&amp;"")</f>
        <v/>
      </c>
      <c r="C127">
        <f>IF($AB127="","",INDEX('Per Line'!$D$2:$D$4001,$AB127)&amp;"")</f>
        <v/>
      </c>
      <c r="D127">
        <f>IF($AB127="","",INDEX('Per Line'!$B$2:$B$4001,$AB127)&amp;"")</f>
        <v/>
      </c>
      <c r="E127">
        <f>IF($AB127="","",INDEX('Per Line'!$A$2:$A$4001,$AB127))</f>
        <v/>
      </c>
      <c r="F127" s="11">
        <f>IF($AB127="","",INDEX('Per Line'!$E$2:$E$4001,$AB127))</f>
        <v/>
      </c>
      <c r="G127">
        <f>IF($AB127="","",INDEX('Per Line'!$F$2:$F$4001,$AB127)&amp;"")</f>
        <v/>
      </c>
      <c r="H127">
        <f>IF($AB127="","",INDEX('Per Line'!$H$2:$H$4001,$AB127)&amp;"")</f>
        <v/>
      </c>
      <c r="I127">
        <f>IF($AB127="","",INDEX('Per Line'!$I$2:$I$4001,$AB127)&amp;"")</f>
        <v/>
      </c>
      <c r="J127">
        <f>IF($AB127="","",INDEX('Per Line'!$J$2:$J$4001,$AB127)&amp;"")</f>
        <v/>
      </c>
      <c r="K127">
        <f>IF($AB127="","",INDEX('Per Line'!$K$2:$K$4001,$AB127)&amp;"")</f>
        <v/>
      </c>
      <c r="L127">
        <f>IF($AB127="","",INDEX('Per Line'!$L$2:$L$4001,$AB127))</f>
        <v/>
      </c>
      <c r="M127" s="7">
        <f>IF($AB127="","",IF(AND(ISNUMBER(O127),O127&gt;0,Z127&gt;O127),L127*O127/100+(Z127-O127),L127*Z127/100))</f>
        <v/>
      </c>
      <c r="N127">
        <f>IF($AB127="","",INDEX('Per Line'!$V$2:$V$4001,$AB127)&amp;"")</f>
        <v/>
      </c>
      <c r="O127">
        <f>IF($AB127="","",INDEX('Per Line'!$Z$2:$Z$4001,$AB127))</f>
        <v/>
      </c>
      <c r="P127">
        <f>IF($AB127="","",IF(AND(ISNUMBER(O127),O127&gt;0),Z127&gt;O127,FALSE))</f>
        <v/>
      </c>
      <c r="Q127" s="7">
        <f>IF($AB127="","",SUMIFS('Per Line'!$U$2:$U$4001,'Per Line'!$C$2:$C$4001,$B127,'Per Line'!$AM$2:$AM$4001,1))</f>
        <v/>
      </c>
      <c r="R127">
        <f>IF($AB127="","",Settings!$C$7)</f>
        <v/>
      </c>
      <c r="S127" s="7">
        <f>IF($AB127="","",SUMIFS('Per Line'!$U$2:$U$4001,'Per Line'!$C$2:$C$4001,$B127,'Per Line'!$AL$2:$AL$4001,0,'Per Line'!$AM$2:$AM$4001,0))</f>
        <v/>
      </c>
      <c r="T127" s="7">
        <f>IF($AB127="","",S127*R127)</f>
        <v/>
      </c>
      <c r="U127">
        <f>IF($AB127="","",Settings!$C$6)</f>
        <v/>
      </c>
      <c r="V127" s="7">
        <f>IF($AB127="","",SUMIFS('Per Line'!$U$2:$U$4001,'Per Line'!$C$2:$C$4001,$B127,'Per Line'!$AL$2:$AL$4001,1,'Per Line'!$AM$2:$AM$4001,0))</f>
        <v/>
      </c>
      <c r="W127" s="7">
        <f>IF($AB127="","",V127*U127)</f>
        <v/>
      </c>
      <c r="X127" s="7">
        <f>IF($AB127="","",W127+T127)</f>
        <v/>
      </c>
      <c r="Y127" s="7">
        <f>IF($AB127="","",Z127-X127)</f>
        <v/>
      </c>
      <c r="Z127" s="7">
        <f>IF($AB127="","",S127+V127+Q127)</f>
        <v/>
      </c>
      <c r="AA127" s="7">
        <f>IF($AB127="","",Z127-X127-M127)</f>
        <v/>
      </c>
      <c r="AB127" s="13">
        <f>IF(ROWS($AB$2:$AB127)&lt;=MAX('Per Line'!$AK$2:$AK$4001),MATCH(ROWS($AB$2:$AB127),'Per Line'!$AK$2:$AK$4001,0),"")</f>
        <v/>
      </c>
      <c r="AC127" s="14">
        <f>IF($AB127="","",M127-L127*Z127/100)</f>
        <v/>
      </c>
    </row>
    <row r="128">
      <c r="A128" s="12" t="n"/>
      <c r="B128">
        <f>IF($AB128="","",INDEX('Per Line'!$C$2:$C$4001,$AB128)&amp;"")</f>
        <v/>
      </c>
      <c r="C128">
        <f>IF($AB128="","",INDEX('Per Line'!$D$2:$D$4001,$AB128)&amp;"")</f>
        <v/>
      </c>
      <c r="D128">
        <f>IF($AB128="","",INDEX('Per Line'!$B$2:$B$4001,$AB128)&amp;"")</f>
        <v/>
      </c>
      <c r="E128">
        <f>IF($AB128="","",INDEX('Per Line'!$A$2:$A$4001,$AB128))</f>
        <v/>
      </c>
      <c r="F128" s="11">
        <f>IF($AB128="","",INDEX('Per Line'!$E$2:$E$4001,$AB128))</f>
        <v/>
      </c>
      <c r="G128">
        <f>IF($AB128="","",INDEX('Per Line'!$F$2:$F$4001,$AB128)&amp;"")</f>
        <v/>
      </c>
      <c r="H128">
        <f>IF($AB128="","",INDEX('Per Line'!$H$2:$H$4001,$AB128)&amp;"")</f>
        <v/>
      </c>
      <c r="I128">
        <f>IF($AB128="","",INDEX('Per Line'!$I$2:$I$4001,$AB128)&amp;"")</f>
        <v/>
      </c>
      <c r="J128">
        <f>IF($AB128="","",INDEX('Per Line'!$J$2:$J$4001,$AB128)&amp;"")</f>
        <v/>
      </c>
      <c r="K128">
        <f>IF($AB128="","",INDEX('Per Line'!$K$2:$K$4001,$AB128)&amp;"")</f>
        <v/>
      </c>
      <c r="L128">
        <f>IF($AB128="","",INDEX('Per Line'!$L$2:$L$4001,$AB128))</f>
        <v/>
      </c>
      <c r="M128" s="7">
        <f>IF($AB128="","",IF(AND(ISNUMBER(O128),O128&gt;0,Z128&gt;O128),L128*O128/100+(Z128-O128),L128*Z128/100))</f>
        <v/>
      </c>
      <c r="N128">
        <f>IF($AB128="","",INDEX('Per Line'!$V$2:$V$4001,$AB128)&amp;"")</f>
        <v/>
      </c>
      <c r="O128">
        <f>IF($AB128="","",INDEX('Per Line'!$Z$2:$Z$4001,$AB128))</f>
        <v/>
      </c>
      <c r="P128">
        <f>IF($AB128="","",IF(AND(ISNUMBER(O128),O128&gt;0),Z128&gt;O128,FALSE))</f>
        <v/>
      </c>
      <c r="Q128" s="7">
        <f>IF($AB128="","",SUMIFS('Per Line'!$U$2:$U$4001,'Per Line'!$C$2:$C$4001,$B128,'Per Line'!$AM$2:$AM$4001,1))</f>
        <v/>
      </c>
      <c r="R128">
        <f>IF($AB128="","",Settings!$C$7)</f>
        <v/>
      </c>
      <c r="S128" s="7">
        <f>IF($AB128="","",SUMIFS('Per Line'!$U$2:$U$4001,'Per Line'!$C$2:$C$4001,$B128,'Per Line'!$AL$2:$AL$4001,0,'Per Line'!$AM$2:$AM$4001,0))</f>
        <v/>
      </c>
      <c r="T128" s="7">
        <f>IF($AB128="","",S128*R128)</f>
        <v/>
      </c>
      <c r="U128">
        <f>IF($AB128="","",Settings!$C$6)</f>
        <v/>
      </c>
      <c r="V128" s="7">
        <f>IF($AB128="","",SUMIFS('Per Line'!$U$2:$U$4001,'Per Line'!$C$2:$C$4001,$B128,'Per Line'!$AL$2:$AL$4001,1,'Per Line'!$AM$2:$AM$4001,0))</f>
        <v/>
      </c>
      <c r="W128" s="7">
        <f>IF($AB128="","",V128*U128)</f>
        <v/>
      </c>
      <c r="X128" s="7">
        <f>IF($AB128="","",W128+T128)</f>
        <v/>
      </c>
      <c r="Y128" s="7">
        <f>IF($AB128="","",Z128-X128)</f>
        <v/>
      </c>
      <c r="Z128" s="7">
        <f>IF($AB128="","",S128+V128+Q128)</f>
        <v/>
      </c>
      <c r="AA128" s="7">
        <f>IF($AB128="","",Z128-X128-M128)</f>
        <v/>
      </c>
      <c r="AB128" s="13">
        <f>IF(ROWS($AB$2:$AB128)&lt;=MAX('Per Line'!$AK$2:$AK$4001),MATCH(ROWS($AB$2:$AB128),'Per Line'!$AK$2:$AK$4001,0),"")</f>
        <v/>
      </c>
      <c r="AC128" s="14">
        <f>IF($AB128="","",M128-L128*Z128/100)</f>
        <v/>
      </c>
    </row>
    <row r="129">
      <c r="A129" s="12" t="n"/>
      <c r="B129">
        <f>IF($AB129="","",INDEX('Per Line'!$C$2:$C$4001,$AB129)&amp;"")</f>
        <v/>
      </c>
      <c r="C129">
        <f>IF($AB129="","",INDEX('Per Line'!$D$2:$D$4001,$AB129)&amp;"")</f>
        <v/>
      </c>
      <c r="D129">
        <f>IF($AB129="","",INDEX('Per Line'!$B$2:$B$4001,$AB129)&amp;"")</f>
        <v/>
      </c>
      <c r="E129">
        <f>IF($AB129="","",INDEX('Per Line'!$A$2:$A$4001,$AB129))</f>
        <v/>
      </c>
      <c r="F129" s="11">
        <f>IF($AB129="","",INDEX('Per Line'!$E$2:$E$4001,$AB129))</f>
        <v/>
      </c>
      <c r="G129">
        <f>IF($AB129="","",INDEX('Per Line'!$F$2:$F$4001,$AB129)&amp;"")</f>
        <v/>
      </c>
      <c r="H129">
        <f>IF($AB129="","",INDEX('Per Line'!$H$2:$H$4001,$AB129)&amp;"")</f>
        <v/>
      </c>
      <c r="I129">
        <f>IF($AB129="","",INDEX('Per Line'!$I$2:$I$4001,$AB129)&amp;"")</f>
        <v/>
      </c>
      <c r="J129">
        <f>IF($AB129="","",INDEX('Per Line'!$J$2:$J$4001,$AB129)&amp;"")</f>
        <v/>
      </c>
      <c r="K129">
        <f>IF($AB129="","",INDEX('Per Line'!$K$2:$K$4001,$AB129)&amp;"")</f>
        <v/>
      </c>
      <c r="L129">
        <f>IF($AB129="","",INDEX('Per Line'!$L$2:$L$4001,$AB129))</f>
        <v/>
      </c>
      <c r="M129" s="7">
        <f>IF($AB129="","",IF(AND(ISNUMBER(O129),O129&gt;0,Z129&gt;O129),L129*O129/100+(Z129-O129),L129*Z129/100))</f>
        <v/>
      </c>
      <c r="N129">
        <f>IF($AB129="","",INDEX('Per Line'!$V$2:$V$4001,$AB129)&amp;"")</f>
        <v/>
      </c>
      <c r="O129">
        <f>IF($AB129="","",INDEX('Per Line'!$Z$2:$Z$4001,$AB129))</f>
        <v/>
      </c>
      <c r="P129">
        <f>IF($AB129="","",IF(AND(ISNUMBER(O129),O129&gt;0),Z129&gt;O129,FALSE))</f>
        <v/>
      </c>
      <c r="Q129" s="7">
        <f>IF($AB129="","",SUMIFS('Per Line'!$U$2:$U$4001,'Per Line'!$C$2:$C$4001,$B129,'Per Line'!$AM$2:$AM$4001,1))</f>
        <v/>
      </c>
      <c r="R129">
        <f>IF($AB129="","",Settings!$C$7)</f>
        <v/>
      </c>
      <c r="S129" s="7">
        <f>IF($AB129="","",SUMIFS('Per Line'!$U$2:$U$4001,'Per Line'!$C$2:$C$4001,$B129,'Per Line'!$AL$2:$AL$4001,0,'Per Line'!$AM$2:$AM$4001,0))</f>
        <v/>
      </c>
      <c r="T129" s="7">
        <f>IF($AB129="","",S129*R129)</f>
        <v/>
      </c>
      <c r="U129">
        <f>IF($AB129="","",Settings!$C$6)</f>
        <v/>
      </c>
      <c r="V129" s="7">
        <f>IF($AB129="","",SUMIFS('Per Line'!$U$2:$U$4001,'Per Line'!$C$2:$C$4001,$B129,'Per Line'!$AL$2:$AL$4001,1,'Per Line'!$AM$2:$AM$4001,0))</f>
        <v/>
      </c>
      <c r="W129" s="7">
        <f>IF($AB129="","",V129*U129)</f>
        <v/>
      </c>
      <c r="X129" s="7">
        <f>IF($AB129="","",W129+T129)</f>
        <v/>
      </c>
      <c r="Y129" s="7">
        <f>IF($AB129="","",Z129-X129)</f>
        <v/>
      </c>
      <c r="Z129" s="7">
        <f>IF($AB129="","",S129+V129+Q129)</f>
        <v/>
      </c>
      <c r="AA129" s="7">
        <f>IF($AB129="","",Z129-X129-M129)</f>
        <v/>
      </c>
      <c r="AB129" s="13">
        <f>IF(ROWS($AB$2:$AB129)&lt;=MAX('Per Line'!$AK$2:$AK$4001),MATCH(ROWS($AB$2:$AB129),'Per Line'!$AK$2:$AK$4001,0),"")</f>
        <v/>
      </c>
      <c r="AC129" s="14">
        <f>IF($AB129="","",M129-L129*Z129/100)</f>
        <v/>
      </c>
    </row>
    <row r="130">
      <c r="A130" s="12" t="n"/>
      <c r="B130">
        <f>IF($AB130="","",INDEX('Per Line'!$C$2:$C$4001,$AB130)&amp;"")</f>
        <v/>
      </c>
      <c r="C130">
        <f>IF($AB130="","",INDEX('Per Line'!$D$2:$D$4001,$AB130)&amp;"")</f>
        <v/>
      </c>
      <c r="D130">
        <f>IF($AB130="","",INDEX('Per Line'!$B$2:$B$4001,$AB130)&amp;"")</f>
        <v/>
      </c>
      <c r="E130">
        <f>IF($AB130="","",INDEX('Per Line'!$A$2:$A$4001,$AB130))</f>
        <v/>
      </c>
      <c r="F130" s="11">
        <f>IF($AB130="","",INDEX('Per Line'!$E$2:$E$4001,$AB130))</f>
        <v/>
      </c>
      <c r="G130">
        <f>IF($AB130="","",INDEX('Per Line'!$F$2:$F$4001,$AB130)&amp;"")</f>
        <v/>
      </c>
      <c r="H130">
        <f>IF($AB130="","",INDEX('Per Line'!$H$2:$H$4001,$AB130)&amp;"")</f>
        <v/>
      </c>
      <c r="I130">
        <f>IF($AB130="","",INDEX('Per Line'!$I$2:$I$4001,$AB130)&amp;"")</f>
        <v/>
      </c>
      <c r="J130">
        <f>IF($AB130="","",INDEX('Per Line'!$J$2:$J$4001,$AB130)&amp;"")</f>
        <v/>
      </c>
      <c r="K130">
        <f>IF($AB130="","",INDEX('Per Line'!$K$2:$K$4001,$AB130)&amp;"")</f>
        <v/>
      </c>
      <c r="L130">
        <f>IF($AB130="","",INDEX('Per Line'!$L$2:$L$4001,$AB130))</f>
        <v/>
      </c>
      <c r="M130" s="7">
        <f>IF($AB130="","",IF(AND(ISNUMBER(O130),O130&gt;0,Z130&gt;O130),L130*O130/100+(Z130-O130),L130*Z130/100))</f>
        <v/>
      </c>
      <c r="N130">
        <f>IF($AB130="","",INDEX('Per Line'!$V$2:$V$4001,$AB130)&amp;"")</f>
        <v/>
      </c>
      <c r="O130">
        <f>IF($AB130="","",INDEX('Per Line'!$Z$2:$Z$4001,$AB130))</f>
        <v/>
      </c>
      <c r="P130">
        <f>IF($AB130="","",IF(AND(ISNUMBER(O130),O130&gt;0),Z130&gt;O130,FALSE))</f>
        <v/>
      </c>
      <c r="Q130" s="7">
        <f>IF($AB130="","",SUMIFS('Per Line'!$U$2:$U$4001,'Per Line'!$C$2:$C$4001,$B130,'Per Line'!$AM$2:$AM$4001,1))</f>
        <v/>
      </c>
      <c r="R130">
        <f>IF($AB130="","",Settings!$C$7)</f>
        <v/>
      </c>
      <c r="S130" s="7">
        <f>IF($AB130="","",SUMIFS('Per Line'!$U$2:$U$4001,'Per Line'!$C$2:$C$4001,$B130,'Per Line'!$AL$2:$AL$4001,0,'Per Line'!$AM$2:$AM$4001,0))</f>
        <v/>
      </c>
      <c r="T130" s="7">
        <f>IF($AB130="","",S130*R130)</f>
        <v/>
      </c>
      <c r="U130">
        <f>IF($AB130="","",Settings!$C$6)</f>
        <v/>
      </c>
      <c r="V130" s="7">
        <f>IF($AB130="","",SUMIFS('Per Line'!$U$2:$U$4001,'Per Line'!$C$2:$C$4001,$B130,'Per Line'!$AL$2:$AL$4001,1,'Per Line'!$AM$2:$AM$4001,0))</f>
        <v/>
      </c>
      <c r="W130" s="7">
        <f>IF($AB130="","",V130*U130)</f>
        <v/>
      </c>
      <c r="X130" s="7">
        <f>IF($AB130="","",W130+T130)</f>
        <v/>
      </c>
      <c r="Y130" s="7">
        <f>IF($AB130="","",Z130-X130)</f>
        <v/>
      </c>
      <c r="Z130" s="7">
        <f>IF($AB130="","",S130+V130+Q130)</f>
        <v/>
      </c>
      <c r="AA130" s="7">
        <f>IF($AB130="","",Z130-X130-M130)</f>
        <v/>
      </c>
      <c r="AB130" s="13">
        <f>IF(ROWS($AB$2:$AB130)&lt;=MAX('Per Line'!$AK$2:$AK$4001),MATCH(ROWS($AB$2:$AB130),'Per Line'!$AK$2:$AK$4001,0),"")</f>
        <v/>
      </c>
      <c r="AC130" s="14">
        <f>IF($AB130="","",M130-L130*Z130/100)</f>
        <v/>
      </c>
    </row>
    <row r="131">
      <c r="A131" s="12" t="n"/>
      <c r="B131">
        <f>IF($AB131="","",INDEX('Per Line'!$C$2:$C$4001,$AB131)&amp;"")</f>
        <v/>
      </c>
      <c r="C131">
        <f>IF($AB131="","",INDEX('Per Line'!$D$2:$D$4001,$AB131)&amp;"")</f>
        <v/>
      </c>
      <c r="D131">
        <f>IF($AB131="","",INDEX('Per Line'!$B$2:$B$4001,$AB131)&amp;"")</f>
        <v/>
      </c>
      <c r="E131">
        <f>IF($AB131="","",INDEX('Per Line'!$A$2:$A$4001,$AB131))</f>
        <v/>
      </c>
      <c r="F131" s="11">
        <f>IF($AB131="","",INDEX('Per Line'!$E$2:$E$4001,$AB131))</f>
        <v/>
      </c>
      <c r="G131">
        <f>IF($AB131="","",INDEX('Per Line'!$F$2:$F$4001,$AB131)&amp;"")</f>
        <v/>
      </c>
      <c r="H131">
        <f>IF($AB131="","",INDEX('Per Line'!$H$2:$H$4001,$AB131)&amp;"")</f>
        <v/>
      </c>
      <c r="I131">
        <f>IF($AB131="","",INDEX('Per Line'!$I$2:$I$4001,$AB131)&amp;"")</f>
        <v/>
      </c>
      <c r="J131">
        <f>IF($AB131="","",INDEX('Per Line'!$J$2:$J$4001,$AB131)&amp;"")</f>
        <v/>
      </c>
      <c r="K131">
        <f>IF($AB131="","",INDEX('Per Line'!$K$2:$K$4001,$AB131)&amp;"")</f>
        <v/>
      </c>
      <c r="L131">
        <f>IF($AB131="","",INDEX('Per Line'!$L$2:$L$4001,$AB131))</f>
        <v/>
      </c>
      <c r="M131" s="7">
        <f>IF($AB131="","",IF(AND(ISNUMBER(O131),O131&gt;0,Z131&gt;O131),L131*O131/100+(Z131-O131),L131*Z131/100))</f>
        <v/>
      </c>
      <c r="N131">
        <f>IF($AB131="","",INDEX('Per Line'!$V$2:$V$4001,$AB131)&amp;"")</f>
        <v/>
      </c>
      <c r="O131">
        <f>IF($AB131="","",INDEX('Per Line'!$Z$2:$Z$4001,$AB131))</f>
        <v/>
      </c>
      <c r="P131">
        <f>IF($AB131="","",IF(AND(ISNUMBER(O131),O131&gt;0),Z131&gt;O131,FALSE))</f>
        <v/>
      </c>
      <c r="Q131" s="7">
        <f>IF($AB131="","",SUMIFS('Per Line'!$U$2:$U$4001,'Per Line'!$C$2:$C$4001,$B131,'Per Line'!$AM$2:$AM$4001,1))</f>
        <v/>
      </c>
      <c r="R131">
        <f>IF($AB131="","",Settings!$C$7)</f>
        <v/>
      </c>
      <c r="S131" s="7">
        <f>IF($AB131="","",SUMIFS('Per Line'!$U$2:$U$4001,'Per Line'!$C$2:$C$4001,$B131,'Per Line'!$AL$2:$AL$4001,0,'Per Line'!$AM$2:$AM$4001,0))</f>
        <v/>
      </c>
      <c r="T131" s="7">
        <f>IF($AB131="","",S131*R131)</f>
        <v/>
      </c>
      <c r="U131">
        <f>IF($AB131="","",Settings!$C$6)</f>
        <v/>
      </c>
      <c r="V131" s="7">
        <f>IF($AB131="","",SUMIFS('Per Line'!$U$2:$U$4001,'Per Line'!$C$2:$C$4001,$B131,'Per Line'!$AL$2:$AL$4001,1,'Per Line'!$AM$2:$AM$4001,0))</f>
        <v/>
      </c>
      <c r="W131" s="7">
        <f>IF($AB131="","",V131*U131)</f>
        <v/>
      </c>
      <c r="X131" s="7">
        <f>IF($AB131="","",W131+T131)</f>
        <v/>
      </c>
      <c r="Y131" s="7">
        <f>IF($AB131="","",Z131-X131)</f>
        <v/>
      </c>
      <c r="Z131" s="7">
        <f>IF($AB131="","",S131+V131+Q131)</f>
        <v/>
      </c>
      <c r="AA131" s="7">
        <f>IF($AB131="","",Z131-X131-M131)</f>
        <v/>
      </c>
      <c r="AB131" s="13">
        <f>IF(ROWS($AB$2:$AB131)&lt;=MAX('Per Line'!$AK$2:$AK$4001),MATCH(ROWS($AB$2:$AB131),'Per Line'!$AK$2:$AK$4001,0),"")</f>
        <v/>
      </c>
      <c r="AC131" s="14">
        <f>IF($AB131="","",M131-L131*Z131/100)</f>
        <v/>
      </c>
    </row>
    <row r="132">
      <c r="A132" s="12" t="n"/>
      <c r="B132">
        <f>IF($AB132="","",INDEX('Per Line'!$C$2:$C$4001,$AB132)&amp;"")</f>
        <v/>
      </c>
      <c r="C132">
        <f>IF($AB132="","",INDEX('Per Line'!$D$2:$D$4001,$AB132)&amp;"")</f>
        <v/>
      </c>
      <c r="D132">
        <f>IF($AB132="","",INDEX('Per Line'!$B$2:$B$4001,$AB132)&amp;"")</f>
        <v/>
      </c>
      <c r="E132">
        <f>IF($AB132="","",INDEX('Per Line'!$A$2:$A$4001,$AB132))</f>
        <v/>
      </c>
      <c r="F132" s="11">
        <f>IF($AB132="","",INDEX('Per Line'!$E$2:$E$4001,$AB132))</f>
        <v/>
      </c>
      <c r="G132">
        <f>IF($AB132="","",INDEX('Per Line'!$F$2:$F$4001,$AB132)&amp;"")</f>
        <v/>
      </c>
      <c r="H132">
        <f>IF($AB132="","",INDEX('Per Line'!$H$2:$H$4001,$AB132)&amp;"")</f>
        <v/>
      </c>
      <c r="I132">
        <f>IF($AB132="","",INDEX('Per Line'!$I$2:$I$4001,$AB132)&amp;"")</f>
        <v/>
      </c>
      <c r="J132">
        <f>IF($AB132="","",INDEX('Per Line'!$J$2:$J$4001,$AB132)&amp;"")</f>
        <v/>
      </c>
      <c r="K132">
        <f>IF($AB132="","",INDEX('Per Line'!$K$2:$K$4001,$AB132)&amp;"")</f>
        <v/>
      </c>
      <c r="L132">
        <f>IF($AB132="","",INDEX('Per Line'!$L$2:$L$4001,$AB132))</f>
        <v/>
      </c>
      <c r="M132" s="7">
        <f>IF($AB132="","",IF(AND(ISNUMBER(O132),O132&gt;0,Z132&gt;O132),L132*O132/100+(Z132-O132),L132*Z132/100))</f>
        <v/>
      </c>
      <c r="N132">
        <f>IF($AB132="","",INDEX('Per Line'!$V$2:$V$4001,$AB132)&amp;"")</f>
        <v/>
      </c>
      <c r="O132">
        <f>IF($AB132="","",INDEX('Per Line'!$Z$2:$Z$4001,$AB132))</f>
        <v/>
      </c>
      <c r="P132">
        <f>IF($AB132="","",IF(AND(ISNUMBER(O132),O132&gt;0),Z132&gt;O132,FALSE))</f>
        <v/>
      </c>
      <c r="Q132" s="7">
        <f>IF($AB132="","",SUMIFS('Per Line'!$U$2:$U$4001,'Per Line'!$C$2:$C$4001,$B132,'Per Line'!$AM$2:$AM$4001,1))</f>
        <v/>
      </c>
      <c r="R132">
        <f>IF($AB132="","",Settings!$C$7)</f>
        <v/>
      </c>
      <c r="S132" s="7">
        <f>IF($AB132="","",SUMIFS('Per Line'!$U$2:$U$4001,'Per Line'!$C$2:$C$4001,$B132,'Per Line'!$AL$2:$AL$4001,0,'Per Line'!$AM$2:$AM$4001,0))</f>
        <v/>
      </c>
      <c r="T132" s="7">
        <f>IF($AB132="","",S132*R132)</f>
        <v/>
      </c>
      <c r="U132">
        <f>IF($AB132="","",Settings!$C$6)</f>
        <v/>
      </c>
      <c r="V132" s="7">
        <f>IF($AB132="","",SUMIFS('Per Line'!$U$2:$U$4001,'Per Line'!$C$2:$C$4001,$B132,'Per Line'!$AL$2:$AL$4001,1,'Per Line'!$AM$2:$AM$4001,0))</f>
        <v/>
      </c>
      <c r="W132" s="7">
        <f>IF($AB132="","",V132*U132)</f>
        <v/>
      </c>
      <c r="X132" s="7">
        <f>IF($AB132="","",W132+T132)</f>
        <v/>
      </c>
      <c r="Y132" s="7">
        <f>IF($AB132="","",Z132-X132)</f>
        <v/>
      </c>
      <c r="Z132" s="7">
        <f>IF($AB132="","",S132+V132+Q132)</f>
        <v/>
      </c>
      <c r="AA132" s="7">
        <f>IF($AB132="","",Z132-X132-M132)</f>
        <v/>
      </c>
      <c r="AB132" s="13">
        <f>IF(ROWS($AB$2:$AB132)&lt;=MAX('Per Line'!$AK$2:$AK$4001),MATCH(ROWS($AB$2:$AB132),'Per Line'!$AK$2:$AK$4001,0),"")</f>
        <v/>
      </c>
      <c r="AC132" s="14">
        <f>IF($AB132="","",M132-L132*Z132/100)</f>
        <v/>
      </c>
    </row>
    <row r="133">
      <c r="A133" s="12" t="n"/>
      <c r="B133">
        <f>IF($AB133="","",INDEX('Per Line'!$C$2:$C$4001,$AB133)&amp;"")</f>
        <v/>
      </c>
      <c r="C133">
        <f>IF($AB133="","",INDEX('Per Line'!$D$2:$D$4001,$AB133)&amp;"")</f>
        <v/>
      </c>
      <c r="D133">
        <f>IF($AB133="","",INDEX('Per Line'!$B$2:$B$4001,$AB133)&amp;"")</f>
        <v/>
      </c>
      <c r="E133">
        <f>IF($AB133="","",INDEX('Per Line'!$A$2:$A$4001,$AB133))</f>
        <v/>
      </c>
      <c r="F133" s="11">
        <f>IF($AB133="","",INDEX('Per Line'!$E$2:$E$4001,$AB133))</f>
        <v/>
      </c>
      <c r="G133">
        <f>IF($AB133="","",INDEX('Per Line'!$F$2:$F$4001,$AB133)&amp;"")</f>
        <v/>
      </c>
      <c r="H133">
        <f>IF($AB133="","",INDEX('Per Line'!$H$2:$H$4001,$AB133)&amp;"")</f>
        <v/>
      </c>
      <c r="I133">
        <f>IF($AB133="","",INDEX('Per Line'!$I$2:$I$4001,$AB133)&amp;"")</f>
        <v/>
      </c>
      <c r="J133">
        <f>IF($AB133="","",INDEX('Per Line'!$J$2:$J$4001,$AB133)&amp;"")</f>
        <v/>
      </c>
      <c r="K133">
        <f>IF($AB133="","",INDEX('Per Line'!$K$2:$K$4001,$AB133)&amp;"")</f>
        <v/>
      </c>
      <c r="L133">
        <f>IF($AB133="","",INDEX('Per Line'!$L$2:$L$4001,$AB133))</f>
        <v/>
      </c>
      <c r="M133" s="7">
        <f>IF($AB133="","",IF(AND(ISNUMBER(O133),O133&gt;0,Z133&gt;O133),L133*O133/100+(Z133-O133),L133*Z133/100))</f>
        <v/>
      </c>
      <c r="N133">
        <f>IF($AB133="","",INDEX('Per Line'!$V$2:$V$4001,$AB133)&amp;"")</f>
        <v/>
      </c>
      <c r="O133">
        <f>IF($AB133="","",INDEX('Per Line'!$Z$2:$Z$4001,$AB133))</f>
        <v/>
      </c>
      <c r="P133">
        <f>IF($AB133="","",IF(AND(ISNUMBER(O133),O133&gt;0),Z133&gt;O133,FALSE))</f>
        <v/>
      </c>
      <c r="Q133" s="7">
        <f>IF($AB133="","",SUMIFS('Per Line'!$U$2:$U$4001,'Per Line'!$C$2:$C$4001,$B133,'Per Line'!$AM$2:$AM$4001,1))</f>
        <v/>
      </c>
      <c r="R133">
        <f>IF($AB133="","",Settings!$C$7)</f>
        <v/>
      </c>
      <c r="S133" s="7">
        <f>IF($AB133="","",SUMIFS('Per Line'!$U$2:$U$4001,'Per Line'!$C$2:$C$4001,$B133,'Per Line'!$AL$2:$AL$4001,0,'Per Line'!$AM$2:$AM$4001,0))</f>
        <v/>
      </c>
      <c r="T133" s="7">
        <f>IF($AB133="","",S133*R133)</f>
        <v/>
      </c>
      <c r="U133">
        <f>IF($AB133="","",Settings!$C$6)</f>
        <v/>
      </c>
      <c r="V133" s="7">
        <f>IF($AB133="","",SUMIFS('Per Line'!$U$2:$U$4001,'Per Line'!$C$2:$C$4001,$B133,'Per Line'!$AL$2:$AL$4001,1,'Per Line'!$AM$2:$AM$4001,0))</f>
        <v/>
      </c>
      <c r="W133" s="7">
        <f>IF($AB133="","",V133*U133)</f>
        <v/>
      </c>
      <c r="X133" s="7">
        <f>IF($AB133="","",W133+T133)</f>
        <v/>
      </c>
      <c r="Y133" s="7">
        <f>IF($AB133="","",Z133-X133)</f>
        <v/>
      </c>
      <c r="Z133" s="7">
        <f>IF($AB133="","",S133+V133+Q133)</f>
        <v/>
      </c>
      <c r="AA133" s="7">
        <f>IF($AB133="","",Z133-X133-M133)</f>
        <v/>
      </c>
      <c r="AB133" s="13">
        <f>IF(ROWS($AB$2:$AB133)&lt;=MAX('Per Line'!$AK$2:$AK$4001),MATCH(ROWS($AB$2:$AB133),'Per Line'!$AK$2:$AK$4001,0),"")</f>
        <v/>
      </c>
      <c r="AC133" s="14">
        <f>IF($AB133="","",M133-L133*Z133/100)</f>
        <v/>
      </c>
    </row>
    <row r="134">
      <c r="A134" s="12" t="n"/>
      <c r="B134">
        <f>IF($AB134="","",INDEX('Per Line'!$C$2:$C$4001,$AB134)&amp;"")</f>
        <v/>
      </c>
      <c r="C134">
        <f>IF($AB134="","",INDEX('Per Line'!$D$2:$D$4001,$AB134)&amp;"")</f>
        <v/>
      </c>
      <c r="D134">
        <f>IF($AB134="","",INDEX('Per Line'!$B$2:$B$4001,$AB134)&amp;"")</f>
        <v/>
      </c>
      <c r="E134">
        <f>IF($AB134="","",INDEX('Per Line'!$A$2:$A$4001,$AB134))</f>
        <v/>
      </c>
      <c r="F134" s="11">
        <f>IF($AB134="","",INDEX('Per Line'!$E$2:$E$4001,$AB134))</f>
        <v/>
      </c>
      <c r="G134">
        <f>IF($AB134="","",INDEX('Per Line'!$F$2:$F$4001,$AB134)&amp;"")</f>
        <v/>
      </c>
      <c r="H134">
        <f>IF($AB134="","",INDEX('Per Line'!$H$2:$H$4001,$AB134)&amp;"")</f>
        <v/>
      </c>
      <c r="I134">
        <f>IF($AB134="","",INDEX('Per Line'!$I$2:$I$4001,$AB134)&amp;"")</f>
        <v/>
      </c>
      <c r="J134">
        <f>IF($AB134="","",INDEX('Per Line'!$J$2:$J$4001,$AB134)&amp;"")</f>
        <v/>
      </c>
      <c r="K134">
        <f>IF($AB134="","",INDEX('Per Line'!$K$2:$K$4001,$AB134)&amp;"")</f>
        <v/>
      </c>
      <c r="L134">
        <f>IF($AB134="","",INDEX('Per Line'!$L$2:$L$4001,$AB134))</f>
        <v/>
      </c>
      <c r="M134" s="7">
        <f>IF($AB134="","",IF(AND(ISNUMBER(O134),O134&gt;0,Z134&gt;O134),L134*O134/100+(Z134-O134),L134*Z134/100))</f>
        <v/>
      </c>
      <c r="N134">
        <f>IF($AB134="","",INDEX('Per Line'!$V$2:$V$4001,$AB134)&amp;"")</f>
        <v/>
      </c>
      <c r="O134">
        <f>IF($AB134="","",INDEX('Per Line'!$Z$2:$Z$4001,$AB134))</f>
        <v/>
      </c>
      <c r="P134">
        <f>IF($AB134="","",IF(AND(ISNUMBER(O134),O134&gt;0),Z134&gt;O134,FALSE))</f>
        <v/>
      </c>
      <c r="Q134" s="7">
        <f>IF($AB134="","",SUMIFS('Per Line'!$U$2:$U$4001,'Per Line'!$C$2:$C$4001,$B134,'Per Line'!$AM$2:$AM$4001,1))</f>
        <v/>
      </c>
      <c r="R134">
        <f>IF($AB134="","",Settings!$C$7)</f>
        <v/>
      </c>
      <c r="S134" s="7">
        <f>IF($AB134="","",SUMIFS('Per Line'!$U$2:$U$4001,'Per Line'!$C$2:$C$4001,$B134,'Per Line'!$AL$2:$AL$4001,0,'Per Line'!$AM$2:$AM$4001,0))</f>
        <v/>
      </c>
      <c r="T134" s="7">
        <f>IF($AB134="","",S134*R134)</f>
        <v/>
      </c>
      <c r="U134">
        <f>IF($AB134="","",Settings!$C$6)</f>
        <v/>
      </c>
      <c r="V134" s="7">
        <f>IF($AB134="","",SUMIFS('Per Line'!$U$2:$U$4001,'Per Line'!$C$2:$C$4001,$B134,'Per Line'!$AL$2:$AL$4001,1,'Per Line'!$AM$2:$AM$4001,0))</f>
        <v/>
      </c>
      <c r="W134" s="7">
        <f>IF($AB134="","",V134*U134)</f>
        <v/>
      </c>
      <c r="X134" s="7">
        <f>IF($AB134="","",W134+T134)</f>
        <v/>
      </c>
      <c r="Y134" s="7">
        <f>IF($AB134="","",Z134-X134)</f>
        <v/>
      </c>
      <c r="Z134" s="7">
        <f>IF($AB134="","",S134+V134+Q134)</f>
        <v/>
      </c>
      <c r="AA134" s="7">
        <f>IF($AB134="","",Z134-X134-M134)</f>
        <v/>
      </c>
      <c r="AB134" s="13">
        <f>IF(ROWS($AB$2:$AB134)&lt;=MAX('Per Line'!$AK$2:$AK$4001),MATCH(ROWS($AB$2:$AB134),'Per Line'!$AK$2:$AK$4001,0),"")</f>
        <v/>
      </c>
      <c r="AC134" s="14">
        <f>IF($AB134="","",M134-L134*Z134/100)</f>
        <v/>
      </c>
    </row>
    <row r="135">
      <c r="A135" s="12" t="n"/>
      <c r="B135">
        <f>IF($AB135="","",INDEX('Per Line'!$C$2:$C$4001,$AB135)&amp;"")</f>
        <v/>
      </c>
      <c r="C135">
        <f>IF($AB135="","",INDEX('Per Line'!$D$2:$D$4001,$AB135)&amp;"")</f>
        <v/>
      </c>
      <c r="D135">
        <f>IF($AB135="","",INDEX('Per Line'!$B$2:$B$4001,$AB135)&amp;"")</f>
        <v/>
      </c>
      <c r="E135">
        <f>IF($AB135="","",INDEX('Per Line'!$A$2:$A$4001,$AB135))</f>
        <v/>
      </c>
      <c r="F135" s="11">
        <f>IF($AB135="","",INDEX('Per Line'!$E$2:$E$4001,$AB135))</f>
        <v/>
      </c>
      <c r="G135">
        <f>IF($AB135="","",INDEX('Per Line'!$F$2:$F$4001,$AB135)&amp;"")</f>
        <v/>
      </c>
      <c r="H135">
        <f>IF($AB135="","",INDEX('Per Line'!$H$2:$H$4001,$AB135)&amp;"")</f>
        <v/>
      </c>
      <c r="I135">
        <f>IF($AB135="","",INDEX('Per Line'!$I$2:$I$4001,$AB135)&amp;"")</f>
        <v/>
      </c>
      <c r="J135">
        <f>IF($AB135="","",INDEX('Per Line'!$J$2:$J$4001,$AB135)&amp;"")</f>
        <v/>
      </c>
      <c r="K135">
        <f>IF($AB135="","",INDEX('Per Line'!$K$2:$K$4001,$AB135)&amp;"")</f>
        <v/>
      </c>
      <c r="L135">
        <f>IF($AB135="","",INDEX('Per Line'!$L$2:$L$4001,$AB135))</f>
        <v/>
      </c>
      <c r="M135" s="7">
        <f>IF($AB135="","",IF(AND(ISNUMBER(O135),O135&gt;0,Z135&gt;O135),L135*O135/100+(Z135-O135),L135*Z135/100))</f>
        <v/>
      </c>
      <c r="N135">
        <f>IF($AB135="","",INDEX('Per Line'!$V$2:$V$4001,$AB135)&amp;"")</f>
        <v/>
      </c>
      <c r="O135">
        <f>IF($AB135="","",INDEX('Per Line'!$Z$2:$Z$4001,$AB135))</f>
        <v/>
      </c>
      <c r="P135">
        <f>IF($AB135="","",IF(AND(ISNUMBER(O135),O135&gt;0),Z135&gt;O135,FALSE))</f>
        <v/>
      </c>
      <c r="Q135" s="7">
        <f>IF($AB135="","",SUMIFS('Per Line'!$U$2:$U$4001,'Per Line'!$C$2:$C$4001,$B135,'Per Line'!$AM$2:$AM$4001,1))</f>
        <v/>
      </c>
      <c r="R135">
        <f>IF($AB135="","",Settings!$C$7)</f>
        <v/>
      </c>
      <c r="S135" s="7">
        <f>IF($AB135="","",SUMIFS('Per Line'!$U$2:$U$4001,'Per Line'!$C$2:$C$4001,$B135,'Per Line'!$AL$2:$AL$4001,0,'Per Line'!$AM$2:$AM$4001,0))</f>
        <v/>
      </c>
      <c r="T135" s="7">
        <f>IF($AB135="","",S135*R135)</f>
        <v/>
      </c>
      <c r="U135">
        <f>IF($AB135="","",Settings!$C$6)</f>
        <v/>
      </c>
      <c r="V135" s="7">
        <f>IF($AB135="","",SUMIFS('Per Line'!$U$2:$U$4001,'Per Line'!$C$2:$C$4001,$B135,'Per Line'!$AL$2:$AL$4001,1,'Per Line'!$AM$2:$AM$4001,0))</f>
        <v/>
      </c>
      <c r="W135" s="7">
        <f>IF($AB135="","",V135*U135)</f>
        <v/>
      </c>
      <c r="X135" s="7">
        <f>IF($AB135="","",W135+T135)</f>
        <v/>
      </c>
      <c r="Y135" s="7">
        <f>IF($AB135="","",Z135-X135)</f>
        <v/>
      </c>
      <c r="Z135" s="7">
        <f>IF($AB135="","",S135+V135+Q135)</f>
        <v/>
      </c>
      <c r="AA135" s="7">
        <f>IF($AB135="","",Z135-X135-M135)</f>
        <v/>
      </c>
      <c r="AB135" s="13">
        <f>IF(ROWS($AB$2:$AB135)&lt;=MAX('Per Line'!$AK$2:$AK$4001),MATCH(ROWS($AB$2:$AB135),'Per Line'!$AK$2:$AK$4001,0),"")</f>
        <v/>
      </c>
      <c r="AC135" s="14">
        <f>IF($AB135="","",M135-L135*Z135/100)</f>
        <v/>
      </c>
    </row>
    <row r="136">
      <c r="A136" s="12" t="n"/>
      <c r="B136">
        <f>IF($AB136="","",INDEX('Per Line'!$C$2:$C$4001,$AB136)&amp;"")</f>
        <v/>
      </c>
      <c r="C136">
        <f>IF($AB136="","",INDEX('Per Line'!$D$2:$D$4001,$AB136)&amp;"")</f>
        <v/>
      </c>
      <c r="D136">
        <f>IF($AB136="","",INDEX('Per Line'!$B$2:$B$4001,$AB136)&amp;"")</f>
        <v/>
      </c>
      <c r="E136">
        <f>IF($AB136="","",INDEX('Per Line'!$A$2:$A$4001,$AB136))</f>
        <v/>
      </c>
      <c r="F136" s="11">
        <f>IF($AB136="","",INDEX('Per Line'!$E$2:$E$4001,$AB136))</f>
        <v/>
      </c>
      <c r="G136">
        <f>IF($AB136="","",INDEX('Per Line'!$F$2:$F$4001,$AB136)&amp;"")</f>
        <v/>
      </c>
      <c r="H136">
        <f>IF($AB136="","",INDEX('Per Line'!$H$2:$H$4001,$AB136)&amp;"")</f>
        <v/>
      </c>
      <c r="I136">
        <f>IF($AB136="","",INDEX('Per Line'!$I$2:$I$4001,$AB136)&amp;"")</f>
        <v/>
      </c>
      <c r="J136">
        <f>IF($AB136="","",INDEX('Per Line'!$J$2:$J$4001,$AB136)&amp;"")</f>
        <v/>
      </c>
      <c r="K136">
        <f>IF($AB136="","",INDEX('Per Line'!$K$2:$K$4001,$AB136)&amp;"")</f>
        <v/>
      </c>
      <c r="L136">
        <f>IF($AB136="","",INDEX('Per Line'!$L$2:$L$4001,$AB136))</f>
        <v/>
      </c>
      <c r="M136" s="7">
        <f>IF($AB136="","",IF(AND(ISNUMBER(O136),O136&gt;0,Z136&gt;O136),L136*O136/100+(Z136-O136),L136*Z136/100))</f>
        <v/>
      </c>
      <c r="N136">
        <f>IF($AB136="","",INDEX('Per Line'!$V$2:$V$4001,$AB136)&amp;"")</f>
        <v/>
      </c>
      <c r="O136">
        <f>IF($AB136="","",INDEX('Per Line'!$Z$2:$Z$4001,$AB136))</f>
        <v/>
      </c>
      <c r="P136">
        <f>IF($AB136="","",IF(AND(ISNUMBER(O136),O136&gt;0),Z136&gt;O136,FALSE))</f>
        <v/>
      </c>
      <c r="Q136" s="7">
        <f>IF($AB136="","",SUMIFS('Per Line'!$U$2:$U$4001,'Per Line'!$C$2:$C$4001,$B136,'Per Line'!$AM$2:$AM$4001,1))</f>
        <v/>
      </c>
      <c r="R136">
        <f>IF($AB136="","",Settings!$C$7)</f>
        <v/>
      </c>
      <c r="S136" s="7">
        <f>IF($AB136="","",SUMIFS('Per Line'!$U$2:$U$4001,'Per Line'!$C$2:$C$4001,$B136,'Per Line'!$AL$2:$AL$4001,0,'Per Line'!$AM$2:$AM$4001,0))</f>
        <v/>
      </c>
      <c r="T136" s="7">
        <f>IF($AB136="","",S136*R136)</f>
        <v/>
      </c>
      <c r="U136">
        <f>IF($AB136="","",Settings!$C$6)</f>
        <v/>
      </c>
      <c r="V136" s="7">
        <f>IF($AB136="","",SUMIFS('Per Line'!$U$2:$U$4001,'Per Line'!$C$2:$C$4001,$B136,'Per Line'!$AL$2:$AL$4001,1,'Per Line'!$AM$2:$AM$4001,0))</f>
        <v/>
      </c>
      <c r="W136" s="7">
        <f>IF($AB136="","",V136*U136)</f>
        <v/>
      </c>
      <c r="X136" s="7">
        <f>IF($AB136="","",W136+T136)</f>
        <v/>
      </c>
      <c r="Y136" s="7">
        <f>IF($AB136="","",Z136-X136)</f>
        <v/>
      </c>
      <c r="Z136" s="7">
        <f>IF($AB136="","",S136+V136+Q136)</f>
        <v/>
      </c>
      <c r="AA136" s="7">
        <f>IF($AB136="","",Z136-X136-M136)</f>
        <v/>
      </c>
      <c r="AB136" s="13">
        <f>IF(ROWS($AB$2:$AB136)&lt;=MAX('Per Line'!$AK$2:$AK$4001),MATCH(ROWS($AB$2:$AB136),'Per Line'!$AK$2:$AK$4001,0),"")</f>
        <v/>
      </c>
      <c r="AC136" s="14">
        <f>IF($AB136="","",M136-L136*Z136/100)</f>
        <v/>
      </c>
    </row>
    <row r="137">
      <c r="A137" s="12" t="n"/>
      <c r="B137">
        <f>IF($AB137="","",INDEX('Per Line'!$C$2:$C$4001,$AB137)&amp;"")</f>
        <v/>
      </c>
      <c r="C137">
        <f>IF($AB137="","",INDEX('Per Line'!$D$2:$D$4001,$AB137)&amp;"")</f>
        <v/>
      </c>
      <c r="D137">
        <f>IF($AB137="","",INDEX('Per Line'!$B$2:$B$4001,$AB137)&amp;"")</f>
        <v/>
      </c>
      <c r="E137">
        <f>IF($AB137="","",INDEX('Per Line'!$A$2:$A$4001,$AB137))</f>
        <v/>
      </c>
      <c r="F137" s="11">
        <f>IF($AB137="","",INDEX('Per Line'!$E$2:$E$4001,$AB137))</f>
        <v/>
      </c>
      <c r="G137">
        <f>IF($AB137="","",INDEX('Per Line'!$F$2:$F$4001,$AB137)&amp;"")</f>
        <v/>
      </c>
      <c r="H137">
        <f>IF($AB137="","",INDEX('Per Line'!$H$2:$H$4001,$AB137)&amp;"")</f>
        <v/>
      </c>
      <c r="I137">
        <f>IF($AB137="","",INDEX('Per Line'!$I$2:$I$4001,$AB137)&amp;"")</f>
        <v/>
      </c>
      <c r="J137">
        <f>IF($AB137="","",INDEX('Per Line'!$J$2:$J$4001,$AB137)&amp;"")</f>
        <v/>
      </c>
      <c r="K137">
        <f>IF($AB137="","",INDEX('Per Line'!$K$2:$K$4001,$AB137)&amp;"")</f>
        <v/>
      </c>
      <c r="L137">
        <f>IF($AB137="","",INDEX('Per Line'!$L$2:$L$4001,$AB137))</f>
        <v/>
      </c>
      <c r="M137" s="7">
        <f>IF($AB137="","",IF(AND(ISNUMBER(O137),O137&gt;0,Z137&gt;O137),L137*O137/100+(Z137-O137),L137*Z137/100))</f>
        <v/>
      </c>
      <c r="N137">
        <f>IF($AB137="","",INDEX('Per Line'!$V$2:$V$4001,$AB137)&amp;"")</f>
        <v/>
      </c>
      <c r="O137">
        <f>IF($AB137="","",INDEX('Per Line'!$Z$2:$Z$4001,$AB137))</f>
        <v/>
      </c>
      <c r="P137">
        <f>IF($AB137="","",IF(AND(ISNUMBER(O137),O137&gt;0),Z137&gt;O137,FALSE))</f>
        <v/>
      </c>
      <c r="Q137" s="7">
        <f>IF($AB137="","",SUMIFS('Per Line'!$U$2:$U$4001,'Per Line'!$C$2:$C$4001,$B137,'Per Line'!$AM$2:$AM$4001,1))</f>
        <v/>
      </c>
      <c r="R137">
        <f>IF($AB137="","",Settings!$C$7)</f>
        <v/>
      </c>
      <c r="S137" s="7">
        <f>IF($AB137="","",SUMIFS('Per Line'!$U$2:$U$4001,'Per Line'!$C$2:$C$4001,$B137,'Per Line'!$AL$2:$AL$4001,0,'Per Line'!$AM$2:$AM$4001,0))</f>
        <v/>
      </c>
      <c r="T137" s="7">
        <f>IF($AB137="","",S137*R137)</f>
        <v/>
      </c>
      <c r="U137">
        <f>IF($AB137="","",Settings!$C$6)</f>
        <v/>
      </c>
      <c r="V137" s="7">
        <f>IF($AB137="","",SUMIFS('Per Line'!$U$2:$U$4001,'Per Line'!$C$2:$C$4001,$B137,'Per Line'!$AL$2:$AL$4001,1,'Per Line'!$AM$2:$AM$4001,0))</f>
        <v/>
      </c>
      <c r="W137" s="7">
        <f>IF($AB137="","",V137*U137)</f>
        <v/>
      </c>
      <c r="X137" s="7">
        <f>IF($AB137="","",W137+T137)</f>
        <v/>
      </c>
      <c r="Y137" s="7">
        <f>IF($AB137="","",Z137-X137)</f>
        <v/>
      </c>
      <c r="Z137" s="7">
        <f>IF($AB137="","",S137+V137+Q137)</f>
        <v/>
      </c>
      <c r="AA137" s="7">
        <f>IF($AB137="","",Z137-X137-M137)</f>
        <v/>
      </c>
      <c r="AB137" s="13">
        <f>IF(ROWS($AB$2:$AB137)&lt;=MAX('Per Line'!$AK$2:$AK$4001),MATCH(ROWS($AB$2:$AB137),'Per Line'!$AK$2:$AK$4001,0),"")</f>
        <v/>
      </c>
      <c r="AC137" s="14">
        <f>IF($AB137="","",M137-L137*Z137/100)</f>
        <v/>
      </c>
    </row>
    <row r="138">
      <c r="A138" s="12" t="n"/>
      <c r="B138">
        <f>IF($AB138="","",INDEX('Per Line'!$C$2:$C$4001,$AB138)&amp;"")</f>
        <v/>
      </c>
      <c r="C138">
        <f>IF($AB138="","",INDEX('Per Line'!$D$2:$D$4001,$AB138)&amp;"")</f>
        <v/>
      </c>
      <c r="D138">
        <f>IF($AB138="","",INDEX('Per Line'!$B$2:$B$4001,$AB138)&amp;"")</f>
        <v/>
      </c>
      <c r="E138">
        <f>IF($AB138="","",INDEX('Per Line'!$A$2:$A$4001,$AB138))</f>
        <v/>
      </c>
      <c r="F138" s="11">
        <f>IF($AB138="","",INDEX('Per Line'!$E$2:$E$4001,$AB138))</f>
        <v/>
      </c>
      <c r="G138">
        <f>IF($AB138="","",INDEX('Per Line'!$F$2:$F$4001,$AB138)&amp;"")</f>
        <v/>
      </c>
      <c r="H138">
        <f>IF($AB138="","",INDEX('Per Line'!$H$2:$H$4001,$AB138)&amp;"")</f>
        <v/>
      </c>
      <c r="I138">
        <f>IF($AB138="","",INDEX('Per Line'!$I$2:$I$4001,$AB138)&amp;"")</f>
        <v/>
      </c>
      <c r="J138">
        <f>IF($AB138="","",INDEX('Per Line'!$J$2:$J$4001,$AB138)&amp;"")</f>
        <v/>
      </c>
      <c r="K138">
        <f>IF($AB138="","",INDEX('Per Line'!$K$2:$K$4001,$AB138)&amp;"")</f>
        <v/>
      </c>
      <c r="L138">
        <f>IF($AB138="","",INDEX('Per Line'!$L$2:$L$4001,$AB138))</f>
        <v/>
      </c>
      <c r="M138" s="7">
        <f>IF($AB138="","",IF(AND(ISNUMBER(O138),O138&gt;0,Z138&gt;O138),L138*O138/100+(Z138-O138),L138*Z138/100))</f>
        <v/>
      </c>
      <c r="N138">
        <f>IF($AB138="","",INDEX('Per Line'!$V$2:$V$4001,$AB138)&amp;"")</f>
        <v/>
      </c>
      <c r="O138">
        <f>IF($AB138="","",INDEX('Per Line'!$Z$2:$Z$4001,$AB138))</f>
        <v/>
      </c>
      <c r="P138">
        <f>IF($AB138="","",IF(AND(ISNUMBER(O138),O138&gt;0),Z138&gt;O138,FALSE))</f>
        <v/>
      </c>
      <c r="Q138" s="7">
        <f>IF($AB138="","",SUMIFS('Per Line'!$U$2:$U$4001,'Per Line'!$C$2:$C$4001,$B138,'Per Line'!$AM$2:$AM$4001,1))</f>
        <v/>
      </c>
      <c r="R138">
        <f>IF($AB138="","",Settings!$C$7)</f>
        <v/>
      </c>
      <c r="S138" s="7">
        <f>IF($AB138="","",SUMIFS('Per Line'!$U$2:$U$4001,'Per Line'!$C$2:$C$4001,$B138,'Per Line'!$AL$2:$AL$4001,0,'Per Line'!$AM$2:$AM$4001,0))</f>
        <v/>
      </c>
      <c r="T138" s="7">
        <f>IF($AB138="","",S138*R138)</f>
        <v/>
      </c>
      <c r="U138">
        <f>IF($AB138="","",Settings!$C$6)</f>
        <v/>
      </c>
      <c r="V138" s="7">
        <f>IF($AB138="","",SUMIFS('Per Line'!$U$2:$U$4001,'Per Line'!$C$2:$C$4001,$B138,'Per Line'!$AL$2:$AL$4001,1,'Per Line'!$AM$2:$AM$4001,0))</f>
        <v/>
      </c>
      <c r="W138" s="7">
        <f>IF($AB138="","",V138*U138)</f>
        <v/>
      </c>
      <c r="X138" s="7">
        <f>IF($AB138="","",W138+T138)</f>
        <v/>
      </c>
      <c r="Y138" s="7">
        <f>IF($AB138="","",Z138-X138)</f>
        <v/>
      </c>
      <c r="Z138" s="7">
        <f>IF($AB138="","",S138+V138+Q138)</f>
        <v/>
      </c>
      <c r="AA138" s="7">
        <f>IF($AB138="","",Z138-X138-M138)</f>
        <v/>
      </c>
      <c r="AB138" s="13">
        <f>IF(ROWS($AB$2:$AB138)&lt;=MAX('Per Line'!$AK$2:$AK$4001),MATCH(ROWS($AB$2:$AB138),'Per Line'!$AK$2:$AK$4001,0),"")</f>
        <v/>
      </c>
      <c r="AC138" s="14">
        <f>IF($AB138="","",M138-L138*Z138/100)</f>
        <v/>
      </c>
    </row>
    <row r="139">
      <c r="A139" s="12" t="n"/>
      <c r="B139">
        <f>IF($AB139="","",INDEX('Per Line'!$C$2:$C$4001,$AB139)&amp;"")</f>
        <v/>
      </c>
      <c r="C139">
        <f>IF($AB139="","",INDEX('Per Line'!$D$2:$D$4001,$AB139)&amp;"")</f>
        <v/>
      </c>
      <c r="D139">
        <f>IF($AB139="","",INDEX('Per Line'!$B$2:$B$4001,$AB139)&amp;"")</f>
        <v/>
      </c>
      <c r="E139">
        <f>IF($AB139="","",INDEX('Per Line'!$A$2:$A$4001,$AB139))</f>
        <v/>
      </c>
      <c r="F139" s="11">
        <f>IF($AB139="","",INDEX('Per Line'!$E$2:$E$4001,$AB139))</f>
        <v/>
      </c>
      <c r="G139">
        <f>IF($AB139="","",INDEX('Per Line'!$F$2:$F$4001,$AB139)&amp;"")</f>
        <v/>
      </c>
      <c r="H139">
        <f>IF($AB139="","",INDEX('Per Line'!$H$2:$H$4001,$AB139)&amp;"")</f>
        <v/>
      </c>
      <c r="I139">
        <f>IF($AB139="","",INDEX('Per Line'!$I$2:$I$4001,$AB139)&amp;"")</f>
        <v/>
      </c>
      <c r="J139">
        <f>IF($AB139="","",INDEX('Per Line'!$J$2:$J$4001,$AB139)&amp;"")</f>
        <v/>
      </c>
      <c r="K139">
        <f>IF($AB139="","",INDEX('Per Line'!$K$2:$K$4001,$AB139)&amp;"")</f>
        <v/>
      </c>
      <c r="L139">
        <f>IF($AB139="","",INDEX('Per Line'!$L$2:$L$4001,$AB139))</f>
        <v/>
      </c>
      <c r="M139" s="7">
        <f>IF($AB139="","",IF(AND(ISNUMBER(O139),O139&gt;0,Z139&gt;O139),L139*O139/100+(Z139-O139),L139*Z139/100))</f>
        <v/>
      </c>
      <c r="N139">
        <f>IF($AB139="","",INDEX('Per Line'!$V$2:$V$4001,$AB139)&amp;"")</f>
        <v/>
      </c>
      <c r="O139">
        <f>IF($AB139="","",INDEX('Per Line'!$Z$2:$Z$4001,$AB139))</f>
        <v/>
      </c>
      <c r="P139">
        <f>IF($AB139="","",IF(AND(ISNUMBER(O139),O139&gt;0),Z139&gt;O139,FALSE))</f>
        <v/>
      </c>
      <c r="Q139" s="7">
        <f>IF($AB139="","",SUMIFS('Per Line'!$U$2:$U$4001,'Per Line'!$C$2:$C$4001,$B139,'Per Line'!$AM$2:$AM$4001,1))</f>
        <v/>
      </c>
      <c r="R139">
        <f>IF($AB139="","",Settings!$C$7)</f>
        <v/>
      </c>
      <c r="S139" s="7">
        <f>IF($AB139="","",SUMIFS('Per Line'!$U$2:$U$4001,'Per Line'!$C$2:$C$4001,$B139,'Per Line'!$AL$2:$AL$4001,0,'Per Line'!$AM$2:$AM$4001,0))</f>
        <v/>
      </c>
      <c r="T139" s="7">
        <f>IF($AB139="","",S139*R139)</f>
        <v/>
      </c>
      <c r="U139">
        <f>IF($AB139="","",Settings!$C$6)</f>
        <v/>
      </c>
      <c r="V139" s="7">
        <f>IF($AB139="","",SUMIFS('Per Line'!$U$2:$U$4001,'Per Line'!$C$2:$C$4001,$B139,'Per Line'!$AL$2:$AL$4001,1,'Per Line'!$AM$2:$AM$4001,0))</f>
        <v/>
      </c>
      <c r="W139" s="7">
        <f>IF($AB139="","",V139*U139)</f>
        <v/>
      </c>
      <c r="X139" s="7">
        <f>IF($AB139="","",W139+T139)</f>
        <v/>
      </c>
      <c r="Y139" s="7">
        <f>IF($AB139="","",Z139-X139)</f>
        <v/>
      </c>
      <c r="Z139" s="7">
        <f>IF($AB139="","",S139+V139+Q139)</f>
        <v/>
      </c>
      <c r="AA139" s="7">
        <f>IF($AB139="","",Z139-X139-M139)</f>
        <v/>
      </c>
      <c r="AB139" s="13">
        <f>IF(ROWS($AB$2:$AB139)&lt;=MAX('Per Line'!$AK$2:$AK$4001),MATCH(ROWS($AB$2:$AB139),'Per Line'!$AK$2:$AK$4001,0),"")</f>
        <v/>
      </c>
      <c r="AC139" s="14">
        <f>IF($AB139="","",M139-L139*Z139/100)</f>
        <v/>
      </c>
    </row>
    <row r="140">
      <c r="A140" s="12" t="n"/>
      <c r="B140">
        <f>IF($AB140="","",INDEX('Per Line'!$C$2:$C$4001,$AB140)&amp;"")</f>
        <v/>
      </c>
      <c r="C140">
        <f>IF($AB140="","",INDEX('Per Line'!$D$2:$D$4001,$AB140)&amp;"")</f>
        <v/>
      </c>
      <c r="D140">
        <f>IF($AB140="","",INDEX('Per Line'!$B$2:$B$4001,$AB140)&amp;"")</f>
        <v/>
      </c>
      <c r="E140">
        <f>IF($AB140="","",INDEX('Per Line'!$A$2:$A$4001,$AB140))</f>
        <v/>
      </c>
      <c r="F140" s="11">
        <f>IF($AB140="","",INDEX('Per Line'!$E$2:$E$4001,$AB140))</f>
        <v/>
      </c>
      <c r="G140">
        <f>IF($AB140="","",INDEX('Per Line'!$F$2:$F$4001,$AB140)&amp;"")</f>
        <v/>
      </c>
      <c r="H140">
        <f>IF($AB140="","",INDEX('Per Line'!$H$2:$H$4001,$AB140)&amp;"")</f>
        <v/>
      </c>
      <c r="I140">
        <f>IF($AB140="","",INDEX('Per Line'!$I$2:$I$4001,$AB140)&amp;"")</f>
        <v/>
      </c>
      <c r="J140">
        <f>IF($AB140="","",INDEX('Per Line'!$J$2:$J$4001,$AB140)&amp;"")</f>
        <v/>
      </c>
      <c r="K140">
        <f>IF($AB140="","",INDEX('Per Line'!$K$2:$K$4001,$AB140)&amp;"")</f>
        <v/>
      </c>
      <c r="L140">
        <f>IF($AB140="","",INDEX('Per Line'!$L$2:$L$4001,$AB140))</f>
        <v/>
      </c>
      <c r="M140" s="7">
        <f>IF($AB140="","",IF(AND(ISNUMBER(O140),O140&gt;0,Z140&gt;O140),L140*O140/100+(Z140-O140),L140*Z140/100))</f>
        <v/>
      </c>
      <c r="N140">
        <f>IF($AB140="","",INDEX('Per Line'!$V$2:$V$4001,$AB140)&amp;"")</f>
        <v/>
      </c>
      <c r="O140">
        <f>IF($AB140="","",INDEX('Per Line'!$Z$2:$Z$4001,$AB140))</f>
        <v/>
      </c>
      <c r="P140">
        <f>IF($AB140="","",IF(AND(ISNUMBER(O140),O140&gt;0),Z140&gt;O140,FALSE))</f>
        <v/>
      </c>
      <c r="Q140" s="7">
        <f>IF($AB140="","",SUMIFS('Per Line'!$U$2:$U$4001,'Per Line'!$C$2:$C$4001,$B140,'Per Line'!$AM$2:$AM$4001,1))</f>
        <v/>
      </c>
      <c r="R140">
        <f>IF($AB140="","",Settings!$C$7)</f>
        <v/>
      </c>
      <c r="S140" s="7">
        <f>IF($AB140="","",SUMIFS('Per Line'!$U$2:$U$4001,'Per Line'!$C$2:$C$4001,$B140,'Per Line'!$AL$2:$AL$4001,0,'Per Line'!$AM$2:$AM$4001,0))</f>
        <v/>
      </c>
      <c r="T140" s="7">
        <f>IF($AB140="","",S140*R140)</f>
        <v/>
      </c>
      <c r="U140">
        <f>IF($AB140="","",Settings!$C$6)</f>
        <v/>
      </c>
      <c r="V140" s="7">
        <f>IF($AB140="","",SUMIFS('Per Line'!$U$2:$U$4001,'Per Line'!$C$2:$C$4001,$B140,'Per Line'!$AL$2:$AL$4001,1,'Per Line'!$AM$2:$AM$4001,0))</f>
        <v/>
      </c>
      <c r="W140" s="7">
        <f>IF($AB140="","",V140*U140)</f>
        <v/>
      </c>
      <c r="X140" s="7">
        <f>IF($AB140="","",W140+T140)</f>
        <v/>
      </c>
      <c r="Y140" s="7">
        <f>IF($AB140="","",Z140-X140)</f>
        <v/>
      </c>
      <c r="Z140" s="7">
        <f>IF($AB140="","",S140+V140+Q140)</f>
        <v/>
      </c>
      <c r="AA140" s="7">
        <f>IF($AB140="","",Z140-X140-M140)</f>
        <v/>
      </c>
      <c r="AB140" s="13">
        <f>IF(ROWS($AB$2:$AB140)&lt;=MAX('Per Line'!$AK$2:$AK$4001),MATCH(ROWS($AB$2:$AB140),'Per Line'!$AK$2:$AK$4001,0),"")</f>
        <v/>
      </c>
      <c r="AC140" s="14">
        <f>IF($AB140="","",M140-L140*Z140/100)</f>
        <v/>
      </c>
    </row>
    <row r="141">
      <c r="A141" s="12" t="n"/>
      <c r="B141">
        <f>IF($AB141="","",INDEX('Per Line'!$C$2:$C$4001,$AB141)&amp;"")</f>
        <v/>
      </c>
      <c r="C141">
        <f>IF($AB141="","",INDEX('Per Line'!$D$2:$D$4001,$AB141)&amp;"")</f>
        <v/>
      </c>
      <c r="D141">
        <f>IF($AB141="","",INDEX('Per Line'!$B$2:$B$4001,$AB141)&amp;"")</f>
        <v/>
      </c>
      <c r="E141">
        <f>IF($AB141="","",INDEX('Per Line'!$A$2:$A$4001,$AB141))</f>
        <v/>
      </c>
      <c r="F141" s="11">
        <f>IF($AB141="","",INDEX('Per Line'!$E$2:$E$4001,$AB141))</f>
        <v/>
      </c>
      <c r="G141">
        <f>IF($AB141="","",INDEX('Per Line'!$F$2:$F$4001,$AB141)&amp;"")</f>
        <v/>
      </c>
      <c r="H141">
        <f>IF($AB141="","",INDEX('Per Line'!$H$2:$H$4001,$AB141)&amp;"")</f>
        <v/>
      </c>
      <c r="I141">
        <f>IF($AB141="","",INDEX('Per Line'!$I$2:$I$4001,$AB141)&amp;"")</f>
        <v/>
      </c>
      <c r="J141">
        <f>IF($AB141="","",INDEX('Per Line'!$J$2:$J$4001,$AB141)&amp;"")</f>
        <v/>
      </c>
      <c r="K141">
        <f>IF($AB141="","",INDEX('Per Line'!$K$2:$K$4001,$AB141)&amp;"")</f>
        <v/>
      </c>
      <c r="L141">
        <f>IF($AB141="","",INDEX('Per Line'!$L$2:$L$4001,$AB141))</f>
        <v/>
      </c>
      <c r="M141" s="7">
        <f>IF($AB141="","",IF(AND(ISNUMBER(O141),O141&gt;0,Z141&gt;O141),L141*O141/100+(Z141-O141),L141*Z141/100))</f>
        <v/>
      </c>
      <c r="N141">
        <f>IF($AB141="","",INDEX('Per Line'!$V$2:$V$4001,$AB141)&amp;"")</f>
        <v/>
      </c>
      <c r="O141">
        <f>IF($AB141="","",INDEX('Per Line'!$Z$2:$Z$4001,$AB141))</f>
        <v/>
      </c>
      <c r="P141">
        <f>IF($AB141="","",IF(AND(ISNUMBER(O141),O141&gt;0),Z141&gt;O141,FALSE))</f>
        <v/>
      </c>
      <c r="Q141" s="7">
        <f>IF($AB141="","",SUMIFS('Per Line'!$U$2:$U$4001,'Per Line'!$C$2:$C$4001,$B141,'Per Line'!$AM$2:$AM$4001,1))</f>
        <v/>
      </c>
      <c r="R141">
        <f>IF($AB141="","",Settings!$C$7)</f>
        <v/>
      </c>
      <c r="S141" s="7">
        <f>IF($AB141="","",SUMIFS('Per Line'!$U$2:$U$4001,'Per Line'!$C$2:$C$4001,$B141,'Per Line'!$AL$2:$AL$4001,0,'Per Line'!$AM$2:$AM$4001,0))</f>
        <v/>
      </c>
      <c r="T141" s="7">
        <f>IF($AB141="","",S141*R141)</f>
        <v/>
      </c>
      <c r="U141">
        <f>IF($AB141="","",Settings!$C$6)</f>
        <v/>
      </c>
      <c r="V141" s="7">
        <f>IF($AB141="","",SUMIFS('Per Line'!$U$2:$U$4001,'Per Line'!$C$2:$C$4001,$B141,'Per Line'!$AL$2:$AL$4001,1,'Per Line'!$AM$2:$AM$4001,0))</f>
        <v/>
      </c>
      <c r="W141" s="7">
        <f>IF($AB141="","",V141*U141)</f>
        <v/>
      </c>
      <c r="X141" s="7">
        <f>IF($AB141="","",W141+T141)</f>
        <v/>
      </c>
      <c r="Y141" s="7">
        <f>IF($AB141="","",Z141-X141)</f>
        <v/>
      </c>
      <c r="Z141" s="7">
        <f>IF($AB141="","",S141+V141+Q141)</f>
        <v/>
      </c>
      <c r="AA141" s="7">
        <f>IF($AB141="","",Z141-X141-M141)</f>
        <v/>
      </c>
      <c r="AB141" s="13">
        <f>IF(ROWS($AB$2:$AB141)&lt;=MAX('Per Line'!$AK$2:$AK$4001),MATCH(ROWS($AB$2:$AB141),'Per Line'!$AK$2:$AK$4001,0),"")</f>
        <v/>
      </c>
      <c r="AC141" s="14">
        <f>IF($AB141="","",M141-L141*Z141/100)</f>
        <v/>
      </c>
    </row>
    <row r="142">
      <c r="A142" s="12" t="n"/>
      <c r="B142">
        <f>IF($AB142="","",INDEX('Per Line'!$C$2:$C$4001,$AB142)&amp;"")</f>
        <v/>
      </c>
      <c r="C142">
        <f>IF($AB142="","",INDEX('Per Line'!$D$2:$D$4001,$AB142)&amp;"")</f>
        <v/>
      </c>
      <c r="D142">
        <f>IF($AB142="","",INDEX('Per Line'!$B$2:$B$4001,$AB142)&amp;"")</f>
        <v/>
      </c>
      <c r="E142">
        <f>IF($AB142="","",INDEX('Per Line'!$A$2:$A$4001,$AB142))</f>
        <v/>
      </c>
      <c r="F142" s="11">
        <f>IF($AB142="","",INDEX('Per Line'!$E$2:$E$4001,$AB142))</f>
        <v/>
      </c>
      <c r="G142">
        <f>IF($AB142="","",INDEX('Per Line'!$F$2:$F$4001,$AB142)&amp;"")</f>
        <v/>
      </c>
      <c r="H142">
        <f>IF($AB142="","",INDEX('Per Line'!$H$2:$H$4001,$AB142)&amp;"")</f>
        <v/>
      </c>
      <c r="I142">
        <f>IF($AB142="","",INDEX('Per Line'!$I$2:$I$4001,$AB142)&amp;"")</f>
        <v/>
      </c>
      <c r="J142">
        <f>IF($AB142="","",INDEX('Per Line'!$J$2:$J$4001,$AB142)&amp;"")</f>
        <v/>
      </c>
      <c r="K142">
        <f>IF($AB142="","",INDEX('Per Line'!$K$2:$K$4001,$AB142)&amp;"")</f>
        <v/>
      </c>
      <c r="L142">
        <f>IF($AB142="","",INDEX('Per Line'!$L$2:$L$4001,$AB142))</f>
        <v/>
      </c>
      <c r="M142" s="7">
        <f>IF($AB142="","",IF(AND(ISNUMBER(O142),O142&gt;0,Z142&gt;O142),L142*O142/100+(Z142-O142),L142*Z142/100))</f>
        <v/>
      </c>
      <c r="N142">
        <f>IF($AB142="","",INDEX('Per Line'!$V$2:$V$4001,$AB142)&amp;"")</f>
        <v/>
      </c>
      <c r="O142">
        <f>IF($AB142="","",INDEX('Per Line'!$Z$2:$Z$4001,$AB142))</f>
        <v/>
      </c>
      <c r="P142">
        <f>IF($AB142="","",IF(AND(ISNUMBER(O142),O142&gt;0),Z142&gt;O142,FALSE))</f>
        <v/>
      </c>
      <c r="Q142" s="7">
        <f>IF($AB142="","",SUMIFS('Per Line'!$U$2:$U$4001,'Per Line'!$C$2:$C$4001,$B142,'Per Line'!$AM$2:$AM$4001,1))</f>
        <v/>
      </c>
      <c r="R142">
        <f>IF($AB142="","",Settings!$C$7)</f>
        <v/>
      </c>
      <c r="S142" s="7">
        <f>IF($AB142="","",SUMIFS('Per Line'!$U$2:$U$4001,'Per Line'!$C$2:$C$4001,$B142,'Per Line'!$AL$2:$AL$4001,0,'Per Line'!$AM$2:$AM$4001,0))</f>
        <v/>
      </c>
      <c r="T142" s="7">
        <f>IF($AB142="","",S142*R142)</f>
        <v/>
      </c>
      <c r="U142">
        <f>IF($AB142="","",Settings!$C$6)</f>
        <v/>
      </c>
      <c r="V142" s="7">
        <f>IF($AB142="","",SUMIFS('Per Line'!$U$2:$U$4001,'Per Line'!$C$2:$C$4001,$B142,'Per Line'!$AL$2:$AL$4001,1,'Per Line'!$AM$2:$AM$4001,0))</f>
        <v/>
      </c>
      <c r="W142" s="7">
        <f>IF($AB142="","",V142*U142)</f>
        <v/>
      </c>
      <c r="X142" s="7">
        <f>IF($AB142="","",W142+T142)</f>
        <v/>
      </c>
      <c r="Y142" s="7">
        <f>IF($AB142="","",Z142-X142)</f>
        <v/>
      </c>
      <c r="Z142" s="7">
        <f>IF($AB142="","",S142+V142+Q142)</f>
        <v/>
      </c>
      <c r="AA142" s="7">
        <f>IF($AB142="","",Z142-X142-M142)</f>
        <v/>
      </c>
      <c r="AB142" s="13">
        <f>IF(ROWS($AB$2:$AB142)&lt;=MAX('Per Line'!$AK$2:$AK$4001),MATCH(ROWS($AB$2:$AB142),'Per Line'!$AK$2:$AK$4001,0),"")</f>
        <v/>
      </c>
      <c r="AC142" s="14">
        <f>IF($AB142="","",M142-L142*Z142/100)</f>
        <v/>
      </c>
    </row>
    <row r="143">
      <c r="A143" s="12" t="n"/>
      <c r="B143">
        <f>IF($AB143="","",INDEX('Per Line'!$C$2:$C$4001,$AB143)&amp;"")</f>
        <v/>
      </c>
      <c r="C143">
        <f>IF($AB143="","",INDEX('Per Line'!$D$2:$D$4001,$AB143)&amp;"")</f>
        <v/>
      </c>
      <c r="D143">
        <f>IF($AB143="","",INDEX('Per Line'!$B$2:$B$4001,$AB143)&amp;"")</f>
        <v/>
      </c>
      <c r="E143">
        <f>IF($AB143="","",INDEX('Per Line'!$A$2:$A$4001,$AB143))</f>
        <v/>
      </c>
      <c r="F143" s="11">
        <f>IF($AB143="","",INDEX('Per Line'!$E$2:$E$4001,$AB143))</f>
        <v/>
      </c>
      <c r="G143">
        <f>IF($AB143="","",INDEX('Per Line'!$F$2:$F$4001,$AB143)&amp;"")</f>
        <v/>
      </c>
      <c r="H143">
        <f>IF($AB143="","",INDEX('Per Line'!$H$2:$H$4001,$AB143)&amp;"")</f>
        <v/>
      </c>
      <c r="I143">
        <f>IF($AB143="","",INDEX('Per Line'!$I$2:$I$4001,$AB143)&amp;"")</f>
        <v/>
      </c>
      <c r="J143">
        <f>IF($AB143="","",INDEX('Per Line'!$J$2:$J$4001,$AB143)&amp;"")</f>
        <v/>
      </c>
      <c r="K143">
        <f>IF($AB143="","",INDEX('Per Line'!$K$2:$K$4001,$AB143)&amp;"")</f>
        <v/>
      </c>
      <c r="L143">
        <f>IF($AB143="","",INDEX('Per Line'!$L$2:$L$4001,$AB143))</f>
        <v/>
      </c>
      <c r="M143" s="7">
        <f>IF($AB143="","",IF(AND(ISNUMBER(O143),O143&gt;0,Z143&gt;O143),L143*O143/100+(Z143-O143),L143*Z143/100))</f>
        <v/>
      </c>
      <c r="N143">
        <f>IF($AB143="","",INDEX('Per Line'!$V$2:$V$4001,$AB143)&amp;"")</f>
        <v/>
      </c>
      <c r="O143">
        <f>IF($AB143="","",INDEX('Per Line'!$Z$2:$Z$4001,$AB143))</f>
        <v/>
      </c>
      <c r="P143">
        <f>IF($AB143="","",IF(AND(ISNUMBER(O143),O143&gt;0),Z143&gt;O143,FALSE))</f>
        <v/>
      </c>
      <c r="Q143" s="7">
        <f>IF($AB143="","",SUMIFS('Per Line'!$U$2:$U$4001,'Per Line'!$C$2:$C$4001,$B143,'Per Line'!$AM$2:$AM$4001,1))</f>
        <v/>
      </c>
      <c r="R143">
        <f>IF($AB143="","",Settings!$C$7)</f>
        <v/>
      </c>
      <c r="S143" s="7">
        <f>IF($AB143="","",SUMIFS('Per Line'!$U$2:$U$4001,'Per Line'!$C$2:$C$4001,$B143,'Per Line'!$AL$2:$AL$4001,0,'Per Line'!$AM$2:$AM$4001,0))</f>
        <v/>
      </c>
      <c r="T143" s="7">
        <f>IF($AB143="","",S143*R143)</f>
        <v/>
      </c>
      <c r="U143">
        <f>IF($AB143="","",Settings!$C$6)</f>
        <v/>
      </c>
      <c r="V143" s="7">
        <f>IF($AB143="","",SUMIFS('Per Line'!$U$2:$U$4001,'Per Line'!$C$2:$C$4001,$B143,'Per Line'!$AL$2:$AL$4001,1,'Per Line'!$AM$2:$AM$4001,0))</f>
        <v/>
      </c>
      <c r="W143" s="7">
        <f>IF($AB143="","",V143*U143)</f>
        <v/>
      </c>
      <c r="X143" s="7">
        <f>IF($AB143="","",W143+T143)</f>
        <v/>
      </c>
      <c r="Y143" s="7">
        <f>IF($AB143="","",Z143-X143)</f>
        <v/>
      </c>
      <c r="Z143" s="7">
        <f>IF($AB143="","",S143+V143+Q143)</f>
        <v/>
      </c>
      <c r="AA143" s="7">
        <f>IF($AB143="","",Z143-X143-M143)</f>
        <v/>
      </c>
      <c r="AB143" s="13">
        <f>IF(ROWS($AB$2:$AB143)&lt;=MAX('Per Line'!$AK$2:$AK$4001),MATCH(ROWS($AB$2:$AB143),'Per Line'!$AK$2:$AK$4001,0),"")</f>
        <v/>
      </c>
      <c r="AC143" s="14">
        <f>IF($AB143="","",M143-L143*Z143/100)</f>
        <v/>
      </c>
    </row>
    <row r="144">
      <c r="A144" s="12" t="n"/>
      <c r="B144">
        <f>IF($AB144="","",INDEX('Per Line'!$C$2:$C$4001,$AB144)&amp;"")</f>
        <v/>
      </c>
      <c r="C144">
        <f>IF($AB144="","",INDEX('Per Line'!$D$2:$D$4001,$AB144)&amp;"")</f>
        <v/>
      </c>
      <c r="D144">
        <f>IF($AB144="","",INDEX('Per Line'!$B$2:$B$4001,$AB144)&amp;"")</f>
        <v/>
      </c>
      <c r="E144">
        <f>IF($AB144="","",INDEX('Per Line'!$A$2:$A$4001,$AB144))</f>
        <v/>
      </c>
      <c r="F144" s="11">
        <f>IF($AB144="","",INDEX('Per Line'!$E$2:$E$4001,$AB144))</f>
        <v/>
      </c>
      <c r="G144">
        <f>IF($AB144="","",INDEX('Per Line'!$F$2:$F$4001,$AB144)&amp;"")</f>
        <v/>
      </c>
      <c r="H144">
        <f>IF($AB144="","",INDEX('Per Line'!$H$2:$H$4001,$AB144)&amp;"")</f>
        <v/>
      </c>
      <c r="I144">
        <f>IF($AB144="","",INDEX('Per Line'!$I$2:$I$4001,$AB144)&amp;"")</f>
        <v/>
      </c>
      <c r="J144">
        <f>IF($AB144="","",INDEX('Per Line'!$J$2:$J$4001,$AB144)&amp;"")</f>
        <v/>
      </c>
      <c r="K144">
        <f>IF($AB144="","",INDEX('Per Line'!$K$2:$K$4001,$AB144)&amp;"")</f>
        <v/>
      </c>
      <c r="L144">
        <f>IF($AB144="","",INDEX('Per Line'!$L$2:$L$4001,$AB144))</f>
        <v/>
      </c>
      <c r="M144" s="7">
        <f>IF($AB144="","",IF(AND(ISNUMBER(O144),O144&gt;0,Z144&gt;O144),L144*O144/100+(Z144-O144),L144*Z144/100))</f>
        <v/>
      </c>
      <c r="N144">
        <f>IF($AB144="","",INDEX('Per Line'!$V$2:$V$4001,$AB144)&amp;"")</f>
        <v/>
      </c>
      <c r="O144">
        <f>IF($AB144="","",INDEX('Per Line'!$Z$2:$Z$4001,$AB144))</f>
        <v/>
      </c>
      <c r="P144">
        <f>IF($AB144="","",IF(AND(ISNUMBER(O144),O144&gt;0),Z144&gt;O144,FALSE))</f>
        <v/>
      </c>
      <c r="Q144" s="7">
        <f>IF($AB144="","",SUMIFS('Per Line'!$U$2:$U$4001,'Per Line'!$C$2:$C$4001,$B144,'Per Line'!$AM$2:$AM$4001,1))</f>
        <v/>
      </c>
      <c r="R144">
        <f>IF($AB144="","",Settings!$C$7)</f>
        <v/>
      </c>
      <c r="S144" s="7">
        <f>IF($AB144="","",SUMIFS('Per Line'!$U$2:$U$4001,'Per Line'!$C$2:$C$4001,$B144,'Per Line'!$AL$2:$AL$4001,0,'Per Line'!$AM$2:$AM$4001,0))</f>
        <v/>
      </c>
      <c r="T144" s="7">
        <f>IF($AB144="","",S144*R144)</f>
        <v/>
      </c>
      <c r="U144">
        <f>IF($AB144="","",Settings!$C$6)</f>
        <v/>
      </c>
      <c r="V144" s="7">
        <f>IF($AB144="","",SUMIFS('Per Line'!$U$2:$U$4001,'Per Line'!$C$2:$C$4001,$B144,'Per Line'!$AL$2:$AL$4001,1,'Per Line'!$AM$2:$AM$4001,0))</f>
        <v/>
      </c>
      <c r="W144" s="7">
        <f>IF($AB144="","",V144*U144)</f>
        <v/>
      </c>
      <c r="X144" s="7">
        <f>IF($AB144="","",W144+T144)</f>
        <v/>
      </c>
      <c r="Y144" s="7">
        <f>IF($AB144="","",Z144-X144)</f>
        <v/>
      </c>
      <c r="Z144" s="7">
        <f>IF($AB144="","",S144+V144+Q144)</f>
        <v/>
      </c>
      <c r="AA144" s="7">
        <f>IF($AB144="","",Z144-X144-M144)</f>
        <v/>
      </c>
      <c r="AB144" s="13">
        <f>IF(ROWS($AB$2:$AB144)&lt;=MAX('Per Line'!$AK$2:$AK$4001),MATCH(ROWS($AB$2:$AB144),'Per Line'!$AK$2:$AK$4001,0),"")</f>
        <v/>
      </c>
      <c r="AC144" s="14">
        <f>IF($AB144="","",M144-L144*Z144/100)</f>
        <v/>
      </c>
    </row>
    <row r="145">
      <c r="A145" s="12" t="n"/>
      <c r="B145">
        <f>IF($AB145="","",INDEX('Per Line'!$C$2:$C$4001,$AB145)&amp;"")</f>
        <v/>
      </c>
      <c r="C145">
        <f>IF($AB145="","",INDEX('Per Line'!$D$2:$D$4001,$AB145)&amp;"")</f>
        <v/>
      </c>
      <c r="D145">
        <f>IF($AB145="","",INDEX('Per Line'!$B$2:$B$4001,$AB145)&amp;"")</f>
        <v/>
      </c>
      <c r="E145">
        <f>IF($AB145="","",INDEX('Per Line'!$A$2:$A$4001,$AB145))</f>
        <v/>
      </c>
      <c r="F145" s="11">
        <f>IF($AB145="","",INDEX('Per Line'!$E$2:$E$4001,$AB145))</f>
        <v/>
      </c>
      <c r="G145">
        <f>IF($AB145="","",INDEX('Per Line'!$F$2:$F$4001,$AB145)&amp;"")</f>
        <v/>
      </c>
      <c r="H145">
        <f>IF($AB145="","",INDEX('Per Line'!$H$2:$H$4001,$AB145)&amp;"")</f>
        <v/>
      </c>
      <c r="I145">
        <f>IF($AB145="","",INDEX('Per Line'!$I$2:$I$4001,$AB145)&amp;"")</f>
        <v/>
      </c>
      <c r="J145">
        <f>IF($AB145="","",INDEX('Per Line'!$J$2:$J$4001,$AB145)&amp;"")</f>
        <v/>
      </c>
      <c r="K145">
        <f>IF($AB145="","",INDEX('Per Line'!$K$2:$K$4001,$AB145)&amp;"")</f>
        <v/>
      </c>
      <c r="L145">
        <f>IF($AB145="","",INDEX('Per Line'!$L$2:$L$4001,$AB145))</f>
        <v/>
      </c>
      <c r="M145" s="7">
        <f>IF($AB145="","",IF(AND(ISNUMBER(O145),O145&gt;0,Z145&gt;O145),L145*O145/100+(Z145-O145),L145*Z145/100))</f>
        <v/>
      </c>
      <c r="N145">
        <f>IF($AB145="","",INDEX('Per Line'!$V$2:$V$4001,$AB145)&amp;"")</f>
        <v/>
      </c>
      <c r="O145">
        <f>IF($AB145="","",INDEX('Per Line'!$Z$2:$Z$4001,$AB145))</f>
        <v/>
      </c>
      <c r="P145">
        <f>IF($AB145="","",IF(AND(ISNUMBER(O145),O145&gt;0),Z145&gt;O145,FALSE))</f>
        <v/>
      </c>
      <c r="Q145" s="7">
        <f>IF($AB145="","",SUMIFS('Per Line'!$U$2:$U$4001,'Per Line'!$C$2:$C$4001,$B145,'Per Line'!$AM$2:$AM$4001,1))</f>
        <v/>
      </c>
      <c r="R145">
        <f>IF($AB145="","",Settings!$C$7)</f>
        <v/>
      </c>
      <c r="S145" s="7">
        <f>IF($AB145="","",SUMIFS('Per Line'!$U$2:$U$4001,'Per Line'!$C$2:$C$4001,$B145,'Per Line'!$AL$2:$AL$4001,0,'Per Line'!$AM$2:$AM$4001,0))</f>
        <v/>
      </c>
      <c r="T145" s="7">
        <f>IF($AB145="","",S145*R145)</f>
        <v/>
      </c>
      <c r="U145">
        <f>IF($AB145="","",Settings!$C$6)</f>
        <v/>
      </c>
      <c r="V145" s="7">
        <f>IF($AB145="","",SUMIFS('Per Line'!$U$2:$U$4001,'Per Line'!$C$2:$C$4001,$B145,'Per Line'!$AL$2:$AL$4001,1,'Per Line'!$AM$2:$AM$4001,0))</f>
        <v/>
      </c>
      <c r="W145" s="7">
        <f>IF($AB145="","",V145*U145)</f>
        <v/>
      </c>
      <c r="X145" s="7">
        <f>IF($AB145="","",W145+T145)</f>
        <v/>
      </c>
      <c r="Y145" s="7">
        <f>IF($AB145="","",Z145-X145)</f>
        <v/>
      </c>
      <c r="Z145" s="7">
        <f>IF($AB145="","",S145+V145+Q145)</f>
        <v/>
      </c>
      <c r="AA145" s="7">
        <f>IF($AB145="","",Z145-X145-M145)</f>
        <v/>
      </c>
      <c r="AB145" s="13">
        <f>IF(ROWS($AB$2:$AB145)&lt;=MAX('Per Line'!$AK$2:$AK$4001),MATCH(ROWS($AB$2:$AB145),'Per Line'!$AK$2:$AK$4001,0),"")</f>
        <v/>
      </c>
      <c r="AC145" s="14">
        <f>IF($AB145="","",M145-L145*Z145/100)</f>
        <v/>
      </c>
    </row>
    <row r="146">
      <c r="A146" s="12" t="n"/>
      <c r="B146">
        <f>IF($AB146="","",INDEX('Per Line'!$C$2:$C$4001,$AB146)&amp;"")</f>
        <v/>
      </c>
      <c r="C146">
        <f>IF($AB146="","",INDEX('Per Line'!$D$2:$D$4001,$AB146)&amp;"")</f>
        <v/>
      </c>
      <c r="D146">
        <f>IF($AB146="","",INDEX('Per Line'!$B$2:$B$4001,$AB146)&amp;"")</f>
        <v/>
      </c>
      <c r="E146">
        <f>IF($AB146="","",INDEX('Per Line'!$A$2:$A$4001,$AB146))</f>
        <v/>
      </c>
      <c r="F146" s="11">
        <f>IF($AB146="","",INDEX('Per Line'!$E$2:$E$4001,$AB146))</f>
        <v/>
      </c>
      <c r="G146">
        <f>IF($AB146="","",INDEX('Per Line'!$F$2:$F$4001,$AB146)&amp;"")</f>
        <v/>
      </c>
      <c r="H146">
        <f>IF($AB146="","",INDEX('Per Line'!$H$2:$H$4001,$AB146)&amp;"")</f>
        <v/>
      </c>
      <c r="I146">
        <f>IF($AB146="","",INDEX('Per Line'!$I$2:$I$4001,$AB146)&amp;"")</f>
        <v/>
      </c>
      <c r="J146">
        <f>IF($AB146="","",INDEX('Per Line'!$J$2:$J$4001,$AB146)&amp;"")</f>
        <v/>
      </c>
      <c r="K146">
        <f>IF($AB146="","",INDEX('Per Line'!$K$2:$K$4001,$AB146)&amp;"")</f>
        <v/>
      </c>
      <c r="L146">
        <f>IF($AB146="","",INDEX('Per Line'!$L$2:$L$4001,$AB146))</f>
        <v/>
      </c>
      <c r="M146" s="7">
        <f>IF($AB146="","",IF(AND(ISNUMBER(O146),O146&gt;0,Z146&gt;O146),L146*O146/100+(Z146-O146),L146*Z146/100))</f>
        <v/>
      </c>
      <c r="N146">
        <f>IF($AB146="","",INDEX('Per Line'!$V$2:$V$4001,$AB146)&amp;"")</f>
        <v/>
      </c>
      <c r="O146">
        <f>IF($AB146="","",INDEX('Per Line'!$Z$2:$Z$4001,$AB146))</f>
        <v/>
      </c>
      <c r="P146">
        <f>IF($AB146="","",IF(AND(ISNUMBER(O146),O146&gt;0),Z146&gt;O146,FALSE))</f>
        <v/>
      </c>
      <c r="Q146" s="7">
        <f>IF($AB146="","",SUMIFS('Per Line'!$U$2:$U$4001,'Per Line'!$C$2:$C$4001,$B146,'Per Line'!$AM$2:$AM$4001,1))</f>
        <v/>
      </c>
      <c r="R146">
        <f>IF($AB146="","",Settings!$C$7)</f>
        <v/>
      </c>
      <c r="S146" s="7">
        <f>IF($AB146="","",SUMIFS('Per Line'!$U$2:$U$4001,'Per Line'!$C$2:$C$4001,$B146,'Per Line'!$AL$2:$AL$4001,0,'Per Line'!$AM$2:$AM$4001,0))</f>
        <v/>
      </c>
      <c r="T146" s="7">
        <f>IF($AB146="","",S146*R146)</f>
        <v/>
      </c>
      <c r="U146">
        <f>IF($AB146="","",Settings!$C$6)</f>
        <v/>
      </c>
      <c r="V146" s="7">
        <f>IF($AB146="","",SUMIFS('Per Line'!$U$2:$U$4001,'Per Line'!$C$2:$C$4001,$B146,'Per Line'!$AL$2:$AL$4001,1,'Per Line'!$AM$2:$AM$4001,0))</f>
        <v/>
      </c>
      <c r="W146" s="7">
        <f>IF($AB146="","",V146*U146)</f>
        <v/>
      </c>
      <c r="X146" s="7">
        <f>IF($AB146="","",W146+T146)</f>
        <v/>
      </c>
      <c r="Y146" s="7">
        <f>IF($AB146="","",Z146-X146)</f>
        <v/>
      </c>
      <c r="Z146" s="7">
        <f>IF($AB146="","",S146+V146+Q146)</f>
        <v/>
      </c>
      <c r="AA146" s="7">
        <f>IF($AB146="","",Z146-X146-M146)</f>
        <v/>
      </c>
      <c r="AB146" s="13">
        <f>IF(ROWS($AB$2:$AB146)&lt;=MAX('Per Line'!$AK$2:$AK$4001),MATCH(ROWS($AB$2:$AB146),'Per Line'!$AK$2:$AK$4001,0),"")</f>
        <v/>
      </c>
      <c r="AC146" s="14">
        <f>IF($AB146="","",M146-L146*Z146/100)</f>
        <v/>
      </c>
    </row>
    <row r="147">
      <c r="A147" s="12" t="n"/>
      <c r="B147">
        <f>IF($AB147="","",INDEX('Per Line'!$C$2:$C$4001,$AB147)&amp;"")</f>
        <v/>
      </c>
      <c r="C147">
        <f>IF($AB147="","",INDEX('Per Line'!$D$2:$D$4001,$AB147)&amp;"")</f>
        <v/>
      </c>
      <c r="D147">
        <f>IF($AB147="","",INDEX('Per Line'!$B$2:$B$4001,$AB147)&amp;"")</f>
        <v/>
      </c>
      <c r="E147">
        <f>IF($AB147="","",INDEX('Per Line'!$A$2:$A$4001,$AB147))</f>
        <v/>
      </c>
      <c r="F147" s="11">
        <f>IF($AB147="","",INDEX('Per Line'!$E$2:$E$4001,$AB147))</f>
        <v/>
      </c>
      <c r="G147">
        <f>IF($AB147="","",INDEX('Per Line'!$F$2:$F$4001,$AB147)&amp;"")</f>
        <v/>
      </c>
      <c r="H147">
        <f>IF($AB147="","",INDEX('Per Line'!$H$2:$H$4001,$AB147)&amp;"")</f>
        <v/>
      </c>
      <c r="I147">
        <f>IF($AB147="","",INDEX('Per Line'!$I$2:$I$4001,$AB147)&amp;"")</f>
        <v/>
      </c>
      <c r="J147">
        <f>IF($AB147="","",INDEX('Per Line'!$J$2:$J$4001,$AB147)&amp;"")</f>
        <v/>
      </c>
      <c r="K147">
        <f>IF($AB147="","",INDEX('Per Line'!$K$2:$K$4001,$AB147)&amp;"")</f>
        <v/>
      </c>
      <c r="L147">
        <f>IF($AB147="","",INDEX('Per Line'!$L$2:$L$4001,$AB147))</f>
        <v/>
      </c>
      <c r="M147" s="7">
        <f>IF($AB147="","",IF(AND(ISNUMBER(O147),O147&gt;0,Z147&gt;O147),L147*O147/100+(Z147-O147),L147*Z147/100))</f>
        <v/>
      </c>
      <c r="N147">
        <f>IF($AB147="","",INDEX('Per Line'!$V$2:$V$4001,$AB147)&amp;"")</f>
        <v/>
      </c>
      <c r="O147">
        <f>IF($AB147="","",INDEX('Per Line'!$Z$2:$Z$4001,$AB147))</f>
        <v/>
      </c>
      <c r="P147">
        <f>IF($AB147="","",IF(AND(ISNUMBER(O147),O147&gt;0),Z147&gt;O147,FALSE))</f>
        <v/>
      </c>
      <c r="Q147" s="7">
        <f>IF($AB147="","",SUMIFS('Per Line'!$U$2:$U$4001,'Per Line'!$C$2:$C$4001,$B147,'Per Line'!$AM$2:$AM$4001,1))</f>
        <v/>
      </c>
      <c r="R147">
        <f>IF($AB147="","",Settings!$C$7)</f>
        <v/>
      </c>
      <c r="S147" s="7">
        <f>IF($AB147="","",SUMIFS('Per Line'!$U$2:$U$4001,'Per Line'!$C$2:$C$4001,$B147,'Per Line'!$AL$2:$AL$4001,0,'Per Line'!$AM$2:$AM$4001,0))</f>
        <v/>
      </c>
      <c r="T147" s="7">
        <f>IF($AB147="","",S147*R147)</f>
        <v/>
      </c>
      <c r="U147">
        <f>IF($AB147="","",Settings!$C$6)</f>
        <v/>
      </c>
      <c r="V147" s="7">
        <f>IF($AB147="","",SUMIFS('Per Line'!$U$2:$U$4001,'Per Line'!$C$2:$C$4001,$B147,'Per Line'!$AL$2:$AL$4001,1,'Per Line'!$AM$2:$AM$4001,0))</f>
        <v/>
      </c>
      <c r="W147" s="7">
        <f>IF($AB147="","",V147*U147)</f>
        <v/>
      </c>
      <c r="X147" s="7">
        <f>IF($AB147="","",W147+T147)</f>
        <v/>
      </c>
      <c r="Y147" s="7">
        <f>IF($AB147="","",Z147-X147)</f>
        <v/>
      </c>
      <c r="Z147" s="7">
        <f>IF($AB147="","",S147+V147+Q147)</f>
        <v/>
      </c>
      <c r="AA147" s="7">
        <f>IF($AB147="","",Z147-X147-M147)</f>
        <v/>
      </c>
      <c r="AB147" s="13">
        <f>IF(ROWS($AB$2:$AB147)&lt;=MAX('Per Line'!$AK$2:$AK$4001),MATCH(ROWS($AB$2:$AB147),'Per Line'!$AK$2:$AK$4001,0),"")</f>
        <v/>
      </c>
      <c r="AC147" s="14">
        <f>IF($AB147="","",M147-L147*Z147/100)</f>
        <v/>
      </c>
    </row>
    <row r="148">
      <c r="A148" s="12" t="n"/>
      <c r="B148">
        <f>IF($AB148="","",INDEX('Per Line'!$C$2:$C$4001,$AB148)&amp;"")</f>
        <v/>
      </c>
      <c r="C148">
        <f>IF($AB148="","",INDEX('Per Line'!$D$2:$D$4001,$AB148)&amp;"")</f>
        <v/>
      </c>
      <c r="D148">
        <f>IF($AB148="","",INDEX('Per Line'!$B$2:$B$4001,$AB148)&amp;"")</f>
        <v/>
      </c>
      <c r="E148">
        <f>IF($AB148="","",INDEX('Per Line'!$A$2:$A$4001,$AB148))</f>
        <v/>
      </c>
      <c r="F148" s="11">
        <f>IF($AB148="","",INDEX('Per Line'!$E$2:$E$4001,$AB148))</f>
        <v/>
      </c>
      <c r="G148">
        <f>IF($AB148="","",INDEX('Per Line'!$F$2:$F$4001,$AB148)&amp;"")</f>
        <v/>
      </c>
      <c r="H148">
        <f>IF($AB148="","",INDEX('Per Line'!$H$2:$H$4001,$AB148)&amp;"")</f>
        <v/>
      </c>
      <c r="I148">
        <f>IF($AB148="","",INDEX('Per Line'!$I$2:$I$4001,$AB148)&amp;"")</f>
        <v/>
      </c>
      <c r="J148">
        <f>IF($AB148="","",INDEX('Per Line'!$J$2:$J$4001,$AB148)&amp;"")</f>
        <v/>
      </c>
      <c r="K148">
        <f>IF($AB148="","",INDEX('Per Line'!$K$2:$K$4001,$AB148)&amp;"")</f>
        <v/>
      </c>
      <c r="L148">
        <f>IF($AB148="","",INDEX('Per Line'!$L$2:$L$4001,$AB148))</f>
        <v/>
      </c>
      <c r="M148" s="7">
        <f>IF($AB148="","",IF(AND(ISNUMBER(O148),O148&gt;0,Z148&gt;O148),L148*O148/100+(Z148-O148),L148*Z148/100))</f>
        <v/>
      </c>
      <c r="N148">
        <f>IF($AB148="","",INDEX('Per Line'!$V$2:$V$4001,$AB148)&amp;"")</f>
        <v/>
      </c>
      <c r="O148">
        <f>IF($AB148="","",INDEX('Per Line'!$Z$2:$Z$4001,$AB148))</f>
        <v/>
      </c>
      <c r="P148">
        <f>IF($AB148="","",IF(AND(ISNUMBER(O148),O148&gt;0),Z148&gt;O148,FALSE))</f>
        <v/>
      </c>
      <c r="Q148" s="7">
        <f>IF($AB148="","",SUMIFS('Per Line'!$U$2:$U$4001,'Per Line'!$C$2:$C$4001,$B148,'Per Line'!$AM$2:$AM$4001,1))</f>
        <v/>
      </c>
      <c r="R148">
        <f>IF($AB148="","",Settings!$C$7)</f>
        <v/>
      </c>
      <c r="S148" s="7">
        <f>IF($AB148="","",SUMIFS('Per Line'!$U$2:$U$4001,'Per Line'!$C$2:$C$4001,$B148,'Per Line'!$AL$2:$AL$4001,0,'Per Line'!$AM$2:$AM$4001,0))</f>
        <v/>
      </c>
      <c r="T148" s="7">
        <f>IF($AB148="","",S148*R148)</f>
        <v/>
      </c>
      <c r="U148">
        <f>IF($AB148="","",Settings!$C$6)</f>
        <v/>
      </c>
      <c r="V148" s="7">
        <f>IF($AB148="","",SUMIFS('Per Line'!$U$2:$U$4001,'Per Line'!$C$2:$C$4001,$B148,'Per Line'!$AL$2:$AL$4001,1,'Per Line'!$AM$2:$AM$4001,0))</f>
        <v/>
      </c>
      <c r="W148" s="7">
        <f>IF($AB148="","",V148*U148)</f>
        <v/>
      </c>
      <c r="X148" s="7">
        <f>IF($AB148="","",W148+T148)</f>
        <v/>
      </c>
      <c r="Y148" s="7">
        <f>IF($AB148="","",Z148-X148)</f>
        <v/>
      </c>
      <c r="Z148" s="7">
        <f>IF($AB148="","",S148+V148+Q148)</f>
        <v/>
      </c>
      <c r="AA148" s="7">
        <f>IF($AB148="","",Z148-X148-M148)</f>
        <v/>
      </c>
      <c r="AB148" s="13">
        <f>IF(ROWS($AB$2:$AB148)&lt;=MAX('Per Line'!$AK$2:$AK$4001),MATCH(ROWS($AB$2:$AB148),'Per Line'!$AK$2:$AK$4001,0),"")</f>
        <v/>
      </c>
      <c r="AC148" s="14">
        <f>IF($AB148="","",M148-L148*Z148/100)</f>
        <v/>
      </c>
    </row>
    <row r="149">
      <c r="A149" s="12" t="n"/>
      <c r="B149">
        <f>IF($AB149="","",INDEX('Per Line'!$C$2:$C$4001,$AB149)&amp;"")</f>
        <v/>
      </c>
      <c r="C149">
        <f>IF($AB149="","",INDEX('Per Line'!$D$2:$D$4001,$AB149)&amp;"")</f>
        <v/>
      </c>
      <c r="D149">
        <f>IF($AB149="","",INDEX('Per Line'!$B$2:$B$4001,$AB149)&amp;"")</f>
        <v/>
      </c>
      <c r="E149">
        <f>IF($AB149="","",INDEX('Per Line'!$A$2:$A$4001,$AB149))</f>
        <v/>
      </c>
      <c r="F149" s="11">
        <f>IF($AB149="","",INDEX('Per Line'!$E$2:$E$4001,$AB149))</f>
        <v/>
      </c>
      <c r="G149">
        <f>IF($AB149="","",INDEX('Per Line'!$F$2:$F$4001,$AB149)&amp;"")</f>
        <v/>
      </c>
      <c r="H149">
        <f>IF($AB149="","",INDEX('Per Line'!$H$2:$H$4001,$AB149)&amp;"")</f>
        <v/>
      </c>
      <c r="I149">
        <f>IF($AB149="","",INDEX('Per Line'!$I$2:$I$4001,$AB149)&amp;"")</f>
        <v/>
      </c>
      <c r="J149">
        <f>IF($AB149="","",INDEX('Per Line'!$J$2:$J$4001,$AB149)&amp;"")</f>
        <v/>
      </c>
      <c r="K149">
        <f>IF($AB149="","",INDEX('Per Line'!$K$2:$K$4001,$AB149)&amp;"")</f>
        <v/>
      </c>
      <c r="L149">
        <f>IF($AB149="","",INDEX('Per Line'!$L$2:$L$4001,$AB149))</f>
        <v/>
      </c>
      <c r="M149" s="7">
        <f>IF($AB149="","",IF(AND(ISNUMBER(O149),O149&gt;0,Z149&gt;O149),L149*O149/100+(Z149-O149),L149*Z149/100))</f>
        <v/>
      </c>
      <c r="N149">
        <f>IF($AB149="","",INDEX('Per Line'!$V$2:$V$4001,$AB149)&amp;"")</f>
        <v/>
      </c>
      <c r="O149">
        <f>IF($AB149="","",INDEX('Per Line'!$Z$2:$Z$4001,$AB149))</f>
        <v/>
      </c>
      <c r="P149">
        <f>IF($AB149="","",IF(AND(ISNUMBER(O149),O149&gt;0),Z149&gt;O149,FALSE))</f>
        <v/>
      </c>
      <c r="Q149" s="7">
        <f>IF($AB149="","",SUMIFS('Per Line'!$U$2:$U$4001,'Per Line'!$C$2:$C$4001,$B149,'Per Line'!$AM$2:$AM$4001,1))</f>
        <v/>
      </c>
      <c r="R149">
        <f>IF($AB149="","",Settings!$C$7)</f>
        <v/>
      </c>
      <c r="S149" s="7">
        <f>IF($AB149="","",SUMIFS('Per Line'!$U$2:$U$4001,'Per Line'!$C$2:$C$4001,$B149,'Per Line'!$AL$2:$AL$4001,0,'Per Line'!$AM$2:$AM$4001,0))</f>
        <v/>
      </c>
      <c r="T149" s="7">
        <f>IF($AB149="","",S149*R149)</f>
        <v/>
      </c>
      <c r="U149">
        <f>IF($AB149="","",Settings!$C$6)</f>
        <v/>
      </c>
      <c r="V149" s="7">
        <f>IF($AB149="","",SUMIFS('Per Line'!$U$2:$U$4001,'Per Line'!$C$2:$C$4001,$B149,'Per Line'!$AL$2:$AL$4001,1,'Per Line'!$AM$2:$AM$4001,0))</f>
        <v/>
      </c>
      <c r="W149" s="7">
        <f>IF($AB149="","",V149*U149)</f>
        <v/>
      </c>
      <c r="X149" s="7">
        <f>IF($AB149="","",W149+T149)</f>
        <v/>
      </c>
      <c r="Y149" s="7">
        <f>IF($AB149="","",Z149-X149)</f>
        <v/>
      </c>
      <c r="Z149" s="7">
        <f>IF($AB149="","",S149+V149+Q149)</f>
        <v/>
      </c>
      <c r="AA149" s="7">
        <f>IF($AB149="","",Z149-X149-M149)</f>
        <v/>
      </c>
      <c r="AB149" s="13">
        <f>IF(ROWS($AB$2:$AB149)&lt;=MAX('Per Line'!$AK$2:$AK$4001),MATCH(ROWS($AB$2:$AB149),'Per Line'!$AK$2:$AK$4001,0),"")</f>
        <v/>
      </c>
      <c r="AC149" s="14">
        <f>IF($AB149="","",M149-L149*Z149/100)</f>
        <v/>
      </c>
    </row>
    <row r="150">
      <c r="A150" s="12" t="n"/>
      <c r="B150">
        <f>IF($AB150="","",INDEX('Per Line'!$C$2:$C$4001,$AB150)&amp;"")</f>
        <v/>
      </c>
      <c r="C150">
        <f>IF($AB150="","",INDEX('Per Line'!$D$2:$D$4001,$AB150)&amp;"")</f>
        <v/>
      </c>
      <c r="D150">
        <f>IF($AB150="","",INDEX('Per Line'!$B$2:$B$4001,$AB150)&amp;"")</f>
        <v/>
      </c>
      <c r="E150">
        <f>IF($AB150="","",INDEX('Per Line'!$A$2:$A$4001,$AB150))</f>
        <v/>
      </c>
      <c r="F150" s="11">
        <f>IF($AB150="","",INDEX('Per Line'!$E$2:$E$4001,$AB150))</f>
        <v/>
      </c>
      <c r="G150">
        <f>IF($AB150="","",INDEX('Per Line'!$F$2:$F$4001,$AB150)&amp;"")</f>
        <v/>
      </c>
      <c r="H150">
        <f>IF($AB150="","",INDEX('Per Line'!$H$2:$H$4001,$AB150)&amp;"")</f>
        <v/>
      </c>
      <c r="I150">
        <f>IF($AB150="","",INDEX('Per Line'!$I$2:$I$4001,$AB150)&amp;"")</f>
        <v/>
      </c>
      <c r="J150">
        <f>IF($AB150="","",INDEX('Per Line'!$J$2:$J$4001,$AB150)&amp;"")</f>
        <v/>
      </c>
      <c r="K150">
        <f>IF($AB150="","",INDEX('Per Line'!$K$2:$K$4001,$AB150)&amp;"")</f>
        <v/>
      </c>
      <c r="L150">
        <f>IF($AB150="","",INDEX('Per Line'!$L$2:$L$4001,$AB150))</f>
        <v/>
      </c>
      <c r="M150" s="7">
        <f>IF($AB150="","",IF(AND(ISNUMBER(O150),O150&gt;0,Z150&gt;O150),L150*O150/100+(Z150-O150),L150*Z150/100))</f>
        <v/>
      </c>
      <c r="N150">
        <f>IF($AB150="","",INDEX('Per Line'!$V$2:$V$4001,$AB150)&amp;"")</f>
        <v/>
      </c>
      <c r="O150">
        <f>IF($AB150="","",INDEX('Per Line'!$Z$2:$Z$4001,$AB150))</f>
        <v/>
      </c>
      <c r="P150">
        <f>IF($AB150="","",IF(AND(ISNUMBER(O150),O150&gt;0),Z150&gt;O150,FALSE))</f>
        <v/>
      </c>
      <c r="Q150" s="7">
        <f>IF($AB150="","",SUMIFS('Per Line'!$U$2:$U$4001,'Per Line'!$C$2:$C$4001,$B150,'Per Line'!$AM$2:$AM$4001,1))</f>
        <v/>
      </c>
      <c r="R150">
        <f>IF($AB150="","",Settings!$C$7)</f>
        <v/>
      </c>
      <c r="S150" s="7">
        <f>IF($AB150="","",SUMIFS('Per Line'!$U$2:$U$4001,'Per Line'!$C$2:$C$4001,$B150,'Per Line'!$AL$2:$AL$4001,0,'Per Line'!$AM$2:$AM$4001,0))</f>
        <v/>
      </c>
      <c r="T150" s="7">
        <f>IF($AB150="","",S150*R150)</f>
        <v/>
      </c>
      <c r="U150">
        <f>IF($AB150="","",Settings!$C$6)</f>
        <v/>
      </c>
      <c r="V150" s="7">
        <f>IF($AB150="","",SUMIFS('Per Line'!$U$2:$U$4001,'Per Line'!$C$2:$C$4001,$B150,'Per Line'!$AL$2:$AL$4001,1,'Per Line'!$AM$2:$AM$4001,0))</f>
        <v/>
      </c>
      <c r="W150" s="7">
        <f>IF($AB150="","",V150*U150)</f>
        <v/>
      </c>
      <c r="X150" s="7">
        <f>IF($AB150="","",W150+T150)</f>
        <v/>
      </c>
      <c r="Y150" s="7">
        <f>IF($AB150="","",Z150-X150)</f>
        <v/>
      </c>
      <c r="Z150" s="7">
        <f>IF($AB150="","",S150+V150+Q150)</f>
        <v/>
      </c>
      <c r="AA150" s="7">
        <f>IF($AB150="","",Z150-X150-M150)</f>
        <v/>
      </c>
      <c r="AB150" s="13">
        <f>IF(ROWS($AB$2:$AB150)&lt;=MAX('Per Line'!$AK$2:$AK$4001),MATCH(ROWS($AB$2:$AB150),'Per Line'!$AK$2:$AK$4001,0),"")</f>
        <v/>
      </c>
      <c r="AC150" s="14">
        <f>IF($AB150="","",M150-L150*Z150/100)</f>
        <v/>
      </c>
    </row>
    <row r="151">
      <c r="A151" s="12" t="n"/>
      <c r="B151">
        <f>IF($AB151="","",INDEX('Per Line'!$C$2:$C$4001,$AB151)&amp;"")</f>
        <v/>
      </c>
      <c r="C151">
        <f>IF($AB151="","",INDEX('Per Line'!$D$2:$D$4001,$AB151)&amp;"")</f>
        <v/>
      </c>
      <c r="D151">
        <f>IF($AB151="","",INDEX('Per Line'!$B$2:$B$4001,$AB151)&amp;"")</f>
        <v/>
      </c>
      <c r="E151">
        <f>IF($AB151="","",INDEX('Per Line'!$A$2:$A$4001,$AB151))</f>
        <v/>
      </c>
      <c r="F151" s="11">
        <f>IF($AB151="","",INDEX('Per Line'!$E$2:$E$4001,$AB151))</f>
        <v/>
      </c>
      <c r="G151">
        <f>IF($AB151="","",INDEX('Per Line'!$F$2:$F$4001,$AB151)&amp;"")</f>
        <v/>
      </c>
      <c r="H151">
        <f>IF($AB151="","",INDEX('Per Line'!$H$2:$H$4001,$AB151)&amp;"")</f>
        <v/>
      </c>
      <c r="I151">
        <f>IF($AB151="","",INDEX('Per Line'!$I$2:$I$4001,$AB151)&amp;"")</f>
        <v/>
      </c>
      <c r="J151">
        <f>IF($AB151="","",INDEX('Per Line'!$J$2:$J$4001,$AB151)&amp;"")</f>
        <v/>
      </c>
      <c r="K151">
        <f>IF($AB151="","",INDEX('Per Line'!$K$2:$K$4001,$AB151)&amp;"")</f>
        <v/>
      </c>
      <c r="L151">
        <f>IF($AB151="","",INDEX('Per Line'!$L$2:$L$4001,$AB151))</f>
        <v/>
      </c>
      <c r="M151" s="7">
        <f>IF($AB151="","",IF(AND(ISNUMBER(O151),O151&gt;0,Z151&gt;O151),L151*O151/100+(Z151-O151),L151*Z151/100))</f>
        <v/>
      </c>
      <c r="N151">
        <f>IF($AB151="","",INDEX('Per Line'!$V$2:$V$4001,$AB151)&amp;"")</f>
        <v/>
      </c>
      <c r="O151">
        <f>IF($AB151="","",INDEX('Per Line'!$Z$2:$Z$4001,$AB151))</f>
        <v/>
      </c>
      <c r="P151">
        <f>IF($AB151="","",IF(AND(ISNUMBER(O151),O151&gt;0),Z151&gt;O151,FALSE))</f>
        <v/>
      </c>
      <c r="Q151" s="7">
        <f>IF($AB151="","",SUMIFS('Per Line'!$U$2:$U$4001,'Per Line'!$C$2:$C$4001,$B151,'Per Line'!$AM$2:$AM$4001,1))</f>
        <v/>
      </c>
      <c r="R151">
        <f>IF($AB151="","",Settings!$C$7)</f>
        <v/>
      </c>
      <c r="S151" s="7">
        <f>IF($AB151="","",SUMIFS('Per Line'!$U$2:$U$4001,'Per Line'!$C$2:$C$4001,$B151,'Per Line'!$AL$2:$AL$4001,0,'Per Line'!$AM$2:$AM$4001,0))</f>
        <v/>
      </c>
      <c r="T151" s="7">
        <f>IF($AB151="","",S151*R151)</f>
        <v/>
      </c>
      <c r="U151">
        <f>IF($AB151="","",Settings!$C$6)</f>
        <v/>
      </c>
      <c r="V151" s="7">
        <f>IF($AB151="","",SUMIFS('Per Line'!$U$2:$U$4001,'Per Line'!$C$2:$C$4001,$B151,'Per Line'!$AL$2:$AL$4001,1,'Per Line'!$AM$2:$AM$4001,0))</f>
        <v/>
      </c>
      <c r="W151" s="7">
        <f>IF($AB151="","",V151*U151)</f>
        <v/>
      </c>
      <c r="X151" s="7">
        <f>IF($AB151="","",W151+T151)</f>
        <v/>
      </c>
      <c r="Y151" s="7">
        <f>IF($AB151="","",Z151-X151)</f>
        <v/>
      </c>
      <c r="Z151" s="7">
        <f>IF($AB151="","",S151+V151+Q151)</f>
        <v/>
      </c>
      <c r="AA151" s="7">
        <f>IF($AB151="","",Z151-X151-M151)</f>
        <v/>
      </c>
      <c r="AB151" s="13">
        <f>IF(ROWS($AB$2:$AB151)&lt;=MAX('Per Line'!$AK$2:$AK$4001),MATCH(ROWS($AB$2:$AB151),'Per Line'!$AK$2:$AK$4001,0),"")</f>
        <v/>
      </c>
      <c r="AC151" s="14">
        <f>IF($AB151="","",M151-L151*Z151/100)</f>
        <v/>
      </c>
    </row>
    <row r="152">
      <c r="A152" s="12" t="n"/>
      <c r="B152">
        <f>IF($AB152="","",INDEX('Per Line'!$C$2:$C$4001,$AB152)&amp;"")</f>
        <v/>
      </c>
      <c r="C152">
        <f>IF($AB152="","",INDEX('Per Line'!$D$2:$D$4001,$AB152)&amp;"")</f>
        <v/>
      </c>
      <c r="D152">
        <f>IF($AB152="","",INDEX('Per Line'!$B$2:$B$4001,$AB152)&amp;"")</f>
        <v/>
      </c>
      <c r="E152">
        <f>IF($AB152="","",INDEX('Per Line'!$A$2:$A$4001,$AB152))</f>
        <v/>
      </c>
      <c r="F152" s="11">
        <f>IF($AB152="","",INDEX('Per Line'!$E$2:$E$4001,$AB152))</f>
        <v/>
      </c>
      <c r="G152">
        <f>IF($AB152="","",INDEX('Per Line'!$F$2:$F$4001,$AB152)&amp;"")</f>
        <v/>
      </c>
      <c r="H152">
        <f>IF($AB152="","",INDEX('Per Line'!$H$2:$H$4001,$AB152)&amp;"")</f>
        <v/>
      </c>
      <c r="I152">
        <f>IF($AB152="","",INDEX('Per Line'!$I$2:$I$4001,$AB152)&amp;"")</f>
        <v/>
      </c>
      <c r="J152">
        <f>IF($AB152="","",INDEX('Per Line'!$J$2:$J$4001,$AB152)&amp;"")</f>
        <v/>
      </c>
      <c r="K152">
        <f>IF($AB152="","",INDEX('Per Line'!$K$2:$K$4001,$AB152)&amp;"")</f>
        <v/>
      </c>
      <c r="L152">
        <f>IF($AB152="","",INDEX('Per Line'!$L$2:$L$4001,$AB152))</f>
        <v/>
      </c>
      <c r="M152" s="7">
        <f>IF($AB152="","",IF(AND(ISNUMBER(O152),O152&gt;0,Z152&gt;O152),L152*O152/100+(Z152-O152),L152*Z152/100))</f>
        <v/>
      </c>
      <c r="N152">
        <f>IF($AB152="","",INDEX('Per Line'!$V$2:$V$4001,$AB152)&amp;"")</f>
        <v/>
      </c>
      <c r="O152">
        <f>IF($AB152="","",INDEX('Per Line'!$Z$2:$Z$4001,$AB152))</f>
        <v/>
      </c>
      <c r="P152">
        <f>IF($AB152="","",IF(AND(ISNUMBER(O152),O152&gt;0),Z152&gt;O152,FALSE))</f>
        <v/>
      </c>
      <c r="Q152" s="7">
        <f>IF($AB152="","",SUMIFS('Per Line'!$U$2:$U$4001,'Per Line'!$C$2:$C$4001,$B152,'Per Line'!$AM$2:$AM$4001,1))</f>
        <v/>
      </c>
      <c r="R152">
        <f>IF($AB152="","",Settings!$C$7)</f>
        <v/>
      </c>
      <c r="S152" s="7">
        <f>IF($AB152="","",SUMIFS('Per Line'!$U$2:$U$4001,'Per Line'!$C$2:$C$4001,$B152,'Per Line'!$AL$2:$AL$4001,0,'Per Line'!$AM$2:$AM$4001,0))</f>
        <v/>
      </c>
      <c r="T152" s="7">
        <f>IF($AB152="","",S152*R152)</f>
        <v/>
      </c>
      <c r="U152">
        <f>IF($AB152="","",Settings!$C$6)</f>
        <v/>
      </c>
      <c r="V152" s="7">
        <f>IF($AB152="","",SUMIFS('Per Line'!$U$2:$U$4001,'Per Line'!$C$2:$C$4001,$B152,'Per Line'!$AL$2:$AL$4001,1,'Per Line'!$AM$2:$AM$4001,0))</f>
        <v/>
      </c>
      <c r="W152" s="7">
        <f>IF($AB152="","",V152*U152)</f>
        <v/>
      </c>
      <c r="X152" s="7">
        <f>IF($AB152="","",W152+T152)</f>
        <v/>
      </c>
      <c r="Y152" s="7">
        <f>IF($AB152="","",Z152-X152)</f>
        <v/>
      </c>
      <c r="Z152" s="7">
        <f>IF($AB152="","",S152+V152+Q152)</f>
        <v/>
      </c>
      <c r="AA152" s="7">
        <f>IF($AB152="","",Z152-X152-M152)</f>
        <v/>
      </c>
      <c r="AB152" s="13">
        <f>IF(ROWS($AB$2:$AB152)&lt;=MAX('Per Line'!$AK$2:$AK$4001),MATCH(ROWS($AB$2:$AB152),'Per Line'!$AK$2:$AK$4001,0),"")</f>
        <v/>
      </c>
      <c r="AC152" s="14">
        <f>IF($AB152="","",M152-L152*Z152/100)</f>
        <v/>
      </c>
    </row>
    <row r="153">
      <c r="A153" s="12" t="n"/>
      <c r="B153">
        <f>IF($AB153="","",INDEX('Per Line'!$C$2:$C$4001,$AB153)&amp;"")</f>
        <v/>
      </c>
      <c r="C153">
        <f>IF($AB153="","",INDEX('Per Line'!$D$2:$D$4001,$AB153)&amp;"")</f>
        <v/>
      </c>
      <c r="D153">
        <f>IF($AB153="","",INDEX('Per Line'!$B$2:$B$4001,$AB153)&amp;"")</f>
        <v/>
      </c>
      <c r="E153">
        <f>IF($AB153="","",INDEX('Per Line'!$A$2:$A$4001,$AB153))</f>
        <v/>
      </c>
      <c r="F153" s="11">
        <f>IF($AB153="","",INDEX('Per Line'!$E$2:$E$4001,$AB153))</f>
        <v/>
      </c>
      <c r="G153">
        <f>IF($AB153="","",INDEX('Per Line'!$F$2:$F$4001,$AB153)&amp;"")</f>
        <v/>
      </c>
      <c r="H153">
        <f>IF($AB153="","",INDEX('Per Line'!$H$2:$H$4001,$AB153)&amp;"")</f>
        <v/>
      </c>
      <c r="I153">
        <f>IF($AB153="","",INDEX('Per Line'!$I$2:$I$4001,$AB153)&amp;"")</f>
        <v/>
      </c>
      <c r="J153">
        <f>IF($AB153="","",INDEX('Per Line'!$J$2:$J$4001,$AB153)&amp;"")</f>
        <v/>
      </c>
      <c r="K153">
        <f>IF($AB153="","",INDEX('Per Line'!$K$2:$K$4001,$AB153)&amp;"")</f>
        <v/>
      </c>
      <c r="L153">
        <f>IF($AB153="","",INDEX('Per Line'!$L$2:$L$4001,$AB153))</f>
        <v/>
      </c>
      <c r="M153" s="7">
        <f>IF($AB153="","",IF(AND(ISNUMBER(O153),O153&gt;0,Z153&gt;O153),L153*O153/100+(Z153-O153),L153*Z153/100))</f>
        <v/>
      </c>
      <c r="N153">
        <f>IF($AB153="","",INDEX('Per Line'!$V$2:$V$4001,$AB153)&amp;"")</f>
        <v/>
      </c>
      <c r="O153">
        <f>IF($AB153="","",INDEX('Per Line'!$Z$2:$Z$4001,$AB153))</f>
        <v/>
      </c>
      <c r="P153">
        <f>IF($AB153="","",IF(AND(ISNUMBER(O153),O153&gt;0),Z153&gt;O153,FALSE))</f>
        <v/>
      </c>
      <c r="Q153" s="7">
        <f>IF($AB153="","",SUMIFS('Per Line'!$U$2:$U$4001,'Per Line'!$C$2:$C$4001,$B153,'Per Line'!$AM$2:$AM$4001,1))</f>
        <v/>
      </c>
      <c r="R153">
        <f>IF($AB153="","",Settings!$C$7)</f>
        <v/>
      </c>
      <c r="S153" s="7">
        <f>IF($AB153="","",SUMIFS('Per Line'!$U$2:$U$4001,'Per Line'!$C$2:$C$4001,$B153,'Per Line'!$AL$2:$AL$4001,0,'Per Line'!$AM$2:$AM$4001,0))</f>
        <v/>
      </c>
      <c r="T153" s="7">
        <f>IF($AB153="","",S153*R153)</f>
        <v/>
      </c>
      <c r="U153">
        <f>IF($AB153="","",Settings!$C$6)</f>
        <v/>
      </c>
      <c r="V153" s="7">
        <f>IF($AB153="","",SUMIFS('Per Line'!$U$2:$U$4001,'Per Line'!$C$2:$C$4001,$B153,'Per Line'!$AL$2:$AL$4001,1,'Per Line'!$AM$2:$AM$4001,0))</f>
        <v/>
      </c>
      <c r="W153" s="7">
        <f>IF($AB153="","",V153*U153)</f>
        <v/>
      </c>
      <c r="X153" s="7">
        <f>IF($AB153="","",W153+T153)</f>
        <v/>
      </c>
      <c r="Y153" s="7">
        <f>IF($AB153="","",Z153-X153)</f>
        <v/>
      </c>
      <c r="Z153" s="7">
        <f>IF($AB153="","",S153+V153+Q153)</f>
        <v/>
      </c>
      <c r="AA153" s="7">
        <f>IF($AB153="","",Z153-X153-M153)</f>
        <v/>
      </c>
      <c r="AB153" s="13">
        <f>IF(ROWS($AB$2:$AB153)&lt;=MAX('Per Line'!$AK$2:$AK$4001),MATCH(ROWS($AB$2:$AB153),'Per Line'!$AK$2:$AK$4001,0),"")</f>
        <v/>
      </c>
      <c r="AC153" s="14">
        <f>IF($AB153="","",M153-L153*Z153/100)</f>
        <v/>
      </c>
    </row>
    <row r="154">
      <c r="A154" s="12" t="n"/>
      <c r="B154">
        <f>IF($AB154="","",INDEX('Per Line'!$C$2:$C$4001,$AB154)&amp;"")</f>
        <v/>
      </c>
      <c r="C154">
        <f>IF($AB154="","",INDEX('Per Line'!$D$2:$D$4001,$AB154)&amp;"")</f>
        <v/>
      </c>
      <c r="D154">
        <f>IF($AB154="","",INDEX('Per Line'!$B$2:$B$4001,$AB154)&amp;"")</f>
        <v/>
      </c>
      <c r="E154">
        <f>IF($AB154="","",INDEX('Per Line'!$A$2:$A$4001,$AB154))</f>
        <v/>
      </c>
      <c r="F154" s="11">
        <f>IF($AB154="","",INDEX('Per Line'!$E$2:$E$4001,$AB154))</f>
        <v/>
      </c>
      <c r="G154">
        <f>IF($AB154="","",INDEX('Per Line'!$F$2:$F$4001,$AB154)&amp;"")</f>
        <v/>
      </c>
      <c r="H154">
        <f>IF($AB154="","",INDEX('Per Line'!$H$2:$H$4001,$AB154)&amp;"")</f>
        <v/>
      </c>
      <c r="I154">
        <f>IF($AB154="","",INDEX('Per Line'!$I$2:$I$4001,$AB154)&amp;"")</f>
        <v/>
      </c>
      <c r="J154">
        <f>IF($AB154="","",INDEX('Per Line'!$J$2:$J$4001,$AB154)&amp;"")</f>
        <v/>
      </c>
      <c r="K154">
        <f>IF($AB154="","",INDEX('Per Line'!$K$2:$K$4001,$AB154)&amp;"")</f>
        <v/>
      </c>
      <c r="L154">
        <f>IF($AB154="","",INDEX('Per Line'!$L$2:$L$4001,$AB154))</f>
        <v/>
      </c>
      <c r="M154" s="7">
        <f>IF($AB154="","",IF(AND(ISNUMBER(O154),O154&gt;0,Z154&gt;O154),L154*O154/100+(Z154-O154),L154*Z154/100))</f>
        <v/>
      </c>
      <c r="N154">
        <f>IF($AB154="","",INDEX('Per Line'!$V$2:$V$4001,$AB154)&amp;"")</f>
        <v/>
      </c>
      <c r="O154">
        <f>IF($AB154="","",INDEX('Per Line'!$Z$2:$Z$4001,$AB154))</f>
        <v/>
      </c>
      <c r="P154">
        <f>IF($AB154="","",IF(AND(ISNUMBER(O154),O154&gt;0),Z154&gt;O154,FALSE))</f>
        <v/>
      </c>
      <c r="Q154" s="7">
        <f>IF($AB154="","",SUMIFS('Per Line'!$U$2:$U$4001,'Per Line'!$C$2:$C$4001,$B154,'Per Line'!$AM$2:$AM$4001,1))</f>
        <v/>
      </c>
      <c r="R154">
        <f>IF($AB154="","",Settings!$C$7)</f>
        <v/>
      </c>
      <c r="S154" s="7">
        <f>IF($AB154="","",SUMIFS('Per Line'!$U$2:$U$4001,'Per Line'!$C$2:$C$4001,$B154,'Per Line'!$AL$2:$AL$4001,0,'Per Line'!$AM$2:$AM$4001,0))</f>
        <v/>
      </c>
      <c r="T154" s="7">
        <f>IF($AB154="","",S154*R154)</f>
        <v/>
      </c>
      <c r="U154">
        <f>IF($AB154="","",Settings!$C$6)</f>
        <v/>
      </c>
      <c r="V154" s="7">
        <f>IF($AB154="","",SUMIFS('Per Line'!$U$2:$U$4001,'Per Line'!$C$2:$C$4001,$B154,'Per Line'!$AL$2:$AL$4001,1,'Per Line'!$AM$2:$AM$4001,0))</f>
        <v/>
      </c>
      <c r="W154" s="7">
        <f>IF($AB154="","",V154*U154)</f>
        <v/>
      </c>
      <c r="X154" s="7">
        <f>IF($AB154="","",W154+T154)</f>
        <v/>
      </c>
      <c r="Y154" s="7">
        <f>IF($AB154="","",Z154-X154)</f>
        <v/>
      </c>
      <c r="Z154" s="7">
        <f>IF($AB154="","",S154+V154+Q154)</f>
        <v/>
      </c>
      <c r="AA154" s="7">
        <f>IF($AB154="","",Z154-X154-M154)</f>
        <v/>
      </c>
      <c r="AB154" s="13">
        <f>IF(ROWS($AB$2:$AB154)&lt;=MAX('Per Line'!$AK$2:$AK$4001),MATCH(ROWS($AB$2:$AB154),'Per Line'!$AK$2:$AK$4001,0),"")</f>
        <v/>
      </c>
      <c r="AC154" s="14">
        <f>IF($AB154="","",M154-L154*Z154/100)</f>
        <v/>
      </c>
    </row>
    <row r="155">
      <c r="A155" s="12" t="n"/>
      <c r="B155">
        <f>IF($AB155="","",INDEX('Per Line'!$C$2:$C$4001,$AB155)&amp;"")</f>
        <v/>
      </c>
      <c r="C155">
        <f>IF($AB155="","",INDEX('Per Line'!$D$2:$D$4001,$AB155)&amp;"")</f>
        <v/>
      </c>
      <c r="D155">
        <f>IF($AB155="","",INDEX('Per Line'!$B$2:$B$4001,$AB155)&amp;"")</f>
        <v/>
      </c>
      <c r="E155">
        <f>IF($AB155="","",INDEX('Per Line'!$A$2:$A$4001,$AB155))</f>
        <v/>
      </c>
      <c r="F155" s="11">
        <f>IF($AB155="","",INDEX('Per Line'!$E$2:$E$4001,$AB155))</f>
        <v/>
      </c>
      <c r="G155">
        <f>IF($AB155="","",INDEX('Per Line'!$F$2:$F$4001,$AB155)&amp;"")</f>
        <v/>
      </c>
      <c r="H155">
        <f>IF($AB155="","",INDEX('Per Line'!$H$2:$H$4001,$AB155)&amp;"")</f>
        <v/>
      </c>
      <c r="I155">
        <f>IF($AB155="","",INDEX('Per Line'!$I$2:$I$4001,$AB155)&amp;"")</f>
        <v/>
      </c>
      <c r="J155">
        <f>IF($AB155="","",INDEX('Per Line'!$J$2:$J$4001,$AB155)&amp;"")</f>
        <v/>
      </c>
      <c r="K155">
        <f>IF($AB155="","",INDEX('Per Line'!$K$2:$K$4001,$AB155)&amp;"")</f>
        <v/>
      </c>
      <c r="L155">
        <f>IF($AB155="","",INDEX('Per Line'!$L$2:$L$4001,$AB155))</f>
        <v/>
      </c>
      <c r="M155" s="7">
        <f>IF($AB155="","",IF(AND(ISNUMBER(O155),O155&gt;0,Z155&gt;O155),L155*O155/100+(Z155-O155),L155*Z155/100))</f>
        <v/>
      </c>
      <c r="N155">
        <f>IF($AB155="","",INDEX('Per Line'!$V$2:$V$4001,$AB155)&amp;"")</f>
        <v/>
      </c>
      <c r="O155">
        <f>IF($AB155="","",INDEX('Per Line'!$Z$2:$Z$4001,$AB155))</f>
        <v/>
      </c>
      <c r="P155">
        <f>IF($AB155="","",IF(AND(ISNUMBER(O155),O155&gt;0),Z155&gt;O155,FALSE))</f>
        <v/>
      </c>
      <c r="Q155" s="7">
        <f>IF($AB155="","",SUMIFS('Per Line'!$U$2:$U$4001,'Per Line'!$C$2:$C$4001,$B155,'Per Line'!$AM$2:$AM$4001,1))</f>
        <v/>
      </c>
      <c r="R155">
        <f>IF($AB155="","",Settings!$C$7)</f>
        <v/>
      </c>
      <c r="S155" s="7">
        <f>IF($AB155="","",SUMIFS('Per Line'!$U$2:$U$4001,'Per Line'!$C$2:$C$4001,$B155,'Per Line'!$AL$2:$AL$4001,0,'Per Line'!$AM$2:$AM$4001,0))</f>
        <v/>
      </c>
      <c r="T155" s="7">
        <f>IF($AB155="","",S155*R155)</f>
        <v/>
      </c>
      <c r="U155">
        <f>IF($AB155="","",Settings!$C$6)</f>
        <v/>
      </c>
      <c r="V155" s="7">
        <f>IF($AB155="","",SUMIFS('Per Line'!$U$2:$U$4001,'Per Line'!$C$2:$C$4001,$B155,'Per Line'!$AL$2:$AL$4001,1,'Per Line'!$AM$2:$AM$4001,0))</f>
        <v/>
      </c>
      <c r="W155" s="7">
        <f>IF($AB155="","",V155*U155)</f>
        <v/>
      </c>
      <c r="X155" s="7">
        <f>IF($AB155="","",W155+T155)</f>
        <v/>
      </c>
      <c r="Y155" s="7">
        <f>IF($AB155="","",Z155-X155)</f>
        <v/>
      </c>
      <c r="Z155" s="7">
        <f>IF($AB155="","",S155+V155+Q155)</f>
        <v/>
      </c>
      <c r="AA155" s="7">
        <f>IF($AB155="","",Z155-X155-M155)</f>
        <v/>
      </c>
      <c r="AB155" s="13">
        <f>IF(ROWS($AB$2:$AB155)&lt;=MAX('Per Line'!$AK$2:$AK$4001),MATCH(ROWS($AB$2:$AB155),'Per Line'!$AK$2:$AK$4001,0),"")</f>
        <v/>
      </c>
      <c r="AC155" s="14">
        <f>IF($AB155="","",M155-L155*Z155/100)</f>
        <v/>
      </c>
    </row>
    <row r="156">
      <c r="A156" s="12" t="n"/>
      <c r="B156">
        <f>IF($AB156="","",INDEX('Per Line'!$C$2:$C$4001,$AB156)&amp;"")</f>
        <v/>
      </c>
      <c r="C156">
        <f>IF($AB156="","",INDEX('Per Line'!$D$2:$D$4001,$AB156)&amp;"")</f>
        <v/>
      </c>
      <c r="D156">
        <f>IF($AB156="","",INDEX('Per Line'!$B$2:$B$4001,$AB156)&amp;"")</f>
        <v/>
      </c>
      <c r="E156">
        <f>IF($AB156="","",INDEX('Per Line'!$A$2:$A$4001,$AB156))</f>
        <v/>
      </c>
      <c r="F156" s="11">
        <f>IF($AB156="","",INDEX('Per Line'!$E$2:$E$4001,$AB156))</f>
        <v/>
      </c>
      <c r="G156">
        <f>IF($AB156="","",INDEX('Per Line'!$F$2:$F$4001,$AB156)&amp;"")</f>
        <v/>
      </c>
      <c r="H156">
        <f>IF($AB156="","",INDEX('Per Line'!$H$2:$H$4001,$AB156)&amp;"")</f>
        <v/>
      </c>
      <c r="I156">
        <f>IF($AB156="","",INDEX('Per Line'!$I$2:$I$4001,$AB156)&amp;"")</f>
        <v/>
      </c>
      <c r="J156">
        <f>IF($AB156="","",INDEX('Per Line'!$J$2:$J$4001,$AB156)&amp;"")</f>
        <v/>
      </c>
      <c r="K156">
        <f>IF($AB156="","",INDEX('Per Line'!$K$2:$K$4001,$AB156)&amp;"")</f>
        <v/>
      </c>
      <c r="L156">
        <f>IF($AB156="","",INDEX('Per Line'!$L$2:$L$4001,$AB156))</f>
        <v/>
      </c>
      <c r="M156" s="7">
        <f>IF($AB156="","",IF(AND(ISNUMBER(O156),O156&gt;0,Z156&gt;O156),L156*O156/100+(Z156-O156),L156*Z156/100))</f>
        <v/>
      </c>
      <c r="N156">
        <f>IF($AB156="","",INDEX('Per Line'!$V$2:$V$4001,$AB156)&amp;"")</f>
        <v/>
      </c>
      <c r="O156">
        <f>IF($AB156="","",INDEX('Per Line'!$Z$2:$Z$4001,$AB156))</f>
        <v/>
      </c>
      <c r="P156">
        <f>IF($AB156="","",IF(AND(ISNUMBER(O156),O156&gt;0),Z156&gt;O156,FALSE))</f>
        <v/>
      </c>
      <c r="Q156" s="7">
        <f>IF($AB156="","",SUMIFS('Per Line'!$U$2:$U$4001,'Per Line'!$C$2:$C$4001,$B156,'Per Line'!$AM$2:$AM$4001,1))</f>
        <v/>
      </c>
      <c r="R156">
        <f>IF($AB156="","",Settings!$C$7)</f>
        <v/>
      </c>
      <c r="S156" s="7">
        <f>IF($AB156="","",SUMIFS('Per Line'!$U$2:$U$4001,'Per Line'!$C$2:$C$4001,$B156,'Per Line'!$AL$2:$AL$4001,0,'Per Line'!$AM$2:$AM$4001,0))</f>
        <v/>
      </c>
      <c r="T156" s="7">
        <f>IF($AB156="","",S156*R156)</f>
        <v/>
      </c>
      <c r="U156">
        <f>IF($AB156="","",Settings!$C$6)</f>
        <v/>
      </c>
      <c r="V156" s="7">
        <f>IF($AB156="","",SUMIFS('Per Line'!$U$2:$U$4001,'Per Line'!$C$2:$C$4001,$B156,'Per Line'!$AL$2:$AL$4001,1,'Per Line'!$AM$2:$AM$4001,0))</f>
        <v/>
      </c>
      <c r="W156" s="7">
        <f>IF($AB156="","",V156*U156)</f>
        <v/>
      </c>
      <c r="X156" s="7">
        <f>IF($AB156="","",W156+T156)</f>
        <v/>
      </c>
      <c r="Y156" s="7">
        <f>IF($AB156="","",Z156-X156)</f>
        <v/>
      </c>
      <c r="Z156" s="7">
        <f>IF($AB156="","",S156+V156+Q156)</f>
        <v/>
      </c>
      <c r="AA156" s="7">
        <f>IF($AB156="","",Z156-X156-M156)</f>
        <v/>
      </c>
      <c r="AB156" s="13">
        <f>IF(ROWS($AB$2:$AB156)&lt;=MAX('Per Line'!$AK$2:$AK$4001),MATCH(ROWS($AB$2:$AB156),'Per Line'!$AK$2:$AK$4001,0),"")</f>
        <v/>
      </c>
      <c r="AC156" s="14">
        <f>IF($AB156="","",M156-L156*Z156/100)</f>
        <v/>
      </c>
    </row>
    <row r="157">
      <c r="A157" s="12" t="n"/>
      <c r="B157">
        <f>IF($AB157="","",INDEX('Per Line'!$C$2:$C$4001,$AB157)&amp;"")</f>
        <v/>
      </c>
      <c r="C157">
        <f>IF($AB157="","",INDEX('Per Line'!$D$2:$D$4001,$AB157)&amp;"")</f>
        <v/>
      </c>
      <c r="D157">
        <f>IF($AB157="","",INDEX('Per Line'!$B$2:$B$4001,$AB157)&amp;"")</f>
        <v/>
      </c>
      <c r="E157">
        <f>IF($AB157="","",INDEX('Per Line'!$A$2:$A$4001,$AB157))</f>
        <v/>
      </c>
      <c r="F157" s="11">
        <f>IF($AB157="","",INDEX('Per Line'!$E$2:$E$4001,$AB157))</f>
        <v/>
      </c>
      <c r="G157">
        <f>IF($AB157="","",INDEX('Per Line'!$F$2:$F$4001,$AB157)&amp;"")</f>
        <v/>
      </c>
      <c r="H157">
        <f>IF($AB157="","",INDEX('Per Line'!$H$2:$H$4001,$AB157)&amp;"")</f>
        <v/>
      </c>
      <c r="I157">
        <f>IF($AB157="","",INDEX('Per Line'!$I$2:$I$4001,$AB157)&amp;"")</f>
        <v/>
      </c>
      <c r="J157">
        <f>IF($AB157="","",INDEX('Per Line'!$J$2:$J$4001,$AB157)&amp;"")</f>
        <v/>
      </c>
      <c r="K157">
        <f>IF($AB157="","",INDEX('Per Line'!$K$2:$K$4001,$AB157)&amp;"")</f>
        <v/>
      </c>
      <c r="L157">
        <f>IF($AB157="","",INDEX('Per Line'!$L$2:$L$4001,$AB157))</f>
        <v/>
      </c>
      <c r="M157" s="7">
        <f>IF($AB157="","",IF(AND(ISNUMBER(O157),O157&gt;0,Z157&gt;O157),L157*O157/100+(Z157-O157),L157*Z157/100))</f>
        <v/>
      </c>
      <c r="N157">
        <f>IF($AB157="","",INDEX('Per Line'!$V$2:$V$4001,$AB157)&amp;"")</f>
        <v/>
      </c>
      <c r="O157">
        <f>IF($AB157="","",INDEX('Per Line'!$Z$2:$Z$4001,$AB157))</f>
        <v/>
      </c>
      <c r="P157">
        <f>IF($AB157="","",IF(AND(ISNUMBER(O157),O157&gt;0),Z157&gt;O157,FALSE))</f>
        <v/>
      </c>
      <c r="Q157" s="7">
        <f>IF($AB157="","",SUMIFS('Per Line'!$U$2:$U$4001,'Per Line'!$C$2:$C$4001,$B157,'Per Line'!$AM$2:$AM$4001,1))</f>
        <v/>
      </c>
      <c r="R157">
        <f>IF($AB157="","",Settings!$C$7)</f>
        <v/>
      </c>
      <c r="S157" s="7">
        <f>IF($AB157="","",SUMIFS('Per Line'!$U$2:$U$4001,'Per Line'!$C$2:$C$4001,$B157,'Per Line'!$AL$2:$AL$4001,0,'Per Line'!$AM$2:$AM$4001,0))</f>
        <v/>
      </c>
      <c r="T157" s="7">
        <f>IF($AB157="","",S157*R157)</f>
        <v/>
      </c>
      <c r="U157">
        <f>IF($AB157="","",Settings!$C$6)</f>
        <v/>
      </c>
      <c r="V157" s="7">
        <f>IF($AB157="","",SUMIFS('Per Line'!$U$2:$U$4001,'Per Line'!$C$2:$C$4001,$B157,'Per Line'!$AL$2:$AL$4001,1,'Per Line'!$AM$2:$AM$4001,0))</f>
        <v/>
      </c>
      <c r="W157" s="7">
        <f>IF($AB157="","",V157*U157)</f>
        <v/>
      </c>
      <c r="X157" s="7">
        <f>IF($AB157="","",W157+T157)</f>
        <v/>
      </c>
      <c r="Y157" s="7">
        <f>IF($AB157="","",Z157-X157)</f>
        <v/>
      </c>
      <c r="Z157" s="7">
        <f>IF($AB157="","",S157+V157+Q157)</f>
        <v/>
      </c>
      <c r="AA157" s="7">
        <f>IF($AB157="","",Z157-X157-M157)</f>
        <v/>
      </c>
      <c r="AB157" s="13">
        <f>IF(ROWS($AB$2:$AB157)&lt;=MAX('Per Line'!$AK$2:$AK$4001),MATCH(ROWS($AB$2:$AB157),'Per Line'!$AK$2:$AK$4001,0),"")</f>
        <v/>
      </c>
      <c r="AC157" s="14">
        <f>IF($AB157="","",M157-L157*Z157/100)</f>
        <v/>
      </c>
    </row>
    <row r="158">
      <c r="A158" s="12" t="n"/>
      <c r="B158">
        <f>IF($AB158="","",INDEX('Per Line'!$C$2:$C$4001,$AB158)&amp;"")</f>
        <v/>
      </c>
      <c r="C158">
        <f>IF($AB158="","",INDEX('Per Line'!$D$2:$D$4001,$AB158)&amp;"")</f>
        <v/>
      </c>
      <c r="D158">
        <f>IF($AB158="","",INDEX('Per Line'!$B$2:$B$4001,$AB158)&amp;"")</f>
        <v/>
      </c>
      <c r="E158">
        <f>IF($AB158="","",INDEX('Per Line'!$A$2:$A$4001,$AB158))</f>
        <v/>
      </c>
      <c r="F158" s="11">
        <f>IF($AB158="","",INDEX('Per Line'!$E$2:$E$4001,$AB158))</f>
        <v/>
      </c>
      <c r="G158">
        <f>IF($AB158="","",INDEX('Per Line'!$F$2:$F$4001,$AB158)&amp;"")</f>
        <v/>
      </c>
      <c r="H158">
        <f>IF($AB158="","",INDEX('Per Line'!$H$2:$H$4001,$AB158)&amp;"")</f>
        <v/>
      </c>
      <c r="I158">
        <f>IF($AB158="","",INDEX('Per Line'!$I$2:$I$4001,$AB158)&amp;"")</f>
        <v/>
      </c>
      <c r="J158">
        <f>IF($AB158="","",INDEX('Per Line'!$J$2:$J$4001,$AB158)&amp;"")</f>
        <v/>
      </c>
      <c r="K158">
        <f>IF($AB158="","",INDEX('Per Line'!$K$2:$K$4001,$AB158)&amp;"")</f>
        <v/>
      </c>
      <c r="L158">
        <f>IF($AB158="","",INDEX('Per Line'!$L$2:$L$4001,$AB158))</f>
        <v/>
      </c>
      <c r="M158" s="7">
        <f>IF($AB158="","",IF(AND(ISNUMBER(O158),O158&gt;0,Z158&gt;O158),L158*O158/100+(Z158-O158),L158*Z158/100))</f>
        <v/>
      </c>
      <c r="N158">
        <f>IF($AB158="","",INDEX('Per Line'!$V$2:$V$4001,$AB158)&amp;"")</f>
        <v/>
      </c>
      <c r="O158">
        <f>IF($AB158="","",INDEX('Per Line'!$Z$2:$Z$4001,$AB158))</f>
        <v/>
      </c>
      <c r="P158">
        <f>IF($AB158="","",IF(AND(ISNUMBER(O158),O158&gt;0),Z158&gt;O158,FALSE))</f>
        <v/>
      </c>
      <c r="Q158" s="7">
        <f>IF($AB158="","",SUMIFS('Per Line'!$U$2:$U$4001,'Per Line'!$C$2:$C$4001,$B158,'Per Line'!$AM$2:$AM$4001,1))</f>
        <v/>
      </c>
      <c r="R158">
        <f>IF($AB158="","",Settings!$C$7)</f>
        <v/>
      </c>
      <c r="S158" s="7">
        <f>IF($AB158="","",SUMIFS('Per Line'!$U$2:$U$4001,'Per Line'!$C$2:$C$4001,$B158,'Per Line'!$AL$2:$AL$4001,0,'Per Line'!$AM$2:$AM$4001,0))</f>
        <v/>
      </c>
      <c r="T158" s="7">
        <f>IF($AB158="","",S158*R158)</f>
        <v/>
      </c>
      <c r="U158">
        <f>IF($AB158="","",Settings!$C$6)</f>
        <v/>
      </c>
      <c r="V158" s="7">
        <f>IF($AB158="","",SUMIFS('Per Line'!$U$2:$U$4001,'Per Line'!$C$2:$C$4001,$B158,'Per Line'!$AL$2:$AL$4001,1,'Per Line'!$AM$2:$AM$4001,0))</f>
        <v/>
      </c>
      <c r="W158" s="7">
        <f>IF($AB158="","",V158*U158)</f>
        <v/>
      </c>
      <c r="X158" s="7">
        <f>IF($AB158="","",W158+T158)</f>
        <v/>
      </c>
      <c r="Y158" s="7">
        <f>IF($AB158="","",Z158-X158)</f>
        <v/>
      </c>
      <c r="Z158" s="7">
        <f>IF($AB158="","",S158+V158+Q158)</f>
        <v/>
      </c>
      <c r="AA158" s="7">
        <f>IF($AB158="","",Z158-X158-M158)</f>
        <v/>
      </c>
      <c r="AB158" s="13">
        <f>IF(ROWS($AB$2:$AB158)&lt;=MAX('Per Line'!$AK$2:$AK$4001),MATCH(ROWS($AB$2:$AB158),'Per Line'!$AK$2:$AK$4001,0),"")</f>
        <v/>
      </c>
      <c r="AC158" s="14">
        <f>IF($AB158="","",M158-L158*Z158/100)</f>
        <v/>
      </c>
    </row>
    <row r="159">
      <c r="A159" s="12" t="n"/>
      <c r="B159">
        <f>IF($AB159="","",INDEX('Per Line'!$C$2:$C$4001,$AB159)&amp;"")</f>
        <v/>
      </c>
      <c r="C159">
        <f>IF($AB159="","",INDEX('Per Line'!$D$2:$D$4001,$AB159)&amp;"")</f>
        <v/>
      </c>
      <c r="D159">
        <f>IF($AB159="","",INDEX('Per Line'!$B$2:$B$4001,$AB159)&amp;"")</f>
        <v/>
      </c>
      <c r="E159">
        <f>IF($AB159="","",INDEX('Per Line'!$A$2:$A$4001,$AB159))</f>
        <v/>
      </c>
      <c r="F159" s="11">
        <f>IF($AB159="","",INDEX('Per Line'!$E$2:$E$4001,$AB159))</f>
        <v/>
      </c>
      <c r="G159">
        <f>IF($AB159="","",INDEX('Per Line'!$F$2:$F$4001,$AB159)&amp;"")</f>
        <v/>
      </c>
      <c r="H159">
        <f>IF($AB159="","",INDEX('Per Line'!$H$2:$H$4001,$AB159)&amp;"")</f>
        <v/>
      </c>
      <c r="I159">
        <f>IF($AB159="","",INDEX('Per Line'!$I$2:$I$4001,$AB159)&amp;"")</f>
        <v/>
      </c>
      <c r="J159">
        <f>IF($AB159="","",INDEX('Per Line'!$J$2:$J$4001,$AB159)&amp;"")</f>
        <v/>
      </c>
      <c r="K159">
        <f>IF($AB159="","",INDEX('Per Line'!$K$2:$K$4001,$AB159)&amp;"")</f>
        <v/>
      </c>
      <c r="L159">
        <f>IF($AB159="","",INDEX('Per Line'!$L$2:$L$4001,$AB159))</f>
        <v/>
      </c>
      <c r="M159" s="7">
        <f>IF($AB159="","",IF(AND(ISNUMBER(O159),O159&gt;0,Z159&gt;O159),L159*O159/100+(Z159-O159),L159*Z159/100))</f>
        <v/>
      </c>
      <c r="N159">
        <f>IF($AB159="","",INDEX('Per Line'!$V$2:$V$4001,$AB159)&amp;"")</f>
        <v/>
      </c>
      <c r="O159">
        <f>IF($AB159="","",INDEX('Per Line'!$Z$2:$Z$4001,$AB159))</f>
        <v/>
      </c>
      <c r="P159">
        <f>IF($AB159="","",IF(AND(ISNUMBER(O159),O159&gt;0),Z159&gt;O159,FALSE))</f>
        <v/>
      </c>
      <c r="Q159" s="7">
        <f>IF($AB159="","",SUMIFS('Per Line'!$U$2:$U$4001,'Per Line'!$C$2:$C$4001,$B159,'Per Line'!$AM$2:$AM$4001,1))</f>
        <v/>
      </c>
      <c r="R159">
        <f>IF($AB159="","",Settings!$C$7)</f>
        <v/>
      </c>
      <c r="S159" s="7">
        <f>IF($AB159="","",SUMIFS('Per Line'!$U$2:$U$4001,'Per Line'!$C$2:$C$4001,$B159,'Per Line'!$AL$2:$AL$4001,0,'Per Line'!$AM$2:$AM$4001,0))</f>
        <v/>
      </c>
      <c r="T159" s="7">
        <f>IF($AB159="","",S159*R159)</f>
        <v/>
      </c>
      <c r="U159">
        <f>IF($AB159="","",Settings!$C$6)</f>
        <v/>
      </c>
      <c r="V159" s="7">
        <f>IF($AB159="","",SUMIFS('Per Line'!$U$2:$U$4001,'Per Line'!$C$2:$C$4001,$B159,'Per Line'!$AL$2:$AL$4001,1,'Per Line'!$AM$2:$AM$4001,0))</f>
        <v/>
      </c>
      <c r="W159" s="7">
        <f>IF($AB159="","",V159*U159)</f>
        <v/>
      </c>
      <c r="X159" s="7">
        <f>IF($AB159="","",W159+T159)</f>
        <v/>
      </c>
      <c r="Y159" s="7">
        <f>IF($AB159="","",Z159-X159)</f>
        <v/>
      </c>
      <c r="Z159" s="7">
        <f>IF($AB159="","",S159+V159+Q159)</f>
        <v/>
      </c>
      <c r="AA159" s="7">
        <f>IF($AB159="","",Z159-X159-M159)</f>
        <v/>
      </c>
      <c r="AB159" s="13">
        <f>IF(ROWS($AB$2:$AB159)&lt;=MAX('Per Line'!$AK$2:$AK$4001),MATCH(ROWS($AB$2:$AB159),'Per Line'!$AK$2:$AK$4001,0),"")</f>
        <v/>
      </c>
      <c r="AC159" s="14">
        <f>IF($AB159="","",M159-L159*Z159/100)</f>
        <v/>
      </c>
    </row>
    <row r="160">
      <c r="A160" s="12" t="n"/>
      <c r="B160">
        <f>IF($AB160="","",INDEX('Per Line'!$C$2:$C$4001,$AB160)&amp;"")</f>
        <v/>
      </c>
      <c r="C160">
        <f>IF($AB160="","",INDEX('Per Line'!$D$2:$D$4001,$AB160)&amp;"")</f>
        <v/>
      </c>
      <c r="D160">
        <f>IF($AB160="","",INDEX('Per Line'!$B$2:$B$4001,$AB160)&amp;"")</f>
        <v/>
      </c>
      <c r="E160">
        <f>IF($AB160="","",INDEX('Per Line'!$A$2:$A$4001,$AB160))</f>
        <v/>
      </c>
      <c r="F160" s="11">
        <f>IF($AB160="","",INDEX('Per Line'!$E$2:$E$4001,$AB160))</f>
        <v/>
      </c>
      <c r="G160">
        <f>IF($AB160="","",INDEX('Per Line'!$F$2:$F$4001,$AB160)&amp;"")</f>
        <v/>
      </c>
      <c r="H160">
        <f>IF($AB160="","",INDEX('Per Line'!$H$2:$H$4001,$AB160)&amp;"")</f>
        <v/>
      </c>
      <c r="I160">
        <f>IF($AB160="","",INDEX('Per Line'!$I$2:$I$4001,$AB160)&amp;"")</f>
        <v/>
      </c>
      <c r="J160">
        <f>IF($AB160="","",INDEX('Per Line'!$J$2:$J$4001,$AB160)&amp;"")</f>
        <v/>
      </c>
      <c r="K160">
        <f>IF($AB160="","",INDEX('Per Line'!$K$2:$K$4001,$AB160)&amp;"")</f>
        <v/>
      </c>
      <c r="L160">
        <f>IF($AB160="","",INDEX('Per Line'!$L$2:$L$4001,$AB160))</f>
        <v/>
      </c>
      <c r="M160" s="7">
        <f>IF($AB160="","",IF(AND(ISNUMBER(O160),O160&gt;0,Z160&gt;O160),L160*O160/100+(Z160-O160),L160*Z160/100))</f>
        <v/>
      </c>
      <c r="N160">
        <f>IF($AB160="","",INDEX('Per Line'!$V$2:$V$4001,$AB160)&amp;"")</f>
        <v/>
      </c>
      <c r="O160">
        <f>IF($AB160="","",INDEX('Per Line'!$Z$2:$Z$4001,$AB160))</f>
        <v/>
      </c>
      <c r="P160">
        <f>IF($AB160="","",IF(AND(ISNUMBER(O160),O160&gt;0),Z160&gt;O160,FALSE))</f>
        <v/>
      </c>
      <c r="Q160" s="7">
        <f>IF($AB160="","",SUMIFS('Per Line'!$U$2:$U$4001,'Per Line'!$C$2:$C$4001,$B160,'Per Line'!$AM$2:$AM$4001,1))</f>
        <v/>
      </c>
      <c r="R160">
        <f>IF($AB160="","",Settings!$C$7)</f>
        <v/>
      </c>
      <c r="S160" s="7">
        <f>IF($AB160="","",SUMIFS('Per Line'!$U$2:$U$4001,'Per Line'!$C$2:$C$4001,$B160,'Per Line'!$AL$2:$AL$4001,0,'Per Line'!$AM$2:$AM$4001,0))</f>
        <v/>
      </c>
      <c r="T160" s="7">
        <f>IF($AB160="","",S160*R160)</f>
        <v/>
      </c>
      <c r="U160">
        <f>IF($AB160="","",Settings!$C$6)</f>
        <v/>
      </c>
      <c r="V160" s="7">
        <f>IF($AB160="","",SUMIFS('Per Line'!$U$2:$U$4001,'Per Line'!$C$2:$C$4001,$B160,'Per Line'!$AL$2:$AL$4001,1,'Per Line'!$AM$2:$AM$4001,0))</f>
        <v/>
      </c>
      <c r="W160" s="7">
        <f>IF($AB160="","",V160*U160)</f>
        <v/>
      </c>
      <c r="X160" s="7">
        <f>IF($AB160="","",W160+T160)</f>
        <v/>
      </c>
      <c r="Y160" s="7">
        <f>IF($AB160="","",Z160-X160)</f>
        <v/>
      </c>
      <c r="Z160" s="7">
        <f>IF($AB160="","",S160+V160+Q160)</f>
        <v/>
      </c>
      <c r="AA160" s="7">
        <f>IF($AB160="","",Z160-X160-M160)</f>
        <v/>
      </c>
      <c r="AB160" s="13">
        <f>IF(ROWS($AB$2:$AB160)&lt;=MAX('Per Line'!$AK$2:$AK$4001),MATCH(ROWS($AB$2:$AB160),'Per Line'!$AK$2:$AK$4001,0),"")</f>
        <v/>
      </c>
      <c r="AC160" s="14">
        <f>IF($AB160="","",M160-L160*Z160/100)</f>
        <v/>
      </c>
    </row>
    <row r="161">
      <c r="A161" s="12" t="n"/>
      <c r="B161">
        <f>IF($AB161="","",INDEX('Per Line'!$C$2:$C$4001,$AB161)&amp;"")</f>
        <v/>
      </c>
      <c r="C161">
        <f>IF($AB161="","",INDEX('Per Line'!$D$2:$D$4001,$AB161)&amp;"")</f>
        <v/>
      </c>
      <c r="D161">
        <f>IF($AB161="","",INDEX('Per Line'!$B$2:$B$4001,$AB161)&amp;"")</f>
        <v/>
      </c>
      <c r="E161">
        <f>IF($AB161="","",INDEX('Per Line'!$A$2:$A$4001,$AB161))</f>
        <v/>
      </c>
      <c r="F161" s="11">
        <f>IF($AB161="","",INDEX('Per Line'!$E$2:$E$4001,$AB161))</f>
        <v/>
      </c>
      <c r="G161">
        <f>IF($AB161="","",INDEX('Per Line'!$F$2:$F$4001,$AB161)&amp;"")</f>
        <v/>
      </c>
      <c r="H161">
        <f>IF($AB161="","",INDEX('Per Line'!$H$2:$H$4001,$AB161)&amp;"")</f>
        <v/>
      </c>
      <c r="I161">
        <f>IF($AB161="","",INDEX('Per Line'!$I$2:$I$4001,$AB161)&amp;"")</f>
        <v/>
      </c>
      <c r="J161">
        <f>IF($AB161="","",INDEX('Per Line'!$J$2:$J$4001,$AB161)&amp;"")</f>
        <v/>
      </c>
      <c r="K161">
        <f>IF($AB161="","",INDEX('Per Line'!$K$2:$K$4001,$AB161)&amp;"")</f>
        <v/>
      </c>
      <c r="L161">
        <f>IF($AB161="","",INDEX('Per Line'!$L$2:$L$4001,$AB161))</f>
        <v/>
      </c>
      <c r="M161" s="7">
        <f>IF($AB161="","",IF(AND(ISNUMBER(O161),O161&gt;0,Z161&gt;O161),L161*O161/100+(Z161-O161),L161*Z161/100))</f>
        <v/>
      </c>
      <c r="N161">
        <f>IF($AB161="","",INDEX('Per Line'!$V$2:$V$4001,$AB161)&amp;"")</f>
        <v/>
      </c>
      <c r="O161">
        <f>IF($AB161="","",INDEX('Per Line'!$Z$2:$Z$4001,$AB161))</f>
        <v/>
      </c>
      <c r="P161">
        <f>IF($AB161="","",IF(AND(ISNUMBER(O161),O161&gt;0),Z161&gt;O161,FALSE))</f>
        <v/>
      </c>
      <c r="Q161" s="7">
        <f>IF($AB161="","",SUMIFS('Per Line'!$U$2:$U$4001,'Per Line'!$C$2:$C$4001,$B161,'Per Line'!$AM$2:$AM$4001,1))</f>
        <v/>
      </c>
      <c r="R161">
        <f>IF($AB161="","",Settings!$C$7)</f>
        <v/>
      </c>
      <c r="S161" s="7">
        <f>IF($AB161="","",SUMIFS('Per Line'!$U$2:$U$4001,'Per Line'!$C$2:$C$4001,$B161,'Per Line'!$AL$2:$AL$4001,0,'Per Line'!$AM$2:$AM$4001,0))</f>
        <v/>
      </c>
      <c r="T161" s="7">
        <f>IF($AB161="","",S161*R161)</f>
        <v/>
      </c>
      <c r="U161">
        <f>IF($AB161="","",Settings!$C$6)</f>
        <v/>
      </c>
      <c r="V161" s="7">
        <f>IF($AB161="","",SUMIFS('Per Line'!$U$2:$U$4001,'Per Line'!$C$2:$C$4001,$B161,'Per Line'!$AL$2:$AL$4001,1,'Per Line'!$AM$2:$AM$4001,0))</f>
        <v/>
      </c>
      <c r="W161" s="7">
        <f>IF($AB161="","",V161*U161)</f>
        <v/>
      </c>
      <c r="X161" s="7">
        <f>IF($AB161="","",W161+T161)</f>
        <v/>
      </c>
      <c r="Y161" s="7">
        <f>IF($AB161="","",Z161-X161)</f>
        <v/>
      </c>
      <c r="Z161" s="7">
        <f>IF($AB161="","",S161+V161+Q161)</f>
        <v/>
      </c>
      <c r="AA161" s="7">
        <f>IF($AB161="","",Z161-X161-M161)</f>
        <v/>
      </c>
      <c r="AB161" s="13">
        <f>IF(ROWS($AB$2:$AB161)&lt;=MAX('Per Line'!$AK$2:$AK$4001),MATCH(ROWS($AB$2:$AB161),'Per Line'!$AK$2:$AK$4001,0),"")</f>
        <v/>
      </c>
      <c r="AC161" s="14">
        <f>IF($AB161="","",M161-L161*Z161/100)</f>
        <v/>
      </c>
    </row>
    <row r="162">
      <c r="A162" s="12" t="n"/>
      <c r="B162">
        <f>IF($AB162="","",INDEX('Per Line'!$C$2:$C$4001,$AB162)&amp;"")</f>
        <v/>
      </c>
      <c r="C162">
        <f>IF($AB162="","",INDEX('Per Line'!$D$2:$D$4001,$AB162)&amp;"")</f>
        <v/>
      </c>
      <c r="D162">
        <f>IF($AB162="","",INDEX('Per Line'!$B$2:$B$4001,$AB162)&amp;"")</f>
        <v/>
      </c>
      <c r="E162">
        <f>IF($AB162="","",INDEX('Per Line'!$A$2:$A$4001,$AB162))</f>
        <v/>
      </c>
      <c r="F162" s="11">
        <f>IF($AB162="","",INDEX('Per Line'!$E$2:$E$4001,$AB162))</f>
        <v/>
      </c>
      <c r="G162">
        <f>IF($AB162="","",INDEX('Per Line'!$F$2:$F$4001,$AB162)&amp;"")</f>
        <v/>
      </c>
      <c r="H162">
        <f>IF($AB162="","",INDEX('Per Line'!$H$2:$H$4001,$AB162)&amp;"")</f>
        <v/>
      </c>
      <c r="I162">
        <f>IF($AB162="","",INDEX('Per Line'!$I$2:$I$4001,$AB162)&amp;"")</f>
        <v/>
      </c>
      <c r="J162">
        <f>IF($AB162="","",INDEX('Per Line'!$J$2:$J$4001,$AB162)&amp;"")</f>
        <v/>
      </c>
      <c r="K162">
        <f>IF($AB162="","",INDEX('Per Line'!$K$2:$K$4001,$AB162)&amp;"")</f>
        <v/>
      </c>
      <c r="L162">
        <f>IF($AB162="","",INDEX('Per Line'!$L$2:$L$4001,$AB162))</f>
        <v/>
      </c>
      <c r="M162" s="7">
        <f>IF($AB162="","",IF(AND(ISNUMBER(O162),O162&gt;0,Z162&gt;O162),L162*O162/100+(Z162-O162),L162*Z162/100))</f>
        <v/>
      </c>
      <c r="N162">
        <f>IF($AB162="","",INDEX('Per Line'!$V$2:$V$4001,$AB162)&amp;"")</f>
        <v/>
      </c>
      <c r="O162">
        <f>IF($AB162="","",INDEX('Per Line'!$Z$2:$Z$4001,$AB162))</f>
        <v/>
      </c>
      <c r="P162">
        <f>IF($AB162="","",IF(AND(ISNUMBER(O162),O162&gt;0),Z162&gt;O162,FALSE))</f>
        <v/>
      </c>
      <c r="Q162" s="7">
        <f>IF($AB162="","",SUMIFS('Per Line'!$U$2:$U$4001,'Per Line'!$C$2:$C$4001,$B162,'Per Line'!$AM$2:$AM$4001,1))</f>
        <v/>
      </c>
      <c r="R162">
        <f>IF($AB162="","",Settings!$C$7)</f>
        <v/>
      </c>
      <c r="S162" s="7">
        <f>IF($AB162="","",SUMIFS('Per Line'!$U$2:$U$4001,'Per Line'!$C$2:$C$4001,$B162,'Per Line'!$AL$2:$AL$4001,0,'Per Line'!$AM$2:$AM$4001,0))</f>
        <v/>
      </c>
      <c r="T162" s="7">
        <f>IF($AB162="","",S162*R162)</f>
        <v/>
      </c>
      <c r="U162">
        <f>IF($AB162="","",Settings!$C$6)</f>
        <v/>
      </c>
      <c r="V162" s="7">
        <f>IF($AB162="","",SUMIFS('Per Line'!$U$2:$U$4001,'Per Line'!$C$2:$C$4001,$B162,'Per Line'!$AL$2:$AL$4001,1,'Per Line'!$AM$2:$AM$4001,0))</f>
        <v/>
      </c>
      <c r="W162" s="7">
        <f>IF($AB162="","",V162*U162)</f>
        <v/>
      </c>
      <c r="X162" s="7">
        <f>IF($AB162="","",W162+T162)</f>
        <v/>
      </c>
      <c r="Y162" s="7">
        <f>IF($AB162="","",Z162-X162)</f>
        <v/>
      </c>
      <c r="Z162" s="7">
        <f>IF($AB162="","",S162+V162+Q162)</f>
        <v/>
      </c>
      <c r="AA162" s="7">
        <f>IF($AB162="","",Z162-X162-M162)</f>
        <v/>
      </c>
      <c r="AB162" s="13">
        <f>IF(ROWS($AB$2:$AB162)&lt;=MAX('Per Line'!$AK$2:$AK$4001),MATCH(ROWS($AB$2:$AB162),'Per Line'!$AK$2:$AK$4001,0),"")</f>
        <v/>
      </c>
      <c r="AC162" s="14">
        <f>IF($AB162="","",M162-L162*Z162/100)</f>
        <v/>
      </c>
    </row>
    <row r="163">
      <c r="A163" s="12" t="n"/>
      <c r="B163">
        <f>IF($AB163="","",INDEX('Per Line'!$C$2:$C$4001,$AB163)&amp;"")</f>
        <v/>
      </c>
      <c r="C163">
        <f>IF($AB163="","",INDEX('Per Line'!$D$2:$D$4001,$AB163)&amp;"")</f>
        <v/>
      </c>
      <c r="D163">
        <f>IF($AB163="","",INDEX('Per Line'!$B$2:$B$4001,$AB163)&amp;"")</f>
        <v/>
      </c>
      <c r="E163">
        <f>IF($AB163="","",INDEX('Per Line'!$A$2:$A$4001,$AB163))</f>
        <v/>
      </c>
      <c r="F163" s="11">
        <f>IF($AB163="","",INDEX('Per Line'!$E$2:$E$4001,$AB163))</f>
        <v/>
      </c>
      <c r="G163">
        <f>IF($AB163="","",INDEX('Per Line'!$F$2:$F$4001,$AB163)&amp;"")</f>
        <v/>
      </c>
      <c r="H163">
        <f>IF($AB163="","",INDEX('Per Line'!$H$2:$H$4001,$AB163)&amp;"")</f>
        <v/>
      </c>
      <c r="I163">
        <f>IF($AB163="","",INDEX('Per Line'!$I$2:$I$4001,$AB163)&amp;"")</f>
        <v/>
      </c>
      <c r="J163">
        <f>IF($AB163="","",INDEX('Per Line'!$J$2:$J$4001,$AB163)&amp;"")</f>
        <v/>
      </c>
      <c r="K163">
        <f>IF($AB163="","",INDEX('Per Line'!$K$2:$K$4001,$AB163)&amp;"")</f>
        <v/>
      </c>
      <c r="L163">
        <f>IF($AB163="","",INDEX('Per Line'!$L$2:$L$4001,$AB163))</f>
        <v/>
      </c>
      <c r="M163" s="7">
        <f>IF($AB163="","",IF(AND(ISNUMBER(O163),O163&gt;0,Z163&gt;O163),L163*O163/100+(Z163-O163),L163*Z163/100))</f>
        <v/>
      </c>
      <c r="N163">
        <f>IF($AB163="","",INDEX('Per Line'!$V$2:$V$4001,$AB163)&amp;"")</f>
        <v/>
      </c>
      <c r="O163">
        <f>IF($AB163="","",INDEX('Per Line'!$Z$2:$Z$4001,$AB163))</f>
        <v/>
      </c>
      <c r="P163">
        <f>IF($AB163="","",IF(AND(ISNUMBER(O163),O163&gt;0),Z163&gt;O163,FALSE))</f>
        <v/>
      </c>
      <c r="Q163" s="7">
        <f>IF($AB163="","",SUMIFS('Per Line'!$U$2:$U$4001,'Per Line'!$C$2:$C$4001,$B163,'Per Line'!$AM$2:$AM$4001,1))</f>
        <v/>
      </c>
      <c r="R163">
        <f>IF($AB163="","",Settings!$C$7)</f>
        <v/>
      </c>
      <c r="S163" s="7">
        <f>IF($AB163="","",SUMIFS('Per Line'!$U$2:$U$4001,'Per Line'!$C$2:$C$4001,$B163,'Per Line'!$AL$2:$AL$4001,0,'Per Line'!$AM$2:$AM$4001,0))</f>
        <v/>
      </c>
      <c r="T163" s="7">
        <f>IF($AB163="","",S163*R163)</f>
        <v/>
      </c>
      <c r="U163">
        <f>IF($AB163="","",Settings!$C$6)</f>
        <v/>
      </c>
      <c r="V163" s="7">
        <f>IF($AB163="","",SUMIFS('Per Line'!$U$2:$U$4001,'Per Line'!$C$2:$C$4001,$B163,'Per Line'!$AL$2:$AL$4001,1,'Per Line'!$AM$2:$AM$4001,0))</f>
        <v/>
      </c>
      <c r="W163" s="7">
        <f>IF($AB163="","",V163*U163)</f>
        <v/>
      </c>
      <c r="X163" s="7">
        <f>IF($AB163="","",W163+T163)</f>
        <v/>
      </c>
      <c r="Y163" s="7">
        <f>IF($AB163="","",Z163-X163)</f>
        <v/>
      </c>
      <c r="Z163" s="7">
        <f>IF($AB163="","",S163+V163+Q163)</f>
        <v/>
      </c>
      <c r="AA163" s="7">
        <f>IF($AB163="","",Z163-X163-M163)</f>
        <v/>
      </c>
      <c r="AB163" s="13">
        <f>IF(ROWS($AB$2:$AB163)&lt;=MAX('Per Line'!$AK$2:$AK$4001),MATCH(ROWS($AB$2:$AB163),'Per Line'!$AK$2:$AK$4001,0),"")</f>
        <v/>
      </c>
      <c r="AC163" s="14">
        <f>IF($AB163="","",M163-L163*Z163/100)</f>
        <v/>
      </c>
    </row>
    <row r="164">
      <c r="A164" s="12" t="n"/>
      <c r="B164">
        <f>IF($AB164="","",INDEX('Per Line'!$C$2:$C$4001,$AB164)&amp;"")</f>
        <v/>
      </c>
      <c r="C164">
        <f>IF($AB164="","",INDEX('Per Line'!$D$2:$D$4001,$AB164)&amp;"")</f>
        <v/>
      </c>
      <c r="D164">
        <f>IF($AB164="","",INDEX('Per Line'!$B$2:$B$4001,$AB164)&amp;"")</f>
        <v/>
      </c>
      <c r="E164">
        <f>IF($AB164="","",INDEX('Per Line'!$A$2:$A$4001,$AB164))</f>
        <v/>
      </c>
      <c r="F164" s="11">
        <f>IF($AB164="","",INDEX('Per Line'!$E$2:$E$4001,$AB164))</f>
        <v/>
      </c>
      <c r="G164">
        <f>IF($AB164="","",INDEX('Per Line'!$F$2:$F$4001,$AB164)&amp;"")</f>
        <v/>
      </c>
      <c r="H164">
        <f>IF($AB164="","",INDEX('Per Line'!$H$2:$H$4001,$AB164)&amp;"")</f>
        <v/>
      </c>
      <c r="I164">
        <f>IF($AB164="","",INDEX('Per Line'!$I$2:$I$4001,$AB164)&amp;"")</f>
        <v/>
      </c>
      <c r="J164">
        <f>IF($AB164="","",INDEX('Per Line'!$J$2:$J$4001,$AB164)&amp;"")</f>
        <v/>
      </c>
      <c r="K164">
        <f>IF($AB164="","",INDEX('Per Line'!$K$2:$K$4001,$AB164)&amp;"")</f>
        <v/>
      </c>
      <c r="L164">
        <f>IF($AB164="","",INDEX('Per Line'!$L$2:$L$4001,$AB164))</f>
        <v/>
      </c>
      <c r="M164" s="7">
        <f>IF($AB164="","",IF(AND(ISNUMBER(O164),O164&gt;0,Z164&gt;O164),L164*O164/100+(Z164-O164),L164*Z164/100))</f>
        <v/>
      </c>
      <c r="N164">
        <f>IF($AB164="","",INDEX('Per Line'!$V$2:$V$4001,$AB164)&amp;"")</f>
        <v/>
      </c>
      <c r="O164">
        <f>IF($AB164="","",INDEX('Per Line'!$Z$2:$Z$4001,$AB164))</f>
        <v/>
      </c>
      <c r="P164">
        <f>IF($AB164="","",IF(AND(ISNUMBER(O164),O164&gt;0),Z164&gt;O164,FALSE))</f>
        <v/>
      </c>
      <c r="Q164" s="7">
        <f>IF($AB164="","",SUMIFS('Per Line'!$U$2:$U$4001,'Per Line'!$C$2:$C$4001,$B164,'Per Line'!$AM$2:$AM$4001,1))</f>
        <v/>
      </c>
      <c r="R164">
        <f>IF($AB164="","",Settings!$C$7)</f>
        <v/>
      </c>
      <c r="S164" s="7">
        <f>IF($AB164="","",SUMIFS('Per Line'!$U$2:$U$4001,'Per Line'!$C$2:$C$4001,$B164,'Per Line'!$AL$2:$AL$4001,0,'Per Line'!$AM$2:$AM$4001,0))</f>
        <v/>
      </c>
      <c r="T164" s="7">
        <f>IF($AB164="","",S164*R164)</f>
        <v/>
      </c>
      <c r="U164">
        <f>IF($AB164="","",Settings!$C$6)</f>
        <v/>
      </c>
      <c r="V164" s="7">
        <f>IF($AB164="","",SUMIFS('Per Line'!$U$2:$U$4001,'Per Line'!$C$2:$C$4001,$B164,'Per Line'!$AL$2:$AL$4001,1,'Per Line'!$AM$2:$AM$4001,0))</f>
        <v/>
      </c>
      <c r="W164" s="7">
        <f>IF($AB164="","",V164*U164)</f>
        <v/>
      </c>
      <c r="X164" s="7">
        <f>IF($AB164="","",W164+T164)</f>
        <v/>
      </c>
      <c r="Y164" s="7">
        <f>IF($AB164="","",Z164-X164)</f>
        <v/>
      </c>
      <c r="Z164" s="7">
        <f>IF($AB164="","",S164+V164+Q164)</f>
        <v/>
      </c>
      <c r="AA164" s="7">
        <f>IF($AB164="","",Z164-X164-M164)</f>
        <v/>
      </c>
      <c r="AB164" s="13">
        <f>IF(ROWS($AB$2:$AB164)&lt;=MAX('Per Line'!$AK$2:$AK$4001),MATCH(ROWS($AB$2:$AB164),'Per Line'!$AK$2:$AK$4001,0),"")</f>
        <v/>
      </c>
      <c r="AC164" s="14">
        <f>IF($AB164="","",M164-L164*Z164/100)</f>
        <v/>
      </c>
    </row>
    <row r="165">
      <c r="A165" s="12" t="n"/>
      <c r="B165">
        <f>IF($AB165="","",INDEX('Per Line'!$C$2:$C$4001,$AB165)&amp;"")</f>
        <v/>
      </c>
      <c r="C165">
        <f>IF($AB165="","",INDEX('Per Line'!$D$2:$D$4001,$AB165)&amp;"")</f>
        <v/>
      </c>
      <c r="D165">
        <f>IF($AB165="","",INDEX('Per Line'!$B$2:$B$4001,$AB165)&amp;"")</f>
        <v/>
      </c>
      <c r="E165">
        <f>IF($AB165="","",INDEX('Per Line'!$A$2:$A$4001,$AB165))</f>
        <v/>
      </c>
      <c r="F165" s="11">
        <f>IF($AB165="","",INDEX('Per Line'!$E$2:$E$4001,$AB165))</f>
        <v/>
      </c>
      <c r="G165">
        <f>IF($AB165="","",INDEX('Per Line'!$F$2:$F$4001,$AB165)&amp;"")</f>
        <v/>
      </c>
      <c r="H165">
        <f>IF($AB165="","",INDEX('Per Line'!$H$2:$H$4001,$AB165)&amp;"")</f>
        <v/>
      </c>
      <c r="I165">
        <f>IF($AB165="","",INDEX('Per Line'!$I$2:$I$4001,$AB165)&amp;"")</f>
        <v/>
      </c>
      <c r="J165">
        <f>IF($AB165="","",INDEX('Per Line'!$J$2:$J$4001,$AB165)&amp;"")</f>
        <v/>
      </c>
      <c r="K165">
        <f>IF($AB165="","",INDEX('Per Line'!$K$2:$K$4001,$AB165)&amp;"")</f>
        <v/>
      </c>
      <c r="L165">
        <f>IF($AB165="","",INDEX('Per Line'!$L$2:$L$4001,$AB165))</f>
        <v/>
      </c>
      <c r="M165" s="7">
        <f>IF($AB165="","",IF(AND(ISNUMBER(O165),O165&gt;0,Z165&gt;O165),L165*O165/100+(Z165-O165),L165*Z165/100))</f>
        <v/>
      </c>
      <c r="N165">
        <f>IF($AB165="","",INDEX('Per Line'!$V$2:$V$4001,$AB165)&amp;"")</f>
        <v/>
      </c>
      <c r="O165">
        <f>IF($AB165="","",INDEX('Per Line'!$Z$2:$Z$4001,$AB165))</f>
        <v/>
      </c>
      <c r="P165">
        <f>IF($AB165="","",IF(AND(ISNUMBER(O165),O165&gt;0),Z165&gt;O165,FALSE))</f>
        <v/>
      </c>
      <c r="Q165" s="7">
        <f>IF($AB165="","",SUMIFS('Per Line'!$U$2:$U$4001,'Per Line'!$C$2:$C$4001,$B165,'Per Line'!$AM$2:$AM$4001,1))</f>
        <v/>
      </c>
      <c r="R165">
        <f>IF($AB165="","",Settings!$C$7)</f>
        <v/>
      </c>
      <c r="S165" s="7">
        <f>IF($AB165="","",SUMIFS('Per Line'!$U$2:$U$4001,'Per Line'!$C$2:$C$4001,$B165,'Per Line'!$AL$2:$AL$4001,0,'Per Line'!$AM$2:$AM$4001,0))</f>
        <v/>
      </c>
      <c r="T165" s="7">
        <f>IF($AB165="","",S165*R165)</f>
        <v/>
      </c>
      <c r="U165">
        <f>IF($AB165="","",Settings!$C$6)</f>
        <v/>
      </c>
      <c r="V165" s="7">
        <f>IF($AB165="","",SUMIFS('Per Line'!$U$2:$U$4001,'Per Line'!$C$2:$C$4001,$B165,'Per Line'!$AL$2:$AL$4001,1,'Per Line'!$AM$2:$AM$4001,0))</f>
        <v/>
      </c>
      <c r="W165" s="7">
        <f>IF($AB165="","",V165*U165)</f>
        <v/>
      </c>
      <c r="X165" s="7">
        <f>IF($AB165="","",W165+T165)</f>
        <v/>
      </c>
      <c r="Y165" s="7">
        <f>IF($AB165="","",Z165-X165)</f>
        <v/>
      </c>
      <c r="Z165" s="7">
        <f>IF($AB165="","",S165+V165+Q165)</f>
        <v/>
      </c>
      <c r="AA165" s="7">
        <f>IF($AB165="","",Z165-X165-M165)</f>
        <v/>
      </c>
      <c r="AB165" s="13">
        <f>IF(ROWS($AB$2:$AB165)&lt;=MAX('Per Line'!$AK$2:$AK$4001),MATCH(ROWS($AB$2:$AB165),'Per Line'!$AK$2:$AK$4001,0),"")</f>
        <v/>
      </c>
      <c r="AC165" s="14">
        <f>IF($AB165="","",M165-L165*Z165/100)</f>
        <v/>
      </c>
    </row>
    <row r="166">
      <c r="A166" s="12" t="n"/>
      <c r="B166">
        <f>IF($AB166="","",INDEX('Per Line'!$C$2:$C$4001,$AB166)&amp;"")</f>
        <v/>
      </c>
      <c r="C166">
        <f>IF($AB166="","",INDEX('Per Line'!$D$2:$D$4001,$AB166)&amp;"")</f>
        <v/>
      </c>
      <c r="D166">
        <f>IF($AB166="","",INDEX('Per Line'!$B$2:$B$4001,$AB166)&amp;"")</f>
        <v/>
      </c>
      <c r="E166">
        <f>IF($AB166="","",INDEX('Per Line'!$A$2:$A$4001,$AB166))</f>
        <v/>
      </c>
      <c r="F166" s="11">
        <f>IF($AB166="","",INDEX('Per Line'!$E$2:$E$4001,$AB166))</f>
        <v/>
      </c>
      <c r="G166">
        <f>IF($AB166="","",INDEX('Per Line'!$F$2:$F$4001,$AB166)&amp;"")</f>
        <v/>
      </c>
      <c r="H166">
        <f>IF($AB166="","",INDEX('Per Line'!$H$2:$H$4001,$AB166)&amp;"")</f>
        <v/>
      </c>
      <c r="I166">
        <f>IF($AB166="","",INDEX('Per Line'!$I$2:$I$4001,$AB166)&amp;"")</f>
        <v/>
      </c>
      <c r="J166">
        <f>IF($AB166="","",INDEX('Per Line'!$J$2:$J$4001,$AB166)&amp;"")</f>
        <v/>
      </c>
      <c r="K166">
        <f>IF($AB166="","",INDEX('Per Line'!$K$2:$K$4001,$AB166)&amp;"")</f>
        <v/>
      </c>
      <c r="L166">
        <f>IF($AB166="","",INDEX('Per Line'!$L$2:$L$4001,$AB166))</f>
        <v/>
      </c>
      <c r="M166" s="7">
        <f>IF($AB166="","",IF(AND(ISNUMBER(O166),O166&gt;0,Z166&gt;O166),L166*O166/100+(Z166-O166),L166*Z166/100))</f>
        <v/>
      </c>
      <c r="N166">
        <f>IF($AB166="","",INDEX('Per Line'!$V$2:$V$4001,$AB166)&amp;"")</f>
        <v/>
      </c>
      <c r="O166">
        <f>IF($AB166="","",INDEX('Per Line'!$Z$2:$Z$4001,$AB166))</f>
        <v/>
      </c>
      <c r="P166">
        <f>IF($AB166="","",IF(AND(ISNUMBER(O166),O166&gt;0),Z166&gt;O166,FALSE))</f>
        <v/>
      </c>
      <c r="Q166" s="7">
        <f>IF($AB166="","",SUMIFS('Per Line'!$U$2:$U$4001,'Per Line'!$C$2:$C$4001,$B166,'Per Line'!$AM$2:$AM$4001,1))</f>
        <v/>
      </c>
      <c r="R166">
        <f>IF($AB166="","",Settings!$C$7)</f>
        <v/>
      </c>
      <c r="S166" s="7">
        <f>IF($AB166="","",SUMIFS('Per Line'!$U$2:$U$4001,'Per Line'!$C$2:$C$4001,$B166,'Per Line'!$AL$2:$AL$4001,0,'Per Line'!$AM$2:$AM$4001,0))</f>
        <v/>
      </c>
      <c r="T166" s="7">
        <f>IF($AB166="","",S166*R166)</f>
        <v/>
      </c>
      <c r="U166">
        <f>IF($AB166="","",Settings!$C$6)</f>
        <v/>
      </c>
      <c r="V166" s="7">
        <f>IF($AB166="","",SUMIFS('Per Line'!$U$2:$U$4001,'Per Line'!$C$2:$C$4001,$B166,'Per Line'!$AL$2:$AL$4001,1,'Per Line'!$AM$2:$AM$4001,0))</f>
        <v/>
      </c>
      <c r="W166" s="7">
        <f>IF($AB166="","",V166*U166)</f>
        <v/>
      </c>
      <c r="X166" s="7">
        <f>IF($AB166="","",W166+T166)</f>
        <v/>
      </c>
      <c r="Y166" s="7">
        <f>IF($AB166="","",Z166-X166)</f>
        <v/>
      </c>
      <c r="Z166" s="7">
        <f>IF($AB166="","",S166+V166+Q166)</f>
        <v/>
      </c>
      <c r="AA166" s="7">
        <f>IF($AB166="","",Z166-X166-M166)</f>
        <v/>
      </c>
      <c r="AB166" s="13">
        <f>IF(ROWS($AB$2:$AB166)&lt;=MAX('Per Line'!$AK$2:$AK$4001),MATCH(ROWS($AB$2:$AB166),'Per Line'!$AK$2:$AK$4001,0),"")</f>
        <v/>
      </c>
      <c r="AC166" s="14">
        <f>IF($AB166="","",M166-L166*Z166/100)</f>
        <v/>
      </c>
    </row>
    <row r="167">
      <c r="A167" s="12" t="n"/>
      <c r="B167">
        <f>IF($AB167="","",INDEX('Per Line'!$C$2:$C$4001,$AB167)&amp;"")</f>
        <v/>
      </c>
      <c r="C167">
        <f>IF($AB167="","",INDEX('Per Line'!$D$2:$D$4001,$AB167)&amp;"")</f>
        <v/>
      </c>
      <c r="D167">
        <f>IF($AB167="","",INDEX('Per Line'!$B$2:$B$4001,$AB167)&amp;"")</f>
        <v/>
      </c>
      <c r="E167">
        <f>IF($AB167="","",INDEX('Per Line'!$A$2:$A$4001,$AB167))</f>
        <v/>
      </c>
      <c r="F167" s="11">
        <f>IF($AB167="","",INDEX('Per Line'!$E$2:$E$4001,$AB167))</f>
        <v/>
      </c>
      <c r="G167">
        <f>IF($AB167="","",INDEX('Per Line'!$F$2:$F$4001,$AB167)&amp;"")</f>
        <v/>
      </c>
      <c r="H167">
        <f>IF($AB167="","",INDEX('Per Line'!$H$2:$H$4001,$AB167)&amp;"")</f>
        <v/>
      </c>
      <c r="I167">
        <f>IF($AB167="","",INDEX('Per Line'!$I$2:$I$4001,$AB167)&amp;"")</f>
        <v/>
      </c>
      <c r="J167">
        <f>IF($AB167="","",INDEX('Per Line'!$J$2:$J$4001,$AB167)&amp;"")</f>
        <v/>
      </c>
      <c r="K167">
        <f>IF($AB167="","",INDEX('Per Line'!$K$2:$K$4001,$AB167)&amp;"")</f>
        <v/>
      </c>
      <c r="L167">
        <f>IF($AB167="","",INDEX('Per Line'!$L$2:$L$4001,$AB167))</f>
        <v/>
      </c>
      <c r="M167" s="7">
        <f>IF($AB167="","",IF(AND(ISNUMBER(O167),O167&gt;0,Z167&gt;O167),L167*O167/100+(Z167-O167),L167*Z167/100))</f>
        <v/>
      </c>
      <c r="N167">
        <f>IF($AB167="","",INDEX('Per Line'!$V$2:$V$4001,$AB167)&amp;"")</f>
        <v/>
      </c>
      <c r="O167">
        <f>IF($AB167="","",INDEX('Per Line'!$Z$2:$Z$4001,$AB167))</f>
        <v/>
      </c>
      <c r="P167">
        <f>IF($AB167="","",IF(AND(ISNUMBER(O167),O167&gt;0),Z167&gt;O167,FALSE))</f>
        <v/>
      </c>
      <c r="Q167" s="7">
        <f>IF($AB167="","",SUMIFS('Per Line'!$U$2:$U$4001,'Per Line'!$C$2:$C$4001,$B167,'Per Line'!$AM$2:$AM$4001,1))</f>
        <v/>
      </c>
      <c r="R167">
        <f>IF($AB167="","",Settings!$C$7)</f>
        <v/>
      </c>
      <c r="S167" s="7">
        <f>IF($AB167="","",SUMIFS('Per Line'!$U$2:$U$4001,'Per Line'!$C$2:$C$4001,$B167,'Per Line'!$AL$2:$AL$4001,0,'Per Line'!$AM$2:$AM$4001,0))</f>
        <v/>
      </c>
      <c r="T167" s="7">
        <f>IF($AB167="","",S167*R167)</f>
        <v/>
      </c>
      <c r="U167">
        <f>IF($AB167="","",Settings!$C$6)</f>
        <v/>
      </c>
      <c r="V167" s="7">
        <f>IF($AB167="","",SUMIFS('Per Line'!$U$2:$U$4001,'Per Line'!$C$2:$C$4001,$B167,'Per Line'!$AL$2:$AL$4001,1,'Per Line'!$AM$2:$AM$4001,0))</f>
        <v/>
      </c>
      <c r="W167" s="7">
        <f>IF($AB167="","",V167*U167)</f>
        <v/>
      </c>
      <c r="X167" s="7">
        <f>IF($AB167="","",W167+T167)</f>
        <v/>
      </c>
      <c r="Y167" s="7">
        <f>IF($AB167="","",Z167-X167)</f>
        <v/>
      </c>
      <c r="Z167" s="7">
        <f>IF($AB167="","",S167+V167+Q167)</f>
        <v/>
      </c>
      <c r="AA167" s="7">
        <f>IF($AB167="","",Z167-X167-M167)</f>
        <v/>
      </c>
      <c r="AB167" s="13">
        <f>IF(ROWS($AB$2:$AB167)&lt;=MAX('Per Line'!$AK$2:$AK$4001),MATCH(ROWS($AB$2:$AB167),'Per Line'!$AK$2:$AK$4001,0),"")</f>
        <v/>
      </c>
      <c r="AC167" s="14">
        <f>IF($AB167="","",M167-L167*Z167/100)</f>
        <v/>
      </c>
    </row>
    <row r="168">
      <c r="A168" s="12" t="n"/>
      <c r="B168">
        <f>IF($AB168="","",INDEX('Per Line'!$C$2:$C$4001,$AB168)&amp;"")</f>
        <v/>
      </c>
      <c r="C168">
        <f>IF($AB168="","",INDEX('Per Line'!$D$2:$D$4001,$AB168)&amp;"")</f>
        <v/>
      </c>
      <c r="D168">
        <f>IF($AB168="","",INDEX('Per Line'!$B$2:$B$4001,$AB168)&amp;"")</f>
        <v/>
      </c>
      <c r="E168">
        <f>IF($AB168="","",INDEX('Per Line'!$A$2:$A$4001,$AB168))</f>
        <v/>
      </c>
      <c r="F168" s="11">
        <f>IF($AB168="","",INDEX('Per Line'!$E$2:$E$4001,$AB168))</f>
        <v/>
      </c>
      <c r="G168">
        <f>IF($AB168="","",INDEX('Per Line'!$F$2:$F$4001,$AB168)&amp;"")</f>
        <v/>
      </c>
      <c r="H168">
        <f>IF($AB168="","",INDEX('Per Line'!$H$2:$H$4001,$AB168)&amp;"")</f>
        <v/>
      </c>
      <c r="I168">
        <f>IF($AB168="","",INDEX('Per Line'!$I$2:$I$4001,$AB168)&amp;"")</f>
        <v/>
      </c>
      <c r="J168">
        <f>IF($AB168="","",INDEX('Per Line'!$J$2:$J$4001,$AB168)&amp;"")</f>
        <v/>
      </c>
      <c r="K168">
        <f>IF($AB168="","",INDEX('Per Line'!$K$2:$K$4001,$AB168)&amp;"")</f>
        <v/>
      </c>
      <c r="L168">
        <f>IF($AB168="","",INDEX('Per Line'!$L$2:$L$4001,$AB168))</f>
        <v/>
      </c>
      <c r="M168" s="7">
        <f>IF($AB168="","",IF(AND(ISNUMBER(O168),O168&gt;0,Z168&gt;O168),L168*O168/100+(Z168-O168),L168*Z168/100))</f>
        <v/>
      </c>
      <c r="N168">
        <f>IF($AB168="","",INDEX('Per Line'!$V$2:$V$4001,$AB168)&amp;"")</f>
        <v/>
      </c>
      <c r="O168">
        <f>IF($AB168="","",INDEX('Per Line'!$Z$2:$Z$4001,$AB168))</f>
        <v/>
      </c>
      <c r="P168">
        <f>IF($AB168="","",IF(AND(ISNUMBER(O168),O168&gt;0),Z168&gt;O168,FALSE))</f>
        <v/>
      </c>
      <c r="Q168" s="7">
        <f>IF($AB168="","",SUMIFS('Per Line'!$U$2:$U$4001,'Per Line'!$C$2:$C$4001,$B168,'Per Line'!$AM$2:$AM$4001,1))</f>
        <v/>
      </c>
      <c r="R168">
        <f>IF($AB168="","",Settings!$C$7)</f>
        <v/>
      </c>
      <c r="S168" s="7">
        <f>IF($AB168="","",SUMIFS('Per Line'!$U$2:$U$4001,'Per Line'!$C$2:$C$4001,$B168,'Per Line'!$AL$2:$AL$4001,0,'Per Line'!$AM$2:$AM$4001,0))</f>
        <v/>
      </c>
      <c r="T168" s="7">
        <f>IF($AB168="","",S168*R168)</f>
        <v/>
      </c>
      <c r="U168">
        <f>IF($AB168="","",Settings!$C$6)</f>
        <v/>
      </c>
      <c r="V168" s="7">
        <f>IF($AB168="","",SUMIFS('Per Line'!$U$2:$U$4001,'Per Line'!$C$2:$C$4001,$B168,'Per Line'!$AL$2:$AL$4001,1,'Per Line'!$AM$2:$AM$4001,0))</f>
        <v/>
      </c>
      <c r="W168" s="7">
        <f>IF($AB168="","",V168*U168)</f>
        <v/>
      </c>
      <c r="X168" s="7">
        <f>IF($AB168="","",W168+T168)</f>
        <v/>
      </c>
      <c r="Y168" s="7">
        <f>IF($AB168="","",Z168-X168)</f>
        <v/>
      </c>
      <c r="Z168" s="7">
        <f>IF($AB168="","",S168+V168+Q168)</f>
        <v/>
      </c>
      <c r="AA168" s="7">
        <f>IF($AB168="","",Z168-X168-M168)</f>
        <v/>
      </c>
      <c r="AB168" s="13">
        <f>IF(ROWS($AB$2:$AB168)&lt;=MAX('Per Line'!$AK$2:$AK$4001),MATCH(ROWS($AB$2:$AB168),'Per Line'!$AK$2:$AK$4001,0),"")</f>
        <v/>
      </c>
      <c r="AC168" s="14">
        <f>IF($AB168="","",M168-L168*Z168/100)</f>
        <v/>
      </c>
    </row>
    <row r="169">
      <c r="A169" s="12" t="n"/>
      <c r="B169">
        <f>IF($AB169="","",INDEX('Per Line'!$C$2:$C$4001,$AB169)&amp;"")</f>
        <v/>
      </c>
      <c r="C169">
        <f>IF($AB169="","",INDEX('Per Line'!$D$2:$D$4001,$AB169)&amp;"")</f>
        <v/>
      </c>
      <c r="D169">
        <f>IF($AB169="","",INDEX('Per Line'!$B$2:$B$4001,$AB169)&amp;"")</f>
        <v/>
      </c>
      <c r="E169">
        <f>IF($AB169="","",INDEX('Per Line'!$A$2:$A$4001,$AB169))</f>
        <v/>
      </c>
      <c r="F169" s="11">
        <f>IF($AB169="","",INDEX('Per Line'!$E$2:$E$4001,$AB169))</f>
        <v/>
      </c>
      <c r="G169">
        <f>IF($AB169="","",INDEX('Per Line'!$F$2:$F$4001,$AB169)&amp;"")</f>
        <v/>
      </c>
      <c r="H169">
        <f>IF($AB169="","",INDEX('Per Line'!$H$2:$H$4001,$AB169)&amp;"")</f>
        <v/>
      </c>
      <c r="I169">
        <f>IF($AB169="","",INDEX('Per Line'!$I$2:$I$4001,$AB169)&amp;"")</f>
        <v/>
      </c>
      <c r="J169">
        <f>IF($AB169="","",INDEX('Per Line'!$J$2:$J$4001,$AB169)&amp;"")</f>
        <v/>
      </c>
      <c r="K169">
        <f>IF($AB169="","",INDEX('Per Line'!$K$2:$K$4001,$AB169)&amp;"")</f>
        <v/>
      </c>
      <c r="L169">
        <f>IF($AB169="","",INDEX('Per Line'!$L$2:$L$4001,$AB169))</f>
        <v/>
      </c>
      <c r="M169" s="7">
        <f>IF($AB169="","",IF(AND(ISNUMBER(O169),O169&gt;0,Z169&gt;O169),L169*O169/100+(Z169-O169),L169*Z169/100))</f>
        <v/>
      </c>
      <c r="N169">
        <f>IF($AB169="","",INDEX('Per Line'!$V$2:$V$4001,$AB169)&amp;"")</f>
        <v/>
      </c>
      <c r="O169">
        <f>IF($AB169="","",INDEX('Per Line'!$Z$2:$Z$4001,$AB169))</f>
        <v/>
      </c>
      <c r="P169">
        <f>IF($AB169="","",IF(AND(ISNUMBER(O169),O169&gt;0),Z169&gt;O169,FALSE))</f>
        <v/>
      </c>
      <c r="Q169" s="7">
        <f>IF($AB169="","",SUMIFS('Per Line'!$U$2:$U$4001,'Per Line'!$C$2:$C$4001,$B169,'Per Line'!$AM$2:$AM$4001,1))</f>
        <v/>
      </c>
      <c r="R169">
        <f>IF($AB169="","",Settings!$C$7)</f>
        <v/>
      </c>
      <c r="S169" s="7">
        <f>IF($AB169="","",SUMIFS('Per Line'!$U$2:$U$4001,'Per Line'!$C$2:$C$4001,$B169,'Per Line'!$AL$2:$AL$4001,0,'Per Line'!$AM$2:$AM$4001,0))</f>
        <v/>
      </c>
      <c r="T169" s="7">
        <f>IF($AB169="","",S169*R169)</f>
        <v/>
      </c>
      <c r="U169">
        <f>IF($AB169="","",Settings!$C$6)</f>
        <v/>
      </c>
      <c r="V169" s="7">
        <f>IF($AB169="","",SUMIFS('Per Line'!$U$2:$U$4001,'Per Line'!$C$2:$C$4001,$B169,'Per Line'!$AL$2:$AL$4001,1,'Per Line'!$AM$2:$AM$4001,0))</f>
        <v/>
      </c>
      <c r="W169" s="7">
        <f>IF($AB169="","",V169*U169)</f>
        <v/>
      </c>
      <c r="X169" s="7">
        <f>IF($AB169="","",W169+T169)</f>
        <v/>
      </c>
      <c r="Y169" s="7">
        <f>IF($AB169="","",Z169-X169)</f>
        <v/>
      </c>
      <c r="Z169" s="7">
        <f>IF($AB169="","",S169+V169+Q169)</f>
        <v/>
      </c>
      <c r="AA169" s="7">
        <f>IF($AB169="","",Z169-X169-M169)</f>
        <v/>
      </c>
      <c r="AB169" s="13">
        <f>IF(ROWS($AB$2:$AB169)&lt;=MAX('Per Line'!$AK$2:$AK$4001),MATCH(ROWS($AB$2:$AB169),'Per Line'!$AK$2:$AK$4001,0),"")</f>
        <v/>
      </c>
      <c r="AC169" s="14">
        <f>IF($AB169="","",M169-L169*Z169/100)</f>
        <v/>
      </c>
    </row>
    <row r="170">
      <c r="A170" s="12" t="n"/>
      <c r="B170">
        <f>IF($AB170="","",INDEX('Per Line'!$C$2:$C$4001,$AB170)&amp;"")</f>
        <v/>
      </c>
      <c r="C170">
        <f>IF($AB170="","",INDEX('Per Line'!$D$2:$D$4001,$AB170)&amp;"")</f>
        <v/>
      </c>
      <c r="D170">
        <f>IF($AB170="","",INDEX('Per Line'!$B$2:$B$4001,$AB170)&amp;"")</f>
        <v/>
      </c>
      <c r="E170">
        <f>IF($AB170="","",INDEX('Per Line'!$A$2:$A$4001,$AB170))</f>
        <v/>
      </c>
      <c r="F170" s="11">
        <f>IF($AB170="","",INDEX('Per Line'!$E$2:$E$4001,$AB170))</f>
        <v/>
      </c>
      <c r="G170">
        <f>IF($AB170="","",INDEX('Per Line'!$F$2:$F$4001,$AB170)&amp;"")</f>
        <v/>
      </c>
      <c r="H170">
        <f>IF($AB170="","",INDEX('Per Line'!$H$2:$H$4001,$AB170)&amp;"")</f>
        <v/>
      </c>
      <c r="I170">
        <f>IF($AB170="","",INDEX('Per Line'!$I$2:$I$4001,$AB170)&amp;"")</f>
        <v/>
      </c>
      <c r="J170">
        <f>IF($AB170="","",INDEX('Per Line'!$J$2:$J$4001,$AB170)&amp;"")</f>
        <v/>
      </c>
      <c r="K170">
        <f>IF($AB170="","",INDEX('Per Line'!$K$2:$K$4001,$AB170)&amp;"")</f>
        <v/>
      </c>
      <c r="L170">
        <f>IF($AB170="","",INDEX('Per Line'!$L$2:$L$4001,$AB170))</f>
        <v/>
      </c>
      <c r="M170" s="7">
        <f>IF($AB170="","",IF(AND(ISNUMBER(O170),O170&gt;0,Z170&gt;O170),L170*O170/100+(Z170-O170),L170*Z170/100))</f>
        <v/>
      </c>
      <c r="N170">
        <f>IF($AB170="","",INDEX('Per Line'!$V$2:$V$4001,$AB170)&amp;"")</f>
        <v/>
      </c>
      <c r="O170">
        <f>IF($AB170="","",INDEX('Per Line'!$Z$2:$Z$4001,$AB170))</f>
        <v/>
      </c>
      <c r="P170">
        <f>IF($AB170="","",IF(AND(ISNUMBER(O170),O170&gt;0),Z170&gt;O170,FALSE))</f>
        <v/>
      </c>
      <c r="Q170" s="7">
        <f>IF($AB170="","",SUMIFS('Per Line'!$U$2:$U$4001,'Per Line'!$C$2:$C$4001,$B170,'Per Line'!$AM$2:$AM$4001,1))</f>
        <v/>
      </c>
      <c r="R170">
        <f>IF($AB170="","",Settings!$C$7)</f>
        <v/>
      </c>
      <c r="S170" s="7">
        <f>IF($AB170="","",SUMIFS('Per Line'!$U$2:$U$4001,'Per Line'!$C$2:$C$4001,$B170,'Per Line'!$AL$2:$AL$4001,0,'Per Line'!$AM$2:$AM$4001,0))</f>
        <v/>
      </c>
      <c r="T170" s="7">
        <f>IF($AB170="","",S170*R170)</f>
        <v/>
      </c>
      <c r="U170">
        <f>IF($AB170="","",Settings!$C$6)</f>
        <v/>
      </c>
      <c r="V170" s="7">
        <f>IF($AB170="","",SUMIFS('Per Line'!$U$2:$U$4001,'Per Line'!$C$2:$C$4001,$B170,'Per Line'!$AL$2:$AL$4001,1,'Per Line'!$AM$2:$AM$4001,0))</f>
        <v/>
      </c>
      <c r="W170" s="7">
        <f>IF($AB170="","",V170*U170)</f>
        <v/>
      </c>
      <c r="X170" s="7">
        <f>IF($AB170="","",W170+T170)</f>
        <v/>
      </c>
      <c r="Y170" s="7">
        <f>IF($AB170="","",Z170-X170)</f>
        <v/>
      </c>
      <c r="Z170" s="7">
        <f>IF($AB170="","",S170+V170+Q170)</f>
        <v/>
      </c>
      <c r="AA170" s="7">
        <f>IF($AB170="","",Z170-X170-M170)</f>
        <v/>
      </c>
      <c r="AB170" s="13">
        <f>IF(ROWS($AB$2:$AB170)&lt;=MAX('Per Line'!$AK$2:$AK$4001),MATCH(ROWS($AB$2:$AB170),'Per Line'!$AK$2:$AK$4001,0),"")</f>
        <v/>
      </c>
      <c r="AC170" s="14">
        <f>IF($AB170="","",M170-L170*Z170/100)</f>
        <v/>
      </c>
    </row>
    <row r="171">
      <c r="A171" s="12" t="n"/>
      <c r="B171">
        <f>IF($AB171="","",INDEX('Per Line'!$C$2:$C$4001,$AB171)&amp;"")</f>
        <v/>
      </c>
      <c r="C171">
        <f>IF($AB171="","",INDEX('Per Line'!$D$2:$D$4001,$AB171)&amp;"")</f>
        <v/>
      </c>
      <c r="D171">
        <f>IF($AB171="","",INDEX('Per Line'!$B$2:$B$4001,$AB171)&amp;"")</f>
        <v/>
      </c>
      <c r="E171">
        <f>IF($AB171="","",INDEX('Per Line'!$A$2:$A$4001,$AB171))</f>
        <v/>
      </c>
      <c r="F171" s="11">
        <f>IF($AB171="","",INDEX('Per Line'!$E$2:$E$4001,$AB171))</f>
        <v/>
      </c>
      <c r="G171">
        <f>IF($AB171="","",INDEX('Per Line'!$F$2:$F$4001,$AB171)&amp;"")</f>
        <v/>
      </c>
      <c r="H171">
        <f>IF($AB171="","",INDEX('Per Line'!$H$2:$H$4001,$AB171)&amp;"")</f>
        <v/>
      </c>
      <c r="I171">
        <f>IF($AB171="","",INDEX('Per Line'!$I$2:$I$4001,$AB171)&amp;"")</f>
        <v/>
      </c>
      <c r="J171">
        <f>IF($AB171="","",INDEX('Per Line'!$J$2:$J$4001,$AB171)&amp;"")</f>
        <v/>
      </c>
      <c r="K171">
        <f>IF($AB171="","",INDEX('Per Line'!$K$2:$K$4001,$AB171)&amp;"")</f>
        <v/>
      </c>
      <c r="L171">
        <f>IF($AB171="","",INDEX('Per Line'!$L$2:$L$4001,$AB171))</f>
        <v/>
      </c>
      <c r="M171" s="7">
        <f>IF($AB171="","",IF(AND(ISNUMBER(O171),O171&gt;0,Z171&gt;O171),L171*O171/100+(Z171-O171),L171*Z171/100))</f>
        <v/>
      </c>
      <c r="N171">
        <f>IF($AB171="","",INDEX('Per Line'!$V$2:$V$4001,$AB171)&amp;"")</f>
        <v/>
      </c>
      <c r="O171">
        <f>IF($AB171="","",INDEX('Per Line'!$Z$2:$Z$4001,$AB171))</f>
        <v/>
      </c>
      <c r="P171">
        <f>IF($AB171="","",IF(AND(ISNUMBER(O171),O171&gt;0),Z171&gt;O171,FALSE))</f>
        <v/>
      </c>
      <c r="Q171" s="7">
        <f>IF($AB171="","",SUMIFS('Per Line'!$U$2:$U$4001,'Per Line'!$C$2:$C$4001,$B171,'Per Line'!$AM$2:$AM$4001,1))</f>
        <v/>
      </c>
      <c r="R171">
        <f>IF($AB171="","",Settings!$C$7)</f>
        <v/>
      </c>
      <c r="S171" s="7">
        <f>IF($AB171="","",SUMIFS('Per Line'!$U$2:$U$4001,'Per Line'!$C$2:$C$4001,$B171,'Per Line'!$AL$2:$AL$4001,0,'Per Line'!$AM$2:$AM$4001,0))</f>
        <v/>
      </c>
      <c r="T171" s="7">
        <f>IF($AB171="","",S171*R171)</f>
        <v/>
      </c>
      <c r="U171">
        <f>IF($AB171="","",Settings!$C$6)</f>
        <v/>
      </c>
      <c r="V171" s="7">
        <f>IF($AB171="","",SUMIFS('Per Line'!$U$2:$U$4001,'Per Line'!$C$2:$C$4001,$B171,'Per Line'!$AL$2:$AL$4001,1,'Per Line'!$AM$2:$AM$4001,0))</f>
        <v/>
      </c>
      <c r="W171" s="7">
        <f>IF($AB171="","",V171*U171)</f>
        <v/>
      </c>
      <c r="X171" s="7">
        <f>IF($AB171="","",W171+T171)</f>
        <v/>
      </c>
      <c r="Y171" s="7">
        <f>IF($AB171="","",Z171-X171)</f>
        <v/>
      </c>
      <c r="Z171" s="7">
        <f>IF($AB171="","",S171+V171+Q171)</f>
        <v/>
      </c>
      <c r="AA171" s="7">
        <f>IF($AB171="","",Z171-X171-M171)</f>
        <v/>
      </c>
      <c r="AB171" s="13">
        <f>IF(ROWS($AB$2:$AB171)&lt;=MAX('Per Line'!$AK$2:$AK$4001),MATCH(ROWS($AB$2:$AB171),'Per Line'!$AK$2:$AK$4001,0),"")</f>
        <v/>
      </c>
      <c r="AC171" s="14">
        <f>IF($AB171="","",M171-L171*Z171/100)</f>
        <v/>
      </c>
    </row>
    <row r="172">
      <c r="A172" s="12" t="n"/>
      <c r="B172">
        <f>IF($AB172="","",INDEX('Per Line'!$C$2:$C$4001,$AB172)&amp;"")</f>
        <v/>
      </c>
      <c r="C172">
        <f>IF($AB172="","",INDEX('Per Line'!$D$2:$D$4001,$AB172)&amp;"")</f>
        <v/>
      </c>
      <c r="D172">
        <f>IF($AB172="","",INDEX('Per Line'!$B$2:$B$4001,$AB172)&amp;"")</f>
        <v/>
      </c>
      <c r="E172">
        <f>IF($AB172="","",INDEX('Per Line'!$A$2:$A$4001,$AB172))</f>
        <v/>
      </c>
      <c r="F172" s="11">
        <f>IF($AB172="","",INDEX('Per Line'!$E$2:$E$4001,$AB172))</f>
        <v/>
      </c>
      <c r="G172">
        <f>IF($AB172="","",INDEX('Per Line'!$F$2:$F$4001,$AB172)&amp;"")</f>
        <v/>
      </c>
      <c r="H172">
        <f>IF($AB172="","",INDEX('Per Line'!$H$2:$H$4001,$AB172)&amp;"")</f>
        <v/>
      </c>
      <c r="I172">
        <f>IF($AB172="","",INDEX('Per Line'!$I$2:$I$4001,$AB172)&amp;"")</f>
        <v/>
      </c>
      <c r="J172">
        <f>IF($AB172="","",INDEX('Per Line'!$J$2:$J$4001,$AB172)&amp;"")</f>
        <v/>
      </c>
      <c r="K172">
        <f>IF($AB172="","",INDEX('Per Line'!$K$2:$K$4001,$AB172)&amp;"")</f>
        <v/>
      </c>
      <c r="L172">
        <f>IF($AB172="","",INDEX('Per Line'!$L$2:$L$4001,$AB172))</f>
        <v/>
      </c>
      <c r="M172" s="7">
        <f>IF($AB172="","",IF(AND(ISNUMBER(O172),O172&gt;0,Z172&gt;O172),L172*O172/100+(Z172-O172),L172*Z172/100))</f>
        <v/>
      </c>
      <c r="N172">
        <f>IF($AB172="","",INDEX('Per Line'!$V$2:$V$4001,$AB172)&amp;"")</f>
        <v/>
      </c>
      <c r="O172">
        <f>IF($AB172="","",INDEX('Per Line'!$Z$2:$Z$4001,$AB172))</f>
        <v/>
      </c>
      <c r="P172">
        <f>IF($AB172="","",IF(AND(ISNUMBER(O172),O172&gt;0),Z172&gt;O172,FALSE))</f>
        <v/>
      </c>
      <c r="Q172" s="7">
        <f>IF($AB172="","",SUMIFS('Per Line'!$U$2:$U$4001,'Per Line'!$C$2:$C$4001,$B172,'Per Line'!$AM$2:$AM$4001,1))</f>
        <v/>
      </c>
      <c r="R172">
        <f>IF($AB172="","",Settings!$C$7)</f>
        <v/>
      </c>
      <c r="S172" s="7">
        <f>IF($AB172="","",SUMIFS('Per Line'!$U$2:$U$4001,'Per Line'!$C$2:$C$4001,$B172,'Per Line'!$AL$2:$AL$4001,0,'Per Line'!$AM$2:$AM$4001,0))</f>
        <v/>
      </c>
      <c r="T172" s="7">
        <f>IF($AB172="","",S172*R172)</f>
        <v/>
      </c>
      <c r="U172">
        <f>IF($AB172="","",Settings!$C$6)</f>
        <v/>
      </c>
      <c r="V172" s="7">
        <f>IF($AB172="","",SUMIFS('Per Line'!$U$2:$U$4001,'Per Line'!$C$2:$C$4001,$B172,'Per Line'!$AL$2:$AL$4001,1,'Per Line'!$AM$2:$AM$4001,0))</f>
        <v/>
      </c>
      <c r="W172" s="7">
        <f>IF($AB172="","",V172*U172)</f>
        <v/>
      </c>
      <c r="X172" s="7">
        <f>IF($AB172="","",W172+T172)</f>
        <v/>
      </c>
      <c r="Y172" s="7">
        <f>IF($AB172="","",Z172-X172)</f>
        <v/>
      </c>
      <c r="Z172" s="7">
        <f>IF($AB172="","",S172+V172+Q172)</f>
        <v/>
      </c>
      <c r="AA172" s="7">
        <f>IF($AB172="","",Z172-X172-M172)</f>
        <v/>
      </c>
      <c r="AB172" s="13">
        <f>IF(ROWS($AB$2:$AB172)&lt;=MAX('Per Line'!$AK$2:$AK$4001),MATCH(ROWS($AB$2:$AB172),'Per Line'!$AK$2:$AK$4001,0),"")</f>
        <v/>
      </c>
      <c r="AC172" s="14">
        <f>IF($AB172="","",M172-L172*Z172/100)</f>
        <v/>
      </c>
    </row>
    <row r="173">
      <c r="A173" s="12" t="n"/>
      <c r="B173">
        <f>IF($AB173="","",INDEX('Per Line'!$C$2:$C$4001,$AB173)&amp;"")</f>
        <v/>
      </c>
      <c r="C173">
        <f>IF($AB173="","",INDEX('Per Line'!$D$2:$D$4001,$AB173)&amp;"")</f>
        <v/>
      </c>
      <c r="D173">
        <f>IF($AB173="","",INDEX('Per Line'!$B$2:$B$4001,$AB173)&amp;"")</f>
        <v/>
      </c>
      <c r="E173">
        <f>IF($AB173="","",INDEX('Per Line'!$A$2:$A$4001,$AB173))</f>
        <v/>
      </c>
      <c r="F173" s="11">
        <f>IF($AB173="","",INDEX('Per Line'!$E$2:$E$4001,$AB173))</f>
        <v/>
      </c>
      <c r="G173">
        <f>IF($AB173="","",INDEX('Per Line'!$F$2:$F$4001,$AB173)&amp;"")</f>
        <v/>
      </c>
      <c r="H173">
        <f>IF($AB173="","",INDEX('Per Line'!$H$2:$H$4001,$AB173)&amp;"")</f>
        <v/>
      </c>
      <c r="I173">
        <f>IF($AB173="","",INDEX('Per Line'!$I$2:$I$4001,$AB173)&amp;"")</f>
        <v/>
      </c>
      <c r="J173">
        <f>IF($AB173="","",INDEX('Per Line'!$J$2:$J$4001,$AB173)&amp;"")</f>
        <v/>
      </c>
      <c r="K173">
        <f>IF($AB173="","",INDEX('Per Line'!$K$2:$K$4001,$AB173)&amp;"")</f>
        <v/>
      </c>
      <c r="L173">
        <f>IF($AB173="","",INDEX('Per Line'!$L$2:$L$4001,$AB173))</f>
        <v/>
      </c>
      <c r="M173" s="7">
        <f>IF($AB173="","",IF(AND(ISNUMBER(O173),O173&gt;0,Z173&gt;O173),L173*O173/100+(Z173-O173),L173*Z173/100))</f>
        <v/>
      </c>
      <c r="N173">
        <f>IF($AB173="","",INDEX('Per Line'!$V$2:$V$4001,$AB173)&amp;"")</f>
        <v/>
      </c>
      <c r="O173">
        <f>IF($AB173="","",INDEX('Per Line'!$Z$2:$Z$4001,$AB173))</f>
        <v/>
      </c>
      <c r="P173">
        <f>IF($AB173="","",IF(AND(ISNUMBER(O173),O173&gt;0),Z173&gt;O173,FALSE))</f>
        <v/>
      </c>
      <c r="Q173" s="7">
        <f>IF($AB173="","",SUMIFS('Per Line'!$U$2:$U$4001,'Per Line'!$C$2:$C$4001,$B173,'Per Line'!$AM$2:$AM$4001,1))</f>
        <v/>
      </c>
      <c r="R173">
        <f>IF($AB173="","",Settings!$C$7)</f>
        <v/>
      </c>
      <c r="S173" s="7">
        <f>IF($AB173="","",SUMIFS('Per Line'!$U$2:$U$4001,'Per Line'!$C$2:$C$4001,$B173,'Per Line'!$AL$2:$AL$4001,0,'Per Line'!$AM$2:$AM$4001,0))</f>
        <v/>
      </c>
      <c r="T173" s="7">
        <f>IF($AB173="","",S173*R173)</f>
        <v/>
      </c>
      <c r="U173">
        <f>IF($AB173="","",Settings!$C$6)</f>
        <v/>
      </c>
      <c r="V173" s="7">
        <f>IF($AB173="","",SUMIFS('Per Line'!$U$2:$U$4001,'Per Line'!$C$2:$C$4001,$B173,'Per Line'!$AL$2:$AL$4001,1,'Per Line'!$AM$2:$AM$4001,0))</f>
        <v/>
      </c>
      <c r="W173" s="7">
        <f>IF($AB173="","",V173*U173)</f>
        <v/>
      </c>
      <c r="X173" s="7">
        <f>IF($AB173="","",W173+T173)</f>
        <v/>
      </c>
      <c r="Y173" s="7">
        <f>IF($AB173="","",Z173-X173)</f>
        <v/>
      </c>
      <c r="Z173" s="7">
        <f>IF($AB173="","",S173+V173+Q173)</f>
        <v/>
      </c>
      <c r="AA173" s="7">
        <f>IF($AB173="","",Z173-X173-M173)</f>
        <v/>
      </c>
      <c r="AB173" s="13">
        <f>IF(ROWS($AB$2:$AB173)&lt;=MAX('Per Line'!$AK$2:$AK$4001),MATCH(ROWS($AB$2:$AB173),'Per Line'!$AK$2:$AK$4001,0),"")</f>
        <v/>
      </c>
      <c r="AC173" s="14">
        <f>IF($AB173="","",M173-L173*Z173/100)</f>
        <v/>
      </c>
    </row>
    <row r="174">
      <c r="A174" s="12" t="n"/>
      <c r="B174">
        <f>IF($AB174="","",INDEX('Per Line'!$C$2:$C$4001,$AB174)&amp;"")</f>
        <v/>
      </c>
      <c r="C174">
        <f>IF($AB174="","",INDEX('Per Line'!$D$2:$D$4001,$AB174)&amp;"")</f>
        <v/>
      </c>
      <c r="D174">
        <f>IF($AB174="","",INDEX('Per Line'!$B$2:$B$4001,$AB174)&amp;"")</f>
        <v/>
      </c>
      <c r="E174">
        <f>IF($AB174="","",INDEX('Per Line'!$A$2:$A$4001,$AB174))</f>
        <v/>
      </c>
      <c r="F174" s="11">
        <f>IF($AB174="","",INDEX('Per Line'!$E$2:$E$4001,$AB174))</f>
        <v/>
      </c>
      <c r="G174">
        <f>IF($AB174="","",INDEX('Per Line'!$F$2:$F$4001,$AB174)&amp;"")</f>
        <v/>
      </c>
      <c r="H174">
        <f>IF($AB174="","",INDEX('Per Line'!$H$2:$H$4001,$AB174)&amp;"")</f>
        <v/>
      </c>
      <c r="I174">
        <f>IF($AB174="","",INDEX('Per Line'!$I$2:$I$4001,$AB174)&amp;"")</f>
        <v/>
      </c>
      <c r="J174">
        <f>IF($AB174="","",INDEX('Per Line'!$J$2:$J$4001,$AB174)&amp;"")</f>
        <v/>
      </c>
      <c r="K174">
        <f>IF($AB174="","",INDEX('Per Line'!$K$2:$K$4001,$AB174)&amp;"")</f>
        <v/>
      </c>
      <c r="L174">
        <f>IF($AB174="","",INDEX('Per Line'!$L$2:$L$4001,$AB174))</f>
        <v/>
      </c>
      <c r="M174" s="7">
        <f>IF($AB174="","",IF(AND(ISNUMBER(O174),O174&gt;0,Z174&gt;O174),L174*O174/100+(Z174-O174),L174*Z174/100))</f>
        <v/>
      </c>
      <c r="N174">
        <f>IF($AB174="","",INDEX('Per Line'!$V$2:$V$4001,$AB174)&amp;"")</f>
        <v/>
      </c>
      <c r="O174">
        <f>IF($AB174="","",INDEX('Per Line'!$Z$2:$Z$4001,$AB174))</f>
        <v/>
      </c>
      <c r="P174">
        <f>IF($AB174="","",IF(AND(ISNUMBER(O174),O174&gt;0),Z174&gt;O174,FALSE))</f>
        <v/>
      </c>
      <c r="Q174" s="7">
        <f>IF($AB174="","",SUMIFS('Per Line'!$U$2:$U$4001,'Per Line'!$C$2:$C$4001,$B174,'Per Line'!$AM$2:$AM$4001,1))</f>
        <v/>
      </c>
      <c r="R174">
        <f>IF($AB174="","",Settings!$C$7)</f>
        <v/>
      </c>
      <c r="S174" s="7">
        <f>IF($AB174="","",SUMIFS('Per Line'!$U$2:$U$4001,'Per Line'!$C$2:$C$4001,$B174,'Per Line'!$AL$2:$AL$4001,0,'Per Line'!$AM$2:$AM$4001,0))</f>
        <v/>
      </c>
      <c r="T174" s="7">
        <f>IF($AB174="","",S174*R174)</f>
        <v/>
      </c>
      <c r="U174">
        <f>IF($AB174="","",Settings!$C$6)</f>
        <v/>
      </c>
      <c r="V174" s="7">
        <f>IF($AB174="","",SUMIFS('Per Line'!$U$2:$U$4001,'Per Line'!$C$2:$C$4001,$B174,'Per Line'!$AL$2:$AL$4001,1,'Per Line'!$AM$2:$AM$4001,0))</f>
        <v/>
      </c>
      <c r="W174" s="7">
        <f>IF($AB174="","",V174*U174)</f>
        <v/>
      </c>
      <c r="X174" s="7">
        <f>IF($AB174="","",W174+T174)</f>
        <v/>
      </c>
      <c r="Y174" s="7">
        <f>IF($AB174="","",Z174-X174)</f>
        <v/>
      </c>
      <c r="Z174" s="7">
        <f>IF($AB174="","",S174+V174+Q174)</f>
        <v/>
      </c>
      <c r="AA174" s="7">
        <f>IF($AB174="","",Z174-X174-M174)</f>
        <v/>
      </c>
      <c r="AB174" s="13">
        <f>IF(ROWS($AB$2:$AB174)&lt;=MAX('Per Line'!$AK$2:$AK$4001),MATCH(ROWS($AB$2:$AB174),'Per Line'!$AK$2:$AK$4001,0),"")</f>
        <v/>
      </c>
      <c r="AC174" s="14">
        <f>IF($AB174="","",M174-L174*Z174/100)</f>
        <v/>
      </c>
    </row>
    <row r="175">
      <c r="A175" s="12" t="n"/>
      <c r="B175">
        <f>IF($AB175="","",INDEX('Per Line'!$C$2:$C$4001,$AB175)&amp;"")</f>
        <v/>
      </c>
      <c r="C175">
        <f>IF($AB175="","",INDEX('Per Line'!$D$2:$D$4001,$AB175)&amp;"")</f>
        <v/>
      </c>
      <c r="D175">
        <f>IF($AB175="","",INDEX('Per Line'!$B$2:$B$4001,$AB175)&amp;"")</f>
        <v/>
      </c>
      <c r="E175">
        <f>IF($AB175="","",INDEX('Per Line'!$A$2:$A$4001,$AB175))</f>
        <v/>
      </c>
      <c r="F175" s="11">
        <f>IF($AB175="","",INDEX('Per Line'!$E$2:$E$4001,$AB175))</f>
        <v/>
      </c>
      <c r="G175">
        <f>IF($AB175="","",INDEX('Per Line'!$F$2:$F$4001,$AB175)&amp;"")</f>
        <v/>
      </c>
      <c r="H175">
        <f>IF($AB175="","",INDEX('Per Line'!$H$2:$H$4001,$AB175)&amp;"")</f>
        <v/>
      </c>
      <c r="I175">
        <f>IF($AB175="","",INDEX('Per Line'!$I$2:$I$4001,$AB175)&amp;"")</f>
        <v/>
      </c>
      <c r="J175">
        <f>IF($AB175="","",INDEX('Per Line'!$J$2:$J$4001,$AB175)&amp;"")</f>
        <v/>
      </c>
      <c r="K175">
        <f>IF($AB175="","",INDEX('Per Line'!$K$2:$K$4001,$AB175)&amp;"")</f>
        <v/>
      </c>
      <c r="L175">
        <f>IF($AB175="","",INDEX('Per Line'!$L$2:$L$4001,$AB175))</f>
        <v/>
      </c>
      <c r="M175" s="7">
        <f>IF($AB175="","",IF(AND(ISNUMBER(O175),O175&gt;0,Z175&gt;O175),L175*O175/100+(Z175-O175),L175*Z175/100))</f>
        <v/>
      </c>
      <c r="N175">
        <f>IF($AB175="","",INDEX('Per Line'!$V$2:$V$4001,$AB175)&amp;"")</f>
        <v/>
      </c>
      <c r="O175">
        <f>IF($AB175="","",INDEX('Per Line'!$Z$2:$Z$4001,$AB175))</f>
        <v/>
      </c>
      <c r="P175">
        <f>IF($AB175="","",IF(AND(ISNUMBER(O175),O175&gt;0),Z175&gt;O175,FALSE))</f>
        <v/>
      </c>
      <c r="Q175" s="7">
        <f>IF($AB175="","",SUMIFS('Per Line'!$U$2:$U$4001,'Per Line'!$C$2:$C$4001,$B175,'Per Line'!$AM$2:$AM$4001,1))</f>
        <v/>
      </c>
      <c r="R175">
        <f>IF($AB175="","",Settings!$C$7)</f>
        <v/>
      </c>
      <c r="S175" s="7">
        <f>IF($AB175="","",SUMIFS('Per Line'!$U$2:$U$4001,'Per Line'!$C$2:$C$4001,$B175,'Per Line'!$AL$2:$AL$4001,0,'Per Line'!$AM$2:$AM$4001,0))</f>
        <v/>
      </c>
      <c r="T175" s="7">
        <f>IF($AB175="","",S175*R175)</f>
        <v/>
      </c>
      <c r="U175">
        <f>IF($AB175="","",Settings!$C$6)</f>
        <v/>
      </c>
      <c r="V175" s="7">
        <f>IF($AB175="","",SUMIFS('Per Line'!$U$2:$U$4001,'Per Line'!$C$2:$C$4001,$B175,'Per Line'!$AL$2:$AL$4001,1,'Per Line'!$AM$2:$AM$4001,0))</f>
        <v/>
      </c>
      <c r="W175" s="7">
        <f>IF($AB175="","",V175*U175)</f>
        <v/>
      </c>
      <c r="X175" s="7">
        <f>IF($AB175="","",W175+T175)</f>
        <v/>
      </c>
      <c r="Y175" s="7">
        <f>IF($AB175="","",Z175-X175)</f>
        <v/>
      </c>
      <c r="Z175" s="7">
        <f>IF($AB175="","",S175+V175+Q175)</f>
        <v/>
      </c>
      <c r="AA175" s="7">
        <f>IF($AB175="","",Z175-X175-M175)</f>
        <v/>
      </c>
      <c r="AB175" s="13">
        <f>IF(ROWS($AB$2:$AB175)&lt;=MAX('Per Line'!$AK$2:$AK$4001),MATCH(ROWS($AB$2:$AB175),'Per Line'!$AK$2:$AK$4001,0),"")</f>
        <v/>
      </c>
      <c r="AC175" s="14">
        <f>IF($AB175="","",M175-L175*Z175/100)</f>
        <v/>
      </c>
    </row>
    <row r="176">
      <c r="A176" s="12" t="n"/>
      <c r="B176">
        <f>IF($AB176="","",INDEX('Per Line'!$C$2:$C$4001,$AB176)&amp;"")</f>
        <v/>
      </c>
      <c r="C176">
        <f>IF($AB176="","",INDEX('Per Line'!$D$2:$D$4001,$AB176)&amp;"")</f>
        <v/>
      </c>
      <c r="D176">
        <f>IF($AB176="","",INDEX('Per Line'!$B$2:$B$4001,$AB176)&amp;"")</f>
        <v/>
      </c>
      <c r="E176">
        <f>IF($AB176="","",INDEX('Per Line'!$A$2:$A$4001,$AB176))</f>
        <v/>
      </c>
      <c r="F176" s="11">
        <f>IF($AB176="","",INDEX('Per Line'!$E$2:$E$4001,$AB176))</f>
        <v/>
      </c>
      <c r="G176">
        <f>IF($AB176="","",INDEX('Per Line'!$F$2:$F$4001,$AB176)&amp;"")</f>
        <v/>
      </c>
      <c r="H176">
        <f>IF($AB176="","",INDEX('Per Line'!$H$2:$H$4001,$AB176)&amp;"")</f>
        <v/>
      </c>
      <c r="I176">
        <f>IF($AB176="","",INDEX('Per Line'!$I$2:$I$4001,$AB176)&amp;"")</f>
        <v/>
      </c>
      <c r="J176">
        <f>IF($AB176="","",INDEX('Per Line'!$J$2:$J$4001,$AB176)&amp;"")</f>
        <v/>
      </c>
      <c r="K176">
        <f>IF($AB176="","",INDEX('Per Line'!$K$2:$K$4001,$AB176)&amp;"")</f>
        <v/>
      </c>
      <c r="L176">
        <f>IF($AB176="","",INDEX('Per Line'!$L$2:$L$4001,$AB176))</f>
        <v/>
      </c>
      <c r="M176" s="7">
        <f>IF($AB176="","",IF(AND(ISNUMBER(O176),O176&gt;0,Z176&gt;O176),L176*O176/100+(Z176-O176),L176*Z176/100))</f>
        <v/>
      </c>
      <c r="N176">
        <f>IF($AB176="","",INDEX('Per Line'!$V$2:$V$4001,$AB176)&amp;"")</f>
        <v/>
      </c>
      <c r="O176">
        <f>IF($AB176="","",INDEX('Per Line'!$Z$2:$Z$4001,$AB176))</f>
        <v/>
      </c>
      <c r="P176">
        <f>IF($AB176="","",IF(AND(ISNUMBER(O176),O176&gt;0),Z176&gt;O176,FALSE))</f>
        <v/>
      </c>
      <c r="Q176" s="7">
        <f>IF($AB176="","",SUMIFS('Per Line'!$U$2:$U$4001,'Per Line'!$C$2:$C$4001,$B176,'Per Line'!$AM$2:$AM$4001,1))</f>
        <v/>
      </c>
      <c r="R176">
        <f>IF($AB176="","",Settings!$C$7)</f>
        <v/>
      </c>
      <c r="S176" s="7">
        <f>IF($AB176="","",SUMIFS('Per Line'!$U$2:$U$4001,'Per Line'!$C$2:$C$4001,$B176,'Per Line'!$AL$2:$AL$4001,0,'Per Line'!$AM$2:$AM$4001,0))</f>
        <v/>
      </c>
      <c r="T176" s="7">
        <f>IF($AB176="","",S176*R176)</f>
        <v/>
      </c>
      <c r="U176">
        <f>IF($AB176="","",Settings!$C$6)</f>
        <v/>
      </c>
      <c r="V176" s="7">
        <f>IF($AB176="","",SUMIFS('Per Line'!$U$2:$U$4001,'Per Line'!$C$2:$C$4001,$B176,'Per Line'!$AL$2:$AL$4001,1,'Per Line'!$AM$2:$AM$4001,0))</f>
        <v/>
      </c>
      <c r="W176" s="7">
        <f>IF($AB176="","",V176*U176)</f>
        <v/>
      </c>
      <c r="X176" s="7">
        <f>IF($AB176="","",W176+T176)</f>
        <v/>
      </c>
      <c r="Y176" s="7">
        <f>IF($AB176="","",Z176-X176)</f>
        <v/>
      </c>
      <c r="Z176" s="7">
        <f>IF($AB176="","",S176+V176+Q176)</f>
        <v/>
      </c>
      <c r="AA176" s="7">
        <f>IF($AB176="","",Z176-X176-M176)</f>
        <v/>
      </c>
      <c r="AB176" s="13">
        <f>IF(ROWS($AB$2:$AB176)&lt;=MAX('Per Line'!$AK$2:$AK$4001),MATCH(ROWS($AB$2:$AB176),'Per Line'!$AK$2:$AK$4001,0),"")</f>
        <v/>
      </c>
      <c r="AC176" s="14">
        <f>IF($AB176="","",M176-L176*Z176/100)</f>
        <v/>
      </c>
    </row>
    <row r="177">
      <c r="A177" s="12" t="n"/>
      <c r="B177">
        <f>IF($AB177="","",INDEX('Per Line'!$C$2:$C$4001,$AB177)&amp;"")</f>
        <v/>
      </c>
      <c r="C177">
        <f>IF($AB177="","",INDEX('Per Line'!$D$2:$D$4001,$AB177)&amp;"")</f>
        <v/>
      </c>
      <c r="D177">
        <f>IF($AB177="","",INDEX('Per Line'!$B$2:$B$4001,$AB177)&amp;"")</f>
        <v/>
      </c>
      <c r="E177">
        <f>IF($AB177="","",INDEX('Per Line'!$A$2:$A$4001,$AB177))</f>
        <v/>
      </c>
      <c r="F177" s="11">
        <f>IF($AB177="","",INDEX('Per Line'!$E$2:$E$4001,$AB177))</f>
        <v/>
      </c>
      <c r="G177">
        <f>IF($AB177="","",INDEX('Per Line'!$F$2:$F$4001,$AB177)&amp;"")</f>
        <v/>
      </c>
      <c r="H177">
        <f>IF($AB177="","",INDEX('Per Line'!$H$2:$H$4001,$AB177)&amp;"")</f>
        <v/>
      </c>
      <c r="I177">
        <f>IF($AB177="","",INDEX('Per Line'!$I$2:$I$4001,$AB177)&amp;"")</f>
        <v/>
      </c>
      <c r="J177">
        <f>IF($AB177="","",INDEX('Per Line'!$J$2:$J$4001,$AB177)&amp;"")</f>
        <v/>
      </c>
      <c r="K177">
        <f>IF($AB177="","",INDEX('Per Line'!$K$2:$K$4001,$AB177)&amp;"")</f>
        <v/>
      </c>
      <c r="L177">
        <f>IF($AB177="","",INDEX('Per Line'!$L$2:$L$4001,$AB177))</f>
        <v/>
      </c>
      <c r="M177" s="7">
        <f>IF($AB177="","",IF(AND(ISNUMBER(O177),O177&gt;0,Z177&gt;O177),L177*O177/100+(Z177-O177),L177*Z177/100))</f>
        <v/>
      </c>
      <c r="N177">
        <f>IF($AB177="","",INDEX('Per Line'!$V$2:$V$4001,$AB177)&amp;"")</f>
        <v/>
      </c>
      <c r="O177">
        <f>IF($AB177="","",INDEX('Per Line'!$Z$2:$Z$4001,$AB177))</f>
        <v/>
      </c>
      <c r="P177">
        <f>IF($AB177="","",IF(AND(ISNUMBER(O177),O177&gt;0),Z177&gt;O177,FALSE))</f>
        <v/>
      </c>
      <c r="Q177" s="7">
        <f>IF($AB177="","",SUMIFS('Per Line'!$U$2:$U$4001,'Per Line'!$C$2:$C$4001,$B177,'Per Line'!$AM$2:$AM$4001,1))</f>
        <v/>
      </c>
      <c r="R177">
        <f>IF($AB177="","",Settings!$C$7)</f>
        <v/>
      </c>
      <c r="S177" s="7">
        <f>IF($AB177="","",SUMIFS('Per Line'!$U$2:$U$4001,'Per Line'!$C$2:$C$4001,$B177,'Per Line'!$AL$2:$AL$4001,0,'Per Line'!$AM$2:$AM$4001,0))</f>
        <v/>
      </c>
      <c r="T177" s="7">
        <f>IF($AB177="","",S177*R177)</f>
        <v/>
      </c>
      <c r="U177">
        <f>IF($AB177="","",Settings!$C$6)</f>
        <v/>
      </c>
      <c r="V177" s="7">
        <f>IF($AB177="","",SUMIFS('Per Line'!$U$2:$U$4001,'Per Line'!$C$2:$C$4001,$B177,'Per Line'!$AL$2:$AL$4001,1,'Per Line'!$AM$2:$AM$4001,0))</f>
        <v/>
      </c>
      <c r="W177" s="7">
        <f>IF($AB177="","",V177*U177)</f>
        <v/>
      </c>
      <c r="X177" s="7">
        <f>IF($AB177="","",W177+T177)</f>
        <v/>
      </c>
      <c r="Y177" s="7">
        <f>IF($AB177="","",Z177-X177)</f>
        <v/>
      </c>
      <c r="Z177" s="7">
        <f>IF($AB177="","",S177+V177+Q177)</f>
        <v/>
      </c>
      <c r="AA177" s="7">
        <f>IF($AB177="","",Z177-X177-M177)</f>
        <v/>
      </c>
      <c r="AB177" s="13">
        <f>IF(ROWS($AB$2:$AB177)&lt;=MAX('Per Line'!$AK$2:$AK$4001),MATCH(ROWS($AB$2:$AB177),'Per Line'!$AK$2:$AK$4001,0),"")</f>
        <v/>
      </c>
      <c r="AC177" s="14">
        <f>IF($AB177="","",M177-L177*Z177/100)</f>
        <v/>
      </c>
    </row>
    <row r="178">
      <c r="A178" s="12" t="n"/>
      <c r="B178">
        <f>IF($AB178="","",INDEX('Per Line'!$C$2:$C$4001,$AB178)&amp;"")</f>
        <v/>
      </c>
      <c r="C178">
        <f>IF($AB178="","",INDEX('Per Line'!$D$2:$D$4001,$AB178)&amp;"")</f>
        <v/>
      </c>
      <c r="D178">
        <f>IF($AB178="","",INDEX('Per Line'!$B$2:$B$4001,$AB178)&amp;"")</f>
        <v/>
      </c>
      <c r="E178">
        <f>IF($AB178="","",INDEX('Per Line'!$A$2:$A$4001,$AB178))</f>
        <v/>
      </c>
      <c r="F178" s="11">
        <f>IF($AB178="","",INDEX('Per Line'!$E$2:$E$4001,$AB178))</f>
        <v/>
      </c>
      <c r="G178">
        <f>IF($AB178="","",INDEX('Per Line'!$F$2:$F$4001,$AB178)&amp;"")</f>
        <v/>
      </c>
      <c r="H178">
        <f>IF($AB178="","",INDEX('Per Line'!$H$2:$H$4001,$AB178)&amp;"")</f>
        <v/>
      </c>
      <c r="I178">
        <f>IF($AB178="","",INDEX('Per Line'!$I$2:$I$4001,$AB178)&amp;"")</f>
        <v/>
      </c>
      <c r="J178">
        <f>IF($AB178="","",INDEX('Per Line'!$J$2:$J$4001,$AB178)&amp;"")</f>
        <v/>
      </c>
      <c r="K178">
        <f>IF($AB178="","",INDEX('Per Line'!$K$2:$K$4001,$AB178)&amp;"")</f>
        <v/>
      </c>
      <c r="L178">
        <f>IF($AB178="","",INDEX('Per Line'!$L$2:$L$4001,$AB178))</f>
        <v/>
      </c>
      <c r="M178" s="7">
        <f>IF($AB178="","",IF(AND(ISNUMBER(O178),O178&gt;0,Z178&gt;O178),L178*O178/100+(Z178-O178),L178*Z178/100))</f>
        <v/>
      </c>
      <c r="N178">
        <f>IF($AB178="","",INDEX('Per Line'!$V$2:$V$4001,$AB178)&amp;"")</f>
        <v/>
      </c>
      <c r="O178">
        <f>IF($AB178="","",INDEX('Per Line'!$Z$2:$Z$4001,$AB178))</f>
        <v/>
      </c>
      <c r="P178">
        <f>IF($AB178="","",IF(AND(ISNUMBER(O178),O178&gt;0),Z178&gt;O178,FALSE))</f>
        <v/>
      </c>
      <c r="Q178" s="7">
        <f>IF($AB178="","",SUMIFS('Per Line'!$U$2:$U$4001,'Per Line'!$C$2:$C$4001,$B178,'Per Line'!$AM$2:$AM$4001,1))</f>
        <v/>
      </c>
      <c r="R178">
        <f>IF($AB178="","",Settings!$C$7)</f>
        <v/>
      </c>
      <c r="S178" s="7">
        <f>IF($AB178="","",SUMIFS('Per Line'!$U$2:$U$4001,'Per Line'!$C$2:$C$4001,$B178,'Per Line'!$AL$2:$AL$4001,0,'Per Line'!$AM$2:$AM$4001,0))</f>
        <v/>
      </c>
      <c r="T178" s="7">
        <f>IF($AB178="","",S178*R178)</f>
        <v/>
      </c>
      <c r="U178">
        <f>IF($AB178="","",Settings!$C$6)</f>
        <v/>
      </c>
      <c r="V178" s="7">
        <f>IF($AB178="","",SUMIFS('Per Line'!$U$2:$U$4001,'Per Line'!$C$2:$C$4001,$B178,'Per Line'!$AL$2:$AL$4001,1,'Per Line'!$AM$2:$AM$4001,0))</f>
        <v/>
      </c>
      <c r="W178" s="7">
        <f>IF($AB178="","",V178*U178)</f>
        <v/>
      </c>
      <c r="X178" s="7">
        <f>IF($AB178="","",W178+T178)</f>
        <v/>
      </c>
      <c r="Y178" s="7">
        <f>IF($AB178="","",Z178-X178)</f>
        <v/>
      </c>
      <c r="Z178" s="7">
        <f>IF($AB178="","",S178+V178+Q178)</f>
        <v/>
      </c>
      <c r="AA178" s="7">
        <f>IF($AB178="","",Z178-X178-M178)</f>
        <v/>
      </c>
      <c r="AB178" s="13">
        <f>IF(ROWS($AB$2:$AB178)&lt;=MAX('Per Line'!$AK$2:$AK$4001),MATCH(ROWS($AB$2:$AB178),'Per Line'!$AK$2:$AK$4001,0),"")</f>
        <v/>
      </c>
      <c r="AC178" s="14">
        <f>IF($AB178="","",M178-L178*Z178/100)</f>
        <v/>
      </c>
    </row>
    <row r="179">
      <c r="A179" s="12" t="n"/>
      <c r="B179">
        <f>IF($AB179="","",INDEX('Per Line'!$C$2:$C$4001,$AB179)&amp;"")</f>
        <v/>
      </c>
      <c r="C179">
        <f>IF($AB179="","",INDEX('Per Line'!$D$2:$D$4001,$AB179)&amp;"")</f>
        <v/>
      </c>
      <c r="D179">
        <f>IF($AB179="","",INDEX('Per Line'!$B$2:$B$4001,$AB179)&amp;"")</f>
        <v/>
      </c>
      <c r="E179">
        <f>IF($AB179="","",INDEX('Per Line'!$A$2:$A$4001,$AB179))</f>
        <v/>
      </c>
      <c r="F179" s="11">
        <f>IF($AB179="","",INDEX('Per Line'!$E$2:$E$4001,$AB179))</f>
        <v/>
      </c>
      <c r="G179">
        <f>IF($AB179="","",INDEX('Per Line'!$F$2:$F$4001,$AB179)&amp;"")</f>
        <v/>
      </c>
      <c r="H179">
        <f>IF($AB179="","",INDEX('Per Line'!$H$2:$H$4001,$AB179)&amp;"")</f>
        <v/>
      </c>
      <c r="I179">
        <f>IF($AB179="","",INDEX('Per Line'!$I$2:$I$4001,$AB179)&amp;"")</f>
        <v/>
      </c>
      <c r="J179">
        <f>IF($AB179="","",INDEX('Per Line'!$J$2:$J$4001,$AB179)&amp;"")</f>
        <v/>
      </c>
      <c r="K179">
        <f>IF($AB179="","",INDEX('Per Line'!$K$2:$K$4001,$AB179)&amp;"")</f>
        <v/>
      </c>
      <c r="L179">
        <f>IF($AB179="","",INDEX('Per Line'!$L$2:$L$4001,$AB179))</f>
        <v/>
      </c>
      <c r="M179" s="7">
        <f>IF($AB179="","",IF(AND(ISNUMBER(O179),O179&gt;0,Z179&gt;O179),L179*O179/100+(Z179-O179),L179*Z179/100))</f>
        <v/>
      </c>
      <c r="N179">
        <f>IF($AB179="","",INDEX('Per Line'!$V$2:$V$4001,$AB179)&amp;"")</f>
        <v/>
      </c>
      <c r="O179">
        <f>IF($AB179="","",INDEX('Per Line'!$Z$2:$Z$4001,$AB179))</f>
        <v/>
      </c>
      <c r="P179">
        <f>IF($AB179="","",IF(AND(ISNUMBER(O179),O179&gt;0),Z179&gt;O179,FALSE))</f>
        <v/>
      </c>
      <c r="Q179" s="7">
        <f>IF($AB179="","",SUMIFS('Per Line'!$U$2:$U$4001,'Per Line'!$C$2:$C$4001,$B179,'Per Line'!$AM$2:$AM$4001,1))</f>
        <v/>
      </c>
      <c r="R179">
        <f>IF($AB179="","",Settings!$C$7)</f>
        <v/>
      </c>
      <c r="S179" s="7">
        <f>IF($AB179="","",SUMIFS('Per Line'!$U$2:$U$4001,'Per Line'!$C$2:$C$4001,$B179,'Per Line'!$AL$2:$AL$4001,0,'Per Line'!$AM$2:$AM$4001,0))</f>
        <v/>
      </c>
      <c r="T179" s="7">
        <f>IF($AB179="","",S179*R179)</f>
        <v/>
      </c>
      <c r="U179">
        <f>IF($AB179="","",Settings!$C$6)</f>
        <v/>
      </c>
      <c r="V179" s="7">
        <f>IF($AB179="","",SUMIFS('Per Line'!$U$2:$U$4001,'Per Line'!$C$2:$C$4001,$B179,'Per Line'!$AL$2:$AL$4001,1,'Per Line'!$AM$2:$AM$4001,0))</f>
        <v/>
      </c>
      <c r="W179" s="7">
        <f>IF($AB179="","",V179*U179)</f>
        <v/>
      </c>
      <c r="X179" s="7">
        <f>IF($AB179="","",W179+T179)</f>
        <v/>
      </c>
      <c r="Y179" s="7">
        <f>IF($AB179="","",Z179-X179)</f>
        <v/>
      </c>
      <c r="Z179" s="7">
        <f>IF($AB179="","",S179+V179+Q179)</f>
        <v/>
      </c>
      <c r="AA179" s="7">
        <f>IF($AB179="","",Z179-X179-M179)</f>
        <v/>
      </c>
      <c r="AB179" s="13">
        <f>IF(ROWS($AB$2:$AB179)&lt;=MAX('Per Line'!$AK$2:$AK$4001),MATCH(ROWS($AB$2:$AB179),'Per Line'!$AK$2:$AK$4001,0),"")</f>
        <v/>
      </c>
      <c r="AC179" s="14">
        <f>IF($AB179="","",M179-L179*Z179/100)</f>
        <v/>
      </c>
    </row>
    <row r="180">
      <c r="A180" s="12" t="n"/>
      <c r="B180">
        <f>IF($AB180="","",INDEX('Per Line'!$C$2:$C$4001,$AB180)&amp;"")</f>
        <v/>
      </c>
      <c r="C180">
        <f>IF($AB180="","",INDEX('Per Line'!$D$2:$D$4001,$AB180)&amp;"")</f>
        <v/>
      </c>
      <c r="D180">
        <f>IF($AB180="","",INDEX('Per Line'!$B$2:$B$4001,$AB180)&amp;"")</f>
        <v/>
      </c>
      <c r="E180">
        <f>IF($AB180="","",INDEX('Per Line'!$A$2:$A$4001,$AB180))</f>
        <v/>
      </c>
      <c r="F180" s="11">
        <f>IF($AB180="","",INDEX('Per Line'!$E$2:$E$4001,$AB180))</f>
        <v/>
      </c>
      <c r="G180">
        <f>IF($AB180="","",INDEX('Per Line'!$F$2:$F$4001,$AB180)&amp;"")</f>
        <v/>
      </c>
      <c r="H180">
        <f>IF($AB180="","",INDEX('Per Line'!$H$2:$H$4001,$AB180)&amp;"")</f>
        <v/>
      </c>
      <c r="I180">
        <f>IF($AB180="","",INDEX('Per Line'!$I$2:$I$4001,$AB180)&amp;"")</f>
        <v/>
      </c>
      <c r="J180">
        <f>IF($AB180="","",INDEX('Per Line'!$J$2:$J$4001,$AB180)&amp;"")</f>
        <v/>
      </c>
      <c r="K180">
        <f>IF($AB180="","",INDEX('Per Line'!$K$2:$K$4001,$AB180)&amp;"")</f>
        <v/>
      </c>
      <c r="L180">
        <f>IF($AB180="","",INDEX('Per Line'!$L$2:$L$4001,$AB180))</f>
        <v/>
      </c>
      <c r="M180" s="7">
        <f>IF($AB180="","",IF(AND(ISNUMBER(O180),O180&gt;0,Z180&gt;O180),L180*O180/100+(Z180-O180),L180*Z180/100))</f>
        <v/>
      </c>
      <c r="N180">
        <f>IF($AB180="","",INDEX('Per Line'!$V$2:$V$4001,$AB180)&amp;"")</f>
        <v/>
      </c>
      <c r="O180">
        <f>IF($AB180="","",INDEX('Per Line'!$Z$2:$Z$4001,$AB180))</f>
        <v/>
      </c>
      <c r="P180">
        <f>IF($AB180="","",IF(AND(ISNUMBER(O180),O180&gt;0),Z180&gt;O180,FALSE))</f>
        <v/>
      </c>
      <c r="Q180" s="7">
        <f>IF($AB180="","",SUMIFS('Per Line'!$U$2:$U$4001,'Per Line'!$C$2:$C$4001,$B180,'Per Line'!$AM$2:$AM$4001,1))</f>
        <v/>
      </c>
      <c r="R180">
        <f>IF($AB180="","",Settings!$C$7)</f>
        <v/>
      </c>
      <c r="S180" s="7">
        <f>IF($AB180="","",SUMIFS('Per Line'!$U$2:$U$4001,'Per Line'!$C$2:$C$4001,$B180,'Per Line'!$AL$2:$AL$4001,0,'Per Line'!$AM$2:$AM$4001,0))</f>
        <v/>
      </c>
      <c r="T180" s="7">
        <f>IF($AB180="","",S180*R180)</f>
        <v/>
      </c>
      <c r="U180">
        <f>IF($AB180="","",Settings!$C$6)</f>
        <v/>
      </c>
      <c r="V180" s="7">
        <f>IF($AB180="","",SUMIFS('Per Line'!$U$2:$U$4001,'Per Line'!$C$2:$C$4001,$B180,'Per Line'!$AL$2:$AL$4001,1,'Per Line'!$AM$2:$AM$4001,0))</f>
        <v/>
      </c>
      <c r="W180" s="7">
        <f>IF($AB180="","",V180*U180)</f>
        <v/>
      </c>
      <c r="X180" s="7">
        <f>IF($AB180="","",W180+T180)</f>
        <v/>
      </c>
      <c r="Y180" s="7">
        <f>IF($AB180="","",Z180-X180)</f>
        <v/>
      </c>
      <c r="Z180" s="7">
        <f>IF($AB180="","",S180+V180+Q180)</f>
        <v/>
      </c>
      <c r="AA180" s="7">
        <f>IF($AB180="","",Z180-X180-M180)</f>
        <v/>
      </c>
      <c r="AB180" s="13">
        <f>IF(ROWS($AB$2:$AB180)&lt;=MAX('Per Line'!$AK$2:$AK$4001),MATCH(ROWS($AB$2:$AB180),'Per Line'!$AK$2:$AK$4001,0),"")</f>
        <v/>
      </c>
      <c r="AC180" s="14">
        <f>IF($AB180="","",M180-L180*Z180/100)</f>
        <v/>
      </c>
    </row>
    <row r="181">
      <c r="A181" s="12" t="n"/>
      <c r="B181">
        <f>IF($AB181="","",INDEX('Per Line'!$C$2:$C$4001,$AB181)&amp;"")</f>
        <v/>
      </c>
      <c r="C181">
        <f>IF($AB181="","",INDEX('Per Line'!$D$2:$D$4001,$AB181)&amp;"")</f>
        <v/>
      </c>
      <c r="D181">
        <f>IF($AB181="","",INDEX('Per Line'!$B$2:$B$4001,$AB181)&amp;"")</f>
        <v/>
      </c>
      <c r="E181">
        <f>IF($AB181="","",INDEX('Per Line'!$A$2:$A$4001,$AB181))</f>
        <v/>
      </c>
      <c r="F181" s="11">
        <f>IF($AB181="","",INDEX('Per Line'!$E$2:$E$4001,$AB181))</f>
        <v/>
      </c>
      <c r="G181">
        <f>IF($AB181="","",INDEX('Per Line'!$F$2:$F$4001,$AB181)&amp;"")</f>
        <v/>
      </c>
      <c r="H181">
        <f>IF($AB181="","",INDEX('Per Line'!$H$2:$H$4001,$AB181)&amp;"")</f>
        <v/>
      </c>
      <c r="I181">
        <f>IF($AB181="","",INDEX('Per Line'!$I$2:$I$4001,$AB181)&amp;"")</f>
        <v/>
      </c>
      <c r="J181">
        <f>IF($AB181="","",INDEX('Per Line'!$J$2:$J$4001,$AB181)&amp;"")</f>
        <v/>
      </c>
      <c r="K181">
        <f>IF($AB181="","",INDEX('Per Line'!$K$2:$K$4001,$AB181)&amp;"")</f>
        <v/>
      </c>
      <c r="L181">
        <f>IF($AB181="","",INDEX('Per Line'!$L$2:$L$4001,$AB181))</f>
        <v/>
      </c>
      <c r="M181" s="7">
        <f>IF($AB181="","",IF(AND(ISNUMBER(O181),O181&gt;0,Z181&gt;O181),L181*O181/100+(Z181-O181),L181*Z181/100))</f>
        <v/>
      </c>
      <c r="N181">
        <f>IF($AB181="","",INDEX('Per Line'!$V$2:$V$4001,$AB181)&amp;"")</f>
        <v/>
      </c>
      <c r="O181">
        <f>IF($AB181="","",INDEX('Per Line'!$Z$2:$Z$4001,$AB181))</f>
        <v/>
      </c>
      <c r="P181">
        <f>IF($AB181="","",IF(AND(ISNUMBER(O181),O181&gt;0),Z181&gt;O181,FALSE))</f>
        <v/>
      </c>
      <c r="Q181" s="7">
        <f>IF($AB181="","",SUMIFS('Per Line'!$U$2:$U$4001,'Per Line'!$C$2:$C$4001,$B181,'Per Line'!$AM$2:$AM$4001,1))</f>
        <v/>
      </c>
      <c r="R181">
        <f>IF($AB181="","",Settings!$C$7)</f>
        <v/>
      </c>
      <c r="S181" s="7">
        <f>IF($AB181="","",SUMIFS('Per Line'!$U$2:$U$4001,'Per Line'!$C$2:$C$4001,$B181,'Per Line'!$AL$2:$AL$4001,0,'Per Line'!$AM$2:$AM$4001,0))</f>
        <v/>
      </c>
      <c r="T181" s="7">
        <f>IF($AB181="","",S181*R181)</f>
        <v/>
      </c>
      <c r="U181">
        <f>IF($AB181="","",Settings!$C$6)</f>
        <v/>
      </c>
      <c r="V181" s="7">
        <f>IF($AB181="","",SUMIFS('Per Line'!$U$2:$U$4001,'Per Line'!$C$2:$C$4001,$B181,'Per Line'!$AL$2:$AL$4001,1,'Per Line'!$AM$2:$AM$4001,0))</f>
        <v/>
      </c>
      <c r="W181" s="7">
        <f>IF($AB181="","",V181*U181)</f>
        <v/>
      </c>
      <c r="X181" s="7">
        <f>IF($AB181="","",W181+T181)</f>
        <v/>
      </c>
      <c r="Y181" s="7">
        <f>IF($AB181="","",Z181-X181)</f>
        <v/>
      </c>
      <c r="Z181" s="7">
        <f>IF($AB181="","",S181+V181+Q181)</f>
        <v/>
      </c>
      <c r="AA181" s="7">
        <f>IF($AB181="","",Z181-X181-M181)</f>
        <v/>
      </c>
      <c r="AB181" s="13">
        <f>IF(ROWS($AB$2:$AB181)&lt;=MAX('Per Line'!$AK$2:$AK$4001),MATCH(ROWS($AB$2:$AB181),'Per Line'!$AK$2:$AK$4001,0),"")</f>
        <v/>
      </c>
      <c r="AC181" s="14">
        <f>IF($AB181="","",M181-L181*Z181/100)</f>
        <v/>
      </c>
    </row>
    <row r="182">
      <c r="A182" s="12" t="n"/>
      <c r="B182">
        <f>IF($AB182="","",INDEX('Per Line'!$C$2:$C$4001,$AB182)&amp;"")</f>
        <v/>
      </c>
      <c r="C182">
        <f>IF($AB182="","",INDEX('Per Line'!$D$2:$D$4001,$AB182)&amp;"")</f>
        <v/>
      </c>
      <c r="D182">
        <f>IF($AB182="","",INDEX('Per Line'!$B$2:$B$4001,$AB182)&amp;"")</f>
        <v/>
      </c>
      <c r="E182">
        <f>IF($AB182="","",INDEX('Per Line'!$A$2:$A$4001,$AB182))</f>
        <v/>
      </c>
      <c r="F182" s="11">
        <f>IF($AB182="","",INDEX('Per Line'!$E$2:$E$4001,$AB182))</f>
        <v/>
      </c>
      <c r="G182">
        <f>IF($AB182="","",INDEX('Per Line'!$F$2:$F$4001,$AB182)&amp;"")</f>
        <v/>
      </c>
      <c r="H182">
        <f>IF($AB182="","",INDEX('Per Line'!$H$2:$H$4001,$AB182)&amp;"")</f>
        <v/>
      </c>
      <c r="I182">
        <f>IF($AB182="","",INDEX('Per Line'!$I$2:$I$4001,$AB182)&amp;"")</f>
        <v/>
      </c>
      <c r="J182">
        <f>IF($AB182="","",INDEX('Per Line'!$J$2:$J$4001,$AB182)&amp;"")</f>
        <v/>
      </c>
      <c r="K182">
        <f>IF($AB182="","",INDEX('Per Line'!$K$2:$K$4001,$AB182)&amp;"")</f>
        <v/>
      </c>
      <c r="L182">
        <f>IF($AB182="","",INDEX('Per Line'!$L$2:$L$4001,$AB182))</f>
        <v/>
      </c>
      <c r="M182" s="7">
        <f>IF($AB182="","",IF(AND(ISNUMBER(O182),O182&gt;0,Z182&gt;O182),L182*O182/100+(Z182-O182),L182*Z182/100))</f>
        <v/>
      </c>
      <c r="N182">
        <f>IF($AB182="","",INDEX('Per Line'!$V$2:$V$4001,$AB182)&amp;"")</f>
        <v/>
      </c>
      <c r="O182">
        <f>IF($AB182="","",INDEX('Per Line'!$Z$2:$Z$4001,$AB182))</f>
        <v/>
      </c>
      <c r="P182">
        <f>IF($AB182="","",IF(AND(ISNUMBER(O182),O182&gt;0),Z182&gt;O182,FALSE))</f>
        <v/>
      </c>
      <c r="Q182" s="7">
        <f>IF($AB182="","",SUMIFS('Per Line'!$U$2:$U$4001,'Per Line'!$C$2:$C$4001,$B182,'Per Line'!$AM$2:$AM$4001,1))</f>
        <v/>
      </c>
      <c r="R182">
        <f>IF($AB182="","",Settings!$C$7)</f>
        <v/>
      </c>
      <c r="S182" s="7">
        <f>IF($AB182="","",SUMIFS('Per Line'!$U$2:$U$4001,'Per Line'!$C$2:$C$4001,$B182,'Per Line'!$AL$2:$AL$4001,0,'Per Line'!$AM$2:$AM$4001,0))</f>
        <v/>
      </c>
      <c r="T182" s="7">
        <f>IF($AB182="","",S182*R182)</f>
        <v/>
      </c>
      <c r="U182">
        <f>IF($AB182="","",Settings!$C$6)</f>
        <v/>
      </c>
      <c r="V182" s="7">
        <f>IF($AB182="","",SUMIFS('Per Line'!$U$2:$U$4001,'Per Line'!$C$2:$C$4001,$B182,'Per Line'!$AL$2:$AL$4001,1,'Per Line'!$AM$2:$AM$4001,0))</f>
        <v/>
      </c>
      <c r="W182" s="7">
        <f>IF($AB182="","",V182*U182)</f>
        <v/>
      </c>
      <c r="X182" s="7">
        <f>IF($AB182="","",W182+T182)</f>
        <v/>
      </c>
      <c r="Y182" s="7">
        <f>IF($AB182="","",Z182-X182)</f>
        <v/>
      </c>
      <c r="Z182" s="7">
        <f>IF($AB182="","",S182+V182+Q182)</f>
        <v/>
      </c>
      <c r="AA182" s="7">
        <f>IF($AB182="","",Z182-X182-M182)</f>
        <v/>
      </c>
      <c r="AB182" s="13">
        <f>IF(ROWS($AB$2:$AB182)&lt;=MAX('Per Line'!$AK$2:$AK$4001),MATCH(ROWS($AB$2:$AB182),'Per Line'!$AK$2:$AK$4001,0),"")</f>
        <v/>
      </c>
      <c r="AC182" s="14">
        <f>IF($AB182="","",M182-L182*Z182/100)</f>
        <v/>
      </c>
    </row>
    <row r="183">
      <c r="A183" s="12" t="n"/>
      <c r="B183">
        <f>IF($AB183="","",INDEX('Per Line'!$C$2:$C$4001,$AB183)&amp;"")</f>
        <v/>
      </c>
      <c r="C183">
        <f>IF($AB183="","",INDEX('Per Line'!$D$2:$D$4001,$AB183)&amp;"")</f>
        <v/>
      </c>
      <c r="D183">
        <f>IF($AB183="","",INDEX('Per Line'!$B$2:$B$4001,$AB183)&amp;"")</f>
        <v/>
      </c>
      <c r="E183">
        <f>IF($AB183="","",INDEX('Per Line'!$A$2:$A$4001,$AB183))</f>
        <v/>
      </c>
      <c r="F183" s="11">
        <f>IF($AB183="","",INDEX('Per Line'!$E$2:$E$4001,$AB183))</f>
        <v/>
      </c>
      <c r="G183">
        <f>IF($AB183="","",INDEX('Per Line'!$F$2:$F$4001,$AB183)&amp;"")</f>
        <v/>
      </c>
      <c r="H183">
        <f>IF($AB183="","",INDEX('Per Line'!$H$2:$H$4001,$AB183)&amp;"")</f>
        <v/>
      </c>
      <c r="I183">
        <f>IF($AB183="","",INDEX('Per Line'!$I$2:$I$4001,$AB183)&amp;"")</f>
        <v/>
      </c>
      <c r="J183">
        <f>IF($AB183="","",INDEX('Per Line'!$J$2:$J$4001,$AB183)&amp;"")</f>
        <v/>
      </c>
      <c r="K183">
        <f>IF($AB183="","",INDEX('Per Line'!$K$2:$K$4001,$AB183)&amp;"")</f>
        <v/>
      </c>
      <c r="L183">
        <f>IF($AB183="","",INDEX('Per Line'!$L$2:$L$4001,$AB183))</f>
        <v/>
      </c>
      <c r="M183" s="7">
        <f>IF($AB183="","",IF(AND(ISNUMBER(O183),O183&gt;0,Z183&gt;O183),L183*O183/100+(Z183-O183),L183*Z183/100))</f>
        <v/>
      </c>
      <c r="N183">
        <f>IF($AB183="","",INDEX('Per Line'!$V$2:$V$4001,$AB183)&amp;"")</f>
        <v/>
      </c>
      <c r="O183">
        <f>IF($AB183="","",INDEX('Per Line'!$Z$2:$Z$4001,$AB183))</f>
        <v/>
      </c>
      <c r="P183">
        <f>IF($AB183="","",IF(AND(ISNUMBER(O183),O183&gt;0),Z183&gt;O183,FALSE))</f>
        <v/>
      </c>
      <c r="Q183" s="7">
        <f>IF($AB183="","",SUMIFS('Per Line'!$U$2:$U$4001,'Per Line'!$C$2:$C$4001,$B183,'Per Line'!$AM$2:$AM$4001,1))</f>
        <v/>
      </c>
      <c r="R183">
        <f>IF($AB183="","",Settings!$C$7)</f>
        <v/>
      </c>
      <c r="S183" s="7">
        <f>IF($AB183="","",SUMIFS('Per Line'!$U$2:$U$4001,'Per Line'!$C$2:$C$4001,$B183,'Per Line'!$AL$2:$AL$4001,0,'Per Line'!$AM$2:$AM$4001,0))</f>
        <v/>
      </c>
      <c r="T183" s="7">
        <f>IF($AB183="","",S183*R183)</f>
        <v/>
      </c>
      <c r="U183">
        <f>IF($AB183="","",Settings!$C$6)</f>
        <v/>
      </c>
      <c r="V183" s="7">
        <f>IF($AB183="","",SUMIFS('Per Line'!$U$2:$U$4001,'Per Line'!$C$2:$C$4001,$B183,'Per Line'!$AL$2:$AL$4001,1,'Per Line'!$AM$2:$AM$4001,0))</f>
        <v/>
      </c>
      <c r="W183" s="7">
        <f>IF($AB183="","",V183*U183)</f>
        <v/>
      </c>
      <c r="X183" s="7">
        <f>IF($AB183="","",W183+T183)</f>
        <v/>
      </c>
      <c r="Y183" s="7">
        <f>IF($AB183="","",Z183-X183)</f>
        <v/>
      </c>
      <c r="Z183" s="7">
        <f>IF($AB183="","",S183+V183+Q183)</f>
        <v/>
      </c>
      <c r="AA183" s="7">
        <f>IF($AB183="","",Z183-X183-M183)</f>
        <v/>
      </c>
      <c r="AB183" s="13">
        <f>IF(ROWS($AB$2:$AB183)&lt;=MAX('Per Line'!$AK$2:$AK$4001),MATCH(ROWS($AB$2:$AB183),'Per Line'!$AK$2:$AK$4001,0),"")</f>
        <v/>
      </c>
      <c r="AC183" s="14">
        <f>IF($AB183="","",M183-L183*Z183/100)</f>
        <v/>
      </c>
    </row>
    <row r="184">
      <c r="A184" s="12" t="n"/>
      <c r="B184">
        <f>IF($AB184="","",INDEX('Per Line'!$C$2:$C$4001,$AB184)&amp;"")</f>
        <v/>
      </c>
      <c r="C184">
        <f>IF($AB184="","",INDEX('Per Line'!$D$2:$D$4001,$AB184)&amp;"")</f>
        <v/>
      </c>
      <c r="D184">
        <f>IF($AB184="","",INDEX('Per Line'!$B$2:$B$4001,$AB184)&amp;"")</f>
        <v/>
      </c>
      <c r="E184">
        <f>IF($AB184="","",INDEX('Per Line'!$A$2:$A$4001,$AB184))</f>
        <v/>
      </c>
      <c r="F184" s="11">
        <f>IF($AB184="","",INDEX('Per Line'!$E$2:$E$4001,$AB184))</f>
        <v/>
      </c>
      <c r="G184">
        <f>IF($AB184="","",INDEX('Per Line'!$F$2:$F$4001,$AB184)&amp;"")</f>
        <v/>
      </c>
      <c r="H184">
        <f>IF($AB184="","",INDEX('Per Line'!$H$2:$H$4001,$AB184)&amp;"")</f>
        <v/>
      </c>
      <c r="I184">
        <f>IF($AB184="","",INDEX('Per Line'!$I$2:$I$4001,$AB184)&amp;"")</f>
        <v/>
      </c>
      <c r="J184">
        <f>IF($AB184="","",INDEX('Per Line'!$J$2:$J$4001,$AB184)&amp;"")</f>
        <v/>
      </c>
      <c r="K184">
        <f>IF($AB184="","",INDEX('Per Line'!$K$2:$K$4001,$AB184)&amp;"")</f>
        <v/>
      </c>
      <c r="L184">
        <f>IF($AB184="","",INDEX('Per Line'!$L$2:$L$4001,$AB184))</f>
        <v/>
      </c>
      <c r="M184" s="7">
        <f>IF($AB184="","",IF(AND(ISNUMBER(O184),O184&gt;0,Z184&gt;O184),L184*O184/100+(Z184-O184),L184*Z184/100))</f>
        <v/>
      </c>
      <c r="N184">
        <f>IF($AB184="","",INDEX('Per Line'!$V$2:$V$4001,$AB184)&amp;"")</f>
        <v/>
      </c>
      <c r="O184">
        <f>IF($AB184="","",INDEX('Per Line'!$Z$2:$Z$4001,$AB184))</f>
        <v/>
      </c>
      <c r="P184">
        <f>IF($AB184="","",IF(AND(ISNUMBER(O184),O184&gt;0),Z184&gt;O184,FALSE))</f>
        <v/>
      </c>
      <c r="Q184" s="7">
        <f>IF($AB184="","",SUMIFS('Per Line'!$U$2:$U$4001,'Per Line'!$C$2:$C$4001,$B184,'Per Line'!$AM$2:$AM$4001,1))</f>
        <v/>
      </c>
      <c r="R184">
        <f>IF($AB184="","",Settings!$C$7)</f>
        <v/>
      </c>
      <c r="S184" s="7">
        <f>IF($AB184="","",SUMIFS('Per Line'!$U$2:$U$4001,'Per Line'!$C$2:$C$4001,$B184,'Per Line'!$AL$2:$AL$4001,0,'Per Line'!$AM$2:$AM$4001,0))</f>
        <v/>
      </c>
      <c r="T184" s="7">
        <f>IF($AB184="","",S184*R184)</f>
        <v/>
      </c>
      <c r="U184">
        <f>IF($AB184="","",Settings!$C$6)</f>
        <v/>
      </c>
      <c r="V184" s="7">
        <f>IF($AB184="","",SUMIFS('Per Line'!$U$2:$U$4001,'Per Line'!$C$2:$C$4001,$B184,'Per Line'!$AL$2:$AL$4001,1,'Per Line'!$AM$2:$AM$4001,0))</f>
        <v/>
      </c>
      <c r="W184" s="7">
        <f>IF($AB184="","",V184*U184)</f>
        <v/>
      </c>
      <c r="X184" s="7">
        <f>IF($AB184="","",W184+T184)</f>
        <v/>
      </c>
      <c r="Y184" s="7">
        <f>IF($AB184="","",Z184-X184)</f>
        <v/>
      </c>
      <c r="Z184" s="7">
        <f>IF($AB184="","",S184+V184+Q184)</f>
        <v/>
      </c>
      <c r="AA184" s="7">
        <f>IF($AB184="","",Z184-X184-M184)</f>
        <v/>
      </c>
      <c r="AB184" s="13">
        <f>IF(ROWS($AB$2:$AB184)&lt;=MAX('Per Line'!$AK$2:$AK$4001),MATCH(ROWS($AB$2:$AB184),'Per Line'!$AK$2:$AK$4001,0),"")</f>
        <v/>
      </c>
      <c r="AC184" s="14">
        <f>IF($AB184="","",M184-L184*Z184/100)</f>
        <v/>
      </c>
    </row>
    <row r="185">
      <c r="A185" s="12" t="n"/>
      <c r="B185">
        <f>IF($AB185="","",INDEX('Per Line'!$C$2:$C$4001,$AB185)&amp;"")</f>
        <v/>
      </c>
      <c r="C185">
        <f>IF($AB185="","",INDEX('Per Line'!$D$2:$D$4001,$AB185)&amp;"")</f>
        <v/>
      </c>
      <c r="D185">
        <f>IF($AB185="","",INDEX('Per Line'!$B$2:$B$4001,$AB185)&amp;"")</f>
        <v/>
      </c>
      <c r="E185">
        <f>IF($AB185="","",INDEX('Per Line'!$A$2:$A$4001,$AB185))</f>
        <v/>
      </c>
      <c r="F185" s="11">
        <f>IF($AB185="","",INDEX('Per Line'!$E$2:$E$4001,$AB185))</f>
        <v/>
      </c>
      <c r="G185">
        <f>IF($AB185="","",INDEX('Per Line'!$F$2:$F$4001,$AB185)&amp;"")</f>
        <v/>
      </c>
      <c r="H185">
        <f>IF($AB185="","",INDEX('Per Line'!$H$2:$H$4001,$AB185)&amp;"")</f>
        <v/>
      </c>
      <c r="I185">
        <f>IF($AB185="","",INDEX('Per Line'!$I$2:$I$4001,$AB185)&amp;"")</f>
        <v/>
      </c>
      <c r="J185">
        <f>IF($AB185="","",INDEX('Per Line'!$J$2:$J$4001,$AB185)&amp;"")</f>
        <v/>
      </c>
      <c r="K185">
        <f>IF($AB185="","",INDEX('Per Line'!$K$2:$K$4001,$AB185)&amp;"")</f>
        <v/>
      </c>
      <c r="L185">
        <f>IF($AB185="","",INDEX('Per Line'!$L$2:$L$4001,$AB185))</f>
        <v/>
      </c>
      <c r="M185" s="7">
        <f>IF($AB185="","",IF(AND(ISNUMBER(O185),O185&gt;0,Z185&gt;O185),L185*O185/100+(Z185-O185),L185*Z185/100))</f>
        <v/>
      </c>
      <c r="N185">
        <f>IF($AB185="","",INDEX('Per Line'!$V$2:$V$4001,$AB185)&amp;"")</f>
        <v/>
      </c>
      <c r="O185">
        <f>IF($AB185="","",INDEX('Per Line'!$Z$2:$Z$4001,$AB185))</f>
        <v/>
      </c>
      <c r="P185">
        <f>IF($AB185="","",IF(AND(ISNUMBER(O185),O185&gt;0),Z185&gt;O185,FALSE))</f>
        <v/>
      </c>
      <c r="Q185" s="7">
        <f>IF($AB185="","",SUMIFS('Per Line'!$U$2:$U$4001,'Per Line'!$C$2:$C$4001,$B185,'Per Line'!$AM$2:$AM$4001,1))</f>
        <v/>
      </c>
      <c r="R185">
        <f>IF($AB185="","",Settings!$C$7)</f>
        <v/>
      </c>
      <c r="S185" s="7">
        <f>IF($AB185="","",SUMIFS('Per Line'!$U$2:$U$4001,'Per Line'!$C$2:$C$4001,$B185,'Per Line'!$AL$2:$AL$4001,0,'Per Line'!$AM$2:$AM$4001,0))</f>
        <v/>
      </c>
      <c r="T185" s="7">
        <f>IF($AB185="","",S185*R185)</f>
        <v/>
      </c>
      <c r="U185">
        <f>IF($AB185="","",Settings!$C$6)</f>
        <v/>
      </c>
      <c r="V185" s="7">
        <f>IF($AB185="","",SUMIFS('Per Line'!$U$2:$U$4001,'Per Line'!$C$2:$C$4001,$B185,'Per Line'!$AL$2:$AL$4001,1,'Per Line'!$AM$2:$AM$4001,0))</f>
        <v/>
      </c>
      <c r="W185" s="7">
        <f>IF($AB185="","",V185*U185)</f>
        <v/>
      </c>
      <c r="X185" s="7">
        <f>IF($AB185="","",W185+T185)</f>
        <v/>
      </c>
      <c r="Y185" s="7">
        <f>IF($AB185="","",Z185-X185)</f>
        <v/>
      </c>
      <c r="Z185" s="7">
        <f>IF($AB185="","",S185+V185+Q185)</f>
        <v/>
      </c>
      <c r="AA185" s="7">
        <f>IF($AB185="","",Z185-X185-M185)</f>
        <v/>
      </c>
      <c r="AB185" s="13">
        <f>IF(ROWS($AB$2:$AB185)&lt;=MAX('Per Line'!$AK$2:$AK$4001),MATCH(ROWS($AB$2:$AB185),'Per Line'!$AK$2:$AK$4001,0),"")</f>
        <v/>
      </c>
      <c r="AC185" s="14">
        <f>IF($AB185="","",M185-L185*Z185/100)</f>
        <v/>
      </c>
    </row>
    <row r="186">
      <c r="A186" s="12" t="n"/>
      <c r="B186">
        <f>IF($AB186="","",INDEX('Per Line'!$C$2:$C$4001,$AB186)&amp;"")</f>
        <v/>
      </c>
      <c r="C186">
        <f>IF($AB186="","",INDEX('Per Line'!$D$2:$D$4001,$AB186)&amp;"")</f>
        <v/>
      </c>
      <c r="D186">
        <f>IF($AB186="","",INDEX('Per Line'!$B$2:$B$4001,$AB186)&amp;"")</f>
        <v/>
      </c>
      <c r="E186">
        <f>IF($AB186="","",INDEX('Per Line'!$A$2:$A$4001,$AB186))</f>
        <v/>
      </c>
      <c r="F186" s="11">
        <f>IF($AB186="","",INDEX('Per Line'!$E$2:$E$4001,$AB186))</f>
        <v/>
      </c>
      <c r="G186">
        <f>IF($AB186="","",INDEX('Per Line'!$F$2:$F$4001,$AB186)&amp;"")</f>
        <v/>
      </c>
      <c r="H186">
        <f>IF($AB186="","",INDEX('Per Line'!$H$2:$H$4001,$AB186)&amp;"")</f>
        <v/>
      </c>
      <c r="I186">
        <f>IF($AB186="","",INDEX('Per Line'!$I$2:$I$4001,$AB186)&amp;"")</f>
        <v/>
      </c>
      <c r="J186">
        <f>IF($AB186="","",INDEX('Per Line'!$J$2:$J$4001,$AB186)&amp;"")</f>
        <v/>
      </c>
      <c r="K186">
        <f>IF($AB186="","",INDEX('Per Line'!$K$2:$K$4001,$AB186)&amp;"")</f>
        <v/>
      </c>
      <c r="L186">
        <f>IF($AB186="","",INDEX('Per Line'!$L$2:$L$4001,$AB186))</f>
        <v/>
      </c>
      <c r="M186" s="7">
        <f>IF($AB186="","",IF(AND(ISNUMBER(O186),O186&gt;0,Z186&gt;O186),L186*O186/100+(Z186-O186),L186*Z186/100))</f>
        <v/>
      </c>
      <c r="N186">
        <f>IF($AB186="","",INDEX('Per Line'!$V$2:$V$4001,$AB186)&amp;"")</f>
        <v/>
      </c>
      <c r="O186">
        <f>IF($AB186="","",INDEX('Per Line'!$Z$2:$Z$4001,$AB186))</f>
        <v/>
      </c>
      <c r="P186">
        <f>IF($AB186="","",IF(AND(ISNUMBER(O186),O186&gt;0),Z186&gt;O186,FALSE))</f>
        <v/>
      </c>
      <c r="Q186" s="7">
        <f>IF($AB186="","",SUMIFS('Per Line'!$U$2:$U$4001,'Per Line'!$C$2:$C$4001,$B186,'Per Line'!$AM$2:$AM$4001,1))</f>
        <v/>
      </c>
      <c r="R186">
        <f>IF($AB186="","",Settings!$C$7)</f>
        <v/>
      </c>
      <c r="S186" s="7">
        <f>IF($AB186="","",SUMIFS('Per Line'!$U$2:$U$4001,'Per Line'!$C$2:$C$4001,$B186,'Per Line'!$AL$2:$AL$4001,0,'Per Line'!$AM$2:$AM$4001,0))</f>
        <v/>
      </c>
      <c r="T186" s="7">
        <f>IF($AB186="","",S186*R186)</f>
        <v/>
      </c>
      <c r="U186">
        <f>IF($AB186="","",Settings!$C$6)</f>
        <v/>
      </c>
      <c r="V186" s="7">
        <f>IF($AB186="","",SUMIFS('Per Line'!$U$2:$U$4001,'Per Line'!$C$2:$C$4001,$B186,'Per Line'!$AL$2:$AL$4001,1,'Per Line'!$AM$2:$AM$4001,0))</f>
        <v/>
      </c>
      <c r="W186" s="7">
        <f>IF($AB186="","",V186*U186)</f>
        <v/>
      </c>
      <c r="X186" s="7">
        <f>IF($AB186="","",W186+T186)</f>
        <v/>
      </c>
      <c r="Y186" s="7">
        <f>IF($AB186="","",Z186-X186)</f>
        <v/>
      </c>
      <c r="Z186" s="7">
        <f>IF($AB186="","",S186+V186+Q186)</f>
        <v/>
      </c>
      <c r="AA186" s="7">
        <f>IF($AB186="","",Z186-X186-M186)</f>
        <v/>
      </c>
      <c r="AB186" s="13">
        <f>IF(ROWS($AB$2:$AB186)&lt;=MAX('Per Line'!$AK$2:$AK$4001),MATCH(ROWS($AB$2:$AB186),'Per Line'!$AK$2:$AK$4001,0),"")</f>
        <v/>
      </c>
      <c r="AC186" s="14">
        <f>IF($AB186="","",M186-L186*Z186/100)</f>
        <v/>
      </c>
    </row>
    <row r="187">
      <c r="A187" s="12" t="n"/>
      <c r="B187">
        <f>IF($AB187="","",INDEX('Per Line'!$C$2:$C$4001,$AB187)&amp;"")</f>
        <v/>
      </c>
      <c r="C187">
        <f>IF($AB187="","",INDEX('Per Line'!$D$2:$D$4001,$AB187)&amp;"")</f>
        <v/>
      </c>
      <c r="D187">
        <f>IF($AB187="","",INDEX('Per Line'!$B$2:$B$4001,$AB187)&amp;"")</f>
        <v/>
      </c>
      <c r="E187">
        <f>IF($AB187="","",INDEX('Per Line'!$A$2:$A$4001,$AB187))</f>
        <v/>
      </c>
      <c r="F187" s="11">
        <f>IF($AB187="","",INDEX('Per Line'!$E$2:$E$4001,$AB187))</f>
        <v/>
      </c>
      <c r="G187">
        <f>IF($AB187="","",INDEX('Per Line'!$F$2:$F$4001,$AB187)&amp;"")</f>
        <v/>
      </c>
      <c r="H187">
        <f>IF($AB187="","",INDEX('Per Line'!$H$2:$H$4001,$AB187)&amp;"")</f>
        <v/>
      </c>
      <c r="I187">
        <f>IF($AB187="","",INDEX('Per Line'!$I$2:$I$4001,$AB187)&amp;"")</f>
        <v/>
      </c>
      <c r="J187">
        <f>IF($AB187="","",INDEX('Per Line'!$J$2:$J$4001,$AB187)&amp;"")</f>
        <v/>
      </c>
      <c r="K187">
        <f>IF($AB187="","",INDEX('Per Line'!$K$2:$K$4001,$AB187)&amp;"")</f>
        <v/>
      </c>
      <c r="L187">
        <f>IF($AB187="","",INDEX('Per Line'!$L$2:$L$4001,$AB187))</f>
        <v/>
      </c>
      <c r="M187" s="7">
        <f>IF($AB187="","",IF(AND(ISNUMBER(O187),O187&gt;0,Z187&gt;O187),L187*O187/100+(Z187-O187),L187*Z187/100))</f>
        <v/>
      </c>
      <c r="N187">
        <f>IF($AB187="","",INDEX('Per Line'!$V$2:$V$4001,$AB187)&amp;"")</f>
        <v/>
      </c>
      <c r="O187">
        <f>IF($AB187="","",INDEX('Per Line'!$Z$2:$Z$4001,$AB187))</f>
        <v/>
      </c>
      <c r="P187">
        <f>IF($AB187="","",IF(AND(ISNUMBER(O187),O187&gt;0),Z187&gt;O187,FALSE))</f>
        <v/>
      </c>
      <c r="Q187" s="7">
        <f>IF($AB187="","",SUMIFS('Per Line'!$U$2:$U$4001,'Per Line'!$C$2:$C$4001,$B187,'Per Line'!$AM$2:$AM$4001,1))</f>
        <v/>
      </c>
      <c r="R187">
        <f>IF($AB187="","",Settings!$C$7)</f>
        <v/>
      </c>
      <c r="S187" s="7">
        <f>IF($AB187="","",SUMIFS('Per Line'!$U$2:$U$4001,'Per Line'!$C$2:$C$4001,$B187,'Per Line'!$AL$2:$AL$4001,0,'Per Line'!$AM$2:$AM$4001,0))</f>
        <v/>
      </c>
      <c r="T187" s="7">
        <f>IF($AB187="","",S187*R187)</f>
        <v/>
      </c>
      <c r="U187">
        <f>IF($AB187="","",Settings!$C$6)</f>
        <v/>
      </c>
      <c r="V187" s="7">
        <f>IF($AB187="","",SUMIFS('Per Line'!$U$2:$U$4001,'Per Line'!$C$2:$C$4001,$B187,'Per Line'!$AL$2:$AL$4001,1,'Per Line'!$AM$2:$AM$4001,0))</f>
        <v/>
      </c>
      <c r="W187" s="7">
        <f>IF($AB187="","",V187*U187)</f>
        <v/>
      </c>
      <c r="X187" s="7">
        <f>IF($AB187="","",W187+T187)</f>
        <v/>
      </c>
      <c r="Y187" s="7">
        <f>IF($AB187="","",Z187-X187)</f>
        <v/>
      </c>
      <c r="Z187" s="7">
        <f>IF($AB187="","",S187+V187+Q187)</f>
        <v/>
      </c>
      <c r="AA187" s="7">
        <f>IF($AB187="","",Z187-X187-M187)</f>
        <v/>
      </c>
      <c r="AB187" s="13">
        <f>IF(ROWS($AB$2:$AB187)&lt;=MAX('Per Line'!$AK$2:$AK$4001),MATCH(ROWS($AB$2:$AB187),'Per Line'!$AK$2:$AK$4001,0),"")</f>
        <v/>
      </c>
      <c r="AC187" s="14">
        <f>IF($AB187="","",M187-L187*Z187/100)</f>
        <v/>
      </c>
    </row>
    <row r="188">
      <c r="A188" s="12" t="n"/>
      <c r="B188">
        <f>IF($AB188="","",INDEX('Per Line'!$C$2:$C$4001,$AB188)&amp;"")</f>
        <v/>
      </c>
      <c r="C188">
        <f>IF($AB188="","",INDEX('Per Line'!$D$2:$D$4001,$AB188)&amp;"")</f>
        <v/>
      </c>
      <c r="D188">
        <f>IF($AB188="","",INDEX('Per Line'!$B$2:$B$4001,$AB188)&amp;"")</f>
        <v/>
      </c>
      <c r="E188">
        <f>IF($AB188="","",INDEX('Per Line'!$A$2:$A$4001,$AB188))</f>
        <v/>
      </c>
      <c r="F188" s="11">
        <f>IF($AB188="","",INDEX('Per Line'!$E$2:$E$4001,$AB188))</f>
        <v/>
      </c>
      <c r="G188">
        <f>IF($AB188="","",INDEX('Per Line'!$F$2:$F$4001,$AB188)&amp;"")</f>
        <v/>
      </c>
      <c r="H188">
        <f>IF($AB188="","",INDEX('Per Line'!$H$2:$H$4001,$AB188)&amp;"")</f>
        <v/>
      </c>
      <c r="I188">
        <f>IF($AB188="","",INDEX('Per Line'!$I$2:$I$4001,$AB188)&amp;"")</f>
        <v/>
      </c>
      <c r="J188">
        <f>IF($AB188="","",INDEX('Per Line'!$J$2:$J$4001,$AB188)&amp;"")</f>
        <v/>
      </c>
      <c r="K188">
        <f>IF($AB188="","",INDEX('Per Line'!$K$2:$K$4001,$AB188)&amp;"")</f>
        <v/>
      </c>
      <c r="L188">
        <f>IF($AB188="","",INDEX('Per Line'!$L$2:$L$4001,$AB188))</f>
        <v/>
      </c>
      <c r="M188" s="7">
        <f>IF($AB188="","",IF(AND(ISNUMBER(O188),O188&gt;0,Z188&gt;O188),L188*O188/100+(Z188-O188),L188*Z188/100))</f>
        <v/>
      </c>
      <c r="N188">
        <f>IF($AB188="","",INDEX('Per Line'!$V$2:$V$4001,$AB188)&amp;"")</f>
        <v/>
      </c>
      <c r="O188">
        <f>IF($AB188="","",INDEX('Per Line'!$Z$2:$Z$4001,$AB188))</f>
        <v/>
      </c>
      <c r="P188">
        <f>IF($AB188="","",IF(AND(ISNUMBER(O188),O188&gt;0),Z188&gt;O188,FALSE))</f>
        <v/>
      </c>
      <c r="Q188" s="7">
        <f>IF($AB188="","",SUMIFS('Per Line'!$U$2:$U$4001,'Per Line'!$C$2:$C$4001,$B188,'Per Line'!$AM$2:$AM$4001,1))</f>
        <v/>
      </c>
      <c r="R188">
        <f>IF($AB188="","",Settings!$C$7)</f>
        <v/>
      </c>
      <c r="S188" s="7">
        <f>IF($AB188="","",SUMIFS('Per Line'!$U$2:$U$4001,'Per Line'!$C$2:$C$4001,$B188,'Per Line'!$AL$2:$AL$4001,0,'Per Line'!$AM$2:$AM$4001,0))</f>
        <v/>
      </c>
      <c r="T188" s="7">
        <f>IF($AB188="","",S188*R188)</f>
        <v/>
      </c>
      <c r="U188">
        <f>IF($AB188="","",Settings!$C$6)</f>
        <v/>
      </c>
      <c r="V188" s="7">
        <f>IF($AB188="","",SUMIFS('Per Line'!$U$2:$U$4001,'Per Line'!$C$2:$C$4001,$B188,'Per Line'!$AL$2:$AL$4001,1,'Per Line'!$AM$2:$AM$4001,0))</f>
        <v/>
      </c>
      <c r="W188" s="7">
        <f>IF($AB188="","",V188*U188)</f>
        <v/>
      </c>
      <c r="X188" s="7">
        <f>IF($AB188="","",W188+T188)</f>
        <v/>
      </c>
      <c r="Y188" s="7">
        <f>IF($AB188="","",Z188-X188)</f>
        <v/>
      </c>
      <c r="Z188" s="7">
        <f>IF($AB188="","",S188+V188+Q188)</f>
        <v/>
      </c>
      <c r="AA188" s="7">
        <f>IF($AB188="","",Z188-X188-M188)</f>
        <v/>
      </c>
      <c r="AB188" s="13">
        <f>IF(ROWS($AB$2:$AB188)&lt;=MAX('Per Line'!$AK$2:$AK$4001),MATCH(ROWS($AB$2:$AB188),'Per Line'!$AK$2:$AK$4001,0),"")</f>
        <v/>
      </c>
      <c r="AC188" s="14">
        <f>IF($AB188="","",M188-L188*Z188/100)</f>
        <v/>
      </c>
    </row>
    <row r="189">
      <c r="A189" s="12" t="n"/>
      <c r="B189">
        <f>IF($AB189="","",INDEX('Per Line'!$C$2:$C$4001,$AB189)&amp;"")</f>
        <v/>
      </c>
      <c r="C189">
        <f>IF($AB189="","",INDEX('Per Line'!$D$2:$D$4001,$AB189)&amp;"")</f>
        <v/>
      </c>
      <c r="D189">
        <f>IF($AB189="","",INDEX('Per Line'!$B$2:$B$4001,$AB189)&amp;"")</f>
        <v/>
      </c>
      <c r="E189">
        <f>IF($AB189="","",INDEX('Per Line'!$A$2:$A$4001,$AB189))</f>
        <v/>
      </c>
      <c r="F189" s="11">
        <f>IF($AB189="","",INDEX('Per Line'!$E$2:$E$4001,$AB189))</f>
        <v/>
      </c>
      <c r="G189">
        <f>IF($AB189="","",INDEX('Per Line'!$F$2:$F$4001,$AB189)&amp;"")</f>
        <v/>
      </c>
      <c r="H189">
        <f>IF($AB189="","",INDEX('Per Line'!$H$2:$H$4001,$AB189)&amp;"")</f>
        <v/>
      </c>
      <c r="I189">
        <f>IF($AB189="","",INDEX('Per Line'!$I$2:$I$4001,$AB189)&amp;"")</f>
        <v/>
      </c>
      <c r="J189">
        <f>IF($AB189="","",INDEX('Per Line'!$J$2:$J$4001,$AB189)&amp;"")</f>
        <v/>
      </c>
      <c r="K189">
        <f>IF($AB189="","",INDEX('Per Line'!$K$2:$K$4001,$AB189)&amp;"")</f>
        <v/>
      </c>
      <c r="L189">
        <f>IF($AB189="","",INDEX('Per Line'!$L$2:$L$4001,$AB189))</f>
        <v/>
      </c>
      <c r="M189" s="7">
        <f>IF($AB189="","",IF(AND(ISNUMBER(O189),O189&gt;0,Z189&gt;O189),L189*O189/100+(Z189-O189),L189*Z189/100))</f>
        <v/>
      </c>
      <c r="N189">
        <f>IF($AB189="","",INDEX('Per Line'!$V$2:$V$4001,$AB189)&amp;"")</f>
        <v/>
      </c>
      <c r="O189">
        <f>IF($AB189="","",INDEX('Per Line'!$Z$2:$Z$4001,$AB189))</f>
        <v/>
      </c>
      <c r="P189">
        <f>IF($AB189="","",IF(AND(ISNUMBER(O189),O189&gt;0),Z189&gt;O189,FALSE))</f>
        <v/>
      </c>
      <c r="Q189" s="7">
        <f>IF($AB189="","",SUMIFS('Per Line'!$U$2:$U$4001,'Per Line'!$C$2:$C$4001,$B189,'Per Line'!$AM$2:$AM$4001,1))</f>
        <v/>
      </c>
      <c r="R189">
        <f>IF($AB189="","",Settings!$C$7)</f>
        <v/>
      </c>
      <c r="S189" s="7">
        <f>IF($AB189="","",SUMIFS('Per Line'!$U$2:$U$4001,'Per Line'!$C$2:$C$4001,$B189,'Per Line'!$AL$2:$AL$4001,0,'Per Line'!$AM$2:$AM$4001,0))</f>
        <v/>
      </c>
      <c r="T189" s="7">
        <f>IF($AB189="","",S189*R189)</f>
        <v/>
      </c>
      <c r="U189">
        <f>IF($AB189="","",Settings!$C$6)</f>
        <v/>
      </c>
      <c r="V189" s="7">
        <f>IF($AB189="","",SUMIFS('Per Line'!$U$2:$U$4001,'Per Line'!$C$2:$C$4001,$B189,'Per Line'!$AL$2:$AL$4001,1,'Per Line'!$AM$2:$AM$4001,0))</f>
        <v/>
      </c>
      <c r="W189" s="7">
        <f>IF($AB189="","",V189*U189)</f>
        <v/>
      </c>
      <c r="X189" s="7">
        <f>IF($AB189="","",W189+T189)</f>
        <v/>
      </c>
      <c r="Y189" s="7">
        <f>IF($AB189="","",Z189-X189)</f>
        <v/>
      </c>
      <c r="Z189" s="7">
        <f>IF($AB189="","",S189+V189+Q189)</f>
        <v/>
      </c>
      <c r="AA189" s="7">
        <f>IF($AB189="","",Z189-X189-M189)</f>
        <v/>
      </c>
      <c r="AB189" s="13">
        <f>IF(ROWS($AB$2:$AB189)&lt;=MAX('Per Line'!$AK$2:$AK$4001),MATCH(ROWS($AB$2:$AB189),'Per Line'!$AK$2:$AK$4001,0),"")</f>
        <v/>
      </c>
      <c r="AC189" s="14">
        <f>IF($AB189="","",M189-L189*Z189/100)</f>
        <v/>
      </c>
    </row>
    <row r="190">
      <c r="A190" s="12" t="n"/>
      <c r="B190">
        <f>IF($AB190="","",INDEX('Per Line'!$C$2:$C$4001,$AB190)&amp;"")</f>
        <v/>
      </c>
      <c r="C190">
        <f>IF($AB190="","",INDEX('Per Line'!$D$2:$D$4001,$AB190)&amp;"")</f>
        <v/>
      </c>
      <c r="D190">
        <f>IF($AB190="","",INDEX('Per Line'!$B$2:$B$4001,$AB190)&amp;"")</f>
        <v/>
      </c>
      <c r="E190">
        <f>IF($AB190="","",INDEX('Per Line'!$A$2:$A$4001,$AB190))</f>
        <v/>
      </c>
      <c r="F190" s="11">
        <f>IF($AB190="","",INDEX('Per Line'!$E$2:$E$4001,$AB190))</f>
        <v/>
      </c>
      <c r="G190">
        <f>IF($AB190="","",INDEX('Per Line'!$F$2:$F$4001,$AB190)&amp;"")</f>
        <v/>
      </c>
      <c r="H190">
        <f>IF($AB190="","",INDEX('Per Line'!$H$2:$H$4001,$AB190)&amp;"")</f>
        <v/>
      </c>
      <c r="I190">
        <f>IF($AB190="","",INDEX('Per Line'!$I$2:$I$4001,$AB190)&amp;"")</f>
        <v/>
      </c>
      <c r="J190">
        <f>IF($AB190="","",INDEX('Per Line'!$J$2:$J$4001,$AB190)&amp;"")</f>
        <v/>
      </c>
      <c r="K190">
        <f>IF($AB190="","",INDEX('Per Line'!$K$2:$K$4001,$AB190)&amp;"")</f>
        <v/>
      </c>
      <c r="L190">
        <f>IF($AB190="","",INDEX('Per Line'!$L$2:$L$4001,$AB190))</f>
        <v/>
      </c>
      <c r="M190" s="7">
        <f>IF($AB190="","",IF(AND(ISNUMBER(O190),O190&gt;0,Z190&gt;O190),L190*O190/100+(Z190-O190),L190*Z190/100))</f>
        <v/>
      </c>
      <c r="N190">
        <f>IF($AB190="","",INDEX('Per Line'!$V$2:$V$4001,$AB190)&amp;"")</f>
        <v/>
      </c>
      <c r="O190">
        <f>IF($AB190="","",INDEX('Per Line'!$Z$2:$Z$4001,$AB190))</f>
        <v/>
      </c>
      <c r="P190">
        <f>IF($AB190="","",IF(AND(ISNUMBER(O190),O190&gt;0),Z190&gt;O190,FALSE))</f>
        <v/>
      </c>
      <c r="Q190" s="7">
        <f>IF($AB190="","",SUMIFS('Per Line'!$U$2:$U$4001,'Per Line'!$C$2:$C$4001,$B190,'Per Line'!$AM$2:$AM$4001,1))</f>
        <v/>
      </c>
      <c r="R190">
        <f>IF($AB190="","",Settings!$C$7)</f>
        <v/>
      </c>
      <c r="S190" s="7">
        <f>IF($AB190="","",SUMIFS('Per Line'!$U$2:$U$4001,'Per Line'!$C$2:$C$4001,$B190,'Per Line'!$AL$2:$AL$4001,0,'Per Line'!$AM$2:$AM$4001,0))</f>
        <v/>
      </c>
      <c r="T190" s="7">
        <f>IF($AB190="","",S190*R190)</f>
        <v/>
      </c>
      <c r="U190">
        <f>IF($AB190="","",Settings!$C$6)</f>
        <v/>
      </c>
      <c r="V190" s="7">
        <f>IF($AB190="","",SUMIFS('Per Line'!$U$2:$U$4001,'Per Line'!$C$2:$C$4001,$B190,'Per Line'!$AL$2:$AL$4001,1,'Per Line'!$AM$2:$AM$4001,0))</f>
        <v/>
      </c>
      <c r="W190" s="7">
        <f>IF($AB190="","",V190*U190)</f>
        <v/>
      </c>
      <c r="X190" s="7">
        <f>IF($AB190="","",W190+T190)</f>
        <v/>
      </c>
      <c r="Y190" s="7">
        <f>IF($AB190="","",Z190-X190)</f>
        <v/>
      </c>
      <c r="Z190" s="7">
        <f>IF($AB190="","",S190+V190+Q190)</f>
        <v/>
      </c>
      <c r="AA190" s="7">
        <f>IF($AB190="","",Z190-X190-M190)</f>
        <v/>
      </c>
      <c r="AB190" s="13">
        <f>IF(ROWS($AB$2:$AB190)&lt;=MAX('Per Line'!$AK$2:$AK$4001),MATCH(ROWS($AB$2:$AB190),'Per Line'!$AK$2:$AK$4001,0),"")</f>
        <v/>
      </c>
      <c r="AC190" s="14">
        <f>IF($AB190="","",M190-L190*Z190/100)</f>
        <v/>
      </c>
    </row>
    <row r="191">
      <c r="A191" s="12" t="n"/>
      <c r="B191">
        <f>IF($AB191="","",INDEX('Per Line'!$C$2:$C$4001,$AB191)&amp;"")</f>
        <v/>
      </c>
      <c r="C191">
        <f>IF($AB191="","",INDEX('Per Line'!$D$2:$D$4001,$AB191)&amp;"")</f>
        <v/>
      </c>
      <c r="D191">
        <f>IF($AB191="","",INDEX('Per Line'!$B$2:$B$4001,$AB191)&amp;"")</f>
        <v/>
      </c>
      <c r="E191">
        <f>IF($AB191="","",INDEX('Per Line'!$A$2:$A$4001,$AB191))</f>
        <v/>
      </c>
      <c r="F191" s="11">
        <f>IF($AB191="","",INDEX('Per Line'!$E$2:$E$4001,$AB191))</f>
        <v/>
      </c>
      <c r="G191">
        <f>IF($AB191="","",INDEX('Per Line'!$F$2:$F$4001,$AB191)&amp;"")</f>
        <v/>
      </c>
      <c r="H191">
        <f>IF($AB191="","",INDEX('Per Line'!$H$2:$H$4001,$AB191)&amp;"")</f>
        <v/>
      </c>
      <c r="I191">
        <f>IF($AB191="","",INDEX('Per Line'!$I$2:$I$4001,$AB191)&amp;"")</f>
        <v/>
      </c>
      <c r="J191">
        <f>IF($AB191="","",INDEX('Per Line'!$J$2:$J$4001,$AB191)&amp;"")</f>
        <v/>
      </c>
      <c r="K191">
        <f>IF($AB191="","",INDEX('Per Line'!$K$2:$K$4001,$AB191)&amp;"")</f>
        <v/>
      </c>
      <c r="L191">
        <f>IF($AB191="","",INDEX('Per Line'!$L$2:$L$4001,$AB191))</f>
        <v/>
      </c>
      <c r="M191" s="7">
        <f>IF($AB191="","",IF(AND(ISNUMBER(O191),O191&gt;0,Z191&gt;O191),L191*O191/100+(Z191-O191),L191*Z191/100))</f>
        <v/>
      </c>
      <c r="N191">
        <f>IF($AB191="","",INDEX('Per Line'!$V$2:$V$4001,$AB191)&amp;"")</f>
        <v/>
      </c>
      <c r="O191">
        <f>IF($AB191="","",INDEX('Per Line'!$Z$2:$Z$4001,$AB191))</f>
        <v/>
      </c>
      <c r="P191">
        <f>IF($AB191="","",IF(AND(ISNUMBER(O191),O191&gt;0),Z191&gt;O191,FALSE))</f>
        <v/>
      </c>
      <c r="Q191" s="7">
        <f>IF($AB191="","",SUMIFS('Per Line'!$U$2:$U$4001,'Per Line'!$C$2:$C$4001,$B191,'Per Line'!$AM$2:$AM$4001,1))</f>
        <v/>
      </c>
      <c r="R191">
        <f>IF($AB191="","",Settings!$C$7)</f>
        <v/>
      </c>
      <c r="S191" s="7">
        <f>IF($AB191="","",SUMIFS('Per Line'!$U$2:$U$4001,'Per Line'!$C$2:$C$4001,$B191,'Per Line'!$AL$2:$AL$4001,0,'Per Line'!$AM$2:$AM$4001,0))</f>
        <v/>
      </c>
      <c r="T191" s="7">
        <f>IF($AB191="","",S191*R191)</f>
        <v/>
      </c>
      <c r="U191">
        <f>IF($AB191="","",Settings!$C$6)</f>
        <v/>
      </c>
      <c r="V191" s="7">
        <f>IF($AB191="","",SUMIFS('Per Line'!$U$2:$U$4001,'Per Line'!$C$2:$C$4001,$B191,'Per Line'!$AL$2:$AL$4001,1,'Per Line'!$AM$2:$AM$4001,0))</f>
        <v/>
      </c>
      <c r="W191" s="7">
        <f>IF($AB191="","",V191*U191)</f>
        <v/>
      </c>
      <c r="X191" s="7">
        <f>IF($AB191="","",W191+T191)</f>
        <v/>
      </c>
      <c r="Y191" s="7">
        <f>IF($AB191="","",Z191-X191)</f>
        <v/>
      </c>
      <c r="Z191" s="7">
        <f>IF($AB191="","",S191+V191+Q191)</f>
        <v/>
      </c>
      <c r="AA191" s="7">
        <f>IF($AB191="","",Z191-X191-M191)</f>
        <v/>
      </c>
      <c r="AB191" s="13">
        <f>IF(ROWS($AB$2:$AB191)&lt;=MAX('Per Line'!$AK$2:$AK$4001),MATCH(ROWS($AB$2:$AB191),'Per Line'!$AK$2:$AK$4001,0),"")</f>
        <v/>
      </c>
      <c r="AC191" s="14">
        <f>IF($AB191="","",M191-L191*Z191/100)</f>
        <v/>
      </c>
    </row>
    <row r="192">
      <c r="A192" s="12" t="n"/>
      <c r="B192">
        <f>IF($AB192="","",INDEX('Per Line'!$C$2:$C$4001,$AB192)&amp;"")</f>
        <v/>
      </c>
      <c r="C192">
        <f>IF($AB192="","",INDEX('Per Line'!$D$2:$D$4001,$AB192)&amp;"")</f>
        <v/>
      </c>
      <c r="D192">
        <f>IF($AB192="","",INDEX('Per Line'!$B$2:$B$4001,$AB192)&amp;"")</f>
        <v/>
      </c>
      <c r="E192">
        <f>IF($AB192="","",INDEX('Per Line'!$A$2:$A$4001,$AB192))</f>
        <v/>
      </c>
      <c r="F192" s="11">
        <f>IF($AB192="","",INDEX('Per Line'!$E$2:$E$4001,$AB192))</f>
        <v/>
      </c>
      <c r="G192">
        <f>IF($AB192="","",INDEX('Per Line'!$F$2:$F$4001,$AB192)&amp;"")</f>
        <v/>
      </c>
      <c r="H192">
        <f>IF($AB192="","",INDEX('Per Line'!$H$2:$H$4001,$AB192)&amp;"")</f>
        <v/>
      </c>
      <c r="I192">
        <f>IF($AB192="","",INDEX('Per Line'!$I$2:$I$4001,$AB192)&amp;"")</f>
        <v/>
      </c>
      <c r="J192">
        <f>IF($AB192="","",INDEX('Per Line'!$J$2:$J$4001,$AB192)&amp;"")</f>
        <v/>
      </c>
      <c r="K192">
        <f>IF($AB192="","",INDEX('Per Line'!$K$2:$K$4001,$AB192)&amp;"")</f>
        <v/>
      </c>
      <c r="L192">
        <f>IF($AB192="","",INDEX('Per Line'!$L$2:$L$4001,$AB192))</f>
        <v/>
      </c>
      <c r="M192" s="7">
        <f>IF($AB192="","",IF(AND(ISNUMBER(O192),O192&gt;0,Z192&gt;O192),L192*O192/100+(Z192-O192),L192*Z192/100))</f>
        <v/>
      </c>
      <c r="N192">
        <f>IF($AB192="","",INDEX('Per Line'!$V$2:$V$4001,$AB192)&amp;"")</f>
        <v/>
      </c>
      <c r="O192">
        <f>IF($AB192="","",INDEX('Per Line'!$Z$2:$Z$4001,$AB192))</f>
        <v/>
      </c>
      <c r="P192">
        <f>IF($AB192="","",IF(AND(ISNUMBER(O192),O192&gt;0),Z192&gt;O192,FALSE))</f>
        <v/>
      </c>
      <c r="Q192" s="7">
        <f>IF($AB192="","",SUMIFS('Per Line'!$U$2:$U$4001,'Per Line'!$C$2:$C$4001,$B192,'Per Line'!$AM$2:$AM$4001,1))</f>
        <v/>
      </c>
      <c r="R192">
        <f>IF($AB192="","",Settings!$C$7)</f>
        <v/>
      </c>
      <c r="S192" s="7">
        <f>IF($AB192="","",SUMIFS('Per Line'!$U$2:$U$4001,'Per Line'!$C$2:$C$4001,$B192,'Per Line'!$AL$2:$AL$4001,0,'Per Line'!$AM$2:$AM$4001,0))</f>
        <v/>
      </c>
      <c r="T192" s="7">
        <f>IF($AB192="","",S192*R192)</f>
        <v/>
      </c>
      <c r="U192">
        <f>IF($AB192="","",Settings!$C$6)</f>
        <v/>
      </c>
      <c r="V192" s="7">
        <f>IF($AB192="","",SUMIFS('Per Line'!$U$2:$U$4001,'Per Line'!$C$2:$C$4001,$B192,'Per Line'!$AL$2:$AL$4001,1,'Per Line'!$AM$2:$AM$4001,0))</f>
        <v/>
      </c>
      <c r="W192" s="7">
        <f>IF($AB192="","",V192*U192)</f>
        <v/>
      </c>
      <c r="X192" s="7">
        <f>IF($AB192="","",W192+T192)</f>
        <v/>
      </c>
      <c r="Y192" s="7">
        <f>IF($AB192="","",Z192-X192)</f>
        <v/>
      </c>
      <c r="Z192" s="7">
        <f>IF($AB192="","",S192+V192+Q192)</f>
        <v/>
      </c>
      <c r="AA192" s="7">
        <f>IF($AB192="","",Z192-X192-M192)</f>
        <v/>
      </c>
      <c r="AB192" s="13">
        <f>IF(ROWS($AB$2:$AB192)&lt;=MAX('Per Line'!$AK$2:$AK$4001),MATCH(ROWS($AB$2:$AB192),'Per Line'!$AK$2:$AK$4001,0),"")</f>
        <v/>
      </c>
      <c r="AC192" s="14">
        <f>IF($AB192="","",M192-L192*Z192/100)</f>
        <v/>
      </c>
    </row>
    <row r="193">
      <c r="A193" s="12" t="n"/>
      <c r="B193">
        <f>IF($AB193="","",INDEX('Per Line'!$C$2:$C$4001,$AB193)&amp;"")</f>
        <v/>
      </c>
      <c r="C193">
        <f>IF($AB193="","",INDEX('Per Line'!$D$2:$D$4001,$AB193)&amp;"")</f>
        <v/>
      </c>
      <c r="D193">
        <f>IF($AB193="","",INDEX('Per Line'!$B$2:$B$4001,$AB193)&amp;"")</f>
        <v/>
      </c>
      <c r="E193">
        <f>IF($AB193="","",INDEX('Per Line'!$A$2:$A$4001,$AB193))</f>
        <v/>
      </c>
      <c r="F193" s="11">
        <f>IF($AB193="","",INDEX('Per Line'!$E$2:$E$4001,$AB193))</f>
        <v/>
      </c>
      <c r="G193">
        <f>IF($AB193="","",INDEX('Per Line'!$F$2:$F$4001,$AB193)&amp;"")</f>
        <v/>
      </c>
      <c r="H193">
        <f>IF($AB193="","",INDEX('Per Line'!$H$2:$H$4001,$AB193)&amp;"")</f>
        <v/>
      </c>
      <c r="I193">
        <f>IF($AB193="","",INDEX('Per Line'!$I$2:$I$4001,$AB193)&amp;"")</f>
        <v/>
      </c>
      <c r="J193">
        <f>IF($AB193="","",INDEX('Per Line'!$J$2:$J$4001,$AB193)&amp;"")</f>
        <v/>
      </c>
      <c r="K193">
        <f>IF($AB193="","",INDEX('Per Line'!$K$2:$K$4001,$AB193)&amp;"")</f>
        <v/>
      </c>
      <c r="L193">
        <f>IF($AB193="","",INDEX('Per Line'!$L$2:$L$4001,$AB193))</f>
        <v/>
      </c>
      <c r="M193" s="7">
        <f>IF($AB193="","",IF(AND(ISNUMBER(O193),O193&gt;0,Z193&gt;O193),L193*O193/100+(Z193-O193),L193*Z193/100))</f>
        <v/>
      </c>
      <c r="N193">
        <f>IF($AB193="","",INDEX('Per Line'!$V$2:$V$4001,$AB193)&amp;"")</f>
        <v/>
      </c>
      <c r="O193">
        <f>IF($AB193="","",INDEX('Per Line'!$Z$2:$Z$4001,$AB193))</f>
        <v/>
      </c>
      <c r="P193">
        <f>IF($AB193="","",IF(AND(ISNUMBER(O193),O193&gt;0),Z193&gt;O193,FALSE))</f>
        <v/>
      </c>
      <c r="Q193" s="7">
        <f>IF($AB193="","",SUMIFS('Per Line'!$U$2:$U$4001,'Per Line'!$C$2:$C$4001,$B193,'Per Line'!$AM$2:$AM$4001,1))</f>
        <v/>
      </c>
      <c r="R193">
        <f>IF($AB193="","",Settings!$C$7)</f>
        <v/>
      </c>
      <c r="S193" s="7">
        <f>IF($AB193="","",SUMIFS('Per Line'!$U$2:$U$4001,'Per Line'!$C$2:$C$4001,$B193,'Per Line'!$AL$2:$AL$4001,0,'Per Line'!$AM$2:$AM$4001,0))</f>
        <v/>
      </c>
      <c r="T193" s="7">
        <f>IF($AB193="","",S193*R193)</f>
        <v/>
      </c>
      <c r="U193">
        <f>IF($AB193="","",Settings!$C$6)</f>
        <v/>
      </c>
      <c r="V193" s="7">
        <f>IF($AB193="","",SUMIFS('Per Line'!$U$2:$U$4001,'Per Line'!$C$2:$C$4001,$B193,'Per Line'!$AL$2:$AL$4001,1,'Per Line'!$AM$2:$AM$4001,0))</f>
        <v/>
      </c>
      <c r="W193" s="7">
        <f>IF($AB193="","",V193*U193)</f>
        <v/>
      </c>
      <c r="X193" s="7">
        <f>IF($AB193="","",W193+T193)</f>
        <v/>
      </c>
      <c r="Y193" s="7">
        <f>IF($AB193="","",Z193-X193)</f>
        <v/>
      </c>
      <c r="Z193" s="7">
        <f>IF($AB193="","",S193+V193+Q193)</f>
        <v/>
      </c>
      <c r="AA193" s="7">
        <f>IF($AB193="","",Z193-X193-M193)</f>
        <v/>
      </c>
      <c r="AB193" s="13">
        <f>IF(ROWS($AB$2:$AB193)&lt;=MAX('Per Line'!$AK$2:$AK$4001),MATCH(ROWS($AB$2:$AB193),'Per Line'!$AK$2:$AK$4001,0),"")</f>
        <v/>
      </c>
      <c r="AC193" s="14">
        <f>IF($AB193="","",M193-L193*Z193/100)</f>
        <v/>
      </c>
    </row>
    <row r="194">
      <c r="A194" s="12" t="n"/>
      <c r="B194">
        <f>IF($AB194="","",INDEX('Per Line'!$C$2:$C$4001,$AB194)&amp;"")</f>
        <v/>
      </c>
      <c r="C194">
        <f>IF($AB194="","",INDEX('Per Line'!$D$2:$D$4001,$AB194)&amp;"")</f>
        <v/>
      </c>
      <c r="D194">
        <f>IF($AB194="","",INDEX('Per Line'!$B$2:$B$4001,$AB194)&amp;"")</f>
        <v/>
      </c>
      <c r="E194">
        <f>IF($AB194="","",INDEX('Per Line'!$A$2:$A$4001,$AB194))</f>
        <v/>
      </c>
      <c r="F194" s="11">
        <f>IF($AB194="","",INDEX('Per Line'!$E$2:$E$4001,$AB194))</f>
        <v/>
      </c>
      <c r="G194">
        <f>IF($AB194="","",INDEX('Per Line'!$F$2:$F$4001,$AB194)&amp;"")</f>
        <v/>
      </c>
      <c r="H194">
        <f>IF($AB194="","",INDEX('Per Line'!$H$2:$H$4001,$AB194)&amp;"")</f>
        <v/>
      </c>
      <c r="I194">
        <f>IF($AB194="","",INDEX('Per Line'!$I$2:$I$4001,$AB194)&amp;"")</f>
        <v/>
      </c>
      <c r="J194">
        <f>IF($AB194="","",INDEX('Per Line'!$J$2:$J$4001,$AB194)&amp;"")</f>
        <v/>
      </c>
      <c r="K194">
        <f>IF($AB194="","",INDEX('Per Line'!$K$2:$K$4001,$AB194)&amp;"")</f>
        <v/>
      </c>
      <c r="L194">
        <f>IF($AB194="","",INDEX('Per Line'!$L$2:$L$4001,$AB194))</f>
        <v/>
      </c>
      <c r="M194" s="7">
        <f>IF($AB194="","",IF(AND(ISNUMBER(O194),O194&gt;0,Z194&gt;O194),L194*O194/100+(Z194-O194),L194*Z194/100))</f>
        <v/>
      </c>
      <c r="N194">
        <f>IF($AB194="","",INDEX('Per Line'!$V$2:$V$4001,$AB194)&amp;"")</f>
        <v/>
      </c>
      <c r="O194">
        <f>IF($AB194="","",INDEX('Per Line'!$Z$2:$Z$4001,$AB194))</f>
        <v/>
      </c>
      <c r="P194">
        <f>IF($AB194="","",IF(AND(ISNUMBER(O194),O194&gt;0),Z194&gt;O194,FALSE))</f>
        <v/>
      </c>
      <c r="Q194" s="7">
        <f>IF($AB194="","",SUMIFS('Per Line'!$U$2:$U$4001,'Per Line'!$C$2:$C$4001,$B194,'Per Line'!$AM$2:$AM$4001,1))</f>
        <v/>
      </c>
      <c r="R194">
        <f>IF($AB194="","",Settings!$C$7)</f>
        <v/>
      </c>
      <c r="S194" s="7">
        <f>IF($AB194="","",SUMIFS('Per Line'!$U$2:$U$4001,'Per Line'!$C$2:$C$4001,$B194,'Per Line'!$AL$2:$AL$4001,0,'Per Line'!$AM$2:$AM$4001,0))</f>
        <v/>
      </c>
      <c r="T194" s="7">
        <f>IF($AB194="","",S194*R194)</f>
        <v/>
      </c>
      <c r="U194">
        <f>IF($AB194="","",Settings!$C$6)</f>
        <v/>
      </c>
      <c r="V194" s="7">
        <f>IF($AB194="","",SUMIFS('Per Line'!$U$2:$U$4001,'Per Line'!$C$2:$C$4001,$B194,'Per Line'!$AL$2:$AL$4001,1,'Per Line'!$AM$2:$AM$4001,0))</f>
        <v/>
      </c>
      <c r="W194" s="7">
        <f>IF($AB194="","",V194*U194)</f>
        <v/>
      </c>
      <c r="X194" s="7">
        <f>IF($AB194="","",W194+T194)</f>
        <v/>
      </c>
      <c r="Y194" s="7">
        <f>IF($AB194="","",Z194-X194)</f>
        <v/>
      </c>
      <c r="Z194" s="7">
        <f>IF($AB194="","",S194+V194+Q194)</f>
        <v/>
      </c>
      <c r="AA194" s="7">
        <f>IF($AB194="","",Z194-X194-M194)</f>
        <v/>
      </c>
      <c r="AB194" s="13">
        <f>IF(ROWS($AB$2:$AB194)&lt;=MAX('Per Line'!$AK$2:$AK$4001),MATCH(ROWS($AB$2:$AB194),'Per Line'!$AK$2:$AK$4001,0),"")</f>
        <v/>
      </c>
      <c r="AC194" s="14">
        <f>IF($AB194="","",M194-L194*Z194/100)</f>
        <v/>
      </c>
    </row>
    <row r="195">
      <c r="A195" s="12" t="n"/>
      <c r="B195">
        <f>IF($AB195="","",INDEX('Per Line'!$C$2:$C$4001,$AB195)&amp;"")</f>
        <v/>
      </c>
      <c r="C195">
        <f>IF($AB195="","",INDEX('Per Line'!$D$2:$D$4001,$AB195)&amp;"")</f>
        <v/>
      </c>
      <c r="D195">
        <f>IF($AB195="","",INDEX('Per Line'!$B$2:$B$4001,$AB195)&amp;"")</f>
        <v/>
      </c>
      <c r="E195">
        <f>IF($AB195="","",INDEX('Per Line'!$A$2:$A$4001,$AB195))</f>
        <v/>
      </c>
      <c r="F195" s="11">
        <f>IF($AB195="","",INDEX('Per Line'!$E$2:$E$4001,$AB195))</f>
        <v/>
      </c>
      <c r="G195">
        <f>IF($AB195="","",INDEX('Per Line'!$F$2:$F$4001,$AB195)&amp;"")</f>
        <v/>
      </c>
      <c r="H195">
        <f>IF($AB195="","",INDEX('Per Line'!$H$2:$H$4001,$AB195)&amp;"")</f>
        <v/>
      </c>
      <c r="I195">
        <f>IF($AB195="","",INDEX('Per Line'!$I$2:$I$4001,$AB195)&amp;"")</f>
        <v/>
      </c>
      <c r="J195">
        <f>IF($AB195="","",INDEX('Per Line'!$J$2:$J$4001,$AB195)&amp;"")</f>
        <v/>
      </c>
      <c r="K195">
        <f>IF($AB195="","",INDEX('Per Line'!$K$2:$K$4001,$AB195)&amp;"")</f>
        <v/>
      </c>
      <c r="L195">
        <f>IF($AB195="","",INDEX('Per Line'!$L$2:$L$4001,$AB195))</f>
        <v/>
      </c>
      <c r="M195" s="7">
        <f>IF($AB195="","",IF(AND(ISNUMBER(O195),O195&gt;0,Z195&gt;O195),L195*O195/100+(Z195-O195),L195*Z195/100))</f>
        <v/>
      </c>
      <c r="N195">
        <f>IF($AB195="","",INDEX('Per Line'!$V$2:$V$4001,$AB195)&amp;"")</f>
        <v/>
      </c>
      <c r="O195">
        <f>IF($AB195="","",INDEX('Per Line'!$Z$2:$Z$4001,$AB195))</f>
        <v/>
      </c>
      <c r="P195">
        <f>IF($AB195="","",IF(AND(ISNUMBER(O195),O195&gt;0),Z195&gt;O195,FALSE))</f>
        <v/>
      </c>
      <c r="Q195" s="7">
        <f>IF($AB195="","",SUMIFS('Per Line'!$U$2:$U$4001,'Per Line'!$C$2:$C$4001,$B195,'Per Line'!$AM$2:$AM$4001,1))</f>
        <v/>
      </c>
      <c r="R195">
        <f>IF($AB195="","",Settings!$C$7)</f>
        <v/>
      </c>
      <c r="S195" s="7">
        <f>IF($AB195="","",SUMIFS('Per Line'!$U$2:$U$4001,'Per Line'!$C$2:$C$4001,$B195,'Per Line'!$AL$2:$AL$4001,0,'Per Line'!$AM$2:$AM$4001,0))</f>
        <v/>
      </c>
      <c r="T195" s="7">
        <f>IF($AB195="","",S195*R195)</f>
        <v/>
      </c>
      <c r="U195">
        <f>IF($AB195="","",Settings!$C$6)</f>
        <v/>
      </c>
      <c r="V195" s="7">
        <f>IF($AB195="","",SUMIFS('Per Line'!$U$2:$U$4001,'Per Line'!$C$2:$C$4001,$B195,'Per Line'!$AL$2:$AL$4001,1,'Per Line'!$AM$2:$AM$4001,0))</f>
        <v/>
      </c>
      <c r="W195" s="7">
        <f>IF($AB195="","",V195*U195)</f>
        <v/>
      </c>
      <c r="X195" s="7">
        <f>IF($AB195="","",W195+T195)</f>
        <v/>
      </c>
      <c r="Y195" s="7">
        <f>IF($AB195="","",Z195-X195)</f>
        <v/>
      </c>
      <c r="Z195" s="7">
        <f>IF($AB195="","",S195+V195+Q195)</f>
        <v/>
      </c>
      <c r="AA195" s="7">
        <f>IF($AB195="","",Z195-X195-M195)</f>
        <v/>
      </c>
      <c r="AB195" s="13">
        <f>IF(ROWS($AB$2:$AB195)&lt;=MAX('Per Line'!$AK$2:$AK$4001),MATCH(ROWS($AB$2:$AB195),'Per Line'!$AK$2:$AK$4001,0),"")</f>
        <v/>
      </c>
      <c r="AC195" s="14">
        <f>IF($AB195="","",M195-L195*Z195/100)</f>
        <v/>
      </c>
    </row>
    <row r="196">
      <c r="A196" s="12" t="n"/>
      <c r="B196">
        <f>IF($AB196="","",INDEX('Per Line'!$C$2:$C$4001,$AB196)&amp;"")</f>
        <v/>
      </c>
      <c r="C196">
        <f>IF($AB196="","",INDEX('Per Line'!$D$2:$D$4001,$AB196)&amp;"")</f>
        <v/>
      </c>
      <c r="D196">
        <f>IF($AB196="","",INDEX('Per Line'!$B$2:$B$4001,$AB196)&amp;"")</f>
        <v/>
      </c>
      <c r="E196">
        <f>IF($AB196="","",INDEX('Per Line'!$A$2:$A$4001,$AB196))</f>
        <v/>
      </c>
      <c r="F196" s="11">
        <f>IF($AB196="","",INDEX('Per Line'!$E$2:$E$4001,$AB196))</f>
        <v/>
      </c>
      <c r="G196">
        <f>IF($AB196="","",INDEX('Per Line'!$F$2:$F$4001,$AB196)&amp;"")</f>
        <v/>
      </c>
      <c r="H196">
        <f>IF($AB196="","",INDEX('Per Line'!$H$2:$H$4001,$AB196)&amp;"")</f>
        <v/>
      </c>
      <c r="I196">
        <f>IF($AB196="","",INDEX('Per Line'!$I$2:$I$4001,$AB196)&amp;"")</f>
        <v/>
      </c>
      <c r="J196">
        <f>IF($AB196="","",INDEX('Per Line'!$J$2:$J$4001,$AB196)&amp;"")</f>
        <v/>
      </c>
      <c r="K196">
        <f>IF($AB196="","",INDEX('Per Line'!$K$2:$K$4001,$AB196)&amp;"")</f>
        <v/>
      </c>
      <c r="L196">
        <f>IF($AB196="","",INDEX('Per Line'!$L$2:$L$4001,$AB196))</f>
        <v/>
      </c>
      <c r="M196" s="7">
        <f>IF($AB196="","",IF(AND(ISNUMBER(O196),O196&gt;0,Z196&gt;O196),L196*O196/100+(Z196-O196),L196*Z196/100))</f>
        <v/>
      </c>
      <c r="N196">
        <f>IF($AB196="","",INDEX('Per Line'!$V$2:$V$4001,$AB196)&amp;"")</f>
        <v/>
      </c>
      <c r="O196">
        <f>IF($AB196="","",INDEX('Per Line'!$Z$2:$Z$4001,$AB196))</f>
        <v/>
      </c>
      <c r="P196">
        <f>IF($AB196="","",IF(AND(ISNUMBER(O196),O196&gt;0),Z196&gt;O196,FALSE))</f>
        <v/>
      </c>
      <c r="Q196" s="7">
        <f>IF($AB196="","",SUMIFS('Per Line'!$U$2:$U$4001,'Per Line'!$C$2:$C$4001,$B196,'Per Line'!$AM$2:$AM$4001,1))</f>
        <v/>
      </c>
      <c r="R196">
        <f>IF($AB196="","",Settings!$C$7)</f>
        <v/>
      </c>
      <c r="S196" s="7">
        <f>IF($AB196="","",SUMIFS('Per Line'!$U$2:$U$4001,'Per Line'!$C$2:$C$4001,$B196,'Per Line'!$AL$2:$AL$4001,0,'Per Line'!$AM$2:$AM$4001,0))</f>
        <v/>
      </c>
      <c r="T196" s="7">
        <f>IF($AB196="","",S196*R196)</f>
        <v/>
      </c>
      <c r="U196">
        <f>IF($AB196="","",Settings!$C$6)</f>
        <v/>
      </c>
      <c r="V196" s="7">
        <f>IF($AB196="","",SUMIFS('Per Line'!$U$2:$U$4001,'Per Line'!$C$2:$C$4001,$B196,'Per Line'!$AL$2:$AL$4001,1,'Per Line'!$AM$2:$AM$4001,0))</f>
        <v/>
      </c>
      <c r="W196" s="7">
        <f>IF($AB196="","",V196*U196)</f>
        <v/>
      </c>
      <c r="X196" s="7">
        <f>IF($AB196="","",W196+T196)</f>
        <v/>
      </c>
      <c r="Y196" s="7">
        <f>IF($AB196="","",Z196-X196)</f>
        <v/>
      </c>
      <c r="Z196" s="7">
        <f>IF($AB196="","",S196+V196+Q196)</f>
        <v/>
      </c>
      <c r="AA196" s="7">
        <f>IF($AB196="","",Z196-X196-M196)</f>
        <v/>
      </c>
      <c r="AB196" s="13">
        <f>IF(ROWS($AB$2:$AB196)&lt;=MAX('Per Line'!$AK$2:$AK$4001),MATCH(ROWS($AB$2:$AB196),'Per Line'!$AK$2:$AK$4001,0),"")</f>
        <v/>
      </c>
      <c r="AC196" s="14">
        <f>IF($AB196="","",M196-L196*Z196/100)</f>
        <v/>
      </c>
    </row>
    <row r="197">
      <c r="A197" s="12" t="n"/>
      <c r="B197">
        <f>IF($AB197="","",INDEX('Per Line'!$C$2:$C$4001,$AB197)&amp;"")</f>
        <v/>
      </c>
      <c r="C197">
        <f>IF($AB197="","",INDEX('Per Line'!$D$2:$D$4001,$AB197)&amp;"")</f>
        <v/>
      </c>
      <c r="D197">
        <f>IF($AB197="","",INDEX('Per Line'!$B$2:$B$4001,$AB197)&amp;"")</f>
        <v/>
      </c>
      <c r="E197">
        <f>IF($AB197="","",INDEX('Per Line'!$A$2:$A$4001,$AB197))</f>
        <v/>
      </c>
      <c r="F197" s="11">
        <f>IF($AB197="","",INDEX('Per Line'!$E$2:$E$4001,$AB197))</f>
        <v/>
      </c>
      <c r="G197">
        <f>IF($AB197="","",INDEX('Per Line'!$F$2:$F$4001,$AB197)&amp;"")</f>
        <v/>
      </c>
      <c r="H197">
        <f>IF($AB197="","",INDEX('Per Line'!$H$2:$H$4001,$AB197)&amp;"")</f>
        <v/>
      </c>
      <c r="I197">
        <f>IF($AB197="","",INDEX('Per Line'!$I$2:$I$4001,$AB197)&amp;"")</f>
        <v/>
      </c>
      <c r="J197">
        <f>IF($AB197="","",INDEX('Per Line'!$J$2:$J$4001,$AB197)&amp;"")</f>
        <v/>
      </c>
      <c r="K197">
        <f>IF($AB197="","",INDEX('Per Line'!$K$2:$K$4001,$AB197)&amp;"")</f>
        <v/>
      </c>
      <c r="L197">
        <f>IF($AB197="","",INDEX('Per Line'!$L$2:$L$4001,$AB197))</f>
        <v/>
      </c>
      <c r="M197" s="7">
        <f>IF($AB197="","",IF(AND(ISNUMBER(O197),O197&gt;0,Z197&gt;O197),L197*O197/100+(Z197-O197),L197*Z197/100))</f>
        <v/>
      </c>
      <c r="N197">
        <f>IF($AB197="","",INDEX('Per Line'!$V$2:$V$4001,$AB197)&amp;"")</f>
        <v/>
      </c>
      <c r="O197">
        <f>IF($AB197="","",INDEX('Per Line'!$Z$2:$Z$4001,$AB197))</f>
        <v/>
      </c>
      <c r="P197">
        <f>IF($AB197="","",IF(AND(ISNUMBER(O197),O197&gt;0),Z197&gt;O197,FALSE))</f>
        <v/>
      </c>
      <c r="Q197" s="7">
        <f>IF($AB197="","",SUMIFS('Per Line'!$U$2:$U$4001,'Per Line'!$C$2:$C$4001,$B197,'Per Line'!$AM$2:$AM$4001,1))</f>
        <v/>
      </c>
      <c r="R197">
        <f>IF($AB197="","",Settings!$C$7)</f>
        <v/>
      </c>
      <c r="S197" s="7">
        <f>IF($AB197="","",SUMIFS('Per Line'!$U$2:$U$4001,'Per Line'!$C$2:$C$4001,$B197,'Per Line'!$AL$2:$AL$4001,0,'Per Line'!$AM$2:$AM$4001,0))</f>
        <v/>
      </c>
      <c r="T197" s="7">
        <f>IF($AB197="","",S197*R197)</f>
        <v/>
      </c>
      <c r="U197">
        <f>IF($AB197="","",Settings!$C$6)</f>
        <v/>
      </c>
      <c r="V197" s="7">
        <f>IF($AB197="","",SUMIFS('Per Line'!$U$2:$U$4001,'Per Line'!$C$2:$C$4001,$B197,'Per Line'!$AL$2:$AL$4001,1,'Per Line'!$AM$2:$AM$4001,0))</f>
        <v/>
      </c>
      <c r="W197" s="7">
        <f>IF($AB197="","",V197*U197)</f>
        <v/>
      </c>
      <c r="X197" s="7">
        <f>IF($AB197="","",W197+T197)</f>
        <v/>
      </c>
      <c r="Y197" s="7">
        <f>IF($AB197="","",Z197-X197)</f>
        <v/>
      </c>
      <c r="Z197" s="7">
        <f>IF($AB197="","",S197+V197+Q197)</f>
        <v/>
      </c>
      <c r="AA197" s="7">
        <f>IF($AB197="","",Z197-X197-M197)</f>
        <v/>
      </c>
      <c r="AB197" s="13">
        <f>IF(ROWS($AB$2:$AB197)&lt;=MAX('Per Line'!$AK$2:$AK$4001),MATCH(ROWS($AB$2:$AB197),'Per Line'!$AK$2:$AK$4001,0),"")</f>
        <v/>
      </c>
      <c r="AC197" s="14">
        <f>IF($AB197="","",M197-L197*Z197/100)</f>
        <v/>
      </c>
    </row>
    <row r="198">
      <c r="A198" s="12" t="n"/>
      <c r="B198">
        <f>IF($AB198="","",INDEX('Per Line'!$C$2:$C$4001,$AB198)&amp;"")</f>
        <v/>
      </c>
      <c r="C198">
        <f>IF($AB198="","",INDEX('Per Line'!$D$2:$D$4001,$AB198)&amp;"")</f>
        <v/>
      </c>
      <c r="D198">
        <f>IF($AB198="","",INDEX('Per Line'!$B$2:$B$4001,$AB198)&amp;"")</f>
        <v/>
      </c>
      <c r="E198">
        <f>IF($AB198="","",INDEX('Per Line'!$A$2:$A$4001,$AB198))</f>
        <v/>
      </c>
      <c r="F198" s="11">
        <f>IF($AB198="","",INDEX('Per Line'!$E$2:$E$4001,$AB198))</f>
        <v/>
      </c>
      <c r="G198">
        <f>IF($AB198="","",INDEX('Per Line'!$F$2:$F$4001,$AB198)&amp;"")</f>
        <v/>
      </c>
      <c r="H198">
        <f>IF($AB198="","",INDEX('Per Line'!$H$2:$H$4001,$AB198)&amp;"")</f>
        <v/>
      </c>
      <c r="I198">
        <f>IF($AB198="","",INDEX('Per Line'!$I$2:$I$4001,$AB198)&amp;"")</f>
        <v/>
      </c>
      <c r="J198">
        <f>IF($AB198="","",INDEX('Per Line'!$J$2:$J$4001,$AB198)&amp;"")</f>
        <v/>
      </c>
      <c r="K198">
        <f>IF($AB198="","",INDEX('Per Line'!$K$2:$K$4001,$AB198)&amp;"")</f>
        <v/>
      </c>
      <c r="L198">
        <f>IF($AB198="","",INDEX('Per Line'!$L$2:$L$4001,$AB198))</f>
        <v/>
      </c>
      <c r="M198" s="7">
        <f>IF($AB198="","",IF(AND(ISNUMBER(O198),O198&gt;0,Z198&gt;O198),L198*O198/100+(Z198-O198),L198*Z198/100))</f>
        <v/>
      </c>
      <c r="N198">
        <f>IF($AB198="","",INDEX('Per Line'!$V$2:$V$4001,$AB198)&amp;"")</f>
        <v/>
      </c>
      <c r="O198">
        <f>IF($AB198="","",INDEX('Per Line'!$Z$2:$Z$4001,$AB198))</f>
        <v/>
      </c>
      <c r="P198">
        <f>IF($AB198="","",IF(AND(ISNUMBER(O198),O198&gt;0),Z198&gt;O198,FALSE))</f>
        <v/>
      </c>
      <c r="Q198" s="7">
        <f>IF($AB198="","",SUMIFS('Per Line'!$U$2:$U$4001,'Per Line'!$C$2:$C$4001,$B198,'Per Line'!$AM$2:$AM$4001,1))</f>
        <v/>
      </c>
      <c r="R198">
        <f>IF($AB198="","",Settings!$C$7)</f>
        <v/>
      </c>
      <c r="S198" s="7">
        <f>IF($AB198="","",SUMIFS('Per Line'!$U$2:$U$4001,'Per Line'!$C$2:$C$4001,$B198,'Per Line'!$AL$2:$AL$4001,0,'Per Line'!$AM$2:$AM$4001,0))</f>
        <v/>
      </c>
      <c r="T198" s="7">
        <f>IF($AB198="","",S198*R198)</f>
        <v/>
      </c>
      <c r="U198">
        <f>IF($AB198="","",Settings!$C$6)</f>
        <v/>
      </c>
      <c r="V198" s="7">
        <f>IF($AB198="","",SUMIFS('Per Line'!$U$2:$U$4001,'Per Line'!$C$2:$C$4001,$B198,'Per Line'!$AL$2:$AL$4001,1,'Per Line'!$AM$2:$AM$4001,0))</f>
        <v/>
      </c>
      <c r="W198" s="7">
        <f>IF($AB198="","",V198*U198)</f>
        <v/>
      </c>
      <c r="X198" s="7">
        <f>IF($AB198="","",W198+T198)</f>
        <v/>
      </c>
      <c r="Y198" s="7">
        <f>IF($AB198="","",Z198-X198)</f>
        <v/>
      </c>
      <c r="Z198" s="7">
        <f>IF($AB198="","",S198+V198+Q198)</f>
        <v/>
      </c>
      <c r="AA198" s="7">
        <f>IF($AB198="","",Z198-X198-M198)</f>
        <v/>
      </c>
      <c r="AB198" s="13">
        <f>IF(ROWS($AB$2:$AB198)&lt;=MAX('Per Line'!$AK$2:$AK$4001),MATCH(ROWS($AB$2:$AB198),'Per Line'!$AK$2:$AK$4001,0),"")</f>
        <v/>
      </c>
      <c r="AC198" s="14">
        <f>IF($AB198="","",M198-L198*Z198/100)</f>
        <v/>
      </c>
    </row>
    <row r="199">
      <c r="A199" s="12" t="n"/>
      <c r="B199">
        <f>IF($AB199="","",INDEX('Per Line'!$C$2:$C$4001,$AB199)&amp;"")</f>
        <v/>
      </c>
      <c r="C199">
        <f>IF($AB199="","",INDEX('Per Line'!$D$2:$D$4001,$AB199)&amp;"")</f>
        <v/>
      </c>
      <c r="D199">
        <f>IF($AB199="","",INDEX('Per Line'!$B$2:$B$4001,$AB199)&amp;"")</f>
        <v/>
      </c>
      <c r="E199">
        <f>IF($AB199="","",INDEX('Per Line'!$A$2:$A$4001,$AB199))</f>
        <v/>
      </c>
      <c r="F199" s="11">
        <f>IF($AB199="","",INDEX('Per Line'!$E$2:$E$4001,$AB199))</f>
        <v/>
      </c>
      <c r="G199">
        <f>IF($AB199="","",INDEX('Per Line'!$F$2:$F$4001,$AB199)&amp;"")</f>
        <v/>
      </c>
      <c r="H199">
        <f>IF($AB199="","",INDEX('Per Line'!$H$2:$H$4001,$AB199)&amp;"")</f>
        <v/>
      </c>
      <c r="I199">
        <f>IF($AB199="","",INDEX('Per Line'!$I$2:$I$4001,$AB199)&amp;"")</f>
        <v/>
      </c>
      <c r="J199">
        <f>IF($AB199="","",INDEX('Per Line'!$J$2:$J$4001,$AB199)&amp;"")</f>
        <v/>
      </c>
      <c r="K199">
        <f>IF($AB199="","",INDEX('Per Line'!$K$2:$K$4001,$AB199)&amp;"")</f>
        <v/>
      </c>
      <c r="L199">
        <f>IF($AB199="","",INDEX('Per Line'!$L$2:$L$4001,$AB199))</f>
        <v/>
      </c>
      <c r="M199" s="7">
        <f>IF($AB199="","",IF(AND(ISNUMBER(O199),O199&gt;0,Z199&gt;O199),L199*O199/100+(Z199-O199),L199*Z199/100))</f>
        <v/>
      </c>
      <c r="N199">
        <f>IF($AB199="","",INDEX('Per Line'!$V$2:$V$4001,$AB199)&amp;"")</f>
        <v/>
      </c>
      <c r="O199">
        <f>IF($AB199="","",INDEX('Per Line'!$Z$2:$Z$4001,$AB199))</f>
        <v/>
      </c>
      <c r="P199">
        <f>IF($AB199="","",IF(AND(ISNUMBER(O199),O199&gt;0),Z199&gt;O199,FALSE))</f>
        <v/>
      </c>
      <c r="Q199" s="7">
        <f>IF($AB199="","",SUMIFS('Per Line'!$U$2:$U$4001,'Per Line'!$C$2:$C$4001,$B199,'Per Line'!$AM$2:$AM$4001,1))</f>
        <v/>
      </c>
      <c r="R199">
        <f>IF($AB199="","",Settings!$C$7)</f>
        <v/>
      </c>
      <c r="S199" s="7">
        <f>IF($AB199="","",SUMIFS('Per Line'!$U$2:$U$4001,'Per Line'!$C$2:$C$4001,$B199,'Per Line'!$AL$2:$AL$4001,0,'Per Line'!$AM$2:$AM$4001,0))</f>
        <v/>
      </c>
      <c r="T199" s="7">
        <f>IF($AB199="","",S199*R199)</f>
        <v/>
      </c>
      <c r="U199">
        <f>IF($AB199="","",Settings!$C$6)</f>
        <v/>
      </c>
      <c r="V199" s="7">
        <f>IF($AB199="","",SUMIFS('Per Line'!$U$2:$U$4001,'Per Line'!$C$2:$C$4001,$B199,'Per Line'!$AL$2:$AL$4001,1,'Per Line'!$AM$2:$AM$4001,0))</f>
        <v/>
      </c>
      <c r="W199" s="7">
        <f>IF($AB199="","",V199*U199)</f>
        <v/>
      </c>
      <c r="X199" s="7">
        <f>IF($AB199="","",W199+T199)</f>
        <v/>
      </c>
      <c r="Y199" s="7">
        <f>IF($AB199="","",Z199-X199)</f>
        <v/>
      </c>
      <c r="Z199" s="7">
        <f>IF($AB199="","",S199+V199+Q199)</f>
        <v/>
      </c>
      <c r="AA199" s="7">
        <f>IF($AB199="","",Z199-X199-M199)</f>
        <v/>
      </c>
      <c r="AB199" s="13">
        <f>IF(ROWS($AB$2:$AB199)&lt;=MAX('Per Line'!$AK$2:$AK$4001),MATCH(ROWS($AB$2:$AB199),'Per Line'!$AK$2:$AK$4001,0),"")</f>
        <v/>
      </c>
      <c r="AC199" s="14">
        <f>IF($AB199="","",M199-L199*Z199/100)</f>
        <v/>
      </c>
    </row>
    <row r="200">
      <c r="A200" s="12" t="n"/>
      <c r="B200">
        <f>IF($AB200="","",INDEX('Per Line'!$C$2:$C$4001,$AB200)&amp;"")</f>
        <v/>
      </c>
      <c r="C200">
        <f>IF($AB200="","",INDEX('Per Line'!$D$2:$D$4001,$AB200)&amp;"")</f>
        <v/>
      </c>
      <c r="D200">
        <f>IF($AB200="","",INDEX('Per Line'!$B$2:$B$4001,$AB200)&amp;"")</f>
        <v/>
      </c>
      <c r="E200">
        <f>IF($AB200="","",INDEX('Per Line'!$A$2:$A$4001,$AB200))</f>
        <v/>
      </c>
      <c r="F200" s="11">
        <f>IF($AB200="","",INDEX('Per Line'!$E$2:$E$4001,$AB200))</f>
        <v/>
      </c>
      <c r="G200">
        <f>IF($AB200="","",INDEX('Per Line'!$F$2:$F$4001,$AB200)&amp;"")</f>
        <v/>
      </c>
      <c r="H200">
        <f>IF($AB200="","",INDEX('Per Line'!$H$2:$H$4001,$AB200)&amp;"")</f>
        <v/>
      </c>
      <c r="I200">
        <f>IF($AB200="","",INDEX('Per Line'!$I$2:$I$4001,$AB200)&amp;"")</f>
        <v/>
      </c>
      <c r="J200">
        <f>IF($AB200="","",INDEX('Per Line'!$J$2:$J$4001,$AB200)&amp;"")</f>
        <v/>
      </c>
      <c r="K200">
        <f>IF($AB200="","",INDEX('Per Line'!$K$2:$K$4001,$AB200)&amp;"")</f>
        <v/>
      </c>
      <c r="L200">
        <f>IF($AB200="","",INDEX('Per Line'!$L$2:$L$4001,$AB200))</f>
        <v/>
      </c>
      <c r="M200" s="7">
        <f>IF($AB200="","",IF(AND(ISNUMBER(O200),O200&gt;0,Z200&gt;O200),L200*O200/100+(Z200-O200),L200*Z200/100))</f>
        <v/>
      </c>
      <c r="N200">
        <f>IF($AB200="","",INDEX('Per Line'!$V$2:$V$4001,$AB200)&amp;"")</f>
        <v/>
      </c>
      <c r="O200">
        <f>IF($AB200="","",INDEX('Per Line'!$Z$2:$Z$4001,$AB200))</f>
        <v/>
      </c>
      <c r="P200">
        <f>IF($AB200="","",IF(AND(ISNUMBER(O200),O200&gt;0),Z200&gt;O200,FALSE))</f>
        <v/>
      </c>
      <c r="Q200" s="7">
        <f>IF($AB200="","",SUMIFS('Per Line'!$U$2:$U$4001,'Per Line'!$C$2:$C$4001,$B200,'Per Line'!$AM$2:$AM$4001,1))</f>
        <v/>
      </c>
      <c r="R200">
        <f>IF($AB200="","",Settings!$C$7)</f>
        <v/>
      </c>
      <c r="S200" s="7">
        <f>IF($AB200="","",SUMIFS('Per Line'!$U$2:$U$4001,'Per Line'!$C$2:$C$4001,$B200,'Per Line'!$AL$2:$AL$4001,0,'Per Line'!$AM$2:$AM$4001,0))</f>
        <v/>
      </c>
      <c r="T200" s="7">
        <f>IF($AB200="","",S200*R200)</f>
        <v/>
      </c>
      <c r="U200">
        <f>IF($AB200="","",Settings!$C$6)</f>
        <v/>
      </c>
      <c r="V200" s="7">
        <f>IF($AB200="","",SUMIFS('Per Line'!$U$2:$U$4001,'Per Line'!$C$2:$C$4001,$B200,'Per Line'!$AL$2:$AL$4001,1,'Per Line'!$AM$2:$AM$4001,0))</f>
        <v/>
      </c>
      <c r="W200" s="7">
        <f>IF($AB200="","",V200*U200)</f>
        <v/>
      </c>
      <c r="X200" s="7">
        <f>IF($AB200="","",W200+T200)</f>
        <v/>
      </c>
      <c r="Y200" s="7">
        <f>IF($AB200="","",Z200-X200)</f>
        <v/>
      </c>
      <c r="Z200" s="7">
        <f>IF($AB200="","",S200+V200+Q200)</f>
        <v/>
      </c>
      <c r="AA200" s="7">
        <f>IF($AB200="","",Z200-X200-M200)</f>
        <v/>
      </c>
      <c r="AB200" s="13">
        <f>IF(ROWS($AB$2:$AB200)&lt;=MAX('Per Line'!$AK$2:$AK$4001),MATCH(ROWS($AB$2:$AB200),'Per Line'!$AK$2:$AK$4001,0),"")</f>
        <v/>
      </c>
      <c r="AC200" s="14">
        <f>IF($AB200="","",M200-L200*Z200/100)</f>
        <v/>
      </c>
    </row>
    <row r="201">
      <c r="A201" s="12" t="n"/>
      <c r="B201">
        <f>IF($AB201="","",INDEX('Per Line'!$C$2:$C$4001,$AB201)&amp;"")</f>
        <v/>
      </c>
      <c r="C201">
        <f>IF($AB201="","",INDEX('Per Line'!$D$2:$D$4001,$AB201)&amp;"")</f>
        <v/>
      </c>
      <c r="D201">
        <f>IF($AB201="","",INDEX('Per Line'!$B$2:$B$4001,$AB201)&amp;"")</f>
        <v/>
      </c>
      <c r="E201">
        <f>IF($AB201="","",INDEX('Per Line'!$A$2:$A$4001,$AB201))</f>
        <v/>
      </c>
      <c r="F201" s="11">
        <f>IF($AB201="","",INDEX('Per Line'!$E$2:$E$4001,$AB201))</f>
        <v/>
      </c>
      <c r="G201">
        <f>IF($AB201="","",INDEX('Per Line'!$F$2:$F$4001,$AB201)&amp;"")</f>
        <v/>
      </c>
      <c r="H201">
        <f>IF($AB201="","",INDEX('Per Line'!$H$2:$H$4001,$AB201)&amp;"")</f>
        <v/>
      </c>
      <c r="I201">
        <f>IF($AB201="","",INDEX('Per Line'!$I$2:$I$4001,$AB201)&amp;"")</f>
        <v/>
      </c>
      <c r="J201">
        <f>IF($AB201="","",INDEX('Per Line'!$J$2:$J$4001,$AB201)&amp;"")</f>
        <v/>
      </c>
      <c r="K201">
        <f>IF($AB201="","",INDEX('Per Line'!$K$2:$K$4001,$AB201)&amp;"")</f>
        <v/>
      </c>
      <c r="L201">
        <f>IF($AB201="","",INDEX('Per Line'!$L$2:$L$4001,$AB201))</f>
        <v/>
      </c>
      <c r="M201" s="7">
        <f>IF($AB201="","",IF(AND(ISNUMBER(O201),O201&gt;0,Z201&gt;O201),L201*O201/100+(Z201-O201),L201*Z201/100))</f>
        <v/>
      </c>
      <c r="N201">
        <f>IF($AB201="","",INDEX('Per Line'!$V$2:$V$4001,$AB201)&amp;"")</f>
        <v/>
      </c>
      <c r="O201">
        <f>IF($AB201="","",INDEX('Per Line'!$Z$2:$Z$4001,$AB201))</f>
        <v/>
      </c>
      <c r="P201">
        <f>IF($AB201="","",IF(AND(ISNUMBER(O201),O201&gt;0),Z201&gt;O201,FALSE))</f>
        <v/>
      </c>
      <c r="Q201" s="7">
        <f>IF($AB201="","",SUMIFS('Per Line'!$U$2:$U$4001,'Per Line'!$C$2:$C$4001,$B201,'Per Line'!$AM$2:$AM$4001,1))</f>
        <v/>
      </c>
      <c r="R201">
        <f>IF($AB201="","",Settings!$C$7)</f>
        <v/>
      </c>
      <c r="S201" s="7">
        <f>IF($AB201="","",SUMIFS('Per Line'!$U$2:$U$4001,'Per Line'!$C$2:$C$4001,$B201,'Per Line'!$AL$2:$AL$4001,0,'Per Line'!$AM$2:$AM$4001,0))</f>
        <v/>
      </c>
      <c r="T201" s="7">
        <f>IF($AB201="","",S201*R201)</f>
        <v/>
      </c>
      <c r="U201">
        <f>IF($AB201="","",Settings!$C$6)</f>
        <v/>
      </c>
      <c r="V201" s="7">
        <f>IF($AB201="","",SUMIFS('Per Line'!$U$2:$U$4001,'Per Line'!$C$2:$C$4001,$B201,'Per Line'!$AL$2:$AL$4001,1,'Per Line'!$AM$2:$AM$4001,0))</f>
        <v/>
      </c>
      <c r="W201" s="7">
        <f>IF($AB201="","",V201*U201)</f>
        <v/>
      </c>
      <c r="X201" s="7">
        <f>IF($AB201="","",W201+T201)</f>
        <v/>
      </c>
      <c r="Y201" s="7">
        <f>IF($AB201="","",Z201-X201)</f>
        <v/>
      </c>
      <c r="Z201" s="7">
        <f>IF($AB201="","",S201+V201+Q201)</f>
        <v/>
      </c>
      <c r="AA201" s="7">
        <f>IF($AB201="","",Z201-X201-M201)</f>
        <v/>
      </c>
      <c r="AB201" s="13">
        <f>IF(ROWS($AB$2:$AB201)&lt;=MAX('Per Line'!$AK$2:$AK$4001),MATCH(ROWS($AB$2:$AB201),'Per Line'!$AK$2:$AK$4001,0),"")</f>
        <v/>
      </c>
      <c r="AC201" s="14">
        <f>IF($AB201="","",M201-L201*Z201/100)</f>
        <v/>
      </c>
    </row>
    <row r="202">
      <c r="A202" s="12" t="n"/>
      <c r="B202">
        <f>IF($AB202="","",INDEX('Per Line'!$C$2:$C$4001,$AB202)&amp;"")</f>
        <v/>
      </c>
      <c r="C202">
        <f>IF($AB202="","",INDEX('Per Line'!$D$2:$D$4001,$AB202)&amp;"")</f>
        <v/>
      </c>
      <c r="D202">
        <f>IF($AB202="","",INDEX('Per Line'!$B$2:$B$4001,$AB202)&amp;"")</f>
        <v/>
      </c>
      <c r="E202">
        <f>IF($AB202="","",INDEX('Per Line'!$A$2:$A$4001,$AB202))</f>
        <v/>
      </c>
      <c r="F202" s="11">
        <f>IF($AB202="","",INDEX('Per Line'!$E$2:$E$4001,$AB202))</f>
        <v/>
      </c>
      <c r="G202">
        <f>IF($AB202="","",INDEX('Per Line'!$F$2:$F$4001,$AB202)&amp;"")</f>
        <v/>
      </c>
      <c r="H202">
        <f>IF($AB202="","",INDEX('Per Line'!$H$2:$H$4001,$AB202)&amp;"")</f>
        <v/>
      </c>
      <c r="I202">
        <f>IF($AB202="","",INDEX('Per Line'!$I$2:$I$4001,$AB202)&amp;"")</f>
        <v/>
      </c>
      <c r="J202">
        <f>IF($AB202="","",INDEX('Per Line'!$J$2:$J$4001,$AB202)&amp;"")</f>
        <v/>
      </c>
      <c r="K202">
        <f>IF($AB202="","",INDEX('Per Line'!$K$2:$K$4001,$AB202)&amp;"")</f>
        <v/>
      </c>
      <c r="L202">
        <f>IF($AB202="","",INDEX('Per Line'!$L$2:$L$4001,$AB202))</f>
        <v/>
      </c>
      <c r="M202" s="7">
        <f>IF($AB202="","",IF(AND(ISNUMBER(O202),O202&gt;0,Z202&gt;O202),L202*O202/100+(Z202-O202),L202*Z202/100))</f>
        <v/>
      </c>
      <c r="N202">
        <f>IF($AB202="","",INDEX('Per Line'!$V$2:$V$4001,$AB202)&amp;"")</f>
        <v/>
      </c>
      <c r="O202">
        <f>IF($AB202="","",INDEX('Per Line'!$Z$2:$Z$4001,$AB202))</f>
        <v/>
      </c>
      <c r="P202">
        <f>IF($AB202="","",IF(AND(ISNUMBER(O202),O202&gt;0),Z202&gt;O202,FALSE))</f>
        <v/>
      </c>
      <c r="Q202" s="7">
        <f>IF($AB202="","",SUMIFS('Per Line'!$U$2:$U$4001,'Per Line'!$C$2:$C$4001,$B202,'Per Line'!$AM$2:$AM$4001,1))</f>
        <v/>
      </c>
      <c r="R202">
        <f>IF($AB202="","",Settings!$C$7)</f>
        <v/>
      </c>
      <c r="S202" s="7">
        <f>IF($AB202="","",SUMIFS('Per Line'!$U$2:$U$4001,'Per Line'!$C$2:$C$4001,$B202,'Per Line'!$AL$2:$AL$4001,0,'Per Line'!$AM$2:$AM$4001,0))</f>
        <v/>
      </c>
      <c r="T202" s="7">
        <f>IF($AB202="","",S202*R202)</f>
        <v/>
      </c>
      <c r="U202">
        <f>IF($AB202="","",Settings!$C$6)</f>
        <v/>
      </c>
      <c r="V202" s="7">
        <f>IF($AB202="","",SUMIFS('Per Line'!$U$2:$U$4001,'Per Line'!$C$2:$C$4001,$B202,'Per Line'!$AL$2:$AL$4001,1,'Per Line'!$AM$2:$AM$4001,0))</f>
        <v/>
      </c>
      <c r="W202" s="7">
        <f>IF($AB202="","",V202*U202)</f>
        <v/>
      </c>
      <c r="X202" s="7">
        <f>IF($AB202="","",W202+T202)</f>
        <v/>
      </c>
      <c r="Y202" s="7">
        <f>IF($AB202="","",Z202-X202)</f>
        <v/>
      </c>
      <c r="Z202" s="7">
        <f>IF($AB202="","",S202+V202+Q202)</f>
        <v/>
      </c>
      <c r="AA202" s="7">
        <f>IF($AB202="","",Z202-X202-M202)</f>
        <v/>
      </c>
      <c r="AB202" s="13">
        <f>IF(ROWS($AB$2:$AB202)&lt;=MAX('Per Line'!$AK$2:$AK$4001),MATCH(ROWS($AB$2:$AB202),'Per Line'!$AK$2:$AK$4001,0),"")</f>
        <v/>
      </c>
      <c r="AC202" s="14">
        <f>IF($AB202="","",M202-L202*Z202/100)</f>
        <v/>
      </c>
    </row>
    <row r="203">
      <c r="A203" s="12" t="n"/>
      <c r="B203">
        <f>IF($AB203="","",INDEX('Per Line'!$C$2:$C$4001,$AB203)&amp;"")</f>
        <v/>
      </c>
      <c r="C203">
        <f>IF($AB203="","",INDEX('Per Line'!$D$2:$D$4001,$AB203)&amp;"")</f>
        <v/>
      </c>
      <c r="D203">
        <f>IF($AB203="","",INDEX('Per Line'!$B$2:$B$4001,$AB203)&amp;"")</f>
        <v/>
      </c>
      <c r="E203">
        <f>IF($AB203="","",INDEX('Per Line'!$A$2:$A$4001,$AB203))</f>
        <v/>
      </c>
      <c r="F203" s="11">
        <f>IF($AB203="","",INDEX('Per Line'!$E$2:$E$4001,$AB203))</f>
        <v/>
      </c>
      <c r="G203">
        <f>IF($AB203="","",INDEX('Per Line'!$F$2:$F$4001,$AB203)&amp;"")</f>
        <v/>
      </c>
      <c r="H203">
        <f>IF($AB203="","",INDEX('Per Line'!$H$2:$H$4001,$AB203)&amp;"")</f>
        <v/>
      </c>
      <c r="I203">
        <f>IF($AB203="","",INDEX('Per Line'!$I$2:$I$4001,$AB203)&amp;"")</f>
        <v/>
      </c>
      <c r="J203">
        <f>IF($AB203="","",INDEX('Per Line'!$J$2:$J$4001,$AB203)&amp;"")</f>
        <v/>
      </c>
      <c r="K203">
        <f>IF($AB203="","",INDEX('Per Line'!$K$2:$K$4001,$AB203)&amp;"")</f>
        <v/>
      </c>
      <c r="L203">
        <f>IF($AB203="","",INDEX('Per Line'!$L$2:$L$4001,$AB203))</f>
        <v/>
      </c>
      <c r="M203" s="7">
        <f>IF($AB203="","",IF(AND(ISNUMBER(O203),O203&gt;0,Z203&gt;O203),L203*O203/100+(Z203-O203),L203*Z203/100))</f>
        <v/>
      </c>
      <c r="N203">
        <f>IF($AB203="","",INDEX('Per Line'!$V$2:$V$4001,$AB203)&amp;"")</f>
        <v/>
      </c>
      <c r="O203">
        <f>IF($AB203="","",INDEX('Per Line'!$Z$2:$Z$4001,$AB203))</f>
        <v/>
      </c>
      <c r="P203">
        <f>IF($AB203="","",IF(AND(ISNUMBER(O203),O203&gt;0),Z203&gt;O203,FALSE))</f>
        <v/>
      </c>
      <c r="Q203" s="7">
        <f>IF($AB203="","",SUMIFS('Per Line'!$U$2:$U$4001,'Per Line'!$C$2:$C$4001,$B203,'Per Line'!$AM$2:$AM$4001,1))</f>
        <v/>
      </c>
      <c r="R203">
        <f>IF($AB203="","",Settings!$C$7)</f>
        <v/>
      </c>
      <c r="S203" s="7">
        <f>IF($AB203="","",SUMIFS('Per Line'!$U$2:$U$4001,'Per Line'!$C$2:$C$4001,$B203,'Per Line'!$AL$2:$AL$4001,0,'Per Line'!$AM$2:$AM$4001,0))</f>
        <v/>
      </c>
      <c r="T203" s="7">
        <f>IF($AB203="","",S203*R203)</f>
        <v/>
      </c>
      <c r="U203">
        <f>IF($AB203="","",Settings!$C$6)</f>
        <v/>
      </c>
      <c r="V203" s="7">
        <f>IF($AB203="","",SUMIFS('Per Line'!$U$2:$U$4001,'Per Line'!$C$2:$C$4001,$B203,'Per Line'!$AL$2:$AL$4001,1,'Per Line'!$AM$2:$AM$4001,0))</f>
        <v/>
      </c>
      <c r="W203" s="7">
        <f>IF($AB203="","",V203*U203)</f>
        <v/>
      </c>
      <c r="X203" s="7">
        <f>IF($AB203="","",W203+T203)</f>
        <v/>
      </c>
      <c r="Y203" s="7">
        <f>IF($AB203="","",Z203-X203)</f>
        <v/>
      </c>
      <c r="Z203" s="7">
        <f>IF($AB203="","",S203+V203+Q203)</f>
        <v/>
      </c>
      <c r="AA203" s="7">
        <f>IF($AB203="","",Z203-X203-M203)</f>
        <v/>
      </c>
      <c r="AB203" s="13">
        <f>IF(ROWS($AB$2:$AB203)&lt;=MAX('Per Line'!$AK$2:$AK$4001),MATCH(ROWS($AB$2:$AB203),'Per Line'!$AK$2:$AK$4001,0),"")</f>
        <v/>
      </c>
      <c r="AC203" s="14">
        <f>IF($AB203="","",M203-L203*Z203/100)</f>
        <v/>
      </c>
    </row>
    <row r="204">
      <c r="A204" s="12" t="n"/>
      <c r="B204">
        <f>IF($AB204="","",INDEX('Per Line'!$C$2:$C$4001,$AB204)&amp;"")</f>
        <v/>
      </c>
      <c r="C204">
        <f>IF($AB204="","",INDEX('Per Line'!$D$2:$D$4001,$AB204)&amp;"")</f>
        <v/>
      </c>
      <c r="D204">
        <f>IF($AB204="","",INDEX('Per Line'!$B$2:$B$4001,$AB204)&amp;"")</f>
        <v/>
      </c>
      <c r="E204">
        <f>IF($AB204="","",INDEX('Per Line'!$A$2:$A$4001,$AB204))</f>
        <v/>
      </c>
      <c r="F204" s="11">
        <f>IF($AB204="","",INDEX('Per Line'!$E$2:$E$4001,$AB204))</f>
        <v/>
      </c>
      <c r="G204">
        <f>IF($AB204="","",INDEX('Per Line'!$F$2:$F$4001,$AB204)&amp;"")</f>
        <v/>
      </c>
      <c r="H204">
        <f>IF($AB204="","",INDEX('Per Line'!$H$2:$H$4001,$AB204)&amp;"")</f>
        <v/>
      </c>
      <c r="I204">
        <f>IF($AB204="","",INDEX('Per Line'!$I$2:$I$4001,$AB204)&amp;"")</f>
        <v/>
      </c>
      <c r="J204">
        <f>IF($AB204="","",INDEX('Per Line'!$J$2:$J$4001,$AB204)&amp;"")</f>
        <v/>
      </c>
      <c r="K204">
        <f>IF($AB204="","",INDEX('Per Line'!$K$2:$K$4001,$AB204)&amp;"")</f>
        <v/>
      </c>
      <c r="L204">
        <f>IF($AB204="","",INDEX('Per Line'!$L$2:$L$4001,$AB204))</f>
        <v/>
      </c>
      <c r="M204" s="7">
        <f>IF($AB204="","",IF(AND(ISNUMBER(O204),O204&gt;0,Z204&gt;O204),L204*O204/100+(Z204-O204),L204*Z204/100))</f>
        <v/>
      </c>
      <c r="N204">
        <f>IF($AB204="","",INDEX('Per Line'!$V$2:$V$4001,$AB204)&amp;"")</f>
        <v/>
      </c>
      <c r="O204">
        <f>IF($AB204="","",INDEX('Per Line'!$Z$2:$Z$4001,$AB204))</f>
        <v/>
      </c>
      <c r="P204">
        <f>IF($AB204="","",IF(AND(ISNUMBER(O204),O204&gt;0),Z204&gt;O204,FALSE))</f>
        <v/>
      </c>
      <c r="Q204" s="7">
        <f>IF($AB204="","",SUMIFS('Per Line'!$U$2:$U$4001,'Per Line'!$C$2:$C$4001,$B204,'Per Line'!$AM$2:$AM$4001,1))</f>
        <v/>
      </c>
      <c r="R204">
        <f>IF($AB204="","",Settings!$C$7)</f>
        <v/>
      </c>
      <c r="S204" s="7">
        <f>IF($AB204="","",SUMIFS('Per Line'!$U$2:$U$4001,'Per Line'!$C$2:$C$4001,$B204,'Per Line'!$AL$2:$AL$4001,0,'Per Line'!$AM$2:$AM$4001,0))</f>
        <v/>
      </c>
      <c r="T204" s="7">
        <f>IF($AB204="","",S204*R204)</f>
        <v/>
      </c>
      <c r="U204">
        <f>IF($AB204="","",Settings!$C$6)</f>
        <v/>
      </c>
      <c r="V204" s="7">
        <f>IF($AB204="","",SUMIFS('Per Line'!$U$2:$U$4001,'Per Line'!$C$2:$C$4001,$B204,'Per Line'!$AL$2:$AL$4001,1,'Per Line'!$AM$2:$AM$4001,0))</f>
        <v/>
      </c>
      <c r="W204" s="7">
        <f>IF($AB204="","",V204*U204)</f>
        <v/>
      </c>
      <c r="X204" s="7">
        <f>IF($AB204="","",W204+T204)</f>
        <v/>
      </c>
      <c r="Y204" s="7">
        <f>IF($AB204="","",Z204-X204)</f>
        <v/>
      </c>
      <c r="Z204" s="7">
        <f>IF($AB204="","",S204+V204+Q204)</f>
        <v/>
      </c>
      <c r="AA204" s="7">
        <f>IF($AB204="","",Z204-X204-M204)</f>
        <v/>
      </c>
      <c r="AB204" s="13">
        <f>IF(ROWS($AB$2:$AB204)&lt;=MAX('Per Line'!$AK$2:$AK$4001),MATCH(ROWS($AB$2:$AB204),'Per Line'!$AK$2:$AK$4001,0),"")</f>
        <v/>
      </c>
      <c r="AC204" s="14">
        <f>IF($AB204="","",M204-L204*Z204/100)</f>
        <v/>
      </c>
    </row>
    <row r="205">
      <c r="A205" s="12" t="n"/>
      <c r="B205">
        <f>IF($AB205="","",INDEX('Per Line'!$C$2:$C$4001,$AB205)&amp;"")</f>
        <v/>
      </c>
      <c r="C205">
        <f>IF($AB205="","",INDEX('Per Line'!$D$2:$D$4001,$AB205)&amp;"")</f>
        <v/>
      </c>
      <c r="D205">
        <f>IF($AB205="","",INDEX('Per Line'!$B$2:$B$4001,$AB205)&amp;"")</f>
        <v/>
      </c>
      <c r="E205">
        <f>IF($AB205="","",INDEX('Per Line'!$A$2:$A$4001,$AB205))</f>
        <v/>
      </c>
      <c r="F205" s="11">
        <f>IF($AB205="","",INDEX('Per Line'!$E$2:$E$4001,$AB205))</f>
        <v/>
      </c>
      <c r="G205">
        <f>IF($AB205="","",INDEX('Per Line'!$F$2:$F$4001,$AB205)&amp;"")</f>
        <v/>
      </c>
      <c r="H205">
        <f>IF($AB205="","",INDEX('Per Line'!$H$2:$H$4001,$AB205)&amp;"")</f>
        <v/>
      </c>
      <c r="I205">
        <f>IF($AB205="","",INDEX('Per Line'!$I$2:$I$4001,$AB205)&amp;"")</f>
        <v/>
      </c>
      <c r="J205">
        <f>IF($AB205="","",INDEX('Per Line'!$J$2:$J$4001,$AB205)&amp;"")</f>
        <v/>
      </c>
      <c r="K205">
        <f>IF($AB205="","",INDEX('Per Line'!$K$2:$K$4001,$AB205)&amp;"")</f>
        <v/>
      </c>
      <c r="L205">
        <f>IF($AB205="","",INDEX('Per Line'!$L$2:$L$4001,$AB205))</f>
        <v/>
      </c>
      <c r="M205" s="7">
        <f>IF($AB205="","",IF(AND(ISNUMBER(O205),O205&gt;0,Z205&gt;O205),L205*O205/100+(Z205-O205),L205*Z205/100))</f>
        <v/>
      </c>
      <c r="N205">
        <f>IF($AB205="","",INDEX('Per Line'!$V$2:$V$4001,$AB205)&amp;"")</f>
        <v/>
      </c>
      <c r="O205">
        <f>IF($AB205="","",INDEX('Per Line'!$Z$2:$Z$4001,$AB205))</f>
        <v/>
      </c>
      <c r="P205">
        <f>IF($AB205="","",IF(AND(ISNUMBER(O205),O205&gt;0),Z205&gt;O205,FALSE))</f>
        <v/>
      </c>
      <c r="Q205" s="7">
        <f>IF($AB205="","",SUMIFS('Per Line'!$U$2:$U$4001,'Per Line'!$C$2:$C$4001,$B205,'Per Line'!$AM$2:$AM$4001,1))</f>
        <v/>
      </c>
      <c r="R205">
        <f>IF($AB205="","",Settings!$C$7)</f>
        <v/>
      </c>
      <c r="S205" s="7">
        <f>IF($AB205="","",SUMIFS('Per Line'!$U$2:$U$4001,'Per Line'!$C$2:$C$4001,$B205,'Per Line'!$AL$2:$AL$4001,0,'Per Line'!$AM$2:$AM$4001,0))</f>
        <v/>
      </c>
      <c r="T205" s="7">
        <f>IF($AB205="","",S205*R205)</f>
        <v/>
      </c>
      <c r="U205">
        <f>IF($AB205="","",Settings!$C$6)</f>
        <v/>
      </c>
      <c r="V205" s="7">
        <f>IF($AB205="","",SUMIFS('Per Line'!$U$2:$U$4001,'Per Line'!$C$2:$C$4001,$B205,'Per Line'!$AL$2:$AL$4001,1,'Per Line'!$AM$2:$AM$4001,0))</f>
        <v/>
      </c>
      <c r="W205" s="7">
        <f>IF($AB205="","",V205*U205)</f>
        <v/>
      </c>
      <c r="X205" s="7">
        <f>IF($AB205="","",W205+T205)</f>
        <v/>
      </c>
      <c r="Y205" s="7">
        <f>IF($AB205="","",Z205-X205)</f>
        <v/>
      </c>
      <c r="Z205" s="7">
        <f>IF($AB205="","",S205+V205+Q205)</f>
        <v/>
      </c>
      <c r="AA205" s="7">
        <f>IF($AB205="","",Z205-X205-M205)</f>
        <v/>
      </c>
      <c r="AB205" s="13">
        <f>IF(ROWS($AB$2:$AB205)&lt;=MAX('Per Line'!$AK$2:$AK$4001),MATCH(ROWS($AB$2:$AB205),'Per Line'!$AK$2:$AK$4001,0),"")</f>
        <v/>
      </c>
      <c r="AC205" s="14">
        <f>IF($AB205="","",M205-L205*Z205/100)</f>
        <v/>
      </c>
    </row>
    <row r="206">
      <c r="A206" s="12" t="n"/>
      <c r="B206">
        <f>IF($AB206="","",INDEX('Per Line'!$C$2:$C$4001,$AB206)&amp;"")</f>
        <v/>
      </c>
      <c r="C206">
        <f>IF($AB206="","",INDEX('Per Line'!$D$2:$D$4001,$AB206)&amp;"")</f>
        <v/>
      </c>
      <c r="D206">
        <f>IF($AB206="","",INDEX('Per Line'!$B$2:$B$4001,$AB206)&amp;"")</f>
        <v/>
      </c>
      <c r="E206">
        <f>IF($AB206="","",INDEX('Per Line'!$A$2:$A$4001,$AB206))</f>
        <v/>
      </c>
      <c r="F206" s="11">
        <f>IF($AB206="","",INDEX('Per Line'!$E$2:$E$4001,$AB206))</f>
        <v/>
      </c>
      <c r="G206">
        <f>IF($AB206="","",INDEX('Per Line'!$F$2:$F$4001,$AB206)&amp;"")</f>
        <v/>
      </c>
      <c r="H206">
        <f>IF($AB206="","",INDEX('Per Line'!$H$2:$H$4001,$AB206)&amp;"")</f>
        <v/>
      </c>
      <c r="I206">
        <f>IF($AB206="","",INDEX('Per Line'!$I$2:$I$4001,$AB206)&amp;"")</f>
        <v/>
      </c>
      <c r="J206">
        <f>IF($AB206="","",INDEX('Per Line'!$J$2:$J$4001,$AB206)&amp;"")</f>
        <v/>
      </c>
      <c r="K206">
        <f>IF($AB206="","",INDEX('Per Line'!$K$2:$K$4001,$AB206)&amp;"")</f>
        <v/>
      </c>
      <c r="L206">
        <f>IF($AB206="","",INDEX('Per Line'!$L$2:$L$4001,$AB206))</f>
        <v/>
      </c>
      <c r="M206" s="7">
        <f>IF($AB206="","",IF(AND(ISNUMBER(O206),O206&gt;0,Z206&gt;O206),L206*O206/100+(Z206-O206),L206*Z206/100))</f>
        <v/>
      </c>
      <c r="N206">
        <f>IF($AB206="","",INDEX('Per Line'!$V$2:$V$4001,$AB206)&amp;"")</f>
        <v/>
      </c>
      <c r="O206">
        <f>IF($AB206="","",INDEX('Per Line'!$Z$2:$Z$4001,$AB206))</f>
        <v/>
      </c>
      <c r="P206">
        <f>IF($AB206="","",IF(AND(ISNUMBER(O206),O206&gt;0),Z206&gt;O206,FALSE))</f>
        <v/>
      </c>
      <c r="Q206" s="7">
        <f>IF($AB206="","",SUMIFS('Per Line'!$U$2:$U$4001,'Per Line'!$C$2:$C$4001,$B206,'Per Line'!$AM$2:$AM$4001,1))</f>
        <v/>
      </c>
      <c r="R206">
        <f>IF($AB206="","",Settings!$C$7)</f>
        <v/>
      </c>
      <c r="S206" s="7">
        <f>IF($AB206="","",SUMIFS('Per Line'!$U$2:$U$4001,'Per Line'!$C$2:$C$4001,$B206,'Per Line'!$AL$2:$AL$4001,0,'Per Line'!$AM$2:$AM$4001,0))</f>
        <v/>
      </c>
      <c r="T206" s="7">
        <f>IF($AB206="","",S206*R206)</f>
        <v/>
      </c>
      <c r="U206">
        <f>IF($AB206="","",Settings!$C$6)</f>
        <v/>
      </c>
      <c r="V206" s="7">
        <f>IF($AB206="","",SUMIFS('Per Line'!$U$2:$U$4001,'Per Line'!$C$2:$C$4001,$B206,'Per Line'!$AL$2:$AL$4001,1,'Per Line'!$AM$2:$AM$4001,0))</f>
        <v/>
      </c>
      <c r="W206" s="7">
        <f>IF($AB206="","",V206*U206)</f>
        <v/>
      </c>
      <c r="X206" s="7">
        <f>IF($AB206="","",W206+T206)</f>
        <v/>
      </c>
      <c r="Y206" s="7">
        <f>IF($AB206="","",Z206-X206)</f>
        <v/>
      </c>
      <c r="Z206" s="7">
        <f>IF($AB206="","",S206+V206+Q206)</f>
        <v/>
      </c>
      <c r="AA206" s="7">
        <f>IF($AB206="","",Z206-X206-M206)</f>
        <v/>
      </c>
      <c r="AB206" s="13">
        <f>IF(ROWS($AB$2:$AB206)&lt;=MAX('Per Line'!$AK$2:$AK$4001),MATCH(ROWS($AB$2:$AB206),'Per Line'!$AK$2:$AK$4001,0),"")</f>
        <v/>
      </c>
      <c r="AC206" s="14">
        <f>IF($AB206="","",M206-L206*Z206/100)</f>
        <v/>
      </c>
    </row>
    <row r="207">
      <c r="A207" s="12" t="n"/>
      <c r="B207">
        <f>IF($AB207="","",INDEX('Per Line'!$C$2:$C$4001,$AB207)&amp;"")</f>
        <v/>
      </c>
      <c r="C207">
        <f>IF($AB207="","",INDEX('Per Line'!$D$2:$D$4001,$AB207)&amp;"")</f>
        <v/>
      </c>
      <c r="D207">
        <f>IF($AB207="","",INDEX('Per Line'!$B$2:$B$4001,$AB207)&amp;"")</f>
        <v/>
      </c>
      <c r="E207">
        <f>IF($AB207="","",INDEX('Per Line'!$A$2:$A$4001,$AB207))</f>
        <v/>
      </c>
      <c r="F207" s="11">
        <f>IF($AB207="","",INDEX('Per Line'!$E$2:$E$4001,$AB207))</f>
        <v/>
      </c>
      <c r="G207">
        <f>IF($AB207="","",INDEX('Per Line'!$F$2:$F$4001,$AB207)&amp;"")</f>
        <v/>
      </c>
      <c r="H207">
        <f>IF($AB207="","",INDEX('Per Line'!$H$2:$H$4001,$AB207)&amp;"")</f>
        <v/>
      </c>
      <c r="I207">
        <f>IF($AB207="","",INDEX('Per Line'!$I$2:$I$4001,$AB207)&amp;"")</f>
        <v/>
      </c>
      <c r="J207">
        <f>IF($AB207="","",INDEX('Per Line'!$J$2:$J$4001,$AB207)&amp;"")</f>
        <v/>
      </c>
      <c r="K207">
        <f>IF($AB207="","",INDEX('Per Line'!$K$2:$K$4001,$AB207)&amp;"")</f>
        <v/>
      </c>
      <c r="L207">
        <f>IF($AB207="","",INDEX('Per Line'!$L$2:$L$4001,$AB207))</f>
        <v/>
      </c>
      <c r="M207" s="7">
        <f>IF($AB207="","",IF(AND(ISNUMBER(O207),O207&gt;0,Z207&gt;O207),L207*O207/100+(Z207-O207),L207*Z207/100))</f>
        <v/>
      </c>
      <c r="N207">
        <f>IF($AB207="","",INDEX('Per Line'!$V$2:$V$4001,$AB207)&amp;"")</f>
        <v/>
      </c>
      <c r="O207">
        <f>IF($AB207="","",INDEX('Per Line'!$Z$2:$Z$4001,$AB207))</f>
        <v/>
      </c>
      <c r="P207">
        <f>IF($AB207="","",IF(AND(ISNUMBER(O207),O207&gt;0),Z207&gt;O207,FALSE))</f>
        <v/>
      </c>
      <c r="Q207" s="7">
        <f>IF($AB207="","",SUMIFS('Per Line'!$U$2:$U$4001,'Per Line'!$C$2:$C$4001,$B207,'Per Line'!$AM$2:$AM$4001,1))</f>
        <v/>
      </c>
      <c r="R207">
        <f>IF($AB207="","",Settings!$C$7)</f>
        <v/>
      </c>
      <c r="S207" s="7">
        <f>IF($AB207="","",SUMIFS('Per Line'!$U$2:$U$4001,'Per Line'!$C$2:$C$4001,$B207,'Per Line'!$AL$2:$AL$4001,0,'Per Line'!$AM$2:$AM$4001,0))</f>
        <v/>
      </c>
      <c r="T207" s="7">
        <f>IF($AB207="","",S207*R207)</f>
        <v/>
      </c>
      <c r="U207">
        <f>IF($AB207="","",Settings!$C$6)</f>
        <v/>
      </c>
      <c r="V207" s="7">
        <f>IF($AB207="","",SUMIFS('Per Line'!$U$2:$U$4001,'Per Line'!$C$2:$C$4001,$B207,'Per Line'!$AL$2:$AL$4001,1,'Per Line'!$AM$2:$AM$4001,0))</f>
        <v/>
      </c>
      <c r="W207" s="7">
        <f>IF($AB207="","",V207*U207)</f>
        <v/>
      </c>
      <c r="X207" s="7">
        <f>IF($AB207="","",W207+T207)</f>
        <v/>
      </c>
      <c r="Y207" s="7">
        <f>IF($AB207="","",Z207-X207)</f>
        <v/>
      </c>
      <c r="Z207" s="7">
        <f>IF($AB207="","",S207+V207+Q207)</f>
        <v/>
      </c>
      <c r="AA207" s="7">
        <f>IF($AB207="","",Z207-X207-M207)</f>
        <v/>
      </c>
      <c r="AB207" s="13">
        <f>IF(ROWS($AB$2:$AB207)&lt;=MAX('Per Line'!$AK$2:$AK$4001),MATCH(ROWS($AB$2:$AB207),'Per Line'!$AK$2:$AK$4001,0),"")</f>
        <v/>
      </c>
      <c r="AC207" s="14">
        <f>IF($AB207="","",M207-L207*Z207/100)</f>
        <v/>
      </c>
    </row>
    <row r="208">
      <c r="A208" s="12" t="n"/>
      <c r="B208">
        <f>IF($AB208="","",INDEX('Per Line'!$C$2:$C$4001,$AB208)&amp;"")</f>
        <v/>
      </c>
      <c r="C208">
        <f>IF($AB208="","",INDEX('Per Line'!$D$2:$D$4001,$AB208)&amp;"")</f>
        <v/>
      </c>
      <c r="D208">
        <f>IF($AB208="","",INDEX('Per Line'!$B$2:$B$4001,$AB208)&amp;"")</f>
        <v/>
      </c>
      <c r="E208">
        <f>IF($AB208="","",INDEX('Per Line'!$A$2:$A$4001,$AB208))</f>
        <v/>
      </c>
      <c r="F208" s="11">
        <f>IF($AB208="","",INDEX('Per Line'!$E$2:$E$4001,$AB208))</f>
        <v/>
      </c>
      <c r="G208">
        <f>IF($AB208="","",INDEX('Per Line'!$F$2:$F$4001,$AB208)&amp;"")</f>
        <v/>
      </c>
      <c r="H208">
        <f>IF($AB208="","",INDEX('Per Line'!$H$2:$H$4001,$AB208)&amp;"")</f>
        <v/>
      </c>
      <c r="I208">
        <f>IF($AB208="","",INDEX('Per Line'!$I$2:$I$4001,$AB208)&amp;"")</f>
        <v/>
      </c>
      <c r="J208">
        <f>IF($AB208="","",INDEX('Per Line'!$J$2:$J$4001,$AB208)&amp;"")</f>
        <v/>
      </c>
      <c r="K208">
        <f>IF($AB208="","",INDEX('Per Line'!$K$2:$K$4001,$AB208)&amp;"")</f>
        <v/>
      </c>
      <c r="L208">
        <f>IF($AB208="","",INDEX('Per Line'!$L$2:$L$4001,$AB208))</f>
        <v/>
      </c>
      <c r="M208" s="7">
        <f>IF($AB208="","",IF(AND(ISNUMBER(O208),O208&gt;0,Z208&gt;O208),L208*O208/100+(Z208-O208),L208*Z208/100))</f>
        <v/>
      </c>
      <c r="N208">
        <f>IF($AB208="","",INDEX('Per Line'!$V$2:$V$4001,$AB208)&amp;"")</f>
        <v/>
      </c>
      <c r="O208">
        <f>IF($AB208="","",INDEX('Per Line'!$Z$2:$Z$4001,$AB208))</f>
        <v/>
      </c>
      <c r="P208">
        <f>IF($AB208="","",IF(AND(ISNUMBER(O208),O208&gt;0),Z208&gt;O208,FALSE))</f>
        <v/>
      </c>
      <c r="Q208" s="7">
        <f>IF($AB208="","",SUMIFS('Per Line'!$U$2:$U$4001,'Per Line'!$C$2:$C$4001,$B208,'Per Line'!$AM$2:$AM$4001,1))</f>
        <v/>
      </c>
      <c r="R208">
        <f>IF($AB208="","",Settings!$C$7)</f>
        <v/>
      </c>
      <c r="S208" s="7">
        <f>IF($AB208="","",SUMIFS('Per Line'!$U$2:$U$4001,'Per Line'!$C$2:$C$4001,$B208,'Per Line'!$AL$2:$AL$4001,0,'Per Line'!$AM$2:$AM$4001,0))</f>
        <v/>
      </c>
      <c r="T208" s="7">
        <f>IF($AB208="","",S208*R208)</f>
        <v/>
      </c>
      <c r="U208">
        <f>IF($AB208="","",Settings!$C$6)</f>
        <v/>
      </c>
      <c r="V208" s="7">
        <f>IF($AB208="","",SUMIFS('Per Line'!$U$2:$U$4001,'Per Line'!$C$2:$C$4001,$B208,'Per Line'!$AL$2:$AL$4001,1,'Per Line'!$AM$2:$AM$4001,0))</f>
        <v/>
      </c>
      <c r="W208" s="7">
        <f>IF($AB208="","",V208*U208)</f>
        <v/>
      </c>
      <c r="X208" s="7">
        <f>IF($AB208="","",W208+T208)</f>
        <v/>
      </c>
      <c r="Y208" s="7">
        <f>IF($AB208="","",Z208-X208)</f>
        <v/>
      </c>
      <c r="Z208" s="7">
        <f>IF($AB208="","",S208+V208+Q208)</f>
        <v/>
      </c>
      <c r="AA208" s="7">
        <f>IF($AB208="","",Z208-X208-M208)</f>
        <v/>
      </c>
      <c r="AB208" s="13">
        <f>IF(ROWS($AB$2:$AB208)&lt;=MAX('Per Line'!$AK$2:$AK$4001),MATCH(ROWS($AB$2:$AB208),'Per Line'!$AK$2:$AK$4001,0),"")</f>
        <v/>
      </c>
      <c r="AC208" s="14">
        <f>IF($AB208="","",M208-L208*Z208/100)</f>
        <v/>
      </c>
    </row>
    <row r="209">
      <c r="A209" s="12" t="n"/>
      <c r="B209">
        <f>IF($AB209="","",INDEX('Per Line'!$C$2:$C$4001,$AB209)&amp;"")</f>
        <v/>
      </c>
      <c r="C209">
        <f>IF($AB209="","",INDEX('Per Line'!$D$2:$D$4001,$AB209)&amp;"")</f>
        <v/>
      </c>
      <c r="D209">
        <f>IF($AB209="","",INDEX('Per Line'!$B$2:$B$4001,$AB209)&amp;"")</f>
        <v/>
      </c>
      <c r="E209">
        <f>IF($AB209="","",INDEX('Per Line'!$A$2:$A$4001,$AB209))</f>
        <v/>
      </c>
      <c r="F209" s="11">
        <f>IF($AB209="","",INDEX('Per Line'!$E$2:$E$4001,$AB209))</f>
        <v/>
      </c>
      <c r="G209">
        <f>IF($AB209="","",INDEX('Per Line'!$F$2:$F$4001,$AB209)&amp;"")</f>
        <v/>
      </c>
      <c r="H209">
        <f>IF($AB209="","",INDEX('Per Line'!$H$2:$H$4001,$AB209)&amp;"")</f>
        <v/>
      </c>
      <c r="I209">
        <f>IF($AB209="","",INDEX('Per Line'!$I$2:$I$4001,$AB209)&amp;"")</f>
        <v/>
      </c>
      <c r="J209">
        <f>IF($AB209="","",INDEX('Per Line'!$J$2:$J$4001,$AB209)&amp;"")</f>
        <v/>
      </c>
      <c r="K209">
        <f>IF($AB209="","",INDEX('Per Line'!$K$2:$K$4001,$AB209)&amp;"")</f>
        <v/>
      </c>
      <c r="L209">
        <f>IF($AB209="","",INDEX('Per Line'!$L$2:$L$4001,$AB209))</f>
        <v/>
      </c>
      <c r="M209" s="7">
        <f>IF($AB209="","",IF(AND(ISNUMBER(O209),O209&gt;0,Z209&gt;O209),L209*O209/100+(Z209-O209),L209*Z209/100))</f>
        <v/>
      </c>
      <c r="N209">
        <f>IF($AB209="","",INDEX('Per Line'!$V$2:$V$4001,$AB209)&amp;"")</f>
        <v/>
      </c>
      <c r="O209">
        <f>IF($AB209="","",INDEX('Per Line'!$Z$2:$Z$4001,$AB209))</f>
        <v/>
      </c>
      <c r="P209">
        <f>IF($AB209="","",IF(AND(ISNUMBER(O209),O209&gt;0),Z209&gt;O209,FALSE))</f>
        <v/>
      </c>
      <c r="Q209" s="7">
        <f>IF($AB209="","",SUMIFS('Per Line'!$U$2:$U$4001,'Per Line'!$C$2:$C$4001,$B209,'Per Line'!$AM$2:$AM$4001,1))</f>
        <v/>
      </c>
      <c r="R209">
        <f>IF($AB209="","",Settings!$C$7)</f>
        <v/>
      </c>
      <c r="S209" s="7">
        <f>IF($AB209="","",SUMIFS('Per Line'!$U$2:$U$4001,'Per Line'!$C$2:$C$4001,$B209,'Per Line'!$AL$2:$AL$4001,0,'Per Line'!$AM$2:$AM$4001,0))</f>
        <v/>
      </c>
      <c r="T209" s="7">
        <f>IF($AB209="","",S209*R209)</f>
        <v/>
      </c>
      <c r="U209">
        <f>IF($AB209="","",Settings!$C$6)</f>
        <v/>
      </c>
      <c r="V209" s="7">
        <f>IF($AB209="","",SUMIFS('Per Line'!$U$2:$U$4001,'Per Line'!$C$2:$C$4001,$B209,'Per Line'!$AL$2:$AL$4001,1,'Per Line'!$AM$2:$AM$4001,0))</f>
        <v/>
      </c>
      <c r="W209" s="7">
        <f>IF($AB209="","",V209*U209)</f>
        <v/>
      </c>
      <c r="X209" s="7">
        <f>IF($AB209="","",W209+T209)</f>
        <v/>
      </c>
      <c r="Y209" s="7">
        <f>IF($AB209="","",Z209-X209)</f>
        <v/>
      </c>
      <c r="Z209" s="7">
        <f>IF($AB209="","",S209+V209+Q209)</f>
        <v/>
      </c>
      <c r="AA209" s="7">
        <f>IF($AB209="","",Z209-X209-M209)</f>
        <v/>
      </c>
      <c r="AB209" s="13">
        <f>IF(ROWS($AB$2:$AB209)&lt;=MAX('Per Line'!$AK$2:$AK$4001),MATCH(ROWS($AB$2:$AB209),'Per Line'!$AK$2:$AK$4001,0),"")</f>
        <v/>
      </c>
      <c r="AC209" s="14">
        <f>IF($AB209="","",M209-L209*Z209/100)</f>
        <v/>
      </c>
    </row>
    <row r="210">
      <c r="A210" s="12" t="n"/>
      <c r="B210">
        <f>IF($AB210="","",INDEX('Per Line'!$C$2:$C$4001,$AB210)&amp;"")</f>
        <v/>
      </c>
      <c r="C210">
        <f>IF($AB210="","",INDEX('Per Line'!$D$2:$D$4001,$AB210)&amp;"")</f>
        <v/>
      </c>
      <c r="D210">
        <f>IF($AB210="","",INDEX('Per Line'!$B$2:$B$4001,$AB210)&amp;"")</f>
        <v/>
      </c>
      <c r="E210">
        <f>IF($AB210="","",INDEX('Per Line'!$A$2:$A$4001,$AB210))</f>
        <v/>
      </c>
      <c r="F210" s="11">
        <f>IF($AB210="","",INDEX('Per Line'!$E$2:$E$4001,$AB210))</f>
        <v/>
      </c>
      <c r="G210">
        <f>IF($AB210="","",INDEX('Per Line'!$F$2:$F$4001,$AB210)&amp;"")</f>
        <v/>
      </c>
      <c r="H210">
        <f>IF($AB210="","",INDEX('Per Line'!$H$2:$H$4001,$AB210)&amp;"")</f>
        <v/>
      </c>
      <c r="I210">
        <f>IF($AB210="","",INDEX('Per Line'!$I$2:$I$4001,$AB210)&amp;"")</f>
        <v/>
      </c>
      <c r="J210">
        <f>IF($AB210="","",INDEX('Per Line'!$J$2:$J$4001,$AB210)&amp;"")</f>
        <v/>
      </c>
      <c r="K210">
        <f>IF($AB210="","",INDEX('Per Line'!$K$2:$K$4001,$AB210)&amp;"")</f>
        <v/>
      </c>
      <c r="L210">
        <f>IF($AB210="","",INDEX('Per Line'!$L$2:$L$4001,$AB210))</f>
        <v/>
      </c>
      <c r="M210" s="7">
        <f>IF($AB210="","",IF(AND(ISNUMBER(O210),O210&gt;0,Z210&gt;O210),L210*O210/100+(Z210-O210),L210*Z210/100))</f>
        <v/>
      </c>
      <c r="N210">
        <f>IF($AB210="","",INDEX('Per Line'!$V$2:$V$4001,$AB210)&amp;"")</f>
        <v/>
      </c>
      <c r="O210">
        <f>IF($AB210="","",INDEX('Per Line'!$Z$2:$Z$4001,$AB210))</f>
        <v/>
      </c>
      <c r="P210">
        <f>IF($AB210="","",IF(AND(ISNUMBER(O210),O210&gt;0),Z210&gt;O210,FALSE))</f>
        <v/>
      </c>
      <c r="Q210" s="7">
        <f>IF($AB210="","",SUMIFS('Per Line'!$U$2:$U$4001,'Per Line'!$C$2:$C$4001,$B210,'Per Line'!$AM$2:$AM$4001,1))</f>
        <v/>
      </c>
      <c r="R210">
        <f>IF($AB210="","",Settings!$C$7)</f>
        <v/>
      </c>
      <c r="S210" s="7">
        <f>IF($AB210="","",SUMIFS('Per Line'!$U$2:$U$4001,'Per Line'!$C$2:$C$4001,$B210,'Per Line'!$AL$2:$AL$4001,0,'Per Line'!$AM$2:$AM$4001,0))</f>
        <v/>
      </c>
      <c r="T210" s="7">
        <f>IF($AB210="","",S210*R210)</f>
        <v/>
      </c>
      <c r="U210">
        <f>IF($AB210="","",Settings!$C$6)</f>
        <v/>
      </c>
      <c r="V210" s="7">
        <f>IF($AB210="","",SUMIFS('Per Line'!$U$2:$U$4001,'Per Line'!$C$2:$C$4001,$B210,'Per Line'!$AL$2:$AL$4001,1,'Per Line'!$AM$2:$AM$4001,0))</f>
        <v/>
      </c>
      <c r="W210" s="7">
        <f>IF($AB210="","",V210*U210)</f>
        <v/>
      </c>
      <c r="X210" s="7">
        <f>IF($AB210="","",W210+T210)</f>
        <v/>
      </c>
      <c r="Y210" s="7">
        <f>IF($AB210="","",Z210-X210)</f>
        <v/>
      </c>
      <c r="Z210" s="7">
        <f>IF($AB210="","",S210+V210+Q210)</f>
        <v/>
      </c>
      <c r="AA210" s="7">
        <f>IF($AB210="","",Z210-X210-M210)</f>
        <v/>
      </c>
      <c r="AB210" s="13">
        <f>IF(ROWS($AB$2:$AB210)&lt;=MAX('Per Line'!$AK$2:$AK$4001),MATCH(ROWS($AB$2:$AB210),'Per Line'!$AK$2:$AK$4001,0),"")</f>
        <v/>
      </c>
      <c r="AC210" s="14">
        <f>IF($AB210="","",M210-L210*Z210/100)</f>
        <v/>
      </c>
    </row>
    <row r="211">
      <c r="A211" s="12" t="n"/>
      <c r="B211">
        <f>IF($AB211="","",INDEX('Per Line'!$C$2:$C$4001,$AB211)&amp;"")</f>
        <v/>
      </c>
      <c r="C211">
        <f>IF($AB211="","",INDEX('Per Line'!$D$2:$D$4001,$AB211)&amp;"")</f>
        <v/>
      </c>
      <c r="D211">
        <f>IF($AB211="","",INDEX('Per Line'!$B$2:$B$4001,$AB211)&amp;"")</f>
        <v/>
      </c>
      <c r="E211">
        <f>IF($AB211="","",INDEX('Per Line'!$A$2:$A$4001,$AB211))</f>
        <v/>
      </c>
      <c r="F211" s="11">
        <f>IF($AB211="","",INDEX('Per Line'!$E$2:$E$4001,$AB211))</f>
        <v/>
      </c>
      <c r="G211">
        <f>IF($AB211="","",INDEX('Per Line'!$F$2:$F$4001,$AB211)&amp;"")</f>
        <v/>
      </c>
      <c r="H211">
        <f>IF($AB211="","",INDEX('Per Line'!$H$2:$H$4001,$AB211)&amp;"")</f>
        <v/>
      </c>
      <c r="I211">
        <f>IF($AB211="","",INDEX('Per Line'!$I$2:$I$4001,$AB211)&amp;"")</f>
        <v/>
      </c>
      <c r="J211">
        <f>IF($AB211="","",INDEX('Per Line'!$J$2:$J$4001,$AB211)&amp;"")</f>
        <v/>
      </c>
      <c r="K211">
        <f>IF($AB211="","",INDEX('Per Line'!$K$2:$K$4001,$AB211)&amp;"")</f>
        <v/>
      </c>
      <c r="L211">
        <f>IF($AB211="","",INDEX('Per Line'!$L$2:$L$4001,$AB211))</f>
        <v/>
      </c>
      <c r="M211" s="7">
        <f>IF($AB211="","",IF(AND(ISNUMBER(O211),O211&gt;0,Z211&gt;O211),L211*O211/100+(Z211-O211),L211*Z211/100))</f>
        <v/>
      </c>
      <c r="N211">
        <f>IF($AB211="","",INDEX('Per Line'!$V$2:$V$4001,$AB211)&amp;"")</f>
        <v/>
      </c>
      <c r="O211">
        <f>IF($AB211="","",INDEX('Per Line'!$Z$2:$Z$4001,$AB211))</f>
        <v/>
      </c>
      <c r="P211">
        <f>IF($AB211="","",IF(AND(ISNUMBER(O211),O211&gt;0),Z211&gt;O211,FALSE))</f>
        <v/>
      </c>
      <c r="Q211" s="7">
        <f>IF($AB211="","",SUMIFS('Per Line'!$U$2:$U$4001,'Per Line'!$C$2:$C$4001,$B211,'Per Line'!$AM$2:$AM$4001,1))</f>
        <v/>
      </c>
      <c r="R211">
        <f>IF($AB211="","",Settings!$C$7)</f>
        <v/>
      </c>
      <c r="S211" s="7">
        <f>IF($AB211="","",SUMIFS('Per Line'!$U$2:$U$4001,'Per Line'!$C$2:$C$4001,$B211,'Per Line'!$AL$2:$AL$4001,0,'Per Line'!$AM$2:$AM$4001,0))</f>
        <v/>
      </c>
      <c r="T211" s="7">
        <f>IF($AB211="","",S211*R211)</f>
        <v/>
      </c>
      <c r="U211">
        <f>IF($AB211="","",Settings!$C$6)</f>
        <v/>
      </c>
      <c r="V211" s="7">
        <f>IF($AB211="","",SUMIFS('Per Line'!$U$2:$U$4001,'Per Line'!$C$2:$C$4001,$B211,'Per Line'!$AL$2:$AL$4001,1,'Per Line'!$AM$2:$AM$4001,0))</f>
        <v/>
      </c>
      <c r="W211" s="7">
        <f>IF($AB211="","",V211*U211)</f>
        <v/>
      </c>
      <c r="X211" s="7">
        <f>IF($AB211="","",W211+T211)</f>
        <v/>
      </c>
      <c r="Y211" s="7">
        <f>IF($AB211="","",Z211-X211)</f>
        <v/>
      </c>
      <c r="Z211" s="7">
        <f>IF($AB211="","",S211+V211+Q211)</f>
        <v/>
      </c>
      <c r="AA211" s="7">
        <f>IF($AB211="","",Z211-X211-M211)</f>
        <v/>
      </c>
      <c r="AB211" s="13">
        <f>IF(ROWS($AB$2:$AB211)&lt;=MAX('Per Line'!$AK$2:$AK$4001),MATCH(ROWS($AB$2:$AB211),'Per Line'!$AK$2:$AK$4001,0),"")</f>
        <v/>
      </c>
      <c r="AC211" s="14">
        <f>IF($AB211="","",M211-L211*Z211/100)</f>
        <v/>
      </c>
    </row>
    <row r="212">
      <c r="A212" s="12" t="n"/>
      <c r="B212">
        <f>IF($AB212="","",INDEX('Per Line'!$C$2:$C$4001,$AB212)&amp;"")</f>
        <v/>
      </c>
      <c r="C212">
        <f>IF($AB212="","",INDEX('Per Line'!$D$2:$D$4001,$AB212)&amp;"")</f>
        <v/>
      </c>
      <c r="D212">
        <f>IF($AB212="","",INDEX('Per Line'!$B$2:$B$4001,$AB212)&amp;"")</f>
        <v/>
      </c>
      <c r="E212">
        <f>IF($AB212="","",INDEX('Per Line'!$A$2:$A$4001,$AB212))</f>
        <v/>
      </c>
      <c r="F212" s="11">
        <f>IF($AB212="","",INDEX('Per Line'!$E$2:$E$4001,$AB212))</f>
        <v/>
      </c>
      <c r="G212">
        <f>IF($AB212="","",INDEX('Per Line'!$F$2:$F$4001,$AB212)&amp;"")</f>
        <v/>
      </c>
      <c r="H212">
        <f>IF($AB212="","",INDEX('Per Line'!$H$2:$H$4001,$AB212)&amp;"")</f>
        <v/>
      </c>
      <c r="I212">
        <f>IF($AB212="","",INDEX('Per Line'!$I$2:$I$4001,$AB212)&amp;"")</f>
        <v/>
      </c>
      <c r="J212">
        <f>IF($AB212="","",INDEX('Per Line'!$J$2:$J$4001,$AB212)&amp;"")</f>
        <v/>
      </c>
      <c r="K212">
        <f>IF($AB212="","",INDEX('Per Line'!$K$2:$K$4001,$AB212)&amp;"")</f>
        <v/>
      </c>
      <c r="L212">
        <f>IF($AB212="","",INDEX('Per Line'!$L$2:$L$4001,$AB212))</f>
        <v/>
      </c>
      <c r="M212" s="7">
        <f>IF($AB212="","",IF(AND(ISNUMBER(O212),O212&gt;0,Z212&gt;O212),L212*O212/100+(Z212-O212),L212*Z212/100))</f>
        <v/>
      </c>
      <c r="N212">
        <f>IF($AB212="","",INDEX('Per Line'!$V$2:$V$4001,$AB212)&amp;"")</f>
        <v/>
      </c>
      <c r="O212">
        <f>IF($AB212="","",INDEX('Per Line'!$Z$2:$Z$4001,$AB212))</f>
        <v/>
      </c>
      <c r="P212">
        <f>IF($AB212="","",IF(AND(ISNUMBER(O212),O212&gt;0),Z212&gt;O212,FALSE))</f>
        <v/>
      </c>
      <c r="Q212" s="7">
        <f>IF($AB212="","",SUMIFS('Per Line'!$U$2:$U$4001,'Per Line'!$C$2:$C$4001,$B212,'Per Line'!$AM$2:$AM$4001,1))</f>
        <v/>
      </c>
      <c r="R212">
        <f>IF($AB212="","",Settings!$C$7)</f>
        <v/>
      </c>
      <c r="S212" s="7">
        <f>IF($AB212="","",SUMIFS('Per Line'!$U$2:$U$4001,'Per Line'!$C$2:$C$4001,$B212,'Per Line'!$AL$2:$AL$4001,0,'Per Line'!$AM$2:$AM$4001,0))</f>
        <v/>
      </c>
      <c r="T212" s="7">
        <f>IF($AB212="","",S212*R212)</f>
        <v/>
      </c>
      <c r="U212">
        <f>IF($AB212="","",Settings!$C$6)</f>
        <v/>
      </c>
      <c r="V212" s="7">
        <f>IF($AB212="","",SUMIFS('Per Line'!$U$2:$U$4001,'Per Line'!$C$2:$C$4001,$B212,'Per Line'!$AL$2:$AL$4001,1,'Per Line'!$AM$2:$AM$4001,0))</f>
        <v/>
      </c>
      <c r="W212" s="7">
        <f>IF($AB212="","",V212*U212)</f>
        <v/>
      </c>
      <c r="X212" s="7">
        <f>IF($AB212="","",W212+T212)</f>
        <v/>
      </c>
      <c r="Y212" s="7">
        <f>IF($AB212="","",Z212-X212)</f>
        <v/>
      </c>
      <c r="Z212" s="7">
        <f>IF($AB212="","",S212+V212+Q212)</f>
        <v/>
      </c>
      <c r="AA212" s="7">
        <f>IF($AB212="","",Z212-X212-M212)</f>
        <v/>
      </c>
      <c r="AB212" s="13">
        <f>IF(ROWS($AB$2:$AB212)&lt;=MAX('Per Line'!$AK$2:$AK$4001),MATCH(ROWS($AB$2:$AB212),'Per Line'!$AK$2:$AK$4001,0),"")</f>
        <v/>
      </c>
      <c r="AC212" s="14">
        <f>IF($AB212="","",M212-L212*Z212/100)</f>
        <v/>
      </c>
    </row>
    <row r="213">
      <c r="A213" s="12" t="n"/>
      <c r="B213">
        <f>IF($AB213="","",INDEX('Per Line'!$C$2:$C$4001,$AB213)&amp;"")</f>
        <v/>
      </c>
      <c r="C213">
        <f>IF($AB213="","",INDEX('Per Line'!$D$2:$D$4001,$AB213)&amp;"")</f>
        <v/>
      </c>
      <c r="D213">
        <f>IF($AB213="","",INDEX('Per Line'!$B$2:$B$4001,$AB213)&amp;"")</f>
        <v/>
      </c>
      <c r="E213">
        <f>IF($AB213="","",INDEX('Per Line'!$A$2:$A$4001,$AB213))</f>
        <v/>
      </c>
      <c r="F213" s="11">
        <f>IF($AB213="","",INDEX('Per Line'!$E$2:$E$4001,$AB213))</f>
        <v/>
      </c>
      <c r="G213">
        <f>IF($AB213="","",INDEX('Per Line'!$F$2:$F$4001,$AB213)&amp;"")</f>
        <v/>
      </c>
      <c r="H213">
        <f>IF($AB213="","",INDEX('Per Line'!$H$2:$H$4001,$AB213)&amp;"")</f>
        <v/>
      </c>
      <c r="I213">
        <f>IF($AB213="","",INDEX('Per Line'!$I$2:$I$4001,$AB213)&amp;"")</f>
        <v/>
      </c>
      <c r="J213">
        <f>IF($AB213="","",INDEX('Per Line'!$J$2:$J$4001,$AB213)&amp;"")</f>
        <v/>
      </c>
      <c r="K213">
        <f>IF($AB213="","",INDEX('Per Line'!$K$2:$K$4001,$AB213)&amp;"")</f>
        <v/>
      </c>
      <c r="L213">
        <f>IF($AB213="","",INDEX('Per Line'!$L$2:$L$4001,$AB213))</f>
        <v/>
      </c>
      <c r="M213" s="7">
        <f>IF($AB213="","",IF(AND(ISNUMBER(O213),O213&gt;0,Z213&gt;O213),L213*O213/100+(Z213-O213),L213*Z213/100))</f>
        <v/>
      </c>
      <c r="N213">
        <f>IF($AB213="","",INDEX('Per Line'!$V$2:$V$4001,$AB213)&amp;"")</f>
        <v/>
      </c>
      <c r="O213">
        <f>IF($AB213="","",INDEX('Per Line'!$Z$2:$Z$4001,$AB213))</f>
        <v/>
      </c>
      <c r="P213">
        <f>IF($AB213="","",IF(AND(ISNUMBER(O213),O213&gt;0),Z213&gt;O213,FALSE))</f>
        <v/>
      </c>
      <c r="Q213" s="7">
        <f>IF($AB213="","",SUMIFS('Per Line'!$U$2:$U$4001,'Per Line'!$C$2:$C$4001,$B213,'Per Line'!$AM$2:$AM$4001,1))</f>
        <v/>
      </c>
      <c r="R213">
        <f>IF($AB213="","",Settings!$C$7)</f>
        <v/>
      </c>
      <c r="S213" s="7">
        <f>IF($AB213="","",SUMIFS('Per Line'!$U$2:$U$4001,'Per Line'!$C$2:$C$4001,$B213,'Per Line'!$AL$2:$AL$4001,0,'Per Line'!$AM$2:$AM$4001,0))</f>
        <v/>
      </c>
      <c r="T213" s="7">
        <f>IF($AB213="","",S213*R213)</f>
        <v/>
      </c>
      <c r="U213">
        <f>IF($AB213="","",Settings!$C$6)</f>
        <v/>
      </c>
      <c r="V213" s="7">
        <f>IF($AB213="","",SUMIFS('Per Line'!$U$2:$U$4001,'Per Line'!$C$2:$C$4001,$B213,'Per Line'!$AL$2:$AL$4001,1,'Per Line'!$AM$2:$AM$4001,0))</f>
        <v/>
      </c>
      <c r="W213" s="7">
        <f>IF($AB213="","",V213*U213)</f>
        <v/>
      </c>
      <c r="X213" s="7">
        <f>IF($AB213="","",W213+T213)</f>
        <v/>
      </c>
      <c r="Y213" s="7">
        <f>IF($AB213="","",Z213-X213)</f>
        <v/>
      </c>
      <c r="Z213" s="7">
        <f>IF($AB213="","",S213+V213+Q213)</f>
        <v/>
      </c>
      <c r="AA213" s="7">
        <f>IF($AB213="","",Z213-X213-M213)</f>
        <v/>
      </c>
      <c r="AB213" s="13">
        <f>IF(ROWS($AB$2:$AB213)&lt;=MAX('Per Line'!$AK$2:$AK$4001),MATCH(ROWS($AB$2:$AB213),'Per Line'!$AK$2:$AK$4001,0),"")</f>
        <v/>
      </c>
      <c r="AC213" s="14">
        <f>IF($AB213="","",M213-L213*Z213/100)</f>
        <v/>
      </c>
    </row>
    <row r="214">
      <c r="A214" s="12" t="n"/>
      <c r="B214">
        <f>IF($AB214="","",INDEX('Per Line'!$C$2:$C$4001,$AB214)&amp;"")</f>
        <v/>
      </c>
      <c r="C214">
        <f>IF($AB214="","",INDEX('Per Line'!$D$2:$D$4001,$AB214)&amp;"")</f>
        <v/>
      </c>
      <c r="D214">
        <f>IF($AB214="","",INDEX('Per Line'!$B$2:$B$4001,$AB214)&amp;"")</f>
        <v/>
      </c>
      <c r="E214">
        <f>IF($AB214="","",INDEX('Per Line'!$A$2:$A$4001,$AB214))</f>
        <v/>
      </c>
      <c r="F214" s="11">
        <f>IF($AB214="","",INDEX('Per Line'!$E$2:$E$4001,$AB214))</f>
        <v/>
      </c>
      <c r="G214">
        <f>IF($AB214="","",INDEX('Per Line'!$F$2:$F$4001,$AB214)&amp;"")</f>
        <v/>
      </c>
      <c r="H214">
        <f>IF($AB214="","",INDEX('Per Line'!$H$2:$H$4001,$AB214)&amp;"")</f>
        <v/>
      </c>
      <c r="I214">
        <f>IF($AB214="","",INDEX('Per Line'!$I$2:$I$4001,$AB214)&amp;"")</f>
        <v/>
      </c>
      <c r="J214">
        <f>IF($AB214="","",INDEX('Per Line'!$J$2:$J$4001,$AB214)&amp;"")</f>
        <v/>
      </c>
      <c r="K214">
        <f>IF($AB214="","",INDEX('Per Line'!$K$2:$K$4001,$AB214)&amp;"")</f>
        <v/>
      </c>
      <c r="L214">
        <f>IF($AB214="","",INDEX('Per Line'!$L$2:$L$4001,$AB214))</f>
        <v/>
      </c>
      <c r="M214" s="7">
        <f>IF($AB214="","",IF(AND(ISNUMBER(O214),O214&gt;0,Z214&gt;O214),L214*O214/100+(Z214-O214),L214*Z214/100))</f>
        <v/>
      </c>
      <c r="N214">
        <f>IF($AB214="","",INDEX('Per Line'!$V$2:$V$4001,$AB214)&amp;"")</f>
        <v/>
      </c>
      <c r="O214">
        <f>IF($AB214="","",INDEX('Per Line'!$Z$2:$Z$4001,$AB214))</f>
        <v/>
      </c>
      <c r="P214">
        <f>IF($AB214="","",IF(AND(ISNUMBER(O214),O214&gt;0),Z214&gt;O214,FALSE))</f>
        <v/>
      </c>
      <c r="Q214" s="7">
        <f>IF($AB214="","",SUMIFS('Per Line'!$U$2:$U$4001,'Per Line'!$C$2:$C$4001,$B214,'Per Line'!$AM$2:$AM$4001,1))</f>
        <v/>
      </c>
      <c r="R214">
        <f>IF($AB214="","",Settings!$C$7)</f>
        <v/>
      </c>
      <c r="S214" s="7">
        <f>IF($AB214="","",SUMIFS('Per Line'!$U$2:$U$4001,'Per Line'!$C$2:$C$4001,$B214,'Per Line'!$AL$2:$AL$4001,0,'Per Line'!$AM$2:$AM$4001,0))</f>
        <v/>
      </c>
      <c r="T214" s="7">
        <f>IF($AB214="","",S214*R214)</f>
        <v/>
      </c>
      <c r="U214">
        <f>IF($AB214="","",Settings!$C$6)</f>
        <v/>
      </c>
      <c r="V214" s="7">
        <f>IF($AB214="","",SUMIFS('Per Line'!$U$2:$U$4001,'Per Line'!$C$2:$C$4001,$B214,'Per Line'!$AL$2:$AL$4001,1,'Per Line'!$AM$2:$AM$4001,0))</f>
        <v/>
      </c>
      <c r="W214" s="7">
        <f>IF($AB214="","",V214*U214)</f>
        <v/>
      </c>
      <c r="X214" s="7">
        <f>IF($AB214="","",W214+T214)</f>
        <v/>
      </c>
      <c r="Y214" s="7">
        <f>IF($AB214="","",Z214-X214)</f>
        <v/>
      </c>
      <c r="Z214" s="7">
        <f>IF($AB214="","",S214+V214+Q214)</f>
        <v/>
      </c>
      <c r="AA214" s="7">
        <f>IF($AB214="","",Z214-X214-M214)</f>
        <v/>
      </c>
      <c r="AB214" s="13">
        <f>IF(ROWS($AB$2:$AB214)&lt;=MAX('Per Line'!$AK$2:$AK$4001),MATCH(ROWS($AB$2:$AB214),'Per Line'!$AK$2:$AK$4001,0),"")</f>
        <v/>
      </c>
      <c r="AC214" s="14">
        <f>IF($AB214="","",M214-L214*Z214/100)</f>
        <v/>
      </c>
    </row>
    <row r="215">
      <c r="A215" s="12" t="n"/>
      <c r="B215">
        <f>IF($AB215="","",INDEX('Per Line'!$C$2:$C$4001,$AB215)&amp;"")</f>
        <v/>
      </c>
      <c r="C215">
        <f>IF($AB215="","",INDEX('Per Line'!$D$2:$D$4001,$AB215)&amp;"")</f>
        <v/>
      </c>
      <c r="D215">
        <f>IF($AB215="","",INDEX('Per Line'!$B$2:$B$4001,$AB215)&amp;"")</f>
        <v/>
      </c>
      <c r="E215">
        <f>IF($AB215="","",INDEX('Per Line'!$A$2:$A$4001,$AB215))</f>
        <v/>
      </c>
      <c r="F215" s="11">
        <f>IF($AB215="","",INDEX('Per Line'!$E$2:$E$4001,$AB215))</f>
        <v/>
      </c>
      <c r="G215">
        <f>IF($AB215="","",INDEX('Per Line'!$F$2:$F$4001,$AB215)&amp;"")</f>
        <v/>
      </c>
      <c r="H215">
        <f>IF($AB215="","",INDEX('Per Line'!$H$2:$H$4001,$AB215)&amp;"")</f>
        <v/>
      </c>
      <c r="I215">
        <f>IF($AB215="","",INDEX('Per Line'!$I$2:$I$4001,$AB215)&amp;"")</f>
        <v/>
      </c>
      <c r="J215">
        <f>IF($AB215="","",INDEX('Per Line'!$J$2:$J$4001,$AB215)&amp;"")</f>
        <v/>
      </c>
      <c r="K215">
        <f>IF($AB215="","",INDEX('Per Line'!$K$2:$K$4001,$AB215)&amp;"")</f>
        <v/>
      </c>
      <c r="L215">
        <f>IF($AB215="","",INDEX('Per Line'!$L$2:$L$4001,$AB215))</f>
        <v/>
      </c>
      <c r="M215" s="7">
        <f>IF($AB215="","",IF(AND(ISNUMBER(O215),O215&gt;0,Z215&gt;O215),L215*O215/100+(Z215-O215),L215*Z215/100))</f>
        <v/>
      </c>
      <c r="N215">
        <f>IF($AB215="","",INDEX('Per Line'!$V$2:$V$4001,$AB215)&amp;"")</f>
        <v/>
      </c>
      <c r="O215">
        <f>IF($AB215="","",INDEX('Per Line'!$Z$2:$Z$4001,$AB215))</f>
        <v/>
      </c>
      <c r="P215">
        <f>IF($AB215="","",IF(AND(ISNUMBER(O215),O215&gt;0),Z215&gt;O215,FALSE))</f>
        <v/>
      </c>
      <c r="Q215" s="7">
        <f>IF($AB215="","",SUMIFS('Per Line'!$U$2:$U$4001,'Per Line'!$C$2:$C$4001,$B215,'Per Line'!$AM$2:$AM$4001,1))</f>
        <v/>
      </c>
      <c r="R215">
        <f>IF($AB215="","",Settings!$C$7)</f>
        <v/>
      </c>
      <c r="S215" s="7">
        <f>IF($AB215="","",SUMIFS('Per Line'!$U$2:$U$4001,'Per Line'!$C$2:$C$4001,$B215,'Per Line'!$AL$2:$AL$4001,0,'Per Line'!$AM$2:$AM$4001,0))</f>
        <v/>
      </c>
      <c r="T215" s="7">
        <f>IF($AB215="","",S215*R215)</f>
        <v/>
      </c>
      <c r="U215">
        <f>IF($AB215="","",Settings!$C$6)</f>
        <v/>
      </c>
      <c r="V215" s="7">
        <f>IF($AB215="","",SUMIFS('Per Line'!$U$2:$U$4001,'Per Line'!$C$2:$C$4001,$B215,'Per Line'!$AL$2:$AL$4001,1,'Per Line'!$AM$2:$AM$4001,0))</f>
        <v/>
      </c>
      <c r="W215" s="7">
        <f>IF($AB215="","",V215*U215)</f>
        <v/>
      </c>
      <c r="X215" s="7">
        <f>IF($AB215="","",W215+T215)</f>
        <v/>
      </c>
      <c r="Y215" s="7">
        <f>IF($AB215="","",Z215-X215)</f>
        <v/>
      </c>
      <c r="Z215" s="7">
        <f>IF($AB215="","",S215+V215+Q215)</f>
        <v/>
      </c>
      <c r="AA215" s="7">
        <f>IF($AB215="","",Z215-X215-M215)</f>
        <v/>
      </c>
      <c r="AB215" s="13">
        <f>IF(ROWS($AB$2:$AB215)&lt;=MAX('Per Line'!$AK$2:$AK$4001),MATCH(ROWS($AB$2:$AB215),'Per Line'!$AK$2:$AK$4001,0),"")</f>
        <v/>
      </c>
      <c r="AC215" s="14">
        <f>IF($AB215="","",M215-L215*Z215/100)</f>
        <v/>
      </c>
    </row>
    <row r="216">
      <c r="A216" s="12" t="n"/>
      <c r="B216">
        <f>IF($AB216="","",INDEX('Per Line'!$C$2:$C$4001,$AB216)&amp;"")</f>
        <v/>
      </c>
      <c r="C216">
        <f>IF($AB216="","",INDEX('Per Line'!$D$2:$D$4001,$AB216)&amp;"")</f>
        <v/>
      </c>
      <c r="D216">
        <f>IF($AB216="","",INDEX('Per Line'!$B$2:$B$4001,$AB216)&amp;"")</f>
        <v/>
      </c>
      <c r="E216">
        <f>IF($AB216="","",INDEX('Per Line'!$A$2:$A$4001,$AB216))</f>
        <v/>
      </c>
      <c r="F216" s="11">
        <f>IF($AB216="","",INDEX('Per Line'!$E$2:$E$4001,$AB216))</f>
        <v/>
      </c>
      <c r="G216">
        <f>IF($AB216="","",INDEX('Per Line'!$F$2:$F$4001,$AB216)&amp;"")</f>
        <v/>
      </c>
      <c r="H216">
        <f>IF($AB216="","",INDEX('Per Line'!$H$2:$H$4001,$AB216)&amp;"")</f>
        <v/>
      </c>
      <c r="I216">
        <f>IF($AB216="","",INDEX('Per Line'!$I$2:$I$4001,$AB216)&amp;"")</f>
        <v/>
      </c>
      <c r="J216">
        <f>IF($AB216="","",INDEX('Per Line'!$J$2:$J$4001,$AB216)&amp;"")</f>
        <v/>
      </c>
      <c r="K216">
        <f>IF($AB216="","",INDEX('Per Line'!$K$2:$K$4001,$AB216)&amp;"")</f>
        <v/>
      </c>
      <c r="L216">
        <f>IF($AB216="","",INDEX('Per Line'!$L$2:$L$4001,$AB216))</f>
        <v/>
      </c>
      <c r="M216" s="7">
        <f>IF($AB216="","",IF(AND(ISNUMBER(O216),O216&gt;0,Z216&gt;O216),L216*O216/100+(Z216-O216),L216*Z216/100))</f>
        <v/>
      </c>
      <c r="N216">
        <f>IF($AB216="","",INDEX('Per Line'!$V$2:$V$4001,$AB216)&amp;"")</f>
        <v/>
      </c>
      <c r="O216">
        <f>IF($AB216="","",INDEX('Per Line'!$Z$2:$Z$4001,$AB216))</f>
        <v/>
      </c>
      <c r="P216">
        <f>IF($AB216="","",IF(AND(ISNUMBER(O216),O216&gt;0),Z216&gt;O216,FALSE))</f>
        <v/>
      </c>
      <c r="Q216" s="7">
        <f>IF($AB216="","",SUMIFS('Per Line'!$U$2:$U$4001,'Per Line'!$C$2:$C$4001,$B216,'Per Line'!$AM$2:$AM$4001,1))</f>
        <v/>
      </c>
      <c r="R216">
        <f>IF($AB216="","",Settings!$C$7)</f>
        <v/>
      </c>
      <c r="S216" s="7">
        <f>IF($AB216="","",SUMIFS('Per Line'!$U$2:$U$4001,'Per Line'!$C$2:$C$4001,$B216,'Per Line'!$AL$2:$AL$4001,0,'Per Line'!$AM$2:$AM$4001,0))</f>
        <v/>
      </c>
      <c r="T216" s="7">
        <f>IF($AB216="","",S216*R216)</f>
        <v/>
      </c>
      <c r="U216">
        <f>IF($AB216="","",Settings!$C$6)</f>
        <v/>
      </c>
      <c r="V216" s="7">
        <f>IF($AB216="","",SUMIFS('Per Line'!$U$2:$U$4001,'Per Line'!$C$2:$C$4001,$B216,'Per Line'!$AL$2:$AL$4001,1,'Per Line'!$AM$2:$AM$4001,0))</f>
        <v/>
      </c>
      <c r="W216" s="7">
        <f>IF($AB216="","",V216*U216)</f>
        <v/>
      </c>
      <c r="X216" s="7">
        <f>IF($AB216="","",W216+T216)</f>
        <v/>
      </c>
      <c r="Y216" s="7">
        <f>IF($AB216="","",Z216-X216)</f>
        <v/>
      </c>
      <c r="Z216" s="7">
        <f>IF($AB216="","",S216+V216+Q216)</f>
        <v/>
      </c>
      <c r="AA216" s="7">
        <f>IF($AB216="","",Z216-X216-M216)</f>
        <v/>
      </c>
      <c r="AB216" s="13">
        <f>IF(ROWS($AB$2:$AB216)&lt;=MAX('Per Line'!$AK$2:$AK$4001),MATCH(ROWS($AB$2:$AB216),'Per Line'!$AK$2:$AK$4001,0),"")</f>
        <v/>
      </c>
      <c r="AC216" s="14">
        <f>IF($AB216="","",M216-L216*Z216/100)</f>
        <v/>
      </c>
    </row>
    <row r="217">
      <c r="A217" s="12" t="n"/>
      <c r="B217">
        <f>IF($AB217="","",INDEX('Per Line'!$C$2:$C$4001,$AB217)&amp;"")</f>
        <v/>
      </c>
      <c r="C217">
        <f>IF($AB217="","",INDEX('Per Line'!$D$2:$D$4001,$AB217)&amp;"")</f>
        <v/>
      </c>
      <c r="D217">
        <f>IF($AB217="","",INDEX('Per Line'!$B$2:$B$4001,$AB217)&amp;"")</f>
        <v/>
      </c>
      <c r="E217">
        <f>IF($AB217="","",INDEX('Per Line'!$A$2:$A$4001,$AB217))</f>
        <v/>
      </c>
      <c r="F217" s="11">
        <f>IF($AB217="","",INDEX('Per Line'!$E$2:$E$4001,$AB217))</f>
        <v/>
      </c>
      <c r="G217">
        <f>IF($AB217="","",INDEX('Per Line'!$F$2:$F$4001,$AB217)&amp;"")</f>
        <v/>
      </c>
      <c r="H217">
        <f>IF($AB217="","",INDEX('Per Line'!$H$2:$H$4001,$AB217)&amp;"")</f>
        <v/>
      </c>
      <c r="I217">
        <f>IF($AB217="","",INDEX('Per Line'!$I$2:$I$4001,$AB217)&amp;"")</f>
        <v/>
      </c>
      <c r="J217">
        <f>IF($AB217="","",INDEX('Per Line'!$J$2:$J$4001,$AB217)&amp;"")</f>
        <v/>
      </c>
      <c r="K217">
        <f>IF($AB217="","",INDEX('Per Line'!$K$2:$K$4001,$AB217)&amp;"")</f>
        <v/>
      </c>
      <c r="L217">
        <f>IF($AB217="","",INDEX('Per Line'!$L$2:$L$4001,$AB217))</f>
        <v/>
      </c>
      <c r="M217" s="7">
        <f>IF($AB217="","",IF(AND(ISNUMBER(O217),O217&gt;0,Z217&gt;O217),L217*O217/100+(Z217-O217),L217*Z217/100))</f>
        <v/>
      </c>
      <c r="N217">
        <f>IF($AB217="","",INDEX('Per Line'!$V$2:$V$4001,$AB217)&amp;"")</f>
        <v/>
      </c>
      <c r="O217">
        <f>IF($AB217="","",INDEX('Per Line'!$Z$2:$Z$4001,$AB217))</f>
        <v/>
      </c>
      <c r="P217">
        <f>IF($AB217="","",IF(AND(ISNUMBER(O217),O217&gt;0),Z217&gt;O217,FALSE))</f>
        <v/>
      </c>
      <c r="Q217" s="7">
        <f>IF($AB217="","",SUMIFS('Per Line'!$U$2:$U$4001,'Per Line'!$C$2:$C$4001,$B217,'Per Line'!$AM$2:$AM$4001,1))</f>
        <v/>
      </c>
      <c r="R217">
        <f>IF($AB217="","",Settings!$C$7)</f>
        <v/>
      </c>
      <c r="S217" s="7">
        <f>IF($AB217="","",SUMIFS('Per Line'!$U$2:$U$4001,'Per Line'!$C$2:$C$4001,$B217,'Per Line'!$AL$2:$AL$4001,0,'Per Line'!$AM$2:$AM$4001,0))</f>
        <v/>
      </c>
      <c r="T217" s="7">
        <f>IF($AB217="","",S217*R217)</f>
        <v/>
      </c>
      <c r="U217">
        <f>IF($AB217="","",Settings!$C$6)</f>
        <v/>
      </c>
      <c r="V217" s="7">
        <f>IF($AB217="","",SUMIFS('Per Line'!$U$2:$U$4001,'Per Line'!$C$2:$C$4001,$B217,'Per Line'!$AL$2:$AL$4001,1,'Per Line'!$AM$2:$AM$4001,0))</f>
        <v/>
      </c>
      <c r="W217" s="7">
        <f>IF($AB217="","",V217*U217)</f>
        <v/>
      </c>
      <c r="X217" s="7">
        <f>IF($AB217="","",W217+T217)</f>
        <v/>
      </c>
      <c r="Y217" s="7">
        <f>IF($AB217="","",Z217-X217)</f>
        <v/>
      </c>
      <c r="Z217" s="7">
        <f>IF($AB217="","",S217+V217+Q217)</f>
        <v/>
      </c>
      <c r="AA217" s="7">
        <f>IF($AB217="","",Z217-X217-M217)</f>
        <v/>
      </c>
      <c r="AB217" s="13">
        <f>IF(ROWS($AB$2:$AB217)&lt;=MAX('Per Line'!$AK$2:$AK$4001),MATCH(ROWS($AB$2:$AB217),'Per Line'!$AK$2:$AK$4001,0),"")</f>
        <v/>
      </c>
      <c r="AC217" s="14">
        <f>IF($AB217="","",M217-L217*Z217/100)</f>
        <v/>
      </c>
    </row>
    <row r="218">
      <c r="A218" s="12" t="n"/>
      <c r="B218">
        <f>IF($AB218="","",INDEX('Per Line'!$C$2:$C$4001,$AB218)&amp;"")</f>
        <v/>
      </c>
      <c r="C218">
        <f>IF($AB218="","",INDEX('Per Line'!$D$2:$D$4001,$AB218)&amp;"")</f>
        <v/>
      </c>
      <c r="D218">
        <f>IF($AB218="","",INDEX('Per Line'!$B$2:$B$4001,$AB218)&amp;"")</f>
        <v/>
      </c>
      <c r="E218">
        <f>IF($AB218="","",INDEX('Per Line'!$A$2:$A$4001,$AB218))</f>
        <v/>
      </c>
      <c r="F218" s="11">
        <f>IF($AB218="","",INDEX('Per Line'!$E$2:$E$4001,$AB218))</f>
        <v/>
      </c>
      <c r="G218">
        <f>IF($AB218="","",INDEX('Per Line'!$F$2:$F$4001,$AB218)&amp;"")</f>
        <v/>
      </c>
      <c r="H218">
        <f>IF($AB218="","",INDEX('Per Line'!$H$2:$H$4001,$AB218)&amp;"")</f>
        <v/>
      </c>
      <c r="I218">
        <f>IF($AB218="","",INDEX('Per Line'!$I$2:$I$4001,$AB218)&amp;"")</f>
        <v/>
      </c>
      <c r="J218">
        <f>IF($AB218="","",INDEX('Per Line'!$J$2:$J$4001,$AB218)&amp;"")</f>
        <v/>
      </c>
      <c r="K218">
        <f>IF($AB218="","",INDEX('Per Line'!$K$2:$K$4001,$AB218)&amp;"")</f>
        <v/>
      </c>
      <c r="L218">
        <f>IF($AB218="","",INDEX('Per Line'!$L$2:$L$4001,$AB218))</f>
        <v/>
      </c>
      <c r="M218" s="7">
        <f>IF($AB218="","",IF(AND(ISNUMBER(O218),O218&gt;0,Z218&gt;O218),L218*O218/100+(Z218-O218),L218*Z218/100))</f>
        <v/>
      </c>
      <c r="N218">
        <f>IF($AB218="","",INDEX('Per Line'!$V$2:$V$4001,$AB218)&amp;"")</f>
        <v/>
      </c>
      <c r="O218">
        <f>IF($AB218="","",INDEX('Per Line'!$Z$2:$Z$4001,$AB218))</f>
        <v/>
      </c>
      <c r="P218">
        <f>IF($AB218="","",IF(AND(ISNUMBER(O218),O218&gt;0),Z218&gt;O218,FALSE))</f>
        <v/>
      </c>
      <c r="Q218" s="7">
        <f>IF($AB218="","",SUMIFS('Per Line'!$U$2:$U$4001,'Per Line'!$C$2:$C$4001,$B218,'Per Line'!$AM$2:$AM$4001,1))</f>
        <v/>
      </c>
      <c r="R218">
        <f>IF($AB218="","",Settings!$C$7)</f>
        <v/>
      </c>
      <c r="S218" s="7">
        <f>IF($AB218="","",SUMIFS('Per Line'!$U$2:$U$4001,'Per Line'!$C$2:$C$4001,$B218,'Per Line'!$AL$2:$AL$4001,0,'Per Line'!$AM$2:$AM$4001,0))</f>
        <v/>
      </c>
      <c r="T218" s="7">
        <f>IF($AB218="","",S218*R218)</f>
        <v/>
      </c>
      <c r="U218">
        <f>IF($AB218="","",Settings!$C$6)</f>
        <v/>
      </c>
      <c r="V218" s="7">
        <f>IF($AB218="","",SUMIFS('Per Line'!$U$2:$U$4001,'Per Line'!$C$2:$C$4001,$B218,'Per Line'!$AL$2:$AL$4001,1,'Per Line'!$AM$2:$AM$4001,0))</f>
        <v/>
      </c>
      <c r="W218" s="7">
        <f>IF($AB218="","",V218*U218)</f>
        <v/>
      </c>
      <c r="X218" s="7">
        <f>IF($AB218="","",W218+T218)</f>
        <v/>
      </c>
      <c r="Y218" s="7">
        <f>IF($AB218="","",Z218-X218)</f>
        <v/>
      </c>
      <c r="Z218" s="7">
        <f>IF($AB218="","",S218+V218+Q218)</f>
        <v/>
      </c>
      <c r="AA218" s="7">
        <f>IF($AB218="","",Z218-X218-M218)</f>
        <v/>
      </c>
      <c r="AB218" s="13">
        <f>IF(ROWS($AB$2:$AB218)&lt;=MAX('Per Line'!$AK$2:$AK$4001),MATCH(ROWS($AB$2:$AB218),'Per Line'!$AK$2:$AK$4001,0),"")</f>
        <v/>
      </c>
      <c r="AC218" s="14">
        <f>IF($AB218="","",M218-L218*Z218/100)</f>
        <v/>
      </c>
    </row>
    <row r="219">
      <c r="A219" s="12" t="n"/>
      <c r="B219">
        <f>IF($AB219="","",INDEX('Per Line'!$C$2:$C$4001,$AB219)&amp;"")</f>
        <v/>
      </c>
      <c r="C219">
        <f>IF($AB219="","",INDEX('Per Line'!$D$2:$D$4001,$AB219)&amp;"")</f>
        <v/>
      </c>
      <c r="D219">
        <f>IF($AB219="","",INDEX('Per Line'!$B$2:$B$4001,$AB219)&amp;"")</f>
        <v/>
      </c>
      <c r="E219">
        <f>IF($AB219="","",INDEX('Per Line'!$A$2:$A$4001,$AB219))</f>
        <v/>
      </c>
      <c r="F219" s="11">
        <f>IF($AB219="","",INDEX('Per Line'!$E$2:$E$4001,$AB219))</f>
        <v/>
      </c>
      <c r="G219">
        <f>IF($AB219="","",INDEX('Per Line'!$F$2:$F$4001,$AB219)&amp;"")</f>
        <v/>
      </c>
      <c r="H219">
        <f>IF($AB219="","",INDEX('Per Line'!$H$2:$H$4001,$AB219)&amp;"")</f>
        <v/>
      </c>
      <c r="I219">
        <f>IF($AB219="","",INDEX('Per Line'!$I$2:$I$4001,$AB219)&amp;"")</f>
        <v/>
      </c>
      <c r="J219">
        <f>IF($AB219="","",INDEX('Per Line'!$J$2:$J$4001,$AB219)&amp;"")</f>
        <v/>
      </c>
      <c r="K219">
        <f>IF($AB219="","",INDEX('Per Line'!$K$2:$K$4001,$AB219)&amp;"")</f>
        <v/>
      </c>
      <c r="L219">
        <f>IF($AB219="","",INDEX('Per Line'!$L$2:$L$4001,$AB219))</f>
        <v/>
      </c>
      <c r="M219" s="7">
        <f>IF($AB219="","",IF(AND(ISNUMBER(O219),O219&gt;0,Z219&gt;O219),L219*O219/100+(Z219-O219),L219*Z219/100))</f>
        <v/>
      </c>
      <c r="N219">
        <f>IF($AB219="","",INDEX('Per Line'!$V$2:$V$4001,$AB219)&amp;"")</f>
        <v/>
      </c>
      <c r="O219">
        <f>IF($AB219="","",INDEX('Per Line'!$Z$2:$Z$4001,$AB219))</f>
        <v/>
      </c>
      <c r="P219">
        <f>IF($AB219="","",IF(AND(ISNUMBER(O219),O219&gt;0),Z219&gt;O219,FALSE))</f>
        <v/>
      </c>
      <c r="Q219" s="7">
        <f>IF($AB219="","",SUMIFS('Per Line'!$U$2:$U$4001,'Per Line'!$C$2:$C$4001,$B219,'Per Line'!$AM$2:$AM$4001,1))</f>
        <v/>
      </c>
      <c r="R219">
        <f>IF($AB219="","",Settings!$C$7)</f>
        <v/>
      </c>
      <c r="S219" s="7">
        <f>IF($AB219="","",SUMIFS('Per Line'!$U$2:$U$4001,'Per Line'!$C$2:$C$4001,$B219,'Per Line'!$AL$2:$AL$4001,0,'Per Line'!$AM$2:$AM$4001,0))</f>
        <v/>
      </c>
      <c r="T219" s="7">
        <f>IF($AB219="","",S219*R219)</f>
        <v/>
      </c>
      <c r="U219">
        <f>IF($AB219="","",Settings!$C$6)</f>
        <v/>
      </c>
      <c r="V219" s="7">
        <f>IF($AB219="","",SUMIFS('Per Line'!$U$2:$U$4001,'Per Line'!$C$2:$C$4001,$B219,'Per Line'!$AL$2:$AL$4001,1,'Per Line'!$AM$2:$AM$4001,0))</f>
        <v/>
      </c>
      <c r="W219" s="7">
        <f>IF($AB219="","",V219*U219)</f>
        <v/>
      </c>
      <c r="X219" s="7">
        <f>IF($AB219="","",W219+T219)</f>
        <v/>
      </c>
      <c r="Y219" s="7">
        <f>IF($AB219="","",Z219-X219)</f>
        <v/>
      </c>
      <c r="Z219" s="7">
        <f>IF($AB219="","",S219+V219+Q219)</f>
        <v/>
      </c>
      <c r="AA219" s="7">
        <f>IF($AB219="","",Z219-X219-M219)</f>
        <v/>
      </c>
      <c r="AB219" s="13">
        <f>IF(ROWS($AB$2:$AB219)&lt;=MAX('Per Line'!$AK$2:$AK$4001),MATCH(ROWS($AB$2:$AB219),'Per Line'!$AK$2:$AK$4001,0),"")</f>
        <v/>
      </c>
      <c r="AC219" s="14">
        <f>IF($AB219="","",M219-L219*Z219/100)</f>
        <v/>
      </c>
    </row>
    <row r="220">
      <c r="A220" s="12" t="n"/>
      <c r="B220">
        <f>IF($AB220="","",INDEX('Per Line'!$C$2:$C$4001,$AB220)&amp;"")</f>
        <v/>
      </c>
      <c r="C220">
        <f>IF($AB220="","",INDEX('Per Line'!$D$2:$D$4001,$AB220)&amp;"")</f>
        <v/>
      </c>
      <c r="D220">
        <f>IF($AB220="","",INDEX('Per Line'!$B$2:$B$4001,$AB220)&amp;"")</f>
        <v/>
      </c>
      <c r="E220">
        <f>IF($AB220="","",INDEX('Per Line'!$A$2:$A$4001,$AB220))</f>
        <v/>
      </c>
      <c r="F220" s="11">
        <f>IF($AB220="","",INDEX('Per Line'!$E$2:$E$4001,$AB220))</f>
        <v/>
      </c>
      <c r="G220">
        <f>IF($AB220="","",INDEX('Per Line'!$F$2:$F$4001,$AB220)&amp;"")</f>
        <v/>
      </c>
      <c r="H220">
        <f>IF($AB220="","",INDEX('Per Line'!$H$2:$H$4001,$AB220)&amp;"")</f>
        <v/>
      </c>
      <c r="I220">
        <f>IF($AB220="","",INDEX('Per Line'!$I$2:$I$4001,$AB220)&amp;"")</f>
        <v/>
      </c>
      <c r="J220">
        <f>IF($AB220="","",INDEX('Per Line'!$J$2:$J$4001,$AB220)&amp;"")</f>
        <v/>
      </c>
      <c r="K220">
        <f>IF($AB220="","",INDEX('Per Line'!$K$2:$K$4001,$AB220)&amp;"")</f>
        <v/>
      </c>
      <c r="L220">
        <f>IF($AB220="","",INDEX('Per Line'!$L$2:$L$4001,$AB220))</f>
        <v/>
      </c>
      <c r="M220" s="7">
        <f>IF($AB220="","",IF(AND(ISNUMBER(O220),O220&gt;0,Z220&gt;O220),L220*O220/100+(Z220-O220),L220*Z220/100))</f>
        <v/>
      </c>
      <c r="N220">
        <f>IF($AB220="","",INDEX('Per Line'!$V$2:$V$4001,$AB220)&amp;"")</f>
        <v/>
      </c>
      <c r="O220">
        <f>IF($AB220="","",INDEX('Per Line'!$Z$2:$Z$4001,$AB220))</f>
        <v/>
      </c>
      <c r="P220">
        <f>IF($AB220="","",IF(AND(ISNUMBER(O220),O220&gt;0),Z220&gt;O220,FALSE))</f>
        <v/>
      </c>
      <c r="Q220" s="7">
        <f>IF($AB220="","",SUMIFS('Per Line'!$U$2:$U$4001,'Per Line'!$C$2:$C$4001,$B220,'Per Line'!$AM$2:$AM$4001,1))</f>
        <v/>
      </c>
      <c r="R220">
        <f>IF($AB220="","",Settings!$C$7)</f>
        <v/>
      </c>
      <c r="S220" s="7">
        <f>IF($AB220="","",SUMIFS('Per Line'!$U$2:$U$4001,'Per Line'!$C$2:$C$4001,$B220,'Per Line'!$AL$2:$AL$4001,0,'Per Line'!$AM$2:$AM$4001,0))</f>
        <v/>
      </c>
      <c r="T220" s="7">
        <f>IF($AB220="","",S220*R220)</f>
        <v/>
      </c>
      <c r="U220">
        <f>IF($AB220="","",Settings!$C$6)</f>
        <v/>
      </c>
      <c r="V220" s="7">
        <f>IF($AB220="","",SUMIFS('Per Line'!$U$2:$U$4001,'Per Line'!$C$2:$C$4001,$B220,'Per Line'!$AL$2:$AL$4001,1,'Per Line'!$AM$2:$AM$4001,0))</f>
        <v/>
      </c>
      <c r="W220" s="7">
        <f>IF($AB220="","",V220*U220)</f>
        <v/>
      </c>
      <c r="X220" s="7">
        <f>IF($AB220="","",W220+T220)</f>
        <v/>
      </c>
      <c r="Y220" s="7">
        <f>IF($AB220="","",Z220-X220)</f>
        <v/>
      </c>
      <c r="Z220" s="7">
        <f>IF($AB220="","",S220+V220+Q220)</f>
        <v/>
      </c>
      <c r="AA220" s="7">
        <f>IF($AB220="","",Z220-X220-M220)</f>
        <v/>
      </c>
      <c r="AB220" s="13">
        <f>IF(ROWS($AB$2:$AB220)&lt;=MAX('Per Line'!$AK$2:$AK$4001),MATCH(ROWS($AB$2:$AB220),'Per Line'!$AK$2:$AK$4001,0),"")</f>
        <v/>
      </c>
      <c r="AC220" s="14">
        <f>IF($AB220="","",M220-L220*Z220/100)</f>
        <v/>
      </c>
    </row>
    <row r="221">
      <c r="A221" s="12" t="n"/>
      <c r="B221">
        <f>IF($AB221="","",INDEX('Per Line'!$C$2:$C$4001,$AB221)&amp;"")</f>
        <v/>
      </c>
      <c r="C221">
        <f>IF($AB221="","",INDEX('Per Line'!$D$2:$D$4001,$AB221)&amp;"")</f>
        <v/>
      </c>
      <c r="D221">
        <f>IF($AB221="","",INDEX('Per Line'!$B$2:$B$4001,$AB221)&amp;"")</f>
        <v/>
      </c>
      <c r="E221">
        <f>IF($AB221="","",INDEX('Per Line'!$A$2:$A$4001,$AB221))</f>
        <v/>
      </c>
      <c r="F221" s="11">
        <f>IF($AB221="","",INDEX('Per Line'!$E$2:$E$4001,$AB221))</f>
        <v/>
      </c>
      <c r="G221">
        <f>IF($AB221="","",INDEX('Per Line'!$F$2:$F$4001,$AB221)&amp;"")</f>
        <v/>
      </c>
      <c r="H221">
        <f>IF($AB221="","",INDEX('Per Line'!$H$2:$H$4001,$AB221)&amp;"")</f>
        <v/>
      </c>
      <c r="I221">
        <f>IF($AB221="","",INDEX('Per Line'!$I$2:$I$4001,$AB221)&amp;"")</f>
        <v/>
      </c>
      <c r="J221">
        <f>IF($AB221="","",INDEX('Per Line'!$J$2:$J$4001,$AB221)&amp;"")</f>
        <v/>
      </c>
      <c r="K221">
        <f>IF($AB221="","",INDEX('Per Line'!$K$2:$K$4001,$AB221)&amp;"")</f>
        <v/>
      </c>
      <c r="L221">
        <f>IF($AB221="","",INDEX('Per Line'!$L$2:$L$4001,$AB221))</f>
        <v/>
      </c>
      <c r="M221" s="7">
        <f>IF($AB221="","",IF(AND(ISNUMBER(O221),O221&gt;0,Z221&gt;O221),L221*O221/100+(Z221-O221),L221*Z221/100))</f>
        <v/>
      </c>
      <c r="N221">
        <f>IF($AB221="","",INDEX('Per Line'!$V$2:$V$4001,$AB221)&amp;"")</f>
        <v/>
      </c>
      <c r="O221">
        <f>IF($AB221="","",INDEX('Per Line'!$Z$2:$Z$4001,$AB221))</f>
        <v/>
      </c>
      <c r="P221">
        <f>IF($AB221="","",IF(AND(ISNUMBER(O221),O221&gt;0),Z221&gt;O221,FALSE))</f>
        <v/>
      </c>
      <c r="Q221" s="7">
        <f>IF($AB221="","",SUMIFS('Per Line'!$U$2:$U$4001,'Per Line'!$C$2:$C$4001,$B221,'Per Line'!$AM$2:$AM$4001,1))</f>
        <v/>
      </c>
      <c r="R221">
        <f>IF($AB221="","",Settings!$C$7)</f>
        <v/>
      </c>
      <c r="S221" s="7">
        <f>IF($AB221="","",SUMIFS('Per Line'!$U$2:$U$4001,'Per Line'!$C$2:$C$4001,$B221,'Per Line'!$AL$2:$AL$4001,0,'Per Line'!$AM$2:$AM$4001,0))</f>
        <v/>
      </c>
      <c r="T221" s="7">
        <f>IF($AB221="","",S221*R221)</f>
        <v/>
      </c>
      <c r="U221">
        <f>IF($AB221="","",Settings!$C$6)</f>
        <v/>
      </c>
      <c r="V221" s="7">
        <f>IF($AB221="","",SUMIFS('Per Line'!$U$2:$U$4001,'Per Line'!$C$2:$C$4001,$B221,'Per Line'!$AL$2:$AL$4001,1,'Per Line'!$AM$2:$AM$4001,0))</f>
        <v/>
      </c>
      <c r="W221" s="7">
        <f>IF($AB221="","",V221*U221)</f>
        <v/>
      </c>
      <c r="X221" s="7">
        <f>IF($AB221="","",W221+T221)</f>
        <v/>
      </c>
      <c r="Y221" s="7">
        <f>IF($AB221="","",Z221-X221)</f>
        <v/>
      </c>
      <c r="Z221" s="7">
        <f>IF($AB221="","",S221+V221+Q221)</f>
        <v/>
      </c>
      <c r="AA221" s="7">
        <f>IF($AB221="","",Z221-X221-M221)</f>
        <v/>
      </c>
      <c r="AB221" s="13">
        <f>IF(ROWS($AB$2:$AB221)&lt;=MAX('Per Line'!$AK$2:$AK$4001),MATCH(ROWS($AB$2:$AB221),'Per Line'!$AK$2:$AK$4001,0),"")</f>
        <v/>
      </c>
      <c r="AC221" s="14">
        <f>IF($AB221="","",M221-L221*Z221/100)</f>
        <v/>
      </c>
    </row>
    <row r="222">
      <c r="A222" s="12" t="n"/>
      <c r="B222">
        <f>IF($AB222="","",INDEX('Per Line'!$C$2:$C$4001,$AB222)&amp;"")</f>
        <v/>
      </c>
      <c r="C222">
        <f>IF($AB222="","",INDEX('Per Line'!$D$2:$D$4001,$AB222)&amp;"")</f>
        <v/>
      </c>
      <c r="D222">
        <f>IF($AB222="","",INDEX('Per Line'!$B$2:$B$4001,$AB222)&amp;"")</f>
        <v/>
      </c>
      <c r="E222">
        <f>IF($AB222="","",INDEX('Per Line'!$A$2:$A$4001,$AB222))</f>
        <v/>
      </c>
      <c r="F222" s="11">
        <f>IF($AB222="","",INDEX('Per Line'!$E$2:$E$4001,$AB222))</f>
        <v/>
      </c>
      <c r="G222">
        <f>IF($AB222="","",INDEX('Per Line'!$F$2:$F$4001,$AB222)&amp;"")</f>
        <v/>
      </c>
      <c r="H222">
        <f>IF($AB222="","",INDEX('Per Line'!$H$2:$H$4001,$AB222)&amp;"")</f>
        <v/>
      </c>
      <c r="I222">
        <f>IF($AB222="","",INDEX('Per Line'!$I$2:$I$4001,$AB222)&amp;"")</f>
        <v/>
      </c>
      <c r="J222">
        <f>IF($AB222="","",INDEX('Per Line'!$J$2:$J$4001,$AB222)&amp;"")</f>
        <v/>
      </c>
      <c r="K222">
        <f>IF($AB222="","",INDEX('Per Line'!$K$2:$K$4001,$AB222)&amp;"")</f>
        <v/>
      </c>
      <c r="L222">
        <f>IF($AB222="","",INDEX('Per Line'!$L$2:$L$4001,$AB222))</f>
        <v/>
      </c>
      <c r="M222" s="7">
        <f>IF($AB222="","",IF(AND(ISNUMBER(O222),O222&gt;0,Z222&gt;O222),L222*O222/100+(Z222-O222),L222*Z222/100))</f>
        <v/>
      </c>
      <c r="N222">
        <f>IF($AB222="","",INDEX('Per Line'!$V$2:$V$4001,$AB222)&amp;"")</f>
        <v/>
      </c>
      <c r="O222">
        <f>IF($AB222="","",INDEX('Per Line'!$Z$2:$Z$4001,$AB222))</f>
        <v/>
      </c>
      <c r="P222">
        <f>IF($AB222="","",IF(AND(ISNUMBER(O222),O222&gt;0),Z222&gt;O222,FALSE))</f>
        <v/>
      </c>
      <c r="Q222" s="7">
        <f>IF($AB222="","",SUMIFS('Per Line'!$U$2:$U$4001,'Per Line'!$C$2:$C$4001,$B222,'Per Line'!$AM$2:$AM$4001,1))</f>
        <v/>
      </c>
      <c r="R222">
        <f>IF($AB222="","",Settings!$C$7)</f>
        <v/>
      </c>
      <c r="S222" s="7">
        <f>IF($AB222="","",SUMIFS('Per Line'!$U$2:$U$4001,'Per Line'!$C$2:$C$4001,$B222,'Per Line'!$AL$2:$AL$4001,0,'Per Line'!$AM$2:$AM$4001,0))</f>
        <v/>
      </c>
      <c r="T222" s="7">
        <f>IF($AB222="","",S222*R222)</f>
        <v/>
      </c>
      <c r="U222">
        <f>IF($AB222="","",Settings!$C$6)</f>
        <v/>
      </c>
      <c r="V222" s="7">
        <f>IF($AB222="","",SUMIFS('Per Line'!$U$2:$U$4001,'Per Line'!$C$2:$C$4001,$B222,'Per Line'!$AL$2:$AL$4001,1,'Per Line'!$AM$2:$AM$4001,0))</f>
        <v/>
      </c>
      <c r="W222" s="7">
        <f>IF($AB222="","",V222*U222)</f>
        <v/>
      </c>
      <c r="X222" s="7">
        <f>IF($AB222="","",W222+T222)</f>
        <v/>
      </c>
      <c r="Y222" s="7">
        <f>IF($AB222="","",Z222-X222)</f>
        <v/>
      </c>
      <c r="Z222" s="7">
        <f>IF($AB222="","",S222+V222+Q222)</f>
        <v/>
      </c>
      <c r="AA222" s="7">
        <f>IF($AB222="","",Z222-X222-M222)</f>
        <v/>
      </c>
      <c r="AB222" s="13">
        <f>IF(ROWS($AB$2:$AB222)&lt;=MAX('Per Line'!$AK$2:$AK$4001),MATCH(ROWS($AB$2:$AB222),'Per Line'!$AK$2:$AK$4001,0),"")</f>
        <v/>
      </c>
      <c r="AC222" s="14">
        <f>IF($AB222="","",M222-L222*Z222/100)</f>
        <v/>
      </c>
    </row>
    <row r="223">
      <c r="A223" s="12" t="n"/>
      <c r="B223">
        <f>IF($AB223="","",INDEX('Per Line'!$C$2:$C$4001,$AB223)&amp;"")</f>
        <v/>
      </c>
      <c r="C223">
        <f>IF($AB223="","",INDEX('Per Line'!$D$2:$D$4001,$AB223)&amp;"")</f>
        <v/>
      </c>
      <c r="D223">
        <f>IF($AB223="","",INDEX('Per Line'!$B$2:$B$4001,$AB223)&amp;"")</f>
        <v/>
      </c>
      <c r="E223">
        <f>IF($AB223="","",INDEX('Per Line'!$A$2:$A$4001,$AB223))</f>
        <v/>
      </c>
      <c r="F223" s="11">
        <f>IF($AB223="","",INDEX('Per Line'!$E$2:$E$4001,$AB223))</f>
        <v/>
      </c>
      <c r="G223">
        <f>IF($AB223="","",INDEX('Per Line'!$F$2:$F$4001,$AB223)&amp;"")</f>
        <v/>
      </c>
      <c r="H223">
        <f>IF($AB223="","",INDEX('Per Line'!$H$2:$H$4001,$AB223)&amp;"")</f>
        <v/>
      </c>
      <c r="I223">
        <f>IF($AB223="","",INDEX('Per Line'!$I$2:$I$4001,$AB223)&amp;"")</f>
        <v/>
      </c>
      <c r="J223">
        <f>IF($AB223="","",INDEX('Per Line'!$J$2:$J$4001,$AB223)&amp;"")</f>
        <v/>
      </c>
      <c r="K223">
        <f>IF($AB223="","",INDEX('Per Line'!$K$2:$K$4001,$AB223)&amp;"")</f>
        <v/>
      </c>
      <c r="L223">
        <f>IF($AB223="","",INDEX('Per Line'!$L$2:$L$4001,$AB223))</f>
        <v/>
      </c>
      <c r="M223" s="7">
        <f>IF($AB223="","",IF(AND(ISNUMBER(O223),O223&gt;0,Z223&gt;O223),L223*O223/100+(Z223-O223),L223*Z223/100))</f>
        <v/>
      </c>
      <c r="N223">
        <f>IF($AB223="","",INDEX('Per Line'!$V$2:$V$4001,$AB223)&amp;"")</f>
        <v/>
      </c>
      <c r="O223">
        <f>IF($AB223="","",INDEX('Per Line'!$Z$2:$Z$4001,$AB223))</f>
        <v/>
      </c>
      <c r="P223">
        <f>IF($AB223="","",IF(AND(ISNUMBER(O223),O223&gt;0),Z223&gt;O223,FALSE))</f>
        <v/>
      </c>
      <c r="Q223" s="7">
        <f>IF($AB223="","",SUMIFS('Per Line'!$U$2:$U$4001,'Per Line'!$C$2:$C$4001,$B223,'Per Line'!$AM$2:$AM$4001,1))</f>
        <v/>
      </c>
      <c r="R223">
        <f>IF($AB223="","",Settings!$C$7)</f>
        <v/>
      </c>
      <c r="S223" s="7">
        <f>IF($AB223="","",SUMIFS('Per Line'!$U$2:$U$4001,'Per Line'!$C$2:$C$4001,$B223,'Per Line'!$AL$2:$AL$4001,0,'Per Line'!$AM$2:$AM$4001,0))</f>
        <v/>
      </c>
      <c r="T223" s="7">
        <f>IF($AB223="","",S223*R223)</f>
        <v/>
      </c>
      <c r="U223">
        <f>IF($AB223="","",Settings!$C$6)</f>
        <v/>
      </c>
      <c r="V223" s="7">
        <f>IF($AB223="","",SUMIFS('Per Line'!$U$2:$U$4001,'Per Line'!$C$2:$C$4001,$B223,'Per Line'!$AL$2:$AL$4001,1,'Per Line'!$AM$2:$AM$4001,0))</f>
        <v/>
      </c>
      <c r="W223" s="7">
        <f>IF($AB223="","",V223*U223)</f>
        <v/>
      </c>
      <c r="X223" s="7">
        <f>IF($AB223="","",W223+T223)</f>
        <v/>
      </c>
      <c r="Y223" s="7">
        <f>IF($AB223="","",Z223-X223)</f>
        <v/>
      </c>
      <c r="Z223" s="7">
        <f>IF($AB223="","",S223+V223+Q223)</f>
        <v/>
      </c>
      <c r="AA223" s="7">
        <f>IF($AB223="","",Z223-X223-M223)</f>
        <v/>
      </c>
      <c r="AB223" s="13">
        <f>IF(ROWS($AB$2:$AB223)&lt;=MAX('Per Line'!$AK$2:$AK$4001),MATCH(ROWS($AB$2:$AB223),'Per Line'!$AK$2:$AK$4001,0),"")</f>
        <v/>
      </c>
      <c r="AC223" s="14">
        <f>IF($AB223="","",M223-L223*Z223/100)</f>
        <v/>
      </c>
    </row>
    <row r="224">
      <c r="A224" s="12" t="n"/>
      <c r="B224">
        <f>IF($AB224="","",INDEX('Per Line'!$C$2:$C$4001,$AB224)&amp;"")</f>
        <v/>
      </c>
      <c r="C224">
        <f>IF($AB224="","",INDEX('Per Line'!$D$2:$D$4001,$AB224)&amp;"")</f>
        <v/>
      </c>
      <c r="D224">
        <f>IF($AB224="","",INDEX('Per Line'!$B$2:$B$4001,$AB224)&amp;"")</f>
        <v/>
      </c>
      <c r="E224">
        <f>IF($AB224="","",INDEX('Per Line'!$A$2:$A$4001,$AB224))</f>
        <v/>
      </c>
      <c r="F224" s="11">
        <f>IF($AB224="","",INDEX('Per Line'!$E$2:$E$4001,$AB224))</f>
        <v/>
      </c>
      <c r="G224">
        <f>IF($AB224="","",INDEX('Per Line'!$F$2:$F$4001,$AB224)&amp;"")</f>
        <v/>
      </c>
      <c r="H224">
        <f>IF($AB224="","",INDEX('Per Line'!$H$2:$H$4001,$AB224)&amp;"")</f>
        <v/>
      </c>
      <c r="I224">
        <f>IF($AB224="","",INDEX('Per Line'!$I$2:$I$4001,$AB224)&amp;"")</f>
        <v/>
      </c>
      <c r="J224">
        <f>IF($AB224="","",INDEX('Per Line'!$J$2:$J$4001,$AB224)&amp;"")</f>
        <v/>
      </c>
      <c r="K224">
        <f>IF($AB224="","",INDEX('Per Line'!$K$2:$K$4001,$AB224)&amp;"")</f>
        <v/>
      </c>
      <c r="L224">
        <f>IF($AB224="","",INDEX('Per Line'!$L$2:$L$4001,$AB224))</f>
        <v/>
      </c>
      <c r="M224" s="7">
        <f>IF($AB224="","",IF(AND(ISNUMBER(O224),O224&gt;0,Z224&gt;O224),L224*O224/100+(Z224-O224),L224*Z224/100))</f>
        <v/>
      </c>
      <c r="N224">
        <f>IF($AB224="","",INDEX('Per Line'!$V$2:$V$4001,$AB224)&amp;"")</f>
        <v/>
      </c>
      <c r="O224">
        <f>IF($AB224="","",INDEX('Per Line'!$Z$2:$Z$4001,$AB224))</f>
        <v/>
      </c>
      <c r="P224">
        <f>IF($AB224="","",IF(AND(ISNUMBER(O224),O224&gt;0),Z224&gt;O224,FALSE))</f>
        <v/>
      </c>
      <c r="Q224" s="7">
        <f>IF($AB224="","",SUMIFS('Per Line'!$U$2:$U$4001,'Per Line'!$C$2:$C$4001,$B224,'Per Line'!$AM$2:$AM$4001,1))</f>
        <v/>
      </c>
      <c r="R224">
        <f>IF($AB224="","",Settings!$C$7)</f>
        <v/>
      </c>
      <c r="S224" s="7">
        <f>IF($AB224="","",SUMIFS('Per Line'!$U$2:$U$4001,'Per Line'!$C$2:$C$4001,$B224,'Per Line'!$AL$2:$AL$4001,0,'Per Line'!$AM$2:$AM$4001,0))</f>
        <v/>
      </c>
      <c r="T224" s="7">
        <f>IF($AB224="","",S224*R224)</f>
        <v/>
      </c>
      <c r="U224">
        <f>IF($AB224="","",Settings!$C$6)</f>
        <v/>
      </c>
      <c r="V224" s="7">
        <f>IF($AB224="","",SUMIFS('Per Line'!$U$2:$U$4001,'Per Line'!$C$2:$C$4001,$B224,'Per Line'!$AL$2:$AL$4001,1,'Per Line'!$AM$2:$AM$4001,0))</f>
        <v/>
      </c>
      <c r="W224" s="7">
        <f>IF($AB224="","",V224*U224)</f>
        <v/>
      </c>
      <c r="X224" s="7">
        <f>IF($AB224="","",W224+T224)</f>
        <v/>
      </c>
      <c r="Y224" s="7">
        <f>IF($AB224="","",Z224-X224)</f>
        <v/>
      </c>
      <c r="Z224" s="7">
        <f>IF($AB224="","",S224+V224+Q224)</f>
        <v/>
      </c>
      <c r="AA224" s="7">
        <f>IF($AB224="","",Z224-X224-M224)</f>
        <v/>
      </c>
      <c r="AB224" s="13">
        <f>IF(ROWS($AB$2:$AB224)&lt;=MAX('Per Line'!$AK$2:$AK$4001),MATCH(ROWS($AB$2:$AB224),'Per Line'!$AK$2:$AK$4001,0),"")</f>
        <v/>
      </c>
      <c r="AC224" s="14">
        <f>IF($AB224="","",M224-L224*Z224/100)</f>
        <v/>
      </c>
    </row>
    <row r="225">
      <c r="A225" s="12" t="n"/>
      <c r="B225">
        <f>IF($AB225="","",INDEX('Per Line'!$C$2:$C$4001,$AB225)&amp;"")</f>
        <v/>
      </c>
      <c r="C225">
        <f>IF($AB225="","",INDEX('Per Line'!$D$2:$D$4001,$AB225)&amp;"")</f>
        <v/>
      </c>
      <c r="D225">
        <f>IF($AB225="","",INDEX('Per Line'!$B$2:$B$4001,$AB225)&amp;"")</f>
        <v/>
      </c>
      <c r="E225">
        <f>IF($AB225="","",INDEX('Per Line'!$A$2:$A$4001,$AB225))</f>
        <v/>
      </c>
      <c r="F225" s="11">
        <f>IF($AB225="","",INDEX('Per Line'!$E$2:$E$4001,$AB225))</f>
        <v/>
      </c>
      <c r="G225">
        <f>IF($AB225="","",INDEX('Per Line'!$F$2:$F$4001,$AB225)&amp;"")</f>
        <v/>
      </c>
      <c r="H225">
        <f>IF($AB225="","",INDEX('Per Line'!$H$2:$H$4001,$AB225)&amp;"")</f>
        <v/>
      </c>
      <c r="I225">
        <f>IF($AB225="","",INDEX('Per Line'!$I$2:$I$4001,$AB225)&amp;"")</f>
        <v/>
      </c>
      <c r="J225">
        <f>IF($AB225="","",INDEX('Per Line'!$J$2:$J$4001,$AB225)&amp;"")</f>
        <v/>
      </c>
      <c r="K225">
        <f>IF($AB225="","",INDEX('Per Line'!$K$2:$K$4001,$AB225)&amp;"")</f>
        <v/>
      </c>
      <c r="L225">
        <f>IF($AB225="","",INDEX('Per Line'!$L$2:$L$4001,$AB225))</f>
        <v/>
      </c>
      <c r="M225" s="7">
        <f>IF($AB225="","",IF(AND(ISNUMBER(O225),O225&gt;0,Z225&gt;O225),L225*O225/100+(Z225-O225),L225*Z225/100))</f>
        <v/>
      </c>
      <c r="N225">
        <f>IF($AB225="","",INDEX('Per Line'!$V$2:$V$4001,$AB225)&amp;"")</f>
        <v/>
      </c>
      <c r="O225">
        <f>IF($AB225="","",INDEX('Per Line'!$Z$2:$Z$4001,$AB225))</f>
        <v/>
      </c>
      <c r="P225">
        <f>IF($AB225="","",IF(AND(ISNUMBER(O225),O225&gt;0),Z225&gt;O225,FALSE))</f>
        <v/>
      </c>
      <c r="Q225" s="7">
        <f>IF($AB225="","",SUMIFS('Per Line'!$U$2:$U$4001,'Per Line'!$C$2:$C$4001,$B225,'Per Line'!$AM$2:$AM$4001,1))</f>
        <v/>
      </c>
      <c r="R225">
        <f>IF($AB225="","",Settings!$C$7)</f>
        <v/>
      </c>
      <c r="S225" s="7">
        <f>IF($AB225="","",SUMIFS('Per Line'!$U$2:$U$4001,'Per Line'!$C$2:$C$4001,$B225,'Per Line'!$AL$2:$AL$4001,0,'Per Line'!$AM$2:$AM$4001,0))</f>
        <v/>
      </c>
      <c r="T225" s="7">
        <f>IF($AB225="","",S225*R225)</f>
        <v/>
      </c>
      <c r="U225">
        <f>IF($AB225="","",Settings!$C$6)</f>
        <v/>
      </c>
      <c r="V225" s="7">
        <f>IF($AB225="","",SUMIFS('Per Line'!$U$2:$U$4001,'Per Line'!$C$2:$C$4001,$B225,'Per Line'!$AL$2:$AL$4001,1,'Per Line'!$AM$2:$AM$4001,0))</f>
        <v/>
      </c>
      <c r="W225" s="7">
        <f>IF($AB225="","",V225*U225)</f>
        <v/>
      </c>
      <c r="X225" s="7">
        <f>IF($AB225="","",W225+T225)</f>
        <v/>
      </c>
      <c r="Y225" s="7">
        <f>IF($AB225="","",Z225-X225)</f>
        <v/>
      </c>
      <c r="Z225" s="7">
        <f>IF($AB225="","",S225+V225+Q225)</f>
        <v/>
      </c>
      <c r="AA225" s="7">
        <f>IF($AB225="","",Z225-X225-M225)</f>
        <v/>
      </c>
      <c r="AB225" s="13">
        <f>IF(ROWS($AB$2:$AB225)&lt;=MAX('Per Line'!$AK$2:$AK$4001),MATCH(ROWS($AB$2:$AB225),'Per Line'!$AK$2:$AK$4001,0),"")</f>
        <v/>
      </c>
      <c r="AC225" s="14">
        <f>IF($AB225="","",M225-L225*Z225/100)</f>
        <v/>
      </c>
    </row>
    <row r="226">
      <c r="A226" s="12" t="n"/>
      <c r="B226">
        <f>IF($AB226="","",INDEX('Per Line'!$C$2:$C$4001,$AB226)&amp;"")</f>
        <v/>
      </c>
      <c r="C226">
        <f>IF($AB226="","",INDEX('Per Line'!$D$2:$D$4001,$AB226)&amp;"")</f>
        <v/>
      </c>
      <c r="D226">
        <f>IF($AB226="","",INDEX('Per Line'!$B$2:$B$4001,$AB226)&amp;"")</f>
        <v/>
      </c>
      <c r="E226">
        <f>IF($AB226="","",INDEX('Per Line'!$A$2:$A$4001,$AB226))</f>
        <v/>
      </c>
      <c r="F226" s="11">
        <f>IF($AB226="","",INDEX('Per Line'!$E$2:$E$4001,$AB226))</f>
        <v/>
      </c>
      <c r="G226">
        <f>IF($AB226="","",INDEX('Per Line'!$F$2:$F$4001,$AB226)&amp;"")</f>
        <v/>
      </c>
      <c r="H226">
        <f>IF($AB226="","",INDEX('Per Line'!$H$2:$H$4001,$AB226)&amp;"")</f>
        <v/>
      </c>
      <c r="I226">
        <f>IF($AB226="","",INDEX('Per Line'!$I$2:$I$4001,$AB226)&amp;"")</f>
        <v/>
      </c>
      <c r="J226">
        <f>IF($AB226="","",INDEX('Per Line'!$J$2:$J$4001,$AB226)&amp;"")</f>
        <v/>
      </c>
      <c r="K226">
        <f>IF($AB226="","",INDEX('Per Line'!$K$2:$K$4001,$AB226)&amp;"")</f>
        <v/>
      </c>
      <c r="L226">
        <f>IF($AB226="","",INDEX('Per Line'!$L$2:$L$4001,$AB226))</f>
        <v/>
      </c>
      <c r="M226" s="7">
        <f>IF($AB226="","",IF(AND(ISNUMBER(O226),O226&gt;0,Z226&gt;O226),L226*O226/100+(Z226-O226),L226*Z226/100))</f>
        <v/>
      </c>
      <c r="N226">
        <f>IF($AB226="","",INDEX('Per Line'!$V$2:$V$4001,$AB226)&amp;"")</f>
        <v/>
      </c>
      <c r="O226">
        <f>IF($AB226="","",INDEX('Per Line'!$Z$2:$Z$4001,$AB226))</f>
        <v/>
      </c>
      <c r="P226">
        <f>IF($AB226="","",IF(AND(ISNUMBER(O226),O226&gt;0),Z226&gt;O226,FALSE))</f>
        <v/>
      </c>
      <c r="Q226" s="7">
        <f>IF($AB226="","",SUMIFS('Per Line'!$U$2:$U$4001,'Per Line'!$C$2:$C$4001,$B226,'Per Line'!$AM$2:$AM$4001,1))</f>
        <v/>
      </c>
      <c r="R226">
        <f>IF($AB226="","",Settings!$C$7)</f>
        <v/>
      </c>
      <c r="S226" s="7">
        <f>IF($AB226="","",SUMIFS('Per Line'!$U$2:$U$4001,'Per Line'!$C$2:$C$4001,$B226,'Per Line'!$AL$2:$AL$4001,0,'Per Line'!$AM$2:$AM$4001,0))</f>
        <v/>
      </c>
      <c r="T226" s="7">
        <f>IF($AB226="","",S226*R226)</f>
        <v/>
      </c>
      <c r="U226">
        <f>IF($AB226="","",Settings!$C$6)</f>
        <v/>
      </c>
      <c r="V226" s="7">
        <f>IF($AB226="","",SUMIFS('Per Line'!$U$2:$U$4001,'Per Line'!$C$2:$C$4001,$B226,'Per Line'!$AL$2:$AL$4001,1,'Per Line'!$AM$2:$AM$4001,0))</f>
        <v/>
      </c>
      <c r="W226" s="7">
        <f>IF($AB226="","",V226*U226)</f>
        <v/>
      </c>
      <c r="X226" s="7">
        <f>IF($AB226="","",W226+T226)</f>
        <v/>
      </c>
      <c r="Y226" s="7">
        <f>IF($AB226="","",Z226-X226)</f>
        <v/>
      </c>
      <c r="Z226" s="7">
        <f>IF($AB226="","",S226+V226+Q226)</f>
        <v/>
      </c>
      <c r="AA226" s="7">
        <f>IF($AB226="","",Z226-X226-M226)</f>
        <v/>
      </c>
      <c r="AB226" s="13">
        <f>IF(ROWS($AB$2:$AB226)&lt;=MAX('Per Line'!$AK$2:$AK$4001),MATCH(ROWS($AB$2:$AB226),'Per Line'!$AK$2:$AK$4001,0),"")</f>
        <v/>
      </c>
      <c r="AC226" s="14">
        <f>IF($AB226="","",M226-L226*Z226/100)</f>
        <v/>
      </c>
    </row>
    <row r="227">
      <c r="A227" s="12" t="n"/>
      <c r="B227">
        <f>IF($AB227="","",INDEX('Per Line'!$C$2:$C$4001,$AB227)&amp;"")</f>
        <v/>
      </c>
      <c r="C227">
        <f>IF($AB227="","",INDEX('Per Line'!$D$2:$D$4001,$AB227)&amp;"")</f>
        <v/>
      </c>
      <c r="D227">
        <f>IF($AB227="","",INDEX('Per Line'!$B$2:$B$4001,$AB227)&amp;"")</f>
        <v/>
      </c>
      <c r="E227">
        <f>IF($AB227="","",INDEX('Per Line'!$A$2:$A$4001,$AB227))</f>
        <v/>
      </c>
      <c r="F227" s="11">
        <f>IF($AB227="","",INDEX('Per Line'!$E$2:$E$4001,$AB227))</f>
        <v/>
      </c>
      <c r="G227">
        <f>IF($AB227="","",INDEX('Per Line'!$F$2:$F$4001,$AB227)&amp;"")</f>
        <v/>
      </c>
      <c r="H227">
        <f>IF($AB227="","",INDEX('Per Line'!$H$2:$H$4001,$AB227)&amp;"")</f>
        <v/>
      </c>
      <c r="I227">
        <f>IF($AB227="","",INDEX('Per Line'!$I$2:$I$4001,$AB227)&amp;"")</f>
        <v/>
      </c>
      <c r="J227">
        <f>IF($AB227="","",INDEX('Per Line'!$J$2:$J$4001,$AB227)&amp;"")</f>
        <v/>
      </c>
      <c r="K227">
        <f>IF($AB227="","",INDEX('Per Line'!$K$2:$K$4001,$AB227)&amp;"")</f>
        <v/>
      </c>
      <c r="L227">
        <f>IF($AB227="","",INDEX('Per Line'!$L$2:$L$4001,$AB227))</f>
        <v/>
      </c>
      <c r="M227" s="7">
        <f>IF($AB227="","",IF(AND(ISNUMBER(O227),O227&gt;0,Z227&gt;O227),L227*O227/100+(Z227-O227),L227*Z227/100))</f>
        <v/>
      </c>
      <c r="N227">
        <f>IF($AB227="","",INDEX('Per Line'!$V$2:$V$4001,$AB227)&amp;"")</f>
        <v/>
      </c>
      <c r="O227">
        <f>IF($AB227="","",INDEX('Per Line'!$Z$2:$Z$4001,$AB227))</f>
        <v/>
      </c>
      <c r="P227">
        <f>IF($AB227="","",IF(AND(ISNUMBER(O227),O227&gt;0),Z227&gt;O227,FALSE))</f>
        <v/>
      </c>
      <c r="Q227" s="7">
        <f>IF($AB227="","",SUMIFS('Per Line'!$U$2:$U$4001,'Per Line'!$C$2:$C$4001,$B227,'Per Line'!$AM$2:$AM$4001,1))</f>
        <v/>
      </c>
      <c r="R227">
        <f>IF($AB227="","",Settings!$C$7)</f>
        <v/>
      </c>
      <c r="S227" s="7">
        <f>IF($AB227="","",SUMIFS('Per Line'!$U$2:$U$4001,'Per Line'!$C$2:$C$4001,$B227,'Per Line'!$AL$2:$AL$4001,0,'Per Line'!$AM$2:$AM$4001,0))</f>
        <v/>
      </c>
      <c r="T227" s="7">
        <f>IF($AB227="","",S227*R227)</f>
        <v/>
      </c>
      <c r="U227">
        <f>IF($AB227="","",Settings!$C$6)</f>
        <v/>
      </c>
      <c r="V227" s="7">
        <f>IF($AB227="","",SUMIFS('Per Line'!$U$2:$U$4001,'Per Line'!$C$2:$C$4001,$B227,'Per Line'!$AL$2:$AL$4001,1,'Per Line'!$AM$2:$AM$4001,0))</f>
        <v/>
      </c>
      <c r="W227" s="7">
        <f>IF($AB227="","",V227*U227)</f>
        <v/>
      </c>
      <c r="X227" s="7">
        <f>IF($AB227="","",W227+T227)</f>
        <v/>
      </c>
      <c r="Y227" s="7">
        <f>IF($AB227="","",Z227-X227)</f>
        <v/>
      </c>
      <c r="Z227" s="7">
        <f>IF($AB227="","",S227+V227+Q227)</f>
        <v/>
      </c>
      <c r="AA227" s="7">
        <f>IF($AB227="","",Z227-X227-M227)</f>
        <v/>
      </c>
      <c r="AB227" s="13">
        <f>IF(ROWS($AB$2:$AB227)&lt;=MAX('Per Line'!$AK$2:$AK$4001),MATCH(ROWS($AB$2:$AB227),'Per Line'!$AK$2:$AK$4001,0),"")</f>
        <v/>
      </c>
      <c r="AC227" s="14">
        <f>IF($AB227="","",M227-L227*Z227/100)</f>
        <v/>
      </c>
    </row>
    <row r="228">
      <c r="A228" s="12" t="n"/>
      <c r="B228">
        <f>IF($AB228="","",INDEX('Per Line'!$C$2:$C$4001,$AB228)&amp;"")</f>
        <v/>
      </c>
      <c r="C228">
        <f>IF($AB228="","",INDEX('Per Line'!$D$2:$D$4001,$AB228)&amp;"")</f>
        <v/>
      </c>
      <c r="D228">
        <f>IF($AB228="","",INDEX('Per Line'!$B$2:$B$4001,$AB228)&amp;"")</f>
        <v/>
      </c>
      <c r="E228">
        <f>IF($AB228="","",INDEX('Per Line'!$A$2:$A$4001,$AB228))</f>
        <v/>
      </c>
      <c r="F228" s="11">
        <f>IF($AB228="","",INDEX('Per Line'!$E$2:$E$4001,$AB228))</f>
        <v/>
      </c>
      <c r="G228">
        <f>IF($AB228="","",INDEX('Per Line'!$F$2:$F$4001,$AB228)&amp;"")</f>
        <v/>
      </c>
      <c r="H228">
        <f>IF($AB228="","",INDEX('Per Line'!$H$2:$H$4001,$AB228)&amp;"")</f>
        <v/>
      </c>
      <c r="I228">
        <f>IF($AB228="","",INDEX('Per Line'!$I$2:$I$4001,$AB228)&amp;"")</f>
        <v/>
      </c>
      <c r="J228">
        <f>IF($AB228="","",INDEX('Per Line'!$J$2:$J$4001,$AB228)&amp;"")</f>
        <v/>
      </c>
      <c r="K228">
        <f>IF($AB228="","",INDEX('Per Line'!$K$2:$K$4001,$AB228)&amp;"")</f>
        <v/>
      </c>
      <c r="L228">
        <f>IF($AB228="","",INDEX('Per Line'!$L$2:$L$4001,$AB228))</f>
        <v/>
      </c>
      <c r="M228" s="7">
        <f>IF($AB228="","",IF(AND(ISNUMBER(O228),O228&gt;0,Z228&gt;O228),L228*O228/100+(Z228-O228),L228*Z228/100))</f>
        <v/>
      </c>
      <c r="N228">
        <f>IF($AB228="","",INDEX('Per Line'!$V$2:$V$4001,$AB228)&amp;"")</f>
        <v/>
      </c>
      <c r="O228">
        <f>IF($AB228="","",INDEX('Per Line'!$Z$2:$Z$4001,$AB228))</f>
        <v/>
      </c>
      <c r="P228">
        <f>IF($AB228="","",IF(AND(ISNUMBER(O228),O228&gt;0),Z228&gt;O228,FALSE))</f>
        <v/>
      </c>
      <c r="Q228" s="7">
        <f>IF($AB228="","",SUMIFS('Per Line'!$U$2:$U$4001,'Per Line'!$C$2:$C$4001,$B228,'Per Line'!$AM$2:$AM$4001,1))</f>
        <v/>
      </c>
      <c r="R228">
        <f>IF($AB228="","",Settings!$C$7)</f>
        <v/>
      </c>
      <c r="S228" s="7">
        <f>IF($AB228="","",SUMIFS('Per Line'!$U$2:$U$4001,'Per Line'!$C$2:$C$4001,$B228,'Per Line'!$AL$2:$AL$4001,0,'Per Line'!$AM$2:$AM$4001,0))</f>
        <v/>
      </c>
      <c r="T228" s="7">
        <f>IF($AB228="","",S228*R228)</f>
        <v/>
      </c>
      <c r="U228">
        <f>IF($AB228="","",Settings!$C$6)</f>
        <v/>
      </c>
      <c r="V228" s="7">
        <f>IF($AB228="","",SUMIFS('Per Line'!$U$2:$U$4001,'Per Line'!$C$2:$C$4001,$B228,'Per Line'!$AL$2:$AL$4001,1,'Per Line'!$AM$2:$AM$4001,0))</f>
        <v/>
      </c>
      <c r="W228" s="7">
        <f>IF($AB228="","",V228*U228)</f>
        <v/>
      </c>
      <c r="X228" s="7">
        <f>IF($AB228="","",W228+T228)</f>
        <v/>
      </c>
      <c r="Y228" s="7">
        <f>IF($AB228="","",Z228-X228)</f>
        <v/>
      </c>
      <c r="Z228" s="7">
        <f>IF($AB228="","",S228+V228+Q228)</f>
        <v/>
      </c>
      <c r="AA228" s="7">
        <f>IF($AB228="","",Z228-X228-M228)</f>
        <v/>
      </c>
      <c r="AB228" s="13">
        <f>IF(ROWS($AB$2:$AB228)&lt;=MAX('Per Line'!$AK$2:$AK$4001),MATCH(ROWS($AB$2:$AB228),'Per Line'!$AK$2:$AK$4001,0),"")</f>
        <v/>
      </c>
      <c r="AC228" s="14">
        <f>IF($AB228="","",M228-L228*Z228/100)</f>
        <v/>
      </c>
    </row>
    <row r="229">
      <c r="A229" s="12" t="n"/>
      <c r="B229">
        <f>IF($AB229="","",INDEX('Per Line'!$C$2:$C$4001,$AB229)&amp;"")</f>
        <v/>
      </c>
      <c r="C229">
        <f>IF($AB229="","",INDEX('Per Line'!$D$2:$D$4001,$AB229)&amp;"")</f>
        <v/>
      </c>
      <c r="D229">
        <f>IF($AB229="","",INDEX('Per Line'!$B$2:$B$4001,$AB229)&amp;"")</f>
        <v/>
      </c>
      <c r="E229">
        <f>IF($AB229="","",INDEX('Per Line'!$A$2:$A$4001,$AB229))</f>
        <v/>
      </c>
      <c r="F229" s="11">
        <f>IF($AB229="","",INDEX('Per Line'!$E$2:$E$4001,$AB229))</f>
        <v/>
      </c>
      <c r="G229">
        <f>IF($AB229="","",INDEX('Per Line'!$F$2:$F$4001,$AB229)&amp;"")</f>
        <v/>
      </c>
      <c r="H229">
        <f>IF($AB229="","",INDEX('Per Line'!$H$2:$H$4001,$AB229)&amp;"")</f>
        <v/>
      </c>
      <c r="I229">
        <f>IF($AB229="","",INDEX('Per Line'!$I$2:$I$4001,$AB229)&amp;"")</f>
        <v/>
      </c>
      <c r="J229">
        <f>IF($AB229="","",INDEX('Per Line'!$J$2:$J$4001,$AB229)&amp;"")</f>
        <v/>
      </c>
      <c r="K229">
        <f>IF($AB229="","",INDEX('Per Line'!$K$2:$K$4001,$AB229)&amp;"")</f>
        <v/>
      </c>
      <c r="L229">
        <f>IF($AB229="","",INDEX('Per Line'!$L$2:$L$4001,$AB229))</f>
        <v/>
      </c>
      <c r="M229" s="7">
        <f>IF($AB229="","",IF(AND(ISNUMBER(O229),O229&gt;0,Z229&gt;O229),L229*O229/100+(Z229-O229),L229*Z229/100))</f>
        <v/>
      </c>
      <c r="N229">
        <f>IF($AB229="","",INDEX('Per Line'!$V$2:$V$4001,$AB229)&amp;"")</f>
        <v/>
      </c>
      <c r="O229">
        <f>IF($AB229="","",INDEX('Per Line'!$Z$2:$Z$4001,$AB229))</f>
        <v/>
      </c>
      <c r="P229">
        <f>IF($AB229="","",IF(AND(ISNUMBER(O229),O229&gt;0),Z229&gt;O229,FALSE))</f>
        <v/>
      </c>
      <c r="Q229" s="7">
        <f>IF($AB229="","",SUMIFS('Per Line'!$U$2:$U$4001,'Per Line'!$C$2:$C$4001,$B229,'Per Line'!$AM$2:$AM$4001,1))</f>
        <v/>
      </c>
      <c r="R229">
        <f>IF($AB229="","",Settings!$C$7)</f>
        <v/>
      </c>
      <c r="S229" s="7">
        <f>IF($AB229="","",SUMIFS('Per Line'!$U$2:$U$4001,'Per Line'!$C$2:$C$4001,$B229,'Per Line'!$AL$2:$AL$4001,0,'Per Line'!$AM$2:$AM$4001,0))</f>
        <v/>
      </c>
      <c r="T229" s="7">
        <f>IF($AB229="","",S229*R229)</f>
        <v/>
      </c>
      <c r="U229">
        <f>IF($AB229="","",Settings!$C$6)</f>
        <v/>
      </c>
      <c r="V229" s="7">
        <f>IF($AB229="","",SUMIFS('Per Line'!$U$2:$U$4001,'Per Line'!$C$2:$C$4001,$B229,'Per Line'!$AL$2:$AL$4001,1,'Per Line'!$AM$2:$AM$4001,0))</f>
        <v/>
      </c>
      <c r="W229" s="7">
        <f>IF($AB229="","",V229*U229)</f>
        <v/>
      </c>
      <c r="X229" s="7">
        <f>IF($AB229="","",W229+T229)</f>
        <v/>
      </c>
      <c r="Y229" s="7">
        <f>IF($AB229="","",Z229-X229)</f>
        <v/>
      </c>
      <c r="Z229" s="7">
        <f>IF($AB229="","",S229+V229+Q229)</f>
        <v/>
      </c>
      <c r="AA229" s="7">
        <f>IF($AB229="","",Z229-X229-M229)</f>
        <v/>
      </c>
      <c r="AB229" s="13">
        <f>IF(ROWS($AB$2:$AB229)&lt;=MAX('Per Line'!$AK$2:$AK$4001),MATCH(ROWS($AB$2:$AB229),'Per Line'!$AK$2:$AK$4001,0),"")</f>
        <v/>
      </c>
      <c r="AC229" s="14">
        <f>IF($AB229="","",M229-L229*Z229/100)</f>
        <v/>
      </c>
    </row>
    <row r="230">
      <c r="A230" s="12" t="n"/>
      <c r="B230">
        <f>IF($AB230="","",INDEX('Per Line'!$C$2:$C$4001,$AB230)&amp;"")</f>
        <v/>
      </c>
      <c r="C230">
        <f>IF($AB230="","",INDEX('Per Line'!$D$2:$D$4001,$AB230)&amp;"")</f>
        <v/>
      </c>
      <c r="D230">
        <f>IF($AB230="","",INDEX('Per Line'!$B$2:$B$4001,$AB230)&amp;"")</f>
        <v/>
      </c>
      <c r="E230">
        <f>IF($AB230="","",INDEX('Per Line'!$A$2:$A$4001,$AB230))</f>
        <v/>
      </c>
      <c r="F230" s="11">
        <f>IF($AB230="","",INDEX('Per Line'!$E$2:$E$4001,$AB230))</f>
        <v/>
      </c>
      <c r="G230">
        <f>IF($AB230="","",INDEX('Per Line'!$F$2:$F$4001,$AB230)&amp;"")</f>
        <v/>
      </c>
      <c r="H230">
        <f>IF($AB230="","",INDEX('Per Line'!$H$2:$H$4001,$AB230)&amp;"")</f>
        <v/>
      </c>
      <c r="I230">
        <f>IF($AB230="","",INDEX('Per Line'!$I$2:$I$4001,$AB230)&amp;"")</f>
        <v/>
      </c>
      <c r="J230">
        <f>IF($AB230="","",INDEX('Per Line'!$J$2:$J$4001,$AB230)&amp;"")</f>
        <v/>
      </c>
      <c r="K230">
        <f>IF($AB230="","",INDEX('Per Line'!$K$2:$K$4001,$AB230)&amp;"")</f>
        <v/>
      </c>
      <c r="L230">
        <f>IF($AB230="","",INDEX('Per Line'!$L$2:$L$4001,$AB230))</f>
        <v/>
      </c>
      <c r="M230" s="7">
        <f>IF($AB230="","",IF(AND(ISNUMBER(O230),O230&gt;0,Z230&gt;O230),L230*O230/100+(Z230-O230),L230*Z230/100))</f>
        <v/>
      </c>
      <c r="N230">
        <f>IF($AB230="","",INDEX('Per Line'!$V$2:$V$4001,$AB230)&amp;"")</f>
        <v/>
      </c>
      <c r="O230">
        <f>IF($AB230="","",INDEX('Per Line'!$Z$2:$Z$4001,$AB230))</f>
        <v/>
      </c>
      <c r="P230">
        <f>IF($AB230="","",IF(AND(ISNUMBER(O230),O230&gt;0),Z230&gt;O230,FALSE))</f>
        <v/>
      </c>
      <c r="Q230" s="7">
        <f>IF($AB230="","",SUMIFS('Per Line'!$U$2:$U$4001,'Per Line'!$C$2:$C$4001,$B230,'Per Line'!$AM$2:$AM$4001,1))</f>
        <v/>
      </c>
      <c r="R230">
        <f>IF($AB230="","",Settings!$C$7)</f>
        <v/>
      </c>
      <c r="S230" s="7">
        <f>IF($AB230="","",SUMIFS('Per Line'!$U$2:$U$4001,'Per Line'!$C$2:$C$4001,$B230,'Per Line'!$AL$2:$AL$4001,0,'Per Line'!$AM$2:$AM$4001,0))</f>
        <v/>
      </c>
      <c r="T230" s="7">
        <f>IF($AB230="","",S230*R230)</f>
        <v/>
      </c>
      <c r="U230">
        <f>IF($AB230="","",Settings!$C$6)</f>
        <v/>
      </c>
      <c r="V230" s="7">
        <f>IF($AB230="","",SUMIFS('Per Line'!$U$2:$U$4001,'Per Line'!$C$2:$C$4001,$B230,'Per Line'!$AL$2:$AL$4001,1,'Per Line'!$AM$2:$AM$4001,0))</f>
        <v/>
      </c>
      <c r="W230" s="7">
        <f>IF($AB230="","",V230*U230)</f>
        <v/>
      </c>
      <c r="X230" s="7">
        <f>IF($AB230="","",W230+T230)</f>
        <v/>
      </c>
      <c r="Y230" s="7">
        <f>IF($AB230="","",Z230-X230)</f>
        <v/>
      </c>
      <c r="Z230" s="7">
        <f>IF($AB230="","",S230+V230+Q230)</f>
        <v/>
      </c>
      <c r="AA230" s="7">
        <f>IF($AB230="","",Z230-X230-M230)</f>
        <v/>
      </c>
      <c r="AB230" s="13">
        <f>IF(ROWS($AB$2:$AB230)&lt;=MAX('Per Line'!$AK$2:$AK$4001),MATCH(ROWS($AB$2:$AB230),'Per Line'!$AK$2:$AK$4001,0),"")</f>
        <v/>
      </c>
      <c r="AC230" s="14">
        <f>IF($AB230="","",M230-L230*Z230/100)</f>
        <v/>
      </c>
    </row>
    <row r="231">
      <c r="A231" s="12" t="n"/>
      <c r="B231">
        <f>IF($AB231="","",INDEX('Per Line'!$C$2:$C$4001,$AB231)&amp;"")</f>
        <v/>
      </c>
      <c r="C231">
        <f>IF($AB231="","",INDEX('Per Line'!$D$2:$D$4001,$AB231)&amp;"")</f>
        <v/>
      </c>
      <c r="D231">
        <f>IF($AB231="","",INDEX('Per Line'!$B$2:$B$4001,$AB231)&amp;"")</f>
        <v/>
      </c>
      <c r="E231">
        <f>IF($AB231="","",INDEX('Per Line'!$A$2:$A$4001,$AB231))</f>
        <v/>
      </c>
      <c r="F231" s="11">
        <f>IF($AB231="","",INDEX('Per Line'!$E$2:$E$4001,$AB231))</f>
        <v/>
      </c>
      <c r="G231">
        <f>IF($AB231="","",INDEX('Per Line'!$F$2:$F$4001,$AB231)&amp;"")</f>
        <v/>
      </c>
      <c r="H231">
        <f>IF($AB231="","",INDEX('Per Line'!$H$2:$H$4001,$AB231)&amp;"")</f>
        <v/>
      </c>
      <c r="I231">
        <f>IF($AB231="","",INDEX('Per Line'!$I$2:$I$4001,$AB231)&amp;"")</f>
        <v/>
      </c>
      <c r="J231">
        <f>IF($AB231="","",INDEX('Per Line'!$J$2:$J$4001,$AB231)&amp;"")</f>
        <v/>
      </c>
      <c r="K231">
        <f>IF($AB231="","",INDEX('Per Line'!$K$2:$K$4001,$AB231)&amp;"")</f>
        <v/>
      </c>
      <c r="L231">
        <f>IF($AB231="","",INDEX('Per Line'!$L$2:$L$4001,$AB231))</f>
        <v/>
      </c>
      <c r="M231" s="7">
        <f>IF($AB231="","",IF(AND(ISNUMBER(O231),O231&gt;0,Z231&gt;O231),L231*O231/100+(Z231-O231),L231*Z231/100))</f>
        <v/>
      </c>
      <c r="N231">
        <f>IF($AB231="","",INDEX('Per Line'!$V$2:$V$4001,$AB231)&amp;"")</f>
        <v/>
      </c>
      <c r="O231">
        <f>IF($AB231="","",INDEX('Per Line'!$Z$2:$Z$4001,$AB231))</f>
        <v/>
      </c>
      <c r="P231">
        <f>IF($AB231="","",IF(AND(ISNUMBER(O231),O231&gt;0),Z231&gt;O231,FALSE))</f>
        <v/>
      </c>
      <c r="Q231" s="7">
        <f>IF($AB231="","",SUMIFS('Per Line'!$U$2:$U$4001,'Per Line'!$C$2:$C$4001,$B231,'Per Line'!$AM$2:$AM$4001,1))</f>
        <v/>
      </c>
      <c r="R231">
        <f>IF($AB231="","",Settings!$C$7)</f>
        <v/>
      </c>
      <c r="S231" s="7">
        <f>IF($AB231="","",SUMIFS('Per Line'!$U$2:$U$4001,'Per Line'!$C$2:$C$4001,$B231,'Per Line'!$AL$2:$AL$4001,0,'Per Line'!$AM$2:$AM$4001,0))</f>
        <v/>
      </c>
      <c r="T231" s="7">
        <f>IF($AB231="","",S231*R231)</f>
        <v/>
      </c>
      <c r="U231">
        <f>IF($AB231="","",Settings!$C$6)</f>
        <v/>
      </c>
      <c r="V231" s="7">
        <f>IF($AB231="","",SUMIFS('Per Line'!$U$2:$U$4001,'Per Line'!$C$2:$C$4001,$B231,'Per Line'!$AL$2:$AL$4001,1,'Per Line'!$AM$2:$AM$4001,0))</f>
        <v/>
      </c>
      <c r="W231" s="7">
        <f>IF($AB231="","",V231*U231)</f>
        <v/>
      </c>
      <c r="X231" s="7">
        <f>IF($AB231="","",W231+T231)</f>
        <v/>
      </c>
      <c r="Y231" s="7">
        <f>IF($AB231="","",Z231-X231)</f>
        <v/>
      </c>
      <c r="Z231" s="7">
        <f>IF($AB231="","",S231+V231+Q231)</f>
        <v/>
      </c>
      <c r="AA231" s="7">
        <f>IF($AB231="","",Z231-X231-M231)</f>
        <v/>
      </c>
      <c r="AB231" s="13">
        <f>IF(ROWS($AB$2:$AB231)&lt;=MAX('Per Line'!$AK$2:$AK$4001),MATCH(ROWS($AB$2:$AB231),'Per Line'!$AK$2:$AK$4001,0),"")</f>
        <v/>
      </c>
      <c r="AC231" s="14">
        <f>IF($AB231="","",M231-L231*Z231/100)</f>
        <v/>
      </c>
    </row>
    <row r="232">
      <c r="A232" s="12" t="n"/>
      <c r="B232">
        <f>IF($AB232="","",INDEX('Per Line'!$C$2:$C$4001,$AB232)&amp;"")</f>
        <v/>
      </c>
      <c r="C232">
        <f>IF($AB232="","",INDEX('Per Line'!$D$2:$D$4001,$AB232)&amp;"")</f>
        <v/>
      </c>
      <c r="D232">
        <f>IF($AB232="","",INDEX('Per Line'!$B$2:$B$4001,$AB232)&amp;"")</f>
        <v/>
      </c>
      <c r="E232">
        <f>IF($AB232="","",INDEX('Per Line'!$A$2:$A$4001,$AB232))</f>
        <v/>
      </c>
      <c r="F232" s="11">
        <f>IF($AB232="","",INDEX('Per Line'!$E$2:$E$4001,$AB232))</f>
        <v/>
      </c>
      <c r="G232">
        <f>IF($AB232="","",INDEX('Per Line'!$F$2:$F$4001,$AB232)&amp;"")</f>
        <v/>
      </c>
      <c r="H232">
        <f>IF($AB232="","",INDEX('Per Line'!$H$2:$H$4001,$AB232)&amp;"")</f>
        <v/>
      </c>
      <c r="I232">
        <f>IF($AB232="","",INDEX('Per Line'!$I$2:$I$4001,$AB232)&amp;"")</f>
        <v/>
      </c>
      <c r="J232">
        <f>IF($AB232="","",INDEX('Per Line'!$J$2:$J$4001,$AB232)&amp;"")</f>
        <v/>
      </c>
      <c r="K232">
        <f>IF($AB232="","",INDEX('Per Line'!$K$2:$K$4001,$AB232)&amp;"")</f>
        <v/>
      </c>
      <c r="L232">
        <f>IF($AB232="","",INDEX('Per Line'!$L$2:$L$4001,$AB232))</f>
        <v/>
      </c>
      <c r="M232" s="7">
        <f>IF($AB232="","",IF(AND(ISNUMBER(O232),O232&gt;0,Z232&gt;O232),L232*O232/100+(Z232-O232),L232*Z232/100))</f>
        <v/>
      </c>
      <c r="N232">
        <f>IF($AB232="","",INDEX('Per Line'!$V$2:$V$4001,$AB232)&amp;"")</f>
        <v/>
      </c>
      <c r="O232">
        <f>IF($AB232="","",INDEX('Per Line'!$Z$2:$Z$4001,$AB232))</f>
        <v/>
      </c>
      <c r="P232">
        <f>IF($AB232="","",IF(AND(ISNUMBER(O232),O232&gt;0),Z232&gt;O232,FALSE))</f>
        <v/>
      </c>
      <c r="Q232" s="7">
        <f>IF($AB232="","",SUMIFS('Per Line'!$U$2:$U$4001,'Per Line'!$C$2:$C$4001,$B232,'Per Line'!$AM$2:$AM$4001,1))</f>
        <v/>
      </c>
      <c r="R232">
        <f>IF($AB232="","",Settings!$C$7)</f>
        <v/>
      </c>
      <c r="S232" s="7">
        <f>IF($AB232="","",SUMIFS('Per Line'!$U$2:$U$4001,'Per Line'!$C$2:$C$4001,$B232,'Per Line'!$AL$2:$AL$4001,0,'Per Line'!$AM$2:$AM$4001,0))</f>
        <v/>
      </c>
      <c r="T232" s="7">
        <f>IF($AB232="","",S232*R232)</f>
        <v/>
      </c>
      <c r="U232">
        <f>IF($AB232="","",Settings!$C$6)</f>
        <v/>
      </c>
      <c r="V232" s="7">
        <f>IF($AB232="","",SUMIFS('Per Line'!$U$2:$U$4001,'Per Line'!$C$2:$C$4001,$B232,'Per Line'!$AL$2:$AL$4001,1,'Per Line'!$AM$2:$AM$4001,0))</f>
        <v/>
      </c>
      <c r="W232" s="7">
        <f>IF($AB232="","",V232*U232)</f>
        <v/>
      </c>
      <c r="X232" s="7">
        <f>IF($AB232="","",W232+T232)</f>
        <v/>
      </c>
      <c r="Y232" s="7">
        <f>IF($AB232="","",Z232-X232)</f>
        <v/>
      </c>
      <c r="Z232" s="7">
        <f>IF($AB232="","",S232+V232+Q232)</f>
        <v/>
      </c>
      <c r="AA232" s="7">
        <f>IF($AB232="","",Z232-X232-M232)</f>
        <v/>
      </c>
      <c r="AB232" s="13">
        <f>IF(ROWS($AB$2:$AB232)&lt;=MAX('Per Line'!$AK$2:$AK$4001),MATCH(ROWS($AB$2:$AB232),'Per Line'!$AK$2:$AK$4001,0),"")</f>
        <v/>
      </c>
      <c r="AC232" s="14">
        <f>IF($AB232="","",M232-L232*Z232/100)</f>
        <v/>
      </c>
    </row>
    <row r="233">
      <c r="A233" s="12" t="n"/>
      <c r="B233">
        <f>IF($AB233="","",INDEX('Per Line'!$C$2:$C$4001,$AB233)&amp;"")</f>
        <v/>
      </c>
      <c r="C233">
        <f>IF($AB233="","",INDEX('Per Line'!$D$2:$D$4001,$AB233)&amp;"")</f>
        <v/>
      </c>
      <c r="D233">
        <f>IF($AB233="","",INDEX('Per Line'!$B$2:$B$4001,$AB233)&amp;"")</f>
        <v/>
      </c>
      <c r="E233">
        <f>IF($AB233="","",INDEX('Per Line'!$A$2:$A$4001,$AB233))</f>
        <v/>
      </c>
      <c r="F233" s="11">
        <f>IF($AB233="","",INDEX('Per Line'!$E$2:$E$4001,$AB233))</f>
        <v/>
      </c>
      <c r="G233">
        <f>IF($AB233="","",INDEX('Per Line'!$F$2:$F$4001,$AB233)&amp;"")</f>
        <v/>
      </c>
      <c r="H233">
        <f>IF($AB233="","",INDEX('Per Line'!$H$2:$H$4001,$AB233)&amp;"")</f>
        <v/>
      </c>
      <c r="I233">
        <f>IF($AB233="","",INDEX('Per Line'!$I$2:$I$4001,$AB233)&amp;"")</f>
        <v/>
      </c>
      <c r="J233">
        <f>IF($AB233="","",INDEX('Per Line'!$J$2:$J$4001,$AB233)&amp;"")</f>
        <v/>
      </c>
      <c r="K233">
        <f>IF($AB233="","",INDEX('Per Line'!$K$2:$K$4001,$AB233)&amp;"")</f>
        <v/>
      </c>
      <c r="L233">
        <f>IF($AB233="","",INDEX('Per Line'!$L$2:$L$4001,$AB233))</f>
        <v/>
      </c>
      <c r="M233" s="7">
        <f>IF($AB233="","",IF(AND(ISNUMBER(O233),O233&gt;0,Z233&gt;O233),L233*O233/100+(Z233-O233),L233*Z233/100))</f>
        <v/>
      </c>
      <c r="N233">
        <f>IF($AB233="","",INDEX('Per Line'!$V$2:$V$4001,$AB233)&amp;"")</f>
        <v/>
      </c>
      <c r="O233">
        <f>IF($AB233="","",INDEX('Per Line'!$Z$2:$Z$4001,$AB233))</f>
        <v/>
      </c>
      <c r="P233">
        <f>IF($AB233="","",IF(AND(ISNUMBER(O233),O233&gt;0),Z233&gt;O233,FALSE))</f>
        <v/>
      </c>
      <c r="Q233" s="7">
        <f>IF($AB233="","",SUMIFS('Per Line'!$U$2:$U$4001,'Per Line'!$C$2:$C$4001,$B233,'Per Line'!$AM$2:$AM$4001,1))</f>
        <v/>
      </c>
      <c r="R233">
        <f>IF($AB233="","",Settings!$C$7)</f>
        <v/>
      </c>
      <c r="S233" s="7">
        <f>IF($AB233="","",SUMIFS('Per Line'!$U$2:$U$4001,'Per Line'!$C$2:$C$4001,$B233,'Per Line'!$AL$2:$AL$4001,0,'Per Line'!$AM$2:$AM$4001,0))</f>
        <v/>
      </c>
      <c r="T233" s="7">
        <f>IF($AB233="","",S233*R233)</f>
        <v/>
      </c>
      <c r="U233">
        <f>IF($AB233="","",Settings!$C$6)</f>
        <v/>
      </c>
      <c r="V233" s="7">
        <f>IF($AB233="","",SUMIFS('Per Line'!$U$2:$U$4001,'Per Line'!$C$2:$C$4001,$B233,'Per Line'!$AL$2:$AL$4001,1,'Per Line'!$AM$2:$AM$4001,0))</f>
        <v/>
      </c>
      <c r="W233" s="7">
        <f>IF($AB233="","",V233*U233)</f>
        <v/>
      </c>
      <c r="X233" s="7">
        <f>IF($AB233="","",W233+T233)</f>
        <v/>
      </c>
      <c r="Y233" s="7">
        <f>IF($AB233="","",Z233-X233)</f>
        <v/>
      </c>
      <c r="Z233" s="7">
        <f>IF($AB233="","",S233+V233+Q233)</f>
        <v/>
      </c>
      <c r="AA233" s="7">
        <f>IF($AB233="","",Z233-X233-M233)</f>
        <v/>
      </c>
      <c r="AB233" s="13">
        <f>IF(ROWS($AB$2:$AB233)&lt;=MAX('Per Line'!$AK$2:$AK$4001),MATCH(ROWS($AB$2:$AB233),'Per Line'!$AK$2:$AK$4001,0),"")</f>
        <v/>
      </c>
      <c r="AC233" s="14">
        <f>IF($AB233="","",M233-L233*Z233/100)</f>
        <v/>
      </c>
    </row>
    <row r="234">
      <c r="A234" s="12" t="n"/>
      <c r="B234">
        <f>IF($AB234="","",INDEX('Per Line'!$C$2:$C$4001,$AB234)&amp;"")</f>
        <v/>
      </c>
      <c r="C234">
        <f>IF($AB234="","",INDEX('Per Line'!$D$2:$D$4001,$AB234)&amp;"")</f>
        <v/>
      </c>
      <c r="D234">
        <f>IF($AB234="","",INDEX('Per Line'!$B$2:$B$4001,$AB234)&amp;"")</f>
        <v/>
      </c>
      <c r="E234">
        <f>IF($AB234="","",INDEX('Per Line'!$A$2:$A$4001,$AB234))</f>
        <v/>
      </c>
      <c r="F234" s="11">
        <f>IF($AB234="","",INDEX('Per Line'!$E$2:$E$4001,$AB234))</f>
        <v/>
      </c>
      <c r="G234">
        <f>IF($AB234="","",INDEX('Per Line'!$F$2:$F$4001,$AB234)&amp;"")</f>
        <v/>
      </c>
      <c r="H234">
        <f>IF($AB234="","",INDEX('Per Line'!$H$2:$H$4001,$AB234)&amp;"")</f>
        <v/>
      </c>
      <c r="I234">
        <f>IF($AB234="","",INDEX('Per Line'!$I$2:$I$4001,$AB234)&amp;"")</f>
        <v/>
      </c>
      <c r="J234">
        <f>IF($AB234="","",INDEX('Per Line'!$J$2:$J$4001,$AB234)&amp;"")</f>
        <v/>
      </c>
      <c r="K234">
        <f>IF($AB234="","",INDEX('Per Line'!$K$2:$K$4001,$AB234)&amp;"")</f>
        <v/>
      </c>
      <c r="L234">
        <f>IF($AB234="","",INDEX('Per Line'!$L$2:$L$4001,$AB234))</f>
        <v/>
      </c>
      <c r="M234" s="7">
        <f>IF($AB234="","",IF(AND(ISNUMBER(O234),O234&gt;0,Z234&gt;O234),L234*O234/100+(Z234-O234),L234*Z234/100))</f>
        <v/>
      </c>
      <c r="N234">
        <f>IF($AB234="","",INDEX('Per Line'!$V$2:$V$4001,$AB234)&amp;"")</f>
        <v/>
      </c>
      <c r="O234">
        <f>IF($AB234="","",INDEX('Per Line'!$Z$2:$Z$4001,$AB234))</f>
        <v/>
      </c>
      <c r="P234">
        <f>IF($AB234="","",IF(AND(ISNUMBER(O234),O234&gt;0),Z234&gt;O234,FALSE))</f>
        <v/>
      </c>
      <c r="Q234" s="7">
        <f>IF($AB234="","",SUMIFS('Per Line'!$U$2:$U$4001,'Per Line'!$C$2:$C$4001,$B234,'Per Line'!$AM$2:$AM$4001,1))</f>
        <v/>
      </c>
      <c r="R234">
        <f>IF($AB234="","",Settings!$C$7)</f>
        <v/>
      </c>
      <c r="S234" s="7">
        <f>IF($AB234="","",SUMIFS('Per Line'!$U$2:$U$4001,'Per Line'!$C$2:$C$4001,$B234,'Per Line'!$AL$2:$AL$4001,0,'Per Line'!$AM$2:$AM$4001,0))</f>
        <v/>
      </c>
      <c r="T234" s="7">
        <f>IF($AB234="","",S234*R234)</f>
        <v/>
      </c>
      <c r="U234">
        <f>IF($AB234="","",Settings!$C$6)</f>
        <v/>
      </c>
      <c r="V234" s="7">
        <f>IF($AB234="","",SUMIFS('Per Line'!$U$2:$U$4001,'Per Line'!$C$2:$C$4001,$B234,'Per Line'!$AL$2:$AL$4001,1,'Per Line'!$AM$2:$AM$4001,0))</f>
        <v/>
      </c>
      <c r="W234" s="7">
        <f>IF($AB234="","",V234*U234)</f>
        <v/>
      </c>
      <c r="X234" s="7">
        <f>IF($AB234="","",W234+T234)</f>
        <v/>
      </c>
      <c r="Y234" s="7">
        <f>IF($AB234="","",Z234-X234)</f>
        <v/>
      </c>
      <c r="Z234" s="7">
        <f>IF($AB234="","",S234+V234+Q234)</f>
        <v/>
      </c>
      <c r="AA234" s="7">
        <f>IF($AB234="","",Z234-X234-M234)</f>
        <v/>
      </c>
      <c r="AB234" s="13">
        <f>IF(ROWS($AB$2:$AB234)&lt;=MAX('Per Line'!$AK$2:$AK$4001),MATCH(ROWS($AB$2:$AB234),'Per Line'!$AK$2:$AK$4001,0),"")</f>
        <v/>
      </c>
      <c r="AC234" s="14">
        <f>IF($AB234="","",M234-L234*Z234/100)</f>
        <v/>
      </c>
    </row>
    <row r="235">
      <c r="A235" s="12" t="n"/>
      <c r="B235">
        <f>IF($AB235="","",INDEX('Per Line'!$C$2:$C$4001,$AB235)&amp;"")</f>
        <v/>
      </c>
      <c r="C235">
        <f>IF($AB235="","",INDEX('Per Line'!$D$2:$D$4001,$AB235)&amp;"")</f>
        <v/>
      </c>
      <c r="D235">
        <f>IF($AB235="","",INDEX('Per Line'!$B$2:$B$4001,$AB235)&amp;"")</f>
        <v/>
      </c>
      <c r="E235">
        <f>IF($AB235="","",INDEX('Per Line'!$A$2:$A$4001,$AB235))</f>
        <v/>
      </c>
      <c r="F235" s="11">
        <f>IF($AB235="","",INDEX('Per Line'!$E$2:$E$4001,$AB235))</f>
        <v/>
      </c>
      <c r="G235">
        <f>IF($AB235="","",INDEX('Per Line'!$F$2:$F$4001,$AB235)&amp;"")</f>
        <v/>
      </c>
      <c r="H235">
        <f>IF($AB235="","",INDEX('Per Line'!$H$2:$H$4001,$AB235)&amp;"")</f>
        <v/>
      </c>
      <c r="I235">
        <f>IF($AB235="","",INDEX('Per Line'!$I$2:$I$4001,$AB235)&amp;"")</f>
        <v/>
      </c>
      <c r="J235">
        <f>IF($AB235="","",INDEX('Per Line'!$J$2:$J$4001,$AB235)&amp;"")</f>
        <v/>
      </c>
      <c r="K235">
        <f>IF($AB235="","",INDEX('Per Line'!$K$2:$K$4001,$AB235)&amp;"")</f>
        <v/>
      </c>
      <c r="L235">
        <f>IF($AB235="","",INDEX('Per Line'!$L$2:$L$4001,$AB235))</f>
        <v/>
      </c>
      <c r="M235" s="7">
        <f>IF($AB235="","",IF(AND(ISNUMBER(O235),O235&gt;0,Z235&gt;O235),L235*O235/100+(Z235-O235),L235*Z235/100))</f>
        <v/>
      </c>
      <c r="N235">
        <f>IF($AB235="","",INDEX('Per Line'!$V$2:$V$4001,$AB235)&amp;"")</f>
        <v/>
      </c>
      <c r="O235">
        <f>IF($AB235="","",INDEX('Per Line'!$Z$2:$Z$4001,$AB235))</f>
        <v/>
      </c>
      <c r="P235">
        <f>IF($AB235="","",IF(AND(ISNUMBER(O235),O235&gt;0),Z235&gt;O235,FALSE))</f>
        <v/>
      </c>
      <c r="Q235" s="7">
        <f>IF($AB235="","",SUMIFS('Per Line'!$U$2:$U$4001,'Per Line'!$C$2:$C$4001,$B235,'Per Line'!$AM$2:$AM$4001,1))</f>
        <v/>
      </c>
      <c r="R235">
        <f>IF($AB235="","",Settings!$C$7)</f>
        <v/>
      </c>
      <c r="S235" s="7">
        <f>IF($AB235="","",SUMIFS('Per Line'!$U$2:$U$4001,'Per Line'!$C$2:$C$4001,$B235,'Per Line'!$AL$2:$AL$4001,0,'Per Line'!$AM$2:$AM$4001,0))</f>
        <v/>
      </c>
      <c r="T235" s="7">
        <f>IF($AB235="","",S235*R235)</f>
        <v/>
      </c>
      <c r="U235">
        <f>IF($AB235="","",Settings!$C$6)</f>
        <v/>
      </c>
      <c r="V235" s="7">
        <f>IF($AB235="","",SUMIFS('Per Line'!$U$2:$U$4001,'Per Line'!$C$2:$C$4001,$B235,'Per Line'!$AL$2:$AL$4001,1,'Per Line'!$AM$2:$AM$4001,0))</f>
        <v/>
      </c>
      <c r="W235" s="7">
        <f>IF($AB235="","",V235*U235)</f>
        <v/>
      </c>
      <c r="X235" s="7">
        <f>IF($AB235="","",W235+T235)</f>
        <v/>
      </c>
      <c r="Y235" s="7">
        <f>IF($AB235="","",Z235-X235)</f>
        <v/>
      </c>
      <c r="Z235" s="7">
        <f>IF($AB235="","",S235+V235+Q235)</f>
        <v/>
      </c>
      <c r="AA235" s="7">
        <f>IF($AB235="","",Z235-X235-M235)</f>
        <v/>
      </c>
      <c r="AB235" s="13">
        <f>IF(ROWS($AB$2:$AB235)&lt;=MAX('Per Line'!$AK$2:$AK$4001),MATCH(ROWS($AB$2:$AB235),'Per Line'!$AK$2:$AK$4001,0),"")</f>
        <v/>
      </c>
      <c r="AC235" s="14">
        <f>IF($AB235="","",M235-L235*Z235/100)</f>
        <v/>
      </c>
    </row>
    <row r="236">
      <c r="A236" s="12" t="n"/>
      <c r="B236">
        <f>IF($AB236="","",INDEX('Per Line'!$C$2:$C$4001,$AB236)&amp;"")</f>
        <v/>
      </c>
      <c r="C236">
        <f>IF($AB236="","",INDEX('Per Line'!$D$2:$D$4001,$AB236)&amp;"")</f>
        <v/>
      </c>
      <c r="D236">
        <f>IF($AB236="","",INDEX('Per Line'!$B$2:$B$4001,$AB236)&amp;"")</f>
        <v/>
      </c>
      <c r="E236">
        <f>IF($AB236="","",INDEX('Per Line'!$A$2:$A$4001,$AB236))</f>
        <v/>
      </c>
      <c r="F236" s="11">
        <f>IF($AB236="","",INDEX('Per Line'!$E$2:$E$4001,$AB236))</f>
        <v/>
      </c>
      <c r="G236">
        <f>IF($AB236="","",INDEX('Per Line'!$F$2:$F$4001,$AB236)&amp;"")</f>
        <v/>
      </c>
      <c r="H236">
        <f>IF($AB236="","",INDEX('Per Line'!$H$2:$H$4001,$AB236)&amp;"")</f>
        <v/>
      </c>
      <c r="I236">
        <f>IF($AB236="","",INDEX('Per Line'!$I$2:$I$4001,$AB236)&amp;"")</f>
        <v/>
      </c>
      <c r="J236">
        <f>IF($AB236="","",INDEX('Per Line'!$J$2:$J$4001,$AB236)&amp;"")</f>
        <v/>
      </c>
      <c r="K236">
        <f>IF($AB236="","",INDEX('Per Line'!$K$2:$K$4001,$AB236)&amp;"")</f>
        <v/>
      </c>
      <c r="L236">
        <f>IF($AB236="","",INDEX('Per Line'!$L$2:$L$4001,$AB236))</f>
        <v/>
      </c>
      <c r="M236" s="7">
        <f>IF($AB236="","",IF(AND(ISNUMBER(O236),O236&gt;0,Z236&gt;O236),L236*O236/100+(Z236-O236),L236*Z236/100))</f>
        <v/>
      </c>
      <c r="N236">
        <f>IF($AB236="","",INDEX('Per Line'!$V$2:$V$4001,$AB236)&amp;"")</f>
        <v/>
      </c>
      <c r="O236">
        <f>IF($AB236="","",INDEX('Per Line'!$Z$2:$Z$4001,$AB236))</f>
        <v/>
      </c>
      <c r="P236">
        <f>IF($AB236="","",IF(AND(ISNUMBER(O236),O236&gt;0),Z236&gt;O236,FALSE))</f>
        <v/>
      </c>
      <c r="Q236" s="7">
        <f>IF($AB236="","",SUMIFS('Per Line'!$U$2:$U$4001,'Per Line'!$C$2:$C$4001,$B236,'Per Line'!$AM$2:$AM$4001,1))</f>
        <v/>
      </c>
      <c r="R236">
        <f>IF($AB236="","",Settings!$C$7)</f>
        <v/>
      </c>
      <c r="S236" s="7">
        <f>IF($AB236="","",SUMIFS('Per Line'!$U$2:$U$4001,'Per Line'!$C$2:$C$4001,$B236,'Per Line'!$AL$2:$AL$4001,0,'Per Line'!$AM$2:$AM$4001,0))</f>
        <v/>
      </c>
      <c r="T236" s="7">
        <f>IF($AB236="","",S236*R236)</f>
        <v/>
      </c>
      <c r="U236">
        <f>IF($AB236="","",Settings!$C$6)</f>
        <v/>
      </c>
      <c r="V236" s="7">
        <f>IF($AB236="","",SUMIFS('Per Line'!$U$2:$U$4001,'Per Line'!$C$2:$C$4001,$B236,'Per Line'!$AL$2:$AL$4001,1,'Per Line'!$AM$2:$AM$4001,0))</f>
        <v/>
      </c>
      <c r="W236" s="7">
        <f>IF($AB236="","",V236*U236)</f>
        <v/>
      </c>
      <c r="X236" s="7">
        <f>IF($AB236="","",W236+T236)</f>
        <v/>
      </c>
      <c r="Y236" s="7">
        <f>IF($AB236="","",Z236-X236)</f>
        <v/>
      </c>
      <c r="Z236" s="7">
        <f>IF($AB236="","",S236+V236+Q236)</f>
        <v/>
      </c>
      <c r="AA236" s="7">
        <f>IF($AB236="","",Z236-X236-M236)</f>
        <v/>
      </c>
      <c r="AB236" s="13">
        <f>IF(ROWS($AB$2:$AB236)&lt;=MAX('Per Line'!$AK$2:$AK$4001),MATCH(ROWS($AB$2:$AB236),'Per Line'!$AK$2:$AK$4001,0),"")</f>
        <v/>
      </c>
      <c r="AC236" s="14">
        <f>IF($AB236="","",M236-L236*Z236/100)</f>
        <v/>
      </c>
    </row>
    <row r="237">
      <c r="A237" s="12" t="n"/>
      <c r="B237">
        <f>IF($AB237="","",INDEX('Per Line'!$C$2:$C$4001,$AB237)&amp;"")</f>
        <v/>
      </c>
      <c r="C237">
        <f>IF($AB237="","",INDEX('Per Line'!$D$2:$D$4001,$AB237)&amp;"")</f>
        <v/>
      </c>
      <c r="D237">
        <f>IF($AB237="","",INDEX('Per Line'!$B$2:$B$4001,$AB237)&amp;"")</f>
        <v/>
      </c>
      <c r="E237">
        <f>IF($AB237="","",INDEX('Per Line'!$A$2:$A$4001,$AB237))</f>
        <v/>
      </c>
      <c r="F237" s="11">
        <f>IF($AB237="","",INDEX('Per Line'!$E$2:$E$4001,$AB237))</f>
        <v/>
      </c>
      <c r="G237">
        <f>IF($AB237="","",INDEX('Per Line'!$F$2:$F$4001,$AB237)&amp;"")</f>
        <v/>
      </c>
      <c r="H237">
        <f>IF($AB237="","",INDEX('Per Line'!$H$2:$H$4001,$AB237)&amp;"")</f>
        <v/>
      </c>
      <c r="I237">
        <f>IF($AB237="","",INDEX('Per Line'!$I$2:$I$4001,$AB237)&amp;"")</f>
        <v/>
      </c>
      <c r="J237">
        <f>IF($AB237="","",INDEX('Per Line'!$J$2:$J$4001,$AB237)&amp;"")</f>
        <v/>
      </c>
      <c r="K237">
        <f>IF($AB237="","",INDEX('Per Line'!$K$2:$K$4001,$AB237)&amp;"")</f>
        <v/>
      </c>
      <c r="L237">
        <f>IF($AB237="","",INDEX('Per Line'!$L$2:$L$4001,$AB237))</f>
        <v/>
      </c>
      <c r="M237" s="7">
        <f>IF($AB237="","",IF(AND(ISNUMBER(O237),O237&gt;0,Z237&gt;O237),L237*O237/100+(Z237-O237),L237*Z237/100))</f>
        <v/>
      </c>
      <c r="N237">
        <f>IF($AB237="","",INDEX('Per Line'!$V$2:$V$4001,$AB237)&amp;"")</f>
        <v/>
      </c>
      <c r="O237">
        <f>IF($AB237="","",INDEX('Per Line'!$Z$2:$Z$4001,$AB237))</f>
        <v/>
      </c>
      <c r="P237">
        <f>IF($AB237="","",IF(AND(ISNUMBER(O237),O237&gt;0),Z237&gt;O237,FALSE))</f>
        <v/>
      </c>
      <c r="Q237" s="7">
        <f>IF($AB237="","",SUMIFS('Per Line'!$U$2:$U$4001,'Per Line'!$C$2:$C$4001,$B237,'Per Line'!$AM$2:$AM$4001,1))</f>
        <v/>
      </c>
      <c r="R237">
        <f>IF($AB237="","",Settings!$C$7)</f>
        <v/>
      </c>
      <c r="S237" s="7">
        <f>IF($AB237="","",SUMIFS('Per Line'!$U$2:$U$4001,'Per Line'!$C$2:$C$4001,$B237,'Per Line'!$AL$2:$AL$4001,0,'Per Line'!$AM$2:$AM$4001,0))</f>
        <v/>
      </c>
      <c r="T237" s="7">
        <f>IF($AB237="","",S237*R237)</f>
        <v/>
      </c>
      <c r="U237">
        <f>IF($AB237="","",Settings!$C$6)</f>
        <v/>
      </c>
      <c r="V237" s="7">
        <f>IF($AB237="","",SUMIFS('Per Line'!$U$2:$U$4001,'Per Line'!$C$2:$C$4001,$B237,'Per Line'!$AL$2:$AL$4001,1,'Per Line'!$AM$2:$AM$4001,0))</f>
        <v/>
      </c>
      <c r="W237" s="7">
        <f>IF($AB237="","",V237*U237)</f>
        <v/>
      </c>
      <c r="X237" s="7">
        <f>IF($AB237="","",W237+T237)</f>
        <v/>
      </c>
      <c r="Y237" s="7">
        <f>IF($AB237="","",Z237-X237)</f>
        <v/>
      </c>
      <c r="Z237" s="7">
        <f>IF($AB237="","",S237+V237+Q237)</f>
        <v/>
      </c>
      <c r="AA237" s="7">
        <f>IF($AB237="","",Z237-X237-M237)</f>
        <v/>
      </c>
      <c r="AB237" s="13">
        <f>IF(ROWS($AB$2:$AB237)&lt;=MAX('Per Line'!$AK$2:$AK$4001),MATCH(ROWS($AB$2:$AB237),'Per Line'!$AK$2:$AK$4001,0),"")</f>
        <v/>
      </c>
      <c r="AC237" s="14">
        <f>IF($AB237="","",M237-L237*Z237/100)</f>
        <v/>
      </c>
    </row>
    <row r="238">
      <c r="A238" s="12" t="n"/>
      <c r="B238">
        <f>IF($AB238="","",INDEX('Per Line'!$C$2:$C$4001,$AB238)&amp;"")</f>
        <v/>
      </c>
      <c r="C238">
        <f>IF($AB238="","",INDEX('Per Line'!$D$2:$D$4001,$AB238)&amp;"")</f>
        <v/>
      </c>
      <c r="D238">
        <f>IF($AB238="","",INDEX('Per Line'!$B$2:$B$4001,$AB238)&amp;"")</f>
        <v/>
      </c>
      <c r="E238">
        <f>IF($AB238="","",INDEX('Per Line'!$A$2:$A$4001,$AB238))</f>
        <v/>
      </c>
      <c r="F238" s="11">
        <f>IF($AB238="","",INDEX('Per Line'!$E$2:$E$4001,$AB238))</f>
        <v/>
      </c>
      <c r="G238">
        <f>IF($AB238="","",INDEX('Per Line'!$F$2:$F$4001,$AB238)&amp;"")</f>
        <v/>
      </c>
      <c r="H238">
        <f>IF($AB238="","",INDEX('Per Line'!$H$2:$H$4001,$AB238)&amp;"")</f>
        <v/>
      </c>
      <c r="I238">
        <f>IF($AB238="","",INDEX('Per Line'!$I$2:$I$4001,$AB238)&amp;"")</f>
        <v/>
      </c>
      <c r="J238">
        <f>IF($AB238="","",INDEX('Per Line'!$J$2:$J$4001,$AB238)&amp;"")</f>
        <v/>
      </c>
      <c r="K238">
        <f>IF($AB238="","",INDEX('Per Line'!$K$2:$K$4001,$AB238)&amp;"")</f>
        <v/>
      </c>
      <c r="L238">
        <f>IF($AB238="","",INDEX('Per Line'!$L$2:$L$4001,$AB238))</f>
        <v/>
      </c>
      <c r="M238" s="7">
        <f>IF($AB238="","",IF(AND(ISNUMBER(O238),O238&gt;0,Z238&gt;O238),L238*O238/100+(Z238-O238),L238*Z238/100))</f>
        <v/>
      </c>
      <c r="N238">
        <f>IF($AB238="","",INDEX('Per Line'!$V$2:$V$4001,$AB238)&amp;"")</f>
        <v/>
      </c>
      <c r="O238">
        <f>IF($AB238="","",INDEX('Per Line'!$Z$2:$Z$4001,$AB238))</f>
        <v/>
      </c>
      <c r="P238">
        <f>IF($AB238="","",IF(AND(ISNUMBER(O238),O238&gt;0),Z238&gt;O238,FALSE))</f>
        <v/>
      </c>
      <c r="Q238" s="7">
        <f>IF($AB238="","",SUMIFS('Per Line'!$U$2:$U$4001,'Per Line'!$C$2:$C$4001,$B238,'Per Line'!$AM$2:$AM$4001,1))</f>
        <v/>
      </c>
      <c r="R238">
        <f>IF($AB238="","",Settings!$C$7)</f>
        <v/>
      </c>
      <c r="S238" s="7">
        <f>IF($AB238="","",SUMIFS('Per Line'!$U$2:$U$4001,'Per Line'!$C$2:$C$4001,$B238,'Per Line'!$AL$2:$AL$4001,0,'Per Line'!$AM$2:$AM$4001,0))</f>
        <v/>
      </c>
      <c r="T238" s="7">
        <f>IF($AB238="","",S238*R238)</f>
        <v/>
      </c>
      <c r="U238">
        <f>IF($AB238="","",Settings!$C$6)</f>
        <v/>
      </c>
      <c r="V238" s="7">
        <f>IF($AB238="","",SUMIFS('Per Line'!$U$2:$U$4001,'Per Line'!$C$2:$C$4001,$B238,'Per Line'!$AL$2:$AL$4001,1,'Per Line'!$AM$2:$AM$4001,0))</f>
        <v/>
      </c>
      <c r="W238" s="7">
        <f>IF($AB238="","",V238*U238)</f>
        <v/>
      </c>
      <c r="X238" s="7">
        <f>IF($AB238="","",W238+T238)</f>
        <v/>
      </c>
      <c r="Y238" s="7">
        <f>IF($AB238="","",Z238-X238)</f>
        <v/>
      </c>
      <c r="Z238" s="7">
        <f>IF($AB238="","",S238+V238+Q238)</f>
        <v/>
      </c>
      <c r="AA238" s="7">
        <f>IF($AB238="","",Z238-X238-M238)</f>
        <v/>
      </c>
      <c r="AB238" s="13">
        <f>IF(ROWS($AB$2:$AB238)&lt;=MAX('Per Line'!$AK$2:$AK$4001),MATCH(ROWS($AB$2:$AB238),'Per Line'!$AK$2:$AK$4001,0),"")</f>
        <v/>
      </c>
      <c r="AC238" s="14">
        <f>IF($AB238="","",M238-L238*Z238/100)</f>
        <v/>
      </c>
    </row>
    <row r="239">
      <c r="A239" s="12" t="n"/>
      <c r="B239">
        <f>IF($AB239="","",INDEX('Per Line'!$C$2:$C$4001,$AB239)&amp;"")</f>
        <v/>
      </c>
      <c r="C239">
        <f>IF($AB239="","",INDEX('Per Line'!$D$2:$D$4001,$AB239)&amp;"")</f>
        <v/>
      </c>
      <c r="D239">
        <f>IF($AB239="","",INDEX('Per Line'!$B$2:$B$4001,$AB239)&amp;"")</f>
        <v/>
      </c>
      <c r="E239">
        <f>IF($AB239="","",INDEX('Per Line'!$A$2:$A$4001,$AB239))</f>
        <v/>
      </c>
      <c r="F239" s="11">
        <f>IF($AB239="","",INDEX('Per Line'!$E$2:$E$4001,$AB239))</f>
        <v/>
      </c>
      <c r="G239">
        <f>IF($AB239="","",INDEX('Per Line'!$F$2:$F$4001,$AB239)&amp;"")</f>
        <v/>
      </c>
      <c r="H239">
        <f>IF($AB239="","",INDEX('Per Line'!$H$2:$H$4001,$AB239)&amp;"")</f>
        <v/>
      </c>
      <c r="I239">
        <f>IF($AB239="","",INDEX('Per Line'!$I$2:$I$4001,$AB239)&amp;"")</f>
        <v/>
      </c>
      <c r="J239">
        <f>IF($AB239="","",INDEX('Per Line'!$J$2:$J$4001,$AB239)&amp;"")</f>
        <v/>
      </c>
      <c r="K239">
        <f>IF($AB239="","",INDEX('Per Line'!$K$2:$K$4001,$AB239)&amp;"")</f>
        <v/>
      </c>
      <c r="L239">
        <f>IF($AB239="","",INDEX('Per Line'!$L$2:$L$4001,$AB239))</f>
        <v/>
      </c>
      <c r="M239" s="7">
        <f>IF($AB239="","",IF(AND(ISNUMBER(O239),O239&gt;0,Z239&gt;O239),L239*O239/100+(Z239-O239),L239*Z239/100))</f>
        <v/>
      </c>
      <c r="N239">
        <f>IF($AB239="","",INDEX('Per Line'!$V$2:$V$4001,$AB239)&amp;"")</f>
        <v/>
      </c>
      <c r="O239">
        <f>IF($AB239="","",INDEX('Per Line'!$Z$2:$Z$4001,$AB239))</f>
        <v/>
      </c>
      <c r="P239">
        <f>IF($AB239="","",IF(AND(ISNUMBER(O239),O239&gt;0),Z239&gt;O239,FALSE))</f>
        <v/>
      </c>
      <c r="Q239" s="7">
        <f>IF($AB239="","",SUMIFS('Per Line'!$U$2:$U$4001,'Per Line'!$C$2:$C$4001,$B239,'Per Line'!$AM$2:$AM$4001,1))</f>
        <v/>
      </c>
      <c r="R239">
        <f>IF($AB239="","",Settings!$C$7)</f>
        <v/>
      </c>
      <c r="S239" s="7">
        <f>IF($AB239="","",SUMIFS('Per Line'!$U$2:$U$4001,'Per Line'!$C$2:$C$4001,$B239,'Per Line'!$AL$2:$AL$4001,0,'Per Line'!$AM$2:$AM$4001,0))</f>
        <v/>
      </c>
      <c r="T239" s="7">
        <f>IF($AB239="","",S239*R239)</f>
        <v/>
      </c>
      <c r="U239">
        <f>IF($AB239="","",Settings!$C$6)</f>
        <v/>
      </c>
      <c r="V239" s="7">
        <f>IF($AB239="","",SUMIFS('Per Line'!$U$2:$U$4001,'Per Line'!$C$2:$C$4001,$B239,'Per Line'!$AL$2:$AL$4001,1,'Per Line'!$AM$2:$AM$4001,0))</f>
        <v/>
      </c>
      <c r="W239" s="7">
        <f>IF($AB239="","",V239*U239)</f>
        <v/>
      </c>
      <c r="X239" s="7">
        <f>IF($AB239="","",W239+T239)</f>
        <v/>
      </c>
      <c r="Y239" s="7">
        <f>IF($AB239="","",Z239-X239)</f>
        <v/>
      </c>
      <c r="Z239" s="7">
        <f>IF($AB239="","",S239+V239+Q239)</f>
        <v/>
      </c>
      <c r="AA239" s="7">
        <f>IF($AB239="","",Z239-X239-M239)</f>
        <v/>
      </c>
      <c r="AB239" s="13">
        <f>IF(ROWS($AB$2:$AB239)&lt;=MAX('Per Line'!$AK$2:$AK$4001),MATCH(ROWS($AB$2:$AB239),'Per Line'!$AK$2:$AK$4001,0),"")</f>
        <v/>
      </c>
      <c r="AC239" s="14">
        <f>IF($AB239="","",M239-L239*Z239/100)</f>
        <v/>
      </c>
    </row>
    <row r="240">
      <c r="A240" s="12" t="n"/>
      <c r="B240">
        <f>IF($AB240="","",INDEX('Per Line'!$C$2:$C$4001,$AB240)&amp;"")</f>
        <v/>
      </c>
      <c r="C240">
        <f>IF($AB240="","",INDEX('Per Line'!$D$2:$D$4001,$AB240)&amp;"")</f>
        <v/>
      </c>
      <c r="D240">
        <f>IF($AB240="","",INDEX('Per Line'!$B$2:$B$4001,$AB240)&amp;"")</f>
        <v/>
      </c>
      <c r="E240">
        <f>IF($AB240="","",INDEX('Per Line'!$A$2:$A$4001,$AB240))</f>
        <v/>
      </c>
      <c r="F240" s="11">
        <f>IF($AB240="","",INDEX('Per Line'!$E$2:$E$4001,$AB240))</f>
        <v/>
      </c>
      <c r="G240">
        <f>IF($AB240="","",INDEX('Per Line'!$F$2:$F$4001,$AB240)&amp;"")</f>
        <v/>
      </c>
      <c r="H240">
        <f>IF($AB240="","",INDEX('Per Line'!$H$2:$H$4001,$AB240)&amp;"")</f>
        <v/>
      </c>
      <c r="I240">
        <f>IF($AB240="","",INDEX('Per Line'!$I$2:$I$4001,$AB240)&amp;"")</f>
        <v/>
      </c>
      <c r="J240">
        <f>IF($AB240="","",INDEX('Per Line'!$J$2:$J$4001,$AB240)&amp;"")</f>
        <v/>
      </c>
      <c r="K240">
        <f>IF($AB240="","",INDEX('Per Line'!$K$2:$K$4001,$AB240)&amp;"")</f>
        <v/>
      </c>
      <c r="L240">
        <f>IF($AB240="","",INDEX('Per Line'!$L$2:$L$4001,$AB240))</f>
        <v/>
      </c>
      <c r="M240" s="7">
        <f>IF($AB240="","",IF(AND(ISNUMBER(O240),O240&gt;0,Z240&gt;O240),L240*O240/100+(Z240-O240),L240*Z240/100))</f>
        <v/>
      </c>
      <c r="N240">
        <f>IF($AB240="","",INDEX('Per Line'!$V$2:$V$4001,$AB240)&amp;"")</f>
        <v/>
      </c>
      <c r="O240">
        <f>IF($AB240="","",INDEX('Per Line'!$Z$2:$Z$4001,$AB240))</f>
        <v/>
      </c>
      <c r="P240">
        <f>IF($AB240="","",IF(AND(ISNUMBER(O240),O240&gt;0),Z240&gt;O240,FALSE))</f>
        <v/>
      </c>
      <c r="Q240" s="7">
        <f>IF($AB240="","",SUMIFS('Per Line'!$U$2:$U$4001,'Per Line'!$C$2:$C$4001,$B240,'Per Line'!$AM$2:$AM$4001,1))</f>
        <v/>
      </c>
      <c r="R240">
        <f>IF($AB240="","",Settings!$C$7)</f>
        <v/>
      </c>
      <c r="S240" s="7">
        <f>IF($AB240="","",SUMIFS('Per Line'!$U$2:$U$4001,'Per Line'!$C$2:$C$4001,$B240,'Per Line'!$AL$2:$AL$4001,0,'Per Line'!$AM$2:$AM$4001,0))</f>
        <v/>
      </c>
      <c r="T240" s="7">
        <f>IF($AB240="","",S240*R240)</f>
        <v/>
      </c>
      <c r="U240">
        <f>IF($AB240="","",Settings!$C$6)</f>
        <v/>
      </c>
      <c r="V240" s="7">
        <f>IF($AB240="","",SUMIFS('Per Line'!$U$2:$U$4001,'Per Line'!$C$2:$C$4001,$B240,'Per Line'!$AL$2:$AL$4001,1,'Per Line'!$AM$2:$AM$4001,0))</f>
        <v/>
      </c>
      <c r="W240" s="7">
        <f>IF($AB240="","",V240*U240)</f>
        <v/>
      </c>
      <c r="X240" s="7">
        <f>IF($AB240="","",W240+T240)</f>
        <v/>
      </c>
      <c r="Y240" s="7">
        <f>IF($AB240="","",Z240-X240)</f>
        <v/>
      </c>
      <c r="Z240" s="7">
        <f>IF($AB240="","",S240+V240+Q240)</f>
        <v/>
      </c>
      <c r="AA240" s="7">
        <f>IF($AB240="","",Z240-X240-M240)</f>
        <v/>
      </c>
      <c r="AB240" s="13">
        <f>IF(ROWS($AB$2:$AB240)&lt;=MAX('Per Line'!$AK$2:$AK$4001),MATCH(ROWS($AB$2:$AB240),'Per Line'!$AK$2:$AK$4001,0),"")</f>
        <v/>
      </c>
      <c r="AC240" s="14">
        <f>IF($AB240="","",M240-L240*Z240/100)</f>
        <v/>
      </c>
    </row>
    <row r="241">
      <c r="A241" s="12" t="n"/>
      <c r="B241">
        <f>IF($AB241="","",INDEX('Per Line'!$C$2:$C$4001,$AB241)&amp;"")</f>
        <v/>
      </c>
      <c r="C241">
        <f>IF($AB241="","",INDEX('Per Line'!$D$2:$D$4001,$AB241)&amp;"")</f>
        <v/>
      </c>
      <c r="D241">
        <f>IF($AB241="","",INDEX('Per Line'!$B$2:$B$4001,$AB241)&amp;"")</f>
        <v/>
      </c>
      <c r="E241">
        <f>IF($AB241="","",INDEX('Per Line'!$A$2:$A$4001,$AB241))</f>
        <v/>
      </c>
      <c r="F241" s="11">
        <f>IF($AB241="","",INDEX('Per Line'!$E$2:$E$4001,$AB241))</f>
        <v/>
      </c>
      <c r="G241">
        <f>IF($AB241="","",INDEX('Per Line'!$F$2:$F$4001,$AB241)&amp;"")</f>
        <v/>
      </c>
      <c r="H241">
        <f>IF($AB241="","",INDEX('Per Line'!$H$2:$H$4001,$AB241)&amp;"")</f>
        <v/>
      </c>
      <c r="I241">
        <f>IF($AB241="","",INDEX('Per Line'!$I$2:$I$4001,$AB241)&amp;"")</f>
        <v/>
      </c>
      <c r="J241">
        <f>IF($AB241="","",INDEX('Per Line'!$J$2:$J$4001,$AB241)&amp;"")</f>
        <v/>
      </c>
      <c r="K241">
        <f>IF($AB241="","",INDEX('Per Line'!$K$2:$K$4001,$AB241)&amp;"")</f>
        <v/>
      </c>
      <c r="L241">
        <f>IF($AB241="","",INDEX('Per Line'!$L$2:$L$4001,$AB241))</f>
        <v/>
      </c>
      <c r="M241" s="7">
        <f>IF($AB241="","",IF(AND(ISNUMBER(O241),O241&gt;0,Z241&gt;O241),L241*O241/100+(Z241-O241),L241*Z241/100))</f>
        <v/>
      </c>
      <c r="N241">
        <f>IF($AB241="","",INDEX('Per Line'!$V$2:$V$4001,$AB241)&amp;"")</f>
        <v/>
      </c>
      <c r="O241">
        <f>IF($AB241="","",INDEX('Per Line'!$Z$2:$Z$4001,$AB241))</f>
        <v/>
      </c>
      <c r="P241">
        <f>IF($AB241="","",IF(AND(ISNUMBER(O241),O241&gt;0),Z241&gt;O241,FALSE))</f>
        <v/>
      </c>
      <c r="Q241" s="7">
        <f>IF($AB241="","",SUMIFS('Per Line'!$U$2:$U$4001,'Per Line'!$C$2:$C$4001,$B241,'Per Line'!$AM$2:$AM$4001,1))</f>
        <v/>
      </c>
      <c r="R241">
        <f>IF($AB241="","",Settings!$C$7)</f>
        <v/>
      </c>
      <c r="S241" s="7">
        <f>IF($AB241="","",SUMIFS('Per Line'!$U$2:$U$4001,'Per Line'!$C$2:$C$4001,$B241,'Per Line'!$AL$2:$AL$4001,0,'Per Line'!$AM$2:$AM$4001,0))</f>
        <v/>
      </c>
      <c r="T241" s="7">
        <f>IF($AB241="","",S241*R241)</f>
        <v/>
      </c>
      <c r="U241">
        <f>IF($AB241="","",Settings!$C$6)</f>
        <v/>
      </c>
      <c r="V241" s="7">
        <f>IF($AB241="","",SUMIFS('Per Line'!$U$2:$U$4001,'Per Line'!$C$2:$C$4001,$B241,'Per Line'!$AL$2:$AL$4001,1,'Per Line'!$AM$2:$AM$4001,0))</f>
        <v/>
      </c>
      <c r="W241" s="7">
        <f>IF($AB241="","",V241*U241)</f>
        <v/>
      </c>
      <c r="X241" s="7">
        <f>IF($AB241="","",W241+T241)</f>
        <v/>
      </c>
      <c r="Y241" s="7">
        <f>IF($AB241="","",Z241-X241)</f>
        <v/>
      </c>
      <c r="Z241" s="7">
        <f>IF($AB241="","",S241+V241+Q241)</f>
        <v/>
      </c>
      <c r="AA241" s="7">
        <f>IF($AB241="","",Z241-X241-M241)</f>
        <v/>
      </c>
      <c r="AB241" s="13">
        <f>IF(ROWS($AB$2:$AB241)&lt;=MAX('Per Line'!$AK$2:$AK$4001),MATCH(ROWS($AB$2:$AB241),'Per Line'!$AK$2:$AK$4001,0),"")</f>
        <v/>
      </c>
      <c r="AC241" s="14">
        <f>IF($AB241="","",M241-L241*Z241/100)</f>
        <v/>
      </c>
    </row>
    <row r="242">
      <c r="A242" s="12" t="n"/>
      <c r="B242">
        <f>IF($AB242="","",INDEX('Per Line'!$C$2:$C$4001,$AB242)&amp;"")</f>
        <v/>
      </c>
      <c r="C242">
        <f>IF($AB242="","",INDEX('Per Line'!$D$2:$D$4001,$AB242)&amp;"")</f>
        <v/>
      </c>
      <c r="D242">
        <f>IF($AB242="","",INDEX('Per Line'!$B$2:$B$4001,$AB242)&amp;"")</f>
        <v/>
      </c>
      <c r="E242">
        <f>IF($AB242="","",INDEX('Per Line'!$A$2:$A$4001,$AB242))</f>
        <v/>
      </c>
      <c r="F242" s="11">
        <f>IF($AB242="","",INDEX('Per Line'!$E$2:$E$4001,$AB242))</f>
        <v/>
      </c>
      <c r="G242">
        <f>IF($AB242="","",INDEX('Per Line'!$F$2:$F$4001,$AB242)&amp;"")</f>
        <v/>
      </c>
      <c r="H242">
        <f>IF($AB242="","",INDEX('Per Line'!$H$2:$H$4001,$AB242)&amp;"")</f>
        <v/>
      </c>
      <c r="I242">
        <f>IF($AB242="","",INDEX('Per Line'!$I$2:$I$4001,$AB242)&amp;"")</f>
        <v/>
      </c>
      <c r="J242">
        <f>IF($AB242="","",INDEX('Per Line'!$J$2:$J$4001,$AB242)&amp;"")</f>
        <v/>
      </c>
      <c r="K242">
        <f>IF($AB242="","",INDEX('Per Line'!$K$2:$K$4001,$AB242)&amp;"")</f>
        <v/>
      </c>
      <c r="L242">
        <f>IF($AB242="","",INDEX('Per Line'!$L$2:$L$4001,$AB242))</f>
        <v/>
      </c>
      <c r="M242" s="7">
        <f>IF($AB242="","",IF(AND(ISNUMBER(O242),O242&gt;0,Z242&gt;O242),L242*O242/100+(Z242-O242),L242*Z242/100))</f>
        <v/>
      </c>
      <c r="N242">
        <f>IF($AB242="","",INDEX('Per Line'!$V$2:$V$4001,$AB242)&amp;"")</f>
        <v/>
      </c>
      <c r="O242">
        <f>IF($AB242="","",INDEX('Per Line'!$Z$2:$Z$4001,$AB242))</f>
        <v/>
      </c>
      <c r="P242">
        <f>IF($AB242="","",IF(AND(ISNUMBER(O242),O242&gt;0),Z242&gt;O242,FALSE))</f>
        <v/>
      </c>
      <c r="Q242" s="7">
        <f>IF($AB242="","",SUMIFS('Per Line'!$U$2:$U$4001,'Per Line'!$C$2:$C$4001,$B242,'Per Line'!$AM$2:$AM$4001,1))</f>
        <v/>
      </c>
      <c r="R242">
        <f>IF($AB242="","",Settings!$C$7)</f>
        <v/>
      </c>
      <c r="S242" s="7">
        <f>IF($AB242="","",SUMIFS('Per Line'!$U$2:$U$4001,'Per Line'!$C$2:$C$4001,$B242,'Per Line'!$AL$2:$AL$4001,0,'Per Line'!$AM$2:$AM$4001,0))</f>
        <v/>
      </c>
      <c r="T242" s="7">
        <f>IF($AB242="","",S242*R242)</f>
        <v/>
      </c>
      <c r="U242">
        <f>IF($AB242="","",Settings!$C$6)</f>
        <v/>
      </c>
      <c r="V242" s="7">
        <f>IF($AB242="","",SUMIFS('Per Line'!$U$2:$U$4001,'Per Line'!$C$2:$C$4001,$B242,'Per Line'!$AL$2:$AL$4001,1,'Per Line'!$AM$2:$AM$4001,0))</f>
        <v/>
      </c>
      <c r="W242" s="7">
        <f>IF($AB242="","",V242*U242)</f>
        <v/>
      </c>
      <c r="X242" s="7">
        <f>IF($AB242="","",W242+T242)</f>
        <v/>
      </c>
      <c r="Y242" s="7">
        <f>IF($AB242="","",Z242-X242)</f>
        <v/>
      </c>
      <c r="Z242" s="7">
        <f>IF($AB242="","",S242+V242+Q242)</f>
        <v/>
      </c>
      <c r="AA242" s="7">
        <f>IF($AB242="","",Z242-X242-M242)</f>
        <v/>
      </c>
      <c r="AB242" s="13">
        <f>IF(ROWS($AB$2:$AB242)&lt;=MAX('Per Line'!$AK$2:$AK$4001),MATCH(ROWS($AB$2:$AB242),'Per Line'!$AK$2:$AK$4001,0),"")</f>
        <v/>
      </c>
      <c r="AC242" s="14">
        <f>IF($AB242="","",M242-L242*Z242/100)</f>
        <v/>
      </c>
    </row>
    <row r="243">
      <c r="A243" s="12" t="n"/>
      <c r="B243">
        <f>IF($AB243="","",INDEX('Per Line'!$C$2:$C$4001,$AB243)&amp;"")</f>
        <v/>
      </c>
      <c r="C243">
        <f>IF($AB243="","",INDEX('Per Line'!$D$2:$D$4001,$AB243)&amp;"")</f>
        <v/>
      </c>
      <c r="D243">
        <f>IF($AB243="","",INDEX('Per Line'!$B$2:$B$4001,$AB243)&amp;"")</f>
        <v/>
      </c>
      <c r="E243">
        <f>IF($AB243="","",INDEX('Per Line'!$A$2:$A$4001,$AB243))</f>
        <v/>
      </c>
      <c r="F243" s="11">
        <f>IF($AB243="","",INDEX('Per Line'!$E$2:$E$4001,$AB243))</f>
        <v/>
      </c>
      <c r="G243">
        <f>IF($AB243="","",INDEX('Per Line'!$F$2:$F$4001,$AB243)&amp;"")</f>
        <v/>
      </c>
      <c r="H243">
        <f>IF($AB243="","",INDEX('Per Line'!$H$2:$H$4001,$AB243)&amp;"")</f>
        <v/>
      </c>
      <c r="I243">
        <f>IF($AB243="","",INDEX('Per Line'!$I$2:$I$4001,$AB243)&amp;"")</f>
        <v/>
      </c>
      <c r="J243">
        <f>IF($AB243="","",INDEX('Per Line'!$J$2:$J$4001,$AB243)&amp;"")</f>
        <v/>
      </c>
      <c r="K243">
        <f>IF($AB243="","",INDEX('Per Line'!$K$2:$K$4001,$AB243)&amp;"")</f>
        <v/>
      </c>
      <c r="L243">
        <f>IF($AB243="","",INDEX('Per Line'!$L$2:$L$4001,$AB243))</f>
        <v/>
      </c>
      <c r="M243" s="7">
        <f>IF($AB243="","",IF(AND(ISNUMBER(O243),O243&gt;0,Z243&gt;O243),L243*O243/100+(Z243-O243),L243*Z243/100))</f>
        <v/>
      </c>
      <c r="N243">
        <f>IF($AB243="","",INDEX('Per Line'!$V$2:$V$4001,$AB243)&amp;"")</f>
        <v/>
      </c>
      <c r="O243">
        <f>IF($AB243="","",INDEX('Per Line'!$Z$2:$Z$4001,$AB243))</f>
        <v/>
      </c>
      <c r="P243">
        <f>IF($AB243="","",IF(AND(ISNUMBER(O243),O243&gt;0),Z243&gt;O243,FALSE))</f>
        <v/>
      </c>
      <c r="Q243" s="7">
        <f>IF($AB243="","",SUMIFS('Per Line'!$U$2:$U$4001,'Per Line'!$C$2:$C$4001,$B243,'Per Line'!$AM$2:$AM$4001,1))</f>
        <v/>
      </c>
      <c r="R243">
        <f>IF($AB243="","",Settings!$C$7)</f>
        <v/>
      </c>
      <c r="S243" s="7">
        <f>IF($AB243="","",SUMIFS('Per Line'!$U$2:$U$4001,'Per Line'!$C$2:$C$4001,$B243,'Per Line'!$AL$2:$AL$4001,0,'Per Line'!$AM$2:$AM$4001,0))</f>
        <v/>
      </c>
      <c r="T243" s="7">
        <f>IF($AB243="","",S243*R243)</f>
        <v/>
      </c>
      <c r="U243">
        <f>IF($AB243="","",Settings!$C$6)</f>
        <v/>
      </c>
      <c r="V243" s="7">
        <f>IF($AB243="","",SUMIFS('Per Line'!$U$2:$U$4001,'Per Line'!$C$2:$C$4001,$B243,'Per Line'!$AL$2:$AL$4001,1,'Per Line'!$AM$2:$AM$4001,0))</f>
        <v/>
      </c>
      <c r="W243" s="7">
        <f>IF($AB243="","",V243*U243)</f>
        <v/>
      </c>
      <c r="X243" s="7">
        <f>IF($AB243="","",W243+T243)</f>
        <v/>
      </c>
      <c r="Y243" s="7">
        <f>IF($AB243="","",Z243-X243)</f>
        <v/>
      </c>
      <c r="Z243" s="7">
        <f>IF($AB243="","",S243+V243+Q243)</f>
        <v/>
      </c>
      <c r="AA243" s="7">
        <f>IF($AB243="","",Z243-X243-M243)</f>
        <v/>
      </c>
      <c r="AB243" s="13">
        <f>IF(ROWS($AB$2:$AB243)&lt;=MAX('Per Line'!$AK$2:$AK$4001),MATCH(ROWS($AB$2:$AB243),'Per Line'!$AK$2:$AK$4001,0),"")</f>
        <v/>
      </c>
      <c r="AC243" s="14">
        <f>IF($AB243="","",M243-L243*Z243/100)</f>
        <v/>
      </c>
    </row>
    <row r="244">
      <c r="A244" s="12" t="n"/>
      <c r="B244">
        <f>IF($AB244="","",INDEX('Per Line'!$C$2:$C$4001,$AB244)&amp;"")</f>
        <v/>
      </c>
      <c r="C244">
        <f>IF($AB244="","",INDEX('Per Line'!$D$2:$D$4001,$AB244)&amp;"")</f>
        <v/>
      </c>
      <c r="D244">
        <f>IF($AB244="","",INDEX('Per Line'!$B$2:$B$4001,$AB244)&amp;"")</f>
        <v/>
      </c>
      <c r="E244">
        <f>IF($AB244="","",INDEX('Per Line'!$A$2:$A$4001,$AB244))</f>
        <v/>
      </c>
      <c r="F244" s="11">
        <f>IF($AB244="","",INDEX('Per Line'!$E$2:$E$4001,$AB244))</f>
        <v/>
      </c>
      <c r="G244">
        <f>IF($AB244="","",INDEX('Per Line'!$F$2:$F$4001,$AB244)&amp;"")</f>
        <v/>
      </c>
      <c r="H244">
        <f>IF($AB244="","",INDEX('Per Line'!$H$2:$H$4001,$AB244)&amp;"")</f>
        <v/>
      </c>
      <c r="I244">
        <f>IF($AB244="","",INDEX('Per Line'!$I$2:$I$4001,$AB244)&amp;"")</f>
        <v/>
      </c>
      <c r="J244">
        <f>IF($AB244="","",INDEX('Per Line'!$J$2:$J$4001,$AB244)&amp;"")</f>
        <v/>
      </c>
      <c r="K244">
        <f>IF($AB244="","",INDEX('Per Line'!$K$2:$K$4001,$AB244)&amp;"")</f>
        <v/>
      </c>
      <c r="L244">
        <f>IF($AB244="","",INDEX('Per Line'!$L$2:$L$4001,$AB244))</f>
        <v/>
      </c>
      <c r="M244" s="7">
        <f>IF($AB244="","",IF(AND(ISNUMBER(O244),O244&gt;0,Z244&gt;O244),L244*O244/100+(Z244-O244),L244*Z244/100))</f>
        <v/>
      </c>
      <c r="N244">
        <f>IF($AB244="","",INDEX('Per Line'!$V$2:$V$4001,$AB244)&amp;"")</f>
        <v/>
      </c>
      <c r="O244">
        <f>IF($AB244="","",INDEX('Per Line'!$Z$2:$Z$4001,$AB244))</f>
        <v/>
      </c>
      <c r="P244">
        <f>IF($AB244="","",IF(AND(ISNUMBER(O244),O244&gt;0),Z244&gt;O244,FALSE))</f>
        <v/>
      </c>
      <c r="Q244" s="7">
        <f>IF($AB244="","",SUMIFS('Per Line'!$U$2:$U$4001,'Per Line'!$C$2:$C$4001,$B244,'Per Line'!$AM$2:$AM$4001,1))</f>
        <v/>
      </c>
      <c r="R244">
        <f>IF($AB244="","",Settings!$C$7)</f>
        <v/>
      </c>
      <c r="S244" s="7">
        <f>IF($AB244="","",SUMIFS('Per Line'!$U$2:$U$4001,'Per Line'!$C$2:$C$4001,$B244,'Per Line'!$AL$2:$AL$4001,0,'Per Line'!$AM$2:$AM$4001,0))</f>
        <v/>
      </c>
      <c r="T244" s="7">
        <f>IF($AB244="","",S244*R244)</f>
        <v/>
      </c>
      <c r="U244">
        <f>IF($AB244="","",Settings!$C$6)</f>
        <v/>
      </c>
      <c r="V244" s="7">
        <f>IF($AB244="","",SUMIFS('Per Line'!$U$2:$U$4001,'Per Line'!$C$2:$C$4001,$B244,'Per Line'!$AL$2:$AL$4001,1,'Per Line'!$AM$2:$AM$4001,0))</f>
        <v/>
      </c>
      <c r="W244" s="7">
        <f>IF($AB244="","",V244*U244)</f>
        <v/>
      </c>
      <c r="X244" s="7">
        <f>IF($AB244="","",W244+T244)</f>
        <v/>
      </c>
      <c r="Y244" s="7">
        <f>IF($AB244="","",Z244-X244)</f>
        <v/>
      </c>
      <c r="Z244" s="7">
        <f>IF($AB244="","",S244+V244+Q244)</f>
        <v/>
      </c>
      <c r="AA244" s="7">
        <f>IF($AB244="","",Z244-X244-M244)</f>
        <v/>
      </c>
      <c r="AB244" s="13">
        <f>IF(ROWS($AB$2:$AB244)&lt;=MAX('Per Line'!$AK$2:$AK$4001),MATCH(ROWS($AB$2:$AB244),'Per Line'!$AK$2:$AK$4001,0),"")</f>
        <v/>
      </c>
      <c r="AC244" s="14">
        <f>IF($AB244="","",M244-L244*Z244/100)</f>
        <v/>
      </c>
    </row>
    <row r="245">
      <c r="A245" s="12" t="n"/>
      <c r="B245">
        <f>IF($AB245="","",INDEX('Per Line'!$C$2:$C$4001,$AB245)&amp;"")</f>
        <v/>
      </c>
      <c r="C245">
        <f>IF($AB245="","",INDEX('Per Line'!$D$2:$D$4001,$AB245)&amp;"")</f>
        <v/>
      </c>
      <c r="D245">
        <f>IF($AB245="","",INDEX('Per Line'!$B$2:$B$4001,$AB245)&amp;"")</f>
        <v/>
      </c>
      <c r="E245">
        <f>IF($AB245="","",INDEX('Per Line'!$A$2:$A$4001,$AB245))</f>
        <v/>
      </c>
      <c r="F245" s="11">
        <f>IF($AB245="","",INDEX('Per Line'!$E$2:$E$4001,$AB245))</f>
        <v/>
      </c>
      <c r="G245">
        <f>IF($AB245="","",INDEX('Per Line'!$F$2:$F$4001,$AB245)&amp;"")</f>
        <v/>
      </c>
      <c r="H245">
        <f>IF($AB245="","",INDEX('Per Line'!$H$2:$H$4001,$AB245)&amp;"")</f>
        <v/>
      </c>
      <c r="I245">
        <f>IF($AB245="","",INDEX('Per Line'!$I$2:$I$4001,$AB245)&amp;"")</f>
        <v/>
      </c>
      <c r="J245">
        <f>IF($AB245="","",INDEX('Per Line'!$J$2:$J$4001,$AB245)&amp;"")</f>
        <v/>
      </c>
      <c r="K245">
        <f>IF($AB245="","",INDEX('Per Line'!$K$2:$K$4001,$AB245)&amp;"")</f>
        <v/>
      </c>
      <c r="L245">
        <f>IF($AB245="","",INDEX('Per Line'!$L$2:$L$4001,$AB245))</f>
        <v/>
      </c>
      <c r="M245" s="7">
        <f>IF($AB245="","",IF(AND(ISNUMBER(O245),O245&gt;0,Z245&gt;O245),L245*O245/100+(Z245-O245),L245*Z245/100))</f>
        <v/>
      </c>
      <c r="N245">
        <f>IF($AB245="","",INDEX('Per Line'!$V$2:$V$4001,$AB245)&amp;"")</f>
        <v/>
      </c>
      <c r="O245">
        <f>IF($AB245="","",INDEX('Per Line'!$Z$2:$Z$4001,$AB245))</f>
        <v/>
      </c>
      <c r="P245">
        <f>IF($AB245="","",IF(AND(ISNUMBER(O245),O245&gt;0),Z245&gt;O245,FALSE))</f>
        <v/>
      </c>
      <c r="Q245" s="7">
        <f>IF($AB245="","",SUMIFS('Per Line'!$U$2:$U$4001,'Per Line'!$C$2:$C$4001,$B245,'Per Line'!$AM$2:$AM$4001,1))</f>
        <v/>
      </c>
      <c r="R245">
        <f>IF($AB245="","",Settings!$C$7)</f>
        <v/>
      </c>
      <c r="S245" s="7">
        <f>IF($AB245="","",SUMIFS('Per Line'!$U$2:$U$4001,'Per Line'!$C$2:$C$4001,$B245,'Per Line'!$AL$2:$AL$4001,0,'Per Line'!$AM$2:$AM$4001,0))</f>
        <v/>
      </c>
      <c r="T245" s="7">
        <f>IF($AB245="","",S245*R245)</f>
        <v/>
      </c>
      <c r="U245">
        <f>IF($AB245="","",Settings!$C$6)</f>
        <v/>
      </c>
      <c r="V245" s="7">
        <f>IF($AB245="","",SUMIFS('Per Line'!$U$2:$U$4001,'Per Line'!$C$2:$C$4001,$B245,'Per Line'!$AL$2:$AL$4001,1,'Per Line'!$AM$2:$AM$4001,0))</f>
        <v/>
      </c>
      <c r="W245" s="7">
        <f>IF($AB245="","",V245*U245)</f>
        <v/>
      </c>
      <c r="X245" s="7">
        <f>IF($AB245="","",W245+T245)</f>
        <v/>
      </c>
      <c r="Y245" s="7">
        <f>IF($AB245="","",Z245-X245)</f>
        <v/>
      </c>
      <c r="Z245" s="7">
        <f>IF($AB245="","",S245+V245+Q245)</f>
        <v/>
      </c>
      <c r="AA245" s="7">
        <f>IF($AB245="","",Z245-X245-M245)</f>
        <v/>
      </c>
      <c r="AB245" s="13">
        <f>IF(ROWS($AB$2:$AB245)&lt;=MAX('Per Line'!$AK$2:$AK$4001),MATCH(ROWS($AB$2:$AB245),'Per Line'!$AK$2:$AK$4001,0),"")</f>
        <v/>
      </c>
      <c r="AC245" s="14">
        <f>IF($AB245="","",M245-L245*Z245/100)</f>
        <v/>
      </c>
    </row>
    <row r="246">
      <c r="A246" s="12" t="n"/>
      <c r="B246">
        <f>IF($AB246="","",INDEX('Per Line'!$C$2:$C$4001,$AB246)&amp;"")</f>
        <v/>
      </c>
      <c r="C246">
        <f>IF($AB246="","",INDEX('Per Line'!$D$2:$D$4001,$AB246)&amp;"")</f>
        <v/>
      </c>
      <c r="D246">
        <f>IF($AB246="","",INDEX('Per Line'!$B$2:$B$4001,$AB246)&amp;"")</f>
        <v/>
      </c>
      <c r="E246">
        <f>IF($AB246="","",INDEX('Per Line'!$A$2:$A$4001,$AB246))</f>
        <v/>
      </c>
      <c r="F246" s="11">
        <f>IF($AB246="","",INDEX('Per Line'!$E$2:$E$4001,$AB246))</f>
        <v/>
      </c>
      <c r="G246">
        <f>IF($AB246="","",INDEX('Per Line'!$F$2:$F$4001,$AB246)&amp;"")</f>
        <v/>
      </c>
      <c r="H246">
        <f>IF($AB246="","",INDEX('Per Line'!$H$2:$H$4001,$AB246)&amp;"")</f>
        <v/>
      </c>
      <c r="I246">
        <f>IF($AB246="","",INDEX('Per Line'!$I$2:$I$4001,$AB246)&amp;"")</f>
        <v/>
      </c>
      <c r="J246">
        <f>IF($AB246="","",INDEX('Per Line'!$J$2:$J$4001,$AB246)&amp;"")</f>
        <v/>
      </c>
      <c r="K246">
        <f>IF($AB246="","",INDEX('Per Line'!$K$2:$K$4001,$AB246)&amp;"")</f>
        <v/>
      </c>
      <c r="L246">
        <f>IF($AB246="","",INDEX('Per Line'!$L$2:$L$4001,$AB246))</f>
        <v/>
      </c>
      <c r="M246" s="7">
        <f>IF($AB246="","",IF(AND(ISNUMBER(O246),O246&gt;0,Z246&gt;O246),L246*O246/100+(Z246-O246),L246*Z246/100))</f>
        <v/>
      </c>
      <c r="N246">
        <f>IF($AB246="","",INDEX('Per Line'!$V$2:$V$4001,$AB246)&amp;"")</f>
        <v/>
      </c>
      <c r="O246">
        <f>IF($AB246="","",INDEX('Per Line'!$Z$2:$Z$4001,$AB246))</f>
        <v/>
      </c>
      <c r="P246">
        <f>IF($AB246="","",IF(AND(ISNUMBER(O246),O246&gt;0),Z246&gt;O246,FALSE))</f>
        <v/>
      </c>
      <c r="Q246" s="7">
        <f>IF($AB246="","",SUMIFS('Per Line'!$U$2:$U$4001,'Per Line'!$C$2:$C$4001,$B246,'Per Line'!$AM$2:$AM$4001,1))</f>
        <v/>
      </c>
      <c r="R246">
        <f>IF($AB246="","",Settings!$C$7)</f>
        <v/>
      </c>
      <c r="S246" s="7">
        <f>IF($AB246="","",SUMIFS('Per Line'!$U$2:$U$4001,'Per Line'!$C$2:$C$4001,$B246,'Per Line'!$AL$2:$AL$4001,0,'Per Line'!$AM$2:$AM$4001,0))</f>
        <v/>
      </c>
      <c r="T246" s="7">
        <f>IF($AB246="","",S246*R246)</f>
        <v/>
      </c>
      <c r="U246">
        <f>IF($AB246="","",Settings!$C$6)</f>
        <v/>
      </c>
      <c r="V246" s="7">
        <f>IF($AB246="","",SUMIFS('Per Line'!$U$2:$U$4001,'Per Line'!$C$2:$C$4001,$B246,'Per Line'!$AL$2:$AL$4001,1,'Per Line'!$AM$2:$AM$4001,0))</f>
        <v/>
      </c>
      <c r="W246" s="7">
        <f>IF($AB246="","",V246*U246)</f>
        <v/>
      </c>
      <c r="X246" s="7">
        <f>IF($AB246="","",W246+T246)</f>
        <v/>
      </c>
      <c r="Y246" s="7">
        <f>IF($AB246="","",Z246-X246)</f>
        <v/>
      </c>
      <c r="Z246" s="7">
        <f>IF($AB246="","",S246+V246+Q246)</f>
        <v/>
      </c>
      <c r="AA246" s="7">
        <f>IF($AB246="","",Z246-X246-M246)</f>
        <v/>
      </c>
      <c r="AB246" s="13">
        <f>IF(ROWS($AB$2:$AB246)&lt;=MAX('Per Line'!$AK$2:$AK$4001),MATCH(ROWS($AB$2:$AB246),'Per Line'!$AK$2:$AK$4001,0),"")</f>
        <v/>
      </c>
      <c r="AC246" s="14">
        <f>IF($AB246="","",M246-L246*Z246/100)</f>
        <v/>
      </c>
    </row>
    <row r="247">
      <c r="A247" s="12" t="n"/>
      <c r="B247">
        <f>IF($AB247="","",INDEX('Per Line'!$C$2:$C$4001,$AB247)&amp;"")</f>
        <v/>
      </c>
      <c r="C247">
        <f>IF($AB247="","",INDEX('Per Line'!$D$2:$D$4001,$AB247)&amp;"")</f>
        <v/>
      </c>
      <c r="D247">
        <f>IF($AB247="","",INDEX('Per Line'!$B$2:$B$4001,$AB247)&amp;"")</f>
        <v/>
      </c>
      <c r="E247">
        <f>IF($AB247="","",INDEX('Per Line'!$A$2:$A$4001,$AB247))</f>
        <v/>
      </c>
      <c r="F247" s="11">
        <f>IF($AB247="","",INDEX('Per Line'!$E$2:$E$4001,$AB247))</f>
        <v/>
      </c>
      <c r="G247">
        <f>IF($AB247="","",INDEX('Per Line'!$F$2:$F$4001,$AB247)&amp;"")</f>
        <v/>
      </c>
      <c r="H247">
        <f>IF($AB247="","",INDEX('Per Line'!$H$2:$H$4001,$AB247)&amp;"")</f>
        <v/>
      </c>
      <c r="I247">
        <f>IF($AB247="","",INDEX('Per Line'!$I$2:$I$4001,$AB247)&amp;"")</f>
        <v/>
      </c>
      <c r="J247">
        <f>IF($AB247="","",INDEX('Per Line'!$J$2:$J$4001,$AB247)&amp;"")</f>
        <v/>
      </c>
      <c r="K247">
        <f>IF($AB247="","",INDEX('Per Line'!$K$2:$K$4001,$AB247)&amp;"")</f>
        <v/>
      </c>
      <c r="L247">
        <f>IF($AB247="","",INDEX('Per Line'!$L$2:$L$4001,$AB247))</f>
        <v/>
      </c>
      <c r="M247" s="7">
        <f>IF($AB247="","",IF(AND(ISNUMBER(O247),O247&gt;0,Z247&gt;O247),L247*O247/100+(Z247-O247),L247*Z247/100))</f>
        <v/>
      </c>
      <c r="N247">
        <f>IF($AB247="","",INDEX('Per Line'!$V$2:$V$4001,$AB247)&amp;"")</f>
        <v/>
      </c>
      <c r="O247">
        <f>IF($AB247="","",INDEX('Per Line'!$Z$2:$Z$4001,$AB247))</f>
        <v/>
      </c>
      <c r="P247">
        <f>IF($AB247="","",IF(AND(ISNUMBER(O247),O247&gt;0),Z247&gt;O247,FALSE))</f>
        <v/>
      </c>
      <c r="Q247" s="7">
        <f>IF($AB247="","",SUMIFS('Per Line'!$U$2:$U$4001,'Per Line'!$C$2:$C$4001,$B247,'Per Line'!$AM$2:$AM$4001,1))</f>
        <v/>
      </c>
      <c r="R247">
        <f>IF($AB247="","",Settings!$C$7)</f>
        <v/>
      </c>
      <c r="S247" s="7">
        <f>IF($AB247="","",SUMIFS('Per Line'!$U$2:$U$4001,'Per Line'!$C$2:$C$4001,$B247,'Per Line'!$AL$2:$AL$4001,0,'Per Line'!$AM$2:$AM$4001,0))</f>
        <v/>
      </c>
      <c r="T247" s="7">
        <f>IF($AB247="","",S247*R247)</f>
        <v/>
      </c>
      <c r="U247">
        <f>IF($AB247="","",Settings!$C$6)</f>
        <v/>
      </c>
      <c r="V247" s="7">
        <f>IF($AB247="","",SUMIFS('Per Line'!$U$2:$U$4001,'Per Line'!$C$2:$C$4001,$B247,'Per Line'!$AL$2:$AL$4001,1,'Per Line'!$AM$2:$AM$4001,0))</f>
        <v/>
      </c>
      <c r="W247" s="7">
        <f>IF($AB247="","",V247*U247)</f>
        <v/>
      </c>
      <c r="X247" s="7">
        <f>IF($AB247="","",W247+T247)</f>
        <v/>
      </c>
      <c r="Y247" s="7">
        <f>IF($AB247="","",Z247-X247)</f>
        <v/>
      </c>
      <c r="Z247" s="7">
        <f>IF($AB247="","",S247+V247+Q247)</f>
        <v/>
      </c>
      <c r="AA247" s="7">
        <f>IF($AB247="","",Z247-X247-M247)</f>
        <v/>
      </c>
      <c r="AB247" s="13">
        <f>IF(ROWS($AB$2:$AB247)&lt;=MAX('Per Line'!$AK$2:$AK$4001),MATCH(ROWS($AB$2:$AB247),'Per Line'!$AK$2:$AK$4001,0),"")</f>
        <v/>
      </c>
      <c r="AC247" s="14">
        <f>IF($AB247="","",M247-L247*Z247/100)</f>
        <v/>
      </c>
    </row>
    <row r="248">
      <c r="A248" s="12" t="n"/>
      <c r="B248">
        <f>IF($AB248="","",INDEX('Per Line'!$C$2:$C$4001,$AB248)&amp;"")</f>
        <v/>
      </c>
      <c r="C248">
        <f>IF($AB248="","",INDEX('Per Line'!$D$2:$D$4001,$AB248)&amp;"")</f>
        <v/>
      </c>
      <c r="D248">
        <f>IF($AB248="","",INDEX('Per Line'!$B$2:$B$4001,$AB248)&amp;"")</f>
        <v/>
      </c>
      <c r="E248">
        <f>IF($AB248="","",INDEX('Per Line'!$A$2:$A$4001,$AB248))</f>
        <v/>
      </c>
      <c r="F248" s="11">
        <f>IF($AB248="","",INDEX('Per Line'!$E$2:$E$4001,$AB248))</f>
        <v/>
      </c>
      <c r="G248">
        <f>IF($AB248="","",INDEX('Per Line'!$F$2:$F$4001,$AB248)&amp;"")</f>
        <v/>
      </c>
      <c r="H248">
        <f>IF($AB248="","",INDEX('Per Line'!$H$2:$H$4001,$AB248)&amp;"")</f>
        <v/>
      </c>
      <c r="I248">
        <f>IF($AB248="","",INDEX('Per Line'!$I$2:$I$4001,$AB248)&amp;"")</f>
        <v/>
      </c>
      <c r="J248">
        <f>IF($AB248="","",INDEX('Per Line'!$J$2:$J$4001,$AB248)&amp;"")</f>
        <v/>
      </c>
      <c r="K248">
        <f>IF($AB248="","",INDEX('Per Line'!$K$2:$K$4001,$AB248)&amp;"")</f>
        <v/>
      </c>
      <c r="L248">
        <f>IF($AB248="","",INDEX('Per Line'!$L$2:$L$4001,$AB248))</f>
        <v/>
      </c>
      <c r="M248" s="7">
        <f>IF($AB248="","",IF(AND(ISNUMBER(O248),O248&gt;0,Z248&gt;O248),L248*O248/100+(Z248-O248),L248*Z248/100))</f>
        <v/>
      </c>
      <c r="N248">
        <f>IF($AB248="","",INDEX('Per Line'!$V$2:$V$4001,$AB248)&amp;"")</f>
        <v/>
      </c>
      <c r="O248">
        <f>IF($AB248="","",INDEX('Per Line'!$Z$2:$Z$4001,$AB248))</f>
        <v/>
      </c>
      <c r="P248">
        <f>IF($AB248="","",IF(AND(ISNUMBER(O248),O248&gt;0),Z248&gt;O248,FALSE))</f>
        <v/>
      </c>
      <c r="Q248" s="7">
        <f>IF($AB248="","",SUMIFS('Per Line'!$U$2:$U$4001,'Per Line'!$C$2:$C$4001,$B248,'Per Line'!$AM$2:$AM$4001,1))</f>
        <v/>
      </c>
      <c r="R248">
        <f>IF($AB248="","",Settings!$C$7)</f>
        <v/>
      </c>
      <c r="S248" s="7">
        <f>IF($AB248="","",SUMIFS('Per Line'!$U$2:$U$4001,'Per Line'!$C$2:$C$4001,$B248,'Per Line'!$AL$2:$AL$4001,0,'Per Line'!$AM$2:$AM$4001,0))</f>
        <v/>
      </c>
      <c r="T248" s="7">
        <f>IF($AB248="","",S248*R248)</f>
        <v/>
      </c>
      <c r="U248">
        <f>IF($AB248="","",Settings!$C$6)</f>
        <v/>
      </c>
      <c r="V248" s="7">
        <f>IF($AB248="","",SUMIFS('Per Line'!$U$2:$U$4001,'Per Line'!$C$2:$C$4001,$B248,'Per Line'!$AL$2:$AL$4001,1,'Per Line'!$AM$2:$AM$4001,0))</f>
        <v/>
      </c>
      <c r="W248" s="7">
        <f>IF($AB248="","",V248*U248)</f>
        <v/>
      </c>
      <c r="X248" s="7">
        <f>IF($AB248="","",W248+T248)</f>
        <v/>
      </c>
      <c r="Y248" s="7">
        <f>IF($AB248="","",Z248-X248)</f>
        <v/>
      </c>
      <c r="Z248" s="7">
        <f>IF($AB248="","",S248+V248+Q248)</f>
        <v/>
      </c>
      <c r="AA248" s="7">
        <f>IF($AB248="","",Z248-X248-M248)</f>
        <v/>
      </c>
      <c r="AB248" s="13">
        <f>IF(ROWS($AB$2:$AB248)&lt;=MAX('Per Line'!$AK$2:$AK$4001),MATCH(ROWS($AB$2:$AB248),'Per Line'!$AK$2:$AK$4001,0),"")</f>
        <v/>
      </c>
      <c r="AC248" s="14">
        <f>IF($AB248="","",M248-L248*Z248/100)</f>
        <v/>
      </c>
    </row>
    <row r="249">
      <c r="A249" s="12" t="n"/>
      <c r="B249">
        <f>IF($AB249="","",INDEX('Per Line'!$C$2:$C$4001,$AB249)&amp;"")</f>
        <v/>
      </c>
      <c r="C249">
        <f>IF($AB249="","",INDEX('Per Line'!$D$2:$D$4001,$AB249)&amp;"")</f>
        <v/>
      </c>
      <c r="D249">
        <f>IF($AB249="","",INDEX('Per Line'!$B$2:$B$4001,$AB249)&amp;"")</f>
        <v/>
      </c>
      <c r="E249">
        <f>IF($AB249="","",INDEX('Per Line'!$A$2:$A$4001,$AB249))</f>
        <v/>
      </c>
      <c r="F249" s="11">
        <f>IF($AB249="","",INDEX('Per Line'!$E$2:$E$4001,$AB249))</f>
        <v/>
      </c>
      <c r="G249">
        <f>IF($AB249="","",INDEX('Per Line'!$F$2:$F$4001,$AB249)&amp;"")</f>
        <v/>
      </c>
      <c r="H249">
        <f>IF($AB249="","",INDEX('Per Line'!$H$2:$H$4001,$AB249)&amp;"")</f>
        <v/>
      </c>
      <c r="I249">
        <f>IF($AB249="","",INDEX('Per Line'!$I$2:$I$4001,$AB249)&amp;"")</f>
        <v/>
      </c>
      <c r="J249">
        <f>IF($AB249="","",INDEX('Per Line'!$J$2:$J$4001,$AB249)&amp;"")</f>
        <v/>
      </c>
      <c r="K249">
        <f>IF($AB249="","",INDEX('Per Line'!$K$2:$K$4001,$AB249)&amp;"")</f>
        <v/>
      </c>
      <c r="L249">
        <f>IF($AB249="","",INDEX('Per Line'!$L$2:$L$4001,$AB249))</f>
        <v/>
      </c>
      <c r="M249" s="7">
        <f>IF($AB249="","",IF(AND(ISNUMBER(O249),O249&gt;0,Z249&gt;O249),L249*O249/100+(Z249-O249),L249*Z249/100))</f>
        <v/>
      </c>
      <c r="N249">
        <f>IF($AB249="","",INDEX('Per Line'!$V$2:$V$4001,$AB249)&amp;"")</f>
        <v/>
      </c>
      <c r="O249">
        <f>IF($AB249="","",INDEX('Per Line'!$Z$2:$Z$4001,$AB249))</f>
        <v/>
      </c>
      <c r="P249">
        <f>IF($AB249="","",IF(AND(ISNUMBER(O249),O249&gt;0),Z249&gt;O249,FALSE))</f>
        <v/>
      </c>
      <c r="Q249" s="7">
        <f>IF($AB249="","",SUMIFS('Per Line'!$U$2:$U$4001,'Per Line'!$C$2:$C$4001,$B249,'Per Line'!$AM$2:$AM$4001,1))</f>
        <v/>
      </c>
      <c r="R249">
        <f>IF($AB249="","",Settings!$C$7)</f>
        <v/>
      </c>
      <c r="S249" s="7">
        <f>IF($AB249="","",SUMIFS('Per Line'!$U$2:$U$4001,'Per Line'!$C$2:$C$4001,$B249,'Per Line'!$AL$2:$AL$4001,0,'Per Line'!$AM$2:$AM$4001,0))</f>
        <v/>
      </c>
      <c r="T249" s="7">
        <f>IF($AB249="","",S249*R249)</f>
        <v/>
      </c>
      <c r="U249">
        <f>IF($AB249="","",Settings!$C$6)</f>
        <v/>
      </c>
      <c r="V249" s="7">
        <f>IF($AB249="","",SUMIFS('Per Line'!$U$2:$U$4001,'Per Line'!$C$2:$C$4001,$B249,'Per Line'!$AL$2:$AL$4001,1,'Per Line'!$AM$2:$AM$4001,0))</f>
        <v/>
      </c>
      <c r="W249" s="7">
        <f>IF($AB249="","",V249*U249)</f>
        <v/>
      </c>
      <c r="X249" s="7">
        <f>IF($AB249="","",W249+T249)</f>
        <v/>
      </c>
      <c r="Y249" s="7">
        <f>IF($AB249="","",Z249-X249)</f>
        <v/>
      </c>
      <c r="Z249" s="7">
        <f>IF($AB249="","",S249+V249+Q249)</f>
        <v/>
      </c>
      <c r="AA249" s="7">
        <f>IF($AB249="","",Z249-X249-M249)</f>
        <v/>
      </c>
      <c r="AB249" s="13">
        <f>IF(ROWS($AB$2:$AB249)&lt;=MAX('Per Line'!$AK$2:$AK$4001),MATCH(ROWS($AB$2:$AB249),'Per Line'!$AK$2:$AK$4001,0),"")</f>
        <v/>
      </c>
      <c r="AC249" s="14">
        <f>IF($AB249="","",M249-L249*Z249/100)</f>
        <v/>
      </c>
    </row>
    <row r="250">
      <c r="A250" s="12" t="n"/>
      <c r="B250">
        <f>IF($AB250="","",INDEX('Per Line'!$C$2:$C$4001,$AB250)&amp;"")</f>
        <v/>
      </c>
      <c r="C250">
        <f>IF($AB250="","",INDEX('Per Line'!$D$2:$D$4001,$AB250)&amp;"")</f>
        <v/>
      </c>
      <c r="D250">
        <f>IF($AB250="","",INDEX('Per Line'!$B$2:$B$4001,$AB250)&amp;"")</f>
        <v/>
      </c>
      <c r="E250">
        <f>IF($AB250="","",INDEX('Per Line'!$A$2:$A$4001,$AB250))</f>
        <v/>
      </c>
      <c r="F250" s="11">
        <f>IF($AB250="","",INDEX('Per Line'!$E$2:$E$4001,$AB250))</f>
        <v/>
      </c>
      <c r="G250">
        <f>IF($AB250="","",INDEX('Per Line'!$F$2:$F$4001,$AB250)&amp;"")</f>
        <v/>
      </c>
      <c r="H250">
        <f>IF($AB250="","",INDEX('Per Line'!$H$2:$H$4001,$AB250)&amp;"")</f>
        <v/>
      </c>
      <c r="I250">
        <f>IF($AB250="","",INDEX('Per Line'!$I$2:$I$4001,$AB250)&amp;"")</f>
        <v/>
      </c>
      <c r="J250">
        <f>IF($AB250="","",INDEX('Per Line'!$J$2:$J$4001,$AB250)&amp;"")</f>
        <v/>
      </c>
      <c r="K250">
        <f>IF($AB250="","",INDEX('Per Line'!$K$2:$K$4001,$AB250)&amp;"")</f>
        <v/>
      </c>
      <c r="L250">
        <f>IF($AB250="","",INDEX('Per Line'!$L$2:$L$4001,$AB250))</f>
        <v/>
      </c>
      <c r="M250" s="7">
        <f>IF($AB250="","",IF(AND(ISNUMBER(O250),O250&gt;0,Z250&gt;O250),L250*O250/100+(Z250-O250),L250*Z250/100))</f>
        <v/>
      </c>
      <c r="N250">
        <f>IF($AB250="","",INDEX('Per Line'!$V$2:$V$4001,$AB250)&amp;"")</f>
        <v/>
      </c>
      <c r="O250">
        <f>IF($AB250="","",INDEX('Per Line'!$Z$2:$Z$4001,$AB250))</f>
        <v/>
      </c>
      <c r="P250">
        <f>IF($AB250="","",IF(AND(ISNUMBER(O250),O250&gt;0),Z250&gt;O250,FALSE))</f>
        <v/>
      </c>
      <c r="Q250" s="7">
        <f>IF($AB250="","",SUMIFS('Per Line'!$U$2:$U$4001,'Per Line'!$C$2:$C$4001,$B250,'Per Line'!$AM$2:$AM$4001,1))</f>
        <v/>
      </c>
      <c r="R250">
        <f>IF($AB250="","",Settings!$C$7)</f>
        <v/>
      </c>
      <c r="S250" s="7">
        <f>IF($AB250="","",SUMIFS('Per Line'!$U$2:$U$4001,'Per Line'!$C$2:$C$4001,$B250,'Per Line'!$AL$2:$AL$4001,0,'Per Line'!$AM$2:$AM$4001,0))</f>
        <v/>
      </c>
      <c r="T250" s="7">
        <f>IF($AB250="","",S250*R250)</f>
        <v/>
      </c>
      <c r="U250">
        <f>IF($AB250="","",Settings!$C$6)</f>
        <v/>
      </c>
      <c r="V250" s="7">
        <f>IF($AB250="","",SUMIFS('Per Line'!$U$2:$U$4001,'Per Line'!$C$2:$C$4001,$B250,'Per Line'!$AL$2:$AL$4001,1,'Per Line'!$AM$2:$AM$4001,0))</f>
        <v/>
      </c>
      <c r="W250" s="7">
        <f>IF($AB250="","",V250*U250)</f>
        <v/>
      </c>
      <c r="X250" s="7">
        <f>IF($AB250="","",W250+T250)</f>
        <v/>
      </c>
      <c r="Y250" s="7">
        <f>IF($AB250="","",Z250-X250)</f>
        <v/>
      </c>
      <c r="Z250" s="7">
        <f>IF($AB250="","",S250+V250+Q250)</f>
        <v/>
      </c>
      <c r="AA250" s="7">
        <f>IF($AB250="","",Z250-X250-M250)</f>
        <v/>
      </c>
      <c r="AB250" s="13">
        <f>IF(ROWS($AB$2:$AB250)&lt;=MAX('Per Line'!$AK$2:$AK$4001),MATCH(ROWS($AB$2:$AB250),'Per Line'!$AK$2:$AK$4001,0),"")</f>
        <v/>
      </c>
      <c r="AC250" s="14">
        <f>IF($AB250="","",M250-L250*Z250/100)</f>
        <v/>
      </c>
    </row>
    <row r="251">
      <c r="A251" s="12" t="n"/>
      <c r="B251">
        <f>IF($AB251="","",INDEX('Per Line'!$C$2:$C$4001,$AB251)&amp;"")</f>
        <v/>
      </c>
      <c r="C251">
        <f>IF($AB251="","",INDEX('Per Line'!$D$2:$D$4001,$AB251)&amp;"")</f>
        <v/>
      </c>
      <c r="D251">
        <f>IF($AB251="","",INDEX('Per Line'!$B$2:$B$4001,$AB251)&amp;"")</f>
        <v/>
      </c>
      <c r="E251">
        <f>IF($AB251="","",INDEX('Per Line'!$A$2:$A$4001,$AB251))</f>
        <v/>
      </c>
      <c r="F251" s="11">
        <f>IF($AB251="","",INDEX('Per Line'!$E$2:$E$4001,$AB251))</f>
        <v/>
      </c>
      <c r="G251">
        <f>IF($AB251="","",INDEX('Per Line'!$F$2:$F$4001,$AB251)&amp;"")</f>
        <v/>
      </c>
      <c r="H251">
        <f>IF($AB251="","",INDEX('Per Line'!$H$2:$H$4001,$AB251)&amp;"")</f>
        <v/>
      </c>
      <c r="I251">
        <f>IF($AB251="","",INDEX('Per Line'!$I$2:$I$4001,$AB251)&amp;"")</f>
        <v/>
      </c>
      <c r="J251">
        <f>IF($AB251="","",INDEX('Per Line'!$J$2:$J$4001,$AB251)&amp;"")</f>
        <v/>
      </c>
      <c r="K251">
        <f>IF($AB251="","",INDEX('Per Line'!$K$2:$K$4001,$AB251)&amp;"")</f>
        <v/>
      </c>
      <c r="L251">
        <f>IF($AB251="","",INDEX('Per Line'!$L$2:$L$4001,$AB251))</f>
        <v/>
      </c>
      <c r="M251" s="7">
        <f>IF($AB251="","",IF(AND(ISNUMBER(O251),O251&gt;0,Z251&gt;O251),L251*O251/100+(Z251-O251),L251*Z251/100))</f>
        <v/>
      </c>
      <c r="N251">
        <f>IF($AB251="","",INDEX('Per Line'!$V$2:$V$4001,$AB251)&amp;"")</f>
        <v/>
      </c>
      <c r="O251">
        <f>IF($AB251="","",INDEX('Per Line'!$Z$2:$Z$4001,$AB251))</f>
        <v/>
      </c>
      <c r="P251">
        <f>IF($AB251="","",IF(AND(ISNUMBER(O251),O251&gt;0),Z251&gt;O251,FALSE))</f>
        <v/>
      </c>
      <c r="Q251" s="7">
        <f>IF($AB251="","",SUMIFS('Per Line'!$U$2:$U$4001,'Per Line'!$C$2:$C$4001,$B251,'Per Line'!$AM$2:$AM$4001,1))</f>
        <v/>
      </c>
      <c r="R251">
        <f>IF($AB251="","",Settings!$C$7)</f>
        <v/>
      </c>
      <c r="S251" s="7">
        <f>IF($AB251="","",SUMIFS('Per Line'!$U$2:$U$4001,'Per Line'!$C$2:$C$4001,$B251,'Per Line'!$AL$2:$AL$4001,0,'Per Line'!$AM$2:$AM$4001,0))</f>
        <v/>
      </c>
      <c r="T251" s="7">
        <f>IF($AB251="","",S251*R251)</f>
        <v/>
      </c>
      <c r="U251">
        <f>IF($AB251="","",Settings!$C$6)</f>
        <v/>
      </c>
      <c r="V251" s="7">
        <f>IF($AB251="","",SUMIFS('Per Line'!$U$2:$U$4001,'Per Line'!$C$2:$C$4001,$B251,'Per Line'!$AL$2:$AL$4001,1,'Per Line'!$AM$2:$AM$4001,0))</f>
        <v/>
      </c>
      <c r="W251" s="7">
        <f>IF($AB251="","",V251*U251)</f>
        <v/>
      </c>
      <c r="X251" s="7">
        <f>IF($AB251="","",W251+T251)</f>
        <v/>
      </c>
      <c r="Y251" s="7">
        <f>IF($AB251="","",Z251-X251)</f>
        <v/>
      </c>
      <c r="Z251" s="7">
        <f>IF($AB251="","",S251+V251+Q251)</f>
        <v/>
      </c>
      <c r="AA251" s="7">
        <f>IF($AB251="","",Z251-X251-M251)</f>
        <v/>
      </c>
      <c r="AB251" s="13">
        <f>IF(ROWS($AB$2:$AB251)&lt;=MAX('Per Line'!$AK$2:$AK$4001),MATCH(ROWS($AB$2:$AB251),'Per Line'!$AK$2:$AK$4001,0),"")</f>
        <v/>
      </c>
      <c r="AC251" s="14">
        <f>IF($AB251="","",M251-L251*Z251/100)</f>
        <v/>
      </c>
    </row>
    <row r="252">
      <c r="A252" s="12" t="n"/>
      <c r="B252">
        <f>IF($AB252="","",INDEX('Per Line'!$C$2:$C$4001,$AB252)&amp;"")</f>
        <v/>
      </c>
      <c r="C252">
        <f>IF($AB252="","",INDEX('Per Line'!$D$2:$D$4001,$AB252)&amp;"")</f>
        <v/>
      </c>
      <c r="D252">
        <f>IF($AB252="","",INDEX('Per Line'!$B$2:$B$4001,$AB252)&amp;"")</f>
        <v/>
      </c>
      <c r="E252">
        <f>IF($AB252="","",INDEX('Per Line'!$A$2:$A$4001,$AB252))</f>
        <v/>
      </c>
      <c r="F252" s="11">
        <f>IF($AB252="","",INDEX('Per Line'!$E$2:$E$4001,$AB252))</f>
        <v/>
      </c>
      <c r="G252">
        <f>IF($AB252="","",INDEX('Per Line'!$F$2:$F$4001,$AB252)&amp;"")</f>
        <v/>
      </c>
      <c r="H252">
        <f>IF($AB252="","",INDEX('Per Line'!$H$2:$H$4001,$AB252)&amp;"")</f>
        <v/>
      </c>
      <c r="I252">
        <f>IF($AB252="","",INDEX('Per Line'!$I$2:$I$4001,$AB252)&amp;"")</f>
        <v/>
      </c>
      <c r="J252">
        <f>IF($AB252="","",INDEX('Per Line'!$J$2:$J$4001,$AB252)&amp;"")</f>
        <v/>
      </c>
      <c r="K252">
        <f>IF($AB252="","",INDEX('Per Line'!$K$2:$K$4001,$AB252)&amp;"")</f>
        <v/>
      </c>
      <c r="L252">
        <f>IF($AB252="","",INDEX('Per Line'!$L$2:$L$4001,$AB252))</f>
        <v/>
      </c>
      <c r="M252" s="7">
        <f>IF($AB252="","",IF(AND(ISNUMBER(O252),O252&gt;0,Z252&gt;O252),L252*O252/100+(Z252-O252),L252*Z252/100))</f>
        <v/>
      </c>
      <c r="N252">
        <f>IF($AB252="","",INDEX('Per Line'!$V$2:$V$4001,$AB252)&amp;"")</f>
        <v/>
      </c>
      <c r="O252">
        <f>IF($AB252="","",INDEX('Per Line'!$Z$2:$Z$4001,$AB252))</f>
        <v/>
      </c>
      <c r="P252">
        <f>IF($AB252="","",IF(AND(ISNUMBER(O252),O252&gt;0),Z252&gt;O252,FALSE))</f>
        <v/>
      </c>
      <c r="Q252" s="7">
        <f>IF($AB252="","",SUMIFS('Per Line'!$U$2:$U$4001,'Per Line'!$C$2:$C$4001,$B252,'Per Line'!$AM$2:$AM$4001,1))</f>
        <v/>
      </c>
      <c r="R252">
        <f>IF($AB252="","",Settings!$C$7)</f>
        <v/>
      </c>
      <c r="S252" s="7">
        <f>IF($AB252="","",SUMIFS('Per Line'!$U$2:$U$4001,'Per Line'!$C$2:$C$4001,$B252,'Per Line'!$AL$2:$AL$4001,0,'Per Line'!$AM$2:$AM$4001,0))</f>
        <v/>
      </c>
      <c r="T252" s="7">
        <f>IF($AB252="","",S252*R252)</f>
        <v/>
      </c>
      <c r="U252">
        <f>IF($AB252="","",Settings!$C$6)</f>
        <v/>
      </c>
      <c r="V252" s="7">
        <f>IF($AB252="","",SUMIFS('Per Line'!$U$2:$U$4001,'Per Line'!$C$2:$C$4001,$B252,'Per Line'!$AL$2:$AL$4001,1,'Per Line'!$AM$2:$AM$4001,0))</f>
        <v/>
      </c>
      <c r="W252" s="7">
        <f>IF($AB252="","",V252*U252)</f>
        <v/>
      </c>
      <c r="X252" s="7">
        <f>IF($AB252="","",W252+T252)</f>
        <v/>
      </c>
      <c r="Y252" s="7">
        <f>IF($AB252="","",Z252-X252)</f>
        <v/>
      </c>
      <c r="Z252" s="7">
        <f>IF($AB252="","",S252+V252+Q252)</f>
        <v/>
      </c>
      <c r="AA252" s="7">
        <f>IF($AB252="","",Z252-X252-M252)</f>
        <v/>
      </c>
      <c r="AB252" s="13">
        <f>IF(ROWS($AB$2:$AB252)&lt;=MAX('Per Line'!$AK$2:$AK$4001),MATCH(ROWS($AB$2:$AB252),'Per Line'!$AK$2:$AK$4001,0),"")</f>
        <v/>
      </c>
      <c r="AC252" s="14">
        <f>IF($AB252="","",M252-L252*Z252/100)</f>
        <v/>
      </c>
    </row>
    <row r="253">
      <c r="A253" s="12" t="n"/>
      <c r="B253">
        <f>IF($AB253="","",INDEX('Per Line'!$C$2:$C$4001,$AB253)&amp;"")</f>
        <v/>
      </c>
      <c r="C253">
        <f>IF($AB253="","",INDEX('Per Line'!$D$2:$D$4001,$AB253)&amp;"")</f>
        <v/>
      </c>
      <c r="D253">
        <f>IF($AB253="","",INDEX('Per Line'!$B$2:$B$4001,$AB253)&amp;"")</f>
        <v/>
      </c>
      <c r="E253">
        <f>IF($AB253="","",INDEX('Per Line'!$A$2:$A$4001,$AB253))</f>
        <v/>
      </c>
      <c r="F253" s="11">
        <f>IF($AB253="","",INDEX('Per Line'!$E$2:$E$4001,$AB253))</f>
        <v/>
      </c>
      <c r="G253">
        <f>IF($AB253="","",INDEX('Per Line'!$F$2:$F$4001,$AB253)&amp;"")</f>
        <v/>
      </c>
      <c r="H253">
        <f>IF($AB253="","",INDEX('Per Line'!$H$2:$H$4001,$AB253)&amp;"")</f>
        <v/>
      </c>
      <c r="I253">
        <f>IF($AB253="","",INDEX('Per Line'!$I$2:$I$4001,$AB253)&amp;"")</f>
        <v/>
      </c>
      <c r="J253">
        <f>IF($AB253="","",INDEX('Per Line'!$J$2:$J$4001,$AB253)&amp;"")</f>
        <v/>
      </c>
      <c r="K253">
        <f>IF($AB253="","",INDEX('Per Line'!$K$2:$K$4001,$AB253)&amp;"")</f>
        <v/>
      </c>
      <c r="L253">
        <f>IF($AB253="","",INDEX('Per Line'!$L$2:$L$4001,$AB253))</f>
        <v/>
      </c>
      <c r="M253" s="7">
        <f>IF($AB253="","",IF(AND(ISNUMBER(O253),O253&gt;0,Z253&gt;O253),L253*O253/100+(Z253-O253),L253*Z253/100))</f>
        <v/>
      </c>
      <c r="N253">
        <f>IF($AB253="","",INDEX('Per Line'!$V$2:$V$4001,$AB253)&amp;"")</f>
        <v/>
      </c>
      <c r="O253">
        <f>IF($AB253="","",INDEX('Per Line'!$Z$2:$Z$4001,$AB253))</f>
        <v/>
      </c>
      <c r="P253">
        <f>IF($AB253="","",IF(AND(ISNUMBER(O253),O253&gt;0),Z253&gt;O253,FALSE))</f>
        <v/>
      </c>
      <c r="Q253" s="7">
        <f>IF($AB253="","",SUMIFS('Per Line'!$U$2:$U$4001,'Per Line'!$C$2:$C$4001,$B253,'Per Line'!$AM$2:$AM$4001,1))</f>
        <v/>
      </c>
      <c r="R253">
        <f>IF($AB253="","",Settings!$C$7)</f>
        <v/>
      </c>
      <c r="S253" s="7">
        <f>IF($AB253="","",SUMIFS('Per Line'!$U$2:$U$4001,'Per Line'!$C$2:$C$4001,$B253,'Per Line'!$AL$2:$AL$4001,0,'Per Line'!$AM$2:$AM$4001,0))</f>
        <v/>
      </c>
      <c r="T253" s="7">
        <f>IF($AB253="","",S253*R253)</f>
        <v/>
      </c>
      <c r="U253">
        <f>IF($AB253="","",Settings!$C$6)</f>
        <v/>
      </c>
      <c r="V253" s="7">
        <f>IF($AB253="","",SUMIFS('Per Line'!$U$2:$U$4001,'Per Line'!$C$2:$C$4001,$B253,'Per Line'!$AL$2:$AL$4001,1,'Per Line'!$AM$2:$AM$4001,0))</f>
        <v/>
      </c>
      <c r="W253" s="7">
        <f>IF($AB253="","",V253*U253)</f>
        <v/>
      </c>
      <c r="X253" s="7">
        <f>IF($AB253="","",W253+T253)</f>
        <v/>
      </c>
      <c r="Y253" s="7">
        <f>IF($AB253="","",Z253-X253)</f>
        <v/>
      </c>
      <c r="Z253" s="7">
        <f>IF($AB253="","",S253+V253+Q253)</f>
        <v/>
      </c>
      <c r="AA253" s="7">
        <f>IF($AB253="","",Z253-X253-M253)</f>
        <v/>
      </c>
      <c r="AB253" s="13">
        <f>IF(ROWS($AB$2:$AB253)&lt;=MAX('Per Line'!$AK$2:$AK$4001),MATCH(ROWS($AB$2:$AB253),'Per Line'!$AK$2:$AK$4001,0),"")</f>
        <v/>
      </c>
      <c r="AC253" s="14">
        <f>IF($AB253="","",M253-L253*Z253/100)</f>
        <v/>
      </c>
    </row>
    <row r="254">
      <c r="A254" s="12" t="n"/>
      <c r="B254">
        <f>IF($AB254="","",INDEX('Per Line'!$C$2:$C$4001,$AB254)&amp;"")</f>
        <v/>
      </c>
      <c r="C254">
        <f>IF($AB254="","",INDEX('Per Line'!$D$2:$D$4001,$AB254)&amp;"")</f>
        <v/>
      </c>
      <c r="D254">
        <f>IF($AB254="","",INDEX('Per Line'!$B$2:$B$4001,$AB254)&amp;"")</f>
        <v/>
      </c>
      <c r="E254">
        <f>IF($AB254="","",INDEX('Per Line'!$A$2:$A$4001,$AB254))</f>
        <v/>
      </c>
      <c r="F254" s="11">
        <f>IF($AB254="","",INDEX('Per Line'!$E$2:$E$4001,$AB254))</f>
        <v/>
      </c>
      <c r="G254">
        <f>IF($AB254="","",INDEX('Per Line'!$F$2:$F$4001,$AB254)&amp;"")</f>
        <v/>
      </c>
      <c r="H254">
        <f>IF($AB254="","",INDEX('Per Line'!$H$2:$H$4001,$AB254)&amp;"")</f>
        <v/>
      </c>
      <c r="I254">
        <f>IF($AB254="","",INDEX('Per Line'!$I$2:$I$4001,$AB254)&amp;"")</f>
        <v/>
      </c>
      <c r="J254">
        <f>IF($AB254="","",INDEX('Per Line'!$J$2:$J$4001,$AB254)&amp;"")</f>
        <v/>
      </c>
      <c r="K254">
        <f>IF($AB254="","",INDEX('Per Line'!$K$2:$K$4001,$AB254)&amp;"")</f>
        <v/>
      </c>
      <c r="L254">
        <f>IF($AB254="","",INDEX('Per Line'!$L$2:$L$4001,$AB254))</f>
        <v/>
      </c>
      <c r="M254" s="7">
        <f>IF($AB254="","",IF(AND(ISNUMBER(O254),O254&gt;0,Z254&gt;O254),L254*O254/100+(Z254-O254),L254*Z254/100))</f>
        <v/>
      </c>
      <c r="N254">
        <f>IF($AB254="","",INDEX('Per Line'!$V$2:$V$4001,$AB254)&amp;"")</f>
        <v/>
      </c>
      <c r="O254">
        <f>IF($AB254="","",INDEX('Per Line'!$Z$2:$Z$4001,$AB254))</f>
        <v/>
      </c>
      <c r="P254">
        <f>IF($AB254="","",IF(AND(ISNUMBER(O254),O254&gt;0),Z254&gt;O254,FALSE))</f>
        <v/>
      </c>
      <c r="Q254" s="7">
        <f>IF($AB254="","",SUMIFS('Per Line'!$U$2:$U$4001,'Per Line'!$C$2:$C$4001,$B254,'Per Line'!$AM$2:$AM$4001,1))</f>
        <v/>
      </c>
      <c r="R254">
        <f>IF($AB254="","",Settings!$C$7)</f>
        <v/>
      </c>
      <c r="S254" s="7">
        <f>IF($AB254="","",SUMIFS('Per Line'!$U$2:$U$4001,'Per Line'!$C$2:$C$4001,$B254,'Per Line'!$AL$2:$AL$4001,0,'Per Line'!$AM$2:$AM$4001,0))</f>
        <v/>
      </c>
      <c r="T254" s="7">
        <f>IF($AB254="","",S254*R254)</f>
        <v/>
      </c>
      <c r="U254">
        <f>IF($AB254="","",Settings!$C$6)</f>
        <v/>
      </c>
      <c r="V254" s="7">
        <f>IF($AB254="","",SUMIFS('Per Line'!$U$2:$U$4001,'Per Line'!$C$2:$C$4001,$B254,'Per Line'!$AL$2:$AL$4001,1,'Per Line'!$AM$2:$AM$4001,0))</f>
        <v/>
      </c>
      <c r="W254" s="7">
        <f>IF($AB254="","",V254*U254)</f>
        <v/>
      </c>
      <c r="X254" s="7">
        <f>IF($AB254="","",W254+T254)</f>
        <v/>
      </c>
      <c r="Y254" s="7">
        <f>IF($AB254="","",Z254-X254)</f>
        <v/>
      </c>
      <c r="Z254" s="7">
        <f>IF($AB254="","",S254+V254+Q254)</f>
        <v/>
      </c>
      <c r="AA254" s="7">
        <f>IF($AB254="","",Z254-X254-M254)</f>
        <v/>
      </c>
      <c r="AB254" s="13">
        <f>IF(ROWS($AB$2:$AB254)&lt;=MAX('Per Line'!$AK$2:$AK$4001),MATCH(ROWS($AB$2:$AB254),'Per Line'!$AK$2:$AK$4001,0),"")</f>
        <v/>
      </c>
      <c r="AC254" s="14">
        <f>IF($AB254="","",M254-L254*Z254/100)</f>
        <v/>
      </c>
    </row>
    <row r="255">
      <c r="A255" s="12" t="n"/>
      <c r="B255">
        <f>IF($AB255="","",INDEX('Per Line'!$C$2:$C$4001,$AB255)&amp;"")</f>
        <v/>
      </c>
      <c r="C255">
        <f>IF($AB255="","",INDEX('Per Line'!$D$2:$D$4001,$AB255)&amp;"")</f>
        <v/>
      </c>
      <c r="D255">
        <f>IF($AB255="","",INDEX('Per Line'!$B$2:$B$4001,$AB255)&amp;"")</f>
        <v/>
      </c>
      <c r="E255">
        <f>IF($AB255="","",INDEX('Per Line'!$A$2:$A$4001,$AB255))</f>
        <v/>
      </c>
      <c r="F255" s="11">
        <f>IF($AB255="","",INDEX('Per Line'!$E$2:$E$4001,$AB255))</f>
        <v/>
      </c>
      <c r="G255">
        <f>IF($AB255="","",INDEX('Per Line'!$F$2:$F$4001,$AB255)&amp;"")</f>
        <v/>
      </c>
      <c r="H255">
        <f>IF($AB255="","",INDEX('Per Line'!$H$2:$H$4001,$AB255)&amp;"")</f>
        <v/>
      </c>
      <c r="I255">
        <f>IF($AB255="","",INDEX('Per Line'!$I$2:$I$4001,$AB255)&amp;"")</f>
        <v/>
      </c>
      <c r="J255">
        <f>IF($AB255="","",INDEX('Per Line'!$J$2:$J$4001,$AB255)&amp;"")</f>
        <v/>
      </c>
      <c r="K255">
        <f>IF($AB255="","",INDEX('Per Line'!$K$2:$K$4001,$AB255)&amp;"")</f>
        <v/>
      </c>
      <c r="L255">
        <f>IF($AB255="","",INDEX('Per Line'!$L$2:$L$4001,$AB255))</f>
        <v/>
      </c>
      <c r="M255" s="7">
        <f>IF($AB255="","",IF(AND(ISNUMBER(O255),O255&gt;0,Z255&gt;O255),L255*O255/100+(Z255-O255),L255*Z255/100))</f>
        <v/>
      </c>
      <c r="N255">
        <f>IF($AB255="","",INDEX('Per Line'!$V$2:$V$4001,$AB255)&amp;"")</f>
        <v/>
      </c>
      <c r="O255">
        <f>IF($AB255="","",INDEX('Per Line'!$Z$2:$Z$4001,$AB255))</f>
        <v/>
      </c>
      <c r="P255">
        <f>IF($AB255="","",IF(AND(ISNUMBER(O255),O255&gt;0),Z255&gt;O255,FALSE))</f>
        <v/>
      </c>
      <c r="Q255" s="7">
        <f>IF($AB255="","",SUMIFS('Per Line'!$U$2:$U$4001,'Per Line'!$C$2:$C$4001,$B255,'Per Line'!$AM$2:$AM$4001,1))</f>
        <v/>
      </c>
      <c r="R255">
        <f>IF($AB255="","",Settings!$C$7)</f>
        <v/>
      </c>
      <c r="S255" s="7">
        <f>IF($AB255="","",SUMIFS('Per Line'!$U$2:$U$4001,'Per Line'!$C$2:$C$4001,$B255,'Per Line'!$AL$2:$AL$4001,0,'Per Line'!$AM$2:$AM$4001,0))</f>
        <v/>
      </c>
      <c r="T255" s="7">
        <f>IF($AB255="","",S255*R255)</f>
        <v/>
      </c>
      <c r="U255">
        <f>IF($AB255="","",Settings!$C$6)</f>
        <v/>
      </c>
      <c r="V255" s="7">
        <f>IF($AB255="","",SUMIFS('Per Line'!$U$2:$U$4001,'Per Line'!$C$2:$C$4001,$B255,'Per Line'!$AL$2:$AL$4001,1,'Per Line'!$AM$2:$AM$4001,0))</f>
        <v/>
      </c>
      <c r="W255" s="7">
        <f>IF($AB255="","",V255*U255)</f>
        <v/>
      </c>
      <c r="X255" s="7">
        <f>IF($AB255="","",W255+T255)</f>
        <v/>
      </c>
      <c r="Y255" s="7">
        <f>IF($AB255="","",Z255-X255)</f>
        <v/>
      </c>
      <c r="Z255" s="7">
        <f>IF($AB255="","",S255+V255+Q255)</f>
        <v/>
      </c>
      <c r="AA255" s="7">
        <f>IF($AB255="","",Z255-X255-M255)</f>
        <v/>
      </c>
      <c r="AB255" s="13">
        <f>IF(ROWS($AB$2:$AB255)&lt;=MAX('Per Line'!$AK$2:$AK$4001),MATCH(ROWS($AB$2:$AB255),'Per Line'!$AK$2:$AK$4001,0),"")</f>
        <v/>
      </c>
      <c r="AC255" s="14">
        <f>IF($AB255="","",M255-L255*Z255/100)</f>
        <v/>
      </c>
    </row>
    <row r="256">
      <c r="A256" s="12" t="n"/>
      <c r="B256">
        <f>IF($AB256="","",INDEX('Per Line'!$C$2:$C$4001,$AB256)&amp;"")</f>
        <v/>
      </c>
      <c r="C256">
        <f>IF($AB256="","",INDEX('Per Line'!$D$2:$D$4001,$AB256)&amp;"")</f>
        <v/>
      </c>
      <c r="D256">
        <f>IF($AB256="","",INDEX('Per Line'!$B$2:$B$4001,$AB256)&amp;"")</f>
        <v/>
      </c>
      <c r="E256">
        <f>IF($AB256="","",INDEX('Per Line'!$A$2:$A$4001,$AB256))</f>
        <v/>
      </c>
      <c r="F256" s="11">
        <f>IF($AB256="","",INDEX('Per Line'!$E$2:$E$4001,$AB256))</f>
        <v/>
      </c>
      <c r="G256">
        <f>IF($AB256="","",INDEX('Per Line'!$F$2:$F$4001,$AB256)&amp;"")</f>
        <v/>
      </c>
      <c r="H256">
        <f>IF($AB256="","",INDEX('Per Line'!$H$2:$H$4001,$AB256)&amp;"")</f>
        <v/>
      </c>
      <c r="I256">
        <f>IF($AB256="","",INDEX('Per Line'!$I$2:$I$4001,$AB256)&amp;"")</f>
        <v/>
      </c>
      <c r="J256">
        <f>IF($AB256="","",INDEX('Per Line'!$J$2:$J$4001,$AB256)&amp;"")</f>
        <v/>
      </c>
      <c r="K256">
        <f>IF($AB256="","",INDEX('Per Line'!$K$2:$K$4001,$AB256)&amp;"")</f>
        <v/>
      </c>
      <c r="L256">
        <f>IF($AB256="","",INDEX('Per Line'!$L$2:$L$4001,$AB256))</f>
        <v/>
      </c>
      <c r="M256" s="7">
        <f>IF($AB256="","",IF(AND(ISNUMBER(O256),O256&gt;0,Z256&gt;O256),L256*O256/100+(Z256-O256),L256*Z256/100))</f>
        <v/>
      </c>
      <c r="N256">
        <f>IF($AB256="","",INDEX('Per Line'!$V$2:$V$4001,$AB256)&amp;"")</f>
        <v/>
      </c>
      <c r="O256">
        <f>IF($AB256="","",INDEX('Per Line'!$Z$2:$Z$4001,$AB256))</f>
        <v/>
      </c>
      <c r="P256">
        <f>IF($AB256="","",IF(AND(ISNUMBER(O256),O256&gt;0),Z256&gt;O256,FALSE))</f>
        <v/>
      </c>
      <c r="Q256" s="7">
        <f>IF($AB256="","",SUMIFS('Per Line'!$U$2:$U$4001,'Per Line'!$C$2:$C$4001,$B256,'Per Line'!$AM$2:$AM$4001,1))</f>
        <v/>
      </c>
      <c r="R256">
        <f>IF($AB256="","",Settings!$C$7)</f>
        <v/>
      </c>
      <c r="S256" s="7">
        <f>IF($AB256="","",SUMIFS('Per Line'!$U$2:$U$4001,'Per Line'!$C$2:$C$4001,$B256,'Per Line'!$AL$2:$AL$4001,0,'Per Line'!$AM$2:$AM$4001,0))</f>
        <v/>
      </c>
      <c r="T256" s="7">
        <f>IF($AB256="","",S256*R256)</f>
        <v/>
      </c>
      <c r="U256">
        <f>IF($AB256="","",Settings!$C$6)</f>
        <v/>
      </c>
      <c r="V256" s="7">
        <f>IF($AB256="","",SUMIFS('Per Line'!$U$2:$U$4001,'Per Line'!$C$2:$C$4001,$B256,'Per Line'!$AL$2:$AL$4001,1,'Per Line'!$AM$2:$AM$4001,0))</f>
        <v/>
      </c>
      <c r="W256" s="7">
        <f>IF($AB256="","",V256*U256)</f>
        <v/>
      </c>
      <c r="X256" s="7">
        <f>IF($AB256="","",W256+T256)</f>
        <v/>
      </c>
      <c r="Y256" s="7">
        <f>IF($AB256="","",Z256-X256)</f>
        <v/>
      </c>
      <c r="Z256" s="7">
        <f>IF($AB256="","",S256+V256+Q256)</f>
        <v/>
      </c>
      <c r="AA256" s="7">
        <f>IF($AB256="","",Z256-X256-M256)</f>
        <v/>
      </c>
      <c r="AB256" s="13">
        <f>IF(ROWS($AB$2:$AB256)&lt;=MAX('Per Line'!$AK$2:$AK$4001),MATCH(ROWS($AB$2:$AB256),'Per Line'!$AK$2:$AK$4001,0),"")</f>
        <v/>
      </c>
      <c r="AC256" s="14">
        <f>IF($AB256="","",M256-L256*Z256/100)</f>
        <v/>
      </c>
    </row>
    <row r="257">
      <c r="A257" s="12" t="n"/>
      <c r="B257">
        <f>IF($AB257="","",INDEX('Per Line'!$C$2:$C$4001,$AB257)&amp;"")</f>
        <v/>
      </c>
      <c r="C257">
        <f>IF($AB257="","",INDEX('Per Line'!$D$2:$D$4001,$AB257)&amp;"")</f>
        <v/>
      </c>
      <c r="D257">
        <f>IF($AB257="","",INDEX('Per Line'!$B$2:$B$4001,$AB257)&amp;"")</f>
        <v/>
      </c>
      <c r="E257">
        <f>IF($AB257="","",INDEX('Per Line'!$A$2:$A$4001,$AB257))</f>
        <v/>
      </c>
      <c r="F257" s="11">
        <f>IF($AB257="","",INDEX('Per Line'!$E$2:$E$4001,$AB257))</f>
        <v/>
      </c>
      <c r="G257">
        <f>IF($AB257="","",INDEX('Per Line'!$F$2:$F$4001,$AB257)&amp;"")</f>
        <v/>
      </c>
      <c r="H257">
        <f>IF($AB257="","",INDEX('Per Line'!$H$2:$H$4001,$AB257)&amp;"")</f>
        <v/>
      </c>
      <c r="I257">
        <f>IF($AB257="","",INDEX('Per Line'!$I$2:$I$4001,$AB257)&amp;"")</f>
        <v/>
      </c>
      <c r="J257">
        <f>IF($AB257="","",INDEX('Per Line'!$J$2:$J$4001,$AB257)&amp;"")</f>
        <v/>
      </c>
      <c r="K257">
        <f>IF($AB257="","",INDEX('Per Line'!$K$2:$K$4001,$AB257)&amp;"")</f>
        <v/>
      </c>
      <c r="L257">
        <f>IF($AB257="","",INDEX('Per Line'!$L$2:$L$4001,$AB257))</f>
        <v/>
      </c>
      <c r="M257" s="7">
        <f>IF($AB257="","",IF(AND(ISNUMBER(O257),O257&gt;0,Z257&gt;O257),L257*O257/100+(Z257-O257),L257*Z257/100))</f>
        <v/>
      </c>
      <c r="N257">
        <f>IF($AB257="","",INDEX('Per Line'!$V$2:$V$4001,$AB257)&amp;"")</f>
        <v/>
      </c>
      <c r="O257">
        <f>IF($AB257="","",INDEX('Per Line'!$Z$2:$Z$4001,$AB257))</f>
        <v/>
      </c>
      <c r="P257">
        <f>IF($AB257="","",IF(AND(ISNUMBER(O257),O257&gt;0),Z257&gt;O257,FALSE))</f>
        <v/>
      </c>
      <c r="Q257" s="7">
        <f>IF($AB257="","",SUMIFS('Per Line'!$U$2:$U$4001,'Per Line'!$C$2:$C$4001,$B257,'Per Line'!$AM$2:$AM$4001,1))</f>
        <v/>
      </c>
      <c r="R257">
        <f>IF($AB257="","",Settings!$C$7)</f>
        <v/>
      </c>
      <c r="S257" s="7">
        <f>IF($AB257="","",SUMIFS('Per Line'!$U$2:$U$4001,'Per Line'!$C$2:$C$4001,$B257,'Per Line'!$AL$2:$AL$4001,0,'Per Line'!$AM$2:$AM$4001,0))</f>
        <v/>
      </c>
      <c r="T257" s="7">
        <f>IF($AB257="","",S257*R257)</f>
        <v/>
      </c>
      <c r="U257">
        <f>IF($AB257="","",Settings!$C$6)</f>
        <v/>
      </c>
      <c r="V257" s="7">
        <f>IF($AB257="","",SUMIFS('Per Line'!$U$2:$U$4001,'Per Line'!$C$2:$C$4001,$B257,'Per Line'!$AL$2:$AL$4001,1,'Per Line'!$AM$2:$AM$4001,0))</f>
        <v/>
      </c>
      <c r="W257" s="7">
        <f>IF($AB257="","",V257*U257)</f>
        <v/>
      </c>
      <c r="X257" s="7">
        <f>IF($AB257="","",W257+T257)</f>
        <v/>
      </c>
      <c r="Y257" s="7">
        <f>IF($AB257="","",Z257-X257)</f>
        <v/>
      </c>
      <c r="Z257" s="7">
        <f>IF($AB257="","",S257+V257+Q257)</f>
        <v/>
      </c>
      <c r="AA257" s="7">
        <f>IF($AB257="","",Z257-X257-M257)</f>
        <v/>
      </c>
      <c r="AB257" s="13">
        <f>IF(ROWS($AB$2:$AB257)&lt;=MAX('Per Line'!$AK$2:$AK$4001),MATCH(ROWS($AB$2:$AB257),'Per Line'!$AK$2:$AK$4001,0),"")</f>
        <v/>
      </c>
      <c r="AC257" s="14">
        <f>IF($AB257="","",M257-L257*Z257/100)</f>
        <v/>
      </c>
    </row>
    <row r="258">
      <c r="A258" s="12" t="n"/>
      <c r="B258">
        <f>IF($AB258="","",INDEX('Per Line'!$C$2:$C$4001,$AB258)&amp;"")</f>
        <v/>
      </c>
      <c r="C258">
        <f>IF($AB258="","",INDEX('Per Line'!$D$2:$D$4001,$AB258)&amp;"")</f>
        <v/>
      </c>
      <c r="D258">
        <f>IF($AB258="","",INDEX('Per Line'!$B$2:$B$4001,$AB258)&amp;"")</f>
        <v/>
      </c>
      <c r="E258">
        <f>IF($AB258="","",INDEX('Per Line'!$A$2:$A$4001,$AB258))</f>
        <v/>
      </c>
      <c r="F258" s="11">
        <f>IF($AB258="","",INDEX('Per Line'!$E$2:$E$4001,$AB258))</f>
        <v/>
      </c>
      <c r="G258">
        <f>IF($AB258="","",INDEX('Per Line'!$F$2:$F$4001,$AB258)&amp;"")</f>
        <v/>
      </c>
      <c r="H258">
        <f>IF($AB258="","",INDEX('Per Line'!$H$2:$H$4001,$AB258)&amp;"")</f>
        <v/>
      </c>
      <c r="I258">
        <f>IF($AB258="","",INDEX('Per Line'!$I$2:$I$4001,$AB258)&amp;"")</f>
        <v/>
      </c>
      <c r="J258">
        <f>IF($AB258="","",INDEX('Per Line'!$J$2:$J$4001,$AB258)&amp;"")</f>
        <v/>
      </c>
      <c r="K258">
        <f>IF($AB258="","",INDEX('Per Line'!$K$2:$K$4001,$AB258)&amp;"")</f>
        <v/>
      </c>
      <c r="L258">
        <f>IF($AB258="","",INDEX('Per Line'!$L$2:$L$4001,$AB258))</f>
        <v/>
      </c>
      <c r="M258" s="7">
        <f>IF($AB258="","",IF(AND(ISNUMBER(O258),O258&gt;0,Z258&gt;O258),L258*O258/100+(Z258-O258),L258*Z258/100))</f>
        <v/>
      </c>
      <c r="N258">
        <f>IF($AB258="","",INDEX('Per Line'!$V$2:$V$4001,$AB258)&amp;"")</f>
        <v/>
      </c>
      <c r="O258">
        <f>IF($AB258="","",INDEX('Per Line'!$Z$2:$Z$4001,$AB258))</f>
        <v/>
      </c>
      <c r="P258">
        <f>IF($AB258="","",IF(AND(ISNUMBER(O258),O258&gt;0),Z258&gt;O258,FALSE))</f>
        <v/>
      </c>
      <c r="Q258" s="7">
        <f>IF($AB258="","",SUMIFS('Per Line'!$U$2:$U$4001,'Per Line'!$C$2:$C$4001,$B258,'Per Line'!$AM$2:$AM$4001,1))</f>
        <v/>
      </c>
      <c r="R258">
        <f>IF($AB258="","",Settings!$C$7)</f>
        <v/>
      </c>
      <c r="S258" s="7">
        <f>IF($AB258="","",SUMIFS('Per Line'!$U$2:$U$4001,'Per Line'!$C$2:$C$4001,$B258,'Per Line'!$AL$2:$AL$4001,0,'Per Line'!$AM$2:$AM$4001,0))</f>
        <v/>
      </c>
      <c r="T258" s="7">
        <f>IF($AB258="","",S258*R258)</f>
        <v/>
      </c>
      <c r="U258">
        <f>IF($AB258="","",Settings!$C$6)</f>
        <v/>
      </c>
      <c r="V258" s="7">
        <f>IF($AB258="","",SUMIFS('Per Line'!$U$2:$U$4001,'Per Line'!$C$2:$C$4001,$B258,'Per Line'!$AL$2:$AL$4001,1,'Per Line'!$AM$2:$AM$4001,0))</f>
        <v/>
      </c>
      <c r="W258" s="7">
        <f>IF($AB258="","",V258*U258)</f>
        <v/>
      </c>
      <c r="X258" s="7">
        <f>IF($AB258="","",W258+T258)</f>
        <v/>
      </c>
      <c r="Y258" s="7">
        <f>IF($AB258="","",Z258-X258)</f>
        <v/>
      </c>
      <c r="Z258" s="7">
        <f>IF($AB258="","",S258+V258+Q258)</f>
        <v/>
      </c>
      <c r="AA258" s="7">
        <f>IF($AB258="","",Z258-X258-M258)</f>
        <v/>
      </c>
      <c r="AB258" s="13">
        <f>IF(ROWS($AB$2:$AB258)&lt;=MAX('Per Line'!$AK$2:$AK$4001),MATCH(ROWS($AB$2:$AB258),'Per Line'!$AK$2:$AK$4001,0),"")</f>
        <v/>
      </c>
      <c r="AC258" s="14">
        <f>IF($AB258="","",M258-L258*Z258/100)</f>
        <v/>
      </c>
    </row>
    <row r="259">
      <c r="A259" s="12" t="n"/>
      <c r="B259">
        <f>IF($AB259="","",INDEX('Per Line'!$C$2:$C$4001,$AB259)&amp;"")</f>
        <v/>
      </c>
      <c r="C259">
        <f>IF($AB259="","",INDEX('Per Line'!$D$2:$D$4001,$AB259)&amp;"")</f>
        <v/>
      </c>
      <c r="D259">
        <f>IF($AB259="","",INDEX('Per Line'!$B$2:$B$4001,$AB259)&amp;"")</f>
        <v/>
      </c>
      <c r="E259">
        <f>IF($AB259="","",INDEX('Per Line'!$A$2:$A$4001,$AB259))</f>
        <v/>
      </c>
      <c r="F259" s="11">
        <f>IF($AB259="","",INDEX('Per Line'!$E$2:$E$4001,$AB259))</f>
        <v/>
      </c>
      <c r="G259">
        <f>IF($AB259="","",INDEX('Per Line'!$F$2:$F$4001,$AB259)&amp;"")</f>
        <v/>
      </c>
      <c r="H259">
        <f>IF($AB259="","",INDEX('Per Line'!$H$2:$H$4001,$AB259)&amp;"")</f>
        <v/>
      </c>
      <c r="I259">
        <f>IF($AB259="","",INDEX('Per Line'!$I$2:$I$4001,$AB259)&amp;"")</f>
        <v/>
      </c>
      <c r="J259">
        <f>IF($AB259="","",INDEX('Per Line'!$J$2:$J$4001,$AB259)&amp;"")</f>
        <v/>
      </c>
      <c r="K259">
        <f>IF($AB259="","",INDEX('Per Line'!$K$2:$K$4001,$AB259)&amp;"")</f>
        <v/>
      </c>
      <c r="L259">
        <f>IF($AB259="","",INDEX('Per Line'!$L$2:$L$4001,$AB259))</f>
        <v/>
      </c>
      <c r="M259" s="7">
        <f>IF($AB259="","",IF(AND(ISNUMBER(O259),O259&gt;0,Z259&gt;O259),L259*O259/100+(Z259-O259),L259*Z259/100))</f>
        <v/>
      </c>
      <c r="N259">
        <f>IF($AB259="","",INDEX('Per Line'!$V$2:$V$4001,$AB259)&amp;"")</f>
        <v/>
      </c>
      <c r="O259">
        <f>IF($AB259="","",INDEX('Per Line'!$Z$2:$Z$4001,$AB259))</f>
        <v/>
      </c>
      <c r="P259">
        <f>IF($AB259="","",IF(AND(ISNUMBER(O259),O259&gt;0),Z259&gt;O259,FALSE))</f>
        <v/>
      </c>
      <c r="Q259" s="7">
        <f>IF($AB259="","",SUMIFS('Per Line'!$U$2:$U$4001,'Per Line'!$C$2:$C$4001,$B259,'Per Line'!$AM$2:$AM$4001,1))</f>
        <v/>
      </c>
      <c r="R259">
        <f>IF($AB259="","",Settings!$C$7)</f>
        <v/>
      </c>
      <c r="S259" s="7">
        <f>IF($AB259="","",SUMIFS('Per Line'!$U$2:$U$4001,'Per Line'!$C$2:$C$4001,$B259,'Per Line'!$AL$2:$AL$4001,0,'Per Line'!$AM$2:$AM$4001,0))</f>
        <v/>
      </c>
      <c r="T259" s="7">
        <f>IF($AB259="","",S259*R259)</f>
        <v/>
      </c>
      <c r="U259">
        <f>IF($AB259="","",Settings!$C$6)</f>
        <v/>
      </c>
      <c r="V259" s="7">
        <f>IF($AB259="","",SUMIFS('Per Line'!$U$2:$U$4001,'Per Line'!$C$2:$C$4001,$B259,'Per Line'!$AL$2:$AL$4001,1,'Per Line'!$AM$2:$AM$4001,0))</f>
        <v/>
      </c>
      <c r="W259" s="7">
        <f>IF($AB259="","",V259*U259)</f>
        <v/>
      </c>
      <c r="X259" s="7">
        <f>IF($AB259="","",W259+T259)</f>
        <v/>
      </c>
      <c r="Y259" s="7">
        <f>IF($AB259="","",Z259-X259)</f>
        <v/>
      </c>
      <c r="Z259" s="7">
        <f>IF($AB259="","",S259+V259+Q259)</f>
        <v/>
      </c>
      <c r="AA259" s="7">
        <f>IF($AB259="","",Z259-X259-M259)</f>
        <v/>
      </c>
      <c r="AB259" s="13">
        <f>IF(ROWS($AB$2:$AB259)&lt;=MAX('Per Line'!$AK$2:$AK$4001),MATCH(ROWS($AB$2:$AB259),'Per Line'!$AK$2:$AK$4001,0),"")</f>
        <v/>
      </c>
      <c r="AC259" s="14">
        <f>IF($AB259="","",M259-L259*Z259/100)</f>
        <v/>
      </c>
    </row>
    <row r="260">
      <c r="A260" s="12" t="n"/>
      <c r="B260">
        <f>IF($AB260="","",INDEX('Per Line'!$C$2:$C$4001,$AB260)&amp;"")</f>
        <v/>
      </c>
      <c r="C260">
        <f>IF($AB260="","",INDEX('Per Line'!$D$2:$D$4001,$AB260)&amp;"")</f>
        <v/>
      </c>
      <c r="D260">
        <f>IF($AB260="","",INDEX('Per Line'!$B$2:$B$4001,$AB260)&amp;"")</f>
        <v/>
      </c>
      <c r="E260">
        <f>IF($AB260="","",INDEX('Per Line'!$A$2:$A$4001,$AB260))</f>
        <v/>
      </c>
      <c r="F260" s="11">
        <f>IF($AB260="","",INDEX('Per Line'!$E$2:$E$4001,$AB260))</f>
        <v/>
      </c>
      <c r="G260">
        <f>IF($AB260="","",INDEX('Per Line'!$F$2:$F$4001,$AB260)&amp;"")</f>
        <v/>
      </c>
      <c r="H260">
        <f>IF($AB260="","",INDEX('Per Line'!$H$2:$H$4001,$AB260)&amp;"")</f>
        <v/>
      </c>
      <c r="I260">
        <f>IF($AB260="","",INDEX('Per Line'!$I$2:$I$4001,$AB260)&amp;"")</f>
        <v/>
      </c>
      <c r="J260">
        <f>IF($AB260="","",INDEX('Per Line'!$J$2:$J$4001,$AB260)&amp;"")</f>
        <v/>
      </c>
      <c r="K260">
        <f>IF($AB260="","",INDEX('Per Line'!$K$2:$K$4001,$AB260)&amp;"")</f>
        <v/>
      </c>
      <c r="L260">
        <f>IF($AB260="","",INDEX('Per Line'!$L$2:$L$4001,$AB260))</f>
        <v/>
      </c>
      <c r="M260" s="7">
        <f>IF($AB260="","",IF(AND(ISNUMBER(O260),O260&gt;0,Z260&gt;O260),L260*O260/100+(Z260-O260),L260*Z260/100))</f>
        <v/>
      </c>
      <c r="N260">
        <f>IF($AB260="","",INDEX('Per Line'!$V$2:$V$4001,$AB260)&amp;"")</f>
        <v/>
      </c>
      <c r="O260">
        <f>IF($AB260="","",INDEX('Per Line'!$Z$2:$Z$4001,$AB260))</f>
        <v/>
      </c>
      <c r="P260">
        <f>IF($AB260="","",IF(AND(ISNUMBER(O260),O260&gt;0),Z260&gt;O260,FALSE))</f>
        <v/>
      </c>
      <c r="Q260" s="7">
        <f>IF($AB260="","",SUMIFS('Per Line'!$U$2:$U$4001,'Per Line'!$C$2:$C$4001,$B260,'Per Line'!$AM$2:$AM$4001,1))</f>
        <v/>
      </c>
      <c r="R260">
        <f>IF($AB260="","",Settings!$C$7)</f>
        <v/>
      </c>
      <c r="S260" s="7">
        <f>IF($AB260="","",SUMIFS('Per Line'!$U$2:$U$4001,'Per Line'!$C$2:$C$4001,$B260,'Per Line'!$AL$2:$AL$4001,0,'Per Line'!$AM$2:$AM$4001,0))</f>
        <v/>
      </c>
      <c r="T260" s="7">
        <f>IF($AB260="","",S260*R260)</f>
        <v/>
      </c>
      <c r="U260">
        <f>IF($AB260="","",Settings!$C$6)</f>
        <v/>
      </c>
      <c r="V260" s="7">
        <f>IF($AB260="","",SUMIFS('Per Line'!$U$2:$U$4001,'Per Line'!$C$2:$C$4001,$B260,'Per Line'!$AL$2:$AL$4001,1,'Per Line'!$AM$2:$AM$4001,0))</f>
        <v/>
      </c>
      <c r="W260" s="7">
        <f>IF($AB260="","",V260*U260)</f>
        <v/>
      </c>
      <c r="X260" s="7">
        <f>IF($AB260="","",W260+T260)</f>
        <v/>
      </c>
      <c r="Y260" s="7">
        <f>IF($AB260="","",Z260-X260)</f>
        <v/>
      </c>
      <c r="Z260" s="7">
        <f>IF($AB260="","",S260+V260+Q260)</f>
        <v/>
      </c>
      <c r="AA260" s="7">
        <f>IF($AB260="","",Z260-X260-M260)</f>
        <v/>
      </c>
      <c r="AB260" s="13">
        <f>IF(ROWS($AB$2:$AB260)&lt;=MAX('Per Line'!$AK$2:$AK$4001),MATCH(ROWS($AB$2:$AB260),'Per Line'!$AK$2:$AK$4001,0),"")</f>
        <v/>
      </c>
      <c r="AC260" s="14">
        <f>IF($AB260="","",M260-L260*Z260/100)</f>
        <v/>
      </c>
    </row>
    <row r="261">
      <c r="A261" s="12" t="n"/>
      <c r="B261">
        <f>IF($AB261="","",INDEX('Per Line'!$C$2:$C$4001,$AB261)&amp;"")</f>
        <v/>
      </c>
      <c r="C261">
        <f>IF($AB261="","",INDEX('Per Line'!$D$2:$D$4001,$AB261)&amp;"")</f>
        <v/>
      </c>
      <c r="D261">
        <f>IF($AB261="","",INDEX('Per Line'!$B$2:$B$4001,$AB261)&amp;"")</f>
        <v/>
      </c>
      <c r="E261">
        <f>IF($AB261="","",INDEX('Per Line'!$A$2:$A$4001,$AB261))</f>
        <v/>
      </c>
      <c r="F261" s="11">
        <f>IF($AB261="","",INDEX('Per Line'!$E$2:$E$4001,$AB261))</f>
        <v/>
      </c>
      <c r="G261">
        <f>IF($AB261="","",INDEX('Per Line'!$F$2:$F$4001,$AB261)&amp;"")</f>
        <v/>
      </c>
      <c r="H261">
        <f>IF($AB261="","",INDEX('Per Line'!$H$2:$H$4001,$AB261)&amp;"")</f>
        <v/>
      </c>
      <c r="I261">
        <f>IF($AB261="","",INDEX('Per Line'!$I$2:$I$4001,$AB261)&amp;"")</f>
        <v/>
      </c>
      <c r="J261">
        <f>IF($AB261="","",INDEX('Per Line'!$J$2:$J$4001,$AB261)&amp;"")</f>
        <v/>
      </c>
      <c r="K261">
        <f>IF($AB261="","",INDEX('Per Line'!$K$2:$K$4001,$AB261)&amp;"")</f>
        <v/>
      </c>
      <c r="L261">
        <f>IF($AB261="","",INDEX('Per Line'!$L$2:$L$4001,$AB261))</f>
        <v/>
      </c>
      <c r="M261" s="7">
        <f>IF($AB261="","",IF(AND(ISNUMBER(O261),O261&gt;0,Z261&gt;O261),L261*O261/100+(Z261-O261),L261*Z261/100))</f>
        <v/>
      </c>
      <c r="N261">
        <f>IF($AB261="","",INDEX('Per Line'!$V$2:$V$4001,$AB261)&amp;"")</f>
        <v/>
      </c>
      <c r="O261">
        <f>IF($AB261="","",INDEX('Per Line'!$Z$2:$Z$4001,$AB261))</f>
        <v/>
      </c>
      <c r="P261">
        <f>IF($AB261="","",IF(AND(ISNUMBER(O261),O261&gt;0),Z261&gt;O261,FALSE))</f>
        <v/>
      </c>
      <c r="Q261" s="7">
        <f>IF($AB261="","",SUMIFS('Per Line'!$U$2:$U$4001,'Per Line'!$C$2:$C$4001,$B261,'Per Line'!$AM$2:$AM$4001,1))</f>
        <v/>
      </c>
      <c r="R261">
        <f>IF($AB261="","",Settings!$C$7)</f>
        <v/>
      </c>
      <c r="S261" s="7">
        <f>IF($AB261="","",SUMIFS('Per Line'!$U$2:$U$4001,'Per Line'!$C$2:$C$4001,$B261,'Per Line'!$AL$2:$AL$4001,0,'Per Line'!$AM$2:$AM$4001,0))</f>
        <v/>
      </c>
      <c r="T261" s="7">
        <f>IF($AB261="","",S261*R261)</f>
        <v/>
      </c>
      <c r="U261">
        <f>IF($AB261="","",Settings!$C$6)</f>
        <v/>
      </c>
      <c r="V261" s="7">
        <f>IF($AB261="","",SUMIFS('Per Line'!$U$2:$U$4001,'Per Line'!$C$2:$C$4001,$B261,'Per Line'!$AL$2:$AL$4001,1,'Per Line'!$AM$2:$AM$4001,0))</f>
        <v/>
      </c>
      <c r="W261" s="7">
        <f>IF($AB261="","",V261*U261)</f>
        <v/>
      </c>
      <c r="X261" s="7">
        <f>IF($AB261="","",W261+T261)</f>
        <v/>
      </c>
      <c r="Y261" s="7">
        <f>IF($AB261="","",Z261-X261)</f>
        <v/>
      </c>
      <c r="Z261" s="7">
        <f>IF($AB261="","",S261+V261+Q261)</f>
        <v/>
      </c>
      <c r="AA261" s="7">
        <f>IF($AB261="","",Z261-X261-M261)</f>
        <v/>
      </c>
      <c r="AB261" s="13">
        <f>IF(ROWS($AB$2:$AB261)&lt;=MAX('Per Line'!$AK$2:$AK$4001),MATCH(ROWS($AB$2:$AB261),'Per Line'!$AK$2:$AK$4001,0),"")</f>
        <v/>
      </c>
      <c r="AC261" s="14">
        <f>IF($AB261="","",M261-L261*Z261/100)</f>
        <v/>
      </c>
    </row>
    <row r="262">
      <c r="A262" s="12" t="n"/>
      <c r="B262">
        <f>IF($AB262="","",INDEX('Per Line'!$C$2:$C$4001,$AB262)&amp;"")</f>
        <v/>
      </c>
      <c r="C262">
        <f>IF($AB262="","",INDEX('Per Line'!$D$2:$D$4001,$AB262)&amp;"")</f>
        <v/>
      </c>
      <c r="D262">
        <f>IF($AB262="","",INDEX('Per Line'!$B$2:$B$4001,$AB262)&amp;"")</f>
        <v/>
      </c>
      <c r="E262">
        <f>IF($AB262="","",INDEX('Per Line'!$A$2:$A$4001,$AB262))</f>
        <v/>
      </c>
      <c r="F262" s="11">
        <f>IF($AB262="","",INDEX('Per Line'!$E$2:$E$4001,$AB262))</f>
        <v/>
      </c>
      <c r="G262">
        <f>IF($AB262="","",INDEX('Per Line'!$F$2:$F$4001,$AB262)&amp;"")</f>
        <v/>
      </c>
      <c r="H262">
        <f>IF($AB262="","",INDEX('Per Line'!$H$2:$H$4001,$AB262)&amp;"")</f>
        <v/>
      </c>
      <c r="I262">
        <f>IF($AB262="","",INDEX('Per Line'!$I$2:$I$4001,$AB262)&amp;"")</f>
        <v/>
      </c>
      <c r="J262">
        <f>IF($AB262="","",INDEX('Per Line'!$J$2:$J$4001,$AB262)&amp;"")</f>
        <v/>
      </c>
      <c r="K262">
        <f>IF($AB262="","",INDEX('Per Line'!$K$2:$K$4001,$AB262)&amp;"")</f>
        <v/>
      </c>
      <c r="L262">
        <f>IF($AB262="","",INDEX('Per Line'!$L$2:$L$4001,$AB262))</f>
        <v/>
      </c>
      <c r="M262" s="7">
        <f>IF($AB262="","",IF(AND(ISNUMBER(O262),O262&gt;0,Z262&gt;O262),L262*O262/100+(Z262-O262),L262*Z262/100))</f>
        <v/>
      </c>
      <c r="N262">
        <f>IF($AB262="","",INDEX('Per Line'!$V$2:$V$4001,$AB262)&amp;"")</f>
        <v/>
      </c>
      <c r="O262">
        <f>IF($AB262="","",INDEX('Per Line'!$Z$2:$Z$4001,$AB262))</f>
        <v/>
      </c>
      <c r="P262">
        <f>IF($AB262="","",IF(AND(ISNUMBER(O262),O262&gt;0),Z262&gt;O262,FALSE))</f>
        <v/>
      </c>
      <c r="Q262" s="7">
        <f>IF($AB262="","",SUMIFS('Per Line'!$U$2:$U$4001,'Per Line'!$C$2:$C$4001,$B262,'Per Line'!$AM$2:$AM$4001,1))</f>
        <v/>
      </c>
      <c r="R262">
        <f>IF($AB262="","",Settings!$C$7)</f>
        <v/>
      </c>
      <c r="S262" s="7">
        <f>IF($AB262="","",SUMIFS('Per Line'!$U$2:$U$4001,'Per Line'!$C$2:$C$4001,$B262,'Per Line'!$AL$2:$AL$4001,0,'Per Line'!$AM$2:$AM$4001,0))</f>
        <v/>
      </c>
      <c r="T262" s="7">
        <f>IF($AB262="","",S262*R262)</f>
        <v/>
      </c>
      <c r="U262">
        <f>IF($AB262="","",Settings!$C$6)</f>
        <v/>
      </c>
      <c r="V262" s="7">
        <f>IF($AB262="","",SUMIFS('Per Line'!$U$2:$U$4001,'Per Line'!$C$2:$C$4001,$B262,'Per Line'!$AL$2:$AL$4001,1,'Per Line'!$AM$2:$AM$4001,0))</f>
        <v/>
      </c>
      <c r="W262" s="7">
        <f>IF($AB262="","",V262*U262)</f>
        <v/>
      </c>
      <c r="X262" s="7">
        <f>IF($AB262="","",W262+T262)</f>
        <v/>
      </c>
      <c r="Y262" s="7">
        <f>IF($AB262="","",Z262-X262)</f>
        <v/>
      </c>
      <c r="Z262" s="7">
        <f>IF($AB262="","",S262+V262+Q262)</f>
        <v/>
      </c>
      <c r="AA262" s="7">
        <f>IF($AB262="","",Z262-X262-M262)</f>
        <v/>
      </c>
      <c r="AB262" s="13">
        <f>IF(ROWS($AB$2:$AB262)&lt;=MAX('Per Line'!$AK$2:$AK$4001),MATCH(ROWS($AB$2:$AB262),'Per Line'!$AK$2:$AK$4001,0),"")</f>
        <v/>
      </c>
      <c r="AC262" s="14">
        <f>IF($AB262="","",M262-L262*Z262/100)</f>
        <v/>
      </c>
    </row>
    <row r="263">
      <c r="A263" s="12" t="n"/>
      <c r="B263">
        <f>IF($AB263="","",INDEX('Per Line'!$C$2:$C$4001,$AB263)&amp;"")</f>
        <v/>
      </c>
      <c r="C263">
        <f>IF($AB263="","",INDEX('Per Line'!$D$2:$D$4001,$AB263)&amp;"")</f>
        <v/>
      </c>
      <c r="D263">
        <f>IF($AB263="","",INDEX('Per Line'!$B$2:$B$4001,$AB263)&amp;"")</f>
        <v/>
      </c>
      <c r="E263">
        <f>IF($AB263="","",INDEX('Per Line'!$A$2:$A$4001,$AB263))</f>
        <v/>
      </c>
      <c r="F263" s="11">
        <f>IF($AB263="","",INDEX('Per Line'!$E$2:$E$4001,$AB263))</f>
        <v/>
      </c>
      <c r="G263">
        <f>IF($AB263="","",INDEX('Per Line'!$F$2:$F$4001,$AB263)&amp;"")</f>
        <v/>
      </c>
      <c r="H263">
        <f>IF($AB263="","",INDEX('Per Line'!$H$2:$H$4001,$AB263)&amp;"")</f>
        <v/>
      </c>
      <c r="I263">
        <f>IF($AB263="","",INDEX('Per Line'!$I$2:$I$4001,$AB263)&amp;"")</f>
        <v/>
      </c>
      <c r="J263">
        <f>IF($AB263="","",INDEX('Per Line'!$J$2:$J$4001,$AB263)&amp;"")</f>
        <v/>
      </c>
      <c r="K263">
        <f>IF($AB263="","",INDEX('Per Line'!$K$2:$K$4001,$AB263)&amp;"")</f>
        <v/>
      </c>
      <c r="L263">
        <f>IF($AB263="","",INDEX('Per Line'!$L$2:$L$4001,$AB263))</f>
        <v/>
      </c>
      <c r="M263" s="7">
        <f>IF($AB263="","",IF(AND(ISNUMBER(O263),O263&gt;0,Z263&gt;O263),L263*O263/100+(Z263-O263),L263*Z263/100))</f>
        <v/>
      </c>
      <c r="N263">
        <f>IF($AB263="","",INDEX('Per Line'!$V$2:$V$4001,$AB263)&amp;"")</f>
        <v/>
      </c>
      <c r="O263">
        <f>IF($AB263="","",INDEX('Per Line'!$Z$2:$Z$4001,$AB263))</f>
        <v/>
      </c>
      <c r="P263">
        <f>IF($AB263="","",IF(AND(ISNUMBER(O263),O263&gt;0),Z263&gt;O263,FALSE))</f>
        <v/>
      </c>
      <c r="Q263" s="7">
        <f>IF($AB263="","",SUMIFS('Per Line'!$U$2:$U$4001,'Per Line'!$C$2:$C$4001,$B263,'Per Line'!$AM$2:$AM$4001,1))</f>
        <v/>
      </c>
      <c r="R263">
        <f>IF($AB263="","",Settings!$C$7)</f>
        <v/>
      </c>
      <c r="S263" s="7">
        <f>IF($AB263="","",SUMIFS('Per Line'!$U$2:$U$4001,'Per Line'!$C$2:$C$4001,$B263,'Per Line'!$AL$2:$AL$4001,0,'Per Line'!$AM$2:$AM$4001,0))</f>
        <v/>
      </c>
      <c r="T263" s="7">
        <f>IF($AB263="","",S263*R263)</f>
        <v/>
      </c>
      <c r="U263">
        <f>IF($AB263="","",Settings!$C$6)</f>
        <v/>
      </c>
      <c r="V263" s="7">
        <f>IF($AB263="","",SUMIFS('Per Line'!$U$2:$U$4001,'Per Line'!$C$2:$C$4001,$B263,'Per Line'!$AL$2:$AL$4001,1,'Per Line'!$AM$2:$AM$4001,0))</f>
        <v/>
      </c>
      <c r="W263" s="7">
        <f>IF($AB263="","",V263*U263)</f>
        <v/>
      </c>
      <c r="X263" s="7">
        <f>IF($AB263="","",W263+T263)</f>
        <v/>
      </c>
      <c r="Y263" s="7">
        <f>IF($AB263="","",Z263-X263)</f>
        <v/>
      </c>
      <c r="Z263" s="7">
        <f>IF($AB263="","",S263+V263+Q263)</f>
        <v/>
      </c>
      <c r="AA263" s="7">
        <f>IF($AB263="","",Z263-X263-M263)</f>
        <v/>
      </c>
      <c r="AB263" s="13">
        <f>IF(ROWS($AB$2:$AB263)&lt;=MAX('Per Line'!$AK$2:$AK$4001),MATCH(ROWS($AB$2:$AB263),'Per Line'!$AK$2:$AK$4001,0),"")</f>
        <v/>
      </c>
      <c r="AC263" s="14">
        <f>IF($AB263="","",M263-L263*Z263/100)</f>
        <v/>
      </c>
    </row>
    <row r="264">
      <c r="A264" s="12" t="n"/>
      <c r="B264">
        <f>IF($AB264="","",INDEX('Per Line'!$C$2:$C$4001,$AB264)&amp;"")</f>
        <v/>
      </c>
      <c r="C264">
        <f>IF($AB264="","",INDEX('Per Line'!$D$2:$D$4001,$AB264)&amp;"")</f>
        <v/>
      </c>
      <c r="D264">
        <f>IF($AB264="","",INDEX('Per Line'!$B$2:$B$4001,$AB264)&amp;"")</f>
        <v/>
      </c>
      <c r="E264">
        <f>IF($AB264="","",INDEX('Per Line'!$A$2:$A$4001,$AB264))</f>
        <v/>
      </c>
      <c r="F264" s="11">
        <f>IF($AB264="","",INDEX('Per Line'!$E$2:$E$4001,$AB264))</f>
        <v/>
      </c>
      <c r="G264">
        <f>IF($AB264="","",INDEX('Per Line'!$F$2:$F$4001,$AB264)&amp;"")</f>
        <v/>
      </c>
      <c r="H264">
        <f>IF($AB264="","",INDEX('Per Line'!$H$2:$H$4001,$AB264)&amp;"")</f>
        <v/>
      </c>
      <c r="I264">
        <f>IF($AB264="","",INDEX('Per Line'!$I$2:$I$4001,$AB264)&amp;"")</f>
        <v/>
      </c>
      <c r="J264">
        <f>IF($AB264="","",INDEX('Per Line'!$J$2:$J$4001,$AB264)&amp;"")</f>
        <v/>
      </c>
      <c r="K264">
        <f>IF($AB264="","",INDEX('Per Line'!$K$2:$K$4001,$AB264)&amp;"")</f>
        <v/>
      </c>
      <c r="L264">
        <f>IF($AB264="","",INDEX('Per Line'!$L$2:$L$4001,$AB264))</f>
        <v/>
      </c>
      <c r="M264" s="7">
        <f>IF($AB264="","",IF(AND(ISNUMBER(O264),O264&gt;0,Z264&gt;O264),L264*O264/100+(Z264-O264),L264*Z264/100))</f>
        <v/>
      </c>
      <c r="N264">
        <f>IF($AB264="","",INDEX('Per Line'!$V$2:$V$4001,$AB264)&amp;"")</f>
        <v/>
      </c>
      <c r="O264">
        <f>IF($AB264="","",INDEX('Per Line'!$Z$2:$Z$4001,$AB264))</f>
        <v/>
      </c>
      <c r="P264">
        <f>IF($AB264="","",IF(AND(ISNUMBER(O264),O264&gt;0),Z264&gt;O264,FALSE))</f>
        <v/>
      </c>
      <c r="Q264" s="7">
        <f>IF($AB264="","",SUMIFS('Per Line'!$U$2:$U$4001,'Per Line'!$C$2:$C$4001,$B264,'Per Line'!$AM$2:$AM$4001,1))</f>
        <v/>
      </c>
      <c r="R264">
        <f>IF($AB264="","",Settings!$C$7)</f>
        <v/>
      </c>
      <c r="S264" s="7">
        <f>IF($AB264="","",SUMIFS('Per Line'!$U$2:$U$4001,'Per Line'!$C$2:$C$4001,$B264,'Per Line'!$AL$2:$AL$4001,0,'Per Line'!$AM$2:$AM$4001,0))</f>
        <v/>
      </c>
      <c r="T264" s="7">
        <f>IF($AB264="","",S264*R264)</f>
        <v/>
      </c>
      <c r="U264">
        <f>IF($AB264="","",Settings!$C$6)</f>
        <v/>
      </c>
      <c r="V264" s="7">
        <f>IF($AB264="","",SUMIFS('Per Line'!$U$2:$U$4001,'Per Line'!$C$2:$C$4001,$B264,'Per Line'!$AL$2:$AL$4001,1,'Per Line'!$AM$2:$AM$4001,0))</f>
        <v/>
      </c>
      <c r="W264" s="7">
        <f>IF($AB264="","",V264*U264)</f>
        <v/>
      </c>
      <c r="X264" s="7">
        <f>IF($AB264="","",W264+T264)</f>
        <v/>
      </c>
      <c r="Y264" s="7">
        <f>IF($AB264="","",Z264-X264)</f>
        <v/>
      </c>
      <c r="Z264" s="7">
        <f>IF($AB264="","",S264+V264+Q264)</f>
        <v/>
      </c>
      <c r="AA264" s="7">
        <f>IF($AB264="","",Z264-X264-M264)</f>
        <v/>
      </c>
      <c r="AB264" s="13">
        <f>IF(ROWS($AB$2:$AB264)&lt;=MAX('Per Line'!$AK$2:$AK$4001),MATCH(ROWS($AB$2:$AB264),'Per Line'!$AK$2:$AK$4001,0),"")</f>
        <v/>
      </c>
      <c r="AC264" s="14">
        <f>IF($AB264="","",M264-L264*Z264/100)</f>
        <v/>
      </c>
    </row>
    <row r="265">
      <c r="A265" s="12" t="n"/>
      <c r="B265">
        <f>IF($AB265="","",INDEX('Per Line'!$C$2:$C$4001,$AB265)&amp;"")</f>
        <v/>
      </c>
      <c r="C265">
        <f>IF($AB265="","",INDEX('Per Line'!$D$2:$D$4001,$AB265)&amp;"")</f>
        <v/>
      </c>
      <c r="D265">
        <f>IF($AB265="","",INDEX('Per Line'!$B$2:$B$4001,$AB265)&amp;"")</f>
        <v/>
      </c>
      <c r="E265">
        <f>IF($AB265="","",INDEX('Per Line'!$A$2:$A$4001,$AB265))</f>
        <v/>
      </c>
      <c r="F265" s="11">
        <f>IF($AB265="","",INDEX('Per Line'!$E$2:$E$4001,$AB265))</f>
        <v/>
      </c>
      <c r="G265">
        <f>IF($AB265="","",INDEX('Per Line'!$F$2:$F$4001,$AB265)&amp;"")</f>
        <v/>
      </c>
      <c r="H265">
        <f>IF($AB265="","",INDEX('Per Line'!$H$2:$H$4001,$AB265)&amp;"")</f>
        <v/>
      </c>
      <c r="I265">
        <f>IF($AB265="","",INDEX('Per Line'!$I$2:$I$4001,$AB265)&amp;"")</f>
        <v/>
      </c>
      <c r="J265">
        <f>IF($AB265="","",INDEX('Per Line'!$J$2:$J$4001,$AB265)&amp;"")</f>
        <v/>
      </c>
      <c r="K265">
        <f>IF($AB265="","",INDEX('Per Line'!$K$2:$K$4001,$AB265)&amp;"")</f>
        <v/>
      </c>
      <c r="L265">
        <f>IF($AB265="","",INDEX('Per Line'!$L$2:$L$4001,$AB265))</f>
        <v/>
      </c>
      <c r="M265" s="7">
        <f>IF($AB265="","",IF(AND(ISNUMBER(O265),O265&gt;0,Z265&gt;O265),L265*O265/100+(Z265-O265),L265*Z265/100))</f>
        <v/>
      </c>
      <c r="N265">
        <f>IF($AB265="","",INDEX('Per Line'!$V$2:$V$4001,$AB265)&amp;"")</f>
        <v/>
      </c>
      <c r="O265">
        <f>IF($AB265="","",INDEX('Per Line'!$Z$2:$Z$4001,$AB265))</f>
        <v/>
      </c>
      <c r="P265">
        <f>IF($AB265="","",IF(AND(ISNUMBER(O265),O265&gt;0),Z265&gt;O265,FALSE))</f>
        <v/>
      </c>
      <c r="Q265" s="7">
        <f>IF($AB265="","",SUMIFS('Per Line'!$U$2:$U$4001,'Per Line'!$C$2:$C$4001,$B265,'Per Line'!$AM$2:$AM$4001,1))</f>
        <v/>
      </c>
      <c r="R265">
        <f>IF($AB265="","",Settings!$C$7)</f>
        <v/>
      </c>
      <c r="S265" s="7">
        <f>IF($AB265="","",SUMIFS('Per Line'!$U$2:$U$4001,'Per Line'!$C$2:$C$4001,$B265,'Per Line'!$AL$2:$AL$4001,0,'Per Line'!$AM$2:$AM$4001,0))</f>
        <v/>
      </c>
      <c r="T265" s="7">
        <f>IF($AB265="","",S265*R265)</f>
        <v/>
      </c>
      <c r="U265">
        <f>IF($AB265="","",Settings!$C$6)</f>
        <v/>
      </c>
      <c r="V265" s="7">
        <f>IF($AB265="","",SUMIFS('Per Line'!$U$2:$U$4001,'Per Line'!$C$2:$C$4001,$B265,'Per Line'!$AL$2:$AL$4001,1,'Per Line'!$AM$2:$AM$4001,0))</f>
        <v/>
      </c>
      <c r="W265" s="7">
        <f>IF($AB265="","",V265*U265)</f>
        <v/>
      </c>
      <c r="X265" s="7">
        <f>IF($AB265="","",W265+T265)</f>
        <v/>
      </c>
      <c r="Y265" s="7">
        <f>IF($AB265="","",Z265-X265)</f>
        <v/>
      </c>
      <c r="Z265" s="7">
        <f>IF($AB265="","",S265+V265+Q265)</f>
        <v/>
      </c>
      <c r="AA265" s="7">
        <f>IF($AB265="","",Z265-X265-M265)</f>
        <v/>
      </c>
      <c r="AB265" s="13">
        <f>IF(ROWS($AB$2:$AB265)&lt;=MAX('Per Line'!$AK$2:$AK$4001),MATCH(ROWS($AB$2:$AB265),'Per Line'!$AK$2:$AK$4001,0),"")</f>
        <v/>
      </c>
      <c r="AC265" s="14">
        <f>IF($AB265="","",M265-L265*Z265/100)</f>
        <v/>
      </c>
    </row>
    <row r="266">
      <c r="A266" s="12" t="n"/>
      <c r="B266">
        <f>IF($AB266="","",INDEX('Per Line'!$C$2:$C$4001,$AB266)&amp;"")</f>
        <v/>
      </c>
      <c r="C266">
        <f>IF($AB266="","",INDEX('Per Line'!$D$2:$D$4001,$AB266)&amp;"")</f>
        <v/>
      </c>
      <c r="D266">
        <f>IF($AB266="","",INDEX('Per Line'!$B$2:$B$4001,$AB266)&amp;"")</f>
        <v/>
      </c>
      <c r="E266">
        <f>IF($AB266="","",INDEX('Per Line'!$A$2:$A$4001,$AB266))</f>
        <v/>
      </c>
      <c r="F266" s="11">
        <f>IF($AB266="","",INDEX('Per Line'!$E$2:$E$4001,$AB266))</f>
        <v/>
      </c>
      <c r="G266">
        <f>IF($AB266="","",INDEX('Per Line'!$F$2:$F$4001,$AB266)&amp;"")</f>
        <v/>
      </c>
      <c r="H266">
        <f>IF($AB266="","",INDEX('Per Line'!$H$2:$H$4001,$AB266)&amp;"")</f>
        <v/>
      </c>
      <c r="I266">
        <f>IF($AB266="","",INDEX('Per Line'!$I$2:$I$4001,$AB266)&amp;"")</f>
        <v/>
      </c>
      <c r="J266">
        <f>IF($AB266="","",INDEX('Per Line'!$J$2:$J$4001,$AB266)&amp;"")</f>
        <v/>
      </c>
      <c r="K266">
        <f>IF($AB266="","",INDEX('Per Line'!$K$2:$K$4001,$AB266)&amp;"")</f>
        <v/>
      </c>
      <c r="L266">
        <f>IF($AB266="","",INDEX('Per Line'!$L$2:$L$4001,$AB266))</f>
        <v/>
      </c>
      <c r="M266" s="7">
        <f>IF($AB266="","",IF(AND(ISNUMBER(O266),O266&gt;0,Z266&gt;O266),L266*O266/100+(Z266-O266),L266*Z266/100))</f>
        <v/>
      </c>
      <c r="N266">
        <f>IF($AB266="","",INDEX('Per Line'!$V$2:$V$4001,$AB266)&amp;"")</f>
        <v/>
      </c>
      <c r="O266">
        <f>IF($AB266="","",INDEX('Per Line'!$Z$2:$Z$4001,$AB266))</f>
        <v/>
      </c>
      <c r="P266">
        <f>IF($AB266="","",IF(AND(ISNUMBER(O266),O266&gt;0),Z266&gt;O266,FALSE))</f>
        <v/>
      </c>
      <c r="Q266" s="7">
        <f>IF($AB266="","",SUMIFS('Per Line'!$U$2:$U$4001,'Per Line'!$C$2:$C$4001,$B266,'Per Line'!$AM$2:$AM$4001,1))</f>
        <v/>
      </c>
      <c r="R266">
        <f>IF($AB266="","",Settings!$C$7)</f>
        <v/>
      </c>
      <c r="S266" s="7">
        <f>IF($AB266="","",SUMIFS('Per Line'!$U$2:$U$4001,'Per Line'!$C$2:$C$4001,$B266,'Per Line'!$AL$2:$AL$4001,0,'Per Line'!$AM$2:$AM$4001,0))</f>
        <v/>
      </c>
      <c r="T266" s="7">
        <f>IF($AB266="","",S266*R266)</f>
        <v/>
      </c>
      <c r="U266">
        <f>IF($AB266="","",Settings!$C$6)</f>
        <v/>
      </c>
      <c r="V266" s="7">
        <f>IF($AB266="","",SUMIFS('Per Line'!$U$2:$U$4001,'Per Line'!$C$2:$C$4001,$B266,'Per Line'!$AL$2:$AL$4001,1,'Per Line'!$AM$2:$AM$4001,0))</f>
        <v/>
      </c>
      <c r="W266" s="7">
        <f>IF($AB266="","",V266*U266)</f>
        <v/>
      </c>
      <c r="X266" s="7">
        <f>IF($AB266="","",W266+T266)</f>
        <v/>
      </c>
      <c r="Y266" s="7">
        <f>IF($AB266="","",Z266-X266)</f>
        <v/>
      </c>
      <c r="Z266" s="7">
        <f>IF($AB266="","",S266+V266+Q266)</f>
        <v/>
      </c>
      <c r="AA266" s="7">
        <f>IF($AB266="","",Z266-X266-M266)</f>
        <v/>
      </c>
      <c r="AB266" s="13">
        <f>IF(ROWS($AB$2:$AB266)&lt;=MAX('Per Line'!$AK$2:$AK$4001),MATCH(ROWS($AB$2:$AB266),'Per Line'!$AK$2:$AK$4001,0),"")</f>
        <v/>
      </c>
      <c r="AC266" s="14">
        <f>IF($AB266="","",M266-L266*Z266/100)</f>
        <v/>
      </c>
    </row>
    <row r="267">
      <c r="A267" s="12" t="n"/>
      <c r="B267">
        <f>IF($AB267="","",INDEX('Per Line'!$C$2:$C$4001,$AB267)&amp;"")</f>
        <v/>
      </c>
      <c r="C267">
        <f>IF($AB267="","",INDEX('Per Line'!$D$2:$D$4001,$AB267)&amp;"")</f>
        <v/>
      </c>
      <c r="D267">
        <f>IF($AB267="","",INDEX('Per Line'!$B$2:$B$4001,$AB267)&amp;"")</f>
        <v/>
      </c>
      <c r="E267">
        <f>IF($AB267="","",INDEX('Per Line'!$A$2:$A$4001,$AB267))</f>
        <v/>
      </c>
      <c r="F267" s="11">
        <f>IF($AB267="","",INDEX('Per Line'!$E$2:$E$4001,$AB267))</f>
        <v/>
      </c>
      <c r="G267">
        <f>IF($AB267="","",INDEX('Per Line'!$F$2:$F$4001,$AB267)&amp;"")</f>
        <v/>
      </c>
      <c r="H267">
        <f>IF($AB267="","",INDEX('Per Line'!$H$2:$H$4001,$AB267)&amp;"")</f>
        <v/>
      </c>
      <c r="I267">
        <f>IF($AB267="","",INDEX('Per Line'!$I$2:$I$4001,$AB267)&amp;"")</f>
        <v/>
      </c>
      <c r="J267">
        <f>IF($AB267="","",INDEX('Per Line'!$J$2:$J$4001,$AB267)&amp;"")</f>
        <v/>
      </c>
      <c r="K267">
        <f>IF($AB267="","",INDEX('Per Line'!$K$2:$K$4001,$AB267)&amp;"")</f>
        <v/>
      </c>
      <c r="L267">
        <f>IF($AB267="","",INDEX('Per Line'!$L$2:$L$4001,$AB267))</f>
        <v/>
      </c>
      <c r="M267" s="7">
        <f>IF($AB267="","",IF(AND(ISNUMBER(O267),O267&gt;0,Z267&gt;O267),L267*O267/100+(Z267-O267),L267*Z267/100))</f>
        <v/>
      </c>
      <c r="N267">
        <f>IF($AB267="","",INDEX('Per Line'!$V$2:$V$4001,$AB267)&amp;"")</f>
        <v/>
      </c>
      <c r="O267">
        <f>IF($AB267="","",INDEX('Per Line'!$Z$2:$Z$4001,$AB267))</f>
        <v/>
      </c>
      <c r="P267">
        <f>IF($AB267="","",IF(AND(ISNUMBER(O267),O267&gt;0),Z267&gt;O267,FALSE))</f>
        <v/>
      </c>
      <c r="Q267" s="7">
        <f>IF($AB267="","",SUMIFS('Per Line'!$U$2:$U$4001,'Per Line'!$C$2:$C$4001,$B267,'Per Line'!$AM$2:$AM$4001,1))</f>
        <v/>
      </c>
      <c r="R267">
        <f>IF($AB267="","",Settings!$C$7)</f>
        <v/>
      </c>
      <c r="S267" s="7">
        <f>IF($AB267="","",SUMIFS('Per Line'!$U$2:$U$4001,'Per Line'!$C$2:$C$4001,$B267,'Per Line'!$AL$2:$AL$4001,0,'Per Line'!$AM$2:$AM$4001,0))</f>
        <v/>
      </c>
      <c r="T267" s="7">
        <f>IF($AB267="","",S267*R267)</f>
        <v/>
      </c>
      <c r="U267">
        <f>IF($AB267="","",Settings!$C$6)</f>
        <v/>
      </c>
      <c r="V267" s="7">
        <f>IF($AB267="","",SUMIFS('Per Line'!$U$2:$U$4001,'Per Line'!$C$2:$C$4001,$B267,'Per Line'!$AL$2:$AL$4001,1,'Per Line'!$AM$2:$AM$4001,0))</f>
        <v/>
      </c>
      <c r="W267" s="7">
        <f>IF($AB267="","",V267*U267)</f>
        <v/>
      </c>
      <c r="X267" s="7">
        <f>IF($AB267="","",W267+T267)</f>
        <v/>
      </c>
      <c r="Y267" s="7">
        <f>IF($AB267="","",Z267-X267)</f>
        <v/>
      </c>
      <c r="Z267" s="7">
        <f>IF($AB267="","",S267+V267+Q267)</f>
        <v/>
      </c>
      <c r="AA267" s="7">
        <f>IF($AB267="","",Z267-X267-M267)</f>
        <v/>
      </c>
      <c r="AB267" s="13">
        <f>IF(ROWS($AB$2:$AB267)&lt;=MAX('Per Line'!$AK$2:$AK$4001),MATCH(ROWS($AB$2:$AB267),'Per Line'!$AK$2:$AK$4001,0),"")</f>
        <v/>
      </c>
      <c r="AC267" s="14">
        <f>IF($AB267="","",M267-L267*Z267/100)</f>
        <v/>
      </c>
    </row>
    <row r="268">
      <c r="A268" s="12" t="n"/>
      <c r="B268">
        <f>IF($AB268="","",INDEX('Per Line'!$C$2:$C$4001,$AB268)&amp;"")</f>
        <v/>
      </c>
      <c r="C268">
        <f>IF($AB268="","",INDEX('Per Line'!$D$2:$D$4001,$AB268)&amp;"")</f>
        <v/>
      </c>
      <c r="D268">
        <f>IF($AB268="","",INDEX('Per Line'!$B$2:$B$4001,$AB268)&amp;"")</f>
        <v/>
      </c>
      <c r="E268">
        <f>IF($AB268="","",INDEX('Per Line'!$A$2:$A$4001,$AB268))</f>
        <v/>
      </c>
      <c r="F268" s="11">
        <f>IF($AB268="","",INDEX('Per Line'!$E$2:$E$4001,$AB268))</f>
        <v/>
      </c>
      <c r="G268">
        <f>IF($AB268="","",INDEX('Per Line'!$F$2:$F$4001,$AB268)&amp;"")</f>
        <v/>
      </c>
      <c r="H268">
        <f>IF($AB268="","",INDEX('Per Line'!$H$2:$H$4001,$AB268)&amp;"")</f>
        <v/>
      </c>
      <c r="I268">
        <f>IF($AB268="","",INDEX('Per Line'!$I$2:$I$4001,$AB268)&amp;"")</f>
        <v/>
      </c>
      <c r="J268">
        <f>IF($AB268="","",INDEX('Per Line'!$J$2:$J$4001,$AB268)&amp;"")</f>
        <v/>
      </c>
      <c r="K268">
        <f>IF($AB268="","",INDEX('Per Line'!$K$2:$K$4001,$AB268)&amp;"")</f>
        <v/>
      </c>
      <c r="L268">
        <f>IF($AB268="","",INDEX('Per Line'!$L$2:$L$4001,$AB268))</f>
        <v/>
      </c>
      <c r="M268" s="7">
        <f>IF($AB268="","",IF(AND(ISNUMBER(O268),O268&gt;0,Z268&gt;O268),L268*O268/100+(Z268-O268),L268*Z268/100))</f>
        <v/>
      </c>
      <c r="N268">
        <f>IF($AB268="","",INDEX('Per Line'!$V$2:$V$4001,$AB268)&amp;"")</f>
        <v/>
      </c>
      <c r="O268">
        <f>IF($AB268="","",INDEX('Per Line'!$Z$2:$Z$4001,$AB268))</f>
        <v/>
      </c>
      <c r="P268">
        <f>IF($AB268="","",IF(AND(ISNUMBER(O268),O268&gt;0),Z268&gt;O268,FALSE))</f>
        <v/>
      </c>
      <c r="Q268" s="7">
        <f>IF($AB268="","",SUMIFS('Per Line'!$U$2:$U$4001,'Per Line'!$C$2:$C$4001,$B268,'Per Line'!$AM$2:$AM$4001,1))</f>
        <v/>
      </c>
      <c r="R268">
        <f>IF($AB268="","",Settings!$C$7)</f>
        <v/>
      </c>
      <c r="S268" s="7">
        <f>IF($AB268="","",SUMIFS('Per Line'!$U$2:$U$4001,'Per Line'!$C$2:$C$4001,$B268,'Per Line'!$AL$2:$AL$4001,0,'Per Line'!$AM$2:$AM$4001,0))</f>
        <v/>
      </c>
      <c r="T268" s="7">
        <f>IF($AB268="","",S268*R268)</f>
        <v/>
      </c>
      <c r="U268">
        <f>IF($AB268="","",Settings!$C$6)</f>
        <v/>
      </c>
      <c r="V268" s="7">
        <f>IF($AB268="","",SUMIFS('Per Line'!$U$2:$U$4001,'Per Line'!$C$2:$C$4001,$B268,'Per Line'!$AL$2:$AL$4001,1,'Per Line'!$AM$2:$AM$4001,0))</f>
        <v/>
      </c>
      <c r="W268" s="7">
        <f>IF($AB268="","",V268*U268)</f>
        <v/>
      </c>
      <c r="X268" s="7">
        <f>IF($AB268="","",W268+T268)</f>
        <v/>
      </c>
      <c r="Y268" s="7">
        <f>IF($AB268="","",Z268-X268)</f>
        <v/>
      </c>
      <c r="Z268" s="7">
        <f>IF($AB268="","",S268+V268+Q268)</f>
        <v/>
      </c>
      <c r="AA268" s="7">
        <f>IF($AB268="","",Z268-X268-M268)</f>
        <v/>
      </c>
      <c r="AB268" s="13">
        <f>IF(ROWS($AB$2:$AB268)&lt;=MAX('Per Line'!$AK$2:$AK$4001),MATCH(ROWS($AB$2:$AB268),'Per Line'!$AK$2:$AK$4001,0),"")</f>
        <v/>
      </c>
      <c r="AC268" s="14">
        <f>IF($AB268="","",M268-L268*Z268/100)</f>
        <v/>
      </c>
    </row>
    <row r="269">
      <c r="A269" s="12" t="n"/>
      <c r="B269">
        <f>IF($AB269="","",INDEX('Per Line'!$C$2:$C$4001,$AB269)&amp;"")</f>
        <v/>
      </c>
      <c r="C269">
        <f>IF($AB269="","",INDEX('Per Line'!$D$2:$D$4001,$AB269)&amp;"")</f>
        <v/>
      </c>
      <c r="D269">
        <f>IF($AB269="","",INDEX('Per Line'!$B$2:$B$4001,$AB269)&amp;"")</f>
        <v/>
      </c>
      <c r="E269">
        <f>IF($AB269="","",INDEX('Per Line'!$A$2:$A$4001,$AB269))</f>
        <v/>
      </c>
      <c r="F269" s="11">
        <f>IF($AB269="","",INDEX('Per Line'!$E$2:$E$4001,$AB269))</f>
        <v/>
      </c>
      <c r="G269">
        <f>IF($AB269="","",INDEX('Per Line'!$F$2:$F$4001,$AB269)&amp;"")</f>
        <v/>
      </c>
      <c r="H269">
        <f>IF($AB269="","",INDEX('Per Line'!$H$2:$H$4001,$AB269)&amp;"")</f>
        <v/>
      </c>
      <c r="I269">
        <f>IF($AB269="","",INDEX('Per Line'!$I$2:$I$4001,$AB269)&amp;"")</f>
        <v/>
      </c>
      <c r="J269">
        <f>IF($AB269="","",INDEX('Per Line'!$J$2:$J$4001,$AB269)&amp;"")</f>
        <v/>
      </c>
      <c r="K269">
        <f>IF($AB269="","",INDEX('Per Line'!$K$2:$K$4001,$AB269)&amp;"")</f>
        <v/>
      </c>
      <c r="L269">
        <f>IF($AB269="","",INDEX('Per Line'!$L$2:$L$4001,$AB269))</f>
        <v/>
      </c>
      <c r="M269" s="7">
        <f>IF($AB269="","",IF(AND(ISNUMBER(O269),O269&gt;0,Z269&gt;O269),L269*O269/100+(Z269-O269),L269*Z269/100))</f>
        <v/>
      </c>
      <c r="N269">
        <f>IF($AB269="","",INDEX('Per Line'!$V$2:$V$4001,$AB269)&amp;"")</f>
        <v/>
      </c>
      <c r="O269">
        <f>IF($AB269="","",INDEX('Per Line'!$Z$2:$Z$4001,$AB269))</f>
        <v/>
      </c>
      <c r="P269">
        <f>IF($AB269="","",IF(AND(ISNUMBER(O269),O269&gt;0),Z269&gt;O269,FALSE))</f>
        <v/>
      </c>
      <c r="Q269" s="7">
        <f>IF($AB269="","",SUMIFS('Per Line'!$U$2:$U$4001,'Per Line'!$C$2:$C$4001,$B269,'Per Line'!$AM$2:$AM$4001,1))</f>
        <v/>
      </c>
      <c r="R269">
        <f>IF($AB269="","",Settings!$C$7)</f>
        <v/>
      </c>
      <c r="S269" s="7">
        <f>IF($AB269="","",SUMIFS('Per Line'!$U$2:$U$4001,'Per Line'!$C$2:$C$4001,$B269,'Per Line'!$AL$2:$AL$4001,0,'Per Line'!$AM$2:$AM$4001,0))</f>
        <v/>
      </c>
      <c r="T269" s="7">
        <f>IF($AB269="","",S269*R269)</f>
        <v/>
      </c>
      <c r="U269">
        <f>IF($AB269="","",Settings!$C$6)</f>
        <v/>
      </c>
      <c r="V269" s="7">
        <f>IF($AB269="","",SUMIFS('Per Line'!$U$2:$U$4001,'Per Line'!$C$2:$C$4001,$B269,'Per Line'!$AL$2:$AL$4001,1,'Per Line'!$AM$2:$AM$4001,0))</f>
        <v/>
      </c>
      <c r="W269" s="7">
        <f>IF($AB269="","",V269*U269)</f>
        <v/>
      </c>
      <c r="X269" s="7">
        <f>IF($AB269="","",W269+T269)</f>
        <v/>
      </c>
      <c r="Y269" s="7">
        <f>IF($AB269="","",Z269-X269)</f>
        <v/>
      </c>
      <c r="Z269" s="7">
        <f>IF($AB269="","",S269+V269+Q269)</f>
        <v/>
      </c>
      <c r="AA269" s="7">
        <f>IF($AB269="","",Z269-X269-M269)</f>
        <v/>
      </c>
      <c r="AB269" s="13">
        <f>IF(ROWS($AB$2:$AB269)&lt;=MAX('Per Line'!$AK$2:$AK$4001),MATCH(ROWS($AB$2:$AB269),'Per Line'!$AK$2:$AK$4001,0),"")</f>
        <v/>
      </c>
      <c r="AC269" s="14">
        <f>IF($AB269="","",M269-L269*Z269/100)</f>
        <v/>
      </c>
    </row>
    <row r="270">
      <c r="A270" s="12" t="n"/>
      <c r="B270">
        <f>IF($AB270="","",INDEX('Per Line'!$C$2:$C$4001,$AB270)&amp;"")</f>
        <v/>
      </c>
      <c r="C270">
        <f>IF($AB270="","",INDEX('Per Line'!$D$2:$D$4001,$AB270)&amp;"")</f>
        <v/>
      </c>
      <c r="D270">
        <f>IF($AB270="","",INDEX('Per Line'!$B$2:$B$4001,$AB270)&amp;"")</f>
        <v/>
      </c>
      <c r="E270">
        <f>IF($AB270="","",INDEX('Per Line'!$A$2:$A$4001,$AB270))</f>
        <v/>
      </c>
      <c r="F270" s="11">
        <f>IF($AB270="","",INDEX('Per Line'!$E$2:$E$4001,$AB270))</f>
        <v/>
      </c>
      <c r="G270">
        <f>IF($AB270="","",INDEX('Per Line'!$F$2:$F$4001,$AB270)&amp;"")</f>
        <v/>
      </c>
      <c r="H270">
        <f>IF($AB270="","",INDEX('Per Line'!$H$2:$H$4001,$AB270)&amp;"")</f>
        <v/>
      </c>
      <c r="I270">
        <f>IF($AB270="","",INDEX('Per Line'!$I$2:$I$4001,$AB270)&amp;"")</f>
        <v/>
      </c>
      <c r="J270">
        <f>IF($AB270="","",INDEX('Per Line'!$J$2:$J$4001,$AB270)&amp;"")</f>
        <v/>
      </c>
      <c r="K270">
        <f>IF($AB270="","",INDEX('Per Line'!$K$2:$K$4001,$AB270)&amp;"")</f>
        <v/>
      </c>
      <c r="L270">
        <f>IF($AB270="","",INDEX('Per Line'!$L$2:$L$4001,$AB270))</f>
        <v/>
      </c>
      <c r="M270" s="7">
        <f>IF($AB270="","",IF(AND(ISNUMBER(O270),O270&gt;0,Z270&gt;O270),L270*O270/100+(Z270-O270),L270*Z270/100))</f>
        <v/>
      </c>
      <c r="N270">
        <f>IF($AB270="","",INDEX('Per Line'!$V$2:$V$4001,$AB270)&amp;"")</f>
        <v/>
      </c>
      <c r="O270">
        <f>IF($AB270="","",INDEX('Per Line'!$Z$2:$Z$4001,$AB270))</f>
        <v/>
      </c>
      <c r="P270">
        <f>IF($AB270="","",IF(AND(ISNUMBER(O270),O270&gt;0),Z270&gt;O270,FALSE))</f>
        <v/>
      </c>
      <c r="Q270" s="7">
        <f>IF($AB270="","",SUMIFS('Per Line'!$U$2:$U$4001,'Per Line'!$C$2:$C$4001,$B270,'Per Line'!$AM$2:$AM$4001,1))</f>
        <v/>
      </c>
      <c r="R270">
        <f>IF($AB270="","",Settings!$C$7)</f>
        <v/>
      </c>
      <c r="S270" s="7">
        <f>IF($AB270="","",SUMIFS('Per Line'!$U$2:$U$4001,'Per Line'!$C$2:$C$4001,$B270,'Per Line'!$AL$2:$AL$4001,0,'Per Line'!$AM$2:$AM$4001,0))</f>
        <v/>
      </c>
      <c r="T270" s="7">
        <f>IF($AB270="","",S270*R270)</f>
        <v/>
      </c>
      <c r="U270">
        <f>IF($AB270="","",Settings!$C$6)</f>
        <v/>
      </c>
      <c r="V270" s="7">
        <f>IF($AB270="","",SUMIFS('Per Line'!$U$2:$U$4001,'Per Line'!$C$2:$C$4001,$B270,'Per Line'!$AL$2:$AL$4001,1,'Per Line'!$AM$2:$AM$4001,0))</f>
        <v/>
      </c>
      <c r="W270" s="7">
        <f>IF($AB270="","",V270*U270)</f>
        <v/>
      </c>
      <c r="X270" s="7">
        <f>IF($AB270="","",W270+T270)</f>
        <v/>
      </c>
      <c r="Y270" s="7">
        <f>IF($AB270="","",Z270-X270)</f>
        <v/>
      </c>
      <c r="Z270" s="7">
        <f>IF($AB270="","",S270+V270+Q270)</f>
        <v/>
      </c>
      <c r="AA270" s="7">
        <f>IF($AB270="","",Z270-X270-M270)</f>
        <v/>
      </c>
      <c r="AB270" s="13">
        <f>IF(ROWS($AB$2:$AB270)&lt;=MAX('Per Line'!$AK$2:$AK$4001),MATCH(ROWS($AB$2:$AB270),'Per Line'!$AK$2:$AK$4001,0),"")</f>
        <v/>
      </c>
      <c r="AC270" s="14">
        <f>IF($AB270="","",M270-L270*Z270/100)</f>
        <v/>
      </c>
    </row>
    <row r="271">
      <c r="A271" s="12" t="n"/>
      <c r="B271">
        <f>IF($AB271="","",INDEX('Per Line'!$C$2:$C$4001,$AB271)&amp;"")</f>
        <v/>
      </c>
      <c r="C271">
        <f>IF($AB271="","",INDEX('Per Line'!$D$2:$D$4001,$AB271)&amp;"")</f>
        <v/>
      </c>
      <c r="D271">
        <f>IF($AB271="","",INDEX('Per Line'!$B$2:$B$4001,$AB271)&amp;"")</f>
        <v/>
      </c>
      <c r="E271">
        <f>IF($AB271="","",INDEX('Per Line'!$A$2:$A$4001,$AB271))</f>
        <v/>
      </c>
      <c r="F271" s="11">
        <f>IF($AB271="","",INDEX('Per Line'!$E$2:$E$4001,$AB271))</f>
        <v/>
      </c>
      <c r="G271">
        <f>IF($AB271="","",INDEX('Per Line'!$F$2:$F$4001,$AB271)&amp;"")</f>
        <v/>
      </c>
      <c r="H271">
        <f>IF($AB271="","",INDEX('Per Line'!$H$2:$H$4001,$AB271)&amp;"")</f>
        <v/>
      </c>
      <c r="I271">
        <f>IF($AB271="","",INDEX('Per Line'!$I$2:$I$4001,$AB271)&amp;"")</f>
        <v/>
      </c>
      <c r="J271">
        <f>IF($AB271="","",INDEX('Per Line'!$J$2:$J$4001,$AB271)&amp;"")</f>
        <v/>
      </c>
      <c r="K271">
        <f>IF($AB271="","",INDEX('Per Line'!$K$2:$K$4001,$AB271)&amp;"")</f>
        <v/>
      </c>
      <c r="L271">
        <f>IF($AB271="","",INDEX('Per Line'!$L$2:$L$4001,$AB271))</f>
        <v/>
      </c>
      <c r="M271" s="7">
        <f>IF($AB271="","",IF(AND(ISNUMBER(O271),O271&gt;0,Z271&gt;O271),L271*O271/100+(Z271-O271),L271*Z271/100))</f>
        <v/>
      </c>
      <c r="N271">
        <f>IF($AB271="","",INDEX('Per Line'!$V$2:$V$4001,$AB271)&amp;"")</f>
        <v/>
      </c>
      <c r="O271">
        <f>IF($AB271="","",INDEX('Per Line'!$Z$2:$Z$4001,$AB271))</f>
        <v/>
      </c>
      <c r="P271">
        <f>IF($AB271="","",IF(AND(ISNUMBER(O271),O271&gt;0),Z271&gt;O271,FALSE))</f>
        <v/>
      </c>
      <c r="Q271" s="7">
        <f>IF($AB271="","",SUMIFS('Per Line'!$U$2:$U$4001,'Per Line'!$C$2:$C$4001,$B271,'Per Line'!$AM$2:$AM$4001,1))</f>
        <v/>
      </c>
      <c r="R271">
        <f>IF($AB271="","",Settings!$C$7)</f>
        <v/>
      </c>
      <c r="S271" s="7">
        <f>IF($AB271="","",SUMIFS('Per Line'!$U$2:$U$4001,'Per Line'!$C$2:$C$4001,$B271,'Per Line'!$AL$2:$AL$4001,0,'Per Line'!$AM$2:$AM$4001,0))</f>
        <v/>
      </c>
      <c r="T271" s="7">
        <f>IF($AB271="","",S271*R271)</f>
        <v/>
      </c>
      <c r="U271">
        <f>IF($AB271="","",Settings!$C$6)</f>
        <v/>
      </c>
      <c r="V271" s="7">
        <f>IF($AB271="","",SUMIFS('Per Line'!$U$2:$U$4001,'Per Line'!$C$2:$C$4001,$B271,'Per Line'!$AL$2:$AL$4001,1,'Per Line'!$AM$2:$AM$4001,0))</f>
        <v/>
      </c>
      <c r="W271" s="7">
        <f>IF($AB271="","",V271*U271)</f>
        <v/>
      </c>
      <c r="X271" s="7">
        <f>IF($AB271="","",W271+T271)</f>
        <v/>
      </c>
      <c r="Y271" s="7">
        <f>IF($AB271="","",Z271-X271)</f>
        <v/>
      </c>
      <c r="Z271" s="7">
        <f>IF($AB271="","",S271+V271+Q271)</f>
        <v/>
      </c>
      <c r="AA271" s="7">
        <f>IF($AB271="","",Z271-X271-M271)</f>
        <v/>
      </c>
      <c r="AB271" s="13">
        <f>IF(ROWS($AB$2:$AB271)&lt;=MAX('Per Line'!$AK$2:$AK$4001),MATCH(ROWS($AB$2:$AB271),'Per Line'!$AK$2:$AK$4001,0),"")</f>
        <v/>
      </c>
      <c r="AC271" s="14">
        <f>IF($AB271="","",M271-L271*Z271/100)</f>
        <v/>
      </c>
    </row>
    <row r="272">
      <c r="A272" s="12" t="n"/>
      <c r="B272">
        <f>IF($AB272="","",INDEX('Per Line'!$C$2:$C$4001,$AB272)&amp;"")</f>
        <v/>
      </c>
      <c r="C272">
        <f>IF($AB272="","",INDEX('Per Line'!$D$2:$D$4001,$AB272)&amp;"")</f>
        <v/>
      </c>
      <c r="D272">
        <f>IF($AB272="","",INDEX('Per Line'!$B$2:$B$4001,$AB272)&amp;"")</f>
        <v/>
      </c>
      <c r="E272">
        <f>IF($AB272="","",INDEX('Per Line'!$A$2:$A$4001,$AB272))</f>
        <v/>
      </c>
      <c r="F272" s="11">
        <f>IF($AB272="","",INDEX('Per Line'!$E$2:$E$4001,$AB272))</f>
        <v/>
      </c>
      <c r="G272">
        <f>IF($AB272="","",INDEX('Per Line'!$F$2:$F$4001,$AB272)&amp;"")</f>
        <v/>
      </c>
      <c r="H272">
        <f>IF($AB272="","",INDEX('Per Line'!$H$2:$H$4001,$AB272)&amp;"")</f>
        <v/>
      </c>
      <c r="I272">
        <f>IF($AB272="","",INDEX('Per Line'!$I$2:$I$4001,$AB272)&amp;"")</f>
        <v/>
      </c>
      <c r="J272">
        <f>IF($AB272="","",INDEX('Per Line'!$J$2:$J$4001,$AB272)&amp;"")</f>
        <v/>
      </c>
      <c r="K272">
        <f>IF($AB272="","",INDEX('Per Line'!$K$2:$K$4001,$AB272)&amp;"")</f>
        <v/>
      </c>
      <c r="L272">
        <f>IF($AB272="","",INDEX('Per Line'!$L$2:$L$4001,$AB272))</f>
        <v/>
      </c>
      <c r="M272" s="7">
        <f>IF($AB272="","",IF(AND(ISNUMBER(O272),O272&gt;0,Z272&gt;O272),L272*O272/100+(Z272-O272),L272*Z272/100))</f>
        <v/>
      </c>
      <c r="N272">
        <f>IF($AB272="","",INDEX('Per Line'!$V$2:$V$4001,$AB272)&amp;"")</f>
        <v/>
      </c>
      <c r="O272">
        <f>IF($AB272="","",INDEX('Per Line'!$Z$2:$Z$4001,$AB272))</f>
        <v/>
      </c>
      <c r="P272">
        <f>IF($AB272="","",IF(AND(ISNUMBER(O272),O272&gt;0),Z272&gt;O272,FALSE))</f>
        <v/>
      </c>
      <c r="Q272" s="7">
        <f>IF($AB272="","",SUMIFS('Per Line'!$U$2:$U$4001,'Per Line'!$C$2:$C$4001,$B272,'Per Line'!$AM$2:$AM$4001,1))</f>
        <v/>
      </c>
      <c r="R272">
        <f>IF($AB272="","",Settings!$C$7)</f>
        <v/>
      </c>
      <c r="S272" s="7">
        <f>IF($AB272="","",SUMIFS('Per Line'!$U$2:$U$4001,'Per Line'!$C$2:$C$4001,$B272,'Per Line'!$AL$2:$AL$4001,0,'Per Line'!$AM$2:$AM$4001,0))</f>
        <v/>
      </c>
      <c r="T272" s="7">
        <f>IF($AB272="","",S272*R272)</f>
        <v/>
      </c>
      <c r="U272">
        <f>IF($AB272="","",Settings!$C$6)</f>
        <v/>
      </c>
      <c r="V272" s="7">
        <f>IF($AB272="","",SUMIFS('Per Line'!$U$2:$U$4001,'Per Line'!$C$2:$C$4001,$B272,'Per Line'!$AL$2:$AL$4001,1,'Per Line'!$AM$2:$AM$4001,0))</f>
        <v/>
      </c>
      <c r="W272" s="7">
        <f>IF($AB272="","",V272*U272)</f>
        <v/>
      </c>
      <c r="X272" s="7">
        <f>IF($AB272="","",W272+T272)</f>
        <v/>
      </c>
      <c r="Y272" s="7">
        <f>IF($AB272="","",Z272-X272)</f>
        <v/>
      </c>
      <c r="Z272" s="7">
        <f>IF($AB272="","",S272+V272+Q272)</f>
        <v/>
      </c>
      <c r="AA272" s="7">
        <f>IF($AB272="","",Z272-X272-M272)</f>
        <v/>
      </c>
      <c r="AB272" s="13">
        <f>IF(ROWS($AB$2:$AB272)&lt;=MAX('Per Line'!$AK$2:$AK$4001),MATCH(ROWS($AB$2:$AB272),'Per Line'!$AK$2:$AK$4001,0),"")</f>
        <v/>
      </c>
      <c r="AC272" s="14">
        <f>IF($AB272="","",M272-L272*Z272/100)</f>
        <v/>
      </c>
    </row>
    <row r="273">
      <c r="A273" s="12" t="n"/>
      <c r="B273">
        <f>IF($AB273="","",INDEX('Per Line'!$C$2:$C$4001,$AB273)&amp;"")</f>
        <v/>
      </c>
      <c r="C273">
        <f>IF($AB273="","",INDEX('Per Line'!$D$2:$D$4001,$AB273)&amp;"")</f>
        <v/>
      </c>
      <c r="D273">
        <f>IF($AB273="","",INDEX('Per Line'!$B$2:$B$4001,$AB273)&amp;"")</f>
        <v/>
      </c>
      <c r="E273">
        <f>IF($AB273="","",INDEX('Per Line'!$A$2:$A$4001,$AB273))</f>
        <v/>
      </c>
      <c r="F273" s="11">
        <f>IF($AB273="","",INDEX('Per Line'!$E$2:$E$4001,$AB273))</f>
        <v/>
      </c>
      <c r="G273">
        <f>IF($AB273="","",INDEX('Per Line'!$F$2:$F$4001,$AB273)&amp;"")</f>
        <v/>
      </c>
      <c r="H273">
        <f>IF($AB273="","",INDEX('Per Line'!$H$2:$H$4001,$AB273)&amp;"")</f>
        <v/>
      </c>
      <c r="I273">
        <f>IF($AB273="","",INDEX('Per Line'!$I$2:$I$4001,$AB273)&amp;"")</f>
        <v/>
      </c>
      <c r="J273">
        <f>IF($AB273="","",INDEX('Per Line'!$J$2:$J$4001,$AB273)&amp;"")</f>
        <v/>
      </c>
      <c r="K273">
        <f>IF($AB273="","",INDEX('Per Line'!$K$2:$K$4001,$AB273)&amp;"")</f>
        <v/>
      </c>
      <c r="L273">
        <f>IF($AB273="","",INDEX('Per Line'!$L$2:$L$4001,$AB273))</f>
        <v/>
      </c>
      <c r="M273" s="7">
        <f>IF($AB273="","",IF(AND(ISNUMBER(O273),O273&gt;0,Z273&gt;O273),L273*O273/100+(Z273-O273),L273*Z273/100))</f>
        <v/>
      </c>
      <c r="N273">
        <f>IF($AB273="","",INDEX('Per Line'!$V$2:$V$4001,$AB273)&amp;"")</f>
        <v/>
      </c>
      <c r="O273">
        <f>IF($AB273="","",INDEX('Per Line'!$Z$2:$Z$4001,$AB273))</f>
        <v/>
      </c>
      <c r="P273">
        <f>IF($AB273="","",IF(AND(ISNUMBER(O273),O273&gt;0),Z273&gt;O273,FALSE))</f>
        <v/>
      </c>
      <c r="Q273" s="7">
        <f>IF($AB273="","",SUMIFS('Per Line'!$U$2:$U$4001,'Per Line'!$C$2:$C$4001,$B273,'Per Line'!$AM$2:$AM$4001,1))</f>
        <v/>
      </c>
      <c r="R273">
        <f>IF($AB273="","",Settings!$C$7)</f>
        <v/>
      </c>
      <c r="S273" s="7">
        <f>IF($AB273="","",SUMIFS('Per Line'!$U$2:$U$4001,'Per Line'!$C$2:$C$4001,$B273,'Per Line'!$AL$2:$AL$4001,0,'Per Line'!$AM$2:$AM$4001,0))</f>
        <v/>
      </c>
      <c r="T273" s="7">
        <f>IF($AB273="","",S273*R273)</f>
        <v/>
      </c>
      <c r="U273">
        <f>IF($AB273="","",Settings!$C$6)</f>
        <v/>
      </c>
      <c r="V273" s="7">
        <f>IF($AB273="","",SUMIFS('Per Line'!$U$2:$U$4001,'Per Line'!$C$2:$C$4001,$B273,'Per Line'!$AL$2:$AL$4001,1,'Per Line'!$AM$2:$AM$4001,0))</f>
        <v/>
      </c>
      <c r="W273" s="7">
        <f>IF($AB273="","",V273*U273)</f>
        <v/>
      </c>
      <c r="X273" s="7">
        <f>IF($AB273="","",W273+T273)</f>
        <v/>
      </c>
      <c r="Y273" s="7">
        <f>IF($AB273="","",Z273-X273)</f>
        <v/>
      </c>
      <c r="Z273" s="7">
        <f>IF($AB273="","",S273+V273+Q273)</f>
        <v/>
      </c>
      <c r="AA273" s="7">
        <f>IF($AB273="","",Z273-X273-M273)</f>
        <v/>
      </c>
      <c r="AB273" s="13">
        <f>IF(ROWS($AB$2:$AB273)&lt;=MAX('Per Line'!$AK$2:$AK$4001),MATCH(ROWS($AB$2:$AB273),'Per Line'!$AK$2:$AK$4001,0),"")</f>
        <v/>
      </c>
      <c r="AC273" s="14">
        <f>IF($AB273="","",M273-L273*Z273/100)</f>
        <v/>
      </c>
    </row>
    <row r="274">
      <c r="A274" s="12" t="n"/>
      <c r="B274">
        <f>IF($AB274="","",INDEX('Per Line'!$C$2:$C$4001,$AB274)&amp;"")</f>
        <v/>
      </c>
      <c r="C274">
        <f>IF($AB274="","",INDEX('Per Line'!$D$2:$D$4001,$AB274)&amp;"")</f>
        <v/>
      </c>
      <c r="D274">
        <f>IF($AB274="","",INDEX('Per Line'!$B$2:$B$4001,$AB274)&amp;"")</f>
        <v/>
      </c>
      <c r="E274">
        <f>IF($AB274="","",INDEX('Per Line'!$A$2:$A$4001,$AB274))</f>
        <v/>
      </c>
      <c r="F274" s="11">
        <f>IF($AB274="","",INDEX('Per Line'!$E$2:$E$4001,$AB274))</f>
        <v/>
      </c>
      <c r="G274">
        <f>IF($AB274="","",INDEX('Per Line'!$F$2:$F$4001,$AB274)&amp;"")</f>
        <v/>
      </c>
      <c r="H274">
        <f>IF($AB274="","",INDEX('Per Line'!$H$2:$H$4001,$AB274)&amp;"")</f>
        <v/>
      </c>
      <c r="I274">
        <f>IF($AB274="","",INDEX('Per Line'!$I$2:$I$4001,$AB274)&amp;"")</f>
        <v/>
      </c>
      <c r="J274">
        <f>IF($AB274="","",INDEX('Per Line'!$J$2:$J$4001,$AB274)&amp;"")</f>
        <v/>
      </c>
      <c r="K274">
        <f>IF($AB274="","",INDEX('Per Line'!$K$2:$K$4001,$AB274)&amp;"")</f>
        <v/>
      </c>
      <c r="L274">
        <f>IF($AB274="","",INDEX('Per Line'!$L$2:$L$4001,$AB274))</f>
        <v/>
      </c>
      <c r="M274" s="7">
        <f>IF($AB274="","",IF(AND(ISNUMBER(O274),O274&gt;0,Z274&gt;O274),L274*O274/100+(Z274-O274),L274*Z274/100))</f>
        <v/>
      </c>
      <c r="N274">
        <f>IF($AB274="","",INDEX('Per Line'!$V$2:$V$4001,$AB274)&amp;"")</f>
        <v/>
      </c>
      <c r="O274">
        <f>IF($AB274="","",INDEX('Per Line'!$Z$2:$Z$4001,$AB274))</f>
        <v/>
      </c>
      <c r="P274">
        <f>IF($AB274="","",IF(AND(ISNUMBER(O274),O274&gt;0),Z274&gt;O274,FALSE))</f>
        <v/>
      </c>
      <c r="Q274" s="7">
        <f>IF($AB274="","",SUMIFS('Per Line'!$U$2:$U$4001,'Per Line'!$C$2:$C$4001,$B274,'Per Line'!$AM$2:$AM$4001,1))</f>
        <v/>
      </c>
      <c r="R274">
        <f>IF($AB274="","",Settings!$C$7)</f>
        <v/>
      </c>
      <c r="S274" s="7">
        <f>IF($AB274="","",SUMIFS('Per Line'!$U$2:$U$4001,'Per Line'!$C$2:$C$4001,$B274,'Per Line'!$AL$2:$AL$4001,0,'Per Line'!$AM$2:$AM$4001,0))</f>
        <v/>
      </c>
      <c r="T274" s="7">
        <f>IF($AB274="","",S274*R274)</f>
        <v/>
      </c>
      <c r="U274">
        <f>IF($AB274="","",Settings!$C$6)</f>
        <v/>
      </c>
      <c r="V274" s="7">
        <f>IF($AB274="","",SUMIFS('Per Line'!$U$2:$U$4001,'Per Line'!$C$2:$C$4001,$B274,'Per Line'!$AL$2:$AL$4001,1,'Per Line'!$AM$2:$AM$4001,0))</f>
        <v/>
      </c>
      <c r="W274" s="7">
        <f>IF($AB274="","",V274*U274)</f>
        <v/>
      </c>
      <c r="X274" s="7">
        <f>IF($AB274="","",W274+T274)</f>
        <v/>
      </c>
      <c r="Y274" s="7">
        <f>IF($AB274="","",Z274-X274)</f>
        <v/>
      </c>
      <c r="Z274" s="7">
        <f>IF($AB274="","",S274+V274+Q274)</f>
        <v/>
      </c>
      <c r="AA274" s="7">
        <f>IF($AB274="","",Z274-X274-M274)</f>
        <v/>
      </c>
      <c r="AB274" s="13">
        <f>IF(ROWS($AB$2:$AB274)&lt;=MAX('Per Line'!$AK$2:$AK$4001),MATCH(ROWS($AB$2:$AB274),'Per Line'!$AK$2:$AK$4001,0),"")</f>
        <v/>
      </c>
      <c r="AC274" s="14">
        <f>IF($AB274="","",M274-L274*Z274/100)</f>
        <v/>
      </c>
    </row>
    <row r="275">
      <c r="A275" s="12" t="n"/>
      <c r="B275">
        <f>IF($AB275="","",INDEX('Per Line'!$C$2:$C$4001,$AB275)&amp;"")</f>
        <v/>
      </c>
      <c r="C275">
        <f>IF($AB275="","",INDEX('Per Line'!$D$2:$D$4001,$AB275)&amp;"")</f>
        <v/>
      </c>
      <c r="D275">
        <f>IF($AB275="","",INDEX('Per Line'!$B$2:$B$4001,$AB275)&amp;"")</f>
        <v/>
      </c>
      <c r="E275">
        <f>IF($AB275="","",INDEX('Per Line'!$A$2:$A$4001,$AB275))</f>
        <v/>
      </c>
      <c r="F275" s="11">
        <f>IF($AB275="","",INDEX('Per Line'!$E$2:$E$4001,$AB275))</f>
        <v/>
      </c>
      <c r="G275">
        <f>IF($AB275="","",INDEX('Per Line'!$F$2:$F$4001,$AB275)&amp;"")</f>
        <v/>
      </c>
      <c r="H275">
        <f>IF($AB275="","",INDEX('Per Line'!$H$2:$H$4001,$AB275)&amp;"")</f>
        <v/>
      </c>
      <c r="I275">
        <f>IF($AB275="","",INDEX('Per Line'!$I$2:$I$4001,$AB275)&amp;"")</f>
        <v/>
      </c>
      <c r="J275">
        <f>IF($AB275="","",INDEX('Per Line'!$J$2:$J$4001,$AB275)&amp;"")</f>
        <v/>
      </c>
      <c r="K275">
        <f>IF($AB275="","",INDEX('Per Line'!$K$2:$K$4001,$AB275)&amp;"")</f>
        <v/>
      </c>
      <c r="L275">
        <f>IF($AB275="","",INDEX('Per Line'!$L$2:$L$4001,$AB275))</f>
        <v/>
      </c>
      <c r="M275" s="7">
        <f>IF($AB275="","",IF(AND(ISNUMBER(O275),O275&gt;0,Z275&gt;O275),L275*O275/100+(Z275-O275),L275*Z275/100))</f>
        <v/>
      </c>
      <c r="N275">
        <f>IF($AB275="","",INDEX('Per Line'!$V$2:$V$4001,$AB275)&amp;"")</f>
        <v/>
      </c>
      <c r="O275">
        <f>IF($AB275="","",INDEX('Per Line'!$Z$2:$Z$4001,$AB275))</f>
        <v/>
      </c>
      <c r="P275">
        <f>IF($AB275="","",IF(AND(ISNUMBER(O275),O275&gt;0),Z275&gt;O275,FALSE))</f>
        <v/>
      </c>
      <c r="Q275" s="7">
        <f>IF($AB275="","",SUMIFS('Per Line'!$U$2:$U$4001,'Per Line'!$C$2:$C$4001,$B275,'Per Line'!$AM$2:$AM$4001,1))</f>
        <v/>
      </c>
      <c r="R275">
        <f>IF($AB275="","",Settings!$C$7)</f>
        <v/>
      </c>
      <c r="S275" s="7">
        <f>IF($AB275="","",SUMIFS('Per Line'!$U$2:$U$4001,'Per Line'!$C$2:$C$4001,$B275,'Per Line'!$AL$2:$AL$4001,0,'Per Line'!$AM$2:$AM$4001,0))</f>
        <v/>
      </c>
      <c r="T275" s="7">
        <f>IF($AB275="","",S275*R275)</f>
        <v/>
      </c>
      <c r="U275">
        <f>IF($AB275="","",Settings!$C$6)</f>
        <v/>
      </c>
      <c r="V275" s="7">
        <f>IF($AB275="","",SUMIFS('Per Line'!$U$2:$U$4001,'Per Line'!$C$2:$C$4001,$B275,'Per Line'!$AL$2:$AL$4001,1,'Per Line'!$AM$2:$AM$4001,0))</f>
        <v/>
      </c>
      <c r="W275" s="7">
        <f>IF($AB275="","",V275*U275)</f>
        <v/>
      </c>
      <c r="X275" s="7">
        <f>IF($AB275="","",W275+T275)</f>
        <v/>
      </c>
      <c r="Y275" s="7">
        <f>IF($AB275="","",Z275-X275)</f>
        <v/>
      </c>
      <c r="Z275" s="7">
        <f>IF($AB275="","",S275+V275+Q275)</f>
        <v/>
      </c>
      <c r="AA275" s="7">
        <f>IF($AB275="","",Z275-X275-M275)</f>
        <v/>
      </c>
      <c r="AB275" s="13">
        <f>IF(ROWS($AB$2:$AB275)&lt;=MAX('Per Line'!$AK$2:$AK$4001),MATCH(ROWS($AB$2:$AB275),'Per Line'!$AK$2:$AK$4001,0),"")</f>
        <v/>
      </c>
      <c r="AC275" s="14">
        <f>IF($AB275="","",M275-L275*Z275/100)</f>
        <v/>
      </c>
    </row>
    <row r="276">
      <c r="A276" s="12" t="n"/>
      <c r="B276">
        <f>IF($AB276="","",INDEX('Per Line'!$C$2:$C$4001,$AB276)&amp;"")</f>
        <v/>
      </c>
      <c r="C276">
        <f>IF($AB276="","",INDEX('Per Line'!$D$2:$D$4001,$AB276)&amp;"")</f>
        <v/>
      </c>
      <c r="D276">
        <f>IF($AB276="","",INDEX('Per Line'!$B$2:$B$4001,$AB276)&amp;"")</f>
        <v/>
      </c>
      <c r="E276">
        <f>IF($AB276="","",INDEX('Per Line'!$A$2:$A$4001,$AB276))</f>
        <v/>
      </c>
      <c r="F276" s="11">
        <f>IF($AB276="","",INDEX('Per Line'!$E$2:$E$4001,$AB276))</f>
        <v/>
      </c>
      <c r="G276">
        <f>IF($AB276="","",INDEX('Per Line'!$F$2:$F$4001,$AB276)&amp;"")</f>
        <v/>
      </c>
      <c r="H276">
        <f>IF($AB276="","",INDEX('Per Line'!$H$2:$H$4001,$AB276)&amp;"")</f>
        <v/>
      </c>
      <c r="I276">
        <f>IF($AB276="","",INDEX('Per Line'!$I$2:$I$4001,$AB276)&amp;"")</f>
        <v/>
      </c>
      <c r="J276">
        <f>IF($AB276="","",INDEX('Per Line'!$J$2:$J$4001,$AB276)&amp;"")</f>
        <v/>
      </c>
      <c r="K276">
        <f>IF($AB276="","",INDEX('Per Line'!$K$2:$K$4001,$AB276)&amp;"")</f>
        <v/>
      </c>
      <c r="L276">
        <f>IF($AB276="","",INDEX('Per Line'!$L$2:$L$4001,$AB276))</f>
        <v/>
      </c>
      <c r="M276" s="7">
        <f>IF($AB276="","",IF(AND(ISNUMBER(O276),O276&gt;0,Z276&gt;O276),L276*O276/100+(Z276-O276),L276*Z276/100))</f>
        <v/>
      </c>
      <c r="N276">
        <f>IF($AB276="","",INDEX('Per Line'!$V$2:$V$4001,$AB276)&amp;"")</f>
        <v/>
      </c>
      <c r="O276">
        <f>IF($AB276="","",INDEX('Per Line'!$Z$2:$Z$4001,$AB276))</f>
        <v/>
      </c>
      <c r="P276">
        <f>IF($AB276="","",IF(AND(ISNUMBER(O276),O276&gt;0),Z276&gt;O276,FALSE))</f>
        <v/>
      </c>
      <c r="Q276" s="7">
        <f>IF($AB276="","",SUMIFS('Per Line'!$U$2:$U$4001,'Per Line'!$C$2:$C$4001,$B276,'Per Line'!$AM$2:$AM$4001,1))</f>
        <v/>
      </c>
      <c r="R276">
        <f>IF($AB276="","",Settings!$C$7)</f>
        <v/>
      </c>
      <c r="S276" s="7">
        <f>IF($AB276="","",SUMIFS('Per Line'!$U$2:$U$4001,'Per Line'!$C$2:$C$4001,$B276,'Per Line'!$AL$2:$AL$4001,0,'Per Line'!$AM$2:$AM$4001,0))</f>
        <v/>
      </c>
      <c r="T276" s="7">
        <f>IF($AB276="","",S276*R276)</f>
        <v/>
      </c>
      <c r="U276">
        <f>IF($AB276="","",Settings!$C$6)</f>
        <v/>
      </c>
      <c r="V276" s="7">
        <f>IF($AB276="","",SUMIFS('Per Line'!$U$2:$U$4001,'Per Line'!$C$2:$C$4001,$B276,'Per Line'!$AL$2:$AL$4001,1,'Per Line'!$AM$2:$AM$4001,0))</f>
        <v/>
      </c>
      <c r="W276" s="7">
        <f>IF($AB276="","",V276*U276)</f>
        <v/>
      </c>
      <c r="X276" s="7">
        <f>IF($AB276="","",W276+T276)</f>
        <v/>
      </c>
      <c r="Y276" s="7">
        <f>IF($AB276="","",Z276-X276)</f>
        <v/>
      </c>
      <c r="Z276" s="7">
        <f>IF($AB276="","",S276+V276+Q276)</f>
        <v/>
      </c>
      <c r="AA276" s="7">
        <f>IF($AB276="","",Z276-X276-M276)</f>
        <v/>
      </c>
      <c r="AB276" s="13">
        <f>IF(ROWS($AB$2:$AB276)&lt;=MAX('Per Line'!$AK$2:$AK$4001),MATCH(ROWS($AB$2:$AB276),'Per Line'!$AK$2:$AK$4001,0),"")</f>
        <v/>
      </c>
      <c r="AC276" s="14">
        <f>IF($AB276="","",M276-L276*Z276/100)</f>
        <v/>
      </c>
    </row>
    <row r="277">
      <c r="A277" s="12" t="n"/>
      <c r="B277">
        <f>IF($AB277="","",INDEX('Per Line'!$C$2:$C$4001,$AB277)&amp;"")</f>
        <v/>
      </c>
      <c r="C277">
        <f>IF($AB277="","",INDEX('Per Line'!$D$2:$D$4001,$AB277)&amp;"")</f>
        <v/>
      </c>
      <c r="D277">
        <f>IF($AB277="","",INDEX('Per Line'!$B$2:$B$4001,$AB277)&amp;"")</f>
        <v/>
      </c>
      <c r="E277">
        <f>IF($AB277="","",INDEX('Per Line'!$A$2:$A$4001,$AB277))</f>
        <v/>
      </c>
      <c r="F277" s="11">
        <f>IF($AB277="","",INDEX('Per Line'!$E$2:$E$4001,$AB277))</f>
        <v/>
      </c>
      <c r="G277">
        <f>IF($AB277="","",INDEX('Per Line'!$F$2:$F$4001,$AB277)&amp;"")</f>
        <v/>
      </c>
      <c r="H277">
        <f>IF($AB277="","",INDEX('Per Line'!$H$2:$H$4001,$AB277)&amp;"")</f>
        <v/>
      </c>
      <c r="I277">
        <f>IF($AB277="","",INDEX('Per Line'!$I$2:$I$4001,$AB277)&amp;"")</f>
        <v/>
      </c>
      <c r="J277">
        <f>IF($AB277="","",INDEX('Per Line'!$J$2:$J$4001,$AB277)&amp;"")</f>
        <v/>
      </c>
      <c r="K277">
        <f>IF($AB277="","",INDEX('Per Line'!$K$2:$K$4001,$AB277)&amp;"")</f>
        <v/>
      </c>
      <c r="L277">
        <f>IF($AB277="","",INDEX('Per Line'!$L$2:$L$4001,$AB277))</f>
        <v/>
      </c>
      <c r="M277" s="7">
        <f>IF($AB277="","",IF(AND(ISNUMBER(O277),O277&gt;0,Z277&gt;O277),L277*O277/100+(Z277-O277),L277*Z277/100))</f>
        <v/>
      </c>
      <c r="N277">
        <f>IF($AB277="","",INDEX('Per Line'!$V$2:$V$4001,$AB277)&amp;"")</f>
        <v/>
      </c>
      <c r="O277">
        <f>IF($AB277="","",INDEX('Per Line'!$Z$2:$Z$4001,$AB277))</f>
        <v/>
      </c>
      <c r="P277">
        <f>IF($AB277="","",IF(AND(ISNUMBER(O277),O277&gt;0),Z277&gt;O277,FALSE))</f>
        <v/>
      </c>
      <c r="Q277" s="7">
        <f>IF($AB277="","",SUMIFS('Per Line'!$U$2:$U$4001,'Per Line'!$C$2:$C$4001,$B277,'Per Line'!$AM$2:$AM$4001,1))</f>
        <v/>
      </c>
      <c r="R277">
        <f>IF($AB277="","",Settings!$C$7)</f>
        <v/>
      </c>
      <c r="S277" s="7">
        <f>IF($AB277="","",SUMIFS('Per Line'!$U$2:$U$4001,'Per Line'!$C$2:$C$4001,$B277,'Per Line'!$AL$2:$AL$4001,0,'Per Line'!$AM$2:$AM$4001,0))</f>
        <v/>
      </c>
      <c r="T277" s="7">
        <f>IF($AB277="","",S277*R277)</f>
        <v/>
      </c>
      <c r="U277">
        <f>IF($AB277="","",Settings!$C$6)</f>
        <v/>
      </c>
      <c r="V277" s="7">
        <f>IF($AB277="","",SUMIFS('Per Line'!$U$2:$U$4001,'Per Line'!$C$2:$C$4001,$B277,'Per Line'!$AL$2:$AL$4001,1,'Per Line'!$AM$2:$AM$4001,0))</f>
        <v/>
      </c>
      <c r="W277" s="7">
        <f>IF($AB277="","",V277*U277)</f>
        <v/>
      </c>
      <c r="X277" s="7">
        <f>IF($AB277="","",W277+T277)</f>
        <v/>
      </c>
      <c r="Y277" s="7">
        <f>IF($AB277="","",Z277-X277)</f>
        <v/>
      </c>
      <c r="Z277" s="7">
        <f>IF($AB277="","",S277+V277+Q277)</f>
        <v/>
      </c>
      <c r="AA277" s="7">
        <f>IF($AB277="","",Z277-X277-M277)</f>
        <v/>
      </c>
      <c r="AB277" s="13">
        <f>IF(ROWS($AB$2:$AB277)&lt;=MAX('Per Line'!$AK$2:$AK$4001),MATCH(ROWS($AB$2:$AB277),'Per Line'!$AK$2:$AK$4001,0),"")</f>
        <v/>
      </c>
      <c r="AC277" s="14">
        <f>IF($AB277="","",M277-L277*Z277/100)</f>
        <v/>
      </c>
    </row>
    <row r="278">
      <c r="A278" s="12" t="n"/>
      <c r="B278">
        <f>IF($AB278="","",INDEX('Per Line'!$C$2:$C$4001,$AB278)&amp;"")</f>
        <v/>
      </c>
      <c r="C278">
        <f>IF($AB278="","",INDEX('Per Line'!$D$2:$D$4001,$AB278)&amp;"")</f>
        <v/>
      </c>
      <c r="D278">
        <f>IF($AB278="","",INDEX('Per Line'!$B$2:$B$4001,$AB278)&amp;"")</f>
        <v/>
      </c>
      <c r="E278">
        <f>IF($AB278="","",INDEX('Per Line'!$A$2:$A$4001,$AB278))</f>
        <v/>
      </c>
      <c r="F278" s="11">
        <f>IF($AB278="","",INDEX('Per Line'!$E$2:$E$4001,$AB278))</f>
        <v/>
      </c>
      <c r="G278">
        <f>IF($AB278="","",INDEX('Per Line'!$F$2:$F$4001,$AB278)&amp;"")</f>
        <v/>
      </c>
      <c r="H278">
        <f>IF($AB278="","",INDEX('Per Line'!$H$2:$H$4001,$AB278)&amp;"")</f>
        <v/>
      </c>
      <c r="I278">
        <f>IF($AB278="","",INDEX('Per Line'!$I$2:$I$4001,$AB278)&amp;"")</f>
        <v/>
      </c>
      <c r="J278">
        <f>IF($AB278="","",INDEX('Per Line'!$J$2:$J$4001,$AB278)&amp;"")</f>
        <v/>
      </c>
      <c r="K278">
        <f>IF($AB278="","",INDEX('Per Line'!$K$2:$K$4001,$AB278)&amp;"")</f>
        <v/>
      </c>
      <c r="L278">
        <f>IF($AB278="","",INDEX('Per Line'!$L$2:$L$4001,$AB278))</f>
        <v/>
      </c>
      <c r="M278" s="7">
        <f>IF($AB278="","",IF(AND(ISNUMBER(O278),O278&gt;0,Z278&gt;O278),L278*O278/100+(Z278-O278),L278*Z278/100))</f>
        <v/>
      </c>
      <c r="N278">
        <f>IF($AB278="","",INDEX('Per Line'!$V$2:$V$4001,$AB278)&amp;"")</f>
        <v/>
      </c>
      <c r="O278">
        <f>IF($AB278="","",INDEX('Per Line'!$Z$2:$Z$4001,$AB278))</f>
        <v/>
      </c>
      <c r="P278">
        <f>IF($AB278="","",IF(AND(ISNUMBER(O278),O278&gt;0),Z278&gt;O278,FALSE))</f>
        <v/>
      </c>
      <c r="Q278" s="7">
        <f>IF($AB278="","",SUMIFS('Per Line'!$U$2:$U$4001,'Per Line'!$C$2:$C$4001,$B278,'Per Line'!$AM$2:$AM$4001,1))</f>
        <v/>
      </c>
      <c r="R278">
        <f>IF($AB278="","",Settings!$C$7)</f>
        <v/>
      </c>
      <c r="S278" s="7">
        <f>IF($AB278="","",SUMIFS('Per Line'!$U$2:$U$4001,'Per Line'!$C$2:$C$4001,$B278,'Per Line'!$AL$2:$AL$4001,0,'Per Line'!$AM$2:$AM$4001,0))</f>
        <v/>
      </c>
      <c r="T278" s="7">
        <f>IF($AB278="","",S278*R278)</f>
        <v/>
      </c>
      <c r="U278">
        <f>IF($AB278="","",Settings!$C$6)</f>
        <v/>
      </c>
      <c r="V278" s="7">
        <f>IF($AB278="","",SUMIFS('Per Line'!$U$2:$U$4001,'Per Line'!$C$2:$C$4001,$B278,'Per Line'!$AL$2:$AL$4001,1,'Per Line'!$AM$2:$AM$4001,0))</f>
        <v/>
      </c>
      <c r="W278" s="7">
        <f>IF($AB278="","",V278*U278)</f>
        <v/>
      </c>
      <c r="X278" s="7">
        <f>IF($AB278="","",W278+T278)</f>
        <v/>
      </c>
      <c r="Y278" s="7">
        <f>IF($AB278="","",Z278-X278)</f>
        <v/>
      </c>
      <c r="Z278" s="7">
        <f>IF($AB278="","",S278+V278+Q278)</f>
        <v/>
      </c>
      <c r="AA278" s="7">
        <f>IF($AB278="","",Z278-X278-M278)</f>
        <v/>
      </c>
      <c r="AB278" s="13">
        <f>IF(ROWS($AB$2:$AB278)&lt;=MAX('Per Line'!$AK$2:$AK$4001),MATCH(ROWS($AB$2:$AB278),'Per Line'!$AK$2:$AK$4001,0),"")</f>
        <v/>
      </c>
      <c r="AC278" s="14">
        <f>IF($AB278="","",M278-L278*Z278/100)</f>
        <v/>
      </c>
    </row>
    <row r="279">
      <c r="A279" s="12" t="n"/>
      <c r="B279">
        <f>IF($AB279="","",INDEX('Per Line'!$C$2:$C$4001,$AB279)&amp;"")</f>
        <v/>
      </c>
      <c r="C279">
        <f>IF($AB279="","",INDEX('Per Line'!$D$2:$D$4001,$AB279)&amp;"")</f>
        <v/>
      </c>
      <c r="D279">
        <f>IF($AB279="","",INDEX('Per Line'!$B$2:$B$4001,$AB279)&amp;"")</f>
        <v/>
      </c>
      <c r="E279">
        <f>IF($AB279="","",INDEX('Per Line'!$A$2:$A$4001,$AB279))</f>
        <v/>
      </c>
      <c r="F279" s="11">
        <f>IF($AB279="","",INDEX('Per Line'!$E$2:$E$4001,$AB279))</f>
        <v/>
      </c>
      <c r="G279">
        <f>IF($AB279="","",INDEX('Per Line'!$F$2:$F$4001,$AB279)&amp;"")</f>
        <v/>
      </c>
      <c r="H279">
        <f>IF($AB279="","",INDEX('Per Line'!$H$2:$H$4001,$AB279)&amp;"")</f>
        <v/>
      </c>
      <c r="I279">
        <f>IF($AB279="","",INDEX('Per Line'!$I$2:$I$4001,$AB279)&amp;"")</f>
        <v/>
      </c>
      <c r="J279">
        <f>IF($AB279="","",INDEX('Per Line'!$J$2:$J$4001,$AB279)&amp;"")</f>
        <v/>
      </c>
      <c r="K279">
        <f>IF($AB279="","",INDEX('Per Line'!$K$2:$K$4001,$AB279)&amp;"")</f>
        <v/>
      </c>
      <c r="L279">
        <f>IF($AB279="","",INDEX('Per Line'!$L$2:$L$4001,$AB279))</f>
        <v/>
      </c>
      <c r="M279" s="7">
        <f>IF($AB279="","",IF(AND(ISNUMBER(O279),O279&gt;0,Z279&gt;O279),L279*O279/100+(Z279-O279),L279*Z279/100))</f>
        <v/>
      </c>
      <c r="N279">
        <f>IF($AB279="","",INDEX('Per Line'!$V$2:$V$4001,$AB279)&amp;"")</f>
        <v/>
      </c>
      <c r="O279">
        <f>IF($AB279="","",INDEX('Per Line'!$Z$2:$Z$4001,$AB279))</f>
        <v/>
      </c>
      <c r="P279">
        <f>IF($AB279="","",IF(AND(ISNUMBER(O279),O279&gt;0),Z279&gt;O279,FALSE))</f>
        <v/>
      </c>
      <c r="Q279" s="7">
        <f>IF($AB279="","",SUMIFS('Per Line'!$U$2:$U$4001,'Per Line'!$C$2:$C$4001,$B279,'Per Line'!$AM$2:$AM$4001,1))</f>
        <v/>
      </c>
      <c r="R279">
        <f>IF($AB279="","",Settings!$C$7)</f>
        <v/>
      </c>
      <c r="S279" s="7">
        <f>IF($AB279="","",SUMIFS('Per Line'!$U$2:$U$4001,'Per Line'!$C$2:$C$4001,$B279,'Per Line'!$AL$2:$AL$4001,0,'Per Line'!$AM$2:$AM$4001,0))</f>
        <v/>
      </c>
      <c r="T279" s="7">
        <f>IF($AB279="","",S279*R279)</f>
        <v/>
      </c>
      <c r="U279">
        <f>IF($AB279="","",Settings!$C$6)</f>
        <v/>
      </c>
      <c r="V279" s="7">
        <f>IF($AB279="","",SUMIFS('Per Line'!$U$2:$U$4001,'Per Line'!$C$2:$C$4001,$B279,'Per Line'!$AL$2:$AL$4001,1,'Per Line'!$AM$2:$AM$4001,0))</f>
        <v/>
      </c>
      <c r="W279" s="7">
        <f>IF($AB279="","",V279*U279)</f>
        <v/>
      </c>
      <c r="X279" s="7">
        <f>IF($AB279="","",W279+T279)</f>
        <v/>
      </c>
      <c r="Y279" s="7">
        <f>IF($AB279="","",Z279-X279)</f>
        <v/>
      </c>
      <c r="Z279" s="7">
        <f>IF($AB279="","",S279+V279+Q279)</f>
        <v/>
      </c>
      <c r="AA279" s="7">
        <f>IF($AB279="","",Z279-X279-M279)</f>
        <v/>
      </c>
      <c r="AB279" s="13">
        <f>IF(ROWS($AB$2:$AB279)&lt;=MAX('Per Line'!$AK$2:$AK$4001),MATCH(ROWS($AB$2:$AB279),'Per Line'!$AK$2:$AK$4001,0),"")</f>
        <v/>
      </c>
      <c r="AC279" s="14">
        <f>IF($AB279="","",M279-L279*Z279/100)</f>
        <v/>
      </c>
    </row>
    <row r="280">
      <c r="A280" s="12" t="n"/>
      <c r="B280">
        <f>IF($AB280="","",INDEX('Per Line'!$C$2:$C$4001,$AB280)&amp;"")</f>
        <v/>
      </c>
      <c r="C280">
        <f>IF($AB280="","",INDEX('Per Line'!$D$2:$D$4001,$AB280)&amp;"")</f>
        <v/>
      </c>
      <c r="D280">
        <f>IF($AB280="","",INDEX('Per Line'!$B$2:$B$4001,$AB280)&amp;"")</f>
        <v/>
      </c>
      <c r="E280">
        <f>IF($AB280="","",INDEX('Per Line'!$A$2:$A$4001,$AB280))</f>
        <v/>
      </c>
      <c r="F280" s="11">
        <f>IF($AB280="","",INDEX('Per Line'!$E$2:$E$4001,$AB280))</f>
        <v/>
      </c>
      <c r="G280">
        <f>IF($AB280="","",INDEX('Per Line'!$F$2:$F$4001,$AB280)&amp;"")</f>
        <v/>
      </c>
      <c r="H280">
        <f>IF($AB280="","",INDEX('Per Line'!$H$2:$H$4001,$AB280)&amp;"")</f>
        <v/>
      </c>
      <c r="I280">
        <f>IF($AB280="","",INDEX('Per Line'!$I$2:$I$4001,$AB280)&amp;"")</f>
        <v/>
      </c>
      <c r="J280">
        <f>IF($AB280="","",INDEX('Per Line'!$J$2:$J$4001,$AB280)&amp;"")</f>
        <v/>
      </c>
      <c r="K280">
        <f>IF($AB280="","",INDEX('Per Line'!$K$2:$K$4001,$AB280)&amp;"")</f>
        <v/>
      </c>
      <c r="L280">
        <f>IF($AB280="","",INDEX('Per Line'!$L$2:$L$4001,$AB280))</f>
        <v/>
      </c>
      <c r="M280" s="7">
        <f>IF($AB280="","",IF(AND(ISNUMBER(O280),O280&gt;0,Z280&gt;O280),L280*O280/100+(Z280-O280),L280*Z280/100))</f>
        <v/>
      </c>
      <c r="N280">
        <f>IF($AB280="","",INDEX('Per Line'!$V$2:$V$4001,$AB280)&amp;"")</f>
        <v/>
      </c>
      <c r="O280">
        <f>IF($AB280="","",INDEX('Per Line'!$Z$2:$Z$4001,$AB280))</f>
        <v/>
      </c>
      <c r="P280">
        <f>IF($AB280="","",IF(AND(ISNUMBER(O280),O280&gt;0),Z280&gt;O280,FALSE))</f>
        <v/>
      </c>
      <c r="Q280" s="7">
        <f>IF($AB280="","",SUMIFS('Per Line'!$U$2:$U$4001,'Per Line'!$C$2:$C$4001,$B280,'Per Line'!$AM$2:$AM$4001,1))</f>
        <v/>
      </c>
      <c r="R280">
        <f>IF($AB280="","",Settings!$C$7)</f>
        <v/>
      </c>
      <c r="S280" s="7">
        <f>IF($AB280="","",SUMIFS('Per Line'!$U$2:$U$4001,'Per Line'!$C$2:$C$4001,$B280,'Per Line'!$AL$2:$AL$4001,0,'Per Line'!$AM$2:$AM$4001,0))</f>
        <v/>
      </c>
      <c r="T280" s="7">
        <f>IF($AB280="","",S280*R280)</f>
        <v/>
      </c>
      <c r="U280">
        <f>IF($AB280="","",Settings!$C$6)</f>
        <v/>
      </c>
      <c r="V280" s="7">
        <f>IF($AB280="","",SUMIFS('Per Line'!$U$2:$U$4001,'Per Line'!$C$2:$C$4001,$B280,'Per Line'!$AL$2:$AL$4001,1,'Per Line'!$AM$2:$AM$4001,0))</f>
        <v/>
      </c>
      <c r="W280" s="7">
        <f>IF($AB280="","",V280*U280)</f>
        <v/>
      </c>
      <c r="X280" s="7">
        <f>IF($AB280="","",W280+T280)</f>
        <v/>
      </c>
      <c r="Y280" s="7">
        <f>IF($AB280="","",Z280-X280)</f>
        <v/>
      </c>
      <c r="Z280" s="7">
        <f>IF($AB280="","",S280+V280+Q280)</f>
        <v/>
      </c>
      <c r="AA280" s="7">
        <f>IF($AB280="","",Z280-X280-M280)</f>
        <v/>
      </c>
      <c r="AB280" s="13">
        <f>IF(ROWS($AB$2:$AB280)&lt;=MAX('Per Line'!$AK$2:$AK$4001),MATCH(ROWS($AB$2:$AB280),'Per Line'!$AK$2:$AK$4001,0),"")</f>
        <v/>
      </c>
      <c r="AC280" s="14">
        <f>IF($AB280="","",M280-L280*Z280/100)</f>
        <v/>
      </c>
    </row>
    <row r="281">
      <c r="A281" s="12" t="n"/>
      <c r="B281">
        <f>IF($AB281="","",INDEX('Per Line'!$C$2:$C$4001,$AB281)&amp;"")</f>
        <v/>
      </c>
      <c r="C281">
        <f>IF($AB281="","",INDEX('Per Line'!$D$2:$D$4001,$AB281)&amp;"")</f>
        <v/>
      </c>
      <c r="D281">
        <f>IF($AB281="","",INDEX('Per Line'!$B$2:$B$4001,$AB281)&amp;"")</f>
        <v/>
      </c>
      <c r="E281">
        <f>IF($AB281="","",INDEX('Per Line'!$A$2:$A$4001,$AB281))</f>
        <v/>
      </c>
      <c r="F281" s="11">
        <f>IF($AB281="","",INDEX('Per Line'!$E$2:$E$4001,$AB281))</f>
        <v/>
      </c>
      <c r="G281">
        <f>IF($AB281="","",INDEX('Per Line'!$F$2:$F$4001,$AB281)&amp;"")</f>
        <v/>
      </c>
      <c r="H281">
        <f>IF($AB281="","",INDEX('Per Line'!$H$2:$H$4001,$AB281)&amp;"")</f>
        <v/>
      </c>
      <c r="I281">
        <f>IF($AB281="","",INDEX('Per Line'!$I$2:$I$4001,$AB281)&amp;"")</f>
        <v/>
      </c>
      <c r="J281">
        <f>IF($AB281="","",INDEX('Per Line'!$J$2:$J$4001,$AB281)&amp;"")</f>
        <v/>
      </c>
      <c r="K281">
        <f>IF($AB281="","",INDEX('Per Line'!$K$2:$K$4001,$AB281)&amp;"")</f>
        <v/>
      </c>
      <c r="L281">
        <f>IF($AB281="","",INDEX('Per Line'!$L$2:$L$4001,$AB281))</f>
        <v/>
      </c>
      <c r="M281" s="7">
        <f>IF($AB281="","",IF(AND(ISNUMBER(O281),O281&gt;0,Z281&gt;O281),L281*O281/100+(Z281-O281),L281*Z281/100))</f>
        <v/>
      </c>
      <c r="N281">
        <f>IF($AB281="","",INDEX('Per Line'!$V$2:$V$4001,$AB281)&amp;"")</f>
        <v/>
      </c>
      <c r="O281">
        <f>IF($AB281="","",INDEX('Per Line'!$Z$2:$Z$4001,$AB281))</f>
        <v/>
      </c>
      <c r="P281">
        <f>IF($AB281="","",IF(AND(ISNUMBER(O281),O281&gt;0),Z281&gt;O281,FALSE))</f>
        <v/>
      </c>
      <c r="Q281" s="7">
        <f>IF($AB281="","",SUMIFS('Per Line'!$U$2:$U$4001,'Per Line'!$C$2:$C$4001,$B281,'Per Line'!$AM$2:$AM$4001,1))</f>
        <v/>
      </c>
      <c r="R281">
        <f>IF($AB281="","",Settings!$C$7)</f>
        <v/>
      </c>
      <c r="S281" s="7">
        <f>IF($AB281="","",SUMIFS('Per Line'!$U$2:$U$4001,'Per Line'!$C$2:$C$4001,$B281,'Per Line'!$AL$2:$AL$4001,0,'Per Line'!$AM$2:$AM$4001,0))</f>
        <v/>
      </c>
      <c r="T281" s="7">
        <f>IF($AB281="","",S281*R281)</f>
        <v/>
      </c>
      <c r="U281">
        <f>IF($AB281="","",Settings!$C$6)</f>
        <v/>
      </c>
      <c r="V281" s="7">
        <f>IF($AB281="","",SUMIFS('Per Line'!$U$2:$U$4001,'Per Line'!$C$2:$C$4001,$B281,'Per Line'!$AL$2:$AL$4001,1,'Per Line'!$AM$2:$AM$4001,0))</f>
        <v/>
      </c>
      <c r="W281" s="7">
        <f>IF($AB281="","",V281*U281)</f>
        <v/>
      </c>
      <c r="X281" s="7">
        <f>IF($AB281="","",W281+T281)</f>
        <v/>
      </c>
      <c r="Y281" s="7">
        <f>IF($AB281="","",Z281-X281)</f>
        <v/>
      </c>
      <c r="Z281" s="7">
        <f>IF($AB281="","",S281+V281+Q281)</f>
        <v/>
      </c>
      <c r="AA281" s="7">
        <f>IF($AB281="","",Z281-X281-M281)</f>
        <v/>
      </c>
      <c r="AB281" s="13">
        <f>IF(ROWS($AB$2:$AB281)&lt;=MAX('Per Line'!$AK$2:$AK$4001),MATCH(ROWS($AB$2:$AB281),'Per Line'!$AK$2:$AK$4001,0),"")</f>
        <v/>
      </c>
      <c r="AC281" s="14">
        <f>IF($AB281="","",M281-L281*Z281/100)</f>
        <v/>
      </c>
    </row>
    <row r="282">
      <c r="A282" s="12" t="n"/>
      <c r="B282">
        <f>IF($AB282="","",INDEX('Per Line'!$C$2:$C$4001,$AB282)&amp;"")</f>
        <v/>
      </c>
      <c r="C282">
        <f>IF($AB282="","",INDEX('Per Line'!$D$2:$D$4001,$AB282)&amp;"")</f>
        <v/>
      </c>
      <c r="D282">
        <f>IF($AB282="","",INDEX('Per Line'!$B$2:$B$4001,$AB282)&amp;"")</f>
        <v/>
      </c>
      <c r="E282">
        <f>IF($AB282="","",INDEX('Per Line'!$A$2:$A$4001,$AB282))</f>
        <v/>
      </c>
      <c r="F282" s="11">
        <f>IF($AB282="","",INDEX('Per Line'!$E$2:$E$4001,$AB282))</f>
        <v/>
      </c>
      <c r="G282">
        <f>IF($AB282="","",INDEX('Per Line'!$F$2:$F$4001,$AB282)&amp;"")</f>
        <v/>
      </c>
      <c r="H282">
        <f>IF($AB282="","",INDEX('Per Line'!$H$2:$H$4001,$AB282)&amp;"")</f>
        <v/>
      </c>
      <c r="I282">
        <f>IF($AB282="","",INDEX('Per Line'!$I$2:$I$4001,$AB282)&amp;"")</f>
        <v/>
      </c>
      <c r="J282">
        <f>IF($AB282="","",INDEX('Per Line'!$J$2:$J$4001,$AB282)&amp;"")</f>
        <v/>
      </c>
      <c r="K282">
        <f>IF($AB282="","",INDEX('Per Line'!$K$2:$K$4001,$AB282)&amp;"")</f>
        <v/>
      </c>
      <c r="L282">
        <f>IF($AB282="","",INDEX('Per Line'!$L$2:$L$4001,$AB282))</f>
        <v/>
      </c>
      <c r="M282" s="7">
        <f>IF($AB282="","",IF(AND(ISNUMBER(O282),O282&gt;0,Z282&gt;O282),L282*O282/100+(Z282-O282),L282*Z282/100))</f>
        <v/>
      </c>
      <c r="N282">
        <f>IF($AB282="","",INDEX('Per Line'!$V$2:$V$4001,$AB282)&amp;"")</f>
        <v/>
      </c>
      <c r="O282">
        <f>IF($AB282="","",INDEX('Per Line'!$Z$2:$Z$4001,$AB282))</f>
        <v/>
      </c>
      <c r="P282">
        <f>IF($AB282="","",IF(AND(ISNUMBER(O282),O282&gt;0),Z282&gt;O282,FALSE))</f>
        <v/>
      </c>
      <c r="Q282" s="7">
        <f>IF($AB282="","",SUMIFS('Per Line'!$U$2:$U$4001,'Per Line'!$C$2:$C$4001,$B282,'Per Line'!$AM$2:$AM$4001,1))</f>
        <v/>
      </c>
      <c r="R282">
        <f>IF($AB282="","",Settings!$C$7)</f>
        <v/>
      </c>
      <c r="S282" s="7">
        <f>IF($AB282="","",SUMIFS('Per Line'!$U$2:$U$4001,'Per Line'!$C$2:$C$4001,$B282,'Per Line'!$AL$2:$AL$4001,0,'Per Line'!$AM$2:$AM$4001,0))</f>
        <v/>
      </c>
      <c r="T282" s="7">
        <f>IF($AB282="","",S282*R282)</f>
        <v/>
      </c>
      <c r="U282">
        <f>IF($AB282="","",Settings!$C$6)</f>
        <v/>
      </c>
      <c r="V282" s="7">
        <f>IF($AB282="","",SUMIFS('Per Line'!$U$2:$U$4001,'Per Line'!$C$2:$C$4001,$B282,'Per Line'!$AL$2:$AL$4001,1,'Per Line'!$AM$2:$AM$4001,0))</f>
        <v/>
      </c>
      <c r="W282" s="7">
        <f>IF($AB282="","",V282*U282)</f>
        <v/>
      </c>
      <c r="X282" s="7">
        <f>IF($AB282="","",W282+T282)</f>
        <v/>
      </c>
      <c r="Y282" s="7">
        <f>IF($AB282="","",Z282-X282)</f>
        <v/>
      </c>
      <c r="Z282" s="7">
        <f>IF($AB282="","",S282+V282+Q282)</f>
        <v/>
      </c>
      <c r="AA282" s="7">
        <f>IF($AB282="","",Z282-X282-M282)</f>
        <v/>
      </c>
      <c r="AB282" s="13">
        <f>IF(ROWS($AB$2:$AB282)&lt;=MAX('Per Line'!$AK$2:$AK$4001),MATCH(ROWS($AB$2:$AB282),'Per Line'!$AK$2:$AK$4001,0),"")</f>
        <v/>
      </c>
      <c r="AC282" s="14">
        <f>IF($AB282="","",M282-L282*Z282/100)</f>
        <v/>
      </c>
    </row>
    <row r="283">
      <c r="A283" s="12" t="n"/>
      <c r="B283">
        <f>IF($AB283="","",INDEX('Per Line'!$C$2:$C$4001,$AB283)&amp;"")</f>
        <v/>
      </c>
      <c r="C283">
        <f>IF($AB283="","",INDEX('Per Line'!$D$2:$D$4001,$AB283)&amp;"")</f>
        <v/>
      </c>
      <c r="D283">
        <f>IF($AB283="","",INDEX('Per Line'!$B$2:$B$4001,$AB283)&amp;"")</f>
        <v/>
      </c>
      <c r="E283">
        <f>IF($AB283="","",INDEX('Per Line'!$A$2:$A$4001,$AB283))</f>
        <v/>
      </c>
      <c r="F283" s="11">
        <f>IF($AB283="","",INDEX('Per Line'!$E$2:$E$4001,$AB283))</f>
        <v/>
      </c>
      <c r="G283">
        <f>IF($AB283="","",INDEX('Per Line'!$F$2:$F$4001,$AB283)&amp;"")</f>
        <v/>
      </c>
      <c r="H283">
        <f>IF($AB283="","",INDEX('Per Line'!$H$2:$H$4001,$AB283)&amp;"")</f>
        <v/>
      </c>
      <c r="I283">
        <f>IF($AB283="","",INDEX('Per Line'!$I$2:$I$4001,$AB283)&amp;"")</f>
        <v/>
      </c>
      <c r="J283">
        <f>IF($AB283="","",INDEX('Per Line'!$J$2:$J$4001,$AB283)&amp;"")</f>
        <v/>
      </c>
      <c r="K283">
        <f>IF($AB283="","",INDEX('Per Line'!$K$2:$K$4001,$AB283)&amp;"")</f>
        <v/>
      </c>
      <c r="L283">
        <f>IF($AB283="","",INDEX('Per Line'!$L$2:$L$4001,$AB283))</f>
        <v/>
      </c>
      <c r="M283" s="7">
        <f>IF($AB283="","",IF(AND(ISNUMBER(O283),O283&gt;0,Z283&gt;O283),L283*O283/100+(Z283-O283),L283*Z283/100))</f>
        <v/>
      </c>
      <c r="N283">
        <f>IF($AB283="","",INDEX('Per Line'!$V$2:$V$4001,$AB283)&amp;"")</f>
        <v/>
      </c>
      <c r="O283">
        <f>IF($AB283="","",INDEX('Per Line'!$Z$2:$Z$4001,$AB283))</f>
        <v/>
      </c>
      <c r="P283">
        <f>IF($AB283="","",IF(AND(ISNUMBER(O283),O283&gt;0),Z283&gt;O283,FALSE))</f>
        <v/>
      </c>
      <c r="Q283" s="7">
        <f>IF($AB283="","",SUMIFS('Per Line'!$U$2:$U$4001,'Per Line'!$C$2:$C$4001,$B283,'Per Line'!$AM$2:$AM$4001,1))</f>
        <v/>
      </c>
      <c r="R283">
        <f>IF($AB283="","",Settings!$C$7)</f>
        <v/>
      </c>
      <c r="S283" s="7">
        <f>IF($AB283="","",SUMIFS('Per Line'!$U$2:$U$4001,'Per Line'!$C$2:$C$4001,$B283,'Per Line'!$AL$2:$AL$4001,0,'Per Line'!$AM$2:$AM$4001,0))</f>
        <v/>
      </c>
      <c r="T283" s="7">
        <f>IF($AB283="","",S283*R283)</f>
        <v/>
      </c>
      <c r="U283">
        <f>IF($AB283="","",Settings!$C$6)</f>
        <v/>
      </c>
      <c r="V283" s="7">
        <f>IF($AB283="","",SUMIFS('Per Line'!$U$2:$U$4001,'Per Line'!$C$2:$C$4001,$B283,'Per Line'!$AL$2:$AL$4001,1,'Per Line'!$AM$2:$AM$4001,0))</f>
        <v/>
      </c>
      <c r="W283" s="7">
        <f>IF($AB283="","",V283*U283)</f>
        <v/>
      </c>
      <c r="X283" s="7">
        <f>IF($AB283="","",W283+T283)</f>
        <v/>
      </c>
      <c r="Y283" s="7">
        <f>IF($AB283="","",Z283-X283)</f>
        <v/>
      </c>
      <c r="Z283" s="7">
        <f>IF($AB283="","",S283+V283+Q283)</f>
        <v/>
      </c>
      <c r="AA283" s="7">
        <f>IF($AB283="","",Z283-X283-M283)</f>
        <v/>
      </c>
      <c r="AB283" s="13">
        <f>IF(ROWS($AB$2:$AB283)&lt;=MAX('Per Line'!$AK$2:$AK$4001),MATCH(ROWS($AB$2:$AB283),'Per Line'!$AK$2:$AK$4001,0),"")</f>
        <v/>
      </c>
      <c r="AC283" s="14">
        <f>IF($AB283="","",M283-L283*Z283/100)</f>
        <v/>
      </c>
    </row>
    <row r="284">
      <c r="A284" s="12" t="n"/>
      <c r="B284">
        <f>IF($AB284="","",INDEX('Per Line'!$C$2:$C$4001,$AB284)&amp;"")</f>
        <v/>
      </c>
      <c r="C284">
        <f>IF($AB284="","",INDEX('Per Line'!$D$2:$D$4001,$AB284)&amp;"")</f>
        <v/>
      </c>
      <c r="D284">
        <f>IF($AB284="","",INDEX('Per Line'!$B$2:$B$4001,$AB284)&amp;"")</f>
        <v/>
      </c>
      <c r="E284">
        <f>IF($AB284="","",INDEX('Per Line'!$A$2:$A$4001,$AB284))</f>
        <v/>
      </c>
      <c r="F284" s="11">
        <f>IF($AB284="","",INDEX('Per Line'!$E$2:$E$4001,$AB284))</f>
        <v/>
      </c>
      <c r="G284">
        <f>IF($AB284="","",INDEX('Per Line'!$F$2:$F$4001,$AB284)&amp;"")</f>
        <v/>
      </c>
      <c r="H284">
        <f>IF($AB284="","",INDEX('Per Line'!$H$2:$H$4001,$AB284)&amp;"")</f>
        <v/>
      </c>
      <c r="I284">
        <f>IF($AB284="","",INDEX('Per Line'!$I$2:$I$4001,$AB284)&amp;"")</f>
        <v/>
      </c>
      <c r="J284">
        <f>IF($AB284="","",INDEX('Per Line'!$J$2:$J$4001,$AB284)&amp;"")</f>
        <v/>
      </c>
      <c r="K284">
        <f>IF($AB284="","",INDEX('Per Line'!$K$2:$K$4001,$AB284)&amp;"")</f>
        <v/>
      </c>
      <c r="L284">
        <f>IF($AB284="","",INDEX('Per Line'!$L$2:$L$4001,$AB284))</f>
        <v/>
      </c>
      <c r="M284" s="7">
        <f>IF($AB284="","",IF(AND(ISNUMBER(O284),O284&gt;0,Z284&gt;O284),L284*O284/100+(Z284-O284),L284*Z284/100))</f>
        <v/>
      </c>
      <c r="N284">
        <f>IF($AB284="","",INDEX('Per Line'!$V$2:$V$4001,$AB284)&amp;"")</f>
        <v/>
      </c>
      <c r="O284">
        <f>IF($AB284="","",INDEX('Per Line'!$Z$2:$Z$4001,$AB284))</f>
        <v/>
      </c>
      <c r="P284">
        <f>IF($AB284="","",IF(AND(ISNUMBER(O284),O284&gt;0),Z284&gt;O284,FALSE))</f>
        <v/>
      </c>
      <c r="Q284" s="7">
        <f>IF($AB284="","",SUMIFS('Per Line'!$U$2:$U$4001,'Per Line'!$C$2:$C$4001,$B284,'Per Line'!$AM$2:$AM$4001,1))</f>
        <v/>
      </c>
      <c r="R284">
        <f>IF($AB284="","",Settings!$C$7)</f>
        <v/>
      </c>
      <c r="S284" s="7">
        <f>IF($AB284="","",SUMIFS('Per Line'!$U$2:$U$4001,'Per Line'!$C$2:$C$4001,$B284,'Per Line'!$AL$2:$AL$4001,0,'Per Line'!$AM$2:$AM$4001,0))</f>
        <v/>
      </c>
      <c r="T284" s="7">
        <f>IF($AB284="","",S284*R284)</f>
        <v/>
      </c>
      <c r="U284">
        <f>IF($AB284="","",Settings!$C$6)</f>
        <v/>
      </c>
      <c r="V284" s="7">
        <f>IF($AB284="","",SUMIFS('Per Line'!$U$2:$U$4001,'Per Line'!$C$2:$C$4001,$B284,'Per Line'!$AL$2:$AL$4001,1,'Per Line'!$AM$2:$AM$4001,0))</f>
        <v/>
      </c>
      <c r="W284" s="7">
        <f>IF($AB284="","",V284*U284)</f>
        <v/>
      </c>
      <c r="X284" s="7">
        <f>IF($AB284="","",W284+T284)</f>
        <v/>
      </c>
      <c r="Y284" s="7">
        <f>IF($AB284="","",Z284-X284)</f>
        <v/>
      </c>
      <c r="Z284" s="7">
        <f>IF($AB284="","",S284+V284+Q284)</f>
        <v/>
      </c>
      <c r="AA284" s="7">
        <f>IF($AB284="","",Z284-X284-M284)</f>
        <v/>
      </c>
      <c r="AB284" s="13">
        <f>IF(ROWS($AB$2:$AB284)&lt;=MAX('Per Line'!$AK$2:$AK$4001),MATCH(ROWS($AB$2:$AB284),'Per Line'!$AK$2:$AK$4001,0),"")</f>
        <v/>
      </c>
      <c r="AC284" s="14">
        <f>IF($AB284="","",M284-L284*Z284/100)</f>
        <v/>
      </c>
    </row>
    <row r="285">
      <c r="A285" s="12" t="n"/>
      <c r="B285">
        <f>IF($AB285="","",INDEX('Per Line'!$C$2:$C$4001,$AB285)&amp;"")</f>
        <v/>
      </c>
      <c r="C285">
        <f>IF($AB285="","",INDEX('Per Line'!$D$2:$D$4001,$AB285)&amp;"")</f>
        <v/>
      </c>
      <c r="D285">
        <f>IF($AB285="","",INDEX('Per Line'!$B$2:$B$4001,$AB285)&amp;"")</f>
        <v/>
      </c>
      <c r="E285">
        <f>IF($AB285="","",INDEX('Per Line'!$A$2:$A$4001,$AB285))</f>
        <v/>
      </c>
      <c r="F285" s="11">
        <f>IF($AB285="","",INDEX('Per Line'!$E$2:$E$4001,$AB285))</f>
        <v/>
      </c>
      <c r="G285">
        <f>IF($AB285="","",INDEX('Per Line'!$F$2:$F$4001,$AB285)&amp;"")</f>
        <v/>
      </c>
      <c r="H285">
        <f>IF($AB285="","",INDEX('Per Line'!$H$2:$H$4001,$AB285)&amp;"")</f>
        <v/>
      </c>
      <c r="I285">
        <f>IF($AB285="","",INDEX('Per Line'!$I$2:$I$4001,$AB285)&amp;"")</f>
        <v/>
      </c>
      <c r="J285">
        <f>IF($AB285="","",INDEX('Per Line'!$J$2:$J$4001,$AB285)&amp;"")</f>
        <v/>
      </c>
      <c r="K285">
        <f>IF($AB285="","",INDEX('Per Line'!$K$2:$K$4001,$AB285)&amp;"")</f>
        <v/>
      </c>
      <c r="L285">
        <f>IF($AB285="","",INDEX('Per Line'!$L$2:$L$4001,$AB285))</f>
        <v/>
      </c>
      <c r="M285" s="7">
        <f>IF($AB285="","",IF(AND(ISNUMBER(O285),O285&gt;0,Z285&gt;O285),L285*O285/100+(Z285-O285),L285*Z285/100))</f>
        <v/>
      </c>
      <c r="N285">
        <f>IF($AB285="","",INDEX('Per Line'!$V$2:$V$4001,$AB285)&amp;"")</f>
        <v/>
      </c>
      <c r="O285">
        <f>IF($AB285="","",INDEX('Per Line'!$Z$2:$Z$4001,$AB285))</f>
        <v/>
      </c>
      <c r="P285">
        <f>IF($AB285="","",IF(AND(ISNUMBER(O285),O285&gt;0),Z285&gt;O285,FALSE))</f>
        <v/>
      </c>
      <c r="Q285" s="7">
        <f>IF($AB285="","",SUMIFS('Per Line'!$U$2:$U$4001,'Per Line'!$C$2:$C$4001,$B285,'Per Line'!$AM$2:$AM$4001,1))</f>
        <v/>
      </c>
      <c r="R285">
        <f>IF($AB285="","",Settings!$C$7)</f>
        <v/>
      </c>
      <c r="S285" s="7">
        <f>IF($AB285="","",SUMIFS('Per Line'!$U$2:$U$4001,'Per Line'!$C$2:$C$4001,$B285,'Per Line'!$AL$2:$AL$4001,0,'Per Line'!$AM$2:$AM$4001,0))</f>
        <v/>
      </c>
      <c r="T285" s="7">
        <f>IF($AB285="","",S285*R285)</f>
        <v/>
      </c>
      <c r="U285">
        <f>IF($AB285="","",Settings!$C$6)</f>
        <v/>
      </c>
      <c r="V285" s="7">
        <f>IF($AB285="","",SUMIFS('Per Line'!$U$2:$U$4001,'Per Line'!$C$2:$C$4001,$B285,'Per Line'!$AL$2:$AL$4001,1,'Per Line'!$AM$2:$AM$4001,0))</f>
        <v/>
      </c>
      <c r="W285" s="7">
        <f>IF($AB285="","",V285*U285)</f>
        <v/>
      </c>
      <c r="X285" s="7">
        <f>IF($AB285="","",W285+T285)</f>
        <v/>
      </c>
      <c r="Y285" s="7">
        <f>IF($AB285="","",Z285-X285)</f>
        <v/>
      </c>
      <c r="Z285" s="7">
        <f>IF($AB285="","",S285+V285+Q285)</f>
        <v/>
      </c>
      <c r="AA285" s="7">
        <f>IF($AB285="","",Z285-X285-M285)</f>
        <v/>
      </c>
      <c r="AB285" s="13">
        <f>IF(ROWS($AB$2:$AB285)&lt;=MAX('Per Line'!$AK$2:$AK$4001),MATCH(ROWS($AB$2:$AB285),'Per Line'!$AK$2:$AK$4001,0),"")</f>
        <v/>
      </c>
      <c r="AC285" s="14">
        <f>IF($AB285="","",M285-L285*Z285/100)</f>
        <v/>
      </c>
    </row>
    <row r="286">
      <c r="A286" s="12" t="n"/>
      <c r="B286">
        <f>IF($AB286="","",INDEX('Per Line'!$C$2:$C$4001,$AB286)&amp;"")</f>
        <v/>
      </c>
      <c r="C286">
        <f>IF($AB286="","",INDEX('Per Line'!$D$2:$D$4001,$AB286)&amp;"")</f>
        <v/>
      </c>
      <c r="D286">
        <f>IF($AB286="","",INDEX('Per Line'!$B$2:$B$4001,$AB286)&amp;"")</f>
        <v/>
      </c>
      <c r="E286">
        <f>IF($AB286="","",INDEX('Per Line'!$A$2:$A$4001,$AB286))</f>
        <v/>
      </c>
      <c r="F286" s="11">
        <f>IF($AB286="","",INDEX('Per Line'!$E$2:$E$4001,$AB286))</f>
        <v/>
      </c>
      <c r="G286">
        <f>IF($AB286="","",INDEX('Per Line'!$F$2:$F$4001,$AB286)&amp;"")</f>
        <v/>
      </c>
      <c r="H286">
        <f>IF($AB286="","",INDEX('Per Line'!$H$2:$H$4001,$AB286)&amp;"")</f>
        <v/>
      </c>
      <c r="I286">
        <f>IF($AB286="","",INDEX('Per Line'!$I$2:$I$4001,$AB286)&amp;"")</f>
        <v/>
      </c>
      <c r="J286">
        <f>IF($AB286="","",INDEX('Per Line'!$J$2:$J$4001,$AB286)&amp;"")</f>
        <v/>
      </c>
      <c r="K286">
        <f>IF($AB286="","",INDEX('Per Line'!$K$2:$K$4001,$AB286)&amp;"")</f>
        <v/>
      </c>
      <c r="L286">
        <f>IF($AB286="","",INDEX('Per Line'!$L$2:$L$4001,$AB286))</f>
        <v/>
      </c>
      <c r="M286" s="7">
        <f>IF($AB286="","",IF(AND(ISNUMBER(O286),O286&gt;0,Z286&gt;O286),L286*O286/100+(Z286-O286),L286*Z286/100))</f>
        <v/>
      </c>
      <c r="N286">
        <f>IF($AB286="","",INDEX('Per Line'!$V$2:$V$4001,$AB286)&amp;"")</f>
        <v/>
      </c>
      <c r="O286">
        <f>IF($AB286="","",INDEX('Per Line'!$Z$2:$Z$4001,$AB286))</f>
        <v/>
      </c>
      <c r="P286">
        <f>IF($AB286="","",IF(AND(ISNUMBER(O286),O286&gt;0),Z286&gt;O286,FALSE))</f>
        <v/>
      </c>
      <c r="Q286" s="7">
        <f>IF($AB286="","",SUMIFS('Per Line'!$U$2:$U$4001,'Per Line'!$C$2:$C$4001,$B286,'Per Line'!$AM$2:$AM$4001,1))</f>
        <v/>
      </c>
      <c r="R286">
        <f>IF($AB286="","",Settings!$C$7)</f>
        <v/>
      </c>
      <c r="S286" s="7">
        <f>IF($AB286="","",SUMIFS('Per Line'!$U$2:$U$4001,'Per Line'!$C$2:$C$4001,$B286,'Per Line'!$AL$2:$AL$4001,0,'Per Line'!$AM$2:$AM$4001,0))</f>
        <v/>
      </c>
      <c r="T286" s="7">
        <f>IF($AB286="","",S286*R286)</f>
        <v/>
      </c>
      <c r="U286">
        <f>IF($AB286="","",Settings!$C$6)</f>
        <v/>
      </c>
      <c r="V286" s="7">
        <f>IF($AB286="","",SUMIFS('Per Line'!$U$2:$U$4001,'Per Line'!$C$2:$C$4001,$B286,'Per Line'!$AL$2:$AL$4001,1,'Per Line'!$AM$2:$AM$4001,0))</f>
        <v/>
      </c>
      <c r="W286" s="7">
        <f>IF($AB286="","",V286*U286)</f>
        <v/>
      </c>
      <c r="X286" s="7">
        <f>IF($AB286="","",W286+T286)</f>
        <v/>
      </c>
      <c r="Y286" s="7">
        <f>IF($AB286="","",Z286-X286)</f>
        <v/>
      </c>
      <c r="Z286" s="7">
        <f>IF($AB286="","",S286+V286+Q286)</f>
        <v/>
      </c>
      <c r="AA286" s="7">
        <f>IF($AB286="","",Z286-X286-M286)</f>
        <v/>
      </c>
      <c r="AB286" s="13">
        <f>IF(ROWS($AB$2:$AB286)&lt;=MAX('Per Line'!$AK$2:$AK$4001),MATCH(ROWS($AB$2:$AB286),'Per Line'!$AK$2:$AK$4001,0),"")</f>
        <v/>
      </c>
      <c r="AC286" s="14">
        <f>IF($AB286="","",M286-L286*Z286/100)</f>
        <v/>
      </c>
    </row>
    <row r="287">
      <c r="A287" s="12" t="n"/>
      <c r="B287">
        <f>IF($AB287="","",INDEX('Per Line'!$C$2:$C$4001,$AB287)&amp;"")</f>
        <v/>
      </c>
      <c r="C287">
        <f>IF($AB287="","",INDEX('Per Line'!$D$2:$D$4001,$AB287)&amp;"")</f>
        <v/>
      </c>
      <c r="D287">
        <f>IF($AB287="","",INDEX('Per Line'!$B$2:$B$4001,$AB287)&amp;"")</f>
        <v/>
      </c>
      <c r="E287">
        <f>IF($AB287="","",INDEX('Per Line'!$A$2:$A$4001,$AB287))</f>
        <v/>
      </c>
      <c r="F287" s="11">
        <f>IF($AB287="","",INDEX('Per Line'!$E$2:$E$4001,$AB287))</f>
        <v/>
      </c>
      <c r="G287">
        <f>IF($AB287="","",INDEX('Per Line'!$F$2:$F$4001,$AB287)&amp;"")</f>
        <v/>
      </c>
      <c r="H287">
        <f>IF($AB287="","",INDEX('Per Line'!$H$2:$H$4001,$AB287)&amp;"")</f>
        <v/>
      </c>
      <c r="I287">
        <f>IF($AB287="","",INDEX('Per Line'!$I$2:$I$4001,$AB287)&amp;"")</f>
        <v/>
      </c>
      <c r="J287">
        <f>IF($AB287="","",INDEX('Per Line'!$J$2:$J$4001,$AB287)&amp;"")</f>
        <v/>
      </c>
      <c r="K287">
        <f>IF($AB287="","",INDEX('Per Line'!$K$2:$K$4001,$AB287)&amp;"")</f>
        <v/>
      </c>
      <c r="L287">
        <f>IF($AB287="","",INDEX('Per Line'!$L$2:$L$4001,$AB287))</f>
        <v/>
      </c>
      <c r="M287" s="7">
        <f>IF($AB287="","",IF(AND(ISNUMBER(O287),O287&gt;0,Z287&gt;O287),L287*O287/100+(Z287-O287),L287*Z287/100))</f>
        <v/>
      </c>
      <c r="N287">
        <f>IF($AB287="","",INDEX('Per Line'!$V$2:$V$4001,$AB287)&amp;"")</f>
        <v/>
      </c>
      <c r="O287">
        <f>IF($AB287="","",INDEX('Per Line'!$Z$2:$Z$4001,$AB287))</f>
        <v/>
      </c>
      <c r="P287">
        <f>IF($AB287="","",IF(AND(ISNUMBER(O287),O287&gt;0),Z287&gt;O287,FALSE))</f>
        <v/>
      </c>
      <c r="Q287" s="7">
        <f>IF($AB287="","",SUMIFS('Per Line'!$U$2:$U$4001,'Per Line'!$C$2:$C$4001,$B287,'Per Line'!$AM$2:$AM$4001,1))</f>
        <v/>
      </c>
      <c r="R287">
        <f>IF($AB287="","",Settings!$C$7)</f>
        <v/>
      </c>
      <c r="S287" s="7">
        <f>IF($AB287="","",SUMIFS('Per Line'!$U$2:$U$4001,'Per Line'!$C$2:$C$4001,$B287,'Per Line'!$AL$2:$AL$4001,0,'Per Line'!$AM$2:$AM$4001,0))</f>
        <v/>
      </c>
      <c r="T287" s="7">
        <f>IF($AB287="","",S287*R287)</f>
        <v/>
      </c>
      <c r="U287">
        <f>IF($AB287="","",Settings!$C$6)</f>
        <v/>
      </c>
      <c r="V287" s="7">
        <f>IF($AB287="","",SUMIFS('Per Line'!$U$2:$U$4001,'Per Line'!$C$2:$C$4001,$B287,'Per Line'!$AL$2:$AL$4001,1,'Per Line'!$AM$2:$AM$4001,0))</f>
        <v/>
      </c>
      <c r="W287" s="7">
        <f>IF($AB287="","",V287*U287)</f>
        <v/>
      </c>
      <c r="X287" s="7">
        <f>IF($AB287="","",W287+T287)</f>
        <v/>
      </c>
      <c r="Y287" s="7">
        <f>IF($AB287="","",Z287-X287)</f>
        <v/>
      </c>
      <c r="Z287" s="7">
        <f>IF($AB287="","",S287+V287+Q287)</f>
        <v/>
      </c>
      <c r="AA287" s="7">
        <f>IF($AB287="","",Z287-X287-M287)</f>
        <v/>
      </c>
      <c r="AB287" s="13">
        <f>IF(ROWS($AB$2:$AB287)&lt;=MAX('Per Line'!$AK$2:$AK$4001),MATCH(ROWS($AB$2:$AB287),'Per Line'!$AK$2:$AK$4001,0),"")</f>
        <v/>
      </c>
      <c r="AC287" s="14">
        <f>IF($AB287="","",M287-L287*Z287/100)</f>
        <v/>
      </c>
    </row>
    <row r="288">
      <c r="A288" s="12" t="n"/>
      <c r="B288">
        <f>IF($AB288="","",INDEX('Per Line'!$C$2:$C$4001,$AB288)&amp;"")</f>
        <v/>
      </c>
      <c r="C288">
        <f>IF($AB288="","",INDEX('Per Line'!$D$2:$D$4001,$AB288)&amp;"")</f>
        <v/>
      </c>
      <c r="D288">
        <f>IF($AB288="","",INDEX('Per Line'!$B$2:$B$4001,$AB288)&amp;"")</f>
        <v/>
      </c>
      <c r="E288">
        <f>IF($AB288="","",INDEX('Per Line'!$A$2:$A$4001,$AB288))</f>
        <v/>
      </c>
      <c r="F288" s="11">
        <f>IF($AB288="","",INDEX('Per Line'!$E$2:$E$4001,$AB288))</f>
        <v/>
      </c>
      <c r="G288">
        <f>IF($AB288="","",INDEX('Per Line'!$F$2:$F$4001,$AB288)&amp;"")</f>
        <v/>
      </c>
      <c r="H288">
        <f>IF($AB288="","",INDEX('Per Line'!$H$2:$H$4001,$AB288)&amp;"")</f>
        <v/>
      </c>
      <c r="I288">
        <f>IF($AB288="","",INDEX('Per Line'!$I$2:$I$4001,$AB288)&amp;"")</f>
        <v/>
      </c>
      <c r="J288">
        <f>IF($AB288="","",INDEX('Per Line'!$J$2:$J$4001,$AB288)&amp;"")</f>
        <v/>
      </c>
      <c r="K288">
        <f>IF($AB288="","",INDEX('Per Line'!$K$2:$K$4001,$AB288)&amp;"")</f>
        <v/>
      </c>
      <c r="L288">
        <f>IF($AB288="","",INDEX('Per Line'!$L$2:$L$4001,$AB288))</f>
        <v/>
      </c>
      <c r="M288" s="7">
        <f>IF($AB288="","",IF(AND(ISNUMBER(O288),O288&gt;0,Z288&gt;O288),L288*O288/100+(Z288-O288),L288*Z288/100))</f>
        <v/>
      </c>
      <c r="N288">
        <f>IF($AB288="","",INDEX('Per Line'!$V$2:$V$4001,$AB288)&amp;"")</f>
        <v/>
      </c>
      <c r="O288">
        <f>IF($AB288="","",INDEX('Per Line'!$Z$2:$Z$4001,$AB288))</f>
        <v/>
      </c>
      <c r="P288">
        <f>IF($AB288="","",IF(AND(ISNUMBER(O288),O288&gt;0),Z288&gt;O288,FALSE))</f>
        <v/>
      </c>
      <c r="Q288" s="7">
        <f>IF($AB288="","",SUMIFS('Per Line'!$U$2:$U$4001,'Per Line'!$C$2:$C$4001,$B288,'Per Line'!$AM$2:$AM$4001,1))</f>
        <v/>
      </c>
      <c r="R288">
        <f>IF($AB288="","",Settings!$C$7)</f>
        <v/>
      </c>
      <c r="S288" s="7">
        <f>IF($AB288="","",SUMIFS('Per Line'!$U$2:$U$4001,'Per Line'!$C$2:$C$4001,$B288,'Per Line'!$AL$2:$AL$4001,0,'Per Line'!$AM$2:$AM$4001,0))</f>
        <v/>
      </c>
      <c r="T288" s="7">
        <f>IF($AB288="","",S288*R288)</f>
        <v/>
      </c>
      <c r="U288">
        <f>IF($AB288="","",Settings!$C$6)</f>
        <v/>
      </c>
      <c r="V288" s="7">
        <f>IF($AB288="","",SUMIFS('Per Line'!$U$2:$U$4001,'Per Line'!$C$2:$C$4001,$B288,'Per Line'!$AL$2:$AL$4001,1,'Per Line'!$AM$2:$AM$4001,0))</f>
        <v/>
      </c>
      <c r="W288" s="7">
        <f>IF($AB288="","",V288*U288)</f>
        <v/>
      </c>
      <c r="X288" s="7">
        <f>IF($AB288="","",W288+T288)</f>
        <v/>
      </c>
      <c r="Y288" s="7">
        <f>IF($AB288="","",Z288-X288)</f>
        <v/>
      </c>
      <c r="Z288" s="7">
        <f>IF($AB288="","",S288+V288+Q288)</f>
        <v/>
      </c>
      <c r="AA288" s="7">
        <f>IF($AB288="","",Z288-X288-M288)</f>
        <v/>
      </c>
      <c r="AB288" s="13">
        <f>IF(ROWS($AB$2:$AB288)&lt;=MAX('Per Line'!$AK$2:$AK$4001),MATCH(ROWS($AB$2:$AB288),'Per Line'!$AK$2:$AK$4001,0),"")</f>
        <v/>
      </c>
      <c r="AC288" s="14">
        <f>IF($AB288="","",M288-L288*Z288/100)</f>
        <v/>
      </c>
    </row>
    <row r="289">
      <c r="A289" s="12" t="n"/>
      <c r="B289">
        <f>IF($AB289="","",INDEX('Per Line'!$C$2:$C$4001,$AB289)&amp;"")</f>
        <v/>
      </c>
      <c r="C289">
        <f>IF($AB289="","",INDEX('Per Line'!$D$2:$D$4001,$AB289)&amp;"")</f>
        <v/>
      </c>
      <c r="D289">
        <f>IF($AB289="","",INDEX('Per Line'!$B$2:$B$4001,$AB289)&amp;"")</f>
        <v/>
      </c>
      <c r="E289">
        <f>IF($AB289="","",INDEX('Per Line'!$A$2:$A$4001,$AB289))</f>
        <v/>
      </c>
      <c r="F289" s="11">
        <f>IF($AB289="","",INDEX('Per Line'!$E$2:$E$4001,$AB289))</f>
        <v/>
      </c>
      <c r="G289">
        <f>IF($AB289="","",INDEX('Per Line'!$F$2:$F$4001,$AB289)&amp;"")</f>
        <v/>
      </c>
      <c r="H289">
        <f>IF($AB289="","",INDEX('Per Line'!$H$2:$H$4001,$AB289)&amp;"")</f>
        <v/>
      </c>
      <c r="I289">
        <f>IF($AB289="","",INDEX('Per Line'!$I$2:$I$4001,$AB289)&amp;"")</f>
        <v/>
      </c>
      <c r="J289">
        <f>IF($AB289="","",INDEX('Per Line'!$J$2:$J$4001,$AB289)&amp;"")</f>
        <v/>
      </c>
      <c r="K289">
        <f>IF($AB289="","",INDEX('Per Line'!$K$2:$K$4001,$AB289)&amp;"")</f>
        <v/>
      </c>
      <c r="L289">
        <f>IF($AB289="","",INDEX('Per Line'!$L$2:$L$4001,$AB289))</f>
        <v/>
      </c>
      <c r="M289" s="7">
        <f>IF($AB289="","",IF(AND(ISNUMBER(O289),O289&gt;0,Z289&gt;O289),L289*O289/100+(Z289-O289),L289*Z289/100))</f>
        <v/>
      </c>
      <c r="N289">
        <f>IF($AB289="","",INDEX('Per Line'!$V$2:$V$4001,$AB289)&amp;"")</f>
        <v/>
      </c>
      <c r="O289">
        <f>IF($AB289="","",INDEX('Per Line'!$Z$2:$Z$4001,$AB289))</f>
        <v/>
      </c>
      <c r="P289">
        <f>IF($AB289="","",IF(AND(ISNUMBER(O289),O289&gt;0),Z289&gt;O289,FALSE))</f>
        <v/>
      </c>
      <c r="Q289" s="7">
        <f>IF($AB289="","",SUMIFS('Per Line'!$U$2:$U$4001,'Per Line'!$C$2:$C$4001,$B289,'Per Line'!$AM$2:$AM$4001,1))</f>
        <v/>
      </c>
      <c r="R289">
        <f>IF($AB289="","",Settings!$C$7)</f>
        <v/>
      </c>
      <c r="S289" s="7">
        <f>IF($AB289="","",SUMIFS('Per Line'!$U$2:$U$4001,'Per Line'!$C$2:$C$4001,$B289,'Per Line'!$AL$2:$AL$4001,0,'Per Line'!$AM$2:$AM$4001,0))</f>
        <v/>
      </c>
      <c r="T289" s="7">
        <f>IF($AB289="","",S289*R289)</f>
        <v/>
      </c>
      <c r="U289">
        <f>IF($AB289="","",Settings!$C$6)</f>
        <v/>
      </c>
      <c r="V289" s="7">
        <f>IF($AB289="","",SUMIFS('Per Line'!$U$2:$U$4001,'Per Line'!$C$2:$C$4001,$B289,'Per Line'!$AL$2:$AL$4001,1,'Per Line'!$AM$2:$AM$4001,0))</f>
        <v/>
      </c>
      <c r="W289" s="7">
        <f>IF($AB289="","",V289*U289)</f>
        <v/>
      </c>
      <c r="X289" s="7">
        <f>IF($AB289="","",W289+T289)</f>
        <v/>
      </c>
      <c r="Y289" s="7">
        <f>IF($AB289="","",Z289-X289)</f>
        <v/>
      </c>
      <c r="Z289" s="7">
        <f>IF($AB289="","",S289+V289+Q289)</f>
        <v/>
      </c>
      <c r="AA289" s="7">
        <f>IF($AB289="","",Z289-X289-M289)</f>
        <v/>
      </c>
      <c r="AB289" s="13">
        <f>IF(ROWS($AB$2:$AB289)&lt;=MAX('Per Line'!$AK$2:$AK$4001),MATCH(ROWS($AB$2:$AB289),'Per Line'!$AK$2:$AK$4001,0),"")</f>
        <v/>
      </c>
      <c r="AC289" s="14">
        <f>IF($AB289="","",M289-L289*Z289/100)</f>
        <v/>
      </c>
    </row>
    <row r="290">
      <c r="A290" s="12" t="n"/>
      <c r="B290">
        <f>IF($AB290="","",INDEX('Per Line'!$C$2:$C$4001,$AB290)&amp;"")</f>
        <v/>
      </c>
      <c r="C290">
        <f>IF($AB290="","",INDEX('Per Line'!$D$2:$D$4001,$AB290)&amp;"")</f>
        <v/>
      </c>
      <c r="D290">
        <f>IF($AB290="","",INDEX('Per Line'!$B$2:$B$4001,$AB290)&amp;"")</f>
        <v/>
      </c>
      <c r="E290">
        <f>IF($AB290="","",INDEX('Per Line'!$A$2:$A$4001,$AB290))</f>
        <v/>
      </c>
      <c r="F290" s="11">
        <f>IF($AB290="","",INDEX('Per Line'!$E$2:$E$4001,$AB290))</f>
        <v/>
      </c>
      <c r="G290">
        <f>IF($AB290="","",INDEX('Per Line'!$F$2:$F$4001,$AB290)&amp;"")</f>
        <v/>
      </c>
      <c r="H290">
        <f>IF($AB290="","",INDEX('Per Line'!$H$2:$H$4001,$AB290)&amp;"")</f>
        <v/>
      </c>
      <c r="I290">
        <f>IF($AB290="","",INDEX('Per Line'!$I$2:$I$4001,$AB290)&amp;"")</f>
        <v/>
      </c>
      <c r="J290">
        <f>IF($AB290="","",INDEX('Per Line'!$J$2:$J$4001,$AB290)&amp;"")</f>
        <v/>
      </c>
      <c r="K290">
        <f>IF($AB290="","",INDEX('Per Line'!$K$2:$K$4001,$AB290)&amp;"")</f>
        <v/>
      </c>
      <c r="L290">
        <f>IF($AB290="","",INDEX('Per Line'!$L$2:$L$4001,$AB290))</f>
        <v/>
      </c>
      <c r="M290" s="7">
        <f>IF($AB290="","",IF(AND(ISNUMBER(O290),O290&gt;0,Z290&gt;O290),L290*O290/100+(Z290-O290),L290*Z290/100))</f>
        <v/>
      </c>
      <c r="N290">
        <f>IF($AB290="","",INDEX('Per Line'!$V$2:$V$4001,$AB290)&amp;"")</f>
        <v/>
      </c>
      <c r="O290">
        <f>IF($AB290="","",INDEX('Per Line'!$Z$2:$Z$4001,$AB290))</f>
        <v/>
      </c>
      <c r="P290">
        <f>IF($AB290="","",IF(AND(ISNUMBER(O290),O290&gt;0),Z290&gt;O290,FALSE))</f>
        <v/>
      </c>
      <c r="Q290" s="7">
        <f>IF($AB290="","",SUMIFS('Per Line'!$U$2:$U$4001,'Per Line'!$C$2:$C$4001,$B290,'Per Line'!$AM$2:$AM$4001,1))</f>
        <v/>
      </c>
      <c r="R290">
        <f>IF($AB290="","",Settings!$C$7)</f>
        <v/>
      </c>
      <c r="S290" s="7">
        <f>IF($AB290="","",SUMIFS('Per Line'!$U$2:$U$4001,'Per Line'!$C$2:$C$4001,$B290,'Per Line'!$AL$2:$AL$4001,0,'Per Line'!$AM$2:$AM$4001,0))</f>
        <v/>
      </c>
      <c r="T290" s="7">
        <f>IF($AB290="","",S290*R290)</f>
        <v/>
      </c>
      <c r="U290">
        <f>IF($AB290="","",Settings!$C$6)</f>
        <v/>
      </c>
      <c r="V290" s="7">
        <f>IF($AB290="","",SUMIFS('Per Line'!$U$2:$U$4001,'Per Line'!$C$2:$C$4001,$B290,'Per Line'!$AL$2:$AL$4001,1,'Per Line'!$AM$2:$AM$4001,0))</f>
        <v/>
      </c>
      <c r="W290" s="7">
        <f>IF($AB290="","",V290*U290)</f>
        <v/>
      </c>
      <c r="X290" s="7">
        <f>IF($AB290="","",W290+T290)</f>
        <v/>
      </c>
      <c r="Y290" s="7">
        <f>IF($AB290="","",Z290-X290)</f>
        <v/>
      </c>
      <c r="Z290" s="7">
        <f>IF($AB290="","",S290+V290+Q290)</f>
        <v/>
      </c>
      <c r="AA290" s="7">
        <f>IF($AB290="","",Z290-X290-M290)</f>
        <v/>
      </c>
      <c r="AB290" s="13">
        <f>IF(ROWS($AB$2:$AB290)&lt;=MAX('Per Line'!$AK$2:$AK$4001),MATCH(ROWS($AB$2:$AB290),'Per Line'!$AK$2:$AK$4001,0),"")</f>
        <v/>
      </c>
      <c r="AC290" s="14">
        <f>IF($AB290="","",M290-L290*Z290/100)</f>
        <v/>
      </c>
    </row>
    <row r="291">
      <c r="A291" s="12" t="n"/>
      <c r="B291">
        <f>IF($AB291="","",INDEX('Per Line'!$C$2:$C$4001,$AB291)&amp;"")</f>
        <v/>
      </c>
      <c r="C291">
        <f>IF($AB291="","",INDEX('Per Line'!$D$2:$D$4001,$AB291)&amp;"")</f>
        <v/>
      </c>
      <c r="D291">
        <f>IF($AB291="","",INDEX('Per Line'!$B$2:$B$4001,$AB291)&amp;"")</f>
        <v/>
      </c>
      <c r="E291">
        <f>IF($AB291="","",INDEX('Per Line'!$A$2:$A$4001,$AB291))</f>
        <v/>
      </c>
      <c r="F291" s="11">
        <f>IF($AB291="","",INDEX('Per Line'!$E$2:$E$4001,$AB291))</f>
        <v/>
      </c>
      <c r="G291">
        <f>IF($AB291="","",INDEX('Per Line'!$F$2:$F$4001,$AB291)&amp;"")</f>
        <v/>
      </c>
      <c r="H291">
        <f>IF($AB291="","",INDEX('Per Line'!$H$2:$H$4001,$AB291)&amp;"")</f>
        <v/>
      </c>
      <c r="I291">
        <f>IF($AB291="","",INDEX('Per Line'!$I$2:$I$4001,$AB291)&amp;"")</f>
        <v/>
      </c>
      <c r="J291">
        <f>IF($AB291="","",INDEX('Per Line'!$J$2:$J$4001,$AB291)&amp;"")</f>
        <v/>
      </c>
      <c r="K291">
        <f>IF($AB291="","",INDEX('Per Line'!$K$2:$K$4001,$AB291)&amp;"")</f>
        <v/>
      </c>
      <c r="L291">
        <f>IF($AB291="","",INDEX('Per Line'!$L$2:$L$4001,$AB291))</f>
        <v/>
      </c>
      <c r="M291" s="7">
        <f>IF($AB291="","",IF(AND(ISNUMBER(O291),O291&gt;0,Z291&gt;O291),L291*O291/100+(Z291-O291),L291*Z291/100))</f>
        <v/>
      </c>
      <c r="N291">
        <f>IF($AB291="","",INDEX('Per Line'!$V$2:$V$4001,$AB291)&amp;"")</f>
        <v/>
      </c>
      <c r="O291">
        <f>IF($AB291="","",INDEX('Per Line'!$Z$2:$Z$4001,$AB291))</f>
        <v/>
      </c>
      <c r="P291">
        <f>IF($AB291="","",IF(AND(ISNUMBER(O291),O291&gt;0),Z291&gt;O291,FALSE))</f>
        <v/>
      </c>
      <c r="Q291" s="7">
        <f>IF($AB291="","",SUMIFS('Per Line'!$U$2:$U$4001,'Per Line'!$C$2:$C$4001,$B291,'Per Line'!$AM$2:$AM$4001,1))</f>
        <v/>
      </c>
      <c r="R291">
        <f>IF($AB291="","",Settings!$C$7)</f>
        <v/>
      </c>
      <c r="S291" s="7">
        <f>IF($AB291="","",SUMIFS('Per Line'!$U$2:$U$4001,'Per Line'!$C$2:$C$4001,$B291,'Per Line'!$AL$2:$AL$4001,0,'Per Line'!$AM$2:$AM$4001,0))</f>
        <v/>
      </c>
      <c r="T291" s="7">
        <f>IF($AB291="","",S291*R291)</f>
        <v/>
      </c>
      <c r="U291">
        <f>IF($AB291="","",Settings!$C$6)</f>
        <v/>
      </c>
      <c r="V291" s="7">
        <f>IF($AB291="","",SUMIFS('Per Line'!$U$2:$U$4001,'Per Line'!$C$2:$C$4001,$B291,'Per Line'!$AL$2:$AL$4001,1,'Per Line'!$AM$2:$AM$4001,0))</f>
        <v/>
      </c>
      <c r="W291" s="7">
        <f>IF($AB291="","",V291*U291)</f>
        <v/>
      </c>
      <c r="X291" s="7">
        <f>IF($AB291="","",W291+T291)</f>
        <v/>
      </c>
      <c r="Y291" s="7">
        <f>IF($AB291="","",Z291-X291)</f>
        <v/>
      </c>
      <c r="Z291" s="7">
        <f>IF($AB291="","",S291+V291+Q291)</f>
        <v/>
      </c>
      <c r="AA291" s="7">
        <f>IF($AB291="","",Z291-X291-M291)</f>
        <v/>
      </c>
      <c r="AB291" s="13">
        <f>IF(ROWS($AB$2:$AB291)&lt;=MAX('Per Line'!$AK$2:$AK$4001),MATCH(ROWS($AB$2:$AB291),'Per Line'!$AK$2:$AK$4001,0),"")</f>
        <v/>
      </c>
      <c r="AC291" s="14">
        <f>IF($AB291="","",M291-L291*Z291/100)</f>
        <v/>
      </c>
    </row>
    <row r="292">
      <c r="A292" s="12" t="n"/>
      <c r="B292">
        <f>IF($AB292="","",INDEX('Per Line'!$C$2:$C$4001,$AB292)&amp;"")</f>
        <v/>
      </c>
      <c r="C292">
        <f>IF($AB292="","",INDEX('Per Line'!$D$2:$D$4001,$AB292)&amp;"")</f>
        <v/>
      </c>
      <c r="D292">
        <f>IF($AB292="","",INDEX('Per Line'!$B$2:$B$4001,$AB292)&amp;"")</f>
        <v/>
      </c>
      <c r="E292">
        <f>IF($AB292="","",INDEX('Per Line'!$A$2:$A$4001,$AB292))</f>
        <v/>
      </c>
      <c r="F292" s="11">
        <f>IF($AB292="","",INDEX('Per Line'!$E$2:$E$4001,$AB292))</f>
        <v/>
      </c>
      <c r="G292">
        <f>IF($AB292="","",INDEX('Per Line'!$F$2:$F$4001,$AB292)&amp;"")</f>
        <v/>
      </c>
      <c r="H292">
        <f>IF($AB292="","",INDEX('Per Line'!$H$2:$H$4001,$AB292)&amp;"")</f>
        <v/>
      </c>
      <c r="I292">
        <f>IF($AB292="","",INDEX('Per Line'!$I$2:$I$4001,$AB292)&amp;"")</f>
        <v/>
      </c>
      <c r="J292">
        <f>IF($AB292="","",INDEX('Per Line'!$J$2:$J$4001,$AB292)&amp;"")</f>
        <v/>
      </c>
      <c r="K292">
        <f>IF($AB292="","",INDEX('Per Line'!$K$2:$K$4001,$AB292)&amp;"")</f>
        <v/>
      </c>
      <c r="L292">
        <f>IF($AB292="","",INDEX('Per Line'!$L$2:$L$4001,$AB292))</f>
        <v/>
      </c>
      <c r="M292" s="7">
        <f>IF($AB292="","",IF(AND(ISNUMBER(O292),O292&gt;0,Z292&gt;O292),L292*O292/100+(Z292-O292),L292*Z292/100))</f>
        <v/>
      </c>
      <c r="N292">
        <f>IF($AB292="","",INDEX('Per Line'!$V$2:$V$4001,$AB292)&amp;"")</f>
        <v/>
      </c>
      <c r="O292">
        <f>IF($AB292="","",INDEX('Per Line'!$Z$2:$Z$4001,$AB292))</f>
        <v/>
      </c>
      <c r="P292">
        <f>IF($AB292="","",IF(AND(ISNUMBER(O292),O292&gt;0),Z292&gt;O292,FALSE))</f>
        <v/>
      </c>
      <c r="Q292" s="7">
        <f>IF($AB292="","",SUMIFS('Per Line'!$U$2:$U$4001,'Per Line'!$C$2:$C$4001,$B292,'Per Line'!$AM$2:$AM$4001,1))</f>
        <v/>
      </c>
      <c r="R292">
        <f>IF($AB292="","",Settings!$C$7)</f>
        <v/>
      </c>
      <c r="S292" s="7">
        <f>IF($AB292="","",SUMIFS('Per Line'!$U$2:$U$4001,'Per Line'!$C$2:$C$4001,$B292,'Per Line'!$AL$2:$AL$4001,0,'Per Line'!$AM$2:$AM$4001,0))</f>
        <v/>
      </c>
      <c r="T292" s="7">
        <f>IF($AB292="","",S292*R292)</f>
        <v/>
      </c>
      <c r="U292">
        <f>IF($AB292="","",Settings!$C$6)</f>
        <v/>
      </c>
      <c r="V292" s="7">
        <f>IF($AB292="","",SUMIFS('Per Line'!$U$2:$U$4001,'Per Line'!$C$2:$C$4001,$B292,'Per Line'!$AL$2:$AL$4001,1,'Per Line'!$AM$2:$AM$4001,0))</f>
        <v/>
      </c>
      <c r="W292" s="7">
        <f>IF($AB292="","",V292*U292)</f>
        <v/>
      </c>
      <c r="X292" s="7">
        <f>IF($AB292="","",W292+T292)</f>
        <v/>
      </c>
      <c r="Y292" s="7">
        <f>IF($AB292="","",Z292-X292)</f>
        <v/>
      </c>
      <c r="Z292" s="7">
        <f>IF($AB292="","",S292+V292+Q292)</f>
        <v/>
      </c>
      <c r="AA292" s="7">
        <f>IF($AB292="","",Z292-X292-M292)</f>
        <v/>
      </c>
      <c r="AB292" s="13">
        <f>IF(ROWS($AB$2:$AB292)&lt;=MAX('Per Line'!$AK$2:$AK$4001),MATCH(ROWS($AB$2:$AB292),'Per Line'!$AK$2:$AK$4001,0),"")</f>
        <v/>
      </c>
      <c r="AC292" s="14">
        <f>IF($AB292="","",M292-L292*Z292/100)</f>
        <v/>
      </c>
    </row>
    <row r="293">
      <c r="A293" s="12" t="n"/>
      <c r="B293">
        <f>IF($AB293="","",INDEX('Per Line'!$C$2:$C$4001,$AB293)&amp;"")</f>
        <v/>
      </c>
      <c r="C293">
        <f>IF($AB293="","",INDEX('Per Line'!$D$2:$D$4001,$AB293)&amp;"")</f>
        <v/>
      </c>
      <c r="D293">
        <f>IF($AB293="","",INDEX('Per Line'!$B$2:$B$4001,$AB293)&amp;"")</f>
        <v/>
      </c>
      <c r="E293">
        <f>IF($AB293="","",INDEX('Per Line'!$A$2:$A$4001,$AB293))</f>
        <v/>
      </c>
      <c r="F293" s="11">
        <f>IF($AB293="","",INDEX('Per Line'!$E$2:$E$4001,$AB293))</f>
        <v/>
      </c>
      <c r="G293">
        <f>IF($AB293="","",INDEX('Per Line'!$F$2:$F$4001,$AB293)&amp;"")</f>
        <v/>
      </c>
      <c r="H293">
        <f>IF($AB293="","",INDEX('Per Line'!$H$2:$H$4001,$AB293)&amp;"")</f>
        <v/>
      </c>
      <c r="I293">
        <f>IF($AB293="","",INDEX('Per Line'!$I$2:$I$4001,$AB293)&amp;"")</f>
        <v/>
      </c>
      <c r="J293">
        <f>IF($AB293="","",INDEX('Per Line'!$J$2:$J$4001,$AB293)&amp;"")</f>
        <v/>
      </c>
      <c r="K293">
        <f>IF($AB293="","",INDEX('Per Line'!$K$2:$K$4001,$AB293)&amp;"")</f>
        <v/>
      </c>
      <c r="L293">
        <f>IF($AB293="","",INDEX('Per Line'!$L$2:$L$4001,$AB293))</f>
        <v/>
      </c>
      <c r="M293" s="7">
        <f>IF($AB293="","",IF(AND(ISNUMBER(O293),O293&gt;0,Z293&gt;O293),L293*O293/100+(Z293-O293),L293*Z293/100))</f>
        <v/>
      </c>
      <c r="N293">
        <f>IF($AB293="","",INDEX('Per Line'!$V$2:$V$4001,$AB293)&amp;"")</f>
        <v/>
      </c>
      <c r="O293">
        <f>IF($AB293="","",INDEX('Per Line'!$Z$2:$Z$4001,$AB293))</f>
        <v/>
      </c>
      <c r="P293">
        <f>IF($AB293="","",IF(AND(ISNUMBER(O293),O293&gt;0),Z293&gt;O293,FALSE))</f>
        <v/>
      </c>
      <c r="Q293" s="7">
        <f>IF($AB293="","",SUMIFS('Per Line'!$U$2:$U$4001,'Per Line'!$C$2:$C$4001,$B293,'Per Line'!$AM$2:$AM$4001,1))</f>
        <v/>
      </c>
      <c r="R293">
        <f>IF($AB293="","",Settings!$C$7)</f>
        <v/>
      </c>
      <c r="S293" s="7">
        <f>IF($AB293="","",SUMIFS('Per Line'!$U$2:$U$4001,'Per Line'!$C$2:$C$4001,$B293,'Per Line'!$AL$2:$AL$4001,0,'Per Line'!$AM$2:$AM$4001,0))</f>
        <v/>
      </c>
      <c r="T293" s="7">
        <f>IF($AB293="","",S293*R293)</f>
        <v/>
      </c>
      <c r="U293">
        <f>IF($AB293="","",Settings!$C$6)</f>
        <v/>
      </c>
      <c r="V293" s="7">
        <f>IF($AB293="","",SUMIFS('Per Line'!$U$2:$U$4001,'Per Line'!$C$2:$C$4001,$B293,'Per Line'!$AL$2:$AL$4001,1,'Per Line'!$AM$2:$AM$4001,0))</f>
        <v/>
      </c>
      <c r="W293" s="7">
        <f>IF($AB293="","",V293*U293)</f>
        <v/>
      </c>
      <c r="X293" s="7">
        <f>IF($AB293="","",W293+T293)</f>
        <v/>
      </c>
      <c r="Y293" s="7">
        <f>IF($AB293="","",Z293-X293)</f>
        <v/>
      </c>
      <c r="Z293" s="7">
        <f>IF($AB293="","",S293+V293+Q293)</f>
        <v/>
      </c>
      <c r="AA293" s="7">
        <f>IF($AB293="","",Z293-X293-M293)</f>
        <v/>
      </c>
      <c r="AB293" s="13">
        <f>IF(ROWS($AB$2:$AB293)&lt;=MAX('Per Line'!$AK$2:$AK$4001),MATCH(ROWS($AB$2:$AB293),'Per Line'!$AK$2:$AK$4001,0),"")</f>
        <v/>
      </c>
      <c r="AC293" s="14">
        <f>IF($AB293="","",M293-L293*Z293/100)</f>
        <v/>
      </c>
    </row>
    <row r="294">
      <c r="A294" s="12" t="n"/>
      <c r="B294">
        <f>IF($AB294="","",INDEX('Per Line'!$C$2:$C$4001,$AB294)&amp;"")</f>
        <v/>
      </c>
      <c r="C294">
        <f>IF($AB294="","",INDEX('Per Line'!$D$2:$D$4001,$AB294)&amp;"")</f>
        <v/>
      </c>
      <c r="D294">
        <f>IF($AB294="","",INDEX('Per Line'!$B$2:$B$4001,$AB294)&amp;"")</f>
        <v/>
      </c>
      <c r="E294">
        <f>IF($AB294="","",INDEX('Per Line'!$A$2:$A$4001,$AB294))</f>
        <v/>
      </c>
      <c r="F294" s="11">
        <f>IF($AB294="","",INDEX('Per Line'!$E$2:$E$4001,$AB294))</f>
        <v/>
      </c>
      <c r="G294">
        <f>IF($AB294="","",INDEX('Per Line'!$F$2:$F$4001,$AB294)&amp;"")</f>
        <v/>
      </c>
      <c r="H294">
        <f>IF($AB294="","",INDEX('Per Line'!$H$2:$H$4001,$AB294)&amp;"")</f>
        <v/>
      </c>
      <c r="I294">
        <f>IF($AB294="","",INDEX('Per Line'!$I$2:$I$4001,$AB294)&amp;"")</f>
        <v/>
      </c>
      <c r="J294">
        <f>IF($AB294="","",INDEX('Per Line'!$J$2:$J$4001,$AB294)&amp;"")</f>
        <v/>
      </c>
      <c r="K294">
        <f>IF($AB294="","",INDEX('Per Line'!$K$2:$K$4001,$AB294)&amp;"")</f>
        <v/>
      </c>
      <c r="L294">
        <f>IF($AB294="","",INDEX('Per Line'!$L$2:$L$4001,$AB294))</f>
        <v/>
      </c>
      <c r="M294" s="7">
        <f>IF($AB294="","",IF(AND(ISNUMBER(O294),O294&gt;0,Z294&gt;O294),L294*O294/100+(Z294-O294),L294*Z294/100))</f>
        <v/>
      </c>
      <c r="N294">
        <f>IF($AB294="","",INDEX('Per Line'!$V$2:$V$4001,$AB294)&amp;"")</f>
        <v/>
      </c>
      <c r="O294">
        <f>IF($AB294="","",INDEX('Per Line'!$Z$2:$Z$4001,$AB294))</f>
        <v/>
      </c>
      <c r="P294">
        <f>IF($AB294="","",IF(AND(ISNUMBER(O294),O294&gt;0),Z294&gt;O294,FALSE))</f>
        <v/>
      </c>
      <c r="Q294" s="7">
        <f>IF($AB294="","",SUMIFS('Per Line'!$U$2:$U$4001,'Per Line'!$C$2:$C$4001,$B294,'Per Line'!$AM$2:$AM$4001,1))</f>
        <v/>
      </c>
      <c r="R294">
        <f>IF($AB294="","",Settings!$C$7)</f>
        <v/>
      </c>
      <c r="S294" s="7">
        <f>IF($AB294="","",SUMIFS('Per Line'!$U$2:$U$4001,'Per Line'!$C$2:$C$4001,$B294,'Per Line'!$AL$2:$AL$4001,0,'Per Line'!$AM$2:$AM$4001,0))</f>
        <v/>
      </c>
      <c r="T294" s="7">
        <f>IF($AB294="","",S294*R294)</f>
        <v/>
      </c>
      <c r="U294">
        <f>IF($AB294="","",Settings!$C$6)</f>
        <v/>
      </c>
      <c r="V294" s="7">
        <f>IF($AB294="","",SUMIFS('Per Line'!$U$2:$U$4001,'Per Line'!$C$2:$C$4001,$B294,'Per Line'!$AL$2:$AL$4001,1,'Per Line'!$AM$2:$AM$4001,0))</f>
        <v/>
      </c>
      <c r="W294" s="7">
        <f>IF($AB294="","",V294*U294)</f>
        <v/>
      </c>
      <c r="X294" s="7">
        <f>IF($AB294="","",W294+T294)</f>
        <v/>
      </c>
      <c r="Y294" s="7">
        <f>IF($AB294="","",Z294-X294)</f>
        <v/>
      </c>
      <c r="Z294" s="7">
        <f>IF($AB294="","",S294+V294+Q294)</f>
        <v/>
      </c>
      <c r="AA294" s="7">
        <f>IF($AB294="","",Z294-X294-M294)</f>
        <v/>
      </c>
      <c r="AB294" s="13">
        <f>IF(ROWS($AB$2:$AB294)&lt;=MAX('Per Line'!$AK$2:$AK$4001),MATCH(ROWS($AB$2:$AB294),'Per Line'!$AK$2:$AK$4001,0),"")</f>
        <v/>
      </c>
      <c r="AC294" s="14">
        <f>IF($AB294="","",M294-L294*Z294/100)</f>
        <v/>
      </c>
    </row>
    <row r="295">
      <c r="A295" s="12" t="n"/>
      <c r="B295">
        <f>IF($AB295="","",INDEX('Per Line'!$C$2:$C$4001,$AB295)&amp;"")</f>
        <v/>
      </c>
      <c r="C295">
        <f>IF($AB295="","",INDEX('Per Line'!$D$2:$D$4001,$AB295)&amp;"")</f>
        <v/>
      </c>
      <c r="D295">
        <f>IF($AB295="","",INDEX('Per Line'!$B$2:$B$4001,$AB295)&amp;"")</f>
        <v/>
      </c>
      <c r="E295">
        <f>IF($AB295="","",INDEX('Per Line'!$A$2:$A$4001,$AB295))</f>
        <v/>
      </c>
      <c r="F295" s="11">
        <f>IF($AB295="","",INDEX('Per Line'!$E$2:$E$4001,$AB295))</f>
        <v/>
      </c>
      <c r="G295">
        <f>IF($AB295="","",INDEX('Per Line'!$F$2:$F$4001,$AB295)&amp;"")</f>
        <v/>
      </c>
      <c r="H295">
        <f>IF($AB295="","",INDEX('Per Line'!$H$2:$H$4001,$AB295)&amp;"")</f>
        <v/>
      </c>
      <c r="I295">
        <f>IF($AB295="","",INDEX('Per Line'!$I$2:$I$4001,$AB295)&amp;"")</f>
        <v/>
      </c>
      <c r="J295">
        <f>IF($AB295="","",INDEX('Per Line'!$J$2:$J$4001,$AB295)&amp;"")</f>
        <v/>
      </c>
      <c r="K295">
        <f>IF($AB295="","",INDEX('Per Line'!$K$2:$K$4001,$AB295)&amp;"")</f>
        <v/>
      </c>
      <c r="L295">
        <f>IF($AB295="","",INDEX('Per Line'!$L$2:$L$4001,$AB295))</f>
        <v/>
      </c>
      <c r="M295" s="7">
        <f>IF($AB295="","",IF(AND(ISNUMBER(O295),O295&gt;0,Z295&gt;O295),L295*O295/100+(Z295-O295),L295*Z295/100))</f>
        <v/>
      </c>
      <c r="N295">
        <f>IF($AB295="","",INDEX('Per Line'!$V$2:$V$4001,$AB295)&amp;"")</f>
        <v/>
      </c>
      <c r="O295">
        <f>IF($AB295="","",INDEX('Per Line'!$Z$2:$Z$4001,$AB295))</f>
        <v/>
      </c>
      <c r="P295">
        <f>IF($AB295="","",IF(AND(ISNUMBER(O295),O295&gt;0),Z295&gt;O295,FALSE))</f>
        <v/>
      </c>
      <c r="Q295" s="7">
        <f>IF($AB295="","",SUMIFS('Per Line'!$U$2:$U$4001,'Per Line'!$C$2:$C$4001,$B295,'Per Line'!$AM$2:$AM$4001,1))</f>
        <v/>
      </c>
      <c r="R295">
        <f>IF($AB295="","",Settings!$C$7)</f>
        <v/>
      </c>
      <c r="S295" s="7">
        <f>IF($AB295="","",SUMIFS('Per Line'!$U$2:$U$4001,'Per Line'!$C$2:$C$4001,$B295,'Per Line'!$AL$2:$AL$4001,0,'Per Line'!$AM$2:$AM$4001,0))</f>
        <v/>
      </c>
      <c r="T295" s="7">
        <f>IF($AB295="","",S295*R295)</f>
        <v/>
      </c>
      <c r="U295">
        <f>IF($AB295="","",Settings!$C$6)</f>
        <v/>
      </c>
      <c r="V295" s="7">
        <f>IF($AB295="","",SUMIFS('Per Line'!$U$2:$U$4001,'Per Line'!$C$2:$C$4001,$B295,'Per Line'!$AL$2:$AL$4001,1,'Per Line'!$AM$2:$AM$4001,0))</f>
        <v/>
      </c>
      <c r="W295" s="7">
        <f>IF($AB295="","",V295*U295)</f>
        <v/>
      </c>
      <c r="X295" s="7">
        <f>IF($AB295="","",W295+T295)</f>
        <v/>
      </c>
      <c r="Y295" s="7">
        <f>IF($AB295="","",Z295-X295)</f>
        <v/>
      </c>
      <c r="Z295" s="7">
        <f>IF($AB295="","",S295+V295+Q295)</f>
        <v/>
      </c>
      <c r="AA295" s="7">
        <f>IF($AB295="","",Z295-X295-M295)</f>
        <v/>
      </c>
      <c r="AB295" s="13">
        <f>IF(ROWS($AB$2:$AB295)&lt;=MAX('Per Line'!$AK$2:$AK$4001),MATCH(ROWS($AB$2:$AB295),'Per Line'!$AK$2:$AK$4001,0),"")</f>
        <v/>
      </c>
      <c r="AC295" s="14">
        <f>IF($AB295="","",M295-L295*Z295/100)</f>
        <v/>
      </c>
    </row>
    <row r="296">
      <c r="A296" s="12" t="n"/>
      <c r="B296">
        <f>IF($AB296="","",INDEX('Per Line'!$C$2:$C$4001,$AB296)&amp;"")</f>
        <v/>
      </c>
      <c r="C296">
        <f>IF($AB296="","",INDEX('Per Line'!$D$2:$D$4001,$AB296)&amp;"")</f>
        <v/>
      </c>
      <c r="D296">
        <f>IF($AB296="","",INDEX('Per Line'!$B$2:$B$4001,$AB296)&amp;"")</f>
        <v/>
      </c>
      <c r="E296">
        <f>IF($AB296="","",INDEX('Per Line'!$A$2:$A$4001,$AB296))</f>
        <v/>
      </c>
      <c r="F296" s="11">
        <f>IF($AB296="","",INDEX('Per Line'!$E$2:$E$4001,$AB296))</f>
        <v/>
      </c>
      <c r="G296">
        <f>IF($AB296="","",INDEX('Per Line'!$F$2:$F$4001,$AB296)&amp;"")</f>
        <v/>
      </c>
      <c r="H296">
        <f>IF($AB296="","",INDEX('Per Line'!$H$2:$H$4001,$AB296)&amp;"")</f>
        <v/>
      </c>
      <c r="I296">
        <f>IF($AB296="","",INDEX('Per Line'!$I$2:$I$4001,$AB296)&amp;"")</f>
        <v/>
      </c>
      <c r="J296">
        <f>IF($AB296="","",INDEX('Per Line'!$J$2:$J$4001,$AB296)&amp;"")</f>
        <v/>
      </c>
      <c r="K296">
        <f>IF($AB296="","",INDEX('Per Line'!$K$2:$K$4001,$AB296)&amp;"")</f>
        <v/>
      </c>
      <c r="L296">
        <f>IF($AB296="","",INDEX('Per Line'!$L$2:$L$4001,$AB296))</f>
        <v/>
      </c>
      <c r="M296" s="7">
        <f>IF($AB296="","",IF(AND(ISNUMBER(O296),O296&gt;0,Z296&gt;O296),L296*O296/100+(Z296-O296),L296*Z296/100))</f>
        <v/>
      </c>
      <c r="N296">
        <f>IF($AB296="","",INDEX('Per Line'!$V$2:$V$4001,$AB296)&amp;"")</f>
        <v/>
      </c>
      <c r="O296">
        <f>IF($AB296="","",INDEX('Per Line'!$Z$2:$Z$4001,$AB296))</f>
        <v/>
      </c>
      <c r="P296">
        <f>IF($AB296="","",IF(AND(ISNUMBER(O296),O296&gt;0),Z296&gt;O296,FALSE))</f>
        <v/>
      </c>
      <c r="Q296" s="7">
        <f>IF($AB296="","",SUMIFS('Per Line'!$U$2:$U$4001,'Per Line'!$C$2:$C$4001,$B296,'Per Line'!$AM$2:$AM$4001,1))</f>
        <v/>
      </c>
      <c r="R296">
        <f>IF($AB296="","",Settings!$C$7)</f>
        <v/>
      </c>
      <c r="S296" s="7">
        <f>IF($AB296="","",SUMIFS('Per Line'!$U$2:$U$4001,'Per Line'!$C$2:$C$4001,$B296,'Per Line'!$AL$2:$AL$4001,0,'Per Line'!$AM$2:$AM$4001,0))</f>
        <v/>
      </c>
      <c r="T296" s="7">
        <f>IF($AB296="","",S296*R296)</f>
        <v/>
      </c>
      <c r="U296">
        <f>IF($AB296="","",Settings!$C$6)</f>
        <v/>
      </c>
      <c r="V296" s="7">
        <f>IF($AB296="","",SUMIFS('Per Line'!$U$2:$U$4001,'Per Line'!$C$2:$C$4001,$B296,'Per Line'!$AL$2:$AL$4001,1,'Per Line'!$AM$2:$AM$4001,0))</f>
        <v/>
      </c>
      <c r="W296" s="7">
        <f>IF($AB296="","",V296*U296)</f>
        <v/>
      </c>
      <c r="X296" s="7">
        <f>IF($AB296="","",W296+T296)</f>
        <v/>
      </c>
      <c r="Y296" s="7">
        <f>IF($AB296="","",Z296-X296)</f>
        <v/>
      </c>
      <c r="Z296" s="7">
        <f>IF($AB296="","",S296+V296+Q296)</f>
        <v/>
      </c>
      <c r="AA296" s="7">
        <f>IF($AB296="","",Z296-X296-M296)</f>
        <v/>
      </c>
      <c r="AB296" s="13">
        <f>IF(ROWS($AB$2:$AB296)&lt;=MAX('Per Line'!$AK$2:$AK$4001),MATCH(ROWS($AB$2:$AB296),'Per Line'!$AK$2:$AK$4001,0),"")</f>
        <v/>
      </c>
      <c r="AC296" s="14">
        <f>IF($AB296="","",M296-L296*Z296/100)</f>
        <v/>
      </c>
    </row>
    <row r="297">
      <c r="A297" s="12" t="n"/>
      <c r="B297">
        <f>IF($AB297="","",INDEX('Per Line'!$C$2:$C$4001,$AB297)&amp;"")</f>
        <v/>
      </c>
      <c r="C297">
        <f>IF($AB297="","",INDEX('Per Line'!$D$2:$D$4001,$AB297)&amp;"")</f>
        <v/>
      </c>
      <c r="D297">
        <f>IF($AB297="","",INDEX('Per Line'!$B$2:$B$4001,$AB297)&amp;"")</f>
        <v/>
      </c>
      <c r="E297">
        <f>IF($AB297="","",INDEX('Per Line'!$A$2:$A$4001,$AB297))</f>
        <v/>
      </c>
      <c r="F297" s="11">
        <f>IF($AB297="","",INDEX('Per Line'!$E$2:$E$4001,$AB297))</f>
        <v/>
      </c>
      <c r="G297">
        <f>IF($AB297="","",INDEX('Per Line'!$F$2:$F$4001,$AB297)&amp;"")</f>
        <v/>
      </c>
      <c r="H297">
        <f>IF($AB297="","",INDEX('Per Line'!$H$2:$H$4001,$AB297)&amp;"")</f>
        <v/>
      </c>
      <c r="I297">
        <f>IF($AB297="","",INDEX('Per Line'!$I$2:$I$4001,$AB297)&amp;"")</f>
        <v/>
      </c>
      <c r="J297">
        <f>IF($AB297="","",INDEX('Per Line'!$J$2:$J$4001,$AB297)&amp;"")</f>
        <v/>
      </c>
      <c r="K297">
        <f>IF($AB297="","",INDEX('Per Line'!$K$2:$K$4001,$AB297)&amp;"")</f>
        <v/>
      </c>
      <c r="L297">
        <f>IF($AB297="","",INDEX('Per Line'!$L$2:$L$4001,$AB297))</f>
        <v/>
      </c>
      <c r="M297" s="7">
        <f>IF($AB297="","",IF(AND(ISNUMBER(O297),O297&gt;0,Z297&gt;O297),L297*O297/100+(Z297-O297),L297*Z297/100))</f>
        <v/>
      </c>
      <c r="N297">
        <f>IF($AB297="","",INDEX('Per Line'!$V$2:$V$4001,$AB297)&amp;"")</f>
        <v/>
      </c>
      <c r="O297">
        <f>IF($AB297="","",INDEX('Per Line'!$Z$2:$Z$4001,$AB297))</f>
        <v/>
      </c>
      <c r="P297">
        <f>IF($AB297="","",IF(AND(ISNUMBER(O297),O297&gt;0),Z297&gt;O297,FALSE))</f>
        <v/>
      </c>
      <c r="Q297" s="7">
        <f>IF($AB297="","",SUMIFS('Per Line'!$U$2:$U$4001,'Per Line'!$C$2:$C$4001,$B297,'Per Line'!$AM$2:$AM$4001,1))</f>
        <v/>
      </c>
      <c r="R297">
        <f>IF($AB297="","",Settings!$C$7)</f>
        <v/>
      </c>
      <c r="S297" s="7">
        <f>IF($AB297="","",SUMIFS('Per Line'!$U$2:$U$4001,'Per Line'!$C$2:$C$4001,$B297,'Per Line'!$AL$2:$AL$4001,0,'Per Line'!$AM$2:$AM$4001,0))</f>
        <v/>
      </c>
      <c r="T297" s="7">
        <f>IF($AB297="","",S297*R297)</f>
        <v/>
      </c>
      <c r="U297">
        <f>IF($AB297="","",Settings!$C$6)</f>
        <v/>
      </c>
      <c r="V297" s="7">
        <f>IF($AB297="","",SUMIFS('Per Line'!$U$2:$U$4001,'Per Line'!$C$2:$C$4001,$B297,'Per Line'!$AL$2:$AL$4001,1,'Per Line'!$AM$2:$AM$4001,0))</f>
        <v/>
      </c>
      <c r="W297" s="7">
        <f>IF($AB297="","",V297*U297)</f>
        <v/>
      </c>
      <c r="X297" s="7">
        <f>IF($AB297="","",W297+T297)</f>
        <v/>
      </c>
      <c r="Y297" s="7">
        <f>IF($AB297="","",Z297-X297)</f>
        <v/>
      </c>
      <c r="Z297" s="7">
        <f>IF($AB297="","",S297+V297+Q297)</f>
        <v/>
      </c>
      <c r="AA297" s="7">
        <f>IF($AB297="","",Z297-X297-M297)</f>
        <v/>
      </c>
      <c r="AB297" s="13">
        <f>IF(ROWS($AB$2:$AB297)&lt;=MAX('Per Line'!$AK$2:$AK$4001),MATCH(ROWS($AB$2:$AB297),'Per Line'!$AK$2:$AK$4001,0),"")</f>
        <v/>
      </c>
      <c r="AC297" s="14">
        <f>IF($AB297="","",M297-L297*Z297/100)</f>
        <v/>
      </c>
    </row>
    <row r="298">
      <c r="A298" s="12" t="n"/>
      <c r="B298">
        <f>IF($AB298="","",INDEX('Per Line'!$C$2:$C$4001,$AB298)&amp;"")</f>
        <v/>
      </c>
      <c r="C298">
        <f>IF($AB298="","",INDEX('Per Line'!$D$2:$D$4001,$AB298)&amp;"")</f>
        <v/>
      </c>
      <c r="D298">
        <f>IF($AB298="","",INDEX('Per Line'!$B$2:$B$4001,$AB298)&amp;"")</f>
        <v/>
      </c>
      <c r="E298">
        <f>IF($AB298="","",INDEX('Per Line'!$A$2:$A$4001,$AB298))</f>
        <v/>
      </c>
      <c r="F298" s="11">
        <f>IF($AB298="","",INDEX('Per Line'!$E$2:$E$4001,$AB298))</f>
        <v/>
      </c>
      <c r="G298">
        <f>IF($AB298="","",INDEX('Per Line'!$F$2:$F$4001,$AB298)&amp;"")</f>
        <v/>
      </c>
      <c r="H298">
        <f>IF($AB298="","",INDEX('Per Line'!$H$2:$H$4001,$AB298)&amp;"")</f>
        <v/>
      </c>
      <c r="I298">
        <f>IF($AB298="","",INDEX('Per Line'!$I$2:$I$4001,$AB298)&amp;"")</f>
        <v/>
      </c>
      <c r="J298">
        <f>IF($AB298="","",INDEX('Per Line'!$J$2:$J$4001,$AB298)&amp;"")</f>
        <v/>
      </c>
      <c r="K298">
        <f>IF($AB298="","",INDEX('Per Line'!$K$2:$K$4001,$AB298)&amp;"")</f>
        <v/>
      </c>
      <c r="L298">
        <f>IF($AB298="","",INDEX('Per Line'!$L$2:$L$4001,$AB298))</f>
        <v/>
      </c>
      <c r="M298" s="7">
        <f>IF($AB298="","",IF(AND(ISNUMBER(O298),O298&gt;0,Z298&gt;O298),L298*O298/100+(Z298-O298),L298*Z298/100))</f>
        <v/>
      </c>
      <c r="N298">
        <f>IF($AB298="","",INDEX('Per Line'!$V$2:$V$4001,$AB298)&amp;"")</f>
        <v/>
      </c>
      <c r="O298">
        <f>IF($AB298="","",INDEX('Per Line'!$Z$2:$Z$4001,$AB298))</f>
        <v/>
      </c>
      <c r="P298">
        <f>IF($AB298="","",IF(AND(ISNUMBER(O298),O298&gt;0),Z298&gt;O298,FALSE))</f>
        <v/>
      </c>
      <c r="Q298" s="7">
        <f>IF($AB298="","",SUMIFS('Per Line'!$U$2:$U$4001,'Per Line'!$C$2:$C$4001,$B298,'Per Line'!$AM$2:$AM$4001,1))</f>
        <v/>
      </c>
      <c r="R298">
        <f>IF($AB298="","",Settings!$C$7)</f>
        <v/>
      </c>
      <c r="S298" s="7">
        <f>IF($AB298="","",SUMIFS('Per Line'!$U$2:$U$4001,'Per Line'!$C$2:$C$4001,$B298,'Per Line'!$AL$2:$AL$4001,0,'Per Line'!$AM$2:$AM$4001,0))</f>
        <v/>
      </c>
      <c r="T298" s="7">
        <f>IF($AB298="","",S298*R298)</f>
        <v/>
      </c>
      <c r="U298">
        <f>IF($AB298="","",Settings!$C$6)</f>
        <v/>
      </c>
      <c r="V298" s="7">
        <f>IF($AB298="","",SUMIFS('Per Line'!$U$2:$U$4001,'Per Line'!$C$2:$C$4001,$B298,'Per Line'!$AL$2:$AL$4001,1,'Per Line'!$AM$2:$AM$4001,0))</f>
        <v/>
      </c>
      <c r="W298" s="7">
        <f>IF($AB298="","",V298*U298)</f>
        <v/>
      </c>
      <c r="X298" s="7">
        <f>IF($AB298="","",W298+T298)</f>
        <v/>
      </c>
      <c r="Y298" s="7">
        <f>IF($AB298="","",Z298-X298)</f>
        <v/>
      </c>
      <c r="Z298" s="7">
        <f>IF($AB298="","",S298+V298+Q298)</f>
        <v/>
      </c>
      <c r="AA298" s="7">
        <f>IF($AB298="","",Z298-X298-M298)</f>
        <v/>
      </c>
      <c r="AB298" s="13">
        <f>IF(ROWS($AB$2:$AB298)&lt;=MAX('Per Line'!$AK$2:$AK$4001),MATCH(ROWS($AB$2:$AB298),'Per Line'!$AK$2:$AK$4001,0),"")</f>
        <v/>
      </c>
      <c r="AC298" s="14">
        <f>IF($AB298="","",M298-L298*Z298/100)</f>
        <v/>
      </c>
    </row>
    <row r="299">
      <c r="A299" s="12" t="n"/>
      <c r="B299">
        <f>IF($AB299="","",INDEX('Per Line'!$C$2:$C$4001,$AB299)&amp;"")</f>
        <v/>
      </c>
      <c r="C299">
        <f>IF($AB299="","",INDEX('Per Line'!$D$2:$D$4001,$AB299)&amp;"")</f>
        <v/>
      </c>
      <c r="D299">
        <f>IF($AB299="","",INDEX('Per Line'!$B$2:$B$4001,$AB299)&amp;"")</f>
        <v/>
      </c>
      <c r="E299">
        <f>IF($AB299="","",INDEX('Per Line'!$A$2:$A$4001,$AB299))</f>
        <v/>
      </c>
      <c r="F299" s="11">
        <f>IF($AB299="","",INDEX('Per Line'!$E$2:$E$4001,$AB299))</f>
        <v/>
      </c>
      <c r="G299">
        <f>IF($AB299="","",INDEX('Per Line'!$F$2:$F$4001,$AB299)&amp;"")</f>
        <v/>
      </c>
      <c r="H299">
        <f>IF($AB299="","",INDEX('Per Line'!$H$2:$H$4001,$AB299)&amp;"")</f>
        <v/>
      </c>
      <c r="I299">
        <f>IF($AB299="","",INDEX('Per Line'!$I$2:$I$4001,$AB299)&amp;"")</f>
        <v/>
      </c>
      <c r="J299">
        <f>IF($AB299="","",INDEX('Per Line'!$J$2:$J$4001,$AB299)&amp;"")</f>
        <v/>
      </c>
      <c r="K299">
        <f>IF($AB299="","",INDEX('Per Line'!$K$2:$K$4001,$AB299)&amp;"")</f>
        <v/>
      </c>
      <c r="L299">
        <f>IF($AB299="","",INDEX('Per Line'!$L$2:$L$4001,$AB299))</f>
        <v/>
      </c>
      <c r="M299" s="7">
        <f>IF($AB299="","",IF(AND(ISNUMBER(O299),O299&gt;0,Z299&gt;O299),L299*O299/100+(Z299-O299),L299*Z299/100))</f>
        <v/>
      </c>
      <c r="N299">
        <f>IF($AB299="","",INDEX('Per Line'!$V$2:$V$4001,$AB299)&amp;"")</f>
        <v/>
      </c>
      <c r="O299">
        <f>IF($AB299="","",INDEX('Per Line'!$Z$2:$Z$4001,$AB299))</f>
        <v/>
      </c>
      <c r="P299">
        <f>IF($AB299="","",IF(AND(ISNUMBER(O299),O299&gt;0),Z299&gt;O299,FALSE))</f>
        <v/>
      </c>
      <c r="Q299" s="7">
        <f>IF($AB299="","",SUMIFS('Per Line'!$U$2:$U$4001,'Per Line'!$C$2:$C$4001,$B299,'Per Line'!$AM$2:$AM$4001,1))</f>
        <v/>
      </c>
      <c r="R299">
        <f>IF($AB299="","",Settings!$C$7)</f>
        <v/>
      </c>
      <c r="S299" s="7">
        <f>IF($AB299="","",SUMIFS('Per Line'!$U$2:$U$4001,'Per Line'!$C$2:$C$4001,$B299,'Per Line'!$AL$2:$AL$4001,0,'Per Line'!$AM$2:$AM$4001,0))</f>
        <v/>
      </c>
      <c r="T299" s="7">
        <f>IF($AB299="","",S299*R299)</f>
        <v/>
      </c>
      <c r="U299">
        <f>IF($AB299="","",Settings!$C$6)</f>
        <v/>
      </c>
      <c r="V299" s="7">
        <f>IF($AB299="","",SUMIFS('Per Line'!$U$2:$U$4001,'Per Line'!$C$2:$C$4001,$B299,'Per Line'!$AL$2:$AL$4001,1,'Per Line'!$AM$2:$AM$4001,0))</f>
        <v/>
      </c>
      <c r="W299" s="7">
        <f>IF($AB299="","",V299*U299)</f>
        <v/>
      </c>
      <c r="X299" s="7">
        <f>IF($AB299="","",W299+T299)</f>
        <v/>
      </c>
      <c r="Y299" s="7">
        <f>IF($AB299="","",Z299-X299)</f>
        <v/>
      </c>
      <c r="Z299" s="7">
        <f>IF($AB299="","",S299+V299+Q299)</f>
        <v/>
      </c>
      <c r="AA299" s="7">
        <f>IF($AB299="","",Z299-X299-M299)</f>
        <v/>
      </c>
      <c r="AB299" s="13">
        <f>IF(ROWS($AB$2:$AB299)&lt;=MAX('Per Line'!$AK$2:$AK$4001),MATCH(ROWS($AB$2:$AB299),'Per Line'!$AK$2:$AK$4001,0),"")</f>
        <v/>
      </c>
      <c r="AC299" s="14">
        <f>IF($AB299="","",M299-L299*Z299/100)</f>
        <v/>
      </c>
    </row>
    <row r="300">
      <c r="A300" s="12" t="n"/>
      <c r="B300">
        <f>IF($AB300="","",INDEX('Per Line'!$C$2:$C$4001,$AB300)&amp;"")</f>
        <v/>
      </c>
      <c r="C300">
        <f>IF($AB300="","",INDEX('Per Line'!$D$2:$D$4001,$AB300)&amp;"")</f>
        <v/>
      </c>
      <c r="D300">
        <f>IF($AB300="","",INDEX('Per Line'!$B$2:$B$4001,$AB300)&amp;"")</f>
        <v/>
      </c>
      <c r="E300">
        <f>IF($AB300="","",INDEX('Per Line'!$A$2:$A$4001,$AB300))</f>
        <v/>
      </c>
      <c r="F300" s="11">
        <f>IF($AB300="","",INDEX('Per Line'!$E$2:$E$4001,$AB300))</f>
        <v/>
      </c>
      <c r="G300">
        <f>IF($AB300="","",INDEX('Per Line'!$F$2:$F$4001,$AB300)&amp;"")</f>
        <v/>
      </c>
      <c r="H300">
        <f>IF($AB300="","",INDEX('Per Line'!$H$2:$H$4001,$AB300)&amp;"")</f>
        <v/>
      </c>
      <c r="I300">
        <f>IF($AB300="","",INDEX('Per Line'!$I$2:$I$4001,$AB300)&amp;"")</f>
        <v/>
      </c>
      <c r="J300">
        <f>IF($AB300="","",INDEX('Per Line'!$J$2:$J$4001,$AB300)&amp;"")</f>
        <v/>
      </c>
      <c r="K300">
        <f>IF($AB300="","",INDEX('Per Line'!$K$2:$K$4001,$AB300)&amp;"")</f>
        <v/>
      </c>
      <c r="L300">
        <f>IF($AB300="","",INDEX('Per Line'!$L$2:$L$4001,$AB300))</f>
        <v/>
      </c>
      <c r="M300" s="7">
        <f>IF($AB300="","",IF(AND(ISNUMBER(O300),O300&gt;0,Z300&gt;O300),L300*O300/100+(Z300-O300),L300*Z300/100))</f>
        <v/>
      </c>
      <c r="N300">
        <f>IF($AB300="","",INDEX('Per Line'!$V$2:$V$4001,$AB300)&amp;"")</f>
        <v/>
      </c>
      <c r="O300">
        <f>IF($AB300="","",INDEX('Per Line'!$Z$2:$Z$4001,$AB300))</f>
        <v/>
      </c>
      <c r="P300">
        <f>IF($AB300="","",IF(AND(ISNUMBER(O300),O300&gt;0),Z300&gt;O300,FALSE))</f>
        <v/>
      </c>
      <c r="Q300" s="7">
        <f>IF($AB300="","",SUMIFS('Per Line'!$U$2:$U$4001,'Per Line'!$C$2:$C$4001,$B300,'Per Line'!$AM$2:$AM$4001,1))</f>
        <v/>
      </c>
      <c r="R300">
        <f>IF($AB300="","",Settings!$C$7)</f>
        <v/>
      </c>
      <c r="S300" s="7">
        <f>IF($AB300="","",SUMIFS('Per Line'!$U$2:$U$4001,'Per Line'!$C$2:$C$4001,$B300,'Per Line'!$AL$2:$AL$4001,0,'Per Line'!$AM$2:$AM$4001,0))</f>
        <v/>
      </c>
      <c r="T300" s="7">
        <f>IF($AB300="","",S300*R300)</f>
        <v/>
      </c>
      <c r="U300">
        <f>IF($AB300="","",Settings!$C$6)</f>
        <v/>
      </c>
      <c r="V300" s="7">
        <f>IF($AB300="","",SUMIFS('Per Line'!$U$2:$U$4001,'Per Line'!$C$2:$C$4001,$B300,'Per Line'!$AL$2:$AL$4001,1,'Per Line'!$AM$2:$AM$4001,0))</f>
        <v/>
      </c>
      <c r="W300" s="7">
        <f>IF($AB300="","",V300*U300)</f>
        <v/>
      </c>
      <c r="X300" s="7">
        <f>IF($AB300="","",W300+T300)</f>
        <v/>
      </c>
      <c r="Y300" s="7">
        <f>IF($AB300="","",Z300-X300)</f>
        <v/>
      </c>
      <c r="Z300" s="7">
        <f>IF($AB300="","",S300+V300+Q300)</f>
        <v/>
      </c>
      <c r="AA300" s="7">
        <f>IF($AB300="","",Z300-X300-M300)</f>
        <v/>
      </c>
      <c r="AB300" s="13">
        <f>IF(ROWS($AB$2:$AB300)&lt;=MAX('Per Line'!$AK$2:$AK$4001),MATCH(ROWS($AB$2:$AB300),'Per Line'!$AK$2:$AK$4001,0),"")</f>
        <v/>
      </c>
      <c r="AC300" s="14">
        <f>IF($AB300="","",M300-L300*Z300/100)</f>
        <v/>
      </c>
    </row>
    <row r="301">
      <c r="A301" s="12" t="n"/>
      <c r="B301">
        <f>IF($AB301="","",INDEX('Per Line'!$C$2:$C$4001,$AB301)&amp;"")</f>
        <v/>
      </c>
      <c r="C301">
        <f>IF($AB301="","",INDEX('Per Line'!$D$2:$D$4001,$AB301)&amp;"")</f>
        <v/>
      </c>
      <c r="D301">
        <f>IF($AB301="","",INDEX('Per Line'!$B$2:$B$4001,$AB301)&amp;"")</f>
        <v/>
      </c>
      <c r="E301">
        <f>IF($AB301="","",INDEX('Per Line'!$A$2:$A$4001,$AB301))</f>
        <v/>
      </c>
      <c r="F301" s="11">
        <f>IF($AB301="","",INDEX('Per Line'!$E$2:$E$4001,$AB301))</f>
        <v/>
      </c>
      <c r="G301">
        <f>IF($AB301="","",INDEX('Per Line'!$F$2:$F$4001,$AB301)&amp;"")</f>
        <v/>
      </c>
      <c r="H301">
        <f>IF($AB301="","",INDEX('Per Line'!$H$2:$H$4001,$AB301)&amp;"")</f>
        <v/>
      </c>
      <c r="I301">
        <f>IF($AB301="","",INDEX('Per Line'!$I$2:$I$4001,$AB301)&amp;"")</f>
        <v/>
      </c>
      <c r="J301">
        <f>IF($AB301="","",INDEX('Per Line'!$J$2:$J$4001,$AB301)&amp;"")</f>
        <v/>
      </c>
      <c r="K301">
        <f>IF($AB301="","",INDEX('Per Line'!$K$2:$K$4001,$AB301)&amp;"")</f>
        <v/>
      </c>
      <c r="L301">
        <f>IF($AB301="","",INDEX('Per Line'!$L$2:$L$4001,$AB301))</f>
        <v/>
      </c>
      <c r="M301" s="7">
        <f>IF($AB301="","",IF(AND(ISNUMBER(O301),O301&gt;0,Z301&gt;O301),L301*O301/100+(Z301-O301),L301*Z301/100))</f>
        <v/>
      </c>
      <c r="N301">
        <f>IF($AB301="","",INDEX('Per Line'!$V$2:$V$4001,$AB301)&amp;"")</f>
        <v/>
      </c>
      <c r="O301">
        <f>IF($AB301="","",INDEX('Per Line'!$Z$2:$Z$4001,$AB301))</f>
        <v/>
      </c>
      <c r="P301">
        <f>IF($AB301="","",IF(AND(ISNUMBER(O301),O301&gt;0),Z301&gt;O301,FALSE))</f>
        <v/>
      </c>
      <c r="Q301" s="7">
        <f>IF($AB301="","",SUMIFS('Per Line'!$U$2:$U$4001,'Per Line'!$C$2:$C$4001,$B301,'Per Line'!$AM$2:$AM$4001,1))</f>
        <v/>
      </c>
      <c r="R301">
        <f>IF($AB301="","",Settings!$C$7)</f>
        <v/>
      </c>
      <c r="S301" s="7">
        <f>IF($AB301="","",SUMIFS('Per Line'!$U$2:$U$4001,'Per Line'!$C$2:$C$4001,$B301,'Per Line'!$AL$2:$AL$4001,0,'Per Line'!$AM$2:$AM$4001,0))</f>
        <v/>
      </c>
      <c r="T301" s="7">
        <f>IF($AB301="","",S301*R301)</f>
        <v/>
      </c>
      <c r="U301">
        <f>IF($AB301="","",Settings!$C$6)</f>
        <v/>
      </c>
      <c r="V301" s="7">
        <f>IF($AB301="","",SUMIFS('Per Line'!$U$2:$U$4001,'Per Line'!$C$2:$C$4001,$B301,'Per Line'!$AL$2:$AL$4001,1,'Per Line'!$AM$2:$AM$4001,0))</f>
        <v/>
      </c>
      <c r="W301" s="7">
        <f>IF($AB301="","",V301*U301)</f>
        <v/>
      </c>
      <c r="X301" s="7">
        <f>IF($AB301="","",W301+T301)</f>
        <v/>
      </c>
      <c r="Y301" s="7">
        <f>IF($AB301="","",Z301-X301)</f>
        <v/>
      </c>
      <c r="Z301" s="7">
        <f>IF($AB301="","",S301+V301+Q301)</f>
        <v/>
      </c>
      <c r="AA301" s="7">
        <f>IF($AB301="","",Z301-X301-M301)</f>
        <v/>
      </c>
      <c r="AB301" s="13">
        <f>IF(ROWS($AB$2:$AB301)&lt;=MAX('Per Line'!$AK$2:$AK$4001),MATCH(ROWS($AB$2:$AB301),'Per Line'!$AK$2:$AK$4001,0),"")</f>
        <v/>
      </c>
      <c r="AC301" s="14">
        <f>IF($AB301="","",M301-L301*Z301/100)</f>
        <v/>
      </c>
    </row>
    <row r="302">
      <c r="A302" s="12" t="n"/>
      <c r="B302">
        <f>IF($AB302="","",INDEX('Per Line'!$C$2:$C$4001,$AB302)&amp;"")</f>
        <v/>
      </c>
      <c r="C302">
        <f>IF($AB302="","",INDEX('Per Line'!$D$2:$D$4001,$AB302)&amp;"")</f>
        <v/>
      </c>
      <c r="D302">
        <f>IF($AB302="","",INDEX('Per Line'!$B$2:$B$4001,$AB302)&amp;"")</f>
        <v/>
      </c>
      <c r="E302">
        <f>IF($AB302="","",INDEX('Per Line'!$A$2:$A$4001,$AB302))</f>
        <v/>
      </c>
      <c r="F302" s="11">
        <f>IF($AB302="","",INDEX('Per Line'!$E$2:$E$4001,$AB302))</f>
        <v/>
      </c>
      <c r="G302">
        <f>IF($AB302="","",INDEX('Per Line'!$F$2:$F$4001,$AB302)&amp;"")</f>
        <v/>
      </c>
      <c r="H302">
        <f>IF($AB302="","",INDEX('Per Line'!$H$2:$H$4001,$AB302)&amp;"")</f>
        <v/>
      </c>
      <c r="I302">
        <f>IF($AB302="","",INDEX('Per Line'!$I$2:$I$4001,$AB302)&amp;"")</f>
        <v/>
      </c>
      <c r="J302">
        <f>IF($AB302="","",INDEX('Per Line'!$J$2:$J$4001,$AB302)&amp;"")</f>
        <v/>
      </c>
      <c r="K302">
        <f>IF($AB302="","",INDEX('Per Line'!$K$2:$K$4001,$AB302)&amp;"")</f>
        <v/>
      </c>
      <c r="L302">
        <f>IF($AB302="","",INDEX('Per Line'!$L$2:$L$4001,$AB302))</f>
        <v/>
      </c>
      <c r="M302" s="7">
        <f>IF($AB302="","",IF(AND(ISNUMBER(O302),O302&gt;0,Z302&gt;O302),L302*O302/100+(Z302-O302),L302*Z302/100))</f>
        <v/>
      </c>
      <c r="N302">
        <f>IF($AB302="","",INDEX('Per Line'!$V$2:$V$4001,$AB302)&amp;"")</f>
        <v/>
      </c>
      <c r="O302">
        <f>IF($AB302="","",INDEX('Per Line'!$Z$2:$Z$4001,$AB302))</f>
        <v/>
      </c>
      <c r="P302">
        <f>IF($AB302="","",IF(AND(ISNUMBER(O302),O302&gt;0),Z302&gt;O302,FALSE))</f>
        <v/>
      </c>
      <c r="Q302" s="7">
        <f>IF($AB302="","",SUMIFS('Per Line'!$U$2:$U$4001,'Per Line'!$C$2:$C$4001,$B302,'Per Line'!$AM$2:$AM$4001,1))</f>
        <v/>
      </c>
      <c r="R302">
        <f>IF($AB302="","",Settings!$C$7)</f>
        <v/>
      </c>
      <c r="S302" s="7">
        <f>IF($AB302="","",SUMIFS('Per Line'!$U$2:$U$4001,'Per Line'!$C$2:$C$4001,$B302,'Per Line'!$AL$2:$AL$4001,0,'Per Line'!$AM$2:$AM$4001,0))</f>
        <v/>
      </c>
      <c r="T302" s="7">
        <f>IF($AB302="","",S302*R302)</f>
        <v/>
      </c>
      <c r="U302">
        <f>IF($AB302="","",Settings!$C$6)</f>
        <v/>
      </c>
      <c r="V302" s="7">
        <f>IF($AB302="","",SUMIFS('Per Line'!$U$2:$U$4001,'Per Line'!$C$2:$C$4001,$B302,'Per Line'!$AL$2:$AL$4001,1,'Per Line'!$AM$2:$AM$4001,0))</f>
        <v/>
      </c>
      <c r="W302" s="7">
        <f>IF($AB302="","",V302*U302)</f>
        <v/>
      </c>
      <c r="X302" s="7">
        <f>IF($AB302="","",W302+T302)</f>
        <v/>
      </c>
      <c r="Y302" s="7">
        <f>IF($AB302="","",Z302-X302)</f>
        <v/>
      </c>
      <c r="Z302" s="7">
        <f>IF($AB302="","",S302+V302+Q302)</f>
        <v/>
      </c>
      <c r="AA302" s="7">
        <f>IF($AB302="","",Z302-X302-M302)</f>
        <v/>
      </c>
      <c r="AB302" s="13">
        <f>IF(ROWS($AB$2:$AB302)&lt;=MAX('Per Line'!$AK$2:$AK$4001),MATCH(ROWS($AB$2:$AB302),'Per Line'!$AK$2:$AK$4001,0),"")</f>
        <v/>
      </c>
      <c r="AC302" s="14">
        <f>IF($AB302="","",M302-L302*Z302/100)</f>
        <v/>
      </c>
    </row>
    <row r="303">
      <c r="A303" s="12" t="n"/>
      <c r="B303">
        <f>IF($AB303="","",INDEX('Per Line'!$C$2:$C$4001,$AB303)&amp;"")</f>
        <v/>
      </c>
      <c r="C303">
        <f>IF($AB303="","",INDEX('Per Line'!$D$2:$D$4001,$AB303)&amp;"")</f>
        <v/>
      </c>
      <c r="D303">
        <f>IF($AB303="","",INDEX('Per Line'!$B$2:$B$4001,$AB303)&amp;"")</f>
        <v/>
      </c>
      <c r="E303">
        <f>IF($AB303="","",INDEX('Per Line'!$A$2:$A$4001,$AB303))</f>
        <v/>
      </c>
      <c r="F303" s="11">
        <f>IF($AB303="","",INDEX('Per Line'!$E$2:$E$4001,$AB303))</f>
        <v/>
      </c>
      <c r="G303">
        <f>IF($AB303="","",INDEX('Per Line'!$F$2:$F$4001,$AB303)&amp;"")</f>
        <v/>
      </c>
      <c r="H303">
        <f>IF($AB303="","",INDEX('Per Line'!$H$2:$H$4001,$AB303)&amp;"")</f>
        <v/>
      </c>
      <c r="I303">
        <f>IF($AB303="","",INDEX('Per Line'!$I$2:$I$4001,$AB303)&amp;"")</f>
        <v/>
      </c>
      <c r="J303">
        <f>IF($AB303="","",INDEX('Per Line'!$J$2:$J$4001,$AB303)&amp;"")</f>
        <v/>
      </c>
      <c r="K303">
        <f>IF($AB303="","",INDEX('Per Line'!$K$2:$K$4001,$AB303)&amp;"")</f>
        <v/>
      </c>
      <c r="L303">
        <f>IF($AB303="","",INDEX('Per Line'!$L$2:$L$4001,$AB303))</f>
        <v/>
      </c>
      <c r="M303" s="7">
        <f>IF($AB303="","",IF(AND(ISNUMBER(O303),O303&gt;0,Z303&gt;O303),L303*O303/100+(Z303-O303),L303*Z303/100))</f>
        <v/>
      </c>
      <c r="N303">
        <f>IF($AB303="","",INDEX('Per Line'!$V$2:$V$4001,$AB303)&amp;"")</f>
        <v/>
      </c>
      <c r="O303">
        <f>IF($AB303="","",INDEX('Per Line'!$Z$2:$Z$4001,$AB303))</f>
        <v/>
      </c>
      <c r="P303">
        <f>IF($AB303="","",IF(AND(ISNUMBER(O303),O303&gt;0),Z303&gt;O303,FALSE))</f>
        <v/>
      </c>
      <c r="Q303" s="7">
        <f>IF($AB303="","",SUMIFS('Per Line'!$U$2:$U$4001,'Per Line'!$C$2:$C$4001,$B303,'Per Line'!$AM$2:$AM$4001,1))</f>
        <v/>
      </c>
      <c r="R303">
        <f>IF($AB303="","",Settings!$C$7)</f>
        <v/>
      </c>
      <c r="S303" s="7">
        <f>IF($AB303="","",SUMIFS('Per Line'!$U$2:$U$4001,'Per Line'!$C$2:$C$4001,$B303,'Per Line'!$AL$2:$AL$4001,0,'Per Line'!$AM$2:$AM$4001,0))</f>
        <v/>
      </c>
      <c r="T303" s="7">
        <f>IF($AB303="","",S303*R303)</f>
        <v/>
      </c>
      <c r="U303">
        <f>IF($AB303="","",Settings!$C$6)</f>
        <v/>
      </c>
      <c r="V303" s="7">
        <f>IF($AB303="","",SUMIFS('Per Line'!$U$2:$U$4001,'Per Line'!$C$2:$C$4001,$B303,'Per Line'!$AL$2:$AL$4001,1,'Per Line'!$AM$2:$AM$4001,0))</f>
        <v/>
      </c>
      <c r="W303" s="7">
        <f>IF($AB303="","",V303*U303)</f>
        <v/>
      </c>
      <c r="X303" s="7">
        <f>IF($AB303="","",W303+T303)</f>
        <v/>
      </c>
      <c r="Y303" s="7">
        <f>IF($AB303="","",Z303-X303)</f>
        <v/>
      </c>
      <c r="Z303" s="7">
        <f>IF($AB303="","",S303+V303+Q303)</f>
        <v/>
      </c>
      <c r="AA303" s="7">
        <f>IF($AB303="","",Z303-X303-M303)</f>
        <v/>
      </c>
      <c r="AB303" s="13">
        <f>IF(ROWS($AB$2:$AB303)&lt;=MAX('Per Line'!$AK$2:$AK$4001),MATCH(ROWS($AB$2:$AB303),'Per Line'!$AK$2:$AK$4001,0),"")</f>
        <v/>
      </c>
      <c r="AC303" s="14">
        <f>IF($AB303="","",M303-L303*Z303/100)</f>
        <v/>
      </c>
    </row>
    <row r="304">
      <c r="A304" s="12" t="n"/>
      <c r="B304">
        <f>IF($AB304="","",INDEX('Per Line'!$C$2:$C$4001,$AB304)&amp;"")</f>
        <v/>
      </c>
      <c r="C304">
        <f>IF($AB304="","",INDEX('Per Line'!$D$2:$D$4001,$AB304)&amp;"")</f>
        <v/>
      </c>
      <c r="D304">
        <f>IF($AB304="","",INDEX('Per Line'!$B$2:$B$4001,$AB304)&amp;"")</f>
        <v/>
      </c>
      <c r="E304">
        <f>IF($AB304="","",INDEX('Per Line'!$A$2:$A$4001,$AB304))</f>
        <v/>
      </c>
      <c r="F304" s="11">
        <f>IF($AB304="","",INDEX('Per Line'!$E$2:$E$4001,$AB304))</f>
        <v/>
      </c>
      <c r="G304">
        <f>IF($AB304="","",INDEX('Per Line'!$F$2:$F$4001,$AB304)&amp;"")</f>
        <v/>
      </c>
      <c r="H304">
        <f>IF($AB304="","",INDEX('Per Line'!$H$2:$H$4001,$AB304)&amp;"")</f>
        <v/>
      </c>
      <c r="I304">
        <f>IF($AB304="","",INDEX('Per Line'!$I$2:$I$4001,$AB304)&amp;"")</f>
        <v/>
      </c>
      <c r="J304">
        <f>IF($AB304="","",INDEX('Per Line'!$J$2:$J$4001,$AB304)&amp;"")</f>
        <v/>
      </c>
      <c r="K304">
        <f>IF($AB304="","",INDEX('Per Line'!$K$2:$K$4001,$AB304)&amp;"")</f>
        <v/>
      </c>
      <c r="L304">
        <f>IF($AB304="","",INDEX('Per Line'!$L$2:$L$4001,$AB304))</f>
        <v/>
      </c>
      <c r="M304" s="7">
        <f>IF($AB304="","",IF(AND(ISNUMBER(O304),O304&gt;0,Z304&gt;O304),L304*O304/100+(Z304-O304),L304*Z304/100))</f>
        <v/>
      </c>
      <c r="N304">
        <f>IF($AB304="","",INDEX('Per Line'!$V$2:$V$4001,$AB304)&amp;"")</f>
        <v/>
      </c>
      <c r="O304">
        <f>IF($AB304="","",INDEX('Per Line'!$Z$2:$Z$4001,$AB304))</f>
        <v/>
      </c>
      <c r="P304">
        <f>IF($AB304="","",IF(AND(ISNUMBER(O304),O304&gt;0),Z304&gt;O304,FALSE))</f>
        <v/>
      </c>
      <c r="Q304" s="7">
        <f>IF($AB304="","",SUMIFS('Per Line'!$U$2:$U$4001,'Per Line'!$C$2:$C$4001,$B304,'Per Line'!$AM$2:$AM$4001,1))</f>
        <v/>
      </c>
      <c r="R304">
        <f>IF($AB304="","",Settings!$C$7)</f>
        <v/>
      </c>
      <c r="S304" s="7">
        <f>IF($AB304="","",SUMIFS('Per Line'!$U$2:$U$4001,'Per Line'!$C$2:$C$4001,$B304,'Per Line'!$AL$2:$AL$4001,0,'Per Line'!$AM$2:$AM$4001,0))</f>
        <v/>
      </c>
      <c r="T304" s="7">
        <f>IF($AB304="","",S304*R304)</f>
        <v/>
      </c>
      <c r="U304">
        <f>IF($AB304="","",Settings!$C$6)</f>
        <v/>
      </c>
      <c r="V304" s="7">
        <f>IF($AB304="","",SUMIFS('Per Line'!$U$2:$U$4001,'Per Line'!$C$2:$C$4001,$B304,'Per Line'!$AL$2:$AL$4001,1,'Per Line'!$AM$2:$AM$4001,0))</f>
        <v/>
      </c>
      <c r="W304" s="7">
        <f>IF($AB304="","",V304*U304)</f>
        <v/>
      </c>
      <c r="X304" s="7">
        <f>IF($AB304="","",W304+T304)</f>
        <v/>
      </c>
      <c r="Y304" s="7">
        <f>IF($AB304="","",Z304-X304)</f>
        <v/>
      </c>
      <c r="Z304" s="7">
        <f>IF($AB304="","",S304+V304+Q304)</f>
        <v/>
      </c>
      <c r="AA304" s="7">
        <f>IF($AB304="","",Z304-X304-M304)</f>
        <v/>
      </c>
      <c r="AB304" s="13">
        <f>IF(ROWS($AB$2:$AB304)&lt;=MAX('Per Line'!$AK$2:$AK$4001),MATCH(ROWS($AB$2:$AB304),'Per Line'!$AK$2:$AK$4001,0),"")</f>
        <v/>
      </c>
      <c r="AC304" s="14">
        <f>IF($AB304="","",M304-L304*Z304/100)</f>
        <v/>
      </c>
    </row>
    <row r="305">
      <c r="A305" s="12" t="n"/>
      <c r="B305">
        <f>IF($AB305="","",INDEX('Per Line'!$C$2:$C$4001,$AB305)&amp;"")</f>
        <v/>
      </c>
      <c r="C305">
        <f>IF($AB305="","",INDEX('Per Line'!$D$2:$D$4001,$AB305)&amp;"")</f>
        <v/>
      </c>
      <c r="D305">
        <f>IF($AB305="","",INDEX('Per Line'!$B$2:$B$4001,$AB305)&amp;"")</f>
        <v/>
      </c>
      <c r="E305">
        <f>IF($AB305="","",INDEX('Per Line'!$A$2:$A$4001,$AB305))</f>
        <v/>
      </c>
      <c r="F305" s="11">
        <f>IF($AB305="","",INDEX('Per Line'!$E$2:$E$4001,$AB305))</f>
        <v/>
      </c>
      <c r="G305">
        <f>IF($AB305="","",INDEX('Per Line'!$F$2:$F$4001,$AB305)&amp;"")</f>
        <v/>
      </c>
      <c r="H305">
        <f>IF($AB305="","",INDEX('Per Line'!$H$2:$H$4001,$AB305)&amp;"")</f>
        <v/>
      </c>
      <c r="I305">
        <f>IF($AB305="","",INDEX('Per Line'!$I$2:$I$4001,$AB305)&amp;"")</f>
        <v/>
      </c>
      <c r="J305">
        <f>IF($AB305="","",INDEX('Per Line'!$J$2:$J$4001,$AB305)&amp;"")</f>
        <v/>
      </c>
      <c r="K305">
        <f>IF($AB305="","",INDEX('Per Line'!$K$2:$K$4001,$AB305)&amp;"")</f>
        <v/>
      </c>
      <c r="L305">
        <f>IF($AB305="","",INDEX('Per Line'!$L$2:$L$4001,$AB305))</f>
        <v/>
      </c>
      <c r="M305" s="7">
        <f>IF($AB305="","",IF(AND(ISNUMBER(O305),O305&gt;0,Z305&gt;O305),L305*O305/100+(Z305-O305),L305*Z305/100))</f>
        <v/>
      </c>
      <c r="N305">
        <f>IF($AB305="","",INDEX('Per Line'!$V$2:$V$4001,$AB305)&amp;"")</f>
        <v/>
      </c>
      <c r="O305">
        <f>IF($AB305="","",INDEX('Per Line'!$Z$2:$Z$4001,$AB305))</f>
        <v/>
      </c>
      <c r="P305">
        <f>IF($AB305="","",IF(AND(ISNUMBER(O305),O305&gt;0),Z305&gt;O305,FALSE))</f>
        <v/>
      </c>
      <c r="Q305" s="7">
        <f>IF($AB305="","",SUMIFS('Per Line'!$U$2:$U$4001,'Per Line'!$C$2:$C$4001,$B305,'Per Line'!$AM$2:$AM$4001,1))</f>
        <v/>
      </c>
      <c r="R305">
        <f>IF($AB305="","",Settings!$C$7)</f>
        <v/>
      </c>
      <c r="S305" s="7">
        <f>IF($AB305="","",SUMIFS('Per Line'!$U$2:$U$4001,'Per Line'!$C$2:$C$4001,$B305,'Per Line'!$AL$2:$AL$4001,0,'Per Line'!$AM$2:$AM$4001,0))</f>
        <v/>
      </c>
      <c r="T305" s="7">
        <f>IF($AB305="","",S305*R305)</f>
        <v/>
      </c>
      <c r="U305">
        <f>IF($AB305="","",Settings!$C$6)</f>
        <v/>
      </c>
      <c r="V305" s="7">
        <f>IF($AB305="","",SUMIFS('Per Line'!$U$2:$U$4001,'Per Line'!$C$2:$C$4001,$B305,'Per Line'!$AL$2:$AL$4001,1,'Per Line'!$AM$2:$AM$4001,0))</f>
        <v/>
      </c>
      <c r="W305" s="7">
        <f>IF($AB305="","",V305*U305)</f>
        <v/>
      </c>
      <c r="X305" s="7">
        <f>IF($AB305="","",W305+T305)</f>
        <v/>
      </c>
      <c r="Y305" s="7">
        <f>IF($AB305="","",Z305-X305)</f>
        <v/>
      </c>
      <c r="Z305" s="7">
        <f>IF($AB305="","",S305+V305+Q305)</f>
        <v/>
      </c>
      <c r="AA305" s="7">
        <f>IF($AB305="","",Z305-X305-M305)</f>
        <v/>
      </c>
      <c r="AB305" s="13">
        <f>IF(ROWS($AB$2:$AB305)&lt;=MAX('Per Line'!$AK$2:$AK$4001),MATCH(ROWS($AB$2:$AB305),'Per Line'!$AK$2:$AK$4001,0),"")</f>
        <v/>
      </c>
      <c r="AC305" s="14">
        <f>IF($AB305="","",M305-L305*Z305/100)</f>
        <v/>
      </c>
    </row>
    <row r="306">
      <c r="A306" s="12" t="n"/>
      <c r="B306">
        <f>IF($AB306="","",INDEX('Per Line'!$C$2:$C$4001,$AB306)&amp;"")</f>
        <v/>
      </c>
      <c r="C306">
        <f>IF($AB306="","",INDEX('Per Line'!$D$2:$D$4001,$AB306)&amp;"")</f>
        <v/>
      </c>
      <c r="D306">
        <f>IF($AB306="","",INDEX('Per Line'!$B$2:$B$4001,$AB306)&amp;"")</f>
        <v/>
      </c>
      <c r="E306">
        <f>IF($AB306="","",INDEX('Per Line'!$A$2:$A$4001,$AB306))</f>
        <v/>
      </c>
      <c r="F306" s="11">
        <f>IF($AB306="","",INDEX('Per Line'!$E$2:$E$4001,$AB306))</f>
        <v/>
      </c>
      <c r="G306">
        <f>IF($AB306="","",INDEX('Per Line'!$F$2:$F$4001,$AB306)&amp;"")</f>
        <v/>
      </c>
      <c r="H306">
        <f>IF($AB306="","",INDEX('Per Line'!$H$2:$H$4001,$AB306)&amp;"")</f>
        <v/>
      </c>
      <c r="I306">
        <f>IF($AB306="","",INDEX('Per Line'!$I$2:$I$4001,$AB306)&amp;"")</f>
        <v/>
      </c>
      <c r="J306">
        <f>IF($AB306="","",INDEX('Per Line'!$J$2:$J$4001,$AB306)&amp;"")</f>
        <v/>
      </c>
      <c r="K306">
        <f>IF($AB306="","",INDEX('Per Line'!$K$2:$K$4001,$AB306)&amp;"")</f>
        <v/>
      </c>
      <c r="L306">
        <f>IF($AB306="","",INDEX('Per Line'!$L$2:$L$4001,$AB306))</f>
        <v/>
      </c>
      <c r="M306" s="7">
        <f>IF($AB306="","",IF(AND(ISNUMBER(O306),O306&gt;0,Z306&gt;O306),L306*O306/100+(Z306-O306),L306*Z306/100))</f>
        <v/>
      </c>
      <c r="N306">
        <f>IF($AB306="","",INDEX('Per Line'!$V$2:$V$4001,$AB306)&amp;"")</f>
        <v/>
      </c>
      <c r="O306">
        <f>IF($AB306="","",INDEX('Per Line'!$Z$2:$Z$4001,$AB306))</f>
        <v/>
      </c>
      <c r="P306">
        <f>IF($AB306="","",IF(AND(ISNUMBER(O306),O306&gt;0),Z306&gt;O306,FALSE))</f>
        <v/>
      </c>
      <c r="Q306" s="7">
        <f>IF($AB306="","",SUMIFS('Per Line'!$U$2:$U$4001,'Per Line'!$C$2:$C$4001,$B306,'Per Line'!$AM$2:$AM$4001,1))</f>
        <v/>
      </c>
      <c r="R306">
        <f>IF($AB306="","",Settings!$C$7)</f>
        <v/>
      </c>
      <c r="S306" s="7">
        <f>IF($AB306="","",SUMIFS('Per Line'!$U$2:$U$4001,'Per Line'!$C$2:$C$4001,$B306,'Per Line'!$AL$2:$AL$4001,0,'Per Line'!$AM$2:$AM$4001,0))</f>
        <v/>
      </c>
      <c r="T306" s="7">
        <f>IF($AB306="","",S306*R306)</f>
        <v/>
      </c>
      <c r="U306">
        <f>IF($AB306="","",Settings!$C$6)</f>
        <v/>
      </c>
      <c r="V306" s="7">
        <f>IF($AB306="","",SUMIFS('Per Line'!$U$2:$U$4001,'Per Line'!$C$2:$C$4001,$B306,'Per Line'!$AL$2:$AL$4001,1,'Per Line'!$AM$2:$AM$4001,0))</f>
        <v/>
      </c>
      <c r="W306" s="7">
        <f>IF($AB306="","",V306*U306)</f>
        <v/>
      </c>
      <c r="X306" s="7">
        <f>IF($AB306="","",W306+T306)</f>
        <v/>
      </c>
      <c r="Y306" s="7">
        <f>IF($AB306="","",Z306-X306)</f>
        <v/>
      </c>
      <c r="Z306" s="7">
        <f>IF($AB306="","",S306+V306+Q306)</f>
        <v/>
      </c>
      <c r="AA306" s="7">
        <f>IF($AB306="","",Z306-X306-M306)</f>
        <v/>
      </c>
      <c r="AB306" s="13">
        <f>IF(ROWS($AB$2:$AB306)&lt;=MAX('Per Line'!$AK$2:$AK$4001),MATCH(ROWS($AB$2:$AB306),'Per Line'!$AK$2:$AK$4001,0),"")</f>
        <v/>
      </c>
      <c r="AC306" s="14">
        <f>IF($AB306="","",M306-L306*Z306/100)</f>
        <v/>
      </c>
    </row>
    <row r="307">
      <c r="A307" s="12" t="n"/>
      <c r="B307">
        <f>IF($AB307="","",INDEX('Per Line'!$C$2:$C$4001,$AB307)&amp;"")</f>
        <v/>
      </c>
      <c r="C307">
        <f>IF($AB307="","",INDEX('Per Line'!$D$2:$D$4001,$AB307)&amp;"")</f>
        <v/>
      </c>
      <c r="D307">
        <f>IF($AB307="","",INDEX('Per Line'!$B$2:$B$4001,$AB307)&amp;"")</f>
        <v/>
      </c>
      <c r="E307">
        <f>IF($AB307="","",INDEX('Per Line'!$A$2:$A$4001,$AB307))</f>
        <v/>
      </c>
      <c r="F307" s="11">
        <f>IF($AB307="","",INDEX('Per Line'!$E$2:$E$4001,$AB307))</f>
        <v/>
      </c>
      <c r="G307">
        <f>IF($AB307="","",INDEX('Per Line'!$F$2:$F$4001,$AB307)&amp;"")</f>
        <v/>
      </c>
      <c r="H307">
        <f>IF($AB307="","",INDEX('Per Line'!$H$2:$H$4001,$AB307)&amp;"")</f>
        <v/>
      </c>
      <c r="I307">
        <f>IF($AB307="","",INDEX('Per Line'!$I$2:$I$4001,$AB307)&amp;"")</f>
        <v/>
      </c>
      <c r="J307">
        <f>IF($AB307="","",INDEX('Per Line'!$J$2:$J$4001,$AB307)&amp;"")</f>
        <v/>
      </c>
      <c r="K307">
        <f>IF($AB307="","",INDEX('Per Line'!$K$2:$K$4001,$AB307)&amp;"")</f>
        <v/>
      </c>
      <c r="L307">
        <f>IF($AB307="","",INDEX('Per Line'!$L$2:$L$4001,$AB307))</f>
        <v/>
      </c>
      <c r="M307" s="7">
        <f>IF($AB307="","",IF(AND(ISNUMBER(O307),O307&gt;0,Z307&gt;O307),L307*O307/100+(Z307-O307),L307*Z307/100))</f>
        <v/>
      </c>
      <c r="N307">
        <f>IF($AB307="","",INDEX('Per Line'!$V$2:$V$4001,$AB307)&amp;"")</f>
        <v/>
      </c>
      <c r="O307">
        <f>IF($AB307="","",INDEX('Per Line'!$Z$2:$Z$4001,$AB307))</f>
        <v/>
      </c>
      <c r="P307">
        <f>IF($AB307="","",IF(AND(ISNUMBER(O307),O307&gt;0),Z307&gt;O307,FALSE))</f>
        <v/>
      </c>
      <c r="Q307" s="7">
        <f>IF($AB307="","",SUMIFS('Per Line'!$U$2:$U$4001,'Per Line'!$C$2:$C$4001,$B307,'Per Line'!$AM$2:$AM$4001,1))</f>
        <v/>
      </c>
      <c r="R307">
        <f>IF($AB307="","",Settings!$C$7)</f>
        <v/>
      </c>
      <c r="S307" s="7">
        <f>IF($AB307="","",SUMIFS('Per Line'!$U$2:$U$4001,'Per Line'!$C$2:$C$4001,$B307,'Per Line'!$AL$2:$AL$4001,0,'Per Line'!$AM$2:$AM$4001,0))</f>
        <v/>
      </c>
      <c r="T307" s="7">
        <f>IF($AB307="","",S307*R307)</f>
        <v/>
      </c>
      <c r="U307">
        <f>IF($AB307="","",Settings!$C$6)</f>
        <v/>
      </c>
      <c r="V307" s="7">
        <f>IF($AB307="","",SUMIFS('Per Line'!$U$2:$U$4001,'Per Line'!$C$2:$C$4001,$B307,'Per Line'!$AL$2:$AL$4001,1,'Per Line'!$AM$2:$AM$4001,0))</f>
        <v/>
      </c>
      <c r="W307" s="7">
        <f>IF($AB307="","",V307*U307)</f>
        <v/>
      </c>
      <c r="X307" s="7">
        <f>IF($AB307="","",W307+T307)</f>
        <v/>
      </c>
      <c r="Y307" s="7">
        <f>IF($AB307="","",Z307-X307)</f>
        <v/>
      </c>
      <c r="Z307" s="7">
        <f>IF($AB307="","",S307+V307+Q307)</f>
        <v/>
      </c>
      <c r="AA307" s="7">
        <f>IF($AB307="","",Z307-X307-M307)</f>
        <v/>
      </c>
      <c r="AB307" s="13">
        <f>IF(ROWS($AB$2:$AB307)&lt;=MAX('Per Line'!$AK$2:$AK$4001),MATCH(ROWS($AB$2:$AB307),'Per Line'!$AK$2:$AK$4001,0),"")</f>
        <v/>
      </c>
      <c r="AC307" s="14">
        <f>IF($AB307="","",M307-L307*Z307/100)</f>
        <v/>
      </c>
    </row>
    <row r="308">
      <c r="A308" s="12" t="n"/>
      <c r="B308">
        <f>IF($AB308="","",INDEX('Per Line'!$C$2:$C$4001,$AB308)&amp;"")</f>
        <v/>
      </c>
      <c r="C308">
        <f>IF($AB308="","",INDEX('Per Line'!$D$2:$D$4001,$AB308)&amp;"")</f>
        <v/>
      </c>
      <c r="D308">
        <f>IF($AB308="","",INDEX('Per Line'!$B$2:$B$4001,$AB308)&amp;"")</f>
        <v/>
      </c>
      <c r="E308">
        <f>IF($AB308="","",INDEX('Per Line'!$A$2:$A$4001,$AB308))</f>
        <v/>
      </c>
      <c r="F308" s="11">
        <f>IF($AB308="","",INDEX('Per Line'!$E$2:$E$4001,$AB308))</f>
        <v/>
      </c>
      <c r="G308">
        <f>IF($AB308="","",INDEX('Per Line'!$F$2:$F$4001,$AB308)&amp;"")</f>
        <v/>
      </c>
      <c r="H308">
        <f>IF($AB308="","",INDEX('Per Line'!$H$2:$H$4001,$AB308)&amp;"")</f>
        <v/>
      </c>
      <c r="I308">
        <f>IF($AB308="","",INDEX('Per Line'!$I$2:$I$4001,$AB308)&amp;"")</f>
        <v/>
      </c>
      <c r="J308">
        <f>IF($AB308="","",INDEX('Per Line'!$J$2:$J$4001,$AB308)&amp;"")</f>
        <v/>
      </c>
      <c r="K308">
        <f>IF($AB308="","",INDEX('Per Line'!$K$2:$K$4001,$AB308)&amp;"")</f>
        <v/>
      </c>
      <c r="L308">
        <f>IF($AB308="","",INDEX('Per Line'!$L$2:$L$4001,$AB308))</f>
        <v/>
      </c>
      <c r="M308" s="7">
        <f>IF($AB308="","",IF(AND(ISNUMBER(O308),O308&gt;0,Z308&gt;O308),L308*O308/100+(Z308-O308),L308*Z308/100))</f>
        <v/>
      </c>
      <c r="N308">
        <f>IF($AB308="","",INDEX('Per Line'!$V$2:$V$4001,$AB308)&amp;"")</f>
        <v/>
      </c>
      <c r="O308">
        <f>IF($AB308="","",INDEX('Per Line'!$Z$2:$Z$4001,$AB308))</f>
        <v/>
      </c>
      <c r="P308">
        <f>IF($AB308="","",IF(AND(ISNUMBER(O308),O308&gt;0),Z308&gt;O308,FALSE))</f>
        <v/>
      </c>
      <c r="Q308" s="7">
        <f>IF($AB308="","",SUMIFS('Per Line'!$U$2:$U$4001,'Per Line'!$C$2:$C$4001,$B308,'Per Line'!$AM$2:$AM$4001,1))</f>
        <v/>
      </c>
      <c r="R308">
        <f>IF($AB308="","",Settings!$C$7)</f>
        <v/>
      </c>
      <c r="S308" s="7">
        <f>IF($AB308="","",SUMIFS('Per Line'!$U$2:$U$4001,'Per Line'!$C$2:$C$4001,$B308,'Per Line'!$AL$2:$AL$4001,0,'Per Line'!$AM$2:$AM$4001,0))</f>
        <v/>
      </c>
      <c r="T308" s="7">
        <f>IF($AB308="","",S308*R308)</f>
        <v/>
      </c>
      <c r="U308">
        <f>IF($AB308="","",Settings!$C$6)</f>
        <v/>
      </c>
      <c r="V308" s="7">
        <f>IF($AB308="","",SUMIFS('Per Line'!$U$2:$U$4001,'Per Line'!$C$2:$C$4001,$B308,'Per Line'!$AL$2:$AL$4001,1,'Per Line'!$AM$2:$AM$4001,0))</f>
        <v/>
      </c>
      <c r="W308" s="7">
        <f>IF($AB308="","",V308*U308)</f>
        <v/>
      </c>
      <c r="X308" s="7">
        <f>IF($AB308="","",W308+T308)</f>
        <v/>
      </c>
      <c r="Y308" s="7">
        <f>IF($AB308="","",Z308-X308)</f>
        <v/>
      </c>
      <c r="Z308" s="7">
        <f>IF($AB308="","",S308+V308+Q308)</f>
        <v/>
      </c>
      <c r="AA308" s="7">
        <f>IF($AB308="","",Z308-X308-M308)</f>
        <v/>
      </c>
      <c r="AB308" s="13">
        <f>IF(ROWS($AB$2:$AB308)&lt;=MAX('Per Line'!$AK$2:$AK$4001),MATCH(ROWS($AB$2:$AB308),'Per Line'!$AK$2:$AK$4001,0),"")</f>
        <v/>
      </c>
      <c r="AC308" s="14">
        <f>IF($AB308="","",M308-L308*Z308/100)</f>
        <v/>
      </c>
    </row>
    <row r="309">
      <c r="A309" s="12" t="n"/>
      <c r="B309">
        <f>IF($AB309="","",INDEX('Per Line'!$C$2:$C$4001,$AB309)&amp;"")</f>
        <v/>
      </c>
      <c r="C309">
        <f>IF($AB309="","",INDEX('Per Line'!$D$2:$D$4001,$AB309)&amp;"")</f>
        <v/>
      </c>
      <c r="D309">
        <f>IF($AB309="","",INDEX('Per Line'!$B$2:$B$4001,$AB309)&amp;"")</f>
        <v/>
      </c>
      <c r="E309">
        <f>IF($AB309="","",INDEX('Per Line'!$A$2:$A$4001,$AB309))</f>
        <v/>
      </c>
      <c r="F309" s="11">
        <f>IF($AB309="","",INDEX('Per Line'!$E$2:$E$4001,$AB309))</f>
        <v/>
      </c>
      <c r="G309">
        <f>IF($AB309="","",INDEX('Per Line'!$F$2:$F$4001,$AB309)&amp;"")</f>
        <v/>
      </c>
      <c r="H309">
        <f>IF($AB309="","",INDEX('Per Line'!$H$2:$H$4001,$AB309)&amp;"")</f>
        <v/>
      </c>
      <c r="I309">
        <f>IF($AB309="","",INDEX('Per Line'!$I$2:$I$4001,$AB309)&amp;"")</f>
        <v/>
      </c>
      <c r="J309">
        <f>IF($AB309="","",INDEX('Per Line'!$J$2:$J$4001,$AB309)&amp;"")</f>
        <v/>
      </c>
      <c r="K309">
        <f>IF($AB309="","",INDEX('Per Line'!$K$2:$K$4001,$AB309)&amp;"")</f>
        <v/>
      </c>
      <c r="L309">
        <f>IF($AB309="","",INDEX('Per Line'!$L$2:$L$4001,$AB309))</f>
        <v/>
      </c>
      <c r="M309" s="7">
        <f>IF($AB309="","",IF(AND(ISNUMBER(O309),O309&gt;0,Z309&gt;O309),L309*O309/100+(Z309-O309),L309*Z309/100))</f>
        <v/>
      </c>
      <c r="N309">
        <f>IF($AB309="","",INDEX('Per Line'!$V$2:$V$4001,$AB309)&amp;"")</f>
        <v/>
      </c>
      <c r="O309">
        <f>IF($AB309="","",INDEX('Per Line'!$Z$2:$Z$4001,$AB309))</f>
        <v/>
      </c>
      <c r="P309">
        <f>IF($AB309="","",IF(AND(ISNUMBER(O309),O309&gt;0),Z309&gt;O309,FALSE))</f>
        <v/>
      </c>
      <c r="Q309" s="7">
        <f>IF($AB309="","",SUMIFS('Per Line'!$U$2:$U$4001,'Per Line'!$C$2:$C$4001,$B309,'Per Line'!$AM$2:$AM$4001,1))</f>
        <v/>
      </c>
      <c r="R309">
        <f>IF($AB309="","",Settings!$C$7)</f>
        <v/>
      </c>
      <c r="S309" s="7">
        <f>IF($AB309="","",SUMIFS('Per Line'!$U$2:$U$4001,'Per Line'!$C$2:$C$4001,$B309,'Per Line'!$AL$2:$AL$4001,0,'Per Line'!$AM$2:$AM$4001,0))</f>
        <v/>
      </c>
      <c r="T309" s="7">
        <f>IF($AB309="","",S309*R309)</f>
        <v/>
      </c>
      <c r="U309">
        <f>IF($AB309="","",Settings!$C$6)</f>
        <v/>
      </c>
      <c r="V309" s="7">
        <f>IF($AB309="","",SUMIFS('Per Line'!$U$2:$U$4001,'Per Line'!$C$2:$C$4001,$B309,'Per Line'!$AL$2:$AL$4001,1,'Per Line'!$AM$2:$AM$4001,0))</f>
        <v/>
      </c>
      <c r="W309" s="7">
        <f>IF($AB309="","",V309*U309)</f>
        <v/>
      </c>
      <c r="X309" s="7">
        <f>IF($AB309="","",W309+T309)</f>
        <v/>
      </c>
      <c r="Y309" s="7">
        <f>IF($AB309="","",Z309-X309)</f>
        <v/>
      </c>
      <c r="Z309" s="7">
        <f>IF($AB309="","",S309+V309+Q309)</f>
        <v/>
      </c>
      <c r="AA309" s="7">
        <f>IF($AB309="","",Z309-X309-M309)</f>
        <v/>
      </c>
      <c r="AB309" s="13">
        <f>IF(ROWS($AB$2:$AB309)&lt;=MAX('Per Line'!$AK$2:$AK$4001),MATCH(ROWS($AB$2:$AB309),'Per Line'!$AK$2:$AK$4001,0),"")</f>
        <v/>
      </c>
      <c r="AC309" s="14">
        <f>IF($AB309="","",M309-L309*Z309/100)</f>
        <v/>
      </c>
    </row>
    <row r="310">
      <c r="A310" s="12" t="n"/>
      <c r="B310">
        <f>IF($AB310="","",INDEX('Per Line'!$C$2:$C$4001,$AB310)&amp;"")</f>
        <v/>
      </c>
      <c r="C310">
        <f>IF($AB310="","",INDEX('Per Line'!$D$2:$D$4001,$AB310)&amp;"")</f>
        <v/>
      </c>
      <c r="D310">
        <f>IF($AB310="","",INDEX('Per Line'!$B$2:$B$4001,$AB310)&amp;"")</f>
        <v/>
      </c>
      <c r="E310">
        <f>IF($AB310="","",INDEX('Per Line'!$A$2:$A$4001,$AB310))</f>
        <v/>
      </c>
      <c r="F310" s="11">
        <f>IF($AB310="","",INDEX('Per Line'!$E$2:$E$4001,$AB310))</f>
        <v/>
      </c>
      <c r="G310">
        <f>IF($AB310="","",INDEX('Per Line'!$F$2:$F$4001,$AB310)&amp;"")</f>
        <v/>
      </c>
      <c r="H310">
        <f>IF($AB310="","",INDEX('Per Line'!$H$2:$H$4001,$AB310)&amp;"")</f>
        <v/>
      </c>
      <c r="I310">
        <f>IF($AB310="","",INDEX('Per Line'!$I$2:$I$4001,$AB310)&amp;"")</f>
        <v/>
      </c>
      <c r="J310">
        <f>IF($AB310="","",INDEX('Per Line'!$J$2:$J$4001,$AB310)&amp;"")</f>
        <v/>
      </c>
      <c r="K310">
        <f>IF($AB310="","",INDEX('Per Line'!$K$2:$K$4001,$AB310)&amp;"")</f>
        <v/>
      </c>
      <c r="L310">
        <f>IF($AB310="","",INDEX('Per Line'!$L$2:$L$4001,$AB310))</f>
        <v/>
      </c>
      <c r="M310" s="7">
        <f>IF($AB310="","",IF(AND(ISNUMBER(O310),O310&gt;0,Z310&gt;O310),L310*O310/100+(Z310-O310),L310*Z310/100))</f>
        <v/>
      </c>
      <c r="N310">
        <f>IF($AB310="","",INDEX('Per Line'!$V$2:$V$4001,$AB310)&amp;"")</f>
        <v/>
      </c>
      <c r="O310">
        <f>IF($AB310="","",INDEX('Per Line'!$Z$2:$Z$4001,$AB310))</f>
        <v/>
      </c>
      <c r="P310">
        <f>IF($AB310="","",IF(AND(ISNUMBER(O310),O310&gt;0),Z310&gt;O310,FALSE))</f>
        <v/>
      </c>
      <c r="Q310" s="7">
        <f>IF($AB310="","",SUMIFS('Per Line'!$U$2:$U$4001,'Per Line'!$C$2:$C$4001,$B310,'Per Line'!$AM$2:$AM$4001,1))</f>
        <v/>
      </c>
      <c r="R310">
        <f>IF($AB310="","",Settings!$C$7)</f>
        <v/>
      </c>
      <c r="S310" s="7">
        <f>IF($AB310="","",SUMIFS('Per Line'!$U$2:$U$4001,'Per Line'!$C$2:$C$4001,$B310,'Per Line'!$AL$2:$AL$4001,0,'Per Line'!$AM$2:$AM$4001,0))</f>
        <v/>
      </c>
      <c r="T310" s="7">
        <f>IF($AB310="","",S310*R310)</f>
        <v/>
      </c>
      <c r="U310">
        <f>IF($AB310="","",Settings!$C$6)</f>
        <v/>
      </c>
      <c r="V310" s="7">
        <f>IF($AB310="","",SUMIFS('Per Line'!$U$2:$U$4001,'Per Line'!$C$2:$C$4001,$B310,'Per Line'!$AL$2:$AL$4001,1,'Per Line'!$AM$2:$AM$4001,0))</f>
        <v/>
      </c>
      <c r="W310" s="7">
        <f>IF($AB310="","",V310*U310)</f>
        <v/>
      </c>
      <c r="X310" s="7">
        <f>IF($AB310="","",W310+T310)</f>
        <v/>
      </c>
      <c r="Y310" s="7">
        <f>IF($AB310="","",Z310-X310)</f>
        <v/>
      </c>
      <c r="Z310" s="7">
        <f>IF($AB310="","",S310+V310+Q310)</f>
        <v/>
      </c>
      <c r="AA310" s="7">
        <f>IF($AB310="","",Z310-X310-M310)</f>
        <v/>
      </c>
      <c r="AB310" s="13">
        <f>IF(ROWS($AB$2:$AB310)&lt;=MAX('Per Line'!$AK$2:$AK$4001),MATCH(ROWS($AB$2:$AB310),'Per Line'!$AK$2:$AK$4001,0),"")</f>
        <v/>
      </c>
      <c r="AC310" s="14">
        <f>IF($AB310="","",M310-L310*Z310/100)</f>
        <v/>
      </c>
    </row>
    <row r="311">
      <c r="A311" s="12" t="n"/>
      <c r="B311">
        <f>IF($AB311="","",INDEX('Per Line'!$C$2:$C$4001,$AB311)&amp;"")</f>
        <v/>
      </c>
      <c r="C311">
        <f>IF($AB311="","",INDEX('Per Line'!$D$2:$D$4001,$AB311)&amp;"")</f>
        <v/>
      </c>
      <c r="D311">
        <f>IF($AB311="","",INDEX('Per Line'!$B$2:$B$4001,$AB311)&amp;"")</f>
        <v/>
      </c>
      <c r="E311">
        <f>IF($AB311="","",INDEX('Per Line'!$A$2:$A$4001,$AB311))</f>
        <v/>
      </c>
      <c r="F311" s="11">
        <f>IF($AB311="","",INDEX('Per Line'!$E$2:$E$4001,$AB311))</f>
        <v/>
      </c>
      <c r="G311">
        <f>IF($AB311="","",INDEX('Per Line'!$F$2:$F$4001,$AB311)&amp;"")</f>
        <v/>
      </c>
      <c r="H311">
        <f>IF($AB311="","",INDEX('Per Line'!$H$2:$H$4001,$AB311)&amp;"")</f>
        <v/>
      </c>
      <c r="I311">
        <f>IF($AB311="","",INDEX('Per Line'!$I$2:$I$4001,$AB311)&amp;"")</f>
        <v/>
      </c>
      <c r="J311">
        <f>IF($AB311="","",INDEX('Per Line'!$J$2:$J$4001,$AB311)&amp;"")</f>
        <v/>
      </c>
      <c r="K311">
        <f>IF($AB311="","",INDEX('Per Line'!$K$2:$K$4001,$AB311)&amp;"")</f>
        <v/>
      </c>
      <c r="L311">
        <f>IF($AB311="","",INDEX('Per Line'!$L$2:$L$4001,$AB311))</f>
        <v/>
      </c>
      <c r="M311" s="7">
        <f>IF($AB311="","",IF(AND(ISNUMBER(O311),O311&gt;0,Z311&gt;O311),L311*O311/100+(Z311-O311),L311*Z311/100))</f>
        <v/>
      </c>
      <c r="N311">
        <f>IF($AB311="","",INDEX('Per Line'!$V$2:$V$4001,$AB311)&amp;"")</f>
        <v/>
      </c>
      <c r="O311">
        <f>IF($AB311="","",INDEX('Per Line'!$Z$2:$Z$4001,$AB311))</f>
        <v/>
      </c>
      <c r="P311">
        <f>IF($AB311="","",IF(AND(ISNUMBER(O311),O311&gt;0),Z311&gt;O311,FALSE))</f>
        <v/>
      </c>
      <c r="Q311" s="7">
        <f>IF($AB311="","",SUMIFS('Per Line'!$U$2:$U$4001,'Per Line'!$C$2:$C$4001,$B311,'Per Line'!$AM$2:$AM$4001,1))</f>
        <v/>
      </c>
      <c r="R311">
        <f>IF($AB311="","",Settings!$C$7)</f>
        <v/>
      </c>
      <c r="S311" s="7">
        <f>IF($AB311="","",SUMIFS('Per Line'!$U$2:$U$4001,'Per Line'!$C$2:$C$4001,$B311,'Per Line'!$AL$2:$AL$4001,0,'Per Line'!$AM$2:$AM$4001,0))</f>
        <v/>
      </c>
      <c r="T311" s="7">
        <f>IF($AB311="","",S311*R311)</f>
        <v/>
      </c>
      <c r="U311">
        <f>IF($AB311="","",Settings!$C$6)</f>
        <v/>
      </c>
      <c r="V311" s="7">
        <f>IF($AB311="","",SUMIFS('Per Line'!$U$2:$U$4001,'Per Line'!$C$2:$C$4001,$B311,'Per Line'!$AL$2:$AL$4001,1,'Per Line'!$AM$2:$AM$4001,0))</f>
        <v/>
      </c>
      <c r="W311" s="7">
        <f>IF($AB311="","",V311*U311)</f>
        <v/>
      </c>
      <c r="X311" s="7">
        <f>IF($AB311="","",W311+T311)</f>
        <v/>
      </c>
      <c r="Y311" s="7">
        <f>IF($AB311="","",Z311-X311)</f>
        <v/>
      </c>
      <c r="Z311" s="7">
        <f>IF($AB311="","",S311+V311+Q311)</f>
        <v/>
      </c>
      <c r="AA311" s="7">
        <f>IF($AB311="","",Z311-X311-M311)</f>
        <v/>
      </c>
      <c r="AB311" s="13">
        <f>IF(ROWS($AB$2:$AB311)&lt;=MAX('Per Line'!$AK$2:$AK$4001),MATCH(ROWS($AB$2:$AB311),'Per Line'!$AK$2:$AK$4001,0),"")</f>
        <v/>
      </c>
      <c r="AC311" s="14">
        <f>IF($AB311="","",M311-L311*Z311/100)</f>
        <v/>
      </c>
    </row>
    <row r="312">
      <c r="A312" s="12" t="n"/>
      <c r="B312">
        <f>IF($AB312="","",INDEX('Per Line'!$C$2:$C$4001,$AB312)&amp;"")</f>
        <v/>
      </c>
      <c r="C312">
        <f>IF($AB312="","",INDEX('Per Line'!$D$2:$D$4001,$AB312)&amp;"")</f>
        <v/>
      </c>
      <c r="D312">
        <f>IF($AB312="","",INDEX('Per Line'!$B$2:$B$4001,$AB312)&amp;"")</f>
        <v/>
      </c>
      <c r="E312">
        <f>IF($AB312="","",INDEX('Per Line'!$A$2:$A$4001,$AB312))</f>
        <v/>
      </c>
      <c r="F312" s="11">
        <f>IF($AB312="","",INDEX('Per Line'!$E$2:$E$4001,$AB312))</f>
        <v/>
      </c>
      <c r="G312">
        <f>IF($AB312="","",INDEX('Per Line'!$F$2:$F$4001,$AB312)&amp;"")</f>
        <v/>
      </c>
      <c r="H312">
        <f>IF($AB312="","",INDEX('Per Line'!$H$2:$H$4001,$AB312)&amp;"")</f>
        <v/>
      </c>
      <c r="I312">
        <f>IF($AB312="","",INDEX('Per Line'!$I$2:$I$4001,$AB312)&amp;"")</f>
        <v/>
      </c>
      <c r="J312">
        <f>IF($AB312="","",INDEX('Per Line'!$J$2:$J$4001,$AB312)&amp;"")</f>
        <v/>
      </c>
      <c r="K312">
        <f>IF($AB312="","",INDEX('Per Line'!$K$2:$K$4001,$AB312)&amp;"")</f>
        <v/>
      </c>
      <c r="L312">
        <f>IF($AB312="","",INDEX('Per Line'!$L$2:$L$4001,$AB312))</f>
        <v/>
      </c>
      <c r="M312" s="7">
        <f>IF($AB312="","",IF(AND(ISNUMBER(O312),O312&gt;0,Z312&gt;O312),L312*O312/100+(Z312-O312),L312*Z312/100))</f>
        <v/>
      </c>
      <c r="N312">
        <f>IF($AB312="","",INDEX('Per Line'!$V$2:$V$4001,$AB312)&amp;"")</f>
        <v/>
      </c>
      <c r="O312">
        <f>IF($AB312="","",INDEX('Per Line'!$Z$2:$Z$4001,$AB312))</f>
        <v/>
      </c>
      <c r="P312">
        <f>IF($AB312="","",IF(AND(ISNUMBER(O312),O312&gt;0),Z312&gt;O312,FALSE))</f>
        <v/>
      </c>
      <c r="Q312" s="7">
        <f>IF($AB312="","",SUMIFS('Per Line'!$U$2:$U$4001,'Per Line'!$C$2:$C$4001,$B312,'Per Line'!$AM$2:$AM$4001,1))</f>
        <v/>
      </c>
      <c r="R312">
        <f>IF($AB312="","",Settings!$C$7)</f>
        <v/>
      </c>
      <c r="S312" s="7">
        <f>IF($AB312="","",SUMIFS('Per Line'!$U$2:$U$4001,'Per Line'!$C$2:$C$4001,$B312,'Per Line'!$AL$2:$AL$4001,0,'Per Line'!$AM$2:$AM$4001,0))</f>
        <v/>
      </c>
      <c r="T312" s="7">
        <f>IF($AB312="","",S312*R312)</f>
        <v/>
      </c>
      <c r="U312">
        <f>IF($AB312="","",Settings!$C$6)</f>
        <v/>
      </c>
      <c r="V312" s="7">
        <f>IF($AB312="","",SUMIFS('Per Line'!$U$2:$U$4001,'Per Line'!$C$2:$C$4001,$B312,'Per Line'!$AL$2:$AL$4001,1,'Per Line'!$AM$2:$AM$4001,0))</f>
        <v/>
      </c>
      <c r="W312" s="7">
        <f>IF($AB312="","",V312*U312)</f>
        <v/>
      </c>
      <c r="X312" s="7">
        <f>IF($AB312="","",W312+T312)</f>
        <v/>
      </c>
      <c r="Y312" s="7">
        <f>IF($AB312="","",Z312-X312)</f>
        <v/>
      </c>
      <c r="Z312" s="7">
        <f>IF($AB312="","",S312+V312+Q312)</f>
        <v/>
      </c>
      <c r="AA312" s="7">
        <f>IF($AB312="","",Z312-X312-M312)</f>
        <v/>
      </c>
      <c r="AB312" s="13">
        <f>IF(ROWS($AB$2:$AB312)&lt;=MAX('Per Line'!$AK$2:$AK$4001),MATCH(ROWS($AB$2:$AB312),'Per Line'!$AK$2:$AK$4001,0),"")</f>
        <v/>
      </c>
      <c r="AC312" s="14">
        <f>IF($AB312="","",M312-L312*Z312/100)</f>
        <v/>
      </c>
    </row>
    <row r="313">
      <c r="A313" s="12" t="n"/>
      <c r="B313">
        <f>IF($AB313="","",INDEX('Per Line'!$C$2:$C$4001,$AB313)&amp;"")</f>
        <v/>
      </c>
      <c r="C313">
        <f>IF($AB313="","",INDEX('Per Line'!$D$2:$D$4001,$AB313)&amp;"")</f>
        <v/>
      </c>
      <c r="D313">
        <f>IF($AB313="","",INDEX('Per Line'!$B$2:$B$4001,$AB313)&amp;"")</f>
        <v/>
      </c>
      <c r="E313">
        <f>IF($AB313="","",INDEX('Per Line'!$A$2:$A$4001,$AB313))</f>
        <v/>
      </c>
      <c r="F313" s="11">
        <f>IF($AB313="","",INDEX('Per Line'!$E$2:$E$4001,$AB313))</f>
        <v/>
      </c>
      <c r="G313">
        <f>IF($AB313="","",INDEX('Per Line'!$F$2:$F$4001,$AB313)&amp;"")</f>
        <v/>
      </c>
      <c r="H313">
        <f>IF($AB313="","",INDEX('Per Line'!$H$2:$H$4001,$AB313)&amp;"")</f>
        <v/>
      </c>
      <c r="I313">
        <f>IF($AB313="","",INDEX('Per Line'!$I$2:$I$4001,$AB313)&amp;"")</f>
        <v/>
      </c>
      <c r="J313">
        <f>IF($AB313="","",INDEX('Per Line'!$J$2:$J$4001,$AB313)&amp;"")</f>
        <v/>
      </c>
      <c r="K313">
        <f>IF($AB313="","",INDEX('Per Line'!$K$2:$K$4001,$AB313)&amp;"")</f>
        <v/>
      </c>
      <c r="L313">
        <f>IF($AB313="","",INDEX('Per Line'!$L$2:$L$4001,$AB313))</f>
        <v/>
      </c>
      <c r="M313" s="7">
        <f>IF($AB313="","",IF(AND(ISNUMBER(O313),O313&gt;0,Z313&gt;O313),L313*O313/100+(Z313-O313),L313*Z313/100))</f>
        <v/>
      </c>
      <c r="N313">
        <f>IF($AB313="","",INDEX('Per Line'!$V$2:$V$4001,$AB313)&amp;"")</f>
        <v/>
      </c>
      <c r="O313">
        <f>IF($AB313="","",INDEX('Per Line'!$Z$2:$Z$4001,$AB313))</f>
        <v/>
      </c>
      <c r="P313">
        <f>IF($AB313="","",IF(AND(ISNUMBER(O313),O313&gt;0),Z313&gt;O313,FALSE))</f>
        <v/>
      </c>
      <c r="Q313" s="7">
        <f>IF($AB313="","",SUMIFS('Per Line'!$U$2:$U$4001,'Per Line'!$C$2:$C$4001,$B313,'Per Line'!$AM$2:$AM$4001,1))</f>
        <v/>
      </c>
      <c r="R313">
        <f>IF($AB313="","",Settings!$C$7)</f>
        <v/>
      </c>
      <c r="S313" s="7">
        <f>IF($AB313="","",SUMIFS('Per Line'!$U$2:$U$4001,'Per Line'!$C$2:$C$4001,$B313,'Per Line'!$AL$2:$AL$4001,0,'Per Line'!$AM$2:$AM$4001,0))</f>
        <v/>
      </c>
      <c r="T313" s="7">
        <f>IF($AB313="","",S313*R313)</f>
        <v/>
      </c>
      <c r="U313">
        <f>IF($AB313="","",Settings!$C$6)</f>
        <v/>
      </c>
      <c r="V313" s="7">
        <f>IF($AB313="","",SUMIFS('Per Line'!$U$2:$U$4001,'Per Line'!$C$2:$C$4001,$B313,'Per Line'!$AL$2:$AL$4001,1,'Per Line'!$AM$2:$AM$4001,0))</f>
        <v/>
      </c>
      <c r="W313" s="7">
        <f>IF($AB313="","",V313*U313)</f>
        <v/>
      </c>
      <c r="X313" s="7">
        <f>IF($AB313="","",W313+T313)</f>
        <v/>
      </c>
      <c r="Y313" s="7">
        <f>IF($AB313="","",Z313-X313)</f>
        <v/>
      </c>
      <c r="Z313" s="7">
        <f>IF($AB313="","",S313+V313+Q313)</f>
        <v/>
      </c>
      <c r="AA313" s="7">
        <f>IF($AB313="","",Z313-X313-M313)</f>
        <v/>
      </c>
      <c r="AB313" s="13">
        <f>IF(ROWS($AB$2:$AB313)&lt;=MAX('Per Line'!$AK$2:$AK$4001),MATCH(ROWS($AB$2:$AB313),'Per Line'!$AK$2:$AK$4001,0),"")</f>
        <v/>
      </c>
      <c r="AC313" s="14">
        <f>IF($AB313="","",M313-L313*Z313/100)</f>
        <v/>
      </c>
    </row>
    <row r="314">
      <c r="A314" s="12" t="n"/>
      <c r="B314">
        <f>IF($AB314="","",INDEX('Per Line'!$C$2:$C$4001,$AB314)&amp;"")</f>
        <v/>
      </c>
      <c r="C314">
        <f>IF($AB314="","",INDEX('Per Line'!$D$2:$D$4001,$AB314)&amp;"")</f>
        <v/>
      </c>
      <c r="D314">
        <f>IF($AB314="","",INDEX('Per Line'!$B$2:$B$4001,$AB314)&amp;"")</f>
        <v/>
      </c>
      <c r="E314">
        <f>IF($AB314="","",INDEX('Per Line'!$A$2:$A$4001,$AB314))</f>
        <v/>
      </c>
      <c r="F314" s="11">
        <f>IF($AB314="","",INDEX('Per Line'!$E$2:$E$4001,$AB314))</f>
        <v/>
      </c>
      <c r="G314">
        <f>IF($AB314="","",INDEX('Per Line'!$F$2:$F$4001,$AB314)&amp;"")</f>
        <v/>
      </c>
      <c r="H314">
        <f>IF($AB314="","",INDEX('Per Line'!$H$2:$H$4001,$AB314)&amp;"")</f>
        <v/>
      </c>
      <c r="I314">
        <f>IF($AB314="","",INDEX('Per Line'!$I$2:$I$4001,$AB314)&amp;"")</f>
        <v/>
      </c>
      <c r="J314">
        <f>IF($AB314="","",INDEX('Per Line'!$J$2:$J$4001,$AB314)&amp;"")</f>
        <v/>
      </c>
      <c r="K314">
        <f>IF($AB314="","",INDEX('Per Line'!$K$2:$K$4001,$AB314)&amp;"")</f>
        <v/>
      </c>
      <c r="L314">
        <f>IF($AB314="","",INDEX('Per Line'!$L$2:$L$4001,$AB314))</f>
        <v/>
      </c>
      <c r="M314" s="7">
        <f>IF($AB314="","",IF(AND(ISNUMBER(O314),O314&gt;0,Z314&gt;O314),L314*O314/100+(Z314-O314),L314*Z314/100))</f>
        <v/>
      </c>
      <c r="N314">
        <f>IF($AB314="","",INDEX('Per Line'!$V$2:$V$4001,$AB314)&amp;"")</f>
        <v/>
      </c>
      <c r="O314">
        <f>IF($AB314="","",INDEX('Per Line'!$Z$2:$Z$4001,$AB314))</f>
        <v/>
      </c>
      <c r="P314">
        <f>IF($AB314="","",IF(AND(ISNUMBER(O314),O314&gt;0),Z314&gt;O314,FALSE))</f>
        <v/>
      </c>
      <c r="Q314" s="7">
        <f>IF($AB314="","",SUMIFS('Per Line'!$U$2:$U$4001,'Per Line'!$C$2:$C$4001,$B314,'Per Line'!$AM$2:$AM$4001,1))</f>
        <v/>
      </c>
      <c r="R314">
        <f>IF($AB314="","",Settings!$C$7)</f>
        <v/>
      </c>
      <c r="S314" s="7">
        <f>IF($AB314="","",SUMIFS('Per Line'!$U$2:$U$4001,'Per Line'!$C$2:$C$4001,$B314,'Per Line'!$AL$2:$AL$4001,0,'Per Line'!$AM$2:$AM$4001,0))</f>
        <v/>
      </c>
      <c r="T314" s="7">
        <f>IF($AB314="","",S314*R314)</f>
        <v/>
      </c>
      <c r="U314">
        <f>IF($AB314="","",Settings!$C$6)</f>
        <v/>
      </c>
      <c r="V314" s="7">
        <f>IF($AB314="","",SUMIFS('Per Line'!$U$2:$U$4001,'Per Line'!$C$2:$C$4001,$B314,'Per Line'!$AL$2:$AL$4001,1,'Per Line'!$AM$2:$AM$4001,0))</f>
        <v/>
      </c>
      <c r="W314" s="7">
        <f>IF($AB314="","",V314*U314)</f>
        <v/>
      </c>
      <c r="X314" s="7">
        <f>IF($AB314="","",W314+T314)</f>
        <v/>
      </c>
      <c r="Y314" s="7">
        <f>IF($AB314="","",Z314-X314)</f>
        <v/>
      </c>
      <c r="Z314" s="7">
        <f>IF($AB314="","",S314+V314+Q314)</f>
        <v/>
      </c>
      <c r="AA314" s="7">
        <f>IF($AB314="","",Z314-X314-M314)</f>
        <v/>
      </c>
      <c r="AB314" s="13">
        <f>IF(ROWS($AB$2:$AB314)&lt;=MAX('Per Line'!$AK$2:$AK$4001),MATCH(ROWS($AB$2:$AB314),'Per Line'!$AK$2:$AK$4001,0),"")</f>
        <v/>
      </c>
      <c r="AC314" s="14">
        <f>IF($AB314="","",M314-L314*Z314/100)</f>
        <v/>
      </c>
    </row>
    <row r="315">
      <c r="A315" s="12" t="n"/>
      <c r="B315">
        <f>IF($AB315="","",INDEX('Per Line'!$C$2:$C$4001,$AB315)&amp;"")</f>
        <v/>
      </c>
      <c r="C315">
        <f>IF($AB315="","",INDEX('Per Line'!$D$2:$D$4001,$AB315)&amp;"")</f>
        <v/>
      </c>
      <c r="D315">
        <f>IF($AB315="","",INDEX('Per Line'!$B$2:$B$4001,$AB315)&amp;"")</f>
        <v/>
      </c>
      <c r="E315">
        <f>IF($AB315="","",INDEX('Per Line'!$A$2:$A$4001,$AB315))</f>
        <v/>
      </c>
      <c r="F315" s="11">
        <f>IF($AB315="","",INDEX('Per Line'!$E$2:$E$4001,$AB315))</f>
        <v/>
      </c>
      <c r="G315">
        <f>IF($AB315="","",INDEX('Per Line'!$F$2:$F$4001,$AB315)&amp;"")</f>
        <v/>
      </c>
      <c r="H315">
        <f>IF($AB315="","",INDEX('Per Line'!$H$2:$H$4001,$AB315)&amp;"")</f>
        <v/>
      </c>
      <c r="I315">
        <f>IF($AB315="","",INDEX('Per Line'!$I$2:$I$4001,$AB315)&amp;"")</f>
        <v/>
      </c>
      <c r="J315">
        <f>IF($AB315="","",INDEX('Per Line'!$J$2:$J$4001,$AB315)&amp;"")</f>
        <v/>
      </c>
      <c r="K315">
        <f>IF($AB315="","",INDEX('Per Line'!$K$2:$K$4001,$AB315)&amp;"")</f>
        <v/>
      </c>
      <c r="L315">
        <f>IF($AB315="","",INDEX('Per Line'!$L$2:$L$4001,$AB315))</f>
        <v/>
      </c>
      <c r="M315" s="7">
        <f>IF($AB315="","",IF(AND(ISNUMBER(O315),O315&gt;0,Z315&gt;O315),L315*O315/100+(Z315-O315),L315*Z315/100))</f>
        <v/>
      </c>
      <c r="N315">
        <f>IF($AB315="","",INDEX('Per Line'!$V$2:$V$4001,$AB315)&amp;"")</f>
        <v/>
      </c>
      <c r="O315">
        <f>IF($AB315="","",INDEX('Per Line'!$Z$2:$Z$4001,$AB315))</f>
        <v/>
      </c>
      <c r="P315">
        <f>IF($AB315="","",IF(AND(ISNUMBER(O315),O315&gt;0),Z315&gt;O315,FALSE))</f>
        <v/>
      </c>
      <c r="Q315" s="7">
        <f>IF($AB315="","",SUMIFS('Per Line'!$U$2:$U$4001,'Per Line'!$C$2:$C$4001,$B315,'Per Line'!$AM$2:$AM$4001,1))</f>
        <v/>
      </c>
      <c r="R315">
        <f>IF($AB315="","",Settings!$C$7)</f>
        <v/>
      </c>
      <c r="S315" s="7">
        <f>IF($AB315="","",SUMIFS('Per Line'!$U$2:$U$4001,'Per Line'!$C$2:$C$4001,$B315,'Per Line'!$AL$2:$AL$4001,0,'Per Line'!$AM$2:$AM$4001,0))</f>
        <v/>
      </c>
      <c r="T315" s="7">
        <f>IF($AB315="","",S315*R315)</f>
        <v/>
      </c>
      <c r="U315">
        <f>IF($AB315="","",Settings!$C$6)</f>
        <v/>
      </c>
      <c r="V315" s="7">
        <f>IF($AB315="","",SUMIFS('Per Line'!$U$2:$U$4001,'Per Line'!$C$2:$C$4001,$B315,'Per Line'!$AL$2:$AL$4001,1,'Per Line'!$AM$2:$AM$4001,0))</f>
        <v/>
      </c>
      <c r="W315" s="7">
        <f>IF($AB315="","",V315*U315)</f>
        <v/>
      </c>
      <c r="X315" s="7">
        <f>IF($AB315="","",W315+T315)</f>
        <v/>
      </c>
      <c r="Y315" s="7">
        <f>IF($AB315="","",Z315-X315)</f>
        <v/>
      </c>
      <c r="Z315" s="7">
        <f>IF($AB315="","",S315+V315+Q315)</f>
        <v/>
      </c>
      <c r="AA315" s="7">
        <f>IF($AB315="","",Z315-X315-M315)</f>
        <v/>
      </c>
      <c r="AB315" s="13">
        <f>IF(ROWS($AB$2:$AB315)&lt;=MAX('Per Line'!$AK$2:$AK$4001),MATCH(ROWS($AB$2:$AB315),'Per Line'!$AK$2:$AK$4001,0),"")</f>
        <v/>
      </c>
      <c r="AC315" s="14">
        <f>IF($AB315="","",M315-L315*Z315/100)</f>
        <v/>
      </c>
    </row>
    <row r="316">
      <c r="A316" s="12" t="n"/>
      <c r="B316">
        <f>IF($AB316="","",INDEX('Per Line'!$C$2:$C$4001,$AB316)&amp;"")</f>
        <v/>
      </c>
      <c r="C316">
        <f>IF($AB316="","",INDEX('Per Line'!$D$2:$D$4001,$AB316)&amp;"")</f>
        <v/>
      </c>
      <c r="D316">
        <f>IF($AB316="","",INDEX('Per Line'!$B$2:$B$4001,$AB316)&amp;"")</f>
        <v/>
      </c>
      <c r="E316">
        <f>IF($AB316="","",INDEX('Per Line'!$A$2:$A$4001,$AB316))</f>
        <v/>
      </c>
      <c r="F316" s="11">
        <f>IF($AB316="","",INDEX('Per Line'!$E$2:$E$4001,$AB316))</f>
        <v/>
      </c>
      <c r="G316">
        <f>IF($AB316="","",INDEX('Per Line'!$F$2:$F$4001,$AB316)&amp;"")</f>
        <v/>
      </c>
      <c r="H316">
        <f>IF($AB316="","",INDEX('Per Line'!$H$2:$H$4001,$AB316)&amp;"")</f>
        <v/>
      </c>
      <c r="I316">
        <f>IF($AB316="","",INDEX('Per Line'!$I$2:$I$4001,$AB316)&amp;"")</f>
        <v/>
      </c>
      <c r="J316">
        <f>IF($AB316="","",INDEX('Per Line'!$J$2:$J$4001,$AB316)&amp;"")</f>
        <v/>
      </c>
      <c r="K316">
        <f>IF($AB316="","",INDEX('Per Line'!$K$2:$K$4001,$AB316)&amp;"")</f>
        <v/>
      </c>
      <c r="L316">
        <f>IF($AB316="","",INDEX('Per Line'!$L$2:$L$4001,$AB316))</f>
        <v/>
      </c>
      <c r="M316" s="7">
        <f>IF($AB316="","",IF(AND(ISNUMBER(O316),O316&gt;0,Z316&gt;O316),L316*O316/100+(Z316-O316),L316*Z316/100))</f>
        <v/>
      </c>
      <c r="N316">
        <f>IF($AB316="","",INDEX('Per Line'!$V$2:$V$4001,$AB316)&amp;"")</f>
        <v/>
      </c>
      <c r="O316">
        <f>IF($AB316="","",INDEX('Per Line'!$Z$2:$Z$4001,$AB316))</f>
        <v/>
      </c>
      <c r="P316">
        <f>IF($AB316="","",IF(AND(ISNUMBER(O316),O316&gt;0),Z316&gt;O316,FALSE))</f>
        <v/>
      </c>
      <c r="Q316" s="7">
        <f>IF($AB316="","",SUMIFS('Per Line'!$U$2:$U$4001,'Per Line'!$C$2:$C$4001,$B316,'Per Line'!$AM$2:$AM$4001,1))</f>
        <v/>
      </c>
      <c r="R316">
        <f>IF($AB316="","",Settings!$C$7)</f>
        <v/>
      </c>
      <c r="S316" s="7">
        <f>IF($AB316="","",SUMIFS('Per Line'!$U$2:$U$4001,'Per Line'!$C$2:$C$4001,$B316,'Per Line'!$AL$2:$AL$4001,0,'Per Line'!$AM$2:$AM$4001,0))</f>
        <v/>
      </c>
      <c r="T316" s="7">
        <f>IF($AB316="","",S316*R316)</f>
        <v/>
      </c>
      <c r="U316">
        <f>IF($AB316="","",Settings!$C$6)</f>
        <v/>
      </c>
      <c r="V316" s="7">
        <f>IF($AB316="","",SUMIFS('Per Line'!$U$2:$U$4001,'Per Line'!$C$2:$C$4001,$B316,'Per Line'!$AL$2:$AL$4001,1,'Per Line'!$AM$2:$AM$4001,0))</f>
        <v/>
      </c>
      <c r="W316" s="7">
        <f>IF($AB316="","",V316*U316)</f>
        <v/>
      </c>
      <c r="X316" s="7">
        <f>IF($AB316="","",W316+T316)</f>
        <v/>
      </c>
      <c r="Y316" s="7">
        <f>IF($AB316="","",Z316-X316)</f>
        <v/>
      </c>
      <c r="Z316" s="7">
        <f>IF($AB316="","",S316+V316+Q316)</f>
        <v/>
      </c>
      <c r="AA316" s="7">
        <f>IF($AB316="","",Z316-X316-M316)</f>
        <v/>
      </c>
      <c r="AB316" s="13">
        <f>IF(ROWS($AB$2:$AB316)&lt;=MAX('Per Line'!$AK$2:$AK$4001),MATCH(ROWS($AB$2:$AB316),'Per Line'!$AK$2:$AK$4001,0),"")</f>
        <v/>
      </c>
      <c r="AC316" s="14">
        <f>IF($AB316="","",M316-L316*Z316/100)</f>
        <v/>
      </c>
    </row>
    <row r="317">
      <c r="A317" s="12" t="n"/>
      <c r="B317">
        <f>IF($AB317="","",INDEX('Per Line'!$C$2:$C$4001,$AB317)&amp;"")</f>
        <v/>
      </c>
      <c r="C317">
        <f>IF($AB317="","",INDEX('Per Line'!$D$2:$D$4001,$AB317)&amp;"")</f>
        <v/>
      </c>
      <c r="D317">
        <f>IF($AB317="","",INDEX('Per Line'!$B$2:$B$4001,$AB317)&amp;"")</f>
        <v/>
      </c>
      <c r="E317">
        <f>IF($AB317="","",INDEX('Per Line'!$A$2:$A$4001,$AB317))</f>
        <v/>
      </c>
      <c r="F317" s="11">
        <f>IF($AB317="","",INDEX('Per Line'!$E$2:$E$4001,$AB317))</f>
        <v/>
      </c>
      <c r="G317">
        <f>IF($AB317="","",INDEX('Per Line'!$F$2:$F$4001,$AB317)&amp;"")</f>
        <v/>
      </c>
      <c r="H317">
        <f>IF($AB317="","",INDEX('Per Line'!$H$2:$H$4001,$AB317)&amp;"")</f>
        <v/>
      </c>
      <c r="I317">
        <f>IF($AB317="","",INDEX('Per Line'!$I$2:$I$4001,$AB317)&amp;"")</f>
        <v/>
      </c>
      <c r="J317">
        <f>IF($AB317="","",INDEX('Per Line'!$J$2:$J$4001,$AB317)&amp;"")</f>
        <v/>
      </c>
      <c r="K317">
        <f>IF($AB317="","",INDEX('Per Line'!$K$2:$K$4001,$AB317)&amp;"")</f>
        <v/>
      </c>
      <c r="L317">
        <f>IF($AB317="","",INDEX('Per Line'!$L$2:$L$4001,$AB317))</f>
        <v/>
      </c>
      <c r="M317" s="7">
        <f>IF($AB317="","",IF(AND(ISNUMBER(O317),O317&gt;0,Z317&gt;O317),L317*O317/100+(Z317-O317),L317*Z317/100))</f>
        <v/>
      </c>
      <c r="N317">
        <f>IF($AB317="","",INDEX('Per Line'!$V$2:$V$4001,$AB317)&amp;"")</f>
        <v/>
      </c>
      <c r="O317">
        <f>IF($AB317="","",INDEX('Per Line'!$Z$2:$Z$4001,$AB317))</f>
        <v/>
      </c>
      <c r="P317">
        <f>IF($AB317="","",IF(AND(ISNUMBER(O317),O317&gt;0),Z317&gt;O317,FALSE))</f>
        <v/>
      </c>
      <c r="Q317" s="7">
        <f>IF($AB317="","",SUMIFS('Per Line'!$U$2:$U$4001,'Per Line'!$C$2:$C$4001,$B317,'Per Line'!$AM$2:$AM$4001,1))</f>
        <v/>
      </c>
      <c r="R317">
        <f>IF($AB317="","",Settings!$C$7)</f>
        <v/>
      </c>
      <c r="S317" s="7">
        <f>IF($AB317="","",SUMIFS('Per Line'!$U$2:$U$4001,'Per Line'!$C$2:$C$4001,$B317,'Per Line'!$AL$2:$AL$4001,0,'Per Line'!$AM$2:$AM$4001,0))</f>
        <v/>
      </c>
      <c r="T317" s="7">
        <f>IF($AB317="","",S317*R317)</f>
        <v/>
      </c>
      <c r="U317">
        <f>IF($AB317="","",Settings!$C$6)</f>
        <v/>
      </c>
      <c r="V317" s="7">
        <f>IF($AB317="","",SUMIFS('Per Line'!$U$2:$U$4001,'Per Line'!$C$2:$C$4001,$B317,'Per Line'!$AL$2:$AL$4001,1,'Per Line'!$AM$2:$AM$4001,0))</f>
        <v/>
      </c>
      <c r="W317" s="7">
        <f>IF($AB317="","",V317*U317)</f>
        <v/>
      </c>
      <c r="X317" s="7">
        <f>IF($AB317="","",W317+T317)</f>
        <v/>
      </c>
      <c r="Y317" s="7">
        <f>IF($AB317="","",Z317-X317)</f>
        <v/>
      </c>
      <c r="Z317" s="7">
        <f>IF($AB317="","",S317+V317+Q317)</f>
        <v/>
      </c>
      <c r="AA317" s="7">
        <f>IF($AB317="","",Z317-X317-M317)</f>
        <v/>
      </c>
      <c r="AB317" s="13">
        <f>IF(ROWS($AB$2:$AB317)&lt;=MAX('Per Line'!$AK$2:$AK$4001),MATCH(ROWS($AB$2:$AB317),'Per Line'!$AK$2:$AK$4001,0),"")</f>
        <v/>
      </c>
      <c r="AC317" s="14">
        <f>IF($AB317="","",M317-L317*Z317/100)</f>
        <v/>
      </c>
    </row>
    <row r="318">
      <c r="A318" s="12" t="n"/>
      <c r="B318">
        <f>IF($AB318="","",INDEX('Per Line'!$C$2:$C$4001,$AB318)&amp;"")</f>
        <v/>
      </c>
      <c r="C318">
        <f>IF($AB318="","",INDEX('Per Line'!$D$2:$D$4001,$AB318)&amp;"")</f>
        <v/>
      </c>
      <c r="D318">
        <f>IF($AB318="","",INDEX('Per Line'!$B$2:$B$4001,$AB318)&amp;"")</f>
        <v/>
      </c>
      <c r="E318">
        <f>IF($AB318="","",INDEX('Per Line'!$A$2:$A$4001,$AB318))</f>
        <v/>
      </c>
      <c r="F318" s="11">
        <f>IF($AB318="","",INDEX('Per Line'!$E$2:$E$4001,$AB318))</f>
        <v/>
      </c>
      <c r="G318">
        <f>IF($AB318="","",INDEX('Per Line'!$F$2:$F$4001,$AB318)&amp;"")</f>
        <v/>
      </c>
      <c r="H318">
        <f>IF($AB318="","",INDEX('Per Line'!$H$2:$H$4001,$AB318)&amp;"")</f>
        <v/>
      </c>
      <c r="I318">
        <f>IF($AB318="","",INDEX('Per Line'!$I$2:$I$4001,$AB318)&amp;"")</f>
        <v/>
      </c>
      <c r="J318">
        <f>IF($AB318="","",INDEX('Per Line'!$J$2:$J$4001,$AB318)&amp;"")</f>
        <v/>
      </c>
      <c r="K318">
        <f>IF($AB318="","",INDEX('Per Line'!$K$2:$K$4001,$AB318)&amp;"")</f>
        <v/>
      </c>
      <c r="L318">
        <f>IF($AB318="","",INDEX('Per Line'!$L$2:$L$4001,$AB318))</f>
        <v/>
      </c>
      <c r="M318" s="7">
        <f>IF($AB318="","",IF(AND(ISNUMBER(O318),O318&gt;0,Z318&gt;O318),L318*O318/100+(Z318-O318),L318*Z318/100))</f>
        <v/>
      </c>
      <c r="N318">
        <f>IF($AB318="","",INDEX('Per Line'!$V$2:$V$4001,$AB318)&amp;"")</f>
        <v/>
      </c>
      <c r="O318">
        <f>IF($AB318="","",INDEX('Per Line'!$Z$2:$Z$4001,$AB318))</f>
        <v/>
      </c>
      <c r="P318">
        <f>IF($AB318="","",IF(AND(ISNUMBER(O318),O318&gt;0),Z318&gt;O318,FALSE))</f>
        <v/>
      </c>
      <c r="Q318" s="7">
        <f>IF($AB318="","",SUMIFS('Per Line'!$U$2:$U$4001,'Per Line'!$C$2:$C$4001,$B318,'Per Line'!$AM$2:$AM$4001,1))</f>
        <v/>
      </c>
      <c r="R318">
        <f>IF($AB318="","",Settings!$C$7)</f>
        <v/>
      </c>
      <c r="S318" s="7">
        <f>IF($AB318="","",SUMIFS('Per Line'!$U$2:$U$4001,'Per Line'!$C$2:$C$4001,$B318,'Per Line'!$AL$2:$AL$4001,0,'Per Line'!$AM$2:$AM$4001,0))</f>
        <v/>
      </c>
      <c r="T318" s="7">
        <f>IF($AB318="","",S318*R318)</f>
        <v/>
      </c>
      <c r="U318">
        <f>IF($AB318="","",Settings!$C$6)</f>
        <v/>
      </c>
      <c r="V318" s="7">
        <f>IF($AB318="","",SUMIFS('Per Line'!$U$2:$U$4001,'Per Line'!$C$2:$C$4001,$B318,'Per Line'!$AL$2:$AL$4001,1,'Per Line'!$AM$2:$AM$4001,0))</f>
        <v/>
      </c>
      <c r="W318" s="7">
        <f>IF($AB318="","",V318*U318)</f>
        <v/>
      </c>
      <c r="X318" s="7">
        <f>IF($AB318="","",W318+T318)</f>
        <v/>
      </c>
      <c r="Y318" s="7">
        <f>IF($AB318="","",Z318-X318)</f>
        <v/>
      </c>
      <c r="Z318" s="7">
        <f>IF($AB318="","",S318+V318+Q318)</f>
        <v/>
      </c>
      <c r="AA318" s="7">
        <f>IF($AB318="","",Z318-X318-M318)</f>
        <v/>
      </c>
      <c r="AB318" s="13">
        <f>IF(ROWS($AB$2:$AB318)&lt;=MAX('Per Line'!$AK$2:$AK$4001),MATCH(ROWS($AB$2:$AB318),'Per Line'!$AK$2:$AK$4001,0),"")</f>
        <v/>
      </c>
      <c r="AC318" s="14">
        <f>IF($AB318="","",M318-L318*Z318/100)</f>
        <v/>
      </c>
    </row>
    <row r="319">
      <c r="A319" s="12" t="n"/>
      <c r="B319">
        <f>IF($AB319="","",INDEX('Per Line'!$C$2:$C$4001,$AB319)&amp;"")</f>
        <v/>
      </c>
      <c r="C319">
        <f>IF($AB319="","",INDEX('Per Line'!$D$2:$D$4001,$AB319)&amp;"")</f>
        <v/>
      </c>
      <c r="D319">
        <f>IF($AB319="","",INDEX('Per Line'!$B$2:$B$4001,$AB319)&amp;"")</f>
        <v/>
      </c>
      <c r="E319">
        <f>IF($AB319="","",INDEX('Per Line'!$A$2:$A$4001,$AB319))</f>
        <v/>
      </c>
      <c r="F319" s="11">
        <f>IF($AB319="","",INDEX('Per Line'!$E$2:$E$4001,$AB319))</f>
        <v/>
      </c>
      <c r="G319">
        <f>IF($AB319="","",INDEX('Per Line'!$F$2:$F$4001,$AB319)&amp;"")</f>
        <v/>
      </c>
      <c r="H319">
        <f>IF($AB319="","",INDEX('Per Line'!$H$2:$H$4001,$AB319)&amp;"")</f>
        <v/>
      </c>
      <c r="I319">
        <f>IF($AB319="","",INDEX('Per Line'!$I$2:$I$4001,$AB319)&amp;"")</f>
        <v/>
      </c>
      <c r="J319">
        <f>IF($AB319="","",INDEX('Per Line'!$J$2:$J$4001,$AB319)&amp;"")</f>
        <v/>
      </c>
      <c r="K319">
        <f>IF($AB319="","",INDEX('Per Line'!$K$2:$K$4001,$AB319)&amp;"")</f>
        <v/>
      </c>
      <c r="L319">
        <f>IF($AB319="","",INDEX('Per Line'!$L$2:$L$4001,$AB319))</f>
        <v/>
      </c>
      <c r="M319" s="7">
        <f>IF($AB319="","",IF(AND(ISNUMBER(O319),O319&gt;0,Z319&gt;O319),L319*O319/100+(Z319-O319),L319*Z319/100))</f>
        <v/>
      </c>
      <c r="N319">
        <f>IF($AB319="","",INDEX('Per Line'!$V$2:$V$4001,$AB319)&amp;"")</f>
        <v/>
      </c>
      <c r="O319">
        <f>IF($AB319="","",INDEX('Per Line'!$Z$2:$Z$4001,$AB319))</f>
        <v/>
      </c>
      <c r="P319">
        <f>IF($AB319="","",IF(AND(ISNUMBER(O319),O319&gt;0),Z319&gt;O319,FALSE))</f>
        <v/>
      </c>
      <c r="Q319" s="7">
        <f>IF($AB319="","",SUMIFS('Per Line'!$U$2:$U$4001,'Per Line'!$C$2:$C$4001,$B319,'Per Line'!$AM$2:$AM$4001,1))</f>
        <v/>
      </c>
      <c r="R319">
        <f>IF($AB319="","",Settings!$C$7)</f>
        <v/>
      </c>
      <c r="S319" s="7">
        <f>IF($AB319="","",SUMIFS('Per Line'!$U$2:$U$4001,'Per Line'!$C$2:$C$4001,$B319,'Per Line'!$AL$2:$AL$4001,0,'Per Line'!$AM$2:$AM$4001,0))</f>
        <v/>
      </c>
      <c r="T319" s="7">
        <f>IF($AB319="","",S319*R319)</f>
        <v/>
      </c>
      <c r="U319">
        <f>IF($AB319="","",Settings!$C$6)</f>
        <v/>
      </c>
      <c r="V319" s="7">
        <f>IF($AB319="","",SUMIFS('Per Line'!$U$2:$U$4001,'Per Line'!$C$2:$C$4001,$B319,'Per Line'!$AL$2:$AL$4001,1,'Per Line'!$AM$2:$AM$4001,0))</f>
        <v/>
      </c>
      <c r="W319" s="7">
        <f>IF($AB319="","",V319*U319)</f>
        <v/>
      </c>
      <c r="X319" s="7">
        <f>IF($AB319="","",W319+T319)</f>
        <v/>
      </c>
      <c r="Y319" s="7">
        <f>IF($AB319="","",Z319-X319)</f>
        <v/>
      </c>
      <c r="Z319" s="7">
        <f>IF($AB319="","",S319+V319+Q319)</f>
        <v/>
      </c>
      <c r="AA319" s="7">
        <f>IF($AB319="","",Z319-X319-M319)</f>
        <v/>
      </c>
      <c r="AB319" s="13">
        <f>IF(ROWS($AB$2:$AB319)&lt;=MAX('Per Line'!$AK$2:$AK$4001),MATCH(ROWS($AB$2:$AB319),'Per Line'!$AK$2:$AK$4001,0),"")</f>
        <v/>
      </c>
      <c r="AC319" s="14">
        <f>IF($AB319="","",M319-L319*Z319/100)</f>
        <v/>
      </c>
    </row>
    <row r="320">
      <c r="A320" s="12" t="n"/>
      <c r="B320">
        <f>IF($AB320="","",INDEX('Per Line'!$C$2:$C$4001,$AB320)&amp;"")</f>
        <v/>
      </c>
      <c r="C320">
        <f>IF($AB320="","",INDEX('Per Line'!$D$2:$D$4001,$AB320)&amp;"")</f>
        <v/>
      </c>
      <c r="D320">
        <f>IF($AB320="","",INDEX('Per Line'!$B$2:$B$4001,$AB320)&amp;"")</f>
        <v/>
      </c>
      <c r="E320">
        <f>IF($AB320="","",INDEX('Per Line'!$A$2:$A$4001,$AB320))</f>
        <v/>
      </c>
      <c r="F320" s="11">
        <f>IF($AB320="","",INDEX('Per Line'!$E$2:$E$4001,$AB320))</f>
        <v/>
      </c>
      <c r="G320">
        <f>IF($AB320="","",INDEX('Per Line'!$F$2:$F$4001,$AB320)&amp;"")</f>
        <v/>
      </c>
      <c r="H320">
        <f>IF($AB320="","",INDEX('Per Line'!$H$2:$H$4001,$AB320)&amp;"")</f>
        <v/>
      </c>
      <c r="I320">
        <f>IF($AB320="","",INDEX('Per Line'!$I$2:$I$4001,$AB320)&amp;"")</f>
        <v/>
      </c>
      <c r="J320">
        <f>IF($AB320="","",INDEX('Per Line'!$J$2:$J$4001,$AB320)&amp;"")</f>
        <v/>
      </c>
      <c r="K320">
        <f>IF($AB320="","",INDEX('Per Line'!$K$2:$K$4001,$AB320)&amp;"")</f>
        <v/>
      </c>
      <c r="L320">
        <f>IF($AB320="","",INDEX('Per Line'!$L$2:$L$4001,$AB320))</f>
        <v/>
      </c>
      <c r="M320" s="7">
        <f>IF($AB320="","",IF(AND(ISNUMBER(O320),O320&gt;0,Z320&gt;O320),L320*O320/100+(Z320-O320),L320*Z320/100))</f>
        <v/>
      </c>
      <c r="N320">
        <f>IF($AB320="","",INDEX('Per Line'!$V$2:$V$4001,$AB320)&amp;"")</f>
        <v/>
      </c>
      <c r="O320">
        <f>IF($AB320="","",INDEX('Per Line'!$Z$2:$Z$4001,$AB320))</f>
        <v/>
      </c>
      <c r="P320">
        <f>IF($AB320="","",IF(AND(ISNUMBER(O320),O320&gt;0),Z320&gt;O320,FALSE))</f>
        <v/>
      </c>
      <c r="Q320" s="7">
        <f>IF($AB320="","",SUMIFS('Per Line'!$U$2:$U$4001,'Per Line'!$C$2:$C$4001,$B320,'Per Line'!$AM$2:$AM$4001,1))</f>
        <v/>
      </c>
      <c r="R320">
        <f>IF($AB320="","",Settings!$C$7)</f>
        <v/>
      </c>
      <c r="S320" s="7">
        <f>IF($AB320="","",SUMIFS('Per Line'!$U$2:$U$4001,'Per Line'!$C$2:$C$4001,$B320,'Per Line'!$AL$2:$AL$4001,0,'Per Line'!$AM$2:$AM$4001,0))</f>
        <v/>
      </c>
      <c r="T320" s="7">
        <f>IF($AB320="","",S320*R320)</f>
        <v/>
      </c>
      <c r="U320">
        <f>IF($AB320="","",Settings!$C$6)</f>
        <v/>
      </c>
      <c r="V320" s="7">
        <f>IF($AB320="","",SUMIFS('Per Line'!$U$2:$U$4001,'Per Line'!$C$2:$C$4001,$B320,'Per Line'!$AL$2:$AL$4001,1,'Per Line'!$AM$2:$AM$4001,0))</f>
        <v/>
      </c>
      <c r="W320" s="7">
        <f>IF($AB320="","",V320*U320)</f>
        <v/>
      </c>
      <c r="X320" s="7">
        <f>IF($AB320="","",W320+T320)</f>
        <v/>
      </c>
      <c r="Y320" s="7">
        <f>IF($AB320="","",Z320-X320)</f>
        <v/>
      </c>
      <c r="Z320" s="7">
        <f>IF($AB320="","",S320+V320+Q320)</f>
        <v/>
      </c>
      <c r="AA320" s="7">
        <f>IF($AB320="","",Z320-X320-M320)</f>
        <v/>
      </c>
      <c r="AB320" s="13">
        <f>IF(ROWS($AB$2:$AB320)&lt;=MAX('Per Line'!$AK$2:$AK$4001),MATCH(ROWS($AB$2:$AB320),'Per Line'!$AK$2:$AK$4001,0),"")</f>
        <v/>
      </c>
      <c r="AC320" s="14">
        <f>IF($AB320="","",M320-L320*Z320/100)</f>
        <v/>
      </c>
    </row>
    <row r="321">
      <c r="A321" s="12" t="n"/>
      <c r="B321">
        <f>IF($AB321="","",INDEX('Per Line'!$C$2:$C$4001,$AB321)&amp;"")</f>
        <v/>
      </c>
      <c r="C321">
        <f>IF($AB321="","",INDEX('Per Line'!$D$2:$D$4001,$AB321)&amp;"")</f>
        <v/>
      </c>
      <c r="D321">
        <f>IF($AB321="","",INDEX('Per Line'!$B$2:$B$4001,$AB321)&amp;"")</f>
        <v/>
      </c>
      <c r="E321">
        <f>IF($AB321="","",INDEX('Per Line'!$A$2:$A$4001,$AB321))</f>
        <v/>
      </c>
      <c r="F321" s="11">
        <f>IF($AB321="","",INDEX('Per Line'!$E$2:$E$4001,$AB321))</f>
        <v/>
      </c>
      <c r="G321">
        <f>IF($AB321="","",INDEX('Per Line'!$F$2:$F$4001,$AB321)&amp;"")</f>
        <v/>
      </c>
      <c r="H321">
        <f>IF($AB321="","",INDEX('Per Line'!$H$2:$H$4001,$AB321)&amp;"")</f>
        <v/>
      </c>
      <c r="I321">
        <f>IF($AB321="","",INDEX('Per Line'!$I$2:$I$4001,$AB321)&amp;"")</f>
        <v/>
      </c>
      <c r="J321">
        <f>IF($AB321="","",INDEX('Per Line'!$J$2:$J$4001,$AB321)&amp;"")</f>
        <v/>
      </c>
      <c r="K321">
        <f>IF($AB321="","",INDEX('Per Line'!$K$2:$K$4001,$AB321)&amp;"")</f>
        <v/>
      </c>
      <c r="L321">
        <f>IF($AB321="","",INDEX('Per Line'!$L$2:$L$4001,$AB321))</f>
        <v/>
      </c>
      <c r="M321" s="7">
        <f>IF($AB321="","",IF(AND(ISNUMBER(O321),O321&gt;0,Z321&gt;O321),L321*O321/100+(Z321-O321),L321*Z321/100))</f>
        <v/>
      </c>
      <c r="N321">
        <f>IF($AB321="","",INDEX('Per Line'!$V$2:$V$4001,$AB321)&amp;"")</f>
        <v/>
      </c>
      <c r="O321">
        <f>IF($AB321="","",INDEX('Per Line'!$Z$2:$Z$4001,$AB321))</f>
        <v/>
      </c>
      <c r="P321">
        <f>IF($AB321="","",IF(AND(ISNUMBER(O321),O321&gt;0),Z321&gt;O321,FALSE))</f>
        <v/>
      </c>
      <c r="Q321" s="7">
        <f>IF($AB321="","",SUMIFS('Per Line'!$U$2:$U$4001,'Per Line'!$C$2:$C$4001,$B321,'Per Line'!$AM$2:$AM$4001,1))</f>
        <v/>
      </c>
      <c r="R321">
        <f>IF($AB321="","",Settings!$C$7)</f>
        <v/>
      </c>
      <c r="S321" s="7">
        <f>IF($AB321="","",SUMIFS('Per Line'!$U$2:$U$4001,'Per Line'!$C$2:$C$4001,$B321,'Per Line'!$AL$2:$AL$4001,0,'Per Line'!$AM$2:$AM$4001,0))</f>
        <v/>
      </c>
      <c r="T321" s="7">
        <f>IF($AB321="","",S321*R321)</f>
        <v/>
      </c>
      <c r="U321">
        <f>IF($AB321="","",Settings!$C$6)</f>
        <v/>
      </c>
      <c r="V321" s="7">
        <f>IF($AB321="","",SUMIFS('Per Line'!$U$2:$U$4001,'Per Line'!$C$2:$C$4001,$B321,'Per Line'!$AL$2:$AL$4001,1,'Per Line'!$AM$2:$AM$4001,0))</f>
        <v/>
      </c>
      <c r="W321" s="7">
        <f>IF($AB321="","",V321*U321)</f>
        <v/>
      </c>
      <c r="X321" s="7">
        <f>IF($AB321="","",W321+T321)</f>
        <v/>
      </c>
      <c r="Y321" s="7">
        <f>IF($AB321="","",Z321-X321)</f>
        <v/>
      </c>
      <c r="Z321" s="7">
        <f>IF($AB321="","",S321+V321+Q321)</f>
        <v/>
      </c>
      <c r="AA321" s="7">
        <f>IF($AB321="","",Z321-X321-M321)</f>
        <v/>
      </c>
      <c r="AB321" s="13">
        <f>IF(ROWS($AB$2:$AB321)&lt;=MAX('Per Line'!$AK$2:$AK$4001),MATCH(ROWS($AB$2:$AB321),'Per Line'!$AK$2:$AK$4001,0),"")</f>
        <v/>
      </c>
      <c r="AC321" s="14">
        <f>IF($AB321="","",M321-L321*Z321/100)</f>
        <v/>
      </c>
    </row>
    <row r="322">
      <c r="A322" s="12" t="n"/>
      <c r="B322">
        <f>IF($AB322="","",INDEX('Per Line'!$C$2:$C$4001,$AB322)&amp;"")</f>
        <v/>
      </c>
      <c r="C322">
        <f>IF($AB322="","",INDEX('Per Line'!$D$2:$D$4001,$AB322)&amp;"")</f>
        <v/>
      </c>
      <c r="D322">
        <f>IF($AB322="","",INDEX('Per Line'!$B$2:$B$4001,$AB322)&amp;"")</f>
        <v/>
      </c>
      <c r="E322">
        <f>IF($AB322="","",INDEX('Per Line'!$A$2:$A$4001,$AB322))</f>
        <v/>
      </c>
      <c r="F322" s="11">
        <f>IF($AB322="","",INDEX('Per Line'!$E$2:$E$4001,$AB322))</f>
        <v/>
      </c>
      <c r="G322">
        <f>IF($AB322="","",INDEX('Per Line'!$F$2:$F$4001,$AB322)&amp;"")</f>
        <v/>
      </c>
      <c r="H322">
        <f>IF($AB322="","",INDEX('Per Line'!$H$2:$H$4001,$AB322)&amp;"")</f>
        <v/>
      </c>
      <c r="I322">
        <f>IF($AB322="","",INDEX('Per Line'!$I$2:$I$4001,$AB322)&amp;"")</f>
        <v/>
      </c>
      <c r="J322">
        <f>IF($AB322="","",INDEX('Per Line'!$J$2:$J$4001,$AB322)&amp;"")</f>
        <v/>
      </c>
      <c r="K322">
        <f>IF($AB322="","",INDEX('Per Line'!$K$2:$K$4001,$AB322)&amp;"")</f>
        <v/>
      </c>
      <c r="L322">
        <f>IF($AB322="","",INDEX('Per Line'!$L$2:$L$4001,$AB322))</f>
        <v/>
      </c>
      <c r="M322" s="7">
        <f>IF($AB322="","",IF(AND(ISNUMBER(O322),O322&gt;0,Z322&gt;O322),L322*O322/100+(Z322-O322),L322*Z322/100))</f>
        <v/>
      </c>
      <c r="N322">
        <f>IF($AB322="","",INDEX('Per Line'!$V$2:$V$4001,$AB322)&amp;"")</f>
        <v/>
      </c>
      <c r="O322">
        <f>IF($AB322="","",INDEX('Per Line'!$Z$2:$Z$4001,$AB322))</f>
        <v/>
      </c>
      <c r="P322">
        <f>IF($AB322="","",IF(AND(ISNUMBER(O322),O322&gt;0),Z322&gt;O322,FALSE))</f>
        <v/>
      </c>
      <c r="Q322" s="7">
        <f>IF($AB322="","",SUMIFS('Per Line'!$U$2:$U$4001,'Per Line'!$C$2:$C$4001,$B322,'Per Line'!$AM$2:$AM$4001,1))</f>
        <v/>
      </c>
      <c r="R322">
        <f>IF($AB322="","",Settings!$C$7)</f>
        <v/>
      </c>
      <c r="S322" s="7">
        <f>IF($AB322="","",SUMIFS('Per Line'!$U$2:$U$4001,'Per Line'!$C$2:$C$4001,$B322,'Per Line'!$AL$2:$AL$4001,0,'Per Line'!$AM$2:$AM$4001,0))</f>
        <v/>
      </c>
      <c r="T322" s="7">
        <f>IF($AB322="","",S322*R322)</f>
        <v/>
      </c>
      <c r="U322">
        <f>IF($AB322="","",Settings!$C$6)</f>
        <v/>
      </c>
      <c r="V322" s="7">
        <f>IF($AB322="","",SUMIFS('Per Line'!$U$2:$U$4001,'Per Line'!$C$2:$C$4001,$B322,'Per Line'!$AL$2:$AL$4001,1,'Per Line'!$AM$2:$AM$4001,0))</f>
        <v/>
      </c>
      <c r="W322" s="7">
        <f>IF($AB322="","",V322*U322)</f>
        <v/>
      </c>
      <c r="X322" s="7">
        <f>IF($AB322="","",W322+T322)</f>
        <v/>
      </c>
      <c r="Y322" s="7">
        <f>IF($AB322="","",Z322-X322)</f>
        <v/>
      </c>
      <c r="Z322" s="7">
        <f>IF($AB322="","",S322+V322+Q322)</f>
        <v/>
      </c>
      <c r="AA322" s="7">
        <f>IF($AB322="","",Z322-X322-M322)</f>
        <v/>
      </c>
      <c r="AB322" s="13">
        <f>IF(ROWS($AB$2:$AB322)&lt;=MAX('Per Line'!$AK$2:$AK$4001),MATCH(ROWS($AB$2:$AB322),'Per Line'!$AK$2:$AK$4001,0),"")</f>
        <v/>
      </c>
      <c r="AC322" s="14">
        <f>IF($AB322="","",M322-L322*Z322/100)</f>
        <v/>
      </c>
    </row>
    <row r="323">
      <c r="A323" s="12" t="n"/>
      <c r="B323">
        <f>IF($AB323="","",INDEX('Per Line'!$C$2:$C$4001,$AB323)&amp;"")</f>
        <v/>
      </c>
      <c r="C323">
        <f>IF($AB323="","",INDEX('Per Line'!$D$2:$D$4001,$AB323)&amp;"")</f>
        <v/>
      </c>
      <c r="D323">
        <f>IF($AB323="","",INDEX('Per Line'!$B$2:$B$4001,$AB323)&amp;"")</f>
        <v/>
      </c>
      <c r="E323">
        <f>IF($AB323="","",INDEX('Per Line'!$A$2:$A$4001,$AB323))</f>
        <v/>
      </c>
      <c r="F323" s="11">
        <f>IF($AB323="","",INDEX('Per Line'!$E$2:$E$4001,$AB323))</f>
        <v/>
      </c>
      <c r="G323">
        <f>IF($AB323="","",INDEX('Per Line'!$F$2:$F$4001,$AB323)&amp;"")</f>
        <v/>
      </c>
      <c r="H323">
        <f>IF($AB323="","",INDEX('Per Line'!$H$2:$H$4001,$AB323)&amp;"")</f>
        <v/>
      </c>
      <c r="I323">
        <f>IF($AB323="","",INDEX('Per Line'!$I$2:$I$4001,$AB323)&amp;"")</f>
        <v/>
      </c>
      <c r="J323">
        <f>IF($AB323="","",INDEX('Per Line'!$J$2:$J$4001,$AB323)&amp;"")</f>
        <v/>
      </c>
      <c r="K323">
        <f>IF($AB323="","",INDEX('Per Line'!$K$2:$K$4001,$AB323)&amp;"")</f>
        <v/>
      </c>
      <c r="L323">
        <f>IF($AB323="","",INDEX('Per Line'!$L$2:$L$4001,$AB323))</f>
        <v/>
      </c>
      <c r="M323" s="7">
        <f>IF($AB323="","",IF(AND(ISNUMBER(O323),O323&gt;0,Z323&gt;O323),L323*O323/100+(Z323-O323),L323*Z323/100))</f>
        <v/>
      </c>
      <c r="N323">
        <f>IF($AB323="","",INDEX('Per Line'!$V$2:$V$4001,$AB323)&amp;"")</f>
        <v/>
      </c>
      <c r="O323">
        <f>IF($AB323="","",INDEX('Per Line'!$Z$2:$Z$4001,$AB323))</f>
        <v/>
      </c>
      <c r="P323">
        <f>IF($AB323="","",IF(AND(ISNUMBER(O323),O323&gt;0),Z323&gt;O323,FALSE))</f>
        <v/>
      </c>
      <c r="Q323" s="7">
        <f>IF($AB323="","",SUMIFS('Per Line'!$U$2:$U$4001,'Per Line'!$C$2:$C$4001,$B323,'Per Line'!$AM$2:$AM$4001,1))</f>
        <v/>
      </c>
      <c r="R323">
        <f>IF($AB323="","",Settings!$C$7)</f>
        <v/>
      </c>
      <c r="S323" s="7">
        <f>IF($AB323="","",SUMIFS('Per Line'!$U$2:$U$4001,'Per Line'!$C$2:$C$4001,$B323,'Per Line'!$AL$2:$AL$4001,0,'Per Line'!$AM$2:$AM$4001,0))</f>
        <v/>
      </c>
      <c r="T323" s="7">
        <f>IF($AB323="","",S323*R323)</f>
        <v/>
      </c>
      <c r="U323">
        <f>IF($AB323="","",Settings!$C$6)</f>
        <v/>
      </c>
      <c r="V323" s="7">
        <f>IF($AB323="","",SUMIFS('Per Line'!$U$2:$U$4001,'Per Line'!$C$2:$C$4001,$B323,'Per Line'!$AL$2:$AL$4001,1,'Per Line'!$AM$2:$AM$4001,0))</f>
        <v/>
      </c>
      <c r="W323" s="7">
        <f>IF($AB323="","",V323*U323)</f>
        <v/>
      </c>
      <c r="X323" s="7">
        <f>IF($AB323="","",W323+T323)</f>
        <v/>
      </c>
      <c r="Y323" s="7">
        <f>IF($AB323="","",Z323-X323)</f>
        <v/>
      </c>
      <c r="Z323" s="7">
        <f>IF($AB323="","",S323+V323+Q323)</f>
        <v/>
      </c>
      <c r="AA323" s="7">
        <f>IF($AB323="","",Z323-X323-M323)</f>
        <v/>
      </c>
      <c r="AB323" s="13">
        <f>IF(ROWS($AB$2:$AB323)&lt;=MAX('Per Line'!$AK$2:$AK$4001),MATCH(ROWS($AB$2:$AB323),'Per Line'!$AK$2:$AK$4001,0),"")</f>
        <v/>
      </c>
      <c r="AC323" s="14">
        <f>IF($AB323="","",M323-L323*Z323/100)</f>
        <v/>
      </c>
    </row>
    <row r="324">
      <c r="A324" s="12" t="n"/>
      <c r="B324">
        <f>IF($AB324="","",INDEX('Per Line'!$C$2:$C$4001,$AB324)&amp;"")</f>
        <v/>
      </c>
      <c r="C324">
        <f>IF($AB324="","",INDEX('Per Line'!$D$2:$D$4001,$AB324)&amp;"")</f>
        <v/>
      </c>
      <c r="D324">
        <f>IF($AB324="","",INDEX('Per Line'!$B$2:$B$4001,$AB324)&amp;"")</f>
        <v/>
      </c>
      <c r="E324">
        <f>IF($AB324="","",INDEX('Per Line'!$A$2:$A$4001,$AB324))</f>
        <v/>
      </c>
      <c r="F324" s="11">
        <f>IF($AB324="","",INDEX('Per Line'!$E$2:$E$4001,$AB324))</f>
        <v/>
      </c>
      <c r="G324">
        <f>IF($AB324="","",INDEX('Per Line'!$F$2:$F$4001,$AB324)&amp;"")</f>
        <v/>
      </c>
      <c r="H324">
        <f>IF($AB324="","",INDEX('Per Line'!$H$2:$H$4001,$AB324)&amp;"")</f>
        <v/>
      </c>
      <c r="I324">
        <f>IF($AB324="","",INDEX('Per Line'!$I$2:$I$4001,$AB324)&amp;"")</f>
        <v/>
      </c>
      <c r="J324">
        <f>IF($AB324="","",INDEX('Per Line'!$J$2:$J$4001,$AB324)&amp;"")</f>
        <v/>
      </c>
      <c r="K324">
        <f>IF($AB324="","",INDEX('Per Line'!$K$2:$K$4001,$AB324)&amp;"")</f>
        <v/>
      </c>
      <c r="L324">
        <f>IF($AB324="","",INDEX('Per Line'!$L$2:$L$4001,$AB324))</f>
        <v/>
      </c>
      <c r="M324" s="7">
        <f>IF($AB324="","",IF(AND(ISNUMBER(O324),O324&gt;0,Z324&gt;O324),L324*O324/100+(Z324-O324),L324*Z324/100))</f>
        <v/>
      </c>
      <c r="N324">
        <f>IF($AB324="","",INDEX('Per Line'!$V$2:$V$4001,$AB324)&amp;"")</f>
        <v/>
      </c>
      <c r="O324">
        <f>IF($AB324="","",INDEX('Per Line'!$Z$2:$Z$4001,$AB324))</f>
        <v/>
      </c>
      <c r="P324">
        <f>IF($AB324="","",IF(AND(ISNUMBER(O324),O324&gt;0),Z324&gt;O324,FALSE))</f>
        <v/>
      </c>
      <c r="Q324" s="7">
        <f>IF($AB324="","",SUMIFS('Per Line'!$U$2:$U$4001,'Per Line'!$C$2:$C$4001,$B324,'Per Line'!$AM$2:$AM$4001,1))</f>
        <v/>
      </c>
      <c r="R324">
        <f>IF($AB324="","",Settings!$C$7)</f>
        <v/>
      </c>
      <c r="S324" s="7">
        <f>IF($AB324="","",SUMIFS('Per Line'!$U$2:$U$4001,'Per Line'!$C$2:$C$4001,$B324,'Per Line'!$AL$2:$AL$4001,0,'Per Line'!$AM$2:$AM$4001,0))</f>
        <v/>
      </c>
      <c r="T324" s="7">
        <f>IF($AB324="","",S324*R324)</f>
        <v/>
      </c>
      <c r="U324">
        <f>IF($AB324="","",Settings!$C$6)</f>
        <v/>
      </c>
      <c r="V324" s="7">
        <f>IF($AB324="","",SUMIFS('Per Line'!$U$2:$U$4001,'Per Line'!$C$2:$C$4001,$B324,'Per Line'!$AL$2:$AL$4001,1,'Per Line'!$AM$2:$AM$4001,0))</f>
        <v/>
      </c>
      <c r="W324" s="7">
        <f>IF($AB324="","",V324*U324)</f>
        <v/>
      </c>
      <c r="X324" s="7">
        <f>IF($AB324="","",W324+T324)</f>
        <v/>
      </c>
      <c r="Y324" s="7">
        <f>IF($AB324="","",Z324-X324)</f>
        <v/>
      </c>
      <c r="Z324" s="7">
        <f>IF($AB324="","",S324+V324+Q324)</f>
        <v/>
      </c>
      <c r="AA324" s="7">
        <f>IF($AB324="","",Z324-X324-M324)</f>
        <v/>
      </c>
      <c r="AB324" s="13">
        <f>IF(ROWS($AB$2:$AB324)&lt;=MAX('Per Line'!$AK$2:$AK$4001),MATCH(ROWS($AB$2:$AB324),'Per Line'!$AK$2:$AK$4001,0),"")</f>
        <v/>
      </c>
      <c r="AC324" s="14">
        <f>IF($AB324="","",M324-L324*Z324/100)</f>
        <v/>
      </c>
    </row>
    <row r="325">
      <c r="A325" s="12" t="n"/>
      <c r="B325">
        <f>IF($AB325="","",INDEX('Per Line'!$C$2:$C$4001,$AB325)&amp;"")</f>
        <v/>
      </c>
      <c r="C325">
        <f>IF($AB325="","",INDEX('Per Line'!$D$2:$D$4001,$AB325)&amp;"")</f>
        <v/>
      </c>
      <c r="D325">
        <f>IF($AB325="","",INDEX('Per Line'!$B$2:$B$4001,$AB325)&amp;"")</f>
        <v/>
      </c>
      <c r="E325">
        <f>IF($AB325="","",INDEX('Per Line'!$A$2:$A$4001,$AB325))</f>
        <v/>
      </c>
      <c r="F325" s="11">
        <f>IF($AB325="","",INDEX('Per Line'!$E$2:$E$4001,$AB325))</f>
        <v/>
      </c>
      <c r="G325">
        <f>IF($AB325="","",INDEX('Per Line'!$F$2:$F$4001,$AB325)&amp;"")</f>
        <v/>
      </c>
      <c r="H325">
        <f>IF($AB325="","",INDEX('Per Line'!$H$2:$H$4001,$AB325)&amp;"")</f>
        <v/>
      </c>
      <c r="I325">
        <f>IF($AB325="","",INDEX('Per Line'!$I$2:$I$4001,$AB325)&amp;"")</f>
        <v/>
      </c>
      <c r="J325">
        <f>IF($AB325="","",INDEX('Per Line'!$J$2:$J$4001,$AB325)&amp;"")</f>
        <v/>
      </c>
      <c r="K325">
        <f>IF($AB325="","",INDEX('Per Line'!$K$2:$K$4001,$AB325)&amp;"")</f>
        <v/>
      </c>
      <c r="L325">
        <f>IF($AB325="","",INDEX('Per Line'!$L$2:$L$4001,$AB325))</f>
        <v/>
      </c>
      <c r="M325" s="7">
        <f>IF($AB325="","",IF(AND(ISNUMBER(O325),O325&gt;0,Z325&gt;O325),L325*O325/100+(Z325-O325),L325*Z325/100))</f>
        <v/>
      </c>
      <c r="N325">
        <f>IF($AB325="","",INDEX('Per Line'!$V$2:$V$4001,$AB325)&amp;"")</f>
        <v/>
      </c>
      <c r="O325">
        <f>IF($AB325="","",INDEX('Per Line'!$Z$2:$Z$4001,$AB325))</f>
        <v/>
      </c>
      <c r="P325">
        <f>IF($AB325="","",IF(AND(ISNUMBER(O325),O325&gt;0),Z325&gt;O325,FALSE))</f>
        <v/>
      </c>
      <c r="Q325" s="7">
        <f>IF($AB325="","",SUMIFS('Per Line'!$U$2:$U$4001,'Per Line'!$C$2:$C$4001,$B325,'Per Line'!$AM$2:$AM$4001,1))</f>
        <v/>
      </c>
      <c r="R325">
        <f>IF($AB325="","",Settings!$C$7)</f>
        <v/>
      </c>
      <c r="S325" s="7">
        <f>IF($AB325="","",SUMIFS('Per Line'!$U$2:$U$4001,'Per Line'!$C$2:$C$4001,$B325,'Per Line'!$AL$2:$AL$4001,0,'Per Line'!$AM$2:$AM$4001,0))</f>
        <v/>
      </c>
      <c r="T325" s="7">
        <f>IF($AB325="","",S325*R325)</f>
        <v/>
      </c>
      <c r="U325">
        <f>IF($AB325="","",Settings!$C$6)</f>
        <v/>
      </c>
      <c r="V325" s="7">
        <f>IF($AB325="","",SUMIFS('Per Line'!$U$2:$U$4001,'Per Line'!$C$2:$C$4001,$B325,'Per Line'!$AL$2:$AL$4001,1,'Per Line'!$AM$2:$AM$4001,0))</f>
        <v/>
      </c>
      <c r="W325" s="7">
        <f>IF($AB325="","",V325*U325)</f>
        <v/>
      </c>
      <c r="X325" s="7">
        <f>IF($AB325="","",W325+T325)</f>
        <v/>
      </c>
      <c r="Y325" s="7">
        <f>IF($AB325="","",Z325-X325)</f>
        <v/>
      </c>
      <c r="Z325" s="7">
        <f>IF($AB325="","",S325+V325+Q325)</f>
        <v/>
      </c>
      <c r="AA325" s="7">
        <f>IF($AB325="","",Z325-X325-M325)</f>
        <v/>
      </c>
      <c r="AB325" s="13">
        <f>IF(ROWS($AB$2:$AB325)&lt;=MAX('Per Line'!$AK$2:$AK$4001),MATCH(ROWS($AB$2:$AB325),'Per Line'!$AK$2:$AK$4001,0),"")</f>
        <v/>
      </c>
      <c r="AC325" s="14">
        <f>IF($AB325="","",M325-L325*Z325/100)</f>
        <v/>
      </c>
    </row>
    <row r="326">
      <c r="A326" s="12" t="n"/>
      <c r="B326">
        <f>IF($AB326="","",INDEX('Per Line'!$C$2:$C$4001,$AB326)&amp;"")</f>
        <v/>
      </c>
      <c r="C326">
        <f>IF($AB326="","",INDEX('Per Line'!$D$2:$D$4001,$AB326)&amp;"")</f>
        <v/>
      </c>
      <c r="D326">
        <f>IF($AB326="","",INDEX('Per Line'!$B$2:$B$4001,$AB326)&amp;"")</f>
        <v/>
      </c>
      <c r="E326">
        <f>IF($AB326="","",INDEX('Per Line'!$A$2:$A$4001,$AB326))</f>
        <v/>
      </c>
      <c r="F326" s="11">
        <f>IF($AB326="","",INDEX('Per Line'!$E$2:$E$4001,$AB326))</f>
        <v/>
      </c>
      <c r="G326">
        <f>IF($AB326="","",INDEX('Per Line'!$F$2:$F$4001,$AB326)&amp;"")</f>
        <v/>
      </c>
      <c r="H326">
        <f>IF($AB326="","",INDEX('Per Line'!$H$2:$H$4001,$AB326)&amp;"")</f>
        <v/>
      </c>
      <c r="I326">
        <f>IF($AB326="","",INDEX('Per Line'!$I$2:$I$4001,$AB326)&amp;"")</f>
        <v/>
      </c>
      <c r="J326">
        <f>IF($AB326="","",INDEX('Per Line'!$J$2:$J$4001,$AB326)&amp;"")</f>
        <v/>
      </c>
      <c r="K326">
        <f>IF($AB326="","",INDEX('Per Line'!$K$2:$K$4001,$AB326)&amp;"")</f>
        <v/>
      </c>
      <c r="L326">
        <f>IF($AB326="","",INDEX('Per Line'!$L$2:$L$4001,$AB326))</f>
        <v/>
      </c>
      <c r="M326" s="7">
        <f>IF($AB326="","",IF(AND(ISNUMBER(O326),O326&gt;0,Z326&gt;O326),L326*O326/100+(Z326-O326),L326*Z326/100))</f>
        <v/>
      </c>
      <c r="N326">
        <f>IF($AB326="","",INDEX('Per Line'!$V$2:$V$4001,$AB326)&amp;"")</f>
        <v/>
      </c>
      <c r="O326">
        <f>IF($AB326="","",INDEX('Per Line'!$Z$2:$Z$4001,$AB326))</f>
        <v/>
      </c>
      <c r="P326">
        <f>IF($AB326="","",IF(AND(ISNUMBER(O326),O326&gt;0),Z326&gt;O326,FALSE))</f>
        <v/>
      </c>
      <c r="Q326" s="7">
        <f>IF($AB326="","",SUMIFS('Per Line'!$U$2:$U$4001,'Per Line'!$C$2:$C$4001,$B326,'Per Line'!$AM$2:$AM$4001,1))</f>
        <v/>
      </c>
      <c r="R326">
        <f>IF($AB326="","",Settings!$C$7)</f>
        <v/>
      </c>
      <c r="S326" s="7">
        <f>IF($AB326="","",SUMIFS('Per Line'!$U$2:$U$4001,'Per Line'!$C$2:$C$4001,$B326,'Per Line'!$AL$2:$AL$4001,0,'Per Line'!$AM$2:$AM$4001,0))</f>
        <v/>
      </c>
      <c r="T326" s="7">
        <f>IF($AB326="","",S326*R326)</f>
        <v/>
      </c>
      <c r="U326">
        <f>IF($AB326="","",Settings!$C$6)</f>
        <v/>
      </c>
      <c r="V326" s="7">
        <f>IF($AB326="","",SUMIFS('Per Line'!$U$2:$U$4001,'Per Line'!$C$2:$C$4001,$B326,'Per Line'!$AL$2:$AL$4001,1,'Per Line'!$AM$2:$AM$4001,0))</f>
        <v/>
      </c>
      <c r="W326" s="7">
        <f>IF($AB326="","",V326*U326)</f>
        <v/>
      </c>
      <c r="X326" s="7">
        <f>IF($AB326="","",W326+T326)</f>
        <v/>
      </c>
      <c r="Y326" s="7">
        <f>IF($AB326="","",Z326-X326)</f>
        <v/>
      </c>
      <c r="Z326" s="7">
        <f>IF($AB326="","",S326+V326+Q326)</f>
        <v/>
      </c>
      <c r="AA326" s="7">
        <f>IF($AB326="","",Z326-X326-M326)</f>
        <v/>
      </c>
      <c r="AB326" s="13">
        <f>IF(ROWS($AB$2:$AB326)&lt;=MAX('Per Line'!$AK$2:$AK$4001),MATCH(ROWS($AB$2:$AB326),'Per Line'!$AK$2:$AK$4001,0),"")</f>
        <v/>
      </c>
      <c r="AC326" s="14">
        <f>IF($AB326="","",M326-L326*Z326/100)</f>
        <v/>
      </c>
    </row>
    <row r="327">
      <c r="A327" s="12" t="n"/>
      <c r="B327">
        <f>IF($AB327="","",INDEX('Per Line'!$C$2:$C$4001,$AB327)&amp;"")</f>
        <v/>
      </c>
      <c r="C327">
        <f>IF($AB327="","",INDEX('Per Line'!$D$2:$D$4001,$AB327)&amp;"")</f>
        <v/>
      </c>
      <c r="D327">
        <f>IF($AB327="","",INDEX('Per Line'!$B$2:$B$4001,$AB327)&amp;"")</f>
        <v/>
      </c>
      <c r="E327">
        <f>IF($AB327="","",INDEX('Per Line'!$A$2:$A$4001,$AB327))</f>
        <v/>
      </c>
      <c r="F327" s="11">
        <f>IF($AB327="","",INDEX('Per Line'!$E$2:$E$4001,$AB327))</f>
        <v/>
      </c>
      <c r="G327">
        <f>IF($AB327="","",INDEX('Per Line'!$F$2:$F$4001,$AB327)&amp;"")</f>
        <v/>
      </c>
      <c r="H327">
        <f>IF($AB327="","",INDEX('Per Line'!$H$2:$H$4001,$AB327)&amp;"")</f>
        <v/>
      </c>
      <c r="I327">
        <f>IF($AB327="","",INDEX('Per Line'!$I$2:$I$4001,$AB327)&amp;"")</f>
        <v/>
      </c>
      <c r="J327">
        <f>IF($AB327="","",INDEX('Per Line'!$J$2:$J$4001,$AB327)&amp;"")</f>
        <v/>
      </c>
      <c r="K327">
        <f>IF($AB327="","",INDEX('Per Line'!$K$2:$K$4001,$AB327)&amp;"")</f>
        <v/>
      </c>
      <c r="L327">
        <f>IF($AB327="","",INDEX('Per Line'!$L$2:$L$4001,$AB327))</f>
        <v/>
      </c>
      <c r="M327" s="7">
        <f>IF($AB327="","",IF(AND(ISNUMBER(O327),O327&gt;0,Z327&gt;O327),L327*O327/100+(Z327-O327),L327*Z327/100))</f>
        <v/>
      </c>
      <c r="N327">
        <f>IF($AB327="","",INDEX('Per Line'!$V$2:$V$4001,$AB327)&amp;"")</f>
        <v/>
      </c>
      <c r="O327">
        <f>IF($AB327="","",INDEX('Per Line'!$Z$2:$Z$4001,$AB327))</f>
        <v/>
      </c>
      <c r="P327">
        <f>IF($AB327="","",IF(AND(ISNUMBER(O327),O327&gt;0),Z327&gt;O327,FALSE))</f>
        <v/>
      </c>
      <c r="Q327" s="7">
        <f>IF($AB327="","",SUMIFS('Per Line'!$U$2:$U$4001,'Per Line'!$C$2:$C$4001,$B327,'Per Line'!$AM$2:$AM$4001,1))</f>
        <v/>
      </c>
      <c r="R327">
        <f>IF($AB327="","",Settings!$C$7)</f>
        <v/>
      </c>
      <c r="S327" s="7">
        <f>IF($AB327="","",SUMIFS('Per Line'!$U$2:$U$4001,'Per Line'!$C$2:$C$4001,$B327,'Per Line'!$AL$2:$AL$4001,0,'Per Line'!$AM$2:$AM$4001,0))</f>
        <v/>
      </c>
      <c r="T327" s="7">
        <f>IF($AB327="","",S327*R327)</f>
        <v/>
      </c>
      <c r="U327">
        <f>IF($AB327="","",Settings!$C$6)</f>
        <v/>
      </c>
      <c r="V327" s="7">
        <f>IF($AB327="","",SUMIFS('Per Line'!$U$2:$U$4001,'Per Line'!$C$2:$C$4001,$B327,'Per Line'!$AL$2:$AL$4001,1,'Per Line'!$AM$2:$AM$4001,0))</f>
        <v/>
      </c>
      <c r="W327" s="7">
        <f>IF($AB327="","",V327*U327)</f>
        <v/>
      </c>
      <c r="X327" s="7">
        <f>IF($AB327="","",W327+T327)</f>
        <v/>
      </c>
      <c r="Y327" s="7">
        <f>IF($AB327="","",Z327-X327)</f>
        <v/>
      </c>
      <c r="Z327" s="7">
        <f>IF($AB327="","",S327+V327+Q327)</f>
        <v/>
      </c>
      <c r="AA327" s="7">
        <f>IF($AB327="","",Z327-X327-M327)</f>
        <v/>
      </c>
      <c r="AB327" s="13">
        <f>IF(ROWS($AB$2:$AB327)&lt;=MAX('Per Line'!$AK$2:$AK$4001),MATCH(ROWS($AB$2:$AB327),'Per Line'!$AK$2:$AK$4001,0),"")</f>
        <v/>
      </c>
      <c r="AC327" s="14">
        <f>IF($AB327="","",M327-L327*Z327/100)</f>
        <v/>
      </c>
    </row>
    <row r="328">
      <c r="A328" s="12" t="n"/>
      <c r="B328">
        <f>IF($AB328="","",INDEX('Per Line'!$C$2:$C$4001,$AB328)&amp;"")</f>
        <v/>
      </c>
      <c r="C328">
        <f>IF($AB328="","",INDEX('Per Line'!$D$2:$D$4001,$AB328)&amp;"")</f>
        <v/>
      </c>
      <c r="D328">
        <f>IF($AB328="","",INDEX('Per Line'!$B$2:$B$4001,$AB328)&amp;"")</f>
        <v/>
      </c>
      <c r="E328">
        <f>IF($AB328="","",INDEX('Per Line'!$A$2:$A$4001,$AB328))</f>
        <v/>
      </c>
      <c r="F328" s="11">
        <f>IF($AB328="","",INDEX('Per Line'!$E$2:$E$4001,$AB328))</f>
        <v/>
      </c>
      <c r="G328">
        <f>IF($AB328="","",INDEX('Per Line'!$F$2:$F$4001,$AB328)&amp;"")</f>
        <v/>
      </c>
      <c r="H328">
        <f>IF($AB328="","",INDEX('Per Line'!$H$2:$H$4001,$AB328)&amp;"")</f>
        <v/>
      </c>
      <c r="I328">
        <f>IF($AB328="","",INDEX('Per Line'!$I$2:$I$4001,$AB328)&amp;"")</f>
        <v/>
      </c>
      <c r="J328">
        <f>IF($AB328="","",INDEX('Per Line'!$J$2:$J$4001,$AB328)&amp;"")</f>
        <v/>
      </c>
      <c r="K328">
        <f>IF($AB328="","",INDEX('Per Line'!$K$2:$K$4001,$AB328)&amp;"")</f>
        <v/>
      </c>
      <c r="L328">
        <f>IF($AB328="","",INDEX('Per Line'!$L$2:$L$4001,$AB328))</f>
        <v/>
      </c>
      <c r="M328" s="7">
        <f>IF($AB328="","",IF(AND(ISNUMBER(O328),O328&gt;0,Z328&gt;O328),L328*O328/100+(Z328-O328),L328*Z328/100))</f>
        <v/>
      </c>
      <c r="N328">
        <f>IF($AB328="","",INDEX('Per Line'!$V$2:$V$4001,$AB328)&amp;"")</f>
        <v/>
      </c>
      <c r="O328">
        <f>IF($AB328="","",INDEX('Per Line'!$Z$2:$Z$4001,$AB328))</f>
        <v/>
      </c>
      <c r="P328">
        <f>IF($AB328="","",IF(AND(ISNUMBER(O328),O328&gt;0),Z328&gt;O328,FALSE))</f>
        <v/>
      </c>
      <c r="Q328" s="7">
        <f>IF($AB328="","",SUMIFS('Per Line'!$U$2:$U$4001,'Per Line'!$C$2:$C$4001,$B328,'Per Line'!$AM$2:$AM$4001,1))</f>
        <v/>
      </c>
      <c r="R328">
        <f>IF($AB328="","",Settings!$C$7)</f>
        <v/>
      </c>
      <c r="S328" s="7">
        <f>IF($AB328="","",SUMIFS('Per Line'!$U$2:$U$4001,'Per Line'!$C$2:$C$4001,$B328,'Per Line'!$AL$2:$AL$4001,0,'Per Line'!$AM$2:$AM$4001,0))</f>
        <v/>
      </c>
      <c r="T328" s="7">
        <f>IF($AB328="","",S328*R328)</f>
        <v/>
      </c>
      <c r="U328">
        <f>IF($AB328="","",Settings!$C$6)</f>
        <v/>
      </c>
      <c r="V328" s="7">
        <f>IF($AB328="","",SUMIFS('Per Line'!$U$2:$U$4001,'Per Line'!$C$2:$C$4001,$B328,'Per Line'!$AL$2:$AL$4001,1,'Per Line'!$AM$2:$AM$4001,0))</f>
        <v/>
      </c>
      <c r="W328" s="7">
        <f>IF($AB328="","",V328*U328)</f>
        <v/>
      </c>
      <c r="X328" s="7">
        <f>IF($AB328="","",W328+T328)</f>
        <v/>
      </c>
      <c r="Y328" s="7">
        <f>IF($AB328="","",Z328-X328)</f>
        <v/>
      </c>
      <c r="Z328" s="7">
        <f>IF($AB328="","",S328+V328+Q328)</f>
        <v/>
      </c>
      <c r="AA328" s="7">
        <f>IF($AB328="","",Z328-X328-M328)</f>
        <v/>
      </c>
      <c r="AB328" s="13">
        <f>IF(ROWS($AB$2:$AB328)&lt;=MAX('Per Line'!$AK$2:$AK$4001),MATCH(ROWS($AB$2:$AB328),'Per Line'!$AK$2:$AK$4001,0),"")</f>
        <v/>
      </c>
      <c r="AC328" s="14">
        <f>IF($AB328="","",M328-L328*Z328/100)</f>
        <v/>
      </c>
    </row>
    <row r="329">
      <c r="A329" s="12" t="n"/>
      <c r="B329">
        <f>IF($AB329="","",INDEX('Per Line'!$C$2:$C$4001,$AB329)&amp;"")</f>
        <v/>
      </c>
      <c r="C329">
        <f>IF($AB329="","",INDEX('Per Line'!$D$2:$D$4001,$AB329)&amp;"")</f>
        <v/>
      </c>
      <c r="D329">
        <f>IF($AB329="","",INDEX('Per Line'!$B$2:$B$4001,$AB329)&amp;"")</f>
        <v/>
      </c>
      <c r="E329">
        <f>IF($AB329="","",INDEX('Per Line'!$A$2:$A$4001,$AB329))</f>
        <v/>
      </c>
      <c r="F329" s="11">
        <f>IF($AB329="","",INDEX('Per Line'!$E$2:$E$4001,$AB329))</f>
        <v/>
      </c>
      <c r="G329">
        <f>IF($AB329="","",INDEX('Per Line'!$F$2:$F$4001,$AB329)&amp;"")</f>
        <v/>
      </c>
      <c r="H329">
        <f>IF($AB329="","",INDEX('Per Line'!$H$2:$H$4001,$AB329)&amp;"")</f>
        <v/>
      </c>
      <c r="I329">
        <f>IF($AB329="","",INDEX('Per Line'!$I$2:$I$4001,$AB329)&amp;"")</f>
        <v/>
      </c>
      <c r="J329">
        <f>IF($AB329="","",INDEX('Per Line'!$J$2:$J$4001,$AB329)&amp;"")</f>
        <v/>
      </c>
      <c r="K329">
        <f>IF($AB329="","",INDEX('Per Line'!$K$2:$K$4001,$AB329)&amp;"")</f>
        <v/>
      </c>
      <c r="L329">
        <f>IF($AB329="","",INDEX('Per Line'!$L$2:$L$4001,$AB329))</f>
        <v/>
      </c>
      <c r="M329" s="7">
        <f>IF($AB329="","",IF(AND(ISNUMBER(O329),O329&gt;0,Z329&gt;O329),L329*O329/100+(Z329-O329),L329*Z329/100))</f>
        <v/>
      </c>
      <c r="N329">
        <f>IF($AB329="","",INDEX('Per Line'!$V$2:$V$4001,$AB329)&amp;"")</f>
        <v/>
      </c>
      <c r="O329">
        <f>IF($AB329="","",INDEX('Per Line'!$Z$2:$Z$4001,$AB329))</f>
        <v/>
      </c>
      <c r="P329">
        <f>IF($AB329="","",IF(AND(ISNUMBER(O329),O329&gt;0),Z329&gt;O329,FALSE))</f>
        <v/>
      </c>
      <c r="Q329" s="7">
        <f>IF($AB329="","",SUMIFS('Per Line'!$U$2:$U$4001,'Per Line'!$C$2:$C$4001,$B329,'Per Line'!$AM$2:$AM$4001,1))</f>
        <v/>
      </c>
      <c r="R329">
        <f>IF($AB329="","",Settings!$C$7)</f>
        <v/>
      </c>
      <c r="S329" s="7">
        <f>IF($AB329="","",SUMIFS('Per Line'!$U$2:$U$4001,'Per Line'!$C$2:$C$4001,$B329,'Per Line'!$AL$2:$AL$4001,0,'Per Line'!$AM$2:$AM$4001,0))</f>
        <v/>
      </c>
      <c r="T329" s="7">
        <f>IF($AB329="","",S329*R329)</f>
        <v/>
      </c>
      <c r="U329">
        <f>IF($AB329="","",Settings!$C$6)</f>
        <v/>
      </c>
      <c r="V329" s="7">
        <f>IF($AB329="","",SUMIFS('Per Line'!$U$2:$U$4001,'Per Line'!$C$2:$C$4001,$B329,'Per Line'!$AL$2:$AL$4001,1,'Per Line'!$AM$2:$AM$4001,0))</f>
        <v/>
      </c>
      <c r="W329" s="7">
        <f>IF($AB329="","",V329*U329)</f>
        <v/>
      </c>
      <c r="X329" s="7">
        <f>IF($AB329="","",W329+T329)</f>
        <v/>
      </c>
      <c r="Y329" s="7">
        <f>IF($AB329="","",Z329-X329)</f>
        <v/>
      </c>
      <c r="Z329" s="7">
        <f>IF($AB329="","",S329+V329+Q329)</f>
        <v/>
      </c>
      <c r="AA329" s="7">
        <f>IF($AB329="","",Z329-X329-M329)</f>
        <v/>
      </c>
      <c r="AB329" s="13">
        <f>IF(ROWS($AB$2:$AB329)&lt;=MAX('Per Line'!$AK$2:$AK$4001),MATCH(ROWS($AB$2:$AB329),'Per Line'!$AK$2:$AK$4001,0),"")</f>
        <v/>
      </c>
      <c r="AC329" s="14">
        <f>IF($AB329="","",M329-L329*Z329/100)</f>
        <v/>
      </c>
    </row>
    <row r="330">
      <c r="A330" s="12" t="n"/>
      <c r="B330">
        <f>IF($AB330="","",INDEX('Per Line'!$C$2:$C$4001,$AB330)&amp;"")</f>
        <v/>
      </c>
      <c r="C330">
        <f>IF($AB330="","",INDEX('Per Line'!$D$2:$D$4001,$AB330)&amp;"")</f>
        <v/>
      </c>
      <c r="D330">
        <f>IF($AB330="","",INDEX('Per Line'!$B$2:$B$4001,$AB330)&amp;"")</f>
        <v/>
      </c>
      <c r="E330">
        <f>IF($AB330="","",INDEX('Per Line'!$A$2:$A$4001,$AB330))</f>
        <v/>
      </c>
      <c r="F330" s="11">
        <f>IF($AB330="","",INDEX('Per Line'!$E$2:$E$4001,$AB330))</f>
        <v/>
      </c>
      <c r="G330">
        <f>IF($AB330="","",INDEX('Per Line'!$F$2:$F$4001,$AB330)&amp;"")</f>
        <v/>
      </c>
      <c r="H330">
        <f>IF($AB330="","",INDEX('Per Line'!$H$2:$H$4001,$AB330)&amp;"")</f>
        <v/>
      </c>
      <c r="I330">
        <f>IF($AB330="","",INDEX('Per Line'!$I$2:$I$4001,$AB330)&amp;"")</f>
        <v/>
      </c>
      <c r="J330">
        <f>IF($AB330="","",INDEX('Per Line'!$J$2:$J$4001,$AB330)&amp;"")</f>
        <v/>
      </c>
      <c r="K330">
        <f>IF($AB330="","",INDEX('Per Line'!$K$2:$K$4001,$AB330)&amp;"")</f>
        <v/>
      </c>
      <c r="L330">
        <f>IF($AB330="","",INDEX('Per Line'!$L$2:$L$4001,$AB330))</f>
        <v/>
      </c>
      <c r="M330" s="7">
        <f>IF($AB330="","",IF(AND(ISNUMBER(O330),O330&gt;0,Z330&gt;O330),L330*O330/100+(Z330-O330),L330*Z330/100))</f>
        <v/>
      </c>
      <c r="N330">
        <f>IF($AB330="","",INDEX('Per Line'!$V$2:$V$4001,$AB330)&amp;"")</f>
        <v/>
      </c>
      <c r="O330">
        <f>IF($AB330="","",INDEX('Per Line'!$Z$2:$Z$4001,$AB330))</f>
        <v/>
      </c>
      <c r="P330">
        <f>IF($AB330="","",IF(AND(ISNUMBER(O330),O330&gt;0),Z330&gt;O330,FALSE))</f>
        <v/>
      </c>
      <c r="Q330" s="7">
        <f>IF($AB330="","",SUMIFS('Per Line'!$U$2:$U$4001,'Per Line'!$C$2:$C$4001,$B330,'Per Line'!$AM$2:$AM$4001,1))</f>
        <v/>
      </c>
      <c r="R330">
        <f>IF($AB330="","",Settings!$C$7)</f>
        <v/>
      </c>
      <c r="S330" s="7">
        <f>IF($AB330="","",SUMIFS('Per Line'!$U$2:$U$4001,'Per Line'!$C$2:$C$4001,$B330,'Per Line'!$AL$2:$AL$4001,0,'Per Line'!$AM$2:$AM$4001,0))</f>
        <v/>
      </c>
      <c r="T330" s="7">
        <f>IF($AB330="","",S330*R330)</f>
        <v/>
      </c>
      <c r="U330">
        <f>IF($AB330="","",Settings!$C$6)</f>
        <v/>
      </c>
      <c r="V330" s="7">
        <f>IF($AB330="","",SUMIFS('Per Line'!$U$2:$U$4001,'Per Line'!$C$2:$C$4001,$B330,'Per Line'!$AL$2:$AL$4001,1,'Per Line'!$AM$2:$AM$4001,0))</f>
        <v/>
      </c>
      <c r="W330" s="7">
        <f>IF($AB330="","",V330*U330)</f>
        <v/>
      </c>
      <c r="X330" s="7">
        <f>IF($AB330="","",W330+T330)</f>
        <v/>
      </c>
      <c r="Y330" s="7">
        <f>IF($AB330="","",Z330-X330)</f>
        <v/>
      </c>
      <c r="Z330" s="7">
        <f>IF($AB330="","",S330+V330+Q330)</f>
        <v/>
      </c>
      <c r="AA330" s="7">
        <f>IF($AB330="","",Z330-X330-M330)</f>
        <v/>
      </c>
      <c r="AB330" s="13">
        <f>IF(ROWS($AB$2:$AB330)&lt;=MAX('Per Line'!$AK$2:$AK$4001),MATCH(ROWS($AB$2:$AB330),'Per Line'!$AK$2:$AK$4001,0),"")</f>
        <v/>
      </c>
      <c r="AC330" s="14">
        <f>IF($AB330="","",M330-L330*Z330/100)</f>
        <v/>
      </c>
    </row>
    <row r="331">
      <c r="A331" s="12" t="n"/>
      <c r="B331">
        <f>IF($AB331="","",INDEX('Per Line'!$C$2:$C$4001,$AB331)&amp;"")</f>
        <v/>
      </c>
      <c r="C331">
        <f>IF($AB331="","",INDEX('Per Line'!$D$2:$D$4001,$AB331)&amp;"")</f>
        <v/>
      </c>
      <c r="D331">
        <f>IF($AB331="","",INDEX('Per Line'!$B$2:$B$4001,$AB331)&amp;"")</f>
        <v/>
      </c>
      <c r="E331">
        <f>IF($AB331="","",INDEX('Per Line'!$A$2:$A$4001,$AB331))</f>
        <v/>
      </c>
      <c r="F331" s="11">
        <f>IF($AB331="","",INDEX('Per Line'!$E$2:$E$4001,$AB331))</f>
        <v/>
      </c>
      <c r="G331">
        <f>IF($AB331="","",INDEX('Per Line'!$F$2:$F$4001,$AB331)&amp;"")</f>
        <v/>
      </c>
      <c r="H331">
        <f>IF($AB331="","",INDEX('Per Line'!$H$2:$H$4001,$AB331)&amp;"")</f>
        <v/>
      </c>
      <c r="I331">
        <f>IF($AB331="","",INDEX('Per Line'!$I$2:$I$4001,$AB331)&amp;"")</f>
        <v/>
      </c>
      <c r="J331">
        <f>IF($AB331="","",INDEX('Per Line'!$J$2:$J$4001,$AB331)&amp;"")</f>
        <v/>
      </c>
      <c r="K331">
        <f>IF($AB331="","",INDEX('Per Line'!$K$2:$K$4001,$AB331)&amp;"")</f>
        <v/>
      </c>
      <c r="L331">
        <f>IF($AB331="","",INDEX('Per Line'!$L$2:$L$4001,$AB331))</f>
        <v/>
      </c>
      <c r="M331" s="7">
        <f>IF($AB331="","",IF(AND(ISNUMBER(O331),O331&gt;0,Z331&gt;O331),L331*O331/100+(Z331-O331),L331*Z331/100))</f>
        <v/>
      </c>
      <c r="N331">
        <f>IF($AB331="","",INDEX('Per Line'!$V$2:$V$4001,$AB331)&amp;"")</f>
        <v/>
      </c>
      <c r="O331">
        <f>IF($AB331="","",INDEX('Per Line'!$Z$2:$Z$4001,$AB331))</f>
        <v/>
      </c>
      <c r="P331">
        <f>IF($AB331="","",IF(AND(ISNUMBER(O331),O331&gt;0),Z331&gt;O331,FALSE))</f>
        <v/>
      </c>
      <c r="Q331" s="7">
        <f>IF($AB331="","",SUMIFS('Per Line'!$U$2:$U$4001,'Per Line'!$C$2:$C$4001,$B331,'Per Line'!$AM$2:$AM$4001,1))</f>
        <v/>
      </c>
      <c r="R331">
        <f>IF($AB331="","",Settings!$C$7)</f>
        <v/>
      </c>
      <c r="S331" s="7">
        <f>IF($AB331="","",SUMIFS('Per Line'!$U$2:$U$4001,'Per Line'!$C$2:$C$4001,$B331,'Per Line'!$AL$2:$AL$4001,0,'Per Line'!$AM$2:$AM$4001,0))</f>
        <v/>
      </c>
      <c r="T331" s="7">
        <f>IF($AB331="","",S331*R331)</f>
        <v/>
      </c>
      <c r="U331">
        <f>IF($AB331="","",Settings!$C$6)</f>
        <v/>
      </c>
      <c r="V331" s="7">
        <f>IF($AB331="","",SUMIFS('Per Line'!$U$2:$U$4001,'Per Line'!$C$2:$C$4001,$B331,'Per Line'!$AL$2:$AL$4001,1,'Per Line'!$AM$2:$AM$4001,0))</f>
        <v/>
      </c>
      <c r="W331" s="7">
        <f>IF($AB331="","",V331*U331)</f>
        <v/>
      </c>
      <c r="X331" s="7">
        <f>IF($AB331="","",W331+T331)</f>
        <v/>
      </c>
      <c r="Y331" s="7">
        <f>IF($AB331="","",Z331-X331)</f>
        <v/>
      </c>
      <c r="Z331" s="7">
        <f>IF($AB331="","",S331+V331+Q331)</f>
        <v/>
      </c>
      <c r="AA331" s="7">
        <f>IF($AB331="","",Z331-X331-M331)</f>
        <v/>
      </c>
      <c r="AB331" s="13">
        <f>IF(ROWS($AB$2:$AB331)&lt;=MAX('Per Line'!$AK$2:$AK$4001),MATCH(ROWS($AB$2:$AB331),'Per Line'!$AK$2:$AK$4001,0),"")</f>
        <v/>
      </c>
      <c r="AC331" s="14">
        <f>IF($AB331="","",M331-L331*Z331/100)</f>
        <v/>
      </c>
    </row>
    <row r="332">
      <c r="A332" s="12" t="n"/>
      <c r="B332">
        <f>IF($AB332="","",INDEX('Per Line'!$C$2:$C$4001,$AB332)&amp;"")</f>
        <v/>
      </c>
      <c r="C332">
        <f>IF($AB332="","",INDEX('Per Line'!$D$2:$D$4001,$AB332)&amp;"")</f>
        <v/>
      </c>
      <c r="D332">
        <f>IF($AB332="","",INDEX('Per Line'!$B$2:$B$4001,$AB332)&amp;"")</f>
        <v/>
      </c>
      <c r="E332">
        <f>IF($AB332="","",INDEX('Per Line'!$A$2:$A$4001,$AB332))</f>
        <v/>
      </c>
      <c r="F332" s="11">
        <f>IF($AB332="","",INDEX('Per Line'!$E$2:$E$4001,$AB332))</f>
        <v/>
      </c>
      <c r="G332">
        <f>IF($AB332="","",INDEX('Per Line'!$F$2:$F$4001,$AB332)&amp;"")</f>
        <v/>
      </c>
      <c r="H332">
        <f>IF($AB332="","",INDEX('Per Line'!$H$2:$H$4001,$AB332)&amp;"")</f>
        <v/>
      </c>
      <c r="I332">
        <f>IF($AB332="","",INDEX('Per Line'!$I$2:$I$4001,$AB332)&amp;"")</f>
        <v/>
      </c>
      <c r="J332">
        <f>IF($AB332="","",INDEX('Per Line'!$J$2:$J$4001,$AB332)&amp;"")</f>
        <v/>
      </c>
      <c r="K332">
        <f>IF($AB332="","",INDEX('Per Line'!$K$2:$K$4001,$AB332)&amp;"")</f>
        <v/>
      </c>
      <c r="L332">
        <f>IF($AB332="","",INDEX('Per Line'!$L$2:$L$4001,$AB332))</f>
        <v/>
      </c>
      <c r="M332" s="7">
        <f>IF($AB332="","",IF(AND(ISNUMBER(O332),O332&gt;0,Z332&gt;O332),L332*O332/100+(Z332-O332),L332*Z332/100))</f>
        <v/>
      </c>
      <c r="N332">
        <f>IF($AB332="","",INDEX('Per Line'!$V$2:$V$4001,$AB332)&amp;"")</f>
        <v/>
      </c>
      <c r="O332">
        <f>IF($AB332="","",INDEX('Per Line'!$Z$2:$Z$4001,$AB332))</f>
        <v/>
      </c>
      <c r="P332">
        <f>IF($AB332="","",IF(AND(ISNUMBER(O332),O332&gt;0),Z332&gt;O332,FALSE))</f>
        <v/>
      </c>
      <c r="Q332" s="7">
        <f>IF($AB332="","",SUMIFS('Per Line'!$U$2:$U$4001,'Per Line'!$C$2:$C$4001,$B332,'Per Line'!$AM$2:$AM$4001,1))</f>
        <v/>
      </c>
      <c r="R332">
        <f>IF($AB332="","",Settings!$C$7)</f>
        <v/>
      </c>
      <c r="S332" s="7">
        <f>IF($AB332="","",SUMIFS('Per Line'!$U$2:$U$4001,'Per Line'!$C$2:$C$4001,$B332,'Per Line'!$AL$2:$AL$4001,0,'Per Line'!$AM$2:$AM$4001,0))</f>
        <v/>
      </c>
      <c r="T332" s="7">
        <f>IF($AB332="","",S332*R332)</f>
        <v/>
      </c>
      <c r="U332">
        <f>IF($AB332="","",Settings!$C$6)</f>
        <v/>
      </c>
      <c r="V332" s="7">
        <f>IF($AB332="","",SUMIFS('Per Line'!$U$2:$U$4001,'Per Line'!$C$2:$C$4001,$B332,'Per Line'!$AL$2:$AL$4001,1,'Per Line'!$AM$2:$AM$4001,0))</f>
        <v/>
      </c>
      <c r="W332" s="7">
        <f>IF($AB332="","",V332*U332)</f>
        <v/>
      </c>
      <c r="X332" s="7">
        <f>IF($AB332="","",W332+T332)</f>
        <v/>
      </c>
      <c r="Y332" s="7">
        <f>IF($AB332="","",Z332-X332)</f>
        <v/>
      </c>
      <c r="Z332" s="7">
        <f>IF($AB332="","",S332+V332+Q332)</f>
        <v/>
      </c>
      <c r="AA332" s="7">
        <f>IF($AB332="","",Z332-X332-M332)</f>
        <v/>
      </c>
      <c r="AB332" s="13">
        <f>IF(ROWS($AB$2:$AB332)&lt;=MAX('Per Line'!$AK$2:$AK$4001),MATCH(ROWS($AB$2:$AB332),'Per Line'!$AK$2:$AK$4001,0),"")</f>
        <v/>
      </c>
      <c r="AC332" s="14">
        <f>IF($AB332="","",M332-L332*Z332/100)</f>
        <v/>
      </c>
    </row>
    <row r="333">
      <c r="A333" s="12" t="n"/>
      <c r="B333">
        <f>IF($AB333="","",INDEX('Per Line'!$C$2:$C$4001,$AB333)&amp;"")</f>
        <v/>
      </c>
      <c r="C333">
        <f>IF($AB333="","",INDEX('Per Line'!$D$2:$D$4001,$AB333)&amp;"")</f>
        <v/>
      </c>
      <c r="D333">
        <f>IF($AB333="","",INDEX('Per Line'!$B$2:$B$4001,$AB333)&amp;"")</f>
        <v/>
      </c>
      <c r="E333">
        <f>IF($AB333="","",INDEX('Per Line'!$A$2:$A$4001,$AB333))</f>
        <v/>
      </c>
      <c r="F333" s="11">
        <f>IF($AB333="","",INDEX('Per Line'!$E$2:$E$4001,$AB333))</f>
        <v/>
      </c>
      <c r="G333">
        <f>IF($AB333="","",INDEX('Per Line'!$F$2:$F$4001,$AB333)&amp;"")</f>
        <v/>
      </c>
      <c r="H333">
        <f>IF($AB333="","",INDEX('Per Line'!$H$2:$H$4001,$AB333)&amp;"")</f>
        <v/>
      </c>
      <c r="I333">
        <f>IF($AB333="","",INDEX('Per Line'!$I$2:$I$4001,$AB333)&amp;"")</f>
        <v/>
      </c>
      <c r="J333">
        <f>IF($AB333="","",INDEX('Per Line'!$J$2:$J$4001,$AB333)&amp;"")</f>
        <v/>
      </c>
      <c r="K333">
        <f>IF($AB333="","",INDEX('Per Line'!$K$2:$K$4001,$AB333)&amp;"")</f>
        <v/>
      </c>
      <c r="L333">
        <f>IF($AB333="","",INDEX('Per Line'!$L$2:$L$4001,$AB333))</f>
        <v/>
      </c>
      <c r="M333" s="7">
        <f>IF($AB333="","",IF(AND(ISNUMBER(O333),O333&gt;0,Z333&gt;O333),L333*O333/100+(Z333-O333),L333*Z333/100))</f>
        <v/>
      </c>
      <c r="N333">
        <f>IF($AB333="","",INDEX('Per Line'!$V$2:$V$4001,$AB333)&amp;"")</f>
        <v/>
      </c>
      <c r="O333">
        <f>IF($AB333="","",INDEX('Per Line'!$Z$2:$Z$4001,$AB333))</f>
        <v/>
      </c>
      <c r="P333">
        <f>IF($AB333="","",IF(AND(ISNUMBER(O333),O333&gt;0),Z333&gt;O333,FALSE))</f>
        <v/>
      </c>
      <c r="Q333" s="7">
        <f>IF($AB333="","",SUMIFS('Per Line'!$U$2:$U$4001,'Per Line'!$C$2:$C$4001,$B333,'Per Line'!$AM$2:$AM$4001,1))</f>
        <v/>
      </c>
      <c r="R333">
        <f>IF($AB333="","",Settings!$C$7)</f>
        <v/>
      </c>
      <c r="S333" s="7">
        <f>IF($AB333="","",SUMIFS('Per Line'!$U$2:$U$4001,'Per Line'!$C$2:$C$4001,$B333,'Per Line'!$AL$2:$AL$4001,0,'Per Line'!$AM$2:$AM$4001,0))</f>
        <v/>
      </c>
      <c r="T333" s="7">
        <f>IF($AB333="","",S333*R333)</f>
        <v/>
      </c>
      <c r="U333">
        <f>IF($AB333="","",Settings!$C$6)</f>
        <v/>
      </c>
      <c r="V333" s="7">
        <f>IF($AB333="","",SUMIFS('Per Line'!$U$2:$U$4001,'Per Line'!$C$2:$C$4001,$B333,'Per Line'!$AL$2:$AL$4001,1,'Per Line'!$AM$2:$AM$4001,0))</f>
        <v/>
      </c>
      <c r="W333" s="7">
        <f>IF($AB333="","",V333*U333)</f>
        <v/>
      </c>
      <c r="X333" s="7">
        <f>IF($AB333="","",W333+T333)</f>
        <v/>
      </c>
      <c r="Y333" s="7">
        <f>IF($AB333="","",Z333-X333)</f>
        <v/>
      </c>
      <c r="Z333" s="7">
        <f>IF($AB333="","",S333+V333+Q333)</f>
        <v/>
      </c>
      <c r="AA333" s="7">
        <f>IF($AB333="","",Z333-X333-M333)</f>
        <v/>
      </c>
      <c r="AB333" s="13">
        <f>IF(ROWS($AB$2:$AB333)&lt;=MAX('Per Line'!$AK$2:$AK$4001),MATCH(ROWS($AB$2:$AB333),'Per Line'!$AK$2:$AK$4001,0),"")</f>
        <v/>
      </c>
      <c r="AC333" s="14">
        <f>IF($AB333="","",M333-L333*Z333/100)</f>
        <v/>
      </c>
    </row>
    <row r="334">
      <c r="A334" s="12" t="n"/>
      <c r="B334">
        <f>IF($AB334="","",INDEX('Per Line'!$C$2:$C$4001,$AB334)&amp;"")</f>
        <v/>
      </c>
      <c r="C334">
        <f>IF($AB334="","",INDEX('Per Line'!$D$2:$D$4001,$AB334)&amp;"")</f>
        <v/>
      </c>
      <c r="D334">
        <f>IF($AB334="","",INDEX('Per Line'!$B$2:$B$4001,$AB334)&amp;"")</f>
        <v/>
      </c>
      <c r="E334">
        <f>IF($AB334="","",INDEX('Per Line'!$A$2:$A$4001,$AB334))</f>
        <v/>
      </c>
      <c r="F334" s="11">
        <f>IF($AB334="","",INDEX('Per Line'!$E$2:$E$4001,$AB334))</f>
        <v/>
      </c>
      <c r="G334">
        <f>IF($AB334="","",INDEX('Per Line'!$F$2:$F$4001,$AB334)&amp;"")</f>
        <v/>
      </c>
      <c r="H334">
        <f>IF($AB334="","",INDEX('Per Line'!$H$2:$H$4001,$AB334)&amp;"")</f>
        <v/>
      </c>
      <c r="I334">
        <f>IF($AB334="","",INDEX('Per Line'!$I$2:$I$4001,$AB334)&amp;"")</f>
        <v/>
      </c>
      <c r="J334">
        <f>IF($AB334="","",INDEX('Per Line'!$J$2:$J$4001,$AB334)&amp;"")</f>
        <v/>
      </c>
      <c r="K334">
        <f>IF($AB334="","",INDEX('Per Line'!$K$2:$K$4001,$AB334)&amp;"")</f>
        <v/>
      </c>
      <c r="L334">
        <f>IF($AB334="","",INDEX('Per Line'!$L$2:$L$4001,$AB334))</f>
        <v/>
      </c>
      <c r="M334" s="7">
        <f>IF($AB334="","",IF(AND(ISNUMBER(O334),O334&gt;0,Z334&gt;O334),L334*O334/100+(Z334-O334),L334*Z334/100))</f>
        <v/>
      </c>
      <c r="N334">
        <f>IF($AB334="","",INDEX('Per Line'!$V$2:$V$4001,$AB334)&amp;"")</f>
        <v/>
      </c>
      <c r="O334">
        <f>IF($AB334="","",INDEX('Per Line'!$Z$2:$Z$4001,$AB334))</f>
        <v/>
      </c>
      <c r="P334">
        <f>IF($AB334="","",IF(AND(ISNUMBER(O334),O334&gt;0),Z334&gt;O334,FALSE))</f>
        <v/>
      </c>
      <c r="Q334" s="7">
        <f>IF($AB334="","",SUMIFS('Per Line'!$U$2:$U$4001,'Per Line'!$C$2:$C$4001,$B334,'Per Line'!$AM$2:$AM$4001,1))</f>
        <v/>
      </c>
      <c r="R334">
        <f>IF($AB334="","",Settings!$C$7)</f>
        <v/>
      </c>
      <c r="S334" s="7">
        <f>IF($AB334="","",SUMIFS('Per Line'!$U$2:$U$4001,'Per Line'!$C$2:$C$4001,$B334,'Per Line'!$AL$2:$AL$4001,0,'Per Line'!$AM$2:$AM$4001,0))</f>
        <v/>
      </c>
      <c r="T334" s="7">
        <f>IF($AB334="","",S334*R334)</f>
        <v/>
      </c>
      <c r="U334">
        <f>IF($AB334="","",Settings!$C$6)</f>
        <v/>
      </c>
      <c r="V334" s="7">
        <f>IF($AB334="","",SUMIFS('Per Line'!$U$2:$U$4001,'Per Line'!$C$2:$C$4001,$B334,'Per Line'!$AL$2:$AL$4001,1,'Per Line'!$AM$2:$AM$4001,0))</f>
        <v/>
      </c>
      <c r="W334" s="7">
        <f>IF($AB334="","",V334*U334)</f>
        <v/>
      </c>
      <c r="X334" s="7">
        <f>IF($AB334="","",W334+T334)</f>
        <v/>
      </c>
      <c r="Y334" s="7">
        <f>IF($AB334="","",Z334-X334)</f>
        <v/>
      </c>
      <c r="Z334" s="7">
        <f>IF($AB334="","",S334+V334+Q334)</f>
        <v/>
      </c>
      <c r="AA334" s="7">
        <f>IF($AB334="","",Z334-X334-M334)</f>
        <v/>
      </c>
      <c r="AB334" s="13">
        <f>IF(ROWS($AB$2:$AB334)&lt;=MAX('Per Line'!$AK$2:$AK$4001),MATCH(ROWS($AB$2:$AB334),'Per Line'!$AK$2:$AK$4001,0),"")</f>
        <v/>
      </c>
      <c r="AC334" s="14">
        <f>IF($AB334="","",M334-L334*Z334/100)</f>
        <v/>
      </c>
    </row>
    <row r="335">
      <c r="A335" s="12" t="n"/>
      <c r="B335">
        <f>IF($AB335="","",INDEX('Per Line'!$C$2:$C$4001,$AB335)&amp;"")</f>
        <v/>
      </c>
      <c r="C335">
        <f>IF($AB335="","",INDEX('Per Line'!$D$2:$D$4001,$AB335)&amp;"")</f>
        <v/>
      </c>
      <c r="D335">
        <f>IF($AB335="","",INDEX('Per Line'!$B$2:$B$4001,$AB335)&amp;"")</f>
        <v/>
      </c>
      <c r="E335">
        <f>IF($AB335="","",INDEX('Per Line'!$A$2:$A$4001,$AB335))</f>
        <v/>
      </c>
      <c r="F335" s="11">
        <f>IF($AB335="","",INDEX('Per Line'!$E$2:$E$4001,$AB335))</f>
        <v/>
      </c>
      <c r="G335">
        <f>IF($AB335="","",INDEX('Per Line'!$F$2:$F$4001,$AB335)&amp;"")</f>
        <v/>
      </c>
      <c r="H335">
        <f>IF($AB335="","",INDEX('Per Line'!$H$2:$H$4001,$AB335)&amp;"")</f>
        <v/>
      </c>
      <c r="I335">
        <f>IF($AB335="","",INDEX('Per Line'!$I$2:$I$4001,$AB335)&amp;"")</f>
        <v/>
      </c>
      <c r="J335">
        <f>IF($AB335="","",INDEX('Per Line'!$J$2:$J$4001,$AB335)&amp;"")</f>
        <v/>
      </c>
      <c r="K335">
        <f>IF($AB335="","",INDEX('Per Line'!$K$2:$K$4001,$AB335)&amp;"")</f>
        <v/>
      </c>
      <c r="L335">
        <f>IF($AB335="","",INDEX('Per Line'!$L$2:$L$4001,$AB335))</f>
        <v/>
      </c>
      <c r="M335" s="7">
        <f>IF($AB335="","",IF(AND(ISNUMBER(O335),O335&gt;0,Z335&gt;O335),L335*O335/100+(Z335-O335),L335*Z335/100))</f>
        <v/>
      </c>
      <c r="N335">
        <f>IF($AB335="","",INDEX('Per Line'!$V$2:$V$4001,$AB335)&amp;"")</f>
        <v/>
      </c>
      <c r="O335">
        <f>IF($AB335="","",INDEX('Per Line'!$Z$2:$Z$4001,$AB335))</f>
        <v/>
      </c>
      <c r="P335">
        <f>IF($AB335="","",IF(AND(ISNUMBER(O335),O335&gt;0),Z335&gt;O335,FALSE))</f>
        <v/>
      </c>
      <c r="Q335" s="7">
        <f>IF($AB335="","",SUMIFS('Per Line'!$U$2:$U$4001,'Per Line'!$C$2:$C$4001,$B335,'Per Line'!$AM$2:$AM$4001,1))</f>
        <v/>
      </c>
      <c r="R335">
        <f>IF($AB335="","",Settings!$C$7)</f>
        <v/>
      </c>
      <c r="S335" s="7">
        <f>IF($AB335="","",SUMIFS('Per Line'!$U$2:$U$4001,'Per Line'!$C$2:$C$4001,$B335,'Per Line'!$AL$2:$AL$4001,0,'Per Line'!$AM$2:$AM$4001,0))</f>
        <v/>
      </c>
      <c r="T335" s="7">
        <f>IF($AB335="","",S335*R335)</f>
        <v/>
      </c>
      <c r="U335">
        <f>IF($AB335="","",Settings!$C$6)</f>
        <v/>
      </c>
      <c r="V335" s="7">
        <f>IF($AB335="","",SUMIFS('Per Line'!$U$2:$U$4001,'Per Line'!$C$2:$C$4001,$B335,'Per Line'!$AL$2:$AL$4001,1,'Per Line'!$AM$2:$AM$4001,0))</f>
        <v/>
      </c>
      <c r="W335" s="7">
        <f>IF($AB335="","",V335*U335)</f>
        <v/>
      </c>
      <c r="X335" s="7">
        <f>IF($AB335="","",W335+T335)</f>
        <v/>
      </c>
      <c r="Y335" s="7">
        <f>IF($AB335="","",Z335-X335)</f>
        <v/>
      </c>
      <c r="Z335" s="7">
        <f>IF($AB335="","",S335+V335+Q335)</f>
        <v/>
      </c>
      <c r="AA335" s="7">
        <f>IF($AB335="","",Z335-X335-M335)</f>
        <v/>
      </c>
      <c r="AB335" s="13">
        <f>IF(ROWS($AB$2:$AB335)&lt;=MAX('Per Line'!$AK$2:$AK$4001),MATCH(ROWS($AB$2:$AB335),'Per Line'!$AK$2:$AK$4001,0),"")</f>
        <v/>
      </c>
      <c r="AC335" s="14">
        <f>IF($AB335="","",M335-L335*Z335/100)</f>
        <v/>
      </c>
    </row>
    <row r="336">
      <c r="A336" s="12" t="n"/>
      <c r="B336">
        <f>IF($AB336="","",INDEX('Per Line'!$C$2:$C$4001,$AB336)&amp;"")</f>
        <v/>
      </c>
      <c r="C336">
        <f>IF($AB336="","",INDEX('Per Line'!$D$2:$D$4001,$AB336)&amp;"")</f>
        <v/>
      </c>
      <c r="D336">
        <f>IF($AB336="","",INDEX('Per Line'!$B$2:$B$4001,$AB336)&amp;"")</f>
        <v/>
      </c>
      <c r="E336">
        <f>IF($AB336="","",INDEX('Per Line'!$A$2:$A$4001,$AB336))</f>
        <v/>
      </c>
      <c r="F336" s="11">
        <f>IF($AB336="","",INDEX('Per Line'!$E$2:$E$4001,$AB336))</f>
        <v/>
      </c>
      <c r="G336">
        <f>IF($AB336="","",INDEX('Per Line'!$F$2:$F$4001,$AB336)&amp;"")</f>
        <v/>
      </c>
      <c r="H336">
        <f>IF($AB336="","",INDEX('Per Line'!$H$2:$H$4001,$AB336)&amp;"")</f>
        <v/>
      </c>
      <c r="I336">
        <f>IF($AB336="","",INDEX('Per Line'!$I$2:$I$4001,$AB336)&amp;"")</f>
        <v/>
      </c>
      <c r="J336">
        <f>IF($AB336="","",INDEX('Per Line'!$J$2:$J$4001,$AB336)&amp;"")</f>
        <v/>
      </c>
      <c r="K336">
        <f>IF($AB336="","",INDEX('Per Line'!$K$2:$K$4001,$AB336)&amp;"")</f>
        <v/>
      </c>
      <c r="L336">
        <f>IF($AB336="","",INDEX('Per Line'!$L$2:$L$4001,$AB336))</f>
        <v/>
      </c>
      <c r="M336" s="7">
        <f>IF($AB336="","",IF(AND(ISNUMBER(O336),O336&gt;0,Z336&gt;O336),L336*O336/100+(Z336-O336),L336*Z336/100))</f>
        <v/>
      </c>
      <c r="N336">
        <f>IF($AB336="","",INDEX('Per Line'!$V$2:$V$4001,$AB336)&amp;"")</f>
        <v/>
      </c>
      <c r="O336">
        <f>IF($AB336="","",INDEX('Per Line'!$Z$2:$Z$4001,$AB336))</f>
        <v/>
      </c>
      <c r="P336">
        <f>IF($AB336="","",IF(AND(ISNUMBER(O336),O336&gt;0),Z336&gt;O336,FALSE))</f>
        <v/>
      </c>
      <c r="Q336" s="7">
        <f>IF($AB336="","",SUMIFS('Per Line'!$U$2:$U$4001,'Per Line'!$C$2:$C$4001,$B336,'Per Line'!$AM$2:$AM$4001,1))</f>
        <v/>
      </c>
      <c r="R336">
        <f>IF($AB336="","",Settings!$C$7)</f>
        <v/>
      </c>
      <c r="S336" s="7">
        <f>IF($AB336="","",SUMIFS('Per Line'!$U$2:$U$4001,'Per Line'!$C$2:$C$4001,$B336,'Per Line'!$AL$2:$AL$4001,0,'Per Line'!$AM$2:$AM$4001,0))</f>
        <v/>
      </c>
      <c r="T336" s="7">
        <f>IF($AB336="","",S336*R336)</f>
        <v/>
      </c>
      <c r="U336">
        <f>IF($AB336="","",Settings!$C$6)</f>
        <v/>
      </c>
      <c r="V336" s="7">
        <f>IF($AB336="","",SUMIFS('Per Line'!$U$2:$U$4001,'Per Line'!$C$2:$C$4001,$B336,'Per Line'!$AL$2:$AL$4001,1,'Per Line'!$AM$2:$AM$4001,0))</f>
        <v/>
      </c>
      <c r="W336" s="7">
        <f>IF($AB336="","",V336*U336)</f>
        <v/>
      </c>
      <c r="X336" s="7">
        <f>IF($AB336="","",W336+T336)</f>
        <v/>
      </c>
      <c r="Y336" s="7">
        <f>IF($AB336="","",Z336-X336)</f>
        <v/>
      </c>
      <c r="Z336" s="7">
        <f>IF($AB336="","",S336+V336+Q336)</f>
        <v/>
      </c>
      <c r="AA336" s="7">
        <f>IF($AB336="","",Z336-X336-M336)</f>
        <v/>
      </c>
      <c r="AB336" s="13">
        <f>IF(ROWS($AB$2:$AB336)&lt;=MAX('Per Line'!$AK$2:$AK$4001),MATCH(ROWS($AB$2:$AB336),'Per Line'!$AK$2:$AK$4001,0),"")</f>
        <v/>
      </c>
      <c r="AC336" s="14">
        <f>IF($AB336="","",M336-L336*Z336/100)</f>
        <v/>
      </c>
    </row>
    <row r="337">
      <c r="A337" s="12" t="n"/>
      <c r="B337">
        <f>IF($AB337="","",INDEX('Per Line'!$C$2:$C$4001,$AB337)&amp;"")</f>
        <v/>
      </c>
      <c r="C337">
        <f>IF($AB337="","",INDEX('Per Line'!$D$2:$D$4001,$AB337)&amp;"")</f>
        <v/>
      </c>
      <c r="D337">
        <f>IF($AB337="","",INDEX('Per Line'!$B$2:$B$4001,$AB337)&amp;"")</f>
        <v/>
      </c>
      <c r="E337">
        <f>IF($AB337="","",INDEX('Per Line'!$A$2:$A$4001,$AB337))</f>
        <v/>
      </c>
      <c r="F337" s="11">
        <f>IF($AB337="","",INDEX('Per Line'!$E$2:$E$4001,$AB337))</f>
        <v/>
      </c>
      <c r="G337">
        <f>IF($AB337="","",INDEX('Per Line'!$F$2:$F$4001,$AB337)&amp;"")</f>
        <v/>
      </c>
      <c r="H337">
        <f>IF($AB337="","",INDEX('Per Line'!$H$2:$H$4001,$AB337)&amp;"")</f>
        <v/>
      </c>
      <c r="I337">
        <f>IF($AB337="","",INDEX('Per Line'!$I$2:$I$4001,$AB337)&amp;"")</f>
        <v/>
      </c>
      <c r="J337">
        <f>IF($AB337="","",INDEX('Per Line'!$J$2:$J$4001,$AB337)&amp;"")</f>
        <v/>
      </c>
      <c r="K337">
        <f>IF($AB337="","",INDEX('Per Line'!$K$2:$K$4001,$AB337)&amp;"")</f>
        <v/>
      </c>
      <c r="L337">
        <f>IF($AB337="","",INDEX('Per Line'!$L$2:$L$4001,$AB337))</f>
        <v/>
      </c>
      <c r="M337" s="7">
        <f>IF($AB337="","",IF(AND(ISNUMBER(O337),O337&gt;0,Z337&gt;O337),L337*O337/100+(Z337-O337),L337*Z337/100))</f>
        <v/>
      </c>
      <c r="N337">
        <f>IF($AB337="","",INDEX('Per Line'!$V$2:$V$4001,$AB337)&amp;"")</f>
        <v/>
      </c>
      <c r="O337">
        <f>IF($AB337="","",INDEX('Per Line'!$Z$2:$Z$4001,$AB337))</f>
        <v/>
      </c>
      <c r="P337">
        <f>IF($AB337="","",IF(AND(ISNUMBER(O337),O337&gt;0),Z337&gt;O337,FALSE))</f>
        <v/>
      </c>
      <c r="Q337" s="7">
        <f>IF($AB337="","",SUMIFS('Per Line'!$U$2:$U$4001,'Per Line'!$C$2:$C$4001,$B337,'Per Line'!$AM$2:$AM$4001,1))</f>
        <v/>
      </c>
      <c r="R337">
        <f>IF($AB337="","",Settings!$C$7)</f>
        <v/>
      </c>
      <c r="S337" s="7">
        <f>IF($AB337="","",SUMIFS('Per Line'!$U$2:$U$4001,'Per Line'!$C$2:$C$4001,$B337,'Per Line'!$AL$2:$AL$4001,0,'Per Line'!$AM$2:$AM$4001,0))</f>
        <v/>
      </c>
      <c r="T337" s="7">
        <f>IF($AB337="","",S337*R337)</f>
        <v/>
      </c>
      <c r="U337">
        <f>IF($AB337="","",Settings!$C$6)</f>
        <v/>
      </c>
      <c r="V337" s="7">
        <f>IF($AB337="","",SUMIFS('Per Line'!$U$2:$U$4001,'Per Line'!$C$2:$C$4001,$B337,'Per Line'!$AL$2:$AL$4001,1,'Per Line'!$AM$2:$AM$4001,0))</f>
        <v/>
      </c>
      <c r="W337" s="7">
        <f>IF($AB337="","",V337*U337)</f>
        <v/>
      </c>
      <c r="X337" s="7">
        <f>IF($AB337="","",W337+T337)</f>
        <v/>
      </c>
      <c r="Y337" s="7">
        <f>IF($AB337="","",Z337-X337)</f>
        <v/>
      </c>
      <c r="Z337" s="7">
        <f>IF($AB337="","",S337+V337+Q337)</f>
        <v/>
      </c>
      <c r="AA337" s="7">
        <f>IF($AB337="","",Z337-X337-M337)</f>
        <v/>
      </c>
      <c r="AB337" s="13">
        <f>IF(ROWS($AB$2:$AB337)&lt;=MAX('Per Line'!$AK$2:$AK$4001),MATCH(ROWS($AB$2:$AB337),'Per Line'!$AK$2:$AK$4001,0),"")</f>
        <v/>
      </c>
      <c r="AC337" s="14">
        <f>IF($AB337="","",M337-L337*Z337/100)</f>
        <v/>
      </c>
    </row>
    <row r="338">
      <c r="A338" s="12" t="n"/>
      <c r="B338">
        <f>IF($AB338="","",INDEX('Per Line'!$C$2:$C$4001,$AB338)&amp;"")</f>
        <v/>
      </c>
      <c r="C338">
        <f>IF($AB338="","",INDEX('Per Line'!$D$2:$D$4001,$AB338)&amp;"")</f>
        <v/>
      </c>
      <c r="D338">
        <f>IF($AB338="","",INDEX('Per Line'!$B$2:$B$4001,$AB338)&amp;"")</f>
        <v/>
      </c>
      <c r="E338">
        <f>IF($AB338="","",INDEX('Per Line'!$A$2:$A$4001,$AB338))</f>
        <v/>
      </c>
      <c r="F338" s="11">
        <f>IF($AB338="","",INDEX('Per Line'!$E$2:$E$4001,$AB338))</f>
        <v/>
      </c>
      <c r="G338">
        <f>IF($AB338="","",INDEX('Per Line'!$F$2:$F$4001,$AB338)&amp;"")</f>
        <v/>
      </c>
      <c r="H338">
        <f>IF($AB338="","",INDEX('Per Line'!$H$2:$H$4001,$AB338)&amp;"")</f>
        <v/>
      </c>
      <c r="I338">
        <f>IF($AB338="","",INDEX('Per Line'!$I$2:$I$4001,$AB338)&amp;"")</f>
        <v/>
      </c>
      <c r="J338">
        <f>IF($AB338="","",INDEX('Per Line'!$J$2:$J$4001,$AB338)&amp;"")</f>
        <v/>
      </c>
      <c r="K338">
        <f>IF($AB338="","",INDEX('Per Line'!$K$2:$K$4001,$AB338)&amp;"")</f>
        <v/>
      </c>
      <c r="L338">
        <f>IF($AB338="","",INDEX('Per Line'!$L$2:$L$4001,$AB338))</f>
        <v/>
      </c>
      <c r="M338" s="7">
        <f>IF($AB338="","",IF(AND(ISNUMBER(O338),O338&gt;0,Z338&gt;O338),L338*O338/100+(Z338-O338),L338*Z338/100))</f>
        <v/>
      </c>
      <c r="N338">
        <f>IF($AB338="","",INDEX('Per Line'!$V$2:$V$4001,$AB338)&amp;"")</f>
        <v/>
      </c>
      <c r="O338">
        <f>IF($AB338="","",INDEX('Per Line'!$Z$2:$Z$4001,$AB338))</f>
        <v/>
      </c>
      <c r="P338">
        <f>IF($AB338="","",IF(AND(ISNUMBER(O338),O338&gt;0),Z338&gt;O338,FALSE))</f>
        <v/>
      </c>
      <c r="Q338" s="7">
        <f>IF($AB338="","",SUMIFS('Per Line'!$U$2:$U$4001,'Per Line'!$C$2:$C$4001,$B338,'Per Line'!$AM$2:$AM$4001,1))</f>
        <v/>
      </c>
      <c r="R338">
        <f>IF($AB338="","",Settings!$C$7)</f>
        <v/>
      </c>
      <c r="S338" s="7">
        <f>IF($AB338="","",SUMIFS('Per Line'!$U$2:$U$4001,'Per Line'!$C$2:$C$4001,$B338,'Per Line'!$AL$2:$AL$4001,0,'Per Line'!$AM$2:$AM$4001,0))</f>
        <v/>
      </c>
      <c r="T338" s="7">
        <f>IF($AB338="","",S338*R338)</f>
        <v/>
      </c>
      <c r="U338">
        <f>IF($AB338="","",Settings!$C$6)</f>
        <v/>
      </c>
      <c r="V338" s="7">
        <f>IF($AB338="","",SUMIFS('Per Line'!$U$2:$U$4001,'Per Line'!$C$2:$C$4001,$B338,'Per Line'!$AL$2:$AL$4001,1,'Per Line'!$AM$2:$AM$4001,0))</f>
        <v/>
      </c>
      <c r="W338" s="7">
        <f>IF($AB338="","",V338*U338)</f>
        <v/>
      </c>
      <c r="X338" s="7">
        <f>IF($AB338="","",W338+T338)</f>
        <v/>
      </c>
      <c r="Y338" s="7">
        <f>IF($AB338="","",Z338-X338)</f>
        <v/>
      </c>
      <c r="Z338" s="7">
        <f>IF($AB338="","",S338+V338+Q338)</f>
        <v/>
      </c>
      <c r="AA338" s="7">
        <f>IF($AB338="","",Z338-X338-M338)</f>
        <v/>
      </c>
      <c r="AB338" s="13">
        <f>IF(ROWS($AB$2:$AB338)&lt;=MAX('Per Line'!$AK$2:$AK$4001),MATCH(ROWS($AB$2:$AB338),'Per Line'!$AK$2:$AK$4001,0),"")</f>
        <v/>
      </c>
      <c r="AC338" s="14">
        <f>IF($AB338="","",M338-L338*Z338/100)</f>
        <v/>
      </c>
    </row>
    <row r="339">
      <c r="A339" s="12" t="n"/>
      <c r="B339">
        <f>IF($AB339="","",INDEX('Per Line'!$C$2:$C$4001,$AB339)&amp;"")</f>
        <v/>
      </c>
      <c r="C339">
        <f>IF($AB339="","",INDEX('Per Line'!$D$2:$D$4001,$AB339)&amp;"")</f>
        <v/>
      </c>
      <c r="D339">
        <f>IF($AB339="","",INDEX('Per Line'!$B$2:$B$4001,$AB339)&amp;"")</f>
        <v/>
      </c>
      <c r="E339">
        <f>IF($AB339="","",INDEX('Per Line'!$A$2:$A$4001,$AB339))</f>
        <v/>
      </c>
      <c r="F339" s="11">
        <f>IF($AB339="","",INDEX('Per Line'!$E$2:$E$4001,$AB339))</f>
        <v/>
      </c>
      <c r="G339">
        <f>IF($AB339="","",INDEX('Per Line'!$F$2:$F$4001,$AB339)&amp;"")</f>
        <v/>
      </c>
      <c r="H339">
        <f>IF($AB339="","",INDEX('Per Line'!$H$2:$H$4001,$AB339)&amp;"")</f>
        <v/>
      </c>
      <c r="I339">
        <f>IF($AB339="","",INDEX('Per Line'!$I$2:$I$4001,$AB339)&amp;"")</f>
        <v/>
      </c>
      <c r="J339">
        <f>IF($AB339="","",INDEX('Per Line'!$J$2:$J$4001,$AB339)&amp;"")</f>
        <v/>
      </c>
      <c r="K339">
        <f>IF($AB339="","",INDEX('Per Line'!$K$2:$K$4001,$AB339)&amp;"")</f>
        <v/>
      </c>
      <c r="L339">
        <f>IF($AB339="","",INDEX('Per Line'!$L$2:$L$4001,$AB339))</f>
        <v/>
      </c>
      <c r="M339" s="7">
        <f>IF($AB339="","",IF(AND(ISNUMBER(O339),O339&gt;0,Z339&gt;O339),L339*O339/100+(Z339-O339),L339*Z339/100))</f>
        <v/>
      </c>
      <c r="N339">
        <f>IF($AB339="","",INDEX('Per Line'!$V$2:$V$4001,$AB339)&amp;"")</f>
        <v/>
      </c>
      <c r="O339">
        <f>IF($AB339="","",INDEX('Per Line'!$Z$2:$Z$4001,$AB339))</f>
        <v/>
      </c>
      <c r="P339">
        <f>IF($AB339="","",IF(AND(ISNUMBER(O339),O339&gt;0),Z339&gt;O339,FALSE))</f>
        <v/>
      </c>
      <c r="Q339" s="7">
        <f>IF($AB339="","",SUMIFS('Per Line'!$U$2:$U$4001,'Per Line'!$C$2:$C$4001,$B339,'Per Line'!$AM$2:$AM$4001,1))</f>
        <v/>
      </c>
      <c r="R339">
        <f>IF($AB339="","",Settings!$C$7)</f>
        <v/>
      </c>
      <c r="S339" s="7">
        <f>IF($AB339="","",SUMIFS('Per Line'!$U$2:$U$4001,'Per Line'!$C$2:$C$4001,$B339,'Per Line'!$AL$2:$AL$4001,0,'Per Line'!$AM$2:$AM$4001,0))</f>
        <v/>
      </c>
      <c r="T339" s="7">
        <f>IF($AB339="","",S339*R339)</f>
        <v/>
      </c>
      <c r="U339">
        <f>IF($AB339="","",Settings!$C$6)</f>
        <v/>
      </c>
      <c r="V339" s="7">
        <f>IF($AB339="","",SUMIFS('Per Line'!$U$2:$U$4001,'Per Line'!$C$2:$C$4001,$B339,'Per Line'!$AL$2:$AL$4001,1,'Per Line'!$AM$2:$AM$4001,0))</f>
        <v/>
      </c>
      <c r="W339" s="7">
        <f>IF($AB339="","",V339*U339)</f>
        <v/>
      </c>
      <c r="X339" s="7">
        <f>IF($AB339="","",W339+T339)</f>
        <v/>
      </c>
      <c r="Y339" s="7">
        <f>IF($AB339="","",Z339-X339)</f>
        <v/>
      </c>
      <c r="Z339" s="7">
        <f>IF($AB339="","",S339+V339+Q339)</f>
        <v/>
      </c>
      <c r="AA339" s="7">
        <f>IF($AB339="","",Z339-X339-M339)</f>
        <v/>
      </c>
      <c r="AB339" s="13">
        <f>IF(ROWS($AB$2:$AB339)&lt;=MAX('Per Line'!$AK$2:$AK$4001),MATCH(ROWS($AB$2:$AB339),'Per Line'!$AK$2:$AK$4001,0),"")</f>
        <v/>
      </c>
      <c r="AC339" s="14">
        <f>IF($AB339="","",M339-L339*Z339/100)</f>
        <v/>
      </c>
    </row>
    <row r="340">
      <c r="A340" s="12" t="n"/>
      <c r="B340">
        <f>IF($AB340="","",INDEX('Per Line'!$C$2:$C$4001,$AB340)&amp;"")</f>
        <v/>
      </c>
      <c r="C340">
        <f>IF($AB340="","",INDEX('Per Line'!$D$2:$D$4001,$AB340)&amp;"")</f>
        <v/>
      </c>
      <c r="D340">
        <f>IF($AB340="","",INDEX('Per Line'!$B$2:$B$4001,$AB340)&amp;"")</f>
        <v/>
      </c>
      <c r="E340">
        <f>IF($AB340="","",INDEX('Per Line'!$A$2:$A$4001,$AB340))</f>
        <v/>
      </c>
      <c r="F340" s="11">
        <f>IF($AB340="","",INDEX('Per Line'!$E$2:$E$4001,$AB340))</f>
        <v/>
      </c>
      <c r="G340">
        <f>IF($AB340="","",INDEX('Per Line'!$F$2:$F$4001,$AB340)&amp;"")</f>
        <v/>
      </c>
      <c r="H340">
        <f>IF($AB340="","",INDEX('Per Line'!$H$2:$H$4001,$AB340)&amp;"")</f>
        <v/>
      </c>
      <c r="I340">
        <f>IF($AB340="","",INDEX('Per Line'!$I$2:$I$4001,$AB340)&amp;"")</f>
        <v/>
      </c>
      <c r="J340">
        <f>IF($AB340="","",INDEX('Per Line'!$J$2:$J$4001,$AB340)&amp;"")</f>
        <v/>
      </c>
      <c r="K340">
        <f>IF($AB340="","",INDEX('Per Line'!$K$2:$K$4001,$AB340)&amp;"")</f>
        <v/>
      </c>
      <c r="L340">
        <f>IF($AB340="","",INDEX('Per Line'!$L$2:$L$4001,$AB340))</f>
        <v/>
      </c>
      <c r="M340" s="7">
        <f>IF($AB340="","",IF(AND(ISNUMBER(O340),O340&gt;0,Z340&gt;O340),L340*O340/100+(Z340-O340),L340*Z340/100))</f>
        <v/>
      </c>
      <c r="N340">
        <f>IF($AB340="","",INDEX('Per Line'!$V$2:$V$4001,$AB340)&amp;"")</f>
        <v/>
      </c>
      <c r="O340">
        <f>IF($AB340="","",INDEX('Per Line'!$Z$2:$Z$4001,$AB340))</f>
        <v/>
      </c>
      <c r="P340">
        <f>IF($AB340="","",IF(AND(ISNUMBER(O340),O340&gt;0),Z340&gt;O340,FALSE))</f>
        <v/>
      </c>
      <c r="Q340" s="7">
        <f>IF($AB340="","",SUMIFS('Per Line'!$U$2:$U$4001,'Per Line'!$C$2:$C$4001,$B340,'Per Line'!$AM$2:$AM$4001,1))</f>
        <v/>
      </c>
      <c r="R340">
        <f>IF($AB340="","",Settings!$C$7)</f>
        <v/>
      </c>
      <c r="S340" s="7">
        <f>IF($AB340="","",SUMIFS('Per Line'!$U$2:$U$4001,'Per Line'!$C$2:$C$4001,$B340,'Per Line'!$AL$2:$AL$4001,0,'Per Line'!$AM$2:$AM$4001,0))</f>
        <v/>
      </c>
      <c r="T340" s="7">
        <f>IF($AB340="","",S340*R340)</f>
        <v/>
      </c>
      <c r="U340">
        <f>IF($AB340="","",Settings!$C$6)</f>
        <v/>
      </c>
      <c r="V340" s="7">
        <f>IF($AB340="","",SUMIFS('Per Line'!$U$2:$U$4001,'Per Line'!$C$2:$C$4001,$B340,'Per Line'!$AL$2:$AL$4001,1,'Per Line'!$AM$2:$AM$4001,0))</f>
        <v/>
      </c>
      <c r="W340" s="7">
        <f>IF($AB340="","",V340*U340)</f>
        <v/>
      </c>
      <c r="X340" s="7">
        <f>IF($AB340="","",W340+T340)</f>
        <v/>
      </c>
      <c r="Y340" s="7">
        <f>IF($AB340="","",Z340-X340)</f>
        <v/>
      </c>
      <c r="Z340" s="7">
        <f>IF($AB340="","",S340+V340+Q340)</f>
        <v/>
      </c>
      <c r="AA340" s="7">
        <f>IF($AB340="","",Z340-X340-M340)</f>
        <v/>
      </c>
      <c r="AB340" s="13">
        <f>IF(ROWS($AB$2:$AB340)&lt;=MAX('Per Line'!$AK$2:$AK$4001),MATCH(ROWS($AB$2:$AB340),'Per Line'!$AK$2:$AK$4001,0),"")</f>
        <v/>
      </c>
      <c r="AC340" s="14">
        <f>IF($AB340="","",M340-L340*Z340/100)</f>
        <v/>
      </c>
    </row>
    <row r="341">
      <c r="A341" s="12" t="n"/>
      <c r="B341">
        <f>IF($AB341="","",INDEX('Per Line'!$C$2:$C$4001,$AB341)&amp;"")</f>
        <v/>
      </c>
      <c r="C341">
        <f>IF($AB341="","",INDEX('Per Line'!$D$2:$D$4001,$AB341)&amp;"")</f>
        <v/>
      </c>
      <c r="D341">
        <f>IF($AB341="","",INDEX('Per Line'!$B$2:$B$4001,$AB341)&amp;"")</f>
        <v/>
      </c>
      <c r="E341">
        <f>IF($AB341="","",INDEX('Per Line'!$A$2:$A$4001,$AB341))</f>
        <v/>
      </c>
      <c r="F341" s="11">
        <f>IF($AB341="","",INDEX('Per Line'!$E$2:$E$4001,$AB341))</f>
        <v/>
      </c>
      <c r="G341">
        <f>IF($AB341="","",INDEX('Per Line'!$F$2:$F$4001,$AB341)&amp;"")</f>
        <v/>
      </c>
      <c r="H341">
        <f>IF($AB341="","",INDEX('Per Line'!$H$2:$H$4001,$AB341)&amp;"")</f>
        <v/>
      </c>
      <c r="I341">
        <f>IF($AB341="","",INDEX('Per Line'!$I$2:$I$4001,$AB341)&amp;"")</f>
        <v/>
      </c>
      <c r="J341">
        <f>IF($AB341="","",INDEX('Per Line'!$J$2:$J$4001,$AB341)&amp;"")</f>
        <v/>
      </c>
      <c r="K341">
        <f>IF($AB341="","",INDEX('Per Line'!$K$2:$K$4001,$AB341)&amp;"")</f>
        <v/>
      </c>
      <c r="L341">
        <f>IF($AB341="","",INDEX('Per Line'!$L$2:$L$4001,$AB341))</f>
        <v/>
      </c>
      <c r="M341" s="7">
        <f>IF($AB341="","",IF(AND(ISNUMBER(O341),O341&gt;0,Z341&gt;O341),L341*O341/100+(Z341-O341),L341*Z341/100))</f>
        <v/>
      </c>
      <c r="N341">
        <f>IF($AB341="","",INDEX('Per Line'!$V$2:$V$4001,$AB341)&amp;"")</f>
        <v/>
      </c>
      <c r="O341">
        <f>IF($AB341="","",INDEX('Per Line'!$Z$2:$Z$4001,$AB341))</f>
        <v/>
      </c>
      <c r="P341">
        <f>IF($AB341="","",IF(AND(ISNUMBER(O341),O341&gt;0),Z341&gt;O341,FALSE))</f>
        <v/>
      </c>
      <c r="Q341" s="7">
        <f>IF($AB341="","",SUMIFS('Per Line'!$U$2:$U$4001,'Per Line'!$C$2:$C$4001,$B341,'Per Line'!$AM$2:$AM$4001,1))</f>
        <v/>
      </c>
      <c r="R341">
        <f>IF($AB341="","",Settings!$C$7)</f>
        <v/>
      </c>
      <c r="S341" s="7">
        <f>IF($AB341="","",SUMIFS('Per Line'!$U$2:$U$4001,'Per Line'!$C$2:$C$4001,$B341,'Per Line'!$AL$2:$AL$4001,0,'Per Line'!$AM$2:$AM$4001,0))</f>
        <v/>
      </c>
      <c r="T341" s="7">
        <f>IF($AB341="","",S341*R341)</f>
        <v/>
      </c>
      <c r="U341">
        <f>IF($AB341="","",Settings!$C$6)</f>
        <v/>
      </c>
      <c r="V341" s="7">
        <f>IF($AB341="","",SUMIFS('Per Line'!$U$2:$U$4001,'Per Line'!$C$2:$C$4001,$B341,'Per Line'!$AL$2:$AL$4001,1,'Per Line'!$AM$2:$AM$4001,0))</f>
        <v/>
      </c>
      <c r="W341" s="7">
        <f>IF($AB341="","",V341*U341)</f>
        <v/>
      </c>
      <c r="X341" s="7">
        <f>IF($AB341="","",W341+T341)</f>
        <v/>
      </c>
      <c r="Y341" s="7">
        <f>IF($AB341="","",Z341-X341)</f>
        <v/>
      </c>
      <c r="Z341" s="7">
        <f>IF($AB341="","",S341+V341+Q341)</f>
        <v/>
      </c>
      <c r="AA341" s="7">
        <f>IF($AB341="","",Z341-X341-M341)</f>
        <v/>
      </c>
      <c r="AB341" s="13">
        <f>IF(ROWS($AB$2:$AB341)&lt;=MAX('Per Line'!$AK$2:$AK$4001),MATCH(ROWS($AB$2:$AB341),'Per Line'!$AK$2:$AK$4001,0),"")</f>
        <v/>
      </c>
      <c r="AC341" s="14">
        <f>IF($AB341="","",M341-L341*Z341/100)</f>
        <v/>
      </c>
    </row>
    <row r="342">
      <c r="A342" s="12" t="n"/>
      <c r="B342">
        <f>IF($AB342="","",INDEX('Per Line'!$C$2:$C$4001,$AB342)&amp;"")</f>
        <v/>
      </c>
      <c r="C342">
        <f>IF($AB342="","",INDEX('Per Line'!$D$2:$D$4001,$AB342)&amp;"")</f>
        <v/>
      </c>
      <c r="D342">
        <f>IF($AB342="","",INDEX('Per Line'!$B$2:$B$4001,$AB342)&amp;"")</f>
        <v/>
      </c>
      <c r="E342">
        <f>IF($AB342="","",INDEX('Per Line'!$A$2:$A$4001,$AB342))</f>
        <v/>
      </c>
      <c r="F342" s="11">
        <f>IF($AB342="","",INDEX('Per Line'!$E$2:$E$4001,$AB342))</f>
        <v/>
      </c>
      <c r="G342">
        <f>IF($AB342="","",INDEX('Per Line'!$F$2:$F$4001,$AB342)&amp;"")</f>
        <v/>
      </c>
      <c r="H342">
        <f>IF($AB342="","",INDEX('Per Line'!$H$2:$H$4001,$AB342)&amp;"")</f>
        <v/>
      </c>
      <c r="I342">
        <f>IF($AB342="","",INDEX('Per Line'!$I$2:$I$4001,$AB342)&amp;"")</f>
        <v/>
      </c>
      <c r="J342">
        <f>IF($AB342="","",INDEX('Per Line'!$J$2:$J$4001,$AB342)&amp;"")</f>
        <v/>
      </c>
      <c r="K342">
        <f>IF($AB342="","",INDEX('Per Line'!$K$2:$K$4001,$AB342)&amp;"")</f>
        <v/>
      </c>
      <c r="L342">
        <f>IF($AB342="","",INDEX('Per Line'!$L$2:$L$4001,$AB342))</f>
        <v/>
      </c>
      <c r="M342" s="7">
        <f>IF($AB342="","",IF(AND(ISNUMBER(O342),O342&gt;0,Z342&gt;O342),L342*O342/100+(Z342-O342),L342*Z342/100))</f>
        <v/>
      </c>
      <c r="N342">
        <f>IF($AB342="","",INDEX('Per Line'!$V$2:$V$4001,$AB342)&amp;"")</f>
        <v/>
      </c>
      <c r="O342">
        <f>IF($AB342="","",INDEX('Per Line'!$Z$2:$Z$4001,$AB342))</f>
        <v/>
      </c>
      <c r="P342">
        <f>IF($AB342="","",IF(AND(ISNUMBER(O342),O342&gt;0),Z342&gt;O342,FALSE))</f>
        <v/>
      </c>
      <c r="Q342" s="7">
        <f>IF($AB342="","",SUMIFS('Per Line'!$U$2:$U$4001,'Per Line'!$C$2:$C$4001,$B342,'Per Line'!$AM$2:$AM$4001,1))</f>
        <v/>
      </c>
      <c r="R342">
        <f>IF($AB342="","",Settings!$C$7)</f>
        <v/>
      </c>
      <c r="S342" s="7">
        <f>IF($AB342="","",SUMIFS('Per Line'!$U$2:$U$4001,'Per Line'!$C$2:$C$4001,$B342,'Per Line'!$AL$2:$AL$4001,0,'Per Line'!$AM$2:$AM$4001,0))</f>
        <v/>
      </c>
      <c r="T342" s="7">
        <f>IF($AB342="","",S342*R342)</f>
        <v/>
      </c>
      <c r="U342">
        <f>IF($AB342="","",Settings!$C$6)</f>
        <v/>
      </c>
      <c r="V342" s="7">
        <f>IF($AB342="","",SUMIFS('Per Line'!$U$2:$U$4001,'Per Line'!$C$2:$C$4001,$B342,'Per Line'!$AL$2:$AL$4001,1,'Per Line'!$AM$2:$AM$4001,0))</f>
        <v/>
      </c>
      <c r="W342" s="7">
        <f>IF($AB342="","",V342*U342)</f>
        <v/>
      </c>
      <c r="X342" s="7">
        <f>IF($AB342="","",W342+T342)</f>
        <v/>
      </c>
      <c r="Y342" s="7">
        <f>IF($AB342="","",Z342-X342)</f>
        <v/>
      </c>
      <c r="Z342" s="7">
        <f>IF($AB342="","",S342+V342+Q342)</f>
        <v/>
      </c>
      <c r="AA342" s="7">
        <f>IF($AB342="","",Z342-X342-M342)</f>
        <v/>
      </c>
      <c r="AB342" s="13">
        <f>IF(ROWS($AB$2:$AB342)&lt;=MAX('Per Line'!$AK$2:$AK$4001),MATCH(ROWS($AB$2:$AB342),'Per Line'!$AK$2:$AK$4001,0),"")</f>
        <v/>
      </c>
      <c r="AC342" s="14">
        <f>IF($AB342="","",M342-L342*Z342/100)</f>
        <v/>
      </c>
    </row>
    <row r="343">
      <c r="A343" s="12" t="n"/>
      <c r="B343">
        <f>IF($AB343="","",INDEX('Per Line'!$C$2:$C$4001,$AB343)&amp;"")</f>
        <v/>
      </c>
      <c r="C343">
        <f>IF($AB343="","",INDEX('Per Line'!$D$2:$D$4001,$AB343)&amp;"")</f>
        <v/>
      </c>
      <c r="D343">
        <f>IF($AB343="","",INDEX('Per Line'!$B$2:$B$4001,$AB343)&amp;"")</f>
        <v/>
      </c>
      <c r="E343">
        <f>IF($AB343="","",INDEX('Per Line'!$A$2:$A$4001,$AB343))</f>
        <v/>
      </c>
      <c r="F343" s="11">
        <f>IF($AB343="","",INDEX('Per Line'!$E$2:$E$4001,$AB343))</f>
        <v/>
      </c>
      <c r="G343">
        <f>IF($AB343="","",INDEX('Per Line'!$F$2:$F$4001,$AB343)&amp;"")</f>
        <v/>
      </c>
      <c r="H343">
        <f>IF($AB343="","",INDEX('Per Line'!$H$2:$H$4001,$AB343)&amp;"")</f>
        <v/>
      </c>
      <c r="I343">
        <f>IF($AB343="","",INDEX('Per Line'!$I$2:$I$4001,$AB343)&amp;"")</f>
        <v/>
      </c>
      <c r="J343">
        <f>IF($AB343="","",INDEX('Per Line'!$J$2:$J$4001,$AB343)&amp;"")</f>
        <v/>
      </c>
      <c r="K343">
        <f>IF($AB343="","",INDEX('Per Line'!$K$2:$K$4001,$AB343)&amp;"")</f>
        <v/>
      </c>
      <c r="L343">
        <f>IF($AB343="","",INDEX('Per Line'!$L$2:$L$4001,$AB343))</f>
        <v/>
      </c>
      <c r="M343" s="7">
        <f>IF($AB343="","",IF(AND(ISNUMBER(O343),O343&gt;0,Z343&gt;O343),L343*O343/100+(Z343-O343),L343*Z343/100))</f>
        <v/>
      </c>
      <c r="N343">
        <f>IF($AB343="","",INDEX('Per Line'!$V$2:$V$4001,$AB343)&amp;"")</f>
        <v/>
      </c>
      <c r="O343">
        <f>IF($AB343="","",INDEX('Per Line'!$Z$2:$Z$4001,$AB343))</f>
        <v/>
      </c>
      <c r="P343">
        <f>IF($AB343="","",IF(AND(ISNUMBER(O343),O343&gt;0),Z343&gt;O343,FALSE))</f>
        <v/>
      </c>
      <c r="Q343" s="7">
        <f>IF($AB343="","",SUMIFS('Per Line'!$U$2:$U$4001,'Per Line'!$C$2:$C$4001,$B343,'Per Line'!$AM$2:$AM$4001,1))</f>
        <v/>
      </c>
      <c r="R343">
        <f>IF($AB343="","",Settings!$C$7)</f>
        <v/>
      </c>
      <c r="S343" s="7">
        <f>IF($AB343="","",SUMIFS('Per Line'!$U$2:$U$4001,'Per Line'!$C$2:$C$4001,$B343,'Per Line'!$AL$2:$AL$4001,0,'Per Line'!$AM$2:$AM$4001,0))</f>
        <v/>
      </c>
      <c r="T343" s="7">
        <f>IF($AB343="","",S343*R343)</f>
        <v/>
      </c>
      <c r="U343">
        <f>IF($AB343="","",Settings!$C$6)</f>
        <v/>
      </c>
      <c r="V343" s="7">
        <f>IF($AB343="","",SUMIFS('Per Line'!$U$2:$U$4001,'Per Line'!$C$2:$C$4001,$B343,'Per Line'!$AL$2:$AL$4001,1,'Per Line'!$AM$2:$AM$4001,0))</f>
        <v/>
      </c>
      <c r="W343" s="7">
        <f>IF($AB343="","",V343*U343)</f>
        <v/>
      </c>
      <c r="X343" s="7">
        <f>IF($AB343="","",W343+T343)</f>
        <v/>
      </c>
      <c r="Y343" s="7">
        <f>IF($AB343="","",Z343-X343)</f>
        <v/>
      </c>
      <c r="Z343" s="7">
        <f>IF($AB343="","",S343+V343+Q343)</f>
        <v/>
      </c>
      <c r="AA343" s="7">
        <f>IF($AB343="","",Z343-X343-M343)</f>
        <v/>
      </c>
      <c r="AB343" s="13">
        <f>IF(ROWS($AB$2:$AB343)&lt;=MAX('Per Line'!$AK$2:$AK$4001),MATCH(ROWS($AB$2:$AB343),'Per Line'!$AK$2:$AK$4001,0),"")</f>
        <v/>
      </c>
      <c r="AC343" s="14">
        <f>IF($AB343="","",M343-L343*Z343/100)</f>
        <v/>
      </c>
    </row>
    <row r="344">
      <c r="A344" s="12" t="n"/>
      <c r="B344">
        <f>IF($AB344="","",INDEX('Per Line'!$C$2:$C$4001,$AB344)&amp;"")</f>
        <v/>
      </c>
      <c r="C344">
        <f>IF($AB344="","",INDEX('Per Line'!$D$2:$D$4001,$AB344)&amp;"")</f>
        <v/>
      </c>
      <c r="D344">
        <f>IF($AB344="","",INDEX('Per Line'!$B$2:$B$4001,$AB344)&amp;"")</f>
        <v/>
      </c>
      <c r="E344">
        <f>IF($AB344="","",INDEX('Per Line'!$A$2:$A$4001,$AB344))</f>
        <v/>
      </c>
      <c r="F344" s="11">
        <f>IF($AB344="","",INDEX('Per Line'!$E$2:$E$4001,$AB344))</f>
        <v/>
      </c>
      <c r="G344">
        <f>IF($AB344="","",INDEX('Per Line'!$F$2:$F$4001,$AB344)&amp;"")</f>
        <v/>
      </c>
      <c r="H344">
        <f>IF($AB344="","",INDEX('Per Line'!$H$2:$H$4001,$AB344)&amp;"")</f>
        <v/>
      </c>
      <c r="I344">
        <f>IF($AB344="","",INDEX('Per Line'!$I$2:$I$4001,$AB344)&amp;"")</f>
        <v/>
      </c>
      <c r="J344">
        <f>IF($AB344="","",INDEX('Per Line'!$J$2:$J$4001,$AB344)&amp;"")</f>
        <v/>
      </c>
      <c r="K344">
        <f>IF($AB344="","",INDEX('Per Line'!$K$2:$K$4001,$AB344)&amp;"")</f>
        <v/>
      </c>
      <c r="L344">
        <f>IF($AB344="","",INDEX('Per Line'!$L$2:$L$4001,$AB344))</f>
        <v/>
      </c>
      <c r="M344" s="7">
        <f>IF($AB344="","",IF(AND(ISNUMBER(O344),O344&gt;0,Z344&gt;O344),L344*O344/100+(Z344-O344),L344*Z344/100))</f>
        <v/>
      </c>
      <c r="N344">
        <f>IF($AB344="","",INDEX('Per Line'!$V$2:$V$4001,$AB344)&amp;"")</f>
        <v/>
      </c>
      <c r="O344">
        <f>IF($AB344="","",INDEX('Per Line'!$Z$2:$Z$4001,$AB344))</f>
        <v/>
      </c>
      <c r="P344">
        <f>IF($AB344="","",IF(AND(ISNUMBER(O344),O344&gt;0),Z344&gt;O344,FALSE))</f>
        <v/>
      </c>
      <c r="Q344" s="7">
        <f>IF($AB344="","",SUMIFS('Per Line'!$U$2:$U$4001,'Per Line'!$C$2:$C$4001,$B344,'Per Line'!$AM$2:$AM$4001,1))</f>
        <v/>
      </c>
      <c r="R344">
        <f>IF($AB344="","",Settings!$C$7)</f>
        <v/>
      </c>
      <c r="S344" s="7">
        <f>IF($AB344="","",SUMIFS('Per Line'!$U$2:$U$4001,'Per Line'!$C$2:$C$4001,$B344,'Per Line'!$AL$2:$AL$4001,0,'Per Line'!$AM$2:$AM$4001,0))</f>
        <v/>
      </c>
      <c r="T344" s="7">
        <f>IF($AB344="","",S344*R344)</f>
        <v/>
      </c>
      <c r="U344">
        <f>IF($AB344="","",Settings!$C$6)</f>
        <v/>
      </c>
      <c r="V344" s="7">
        <f>IF($AB344="","",SUMIFS('Per Line'!$U$2:$U$4001,'Per Line'!$C$2:$C$4001,$B344,'Per Line'!$AL$2:$AL$4001,1,'Per Line'!$AM$2:$AM$4001,0))</f>
        <v/>
      </c>
      <c r="W344" s="7">
        <f>IF($AB344="","",V344*U344)</f>
        <v/>
      </c>
      <c r="X344" s="7">
        <f>IF($AB344="","",W344+T344)</f>
        <v/>
      </c>
      <c r="Y344" s="7">
        <f>IF($AB344="","",Z344-X344)</f>
        <v/>
      </c>
      <c r="Z344" s="7">
        <f>IF($AB344="","",S344+V344+Q344)</f>
        <v/>
      </c>
      <c r="AA344" s="7">
        <f>IF($AB344="","",Z344-X344-M344)</f>
        <v/>
      </c>
      <c r="AB344" s="13">
        <f>IF(ROWS($AB$2:$AB344)&lt;=MAX('Per Line'!$AK$2:$AK$4001),MATCH(ROWS($AB$2:$AB344),'Per Line'!$AK$2:$AK$4001,0),"")</f>
        <v/>
      </c>
      <c r="AC344" s="14">
        <f>IF($AB344="","",M344-L344*Z344/100)</f>
        <v/>
      </c>
    </row>
    <row r="345">
      <c r="A345" s="12" t="n"/>
      <c r="B345">
        <f>IF($AB345="","",INDEX('Per Line'!$C$2:$C$4001,$AB345)&amp;"")</f>
        <v/>
      </c>
      <c r="C345">
        <f>IF($AB345="","",INDEX('Per Line'!$D$2:$D$4001,$AB345)&amp;"")</f>
        <v/>
      </c>
      <c r="D345">
        <f>IF($AB345="","",INDEX('Per Line'!$B$2:$B$4001,$AB345)&amp;"")</f>
        <v/>
      </c>
      <c r="E345">
        <f>IF($AB345="","",INDEX('Per Line'!$A$2:$A$4001,$AB345))</f>
        <v/>
      </c>
      <c r="F345" s="11">
        <f>IF($AB345="","",INDEX('Per Line'!$E$2:$E$4001,$AB345))</f>
        <v/>
      </c>
      <c r="G345">
        <f>IF($AB345="","",INDEX('Per Line'!$F$2:$F$4001,$AB345)&amp;"")</f>
        <v/>
      </c>
      <c r="H345">
        <f>IF($AB345="","",INDEX('Per Line'!$H$2:$H$4001,$AB345)&amp;"")</f>
        <v/>
      </c>
      <c r="I345">
        <f>IF($AB345="","",INDEX('Per Line'!$I$2:$I$4001,$AB345)&amp;"")</f>
        <v/>
      </c>
      <c r="J345">
        <f>IF($AB345="","",INDEX('Per Line'!$J$2:$J$4001,$AB345)&amp;"")</f>
        <v/>
      </c>
      <c r="K345">
        <f>IF($AB345="","",INDEX('Per Line'!$K$2:$K$4001,$AB345)&amp;"")</f>
        <v/>
      </c>
      <c r="L345">
        <f>IF($AB345="","",INDEX('Per Line'!$L$2:$L$4001,$AB345))</f>
        <v/>
      </c>
      <c r="M345" s="7">
        <f>IF($AB345="","",IF(AND(ISNUMBER(O345),O345&gt;0,Z345&gt;O345),L345*O345/100+(Z345-O345),L345*Z345/100))</f>
        <v/>
      </c>
      <c r="N345">
        <f>IF($AB345="","",INDEX('Per Line'!$V$2:$V$4001,$AB345)&amp;"")</f>
        <v/>
      </c>
      <c r="O345">
        <f>IF($AB345="","",INDEX('Per Line'!$Z$2:$Z$4001,$AB345))</f>
        <v/>
      </c>
      <c r="P345">
        <f>IF($AB345="","",IF(AND(ISNUMBER(O345),O345&gt;0),Z345&gt;O345,FALSE))</f>
        <v/>
      </c>
      <c r="Q345" s="7">
        <f>IF($AB345="","",SUMIFS('Per Line'!$U$2:$U$4001,'Per Line'!$C$2:$C$4001,$B345,'Per Line'!$AM$2:$AM$4001,1))</f>
        <v/>
      </c>
      <c r="R345">
        <f>IF($AB345="","",Settings!$C$7)</f>
        <v/>
      </c>
      <c r="S345" s="7">
        <f>IF($AB345="","",SUMIFS('Per Line'!$U$2:$U$4001,'Per Line'!$C$2:$C$4001,$B345,'Per Line'!$AL$2:$AL$4001,0,'Per Line'!$AM$2:$AM$4001,0))</f>
        <v/>
      </c>
      <c r="T345" s="7">
        <f>IF($AB345="","",S345*R345)</f>
        <v/>
      </c>
      <c r="U345">
        <f>IF($AB345="","",Settings!$C$6)</f>
        <v/>
      </c>
      <c r="V345" s="7">
        <f>IF($AB345="","",SUMIFS('Per Line'!$U$2:$U$4001,'Per Line'!$C$2:$C$4001,$B345,'Per Line'!$AL$2:$AL$4001,1,'Per Line'!$AM$2:$AM$4001,0))</f>
        <v/>
      </c>
      <c r="W345" s="7">
        <f>IF($AB345="","",V345*U345)</f>
        <v/>
      </c>
      <c r="X345" s="7">
        <f>IF($AB345="","",W345+T345)</f>
        <v/>
      </c>
      <c r="Y345" s="7">
        <f>IF($AB345="","",Z345-X345)</f>
        <v/>
      </c>
      <c r="Z345" s="7">
        <f>IF($AB345="","",S345+V345+Q345)</f>
        <v/>
      </c>
      <c r="AA345" s="7">
        <f>IF($AB345="","",Z345-X345-M345)</f>
        <v/>
      </c>
      <c r="AB345" s="13">
        <f>IF(ROWS($AB$2:$AB345)&lt;=MAX('Per Line'!$AK$2:$AK$4001),MATCH(ROWS($AB$2:$AB345),'Per Line'!$AK$2:$AK$4001,0),"")</f>
        <v/>
      </c>
      <c r="AC345" s="14">
        <f>IF($AB345="","",M345-L345*Z345/100)</f>
        <v/>
      </c>
    </row>
    <row r="346">
      <c r="A346" s="12" t="n"/>
      <c r="B346">
        <f>IF($AB346="","",INDEX('Per Line'!$C$2:$C$4001,$AB346)&amp;"")</f>
        <v/>
      </c>
      <c r="C346">
        <f>IF($AB346="","",INDEX('Per Line'!$D$2:$D$4001,$AB346)&amp;"")</f>
        <v/>
      </c>
      <c r="D346">
        <f>IF($AB346="","",INDEX('Per Line'!$B$2:$B$4001,$AB346)&amp;"")</f>
        <v/>
      </c>
      <c r="E346">
        <f>IF($AB346="","",INDEX('Per Line'!$A$2:$A$4001,$AB346))</f>
        <v/>
      </c>
      <c r="F346" s="11">
        <f>IF($AB346="","",INDEX('Per Line'!$E$2:$E$4001,$AB346))</f>
        <v/>
      </c>
      <c r="G346">
        <f>IF($AB346="","",INDEX('Per Line'!$F$2:$F$4001,$AB346)&amp;"")</f>
        <v/>
      </c>
      <c r="H346">
        <f>IF($AB346="","",INDEX('Per Line'!$H$2:$H$4001,$AB346)&amp;"")</f>
        <v/>
      </c>
      <c r="I346">
        <f>IF($AB346="","",INDEX('Per Line'!$I$2:$I$4001,$AB346)&amp;"")</f>
        <v/>
      </c>
      <c r="J346">
        <f>IF($AB346="","",INDEX('Per Line'!$J$2:$J$4001,$AB346)&amp;"")</f>
        <v/>
      </c>
      <c r="K346">
        <f>IF($AB346="","",INDEX('Per Line'!$K$2:$K$4001,$AB346)&amp;"")</f>
        <v/>
      </c>
      <c r="L346">
        <f>IF($AB346="","",INDEX('Per Line'!$L$2:$L$4001,$AB346))</f>
        <v/>
      </c>
      <c r="M346" s="7">
        <f>IF($AB346="","",IF(AND(ISNUMBER(O346),O346&gt;0,Z346&gt;O346),L346*O346/100+(Z346-O346),L346*Z346/100))</f>
        <v/>
      </c>
      <c r="N346">
        <f>IF($AB346="","",INDEX('Per Line'!$V$2:$V$4001,$AB346)&amp;"")</f>
        <v/>
      </c>
      <c r="O346">
        <f>IF($AB346="","",INDEX('Per Line'!$Z$2:$Z$4001,$AB346))</f>
        <v/>
      </c>
      <c r="P346">
        <f>IF($AB346="","",IF(AND(ISNUMBER(O346),O346&gt;0),Z346&gt;O346,FALSE))</f>
        <v/>
      </c>
      <c r="Q346" s="7">
        <f>IF($AB346="","",SUMIFS('Per Line'!$U$2:$U$4001,'Per Line'!$C$2:$C$4001,$B346,'Per Line'!$AM$2:$AM$4001,1))</f>
        <v/>
      </c>
      <c r="R346">
        <f>IF($AB346="","",Settings!$C$7)</f>
        <v/>
      </c>
      <c r="S346" s="7">
        <f>IF($AB346="","",SUMIFS('Per Line'!$U$2:$U$4001,'Per Line'!$C$2:$C$4001,$B346,'Per Line'!$AL$2:$AL$4001,0,'Per Line'!$AM$2:$AM$4001,0))</f>
        <v/>
      </c>
      <c r="T346" s="7">
        <f>IF($AB346="","",S346*R346)</f>
        <v/>
      </c>
      <c r="U346">
        <f>IF($AB346="","",Settings!$C$6)</f>
        <v/>
      </c>
      <c r="V346" s="7">
        <f>IF($AB346="","",SUMIFS('Per Line'!$U$2:$U$4001,'Per Line'!$C$2:$C$4001,$B346,'Per Line'!$AL$2:$AL$4001,1,'Per Line'!$AM$2:$AM$4001,0))</f>
        <v/>
      </c>
      <c r="W346" s="7">
        <f>IF($AB346="","",V346*U346)</f>
        <v/>
      </c>
      <c r="X346" s="7">
        <f>IF($AB346="","",W346+T346)</f>
        <v/>
      </c>
      <c r="Y346" s="7">
        <f>IF($AB346="","",Z346-X346)</f>
        <v/>
      </c>
      <c r="Z346" s="7">
        <f>IF($AB346="","",S346+V346+Q346)</f>
        <v/>
      </c>
      <c r="AA346" s="7">
        <f>IF($AB346="","",Z346-X346-M346)</f>
        <v/>
      </c>
      <c r="AB346" s="13">
        <f>IF(ROWS($AB$2:$AB346)&lt;=MAX('Per Line'!$AK$2:$AK$4001),MATCH(ROWS($AB$2:$AB346),'Per Line'!$AK$2:$AK$4001,0),"")</f>
        <v/>
      </c>
      <c r="AC346" s="14">
        <f>IF($AB346="","",M346-L346*Z346/100)</f>
        <v/>
      </c>
    </row>
    <row r="347">
      <c r="A347" s="12" t="n"/>
      <c r="B347">
        <f>IF($AB347="","",INDEX('Per Line'!$C$2:$C$4001,$AB347)&amp;"")</f>
        <v/>
      </c>
      <c r="C347">
        <f>IF($AB347="","",INDEX('Per Line'!$D$2:$D$4001,$AB347)&amp;"")</f>
        <v/>
      </c>
      <c r="D347">
        <f>IF($AB347="","",INDEX('Per Line'!$B$2:$B$4001,$AB347)&amp;"")</f>
        <v/>
      </c>
      <c r="E347">
        <f>IF($AB347="","",INDEX('Per Line'!$A$2:$A$4001,$AB347))</f>
        <v/>
      </c>
      <c r="F347" s="11">
        <f>IF($AB347="","",INDEX('Per Line'!$E$2:$E$4001,$AB347))</f>
        <v/>
      </c>
      <c r="G347">
        <f>IF($AB347="","",INDEX('Per Line'!$F$2:$F$4001,$AB347)&amp;"")</f>
        <v/>
      </c>
      <c r="H347">
        <f>IF($AB347="","",INDEX('Per Line'!$H$2:$H$4001,$AB347)&amp;"")</f>
        <v/>
      </c>
      <c r="I347">
        <f>IF($AB347="","",INDEX('Per Line'!$I$2:$I$4001,$AB347)&amp;"")</f>
        <v/>
      </c>
      <c r="J347">
        <f>IF($AB347="","",INDEX('Per Line'!$J$2:$J$4001,$AB347)&amp;"")</f>
        <v/>
      </c>
      <c r="K347">
        <f>IF($AB347="","",INDEX('Per Line'!$K$2:$K$4001,$AB347)&amp;"")</f>
        <v/>
      </c>
      <c r="L347">
        <f>IF($AB347="","",INDEX('Per Line'!$L$2:$L$4001,$AB347))</f>
        <v/>
      </c>
      <c r="M347" s="7">
        <f>IF($AB347="","",IF(AND(ISNUMBER(O347),O347&gt;0,Z347&gt;O347),L347*O347/100+(Z347-O347),L347*Z347/100))</f>
        <v/>
      </c>
      <c r="N347">
        <f>IF($AB347="","",INDEX('Per Line'!$V$2:$V$4001,$AB347)&amp;"")</f>
        <v/>
      </c>
      <c r="O347">
        <f>IF($AB347="","",INDEX('Per Line'!$Z$2:$Z$4001,$AB347))</f>
        <v/>
      </c>
      <c r="P347">
        <f>IF($AB347="","",IF(AND(ISNUMBER(O347),O347&gt;0),Z347&gt;O347,FALSE))</f>
        <v/>
      </c>
      <c r="Q347" s="7">
        <f>IF($AB347="","",SUMIFS('Per Line'!$U$2:$U$4001,'Per Line'!$C$2:$C$4001,$B347,'Per Line'!$AM$2:$AM$4001,1))</f>
        <v/>
      </c>
      <c r="R347">
        <f>IF($AB347="","",Settings!$C$7)</f>
        <v/>
      </c>
      <c r="S347" s="7">
        <f>IF($AB347="","",SUMIFS('Per Line'!$U$2:$U$4001,'Per Line'!$C$2:$C$4001,$B347,'Per Line'!$AL$2:$AL$4001,0,'Per Line'!$AM$2:$AM$4001,0))</f>
        <v/>
      </c>
      <c r="T347" s="7">
        <f>IF($AB347="","",S347*R347)</f>
        <v/>
      </c>
      <c r="U347">
        <f>IF($AB347="","",Settings!$C$6)</f>
        <v/>
      </c>
      <c r="V347" s="7">
        <f>IF($AB347="","",SUMIFS('Per Line'!$U$2:$U$4001,'Per Line'!$C$2:$C$4001,$B347,'Per Line'!$AL$2:$AL$4001,1,'Per Line'!$AM$2:$AM$4001,0))</f>
        <v/>
      </c>
      <c r="W347" s="7">
        <f>IF($AB347="","",V347*U347)</f>
        <v/>
      </c>
      <c r="X347" s="7">
        <f>IF($AB347="","",W347+T347)</f>
        <v/>
      </c>
      <c r="Y347" s="7">
        <f>IF($AB347="","",Z347-X347)</f>
        <v/>
      </c>
      <c r="Z347" s="7">
        <f>IF($AB347="","",S347+V347+Q347)</f>
        <v/>
      </c>
      <c r="AA347" s="7">
        <f>IF($AB347="","",Z347-X347-M347)</f>
        <v/>
      </c>
      <c r="AB347" s="13">
        <f>IF(ROWS($AB$2:$AB347)&lt;=MAX('Per Line'!$AK$2:$AK$4001),MATCH(ROWS($AB$2:$AB347),'Per Line'!$AK$2:$AK$4001,0),"")</f>
        <v/>
      </c>
      <c r="AC347" s="14">
        <f>IF($AB347="","",M347-L347*Z347/100)</f>
        <v/>
      </c>
    </row>
    <row r="348">
      <c r="A348" s="12" t="n"/>
      <c r="B348">
        <f>IF($AB348="","",INDEX('Per Line'!$C$2:$C$4001,$AB348)&amp;"")</f>
        <v/>
      </c>
      <c r="C348">
        <f>IF($AB348="","",INDEX('Per Line'!$D$2:$D$4001,$AB348)&amp;"")</f>
        <v/>
      </c>
      <c r="D348">
        <f>IF($AB348="","",INDEX('Per Line'!$B$2:$B$4001,$AB348)&amp;"")</f>
        <v/>
      </c>
      <c r="E348">
        <f>IF($AB348="","",INDEX('Per Line'!$A$2:$A$4001,$AB348))</f>
        <v/>
      </c>
      <c r="F348" s="11">
        <f>IF($AB348="","",INDEX('Per Line'!$E$2:$E$4001,$AB348))</f>
        <v/>
      </c>
      <c r="G348">
        <f>IF($AB348="","",INDEX('Per Line'!$F$2:$F$4001,$AB348)&amp;"")</f>
        <v/>
      </c>
      <c r="H348">
        <f>IF($AB348="","",INDEX('Per Line'!$H$2:$H$4001,$AB348)&amp;"")</f>
        <v/>
      </c>
      <c r="I348">
        <f>IF($AB348="","",INDEX('Per Line'!$I$2:$I$4001,$AB348)&amp;"")</f>
        <v/>
      </c>
      <c r="J348">
        <f>IF($AB348="","",INDEX('Per Line'!$J$2:$J$4001,$AB348)&amp;"")</f>
        <v/>
      </c>
      <c r="K348">
        <f>IF($AB348="","",INDEX('Per Line'!$K$2:$K$4001,$AB348)&amp;"")</f>
        <v/>
      </c>
      <c r="L348">
        <f>IF($AB348="","",INDEX('Per Line'!$L$2:$L$4001,$AB348))</f>
        <v/>
      </c>
      <c r="M348" s="7">
        <f>IF($AB348="","",IF(AND(ISNUMBER(O348),O348&gt;0,Z348&gt;O348),L348*O348/100+(Z348-O348),L348*Z348/100))</f>
        <v/>
      </c>
      <c r="N348">
        <f>IF($AB348="","",INDEX('Per Line'!$V$2:$V$4001,$AB348)&amp;"")</f>
        <v/>
      </c>
      <c r="O348">
        <f>IF($AB348="","",INDEX('Per Line'!$Z$2:$Z$4001,$AB348))</f>
        <v/>
      </c>
      <c r="P348">
        <f>IF($AB348="","",IF(AND(ISNUMBER(O348),O348&gt;0),Z348&gt;O348,FALSE))</f>
        <v/>
      </c>
      <c r="Q348" s="7">
        <f>IF($AB348="","",SUMIFS('Per Line'!$U$2:$U$4001,'Per Line'!$C$2:$C$4001,$B348,'Per Line'!$AM$2:$AM$4001,1))</f>
        <v/>
      </c>
      <c r="R348">
        <f>IF($AB348="","",Settings!$C$7)</f>
        <v/>
      </c>
      <c r="S348" s="7">
        <f>IF($AB348="","",SUMIFS('Per Line'!$U$2:$U$4001,'Per Line'!$C$2:$C$4001,$B348,'Per Line'!$AL$2:$AL$4001,0,'Per Line'!$AM$2:$AM$4001,0))</f>
        <v/>
      </c>
      <c r="T348" s="7">
        <f>IF($AB348="","",S348*R348)</f>
        <v/>
      </c>
      <c r="U348">
        <f>IF($AB348="","",Settings!$C$6)</f>
        <v/>
      </c>
      <c r="V348" s="7">
        <f>IF($AB348="","",SUMIFS('Per Line'!$U$2:$U$4001,'Per Line'!$C$2:$C$4001,$B348,'Per Line'!$AL$2:$AL$4001,1,'Per Line'!$AM$2:$AM$4001,0))</f>
        <v/>
      </c>
      <c r="W348" s="7">
        <f>IF($AB348="","",V348*U348)</f>
        <v/>
      </c>
      <c r="X348" s="7">
        <f>IF($AB348="","",W348+T348)</f>
        <v/>
      </c>
      <c r="Y348" s="7">
        <f>IF($AB348="","",Z348-X348)</f>
        <v/>
      </c>
      <c r="Z348" s="7">
        <f>IF($AB348="","",S348+V348+Q348)</f>
        <v/>
      </c>
      <c r="AA348" s="7">
        <f>IF($AB348="","",Z348-X348-M348)</f>
        <v/>
      </c>
      <c r="AB348" s="13">
        <f>IF(ROWS($AB$2:$AB348)&lt;=MAX('Per Line'!$AK$2:$AK$4001),MATCH(ROWS($AB$2:$AB348),'Per Line'!$AK$2:$AK$4001,0),"")</f>
        <v/>
      </c>
      <c r="AC348" s="14">
        <f>IF($AB348="","",M348-L348*Z348/100)</f>
        <v/>
      </c>
    </row>
    <row r="349">
      <c r="A349" s="12" t="n"/>
      <c r="B349">
        <f>IF($AB349="","",INDEX('Per Line'!$C$2:$C$4001,$AB349)&amp;"")</f>
        <v/>
      </c>
      <c r="C349">
        <f>IF($AB349="","",INDEX('Per Line'!$D$2:$D$4001,$AB349)&amp;"")</f>
        <v/>
      </c>
      <c r="D349">
        <f>IF($AB349="","",INDEX('Per Line'!$B$2:$B$4001,$AB349)&amp;"")</f>
        <v/>
      </c>
      <c r="E349">
        <f>IF($AB349="","",INDEX('Per Line'!$A$2:$A$4001,$AB349))</f>
        <v/>
      </c>
      <c r="F349" s="11">
        <f>IF($AB349="","",INDEX('Per Line'!$E$2:$E$4001,$AB349))</f>
        <v/>
      </c>
      <c r="G349">
        <f>IF($AB349="","",INDEX('Per Line'!$F$2:$F$4001,$AB349)&amp;"")</f>
        <v/>
      </c>
      <c r="H349">
        <f>IF($AB349="","",INDEX('Per Line'!$H$2:$H$4001,$AB349)&amp;"")</f>
        <v/>
      </c>
      <c r="I349">
        <f>IF($AB349="","",INDEX('Per Line'!$I$2:$I$4001,$AB349)&amp;"")</f>
        <v/>
      </c>
      <c r="J349">
        <f>IF($AB349="","",INDEX('Per Line'!$J$2:$J$4001,$AB349)&amp;"")</f>
        <v/>
      </c>
      <c r="K349">
        <f>IF($AB349="","",INDEX('Per Line'!$K$2:$K$4001,$AB349)&amp;"")</f>
        <v/>
      </c>
      <c r="L349">
        <f>IF($AB349="","",INDEX('Per Line'!$L$2:$L$4001,$AB349))</f>
        <v/>
      </c>
      <c r="M349" s="7">
        <f>IF($AB349="","",IF(AND(ISNUMBER(O349),O349&gt;0,Z349&gt;O349),L349*O349/100+(Z349-O349),L349*Z349/100))</f>
        <v/>
      </c>
      <c r="N349">
        <f>IF($AB349="","",INDEX('Per Line'!$V$2:$V$4001,$AB349)&amp;"")</f>
        <v/>
      </c>
      <c r="O349">
        <f>IF($AB349="","",INDEX('Per Line'!$Z$2:$Z$4001,$AB349))</f>
        <v/>
      </c>
      <c r="P349">
        <f>IF($AB349="","",IF(AND(ISNUMBER(O349),O349&gt;0),Z349&gt;O349,FALSE))</f>
        <v/>
      </c>
      <c r="Q349" s="7">
        <f>IF($AB349="","",SUMIFS('Per Line'!$U$2:$U$4001,'Per Line'!$C$2:$C$4001,$B349,'Per Line'!$AM$2:$AM$4001,1))</f>
        <v/>
      </c>
      <c r="R349">
        <f>IF($AB349="","",Settings!$C$7)</f>
        <v/>
      </c>
      <c r="S349" s="7">
        <f>IF($AB349="","",SUMIFS('Per Line'!$U$2:$U$4001,'Per Line'!$C$2:$C$4001,$B349,'Per Line'!$AL$2:$AL$4001,0,'Per Line'!$AM$2:$AM$4001,0))</f>
        <v/>
      </c>
      <c r="T349" s="7">
        <f>IF($AB349="","",S349*R349)</f>
        <v/>
      </c>
      <c r="U349">
        <f>IF($AB349="","",Settings!$C$6)</f>
        <v/>
      </c>
      <c r="V349" s="7">
        <f>IF($AB349="","",SUMIFS('Per Line'!$U$2:$U$4001,'Per Line'!$C$2:$C$4001,$B349,'Per Line'!$AL$2:$AL$4001,1,'Per Line'!$AM$2:$AM$4001,0))</f>
        <v/>
      </c>
      <c r="W349" s="7">
        <f>IF($AB349="","",V349*U349)</f>
        <v/>
      </c>
      <c r="X349" s="7">
        <f>IF($AB349="","",W349+T349)</f>
        <v/>
      </c>
      <c r="Y349" s="7">
        <f>IF($AB349="","",Z349-X349)</f>
        <v/>
      </c>
      <c r="Z349" s="7">
        <f>IF($AB349="","",S349+V349+Q349)</f>
        <v/>
      </c>
      <c r="AA349" s="7">
        <f>IF($AB349="","",Z349-X349-M349)</f>
        <v/>
      </c>
      <c r="AB349" s="13">
        <f>IF(ROWS($AB$2:$AB349)&lt;=MAX('Per Line'!$AK$2:$AK$4001),MATCH(ROWS($AB$2:$AB349),'Per Line'!$AK$2:$AK$4001,0),"")</f>
        <v/>
      </c>
      <c r="AC349" s="14">
        <f>IF($AB349="","",M349-L349*Z349/100)</f>
        <v/>
      </c>
    </row>
    <row r="350">
      <c r="A350" s="12" t="n"/>
      <c r="B350">
        <f>IF($AB350="","",INDEX('Per Line'!$C$2:$C$4001,$AB350)&amp;"")</f>
        <v/>
      </c>
      <c r="C350">
        <f>IF($AB350="","",INDEX('Per Line'!$D$2:$D$4001,$AB350)&amp;"")</f>
        <v/>
      </c>
      <c r="D350">
        <f>IF($AB350="","",INDEX('Per Line'!$B$2:$B$4001,$AB350)&amp;"")</f>
        <v/>
      </c>
      <c r="E350">
        <f>IF($AB350="","",INDEX('Per Line'!$A$2:$A$4001,$AB350))</f>
        <v/>
      </c>
      <c r="F350" s="11">
        <f>IF($AB350="","",INDEX('Per Line'!$E$2:$E$4001,$AB350))</f>
        <v/>
      </c>
      <c r="G350">
        <f>IF($AB350="","",INDEX('Per Line'!$F$2:$F$4001,$AB350)&amp;"")</f>
        <v/>
      </c>
      <c r="H350">
        <f>IF($AB350="","",INDEX('Per Line'!$H$2:$H$4001,$AB350)&amp;"")</f>
        <v/>
      </c>
      <c r="I350">
        <f>IF($AB350="","",INDEX('Per Line'!$I$2:$I$4001,$AB350)&amp;"")</f>
        <v/>
      </c>
      <c r="J350">
        <f>IF($AB350="","",INDEX('Per Line'!$J$2:$J$4001,$AB350)&amp;"")</f>
        <v/>
      </c>
      <c r="K350">
        <f>IF($AB350="","",INDEX('Per Line'!$K$2:$K$4001,$AB350)&amp;"")</f>
        <v/>
      </c>
      <c r="L350">
        <f>IF($AB350="","",INDEX('Per Line'!$L$2:$L$4001,$AB350))</f>
        <v/>
      </c>
      <c r="M350" s="7">
        <f>IF($AB350="","",IF(AND(ISNUMBER(O350),O350&gt;0,Z350&gt;O350),L350*O350/100+(Z350-O350),L350*Z350/100))</f>
        <v/>
      </c>
      <c r="N350">
        <f>IF($AB350="","",INDEX('Per Line'!$V$2:$V$4001,$AB350)&amp;"")</f>
        <v/>
      </c>
      <c r="O350">
        <f>IF($AB350="","",INDEX('Per Line'!$Z$2:$Z$4001,$AB350))</f>
        <v/>
      </c>
      <c r="P350">
        <f>IF($AB350="","",IF(AND(ISNUMBER(O350),O350&gt;0),Z350&gt;O350,FALSE))</f>
        <v/>
      </c>
      <c r="Q350" s="7">
        <f>IF($AB350="","",SUMIFS('Per Line'!$U$2:$U$4001,'Per Line'!$C$2:$C$4001,$B350,'Per Line'!$AM$2:$AM$4001,1))</f>
        <v/>
      </c>
      <c r="R350">
        <f>IF($AB350="","",Settings!$C$7)</f>
        <v/>
      </c>
      <c r="S350" s="7">
        <f>IF($AB350="","",SUMIFS('Per Line'!$U$2:$U$4001,'Per Line'!$C$2:$C$4001,$B350,'Per Line'!$AL$2:$AL$4001,0,'Per Line'!$AM$2:$AM$4001,0))</f>
        <v/>
      </c>
      <c r="T350" s="7">
        <f>IF($AB350="","",S350*R350)</f>
        <v/>
      </c>
      <c r="U350">
        <f>IF($AB350="","",Settings!$C$6)</f>
        <v/>
      </c>
      <c r="V350" s="7">
        <f>IF($AB350="","",SUMIFS('Per Line'!$U$2:$U$4001,'Per Line'!$C$2:$C$4001,$B350,'Per Line'!$AL$2:$AL$4001,1,'Per Line'!$AM$2:$AM$4001,0))</f>
        <v/>
      </c>
      <c r="W350" s="7">
        <f>IF($AB350="","",V350*U350)</f>
        <v/>
      </c>
      <c r="X350" s="7">
        <f>IF($AB350="","",W350+T350)</f>
        <v/>
      </c>
      <c r="Y350" s="7">
        <f>IF($AB350="","",Z350-X350)</f>
        <v/>
      </c>
      <c r="Z350" s="7">
        <f>IF($AB350="","",S350+V350+Q350)</f>
        <v/>
      </c>
      <c r="AA350" s="7">
        <f>IF($AB350="","",Z350-X350-M350)</f>
        <v/>
      </c>
      <c r="AB350" s="13">
        <f>IF(ROWS($AB$2:$AB350)&lt;=MAX('Per Line'!$AK$2:$AK$4001),MATCH(ROWS($AB$2:$AB350),'Per Line'!$AK$2:$AK$4001,0),"")</f>
        <v/>
      </c>
      <c r="AC350" s="14">
        <f>IF($AB350="","",M350-L350*Z350/100)</f>
        <v/>
      </c>
    </row>
    <row r="351">
      <c r="A351" s="12" t="n"/>
      <c r="B351">
        <f>IF($AB351="","",INDEX('Per Line'!$C$2:$C$4001,$AB351)&amp;"")</f>
        <v/>
      </c>
      <c r="C351">
        <f>IF($AB351="","",INDEX('Per Line'!$D$2:$D$4001,$AB351)&amp;"")</f>
        <v/>
      </c>
      <c r="D351">
        <f>IF($AB351="","",INDEX('Per Line'!$B$2:$B$4001,$AB351)&amp;"")</f>
        <v/>
      </c>
      <c r="E351">
        <f>IF($AB351="","",INDEX('Per Line'!$A$2:$A$4001,$AB351))</f>
        <v/>
      </c>
      <c r="F351" s="11">
        <f>IF($AB351="","",INDEX('Per Line'!$E$2:$E$4001,$AB351))</f>
        <v/>
      </c>
      <c r="G351">
        <f>IF($AB351="","",INDEX('Per Line'!$F$2:$F$4001,$AB351)&amp;"")</f>
        <v/>
      </c>
      <c r="H351">
        <f>IF($AB351="","",INDEX('Per Line'!$H$2:$H$4001,$AB351)&amp;"")</f>
        <v/>
      </c>
      <c r="I351">
        <f>IF($AB351="","",INDEX('Per Line'!$I$2:$I$4001,$AB351)&amp;"")</f>
        <v/>
      </c>
      <c r="J351">
        <f>IF($AB351="","",INDEX('Per Line'!$J$2:$J$4001,$AB351)&amp;"")</f>
        <v/>
      </c>
      <c r="K351">
        <f>IF($AB351="","",INDEX('Per Line'!$K$2:$K$4001,$AB351)&amp;"")</f>
        <v/>
      </c>
      <c r="L351">
        <f>IF($AB351="","",INDEX('Per Line'!$L$2:$L$4001,$AB351))</f>
        <v/>
      </c>
      <c r="M351" s="7">
        <f>IF($AB351="","",IF(AND(ISNUMBER(O351),O351&gt;0,Z351&gt;O351),L351*O351/100+(Z351-O351),L351*Z351/100))</f>
        <v/>
      </c>
      <c r="N351">
        <f>IF($AB351="","",INDEX('Per Line'!$V$2:$V$4001,$AB351)&amp;"")</f>
        <v/>
      </c>
      <c r="O351">
        <f>IF($AB351="","",INDEX('Per Line'!$Z$2:$Z$4001,$AB351))</f>
        <v/>
      </c>
      <c r="P351">
        <f>IF($AB351="","",IF(AND(ISNUMBER(O351),O351&gt;0),Z351&gt;O351,FALSE))</f>
        <v/>
      </c>
      <c r="Q351" s="7">
        <f>IF($AB351="","",SUMIFS('Per Line'!$U$2:$U$4001,'Per Line'!$C$2:$C$4001,$B351,'Per Line'!$AM$2:$AM$4001,1))</f>
        <v/>
      </c>
      <c r="R351">
        <f>IF($AB351="","",Settings!$C$7)</f>
        <v/>
      </c>
      <c r="S351" s="7">
        <f>IF($AB351="","",SUMIFS('Per Line'!$U$2:$U$4001,'Per Line'!$C$2:$C$4001,$B351,'Per Line'!$AL$2:$AL$4001,0,'Per Line'!$AM$2:$AM$4001,0))</f>
        <v/>
      </c>
      <c r="T351" s="7">
        <f>IF($AB351="","",S351*R351)</f>
        <v/>
      </c>
      <c r="U351">
        <f>IF($AB351="","",Settings!$C$6)</f>
        <v/>
      </c>
      <c r="V351" s="7">
        <f>IF($AB351="","",SUMIFS('Per Line'!$U$2:$U$4001,'Per Line'!$C$2:$C$4001,$B351,'Per Line'!$AL$2:$AL$4001,1,'Per Line'!$AM$2:$AM$4001,0))</f>
        <v/>
      </c>
      <c r="W351" s="7">
        <f>IF($AB351="","",V351*U351)</f>
        <v/>
      </c>
      <c r="X351" s="7">
        <f>IF($AB351="","",W351+T351)</f>
        <v/>
      </c>
      <c r="Y351" s="7">
        <f>IF($AB351="","",Z351-X351)</f>
        <v/>
      </c>
      <c r="Z351" s="7">
        <f>IF($AB351="","",S351+V351+Q351)</f>
        <v/>
      </c>
      <c r="AA351" s="7">
        <f>IF($AB351="","",Z351-X351-M351)</f>
        <v/>
      </c>
      <c r="AB351" s="13">
        <f>IF(ROWS($AB$2:$AB351)&lt;=MAX('Per Line'!$AK$2:$AK$4001),MATCH(ROWS($AB$2:$AB351),'Per Line'!$AK$2:$AK$4001,0),"")</f>
        <v/>
      </c>
      <c r="AC351" s="14">
        <f>IF($AB351="","",M351-L351*Z351/100)</f>
        <v/>
      </c>
    </row>
    <row r="352">
      <c r="A352" s="12" t="n"/>
      <c r="B352">
        <f>IF($AB352="","",INDEX('Per Line'!$C$2:$C$4001,$AB352)&amp;"")</f>
        <v/>
      </c>
      <c r="C352">
        <f>IF($AB352="","",INDEX('Per Line'!$D$2:$D$4001,$AB352)&amp;"")</f>
        <v/>
      </c>
      <c r="D352">
        <f>IF($AB352="","",INDEX('Per Line'!$B$2:$B$4001,$AB352)&amp;"")</f>
        <v/>
      </c>
      <c r="E352">
        <f>IF($AB352="","",INDEX('Per Line'!$A$2:$A$4001,$AB352))</f>
        <v/>
      </c>
      <c r="F352" s="11">
        <f>IF($AB352="","",INDEX('Per Line'!$E$2:$E$4001,$AB352))</f>
        <v/>
      </c>
      <c r="G352">
        <f>IF($AB352="","",INDEX('Per Line'!$F$2:$F$4001,$AB352)&amp;"")</f>
        <v/>
      </c>
      <c r="H352">
        <f>IF($AB352="","",INDEX('Per Line'!$H$2:$H$4001,$AB352)&amp;"")</f>
        <v/>
      </c>
      <c r="I352">
        <f>IF($AB352="","",INDEX('Per Line'!$I$2:$I$4001,$AB352)&amp;"")</f>
        <v/>
      </c>
      <c r="J352">
        <f>IF($AB352="","",INDEX('Per Line'!$J$2:$J$4001,$AB352)&amp;"")</f>
        <v/>
      </c>
      <c r="K352">
        <f>IF($AB352="","",INDEX('Per Line'!$K$2:$K$4001,$AB352)&amp;"")</f>
        <v/>
      </c>
      <c r="L352">
        <f>IF($AB352="","",INDEX('Per Line'!$L$2:$L$4001,$AB352))</f>
        <v/>
      </c>
      <c r="M352" s="7">
        <f>IF($AB352="","",IF(AND(ISNUMBER(O352),O352&gt;0,Z352&gt;O352),L352*O352/100+(Z352-O352),L352*Z352/100))</f>
        <v/>
      </c>
      <c r="N352">
        <f>IF($AB352="","",INDEX('Per Line'!$V$2:$V$4001,$AB352)&amp;"")</f>
        <v/>
      </c>
      <c r="O352">
        <f>IF($AB352="","",INDEX('Per Line'!$Z$2:$Z$4001,$AB352))</f>
        <v/>
      </c>
      <c r="P352">
        <f>IF($AB352="","",IF(AND(ISNUMBER(O352),O352&gt;0),Z352&gt;O352,FALSE))</f>
        <v/>
      </c>
      <c r="Q352" s="7">
        <f>IF($AB352="","",SUMIFS('Per Line'!$U$2:$U$4001,'Per Line'!$C$2:$C$4001,$B352,'Per Line'!$AM$2:$AM$4001,1))</f>
        <v/>
      </c>
      <c r="R352">
        <f>IF($AB352="","",Settings!$C$7)</f>
        <v/>
      </c>
      <c r="S352" s="7">
        <f>IF($AB352="","",SUMIFS('Per Line'!$U$2:$U$4001,'Per Line'!$C$2:$C$4001,$B352,'Per Line'!$AL$2:$AL$4001,0,'Per Line'!$AM$2:$AM$4001,0))</f>
        <v/>
      </c>
      <c r="T352" s="7">
        <f>IF($AB352="","",S352*R352)</f>
        <v/>
      </c>
      <c r="U352">
        <f>IF($AB352="","",Settings!$C$6)</f>
        <v/>
      </c>
      <c r="V352" s="7">
        <f>IF($AB352="","",SUMIFS('Per Line'!$U$2:$U$4001,'Per Line'!$C$2:$C$4001,$B352,'Per Line'!$AL$2:$AL$4001,1,'Per Line'!$AM$2:$AM$4001,0))</f>
        <v/>
      </c>
      <c r="W352" s="7">
        <f>IF($AB352="","",V352*U352)</f>
        <v/>
      </c>
      <c r="X352" s="7">
        <f>IF($AB352="","",W352+T352)</f>
        <v/>
      </c>
      <c r="Y352" s="7">
        <f>IF($AB352="","",Z352-X352)</f>
        <v/>
      </c>
      <c r="Z352" s="7">
        <f>IF($AB352="","",S352+V352+Q352)</f>
        <v/>
      </c>
      <c r="AA352" s="7">
        <f>IF($AB352="","",Z352-X352-M352)</f>
        <v/>
      </c>
      <c r="AB352" s="13">
        <f>IF(ROWS($AB$2:$AB352)&lt;=MAX('Per Line'!$AK$2:$AK$4001),MATCH(ROWS($AB$2:$AB352),'Per Line'!$AK$2:$AK$4001,0),"")</f>
        <v/>
      </c>
      <c r="AC352" s="14">
        <f>IF($AB352="","",M352-L352*Z352/100)</f>
        <v/>
      </c>
    </row>
    <row r="353">
      <c r="A353" s="12" t="n"/>
      <c r="B353">
        <f>IF($AB353="","",INDEX('Per Line'!$C$2:$C$4001,$AB353)&amp;"")</f>
        <v/>
      </c>
      <c r="C353">
        <f>IF($AB353="","",INDEX('Per Line'!$D$2:$D$4001,$AB353)&amp;"")</f>
        <v/>
      </c>
      <c r="D353">
        <f>IF($AB353="","",INDEX('Per Line'!$B$2:$B$4001,$AB353)&amp;"")</f>
        <v/>
      </c>
      <c r="E353">
        <f>IF($AB353="","",INDEX('Per Line'!$A$2:$A$4001,$AB353))</f>
        <v/>
      </c>
      <c r="F353" s="11">
        <f>IF($AB353="","",INDEX('Per Line'!$E$2:$E$4001,$AB353))</f>
        <v/>
      </c>
      <c r="G353">
        <f>IF($AB353="","",INDEX('Per Line'!$F$2:$F$4001,$AB353)&amp;"")</f>
        <v/>
      </c>
      <c r="H353">
        <f>IF($AB353="","",INDEX('Per Line'!$H$2:$H$4001,$AB353)&amp;"")</f>
        <v/>
      </c>
      <c r="I353">
        <f>IF($AB353="","",INDEX('Per Line'!$I$2:$I$4001,$AB353)&amp;"")</f>
        <v/>
      </c>
      <c r="J353">
        <f>IF($AB353="","",INDEX('Per Line'!$J$2:$J$4001,$AB353)&amp;"")</f>
        <v/>
      </c>
      <c r="K353">
        <f>IF($AB353="","",INDEX('Per Line'!$K$2:$K$4001,$AB353)&amp;"")</f>
        <v/>
      </c>
      <c r="L353">
        <f>IF($AB353="","",INDEX('Per Line'!$L$2:$L$4001,$AB353))</f>
        <v/>
      </c>
      <c r="M353" s="7">
        <f>IF($AB353="","",IF(AND(ISNUMBER(O353),O353&gt;0,Z353&gt;O353),L353*O353/100+(Z353-O353),L353*Z353/100))</f>
        <v/>
      </c>
      <c r="N353">
        <f>IF($AB353="","",INDEX('Per Line'!$V$2:$V$4001,$AB353)&amp;"")</f>
        <v/>
      </c>
      <c r="O353">
        <f>IF($AB353="","",INDEX('Per Line'!$Z$2:$Z$4001,$AB353))</f>
        <v/>
      </c>
      <c r="P353">
        <f>IF($AB353="","",IF(AND(ISNUMBER(O353),O353&gt;0),Z353&gt;O353,FALSE))</f>
        <v/>
      </c>
      <c r="Q353" s="7">
        <f>IF($AB353="","",SUMIFS('Per Line'!$U$2:$U$4001,'Per Line'!$C$2:$C$4001,$B353,'Per Line'!$AM$2:$AM$4001,1))</f>
        <v/>
      </c>
      <c r="R353">
        <f>IF($AB353="","",Settings!$C$7)</f>
        <v/>
      </c>
      <c r="S353" s="7">
        <f>IF($AB353="","",SUMIFS('Per Line'!$U$2:$U$4001,'Per Line'!$C$2:$C$4001,$B353,'Per Line'!$AL$2:$AL$4001,0,'Per Line'!$AM$2:$AM$4001,0))</f>
        <v/>
      </c>
      <c r="T353" s="7">
        <f>IF($AB353="","",S353*R353)</f>
        <v/>
      </c>
      <c r="U353">
        <f>IF($AB353="","",Settings!$C$6)</f>
        <v/>
      </c>
      <c r="V353" s="7">
        <f>IF($AB353="","",SUMIFS('Per Line'!$U$2:$U$4001,'Per Line'!$C$2:$C$4001,$B353,'Per Line'!$AL$2:$AL$4001,1,'Per Line'!$AM$2:$AM$4001,0))</f>
        <v/>
      </c>
      <c r="W353" s="7">
        <f>IF($AB353="","",V353*U353)</f>
        <v/>
      </c>
      <c r="X353" s="7">
        <f>IF($AB353="","",W353+T353)</f>
        <v/>
      </c>
      <c r="Y353" s="7">
        <f>IF($AB353="","",Z353-X353)</f>
        <v/>
      </c>
      <c r="Z353" s="7">
        <f>IF($AB353="","",S353+V353+Q353)</f>
        <v/>
      </c>
      <c r="AA353" s="7">
        <f>IF($AB353="","",Z353-X353-M353)</f>
        <v/>
      </c>
      <c r="AB353" s="13">
        <f>IF(ROWS($AB$2:$AB353)&lt;=MAX('Per Line'!$AK$2:$AK$4001),MATCH(ROWS($AB$2:$AB353),'Per Line'!$AK$2:$AK$4001,0),"")</f>
        <v/>
      </c>
      <c r="AC353" s="14">
        <f>IF($AB353="","",M353-L353*Z353/100)</f>
        <v/>
      </c>
    </row>
    <row r="354">
      <c r="A354" s="12" t="n"/>
      <c r="B354">
        <f>IF($AB354="","",INDEX('Per Line'!$C$2:$C$4001,$AB354)&amp;"")</f>
        <v/>
      </c>
      <c r="C354">
        <f>IF($AB354="","",INDEX('Per Line'!$D$2:$D$4001,$AB354)&amp;"")</f>
        <v/>
      </c>
      <c r="D354">
        <f>IF($AB354="","",INDEX('Per Line'!$B$2:$B$4001,$AB354)&amp;"")</f>
        <v/>
      </c>
      <c r="E354">
        <f>IF($AB354="","",INDEX('Per Line'!$A$2:$A$4001,$AB354))</f>
        <v/>
      </c>
      <c r="F354" s="11">
        <f>IF($AB354="","",INDEX('Per Line'!$E$2:$E$4001,$AB354))</f>
        <v/>
      </c>
      <c r="G354">
        <f>IF($AB354="","",INDEX('Per Line'!$F$2:$F$4001,$AB354)&amp;"")</f>
        <v/>
      </c>
      <c r="H354">
        <f>IF($AB354="","",INDEX('Per Line'!$H$2:$H$4001,$AB354)&amp;"")</f>
        <v/>
      </c>
      <c r="I354">
        <f>IF($AB354="","",INDEX('Per Line'!$I$2:$I$4001,$AB354)&amp;"")</f>
        <v/>
      </c>
      <c r="J354">
        <f>IF($AB354="","",INDEX('Per Line'!$J$2:$J$4001,$AB354)&amp;"")</f>
        <v/>
      </c>
      <c r="K354">
        <f>IF($AB354="","",INDEX('Per Line'!$K$2:$K$4001,$AB354)&amp;"")</f>
        <v/>
      </c>
      <c r="L354">
        <f>IF($AB354="","",INDEX('Per Line'!$L$2:$L$4001,$AB354))</f>
        <v/>
      </c>
      <c r="M354" s="7">
        <f>IF($AB354="","",IF(AND(ISNUMBER(O354),O354&gt;0,Z354&gt;O354),L354*O354/100+(Z354-O354),L354*Z354/100))</f>
        <v/>
      </c>
      <c r="N354">
        <f>IF($AB354="","",INDEX('Per Line'!$V$2:$V$4001,$AB354)&amp;"")</f>
        <v/>
      </c>
      <c r="O354">
        <f>IF($AB354="","",INDEX('Per Line'!$Z$2:$Z$4001,$AB354))</f>
        <v/>
      </c>
      <c r="P354">
        <f>IF($AB354="","",IF(AND(ISNUMBER(O354),O354&gt;0),Z354&gt;O354,FALSE))</f>
        <v/>
      </c>
      <c r="Q354" s="7">
        <f>IF($AB354="","",SUMIFS('Per Line'!$U$2:$U$4001,'Per Line'!$C$2:$C$4001,$B354,'Per Line'!$AM$2:$AM$4001,1))</f>
        <v/>
      </c>
      <c r="R354">
        <f>IF($AB354="","",Settings!$C$7)</f>
        <v/>
      </c>
      <c r="S354" s="7">
        <f>IF($AB354="","",SUMIFS('Per Line'!$U$2:$U$4001,'Per Line'!$C$2:$C$4001,$B354,'Per Line'!$AL$2:$AL$4001,0,'Per Line'!$AM$2:$AM$4001,0))</f>
        <v/>
      </c>
      <c r="T354" s="7">
        <f>IF($AB354="","",S354*R354)</f>
        <v/>
      </c>
      <c r="U354">
        <f>IF($AB354="","",Settings!$C$6)</f>
        <v/>
      </c>
      <c r="V354" s="7">
        <f>IF($AB354="","",SUMIFS('Per Line'!$U$2:$U$4001,'Per Line'!$C$2:$C$4001,$B354,'Per Line'!$AL$2:$AL$4001,1,'Per Line'!$AM$2:$AM$4001,0))</f>
        <v/>
      </c>
      <c r="W354" s="7">
        <f>IF($AB354="","",V354*U354)</f>
        <v/>
      </c>
      <c r="X354" s="7">
        <f>IF($AB354="","",W354+T354)</f>
        <v/>
      </c>
      <c r="Y354" s="7">
        <f>IF($AB354="","",Z354-X354)</f>
        <v/>
      </c>
      <c r="Z354" s="7">
        <f>IF($AB354="","",S354+V354+Q354)</f>
        <v/>
      </c>
      <c r="AA354" s="7">
        <f>IF($AB354="","",Z354-X354-M354)</f>
        <v/>
      </c>
      <c r="AB354" s="13">
        <f>IF(ROWS($AB$2:$AB354)&lt;=MAX('Per Line'!$AK$2:$AK$4001),MATCH(ROWS($AB$2:$AB354),'Per Line'!$AK$2:$AK$4001,0),"")</f>
        <v/>
      </c>
      <c r="AC354" s="14">
        <f>IF($AB354="","",M354-L354*Z354/100)</f>
        <v/>
      </c>
    </row>
    <row r="355">
      <c r="A355" s="12" t="n"/>
      <c r="B355">
        <f>IF($AB355="","",INDEX('Per Line'!$C$2:$C$4001,$AB355)&amp;"")</f>
        <v/>
      </c>
      <c r="C355">
        <f>IF($AB355="","",INDEX('Per Line'!$D$2:$D$4001,$AB355)&amp;"")</f>
        <v/>
      </c>
      <c r="D355">
        <f>IF($AB355="","",INDEX('Per Line'!$B$2:$B$4001,$AB355)&amp;"")</f>
        <v/>
      </c>
      <c r="E355">
        <f>IF($AB355="","",INDEX('Per Line'!$A$2:$A$4001,$AB355))</f>
        <v/>
      </c>
      <c r="F355" s="11">
        <f>IF($AB355="","",INDEX('Per Line'!$E$2:$E$4001,$AB355))</f>
        <v/>
      </c>
      <c r="G355">
        <f>IF($AB355="","",INDEX('Per Line'!$F$2:$F$4001,$AB355)&amp;"")</f>
        <v/>
      </c>
      <c r="H355">
        <f>IF($AB355="","",INDEX('Per Line'!$H$2:$H$4001,$AB355)&amp;"")</f>
        <v/>
      </c>
      <c r="I355">
        <f>IF($AB355="","",INDEX('Per Line'!$I$2:$I$4001,$AB355)&amp;"")</f>
        <v/>
      </c>
      <c r="J355">
        <f>IF($AB355="","",INDEX('Per Line'!$J$2:$J$4001,$AB355)&amp;"")</f>
        <v/>
      </c>
      <c r="K355">
        <f>IF($AB355="","",INDEX('Per Line'!$K$2:$K$4001,$AB355)&amp;"")</f>
        <v/>
      </c>
      <c r="L355">
        <f>IF($AB355="","",INDEX('Per Line'!$L$2:$L$4001,$AB355))</f>
        <v/>
      </c>
      <c r="M355" s="7">
        <f>IF($AB355="","",IF(AND(ISNUMBER(O355),O355&gt;0,Z355&gt;O355),L355*O355/100+(Z355-O355),L355*Z355/100))</f>
        <v/>
      </c>
      <c r="N355">
        <f>IF($AB355="","",INDEX('Per Line'!$V$2:$V$4001,$AB355)&amp;"")</f>
        <v/>
      </c>
      <c r="O355">
        <f>IF($AB355="","",INDEX('Per Line'!$Z$2:$Z$4001,$AB355))</f>
        <v/>
      </c>
      <c r="P355">
        <f>IF($AB355="","",IF(AND(ISNUMBER(O355),O355&gt;0),Z355&gt;O355,FALSE))</f>
        <v/>
      </c>
      <c r="Q355" s="7">
        <f>IF($AB355="","",SUMIFS('Per Line'!$U$2:$U$4001,'Per Line'!$C$2:$C$4001,$B355,'Per Line'!$AM$2:$AM$4001,1))</f>
        <v/>
      </c>
      <c r="R355">
        <f>IF($AB355="","",Settings!$C$7)</f>
        <v/>
      </c>
      <c r="S355" s="7">
        <f>IF($AB355="","",SUMIFS('Per Line'!$U$2:$U$4001,'Per Line'!$C$2:$C$4001,$B355,'Per Line'!$AL$2:$AL$4001,0,'Per Line'!$AM$2:$AM$4001,0))</f>
        <v/>
      </c>
      <c r="T355" s="7">
        <f>IF($AB355="","",S355*R355)</f>
        <v/>
      </c>
      <c r="U355">
        <f>IF($AB355="","",Settings!$C$6)</f>
        <v/>
      </c>
      <c r="V355" s="7">
        <f>IF($AB355="","",SUMIFS('Per Line'!$U$2:$U$4001,'Per Line'!$C$2:$C$4001,$B355,'Per Line'!$AL$2:$AL$4001,1,'Per Line'!$AM$2:$AM$4001,0))</f>
        <v/>
      </c>
      <c r="W355" s="7">
        <f>IF($AB355="","",V355*U355)</f>
        <v/>
      </c>
      <c r="X355" s="7">
        <f>IF($AB355="","",W355+T355)</f>
        <v/>
      </c>
      <c r="Y355" s="7">
        <f>IF($AB355="","",Z355-X355)</f>
        <v/>
      </c>
      <c r="Z355" s="7">
        <f>IF($AB355="","",S355+V355+Q355)</f>
        <v/>
      </c>
      <c r="AA355" s="7">
        <f>IF($AB355="","",Z355-X355-M355)</f>
        <v/>
      </c>
      <c r="AB355" s="13">
        <f>IF(ROWS($AB$2:$AB355)&lt;=MAX('Per Line'!$AK$2:$AK$4001),MATCH(ROWS($AB$2:$AB355),'Per Line'!$AK$2:$AK$4001,0),"")</f>
        <v/>
      </c>
      <c r="AC355" s="14">
        <f>IF($AB355="","",M355-L355*Z355/100)</f>
        <v/>
      </c>
    </row>
    <row r="356">
      <c r="A356" s="12" t="n"/>
      <c r="B356">
        <f>IF($AB356="","",INDEX('Per Line'!$C$2:$C$4001,$AB356)&amp;"")</f>
        <v/>
      </c>
      <c r="C356">
        <f>IF($AB356="","",INDEX('Per Line'!$D$2:$D$4001,$AB356)&amp;"")</f>
        <v/>
      </c>
      <c r="D356">
        <f>IF($AB356="","",INDEX('Per Line'!$B$2:$B$4001,$AB356)&amp;"")</f>
        <v/>
      </c>
      <c r="E356">
        <f>IF($AB356="","",INDEX('Per Line'!$A$2:$A$4001,$AB356))</f>
        <v/>
      </c>
      <c r="F356" s="11">
        <f>IF($AB356="","",INDEX('Per Line'!$E$2:$E$4001,$AB356))</f>
        <v/>
      </c>
      <c r="G356">
        <f>IF($AB356="","",INDEX('Per Line'!$F$2:$F$4001,$AB356)&amp;"")</f>
        <v/>
      </c>
      <c r="H356">
        <f>IF($AB356="","",INDEX('Per Line'!$H$2:$H$4001,$AB356)&amp;"")</f>
        <v/>
      </c>
      <c r="I356">
        <f>IF($AB356="","",INDEX('Per Line'!$I$2:$I$4001,$AB356)&amp;"")</f>
        <v/>
      </c>
      <c r="J356">
        <f>IF($AB356="","",INDEX('Per Line'!$J$2:$J$4001,$AB356)&amp;"")</f>
        <v/>
      </c>
      <c r="K356">
        <f>IF($AB356="","",INDEX('Per Line'!$K$2:$K$4001,$AB356)&amp;"")</f>
        <v/>
      </c>
      <c r="L356">
        <f>IF($AB356="","",INDEX('Per Line'!$L$2:$L$4001,$AB356))</f>
        <v/>
      </c>
      <c r="M356" s="7">
        <f>IF($AB356="","",IF(AND(ISNUMBER(O356),O356&gt;0,Z356&gt;O356),L356*O356/100+(Z356-O356),L356*Z356/100))</f>
        <v/>
      </c>
      <c r="N356">
        <f>IF($AB356="","",INDEX('Per Line'!$V$2:$V$4001,$AB356)&amp;"")</f>
        <v/>
      </c>
      <c r="O356">
        <f>IF($AB356="","",INDEX('Per Line'!$Z$2:$Z$4001,$AB356))</f>
        <v/>
      </c>
      <c r="P356">
        <f>IF($AB356="","",IF(AND(ISNUMBER(O356),O356&gt;0),Z356&gt;O356,FALSE))</f>
        <v/>
      </c>
      <c r="Q356" s="7">
        <f>IF($AB356="","",SUMIFS('Per Line'!$U$2:$U$4001,'Per Line'!$C$2:$C$4001,$B356,'Per Line'!$AM$2:$AM$4001,1))</f>
        <v/>
      </c>
      <c r="R356">
        <f>IF($AB356="","",Settings!$C$7)</f>
        <v/>
      </c>
      <c r="S356" s="7">
        <f>IF($AB356="","",SUMIFS('Per Line'!$U$2:$U$4001,'Per Line'!$C$2:$C$4001,$B356,'Per Line'!$AL$2:$AL$4001,0,'Per Line'!$AM$2:$AM$4001,0))</f>
        <v/>
      </c>
      <c r="T356" s="7">
        <f>IF($AB356="","",S356*R356)</f>
        <v/>
      </c>
      <c r="U356">
        <f>IF($AB356="","",Settings!$C$6)</f>
        <v/>
      </c>
      <c r="V356" s="7">
        <f>IF($AB356="","",SUMIFS('Per Line'!$U$2:$U$4001,'Per Line'!$C$2:$C$4001,$B356,'Per Line'!$AL$2:$AL$4001,1,'Per Line'!$AM$2:$AM$4001,0))</f>
        <v/>
      </c>
      <c r="W356" s="7">
        <f>IF($AB356="","",V356*U356)</f>
        <v/>
      </c>
      <c r="X356" s="7">
        <f>IF($AB356="","",W356+T356)</f>
        <v/>
      </c>
      <c r="Y356" s="7">
        <f>IF($AB356="","",Z356-X356)</f>
        <v/>
      </c>
      <c r="Z356" s="7">
        <f>IF($AB356="","",S356+V356+Q356)</f>
        <v/>
      </c>
      <c r="AA356" s="7">
        <f>IF($AB356="","",Z356-X356-M356)</f>
        <v/>
      </c>
      <c r="AB356" s="13">
        <f>IF(ROWS($AB$2:$AB356)&lt;=MAX('Per Line'!$AK$2:$AK$4001),MATCH(ROWS($AB$2:$AB356),'Per Line'!$AK$2:$AK$4001,0),"")</f>
        <v/>
      </c>
      <c r="AC356" s="14">
        <f>IF($AB356="","",M356-L356*Z356/100)</f>
        <v/>
      </c>
    </row>
    <row r="357">
      <c r="A357" s="12" t="n"/>
      <c r="B357">
        <f>IF($AB357="","",INDEX('Per Line'!$C$2:$C$4001,$AB357)&amp;"")</f>
        <v/>
      </c>
      <c r="C357">
        <f>IF($AB357="","",INDEX('Per Line'!$D$2:$D$4001,$AB357)&amp;"")</f>
        <v/>
      </c>
      <c r="D357">
        <f>IF($AB357="","",INDEX('Per Line'!$B$2:$B$4001,$AB357)&amp;"")</f>
        <v/>
      </c>
      <c r="E357">
        <f>IF($AB357="","",INDEX('Per Line'!$A$2:$A$4001,$AB357))</f>
        <v/>
      </c>
      <c r="F357" s="11">
        <f>IF($AB357="","",INDEX('Per Line'!$E$2:$E$4001,$AB357))</f>
        <v/>
      </c>
      <c r="G357">
        <f>IF($AB357="","",INDEX('Per Line'!$F$2:$F$4001,$AB357)&amp;"")</f>
        <v/>
      </c>
      <c r="H357">
        <f>IF($AB357="","",INDEX('Per Line'!$H$2:$H$4001,$AB357)&amp;"")</f>
        <v/>
      </c>
      <c r="I357">
        <f>IF($AB357="","",INDEX('Per Line'!$I$2:$I$4001,$AB357)&amp;"")</f>
        <v/>
      </c>
      <c r="J357">
        <f>IF($AB357="","",INDEX('Per Line'!$J$2:$J$4001,$AB357)&amp;"")</f>
        <v/>
      </c>
      <c r="K357">
        <f>IF($AB357="","",INDEX('Per Line'!$K$2:$K$4001,$AB357)&amp;"")</f>
        <v/>
      </c>
      <c r="L357">
        <f>IF($AB357="","",INDEX('Per Line'!$L$2:$L$4001,$AB357))</f>
        <v/>
      </c>
      <c r="M357" s="7">
        <f>IF($AB357="","",IF(AND(ISNUMBER(O357),O357&gt;0,Z357&gt;O357),L357*O357/100+(Z357-O357),L357*Z357/100))</f>
        <v/>
      </c>
      <c r="N357">
        <f>IF($AB357="","",INDEX('Per Line'!$V$2:$V$4001,$AB357)&amp;"")</f>
        <v/>
      </c>
      <c r="O357">
        <f>IF($AB357="","",INDEX('Per Line'!$Z$2:$Z$4001,$AB357))</f>
        <v/>
      </c>
      <c r="P357">
        <f>IF($AB357="","",IF(AND(ISNUMBER(O357),O357&gt;0),Z357&gt;O357,FALSE))</f>
        <v/>
      </c>
      <c r="Q357" s="7">
        <f>IF($AB357="","",SUMIFS('Per Line'!$U$2:$U$4001,'Per Line'!$C$2:$C$4001,$B357,'Per Line'!$AM$2:$AM$4001,1))</f>
        <v/>
      </c>
      <c r="R357">
        <f>IF($AB357="","",Settings!$C$7)</f>
        <v/>
      </c>
      <c r="S357" s="7">
        <f>IF($AB357="","",SUMIFS('Per Line'!$U$2:$U$4001,'Per Line'!$C$2:$C$4001,$B357,'Per Line'!$AL$2:$AL$4001,0,'Per Line'!$AM$2:$AM$4001,0))</f>
        <v/>
      </c>
      <c r="T357" s="7">
        <f>IF($AB357="","",S357*R357)</f>
        <v/>
      </c>
      <c r="U357">
        <f>IF($AB357="","",Settings!$C$6)</f>
        <v/>
      </c>
      <c r="V357" s="7">
        <f>IF($AB357="","",SUMIFS('Per Line'!$U$2:$U$4001,'Per Line'!$C$2:$C$4001,$B357,'Per Line'!$AL$2:$AL$4001,1,'Per Line'!$AM$2:$AM$4001,0))</f>
        <v/>
      </c>
      <c r="W357" s="7">
        <f>IF($AB357="","",V357*U357)</f>
        <v/>
      </c>
      <c r="X357" s="7">
        <f>IF($AB357="","",W357+T357)</f>
        <v/>
      </c>
      <c r="Y357" s="7">
        <f>IF($AB357="","",Z357-X357)</f>
        <v/>
      </c>
      <c r="Z357" s="7">
        <f>IF($AB357="","",S357+V357+Q357)</f>
        <v/>
      </c>
      <c r="AA357" s="7">
        <f>IF($AB357="","",Z357-X357-M357)</f>
        <v/>
      </c>
      <c r="AB357" s="13">
        <f>IF(ROWS($AB$2:$AB357)&lt;=MAX('Per Line'!$AK$2:$AK$4001),MATCH(ROWS($AB$2:$AB357),'Per Line'!$AK$2:$AK$4001,0),"")</f>
        <v/>
      </c>
      <c r="AC357" s="14">
        <f>IF($AB357="","",M357-L357*Z357/100)</f>
        <v/>
      </c>
    </row>
    <row r="358">
      <c r="A358" s="12" t="n"/>
      <c r="B358">
        <f>IF($AB358="","",INDEX('Per Line'!$C$2:$C$4001,$AB358)&amp;"")</f>
        <v/>
      </c>
      <c r="C358">
        <f>IF($AB358="","",INDEX('Per Line'!$D$2:$D$4001,$AB358)&amp;"")</f>
        <v/>
      </c>
      <c r="D358">
        <f>IF($AB358="","",INDEX('Per Line'!$B$2:$B$4001,$AB358)&amp;"")</f>
        <v/>
      </c>
      <c r="E358">
        <f>IF($AB358="","",INDEX('Per Line'!$A$2:$A$4001,$AB358))</f>
        <v/>
      </c>
      <c r="F358" s="11">
        <f>IF($AB358="","",INDEX('Per Line'!$E$2:$E$4001,$AB358))</f>
        <v/>
      </c>
      <c r="G358">
        <f>IF($AB358="","",INDEX('Per Line'!$F$2:$F$4001,$AB358)&amp;"")</f>
        <v/>
      </c>
      <c r="H358">
        <f>IF($AB358="","",INDEX('Per Line'!$H$2:$H$4001,$AB358)&amp;"")</f>
        <v/>
      </c>
      <c r="I358">
        <f>IF($AB358="","",INDEX('Per Line'!$I$2:$I$4001,$AB358)&amp;"")</f>
        <v/>
      </c>
      <c r="J358">
        <f>IF($AB358="","",INDEX('Per Line'!$J$2:$J$4001,$AB358)&amp;"")</f>
        <v/>
      </c>
      <c r="K358">
        <f>IF($AB358="","",INDEX('Per Line'!$K$2:$K$4001,$AB358)&amp;"")</f>
        <v/>
      </c>
      <c r="L358">
        <f>IF($AB358="","",INDEX('Per Line'!$L$2:$L$4001,$AB358))</f>
        <v/>
      </c>
      <c r="M358" s="7">
        <f>IF($AB358="","",IF(AND(ISNUMBER(O358),O358&gt;0,Z358&gt;O358),L358*O358/100+(Z358-O358),L358*Z358/100))</f>
        <v/>
      </c>
      <c r="N358">
        <f>IF($AB358="","",INDEX('Per Line'!$V$2:$V$4001,$AB358)&amp;"")</f>
        <v/>
      </c>
      <c r="O358">
        <f>IF($AB358="","",INDEX('Per Line'!$Z$2:$Z$4001,$AB358))</f>
        <v/>
      </c>
      <c r="P358">
        <f>IF($AB358="","",IF(AND(ISNUMBER(O358),O358&gt;0),Z358&gt;O358,FALSE))</f>
        <v/>
      </c>
      <c r="Q358" s="7">
        <f>IF($AB358="","",SUMIFS('Per Line'!$U$2:$U$4001,'Per Line'!$C$2:$C$4001,$B358,'Per Line'!$AM$2:$AM$4001,1))</f>
        <v/>
      </c>
      <c r="R358">
        <f>IF($AB358="","",Settings!$C$7)</f>
        <v/>
      </c>
      <c r="S358" s="7">
        <f>IF($AB358="","",SUMIFS('Per Line'!$U$2:$U$4001,'Per Line'!$C$2:$C$4001,$B358,'Per Line'!$AL$2:$AL$4001,0,'Per Line'!$AM$2:$AM$4001,0))</f>
        <v/>
      </c>
      <c r="T358" s="7">
        <f>IF($AB358="","",S358*R358)</f>
        <v/>
      </c>
      <c r="U358">
        <f>IF($AB358="","",Settings!$C$6)</f>
        <v/>
      </c>
      <c r="V358" s="7">
        <f>IF($AB358="","",SUMIFS('Per Line'!$U$2:$U$4001,'Per Line'!$C$2:$C$4001,$B358,'Per Line'!$AL$2:$AL$4001,1,'Per Line'!$AM$2:$AM$4001,0))</f>
        <v/>
      </c>
      <c r="W358" s="7">
        <f>IF($AB358="","",V358*U358)</f>
        <v/>
      </c>
      <c r="X358" s="7">
        <f>IF($AB358="","",W358+T358)</f>
        <v/>
      </c>
      <c r="Y358" s="7">
        <f>IF($AB358="","",Z358-X358)</f>
        <v/>
      </c>
      <c r="Z358" s="7">
        <f>IF($AB358="","",S358+V358+Q358)</f>
        <v/>
      </c>
      <c r="AA358" s="7">
        <f>IF($AB358="","",Z358-X358-M358)</f>
        <v/>
      </c>
      <c r="AB358" s="13">
        <f>IF(ROWS($AB$2:$AB358)&lt;=MAX('Per Line'!$AK$2:$AK$4001),MATCH(ROWS($AB$2:$AB358),'Per Line'!$AK$2:$AK$4001,0),"")</f>
        <v/>
      </c>
      <c r="AC358" s="14">
        <f>IF($AB358="","",M358-L358*Z358/100)</f>
        <v/>
      </c>
    </row>
    <row r="359">
      <c r="A359" s="12" t="n"/>
      <c r="B359">
        <f>IF($AB359="","",INDEX('Per Line'!$C$2:$C$4001,$AB359)&amp;"")</f>
        <v/>
      </c>
      <c r="C359">
        <f>IF($AB359="","",INDEX('Per Line'!$D$2:$D$4001,$AB359)&amp;"")</f>
        <v/>
      </c>
      <c r="D359">
        <f>IF($AB359="","",INDEX('Per Line'!$B$2:$B$4001,$AB359)&amp;"")</f>
        <v/>
      </c>
      <c r="E359">
        <f>IF($AB359="","",INDEX('Per Line'!$A$2:$A$4001,$AB359))</f>
        <v/>
      </c>
      <c r="F359" s="11">
        <f>IF($AB359="","",INDEX('Per Line'!$E$2:$E$4001,$AB359))</f>
        <v/>
      </c>
      <c r="G359">
        <f>IF($AB359="","",INDEX('Per Line'!$F$2:$F$4001,$AB359)&amp;"")</f>
        <v/>
      </c>
      <c r="H359">
        <f>IF($AB359="","",INDEX('Per Line'!$H$2:$H$4001,$AB359)&amp;"")</f>
        <v/>
      </c>
      <c r="I359">
        <f>IF($AB359="","",INDEX('Per Line'!$I$2:$I$4001,$AB359)&amp;"")</f>
        <v/>
      </c>
      <c r="J359">
        <f>IF($AB359="","",INDEX('Per Line'!$J$2:$J$4001,$AB359)&amp;"")</f>
        <v/>
      </c>
      <c r="K359">
        <f>IF($AB359="","",INDEX('Per Line'!$K$2:$K$4001,$AB359)&amp;"")</f>
        <v/>
      </c>
      <c r="L359">
        <f>IF($AB359="","",INDEX('Per Line'!$L$2:$L$4001,$AB359))</f>
        <v/>
      </c>
      <c r="M359" s="7">
        <f>IF($AB359="","",IF(AND(ISNUMBER(O359),O359&gt;0,Z359&gt;O359),L359*O359/100+(Z359-O359),L359*Z359/100))</f>
        <v/>
      </c>
      <c r="N359">
        <f>IF($AB359="","",INDEX('Per Line'!$V$2:$V$4001,$AB359)&amp;"")</f>
        <v/>
      </c>
      <c r="O359">
        <f>IF($AB359="","",INDEX('Per Line'!$Z$2:$Z$4001,$AB359))</f>
        <v/>
      </c>
      <c r="P359">
        <f>IF($AB359="","",IF(AND(ISNUMBER(O359),O359&gt;0),Z359&gt;O359,FALSE))</f>
        <v/>
      </c>
      <c r="Q359" s="7">
        <f>IF($AB359="","",SUMIFS('Per Line'!$U$2:$U$4001,'Per Line'!$C$2:$C$4001,$B359,'Per Line'!$AM$2:$AM$4001,1))</f>
        <v/>
      </c>
      <c r="R359">
        <f>IF($AB359="","",Settings!$C$7)</f>
        <v/>
      </c>
      <c r="S359" s="7">
        <f>IF($AB359="","",SUMIFS('Per Line'!$U$2:$U$4001,'Per Line'!$C$2:$C$4001,$B359,'Per Line'!$AL$2:$AL$4001,0,'Per Line'!$AM$2:$AM$4001,0))</f>
        <v/>
      </c>
      <c r="T359" s="7">
        <f>IF($AB359="","",S359*R359)</f>
        <v/>
      </c>
      <c r="U359">
        <f>IF($AB359="","",Settings!$C$6)</f>
        <v/>
      </c>
      <c r="V359" s="7">
        <f>IF($AB359="","",SUMIFS('Per Line'!$U$2:$U$4001,'Per Line'!$C$2:$C$4001,$B359,'Per Line'!$AL$2:$AL$4001,1,'Per Line'!$AM$2:$AM$4001,0))</f>
        <v/>
      </c>
      <c r="W359" s="7">
        <f>IF($AB359="","",V359*U359)</f>
        <v/>
      </c>
      <c r="X359" s="7">
        <f>IF($AB359="","",W359+T359)</f>
        <v/>
      </c>
      <c r="Y359" s="7">
        <f>IF($AB359="","",Z359-X359)</f>
        <v/>
      </c>
      <c r="Z359" s="7">
        <f>IF($AB359="","",S359+V359+Q359)</f>
        <v/>
      </c>
      <c r="AA359" s="7">
        <f>IF($AB359="","",Z359-X359-M359)</f>
        <v/>
      </c>
      <c r="AB359" s="13">
        <f>IF(ROWS($AB$2:$AB359)&lt;=MAX('Per Line'!$AK$2:$AK$4001),MATCH(ROWS($AB$2:$AB359),'Per Line'!$AK$2:$AK$4001,0),"")</f>
        <v/>
      </c>
      <c r="AC359" s="14">
        <f>IF($AB359="","",M359-L359*Z359/100)</f>
        <v/>
      </c>
    </row>
    <row r="360">
      <c r="A360" s="12" t="n"/>
      <c r="B360">
        <f>IF($AB360="","",INDEX('Per Line'!$C$2:$C$4001,$AB360)&amp;"")</f>
        <v/>
      </c>
      <c r="C360">
        <f>IF($AB360="","",INDEX('Per Line'!$D$2:$D$4001,$AB360)&amp;"")</f>
        <v/>
      </c>
      <c r="D360">
        <f>IF($AB360="","",INDEX('Per Line'!$B$2:$B$4001,$AB360)&amp;"")</f>
        <v/>
      </c>
      <c r="E360">
        <f>IF($AB360="","",INDEX('Per Line'!$A$2:$A$4001,$AB360))</f>
        <v/>
      </c>
      <c r="F360" s="11">
        <f>IF($AB360="","",INDEX('Per Line'!$E$2:$E$4001,$AB360))</f>
        <v/>
      </c>
      <c r="G360">
        <f>IF($AB360="","",INDEX('Per Line'!$F$2:$F$4001,$AB360)&amp;"")</f>
        <v/>
      </c>
      <c r="H360">
        <f>IF($AB360="","",INDEX('Per Line'!$H$2:$H$4001,$AB360)&amp;"")</f>
        <v/>
      </c>
      <c r="I360">
        <f>IF($AB360="","",INDEX('Per Line'!$I$2:$I$4001,$AB360)&amp;"")</f>
        <v/>
      </c>
      <c r="J360">
        <f>IF($AB360="","",INDEX('Per Line'!$J$2:$J$4001,$AB360)&amp;"")</f>
        <v/>
      </c>
      <c r="K360">
        <f>IF($AB360="","",INDEX('Per Line'!$K$2:$K$4001,$AB360)&amp;"")</f>
        <v/>
      </c>
      <c r="L360">
        <f>IF($AB360="","",INDEX('Per Line'!$L$2:$L$4001,$AB360))</f>
        <v/>
      </c>
      <c r="M360" s="7">
        <f>IF($AB360="","",IF(AND(ISNUMBER(O360),O360&gt;0,Z360&gt;O360),L360*O360/100+(Z360-O360),L360*Z360/100))</f>
        <v/>
      </c>
      <c r="N360">
        <f>IF($AB360="","",INDEX('Per Line'!$V$2:$V$4001,$AB360)&amp;"")</f>
        <v/>
      </c>
      <c r="O360">
        <f>IF($AB360="","",INDEX('Per Line'!$Z$2:$Z$4001,$AB360))</f>
        <v/>
      </c>
      <c r="P360">
        <f>IF($AB360="","",IF(AND(ISNUMBER(O360),O360&gt;0),Z360&gt;O360,FALSE))</f>
        <v/>
      </c>
      <c r="Q360" s="7">
        <f>IF($AB360="","",SUMIFS('Per Line'!$U$2:$U$4001,'Per Line'!$C$2:$C$4001,$B360,'Per Line'!$AM$2:$AM$4001,1))</f>
        <v/>
      </c>
      <c r="R360">
        <f>IF($AB360="","",Settings!$C$7)</f>
        <v/>
      </c>
      <c r="S360" s="7">
        <f>IF($AB360="","",SUMIFS('Per Line'!$U$2:$U$4001,'Per Line'!$C$2:$C$4001,$B360,'Per Line'!$AL$2:$AL$4001,0,'Per Line'!$AM$2:$AM$4001,0))</f>
        <v/>
      </c>
      <c r="T360" s="7">
        <f>IF($AB360="","",S360*R360)</f>
        <v/>
      </c>
      <c r="U360">
        <f>IF($AB360="","",Settings!$C$6)</f>
        <v/>
      </c>
      <c r="V360" s="7">
        <f>IF($AB360="","",SUMIFS('Per Line'!$U$2:$U$4001,'Per Line'!$C$2:$C$4001,$B360,'Per Line'!$AL$2:$AL$4001,1,'Per Line'!$AM$2:$AM$4001,0))</f>
        <v/>
      </c>
      <c r="W360" s="7">
        <f>IF($AB360="","",V360*U360)</f>
        <v/>
      </c>
      <c r="X360" s="7">
        <f>IF($AB360="","",W360+T360)</f>
        <v/>
      </c>
      <c r="Y360" s="7">
        <f>IF($AB360="","",Z360-X360)</f>
        <v/>
      </c>
      <c r="Z360" s="7">
        <f>IF($AB360="","",S360+V360+Q360)</f>
        <v/>
      </c>
      <c r="AA360" s="7">
        <f>IF($AB360="","",Z360-X360-M360)</f>
        <v/>
      </c>
      <c r="AB360" s="13">
        <f>IF(ROWS($AB$2:$AB360)&lt;=MAX('Per Line'!$AK$2:$AK$4001),MATCH(ROWS($AB$2:$AB360),'Per Line'!$AK$2:$AK$4001,0),"")</f>
        <v/>
      </c>
      <c r="AC360" s="14">
        <f>IF($AB360="","",M360-L360*Z360/100)</f>
        <v/>
      </c>
    </row>
    <row r="361">
      <c r="A361" s="12" t="n"/>
      <c r="B361">
        <f>IF($AB361="","",INDEX('Per Line'!$C$2:$C$4001,$AB361)&amp;"")</f>
        <v/>
      </c>
      <c r="C361">
        <f>IF($AB361="","",INDEX('Per Line'!$D$2:$D$4001,$AB361)&amp;"")</f>
        <v/>
      </c>
      <c r="D361">
        <f>IF($AB361="","",INDEX('Per Line'!$B$2:$B$4001,$AB361)&amp;"")</f>
        <v/>
      </c>
      <c r="E361">
        <f>IF($AB361="","",INDEX('Per Line'!$A$2:$A$4001,$AB361))</f>
        <v/>
      </c>
      <c r="F361" s="11">
        <f>IF($AB361="","",INDEX('Per Line'!$E$2:$E$4001,$AB361))</f>
        <v/>
      </c>
      <c r="G361">
        <f>IF($AB361="","",INDEX('Per Line'!$F$2:$F$4001,$AB361)&amp;"")</f>
        <v/>
      </c>
      <c r="H361">
        <f>IF($AB361="","",INDEX('Per Line'!$H$2:$H$4001,$AB361)&amp;"")</f>
        <v/>
      </c>
      <c r="I361">
        <f>IF($AB361="","",INDEX('Per Line'!$I$2:$I$4001,$AB361)&amp;"")</f>
        <v/>
      </c>
      <c r="J361">
        <f>IF($AB361="","",INDEX('Per Line'!$J$2:$J$4001,$AB361)&amp;"")</f>
        <v/>
      </c>
      <c r="K361">
        <f>IF($AB361="","",INDEX('Per Line'!$K$2:$K$4001,$AB361)&amp;"")</f>
        <v/>
      </c>
      <c r="L361">
        <f>IF($AB361="","",INDEX('Per Line'!$L$2:$L$4001,$AB361))</f>
        <v/>
      </c>
      <c r="M361" s="7">
        <f>IF($AB361="","",IF(AND(ISNUMBER(O361),O361&gt;0,Z361&gt;O361),L361*O361/100+(Z361-O361),L361*Z361/100))</f>
        <v/>
      </c>
      <c r="N361">
        <f>IF($AB361="","",INDEX('Per Line'!$V$2:$V$4001,$AB361)&amp;"")</f>
        <v/>
      </c>
      <c r="O361">
        <f>IF($AB361="","",INDEX('Per Line'!$Z$2:$Z$4001,$AB361))</f>
        <v/>
      </c>
      <c r="P361">
        <f>IF($AB361="","",IF(AND(ISNUMBER(O361),O361&gt;0),Z361&gt;O361,FALSE))</f>
        <v/>
      </c>
      <c r="Q361" s="7">
        <f>IF($AB361="","",SUMIFS('Per Line'!$U$2:$U$4001,'Per Line'!$C$2:$C$4001,$B361,'Per Line'!$AM$2:$AM$4001,1))</f>
        <v/>
      </c>
      <c r="R361">
        <f>IF($AB361="","",Settings!$C$7)</f>
        <v/>
      </c>
      <c r="S361" s="7">
        <f>IF($AB361="","",SUMIFS('Per Line'!$U$2:$U$4001,'Per Line'!$C$2:$C$4001,$B361,'Per Line'!$AL$2:$AL$4001,0,'Per Line'!$AM$2:$AM$4001,0))</f>
        <v/>
      </c>
      <c r="T361" s="7">
        <f>IF($AB361="","",S361*R361)</f>
        <v/>
      </c>
      <c r="U361">
        <f>IF($AB361="","",Settings!$C$6)</f>
        <v/>
      </c>
      <c r="V361" s="7">
        <f>IF($AB361="","",SUMIFS('Per Line'!$U$2:$U$4001,'Per Line'!$C$2:$C$4001,$B361,'Per Line'!$AL$2:$AL$4001,1,'Per Line'!$AM$2:$AM$4001,0))</f>
        <v/>
      </c>
      <c r="W361" s="7">
        <f>IF($AB361="","",V361*U361)</f>
        <v/>
      </c>
      <c r="X361" s="7">
        <f>IF($AB361="","",W361+T361)</f>
        <v/>
      </c>
      <c r="Y361" s="7">
        <f>IF($AB361="","",Z361-X361)</f>
        <v/>
      </c>
      <c r="Z361" s="7">
        <f>IF($AB361="","",S361+V361+Q361)</f>
        <v/>
      </c>
      <c r="AA361" s="7">
        <f>IF($AB361="","",Z361-X361-M361)</f>
        <v/>
      </c>
      <c r="AB361" s="13">
        <f>IF(ROWS($AB$2:$AB361)&lt;=MAX('Per Line'!$AK$2:$AK$4001),MATCH(ROWS($AB$2:$AB361),'Per Line'!$AK$2:$AK$4001,0),"")</f>
        <v/>
      </c>
      <c r="AC361" s="14">
        <f>IF($AB361="","",M361-L361*Z361/100)</f>
        <v/>
      </c>
    </row>
    <row r="362">
      <c r="A362" s="12" t="n"/>
      <c r="B362">
        <f>IF($AB362="","",INDEX('Per Line'!$C$2:$C$4001,$AB362)&amp;"")</f>
        <v/>
      </c>
      <c r="C362">
        <f>IF($AB362="","",INDEX('Per Line'!$D$2:$D$4001,$AB362)&amp;"")</f>
        <v/>
      </c>
      <c r="D362">
        <f>IF($AB362="","",INDEX('Per Line'!$B$2:$B$4001,$AB362)&amp;"")</f>
        <v/>
      </c>
      <c r="E362">
        <f>IF($AB362="","",INDEX('Per Line'!$A$2:$A$4001,$AB362))</f>
        <v/>
      </c>
      <c r="F362" s="11">
        <f>IF($AB362="","",INDEX('Per Line'!$E$2:$E$4001,$AB362))</f>
        <v/>
      </c>
      <c r="G362">
        <f>IF($AB362="","",INDEX('Per Line'!$F$2:$F$4001,$AB362)&amp;"")</f>
        <v/>
      </c>
      <c r="H362">
        <f>IF($AB362="","",INDEX('Per Line'!$H$2:$H$4001,$AB362)&amp;"")</f>
        <v/>
      </c>
      <c r="I362">
        <f>IF($AB362="","",INDEX('Per Line'!$I$2:$I$4001,$AB362)&amp;"")</f>
        <v/>
      </c>
      <c r="J362">
        <f>IF($AB362="","",INDEX('Per Line'!$J$2:$J$4001,$AB362)&amp;"")</f>
        <v/>
      </c>
      <c r="K362">
        <f>IF($AB362="","",INDEX('Per Line'!$K$2:$K$4001,$AB362)&amp;"")</f>
        <v/>
      </c>
      <c r="L362">
        <f>IF($AB362="","",INDEX('Per Line'!$L$2:$L$4001,$AB362))</f>
        <v/>
      </c>
      <c r="M362" s="7">
        <f>IF($AB362="","",IF(AND(ISNUMBER(O362),O362&gt;0,Z362&gt;O362),L362*O362/100+(Z362-O362),L362*Z362/100))</f>
        <v/>
      </c>
      <c r="N362">
        <f>IF($AB362="","",INDEX('Per Line'!$V$2:$V$4001,$AB362)&amp;"")</f>
        <v/>
      </c>
      <c r="O362">
        <f>IF($AB362="","",INDEX('Per Line'!$Z$2:$Z$4001,$AB362))</f>
        <v/>
      </c>
      <c r="P362">
        <f>IF($AB362="","",IF(AND(ISNUMBER(O362),O362&gt;0),Z362&gt;O362,FALSE))</f>
        <v/>
      </c>
      <c r="Q362" s="7">
        <f>IF($AB362="","",SUMIFS('Per Line'!$U$2:$U$4001,'Per Line'!$C$2:$C$4001,$B362,'Per Line'!$AM$2:$AM$4001,1))</f>
        <v/>
      </c>
      <c r="R362">
        <f>IF($AB362="","",Settings!$C$7)</f>
        <v/>
      </c>
      <c r="S362" s="7">
        <f>IF($AB362="","",SUMIFS('Per Line'!$U$2:$U$4001,'Per Line'!$C$2:$C$4001,$B362,'Per Line'!$AL$2:$AL$4001,0,'Per Line'!$AM$2:$AM$4001,0))</f>
        <v/>
      </c>
      <c r="T362" s="7">
        <f>IF($AB362="","",S362*R362)</f>
        <v/>
      </c>
      <c r="U362">
        <f>IF($AB362="","",Settings!$C$6)</f>
        <v/>
      </c>
      <c r="V362" s="7">
        <f>IF($AB362="","",SUMIFS('Per Line'!$U$2:$U$4001,'Per Line'!$C$2:$C$4001,$B362,'Per Line'!$AL$2:$AL$4001,1,'Per Line'!$AM$2:$AM$4001,0))</f>
        <v/>
      </c>
      <c r="W362" s="7">
        <f>IF($AB362="","",V362*U362)</f>
        <v/>
      </c>
      <c r="X362" s="7">
        <f>IF($AB362="","",W362+T362)</f>
        <v/>
      </c>
      <c r="Y362" s="7">
        <f>IF($AB362="","",Z362-X362)</f>
        <v/>
      </c>
      <c r="Z362" s="7">
        <f>IF($AB362="","",S362+V362+Q362)</f>
        <v/>
      </c>
      <c r="AA362" s="7">
        <f>IF($AB362="","",Z362-X362-M362)</f>
        <v/>
      </c>
      <c r="AB362" s="13">
        <f>IF(ROWS($AB$2:$AB362)&lt;=MAX('Per Line'!$AK$2:$AK$4001),MATCH(ROWS($AB$2:$AB362),'Per Line'!$AK$2:$AK$4001,0),"")</f>
        <v/>
      </c>
      <c r="AC362" s="14">
        <f>IF($AB362="","",M362-L362*Z362/100)</f>
        <v/>
      </c>
    </row>
    <row r="363">
      <c r="A363" s="12" t="n"/>
      <c r="B363">
        <f>IF($AB363="","",INDEX('Per Line'!$C$2:$C$4001,$AB363)&amp;"")</f>
        <v/>
      </c>
      <c r="C363">
        <f>IF($AB363="","",INDEX('Per Line'!$D$2:$D$4001,$AB363)&amp;"")</f>
        <v/>
      </c>
      <c r="D363">
        <f>IF($AB363="","",INDEX('Per Line'!$B$2:$B$4001,$AB363)&amp;"")</f>
        <v/>
      </c>
      <c r="E363">
        <f>IF($AB363="","",INDEX('Per Line'!$A$2:$A$4001,$AB363))</f>
        <v/>
      </c>
      <c r="F363" s="11">
        <f>IF($AB363="","",INDEX('Per Line'!$E$2:$E$4001,$AB363))</f>
        <v/>
      </c>
      <c r="G363">
        <f>IF($AB363="","",INDEX('Per Line'!$F$2:$F$4001,$AB363)&amp;"")</f>
        <v/>
      </c>
      <c r="H363">
        <f>IF($AB363="","",INDEX('Per Line'!$H$2:$H$4001,$AB363)&amp;"")</f>
        <v/>
      </c>
      <c r="I363">
        <f>IF($AB363="","",INDEX('Per Line'!$I$2:$I$4001,$AB363)&amp;"")</f>
        <v/>
      </c>
      <c r="J363">
        <f>IF($AB363="","",INDEX('Per Line'!$J$2:$J$4001,$AB363)&amp;"")</f>
        <v/>
      </c>
      <c r="K363">
        <f>IF($AB363="","",INDEX('Per Line'!$K$2:$K$4001,$AB363)&amp;"")</f>
        <v/>
      </c>
      <c r="L363">
        <f>IF($AB363="","",INDEX('Per Line'!$L$2:$L$4001,$AB363))</f>
        <v/>
      </c>
      <c r="M363" s="7">
        <f>IF($AB363="","",IF(AND(ISNUMBER(O363),O363&gt;0,Z363&gt;O363),L363*O363/100+(Z363-O363),L363*Z363/100))</f>
        <v/>
      </c>
      <c r="N363">
        <f>IF($AB363="","",INDEX('Per Line'!$V$2:$V$4001,$AB363)&amp;"")</f>
        <v/>
      </c>
      <c r="O363">
        <f>IF($AB363="","",INDEX('Per Line'!$Z$2:$Z$4001,$AB363))</f>
        <v/>
      </c>
      <c r="P363">
        <f>IF($AB363="","",IF(AND(ISNUMBER(O363),O363&gt;0),Z363&gt;O363,FALSE))</f>
        <v/>
      </c>
      <c r="Q363" s="7">
        <f>IF($AB363="","",SUMIFS('Per Line'!$U$2:$U$4001,'Per Line'!$C$2:$C$4001,$B363,'Per Line'!$AM$2:$AM$4001,1))</f>
        <v/>
      </c>
      <c r="R363">
        <f>IF($AB363="","",Settings!$C$7)</f>
        <v/>
      </c>
      <c r="S363" s="7">
        <f>IF($AB363="","",SUMIFS('Per Line'!$U$2:$U$4001,'Per Line'!$C$2:$C$4001,$B363,'Per Line'!$AL$2:$AL$4001,0,'Per Line'!$AM$2:$AM$4001,0))</f>
        <v/>
      </c>
      <c r="T363" s="7">
        <f>IF($AB363="","",S363*R363)</f>
        <v/>
      </c>
      <c r="U363">
        <f>IF($AB363="","",Settings!$C$6)</f>
        <v/>
      </c>
      <c r="V363" s="7">
        <f>IF($AB363="","",SUMIFS('Per Line'!$U$2:$U$4001,'Per Line'!$C$2:$C$4001,$B363,'Per Line'!$AL$2:$AL$4001,1,'Per Line'!$AM$2:$AM$4001,0))</f>
        <v/>
      </c>
      <c r="W363" s="7">
        <f>IF($AB363="","",V363*U363)</f>
        <v/>
      </c>
      <c r="X363" s="7">
        <f>IF($AB363="","",W363+T363)</f>
        <v/>
      </c>
      <c r="Y363" s="7">
        <f>IF($AB363="","",Z363-X363)</f>
        <v/>
      </c>
      <c r="Z363" s="7">
        <f>IF($AB363="","",S363+V363+Q363)</f>
        <v/>
      </c>
      <c r="AA363" s="7">
        <f>IF($AB363="","",Z363-X363-M363)</f>
        <v/>
      </c>
      <c r="AB363" s="13">
        <f>IF(ROWS($AB$2:$AB363)&lt;=MAX('Per Line'!$AK$2:$AK$4001),MATCH(ROWS($AB$2:$AB363),'Per Line'!$AK$2:$AK$4001,0),"")</f>
        <v/>
      </c>
      <c r="AC363" s="14">
        <f>IF($AB363="","",M363-L363*Z363/100)</f>
        <v/>
      </c>
    </row>
    <row r="364">
      <c r="A364" s="12" t="n"/>
      <c r="B364">
        <f>IF($AB364="","",INDEX('Per Line'!$C$2:$C$4001,$AB364)&amp;"")</f>
        <v/>
      </c>
      <c r="C364">
        <f>IF($AB364="","",INDEX('Per Line'!$D$2:$D$4001,$AB364)&amp;"")</f>
        <v/>
      </c>
      <c r="D364">
        <f>IF($AB364="","",INDEX('Per Line'!$B$2:$B$4001,$AB364)&amp;"")</f>
        <v/>
      </c>
      <c r="E364">
        <f>IF($AB364="","",INDEX('Per Line'!$A$2:$A$4001,$AB364))</f>
        <v/>
      </c>
      <c r="F364" s="11">
        <f>IF($AB364="","",INDEX('Per Line'!$E$2:$E$4001,$AB364))</f>
        <v/>
      </c>
      <c r="G364">
        <f>IF($AB364="","",INDEX('Per Line'!$F$2:$F$4001,$AB364)&amp;"")</f>
        <v/>
      </c>
      <c r="H364">
        <f>IF($AB364="","",INDEX('Per Line'!$H$2:$H$4001,$AB364)&amp;"")</f>
        <v/>
      </c>
      <c r="I364">
        <f>IF($AB364="","",INDEX('Per Line'!$I$2:$I$4001,$AB364)&amp;"")</f>
        <v/>
      </c>
      <c r="J364">
        <f>IF($AB364="","",INDEX('Per Line'!$J$2:$J$4001,$AB364)&amp;"")</f>
        <v/>
      </c>
      <c r="K364">
        <f>IF($AB364="","",INDEX('Per Line'!$K$2:$K$4001,$AB364)&amp;"")</f>
        <v/>
      </c>
      <c r="L364">
        <f>IF($AB364="","",INDEX('Per Line'!$L$2:$L$4001,$AB364))</f>
        <v/>
      </c>
      <c r="M364" s="7">
        <f>IF($AB364="","",IF(AND(ISNUMBER(O364),O364&gt;0,Z364&gt;O364),L364*O364/100+(Z364-O364),L364*Z364/100))</f>
        <v/>
      </c>
      <c r="N364">
        <f>IF($AB364="","",INDEX('Per Line'!$V$2:$V$4001,$AB364)&amp;"")</f>
        <v/>
      </c>
      <c r="O364">
        <f>IF($AB364="","",INDEX('Per Line'!$Z$2:$Z$4001,$AB364))</f>
        <v/>
      </c>
      <c r="P364">
        <f>IF($AB364="","",IF(AND(ISNUMBER(O364),O364&gt;0),Z364&gt;O364,FALSE))</f>
        <v/>
      </c>
      <c r="Q364" s="7">
        <f>IF($AB364="","",SUMIFS('Per Line'!$U$2:$U$4001,'Per Line'!$C$2:$C$4001,$B364,'Per Line'!$AM$2:$AM$4001,1))</f>
        <v/>
      </c>
      <c r="R364">
        <f>IF($AB364="","",Settings!$C$7)</f>
        <v/>
      </c>
      <c r="S364" s="7">
        <f>IF($AB364="","",SUMIFS('Per Line'!$U$2:$U$4001,'Per Line'!$C$2:$C$4001,$B364,'Per Line'!$AL$2:$AL$4001,0,'Per Line'!$AM$2:$AM$4001,0))</f>
        <v/>
      </c>
      <c r="T364" s="7">
        <f>IF($AB364="","",S364*R364)</f>
        <v/>
      </c>
      <c r="U364">
        <f>IF($AB364="","",Settings!$C$6)</f>
        <v/>
      </c>
      <c r="V364" s="7">
        <f>IF($AB364="","",SUMIFS('Per Line'!$U$2:$U$4001,'Per Line'!$C$2:$C$4001,$B364,'Per Line'!$AL$2:$AL$4001,1,'Per Line'!$AM$2:$AM$4001,0))</f>
        <v/>
      </c>
      <c r="W364" s="7">
        <f>IF($AB364="","",V364*U364)</f>
        <v/>
      </c>
      <c r="X364" s="7">
        <f>IF($AB364="","",W364+T364)</f>
        <v/>
      </c>
      <c r="Y364" s="7">
        <f>IF($AB364="","",Z364-X364)</f>
        <v/>
      </c>
      <c r="Z364" s="7">
        <f>IF($AB364="","",S364+V364+Q364)</f>
        <v/>
      </c>
      <c r="AA364" s="7">
        <f>IF($AB364="","",Z364-X364-M364)</f>
        <v/>
      </c>
      <c r="AB364" s="13">
        <f>IF(ROWS($AB$2:$AB364)&lt;=MAX('Per Line'!$AK$2:$AK$4001),MATCH(ROWS($AB$2:$AB364),'Per Line'!$AK$2:$AK$4001,0),"")</f>
        <v/>
      </c>
      <c r="AC364" s="14">
        <f>IF($AB364="","",M364-L364*Z364/100)</f>
        <v/>
      </c>
    </row>
    <row r="365">
      <c r="A365" s="12" t="n"/>
      <c r="B365">
        <f>IF($AB365="","",INDEX('Per Line'!$C$2:$C$4001,$AB365)&amp;"")</f>
        <v/>
      </c>
      <c r="C365">
        <f>IF($AB365="","",INDEX('Per Line'!$D$2:$D$4001,$AB365)&amp;"")</f>
        <v/>
      </c>
      <c r="D365">
        <f>IF($AB365="","",INDEX('Per Line'!$B$2:$B$4001,$AB365)&amp;"")</f>
        <v/>
      </c>
      <c r="E365">
        <f>IF($AB365="","",INDEX('Per Line'!$A$2:$A$4001,$AB365))</f>
        <v/>
      </c>
      <c r="F365" s="11">
        <f>IF($AB365="","",INDEX('Per Line'!$E$2:$E$4001,$AB365))</f>
        <v/>
      </c>
      <c r="G365">
        <f>IF($AB365="","",INDEX('Per Line'!$F$2:$F$4001,$AB365)&amp;"")</f>
        <v/>
      </c>
      <c r="H365">
        <f>IF($AB365="","",INDEX('Per Line'!$H$2:$H$4001,$AB365)&amp;"")</f>
        <v/>
      </c>
      <c r="I365">
        <f>IF($AB365="","",INDEX('Per Line'!$I$2:$I$4001,$AB365)&amp;"")</f>
        <v/>
      </c>
      <c r="J365">
        <f>IF($AB365="","",INDEX('Per Line'!$J$2:$J$4001,$AB365)&amp;"")</f>
        <v/>
      </c>
      <c r="K365">
        <f>IF($AB365="","",INDEX('Per Line'!$K$2:$K$4001,$AB365)&amp;"")</f>
        <v/>
      </c>
      <c r="L365">
        <f>IF($AB365="","",INDEX('Per Line'!$L$2:$L$4001,$AB365))</f>
        <v/>
      </c>
      <c r="M365" s="7">
        <f>IF($AB365="","",IF(AND(ISNUMBER(O365),O365&gt;0,Z365&gt;O365),L365*O365/100+(Z365-O365),L365*Z365/100))</f>
        <v/>
      </c>
      <c r="N365">
        <f>IF($AB365="","",INDEX('Per Line'!$V$2:$V$4001,$AB365)&amp;"")</f>
        <v/>
      </c>
      <c r="O365">
        <f>IF($AB365="","",INDEX('Per Line'!$Z$2:$Z$4001,$AB365))</f>
        <v/>
      </c>
      <c r="P365">
        <f>IF($AB365="","",IF(AND(ISNUMBER(O365),O365&gt;0),Z365&gt;O365,FALSE))</f>
        <v/>
      </c>
      <c r="Q365" s="7">
        <f>IF($AB365="","",SUMIFS('Per Line'!$U$2:$U$4001,'Per Line'!$C$2:$C$4001,$B365,'Per Line'!$AM$2:$AM$4001,1))</f>
        <v/>
      </c>
      <c r="R365">
        <f>IF($AB365="","",Settings!$C$7)</f>
        <v/>
      </c>
      <c r="S365" s="7">
        <f>IF($AB365="","",SUMIFS('Per Line'!$U$2:$U$4001,'Per Line'!$C$2:$C$4001,$B365,'Per Line'!$AL$2:$AL$4001,0,'Per Line'!$AM$2:$AM$4001,0))</f>
        <v/>
      </c>
      <c r="T365" s="7">
        <f>IF($AB365="","",S365*R365)</f>
        <v/>
      </c>
      <c r="U365">
        <f>IF($AB365="","",Settings!$C$6)</f>
        <v/>
      </c>
      <c r="V365" s="7">
        <f>IF($AB365="","",SUMIFS('Per Line'!$U$2:$U$4001,'Per Line'!$C$2:$C$4001,$B365,'Per Line'!$AL$2:$AL$4001,1,'Per Line'!$AM$2:$AM$4001,0))</f>
        <v/>
      </c>
      <c r="W365" s="7">
        <f>IF($AB365="","",V365*U365)</f>
        <v/>
      </c>
      <c r="X365" s="7">
        <f>IF($AB365="","",W365+T365)</f>
        <v/>
      </c>
      <c r="Y365" s="7">
        <f>IF($AB365="","",Z365-X365)</f>
        <v/>
      </c>
      <c r="Z365" s="7">
        <f>IF($AB365="","",S365+V365+Q365)</f>
        <v/>
      </c>
      <c r="AA365" s="7">
        <f>IF($AB365="","",Z365-X365-M365)</f>
        <v/>
      </c>
      <c r="AB365" s="13">
        <f>IF(ROWS($AB$2:$AB365)&lt;=MAX('Per Line'!$AK$2:$AK$4001),MATCH(ROWS($AB$2:$AB365),'Per Line'!$AK$2:$AK$4001,0),"")</f>
        <v/>
      </c>
      <c r="AC365" s="14">
        <f>IF($AB365="","",M365-L365*Z365/100)</f>
        <v/>
      </c>
    </row>
    <row r="366">
      <c r="A366" s="12" t="n"/>
      <c r="B366">
        <f>IF($AB366="","",INDEX('Per Line'!$C$2:$C$4001,$AB366)&amp;"")</f>
        <v/>
      </c>
      <c r="C366">
        <f>IF($AB366="","",INDEX('Per Line'!$D$2:$D$4001,$AB366)&amp;"")</f>
        <v/>
      </c>
      <c r="D366">
        <f>IF($AB366="","",INDEX('Per Line'!$B$2:$B$4001,$AB366)&amp;"")</f>
        <v/>
      </c>
      <c r="E366">
        <f>IF($AB366="","",INDEX('Per Line'!$A$2:$A$4001,$AB366))</f>
        <v/>
      </c>
      <c r="F366" s="11">
        <f>IF($AB366="","",INDEX('Per Line'!$E$2:$E$4001,$AB366))</f>
        <v/>
      </c>
      <c r="G366">
        <f>IF($AB366="","",INDEX('Per Line'!$F$2:$F$4001,$AB366)&amp;"")</f>
        <v/>
      </c>
      <c r="H366">
        <f>IF($AB366="","",INDEX('Per Line'!$H$2:$H$4001,$AB366)&amp;"")</f>
        <v/>
      </c>
      <c r="I366">
        <f>IF($AB366="","",INDEX('Per Line'!$I$2:$I$4001,$AB366)&amp;"")</f>
        <v/>
      </c>
      <c r="J366">
        <f>IF($AB366="","",INDEX('Per Line'!$J$2:$J$4001,$AB366)&amp;"")</f>
        <v/>
      </c>
      <c r="K366">
        <f>IF($AB366="","",INDEX('Per Line'!$K$2:$K$4001,$AB366)&amp;"")</f>
        <v/>
      </c>
      <c r="L366">
        <f>IF($AB366="","",INDEX('Per Line'!$L$2:$L$4001,$AB366))</f>
        <v/>
      </c>
      <c r="M366" s="7">
        <f>IF($AB366="","",IF(AND(ISNUMBER(O366),O366&gt;0,Z366&gt;O366),L366*O366/100+(Z366-O366),L366*Z366/100))</f>
        <v/>
      </c>
      <c r="N366">
        <f>IF($AB366="","",INDEX('Per Line'!$V$2:$V$4001,$AB366)&amp;"")</f>
        <v/>
      </c>
      <c r="O366">
        <f>IF($AB366="","",INDEX('Per Line'!$Z$2:$Z$4001,$AB366))</f>
        <v/>
      </c>
      <c r="P366">
        <f>IF($AB366="","",IF(AND(ISNUMBER(O366),O366&gt;0),Z366&gt;O366,FALSE))</f>
        <v/>
      </c>
      <c r="Q366" s="7">
        <f>IF($AB366="","",SUMIFS('Per Line'!$U$2:$U$4001,'Per Line'!$C$2:$C$4001,$B366,'Per Line'!$AM$2:$AM$4001,1))</f>
        <v/>
      </c>
      <c r="R366">
        <f>IF($AB366="","",Settings!$C$7)</f>
        <v/>
      </c>
      <c r="S366" s="7">
        <f>IF($AB366="","",SUMIFS('Per Line'!$U$2:$U$4001,'Per Line'!$C$2:$C$4001,$B366,'Per Line'!$AL$2:$AL$4001,0,'Per Line'!$AM$2:$AM$4001,0))</f>
        <v/>
      </c>
      <c r="T366" s="7">
        <f>IF($AB366="","",S366*R366)</f>
        <v/>
      </c>
      <c r="U366">
        <f>IF($AB366="","",Settings!$C$6)</f>
        <v/>
      </c>
      <c r="V366" s="7">
        <f>IF($AB366="","",SUMIFS('Per Line'!$U$2:$U$4001,'Per Line'!$C$2:$C$4001,$B366,'Per Line'!$AL$2:$AL$4001,1,'Per Line'!$AM$2:$AM$4001,0))</f>
        <v/>
      </c>
      <c r="W366" s="7">
        <f>IF($AB366="","",V366*U366)</f>
        <v/>
      </c>
      <c r="X366" s="7">
        <f>IF($AB366="","",W366+T366)</f>
        <v/>
      </c>
      <c r="Y366" s="7">
        <f>IF($AB366="","",Z366-X366)</f>
        <v/>
      </c>
      <c r="Z366" s="7">
        <f>IF($AB366="","",S366+V366+Q366)</f>
        <v/>
      </c>
      <c r="AA366" s="7">
        <f>IF($AB366="","",Z366-X366-M366)</f>
        <v/>
      </c>
      <c r="AB366" s="13">
        <f>IF(ROWS($AB$2:$AB366)&lt;=MAX('Per Line'!$AK$2:$AK$4001),MATCH(ROWS($AB$2:$AB366),'Per Line'!$AK$2:$AK$4001,0),"")</f>
        <v/>
      </c>
      <c r="AC366" s="14">
        <f>IF($AB366="","",M366-L366*Z366/100)</f>
        <v/>
      </c>
    </row>
    <row r="367">
      <c r="A367" s="12" t="n"/>
      <c r="B367">
        <f>IF($AB367="","",INDEX('Per Line'!$C$2:$C$4001,$AB367)&amp;"")</f>
        <v/>
      </c>
      <c r="C367">
        <f>IF($AB367="","",INDEX('Per Line'!$D$2:$D$4001,$AB367)&amp;"")</f>
        <v/>
      </c>
      <c r="D367">
        <f>IF($AB367="","",INDEX('Per Line'!$B$2:$B$4001,$AB367)&amp;"")</f>
        <v/>
      </c>
      <c r="E367">
        <f>IF($AB367="","",INDEX('Per Line'!$A$2:$A$4001,$AB367))</f>
        <v/>
      </c>
      <c r="F367" s="11">
        <f>IF($AB367="","",INDEX('Per Line'!$E$2:$E$4001,$AB367))</f>
        <v/>
      </c>
      <c r="G367">
        <f>IF($AB367="","",INDEX('Per Line'!$F$2:$F$4001,$AB367)&amp;"")</f>
        <v/>
      </c>
      <c r="H367">
        <f>IF($AB367="","",INDEX('Per Line'!$H$2:$H$4001,$AB367)&amp;"")</f>
        <v/>
      </c>
      <c r="I367">
        <f>IF($AB367="","",INDEX('Per Line'!$I$2:$I$4001,$AB367)&amp;"")</f>
        <v/>
      </c>
      <c r="J367">
        <f>IF($AB367="","",INDEX('Per Line'!$J$2:$J$4001,$AB367)&amp;"")</f>
        <v/>
      </c>
      <c r="K367">
        <f>IF($AB367="","",INDEX('Per Line'!$K$2:$K$4001,$AB367)&amp;"")</f>
        <v/>
      </c>
      <c r="L367">
        <f>IF($AB367="","",INDEX('Per Line'!$L$2:$L$4001,$AB367))</f>
        <v/>
      </c>
      <c r="M367" s="7">
        <f>IF($AB367="","",IF(AND(ISNUMBER(O367),O367&gt;0,Z367&gt;O367),L367*O367/100+(Z367-O367),L367*Z367/100))</f>
        <v/>
      </c>
      <c r="N367">
        <f>IF($AB367="","",INDEX('Per Line'!$V$2:$V$4001,$AB367)&amp;"")</f>
        <v/>
      </c>
      <c r="O367">
        <f>IF($AB367="","",INDEX('Per Line'!$Z$2:$Z$4001,$AB367))</f>
        <v/>
      </c>
      <c r="P367">
        <f>IF($AB367="","",IF(AND(ISNUMBER(O367),O367&gt;0),Z367&gt;O367,FALSE))</f>
        <v/>
      </c>
      <c r="Q367" s="7">
        <f>IF($AB367="","",SUMIFS('Per Line'!$U$2:$U$4001,'Per Line'!$C$2:$C$4001,$B367,'Per Line'!$AM$2:$AM$4001,1))</f>
        <v/>
      </c>
      <c r="R367">
        <f>IF($AB367="","",Settings!$C$7)</f>
        <v/>
      </c>
      <c r="S367" s="7">
        <f>IF($AB367="","",SUMIFS('Per Line'!$U$2:$U$4001,'Per Line'!$C$2:$C$4001,$B367,'Per Line'!$AL$2:$AL$4001,0,'Per Line'!$AM$2:$AM$4001,0))</f>
        <v/>
      </c>
      <c r="T367" s="7">
        <f>IF($AB367="","",S367*R367)</f>
        <v/>
      </c>
      <c r="U367">
        <f>IF($AB367="","",Settings!$C$6)</f>
        <v/>
      </c>
      <c r="V367" s="7">
        <f>IF($AB367="","",SUMIFS('Per Line'!$U$2:$U$4001,'Per Line'!$C$2:$C$4001,$B367,'Per Line'!$AL$2:$AL$4001,1,'Per Line'!$AM$2:$AM$4001,0))</f>
        <v/>
      </c>
      <c r="W367" s="7">
        <f>IF($AB367="","",V367*U367)</f>
        <v/>
      </c>
      <c r="X367" s="7">
        <f>IF($AB367="","",W367+T367)</f>
        <v/>
      </c>
      <c r="Y367" s="7">
        <f>IF($AB367="","",Z367-X367)</f>
        <v/>
      </c>
      <c r="Z367" s="7">
        <f>IF($AB367="","",S367+V367+Q367)</f>
        <v/>
      </c>
      <c r="AA367" s="7">
        <f>IF($AB367="","",Z367-X367-M367)</f>
        <v/>
      </c>
      <c r="AB367" s="13">
        <f>IF(ROWS($AB$2:$AB367)&lt;=MAX('Per Line'!$AK$2:$AK$4001),MATCH(ROWS($AB$2:$AB367),'Per Line'!$AK$2:$AK$4001,0),"")</f>
        <v/>
      </c>
      <c r="AC367" s="14">
        <f>IF($AB367="","",M367-L367*Z367/100)</f>
        <v/>
      </c>
    </row>
    <row r="368">
      <c r="A368" s="12" t="n"/>
      <c r="B368">
        <f>IF($AB368="","",INDEX('Per Line'!$C$2:$C$4001,$AB368)&amp;"")</f>
        <v/>
      </c>
      <c r="C368">
        <f>IF($AB368="","",INDEX('Per Line'!$D$2:$D$4001,$AB368)&amp;"")</f>
        <v/>
      </c>
      <c r="D368">
        <f>IF($AB368="","",INDEX('Per Line'!$B$2:$B$4001,$AB368)&amp;"")</f>
        <v/>
      </c>
      <c r="E368">
        <f>IF($AB368="","",INDEX('Per Line'!$A$2:$A$4001,$AB368))</f>
        <v/>
      </c>
      <c r="F368" s="11">
        <f>IF($AB368="","",INDEX('Per Line'!$E$2:$E$4001,$AB368))</f>
        <v/>
      </c>
      <c r="G368">
        <f>IF($AB368="","",INDEX('Per Line'!$F$2:$F$4001,$AB368)&amp;"")</f>
        <v/>
      </c>
      <c r="H368">
        <f>IF($AB368="","",INDEX('Per Line'!$H$2:$H$4001,$AB368)&amp;"")</f>
        <v/>
      </c>
      <c r="I368">
        <f>IF($AB368="","",INDEX('Per Line'!$I$2:$I$4001,$AB368)&amp;"")</f>
        <v/>
      </c>
      <c r="J368">
        <f>IF($AB368="","",INDEX('Per Line'!$J$2:$J$4001,$AB368)&amp;"")</f>
        <v/>
      </c>
      <c r="K368">
        <f>IF($AB368="","",INDEX('Per Line'!$K$2:$K$4001,$AB368)&amp;"")</f>
        <v/>
      </c>
      <c r="L368">
        <f>IF($AB368="","",INDEX('Per Line'!$L$2:$L$4001,$AB368))</f>
        <v/>
      </c>
      <c r="M368" s="7">
        <f>IF($AB368="","",IF(AND(ISNUMBER(O368),O368&gt;0,Z368&gt;O368),L368*O368/100+(Z368-O368),L368*Z368/100))</f>
        <v/>
      </c>
      <c r="N368">
        <f>IF($AB368="","",INDEX('Per Line'!$V$2:$V$4001,$AB368)&amp;"")</f>
        <v/>
      </c>
      <c r="O368">
        <f>IF($AB368="","",INDEX('Per Line'!$Z$2:$Z$4001,$AB368))</f>
        <v/>
      </c>
      <c r="P368">
        <f>IF($AB368="","",IF(AND(ISNUMBER(O368),O368&gt;0),Z368&gt;O368,FALSE))</f>
        <v/>
      </c>
      <c r="Q368" s="7">
        <f>IF($AB368="","",SUMIFS('Per Line'!$U$2:$U$4001,'Per Line'!$C$2:$C$4001,$B368,'Per Line'!$AM$2:$AM$4001,1))</f>
        <v/>
      </c>
      <c r="R368">
        <f>IF($AB368="","",Settings!$C$7)</f>
        <v/>
      </c>
      <c r="S368" s="7">
        <f>IF($AB368="","",SUMIFS('Per Line'!$U$2:$U$4001,'Per Line'!$C$2:$C$4001,$B368,'Per Line'!$AL$2:$AL$4001,0,'Per Line'!$AM$2:$AM$4001,0))</f>
        <v/>
      </c>
      <c r="T368" s="7">
        <f>IF($AB368="","",S368*R368)</f>
        <v/>
      </c>
      <c r="U368">
        <f>IF($AB368="","",Settings!$C$6)</f>
        <v/>
      </c>
      <c r="V368" s="7">
        <f>IF($AB368="","",SUMIFS('Per Line'!$U$2:$U$4001,'Per Line'!$C$2:$C$4001,$B368,'Per Line'!$AL$2:$AL$4001,1,'Per Line'!$AM$2:$AM$4001,0))</f>
        <v/>
      </c>
      <c r="W368" s="7">
        <f>IF($AB368="","",V368*U368)</f>
        <v/>
      </c>
      <c r="X368" s="7">
        <f>IF($AB368="","",W368+T368)</f>
        <v/>
      </c>
      <c r="Y368" s="7">
        <f>IF($AB368="","",Z368-X368)</f>
        <v/>
      </c>
      <c r="Z368" s="7">
        <f>IF($AB368="","",S368+V368+Q368)</f>
        <v/>
      </c>
      <c r="AA368" s="7">
        <f>IF($AB368="","",Z368-X368-M368)</f>
        <v/>
      </c>
      <c r="AB368" s="13">
        <f>IF(ROWS($AB$2:$AB368)&lt;=MAX('Per Line'!$AK$2:$AK$4001),MATCH(ROWS($AB$2:$AB368),'Per Line'!$AK$2:$AK$4001,0),"")</f>
        <v/>
      </c>
      <c r="AC368" s="14">
        <f>IF($AB368="","",M368-L368*Z368/100)</f>
        <v/>
      </c>
    </row>
    <row r="369">
      <c r="A369" s="12" t="n"/>
      <c r="B369">
        <f>IF($AB369="","",INDEX('Per Line'!$C$2:$C$4001,$AB369)&amp;"")</f>
        <v/>
      </c>
      <c r="C369">
        <f>IF($AB369="","",INDEX('Per Line'!$D$2:$D$4001,$AB369)&amp;"")</f>
        <v/>
      </c>
      <c r="D369">
        <f>IF($AB369="","",INDEX('Per Line'!$B$2:$B$4001,$AB369)&amp;"")</f>
        <v/>
      </c>
      <c r="E369">
        <f>IF($AB369="","",INDEX('Per Line'!$A$2:$A$4001,$AB369))</f>
        <v/>
      </c>
      <c r="F369" s="11">
        <f>IF($AB369="","",INDEX('Per Line'!$E$2:$E$4001,$AB369))</f>
        <v/>
      </c>
      <c r="G369">
        <f>IF($AB369="","",INDEX('Per Line'!$F$2:$F$4001,$AB369)&amp;"")</f>
        <v/>
      </c>
      <c r="H369">
        <f>IF($AB369="","",INDEX('Per Line'!$H$2:$H$4001,$AB369)&amp;"")</f>
        <v/>
      </c>
      <c r="I369">
        <f>IF($AB369="","",INDEX('Per Line'!$I$2:$I$4001,$AB369)&amp;"")</f>
        <v/>
      </c>
      <c r="J369">
        <f>IF($AB369="","",INDEX('Per Line'!$J$2:$J$4001,$AB369)&amp;"")</f>
        <v/>
      </c>
      <c r="K369">
        <f>IF($AB369="","",INDEX('Per Line'!$K$2:$K$4001,$AB369)&amp;"")</f>
        <v/>
      </c>
      <c r="L369">
        <f>IF($AB369="","",INDEX('Per Line'!$L$2:$L$4001,$AB369))</f>
        <v/>
      </c>
      <c r="M369" s="7">
        <f>IF($AB369="","",IF(AND(ISNUMBER(O369),O369&gt;0,Z369&gt;O369),L369*O369/100+(Z369-O369),L369*Z369/100))</f>
        <v/>
      </c>
      <c r="N369">
        <f>IF($AB369="","",INDEX('Per Line'!$V$2:$V$4001,$AB369)&amp;"")</f>
        <v/>
      </c>
      <c r="O369">
        <f>IF($AB369="","",INDEX('Per Line'!$Z$2:$Z$4001,$AB369))</f>
        <v/>
      </c>
      <c r="P369">
        <f>IF($AB369="","",IF(AND(ISNUMBER(O369),O369&gt;0),Z369&gt;O369,FALSE))</f>
        <v/>
      </c>
      <c r="Q369" s="7">
        <f>IF($AB369="","",SUMIFS('Per Line'!$U$2:$U$4001,'Per Line'!$C$2:$C$4001,$B369,'Per Line'!$AM$2:$AM$4001,1))</f>
        <v/>
      </c>
      <c r="R369">
        <f>IF($AB369="","",Settings!$C$7)</f>
        <v/>
      </c>
      <c r="S369" s="7">
        <f>IF($AB369="","",SUMIFS('Per Line'!$U$2:$U$4001,'Per Line'!$C$2:$C$4001,$B369,'Per Line'!$AL$2:$AL$4001,0,'Per Line'!$AM$2:$AM$4001,0))</f>
        <v/>
      </c>
      <c r="T369" s="7">
        <f>IF($AB369="","",S369*R369)</f>
        <v/>
      </c>
      <c r="U369">
        <f>IF($AB369="","",Settings!$C$6)</f>
        <v/>
      </c>
      <c r="V369" s="7">
        <f>IF($AB369="","",SUMIFS('Per Line'!$U$2:$U$4001,'Per Line'!$C$2:$C$4001,$B369,'Per Line'!$AL$2:$AL$4001,1,'Per Line'!$AM$2:$AM$4001,0))</f>
        <v/>
      </c>
      <c r="W369" s="7">
        <f>IF($AB369="","",V369*U369)</f>
        <v/>
      </c>
      <c r="X369" s="7">
        <f>IF($AB369="","",W369+T369)</f>
        <v/>
      </c>
      <c r="Y369" s="7">
        <f>IF($AB369="","",Z369-X369)</f>
        <v/>
      </c>
      <c r="Z369" s="7">
        <f>IF($AB369="","",S369+V369+Q369)</f>
        <v/>
      </c>
      <c r="AA369" s="7">
        <f>IF($AB369="","",Z369-X369-M369)</f>
        <v/>
      </c>
      <c r="AB369" s="13">
        <f>IF(ROWS($AB$2:$AB369)&lt;=MAX('Per Line'!$AK$2:$AK$4001),MATCH(ROWS($AB$2:$AB369),'Per Line'!$AK$2:$AK$4001,0),"")</f>
        <v/>
      </c>
      <c r="AC369" s="14">
        <f>IF($AB369="","",M369-L369*Z369/100)</f>
        <v/>
      </c>
    </row>
    <row r="370">
      <c r="A370" s="12" t="n"/>
      <c r="B370">
        <f>IF($AB370="","",INDEX('Per Line'!$C$2:$C$4001,$AB370)&amp;"")</f>
        <v/>
      </c>
      <c r="C370">
        <f>IF($AB370="","",INDEX('Per Line'!$D$2:$D$4001,$AB370)&amp;"")</f>
        <v/>
      </c>
      <c r="D370">
        <f>IF($AB370="","",INDEX('Per Line'!$B$2:$B$4001,$AB370)&amp;"")</f>
        <v/>
      </c>
      <c r="E370">
        <f>IF($AB370="","",INDEX('Per Line'!$A$2:$A$4001,$AB370))</f>
        <v/>
      </c>
      <c r="F370" s="11">
        <f>IF($AB370="","",INDEX('Per Line'!$E$2:$E$4001,$AB370))</f>
        <v/>
      </c>
      <c r="G370">
        <f>IF($AB370="","",INDEX('Per Line'!$F$2:$F$4001,$AB370)&amp;"")</f>
        <v/>
      </c>
      <c r="H370">
        <f>IF($AB370="","",INDEX('Per Line'!$H$2:$H$4001,$AB370)&amp;"")</f>
        <v/>
      </c>
      <c r="I370">
        <f>IF($AB370="","",INDEX('Per Line'!$I$2:$I$4001,$AB370)&amp;"")</f>
        <v/>
      </c>
      <c r="J370">
        <f>IF($AB370="","",INDEX('Per Line'!$J$2:$J$4001,$AB370)&amp;"")</f>
        <v/>
      </c>
      <c r="K370">
        <f>IF($AB370="","",INDEX('Per Line'!$K$2:$K$4001,$AB370)&amp;"")</f>
        <v/>
      </c>
      <c r="L370">
        <f>IF($AB370="","",INDEX('Per Line'!$L$2:$L$4001,$AB370))</f>
        <v/>
      </c>
      <c r="M370" s="7">
        <f>IF($AB370="","",IF(AND(ISNUMBER(O370),O370&gt;0,Z370&gt;O370),L370*O370/100+(Z370-O370),L370*Z370/100))</f>
        <v/>
      </c>
      <c r="N370">
        <f>IF($AB370="","",INDEX('Per Line'!$V$2:$V$4001,$AB370)&amp;"")</f>
        <v/>
      </c>
      <c r="O370">
        <f>IF($AB370="","",INDEX('Per Line'!$Z$2:$Z$4001,$AB370))</f>
        <v/>
      </c>
      <c r="P370">
        <f>IF($AB370="","",IF(AND(ISNUMBER(O370),O370&gt;0),Z370&gt;O370,FALSE))</f>
        <v/>
      </c>
      <c r="Q370" s="7">
        <f>IF($AB370="","",SUMIFS('Per Line'!$U$2:$U$4001,'Per Line'!$C$2:$C$4001,$B370,'Per Line'!$AM$2:$AM$4001,1))</f>
        <v/>
      </c>
      <c r="R370">
        <f>IF($AB370="","",Settings!$C$7)</f>
        <v/>
      </c>
      <c r="S370" s="7">
        <f>IF($AB370="","",SUMIFS('Per Line'!$U$2:$U$4001,'Per Line'!$C$2:$C$4001,$B370,'Per Line'!$AL$2:$AL$4001,0,'Per Line'!$AM$2:$AM$4001,0))</f>
        <v/>
      </c>
      <c r="T370" s="7">
        <f>IF($AB370="","",S370*R370)</f>
        <v/>
      </c>
      <c r="U370">
        <f>IF($AB370="","",Settings!$C$6)</f>
        <v/>
      </c>
      <c r="V370" s="7">
        <f>IF($AB370="","",SUMIFS('Per Line'!$U$2:$U$4001,'Per Line'!$C$2:$C$4001,$B370,'Per Line'!$AL$2:$AL$4001,1,'Per Line'!$AM$2:$AM$4001,0))</f>
        <v/>
      </c>
      <c r="W370" s="7">
        <f>IF($AB370="","",V370*U370)</f>
        <v/>
      </c>
      <c r="X370" s="7">
        <f>IF($AB370="","",W370+T370)</f>
        <v/>
      </c>
      <c r="Y370" s="7">
        <f>IF($AB370="","",Z370-X370)</f>
        <v/>
      </c>
      <c r="Z370" s="7">
        <f>IF($AB370="","",S370+V370+Q370)</f>
        <v/>
      </c>
      <c r="AA370" s="7">
        <f>IF($AB370="","",Z370-X370-M370)</f>
        <v/>
      </c>
      <c r="AB370" s="13">
        <f>IF(ROWS($AB$2:$AB370)&lt;=MAX('Per Line'!$AK$2:$AK$4001),MATCH(ROWS($AB$2:$AB370),'Per Line'!$AK$2:$AK$4001,0),"")</f>
        <v/>
      </c>
      <c r="AC370" s="14">
        <f>IF($AB370="","",M370-L370*Z370/100)</f>
        <v/>
      </c>
    </row>
    <row r="371">
      <c r="A371" s="12" t="n"/>
      <c r="B371">
        <f>IF($AB371="","",INDEX('Per Line'!$C$2:$C$4001,$AB371)&amp;"")</f>
        <v/>
      </c>
      <c r="C371">
        <f>IF($AB371="","",INDEX('Per Line'!$D$2:$D$4001,$AB371)&amp;"")</f>
        <v/>
      </c>
      <c r="D371">
        <f>IF($AB371="","",INDEX('Per Line'!$B$2:$B$4001,$AB371)&amp;"")</f>
        <v/>
      </c>
      <c r="E371">
        <f>IF($AB371="","",INDEX('Per Line'!$A$2:$A$4001,$AB371))</f>
        <v/>
      </c>
      <c r="F371" s="11">
        <f>IF($AB371="","",INDEX('Per Line'!$E$2:$E$4001,$AB371))</f>
        <v/>
      </c>
      <c r="G371">
        <f>IF($AB371="","",INDEX('Per Line'!$F$2:$F$4001,$AB371)&amp;"")</f>
        <v/>
      </c>
      <c r="H371">
        <f>IF($AB371="","",INDEX('Per Line'!$H$2:$H$4001,$AB371)&amp;"")</f>
        <v/>
      </c>
      <c r="I371">
        <f>IF($AB371="","",INDEX('Per Line'!$I$2:$I$4001,$AB371)&amp;"")</f>
        <v/>
      </c>
      <c r="J371">
        <f>IF($AB371="","",INDEX('Per Line'!$J$2:$J$4001,$AB371)&amp;"")</f>
        <v/>
      </c>
      <c r="K371">
        <f>IF($AB371="","",INDEX('Per Line'!$K$2:$K$4001,$AB371)&amp;"")</f>
        <v/>
      </c>
      <c r="L371">
        <f>IF($AB371="","",INDEX('Per Line'!$L$2:$L$4001,$AB371))</f>
        <v/>
      </c>
      <c r="M371" s="7">
        <f>IF($AB371="","",IF(AND(ISNUMBER(O371),O371&gt;0,Z371&gt;O371),L371*O371/100+(Z371-O371),L371*Z371/100))</f>
        <v/>
      </c>
      <c r="N371">
        <f>IF($AB371="","",INDEX('Per Line'!$V$2:$V$4001,$AB371)&amp;"")</f>
        <v/>
      </c>
      <c r="O371">
        <f>IF($AB371="","",INDEX('Per Line'!$Z$2:$Z$4001,$AB371))</f>
        <v/>
      </c>
      <c r="P371">
        <f>IF($AB371="","",IF(AND(ISNUMBER(O371),O371&gt;0),Z371&gt;O371,FALSE))</f>
        <v/>
      </c>
      <c r="Q371" s="7">
        <f>IF($AB371="","",SUMIFS('Per Line'!$U$2:$U$4001,'Per Line'!$C$2:$C$4001,$B371,'Per Line'!$AM$2:$AM$4001,1))</f>
        <v/>
      </c>
      <c r="R371">
        <f>IF($AB371="","",Settings!$C$7)</f>
        <v/>
      </c>
      <c r="S371" s="7">
        <f>IF($AB371="","",SUMIFS('Per Line'!$U$2:$U$4001,'Per Line'!$C$2:$C$4001,$B371,'Per Line'!$AL$2:$AL$4001,0,'Per Line'!$AM$2:$AM$4001,0))</f>
        <v/>
      </c>
      <c r="T371" s="7">
        <f>IF($AB371="","",S371*R371)</f>
        <v/>
      </c>
      <c r="U371">
        <f>IF($AB371="","",Settings!$C$6)</f>
        <v/>
      </c>
      <c r="V371" s="7">
        <f>IF($AB371="","",SUMIFS('Per Line'!$U$2:$U$4001,'Per Line'!$C$2:$C$4001,$B371,'Per Line'!$AL$2:$AL$4001,1,'Per Line'!$AM$2:$AM$4001,0))</f>
        <v/>
      </c>
      <c r="W371" s="7">
        <f>IF($AB371="","",V371*U371)</f>
        <v/>
      </c>
      <c r="X371" s="7">
        <f>IF($AB371="","",W371+T371)</f>
        <v/>
      </c>
      <c r="Y371" s="7">
        <f>IF($AB371="","",Z371-X371)</f>
        <v/>
      </c>
      <c r="Z371" s="7">
        <f>IF($AB371="","",S371+V371+Q371)</f>
        <v/>
      </c>
      <c r="AA371" s="7">
        <f>IF($AB371="","",Z371-X371-M371)</f>
        <v/>
      </c>
      <c r="AB371" s="13">
        <f>IF(ROWS($AB$2:$AB371)&lt;=MAX('Per Line'!$AK$2:$AK$4001),MATCH(ROWS($AB$2:$AB371),'Per Line'!$AK$2:$AK$4001,0),"")</f>
        <v/>
      </c>
      <c r="AC371" s="14">
        <f>IF($AB371="","",M371-L371*Z371/100)</f>
        <v/>
      </c>
    </row>
    <row r="372">
      <c r="A372" s="12" t="n"/>
      <c r="B372">
        <f>IF($AB372="","",INDEX('Per Line'!$C$2:$C$4001,$AB372)&amp;"")</f>
        <v/>
      </c>
      <c r="C372">
        <f>IF($AB372="","",INDEX('Per Line'!$D$2:$D$4001,$AB372)&amp;"")</f>
        <v/>
      </c>
      <c r="D372">
        <f>IF($AB372="","",INDEX('Per Line'!$B$2:$B$4001,$AB372)&amp;"")</f>
        <v/>
      </c>
      <c r="E372">
        <f>IF($AB372="","",INDEX('Per Line'!$A$2:$A$4001,$AB372))</f>
        <v/>
      </c>
      <c r="F372" s="11">
        <f>IF($AB372="","",INDEX('Per Line'!$E$2:$E$4001,$AB372))</f>
        <v/>
      </c>
      <c r="G372">
        <f>IF($AB372="","",INDEX('Per Line'!$F$2:$F$4001,$AB372)&amp;"")</f>
        <v/>
      </c>
      <c r="H372">
        <f>IF($AB372="","",INDEX('Per Line'!$H$2:$H$4001,$AB372)&amp;"")</f>
        <v/>
      </c>
      <c r="I372">
        <f>IF($AB372="","",INDEX('Per Line'!$I$2:$I$4001,$AB372)&amp;"")</f>
        <v/>
      </c>
      <c r="J372">
        <f>IF($AB372="","",INDEX('Per Line'!$J$2:$J$4001,$AB372)&amp;"")</f>
        <v/>
      </c>
      <c r="K372">
        <f>IF($AB372="","",INDEX('Per Line'!$K$2:$K$4001,$AB372)&amp;"")</f>
        <v/>
      </c>
      <c r="L372">
        <f>IF($AB372="","",INDEX('Per Line'!$L$2:$L$4001,$AB372))</f>
        <v/>
      </c>
      <c r="M372" s="7">
        <f>IF($AB372="","",IF(AND(ISNUMBER(O372),O372&gt;0,Z372&gt;O372),L372*O372/100+(Z372-O372),L372*Z372/100))</f>
        <v/>
      </c>
      <c r="N372">
        <f>IF($AB372="","",INDEX('Per Line'!$V$2:$V$4001,$AB372)&amp;"")</f>
        <v/>
      </c>
      <c r="O372">
        <f>IF($AB372="","",INDEX('Per Line'!$Z$2:$Z$4001,$AB372))</f>
        <v/>
      </c>
      <c r="P372">
        <f>IF($AB372="","",IF(AND(ISNUMBER(O372),O372&gt;0),Z372&gt;O372,FALSE))</f>
        <v/>
      </c>
      <c r="Q372" s="7">
        <f>IF($AB372="","",SUMIFS('Per Line'!$U$2:$U$4001,'Per Line'!$C$2:$C$4001,$B372,'Per Line'!$AM$2:$AM$4001,1))</f>
        <v/>
      </c>
      <c r="R372">
        <f>IF($AB372="","",Settings!$C$7)</f>
        <v/>
      </c>
      <c r="S372" s="7">
        <f>IF($AB372="","",SUMIFS('Per Line'!$U$2:$U$4001,'Per Line'!$C$2:$C$4001,$B372,'Per Line'!$AL$2:$AL$4001,0,'Per Line'!$AM$2:$AM$4001,0))</f>
        <v/>
      </c>
      <c r="T372" s="7">
        <f>IF($AB372="","",S372*R372)</f>
        <v/>
      </c>
      <c r="U372">
        <f>IF($AB372="","",Settings!$C$6)</f>
        <v/>
      </c>
      <c r="V372" s="7">
        <f>IF($AB372="","",SUMIFS('Per Line'!$U$2:$U$4001,'Per Line'!$C$2:$C$4001,$B372,'Per Line'!$AL$2:$AL$4001,1,'Per Line'!$AM$2:$AM$4001,0))</f>
        <v/>
      </c>
      <c r="W372" s="7">
        <f>IF($AB372="","",V372*U372)</f>
        <v/>
      </c>
      <c r="X372" s="7">
        <f>IF($AB372="","",W372+T372)</f>
        <v/>
      </c>
      <c r="Y372" s="7">
        <f>IF($AB372="","",Z372-X372)</f>
        <v/>
      </c>
      <c r="Z372" s="7">
        <f>IF($AB372="","",S372+V372+Q372)</f>
        <v/>
      </c>
      <c r="AA372" s="7">
        <f>IF($AB372="","",Z372-X372-M372)</f>
        <v/>
      </c>
      <c r="AB372" s="13">
        <f>IF(ROWS($AB$2:$AB372)&lt;=MAX('Per Line'!$AK$2:$AK$4001),MATCH(ROWS($AB$2:$AB372),'Per Line'!$AK$2:$AK$4001,0),"")</f>
        <v/>
      </c>
      <c r="AC372" s="14">
        <f>IF($AB372="","",M372-L372*Z372/100)</f>
        <v/>
      </c>
    </row>
    <row r="373">
      <c r="A373" s="12" t="n"/>
      <c r="B373">
        <f>IF($AB373="","",INDEX('Per Line'!$C$2:$C$4001,$AB373)&amp;"")</f>
        <v/>
      </c>
      <c r="C373">
        <f>IF($AB373="","",INDEX('Per Line'!$D$2:$D$4001,$AB373)&amp;"")</f>
        <v/>
      </c>
      <c r="D373">
        <f>IF($AB373="","",INDEX('Per Line'!$B$2:$B$4001,$AB373)&amp;"")</f>
        <v/>
      </c>
      <c r="E373">
        <f>IF($AB373="","",INDEX('Per Line'!$A$2:$A$4001,$AB373))</f>
        <v/>
      </c>
      <c r="F373" s="11">
        <f>IF($AB373="","",INDEX('Per Line'!$E$2:$E$4001,$AB373))</f>
        <v/>
      </c>
      <c r="G373">
        <f>IF($AB373="","",INDEX('Per Line'!$F$2:$F$4001,$AB373)&amp;"")</f>
        <v/>
      </c>
      <c r="H373">
        <f>IF($AB373="","",INDEX('Per Line'!$H$2:$H$4001,$AB373)&amp;"")</f>
        <v/>
      </c>
      <c r="I373">
        <f>IF($AB373="","",INDEX('Per Line'!$I$2:$I$4001,$AB373)&amp;"")</f>
        <v/>
      </c>
      <c r="J373">
        <f>IF($AB373="","",INDEX('Per Line'!$J$2:$J$4001,$AB373)&amp;"")</f>
        <v/>
      </c>
      <c r="K373">
        <f>IF($AB373="","",INDEX('Per Line'!$K$2:$K$4001,$AB373)&amp;"")</f>
        <v/>
      </c>
      <c r="L373">
        <f>IF($AB373="","",INDEX('Per Line'!$L$2:$L$4001,$AB373))</f>
        <v/>
      </c>
      <c r="M373" s="7">
        <f>IF($AB373="","",IF(AND(ISNUMBER(O373),O373&gt;0,Z373&gt;O373),L373*O373/100+(Z373-O373),L373*Z373/100))</f>
        <v/>
      </c>
      <c r="N373">
        <f>IF($AB373="","",INDEX('Per Line'!$V$2:$V$4001,$AB373)&amp;"")</f>
        <v/>
      </c>
      <c r="O373">
        <f>IF($AB373="","",INDEX('Per Line'!$Z$2:$Z$4001,$AB373))</f>
        <v/>
      </c>
      <c r="P373">
        <f>IF($AB373="","",IF(AND(ISNUMBER(O373),O373&gt;0),Z373&gt;O373,FALSE))</f>
        <v/>
      </c>
      <c r="Q373" s="7">
        <f>IF($AB373="","",SUMIFS('Per Line'!$U$2:$U$4001,'Per Line'!$C$2:$C$4001,$B373,'Per Line'!$AM$2:$AM$4001,1))</f>
        <v/>
      </c>
      <c r="R373">
        <f>IF($AB373="","",Settings!$C$7)</f>
        <v/>
      </c>
      <c r="S373" s="7">
        <f>IF($AB373="","",SUMIFS('Per Line'!$U$2:$U$4001,'Per Line'!$C$2:$C$4001,$B373,'Per Line'!$AL$2:$AL$4001,0,'Per Line'!$AM$2:$AM$4001,0))</f>
        <v/>
      </c>
      <c r="T373" s="7">
        <f>IF($AB373="","",S373*R373)</f>
        <v/>
      </c>
      <c r="U373">
        <f>IF($AB373="","",Settings!$C$6)</f>
        <v/>
      </c>
      <c r="V373" s="7">
        <f>IF($AB373="","",SUMIFS('Per Line'!$U$2:$U$4001,'Per Line'!$C$2:$C$4001,$B373,'Per Line'!$AL$2:$AL$4001,1,'Per Line'!$AM$2:$AM$4001,0))</f>
        <v/>
      </c>
      <c r="W373" s="7">
        <f>IF($AB373="","",V373*U373)</f>
        <v/>
      </c>
      <c r="X373" s="7">
        <f>IF($AB373="","",W373+T373)</f>
        <v/>
      </c>
      <c r="Y373" s="7">
        <f>IF($AB373="","",Z373-X373)</f>
        <v/>
      </c>
      <c r="Z373" s="7">
        <f>IF($AB373="","",S373+V373+Q373)</f>
        <v/>
      </c>
      <c r="AA373" s="7">
        <f>IF($AB373="","",Z373-X373-M373)</f>
        <v/>
      </c>
      <c r="AB373" s="13">
        <f>IF(ROWS($AB$2:$AB373)&lt;=MAX('Per Line'!$AK$2:$AK$4001),MATCH(ROWS($AB$2:$AB373),'Per Line'!$AK$2:$AK$4001,0),"")</f>
        <v/>
      </c>
      <c r="AC373" s="14">
        <f>IF($AB373="","",M373-L373*Z373/100)</f>
        <v/>
      </c>
    </row>
    <row r="374">
      <c r="A374" s="12" t="n"/>
      <c r="B374">
        <f>IF($AB374="","",INDEX('Per Line'!$C$2:$C$4001,$AB374)&amp;"")</f>
        <v/>
      </c>
      <c r="C374">
        <f>IF($AB374="","",INDEX('Per Line'!$D$2:$D$4001,$AB374)&amp;"")</f>
        <v/>
      </c>
      <c r="D374">
        <f>IF($AB374="","",INDEX('Per Line'!$B$2:$B$4001,$AB374)&amp;"")</f>
        <v/>
      </c>
      <c r="E374">
        <f>IF($AB374="","",INDEX('Per Line'!$A$2:$A$4001,$AB374))</f>
        <v/>
      </c>
      <c r="F374" s="11">
        <f>IF($AB374="","",INDEX('Per Line'!$E$2:$E$4001,$AB374))</f>
        <v/>
      </c>
      <c r="G374">
        <f>IF($AB374="","",INDEX('Per Line'!$F$2:$F$4001,$AB374)&amp;"")</f>
        <v/>
      </c>
      <c r="H374">
        <f>IF($AB374="","",INDEX('Per Line'!$H$2:$H$4001,$AB374)&amp;"")</f>
        <v/>
      </c>
      <c r="I374">
        <f>IF($AB374="","",INDEX('Per Line'!$I$2:$I$4001,$AB374)&amp;"")</f>
        <v/>
      </c>
      <c r="J374">
        <f>IF($AB374="","",INDEX('Per Line'!$J$2:$J$4001,$AB374)&amp;"")</f>
        <v/>
      </c>
      <c r="K374">
        <f>IF($AB374="","",INDEX('Per Line'!$K$2:$K$4001,$AB374)&amp;"")</f>
        <v/>
      </c>
      <c r="L374">
        <f>IF($AB374="","",INDEX('Per Line'!$L$2:$L$4001,$AB374))</f>
        <v/>
      </c>
      <c r="M374" s="7">
        <f>IF($AB374="","",IF(AND(ISNUMBER(O374),O374&gt;0,Z374&gt;O374),L374*O374/100+(Z374-O374),L374*Z374/100))</f>
        <v/>
      </c>
      <c r="N374">
        <f>IF($AB374="","",INDEX('Per Line'!$V$2:$V$4001,$AB374)&amp;"")</f>
        <v/>
      </c>
      <c r="O374">
        <f>IF($AB374="","",INDEX('Per Line'!$Z$2:$Z$4001,$AB374))</f>
        <v/>
      </c>
      <c r="P374">
        <f>IF($AB374="","",IF(AND(ISNUMBER(O374),O374&gt;0),Z374&gt;O374,FALSE))</f>
        <v/>
      </c>
      <c r="Q374" s="7">
        <f>IF($AB374="","",SUMIFS('Per Line'!$U$2:$U$4001,'Per Line'!$C$2:$C$4001,$B374,'Per Line'!$AM$2:$AM$4001,1))</f>
        <v/>
      </c>
      <c r="R374">
        <f>IF($AB374="","",Settings!$C$7)</f>
        <v/>
      </c>
      <c r="S374" s="7">
        <f>IF($AB374="","",SUMIFS('Per Line'!$U$2:$U$4001,'Per Line'!$C$2:$C$4001,$B374,'Per Line'!$AL$2:$AL$4001,0,'Per Line'!$AM$2:$AM$4001,0))</f>
        <v/>
      </c>
      <c r="T374" s="7">
        <f>IF($AB374="","",S374*R374)</f>
        <v/>
      </c>
      <c r="U374">
        <f>IF($AB374="","",Settings!$C$6)</f>
        <v/>
      </c>
      <c r="V374" s="7">
        <f>IF($AB374="","",SUMIFS('Per Line'!$U$2:$U$4001,'Per Line'!$C$2:$C$4001,$B374,'Per Line'!$AL$2:$AL$4001,1,'Per Line'!$AM$2:$AM$4001,0))</f>
        <v/>
      </c>
      <c r="W374" s="7">
        <f>IF($AB374="","",V374*U374)</f>
        <v/>
      </c>
      <c r="X374" s="7">
        <f>IF($AB374="","",W374+T374)</f>
        <v/>
      </c>
      <c r="Y374" s="7">
        <f>IF($AB374="","",Z374-X374)</f>
        <v/>
      </c>
      <c r="Z374" s="7">
        <f>IF($AB374="","",S374+V374+Q374)</f>
        <v/>
      </c>
      <c r="AA374" s="7">
        <f>IF($AB374="","",Z374-X374-M374)</f>
        <v/>
      </c>
      <c r="AB374" s="13">
        <f>IF(ROWS($AB$2:$AB374)&lt;=MAX('Per Line'!$AK$2:$AK$4001),MATCH(ROWS($AB$2:$AB374),'Per Line'!$AK$2:$AK$4001,0),"")</f>
        <v/>
      </c>
      <c r="AC374" s="14">
        <f>IF($AB374="","",M374-L374*Z374/100)</f>
        <v/>
      </c>
    </row>
    <row r="375">
      <c r="A375" s="12" t="n"/>
      <c r="B375">
        <f>IF($AB375="","",INDEX('Per Line'!$C$2:$C$4001,$AB375)&amp;"")</f>
        <v/>
      </c>
      <c r="C375">
        <f>IF($AB375="","",INDEX('Per Line'!$D$2:$D$4001,$AB375)&amp;"")</f>
        <v/>
      </c>
      <c r="D375">
        <f>IF($AB375="","",INDEX('Per Line'!$B$2:$B$4001,$AB375)&amp;"")</f>
        <v/>
      </c>
      <c r="E375">
        <f>IF($AB375="","",INDEX('Per Line'!$A$2:$A$4001,$AB375))</f>
        <v/>
      </c>
      <c r="F375" s="11">
        <f>IF($AB375="","",INDEX('Per Line'!$E$2:$E$4001,$AB375))</f>
        <v/>
      </c>
      <c r="G375">
        <f>IF($AB375="","",INDEX('Per Line'!$F$2:$F$4001,$AB375)&amp;"")</f>
        <v/>
      </c>
      <c r="H375">
        <f>IF($AB375="","",INDEX('Per Line'!$H$2:$H$4001,$AB375)&amp;"")</f>
        <v/>
      </c>
      <c r="I375">
        <f>IF($AB375="","",INDEX('Per Line'!$I$2:$I$4001,$AB375)&amp;"")</f>
        <v/>
      </c>
      <c r="J375">
        <f>IF($AB375="","",INDEX('Per Line'!$J$2:$J$4001,$AB375)&amp;"")</f>
        <v/>
      </c>
      <c r="K375">
        <f>IF($AB375="","",INDEX('Per Line'!$K$2:$K$4001,$AB375)&amp;"")</f>
        <v/>
      </c>
      <c r="L375">
        <f>IF($AB375="","",INDEX('Per Line'!$L$2:$L$4001,$AB375))</f>
        <v/>
      </c>
      <c r="M375" s="7">
        <f>IF($AB375="","",IF(AND(ISNUMBER(O375),O375&gt;0,Z375&gt;O375),L375*O375/100+(Z375-O375),L375*Z375/100))</f>
        <v/>
      </c>
      <c r="N375">
        <f>IF($AB375="","",INDEX('Per Line'!$V$2:$V$4001,$AB375)&amp;"")</f>
        <v/>
      </c>
      <c r="O375">
        <f>IF($AB375="","",INDEX('Per Line'!$Z$2:$Z$4001,$AB375))</f>
        <v/>
      </c>
      <c r="P375">
        <f>IF($AB375="","",IF(AND(ISNUMBER(O375),O375&gt;0),Z375&gt;O375,FALSE))</f>
        <v/>
      </c>
      <c r="Q375" s="7">
        <f>IF($AB375="","",SUMIFS('Per Line'!$U$2:$U$4001,'Per Line'!$C$2:$C$4001,$B375,'Per Line'!$AM$2:$AM$4001,1))</f>
        <v/>
      </c>
      <c r="R375">
        <f>IF($AB375="","",Settings!$C$7)</f>
        <v/>
      </c>
      <c r="S375" s="7">
        <f>IF($AB375="","",SUMIFS('Per Line'!$U$2:$U$4001,'Per Line'!$C$2:$C$4001,$B375,'Per Line'!$AL$2:$AL$4001,0,'Per Line'!$AM$2:$AM$4001,0))</f>
        <v/>
      </c>
      <c r="T375" s="7">
        <f>IF($AB375="","",S375*R375)</f>
        <v/>
      </c>
      <c r="U375">
        <f>IF($AB375="","",Settings!$C$6)</f>
        <v/>
      </c>
      <c r="V375" s="7">
        <f>IF($AB375="","",SUMIFS('Per Line'!$U$2:$U$4001,'Per Line'!$C$2:$C$4001,$B375,'Per Line'!$AL$2:$AL$4001,1,'Per Line'!$AM$2:$AM$4001,0))</f>
        <v/>
      </c>
      <c r="W375" s="7">
        <f>IF($AB375="","",V375*U375)</f>
        <v/>
      </c>
      <c r="X375" s="7">
        <f>IF($AB375="","",W375+T375)</f>
        <v/>
      </c>
      <c r="Y375" s="7">
        <f>IF($AB375="","",Z375-X375)</f>
        <v/>
      </c>
      <c r="Z375" s="7">
        <f>IF($AB375="","",S375+V375+Q375)</f>
        <v/>
      </c>
      <c r="AA375" s="7">
        <f>IF($AB375="","",Z375-X375-M375)</f>
        <v/>
      </c>
      <c r="AB375" s="13">
        <f>IF(ROWS($AB$2:$AB375)&lt;=MAX('Per Line'!$AK$2:$AK$4001),MATCH(ROWS($AB$2:$AB375),'Per Line'!$AK$2:$AK$4001,0),"")</f>
        <v/>
      </c>
      <c r="AC375" s="14">
        <f>IF($AB375="","",M375-L375*Z375/100)</f>
        <v/>
      </c>
    </row>
    <row r="376">
      <c r="A376" s="12" t="n"/>
      <c r="B376">
        <f>IF($AB376="","",INDEX('Per Line'!$C$2:$C$4001,$AB376)&amp;"")</f>
        <v/>
      </c>
      <c r="C376">
        <f>IF($AB376="","",INDEX('Per Line'!$D$2:$D$4001,$AB376)&amp;"")</f>
        <v/>
      </c>
      <c r="D376">
        <f>IF($AB376="","",INDEX('Per Line'!$B$2:$B$4001,$AB376)&amp;"")</f>
        <v/>
      </c>
      <c r="E376">
        <f>IF($AB376="","",INDEX('Per Line'!$A$2:$A$4001,$AB376))</f>
        <v/>
      </c>
      <c r="F376" s="11">
        <f>IF($AB376="","",INDEX('Per Line'!$E$2:$E$4001,$AB376))</f>
        <v/>
      </c>
      <c r="G376">
        <f>IF($AB376="","",INDEX('Per Line'!$F$2:$F$4001,$AB376)&amp;"")</f>
        <v/>
      </c>
      <c r="H376">
        <f>IF($AB376="","",INDEX('Per Line'!$H$2:$H$4001,$AB376)&amp;"")</f>
        <v/>
      </c>
      <c r="I376">
        <f>IF($AB376="","",INDEX('Per Line'!$I$2:$I$4001,$AB376)&amp;"")</f>
        <v/>
      </c>
      <c r="J376">
        <f>IF($AB376="","",INDEX('Per Line'!$J$2:$J$4001,$AB376)&amp;"")</f>
        <v/>
      </c>
      <c r="K376">
        <f>IF($AB376="","",INDEX('Per Line'!$K$2:$K$4001,$AB376)&amp;"")</f>
        <v/>
      </c>
      <c r="L376">
        <f>IF($AB376="","",INDEX('Per Line'!$L$2:$L$4001,$AB376))</f>
        <v/>
      </c>
      <c r="M376" s="7">
        <f>IF($AB376="","",IF(AND(ISNUMBER(O376),O376&gt;0,Z376&gt;O376),L376*O376/100+(Z376-O376),L376*Z376/100))</f>
        <v/>
      </c>
      <c r="N376">
        <f>IF($AB376="","",INDEX('Per Line'!$V$2:$V$4001,$AB376)&amp;"")</f>
        <v/>
      </c>
      <c r="O376">
        <f>IF($AB376="","",INDEX('Per Line'!$Z$2:$Z$4001,$AB376))</f>
        <v/>
      </c>
      <c r="P376">
        <f>IF($AB376="","",IF(AND(ISNUMBER(O376),O376&gt;0),Z376&gt;O376,FALSE))</f>
        <v/>
      </c>
      <c r="Q376" s="7">
        <f>IF($AB376="","",SUMIFS('Per Line'!$U$2:$U$4001,'Per Line'!$C$2:$C$4001,$B376,'Per Line'!$AM$2:$AM$4001,1))</f>
        <v/>
      </c>
      <c r="R376">
        <f>IF($AB376="","",Settings!$C$7)</f>
        <v/>
      </c>
      <c r="S376" s="7">
        <f>IF($AB376="","",SUMIFS('Per Line'!$U$2:$U$4001,'Per Line'!$C$2:$C$4001,$B376,'Per Line'!$AL$2:$AL$4001,0,'Per Line'!$AM$2:$AM$4001,0))</f>
        <v/>
      </c>
      <c r="T376" s="7">
        <f>IF($AB376="","",S376*R376)</f>
        <v/>
      </c>
      <c r="U376">
        <f>IF($AB376="","",Settings!$C$6)</f>
        <v/>
      </c>
      <c r="V376" s="7">
        <f>IF($AB376="","",SUMIFS('Per Line'!$U$2:$U$4001,'Per Line'!$C$2:$C$4001,$B376,'Per Line'!$AL$2:$AL$4001,1,'Per Line'!$AM$2:$AM$4001,0))</f>
        <v/>
      </c>
      <c r="W376" s="7">
        <f>IF($AB376="","",V376*U376)</f>
        <v/>
      </c>
      <c r="X376" s="7">
        <f>IF($AB376="","",W376+T376)</f>
        <v/>
      </c>
      <c r="Y376" s="7">
        <f>IF($AB376="","",Z376-X376)</f>
        <v/>
      </c>
      <c r="Z376" s="7">
        <f>IF($AB376="","",S376+V376+Q376)</f>
        <v/>
      </c>
      <c r="AA376" s="7">
        <f>IF($AB376="","",Z376-X376-M376)</f>
        <v/>
      </c>
      <c r="AB376" s="13">
        <f>IF(ROWS($AB$2:$AB376)&lt;=MAX('Per Line'!$AK$2:$AK$4001),MATCH(ROWS($AB$2:$AB376),'Per Line'!$AK$2:$AK$4001,0),"")</f>
        <v/>
      </c>
      <c r="AC376" s="14">
        <f>IF($AB376="","",M376-L376*Z376/100)</f>
        <v/>
      </c>
    </row>
    <row r="377">
      <c r="A377" s="12" t="n"/>
      <c r="B377">
        <f>IF($AB377="","",INDEX('Per Line'!$C$2:$C$4001,$AB377)&amp;"")</f>
        <v/>
      </c>
      <c r="C377">
        <f>IF($AB377="","",INDEX('Per Line'!$D$2:$D$4001,$AB377)&amp;"")</f>
        <v/>
      </c>
      <c r="D377">
        <f>IF($AB377="","",INDEX('Per Line'!$B$2:$B$4001,$AB377)&amp;"")</f>
        <v/>
      </c>
      <c r="E377">
        <f>IF($AB377="","",INDEX('Per Line'!$A$2:$A$4001,$AB377))</f>
        <v/>
      </c>
      <c r="F377" s="11">
        <f>IF($AB377="","",INDEX('Per Line'!$E$2:$E$4001,$AB377))</f>
        <v/>
      </c>
      <c r="G377">
        <f>IF($AB377="","",INDEX('Per Line'!$F$2:$F$4001,$AB377)&amp;"")</f>
        <v/>
      </c>
      <c r="H377">
        <f>IF($AB377="","",INDEX('Per Line'!$H$2:$H$4001,$AB377)&amp;"")</f>
        <v/>
      </c>
      <c r="I377">
        <f>IF($AB377="","",INDEX('Per Line'!$I$2:$I$4001,$AB377)&amp;"")</f>
        <v/>
      </c>
      <c r="J377">
        <f>IF($AB377="","",INDEX('Per Line'!$J$2:$J$4001,$AB377)&amp;"")</f>
        <v/>
      </c>
      <c r="K377">
        <f>IF($AB377="","",INDEX('Per Line'!$K$2:$K$4001,$AB377)&amp;"")</f>
        <v/>
      </c>
      <c r="L377">
        <f>IF($AB377="","",INDEX('Per Line'!$L$2:$L$4001,$AB377))</f>
        <v/>
      </c>
      <c r="M377" s="7">
        <f>IF($AB377="","",IF(AND(ISNUMBER(O377),O377&gt;0,Z377&gt;O377),L377*O377/100+(Z377-O377),L377*Z377/100))</f>
        <v/>
      </c>
      <c r="N377">
        <f>IF($AB377="","",INDEX('Per Line'!$V$2:$V$4001,$AB377)&amp;"")</f>
        <v/>
      </c>
      <c r="O377">
        <f>IF($AB377="","",INDEX('Per Line'!$Z$2:$Z$4001,$AB377))</f>
        <v/>
      </c>
      <c r="P377">
        <f>IF($AB377="","",IF(AND(ISNUMBER(O377),O377&gt;0),Z377&gt;O377,FALSE))</f>
        <v/>
      </c>
      <c r="Q377" s="7">
        <f>IF($AB377="","",SUMIFS('Per Line'!$U$2:$U$4001,'Per Line'!$C$2:$C$4001,$B377,'Per Line'!$AM$2:$AM$4001,1))</f>
        <v/>
      </c>
      <c r="R377">
        <f>IF($AB377="","",Settings!$C$7)</f>
        <v/>
      </c>
      <c r="S377" s="7">
        <f>IF($AB377="","",SUMIFS('Per Line'!$U$2:$U$4001,'Per Line'!$C$2:$C$4001,$B377,'Per Line'!$AL$2:$AL$4001,0,'Per Line'!$AM$2:$AM$4001,0))</f>
        <v/>
      </c>
      <c r="T377" s="7">
        <f>IF($AB377="","",S377*R377)</f>
        <v/>
      </c>
      <c r="U377">
        <f>IF($AB377="","",Settings!$C$6)</f>
        <v/>
      </c>
      <c r="V377" s="7">
        <f>IF($AB377="","",SUMIFS('Per Line'!$U$2:$U$4001,'Per Line'!$C$2:$C$4001,$B377,'Per Line'!$AL$2:$AL$4001,1,'Per Line'!$AM$2:$AM$4001,0))</f>
        <v/>
      </c>
      <c r="W377" s="7">
        <f>IF($AB377="","",V377*U377)</f>
        <v/>
      </c>
      <c r="X377" s="7">
        <f>IF($AB377="","",W377+T377)</f>
        <v/>
      </c>
      <c r="Y377" s="7">
        <f>IF($AB377="","",Z377-X377)</f>
        <v/>
      </c>
      <c r="Z377" s="7">
        <f>IF($AB377="","",S377+V377+Q377)</f>
        <v/>
      </c>
      <c r="AA377" s="7">
        <f>IF($AB377="","",Z377-X377-M377)</f>
        <v/>
      </c>
      <c r="AB377" s="13">
        <f>IF(ROWS($AB$2:$AB377)&lt;=MAX('Per Line'!$AK$2:$AK$4001),MATCH(ROWS($AB$2:$AB377),'Per Line'!$AK$2:$AK$4001,0),"")</f>
        <v/>
      </c>
      <c r="AC377" s="14">
        <f>IF($AB377="","",M377-L377*Z377/100)</f>
        <v/>
      </c>
    </row>
    <row r="378">
      <c r="A378" s="12" t="n"/>
      <c r="B378">
        <f>IF($AB378="","",INDEX('Per Line'!$C$2:$C$4001,$AB378)&amp;"")</f>
        <v/>
      </c>
      <c r="C378">
        <f>IF($AB378="","",INDEX('Per Line'!$D$2:$D$4001,$AB378)&amp;"")</f>
        <v/>
      </c>
      <c r="D378">
        <f>IF($AB378="","",INDEX('Per Line'!$B$2:$B$4001,$AB378)&amp;"")</f>
        <v/>
      </c>
      <c r="E378">
        <f>IF($AB378="","",INDEX('Per Line'!$A$2:$A$4001,$AB378))</f>
        <v/>
      </c>
      <c r="F378" s="11">
        <f>IF($AB378="","",INDEX('Per Line'!$E$2:$E$4001,$AB378))</f>
        <v/>
      </c>
      <c r="G378">
        <f>IF($AB378="","",INDEX('Per Line'!$F$2:$F$4001,$AB378)&amp;"")</f>
        <v/>
      </c>
      <c r="H378">
        <f>IF($AB378="","",INDEX('Per Line'!$H$2:$H$4001,$AB378)&amp;"")</f>
        <v/>
      </c>
      <c r="I378">
        <f>IF($AB378="","",INDEX('Per Line'!$I$2:$I$4001,$AB378)&amp;"")</f>
        <v/>
      </c>
      <c r="J378">
        <f>IF($AB378="","",INDEX('Per Line'!$J$2:$J$4001,$AB378)&amp;"")</f>
        <v/>
      </c>
      <c r="K378">
        <f>IF($AB378="","",INDEX('Per Line'!$K$2:$K$4001,$AB378)&amp;"")</f>
        <v/>
      </c>
      <c r="L378">
        <f>IF($AB378="","",INDEX('Per Line'!$L$2:$L$4001,$AB378))</f>
        <v/>
      </c>
      <c r="M378" s="7">
        <f>IF($AB378="","",IF(AND(ISNUMBER(O378),O378&gt;0,Z378&gt;O378),L378*O378/100+(Z378-O378),L378*Z378/100))</f>
        <v/>
      </c>
      <c r="N378">
        <f>IF($AB378="","",INDEX('Per Line'!$V$2:$V$4001,$AB378)&amp;"")</f>
        <v/>
      </c>
      <c r="O378">
        <f>IF($AB378="","",INDEX('Per Line'!$Z$2:$Z$4001,$AB378))</f>
        <v/>
      </c>
      <c r="P378">
        <f>IF($AB378="","",IF(AND(ISNUMBER(O378),O378&gt;0),Z378&gt;O378,FALSE))</f>
        <v/>
      </c>
      <c r="Q378" s="7">
        <f>IF($AB378="","",SUMIFS('Per Line'!$U$2:$U$4001,'Per Line'!$C$2:$C$4001,$B378,'Per Line'!$AM$2:$AM$4001,1))</f>
        <v/>
      </c>
      <c r="R378">
        <f>IF($AB378="","",Settings!$C$7)</f>
        <v/>
      </c>
      <c r="S378" s="7">
        <f>IF($AB378="","",SUMIFS('Per Line'!$U$2:$U$4001,'Per Line'!$C$2:$C$4001,$B378,'Per Line'!$AL$2:$AL$4001,0,'Per Line'!$AM$2:$AM$4001,0))</f>
        <v/>
      </c>
      <c r="T378" s="7">
        <f>IF($AB378="","",S378*R378)</f>
        <v/>
      </c>
      <c r="U378">
        <f>IF($AB378="","",Settings!$C$6)</f>
        <v/>
      </c>
      <c r="V378" s="7">
        <f>IF($AB378="","",SUMIFS('Per Line'!$U$2:$U$4001,'Per Line'!$C$2:$C$4001,$B378,'Per Line'!$AL$2:$AL$4001,1,'Per Line'!$AM$2:$AM$4001,0))</f>
        <v/>
      </c>
      <c r="W378" s="7">
        <f>IF($AB378="","",V378*U378)</f>
        <v/>
      </c>
      <c r="X378" s="7">
        <f>IF($AB378="","",W378+T378)</f>
        <v/>
      </c>
      <c r="Y378" s="7">
        <f>IF($AB378="","",Z378-X378)</f>
        <v/>
      </c>
      <c r="Z378" s="7">
        <f>IF($AB378="","",S378+V378+Q378)</f>
        <v/>
      </c>
      <c r="AA378" s="7">
        <f>IF($AB378="","",Z378-X378-M378)</f>
        <v/>
      </c>
      <c r="AB378" s="13">
        <f>IF(ROWS($AB$2:$AB378)&lt;=MAX('Per Line'!$AK$2:$AK$4001),MATCH(ROWS($AB$2:$AB378),'Per Line'!$AK$2:$AK$4001,0),"")</f>
        <v/>
      </c>
      <c r="AC378" s="14">
        <f>IF($AB378="","",M378-L378*Z378/100)</f>
        <v/>
      </c>
    </row>
    <row r="379">
      <c r="A379" s="12" t="n"/>
      <c r="B379">
        <f>IF($AB379="","",INDEX('Per Line'!$C$2:$C$4001,$AB379)&amp;"")</f>
        <v/>
      </c>
      <c r="C379">
        <f>IF($AB379="","",INDEX('Per Line'!$D$2:$D$4001,$AB379)&amp;"")</f>
        <v/>
      </c>
      <c r="D379">
        <f>IF($AB379="","",INDEX('Per Line'!$B$2:$B$4001,$AB379)&amp;"")</f>
        <v/>
      </c>
      <c r="E379">
        <f>IF($AB379="","",INDEX('Per Line'!$A$2:$A$4001,$AB379))</f>
        <v/>
      </c>
      <c r="F379" s="11">
        <f>IF($AB379="","",INDEX('Per Line'!$E$2:$E$4001,$AB379))</f>
        <v/>
      </c>
      <c r="G379">
        <f>IF($AB379="","",INDEX('Per Line'!$F$2:$F$4001,$AB379)&amp;"")</f>
        <v/>
      </c>
      <c r="H379">
        <f>IF($AB379="","",INDEX('Per Line'!$H$2:$H$4001,$AB379)&amp;"")</f>
        <v/>
      </c>
      <c r="I379">
        <f>IF($AB379="","",INDEX('Per Line'!$I$2:$I$4001,$AB379)&amp;"")</f>
        <v/>
      </c>
      <c r="J379">
        <f>IF($AB379="","",INDEX('Per Line'!$J$2:$J$4001,$AB379)&amp;"")</f>
        <v/>
      </c>
      <c r="K379">
        <f>IF($AB379="","",INDEX('Per Line'!$K$2:$K$4001,$AB379)&amp;"")</f>
        <v/>
      </c>
      <c r="L379">
        <f>IF($AB379="","",INDEX('Per Line'!$L$2:$L$4001,$AB379))</f>
        <v/>
      </c>
      <c r="M379" s="7">
        <f>IF($AB379="","",IF(AND(ISNUMBER(O379),O379&gt;0,Z379&gt;O379),L379*O379/100+(Z379-O379),L379*Z379/100))</f>
        <v/>
      </c>
      <c r="N379">
        <f>IF($AB379="","",INDEX('Per Line'!$V$2:$V$4001,$AB379)&amp;"")</f>
        <v/>
      </c>
      <c r="O379">
        <f>IF($AB379="","",INDEX('Per Line'!$Z$2:$Z$4001,$AB379))</f>
        <v/>
      </c>
      <c r="P379">
        <f>IF($AB379="","",IF(AND(ISNUMBER(O379),O379&gt;0),Z379&gt;O379,FALSE))</f>
        <v/>
      </c>
      <c r="Q379" s="7">
        <f>IF($AB379="","",SUMIFS('Per Line'!$U$2:$U$4001,'Per Line'!$C$2:$C$4001,$B379,'Per Line'!$AM$2:$AM$4001,1))</f>
        <v/>
      </c>
      <c r="R379">
        <f>IF($AB379="","",Settings!$C$7)</f>
        <v/>
      </c>
      <c r="S379" s="7">
        <f>IF($AB379="","",SUMIFS('Per Line'!$U$2:$U$4001,'Per Line'!$C$2:$C$4001,$B379,'Per Line'!$AL$2:$AL$4001,0,'Per Line'!$AM$2:$AM$4001,0))</f>
        <v/>
      </c>
      <c r="T379" s="7">
        <f>IF($AB379="","",S379*R379)</f>
        <v/>
      </c>
      <c r="U379">
        <f>IF($AB379="","",Settings!$C$6)</f>
        <v/>
      </c>
      <c r="V379" s="7">
        <f>IF($AB379="","",SUMIFS('Per Line'!$U$2:$U$4001,'Per Line'!$C$2:$C$4001,$B379,'Per Line'!$AL$2:$AL$4001,1,'Per Line'!$AM$2:$AM$4001,0))</f>
        <v/>
      </c>
      <c r="W379" s="7">
        <f>IF($AB379="","",V379*U379)</f>
        <v/>
      </c>
      <c r="X379" s="7">
        <f>IF($AB379="","",W379+T379)</f>
        <v/>
      </c>
      <c r="Y379" s="7">
        <f>IF($AB379="","",Z379-X379)</f>
        <v/>
      </c>
      <c r="Z379" s="7">
        <f>IF($AB379="","",S379+V379+Q379)</f>
        <v/>
      </c>
      <c r="AA379" s="7">
        <f>IF($AB379="","",Z379-X379-M379)</f>
        <v/>
      </c>
      <c r="AB379" s="13">
        <f>IF(ROWS($AB$2:$AB379)&lt;=MAX('Per Line'!$AK$2:$AK$4001),MATCH(ROWS($AB$2:$AB379),'Per Line'!$AK$2:$AK$4001,0),"")</f>
        <v/>
      </c>
      <c r="AC379" s="14">
        <f>IF($AB379="","",M379-L379*Z379/100)</f>
        <v/>
      </c>
    </row>
    <row r="380">
      <c r="A380" s="12" t="n"/>
      <c r="B380">
        <f>IF($AB380="","",INDEX('Per Line'!$C$2:$C$4001,$AB380)&amp;"")</f>
        <v/>
      </c>
      <c r="C380">
        <f>IF($AB380="","",INDEX('Per Line'!$D$2:$D$4001,$AB380)&amp;"")</f>
        <v/>
      </c>
      <c r="D380">
        <f>IF($AB380="","",INDEX('Per Line'!$B$2:$B$4001,$AB380)&amp;"")</f>
        <v/>
      </c>
      <c r="E380">
        <f>IF($AB380="","",INDEX('Per Line'!$A$2:$A$4001,$AB380))</f>
        <v/>
      </c>
      <c r="F380" s="11">
        <f>IF($AB380="","",INDEX('Per Line'!$E$2:$E$4001,$AB380))</f>
        <v/>
      </c>
      <c r="G380">
        <f>IF($AB380="","",INDEX('Per Line'!$F$2:$F$4001,$AB380)&amp;"")</f>
        <v/>
      </c>
      <c r="H380">
        <f>IF($AB380="","",INDEX('Per Line'!$H$2:$H$4001,$AB380)&amp;"")</f>
        <v/>
      </c>
      <c r="I380">
        <f>IF($AB380="","",INDEX('Per Line'!$I$2:$I$4001,$AB380)&amp;"")</f>
        <v/>
      </c>
      <c r="J380">
        <f>IF($AB380="","",INDEX('Per Line'!$J$2:$J$4001,$AB380)&amp;"")</f>
        <v/>
      </c>
      <c r="K380">
        <f>IF($AB380="","",INDEX('Per Line'!$K$2:$K$4001,$AB380)&amp;"")</f>
        <v/>
      </c>
      <c r="L380">
        <f>IF($AB380="","",INDEX('Per Line'!$L$2:$L$4001,$AB380))</f>
        <v/>
      </c>
      <c r="M380" s="7">
        <f>IF($AB380="","",IF(AND(ISNUMBER(O380),O380&gt;0,Z380&gt;O380),L380*O380/100+(Z380-O380),L380*Z380/100))</f>
        <v/>
      </c>
      <c r="N380">
        <f>IF($AB380="","",INDEX('Per Line'!$V$2:$V$4001,$AB380)&amp;"")</f>
        <v/>
      </c>
      <c r="O380">
        <f>IF($AB380="","",INDEX('Per Line'!$Z$2:$Z$4001,$AB380))</f>
        <v/>
      </c>
      <c r="P380">
        <f>IF($AB380="","",IF(AND(ISNUMBER(O380),O380&gt;0),Z380&gt;O380,FALSE))</f>
        <v/>
      </c>
      <c r="Q380" s="7">
        <f>IF($AB380="","",SUMIFS('Per Line'!$U$2:$U$4001,'Per Line'!$C$2:$C$4001,$B380,'Per Line'!$AM$2:$AM$4001,1))</f>
        <v/>
      </c>
      <c r="R380">
        <f>IF($AB380="","",Settings!$C$7)</f>
        <v/>
      </c>
      <c r="S380" s="7">
        <f>IF($AB380="","",SUMIFS('Per Line'!$U$2:$U$4001,'Per Line'!$C$2:$C$4001,$B380,'Per Line'!$AL$2:$AL$4001,0,'Per Line'!$AM$2:$AM$4001,0))</f>
        <v/>
      </c>
      <c r="T380" s="7">
        <f>IF($AB380="","",S380*R380)</f>
        <v/>
      </c>
      <c r="U380">
        <f>IF($AB380="","",Settings!$C$6)</f>
        <v/>
      </c>
      <c r="V380" s="7">
        <f>IF($AB380="","",SUMIFS('Per Line'!$U$2:$U$4001,'Per Line'!$C$2:$C$4001,$B380,'Per Line'!$AL$2:$AL$4001,1,'Per Line'!$AM$2:$AM$4001,0))</f>
        <v/>
      </c>
      <c r="W380" s="7">
        <f>IF($AB380="","",V380*U380)</f>
        <v/>
      </c>
      <c r="X380" s="7">
        <f>IF($AB380="","",W380+T380)</f>
        <v/>
      </c>
      <c r="Y380" s="7">
        <f>IF($AB380="","",Z380-X380)</f>
        <v/>
      </c>
      <c r="Z380" s="7">
        <f>IF($AB380="","",S380+V380+Q380)</f>
        <v/>
      </c>
      <c r="AA380" s="7">
        <f>IF($AB380="","",Z380-X380-M380)</f>
        <v/>
      </c>
      <c r="AB380" s="13">
        <f>IF(ROWS($AB$2:$AB380)&lt;=MAX('Per Line'!$AK$2:$AK$4001),MATCH(ROWS($AB$2:$AB380),'Per Line'!$AK$2:$AK$4001,0),"")</f>
        <v/>
      </c>
      <c r="AC380" s="14">
        <f>IF($AB380="","",M380-L380*Z380/100)</f>
        <v/>
      </c>
    </row>
    <row r="381">
      <c r="A381" s="12" t="n"/>
      <c r="B381">
        <f>IF($AB381="","",INDEX('Per Line'!$C$2:$C$4001,$AB381)&amp;"")</f>
        <v/>
      </c>
      <c r="C381">
        <f>IF($AB381="","",INDEX('Per Line'!$D$2:$D$4001,$AB381)&amp;"")</f>
        <v/>
      </c>
      <c r="D381">
        <f>IF($AB381="","",INDEX('Per Line'!$B$2:$B$4001,$AB381)&amp;"")</f>
        <v/>
      </c>
      <c r="E381">
        <f>IF($AB381="","",INDEX('Per Line'!$A$2:$A$4001,$AB381))</f>
        <v/>
      </c>
      <c r="F381" s="11">
        <f>IF($AB381="","",INDEX('Per Line'!$E$2:$E$4001,$AB381))</f>
        <v/>
      </c>
      <c r="G381">
        <f>IF($AB381="","",INDEX('Per Line'!$F$2:$F$4001,$AB381)&amp;"")</f>
        <v/>
      </c>
      <c r="H381">
        <f>IF($AB381="","",INDEX('Per Line'!$H$2:$H$4001,$AB381)&amp;"")</f>
        <v/>
      </c>
      <c r="I381">
        <f>IF($AB381="","",INDEX('Per Line'!$I$2:$I$4001,$AB381)&amp;"")</f>
        <v/>
      </c>
      <c r="J381">
        <f>IF($AB381="","",INDEX('Per Line'!$J$2:$J$4001,$AB381)&amp;"")</f>
        <v/>
      </c>
      <c r="K381">
        <f>IF($AB381="","",INDEX('Per Line'!$K$2:$K$4001,$AB381)&amp;"")</f>
        <v/>
      </c>
      <c r="L381">
        <f>IF($AB381="","",INDEX('Per Line'!$L$2:$L$4001,$AB381))</f>
        <v/>
      </c>
      <c r="M381" s="7">
        <f>IF($AB381="","",IF(AND(ISNUMBER(O381),O381&gt;0,Z381&gt;O381),L381*O381/100+(Z381-O381),L381*Z381/100))</f>
        <v/>
      </c>
      <c r="N381">
        <f>IF($AB381="","",INDEX('Per Line'!$V$2:$V$4001,$AB381)&amp;"")</f>
        <v/>
      </c>
      <c r="O381">
        <f>IF($AB381="","",INDEX('Per Line'!$Z$2:$Z$4001,$AB381))</f>
        <v/>
      </c>
      <c r="P381">
        <f>IF($AB381="","",IF(AND(ISNUMBER(O381),O381&gt;0),Z381&gt;O381,FALSE))</f>
        <v/>
      </c>
      <c r="Q381" s="7">
        <f>IF($AB381="","",SUMIFS('Per Line'!$U$2:$U$4001,'Per Line'!$C$2:$C$4001,$B381,'Per Line'!$AM$2:$AM$4001,1))</f>
        <v/>
      </c>
      <c r="R381">
        <f>IF($AB381="","",Settings!$C$7)</f>
        <v/>
      </c>
      <c r="S381" s="7">
        <f>IF($AB381="","",SUMIFS('Per Line'!$U$2:$U$4001,'Per Line'!$C$2:$C$4001,$B381,'Per Line'!$AL$2:$AL$4001,0,'Per Line'!$AM$2:$AM$4001,0))</f>
        <v/>
      </c>
      <c r="T381" s="7">
        <f>IF($AB381="","",S381*R381)</f>
        <v/>
      </c>
      <c r="U381">
        <f>IF($AB381="","",Settings!$C$6)</f>
        <v/>
      </c>
      <c r="V381" s="7">
        <f>IF($AB381="","",SUMIFS('Per Line'!$U$2:$U$4001,'Per Line'!$C$2:$C$4001,$B381,'Per Line'!$AL$2:$AL$4001,1,'Per Line'!$AM$2:$AM$4001,0))</f>
        <v/>
      </c>
      <c r="W381" s="7">
        <f>IF($AB381="","",V381*U381)</f>
        <v/>
      </c>
      <c r="X381" s="7">
        <f>IF($AB381="","",W381+T381)</f>
        <v/>
      </c>
      <c r="Y381" s="7">
        <f>IF($AB381="","",Z381-X381)</f>
        <v/>
      </c>
      <c r="Z381" s="7">
        <f>IF($AB381="","",S381+V381+Q381)</f>
        <v/>
      </c>
      <c r="AA381" s="7">
        <f>IF($AB381="","",Z381-X381-M381)</f>
        <v/>
      </c>
      <c r="AB381" s="13">
        <f>IF(ROWS($AB$2:$AB381)&lt;=MAX('Per Line'!$AK$2:$AK$4001),MATCH(ROWS($AB$2:$AB381),'Per Line'!$AK$2:$AK$4001,0),"")</f>
        <v/>
      </c>
      <c r="AC381" s="14">
        <f>IF($AB381="","",M381-L381*Z381/100)</f>
        <v/>
      </c>
    </row>
    <row r="382">
      <c r="A382" s="12" t="n"/>
      <c r="B382">
        <f>IF($AB382="","",INDEX('Per Line'!$C$2:$C$4001,$AB382)&amp;"")</f>
        <v/>
      </c>
      <c r="C382">
        <f>IF($AB382="","",INDEX('Per Line'!$D$2:$D$4001,$AB382)&amp;"")</f>
        <v/>
      </c>
      <c r="D382">
        <f>IF($AB382="","",INDEX('Per Line'!$B$2:$B$4001,$AB382)&amp;"")</f>
        <v/>
      </c>
      <c r="E382">
        <f>IF($AB382="","",INDEX('Per Line'!$A$2:$A$4001,$AB382))</f>
        <v/>
      </c>
      <c r="F382" s="11">
        <f>IF($AB382="","",INDEX('Per Line'!$E$2:$E$4001,$AB382))</f>
        <v/>
      </c>
      <c r="G382">
        <f>IF($AB382="","",INDEX('Per Line'!$F$2:$F$4001,$AB382)&amp;"")</f>
        <v/>
      </c>
      <c r="H382">
        <f>IF($AB382="","",INDEX('Per Line'!$H$2:$H$4001,$AB382)&amp;"")</f>
        <v/>
      </c>
      <c r="I382">
        <f>IF($AB382="","",INDEX('Per Line'!$I$2:$I$4001,$AB382)&amp;"")</f>
        <v/>
      </c>
      <c r="J382">
        <f>IF($AB382="","",INDEX('Per Line'!$J$2:$J$4001,$AB382)&amp;"")</f>
        <v/>
      </c>
      <c r="K382">
        <f>IF($AB382="","",INDEX('Per Line'!$K$2:$K$4001,$AB382)&amp;"")</f>
        <v/>
      </c>
      <c r="L382">
        <f>IF($AB382="","",INDEX('Per Line'!$L$2:$L$4001,$AB382))</f>
        <v/>
      </c>
      <c r="M382" s="7">
        <f>IF($AB382="","",IF(AND(ISNUMBER(O382),O382&gt;0,Z382&gt;O382),L382*O382/100+(Z382-O382),L382*Z382/100))</f>
        <v/>
      </c>
      <c r="N382">
        <f>IF($AB382="","",INDEX('Per Line'!$V$2:$V$4001,$AB382)&amp;"")</f>
        <v/>
      </c>
      <c r="O382">
        <f>IF($AB382="","",INDEX('Per Line'!$Z$2:$Z$4001,$AB382))</f>
        <v/>
      </c>
      <c r="P382">
        <f>IF($AB382="","",IF(AND(ISNUMBER(O382),O382&gt;0),Z382&gt;O382,FALSE))</f>
        <v/>
      </c>
      <c r="Q382" s="7">
        <f>IF($AB382="","",SUMIFS('Per Line'!$U$2:$U$4001,'Per Line'!$C$2:$C$4001,$B382,'Per Line'!$AM$2:$AM$4001,1))</f>
        <v/>
      </c>
      <c r="R382">
        <f>IF($AB382="","",Settings!$C$7)</f>
        <v/>
      </c>
      <c r="S382" s="7">
        <f>IF($AB382="","",SUMIFS('Per Line'!$U$2:$U$4001,'Per Line'!$C$2:$C$4001,$B382,'Per Line'!$AL$2:$AL$4001,0,'Per Line'!$AM$2:$AM$4001,0))</f>
        <v/>
      </c>
      <c r="T382" s="7">
        <f>IF($AB382="","",S382*R382)</f>
        <v/>
      </c>
      <c r="U382">
        <f>IF($AB382="","",Settings!$C$6)</f>
        <v/>
      </c>
      <c r="V382" s="7">
        <f>IF($AB382="","",SUMIFS('Per Line'!$U$2:$U$4001,'Per Line'!$C$2:$C$4001,$B382,'Per Line'!$AL$2:$AL$4001,1,'Per Line'!$AM$2:$AM$4001,0))</f>
        <v/>
      </c>
      <c r="W382" s="7">
        <f>IF($AB382="","",V382*U382)</f>
        <v/>
      </c>
      <c r="X382" s="7">
        <f>IF($AB382="","",W382+T382)</f>
        <v/>
      </c>
      <c r="Y382" s="7">
        <f>IF($AB382="","",Z382-X382)</f>
        <v/>
      </c>
      <c r="Z382" s="7">
        <f>IF($AB382="","",S382+V382+Q382)</f>
        <v/>
      </c>
      <c r="AA382" s="7">
        <f>IF($AB382="","",Z382-X382-M382)</f>
        <v/>
      </c>
      <c r="AB382" s="13">
        <f>IF(ROWS($AB$2:$AB382)&lt;=MAX('Per Line'!$AK$2:$AK$4001),MATCH(ROWS($AB$2:$AB382),'Per Line'!$AK$2:$AK$4001,0),"")</f>
        <v/>
      </c>
      <c r="AC382" s="14">
        <f>IF($AB382="","",M382-L382*Z382/100)</f>
        <v/>
      </c>
    </row>
    <row r="383">
      <c r="A383" s="12" t="n"/>
      <c r="B383">
        <f>IF($AB383="","",INDEX('Per Line'!$C$2:$C$4001,$AB383)&amp;"")</f>
        <v/>
      </c>
      <c r="C383">
        <f>IF($AB383="","",INDEX('Per Line'!$D$2:$D$4001,$AB383)&amp;"")</f>
        <v/>
      </c>
      <c r="D383">
        <f>IF($AB383="","",INDEX('Per Line'!$B$2:$B$4001,$AB383)&amp;"")</f>
        <v/>
      </c>
      <c r="E383">
        <f>IF($AB383="","",INDEX('Per Line'!$A$2:$A$4001,$AB383))</f>
        <v/>
      </c>
      <c r="F383" s="11">
        <f>IF($AB383="","",INDEX('Per Line'!$E$2:$E$4001,$AB383))</f>
        <v/>
      </c>
      <c r="G383">
        <f>IF($AB383="","",INDEX('Per Line'!$F$2:$F$4001,$AB383)&amp;"")</f>
        <v/>
      </c>
      <c r="H383">
        <f>IF($AB383="","",INDEX('Per Line'!$H$2:$H$4001,$AB383)&amp;"")</f>
        <v/>
      </c>
      <c r="I383">
        <f>IF($AB383="","",INDEX('Per Line'!$I$2:$I$4001,$AB383)&amp;"")</f>
        <v/>
      </c>
      <c r="J383">
        <f>IF($AB383="","",INDEX('Per Line'!$J$2:$J$4001,$AB383)&amp;"")</f>
        <v/>
      </c>
      <c r="K383">
        <f>IF($AB383="","",INDEX('Per Line'!$K$2:$K$4001,$AB383)&amp;"")</f>
        <v/>
      </c>
      <c r="L383">
        <f>IF($AB383="","",INDEX('Per Line'!$L$2:$L$4001,$AB383))</f>
        <v/>
      </c>
      <c r="M383" s="7">
        <f>IF($AB383="","",IF(AND(ISNUMBER(O383),O383&gt;0,Z383&gt;O383),L383*O383/100+(Z383-O383),L383*Z383/100))</f>
        <v/>
      </c>
      <c r="N383">
        <f>IF($AB383="","",INDEX('Per Line'!$V$2:$V$4001,$AB383)&amp;"")</f>
        <v/>
      </c>
      <c r="O383">
        <f>IF($AB383="","",INDEX('Per Line'!$Z$2:$Z$4001,$AB383))</f>
        <v/>
      </c>
      <c r="P383">
        <f>IF($AB383="","",IF(AND(ISNUMBER(O383),O383&gt;0),Z383&gt;O383,FALSE))</f>
        <v/>
      </c>
      <c r="Q383" s="7">
        <f>IF($AB383="","",SUMIFS('Per Line'!$U$2:$U$4001,'Per Line'!$C$2:$C$4001,$B383,'Per Line'!$AM$2:$AM$4001,1))</f>
        <v/>
      </c>
      <c r="R383">
        <f>IF($AB383="","",Settings!$C$7)</f>
        <v/>
      </c>
      <c r="S383" s="7">
        <f>IF($AB383="","",SUMIFS('Per Line'!$U$2:$U$4001,'Per Line'!$C$2:$C$4001,$B383,'Per Line'!$AL$2:$AL$4001,0,'Per Line'!$AM$2:$AM$4001,0))</f>
        <v/>
      </c>
      <c r="T383" s="7">
        <f>IF($AB383="","",S383*R383)</f>
        <v/>
      </c>
      <c r="U383">
        <f>IF($AB383="","",Settings!$C$6)</f>
        <v/>
      </c>
      <c r="V383" s="7">
        <f>IF($AB383="","",SUMIFS('Per Line'!$U$2:$U$4001,'Per Line'!$C$2:$C$4001,$B383,'Per Line'!$AL$2:$AL$4001,1,'Per Line'!$AM$2:$AM$4001,0))</f>
        <v/>
      </c>
      <c r="W383" s="7">
        <f>IF($AB383="","",V383*U383)</f>
        <v/>
      </c>
      <c r="X383" s="7">
        <f>IF($AB383="","",W383+T383)</f>
        <v/>
      </c>
      <c r="Y383" s="7">
        <f>IF($AB383="","",Z383-X383)</f>
        <v/>
      </c>
      <c r="Z383" s="7">
        <f>IF($AB383="","",S383+V383+Q383)</f>
        <v/>
      </c>
      <c r="AA383" s="7">
        <f>IF($AB383="","",Z383-X383-M383)</f>
        <v/>
      </c>
      <c r="AB383" s="13">
        <f>IF(ROWS($AB$2:$AB383)&lt;=MAX('Per Line'!$AK$2:$AK$4001),MATCH(ROWS($AB$2:$AB383),'Per Line'!$AK$2:$AK$4001,0),"")</f>
        <v/>
      </c>
      <c r="AC383" s="14">
        <f>IF($AB383="","",M383-L383*Z383/100)</f>
        <v/>
      </c>
    </row>
    <row r="384">
      <c r="A384" s="12" t="n"/>
      <c r="B384">
        <f>IF($AB384="","",INDEX('Per Line'!$C$2:$C$4001,$AB384)&amp;"")</f>
        <v/>
      </c>
      <c r="C384">
        <f>IF($AB384="","",INDEX('Per Line'!$D$2:$D$4001,$AB384)&amp;"")</f>
        <v/>
      </c>
      <c r="D384">
        <f>IF($AB384="","",INDEX('Per Line'!$B$2:$B$4001,$AB384)&amp;"")</f>
        <v/>
      </c>
      <c r="E384">
        <f>IF($AB384="","",INDEX('Per Line'!$A$2:$A$4001,$AB384))</f>
        <v/>
      </c>
      <c r="F384" s="11">
        <f>IF($AB384="","",INDEX('Per Line'!$E$2:$E$4001,$AB384))</f>
        <v/>
      </c>
      <c r="G384">
        <f>IF($AB384="","",INDEX('Per Line'!$F$2:$F$4001,$AB384)&amp;"")</f>
        <v/>
      </c>
      <c r="H384">
        <f>IF($AB384="","",INDEX('Per Line'!$H$2:$H$4001,$AB384)&amp;"")</f>
        <v/>
      </c>
      <c r="I384">
        <f>IF($AB384="","",INDEX('Per Line'!$I$2:$I$4001,$AB384)&amp;"")</f>
        <v/>
      </c>
      <c r="J384">
        <f>IF($AB384="","",INDEX('Per Line'!$J$2:$J$4001,$AB384)&amp;"")</f>
        <v/>
      </c>
      <c r="K384">
        <f>IF($AB384="","",INDEX('Per Line'!$K$2:$K$4001,$AB384)&amp;"")</f>
        <v/>
      </c>
      <c r="L384">
        <f>IF($AB384="","",INDEX('Per Line'!$L$2:$L$4001,$AB384))</f>
        <v/>
      </c>
      <c r="M384" s="7">
        <f>IF($AB384="","",IF(AND(ISNUMBER(O384),O384&gt;0,Z384&gt;O384),L384*O384/100+(Z384-O384),L384*Z384/100))</f>
        <v/>
      </c>
      <c r="N384">
        <f>IF($AB384="","",INDEX('Per Line'!$V$2:$V$4001,$AB384)&amp;"")</f>
        <v/>
      </c>
      <c r="O384">
        <f>IF($AB384="","",INDEX('Per Line'!$Z$2:$Z$4001,$AB384))</f>
        <v/>
      </c>
      <c r="P384">
        <f>IF($AB384="","",IF(AND(ISNUMBER(O384),O384&gt;0),Z384&gt;O384,FALSE))</f>
        <v/>
      </c>
      <c r="Q384" s="7">
        <f>IF($AB384="","",SUMIFS('Per Line'!$U$2:$U$4001,'Per Line'!$C$2:$C$4001,$B384,'Per Line'!$AM$2:$AM$4001,1))</f>
        <v/>
      </c>
      <c r="R384">
        <f>IF($AB384="","",Settings!$C$7)</f>
        <v/>
      </c>
      <c r="S384" s="7">
        <f>IF($AB384="","",SUMIFS('Per Line'!$U$2:$U$4001,'Per Line'!$C$2:$C$4001,$B384,'Per Line'!$AL$2:$AL$4001,0,'Per Line'!$AM$2:$AM$4001,0))</f>
        <v/>
      </c>
      <c r="T384" s="7">
        <f>IF($AB384="","",S384*R384)</f>
        <v/>
      </c>
      <c r="U384">
        <f>IF($AB384="","",Settings!$C$6)</f>
        <v/>
      </c>
      <c r="V384" s="7">
        <f>IF($AB384="","",SUMIFS('Per Line'!$U$2:$U$4001,'Per Line'!$C$2:$C$4001,$B384,'Per Line'!$AL$2:$AL$4001,1,'Per Line'!$AM$2:$AM$4001,0))</f>
        <v/>
      </c>
      <c r="W384" s="7">
        <f>IF($AB384="","",V384*U384)</f>
        <v/>
      </c>
      <c r="X384" s="7">
        <f>IF($AB384="","",W384+T384)</f>
        <v/>
      </c>
      <c r="Y384" s="7">
        <f>IF($AB384="","",Z384-X384)</f>
        <v/>
      </c>
      <c r="Z384" s="7">
        <f>IF($AB384="","",S384+V384+Q384)</f>
        <v/>
      </c>
      <c r="AA384" s="7">
        <f>IF($AB384="","",Z384-X384-M384)</f>
        <v/>
      </c>
      <c r="AB384" s="13">
        <f>IF(ROWS($AB$2:$AB384)&lt;=MAX('Per Line'!$AK$2:$AK$4001),MATCH(ROWS($AB$2:$AB384),'Per Line'!$AK$2:$AK$4001,0),"")</f>
        <v/>
      </c>
      <c r="AC384" s="14">
        <f>IF($AB384="","",M384-L384*Z384/100)</f>
        <v/>
      </c>
    </row>
    <row r="385">
      <c r="A385" s="12" t="n"/>
      <c r="B385">
        <f>IF($AB385="","",INDEX('Per Line'!$C$2:$C$4001,$AB385)&amp;"")</f>
        <v/>
      </c>
      <c r="C385">
        <f>IF($AB385="","",INDEX('Per Line'!$D$2:$D$4001,$AB385)&amp;"")</f>
        <v/>
      </c>
      <c r="D385">
        <f>IF($AB385="","",INDEX('Per Line'!$B$2:$B$4001,$AB385)&amp;"")</f>
        <v/>
      </c>
      <c r="E385">
        <f>IF($AB385="","",INDEX('Per Line'!$A$2:$A$4001,$AB385))</f>
        <v/>
      </c>
      <c r="F385" s="11">
        <f>IF($AB385="","",INDEX('Per Line'!$E$2:$E$4001,$AB385))</f>
        <v/>
      </c>
      <c r="G385">
        <f>IF($AB385="","",INDEX('Per Line'!$F$2:$F$4001,$AB385)&amp;"")</f>
        <v/>
      </c>
      <c r="H385">
        <f>IF($AB385="","",INDEX('Per Line'!$H$2:$H$4001,$AB385)&amp;"")</f>
        <v/>
      </c>
      <c r="I385">
        <f>IF($AB385="","",INDEX('Per Line'!$I$2:$I$4001,$AB385)&amp;"")</f>
        <v/>
      </c>
      <c r="J385">
        <f>IF($AB385="","",INDEX('Per Line'!$J$2:$J$4001,$AB385)&amp;"")</f>
        <v/>
      </c>
      <c r="K385">
        <f>IF($AB385="","",INDEX('Per Line'!$K$2:$K$4001,$AB385)&amp;"")</f>
        <v/>
      </c>
      <c r="L385">
        <f>IF($AB385="","",INDEX('Per Line'!$L$2:$L$4001,$AB385))</f>
        <v/>
      </c>
      <c r="M385" s="7">
        <f>IF($AB385="","",IF(AND(ISNUMBER(O385),O385&gt;0,Z385&gt;O385),L385*O385/100+(Z385-O385),L385*Z385/100))</f>
        <v/>
      </c>
      <c r="N385">
        <f>IF($AB385="","",INDEX('Per Line'!$V$2:$V$4001,$AB385)&amp;"")</f>
        <v/>
      </c>
      <c r="O385">
        <f>IF($AB385="","",INDEX('Per Line'!$Z$2:$Z$4001,$AB385))</f>
        <v/>
      </c>
      <c r="P385">
        <f>IF($AB385="","",IF(AND(ISNUMBER(O385),O385&gt;0),Z385&gt;O385,FALSE))</f>
        <v/>
      </c>
      <c r="Q385" s="7">
        <f>IF($AB385="","",SUMIFS('Per Line'!$U$2:$U$4001,'Per Line'!$C$2:$C$4001,$B385,'Per Line'!$AM$2:$AM$4001,1))</f>
        <v/>
      </c>
      <c r="R385">
        <f>IF($AB385="","",Settings!$C$7)</f>
        <v/>
      </c>
      <c r="S385" s="7">
        <f>IF($AB385="","",SUMIFS('Per Line'!$U$2:$U$4001,'Per Line'!$C$2:$C$4001,$B385,'Per Line'!$AL$2:$AL$4001,0,'Per Line'!$AM$2:$AM$4001,0))</f>
        <v/>
      </c>
      <c r="T385" s="7">
        <f>IF($AB385="","",S385*R385)</f>
        <v/>
      </c>
      <c r="U385">
        <f>IF($AB385="","",Settings!$C$6)</f>
        <v/>
      </c>
      <c r="V385" s="7">
        <f>IF($AB385="","",SUMIFS('Per Line'!$U$2:$U$4001,'Per Line'!$C$2:$C$4001,$B385,'Per Line'!$AL$2:$AL$4001,1,'Per Line'!$AM$2:$AM$4001,0))</f>
        <v/>
      </c>
      <c r="W385" s="7">
        <f>IF($AB385="","",V385*U385)</f>
        <v/>
      </c>
      <c r="X385" s="7">
        <f>IF($AB385="","",W385+T385)</f>
        <v/>
      </c>
      <c r="Y385" s="7">
        <f>IF($AB385="","",Z385-X385)</f>
        <v/>
      </c>
      <c r="Z385" s="7">
        <f>IF($AB385="","",S385+V385+Q385)</f>
        <v/>
      </c>
      <c r="AA385" s="7">
        <f>IF($AB385="","",Z385-X385-M385)</f>
        <v/>
      </c>
      <c r="AB385" s="13">
        <f>IF(ROWS($AB$2:$AB385)&lt;=MAX('Per Line'!$AK$2:$AK$4001),MATCH(ROWS($AB$2:$AB385),'Per Line'!$AK$2:$AK$4001,0),"")</f>
        <v/>
      </c>
      <c r="AC385" s="14">
        <f>IF($AB385="","",M385-L385*Z385/100)</f>
        <v/>
      </c>
    </row>
    <row r="386">
      <c r="A386" s="12" t="n"/>
      <c r="B386">
        <f>IF($AB386="","",INDEX('Per Line'!$C$2:$C$4001,$AB386)&amp;"")</f>
        <v/>
      </c>
      <c r="C386">
        <f>IF($AB386="","",INDEX('Per Line'!$D$2:$D$4001,$AB386)&amp;"")</f>
        <v/>
      </c>
      <c r="D386">
        <f>IF($AB386="","",INDEX('Per Line'!$B$2:$B$4001,$AB386)&amp;"")</f>
        <v/>
      </c>
      <c r="E386">
        <f>IF($AB386="","",INDEX('Per Line'!$A$2:$A$4001,$AB386))</f>
        <v/>
      </c>
      <c r="F386" s="11">
        <f>IF($AB386="","",INDEX('Per Line'!$E$2:$E$4001,$AB386))</f>
        <v/>
      </c>
      <c r="G386">
        <f>IF($AB386="","",INDEX('Per Line'!$F$2:$F$4001,$AB386)&amp;"")</f>
        <v/>
      </c>
      <c r="H386">
        <f>IF($AB386="","",INDEX('Per Line'!$H$2:$H$4001,$AB386)&amp;"")</f>
        <v/>
      </c>
      <c r="I386">
        <f>IF($AB386="","",INDEX('Per Line'!$I$2:$I$4001,$AB386)&amp;"")</f>
        <v/>
      </c>
      <c r="J386">
        <f>IF($AB386="","",INDEX('Per Line'!$J$2:$J$4001,$AB386)&amp;"")</f>
        <v/>
      </c>
      <c r="K386">
        <f>IF($AB386="","",INDEX('Per Line'!$K$2:$K$4001,$AB386)&amp;"")</f>
        <v/>
      </c>
      <c r="L386">
        <f>IF($AB386="","",INDEX('Per Line'!$L$2:$L$4001,$AB386))</f>
        <v/>
      </c>
      <c r="M386" s="7">
        <f>IF($AB386="","",IF(AND(ISNUMBER(O386),O386&gt;0,Z386&gt;O386),L386*O386/100+(Z386-O386),L386*Z386/100))</f>
        <v/>
      </c>
      <c r="N386">
        <f>IF($AB386="","",INDEX('Per Line'!$V$2:$V$4001,$AB386)&amp;"")</f>
        <v/>
      </c>
      <c r="O386">
        <f>IF($AB386="","",INDEX('Per Line'!$Z$2:$Z$4001,$AB386))</f>
        <v/>
      </c>
      <c r="P386">
        <f>IF($AB386="","",IF(AND(ISNUMBER(O386),O386&gt;0),Z386&gt;O386,FALSE))</f>
        <v/>
      </c>
      <c r="Q386" s="7">
        <f>IF($AB386="","",SUMIFS('Per Line'!$U$2:$U$4001,'Per Line'!$C$2:$C$4001,$B386,'Per Line'!$AM$2:$AM$4001,1))</f>
        <v/>
      </c>
      <c r="R386">
        <f>IF($AB386="","",Settings!$C$7)</f>
        <v/>
      </c>
      <c r="S386" s="7">
        <f>IF($AB386="","",SUMIFS('Per Line'!$U$2:$U$4001,'Per Line'!$C$2:$C$4001,$B386,'Per Line'!$AL$2:$AL$4001,0,'Per Line'!$AM$2:$AM$4001,0))</f>
        <v/>
      </c>
      <c r="T386" s="7">
        <f>IF($AB386="","",S386*R386)</f>
        <v/>
      </c>
      <c r="U386">
        <f>IF($AB386="","",Settings!$C$6)</f>
        <v/>
      </c>
      <c r="V386" s="7">
        <f>IF($AB386="","",SUMIFS('Per Line'!$U$2:$U$4001,'Per Line'!$C$2:$C$4001,$B386,'Per Line'!$AL$2:$AL$4001,1,'Per Line'!$AM$2:$AM$4001,0))</f>
        <v/>
      </c>
      <c r="W386" s="7">
        <f>IF($AB386="","",V386*U386)</f>
        <v/>
      </c>
      <c r="X386" s="7">
        <f>IF($AB386="","",W386+T386)</f>
        <v/>
      </c>
      <c r="Y386" s="7">
        <f>IF($AB386="","",Z386-X386)</f>
        <v/>
      </c>
      <c r="Z386" s="7">
        <f>IF($AB386="","",S386+V386+Q386)</f>
        <v/>
      </c>
      <c r="AA386" s="7">
        <f>IF($AB386="","",Z386-X386-M386)</f>
        <v/>
      </c>
      <c r="AB386" s="13">
        <f>IF(ROWS($AB$2:$AB386)&lt;=MAX('Per Line'!$AK$2:$AK$4001),MATCH(ROWS($AB$2:$AB386),'Per Line'!$AK$2:$AK$4001,0),"")</f>
        <v/>
      </c>
      <c r="AC386" s="14">
        <f>IF($AB386="","",M386-L386*Z386/100)</f>
        <v/>
      </c>
    </row>
    <row r="387">
      <c r="A387" s="12" t="n"/>
      <c r="B387">
        <f>IF($AB387="","",INDEX('Per Line'!$C$2:$C$4001,$AB387)&amp;"")</f>
        <v/>
      </c>
      <c r="C387">
        <f>IF($AB387="","",INDEX('Per Line'!$D$2:$D$4001,$AB387)&amp;"")</f>
        <v/>
      </c>
      <c r="D387">
        <f>IF($AB387="","",INDEX('Per Line'!$B$2:$B$4001,$AB387)&amp;"")</f>
        <v/>
      </c>
      <c r="E387">
        <f>IF($AB387="","",INDEX('Per Line'!$A$2:$A$4001,$AB387))</f>
        <v/>
      </c>
      <c r="F387" s="11">
        <f>IF($AB387="","",INDEX('Per Line'!$E$2:$E$4001,$AB387))</f>
        <v/>
      </c>
      <c r="G387">
        <f>IF($AB387="","",INDEX('Per Line'!$F$2:$F$4001,$AB387)&amp;"")</f>
        <v/>
      </c>
      <c r="H387">
        <f>IF($AB387="","",INDEX('Per Line'!$H$2:$H$4001,$AB387)&amp;"")</f>
        <v/>
      </c>
      <c r="I387">
        <f>IF($AB387="","",INDEX('Per Line'!$I$2:$I$4001,$AB387)&amp;"")</f>
        <v/>
      </c>
      <c r="J387">
        <f>IF($AB387="","",INDEX('Per Line'!$J$2:$J$4001,$AB387)&amp;"")</f>
        <v/>
      </c>
      <c r="K387">
        <f>IF($AB387="","",INDEX('Per Line'!$K$2:$K$4001,$AB387)&amp;"")</f>
        <v/>
      </c>
      <c r="L387">
        <f>IF($AB387="","",INDEX('Per Line'!$L$2:$L$4001,$AB387))</f>
        <v/>
      </c>
      <c r="M387" s="7">
        <f>IF($AB387="","",IF(AND(ISNUMBER(O387),O387&gt;0,Z387&gt;O387),L387*O387/100+(Z387-O387),L387*Z387/100))</f>
        <v/>
      </c>
      <c r="N387">
        <f>IF($AB387="","",INDEX('Per Line'!$V$2:$V$4001,$AB387)&amp;"")</f>
        <v/>
      </c>
      <c r="O387">
        <f>IF($AB387="","",INDEX('Per Line'!$Z$2:$Z$4001,$AB387))</f>
        <v/>
      </c>
      <c r="P387">
        <f>IF($AB387="","",IF(AND(ISNUMBER(O387),O387&gt;0),Z387&gt;O387,FALSE))</f>
        <v/>
      </c>
      <c r="Q387" s="7">
        <f>IF($AB387="","",SUMIFS('Per Line'!$U$2:$U$4001,'Per Line'!$C$2:$C$4001,$B387,'Per Line'!$AM$2:$AM$4001,1))</f>
        <v/>
      </c>
      <c r="R387">
        <f>IF($AB387="","",Settings!$C$7)</f>
        <v/>
      </c>
      <c r="S387" s="7">
        <f>IF($AB387="","",SUMIFS('Per Line'!$U$2:$U$4001,'Per Line'!$C$2:$C$4001,$B387,'Per Line'!$AL$2:$AL$4001,0,'Per Line'!$AM$2:$AM$4001,0))</f>
        <v/>
      </c>
      <c r="T387" s="7">
        <f>IF($AB387="","",S387*R387)</f>
        <v/>
      </c>
      <c r="U387">
        <f>IF($AB387="","",Settings!$C$6)</f>
        <v/>
      </c>
      <c r="V387" s="7">
        <f>IF($AB387="","",SUMIFS('Per Line'!$U$2:$U$4001,'Per Line'!$C$2:$C$4001,$B387,'Per Line'!$AL$2:$AL$4001,1,'Per Line'!$AM$2:$AM$4001,0))</f>
        <v/>
      </c>
      <c r="W387" s="7">
        <f>IF($AB387="","",V387*U387)</f>
        <v/>
      </c>
      <c r="X387" s="7">
        <f>IF($AB387="","",W387+T387)</f>
        <v/>
      </c>
      <c r="Y387" s="7">
        <f>IF($AB387="","",Z387-X387)</f>
        <v/>
      </c>
      <c r="Z387" s="7">
        <f>IF($AB387="","",S387+V387+Q387)</f>
        <v/>
      </c>
      <c r="AA387" s="7">
        <f>IF($AB387="","",Z387-X387-M387)</f>
        <v/>
      </c>
      <c r="AB387" s="13">
        <f>IF(ROWS($AB$2:$AB387)&lt;=MAX('Per Line'!$AK$2:$AK$4001),MATCH(ROWS($AB$2:$AB387),'Per Line'!$AK$2:$AK$4001,0),"")</f>
        <v/>
      </c>
      <c r="AC387" s="14">
        <f>IF($AB387="","",M387-L387*Z387/100)</f>
        <v/>
      </c>
    </row>
    <row r="388">
      <c r="A388" s="12" t="n"/>
      <c r="B388">
        <f>IF($AB388="","",INDEX('Per Line'!$C$2:$C$4001,$AB388)&amp;"")</f>
        <v/>
      </c>
      <c r="C388">
        <f>IF($AB388="","",INDEX('Per Line'!$D$2:$D$4001,$AB388)&amp;"")</f>
        <v/>
      </c>
      <c r="D388">
        <f>IF($AB388="","",INDEX('Per Line'!$B$2:$B$4001,$AB388)&amp;"")</f>
        <v/>
      </c>
      <c r="E388">
        <f>IF($AB388="","",INDEX('Per Line'!$A$2:$A$4001,$AB388))</f>
        <v/>
      </c>
      <c r="F388" s="11">
        <f>IF($AB388="","",INDEX('Per Line'!$E$2:$E$4001,$AB388))</f>
        <v/>
      </c>
      <c r="G388">
        <f>IF($AB388="","",INDEX('Per Line'!$F$2:$F$4001,$AB388)&amp;"")</f>
        <v/>
      </c>
      <c r="H388">
        <f>IF($AB388="","",INDEX('Per Line'!$H$2:$H$4001,$AB388)&amp;"")</f>
        <v/>
      </c>
      <c r="I388">
        <f>IF($AB388="","",INDEX('Per Line'!$I$2:$I$4001,$AB388)&amp;"")</f>
        <v/>
      </c>
      <c r="J388">
        <f>IF($AB388="","",INDEX('Per Line'!$J$2:$J$4001,$AB388)&amp;"")</f>
        <v/>
      </c>
      <c r="K388">
        <f>IF($AB388="","",INDEX('Per Line'!$K$2:$K$4001,$AB388)&amp;"")</f>
        <v/>
      </c>
      <c r="L388">
        <f>IF($AB388="","",INDEX('Per Line'!$L$2:$L$4001,$AB388))</f>
        <v/>
      </c>
      <c r="M388" s="7">
        <f>IF($AB388="","",IF(AND(ISNUMBER(O388),O388&gt;0,Z388&gt;O388),L388*O388/100+(Z388-O388),L388*Z388/100))</f>
        <v/>
      </c>
      <c r="N388">
        <f>IF($AB388="","",INDEX('Per Line'!$V$2:$V$4001,$AB388)&amp;"")</f>
        <v/>
      </c>
      <c r="O388">
        <f>IF($AB388="","",INDEX('Per Line'!$Z$2:$Z$4001,$AB388))</f>
        <v/>
      </c>
      <c r="P388">
        <f>IF($AB388="","",IF(AND(ISNUMBER(O388),O388&gt;0),Z388&gt;O388,FALSE))</f>
        <v/>
      </c>
      <c r="Q388" s="7">
        <f>IF($AB388="","",SUMIFS('Per Line'!$U$2:$U$4001,'Per Line'!$C$2:$C$4001,$B388,'Per Line'!$AM$2:$AM$4001,1))</f>
        <v/>
      </c>
      <c r="R388">
        <f>IF($AB388="","",Settings!$C$7)</f>
        <v/>
      </c>
      <c r="S388" s="7">
        <f>IF($AB388="","",SUMIFS('Per Line'!$U$2:$U$4001,'Per Line'!$C$2:$C$4001,$B388,'Per Line'!$AL$2:$AL$4001,0,'Per Line'!$AM$2:$AM$4001,0))</f>
        <v/>
      </c>
      <c r="T388" s="7">
        <f>IF($AB388="","",S388*R388)</f>
        <v/>
      </c>
      <c r="U388">
        <f>IF($AB388="","",Settings!$C$6)</f>
        <v/>
      </c>
      <c r="V388" s="7">
        <f>IF($AB388="","",SUMIFS('Per Line'!$U$2:$U$4001,'Per Line'!$C$2:$C$4001,$B388,'Per Line'!$AL$2:$AL$4001,1,'Per Line'!$AM$2:$AM$4001,0))</f>
        <v/>
      </c>
      <c r="W388" s="7">
        <f>IF($AB388="","",V388*U388)</f>
        <v/>
      </c>
      <c r="X388" s="7">
        <f>IF($AB388="","",W388+T388)</f>
        <v/>
      </c>
      <c r="Y388" s="7">
        <f>IF($AB388="","",Z388-X388)</f>
        <v/>
      </c>
      <c r="Z388" s="7">
        <f>IF($AB388="","",S388+V388+Q388)</f>
        <v/>
      </c>
      <c r="AA388" s="7">
        <f>IF($AB388="","",Z388-X388-M388)</f>
        <v/>
      </c>
      <c r="AB388" s="13">
        <f>IF(ROWS($AB$2:$AB388)&lt;=MAX('Per Line'!$AK$2:$AK$4001),MATCH(ROWS($AB$2:$AB388),'Per Line'!$AK$2:$AK$4001,0),"")</f>
        <v/>
      </c>
      <c r="AC388" s="14">
        <f>IF($AB388="","",M388-L388*Z388/100)</f>
        <v/>
      </c>
    </row>
    <row r="389">
      <c r="A389" s="12" t="n"/>
      <c r="B389">
        <f>IF($AB389="","",INDEX('Per Line'!$C$2:$C$4001,$AB389)&amp;"")</f>
        <v/>
      </c>
      <c r="C389">
        <f>IF($AB389="","",INDEX('Per Line'!$D$2:$D$4001,$AB389)&amp;"")</f>
        <v/>
      </c>
      <c r="D389">
        <f>IF($AB389="","",INDEX('Per Line'!$B$2:$B$4001,$AB389)&amp;"")</f>
        <v/>
      </c>
      <c r="E389">
        <f>IF($AB389="","",INDEX('Per Line'!$A$2:$A$4001,$AB389))</f>
        <v/>
      </c>
      <c r="F389" s="11">
        <f>IF($AB389="","",INDEX('Per Line'!$E$2:$E$4001,$AB389))</f>
        <v/>
      </c>
      <c r="G389">
        <f>IF($AB389="","",INDEX('Per Line'!$F$2:$F$4001,$AB389)&amp;"")</f>
        <v/>
      </c>
      <c r="H389">
        <f>IF($AB389="","",INDEX('Per Line'!$H$2:$H$4001,$AB389)&amp;"")</f>
        <v/>
      </c>
      <c r="I389">
        <f>IF($AB389="","",INDEX('Per Line'!$I$2:$I$4001,$AB389)&amp;"")</f>
        <v/>
      </c>
      <c r="J389">
        <f>IF($AB389="","",INDEX('Per Line'!$J$2:$J$4001,$AB389)&amp;"")</f>
        <v/>
      </c>
      <c r="K389">
        <f>IF($AB389="","",INDEX('Per Line'!$K$2:$K$4001,$AB389)&amp;"")</f>
        <v/>
      </c>
      <c r="L389">
        <f>IF($AB389="","",INDEX('Per Line'!$L$2:$L$4001,$AB389))</f>
        <v/>
      </c>
      <c r="M389" s="7">
        <f>IF($AB389="","",IF(AND(ISNUMBER(O389),O389&gt;0,Z389&gt;O389),L389*O389/100+(Z389-O389),L389*Z389/100))</f>
        <v/>
      </c>
      <c r="N389">
        <f>IF($AB389="","",INDEX('Per Line'!$V$2:$V$4001,$AB389)&amp;"")</f>
        <v/>
      </c>
      <c r="O389">
        <f>IF($AB389="","",INDEX('Per Line'!$Z$2:$Z$4001,$AB389))</f>
        <v/>
      </c>
      <c r="P389">
        <f>IF($AB389="","",IF(AND(ISNUMBER(O389),O389&gt;0),Z389&gt;O389,FALSE))</f>
        <v/>
      </c>
      <c r="Q389" s="7">
        <f>IF($AB389="","",SUMIFS('Per Line'!$U$2:$U$4001,'Per Line'!$C$2:$C$4001,$B389,'Per Line'!$AM$2:$AM$4001,1))</f>
        <v/>
      </c>
      <c r="R389">
        <f>IF($AB389="","",Settings!$C$7)</f>
        <v/>
      </c>
      <c r="S389" s="7">
        <f>IF($AB389="","",SUMIFS('Per Line'!$U$2:$U$4001,'Per Line'!$C$2:$C$4001,$B389,'Per Line'!$AL$2:$AL$4001,0,'Per Line'!$AM$2:$AM$4001,0))</f>
        <v/>
      </c>
      <c r="T389" s="7">
        <f>IF($AB389="","",S389*R389)</f>
        <v/>
      </c>
      <c r="U389">
        <f>IF($AB389="","",Settings!$C$6)</f>
        <v/>
      </c>
      <c r="V389" s="7">
        <f>IF($AB389="","",SUMIFS('Per Line'!$U$2:$U$4001,'Per Line'!$C$2:$C$4001,$B389,'Per Line'!$AL$2:$AL$4001,1,'Per Line'!$AM$2:$AM$4001,0))</f>
        <v/>
      </c>
      <c r="W389" s="7">
        <f>IF($AB389="","",V389*U389)</f>
        <v/>
      </c>
      <c r="X389" s="7">
        <f>IF($AB389="","",W389+T389)</f>
        <v/>
      </c>
      <c r="Y389" s="7">
        <f>IF($AB389="","",Z389-X389)</f>
        <v/>
      </c>
      <c r="Z389" s="7">
        <f>IF($AB389="","",S389+V389+Q389)</f>
        <v/>
      </c>
      <c r="AA389" s="7">
        <f>IF($AB389="","",Z389-X389-M389)</f>
        <v/>
      </c>
      <c r="AB389" s="13">
        <f>IF(ROWS($AB$2:$AB389)&lt;=MAX('Per Line'!$AK$2:$AK$4001),MATCH(ROWS($AB$2:$AB389),'Per Line'!$AK$2:$AK$4001,0),"")</f>
        <v/>
      </c>
      <c r="AC389" s="14">
        <f>IF($AB389="","",M389-L389*Z389/100)</f>
        <v/>
      </c>
    </row>
    <row r="390">
      <c r="A390" s="12" t="n"/>
      <c r="B390">
        <f>IF($AB390="","",INDEX('Per Line'!$C$2:$C$4001,$AB390)&amp;"")</f>
        <v/>
      </c>
      <c r="C390">
        <f>IF($AB390="","",INDEX('Per Line'!$D$2:$D$4001,$AB390)&amp;"")</f>
        <v/>
      </c>
      <c r="D390">
        <f>IF($AB390="","",INDEX('Per Line'!$B$2:$B$4001,$AB390)&amp;"")</f>
        <v/>
      </c>
      <c r="E390">
        <f>IF($AB390="","",INDEX('Per Line'!$A$2:$A$4001,$AB390))</f>
        <v/>
      </c>
      <c r="F390" s="11">
        <f>IF($AB390="","",INDEX('Per Line'!$E$2:$E$4001,$AB390))</f>
        <v/>
      </c>
      <c r="G390">
        <f>IF($AB390="","",INDEX('Per Line'!$F$2:$F$4001,$AB390)&amp;"")</f>
        <v/>
      </c>
      <c r="H390">
        <f>IF($AB390="","",INDEX('Per Line'!$H$2:$H$4001,$AB390)&amp;"")</f>
        <v/>
      </c>
      <c r="I390">
        <f>IF($AB390="","",INDEX('Per Line'!$I$2:$I$4001,$AB390)&amp;"")</f>
        <v/>
      </c>
      <c r="J390">
        <f>IF($AB390="","",INDEX('Per Line'!$J$2:$J$4001,$AB390)&amp;"")</f>
        <v/>
      </c>
      <c r="K390">
        <f>IF($AB390="","",INDEX('Per Line'!$K$2:$K$4001,$AB390)&amp;"")</f>
        <v/>
      </c>
      <c r="L390">
        <f>IF($AB390="","",INDEX('Per Line'!$L$2:$L$4001,$AB390))</f>
        <v/>
      </c>
      <c r="M390" s="7">
        <f>IF($AB390="","",IF(AND(ISNUMBER(O390),O390&gt;0,Z390&gt;O390),L390*O390/100+(Z390-O390),L390*Z390/100))</f>
        <v/>
      </c>
      <c r="N390">
        <f>IF($AB390="","",INDEX('Per Line'!$V$2:$V$4001,$AB390)&amp;"")</f>
        <v/>
      </c>
      <c r="O390">
        <f>IF($AB390="","",INDEX('Per Line'!$Z$2:$Z$4001,$AB390))</f>
        <v/>
      </c>
      <c r="P390">
        <f>IF($AB390="","",IF(AND(ISNUMBER(O390),O390&gt;0),Z390&gt;O390,FALSE))</f>
        <v/>
      </c>
      <c r="Q390" s="7">
        <f>IF($AB390="","",SUMIFS('Per Line'!$U$2:$U$4001,'Per Line'!$C$2:$C$4001,$B390,'Per Line'!$AM$2:$AM$4001,1))</f>
        <v/>
      </c>
      <c r="R390">
        <f>IF($AB390="","",Settings!$C$7)</f>
        <v/>
      </c>
      <c r="S390" s="7">
        <f>IF($AB390="","",SUMIFS('Per Line'!$U$2:$U$4001,'Per Line'!$C$2:$C$4001,$B390,'Per Line'!$AL$2:$AL$4001,0,'Per Line'!$AM$2:$AM$4001,0))</f>
        <v/>
      </c>
      <c r="T390" s="7">
        <f>IF($AB390="","",S390*R390)</f>
        <v/>
      </c>
      <c r="U390">
        <f>IF($AB390="","",Settings!$C$6)</f>
        <v/>
      </c>
      <c r="V390" s="7">
        <f>IF($AB390="","",SUMIFS('Per Line'!$U$2:$U$4001,'Per Line'!$C$2:$C$4001,$B390,'Per Line'!$AL$2:$AL$4001,1,'Per Line'!$AM$2:$AM$4001,0))</f>
        <v/>
      </c>
      <c r="W390" s="7">
        <f>IF($AB390="","",V390*U390)</f>
        <v/>
      </c>
      <c r="X390" s="7">
        <f>IF($AB390="","",W390+T390)</f>
        <v/>
      </c>
      <c r="Y390" s="7">
        <f>IF($AB390="","",Z390-X390)</f>
        <v/>
      </c>
      <c r="Z390" s="7">
        <f>IF($AB390="","",S390+V390+Q390)</f>
        <v/>
      </c>
      <c r="AA390" s="7">
        <f>IF($AB390="","",Z390-X390-M390)</f>
        <v/>
      </c>
      <c r="AB390" s="13">
        <f>IF(ROWS($AB$2:$AB390)&lt;=MAX('Per Line'!$AK$2:$AK$4001),MATCH(ROWS($AB$2:$AB390),'Per Line'!$AK$2:$AK$4001,0),"")</f>
        <v/>
      </c>
      <c r="AC390" s="14">
        <f>IF($AB390="","",M390-L390*Z390/100)</f>
        <v/>
      </c>
    </row>
    <row r="391">
      <c r="A391" s="12" t="n"/>
      <c r="B391">
        <f>IF($AB391="","",INDEX('Per Line'!$C$2:$C$4001,$AB391)&amp;"")</f>
        <v/>
      </c>
      <c r="C391">
        <f>IF($AB391="","",INDEX('Per Line'!$D$2:$D$4001,$AB391)&amp;"")</f>
        <v/>
      </c>
      <c r="D391">
        <f>IF($AB391="","",INDEX('Per Line'!$B$2:$B$4001,$AB391)&amp;"")</f>
        <v/>
      </c>
      <c r="E391">
        <f>IF($AB391="","",INDEX('Per Line'!$A$2:$A$4001,$AB391))</f>
        <v/>
      </c>
      <c r="F391" s="11">
        <f>IF($AB391="","",INDEX('Per Line'!$E$2:$E$4001,$AB391))</f>
        <v/>
      </c>
      <c r="G391">
        <f>IF($AB391="","",INDEX('Per Line'!$F$2:$F$4001,$AB391)&amp;"")</f>
        <v/>
      </c>
      <c r="H391">
        <f>IF($AB391="","",INDEX('Per Line'!$H$2:$H$4001,$AB391)&amp;"")</f>
        <v/>
      </c>
      <c r="I391">
        <f>IF($AB391="","",INDEX('Per Line'!$I$2:$I$4001,$AB391)&amp;"")</f>
        <v/>
      </c>
      <c r="J391">
        <f>IF($AB391="","",INDEX('Per Line'!$J$2:$J$4001,$AB391)&amp;"")</f>
        <v/>
      </c>
      <c r="K391">
        <f>IF($AB391="","",INDEX('Per Line'!$K$2:$K$4001,$AB391)&amp;"")</f>
        <v/>
      </c>
      <c r="L391">
        <f>IF($AB391="","",INDEX('Per Line'!$L$2:$L$4001,$AB391))</f>
        <v/>
      </c>
      <c r="M391" s="7">
        <f>IF($AB391="","",IF(AND(ISNUMBER(O391),O391&gt;0,Z391&gt;O391),L391*O391/100+(Z391-O391),L391*Z391/100))</f>
        <v/>
      </c>
      <c r="N391">
        <f>IF($AB391="","",INDEX('Per Line'!$V$2:$V$4001,$AB391)&amp;"")</f>
        <v/>
      </c>
      <c r="O391">
        <f>IF($AB391="","",INDEX('Per Line'!$Z$2:$Z$4001,$AB391))</f>
        <v/>
      </c>
      <c r="P391">
        <f>IF($AB391="","",IF(AND(ISNUMBER(O391),O391&gt;0),Z391&gt;O391,FALSE))</f>
        <v/>
      </c>
      <c r="Q391" s="7">
        <f>IF($AB391="","",SUMIFS('Per Line'!$U$2:$U$4001,'Per Line'!$C$2:$C$4001,$B391,'Per Line'!$AM$2:$AM$4001,1))</f>
        <v/>
      </c>
      <c r="R391">
        <f>IF($AB391="","",Settings!$C$7)</f>
        <v/>
      </c>
      <c r="S391" s="7">
        <f>IF($AB391="","",SUMIFS('Per Line'!$U$2:$U$4001,'Per Line'!$C$2:$C$4001,$B391,'Per Line'!$AL$2:$AL$4001,0,'Per Line'!$AM$2:$AM$4001,0))</f>
        <v/>
      </c>
      <c r="T391" s="7">
        <f>IF($AB391="","",S391*R391)</f>
        <v/>
      </c>
      <c r="U391">
        <f>IF($AB391="","",Settings!$C$6)</f>
        <v/>
      </c>
      <c r="V391" s="7">
        <f>IF($AB391="","",SUMIFS('Per Line'!$U$2:$U$4001,'Per Line'!$C$2:$C$4001,$B391,'Per Line'!$AL$2:$AL$4001,1,'Per Line'!$AM$2:$AM$4001,0))</f>
        <v/>
      </c>
      <c r="W391" s="7">
        <f>IF($AB391="","",V391*U391)</f>
        <v/>
      </c>
      <c r="X391" s="7">
        <f>IF($AB391="","",W391+T391)</f>
        <v/>
      </c>
      <c r="Y391" s="7">
        <f>IF($AB391="","",Z391-X391)</f>
        <v/>
      </c>
      <c r="Z391" s="7">
        <f>IF($AB391="","",S391+V391+Q391)</f>
        <v/>
      </c>
      <c r="AA391" s="7">
        <f>IF($AB391="","",Z391-X391-M391)</f>
        <v/>
      </c>
      <c r="AB391" s="13">
        <f>IF(ROWS($AB$2:$AB391)&lt;=MAX('Per Line'!$AK$2:$AK$4001),MATCH(ROWS($AB$2:$AB391),'Per Line'!$AK$2:$AK$4001,0),"")</f>
        <v/>
      </c>
      <c r="AC391" s="14">
        <f>IF($AB391="","",M391-L391*Z391/100)</f>
        <v/>
      </c>
    </row>
    <row r="392">
      <c r="A392" s="12" t="n"/>
      <c r="B392">
        <f>IF($AB392="","",INDEX('Per Line'!$C$2:$C$4001,$AB392)&amp;"")</f>
        <v/>
      </c>
      <c r="C392">
        <f>IF($AB392="","",INDEX('Per Line'!$D$2:$D$4001,$AB392)&amp;"")</f>
        <v/>
      </c>
      <c r="D392">
        <f>IF($AB392="","",INDEX('Per Line'!$B$2:$B$4001,$AB392)&amp;"")</f>
        <v/>
      </c>
      <c r="E392">
        <f>IF($AB392="","",INDEX('Per Line'!$A$2:$A$4001,$AB392))</f>
        <v/>
      </c>
      <c r="F392" s="11">
        <f>IF($AB392="","",INDEX('Per Line'!$E$2:$E$4001,$AB392))</f>
        <v/>
      </c>
      <c r="G392">
        <f>IF($AB392="","",INDEX('Per Line'!$F$2:$F$4001,$AB392)&amp;"")</f>
        <v/>
      </c>
      <c r="H392">
        <f>IF($AB392="","",INDEX('Per Line'!$H$2:$H$4001,$AB392)&amp;"")</f>
        <v/>
      </c>
      <c r="I392">
        <f>IF($AB392="","",INDEX('Per Line'!$I$2:$I$4001,$AB392)&amp;"")</f>
        <v/>
      </c>
      <c r="J392">
        <f>IF($AB392="","",INDEX('Per Line'!$J$2:$J$4001,$AB392)&amp;"")</f>
        <v/>
      </c>
      <c r="K392">
        <f>IF($AB392="","",INDEX('Per Line'!$K$2:$K$4001,$AB392)&amp;"")</f>
        <v/>
      </c>
      <c r="L392">
        <f>IF($AB392="","",INDEX('Per Line'!$L$2:$L$4001,$AB392))</f>
        <v/>
      </c>
      <c r="M392" s="7">
        <f>IF($AB392="","",IF(AND(ISNUMBER(O392),O392&gt;0,Z392&gt;O392),L392*O392/100+(Z392-O392),L392*Z392/100))</f>
        <v/>
      </c>
      <c r="N392">
        <f>IF($AB392="","",INDEX('Per Line'!$V$2:$V$4001,$AB392)&amp;"")</f>
        <v/>
      </c>
      <c r="O392">
        <f>IF($AB392="","",INDEX('Per Line'!$Z$2:$Z$4001,$AB392))</f>
        <v/>
      </c>
      <c r="P392">
        <f>IF($AB392="","",IF(AND(ISNUMBER(O392),O392&gt;0),Z392&gt;O392,FALSE))</f>
        <v/>
      </c>
      <c r="Q392" s="7">
        <f>IF($AB392="","",SUMIFS('Per Line'!$U$2:$U$4001,'Per Line'!$C$2:$C$4001,$B392,'Per Line'!$AM$2:$AM$4001,1))</f>
        <v/>
      </c>
      <c r="R392">
        <f>IF($AB392="","",Settings!$C$7)</f>
        <v/>
      </c>
      <c r="S392" s="7">
        <f>IF($AB392="","",SUMIFS('Per Line'!$U$2:$U$4001,'Per Line'!$C$2:$C$4001,$B392,'Per Line'!$AL$2:$AL$4001,0,'Per Line'!$AM$2:$AM$4001,0))</f>
        <v/>
      </c>
      <c r="T392" s="7">
        <f>IF($AB392="","",S392*R392)</f>
        <v/>
      </c>
      <c r="U392">
        <f>IF($AB392="","",Settings!$C$6)</f>
        <v/>
      </c>
      <c r="V392" s="7">
        <f>IF($AB392="","",SUMIFS('Per Line'!$U$2:$U$4001,'Per Line'!$C$2:$C$4001,$B392,'Per Line'!$AL$2:$AL$4001,1,'Per Line'!$AM$2:$AM$4001,0))</f>
        <v/>
      </c>
      <c r="W392" s="7">
        <f>IF($AB392="","",V392*U392)</f>
        <v/>
      </c>
      <c r="X392" s="7">
        <f>IF($AB392="","",W392+T392)</f>
        <v/>
      </c>
      <c r="Y392" s="7">
        <f>IF($AB392="","",Z392-X392)</f>
        <v/>
      </c>
      <c r="Z392" s="7">
        <f>IF($AB392="","",S392+V392+Q392)</f>
        <v/>
      </c>
      <c r="AA392" s="7">
        <f>IF($AB392="","",Z392-X392-M392)</f>
        <v/>
      </c>
      <c r="AB392" s="13">
        <f>IF(ROWS($AB$2:$AB392)&lt;=MAX('Per Line'!$AK$2:$AK$4001),MATCH(ROWS($AB$2:$AB392),'Per Line'!$AK$2:$AK$4001,0),"")</f>
        <v/>
      </c>
      <c r="AC392" s="14">
        <f>IF($AB392="","",M392-L392*Z392/100)</f>
        <v/>
      </c>
    </row>
    <row r="393">
      <c r="A393" s="12" t="n"/>
      <c r="B393">
        <f>IF($AB393="","",INDEX('Per Line'!$C$2:$C$4001,$AB393)&amp;"")</f>
        <v/>
      </c>
      <c r="C393">
        <f>IF($AB393="","",INDEX('Per Line'!$D$2:$D$4001,$AB393)&amp;"")</f>
        <v/>
      </c>
      <c r="D393">
        <f>IF($AB393="","",INDEX('Per Line'!$B$2:$B$4001,$AB393)&amp;"")</f>
        <v/>
      </c>
      <c r="E393">
        <f>IF($AB393="","",INDEX('Per Line'!$A$2:$A$4001,$AB393))</f>
        <v/>
      </c>
      <c r="F393" s="11">
        <f>IF($AB393="","",INDEX('Per Line'!$E$2:$E$4001,$AB393))</f>
        <v/>
      </c>
      <c r="G393">
        <f>IF($AB393="","",INDEX('Per Line'!$F$2:$F$4001,$AB393)&amp;"")</f>
        <v/>
      </c>
      <c r="H393">
        <f>IF($AB393="","",INDEX('Per Line'!$H$2:$H$4001,$AB393)&amp;"")</f>
        <v/>
      </c>
      <c r="I393">
        <f>IF($AB393="","",INDEX('Per Line'!$I$2:$I$4001,$AB393)&amp;"")</f>
        <v/>
      </c>
      <c r="J393">
        <f>IF($AB393="","",INDEX('Per Line'!$J$2:$J$4001,$AB393)&amp;"")</f>
        <v/>
      </c>
      <c r="K393">
        <f>IF($AB393="","",INDEX('Per Line'!$K$2:$K$4001,$AB393)&amp;"")</f>
        <v/>
      </c>
      <c r="L393">
        <f>IF($AB393="","",INDEX('Per Line'!$L$2:$L$4001,$AB393))</f>
        <v/>
      </c>
      <c r="M393" s="7">
        <f>IF($AB393="","",IF(AND(ISNUMBER(O393),O393&gt;0,Z393&gt;O393),L393*O393/100+(Z393-O393),L393*Z393/100))</f>
        <v/>
      </c>
      <c r="N393">
        <f>IF($AB393="","",INDEX('Per Line'!$V$2:$V$4001,$AB393)&amp;"")</f>
        <v/>
      </c>
      <c r="O393">
        <f>IF($AB393="","",INDEX('Per Line'!$Z$2:$Z$4001,$AB393))</f>
        <v/>
      </c>
      <c r="P393">
        <f>IF($AB393="","",IF(AND(ISNUMBER(O393),O393&gt;0),Z393&gt;O393,FALSE))</f>
        <v/>
      </c>
      <c r="Q393" s="7">
        <f>IF($AB393="","",SUMIFS('Per Line'!$U$2:$U$4001,'Per Line'!$C$2:$C$4001,$B393,'Per Line'!$AM$2:$AM$4001,1))</f>
        <v/>
      </c>
      <c r="R393">
        <f>IF($AB393="","",Settings!$C$7)</f>
        <v/>
      </c>
      <c r="S393" s="7">
        <f>IF($AB393="","",SUMIFS('Per Line'!$U$2:$U$4001,'Per Line'!$C$2:$C$4001,$B393,'Per Line'!$AL$2:$AL$4001,0,'Per Line'!$AM$2:$AM$4001,0))</f>
        <v/>
      </c>
      <c r="T393" s="7">
        <f>IF($AB393="","",S393*R393)</f>
        <v/>
      </c>
      <c r="U393">
        <f>IF($AB393="","",Settings!$C$6)</f>
        <v/>
      </c>
      <c r="V393" s="7">
        <f>IF($AB393="","",SUMIFS('Per Line'!$U$2:$U$4001,'Per Line'!$C$2:$C$4001,$B393,'Per Line'!$AL$2:$AL$4001,1,'Per Line'!$AM$2:$AM$4001,0))</f>
        <v/>
      </c>
      <c r="W393" s="7">
        <f>IF($AB393="","",V393*U393)</f>
        <v/>
      </c>
      <c r="X393" s="7">
        <f>IF($AB393="","",W393+T393)</f>
        <v/>
      </c>
      <c r="Y393" s="7">
        <f>IF($AB393="","",Z393-X393)</f>
        <v/>
      </c>
      <c r="Z393" s="7">
        <f>IF($AB393="","",S393+V393+Q393)</f>
        <v/>
      </c>
      <c r="AA393" s="7">
        <f>IF($AB393="","",Z393-X393-M393)</f>
        <v/>
      </c>
      <c r="AB393" s="13">
        <f>IF(ROWS($AB$2:$AB393)&lt;=MAX('Per Line'!$AK$2:$AK$4001),MATCH(ROWS($AB$2:$AB393),'Per Line'!$AK$2:$AK$4001,0),"")</f>
        <v/>
      </c>
      <c r="AC393" s="14">
        <f>IF($AB393="","",M393-L393*Z393/100)</f>
        <v/>
      </c>
    </row>
    <row r="394">
      <c r="A394" s="12" t="n"/>
      <c r="B394">
        <f>IF($AB394="","",INDEX('Per Line'!$C$2:$C$4001,$AB394)&amp;"")</f>
        <v/>
      </c>
      <c r="C394">
        <f>IF($AB394="","",INDEX('Per Line'!$D$2:$D$4001,$AB394)&amp;"")</f>
        <v/>
      </c>
      <c r="D394">
        <f>IF($AB394="","",INDEX('Per Line'!$B$2:$B$4001,$AB394)&amp;"")</f>
        <v/>
      </c>
      <c r="E394">
        <f>IF($AB394="","",INDEX('Per Line'!$A$2:$A$4001,$AB394))</f>
        <v/>
      </c>
      <c r="F394" s="11">
        <f>IF($AB394="","",INDEX('Per Line'!$E$2:$E$4001,$AB394))</f>
        <v/>
      </c>
      <c r="G394">
        <f>IF($AB394="","",INDEX('Per Line'!$F$2:$F$4001,$AB394)&amp;"")</f>
        <v/>
      </c>
      <c r="H394">
        <f>IF($AB394="","",INDEX('Per Line'!$H$2:$H$4001,$AB394)&amp;"")</f>
        <v/>
      </c>
      <c r="I394">
        <f>IF($AB394="","",INDEX('Per Line'!$I$2:$I$4001,$AB394)&amp;"")</f>
        <v/>
      </c>
      <c r="J394">
        <f>IF($AB394="","",INDEX('Per Line'!$J$2:$J$4001,$AB394)&amp;"")</f>
        <v/>
      </c>
      <c r="K394">
        <f>IF($AB394="","",INDEX('Per Line'!$K$2:$K$4001,$AB394)&amp;"")</f>
        <v/>
      </c>
      <c r="L394">
        <f>IF($AB394="","",INDEX('Per Line'!$L$2:$L$4001,$AB394))</f>
        <v/>
      </c>
      <c r="M394" s="7">
        <f>IF($AB394="","",IF(AND(ISNUMBER(O394),O394&gt;0,Z394&gt;O394),L394*O394/100+(Z394-O394),L394*Z394/100))</f>
        <v/>
      </c>
      <c r="N394">
        <f>IF($AB394="","",INDEX('Per Line'!$V$2:$V$4001,$AB394)&amp;"")</f>
        <v/>
      </c>
      <c r="O394">
        <f>IF($AB394="","",INDEX('Per Line'!$Z$2:$Z$4001,$AB394))</f>
        <v/>
      </c>
      <c r="P394">
        <f>IF($AB394="","",IF(AND(ISNUMBER(O394),O394&gt;0),Z394&gt;O394,FALSE))</f>
        <v/>
      </c>
      <c r="Q394" s="7">
        <f>IF($AB394="","",SUMIFS('Per Line'!$U$2:$U$4001,'Per Line'!$C$2:$C$4001,$B394,'Per Line'!$AM$2:$AM$4001,1))</f>
        <v/>
      </c>
      <c r="R394">
        <f>IF($AB394="","",Settings!$C$7)</f>
        <v/>
      </c>
      <c r="S394" s="7">
        <f>IF($AB394="","",SUMIFS('Per Line'!$U$2:$U$4001,'Per Line'!$C$2:$C$4001,$B394,'Per Line'!$AL$2:$AL$4001,0,'Per Line'!$AM$2:$AM$4001,0))</f>
        <v/>
      </c>
      <c r="T394" s="7">
        <f>IF($AB394="","",S394*R394)</f>
        <v/>
      </c>
      <c r="U394">
        <f>IF($AB394="","",Settings!$C$6)</f>
        <v/>
      </c>
      <c r="V394" s="7">
        <f>IF($AB394="","",SUMIFS('Per Line'!$U$2:$U$4001,'Per Line'!$C$2:$C$4001,$B394,'Per Line'!$AL$2:$AL$4001,1,'Per Line'!$AM$2:$AM$4001,0))</f>
        <v/>
      </c>
      <c r="W394" s="7">
        <f>IF($AB394="","",V394*U394)</f>
        <v/>
      </c>
      <c r="X394" s="7">
        <f>IF($AB394="","",W394+T394)</f>
        <v/>
      </c>
      <c r="Y394" s="7">
        <f>IF($AB394="","",Z394-X394)</f>
        <v/>
      </c>
      <c r="Z394" s="7">
        <f>IF($AB394="","",S394+V394+Q394)</f>
        <v/>
      </c>
      <c r="AA394" s="7">
        <f>IF($AB394="","",Z394-X394-M394)</f>
        <v/>
      </c>
      <c r="AB394" s="13">
        <f>IF(ROWS($AB$2:$AB394)&lt;=MAX('Per Line'!$AK$2:$AK$4001),MATCH(ROWS($AB$2:$AB394),'Per Line'!$AK$2:$AK$4001,0),"")</f>
        <v/>
      </c>
      <c r="AC394" s="14">
        <f>IF($AB394="","",M394-L394*Z394/100)</f>
        <v/>
      </c>
    </row>
    <row r="395">
      <c r="A395" s="12" t="n"/>
      <c r="B395">
        <f>IF($AB395="","",INDEX('Per Line'!$C$2:$C$4001,$AB395)&amp;"")</f>
        <v/>
      </c>
      <c r="C395">
        <f>IF($AB395="","",INDEX('Per Line'!$D$2:$D$4001,$AB395)&amp;"")</f>
        <v/>
      </c>
      <c r="D395">
        <f>IF($AB395="","",INDEX('Per Line'!$B$2:$B$4001,$AB395)&amp;"")</f>
        <v/>
      </c>
      <c r="E395">
        <f>IF($AB395="","",INDEX('Per Line'!$A$2:$A$4001,$AB395))</f>
        <v/>
      </c>
      <c r="F395" s="11">
        <f>IF($AB395="","",INDEX('Per Line'!$E$2:$E$4001,$AB395))</f>
        <v/>
      </c>
      <c r="G395">
        <f>IF($AB395="","",INDEX('Per Line'!$F$2:$F$4001,$AB395)&amp;"")</f>
        <v/>
      </c>
      <c r="H395">
        <f>IF($AB395="","",INDEX('Per Line'!$H$2:$H$4001,$AB395)&amp;"")</f>
        <v/>
      </c>
      <c r="I395">
        <f>IF($AB395="","",INDEX('Per Line'!$I$2:$I$4001,$AB395)&amp;"")</f>
        <v/>
      </c>
      <c r="J395">
        <f>IF($AB395="","",INDEX('Per Line'!$J$2:$J$4001,$AB395)&amp;"")</f>
        <v/>
      </c>
      <c r="K395">
        <f>IF($AB395="","",INDEX('Per Line'!$K$2:$K$4001,$AB395)&amp;"")</f>
        <v/>
      </c>
      <c r="L395">
        <f>IF($AB395="","",INDEX('Per Line'!$L$2:$L$4001,$AB395))</f>
        <v/>
      </c>
      <c r="M395" s="7">
        <f>IF($AB395="","",IF(AND(ISNUMBER(O395),O395&gt;0,Z395&gt;O395),L395*O395/100+(Z395-O395),L395*Z395/100))</f>
        <v/>
      </c>
      <c r="N395">
        <f>IF($AB395="","",INDEX('Per Line'!$V$2:$V$4001,$AB395)&amp;"")</f>
        <v/>
      </c>
      <c r="O395">
        <f>IF($AB395="","",INDEX('Per Line'!$Z$2:$Z$4001,$AB395))</f>
        <v/>
      </c>
      <c r="P395">
        <f>IF($AB395="","",IF(AND(ISNUMBER(O395),O395&gt;0),Z395&gt;O395,FALSE))</f>
        <v/>
      </c>
      <c r="Q395" s="7">
        <f>IF($AB395="","",SUMIFS('Per Line'!$U$2:$U$4001,'Per Line'!$C$2:$C$4001,$B395,'Per Line'!$AM$2:$AM$4001,1))</f>
        <v/>
      </c>
      <c r="R395">
        <f>IF($AB395="","",Settings!$C$7)</f>
        <v/>
      </c>
      <c r="S395" s="7">
        <f>IF($AB395="","",SUMIFS('Per Line'!$U$2:$U$4001,'Per Line'!$C$2:$C$4001,$B395,'Per Line'!$AL$2:$AL$4001,0,'Per Line'!$AM$2:$AM$4001,0))</f>
        <v/>
      </c>
      <c r="T395" s="7">
        <f>IF($AB395="","",S395*R395)</f>
        <v/>
      </c>
      <c r="U395">
        <f>IF($AB395="","",Settings!$C$6)</f>
        <v/>
      </c>
      <c r="V395" s="7">
        <f>IF($AB395="","",SUMIFS('Per Line'!$U$2:$U$4001,'Per Line'!$C$2:$C$4001,$B395,'Per Line'!$AL$2:$AL$4001,1,'Per Line'!$AM$2:$AM$4001,0))</f>
        <v/>
      </c>
      <c r="W395" s="7">
        <f>IF($AB395="","",V395*U395)</f>
        <v/>
      </c>
      <c r="X395" s="7">
        <f>IF($AB395="","",W395+T395)</f>
        <v/>
      </c>
      <c r="Y395" s="7">
        <f>IF($AB395="","",Z395-X395)</f>
        <v/>
      </c>
      <c r="Z395" s="7">
        <f>IF($AB395="","",S395+V395+Q395)</f>
        <v/>
      </c>
      <c r="AA395" s="7">
        <f>IF($AB395="","",Z395-X395-M395)</f>
        <v/>
      </c>
      <c r="AB395" s="13">
        <f>IF(ROWS($AB$2:$AB395)&lt;=MAX('Per Line'!$AK$2:$AK$4001),MATCH(ROWS($AB$2:$AB395),'Per Line'!$AK$2:$AK$4001,0),"")</f>
        <v/>
      </c>
      <c r="AC395" s="14">
        <f>IF($AB395="","",M395-L395*Z395/100)</f>
        <v/>
      </c>
    </row>
    <row r="396">
      <c r="A396" s="12" t="n"/>
      <c r="B396">
        <f>IF($AB396="","",INDEX('Per Line'!$C$2:$C$4001,$AB396)&amp;"")</f>
        <v/>
      </c>
      <c r="C396">
        <f>IF($AB396="","",INDEX('Per Line'!$D$2:$D$4001,$AB396)&amp;"")</f>
        <v/>
      </c>
      <c r="D396">
        <f>IF($AB396="","",INDEX('Per Line'!$B$2:$B$4001,$AB396)&amp;"")</f>
        <v/>
      </c>
      <c r="E396">
        <f>IF($AB396="","",INDEX('Per Line'!$A$2:$A$4001,$AB396))</f>
        <v/>
      </c>
      <c r="F396" s="11">
        <f>IF($AB396="","",INDEX('Per Line'!$E$2:$E$4001,$AB396))</f>
        <v/>
      </c>
      <c r="G396">
        <f>IF($AB396="","",INDEX('Per Line'!$F$2:$F$4001,$AB396)&amp;"")</f>
        <v/>
      </c>
      <c r="H396">
        <f>IF($AB396="","",INDEX('Per Line'!$H$2:$H$4001,$AB396)&amp;"")</f>
        <v/>
      </c>
      <c r="I396">
        <f>IF($AB396="","",INDEX('Per Line'!$I$2:$I$4001,$AB396)&amp;"")</f>
        <v/>
      </c>
      <c r="J396">
        <f>IF($AB396="","",INDEX('Per Line'!$J$2:$J$4001,$AB396)&amp;"")</f>
        <v/>
      </c>
      <c r="K396">
        <f>IF($AB396="","",INDEX('Per Line'!$K$2:$K$4001,$AB396)&amp;"")</f>
        <v/>
      </c>
      <c r="L396">
        <f>IF($AB396="","",INDEX('Per Line'!$L$2:$L$4001,$AB396))</f>
        <v/>
      </c>
      <c r="M396" s="7">
        <f>IF($AB396="","",IF(AND(ISNUMBER(O396),O396&gt;0,Z396&gt;O396),L396*O396/100+(Z396-O396),L396*Z396/100))</f>
        <v/>
      </c>
      <c r="N396">
        <f>IF($AB396="","",INDEX('Per Line'!$V$2:$V$4001,$AB396)&amp;"")</f>
        <v/>
      </c>
      <c r="O396">
        <f>IF($AB396="","",INDEX('Per Line'!$Z$2:$Z$4001,$AB396))</f>
        <v/>
      </c>
      <c r="P396">
        <f>IF($AB396="","",IF(AND(ISNUMBER(O396),O396&gt;0),Z396&gt;O396,FALSE))</f>
        <v/>
      </c>
      <c r="Q396" s="7">
        <f>IF($AB396="","",SUMIFS('Per Line'!$U$2:$U$4001,'Per Line'!$C$2:$C$4001,$B396,'Per Line'!$AM$2:$AM$4001,1))</f>
        <v/>
      </c>
      <c r="R396">
        <f>IF($AB396="","",Settings!$C$7)</f>
        <v/>
      </c>
      <c r="S396" s="7">
        <f>IF($AB396="","",SUMIFS('Per Line'!$U$2:$U$4001,'Per Line'!$C$2:$C$4001,$B396,'Per Line'!$AL$2:$AL$4001,0,'Per Line'!$AM$2:$AM$4001,0))</f>
        <v/>
      </c>
      <c r="T396" s="7">
        <f>IF($AB396="","",S396*R396)</f>
        <v/>
      </c>
      <c r="U396">
        <f>IF($AB396="","",Settings!$C$6)</f>
        <v/>
      </c>
      <c r="V396" s="7">
        <f>IF($AB396="","",SUMIFS('Per Line'!$U$2:$U$4001,'Per Line'!$C$2:$C$4001,$B396,'Per Line'!$AL$2:$AL$4001,1,'Per Line'!$AM$2:$AM$4001,0))</f>
        <v/>
      </c>
      <c r="W396" s="7">
        <f>IF($AB396="","",V396*U396)</f>
        <v/>
      </c>
      <c r="X396" s="7">
        <f>IF($AB396="","",W396+T396)</f>
        <v/>
      </c>
      <c r="Y396" s="7">
        <f>IF($AB396="","",Z396-X396)</f>
        <v/>
      </c>
      <c r="Z396" s="7">
        <f>IF($AB396="","",S396+V396+Q396)</f>
        <v/>
      </c>
      <c r="AA396" s="7">
        <f>IF($AB396="","",Z396-X396-M396)</f>
        <v/>
      </c>
      <c r="AB396" s="13">
        <f>IF(ROWS($AB$2:$AB396)&lt;=MAX('Per Line'!$AK$2:$AK$4001),MATCH(ROWS($AB$2:$AB396),'Per Line'!$AK$2:$AK$4001,0),"")</f>
        <v/>
      </c>
      <c r="AC396" s="14">
        <f>IF($AB396="","",M396-L396*Z396/100)</f>
        <v/>
      </c>
    </row>
    <row r="397">
      <c r="A397" s="12" t="n"/>
      <c r="B397">
        <f>IF($AB397="","",INDEX('Per Line'!$C$2:$C$4001,$AB397)&amp;"")</f>
        <v/>
      </c>
      <c r="C397">
        <f>IF($AB397="","",INDEX('Per Line'!$D$2:$D$4001,$AB397)&amp;"")</f>
        <v/>
      </c>
      <c r="D397">
        <f>IF($AB397="","",INDEX('Per Line'!$B$2:$B$4001,$AB397)&amp;"")</f>
        <v/>
      </c>
      <c r="E397">
        <f>IF($AB397="","",INDEX('Per Line'!$A$2:$A$4001,$AB397))</f>
        <v/>
      </c>
      <c r="F397" s="11">
        <f>IF($AB397="","",INDEX('Per Line'!$E$2:$E$4001,$AB397))</f>
        <v/>
      </c>
      <c r="G397">
        <f>IF($AB397="","",INDEX('Per Line'!$F$2:$F$4001,$AB397)&amp;"")</f>
        <v/>
      </c>
      <c r="H397">
        <f>IF($AB397="","",INDEX('Per Line'!$H$2:$H$4001,$AB397)&amp;"")</f>
        <v/>
      </c>
      <c r="I397">
        <f>IF($AB397="","",INDEX('Per Line'!$I$2:$I$4001,$AB397)&amp;"")</f>
        <v/>
      </c>
      <c r="J397">
        <f>IF($AB397="","",INDEX('Per Line'!$J$2:$J$4001,$AB397)&amp;"")</f>
        <v/>
      </c>
      <c r="K397">
        <f>IF($AB397="","",INDEX('Per Line'!$K$2:$K$4001,$AB397)&amp;"")</f>
        <v/>
      </c>
      <c r="L397">
        <f>IF($AB397="","",INDEX('Per Line'!$L$2:$L$4001,$AB397))</f>
        <v/>
      </c>
      <c r="M397" s="7">
        <f>IF($AB397="","",IF(AND(ISNUMBER(O397),O397&gt;0,Z397&gt;O397),L397*O397/100+(Z397-O397),L397*Z397/100))</f>
        <v/>
      </c>
      <c r="N397">
        <f>IF($AB397="","",INDEX('Per Line'!$V$2:$V$4001,$AB397)&amp;"")</f>
        <v/>
      </c>
      <c r="O397">
        <f>IF($AB397="","",INDEX('Per Line'!$Z$2:$Z$4001,$AB397))</f>
        <v/>
      </c>
      <c r="P397">
        <f>IF($AB397="","",IF(AND(ISNUMBER(O397),O397&gt;0),Z397&gt;O397,FALSE))</f>
        <v/>
      </c>
      <c r="Q397" s="7">
        <f>IF($AB397="","",SUMIFS('Per Line'!$U$2:$U$4001,'Per Line'!$C$2:$C$4001,$B397,'Per Line'!$AM$2:$AM$4001,1))</f>
        <v/>
      </c>
      <c r="R397">
        <f>IF($AB397="","",Settings!$C$7)</f>
        <v/>
      </c>
      <c r="S397" s="7">
        <f>IF($AB397="","",SUMIFS('Per Line'!$U$2:$U$4001,'Per Line'!$C$2:$C$4001,$B397,'Per Line'!$AL$2:$AL$4001,0,'Per Line'!$AM$2:$AM$4001,0))</f>
        <v/>
      </c>
      <c r="T397" s="7">
        <f>IF($AB397="","",S397*R397)</f>
        <v/>
      </c>
      <c r="U397">
        <f>IF($AB397="","",Settings!$C$6)</f>
        <v/>
      </c>
      <c r="V397" s="7">
        <f>IF($AB397="","",SUMIFS('Per Line'!$U$2:$U$4001,'Per Line'!$C$2:$C$4001,$B397,'Per Line'!$AL$2:$AL$4001,1,'Per Line'!$AM$2:$AM$4001,0))</f>
        <v/>
      </c>
      <c r="W397" s="7">
        <f>IF($AB397="","",V397*U397)</f>
        <v/>
      </c>
      <c r="X397" s="7">
        <f>IF($AB397="","",W397+T397)</f>
        <v/>
      </c>
      <c r="Y397" s="7">
        <f>IF($AB397="","",Z397-X397)</f>
        <v/>
      </c>
      <c r="Z397" s="7">
        <f>IF($AB397="","",S397+V397+Q397)</f>
        <v/>
      </c>
      <c r="AA397" s="7">
        <f>IF($AB397="","",Z397-X397-M397)</f>
        <v/>
      </c>
      <c r="AB397" s="13">
        <f>IF(ROWS($AB$2:$AB397)&lt;=MAX('Per Line'!$AK$2:$AK$4001),MATCH(ROWS($AB$2:$AB397),'Per Line'!$AK$2:$AK$4001,0),"")</f>
        <v/>
      </c>
      <c r="AC397" s="14">
        <f>IF($AB397="","",M397-L397*Z397/100)</f>
        <v/>
      </c>
    </row>
    <row r="398">
      <c r="A398" s="12" t="n"/>
      <c r="B398">
        <f>IF($AB398="","",INDEX('Per Line'!$C$2:$C$4001,$AB398)&amp;"")</f>
        <v/>
      </c>
      <c r="C398">
        <f>IF($AB398="","",INDEX('Per Line'!$D$2:$D$4001,$AB398)&amp;"")</f>
        <v/>
      </c>
      <c r="D398">
        <f>IF($AB398="","",INDEX('Per Line'!$B$2:$B$4001,$AB398)&amp;"")</f>
        <v/>
      </c>
      <c r="E398">
        <f>IF($AB398="","",INDEX('Per Line'!$A$2:$A$4001,$AB398))</f>
        <v/>
      </c>
      <c r="F398" s="11">
        <f>IF($AB398="","",INDEX('Per Line'!$E$2:$E$4001,$AB398))</f>
        <v/>
      </c>
      <c r="G398">
        <f>IF($AB398="","",INDEX('Per Line'!$F$2:$F$4001,$AB398)&amp;"")</f>
        <v/>
      </c>
      <c r="H398">
        <f>IF($AB398="","",INDEX('Per Line'!$H$2:$H$4001,$AB398)&amp;"")</f>
        <v/>
      </c>
      <c r="I398">
        <f>IF($AB398="","",INDEX('Per Line'!$I$2:$I$4001,$AB398)&amp;"")</f>
        <v/>
      </c>
      <c r="J398">
        <f>IF($AB398="","",INDEX('Per Line'!$J$2:$J$4001,$AB398)&amp;"")</f>
        <v/>
      </c>
      <c r="K398">
        <f>IF($AB398="","",INDEX('Per Line'!$K$2:$K$4001,$AB398)&amp;"")</f>
        <v/>
      </c>
      <c r="L398">
        <f>IF($AB398="","",INDEX('Per Line'!$L$2:$L$4001,$AB398))</f>
        <v/>
      </c>
      <c r="M398" s="7">
        <f>IF($AB398="","",IF(AND(ISNUMBER(O398),O398&gt;0,Z398&gt;O398),L398*O398/100+(Z398-O398),L398*Z398/100))</f>
        <v/>
      </c>
      <c r="N398">
        <f>IF($AB398="","",INDEX('Per Line'!$V$2:$V$4001,$AB398)&amp;"")</f>
        <v/>
      </c>
      <c r="O398">
        <f>IF($AB398="","",INDEX('Per Line'!$Z$2:$Z$4001,$AB398))</f>
        <v/>
      </c>
      <c r="P398">
        <f>IF($AB398="","",IF(AND(ISNUMBER(O398),O398&gt;0),Z398&gt;O398,FALSE))</f>
        <v/>
      </c>
      <c r="Q398" s="7">
        <f>IF($AB398="","",SUMIFS('Per Line'!$U$2:$U$4001,'Per Line'!$C$2:$C$4001,$B398,'Per Line'!$AM$2:$AM$4001,1))</f>
        <v/>
      </c>
      <c r="R398">
        <f>IF($AB398="","",Settings!$C$7)</f>
        <v/>
      </c>
      <c r="S398" s="7">
        <f>IF($AB398="","",SUMIFS('Per Line'!$U$2:$U$4001,'Per Line'!$C$2:$C$4001,$B398,'Per Line'!$AL$2:$AL$4001,0,'Per Line'!$AM$2:$AM$4001,0))</f>
        <v/>
      </c>
      <c r="T398" s="7">
        <f>IF($AB398="","",S398*R398)</f>
        <v/>
      </c>
      <c r="U398">
        <f>IF($AB398="","",Settings!$C$6)</f>
        <v/>
      </c>
      <c r="V398" s="7">
        <f>IF($AB398="","",SUMIFS('Per Line'!$U$2:$U$4001,'Per Line'!$C$2:$C$4001,$B398,'Per Line'!$AL$2:$AL$4001,1,'Per Line'!$AM$2:$AM$4001,0))</f>
        <v/>
      </c>
      <c r="W398" s="7">
        <f>IF($AB398="","",V398*U398)</f>
        <v/>
      </c>
      <c r="X398" s="7">
        <f>IF($AB398="","",W398+T398)</f>
        <v/>
      </c>
      <c r="Y398" s="7">
        <f>IF($AB398="","",Z398-X398)</f>
        <v/>
      </c>
      <c r="Z398" s="7">
        <f>IF($AB398="","",S398+V398+Q398)</f>
        <v/>
      </c>
      <c r="AA398" s="7">
        <f>IF($AB398="","",Z398-X398-M398)</f>
        <v/>
      </c>
      <c r="AB398" s="13">
        <f>IF(ROWS($AB$2:$AB398)&lt;=MAX('Per Line'!$AK$2:$AK$4001),MATCH(ROWS($AB$2:$AB398),'Per Line'!$AK$2:$AK$4001,0),"")</f>
        <v/>
      </c>
      <c r="AC398" s="14">
        <f>IF($AB398="","",M398-L398*Z398/100)</f>
        <v/>
      </c>
    </row>
    <row r="399">
      <c r="A399" s="12" t="n"/>
      <c r="B399">
        <f>IF($AB399="","",INDEX('Per Line'!$C$2:$C$4001,$AB399)&amp;"")</f>
        <v/>
      </c>
      <c r="C399">
        <f>IF($AB399="","",INDEX('Per Line'!$D$2:$D$4001,$AB399)&amp;"")</f>
        <v/>
      </c>
      <c r="D399">
        <f>IF($AB399="","",INDEX('Per Line'!$B$2:$B$4001,$AB399)&amp;"")</f>
        <v/>
      </c>
      <c r="E399">
        <f>IF($AB399="","",INDEX('Per Line'!$A$2:$A$4001,$AB399))</f>
        <v/>
      </c>
      <c r="F399" s="11">
        <f>IF($AB399="","",INDEX('Per Line'!$E$2:$E$4001,$AB399))</f>
        <v/>
      </c>
      <c r="G399">
        <f>IF($AB399="","",INDEX('Per Line'!$F$2:$F$4001,$AB399)&amp;"")</f>
        <v/>
      </c>
      <c r="H399">
        <f>IF($AB399="","",INDEX('Per Line'!$H$2:$H$4001,$AB399)&amp;"")</f>
        <v/>
      </c>
      <c r="I399">
        <f>IF($AB399="","",INDEX('Per Line'!$I$2:$I$4001,$AB399)&amp;"")</f>
        <v/>
      </c>
      <c r="J399">
        <f>IF($AB399="","",INDEX('Per Line'!$J$2:$J$4001,$AB399)&amp;"")</f>
        <v/>
      </c>
      <c r="K399">
        <f>IF($AB399="","",INDEX('Per Line'!$K$2:$K$4001,$AB399)&amp;"")</f>
        <v/>
      </c>
      <c r="L399">
        <f>IF($AB399="","",INDEX('Per Line'!$L$2:$L$4001,$AB399))</f>
        <v/>
      </c>
      <c r="M399" s="7">
        <f>IF($AB399="","",IF(AND(ISNUMBER(O399),O399&gt;0,Z399&gt;O399),L399*O399/100+(Z399-O399),L399*Z399/100))</f>
        <v/>
      </c>
      <c r="N399">
        <f>IF($AB399="","",INDEX('Per Line'!$V$2:$V$4001,$AB399)&amp;"")</f>
        <v/>
      </c>
      <c r="O399">
        <f>IF($AB399="","",INDEX('Per Line'!$Z$2:$Z$4001,$AB399))</f>
        <v/>
      </c>
      <c r="P399">
        <f>IF($AB399="","",IF(AND(ISNUMBER(O399),O399&gt;0),Z399&gt;O399,FALSE))</f>
        <v/>
      </c>
      <c r="Q399" s="7">
        <f>IF($AB399="","",SUMIFS('Per Line'!$U$2:$U$4001,'Per Line'!$C$2:$C$4001,$B399,'Per Line'!$AM$2:$AM$4001,1))</f>
        <v/>
      </c>
      <c r="R399">
        <f>IF($AB399="","",Settings!$C$7)</f>
        <v/>
      </c>
      <c r="S399" s="7">
        <f>IF($AB399="","",SUMIFS('Per Line'!$U$2:$U$4001,'Per Line'!$C$2:$C$4001,$B399,'Per Line'!$AL$2:$AL$4001,0,'Per Line'!$AM$2:$AM$4001,0))</f>
        <v/>
      </c>
      <c r="T399" s="7">
        <f>IF($AB399="","",S399*R399)</f>
        <v/>
      </c>
      <c r="U399">
        <f>IF($AB399="","",Settings!$C$6)</f>
        <v/>
      </c>
      <c r="V399" s="7">
        <f>IF($AB399="","",SUMIFS('Per Line'!$U$2:$U$4001,'Per Line'!$C$2:$C$4001,$B399,'Per Line'!$AL$2:$AL$4001,1,'Per Line'!$AM$2:$AM$4001,0))</f>
        <v/>
      </c>
      <c r="W399" s="7">
        <f>IF($AB399="","",V399*U399)</f>
        <v/>
      </c>
      <c r="X399" s="7">
        <f>IF($AB399="","",W399+T399)</f>
        <v/>
      </c>
      <c r="Y399" s="7">
        <f>IF($AB399="","",Z399-X399)</f>
        <v/>
      </c>
      <c r="Z399" s="7">
        <f>IF($AB399="","",S399+V399+Q399)</f>
        <v/>
      </c>
      <c r="AA399" s="7">
        <f>IF($AB399="","",Z399-X399-M399)</f>
        <v/>
      </c>
      <c r="AB399" s="13">
        <f>IF(ROWS($AB$2:$AB399)&lt;=MAX('Per Line'!$AK$2:$AK$4001),MATCH(ROWS($AB$2:$AB399),'Per Line'!$AK$2:$AK$4001,0),"")</f>
        <v/>
      </c>
      <c r="AC399" s="14">
        <f>IF($AB399="","",M399-L399*Z399/100)</f>
        <v/>
      </c>
    </row>
    <row r="400">
      <c r="A400" s="12" t="n"/>
      <c r="B400">
        <f>IF($AB400="","",INDEX('Per Line'!$C$2:$C$4001,$AB400)&amp;"")</f>
        <v/>
      </c>
      <c r="C400">
        <f>IF($AB400="","",INDEX('Per Line'!$D$2:$D$4001,$AB400)&amp;"")</f>
        <v/>
      </c>
      <c r="D400">
        <f>IF($AB400="","",INDEX('Per Line'!$B$2:$B$4001,$AB400)&amp;"")</f>
        <v/>
      </c>
      <c r="E400">
        <f>IF($AB400="","",INDEX('Per Line'!$A$2:$A$4001,$AB400))</f>
        <v/>
      </c>
      <c r="F400" s="11">
        <f>IF($AB400="","",INDEX('Per Line'!$E$2:$E$4001,$AB400))</f>
        <v/>
      </c>
      <c r="G400">
        <f>IF($AB400="","",INDEX('Per Line'!$F$2:$F$4001,$AB400)&amp;"")</f>
        <v/>
      </c>
      <c r="H400">
        <f>IF($AB400="","",INDEX('Per Line'!$H$2:$H$4001,$AB400)&amp;"")</f>
        <v/>
      </c>
      <c r="I400">
        <f>IF($AB400="","",INDEX('Per Line'!$I$2:$I$4001,$AB400)&amp;"")</f>
        <v/>
      </c>
      <c r="J400">
        <f>IF($AB400="","",INDEX('Per Line'!$J$2:$J$4001,$AB400)&amp;"")</f>
        <v/>
      </c>
      <c r="K400">
        <f>IF($AB400="","",INDEX('Per Line'!$K$2:$K$4001,$AB400)&amp;"")</f>
        <v/>
      </c>
      <c r="L400">
        <f>IF($AB400="","",INDEX('Per Line'!$L$2:$L$4001,$AB400))</f>
        <v/>
      </c>
      <c r="M400" s="7">
        <f>IF($AB400="","",IF(AND(ISNUMBER(O400),O400&gt;0,Z400&gt;O400),L400*O400/100+(Z400-O400),L400*Z400/100))</f>
        <v/>
      </c>
      <c r="N400">
        <f>IF($AB400="","",INDEX('Per Line'!$V$2:$V$4001,$AB400)&amp;"")</f>
        <v/>
      </c>
      <c r="O400">
        <f>IF($AB400="","",INDEX('Per Line'!$Z$2:$Z$4001,$AB400))</f>
        <v/>
      </c>
      <c r="P400">
        <f>IF($AB400="","",IF(AND(ISNUMBER(O400),O400&gt;0),Z400&gt;O400,FALSE))</f>
        <v/>
      </c>
      <c r="Q400" s="7">
        <f>IF($AB400="","",SUMIFS('Per Line'!$U$2:$U$4001,'Per Line'!$C$2:$C$4001,$B400,'Per Line'!$AM$2:$AM$4001,1))</f>
        <v/>
      </c>
      <c r="R400">
        <f>IF($AB400="","",Settings!$C$7)</f>
        <v/>
      </c>
      <c r="S400" s="7">
        <f>IF($AB400="","",SUMIFS('Per Line'!$U$2:$U$4001,'Per Line'!$C$2:$C$4001,$B400,'Per Line'!$AL$2:$AL$4001,0,'Per Line'!$AM$2:$AM$4001,0))</f>
        <v/>
      </c>
      <c r="T400" s="7">
        <f>IF($AB400="","",S400*R400)</f>
        <v/>
      </c>
      <c r="U400">
        <f>IF($AB400="","",Settings!$C$6)</f>
        <v/>
      </c>
      <c r="V400" s="7">
        <f>IF($AB400="","",SUMIFS('Per Line'!$U$2:$U$4001,'Per Line'!$C$2:$C$4001,$B400,'Per Line'!$AL$2:$AL$4001,1,'Per Line'!$AM$2:$AM$4001,0))</f>
        <v/>
      </c>
      <c r="W400" s="7">
        <f>IF($AB400="","",V400*U400)</f>
        <v/>
      </c>
      <c r="X400" s="7">
        <f>IF($AB400="","",W400+T400)</f>
        <v/>
      </c>
      <c r="Y400" s="7">
        <f>IF($AB400="","",Z400-X400)</f>
        <v/>
      </c>
      <c r="Z400" s="7">
        <f>IF($AB400="","",S400+V400+Q400)</f>
        <v/>
      </c>
      <c r="AA400" s="7">
        <f>IF($AB400="","",Z400-X400-M400)</f>
        <v/>
      </c>
      <c r="AB400" s="13">
        <f>IF(ROWS($AB$2:$AB400)&lt;=MAX('Per Line'!$AK$2:$AK$4001),MATCH(ROWS($AB$2:$AB400),'Per Line'!$AK$2:$AK$4001,0),"")</f>
        <v/>
      </c>
      <c r="AC400" s="14">
        <f>IF($AB400="","",M400-L400*Z400/100)</f>
        <v/>
      </c>
    </row>
    <row r="401">
      <c r="A401" s="12" t="n"/>
      <c r="B401">
        <f>IF($AB401="","",INDEX('Per Line'!$C$2:$C$4001,$AB401)&amp;"")</f>
        <v/>
      </c>
      <c r="C401">
        <f>IF($AB401="","",INDEX('Per Line'!$D$2:$D$4001,$AB401)&amp;"")</f>
        <v/>
      </c>
      <c r="D401">
        <f>IF($AB401="","",INDEX('Per Line'!$B$2:$B$4001,$AB401)&amp;"")</f>
        <v/>
      </c>
      <c r="E401">
        <f>IF($AB401="","",INDEX('Per Line'!$A$2:$A$4001,$AB401))</f>
        <v/>
      </c>
      <c r="F401" s="11">
        <f>IF($AB401="","",INDEX('Per Line'!$E$2:$E$4001,$AB401))</f>
        <v/>
      </c>
      <c r="G401">
        <f>IF($AB401="","",INDEX('Per Line'!$F$2:$F$4001,$AB401)&amp;"")</f>
        <v/>
      </c>
      <c r="H401">
        <f>IF($AB401="","",INDEX('Per Line'!$H$2:$H$4001,$AB401)&amp;"")</f>
        <v/>
      </c>
      <c r="I401">
        <f>IF($AB401="","",INDEX('Per Line'!$I$2:$I$4001,$AB401)&amp;"")</f>
        <v/>
      </c>
      <c r="J401">
        <f>IF($AB401="","",INDEX('Per Line'!$J$2:$J$4001,$AB401)&amp;"")</f>
        <v/>
      </c>
      <c r="K401">
        <f>IF($AB401="","",INDEX('Per Line'!$K$2:$K$4001,$AB401)&amp;"")</f>
        <v/>
      </c>
      <c r="L401">
        <f>IF($AB401="","",INDEX('Per Line'!$L$2:$L$4001,$AB401))</f>
        <v/>
      </c>
      <c r="M401" s="7">
        <f>IF($AB401="","",IF(AND(ISNUMBER(O401),O401&gt;0,Z401&gt;O401),L401*O401/100+(Z401-O401),L401*Z401/100))</f>
        <v/>
      </c>
      <c r="N401">
        <f>IF($AB401="","",INDEX('Per Line'!$V$2:$V$4001,$AB401)&amp;"")</f>
        <v/>
      </c>
      <c r="O401">
        <f>IF($AB401="","",INDEX('Per Line'!$Z$2:$Z$4001,$AB401))</f>
        <v/>
      </c>
      <c r="P401">
        <f>IF($AB401="","",IF(AND(ISNUMBER(O401),O401&gt;0),Z401&gt;O401,FALSE))</f>
        <v/>
      </c>
      <c r="Q401" s="7">
        <f>IF($AB401="","",SUMIFS('Per Line'!$U$2:$U$4001,'Per Line'!$C$2:$C$4001,$B401,'Per Line'!$AM$2:$AM$4001,1))</f>
        <v/>
      </c>
      <c r="R401">
        <f>IF($AB401="","",Settings!$C$7)</f>
        <v/>
      </c>
      <c r="S401" s="7">
        <f>IF($AB401="","",SUMIFS('Per Line'!$U$2:$U$4001,'Per Line'!$C$2:$C$4001,$B401,'Per Line'!$AL$2:$AL$4001,0,'Per Line'!$AM$2:$AM$4001,0))</f>
        <v/>
      </c>
      <c r="T401" s="7">
        <f>IF($AB401="","",S401*R401)</f>
        <v/>
      </c>
      <c r="U401">
        <f>IF($AB401="","",Settings!$C$6)</f>
        <v/>
      </c>
      <c r="V401" s="7">
        <f>IF($AB401="","",SUMIFS('Per Line'!$U$2:$U$4001,'Per Line'!$C$2:$C$4001,$B401,'Per Line'!$AL$2:$AL$4001,1,'Per Line'!$AM$2:$AM$4001,0))</f>
        <v/>
      </c>
      <c r="W401" s="7">
        <f>IF($AB401="","",V401*U401)</f>
        <v/>
      </c>
      <c r="X401" s="7">
        <f>IF($AB401="","",W401+T401)</f>
        <v/>
      </c>
      <c r="Y401" s="7">
        <f>IF($AB401="","",Z401-X401)</f>
        <v/>
      </c>
      <c r="Z401" s="7">
        <f>IF($AB401="","",S401+V401+Q401)</f>
        <v/>
      </c>
      <c r="AA401" s="7">
        <f>IF($AB401="","",Z401-X401-M401)</f>
        <v/>
      </c>
      <c r="AB401" s="13">
        <f>IF(ROWS($AB$2:$AB401)&lt;=MAX('Per Line'!$AK$2:$AK$4001),MATCH(ROWS($AB$2:$AB401),'Per Line'!$AK$2:$AK$4001,0),"")</f>
        <v/>
      </c>
      <c r="AC401" s="14">
        <f>IF($AB401="","",M401-L401*Z401/100)</f>
        <v/>
      </c>
    </row>
    <row r="402">
      <c r="A402" s="12" t="n"/>
      <c r="B402">
        <f>IF($AB402="","",INDEX('Per Line'!$C$2:$C$4001,$AB402)&amp;"")</f>
        <v/>
      </c>
      <c r="C402">
        <f>IF($AB402="","",INDEX('Per Line'!$D$2:$D$4001,$AB402)&amp;"")</f>
        <v/>
      </c>
      <c r="D402">
        <f>IF($AB402="","",INDEX('Per Line'!$B$2:$B$4001,$AB402)&amp;"")</f>
        <v/>
      </c>
      <c r="E402">
        <f>IF($AB402="","",INDEX('Per Line'!$A$2:$A$4001,$AB402))</f>
        <v/>
      </c>
      <c r="F402" s="11">
        <f>IF($AB402="","",INDEX('Per Line'!$E$2:$E$4001,$AB402))</f>
        <v/>
      </c>
      <c r="G402">
        <f>IF($AB402="","",INDEX('Per Line'!$F$2:$F$4001,$AB402)&amp;"")</f>
        <v/>
      </c>
      <c r="H402">
        <f>IF($AB402="","",INDEX('Per Line'!$H$2:$H$4001,$AB402)&amp;"")</f>
        <v/>
      </c>
      <c r="I402">
        <f>IF($AB402="","",INDEX('Per Line'!$I$2:$I$4001,$AB402)&amp;"")</f>
        <v/>
      </c>
      <c r="J402">
        <f>IF($AB402="","",INDEX('Per Line'!$J$2:$J$4001,$AB402)&amp;"")</f>
        <v/>
      </c>
      <c r="K402">
        <f>IF($AB402="","",INDEX('Per Line'!$K$2:$K$4001,$AB402)&amp;"")</f>
        <v/>
      </c>
      <c r="L402">
        <f>IF($AB402="","",INDEX('Per Line'!$L$2:$L$4001,$AB402))</f>
        <v/>
      </c>
      <c r="M402" s="7">
        <f>IF($AB402="","",IF(AND(ISNUMBER(O402),O402&gt;0,Z402&gt;O402),L402*O402/100+(Z402-O402),L402*Z402/100))</f>
        <v/>
      </c>
      <c r="N402">
        <f>IF($AB402="","",INDEX('Per Line'!$V$2:$V$4001,$AB402)&amp;"")</f>
        <v/>
      </c>
      <c r="O402">
        <f>IF($AB402="","",INDEX('Per Line'!$Z$2:$Z$4001,$AB402))</f>
        <v/>
      </c>
      <c r="P402">
        <f>IF($AB402="","",IF(AND(ISNUMBER(O402),O402&gt;0),Z402&gt;O402,FALSE))</f>
        <v/>
      </c>
      <c r="Q402" s="7">
        <f>IF($AB402="","",SUMIFS('Per Line'!$U$2:$U$4001,'Per Line'!$C$2:$C$4001,$B402,'Per Line'!$AM$2:$AM$4001,1))</f>
        <v/>
      </c>
      <c r="R402">
        <f>IF($AB402="","",Settings!$C$7)</f>
        <v/>
      </c>
      <c r="S402" s="7">
        <f>IF($AB402="","",SUMIFS('Per Line'!$U$2:$U$4001,'Per Line'!$C$2:$C$4001,$B402,'Per Line'!$AL$2:$AL$4001,0,'Per Line'!$AM$2:$AM$4001,0))</f>
        <v/>
      </c>
      <c r="T402" s="7">
        <f>IF($AB402="","",S402*R402)</f>
        <v/>
      </c>
      <c r="U402">
        <f>IF($AB402="","",Settings!$C$6)</f>
        <v/>
      </c>
      <c r="V402" s="7">
        <f>IF($AB402="","",SUMIFS('Per Line'!$U$2:$U$4001,'Per Line'!$C$2:$C$4001,$B402,'Per Line'!$AL$2:$AL$4001,1,'Per Line'!$AM$2:$AM$4001,0))</f>
        <v/>
      </c>
      <c r="W402" s="7">
        <f>IF($AB402="","",V402*U402)</f>
        <v/>
      </c>
      <c r="X402" s="7">
        <f>IF($AB402="","",W402+T402)</f>
        <v/>
      </c>
      <c r="Y402" s="7">
        <f>IF($AB402="","",Z402-X402)</f>
        <v/>
      </c>
      <c r="Z402" s="7">
        <f>IF($AB402="","",S402+V402+Q402)</f>
        <v/>
      </c>
      <c r="AA402" s="7">
        <f>IF($AB402="","",Z402-X402-M402)</f>
        <v/>
      </c>
      <c r="AB402" s="13">
        <f>IF(ROWS($AB$2:$AB402)&lt;=MAX('Per Line'!$AK$2:$AK$4001),MATCH(ROWS($AB$2:$AB402),'Per Line'!$AK$2:$AK$4001,0),"")</f>
        <v/>
      </c>
      <c r="AC402" s="14">
        <f>IF($AB402="","",M402-L402*Z402/100)</f>
        <v/>
      </c>
    </row>
    <row r="403">
      <c r="A403" s="12" t="n"/>
      <c r="B403">
        <f>IF($AB403="","",INDEX('Per Line'!$C$2:$C$4001,$AB403)&amp;"")</f>
        <v/>
      </c>
      <c r="C403">
        <f>IF($AB403="","",INDEX('Per Line'!$D$2:$D$4001,$AB403)&amp;"")</f>
        <v/>
      </c>
      <c r="D403">
        <f>IF($AB403="","",INDEX('Per Line'!$B$2:$B$4001,$AB403)&amp;"")</f>
        <v/>
      </c>
      <c r="E403">
        <f>IF($AB403="","",INDEX('Per Line'!$A$2:$A$4001,$AB403))</f>
        <v/>
      </c>
      <c r="F403" s="11">
        <f>IF($AB403="","",INDEX('Per Line'!$E$2:$E$4001,$AB403))</f>
        <v/>
      </c>
      <c r="G403">
        <f>IF($AB403="","",INDEX('Per Line'!$F$2:$F$4001,$AB403)&amp;"")</f>
        <v/>
      </c>
      <c r="H403">
        <f>IF($AB403="","",INDEX('Per Line'!$H$2:$H$4001,$AB403)&amp;"")</f>
        <v/>
      </c>
      <c r="I403">
        <f>IF($AB403="","",INDEX('Per Line'!$I$2:$I$4001,$AB403)&amp;"")</f>
        <v/>
      </c>
      <c r="J403">
        <f>IF($AB403="","",INDEX('Per Line'!$J$2:$J$4001,$AB403)&amp;"")</f>
        <v/>
      </c>
      <c r="K403">
        <f>IF($AB403="","",INDEX('Per Line'!$K$2:$K$4001,$AB403)&amp;"")</f>
        <v/>
      </c>
      <c r="L403">
        <f>IF($AB403="","",INDEX('Per Line'!$L$2:$L$4001,$AB403))</f>
        <v/>
      </c>
      <c r="M403" s="7">
        <f>IF($AB403="","",IF(AND(ISNUMBER(O403),O403&gt;0,Z403&gt;O403),L403*O403/100+(Z403-O403),L403*Z403/100))</f>
        <v/>
      </c>
      <c r="N403">
        <f>IF($AB403="","",INDEX('Per Line'!$V$2:$V$4001,$AB403)&amp;"")</f>
        <v/>
      </c>
      <c r="O403">
        <f>IF($AB403="","",INDEX('Per Line'!$Z$2:$Z$4001,$AB403))</f>
        <v/>
      </c>
      <c r="P403">
        <f>IF($AB403="","",IF(AND(ISNUMBER(O403),O403&gt;0),Z403&gt;O403,FALSE))</f>
        <v/>
      </c>
      <c r="Q403" s="7">
        <f>IF($AB403="","",SUMIFS('Per Line'!$U$2:$U$4001,'Per Line'!$C$2:$C$4001,$B403,'Per Line'!$AM$2:$AM$4001,1))</f>
        <v/>
      </c>
      <c r="R403">
        <f>IF($AB403="","",Settings!$C$7)</f>
        <v/>
      </c>
      <c r="S403" s="7">
        <f>IF($AB403="","",SUMIFS('Per Line'!$U$2:$U$4001,'Per Line'!$C$2:$C$4001,$B403,'Per Line'!$AL$2:$AL$4001,0,'Per Line'!$AM$2:$AM$4001,0))</f>
        <v/>
      </c>
      <c r="T403" s="7">
        <f>IF($AB403="","",S403*R403)</f>
        <v/>
      </c>
      <c r="U403">
        <f>IF($AB403="","",Settings!$C$6)</f>
        <v/>
      </c>
      <c r="V403" s="7">
        <f>IF($AB403="","",SUMIFS('Per Line'!$U$2:$U$4001,'Per Line'!$C$2:$C$4001,$B403,'Per Line'!$AL$2:$AL$4001,1,'Per Line'!$AM$2:$AM$4001,0))</f>
        <v/>
      </c>
      <c r="W403" s="7">
        <f>IF($AB403="","",V403*U403)</f>
        <v/>
      </c>
      <c r="X403" s="7">
        <f>IF($AB403="","",W403+T403)</f>
        <v/>
      </c>
      <c r="Y403" s="7">
        <f>IF($AB403="","",Z403-X403)</f>
        <v/>
      </c>
      <c r="Z403" s="7">
        <f>IF($AB403="","",S403+V403+Q403)</f>
        <v/>
      </c>
      <c r="AA403" s="7">
        <f>IF($AB403="","",Z403-X403-M403)</f>
        <v/>
      </c>
      <c r="AB403" s="13">
        <f>IF(ROWS($AB$2:$AB403)&lt;=MAX('Per Line'!$AK$2:$AK$4001),MATCH(ROWS($AB$2:$AB403),'Per Line'!$AK$2:$AK$4001,0),"")</f>
        <v/>
      </c>
      <c r="AC403" s="14">
        <f>IF($AB403="","",M403-L403*Z403/100)</f>
        <v/>
      </c>
    </row>
    <row r="404">
      <c r="A404" s="12" t="n"/>
      <c r="B404">
        <f>IF($AB404="","",INDEX('Per Line'!$C$2:$C$4001,$AB404)&amp;"")</f>
        <v/>
      </c>
      <c r="C404">
        <f>IF($AB404="","",INDEX('Per Line'!$D$2:$D$4001,$AB404)&amp;"")</f>
        <v/>
      </c>
      <c r="D404">
        <f>IF($AB404="","",INDEX('Per Line'!$B$2:$B$4001,$AB404)&amp;"")</f>
        <v/>
      </c>
      <c r="E404">
        <f>IF($AB404="","",INDEX('Per Line'!$A$2:$A$4001,$AB404))</f>
        <v/>
      </c>
      <c r="F404" s="11">
        <f>IF($AB404="","",INDEX('Per Line'!$E$2:$E$4001,$AB404))</f>
        <v/>
      </c>
      <c r="G404">
        <f>IF($AB404="","",INDEX('Per Line'!$F$2:$F$4001,$AB404)&amp;"")</f>
        <v/>
      </c>
      <c r="H404">
        <f>IF($AB404="","",INDEX('Per Line'!$H$2:$H$4001,$AB404)&amp;"")</f>
        <v/>
      </c>
      <c r="I404">
        <f>IF($AB404="","",INDEX('Per Line'!$I$2:$I$4001,$AB404)&amp;"")</f>
        <v/>
      </c>
      <c r="J404">
        <f>IF($AB404="","",INDEX('Per Line'!$J$2:$J$4001,$AB404)&amp;"")</f>
        <v/>
      </c>
      <c r="K404">
        <f>IF($AB404="","",INDEX('Per Line'!$K$2:$K$4001,$AB404)&amp;"")</f>
        <v/>
      </c>
      <c r="L404">
        <f>IF($AB404="","",INDEX('Per Line'!$L$2:$L$4001,$AB404))</f>
        <v/>
      </c>
      <c r="M404" s="7">
        <f>IF($AB404="","",IF(AND(ISNUMBER(O404),O404&gt;0,Z404&gt;O404),L404*O404/100+(Z404-O404),L404*Z404/100))</f>
        <v/>
      </c>
      <c r="N404">
        <f>IF($AB404="","",INDEX('Per Line'!$V$2:$V$4001,$AB404)&amp;"")</f>
        <v/>
      </c>
      <c r="O404">
        <f>IF($AB404="","",INDEX('Per Line'!$Z$2:$Z$4001,$AB404))</f>
        <v/>
      </c>
      <c r="P404">
        <f>IF($AB404="","",IF(AND(ISNUMBER(O404),O404&gt;0),Z404&gt;O404,FALSE))</f>
        <v/>
      </c>
      <c r="Q404" s="7">
        <f>IF($AB404="","",SUMIFS('Per Line'!$U$2:$U$4001,'Per Line'!$C$2:$C$4001,$B404,'Per Line'!$AM$2:$AM$4001,1))</f>
        <v/>
      </c>
      <c r="R404">
        <f>IF($AB404="","",Settings!$C$7)</f>
        <v/>
      </c>
      <c r="S404" s="7">
        <f>IF($AB404="","",SUMIFS('Per Line'!$U$2:$U$4001,'Per Line'!$C$2:$C$4001,$B404,'Per Line'!$AL$2:$AL$4001,0,'Per Line'!$AM$2:$AM$4001,0))</f>
        <v/>
      </c>
      <c r="T404" s="7">
        <f>IF($AB404="","",S404*R404)</f>
        <v/>
      </c>
      <c r="U404">
        <f>IF($AB404="","",Settings!$C$6)</f>
        <v/>
      </c>
      <c r="V404" s="7">
        <f>IF($AB404="","",SUMIFS('Per Line'!$U$2:$U$4001,'Per Line'!$C$2:$C$4001,$B404,'Per Line'!$AL$2:$AL$4001,1,'Per Line'!$AM$2:$AM$4001,0))</f>
        <v/>
      </c>
      <c r="W404" s="7">
        <f>IF($AB404="","",V404*U404)</f>
        <v/>
      </c>
      <c r="X404" s="7">
        <f>IF($AB404="","",W404+T404)</f>
        <v/>
      </c>
      <c r="Y404" s="7">
        <f>IF($AB404="","",Z404-X404)</f>
        <v/>
      </c>
      <c r="Z404" s="7">
        <f>IF($AB404="","",S404+V404+Q404)</f>
        <v/>
      </c>
      <c r="AA404" s="7">
        <f>IF($AB404="","",Z404-X404-M404)</f>
        <v/>
      </c>
      <c r="AB404" s="13">
        <f>IF(ROWS($AB$2:$AB404)&lt;=MAX('Per Line'!$AK$2:$AK$4001),MATCH(ROWS($AB$2:$AB404),'Per Line'!$AK$2:$AK$4001,0),"")</f>
        <v/>
      </c>
      <c r="AC404" s="14">
        <f>IF($AB404="","",M404-L404*Z404/100)</f>
        <v/>
      </c>
    </row>
    <row r="405">
      <c r="A405" s="12" t="n"/>
      <c r="B405">
        <f>IF($AB405="","",INDEX('Per Line'!$C$2:$C$4001,$AB405)&amp;"")</f>
        <v/>
      </c>
      <c r="C405">
        <f>IF($AB405="","",INDEX('Per Line'!$D$2:$D$4001,$AB405)&amp;"")</f>
        <v/>
      </c>
      <c r="D405">
        <f>IF($AB405="","",INDEX('Per Line'!$B$2:$B$4001,$AB405)&amp;"")</f>
        <v/>
      </c>
      <c r="E405">
        <f>IF($AB405="","",INDEX('Per Line'!$A$2:$A$4001,$AB405))</f>
        <v/>
      </c>
      <c r="F405" s="11">
        <f>IF($AB405="","",INDEX('Per Line'!$E$2:$E$4001,$AB405))</f>
        <v/>
      </c>
      <c r="G405">
        <f>IF($AB405="","",INDEX('Per Line'!$F$2:$F$4001,$AB405)&amp;"")</f>
        <v/>
      </c>
      <c r="H405">
        <f>IF($AB405="","",INDEX('Per Line'!$H$2:$H$4001,$AB405)&amp;"")</f>
        <v/>
      </c>
      <c r="I405">
        <f>IF($AB405="","",INDEX('Per Line'!$I$2:$I$4001,$AB405)&amp;"")</f>
        <v/>
      </c>
      <c r="J405">
        <f>IF($AB405="","",INDEX('Per Line'!$J$2:$J$4001,$AB405)&amp;"")</f>
        <v/>
      </c>
      <c r="K405">
        <f>IF($AB405="","",INDEX('Per Line'!$K$2:$K$4001,$AB405)&amp;"")</f>
        <v/>
      </c>
      <c r="L405">
        <f>IF($AB405="","",INDEX('Per Line'!$L$2:$L$4001,$AB405))</f>
        <v/>
      </c>
      <c r="M405" s="7">
        <f>IF($AB405="","",IF(AND(ISNUMBER(O405),O405&gt;0,Z405&gt;O405),L405*O405/100+(Z405-O405),L405*Z405/100))</f>
        <v/>
      </c>
      <c r="N405">
        <f>IF($AB405="","",INDEX('Per Line'!$V$2:$V$4001,$AB405)&amp;"")</f>
        <v/>
      </c>
      <c r="O405">
        <f>IF($AB405="","",INDEX('Per Line'!$Z$2:$Z$4001,$AB405))</f>
        <v/>
      </c>
      <c r="P405">
        <f>IF($AB405="","",IF(AND(ISNUMBER(O405),O405&gt;0),Z405&gt;O405,FALSE))</f>
        <v/>
      </c>
      <c r="Q405" s="7">
        <f>IF($AB405="","",SUMIFS('Per Line'!$U$2:$U$4001,'Per Line'!$C$2:$C$4001,$B405,'Per Line'!$AM$2:$AM$4001,1))</f>
        <v/>
      </c>
      <c r="R405">
        <f>IF($AB405="","",Settings!$C$7)</f>
        <v/>
      </c>
      <c r="S405" s="7">
        <f>IF($AB405="","",SUMIFS('Per Line'!$U$2:$U$4001,'Per Line'!$C$2:$C$4001,$B405,'Per Line'!$AL$2:$AL$4001,0,'Per Line'!$AM$2:$AM$4001,0))</f>
        <v/>
      </c>
      <c r="T405" s="7">
        <f>IF($AB405="","",S405*R405)</f>
        <v/>
      </c>
      <c r="U405">
        <f>IF($AB405="","",Settings!$C$6)</f>
        <v/>
      </c>
      <c r="V405" s="7">
        <f>IF($AB405="","",SUMIFS('Per Line'!$U$2:$U$4001,'Per Line'!$C$2:$C$4001,$B405,'Per Line'!$AL$2:$AL$4001,1,'Per Line'!$AM$2:$AM$4001,0))</f>
        <v/>
      </c>
      <c r="W405" s="7">
        <f>IF($AB405="","",V405*U405)</f>
        <v/>
      </c>
      <c r="X405" s="7">
        <f>IF($AB405="","",W405+T405)</f>
        <v/>
      </c>
      <c r="Y405" s="7">
        <f>IF($AB405="","",Z405-X405)</f>
        <v/>
      </c>
      <c r="Z405" s="7">
        <f>IF($AB405="","",S405+V405+Q405)</f>
        <v/>
      </c>
      <c r="AA405" s="7">
        <f>IF($AB405="","",Z405-X405-M405)</f>
        <v/>
      </c>
      <c r="AB405" s="13">
        <f>IF(ROWS($AB$2:$AB405)&lt;=MAX('Per Line'!$AK$2:$AK$4001),MATCH(ROWS($AB$2:$AB405),'Per Line'!$AK$2:$AK$4001,0),"")</f>
        <v/>
      </c>
      <c r="AC405" s="14">
        <f>IF($AB405="","",M405-L405*Z405/100)</f>
        <v/>
      </c>
    </row>
    <row r="406">
      <c r="A406" s="12" t="n"/>
      <c r="B406">
        <f>IF($AB406="","",INDEX('Per Line'!$C$2:$C$4001,$AB406)&amp;"")</f>
        <v/>
      </c>
      <c r="C406">
        <f>IF($AB406="","",INDEX('Per Line'!$D$2:$D$4001,$AB406)&amp;"")</f>
        <v/>
      </c>
      <c r="D406">
        <f>IF($AB406="","",INDEX('Per Line'!$B$2:$B$4001,$AB406)&amp;"")</f>
        <v/>
      </c>
      <c r="E406">
        <f>IF($AB406="","",INDEX('Per Line'!$A$2:$A$4001,$AB406))</f>
        <v/>
      </c>
      <c r="F406" s="11">
        <f>IF($AB406="","",INDEX('Per Line'!$E$2:$E$4001,$AB406))</f>
        <v/>
      </c>
      <c r="G406">
        <f>IF($AB406="","",INDEX('Per Line'!$F$2:$F$4001,$AB406)&amp;"")</f>
        <v/>
      </c>
      <c r="H406">
        <f>IF($AB406="","",INDEX('Per Line'!$H$2:$H$4001,$AB406)&amp;"")</f>
        <v/>
      </c>
      <c r="I406">
        <f>IF($AB406="","",INDEX('Per Line'!$I$2:$I$4001,$AB406)&amp;"")</f>
        <v/>
      </c>
      <c r="J406">
        <f>IF($AB406="","",INDEX('Per Line'!$J$2:$J$4001,$AB406)&amp;"")</f>
        <v/>
      </c>
      <c r="K406">
        <f>IF($AB406="","",INDEX('Per Line'!$K$2:$K$4001,$AB406)&amp;"")</f>
        <v/>
      </c>
      <c r="L406">
        <f>IF($AB406="","",INDEX('Per Line'!$L$2:$L$4001,$AB406))</f>
        <v/>
      </c>
      <c r="M406" s="7">
        <f>IF($AB406="","",IF(AND(ISNUMBER(O406),O406&gt;0,Z406&gt;O406),L406*O406/100+(Z406-O406),L406*Z406/100))</f>
        <v/>
      </c>
      <c r="N406">
        <f>IF($AB406="","",INDEX('Per Line'!$V$2:$V$4001,$AB406)&amp;"")</f>
        <v/>
      </c>
      <c r="O406">
        <f>IF($AB406="","",INDEX('Per Line'!$Z$2:$Z$4001,$AB406))</f>
        <v/>
      </c>
      <c r="P406">
        <f>IF($AB406="","",IF(AND(ISNUMBER(O406),O406&gt;0),Z406&gt;O406,FALSE))</f>
        <v/>
      </c>
      <c r="Q406" s="7">
        <f>IF($AB406="","",SUMIFS('Per Line'!$U$2:$U$4001,'Per Line'!$C$2:$C$4001,$B406,'Per Line'!$AM$2:$AM$4001,1))</f>
        <v/>
      </c>
      <c r="R406">
        <f>IF($AB406="","",Settings!$C$7)</f>
        <v/>
      </c>
      <c r="S406" s="7">
        <f>IF($AB406="","",SUMIFS('Per Line'!$U$2:$U$4001,'Per Line'!$C$2:$C$4001,$B406,'Per Line'!$AL$2:$AL$4001,0,'Per Line'!$AM$2:$AM$4001,0))</f>
        <v/>
      </c>
      <c r="T406" s="7">
        <f>IF($AB406="","",S406*R406)</f>
        <v/>
      </c>
      <c r="U406">
        <f>IF($AB406="","",Settings!$C$6)</f>
        <v/>
      </c>
      <c r="V406" s="7">
        <f>IF($AB406="","",SUMIFS('Per Line'!$U$2:$U$4001,'Per Line'!$C$2:$C$4001,$B406,'Per Line'!$AL$2:$AL$4001,1,'Per Line'!$AM$2:$AM$4001,0))</f>
        <v/>
      </c>
      <c r="W406" s="7">
        <f>IF($AB406="","",V406*U406)</f>
        <v/>
      </c>
      <c r="X406" s="7">
        <f>IF($AB406="","",W406+T406)</f>
        <v/>
      </c>
      <c r="Y406" s="7">
        <f>IF($AB406="","",Z406-X406)</f>
        <v/>
      </c>
      <c r="Z406" s="7">
        <f>IF($AB406="","",S406+V406+Q406)</f>
        <v/>
      </c>
      <c r="AA406" s="7">
        <f>IF($AB406="","",Z406-X406-M406)</f>
        <v/>
      </c>
      <c r="AB406" s="13">
        <f>IF(ROWS($AB$2:$AB406)&lt;=MAX('Per Line'!$AK$2:$AK$4001),MATCH(ROWS($AB$2:$AB406),'Per Line'!$AK$2:$AK$4001,0),"")</f>
        <v/>
      </c>
      <c r="AC406" s="14">
        <f>IF($AB406="","",M406-L406*Z406/100)</f>
        <v/>
      </c>
    </row>
    <row r="407">
      <c r="A407" s="12" t="n"/>
      <c r="B407">
        <f>IF($AB407="","",INDEX('Per Line'!$C$2:$C$4001,$AB407)&amp;"")</f>
        <v/>
      </c>
      <c r="C407">
        <f>IF($AB407="","",INDEX('Per Line'!$D$2:$D$4001,$AB407)&amp;"")</f>
        <v/>
      </c>
      <c r="D407">
        <f>IF($AB407="","",INDEX('Per Line'!$B$2:$B$4001,$AB407)&amp;"")</f>
        <v/>
      </c>
      <c r="E407">
        <f>IF($AB407="","",INDEX('Per Line'!$A$2:$A$4001,$AB407))</f>
        <v/>
      </c>
      <c r="F407" s="11">
        <f>IF($AB407="","",INDEX('Per Line'!$E$2:$E$4001,$AB407))</f>
        <v/>
      </c>
      <c r="G407">
        <f>IF($AB407="","",INDEX('Per Line'!$F$2:$F$4001,$AB407)&amp;"")</f>
        <v/>
      </c>
      <c r="H407">
        <f>IF($AB407="","",INDEX('Per Line'!$H$2:$H$4001,$AB407)&amp;"")</f>
        <v/>
      </c>
      <c r="I407">
        <f>IF($AB407="","",INDEX('Per Line'!$I$2:$I$4001,$AB407)&amp;"")</f>
        <v/>
      </c>
      <c r="J407">
        <f>IF($AB407="","",INDEX('Per Line'!$J$2:$J$4001,$AB407)&amp;"")</f>
        <v/>
      </c>
      <c r="K407">
        <f>IF($AB407="","",INDEX('Per Line'!$K$2:$K$4001,$AB407)&amp;"")</f>
        <v/>
      </c>
      <c r="L407">
        <f>IF($AB407="","",INDEX('Per Line'!$L$2:$L$4001,$AB407))</f>
        <v/>
      </c>
      <c r="M407" s="7">
        <f>IF($AB407="","",IF(AND(ISNUMBER(O407),O407&gt;0,Z407&gt;O407),L407*O407/100+(Z407-O407),L407*Z407/100))</f>
        <v/>
      </c>
      <c r="N407">
        <f>IF($AB407="","",INDEX('Per Line'!$V$2:$V$4001,$AB407)&amp;"")</f>
        <v/>
      </c>
      <c r="O407">
        <f>IF($AB407="","",INDEX('Per Line'!$Z$2:$Z$4001,$AB407))</f>
        <v/>
      </c>
      <c r="P407">
        <f>IF($AB407="","",IF(AND(ISNUMBER(O407),O407&gt;0),Z407&gt;O407,FALSE))</f>
        <v/>
      </c>
      <c r="Q407" s="7">
        <f>IF($AB407="","",SUMIFS('Per Line'!$U$2:$U$4001,'Per Line'!$C$2:$C$4001,$B407,'Per Line'!$AM$2:$AM$4001,1))</f>
        <v/>
      </c>
      <c r="R407">
        <f>IF($AB407="","",Settings!$C$7)</f>
        <v/>
      </c>
      <c r="S407" s="7">
        <f>IF($AB407="","",SUMIFS('Per Line'!$U$2:$U$4001,'Per Line'!$C$2:$C$4001,$B407,'Per Line'!$AL$2:$AL$4001,0,'Per Line'!$AM$2:$AM$4001,0))</f>
        <v/>
      </c>
      <c r="T407" s="7">
        <f>IF($AB407="","",S407*R407)</f>
        <v/>
      </c>
      <c r="U407">
        <f>IF($AB407="","",Settings!$C$6)</f>
        <v/>
      </c>
      <c r="V407" s="7">
        <f>IF($AB407="","",SUMIFS('Per Line'!$U$2:$U$4001,'Per Line'!$C$2:$C$4001,$B407,'Per Line'!$AL$2:$AL$4001,1,'Per Line'!$AM$2:$AM$4001,0))</f>
        <v/>
      </c>
      <c r="W407" s="7">
        <f>IF($AB407="","",V407*U407)</f>
        <v/>
      </c>
      <c r="X407" s="7">
        <f>IF($AB407="","",W407+T407)</f>
        <v/>
      </c>
      <c r="Y407" s="7">
        <f>IF($AB407="","",Z407-X407)</f>
        <v/>
      </c>
      <c r="Z407" s="7">
        <f>IF($AB407="","",S407+V407+Q407)</f>
        <v/>
      </c>
      <c r="AA407" s="7">
        <f>IF($AB407="","",Z407-X407-M407)</f>
        <v/>
      </c>
      <c r="AB407" s="13">
        <f>IF(ROWS($AB$2:$AB407)&lt;=MAX('Per Line'!$AK$2:$AK$4001),MATCH(ROWS($AB$2:$AB407),'Per Line'!$AK$2:$AK$4001,0),"")</f>
        <v/>
      </c>
      <c r="AC407" s="14">
        <f>IF($AB407="","",M407-L407*Z407/100)</f>
        <v/>
      </c>
    </row>
    <row r="408">
      <c r="A408" s="12" t="n"/>
      <c r="B408">
        <f>IF($AB408="","",INDEX('Per Line'!$C$2:$C$4001,$AB408)&amp;"")</f>
        <v/>
      </c>
      <c r="C408">
        <f>IF($AB408="","",INDEX('Per Line'!$D$2:$D$4001,$AB408)&amp;"")</f>
        <v/>
      </c>
      <c r="D408">
        <f>IF($AB408="","",INDEX('Per Line'!$B$2:$B$4001,$AB408)&amp;"")</f>
        <v/>
      </c>
      <c r="E408">
        <f>IF($AB408="","",INDEX('Per Line'!$A$2:$A$4001,$AB408))</f>
        <v/>
      </c>
      <c r="F408" s="11">
        <f>IF($AB408="","",INDEX('Per Line'!$E$2:$E$4001,$AB408))</f>
        <v/>
      </c>
      <c r="G408">
        <f>IF($AB408="","",INDEX('Per Line'!$F$2:$F$4001,$AB408)&amp;"")</f>
        <v/>
      </c>
      <c r="H408">
        <f>IF($AB408="","",INDEX('Per Line'!$H$2:$H$4001,$AB408)&amp;"")</f>
        <v/>
      </c>
      <c r="I408">
        <f>IF($AB408="","",INDEX('Per Line'!$I$2:$I$4001,$AB408)&amp;"")</f>
        <v/>
      </c>
      <c r="J408">
        <f>IF($AB408="","",INDEX('Per Line'!$J$2:$J$4001,$AB408)&amp;"")</f>
        <v/>
      </c>
      <c r="K408">
        <f>IF($AB408="","",INDEX('Per Line'!$K$2:$K$4001,$AB408)&amp;"")</f>
        <v/>
      </c>
      <c r="L408">
        <f>IF($AB408="","",INDEX('Per Line'!$L$2:$L$4001,$AB408))</f>
        <v/>
      </c>
      <c r="M408" s="7">
        <f>IF($AB408="","",IF(AND(ISNUMBER(O408),O408&gt;0,Z408&gt;O408),L408*O408/100+(Z408-O408),L408*Z408/100))</f>
        <v/>
      </c>
      <c r="N408">
        <f>IF($AB408="","",INDEX('Per Line'!$V$2:$V$4001,$AB408)&amp;"")</f>
        <v/>
      </c>
      <c r="O408">
        <f>IF($AB408="","",INDEX('Per Line'!$Z$2:$Z$4001,$AB408))</f>
        <v/>
      </c>
      <c r="P408">
        <f>IF($AB408="","",IF(AND(ISNUMBER(O408),O408&gt;0),Z408&gt;O408,FALSE))</f>
        <v/>
      </c>
      <c r="Q408" s="7">
        <f>IF($AB408="","",SUMIFS('Per Line'!$U$2:$U$4001,'Per Line'!$C$2:$C$4001,$B408,'Per Line'!$AM$2:$AM$4001,1))</f>
        <v/>
      </c>
      <c r="R408">
        <f>IF($AB408="","",Settings!$C$7)</f>
        <v/>
      </c>
      <c r="S408" s="7">
        <f>IF($AB408="","",SUMIFS('Per Line'!$U$2:$U$4001,'Per Line'!$C$2:$C$4001,$B408,'Per Line'!$AL$2:$AL$4001,0,'Per Line'!$AM$2:$AM$4001,0))</f>
        <v/>
      </c>
      <c r="T408" s="7">
        <f>IF($AB408="","",S408*R408)</f>
        <v/>
      </c>
      <c r="U408">
        <f>IF($AB408="","",Settings!$C$6)</f>
        <v/>
      </c>
      <c r="V408" s="7">
        <f>IF($AB408="","",SUMIFS('Per Line'!$U$2:$U$4001,'Per Line'!$C$2:$C$4001,$B408,'Per Line'!$AL$2:$AL$4001,1,'Per Line'!$AM$2:$AM$4001,0))</f>
        <v/>
      </c>
      <c r="W408" s="7">
        <f>IF($AB408="","",V408*U408)</f>
        <v/>
      </c>
      <c r="X408" s="7">
        <f>IF($AB408="","",W408+T408)</f>
        <v/>
      </c>
      <c r="Y408" s="7">
        <f>IF($AB408="","",Z408-X408)</f>
        <v/>
      </c>
      <c r="Z408" s="7">
        <f>IF($AB408="","",S408+V408+Q408)</f>
        <v/>
      </c>
      <c r="AA408" s="7">
        <f>IF($AB408="","",Z408-X408-M408)</f>
        <v/>
      </c>
      <c r="AB408" s="13">
        <f>IF(ROWS($AB$2:$AB408)&lt;=MAX('Per Line'!$AK$2:$AK$4001),MATCH(ROWS($AB$2:$AB408),'Per Line'!$AK$2:$AK$4001,0),"")</f>
        <v/>
      </c>
      <c r="AC408" s="14">
        <f>IF($AB408="","",M408-L408*Z408/100)</f>
        <v/>
      </c>
    </row>
    <row r="409">
      <c r="A409" s="12" t="n"/>
      <c r="B409">
        <f>IF($AB409="","",INDEX('Per Line'!$C$2:$C$4001,$AB409)&amp;"")</f>
        <v/>
      </c>
      <c r="C409">
        <f>IF($AB409="","",INDEX('Per Line'!$D$2:$D$4001,$AB409)&amp;"")</f>
        <v/>
      </c>
      <c r="D409">
        <f>IF($AB409="","",INDEX('Per Line'!$B$2:$B$4001,$AB409)&amp;"")</f>
        <v/>
      </c>
      <c r="E409">
        <f>IF($AB409="","",INDEX('Per Line'!$A$2:$A$4001,$AB409))</f>
        <v/>
      </c>
      <c r="F409" s="11">
        <f>IF($AB409="","",INDEX('Per Line'!$E$2:$E$4001,$AB409))</f>
        <v/>
      </c>
      <c r="G409">
        <f>IF($AB409="","",INDEX('Per Line'!$F$2:$F$4001,$AB409)&amp;"")</f>
        <v/>
      </c>
      <c r="H409">
        <f>IF($AB409="","",INDEX('Per Line'!$H$2:$H$4001,$AB409)&amp;"")</f>
        <v/>
      </c>
      <c r="I409">
        <f>IF($AB409="","",INDEX('Per Line'!$I$2:$I$4001,$AB409)&amp;"")</f>
        <v/>
      </c>
      <c r="J409">
        <f>IF($AB409="","",INDEX('Per Line'!$J$2:$J$4001,$AB409)&amp;"")</f>
        <v/>
      </c>
      <c r="K409">
        <f>IF($AB409="","",INDEX('Per Line'!$K$2:$K$4001,$AB409)&amp;"")</f>
        <v/>
      </c>
      <c r="L409">
        <f>IF($AB409="","",INDEX('Per Line'!$L$2:$L$4001,$AB409))</f>
        <v/>
      </c>
      <c r="M409" s="7">
        <f>IF($AB409="","",IF(AND(ISNUMBER(O409),O409&gt;0,Z409&gt;O409),L409*O409/100+(Z409-O409),L409*Z409/100))</f>
        <v/>
      </c>
      <c r="N409">
        <f>IF($AB409="","",INDEX('Per Line'!$V$2:$V$4001,$AB409)&amp;"")</f>
        <v/>
      </c>
      <c r="O409">
        <f>IF($AB409="","",INDEX('Per Line'!$Z$2:$Z$4001,$AB409))</f>
        <v/>
      </c>
      <c r="P409">
        <f>IF($AB409="","",IF(AND(ISNUMBER(O409),O409&gt;0),Z409&gt;O409,FALSE))</f>
        <v/>
      </c>
      <c r="Q409" s="7">
        <f>IF($AB409="","",SUMIFS('Per Line'!$U$2:$U$4001,'Per Line'!$C$2:$C$4001,$B409,'Per Line'!$AM$2:$AM$4001,1))</f>
        <v/>
      </c>
      <c r="R409">
        <f>IF($AB409="","",Settings!$C$7)</f>
        <v/>
      </c>
      <c r="S409" s="7">
        <f>IF($AB409="","",SUMIFS('Per Line'!$U$2:$U$4001,'Per Line'!$C$2:$C$4001,$B409,'Per Line'!$AL$2:$AL$4001,0,'Per Line'!$AM$2:$AM$4001,0))</f>
        <v/>
      </c>
      <c r="T409" s="7">
        <f>IF($AB409="","",S409*R409)</f>
        <v/>
      </c>
      <c r="U409">
        <f>IF($AB409="","",Settings!$C$6)</f>
        <v/>
      </c>
      <c r="V409" s="7">
        <f>IF($AB409="","",SUMIFS('Per Line'!$U$2:$U$4001,'Per Line'!$C$2:$C$4001,$B409,'Per Line'!$AL$2:$AL$4001,1,'Per Line'!$AM$2:$AM$4001,0))</f>
        <v/>
      </c>
      <c r="W409" s="7">
        <f>IF($AB409="","",V409*U409)</f>
        <v/>
      </c>
      <c r="X409" s="7">
        <f>IF($AB409="","",W409+T409)</f>
        <v/>
      </c>
      <c r="Y409" s="7">
        <f>IF($AB409="","",Z409-X409)</f>
        <v/>
      </c>
      <c r="Z409" s="7">
        <f>IF($AB409="","",S409+V409+Q409)</f>
        <v/>
      </c>
      <c r="AA409" s="7">
        <f>IF($AB409="","",Z409-X409-M409)</f>
        <v/>
      </c>
      <c r="AB409" s="13">
        <f>IF(ROWS($AB$2:$AB409)&lt;=MAX('Per Line'!$AK$2:$AK$4001),MATCH(ROWS($AB$2:$AB409),'Per Line'!$AK$2:$AK$4001,0),"")</f>
        <v/>
      </c>
      <c r="AC409" s="14">
        <f>IF($AB409="","",M409-L409*Z409/100)</f>
        <v/>
      </c>
    </row>
    <row r="410">
      <c r="A410" s="12" t="n"/>
      <c r="B410">
        <f>IF($AB410="","",INDEX('Per Line'!$C$2:$C$4001,$AB410)&amp;"")</f>
        <v/>
      </c>
      <c r="C410">
        <f>IF($AB410="","",INDEX('Per Line'!$D$2:$D$4001,$AB410)&amp;"")</f>
        <v/>
      </c>
      <c r="D410">
        <f>IF($AB410="","",INDEX('Per Line'!$B$2:$B$4001,$AB410)&amp;"")</f>
        <v/>
      </c>
      <c r="E410">
        <f>IF($AB410="","",INDEX('Per Line'!$A$2:$A$4001,$AB410))</f>
        <v/>
      </c>
      <c r="F410" s="11">
        <f>IF($AB410="","",INDEX('Per Line'!$E$2:$E$4001,$AB410))</f>
        <v/>
      </c>
      <c r="G410">
        <f>IF($AB410="","",INDEX('Per Line'!$F$2:$F$4001,$AB410)&amp;"")</f>
        <v/>
      </c>
      <c r="H410">
        <f>IF($AB410="","",INDEX('Per Line'!$H$2:$H$4001,$AB410)&amp;"")</f>
        <v/>
      </c>
      <c r="I410">
        <f>IF($AB410="","",INDEX('Per Line'!$I$2:$I$4001,$AB410)&amp;"")</f>
        <v/>
      </c>
      <c r="J410">
        <f>IF($AB410="","",INDEX('Per Line'!$J$2:$J$4001,$AB410)&amp;"")</f>
        <v/>
      </c>
      <c r="K410">
        <f>IF($AB410="","",INDEX('Per Line'!$K$2:$K$4001,$AB410)&amp;"")</f>
        <v/>
      </c>
      <c r="L410">
        <f>IF($AB410="","",INDEX('Per Line'!$L$2:$L$4001,$AB410))</f>
        <v/>
      </c>
      <c r="M410" s="7">
        <f>IF($AB410="","",IF(AND(ISNUMBER(O410),O410&gt;0,Z410&gt;O410),L410*O410/100+(Z410-O410),L410*Z410/100))</f>
        <v/>
      </c>
      <c r="N410">
        <f>IF($AB410="","",INDEX('Per Line'!$V$2:$V$4001,$AB410)&amp;"")</f>
        <v/>
      </c>
      <c r="O410">
        <f>IF($AB410="","",INDEX('Per Line'!$Z$2:$Z$4001,$AB410))</f>
        <v/>
      </c>
      <c r="P410">
        <f>IF($AB410="","",IF(AND(ISNUMBER(O410),O410&gt;0),Z410&gt;O410,FALSE))</f>
        <v/>
      </c>
      <c r="Q410" s="7">
        <f>IF($AB410="","",SUMIFS('Per Line'!$U$2:$U$4001,'Per Line'!$C$2:$C$4001,$B410,'Per Line'!$AM$2:$AM$4001,1))</f>
        <v/>
      </c>
      <c r="R410">
        <f>IF($AB410="","",Settings!$C$7)</f>
        <v/>
      </c>
      <c r="S410" s="7">
        <f>IF($AB410="","",SUMIFS('Per Line'!$U$2:$U$4001,'Per Line'!$C$2:$C$4001,$B410,'Per Line'!$AL$2:$AL$4001,0,'Per Line'!$AM$2:$AM$4001,0))</f>
        <v/>
      </c>
      <c r="T410" s="7">
        <f>IF($AB410="","",S410*R410)</f>
        <v/>
      </c>
      <c r="U410">
        <f>IF($AB410="","",Settings!$C$6)</f>
        <v/>
      </c>
      <c r="V410" s="7">
        <f>IF($AB410="","",SUMIFS('Per Line'!$U$2:$U$4001,'Per Line'!$C$2:$C$4001,$B410,'Per Line'!$AL$2:$AL$4001,1,'Per Line'!$AM$2:$AM$4001,0))</f>
        <v/>
      </c>
      <c r="W410" s="7">
        <f>IF($AB410="","",V410*U410)</f>
        <v/>
      </c>
      <c r="X410" s="7">
        <f>IF($AB410="","",W410+T410)</f>
        <v/>
      </c>
      <c r="Y410" s="7">
        <f>IF($AB410="","",Z410-X410)</f>
        <v/>
      </c>
      <c r="Z410" s="7">
        <f>IF($AB410="","",S410+V410+Q410)</f>
        <v/>
      </c>
      <c r="AA410" s="7">
        <f>IF($AB410="","",Z410-X410-M410)</f>
        <v/>
      </c>
      <c r="AB410" s="13">
        <f>IF(ROWS($AB$2:$AB410)&lt;=MAX('Per Line'!$AK$2:$AK$4001),MATCH(ROWS($AB$2:$AB410),'Per Line'!$AK$2:$AK$4001,0),"")</f>
        <v/>
      </c>
      <c r="AC410" s="14">
        <f>IF($AB410="","",M410-L410*Z410/100)</f>
        <v/>
      </c>
    </row>
    <row r="411">
      <c r="A411" s="12" t="n"/>
      <c r="B411">
        <f>IF($AB411="","",INDEX('Per Line'!$C$2:$C$4001,$AB411)&amp;"")</f>
        <v/>
      </c>
      <c r="C411">
        <f>IF($AB411="","",INDEX('Per Line'!$D$2:$D$4001,$AB411)&amp;"")</f>
        <v/>
      </c>
      <c r="D411">
        <f>IF($AB411="","",INDEX('Per Line'!$B$2:$B$4001,$AB411)&amp;"")</f>
        <v/>
      </c>
      <c r="E411">
        <f>IF($AB411="","",INDEX('Per Line'!$A$2:$A$4001,$AB411))</f>
        <v/>
      </c>
      <c r="F411" s="11">
        <f>IF($AB411="","",INDEX('Per Line'!$E$2:$E$4001,$AB411))</f>
        <v/>
      </c>
      <c r="G411">
        <f>IF($AB411="","",INDEX('Per Line'!$F$2:$F$4001,$AB411)&amp;"")</f>
        <v/>
      </c>
      <c r="H411">
        <f>IF($AB411="","",INDEX('Per Line'!$H$2:$H$4001,$AB411)&amp;"")</f>
        <v/>
      </c>
      <c r="I411">
        <f>IF($AB411="","",INDEX('Per Line'!$I$2:$I$4001,$AB411)&amp;"")</f>
        <v/>
      </c>
      <c r="J411">
        <f>IF($AB411="","",INDEX('Per Line'!$J$2:$J$4001,$AB411)&amp;"")</f>
        <v/>
      </c>
      <c r="K411">
        <f>IF($AB411="","",INDEX('Per Line'!$K$2:$K$4001,$AB411)&amp;"")</f>
        <v/>
      </c>
      <c r="L411">
        <f>IF($AB411="","",INDEX('Per Line'!$L$2:$L$4001,$AB411))</f>
        <v/>
      </c>
      <c r="M411" s="7">
        <f>IF($AB411="","",IF(AND(ISNUMBER(O411),O411&gt;0,Z411&gt;O411),L411*O411/100+(Z411-O411),L411*Z411/100))</f>
        <v/>
      </c>
      <c r="N411">
        <f>IF($AB411="","",INDEX('Per Line'!$V$2:$V$4001,$AB411)&amp;"")</f>
        <v/>
      </c>
      <c r="O411">
        <f>IF($AB411="","",INDEX('Per Line'!$Z$2:$Z$4001,$AB411))</f>
        <v/>
      </c>
      <c r="P411">
        <f>IF($AB411="","",IF(AND(ISNUMBER(O411),O411&gt;0),Z411&gt;O411,FALSE))</f>
        <v/>
      </c>
      <c r="Q411" s="7">
        <f>IF($AB411="","",SUMIFS('Per Line'!$U$2:$U$4001,'Per Line'!$C$2:$C$4001,$B411,'Per Line'!$AM$2:$AM$4001,1))</f>
        <v/>
      </c>
      <c r="R411">
        <f>IF($AB411="","",Settings!$C$7)</f>
        <v/>
      </c>
      <c r="S411" s="7">
        <f>IF($AB411="","",SUMIFS('Per Line'!$U$2:$U$4001,'Per Line'!$C$2:$C$4001,$B411,'Per Line'!$AL$2:$AL$4001,0,'Per Line'!$AM$2:$AM$4001,0))</f>
        <v/>
      </c>
      <c r="T411" s="7">
        <f>IF($AB411="","",S411*R411)</f>
        <v/>
      </c>
      <c r="U411">
        <f>IF($AB411="","",Settings!$C$6)</f>
        <v/>
      </c>
      <c r="V411" s="7">
        <f>IF($AB411="","",SUMIFS('Per Line'!$U$2:$U$4001,'Per Line'!$C$2:$C$4001,$B411,'Per Line'!$AL$2:$AL$4001,1,'Per Line'!$AM$2:$AM$4001,0))</f>
        <v/>
      </c>
      <c r="W411" s="7">
        <f>IF($AB411="","",V411*U411)</f>
        <v/>
      </c>
      <c r="X411" s="7">
        <f>IF($AB411="","",W411+T411)</f>
        <v/>
      </c>
      <c r="Y411" s="7">
        <f>IF($AB411="","",Z411-X411)</f>
        <v/>
      </c>
      <c r="Z411" s="7">
        <f>IF($AB411="","",S411+V411+Q411)</f>
        <v/>
      </c>
      <c r="AA411" s="7">
        <f>IF($AB411="","",Z411-X411-M411)</f>
        <v/>
      </c>
      <c r="AB411" s="13">
        <f>IF(ROWS($AB$2:$AB411)&lt;=MAX('Per Line'!$AK$2:$AK$4001),MATCH(ROWS($AB$2:$AB411),'Per Line'!$AK$2:$AK$4001,0),"")</f>
        <v/>
      </c>
      <c r="AC411" s="14">
        <f>IF($AB411="","",M411-L411*Z411/100)</f>
        <v/>
      </c>
    </row>
    <row r="412">
      <c r="A412" s="12" t="n"/>
      <c r="B412">
        <f>IF($AB412="","",INDEX('Per Line'!$C$2:$C$4001,$AB412)&amp;"")</f>
        <v/>
      </c>
      <c r="C412">
        <f>IF($AB412="","",INDEX('Per Line'!$D$2:$D$4001,$AB412)&amp;"")</f>
        <v/>
      </c>
      <c r="D412">
        <f>IF($AB412="","",INDEX('Per Line'!$B$2:$B$4001,$AB412)&amp;"")</f>
        <v/>
      </c>
      <c r="E412">
        <f>IF($AB412="","",INDEX('Per Line'!$A$2:$A$4001,$AB412))</f>
        <v/>
      </c>
      <c r="F412" s="11">
        <f>IF($AB412="","",INDEX('Per Line'!$E$2:$E$4001,$AB412))</f>
        <v/>
      </c>
      <c r="G412">
        <f>IF($AB412="","",INDEX('Per Line'!$F$2:$F$4001,$AB412)&amp;"")</f>
        <v/>
      </c>
      <c r="H412">
        <f>IF($AB412="","",INDEX('Per Line'!$H$2:$H$4001,$AB412)&amp;"")</f>
        <v/>
      </c>
      <c r="I412">
        <f>IF($AB412="","",INDEX('Per Line'!$I$2:$I$4001,$AB412)&amp;"")</f>
        <v/>
      </c>
      <c r="J412">
        <f>IF($AB412="","",INDEX('Per Line'!$J$2:$J$4001,$AB412)&amp;"")</f>
        <v/>
      </c>
      <c r="K412">
        <f>IF($AB412="","",INDEX('Per Line'!$K$2:$K$4001,$AB412)&amp;"")</f>
        <v/>
      </c>
      <c r="L412">
        <f>IF($AB412="","",INDEX('Per Line'!$L$2:$L$4001,$AB412))</f>
        <v/>
      </c>
      <c r="M412" s="7">
        <f>IF($AB412="","",IF(AND(ISNUMBER(O412),O412&gt;0,Z412&gt;O412),L412*O412/100+(Z412-O412),L412*Z412/100))</f>
        <v/>
      </c>
      <c r="N412">
        <f>IF($AB412="","",INDEX('Per Line'!$V$2:$V$4001,$AB412)&amp;"")</f>
        <v/>
      </c>
      <c r="O412">
        <f>IF($AB412="","",INDEX('Per Line'!$Z$2:$Z$4001,$AB412))</f>
        <v/>
      </c>
      <c r="P412">
        <f>IF($AB412="","",IF(AND(ISNUMBER(O412),O412&gt;0),Z412&gt;O412,FALSE))</f>
        <v/>
      </c>
      <c r="Q412" s="7">
        <f>IF($AB412="","",SUMIFS('Per Line'!$U$2:$U$4001,'Per Line'!$C$2:$C$4001,$B412,'Per Line'!$AM$2:$AM$4001,1))</f>
        <v/>
      </c>
      <c r="R412">
        <f>IF($AB412="","",Settings!$C$7)</f>
        <v/>
      </c>
      <c r="S412" s="7">
        <f>IF($AB412="","",SUMIFS('Per Line'!$U$2:$U$4001,'Per Line'!$C$2:$C$4001,$B412,'Per Line'!$AL$2:$AL$4001,0,'Per Line'!$AM$2:$AM$4001,0))</f>
        <v/>
      </c>
      <c r="T412" s="7">
        <f>IF($AB412="","",S412*R412)</f>
        <v/>
      </c>
      <c r="U412">
        <f>IF($AB412="","",Settings!$C$6)</f>
        <v/>
      </c>
      <c r="V412" s="7">
        <f>IF($AB412="","",SUMIFS('Per Line'!$U$2:$U$4001,'Per Line'!$C$2:$C$4001,$B412,'Per Line'!$AL$2:$AL$4001,1,'Per Line'!$AM$2:$AM$4001,0))</f>
        <v/>
      </c>
      <c r="W412" s="7">
        <f>IF($AB412="","",V412*U412)</f>
        <v/>
      </c>
      <c r="X412" s="7">
        <f>IF($AB412="","",W412+T412)</f>
        <v/>
      </c>
      <c r="Y412" s="7">
        <f>IF($AB412="","",Z412-X412)</f>
        <v/>
      </c>
      <c r="Z412" s="7">
        <f>IF($AB412="","",S412+V412+Q412)</f>
        <v/>
      </c>
      <c r="AA412" s="7">
        <f>IF($AB412="","",Z412-X412-M412)</f>
        <v/>
      </c>
      <c r="AB412" s="13">
        <f>IF(ROWS($AB$2:$AB412)&lt;=MAX('Per Line'!$AK$2:$AK$4001),MATCH(ROWS($AB$2:$AB412),'Per Line'!$AK$2:$AK$4001,0),"")</f>
        <v/>
      </c>
      <c r="AC412" s="14">
        <f>IF($AB412="","",M412-L412*Z412/100)</f>
        <v/>
      </c>
    </row>
    <row r="413">
      <c r="A413" s="12" t="n"/>
      <c r="B413">
        <f>IF($AB413="","",INDEX('Per Line'!$C$2:$C$4001,$AB413)&amp;"")</f>
        <v/>
      </c>
      <c r="C413">
        <f>IF($AB413="","",INDEX('Per Line'!$D$2:$D$4001,$AB413)&amp;"")</f>
        <v/>
      </c>
      <c r="D413">
        <f>IF($AB413="","",INDEX('Per Line'!$B$2:$B$4001,$AB413)&amp;"")</f>
        <v/>
      </c>
      <c r="E413">
        <f>IF($AB413="","",INDEX('Per Line'!$A$2:$A$4001,$AB413))</f>
        <v/>
      </c>
      <c r="F413" s="11">
        <f>IF($AB413="","",INDEX('Per Line'!$E$2:$E$4001,$AB413))</f>
        <v/>
      </c>
      <c r="G413">
        <f>IF($AB413="","",INDEX('Per Line'!$F$2:$F$4001,$AB413)&amp;"")</f>
        <v/>
      </c>
      <c r="H413">
        <f>IF($AB413="","",INDEX('Per Line'!$H$2:$H$4001,$AB413)&amp;"")</f>
        <v/>
      </c>
      <c r="I413">
        <f>IF($AB413="","",INDEX('Per Line'!$I$2:$I$4001,$AB413)&amp;"")</f>
        <v/>
      </c>
      <c r="J413">
        <f>IF($AB413="","",INDEX('Per Line'!$J$2:$J$4001,$AB413)&amp;"")</f>
        <v/>
      </c>
      <c r="K413">
        <f>IF($AB413="","",INDEX('Per Line'!$K$2:$K$4001,$AB413)&amp;"")</f>
        <v/>
      </c>
      <c r="L413">
        <f>IF($AB413="","",INDEX('Per Line'!$L$2:$L$4001,$AB413))</f>
        <v/>
      </c>
      <c r="M413" s="7">
        <f>IF($AB413="","",IF(AND(ISNUMBER(O413),O413&gt;0,Z413&gt;O413),L413*O413/100+(Z413-O413),L413*Z413/100))</f>
        <v/>
      </c>
      <c r="N413">
        <f>IF($AB413="","",INDEX('Per Line'!$V$2:$V$4001,$AB413)&amp;"")</f>
        <v/>
      </c>
      <c r="O413">
        <f>IF($AB413="","",INDEX('Per Line'!$Z$2:$Z$4001,$AB413))</f>
        <v/>
      </c>
      <c r="P413">
        <f>IF($AB413="","",IF(AND(ISNUMBER(O413),O413&gt;0),Z413&gt;O413,FALSE))</f>
        <v/>
      </c>
      <c r="Q413" s="7">
        <f>IF($AB413="","",SUMIFS('Per Line'!$U$2:$U$4001,'Per Line'!$C$2:$C$4001,$B413,'Per Line'!$AM$2:$AM$4001,1))</f>
        <v/>
      </c>
      <c r="R413">
        <f>IF($AB413="","",Settings!$C$7)</f>
        <v/>
      </c>
      <c r="S413" s="7">
        <f>IF($AB413="","",SUMIFS('Per Line'!$U$2:$U$4001,'Per Line'!$C$2:$C$4001,$B413,'Per Line'!$AL$2:$AL$4001,0,'Per Line'!$AM$2:$AM$4001,0))</f>
        <v/>
      </c>
      <c r="T413" s="7">
        <f>IF($AB413="","",S413*R413)</f>
        <v/>
      </c>
      <c r="U413">
        <f>IF($AB413="","",Settings!$C$6)</f>
        <v/>
      </c>
      <c r="V413" s="7">
        <f>IF($AB413="","",SUMIFS('Per Line'!$U$2:$U$4001,'Per Line'!$C$2:$C$4001,$B413,'Per Line'!$AL$2:$AL$4001,1,'Per Line'!$AM$2:$AM$4001,0))</f>
        <v/>
      </c>
      <c r="W413" s="7">
        <f>IF($AB413="","",V413*U413)</f>
        <v/>
      </c>
      <c r="X413" s="7">
        <f>IF($AB413="","",W413+T413)</f>
        <v/>
      </c>
      <c r="Y413" s="7">
        <f>IF($AB413="","",Z413-X413)</f>
        <v/>
      </c>
      <c r="Z413" s="7">
        <f>IF($AB413="","",S413+V413+Q413)</f>
        <v/>
      </c>
      <c r="AA413" s="7">
        <f>IF($AB413="","",Z413-X413-M413)</f>
        <v/>
      </c>
      <c r="AB413" s="13">
        <f>IF(ROWS($AB$2:$AB413)&lt;=MAX('Per Line'!$AK$2:$AK$4001),MATCH(ROWS($AB$2:$AB413),'Per Line'!$AK$2:$AK$4001,0),"")</f>
        <v/>
      </c>
      <c r="AC413" s="14">
        <f>IF($AB413="","",M413-L413*Z413/100)</f>
        <v/>
      </c>
    </row>
    <row r="414">
      <c r="A414" s="12" t="n"/>
      <c r="B414">
        <f>IF($AB414="","",INDEX('Per Line'!$C$2:$C$4001,$AB414)&amp;"")</f>
        <v/>
      </c>
      <c r="C414">
        <f>IF($AB414="","",INDEX('Per Line'!$D$2:$D$4001,$AB414)&amp;"")</f>
        <v/>
      </c>
      <c r="D414">
        <f>IF($AB414="","",INDEX('Per Line'!$B$2:$B$4001,$AB414)&amp;"")</f>
        <v/>
      </c>
      <c r="E414">
        <f>IF($AB414="","",INDEX('Per Line'!$A$2:$A$4001,$AB414))</f>
        <v/>
      </c>
      <c r="F414" s="11">
        <f>IF($AB414="","",INDEX('Per Line'!$E$2:$E$4001,$AB414))</f>
        <v/>
      </c>
      <c r="G414">
        <f>IF($AB414="","",INDEX('Per Line'!$F$2:$F$4001,$AB414)&amp;"")</f>
        <v/>
      </c>
      <c r="H414">
        <f>IF($AB414="","",INDEX('Per Line'!$H$2:$H$4001,$AB414)&amp;"")</f>
        <v/>
      </c>
      <c r="I414">
        <f>IF($AB414="","",INDEX('Per Line'!$I$2:$I$4001,$AB414)&amp;"")</f>
        <v/>
      </c>
      <c r="J414">
        <f>IF($AB414="","",INDEX('Per Line'!$J$2:$J$4001,$AB414)&amp;"")</f>
        <v/>
      </c>
      <c r="K414">
        <f>IF($AB414="","",INDEX('Per Line'!$K$2:$K$4001,$AB414)&amp;"")</f>
        <v/>
      </c>
      <c r="L414">
        <f>IF($AB414="","",INDEX('Per Line'!$L$2:$L$4001,$AB414))</f>
        <v/>
      </c>
      <c r="M414" s="7">
        <f>IF($AB414="","",IF(AND(ISNUMBER(O414),O414&gt;0,Z414&gt;O414),L414*O414/100+(Z414-O414),L414*Z414/100))</f>
        <v/>
      </c>
      <c r="N414">
        <f>IF($AB414="","",INDEX('Per Line'!$V$2:$V$4001,$AB414)&amp;"")</f>
        <v/>
      </c>
      <c r="O414">
        <f>IF($AB414="","",INDEX('Per Line'!$Z$2:$Z$4001,$AB414))</f>
        <v/>
      </c>
      <c r="P414">
        <f>IF($AB414="","",IF(AND(ISNUMBER(O414),O414&gt;0),Z414&gt;O414,FALSE))</f>
        <v/>
      </c>
      <c r="Q414" s="7">
        <f>IF($AB414="","",SUMIFS('Per Line'!$U$2:$U$4001,'Per Line'!$C$2:$C$4001,$B414,'Per Line'!$AM$2:$AM$4001,1))</f>
        <v/>
      </c>
      <c r="R414">
        <f>IF($AB414="","",Settings!$C$7)</f>
        <v/>
      </c>
      <c r="S414" s="7">
        <f>IF($AB414="","",SUMIFS('Per Line'!$U$2:$U$4001,'Per Line'!$C$2:$C$4001,$B414,'Per Line'!$AL$2:$AL$4001,0,'Per Line'!$AM$2:$AM$4001,0))</f>
        <v/>
      </c>
      <c r="T414" s="7">
        <f>IF($AB414="","",S414*R414)</f>
        <v/>
      </c>
      <c r="U414">
        <f>IF($AB414="","",Settings!$C$6)</f>
        <v/>
      </c>
      <c r="V414" s="7">
        <f>IF($AB414="","",SUMIFS('Per Line'!$U$2:$U$4001,'Per Line'!$C$2:$C$4001,$B414,'Per Line'!$AL$2:$AL$4001,1,'Per Line'!$AM$2:$AM$4001,0))</f>
        <v/>
      </c>
      <c r="W414" s="7">
        <f>IF($AB414="","",V414*U414)</f>
        <v/>
      </c>
      <c r="X414" s="7">
        <f>IF($AB414="","",W414+T414)</f>
        <v/>
      </c>
      <c r="Y414" s="7">
        <f>IF($AB414="","",Z414-X414)</f>
        <v/>
      </c>
      <c r="Z414" s="7">
        <f>IF($AB414="","",S414+V414+Q414)</f>
        <v/>
      </c>
      <c r="AA414" s="7">
        <f>IF($AB414="","",Z414-X414-M414)</f>
        <v/>
      </c>
      <c r="AB414" s="13">
        <f>IF(ROWS($AB$2:$AB414)&lt;=MAX('Per Line'!$AK$2:$AK$4001),MATCH(ROWS($AB$2:$AB414),'Per Line'!$AK$2:$AK$4001,0),"")</f>
        <v/>
      </c>
      <c r="AC414" s="14">
        <f>IF($AB414="","",M414-L414*Z414/100)</f>
        <v/>
      </c>
    </row>
    <row r="415">
      <c r="A415" s="12" t="n"/>
      <c r="B415">
        <f>IF($AB415="","",INDEX('Per Line'!$C$2:$C$4001,$AB415)&amp;"")</f>
        <v/>
      </c>
      <c r="C415">
        <f>IF($AB415="","",INDEX('Per Line'!$D$2:$D$4001,$AB415)&amp;"")</f>
        <v/>
      </c>
      <c r="D415">
        <f>IF($AB415="","",INDEX('Per Line'!$B$2:$B$4001,$AB415)&amp;"")</f>
        <v/>
      </c>
      <c r="E415">
        <f>IF($AB415="","",INDEX('Per Line'!$A$2:$A$4001,$AB415))</f>
        <v/>
      </c>
      <c r="F415" s="11">
        <f>IF($AB415="","",INDEX('Per Line'!$E$2:$E$4001,$AB415))</f>
        <v/>
      </c>
      <c r="G415">
        <f>IF($AB415="","",INDEX('Per Line'!$F$2:$F$4001,$AB415)&amp;"")</f>
        <v/>
      </c>
      <c r="H415">
        <f>IF($AB415="","",INDEX('Per Line'!$H$2:$H$4001,$AB415)&amp;"")</f>
        <v/>
      </c>
      <c r="I415">
        <f>IF($AB415="","",INDEX('Per Line'!$I$2:$I$4001,$AB415)&amp;"")</f>
        <v/>
      </c>
      <c r="J415">
        <f>IF($AB415="","",INDEX('Per Line'!$J$2:$J$4001,$AB415)&amp;"")</f>
        <v/>
      </c>
      <c r="K415">
        <f>IF($AB415="","",INDEX('Per Line'!$K$2:$K$4001,$AB415)&amp;"")</f>
        <v/>
      </c>
      <c r="L415">
        <f>IF($AB415="","",INDEX('Per Line'!$L$2:$L$4001,$AB415))</f>
        <v/>
      </c>
      <c r="M415" s="7">
        <f>IF($AB415="","",IF(AND(ISNUMBER(O415),O415&gt;0,Z415&gt;O415),L415*O415/100+(Z415-O415),L415*Z415/100))</f>
        <v/>
      </c>
      <c r="N415">
        <f>IF($AB415="","",INDEX('Per Line'!$V$2:$V$4001,$AB415)&amp;"")</f>
        <v/>
      </c>
      <c r="O415">
        <f>IF($AB415="","",INDEX('Per Line'!$Z$2:$Z$4001,$AB415))</f>
        <v/>
      </c>
      <c r="P415">
        <f>IF($AB415="","",IF(AND(ISNUMBER(O415),O415&gt;0),Z415&gt;O415,FALSE))</f>
        <v/>
      </c>
      <c r="Q415" s="7">
        <f>IF($AB415="","",SUMIFS('Per Line'!$U$2:$U$4001,'Per Line'!$C$2:$C$4001,$B415,'Per Line'!$AM$2:$AM$4001,1))</f>
        <v/>
      </c>
      <c r="R415">
        <f>IF($AB415="","",Settings!$C$7)</f>
        <v/>
      </c>
      <c r="S415" s="7">
        <f>IF($AB415="","",SUMIFS('Per Line'!$U$2:$U$4001,'Per Line'!$C$2:$C$4001,$B415,'Per Line'!$AL$2:$AL$4001,0,'Per Line'!$AM$2:$AM$4001,0))</f>
        <v/>
      </c>
      <c r="T415" s="7">
        <f>IF($AB415="","",S415*R415)</f>
        <v/>
      </c>
      <c r="U415">
        <f>IF($AB415="","",Settings!$C$6)</f>
        <v/>
      </c>
      <c r="V415" s="7">
        <f>IF($AB415="","",SUMIFS('Per Line'!$U$2:$U$4001,'Per Line'!$C$2:$C$4001,$B415,'Per Line'!$AL$2:$AL$4001,1,'Per Line'!$AM$2:$AM$4001,0))</f>
        <v/>
      </c>
      <c r="W415" s="7">
        <f>IF($AB415="","",V415*U415)</f>
        <v/>
      </c>
      <c r="X415" s="7">
        <f>IF($AB415="","",W415+T415)</f>
        <v/>
      </c>
      <c r="Y415" s="7">
        <f>IF($AB415="","",Z415-X415)</f>
        <v/>
      </c>
      <c r="Z415" s="7">
        <f>IF($AB415="","",S415+V415+Q415)</f>
        <v/>
      </c>
      <c r="AA415" s="7">
        <f>IF($AB415="","",Z415-X415-M415)</f>
        <v/>
      </c>
      <c r="AB415" s="13">
        <f>IF(ROWS($AB$2:$AB415)&lt;=MAX('Per Line'!$AK$2:$AK$4001),MATCH(ROWS($AB$2:$AB415),'Per Line'!$AK$2:$AK$4001,0),"")</f>
        <v/>
      </c>
      <c r="AC415" s="14">
        <f>IF($AB415="","",M415-L415*Z415/100)</f>
        <v/>
      </c>
    </row>
    <row r="416">
      <c r="A416" s="12" t="n"/>
      <c r="B416">
        <f>IF($AB416="","",INDEX('Per Line'!$C$2:$C$4001,$AB416)&amp;"")</f>
        <v/>
      </c>
      <c r="C416">
        <f>IF($AB416="","",INDEX('Per Line'!$D$2:$D$4001,$AB416)&amp;"")</f>
        <v/>
      </c>
      <c r="D416">
        <f>IF($AB416="","",INDEX('Per Line'!$B$2:$B$4001,$AB416)&amp;"")</f>
        <v/>
      </c>
      <c r="E416">
        <f>IF($AB416="","",INDEX('Per Line'!$A$2:$A$4001,$AB416))</f>
        <v/>
      </c>
      <c r="F416" s="11">
        <f>IF($AB416="","",INDEX('Per Line'!$E$2:$E$4001,$AB416))</f>
        <v/>
      </c>
      <c r="G416">
        <f>IF($AB416="","",INDEX('Per Line'!$F$2:$F$4001,$AB416)&amp;"")</f>
        <v/>
      </c>
      <c r="H416">
        <f>IF($AB416="","",INDEX('Per Line'!$H$2:$H$4001,$AB416)&amp;"")</f>
        <v/>
      </c>
      <c r="I416">
        <f>IF($AB416="","",INDEX('Per Line'!$I$2:$I$4001,$AB416)&amp;"")</f>
        <v/>
      </c>
      <c r="J416">
        <f>IF($AB416="","",INDEX('Per Line'!$J$2:$J$4001,$AB416)&amp;"")</f>
        <v/>
      </c>
      <c r="K416">
        <f>IF($AB416="","",INDEX('Per Line'!$K$2:$K$4001,$AB416)&amp;"")</f>
        <v/>
      </c>
      <c r="L416">
        <f>IF($AB416="","",INDEX('Per Line'!$L$2:$L$4001,$AB416))</f>
        <v/>
      </c>
      <c r="M416" s="7">
        <f>IF($AB416="","",IF(AND(ISNUMBER(O416),O416&gt;0,Z416&gt;O416),L416*O416/100+(Z416-O416),L416*Z416/100))</f>
        <v/>
      </c>
      <c r="N416">
        <f>IF($AB416="","",INDEX('Per Line'!$V$2:$V$4001,$AB416)&amp;"")</f>
        <v/>
      </c>
      <c r="O416">
        <f>IF($AB416="","",INDEX('Per Line'!$Z$2:$Z$4001,$AB416))</f>
        <v/>
      </c>
      <c r="P416">
        <f>IF($AB416="","",IF(AND(ISNUMBER(O416),O416&gt;0),Z416&gt;O416,FALSE))</f>
        <v/>
      </c>
      <c r="Q416" s="7">
        <f>IF($AB416="","",SUMIFS('Per Line'!$U$2:$U$4001,'Per Line'!$C$2:$C$4001,$B416,'Per Line'!$AM$2:$AM$4001,1))</f>
        <v/>
      </c>
      <c r="R416">
        <f>IF($AB416="","",Settings!$C$7)</f>
        <v/>
      </c>
      <c r="S416" s="7">
        <f>IF($AB416="","",SUMIFS('Per Line'!$U$2:$U$4001,'Per Line'!$C$2:$C$4001,$B416,'Per Line'!$AL$2:$AL$4001,0,'Per Line'!$AM$2:$AM$4001,0))</f>
        <v/>
      </c>
      <c r="T416" s="7">
        <f>IF($AB416="","",S416*R416)</f>
        <v/>
      </c>
      <c r="U416">
        <f>IF($AB416="","",Settings!$C$6)</f>
        <v/>
      </c>
      <c r="V416" s="7">
        <f>IF($AB416="","",SUMIFS('Per Line'!$U$2:$U$4001,'Per Line'!$C$2:$C$4001,$B416,'Per Line'!$AL$2:$AL$4001,1,'Per Line'!$AM$2:$AM$4001,0))</f>
        <v/>
      </c>
      <c r="W416" s="7">
        <f>IF($AB416="","",V416*U416)</f>
        <v/>
      </c>
      <c r="X416" s="7">
        <f>IF($AB416="","",W416+T416)</f>
        <v/>
      </c>
      <c r="Y416" s="7">
        <f>IF($AB416="","",Z416-X416)</f>
        <v/>
      </c>
      <c r="Z416" s="7">
        <f>IF($AB416="","",S416+V416+Q416)</f>
        <v/>
      </c>
      <c r="AA416" s="7">
        <f>IF($AB416="","",Z416-X416-M416)</f>
        <v/>
      </c>
      <c r="AB416" s="13">
        <f>IF(ROWS($AB$2:$AB416)&lt;=MAX('Per Line'!$AK$2:$AK$4001),MATCH(ROWS($AB$2:$AB416),'Per Line'!$AK$2:$AK$4001,0),"")</f>
        <v/>
      </c>
      <c r="AC416" s="14">
        <f>IF($AB416="","",M416-L416*Z416/100)</f>
        <v/>
      </c>
    </row>
    <row r="417">
      <c r="A417" s="12" t="n"/>
      <c r="B417">
        <f>IF($AB417="","",INDEX('Per Line'!$C$2:$C$4001,$AB417)&amp;"")</f>
        <v/>
      </c>
      <c r="C417">
        <f>IF($AB417="","",INDEX('Per Line'!$D$2:$D$4001,$AB417)&amp;"")</f>
        <v/>
      </c>
      <c r="D417">
        <f>IF($AB417="","",INDEX('Per Line'!$B$2:$B$4001,$AB417)&amp;"")</f>
        <v/>
      </c>
      <c r="E417">
        <f>IF($AB417="","",INDEX('Per Line'!$A$2:$A$4001,$AB417))</f>
        <v/>
      </c>
      <c r="F417" s="11">
        <f>IF($AB417="","",INDEX('Per Line'!$E$2:$E$4001,$AB417))</f>
        <v/>
      </c>
      <c r="G417">
        <f>IF($AB417="","",INDEX('Per Line'!$F$2:$F$4001,$AB417)&amp;"")</f>
        <v/>
      </c>
      <c r="H417">
        <f>IF($AB417="","",INDEX('Per Line'!$H$2:$H$4001,$AB417)&amp;"")</f>
        <v/>
      </c>
      <c r="I417">
        <f>IF($AB417="","",INDEX('Per Line'!$I$2:$I$4001,$AB417)&amp;"")</f>
        <v/>
      </c>
      <c r="J417">
        <f>IF($AB417="","",INDEX('Per Line'!$J$2:$J$4001,$AB417)&amp;"")</f>
        <v/>
      </c>
      <c r="K417">
        <f>IF($AB417="","",INDEX('Per Line'!$K$2:$K$4001,$AB417)&amp;"")</f>
        <v/>
      </c>
      <c r="L417">
        <f>IF($AB417="","",INDEX('Per Line'!$L$2:$L$4001,$AB417))</f>
        <v/>
      </c>
      <c r="M417" s="7">
        <f>IF($AB417="","",IF(AND(ISNUMBER(O417),O417&gt;0,Z417&gt;O417),L417*O417/100+(Z417-O417),L417*Z417/100))</f>
        <v/>
      </c>
      <c r="N417">
        <f>IF($AB417="","",INDEX('Per Line'!$V$2:$V$4001,$AB417)&amp;"")</f>
        <v/>
      </c>
      <c r="O417">
        <f>IF($AB417="","",INDEX('Per Line'!$Z$2:$Z$4001,$AB417))</f>
        <v/>
      </c>
      <c r="P417">
        <f>IF($AB417="","",IF(AND(ISNUMBER(O417),O417&gt;0),Z417&gt;O417,FALSE))</f>
        <v/>
      </c>
      <c r="Q417" s="7">
        <f>IF($AB417="","",SUMIFS('Per Line'!$U$2:$U$4001,'Per Line'!$C$2:$C$4001,$B417,'Per Line'!$AM$2:$AM$4001,1))</f>
        <v/>
      </c>
      <c r="R417">
        <f>IF($AB417="","",Settings!$C$7)</f>
        <v/>
      </c>
      <c r="S417" s="7">
        <f>IF($AB417="","",SUMIFS('Per Line'!$U$2:$U$4001,'Per Line'!$C$2:$C$4001,$B417,'Per Line'!$AL$2:$AL$4001,0,'Per Line'!$AM$2:$AM$4001,0))</f>
        <v/>
      </c>
      <c r="T417" s="7">
        <f>IF($AB417="","",S417*R417)</f>
        <v/>
      </c>
      <c r="U417">
        <f>IF($AB417="","",Settings!$C$6)</f>
        <v/>
      </c>
      <c r="V417" s="7">
        <f>IF($AB417="","",SUMIFS('Per Line'!$U$2:$U$4001,'Per Line'!$C$2:$C$4001,$B417,'Per Line'!$AL$2:$AL$4001,1,'Per Line'!$AM$2:$AM$4001,0))</f>
        <v/>
      </c>
      <c r="W417" s="7">
        <f>IF($AB417="","",V417*U417)</f>
        <v/>
      </c>
      <c r="X417" s="7">
        <f>IF($AB417="","",W417+T417)</f>
        <v/>
      </c>
      <c r="Y417" s="7">
        <f>IF($AB417="","",Z417-X417)</f>
        <v/>
      </c>
      <c r="Z417" s="7">
        <f>IF($AB417="","",S417+V417+Q417)</f>
        <v/>
      </c>
      <c r="AA417" s="7">
        <f>IF($AB417="","",Z417-X417-M417)</f>
        <v/>
      </c>
      <c r="AB417" s="13">
        <f>IF(ROWS($AB$2:$AB417)&lt;=MAX('Per Line'!$AK$2:$AK$4001),MATCH(ROWS($AB$2:$AB417),'Per Line'!$AK$2:$AK$4001,0),"")</f>
        <v/>
      </c>
      <c r="AC417" s="14">
        <f>IF($AB417="","",M417-L417*Z417/100)</f>
        <v/>
      </c>
    </row>
    <row r="418">
      <c r="A418" s="12" t="n"/>
      <c r="B418">
        <f>IF($AB418="","",INDEX('Per Line'!$C$2:$C$4001,$AB418)&amp;"")</f>
        <v/>
      </c>
      <c r="C418">
        <f>IF($AB418="","",INDEX('Per Line'!$D$2:$D$4001,$AB418)&amp;"")</f>
        <v/>
      </c>
      <c r="D418">
        <f>IF($AB418="","",INDEX('Per Line'!$B$2:$B$4001,$AB418)&amp;"")</f>
        <v/>
      </c>
      <c r="E418">
        <f>IF($AB418="","",INDEX('Per Line'!$A$2:$A$4001,$AB418))</f>
        <v/>
      </c>
      <c r="F418" s="11">
        <f>IF($AB418="","",INDEX('Per Line'!$E$2:$E$4001,$AB418))</f>
        <v/>
      </c>
      <c r="G418">
        <f>IF($AB418="","",INDEX('Per Line'!$F$2:$F$4001,$AB418)&amp;"")</f>
        <v/>
      </c>
      <c r="H418">
        <f>IF($AB418="","",INDEX('Per Line'!$H$2:$H$4001,$AB418)&amp;"")</f>
        <v/>
      </c>
      <c r="I418">
        <f>IF($AB418="","",INDEX('Per Line'!$I$2:$I$4001,$AB418)&amp;"")</f>
        <v/>
      </c>
      <c r="J418">
        <f>IF($AB418="","",INDEX('Per Line'!$J$2:$J$4001,$AB418)&amp;"")</f>
        <v/>
      </c>
      <c r="K418">
        <f>IF($AB418="","",INDEX('Per Line'!$K$2:$K$4001,$AB418)&amp;"")</f>
        <v/>
      </c>
      <c r="L418">
        <f>IF($AB418="","",INDEX('Per Line'!$L$2:$L$4001,$AB418))</f>
        <v/>
      </c>
      <c r="M418" s="7">
        <f>IF($AB418="","",IF(AND(ISNUMBER(O418),O418&gt;0,Z418&gt;O418),L418*O418/100+(Z418-O418),L418*Z418/100))</f>
        <v/>
      </c>
      <c r="N418">
        <f>IF($AB418="","",INDEX('Per Line'!$V$2:$V$4001,$AB418)&amp;"")</f>
        <v/>
      </c>
      <c r="O418">
        <f>IF($AB418="","",INDEX('Per Line'!$Z$2:$Z$4001,$AB418))</f>
        <v/>
      </c>
      <c r="P418">
        <f>IF($AB418="","",IF(AND(ISNUMBER(O418),O418&gt;0),Z418&gt;O418,FALSE))</f>
        <v/>
      </c>
      <c r="Q418" s="7">
        <f>IF($AB418="","",SUMIFS('Per Line'!$U$2:$U$4001,'Per Line'!$C$2:$C$4001,$B418,'Per Line'!$AM$2:$AM$4001,1))</f>
        <v/>
      </c>
      <c r="R418">
        <f>IF($AB418="","",Settings!$C$7)</f>
        <v/>
      </c>
      <c r="S418" s="7">
        <f>IF($AB418="","",SUMIFS('Per Line'!$U$2:$U$4001,'Per Line'!$C$2:$C$4001,$B418,'Per Line'!$AL$2:$AL$4001,0,'Per Line'!$AM$2:$AM$4001,0))</f>
        <v/>
      </c>
      <c r="T418" s="7">
        <f>IF($AB418="","",S418*R418)</f>
        <v/>
      </c>
      <c r="U418">
        <f>IF($AB418="","",Settings!$C$6)</f>
        <v/>
      </c>
      <c r="V418" s="7">
        <f>IF($AB418="","",SUMIFS('Per Line'!$U$2:$U$4001,'Per Line'!$C$2:$C$4001,$B418,'Per Line'!$AL$2:$AL$4001,1,'Per Line'!$AM$2:$AM$4001,0))</f>
        <v/>
      </c>
      <c r="W418" s="7">
        <f>IF($AB418="","",V418*U418)</f>
        <v/>
      </c>
      <c r="X418" s="7">
        <f>IF($AB418="","",W418+T418)</f>
        <v/>
      </c>
      <c r="Y418" s="7">
        <f>IF($AB418="","",Z418-X418)</f>
        <v/>
      </c>
      <c r="Z418" s="7">
        <f>IF($AB418="","",S418+V418+Q418)</f>
        <v/>
      </c>
      <c r="AA418" s="7">
        <f>IF($AB418="","",Z418-X418-M418)</f>
        <v/>
      </c>
      <c r="AB418" s="13">
        <f>IF(ROWS($AB$2:$AB418)&lt;=MAX('Per Line'!$AK$2:$AK$4001),MATCH(ROWS($AB$2:$AB418),'Per Line'!$AK$2:$AK$4001,0),"")</f>
        <v/>
      </c>
      <c r="AC418" s="14">
        <f>IF($AB418="","",M418-L418*Z418/100)</f>
        <v/>
      </c>
    </row>
    <row r="419">
      <c r="A419" s="12" t="n"/>
      <c r="B419">
        <f>IF($AB419="","",INDEX('Per Line'!$C$2:$C$4001,$AB419)&amp;"")</f>
        <v/>
      </c>
      <c r="C419">
        <f>IF($AB419="","",INDEX('Per Line'!$D$2:$D$4001,$AB419)&amp;"")</f>
        <v/>
      </c>
      <c r="D419">
        <f>IF($AB419="","",INDEX('Per Line'!$B$2:$B$4001,$AB419)&amp;"")</f>
        <v/>
      </c>
      <c r="E419">
        <f>IF($AB419="","",INDEX('Per Line'!$A$2:$A$4001,$AB419))</f>
        <v/>
      </c>
      <c r="F419" s="11">
        <f>IF($AB419="","",INDEX('Per Line'!$E$2:$E$4001,$AB419))</f>
        <v/>
      </c>
      <c r="G419">
        <f>IF($AB419="","",INDEX('Per Line'!$F$2:$F$4001,$AB419)&amp;"")</f>
        <v/>
      </c>
      <c r="H419">
        <f>IF($AB419="","",INDEX('Per Line'!$H$2:$H$4001,$AB419)&amp;"")</f>
        <v/>
      </c>
      <c r="I419">
        <f>IF($AB419="","",INDEX('Per Line'!$I$2:$I$4001,$AB419)&amp;"")</f>
        <v/>
      </c>
      <c r="J419">
        <f>IF($AB419="","",INDEX('Per Line'!$J$2:$J$4001,$AB419)&amp;"")</f>
        <v/>
      </c>
      <c r="K419">
        <f>IF($AB419="","",INDEX('Per Line'!$K$2:$K$4001,$AB419)&amp;"")</f>
        <v/>
      </c>
      <c r="L419">
        <f>IF($AB419="","",INDEX('Per Line'!$L$2:$L$4001,$AB419))</f>
        <v/>
      </c>
      <c r="M419" s="7">
        <f>IF($AB419="","",IF(AND(ISNUMBER(O419),O419&gt;0,Z419&gt;O419),L419*O419/100+(Z419-O419),L419*Z419/100))</f>
        <v/>
      </c>
      <c r="N419">
        <f>IF($AB419="","",INDEX('Per Line'!$V$2:$V$4001,$AB419)&amp;"")</f>
        <v/>
      </c>
      <c r="O419">
        <f>IF($AB419="","",INDEX('Per Line'!$Z$2:$Z$4001,$AB419))</f>
        <v/>
      </c>
      <c r="P419">
        <f>IF($AB419="","",IF(AND(ISNUMBER(O419),O419&gt;0),Z419&gt;O419,FALSE))</f>
        <v/>
      </c>
      <c r="Q419" s="7">
        <f>IF($AB419="","",SUMIFS('Per Line'!$U$2:$U$4001,'Per Line'!$C$2:$C$4001,$B419,'Per Line'!$AM$2:$AM$4001,1))</f>
        <v/>
      </c>
      <c r="R419">
        <f>IF($AB419="","",Settings!$C$7)</f>
        <v/>
      </c>
      <c r="S419" s="7">
        <f>IF($AB419="","",SUMIFS('Per Line'!$U$2:$U$4001,'Per Line'!$C$2:$C$4001,$B419,'Per Line'!$AL$2:$AL$4001,0,'Per Line'!$AM$2:$AM$4001,0))</f>
        <v/>
      </c>
      <c r="T419" s="7">
        <f>IF($AB419="","",S419*R419)</f>
        <v/>
      </c>
      <c r="U419">
        <f>IF($AB419="","",Settings!$C$6)</f>
        <v/>
      </c>
      <c r="V419" s="7">
        <f>IF($AB419="","",SUMIFS('Per Line'!$U$2:$U$4001,'Per Line'!$C$2:$C$4001,$B419,'Per Line'!$AL$2:$AL$4001,1,'Per Line'!$AM$2:$AM$4001,0))</f>
        <v/>
      </c>
      <c r="W419" s="7">
        <f>IF($AB419="","",V419*U419)</f>
        <v/>
      </c>
      <c r="X419" s="7">
        <f>IF($AB419="","",W419+T419)</f>
        <v/>
      </c>
      <c r="Y419" s="7">
        <f>IF($AB419="","",Z419-X419)</f>
        <v/>
      </c>
      <c r="Z419" s="7">
        <f>IF($AB419="","",S419+V419+Q419)</f>
        <v/>
      </c>
      <c r="AA419" s="7">
        <f>IF($AB419="","",Z419-X419-M419)</f>
        <v/>
      </c>
      <c r="AB419" s="13">
        <f>IF(ROWS($AB$2:$AB419)&lt;=MAX('Per Line'!$AK$2:$AK$4001),MATCH(ROWS($AB$2:$AB419),'Per Line'!$AK$2:$AK$4001,0),"")</f>
        <v/>
      </c>
      <c r="AC419" s="14">
        <f>IF($AB419="","",M419-L419*Z419/100)</f>
        <v/>
      </c>
    </row>
    <row r="420">
      <c r="A420" s="12" t="n"/>
      <c r="B420">
        <f>IF($AB420="","",INDEX('Per Line'!$C$2:$C$4001,$AB420)&amp;"")</f>
        <v/>
      </c>
      <c r="C420">
        <f>IF($AB420="","",INDEX('Per Line'!$D$2:$D$4001,$AB420)&amp;"")</f>
        <v/>
      </c>
      <c r="D420">
        <f>IF($AB420="","",INDEX('Per Line'!$B$2:$B$4001,$AB420)&amp;"")</f>
        <v/>
      </c>
      <c r="E420">
        <f>IF($AB420="","",INDEX('Per Line'!$A$2:$A$4001,$AB420))</f>
        <v/>
      </c>
      <c r="F420" s="11">
        <f>IF($AB420="","",INDEX('Per Line'!$E$2:$E$4001,$AB420))</f>
        <v/>
      </c>
      <c r="G420">
        <f>IF($AB420="","",INDEX('Per Line'!$F$2:$F$4001,$AB420)&amp;"")</f>
        <v/>
      </c>
      <c r="H420">
        <f>IF($AB420="","",INDEX('Per Line'!$H$2:$H$4001,$AB420)&amp;"")</f>
        <v/>
      </c>
      <c r="I420">
        <f>IF($AB420="","",INDEX('Per Line'!$I$2:$I$4001,$AB420)&amp;"")</f>
        <v/>
      </c>
      <c r="J420">
        <f>IF($AB420="","",INDEX('Per Line'!$J$2:$J$4001,$AB420)&amp;"")</f>
        <v/>
      </c>
      <c r="K420">
        <f>IF($AB420="","",INDEX('Per Line'!$K$2:$K$4001,$AB420)&amp;"")</f>
        <v/>
      </c>
      <c r="L420">
        <f>IF($AB420="","",INDEX('Per Line'!$L$2:$L$4001,$AB420))</f>
        <v/>
      </c>
      <c r="M420" s="7">
        <f>IF($AB420="","",IF(AND(ISNUMBER(O420),O420&gt;0,Z420&gt;O420),L420*O420/100+(Z420-O420),L420*Z420/100))</f>
        <v/>
      </c>
      <c r="N420">
        <f>IF($AB420="","",INDEX('Per Line'!$V$2:$V$4001,$AB420)&amp;"")</f>
        <v/>
      </c>
      <c r="O420">
        <f>IF($AB420="","",INDEX('Per Line'!$Z$2:$Z$4001,$AB420))</f>
        <v/>
      </c>
      <c r="P420">
        <f>IF($AB420="","",IF(AND(ISNUMBER(O420),O420&gt;0),Z420&gt;O420,FALSE))</f>
        <v/>
      </c>
      <c r="Q420" s="7">
        <f>IF($AB420="","",SUMIFS('Per Line'!$U$2:$U$4001,'Per Line'!$C$2:$C$4001,$B420,'Per Line'!$AM$2:$AM$4001,1))</f>
        <v/>
      </c>
      <c r="R420">
        <f>IF($AB420="","",Settings!$C$7)</f>
        <v/>
      </c>
      <c r="S420" s="7">
        <f>IF($AB420="","",SUMIFS('Per Line'!$U$2:$U$4001,'Per Line'!$C$2:$C$4001,$B420,'Per Line'!$AL$2:$AL$4001,0,'Per Line'!$AM$2:$AM$4001,0))</f>
        <v/>
      </c>
      <c r="T420" s="7">
        <f>IF($AB420="","",S420*R420)</f>
        <v/>
      </c>
      <c r="U420">
        <f>IF($AB420="","",Settings!$C$6)</f>
        <v/>
      </c>
      <c r="V420" s="7">
        <f>IF($AB420="","",SUMIFS('Per Line'!$U$2:$U$4001,'Per Line'!$C$2:$C$4001,$B420,'Per Line'!$AL$2:$AL$4001,1,'Per Line'!$AM$2:$AM$4001,0))</f>
        <v/>
      </c>
      <c r="W420" s="7">
        <f>IF($AB420="","",V420*U420)</f>
        <v/>
      </c>
      <c r="X420" s="7">
        <f>IF($AB420="","",W420+T420)</f>
        <v/>
      </c>
      <c r="Y420" s="7">
        <f>IF($AB420="","",Z420-X420)</f>
        <v/>
      </c>
      <c r="Z420" s="7">
        <f>IF($AB420="","",S420+V420+Q420)</f>
        <v/>
      </c>
      <c r="AA420" s="7">
        <f>IF($AB420="","",Z420-X420-M420)</f>
        <v/>
      </c>
      <c r="AB420" s="13">
        <f>IF(ROWS($AB$2:$AB420)&lt;=MAX('Per Line'!$AK$2:$AK$4001),MATCH(ROWS($AB$2:$AB420),'Per Line'!$AK$2:$AK$4001,0),"")</f>
        <v/>
      </c>
      <c r="AC420" s="14">
        <f>IF($AB420="","",M420-L420*Z420/100)</f>
        <v/>
      </c>
    </row>
    <row r="421">
      <c r="A421" s="12" t="n"/>
      <c r="B421">
        <f>IF($AB421="","",INDEX('Per Line'!$C$2:$C$4001,$AB421)&amp;"")</f>
        <v/>
      </c>
      <c r="C421">
        <f>IF($AB421="","",INDEX('Per Line'!$D$2:$D$4001,$AB421)&amp;"")</f>
        <v/>
      </c>
      <c r="D421">
        <f>IF($AB421="","",INDEX('Per Line'!$B$2:$B$4001,$AB421)&amp;"")</f>
        <v/>
      </c>
      <c r="E421">
        <f>IF($AB421="","",INDEX('Per Line'!$A$2:$A$4001,$AB421))</f>
        <v/>
      </c>
      <c r="F421" s="11">
        <f>IF($AB421="","",INDEX('Per Line'!$E$2:$E$4001,$AB421))</f>
        <v/>
      </c>
      <c r="G421">
        <f>IF($AB421="","",INDEX('Per Line'!$F$2:$F$4001,$AB421)&amp;"")</f>
        <v/>
      </c>
      <c r="H421">
        <f>IF($AB421="","",INDEX('Per Line'!$H$2:$H$4001,$AB421)&amp;"")</f>
        <v/>
      </c>
      <c r="I421">
        <f>IF($AB421="","",INDEX('Per Line'!$I$2:$I$4001,$AB421)&amp;"")</f>
        <v/>
      </c>
      <c r="J421">
        <f>IF($AB421="","",INDEX('Per Line'!$J$2:$J$4001,$AB421)&amp;"")</f>
        <v/>
      </c>
      <c r="K421">
        <f>IF($AB421="","",INDEX('Per Line'!$K$2:$K$4001,$AB421)&amp;"")</f>
        <v/>
      </c>
      <c r="L421">
        <f>IF($AB421="","",INDEX('Per Line'!$L$2:$L$4001,$AB421))</f>
        <v/>
      </c>
      <c r="M421" s="7">
        <f>IF($AB421="","",IF(AND(ISNUMBER(O421),O421&gt;0,Z421&gt;O421),L421*O421/100+(Z421-O421),L421*Z421/100))</f>
        <v/>
      </c>
      <c r="N421">
        <f>IF($AB421="","",INDEX('Per Line'!$V$2:$V$4001,$AB421)&amp;"")</f>
        <v/>
      </c>
      <c r="O421">
        <f>IF($AB421="","",INDEX('Per Line'!$Z$2:$Z$4001,$AB421))</f>
        <v/>
      </c>
      <c r="P421">
        <f>IF($AB421="","",IF(AND(ISNUMBER(O421),O421&gt;0),Z421&gt;O421,FALSE))</f>
        <v/>
      </c>
      <c r="Q421" s="7">
        <f>IF($AB421="","",SUMIFS('Per Line'!$U$2:$U$4001,'Per Line'!$C$2:$C$4001,$B421,'Per Line'!$AM$2:$AM$4001,1))</f>
        <v/>
      </c>
      <c r="R421">
        <f>IF($AB421="","",Settings!$C$7)</f>
        <v/>
      </c>
      <c r="S421" s="7">
        <f>IF($AB421="","",SUMIFS('Per Line'!$U$2:$U$4001,'Per Line'!$C$2:$C$4001,$B421,'Per Line'!$AL$2:$AL$4001,0,'Per Line'!$AM$2:$AM$4001,0))</f>
        <v/>
      </c>
      <c r="T421" s="7">
        <f>IF($AB421="","",S421*R421)</f>
        <v/>
      </c>
      <c r="U421">
        <f>IF($AB421="","",Settings!$C$6)</f>
        <v/>
      </c>
      <c r="V421" s="7">
        <f>IF($AB421="","",SUMIFS('Per Line'!$U$2:$U$4001,'Per Line'!$C$2:$C$4001,$B421,'Per Line'!$AL$2:$AL$4001,1,'Per Line'!$AM$2:$AM$4001,0))</f>
        <v/>
      </c>
      <c r="W421" s="7">
        <f>IF($AB421="","",V421*U421)</f>
        <v/>
      </c>
      <c r="X421" s="7">
        <f>IF($AB421="","",W421+T421)</f>
        <v/>
      </c>
      <c r="Y421" s="7">
        <f>IF($AB421="","",Z421-X421)</f>
        <v/>
      </c>
      <c r="Z421" s="7">
        <f>IF($AB421="","",S421+V421+Q421)</f>
        <v/>
      </c>
      <c r="AA421" s="7">
        <f>IF($AB421="","",Z421-X421-M421)</f>
        <v/>
      </c>
      <c r="AB421" s="13">
        <f>IF(ROWS($AB$2:$AB421)&lt;=MAX('Per Line'!$AK$2:$AK$4001),MATCH(ROWS($AB$2:$AB421),'Per Line'!$AK$2:$AK$4001,0),"")</f>
        <v/>
      </c>
      <c r="AC421" s="14">
        <f>IF($AB421="","",M421-L421*Z421/100)</f>
        <v/>
      </c>
    </row>
    <row r="422">
      <c r="A422" s="12" t="n"/>
      <c r="B422">
        <f>IF($AB422="","",INDEX('Per Line'!$C$2:$C$4001,$AB422)&amp;"")</f>
        <v/>
      </c>
      <c r="C422">
        <f>IF($AB422="","",INDEX('Per Line'!$D$2:$D$4001,$AB422)&amp;"")</f>
        <v/>
      </c>
      <c r="D422">
        <f>IF($AB422="","",INDEX('Per Line'!$B$2:$B$4001,$AB422)&amp;"")</f>
        <v/>
      </c>
      <c r="E422">
        <f>IF($AB422="","",INDEX('Per Line'!$A$2:$A$4001,$AB422))</f>
        <v/>
      </c>
      <c r="F422" s="11">
        <f>IF($AB422="","",INDEX('Per Line'!$E$2:$E$4001,$AB422))</f>
        <v/>
      </c>
      <c r="G422">
        <f>IF($AB422="","",INDEX('Per Line'!$F$2:$F$4001,$AB422)&amp;"")</f>
        <v/>
      </c>
      <c r="H422">
        <f>IF($AB422="","",INDEX('Per Line'!$H$2:$H$4001,$AB422)&amp;"")</f>
        <v/>
      </c>
      <c r="I422">
        <f>IF($AB422="","",INDEX('Per Line'!$I$2:$I$4001,$AB422)&amp;"")</f>
        <v/>
      </c>
      <c r="J422">
        <f>IF($AB422="","",INDEX('Per Line'!$J$2:$J$4001,$AB422)&amp;"")</f>
        <v/>
      </c>
      <c r="K422">
        <f>IF($AB422="","",INDEX('Per Line'!$K$2:$K$4001,$AB422)&amp;"")</f>
        <v/>
      </c>
      <c r="L422">
        <f>IF($AB422="","",INDEX('Per Line'!$L$2:$L$4001,$AB422))</f>
        <v/>
      </c>
      <c r="M422" s="7">
        <f>IF($AB422="","",IF(AND(ISNUMBER(O422),O422&gt;0,Z422&gt;O422),L422*O422/100+(Z422-O422),L422*Z422/100))</f>
        <v/>
      </c>
      <c r="N422">
        <f>IF($AB422="","",INDEX('Per Line'!$V$2:$V$4001,$AB422)&amp;"")</f>
        <v/>
      </c>
      <c r="O422">
        <f>IF($AB422="","",INDEX('Per Line'!$Z$2:$Z$4001,$AB422))</f>
        <v/>
      </c>
      <c r="P422">
        <f>IF($AB422="","",IF(AND(ISNUMBER(O422),O422&gt;0),Z422&gt;O422,FALSE))</f>
        <v/>
      </c>
      <c r="Q422" s="7">
        <f>IF($AB422="","",SUMIFS('Per Line'!$U$2:$U$4001,'Per Line'!$C$2:$C$4001,$B422,'Per Line'!$AM$2:$AM$4001,1))</f>
        <v/>
      </c>
      <c r="R422">
        <f>IF($AB422="","",Settings!$C$7)</f>
        <v/>
      </c>
      <c r="S422" s="7">
        <f>IF($AB422="","",SUMIFS('Per Line'!$U$2:$U$4001,'Per Line'!$C$2:$C$4001,$B422,'Per Line'!$AL$2:$AL$4001,0,'Per Line'!$AM$2:$AM$4001,0))</f>
        <v/>
      </c>
      <c r="T422" s="7">
        <f>IF($AB422="","",S422*R422)</f>
        <v/>
      </c>
      <c r="U422">
        <f>IF($AB422="","",Settings!$C$6)</f>
        <v/>
      </c>
      <c r="V422" s="7">
        <f>IF($AB422="","",SUMIFS('Per Line'!$U$2:$U$4001,'Per Line'!$C$2:$C$4001,$B422,'Per Line'!$AL$2:$AL$4001,1,'Per Line'!$AM$2:$AM$4001,0))</f>
        <v/>
      </c>
      <c r="W422" s="7">
        <f>IF($AB422="","",V422*U422)</f>
        <v/>
      </c>
      <c r="X422" s="7">
        <f>IF($AB422="","",W422+T422)</f>
        <v/>
      </c>
      <c r="Y422" s="7">
        <f>IF($AB422="","",Z422-X422)</f>
        <v/>
      </c>
      <c r="Z422" s="7">
        <f>IF($AB422="","",S422+V422+Q422)</f>
        <v/>
      </c>
      <c r="AA422" s="7">
        <f>IF($AB422="","",Z422-X422-M422)</f>
        <v/>
      </c>
      <c r="AB422" s="13">
        <f>IF(ROWS($AB$2:$AB422)&lt;=MAX('Per Line'!$AK$2:$AK$4001),MATCH(ROWS($AB$2:$AB422),'Per Line'!$AK$2:$AK$4001,0),"")</f>
        <v/>
      </c>
      <c r="AC422" s="14">
        <f>IF($AB422="","",M422-L422*Z422/100)</f>
        <v/>
      </c>
    </row>
    <row r="423">
      <c r="A423" s="12" t="n"/>
      <c r="B423">
        <f>IF($AB423="","",INDEX('Per Line'!$C$2:$C$4001,$AB423)&amp;"")</f>
        <v/>
      </c>
      <c r="C423">
        <f>IF($AB423="","",INDEX('Per Line'!$D$2:$D$4001,$AB423)&amp;"")</f>
        <v/>
      </c>
      <c r="D423">
        <f>IF($AB423="","",INDEX('Per Line'!$B$2:$B$4001,$AB423)&amp;"")</f>
        <v/>
      </c>
      <c r="E423">
        <f>IF($AB423="","",INDEX('Per Line'!$A$2:$A$4001,$AB423))</f>
        <v/>
      </c>
      <c r="F423" s="11">
        <f>IF($AB423="","",INDEX('Per Line'!$E$2:$E$4001,$AB423))</f>
        <v/>
      </c>
      <c r="G423">
        <f>IF($AB423="","",INDEX('Per Line'!$F$2:$F$4001,$AB423)&amp;"")</f>
        <v/>
      </c>
      <c r="H423">
        <f>IF($AB423="","",INDEX('Per Line'!$H$2:$H$4001,$AB423)&amp;"")</f>
        <v/>
      </c>
      <c r="I423">
        <f>IF($AB423="","",INDEX('Per Line'!$I$2:$I$4001,$AB423)&amp;"")</f>
        <v/>
      </c>
      <c r="J423">
        <f>IF($AB423="","",INDEX('Per Line'!$J$2:$J$4001,$AB423)&amp;"")</f>
        <v/>
      </c>
      <c r="K423">
        <f>IF($AB423="","",INDEX('Per Line'!$K$2:$K$4001,$AB423)&amp;"")</f>
        <v/>
      </c>
      <c r="L423">
        <f>IF($AB423="","",INDEX('Per Line'!$L$2:$L$4001,$AB423))</f>
        <v/>
      </c>
      <c r="M423" s="7">
        <f>IF($AB423="","",IF(AND(ISNUMBER(O423),O423&gt;0,Z423&gt;O423),L423*O423/100+(Z423-O423),L423*Z423/100))</f>
        <v/>
      </c>
      <c r="N423">
        <f>IF($AB423="","",INDEX('Per Line'!$V$2:$V$4001,$AB423)&amp;"")</f>
        <v/>
      </c>
      <c r="O423">
        <f>IF($AB423="","",INDEX('Per Line'!$Z$2:$Z$4001,$AB423))</f>
        <v/>
      </c>
      <c r="P423">
        <f>IF($AB423="","",IF(AND(ISNUMBER(O423),O423&gt;0),Z423&gt;O423,FALSE))</f>
        <v/>
      </c>
      <c r="Q423" s="7">
        <f>IF($AB423="","",SUMIFS('Per Line'!$U$2:$U$4001,'Per Line'!$C$2:$C$4001,$B423,'Per Line'!$AM$2:$AM$4001,1))</f>
        <v/>
      </c>
      <c r="R423">
        <f>IF($AB423="","",Settings!$C$7)</f>
        <v/>
      </c>
      <c r="S423" s="7">
        <f>IF($AB423="","",SUMIFS('Per Line'!$U$2:$U$4001,'Per Line'!$C$2:$C$4001,$B423,'Per Line'!$AL$2:$AL$4001,0,'Per Line'!$AM$2:$AM$4001,0))</f>
        <v/>
      </c>
      <c r="T423" s="7">
        <f>IF($AB423="","",S423*R423)</f>
        <v/>
      </c>
      <c r="U423">
        <f>IF($AB423="","",Settings!$C$6)</f>
        <v/>
      </c>
      <c r="V423" s="7">
        <f>IF($AB423="","",SUMIFS('Per Line'!$U$2:$U$4001,'Per Line'!$C$2:$C$4001,$B423,'Per Line'!$AL$2:$AL$4001,1,'Per Line'!$AM$2:$AM$4001,0))</f>
        <v/>
      </c>
      <c r="W423" s="7">
        <f>IF($AB423="","",V423*U423)</f>
        <v/>
      </c>
      <c r="X423" s="7">
        <f>IF($AB423="","",W423+T423)</f>
        <v/>
      </c>
      <c r="Y423" s="7">
        <f>IF($AB423="","",Z423-X423)</f>
        <v/>
      </c>
      <c r="Z423" s="7">
        <f>IF($AB423="","",S423+V423+Q423)</f>
        <v/>
      </c>
      <c r="AA423" s="7">
        <f>IF($AB423="","",Z423-X423-M423)</f>
        <v/>
      </c>
      <c r="AB423" s="13">
        <f>IF(ROWS($AB$2:$AB423)&lt;=MAX('Per Line'!$AK$2:$AK$4001),MATCH(ROWS($AB$2:$AB423),'Per Line'!$AK$2:$AK$4001,0),"")</f>
        <v/>
      </c>
      <c r="AC423" s="14">
        <f>IF($AB423="","",M423-L423*Z423/100)</f>
        <v/>
      </c>
    </row>
    <row r="424">
      <c r="A424" s="12" t="n"/>
      <c r="B424">
        <f>IF($AB424="","",INDEX('Per Line'!$C$2:$C$4001,$AB424)&amp;"")</f>
        <v/>
      </c>
      <c r="C424">
        <f>IF($AB424="","",INDEX('Per Line'!$D$2:$D$4001,$AB424)&amp;"")</f>
        <v/>
      </c>
      <c r="D424">
        <f>IF($AB424="","",INDEX('Per Line'!$B$2:$B$4001,$AB424)&amp;"")</f>
        <v/>
      </c>
      <c r="E424">
        <f>IF($AB424="","",INDEX('Per Line'!$A$2:$A$4001,$AB424))</f>
        <v/>
      </c>
      <c r="F424" s="11">
        <f>IF($AB424="","",INDEX('Per Line'!$E$2:$E$4001,$AB424))</f>
        <v/>
      </c>
      <c r="G424">
        <f>IF($AB424="","",INDEX('Per Line'!$F$2:$F$4001,$AB424)&amp;"")</f>
        <v/>
      </c>
      <c r="H424">
        <f>IF($AB424="","",INDEX('Per Line'!$H$2:$H$4001,$AB424)&amp;"")</f>
        <v/>
      </c>
      <c r="I424">
        <f>IF($AB424="","",INDEX('Per Line'!$I$2:$I$4001,$AB424)&amp;"")</f>
        <v/>
      </c>
      <c r="J424">
        <f>IF($AB424="","",INDEX('Per Line'!$J$2:$J$4001,$AB424)&amp;"")</f>
        <v/>
      </c>
      <c r="K424">
        <f>IF($AB424="","",INDEX('Per Line'!$K$2:$K$4001,$AB424)&amp;"")</f>
        <v/>
      </c>
      <c r="L424">
        <f>IF($AB424="","",INDEX('Per Line'!$L$2:$L$4001,$AB424))</f>
        <v/>
      </c>
      <c r="M424" s="7">
        <f>IF($AB424="","",IF(AND(ISNUMBER(O424),O424&gt;0,Z424&gt;O424),L424*O424/100+(Z424-O424),L424*Z424/100))</f>
        <v/>
      </c>
      <c r="N424">
        <f>IF($AB424="","",INDEX('Per Line'!$V$2:$V$4001,$AB424)&amp;"")</f>
        <v/>
      </c>
      <c r="O424">
        <f>IF($AB424="","",INDEX('Per Line'!$Z$2:$Z$4001,$AB424))</f>
        <v/>
      </c>
      <c r="P424">
        <f>IF($AB424="","",IF(AND(ISNUMBER(O424),O424&gt;0),Z424&gt;O424,FALSE))</f>
        <v/>
      </c>
      <c r="Q424" s="7">
        <f>IF($AB424="","",SUMIFS('Per Line'!$U$2:$U$4001,'Per Line'!$C$2:$C$4001,$B424,'Per Line'!$AM$2:$AM$4001,1))</f>
        <v/>
      </c>
      <c r="R424">
        <f>IF($AB424="","",Settings!$C$7)</f>
        <v/>
      </c>
      <c r="S424" s="7">
        <f>IF($AB424="","",SUMIFS('Per Line'!$U$2:$U$4001,'Per Line'!$C$2:$C$4001,$B424,'Per Line'!$AL$2:$AL$4001,0,'Per Line'!$AM$2:$AM$4001,0))</f>
        <v/>
      </c>
      <c r="T424" s="7">
        <f>IF($AB424="","",S424*R424)</f>
        <v/>
      </c>
      <c r="U424">
        <f>IF($AB424="","",Settings!$C$6)</f>
        <v/>
      </c>
      <c r="V424" s="7">
        <f>IF($AB424="","",SUMIFS('Per Line'!$U$2:$U$4001,'Per Line'!$C$2:$C$4001,$B424,'Per Line'!$AL$2:$AL$4001,1,'Per Line'!$AM$2:$AM$4001,0))</f>
        <v/>
      </c>
      <c r="W424" s="7">
        <f>IF($AB424="","",V424*U424)</f>
        <v/>
      </c>
      <c r="X424" s="7">
        <f>IF($AB424="","",W424+T424)</f>
        <v/>
      </c>
      <c r="Y424" s="7">
        <f>IF($AB424="","",Z424-X424)</f>
        <v/>
      </c>
      <c r="Z424" s="7">
        <f>IF($AB424="","",S424+V424+Q424)</f>
        <v/>
      </c>
      <c r="AA424" s="7">
        <f>IF($AB424="","",Z424-X424-M424)</f>
        <v/>
      </c>
      <c r="AB424" s="13">
        <f>IF(ROWS($AB$2:$AB424)&lt;=MAX('Per Line'!$AK$2:$AK$4001),MATCH(ROWS($AB$2:$AB424),'Per Line'!$AK$2:$AK$4001,0),"")</f>
        <v/>
      </c>
      <c r="AC424" s="14">
        <f>IF($AB424="","",M424-L424*Z424/100)</f>
        <v/>
      </c>
    </row>
    <row r="425">
      <c r="A425" s="12" t="n"/>
      <c r="B425">
        <f>IF($AB425="","",INDEX('Per Line'!$C$2:$C$4001,$AB425)&amp;"")</f>
        <v/>
      </c>
      <c r="C425">
        <f>IF($AB425="","",INDEX('Per Line'!$D$2:$D$4001,$AB425)&amp;"")</f>
        <v/>
      </c>
      <c r="D425">
        <f>IF($AB425="","",INDEX('Per Line'!$B$2:$B$4001,$AB425)&amp;"")</f>
        <v/>
      </c>
      <c r="E425">
        <f>IF($AB425="","",INDEX('Per Line'!$A$2:$A$4001,$AB425))</f>
        <v/>
      </c>
      <c r="F425" s="11">
        <f>IF($AB425="","",INDEX('Per Line'!$E$2:$E$4001,$AB425))</f>
        <v/>
      </c>
      <c r="G425">
        <f>IF($AB425="","",INDEX('Per Line'!$F$2:$F$4001,$AB425)&amp;"")</f>
        <v/>
      </c>
      <c r="H425">
        <f>IF($AB425="","",INDEX('Per Line'!$H$2:$H$4001,$AB425)&amp;"")</f>
        <v/>
      </c>
      <c r="I425">
        <f>IF($AB425="","",INDEX('Per Line'!$I$2:$I$4001,$AB425)&amp;"")</f>
        <v/>
      </c>
      <c r="J425">
        <f>IF($AB425="","",INDEX('Per Line'!$J$2:$J$4001,$AB425)&amp;"")</f>
        <v/>
      </c>
      <c r="K425">
        <f>IF($AB425="","",INDEX('Per Line'!$K$2:$K$4001,$AB425)&amp;"")</f>
        <v/>
      </c>
      <c r="L425">
        <f>IF($AB425="","",INDEX('Per Line'!$L$2:$L$4001,$AB425))</f>
        <v/>
      </c>
      <c r="M425" s="7">
        <f>IF($AB425="","",IF(AND(ISNUMBER(O425),O425&gt;0,Z425&gt;O425),L425*O425/100+(Z425-O425),L425*Z425/100))</f>
        <v/>
      </c>
      <c r="N425">
        <f>IF($AB425="","",INDEX('Per Line'!$V$2:$V$4001,$AB425)&amp;"")</f>
        <v/>
      </c>
      <c r="O425">
        <f>IF($AB425="","",INDEX('Per Line'!$Z$2:$Z$4001,$AB425))</f>
        <v/>
      </c>
      <c r="P425">
        <f>IF($AB425="","",IF(AND(ISNUMBER(O425),O425&gt;0),Z425&gt;O425,FALSE))</f>
        <v/>
      </c>
      <c r="Q425" s="7">
        <f>IF($AB425="","",SUMIFS('Per Line'!$U$2:$U$4001,'Per Line'!$C$2:$C$4001,$B425,'Per Line'!$AM$2:$AM$4001,1))</f>
        <v/>
      </c>
      <c r="R425">
        <f>IF($AB425="","",Settings!$C$7)</f>
        <v/>
      </c>
      <c r="S425" s="7">
        <f>IF($AB425="","",SUMIFS('Per Line'!$U$2:$U$4001,'Per Line'!$C$2:$C$4001,$B425,'Per Line'!$AL$2:$AL$4001,0,'Per Line'!$AM$2:$AM$4001,0))</f>
        <v/>
      </c>
      <c r="T425" s="7">
        <f>IF($AB425="","",S425*R425)</f>
        <v/>
      </c>
      <c r="U425">
        <f>IF($AB425="","",Settings!$C$6)</f>
        <v/>
      </c>
      <c r="V425" s="7">
        <f>IF($AB425="","",SUMIFS('Per Line'!$U$2:$U$4001,'Per Line'!$C$2:$C$4001,$B425,'Per Line'!$AL$2:$AL$4001,1,'Per Line'!$AM$2:$AM$4001,0))</f>
        <v/>
      </c>
      <c r="W425" s="7">
        <f>IF($AB425="","",V425*U425)</f>
        <v/>
      </c>
      <c r="X425" s="7">
        <f>IF($AB425="","",W425+T425)</f>
        <v/>
      </c>
      <c r="Y425" s="7">
        <f>IF($AB425="","",Z425-X425)</f>
        <v/>
      </c>
      <c r="Z425" s="7">
        <f>IF($AB425="","",S425+V425+Q425)</f>
        <v/>
      </c>
      <c r="AA425" s="7">
        <f>IF($AB425="","",Z425-X425-M425)</f>
        <v/>
      </c>
      <c r="AB425" s="13">
        <f>IF(ROWS($AB$2:$AB425)&lt;=MAX('Per Line'!$AK$2:$AK$4001),MATCH(ROWS($AB$2:$AB425),'Per Line'!$AK$2:$AK$4001,0),"")</f>
        <v/>
      </c>
      <c r="AC425" s="14">
        <f>IF($AB425="","",M425-L425*Z425/100)</f>
        <v/>
      </c>
    </row>
    <row r="426">
      <c r="A426" s="12" t="n"/>
      <c r="B426">
        <f>IF($AB426="","",INDEX('Per Line'!$C$2:$C$4001,$AB426)&amp;"")</f>
        <v/>
      </c>
      <c r="C426">
        <f>IF($AB426="","",INDEX('Per Line'!$D$2:$D$4001,$AB426)&amp;"")</f>
        <v/>
      </c>
      <c r="D426">
        <f>IF($AB426="","",INDEX('Per Line'!$B$2:$B$4001,$AB426)&amp;"")</f>
        <v/>
      </c>
      <c r="E426">
        <f>IF($AB426="","",INDEX('Per Line'!$A$2:$A$4001,$AB426))</f>
        <v/>
      </c>
      <c r="F426" s="11">
        <f>IF($AB426="","",INDEX('Per Line'!$E$2:$E$4001,$AB426))</f>
        <v/>
      </c>
      <c r="G426">
        <f>IF($AB426="","",INDEX('Per Line'!$F$2:$F$4001,$AB426)&amp;"")</f>
        <v/>
      </c>
      <c r="H426">
        <f>IF($AB426="","",INDEX('Per Line'!$H$2:$H$4001,$AB426)&amp;"")</f>
        <v/>
      </c>
      <c r="I426">
        <f>IF($AB426="","",INDEX('Per Line'!$I$2:$I$4001,$AB426)&amp;"")</f>
        <v/>
      </c>
      <c r="J426">
        <f>IF($AB426="","",INDEX('Per Line'!$J$2:$J$4001,$AB426)&amp;"")</f>
        <v/>
      </c>
      <c r="K426">
        <f>IF($AB426="","",INDEX('Per Line'!$K$2:$K$4001,$AB426)&amp;"")</f>
        <v/>
      </c>
      <c r="L426">
        <f>IF($AB426="","",INDEX('Per Line'!$L$2:$L$4001,$AB426))</f>
        <v/>
      </c>
      <c r="M426" s="7">
        <f>IF($AB426="","",IF(AND(ISNUMBER(O426),O426&gt;0,Z426&gt;O426),L426*O426/100+(Z426-O426),L426*Z426/100))</f>
        <v/>
      </c>
      <c r="N426">
        <f>IF($AB426="","",INDEX('Per Line'!$V$2:$V$4001,$AB426)&amp;"")</f>
        <v/>
      </c>
      <c r="O426">
        <f>IF($AB426="","",INDEX('Per Line'!$Z$2:$Z$4001,$AB426))</f>
        <v/>
      </c>
      <c r="P426">
        <f>IF($AB426="","",IF(AND(ISNUMBER(O426),O426&gt;0),Z426&gt;O426,FALSE))</f>
        <v/>
      </c>
      <c r="Q426" s="7">
        <f>IF($AB426="","",SUMIFS('Per Line'!$U$2:$U$4001,'Per Line'!$C$2:$C$4001,$B426,'Per Line'!$AM$2:$AM$4001,1))</f>
        <v/>
      </c>
      <c r="R426">
        <f>IF($AB426="","",Settings!$C$7)</f>
        <v/>
      </c>
      <c r="S426" s="7">
        <f>IF($AB426="","",SUMIFS('Per Line'!$U$2:$U$4001,'Per Line'!$C$2:$C$4001,$B426,'Per Line'!$AL$2:$AL$4001,0,'Per Line'!$AM$2:$AM$4001,0))</f>
        <v/>
      </c>
      <c r="T426" s="7">
        <f>IF($AB426="","",S426*R426)</f>
        <v/>
      </c>
      <c r="U426">
        <f>IF($AB426="","",Settings!$C$6)</f>
        <v/>
      </c>
      <c r="V426" s="7">
        <f>IF($AB426="","",SUMIFS('Per Line'!$U$2:$U$4001,'Per Line'!$C$2:$C$4001,$B426,'Per Line'!$AL$2:$AL$4001,1,'Per Line'!$AM$2:$AM$4001,0))</f>
        <v/>
      </c>
      <c r="W426" s="7">
        <f>IF($AB426="","",V426*U426)</f>
        <v/>
      </c>
      <c r="X426" s="7">
        <f>IF($AB426="","",W426+T426)</f>
        <v/>
      </c>
      <c r="Y426" s="7">
        <f>IF($AB426="","",Z426-X426)</f>
        <v/>
      </c>
      <c r="Z426" s="7">
        <f>IF($AB426="","",S426+V426+Q426)</f>
        <v/>
      </c>
      <c r="AA426" s="7">
        <f>IF($AB426="","",Z426-X426-M426)</f>
        <v/>
      </c>
      <c r="AB426" s="13">
        <f>IF(ROWS($AB$2:$AB426)&lt;=MAX('Per Line'!$AK$2:$AK$4001),MATCH(ROWS($AB$2:$AB426),'Per Line'!$AK$2:$AK$4001,0),"")</f>
        <v/>
      </c>
      <c r="AC426" s="14">
        <f>IF($AB426="","",M426-L426*Z426/100)</f>
        <v/>
      </c>
    </row>
    <row r="427">
      <c r="A427" s="12" t="n"/>
      <c r="B427">
        <f>IF($AB427="","",INDEX('Per Line'!$C$2:$C$4001,$AB427)&amp;"")</f>
        <v/>
      </c>
      <c r="C427">
        <f>IF($AB427="","",INDEX('Per Line'!$D$2:$D$4001,$AB427)&amp;"")</f>
        <v/>
      </c>
      <c r="D427">
        <f>IF($AB427="","",INDEX('Per Line'!$B$2:$B$4001,$AB427)&amp;"")</f>
        <v/>
      </c>
      <c r="E427">
        <f>IF($AB427="","",INDEX('Per Line'!$A$2:$A$4001,$AB427))</f>
        <v/>
      </c>
      <c r="F427" s="11">
        <f>IF($AB427="","",INDEX('Per Line'!$E$2:$E$4001,$AB427))</f>
        <v/>
      </c>
      <c r="G427">
        <f>IF($AB427="","",INDEX('Per Line'!$F$2:$F$4001,$AB427)&amp;"")</f>
        <v/>
      </c>
      <c r="H427">
        <f>IF($AB427="","",INDEX('Per Line'!$H$2:$H$4001,$AB427)&amp;"")</f>
        <v/>
      </c>
      <c r="I427">
        <f>IF($AB427="","",INDEX('Per Line'!$I$2:$I$4001,$AB427)&amp;"")</f>
        <v/>
      </c>
      <c r="J427">
        <f>IF($AB427="","",INDEX('Per Line'!$J$2:$J$4001,$AB427)&amp;"")</f>
        <v/>
      </c>
      <c r="K427">
        <f>IF($AB427="","",INDEX('Per Line'!$K$2:$K$4001,$AB427)&amp;"")</f>
        <v/>
      </c>
      <c r="L427">
        <f>IF($AB427="","",INDEX('Per Line'!$L$2:$L$4001,$AB427))</f>
        <v/>
      </c>
      <c r="M427" s="7">
        <f>IF($AB427="","",IF(AND(ISNUMBER(O427),O427&gt;0,Z427&gt;O427),L427*O427/100+(Z427-O427),L427*Z427/100))</f>
        <v/>
      </c>
      <c r="N427">
        <f>IF($AB427="","",INDEX('Per Line'!$V$2:$V$4001,$AB427)&amp;"")</f>
        <v/>
      </c>
      <c r="O427">
        <f>IF($AB427="","",INDEX('Per Line'!$Z$2:$Z$4001,$AB427))</f>
        <v/>
      </c>
      <c r="P427">
        <f>IF($AB427="","",IF(AND(ISNUMBER(O427),O427&gt;0),Z427&gt;O427,FALSE))</f>
        <v/>
      </c>
      <c r="Q427" s="7">
        <f>IF($AB427="","",SUMIFS('Per Line'!$U$2:$U$4001,'Per Line'!$C$2:$C$4001,$B427,'Per Line'!$AM$2:$AM$4001,1))</f>
        <v/>
      </c>
      <c r="R427">
        <f>IF($AB427="","",Settings!$C$7)</f>
        <v/>
      </c>
      <c r="S427" s="7">
        <f>IF($AB427="","",SUMIFS('Per Line'!$U$2:$U$4001,'Per Line'!$C$2:$C$4001,$B427,'Per Line'!$AL$2:$AL$4001,0,'Per Line'!$AM$2:$AM$4001,0))</f>
        <v/>
      </c>
      <c r="T427" s="7">
        <f>IF($AB427="","",S427*R427)</f>
        <v/>
      </c>
      <c r="U427">
        <f>IF($AB427="","",Settings!$C$6)</f>
        <v/>
      </c>
      <c r="V427" s="7">
        <f>IF($AB427="","",SUMIFS('Per Line'!$U$2:$U$4001,'Per Line'!$C$2:$C$4001,$B427,'Per Line'!$AL$2:$AL$4001,1,'Per Line'!$AM$2:$AM$4001,0))</f>
        <v/>
      </c>
      <c r="W427" s="7">
        <f>IF($AB427="","",V427*U427)</f>
        <v/>
      </c>
      <c r="X427" s="7">
        <f>IF($AB427="","",W427+T427)</f>
        <v/>
      </c>
      <c r="Y427" s="7">
        <f>IF($AB427="","",Z427-X427)</f>
        <v/>
      </c>
      <c r="Z427" s="7">
        <f>IF($AB427="","",S427+V427+Q427)</f>
        <v/>
      </c>
      <c r="AA427" s="7">
        <f>IF($AB427="","",Z427-X427-M427)</f>
        <v/>
      </c>
      <c r="AB427" s="13">
        <f>IF(ROWS($AB$2:$AB427)&lt;=MAX('Per Line'!$AK$2:$AK$4001),MATCH(ROWS($AB$2:$AB427),'Per Line'!$AK$2:$AK$4001,0),"")</f>
        <v/>
      </c>
      <c r="AC427" s="14">
        <f>IF($AB427="","",M427-L427*Z427/100)</f>
        <v/>
      </c>
    </row>
    <row r="428">
      <c r="A428" s="12" t="n"/>
      <c r="B428">
        <f>IF($AB428="","",INDEX('Per Line'!$C$2:$C$4001,$AB428)&amp;"")</f>
        <v/>
      </c>
      <c r="C428">
        <f>IF($AB428="","",INDEX('Per Line'!$D$2:$D$4001,$AB428)&amp;"")</f>
        <v/>
      </c>
      <c r="D428">
        <f>IF($AB428="","",INDEX('Per Line'!$B$2:$B$4001,$AB428)&amp;"")</f>
        <v/>
      </c>
      <c r="E428">
        <f>IF($AB428="","",INDEX('Per Line'!$A$2:$A$4001,$AB428))</f>
        <v/>
      </c>
      <c r="F428" s="11">
        <f>IF($AB428="","",INDEX('Per Line'!$E$2:$E$4001,$AB428))</f>
        <v/>
      </c>
      <c r="G428">
        <f>IF($AB428="","",INDEX('Per Line'!$F$2:$F$4001,$AB428)&amp;"")</f>
        <v/>
      </c>
      <c r="H428">
        <f>IF($AB428="","",INDEX('Per Line'!$H$2:$H$4001,$AB428)&amp;"")</f>
        <v/>
      </c>
      <c r="I428">
        <f>IF($AB428="","",INDEX('Per Line'!$I$2:$I$4001,$AB428)&amp;"")</f>
        <v/>
      </c>
      <c r="J428">
        <f>IF($AB428="","",INDEX('Per Line'!$J$2:$J$4001,$AB428)&amp;"")</f>
        <v/>
      </c>
      <c r="K428">
        <f>IF($AB428="","",INDEX('Per Line'!$K$2:$K$4001,$AB428)&amp;"")</f>
        <v/>
      </c>
      <c r="L428">
        <f>IF($AB428="","",INDEX('Per Line'!$L$2:$L$4001,$AB428))</f>
        <v/>
      </c>
      <c r="M428" s="7">
        <f>IF($AB428="","",IF(AND(ISNUMBER(O428),O428&gt;0,Z428&gt;O428),L428*O428/100+(Z428-O428),L428*Z428/100))</f>
        <v/>
      </c>
      <c r="N428">
        <f>IF($AB428="","",INDEX('Per Line'!$V$2:$V$4001,$AB428)&amp;"")</f>
        <v/>
      </c>
      <c r="O428">
        <f>IF($AB428="","",INDEX('Per Line'!$Z$2:$Z$4001,$AB428))</f>
        <v/>
      </c>
      <c r="P428">
        <f>IF($AB428="","",IF(AND(ISNUMBER(O428),O428&gt;0),Z428&gt;O428,FALSE))</f>
        <v/>
      </c>
      <c r="Q428" s="7">
        <f>IF($AB428="","",SUMIFS('Per Line'!$U$2:$U$4001,'Per Line'!$C$2:$C$4001,$B428,'Per Line'!$AM$2:$AM$4001,1))</f>
        <v/>
      </c>
      <c r="R428">
        <f>IF($AB428="","",Settings!$C$7)</f>
        <v/>
      </c>
      <c r="S428" s="7">
        <f>IF($AB428="","",SUMIFS('Per Line'!$U$2:$U$4001,'Per Line'!$C$2:$C$4001,$B428,'Per Line'!$AL$2:$AL$4001,0,'Per Line'!$AM$2:$AM$4001,0))</f>
        <v/>
      </c>
      <c r="T428" s="7">
        <f>IF($AB428="","",S428*R428)</f>
        <v/>
      </c>
      <c r="U428">
        <f>IF($AB428="","",Settings!$C$6)</f>
        <v/>
      </c>
      <c r="V428" s="7">
        <f>IF($AB428="","",SUMIFS('Per Line'!$U$2:$U$4001,'Per Line'!$C$2:$C$4001,$B428,'Per Line'!$AL$2:$AL$4001,1,'Per Line'!$AM$2:$AM$4001,0))</f>
        <v/>
      </c>
      <c r="W428" s="7">
        <f>IF($AB428="","",V428*U428)</f>
        <v/>
      </c>
      <c r="X428" s="7">
        <f>IF($AB428="","",W428+T428)</f>
        <v/>
      </c>
      <c r="Y428" s="7">
        <f>IF($AB428="","",Z428-X428)</f>
        <v/>
      </c>
      <c r="Z428" s="7">
        <f>IF($AB428="","",S428+V428+Q428)</f>
        <v/>
      </c>
      <c r="AA428" s="7">
        <f>IF($AB428="","",Z428-X428-M428)</f>
        <v/>
      </c>
      <c r="AB428" s="13">
        <f>IF(ROWS($AB$2:$AB428)&lt;=MAX('Per Line'!$AK$2:$AK$4001),MATCH(ROWS($AB$2:$AB428),'Per Line'!$AK$2:$AK$4001,0),"")</f>
        <v/>
      </c>
      <c r="AC428" s="14">
        <f>IF($AB428="","",M428-L428*Z428/100)</f>
        <v/>
      </c>
    </row>
    <row r="429">
      <c r="A429" s="12" t="n"/>
      <c r="B429">
        <f>IF($AB429="","",INDEX('Per Line'!$C$2:$C$4001,$AB429)&amp;"")</f>
        <v/>
      </c>
      <c r="C429">
        <f>IF($AB429="","",INDEX('Per Line'!$D$2:$D$4001,$AB429)&amp;"")</f>
        <v/>
      </c>
      <c r="D429">
        <f>IF($AB429="","",INDEX('Per Line'!$B$2:$B$4001,$AB429)&amp;"")</f>
        <v/>
      </c>
      <c r="E429">
        <f>IF($AB429="","",INDEX('Per Line'!$A$2:$A$4001,$AB429))</f>
        <v/>
      </c>
      <c r="F429" s="11">
        <f>IF($AB429="","",INDEX('Per Line'!$E$2:$E$4001,$AB429))</f>
        <v/>
      </c>
      <c r="G429">
        <f>IF($AB429="","",INDEX('Per Line'!$F$2:$F$4001,$AB429)&amp;"")</f>
        <v/>
      </c>
      <c r="H429">
        <f>IF($AB429="","",INDEX('Per Line'!$H$2:$H$4001,$AB429)&amp;"")</f>
        <v/>
      </c>
      <c r="I429">
        <f>IF($AB429="","",INDEX('Per Line'!$I$2:$I$4001,$AB429)&amp;"")</f>
        <v/>
      </c>
      <c r="J429">
        <f>IF($AB429="","",INDEX('Per Line'!$J$2:$J$4001,$AB429)&amp;"")</f>
        <v/>
      </c>
      <c r="K429">
        <f>IF($AB429="","",INDEX('Per Line'!$K$2:$K$4001,$AB429)&amp;"")</f>
        <v/>
      </c>
      <c r="L429">
        <f>IF($AB429="","",INDEX('Per Line'!$L$2:$L$4001,$AB429))</f>
        <v/>
      </c>
      <c r="M429" s="7">
        <f>IF($AB429="","",IF(AND(ISNUMBER(O429),O429&gt;0,Z429&gt;O429),L429*O429/100+(Z429-O429),L429*Z429/100))</f>
        <v/>
      </c>
      <c r="N429">
        <f>IF($AB429="","",INDEX('Per Line'!$V$2:$V$4001,$AB429)&amp;"")</f>
        <v/>
      </c>
      <c r="O429">
        <f>IF($AB429="","",INDEX('Per Line'!$Z$2:$Z$4001,$AB429))</f>
        <v/>
      </c>
      <c r="P429">
        <f>IF($AB429="","",IF(AND(ISNUMBER(O429),O429&gt;0),Z429&gt;O429,FALSE))</f>
        <v/>
      </c>
      <c r="Q429" s="7">
        <f>IF($AB429="","",SUMIFS('Per Line'!$U$2:$U$4001,'Per Line'!$C$2:$C$4001,$B429,'Per Line'!$AM$2:$AM$4001,1))</f>
        <v/>
      </c>
      <c r="R429">
        <f>IF($AB429="","",Settings!$C$7)</f>
        <v/>
      </c>
      <c r="S429" s="7">
        <f>IF($AB429="","",SUMIFS('Per Line'!$U$2:$U$4001,'Per Line'!$C$2:$C$4001,$B429,'Per Line'!$AL$2:$AL$4001,0,'Per Line'!$AM$2:$AM$4001,0))</f>
        <v/>
      </c>
      <c r="T429" s="7">
        <f>IF($AB429="","",S429*R429)</f>
        <v/>
      </c>
      <c r="U429">
        <f>IF($AB429="","",Settings!$C$6)</f>
        <v/>
      </c>
      <c r="V429" s="7">
        <f>IF($AB429="","",SUMIFS('Per Line'!$U$2:$U$4001,'Per Line'!$C$2:$C$4001,$B429,'Per Line'!$AL$2:$AL$4001,1,'Per Line'!$AM$2:$AM$4001,0))</f>
        <v/>
      </c>
      <c r="W429" s="7">
        <f>IF($AB429="","",V429*U429)</f>
        <v/>
      </c>
      <c r="X429" s="7">
        <f>IF($AB429="","",W429+T429)</f>
        <v/>
      </c>
      <c r="Y429" s="7">
        <f>IF($AB429="","",Z429-X429)</f>
        <v/>
      </c>
      <c r="Z429" s="7">
        <f>IF($AB429="","",S429+V429+Q429)</f>
        <v/>
      </c>
      <c r="AA429" s="7">
        <f>IF($AB429="","",Z429-X429-M429)</f>
        <v/>
      </c>
      <c r="AB429" s="13">
        <f>IF(ROWS($AB$2:$AB429)&lt;=MAX('Per Line'!$AK$2:$AK$4001),MATCH(ROWS($AB$2:$AB429),'Per Line'!$AK$2:$AK$4001,0),"")</f>
        <v/>
      </c>
      <c r="AC429" s="14">
        <f>IF($AB429="","",M429-L429*Z429/100)</f>
        <v/>
      </c>
    </row>
    <row r="430">
      <c r="A430" s="12" t="n"/>
      <c r="B430">
        <f>IF($AB430="","",INDEX('Per Line'!$C$2:$C$4001,$AB430)&amp;"")</f>
        <v/>
      </c>
      <c r="C430">
        <f>IF($AB430="","",INDEX('Per Line'!$D$2:$D$4001,$AB430)&amp;"")</f>
        <v/>
      </c>
      <c r="D430">
        <f>IF($AB430="","",INDEX('Per Line'!$B$2:$B$4001,$AB430)&amp;"")</f>
        <v/>
      </c>
      <c r="E430">
        <f>IF($AB430="","",INDEX('Per Line'!$A$2:$A$4001,$AB430))</f>
        <v/>
      </c>
      <c r="F430" s="11">
        <f>IF($AB430="","",INDEX('Per Line'!$E$2:$E$4001,$AB430))</f>
        <v/>
      </c>
      <c r="G430">
        <f>IF($AB430="","",INDEX('Per Line'!$F$2:$F$4001,$AB430)&amp;"")</f>
        <v/>
      </c>
      <c r="H430">
        <f>IF($AB430="","",INDEX('Per Line'!$H$2:$H$4001,$AB430)&amp;"")</f>
        <v/>
      </c>
      <c r="I430">
        <f>IF($AB430="","",INDEX('Per Line'!$I$2:$I$4001,$AB430)&amp;"")</f>
        <v/>
      </c>
      <c r="J430">
        <f>IF($AB430="","",INDEX('Per Line'!$J$2:$J$4001,$AB430)&amp;"")</f>
        <v/>
      </c>
      <c r="K430">
        <f>IF($AB430="","",INDEX('Per Line'!$K$2:$K$4001,$AB430)&amp;"")</f>
        <v/>
      </c>
      <c r="L430">
        <f>IF($AB430="","",INDEX('Per Line'!$L$2:$L$4001,$AB430))</f>
        <v/>
      </c>
      <c r="M430" s="7">
        <f>IF($AB430="","",IF(AND(ISNUMBER(O430),O430&gt;0,Z430&gt;O430),L430*O430/100+(Z430-O430),L430*Z430/100))</f>
        <v/>
      </c>
      <c r="N430">
        <f>IF($AB430="","",INDEX('Per Line'!$V$2:$V$4001,$AB430)&amp;"")</f>
        <v/>
      </c>
      <c r="O430">
        <f>IF($AB430="","",INDEX('Per Line'!$Z$2:$Z$4001,$AB430))</f>
        <v/>
      </c>
      <c r="P430">
        <f>IF($AB430="","",IF(AND(ISNUMBER(O430),O430&gt;0),Z430&gt;O430,FALSE))</f>
        <v/>
      </c>
      <c r="Q430" s="7">
        <f>IF($AB430="","",SUMIFS('Per Line'!$U$2:$U$4001,'Per Line'!$C$2:$C$4001,$B430,'Per Line'!$AM$2:$AM$4001,1))</f>
        <v/>
      </c>
      <c r="R430">
        <f>IF($AB430="","",Settings!$C$7)</f>
        <v/>
      </c>
      <c r="S430" s="7">
        <f>IF($AB430="","",SUMIFS('Per Line'!$U$2:$U$4001,'Per Line'!$C$2:$C$4001,$B430,'Per Line'!$AL$2:$AL$4001,0,'Per Line'!$AM$2:$AM$4001,0))</f>
        <v/>
      </c>
      <c r="T430" s="7">
        <f>IF($AB430="","",S430*R430)</f>
        <v/>
      </c>
      <c r="U430">
        <f>IF($AB430="","",Settings!$C$6)</f>
        <v/>
      </c>
      <c r="V430" s="7">
        <f>IF($AB430="","",SUMIFS('Per Line'!$U$2:$U$4001,'Per Line'!$C$2:$C$4001,$B430,'Per Line'!$AL$2:$AL$4001,1,'Per Line'!$AM$2:$AM$4001,0))</f>
        <v/>
      </c>
      <c r="W430" s="7">
        <f>IF($AB430="","",V430*U430)</f>
        <v/>
      </c>
      <c r="X430" s="7">
        <f>IF($AB430="","",W430+T430)</f>
        <v/>
      </c>
      <c r="Y430" s="7">
        <f>IF($AB430="","",Z430-X430)</f>
        <v/>
      </c>
      <c r="Z430" s="7">
        <f>IF($AB430="","",S430+V430+Q430)</f>
        <v/>
      </c>
      <c r="AA430" s="7">
        <f>IF($AB430="","",Z430-X430-M430)</f>
        <v/>
      </c>
      <c r="AB430" s="13">
        <f>IF(ROWS($AB$2:$AB430)&lt;=MAX('Per Line'!$AK$2:$AK$4001),MATCH(ROWS($AB$2:$AB430),'Per Line'!$AK$2:$AK$4001,0),"")</f>
        <v/>
      </c>
      <c r="AC430" s="14">
        <f>IF($AB430="","",M430-L430*Z430/100)</f>
        <v/>
      </c>
    </row>
    <row r="431">
      <c r="A431" s="12" t="n"/>
      <c r="B431">
        <f>IF($AB431="","",INDEX('Per Line'!$C$2:$C$4001,$AB431)&amp;"")</f>
        <v/>
      </c>
      <c r="C431">
        <f>IF($AB431="","",INDEX('Per Line'!$D$2:$D$4001,$AB431)&amp;"")</f>
        <v/>
      </c>
      <c r="D431">
        <f>IF($AB431="","",INDEX('Per Line'!$B$2:$B$4001,$AB431)&amp;"")</f>
        <v/>
      </c>
      <c r="E431">
        <f>IF($AB431="","",INDEX('Per Line'!$A$2:$A$4001,$AB431))</f>
        <v/>
      </c>
      <c r="F431" s="11">
        <f>IF($AB431="","",INDEX('Per Line'!$E$2:$E$4001,$AB431))</f>
        <v/>
      </c>
      <c r="G431">
        <f>IF($AB431="","",INDEX('Per Line'!$F$2:$F$4001,$AB431)&amp;"")</f>
        <v/>
      </c>
      <c r="H431">
        <f>IF($AB431="","",INDEX('Per Line'!$H$2:$H$4001,$AB431)&amp;"")</f>
        <v/>
      </c>
      <c r="I431">
        <f>IF($AB431="","",INDEX('Per Line'!$I$2:$I$4001,$AB431)&amp;"")</f>
        <v/>
      </c>
      <c r="J431">
        <f>IF($AB431="","",INDEX('Per Line'!$J$2:$J$4001,$AB431)&amp;"")</f>
        <v/>
      </c>
      <c r="K431">
        <f>IF($AB431="","",INDEX('Per Line'!$K$2:$K$4001,$AB431)&amp;"")</f>
        <v/>
      </c>
      <c r="L431">
        <f>IF($AB431="","",INDEX('Per Line'!$L$2:$L$4001,$AB431))</f>
        <v/>
      </c>
      <c r="M431" s="7">
        <f>IF($AB431="","",IF(AND(ISNUMBER(O431),O431&gt;0,Z431&gt;O431),L431*O431/100+(Z431-O431),L431*Z431/100))</f>
        <v/>
      </c>
      <c r="N431">
        <f>IF($AB431="","",INDEX('Per Line'!$V$2:$V$4001,$AB431)&amp;"")</f>
        <v/>
      </c>
      <c r="O431">
        <f>IF($AB431="","",INDEX('Per Line'!$Z$2:$Z$4001,$AB431))</f>
        <v/>
      </c>
      <c r="P431">
        <f>IF($AB431="","",IF(AND(ISNUMBER(O431),O431&gt;0),Z431&gt;O431,FALSE))</f>
        <v/>
      </c>
      <c r="Q431" s="7">
        <f>IF($AB431="","",SUMIFS('Per Line'!$U$2:$U$4001,'Per Line'!$C$2:$C$4001,$B431,'Per Line'!$AM$2:$AM$4001,1))</f>
        <v/>
      </c>
      <c r="R431">
        <f>IF($AB431="","",Settings!$C$7)</f>
        <v/>
      </c>
      <c r="S431" s="7">
        <f>IF($AB431="","",SUMIFS('Per Line'!$U$2:$U$4001,'Per Line'!$C$2:$C$4001,$B431,'Per Line'!$AL$2:$AL$4001,0,'Per Line'!$AM$2:$AM$4001,0))</f>
        <v/>
      </c>
      <c r="T431" s="7">
        <f>IF($AB431="","",S431*R431)</f>
        <v/>
      </c>
      <c r="U431">
        <f>IF($AB431="","",Settings!$C$6)</f>
        <v/>
      </c>
      <c r="V431" s="7">
        <f>IF($AB431="","",SUMIFS('Per Line'!$U$2:$U$4001,'Per Line'!$C$2:$C$4001,$B431,'Per Line'!$AL$2:$AL$4001,1,'Per Line'!$AM$2:$AM$4001,0))</f>
        <v/>
      </c>
      <c r="W431" s="7">
        <f>IF($AB431="","",V431*U431)</f>
        <v/>
      </c>
      <c r="X431" s="7">
        <f>IF($AB431="","",W431+T431)</f>
        <v/>
      </c>
      <c r="Y431" s="7">
        <f>IF($AB431="","",Z431-X431)</f>
        <v/>
      </c>
      <c r="Z431" s="7">
        <f>IF($AB431="","",S431+V431+Q431)</f>
        <v/>
      </c>
      <c r="AA431" s="7">
        <f>IF($AB431="","",Z431-X431-M431)</f>
        <v/>
      </c>
      <c r="AB431" s="13">
        <f>IF(ROWS($AB$2:$AB431)&lt;=MAX('Per Line'!$AK$2:$AK$4001),MATCH(ROWS($AB$2:$AB431),'Per Line'!$AK$2:$AK$4001,0),"")</f>
        <v/>
      </c>
      <c r="AC431" s="14">
        <f>IF($AB431="","",M431-L431*Z431/100)</f>
        <v/>
      </c>
    </row>
    <row r="432">
      <c r="A432" s="12" t="n"/>
      <c r="B432">
        <f>IF($AB432="","",INDEX('Per Line'!$C$2:$C$4001,$AB432)&amp;"")</f>
        <v/>
      </c>
      <c r="C432">
        <f>IF($AB432="","",INDEX('Per Line'!$D$2:$D$4001,$AB432)&amp;"")</f>
        <v/>
      </c>
      <c r="D432">
        <f>IF($AB432="","",INDEX('Per Line'!$B$2:$B$4001,$AB432)&amp;"")</f>
        <v/>
      </c>
      <c r="E432">
        <f>IF($AB432="","",INDEX('Per Line'!$A$2:$A$4001,$AB432))</f>
        <v/>
      </c>
      <c r="F432" s="11">
        <f>IF($AB432="","",INDEX('Per Line'!$E$2:$E$4001,$AB432))</f>
        <v/>
      </c>
      <c r="G432">
        <f>IF($AB432="","",INDEX('Per Line'!$F$2:$F$4001,$AB432)&amp;"")</f>
        <v/>
      </c>
      <c r="H432">
        <f>IF($AB432="","",INDEX('Per Line'!$H$2:$H$4001,$AB432)&amp;"")</f>
        <v/>
      </c>
      <c r="I432">
        <f>IF($AB432="","",INDEX('Per Line'!$I$2:$I$4001,$AB432)&amp;"")</f>
        <v/>
      </c>
      <c r="J432">
        <f>IF($AB432="","",INDEX('Per Line'!$J$2:$J$4001,$AB432)&amp;"")</f>
        <v/>
      </c>
      <c r="K432">
        <f>IF($AB432="","",INDEX('Per Line'!$K$2:$K$4001,$AB432)&amp;"")</f>
        <v/>
      </c>
      <c r="L432">
        <f>IF($AB432="","",INDEX('Per Line'!$L$2:$L$4001,$AB432))</f>
        <v/>
      </c>
      <c r="M432" s="7">
        <f>IF($AB432="","",IF(AND(ISNUMBER(O432),O432&gt;0,Z432&gt;O432),L432*O432/100+(Z432-O432),L432*Z432/100))</f>
        <v/>
      </c>
      <c r="N432">
        <f>IF($AB432="","",INDEX('Per Line'!$V$2:$V$4001,$AB432)&amp;"")</f>
        <v/>
      </c>
      <c r="O432">
        <f>IF($AB432="","",INDEX('Per Line'!$Z$2:$Z$4001,$AB432))</f>
        <v/>
      </c>
      <c r="P432">
        <f>IF($AB432="","",IF(AND(ISNUMBER(O432),O432&gt;0),Z432&gt;O432,FALSE))</f>
        <v/>
      </c>
      <c r="Q432" s="7">
        <f>IF($AB432="","",SUMIFS('Per Line'!$U$2:$U$4001,'Per Line'!$C$2:$C$4001,$B432,'Per Line'!$AM$2:$AM$4001,1))</f>
        <v/>
      </c>
      <c r="R432">
        <f>IF($AB432="","",Settings!$C$7)</f>
        <v/>
      </c>
      <c r="S432" s="7">
        <f>IF($AB432="","",SUMIFS('Per Line'!$U$2:$U$4001,'Per Line'!$C$2:$C$4001,$B432,'Per Line'!$AL$2:$AL$4001,0,'Per Line'!$AM$2:$AM$4001,0))</f>
        <v/>
      </c>
      <c r="T432" s="7">
        <f>IF($AB432="","",S432*R432)</f>
        <v/>
      </c>
      <c r="U432">
        <f>IF($AB432="","",Settings!$C$6)</f>
        <v/>
      </c>
      <c r="V432" s="7">
        <f>IF($AB432="","",SUMIFS('Per Line'!$U$2:$U$4001,'Per Line'!$C$2:$C$4001,$B432,'Per Line'!$AL$2:$AL$4001,1,'Per Line'!$AM$2:$AM$4001,0))</f>
        <v/>
      </c>
      <c r="W432" s="7">
        <f>IF($AB432="","",V432*U432)</f>
        <v/>
      </c>
      <c r="X432" s="7">
        <f>IF($AB432="","",W432+T432)</f>
        <v/>
      </c>
      <c r="Y432" s="7">
        <f>IF($AB432="","",Z432-X432)</f>
        <v/>
      </c>
      <c r="Z432" s="7">
        <f>IF($AB432="","",S432+V432+Q432)</f>
        <v/>
      </c>
      <c r="AA432" s="7">
        <f>IF($AB432="","",Z432-X432-M432)</f>
        <v/>
      </c>
      <c r="AB432" s="13">
        <f>IF(ROWS($AB$2:$AB432)&lt;=MAX('Per Line'!$AK$2:$AK$4001),MATCH(ROWS($AB$2:$AB432),'Per Line'!$AK$2:$AK$4001,0),"")</f>
        <v/>
      </c>
      <c r="AC432" s="14">
        <f>IF($AB432="","",M432-L432*Z432/100)</f>
        <v/>
      </c>
    </row>
    <row r="433">
      <c r="A433" s="12" t="n"/>
      <c r="B433">
        <f>IF($AB433="","",INDEX('Per Line'!$C$2:$C$4001,$AB433)&amp;"")</f>
        <v/>
      </c>
      <c r="C433">
        <f>IF($AB433="","",INDEX('Per Line'!$D$2:$D$4001,$AB433)&amp;"")</f>
        <v/>
      </c>
      <c r="D433">
        <f>IF($AB433="","",INDEX('Per Line'!$B$2:$B$4001,$AB433)&amp;"")</f>
        <v/>
      </c>
      <c r="E433">
        <f>IF($AB433="","",INDEX('Per Line'!$A$2:$A$4001,$AB433))</f>
        <v/>
      </c>
      <c r="F433" s="11">
        <f>IF($AB433="","",INDEX('Per Line'!$E$2:$E$4001,$AB433))</f>
        <v/>
      </c>
      <c r="G433">
        <f>IF($AB433="","",INDEX('Per Line'!$F$2:$F$4001,$AB433)&amp;"")</f>
        <v/>
      </c>
      <c r="H433">
        <f>IF($AB433="","",INDEX('Per Line'!$H$2:$H$4001,$AB433)&amp;"")</f>
        <v/>
      </c>
      <c r="I433">
        <f>IF($AB433="","",INDEX('Per Line'!$I$2:$I$4001,$AB433)&amp;"")</f>
        <v/>
      </c>
      <c r="J433">
        <f>IF($AB433="","",INDEX('Per Line'!$J$2:$J$4001,$AB433)&amp;"")</f>
        <v/>
      </c>
      <c r="K433">
        <f>IF($AB433="","",INDEX('Per Line'!$K$2:$K$4001,$AB433)&amp;"")</f>
        <v/>
      </c>
      <c r="L433">
        <f>IF($AB433="","",INDEX('Per Line'!$L$2:$L$4001,$AB433))</f>
        <v/>
      </c>
      <c r="M433" s="7">
        <f>IF($AB433="","",IF(AND(ISNUMBER(O433),O433&gt;0,Z433&gt;O433),L433*O433/100+(Z433-O433),L433*Z433/100))</f>
        <v/>
      </c>
      <c r="N433">
        <f>IF($AB433="","",INDEX('Per Line'!$V$2:$V$4001,$AB433)&amp;"")</f>
        <v/>
      </c>
      <c r="O433">
        <f>IF($AB433="","",INDEX('Per Line'!$Z$2:$Z$4001,$AB433))</f>
        <v/>
      </c>
      <c r="P433">
        <f>IF($AB433="","",IF(AND(ISNUMBER(O433),O433&gt;0),Z433&gt;O433,FALSE))</f>
        <v/>
      </c>
      <c r="Q433" s="7">
        <f>IF($AB433="","",SUMIFS('Per Line'!$U$2:$U$4001,'Per Line'!$C$2:$C$4001,$B433,'Per Line'!$AM$2:$AM$4001,1))</f>
        <v/>
      </c>
      <c r="R433">
        <f>IF($AB433="","",Settings!$C$7)</f>
        <v/>
      </c>
      <c r="S433" s="7">
        <f>IF($AB433="","",SUMIFS('Per Line'!$U$2:$U$4001,'Per Line'!$C$2:$C$4001,$B433,'Per Line'!$AL$2:$AL$4001,0,'Per Line'!$AM$2:$AM$4001,0))</f>
        <v/>
      </c>
      <c r="T433" s="7">
        <f>IF($AB433="","",S433*R433)</f>
        <v/>
      </c>
      <c r="U433">
        <f>IF($AB433="","",Settings!$C$6)</f>
        <v/>
      </c>
      <c r="V433" s="7">
        <f>IF($AB433="","",SUMIFS('Per Line'!$U$2:$U$4001,'Per Line'!$C$2:$C$4001,$B433,'Per Line'!$AL$2:$AL$4001,1,'Per Line'!$AM$2:$AM$4001,0))</f>
        <v/>
      </c>
      <c r="W433" s="7">
        <f>IF($AB433="","",V433*U433)</f>
        <v/>
      </c>
      <c r="X433" s="7">
        <f>IF($AB433="","",W433+T433)</f>
        <v/>
      </c>
      <c r="Y433" s="7">
        <f>IF($AB433="","",Z433-X433)</f>
        <v/>
      </c>
      <c r="Z433" s="7">
        <f>IF($AB433="","",S433+V433+Q433)</f>
        <v/>
      </c>
      <c r="AA433" s="7">
        <f>IF($AB433="","",Z433-X433-M433)</f>
        <v/>
      </c>
      <c r="AB433" s="13">
        <f>IF(ROWS($AB$2:$AB433)&lt;=MAX('Per Line'!$AK$2:$AK$4001),MATCH(ROWS($AB$2:$AB433),'Per Line'!$AK$2:$AK$4001,0),"")</f>
        <v/>
      </c>
      <c r="AC433" s="14">
        <f>IF($AB433="","",M433-L433*Z433/100)</f>
        <v/>
      </c>
    </row>
    <row r="434">
      <c r="A434" s="12" t="n"/>
      <c r="B434">
        <f>IF($AB434="","",INDEX('Per Line'!$C$2:$C$4001,$AB434)&amp;"")</f>
        <v/>
      </c>
      <c r="C434">
        <f>IF($AB434="","",INDEX('Per Line'!$D$2:$D$4001,$AB434)&amp;"")</f>
        <v/>
      </c>
      <c r="D434">
        <f>IF($AB434="","",INDEX('Per Line'!$B$2:$B$4001,$AB434)&amp;"")</f>
        <v/>
      </c>
      <c r="E434">
        <f>IF($AB434="","",INDEX('Per Line'!$A$2:$A$4001,$AB434))</f>
        <v/>
      </c>
      <c r="F434" s="11">
        <f>IF($AB434="","",INDEX('Per Line'!$E$2:$E$4001,$AB434))</f>
        <v/>
      </c>
      <c r="G434">
        <f>IF($AB434="","",INDEX('Per Line'!$F$2:$F$4001,$AB434)&amp;"")</f>
        <v/>
      </c>
      <c r="H434">
        <f>IF($AB434="","",INDEX('Per Line'!$H$2:$H$4001,$AB434)&amp;"")</f>
        <v/>
      </c>
      <c r="I434">
        <f>IF($AB434="","",INDEX('Per Line'!$I$2:$I$4001,$AB434)&amp;"")</f>
        <v/>
      </c>
      <c r="J434">
        <f>IF($AB434="","",INDEX('Per Line'!$J$2:$J$4001,$AB434)&amp;"")</f>
        <v/>
      </c>
      <c r="K434">
        <f>IF($AB434="","",INDEX('Per Line'!$K$2:$K$4001,$AB434)&amp;"")</f>
        <v/>
      </c>
      <c r="L434">
        <f>IF($AB434="","",INDEX('Per Line'!$L$2:$L$4001,$AB434))</f>
        <v/>
      </c>
      <c r="M434" s="7">
        <f>IF($AB434="","",IF(AND(ISNUMBER(O434),O434&gt;0,Z434&gt;O434),L434*O434/100+(Z434-O434),L434*Z434/100))</f>
        <v/>
      </c>
      <c r="N434">
        <f>IF($AB434="","",INDEX('Per Line'!$V$2:$V$4001,$AB434)&amp;"")</f>
        <v/>
      </c>
      <c r="O434">
        <f>IF($AB434="","",INDEX('Per Line'!$Z$2:$Z$4001,$AB434))</f>
        <v/>
      </c>
      <c r="P434">
        <f>IF($AB434="","",IF(AND(ISNUMBER(O434),O434&gt;0),Z434&gt;O434,FALSE))</f>
        <v/>
      </c>
      <c r="Q434" s="7">
        <f>IF($AB434="","",SUMIFS('Per Line'!$U$2:$U$4001,'Per Line'!$C$2:$C$4001,$B434,'Per Line'!$AM$2:$AM$4001,1))</f>
        <v/>
      </c>
      <c r="R434">
        <f>IF($AB434="","",Settings!$C$7)</f>
        <v/>
      </c>
      <c r="S434" s="7">
        <f>IF($AB434="","",SUMIFS('Per Line'!$U$2:$U$4001,'Per Line'!$C$2:$C$4001,$B434,'Per Line'!$AL$2:$AL$4001,0,'Per Line'!$AM$2:$AM$4001,0))</f>
        <v/>
      </c>
      <c r="T434" s="7">
        <f>IF($AB434="","",S434*R434)</f>
        <v/>
      </c>
      <c r="U434">
        <f>IF($AB434="","",Settings!$C$6)</f>
        <v/>
      </c>
      <c r="V434" s="7">
        <f>IF($AB434="","",SUMIFS('Per Line'!$U$2:$U$4001,'Per Line'!$C$2:$C$4001,$B434,'Per Line'!$AL$2:$AL$4001,1,'Per Line'!$AM$2:$AM$4001,0))</f>
        <v/>
      </c>
      <c r="W434" s="7">
        <f>IF($AB434="","",V434*U434)</f>
        <v/>
      </c>
      <c r="X434" s="7">
        <f>IF($AB434="","",W434+T434)</f>
        <v/>
      </c>
      <c r="Y434" s="7">
        <f>IF($AB434="","",Z434-X434)</f>
        <v/>
      </c>
      <c r="Z434" s="7">
        <f>IF($AB434="","",S434+V434+Q434)</f>
        <v/>
      </c>
      <c r="AA434" s="7">
        <f>IF($AB434="","",Z434-X434-M434)</f>
        <v/>
      </c>
      <c r="AB434" s="13">
        <f>IF(ROWS($AB$2:$AB434)&lt;=MAX('Per Line'!$AK$2:$AK$4001),MATCH(ROWS($AB$2:$AB434),'Per Line'!$AK$2:$AK$4001,0),"")</f>
        <v/>
      </c>
      <c r="AC434" s="14">
        <f>IF($AB434="","",M434-L434*Z434/100)</f>
        <v/>
      </c>
    </row>
    <row r="435">
      <c r="A435" s="12" t="n"/>
      <c r="B435">
        <f>IF($AB435="","",INDEX('Per Line'!$C$2:$C$4001,$AB435)&amp;"")</f>
        <v/>
      </c>
      <c r="C435">
        <f>IF($AB435="","",INDEX('Per Line'!$D$2:$D$4001,$AB435)&amp;"")</f>
        <v/>
      </c>
      <c r="D435">
        <f>IF($AB435="","",INDEX('Per Line'!$B$2:$B$4001,$AB435)&amp;"")</f>
        <v/>
      </c>
      <c r="E435">
        <f>IF($AB435="","",INDEX('Per Line'!$A$2:$A$4001,$AB435))</f>
        <v/>
      </c>
      <c r="F435" s="11">
        <f>IF($AB435="","",INDEX('Per Line'!$E$2:$E$4001,$AB435))</f>
        <v/>
      </c>
      <c r="G435">
        <f>IF($AB435="","",INDEX('Per Line'!$F$2:$F$4001,$AB435)&amp;"")</f>
        <v/>
      </c>
      <c r="H435">
        <f>IF($AB435="","",INDEX('Per Line'!$H$2:$H$4001,$AB435)&amp;"")</f>
        <v/>
      </c>
      <c r="I435">
        <f>IF($AB435="","",INDEX('Per Line'!$I$2:$I$4001,$AB435)&amp;"")</f>
        <v/>
      </c>
      <c r="J435">
        <f>IF($AB435="","",INDEX('Per Line'!$J$2:$J$4001,$AB435)&amp;"")</f>
        <v/>
      </c>
      <c r="K435">
        <f>IF($AB435="","",INDEX('Per Line'!$K$2:$K$4001,$AB435)&amp;"")</f>
        <v/>
      </c>
      <c r="L435">
        <f>IF($AB435="","",INDEX('Per Line'!$L$2:$L$4001,$AB435))</f>
        <v/>
      </c>
      <c r="M435" s="7">
        <f>IF($AB435="","",IF(AND(ISNUMBER(O435),O435&gt;0,Z435&gt;O435),L435*O435/100+(Z435-O435),L435*Z435/100))</f>
        <v/>
      </c>
      <c r="N435">
        <f>IF($AB435="","",INDEX('Per Line'!$V$2:$V$4001,$AB435)&amp;"")</f>
        <v/>
      </c>
      <c r="O435">
        <f>IF($AB435="","",INDEX('Per Line'!$Z$2:$Z$4001,$AB435))</f>
        <v/>
      </c>
      <c r="P435">
        <f>IF($AB435="","",IF(AND(ISNUMBER(O435),O435&gt;0),Z435&gt;O435,FALSE))</f>
        <v/>
      </c>
      <c r="Q435" s="7">
        <f>IF($AB435="","",SUMIFS('Per Line'!$U$2:$U$4001,'Per Line'!$C$2:$C$4001,$B435,'Per Line'!$AM$2:$AM$4001,1))</f>
        <v/>
      </c>
      <c r="R435">
        <f>IF($AB435="","",Settings!$C$7)</f>
        <v/>
      </c>
      <c r="S435" s="7">
        <f>IF($AB435="","",SUMIFS('Per Line'!$U$2:$U$4001,'Per Line'!$C$2:$C$4001,$B435,'Per Line'!$AL$2:$AL$4001,0,'Per Line'!$AM$2:$AM$4001,0))</f>
        <v/>
      </c>
      <c r="T435" s="7">
        <f>IF($AB435="","",S435*R435)</f>
        <v/>
      </c>
      <c r="U435">
        <f>IF($AB435="","",Settings!$C$6)</f>
        <v/>
      </c>
      <c r="V435" s="7">
        <f>IF($AB435="","",SUMIFS('Per Line'!$U$2:$U$4001,'Per Line'!$C$2:$C$4001,$B435,'Per Line'!$AL$2:$AL$4001,1,'Per Line'!$AM$2:$AM$4001,0))</f>
        <v/>
      </c>
      <c r="W435" s="7">
        <f>IF($AB435="","",V435*U435)</f>
        <v/>
      </c>
      <c r="X435" s="7">
        <f>IF($AB435="","",W435+T435)</f>
        <v/>
      </c>
      <c r="Y435" s="7">
        <f>IF($AB435="","",Z435-X435)</f>
        <v/>
      </c>
      <c r="Z435" s="7">
        <f>IF($AB435="","",S435+V435+Q435)</f>
        <v/>
      </c>
      <c r="AA435" s="7">
        <f>IF($AB435="","",Z435-X435-M435)</f>
        <v/>
      </c>
      <c r="AB435" s="13">
        <f>IF(ROWS($AB$2:$AB435)&lt;=MAX('Per Line'!$AK$2:$AK$4001),MATCH(ROWS($AB$2:$AB435),'Per Line'!$AK$2:$AK$4001,0),"")</f>
        <v/>
      </c>
      <c r="AC435" s="14">
        <f>IF($AB435="","",M435-L435*Z435/100)</f>
        <v/>
      </c>
    </row>
    <row r="436">
      <c r="A436" s="12" t="n"/>
      <c r="B436">
        <f>IF($AB436="","",INDEX('Per Line'!$C$2:$C$4001,$AB436)&amp;"")</f>
        <v/>
      </c>
      <c r="C436">
        <f>IF($AB436="","",INDEX('Per Line'!$D$2:$D$4001,$AB436)&amp;"")</f>
        <v/>
      </c>
      <c r="D436">
        <f>IF($AB436="","",INDEX('Per Line'!$B$2:$B$4001,$AB436)&amp;"")</f>
        <v/>
      </c>
      <c r="E436">
        <f>IF($AB436="","",INDEX('Per Line'!$A$2:$A$4001,$AB436))</f>
        <v/>
      </c>
      <c r="F436" s="11">
        <f>IF($AB436="","",INDEX('Per Line'!$E$2:$E$4001,$AB436))</f>
        <v/>
      </c>
      <c r="G436">
        <f>IF($AB436="","",INDEX('Per Line'!$F$2:$F$4001,$AB436)&amp;"")</f>
        <v/>
      </c>
      <c r="H436">
        <f>IF($AB436="","",INDEX('Per Line'!$H$2:$H$4001,$AB436)&amp;"")</f>
        <v/>
      </c>
      <c r="I436">
        <f>IF($AB436="","",INDEX('Per Line'!$I$2:$I$4001,$AB436)&amp;"")</f>
        <v/>
      </c>
      <c r="J436">
        <f>IF($AB436="","",INDEX('Per Line'!$J$2:$J$4001,$AB436)&amp;"")</f>
        <v/>
      </c>
      <c r="K436">
        <f>IF($AB436="","",INDEX('Per Line'!$K$2:$K$4001,$AB436)&amp;"")</f>
        <v/>
      </c>
      <c r="L436">
        <f>IF($AB436="","",INDEX('Per Line'!$L$2:$L$4001,$AB436))</f>
        <v/>
      </c>
      <c r="M436" s="7">
        <f>IF($AB436="","",IF(AND(ISNUMBER(O436),O436&gt;0,Z436&gt;O436),L436*O436/100+(Z436-O436),L436*Z436/100))</f>
        <v/>
      </c>
      <c r="N436">
        <f>IF($AB436="","",INDEX('Per Line'!$V$2:$V$4001,$AB436)&amp;"")</f>
        <v/>
      </c>
      <c r="O436">
        <f>IF($AB436="","",INDEX('Per Line'!$Z$2:$Z$4001,$AB436))</f>
        <v/>
      </c>
      <c r="P436">
        <f>IF($AB436="","",IF(AND(ISNUMBER(O436),O436&gt;0),Z436&gt;O436,FALSE))</f>
        <v/>
      </c>
      <c r="Q436" s="7">
        <f>IF($AB436="","",SUMIFS('Per Line'!$U$2:$U$4001,'Per Line'!$C$2:$C$4001,$B436,'Per Line'!$AM$2:$AM$4001,1))</f>
        <v/>
      </c>
      <c r="R436">
        <f>IF($AB436="","",Settings!$C$7)</f>
        <v/>
      </c>
      <c r="S436" s="7">
        <f>IF($AB436="","",SUMIFS('Per Line'!$U$2:$U$4001,'Per Line'!$C$2:$C$4001,$B436,'Per Line'!$AL$2:$AL$4001,0,'Per Line'!$AM$2:$AM$4001,0))</f>
        <v/>
      </c>
      <c r="T436" s="7">
        <f>IF($AB436="","",S436*R436)</f>
        <v/>
      </c>
      <c r="U436">
        <f>IF($AB436="","",Settings!$C$6)</f>
        <v/>
      </c>
      <c r="V436" s="7">
        <f>IF($AB436="","",SUMIFS('Per Line'!$U$2:$U$4001,'Per Line'!$C$2:$C$4001,$B436,'Per Line'!$AL$2:$AL$4001,1,'Per Line'!$AM$2:$AM$4001,0))</f>
        <v/>
      </c>
      <c r="W436" s="7">
        <f>IF($AB436="","",V436*U436)</f>
        <v/>
      </c>
      <c r="X436" s="7">
        <f>IF($AB436="","",W436+T436)</f>
        <v/>
      </c>
      <c r="Y436" s="7">
        <f>IF($AB436="","",Z436-X436)</f>
        <v/>
      </c>
      <c r="Z436" s="7">
        <f>IF($AB436="","",S436+V436+Q436)</f>
        <v/>
      </c>
      <c r="AA436" s="7">
        <f>IF($AB436="","",Z436-X436-M436)</f>
        <v/>
      </c>
      <c r="AB436" s="13">
        <f>IF(ROWS($AB$2:$AB436)&lt;=MAX('Per Line'!$AK$2:$AK$4001),MATCH(ROWS($AB$2:$AB436),'Per Line'!$AK$2:$AK$4001,0),"")</f>
        <v/>
      </c>
      <c r="AC436" s="14">
        <f>IF($AB436="","",M436-L436*Z436/100)</f>
        <v/>
      </c>
    </row>
    <row r="437">
      <c r="A437" s="12" t="n"/>
      <c r="B437">
        <f>IF($AB437="","",INDEX('Per Line'!$C$2:$C$4001,$AB437)&amp;"")</f>
        <v/>
      </c>
      <c r="C437">
        <f>IF($AB437="","",INDEX('Per Line'!$D$2:$D$4001,$AB437)&amp;"")</f>
        <v/>
      </c>
      <c r="D437">
        <f>IF($AB437="","",INDEX('Per Line'!$B$2:$B$4001,$AB437)&amp;"")</f>
        <v/>
      </c>
      <c r="E437">
        <f>IF($AB437="","",INDEX('Per Line'!$A$2:$A$4001,$AB437))</f>
        <v/>
      </c>
      <c r="F437" s="11">
        <f>IF($AB437="","",INDEX('Per Line'!$E$2:$E$4001,$AB437))</f>
        <v/>
      </c>
      <c r="G437">
        <f>IF($AB437="","",INDEX('Per Line'!$F$2:$F$4001,$AB437)&amp;"")</f>
        <v/>
      </c>
      <c r="H437">
        <f>IF($AB437="","",INDEX('Per Line'!$H$2:$H$4001,$AB437)&amp;"")</f>
        <v/>
      </c>
      <c r="I437">
        <f>IF($AB437="","",INDEX('Per Line'!$I$2:$I$4001,$AB437)&amp;"")</f>
        <v/>
      </c>
      <c r="J437">
        <f>IF($AB437="","",INDEX('Per Line'!$J$2:$J$4001,$AB437)&amp;"")</f>
        <v/>
      </c>
      <c r="K437">
        <f>IF($AB437="","",INDEX('Per Line'!$K$2:$K$4001,$AB437)&amp;"")</f>
        <v/>
      </c>
      <c r="L437">
        <f>IF($AB437="","",INDEX('Per Line'!$L$2:$L$4001,$AB437))</f>
        <v/>
      </c>
      <c r="M437" s="7">
        <f>IF($AB437="","",IF(AND(ISNUMBER(O437),O437&gt;0,Z437&gt;O437),L437*O437/100+(Z437-O437),L437*Z437/100))</f>
        <v/>
      </c>
      <c r="N437">
        <f>IF($AB437="","",INDEX('Per Line'!$V$2:$V$4001,$AB437)&amp;"")</f>
        <v/>
      </c>
      <c r="O437">
        <f>IF($AB437="","",INDEX('Per Line'!$Z$2:$Z$4001,$AB437))</f>
        <v/>
      </c>
      <c r="P437">
        <f>IF($AB437="","",IF(AND(ISNUMBER(O437),O437&gt;0),Z437&gt;O437,FALSE))</f>
        <v/>
      </c>
      <c r="Q437" s="7">
        <f>IF($AB437="","",SUMIFS('Per Line'!$U$2:$U$4001,'Per Line'!$C$2:$C$4001,$B437,'Per Line'!$AM$2:$AM$4001,1))</f>
        <v/>
      </c>
      <c r="R437">
        <f>IF($AB437="","",Settings!$C$7)</f>
        <v/>
      </c>
      <c r="S437" s="7">
        <f>IF($AB437="","",SUMIFS('Per Line'!$U$2:$U$4001,'Per Line'!$C$2:$C$4001,$B437,'Per Line'!$AL$2:$AL$4001,0,'Per Line'!$AM$2:$AM$4001,0))</f>
        <v/>
      </c>
      <c r="T437" s="7">
        <f>IF($AB437="","",S437*R437)</f>
        <v/>
      </c>
      <c r="U437">
        <f>IF($AB437="","",Settings!$C$6)</f>
        <v/>
      </c>
      <c r="V437" s="7">
        <f>IF($AB437="","",SUMIFS('Per Line'!$U$2:$U$4001,'Per Line'!$C$2:$C$4001,$B437,'Per Line'!$AL$2:$AL$4001,1,'Per Line'!$AM$2:$AM$4001,0))</f>
        <v/>
      </c>
      <c r="W437" s="7">
        <f>IF($AB437="","",V437*U437)</f>
        <v/>
      </c>
      <c r="X437" s="7">
        <f>IF($AB437="","",W437+T437)</f>
        <v/>
      </c>
      <c r="Y437" s="7">
        <f>IF($AB437="","",Z437-X437)</f>
        <v/>
      </c>
      <c r="Z437" s="7">
        <f>IF($AB437="","",S437+V437+Q437)</f>
        <v/>
      </c>
      <c r="AA437" s="7">
        <f>IF($AB437="","",Z437-X437-M437)</f>
        <v/>
      </c>
      <c r="AB437" s="13">
        <f>IF(ROWS($AB$2:$AB437)&lt;=MAX('Per Line'!$AK$2:$AK$4001),MATCH(ROWS($AB$2:$AB437),'Per Line'!$AK$2:$AK$4001,0),"")</f>
        <v/>
      </c>
      <c r="AC437" s="14">
        <f>IF($AB437="","",M437-L437*Z437/100)</f>
        <v/>
      </c>
    </row>
    <row r="438">
      <c r="A438" s="12" t="n"/>
      <c r="B438">
        <f>IF($AB438="","",INDEX('Per Line'!$C$2:$C$4001,$AB438)&amp;"")</f>
        <v/>
      </c>
      <c r="C438">
        <f>IF($AB438="","",INDEX('Per Line'!$D$2:$D$4001,$AB438)&amp;"")</f>
        <v/>
      </c>
      <c r="D438">
        <f>IF($AB438="","",INDEX('Per Line'!$B$2:$B$4001,$AB438)&amp;"")</f>
        <v/>
      </c>
      <c r="E438">
        <f>IF($AB438="","",INDEX('Per Line'!$A$2:$A$4001,$AB438))</f>
        <v/>
      </c>
      <c r="F438" s="11">
        <f>IF($AB438="","",INDEX('Per Line'!$E$2:$E$4001,$AB438))</f>
        <v/>
      </c>
      <c r="G438">
        <f>IF($AB438="","",INDEX('Per Line'!$F$2:$F$4001,$AB438)&amp;"")</f>
        <v/>
      </c>
      <c r="H438">
        <f>IF($AB438="","",INDEX('Per Line'!$H$2:$H$4001,$AB438)&amp;"")</f>
        <v/>
      </c>
      <c r="I438">
        <f>IF($AB438="","",INDEX('Per Line'!$I$2:$I$4001,$AB438)&amp;"")</f>
        <v/>
      </c>
      <c r="J438">
        <f>IF($AB438="","",INDEX('Per Line'!$J$2:$J$4001,$AB438)&amp;"")</f>
        <v/>
      </c>
      <c r="K438">
        <f>IF($AB438="","",INDEX('Per Line'!$K$2:$K$4001,$AB438)&amp;"")</f>
        <v/>
      </c>
      <c r="L438">
        <f>IF($AB438="","",INDEX('Per Line'!$L$2:$L$4001,$AB438))</f>
        <v/>
      </c>
      <c r="M438" s="7">
        <f>IF($AB438="","",IF(AND(ISNUMBER(O438),O438&gt;0,Z438&gt;O438),L438*O438/100+(Z438-O438),L438*Z438/100))</f>
        <v/>
      </c>
      <c r="N438">
        <f>IF($AB438="","",INDEX('Per Line'!$V$2:$V$4001,$AB438)&amp;"")</f>
        <v/>
      </c>
      <c r="O438">
        <f>IF($AB438="","",INDEX('Per Line'!$Z$2:$Z$4001,$AB438))</f>
        <v/>
      </c>
      <c r="P438">
        <f>IF($AB438="","",IF(AND(ISNUMBER(O438),O438&gt;0),Z438&gt;O438,FALSE))</f>
        <v/>
      </c>
      <c r="Q438" s="7">
        <f>IF($AB438="","",SUMIFS('Per Line'!$U$2:$U$4001,'Per Line'!$C$2:$C$4001,$B438,'Per Line'!$AM$2:$AM$4001,1))</f>
        <v/>
      </c>
      <c r="R438">
        <f>IF($AB438="","",Settings!$C$7)</f>
        <v/>
      </c>
      <c r="S438" s="7">
        <f>IF($AB438="","",SUMIFS('Per Line'!$U$2:$U$4001,'Per Line'!$C$2:$C$4001,$B438,'Per Line'!$AL$2:$AL$4001,0,'Per Line'!$AM$2:$AM$4001,0))</f>
        <v/>
      </c>
      <c r="T438" s="7">
        <f>IF($AB438="","",S438*R438)</f>
        <v/>
      </c>
      <c r="U438">
        <f>IF($AB438="","",Settings!$C$6)</f>
        <v/>
      </c>
      <c r="V438" s="7">
        <f>IF($AB438="","",SUMIFS('Per Line'!$U$2:$U$4001,'Per Line'!$C$2:$C$4001,$B438,'Per Line'!$AL$2:$AL$4001,1,'Per Line'!$AM$2:$AM$4001,0))</f>
        <v/>
      </c>
      <c r="W438" s="7">
        <f>IF($AB438="","",V438*U438)</f>
        <v/>
      </c>
      <c r="X438" s="7">
        <f>IF($AB438="","",W438+T438)</f>
        <v/>
      </c>
      <c r="Y438" s="7">
        <f>IF($AB438="","",Z438-X438)</f>
        <v/>
      </c>
      <c r="Z438" s="7">
        <f>IF($AB438="","",S438+V438+Q438)</f>
        <v/>
      </c>
      <c r="AA438" s="7">
        <f>IF($AB438="","",Z438-X438-M438)</f>
        <v/>
      </c>
      <c r="AB438" s="13">
        <f>IF(ROWS($AB$2:$AB438)&lt;=MAX('Per Line'!$AK$2:$AK$4001),MATCH(ROWS($AB$2:$AB438),'Per Line'!$AK$2:$AK$4001,0),"")</f>
        <v/>
      </c>
      <c r="AC438" s="14">
        <f>IF($AB438="","",M438-L438*Z438/100)</f>
        <v/>
      </c>
    </row>
    <row r="439">
      <c r="A439" s="12" t="n"/>
      <c r="B439">
        <f>IF($AB439="","",INDEX('Per Line'!$C$2:$C$4001,$AB439)&amp;"")</f>
        <v/>
      </c>
      <c r="C439">
        <f>IF($AB439="","",INDEX('Per Line'!$D$2:$D$4001,$AB439)&amp;"")</f>
        <v/>
      </c>
      <c r="D439">
        <f>IF($AB439="","",INDEX('Per Line'!$B$2:$B$4001,$AB439)&amp;"")</f>
        <v/>
      </c>
      <c r="E439">
        <f>IF($AB439="","",INDEX('Per Line'!$A$2:$A$4001,$AB439))</f>
        <v/>
      </c>
      <c r="F439" s="11">
        <f>IF($AB439="","",INDEX('Per Line'!$E$2:$E$4001,$AB439))</f>
        <v/>
      </c>
      <c r="G439">
        <f>IF($AB439="","",INDEX('Per Line'!$F$2:$F$4001,$AB439)&amp;"")</f>
        <v/>
      </c>
      <c r="H439">
        <f>IF($AB439="","",INDEX('Per Line'!$H$2:$H$4001,$AB439)&amp;"")</f>
        <v/>
      </c>
      <c r="I439">
        <f>IF($AB439="","",INDEX('Per Line'!$I$2:$I$4001,$AB439)&amp;"")</f>
        <v/>
      </c>
      <c r="J439">
        <f>IF($AB439="","",INDEX('Per Line'!$J$2:$J$4001,$AB439)&amp;"")</f>
        <v/>
      </c>
      <c r="K439">
        <f>IF($AB439="","",INDEX('Per Line'!$K$2:$K$4001,$AB439)&amp;"")</f>
        <v/>
      </c>
      <c r="L439">
        <f>IF($AB439="","",INDEX('Per Line'!$L$2:$L$4001,$AB439))</f>
        <v/>
      </c>
      <c r="M439" s="7">
        <f>IF($AB439="","",IF(AND(ISNUMBER(O439),O439&gt;0,Z439&gt;O439),L439*O439/100+(Z439-O439),L439*Z439/100))</f>
        <v/>
      </c>
      <c r="N439">
        <f>IF($AB439="","",INDEX('Per Line'!$V$2:$V$4001,$AB439)&amp;"")</f>
        <v/>
      </c>
      <c r="O439">
        <f>IF($AB439="","",INDEX('Per Line'!$Z$2:$Z$4001,$AB439))</f>
        <v/>
      </c>
      <c r="P439">
        <f>IF($AB439="","",IF(AND(ISNUMBER(O439),O439&gt;0),Z439&gt;O439,FALSE))</f>
        <v/>
      </c>
      <c r="Q439" s="7">
        <f>IF($AB439="","",SUMIFS('Per Line'!$U$2:$U$4001,'Per Line'!$C$2:$C$4001,$B439,'Per Line'!$AM$2:$AM$4001,1))</f>
        <v/>
      </c>
      <c r="R439">
        <f>IF($AB439="","",Settings!$C$7)</f>
        <v/>
      </c>
      <c r="S439" s="7">
        <f>IF($AB439="","",SUMIFS('Per Line'!$U$2:$U$4001,'Per Line'!$C$2:$C$4001,$B439,'Per Line'!$AL$2:$AL$4001,0,'Per Line'!$AM$2:$AM$4001,0))</f>
        <v/>
      </c>
      <c r="T439" s="7">
        <f>IF($AB439="","",S439*R439)</f>
        <v/>
      </c>
      <c r="U439">
        <f>IF($AB439="","",Settings!$C$6)</f>
        <v/>
      </c>
      <c r="V439" s="7">
        <f>IF($AB439="","",SUMIFS('Per Line'!$U$2:$U$4001,'Per Line'!$C$2:$C$4001,$B439,'Per Line'!$AL$2:$AL$4001,1,'Per Line'!$AM$2:$AM$4001,0))</f>
        <v/>
      </c>
      <c r="W439" s="7">
        <f>IF($AB439="","",V439*U439)</f>
        <v/>
      </c>
      <c r="X439" s="7">
        <f>IF($AB439="","",W439+T439)</f>
        <v/>
      </c>
      <c r="Y439" s="7">
        <f>IF($AB439="","",Z439-X439)</f>
        <v/>
      </c>
      <c r="Z439" s="7">
        <f>IF($AB439="","",S439+V439+Q439)</f>
        <v/>
      </c>
      <c r="AA439" s="7">
        <f>IF($AB439="","",Z439-X439-M439)</f>
        <v/>
      </c>
      <c r="AB439" s="13">
        <f>IF(ROWS($AB$2:$AB439)&lt;=MAX('Per Line'!$AK$2:$AK$4001),MATCH(ROWS($AB$2:$AB439),'Per Line'!$AK$2:$AK$4001,0),"")</f>
        <v/>
      </c>
      <c r="AC439" s="14">
        <f>IF($AB439="","",M439-L439*Z439/100)</f>
        <v/>
      </c>
    </row>
    <row r="440">
      <c r="A440" s="12" t="n"/>
      <c r="B440">
        <f>IF($AB440="","",INDEX('Per Line'!$C$2:$C$4001,$AB440)&amp;"")</f>
        <v/>
      </c>
      <c r="C440">
        <f>IF($AB440="","",INDEX('Per Line'!$D$2:$D$4001,$AB440)&amp;"")</f>
        <v/>
      </c>
      <c r="D440">
        <f>IF($AB440="","",INDEX('Per Line'!$B$2:$B$4001,$AB440)&amp;"")</f>
        <v/>
      </c>
      <c r="E440">
        <f>IF($AB440="","",INDEX('Per Line'!$A$2:$A$4001,$AB440))</f>
        <v/>
      </c>
      <c r="F440" s="11">
        <f>IF($AB440="","",INDEX('Per Line'!$E$2:$E$4001,$AB440))</f>
        <v/>
      </c>
      <c r="G440">
        <f>IF($AB440="","",INDEX('Per Line'!$F$2:$F$4001,$AB440)&amp;"")</f>
        <v/>
      </c>
      <c r="H440">
        <f>IF($AB440="","",INDEX('Per Line'!$H$2:$H$4001,$AB440)&amp;"")</f>
        <v/>
      </c>
      <c r="I440">
        <f>IF($AB440="","",INDEX('Per Line'!$I$2:$I$4001,$AB440)&amp;"")</f>
        <v/>
      </c>
      <c r="J440">
        <f>IF($AB440="","",INDEX('Per Line'!$J$2:$J$4001,$AB440)&amp;"")</f>
        <v/>
      </c>
      <c r="K440">
        <f>IF($AB440="","",INDEX('Per Line'!$K$2:$K$4001,$AB440)&amp;"")</f>
        <v/>
      </c>
      <c r="L440">
        <f>IF($AB440="","",INDEX('Per Line'!$L$2:$L$4001,$AB440))</f>
        <v/>
      </c>
      <c r="M440" s="7">
        <f>IF($AB440="","",IF(AND(ISNUMBER(O440),O440&gt;0,Z440&gt;O440),L440*O440/100+(Z440-O440),L440*Z440/100))</f>
        <v/>
      </c>
      <c r="N440">
        <f>IF($AB440="","",INDEX('Per Line'!$V$2:$V$4001,$AB440)&amp;"")</f>
        <v/>
      </c>
      <c r="O440">
        <f>IF($AB440="","",INDEX('Per Line'!$Z$2:$Z$4001,$AB440))</f>
        <v/>
      </c>
      <c r="P440">
        <f>IF($AB440="","",IF(AND(ISNUMBER(O440),O440&gt;0),Z440&gt;O440,FALSE))</f>
        <v/>
      </c>
      <c r="Q440" s="7">
        <f>IF($AB440="","",SUMIFS('Per Line'!$U$2:$U$4001,'Per Line'!$C$2:$C$4001,$B440,'Per Line'!$AM$2:$AM$4001,1))</f>
        <v/>
      </c>
      <c r="R440">
        <f>IF($AB440="","",Settings!$C$7)</f>
        <v/>
      </c>
      <c r="S440" s="7">
        <f>IF($AB440="","",SUMIFS('Per Line'!$U$2:$U$4001,'Per Line'!$C$2:$C$4001,$B440,'Per Line'!$AL$2:$AL$4001,0,'Per Line'!$AM$2:$AM$4001,0))</f>
        <v/>
      </c>
      <c r="T440" s="7">
        <f>IF($AB440="","",S440*R440)</f>
        <v/>
      </c>
      <c r="U440">
        <f>IF($AB440="","",Settings!$C$6)</f>
        <v/>
      </c>
      <c r="V440" s="7">
        <f>IF($AB440="","",SUMIFS('Per Line'!$U$2:$U$4001,'Per Line'!$C$2:$C$4001,$B440,'Per Line'!$AL$2:$AL$4001,1,'Per Line'!$AM$2:$AM$4001,0))</f>
        <v/>
      </c>
      <c r="W440" s="7">
        <f>IF($AB440="","",V440*U440)</f>
        <v/>
      </c>
      <c r="X440" s="7">
        <f>IF($AB440="","",W440+T440)</f>
        <v/>
      </c>
      <c r="Y440" s="7">
        <f>IF($AB440="","",Z440-X440)</f>
        <v/>
      </c>
      <c r="Z440" s="7">
        <f>IF($AB440="","",S440+V440+Q440)</f>
        <v/>
      </c>
      <c r="AA440" s="7">
        <f>IF($AB440="","",Z440-X440-M440)</f>
        <v/>
      </c>
      <c r="AB440" s="13">
        <f>IF(ROWS($AB$2:$AB440)&lt;=MAX('Per Line'!$AK$2:$AK$4001),MATCH(ROWS($AB$2:$AB440),'Per Line'!$AK$2:$AK$4001,0),"")</f>
        <v/>
      </c>
      <c r="AC440" s="14">
        <f>IF($AB440="","",M440-L440*Z440/100)</f>
        <v/>
      </c>
    </row>
    <row r="441">
      <c r="A441" s="12" t="n"/>
      <c r="B441">
        <f>IF($AB441="","",INDEX('Per Line'!$C$2:$C$4001,$AB441)&amp;"")</f>
        <v/>
      </c>
      <c r="C441">
        <f>IF($AB441="","",INDEX('Per Line'!$D$2:$D$4001,$AB441)&amp;"")</f>
        <v/>
      </c>
      <c r="D441">
        <f>IF($AB441="","",INDEX('Per Line'!$B$2:$B$4001,$AB441)&amp;"")</f>
        <v/>
      </c>
      <c r="E441">
        <f>IF($AB441="","",INDEX('Per Line'!$A$2:$A$4001,$AB441))</f>
        <v/>
      </c>
      <c r="F441" s="11">
        <f>IF($AB441="","",INDEX('Per Line'!$E$2:$E$4001,$AB441))</f>
        <v/>
      </c>
      <c r="G441">
        <f>IF($AB441="","",INDEX('Per Line'!$F$2:$F$4001,$AB441)&amp;"")</f>
        <v/>
      </c>
      <c r="H441">
        <f>IF($AB441="","",INDEX('Per Line'!$H$2:$H$4001,$AB441)&amp;"")</f>
        <v/>
      </c>
      <c r="I441">
        <f>IF($AB441="","",INDEX('Per Line'!$I$2:$I$4001,$AB441)&amp;"")</f>
        <v/>
      </c>
      <c r="J441">
        <f>IF($AB441="","",INDEX('Per Line'!$J$2:$J$4001,$AB441)&amp;"")</f>
        <v/>
      </c>
      <c r="K441">
        <f>IF($AB441="","",INDEX('Per Line'!$K$2:$K$4001,$AB441)&amp;"")</f>
        <v/>
      </c>
      <c r="L441">
        <f>IF($AB441="","",INDEX('Per Line'!$L$2:$L$4001,$AB441))</f>
        <v/>
      </c>
      <c r="M441" s="7">
        <f>IF($AB441="","",IF(AND(ISNUMBER(O441),O441&gt;0,Z441&gt;O441),L441*O441/100+(Z441-O441),L441*Z441/100))</f>
        <v/>
      </c>
      <c r="N441">
        <f>IF($AB441="","",INDEX('Per Line'!$V$2:$V$4001,$AB441)&amp;"")</f>
        <v/>
      </c>
      <c r="O441">
        <f>IF($AB441="","",INDEX('Per Line'!$Z$2:$Z$4001,$AB441))</f>
        <v/>
      </c>
      <c r="P441">
        <f>IF($AB441="","",IF(AND(ISNUMBER(O441),O441&gt;0),Z441&gt;O441,FALSE))</f>
        <v/>
      </c>
      <c r="Q441" s="7">
        <f>IF($AB441="","",SUMIFS('Per Line'!$U$2:$U$4001,'Per Line'!$C$2:$C$4001,$B441,'Per Line'!$AM$2:$AM$4001,1))</f>
        <v/>
      </c>
      <c r="R441">
        <f>IF($AB441="","",Settings!$C$7)</f>
        <v/>
      </c>
      <c r="S441" s="7">
        <f>IF($AB441="","",SUMIFS('Per Line'!$U$2:$U$4001,'Per Line'!$C$2:$C$4001,$B441,'Per Line'!$AL$2:$AL$4001,0,'Per Line'!$AM$2:$AM$4001,0))</f>
        <v/>
      </c>
      <c r="T441" s="7">
        <f>IF($AB441="","",S441*R441)</f>
        <v/>
      </c>
      <c r="U441">
        <f>IF($AB441="","",Settings!$C$6)</f>
        <v/>
      </c>
      <c r="V441" s="7">
        <f>IF($AB441="","",SUMIFS('Per Line'!$U$2:$U$4001,'Per Line'!$C$2:$C$4001,$B441,'Per Line'!$AL$2:$AL$4001,1,'Per Line'!$AM$2:$AM$4001,0))</f>
        <v/>
      </c>
      <c r="W441" s="7">
        <f>IF($AB441="","",V441*U441)</f>
        <v/>
      </c>
      <c r="X441" s="7">
        <f>IF($AB441="","",W441+T441)</f>
        <v/>
      </c>
      <c r="Y441" s="7">
        <f>IF($AB441="","",Z441-X441)</f>
        <v/>
      </c>
      <c r="Z441" s="7">
        <f>IF($AB441="","",S441+V441+Q441)</f>
        <v/>
      </c>
      <c r="AA441" s="7">
        <f>IF($AB441="","",Z441-X441-M441)</f>
        <v/>
      </c>
      <c r="AB441" s="13">
        <f>IF(ROWS($AB$2:$AB441)&lt;=MAX('Per Line'!$AK$2:$AK$4001),MATCH(ROWS($AB$2:$AB441),'Per Line'!$AK$2:$AK$4001,0),"")</f>
        <v/>
      </c>
      <c r="AC441" s="14">
        <f>IF($AB441="","",M441-L441*Z441/100)</f>
        <v/>
      </c>
    </row>
    <row r="442">
      <c r="A442" s="12" t="n"/>
      <c r="B442">
        <f>IF($AB442="","",INDEX('Per Line'!$C$2:$C$4001,$AB442)&amp;"")</f>
        <v/>
      </c>
      <c r="C442">
        <f>IF($AB442="","",INDEX('Per Line'!$D$2:$D$4001,$AB442)&amp;"")</f>
        <v/>
      </c>
      <c r="D442">
        <f>IF($AB442="","",INDEX('Per Line'!$B$2:$B$4001,$AB442)&amp;"")</f>
        <v/>
      </c>
      <c r="E442">
        <f>IF($AB442="","",INDEX('Per Line'!$A$2:$A$4001,$AB442))</f>
        <v/>
      </c>
      <c r="F442" s="11">
        <f>IF($AB442="","",INDEX('Per Line'!$E$2:$E$4001,$AB442))</f>
        <v/>
      </c>
      <c r="G442">
        <f>IF($AB442="","",INDEX('Per Line'!$F$2:$F$4001,$AB442)&amp;"")</f>
        <v/>
      </c>
      <c r="H442">
        <f>IF($AB442="","",INDEX('Per Line'!$H$2:$H$4001,$AB442)&amp;"")</f>
        <v/>
      </c>
      <c r="I442">
        <f>IF($AB442="","",INDEX('Per Line'!$I$2:$I$4001,$AB442)&amp;"")</f>
        <v/>
      </c>
      <c r="J442">
        <f>IF($AB442="","",INDEX('Per Line'!$J$2:$J$4001,$AB442)&amp;"")</f>
        <v/>
      </c>
      <c r="K442">
        <f>IF($AB442="","",INDEX('Per Line'!$K$2:$K$4001,$AB442)&amp;"")</f>
        <v/>
      </c>
      <c r="L442">
        <f>IF($AB442="","",INDEX('Per Line'!$L$2:$L$4001,$AB442))</f>
        <v/>
      </c>
      <c r="M442" s="7">
        <f>IF($AB442="","",IF(AND(ISNUMBER(O442),O442&gt;0,Z442&gt;O442),L442*O442/100+(Z442-O442),L442*Z442/100))</f>
        <v/>
      </c>
      <c r="N442">
        <f>IF($AB442="","",INDEX('Per Line'!$V$2:$V$4001,$AB442)&amp;"")</f>
        <v/>
      </c>
      <c r="O442">
        <f>IF($AB442="","",INDEX('Per Line'!$Z$2:$Z$4001,$AB442))</f>
        <v/>
      </c>
      <c r="P442">
        <f>IF($AB442="","",IF(AND(ISNUMBER(O442),O442&gt;0),Z442&gt;O442,FALSE))</f>
        <v/>
      </c>
      <c r="Q442" s="7">
        <f>IF($AB442="","",SUMIFS('Per Line'!$U$2:$U$4001,'Per Line'!$C$2:$C$4001,$B442,'Per Line'!$AM$2:$AM$4001,1))</f>
        <v/>
      </c>
      <c r="R442">
        <f>IF($AB442="","",Settings!$C$7)</f>
        <v/>
      </c>
      <c r="S442" s="7">
        <f>IF($AB442="","",SUMIFS('Per Line'!$U$2:$U$4001,'Per Line'!$C$2:$C$4001,$B442,'Per Line'!$AL$2:$AL$4001,0,'Per Line'!$AM$2:$AM$4001,0))</f>
        <v/>
      </c>
      <c r="T442" s="7">
        <f>IF($AB442="","",S442*R442)</f>
        <v/>
      </c>
      <c r="U442">
        <f>IF($AB442="","",Settings!$C$6)</f>
        <v/>
      </c>
      <c r="V442" s="7">
        <f>IF($AB442="","",SUMIFS('Per Line'!$U$2:$U$4001,'Per Line'!$C$2:$C$4001,$B442,'Per Line'!$AL$2:$AL$4001,1,'Per Line'!$AM$2:$AM$4001,0))</f>
        <v/>
      </c>
      <c r="W442" s="7">
        <f>IF($AB442="","",V442*U442)</f>
        <v/>
      </c>
      <c r="X442" s="7">
        <f>IF($AB442="","",W442+T442)</f>
        <v/>
      </c>
      <c r="Y442" s="7">
        <f>IF($AB442="","",Z442-X442)</f>
        <v/>
      </c>
      <c r="Z442" s="7">
        <f>IF($AB442="","",S442+V442+Q442)</f>
        <v/>
      </c>
      <c r="AA442" s="7">
        <f>IF($AB442="","",Z442-X442-M442)</f>
        <v/>
      </c>
      <c r="AB442" s="13">
        <f>IF(ROWS($AB$2:$AB442)&lt;=MAX('Per Line'!$AK$2:$AK$4001),MATCH(ROWS($AB$2:$AB442),'Per Line'!$AK$2:$AK$4001,0),"")</f>
        <v/>
      </c>
      <c r="AC442" s="14">
        <f>IF($AB442="","",M442-L442*Z442/100)</f>
        <v/>
      </c>
    </row>
    <row r="443">
      <c r="A443" s="12" t="n"/>
      <c r="B443">
        <f>IF($AB443="","",INDEX('Per Line'!$C$2:$C$4001,$AB443)&amp;"")</f>
        <v/>
      </c>
      <c r="C443">
        <f>IF($AB443="","",INDEX('Per Line'!$D$2:$D$4001,$AB443)&amp;"")</f>
        <v/>
      </c>
      <c r="D443">
        <f>IF($AB443="","",INDEX('Per Line'!$B$2:$B$4001,$AB443)&amp;"")</f>
        <v/>
      </c>
      <c r="E443">
        <f>IF($AB443="","",INDEX('Per Line'!$A$2:$A$4001,$AB443))</f>
        <v/>
      </c>
      <c r="F443" s="11">
        <f>IF($AB443="","",INDEX('Per Line'!$E$2:$E$4001,$AB443))</f>
        <v/>
      </c>
      <c r="G443">
        <f>IF($AB443="","",INDEX('Per Line'!$F$2:$F$4001,$AB443)&amp;"")</f>
        <v/>
      </c>
      <c r="H443">
        <f>IF($AB443="","",INDEX('Per Line'!$H$2:$H$4001,$AB443)&amp;"")</f>
        <v/>
      </c>
      <c r="I443">
        <f>IF($AB443="","",INDEX('Per Line'!$I$2:$I$4001,$AB443)&amp;"")</f>
        <v/>
      </c>
      <c r="J443">
        <f>IF($AB443="","",INDEX('Per Line'!$J$2:$J$4001,$AB443)&amp;"")</f>
        <v/>
      </c>
      <c r="K443">
        <f>IF($AB443="","",INDEX('Per Line'!$K$2:$K$4001,$AB443)&amp;"")</f>
        <v/>
      </c>
      <c r="L443">
        <f>IF($AB443="","",INDEX('Per Line'!$L$2:$L$4001,$AB443))</f>
        <v/>
      </c>
      <c r="M443" s="7">
        <f>IF($AB443="","",IF(AND(ISNUMBER(O443),O443&gt;0,Z443&gt;O443),L443*O443/100+(Z443-O443),L443*Z443/100))</f>
        <v/>
      </c>
      <c r="N443">
        <f>IF($AB443="","",INDEX('Per Line'!$V$2:$V$4001,$AB443)&amp;"")</f>
        <v/>
      </c>
      <c r="O443">
        <f>IF($AB443="","",INDEX('Per Line'!$Z$2:$Z$4001,$AB443))</f>
        <v/>
      </c>
      <c r="P443">
        <f>IF($AB443="","",IF(AND(ISNUMBER(O443),O443&gt;0),Z443&gt;O443,FALSE))</f>
        <v/>
      </c>
      <c r="Q443" s="7">
        <f>IF($AB443="","",SUMIFS('Per Line'!$U$2:$U$4001,'Per Line'!$C$2:$C$4001,$B443,'Per Line'!$AM$2:$AM$4001,1))</f>
        <v/>
      </c>
      <c r="R443">
        <f>IF($AB443="","",Settings!$C$7)</f>
        <v/>
      </c>
      <c r="S443" s="7">
        <f>IF($AB443="","",SUMIFS('Per Line'!$U$2:$U$4001,'Per Line'!$C$2:$C$4001,$B443,'Per Line'!$AL$2:$AL$4001,0,'Per Line'!$AM$2:$AM$4001,0))</f>
        <v/>
      </c>
      <c r="T443" s="7">
        <f>IF($AB443="","",S443*R443)</f>
        <v/>
      </c>
      <c r="U443">
        <f>IF($AB443="","",Settings!$C$6)</f>
        <v/>
      </c>
      <c r="V443" s="7">
        <f>IF($AB443="","",SUMIFS('Per Line'!$U$2:$U$4001,'Per Line'!$C$2:$C$4001,$B443,'Per Line'!$AL$2:$AL$4001,1,'Per Line'!$AM$2:$AM$4001,0))</f>
        <v/>
      </c>
      <c r="W443" s="7">
        <f>IF($AB443="","",V443*U443)</f>
        <v/>
      </c>
      <c r="X443" s="7">
        <f>IF($AB443="","",W443+T443)</f>
        <v/>
      </c>
      <c r="Y443" s="7">
        <f>IF($AB443="","",Z443-X443)</f>
        <v/>
      </c>
      <c r="Z443" s="7">
        <f>IF($AB443="","",S443+V443+Q443)</f>
        <v/>
      </c>
      <c r="AA443" s="7">
        <f>IF($AB443="","",Z443-X443-M443)</f>
        <v/>
      </c>
      <c r="AB443" s="13">
        <f>IF(ROWS($AB$2:$AB443)&lt;=MAX('Per Line'!$AK$2:$AK$4001),MATCH(ROWS($AB$2:$AB443),'Per Line'!$AK$2:$AK$4001,0),"")</f>
        <v/>
      </c>
      <c r="AC443" s="14">
        <f>IF($AB443="","",M443-L443*Z443/100)</f>
        <v/>
      </c>
    </row>
    <row r="444">
      <c r="A444" s="12" t="n"/>
      <c r="B444">
        <f>IF($AB444="","",INDEX('Per Line'!$C$2:$C$4001,$AB444)&amp;"")</f>
        <v/>
      </c>
      <c r="C444">
        <f>IF($AB444="","",INDEX('Per Line'!$D$2:$D$4001,$AB444)&amp;"")</f>
        <v/>
      </c>
      <c r="D444">
        <f>IF($AB444="","",INDEX('Per Line'!$B$2:$B$4001,$AB444)&amp;"")</f>
        <v/>
      </c>
      <c r="E444">
        <f>IF($AB444="","",INDEX('Per Line'!$A$2:$A$4001,$AB444))</f>
        <v/>
      </c>
      <c r="F444" s="11">
        <f>IF($AB444="","",INDEX('Per Line'!$E$2:$E$4001,$AB444))</f>
        <v/>
      </c>
      <c r="G444">
        <f>IF($AB444="","",INDEX('Per Line'!$F$2:$F$4001,$AB444)&amp;"")</f>
        <v/>
      </c>
      <c r="H444">
        <f>IF($AB444="","",INDEX('Per Line'!$H$2:$H$4001,$AB444)&amp;"")</f>
        <v/>
      </c>
      <c r="I444">
        <f>IF($AB444="","",INDEX('Per Line'!$I$2:$I$4001,$AB444)&amp;"")</f>
        <v/>
      </c>
      <c r="J444">
        <f>IF($AB444="","",INDEX('Per Line'!$J$2:$J$4001,$AB444)&amp;"")</f>
        <v/>
      </c>
      <c r="K444">
        <f>IF($AB444="","",INDEX('Per Line'!$K$2:$K$4001,$AB444)&amp;"")</f>
        <v/>
      </c>
      <c r="L444">
        <f>IF($AB444="","",INDEX('Per Line'!$L$2:$L$4001,$AB444))</f>
        <v/>
      </c>
      <c r="M444" s="7">
        <f>IF($AB444="","",IF(AND(ISNUMBER(O444),O444&gt;0,Z444&gt;O444),L444*O444/100+(Z444-O444),L444*Z444/100))</f>
        <v/>
      </c>
      <c r="N444">
        <f>IF($AB444="","",INDEX('Per Line'!$V$2:$V$4001,$AB444)&amp;"")</f>
        <v/>
      </c>
      <c r="O444">
        <f>IF($AB444="","",INDEX('Per Line'!$Z$2:$Z$4001,$AB444))</f>
        <v/>
      </c>
      <c r="P444">
        <f>IF($AB444="","",IF(AND(ISNUMBER(O444),O444&gt;0),Z444&gt;O444,FALSE))</f>
        <v/>
      </c>
      <c r="Q444" s="7">
        <f>IF($AB444="","",SUMIFS('Per Line'!$U$2:$U$4001,'Per Line'!$C$2:$C$4001,$B444,'Per Line'!$AM$2:$AM$4001,1))</f>
        <v/>
      </c>
      <c r="R444">
        <f>IF($AB444="","",Settings!$C$7)</f>
        <v/>
      </c>
      <c r="S444" s="7">
        <f>IF($AB444="","",SUMIFS('Per Line'!$U$2:$U$4001,'Per Line'!$C$2:$C$4001,$B444,'Per Line'!$AL$2:$AL$4001,0,'Per Line'!$AM$2:$AM$4001,0))</f>
        <v/>
      </c>
      <c r="T444" s="7">
        <f>IF($AB444="","",S444*R444)</f>
        <v/>
      </c>
      <c r="U444">
        <f>IF($AB444="","",Settings!$C$6)</f>
        <v/>
      </c>
      <c r="V444" s="7">
        <f>IF($AB444="","",SUMIFS('Per Line'!$U$2:$U$4001,'Per Line'!$C$2:$C$4001,$B444,'Per Line'!$AL$2:$AL$4001,1,'Per Line'!$AM$2:$AM$4001,0))</f>
        <v/>
      </c>
      <c r="W444" s="7">
        <f>IF($AB444="","",V444*U444)</f>
        <v/>
      </c>
      <c r="X444" s="7">
        <f>IF($AB444="","",W444+T444)</f>
        <v/>
      </c>
      <c r="Y444" s="7">
        <f>IF($AB444="","",Z444-X444)</f>
        <v/>
      </c>
      <c r="Z444" s="7">
        <f>IF($AB444="","",S444+V444+Q444)</f>
        <v/>
      </c>
      <c r="AA444" s="7">
        <f>IF($AB444="","",Z444-X444-M444)</f>
        <v/>
      </c>
      <c r="AB444" s="13">
        <f>IF(ROWS($AB$2:$AB444)&lt;=MAX('Per Line'!$AK$2:$AK$4001),MATCH(ROWS($AB$2:$AB444),'Per Line'!$AK$2:$AK$4001,0),"")</f>
        <v/>
      </c>
      <c r="AC444" s="14">
        <f>IF($AB444="","",M444-L444*Z444/100)</f>
        <v/>
      </c>
    </row>
    <row r="445">
      <c r="A445" s="12" t="n"/>
      <c r="B445">
        <f>IF($AB445="","",INDEX('Per Line'!$C$2:$C$4001,$AB445)&amp;"")</f>
        <v/>
      </c>
      <c r="C445">
        <f>IF($AB445="","",INDEX('Per Line'!$D$2:$D$4001,$AB445)&amp;"")</f>
        <v/>
      </c>
      <c r="D445">
        <f>IF($AB445="","",INDEX('Per Line'!$B$2:$B$4001,$AB445)&amp;"")</f>
        <v/>
      </c>
      <c r="E445">
        <f>IF($AB445="","",INDEX('Per Line'!$A$2:$A$4001,$AB445))</f>
        <v/>
      </c>
      <c r="F445" s="11">
        <f>IF($AB445="","",INDEX('Per Line'!$E$2:$E$4001,$AB445))</f>
        <v/>
      </c>
      <c r="G445">
        <f>IF($AB445="","",INDEX('Per Line'!$F$2:$F$4001,$AB445)&amp;"")</f>
        <v/>
      </c>
      <c r="H445">
        <f>IF($AB445="","",INDEX('Per Line'!$H$2:$H$4001,$AB445)&amp;"")</f>
        <v/>
      </c>
      <c r="I445">
        <f>IF($AB445="","",INDEX('Per Line'!$I$2:$I$4001,$AB445)&amp;"")</f>
        <v/>
      </c>
      <c r="J445">
        <f>IF($AB445="","",INDEX('Per Line'!$J$2:$J$4001,$AB445)&amp;"")</f>
        <v/>
      </c>
      <c r="K445">
        <f>IF($AB445="","",INDEX('Per Line'!$K$2:$K$4001,$AB445)&amp;"")</f>
        <v/>
      </c>
      <c r="L445">
        <f>IF($AB445="","",INDEX('Per Line'!$L$2:$L$4001,$AB445))</f>
        <v/>
      </c>
      <c r="M445" s="7">
        <f>IF($AB445="","",IF(AND(ISNUMBER(O445),O445&gt;0,Z445&gt;O445),L445*O445/100+(Z445-O445),L445*Z445/100))</f>
        <v/>
      </c>
      <c r="N445">
        <f>IF($AB445="","",INDEX('Per Line'!$V$2:$V$4001,$AB445)&amp;"")</f>
        <v/>
      </c>
      <c r="O445">
        <f>IF($AB445="","",INDEX('Per Line'!$Z$2:$Z$4001,$AB445))</f>
        <v/>
      </c>
      <c r="P445">
        <f>IF($AB445="","",IF(AND(ISNUMBER(O445),O445&gt;0),Z445&gt;O445,FALSE))</f>
        <v/>
      </c>
      <c r="Q445" s="7">
        <f>IF($AB445="","",SUMIFS('Per Line'!$U$2:$U$4001,'Per Line'!$C$2:$C$4001,$B445,'Per Line'!$AM$2:$AM$4001,1))</f>
        <v/>
      </c>
      <c r="R445">
        <f>IF($AB445="","",Settings!$C$7)</f>
        <v/>
      </c>
      <c r="S445" s="7">
        <f>IF($AB445="","",SUMIFS('Per Line'!$U$2:$U$4001,'Per Line'!$C$2:$C$4001,$B445,'Per Line'!$AL$2:$AL$4001,0,'Per Line'!$AM$2:$AM$4001,0))</f>
        <v/>
      </c>
      <c r="T445" s="7">
        <f>IF($AB445="","",S445*R445)</f>
        <v/>
      </c>
      <c r="U445">
        <f>IF($AB445="","",Settings!$C$6)</f>
        <v/>
      </c>
      <c r="V445" s="7">
        <f>IF($AB445="","",SUMIFS('Per Line'!$U$2:$U$4001,'Per Line'!$C$2:$C$4001,$B445,'Per Line'!$AL$2:$AL$4001,1,'Per Line'!$AM$2:$AM$4001,0))</f>
        <v/>
      </c>
      <c r="W445" s="7">
        <f>IF($AB445="","",V445*U445)</f>
        <v/>
      </c>
      <c r="X445" s="7">
        <f>IF($AB445="","",W445+T445)</f>
        <v/>
      </c>
      <c r="Y445" s="7">
        <f>IF($AB445="","",Z445-X445)</f>
        <v/>
      </c>
      <c r="Z445" s="7">
        <f>IF($AB445="","",S445+V445+Q445)</f>
        <v/>
      </c>
      <c r="AA445" s="7">
        <f>IF($AB445="","",Z445-X445-M445)</f>
        <v/>
      </c>
      <c r="AB445" s="13">
        <f>IF(ROWS($AB$2:$AB445)&lt;=MAX('Per Line'!$AK$2:$AK$4001),MATCH(ROWS($AB$2:$AB445),'Per Line'!$AK$2:$AK$4001,0),"")</f>
        <v/>
      </c>
      <c r="AC445" s="14">
        <f>IF($AB445="","",M445-L445*Z445/100)</f>
        <v/>
      </c>
    </row>
    <row r="446">
      <c r="A446" s="12" t="n"/>
      <c r="B446">
        <f>IF($AB446="","",INDEX('Per Line'!$C$2:$C$4001,$AB446)&amp;"")</f>
        <v/>
      </c>
      <c r="C446">
        <f>IF($AB446="","",INDEX('Per Line'!$D$2:$D$4001,$AB446)&amp;"")</f>
        <v/>
      </c>
      <c r="D446">
        <f>IF($AB446="","",INDEX('Per Line'!$B$2:$B$4001,$AB446)&amp;"")</f>
        <v/>
      </c>
      <c r="E446">
        <f>IF($AB446="","",INDEX('Per Line'!$A$2:$A$4001,$AB446))</f>
        <v/>
      </c>
      <c r="F446" s="11">
        <f>IF($AB446="","",INDEX('Per Line'!$E$2:$E$4001,$AB446))</f>
        <v/>
      </c>
      <c r="G446">
        <f>IF($AB446="","",INDEX('Per Line'!$F$2:$F$4001,$AB446)&amp;"")</f>
        <v/>
      </c>
      <c r="H446">
        <f>IF($AB446="","",INDEX('Per Line'!$H$2:$H$4001,$AB446)&amp;"")</f>
        <v/>
      </c>
      <c r="I446">
        <f>IF($AB446="","",INDEX('Per Line'!$I$2:$I$4001,$AB446)&amp;"")</f>
        <v/>
      </c>
      <c r="J446">
        <f>IF($AB446="","",INDEX('Per Line'!$J$2:$J$4001,$AB446)&amp;"")</f>
        <v/>
      </c>
      <c r="K446">
        <f>IF($AB446="","",INDEX('Per Line'!$K$2:$K$4001,$AB446)&amp;"")</f>
        <v/>
      </c>
      <c r="L446">
        <f>IF($AB446="","",INDEX('Per Line'!$L$2:$L$4001,$AB446))</f>
        <v/>
      </c>
      <c r="M446" s="7">
        <f>IF($AB446="","",IF(AND(ISNUMBER(O446),O446&gt;0,Z446&gt;O446),L446*O446/100+(Z446-O446),L446*Z446/100))</f>
        <v/>
      </c>
      <c r="N446">
        <f>IF($AB446="","",INDEX('Per Line'!$V$2:$V$4001,$AB446)&amp;"")</f>
        <v/>
      </c>
      <c r="O446">
        <f>IF($AB446="","",INDEX('Per Line'!$Z$2:$Z$4001,$AB446))</f>
        <v/>
      </c>
      <c r="P446">
        <f>IF($AB446="","",IF(AND(ISNUMBER(O446),O446&gt;0),Z446&gt;O446,FALSE))</f>
        <v/>
      </c>
      <c r="Q446" s="7">
        <f>IF($AB446="","",SUMIFS('Per Line'!$U$2:$U$4001,'Per Line'!$C$2:$C$4001,$B446,'Per Line'!$AM$2:$AM$4001,1))</f>
        <v/>
      </c>
      <c r="R446">
        <f>IF($AB446="","",Settings!$C$7)</f>
        <v/>
      </c>
      <c r="S446" s="7">
        <f>IF($AB446="","",SUMIFS('Per Line'!$U$2:$U$4001,'Per Line'!$C$2:$C$4001,$B446,'Per Line'!$AL$2:$AL$4001,0,'Per Line'!$AM$2:$AM$4001,0))</f>
        <v/>
      </c>
      <c r="T446" s="7">
        <f>IF($AB446="","",S446*R446)</f>
        <v/>
      </c>
      <c r="U446">
        <f>IF($AB446="","",Settings!$C$6)</f>
        <v/>
      </c>
      <c r="V446" s="7">
        <f>IF($AB446="","",SUMIFS('Per Line'!$U$2:$U$4001,'Per Line'!$C$2:$C$4001,$B446,'Per Line'!$AL$2:$AL$4001,1,'Per Line'!$AM$2:$AM$4001,0))</f>
        <v/>
      </c>
      <c r="W446" s="7">
        <f>IF($AB446="","",V446*U446)</f>
        <v/>
      </c>
      <c r="X446" s="7">
        <f>IF($AB446="","",W446+T446)</f>
        <v/>
      </c>
      <c r="Y446" s="7">
        <f>IF($AB446="","",Z446-X446)</f>
        <v/>
      </c>
      <c r="Z446" s="7">
        <f>IF($AB446="","",S446+V446+Q446)</f>
        <v/>
      </c>
      <c r="AA446" s="7">
        <f>IF($AB446="","",Z446-X446-M446)</f>
        <v/>
      </c>
      <c r="AB446" s="13">
        <f>IF(ROWS($AB$2:$AB446)&lt;=MAX('Per Line'!$AK$2:$AK$4001),MATCH(ROWS($AB$2:$AB446),'Per Line'!$AK$2:$AK$4001,0),"")</f>
        <v/>
      </c>
      <c r="AC446" s="14">
        <f>IF($AB446="","",M446-L446*Z446/100)</f>
        <v/>
      </c>
    </row>
    <row r="447">
      <c r="A447" s="12" t="n"/>
      <c r="B447">
        <f>IF($AB447="","",INDEX('Per Line'!$C$2:$C$4001,$AB447)&amp;"")</f>
        <v/>
      </c>
      <c r="C447">
        <f>IF($AB447="","",INDEX('Per Line'!$D$2:$D$4001,$AB447)&amp;"")</f>
        <v/>
      </c>
      <c r="D447">
        <f>IF($AB447="","",INDEX('Per Line'!$B$2:$B$4001,$AB447)&amp;"")</f>
        <v/>
      </c>
      <c r="E447">
        <f>IF($AB447="","",INDEX('Per Line'!$A$2:$A$4001,$AB447))</f>
        <v/>
      </c>
      <c r="F447" s="11">
        <f>IF($AB447="","",INDEX('Per Line'!$E$2:$E$4001,$AB447))</f>
        <v/>
      </c>
      <c r="G447">
        <f>IF($AB447="","",INDEX('Per Line'!$F$2:$F$4001,$AB447)&amp;"")</f>
        <v/>
      </c>
      <c r="H447">
        <f>IF($AB447="","",INDEX('Per Line'!$H$2:$H$4001,$AB447)&amp;"")</f>
        <v/>
      </c>
      <c r="I447">
        <f>IF($AB447="","",INDEX('Per Line'!$I$2:$I$4001,$AB447)&amp;"")</f>
        <v/>
      </c>
      <c r="J447">
        <f>IF($AB447="","",INDEX('Per Line'!$J$2:$J$4001,$AB447)&amp;"")</f>
        <v/>
      </c>
      <c r="K447">
        <f>IF($AB447="","",INDEX('Per Line'!$K$2:$K$4001,$AB447)&amp;"")</f>
        <v/>
      </c>
      <c r="L447">
        <f>IF($AB447="","",INDEX('Per Line'!$L$2:$L$4001,$AB447))</f>
        <v/>
      </c>
      <c r="M447" s="7">
        <f>IF($AB447="","",IF(AND(ISNUMBER(O447),O447&gt;0,Z447&gt;O447),L447*O447/100+(Z447-O447),L447*Z447/100))</f>
        <v/>
      </c>
      <c r="N447">
        <f>IF($AB447="","",INDEX('Per Line'!$V$2:$V$4001,$AB447)&amp;"")</f>
        <v/>
      </c>
      <c r="O447">
        <f>IF($AB447="","",INDEX('Per Line'!$Z$2:$Z$4001,$AB447))</f>
        <v/>
      </c>
      <c r="P447">
        <f>IF($AB447="","",IF(AND(ISNUMBER(O447),O447&gt;0),Z447&gt;O447,FALSE))</f>
        <v/>
      </c>
      <c r="Q447" s="7">
        <f>IF($AB447="","",SUMIFS('Per Line'!$U$2:$U$4001,'Per Line'!$C$2:$C$4001,$B447,'Per Line'!$AM$2:$AM$4001,1))</f>
        <v/>
      </c>
      <c r="R447">
        <f>IF($AB447="","",Settings!$C$7)</f>
        <v/>
      </c>
      <c r="S447" s="7">
        <f>IF($AB447="","",SUMIFS('Per Line'!$U$2:$U$4001,'Per Line'!$C$2:$C$4001,$B447,'Per Line'!$AL$2:$AL$4001,0,'Per Line'!$AM$2:$AM$4001,0))</f>
        <v/>
      </c>
      <c r="T447" s="7">
        <f>IF($AB447="","",S447*R447)</f>
        <v/>
      </c>
      <c r="U447">
        <f>IF($AB447="","",Settings!$C$6)</f>
        <v/>
      </c>
      <c r="V447" s="7">
        <f>IF($AB447="","",SUMIFS('Per Line'!$U$2:$U$4001,'Per Line'!$C$2:$C$4001,$B447,'Per Line'!$AL$2:$AL$4001,1,'Per Line'!$AM$2:$AM$4001,0))</f>
        <v/>
      </c>
      <c r="W447" s="7">
        <f>IF($AB447="","",V447*U447)</f>
        <v/>
      </c>
      <c r="X447" s="7">
        <f>IF($AB447="","",W447+T447)</f>
        <v/>
      </c>
      <c r="Y447" s="7">
        <f>IF($AB447="","",Z447-X447)</f>
        <v/>
      </c>
      <c r="Z447" s="7">
        <f>IF($AB447="","",S447+V447+Q447)</f>
        <v/>
      </c>
      <c r="AA447" s="7">
        <f>IF($AB447="","",Z447-X447-M447)</f>
        <v/>
      </c>
      <c r="AB447" s="13">
        <f>IF(ROWS($AB$2:$AB447)&lt;=MAX('Per Line'!$AK$2:$AK$4001),MATCH(ROWS($AB$2:$AB447),'Per Line'!$AK$2:$AK$4001,0),"")</f>
        <v/>
      </c>
      <c r="AC447" s="14">
        <f>IF($AB447="","",M447-L447*Z447/100)</f>
        <v/>
      </c>
    </row>
    <row r="448">
      <c r="A448" s="12" t="n"/>
      <c r="B448">
        <f>IF($AB448="","",INDEX('Per Line'!$C$2:$C$4001,$AB448)&amp;"")</f>
        <v/>
      </c>
      <c r="C448">
        <f>IF($AB448="","",INDEX('Per Line'!$D$2:$D$4001,$AB448)&amp;"")</f>
        <v/>
      </c>
      <c r="D448">
        <f>IF($AB448="","",INDEX('Per Line'!$B$2:$B$4001,$AB448)&amp;"")</f>
        <v/>
      </c>
      <c r="E448">
        <f>IF($AB448="","",INDEX('Per Line'!$A$2:$A$4001,$AB448))</f>
        <v/>
      </c>
      <c r="F448" s="11">
        <f>IF($AB448="","",INDEX('Per Line'!$E$2:$E$4001,$AB448))</f>
        <v/>
      </c>
      <c r="G448">
        <f>IF($AB448="","",INDEX('Per Line'!$F$2:$F$4001,$AB448)&amp;"")</f>
        <v/>
      </c>
      <c r="H448">
        <f>IF($AB448="","",INDEX('Per Line'!$H$2:$H$4001,$AB448)&amp;"")</f>
        <v/>
      </c>
      <c r="I448">
        <f>IF($AB448="","",INDEX('Per Line'!$I$2:$I$4001,$AB448)&amp;"")</f>
        <v/>
      </c>
      <c r="J448">
        <f>IF($AB448="","",INDEX('Per Line'!$J$2:$J$4001,$AB448)&amp;"")</f>
        <v/>
      </c>
      <c r="K448">
        <f>IF($AB448="","",INDEX('Per Line'!$K$2:$K$4001,$AB448)&amp;"")</f>
        <v/>
      </c>
      <c r="L448">
        <f>IF($AB448="","",INDEX('Per Line'!$L$2:$L$4001,$AB448))</f>
        <v/>
      </c>
      <c r="M448" s="7">
        <f>IF($AB448="","",IF(AND(ISNUMBER(O448),O448&gt;0,Z448&gt;O448),L448*O448/100+(Z448-O448),L448*Z448/100))</f>
        <v/>
      </c>
      <c r="N448">
        <f>IF($AB448="","",INDEX('Per Line'!$V$2:$V$4001,$AB448)&amp;"")</f>
        <v/>
      </c>
      <c r="O448">
        <f>IF($AB448="","",INDEX('Per Line'!$Z$2:$Z$4001,$AB448))</f>
        <v/>
      </c>
      <c r="P448">
        <f>IF($AB448="","",IF(AND(ISNUMBER(O448),O448&gt;0),Z448&gt;O448,FALSE))</f>
        <v/>
      </c>
      <c r="Q448" s="7">
        <f>IF($AB448="","",SUMIFS('Per Line'!$U$2:$U$4001,'Per Line'!$C$2:$C$4001,$B448,'Per Line'!$AM$2:$AM$4001,1))</f>
        <v/>
      </c>
      <c r="R448">
        <f>IF($AB448="","",Settings!$C$7)</f>
        <v/>
      </c>
      <c r="S448" s="7">
        <f>IF($AB448="","",SUMIFS('Per Line'!$U$2:$U$4001,'Per Line'!$C$2:$C$4001,$B448,'Per Line'!$AL$2:$AL$4001,0,'Per Line'!$AM$2:$AM$4001,0))</f>
        <v/>
      </c>
      <c r="T448" s="7">
        <f>IF($AB448="","",S448*R448)</f>
        <v/>
      </c>
      <c r="U448">
        <f>IF($AB448="","",Settings!$C$6)</f>
        <v/>
      </c>
      <c r="V448" s="7">
        <f>IF($AB448="","",SUMIFS('Per Line'!$U$2:$U$4001,'Per Line'!$C$2:$C$4001,$B448,'Per Line'!$AL$2:$AL$4001,1,'Per Line'!$AM$2:$AM$4001,0))</f>
        <v/>
      </c>
      <c r="W448" s="7">
        <f>IF($AB448="","",V448*U448)</f>
        <v/>
      </c>
      <c r="X448" s="7">
        <f>IF($AB448="","",W448+T448)</f>
        <v/>
      </c>
      <c r="Y448" s="7">
        <f>IF($AB448="","",Z448-X448)</f>
        <v/>
      </c>
      <c r="Z448" s="7">
        <f>IF($AB448="","",S448+V448+Q448)</f>
        <v/>
      </c>
      <c r="AA448" s="7">
        <f>IF($AB448="","",Z448-X448-M448)</f>
        <v/>
      </c>
      <c r="AB448" s="13">
        <f>IF(ROWS($AB$2:$AB448)&lt;=MAX('Per Line'!$AK$2:$AK$4001),MATCH(ROWS($AB$2:$AB448),'Per Line'!$AK$2:$AK$4001,0),"")</f>
        <v/>
      </c>
      <c r="AC448" s="14">
        <f>IF($AB448="","",M448-L448*Z448/100)</f>
        <v/>
      </c>
    </row>
    <row r="449">
      <c r="A449" s="12" t="n"/>
      <c r="B449">
        <f>IF($AB449="","",INDEX('Per Line'!$C$2:$C$4001,$AB449)&amp;"")</f>
        <v/>
      </c>
      <c r="C449">
        <f>IF($AB449="","",INDEX('Per Line'!$D$2:$D$4001,$AB449)&amp;"")</f>
        <v/>
      </c>
      <c r="D449">
        <f>IF($AB449="","",INDEX('Per Line'!$B$2:$B$4001,$AB449)&amp;"")</f>
        <v/>
      </c>
      <c r="E449">
        <f>IF($AB449="","",INDEX('Per Line'!$A$2:$A$4001,$AB449))</f>
        <v/>
      </c>
      <c r="F449" s="11">
        <f>IF($AB449="","",INDEX('Per Line'!$E$2:$E$4001,$AB449))</f>
        <v/>
      </c>
      <c r="G449">
        <f>IF($AB449="","",INDEX('Per Line'!$F$2:$F$4001,$AB449)&amp;"")</f>
        <v/>
      </c>
      <c r="H449">
        <f>IF($AB449="","",INDEX('Per Line'!$H$2:$H$4001,$AB449)&amp;"")</f>
        <v/>
      </c>
      <c r="I449">
        <f>IF($AB449="","",INDEX('Per Line'!$I$2:$I$4001,$AB449)&amp;"")</f>
        <v/>
      </c>
      <c r="J449">
        <f>IF($AB449="","",INDEX('Per Line'!$J$2:$J$4001,$AB449)&amp;"")</f>
        <v/>
      </c>
      <c r="K449">
        <f>IF($AB449="","",INDEX('Per Line'!$K$2:$K$4001,$AB449)&amp;"")</f>
        <v/>
      </c>
      <c r="L449">
        <f>IF($AB449="","",INDEX('Per Line'!$L$2:$L$4001,$AB449))</f>
        <v/>
      </c>
      <c r="M449" s="7">
        <f>IF($AB449="","",IF(AND(ISNUMBER(O449),O449&gt;0,Z449&gt;O449),L449*O449/100+(Z449-O449),L449*Z449/100))</f>
        <v/>
      </c>
      <c r="N449">
        <f>IF($AB449="","",INDEX('Per Line'!$V$2:$V$4001,$AB449)&amp;"")</f>
        <v/>
      </c>
      <c r="O449">
        <f>IF($AB449="","",INDEX('Per Line'!$Z$2:$Z$4001,$AB449))</f>
        <v/>
      </c>
      <c r="P449">
        <f>IF($AB449="","",IF(AND(ISNUMBER(O449),O449&gt;0),Z449&gt;O449,FALSE))</f>
        <v/>
      </c>
      <c r="Q449" s="7">
        <f>IF($AB449="","",SUMIFS('Per Line'!$U$2:$U$4001,'Per Line'!$C$2:$C$4001,$B449,'Per Line'!$AM$2:$AM$4001,1))</f>
        <v/>
      </c>
      <c r="R449">
        <f>IF($AB449="","",Settings!$C$7)</f>
        <v/>
      </c>
      <c r="S449" s="7">
        <f>IF($AB449="","",SUMIFS('Per Line'!$U$2:$U$4001,'Per Line'!$C$2:$C$4001,$B449,'Per Line'!$AL$2:$AL$4001,0,'Per Line'!$AM$2:$AM$4001,0))</f>
        <v/>
      </c>
      <c r="T449" s="7">
        <f>IF($AB449="","",S449*R449)</f>
        <v/>
      </c>
      <c r="U449">
        <f>IF($AB449="","",Settings!$C$6)</f>
        <v/>
      </c>
      <c r="V449" s="7">
        <f>IF($AB449="","",SUMIFS('Per Line'!$U$2:$U$4001,'Per Line'!$C$2:$C$4001,$B449,'Per Line'!$AL$2:$AL$4001,1,'Per Line'!$AM$2:$AM$4001,0))</f>
        <v/>
      </c>
      <c r="W449" s="7">
        <f>IF($AB449="","",V449*U449)</f>
        <v/>
      </c>
      <c r="X449" s="7">
        <f>IF($AB449="","",W449+T449)</f>
        <v/>
      </c>
      <c r="Y449" s="7">
        <f>IF($AB449="","",Z449-X449)</f>
        <v/>
      </c>
      <c r="Z449" s="7">
        <f>IF($AB449="","",S449+V449+Q449)</f>
        <v/>
      </c>
      <c r="AA449" s="7">
        <f>IF($AB449="","",Z449-X449-M449)</f>
        <v/>
      </c>
      <c r="AB449" s="13">
        <f>IF(ROWS($AB$2:$AB449)&lt;=MAX('Per Line'!$AK$2:$AK$4001),MATCH(ROWS($AB$2:$AB449),'Per Line'!$AK$2:$AK$4001,0),"")</f>
        <v/>
      </c>
      <c r="AC449" s="14">
        <f>IF($AB449="","",M449-L449*Z449/100)</f>
        <v/>
      </c>
    </row>
    <row r="450">
      <c r="A450" s="12" t="n"/>
      <c r="B450">
        <f>IF($AB450="","",INDEX('Per Line'!$C$2:$C$4001,$AB450)&amp;"")</f>
        <v/>
      </c>
      <c r="C450">
        <f>IF($AB450="","",INDEX('Per Line'!$D$2:$D$4001,$AB450)&amp;"")</f>
        <v/>
      </c>
      <c r="D450">
        <f>IF($AB450="","",INDEX('Per Line'!$B$2:$B$4001,$AB450)&amp;"")</f>
        <v/>
      </c>
      <c r="E450">
        <f>IF($AB450="","",INDEX('Per Line'!$A$2:$A$4001,$AB450))</f>
        <v/>
      </c>
      <c r="F450" s="11">
        <f>IF($AB450="","",INDEX('Per Line'!$E$2:$E$4001,$AB450))</f>
        <v/>
      </c>
      <c r="G450">
        <f>IF($AB450="","",INDEX('Per Line'!$F$2:$F$4001,$AB450)&amp;"")</f>
        <v/>
      </c>
      <c r="H450">
        <f>IF($AB450="","",INDEX('Per Line'!$H$2:$H$4001,$AB450)&amp;"")</f>
        <v/>
      </c>
      <c r="I450">
        <f>IF($AB450="","",INDEX('Per Line'!$I$2:$I$4001,$AB450)&amp;"")</f>
        <v/>
      </c>
      <c r="J450">
        <f>IF($AB450="","",INDEX('Per Line'!$J$2:$J$4001,$AB450)&amp;"")</f>
        <v/>
      </c>
      <c r="K450">
        <f>IF($AB450="","",INDEX('Per Line'!$K$2:$K$4001,$AB450)&amp;"")</f>
        <v/>
      </c>
      <c r="L450">
        <f>IF($AB450="","",INDEX('Per Line'!$L$2:$L$4001,$AB450))</f>
        <v/>
      </c>
      <c r="M450" s="7">
        <f>IF($AB450="","",IF(AND(ISNUMBER(O450),O450&gt;0,Z450&gt;O450),L450*O450/100+(Z450-O450),L450*Z450/100))</f>
        <v/>
      </c>
      <c r="N450">
        <f>IF($AB450="","",INDEX('Per Line'!$V$2:$V$4001,$AB450)&amp;"")</f>
        <v/>
      </c>
      <c r="O450">
        <f>IF($AB450="","",INDEX('Per Line'!$Z$2:$Z$4001,$AB450))</f>
        <v/>
      </c>
      <c r="P450">
        <f>IF($AB450="","",IF(AND(ISNUMBER(O450),O450&gt;0),Z450&gt;O450,FALSE))</f>
        <v/>
      </c>
      <c r="Q450" s="7">
        <f>IF($AB450="","",SUMIFS('Per Line'!$U$2:$U$4001,'Per Line'!$C$2:$C$4001,$B450,'Per Line'!$AM$2:$AM$4001,1))</f>
        <v/>
      </c>
      <c r="R450">
        <f>IF($AB450="","",Settings!$C$7)</f>
        <v/>
      </c>
      <c r="S450" s="7">
        <f>IF($AB450="","",SUMIFS('Per Line'!$U$2:$U$4001,'Per Line'!$C$2:$C$4001,$B450,'Per Line'!$AL$2:$AL$4001,0,'Per Line'!$AM$2:$AM$4001,0))</f>
        <v/>
      </c>
      <c r="T450" s="7">
        <f>IF($AB450="","",S450*R450)</f>
        <v/>
      </c>
      <c r="U450">
        <f>IF($AB450="","",Settings!$C$6)</f>
        <v/>
      </c>
      <c r="V450" s="7">
        <f>IF($AB450="","",SUMIFS('Per Line'!$U$2:$U$4001,'Per Line'!$C$2:$C$4001,$B450,'Per Line'!$AL$2:$AL$4001,1,'Per Line'!$AM$2:$AM$4001,0))</f>
        <v/>
      </c>
      <c r="W450" s="7">
        <f>IF($AB450="","",V450*U450)</f>
        <v/>
      </c>
      <c r="X450" s="7">
        <f>IF($AB450="","",W450+T450)</f>
        <v/>
      </c>
      <c r="Y450" s="7">
        <f>IF($AB450="","",Z450-X450)</f>
        <v/>
      </c>
      <c r="Z450" s="7">
        <f>IF($AB450="","",S450+V450+Q450)</f>
        <v/>
      </c>
      <c r="AA450" s="7">
        <f>IF($AB450="","",Z450-X450-M450)</f>
        <v/>
      </c>
      <c r="AB450" s="13">
        <f>IF(ROWS($AB$2:$AB450)&lt;=MAX('Per Line'!$AK$2:$AK$4001),MATCH(ROWS($AB$2:$AB450),'Per Line'!$AK$2:$AK$4001,0),"")</f>
        <v/>
      </c>
      <c r="AC450" s="14">
        <f>IF($AB450="","",M450-L450*Z450/100)</f>
        <v/>
      </c>
    </row>
    <row r="451">
      <c r="A451" s="12" t="n"/>
      <c r="B451">
        <f>IF($AB451="","",INDEX('Per Line'!$C$2:$C$4001,$AB451)&amp;"")</f>
        <v/>
      </c>
      <c r="C451">
        <f>IF($AB451="","",INDEX('Per Line'!$D$2:$D$4001,$AB451)&amp;"")</f>
        <v/>
      </c>
      <c r="D451">
        <f>IF($AB451="","",INDEX('Per Line'!$B$2:$B$4001,$AB451)&amp;"")</f>
        <v/>
      </c>
      <c r="E451">
        <f>IF($AB451="","",INDEX('Per Line'!$A$2:$A$4001,$AB451))</f>
        <v/>
      </c>
      <c r="F451" s="11">
        <f>IF($AB451="","",INDEX('Per Line'!$E$2:$E$4001,$AB451))</f>
        <v/>
      </c>
      <c r="G451">
        <f>IF($AB451="","",INDEX('Per Line'!$F$2:$F$4001,$AB451)&amp;"")</f>
        <v/>
      </c>
      <c r="H451">
        <f>IF($AB451="","",INDEX('Per Line'!$H$2:$H$4001,$AB451)&amp;"")</f>
        <v/>
      </c>
      <c r="I451">
        <f>IF($AB451="","",INDEX('Per Line'!$I$2:$I$4001,$AB451)&amp;"")</f>
        <v/>
      </c>
      <c r="J451">
        <f>IF($AB451="","",INDEX('Per Line'!$J$2:$J$4001,$AB451)&amp;"")</f>
        <v/>
      </c>
      <c r="K451">
        <f>IF($AB451="","",INDEX('Per Line'!$K$2:$K$4001,$AB451)&amp;"")</f>
        <v/>
      </c>
      <c r="L451">
        <f>IF($AB451="","",INDEX('Per Line'!$L$2:$L$4001,$AB451))</f>
        <v/>
      </c>
      <c r="M451" s="7">
        <f>IF($AB451="","",IF(AND(ISNUMBER(O451),O451&gt;0,Z451&gt;O451),L451*O451/100+(Z451-O451),L451*Z451/100))</f>
        <v/>
      </c>
      <c r="N451">
        <f>IF($AB451="","",INDEX('Per Line'!$V$2:$V$4001,$AB451)&amp;"")</f>
        <v/>
      </c>
      <c r="O451">
        <f>IF($AB451="","",INDEX('Per Line'!$Z$2:$Z$4001,$AB451))</f>
        <v/>
      </c>
      <c r="P451">
        <f>IF($AB451="","",IF(AND(ISNUMBER(O451),O451&gt;0),Z451&gt;O451,FALSE))</f>
        <v/>
      </c>
      <c r="Q451" s="7">
        <f>IF($AB451="","",SUMIFS('Per Line'!$U$2:$U$4001,'Per Line'!$C$2:$C$4001,$B451,'Per Line'!$AM$2:$AM$4001,1))</f>
        <v/>
      </c>
      <c r="R451">
        <f>IF($AB451="","",Settings!$C$7)</f>
        <v/>
      </c>
      <c r="S451" s="7">
        <f>IF($AB451="","",SUMIFS('Per Line'!$U$2:$U$4001,'Per Line'!$C$2:$C$4001,$B451,'Per Line'!$AL$2:$AL$4001,0,'Per Line'!$AM$2:$AM$4001,0))</f>
        <v/>
      </c>
      <c r="T451" s="7">
        <f>IF($AB451="","",S451*R451)</f>
        <v/>
      </c>
      <c r="U451">
        <f>IF($AB451="","",Settings!$C$6)</f>
        <v/>
      </c>
      <c r="V451" s="7">
        <f>IF($AB451="","",SUMIFS('Per Line'!$U$2:$U$4001,'Per Line'!$C$2:$C$4001,$B451,'Per Line'!$AL$2:$AL$4001,1,'Per Line'!$AM$2:$AM$4001,0))</f>
        <v/>
      </c>
      <c r="W451" s="7">
        <f>IF($AB451="","",V451*U451)</f>
        <v/>
      </c>
      <c r="X451" s="7">
        <f>IF($AB451="","",W451+T451)</f>
        <v/>
      </c>
      <c r="Y451" s="7">
        <f>IF($AB451="","",Z451-X451)</f>
        <v/>
      </c>
      <c r="Z451" s="7">
        <f>IF($AB451="","",S451+V451+Q451)</f>
        <v/>
      </c>
      <c r="AA451" s="7">
        <f>IF($AB451="","",Z451-X451-M451)</f>
        <v/>
      </c>
      <c r="AB451" s="13">
        <f>IF(ROWS($AB$2:$AB451)&lt;=MAX('Per Line'!$AK$2:$AK$4001),MATCH(ROWS($AB$2:$AB451),'Per Line'!$AK$2:$AK$4001,0),"")</f>
        <v/>
      </c>
      <c r="AC451" s="14">
        <f>IF($AB451="","",M451-L451*Z451/100)</f>
        <v/>
      </c>
    </row>
    <row r="452">
      <c r="A452" s="12" t="n"/>
      <c r="B452">
        <f>IF($AB452="","",INDEX('Per Line'!$C$2:$C$4001,$AB452)&amp;"")</f>
        <v/>
      </c>
      <c r="C452">
        <f>IF($AB452="","",INDEX('Per Line'!$D$2:$D$4001,$AB452)&amp;"")</f>
        <v/>
      </c>
      <c r="D452">
        <f>IF($AB452="","",INDEX('Per Line'!$B$2:$B$4001,$AB452)&amp;"")</f>
        <v/>
      </c>
      <c r="E452">
        <f>IF($AB452="","",INDEX('Per Line'!$A$2:$A$4001,$AB452))</f>
        <v/>
      </c>
      <c r="F452" s="11">
        <f>IF($AB452="","",INDEX('Per Line'!$E$2:$E$4001,$AB452))</f>
        <v/>
      </c>
      <c r="G452">
        <f>IF($AB452="","",INDEX('Per Line'!$F$2:$F$4001,$AB452)&amp;"")</f>
        <v/>
      </c>
      <c r="H452">
        <f>IF($AB452="","",INDEX('Per Line'!$H$2:$H$4001,$AB452)&amp;"")</f>
        <v/>
      </c>
      <c r="I452">
        <f>IF($AB452="","",INDEX('Per Line'!$I$2:$I$4001,$AB452)&amp;"")</f>
        <v/>
      </c>
      <c r="J452">
        <f>IF($AB452="","",INDEX('Per Line'!$J$2:$J$4001,$AB452)&amp;"")</f>
        <v/>
      </c>
      <c r="K452">
        <f>IF($AB452="","",INDEX('Per Line'!$K$2:$K$4001,$AB452)&amp;"")</f>
        <v/>
      </c>
      <c r="L452">
        <f>IF($AB452="","",INDEX('Per Line'!$L$2:$L$4001,$AB452))</f>
        <v/>
      </c>
      <c r="M452" s="7">
        <f>IF($AB452="","",IF(AND(ISNUMBER(O452),O452&gt;0,Z452&gt;O452),L452*O452/100+(Z452-O452),L452*Z452/100))</f>
        <v/>
      </c>
      <c r="N452">
        <f>IF($AB452="","",INDEX('Per Line'!$V$2:$V$4001,$AB452)&amp;"")</f>
        <v/>
      </c>
      <c r="O452">
        <f>IF($AB452="","",INDEX('Per Line'!$Z$2:$Z$4001,$AB452))</f>
        <v/>
      </c>
      <c r="P452">
        <f>IF($AB452="","",IF(AND(ISNUMBER(O452),O452&gt;0),Z452&gt;O452,FALSE))</f>
        <v/>
      </c>
      <c r="Q452" s="7">
        <f>IF($AB452="","",SUMIFS('Per Line'!$U$2:$U$4001,'Per Line'!$C$2:$C$4001,$B452,'Per Line'!$AM$2:$AM$4001,1))</f>
        <v/>
      </c>
      <c r="R452">
        <f>IF($AB452="","",Settings!$C$7)</f>
        <v/>
      </c>
      <c r="S452" s="7">
        <f>IF($AB452="","",SUMIFS('Per Line'!$U$2:$U$4001,'Per Line'!$C$2:$C$4001,$B452,'Per Line'!$AL$2:$AL$4001,0,'Per Line'!$AM$2:$AM$4001,0))</f>
        <v/>
      </c>
      <c r="T452" s="7">
        <f>IF($AB452="","",S452*R452)</f>
        <v/>
      </c>
      <c r="U452">
        <f>IF($AB452="","",Settings!$C$6)</f>
        <v/>
      </c>
      <c r="V452" s="7">
        <f>IF($AB452="","",SUMIFS('Per Line'!$U$2:$U$4001,'Per Line'!$C$2:$C$4001,$B452,'Per Line'!$AL$2:$AL$4001,1,'Per Line'!$AM$2:$AM$4001,0))</f>
        <v/>
      </c>
      <c r="W452" s="7">
        <f>IF($AB452="","",V452*U452)</f>
        <v/>
      </c>
      <c r="X452" s="7">
        <f>IF($AB452="","",W452+T452)</f>
        <v/>
      </c>
      <c r="Y452" s="7">
        <f>IF($AB452="","",Z452-X452)</f>
        <v/>
      </c>
      <c r="Z452" s="7">
        <f>IF($AB452="","",S452+V452+Q452)</f>
        <v/>
      </c>
      <c r="AA452" s="7">
        <f>IF($AB452="","",Z452-X452-M452)</f>
        <v/>
      </c>
      <c r="AB452" s="13">
        <f>IF(ROWS($AB$2:$AB452)&lt;=MAX('Per Line'!$AK$2:$AK$4001),MATCH(ROWS($AB$2:$AB452),'Per Line'!$AK$2:$AK$4001,0),"")</f>
        <v/>
      </c>
      <c r="AC452" s="14">
        <f>IF($AB452="","",M452-L452*Z452/100)</f>
        <v/>
      </c>
    </row>
    <row r="453">
      <c r="A453" s="12" t="n"/>
      <c r="B453">
        <f>IF($AB453="","",INDEX('Per Line'!$C$2:$C$4001,$AB453)&amp;"")</f>
        <v/>
      </c>
      <c r="C453">
        <f>IF($AB453="","",INDEX('Per Line'!$D$2:$D$4001,$AB453)&amp;"")</f>
        <v/>
      </c>
      <c r="D453">
        <f>IF($AB453="","",INDEX('Per Line'!$B$2:$B$4001,$AB453)&amp;"")</f>
        <v/>
      </c>
      <c r="E453">
        <f>IF($AB453="","",INDEX('Per Line'!$A$2:$A$4001,$AB453))</f>
        <v/>
      </c>
      <c r="F453" s="11">
        <f>IF($AB453="","",INDEX('Per Line'!$E$2:$E$4001,$AB453))</f>
        <v/>
      </c>
      <c r="G453">
        <f>IF($AB453="","",INDEX('Per Line'!$F$2:$F$4001,$AB453)&amp;"")</f>
        <v/>
      </c>
      <c r="H453">
        <f>IF($AB453="","",INDEX('Per Line'!$H$2:$H$4001,$AB453)&amp;"")</f>
        <v/>
      </c>
      <c r="I453">
        <f>IF($AB453="","",INDEX('Per Line'!$I$2:$I$4001,$AB453)&amp;"")</f>
        <v/>
      </c>
      <c r="J453">
        <f>IF($AB453="","",INDEX('Per Line'!$J$2:$J$4001,$AB453)&amp;"")</f>
        <v/>
      </c>
      <c r="K453">
        <f>IF($AB453="","",INDEX('Per Line'!$K$2:$K$4001,$AB453)&amp;"")</f>
        <v/>
      </c>
      <c r="L453">
        <f>IF($AB453="","",INDEX('Per Line'!$L$2:$L$4001,$AB453))</f>
        <v/>
      </c>
      <c r="M453" s="7">
        <f>IF($AB453="","",IF(AND(ISNUMBER(O453),O453&gt;0,Z453&gt;O453),L453*O453/100+(Z453-O453),L453*Z453/100))</f>
        <v/>
      </c>
      <c r="N453">
        <f>IF($AB453="","",INDEX('Per Line'!$V$2:$V$4001,$AB453)&amp;"")</f>
        <v/>
      </c>
      <c r="O453">
        <f>IF($AB453="","",INDEX('Per Line'!$Z$2:$Z$4001,$AB453))</f>
        <v/>
      </c>
      <c r="P453">
        <f>IF($AB453="","",IF(AND(ISNUMBER(O453),O453&gt;0),Z453&gt;O453,FALSE))</f>
        <v/>
      </c>
      <c r="Q453" s="7">
        <f>IF($AB453="","",SUMIFS('Per Line'!$U$2:$U$4001,'Per Line'!$C$2:$C$4001,$B453,'Per Line'!$AM$2:$AM$4001,1))</f>
        <v/>
      </c>
      <c r="R453">
        <f>IF($AB453="","",Settings!$C$7)</f>
        <v/>
      </c>
      <c r="S453" s="7">
        <f>IF($AB453="","",SUMIFS('Per Line'!$U$2:$U$4001,'Per Line'!$C$2:$C$4001,$B453,'Per Line'!$AL$2:$AL$4001,0,'Per Line'!$AM$2:$AM$4001,0))</f>
        <v/>
      </c>
      <c r="T453" s="7">
        <f>IF($AB453="","",S453*R453)</f>
        <v/>
      </c>
      <c r="U453">
        <f>IF($AB453="","",Settings!$C$6)</f>
        <v/>
      </c>
      <c r="V453" s="7">
        <f>IF($AB453="","",SUMIFS('Per Line'!$U$2:$U$4001,'Per Line'!$C$2:$C$4001,$B453,'Per Line'!$AL$2:$AL$4001,1,'Per Line'!$AM$2:$AM$4001,0))</f>
        <v/>
      </c>
      <c r="W453" s="7">
        <f>IF($AB453="","",V453*U453)</f>
        <v/>
      </c>
      <c r="X453" s="7">
        <f>IF($AB453="","",W453+T453)</f>
        <v/>
      </c>
      <c r="Y453" s="7">
        <f>IF($AB453="","",Z453-X453)</f>
        <v/>
      </c>
      <c r="Z453" s="7">
        <f>IF($AB453="","",S453+V453+Q453)</f>
        <v/>
      </c>
      <c r="AA453" s="7">
        <f>IF($AB453="","",Z453-X453-M453)</f>
        <v/>
      </c>
      <c r="AB453" s="13">
        <f>IF(ROWS($AB$2:$AB453)&lt;=MAX('Per Line'!$AK$2:$AK$4001),MATCH(ROWS($AB$2:$AB453),'Per Line'!$AK$2:$AK$4001,0),"")</f>
        <v/>
      </c>
      <c r="AC453" s="14">
        <f>IF($AB453="","",M453-L453*Z453/100)</f>
        <v/>
      </c>
    </row>
    <row r="454">
      <c r="A454" s="12" t="n"/>
      <c r="B454">
        <f>IF($AB454="","",INDEX('Per Line'!$C$2:$C$4001,$AB454)&amp;"")</f>
        <v/>
      </c>
      <c r="C454">
        <f>IF($AB454="","",INDEX('Per Line'!$D$2:$D$4001,$AB454)&amp;"")</f>
        <v/>
      </c>
      <c r="D454">
        <f>IF($AB454="","",INDEX('Per Line'!$B$2:$B$4001,$AB454)&amp;"")</f>
        <v/>
      </c>
      <c r="E454">
        <f>IF($AB454="","",INDEX('Per Line'!$A$2:$A$4001,$AB454))</f>
        <v/>
      </c>
      <c r="F454" s="11">
        <f>IF($AB454="","",INDEX('Per Line'!$E$2:$E$4001,$AB454))</f>
        <v/>
      </c>
      <c r="G454">
        <f>IF($AB454="","",INDEX('Per Line'!$F$2:$F$4001,$AB454)&amp;"")</f>
        <v/>
      </c>
      <c r="H454">
        <f>IF($AB454="","",INDEX('Per Line'!$H$2:$H$4001,$AB454)&amp;"")</f>
        <v/>
      </c>
      <c r="I454">
        <f>IF($AB454="","",INDEX('Per Line'!$I$2:$I$4001,$AB454)&amp;"")</f>
        <v/>
      </c>
      <c r="J454">
        <f>IF($AB454="","",INDEX('Per Line'!$J$2:$J$4001,$AB454)&amp;"")</f>
        <v/>
      </c>
      <c r="K454">
        <f>IF($AB454="","",INDEX('Per Line'!$K$2:$K$4001,$AB454)&amp;"")</f>
        <v/>
      </c>
      <c r="L454">
        <f>IF($AB454="","",INDEX('Per Line'!$L$2:$L$4001,$AB454))</f>
        <v/>
      </c>
      <c r="M454" s="7">
        <f>IF($AB454="","",IF(AND(ISNUMBER(O454),O454&gt;0,Z454&gt;O454),L454*O454/100+(Z454-O454),L454*Z454/100))</f>
        <v/>
      </c>
      <c r="N454">
        <f>IF($AB454="","",INDEX('Per Line'!$V$2:$V$4001,$AB454)&amp;"")</f>
        <v/>
      </c>
      <c r="O454">
        <f>IF($AB454="","",INDEX('Per Line'!$Z$2:$Z$4001,$AB454))</f>
        <v/>
      </c>
      <c r="P454">
        <f>IF($AB454="","",IF(AND(ISNUMBER(O454),O454&gt;0),Z454&gt;O454,FALSE))</f>
        <v/>
      </c>
      <c r="Q454" s="7">
        <f>IF($AB454="","",SUMIFS('Per Line'!$U$2:$U$4001,'Per Line'!$C$2:$C$4001,$B454,'Per Line'!$AM$2:$AM$4001,1))</f>
        <v/>
      </c>
      <c r="R454">
        <f>IF($AB454="","",Settings!$C$7)</f>
        <v/>
      </c>
      <c r="S454" s="7">
        <f>IF($AB454="","",SUMIFS('Per Line'!$U$2:$U$4001,'Per Line'!$C$2:$C$4001,$B454,'Per Line'!$AL$2:$AL$4001,0,'Per Line'!$AM$2:$AM$4001,0))</f>
        <v/>
      </c>
      <c r="T454" s="7">
        <f>IF($AB454="","",S454*R454)</f>
        <v/>
      </c>
      <c r="U454">
        <f>IF($AB454="","",Settings!$C$6)</f>
        <v/>
      </c>
      <c r="V454" s="7">
        <f>IF($AB454="","",SUMIFS('Per Line'!$U$2:$U$4001,'Per Line'!$C$2:$C$4001,$B454,'Per Line'!$AL$2:$AL$4001,1,'Per Line'!$AM$2:$AM$4001,0))</f>
        <v/>
      </c>
      <c r="W454" s="7">
        <f>IF($AB454="","",V454*U454)</f>
        <v/>
      </c>
      <c r="X454" s="7">
        <f>IF($AB454="","",W454+T454)</f>
        <v/>
      </c>
      <c r="Y454" s="7">
        <f>IF($AB454="","",Z454-X454)</f>
        <v/>
      </c>
      <c r="Z454" s="7">
        <f>IF($AB454="","",S454+V454+Q454)</f>
        <v/>
      </c>
      <c r="AA454" s="7">
        <f>IF($AB454="","",Z454-X454-M454)</f>
        <v/>
      </c>
      <c r="AB454" s="13">
        <f>IF(ROWS($AB$2:$AB454)&lt;=MAX('Per Line'!$AK$2:$AK$4001),MATCH(ROWS($AB$2:$AB454),'Per Line'!$AK$2:$AK$4001,0),"")</f>
        <v/>
      </c>
      <c r="AC454" s="14">
        <f>IF($AB454="","",M454-L454*Z454/100)</f>
        <v/>
      </c>
    </row>
    <row r="455">
      <c r="A455" s="12" t="n"/>
      <c r="B455">
        <f>IF($AB455="","",INDEX('Per Line'!$C$2:$C$4001,$AB455)&amp;"")</f>
        <v/>
      </c>
      <c r="C455">
        <f>IF($AB455="","",INDEX('Per Line'!$D$2:$D$4001,$AB455)&amp;"")</f>
        <v/>
      </c>
      <c r="D455">
        <f>IF($AB455="","",INDEX('Per Line'!$B$2:$B$4001,$AB455)&amp;"")</f>
        <v/>
      </c>
      <c r="E455">
        <f>IF($AB455="","",INDEX('Per Line'!$A$2:$A$4001,$AB455))</f>
        <v/>
      </c>
      <c r="F455" s="11">
        <f>IF($AB455="","",INDEX('Per Line'!$E$2:$E$4001,$AB455))</f>
        <v/>
      </c>
      <c r="G455">
        <f>IF($AB455="","",INDEX('Per Line'!$F$2:$F$4001,$AB455)&amp;"")</f>
        <v/>
      </c>
      <c r="H455">
        <f>IF($AB455="","",INDEX('Per Line'!$H$2:$H$4001,$AB455)&amp;"")</f>
        <v/>
      </c>
      <c r="I455">
        <f>IF($AB455="","",INDEX('Per Line'!$I$2:$I$4001,$AB455)&amp;"")</f>
        <v/>
      </c>
      <c r="J455">
        <f>IF($AB455="","",INDEX('Per Line'!$J$2:$J$4001,$AB455)&amp;"")</f>
        <v/>
      </c>
      <c r="K455">
        <f>IF($AB455="","",INDEX('Per Line'!$K$2:$K$4001,$AB455)&amp;"")</f>
        <v/>
      </c>
      <c r="L455">
        <f>IF($AB455="","",INDEX('Per Line'!$L$2:$L$4001,$AB455))</f>
        <v/>
      </c>
      <c r="M455" s="7">
        <f>IF($AB455="","",IF(AND(ISNUMBER(O455),O455&gt;0,Z455&gt;O455),L455*O455/100+(Z455-O455),L455*Z455/100))</f>
        <v/>
      </c>
      <c r="N455">
        <f>IF($AB455="","",INDEX('Per Line'!$V$2:$V$4001,$AB455)&amp;"")</f>
        <v/>
      </c>
      <c r="O455">
        <f>IF($AB455="","",INDEX('Per Line'!$Z$2:$Z$4001,$AB455))</f>
        <v/>
      </c>
      <c r="P455">
        <f>IF($AB455="","",IF(AND(ISNUMBER(O455),O455&gt;0),Z455&gt;O455,FALSE))</f>
        <v/>
      </c>
      <c r="Q455" s="7">
        <f>IF($AB455="","",SUMIFS('Per Line'!$U$2:$U$4001,'Per Line'!$C$2:$C$4001,$B455,'Per Line'!$AM$2:$AM$4001,1))</f>
        <v/>
      </c>
      <c r="R455">
        <f>IF($AB455="","",Settings!$C$7)</f>
        <v/>
      </c>
      <c r="S455" s="7">
        <f>IF($AB455="","",SUMIFS('Per Line'!$U$2:$U$4001,'Per Line'!$C$2:$C$4001,$B455,'Per Line'!$AL$2:$AL$4001,0,'Per Line'!$AM$2:$AM$4001,0))</f>
        <v/>
      </c>
      <c r="T455" s="7">
        <f>IF($AB455="","",S455*R455)</f>
        <v/>
      </c>
      <c r="U455">
        <f>IF($AB455="","",Settings!$C$6)</f>
        <v/>
      </c>
      <c r="V455" s="7">
        <f>IF($AB455="","",SUMIFS('Per Line'!$U$2:$U$4001,'Per Line'!$C$2:$C$4001,$B455,'Per Line'!$AL$2:$AL$4001,1,'Per Line'!$AM$2:$AM$4001,0))</f>
        <v/>
      </c>
      <c r="W455" s="7">
        <f>IF($AB455="","",V455*U455)</f>
        <v/>
      </c>
      <c r="X455" s="7">
        <f>IF($AB455="","",W455+T455)</f>
        <v/>
      </c>
      <c r="Y455" s="7">
        <f>IF($AB455="","",Z455-X455)</f>
        <v/>
      </c>
      <c r="Z455" s="7">
        <f>IF($AB455="","",S455+V455+Q455)</f>
        <v/>
      </c>
      <c r="AA455" s="7">
        <f>IF($AB455="","",Z455-X455-M455)</f>
        <v/>
      </c>
      <c r="AB455" s="13">
        <f>IF(ROWS($AB$2:$AB455)&lt;=MAX('Per Line'!$AK$2:$AK$4001),MATCH(ROWS($AB$2:$AB455),'Per Line'!$AK$2:$AK$4001,0),"")</f>
        <v/>
      </c>
      <c r="AC455" s="14">
        <f>IF($AB455="","",M455-L455*Z455/100)</f>
        <v/>
      </c>
    </row>
    <row r="456">
      <c r="A456" s="12" t="n"/>
      <c r="B456">
        <f>IF($AB456="","",INDEX('Per Line'!$C$2:$C$4001,$AB456)&amp;"")</f>
        <v/>
      </c>
      <c r="C456">
        <f>IF($AB456="","",INDEX('Per Line'!$D$2:$D$4001,$AB456)&amp;"")</f>
        <v/>
      </c>
      <c r="D456">
        <f>IF($AB456="","",INDEX('Per Line'!$B$2:$B$4001,$AB456)&amp;"")</f>
        <v/>
      </c>
      <c r="E456">
        <f>IF($AB456="","",INDEX('Per Line'!$A$2:$A$4001,$AB456))</f>
        <v/>
      </c>
      <c r="F456" s="11">
        <f>IF($AB456="","",INDEX('Per Line'!$E$2:$E$4001,$AB456))</f>
        <v/>
      </c>
      <c r="G456">
        <f>IF($AB456="","",INDEX('Per Line'!$F$2:$F$4001,$AB456)&amp;"")</f>
        <v/>
      </c>
      <c r="H456">
        <f>IF($AB456="","",INDEX('Per Line'!$H$2:$H$4001,$AB456)&amp;"")</f>
        <v/>
      </c>
      <c r="I456">
        <f>IF($AB456="","",INDEX('Per Line'!$I$2:$I$4001,$AB456)&amp;"")</f>
        <v/>
      </c>
      <c r="J456">
        <f>IF($AB456="","",INDEX('Per Line'!$J$2:$J$4001,$AB456)&amp;"")</f>
        <v/>
      </c>
      <c r="K456">
        <f>IF($AB456="","",INDEX('Per Line'!$K$2:$K$4001,$AB456)&amp;"")</f>
        <v/>
      </c>
      <c r="L456">
        <f>IF($AB456="","",INDEX('Per Line'!$L$2:$L$4001,$AB456))</f>
        <v/>
      </c>
      <c r="M456" s="7">
        <f>IF($AB456="","",IF(AND(ISNUMBER(O456),O456&gt;0,Z456&gt;O456),L456*O456/100+(Z456-O456),L456*Z456/100))</f>
        <v/>
      </c>
      <c r="N456">
        <f>IF($AB456="","",INDEX('Per Line'!$V$2:$V$4001,$AB456)&amp;"")</f>
        <v/>
      </c>
      <c r="O456">
        <f>IF($AB456="","",INDEX('Per Line'!$Z$2:$Z$4001,$AB456))</f>
        <v/>
      </c>
      <c r="P456">
        <f>IF($AB456="","",IF(AND(ISNUMBER(O456),O456&gt;0),Z456&gt;O456,FALSE))</f>
        <v/>
      </c>
      <c r="Q456" s="7">
        <f>IF($AB456="","",SUMIFS('Per Line'!$U$2:$U$4001,'Per Line'!$C$2:$C$4001,$B456,'Per Line'!$AM$2:$AM$4001,1))</f>
        <v/>
      </c>
      <c r="R456">
        <f>IF($AB456="","",Settings!$C$7)</f>
        <v/>
      </c>
      <c r="S456" s="7">
        <f>IF($AB456="","",SUMIFS('Per Line'!$U$2:$U$4001,'Per Line'!$C$2:$C$4001,$B456,'Per Line'!$AL$2:$AL$4001,0,'Per Line'!$AM$2:$AM$4001,0))</f>
        <v/>
      </c>
      <c r="T456" s="7">
        <f>IF($AB456="","",S456*R456)</f>
        <v/>
      </c>
      <c r="U456">
        <f>IF($AB456="","",Settings!$C$6)</f>
        <v/>
      </c>
      <c r="V456" s="7">
        <f>IF($AB456="","",SUMIFS('Per Line'!$U$2:$U$4001,'Per Line'!$C$2:$C$4001,$B456,'Per Line'!$AL$2:$AL$4001,1,'Per Line'!$AM$2:$AM$4001,0))</f>
        <v/>
      </c>
      <c r="W456" s="7">
        <f>IF($AB456="","",V456*U456)</f>
        <v/>
      </c>
      <c r="X456" s="7">
        <f>IF($AB456="","",W456+T456)</f>
        <v/>
      </c>
      <c r="Y456" s="7">
        <f>IF($AB456="","",Z456-X456)</f>
        <v/>
      </c>
      <c r="Z456" s="7">
        <f>IF($AB456="","",S456+V456+Q456)</f>
        <v/>
      </c>
      <c r="AA456" s="7">
        <f>IF($AB456="","",Z456-X456-M456)</f>
        <v/>
      </c>
      <c r="AB456" s="13">
        <f>IF(ROWS($AB$2:$AB456)&lt;=MAX('Per Line'!$AK$2:$AK$4001),MATCH(ROWS($AB$2:$AB456),'Per Line'!$AK$2:$AK$4001,0),"")</f>
        <v/>
      </c>
      <c r="AC456" s="14">
        <f>IF($AB456="","",M456-L456*Z456/100)</f>
        <v/>
      </c>
    </row>
    <row r="457">
      <c r="A457" s="12" t="n"/>
      <c r="B457">
        <f>IF($AB457="","",INDEX('Per Line'!$C$2:$C$4001,$AB457)&amp;"")</f>
        <v/>
      </c>
      <c r="C457">
        <f>IF($AB457="","",INDEX('Per Line'!$D$2:$D$4001,$AB457)&amp;"")</f>
        <v/>
      </c>
      <c r="D457">
        <f>IF($AB457="","",INDEX('Per Line'!$B$2:$B$4001,$AB457)&amp;"")</f>
        <v/>
      </c>
      <c r="E457">
        <f>IF($AB457="","",INDEX('Per Line'!$A$2:$A$4001,$AB457))</f>
        <v/>
      </c>
      <c r="F457" s="11">
        <f>IF($AB457="","",INDEX('Per Line'!$E$2:$E$4001,$AB457))</f>
        <v/>
      </c>
      <c r="G457">
        <f>IF($AB457="","",INDEX('Per Line'!$F$2:$F$4001,$AB457)&amp;"")</f>
        <v/>
      </c>
      <c r="H457">
        <f>IF($AB457="","",INDEX('Per Line'!$H$2:$H$4001,$AB457)&amp;"")</f>
        <v/>
      </c>
      <c r="I457">
        <f>IF($AB457="","",INDEX('Per Line'!$I$2:$I$4001,$AB457)&amp;"")</f>
        <v/>
      </c>
      <c r="J457">
        <f>IF($AB457="","",INDEX('Per Line'!$J$2:$J$4001,$AB457)&amp;"")</f>
        <v/>
      </c>
      <c r="K457">
        <f>IF($AB457="","",INDEX('Per Line'!$K$2:$K$4001,$AB457)&amp;"")</f>
        <v/>
      </c>
      <c r="L457">
        <f>IF($AB457="","",INDEX('Per Line'!$L$2:$L$4001,$AB457))</f>
        <v/>
      </c>
      <c r="M457" s="7">
        <f>IF($AB457="","",IF(AND(ISNUMBER(O457),O457&gt;0,Z457&gt;O457),L457*O457/100+(Z457-O457),L457*Z457/100))</f>
        <v/>
      </c>
      <c r="N457">
        <f>IF($AB457="","",INDEX('Per Line'!$V$2:$V$4001,$AB457)&amp;"")</f>
        <v/>
      </c>
      <c r="O457">
        <f>IF($AB457="","",INDEX('Per Line'!$Z$2:$Z$4001,$AB457))</f>
        <v/>
      </c>
      <c r="P457">
        <f>IF($AB457="","",IF(AND(ISNUMBER(O457),O457&gt;0),Z457&gt;O457,FALSE))</f>
        <v/>
      </c>
      <c r="Q457" s="7">
        <f>IF($AB457="","",SUMIFS('Per Line'!$U$2:$U$4001,'Per Line'!$C$2:$C$4001,$B457,'Per Line'!$AM$2:$AM$4001,1))</f>
        <v/>
      </c>
      <c r="R457">
        <f>IF($AB457="","",Settings!$C$7)</f>
        <v/>
      </c>
      <c r="S457" s="7">
        <f>IF($AB457="","",SUMIFS('Per Line'!$U$2:$U$4001,'Per Line'!$C$2:$C$4001,$B457,'Per Line'!$AL$2:$AL$4001,0,'Per Line'!$AM$2:$AM$4001,0))</f>
        <v/>
      </c>
      <c r="T457" s="7">
        <f>IF($AB457="","",S457*R457)</f>
        <v/>
      </c>
      <c r="U457">
        <f>IF($AB457="","",Settings!$C$6)</f>
        <v/>
      </c>
      <c r="V457" s="7">
        <f>IF($AB457="","",SUMIFS('Per Line'!$U$2:$U$4001,'Per Line'!$C$2:$C$4001,$B457,'Per Line'!$AL$2:$AL$4001,1,'Per Line'!$AM$2:$AM$4001,0))</f>
        <v/>
      </c>
      <c r="W457" s="7">
        <f>IF($AB457="","",V457*U457)</f>
        <v/>
      </c>
      <c r="X457" s="7">
        <f>IF($AB457="","",W457+T457)</f>
        <v/>
      </c>
      <c r="Y457" s="7">
        <f>IF($AB457="","",Z457-X457)</f>
        <v/>
      </c>
      <c r="Z457" s="7">
        <f>IF($AB457="","",S457+V457+Q457)</f>
        <v/>
      </c>
      <c r="AA457" s="7">
        <f>IF($AB457="","",Z457-X457-M457)</f>
        <v/>
      </c>
      <c r="AB457" s="13">
        <f>IF(ROWS($AB$2:$AB457)&lt;=MAX('Per Line'!$AK$2:$AK$4001),MATCH(ROWS($AB$2:$AB457),'Per Line'!$AK$2:$AK$4001,0),"")</f>
        <v/>
      </c>
      <c r="AC457" s="14">
        <f>IF($AB457="","",M457-L457*Z457/100)</f>
        <v/>
      </c>
    </row>
    <row r="458">
      <c r="A458" s="12" t="n"/>
      <c r="B458">
        <f>IF($AB458="","",INDEX('Per Line'!$C$2:$C$4001,$AB458)&amp;"")</f>
        <v/>
      </c>
      <c r="C458">
        <f>IF($AB458="","",INDEX('Per Line'!$D$2:$D$4001,$AB458)&amp;"")</f>
        <v/>
      </c>
      <c r="D458">
        <f>IF($AB458="","",INDEX('Per Line'!$B$2:$B$4001,$AB458)&amp;"")</f>
        <v/>
      </c>
      <c r="E458">
        <f>IF($AB458="","",INDEX('Per Line'!$A$2:$A$4001,$AB458))</f>
        <v/>
      </c>
      <c r="F458" s="11">
        <f>IF($AB458="","",INDEX('Per Line'!$E$2:$E$4001,$AB458))</f>
        <v/>
      </c>
      <c r="G458">
        <f>IF($AB458="","",INDEX('Per Line'!$F$2:$F$4001,$AB458)&amp;"")</f>
        <v/>
      </c>
      <c r="H458">
        <f>IF($AB458="","",INDEX('Per Line'!$H$2:$H$4001,$AB458)&amp;"")</f>
        <v/>
      </c>
      <c r="I458">
        <f>IF($AB458="","",INDEX('Per Line'!$I$2:$I$4001,$AB458)&amp;"")</f>
        <v/>
      </c>
      <c r="J458">
        <f>IF($AB458="","",INDEX('Per Line'!$J$2:$J$4001,$AB458)&amp;"")</f>
        <v/>
      </c>
      <c r="K458">
        <f>IF($AB458="","",INDEX('Per Line'!$K$2:$K$4001,$AB458)&amp;"")</f>
        <v/>
      </c>
      <c r="L458">
        <f>IF($AB458="","",INDEX('Per Line'!$L$2:$L$4001,$AB458))</f>
        <v/>
      </c>
      <c r="M458" s="7">
        <f>IF($AB458="","",IF(AND(ISNUMBER(O458),O458&gt;0,Z458&gt;O458),L458*O458/100+(Z458-O458),L458*Z458/100))</f>
        <v/>
      </c>
      <c r="N458">
        <f>IF($AB458="","",INDEX('Per Line'!$V$2:$V$4001,$AB458)&amp;"")</f>
        <v/>
      </c>
      <c r="O458">
        <f>IF($AB458="","",INDEX('Per Line'!$Z$2:$Z$4001,$AB458))</f>
        <v/>
      </c>
      <c r="P458">
        <f>IF($AB458="","",IF(AND(ISNUMBER(O458),O458&gt;0),Z458&gt;O458,FALSE))</f>
        <v/>
      </c>
      <c r="Q458" s="7">
        <f>IF($AB458="","",SUMIFS('Per Line'!$U$2:$U$4001,'Per Line'!$C$2:$C$4001,$B458,'Per Line'!$AM$2:$AM$4001,1))</f>
        <v/>
      </c>
      <c r="R458">
        <f>IF($AB458="","",Settings!$C$7)</f>
        <v/>
      </c>
      <c r="S458" s="7">
        <f>IF($AB458="","",SUMIFS('Per Line'!$U$2:$U$4001,'Per Line'!$C$2:$C$4001,$B458,'Per Line'!$AL$2:$AL$4001,0,'Per Line'!$AM$2:$AM$4001,0))</f>
        <v/>
      </c>
      <c r="T458" s="7">
        <f>IF($AB458="","",S458*R458)</f>
        <v/>
      </c>
      <c r="U458">
        <f>IF($AB458="","",Settings!$C$6)</f>
        <v/>
      </c>
      <c r="V458" s="7">
        <f>IF($AB458="","",SUMIFS('Per Line'!$U$2:$U$4001,'Per Line'!$C$2:$C$4001,$B458,'Per Line'!$AL$2:$AL$4001,1,'Per Line'!$AM$2:$AM$4001,0))</f>
        <v/>
      </c>
      <c r="W458" s="7">
        <f>IF($AB458="","",V458*U458)</f>
        <v/>
      </c>
      <c r="X458" s="7">
        <f>IF($AB458="","",W458+T458)</f>
        <v/>
      </c>
      <c r="Y458" s="7">
        <f>IF($AB458="","",Z458-X458)</f>
        <v/>
      </c>
      <c r="Z458" s="7">
        <f>IF($AB458="","",S458+V458+Q458)</f>
        <v/>
      </c>
      <c r="AA458" s="7">
        <f>IF($AB458="","",Z458-X458-M458)</f>
        <v/>
      </c>
      <c r="AB458" s="13">
        <f>IF(ROWS($AB$2:$AB458)&lt;=MAX('Per Line'!$AK$2:$AK$4001),MATCH(ROWS($AB$2:$AB458),'Per Line'!$AK$2:$AK$4001,0),"")</f>
        <v/>
      </c>
      <c r="AC458" s="14">
        <f>IF($AB458="","",M458-L458*Z458/100)</f>
        <v/>
      </c>
    </row>
    <row r="459">
      <c r="A459" s="12" t="n"/>
      <c r="B459">
        <f>IF($AB459="","",INDEX('Per Line'!$C$2:$C$4001,$AB459)&amp;"")</f>
        <v/>
      </c>
      <c r="C459">
        <f>IF($AB459="","",INDEX('Per Line'!$D$2:$D$4001,$AB459)&amp;"")</f>
        <v/>
      </c>
      <c r="D459">
        <f>IF($AB459="","",INDEX('Per Line'!$B$2:$B$4001,$AB459)&amp;"")</f>
        <v/>
      </c>
      <c r="E459">
        <f>IF($AB459="","",INDEX('Per Line'!$A$2:$A$4001,$AB459))</f>
        <v/>
      </c>
      <c r="F459" s="11">
        <f>IF($AB459="","",INDEX('Per Line'!$E$2:$E$4001,$AB459))</f>
        <v/>
      </c>
      <c r="G459">
        <f>IF($AB459="","",INDEX('Per Line'!$F$2:$F$4001,$AB459)&amp;"")</f>
        <v/>
      </c>
      <c r="H459">
        <f>IF($AB459="","",INDEX('Per Line'!$H$2:$H$4001,$AB459)&amp;"")</f>
        <v/>
      </c>
      <c r="I459">
        <f>IF($AB459="","",INDEX('Per Line'!$I$2:$I$4001,$AB459)&amp;"")</f>
        <v/>
      </c>
      <c r="J459">
        <f>IF($AB459="","",INDEX('Per Line'!$J$2:$J$4001,$AB459)&amp;"")</f>
        <v/>
      </c>
      <c r="K459">
        <f>IF($AB459="","",INDEX('Per Line'!$K$2:$K$4001,$AB459)&amp;"")</f>
        <v/>
      </c>
      <c r="L459">
        <f>IF($AB459="","",INDEX('Per Line'!$L$2:$L$4001,$AB459))</f>
        <v/>
      </c>
      <c r="M459" s="7">
        <f>IF($AB459="","",IF(AND(ISNUMBER(O459),O459&gt;0,Z459&gt;O459),L459*O459/100+(Z459-O459),L459*Z459/100))</f>
        <v/>
      </c>
      <c r="N459">
        <f>IF($AB459="","",INDEX('Per Line'!$V$2:$V$4001,$AB459)&amp;"")</f>
        <v/>
      </c>
      <c r="O459">
        <f>IF($AB459="","",INDEX('Per Line'!$Z$2:$Z$4001,$AB459))</f>
        <v/>
      </c>
      <c r="P459">
        <f>IF($AB459="","",IF(AND(ISNUMBER(O459),O459&gt;0),Z459&gt;O459,FALSE))</f>
        <v/>
      </c>
      <c r="Q459" s="7">
        <f>IF($AB459="","",SUMIFS('Per Line'!$U$2:$U$4001,'Per Line'!$C$2:$C$4001,$B459,'Per Line'!$AM$2:$AM$4001,1))</f>
        <v/>
      </c>
      <c r="R459">
        <f>IF($AB459="","",Settings!$C$7)</f>
        <v/>
      </c>
      <c r="S459" s="7">
        <f>IF($AB459="","",SUMIFS('Per Line'!$U$2:$U$4001,'Per Line'!$C$2:$C$4001,$B459,'Per Line'!$AL$2:$AL$4001,0,'Per Line'!$AM$2:$AM$4001,0))</f>
        <v/>
      </c>
      <c r="T459" s="7">
        <f>IF($AB459="","",S459*R459)</f>
        <v/>
      </c>
      <c r="U459">
        <f>IF($AB459="","",Settings!$C$6)</f>
        <v/>
      </c>
      <c r="V459" s="7">
        <f>IF($AB459="","",SUMIFS('Per Line'!$U$2:$U$4001,'Per Line'!$C$2:$C$4001,$B459,'Per Line'!$AL$2:$AL$4001,1,'Per Line'!$AM$2:$AM$4001,0))</f>
        <v/>
      </c>
      <c r="W459" s="7">
        <f>IF($AB459="","",V459*U459)</f>
        <v/>
      </c>
      <c r="X459" s="7">
        <f>IF($AB459="","",W459+T459)</f>
        <v/>
      </c>
      <c r="Y459" s="7">
        <f>IF($AB459="","",Z459-X459)</f>
        <v/>
      </c>
      <c r="Z459" s="7">
        <f>IF($AB459="","",S459+V459+Q459)</f>
        <v/>
      </c>
      <c r="AA459" s="7">
        <f>IF($AB459="","",Z459-X459-M459)</f>
        <v/>
      </c>
      <c r="AB459" s="13">
        <f>IF(ROWS($AB$2:$AB459)&lt;=MAX('Per Line'!$AK$2:$AK$4001),MATCH(ROWS($AB$2:$AB459),'Per Line'!$AK$2:$AK$4001,0),"")</f>
        <v/>
      </c>
      <c r="AC459" s="14">
        <f>IF($AB459="","",M459-L459*Z459/100)</f>
        <v/>
      </c>
    </row>
    <row r="460">
      <c r="A460" s="12" t="n"/>
      <c r="B460">
        <f>IF($AB460="","",INDEX('Per Line'!$C$2:$C$4001,$AB460)&amp;"")</f>
        <v/>
      </c>
      <c r="C460">
        <f>IF($AB460="","",INDEX('Per Line'!$D$2:$D$4001,$AB460)&amp;"")</f>
        <v/>
      </c>
      <c r="D460">
        <f>IF($AB460="","",INDEX('Per Line'!$B$2:$B$4001,$AB460)&amp;"")</f>
        <v/>
      </c>
      <c r="E460">
        <f>IF($AB460="","",INDEX('Per Line'!$A$2:$A$4001,$AB460))</f>
        <v/>
      </c>
      <c r="F460" s="11">
        <f>IF($AB460="","",INDEX('Per Line'!$E$2:$E$4001,$AB460))</f>
        <v/>
      </c>
      <c r="G460">
        <f>IF($AB460="","",INDEX('Per Line'!$F$2:$F$4001,$AB460)&amp;"")</f>
        <v/>
      </c>
      <c r="H460">
        <f>IF($AB460="","",INDEX('Per Line'!$H$2:$H$4001,$AB460)&amp;"")</f>
        <v/>
      </c>
      <c r="I460">
        <f>IF($AB460="","",INDEX('Per Line'!$I$2:$I$4001,$AB460)&amp;"")</f>
        <v/>
      </c>
      <c r="J460">
        <f>IF($AB460="","",INDEX('Per Line'!$J$2:$J$4001,$AB460)&amp;"")</f>
        <v/>
      </c>
      <c r="K460">
        <f>IF($AB460="","",INDEX('Per Line'!$K$2:$K$4001,$AB460)&amp;"")</f>
        <v/>
      </c>
      <c r="L460">
        <f>IF($AB460="","",INDEX('Per Line'!$L$2:$L$4001,$AB460))</f>
        <v/>
      </c>
      <c r="M460" s="7">
        <f>IF($AB460="","",IF(AND(ISNUMBER(O460),O460&gt;0,Z460&gt;O460),L460*O460/100+(Z460-O460),L460*Z460/100))</f>
        <v/>
      </c>
      <c r="N460">
        <f>IF($AB460="","",INDEX('Per Line'!$V$2:$V$4001,$AB460)&amp;"")</f>
        <v/>
      </c>
      <c r="O460">
        <f>IF($AB460="","",INDEX('Per Line'!$Z$2:$Z$4001,$AB460))</f>
        <v/>
      </c>
      <c r="P460">
        <f>IF($AB460="","",IF(AND(ISNUMBER(O460),O460&gt;0),Z460&gt;O460,FALSE))</f>
        <v/>
      </c>
      <c r="Q460" s="7">
        <f>IF($AB460="","",SUMIFS('Per Line'!$U$2:$U$4001,'Per Line'!$C$2:$C$4001,$B460,'Per Line'!$AM$2:$AM$4001,1))</f>
        <v/>
      </c>
      <c r="R460">
        <f>IF($AB460="","",Settings!$C$7)</f>
        <v/>
      </c>
      <c r="S460" s="7">
        <f>IF($AB460="","",SUMIFS('Per Line'!$U$2:$U$4001,'Per Line'!$C$2:$C$4001,$B460,'Per Line'!$AL$2:$AL$4001,0,'Per Line'!$AM$2:$AM$4001,0))</f>
        <v/>
      </c>
      <c r="T460" s="7">
        <f>IF($AB460="","",S460*R460)</f>
        <v/>
      </c>
      <c r="U460">
        <f>IF($AB460="","",Settings!$C$6)</f>
        <v/>
      </c>
      <c r="V460" s="7">
        <f>IF($AB460="","",SUMIFS('Per Line'!$U$2:$U$4001,'Per Line'!$C$2:$C$4001,$B460,'Per Line'!$AL$2:$AL$4001,1,'Per Line'!$AM$2:$AM$4001,0))</f>
        <v/>
      </c>
      <c r="W460" s="7">
        <f>IF($AB460="","",V460*U460)</f>
        <v/>
      </c>
      <c r="X460" s="7">
        <f>IF($AB460="","",W460+T460)</f>
        <v/>
      </c>
      <c r="Y460" s="7">
        <f>IF($AB460="","",Z460-X460)</f>
        <v/>
      </c>
      <c r="Z460" s="7">
        <f>IF($AB460="","",S460+V460+Q460)</f>
        <v/>
      </c>
      <c r="AA460" s="7">
        <f>IF($AB460="","",Z460-X460-M460)</f>
        <v/>
      </c>
      <c r="AB460" s="13">
        <f>IF(ROWS($AB$2:$AB460)&lt;=MAX('Per Line'!$AK$2:$AK$4001),MATCH(ROWS($AB$2:$AB460),'Per Line'!$AK$2:$AK$4001,0),"")</f>
        <v/>
      </c>
      <c r="AC460" s="14">
        <f>IF($AB460="","",M460-L460*Z460/100)</f>
        <v/>
      </c>
    </row>
    <row r="461">
      <c r="A461" s="12" t="n"/>
      <c r="B461">
        <f>IF($AB461="","",INDEX('Per Line'!$C$2:$C$4001,$AB461)&amp;"")</f>
        <v/>
      </c>
      <c r="C461">
        <f>IF($AB461="","",INDEX('Per Line'!$D$2:$D$4001,$AB461)&amp;"")</f>
        <v/>
      </c>
      <c r="D461">
        <f>IF($AB461="","",INDEX('Per Line'!$B$2:$B$4001,$AB461)&amp;"")</f>
        <v/>
      </c>
      <c r="E461">
        <f>IF($AB461="","",INDEX('Per Line'!$A$2:$A$4001,$AB461))</f>
        <v/>
      </c>
      <c r="F461" s="11">
        <f>IF($AB461="","",INDEX('Per Line'!$E$2:$E$4001,$AB461))</f>
        <v/>
      </c>
      <c r="G461">
        <f>IF($AB461="","",INDEX('Per Line'!$F$2:$F$4001,$AB461)&amp;"")</f>
        <v/>
      </c>
      <c r="H461">
        <f>IF($AB461="","",INDEX('Per Line'!$H$2:$H$4001,$AB461)&amp;"")</f>
        <v/>
      </c>
      <c r="I461">
        <f>IF($AB461="","",INDEX('Per Line'!$I$2:$I$4001,$AB461)&amp;"")</f>
        <v/>
      </c>
      <c r="J461">
        <f>IF($AB461="","",INDEX('Per Line'!$J$2:$J$4001,$AB461)&amp;"")</f>
        <v/>
      </c>
      <c r="K461">
        <f>IF($AB461="","",INDEX('Per Line'!$K$2:$K$4001,$AB461)&amp;"")</f>
        <v/>
      </c>
      <c r="L461">
        <f>IF($AB461="","",INDEX('Per Line'!$L$2:$L$4001,$AB461))</f>
        <v/>
      </c>
      <c r="M461" s="7">
        <f>IF($AB461="","",IF(AND(ISNUMBER(O461),O461&gt;0,Z461&gt;O461),L461*O461/100+(Z461-O461),L461*Z461/100))</f>
        <v/>
      </c>
      <c r="N461">
        <f>IF($AB461="","",INDEX('Per Line'!$V$2:$V$4001,$AB461)&amp;"")</f>
        <v/>
      </c>
      <c r="O461">
        <f>IF($AB461="","",INDEX('Per Line'!$Z$2:$Z$4001,$AB461))</f>
        <v/>
      </c>
      <c r="P461">
        <f>IF($AB461="","",IF(AND(ISNUMBER(O461),O461&gt;0),Z461&gt;O461,FALSE))</f>
        <v/>
      </c>
      <c r="Q461" s="7">
        <f>IF($AB461="","",SUMIFS('Per Line'!$U$2:$U$4001,'Per Line'!$C$2:$C$4001,$B461,'Per Line'!$AM$2:$AM$4001,1))</f>
        <v/>
      </c>
      <c r="R461">
        <f>IF($AB461="","",Settings!$C$7)</f>
        <v/>
      </c>
      <c r="S461" s="7">
        <f>IF($AB461="","",SUMIFS('Per Line'!$U$2:$U$4001,'Per Line'!$C$2:$C$4001,$B461,'Per Line'!$AL$2:$AL$4001,0,'Per Line'!$AM$2:$AM$4001,0))</f>
        <v/>
      </c>
      <c r="T461" s="7">
        <f>IF($AB461="","",S461*R461)</f>
        <v/>
      </c>
      <c r="U461">
        <f>IF($AB461="","",Settings!$C$6)</f>
        <v/>
      </c>
      <c r="V461" s="7">
        <f>IF($AB461="","",SUMIFS('Per Line'!$U$2:$U$4001,'Per Line'!$C$2:$C$4001,$B461,'Per Line'!$AL$2:$AL$4001,1,'Per Line'!$AM$2:$AM$4001,0))</f>
        <v/>
      </c>
      <c r="W461" s="7">
        <f>IF($AB461="","",V461*U461)</f>
        <v/>
      </c>
      <c r="X461" s="7">
        <f>IF($AB461="","",W461+T461)</f>
        <v/>
      </c>
      <c r="Y461" s="7">
        <f>IF($AB461="","",Z461-X461)</f>
        <v/>
      </c>
      <c r="Z461" s="7">
        <f>IF($AB461="","",S461+V461+Q461)</f>
        <v/>
      </c>
      <c r="AA461" s="7">
        <f>IF($AB461="","",Z461-X461-M461)</f>
        <v/>
      </c>
      <c r="AB461" s="13">
        <f>IF(ROWS($AB$2:$AB461)&lt;=MAX('Per Line'!$AK$2:$AK$4001),MATCH(ROWS($AB$2:$AB461),'Per Line'!$AK$2:$AK$4001,0),"")</f>
        <v/>
      </c>
      <c r="AC461" s="14">
        <f>IF($AB461="","",M461-L461*Z461/100)</f>
        <v/>
      </c>
    </row>
    <row r="462">
      <c r="A462" s="12" t="n"/>
      <c r="B462">
        <f>IF($AB462="","",INDEX('Per Line'!$C$2:$C$4001,$AB462)&amp;"")</f>
        <v/>
      </c>
      <c r="C462">
        <f>IF($AB462="","",INDEX('Per Line'!$D$2:$D$4001,$AB462)&amp;"")</f>
        <v/>
      </c>
      <c r="D462">
        <f>IF($AB462="","",INDEX('Per Line'!$B$2:$B$4001,$AB462)&amp;"")</f>
        <v/>
      </c>
      <c r="E462">
        <f>IF($AB462="","",INDEX('Per Line'!$A$2:$A$4001,$AB462))</f>
        <v/>
      </c>
      <c r="F462" s="11">
        <f>IF($AB462="","",INDEX('Per Line'!$E$2:$E$4001,$AB462))</f>
        <v/>
      </c>
      <c r="G462">
        <f>IF($AB462="","",INDEX('Per Line'!$F$2:$F$4001,$AB462)&amp;"")</f>
        <v/>
      </c>
      <c r="H462">
        <f>IF($AB462="","",INDEX('Per Line'!$H$2:$H$4001,$AB462)&amp;"")</f>
        <v/>
      </c>
      <c r="I462">
        <f>IF($AB462="","",INDEX('Per Line'!$I$2:$I$4001,$AB462)&amp;"")</f>
        <v/>
      </c>
      <c r="J462">
        <f>IF($AB462="","",INDEX('Per Line'!$J$2:$J$4001,$AB462)&amp;"")</f>
        <v/>
      </c>
      <c r="K462">
        <f>IF($AB462="","",INDEX('Per Line'!$K$2:$K$4001,$AB462)&amp;"")</f>
        <v/>
      </c>
      <c r="L462">
        <f>IF($AB462="","",INDEX('Per Line'!$L$2:$L$4001,$AB462))</f>
        <v/>
      </c>
      <c r="M462" s="7">
        <f>IF($AB462="","",IF(AND(ISNUMBER(O462),O462&gt;0,Z462&gt;O462),L462*O462/100+(Z462-O462),L462*Z462/100))</f>
        <v/>
      </c>
      <c r="N462">
        <f>IF($AB462="","",INDEX('Per Line'!$V$2:$V$4001,$AB462)&amp;"")</f>
        <v/>
      </c>
      <c r="O462">
        <f>IF($AB462="","",INDEX('Per Line'!$Z$2:$Z$4001,$AB462))</f>
        <v/>
      </c>
      <c r="P462">
        <f>IF($AB462="","",IF(AND(ISNUMBER(O462),O462&gt;0),Z462&gt;O462,FALSE))</f>
        <v/>
      </c>
      <c r="Q462" s="7">
        <f>IF($AB462="","",SUMIFS('Per Line'!$U$2:$U$4001,'Per Line'!$C$2:$C$4001,$B462,'Per Line'!$AM$2:$AM$4001,1))</f>
        <v/>
      </c>
      <c r="R462">
        <f>IF($AB462="","",Settings!$C$7)</f>
        <v/>
      </c>
      <c r="S462" s="7">
        <f>IF($AB462="","",SUMIFS('Per Line'!$U$2:$U$4001,'Per Line'!$C$2:$C$4001,$B462,'Per Line'!$AL$2:$AL$4001,0,'Per Line'!$AM$2:$AM$4001,0))</f>
        <v/>
      </c>
      <c r="T462" s="7">
        <f>IF($AB462="","",S462*R462)</f>
        <v/>
      </c>
      <c r="U462">
        <f>IF($AB462="","",Settings!$C$6)</f>
        <v/>
      </c>
      <c r="V462" s="7">
        <f>IF($AB462="","",SUMIFS('Per Line'!$U$2:$U$4001,'Per Line'!$C$2:$C$4001,$B462,'Per Line'!$AL$2:$AL$4001,1,'Per Line'!$AM$2:$AM$4001,0))</f>
        <v/>
      </c>
      <c r="W462" s="7">
        <f>IF($AB462="","",V462*U462)</f>
        <v/>
      </c>
      <c r="X462" s="7">
        <f>IF($AB462="","",W462+T462)</f>
        <v/>
      </c>
      <c r="Y462" s="7">
        <f>IF($AB462="","",Z462-X462)</f>
        <v/>
      </c>
      <c r="Z462" s="7">
        <f>IF($AB462="","",S462+V462+Q462)</f>
        <v/>
      </c>
      <c r="AA462" s="7">
        <f>IF($AB462="","",Z462-X462-M462)</f>
        <v/>
      </c>
      <c r="AB462" s="13">
        <f>IF(ROWS($AB$2:$AB462)&lt;=MAX('Per Line'!$AK$2:$AK$4001),MATCH(ROWS($AB$2:$AB462),'Per Line'!$AK$2:$AK$4001,0),"")</f>
        <v/>
      </c>
      <c r="AC462" s="14">
        <f>IF($AB462="","",M462-L462*Z462/100)</f>
        <v/>
      </c>
    </row>
    <row r="463">
      <c r="A463" s="12" t="n"/>
      <c r="B463">
        <f>IF($AB463="","",INDEX('Per Line'!$C$2:$C$4001,$AB463)&amp;"")</f>
        <v/>
      </c>
      <c r="C463">
        <f>IF($AB463="","",INDEX('Per Line'!$D$2:$D$4001,$AB463)&amp;"")</f>
        <v/>
      </c>
      <c r="D463">
        <f>IF($AB463="","",INDEX('Per Line'!$B$2:$B$4001,$AB463)&amp;"")</f>
        <v/>
      </c>
      <c r="E463">
        <f>IF($AB463="","",INDEX('Per Line'!$A$2:$A$4001,$AB463))</f>
        <v/>
      </c>
      <c r="F463" s="11">
        <f>IF($AB463="","",INDEX('Per Line'!$E$2:$E$4001,$AB463))</f>
        <v/>
      </c>
      <c r="G463">
        <f>IF($AB463="","",INDEX('Per Line'!$F$2:$F$4001,$AB463)&amp;"")</f>
        <v/>
      </c>
      <c r="H463">
        <f>IF($AB463="","",INDEX('Per Line'!$H$2:$H$4001,$AB463)&amp;"")</f>
        <v/>
      </c>
      <c r="I463">
        <f>IF($AB463="","",INDEX('Per Line'!$I$2:$I$4001,$AB463)&amp;"")</f>
        <v/>
      </c>
      <c r="J463">
        <f>IF($AB463="","",INDEX('Per Line'!$J$2:$J$4001,$AB463)&amp;"")</f>
        <v/>
      </c>
      <c r="K463">
        <f>IF($AB463="","",INDEX('Per Line'!$K$2:$K$4001,$AB463)&amp;"")</f>
        <v/>
      </c>
      <c r="L463">
        <f>IF($AB463="","",INDEX('Per Line'!$L$2:$L$4001,$AB463))</f>
        <v/>
      </c>
      <c r="M463" s="7">
        <f>IF($AB463="","",IF(AND(ISNUMBER(O463),O463&gt;0,Z463&gt;O463),L463*O463/100+(Z463-O463),L463*Z463/100))</f>
        <v/>
      </c>
      <c r="N463">
        <f>IF($AB463="","",INDEX('Per Line'!$V$2:$V$4001,$AB463)&amp;"")</f>
        <v/>
      </c>
      <c r="O463">
        <f>IF($AB463="","",INDEX('Per Line'!$Z$2:$Z$4001,$AB463))</f>
        <v/>
      </c>
      <c r="P463">
        <f>IF($AB463="","",IF(AND(ISNUMBER(O463),O463&gt;0),Z463&gt;O463,FALSE))</f>
        <v/>
      </c>
      <c r="Q463" s="7">
        <f>IF($AB463="","",SUMIFS('Per Line'!$U$2:$U$4001,'Per Line'!$C$2:$C$4001,$B463,'Per Line'!$AM$2:$AM$4001,1))</f>
        <v/>
      </c>
      <c r="R463">
        <f>IF($AB463="","",Settings!$C$7)</f>
        <v/>
      </c>
      <c r="S463" s="7">
        <f>IF($AB463="","",SUMIFS('Per Line'!$U$2:$U$4001,'Per Line'!$C$2:$C$4001,$B463,'Per Line'!$AL$2:$AL$4001,0,'Per Line'!$AM$2:$AM$4001,0))</f>
        <v/>
      </c>
      <c r="T463" s="7">
        <f>IF($AB463="","",S463*R463)</f>
        <v/>
      </c>
      <c r="U463">
        <f>IF($AB463="","",Settings!$C$6)</f>
        <v/>
      </c>
      <c r="V463" s="7">
        <f>IF($AB463="","",SUMIFS('Per Line'!$U$2:$U$4001,'Per Line'!$C$2:$C$4001,$B463,'Per Line'!$AL$2:$AL$4001,1,'Per Line'!$AM$2:$AM$4001,0))</f>
        <v/>
      </c>
      <c r="W463" s="7">
        <f>IF($AB463="","",V463*U463)</f>
        <v/>
      </c>
      <c r="X463" s="7">
        <f>IF($AB463="","",W463+T463)</f>
        <v/>
      </c>
      <c r="Y463" s="7">
        <f>IF($AB463="","",Z463-X463)</f>
        <v/>
      </c>
      <c r="Z463" s="7">
        <f>IF($AB463="","",S463+V463+Q463)</f>
        <v/>
      </c>
      <c r="AA463" s="7">
        <f>IF($AB463="","",Z463-X463-M463)</f>
        <v/>
      </c>
      <c r="AB463" s="13">
        <f>IF(ROWS($AB$2:$AB463)&lt;=MAX('Per Line'!$AK$2:$AK$4001),MATCH(ROWS($AB$2:$AB463),'Per Line'!$AK$2:$AK$4001,0),"")</f>
        <v/>
      </c>
      <c r="AC463" s="14">
        <f>IF($AB463="","",M463-L463*Z463/100)</f>
        <v/>
      </c>
    </row>
    <row r="464">
      <c r="A464" s="12" t="n"/>
      <c r="B464">
        <f>IF($AB464="","",INDEX('Per Line'!$C$2:$C$4001,$AB464)&amp;"")</f>
        <v/>
      </c>
      <c r="C464">
        <f>IF($AB464="","",INDEX('Per Line'!$D$2:$D$4001,$AB464)&amp;"")</f>
        <v/>
      </c>
      <c r="D464">
        <f>IF($AB464="","",INDEX('Per Line'!$B$2:$B$4001,$AB464)&amp;"")</f>
        <v/>
      </c>
      <c r="E464">
        <f>IF($AB464="","",INDEX('Per Line'!$A$2:$A$4001,$AB464))</f>
        <v/>
      </c>
      <c r="F464" s="11">
        <f>IF($AB464="","",INDEX('Per Line'!$E$2:$E$4001,$AB464))</f>
        <v/>
      </c>
      <c r="G464">
        <f>IF($AB464="","",INDEX('Per Line'!$F$2:$F$4001,$AB464)&amp;"")</f>
        <v/>
      </c>
      <c r="H464">
        <f>IF($AB464="","",INDEX('Per Line'!$H$2:$H$4001,$AB464)&amp;"")</f>
        <v/>
      </c>
      <c r="I464">
        <f>IF($AB464="","",INDEX('Per Line'!$I$2:$I$4001,$AB464)&amp;"")</f>
        <v/>
      </c>
      <c r="J464">
        <f>IF($AB464="","",INDEX('Per Line'!$J$2:$J$4001,$AB464)&amp;"")</f>
        <v/>
      </c>
      <c r="K464">
        <f>IF($AB464="","",INDEX('Per Line'!$K$2:$K$4001,$AB464)&amp;"")</f>
        <v/>
      </c>
      <c r="L464">
        <f>IF($AB464="","",INDEX('Per Line'!$L$2:$L$4001,$AB464))</f>
        <v/>
      </c>
      <c r="M464" s="7">
        <f>IF($AB464="","",IF(AND(ISNUMBER(O464),O464&gt;0,Z464&gt;O464),L464*O464/100+(Z464-O464),L464*Z464/100))</f>
        <v/>
      </c>
      <c r="N464">
        <f>IF($AB464="","",INDEX('Per Line'!$V$2:$V$4001,$AB464)&amp;"")</f>
        <v/>
      </c>
      <c r="O464">
        <f>IF($AB464="","",INDEX('Per Line'!$Z$2:$Z$4001,$AB464))</f>
        <v/>
      </c>
      <c r="P464">
        <f>IF($AB464="","",IF(AND(ISNUMBER(O464),O464&gt;0),Z464&gt;O464,FALSE))</f>
        <v/>
      </c>
      <c r="Q464" s="7">
        <f>IF($AB464="","",SUMIFS('Per Line'!$U$2:$U$4001,'Per Line'!$C$2:$C$4001,$B464,'Per Line'!$AM$2:$AM$4001,1))</f>
        <v/>
      </c>
      <c r="R464">
        <f>IF($AB464="","",Settings!$C$7)</f>
        <v/>
      </c>
      <c r="S464" s="7">
        <f>IF($AB464="","",SUMIFS('Per Line'!$U$2:$U$4001,'Per Line'!$C$2:$C$4001,$B464,'Per Line'!$AL$2:$AL$4001,0,'Per Line'!$AM$2:$AM$4001,0))</f>
        <v/>
      </c>
      <c r="T464" s="7">
        <f>IF($AB464="","",S464*R464)</f>
        <v/>
      </c>
      <c r="U464">
        <f>IF($AB464="","",Settings!$C$6)</f>
        <v/>
      </c>
      <c r="V464" s="7">
        <f>IF($AB464="","",SUMIFS('Per Line'!$U$2:$U$4001,'Per Line'!$C$2:$C$4001,$B464,'Per Line'!$AL$2:$AL$4001,1,'Per Line'!$AM$2:$AM$4001,0))</f>
        <v/>
      </c>
      <c r="W464" s="7">
        <f>IF($AB464="","",V464*U464)</f>
        <v/>
      </c>
      <c r="X464" s="7">
        <f>IF($AB464="","",W464+T464)</f>
        <v/>
      </c>
      <c r="Y464" s="7">
        <f>IF($AB464="","",Z464-X464)</f>
        <v/>
      </c>
      <c r="Z464" s="7">
        <f>IF($AB464="","",S464+V464+Q464)</f>
        <v/>
      </c>
      <c r="AA464" s="7">
        <f>IF($AB464="","",Z464-X464-M464)</f>
        <v/>
      </c>
      <c r="AB464" s="13">
        <f>IF(ROWS($AB$2:$AB464)&lt;=MAX('Per Line'!$AK$2:$AK$4001),MATCH(ROWS($AB$2:$AB464),'Per Line'!$AK$2:$AK$4001,0),"")</f>
        <v/>
      </c>
      <c r="AC464" s="14">
        <f>IF($AB464="","",M464-L464*Z464/100)</f>
        <v/>
      </c>
    </row>
    <row r="465">
      <c r="A465" s="12" t="n"/>
      <c r="B465">
        <f>IF($AB465="","",INDEX('Per Line'!$C$2:$C$4001,$AB465)&amp;"")</f>
        <v/>
      </c>
      <c r="C465">
        <f>IF($AB465="","",INDEX('Per Line'!$D$2:$D$4001,$AB465)&amp;"")</f>
        <v/>
      </c>
      <c r="D465">
        <f>IF($AB465="","",INDEX('Per Line'!$B$2:$B$4001,$AB465)&amp;"")</f>
        <v/>
      </c>
      <c r="E465">
        <f>IF($AB465="","",INDEX('Per Line'!$A$2:$A$4001,$AB465))</f>
        <v/>
      </c>
      <c r="F465" s="11">
        <f>IF($AB465="","",INDEX('Per Line'!$E$2:$E$4001,$AB465))</f>
        <v/>
      </c>
      <c r="G465">
        <f>IF($AB465="","",INDEX('Per Line'!$F$2:$F$4001,$AB465)&amp;"")</f>
        <v/>
      </c>
      <c r="H465">
        <f>IF($AB465="","",INDEX('Per Line'!$H$2:$H$4001,$AB465)&amp;"")</f>
        <v/>
      </c>
      <c r="I465">
        <f>IF($AB465="","",INDEX('Per Line'!$I$2:$I$4001,$AB465)&amp;"")</f>
        <v/>
      </c>
      <c r="J465">
        <f>IF($AB465="","",INDEX('Per Line'!$J$2:$J$4001,$AB465)&amp;"")</f>
        <v/>
      </c>
      <c r="K465">
        <f>IF($AB465="","",INDEX('Per Line'!$K$2:$K$4001,$AB465)&amp;"")</f>
        <v/>
      </c>
      <c r="L465">
        <f>IF($AB465="","",INDEX('Per Line'!$L$2:$L$4001,$AB465))</f>
        <v/>
      </c>
      <c r="M465" s="7">
        <f>IF($AB465="","",IF(AND(ISNUMBER(O465),O465&gt;0,Z465&gt;O465),L465*O465/100+(Z465-O465),L465*Z465/100))</f>
        <v/>
      </c>
      <c r="N465">
        <f>IF($AB465="","",INDEX('Per Line'!$V$2:$V$4001,$AB465)&amp;"")</f>
        <v/>
      </c>
      <c r="O465">
        <f>IF($AB465="","",INDEX('Per Line'!$Z$2:$Z$4001,$AB465))</f>
        <v/>
      </c>
      <c r="P465">
        <f>IF($AB465="","",IF(AND(ISNUMBER(O465),O465&gt;0),Z465&gt;O465,FALSE))</f>
        <v/>
      </c>
      <c r="Q465" s="7">
        <f>IF($AB465="","",SUMIFS('Per Line'!$U$2:$U$4001,'Per Line'!$C$2:$C$4001,$B465,'Per Line'!$AM$2:$AM$4001,1))</f>
        <v/>
      </c>
      <c r="R465">
        <f>IF($AB465="","",Settings!$C$7)</f>
        <v/>
      </c>
      <c r="S465" s="7">
        <f>IF($AB465="","",SUMIFS('Per Line'!$U$2:$U$4001,'Per Line'!$C$2:$C$4001,$B465,'Per Line'!$AL$2:$AL$4001,0,'Per Line'!$AM$2:$AM$4001,0))</f>
        <v/>
      </c>
      <c r="T465" s="7">
        <f>IF($AB465="","",S465*R465)</f>
        <v/>
      </c>
      <c r="U465">
        <f>IF($AB465="","",Settings!$C$6)</f>
        <v/>
      </c>
      <c r="V465" s="7">
        <f>IF($AB465="","",SUMIFS('Per Line'!$U$2:$U$4001,'Per Line'!$C$2:$C$4001,$B465,'Per Line'!$AL$2:$AL$4001,1,'Per Line'!$AM$2:$AM$4001,0))</f>
        <v/>
      </c>
      <c r="W465" s="7">
        <f>IF($AB465="","",V465*U465)</f>
        <v/>
      </c>
      <c r="X465" s="7">
        <f>IF($AB465="","",W465+T465)</f>
        <v/>
      </c>
      <c r="Y465" s="7">
        <f>IF($AB465="","",Z465-X465)</f>
        <v/>
      </c>
      <c r="Z465" s="7">
        <f>IF($AB465="","",S465+V465+Q465)</f>
        <v/>
      </c>
      <c r="AA465" s="7">
        <f>IF($AB465="","",Z465-X465-M465)</f>
        <v/>
      </c>
      <c r="AB465" s="13">
        <f>IF(ROWS($AB$2:$AB465)&lt;=MAX('Per Line'!$AK$2:$AK$4001),MATCH(ROWS($AB$2:$AB465),'Per Line'!$AK$2:$AK$4001,0),"")</f>
        <v/>
      </c>
      <c r="AC465" s="14">
        <f>IF($AB465="","",M465-L465*Z465/100)</f>
        <v/>
      </c>
    </row>
    <row r="466">
      <c r="A466" s="12" t="n"/>
      <c r="B466">
        <f>IF($AB466="","",INDEX('Per Line'!$C$2:$C$4001,$AB466)&amp;"")</f>
        <v/>
      </c>
      <c r="C466">
        <f>IF($AB466="","",INDEX('Per Line'!$D$2:$D$4001,$AB466)&amp;"")</f>
        <v/>
      </c>
      <c r="D466">
        <f>IF($AB466="","",INDEX('Per Line'!$B$2:$B$4001,$AB466)&amp;"")</f>
        <v/>
      </c>
      <c r="E466">
        <f>IF($AB466="","",INDEX('Per Line'!$A$2:$A$4001,$AB466))</f>
        <v/>
      </c>
      <c r="F466" s="11">
        <f>IF($AB466="","",INDEX('Per Line'!$E$2:$E$4001,$AB466))</f>
        <v/>
      </c>
      <c r="G466">
        <f>IF($AB466="","",INDEX('Per Line'!$F$2:$F$4001,$AB466)&amp;"")</f>
        <v/>
      </c>
      <c r="H466">
        <f>IF($AB466="","",INDEX('Per Line'!$H$2:$H$4001,$AB466)&amp;"")</f>
        <v/>
      </c>
      <c r="I466">
        <f>IF($AB466="","",INDEX('Per Line'!$I$2:$I$4001,$AB466)&amp;"")</f>
        <v/>
      </c>
      <c r="J466">
        <f>IF($AB466="","",INDEX('Per Line'!$J$2:$J$4001,$AB466)&amp;"")</f>
        <v/>
      </c>
      <c r="K466">
        <f>IF($AB466="","",INDEX('Per Line'!$K$2:$K$4001,$AB466)&amp;"")</f>
        <v/>
      </c>
      <c r="L466">
        <f>IF($AB466="","",INDEX('Per Line'!$L$2:$L$4001,$AB466))</f>
        <v/>
      </c>
      <c r="M466" s="7">
        <f>IF($AB466="","",IF(AND(ISNUMBER(O466),O466&gt;0,Z466&gt;O466),L466*O466/100+(Z466-O466),L466*Z466/100))</f>
        <v/>
      </c>
      <c r="N466">
        <f>IF($AB466="","",INDEX('Per Line'!$V$2:$V$4001,$AB466)&amp;"")</f>
        <v/>
      </c>
      <c r="O466">
        <f>IF($AB466="","",INDEX('Per Line'!$Z$2:$Z$4001,$AB466))</f>
        <v/>
      </c>
      <c r="P466">
        <f>IF($AB466="","",IF(AND(ISNUMBER(O466),O466&gt;0),Z466&gt;O466,FALSE))</f>
        <v/>
      </c>
      <c r="Q466" s="7">
        <f>IF($AB466="","",SUMIFS('Per Line'!$U$2:$U$4001,'Per Line'!$C$2:$C$4001,$B466,'Per Line'!$AM$2:$AM$4001,1))</f>
        <v/>
      </c>
      <c r="R466">
        <f>IF($AB466="","",Settings!$C$7)</f>
        <v/>
      </c>
      <c r="S466" s="7">
        <f>IF($AB466="","",SUMIFS('Per Line'!$U$2:$U$4001,'Per Line'!$C$2:$C$4001,$B466,'Per Line'!$AL$2:$AL$4001,0,'Per Line'!$AM$2:$AM$4001,0))</f>
        <v/>
      </c>
      <c r="T466" s="7">
        <f>IF($AB466="","",S466*R466)</f>
        <v/>
      </c>
      <c r="U466">
        <f>IF($AB466="","",Settings!$C$6)</f>
        <v/>
      </c>
      <c r="V466" s="7">
        <f>IF($AB466="","",SUMIFS('Per Line'!$U$2:$U$4001,'Per Line'!$C$2:$C$4001,$B466,'Per Line'!$AL$2:$AL$4001,1,'Per Line'!$AM$2:$AM$4001,0))</f>
        <v/>
      </c>
      <c r="W466" s="7">
        <f>IF($AB466="","",V466*U466)</f>
        <v/>
      </c>
      <c r="X466" s="7">
        <f>IF($AB466="","",W466+T466)</f>
        <v/>
      </c>
      <c r="Y466" s="7">
        <f>IF($AB466="","",Z466-X466)</f>
        <v/>
      </c>
      <c r="Z466" s="7">
        <f>IF($AB466="","",S466+V466+Q466)</f>
        <v/>
      </c>
      <c r="AA466" s="7">
        <f>IF($AB466="","",Z466-X466-M466)</f>
        <v/>
      </c>
      <c r="AB466" s="13">
        <f>IF(ROWS($AB$2:$AB466)&lt;=MAX('Per Line'!$AK$2:$AK$4001),MATCH(ROWS($AB$2:$AB466),'Per Line'!$AK$2:$AK$4001,0),"")</f>
        <v/>
      </c>
      <c r="AC466" s="14">
        <f>IF($AB466="","",M466-L466*Z466/100)</f>
        <v/>
      </c>
    </row>
    <row r="467">
      <c r="A467" s="12" t="n"/>
      <c r="B467">
        <f>IF($AB467="","",INDEX('Per Line'!$C$2:$C$4001,$AB467)&amp;"")</f>
        <v/>
      </c>
      <c r="C467">
        <f>IF($AB467="","",INDEX('Per Line'!$D$2:$D$4001,$AB467)&amp;"")</f>
        <v/>
      </c>
      <c r="D467">
        <f>IF($AB467="","",INDEX('Per Line'!$B$2:$B$4001,$AB467)&amp;"")</f>
        <v/>
      </c>
      <c r="E467">
        <f>IF($AB467="","",INDEX('Per Line'!$A$2:$A$4001,$AB467))</f>
        <v/>
      </c>
      <c r="F467" s="11">
        <f>IF($AB467="","",INDEX('Per Line'!$E$2:$E$4001,$AB467))</f>
        <v/>
      </c>
      <c r="G467">
        <f>IF($AB467="","",INDEX('Per Line'!$F$2:$F$4001,$AB467)&amp;"")</f>
        <v/>
      </c>
      <c r="H467">
        <f>IF($AB467="","",INDEX('Per Line'!$H$2:$H$4001,$AB467)&amp;"")</f>
        <v/>
      </c>
      <c r="I467">
        <f>IF($AB467="","",INDEX('Per Line'!$I$2:$I$4001,$AB467)&amp;"")</f>
        <v/>
      </c>
      <c r="J467">
        <f>IF($AB467="","",INDEX('Per Line'!$J$2:$J$4001,$AB467)&amp;"")</f>
        <v/>
      </c>
      <c r="K467">
        <f>IF($AB467="","",INDEX('Per Line'!$K$2:$K$4001,$AB467)&amp;"")</f>
        <v/>
      </c>
      <c r="L467">
        <f>IF($AB467="","",INDEX('Per Line'!$L$2:$L$4001,$AB467))</f>
        <v/>
      </c>
      <c r="M467" s="7">
        <f>IF($AB467="","",IF(AND(ISNUMBER(O467),O467&gt;0,Z467&gt;O467),L467*O467/100+(Z467-O467),L467*Z467/100))</f>
        <v/>
      </c>
      <c r="N467">
        <f>IF($AB467="","",INDEX('Per Line'!$V$2:$V$4001,$AB467)&amp;"")</f>
        <v/>
      </c>
      <c r="O467">
        <f>IF($AB467="","",INDEX('Per Line'!$Z$2:$Z$4001,$AB467))</f>
        <v/>
      </c>
      <c r="P467">
        <f>IF($AB467="","",IF(AND(ISNUMBER(O467),O467&gt;0),Z467&gt;O467,FALSE))</f>
        <v/>
      </c>
      <c r="Q467" s="7">
        <f>IF($AB467="","",SUMIFS('Per Line'!$U$2:$U$4001,'Per Line'!$C$2:$C$4001,$B467,'Per Line'!$AM$2:$AM$4001,1))</f>
        <v/>
      </c>
      <c r="R467">
        <f>IF($AB467="","",Settings!$C$7)</f>
        <v/>
      </c>
      <c r="S467" s="7">
        <f>IF($AB467="","",SUMIFS('Per Line'!$U$2:$U$4001,'Per Line'!$C$2:$C$4001,$B467,'Per Line'!$AL$2:$AL$4001,0,'Per Line'!$AM$2:$AM$4001,0))</f>
        <v/>
      </c>
      <c r="T467" s="7">
        <f>IF($AB467="","",S467*R467)</f>
        <v/>
      </c>
      <c r="U467">
        <f>IF($AB467="","",Settings!$C$6)</f>
        <v/>
      </c>
      <c r="V467" s="7">
        <f>IF($AB467="","",SUMIFS('Per Line'!$U$2:$U$4001,'Per Line'!$C$2:$C$4001,$B467,'Per Line'!$AL$2:$AL$4001,1,'Per Line'!$AM$2:$AM$4001,0))</f>
        <v/>
      </c>
      <c r="W467" s="7">
        <f>IF($AB467="","",V467*U467)</f>
        <v/>
      </c>
      <c r="X467" s="7">
        <f>IF($AB467="","",W467+T467)</f>
        <v/>
      </c>
      <c r="Y467" s="7">
        <f>IF($AB467="","",Z467-X467)</f>
        <v/>
      </c>
      <c r="Z467" s="7">
        <f>IF($AB467="","",S467+V467+Q467)</f>
        <v/>
      </c>
      <c r="AA467" s="7">
        <f>IF($AB467="","",Z467-X467-M467)</f>
        <v/>
      </c>
      <c r="AB467" s="13">
        <f>IF(ROWS($AB$2:$AB467)&lt;=MAX('Per Line'!$AK$2:$AK$4001),MATCH(ROWS($AB$2:$AB467),'Per Line'!$AK$2:$AK$4001,0),"")</f>
        <v/>
      </c>
      <c r="AC467" s="14">
        <f>IF($AB467="","",M467-L467*Z467/100)</f>
        <v/>
      </c>
    </row>
    <row r="468">
      <c r="A468" s="12" t="n"/>
      <c r="B468">
        <f>IF($AB468="","",INDEX('Per Line'!$C$2:$C$4001,$AB468)&amp;"")</f>
        <v/>
      </c>
      <c r="C468">
        <f>IF($AB468="","",INDEX('Per Line'!$D$2:$D$4001,$AB468)&amp;"")</f>
        <v/>
      </c>
      <c r="D468">
        <f>IF($AB468="","",INDEX('Per Line'!$B$2:$B$4001,$AB468)&amp;"")</f>
        <v/>
      </c>
      <c r="E468">
        <f>IF($AB468="","",INDEX('Per Line'!$A$2:$A$4001,$AB468))</f>
        <v/>
      </c>
      <c r="F468" s="11">
        <f>IF($AB468="","",INDEX('Per Line'!$E$2:$E$4001,$AB468))</f>
        <v/>
      </c>
      <c r="G468">
        <f>IF($AB468="","",INDEX('Per Line'!$F$2:$F$4001,$AB468)&amp;"")</f>
        <v/>
      </c>
      <c r="H468">
        <f>IF($AB468="","",INDEX('Per Line'!$H$2:$H$4001,$AB468)&amp;"")</f>
        <v/>
      </c>
      <c r="I468">
        <f>IF($AB468="","",INDEX('Per Line'!$I$2:$I$4001,$AB468)&amp;"")</f>
        <v/>
      </c>
      <c r="J468">
        <f>IF($AB468="","",INDEX('Per Line'!$J$2:$J$4001,$AB468)&amp;"")</f>
        <v/>
      </c>
      <c r="K468">
        <f>IF($AB468="","",INDEX('Per Line'!$K$2:$K$4001,$AB468)&amp;"")</f>
        <v/>
      </c>
      <c r="L468">
        <f>IF($AB468="","",INDEX('Per Line'!$L$2:$L$4001,$AB468))</f>
        <v/>
      </c>
      <c r="M468" s="7">
        <f>IF($AB468="","",IF(AND(ISNUMBER(O468),O468&gt;0,Z468&gt;O468),L468*O468/100+(Z468-O468),L468*Z468/100))</f>
        <v/>
      </c>
      <c r="N468">
        <f>IF($AB468="","",INDEX('Per Line'!$V$2:$V$4001,$AB468)&amp;"")</f>
        <v/>
      </c>
      <c r="O468">
        <f>IF($AB468="","",INDEX('Per Line'!$Z$2:$Z$4001,$AB468))</f>
        <v/>
      </c>
      <c r="P468">
        <f>IF($AB468="","",IF(AND(ISNUMBER(O468),O468&gt;0),Z468&gt;O468,FALSE))</f>
        <v/>
      </c>
      <c r="Q468" s="7">
        <f>IF($AB468="","",SUMIFS('Per Line'!$U$2:$U$4001,'Per Line'!$C$2:$C$4001,$B468,'Per Line'!$AM$2:$AM$4001,1))</f>
        <v/>
      </c>
      <c r="R468">
        <f>IF($AB468="","",Settings!$C$7)</f>
        <v/>
      </c>
      <c r="S468" s="7">
        <f>IF($AB468="","",SUMIFS('Per Line'!$U$2:$U$4001,'Per Line'!$C$2:$C$4001,$B468,'Per Line'!$AL$2:$AL$4001,0,'Per Line'!$AM$2:$AM$4001,0))</f>
        <v/>
      </c>
      <c r="T468" s="7">
        <f>IF($AB468="","",S468*R468)</f>
        <v/>
      </c>
      <c r="U468">
        <f>IF($AB468="","",Settings!$C$6)</f>
        <v/>
      </c>
      <c r="V468" s="7">
        <f>IF($AB468="","",SUMIFS('Per Line'!$U$2:$U$4001,'Per Line'!$C$2:$C$4001,$B468,'Per Line'!$AL$2:$AL$4001,1,'Per Line'!$AM$2:$AM$4001,0))</f>
        <v/>
      </c>
      <c r="W468" s="7">
        <f>IF($AB468="","",V468*U468)</f>
        <v/>
      </c>
      <c r="X468" s="7">
        <f>IF($AB468="","",W468+T468)</f>
        <v/>
      </c>
      <c r="Y468" s="7">
        <f>IF($AB468="","",Z468-X468)</f>
        <v/>
      </c>
      <c r="Z468" s="7">
        <f>IF($AB468="","",S468+V468+Q468)</f>
        <v/>
      </c>
      <c r="AA468" s="7">
        <f>IF($AB468="","",Z468-X468-M468)</f>
        <v/>
      </c>
      <c r="AB468" s="13">
        <f>IF(ROWS($AB$2:$AB468)&lt;=MAX('Per Line'!$AK$2:$AK$4001),MATCH(ROWS($AB$2:$AB468),'Per Line'!$AK$2:$AK$4001,0),"")</f>
        <v/>
      </c>
      <c r="AC468" s="14">
        <f>IF($AB468="","",M468-L468*Z468/100)</f>
        <v/>
      </c>
    </row>
    <row r="469">
      <c r="A469" s="12" t="n"/>
      <c r="B469">
        <f>IF($AB469="","",INDEX('Per Line'!$C$2:$C$4001,$AB469)&amp;"")</f>
        <v/>
      </c>
      <c r="C469">
        <f>IF($AB469="","",INDEX('Per Line'!$D$2:$D$4001,$AB469)&amp;"")</f>
        <v/>
      </c>
      <c r="D469">
        <f>IF($AB469="","",INDEX('Per Line'!$B$2:$B$4001,$AB469)&amp;"")</f>
        <v/>
      </c>
      <c r="E469">
        <f>IF($AB469="","",INDEX('Per Line'!$A$2:$A$4001,$AB469))</f>
        <v/>
      </c>
      <c r="F469" s="11">
        <f>IF($AB469="","",INDEX('Per Line'!$E$2:$E$4001,$AB469))</f>
        <v/>
      </c>
      <c r="G469">
        <f>IF($AB469="","",INDEX('Per Line'!$F$2:$F$4001,$AB469)&amp;"")</f>
        <v/>
      </c>
      <c r="H469">
        <f>IF($AB469="","",INDEX('Per Line'!$H$2:$H$4001,$AB469)&amp;"")</f>
        <v/>
      </c>
      <c r="I469">
        <f>IF($AB469="","",INDEX('Per Line'!$I$2:$I$4001,$AB469)&amp;"")</f>
        <v/>
      </c>
      <c r="J469">
        <f>IF($AB469="","",INDEX('Per Line'!$J$2:$J$4001,$AB469)&amp;"")</f>
        <v/>
      </c>
      <c r="K469">
        <f>IF($AB469="","",INDEX('Per Line'!$K$2:$K$4001,$AB469)&amp;"")</f>
        <v/>
      </c>
      <c r="L469">
        <f>IF($AB469="","",INDEX('Per Line'!$L$2:$L$4001,$AB469))</f>
        <v/>
      </c>
      <c r="M469" s="7">
        <f>IF($AB469="","",IF(AND(ISNUMBER(O469),O469&gt;0,Z469&gt;O469),L469*O469/100+(Z469-O469),L469*Z469/100))</f>
        <v/>
      </c>
      <c r="N469">
        <f>IF($AB469="","",INDEX('Per Line'!$V$2:$V$4001,$AB469)&amp;"")</f>
        <v/>
      </c>
      <c r="O469">
        <f>IF($AB469="","",INDEX('Per Line'!$Z$2:$Z$4001,$AB469))</f>
        <v/>
      </c>
      <c r="P469">
        <f>IF($AB469="","",IF(AND(ISNUMBER(O469),O469&gt;0),Z469&gt;O469,FALSE))</f>
        <v/>
      </c>
      <c r="Q469" s="7">
        <f>IF($AB469="","",SUMIFS('Per Line'!$U$2:$U$4001,'Per Line'!$C$2:$C$4001,$B469,'Per Line'!$AM$2:$AM$4001,1))</f>
        <v/>
      </c>
      <c r="R469">
        <f>IF($AB469="","",Settings!$C$7)</f>
        <v/>
      </c>
      <c r="S469" s="7">
        <f>IF($AB469="","",SUMIFS('Per Line'!$U$2:$U$4001,'Per Line'!$C$2:$C$4001,$B469,'Per Line'!$AL$2:$AL$4001,0,'Per Line'!$AM$2:$AM$4001,0))</f>
        <v/>
      </c>
      <c r="T469" s="7">
        <f>IF($AB469="","",S469*R469)</f>
        <v/>
      </c>
      <c r="U469">
        <f>IF($AB469="","",Settings!$C$6)</f>
        <v/>
      </c>
      <c r="V469" s="7">
        <f>IF($AB469="","",SUMIFS('Per Line'!$U$2:$U$4001,'Per Line'!$C$2:$C$4001,$B469,'Per Line'!$AL$2:$AL$4001,1,'Per Line'!$AM$2:$AM$4001,0))</f>
        <v/>
      </c>
      <c r="W469" s="7">
        <f>IF($AB469="","",V469*U469)</f>
        <v/>
      </c>
      <c r="X469" s="7">
        <f>IF($AB469="","",W469+T469)</f>
        <v/>
      </c>
      <c r="Y469" s="7">
        <f>IF($AB469="","",Z469-X469)</f>
        <v/>
      </c>
      <c r="Z469" s="7">
        <f>IF($AB469="","",S469+V469+Q469)</f>
        <v/>
      </c>
      <c r="AA469" s="7">
        <f>IF($AB469="","",Z469-X469-M469)</f>
        <v/>
      </c>
      <c r="AB469" s="13">
        <f>IF(ROWS($AB$2:$AB469)&lt;=MAX('Per Line'!$AK$2:$AK$4001),MATCH(ROWS($AB$2:$AB469),'Per Line'!$AK$2:$AK$4001,0),"")</f>
        <v/>
      </c>
      <c r="AC469" s="14">
        <f>IF($AB469="","",M469-L469*Z469/100)</f>
        <v/>
      </c>
    </row>
    <row r="470">
      <c r="A470" s="12" t="n"/>
      <c r="B470">
        <f>IF($AB470="","",INDEX('Per Line'!$C$2:$C$4001,$AB470)&amp;"")</f>
        <v/>
      </c>
      <c r="C470">
        <f>IF($AB470="","",INDEX('Per Line'!$D$2:$D$4001,$AB470)&amp;"")</f>
        <v/>
      </c>
      <c r="D470">
        <f>IF($AB470="","",INDEX('Per Line'!$B$2:$B$4001,$AB470)&amp;"")</f>
        <v/>
      </c>
      <c r="E470">
        <f>IF($AB470="","",INDEX('Per Line'!$A$2:$A$4001,$AB470))</f>
        <v/>
      </c>
      <c r="F470" s="11">
        <f>IF($AB470="","",INDEX('Per Line'!$E$2:$E$4001,$AB470))</f>
        <v/>
      </c>
      <c r="G470">
        <f>IF($AB470="","",INDEX('Per Line'!$F$2:$F$4001,$AB470)&amp;"")</f>
        <v/>
      </c>
      <c r="H470">
        <f>IF($AB470="","",INDEX('Per Line'!$H$2:$H$4001,$AB470)&amp;"")</f>
        <v/>
      </c>
      <c r="I470">
        <f>IF($AB470="","",INDEX('Per Line'!$I$2:$I$4001,$AB470)&amp;"")</f>
        <v/>
      </c>
      <c r="J470">
        <f>IF($AB470="","",INDEX('Per Line'!$J$2:$J$4001,$AB470)&amp;"")</f>
        <v/>
      </c>
      <c r="K470">
        <f>IF($AB470="","",INDEX('Per Line'!$K$2:$K$4001,$AB470)&amp;"")</f>
        <v/>
      </c>
      <c r="L470">
        <f>IF($AB470="","",INDEX('Per Line'!$L$2:$L$4001,$AB470))</f>
        <v/>
      </c>
      <c r="M470" s="7">
        <f>IF($AB470="","",IF(AND(ISNUMBER(O470),O470&gt;0,Z470&gt;O470),L470*O470/100+(Z470-O470),L470*Z470/100))</f>
        <v/>
      </c>
      <c r="N470">
        <f>IF($AB470="","",INDEX('Per Line'!$V$2:$V$4001,$AB470)&amp;"")</f>
        <v/>
      </c>
      <c r="O470">
        <f>IF($AB470="","",INDEX('Per Line'!$Z$2:$Z$4001,$AB470))</f>
        <v/>
      </c>
      <c r="P470">
        <f>IF($AB470="","",IF(AND(ISNUMBER(O470),O470&gt;0),Z470&gt;O470,FALSE))</f>
        <v/>
      </c>
      <c r="Q470" s="7">
        <f>IF($AB470="","",SUMIFS('Per Line'!$U$2:$U$4001,'Per Line'!$C$2:$C$4001,$B470,'Per Line'!$AM$2:$AM$4001,1))</f>
        <v/>
      </c>
      <c r="R470">
        <f>IF($AB470="","",Settings!$C$7)</f>
        <v/>
      </c>
      <c r="S470" s="7">
        <f>IF($AB470="","",SUMIFS('Per Line'!$U$2:$U$4001,'Per Line'!$C$2:$C$4001,$B470,'Per Line'!$AL$2:$AL$4001,0,'Per Line'!$AM$2:$AM$4001,0))</f>
        <v/>
      </c>
      <c r="T470" s="7">
        <f>IF($AB470="","",S470*R470)</f>
        <v/>
      </c>
      <c r="U470">
        <f>IF($AB470="","",Settings!$C$6)</f>
        <v/>
      </c>
      <c r="V470" s="7">
        <f>IF($AB470="","",SUMIFS('Per Line'!$U$2:$U$4001,'Per Line'!$C$2:$C$4001,$B470,'Per Line'!$AL$2:$AL$4001,1,'Per Line'!$AM$2:$AM$4001,0))</f>
        <v/>
      </c>
      <c r="W470" s="7">
        <f>IF($AB470="","",V470*U470)</f>
        <v/>
      </c>
      <c r="X470" s="7">
        <f>IF($AB470="","",W470+T470)</f>
        <v/>
      </c>
      <c r="Y470" s="7">
        <f>IF($AB470="","",Z470-X470)</f>
        <v/>
      </c>
      <c r="Z470" s="7">
        <f>IF($AB470="","",S470+V470+Q470)</f>
        <v/>
      </c>
      <c r="AA470" s="7">
        <f>IF($AB470="","",Z470-X470-M470)</f>
        <v/>
      </c>
      <c r="AB470" s="13">
        <f>IF(ROWS($AB$2:$AB470)&lt;=MAX('Per Line'!$AK$2:$AK$4001),MATCH(ROWS($AB$2:$AB470),'Per Line'!$AK$2:$AK$4001,0),"")</f>
        <v/>
      </c>
      <c r="AC470" s="14">
        <f>IF($AB470="","",M470-L470*Z470/100)</f>
        <v/>
      </c>
    </row>
    <row r="471">
      <c r="A471" s="12" t="n"/>
      <c r="B471">
        <f>IF($AB471="","",INDEX('Per Line'!$C$2:$C$4001,$AB471)&amp;"")</f>
        <v/>
      </c>
      <c r="C471">
        <f>IF($AB471="","",INDEX('Per Line'!$D$2:$D$4001,$AB471)&amp;"")</f>
        <v/>
      </c>
      <c r="D471">
        <f>IF($AB471="","",INDEX('Per Line'!$B$2:$B$4001,$AB471)&amp;"")</f>
        <v/>
      </c>
      <c r="E471">
        <f>IF($AB471="","",INDEX('Per Line'!$A$2:$A$4001,$AB471))</f>
        <v/>
      </c>
      <c r="F471" s="11">
        <f>IF($AB471="","",INDEX('Per Line'!$E$2:$E$4001,$AB471))</f>
        <v/>
      </c>
      <c r="G471">
        <f>IF($AB471="","",INDEX('Per Line'!$F$2:$F$4001,$AB471)&amp;"")</f>
        <v/>
      </c>
      <c r="H471">
        <f>IF($AB471="","",INDEX('Per Line'!$H$2:$H$4001,$AB471)&amp;"")</f>
        <v/>
      </c>
      <c r="I471">
        <f>IF($AB471="","",INDEX('Per Line'!$I$2:$I$4001,$AB471)&amp;"")</f>
        <v/>
      </c>
      <c r="J471">
        <f>IF($AB471="","",INDEX('Per Line'!$J$2:$J$4001,$AB471)&amp;"")</f>
        <v/>
      </c>
      <c r="K471">
        <f>IF($AB471="","",INDEX('Per Line'!$K$2:$K$4001,$AB471)&amp;"")</f>
        <v/>
      </c>
      <c r="L471">
        <f>IF($AB471="","",INDEX('Per Line'!$L$2:$L$4001,$AB471))</f>
        <v/>
      </c>
      <c r="M471" s="7">
        <f>IF($AB471="","",IF(AND(ISNUMBER(O471),O471&gt;0,Z471&gt;O471),L471*O471/100+(Z471-O471),L471*Z471/100))</f>
        <v/>
      </c>
      <c r="N471">
        <f>IF($AB471="","",INDEX('Per Line'!$V$2:$V$4001,$AB471)&amp;"")</f>
        <v/>
      </c>
      <c r="O471">
        <f>IF($AB471="","",INDEX('Per Line'!$Z$2:$Z$4001,$AB471))</f>
        <v/>
      </c>
      <c r="P471">
        <f>IF($AB471="","",IF(AND(ISNUMBER(O471),O471&gt;0),Z471&gt;O471,FALSE))</f>
        <v/>
      </c>
      <c r="Q471" s="7">
        <f>IF($AB471="","",SUMIFS('Per Line'!$U$2:$U$4001,'Per Line'!$C$2:$C$4001,$B471,'Per Line'!$AM$2:$AM$4001,1))</f>
        <v/>
      </c>
      <c r="R471">
        <f>IF($AB471="","",Settings!$C$7)</f>
        <v/>
      </c>
      <c r="S471" s="7">
        <f>IF($AB471="","",SUMIFS('Per Line'!$U$2:$U$4001,'Per Line'!$C$2:$C$4001,$B471,'Per Line'!$AL$2:$AL$4001,0,'Per Line'!$AM$2:$AM$4001,0))</f>
        <v/>
      </c>
      <c r="T471" s="7">
        <f>IF($AB471="","",S471*R471)</f>
        <v/>
      </c>
      <c r="U471">
        <f>IF($AB471="","",Settings!$C$6)</f>
        <v/>
      </c>
      <c r="V471" s="7">
        <f>IF($AB471="","",SUMIFS('Per Line'!$U$2:$U$4001,'Per Line'!$C$2:$C$4001,$B471,'Per Line'!$AL$2:$AL$4001,1,'Per Line'!$AM$2:$AM$4001,0))</f>
        <v/>
      </c>
      <c r="W471" s="7">
        <f>IF($AB471="","",V471*U471)</f>
        <v/>
      </c>
      <c r="X471" s="7">
        <f>IF($AB471="","",W471+T471)</f>
        <v/>
      </c>
      <c r="Y471" s="7">
        <f>IF($AB471="","",Z471-X471)</f>
        <v/>
      </c>
      <c r="Z471" s="7">
        <f>IF($AB471="","",S471+V471+Q471)</f>
        <v/>
      </c>
      <c r="AA471" s="7">
        <f>IF($AB471="","",Z471-X471-M471)</f>
        <v/>
      </c>
      <c r="AB471" s="13">
        <f>IF(ROWS($AB$2:$AB471)&lt;=MAX('Per Line'!$AK$2:$AK$4001),MATCH(ROWS($AB$2:$AB471),'Per Line'!$AK$2:$AK$4001,0),"")</f>
        <v/>
      </c>
      <c r="AC471" s="14">
        <f>IF($AB471="","",M471-L471*Z471/100)</f>
        <v/>
      </c>
    </row>
    <row r="472">
      <c r="A472" s="12" t="n"/>
      <c r="B472">
        <f>IF($AB472="","",INDEX('Per Line'!$C$2:$C$4001,$AB472)&amp;"")</f>
        <v/>
      </c>
      <c r="C472">
        <f>IF($AB472="","",INDEX('Per Line'!$D$2:$D$4001,$AB472)&amp;"")</f>
        <v/>
      </c>
      <c r="D472">
        <f>IF($AB472="","",INDEX('Per Line'!$B$2:$B$4001,$AB472)&amp;"")</f>
        <v/>
      </c>
      <c r="E472">
        <f>IF($AB472="","",INDEX('Per Line'!$A$2:$A$4001,$AB472))</f>
        <v/>
      </c>
      <c r="F472" s="11">
        <f>IF($AB472="","",INDEX('Per Line'!$E$2:$E$4001,$AB472))</f>
        <v/>
      </c>
      <c r="G472">
        <f>IF($AB472="","",INDEX('Per Line'!$F$2:$F$4001,$AB472)&amp;"")</f>
        <v/>
      </c>
      <c r="H472">
        <f>IF($AB472="","",INDEX('Per Line'!$H$2:$H$4001,$AB472)&amp;"")</f>
        <v/>
      </c>
      <c r="I472">
        <f>IF($AB472="","",INDEX('Per Line'!$I$2:$I$4001,$AB472)&amp;"")</f>
        <v/>
      </c>
      <c r="J472">
        <f>IF($AB472="","",INDEX('Per Line'!$J$2:$J$4001,$AB472)&amp;"")</f>
        <v/>
      </c>
      <c r="K472">
        <f>IF($AB472="","",INDEX('Per Line'!$K$2:$K$4001,$AB472)&amp;"")</f>
        <v/>
      </c>
      <c r="L472">
        <f>IF($AB472="","",INDEX('Per Line'!$L$2:$L$4001,$AB472))</f>
        <v/>
      </c>
      <c r="M472" s="7">
        <f>IF($AB472="","",IF(AND(ISNUMBER(O472),O472&gt;0,Z472&gt;O472),L472*O472/100+(Z472-O472),L472*Z472/100))</f>
        <v/>
      </c>
      <c r="N472">
        <f>IF($AB472="","",INDEX('Per Line'!$V$2:$V$4001,$AB472)&amp;"")</f>
        <v/>
      </c>
      <c r="O472">
        <f>IF($AB472="","",INDEX('Per Line'!$Z$2:$Z$4001,$AB472))</f>
        <v/>
      </c>
      <c r="P472">
        <f>IF($AB472="","",IF(AND(ISNUMBER(O472),O472&gt;0),Z472&gt;O472,FALSE))</f>
        <v/>
      </c>
      <c r="Q472" s="7">
        <f>IF($AB472="","",SUMIFS('Per Line'!$U$2:$U$4001,'Per Line'!$C$2:$C$4001,$B472,'Per Line'!$AM$2:$AM$4001,1))</f>
        <v/>
      </c>
      <c r="R472">
        <f>IF($AB472="","",Settings!$C$7)</f>
        <v/>
      </c>
      <c r="S472" s="7">
        <f>IF($AB472="","",SUMIFS('Per Line'!$U$2:$U$4001,'Per Line'!$C$2:$C$4001,$B472,'Per Line'!$AL$2:$AL$4001,0,'Per Line'!$AM$2:$AM$4001,0))</f>
        <v/>
      </c>
      <c r="T472" s="7">
        <f>IF($AB472="","",S472*R472)</f>
        <v/>
      </c>
      <c r="U472">
        <f>IF($AB472="","",Settings!$C$6)</f>
        <v/>
      </c>
      <c r="V472" s="7">
        <f>IF($AB472="","",SUMIFS('Per Line'!$U$2:$U$4001,'Per Line'!$C$2:$C$4001,$B472,'Per Line'!$AL$2:$AL$4001,1,'Per Line'!$AM$2:$AM$4001,0))</f>
        <v/>
      </c>
      <c r="W472" s="7">
        <f>IF($AB472="","",V472*U472)</f>
        <v/>
      </c>
      <c r="X472" s="7">
        <f>IF($AB472="","",W472+T472)</f>
        <v/>
      </c>
      <c r="Y472" s="7">
        <f>IF($AB472="","",Z472-X472)</f>
        <v/>
      </c>
      <c r="Z472" s="7">
        <f>IF($AB472="","",S472+V472+Q472)</f>
        <v/>
      </c>
      <c r="AA472" s="7">
        <f>IF($AB472="","",Z472-X472-M472)</f>
        <v/>
      </c>
      <c r="AB472" s="13">
        <f>IF(ROWS($AB$2:$AB472)&lt;=MAX('Per Line'!$AK$2:$AK$4001),MATCH(ROWS($AB$2:$AB472),'Per Line'!$AK$2:$AK$4001,0),"")</f>
        <v/>
      </c>
      <c r="AC472" s="14">
        <f>IF($AB472="","",M472-L472*Z472/100)</f>
        <v/>
      </c>
    </row>
    <row r="473">
      <c r="A473" s="12" t="n"/>
      <c r="B473">
        <f>IF($AB473="","",INDEX('Per Line'!$C$2:$C$4001,$AB473)&amp;"")</f>
        <v/>
      </c>
      <c r="C473">
        <f>IF($AB473="","",INDEX('Per Line'!$D$2:$D$4001,$AB473)&amp;"")</f>
        <v/>
      </c>
      <c r="D473">
        <f>IF($AB473="","",INDEX('Per Line'!$B$2:$B$4001,$AB473)&amp;"")</f>
        <v/>
      </c>
      <c r="E473">
        <f>IF($AB473="","",INDEX('Per Line'!$A$2:$A$4001,$AB473))</f>
        <v/>
      </c>
      <c r="F473" s="11">
        <f>IF($AB473="","",INDEX('Per Line'!$E$2:$E$4001,$AB473))</f>
        <v/>
      </c>
      <c r="G473">
        <f>IF($AB473="","",INDEX('Per Line'!$F$2:$F$4001,$AB473)&amp;"")</f>
        <v/>
      </c>
      <c r="H473">
        <f>IF($AB473="","",INDEX('Per Line'!$H$2:$H$4001,$AB473)&amp;"")</f>
        <v/>
      </c>
      <c r="I473">
        <f>IF($AB473="","",INDEX('Per Line'!$I$2:$I$4001,$AB473)&amp;"")</f>
        <v/>
      </c>
      <c r="J473">
        <f>IF($AB473="","",INDEX('Per Line'!$J$2:$J$4001,$AB473)&amp;"")</f>
        <v/>
      </c>
      <c r="K473">
        <f>IF($AB473="","",INDEX('Per Line'!$K$2:$K$4001,$AB473)&amp;"")</f>
        <v/>
      </c>
      <c r="L473">
        <f>IF($AB473="","",INDEX('Per Line'!$L$2:$L$4001,$AB473))</f>
        <v/>
      </c>
      <c r="M473" s="7">
        <f>IF($AB473="","",IF(AND(ISNUMBER(O473),O473&gt;0,Z473&gt;O473),L473*O473/100+(Z473-O473),L473*Z473/100))</f>
        <v/>
      </c>
      <c r="N473">
        <f>IF($AB473="","",INDEX('Per Line'!$V$2:$V$4001,$AB473)&amp;"")</f>
        <v/>
      </c>
      <c r="O473">
        <f>IF($AB473="","",INDEX('Per Line'!$Z$2:$Z$4001,$AB473))</f>
        <v/>
      </c>
      <c r="P473">
        <f>IF($AB473="","",IF(AND(ISNUMBER(O473),O473&gt;0),Z473&gt;O473,FALSE))</f>
        <v/>
      </c>
      <c r="Q473" s="7">
        <f>IF($AB473="","",SUMIFS('Per Line'!$U$2:$U$4001,'Per Line'!$C$2:$C$4001,$B473,'Per Line'!$AM$2:$AM$4001,1))</f>
        <v/>
      </c>
      <c r="R473">
        <f>IF($AB473="","",Settings!$C$7)</f>
        <v/>
      </c>
      <c r="S473" s="7">
        <f>IF($AB473="","",SUMIFS('Per Line'!$U$2:$U$4001,'Per Line'!$C$2:$C$4001,$B473,'Per Line'!$AL$2:$AL$4001,0,'Per Line'!$AM$2:$AM$4001,0))</f>
        <v/>
      </c>
      <c r="T473" s="7">
        <f>IF($AB473="","",S473*R473)</f>
        <v/>
      </c>
      <c r="U473">
        <f>IF($AB473="","",Settings!$C$6)</f>
        <v/>
      </c>
      <c r="V473" s="7">
        <f>IF($AB473="","",SUMIFS('Per Line'!$U$2:$U$4001,'Per Line'!$C$2:$C$4001,$B473,'Per Line'!$AL$2:$AL$4001,1,'Per Line'!$AM$2:$AM$4001,0))</f>
        <v/>
      </c>
      <c r="W473" s="7">
        <f>IF($AB473="","",V473*U473)</f>
        <v/>
      </c>
      <c r="X473" s="7">
        <f>IF($AB473="","",W473+T473)</f>
        <v/>
      </c>
      <c r="Y473" s="7">
        <f>IF($AB473="","",Z473-X473)</f>
        <v/>
      </c>
      <c r="Z473" s="7">
        <f>IF($AB473="","",S473+V473+Q473)</f>
        <v/>
      </c>
      <c r="AA473" s="7">
        <f>IF($AB473="","",Z473-X473-M473)</f>
        <v/>
      </c>
      <c r="AB473" s="13">
        <f>IF(ROWS($AB$2:$AB473)&lt;=MAX('Per Line'!$AK$2:$AK$4001),MATCH(ROWS($AB$2:$AB473),'Per Line'!$AK$2:$AK$4001,0),"")</f>
        <v/>
      </c>
      <c r="AC473" s="14">
        <f>IF($AB473="","",M473-L473*Z473/100)</f>
        <v/>
      </c>
    </row>
    <row r="474">
      <c r="A474" s="12" t="n"/>
      <c r="B474">
        <f>IF($AB474="","",INDEX('Per Line'!$C$2:$C$4001,$AB474)&amp;"")</f>
        <v/>
      </c>
      <c r="C474">
        <f>IF($AB474="","",INDEX('Per Line'!$D$2:$D$4001,$AB474)&amp;"")</f>
        <v/>
      </c>
      <c r="D474">
        <f>IF($AB474="","",INDEX('Per Line'!$B$2:$B$4001,$AB474)&amp;"")</f>
        <v/>
      </c>
      <c r="E474">
        <f>IF($AB474="","",INDEX('Per Line'!$A$2:$A$4001,$AB474))</f>
        <v/>
      </c>
      <c r="F474" s="11">
        <f>IF($AB474="","",INDEX('Per Line'!$E$2:$E$4001,$AB474))</f>
        <v/>
      </c>
      <c r="G474">
        <f>IF($AB474="","",INDEX('Per Line'!$F$2:$F$4001,$AB474)&amp;"")</f>
        <v/>
      </c>
      <c r="H474">
        <f>IF($AB474="","",INDEX('Per Line'!$H$2:$H$4001,$AB474)&amp;"")</f>
        <v/>
      </c>
      <c r="I474">
        <f>IF($AB474="","",INDEX('Per Line'!$I$2:$I$4001,$AB474)&amp;"")</f>
        <v/>
      </c>
      <c r="J474">
        <f>IF($AB474="","",INDEX('Per Line'!$J$2:$J$4001,$AB474)&amp;"")</f>
        <v/>
      </c>
      <c r="K474">
        <f>IF($AB474="","",INDEX('Per Line'!$K$2:$K$4001,$AB474)&amp;"")</f>
        <v/>
      </c>
      <c r="L474">
        <f>IF($AB474="","",INDEX('Per Line'!$L$2:$L$4001,$AB474))</f>
        <v/>
      </c>
      <c r="M474" s="7">
        <f>IF($AB474="","",IF(AND(ISNUMBER(O474),O474&gt;0,Z474&gt;O474),L474*O474/100+(Z474-O474),L474*Z474/100))</f>
        <v/>
      </c>
      <c r="N474">
        <f>IF($AB474="","",INDEX('Per Line'!$V$2:$V$4001,$AB474)&amp;"")</f>
        <v/>
      </c>
      <c r="O474">
        <f>IF($AB474="","",INDEX('Per Line'!$Z$2:$Z$4001,$AB474))</f>
        <v/>
      </c>
      <c r="P474">
        <f>IF($AB474="","",IF(AND(ISNUMBER(O474),O474&gt;0),Z474&gt;O474,FALSE))</f>
        <v/>
      </c>
      <c r="Q474" s="7">
        <f>IF($AB474="","",SUMIFS('Per Line'!$U$2:$U$4001,'Per Line'!$C$2:$C$4001,$B474,'Per Line'!$AM$2:$AM$4001,1))</f>
        <v/>
      </c>
      <c r="R474">
        <f>IF($AB474="","",Settings!$C$7)</f>
        <v/>
      </c>
      <c r="S474" s="7">
        <f>IF($AB474="","",SUMIFS('Per Line'!$U$2:$U$4001,'Per Line'!$C$2:$C$4001,$B474,'Per Line'!$AL$2:$AL$4001,0,'Per Line'!$AM$2:$AM$4001,0))</f>
        <v/>
      </c>
      <c r="T474" s="7">
        <f>IF($AB474="","",S474*R474)</f>
        <v/>
      </c>
      <c r="U474">
        <f>IF($AB474="","",Settings!$C$6)</f>
        <v/>
      </c>
      <c r="V474" s="7">
        <f>IF($AB474="","",SUMIFS('Per Line'!$U$2:$U$4001,'Per Line'!$C$2:$C$4001,$B474,'Per Line'!$AL$2:$AL$4001,1,'Per Line'!$AM$2:$AM$4001,0))</f>
        <v/>
      </c>
      <c r="W474" s="7">
        <f>IF($AB474="","",V474*U474)</f>
        <v/>
      </c>
      <c r="X474" s="7">
        <f>IF($AB474="","",W474+T474)</f>
        <v/>
      </c>
      <c r="Y474" s="7">
        <f>IF($AB474="","",Z474-X474)</f>
        <v/>
      </c>
      <c r="Z474" s="7">
        <f>IF($AB474="","",S474+V474+Q474)</f>
        <v/>
      </c>
      <c r="AA474" s="7">
        <f>IF($AB474="","",Z474-X474-M474)</f>
        <v/>
      </c>
      <c r="AB474" s="13">
        <f>IF(ROWS($AB$2:$AB474)&lt;=MAX('Per Line'!$AK$2:$AK$4001),MATCH(ROWS($AB$2:$AB474),'Per Line'!$AK$2:$AK$4001,0),"")</f>
        <v/>
      </c>
      <c r="AC474" s="14">
        <f>IF($AB474="","",M474-L474*Z474/100)</f>
        <v/>
      </c>
    </row>
    <row r="475">
      <c r="A475" s="12" t="n"/>
      <c r="B475">
        <f>IF($AB475="","",INDEX('Per Line'!$C$2:$C$4001,$AB475)&amp;"")</f>
        <v/>
      </c>
      <c r="C475">
        <f>IF($AB475="","",INDEX('Per Line'!$D$2:$D$4001,$AB475)&amp;"")</f>
        <v/>
      </c>
      <c r="D475">
        <f>IF($AB475="","",INDEX('Per Line'!$B$2:$B$4001,$AB475)&amp;"")</f>
        <v/>
      </c>
      <c r="E475">
        <f>IF($AB475="","",INDEX('Per Line'!$A$2:$A$4001,$AB475))</f>
        <v/>
      </c>
      <c r="F475" s="11">
        <f>IF($AB475="","",INDEX('Per Line'!$E$2:$E$4001,$AB475))</f>
        <v/>
      </c>
      <c r="G475">
        <f>IF($AB475="","",INDEX('Per Line'!$F$2:$F$4001,$AB475)&amp;"")</f>
        <v/>
      </c>
      <c r="H475">
        <f>IF($AB475="","",INDEX('Per Line'!$H$2:$H$4001,$AB475)&amp;"")</f>
        <v/>
      </c>
      <c r="I475">
        <f>IF($AB475="","",INDEX('Per Line'!$I$2:$I$4001,$AB475)&amp;"")</f>
        <v/>
      </c>
      <c r="J475">
        <f>IF($AB475="","",INDEX('Per Line'!$J$2:$J$4001,$AB475)&amp;"")</f>
        <v/>
      </c>
      <c r="K475">
        <f>IF($AB475="","",INDEX('Per Line'!$K$2:$K$4001,$AB475)&amp;"")</f>
        <v/>
      </c>
      <c r="L475">
        <f>IF($AB475="","",INDEX('Per Line'!$L$2:$L$4001,$AB475))</f>
        <v/>
      </c>
      <c r="M475" s="7">
        <f>IF($AB475="","",IF(AND(ISNUMBER(O475),O475&gt;0,Z475&gt;O475),L475*O475/100+(Z475-O475),L475*Z475/100))</f>
        <v/>
      </c>
      <c r="N475">
        <f>IF($AB475="","",INDEX('Per Line'!$V$2:$V$4001,$AB475)&amp;"")</f>
        <v/>
      </c>
      <c r="O475">
        <f>IF($AB475="","",INDEX('Per Line'!$Z$2:$Z$4001,$AB475))</f>
        <v/>
      </c>
      <c r="P475">
        <f>IF($AB475="","",IF(AND(ISNUMBER(O475),O475&gt;0),Z475&gt;O475,FALSE))</f>
        <v/>
      </c>
      <c r="Q475" s="7">
        <f>IF($AB475="","",SUMIFS('Per Line'!$U$2:$U$4001,'Per Line'!$C$2:$C$4001,$B475,'Per Line'!$AM$2:$AM$4001,1))</f>
        <v/>
      </c>
      <c r="R475">
        <f>IF($AB475="","",Settings!$C$7)</f>
        <v/>
      </c>
      <c r="S475" s="7">
        <f>IF($AB475="","",SUMIFS('Per Line'!$U$2:$U$4001,'Per Line'!$C$2:$C$4001,$B475,'Per Line'!$AL$2:$AL$4001,0,'Per Line'!$AM$2:$AM$4001,0))</f>
        <v/>
      </c>
      <c r="T475" s="7">
        <f>IF($AB475="","",S475*R475)</f>
        <v/>
      </c>
      <c r="U475">
        <f>IF($AB475="","",Settings!$C$6)</f>
        <v/>
      </c>
      <c r="V475" s="7">
        <f>IF($AB475="","",SUMIFS('Per Line'!$U$2:$U$4001,'Per Line'!$C$2:$C$4001,$B475,'Per Line'!$AL$2:$AL$4001,1,'Per Line'!$AM$2:$AM$4001,0))</f>
        <v/>
      </c>
      <c r="W475" s="7">
        <f>IF($AB475="","",V475*U475)</f>
        <v/>
      </c>
      <c r="X475" s="7">
        <f>IF($AB475="","",W475+T475)</f>
        <v/>
      </c>
      <c r="Y475" s="7">
        <f>IF($AB475="","",Z475-X475)</f>
        <v/>
      </c>
      <c r="Z475" s="7">
        <f>IF($AB475="","",S475+V475+Q475)</f>
        <v/>
      </c>
      <c r="AA475" s="7">
        <f>IF($AB475="","",Z475-X475-M475)</f>
        <v/>
      </c>
      <c r="AB475" s="13">
        <f>IF(ROWS($AB$2:$AB475)&lt;=MAX('Per Line'!$AK$2:$AK$4001),MATCH(ROWS($AB$2:$AB475),'Per Line'!$AK$2:$AK$4001,0),"")</f>
        <v/>
      </c>
      <c r="AC475" s="14">
        <f>IF($AB475="","",M475-L475*Z475/100)</f>
        <v/>
      </c>
    </row>
    <row r="476">
      <c r="A476" s="12" t="n"/>
      <c r="B476">
        <f>IF($AB476="","",INDEX('Per Line'!$C$2:$C$4001,$AB476)&amp;"")</f>
        <v/>
      </c>
      <c r="C476">
        <f>IF($AB476="","",INDEX('Per Line'!$D$2:$D$4001,$AB476)&amp;"")</f>
        <v/>
      </c>
      <c r="D476">
        <f>IF($AB476="","",INDEX('Per Line'!$B$2:$B$4001,$AB476)&amp;"")</f>
        <v/>
      </c>
      <c r="E476">
        <f>IF($AB476="","",INDEX('Per Line'!$A$2:$A$4001,$AB476))</f>
        <v/>
      </c>
      <c r="F476" s="11">
        <f>IF($AB476="","",INDEX('Per Line'!$E$2:$E$4001,$AB476))</f>
        <v/>
      </c>
      <c r="G476">
        <f>IF($AB476="","",INDEX('Per Line'!$F$2:$F$4001,$AB476)&amp;"")</f>
        <v/>
      </c>
      <c r="H476">
        <f>IF($AB476="","",INDEX('Per Line'!$H$2:$H$4001,$AB476)&amp;"")</f>
        <v/>
      </c>
      <c r="I476">
        <f>IF($AB476="","",INDEX('Per Line'!$I$2:$I$4001,$AB476)&amp;"")</f>
        <v/>
      </c>
      <c r="J476">
        <f>IF($AB476="","",INDEX('Per Line'!$J$2:$J$4001,$AB476)&amp;"")</f>
        <v/>
      </c>
      <c r="K476">
        <f>IF($AB476="","",INDEX('Per Line'!$K$2:$K$4001,$AB476)&amp;"")</f>
        <v/>
      </c>
      <c r="L476">
        <f>IF($AB476="","",INDEX('Per Line'!$L$2:$L$4001,$AB476))</f>
        <v/>
      </c>
      <c r="M476" s="7">
        <f>IF($AB476="","",IF(AND(ISNUMBER(O476),O476&gt;0,Z476&gt;O476),L476*O476/100+(Z476-O476),L476*Z476/100))</f>
        <v/>
      </c>
      <c r="N476">
        <f>IF($AB476="","",INDEX('Per Line'!$V$2:$V$4001,$AB476)&amp;"")</f>
        <v/>
      </c>
      <c r="O476">
        <f>IF($AB476="","",INDEX('Per Line'!$Z$2:$Z$4001,$AB476))</f>
        <v/>
      </c>
      <c r="P476">
        <f>IF($AB476="","",IF(AND(ISNUMBER(O476),O476&gt;0),Z476&gt;O476,FALSE))</f>
        <v/>
      </c>
      <c r="Q476" s="7">
        <f>IF($AB476="","",SUMIFS('Per Line'!$U$2:$U$4001,'Per Line'!$C$2:$C$4001,$B476,'Per Line'!$AM$2:$AM$4001,1))</f>
        <v/>
      </c>
      <c r="R476">
        <f>IF($AB476="","",Settings!$C$7)</f>
        <v/>
      </c>
      <c r="S476" s="7">
        <f>IF($AB476="","",SUMIFS('Per Line'!$U$2:$U$4001,'Per Line'!$C$2:$C$4001,$B476,'Per Line'!$AL$2:$AL$4001,0,'Per Line'!$AM$2:$AM$4001,0))</f>
        <v/>
      </c>
      <c r="T476" s="7">
        <f>IF($AB476="","",S476*R476)</f>
        <v/>
      </c>
      <c r="U476">
        <f>IF($AB476="","",Settings!$C$6)</f>
        <v/>
      </c>
      <c r="V476" s="7">
        <f>IF($AB476="","",SUMIFS('Per Line'!$U$2:$U$4001,'Per Line'!$C$2:$C$4001,$B476,'Per Line'!$AL$2:$AL$4001,1,'Per Line'!$AM$2:$AM$4001,0))</f>
        <v/>
      </c>
      <c r="W476" s="7">
        <f>IF($AB476="","",V476*U476)</f>
        <v/>
      </c>
      <c r="X476" s="7">
        <f>IF($AB476="","",W476+T476)</f>
        <v/>
      </c>
      <c r="Y476" s="7">
        <f>IF($AB476="","",Z476-X476)</f>
        <v/>
      </c>
      <c r="Z476" s="7">
        <f>IF($AB476="","",S476+V476+Q476)</f>
        <v/>
      </c>
      <c r="AA476" s="7">
        <f>IF($AB476="","",Z476-X476-M476)</f>
        <v/>
      </c>
      <c r="AB476" s="13">
        <f>IF(ROWS($AB$2:$AB476)&lt;=MAX('Per Line'!$AK$2:$AK$4001),MATCH(ROWS($AB$2:$AB476),'Per Line'!$AK$2:$AK$4001,0),"")</f>
        <v/>
      </c>
      <c r="AC476" s="14">
        <f>IF($AB476="","",M476-L476*Z476/100)</f>
        <v/>
      </c>
    </row>
    <row r="477">
      <c r="A477" s="12" t="n"/>
      <c r="B477">
        <f>IF($AB477="","",INDEX('Per Line'!$C$2:$C$4001,$AB477)&amp;"")</f>
        <v/>
      </c>
      <c r="C477">
        <f>IF($AB477="","",INDEX('Per Line'!$D$2:$D$4001,$AB477)&amp;"")</f>
        <v/>
      </c>
      <c r="D477">
        <f>IF($AB477="","",INDEX('Per Line'!$B$2:$B$4001,$AB477)&amp;"")</f>
        <v/>
      </c>
      <c r="E477">
        <f>IF($AB477="","",INDEX('Per Line'!$A$2:$A$4001,$AB477))</f>
        <v/>
      </c>
      <c r="F477" s="11">
        <f>IF($AB477="","",INDEX('Per Line'!$E$2:$E$4001,$AB477))</f>
        <v/>
      </c>
      <c r="G477">
        <f>IF($AB477="","",INDEX('Per Line'!$F$2:$F$4001,$AB477)&amp;"")</f>
        <v/>
      </c>
      <c r="H477">
        <f>IF($AB477="","",INDEX('Per Line'!$H$2:$H$4001,$AB477)&amp;"")</f>
        <v/>
      </c>
      <c r="I477">
        <f>IF($AB477="","",INDEX('Per Line'!$I$2:$I$4001,$AB477)&amp;"")</f>
        <v/>
      </c>
      <c r="J477">
        <f>IF($AB477="","",INDEX('Per Line'!$J$2:$J$4001,$AB477)&amp;"")</f>
        <v/>
      </c>
      <c r="K477">
        <f>IF($AB477="","",INDEX('Per Line'!$K$2:$K$4001,$AB477)&amp;"")</f>
        <v/>
      </c>
      <c r="L477">
        <f>IF($AB477="","",INDEX('Per Line'!$L$2:$L$4001,$AB477))</f>
        <v/>
      </c>
      <c r="M477" s="7">
        <f>IF($AB477="","",IF(AND(ISNUMBER(O477),O477&gt;0,Z477&gt;O477),L477*O477/100+(Z477-O477),L477*Z477/100))</f>
        <v/>
      </c>
      <c r="N477">
        <f>IF($AB477="","",INDEX('Per Line'!$V$2:$V$4001,$AB477)&amp;"")</f>
        <v/>
      </c>
      <c r="O477">
        <f>IF($AB477="","",INDEX('Per Line'!$Z$2:$Z$4001,$AB477))</f>
        <v/>
      </c>
      <c r="P477">
        <f>IF($AB477="","",IF(AND(ISNUMBER(O477),O477&gt;0),Z477&gt;O477,FALSE))</f>
        <v/>
      </c>
      <c r="Q477" s="7">
        <f>IF($AB477="","",SUMIFS('Per Line'!$U$2:$U$4001,'Per Line'!$C$2:$C$4001,$B477,'Per Line'!$AM$2:$AM$4001,1))</f>
        <v/>
      </c>
      <c r="R477">
        <f>IF($AB477="","",Settings!$C$7)</f>
        <v/>
      </c>
      <c r="S477" s="7">
        <f>IF($AB477="","",SUMIFS('Per Line'!$U$2:$U$4001,'Per Line'!$C$2:$C$4001,$B477,'Per Line'!$AL$2:$AL$4001,0,'Per Line'!$AM$2:$AM$4001,0))</f>
        <v/>
      </c>
      <c r="T477" s="7">
        <f>IF($AB477="","",S477*R477)</f>
        <v/>
      </c>
      <c r="U477">
        <f>IF($AB477="","",Settings!$C$6)</f>
        <v/>
      </c>
      <c r="V477" s="7">
        <f>IF($AB477="","",SUMIFS('Per Line'!$U$2:$U$4001,'Per Line'!$C$2:$C$4001,$B477,'Per Line'!$AL$2:$AL$4001,1,'Per Line'!$AM$2:$AM$4001,0))</f>
        <v/>
      </c>
      <c r="W477" s="7">
        <f>IF($AB477="","",V477*U477)</f>
        <v/>
      </c>
      <c r="X477" s="7">
        <f>IF($AB477="","",W477+T477)</f>
        <v/>
      </c>
      <c r="Y477" s="7">
        <f>IF($AB477="","",Z477-X477)</f>
        <v/>
      </c>
      <c r="Z477" s="7">
        <f>IF($AB477="","",S477+V477+Q477)</f>
        <v/>
      </c>
      <c r="AA477" s="7">
        <f>IF($AB477="","",Z477-X477-M477)</f>
        <v/>
      </c>
      <c r="AB477" s="13">
        <f>IF(ROWS($AB$2:$AB477)&lt;=MAX('Per Line'!$AK$2:$AK$4001),MATCH(ROWS($AB$2:$AB477),'Per Line'!$AK$2:$AK$4001,0),"")</f>
        <v/>
      </c>
      <c r="AC477" s="14">
        <f>IF($AB477="","",M477-L477*Z477/100)</f>
        <v/>
      </c>
    </row>
    <row r="478">
      <c r="A478" s="12" t="n"/>
      <c r="B478">
        <f>IF($AB478="","",INDEX('Per Line'!$C$2:$C$4001,$AB478)&amp;"")</f>
        <v/>
      </c>
      <c r="C478">
        <f>IF($AB478="","",INDEX('Per Line'!$D$2:$D$4001,$AB478)&amp;"")</f>
        <v/>
      </c>
      <c r="D478">
        <f>IF($AB478="","",INDEX('Per Line'!$B$2:$B$4001,$AB478)&amp;"")</f>
        <v/>
      </c>
      <c r="E478">
        <f>IF($AB478="","",INDEX('Per Line'!$A$2:$A$4001,$AB478))</f>
        <v/>
      </c>
      <c r="F478" s="11">
        <f>IF($AB478="","",INDEX('Per Line'!$E$2:$E$4001,$AB478))</f>
        <v/>
      </c>
      <c r="G478">
        <f>IF($AB478="","",INDEX('Per Line'!$F$2:$F$4001,$AB478)&amp;"")</f>
        <v/>
      </c>
      <c r="H478">
        <f>IF($AB478="","",INDEX('Per Line'!$H$2:$H$4001,$AB478)&amp;"")</f>
        <v/>
      </c>
      <c r="I478">
        <f>IF($AB478="","",INDEX('Per Line'!$I$2:$I$4001,$AB478)&amp;"")</f>
        <v/>
      </c>
      <c r="J478">
        <f>IF($AB478="","",INDEX('Per Line'!$J$2:$J$4001,$AB478)&amp;"")</f>
        <v/>
      </c>
      <c r="K478">
        <f>IF($AB478="","",INDEX('Per Line'!$K$2:$K$4001,$AB478)&amp;"")</f>
        <v/>
      </c>
      <c r="L478">
        <f>IF($AB478="","",INDEX('Per Line'!$L$2:$L$4001,$AB478))</f>
        <v/>
      </c>
      <c r="M478" s="7">
        <f>IF($AB478="","",IF(AND(ISNUMBER(O478),O478&gt;0,Z478&gt;O478),L478*O478/100+(Z478-O478),L478*Z478/100))</f>
        <v/>
      </c>
      <c r="N478">
        <f>IF($AB478="","",INDEX('Per Line'!$V$2:$V$4001,$AB478)&amp;"")</f>
        <v/>
      </c>
      <c r="O478">
        <f>IF($AB478="","",INDEX('Per Line'!$Z$2:$Z$4001,$AB478))</f>
        <v/>
      </c>
      <c r="P478">
        <f>IF($AB478="","",IF(AND(ISNUMBER(O478),O478&gt;0),Z478&gt;O478,FALSE))</f>
        <v/>
      </c>
      <c r="Q478" s="7">
        <f>IF($AB478="","",SUMIFS('Per Line'!$U$2:$U$4001,'Per Line'!$C$2:$C$4001,$B478,'Per Line'!$AM$2:$AM$4001,1))</f>
        <v/>
      </c>
      <c r="R478">
        <f>IF($AB478="","",Settings!$C$7)</f>
        <v/>
      </c>
      <c r="S478" s="7">
        <f>IF($AB478="","",SUMIFS('Per Line'!$U$2:$U$4001,'Per Line'!$C$2:$C$4001,$B478,'Per Line'!$AL$2:$AL$4001,0,'Per Line'!$AM$2:$AM$4001,0))</f>
        <v/>
      </c>
      <c r="T478" s="7">
        <f>IF($AB478="","",S478*R478)</f>
        <v/>
      </c>
      <c r="U478">
        <f>IF($AB478="","",Settings!$C$6)</f>
        <v/>
      </c>
      <c r="V478" s="7">
        <f>IF($AB478="","",SUMIFS('Per Line'!$U$2:$U$4001,'Per Line'!$C$2:$C$4001,$B478,'Per Line'!$AL$2:$AL$4001,1,'Per Line'!$AM$2:$AM$4001,0))</f>
        <v/>
      </c>
      <c r="W478" s="7">
        <f>IF($AB478="","",V478*U478)</f>
        <v/>
      </c>
      <c r="X478" s="7">
        <f>IF($AB478="","",W478+T478)</f>
        <v/>
      </c>
      <c r="Y478" s="7">
        <f>IF($AB478="","",Z478-X478)</f>
        <v/>
      </c>
      <c r="Z478" s="7">
        <f>IF($AB478="","",S478+V478+Q478)</f>
        <v/>
      </c>
      <c r="AA478" s="7">
        <f>IF($AB478="","",Z478-X478-M478)</f>
        <v/>
      </c>
      <c r="AB478" s="13">
        <f>IF(ROWS($AB$2:$AB478)&lt;=MAX('Per Line'!$AK$2:$AK$4001),MATCH(ROWS($AB$2:$AB478),'Per Line'!$AK$2:$AK$4001,0),"")</f>
        <v/>
      </c>
      <c r="AC478" s="14">
        <f>IF($AB478="","",M478-L478*Z478/100)</f>
        <v/>
      </c>
    </row>
    <row r="479">
      <c r="A479" s="12" t="n"/>
      <c r="B479">
        <f>IF($AB479="","",INDEX('Per Line'!$C$2:$C$4001,$AB479)&amp;"")</f>
        <v/>
      </c>
      <c r="C479">
        <f>IF($AB479="","",INDEX('Per Line'!$D$2:$D$4001,$AB479)&amp;"")</f>
        <v/>
      </c>
      <c r="D479">
        <f>IF($AB479="","",INDEX('Per Line'!$B$2:$B$4001,$AB479)&amp;"")</f>
        <v/>
      </c>
      <c r="E479">
        <f>IF($AB479="","",INDEX('Per Line'!$A$2:$A$4001,$AB479))</f>
        <v/>
      </c>
      <c r="F479" s="11">
        <f>IF($AB479="","",INDEX('Per Line'!$E$2:$E$4001,$AB479))</f>
        <v/>
      </c>
      <c r="G479">
        <f>IF($AB479="","",INDEX('Per Line'!$F$2:$F$4001,$AB479)&amp;"")</f>
        <v/>
      </c>
      <c r="H479">
        <f>IF($AB479="","",INDEX('Per Line'!$H$2:$H$4001,$AB479)&amp;"")</f>
        <v/>
      </c>
      <c r="I479">
        <f>IF($AB479="","",INDEX('Per Line'!$I$2:$I$4001,$AB479)&amp;"")</f>
        <v/>
      </c>
      <c r="J479">
        <f>IF($AB479="","",INDEX('Per Line'!$J$2:$J$4001,$AB479)&amp;"")</f>
        <v/>
      </c>
      <c r="K479">
        <f>IF($AB479="","",INDEX('Per Line'!$K$2:$K$4001,$AB479)&amp;"")</f>
        <v/>
      </c>
      <c r="L479">
        <f>IF($AB479="","",INDEX('Per Line'!$L$2:$L$4001,$AB479))</f>
        <v/>
      </c>
      <c r="M479" s="7">
        <f>IF($AB479="","",IF(AND(ISNUMBER(O479),O479&gt;0,Z479&gt;O479),L479*O479/100+(Z479-O479),L479*Z479/100))</f>
        <v/>
      </c>
      <c r="N479">
        <f>IF($AB479="","",INDEX('Per Line'!$V$2:$V$4001,$AB479)&amp;"")</f>
        <v/>
      </c>
      <c r="O479">
        <f>IF($AB479="","",INDEX('Per Line'!$Z$2:$Z$4001,$AB479))</f>
        <v/>
      </c>
      <c r="P479">
        <f>IF($AB479="","",IF(AND(ISNUMBER(O479),O479&gt;0),Z479&gt;O479,FALSE))</f>
        <v/>
      </c>
      <c r="Q479" s="7">
        <f>IF($AB479="","",SUMIFS('Per Line'!$U$2:$U$4001,'Per Line'!$C$2:$C$4001,$B479,'Per Line'!$AM$2:$AM$4001,1))</f>
        <v/>
      </c>
      <c r="R479">
        <f>IF($AB479="","",Settings!$C$7)</f>
        <v/>
      </c>
      <c r="S479" s="7">
        <f>IF($AB479="","",SUMIFS('Per Line'!$U$2:$U$4001,'Per Line'!$C$2:$C$4001,$B479,'Per Line'!$AL$2:$AL$4001,0,'Per Line'!$AM$2:$AM$4001,0))</f>
        <v/>
      </c>
      <c r="T479" s="7">
        <f>IF($AB479="","",S479*R479)</f>
        <v/>
      </c>
      <c r="U479">
        <f>IF($AB479="","",Settings!$C$6)</f>
        <v/>
      </c>
      <c r="V479" s="7">
        <f>IF($AB479="","",SUMIFS('Per Line'!$U$2:$U$4001,'Per Line'!$C$2:$C$4001,$B479,'Per Line'!$AL$2:$AL$4001,1,'Per Line'!$AM$2:$AM$4001,0))</f>
        <v/>
      </c>
      <c r="W479" s="7">
        <f>IF($AB479="","",V479*U479)</f>
        <v/>
      </c>
      <c r="X479" s="7">
        <f>IF($AB479="","",W479+T479)</f>
        <v/>
      </c>
      <c r="Y479" s="7">
        <f>IF($AB479="","",Z479-X479)</f>
        <v/>
      </c>
      <c r="Z479" s="7">
        <f>IF($AB479="","",S479+V479+Q479)</f>
        <v/>
      </c>
      <c r="AA479" s="7">
        <f>IF($AB479="","",Z479-X479-M479)</f>
        <v/>
      </c>
      <c r="AB479" s="13">
        <f>IF(ROWS($AB$2:$AB479)&lt;=MAX('Per Line'!$AK$2:$AK$4001),MATCH(ROWS($AB$2:$AB479),'Per Line'!$AK$2:$AK$4001,0),"")</f>
        <v/>
      </c>
      <c r="AC479" s="14">
        <f>IF($AB479="","",M479-L479*Z479/100)</f>
        <v/>
      </c>
    </row>
    <row r="480">
      <c r="A480" s="12" t="n"/>
      <c r="B480">
        <f>IF($AB480="","",INDEX('Per Line'!$C$2:$C$4001,$AB480)&amp;"")</f>
        <v/>
      </c>
      <c r="C480">
        <f>IF($AB480="","",INDEX('Per Line'!$D$2:$D$4001,$AB480)&amp;"")</f>
        <v/>
      </c>
      <c r="D480">
        <f>IF($AB480="","",INDEX('Per Line'!$B$2:$B$4001,$AB480)&amp;"")</f>
        <v/>
      </c>
      <c r="E480">
        <f>IF($AB480="","",INDEX('Per Line'!$A$2:$A$4001,$AB480))</f>
        <v/>
      </c>
      <c r="F480" s="11">
        <f>IF($AB480="","",INDEX('Per Line'!$E$2:$E$4001,$AB480))</f>
        <v/>
      </c>
      <c r="G480">
        <f>IF($AB480="","",INDEX('Per Line'!$F$2:$F$4001,$AB480)&amp;"")</f>
        <v/>
      </c>
      <c r="H480">
        <f>IF($AB480="","",INDEX('Per Line'!$H$2:$H$4001,$AB480)&amp;"")</f>
        <v/>
      </c>
      <c r="I480">
        <f>IF($AB480="","",INDEX('Per Line'!$I$2:$I$4001,$AB480)&amp;"")</f>
        <v/>
      </c>
      <c r="J480">
        <f>IF($AB480="","",INDEX('Per Line'!$J$2:$J$4001,$AB480)&amp;"")</f>
        <v/>
      </c>
      <c r="K480">
        <f>IF($AB480="","",INDEX('Per Line'!$K$2:$K$4001,$AB480)&amp;"")</f>
        <v/>
      </c>
      <c r="L480">
        <f>IF($AB480="","",INDEX('Per Line'!$L$2:$L$4001,$AB480))</f>
        <v/>
      </c>
      <c r="M480" s="7">
        <f>IF($AB480="","",IF(AND(ISNUMBER(O480),O480&gt;0,Z480&gt;O480),L480*O480/100+(Z480-O480),L480*Z480/100))</f>
        <v/>
      </c>
      <c r="N480">
        <f>IF($AB480="","",INDEX('Per Line'!$V$2:$V$4001,$AB480)&amp;"")</f>
        <v/>
      </c>
      <c r="O480">
        <f>IF($AB480="","",INDEX('Per Line'!$Z$2:$Z$4001,$AB480))</f>
        <v/>
      </c>
      <c r="P480">
        <f>IF($AB480="","",IF(AND(ISNUMBER(O480),O480&gt;0),Z480&gt;O480,FALSE))</f>
        <v/>
      </c>
      <c r="Q480" s="7">
        <f>IF($AB480="","",SUMIFS('Per Line'!$U$2:$U$4001,'Per Line'!$C$2:$C$4001,$B480,'Per Line'!$AM$2:$AM$4001,1))</f>
        <v/>
      </c>
      <c r="R480">
        <f>IF($AB480="","",Settings!$C$7)</f>
        <v/>
      </c>
      <c r="S480" s="7">
        <f>IF($AB480="","",SUMIFS('Per Line'!$U$2:$U$4001,'Per Line'!$C$2:$C$4001,$B480,'Per Line'!$AL$2:$AL$4001,0,'Per Line'!$AM$2:$AM$4001,0))</f>
        <v/>
      </c>
      <c r="T480" s="7">
        <f>IF($AB480="","",S480*R480)</f>
        <v/>
      </c>
      <c r="U480">
        <f>IF($AB480="","",Settings!$C$6)</f>
        <v/>
      </c>
      <c r="V480" s="7">
        <f>IF($AB480="","",SUMIFS('Per Line'!$U$2:$U$4001,'Per Line'!$C$2:$C$4001,$B480,'Per Line'!$AL$2:$AL$4001,1,'Per Line'!$AM$2:$AM$4001,0))</f>
        <v/>
      </c>
      <c r="W480" s="7">
        <f>IF($AB480="","",V480*U480)</f>
        <v/>
      </c>
      <c r="X480" s="7">
        <f>IF($AB480="","",W480+T480)</f>
        <v/>
      </c>
      <c r="Y480" s="7">
        <f>IF($AB480="","",Z480-X480)</f>
        <v/>
      </c>
      <c r="Z480" s="7">
        <f>IF($AB480="","",S480+V480+Q480)</f>
        <v/>
      </c>
      <c r="AA480" s="7">
        <f>IF($AB480="","",Z480-X480-M480)</f>
        <v/>
      </c>
      <c r="AB480" s="13">
        <f>IF(ROWS($AB$2:$AB480)&lt;=MAX('Per Line'!$AK$2:$AK$4001),MATCH(ROWS($AB$2:$AB480),'Per Line'!$AK$2:$AK$4001,0),"")</f>
        <v/>
      </c>
      <c r="AC480" s="14">
        <f>IF($AB480="","",M480-L480*Z480/100)</f>
        <v/>
      </c>
    </row>
    <row r="481">
      <c r="A481" s="12" t="n"/>
      <c r="B481">
        <f>IF($AB481="","",INDEX('Per Line'!$C$2:$C$4001,$AB481)&amp;"")</f>
        <v/>
      </c>
      <c r="C481">
        <f>IF($AB481="","",INDEX('Per Line'!$D$2:$D$4001,$AB481)&amp;"")</f>
        <v/>
      </c>
      <c r="D481">
        <f>IF($AB481="","",INDEX('Per Line'!$B$2:$B$4001,$AB481)&amp;"")</f>
        <v/>
      </c>
      <c r="E481">
        <f>IF($AB481="","",INDEX('Per Line'!$A$2:$A$4001,$AB481))</f>
        <v/>
      </c>
      <c r="F481" s="11">
        <f>IF($AB481="","",INDEX('Per Line'!$E$2:$E$4001,$AB481))</f>
        <v/>
      </c>
      <c r="G481">
        <f>IF($AB481="","",INDEX('Per Line'!$F$2:$F$4001,$AB481)&amp;"")</f>
        <v/>
      </c>
      <c r="H481">
        <f>IF($AB481="","",INDEX('Per Line'!$H$2:$H$4001,$AB481)&amp;"")</f>
        <v/>
      </c>
      <c r="I481">
        <f>IF($AB481="","",INDEX('Per Line'!$I$2:$I$4001,$AB481)&amp;"")</f>
        <v/>
      </c>
      <c r="J481">
        <f>IF($AB481="","",INDEX('Per Line'!$J$2:$J$4001,$AB481)&amp;"")</f>
        <v/>
      </c>
      <c r="K481">
        <f>IF($AB481="","",INDEX('Per Line'!$K$2:$K$4001,$AB481)&amp;"")</f>
        <v/>
      </c>
      <c r="L481">
        <f>IF($AB481="","",INDEX('Per Line'!$L$2:$L$4001,$AB481))</f>
        <v/>
      </c>
      <c r="M481" s="7">
        <f>IF($AB481="","",IF(AND(ISNUMBER(O481),O481&gt;0,Z481&gt;O481),L481*O481/100+(Z481-O481),L481*Z481/100))</f>
        <v/>
      </c>
      <c r="N481">
        <f>IF($AB481="","",INDEX('Per Line'!$V$2:$V$4001,$AB481)&amp;"")</f>
        <v/>
      </c>
      <c r="O481">
        <f>IF($AB481="","",INDEX('Per Line'!$Z$2:$Z$4001,$AB481))</f>
        <v/>
      </c>
      <c r="P481">
        <f>IF($AB481="","",IF(AND(ISNUMBER(O481),O481&gt;0),Z481&gt;O481,FALSE))</f>
        <v/>
      </c>
      <c r="Q481" s="7">
        <f>IF($AB481="","",SUMIFS('Per Line'!$U$2:$U$4001,'Per Line'!$C$2:$C$4001,$B481,'Per Line'!$AM$2:$AM$4001,1))</f>
        <v/>
      </c>
      <c r="R481">
        <f>IF($AB481="","",Settings!$C$7)</f>
        <v/>
      </c>
      <c r="S481" s="7">
        <f>IF($AB481="","",SUMIFS('Per Line'!$U$2:$U$4001,'Per Line'!$C$2:$C$4001,$B481,'Per Line'!$AL$2:$AL$4001,0,'Per Line'!$AM$2:$AM$4001,0))</f>
        <v/>
      </c>
      <c r="T481" s="7">
        <f>IF($AB481="","",S481*R481)</f>
        <v/>
      </c>
      <c r="U481">
        <f>IF($AB481="","",Settings!$C$6)</f>
        <v/>
      </c>
      <c r="V481" s="7">
        <f>IF($AB481="","",SUMIFS('Per Line'!$U$2:$U$4001,'Per Line'!$C$2:$C$4001,$B481,'Per Line'!$AL$2:$AL$4001,1,'Per Line'!$AM$2:$AM$4001,0))</f>
        <v/>
      </c>
      <c r="W481" s="7">
        <f>IF($AB481="","",V481*U481)</f>
        <v/>
      </c>
      <c r="X481" s="7">
        <f>IF($AB481="","",W481+T481)</f>
        <v/>
      </c>
      <c r="Y481" s="7">
        <f>IF($AB481="","",Z481-X481)</f>
        <v/>
      </c>
      <c r="Z481" s="7">
        <f>IF($AB481="","",S481+V481+Q481)</f>
        <v/>
      </c>
      <c r="AA481" s="7">
        <f>IF($AB481="","",Z481-X481-M481)</f>
        <v/>
      </c>
      <c r="AB481" s="13">
        <f>IF(ROWS($AB$2:$AB481)&lt;=MAX('Per Line'!$AK$2:$AK$4001),MATCH(ROWS($AB$2:$AB481),'Per Line'!$AK$2:$AK$4001,0),"")</f>
        <v/>
      </c>
      <c r="AC481" s="14">
        <f>IF($AB481="","",M481-L481*Z481/100)</f>
        <v/>
      </c>
    </row>
    <row r="482">
      <c r="A482" s="12" t="n"/>
      <c r="B482">
        <f>IF($AB482="","",INDEX('Per Line'!$C$2:$C$4001,$AB482)&amp;"")</f>
        <v/>
      </c>
      <c r="C482">
        <f>IF($AB482="","",INDEX('Per Line'!$D$2:$D$4001,$AB482)&amp;"")</f>
        <v/>
      </c>
      <c r="D482">
        <f>IF($AB482="","",INDEX('Per Line'!$B$2:$B$4001,$AB482)&amp;"")</f>
        <v/>
      </c>
      <c r="E482">
        <f>IF($AB482="","",INDEX('Per Line'!$A$2:$A$4001,$AB482))</f>
        <v/>
      </c>
      <c r="F482" s="11">
        <f>IF($AB482="","",INDEX('Per Line'!$E$2:$E$4001,$AB482))</f>
        <v/>
      </c>
      <c r="G482">
        <f>IF($AB482="","",INDEX('Per Line'!$F$2:$F$4001,$AB482)&amp;"")</f>
        <v/>
      </c>
      <c r="H482">
        <f>IF($AB482="","",INDEX('Per Line'!$H$2:$H$4001,$AB482)&amp;"")</f>
        <v/>
      </c>
      <c r="I482">
        <f>IF($AB482="","",INDEX('Per Line'!$I$2:$I$4001,$AB482)&amp;"")</f>
        <v/>
      </c>
      <c r="J482">
        <f>IF($AB482="","",INDEX('Per Line'!$J$2:$J$4001,$AB482)&amp;"")</f>
        <v/>
      </c>
      <c r="K482">
        <f>IF($AB482="","",INDEX('Per Line'!$K$2:$K$4001,$AB482)&amp;"")</f>
        <v/>
      </c>
      <c r="L482">
        <f>IF($AB482="","",INDEX('Per Line'!$L$2:$L$4001,$AB482))</f>
        <v/>
      </c>
      <c r="M482" s="7">
        <f>IF($AB482="","",IF(AND(ISNUMBER(O482),O482&gt;0,Z482&gt;O482),L482*O482/100+(Z482-O482),L482*Z482/100))</f>
        <v/>
      </c>
      <c r="N482">
        <f>IF($AB482="","",INDEX('Per Line'!$V$2:$V$4001,$AB482)&amp;"")</f>
        <v/>
      </c>
      <c r="O482">
        <f>IF($AB482="","",INDEX('Per Line'!$Z$2:$Z$4001,$AB482))</f>
        <v/>
      </c>
      <c r="P482">
        <f>IF($AB482="","",IF(AND(ISNUMBER(O482),O482&gt;0),Z482&gt;O482,FALSE))</f>
        <v/>
      </c>
      <c r="Q482" s="7">
        <f>IF($AB482="","",SUMIFS('Per Line'!$U$2:$U$4001,'Per Line'!$C$2:$C$4001,$B482,'Per Line'!$AM$2:$AM$4001,1))</f>
        <v/>
      </c>
      <c r="R482">
        <f>IF($AB482="","",Settings!$C$7)</f>
        <v/>
      </c>
      <c r="S482" s="7">
        <f>IF($AB482="","",SUMIFS('Per Line'!$U$2:$U$4001,'Per Line'!$C$2:$C$4001,$B482,'Per Line'!$AL$2:$AL$4001,0,'Per Line'!$AM$2:$AM$4001,0))</f>
        <v/>
      </c>
      <c r="T482" s="7">
        <f>IF($AB482="","",S482*R482)</f>
        <v/>
      </c>
      <c r="U482">
        <f>IF($AB482="","",Settings!$C$6)</f>
        <v/>
      </c>
      <c r="V482" s="7">
        <f>IF($AB482="","",SUMIFS('Per Line'!$U$2:$U$4001,'Per Line'!$C$2:$C$4001,$B482,'Per Line'!$AL$2:$AL$4001,1,'Per Line'!$AM$2:$AM$4001,0))</f>
        <v/>
      </c>
      <c r="W482" s="7">
        <f>IF($AB482="","",V482*U482)</f>
        <v/>
      </c>
      <c r="X482" s="7">
        <f>IF($AB482="","",W482+T482)</f>
        <v/>
      </c>
      <c r="Y482" s="7">
        <f>IF($AB482="","",Z482-X482)</f>
        <v/>
      </c>
      <c r="Z482" s="7">
        <f>IF($AB482="","",S482+V482+Q482)</f>
        <v/>
      </c>
      <c r="AA482" s="7">
        <f>IF($AB482="","",Z482-X482-M482)</f>
        <v/>
      </c>
      <c r="AB482" s="13">
        <f>IF(ROWS($AB$2:$AB482)&lt;=MAX('Per Line'!$AK$2:$AK$4001),MATCH(ROWS($AB$2:$AB482),'Per Line'!$AK$2:$AK$4001,0),"")</f>
        <v/>
      </c>
      <c r="AC482" s="14">
        <f>IF($AB482="","",M482-L482*Z482/100)</f>
        <v/>
      </c>
    </row>
    <row r="483">
      <c r="A483" s="12" t="n"/>
      <c r="B483">
        <f>IF($AB483="","",INDEX('Per Line'!$C$2:$C$4001,$AB483)&amp;"")</f>
        <v/>
      </c>
      <c r="C483">
        <f>IF($AB483="","",INDEX('Per Line'!$D$2:$D$4001,$AB483)&amp;"")</f>
        <v/>
      </c>
      <c r="D483">
        <f>IF($AB483="","",INDEX('Per Line'!$B$2:$B$4001,$AB483)&amp;"")</f>
        <v/>
      </c>
      <c r="E483">
        <f>IF($AB483="","",INDEX('Per Line'!$A$2:$A$4001,$AB483))</f>
        <v/>
      </c>
      <c r="F483" s="11">
        <f>IF($AB483="","",INDEX('Per Line'!$E$2:$E$4001,$AB483))</f>
        <v/>
      </c>
      <c r="G483">
        <f>IF($AB483="","",INDEX('Per Line'!$F$2:$F$4001,$AB483)&amp;"")</f>
        <v/>
      </c>
      <c r="H483">
        <f>IF($AB483="","",INDEX('Per Line'!$H$2:$H$4001,$AB483)&amp;"")</f>
        <v/>
      </c>
      <c r="I483">
        <f>IF($AB483="","",INDEX('Per Line'!$I$2:$I$4001,$AB483)&amp;"")</f>
        <v/>
      </c>
      <c r="J483">
        <f>IF($AB483="","",INDEX('Per Line'!$J$2:$J$4001,$AB483)&amp;"")</f>
        <v/>
      </c>
      <c r="K483">
        <f>IF($AB483="","",INDEX('Per Line'!$K$2:$K$4001,$AB483)&amp;"")</f>
        <v/>
      </c>
      <c r="L483">
        <f>IF($AB483="","",INDEX('Per Line'!$L$2:$L$4001,$AB483))</f>
        <v/>
      </c>
      <c r="M483" s="7">
        <f>IF($AB483="","",IF(AND(ISNUMBER(O483),O483&gt;0,Z483&gt;O483),L483*O483/100+(Z483-O483),L483*Z483/100))</f>
        <v/>
      </c>
      <c r="N483">
        <f>IF($AB483="","",INDEX('Per Line'!$V$2:$V$4001,$AB483)&amp;"")</f>
        <v/>
      </c>
      <c r="O483">
        <f>IF($AB483="","",INDEX('Per Line'!$Z$2:$Z$4001,$AB483))</f>
        <v/>
      </c>
      <c r="P483">
        <f>IF($AB483="","",IF(AND(ISNUMBER(O483),O483&gt;0),Z483&gt;O483,FALSE))</f>
        <v/>
      </c>
      <c r="Q483" s="7">
        <f>IF($AB483="","",SUMIFS('Per Line'!$U$2:$U$4001,'Per Line'!$C$2:$C$4001,$B483,'Per Line'!$AM$2:$AM$4001,1))</f>
        <v/>
      </c>
      <c r="R483">
        <f>IF($AB483="","",Settings!$C$7)</f>
        <v/>
      </c>
      <c r="S483" s="7">
        <f>IF($AB483="","",SUMIFS('Per Line'!$U$2:$U$4001,'Per Line'!$C$2:$C$4001,$B483,'Per Line'!$AL$2:$AL$4001,0,'Per Line'!$AM$2:$AM$4001,0))</f>
        <v/>
      </c>
      <c r="T483" s="7">
        <f>IF($AB483="","",S483*R483)</f>
        <v/>
      </c>
      <c r="U483">
        <f>IF($AB483="","",Settings!$C$6)</f>
        <v/>
      </c>
      <c r="V483" s="7">
        <f>IF($AB483="","",SUMIFS('Per Line'!$U$2:$U$4001,'Per Line'!$C$2:$C$4001,$B483,'Per Line'!$AL$2:$AL$4001,1,'Per Line'!$AM$2:$AM$4001,0))</f>
        <v/>
      </c>
      <c r="W483" s="7">
        <f>IF($AB483="","",V483*U483)</f>
        <v/>
      </c>
      <c r="X483" s="7">
        <f>IF($AB483="","",W483+T483)</f>
        <v/>
      </c>
      <c r="Y483" s="7">
        <f>IF($AB483="","",Z483-X483)</f>
        <v/>
      </c>
      <c r="Z483" s="7">
        <f>IF($AB483="","",S483+V483+Q483)</f>
        <v/>
      </c>
      <c r="AA483" s="7">
        <f>IF($AB483="","",Z483-X483-M483)</f>
        <v/>
      </c>
      <c r="AB483" s="13">
        <f>IF(ROWS($AB$2:$AB483)&lt;=MAX('Per Line'!$AK$2:$AK$4001),MATCH(ROWS($AB$2:$AB483),'Per Line'!$AK$2:$AK$4001,0),"")</f>
        <v/>
      </c>
      <c r="AC483" s="14">
        <f>IF($AB483="","",M483-L483*Z483/100)</f>
        <v/>
      </c>
    </row>
    <row r="484">
      <c r="A484" s="12" t="n"/>
      <c r="B484">
        <f>IF($AB484="","",INDEX('Per Line'!$C$2:$C$4001,$AB484)&amp;"")</f>
        <v/>
      </c>
      <c r="C484">
        <f>IF($AB484="","",INDEX('Per Line'!$D$2:$D$4001,$AB484)&amp;"")</f>
        <v/>
      </c>
      <c r="D484">
        <f>IF($AB484="","",INDEX('Per Line'!$B$2:$B$4001,$AB484)&amp;"")</f>
        <v/>
      </c>
      <c r="E484">
        <f>IF($AB484="","",INDEX('Per Line'!$A$2:$A$4001,$AB484))</f>
        <v/>
      </c>
      <c r="F484" s="11">
        <f>IF($AB484="","",INDEX('Per Line'!$E$2:$E$4001,$AB484))</f>
        <v/>
      </c>
      <c r="G484">
        <f>IF($AB484="","",INDEX('Per Line'!$F$2:$F$4001,$AB484)&amp;"")</f>
        <v/>
      </c>
      <c r="H484">
        <f>IF($AB484="","",INDEX('Per Line'!$H$2:$H$4001,$AB484)&amp;"")</f>
        <v/>
      </c>
      <c r="I484">
        <f>IF($AB484="","",INDEX('Per Line'!$I$2:$I$4001,$AB484)&amp;"")</f>
        <v/>
      </c>
      <c r="J484">
        <f>IF($AB484="","",INDEX('Per Line'!$J$2:$J$4001,$AB484)&amp;"")</f>
        <v/>
      </c>
      <c r="K484">
        <f>IF($AB484="","",INDEX('Per Line'!$K$2:$K$4001,$AB484)&amp;"")</f>
        <v/>
      </c>
      <c r="L484">
        <f>IF($AB484="","",INDEX('Per Line'!$L$2:$L$4001,$AB484))</f>
        <v/>
      </c>
      <c r="M484" s="7">
        <f>IF($AB484="","",IF(AND(ISNUMBER(O484),O484&gt;0,Z484&gt;O484),L484*O484/100+(Z484-O484),L484*Z484/100))</f>
        <v/>
      </c>
      <c r="N484">
        <f>IF($AB484="","",INDEX('Per Line'!$V$2:$V$4001,$AB484)&amp;"")</f>
        <v/>
      </c>
      <c r="O484">
        <f>IF($AB484="","",INDEX('Per Line'!$Z$2:$Z$4001,$AB484))</f>
        <v/>
      </c>
      <c r="P484">
        <f>IF($AB484="","",IF(AND(ISNUMBER(O484),O484&gt;0),Z484&gt;O484,FALSE))</f>
        <v/>
      </c>
      <c r="Q484" s="7">
        <f>IF($AB484="","",SUMIFS('Per Line'!$U$2:$U$4001,'Per Line'!$C$2:$C$4001,$B484,'Per Line'!$AM$2:$AM$4001,1))</f>
        <v/>
      </c>
      <c r="R484">
        <f>IF($AB484="","",Settings!$C$7)</f>
        <v/>
      </c>
      <c r="S484" s="7">
        <f>IF($AB484="","",SUMIFS('Per Line'!$U$2:$U$4001,'Per Line'!$C$2:$C$4001,$B484,'Per Line'!$AL$2:$AL$4001,0,'Per Line'!$AM$2:$AM$4001,0))</f>
        <v/>
      </c>
      <c r="T484" s="7">
        <f>IF($AB484="","",S484*R484)</f>
        <v/>
      </c>
      <c r="U484">
        <f>IF($AB484="","",Settings!$C$6)</f>
        <v/>
      </c>
      <c r="V484" s="7">
        <f>IF($AB484="","",SUMIFS('Per Line'!$U$2:$U$4001,'Per Line'!$C$2:$C$4001,$B484,'Per Line'!$AL$2:$AL$4001,1,'Per Line'!$AM$2:$AM$4001,0))</f>
        <v/>
      </c>
      <c r="W484" s="7">
        <f>IF($AB484="","",V484*U484)</f>
        <v/>
      </c>
      <c r="X484" s="7">
        <f>IF($AB484="","",W484+T484)</f>
        <v/>
      </c>
      <c r="Y484" s="7">
        <f>IF($AB484="","",Z484-X484)</f>
        <v/>
      </c>
      <c r="Z484" s="7">
        <f>IF($AB484="","",S484+V484+Q484)</f>
        <v/>
      </c>
      <c r="AA484" s="7">
        <f>IF($AB484="","",Z484-X484-M484)</f>
        <v/>
      </c>
      <c r="AB484" s="13">
        <f>IF(ROWS($AB$2:$AB484)&lt;=MAX('Per Line'!$AK$2:$AK$4001),MATCH(ROWS($AB$2:$AB484),'Per Line'!$AK$2:$AK$4001,0),"")</f>
        <v/>
      </c>
      <c r="AC484" s="14">
        <f>IF($AB484="","",M484-L484*Z484/100)</f>
        <v/>
      </c>
    </row>
    <row r="485">
      <c r="A485" s="12" t="n"/>
      <c r="B485">
        <f>IF($AB485="","",INDEX('Per Line'!$C$2:$C$4001,$AB485)&amp;"")</f>
        <v/>
      </c>
      <c r="C485">
        <f>IF($AB485="","",INDEX('Per Line'!$D$2:$D$4001,$AB485)&amp;"")</f>
        <v/>
      </c>
      <c r="D485">
        <f>IF($AB485="","",INDEX('Per Line'!$B$2:$B$4001,$AB485)&amp;"")</f>
        <v/>
      </c>
      <c r="E485">
        <f>IF($AB485="","",INDEX('Per Line'!$A$2:$A$4001,$AB485))</f>
        <v/>
      </c>
      <c r="F485" s="11">
        <f>IF($AB485="","",INDEX('Per Line'!$E$2:$E$4001,$AB485))</f>
        <v/>
      </c>
      <c r="G485">
        <f>IF($AB485="","",INDEX('Per Line'!$F$2:$F$4001,$AB485)&amp;"")</f>
        <v/>
      </c>
      <c r="H485">
        <f>IF($AB485="","",INDEX('Per Line'!$H$2:$H$4001,$AB485)&amp;"")</f>
        <v/>
      </c>
      <c r="I485">
        <f>IF($AB485="","",INDEX('Per Line'!$I$2:$I$4001,$AB485)&amp;"")</f>
        <v/>
      </c>
      <c r="J485">
        <f>IF($AB485="","",INDEX('Per Line'!$J$2:$J$4001,$AB485)&amp;"")</f>
        <v/>
      </c>
      <c r="K485">
        <f>IF($AB485="","",INDEX('Per Line'!$K$2:$K$4001,$AB485)&amp;"")</f>
        <v/>
      </c>
      <c r="L485">
        <f>IF($AB485="","",INDEX('Per Line'!$L$2:$L$4001,$AB485))</f>
        <v/>
      </c>
      <c r="M485" s="7">
        <f>IF($AB485="","",IF(AND(ISNUMBER(O485),O485&gt;0,Z485&gt;O485),L485*O485/100+(Z485-O485),L485*Z485/100))</f>
        <v/>
      </c>
      <c r="N485">
        <f>IF($AB485="","",INDEX('Per Line'!$V$2:$V$4001,$AB485)&amp;"")</f>
        <v/>
      </c>
      <c r="O485">
        <f>IF($AB485="","",INDEX('Per Line'!$Z$2:$Z$4001,$AB485))</f>
        <v/>
      </c>
      <c r="P485">
        <f>IF($AB485="","",IF(AND(ISNUMBER(O485),O485&gt;0),Z485&gt;O485,FALSE))</f>
        <v/>
      </c>
      <c r="Q485" s="7">
        <f>IF($AB485="","",SUMIFS('Per Line'!$U$2:$U$4001,'Per Line'!$C$2:$C$4001,$B485,'Per Line'!$AM$2:$AM$4001,1))</f>
        <v/>
      </c>
      <c r="R485">
        <f>IF($AB485="","",Settings!$C$7)</f>
        <v/>
      </c>
      <c r="S485" s="7">
        <f>IF($AB485="","",SUMIFS('Per Line'!$U$2:$U$4001,'Per Line'!$C$2:$C$4001,$B485,'Per Line'!$AL$2:$AL$4001,0,'Per Line'!$AM$2:$AM$4001,0))</f>
        <v/>
      </c>
      <c r="T485" s="7">
        <f>IF($AB485="","",S485*R485)</f>
        <v/>
      </c>
      <c r="U485">
        <f>IF($AB485="","",Settings!$C$6)</f>
        <v/>
      </c>
      <c r="V485" s="7">
        <f>IF($AB485="","",SUMIFS('Per Line'!$U$2:$U$4001,'Per Line'!$C$2:$C$4001,$B485,'Per Line'!$AL$2:$AL$4001,1,'Per Line'!$AM$2:$AM$4001,0))</f>
        <v/>
      </c>
      <c r="W485" s="7">
        <f>IF($AB485="","",V485*U485)</f>
        <v/>
      </c>
      <c r="X485" s="7">
        <f>IF($AB485="","",W485+T485)</f>
        <v/>
      </c>
      <c r="Y485" s="7">
        <f>IF($AB485="","",Z485-X485)</f>
        <v/>
      </c>
      <c r="Z485" s="7">
        <f>IF($AB485="","",S485+V485+Q485)</f>
        <v/>
      </c>
      <c r="AA485" s="7">
        <f>IF($AB485="","",Z485-X485-M485)</f>
        <v/>
      </c>
      <c r="AB485" s="13">
        <f>IF(ROWS($AB$2:$AB485)&lt;=MAX('Per Line'!$AK$2:$AK$4001),MATCH(ROWS($AB$2:$AB485),'Per Line'!$AK$2:$AK$4001,0),"")</f>
        <v/>
      </c>
      <c r="AC485" s="14">
        <f>IF($AB485="","",M485-L485*Z485/100)</f>
        <v/>
      </c>
    </row>
    <row r="486">
      <c r="A486" s="12" t="n"/>
      <c r="B486">
        <f>IF($AB486="","",INDEX('Per Line'!$C$2:$C$4001,$AB486)&amp;"")</f>
        <v/>
      </c>
      <c r="C486">
        <f>IF($AB486="","",INDEX('Per Line'!$D$2:$D$4001,$AB486)&amp;"")</f>
        <v/>
      </c>
      <c r="D486">
        <f>IF($AB486="","",INDEX('Per Line'!$B$2:$B$4001,$AB486)&amp;"")</f>
        <v/>
      </c>
      <c r="E486">
        <f>IF($AB486="","",INDEX('Per Line'!$A$2:$A$4001,$AB486))</f>
        <v/>
      </c>
      <c r="F486" s="11">
        <f>IF($AB486="","",INDEX('Per Line'!$E$2:$E$4001,$AB486))</f>
        <v/>
      </c>
      <c r="G486">
        <f>IF($AB486="","",INDEX('Per Line'!$F$2:$F$4001,$AB486)&amp;"")</f>
        <v/>
      </c>
      <c r="H486">
        <f>IF($AB486="","",INDEX('Per Line'!$H$2:$H$4001,$AB486)&amp;"")</f>
        <v/>
      </c>
      <c r="I486">
        <f>IF($AB486="","",INDEX('Per Line'!$I$2:$I$4001,$AB486)&amp;"")</f>
        <v/>
      </c>
      <c r="J486">
        <f>IF($AB486="","",INDEX('Per Line'!$J$2:$J$4001,$AB486)&amp;"")</f>
        <v/>
      </c>
      <c r="K486">
        <f>IF($AB486="","",INDEX('Per Line'!$K$2:$K$4001,$AB486)&amp;"")</f>
        <v/>
      </c>
      <c r="L486">
        <f>IF($AB486="","",INDEX('Per Line'!$L$2:$L$4001,$AB486))</f>
        <v/>
      </c>
      <c r="M486" s="7">
        <f>IF($AB486="","",IF(AND(ISNUMBER(O486),O486&gt;0,Z486&gt;O486),L486*O486/100+(Z486-O486),L486*Z486/100))</f>
        <v/>
      </c>
      <c r="N486">
        <f>IF($AB486="","",INDEX('Per Line'!$V$2:$V$4001,$AB486)&amp;"")</f>
        <v/>
      </c>
      <c r="O486">
        <f>IF($AB486="","",INDEX('Per Line'!$Z$2:$Z$4001,$AB486))</f>
        <v/>
      </c>
      <c r="P486">
        <f>IF($AB486="","",IF(AND(ISNUMBER(O486),O486&gt;0),Z486&gt;O486,FALSE))</f>
        <v/>
      </c>
      <c r="Q486" s="7">
        <f>IF($AB486="","",SUMIFS('Per Line'!$U$2:$U$4001,'Per Line'!$C$2:$C$4001,$B486,'Per Line'!$AM$2:$AM$4001,1))</f>
        <v/>
      </c>
      <c r="R486">
        <f>IF($AB486="","",Settings!$C$7)</f>
        <v/>
      </c>
      <c r="S486" s="7">
        <f>IF($AB486="","",SUMIFS('Per Line'!$U$2:$U$4001,'Per Line'!$C$2:$C$4001,$B486,'Per Line'!$AL$2:$AL$4001,0,'Per Line'!$AM$2:$AM$4001,0))</f>
        <v/>
      </c>
      <c r="T486" s="7">
        <f>IF($AB486="","",S486*R486)</f>
        <v/>
      </c>
      <c r="U486">
        <f>IF($AB486="","",Settings!$C$6)</f>
        <v/>
      </c>
      <c r="V486" s="7">
        <f>IF($AB486="","",SUMIFS('Per Line'!$U$2:$U$4001,'Per Line'!$C$2:$C$4001,$B486,'Per Line'!$AL$2:$AL$4001,1,'Per Line'!$AM$2:$AM$4001,0))</f>
        <v/>
      </c>
      <c r="W486" s="7">
        <f>IF($AB486="","",V486*U486)</f>
        <v/>
      </c>
      <c r="X486" s="7">
        <f>IF($AB486="","",W486+T486)</f>
        <v/>
      </c>
      <c r="Y486" s="7">
        <f>IF($AB486="","",Z486-X486)</f>
        <v/>
      </c>
      <c r="Z486" s="7">
        <f>IF($AB486="","",S486+V486+Q486)</f>
        <v/>
      </c>
      <c r="AA486" s="7">
        <f>IF($AB486="","",Z486-X486-M486)</f>
        <v/>
      </c>
      <c r="AB486" s="13">
        <f>IF(ROWS($AB$2:$AB486)&lt;=MAX('Per Line'!$AK$2:$AK$4001),MATCH(ROWS($AB$2:$AB486),'Per Line'!$AK$2:$AK$4001,0),"")</f>
        <v/>
      </c>
      <c r="AC486" s="14">
        <f>IF($AB486="","",M486-L486*Z486/100)</f>
        <v/>
      </c>
    </row>
    <row r="487">
      <c r="A487" s="12" t="n"/>
      <c r="B487">
        <f>IF($AB487="","",INDEX('Per Line'!$C$2:$C$4001,$AB487)&amp;"")</f>
        <v/>
      </c>
      <c r="C487">
        <f>IF($AB487="","",INDEX('Per Line'!$D$2:$D$4001,$AB487)&amp;"")</f>
        <v/>
      </c>
      <c r="D487">
        <f>IF($AB487="","",INDEX('Per Line'!$B$2:$B$4001,$AB487)&amp;"")</f>
        <v/>
      </c>
      <c r="E487">
        <f>IF($AB487="","",INDEX('Per Line'!$A$2:$A$4001,$AB487))</f>
        <v/>
      </c>
      <c r="F487" s="11">
        <f>IF($AB487="","",INDEX('Per Line'!$E$2:$E$4001,$AB487))</f>
        <v/>
      </c>
      <c r="G487">
        <f>IF($AB487="","",INDEX('Per Line'!$F$2:$F$4001,$AB487)&amp;"")</f>
        <v/>
      </c>
      <c r="H487">
        <f>IF($AB487="","",INDEX('Per Line'!$H$2:$H$4001,$AB487)&amp;"")</f>
        <v/>
      </c>
      <c r="I487">
        <f>IF($AB487="","",INDEX('Per Line'!$I$2:$I$4001,$AB487)&amp;"")</f>
        <v/>
      </c>
      <c r="J487">
        <f>IF($AB487="","",INDEX('Per Line'!$J$2:$J$4001,$AB487)&amp;"")</f>
        <v/>
      </c>
      <c r="K487">
        <f>IF($AB487="","",INDEX('Per Line'!$K$2:$K$4001,$AB487)&amp;"")</f>
        <v/>
      </c>
      <c r="L487">
        <f>IF($AB487="","",INDEX('Per Line'!$L$2:$L$4001,$AB487))</f>
        <v/>
      </c>
      <c r="M487" s="7">
        <f>IF($AB487="","",IF(AND(ISNUMBER(O487),O487&gt;0,Z487&gt;O487),L487*O487/100+(Z487-O487),L487*Z487/100))</f>
        <v/>
      </c>
      <c r="N487">
        <f>IF($AB487="","",INDEX('Per Line'!$V$2:$V$4001,$AB487)&amp;"")</f>
        <v/>
      </c>
      <c r="O487">
        <f>IF($AB487="","",INDEX('Per Line'!$Z$2:$Z$4001,$AB487))</f>
        <v/>
      </c>
      <c r="P487">
        <f>IF($AB487="","",IF(AND(ISNUMBER(O487),O487&gt;0),Z487&gt;O487,FALSE))</f>
        <v/>
      </c>
      <c r="Q487" s="7">
        <f>IF($AB487="","",SUMIFS('Per Line'!$U$2:$U$4001,'Per Line'!$C$2:$C$4001,$B487,'Per Line'!$AM$2:$AM$4001,1))</f>
        <v/>
      </c>
      <c r="R487">
        <f>IF($AB487="","",Settings!$C$7)</f>
        <v/>
      </c>
      <c r="S487" s="7">
        <f>IF($AB487="","",SUMIFS('Per Line'!$U$2:$U$4001,'Per Line'!$C$2:$C$4001,$B487,'Per Line'!$AL$2:$AL$4001,0,'Per Line'!$AM$2:$AM$4001,0))</f>
        <v/>
      </c>
      <c r="T487" s="7">
        <f>IF($AB487="","",S487*R487)</f>
        <v/>
      </c>
      <c r="U487">
        <f>IF($AB487="","",Settings!$C$6)</f>
        <v/>
      </c>
      <c r="V487" s="7">
        <f>IF($AB487="","",SUMIFS('Per Line'!$U$2:$U$4001,'Per Line'!$C$2:$C$4001,$B487,'Per Line'!$AL$2:$AL$4001,1,'Per Line'!$AM$2:$AM$4001,0))</f>
        <v/>
      </c>
      <c r="W487" s="7">
        <f>IF($AB487="","",V487*U487)</f>
        <v/>
      </c>
      <c r="X487" s="7">
        <f>IF($AB487="","",W487+T487)</f>
        <v/>
      </c>
      <c r="Y487" s="7">
        <f>IF($AB487="","",Z487-X487)</f>
        <v/>
      </c>
      <c r="Z487" s="7">
        <f>IF($AB487="","",S487+V487+Q487)</f>
        <v/>
      </c>
      <c r="AA487" s="7">
        <f>IF($AB487="","",Z487-X487-M487)</f>
        <v/>
      </c>
      <c r="AB487" s="13">
        <f>IF(ROWS($AB$2:$AB487)&lt;=MAX('Per Line'!$AK$2:$AK$4001),MATCH(ROWS($AB$2:$AB487),'Per Line'!$AK$2:$AK$4001,0),"")</f>
        <v/>
      </c>
      <c r="AC487" s="14">
        <f>IF($AB487="","",M487-L487*Z487/100)</f>
        <v/>
      </c>
    </row>
    <row r="488">
      <c r="A488" s="12" t="n"/>
      <c r="B488">
        <f>IF($AB488="","",INDEX('Per Line'!$C$2:$C$4001,$AB488)&amp;"")</f>
        <v/>
      </c>
      <c r="C488">
        <f>IF($AB488="","",INDEX('Per Line'!$D$2:$D$4001,$AB488)&amp;"")</f>
        <v/>
      </c>
      <c r="D488">
        <f>IF($AB488="","",INDEX('Per Line'!$B$2:$B$4001,$AB488)&amp;"")</f>
        <v/>
      </c>
      <c r="E488">
        <f>IF($AB488="","",INDEX('Per Line'!$A$2:$A$4001,$AB488))</f>
        <v/>
      </c>
      <c r="F488" s="11">
        <f>IF($AB488="","",INDEX('Per Line'!$E$2:$E$4001,$AB488))</f>
        <v/>
      </c>
      <c r="G488">
        <f>IF($AB488="","",INDEX('Per Line'!$F$2:$F$4001,$AB488)&amp;"")</f>
        <v/>
      </c>
      <c r="H488">
        <f>IF($AB488="","",INDEX('Per Line'!$H$2:$H$4001,$AB488)&amp;"")</f>
        <v/>
      </c>
      <c r="I488">
        <f>IF($AB488="","",INDEX('Per Line'!$I$2:$I$4001,$AB488)&amp;"")</f>
        <v/>
      </c>
      <c r="J488">
        <f>IF($AB488="","",INDEX('Per Line'!$J$2:$J$4001,$AB488)&amp;"")</f>
        <v/>
      </c>
      <c r="K488">
        <f>IF($AB488="","",INDEX('Per Line'!$K$2:$K$4001,$AB488)&amp;"")</f>
        <v/>
      </c>
      <c r="L488">
        <f>IF($AB488="","",INDEX('Per Line'!$L$2:$L$4001,$AB488))</f>
        <v/>
      </c>
      <c r="M488" s="7">
        <f>IF($AB488="","",IF(AND(ISNUMBER(O488),O488&gt;0,Z488&gt;O488),L488*O488/100+(Z488-O488),L488*Z488/100))</f>
        <v/>
      </c>
      <c r="N488">
        <f>IF($AB488="","",INDEX('Per Line'!$V$2:$V$4001,$AB488)&amp;"")</f>
        <v/>
      </c>
      <c r="O488">
        <f>IF($AB488="","",INDEX('Per Line'!$Z$2:$Z$4001,$AB488))</f>
        <v/>
      </c>
      <c r="P488">
        <f>IF($AB488="","",IF(AND(ISNUMBER(O488),O488&gt;0),Z488&gt;O488,FALSE))</f>
        <v/>
      </c>
      <c r="Q488" s="7">
        <f>IF($AB488="","",SUMIFS('Per Line'!$U$2:$U$4001,'Per Line'!$C$2:$C$4001,$B488,'Per Line'!$AM$2:$AM$4001,1))</f>
        <v/>
      </c>
      <c r="R488">
        <f>IF($AB488="","",Settings!$C$7)</f>
        <v/>
      </c>
      <c r="S488" s="7">
        <f>IF($AB488="","",SUMIFS('Per Line'!$U$2:$U$4001,'Per Line'!$C$2:$C$4001,$B488,'Per Line'!$AL$2:$AL$4001,0,'Per Line'!$AM$2:$AM$4001,0))</f>
        <v/>
      </c>
      <c r="T488" s="7">
        <f>IF($AB488="","",S488*R488)</f>
        <v/>
      </c>
      <c r="U488">
        <f>IF($AB488="","",Settings!$C$6)</f>
        <v/>
      </c>
      <c r="V488" s="7">
        <f>IF($AB488="","",SUMIFS('Per Line'!$U$2:$U$4001,'Per Line'!$C$2:$C$4001,$B488,'Per Line'!$AL$2:$AL$4001,1,'Per Line'!$AM$2:$AM$4001,0))</f>
        <v/>
      </c>
      <c r="W488" s="7">
        <f>IF($AB488="","",V488*U488)</f>
        <v/>
      </c>
      <c r="X488" s="7">
        <f>IF($AB488="","",W488+T488)</f>
        <v/>
      </c>
      <c r="Y488" s="7">
        <f>IF($AB488="","",Z488-X488)</f>
        <v/>
      </c>
      <c r="Z488" s="7">
        <f>IF($AB488="","",S488+V488+Q488)</f>
        <v/>
      </c>
      <c r="AA488" s="7">
        <f>IF($AB488="","",Z488-X488-M488)</f>
        <v/>
      </c>
      <c r="AB488" s="13">
        <f>IF(ROWS($AB$2:$AB488)&lt;=MAX('Per Line'!$AK$2:$AK$4001),MATCH(ROWS($AB$2:$AB488),'Per Line'!$AK$2:$AK$4001,0),"")</f>
        <v/>
      </c>
      <c r="AC488" s="14">
        <f>IF($AB488="","",M488-L488*Z488/100)</f>
        <v/>
      </c>
    </row>
    <row r="489">
      <c r="A489" s="12" t="n"/>
      <c r="B489">
        <f>IF($AB489="","",INDEX('Per Line'!$C$2:$C$4001,$AB489)&amp;"")</f>
        <v/>
      </c>
      <c r="C489">
        <f>IF($AB489="","",INDEX('Per Line'!$D$2:$D$4001,$AB489)&amp;"")</f>
        <v/>
      </c>
      <c r="D489">
        <f>IF($AB489="","",INDEX('Per Line'!$B$2:$B$4001,$AB489)&amp;"")</f>
        <v/>
      </c>
      <c r="E489">
        <f>IF($AB489="","",INDEX('Per Line'!$A$2:$A$4001,$AB489))</f>
        <v/>
      </c>
      <c r="F489" s="11">
        <f>IF($AB489="","",INDEX('Per Line'!$E$2:$E$4001,$AB489))</f>
        <v/>
      </c>
      <c r="G489">
        <f>IF($AB489="","",INDEX('Per Line'!$F$2:$F$4001,$AB489)&amp;"")</f>
        <v/>
      </c>
      <c r="H489">
        <f>IF($AB489="","",INDEX('Per Line'!$H$2:$H$4001,$AB489)&amp;"")</f>
        <v/>
      </c>
      <c r="I489">
        <f>IF($AB489="","",INDEX('Per Line'!$I$2:$I$4001,$AB489)&amp;"")</f>
        <v/>
      </c>
      <c r="J489">
        <f>IF($AB489="","",INDEX('Per Line'!$J$2:$J$4001,$AB489)&amp;"")</f>
        <v/>
      </c>
      <c r="K489">
        <f>IF($AB489="","",INDEX('Per Line'!$K$2:$K$4001,$AB489)&amp;"")</f>
        <v/>
      </c>
      <c r="L489">
        <f>IF($AB489="","",INDEX('Per Line'!$L$2:$L$4001,$AB489))</f>
        <v/>
      </c>
      <c r="M489" s="7">
        <f>IF($AB489="","",IF(AND(ISNUMBER(O489),O489&gt;0,Z489&gt;O489),L489*O489/100+(Z489-O489),L489*Z489/100))</f>
        <v/>
      </c>
      <c r="N489">
        <f>IF($AB489="","",INDEX('Per Line'!$V$2:$V$4001,$AB489)&amp;"")</f>
        <v/>
      </c>
      <c r="O489">
        <f>IF($AB489="","",INDEX('Per Line'!$Z$2:$Z$4001,$AB489))</f>
        <v/>
      </c>
      <c r="P489">
        <f>IF($AB489="","",IF(AND(ISNUMBER(O489),O489&gt;0),Z489&gt;O489,FALSE))</f>
        <v/>
      </c>
      <c r="Q489" s="7">
        <f>IF($AB489="","",SUMIFS('Per Line'!$U$2:$U$4001,'Per Line'!$C$2:$C$4001,$B489,'Per Line'!$AM$2:$AM$4001,1))</f>
        <v/>
      </c>
      <c r="R489">
        <f>IF($AB489="","",Settings!$C$7)</f>
        <v/>
      </c>
      <c r="S489" s="7">
        <f>IF($AB489="","",SUMIFS('Per Line'!$U$2:$U$4001,'Per Line'!$C$2:$C$4001,$B489,'Per Line'!$AL$2:$AL$4001,0,'Per Line'!$AM$2:$AM$4001,0))</f>
        <v/>
      </c>
      <c r="T489" s="7">
        <f>IF($AB489="","",S489*R489)</f>
        <v/>
      </c>
      <c r="U489">
        <f>IF($AB489="","",Settings!$C$6)</f>
        <v/>
      </c>
      <c r="V489" s="7">
        <f>IF($AB489="","",SUMIFS('Per Line'!$U$2:$U$4001,'Per Line'!$C$2:$C$4001,$B489,'Per Line'!$AL$2:$AL$4001,1,'Per Line'!$AM$2:$AM$4001,0))</f>
        <v/>
      </c>
      <c r="W489" s="7">
        <f>IF($AB489="","",V489*U489)</f>
        <v/>
      </c>
      <c r="X489" s="7">
        <f>IF($AB489="","",W489+T489)</f>
        <v/>
      </c>
      <c r="Y489" s="7">
        <f>IF($AB489="","",Z489-X489)</f>
        <v/>
      </c>
      <c r="Z489" s="7">
        <f>IF($AB489="","",S489+V489+Q489)</f>
        <v/>
      </c>
      <c r="AA489" s="7">
        <f>IF($AB489="","",Z489-X489-M489)</f>
        <v/>
      </c>
      <c r="AB489" s="13">
        <f>IF(ROWS($AB$2:$AB489)&lt;=MAX('Per Line'!$AK$2:$AK$4001),MATCH(ROWS($AB$2:$AB489),'Per Line'!$AK$2:$AK$4001,0),"")</f>
        <v/>
      </c>
      <c r="AC489" s="14">
        <f>IF($AB489="","",M489-L489*Z489/100)</f>
        <v/>
      </c>
    </row>
    <row r="490">
      <c r="A490" s="12" t="n"/>
      <c r="B490">
        <f>IF($AB490="","",INDEX('Per Line'!$C$2:$C$4001,$AB490)&amp;"")</f>
        <v/>
      </c>
      <c r="C490">
        <f>IF($AB490="","",INDEX('Per Line'!$D$2:$D$4001,$AB490)&amp;"")</f>
        <v/>
      </c>
      <c r="D490">
        <f>IF($AB490="","",INDEX('Per Line'!$B$2:$B$4001,$AB490)&amp;"")</f>
        <v/>
      </c>
      <c r="E490">
        <f>IF($AB490="","",INDEX('Per Line'!$A$2:$A$4001,$AB490))</f>
        <v/>
      </c>
      <c r="F490" s="11">
        <f>IF($AB490="","",INDEX('Per Line'!$E$2:$E$4001,$AB490))</f>
        <v/>
      </c>
      <c r="G490">
        <f>IF($AB490="","",INDEX('Per Line'!$F$2:$F$4001,$AB490)&amp;"")</f>
        <v/>
      </c>
      <c r="H490">
        <f>IF($AB490="","",INDEX('Per Line'!$H$2:$H$4001,$AB490)&amp;"")</f>
        <v/>
      </c>
      <c r="I490">
        <f>IF($AB490="","",INDEX('Per Line'!$I$2:$I$4001,$AB490)&amp;"")</f>
        <v/>
      </c>
      <c r="J490">
        <f>IF($AB490="","",INDEX('Per Line'!$J$2:$J$4001,$AB490)&amp;"")</f>
        <v/>
      </c>
      <c r="K490">
        <f>IF($AB490="","",INDEX('Per Line'!$K$2:$K$4001,$AB490)&amp;"")</f>
        <v/>
      </c>
      <c r="L490">
        <f>IF($AB490="","",INDEX('Per Line'!$L$2:$L$4001,$AB490))</f>
        <v/>
      </c>
      <c r="M490" s="7">
        <f>IF($AB490="","",IF(AND(ISNUMBER(O490),O490&gt;0,Z490&gt;O490),L490*O490/100+(Z490-O490),L490*Z490/100))</f>
        <v/>
      </c>
      <c r="N490">
        <f>IF($AB490="","",INDEX('Per Line'!$V$2:$V$4001,$AB490)&amp;"")</f>
        <v/>
      </c>
      <c r="O490">
        <f>IF($AB490="","",INDEX('Per Line'!$Z$2:$Z$4001,$AB490))</f>
        <v/>
      </c>
      <c r="P490">
        <f>IF($AB490="","",IF(AND(ISNUMBER(O490),O490&gt;0),Z490&gt;O490,FALSE))</f>
        <v/>
      </c>
      <c r="Q490" s="7">
        <f>IF($AB490="","",SUMIFS('Per Line'!$U$2:$U$4001,'Per Line'!$C$2:$C$4001,$B490,'Per Line'!$AM$2:$AM$4001,1))</f>
        <v/>
      </c>
      <c r="R490">
        <f>IF($AB490="","",Settings!$C$7)</f>
        <v/>
      </c>
      <c r="S490" s="7">
        <f>IF($AB490="","",SUMIFS('Per Line'!$U$2:$U$4001,'Per Line'!$C$2:$C$4001,$B490,'Per Line'!$AL$2:$AL$4001,0,'Per Line'!$AM$2:$AM$4001,0))</f>
        <v/>
      </c>
      <c r="T490" s="7">
        <f>IF($AB490="","",S490*R490)</f>
        <v/>
      </c>
      <c r="U490">
        <f>IF($AB490="","",Settings!$C$6)</f>
        <v/>
      </c>
      <c r="V490" s="7">
        <f>IF($AB490="","",SUMIFS('Per Line'!$U$2:$U$4001,'Per Line'!$C$2:$C$4001,$B490,'Per Line'!$AL$2:$AL$4001,1,'Per Line'!$AM$2:$AM$4001,0))</f>
        <v/>
      </c>
      <c r="W490" s="7">
        <f>IF($AB490="","",V490*U490)</f>
        <v/>
      </c>
      <c r="X490" s="7">
        <f>IF($AB490="","",W490+T490)</f>
        <v/>
      </c>
      <c r="Y490" s="7">
        <f>IF($AB490="","",Z490-X490)</f>
        <v/>
      </c>
      <c r="Z490" s="7">
        <f>IF($AB490="","",S490+V490+Q490)</f>
        <v/>
      </c>
      <c r="AA490" s="7">
        <f>IF($AB490="","",Z490-X490-M490)</f>
        <v/>
      </c>
      <c r="AB490" s="13">
        <f>IF(ROWS($AB$2:$AB490)&lt;=MAX('Per Line'!$AK$2:$AK$4001),MATCH(ROWS($AB$2:$AB490),'Per Line'!$AK$2:$AK$4001,0),"")</f>
        <v/>
      </c>
      <c r="AC490" s="14">
        <f>IF($AB490="","",M490-L490*Z490/100)</f>
        <v/>
      </c>
    </row>
    <row r="491">
      <c r="A491" s="12" t="n"/>
      <c r="B491">
        <f>IF($AB491="","",INDEX('Per Line'!$C$2:$C$4001,$AB491)&amp;"")</f>
        <v/>
      </c>
      <c r="C491">
        <f>IF($AB491="","",INDEX('Per Line'!$D$2:$D$4001,$AB491)&amp;"")</f>
        <v/>
      </c>
      <c r="D491">
        <f>IF($AB491="","",INDEX('Per Line'!$B$2:$B$4001,$AB491)&amp;"")</f>
        <v/>
      </c>
      <c r="E491">
        <f>IF($AB491="","",INDEX('Per Line'!$A$2:$A$4001,$AB491))</f>
        <v/>
      </c>
      <c r="F491" s="11">
        <f>IF($AB491="","",INDEX('Per Line'!$E$2:$E$4001,$AB491))</f>
        <v/>
      </c>
      <c r="G491">
        <f>IF($AB491="","",INDEX('Per Line'!$F$2:$F$4001,$AB491)&amp;"")</f>
        <v/>
      </c>
      <c r="H491">
        <f>IF($AB491="","",INDEX('Per Line'!$H$2:$H$4001,$AB491)&amp;"")</f>
        <v/>
      </c>
      <c r="I491">
        <f>IF($AB491="","",INDEX('Per Line'!$I$2:$I$4001,$AB491)&amp;"")</f>
        <v/>
      </c>
      <c r="J491">
        <f>IF($AB491="","",INDEX('Per Line'!$J$2:$J$4001,$AB491)&amp;"")</f>
        <v/>
      </c>
      <c r="K491">
        <f>IF($AB491="","",INDEX('Per Line'!$K$2:$K$4001,$AB491)&amp;"")</f>
        <v/>
      </c>
      <c r="L491">
        <f>IF($AB491="","",INDEX('Per Line'!$L$2:$L$4001,$AB491))</f>
        <v/>
      </c>
      <c r="M491" s="7">
        <f>IF($AB491="","",IF(AND(ISNUMBER(O491),O491&gt;0,Z491&gt;O491),L491*O491/100+(Z491-O491),L491*Z491/100))</f>
        <v/>
      </c>
      <c r="N491">
        <f>IF($AB491="","",INDEX('Per Line'!$V$2:$V$4001,$AB491)&amp;"")</f>
        <v/>
      </c>
      <c r="O491">
        <f>IF($AB491="","",INDEX('Per Line'!$Z$2:$Z$4001,$AB491))</f>
        <v/>
      </c>
      <c r="P491">
        <f>IF($AB491="","",IF(AND(ISNUMBER(O491),O491&gt;0),Z491&gt;O491,FALSE))</f>
        <v/>
      </c>
      <c r="Q491" s="7">
        <f>IF($AB491="","",SUMIFS('Per Line'!$U$2:$U$4001,'Per Line'!$C$2:$C$4001,$B491,'Per Line'!$AM$2:$AM$4001,1))</f>
        <v/>
      </c>
      <c r="R491">
        <f>IF($AB491="","",Settings!$C$7)</f>
        <v/>
      </c>
      <c r="S491" s="7">
        <f>IF($AB491="","",SUMIFS('Per Line'!$U$2:$U$4001,'Per Line'!$C$2:$C$4001,$B491,'Per Line'!$AL$2:$AL$4001,0,'Per Line'!$AM$2:$AM$4001,0))</f>
        <v/>
      </c>
      <c r="T491" s="7">
        <f>IF($AB491="","",S491*R491)</f>
        <v/>
      </c>
      <c r="U491">
        <f>IF($AB491="","",Settings!$C$6)</f>
        <v/>
      </c>
      <c r="V491" s="7">
        <f>IF($AB491="","",SUMIFS('Per Line'!$U$2:$U$4001,'Per Line'!$C$2:$C$4001,$B491,'Per Line'!$AL$2:$AL$4001,1,'Per Line'!$AM$2:$AM$4001,0))</f>
        <v/>
      </c>
      <c r="W491" s="7">
        <f>IF($AB491="","",V491*U491)</f>
        <v/>
      </c>
      <c r="X491" s="7">
        <f>IF($AB491="","",W491+T491)</f>
        <v/>
      </c>
      <c r="Y491" s="7">
        <f>IF($AB491="","",Z491-X491)</f>
        <v/>
      </c>
      <c r="Z491" s="7">
        <f>IF($AB491="","",S491+V491+Q491)</f>
        <v/>
      </c>
      <c r="AA491" s="7">
        <f>IF($AB491="","",Z491-X491-M491)</f>
        <v/>
      </c>
      <c r="AB491" s="13">
        <f>IF(ROWS($AB$2:$AB491)&lt;=MAX('Per Line'!$AK$2:$AK$4001),MATCH(ROWS($AB$2:$AB491),'Per Line'!$AK$2:$AK$4001,0),"")</f>
        <v/>
      </c>
      <c r="AC491" s="14">
        <f>IF($AB491="","",M491-L491*Z491/100)</f>
        <v/>
      </c>
    </row>
    <row r="492">
      <c r="A492" s="12" t="n"/>
      <c r="B492">
        <f>IF($AB492="","",INDEX('Per Line'!$C$2:$C$4001,$AB492)&amp;"")</f>
        <v/>
      </c>
      <c r="C492">
        <f>IF($AB492="","",INDEX('Per Line'!$D$2:$D$4001,$AB492)&amp;"")</f>
        <v/>
      </c>
      <c r="D492">
        <f>IF($AB492="","",INDEX('Per Line'!$B$2:$B$4001,$AB492)&amp;"")</f>
        <v/>
      </c>
      <c r="E492">
        <f>IF($AB492="","",INDEX('Per Line'!$A$2:$A$4001,$AB492))</f>
        <v/>
      </c>
      <c r="F492" s="11">
        <f>IF($AB492="","",INDEX('Per Line'!$E$2:$E$4001,$AB492))</f>
        <v/>
      </c>
      <c r="G492">
        <f>IF($AB492="","",INDEX('Per Line'!$F$2:$F$4001,$AB492)&amp;"")</f>
        <v/>
      </c>
      <c r="H492">
        <f>IF($AB492="","",INDEX('Per Line'!$H$2:$H$4001,$AB492)&amp;"")</f>
        <v/>
      </c>
      <c r="I492">
        <f>IF($AB492="","",INDEX('Per Line'!$I$2:$I$4001,$AB492)&amp;"")</f>
        <v/>
      </c>
      <c r="J492">
        <f>IF($AB492="","",INDEX('Per Line'!$J$2:$J$4001,$AB492)&amp;"")</f>
        <v/>
      </c>
      <c r="K492">
        <f>IF($AB492="","",INDEX('Per Line'!$K$2:$K$4001,$AB492)&amp;"")</f>
        <v/>
      </c>
      <c r="L492">
        <f>IF($AB492="","",INDEX('Per Line'!$L$2:$L$4001,$AB492))</f>
        <v/>
      </c>
      <c r="M492" s="7">
        <f>IF($AB492="","",IF(AND(ISNUMBER(O492),O492&gt;0,Z492&gt;O492),L492*O492/100+(Z492-O492),L492*Z492/100))</f>
        <v/>
      </c>
      <c r="N492">
        <f>IF($AB492="","",INDEX('Per Line'!$V$2:$V$4001,$AB492)&amp;"")</f>
        <v/>
      </c>
      <c r="O492">
        <f>IF($AB492="","",INDEX('Per Line'!$Z$2:$Z$4001,$AB492))</f>
        <v/>
      </c>
      <c r="P492">
        <f>IF($AB492="","",IF(AND(ISNUMBER(O492),O492&gt;0),Z492&gt;O492,FALSE))</f>
        <v/>
      </c>
      <c r="Q492" s="7">
        <f>IF($AB492="","",SUMIFS('Per Line'!$U$2:$U$4001,'Per Line'!$C$2:$C$4001,$B492,'Per Line'!$AM$2:$AM$4001,1))</f>
        <v/>
      </c>
      <c r="R492">
        <f>IF($AB492="","",Settings!$C$7)</f>
        <v/>
      </c>
      <c r="S492" s="7">
        <f>IF($AB492="","",SUMIFS('Per Line'!$U$2:$U$4001,'Per Line'!$C$2:$C$4001,$B492,'Per Line'!$AL$2:$AL$4001,0,'Per Line'!$AM$2:$AM$4001,0))</f>
        <v/>
      </c>
      <c r="T492" s="7">
        <f>IF($AB492="","",S492*R492)</f>
        <v/>
      </c>
      <c r="U492">
        <f>IF($AB492="","",Settings!$C$6)</f>
        <v/>
      </c>
      <c r="V492" s="7">
        <f>IF($AB492="","",SUMIFS('Per Line'!$U$2:$U$4001,'Per Line'!$C$2:$C$4001,$B492,'Per Line'!$AL$2:$AL$4001,1,'Per Line'!$AM$2:$AM$4001,0))</f>
        <v/>
      </c>
      <c r="W492" s="7">
        <f>IF($AB492="","",V492*U492)</f>
        <v/>
      </c>
      <c r="X492" s="7">
        <f>IF($AB492="","",W492+T492)</f>
        <v/>
      </c>
      <c r="Y492" s="7">
        <f>IF($AB492="","",Z492-X492)</f>
        <v/>
      </c>
      <c r="Z492" s="7">
        <f>IF($AB492="","",S492+V492+Q492)</f>
        <v/>
      </c>
      <c r="AA492" s="7">
        <f>IF($AB492="","",Z492-X492-M492)</f>
        <v/>
      </c>
      <c r="AB492" s="13">
        <f>IF(ROWS($AB$2:$AB492)&lt;=MAX('Per Line'!$AK$2:$AK$4001),MATCH(ROWS($AB$2:$AB492),'Per Line'!$AK$2:$AK$4001,0),"")</f>
        <v/>
      </c>
      <c r="AC492" s="14">
        <f>IF($AB492="","",M492-L492*Z492/100)</f>
        <v/>
      </c>
    </row>
    <row r="493">
      <c r="A493" s="12" t="n"/>
      <c r="B493">
        <f>IF($AB493="","",INDEX('Per Line'!$C$2:$C$4001,$AB493)&amp;"")</f>
        <v/>
      </c>
      <c r="C493">
        <f>IF($AB493="","",INDEX('Per Line'!$D$2:$D$4001,$AB493)&amp;"")</f>
        <v/>
      </c>
      <c r="D493">
        <f>IF($AB493="","",INDEX('Per Line'!$B$2:$B$4001,$AB493)&amp;"")</f>
        <v/>
      </c>
      <c r="E493">
        <f>IF($AB493="","",INDEX('Per Line'!$A$2:$A$4001,$AB493))</f>
        <v/>
      </c>
      <c r="F493" s="11">
        <f>IF($AB493="","",INDEX('Per Line'!$E$2:$E$4001,$AB493))</f>
        <v/>
      </c>
      <c r="G493">
        <f>IF($AB493="","",INDEX('Per Line'!$F$2:$F$4001,$AB493)&amp;"")</f>
        <v/>
      </c>
      <c r="H493">
        <f>IF($AB493="","",INDEX('Per Line'!$H$2:$H$4001,$AB493)&amp;"")</f>
        <v/>
      </c>
      <c r="I493">
        <f>IF($AB493="","",INDEX('Per Line'!$I$2:$I$4001,$AB493)&amp;"")</f>
        <v/>
      </c>
      <c r="J493">
        <f>IF($AB493="","",INDEX('Per Line'!$J$2:$J$4001,$AB493)&amp;"")</f>
        <v/>
      </c>
      <c r="K493">
        <f>IF($AB493="","",INDEX('Per Line'!$K$2:$K$4001,$AB493)&amp;"")</f>
        <v/>
      </c>
      <c r="L493">
        <f>IF($AB493="","",INDEX('Per Line'!$L$2:$L$4001,$AB493))</f>
        <v/>
      </c>
      <c r="M493" s="7">
        <f>IF($AB493="","",IF(AND(ISNUMBER(O493),O493&gt;0,Z493&gt;O493),L493*O493/100+(Z493-O493),L493*Z493/100))</f>
        <v/>
      </c>
      <c r="N493">
        <f>IF($AB493="","",INDEX('Per Line'!$V$2:$V$4001,$AB493)&amp;"")</f>
        <v/>
      </c>
      <c r="O493">
        <f>IF($AB493="","",INDEX('Per Line'!$Z$2:$Z$4001,$AB493))</f>
        <v/>
      </c>
      <c r="P493">
        <f>IF($AB493="","",IF(AND(ISNUMBER(O493),O493&gt;0),Z493&gt;O493,FALSE))</f>
        <v/>
      </c>
      <c r="Q493" s="7">
        <f>IF($AB493="","",SUMIFS('Per Line'!$U$2:$U$4001,'Per Line'!$C$2:$C$4001,$B493,'Per Line'!$AM$2:$AM$4001,1))</f>
        <v/>
      </c>
      <c r="R493">
        <f>IF($AB493="","",Settings!$C$7)</f>
        <v/>
      </c>
      <c r="S493" s="7">
        <f>IF($AB493="","",SUMIFS('Per Line'!$U$2:$U$4001,'Per Line'!$C$2:$C$4001,$B493,'Per Line'!$AL$2:$AL$4001,0,'Per Line'!$AM$2:$AM$4001,0))</f>
        <v/>
      </c>
      <c r="T493" s="7">
        <f>IF($AB493="","",S493*R493)</f>
        <v/>
      </c>
      <c r="U493">
        <f>IF($AB493="","",Settings!$C$6)</f>
        <v/>
      </c>
      <c r="V493" s="7">
        <f>IF($AB493="","",SUMIFS('Per Line'!$U$2:$U$4001,'Per Line'!$C$2:$C$4001,$B493,'Per Line'!$AL$2:$AL$4001,1,'Per Line'!$AM$2:$AM$4001,0))</f>
        <v/>
      </c>
      <c r="W493" s="7">
        <f>IF($AB493="","",V493*U493)</f>
        <v/>
      </c>
      <c r="X493" s="7">
        <f>IF($AB493="","",W493+T493)</f>
        <v/>
      </c>
      <c r="Y493" s="7">
        <f>IF($AB493="","",Z493-X493)</f>
        <v/>
      </c>
      <c r="Z493" s="7">
        <f>IF($AB493="","",S493+V493+Q493)</f>
        <v/>
      </c>
      <c r="AA493" s="7">
        <f>IF($AB493="","",Z493-X493-M493)</f>
        <v/>
      </c>
      <c r="AB493" s="13">
        <f>IF(ROWS($AB$2:$AB493)&lt;=MAX('Per Line'!$AK$2:$AK$4001),MATCH(ROWS($AB$2:$AB493),'Per Line'!$AK$2:$AK$4001,0),"")</f>
        <v/>
      </c>
      <c r="AC493" s="14">
        <f>IF($AB493="","",M493-L493*Z493/100)</f>
        <v/>
      </c>
    </row>
    <row r="494">
      <c r="A494" s="12" t="n"/>
      <c r="B494">
        <f>IF($AB494="","",INDEX('Per Line'!$C$2:$C$4001,$AB494)&amp;"")</f>
        <v/>
      </c>
      <c r="C494">
        <f>IF($AB494="","",INDEX('Per Line'!$D$2:$D$4001,$AB494)&amp;"")</f>
        <v/>
      </c>
      <c r="D494">
        <f>IF($AB494="","",INDEX('Per Line'!$B$2:$B$4001,$AB494)&amp;"")</f>
        <v/>
      </c>
      <c r="E494">
        <f>IF($AB494="","",INDEX('Per Line'!$A$2:$A$4001,$AB494))</f>
        <v/>
      </c>
      <c r="F494" s="11">
        <f>IF($AB494="","",INDEX('Per Line'!$E$2:$E$4001,$AB494))</f>
        <v/>
      </c>
      <c r="G494">
        <f>IF($AB494="","",INDEX('Per Line'!$F$2:$F$4001,$AB494)&amp;"")</f>
        <v/>
      </c>
      <c r="H494">
        <f>IF($AB494="","",INDEX('Per Line'!$H$2:$H$4001,$AB494)&amp;"")</f>
        <v/>
      </c>
      <c r="I494">
        <f>IF($AB494="","",INDEX('Per Line'!$I$2:$I$4001,$AB494)&amp;"")</f>
        <v/>
      </c>
      <c r="J494">
        <f>IF($AB494="","",INDEX('Per Line'!$J$2:$J$4001,$AB494)&amp;"")</f>
        <v/>
      </c>
      <c r="K494">
        <f>IF($AB494="","",INDEX('Per Line'!$K$2:$K$4001,$AB494)&amp;"")</f>
        <v/>
      </c>
      <c r="L494">
        <f>IF($AB494="","",INDEX('Per Line'!$L$2:$L$4001,$AB494))</f>
        <v/>
      </c>
      <c r="M494" s="7">
        <f>IF($AB494="","",IF(AND(ISNUMBER(O494),O494&gt;0,Z494&gt;O494),L494*O494/100+(Z494-O494),L494*Z494/100))</f>
        <v/>
      </c>
      <c r="N494">
        <f>IF($AB494="","",INDEX('Per Line'!$V$2:$V$4001,$AB494)&amp;"")</f>
        <v/>
      </c>
      <c r="O494">
        <f>IF($AB494="","",INDEX('Per Line'!$Z$2:$Z$4001,$AB494))</f>
        <v/>
      </c>
      <c r="P494">
        <f>IF($AB494="","",IF(AND(ISNUMBER(O494),O494&gt;0),Z494&gt;O494,FALSE))</f>
        <v/>
      </c>
      <c r="Q494" s="7">
        <f>IF($AB494="","",SUMIFS('Per Line'!$U$2:$U$4001,'Per Line'!$C$2:$C$4001,$B494,'Per Line'!$AM$2:$AM$4001,1))</f>
        <v/>
      </c>
      <c r="R494">
        <f>IF($AB494="","",Settings!$C$7)</f>
        <v/>
      </c>
      <c r="S494" s="7">
        <f>IF($AB494="","",SUMIFS('Per Line'!$U$2:$U$4001,'Per Line'!$C$2:$C$4001,$B494,'Per Line'!$AL$2:$AL$4001,0,'Per Line'!$AM$2:$AM$4001,0))</f>
        <v/>
      </c>
      <c r="T494" s="7">
        <f>IF($AB494="","",S494*R494)</f>
        <v/>
      </c>
      <c r="U494">
        <f>IF($AB494="","",Settings!$C$6)</f>
        <v/>
      </c>
      <c r="V494" s="7">
        <f>IF($AB494="","",SUMIFS('Per Line'!$U$2:$U$4001,'Per Line'!$C$2:$C$4001,$B494,'Per Line'!$AL$2:$AL$4001,1,'Per Line'!$AM$2:$AM$4001,0))</f>
        <v/>
      </c>
      <c r="W494" s="7">
        <f>IF($AB494="","",V494*U494)</f>
        <v/>
      </c>
      <c r="X494" s="7">
        <f>IF($AB494="","",W494+T494)</f>
        <v/>
      </c>
      <c r="Y494" s="7">
        <f>IF($AB494="","",Z494-X494)</f>
        <v/>
      </c>
      <c r="Z494" s="7">
        <f>IF($AB494="","",S494+V494+Q494)</f>
        <v/>
      </c>
      <c r="AA494" s="7">
        <f>IF($AB494="","",Z494-X494-M494)</f>
        <v/>
      </c>
      <c r="AB494" s="13">
        <f>IF(ROWS($AB$2:$AB494)&lt;=MAX('Per Line'!$AK$2:$AK$4001),MATCH(ROWS($AB$2:$AB494),'Per Line'!$AK$2:$AK$4001,0),"")</f>
        <v/>
      </c>
      <c r="AC494" s="14">
        <f>IF($AB494="","",M494-L494*Z494/100)</f>
        <v/>
      </c>
    </row>
    <row r="495">
      <c r="A495" s="12" t="n"/>
      <c r="B495">
        <f>IF($AB495="","",INDEX('Per Line'!$C$2:$C$4001,$AB495)&amp;"")</f>
        <v/>
      </c>
      <c r="C495">
        <f>IF($AB495="","",INDEX('Per Line'!$D$2:$D$4001,$AB495)&amp;"")</f>
        <v/>
      </c>
      <c r="D495">
        <f>IF($AB495="","",INDEX('Per Line'!$B$2:$B$4001,$AB495)&amp;"")</f>
        <v/>
      </c>
      <c r="E495">
        <f>IF($AB495="","",INDEX('Per Line'!$A$2:$A$4001,$AB495))</f>
        <v/>
      </c>
      <c r="F495" s="11">
        <f>IF($AB495="","",INDEX('Per Line'!$E$2:$E$4001,$AB495))</f>
        <v/>
      </c>
      <c r="G495">
        <f>IF($AB495="","",INDEX('Per Line'!$F$2:$F$4001,$AB495)&amp;"")</f>
        <v/>
      </c>
      <c r="H495">
        <f>IF($AB495="","",INDEX('Per Line'!$H$2:$H$4001,$AB495)&amp;"")</f>
        <v/>
      </c>
      <c r="I495">
        <f>IF($AB495="","",INDEX('Per Line'!$I$2:$I$4001,$AB495)&amp;"")</f>
        <v/>
      </c>
      <c r="J495">
        <f>IF($AB495="","",INDEX('Per Line'!$J$2:$J$4001,$AB495)&amp;"")</f>
        <v/>
      </c>
      <c r="K495">
        <f>IF($AB495="","",INDEX('Per Line'!$K$2:$K$4001,$AB495)&amp;"")</f>
        <v/>
      </c>
      <c r="L495">
        <f>IF($AB495="","",INDEX('Per Line'!$L$2:$L$4001,$AB495))</f>
        <v/>
      </c>
      <c r="M495" s="7">
        <f>IF($AB495="","",IF(AND(ISNUMBER(O495),O495&gt;0,Z495&gt;O495),L495*O495/100+(Z495-O495),L495*Z495/100))</f>
        <v/>
      </c>
      <c r="N495">
        <f>IF($AB495="","",INDEX('Per Line'!$V$2:$V$4001,$AB495)&amp;"")</f>
        <v/>
      </c>
      <c r="O495">
        <f>IF($AB495="","",INDEX('Per Line'!$Z$2:$Z$4001,$AB495))</f>
        <v/>
      </c>
      <c r="P495">
        <f>IF($AB495="","",IF(AND(ISNUMBER(O495),O495&gt;0),Z495&gt;O495,FALSE))</f>
        <v/>
      </c>
      <c r="Q495" s="7">
        <f>IF($AB495="","",SUMIFS('Per Line'!$U$2:$U$4001,'Per Line'!$C$2:$C$4001,$B495,'Per Line'!$AM$2:$AM$4001,1))</f>
        <v/>
      </c>
      <c r="R495">
        <f>IF($AB495="","",Settings!$C$7)</f>
        <v/>
      </c>
      <c r="S495" s="7">
        <f>IF($AB495="","",SUMIFS('Per Line'!$U$2:$U$4001,'Per Line'!$C$2:$C$4001,$B495,'Per Line'!$AL$2:$AL$4001,0,'Per Line'!$AM$2:$AM$4001,0))</f>
        <v/>
      </c>
      <c r="T495" s="7">
        <f>IF($AB495="","",S495*R495)</f>
        <v/>
      </c>
      <c r="U495">
        <f>IF($AB495="","",Settings!$C$6)</f>
        <v/>
      </c>
      <c r="V495" s="7">
        <f>IF($AB495="","",SUMIFS('Per Line'!$U$2:$U$4001,'Per Line'!$C$2:$C$4001,$B495,'Per Line'!$AL$2:$AL$4001,1,'Per Line'!$AM$2:$AM$4001,0))</f>
        <v/>
      </c>
      <c r="W495" s="7">
        <f>IF($AB495="","",V495*U495)</f>
        <v/>
      </c>
      <c r="X495" s="7">
        <f>IF($AB495="","",W495+T495)</f>
        <v/>
      </c>
      <c r="Y495" s="7">
        <f>IF($AB495="","",Z495-X495)</f>
        <v/>
      </c>
      <c r="Z495" s="7">
        <f>IF($AB495="","",S495+V495+Q495)</f>
        <v/>
      </c>
      <c r="AA495" s="7">
        <f>IF($AB495="","",Z495-X495-M495)</f>
        <v/>
      </c>
      <c r="AB495" s="13">
        <f>IF(ROWS($AB$2:$AB495)&lt;=MAX('Per Line'!$AK$2:$AK$4001),MATCH(ROWS($AB$2:$AB495),'Per Line'!$AK$2:$AK$4001,0),"")</f>
        <v/>
      </c>
      <c r="AC495" s="14">
        <f>IF($AB495="","",M495-L495*Z495/100)</f>
        <v/>
      </c>
    </row>
    <row r="496">
      <c r="A496" s="12" t="n"/>
      <c r="B496">
        <f>IF($AB496="","",INDEX('Per Line'!$C$2:$C$4001,$AB496)&amp;"")</f>
        <v/>
      </c>
      <c r="C496">
        <f>IF($AB496="","",INDEX('Per Line'!$D$2:$D$4001,$AB496)&amp;"")</f>
        <v/>
      </c>
      <c r="D496">
        <f>IF($AB496="","",INDEX('Per Line'!$B$2:$B$4001,$AB496)&amp;"")</f>
        <v/>
      </c>
      <c r="E496">
        <f>IF($AB496="","",INDEX('Per Line'!$A$2:$A$4001,$AB496))</f>
        <v/>
      </c>
      <c r="F496" s="11">
        <f>IF($AB496="","",INDEX('Per Line'!$E$2:$E$4001,$AB496))</f>
        <v/>
      </c>
      <c r="G496">
        <f>IF($AB496="","",INDEX('Per Line'!$F$2:$F$4001,$AB496)&amp;"")</f>
        <v/>
      </c>
      <c r="H496">
        <f>IF($AB496="","",INDEX('Per Line'!$H$2:$H$4001,$AB496)&amp;"")</f>
        <v/>
      </c>
      <c r="I496">
        <f>IF($AB496="","",INDEX('Per Line'!$I$2:$I$4001,$AB496)&amp;"")</f>
        <v/>
      </c>
      <c r="J496">
        <f>IF($AB496="","",INDEX('Per Line'!$J$2:$J$4001,$AB496)&amp;"")</f>
        <v/>
      </c>
      <c r="K496">
        <f>IF($AB496="","",INDEX('Per Line'!$K$2:$K$4001,$AB496)&amp;"")</f>
        <v/>
      </c>
      <c r="L496">
        <f>IF($AB496="","",INDEX('Per Line'!$L$2:$L$4001,$AB496))</f>
        <v/>
      </c>
      <c r="M496" s="7">
        <f>IF($AB496="","",IF(AND(ISNUMBER(O496),O496&gt;0,Z496&gt;O496),L496*O496/100+(Z496-O496),L496*Z496/100))</f>
        <v/>
      </c>
      <c r="N496">
        <f>IF($AB496="","",INDEX('Per Line'!$V$2:$V$4001,$AB496)&amp;"")</f>
        <v/>
      </c>
      <c r="O496">
        <f>IF($AB496="","",INDEX('Per Line'!$Z$2:$Z$4001,$AB496))</f>
        <v/>
      </c>
      <c r="P496">
        <f>IF($AB496="","",IF(AND(ISNUMBER(O496),O496&gt;0),Z496&gt;O496,FALSE))</f>
        <v/>
      </c>
      <c r="Q496" s="7">
        <f>IF($AB496="","",SUMIFS('Per Line'!$U$2:$U$4001,'Per Line'!$C$2:$C$4001,$B496,'Per Line'!$AM$2:$AM$4001,1))</f>
        <v/>
      </c>
      <c r="R496">
        <f>IF($AB496="","",Settings!$C$7)</f>
        <v/>
      </c>
      <c r="S496" s="7">
        <f>IF($AB496="","",SUMIFS('Per Line'!$U$2:$U$4001,'Per Line'!$C$2:$C$4001,$B496,'Per Line'!$AL$2:$AL$4001,0,'Per Line'!$AM$2:$AM$4001,0))</f>
        <v/>
      </c>
      <c r="T496" s="7">
        <f>IF($AB496="","",S496*R496)</f>
        <v/>
      </c>
      <c r="U496">
        <f>IF($AB496="","",Settings!$C$6)</f>
        <v/>
      </c>
      <c r="V496" s="7">
        <f>IF($AB496="","",SUMIFS('Per Line'!$U$2:$U$4001,'Per Line'!$C$2:$C$4001,$B496,'Per Line'!$AL$2:$AL$4001,1,'Per Line'!$AM$2:$AM$4001,0))</f>
        <v/>
      </c>
      <c r="W496" s="7">
        <f>IF($AB496="","",V496*U496)</f>
        <v/>
      </c>
      <c r="X496" s="7">
        <f>IF($AB496="","",W496+T496)</f>
        <v/>
      </c>
      <c r="Y496" s="7">
        <f>IF($AB496="","",Z496-X496)</f>
        <v/>
      </c>
      <c r="Z496" s="7">
        <f>IF($AB496="","",S496+V496+Q496)</f>
        <v/>
      </c>
      <c r="AA496" s="7">
        <f>IF($AB496="","",Z496-X496-M496)</f>
        <v/>
      </c>
      <c r="AB496" s="13">
        <f>IF(ROWS($AB$2:$AB496)&lt;=MAX('Per Line'!$AK$2:$AK$4001),MATCH(ROWS($AB$2:$AB496),'Per Line'!$AK$2:$AK$4001,0),"")</f>
        <v/>
      </c>
      <c r="AC496" s="14">
        <f>IF($AB496="","",M496-L496*Z496/100)</f>
        <v/>
      </c>
    </row>
    <row r="497">
      <c r="A497" s="12" t="n"/>
      <c r="B497">
        <f>IF($AB497="","",INDEX('Per Line'!$C$2:$C$4001,$AB497)&amp;"")</f>
        <v/>
      </c>
      <c r="C497">
        <f>IF($AB497="","",INDEX('Per Line'!$D$2:$D$4001,$AB497)&amp;"")</f>
        <v/>
      </c>
      <c r="D497">
        <f>IF($AB497="","",INDEX('Per Line'!$B$2:$B$4001,$AB497)&amp;"")</f>
        <v/>
      </c>
      <c r="E497">
        <f>IF($AB497="","",INDEX('Per Line'!$A$2:$A$4001,$AB497))</f>
        <v/>
      </c>
      <c r="F497" s="11">
        <f>IF($AB497="","",INDEX('Per Line'!$E$2:$E$4001,$AB497))</f>
        <v/>
      </c>
      <c r="G497">
        <f>IF($AB497="","",INDEX('Per Line'!$F$2:$F$4001,$AB497)&amp;"")</f>
        <v/>
      </c>
      <c r="H497">
        <f>IF($AB497="","",INDEX('Per Line'!$H$2:$H$4001,$AB497)&amp;"")</f>
        <v/>
      </c>
      <c r="I497">
        <f>IF($AB497="","",INDEX('Per Line'!$I$2:$I$4001,$AB497)&amp;"")</f>
        <v/>
      </c>
      <c r="J497">
        <f>IF($AB497="","",INDEX('Per Line'!$J$2:$J$4001,$AB497)&amp;"")</f>
        <v/>
      </c>
      <c r="K497">
        <f>IF($AB497="","",INDEX('Per Line'!$K$2:$K$4001,$AB497)&amp;"")</f>
        <v/>
      </c>
      <c r="L497">
        <f>IF($AB497="","",INDEX('Per Line'!$L$2:$L$4001,$AB497))</f>
        <v/>
      </c>
      <c r="M497" s="7">
        <f>IF($AB497="","",IF(AND(ISNUMBER(O497),O497&gt;0,Z497&gt;O497),L497*O497/100+(Z497-O497),L497*Z497/100))</f>
        <v/>
      </c>
      <c r="N497">
        <f>IF($AB497="","",INDEX('Per Line'!$V$2:$V$4001,$AB497)&amp;"")</f>
        <v/>
      </c>
      <c r="O497">
        <f>IF($AB497="","",INDEX('Per Line'!$Z$2:$Z$4001,$AB497))</f>
        <v/>
      </c>
      <c r="P497">
        <f>IF($AB497="","",IF(AND(ISNUMBER(O497),O497&gt;0),Z497&gt;O497,FALSE))</f>
        <v/>
      </c>
      <c r="Q497" s="7">
        <f>IF($AB497="","",SUMIFS('Per Line'!$U$2:$U$4001,'Per Line'!$C$2:$C$4001,$B497,'Per Line'!$AM$2:$AM$4001,1))</f>
        <v/>
      </c>
      <c r="R497">
        <f>IF($AB497="","",Settings!$C$7)</f>
        <v/>
      </c>
      <c r="S497" s="7">
        <f>IF($AB497="","",SUMIFS('Per Line'!$U$2:$U$4001,'Per Line'!$C$2:$C$4001,$B497,'Per Line'!$AL$2:$AL$4001,0,'Per Line'!$AM$2:$AM$4001,0))</f>
        <v/>
      </c>
      <c r="T497" s="7">
        <f>IF($AB497="","",S497*R497)</f>
        <v/>
      </c>
      <c r="U497">
        <f>IF($AB497="","",Settings!$C$6)</f>
        <v/>
      </c>
      <c r="V497" s="7">
        <f>IF($AB497="","",SUMIFS('Per Line'!$U$2:$U$4001,'Per Line'!$C$2:$C$4001,$B497,'Per Line'!$AL$2:$AL$4001,1,'Per Line'!$AM$2:$AM$4001,0))</f>
        <v/>
      </c>
      <c r="W497" s="7">
        <f>IF($AB497="","",V497*U497)</f>
        <v/>
      </c>
      <c r="X497" s="7">
        <f>IF($AB497="","",W497+T497)</f>
        <v/>
      </c>
      <c r="Y497" s="7">
        <f>IF($AB497="","",Z497-X497)</f>
        <v/>
      </c>
      <c r="Z497" s="7">
        <f>IF($AB497="","",S497+V497+Q497)</f>
        <v/>
      </c>
      <c r="AA497" s="7">
        <f>IF($AB497="","",Z497-X497-M497)</f>
        <v/>
      </c>
      <c r="AB497" s="13">
        <f>IF(ROWS($AB$2:$AB497)&lt;=MAX('Per Line'!$AK$2:$AK$4001),MATCH(ROWS($AB$2:$AB497),'Per Line'!$AK$2:$AK$4001,0),"")</f>
        <v/>
      </c>
      <c r="AC497" s="14">
        <f>IF($AB497="","",M497-L497*Z497/100)</f>
        <v/>
      </c>
    </row>
    <row r="498">
      <c r="A498" s="12" t="n"/>
      <c r="B498">
        <f>IF($AB498="","",INDEX('Per Line'!$C$2:$C$4001,$AB498)&amp;"")</f>
        <v/>
      </c>
      <c r="C498">
        <f>IF($AB498="","",INDEX('Per Line'!$D$2:$D$4001,$AB498)&amp;"")</f>
        <v/>
      </c>
      <c r="D498">
        <f>IF($AB498="","",INDEX('Per Line'!$B$2:$B$4001,$AB498)&amp;"")</f>
        <v/>
      </c>
      <c r="E498">
        <f>IF($AB498="","",INDEX('Per Line'!$A$2:$A$4001,$AB498))</f>
        <v/>
      </c>
      <c r="F498" s="11">
        <f>IF($AB498="","",INDEX('Per Line'!$E$2:$E$4001,$AB498))</f>
        <v/>
      </c>
      <c r="G498">
        <f>IF($AB498="","",INDEX('Per Line'!$F$2:$F$4001,$AB498)&amp;"")</f>
        <v/>
      </c>
      <c r="H498">
        <f>IF($AB498="","",INDEX('Per Line'!$H$2:$H$4001,$AB498)&amp;"")</f>
        <v/>
      </c>
      <c r="I498">
        <f>IF($AB498="","",INDEX('Per Line'!$I$2:$I$4001,$AB498)&amp;"")</f>
        <v/>
      </c>
      <c r="J498">
        <f>IF($AB498="","",INDEX('Per Line'!$J$2:$J$4001,$AB498)&amp;"")</f>
        <v/>
      </c>
      <c r="K498">
        <f>IF($AB498="","",INDEX('Per Line'!$K$2:$K$4001,$AB498)&amp;"")</f>
        <v/>
      </c>
      <c r="L498">
        <f>IF($AB498="","",INDEX('Per Line'!$L$2:$L$4001,$AB498))</f>
        <v/>
      </c>
      <c r="M498" s="7">
        <f>IF($AB498="","",IF(AND(ISNUMBER(O498),O498&gt;0,Z498&gt;O498),L498*O498/100+(Z498-O498),L498*Z498/100))</f>
        <v/>
      </c>
      <c r="N498">
        <f>IF($AB498="","",INDEX('Per Line'!$V$2:$V$4001,$AB498)&amp;"")</f>
        <v/>
      </c>
      <c r="O498">
        <f>IF($AB498="","",INDEX('Per Line'!$Z$2:$Z$4001,$AB498))</f>
        <v/>
      </c>
      <c r="P498">
        <f>IF($AB498="","",IF(AND(ISNUMBER(O498),O498&gt;0),Z498&gt;O498,FALSE))</f>
        <v/>
      </c>
      <c r="Q498" s="7">
        <f>IF($AB498="","",SUMIFS('Per Line'!$U$2:$U$4001,'Per Line'!$C$2:$C$4001,$B498,'Per Line'!$AM$2:$AM$4001,1))</f>
        <v/>
      </c>
      <c r="R498">
        <f>IF($AB498="","",Settings!$C$7)</f>
        <v/>
      </c>
      <c r="S498" s="7">
        <f>IF($AB498="","",SUMIFS('Per Line'!$U$2:$U$4001,'Per Line'!$C$2:$C$4001,$B498,'Per Line'!$AL$2:$AL$4001,0,'Per Line'!$AM$2:$AM$4001,0))</f>
        <v/>
      </c>
      <c r="T498" s="7">
        <f>IF($AB498="","",S498*R498)</f>
        <v/>
      </c>
      <c r="U498">
        <f>IF($AB498="","",Settings!$C$6)</f>
        <v/>
      </c>
      <c r="V498" s="7">
        <f>IF($AB498="","",SUMIFS('Per Line'!$U$2:$U$4001,'Per Line'!$C$2:$C$4001,$B498,'Per Line'!$AL$2:$AL$4001,1,'Per Line'!$AM$2:$AM$4001,0))</f>
        <v/>
      </c>
      <c r="W498" s="7">
        <f>IF($AB498="","",V498*U498)</f>
        <v/>
      </c>
      <c r="X498" s="7">
        <f>IF($AB498="","",W498+T498)</f>
        <v/>
      </c>
      <c r="Y498" s="7">
        <f>IF($AB498="","",Z498-X498)</f>
        <v/>
      </c>
      <c r="Z498" s="7">
        <f>IF($AB498="","",S498+V498+Q498)</f>
        <v/>
      </c>
      <c r="AA498" s="7">
        <f>IF($AB498="","",Z498-X498-M498)</f>
        <v/>
      </c>
      <c r="AB498" s="13">
        <f>IF(ROWS($AB$2:$AB498)&lt;=MAX('Per Line'!$AK$2:$AK$4001),MATCH(ROWS($AB$2:$AB498),'Per Line'!$AK$2:$AK$4001,0),"")</f>
        <v/>
      </c>
      <c r="AC498" s="14">
        <f>IF($AB498="","",M498-L498*Z498/100)</f>
        <v/>
      </c>
    </row>
    <row r="499">
      <c r="A499" s="12" t="n"/>
      <c r="B499">
        <f>IF($AB499="","",INDEX('Per Line'!$C$2:$C$4001,$AB499)&amp;"")</f>
        <v/>
      </c>
      <c r="C499">
        <f>IF($AB499="","",INDEX('Per Line'!$D$2:$D$4001,$AB499)&amp;"")</f>
        <v/>
      </c>
      <c r="D499">
        <f>IF($AB499="","",INDEX('Per Line'!$B$2:$B$4001,$AB499)&amp;"")</f>
        <v/>
      </c>
      <c r="E499">
        <f>IF($AB499="","",INDEX('Per Line'!$A$2:$A$4001,$AB499))</f>
        <v/>
      </c>
      <c r="F499" s="11">
        <f>IF($AB499="","",INDEX('Per Line'!$E$2:$E$4001,$AB499))</f>
        <v/>
      </c>
      <c r="G499">
        <f>IF($AB499="","",INDEX('Per Line'!$F$2:$F$4001,$AB499)&amp;"")</f>
        <v/>
      </c>
      <c r="H499">
        <f>IF($AB499="","",INDEX('Per Line'!$H$2:$H$4001,$AB499)&amp;"")</f>
        <v/>
      </c>
      <c r="I499">
        <f>IF($AB499="","",INDEX('Per Line'!$I$2:$I$4001,$AB499)&amp;"")</f>
        <v/>
      </c>
      <c r="J499">
        <f>IF($AB499="","",INDEX('Per Line'!$J$2:$J$4001,$AB499)&amp;"")</f>
        <v/>
      </c>
      <c r="K499">
        <f>IF($AB499="","",INDEX('Per Line'!$K$2:$K$4001,$AB499)&amp;"")</f>
        <v/>
      </c>
      <c r="L499">
        <f>IF($AB499="","",INDEX('Per Line'!$L$2:$L$4001,$AB499))</f>
        <v/>
      </c>
      <c r="M499" s="7">
        <f>IF($AB499="","",IF(AND(ISNUMBER(O499),O499&gt;0,Z499&gt;O499),L499*O499/100+(Z499-O499),L499*Z499/100))</f>
        <v/>
      </c>
      <c r="N499">
        <f>IF($AB499="","",INDEX('Per Line'!$V$2:$V$4001,$AB499)&amp;"")</f>
        <v/>
      </c>
      <c r="O499">
        <f>IF($AB499="","",INDEX('Per Line'!$Z$2:$Z$4001,$AB499))</f>
        <v/>
      </c>
      <c r="P499">
        <f>IF($AB499="","",IF(AND(ISNUMBER(O499),O499&gt;0),Z499&gt;O499,FALSE))</f>
        <v/>
      </c>
      <c r="Q499" s="7">
        <f>IF($AB499="","",SUMIFS('Per Line'!$U$2:$U$4001,'Per Line'!$C$2:$C$4001,$B499,'Per Line'!$AM$2:$AM$4001,1))</f>
        <v/>
      </c>
      <c r="R499">
        <f>IF($AB499="","",Settings!$C$7)</f>
        <v/>
      </c>
      <c r="S499" s="7">
        <f>IF($AB499="","",SUMIFS('Per Line'!$U$2:$U$4001,'Per Line'!$C$2:$C$4001,$B499,'Per Line'!$AL$2:$AL$4001,0,'Per Line'!$AM$2:$AM$4001,0))</f>
        <v/>
      </c>
      <c r="T499" s="7">
        <f>IF($AB499="","",S499*R499)</f>
        <v/>
      </c>
      <c r="U499">
        <f>IF($AB499="","",Settings!$C$6)</f>
        <v/>
      </c>
      <c r="V499" s="7">
        <f>IF($AB499="","",SUMIFS('Per Line'!$U$2:$U$4001,'Per Line'!$C$2:$C$4001,$B499,'Per Line'!$AL$2:$AL$4001,1,'Per Line'!$AM$2:$AM$4001,0))</f>
        <v/>
      </c>
      <c r="W499" s="7">
        <f>IF($AB499="","",V499*U499)</f>
        <v/>
      </c>
      <c r="X499" s="7">
        <f>IF($AB499="","",W499+T499)</f>
        <v/>
      </c>
      <c r="Y499" s="7">
        <f>IF($AB499="","",Z499-X499)</f>
        <v/>
      </c>
      <c r="Z499" s="7">
        <f>IF($AB499="","",S499+V499+Q499)</f>
        <v/>
      </c>
      <c r="AA499" s="7">
        <f>IF($AB499="","",Z499-X499-M499)</f>
        <v/>
      </c>
      <c r="AB499" s="13">
        <f>IF(ROWS($AB$2:$AB499)&lt;=MAX('Per Line'!$AK$2:$AK$4001),MATCH(ROWS($AB$2:$AB499),'Per Line'!$AK$2:$AK$4001,0),"")</f>
        <v/>
      </c>
      <c r="AC499" s="14">
        <f>IF($AB499="","",M499-L499*Z499/100)</f>
        <v/>
      </c>
    </row>
    <row r="500">
      <c r="A500" s="12" t="n"/>
      <c r="B500">
        <f>IF($AB500="","",INDEX('Per Line'!$C$2:$C$4001,$AB500)&amp;"")</f>
        <v/>
      </c>
      <c r="C500">
        <f>IF($AB500="","",INDEX('Per Line'!$D$2:$D$4001,$AB500)&amp;"")</f>
        <v/>
      </c>
      <c r="D500">
        <f>IF($AB500="","",INDEX('Per Line'!$B$2:$B$4001,$AB500)&amp;"")</f>
        <v/>
      </c>
      <c r="E500">
        <f>IF($AB500="","",INDEX('Per Line'!$A$2:$A$4001,$AB500))</f>
        <v/>
      </c>
      <c r="F500" s="11">
        <f>IF($AB500="","",INDEX('Per Line'!$E$2:$E$4001,$AB500))</f>
        <v/>
      </c>
      <c r="G500">
        <f>IF($AB500="","",INDEX('Per Line'!$F$2:$F$4001,$AB500)&amp;"")</f>
        <v/>
      </c>
      <c r="H500">
        <f>IF($AB500="","",INDEX('Per Line'!$H$2:$H$4001,$AB500)&amp;"")</f>
        <v/>
      </c>
      <c r="I500">
        <f>IF($AB500="","",INDEX('Per Line'!$I$2:$I$4001,$AB500)&amp;"")</f>
        <v/>
      </c>
      <c r="J500">
        <f>IF($AB500="","",INDEX('Per Line'!$J$2:$J$4001,$AB500)&amp;"")</f>
        <v/>
      </c>
      <c r="K500">
        <f>IF($AB500="","",INDEX('Per Line'!$K$2:$K$4001,$AB500)&amp;"")</f>
        <v/>
      </c>
      <c r="L500">
        <f>IF($AB500="","",INDEX('Per Line'!$L$2:$L$4001,$AB500))</f>
        <v/>
      </c>
      <c r="M500" s="7">
        <f>IF($AB500="","",IF(AND(ISNUMBER(O500),O500&gt;0,Z500&gt;O500),L500*O500/100+(Z500-O500),L500*Z500/100))</f>
        <v/>
      </c>
      <c r="N500">
        <f>IF($AB500="","",INDEX('Per Line'!$V$2:$V$4001,$AB500)&amp;"")</f>
        <v/>
      </c>
      <c r="O500">
        <f>IF($AB500="","",INDEX('Per Line'!$Z$2:$Z$4001,$AB500))</f>
        <v/>
      </c>
      <c r="P500">
        <f>IF($AB500="","",IF(AND(ISNUMBER(O500),O500&gt;0),Z500&gt;O500,FALSE))</f>
        <v/>
      </c>
      <c r="Q500" s="7">
        <f>IF($AB500="","",SUMIFS('Per Line'!$U$2:$U$4001,'Per Line'!$C$2:$C$4001,$B500,'Per Line'!$AM$2:$AM$4001,1))</f>
        <v/>
      </c>
      <c r="R500">
        <f>IF($AB500="","",Settings!$C$7)</f>
        <v/>
      </c>
      <c r="S500" s="7">
        <f>IF($AB500="","",SUMIFS('Per Line'!$U$2:$U$4001,'Per Line'!$C$2:$C$4001,$B500,'Per Line'!$AL$2:$AL$4001,0,'Per Line'!$AM$2:$AM$4001,0))</f>
        <v/>
      </c>
      <c r="T500" s="7">
        <f>IF($AB500="","",S500*R500)</f>
        <v/>
      </c>
      <c r="U500">
        <f>IF($AB500="","",Settings!$C$6)</f>
        <v/>
      </c>
      <c r="V500" s="7">
        <f>IF($AB500="","",SUMIFS('Per Line'!$U$2:$U$4001,'Per Line'!$C$2:$C$4001,$B500,'Per Line'!$AL$2:$AL$4001,1,'Per Line'!$AM$2:$AM$4001,0))</f>
        <v/>
      </c>
      <c r="W500" s="7">
        <f>IF($AB500="","",V500*U500)</f>
        <v/>
      </c>
      <c r="X500" s="7">
        <f>IF($AB500="","",W500+T500)</f>
        <v/>
      </c>
      <c r="Y500" s="7">
        <f>IF($AB500="","",Z500-X500)</f>
        <v/>
      </c>
      <c r="Z500" s="7">
        <f>IF($AB500="","",S500+V500+Q500)</f>
        <v/>
      </c>
      <c r="AA500" s="7">
        <f>IF($AB500="","",Z500-X500-M500)</f>
        <v/>
      </c>
      <c r="AB500" s="13">
        <f>IF(ROWS($AB$2:$AB500)&lt;=MAX('Per Line'!$AK$2:$AK$4001),MATCH(ROWS($AB$2:$AB500),'Per Line'!$AK$2:$AK$4001,0),"")</f>
        <v/>
      </c>
      <c r="AC500" s="14">
        <f>IF($AB500="","",M500-L500*Z500/100)</f>
        <v/>
      </c>
    </row>
    <row r="501">
      <c r="A501" s="12" t="n"/>
      <c r="B501">
        <f>IF($AB501="","",INDEX('Per Line'!$C$2:$C$4001,$AB501)&amp;"")</f>
        <v/>
      </c>
      <c r="C501">
        <f>IF($AB501="","",INDEX('Per Line'!$D$2:$D$4001,$AB501)&amp;"")</f>
        <v/>
      </c>
      <c r="D501">
        <f>IF($AB501="","",INDEX('Per Line'!$B$2:$B$4001,$AB501)&amp;"")</f>
        <v/>
      </c>
      <c r="E501">
        <f>IF($AB501="","",INDEX('Per Line'!$A$2:$A$4001,$AB501))</f>
        <v/>
      </c>
      <c r="F501" s="11">
        <f>IF($AB501="","",INDEX('Per Line'!$E$2:$E$4001,$AB501))</f>
        <v/>
      </c>
      <c r="G501">
        <f>IF($AB501="","",INDEX('Per Line'!$F$2:$F$4001,$AB501)&amp;"")</f>
        <v/>
      </c>
      <c r="H501">
        <f>IF($AB501="","",INDEX('Per Line'!$H$2:$H$4001,$AB501)&amp;"")</f>
        <v/>
      </c>
      <c r="I501">
        <f>IF($AB501="","",INDEX('Per Line'!$I$2:$I$4001,$AB501)&amp;"")</f>
        <v/>
      </c>
      <c r="J501">
        <f>IF($AB501="","",INDEX('Per Line'!$J$2:$J$4001,$AB501)&amp;"")</f>
        <v/>
      </c>
      <c r="K501">
        <f>IF($AB501="","",INDEX('Per Line'!$K$2:$K$4001,$AB501)&amp;"")</f>
        <v/>
      </c>
      <c r="L501">
        <f>IF($AB501="","",INDEX('Per Line'!$L$2:$L$4001,$AB501))</f>
        <v/>
      </c>
      <c r="M501" s="7">
        <f>IF($AB501="","",IF(AND(ISNUMBER(O501),O501&gt;0,Z501&gt;O501),L501*O501/100+(Z501-O501),L501*Z501/100))</f>
        <v/>
      </c>
      <c r="N501">
        <f>IF($AB501="","",INDEX('Per Line'!$V$2:$V$4001,$AB501)&amp;"")</f>
        <v/>
      </c>
      <c r="O501">
        <f>IF($AB501="","",INDEX('Per Line'!$Z$2:$Z$4001,$AB501))</f>
        <v/>
      </c>
      <c r="P501">
        <f>IF($AB501="","",IF(AND(ISNUMBER(O501),O501&gt;0),Z501&gt;O501,FALSE))</f>
        <v/>
      </c>
      <c r="Q501" s="7">
        <f>IF($AB501="","",SUMIFS('Per Line'!$U$2:$U$4001,'Per Line'!$C$2:$C$4001,$B501,'Per Line'!$AM$2:$AM$4001,1))</f>
        <v/>
      </c>
      <c r="R501">
        <f>IF($AB501="","",Settings!$C$7)</f>
        <v/>
      </c>
      <c r="S501" s="7">
        <f>IF($AB501="","",SUMIFS('Per Line'!$U$2:$U$4001,'Per Line'!$C$2:$C$4001,$B501,'Per Line'!$AL$2:$AL$4001,0,'Per Line'!$AM$2:$AM$4001,0))</f>
        <v/>
      </c>
      <c r="T501" s="7">
        <f>IF($AB501="","",S501*R501)</f>
        <v/>
      </c>
      <c r="U501">
        <f>IF($AB501="","",Settings!$C$6)</f>
        <v/>
      </c>
      <c r="V501" s="7">
        <f>IF($AB501="","",SUMIFS('Per Line'!$U$2:$U$4001,'Per Line'!$C$2:$C$4001,$B501,'Per Line'!$AL$2:$AL$4001,1,'Per Line'!$AM$2:$AM$4001,0))</f>
        <v/>
      </c>
      <c r="W501" s="7">
        <f>IF($AB501="","",V501*U501)</f>
        <v/>
      </c>
      <c r="X501" s="7">
        <f>IF($AB501="","",W501+T501)</f>
        <v/>
      </c>
      <c r="Y501" s="7">
        <f>IF($AB501="","",Z501-X501)</f>
        <v/>
      </c>
      <c r="Z501" s="7">
        <f>IF($AB501="","",S501+V501+Q501)</f>
        <v/>
      </c>
      <c r="AA501" s="7">
        <f>IF($AB501="","",Z501-X501-M501)</f>
        <v/>
      </c>
      <c r="AB501" s="13">
        <f>IF(ROWS($AB$2:$AB501)&lt;=MAX('Per Line'!$AK$2:$AK$4001),MATCH(ROWS($AB$2:$AB501),'Per Line'!$AK$2:$AK$4001,0),"")</f>
        <v/>
      </c>
      <c r="AC501" s="14">
        <f>IF($AB501="","",M501-L501*Z501/100)</f>
        <v/>
      </c>
    </row>
    <row r="502">
      <c r="A502" s="12" t="n"/>
      <c r="B502">
        <f>IF($AB502="","",INDEX('Per Line'!$C$2:$C$4001,$AB502)&amp;"")</f>
        <v/>
      </c>
      <c r="C502">
        <f>IF($AB502="","",INDEX('Per Line'!$D$2:$D$4001,$AB502)&amp;"")</f>
        <v/>
      </c>
      <c r="D502">
        <f>IF($AB502="","",INDEX('Per Line'!$B$2:$B$4001,$AB502)&amp;"")</f>
        <v/>
      </c>
      <c r="E502">
        <f>IF($AB502="","",INDEX('Per Line'!$A$2:$A$4001,$AB502))</f>
        <v/>
      </c>
      <c r="F502" s="11">
        <f>IF($AB502="","",INDEX('Per Line'!$E$2:$E$4001,$AB502))</f>
        <v/>
      </c>
      <c r="G502">
        <f>IF($AB502="","",INDEX('Per Line'!$F$2:$F$4001,$AB502)&amp;"")</f>
        <v/>
      </c>
      <c r="H502">
        <f>IF($AB502="","",INDEX('Per Line'!$H$2:$H$4001,$AB502)&amp;"")</f>
        <v/>
      </c>
      <c r="I502">
        <f>IF($AB502="","",INDEX('Per Line'!$I$2:$I$4001,$AB502)&amp;"")</f>
        <v/>
      </c>
      <c r="J502">
        <f>IF($AB502="","",INDEX('Per Line'!$J$2:$J$4001,$AB502)&amp;"")</f>
        <v/>
      </c>
      <c r="K502">
        <f>IF($AB502="","",INDEX('Per Line'!$K$2:$K$4001,$AB502)&amp;"")</f>
        <v/>
      </c>
      <c r="L502">
        <f>IF($AB502="","",INDEX('Per Line'!$L$2:$L$4001,$AB502))</f>
        <v/>
      </c>
      <c r="M502" s="7">
        <f>IF($AB502="","",IF(AND(ISNUMBER(O502),O502&gt;0,Z502&gt;O502),L502*O502/100+(Z502-O502),L502*Z502/100))</f>
        <v/>
      </c>
      <c r="N502">
        <f>IF($AB502="","",INDEX('Per Line'!$V$2:$V$4001,$AB502)&amp;"")</f>
        <v/>
      </c>
      <c r="O502">
        <f>IF($AB502="","",INDEX('Per Line'!$Z$2:$Z$4001,$AB502))</f>
        <v/>
      </c>
      <c r="P502">
        <f>IF($AB502="","",IF(AND(ISNUMBER(O502),O502&gt;0),Z502&gt;O502,FALSE))</f>
        <v/>
      </c>
      <c r="Q502" s="7">
        <f>IF($AB502="","",SUMIFS('Per Line'!$U$2:$U$4001,'Per Line'!$C$2:$C$4001,$B502,'Per Line'!$AM$2:$AM$4001,1))</f>
        <v/>
      </c>
      <c r="R502">
        <f>IF($AB502="","",Settings!$C$7)</f>
        <v/>
      </c>
      <c r="S502" s="7">
        <f>IF($AB502="","",SUMIFS('Per Line'!$U$2:$U$4001,'Per Line'!$C$2:$C$4001,$B502,'Per Line'!$AL$2:$AL$4001,0,'Per Line'!$AM$2:$AM$4001,0))</f>
        <v/>
      </c>
      <c r="T502" s="7">
        <f>IF($AB502="","",S502*R502)</f>
        <v/>
      </c>
      <c r="U502">
        <f>IF($AB502="","",Settings!$C$6)</f>
        <v/>
      </c>
      <c r="V502" s="7">
        <f>IF($AB502="","",SUMIFS('Per Line'!$U$2:$U$4001,'Per Line'!$C$2:$C$4001,$B502,'Per Line'!$AL$2:$AL$4001,1,'Per Line'!$AM$2:$AM$4001,0))</f>
        <v/>
      </c>
      <c r="W502" s="7">
        <f>IF($AB502="","",V502*U502)</f>
        <v/>
      </c>
      <c r="X502" s="7">
        <f>IF($AB502="","",W502+T502)</f>
        <v/>
      </c>
      <c r="Y502" s="7">
        <f>IF($AB502="","",Z502-X502)</f>
        <v/>
      </c>
      <c r="Z502" s="7">
        <f>IF($AB502="","",S502+V502+Q502)</f>
        <v/>
      </c>
      <c r="AA502" s="7">
        <f>IF($AB502="","",Z502-X502-M502)</f>
        <v/>
      </c>
      <c r="AB502" s="13">
        <f>IF(ROWS($AB$2:$AB502)&lt;=MAX('Per Line'!$AK$2:$AK$4001),MATCH(ROWS($AB$2:$AB502),'Per Line'!$AK$2:$AK$4001,0),"")</f>
        <v/>
      </c>
      <c r="AC502" s="14">
        <f>IF($AB502="","",M502-L502*Z502/100)</f>
        <v/>
      </c>
    </row>
    <row r="503">
      <c r="A503" s="12" t="n"/>
      <c r="B503">
        <f>IF($AB503="","",INDEX('Per Line'!$C$2:$C$4001,$AB503)&amp;"")</f>
        <v/>
      </c>
      <c r="C503">
        <f>IF($AB503="","",INDEX('Per Line'!$D$2:$D$4001,$AB503)&amp;"")</f>
        <v/>
      </c>
      <c r="D503">
        <f>IF($AB503="","",INDEX('Per Line'!$B$2:$B$4001,$AB503)&amp;"")</f>
        <v/>
      </c>
      <c r="E503">
        <f>IF($AB503="","",INDEX('Per Line'!$A$2:$A$4001,$AB503))</f>
        <v/>
      </c>
      <c r="F503" s="11">
        <f>IF($AB503="","",INDEX('Per Line'!$E$2:$E$4001,$AB503))</f>
        <v/>
      </c>
      <c r="G503">
        <f>IF($AB503="","",INDEX('Per Line'!$F$2:$F$4001,$AB503)&amp;"")</f>
        <v/>
      </c>
      <c r="H503">
        <f>IF($AB503="","",INDEX('Per Line'!$H$2:$H$4001,$AB503)&amp;"")</f>
        <v/>
      </c>
      <c r="I503">
        <f>IF($AB503="","",INDEX('Per Line'!$I$2:$I$4001,$AB503)&amp;"")</f>
        <v/>
      </c>
      <c r="J503">
        <f>IF($AB503="","",INDEX('Per Line'!$J$2:$J$4001,$AB503)&amp;"")</f>
        <v/>
      </c>
      <c r="K503">
        <f>IF($AB503="","",INDEX('Per Line'!$K$2:$K$4001,$AB503)&amp;"")</f>
        <v/>
      </c>
      <c r="L503">
        <f>IF($AB503="","",INDEX('Per Line'!$L$2:$L$4001,$AB503))</f>
        <v/>
      </c>
      <c r="M503" s="7">
        <f>IF($AB503="","",IF(AND(ISNUMBER(O503),O503&gt;0,Z503&gt;O503),L503*O503/100+(Z503-O503),L503*Z503/100))</f>
        <v/>
      </c>
      <c r="N503">
        <f>IF($AB503="","",INDEX('Per Line'!$V$2:$V$4001,$AB503)&amp;"")</f>
        <v/>
      </c>
      <c r="O503">
        <f>IF($AB503="","",INDEX('Per Line'!$Z$2:$Z$4001,$AB503))</f>
        <v/>
      </c>
      <c r="P503">
        <f>IF($AB503="","",IF(AND(ISNUMBER(O503),O503&gt;0),Z503&gt;O503,FALSE))</f>
        <v/>
      </c>
      <c r="Q503" s="7">
        <f>IF($AB503="","",SUMIFS('Per Line'!$U$2:$U$4001,'Per Line'!$C$2:$C$4001,$B503,'Per Line'!$AM$2:$AM$4001,1))</f>
        <v/>
      </c>
      <c r="R503">
        <f>IF($AB503="","",Settings!$C$7)</f>
        <v/>
      </c>
      <c r="S503" s="7">
        <f>IF($AB503="","",SUMIFS('Per Line'!$U$2:$U$4001,'Per Line'!$C$2:$C$4001,$B503,'Per Line'!$AL$2:$AL$4001,0,'Per Line'!$AM$2:$AM$4001,0))</f>
        <v/>
      </c>
      <c r="T503" s="7">
        <f>IF($AB503="","",S503*R503)</f>
        <v/>
      </c>
      <c r="U503">
        <f>IF($AB503="","",Settings!$C$6)</f>
        <v/>
      </c>
      <c r="V503" s="7">
        <f>IF($AB503="","",SUMIFS('Per Line'!$U$2:$U$4001,'Per Line'!$C$2:$C$4001,$B503,'Per Line'!$AL$2:$AL$4001,1,'Per Line'!$AM$2:$AM$4001,0))</f>
        <v/>
      </c>
      <c r="W503" s="7">
        <f>IF($AB503="","",V503*U503)</f>
        <v/>
      </c>
      <c r="X503" s="7">
        <f>IF($AB503="","",W503+T503)</f>
        <v/>
      </c>
      <c r="Y503" s="7">
        <f>IF($AB503="","",Z503-X503)</f>
        <v/>
      </c>
      <c r="Z503" s="7">
        <f>IF($AB503="","",S503+V503+Q503)</f>
        <v/>
      </c>
      <c r="AA503" s="7">
        <f>IF($AB503="","",Z503-X503-M503)</f>
        <v/>
      </c>
      <c r="AB503" s="13">
        <f>IF(ROWS($AB$2:$AB503)&lt;=MAX('Per Line'!$AK$2:$AK$4001),MATCH(ROWS($AB$2:$AB503),'Per Line'!$AK$2:$AK$4001,0),"")</f>
        <v/>
      </c>
      <c r="AC503" s="14">
        <f>IF($AB503="","",M503-L503*Z503/100)</f>
        <v/>
      </c>
    </row>
    <row r="504">
      <c r="A504" s="12" t="n"/>
      <c r="B504">
        <f>IF($AB504="","",INDEX('Per Line'!$C$2:$C$4001,$AB504)&amp;"")</f>
        <v/>
      </c>
      <c r="C504">
        <f>IF($AB504="","",INDEX('Per Line'!$D$2:$D$4001,$AB504)&amp;"")</f>
        <v/>
      </c>
      <c r="D504">
        <f>IF($AB504="","",INDEX('Per Line'!$B$2:$B$4001,$AB504)&amp;"")</f>
        <v/>
      </c>
      <c r="E504">
        <f>IF($AB504="","",INDEX('Per Line'!$A$2:$A$4001,$AB504))</f>
        <v/>
      </c>
      <c r="F504" s="11">
        <f>IF($AB504="","",INDEX('Per Line'!$E$2:$E$4001,$AB504))</f>
        <v/>
      </c>
      <c r="G504">
        <f>IF($AB504="","",INDEX('Per Line'!$F$2:$F$4001,$AB504)&amp;"")</f>
        <v/>
      </c>
      <c r="H504">
        <f>IF($AB504="","",INDEX('Per Line'!$H$2:$H$4001,$AB504)&amp;"")</f>
        <v/>
      </c>
      <c r="I504">
        <f>IF($AB504="","",INDEX('Per Line'!$I$2:$I$4001,$AB504)&amp;"")</f>
        <v/>
      </c>
      <c r="J504">
        <f>IF($AB504="","",INDEX('Per Line'!$J$2:$J$4001,$AB504)&amp;"")</f>
        <v/>
      </c>
      <c r="K504">
        <f>IF($AB504="","",INDEX('Per Line'!$K$2:$K$4001,$AB504)&amp;"")</f>
        <v/>
      </c>
      <c r="L504">
        <f>IF($AB504="","",INDEX('Per Line'!$L$2:$L$4001,$AB504))</f>
        <v/>
      </c>
      <c r="M504" s="7">
        <f>IF($AB504="","",IF(AND(ISNUMBER(O504),O504&gt;0,Z504&gt;O504),L504*O504/100+(Z504-O504),L504*Z504/100))</f>
        <v/>
      </c>
      <c r="N504">
        <f>IF($AB504="","",INDEX('Per Line'!$V$2:$V$4001,$AB504)&amp;"")</f>
        <v/>
      </c>
      <c r="O504">
        <f>IF($AB504="","",INDEX('Per Line'!$Z$2:$Z$4001,$AB504))</f>
        <v/>
      </c>
      <c r="P504">
        <f>IF($AB504="","",IF(AND(ISNUMBER(O504),O504&gt;0),Z504&gt;O504,FALSE))</f>
        <v/>
      </c>
      <c r="Q504" s="7">
        <f>IF($AB504="","",SUMIFS('Per Line'!$U$2:$U$4001,'Per Line'!$C$2:$C$4001,$B504,'Per Line'!$AM$2:$AM$4001,1))</f>
        <v/>
      </c>
      <c r="R504">
        <f>IF($AB504="","",Settings!$C$7)</f>
        <v/>
      </c>
      <c r="S504" s="7">
        <f>IF($AB504="","",SUMIFS('Per Line'!$U$2:$U$4001,'Per Line'!$C$2:$C$4001,$B504,'Per Line'!$AL$2:$AL$4001,0,'Per Line'!$AM$2:$AM$4001,0))</f>
        <v/>
      </c>
      <c r="T504" s="7">
        <f>IF($AB504="","",S504*R504)</f>
        <v/>
      </c>
      <c r="U504">
        <f>IF($AB504="","",Settings!$C$6)</f>
        <v/>
      </c>
      <c r="V504" s="7">
        <f>IF($AB504="","",SUMIFS('Per Line'!$U$2:$U$4001,'Per Line'!$C$2:$C$4001,$B504,'Per Line'!$AL$2:$AL$4001,1,'Per Line'!$AM$2:$AM$4001,0))</f>
        <v/>
      </c>
      <c r="W504" s="7">
        <f>IF($AB504="","",V504*U504)</f>
        <v/>
      </c>
      <c r="X504" s="7">
        <f>IF($AB504="","",W504+T504)</f>
        <v/>
      </c>
      <c r="Y504" s="7">
        <f>IF($AB504="","",Z504-X504)</f>
        <v/>
      </c>
      <c r="Z504" s="7">
        <f>IF($AB504="","",S504+V504+Q504)</f>
        <v/>
      </c>
      <c r="AA504" s="7">
        <f>IF($AB504="","",Z504-X504-M504)</f>
        <v/>
      </c>
      <c r="AB504" s="13">
        <f>IF(ROWS($AB$2:$AB504)&lt;=MAX('Per Line'!$AK$2:$AK$4001),MATCH(ROWS($AB$2:$AB504),'Per Line'!$AK$2:$AK$4001,0),"")</f>
        <v/>
      </c>
      <c r="AC504" s="14">
        <f>IF($AB504="","",M504-L504*Z504/100)</f>
        <v/>
      </c>
    </row>
    <row r="505">
      <c r="A505" s="12" t="n"/>
      <c r="B505">
        <f>IF($AB505="","",INDEX('Per Line'!$C$2:$C$4001,$AB505)&amp;"")</f>
        <v/>
      </c>
      <c r="C505">
        <f>IF($AB505="","",INDEX('Per Line'!$D$2:$D$4001,$AB505)&amp;"")</f>
        <v/>
      </c>
      <c r="D505">
        <f>IF($AB505="","",INDEX('Per Line'!$B$2:$B$4001,$AB505)&amp;"")</f>
        <v/>
      </c>
      <c r="E505">
        <f>IF($AB505="","",INDEX('Per Line'!$A$2:$A$4001,$AB505))</f>
        <v/>
      </c>
      <c r="F505" s="11">
        <f>IF($AB505="","",INDEX('Per Line'!$E$2:$E$4001,$AB505))</f>
        <v/>
      </c>
      <c r="G505">
        <f>IF($AB505="","",INDEX('Per Line'!$F$2:$F$4001,$AB505)&amp;"")</f>
        <v/>
      </c>
      <c r="H505">
        <f>IF($AB505="","",INDEX('Per Line'!$H$2:$H$4001,$AB505)&amp;"")</f>
        <v/>
      </c>
      <c r="I505">
        <f>IF($AB505="","",INDEX('Per Line'!$I$2:$I$4001,$AB505)&amp;"")</f>
        <v/>
      </c>
      <c r="J505">
        <f>IF($AB505="","",INDEX('Per Line'!$J$2:$J$4001,$AB505)&amp;"")</f>
        <v/>
      </c>
      <c r="K505">
        <f>IF($AB505="","",INDEX('Per Line'!$K$2:$K$4001,$AB505)&amp;"")</f>
        <v/>
      </c>
      <c r="L505">
        <f>IF($AB505="","",INDEX('Per Line'!$L$2:$L$4001,$AB505))</f>
        <v/>
      </c>
      <c r="M505" s="7">
        <f>IF($AB505="","",IF(AND(ISNUMBER(O505),O505&gt;0,Z505&gt;O505),L505*O505/100+(Z505-O505),L505*Z505/100))</f>
        <v/>
      </c>
      <c r="N505">
        <f>IF($AB505="","",INDEX('Per Line'!$V$2:$V$4001,$AB505)&amp;"")</f>
        <v/>
      </c>
      <c r="O505">
        <f>IF($AB505="","",INDEX('Per Line'!$Z$2:$Z$4001,$AB505))</f>
        <v/>
      </c>
      <c r="P505">
        <f>IF($AB505="","",IF(AND(ISNUMBER(O505),O505&gt;0),Z505&gt;O505,FALSE))</f>
        <v/>
      </c>
      <c r="Q505" s="7">
        <f>IF($AB505="","",SUMIFS('Per Line'!$U$2:$U$4001,'Per Line'!$C$2:$C$4001,$B505,'Per Line'!$AM$2:$AM$4001,1))</f>
        <v/>
      </c>
      <c r="R505">
        <f>IF($AB505="","",Settings!$C$7)</f>
        <v/>
      </c>
      <c r="S505" s="7">
        <f>IF($AB505="","",SUMIFS('Per Line'!$U$2:$U$4001,'Per Line'!$C$2:$C$4001,$B505,'Per Line'!$AL$2:$AL$4001,0,'Per Line'!$AM$2:$AM$4001,0))</f>
        <v/>
      </c>
      <c r="T505" s="7">
        <f>IF($AB505="","",S505*R505)</f>
        <v/>
      </c>
      <c r="U505">
        <f>IF($AB505="","",Settings!$C$6)</f>
        <v/>
      </c>
      <c r="V505" s="7">
        <f>IF($AB505="","",SUMIFS('Per Line'!$U$2:$U$4001,'Per Line'!$C$2:$C$4001,$B505,'Per Line'!$AL$2:$AL$4001,1,'Per Line'!$AM$2:$AM$4001,0))</f>
        <v/>
      </c>
      <c r="W505" s="7">
        <f>IF($AB505="","",V505*U505)</f>
        <v/>
      </c>
      <c r="X505" s="7">
        <f>IF($AB505="","",W505+T505)</f>
        <v/>
      </c>
      <c r="Y505" s="7">
        <f>IF($AB505="","",Z505-X505)</f>
        <v/>
      </c>
      <c r="Z505" s="7">
        <f>IF($AB505="","",S505+V505+Q505)</f>
        <v/>
      </c>
      <c r="AA505" s="7">
        <f>IF($AB505="","",Z505-X505-M505)</f>
        <v/>
      </c>
      <c r="AB505" s="13">
        <f>IF(ROWS($AB$2:$AB505)&lt;=MAX('Per Line'!$AK$2:$AK$4001),MATCH(ROWS($AB$2:$AB505),'Per Line'!$AK$2:$AK$4001,0),"")</f>
        <v/>
      </c>
      <c r="AC505" s="14">
        <f>IF($AB505="","",M505-L505*Z505/100)</f>
        <v/>
      </c>
    </row>
    <row r="506">
      <c r="A506" s="12" t="n"/>
      <c r="B506">
        <f>IF($AB506="","",INDEX('Per Line'!$C$2:$C$4001,$AB506)&amp;"")</f>
        <v/>
      </c>
      <c r="C506">
        <f>IF($AB506="","",INDEX('Per Line'!$D$2:$D$4001,$AB506)&amp;"")</f>
        <v/>
      </c>
      <c r="D506">
        <f>IF($AB506="","",INDEX('Per Line'!$B$2:$B$4001,$AB506)&amp;"")</f>
        <v/>
      </c>
      <c r="E506">
        <f>IF($AB506="","",INDEX('Per Line'!$A$2:$A$4001,$AB506))</f>
        <v/>
      </c>
      <c r="F506" s="11">
        <f>IF($AB506="","",INDEX('Per Line'!$E$2:$E$4001,$AB506))</f>
        <v/>
      </c>
      <c r="G506">
        <f>IF($AB506="","",INDEX('Per Line'!$F$2:$F$4001,$AB506)&amp;"")</f>
        <v/>
      </c>
      <c r="H506">
        <f>IF($AB506="","",INDEX('Per Line'!$H$2:$H$4001,$AB506)&amp;"")</f>
        <v/>
      </c>
      <c r="I506">
        <f>IF($AB506="","",INDEX('Per Line'!$I$2:$I$4001,$AB506)&amp;"")</f>
        <v/>
      </c>
      <c r="J506">
        <f>IF($AB506="","",INDEX('Per Line'!$J$2:$J$4001,$AB506)&amp;"")</f>
        <v/>
      </c>
      <c r="K506">
        <f>IF($AB506="","",INDEX('Per Line'!$K$2:$K$4001,$AB506)&amp;"")</f>
        <v/>
      </c>
      <c r="L506">
        <f>IF($AB506="","",INDEX('Per Line'!$L$2:$L$4001,$AB506))</f>
        <v/>
      </c>
      <c r="M506" s="7">
        <f>IF($AB506="","",IF(AND(ISNUMBER(O506),O506&gt;0,Z506&gt;O506),L506*O506/100+(Z506-O506),L506*Z506/100))</f>
        <v/>
      </c>
      <c r="N506">
        <f>IF($AB506="","",INDEX('Per Line'!$V$2:$V$4001,$AB506)&amp;"")</f>
        <v/>
      </c>
      <c r="O506">
        <f>IF($AB506="","",INDEX('Per Line'!$Z$2:$Z$4001,$AB506))</f>
        <v/>
      </c>
      <c r="P506">
        <f>IF($AB506="","",IF(AND(ISNUMBER(O506),O506&gt;0),Z506&gt;O506,FALSE))</f>
        <v/>
      </c>
      <c r="Q506" s="7">
        <f>IF($AB506="","",SUMIFS('Per Line'!$U$2:$U$4001,'Per Line'!$C$2:$C$4001,$B506,'Per Line'!$AM$2:$AM$4001,1))</f>
        <v/>
      </c>
      <c r="R506">
        <f>IF($AB506="","",Settings!$C$7)</f>
        <v/>
      </c>
      <c r="S506" s="7">
        <f>IF($AB506="","",SUMIFS('Per Line'!$U$2:$U$4001,'Per Line'!$C$2:$C$4001,$B506,'Per Line'!$AL$2:$AL$4001,0,'Per Line'!$AM$2:$AM$4001,0))</f>
        <v/>
      </c>
      <c r="T506" s="7">
        <f>IF($AB506="","",S506*R506)</f>
        <v/>
      </c>
      <c r="U506">
        <f>IF($AB506="","",Settings!$C$6)</f>
        <v/>
      </c>
      <c r="V506" s="7">
        <f>IF($AB506="","",SUMIFS('Per Line'!$U$2:$U$4001,'Per Line'!$C$2:$C$4001,$B506,'Per Line'!$AL$2:$AL$4001,1,'Per Line'!$AM$2:$AM$4001,0))</f>
        <v/>
      </c>
      <c r="W506" s="7">
        <f>IF($AB506="","",V506*U506)</f>
        <v/>
      </c>
      <c r="X506" s="7">
        <f>IF($AB506="","",W506+T506)</f>
        <v/>
      </c>
      <c r="Y506" s="7">
        <f>IF($AB506="","",Z506-X506)</f>
        <v/>
      </c>
      <c r="Z506" s="7">
        <f>IF($AB506="","",S506+V506+Q506)</f>
        <v/>
      </c>
      <c r="AA506" s="7">
        <f>IF($AB506="","",Z506-X506-M506)</f>
        <v/>
      </c>
      <c r="AB506" s="13">
        <f>IF(ROWS($AB$2:$AB506)&lt;=MAX('Per Line'!$AK$2:$AK$4001),MATCH(ROWS($AB$2:$AB506),'Per Line'!$AK$2:$AK$4001,0),"")</f>
        <v/>
      </c>
      <c r="AC506" s="14">
        <f>IF($AB506="","",M506-L506*Z506/100)</f>
        <v/>
      </c>
    </row>
    <row r="507">
      <c r="A507" s="12" t="n"/>
      <c r="B507">
        <f>IF($AB507="","",INDEX('Per Line'!$C$2:$C$4001,$AB507)&amp;"")</f>
        <v/>
      </c>
      <c r="C507">
        <f>IF($AB507="","",INDEX('Per Line'!$D$2:$D$4001,$AB507)&amp;"")</f>
        <v/>
      </c>
      <c r="D507">
        <f>IF($AB507="","",INDEX('Per Line'!$B$2:$B$4001,$AB507)&amp;"")</f>
        <v/>
      </c>
      <c r="E507">
        <f>IF($AB507="","",INDEX('Per Line'!$A$2:$A$4001,$AB507))</f>
        <v/>
      </c>
      <c r="F507" s="11">
        <f>IF($AB507="","",INDEX('Per Line'!$E$2:$E$4001,$AB507))</f>
        <v/>
      </c>
      <c r="G507">
        <f>IF($AB507="","",INDEX('Per Line'!$F$2:$F$4001,$AB507)&amp;"")</f>
        <v/>
      </c>
      <c r="H507">
        <f>IF($AB507="","",INDEX('Per Line'!$H$2:$H$4001,$AB507)&amp;"")</f>
        <v/>
      </c>
      <c r="I507">
        <f>IF($AB507="","",INDEX('Per Line'!$I$2:$I$4001,$AB507)&amp;"")</f>
        <v/>
      </c>
      <c r="J507">
        <f>IF($AB507="","",INDEX('Per Line'!$J$2:$J$4001,$AB507)&amp;"")</f>
        <v/>
      </c>
      <c r="K507">
        <f>IF($AB507="","",INDEX('Per Line'!$K$2:$K$4001,$AB507)&amp;"")</f>
        <v/>
      </c>
      <c r="L507">
        <f>IF($AB507="","",INDEX('Per Line'!$L$2:$L$4001,$AB507))</f>
        <v/>
      </c>
      <c r="M507" s="7">
        <f>IF($AB507="","",IF(AND(ISNUMBER(O507),O507&gt;0,Z507&gt;O507),L507*O507/100+(Z507-O507),L507*Z507/100))</f>
        <v/>
      </c>
      <c r="N507">
        <f>IF($AB507="","",INDEX('Per Line'!$V$2:$V$4001,$AB507)&amp;"")</f>
        <v/>
      </c>
      <c r="O507">
        <f>IF($AB507="","",INDEX('Per Line'!$Z$2:$Z$4001,$AB507))</f>
        <v/>
      </c>
      <c r="P507">
        <f>IF($AB507="","",IF(AND(ISNUMBER(O507),O507&gt;0),Z507&gt;O507,FALSE))</f>
        <v/>
      </c>
      <c r="Q507" s="7">
        <f>IF($AB507="","",SUMIFS('Per Line'!$U$2:$U$4001,'Per Line'!$C$2:$C$4001,$B507,'Per Line'!$AM$2:$AM$4001,1))</f>
        <v/>
      </c>
      <c r="R507">
        <f>IF($AB507="","",Settings!$C$7)</f>
        <v/>
      </c>
      <c r="S507" s="7">
        <f>IF($AB507="","",SUMIFS('Per Line'!$U$2:$U$4001,'Per Line'!$C$2:$C$4001,$B507,'Per Line'!$AL$2:$AL$4001,0,'Per Line'!$AM$2:$AM$4001,0))</f>
        <v/>
      </c>
      <c r="T507" s="7">
        <f>IF($AB507="","",S507*R507)</f>
        <v/>
      </c>
      <c r="U507">
        <f>IF($AB507="","",Settings!$C$6)</f>
        <v/>
      </c>
      <c r="V507" s="7">
        <f>IF($AB507="","",SUMIFS('Per Line'!$U$2:$U$4001,'Per Line'!$C$2:$C$4001,$B507,'Per Line'!$AL$2:$AL$4001,1,'Per Line'!$AM$2:$AM$4001,0))</f>
        <v/>
      </c>
      <c r="W507" s="7">
        <f>IF($AB507="","",V507*U507)</f>
        <v/>
      </c>
      <c r="X507" s="7">
        <f>IF($AB507="","",W507+T507)</f>
        <v/>
      </c>
      <c r="Y507" s="7">
        <f>IF($AB507="","",Z507-X507)</f>
        <v/>
      </c>
      <c r="Z507" s="7">
        <f>IF($AB507="","",S507+V507+Q507)</f>
        <v/>
      </c>
      <c r="AA507" s="7">
        <f>IF($AB507="","",Z507-X507-M507)</f>
        <v/>
      </c>
      <c r="AB507" s="13">
        <f>IF(ROWS($AB$2:$AB507)&lt;=MAX('Per Line'!$AK$2:$AK$4001),MATCH(ROWS($AB$2:$AB507),'Per Line'!$AK$2:$AK$4001,0),"")</f>
        <v/>
      </c>
      <c r="AC507" s="14">
        <f>IF($AB507="","",M507-L507*Z507/100)</f>
        <v/>
      </c>
    </row>
    <row r="508">
      <c r="A508" s="12" t="n"/>
      <c r="B508">
        <f>IF($AB508="","",INDEX('Per Line'!$C$2:$C$4001,$AB508)&amp;"")</f>
        <v/>
      </c>
      <c r="C508">
        <f>IF($AB508="","",INDEX('Per Line'!$D$2:$D$4001,$AB508)&amp;"")</f>
        <v/>
      </c>
      <c r="D508">
        <f>IF($AB508="","",INDEX('Per Line'!$B$2:$B$4001,$AB508)&amp;"")</f>
        <v/>
      </c>
      <c r="E508">
        <f>IF($AB508="","",INDEX('Per Line'!$A$2:$A$4001,$AB508))</f>
        <v/>
      </c>
      <c r="F508" s="11">
        <f>IF($AB508="","",INDEX('Per Line'!$E$2:$E$4001,$AB508))</f>
        <v/>
      </c>
      <c r="G508">
        <f>IF($AB508="","",INDEX('Per Line'!$F$2:$F$4001,$AB508)&amp;"")</f>
        <v/>
      </c>
      <c r="H508">
        <f>IF($AB508="","",INDEX('Per Line'!$H$2:$H$4001,$AB508)&amp;"")</f>
        <v/>
      </c>
      <c r="I508">
        <f>IF($AB508="","",INDEX('Per Line'!$I$2:$I$4001,$AB508)&amp;"")</f>
        <v/>
      </c>
      <c r="J508">
        <f>IF($AB508="","",INDEX('Per Line'!$J$2:$J$4001,$AB508)&amp;"")</f>
        <v/>
      </c>
      <c r="K508">
        <f>IF($AB508="","",INDEX('Per Line'!$K$2:$K$4001,$AB508)&amp;"")</f>
        <v/>
      </c>
      <c r="L508">
        <f>IF($AB508="","",INDEX('Per Line'!$L$2:$L$4001,$AB508))</f>
        <v/>
      </c>
      <c r="M508" s="7">
        <f>IF($AB508="","",IF(AND(ISNUMBER(O508),O508&gt;0,Z508&gt;O508),L508*O508/100+(Z508-O508),L508*Z508/100))</f>
        <v/>
      </c>
      <c r="N508">
        <f>IF($AB508="","",INDEX('Per Line'!$V$2:$V$4001,$AB508)&amp;"")</f>
        <v/>
      </c>
      <c r="O508">
        <f>IF($AB508="","",INDEX('Per Line'!$Z$2:$Z$4001,$AB508))</f>
        <v/>
      </c>
      <c r="P508">
        <f>IF($AB508="","",IF(AND(ISNUMBER(O508),O508&gt;0),Z508&gt;O508,FALSE))</f>
        <v/>
      </c>
      <c r="Q508" s="7">
        <f>IF($AB508="","",SUMIFS('Per Line'!$U$2:$U$4001,'Per Line'!$C$2:$C$4001,$B508,'Per Line'!$AM$2:$AM$4001,1))</f>
        <v/>
      </c>
      <c r="R508">
        <f>IF($AB508="","",Settings!$C$7)</f>
        <v/>
      </c>
      <c r="S508" s="7">
        <f>IF($AB508="","",SUMIFS('Per Line'!$U$2:$U$4001,'Per Line'!$C$2:$C$4001,$B508,'Per Line'!$AL$2:$AL$4001,0,'Per Line'!$AM$2:$AM$4001,0))</f>
        <v/>
      </c>
      <c r="T508" s="7">
        <f>IF($AB508="","",S508*R508)</f>
        <v/>
      </c>
      <c r="U508">
        <f>IF($AB508="","",Settings!$C$6)</f>
        <v/>
      </c>
      <c r="V508" s="7">
        <f>IF($AB508="","",SUMIFS('Per Line'!$U$2:$U$4001,'Per Line'!$C$2:$C$4001,$B508,'Per Line'!$AL$2:$AL$4001,1,'Per Line'!$AM$2:$AM$4001,0))</f>
        <v/>
      </c>
      <c r="W508" s="7">
        <f>IF($AB508="","",V508*U508)</f>
        <v/>
      </c>
      <c r="X508" s="7">
        <f>IF($AB508="","",W508+T508)</f>
        <v/>
      </c>
      <c r="Y508" s="7">
        <f>IF($AB508="","",Z508-X508)</f>
        <v/>
      </c>
      <c r="Z508" s="7">
        <f>IF($AB508="","",S508+V508+Q508)</f>
        <v/>
      </c>
      <c r="AA508" s="7">
        <f>IF($AB508="","",Z508-X508-M508)</f>
        <v/>
      </c>
      <c r="AB508" s="13">
        <f>IF(ROWS($AB$2:$AB508)&lt;=MAX('Per Line'!$AK$2:$AK$4001),MATCH(ROWS($AB$2:$AB508),'Per Line'!$AK$2:$AK$4001,0),"")</f>
        <v/>
      </c>
      <c r="AC508" s="14">
        <f>IF($AB508="","",M508-L508*Z508/100)</f>
        <v/>
      </c>
    </row>
    <row r="509">
      <c r="A509" s="12" t="n"/>
      <c r="B509">
        <f>IF($AB509="","",INDEX('Per Line'!$C$2:$C$4001,$AB509)&amp;"")</f>
        <v/>
      </c>
      <c r="C509">
        <f>IF($AB509="","",INDEX('Per Line'!$D$2:$D$4001,$AB509)&amp;"")</f>
        <v/>
      </c>
      <c r="D509">
        <f>IF($AB509="","",INDEX('Per Line'!$B$2:$B$4001,$AB509)&amp;"")</f>
        <v/>
      </c>
      <c r="E509">
        <f>IF($AB509="","",INDEX('Per Line'!$A$2:$A$4001,$AB509))</f>
        <v/>
      </c>
      <c r="F509" s="11">
        <f>IF($AB509="","",INDEX('Per Line'!$E$2:$E$4001,$AB509))</f>
        <v/>
      </c>
      <c r="G509">
        <f>IF($AB509="","",INDEX('Per Line'!$F$2:$F$4001,$AB509)&amp;"")</f>
        <v/>
      </c>
      <c r="H509">
        <f>IF($AB509="","",INDEX('Per Line'!$H$2:$H$4001,$AB509)&amp;"")</f>
        <v/>
      </c>
      <c r="I509">
        <f>IF($AB509="","",INDEX('Per Line'!$I$2:$I$4001,$AB509)&amp;"")</f>
        <v/>
      </c>
      <c r="J509">
        <f>IF($AB509="","",INDEX('Per Line'!$J$2:$J$4001,$AB509)&amp;"")</f>
        <v/>
      </c>
      <c r="K509">
        <f>IF($AB509="","",INDEX('Per Line'!$K$2:$K$4001,$AB509)&amp;"")</f>
        <v/>
      </c>
      <c r="L509">
        <f>IF($AB509="","",INDEX('Per Line'!$L$2:$L$4001,$AB509))</f>
        <v/>
      </c>
      <c r="M509" s="7">
        <f>IF($AB509="","",IF(AND(ISNUMBER(O509),O509&gt;0,Z509&gt;O509),L509*O509/100+(Z509-O509),L509*Z509/100))</f>
        <v/>
      </c>
      <c r="N509">
        <f>IF($AB509="","",INDEX('Per Line'!$V$2:$V$4001,$AB509)&amp;"")</f>
        <v/>
      </c>
      <c r="O509">
        <f>IF($AB509="","",INDEX('Per Line'!$Z$2:$Z$4001,$AB509))</f>
        <v/>
      </c>
      <c r="P509">
        <f>IF($AB509="","",IF(AND(ISNUMBER(O509),O509&gt;0),Z509&gt;O509,FALSE))</f>
        <v/>
      </c>
      <c r="Q509" s="7">
        <f>IF($AB509="","",SUMIFS('Per Line'!$U$2:$U$4001,'Per Line'!$C$2:$C$4001,$B509,'Per Line'!$AM$2:$AM$4001,1))</f>
        <v/>
      </c>
      <c r="R509">
        <f>IF($AB509="","",Settings!$C$7)</f>
        <v/>
      </c>
      <c r="S509" s="7">
        <f>IF($AB509="","",SUMIFS('Per Line'!$U$2:$U$4001,'Per Line'!$C$2:$C$4001,$B509,'Per Line'!$AL$2:$AL$4001,0,'Per Line'!$AM$2:$AM$4001,0))</f>
        <v/>
      </c>
      <c r="T509" s="7">
        <f>IF($AB509="","",S509*R509)</f>
        <v/>
      </c>
      <c r="U509">
        <f>IF($AB509="","",Settings!$C$6)</f>
        <v/>
      </c>
      <c r="V509" s="7">
        <f>IF($AB509="","",SUMIFS('Per Line'!$U$2:$U$4001,'Per Line'!$C$2:$C$4001,$B509,'Per Line'!$AL$2:$AL$4001,1,'Per Line'!$AM$2:$AM$4001,0))</f>
        <v/>
      </c>
      <c r="W509" s="7">
        <f>IF($AB509="","",V509*U509)</f>
        <v/>
      </c>
      <c r="X509" s="7">
        <f>IF($AB509="","",W509+T509)</f>
        <v/>
      </c>
      <c r="Y509" s="7">
        <f>IF($AB509="","",Z509-X509)</f>
        <v/>
      </c>
      <c r="Z509" s="7">
        <f>IF($AB509="","",S509+V509+Q509)</f>
        <v/>
      </c>
      <c r="AA509" s="7">
        <f>IF($AB509="","",Z509-X509-M509)</f>
        <v/>
      </c>
      <c r="AB509" s="13">
        <f>IF(ROWS($AB$2:$AB509)&lt;=MAX('Per Line'!$AK$2:$AK$4001),MATCH(ROWS($AB$2:$AB509),'Per Line'!$AK$2:$AK$4001,0),"")</f>
        <v/>
      </c>
      <c r="AC509" s="14">
        <f>IF($AB509="","",M509-L509*Z509/100)</f>
        <v/>
      </c>
    </row>
    <row r="510">
      <c r="A510" s="12" t="n"/>
      <c r="B510">
        <f>IF($AB510="","",INDEX('Per Line'!$C$2:$C$4001,$AB510)&amp;"")</f>
        <v/>
      </c>
      <c r="C510">
        <f>IF($AB510="","",INDEX('Per Line'!$D$2:$D$4001,$AB510)&amp;"")</f>
        <v/>
      </c>
      <c r="D510">
        <f>IF($AB510="","",INDEX('Per Line'!$B$2:$B$4001,$AB510)&amp;"")</f>
        <v/>
      </c>
      <c r="E510">
        <f>IF($AB510="","",INDEX('Per Line'!$A$2:$A$4001,$AB510))</f>
        <v/>
      </c>
      <c r="F510" s="11">
        <f>IF($AB510="","",INDEX('Per Line'!$E$2:$E$4001,$AB510))</f>
        <v/>
      </c>
      <c r="G510">
        <f>IF($AB510="","",INDEX('Per Line'!$F$2:$F$4001,$AB510)&amp;"")</f>
        <v/>
      </c>
      <c r="H510">
        <f>IF($AB510="","",INDEX('Per Line'!$H$2:$H$4001,$AB510)&amp;"")</f>
        <v/>
      </c>
      <c r="I510">
        <f>IF($AB510="","",INDEX('Per Line'!$I$2:$I$4001,$AB510)&amp;"")</f>
        <v/>
      </c>
      <c r="J510">
        <f>IF($AB510="","",INDEX('Per Line'!$J$2:$J$4001,$AB510)&amp;"")</f>
        <v/>
      </c>
      <c r="K510">
        <f>IF($AB510="","",INDEX('Per Line'!$K$2:$K$4001,$AB510)&amp;"")</f>
        <v/>
      </c>
      <c r="L510">
        <f>IF($AB510="","",INDEX('Per Line'!$L$2:$L$4001,$AB510))</f>
        <v/>
      </c>
      <c r="M510" s="7">
        <f>IF($AB510="","",IF(AND(ISNUMBER(O510),O510&gt;0,Z510&gt;O510),L510*O510/100+(Z510-O510),L510*Z510/100))</f>
        <v/>
      </c>
      <c r="N510">
        <f>IF($AB510="","",INDEX('Per Line'!$V$2:$V$4001,$AB510)&amp;"")</f>
        <v/>
      </c>
      <c r="O510">
        <f>IF($AB510="","",INDEX('Per Line'!$Z$2:$Z$4001,$AB510))</f>
        <v/>
      </c>
      <c r="P510">
        <f>IF($AB510="","",IF(AND(ISNUMBER(O510),O510&gt;0),Z510&gt;O510,FALSE))</f>
        <v/>
      </c>
      <c r="Q510" s="7">
        <f>IF($AB510="","",SUMIFS('Per Line'!$U$2:$U$4001,'Per Line'!$C$2:$C$4001,$B510,'Per Line'!$AM$2:$AM$4001,1))</f>
        <v/>
      </c>
      <c r="R510">
        <f>IF($AB510="","",Settings!$C$7)</f>
        <v/>
      </c>
      <c r="S510" s="7">
        <f>IF($AB510="","",SUMIFS('Per Line'!$U$2:$U$4001,'Per Line'!$C$2:$C$4001,$B510,'Per Line'!$AL$2:$AL$4001,0,'Per Line'!$AM$2:$AM$4001,0))</f>
        <v/>
      </c>
      <c r="T510" s="7">
        <f>IF($AB510="","",S510*R510)</f>
        <v/>
      </c>
      <c r="U510">
        <f>IF($AB510="","",Settings!$C$6)</f>
        <v/>
      </c>
      <c r="V510" s="7">
        <f>IF($AB510="","",SUMIFS('Per Line'!$U$2:$U$4001,'Per Line'!$C$2:$C$4001,$B510,'Per Line'!$AL$2:$AL$4001,1,'Per Line'!$AM$2:$AM$4001,0))</f>
        <v/>
      </c>
      <c r="W510" s="7">
        <f>IF($AB510="","",V510*U510)</f>
        <v/>
      </c>
      <c r="X510" s="7">
        <f>IF($AB510="","",W510+T510)</f>
        <v/>
      </c>
      <c r="Y510" s="7">
        <f>IF($AB510="","",Z510-X510)</f>
        <v/>
      </c>
      <c r="Z510" s="7">
        <f>IF($AB510="","",S510+V510+Q510)</f>
        <v/>
      </c>
      <c r="AA510" s="7">
        <f>IF($AB510="","",Z510-X510-M510)</f>
        <v/>
      </c>
      <c r="AB510" s="13">
        <f>IF(ROWS($AB$2:$AB510)&lt;=MAX('Per Line'!$AK$2:$AK$4001),MATCH(ROWS($AB$2:$AB510),'Per Line'!$AK$2:$AK$4001,0),"")</f>
        <v/>
      </c>
      <c r="AC510" s="14">
        <f>IF($AB510="","",M510-L510*Z510/100)</f>
        <v/>
      </c>
    </row>
    <row r="511">
      <c r="A511" s="12" t="n"/>
      <c r="B511">
        <f>IF($AB511="","",INDEX('Per Line'!$C$2:$C$4001,$AB511)&amp;"")</f>
        <v/>
      </c>
      <c r="C511">
        <f>IF($AB511="","",INDEX('Per Line'!$D$2:$D$4001,$AB511)&amp;"")</f>
        <v/>
      </c>
      <c r="D511">
        <f>IF($AB511="","",INDEX('Per Line'!$B$2:$B$4001,$AB511)&amp;"")</f>
        <v/>
      </c>
      <c r="E511">
        <f>IF($AB511="","",INDEX('Per Line'!$A$2:$A$4001,$AB511))</f>
        <v/>
      </c>
      <c r="F511" s="11">
        <f>IF($AB511="","",INDEX('Per Line'!$E$2:$E$4001,$AB511))</f>
        <v/>
      </c>
      <c r="G511">
        <f>IF($AB511="","",INDEX('Per Line'!$F$2:$F$4001,$AB511)&amp;"")</f>
        <v/>
      </c>
      <c r="H511">
        <f>IF($AB511="","",INDEX('Per Line'!$H$2:$H$4001,$AB511)&amp;"")</f>
        <v/>
      </c>
      <c r="I511">
        <f>IF($AB511="","",INDEX('Per Line'!$I$2:$I$4001,$AB511)&amp;"")</f>
        <v/>
      </c>
      <c r="J511">
        <f>IF($AB511="","",INDEX('Per Line'!$J$2:$J$4001,$AB511)&amp;"")</f>
        <v/>
      </c>
      <c r="K511">
        <f>IF($AB511="","",INDEX('Per Line'!$K$2:$K$4001,$AB511)&amp;"")</f>
        <v/>
      </c>
      <c r="L511">
        <f>IF($AB511="","",INDEX('Per Line'!$L$2:$L$4001,$AB511))</f>
        <v/>
      </c>
      <c r="M511" s="7">
        <f>IF($AB511="","",IF(AND(ISNUMBER(O511),O511&gt;0,Z511&gt;O511),L511*O511/100+(Z511-O511),L511*Z511/100))</f>
        <v/>
      </c>
      <c r="N511">
        <f>IF($AB511="","",INDEX('Per Line'!$V$2:$V$4001,$AB511)&amp;"")</f>
        <v/>
      </c>
      <c r="O511">
        <f>IF($AB511="","",INDEX('Per Line'!$Z$2:$Z$4001,$AB511))</f>
        <v/>
      </c>
      <c r="P511">
        <f>IF($AB511="","",IF(AND(ISNUMBER(O511),O511&gt;0),Z511&gt;O511,FALSE))</f>
        <v/>
      </c>
      <c r="Q511" s="7">
        <f>IF($AB511="","",SUMIFS('Per Line'!$U$2:$U$4001,'Per Line'!$C$2:$C$4001,$B511,'Per Line'!$AM$2:$AM$4001,1))</f>
        <v/>
      </c>
      <c r="R511">
        <f>IF($AB511="","",Settings!$C$7)</f>
        <v/>
      </c>
      <c r="S511" s="7">
        <f>IF($AB511="","",SUMIFS('Per Line'!$U$2:$U$4001,'Per Line'!$C$2:$C$4001,$B511,'Per Line'!$AL$2:$AL$4001,0,'Per Line'!$AM$2:$AM$4001,0))</f>
        <v/>
      </c>
      <c r="T511" s="7">
        <f>IF($AB511="","",S511*R511)</f>
        <v/>
      </c>
      <c r="U511">
        <f>IF($AB511="","",Settings!$C$6)</f>
        <v/>
      </c>
      <c r="V511" s="7">
        <f>IF($AB511="","",SUMIFS('Per Line'!$U$2:$U$4001,'Per Line'!$C$2:$C$4001,$B511,'Per Line'!$AL$2:$AL$4001,1,'Per Line'!$AM$2:$AM$4001,0))</f>
        <v/>
      </c>
      <c r="W511" s="7">
        <f>IF($AB511="","",V511*U511)</f>
        <v/>
      </c>
      <c r="X511" s="7">
        <f>IF($AB511="","",W511+T511)</f>
        <v/>
      </c>
      <c r="Y511" s="7">
        <f>IF($AB511="","",Z511-X511)</f>
        <v/>
      </c>
      <c r="Z511" s="7">
        <f>IF($AB511="","",S511+V511+Q511)</f>
        <v/>
      </c>
      <c r="AA511" s="7">
        <f>IF($AB511="","",Z511-X511-M511)</f>
        <v/>
      </c>
      <c r="AB511" s="13">
        <f>IF(ROWS($AB$2:$AB511)&lt;=MAX('Per Line'!$AK$2:$AK$4001),MATCH(ROWS($AB$2:$AB511),'Per Line'!$AK$2:$AK$4001,0),"")</f>
        <v/>
      </c>
      <c r="AC511" s="14">
        <f>IF($AB511="","",M511-L511*Z511/100)</f>
        <v/>
      </c>
    </row>
    <row r="512">
      <c r="A512" s="12" t="n"/>
      <c r="B512">
        <f>IF($AB512="","",INDEX('Per Line'!$C$2:$C$4001,$AB512)&amp;"")</f>
        <v/>
      </c>
      <c r="C512">
        <f>IF($AB512="","",INDEX('Per Line'!$D$2:$D$4001,$AB512)&amp;"")</f>
        <v/>
      </c>
      <c r="D512">
        <f>IF($AB512="","",INDEX('Per Line'!$B$2:$B$4001,$AB512)&amp;"")</f>
        <v/>
      </c>
      <c r="E512">
        <f>IF($AB512="","",INDEX('Per Line'!$A$2:$A$4001,$AB512))</f>
        <v/>
      </c>
      <c r="F512" s="11">
        <f>IF($AB512="","",INDEX('Per Line'!$E$2:$E$4001,$AB512))</f>
        <v/>
      </c>
      <c r="G512">
        <f>IF($AB512="","",INDEX('Per Line'!$F$2:$F$4001,$AB512)&amp;"")</f>
        <v/>
      </c>
      <c r="H512">
        <f>IF($AB512="","",INDEX('Per Line'!$H$2:$H$4001,$AB512)&amp;"")</f>
        <v/>
      </c>
      <c r="I512">
        <f>IF($AB512="","",INDEX('Per Line'!$I$2:$I$4001,$AB512)&amp;"")</f>
        <v/>
      </c>
      <c r="J512">
        <f>IF($AB512="","",INDEX('Per Line'!$J$2:$J$4001,$AB512)&amp;"")</f>
        <v/>
      </c>
      <c r="K512">
        <f>IF($AB512="","",INDEX('Per Line'!$K$2:$K$4001,$AB512)&amp;"")</f>
        <v/>
      </c>
      <c r="L512">
        <f>IF($AB512="","",INDEX('Per Line'!$L$2:$L$4001,$AB512))</f>
        <v/>
      </c>
      <c r="M512" s="7">
        <f>IF($AB512="","",IF(AND(ISNUMBER(O512),O512&gt;0,Z512&gt;O512),L512*O512/100+(Z512-O512),L512*Z512/100))</f>
        <v/>
      </c>
      <c r="N512">
        <f>IF($AB512="","",INDEX('Per Line'!$V$2:$V$4001,$AB512)&amp;"")</f>
        <v/>
      </c>
      <c r="O512">
        <f>IF($AB512="","",INDEX('Per Line'!$Z$2:$Z$4001,$AB512))</f>
        <v/>
      </c>
      <c r="P512">
        <f>IF($AB512="","",IF(AND(ISNUMBER(O512),O512&gt;0),Z512&gt;O512,FALSE))</f>
        <v/>
      </c>
      <c r="Q512" s="7">
        <f>IF($AB512="","",SUMIFS('Per Line'!$U$2:$U$4001,'Per Line'!$C$2:$C$4001,$B512,'Per Line'!$AM$2:$AM$4001,1))</f>
        <v/>
      </c>
      <c r="R512">
        <f>IF($AB512="","",Settings!$C$7)</f>
        <v/>
      </c>
      <c r="S512" s="7">
        <f>IF($AB512="","",SUMIFS('Per Line'!$U$2:$U$4001,'Per Line'!$C$2:$C$4001,$B512,'Per Line'!$AL$2:$AL$4001,0,'Per Line'!$AM$2:$AM$4001,0))</f>
        <v/>
      </c>
      <c r="T512" s="7">
        <f>IF($AB512="","",S512*R512)</f>
        <v/>
      </c>
      <c r="U512">
        <f>IF($AB512="","",Settings!$C$6)</f>
        <v/>
      </c>
      <c r="V512" s="7">
        <f>IF($AB512="","",SUMIFS('Per Line'!$U$2:$U$4001,'Per Line'!$C$2:$C$4001,$B512,'Per Line'!$AL$2:$AL$4001,1,'Per Line'!$AM$2:$AM$4001,0))</f>
        <v/>
      </c>
      <c r="W512" s="7">
        <f>IF($AB512="","",V512*U512)</f>
        <v/>
      </c>
      <c r="X512" s="7">
        <f>IF($AB512="","",W512+T512)</f>
        <v/>
      </c>
      <c r="Y512" s="7">
        <f>IF($AB512="","",Z512-X512)</f>
        <v/>
      </c>
      <c r="Z512" s="7">
        <f>IF($AB512="","",S512+V512+Q512)</f>
        <v/>
      </c>
      <c r="AA512" s="7">
        <f>IF($AB512="","",Z512-X512-M512)</f>
        <v/>
      </c>
      <c r="AB512" s="13">
        <f>IF(ROWS($AB$2:$AB512)&lt;=MAX('Per Line'!$AK$2:$AK$4001),MATCH(ROWS($AB$2:$AB512),'Per Line'!$AK$2:$AK$4001,0),"")</f>
        <v/>
      </c>
      <c r="AC512" s="14">
        <f>IF($AB512="","",M512-L512*Z512/100)</f>
        <v/>
      </c>
    </row>
    <row r="513">
      <c r="A513" s="12" t="n"/>
      <c r="B513">
        <f>IF($AB513="","",INDEX('Per Line'!$C$2:$C$4001,$AB513)&amp;"")</f>
        <v/>
      </c>
      <c r="C513">
        <f>IF($AB513="","",INDEX('Per Line'!$D$2:$D$4001,$AB513)&amp;"")</f>
        <v/>
      </c>
      <c r="D513">
        <f>IF($AB513="","",INDEX('Per Line'!$B$2:$B$4001,$AB513)&amp;"")</f>
        <v/>
      </c>
      <c r="E513">
        <f>IF($AB513="","",INDEX('Per Line'!$A$2:$A$4001,$AB513))</f>
        <v/>
      </c>
      <c r="F513" s="11">
        <f>IF($AB513="","",INDEX('Per Line'!$E$2:$E$4001,$AB513))</f>
        <v/>
      </c>
      <c r="G513">
        <f>IF($AB513="","",INDEX('Per Line'!$F$2:$F$4001,$AB513)&amp;"")</f>
        <v/>
      </c>
      <c r="H513">
        <f>IF($AB513="","",INDEX('Per Line'!$H$2:$H$4001,$AB513)&amp;"")</f>
        <v/>
      </c>
      <c r="I513">
        <f>IF($AB513="","",INDEX('Per Line'!$I$2:$I$4001,$AB513)&amp;"")</f>
        <v/>
      </c>
      <c r="J513">
        <f>IF($AB513="","",INDEX('Per Line'!$J$2:$J$4001,$AB513)&amp;"")</f>
        <v/>
      </c>
      <c r="K513">
        <f>IF($AB513="","",INDEX('Per Line'!$K$2:$K$4001,$AB513)&amp;"")</f>
        <v/>
      </c>
      <c r="L513">
        <f>IF($AB513="","",INDEX('Per Line'!$L$2:$L$4001,$AB513))</f>
        <v/>
      </c>
      <c r="M513" s="7">
        <f>IF($AB513="","",IF(AND(ISNUMBER(O513),O513&gt;0,Z513&gt;O513),L513*O513/100+(Z513-O513),L513*Z513/100))</f>
        <v/>
      </c>
      <c r="N513">
        <f>IF($AB513="","",INDEX('Per Line'!$V$2:$V$4001,$AB513)&amp;"")</f>
        <v/>
      </c>
      <c r="O513">
        <f>IF($AB513="","",INDEX('Per Line'!$Z$2:$Z$4001,$AB513))</f>
        <v/>
      </c>
      <c r="P513">
        <f>IF($AB513="","",IF(AND(ISNUMBER(O513),O513&gt;0),Z513&gt;O513,FALSE))</f>
        <v/>
      </c>
      <c r="Q513" s="7">
        <f>IF($AB513="","",SUMIFS('Per Line'!$U$2:$U$4001,'Per Line'!$C$2:$C$4001,$B513,'Per Line'!$AM$2:$AM$4001,1))</f>
        <v/>
      </c>
      <c r="R513">
        <f>IF($AB513="","",Settings!$C$7)</f>
        <v/>
      </c>
      <c r="S513" s="7">
        <f>IF($AB513="","",SUMIFS('Per Line'!$U$2:$U$4001,'Per Line'!$C$2:$C$4001,$B513,'Per Line'!$AL$2:$AL$4001,0,'Per Line'!$AM$2:$AM$4001,0))</f>
        <v/>
      </c>
      <c r="T513" s="7">
        <f>IF($AB513="","",S513*R513)</f>
        <v/>
      </c>
      <c r="U513">
        <f>IF($AB513="","",Settings!$C$6)</f>
        <v/>
      </c>
      <c r="V513" s="7">
        <f>IF($AB513="","",SUMIFS('Per Line'!$U$2:$U$4001,'Per Line'!$C$2:$C$4001,$B513,'Per Line'!$AL$2:$AL$4001,1,'Per Line'!$AM$2:$AM$4001,0))</f>
        <v/>
      </c>
      <c r="W513" s="7">
        <f>IF($AB513="","",V513*U513)</f>
        <v/>
      </c>
      <c r="X513" s="7">
        <f>IF($AB513="","",W513+T513)</f>
        <v/>
      </c>
      <c r="Y513" s="7">
        <f>IF($AB513="","",Z513-X513)</f>
        <v/>
      </c>
      <c r="Z513" s="7">
        <f>IF($AB513="","",S513+V513+Q513)</f>
        <v/>
      </c>
      <c r="AA513" s="7">
        <f>IF($AB513="","",Z513-X513-M513)</f>
        <v/>
      </c>
      <c r="AB513" s="13">
        <f>IF(ROWS($AB$2:$AB513)&lt;=MAX('Per Line'!$AK$2:$AK$4001),MATCH(ROWS($AB$2:$AB513),'Per Line'!$AK$2:$AK$4001,0),"")</f>
        <v/>
      </c>
      <c r="AC513" s="14">
        <f>IF($AB513="","",M513-L513*Z513/100)</f>
        <v/>
      </c>
    </row>
    <row r="514">
      <c r="A514" s="12" t="n"/>
      <c r="B514">
        <f>IF($AB514="","",INDEX('Per Line'!$C$2:$C$4001,$AB514)&amp;"")</f>
        <v/>
      </c>
      <c r="C514">
        <f>IF($AB514="","",INDEX('Per Line'!$D$2:$D$4001,$AB514)&amp;"")</f>
        <v/>
      </c>
      <c r="D514">
        <f>IF($AB514="","",INDEX('Per Line'!$B$2:$B$4001,$AB514)&amp;"")</f>
        <v/>
      </c>
      <c r="E514">
        <f>IF($AB514="","",INDEX('Per Line'!$A$2:$A$4001,$AB514))</f>
        <v/>
      </c>
      <c r="F514" s="11">
        <f>IF($AB514="","",INDEX('Per Line'!$E$2:$E$4001,$AB514))</f>
        <v/>
      </c>
      <c r="G514">
        <f>IF($AB514="","",INDEX('Per Line'!$F$2:$F$4001,$AB514)&amp;"")</f>
        <v/>
      </c>
      <c r="H514">
        <f>IF($AB514="","",INDEX('Per Line'!$H$2:$H$4001,$AB514)&amp;"")</f>
        <v/>
      </c>
      <c r="I514">
        <f>IF($AB514="","",INDEX('Per Line'!$I$2:$I$4001,$AB514)&amp;"")</f>
        <v/>
      </c>
      <c r="J514">
        <f>IF($AB514="","",INDEX('Per Line'!$J$2:$J$4001,$AB514)&amp;"")</f>
        <v/>
      </c>
      <c r="K514">
        <f>IF($AB514="","",INDEX('Per Line'!$K$2:$K$4001,$AB514)&amp;"")</f>
        <v/>
      </c>
      <c r="L514">
        <f>IF($AB514="","",INDEX('Per Line'!$L$2:$L$4001,$AB514))</f>
        <v/>
      </c>
      <c r="M514" s="7">
        <f>IF($AB514="","",IF(AND(ISNUMBER(O514),O514&gt;0,Z514&gt;O514),L514*O514/100+(Z514-O514),L514*Z514/100))</f>
        <v/>
      </c>
      <c r="N514">
        <f>IF($AB514="","",INDEX('Per Line'!$V$2:$V$4001,$AB514)&amp;"")</f>
        <v/>
      </c>
      <c r="O514">
        <f>IF($AB514="","",INDEX('Per Line'!$Z$2:$Z$4001,$AB514))</f>
        <v/>
      </c>
      <c r="P514">
        <f>IF($AB514="","",IF(AND(ISNUMBER(O514),O514&gt;0),Z514&gt;O514,FALSE))</f>
        <v/>
      </c>
      <c r="Q514" s="7">
        <f>IF($AB514="","",SUMIFS('Per Line'!$U$2:$U$4001,'Per Line'!$C$2:$C$4001,$B514,'Per Line'!$AM$2:$AM$4001,1))</f>
        <v/>
      </c>
      <c r="R514">
        <f>IF($AB514="","",Settings!$C$7)</f>
        <v/>
      </c>
      <c r="S514" s="7">
        <f>IF($AB514="","",SUMIFS('Per Line'!$U$2:$U$4001,'Per Line'!$C$2:$C$4001,$B514,'Per Line'!$AL$2:$AL$4001,0,'Per Line'!$AM$2:$AM$4001,0))</f>
        <v/>
      </c>
      <c r="T514" s="7">
        <f>IF($AB514="","",S514*R514)</f>
        <v/>
      </c>
      <c r="U514">
        <f>IF($AB514="","",Settings!$C$6)</f>
        <v/>
      </c>
      <c r="V514" s="7">
        <f>IF($AB514="","",SUMIFS('Per Line'!$U$2:$U$4001,'Per Line'!$C$2:$C$4001,$B514,'Per Line'!$AL$2:$AL$4001,1,'Per Line'!$AM$2:$AM$4001,0))</f>
        <v/>
      </c>
      <c r="W514" s="7">
        <f>IF($AB514="","",V514*U514)</f>
        <v/>
      </c>
      <c r="X514" s="7">
        <f>IF($AB514="","",W514+T514)</f>
        <v/>
      </c>
      <c r="Y514" s="7">
        <f>IF($AB514="","",Z514-X514)</f>
        <v/>
      </c>
      <c r="Z514" s="7">
        <f>IF($AB514="","",S514+V514+Q514)</f>
        <v/>
      </c>
      <c r="AA514" s="7">
        <f>IF($AB514="","",Z514-X514-M514)</f>
        <v/>
      </c>
      <c r="AB514" s="13">
        <f>IF(ROWS($AB$2:$AB514)&lt;=MAX('Per Line'!$AK$2:$AK$4001),MATCH(ROWS($AB$2:$AB514),'Per Line'!$AK$2:$AK$4001,0),"")</f>
        <v/>
      </c>
      <c r="AC514" s="14">
        <f>IF($AB514="","",M514-L514*Z514/100)</f>
        <v/>
      </c>
    </row>
    <row r="515">
      <c r="A515" s="12" t="n"/>
      <c r="B515">
        <f>IF($AB515="","",INDEX('Per Line'!$C$2:$C$4001,$AB515)&amp;"")</f>
        <v/>
      </c>
      <c r="C515">
        <f>IF($AB515="","",INDEX('Per Line'!$D$2:$D$4001,$AB515)&amp;"")</f>
        <v/>
      </c>
      <c r="D515">
        <f>IF($AB515="","",INDEX('Per Line'!$B$2:$B$4001,$AB515)&amp;"")</f>
        <v/>
      </c>
      <c r="E515">
        <f>IF($AB515="","",INDEX('Per Line'!$A$2:$A$4001,$AB515))</f>
        <v/>
      </c>
      <c r="F515" s="11">
        <f>IF($AB515="","",INDEX('Per Line'!$E$2:$E$4001,$AB515))</f>
        <v/>
      </c>
      <c r="G515">
        <f>IF($AB515="","",INDEX('Per Line'!$F$2:$F$4001,$AB515)&amp;"")</f>
        <v/>
      </c>
      <c r="H515">
        <f>IF($AB515="","",INDEX('Per Line'!$H$2:$H$4001,$AB515)&amp;"")</f>
        <v/>
      </c>
      <c r="I515">
        <f>IF($AB515="","",INDEX('Per Line'!$I$2:$I$4001,$AB515)&amp;"")</f>
        <v/>
      </c>
      <c r="J515">
        <f>IF($AB515="","",INDEX('Per Line'!$J$2:$J$4001,$AB515)&amp;"")</f>
        <v/>
      </c>
      <c r="K515">
        <f>IF($AB515="","",INDEX('Per Line'!$K$2:$K$4001,$AB515)&amp;"")</f>
        <v/>
      </c>
      <c r="L515">
        <f>IF($AB515="","",INDEX('Per Line'!$L$2:$L$4001,$AB515))</f>
        <v/>
      </c>
      <c r="M515" s="7">
        <f>IF($AB515="","",IF(AND(ISNUMBER(O515),O515&gt;0,Z515&gt;O515),L515*O515/100+(Z515-O515),L515*Z515/100))</f>
        <v/>
      </c>
      <c r="N515">
        <f>IF($AB515="","",INDEX('Per Line'!$V$2:$V$4001,$AB515)&amp;"")</f>
        <v/>
      </c>
      <c r="O515">
        <f>IF($AB515="","",INDEX('Per Line'!$Z$2:$Z$4001,$AB515))</f>
        <v/>
      </c>
      <c r="P515">
        <f>IF($AB515="","",IF(AND(ISNUMBER(O515),O515&gt;0),Z515&gt;O515,FALSE))</f>
        <v/>
      </c>
      <c r="Q515" s="7">
        <f>IF($AB515="","",SUMIFS('Per Line'!$U$2:$U$4001,'Per Line'!$C$2:$C$4001,$B515,'Per Line'!$AM$2:$AM$4001,1))</f>
        <v/>
      </c>
      <c r="R515">
        <f>IF($AB515="","",Settings!$C$7)</f>
        <v/>
      </c>
      <c r="S515" s="7">
        <f>IF($AB515="","",SUMIFS('Per Line'!$U$2:$U$4001,'Per Line'!$C$2:$C$4001,$B515,'Per Line'!$AL$2:$AL$4001,0,'Per Line'!$AM$2:$AM$4001,0))</f>
        <v/>
      </c>
      <c r="T515" s="7">
        <f>IF($AB515="","",S515*R515)</f>
        <v/>
      </c>
      <c r="U515">
        <f>IF($AB515="","",Settings!$C$6)</f>
        <v/>
      </c>
      <c r="V515" s="7">
        <f>IF($AB515="","",SUMIFS('Per Line'!$U$2:$U$4001,'Per Line'!$C$2:$C$4001,$B515,'Per Line'!$AL$2:$AL$4001,1,'Per Line'!$AM$2:$AM$4001,0))</f>
        <v/>
      </c>
      <c r="W515" s="7">
        <f>IF($AB515="","",V515*U515)</f>
        <v/>
      </c>
      <c r="X515" s="7">
        <f>IF($AB515="","",W515+T515)</f>
        <v/>
      </c>
      <c r="Y515" s="7">
        <f>IF($AB515="","",Z515-X515)</f>
        <v/>
      </c>
      <c r="Z515" s="7">
        <f>IF($AB515="","",S515+V515+Q515)</f>
        <v/>
      </c>
      <c r="AA515" s="7">
        <f>IF($AB515="","",Z515-X515-M515)</f>
        <v/>
      </c>
      <c r="AB515" s="13">
        <f>IF(ROWS($AB$2:$AB515)&lt;=MAX('Per Line'!$AK$2:$AK$4001),MATCH(ROWS($AB$2:$AB515),'Per Line'!$AK$2:$AK$4001,0),"")</f>
        <v/>
      </c>
      <c r="AC515" s="14">
        <f>IF($AB515="","",M515-L515*Z515/100)</f>
        <v/>
      </c>
    </row>
    <row r="516">
      <c r="A516" s="12" t="n"/>
      <c r="B516">
        <f>IF($AB516="","",INDEX('Per Line'!$C$2:$C$4001,$AB516)&amp;"")</f>
        <v/>
      </c>
      <c r="C516">
        <f>IF($AB516="","",INDEX('Per Line'!$D$2:$D$4001,$AB516)&amp;"")</f>
        <v/>
      </c>
      <c r="D516">
        <f>IF($AB516="","",INDEX('Per Line'!$B$2:$B$4001,$AB516)&amp;"")</f>
        <v/>
      </c>
      <c r="E516">
        <f>IF($AB516="","",INDEX('Per Line'!$A$2:$A$4001,$AB516))</f>
        <v/>
      </c>
      <c r="F516" s="11">
        <f>IF($AB516="","",INDEX('Per Line'!$E$2:$E$4001,$AB516))</f>
        <v/>
      </c>
      <c r="G516">
        <f>IF($AB516="","",INDEX('Per Line'!$F$2:$F$4001,$AB516)&amp;"")</f>
        <v/>
      </c>
      <c r="H516">
        <f>IF($AB516="","",INDEX('Per Line'!$H$2:$H$4001,$AB516)&amp;"")</f>
        <v/>
      </c>
      <c r="I516">
        <f>IF($AB516="","",INDEX('Per Line'!$I$2:$I$4001,$AB516)&amp;"")</f>
        <v/>
      </c>
      <c r="J516">
        <f>IF($AB516="","",INDEX('Per Line'!$J$2:$J$4001,$AB516)&amp;"")</f>
        <v/>
      </c>
      <c r="K516">
        <f>IF($AB516="","",INDEX('Per Line'!$K$2:$K$4001,$AB516)&amp;"")</f>
        <v/>
      </c>
      <c r="L516">
        <f>IF($AB516="","",INDEX('Per Line'!$L$2:$L$4001,$AB516))</f>
        <v/>
      </c>
      <c r="M516" s="7">
        <f>IF($AB516="","",IF(AND(ISNUMBER(O516),O516&gt;0,Z516&gt;O516),L516*O516/100+(Z516-O516),L516*Z516/100))</f>
        <v/>
      </c>
      <c r="N516">
        <f>IF($AB516="","",INDEX('Per Line'!$V$2:$V$4001,$AB516)&amp;"")</f>
        <v/>
      </c>
      <c r="O516">
        <f>IF($AB516="","",INDEX('Per Line'!$Z$2:$Z$4001,$AB516))</f>
        <v/>
      </c>
      <c r="P516">
        <f>IF($AB516="","",IF(AND(ISNUMBER(O516),O516&gt;0),Z516&gt;O516,FALSE))</f>
        <v/>
      </c>
      <c r="Q516" s="7">
        <f>IF($AB516="","",SUMIFS('Per Line'!$U$2:$U$4001,'Per Line'!$C$2:$C$4001,$B516,'Per Line'!$AM$2:$AM$4001,1))</f>
        <v/>
      </c>
      <c r="R516">
        <f>IF($AB516="","",Settings!$C$7)</f>
        <v/>
      </c>
      <c r="S516" s="7">
        <f>IF($AB516="","",SUMIFS('Per Line'!$U$2:$U$4001,'Per Line'!$C$2:$C$4001,$B516,'Per Line'!$AL$2:$AL$4001,0,'Per Line'!$AM$2:$AM$4001,0))</f>
        <v/>
      </c>
      <c r="T516" s="7">
        <f>IF($AB516="","",S516*R516)</f>
        <v/>
      </c>
      <c r="U516">
        <f>IF($AB516="","",Settings!$C$6)</f>
        <v/>
      </c>
      <c r="V516" s="7">
        <f>IF($AB516="","",SUMIFS('Per Line'!$U$2:$U$4001,'Per Line'!$C$2:$C$4001,$B516,'Per Line'!$AL$2:$AL$4001,1,'Per Line'!$AM$2:$AM$4001,0))</f>
        <v/>
      </c>
      <c r="W516" s="7">
        <f>IF($AB516="","",V516*U516)</f>
        <v/>
      </c>
      <c r="X516" s="7">
        <f>IF($AB516="","",W516+T516)</f>
        <v/>
      </c>
      <c r="Y516" s="7">
        <f>IF($AB516="","",Z516-X516)</f>
        <v/>
      </c>
      <c r="Z516" s="7">
        <f>IF($AB516="","",S516+V516+Q516)</f>
        <v/>
      </c>
      <c r="AA516" s="7">
        <f>IF($AB516="","",Z516-X516-M516)</f>
        <v/>
      </c>
      <c r="AB516" s="13">
        <f>IF(ROWS($AB$2:$AB516)&lt;=MAX('Per Line'!$AK$2:$AK$4001),MATCH(ROWS($AB$2:$AB516),'Per Line'!$AK$2:$AK$4001,0),"")</f>
        <v/>
      </c>
      <c r="AC516" s="14">
        <f>IF($AB516="","",M516-L516*Z516/100)</f>
        <v/>
      </c>
    </row>
    <row r="517">
      <c r="A517" s="12" t="n"/>
      <c r="B517">
        <f>IF($AB517="","",INDEX('Per Line'!$C$2:$C$4001,$AB517)&amp;"")</f>
        <v/>
      </c>
      <c r="C517">
        <f>IF($AB517="","",INDEX('Per Line'!$D$2:$D$4001,$AB517)&amp;"")</f>
        <v/>
      </c>
      <c r="D517">
        <f>IF($AB517="","",INDEX('Per Line'!$B$2:$B$4001,$AB517)&amp;"")</f>
        <v/>
      </c>
      <c r="E517">
        <f>IF($AB517="","",INDEX('Per Line'!$A$2:$A$4001,$AB517))</f>
        <v/>
      </c>
      <c r="F517" s="11">
        <f>IF($AB517="","",INDEX('Per Line'!$E$2:$E$4001,$AB517))</f>
        <v/>
      </c>
      <c r="G517">
        <f>IF($AB517="","",INDEX('Per Line'!$F$2:$F$4001,$AB517)&amp;"")</f>
        <v/>
      </c>
      <c r="H517">
        <f>IF($AB517="","",INDEX('Per Line'!$H$2:$H$4001,$AB517)&amp;"")</f>
        <v/>
      </c>
      <c r="I517">
        <f>IF($AB517="","",INDEX('Per Line'!$I$2:$I$4001,$AB517)&amp;"")</f>
        <v/>
      </c>
      <c r="J517">
        <f>IF($AB517="","",INDEX('Per Line'!$J$2:$J$4001,$AB517)&amp;"")</f>
        <v/>
      </c>
      <c r="K517">
        <f>IF($AB517="","",INDEX('Per Line'!$K$2:$K$4001,$AB517)&amp;"")</f>
        <v/>
      </c>
      <c r="L517">
        <f>IF($AB517="","",INDEX('Per Line'!$L$2:$L$4001,$AB517))</f>
        <v/>
      </c>
      <c r="M517" s="7">
        <f>IF($AB517="","",IF(AND(ISNUMBER(O517),O517&gt;0,Z517&gt;O517),L517*O517/100+(Z517-O517),L517*Z517/100))</f>
        <v/>
      </c>
      <c r="N517">
        <f>IF($AB517="","",INDEX('Per Line'!$V$2:$V$4001,$AB517)&amp;"")</f>
        <v/>
      </c>
      <c r="O517">
        <f>IF($AB517="","",INDEX('Per Line'!$Z$2:$Z$4001,$AB517))</f>
        <v/>
      </c>
      <c r="P517">
        <f>IF($AB517="","",IF(AND(ISNUMBER(O517),O517&gt;0),Z517&gt;O517,FALSE))</f>
        <v/>
      </c>
      <c r="Q517" s="7">
        <f>IF($AB517="","",SUMIFS('Per Line'!$U$2:$U$4001,'Per Line'!$C$2:$C$4001,$B517,'Per Line'!$AM$2:$AM$4001,1))</f>
        <v/>
      </c>
      <c r="R517">
        <f>IF($AB517="","",Settings!$C$7)</f>
        <v/>
      </c>
      <c r="S517" s="7">
        <f>IF($AB517="","",SUMIFS('Per Line'!$U$2:$U$4001,'Per Line'!$C$2:$C$4001,$B517,'Per Line'!$AL$2:$AL$4001,0,'Per Line'!$AM$2:$AM$4001,0))</f>
        <v/>
      </c>
      <c r="T517" s="7">
        <f>IF($AB517="","",S517*R517)</f>
        <v/>
      </c>
      <c r="U517">
        <f>IF($AB517="","",Settings!$C$6)</f>
        <v/>
      </c>
      <c r="V517" s="7">
        <f>IF($AB517="","",SUMIFS('Per Line'!$U$2:$U$4001,'Per Line'!$C$2:$C$4001,$B517,'Per Line'!$AL$2:$AL$4001,1,'Per Line'!$AM$2:$AM$4001,0))</f>
        <v/>
      </c>
      <c r="W517" s="7">
        <f>IF($AB517="","",V517*U517)</f>
        <v/>
      </c>
      <c r="X517" s="7">
        <f>IF($AB517="","",W517+T517)</f>
        <v/>
      </c>
      <c r="Y517" s="7">
        <f>IF($AB517="","",Z517-X517)</f>
        <v/>
      </c>
      <c r="Z517" s="7">
        <f>IF($AB517="","",S517+V517+Q517)</f>
        <v/>
      </c>
      <c r="AA517" s="7">
        <f>IF($AB517="","",Z517-X517-M517)</f>
        <v/>
      </c>
      <c r="AB517" s="13">
        <f>IF(ROWS($AB$2:$AB517)&lt;=MAX('Per Line'!$AK$2:$AK$4001),MATCH(ROWS($AB$2:$AB517),'Per Line'!$AK$2:$AK$4001,0),"")</f>
        <v/>
      </c>
      <c r="AC517" s="14">
        <f>IF($AB517="","",M517-L517*Z517/100)</f>
        <v/>
      </c>
    </row>
    <row r="518">
      <c r="A518" s="12" t="n"/>
      <c r="B518">
        <f>IF($AB518="","",INDEX('Per Line'!$C$2:$C$4001,$AB518)&amp;"")</f>
        <v/>
      </c>
      <c r="C518">
        <f>IF($AB518="","",INDEX('Per Line'!$D$2:$D$4001,$AB518)&amp;"")</f>
        <v/>
      </c>
      <c r="D518">
        <f>IF($AB518="","",INDEX('Per Line'!$B$2:$B$4001,$AB518)&amp;"")</f>
        <v/>
      </c>
      <c r="E518">
        <f>IF($AB518="","",INDEX('Per Line'!$A$2:$A$4001,$AB518))</f>
        <v/>
      </c>
      <c r="F518" s="11">
        <f>IF($AB518="","",INDEX('Per Line'!$E$2:$E$4001,$AB518))</f>
        <v/>
      </c>
      <c r="G518">
        <f>IF($AB518="","",INDEX('Per Line'!$F$2:$F$4001,$AB518)&amp;"")</f>
        <v/>
      </c>
      <c r="H518">
        <f>IF($AB518="","",INDEX('Per Line'!$H$2:$H$4001,$AB518)&amp;"")</f>
        <v/>
      </c>
      <c r="I518">
        <f>IF($AB518="","",INDEX('Per Line'!$I$2:$I$4001,$AB518)&amp;"")</f>
        <v/>
      </c>
      <c r="J518">
        <f>IF($AB518="","",INDEX('Per Line'!$J$2:$J$4001,$AB518)&amp;"")</f>
        <v/>
      </c>
      <c r="K518">
        <f>IF($AB518="","",INDEX('Per Line'!$K$2:$K$4001,$AB518)&amp;"")</f>
        <v/>
      </c>
      <c r="L518">
        <f>IF($AB518="","",INDEX('Per Line'!$L$2:$L$4001,$AB518))</f>
        <v/>
      </c>
      <c r="M518" s="7">
        <f>IF($AB518="","",IF(AND(ISNUMBER(O518),O518&gt;0,Z518&gt;O518),L518*O518/100+(Z518-O518),L518*Z518/100))</f>
        <v/>
      </c>
      <c r="N518">
        <f>IF($AB518="","",INDEX('Per Line'!$V$2:$V$4001,$AB518)&amp;"")</f>
        <v/>
      </c>
      <c r="O518">
        <f>IF($AB518="","",INDEX('Per Line'!$Z$2:$Z$4001,$AB518))</f>
        <v/>
      </c>
      <c r="P518">
        <f>IF($AB518="","",IF(AND(ISNUMBER(O518),O518&gt;0),Z518&gt;O518,FALSE))</f>
        <v/>
      </c>
      <c r="Q518" s="7">
        <f>IF($AB518="","",SUMIFS('Per Line'!$U$2:$U$4001,'Per Line'!$C$2:$C$4001,$B518,'Per Line'!$AM$2:$AM$4001,1))</f>
        <v/>
      </c>
      <c r="R518">
        <f>IF($AB518="","",Settings!$C$7)</f>
        <v/>
      </c>
      <c r="S518" s="7">
        <f>IF($AB518="","",SUMIFS('Per Line'!$U$2:$U$4001,'Per Line'!$C$2:$C$4001,$B518,'Per Line'!$AL$2:$AL$4001,0,'Per Line'!$AM$2:$AM$4001,0))</f>
        <v/>
      </c>
      <c r="T518" s="7">
        <f>IF($AB518="","",S518*R518)</f>
        <v/>
      </c>
      <c r="U518">
        <f>IF($AB518="","",Settings!$C$6)</f>
        <v/>
      </c>
      <c r="V518" s="7">
        <f>IF($AB518="","",SUMIFS('Per Line'!$U$2:$U$4001,'Per Line'!$C$2:$C$4001,$B518,'Per Line'!$AL$2:$AL$4001,1,'Per Line'!$AM$2:$AM$4001,0))</f>
        <v/>
      </c>
      <c r="W518" s="7">
        <f>IF($AB518="","",V518*U518)</f>
        <v/>
      </c>
      <c r="X518" s="7">
        <f>IF($AB518="","",W518+T518)</f>
        <v/>
      </c>
      <c r="Y518" s="7">
        <f>IF($AB518="","",Z518-X518)</f>
        <v/>
      </c>
      <c r="Z518" s="7">
        <f>IF($AB518="","",S518+V518+Q518)</f>
        <v/>
      </c>
      <c r="AA518" s="7">
        <f>IF($AB518="","",Z518-X518-M518)</f>
        <v/>
      </c>
      <c r="AB518" s="13">
        <f>IF(ROWS($AB$2:$AB518)&lt;=MAX('Per Line'!$AK$2:$AK$4001),MATCH(ROWS($AB$2:$AB518),'Per Line'!$AK$2:$AK$4001,0),"")</f>
        <v/>
      </c>
      <c r="AC518" s="14">
        <f>IF($AB518="","",M518-L518*Z518/100)</f>
        <v/>
      </c>
    </row>
    <row r="519">
      <c r="A519" s="12" t="n"/>
      <c r="B519">
        <f>IF($AB519="","",INDEX('Per Line'!$C$2:$C$4001,$AB519)&amp;"")</f>
        <v/>
      </c>
      <c r="C519">
        <f>IF($AB519="","",INDEX('Per Line'!$D$2:$D$4001,$AB519)&amp;"")</f>
        <v/>
      </c>
      <c r="D519">
        <f>IF($AB519="","",INDEX('Per Line'!$B$2:$B$4001,$AB519)&amp;"")</f>
        <v/>
      </c>
      <c r="E519">
        <f>IF($AB519="","",INDEX('Per Line'!$A$2:$A$4001,$AB519))</f>
        <v/>
      </c>
      <c r="F519" s="11">
        <f>IF($AB519="","",INDEX('Per Line'!$E$2:$E$4001,$AB519))</f>
        <v/>
      </c>
      <c r="G519">
        <f>IF($AB519="","",INDEX('Per Line'!$F$2:$F$4001,$AB519)&amp;"")</f>
        <v/>
      </c>
      <c r="H519">
        <f>IF($AB519="","",INDEX('Per Line'!$H$2:$H$4001,$AB519)&amp;"")</f>
        <v/>
      </c>
      <c r="I519">
        <f>IF($AB519="","",INDEX('Per Line'!$I$2:$I$4001,$AB519)&amp;"")</f>
        <v/>
      </c>
      <c r="J519">
        <f>IF($AB519="","",INDEX('Per Line'!$J$2:$J$4001,$AB519)&amp;"")</f>
        <v/>
      </c>
      <c r="K519">
        <f>IF($AB519="","",INDEX('Per Line'!$K$2:$K$4001,$AB519)&amp;"")</f>
        <v/>
      </c>
      <c r="L519">
        <f>IF($AB519="","",INDEX('Per Line'!$L$2:$L$4001,$AB519))</f>
        <v/>
      </c>
      <c r="M519" s="7">
        <f>IF($AB519="","",IF(AND(ISNUMBER(O519),O519&gt;0,Z519&gt;O519),L519*O519/100+(Z519-O519),L519*Z519/100))</f>
        <v/>
      </c>
      <c r="N519">
        <f>IF($AB519="","",INDEX('Per Line'!$V$2:$V$4001,$AB519)&amp;"")</f>
        <v/>
      </c>
      <c r="O519">
        <f>IF($AB519="","",INDEX('Per Line'!$Z$2:$Z$4001,$AB519))</f>
        <v/>
      </c>
      <c r="P519">
        <f>IF($AB519="","",IF(AND(ISNUMBER(O519),O519&gt;0),Z519&gt;O519,FALSE))</f>
        <v/>
      </c>
      <c r="Q519" s="7">
        <f>IF($AB519="","",SUMIFS('Per Line'!$U$2:$U$4001,'Per Line'!$C$2:$C$4001,$B519,'Per Line'!$AM$2:$AM$4001,1))</f>
        <v/>
      </c>
      <c r="R519">
        <f>IF($AB519="","",Settings!$C$7)</f>
        <v/>
      </c>
      <c r="S519" s="7">
        <f>IF($AB519="","",SUMIFS('Per Line'!$U$2:$U$4001,'Per Line'!$C$2:$C$4001,$B519,'Per Line'!$AL$2:$AL$4001,0,'Per Line'!$AM$2:$AM$4001,0))</f>
        <v/>
      </c>
      <c r="T519" s="7">
        <f>IF($AB519="","",S519*R519)</f>
        <v/>
      </c>
      <c r="U519">
        <f>IF($AB519="","",Settings!$C$6)</f>
        <v/>
      </c>
      <c r="V519" s="7">
        <f>IF($AB519="","",SUMIFS('Per Line'!$U$2:$U$4001,'Per Line'!$C$2:$C$4001,$B519,'Per Line'!$AL$2:$AL$4001,1,'Per Line'!$AM$2:$AM$4001,0))</f>
        <v/>
      </c>
      <c r="W519" s="7">
        <f>IF($AB519="","",V519*U519)</f>
        <v/>
      </c>
      <c r="X519" s="7">
        <f>IF($AB519="","",W519+T519)</f>
        <v/>
      </c>
      <c r="Y519" s="7">
        <f>IF($AB519="","",Z519-X519)</f>
        <v/>
      </c>
      <c r="Z519" s="7">
        <f>IF($AB519="","",S519+V519+Q519)</f>
        <v/>
      </c>
      <c r="AA519" s="7">
        <f>IF($AB519="","",Z519-X519-M519)</f>
        <v/>
      </c>
      <c r="AB519" s="13">
        <f>IF(ROWS($AB$2:$AB519)&lt;=MAX('Per Line'!$AK$2:$AK$4001),MATCH(ROWS($AB$2:$AB519),'Per Line'!$AK$2:$AK$4001,0),"")</f>
        <v/>
      </c>
      <c r="AC519" s="14">
        <f>IF($AB519="","",M519-L519*Z519/100)</f>
        <v/>
      </c>
    </row>
    <row r="520">
      <c r="A520" s="12" t="n"/>
      <c r="B520">
        <f>IF($AB520="","",INDEX('Per Line'!$C$2:$C$4001,$AB520)&amp;"")</f>
        <v/>
      </c>
      <c r="C520">
        <f>IF($AB520="","",INDEX('Per Line'!$D$2:$D$4001,$AB520)&amp;"")</f>
        <v/>
      </c>
      <c r="D520">
        <f>IF($AB520="","",INDEX('Per Line'!$B$2:$B$4001,$AB520)&amp;"")</f>
        <v/>
      </c>
      <c r="E520">
        <f>IF($AB520="","",INDEX('Per Line'!$A$2:$A$4001,$AB520))</f>
        <v/>
      </c>
      <c r="F520" s="11">
        <f>IF($AB520="","",INDEX('Per Line'!$E$2:$E$4001,$AB520))</f>
        <v/>
      </c>
      <c r="G520">
        <f>IF($AB520="","",INDEX('Per Line'!$F$2:$F$4001,$AB520)&amp;"")</f>
        <v/>
      </c>
      <c r="H520">
        <f>IF($AB520="","",INDEX('Per Line'!$H$2:$H$4001,$AB520)&amp;"")</f>
        <v/>
      </c>
      <c r="I520">
        <f>IF($AB520="","",INDEX('Per Line'!$I$2:$I$4001,$AB520)&amp;"")</f>
        <v/>
      </c>
      <c r="J520">
        <f>IF($AB520="","",INDEX('Per Line'!$J$2:$J$4001,$AB520)&amp;"")</f>
        <v/>
      </c>
      <c r="K520">
        <f>IF($AB520="","",INDEX('Per Line'!$K$2:$K$4001,$AB520)&amp;"")</f>
        <v/>
      </c>
      <c r="L520">
        <f>IF($AB520="","",INDEX('Per Line'!$L$2:$L$4001,$AB520))</f>
        <v/>
      </c>
      <c r="M520" s="7">
        <f>IF($AB520="","",IF(AND(ISNUMBER(O520),O520&gt;0,Z520&gt;O520),L520*O520/100+(Z520-O520),L520*Z520/100))</f>
        <v/>
      </c>
      <c r="N520">
        <f>IF($AB520="","",INDEX('Per Line'!$V$2:$V$4001,$AB520)&amp;"")</f>
        <v/>
      </c>
      <c r="O520">
        <f>IF($AB520="","",INDEX('Per Line'!$Z$2:$Z$4001,$AB520))</f>
        <v/>
      </c>
      <c r="P520">
        <f>IF($AB520="","",IF(AND(ISNUMBER(O520),O520&gt;0),Z520&gt;O520,FALSE))</f>
        <v/>
      </c>
      <c r="Q520" s="7">
        <f>IF($AB520="","",SUMIFS('Per Line'!$U$2:$U$4001,'Per Line'!$C$2:$C$4001,$B520,'Per Line'!$AM$2:$AM$4001,1))</f>
        <v/>
      </c>
      <c r="R520">
        <f>IF($AB520="","",Settings!$C$7)</f>
        <v/>
      </c>
      <c r="S520" s="7">
        <f>IF($AB520="","",SUMIFS('Per Line'!$U$2:$U$4001,'Per Line'!$C$2:$C$4001,$B520,'Per Line'!$AL$2:$AL$4001,0,'Per Line'!$AM$2:$AM$4001,0))</f>
        <v/>
      </c>
      <c r="T520" s="7">
        <f>IF($AB520="","",S520*R520)</f>
        <v/>
      </c>
      <c r="U520">
        <f>IF($AB520="","",Settings!$C$6)</f>
        <v/>
      </c>
      <c r="V520" s="7">
        <f>IF($AB520="","",SUMIFS('Per Line'!$U$2:$U$4001,'Per Line'!$C$2:$C$4001,$B520,'Per Line'!$AL$2:$AL$4001,1,'Per Line'!$AM$2:$AM$4001,0))</f>
        <v/>
      </c>
      <c r="W520" s="7">
        <f>IF($AB520="","",V520*U520)</f>
        <v/>
      </c>
      <c r="X520" s="7">
        <f>IF($AB520="","",W520+T520)</f>
        <v/>
      </c>
      <c r="Y520" s="7">
        <f>IF($AB520="","",Z520-X520)</f>
        <v/>
      </c>
      <c r="Z520" s="7">
        <f>IF($AB520="","",S520+V520+Q520)</f>
        <v/>
      </c>
      <c r="AA520" s="7">
        <f>IF($AB520="","",Z520-X520-M520)</f>
        <v/>
      </c>
      <c r="AB520" s="13">
        <f>IF(ROWS($AB$2:$AB520)&lt;=MAX('Per Line'!$AK$2:$AK$4001),MATCH(ROWS($AB$2:$AB520),'Per Line'!$AK$2:$AK$4001,0),"")</f>
        <v/>
      </c>
      <c r="AC520" s="14">
        <f>IF($AB520="","",M520-L520*Z520/100)</f>
        <v/>
      </c>
    </row>
    <row r="521">
      <c r="A521" s="12" t="n"/>
      <c r="B521">
        <f>IF($AB521="","",INDEX('Per Line'!$C$2:$C$4001,$AB521)&amp;"")</f>
        <v/>
      </c>
      <c r="C521">
        <f>IF($AB521="","",INDEX('Per Line'!$D$2:$D$4001,$AB521)&amp;"")</f>
        <v/>
      </c>
      <c r="D521">
        <f>IF($AB521="","",INDEX('Per Line'!$B$2:$B$4001,$AB521)&amp;"")</f>
        <v/>
      </c>
      <c r="E521">
        <f>IF($AB521="","",INDEX('Per Line'!$A$2:$A$4001,$AB521))</f>
        <v/>
      </c>
      <c r="F521" s="11">
        <f>IF($AB521="","",INDEX('Per Line'!$E$2:$E$4001,$AB521))</f>
        <v/>
      </c>
      <c r="G521">
        <f>IF($AB521="","",INDEX('Per Line'!$F$2:$F$4001,$AB521)&amp;"")</f>
        <v/>
      </c>
      <c r="H521">
        <f>IF($AB521="","",INDEX('Per Line'!$H$2:$H$4001,$AB521)&amp;"")</f>
        <v/>
      </c>
      <c r="I521">
        <f>IF($AB521="","",INDEX('Per Line'!$I$2:$I$4001,$AB521)&amp;"")</f>
        <v/>
      </c>
      <c r="J521">
        <f>IF($AB521="","",INDEX('Per Line'!$J$2:$J$4001,$AB521)&amp;"")</f>
        <v/>
      </c>
      <c r="K521">
        <f>IF($AB521="","",INDEX('Per Line'!$K$2:$K$4001,$AB521)&amp;"")</f>
        <v/>
      </c>
      <c r="L521">
        <f>IF($AB521="","",INDEX('Per Line'!$L$2:$L$4001,$AB521))</f>
        <v/>
      </c>
      <c r="M521" s="7">
        <f>IF($AB521="","",IF(AND(ISNUMBER(O521),O521&gt;0,Z521&gt;O521),L521*O521/100+(Z521-O521),L521*Z521/100))</f>
        <v/>
      </c>
      <c r="N521">
        <f>IF($AB521="","",INDEX('Per Line'!$V$2:$V$4001,$AB521)&amp;"")</f>
        <v/>
      </c>
      <c r="O521">
        <f>IF($AB521="","",INDEX('Per Line'!$Z$2:$Z$4001,$AB521))</f>
        <v/>
      </c>
      <c r="P521">
        <f>IF($AB521="","",IF(AND(ISNUMBER(O521),O521&gt;0),Z521&gt;O521,FALSE))</f>
        <v/>
      </c>
      <c r="Q521" s="7">
        <f>IF($AB521="","",SUMIFS('Per Line'!$U$2:$U$4001,'Per Line'!$C$2:$C$4001,$B521,'Per Line'!$AM$2:$AM$4001,1))</f>
        <v/>
      </c>
      <c r="R521">
        <f>IF($AB521="","",Settings!$C$7)</f>
        <v/>
      </c>
      <c r="S521" s="7">
        <f>IF($AB521="","",SUMIFS('Per Line'!$U$2:$U$4001,'Per Line'!$C$2:$C$4001,$B521,'Per Line'!$AL$2:$AL$4001,0,'Per Line'!$AM$2:$AM$4001,0))</f>
        <v/>
      </c>
      <c r="T521" s="7">
        <f>IF($AB521="","",S521*R521)</f>
        <v/>
      </c>
      <c r="U521">
        <f>IF($AB521="","",Settings!$C$6)</f>
        <v/>
      </c>
      <c r="V521" s="7">
        <f>IF($AB521="","",SUMIFS('Per Line'!$U$2:$U$4001,'Per Line'!$C$2:$C$4001,$B521,'Per Line'!$AL$2:$AL$4001,1,'Per Line'!$AM$2:$AM$4001,0))</f>
        <v/>
      </c>
      <c r="W521" s="7">
        <f>IF($AB521="","",V521*U521)</f>
        <v/>
      </c>
      <c r="X521" s="7">
        <f>IF($AB521="","",W521+T521)</f>
        <v/>
      </c>
      <c r="Y521" s="7">
        <f>IF($AB521="","",Z521-X521)</f>
        <v/>
      </c>
      <c r="Z521" s="7">
        <f>IF($AB521="","",S521+V521+Q521)</f>
        <v/>
      </c>
      <c r="AA521" s="7">
        <f>IF($AB521="","",Z521-X521-M521)</f>
        <v/>
      </c>
      <c r="AB521" s="13">
        <f>IF(ROWS($AB$2:$AB521)&lt;=MAX('Per Line'!$AK$2:$AK$4001),MATCH(ROWS($AB$2:$AB521),'Per Line'!$AK$2:$AK$4001,0),"")</f>
        <v/>
      </c>
      <c r="AC521" s="14">
        <f>IF($AB521="","",M521-L521*Z521/100)</f>
        <v/>
      </c>
    </row>
    <row r="522">
      <c r="A522" s="12" t="n"/>
      <c r="B522">
        <f>IF($AB522="","",INDEX('Per Line'!$C$2:$C$4001,$AB522)&amp;"")</f>
        <v/>
      </c>
      <c r="C522">
        <f>IF($AB522="","",INDEX('Per Line'!$D$2:$D$4001,$AB522)&amp;"")</f>
        <v/>
      </c>
      <c r="D522">
        <f>IF($AB522="","",INDEX('Per Line'!$B$2:$B$4001,$AB522)&amp;"")</f>
        <v/>
      </c>
      <c r="E522">
        <f>IF($AB522="","",INDEX('Per Line'!$A$2:$A$4001,$AB522))</f>
        <v/>
      </c>
      <c r="F522" s="11">
        <f>IF($AB522="","",INDEX('Per Line'!$E$2:$E$4001,$AB522))</f>
        <v/>
      </c>
      <c r="G522">
        <f>IF($AB522="","",INDEX('Per Line'!$F$2:$F$4001,$AB522)&amp;"")</f>
        <v/>
      </c>
      <c r="H522">
        <f>IF($AB522="","",INDEX('Per Line'!$H$2:$H$4001,$AB522)&amp;"")</f>
        <v/>
      </c>
      <c r="I522">
        <f>IF($AB522="","",INDEX('Per Line'!$I$2:$I$4001,$AB522)&amp;"")</f>
        <v/>
      </c>
      <c r="J522">
        <f>IF($AB522="","",INDEX('Per Line'!$J$2:$J$4001,$AB522)&amp;"")</f>
        <v/>
      </c>
      <c r="K522">
        <f>IF($AB522="","",INDEX('Per Line'!$K$2:$K$4001,$AB522)&amp;"")</f>
        <v/>
      </c>
      <c r="L522">
        <f>IF($AB522="","",INDEX('Per Line'!$L$2:$L$4001,$AB522))</f>
        <v/>
      </c>
      <c r="M522" s="7">
        <f>IF($AB522="","",IF(AND(ISNUMBER(O522),O522&gt;0,Z522&gt;O522),L522*O522/100+(Z522-O522),L522*Z522/100))</f>
        <v/>
      </c>
      <c r="N522">
        <f>IF($AB522="","",INDEX('Per Line'!$V$2:$V$4001,$AB522)&amp;"")</f>
        <v/>
      </c>
      <c r="O522">
        <f>IF($AB522="","",INDEX('Per Line'!$Z$2:$Z$4001,$AB522))</f>
        <v/>
      </c>
      <c r="P522">
        <f>IF($AB522="","",IF(AND(ISNUMBER(O522),O522&gt;0),Z522&gt;O522,FALSE))</f>
        <v/>
      </c>
      <c r="Q522" s="7">
        <f>IF($AB522="","",SUMIFS('Per Line'!$U$2:$U$4001,'Per Line'!$C$2:$C$4001,$B522,'Per Line'!$AM$2:$AM$4001,1))</f>
        <v/>
      </c>
      <c r="R522">
        <f>IF($AB522="","",Settings!$C$7)</f>
        <v/>
      </c>
      <c r="S522" s="7">
        <f>IF($AB522="","",SUMIFS('Per Line'!$U$2:$U$4001,'Per Line'!$C$2:$C$4001,$B522,'Per Line'!$AL$2:$AL$4001,0,'Per Line'!$AM$2:$AM$4001,0))</f>
        <v/>
      </c>
      <c r="T522" s="7">
        <f>IF($AB522="","",S522*R522)</f>
        <v/>
      </c>
      <c r="U522">
        <f>IF($AB522="","",Settings!$C$6)</f>
        <v/>
      </c>
      <c r="V522" s="7">
        <f>IF($AB522="","",SUMIFS('Per Line'!$U$2:$U$4001,'Per Line'!$C$2:$C$4001,$B522,'Per Line'!$AL$2:$AL$4001,1,'Per Line'!$AM$2:$AM$4001,0))</f>
        <v/>
      </c>
      <c r="W522" s="7">
        <f>IF($AB522="","",V522*U522)</f>
        <v/>
      </c>
      <c r="X522" s="7">
        <f>IF($AB522="","",W522+T522)</f>
        <v/>
      </c>
      <c r="Y522" s="7">
        <f>IF($AB522="","",Z522-X522)</f>
        <v/>
      </c>
      <c r="Z522" s="7">
        <f>IF($AB522="","",S522+V522+Q522)</f>
        <v/>
      </c>
      <c r="AA522" s="7">
        <f>IF($AB522="","",Z522-X522-M522)</f>
        <v/>
      </c>
      <c r="AB522" s="13">
        <f>IF(ROWS($AB$2:$AB522)&lt;=MAX('Per Line'!$AK$2:$AK$4001),MATCH(ROWS($AB$2:$AB522),'Per Line'!$AK$2:$AK$4001,0),"")</f>
        <v/>
      </c>
      <c r="AC522" s="14">
        <f>IF($AB522="","",M522-L522*Z522/100)</f>
        <v/>
      </c>
    </row>
    <row r="523">
      <c r="A523" s="12" t="n"/>
      <c r="B523">
        <f>IF($AB523="","",INDEX('Per Line'!$C$2:$C$4001,$AB523)&amp;"")</f>
        <v/>
      </c>
      <c r="C523">
        <f>IF($AB523="","",INDEX('Per Line'!$D$2:$D$4001,$AB523)&amp;"")</f>
        <v/>
      </c>
      <c r="D523">
        <f>IF($AB523="","",INDEX('Per Line'!$B$2:$B$4001,$AB523)&amp;"")</f>
        <v/>
      </c>
      <c r="E523">
        <f>IF($AB523="","",INDEX('Per Line'!$A$2:$A$4001,$AB523))</f>
        <v/>
      </c>
      <c r="F523" s="11">
        <f>IF($AB523="","",INDEX('Per Line'!$E$2:$E$4001,$AB523))</f>
        <v/>
      </c>
      <c r="G523">
        <f>IF($AB523="","",INDEX('Per Line'!$F$2:$F$4001,$AB523)&amp;"")</f>
        <v/>
      </c>
      <c r="H523">
        <f>IF($AB523="","",INDEX('Per Line'!$H$2:$H$4001,$AB523)&amp;"")</f>
        <v/>
      </c>
      <c r="I523">
        <f>IF($AB523="","",INDEX('Per Line'!$I$2:$I$4001,$AB523)&amp;"")</f>
        <v/>
      </c>
      <c r="J523">
        <f>IF($AB523="","",INDEX('Per Line'!$J$2:$J$4001,$AB523)&amp;"")</f>
        <v/>
      </c>
      <c r="K523">
        <f>IF($AB523="","",INDEX('Per Line'!$K$2:$K$4001,$AB523)&amp;"")</f>
        <v/>
      </c>
      <c r="L523">
        <f>IF($AB523="","",INDEX('Per Line'!$L$2:$L$4001,$AB523))</f>
        <v/>
      </c>
      <c r="M523" s="7">
        <f>IF($AB523="","",IF(AND(ISNUMBER(O523),O523&gt;0,Z523&gt;O523),L523*O523/100+(Z523-O523),L523*Z523/100))</f>
        <v/>
      </c>
      <c r="N523">
        <f>IF($AB523="","",INDEX('Per Line'!$V$2:$V$4001,$AB523)&amp;"")</f>
        <v/>
      </c>
      <c r="O523">
        <f>IF($AB523="","",INDEX('Per Line'!$Z$2:$Z$4001,$AB523))</f>
        <v/>
      </c>
      <c r="P523">
        <f>IF($AB523="","",IF(AND(ISNUMBER(O523),O523&gt;0),Z523&gt;O523,FALSE))</f>
        <v/>
      </c>
      <c r="Q523" s="7">
        <f>IF($AB523="","",SUMIFS('Per Line'!$U$2:$U$4001,'Per Line'!$C$2:$C$4001,$B523,'Per Line'!$AM$2:$AM$4001,1))</f>
        <v/>
      </c>
      <c r="R523">
        <f>IF($AB523="","",Settings!$C$7)</f>
        <v/>
      </c>
      <c r="S523" s="7">
        <f>IF($AB523="","",SUMIFS('Per Line'!$U$2:$U$4001,'Per Line'!$C$2:$C$4001,$B523,'Per Line'!$AL$2:$AL$4001,0,'Per Line'!$AM$2:$AM$4001,0))</f>
        <v/>
      </c>
      <c r="T523" s="7">
        <f>IF($AB523="","",S523*R523)</f>
        <v/>
      </c>
      <c r="U523">
        <f>IF($AB523="","",Settings!$C$6)</f>
        <v/>
      </c>
      <c r="V523" s="7">
        <f>IF($AB523="","",SUMIFS('Per Line'!$U$2:$U$4001,'Per Line'!$C$2:$C$4001,$B523,'Per Line'!$AL$2:$AL$4001,1,'Per Line'!$AM$2:$AM$4001,0))</f>
        <v/>
      </c>
      <c r="W523" s="7">
        <f>IF($AB523="","",V523*U523)</f>
        <v/>
      </c>
      <c r="X523" s="7">
        <f>IF($AB523="","",W523+T523)</f>
        <v/>
      </c>
      <c r="Y523" s="7">
        <f>IF($AB523="","",Z523-X523)</f>
        <v/>
      </c>
      <c r="Z523" s="7">
        <f>IF($AB523="","",S523+V523+Q523)</f>
        <v/>
      </c>
      <c r="AA523" s="7">
        <f>IF($AB523="","",Z523-X523-M523)</f>
        <v/>
      </c>
      <c r="AB523" s="13">
        <f>IF(ROWS($AB$2:$AB523)&lt;=MAX('Per Line'!$AK$2:$AK$4001),MATCH(ROWS($AB$2:$AB523),'Per Line'!$AK$2:$AK$4001,0),"")</f>
        <v/>
      </c>
      <c r="AC523" s="14">
        <f>IF($AB523="","",M523-L523*Z523/100)</f>
        <v/>
      </c>
    </row>
    <row r="524">
      <c r="A524" s="12" t="n"/>
      <c r="B524">
        <f>IF($AB524="","",INDEX('Per Line'!$C$2:$C$4001,$AB524)&amp;"")</f>
        <v/>
      </c>
      <c r="C524">
        <f>IF($AB524="","",INDEX('Per Line'!$D$2:$D$4001,$AB524)&amp;"")</f>
        <v/>
      </c>
      <c r="D524">
        <f>IF($AB524="","",INDEX('Per Line'!$B$2:$B$4001,$AB524)&amp;"")</f>
        <v/>
      </c>
      <c r="E524">
        <f>IF($AB524="","",INDEX('Per Line'!$A$2:$A$4001,$AB524))</f>
        <v/>
      </c>
      <c r="F524" s="11">
        <f>IF($AB524="","",INDEX('Per Line'!$E$2:$E$4001,$AB524))</f>
        <v/>
      </c>
      <c r="G524">
        <f>IF($AB524="","",INDEX('Per Line'!$F$2:$F$4001,$AB524)&amp;"")</f>
        <v/>
      </c>
      <c r="H524">
        <f>IF($AB524="","",INDEX('Per Line'!$H$2:$H$4001,$AB524)&amp;"")</f>
        <v/>
      </c>
      <c r="I524">
        <f>IF($AB524="","",INDEX('Per Line'!$I$2:$I$4001,$AB524)&amp;"")</f>
        <v/>
      </c>
      <c r="J524">
        <f>IF($AB524="","",INDEX('Per Line'!$J$2:$J$4001,$AB524)&amp;"")</f>
        <v/>
      </c>
      <c r="K524">
        <f>IF($AB524="","",INDEX('Per Line'!$K$2:$K$4001,$AB524)&amp;"")</f>
        <v/>
      </c>
      <c r="L524">
        <f>IF($AB524="","",INDEX('Per Line'!$L$2:$L$4001,$AB524))</f>
        <v/>
      </c>
      <c r="M524" s="7">
        <f>IF($AB524="","",IF(AND(ISNUMBER(O524),O524&gt;0,Z524&gt;O524),L524*O524/100+(Z524-O524),L524*Z524/100))</f>
        <v/>
      </c>
      <c r="N524">
        <f>IF($AB524="","",INDEX('Per Line'!$V$2:$V$4001,$AB524)&amp;"")</f>
        <v/>
      </c>
      <c r="O524">
        <f>IF($AB524="","",INDEX('Per Line'!$Z$2:$Z$4001,$AB524))</f>
        <v/>
      </c>
      <c r="P524">
        <f>IF($AB524="","",IF(AND(ISNUMBER(O524),O524&gt;0),Z524&gt;O524,FALSE))</f>
        <v/>
      </c>
      <c r="Q524" s="7">
        <f>IF($AB524="","",SUMIFS('Per Line'!$U$2:$U$4001,'Per Line'!$C$2:$C$4001,$B524,'Per Line'!$AM$2:$AM$4001,1))</f>
        <v/>
      </c>
      <c r="R524">
        <f>IF($AB524="","",Settings!$C$7)</f>
        <v/>
      </c>
      <c r="S524" s="7">
        <f>IF($AB524="","",SUMIFS('Per Line'!$U$2:$U$4001,'Per Line'!$C$2:$C$4001,$B524,'Per Line'!$AL$2:$AL$4001,0,'Per Line'!$AM$2:$AM$4001,0))</f>
        <v/>
      </c>
      <c r="T524" s="7">
        <f>IF($AB524="","",S524*R524)</f>
        <v/>
      </c>
      <c r="U524">
        <f>IF($AB524="","",Settings!$C$6)</f>
        <v/>
      </c>
      <c r="V524" s="7">
        <f>IF($AB524="","",SUMIFS('Per Line'!$U$2:$U$4001,'Per Line'!$C$2:$C$4001,$B524,'Per Line'!$AL$2:$AL$4001,1,'Per Line'!$AM$2:$AM$4001,0))</f>
        <v/>
      </c>
      <c r="W524" s="7">
        <f>IF($AB524="","",V524*U524)</f>
        <v/>
      </c>
      <c r="X524" s="7">
        <f>IF($AB524="","",W524+T524)</f>
        <v/>
      </c>
      <c r="Y524" s="7">
        <f>IF($AB524="","",Z524-X524)</f>
        <v/>
      </c>
      <c r="Z524" s="7">
        <f>IF($AB524="","",S524+V524+Q524)</f>
        <v/>
      </c>
      <c r="AA524" s="7">
        <f>IF($AB524="","",Z524-X524-M524)</f>
        <v/>
      </c>
      <c r="AB524" s="13">
        <f>IF(ROWS($AB$2:$AB524)&lt;=MAX('Per Line'!$AK$2:$AK$4001),MATCH(ROWS($AB$2:$AB524),'Per Line'!$AK$2:$AK$4001,0),"")</f>
        <v/>
      </c>
      <c r="AC524" s="14">
        <f>IF($AB524="","",M524-L524*Z524/100)</f>
        <v/>
      </c>
    </row>
    <row r="525">
      <c r="A525" s="12" t="n"/>
      <c r="B525">
        <f>IF($AB525="","",INDEX('Per Line'!$C$2:$C$4001,$AB525)&amp;"")</f>
        <v/>
      </c>
      <c r="C525">
        <f>IF($AB525="","",INDEX('Per Line'!$D$2:$D$4001,$AB525)&amp;"")</f>
        <v/>
      </c>
      <c r="D525">
        <f>IF($AB525="","",INDEX('Per Line'!$B$2:$B$4001,$AB525)&amp;"")</f>
        <v/>
      </c>
      <c r="E525">
        <f>IF($AB525="","",INDEX('Per Line'!$A$2:$A$4001,$AB525))</f>
        <v/>
      </c>
      <c r="F525" s="11">
        <f>IF($AB525="","",INDEX('Per Line'!$E$2:$E$4001,$AB525))</f>
        <v/>
      </c>
      <c r="G525">
        <f>IF($AB525="","",INDEX('Per Line'!$F$2:$F$4001,$AB525)&amp;"")</f>
        <v/>
      </c>
      <c r="H525">
        <f>IF($AB525="","",INDEX('Per Line'!$H$2:$H$4001,$AB525)&amp;"")</f>
        <v/>
      </c>
      <c r="I525">
        <f>IF($AB525="","",INDEX('Per Line'!$I$2:$I$4001,$AB525)&amp;"")</f>
        <v/>
      </c>
      <c r="J525">
        <f>IF($AB525="","",INDEX('Per Line'!$J$2:$J$4001,$AB525)&amp;"")</f>
        <v/>
      </c>
      <c r="K525">
        <f>IF($AB525="","",INDEX('Per Line'!$K$2:$K$4001,$AB525)&amp;"")</f>
        <v/>
      </c>
      <c r="L525">
        <f>IF($AB525="","",INDEX('Per Line'!$L$2:$L$4001,$AB525))</f>
        <v/>
      </c>
      <c r="M525" s="7">
        <f>IF($AB525="","",IF(AND(ISNUMBER(O525),O525&gt;0,Z525&gt;O525),L525*O525/100+(Z525-O525),L525*Z525/100))</f>
        <v/>
      </c>
      <c r="N525">
        <f>IF($AB525="","",INDEX('Per Line'!$V$2:$V$4001,$AB525)&amp;"")</f>
        <v/>
      </c>
      <c r="O525">
        <f>IF($AB525="","",INDEX('Per Line'!$Z$2:$Z$4001,$AB525))</f>
        <v/>
      </c>
      <c r="P525">
        <f>IF($AB525="","",IF(AND(ISNUMBER(O525),O525&gt;0),Z525&gt;O525,FALSE))</f>
        <v/>
      </c>
      <c r="Q525" s="7">
        <f>IF($AB525="","",SUMIFS('Per Line'!$U$2:$U$4001,'Per Line'!$C$2:$C$4001,$B525,'Per Line'!$AM$2:$AM$4001,1))</f>
        <v/>
      </c>
      <c r="R525">
        <f>IF($AB525="","",Settings!$C$7)</f>
        <v/>
      </c>
      <c r="S525" s="7">
        <f>IF($AB525="","",SUMIFS('Per Line'!$U$2:$U$4001,'Per Line'!$C$2:$C$4001,$B525,'Per Line'!$AL$2:$AL$4001,0,'Per Line'!$AM$2:$AM$4001,0))</f>
        <v/>
      </c>
      <c r="T525" s="7">
        <f>IF($AB525="","",S525*R525)</f>
        <v/>
      </c>
      <c r="U525">
        <f>IF($AB525="","",Settings!$C$6)</f>
        <v/>
      </c>
      <c r="V525" s="7">
        <f>IF($AB525="","",SUMIFS('Per Line'!$U$2:$U$4001,'Per Line'!$C$2:$C$4001,$B525,'Per Line'!$AL$2:$AL$4001,1,'Per Line'!$AM$2:$AM$4001,0))</f>
        <v/>
      </c>
      <c r="W525" s="7">
        <f>IF($AB525="","",V525*U525)</f>
        <v/>
      </c>
      <c r="X525" s="7">
        <f>IF($AB525="","",W525+T525)</f>
        <v/>
      </c>
      <c r="Y525" s="7">
        <f>IF($AB525="","",Z525-X525)</f>
        <v/>
      </c>
      <c r="Z525" s="7">
        <f>IF($AB525="","",S525+V525+Q525)</f>
        <v/>
      </c>
      <c r="AA525" s="7">
        <f>IF($AB525="","",Z525-X525-M525)</f>
        <v/>
      </c>
      <c r="AB525" s="13">
        <f>IF(ROWS($AB$2:$AB525)&lt;=MAX('Per Line'!$AK$2:$AK$4001),MATCH(ROWS($AB$2:$AB525),'Per Line'!$AK$2:$AK$4001,0),"")</f>
        <v/>
      </c>
      <c r="AC525" s="14">
        <f>IF($AB525="","",M525-L525*Z525/100)</f>
        <v/>
      </c>
    </row>
    <row r="526">
      <c r="A526" s="12" t="n"/>
      <c r="B526">
        <f>IF($AB526="","",INDEX('Per Line'!$C$2:$C$4001,$AB526)&amp;"")</f>
        <v/>
      </c>
      <c r="C526">
        <f>IF($AB526="","",INDEX('Per Line'!$D$2:$D$4001,$AB526)&amp;"")</f>
        <v/>
      </c>
      <c r="D526">
        <f>IF($AB526="","",INDEX('Per Line'!$B$2:$B$4001,$AB526)&amp;"")</f>
        <v/>
      </c>
      <c r="E526">
        <f>IF($AB526="","",INDEX('Per Line'!$A$2:$A$4001,$AB526))</f>
        <v/>
      </c>
      <c r="F526" s="11">
        <f>IF($AB526="","",INDEX('Per Line'!$E$2:$E$4001,$AB526))</f>
        <v/>
      </c>
      <c r="G526">
        <f>IF($AB526="","",INDEX('Per Line'!$F$2:$F$4001,$AB526)&amp;"")</f>
        <v/>
      </c>
      <c r="H526">
        <f>IF($AB526="","",INDEX('Per Line'!$H$2:$H$4001,$AB526)&amp;"")</f>
        <v/>
      </c>
      <c r="I526">
        <f>IF($AB526="","",INDEX('Per Line'!$I$2:$I$4001,$AB526)&amp;"")</f>
        <v/>
      </c>
      <c r="J526">
        <f>IF($AB526="","",INDEX('Per Line'!$J$2:$J$4001,$AB526)&amp;"")</f>
        <v/>
      </c>
      <c r="K526">
        <f>IF($AB526="","",INDEX('Per Line'!$K$2:$K$4001,$AB526)&amp;"")</f>
        <v/>
      </c>
      <c r="L526">
        <f>IF($AB526="","",INDEX('Per Line'!$L$2:$L$4001,$AB526))</f>
        <v/>
      </c>
      <c r="M526" s="7">
        <f>IF($AB526="","",IF(AND(ISNUMBER(O526),O526&gt;0,Z526&gt;O526),L526*O526/100+(Z526-O526),L526*Z526/100))</f>
        <v/>
      </c>
      <c r="N526">
        <f>IF($AB526="","",INDEX('Per Line'!$V$2:$V$4001,$AB526)&amp;"")</f>
        <v/>
      </c>
      <c r="O526">
        <f>IF($AB526="","",INDEX('Per Line'!$Z$2:$Z$4001,$AB526))</f>
        <v/>
      </c>
      <c r="P526">
        <f>IF($AB526="","",IF(AND(ISNUMBER(O526),O526&gt;0),Z526&gt;O526,FALSE))</f>
        <v/>
      </c>
      <c r="Q526" s="7">
        <f>IF($AB526="","",SUMIFS('Per Line'!$U$2:$U$4001,'Per Line'!$C$2:$C$4001,$B526,'Per Line'!$AM$2:$AM$4001,1))</f>
        <v/>
      </c>
      <c r="R526">
        <f>IF($AB526="","",Settings!$C$7)</f>
        <v/>
      </c>
      <c r="S526" s="7">
        <f>IF($AB526="","",SUMIFS('Per Line'!$U$2:$U$4001,'Per Line'!$C$2:$C$4001,$B526,'Per Line'!$AL$2:$AL$4001,0,'Per Line'!$AM$2:$AM$4001,0))</f>
        <v/>
      </c>
      <c r="T526" s="7">
        <f>IF($AB526="","",S526*R526)</f>
        <v/>
      </c>
      <c r="U526">
        <f>IF($AB526="","",Settings!$C$6)</f>
        <v/>
      </c>
      <c r="V526" s="7">
        <f>IF($AB526="","",SUMIFS('Per Line'!$U$2:$U$4001,'Per Line'!$C$2:$C$4001,$B526,'Per Line'!$AL$2:$AL$4001,1,'Per Line'!$AM$2:$AM$4001,0))</f>
        <v/>
      </c>
      <c r="W526" s="7">
        <f>IF($AB526="","",V526*U526)</f>
        <v/>
      </c>
      <c r="X526" s="7">
        <f>IF($AB526="","",W526+T526)</f>
        <v/>
      </c>
      <c r="Y526" s="7">
        <f>IF($AB526="","",Z526-X526)</f>
        <v/>
      </c>
      <c r="Z526" s="7">
        <f>IF($AB526="","",S526+V526+Q526)</f>
        <v/>
      </c>
      <c r="AA526" s="7">
        <f>IF($AB526="","",Z526-X526-M526)</f>
        <v/>
      </c>
      <c r="AB526" s="13">
        <f>IF(ROWS($AB$2:$AB526)&lt;=MAX('Per Line'!$AK$2:$AK$4001),MATCH(ROWS($AB$2:$AB526),'Per Line'!$AK$2:$AK$4001,0),"")</f>
        <v/>
      </c>
      <c r="AC526" s="14">
        <f>IF($AB526="","",M526-L526*Z526/100)</f>
        <v/>
      </c>
    </row>
    <row r="527">
      <c r="A527" s="12" t="n"/>
      <c r="B527">
        <f>IF($AB527="","",INDEX('Per Line'!$C$2:$C$4001,$AB527)&amp;"")</f>
        <v/>
      </c>
      <c r="C527">
        <f>IF($AB527="","",INDEX('Per Line'!$D$2:$D$4001,$AB527)&amp;"")</f>
        <v/>
      </c>
      <c r="D527">
        <f>IF($AB527="","",INDEX('Per Line'!$B$2:$B$4001,$AB527)&amp;"")</f>
        <v/>
      </c>
      <c r="E527">
        <f>IF($AB527="","",INDEX('Per Line'!$A$2:$A$4001,$AB527))</f>
        <v/>
      </c>
      <c r="F527" s="11">
        <f>IF($AB527="","",INDEX('Per Line'!$E$2:$E$4001,$AB527))</f>
        <v/>
      </c>
      <c r="G527">
        <f>IF($AB527="","",INDEX('Per Line'!$F$2:$F$4001,$AB527)&amp;"")</f>
        <v/>
      </c>
      <c r="H527">
        <f>IF($AB527="","",INDEX('Per Line'!$H$2:$H$4001,$AB527)&amp;"")</f>
        <v/>
      </c>
      <c r="I527">
        <f>IF($AB527="","",INDEX('Per Line'!$I$2:$I$4001,$AB527)&amp;"")</f>
        <v/>
      </c>
      <c r="J527">
        <f>IF($AB527="","",INDEX('Per Line'!$J$2:$J$4001,$AB527)&amp;"")</f>
        <v/>
      </c>
      <c r="K527">
        <f>IF($AB527="","",INDEX('Per Line'!$K$2:$K$4001,$AB527)&amp;"")</f>
        <v/>
      </c>
      <c r="L527">
        <f>IF($AB527="","",INDEX('Per Line'!$L$2:$L$4001,$AB527))</f>
        <v/>
      </c>
      <c r="M527" s="7">
        <f>IF($AB527="","",IF(AND(ISNUMBER(O527),O527&gt;0,Z527&gt;O527),L527*O527/100+(Z527-O527),L527*Z527/100))</f>
        <v/>
      </c>
      <c r="N527">
        <f>IF($AB527="","",INDEX('Per Line'!$V$2:$V$4001,$AB527)&amp;"")</f>
        <v/>
      </c>
      <c r="O527">
        <f>IF($AB527="","",INDEX('Per Line'!$Z$2:$Z$4001,$AB527))</f>
        <v/>
      </c>
      <c r="P527">
        <f>IF($AB527="","",IF(AND(ISNUMBER(O527),O527&gt;0),Z527&gt;O527,FALSE))</f>
        <v/>
      </c>
      <c r="Q527" s="7">
        <f>IF($AB527="","",SUMIFS('Per Line'!$U$2:$U$4001,'Per Line'!$C$2:$C$4001,$B527,'Per Line'!$AM$2:$AM$4001,1))</f>
        <v/>
      </c>
      <c r="R527">
        <f>IF($AB527="","",Settings!$C$7)</f>
        <v/>
      </c>
      <c r="S527" s="7">
        <f>IF($AB527="","",SUMIFS('Per Line'!$U$2:$U$4001,'Per Line'!$C$2:$C$4001,$B527,'Per Line'!$AL$2:$AL$4001,0,'Per Line'!$AM$2:$AM$4001,0))</f>
        <v/>
      </c>
      <c r="T527" s="7">
        <f>IF($AB527="","",S527*R527)</f>
        <v/>
      </c>
      <c r="U527">
        <f>IF($AB527="","",Settings!$C$6)</f>
        <v/>
      </c>
      <c r="V527" s="7">
        <f>IF($AB527="","",SUMIFS('Per Line'!$U$2:$U$4001,'Per Line'!$C$2:$C$4001,$B527,'Per Line'!$AL$2:$AL$4001,1,'Per Line'!$AM$2:$AM$4001,0))</f>
        <v/>
      </c>
      <c r="W527" s="7">
        <f>IF($AB527="","",V527*U527)</f>
        <v/>
      </c>
      <c r="X527" s="7">
        <f>IF($AB527="","",W527+T527)</f>
        <v/>
      </c>
      <c r="Y527" s="7">
        <f>IF($AB527="","",Z527-X527)</f>
        <v/>
      </c>
      <c r="Z527" s="7">
        <f>IF($AB527="","",S527+V527+Q527)</f>
        <v/>
      </c>
      <c r="AA527" s="7">
        <f>IF($AB527="","",Z527-X527-M527)</f>
        <v/>
      </c>
      <c r="AB527" s="13">
        <f>IF(ROWS($AB$2:$AB527)&lt;=MAX('Per Line'!$AK$2:$AK$4001),MATCH(ROWS($AB$2:$AB527),'Per Line'!$AK$2:$AK$4001,0),"")</f>
        <v/>
      </c>
      <c r="AC527" s="14">
        <f>IF($AB527="","",M527-L527*Z527/100)</f>
        <v/>
      </c>
    </row>
    <row r="528">
      <c r="A528" s="12" t="n"/>
      <c r="B528">
        <f>IF($AB528="","",INDEX('Per Line'!$C$2:$C$4001,$AB528)&amp;"")</f>
        <v/>
      </c>
      <c r="C528">
        <f>IF($AB528="","",INDEX('Per Line'!$D$2:$D$4001,$AB528)&amp;"")</f>
        <v/>
      </c>
      <c r="D528">
        <f>IF($AB528="","",INDEX('Per Line'!$B$2:$B$4001,$AB528)&amp;"")</f>
        <v/>
      </c>
      <c r="E528">
        <f>IF($AB528="","",INDEX('Per Line'!$A$2:$A$4001,$AB528))</f>
        <v/>
      </c>
      <c r="F528" s="11">
        <f>IF($AB528="","",INDEX('Per Line'!$E$2:$E$4001,$AB528))</f>
        <v/>
      </c>
      <c r="G528">
        <f>IF($AB528="","",INDEX('Per Line'!$F$2:$F$4001,$AB528)&amp;"")</f>
        <v/>
      </c>
      <c r="H528">
        <f>IF($AB528="","",INDEX('Per Line'!$H$2:$H$4001,$AB528)&amp;"")</f>
        <v/>
      </c>
      <c r="I528">
        <f>IF($AB528="","",INDEX('Per Line'!$I$2:$I$4001,$AB528)&amp;"")</f>
        <v/>
      </c>
      <c r="J528">
        <f>IF($AB528="","",INDEX('Per Line'!$J$2:$J$4001,$AB528)&amp;"")</f>
        <v/>
      </c>
      <c r="K528">
        <f>IF($AB528="","",INDEX('Per Line'!$K$2:$K$4001,$AB528)&amp;"")</f>
        <v/>
      </c>
      <c r="L528">
        <f>IF($AB528="","",INDEX('Per Line'!$L$2:$L$4001,$AB528))</f>
        <v/>
      </c>
      <c r="M528" s="7">
        <f>IF($AB528="","",IF(AND(ISNUMBER(O528),O528&gt;0,Z528&gt;O528),L528*O528/100+(Z528-O528),L528*Z528/100))</f>
        <v/>
      </c>
      <c r="N528">
        <f>IF($AB528="","",INDEX('Per Line'!$V$2:$V$4001,$AB528)&amp;"")</f>
        <v/>
      </c>
      <c r="O528">
        <f>IF($AB528="","",INDEX('Per Line'!$Z$2:$Z$4001,$AB528))</f>
        <v/>
      </c>
      <c r="P528">
        <f>IF($AB528="","",IF(AND(ISNUMBER(O528),O528&gt;0),Z528&gt;O528,FALSE))</f>
        <v/>
      </c>
      <c r="Q528" s="7">
        <f>IF($AB528="","",SUMIFS('Per Line'!$U$2:$U$4001,'Per Line'!$C$2:$C$4001,$B528,'Per Line'!$AM$2:$AM$4001,1))</f>
        <v/>
      </c>
      <c r="R528">
        <f>IF($AB528="","",Settings!$C$7)</f>
        <v/>
      </c>
      <c r="S528" s="7">
        <f>IF($AB528="","",SUMIFS('Per Line'!$U$2:$U$4001,'Per Line'!$C$2:$C$4001,$B528,'Per Line'!$AL$2:$AL$4001,0,'Per Line'!$AM$2:$AM$4001,0))</f>
        <v/>
      </c>
      <c r="T528" s="7">
        <f>IF($AB528="","",S528*R528)</f>
        <v/>
      </c>
      <c r="U528">
        <f>IF($AB528="","",Settings!$C$6)</f>
        <v/>
      </c>
      <c r="V528" s="7">
        <f>IF($AB528="","",SUMIFS('Per Line'!$U$2:$U$4001,'Per Line'!$C$2:$C$4001,$B528,'Per Line'!$AL$2:$AL$4001,1,'Per Line'!$AM$2:$AM$4001,0))</f>
        <v/>
      </c>
      <c r="W528" s="7">
        <f>IF($AB528="","",V528*U528)</f>
        <v/>
      </c>
      <c r="X528" s="7">
        <f>IF($AB528="","",W528+T528)</f>
        <v/>
      </c>
      <c r="Y528" s="7">
        <f>IF($AB528="","",Z528-X528)</f>
        <v/>
      </c>
      <c r="Z528" s="7">
        <f>IF($AB528="","",S528+V528+Q528)</f>
        <v/>
      </c>
      <c r="AA528" s="7">
        <f>IF($AB528="","",Z528-X528-M528)</f>
        <v/>
      </c>
      <c r="AB528" s="13">
        <f>IF(ROWS($AB$2:$AB528)&lt;=MAX('Per Line'!$AK$2:$AK$4001),MATCH(ROWS($AB$2:$AB528),'Per Line'!$AK$2:$AK$4001,0),"")</f>
        <v/>
      </c>
      <c r="AC528" s="14">
        <f>IF($AB528="","",M528-L528*Z528/100)</f>
        <v/>
      </c>
    </row>
    <row r="529">
      <c r="A529" s="12" t="n"/>
      <c r="B529">
        <f>IF($AB529="","",INDEX('Per Line'!$C$2:$C$4001,$AB529)&amp;"")</f>
        <v/>
      </c>
      <c r="C529">
        <f>IF($AB529="","",INDEX('Per Line'!$D$2:$D$4001,$AB529)&amp;"")</f>
        <v/>
      </c>
      <c r="D529">
        <f>IF($AB529="","",INDEX('Per Line'!$B$2:$B$4001,$AB529)&amp;"")</f>
        <v/>
      </c>
      <c r="E529">
        <f>IF($AB529="","",INDEX('Per Line'!$A$2:$A$4001,$AB529))</f>
        <v/>
      </c>
      <c r="F529" s="11">
        <f>IF($AB529="","",INDEX('Per Line'!$E$2:$E$4001,$AB529))</f>
        <v/>
      </c>
      <c r="G529">
        <f>IF($AB529="","",INDEX('Per Line'!$F$2:$F$4001,$AB529)&amp;"")</f>
        <v/>
      </c>
      <c r="H529">
        <f>IF($AB529="","",INDEX('Per Line'!$H$2:$H$4001,$AB529)&amp;"")</f>
        <v/>
      </c>
      <c r="I529">
        <f>IF($AB529="","",INDEX('Per Line'!$I$2:$I$4001,$AB529)&amp;"")</f>
        <v/>
      </c>
      <c r="J529">
        <f>IF($AB529="","",INDEX('Per Line'!$J$2:$J$4001,$AB529)&amp;"")</f>
        <v/>
      </c>
      <c r="K529">
        <f>IF($AB529="","",INDEX('Per Line'!$K$2:$K$4001,$AB529)&amp;"")</f>
        <v/>
      </c>
      <c r="L529">
        <f>IF($AB529="","",INDEX('Per Line'!$L$2:$L$4001,$AB529))</f>
        <v/>
      </c>
      <c r="M529" s="7">
        <f>IF($AB529="","",IF(AND(ISNUMBER(O529),O529&gt;0,Z529&gt;O529),L529*O529/100+(Z529-O529),L529*Z529/100))</f>
        <v/>
      </c>
      <c r="N529">
        <f>IF($AB529="","",INDEX('Per Line'!$V$2:$V$4001,$AB529)&amp;"")</f>
        <v/>
      </c>
      <c r="O529">
        <f>IF($AB529="","",INDEX('Per Line'!$Z$2:$Z$4001,$AB529))</f>
        <v/>
      </c>
      <c r="P529">
        <f>IF($AB529="","",IF(AND(ISNUMBER(O529),O529&gt;0),Z529&gt;O529,FALSE))</f>
        <v/>
      </c>
      <c r="Q529" s="7">
        <f>IF($AB529="","",SUMIFS('Per Line'!$U$2:$U$4001,'Per Line'!$C$2:$C$4001,$B529,'Per Line'!$AM$2:$AM$4001,1))</f>
        <v/>
      </c>
      <c r="R529">
        <f>IF($AB529="","",Settings!$C$7)</f>
        <v/>
      </c>
      <c r="S529" s="7">
        <f>IF($AB529="","",SUMIFS('Per Line'!$U$2:$U$4001,'Per Line'!$C$2:$C$4001,$B529,'Per Line'!$AL$2:$AL$4001,0,'Per Line'!$AM$2:$AM$4001,0))</f>
        <v/>
      </c>
      <c r="T529" s="7">
        <f>IF($AB529="","",S529*R529)</f>
        <v/>
      </c>
      <c r="U529">
        <f>IF($AB529="","",Settings!$C$6)</f>
        <v/>
      </c>
      <c r="V529" s="7">
        <f>IF($AB529="","",SUMIFS('Per Line'!$U$2:$U$4001,'Per Line'!$C$2:$C$4001,$B529,'Per Line'!$AL$2:$AL$4001,1,'Per Line'!$AM$2:$AM$4001,0))</f>
        <v/>
      </c>
      <c r="W529" s="7">
        <f>IF($AB529="","",V529*U529)</f>
        <v/>
      </c>
      <c r="X529" s="7">
        <f>IF($AB529="","",W529+T529)</f>
        <v/>
      </c>
      <c r="Y529" s="7">
        <f>IF($AB529="","",Z529-X529)</f>
        <v/>
      </c>
      <c r="Z529" s="7">
        <f>IF($AB529="","",S529+V529+Q529)</f>
        <v/>
      </c>
      <c r="AA529" s="7">
        <f>IF($AB529="","",Z529-X529-M529)</f>
        <v/>
      </c>
      <c r="AB529" s="13">
        <f>IF(ROWS($AB$2:$AB529)&lt;=MAX('Per Line'!$AK$2:$AK$4001),MATCH(ROWS($AB$2:$AB529),'Per Line'!$AK$2:$AK$4001,0),"")</f>
        <v/>
      </c>
      <c r="AC529" s="14">
        <f>IF($AB529="","",M529-L529*Z529/100)</f>
        <v/>
      </c>
    </row>
    <row r="530">
      <c r="A530" s="12" t="n"/>
      <c r="B530">
        <f>IF($AB530="","",INDEX('Per Line'!$C$2:$C$4001,$AB530)&amp;"")</f>
        <v/>
      </c>
      <c r="C530">
        <f>IF($AB530="","",INDEX('Per Line'!$D$2:$D$4001,$AB530)&amp;"")</f>
        <v/>
      </c>
      <c r="D530">
        <f>IF($AB530="","",INDEX('Per Line'!$B$2:$B$4001,$AB530)&amp;"")</f>
        <v/>
      </c>
      <c r="E530">
        <f>IF($AB530="","",INDEX('Per Line'!$A$2:$A$4001,$AB530))</f>
        <v/>
      </c>
      <c r="F530" s="11">
        <f>IF($AB530="","",INDEX('Per Line'!$E$2:$E$4001,$AB530))</f>
        <v/>
      </c>
      <c r="G530">
        <f>IF($AB530="","",INDEX('Per Line'!$F$2:$F$4001,$AB530)&amp;"")</f>
        <v/>
      </c>
      <c r="H530">
        <f>IF($AB530="","",INDEX('Per Line'!$H$2:$H$4001,$AB530)&amp;"")</f>
        <v/>
      </c>
      <c r="I530">
        <f>IF($AB530="","",INDEX('Per Line'!$I$2:$I$4001,$AB530)&amp;"")</f>
        <v/>
      </c>
      <c r="J530">
        <f>IF($AB530="","",INDEX('Per Line'!$J$2:$J$4001,$AB530)&amp;"")</f>
        <v/>
      </c>
      <c r="K530">
        <f>IF($AB530="","",INDEX('Per Line'!$K$2:$K$4001,$AB530)&amp;"")</f>
        <v/>
      </c>
      <c r="L530">
        <f>IF($AB530="","",INDEX('Per Line'!$L$2:$L$4001,$AB530))</f>
        <v/>
      </c>
      <c r="M530" s="7">
        <f>IF($AB530="","",IF(AND(ISNUMBER(O530),O530&gt;0,Z530&gt;O530),L530*O530/100+(Z530-O530),L530*Z530/100))</f>
        <v/>
      </c>
      <c r="N530">
        <f>IF($AB530="","",INDEX('Per Line'!$V$2:$V$4001,$AB530)&amp;"")</f>
        <v/>
      </c>
      <c r="O530">
        <f>IF($AB530="","",INDEX('Per Line'!$Z$2:$Z$4001,$AB530))</f>
        <v/>
      </c>
      <c r="P530">
        <f>IF($AB530="","",IF(AND(ISNUMBER(O530),O530&gt;0),Z530&gt;O530,FALSE))</f>
        <v/>
      </c>
      <c r="Q530" s="7">
        <f>IF($AB530="","",SUMIFS('Per Line'!$U$2:$U$4001,'Per Line'!$C$2:$C$4001,$B530,'Per Line'!$AM$2:$AM$4001,1))</f>
        <v/>
      </c>
      <c r="R530">
        <f>IF($AB530="","",Settings!$C$7)</f>
        <v/>
      </c>
      <c r="S530" s="7">
        <f>IF($AB530="","",SUMIFS('Per Line'!$U$2:$U$4001,'Per Line'!$C$2:$C$4001,$B530,'Per Line'!$AL$2:$AL$4001,0,'Per Line'!$AM$2:$AM$4001,0))</f>
        <v/>
      </c>
      <c r="T530" s="7">
        <f>IF($AB530="","",S530*R530)</f>
        <v/>
      </c>
      <c r="U530">
        <f>IF($AB530="","",Settings!$C$6)</f>
        <v/>
      </c>
      <c r="V530" s="7">
        <f>IF($AB530="","",SUMIFS('Per Line'!$U$2:$U$4001,'Per Line'!$C$2:$C$4001,$B530,'Per Line'!$AL$2:$AL$4001,1,'Per Line'!$AM$2:$AM$4001,0))</f>
        <v/>
      </c>
      <c r="W530" s="7">
        <f>IF($AB530="","",V530*U530)</f>
        <v/>
      </c>
      <c r="X530" s="7">
        <f>IF($AB530="","",W530+T530)</f>
        <v/>
      </c>
      <c r="Y530" s="7">
        <f>IF($AB530="","",Z530-X530)</f>
        <v/>
      </c>
      <c r="Z530" s="7">
        <f>IF($AB530="","",S530+V530+Q530)</f>
        <v/>
      </c>
      <c r="AA530" s="7">
        <f>IF($AB530="","",Z530-X530-M530)</f>
        <v/>
      </c>
      <c r="AB530" s="13">
        <f>IF(ROWS($AB$2:$AB530)&lt;=MAX('Per Line'!$AK$2:$AK$4001),MATCH(ROWS($AB$2:$AB530),'Per Line'!$AK$2:$AK$4001,0),"")</f>
        <v/>
      </c>
      <c r="AC530" s="14">
        <f>IF($AB530="","",M530-L530*Z530/100)</f>
        <v/>
      </c>
    </row>
    <row r="531">
      <c r="A531" s="12" t="n"/>
      <c r="B531">
        <f>IF($AB531="","",INDEX('Per Line'!$C$2:$C$4001,$AB531)&amp;"")</f>
        <v/>
      </c>
      <c r="C531">
        <f>IF($AB531="","",INDEX('Per Line'!$D$2:$D$4001,$AB531)&amp;"")</f>
        <v/>
      </c>
      <c r="D531">
        <f>IF($AB531="","",INDEX('Per Line'!$B$2:$B$4001,$AB531)&amp;"")</f>
        <v/>
      </c>
      <c r="E531">
        <f>IF($AB531="","",INDEX('Per Line'!$A$2:$A$4001,$AB531))</f>
        <v/>
      </c>
      <c r="F531" s="11">
        <f>IF($AB531="","",INDEX('Per Line'!$E$2:$E$4001,$AB531))</f>
        <v/>
      </c>
      <c r="G531">
        <f>IF($AB531="","",INDEX('Per Line'!$F$2:$F$4001,$AB531)&amp;"")</f>
        <v/>
      </c>
      <c r="H531">
        <f>IF($AB531="","",INDEX('Per Line'!$H$2:$H$4001,$AB531)&amp;"")</f>
        <v/>
      </c>
      <c r="I531">
        <f>IF($AB531="","",INDEX('Per Line'!$I$2:$I$4001,$AB531)&amp;"")</f>
        <v/>
      </c>
      <c r="J531">
        <f>IF($AB531="","",INDEX('Per Line'!$J$2:$J$4001,$AB531)&amp;"")</f>
        <v/>
      </c>
      <c r="K531">
        <f>IF($AB531="","",INDEX('Per Line'!$K$2:$K$4001,$AB531)&amp;"")</f>
        <v/>
      </c>
      <c r="L531">
        <f>IF($AB531="","",INDEX('Per Line'!$L$2:$L$4001,$AB531))</f>
        <v/>
      </c>
      <c r="M531" s="7">
        <f>IF($AB531="","",IF(AND(ISNUMBER(O531),O531&gt;0,Z531&gt;O531),L531*O531/100+(Z531-O531),L531*Z531/100))</f>
        <v/>
      </c>
      <c r="N531">
        <f>IF($AB531="","",INDEX('Per Line'!$V$2:$V$4001,$AB531)&amp;"")</f>
        <v/>
      </c>
      <c r="O531">
        <f>IF($AB531="","",INDEX('Per Line'!$Z$2:$Z$4001,$AB531))</f>
        <v/>
      </c>
      <c r="P531">
        <f>IF($AB531="","",IF(AND(ISNUMBER(O531),O531&gt;0),Z531&gt;O531,FALSE))</f>
        <v/>
      </c>
      <c r="Q531" s="7">
        <f>IF($AB531="","",SUMIFS('Per Line'!$U$2:$U$4001,'Per Line'!$C$2:$C$4001,$B531,'Per Line'!$AM$2:$AM$4001,1))</f>
        <v/>
      </c>
      <c r="R531">
        <f>IF($AB531="","",Settings!$C$7)</f>
        <v/>
      </c>
      <c r="S531" s="7">
        <f>IF($AB531="","",SUMIFS('Per Line'!$U$2:$U$4001,'Per Line'!$C$2:$C$4001,$B531,'Per Line'!$AL$2:$AL$4001,0,'Per Line'!$AM$2:$AM$4001,0))</f>
        <v/>
      </c>
      <c r="T531" s="7">
        <f>IF($AB531="","",S531*R531)</f>
        <v/>
      </c>
      <c r="U531">
        <f>IF($AB531="","",Settings!$C$6)</f>
        <v/>
      </c>
      <c r="V531" s="7">
        <f>IF($AB531="","",SUMIFS('Per Line'!$U$2:$U$4001,'Per Line'!$C$2:$C$4001,$B531,'Per Line'!$AL$2:$AL$4001,1,'Per Line'!$AM$2:$AM$4001,0))</f>
        <v/>
      </c>
      <c r="W531" s="7">
        <f>IF($AB531="","",V531*U531)</f>
        <v/>
      </c>
      <c r="X531" s="7">
        <f>IF($AB531="","",W531+T531)</f>
        <v/>
      </c>
      <c r="Y531" s="7">
        <f>IF($AB531="","",Z531-X531)</f>
        <v/>
      </c>
      <c r="Z531" s="7">
        <f>IF($AB531="","",S531+V531+Q531)</f>
        <v/>
      </c>
      <c r="AA531" s="7">
        <f>IF($AB531="","",Z531-X531-M531)</f>
        <v/>
      </c>
      <c r="AB531" s="13">
        <f>IF(ROWS($AB$2:$AB531)&lt;=MAX('Per Line'!$AK$2:$AK$4001),MATCH(ROWS($AB$2:$AB531),'Per Line'!$AK$2:$AK$4001,0),"")</f>
        <v/>
      </c>
      <c r="AC531" s="14">
        <f>IF($AB531="","",M531-L531*Z531/100)</f>
        <v/>
      </c>
    </row>
    <row r="532">
      <c r="A532" s="12" t="n"/>
      <c r="B532">
        <f>IF($AB532="","",INDEX('Per Line'!$C$2:$C$4001,$AB532)&amp;"")</f>
        <v/>
      </c>
      <c r="C532">
        <f>IF($AB532="","",INDEX('Per Line'!$D$2:$D$4001,$AB532)&amp;"")</f>
        <v/>
      </c>
      <c r="D532">
        <f>IF($AB532="","",INDEX('Per Line'!$B$2:$B$4001,$AB532)&amp;"")</f>
        <v/>
      </c>
      <c r="E532">
        <f>IF($AB532="","",INDEX('Per Line'!$A$2:$A$4001,$AB532))</f>
        <v/>
      </c>
      <c r="F532" s="11">
        <f>IF($AB532="","",INDEX('Per Line'!$E$2:$E$4001,$AB532))</f>
        <v/>
      </c>
      <c r="G532">
        <f>IF($AB532="","",INDEX('Per Line'!$F$2:$F$4001,$AB532)&amp;"")</f>
        <v/>
      </c>
      <c r="H532">
        <f>IF($AB532="","",INDEX('Per Line'!$H$2:$H$4001,$AB532)&amp;"")</f>
        <v/>
      </c>
      <c r="I532">
        <f>IF($AB532="","",INDEX('Per Line'!$I$2:$I$4001,$AB532)&amp;"")</f>
        <v/>
      </c>
      <c r="J532">
        <f>IF($AB532="","",INDEX('Per Line'!$J$2:$J$4001,$AB532)&amp;"")</f>
        <v/>
      </c>
      <c r="K532">
        <f>IF($AB532="","",INDEX('Per Line'!$K$2:$K$4001,$AB532)&amp;"")</f>
        <v/>
      </c>
      <c r="L532">
        <f>IF($AB532="","",INDEX('Per Line'!$L$2:$L$4001,$AB532))</f>
        <v/>
      </c>
      <c r="M532" s="7">
        <f>IF($AB532="","",IF(AND(ISNUMBER(O532),O532&gt;0,Z532&gt;O532),L532*O532/100+(Z532-O532),L532*Z532/100))</f>
        <v/>
      </c>
      <c r="N532">
        <f>IF($AB532="","",INDEX('Per Line'!$V$2:$V$4001,$AB532)&amp;"")</f>
        <v/>
      </c>
      <c r="O532">
        <f>IF($AB532="","",INDEX('Per Line'!$Z$2:$Z$4001,$AB532))</f>
        <v/>
      </c>
      <c r="P532">
        <f>IF($AB532="","",IF(AND(ISNUMBER(O532),O532&gt;0),Z532&gt;O532,FALSE))</f>
        <v/>
      </c>
      <c r="Q532" s="7">
        <f>IF($AB532="","",SUMIFS('Per Line'!$U$2:$U$4001,'Per Line'!$C$2:$C$4001,$B532,'Per Line'!$AM$2:$AM$4001,1))</f>
        <v/>
      </c>
      <c r="R532">
        <f>IF($AB532="","",Settings!$C$7)</f>
        <v/>
      </c>
      <c r="S532" s="7">
        <f>IF($AB532="","",SUMIFS('Per Line'!$U$2:$U$4001,'Per Line'!$C$2:$C$4001,$B532,'Per Line'!$AL$2:$AL$4001,0,'Per Line'!$AM$2:$AM$4001,0))</f>
        <v/>
      </c>
      <c r="T532" s="7">
        <f>IF($AB532="","",S532*R532)</f>
        <v/>
      </c>
      <c r="U532">
        <f>IF($AB532="","",Settings!$C$6)</f>
        <v/>
      </c>
      <c r="V532" s="7">
        <f>IF($AB532="","",SUMIFS('Per Line'!$U$2:$U$4001,'Per Line'!$C$2:$C$4001,$B532,'Per Line'!$AL$2:$AL$4001,1,'Per Line'!$AM$2:$AM$4001,0))</f>
        <v/>
      </c>
      <c r="W532" s="7">
        <f>IF($AB532="","",V532*U532)</f>
        <v/>
      </c>
      <c r="X532" s="7">
        <f>IF($AB532="","",W532+T532)</f>
        <v/>
      </c>
      <c r="Y532" s="7">
        <f>IF($AB532="","",Z532-X532)</f>
        <v/>
      </c>
      <c r="Z532" s="7">
        <f>IF($AB532="","",S532+V532+Q532)</f>
        <v/>
      </c>
      <c r="AA532" s="7">
        <f>IF($AB532="","",Z532-X532-M532)</f>
        <v/>
      </c>
      <c r="AB532" s="13">
        <f>IF(ROWS($AB$2:$AB532)&lt;=MAX('Per Line'!$AK$2:$AK$4001),MATCH(ROWS($AB$2:$AB532),'Per Line'!$AK$2:$AK$4001,0),"")</f>
        <v/>
      </c>
      <c r="AC532" s="14">
        <f>IF($AB532="","",M532-L532*Z532/100)</f>
        <v/>
      </c>
    </row>
    <row r="533">
      <c r="A533" s="12" t="n"/>
      <c r="B533">
        <f>IF($AB533="","",INDEX('Per Line'!$C$2:$C$4001,$AB533)&amp;"")</f>
        <v/>
      </c>
      <c r="C533">
        <f>IF($AB533="","",INDEX('Per Line'!$D$2:$D$4001,$AB533)&amp;"")</f>
        <v/>
      </c>
      <c r="D533">
        <f>IF($AB533="","",INDEX('Per Line'!$B$2:$B$4001,$AB533)&amp;"")</f>
        <v/>
      </c>
      <c r="E533">
        <f>IF($AB533="","",INDEX('Per Line'!$A$2:$A$4001,$AB533))</f>
        <v/>
      </c>
      <c r="F533" s="11">
        <f>IF($AB533="","",INDEX('Per Line'!$E$2:$E$4001,$AB533))</f>
        <v/>
      </c>
      <c r="G533">
        <f>IF($AB533="","",INDEX('Per Line'!$F$2:$F$4001,$AB533)&amp;"")</f>
        <v/>
      </c>
      <c r="H533">
        <f>IF($AB533="","",INDEX('Per Line'!$H$2:$H$4001,$AB533)&amp;"")</f>
        <v/>
      </c>
      <c r="I533">
        <f>IF($AB533="","",INDEX('Per Line'!$I$2:$I$4001,$AB533)&amp;"")</f>
        <v/>
      </c>
      <c r="J533">
        <f>IF($AB533="","",INDEX('Per Line'!$J$2:$J$4001,$AB533)&amp;"")</f>
        <v/>
      </c>
      <c r="K533">
        <f>IF($AB533="","",INDEX('Per Line'!$K$2:$K$4001,$AB533)&amp;"")</f>
        <v/>
      </c>
      <c r="L533">
        <f>IF($AB533="","",INDEX('Per Line'!$L$2:$L$4001,$AB533))</f>
        <v/>
      </c>
      <c r="M533" s="7">
        <f>IF($AB533="","",IF(AND(ISNUMBER(O533),O533&gt;0,Z533&gt;O533),L533*O533/100+(Z533-O533),L533*Z533/100))</f>
        <v/>
      </c>
      <c r="N533">
        <f>IF($AB533="","",INDEX('Per Line'!$V$2:$V$4001,$AB533)&amp;"")</f>
        <v/>
      </c>
      <c r="O533">
        <f>IF($AB533="","",INDEX('Per Line'!$Z$2:$Z$4001,$AB533))</f>
        <v/>
      </c>
      <c r="P533">
        <f>IF($AB533="","",IF(AND(ISNUMBER(O533),O533&gt;0),Z533&gt;O533,FALSE))</f>
        <v/>
      </c>
      <c r="Q533" s="7">
        <f>IF($AB533="","",SUMIFS('Per Line'!$U$2:$U$4001,'Per Line'!$C$2:$C$4001,$B533,'Per Line'!$AM$2:$AM$4001,1))</f>
        <v/>
      </c>
      <c r="R533">
        <f>IF($AB533="","",Settings!$C$7)</f>
        <v/>
      </c>
      <c r="S533" s="7">
        <f>IF($AB533="","",SUMIFS('Per Line'!$U$2:$U$4001,'Per Line'!$C$2:$C$4001,$B533,'Per Line'!$AL$2:$AL$4001,0,'Per Line'!$AM$2:$AM$4001,0))</f>
        <v/>
      </c>
      <c r="T533" s="7">
        <f>IF($AB533="","",S533*R533)</f>
        <v/>
      </c>
      <c r="U533">
        <f>IF($AB533="","",Settings!$C$6)</f>
        <v/>
      </c>
      <c r="V533" s="7">
        <f>IF($AB533="","",SUMIFS('Per Line'!$U$2:$U$4001,'Per Line'!$C$2:$C$4001,$B533,'Per Line'!$AL$2:$AL$4001,1,'Per Line'!$AM$2:$AM$4001,0))</f>
        <v/>
      </c>
      <c r="W533" s="7">
        <f>IF($AB533="","",V533*U533)</f>
        <v/>
      </c>
      <c r="X533" s="7">
        <f>IF($AB533="","",W533+T533)</f>
        <v/>
      </c>
      <c r="Y533" s="7">
        <f>IF($AB533="","",Z533-X533)</f>
        <v/>
      </c>
      <c r="Z533" s="7">
        <f>IF($AB533="","",S533+V533+Q533)</f>
        <v/>
      </c>
      <c r="AA533" s="7">
        <f>IF($AB533="","",Z533-X533-M533)</f>
        <v/>
      </c>
      <c r="AB533" s="13">
        <f>IF(ROWS($AB$2:$AB533)&lt;=MAX('Per Line'!$AK$2:$AK$4001),MATCH(ROWS($AB$2:$AB533),'Per Line'!$AK$2:$AK$4001,0),"")</f>
        <v/>
      </c>
      <c r="AC533" s="14">
        <f>IF($AB533="","",M533-L533*Z533/100)</f>
        <v/>
      </c>
    </row>
    <row r="534">
      <c r="A534" s="12" t="n"/>
      <c r="B534">
        <f>IF($AB534="","",INDEX('Per Line'!$C$2:$C$4001,$AB534)&amp;"")</f>
        <v/>
      </c>
      <c r="C534">
        <f>IF($AB534="","",INDEX('Per Line'!$D$2:$D$4001,$AB534)&amp;"")</f>
        <v/>
      </c>
      <c r="D534">
        <f>IF($AB534="","",INDEX('Per Line'!$B$2:$B$4001,$AB534)&amp;"")</f>
        <v/>
      </c>
      <c r="E534">
        <f>IF($AB534="","",INDEX('Per Line'!$A$2:$A$4001,$AB534))</f>
        <v/>
      </c>
      <c r="F534" s="11">
        <f>IF($AB534="","",INDEX('Per Line'!$E$2:$E$4001,$AB534))</f>
        <v/>
      </c>
      <c r="G534">
        <f>IF($AB534="","",INDEX('Per Line'!$F$2:$F$4001,$AB534)&amp;"")</f>
        <v/>
      </c>
      <c r="H534">
        <f>IF($AB534="","",INDEX('Per Line'!$H$2:$H$4001,$AB534)&amp;"")</f>
        <v/>
      </c>
      <c r="I534">
        <f>IF($AB534="","",INDEX('Per Line'!$I$2:$I$4001,$AB534)&amp;"")</f>
        <v/>
      </c>
      <c r="J534">
        <f>IF($AB534="","",INDEX('Per Line'!$J$2:$J$4001,$AB534)&amp;"")</f>
        <v/>
      </c>
      <c r="K534">
        <f>IF($AB534="","",INDEX('Per Line'!$K$2:$K$4001,$AB534)&amp;"")</f>
        <v/>
      </c>
      <c r="L534">
        <f>IF($AB534="","",INDEX('Per Line'!$L$2:$L$4001,$AB534))</f>
        <v/>
      </c>
      <c r="M534" s="7">
        <f>IF($AB534="","",IF(AND(ISNUMBER(O534),O534&gt;0,Z534&gt;O534),L534*O534/100+(Z534-O534),L534*Z534/100))</f>
        <v/>
      </c>
      <c r="N534">
        <f>IF($AB534="","",INDEX('Per Line'!$V$2:$V$4001,$AB534)&amp;"")</f>
        <v/>
      </c>
      <c r="O534">
        <f>IF($AB534="","",INDEX('Per Line'!$Z$2:$Z$4001,$AB534))</f>
        <v/>
      </c>
      <c r="P534">
        <f>IF($AB534="","",IF(AND(ISNUMBER(O534),O534&gt;0),Z534&gt;O534,FALSE))</f>
        <v/>
      </c>
      <c r="Q534" s="7">
        <f>IF($AB534="","",SUMIFS('Per Line'!$U$2:$U$4001,'Per Line'!$C$2:$C$4001,$B534,'Per Line'!$AM$2:$AM$4001,1))</f>
        <v/>
      </c>
      <c r="R534">
        <f>IF($AB534="","",Settings!$C$7)</f>
        <v/>
      </c>
      <c r="S534" s="7">
        <f>IF($AB534="","",SUMIFS('Per Line'!$U$2:$U$4001,'Per Line'!$C$2:$C$4001,$B534,'Per Line'!$AL$2:$AL$4001,0,'Per Line'!$AM$2:$AM$4001,0))</f>
        <v/>
      </c>
      <c r="T534" s="7">
        <f>IF($AB534="","",S534*R534)</f>
        <v/>
      </c>
      <c r="U534">
        <f>IF($AB534="","",Settings!$C$6)</f>
        <v/>
      </c>
      <c r="V534" s="7">
        <f>IF($AB534="","",SUMIFS('Per Line'!$U$2:$U$4001,'Per Line'!$C$2:$C$4001,$B534,'Per Line'!$AL$2:$AL$4001,1,'Per Line'!$AM$2:$AM$4001,0))</f>
        <v/>
      </c>
      <c r="W534" s="7">
        <f>IF($AB534="","",V534*U534)</f>
        <v/>
      </c>
      <c r="X534" s="7">
        <f>IF($AB534="","",W534+T534)</f>
        <v/>
      </c>
      <c r="Y534" s="7">
        <f>IF($AB534="","",Z534-X534)</f>
        <v/>
      </c>
      <c r="Z534" s="7">
        <f>IF($AB534="","",S534+V534+Q534)</f>
        <v/>
      </c>
      <c r="AA534" s="7">
        <f>IF($AB534="","",Z534-X534-M534)</f>
        <v/>
      </c>
      <c r="AB534" s="13">
        <f>IF(ROWS($AB$2:$AB534)&lt;=MAX('Per Line'!$AK$2:$AK$4001),MATCH(ROWS($AB$2:$AB534),'Per Line'!$AK$2:$AK$4001,0),"")</f>
        <v/>
      </c>
      <c r="AC534" s="14">
        <f>IF($AB534="","",M534-L534*Z534/100)</f>
        <v/>
      </c>
    </row>
    <row r="535">
      <c r="A535" s="12" t="n"/>
      <c r="B535">
        <f>IF($AB535="","",INDEX('Per Line'!$C$2:$C$4001,$AB535)&amp;"")</f>
        <v/>
      </c>
      <c r="C535">
        <f>IF($AB535="","",INDEX('Per Line'!$D$2:$D$4001,$AB535)&amp;"")</f>
        <v/>
      </c>
      <c r="D535">
        <f>IF($AB535="","",INDEX('Per Line'!$B$2:$B$4001,$AB535)&amp;"")</f>
        <v/>
      </c>
      <c r="E535">
        <f>IF($AB535="","",INDEX('Per Line'!$A$2:$A$4001,$AB535))</f>
        <v/>
      </c>
      <c r="F535" s="11">
        <f>IF($AB535="","",INDEX('Per Line'!$E$2:$E$4001,$AB535))</f>
        <v/>
      </c>
      <c r="G535">
        <f>IF($AB535="","",INDEX('Per Line'!$F$2:$F$4001,$AB535)&amp;"")</f>
        <v/>
      </c>
      <c r="H535">
        <f>IF($AB535="","",INDEX('Per Line'!$H$2:$H$4001,$AB535)&amp;"")</f>
        <v/>
      </c>
      <c r="I535">
        <f>IF($AB535="","",INDEX('Per Line'!$I$2:$I$4001,$AB535)&amp;"")</f>
        <v/>
      </c>
      <c r="J535">
        <f>IF($AB535="","",INDEX('Per Line'!$J$2:$J$4001,$AB535)&amp;"")</f>
        <v/>
      </c>
      <c r="K535">
        <f>IF($AB535="","",INDEX('Per Line'!$K$2:$K$4001,$AB535)&amp;"")</f>
        <v/>
      </c>
      <c r="L535">
        <f>IF($AB535="","",INDEX('Per Line'!$L$2:$L$4001,$AB535))</f>
        <v/>
      </c>
      <c r="M535" s="7">
        <f>IF($AB535="","",IF(AND(ISNUMBER(O535),O535&gt;0,Z535&gt;O535),L535*O535/100+(Z535-O535),L535*Z535/100))</f>
        <v/>
      </c>
      <c r="N535">
        <f>IF($AB535="","",INDEX('Per Line'!$V$2:$V$4001,$AB535)&amp;"")</f>
        <v/>
      </c>
      <c r="O535">
        <f>IF($AB535="","",INDEX('Per Line'!$Z$2:$Z$4001,$AB535))</f>
        <v/>
      </c>
      <c r="P535">
        <f>IF($AB535="","",IF(AND(ISNUMBER(O535),O535&gt;0),Z535&gt;O535,FALSE))</f>
        <v/>
      </c>
      <c r="Q535" s="7">
        <f>IF($AB535="","",SUMIFS('Per Line'!$U$2:$U$4001,'Per Line'!$C$2:$C$4001,$B535,'Per Line'!$AM$2:$AM$4001,1))</f>
        <v/>
      </c>
      <c r="R535">
        <f>IF($AB535="","",Settings!$C$7)</f>
        <v/>
      </c>
      <c r="S535" s="7">
        <f>IF($AB535="","",SUMIFS('Per Line'!$U$2:$U$4001,'Per Line'!$C$2:$C$4001,$B535,'Per Line'!$AL$2:$AL$4001,0,'Per Line'!$AM$2:$AM$4001,0))</f>
        <v/>
      </c>
      <c r="T535" s="7">
        <f>IF($AB535="","",S535*R535)</f>
        <v/>
      </c>
      <c r="U535">
        <f>IF($AB535="","",Settings!$C$6)</f>
        <v/>
      </c>
      <c r="V535" s="7">
        <f>IF($AB535="","",SUMIFS('Per Line'!$U$2:$U$4001,'Per Line'!$C$2:$C$4001,$B535,'Per Line'!$AL$2:$AL$4001,1,'Per Line'!$AM$2:$AM$4001,0))</f>
        <v/>
      </c>
      <c r="W535" s="7">
        <f>IF($AB535="","",V535*U535)</f>
        <v/>
      </c>
      <c r="X535" s="7">
        <f>IF($AB535="","",W535+T535)</f>
        <v/>
      </c>
      <c r="Y535" s="7">
        <f>IF($AB535="","",Z535-X535)</f>
        <v/>
      </c>
      <c r="Z535" s="7">
        <f>IF($AB535="","",S535+V535+Q535)</f>
        <v/>
      </c>
      <c r="AA535" s="7">
        <f>IF($AB535="","",Z535-X535-M535)</f>
        <v/>
      </c>
      <c r="AB535" s="13">
        <f>IF(ROWS($AB$2:$AB535)&lt;=MAX('Per Line'!$AK$2:$AK$4001),MATCH(ROWS($AB$2:$AB535),'Per Line'!$AK$2:$AK$4001,0),"")</f>
        <v/>
      </c>
      <c r="AC535" s="14">
        <f>IF($AB535="","",M535-L535*Z535/100)</f>
        <v/>
      </c>
    </row>
    <row r="536">
      <c r="A536" s="12" t="n"/>
      <c r="B536">
        <f>IF($AB536="","",INDEX('Per Line'!$C$2:$C$4001,$AB536)&amp;"")</f>
        <v/>
      </c>
      <c r="C536">
        <f>IF($AB536="","",INDEX('Per Line'!$D$2:$D$4001,$AB536)&amp;"")</f>
        <v/>
      </c>
      <c r="D536">
        <f>IF($AB536="","",INDEX('Per Line'!$B$2:$B$4001,$AB536)&amp;"")</f>
        <v/>
      </c>
      <c r="E536">
        <f>IF($AB536="","",INDEX('Per Line'!$A$2:$A$4001,$AB536))</f>
        <v/>
      </c>
      <c r="F536" s="11">
        <f>IF($AB536="","",INDEX('Per Line'!$E$2:$E$4001,$AB536))</f>
        <v/>
      </c>
      <c r="G536">
        <f>IF($AB536="","",INDEX('Per Line'!$F$2:$F$4001,$AB536)&amp;"")</f>
        <v/>
      </c>
      <c r="H536">
        <f>IF($AB536="","",INDEX('Per Line'!$H$2:$H$4001,$AB536)&amp;"")</f>
        <v/>
      </c>
      <c r="I536">
        <f>IF($AB536="","",INDEX('Per Line'!$I$2:$I$4001,$AB536)&amp;"")</f>
        <v/>
      </c>
      <c r="J536">
        <f>IF($AB536="","",INDEX('Per Line'!$J$2:$J$4001,$AB536)&amp;"")</f>
        <v/>
      </c>
      <c r="K536">
        <f>IF($AB536="","",INDEX('Per Line'!$K$2:$K$4001,$AB536)&amp;"")</f>
        <v/>
      </c>
      <c r="L536">
        <f>IF($AB536="","",INDEX('Per Line'!$L$2:$L$4001,$AB536))</f>
        <v/>
      </c>
      <c r="M536" s="7">
        <f>IF($AB536="","",IF(AND(ISNUMBER(O536),O536&gt;0,Z536&gt;O536),L536*O536/100+(Z536-O536),L536*Z536/100))</f>
        <v/>
      </c>
      <c r="N536">
        <f>IF($AB536="","",INDEX('Per Line'!$V$2:$V$4001,$AB536)&amp;"")</f>
        <v/>
      </c>
      <c r="O536">
        <f>IF($AB536="","",INDEX('Per Line'!$Z$2:$Z$4001,$AB536))</f>
        <v/>
      </c>
      <c r="P536">
        <f>IF($AB536="","",IF(AND(ISNUMBER(O536),O536&gt;0),Z536&gt;O536,FALSE))</f>
        <v/>
      </c>
      <c r="Q536" s="7">
        <f>IF($AB536="","",SUMIFS('Per Line'!$U$2:$U$4001,'Per Line'!$C$2:$C$4001,$B536,'Per Line'!$AM$2:$AM$4001,1))</f>
        <v/>
      </c>
      <c r="R536">
        <f>IF($AB536="","",Settings!$C$7)</f>
        <v/>
      </c>
      <c r="S536" s="7">
        <f>IF($AB536="","",SUMIFS('Per Line'!$U$2:$U$4001,'Per Line'!$C$2:$C$4001,$B536,'Per Line'!$AL$2:$AL$4001,0,'Per Line'!$AM$2:$AM$4001,0))</f>
        <v/>
      </c>
      <c r="T536" s="7">
        <f>IF($AB536="","",S536*R536)</f>
        <v/>
      </c>
      <c r="U536">
        <f>IF($AB536="","",Settings!$C$6)</f>
        <v/>
      </c>
      <c r="V536" s="7">
        <f>IF($AB536="","",SUMIFS('Per Line'!$U$2:$U$4001,'Per Line'!$C$2:$C$4001,$B536,'Per Line'!$AL$2:$AL$4001,1,'Per Line'!$AM$2:$AM$4001,0))</f>
        <v/>
      </c>
      <c r="W536" s="7">
        <f>IF($AB536="","",V536*U536)</f>
        <v/>
      </c>
      <c r="X536" s="7">
        <f>IF($AB536="","",W536+T536)</f>
        <v/>
      </c>
      <c r="Y536" s="7">
        <f>IF($AB536="","",Z536-X536)</f>
        <v/>
      </c>
      <c r="Z536" s="7">
        <f>IF($AB536="","",S536+V536+Q536)</f>
        <v/>
      </c>
      <c r="AA536" s="7">
        <f>IF($AB536="","",Z536-X536-M536)</f>
        <v/>
      </c>
      <c r="AB536" s="13">
        <f>IF(ROWS($AB$2:$AB536)&lt;=MAX('Per Line'!$AK$2:$AK$4001),MATCH(ROWS($AB$2:$AB536),'Per Line'!$AK$2:$AK$4001,0),"")</f>
        <v/>
      </c>
      <c r="AC536" s="14">
        <f>IF($AB536="","",M536-L536*Z536/100)</f>
        <v/>
      </c>
    </row>
    <row r="537">
      <c r="A537" s="12" t="n"/>
      <c r="B537">
        <f>IF($AB537="","",INDEX('Per Line'!$C$2:$C$4001,$AB537)&amp;"")</f>
        <v/>
      </c>
      <c r="C537">
        <f>IF($AB537="","",INDEX('Per Line'!$D$2:$D$4001,$AB537)&amp;"")</f>
        <v/>
      </c>
      <c r="D537">
        <f>IF($AB537="","",INDEX('Per Line'!$B$2:$B$4001,$AB537)&amp;"")</f>
        <v/>
      </c>
      <c r="E537">
        <f>IF($AB537="","",INDEX('Per Line'!$A$2:$A$4001,$AB537))</f>
        <v/>
      </c>
      <c r="F537" s="11">
        <f>IF($AB537="","",INDEX('Per Line'!$E$2:$E$4001,$AB537))</f>
        <v/>
      </c>
      <c r="G537">
        <f>IF($AB537="","",INDEX('Per Line'!$F$2:$F$4001,$AB537)&amp;"")</f>
        <v/>
      </c>
      <c r="H537">
        <f>IF($AB537="","",INDEX('Per Line'!$H$2:$H$4001,$AB537)&amp;"")</f>
        <v/>
      </c>
      <c r="I537">
        <f>IF($AB537="","",INDEX('Per Line'!$I$2:$I$4001,$AB537)&amp;"")</f>
        <v/>
      </c>
      <c r="J537">
        <f>IF($AB537="","",INDEX('Per Line'!$J$2:$J$4001,$AB537)&amp;"")</f>
        <v/>
      </c>
      <c r="K537">
        <f>IF($AB537="","",INDEX('Per Line'!$K$2:$K$4001,$AB537)&amp;"")</f>
        <v/>
      </c>
      <c r="L537">
        <f>IF($AB537="","",INDEX('Per Line'!$L$2:$L$4001,$AB537))</f>
        <v/>
      </c>
      <c r="M537" s="7">
        <f>IF($AB537="","",IF(AND(ISNUMBER(O537),O537&gt;0,Z537&gt;O537),L537*O537/100+(Z537-O537),L537*Z537/100))</f>
        <v/>
      </c>
      <c r="N537">
        <f>IF($AB537="","",INDEX('Per Line'!$V$2:$V$4001,$AB537)&amp;"")</f>
        <v/>
      </c>
      <c r="O537">
        <f>IF($AB537="","",INDEX('Per Line'!$Z$2:$Z$4001,$AB537))</f>
        <v/>
      </c>
      <c r="P537">
        <f>IF($AB537="","",IF(AND(ISNUMBER(O537),O537&gt;0),Z537&gt;O537,FALSE))</f>
        <v/>
      </c>
      <c r="Q537" s="7">
        <f>IF($AB537="","",SUMIFS('Per Line'!$U$2:$U$4001,'Per Line'!$C$2:$C$4001,$B537,'Per Line'!$AM$2:$AM$4001,1))</f>
        <v/>
      </c>
      <c r="R537">
        <f>IF($AB537="","",Settings!$C$7)</f>
        <v/>
      </c>
      <c r="S537" s="7">
        <f>IF($AB537="","",SUMIFS('Per Line'!$U$2:$U$4001,'Per Line'!$C$2:$C$4001,$B537,'Per Line'!$AL$2:$AL$4001,0,'Per Line'!$AM$2:$AM$4001,0))</f>
        <v/>
      </c>
      <c r="T537" s="7">
        <f>IF($AB537="","",S537*R537)</f>
        <v/>
      </c>
      <c r="U537">
        <f>IF($AB537="","",Settings!$C$6)</f>
        <v/>
      </c>
      <c r="V537" s="7">
        <f>IF($AB537="","",SUMIFS('Per Line'!$U$2:$U$4001,'Per Line'!$C$2:$C$4001,$B537,'Per Line'!$AL$2:$AL$4001,1,'Per Line'!$AM$2:$AM$4001,0))</f>
        <v/>
      </c>
      <c r="W537" s="7">
        <f>IF($AB537="","",V537*U537)</f>
        <v/>
      </c>
      <c r="X537" s="7">
        <f>IF($AB537="","",W537+T537)</f>
        <v/>
      </c>
      <c r="Y537" s="7">
        <f>IF($AB537="","",Z537-X537)</f>
        <v/>
      </c>
      <c r="Z537" s="7">
        <f>IF($AB537="","",S537+V537+Q537)</f>
        <v/>
      </c>
      <c r="AA537" s="7">
        <f>IF($AB537="","",Z537-X537-M537)</f>
        <v/>
      </c>
      <c r="AB537" s="13">
        <f>IF(ROWS($AB$2:$AB537)&lt;=MAX('Per Line'!$AK$2:$AK$4001),MATCH(ROWS($AB$2:$AB537),'Per Line'!$AK$2:$AK$4001,0),"")</f>
        <v/>
      </c>
      <c r="AC537" s="14">
        <f>IF($AB537="","",M537-L537*Z537/100)</f>
        <v/>
      </c>
    </row>
    <row r="538">
      <c r="A538" s="12" t="n"/>
      <c r="B538">
        <f>IF($AB538="","",INDEX('Per Line'!$C$2:$C$4001,$AB538)&amp;"")</f>
        <v/>
      </c>
      <c r="C538">
        <f>IF($AB538="","",INDEX('Per Line'!$D$2:$D$4001,$AB538)&amp;"")</f>
        <v/>
      </c>
      <c r="D538">
        <f>IF($AB538="","",INDEX('Per Line'!$B$2:$B$4001,$AB538)&amp;"")</f>
        <v/>
      </c>
      <c r="E538">
        <f>IF($AB538="","",INDEX('Per Line'!$A$2:$A$4001,$AB538))</f>
        <v/>
      </c>
      <c r="F538" s="11">
        <f>IF($AB538="","",INDEX('Per Line'!$E$2:$E$4001,$AB538))</f>
        <v/>
      </c>
      <c r="G538">
        <f>IF($AB538="","",INDEX('Per Line'!$F$2:$F$4001,$AB538)&amp;"")</f>
        <v/>
      </c>
      <c r="H538">
        <f>IF($AB538="","",INDEX('Per Line'!$H$2:$H$4001,$AB538)&amp;"")</f>
        <v/>
      </c>
      <c r="I538">
        <f>IF($AB538="","",INDEX('Per Line'!$I$2:$I$4001,$AB538)&amp;"")</f>
        <v/>
      </c>
      <c r="J538">
        <f>IF($AB538="","",INDEX('Per Line'!$J$2:$J$4001,$AB538)&amp;"")</f>
        <v/>
      </c>
      <c r="K538">
        <f>IF($AB538="","",INDEX('Per Line'!$K$2:$K$4001,$AB538)&amp;"")</f>
        <v/>
      </c>
      <c r="L538">
        <f>IF($AB538="","",INDEX('Per Line'!$L$2:$L$4001,$AB538))</f>
        <v/>
      </c>
      <c r="M538" s="7">
        <f>IF($AB538="","",IF(AND(ISNUMBER(O538),O538&gt;0,Z538&gt;O538),L538*O538/100+(Z538-O538),L538*Z538/100))</f>
        <v/>
      </c>
      <c r="N538">
        <f>IF($AB538="","",INDEX('Per Line'!$V$2:$V$4001,$AB538)&amp;"")</f>
        <v/>
      </c>
      <c r="O538">
        <f>IF($AB538="","",INDEX('Per Line'!$Z$2:$Z$4001,$AB538))</f>
        <v/>
      </c>
      <c r="P538">
        <f>IF($AB538="","",IF(AND(ISNUMBER(O538),O538&gt;0),Z538&gt;O538,FALSE))</f>
        <v/>
      </c>
      <c r="Q538" s="7">
        <f>IF($AB538="","",SUMIFS('Per Line'!$U$2:$U$4001,'Per Line'!$C$2:$C$4001,$B538,'Per Line'!$AM$2:$AM$4001,1))</f>
        <v/>
      </c>
      <c r="R538">
        <f>IF($AB538="","",Settings!$C$7)</f>
        <v/>
      </c>
      <c r="S538" s="7">
        <f>IF($AB538="","",SUMIFS('Per Line'!$U$2:$U$4001,'Per Line'!$C$2:$C$4001,$B538,'Per Line'!$AL$2:$AL$4001,0,'Per Line'!$AM$2:$AM$4001,0))</f>
        <v/>
      </c>
      <c r="T538" s="7">
        <f>IF($AB538="","",S538*R538)</f>
        <v/>
      </c>
      <c r="U538">
        <f>IF($AB538="","",Settings!$C$6)</f>
        <v/>
      </c>
      <c r="V538" s="7">
        <f>IF($AB538="","",SUMIFS('Per Line'!$U$2:$U$4001,'Per Line'!$C$2:$C$4001,$B538,'Per Line'!$AL$2:$AL$4001,1,'Per Line'!$AM$2:$AM$4001,0))</f>
        <v/>
      </c>
      <c r="W538" s="7">
        <f>IF($AB538="","",V538*U538)</f>
        <v/>
      </c>
      <c r="X538" s="7">
        <f>IF($AB538="","",W538+T538)</f>
        <v/>
      </c>
      <c r="Y538" s="7">
        <f>IF($AB538="","",Z538-X538)</f>
        <v/>
      </c>
      <c r="Z538" s="7">
        <f>IF($AB538="","",S538+V538+Q538)</f>
        <v/>
      </c>
      <c r="AA538" s="7">
        <f>IF($AB538="","",Z538-X538-M538)</f>
        <v/>
      </c>
      <c r="AB538" s="13">
        <f>IF(ROWS($AB$2:$AB538)&lt;=MAX('Per Line'!$AK$2:$AK$4001),MATCH(ROWS($AB$2:$AB538),'Per Line'!$AK$2:$AK$4001,0),"")</f>
        <v/>
      </c>
      <c r="AC538" s="14">
        <f>IF($AB538="","",M538-L538*Z538/100)</f>
        <v/>
      </c>
    </row>
    <row r="539">
      <c r="A539" s="12" t="n"/>
      <c r="B539">
        <f>IF($AB539="","",INDEX('Per Line'!$C$2:$C$4001,$AB539)&amp;"")</f>
        <v/>
      </c>
      <c r="C539">
        <f>IF($AB539="","",INDEX('Per Line'!$D$2:$D$4001,$AB539)&amp;"")</f>
        <v/>
      </c>
      <c r="D539">
        <f>IF($AB539="","",INDEX('Per Line'!$B$2:$B$4001,$AB539)&amp;"")</f>
        <v/>
      </c>
      <c r="E539">
        <f>IF($AB539="","",INDEX('Per Line'!$A$2:$A$4001,$AB539))</f>
        <v/>
      </c>
      <c r="F539" s="11">
        <f>IF($AB539="","",INDEX('Per Line'!$E$2:$E$4001,$AB539))</f>
        <v/>
      </c>
      <c r="G539">
        <f>IF($AB539="","",INDEX('Per Line'!$F$2:$F$4001,$AB539)&amp;"")</f>
        <v/>
      </c>
      <c r="H539">
        <f>IF($AB539="","",INDEX('Per Line'!$H$2:$H$4001,$AB539)&amp;"")</f>
        <v/>
      </c>
      <c r="I539">
        <f>IF($AB539="","",INDEX('Per Line'!$I$2:$I$4001,$AB539)&amp;"")</f>
        <v/>
      </c>
      <c r="J539">
        <f>IF($AB539="","",INDEX('Per Line'!$J$2:$J$4001,$AB539)&amp;"")</f>
        <v/>
      </c>
      <c r="K539">
        <f>IF($AB539="","",INDEX('Per Line'!$K$2:$K$4001,$AB539)&amp;"")</f>
        <v/>
      </c>
      <c r="L539">
        <f>IF($AB539="","",INDEX('Per Line'!$L$2:$L$4001,$AB539))</f>
        <v/>
      </c>
      <c r="M539" s="7">
        <f>IF($AB539="","",IF(AND(ISNUMBER(O539),O539&gt;0,Z539&gt;O539),L539*O539/100+(Z539-O539),L539*Z539/100))</f>
        <v/>
      </c>
      <c r="N539">
        <f>IF($AB539="","",INDEX('Per Line'!$V$2:$V$4001,$AB539)&amp;"")</f>
        <v/>
      </c>
      <c r="O539">
        <f>IF($AB539="","",INDEX('Per Line'!$Z$2:$Z$4001,$AB539))</f>
        <v/>
      </c>
      <c r="P539">
        <f>IF($AB539="","",IF(AND(ISNUMBER(O539),O539&gt;0),Z539&gt;O539,FALSE))</f>
        <v/>
      </c>
      <c r="Q539" s="7">
        <f>IF($AB539="","",SUMIFS('Per Line'!$U$2:$U$4001,'Per Line'!$C$2:$C$4001,$B539,'Per Line'!$AM$2:$AM$4001,1))</f>
        <v/>
      </c>
      <c r="R539">
        <f>IF($AB539="","",Settings!$C$7)</f>
        <v/>
      </c>
      <c r="S539" s="7">
        <f>IF($AB539="","",SUMIFS('Per Line'!$U$2:$U$4001,'Per Line'!$C$2:$C$4001,$B539,'Per Line'!$AL$2:$AL$4001,0,'Per Line'!$AM$2:$AM$4001,0))</f>
        <v/>
      </c>
      <c r="T539" s="7">
        <f>IF($AB539="","",S539*R539)</f>
        <v/>
      </c>
      <c r="U539">
        <f>IF($AB539="","",Settings!$C$6)</f>
        <v/>
      </c>
      <c r="V539" s="7">
        <f>IF($AB539="","",SUMIFS('Per Line'!$U$2:$U$4001,'Per Line'!$C$2:$C$4001,$B539,'Per Line'!$AL$2:$AL$4001,1,'Per Line'!$AM$2:$AM$4001,0))</f>
        <v/>
      </c>
      <c r="W539" s="7">
        <f>IF($AB539="","",V539*U539)</f>
        <v/>
      </c>
      <c r="X539" s="7">
        <f>IF($AB539="","",W539+T539)</f>
        <v/>
      </c>
      <c r="Y539" s="7">
        <f>IF($AB539="","",Z539-X539)</f>
        <v/>
      </c>
      <c r="Z539" s="7">
        <f>IF($AB539="","",S539+V539+Q539)</f>
        <v/>
      </c>
      <c r="AA539" s="7">
        <f>IF($AB539="","",Z539-X539-M539)</f>
        <v/>
      </c>
      <c r="AB539" s="13">
        <f>IF(ROWS($AB$2:$AB539)&lt;=MAX('Per Line'!$AK$2:$AK$4001),MATCH(ROWS($AB$2:$AB539),'Per Line'!$AK$2:$AK$4001,0),"")</f>
        <v/>
      </c>
      <c r="AC539" s="14">
        <f>IF($AB539="","",M539-L539*Z539/100)</f>
        <v/>
      </c>
    </row>
    <row r="540">
      <c r="A540" s="12" t="n"/>
      <c r="B540">
        <f>IF($AB540="","",INDEX('Per Line'!$C$2:$C$4001,$AB540)&amp;"")</f>
        <v/>
      </c>
      <c r="C540">
        <f>IF($AB540="","",INDEX('Per Line'!$D$2:$D$4001,$AB540)&amp;"")</f>
        <v/>
      </c>
      <c r="D540">
        <f>IF($AB540="","",INDEX('Per Line'!$B$2:$B$4001,$AB540)&amp;"")</f>
        <v/>
      </c>
      <c r="E540">
        <f>IF($AB540="","",INDEX('Per Line'!$A$2:$A$4001,$AB540))</f>
        <v/>
      </c>
      <c r="F540" s="11">
        <f>IF($AB540="","",INDEX('Per Line'!$E$2:$E$4001,$AB540))</f>
        <v/>
      </c>
      <c r="G540">
        <f>IF($AB540="","",INDEX('Per Line'!$F$2:$F$4001,$AB540)&amp;"")</f>
        <v/>
      </c>
      <c r="H540">
        <f>IF($AB540="","",INDEX('Per Line'!$H$2:$H$4001,$AB540)&amp;"")</f>
        <v/>
      </c>
      <c r="I540">
        <f>IF($AB540="","",INDEX('Per Line'!$I$2:$I$4001,$AB540)&amp;"")</f>
        <v/>
      </c>
      <c r="J540">
        <f>IF($AB540="","",INDEX('Per Line'!$J$2:$J$4001,$AB540)&amp;"")</f>
        <v/>
      </c>
      <c r="K540">
        <f>IF($AB540="","",INDEX('Per Line'!$K$2:$K$4001,$AB540)&amp;"")</f>
        <v/>
      </c>
      <c r="L540">
        <f>IF($AB540="","",INDEX('Per Line'!$L$2:$L$4001,$AB540))</f>
        <v/>
      </c>
      <c r="M540" s="7">
        <f>IF($AB540="","",IF(AND(ISNUMBER(O540),O540&gt;0,Z540&gt;O540),L540*O540/100+(Z540-O540),L540*Z540/100))</f>
        <v/>
      </c>
      <c r="N540">
        <f>IF($AB540="","",INDEX('Per Line'!$V$2:$V$4001,$AB540)&amp;"")</f>
        <v/>
      </c>
      <c r="O540">
        <f>IF($AB540="","",INDEX('Per Line'!$Z$2:$Z$4001,$AB540))</f>
        <v/>
      </c>
      <c r="P540">
        <f>IF($AB540="","",IF(AND(ISNUMBER(O540),O540&gt;0),Z540&gt;O540,FALSE))</f>
        <v/>
      </c>
      <c r="Q540" s="7">
        <f>IF($AB540="","",SUMIFS('Per Line'!$U$2:$U$4001,'Per Line'!$C$2:$C$4001,$B540,'Per Line'!$AM$2:$AM$4001,1))</f>
        <v/>
      </c>
      <c r="R540">
        <f>IF($AB540="","",Settings!$C$7)</f>
        <v/>
      </c>
      <c r="S540" s="7">
        <f>IF($AB540="","",SUMIFS('Per Line'!$U$2:$U$4001,'Per Line'!$C$2:$C$4001,$B540,'Per Line'!$AL$2:$AL$4001,0,'Per Line'!$AM$2:$AM$4001,0))</f>
        <v/>
      </c>
      <c r="T540" s="7">
        <f>IF($AB540="","",S540*R540)</f>
        <v/>
      </c>
      <c r="U540">
        <f>IF($AB540="","",Settings!$C$6)</f>
        <v/>
      </c>
      <c r="V540" s="7">
        <f>IF($AB540="","",SUMIFS('Per Line'!$U$2:$U$4001,'Per Line'!$C$2:$C$4001,$B540,'Per Line'!$AL$2:$AL$4001,1,'Per Line'!$AM$2:$AM$4001,0))</f>
        <v/>
      </c>
      <c r="W540" s="7">
        <f>IF($AB540="","",V540*U540)</f>
        <v/>
      </c>
      <c r="X540" s="7">
        <f>IF($AB540="","",W540+T540)</f>
        <v/>
      </c>
      <c r="Y540" s="7">
        <f>IF($AB540="","",Z540-X540)</f>
        <v/>
      </c>
      <c r="Z540" s="7">
        <f>IF($AB540="","",S540+V540+Q540)</f>
        <v/>
      </c>
      <c r="AA540" s="7">
        <f>IF($AB540="","",Z540-X540-M540)</f>
        <v/>
      </c>
      <c r="AB540" s="13">
        <f>IF(ROWS($AB$2:$AB540)&lt;=MAX('Per Line'!$AK$2:$AK$4001),MATCH(ROWS($AB$2:$AB540),'Per Line'!$AK$2:$AK$4001,0),"")</f>
        <v/>
      </c>
      <c r="AC540" s="14">
        <f>IF($AB540="","",M540-L540*Z540/100)</f>
        <v/>
      </c>
    </row>
    <row r="541">
      <c r="A541" s="12" t="n"/>
      <c r="B541">
        <f>IF($AB541="","",INDEX('Per Line'!$C$2:$C$4001,$AB541)&amp;"")</f>
        <v/>
      </c>
      <c r="C541">
        <f>IF($AB541="","",INDEX('Per Line'!$D$2:$D$4001,$AB541)&amp;"")</f>
        <v/>
      </c>
      <c r="D541">
        <f>IF($AB541="","",INDEX('Per Line'!$B$2:$B$4001,$AB541)&amp;"")</f>
        <v/>
      </c>
      <c r="E541">
        <f>IF($AB541="","",INDEX('Per Line'!$A$2:$A$4001,$AB541))</f>
        <v/>
      </c>
      <c r="F541" s="11">
        <f>IF($AB541="","",INDEX('Per Line'!$E$2:$E$4001,$AB541))</f>
        <v/>
      </c>
      <c r="G541">
        <f>IF($AB541="","",INDEX('Per Line'!$F$2:$F$4001,$AB541)&amp;"")</f>
        <v/>
      </c>
      <c r="H541">
        <f>IF($AB541="","",INDEX('Per Line'!$H$2:$H$4001,$AB541)&amp;"")</f>
        <v/>
      </c>
      <c r="I541">
        <f>IF($AB541="","",INDEX('Per Line'!$I$2:$I$4001,$AB541)&amp;"")</f>
        <v/>
      </c>
      <c r="J541">
        <f>IF($AB541="","",INDEX('Per Line'!$J$2:$J$4001,$AB541)&amp;"")</f>
        <v/>
      </c>
      <c r="K541">
        <f>IF($AB541="","",INDEX('Per Line'!$K$2:$K$4001,$AB541)&amp;"")</f>
        <v/>
      </c>
      <c r="L541">
        <f>IF($AB541="","",INDEX('Per Line'!$L$2:$L$4001,$AB541))</f>
        <v/>
      </c>
      <c r="M541" s="7">
        <f>IF($AB541="","",IF(AND(ISNUMBER(O541),O541&gt;0,Z541&gt;O541),L541*O541/100+(Z541-O541),L541*Z541/100))</f>
        <v/>
      </c>
      <c r="N541">
        <f>IF($AB541="","",INDEX('Per Line'!$V$2:$V$4001,$AB541)&amp;"")</f>
        <v/>
      </c>
      <c r="O541">
        <f>IF($AB541="","",INDEX('Per Line'!$Z$2:$Z$4001,$AB541))</f>
        <v/>
      </c>
      <c r="P541">
        <f>IF($AB541="","",IF(AND(ISNUMBER(O541),O541&gt;0),Z541&gt;O541,FALSE))</f>
        <v/>
      </c>
      <c r="Q541" s="7">
        <f>IF($AB541="","",SUMIFS('Per Line'!$U$2:$U$4001,'Per Line'!$C$2:$C$4001,$B541,'Per Line'!$AM$2:$AM$4001,1))</f>
        <v/>
      </c>
      <c r="R541">
        <f>IF($AB541="","",Settings!$C$7)</f>
        <v/>
      </c>
      <c r="S541" s="7">
        <f>IF($AB541="","",SUMIFS('Per Line'!$U$2:$U$4001,'Per Line'!$C$2:$C$4001,$B541,'Per Line'!$AL$2:$AL$4001,0,'Per Line'!$AM$2:$AM$4001,0))</f>
        <v/>
      </c>
      <c r="T541" s="7">
        <f>IF($AB541="","",S541*R541)</f>
        <v/>
      </c>
      <c r="U541">
        <f>IF($AB541="","",Settings!$C$6)</f>
        <v/>
      </c>
      <c r="V541" s="7">
        <f>IF($AB541="","",SUMIFS('Per Line'!$U$2:$U$4001,'Per Line'!$C$2:$C$4001,$B541,'Per Line'!$AL$2:$AL$4001,1,'Per Line'!$AM$2:$AM$4001,0))</f>
        <v/>
      </c>
      <c r="W541" s="7">
        <f>IF($AB541="","",V541*U541)</f>
        <v/>
      </c>
      <c r="X541" s="7">
        <f>IF($AB541="","",W541+T541)</f>
        <v/>
      </c>
      <c r="Y541" s="7">
        <f>IF($AB541="","",Z541-X541)</f>
        <v/>
      </c>
      <c r="Z541" s="7">
        <f>IF($AB541="","",S541+V541+Q541)</f>
        <v/>
      </c>
      <c r="AA541" s="7">
        <f>IF($AB541="","",Z541-X541-M541)</f>
        <v/>
      </c>
      <c r="AB541" s="13">
        <f>IF(ROWS($AB$2:$AB541)&lt;=MAX('Per Line'!$AK$2:$AK$4001),MATCH(ROWS($AB$2:$AB541),'Per Line'!$AK$2:$AK$4001,0),"")</f>
        <v/>
      </c>
      <c r="AC541" s="14">
        <f>IF($AB541="","",M541-L541*Z541/100)</f>
        <v/>
      </c>
    </row>
    <row r="542">
      <c r="A542" s="12" t="n"/>
      <c r="B542">
        <f>IF($AB542="","",INDEX('Per Line'!$C$2:$C$4001,$AB542)&amp;"")</f>
        <v/>
      </c>
      <c r="C542">
        <f>IF($AB542="","",INDEX('Per Line'!$D$2:$D$4001,$AB542)&amp;"")</f>
        <v/>
      </c>
      <c r="D542">
        <f>IF($AB542="","",INDEX('Per Line'!$B$2:$B$4001,$AB542)&amp;"")</f>
        <v/>
      </c>
      <c r="E542">
        <f>IF($AB542="","",INDEX('Per Line'!$A$2:$A$4001,$AB542))</f>
        <v/>
      </c>
      <c r="F542" s="11">
        <f>IF($AB542="","",INDEX('Per Line'!$E$2:$E$4001,$AB542))</f>
        <v/>
      </c>
      <c r="G542">
        <f>IF($AB542="","",INDEX('Per Line'!$F$2:$F$4001,$AB542)&amp;"")</f>
        <v/>
      </c>
      <c r="H542">
        <f>IF($AB542="","",INDEX('Per Line'!$H$2:$H$4001,$AB542)&amp;"")</f>
        <v/>
      </c>
      <c r="I542">
        <f>IF($AB542="","",INDEX('Per Line'!$I$2:$I$4001,$AB542)&amp;"")</f>
        <v/>
      </c>
      <c r="J542">
        <f>IF($AB542="","",INDEX('Per Line'!$J$2:$J$4001,$AB542)&amp;"")</f>
        <v/>
      </c>
      <c r="K542">
        <f>IF($AB542="","",INDEX('Per Line'!$K$2:$K$4001,$AB542)&amp;"")</f>
        <v/>
      </c>
      <c r="L542">
        <f>IF($AB542="","",INDEX('Per Line'!$L$2:$L$4001,$AB542))</f>
        <v/>
      </c>
      <c r="M542" s="7">
        <f>IF($AB542="","",IF(AND(ISNUMBER(O542),O542&gt;0,Z542&gt;O542),L542*O542/100+(Z542-O542),L542*Z542/100))</f>
        <v/>
      </c>
      <c r="N542">
        <f>IF($AB542="","",INDEX('Per Line'!$V$2:$V$4001,$AB542)&amp;"")</f>
        <v/>
      </c>
      <c r="O542">
        <f>IF($AB542="","",INDEX('Per Line'!$Z$2:$Z$4001,$AB542))</f>
        <v/>
      </c>
      <c r="P542">
        <f>IF($AB542="","",IF(AND(ISNUMBER(O542),O542&gt;0),Z542&gt;O542,FALSE))</f>
        <v/>
      </c>
      <c r="Q542" s="7">
        <f>IF($AB542="","",SUMIFS('Per Line'!$U$2:$U$4001,'Per Line'!$C$2:$C$4001,$B542,'Per Line'!$AM$2:$AM$4001,1))</f>
        <v/>
      </c>
      <c r="R542">
        <f>IF($AB542="","",Settings!$C$7)</f>
        <v/>
      </c>
      <c r="S542" s="7">
        <f>IF($AB542="","",SUMIFS('Per Line'!$U$2:$U$4001,'Per Line'!$C$2:$C$4001,$B542,'Per Line'!$AL$2:$AL$4001,0,'Per Line'!$AM$2:$AM$4001,0))</f>
        <v/>
      </c>
      <c r="T542" s="7">
        <f>IF($AB542="","",S542*R542)</f>
        <v/>
      </c>
      <c r="U542">
        <f>IF($AB542="","",Settings!$C$6)</f>
        <v/>
      </c>
      <c r="V542" s="7">
        <f>IF($AB542="","",SUMIFS('Per Line'!$U$2:$U$4001,'Per Line'!$C$2:$C$4001,$B542,'Per Line'!$AL$2:$AL$4001,1,'Per Line'!$AM$2:$AM$4001,0))</f>
        <v/>
      </c>
      <c r="W542" s="7">
        <f>IF($AB542="","",V542*U542)</f>
        <v/>
      </c>
      <c r="X542" s="7">
        <f>IF($AB542="","",W542+T542)</f>
        <v/>
      </c>
      <c r="Y542" s="7">
        <f>IF($AB542="","",Z542-X542)</f>
        <v/>
      </c>
      <c r="Z542" s="7">
        <f>IF($AB542="","",S542+V542+Q542)</f>
        <v/>
      </c>
      <c r="AA542" s="7">
        <f>IF($AB542="","",Z542-X542-M542)</f>
        <v/>
      </c>
      <c r="AB542" s="13">
        <f>IF(ROWS($AB$2:$AB542)&lt;=MAX('Per Line'!$AK$2:$AK$4001),MATCH(ROWS($AB$2:$AB542),'Per Line'!$AK$2:$AK$4001,0),"")</f>
        <v/>
      </c>
      <c r="AC542" s="14">
        <f>IF($AB542="","",M542-L542*Z542/100)</f>
        <v/>
      </c>
    </row>
    <row r="543">
      <c r="A543" s="12" t="n"/>
      <c r="B543">
        <f>IF($AB543="","",INDEX('Per Line'!$C$2:$C$4001,$AB543)&amp;"")</f>
        <v/>
      </c>
      <c r="C543">
        <f>IF($AB543="","",INDEX('Per Line'!$D$2:$D$4001,$AB543)&amp;"")</f>
        <v/>
      </c>
      <c r="D543">
        <f>IF($AB543="","",INDEX('Per Line'!$B$2:$B$4001,$AB543)&amp;"")</f>
        <v/>
      </c>
      <c r="E543">
        <f>IF($AB543="","",INDEX('Per Line'!$A$2:$A$4001,$AB543))</f>
        <v/>
      </c>
      <c r="F543" s="11">
        <f>IF($AB543="","",INDEX('Per Line'!$E$2:$E$4001,$AB543))</f>
        <v/>
      </c>
      <c r="G543">
        <f>IF($AB543="","",INDEX('Per Line'!$F$2:$F$4001,$AB543)&amp;"")</f>
        <v/>
      </c>
      <c r="H543">
        <f>IF($AB543="","",INDEX('Per Line'!$H$2:$H$4001,$AB543)&amp;"")</f>
        <v/>
      </c>
      <c r="I543">
        <f>IF($AB543="","",INDEX('Per Line'!$I$2:$I$4001,$AB543)&amp;"")</f>
        <v/>
      </c>
      <c r="J543">
        <f>IF($AB543="","",INDEX('Per Line'!$J$2:$J$4001,$AB543)&amp;"")</f>
        <v/>
      </c>
      <c r="K543">
        <f>IF($AB543="","",INDEX('Per Line'!$K$2:$K$4001,$AB543)&amp;"")</f>
        <v/>
      </c>
      <c r="L543">
        <f>IF($AB543="","",INDEX('Per Line'!$L$2:$L$4001,$AB543))</f>
        <v/>
      </c>
      <c r="M543" s="7">
        <f>IF($AB543="","",IF(AND(ISNUMBER(O543),O543&gt;0,Z543&gt;O543),L543*O543/100+(Z543-O543),L543*Z543/100))</f>
        <v/>
      </c>
      <c r="N543">
        <f>IF($AB543="","",INDEX('Per Line'!$V$2:$V$4001,$AB543)&amp;"")</f>
        <v/>
      </c>
      <c r="O543">
        <f>IF($AB543="","",INDEX('Per Line'!$Z$2:$Z$4001,$AB543))</f>
        <v/>
      </c>
      <c r="P543">
        <f>IF($AB543="","",IF(AND(ISNUMBER(O543),O543&gt;0),Z543&gt;O543,FALSE))</f>
        <v/>
      </c>
      <c r="Q543" s="7">
        <f>IF($AB543="","",SUMIFS('Per Line'!$U$2:$U$4001,'Per Line'!$C$2:$C$4001,$B543,'Per Line'!$AM$2:$AM$4001,1))</f>
        <v/>
      </c>
      <c r="R543">
        <f>IF($AB543="","",Settings!$C$7)</f>
        <v/>
      </c>
      <c r="S543" s="7">
        <f>IF($AB543="","",SUMIFS('Per Line'!$U$2:$U$4001,'Per Line'!$C$2:$C$4001,$B543,'Per Line'!$AL$2:$AL$4001,0,'Per Line'!$AM$2:$AM$4001,0))</f>
        <v/>
      </c>
      <c r="T543" s="7">
        <f>IF($AB543="","",S543*R543)</f>
        <v/>
      </c>
      <c r="U543">
        <f>IF($AB543="","",Settings!$C$6)</f>
        <v/>
      </c>
      <c r="V543" s="7">
        <f>IF($AB543="","",SUMIFS('Per Line'!$U$2:$U$4001,'Per Line'!$C$2:$C$4001,$B543,'Per Line'!$AL$2:$AL$4001,1,'Per Line'!$AM$2:$AM$4001,0))</f>
        <v/>
      </c>
      <c r="W543" s="7">
        <f>IF($AB543="","",V543*U543)</f>
        <v/>
      </c>
      <c r="X543" s="7">
        <f>IF($AB543="","",W543+T543)</f>
        <v/>
      </c>
      <c r="Y543" s="7">
        <f>IF($AB543="","",Z543-X543)</f>
        <v/>
      </c>
      <c r="Z543" s="7">
        <f>IF($AB543="","",S543+V543+Q543)</f>
        <v/>
      </c>
      <c r="AA543" s="7">
        <f>IF($AB543="","",Z543-X543-M543)</f>
        <v/>
      </c>
      <c r="AB543" s="13">
        <f>IF(ROWS($AB$2:$AB543)&lt;=MAX('Per Line'!$AK$2:$AK$4001),MATCH(ROWS($AB$2:$AB543),'Per Line'!$AK$2:$AK$4001,0),"")</f>
        <v/>
      </c>
      <c r="AC543" s="14">
        <f>IF($AB543="","",M543-L543*Z543/100)</f>
        <v/>
      </c>
    </row>
    <row r="544">
      <c r="A544" s="12" t="n"/>
      <c r="B544">
        <f>IF($AB544="","",INDEX('Per Line'!$C$2:$C$4001,$AB544)&amp;"")</f>
        <v/>
      </c>
      <c r="C544">
        <f>IF($AB544="","",INDEX('Per Line'!$D$2:$D$4001,$AB544)&amp;"")</f>
        <v/>
      </c>
      <c r="D544">
        <f>IF($AB544="","",INDEX('Per Line'!$B$2:$B$4001,$AB544)&amp;"")</f>
        <v/>
      </c>
      <c r="E544">
        <f>IF($AB544="","",INDEX('Per Line'!$A$2:$A$4001,$AB544))</f>
        <v/>
      </c>
      <c r="F544" s="11">
        <f>IF($AB544="","",INDEX('Per Line'!$E$2:$E$4001,$AB544))</f>
        <v/>
      </c>
      <c r="G544">
        <f>IF($AB544="","",INDEX('Per Line'!$F$2:$F$4001,$AB544)&amp;"")</f>
        <v/>
      </c>
      <c r="H544">
        <f>IF($AB544="","",INDEX('Per Line'!$H$2:$H$4001,$AB544)&amp;"")</f>
        <v/>
      </c>
      <c r="I544">
        <f>IF($AB544="","",INDEX('Per Line'!$I$2:$I$4001,$AB544)&amp;"")</f>
        <v/>
      </c>
      <c r="J544">
        <f>IF($AB544="","",INDEX('Per Line'!$J$2:$J$4001,$AB544)&amp;"")</f>
        <v/>
      </c>
      <c r="K544">
        <f>IF($AB544="","",INDEX('Per Line'!$K$2:$K$4001,$AB544)&amp;"")</f>
        <v/>
      </c>
      <c r="L544">
        <f>IF($AB544="","",INDEX('Per Line'!$L$2:$L$4001,$AB544))</f>
        <v/>
      </c>
      <c r="M544" s="7">
        <f>IF($AB544="","",IF(AND(ISNUMBER(O544),O544&gt;0,Z544&gt;O544),L544*O544/100+(Z544-O544),L544*Z544/100))</f>
        <v/>
      </c>
      <c r="N544">
        <f>IF($AB544="","",INDEX('Per Line'!$V$2:$V$4001,$AB544)&amp;"")</f>
        <v/>
      </c>
      <c r="O544">
        <f>IF($AB544="","",INDEX('Per Line'!$Z$2:$Z$4001,$AB544))</f>
        <v/>
      </c>
      <c r="P544">
        <f>IF($AB544="","",IF(AND(ISNUMBER(O544),O544&gt;0),Z544&gt;O544,FALSE))</f>
        <v/>
      </c>
      <c r="Q544" s="7">
        <f>IF($AB544="","",SUMIFS('Per Line'!$U$2:$U$4001,'Per Line'!$C$2:$C$4001,$B544,'Per Line'!$AM$2:$AM$4001,1))</f>
        <v/>
      </c>
      <c r="R544">
        <f>IF($AB544="","",Settings!$C$7)</f>
        <v/>
      </c>
      <c r="S544" s="7">
        <f>IF($AB544="","",SUMIFS('Per Line'!$U$2:$U$4001,'Per Line'!$C$2:$C$4001,$B544,'Per Line'!$AL$2:$AL$4001,0,'Per Line'!$AM$2:$AM$4001,0))</f>
        <v/>
      </c>
      <c r="T544" s="7">
        <f>IF($AB544="","",S544*R544)</f>
        <v/>
      </c>
      <c r="U544">
        <f>IF($AB544="","",Settings!$C$6)</f>
        <v/>
      </c>
      <c r="V544" s="7">
        <f>IF($AB544="","",SUMIFS('Per Line'!$U$2:$U$4001,'Per Line'!$C$2:$C$4001,$B544,'Per Line'!$AL$2:$AL$4001,1,'Per Line'!$AM$2:$AM$4001,0))</f>
        <v/>
      </c>
      <c r="W544" s="7">
        <f>IF($AB544="","",V544*U544)</f>
        <v/>
      </c>
      <c r="X544" s="7">
        <f>IF($AB544="","",W544+T544)</f>
        <v/>
      </c>
      <c r="Y544" s="7">
        <f>IF($AB544="","",Z544-X544)</f>
        <v/>
      </c>
      <c r="Z544" s="7">
        <f>IF($AB544="","",S544+V544+Q544)</f>
        <v/>
      </c>
      <c r="AA544" s="7">
        <f>IF($AB544="","",Z544-X544-M544)</f>
        <v/>
      </c>
      <c r="AB544" s="13">
        <f>IF(ROWS($AB$2:$AB544)&lt;=MAX('Per Line'!$AK$2:$AK$4001),MATCH(ROWS($AB$2:$AB544),'Per Line'!$AK$2:$AK$4001,0),"")</f>
        <v/>
      </c>
      <c r="AC544" s="14">
        <f>IF($AB544="","",M544-L544*Z544/100)</f>
        <v/>
      </c>
    </row>
    <row r="545">
      <c r="A545" s="12" t="n"/>
      <c r="B545">
        <f>IF($AB545="","",INDEX('Per Line'!$C$2:$C$4001,$AB545)&amp;"")</f>
        <v/>
      </c>
      <c r="C545">
        <f>IF($AB545="","",INDEX('Per Line'!$D$2:$D$4001,$AB545)&amp;"")</f>
        <v/>
      </c>
      <c r="D545">
        <f>IF($AB545="","",INDEX('Per Line'!$B$2:$B$4001,$AB545)&amp;"")</f>
        <v/>
      </c>
      <c r="E545">
        <f>IF($AB545="","",INDEX('Per Line'!$A$2:$A$4001,$AB545))</f>
        <v/>
      </c>
      <c r="F545" s="11">
        <f>IF($AB545="","",INDEX('Per Line'!$E$2:$E$4001,$AB545))</f>
        <v/>
      </c>
      <c r="G545">
        <f>IF($AB545="","",INDEX('Per Line'!$F$2:$F$4001,$AB545)&amp;"")</f>
        <v/>
      </c>
      <c r="H545">
        <f>IF($AB545="","",INDEX('Per Line'!$H$2:$H$4001,$AB545)&amp;"")</f>
        <v/>
      </c>
      <c r="I545">
        <f>IF($AB545="","",INDEX('Per Line'!$I$2:$I$4001,$AB545)&amp;"")</f>
        <v/>
      </c>
      <c r="J545">
        <f>IF($AB545="","",INDEX('Per Line'!$J$2:$J$4001,$AB545)&amp;"")</f>
        <v/>
      </c>
      <c r="K545">
        <f>IF($AB545="","",INDEX('Per Line'!$K$2:$K$4001,$AB545)&amp;"")</f>
        <v/>
      </c>
      <c r="L545">
        <f>IF($AB545="","",INDEX('Per Line'!$L$2:$L$4001,$AB545))</f>
        <v/>
      </c>
      <c r="M545" s="7">
        <f>IF($AB545="","",IF(AND(ISNUMBER(O545),O545&gt;0,Z545&gt;O545),L545*O545/100+(Z545-O545),L545*Z545/100))</f>
        <v/>
      </c>
      <c r="N545">
        <f>IF($AB545="","",INDEX('Per Line'!$V$2:$V$4001,$AB545)&amp;"")</f>
        <v/>
      </c>
      <c r="O545">
        <f>IF($AB545="","",INDEX('Per Line'!$Z$2:$Z$4001,$AB545))</f>
        <v/>
      </c>
      <c r="P545">
        <f>IF($AB545="","",IF(AND(ISNUMBER(O545),O545&gt;0),Z545&gt;O545,FALSE))</f>
        <v/>
      </c>
      <c r="Q545" s="7">
        <f>IF($AB545="","",SUMIFS('Per Line'!$U$2:$U$4001,'Per Line'!$C$2:$C$4001,$B545,'Per Line'!$AM$2:$AM$4001,1))</f>
        <v/>
      </c>
      <c r="R545">
        <f>IF($AB545="","",Settings!$C$7)</f>
        <v/>
      </c>
      <c r="S545" s="7">
        <f>IF($AB545="","",SUMIFS('Per Line'!$U$2:$U$4001,'Per Line'!$C$2:$C$4001,$B545,'Per Line'!$AL$2:$AL$4001,0,'Per Line'!$AM$2:$AM$4001,0))</f>
        <v/>
      </c>
      <c r="T545" s="7">
        <f>IF($AB545="","",S545*R545)</f>
        <v/>
      </c>
      <c r="U545">
        <f>IF($AB545="","",Settings!$C$6)</f>
        <v/>
      </c>
      <c r="V545" s="7">
        <f>IF($AB545="","",SUMIFS('Per Line'!$U$2:$U$4001,'Per Line'!$C$2:$C$4001,$B545,'Per Line'!$AL$2:$AL$4001,1,'Per Line'!$AM$2:$AM$4001,0))</f>
        <v/>
      </c>
      <c r="W545" s="7">
        <f>IF($AB545="","",V545*U545)</f>
        <v/>
      </c>
      <c r="X545" s="7">
        <f>IF($AB545="","",W545+T545)</f>
        <v/>
      </c>
      <c r="Y545" s="7">
        <f>IF($AB545="","",Z545-X545)</f>
        <v/>
      </c>
      <c r="Z545" s="7">
        <f>IF($AB545="","",S545+V545+Q545)</f>
        <v/>
      </c>
      <c r="AA545" s="7">
        <f>IF($AB545="","",Z545-X545-M545)</f>
        <v/>
      </c>
      <c r="AB545" s="13">
        <f>IF(ROWS($AB$2:$AB545)&lt;=MAX('Per Line'!$AK$2:$AK$4001),MATCH(ROWS($AB$2:$AB545),'Per Line'!$AK$2:$AK$4001,0),"")</f>
        <v/>
      </c>
      <c r="AC545" s="14">
        <f>IF($AB545="","",M545-L545*Z545/100)</f>
        <v/>
      </c>
    </row>
    <row r="546">
      <c r="A546" s="12" t="n"/>
      <c r="B546">
        <f>IF($AB546="","",INDEX('Per Line'!$C$2:$C$4001,$AB546)&amp;"")</f>
        <v/>
      </c>
      <c r="C546">
        <f>IF($AB546="","",INDEX('Per Line'!$D$2:$D$4001,$AB546)&amp;"")</f>
        <v/>
      </c>
      <c r="D546">
        <f>IF($AB546="","",INDEX('Per Line'!$B$2:$B$4001,$AB546)&amp;"")</f>
        <v/>
      </c>
      <c r="E546">
        <f>IF($AB546="","",INDEX('Per Line'!$A$2:$A$4001,$AB546))</f>
        <v/>
      </c>
      <c r="F546" s="11">
        <f>IF($AB546="","",INDEX('Per Line'!$E$2:$E$4001,$AB546))</f>
        <v/>
      </c>
      <c r="G546">
        <f>IF($AB546="","",INDEX('Per Line'!$F$2:$F$4001,$AB546)&amp;"")</f>
        <v/>
      </c>
      <c r="H546">
        <f>IF($AB546="","",INDEX('Per Line'!$H$2:$H$4001,$AB546)&amp;"")</f>
        <v/>
      </c>
      <c r="I546">
        <f>IF($AB546="","",INDEX('Per Line'!$I$2:$I$4001,$AB546)&amp;"")</f>
        <v/>
      </c>
      <c r="J546">
        <f>IF($AB546="","",INDEX('Per Line'!$J$2:$J$4001,$AB546)&amp;"")</f>
        <v/>
      </c>
      <c r="K546">
        <f>IF($AB546="","",INDEX('Per Line'!$K$2:$K$4001,$AB546)&amp;"")</f>
        <v/>
      </c>
      <c r="L546">
        <f>IF($AB546="","",INDEX('Per Line'!$L$2:$L$4001,$AB546))</f>
        <v/>
      </c>
      <c r="M546" s="7">
        <f>IF($AB546="","",IF(AND(ISNUMBER(O546),O546&gt;0,Z546&gt;O546),L546*O546/100+(Z546-O546),L546*Z546/100))</f>
        <v/>
      </c>
      <c r="N546">
        <f>IF($AB546="","",INDEX('Per Line'!$V$2:$V$4001,$AB546)&amp;"")</f>
        <v/>
      </c>
      <c r="O546">
        <f>IF($AB546="","",INDEX('Per Line'!$Z$2:$Z$4001,$AB546))</f>
        <v/>
      </c>
      <c r="P546">
        <f>IF($AB546="","",IF(AND(ISNUMBER(O546),O546&gt;0),Z546&gt;O546,FALSE))</f>
        <v/>
      </c>
      <c r="Q546" s="7">
        <f>IF($AB546="","",SUMIFS('Per Line'!$U$2:$U$4001,'Per Line'!$C$2:$C$4001,$B546,'Per Line'!$AM$2:$AM$4001,1))</f>
        <v/>
      </c>
      <c r="R546">
        <f>IF($AB546="","",Settings!$C$7)</f>
        <v/>
      </c>
      <c r="S546" s="7">
        <f>IF($AB546="","",SUMIFS('Per Line'!$U$2:$U$4001,'Per Line'!$C$2:$C$4001,$B546,'Per Line'!$AL$2:$AL$4001,0,'Per Line'!$AM$2:$AM$4001,0))</f>
        <v/>
      </c>
      <c r="T546" s="7">
        <f>IF($AB546="","",S546*R546)</f>
        <v/>
      </c>
      <c r="U546">
        <f>IF($AB546="","",Settings!$C$6)</f>
        <v/>
      </c>
      <c r="V546" s="7">
        <f>IF($AB546="","",SUMIFS('Per Line'!$U$2:$U$4001,'Per Line'!$C$2:$C$4001,$B546,'Per Line'!$AL$2:$AL$4001,1,'Per Line'!$AM$2:$AM$4001,0))</f>
        <v/>
      </c>
      <c r="W546" s="7">
        <f>IF($AB546="","",V546*U546)</f>
        <v/>
      </c>
      <c r="X546" s="7">
        <f>IF($AB546="","",W546+T546)</f>
        <v/>
      </c>
      <c r="Y546" s="7">
        <f>IF($AB546="","",Z546-X546)</f>
        <v/>
      </c>
      <c r="Z546" s="7">
        <f>IF($AB546="","",S546+V546+Q546)</f>
        <v/>
      </c>
      <c r="AA546" s="7">
        <f>IF($AB546="","",Z546-X546-M546)</f>
        <v/>
      </c>
      <c r="AB546" s="13">
        <f>IF(ROWS($AB$2:$AB546)&lt;=MAX('Per Line'!$AK$2:$AK$4001),MATCH(ROWS($AB$2:$AB546),'Per Line'!$AK$2:$AK$4001,0),"")</f>
        <v/>
      </c>
      <c r="AC546" s="14">
        <f>IF($AB546="","",M546-L546*Z546/100)</f>
        <v/>
      </c>
    </row>
    <row r="547">
      <c r="A547" s="12" t="n"/>
      <c r="B547">
        <f>IF($AB547="","",INDEX('Per Line'!$C$2:$C$4001,$AB547)&amp;"")</f>
        <v/>
      </c>
      <c r="C547">
        <f>IF($AB547="","",INDEX('Per Line'!$D$2:$D$4001,$AB547)&amp;"")</f>
        <v/>
      </c>
      <c r="D547">
        <f>IF($AB547="","",INDEX('Per Line'!$B$2:$B$4001,$AB547)&amp;"")</f>
        <v/>
      </c>
      <c r="E547">
        <f>IF($AB547="","",INDEX('Per Line'!$A$2:$A$4001,$AB547))</f>
        <v/>
      </c>
      <c r="F547" s="11">
        <f>IF($AB547="","",INDEX('Per Line'!$E$2:$E$4001,$AB547))</f>
        <v/>
      </c>
      <c r="G547">
        <f>IF($AB547="","",INDEX('Per Line'!$F$2:$F$4001,$AB547)&amp;"")</f>
        <v/>
      </c>
      <c r="H547">
        <f>IF($AB547="","",INDEX('Per Line'!$H$2:$H$4001,$AB547)&amp;"")</f>
        <v/>
      </c>
      <c r="I547">
        <f>IF($AB547="","",INDEX('Per Line'!$I$2:$I$4001,$AB547)&amp;"")</f>
        <v/>
      </c>
      <c r="J547">
        <f>IF($AB547="","",INDEX('Per Line'!$J$2:$J$4001,$AB547)&amp;"")</f>
        <v/>
      </c>
      <c r="K547">
        <f>IF($AB547="","",INDEX('Per Line'!$K$2:$K$4001,$AB547)&amp;"")</f>
        <v/>
      </c>
      <c r="L547">
        <f>IF($AB547="","",INDEX('Per Line'!$L$2:$L$4001,$AB547))</f>
        <v/>
      </c>
      <c r="M547" s="7">
        <f>IF($AB547="","",IF(AND(ISNUMBER(O547),O547&gt;0,Z547&gt;O547),L547*O547/100+(Z547-O547),L547*Z547/100))</f>
        <v/>
      </c>
      <c r="N547">
        <f>IF($AB547="","",INDEX('Per Line'!$V$2:$V$4001,$AB547)&amp;"")</f>
        <v/>
      </c>
      <c r="O547">
        <f>IF($AB547="","",INDEX('Per Line'!$Z$2:$Z$4001,$AB547))</f>
        <v/>
      </c>
      <c r="P547">
        <f>IF($AB547="","",IF(AND(ISNUMBER(O547),O547&gt;0),Z547&gt;O547,FALSE))</f>
        <v/>
      </c>
      <c r="Q547" s="7">
        <f>IF($AB547="","",SUMIFS('Per Line'!$U$2:$U$4001,'Per Line'!$C$2:$C$4001,$B547,'Per Line'!$AM$2:$AM$4001,1))</f>
        <v/>
      </c>
      <c r="R547">
        <f>IF($AB547="","",Settings!$C$7)</f>
        <v/>
      </c>
      <c r="S547" s="7">
        <f>IF($AB547="","",SUMIFS('Per Line'!$U$2:$U$4001,'Per Line'!$C$2:$C$4001,$B547,'Per Line'!$AL$2:$AL$4001,0,'Per Line'!$AM$2:$AM$4001,0))</f>
        <v/>
      </c>
      <c r="T547" s="7">
        <f>IF($AB547="","",S547*R547)</f>
        <v/>
      </c>
      <c r="U547">
        <f>IF($AB547="","",Settings!$C$6)</f>
        <v/>
      </c>
      <c r="V547" s="7">
        <f>IF($AB547="","",SUMIFS('Per Line'!$U$2:$U$4001,'Per Line'!$C$2:$C$4001,$B547,'Per Line'!$AL$2:$AL$4001,1,'Per Line'!$AM$2:$AM$4001,0))</f>
        <v/>
      </c>
      <c r="W547" s="7">
        <f>IF($AB547="","",V547*U547)</f>
        <v/>
      </c>
      <c r="X547" s="7">
        <f>IF($AB547="","",W547+T547)</f>
        <v/>
      </c>
      <c r="Y547" s="7">
        <f>IF($AB547="","",Z547-X547)</f>
        <v/>
      </c>
      <c r="Z547" s="7">
        <f>IF($AB547="","",S547+V547+Q547)</f>
        <v/>
      </c>
      <c r="AA547" s="7">
        <f>IF($AB547="","",Z547-X547-M547)</f>
        <v/>
      </c>
      <c r="AB547" s="13">
        <f>IF(ROWS($AB$2:$AB547)&lt;=MAX('Per Line'!$AK$2:$AK$4001),MATCH(ROWS($AB$2:$AB547),'Per Line'!$AK$2:$AK$4001,0),"")</f>
        <v/>
      </c>
      <c r="AC547" s="14">
        <f>IF($AB547="","",M547-L547*Z547/100)</f>
        <v/>
      </c>
    </row>
    <row r="548">
      <c r="A548" s="12" t="n"/>
      <c r="B548">
        <f>IF($AB548="","",INDEX('Per Line'!$C$2:$C$4001,$AB548)&amp;"")</f>
        <v/>
      </c>
      <c r="C548">
        <f>IF($AB548="","",INDEX('Per Line'!$D$2:$D$4001,$AB548)&amp;"")</f>
        <v/>
      </c>
      <c r="D548">
        <f>IF($AB548="","",INDEX('Per Line'!$B$2:$B$4001,$AB548)&amp;"")</f>
        <v/>
      </c>
      <c r="E548">
        <f>IF($AB548="","",INDEX('Per Line'!$A$2:$A$4001,$AB548))</f>
        <v/>
      </c>
      <c r="F548" s="11">
        <f>IF($AB548="","",INDEX('Per Line'!$E$2:$E$4001,$AB548))</f>
        <v/>
      </c>
      <c r="G548">
        <f>IF($AB548="","",INDEX('Per Line'!$F$2:$F$4001,$AB548)&amp;"")</f>
        <v/>
      </c>
      <c r="H548">
        <f>IF($AB548="","",INDEX('Per Line'!$H$2:$H$4001,$AB548)&amp;"")</f>
        <v/>
      </c>
      <c r="I548">
        <f>IF($AB548="","",INDEX('Per Line'!$I$2:$I$4001,$AB548)&amp;"")</f>
        <v/>
      </c>
      <c r="J548">
        <f>IF($AB548="","",INDEX('Per Line'!$J$2:$J$4001,$AB548)&amp;"")</f>
        <v/>
      </c>
      <c r="K548">
        <f>IF($AB548="","",INDEX('Per Line'!$K$2:$K$4001,$AB548)&amp;"")</f>
        <v/>
      </c>
      <c r="L548">
        <f>IF($AB548="","",INDEX('Per Line'!$L$2:$L$4001,$AB548))</f>
        <v/>
      </c>
      <c r="M548" s="7">
        <f>IF($AB548="","",IF(AND(ISNUMBER(O548),O548&gt;0,Z548&gt;O548),L548*O548/100+(Z548-O548),L548*Z548/100))</f>
        <v/>
      </c>
      <c r="N548">
        <f>IF($AB548="","",INDEX('Per Line'!$V$2:$V$4001,$AB548)&amp;"")</f>
        <v/>
      </c>
      <c r="O548">
        <f>IF($AB548="","",INDEX('Per Line'!$Z$2:$Z$4001,$AB548))</f>
        <v/>
      </c>
      <c r="P548">
        <f>IF($AB548="","",IF(AND(ISNUMBER(O548),O548&gt;0),Z548&gt;O548,FALSE))</f>
        <v/>
      </c>
      <c r="Q548" s="7">
        <f>IF($AB548="","",SUMIFS('Per Line'!$U$2:$U$4001,'Per Line'!$C$2:$C$4001,$B548,'Per Line'!$AM$2:$AM$4001,1))</f>
        <v/>
      </c>
      <c r="R548">
        <f>IF($AB548="","",Settings!$C$7)</f>
        <v/>
      </c>
      <c r="S548" s="7">
        <f>IF($AB548="","",SUMIFS('Per Line'!$U$2:$U$4001,'Per Line'!$C$2:$C$4001,$B548,'Per Line'!$AL$2:$AL$4001,0,'Per Line'!$AM$2:$AM$4001,0))</f>
        <v/>
      </c>
      <c r="T548" s="7">
        <f>IF($AB548="","",S548*R548)</f>
        <v/>
      </c>
      <c r="U548">
        <f>IF($AB548="","",Settings!$C$6)</f>
        <v/>
      </c>
      <c r="V548" s="7">
        <f>IF($AB548="","",SUMIFS('Per Line'!$U$2:$U$4001,'Per Line'!$C$2:$C$4001,$B548,'Per Line'!$AL$2:$AL$4001,1,'Per Line'!$AM$2:$AM$4001,0))</f>
        <v/>
      </c>
      <c r="W548" s="7">
        <f>IF($AB548="","",V548*U548)</f>
        <v/>
      </c>
      <c r="X548" s="7">
        <f>IF($AB548="","",W548+T548)</f>
        <v/>
      </c>
      <c r="Y548" s="7">
        <f>IF($AB548="","",Z548-X548)</f>
        <v/>
      </c>
      <c r="Z548" s="7">
        <f>IF($AB548="","",S548+V548+Q548)</f>
        <v/>
      </c>
      <c r="AA548" s="7">
        <f>IF($AB548="","",Z548-X548-M548)</f>
        <v/>
      </c>
      <c r="AB548" s="13">
        <f>IF(ROWS($AB$2:$AB548)&lt;=MAX('Per Line'!$AK$2:$AK$4001),MATCH(ROWS($AB$2:$AB548),'Per Line'!$AK$2:$AK$4001,0),"")</f>
        <v/>
      </c>
      <c r="AC548" s="14">
        <f>IF($AB548="","",M548-L548*Z548/100)</f>
        <v/>
      </c>
    </row>
    <row r="549">
      <c r="A549" s="12" t="n"/>
      <c r="B549">
        <f>IF($AB549="","",INDEX('Per Line'!$C$2:$C$4001,$AB549)&amp;"")</f>
        <v/>
      </c>
      <c r="C549">
        <f>IF($AB549="","",INDEX('Per Line'!$D$2:$D$4001,$AB549)&amp;"")</f>
        <v/>
      </c>
      <c r="D549">
        <f>IF($AB549="","",INDEX('Per Line'!$B$2:$B$4001,$AB549)&amp;"")</f>
        <v/>
      </c>
      <c r="E549">
        <f>IF($AB549="","",INDEX('Per Line'!$A$2:$A$4001,$AB549))</f>
        <v/>
      </c>
      <c r="F549" s="11">
        <f>IF($AB549="","",INDEX('Per Line'!$E$2:$E$4001,$AB549))</f>
        <v/>
      </c>
      <c r="G549">
        <f>IF($AB549="","",INDEX('Per Line'!$F$2:$F$4001,$AB549)&amp;"")</f>
        <v/>
      </c>
      <c r="H549">
        <f>IF($AB549="","",INDEX('Per Line'!$H$2:$H$4001,$AB549)&amp;"")</f>
        <v/>
      </c>
      <c r="I549">
        <f>IF($AB549="","",INDEX('Per Line'!$I$2:$I$4001,$AB549)&amp;"")</f>
        <v/>
      </c>
      <c r="J549">
        <f>IF($AB549="","",INDEX('Per Line'!$J$2:$J$4001,$AB549)&amp;"")</f>
        <v/>
      </c>
      <c r="K549">
        <f>IF($AB549="","",INDEX('Per Line'!$K$2:$K$4001,$AB549)&amp;"")</f>
        <v/>
      </c>
      <c r="L549">
        <f>IF($AB549="","",INDEX('Per Line'!$L$2:$L$4001,$AB549))</f>
        <v/>
      </c>
      <c r="M549" s="7">
        <f>IF($AB549="","",IF(AND(ISNUMBER(O549),O549&gt;0,Z549&gt;O549),L549*O549/100+(Z549-O549),L549*Z549/100))</f>
        <v/>
      </c>
      <c r="N549">
        <f>IF($AB549="","",INDEX('Per Line'!$V$2:$V$4001,$AB549)&amp;"")</f>
        <v/>
      </c>
      <c r="O549">
        <f>IF($AB549="","",INDEX('Per Line'!$Z$2:$Z$4001,$AB549))</f>
        <v/>
      </c>
      <c r="P549">
        <f>IF($AB549="","",IF(AND(ISNUMBER(O549),O549&gt;0),Z549&gt;O549,FALSE))</f>
        <v/>
      </c>
      <c r="Q549" s="7">
        <f>IF($AB549="","",SUMIFS('Per Line'!$U$2:$U$4001,'Per Line'!$C$2:$C$4001,$B549,'Per Line'!$AM$2:$AM$4001,1))</f>
        <v/>
      </c>
      <c r="R549">
        <f>IF($AB549="","",Settings!$C$7)</f>
        <v/>
      </c>
      <c r="S549" s="7">
        <f>IF($AB549="","",SUMIFS('Per Line'!$U$2:$U$4001,'Per Line'!$C$2:$C$4001,$B549,'Per Line'!$AL$2:$AL$4001,0,'Per Line'!$AM$2:$AM$4001,0))</f>
        <v/>
      </c>
      <c r="T549" s="7">
        <f>IF($AB549="","",S549*R549)</f>
        <v/>
      </c>
      <c r="U549">
        <f>IF($AB549="","",Settings!$C$6)</f>
        <v/>
      </c>
      <c r="V549" s="7">
        <f>IF($AB549="","",SUMIFS('Per Line'!$U$2:$U$4001,'Per Line'!$C$2:$C$4001,$B549,'Per Line'!$AL$2:$AL$4001,1,'Per Line'!$AM$2:$AM$4001,0))</f>
        <v/>
      </c>
      <c r="W549" s="7">
        <f>IF($AB549="","",V549*U549)</f>
        <v/>
      </c>
      <c r="X549" s="7">
        <f>IF($AB549="","",W549+T549)</f>
        <v/>
      </c>
      <c r="Y549" s="7">
        <f>IF($AB549="","",Z549-X549)</f>
        <v/>
      </c>
      <c r="Z549" s="7">
        <f>IF($AB549="","",S549+V549+Q549)</f>
        <v/>
      </c>
      <c r="AA549" s="7">
        <f>IF($AB549="","",Z549-X549-M549)</f>
        <v/>
      </c>
      <c r="AB549" s="13">
        <f>IF(ROWS($AB$2:$AB549)&lt;=MAX('Per Line'!$AK$2:$AK$4001),MATCH(ROWS($AB$2:$AB549),'Per Line'!$AK$2:$AK$4001,0),"")</f>
        <v/>
      </c>
      <c r="AC549" s="14">
        <f>IF($AB549="","",M549-L549*Z549/100)</f>
        <v/>
      </c>
    </row>
    <row r="550">
      <c r="A550" s="12" t="n"/>
      <c r="B550">
        <f>IF($AB550="","",INDEX('Per Line'!$C$2:$C$4001,$AB550)&amp;"")</f>
        <v/>
      </c>
      <c r="C550">
        <f>IF($AB550="","",INDEX('Per Line'!$D$2:$D$4001,$AB550)&amp;"")</f>
        <v/>
      </c>
      <c r="D550">
        <f>IF($AB550="","",INDEX('Per Line'!$B$2:$B$4001,$AB550)&amp;"")</f>
        <v/>
      </c>
      <c r="E550">
        <f>IF($AB550="","",INDEX('Per Line'!$A$2:$A$4001,$AB550))</f>
        <v/>
      </c>
      <c r="F550" s="11">
        <f>IF($AB550="","",INDEX('Per Line'!$E$2:$E$4001,$AB550))</f>
        <v/>
      </c>
      <c r="G550">
        <f>IF($AB550="","",INDEX('Per Line'!$F$2:$F$4001,$AB550)&amp;"")</f>
        <v/>
      </c>
      <c r="H550">
        <f>IF($AB550="","",INDEX('Per Line'!$H$2:$H$4001,$AB550)&amp;"")</f>
        <v/>
      </c>
      <c r="I550">
        <f>IF($AB550="","",INDEX('Per Line'!$I$2:$I$4001,$AB550)&amp;"")</f>
        <v/>
      </c>
      <c r="J550">
        <f>IF($AB550="","",INDEX('Per Line'!$J$2:$J$4001,$AB550)&amp;"")</f>
        <v/>
      </c>
      <c r="K550">
        <f>IF($AB550="","",INDEX('Per Line'!$K$2:$K$4001,$AB550)&amp;"")</f>
        <v/>
      </c>
      <c r="L550">
        <f>IF($AB550="","",INDEX('Per Line'!$L$2:$L$4001,$AB550))</f>
        <v/>
      </c>
      <c r="M550" s="7">
        <f>IF($AB550="","",IF(AND(ISNUMBER(O550),O550&gt;0,Z550&gt;O550),L550*O550/100+(Z550-O550),L550*Z550/100))</f>
        <v/>
      </c>
      <c r="N550">
        <f>IF($AB550="","",INDEX('Per Line'!$V$2:$V$4001,$AB550)&amp;"")</f>
        <v/>
      </c>
      <c r="O550">
        <f>IF($AB550="","",INDEX('Per Line'!$Z$2:$Z$4001,$AB550))</f>
        <v/>
      </c>
      <c r="P550">
        <f>IF($AB550="","",IF(AND(ISNUMBER(O550),O550&gt;0),Z550&gt;O550,FALSE))</f>
        <v/>
      </c>
      <c r="Q550" s="7">
        <f>IF($AB550="","",SUMIFS('Per Line'!$U$2:$U$4001,'Per Line'!$C$2:$C$4001,$B550,'Per Line'!$AM$2:$AM$4001,1))</f>
        <v/>
      </c>
      <c r="R550">
        <f>IF($AB550="","",Settings!$C$7)</f>
        <v/>
      </c>
      <c r="S550" s="7">
        <f>IF($AB550="","",SUMIFS('Per Line'!$U$2:$U$4001,'Per Line'!$C$2:$C$4001,$B550,'Per Line'!$AL$2:$AL$4001,0,'Per Line'!$AM$2:$AM$4001,0))</f>
        <v/>
      </c>
      <c r="T550" s="7">
        <f>IF($AB550="","",S550*R550)</f>
        <v/>
      </c>
      <c r="U550">
        <f>IF($AB550="","",Settings!$C$6)</f>
        <v/>
      </c>
      <c r="V550" s="7">
        <f>IF($AB550="","",SUMIFS('Per Line'!$U$2:$U$4001,'Per Line'!$C$2:$C$4001,$B550,'Per Line'!$AL$2:$AL$4001,1,'Per Line'!$AM$2:$AM$4001,0))</f>
        <v/>
      </c>
      <c r="W550" s="7">
        <f>IF($AB550="","",V550*U550)</f>
        <v/>
      </c>
      <c r="X550" s="7">
        <f>IF($AB550="","",W550+T550)</f>
        <v/>
      </c>
      <c r="Y550" s="7">
        <f>IF($AB550="","",Z550-X550)</f>
        <v/>
      </c>
      <c r="Z550" s="7">
        <f>IF($AB550="","",S550+V550+Q550)</f>
        <v/>
      </c>
      <c r="AA550" s="7">
        <f>IF($AB550="","",Z550-X550-M550)</f>
        <v/>
      </c>
      <c r="AB550" s="13">
        <f>IF(ROWS($AB$2:$AB550)&lt;=MAX('Per Line'!$AK$2:$AK$4001),MATCH(ROWS($AB$2:$AB550),'Per Line'!$AK$2:$AK$4001,0),"")</f>
        <v/>
      </c>
      <c r="AC550" s="14">
        <f>IF($AB550="","",M550-L550*Z550/100)</f>
        <v/>
      </c>
    </row>
    <row r="551">
      <c r="A551" s="12" t="n"/>
      <c r="B551">
        <f>IF($AB551="","",INDEX('Per Line'!$C$2:$C$4001,$AB551)&amp;"")</f>
        <v/>
      </c>
      <c r="C551">
        <f>IF($AB551="","",INDEX('Per Line'!$D$2:$D$4001,$AB551)&amp;"")</f>
        <v/>
      </c>
      <c r="D551">
        <f>IF($AB551="","",INDEX('Per Line'!$B$2:$B$4001,$AB551)&amp;"")</f>
        <v/>
      </c>
      <c r="E551">
        <f>IF($AB551="","",INDEX('Per Line'!$A$2:$A$4001,$AB551))</f>
        <v/>
      </c>
      <c r="F551" s="11">
        <f>IF($AB551="","",INDEX('Per Line'!$E$2:$E$4001,$AB551))</f>
        <v/>
      </c>
      <c r="G551">
        <f>IF($AB551="","",INDEX('Per Line'!$F$2:$F$4001,$AB551)&amp;"")</f>
        <v/>
      </c>
      <c r="H551">
        <f>IF($AB551="","",INDEX('Per Line'!$H$2:$H$4001,$AB551)&amp;"")</f>
        <v/>
      </c>
      <c r="I551">
        <f>IF($AB551="","",INDEX('Per Line'!$I$2:$I$4001,$AB551)&amp;"")</f>
        <v/>
      </c>
      <c r="J551">
        <f>IF($AB551="","",INDEX('Per Line'!$J$2:$J$4001,$AB551)&amp;"")</f>
        <v/>
      </c>
      <c r="K551">
        <f>IF($AB551="","",INDEX('Per Line'!$K$2:$K$4001,$AB551)&amp;"")</f>
        <v/>
      </c>
      <c r="L551">
        <f>IF($AB551="","",INDEX('Per Line'!$L$2:$L$4001,$AB551))</f>
        <v/>
      </c>
      <c r="M551" s="7">
        <f>IF($AB551="","",IF(AND(ISNUMBER(O551),O551&gt;0,Z551&gt;O551),L551*O551/100+(Z551-O551),L551*Z551/100))</f>
        <v/>
      </c>
      <c r="N551">
        <f>IF($AB551="","",INDEX('Per Line'!$V$2:$V$4001,$AB551)&amp;"")</f>
        <v/>
      </c>
      <c r="O551">
        <f>IF($AB551="","",INDEX('Per Line'!$Z$2:$Z$4001,$AB551))</f>
        <v/>
      </c>
      <c r="P551">
        <f>IF($AB551="","",IF(AND(ISNUMBER(O551),O551&gt;0),Z551&gt;O551,FALSE))</f>
        <v/>
      </c>
      <c r="Q551" s="7">
        <f>IF($AB551="","",SUMIFS('Per Line'!$U$2:$U$4001,'Per Line'!$C$2:$C$4001,$B551,'Per Line'!$AM$2:$AM$4001,1))</f>
        <v/>
      </c>
      <c r="R551">
        <f>IF($AB551="","",Settings!$C$7)</f>
        <v/>
      </c>
      <c r="S551" s="7">
        <f>IF($AB551="","",SUMIFS('Per Line'!$U$2:$U$4001,'Per Line'!$C$2:$C$4001,$B551,'Per Line'!$AL$2:$AL$4001,0,'Per Line'!$AM$2:$AM$4001,0))</f>
        <v/>
      </c>
      <c r="T551" s="7">
        <f>IF($AB551="","",S551*R551)</f>
        <v/>
      </c>
      <c r="U551">
        <f>IF($AB551="","",Settings!$C$6)</f>
        <v/>
      </c>
      <c r="V551" s="7">
        <f>IF($AB551="","",SUMIFS('Per Line'!$U$2:$U$4001,'Per Line'!$C$2:$C$4001,$B551,'Per Line'!$AL$2:$AL$4001,1,'Per Line'!$AM$2:$AM$4001,0))</f>
        <v/>
      </c>
      <c r="W551" s="7">
        <f>IF($AB551="","",V551*U551)</f>
        <v/>
      </c>
      <c r="X551" s="7">
        <f>IF($AB551="","",W551+T551)</f>
        <v/>
      </c>
      <c r="Y551" s="7">
        <f>IF($AB551="","",Z551-X551)</f>
        <v/>
      </c>
      <c r="Z551" s="7">
        <f>IF($AB551="","",S551+V551+Q551)</f>
        <v/>
      </c>
      <c r="AA551" s="7">
        <f>IF($AB551="","",Z551-X551-M551)</f>
        <v/>
      </c>
      <c r="AB551" s="13">
        <f>IF(ROWS($AB$2:$AB551)&lt;=MAX('Per Line'!$AK$2:$AK$4001),MATCH(ROWS($AB$2:$AB551),'Per Line'!$AK$2:$AK$4001,0),"")</f>
        <v/>
      </c>
      <c r="AC551" s="14">
        <f>IF($AB551="","",M551-L551*Z551/100)</f>
        <v/>
      </c>
    </row>
    <row r="552">
      <c r="A552" s="12" t="n"/>
      <c r="B552">
        <f>IF($AB552="","",INDEX('Per Line'!$C$2:$C$4001,$AB552)&amp;"")</f>
        <v/>
      </c>
      <c r="C552">
        <f>IF($AB552="","",INDEX('Per Line'!$D$2:$D$4001,$AB552)&amp;"")</f>
        <v/>
      </c>
      <c r="D552">
        <f>IF($AB552="","",INDEX('Per Line'!$B$2:$B$4001,$AB552)&amp;"")</f>
        <v/>
      </c>
      <c r="E552">
        <f>IF($AB552="","",INDEX('Per Line'!$A$2:$A$4001,$AB552))</f>
        <v/>
      </c>
      <c r="F552" s="11">
        <f>IF($AB552="","",INDEX('Per Line'!$E$2:$E$4001,$AB552))</f>
        <v/>
      </c>
      <c r="G552">
        <f>IF($AB552="","",INDEX('Per Line'!$F$2:$F$4001,$AB552)&amp;"")</f>
        <v/>
      </c>
      <c r="H552">
        <f>IF($AB552="","",INDEX('Per Line'!$H$2:$H$4001,$AB552)&amp;"")</f>
        <v/>
      </c>
      <c r="I552">
        <f>IF($AB552="","",INDEX('Per Line'!$I$2:$I$4001,$AB552)&amp;"")</f>
        <v/>
      </c>
      <c r="J552">
        <f>IF($AB552="","",INDEX('Per Line'!$J$2:$J$4001,$AB552)&amp;"")</f>
        <v/>
      </c>
      <c r="K552">
        <f>IF($AB552="","",INDEX('Per Line'!$K$2:$K$4001,$AB552)&amp;"")</f>
        <v/>
      </c>
      <c r="L552">
        <f>IF($AB552="","",INDEX('Per Line'!$L$2:$L$4001,$AB552))</f>
        <v/>
      </c>
      <c r="M552" s="7">
        <f>IF($AB552="","",IF(AND(ISNUMBER(O552),O552&gt;0,Z552&gt;O552),L552*O552/100+(Z552-O552),L552*Z552/100))</f>
        <v/>
      </c>
      <c r="N552">
        <f>IF($AB552="","",INDEX('Per Line'!$V$2:$V$4001,$AB552)&amp;"")</f>
        <v/>
      </c>
      <c r="O552">
        <f>IF($AB552="","",INDEX('Per Line'!$Z$2:$Z$4001,$AB552))</f>
        <v/>
      </c>
      <c r="P552">
        <f>IF($AB552="","",IF(AND(ISNUMBER(O552),O552&gt;0),Z552&gt;O552,FALSE))</f>
        <v/>
      </c>
      <c r="Q552" s="7">
        <f>IF($AB552="","",SUMIFS('Per Line'!$U$2:$U$4001,'Per Line'!$C$2:$C$4001,$B552,'Per Line'!$AM$2:$AM$4001,1))</f>
        <v/>
      </c>
      <c r="R552">
        <f>IF($AB552="","",Settings!$C$7)</f>
        <v/>
      </c>
      <c r="S552" s="7">
        <f>IF($AB552="","",SUMIFS('Per Line'!$U$2:$U$4001,'Per Line'!$C$2:$C$4001,$B552,'Per Line'!$AL$2:$AL$4001,0,'Per Line'!$AM$2:$AM$4001,0))</f>
        <v/>
      </c>
      <c r="T552" s="7">
        <f>IF($AB552="","",S552*R552)</f>
        <v/>
      </c>
      <c r="U552">
        <f>IF($AB552="","",Settings!$C$6)</f>
        <v/>
      </c>
      <c r="V552" s="7">
        <f>IF($AB552="","",SUMIFS('Per Line'!$U$2:$U$4001,'Per Line'!$C$2:$C$4001,$B552,'Per Line'!$AL$2:$AL$4001,1,'Per Line'!$AM$2:$AM$4001,0))</f>
        <v/>
      </c>
      <c r="W552" s="7">
        <f>IF($AB552="","",V552*U552)</f>
        <v/>
      </c>
      <c r="X552" s="7">
        <f>IF($AB552="","",W552+T552)</f>
        <v/>
      </c>
      <c r="Y552" s="7">
        <f>IF($AB552="","",Z552-X552)</f>
        <v/>
      </c>
      <c r="Z552" s="7">
        <f>IF($AB552="","",S552+V552+Q552)</f>
        <v/>
      </c>
      <c r="AA552" s="7">
        <f>IF($AB552="","",Z552-X552-M552)</f>
        <v/>
      </c>
      <c r="AB552" s="13">
        <f>IF(ROWS($AB$2:$AB552)&lt;=MAX('Per Line'!$AK$2:$AK$4001),MATCH(ROWS($AB$2:$AB552),'Per Line'!$AK$2:$AK$4001,0),"")</f>
        <v/>
      </c>
      <c r="AC552" s="14">
        <f>IF($AB552="","",M552-L552*Z552/100)</f>
        <v/>
      </c>
    </row>
    <row r="553">
      <c r="A553" s="12" t="n"/>
      <c r="B553">
        <f>IF($AB553="","",INDEX('Per Line'!$C$2:$C$4001,$AB553)&amp;"")</f>
        <v/>
      </c>
      <c r="C553">
        <f>IF($AB553="","",INDEX('Per Line'!$D$2:$D$4001,$AB553)&amp;"")</f>
        <v/>
      </c>
      <c r="D553">
        <f>IF($AB553="","",INDEX('Per Line'!$B$2:$B$4001,$AB553)&amp;"")</f>
        <v/>
      </c>
      <c r="E553">
        <f>IF($AB553="","",INDEX('Per Line'!$A$2:$A$4001,$AB553))</f>
        <v/>
      </c>
      <c r="F553" s="11">
        <f>IF($AB553="","",INDEX('Per Line'!$E$2:$E$4001,$AB553))</f>
        <v/>
      </c>
      <c r="G553">
        <f>IF($AB553="","",INDEX('Per Line'!$F$2:$F$4001,$AB553)&amp;"")</f>
        <v/>
      </c>
      <c r="H553">
        <f>IF($AB553="","",INDEX('Per Line'!$H$2:$H$4001,$AB553)&amp;"")</f>
        <v/>
      </c>
      <c r="I553">
        <f>IF($AB553="","",INDEX('Per Line'!$I$2:$I$4001,$AB553)&amp;"")</f>
        <v/>
      </c>
      <c r="J553">
        <f>IF($AB553="","",INDEX('Per Line'!$J$2:$J$4001,$AB553)&amp;"")</f>
        <v/>
      </c>
      <c r="K553">
        <f>IF($AB553="","",INDEX('Per Line'!$K$2:$K$4001,$AB553)&amp;"")</f>
        <v/>
      </c>
      <c r="L553">
        <f>IF($AB553="","",INDEX('Per Line'!$L$2:$L$4001,$AB553))</f>
        <v/>
      </c>
      <c r="M553" s="7">
        <f>IF($AB553="","",IF(AND(ISNUMBER(O553),O553&gt;0,Z553&gt;O553),L553*O553/100+(Z553-O553),L553*Z553/100))</f>
        <v/>
      </c>
      <c r="N553">
        <f>IF($AB553="","",INDEX('Per Line'!$V$2:$V$4001,$AB553)&amp;"")</f>
        <v/>
      </c>
      <c r="O553">
        <f>IF($AB553="","",INDEX('Per Line'!$Z$2:$Z$4001,$AB553))</f>
        <v/>
      </c>
      <c r="P553">
        <f>IF($AB553="","",IF(AND(ISNUMBER(O553),O553&gt;0),Z553&gt;O553,FALSE))</f>
        <v/>
      </c>
      <c r="Q553" s="7">
        <f>IF($AB553="","",SUMIFS('Per Line'!$U$2:$U$4001,'Per Line'!$C$2:$C$4001,$B553,'Per Line'!$AM$2:$AM$4001,1))</f>
        <v/>
      </c>
      <c r="R553">
        <f>IF($AB553="","",Settings!$C$7)</f>
        <v/>
      </c>
      <c r="S553" s="7">
        <f>IF($AB553="","",SUMIFS('Per Line'!$U$2:$U$4001,'Per Line'!$C$2:$C$4001,$B553,'Per Line'!$AL$2:$AL$4001,0,'Per Line'!$AM$2:$AM$4001,0))</f>
        <v/>
      </c>
      <c r="T553" s="7">
        <f>IF($AB553="","",S553*R553)</f>
        <v/>
      </c>
      <c r="U553">
        <f>IF($AB553="","",Settings!$C$6)</f>
        <v/>
      </c>
      <c r="V553" s="7">
        <f>IF($AB553="","",SUMIFS('Per Line'!$U$2:$U$4001,'Per Line'!$C$2:$C$4001,$B553,'Per Line'!$AL$2:$AL$4001,1,'Per Line'!$AM$2:$AM$4001,0))</f>
        <v/>
      </c>
      <c r="W553" s="7">
        <f>IF($AB553="","",V553*U553)</f>
        <v/>
      </c>
      <c r="X553" s="7">
        <f>IF($AB553="","",W553+T553)</f>
        <v/>
      </c>
      <c r="Y553" s="7">
        <f>IF($AB553="","",Z553-X553)</f>
        <v/>
      </c>
      <c r="Z553" s="7">
        <f>IF($AB553="","",S553+V553+Q553)</f>
        <v/>
      </c>
      <c r="AA553" s="7">
        <f>IF($AB553="","",Z553-X553-M553)</f>
        <v/>
      </c>
      <c r="AB553" s="13">
        <f>IF(ROWS($AB$2:$AB553)&lt;=MAX('Per Line'!$AK$2:$AK$4001),MATCH(ROWS($AB$2:$AB553),'Per Line'!$AK$2:$AK$4001,0),"")</f>
        <v/>
      </c>
      <c r="AC553" s="14">
        <f>IF($AB553="","",M553-L553*Z553/100)</f>
        <v/>
      </c>
    </row>
    <row r="554">
      <c r="A554" s="12" t="n"/>
      <c r="B554">
        <f>IF($AB554="","",INDEX('Per Line'!$C$2:$C$4001,$AB554)&amp;"")</f>
        <v/>
      </c>
      <c r="C554">
        <f>IF($AB554="","",INDEX('Per Line'!$D$2:$D$4001,$AB554)&amp;"")</f>
        <v/>
      </c>
      <c r="D554">
        <f>IF($AB554="","",INDEX('Per Line'!$B$2:$B$4001,$AB554)&amp;"")</f>
        <v/>
      </c>
      <c r="E554">
        <f>IF($AB554="","",INDEX('Per Line'!$A$2:$A$4001,$AB554))</f>
        <v/>
      </c>
      <c r="F554" s="11">
        <f>IF($AB554="","",INDEX('Per Line'!$E$2:$E$4001,$AB554))</f>
        <v/>
      </c>
      <c r="G554">
        <f>IF($AB554="","",INDEX('Per Line'!$F$2:$F$4001,$AB554)&amp;"")</f>
        <v/>
      </c>
      <c r="H554">
        <f>IF($AB554="","",INDEX('Per Line'!$H$2:$H$4001,$AB554)&amp;"")</f>
        <v/>
      </c>
      <c r="I554">
        <f>IF($AB554="","",INDEX('Per Line'!$I$2:$I$4001,$AB554)&amp;"")</f>
        <v/>
      </c>
      <c r="J554">
        <f>IF($AB554="","",INDEX('Per Line'!$J$2:$J$4001,$AB554)&amp;"")</f>
        <v/>
      </c>
      <c r="K554">
        <f>IF($AB554="","",INDEX('Per Line'!$K$2:$K$4001,$AB554)&amp;"")</f>
        <v/>
      </c>
      <c r="L554">
        <f>IF($AB554="","",INDEX('Per Line'!$L$2:$L$4001,$AB554))</f>
        <v/>
      </c>
      <c r="M554" s="7">
        <f>IF($AB554="","",IF(AND(ISNUMBER(O554),O554&gt;0,Z554&gt;O554),L554*O554/100+(Z554-O554),L554*Z554/100))</f>
        <v/>
      </c>
      <c r="N554">
        <f>IF($AB554="","",INDEX('Per Line'!$V$2:$V$4001,$AB554)&amp;"")</f>
        <v/>
      </c>
      <c r="O554">
        <f>IF($AB554="","",INDEX('Per Line'!$Z$2:$Z$4001,$AB554))</f>
        <v/>
      </c>
      <c r="P554">
        <f>IF($AB554="","",IF(AND(ISNUMBER(O554),O554&gt;0),Z554&gt;O554,FALSE))</f>
        <v/>
      </c>
      <c r="Q554" s="7">
        <f>IF($AB554="","",SUMIFS('Per Line'!$U$2:$U$4001,'Per Line'!$C$2:$C$4001,$B554,'Per Line'!$AM$2:$AM$4001,1))</f>
        <v/>
      </c>
      <c r="R554">
        <f>IF($AB554="","",Settings!$C$7)</f>
        <v/>
      </c>
      <c r="S554" s="7">
        <f>IF($AB554="","",SUMIFS('Per Line'!$U$2:$U$4001,'Per Line'!$C$2:$C$4001,$B554,'Per Line'!$AL$2:$AL$4001,0,'Per Line'!$AM$2:$AM$4001,0))</f>
        <v/>
      </c>
      <c r="T554" s="7">
        <f>IF($AB554="","",S554*R554)</f>
        <v/>
      </c>
      <c r="U554">
        <f>IF($AB554="","",Settings!$C$6)</f>
        <v/>
      </c>
      <c r="V554" s="7">
        <f>IF($AB554="","",SUMIFS('Per Line'!$U$2:$U$4001,'Per Line'!$C$2:$C$4001,$B554,'Per Line'!$AL$2:$AL$4001,1,'Per Line'!$AM$2:$AM$4001,0))</f>
        <v/>
      </c>
      <c r="W554" s="7">
        <f>IF($AB554="","",V554*U554)</f>
        <v/>
      </c>
      <c r="X554" s="7">
        <f>IF($AB554="","",W554+T554)</f>
        <v/>
      </c>
      <c r="Y554" s="7">
        <f>IF($AB554="","",Z554-X554)</f>
        <v/>
      </c>
      <c r="Z554" s="7">
        <f>IF($AB554="","",S554+V554+Q554)</f>
        <v/>
      </c>
      <c r="AA554" s="7">
        <f>IF($AB554="","",Z554-X554-M554)</f>
        <v/>
      </c>
      <c r="AB554" s="13">
        <f>IF(ROWS($AB$2:$AB554)&lt;=MAX('Per Line'!$AK$2:$AK$4001),MATCH(ROWS($AB$2:$AB554),'Per Line'!$AK$2:$AK$4001,0),"")</f>
        <v/>
      </c>
      <c r="AC554" s="14">
        <f>IF($AB554="","",M554-L554*Z554/100)</f>
        <v/>
      </c>
    </row>
    <row r="555">
      <c r="A555" s="12" t="n"/>
      <c r="B555">
        <f>IF($AB555="","",INDEX('Per Line'!$C$2:$C$4001,$AB555)&amp;"")</f>
        <v/>
      </c>
      <c r="C555">
        <f>IF($AB555="","",INDEX('Per Line'!$D$2:$D$4001,$AB555)&amp;"")</f>
        <v/>
      </c>
      <c r="D555">
        <f>IF($AB555="","",INDEX('Per Line'!$B$2:$B$4001,$AB555)&amp;"")</f>
        <v/>
      </c>
      <c r="E555">
        <f>IF($AB555="","",INDEX('Per Line'!$A$2:$A$4001,$AB555))</f>
        <v/>
      </c>
      <c r="F555" s="11">
        <f>IF($AB555="","",INDEX('Per Line'!$E$2:$E$4001,$AB555))</f>
        <v/>
      </c>
      <c r="G555">
        <f>IF($AB555="","",INDEX('Per Line'!$F$2:$F$4001,$AB555)&amp;"")</f>
        <v/>
      </c>
      <c r="H555">
        <f>IF($AB555="","",INDEX('Per Line'!$H$2:$H$4001,$AB555)&amp;"")</f>
        <v/>
      </c>
      <c r="I555">
        <f>IF($AB555="","",INDEX('Per Line'!$I$2:$I$4001,$AB555)&amp;"")</f>
        <v/>
      </c>
      <c r="J555">
        <f>IF($AB555="","",INDEX('Per Line'!$J$2:$J$4001,$AB555)&amp;"")</f>
        <v/>
      </c>
      <c r="K555">
        <f>IF($AB555="","",INDEX('Per Line'!$K$2:$K$4001,$AB555)&amp;"")</f>
        <v/>
      </c>
      <c r="L555">
        <f>IF($AB555="","",INDEX('Per Line'!$L$2:$L$4001,$AB555))</f>
        <v/>
      </c>
      <c r="M555" s="7">
        <f>IF($AB555="","",IF(AND(ISNUMBER(O555),O555&gt;0,Z555&gt;O555),L555*O555/100+(Z555-O555),L555*Z555/100))</f>
        <v/>
      </c>
      <c r="N555">
        <f>IF($AB555="","",INDEX('Per Line'!$V$2:$V$4001,$AB555)&amp;"")</f>
        <v/>
      </c>
      <c r="O555">
        <f>IF($AB555="","",INDEX('Per Line'!$Z$2:$Z$4001,$AB555))</f>
        <v/>
      </c>
      <c r="P555">
        <f>IF($AB555="","",IF(AND(ISNUMBER(O555),O555&gt;0),Z555&gt;O555,FALSE))</f>
        <v/>
      </c>
      <c r="Q555" s="7">
        <f>IF($AB555="","",SUMIFS('Per Line'!$U$2:$U$4001,'Per Line'!$C$2:$C$4001,$B555,'Per Line'!$AM$2:$AM$4001,1))</f>
        <v/>
      </c>
      <c r="R555">
        <f>IF($AB555="","",Settings!$C$7)</f>
        <v/>
      </c>
      <c r="S555" s="7">
        <f>IF($AB555="","",SUMIFS('Per Line'!$U$2:$U$4001,'Per Line'!$C$2:$C$4001,$B555,'Per Line'!$AL$2:$AL$4001,0,'Per Line'!$AM$2:$AM$4001,0))</f>
        <v/>
      </c>
      <c r="T555" s="7">
        <f>IF($AB555="","",S555*R555)</f>
        <v/>
      </c>
      <c r="U555">
        <f>IF($AB555="","",Settings!$C$6)</f>
        <v/>
      </c>
      <c r="V555" s="7">
        <f>IF($AB555="","",SUMIFS('Per Line'!$U$2:$U$4001,'Per Line'!$C$2:$C$4001,$B555,'Per Line'!$AL$2:$AL$4001,1,'Per Line'!$AM$2:$AM$4001,0))</f>
        <v/>
      </c>
      <c r="W555" s="7">
        <f>IF($AB555="","",V555*U555)</f>
        <v/>
      </c>
      <c r="X555" s="7">
        <f>IF($AB555="","",W555+T555)</f>
        <v/>
      </c>
      <c r="Y555" s="7">
        <f>IF($AB555="","",Z555-X555)</f>
        <v/>
      </c>
      <c r="Z555" s="7">
        <f>IF($AB555="","",S555+V555+Q555)</f>
        <v/>
      </c>
      <c r="AA555" s="7">
        <f>IF($AB555="","",Z555-X555-M555)</f>
        <v/>
      </c>
      <c r="AB555" s="13">
        <f>IF(ROWS($AB$2:$AB555)&lt;=MAX('Per Line'!$AK$2:$AK$4001),MATCH(ROWS($AB$2:$AB555),'Per Line'!$AK$2:$AK$4001,0),"")</f>
        <v/>
      </c>
      <c r="AC555" s="14">
        <f>IF($AB555="","",M555-L555*Z555/100)</f>
        <v/>
      </c>
    </row>
    <row r="556">
      <c r="A556" s="12" t="n"/>
      <c r="B556">
        <f>IF($AB556="","",INDEX('Per Line'!$C$2:$C$4001,$AB556)&amp;"")</f>
        <v/>
      </c>
      <c r="C556">
        <f>IF($AB556="","",INDEX('Per Line'!$D$2:$D$4001,$AB556)&amp;"")</f>
        <v/>
      </c>
      <c r="D556">
        <f>IF($AB556="","",INDEX('Per Line'!$B$2:$B$4001,$AB556)&amp;"")</f>
        <v/>
      </c>
      <c r="E556">
        <f>IF($AB556="","",INDEX('Per Line'!$A$2:$A$4001,$AB556))</f>
        <v/>
      </c>
      <c r="F556" s="11">
        <f>IF($AB556="","",INDEX('Per Line'!$E$2:$E$4001,$AB556))</f>
        <v/>
      </c>
      <c r="G556">
        <f>IF($AB556="","",INDEX('Per Line'!$F$2:$F$4001,$AB556)&amp;"")</f>
        <v/>
      </c>
      <c r="H556">
        <f>IF($AB556="","",INDEX('Per Line'!$H$2:$H$4001,$AB556)&amp;"")</f>
        <v/>
      </c>
      <c r="I556">
        <f>IF($AB556="","",INDEX('Per Line'!$I$2:$I$4001,$AB556)&amp;"")</f>
        <v/>
      </c>
      <c r="J556">
        <f>IF($AB556="","",INDEX('Per Line'!$J$2:$J$4001,$AB556)&amp;"")</f>
        <v/>
      </c>
      <c r="K556">
        <f>IF($AB556="","",INDEX('Per Line'!$K$2:$K$4001,$AB556)&amp;"")</f>
        <v/>
      </c>
      <c r="L556">
        <f>IF($AB556="","",INDEX('Per Line'!$L$2:$L$4001,$AB556))</f>
        <v/>
      </c>
      <c r="M556" s="7">
        <f>IF($AB556="","",IF(AND(ISNUMBER(O556),O556&gt;0,Z556&gt;O556),L556*O556/100+(Z556-O556),L556*Z556/100))</f>
        <v/>
      </c>
      <c r="N556">
        <f>IF($AB556="","",INDEX('Per Line'!$V$2:$V$4001,$AB556)&amp;"")</f>
        <v/>
      </c>
      <c r="O556">
        <f>IF($AB556="","",INDEX('Per Line'!$Z$2:$Z$4001,$AB556))</f>
        <v/>
      </c>
      <c r="P556">
        <f>IF($AB556="","",IF(AND(ISNUMBER(O556),O556&gt;0),Z556&gt;O556,FALSE))</f>
        <v/>
      </c>
      <c r="Q556" s="7">
        <f>IF($AB556="","",SUMIFS('Per Line'!$U$2:$U$4001,'Per Line'!$C$2:$C$4001,$B556,'Per Line'!$AM$2:$AM$4001,1))</f>
        <v/>
      </c>
      <c r="R556">
        <f>IF($AB556="","",Settings!$C$7)</f>
        <v/>
      </c>
      <c r="S556" s="7">
        <f>IF($AB556="","",SUMIFS('Per Line'!$U$2:$U$4001,'Per Line'!$C$2:$C$4001,$B556,'Per Line'!$AL$2:$AL$4001,0,'Per Line'!$AM$2:$AM$4001,0))</f>
        <v/>
      </c>
      <c r="T556" s="7">
        <f>IF($AB556="","",S556*R556)</f>
        <v/>
      </c>
      <c r="U556">
        <f>IF($AB556="","",Settings!$C$6)</f>
        <v/>
      </c>
      <c r="V556" s="7">
        <f>IF($AB556="","",SUMIFS('Per Line'!$U$2:$U$4001,'Per Line'!$C$2:$C$4001,$B556,'Per Line'!$AL$2:$AL$4001,1,'Per Line'!$AM$2:$AM$4001,0))</f>
        <v/>
      </c>
      <c r="W556" s="7">
        <f>IF($AB556="","",V556*U556)</f>
        <v/>
      </c>
      <c r="X556" s="7">
        <f>IF($AB556="","",W556+T556)</f>
        <v/>
      </c>
      <c r="Y556" s="7">
        <f>IF($AB556="","",Z556-X556)</f>
        <v/>
      </c>
      <c r="Z556" s="7">
        <f>IF($AB556="","",S556+V556+Q556)</f>
        <v/>
      </c>
      <c r="AA556" s="7">
        <f>IF($AB556="","",Z556-X556-M556)</f>
        <v/>
      </c>
      <c r="AB556" s="13">
        <f>IF(ROWS($AB$2:$AB556)&lt;=MAX('Per Line'!$AK$2:$AK$4001),MATCH(ROWS($AB$2:$AB556),'Per Line'!$AK$2:$AK$4001,0),"")</f>
        <v/>
      </c>
      <c r="AC556" s="14">
        <f>IF($AB556="","",M556-L556*Z556/100)</f>
        <v/>
      </c>
    </row>
    <row r="557">
      <c r="A557" s="12" t="n"/>
      <c r="B557">
        <f>IF($AB557="","",INDEX('Per Line'!$C$2:$C$4001,$AB557)&amp;"")</f>
        <v/>
      </c>
      <c r="C557">
        <f>IF($AB557="","",INDEX('Per Line'!$D$2:$D$4001,$AB557)&amp;"")</f>
        <v/>
      </c>
      <c r="D557">
        <f>IF($AB557="","",INDEX('Per Line'!$B$2:$B$4001,$AB557)&amp;"")</f>
        <v/>
      </c>
      <c r="E557">
        <f>IF($AB557="","",INDEX('Per Line'!$A$2:$A$4001,$AB557))</f>
        <v/>
      </c>
      <c r="F557" s="11">
        <f>IF($AB557="","",INDEX('Per Line'!$E$2:$E$4001,$AB557))</f>
        <v/>
      </c>
      <c r="G557">
        <f>IF($AB557="","",INDEX('Per Line'!$F$2:$F$4001,$AB557)&amp;"")</f>
        <v/>
      </c>
      <c r="H557">
        <f>IF($AB557="","",INDEX('Per Line'!$H$2:$H$4001,$AB557)&amp;"")</f>
        <v/>
      </c>
      <c r="I557">
        <f>IF($AB557="","",INDEX('Per Line'!$I$2:$I$4001,$AB557)&amp;"")</f>
        <v/>
      </c>
      <c r="J557">
        <f>IF($AB557="","",INDEX('Per Line'!$J$2:$J$4001,$AB557)&amp;"")</f>
        <v/>
      </c>
      <c r="K557">
        <f>IF($AB557="","",INDEX('Per Line'!$K$2:$K$4001,$AB557)&amp;"")</f>
        <v/>
      </c>
      <c r="L557">
        <f>IF($AB557="","",INDEX('Per Line'!$L$2:$L$4001,$AB557))</f>
        <v/>
      </c>
      <c r="M557" s="7">
        <f>IF($AB557="","",IF(AND(ISNUMBER(O557),O557&gt;0,Z557&gt;O557),L557*O557/100+(Z557-O557),L557*Z557/100))</f>
        <v/>
      </c>
      <c r="N557">
        <f>IF($AB557="","",INDEX('Per Line'!$V$2:$V$4001,$AB557)&amp;"")</f>
        <v/>
      </c>
      <c r="O557">
        <f>IF($AB557="","",INDEX('Per Line'!$Z$2:$Z$4001,$AB557))</f>
        <v/>
      </c>
      <c r="P557">
        <f>IF($AB557="","",IF(AND(ISNUMBER(O557),O557&gt;0),Z557&gt;O557,FALSE))</f>
        <v/>
      </c>
      <c r="Q557" s="7">
        <f>IF($AB557="","",SUMIFS('Per Line'!$U$2:$U$4001,'Per Line'!$C$2:$C$4001,$B557,'Per Line'!$AM$2:$AM$4001,1))</f>
        <v/>
      </c>
      <c r="R557">
        <f>IF($AB557="","",Settings!$C$7)</f>
        <v/>
      </c>
      <c r="S557" s="7">
        <f>IF($AB557="","",SUMIFS('Per Line'!$U$2:$U$4001,'Per Line'!$C$2:$C$4001,$B557,'Per Line'!$AL$2:$AL$4001,0,'Per Line'!$AM$2:$AM$4001,0))</f>
        <v/>
      </c>
      <c r="T557" s="7">
        <f>IF($AB557="","",S557*R557)</f>
        <v/>
      </c>
      <c r="U557">
        <f>IF($AB557="","",Settings!$C$6)</f>
        <v/>
      </c>
      <c r="V557" s="7">
        <f>IF($AB557="","",SUMIFS('Per Line'!$U$2:$U$4001,'Per Line'!$C$2:$C$4001,$B557,'Per Line'!$AL$2:$AL$4001,1,'Per Line'!$AM$2:$AM$4001,0))</f>
        <v/>
      </c>
      <c r="W557" s="7">
        <f>IF($AB557="","",V557*U557)</f>
        <v/>
      </c>
      <c r="X557" s="7">
        <f>IF($AB557="","",W557+T557)</f>
        <v/>
      </c>
      <c r="Y557" s="7">
        <f>IF($AB557="","",Z557-X557)</f>
        <v/>
      </c>
      <c r="Z557" s="7">
        <f>IF($AB557="","",S557+V557+Q557)</f>
        <v/>
      </c>
      <c r="AA557" s="7">
        <f>IF($AB557="","",Z557-X557-M557)</f>
        <v/>
      </c>
      <c r="AB557" s="13">
        <f>IF(ROWS($AB$2:$AB557)&lt;=MAX('Per Line'!$AK$2:$AK$4001),MATCH(ROWS($AB$2:$AB557),'Per Line'!$AK$2:$AK$4001,0),"")</f>
        <v/>
      </c>
      <c r="AC557" s="14">
        <f>IF($AB557="","",M557-L557*Z557/100)</f>
        <v/>
      </c>
    </row>
    <row r="558">
      <c r="A558" s="12" t="n"/>
      <c r="B558">
        <f>IF($AB558="","",INDEX('Per Line'!$C$2:$C$4001,$AB558)&amp;"")</f>
        <v/>
      </c>
      <c r="C558">
        <f>IF($AB558="","",INDEX('Per Line'!$D$2:$D$4001,$AB558)&amp;"")</f>
        <v/>
      </c>
      <c r="D558">
        <f>IF($AB558="","",INDEX('Per Line'!$B$2:$B$4001,$AB558)&amp;"")</f>
        <v/>
      </c>
      <c r="E558">
        <f>IF($AB558="","",INDEX('Per Line'!$A$2:$A$4001,$AB558))</f>
        <v/>
      </c>
      <c r="F558" s="11">
        <f>IF($AB558="","",INDEX('Per Line'!$E$2:$E$4001,$AB558))</f>
        <v/>
      </c>
      <c r="G558">
        <f>IF($AB558="","",INDEX('Per Line'!$F$2:$F$4001,$AB558)&amp;"")</f>
        <v/>
      </c>
      <c r="H558">
        <f>IF($AB558="","",INDEX('Per Line'!$H$2:$H$4001,$AB558)&amp;"")</f>
        <v/>
      </c>
      <c r="I558">
        <f>IF($AB558="","",INDEX('Per Line'!$I$2:$I$4001,$AB558)&amp;"")</f>
        <v/>
      </c>
      <c r="J558">
        <f>IF($AB558="","",INDEX('Per Line'!$J$2:$J$4001,$AB558)&amp;"")</f>
        <v/>
      </c>
      <c r="K558">
        <f>IF($AB558="","",INDEX('Per Line'!$K$2:$K$4001,$AB558)&amp;"")</f>
        <v/>
      </c>
      <c r="L558">
        <f>IF($AB558="","",INDEX('Per Line'!$L$2:$L$4001,$AB558))</f>
        <v/>
      </c>
      <c r="M558" s="7">
        <f>IF($AB558="","",IF(AND(ISNUMBER(O558),O558&gt;0,Z558&gt;O558),L558*O558/100+(Z558-O558),L558*Z558/100))</f>
        <v/>
      </c>
      <c r="N558">
        <f>IF($AB558="","",INDEX('Per Line'!$V$2:$V$4001,$AB558)&amp;"")</f>
        <v/>
      </c>
      <c r="O558">
        <f>IF($AB558="","",INDEX('Per Line'!$Z$2:$Z$4001,$AB558))</f>
        <v/>
      </c>
      <c r="P558">
        <f>IF($AB558="","",IF(AND(ISNUMBER(O558),O558&gt;0),Z558&gt;O558,FALSE))</f>
        <v/>
      </c>
      <c r="Q558" s="7">
        <f>IF($AB558="","",SUMIFS('Per Line'!$U$2:$U$4001,'Per Line'!$C$2:$C$4001,$B558,'Per Line'!$AM$2:$AM$4001,1))</f>
        <v/>
      </c>
      <c r="R558">
        <f>IF($AB558="","",Settings!$C$7)</f>
        <v/>
      </c>
      <c r="S558" s="7">
        <f>IF($AB558="","",SUMIFS('Per Line'!$U$2:$U$4001,'Per Line'!$C$2:$C$4001,$B558,'Per Line'!$AL$2:$AL$4001,0,'Per Line'!$AM$2:$AM$4001,0))</f>
        <v/>
      </c>
      <c r="T558" s="7">
        <f>IF($AB558="","",S558*R558)</f>
        <v/>
      </c>
      <c r="U558">
        <f>IF($AB558="","",Settings!$C$6)</f>
        <v/>
      </c>
      <c r="V558" s="7">
        <f>IF($AB558="","",SUMIFS('Per Line'!$U$2:$U$4001,'Per Line'!$C$2:$C$4001,$B558,'Per Line'!$AL$2:$AL$4001,1,'Per Line'!$AM$2:$AM$4001,0))</f>
        <v/>
      </c>
      <c r="W558" s="7">
        <f>IF($AB558="","",V558*U558)</f>
        <v/>
      </c>
      <c r="X558" s="7">
        <f>IF($AB558="","",W558+T558)</f>
        <v/>
      </c>
      <c r="Y558" s="7">
        <f>IF($AB558="","",Z558-X558)</f>
        <v/>
      </c>
      <c r="Z558" s="7">
        <f>IF($AB558="","",S558+V558+Q558)</f>
        <v/>
      </c>
      <c r="AA558" s="7">
        <f>IF($AB558="","",Z558-X558-M558)</f>
        <v/>
      </c>
      <c r="AB558" s="13">
        <f>IF(ROWS($AB$2:$AB558)&lt;=MAX('Per Line'!$AK$2:$AK$4001),MATCH(ROWS($AB$2:$AB558),'Per Line'!$AK$2:$AK$4001,0),"")</f>
        <v/>
      </c>
      <c r="AC558" s="14">
        <f>IF($AB558="","",M558-L558*Z558/100)</f>
        <v/>
      </c>
    </row>
    <row r="559">
      <c r="A559" s="12" t="n"/>
      <c r="B559">
        <f>IF($AB559="","",INDEX('Per Line'!$C$2:$C$4001,$AB559)&amp;"")</f>
        <v/>
      </c>
      <c r="C559">
        <f>IF($AB559="","",INDEX('Per Line'!$D$2:$D$4001,$AB559)&amp;"")</f>
        <v/>
      </c>
      <c r="D559">
        <f>IF($AB559="","",INDEX('Per Line'!$B$2:$B$4001,$AB559)&amp;"")</f>
        <v/>
      </c>
      <c r="E559">
        <f>IF($AB559="","",INDEX('Per Line'!$A$2:$A$4001,$AB559))</f>
        <v/>
      </c>
      <c r="F559" s="11">
        <f>IF($AB559="","",INDEX('Per Line'!$E$2:$E$4001,$AB559))</f>
        <v/>
      </c>
      <c r="G559">
        <f>IF($AB559="","",INDEX('Per Line'!$F$2:$F$4001,$AB559)&amp;"")</f>
        <v/>
      </c>
      <c r="H559">
        <f>IF($AB559="","",INDEX('Per Line'!$H$2:$H$4001,$AB559)&amp;"")</f>
        <v/>
      </c>
      <c r="I559">
        <f>IF($AB559="","",INDEX('Per Line'!$I$2:$I$4001,$AB559)&amp;"")</f>
        <v/>
      </c>
      <c r="J559">
        <f>IF($AB559="","",INDEX('Per Line'!$J$2:$J$4001,$AB559)&amp;"")</f>
        <v/>
      </c>
      <c r="K559">
        <f>IF($AB559="","",INDEX('Per Line'!$K$2:$K$4001,$AB559)&amp;"")</f>
        <v/>
      </c>
      <c r="L559">
        <f>IF($AB559="","",INDEX('Per Line'!$L$2:$L$4001,$AB559))</f>
        <v/>
      </c>
      <c r="M559" s="7">
        <f>IF($AB559="","",IF(AND(ISNUMBER(O559),O559&gt;0,Z559&gt;O559),L559*O559/100+(Z559-O559),L559*Z559/100))</f>
        <v/>
      </c>
      <c r="N559">
        <f>IF($AB559="","",INDEX('Per Line'!$V$2:$V$4001,$AB559)&amp;"")</f>
        <v/>
      </c>
      <c r="O559">
        <f>IF($AB559="","",INDEX('Per Line'!$Z$2:$Z$4001,$AB559))</f>
        <v/>
      </c>
      <c r="P559">
        <f>IF($AB559="","",IF(AND(ISNUMBER(O559),O559&gt;0),Z559&gt;O559,FALSE))</f>
        <v/>
      </c>
      <c r="Q559" s="7">
        <f>IF($AB559="","",SUMIFS('Per Line'!$U$2:$U$4001,'Per Line'!$C$2:$C$4001,$B559,'Per Line'!$AM$2:$AM$4001,1))</f>
        <v/>
      </c>
      <c r="R559">
        <f>IF($AB559="","",Settings!$C$7)</f>
        <v/>
      </c>
      <c r="S559" s="7">
        <f>IF($AB559="","",SUMIFS('Per Line'!$U$2:$U$4001,'Per Line'!$C$2:$C$4001,$B559,'Per Line'!$AL$2:$AL$4001,0,'Per Line'!$AM$2:$AM$4001,0))</f>
        <v/>
      </c>
      <c r="T559" s="7">
        <f>IF($AB559="","",S559*R559)</f>
        <v/>
      </c>
      <c r="U559">
        <f>IF($AB559="","",Settings!$C$6)</f>
        <v/>
      </c>
      <c r="V559" s="7">
        <f>IF($AB559="","",SUMIFS('Per Line'!$U$2:$U$4001,'Per Line'!$C$2:$C$4001,$B559,'Per Line'!$AL$2:$AL$4001,1,'Per Line'!$AM$2:$AM$4001,0))</f>
        <v/>
      </c>
      <c r="W559" s="7">
        <f>IF($AB559="","",V559*U559)</f>
        <v/>
      </c>
      <c r="X559" s="7">
        <f>IF($AB559="","",W559+T559)</f>
        <v/>
      </c>
      <c r="Y559" s="7">
        <f>IF($AB559="","",Z559-X559)</f>
        <v/>
      </c>
      <c r="Z559" s="7">
        <f>IF($AB559="","",S559+V559+Q559)</f>
        <v/>
      </c>
      <c r="AA559" s="7">
        <f>IF($AB559="","",Z559-X559-M559)</f>
        <v/>
      </c>
      <c r="AB559" s="13">
        <f>IF(ROWS($AB$2:$AB559)&lt;=MAX('Per Line'!$AK$2:$AK$4001),MATCH(ROWS($AB$2:$AB559),'Per Line'!$AK$2:$AK$4001,0),"")</f>
        <v/>
      </c>
      <c r="AC559" s="14">
        <f>IF($AB559="","",M559-L559*Z559/100)</f>
        <v/>
      </c>
    </row>
    <row r="560">
      <c r="A560" s="12" t="n"/>
      <c r="B560">
        <f>IF($AB560="","",INDEX('Per Line'!$C$2:$C$4001,$AB560)&amp;"")</f>
        <v/>
      </c>
      <c r="C560">
        <f>IF($AB560="","",INDEX('Per Line'!$D$2:$D$4001,$AB560)&amp;"")</f>
        <v/>
      </c>
      <c r="D560">
        <f>IF($AB560="","",INDEX('Per Line'!$B$2:$B$4001,$AB560)&amp;"")</f>
        <v/>
      </c>
      <c r="E560">
        <f>IF($AB560="","",INDEX('Per Line'!$A$2:$A$4001,$AB560))</f>
        <v/>
      </c>
      <c r="F560" s="11">
        <f>IF($AB560="","",INDEX('Per Line'!$E$2:$E$4001,$AB560))</f>
        <v/>
      </c>
      <c r="G560">
        <f>IF($AB560="","",INDEX('Per Line'!$F$2:$F$4001,$AB560)&amp;"")</f>
        <v/>
      </c>
      <c r="H560">
        <f>IF($AB560="","",INDEX('Per Line'!$H$2:$H$4001,$AB560)&amp;"")</f>
        <v/>
      </c>
      <c r="I560">
        <f>IF($AB560="","",INDEX('Per Line'!$I$2:$I$4001,$AB560)&amp;"")</f>
        <v/>
      </c>
      <c r="J560">
        <f>IF($AB560="","",INDEX('Per Line'!$J$2:$J$4001,$AB560)&amp;"")</f>
        <v/>
      </c>
      <c r="K560">
        <f>IF($AB560="","",INDEX('Per Line'!$K$2:$K$4001,$AB560)&amp;"")</f>
        <v/>
      </c>
      <c r="L560">
        <f>IF($AB560="","",INDEX('Per Line'!$L$2:$L$4001,$AB560))</f>
        <v/>
      </c>
      <c r="M560" s="7">
        <f>IF($AB560="","",IF(AND(ISNUMBER(O560),O560&gt;0,Z560&gt;O560),L560*O560/100+(Z560-O560),L560*Z560/100))</f>
        <v/>
      </c>
      <c r="N560">
        <f>IF($AB560="","",INDEX('Per Line'!$V$2:$V$4001,$AB560)&amp;"")</f>
        <v/>
      </c>
      <c r="O560">
        <f>IF($AB560="","",INDEX('Per Line'!$Z$2:$Z$4001,$AB560))</f>
        <v/>
      </c>
      <c r="P560">
        <f>IF($AB560="","",IF(AND(ISNUMBER(O560),O560&gt;0),Z560&gt;O560,FALSE))</f>
        <v/>
      </c>
      <c r="Q560" s="7">
        <f>IF($AB560="","",SUMIFS('Per Line'!$U$2:$U$4001,'Per Line'!$C$2:$C$4001,$B560,'Per Line'!$AM$2:$AM$4001,1))</f>
        <v/>
      </c>
      <c r="R560">
        <f>IF($AB560="","",Settings!$C$7)</f>
        <v/>
      </c>
      <c r="S560" s="7">
        <f>IF($AB560="","",SUMIFS('Per Line'!$U$2:$U$4001,'Per Line'!$C$2:$C$4001,$B560,'Per Line'!$AL$2:$AL$4001,0,'Per Line'!$AM$2:$AM$4001,0))</f>
        <v/>
      </c>
      <c r="T560" s="7">
        <f>IF($AB560="","",S560*R560)</f>
        <v/>
      </c>
      <c r="U560">
        <f>IF($AB560="","",Settings!$C$6)</f>
        <v/>
      </c>
      <c r="V560" s="7">
        <f>IF($AB560="","",SUMIFS('Per Line'!$U$2:$U$4001,'Per Line'!$C$2:$C$4001,$B560,'Per Line'!$AL$2:$AL$4001,1,'Per Line'!$AM$2:$AM$4001,0))</f>
        <v/>
      </c>
      <c r="W560" s="7">
        <f>IF($AB560="","",V560*U560)</f>
        <v/>
      </c>
      <c r="X560" s="7">
        <f>IF($AB560="","",W560+T560)</f>
        <v/>
      </c>
      <c r="Y560" s="7">
        <f>IF($AB560="","",Z560-X560)</f>
        <v/>
      </c>
      <c r="Z560" s="7">
        <f>IF($AB560="","",S560+V560+Q560)</f>
        <v/>
      </c>
      <c r="AA560" s="7">
        <f>IF($AB560="","",Z560-X560-M560)</f>
        <v/>
      </c>
      <c r="AB560" s="13">
        <f>IF(ROWS($AB$2:$AB560)&lt;=MAX('Per Line'!$AK$2:$AK$4001),MATCH(ROWS($AB$2:$AB560),'Per Line'!$AK$2:$AK$4001,0),"")</f>
        <v/>
      </c>
      <c r="AC560" s="14">
        <f>IF($AB560="","",M560-L560*Z560/100)</f>
        <v/>
      </c>
    </row>
    <row r="561">
      <c r="A561" s="12" t="n"/>
      <c r="B561">
        <f>IF($AB561="","",INDEX('Per Line'!$C$2:$C$4001,$AB561)&amp;"")</f>
        <v/>
      </c>
      <c r="C561">
        <f>IF($AB561="","",INDEX('Per Line'!$D$2:$D$4001,$AB561)&amp;"")</f>
        <v/>
      </c>
      <c r="D561">
        <f>IF($AB561="","",INDEX('Per Line'!$B$2:$B$4001,$AB561)&amp;"")</f>
        <v/>
      </c>
      <c r="E561">
        <f>IF($AB561="","",INDEX('Per Line'!$A$2:$A$4001,$AB561))</f>
        <v/>
      </c>
      <c r="F561" s="11">
        <f>IF($AB561="","",INDEX('Per Line'!$E$2:$E$4001,$AB561))</f>
        <v/>
      </c>
      <c r="G561">
        <f>IF($AB561="","",INDEX('Per Line'!$F$2:$F$4001,$AB561)&amp;"")</f>
        <v/>
      </c>
      <c r="H561">
        <f>IF($AB561="","",INDEX('Per Line'!$H$2:$H$4001,$AB561)&amp;"")</f>
        <v/>
      </c>
      <c r="I561">
        <f>IF($AB561="","",INDEX('Per Line'!$I$2:$I$4001,$AB561)&amp;"")</f>
        <v/>
      </c>
      <c r="J561">
        <f>IF($AB561="","",INDEX('Per Line'!$J$2:$J$4001,$AB561)&amp;"")</f>
        <v/>
      </c>
      <c r="K561">
        <f>IF($AB561="","",INDEX('Per Line'!$K$2:$K$4001,$AB561)&amp;"")</f>
        <v/>
      </c>
      <c r="L561">
        <f>IF($AB561="","",INDEX('Per Line'!$L$2:$L$4001,$AB561))</f>
        <v/>
      </c>
      <c r="M561" s="7">
        <f>IF($AB561="","",IF(AND(ISNUMBER(O561),O561&gt;0,Z561&gt;O561),L561*O561/100+(Z561-O561),L561*Z561/100))</f>
        <v/>
      </c>
      <c r="N561">
        <f>IF($AB561="","",INDEX('Per Line'!$V$2:$V$4001,$AB561)&amp;"")</f>
        <v/>
      </c>
      <c r="O561">
        <f>IF($AB561="","",INDEX('Per Line'!$Z$2:$Z$4001,$AB561))</f>
        <v/>
      </c>
      <c r="P561">
        <f>IF($AB561="","",IF(AND(ISNUMBER(O561),O561&gt;0),Z561&gt;O561,FALSE))</f>
        <v/>
      </c>
      <c r="Q561" s="7">
        <f>IF($AB561="","",SUMIFS('Per Line'!$U$2:$U$4001,'Per Line'!$C$2:$C$4001,$B561,'Per Line'!$AM$2:$AM$4001,1))</f>
        <v/>
      </c>
      <c r="R561">
        <f>IF($AB561="","",Settings!$C$7)</f>
        <v/>
      </c>
      <c r="S561" s="7">
        <f>IF($AB561="","",SUMIFS('Per Line'!$U$2:$U$4001,'Per Line'!$C$2:$C$4001,$B561,'Per Line'!$AL$2:$AL$4001,0,'Per Line'!$AM$2:$AM$4001,0))</f>
        <v/>
      </c>
      <c r="T561" s="7">
        <f>IF($AB561="","",S561*R561)</f>
        <v/>
      </c>
      <c r="U561">
        <f>IF($AB561="","",Settings!$C$6)</f>
        <v/>
      </c>
      <c r="V561" s="7">
        <f>IF($AB561="","",SUMIFS('Per Line'!$U$2:$U$4001,'Per Line'!$C$2:$C$4001,$B561,'Per Line'!$AL$2:$AL$4001,1,'Per Line'!$AM$2:$AM$4001,0))</f>
        <v/>
      </c>
      <c r="W561" s="7">
        <f>IF($AB561="","",V561*U561)</f>
        <v/>
      </c>
      <c r="X561" s="7">
        <f>IF($AB561="","",W561+T561)</f>
        <v/>
      </c>
      <c r="Y561" s="7">
        <f>IF($AB561="","",Z561-X561)</f>
        <v/>
      </c>
      <c r="Z561" s="7">
        <f>IF($AB561="","",S561+V561+Q561)</f>
        <v/>
      </c>
      <c r="AA561" s="7">
        <f>IF($AB561="","",Z561-X561-M561)</f>
        <v/>
      </c>
      <c r="AB561" s="13">
        <f>IF(ROWS($AB$2:$AB561)&lt;=MAX('Per Line'!$AK$2:$AK$4001),MATCH(ROWS($AB$2:$AB561),'Per Line'!$AK$2:$AK$4001,0),"")</f>
        <v/>
      </c>
      <c r="AC561" s="14">
        <f>IF($AB561="","",M561-L561*Z561/100)</f>
        <v/>
      </c>
    </row>
    <row r="562">
      <c r="A562" s="12" t="n"/>
      <c r="B562">
        <f>IF($AB562="","",INDEX('Per Line'!$C$2:$C$4001,$AB562)&amp;"")</f>
        <v/>
      </c>
      <c r="C562">
        <f>IF($AB562="","",INDEX('Per Line'!$D$2:$D$4001,$AB562)&amp;"")</f>
        <v/>
      </c>
      <c r="D562">
        <f>IF($AB562="","",INDEX('Per Line'!$B$2:$B$4001,$AB562)&amp;"")</f>
        <v/>
      </c>
      <c r="E562">
        <f>IF($AB562="","",INDEX('Per Line'!$A$2:$A$4001,$AB562))</f>
        <v/>
      </c>
      <c r="F562" s="11">
        <f>IF($AB562="","",INDEX('Per Line'!$E$2:$E$4001,$AB562))</f>
        <v/>
      </c>
      <c r="G562">
        <f>IF($AB562="","",INDEX('Per Line'!$F$2:$F$4001,$AB562)&amp;"")</f>
        <v/>
      </c>
      <c r="H562">
        <f>IF($AB562="","",INDEX('Per Line'!$H$2:$H$4001,$AB562)&amp;"")</f>
        <v/>
      </c>
      <c r="I562">
        <f>IF($AB562="","",INDEX('Per Line'!$I$2:$I$4001,$AB562)&amp;"")</f>
        <v/>
      </c>
      <c r="J562">
        <f>IF($AB562="","",INDEX('Per Line'!$J$2:$J$4001,$AB562)&amp;"")</f>
        <v/>
      </c>
      <c r="K562">
        <f>IF($AB562="","",INDEX('Per Line'!$K$2:$K$4001,$AB562)&amp;"")</f>
        <v/>
      </c>
      <c r="L562">
        <f>IF($AB562="","",INDEX('Per Line'!$L$2:$L$4001,$AB562))</f>
        <v/>
      </c>
      <c r="M562" s="7">
        <f>IF($AB562="","",IF(AND(ISNUMBER(O562),O562&gt;0,Z562&gt;O562),L562*O562/100+(Z562-O562),L562*Z562/100))</f>
        <v/>
      </c>
      <c r="N562">
        <f>IF($AB562="","",INDEX('Per Line'!$V$2:$V$4001,$AB562)&amp;"")</f>
        <v/>
      </c>
      <c r="O562">
        <f>IF($AB562="","",INDEX('Per Line'!$Z$2:$Z$4001,$AB562))</f>
        <v/>
      </c>
      <c r="P562">
        <f>IF($AB562="","",IF(AND(ISNUMBER(O562),O562&gt;0),Z562&gt;O562,FALSE))</f>
        <v/>
      </c>
      <c r="Q562" s="7">
        <f>IF($AB562="","",SUMIFS('Per Line'!$U$2:$U$4001,'Per Line'!$C$2:$C$4001,$B562,'Per Line'!$AM$2:$AM$4001,1))</f>
        <v/>
      </c>
      <c r="R562">
        <f>IF($AB562="","",Settings!$C$7)</f>
        <v/>
      </c>
      <c r="S562" s="7">
        <f>IF($AB562="","",SUMIFS('Per Line'!$U$2:$U$4001,'Per Line'!$C$2:$C$4001,$B562,'Per Line'!$AL$2:$AL$4001,0,'Per Line'!$AM$2:$AM$4001,0))</f>
        <v/>
      </c>
      <c r="T562" s="7">
        <f>IF($AB562="","",S562*R562)</f>
        <v/>
      </c>
      <c r="U562">
        <f>IF($AB562="","",Settings!$C$6)</f>
        <v/>
      </c>
      <c r="V562" s="7">
        <f>IF($AB562="","",SUMIFS('Per Line'!$U$2:$U$4001,'Per Line'!$C$2:$C$4001,$B562,'Per Line'!$AL$2:$AL$4001,1,'Per Line'!$AM$2:$AM$4001,0))</f>
        <v/>
      </c>
      <c r="W562" s="7">
        <f>IF($AB562="","",V562*U562)</f>
        <v/>
      </c>
      <c r="X562" s="7">
        <f>IF($AB562="","",W562+T562)</f>
        <v/>
      </c>
      <c r="Y562" s="7">
        <f>IF($AB562="","",Z562-X562)</f>
        <v/>
      </c>
      <c r="Z562" s="7">
        <f>IF($AB562="","",S562+V562+Q562)</f>
        <v/>
      </c>
      <c r="AA562" s="7">
        <f>IF($AB562="","",Z562-X562-M562)</f>
        <v/>
      </c>
      <c r="AB562" s="13">
        <f>IF(ROWS($AB$2:$AB562)&lt;=MAX('Per Line'!$AK$2:$AK$4001),MATCH(ROWS($AB$2:$AB562),'Per Line'!$AK$2:$AK$4001,0),"")</f>
        <v/>
      </c>
      <c r="AC562" s="14">
        <f>IF($AB562="","",M562-L562*Z562/100)</f>
        <v/>
      </c>
    </row>
    <row r="563">
      <c r="A563" s="12" t="n"/>
      <c r="B563">
        <f>IF($AB563="","",INDEX('Per Line'!$C$2:$C$4001,$AB563)&amp;"")</f>
        <v/>
      </c>
      <c r="C563">
        <f>IF($AB563="","",INDEX('Per Line'!$D$2:$D$4001,$AB563)&amp;"")</f>
        <v/>
      </c>
      <c r="D563">
        <f>IF($AB563="","",INDEX('Per Line'!$B$2:$B$4001,$AB563)&amp;"")</f>
        <v/>
      </c>
      <c r="E563">
        <f>IF($AB563="","",INDEX('Per Line'!$A$2:$A$4001,$AB563))</f>
        <v/>
      </c>
      <c r="F563" s="11">
        <f>IF($AB563="","",INDEX('Per Line'!$E$2:$E$4001,$AB563))</f>
        <v/>
      </c>
      <c r="G563">
        <f>IF($AB563="","",INDEX('Per Line'!$F$2:$F$4001,$AB563)&amp;"")</f>
        <v/>
      </c>
      <c r="H563">
        <f>IF($AB563="","",INDEX('Per Line'!$H$2:$H$4001,$AB563)&amp;"")</f>
        <v/>
      </c>
      <c r="I563">
        <f>IF($AB563="","",INDEX('Per Line'!$I$2:$I$4001,$AB563)&amp;"")</f>
        <v/>
      </c>
      <c r="J563">
        <f>IF($AB563="","",INDEX('Per Line'!$J$2:$J$4001,$AB563)&amp;"")</f>
        <v/>
      </c>
      <c r="K563">
        <f>IF($AB563="","",INDEX('Per Line'!$K$2:$K$4001,$AB563)&amp;"")</f>
        <v/>
      </c>
      <c r="L563">
        <f>IF($AB563="","",INDEX('Per Line'!$L$2:$L$4001,$AB563))</f>
        <v/>
      </c>
      <c r="M563" s="7">
        <f>IF($AB563="","",IF(AND(ISNUMBER(O563),O563&gt;0,Z563&gt;O563),L563*O563/100+(Z563-O563),L563*Z563/100))</f>
        <v/>
      </c>
      <c r="N563">
        <f>IF($AB563="","",INDEX('Per Line'!$V$2:$V$4001,$AB563)&amp;"")</f>
        <v/>
      </c>
      <c r="O563">
        <f>IF($AB563="","",INDEX('Per Line'!$Z$2:$Z$4001,$AB563))</f>
        <v/>
      </c>
      <c r="P563">
        <f>IF($AB563="","",IF(AND(ISNUMBER(O563),O563&gt;0),Z563&gt;O563,FALSE))</f>
        <v/>
      </c>
      <c r="Q563" s="7">
        <f>IF($AB563="","",SUMIFS('Per Line'!$U$2:$U$4001,'Per Line'!$C$2:$C$4001,$B563,'Per Line'!$AM$2:$AM$4001,1))</f>
        <v/>
      </c>
      <c r="R563">
        <f>IF($AB563="","",Settings!$C$7)</f>
        <v/>
      </c>
      <c r="S563" s="7">
        <f>IF($AB563="","",SUMIFS('Per Line'!$U$2:$U$4001,'Per Line'!$C$2:$C$4001,$B563,'Per Line'!$AL$2:$AL$4001,0,'Per Line'!$AM$2:$AM$4001,0))</f>
        <v/>
      </c>
      <c r="T563" s="7">
        <f>IF($AB563="","",S563*R563)</f>
        <v/>
      </c>
      <c r="U563">
        <f>IF($AB563="","",Settings!$C$6)</f>
        <v/>
      </c>
      <c r="V563" s="7">
        <f>IF($AB563="","",SUMIFS('Per Line'!$U$2:$U$4001,'Per Line'!$C$2:$C$4001,$B563,'Per Line'!$AL$2:$AL$4001,1,'Per Line'!$AM$2:$AM$4001,0))</f>
        <v/>
      </c>
      <c r="W563" s="7">
        <f>IF($AB563="","",V563*U563)</f>
        <v/>
      </c>
      <c r="X563" s="7">
        <f>IF($AB563="","",W563+T563)</f>
        <v/>
      </c>
      <c r="Y563" s="7">
        <f>IF($AB563="","",Z563-X563)</f>
        <v/>
      </c>
      <c r="Z563" s="7">
        <f>IF($AB563="","",S563+V563+Q563)</f>
        <v/>
      </c>
      <c r="AA563" s="7">
        <f>IF($AB563="","",Z563-X563-M563)</f>
        <v/>
      </c>
      <c r="AB563" s="13">
        <f>IF(ROWS($AB$2:$AB563)&lt;=MAX('Per Line'!$AK$2:$AK$4001),MATCH(ROWS($AB$2:$AB563),'Per Line'!$AK$2:$AK$4001,0),"")</f>
        <v/>
      </c>
      <c r="AC563" s="14">
        <f>IF($AB563="","",M563-L563*Z563/100)</f>
        <v/>
      </c>
    </row>
    <row r="564">
      <c r="A564" s="12" t="n"/>
      <c r="B564">
        <f>IF($AB564="","",INDEX('Per Line'!$C$2:$C$4001,$AB564)&amp;"")</f>
        <v/>
      </c>
      <c r="C564">
        <f>IF($AB564="","",INDEX('Per Line'!$D$2:$D$4001,$AB564)&amp;"")</f>
        <v/>
      </c>
      <c r="D564">
        <f>IF($AB564="","",INDEX('Per Line'!$B$2:$B$4001,$AB564)&amp;"")</f>
        <v/>
      </c>
      <c r="E564">
        <f>IF($AB564="","",INDEX('Per Line'!$A$2:$A$4001,$AB564))</f>
        <v/>
      </c>
      <c r="F564" s="11">
        <f>IF($AB564="","",INDEX('Per Line'!$E$2:$E$4001,$AB564))</f>
        <v/>
      </c>
      <c r="G564">
        <f>IF($AB564="","",INDEX('Per Line'!$F$2:$F$4001,$AB564)&amp;"")</f>
        <v/>
      </c>
      <c r="H564">
        <f>IF($AB564="","",INDEX('Per Line'!$H$2:$H$4001,$AB564)&amp;"")</f>
        <v/>
      </c>
      <c r="I564">
        <f>IF($AB564="","",INDEX('Per Line'!$I$2:$I$4001,$AB564)&amp;"")</f>
        <v/>
      </c>
      <c r="J564">
        <f>IF($AB564="","",INDEX('Per Line'!$J$2:$J$4001,$AB564)&amp;"")</f>
        <v/>
      </c>
      <c r="K564">
        <f>IF($AB564="","",INDEX('Per Line'!$K$2:$K$4001,$AB564)&amp;"")</f>
        <v/>
      </c>
      <c r="L564">
        <f>IF($AB564="","",INDEX('Per Line'!$L$2:$L$4001,$AB564))</f>
        <v/>
      </c>
      <c r="M564" s="7">
        <f>IF($AB564="","",IF(AND(ISNUMBER(O564),O564&gt;0,Z564&gt;O564),L564*O564/100+(Z564-O564),L564*Z564/100))</f>
        <v/>
      </c>
      <c r="N564">
        <f>IF($AB564="","",INDEX('Per Line'!$V$2:$V$4001,$AB564)&amp;"")</f>
        <v/>
      </c>
      <c r="O564">
        <f>IF($AB564="","",INDEX('Per Line'!$Z$2:$Z$4001,$AB564))</f>
        <v/>
      </c>
      <c r="P564">
        <f>IF($AB564="","",IF(AND(ISNUMBER(O564),O564&gt;0),Z564&gt;O564,FALSE))</f>
        <v/>
      </c>
      <c r="Q564" s="7">
        <f>IF($AB564="","",SUMIFS('Per Line'!$U$2:$U$4001,'Per Line'!$C$2:$C$4001,$B564,'Per Line'!$AM$2:$AM$4001,1))</f>
        <v/>
      </c>
      <c r="R564">
        <f>IF($AB564="","",Settings!$C$7)</f>
        <v/>
      </c>
      <c r="S564" s="7">
        <f>IF($AB564="","",SUMIFS('Per Line'!$U$2:$U$4001,'Per Line'!$C$2:$C$4001,$B564,'Per Line'!$AL$2:$AL$4001,0,'Per Line'!$AM$2:$AM$4001,0))</f>
        <v/>
      </c>
      <c r="T564" s="7">
        <f>IF($AB564="","",S564*R564)</f>
        <v/>
      </c>
      <c r="U564">
        <f>IF($AB564="","",Settings!$C$6)</f>
        <v/>
      </c>
      <c r="V564" s="7">
        <f>IF($AB564="","",SUMIFS('Per Line'!$U$2:$U$4001,'Per Line'!$C$2:$C$4001,$B564,'Per Line'!$AL$2:$AL$4001,1,'Per Line'!$AM$2:$AM$4001,0))</f>
        <v/>
      </c>
      <c r="W564" s="7">
        <f>IF($AB564="","",V564*U564)</f>
        <v/>
      </c>
      <c r="X564" s="7">
        <f>IF($AB564="","",W564+T564)</f>
        <v/>
      </c>
      <c r="Y564" s="7">
        <f>IF($AB564="","",Z564-X564)</f>
        <v/>
      </c>
      <c r="Z564" s="7">
        <f>IF($AB564="","",S564+V564+Q564)</f>
        <v/>
      </c>
      <c r="AA564" s="7">
        <f>IF($AB564="","",Z564-X564-M564)</f>
        <v/>
      </c>
      <c r="AB564" s="13">
        <f>IF(ROWS($AB$2:$AB564)&lt;=MAX('Per Line'!$AK$2:$AK$4001),MATCH(ROWS($AB$2:$AB564),'Per Line'!$AK$2:$AK$4001,0),"")</f>
        <v/>
      </c>
      <c r="AC564" s="14">
        <f>IF($AB564="","",M564-L564*Z564/100)</f>
        <v/>
      </c>
    </row>
    <row r="565">
      <c r="A565" s="12" t="n"/>
      <c r="B565">
        <f>IF($AB565="","",INDEX('Per Line'!$C$2:$C$4001,$AB565)&amp;"")</f>
        <v/>
      </c>
      <c r="C565">
        <f>IF($AB565="","",INDEX('Per Line'!$D$2:$D$4001,$AB565)&amp;"")</f>
        <v/>
      </c>
      <c r="D565">
        <f>IF($AB565="","",INDEX('Per Line'!$B$2:$B$4001,$AB565)&amp;"")</f>
        <v/>
      </c>
      <c r="E565">
        <f>IF($AB565="","",INDEX('Per Line'!$A$2:$A$4001,$AB565))</f>
        <v/>
      </c>
      <c r="F565" s="11">
        <f>IF($AB565="","",INDEX('Per Line'!$E$2:$E$4001,$AB565))</f>
        <v/>
      </c>
      <c r="G565">
        <f>IF($AB565="","",INDEX('Per Line'!$F$2:$F$4001,$AB565)&amp;"")</f>
        <v/>
      </c>
      <c r="H565">
        <f>IF($AB565="","",INDEX('Per Line'!$H$2:$H$4001,$AB565)&amp;"")</f>
        <v/>
      </c>
      <c r="I565">
        <f>IF($AB565="","",INDEX('Per Line'!$I$2:$I$4001,$AB565)&amp;"")</f>
        <v/>
      </c>
      <c r="J565">
        <f>IF($AB565="","",INDEX('Per Line'!$J$2:$J$4001,$AB565)&amp;"")</f>
        <v/>
      </c>
      <c r="K565">
        <f>IF($AB565="","",INDEX('Per Line'!$K$2:$K$4001,$AB565)&amp;"")</f>
        <v/>
      </c>
      <c r="L565">
        <f>IF($AB565="","",INDEX('Per Line'!$L$2:$L$4001,$AB565))</f>
        <v/>
      </c>
      <c r="M565" s="7">
        <f>IF($AB565="","",IF(AND(ISNUMBER(O565),O565&gt;0,Z565&gt;O565),L565*O565/100+(Z565-O565),L565*Z565/100))</f>
        <v/>
      </c>
      <c r="N565">
        <f>IF($AB565="","",INDEX('Per Line'!$V$2:$V$4001,$AB565)&amp;"")</f>
        <v/>
      </c>
      <c r="O565">
        <f>IF($AB565="","",INDEX('Per Line'!$Z$2:$Z$4001,$AB565))</f>
        <v/>
      </c>
      <c r="P565">
        <f>IF($AB565="","",IF(AND(ISNUMBER(O565),O565&gt;0),Z565&gt;O565,FALSE))</f>
        <v/>
      </c>
      <c r="Q565" s="7">
        <f>IF($AB565="","",SUMIFS('Per Line'!$U$2:$U$4001,'Per Line'!$C$2:$C$4001,$B565,'Per Line'!$AM$2:$AM$4001,1))</f>
        <v/>
      </c>
      <c r="R565">
        <f>IF($AB565="","",Settings!$C$7)</f>
        <v/>
      </c>
      <c r="S565" s="7">
        <f>IF($AB565="","",SUMIFS('Per Line'!$U$2:$U$4001,'Per Line'!$C$2:$C$4001,$B565,'Per Line'!$AL$2:$AL$4001,0,'Per Line'!$AM$2:$AM$4001,0))</f>
        <v/>
      </c>
      <c r="T565" s="7">
        <f>IF($AB565="","",S565*R565)</f>
        <v/>
      </c>
      <c r="U565">
        <f>IF($AB565="","",Settings!$C$6)</f>
        <v/>
      </c>
      <c r="V565" s="7">
        <f>IF($AB565="","",SUMIFS('Per Line'!$U$2:$U$4001,'Per Line'!$C$2:$C$4001,$B565,'Per Line'!$AL$2:$AL$4001,1,'Per Line'!$AM$2:$AM$4001,0))</f>
        <v/>
      </c>
      <c r="W565" s="7">
        <f>IF($AB565="","",V565*U565)</f>
        <v/>
      </c>
      <c r="X565" s="7">
        <f>IF($AB565="","",W565+T565)</f>
        <v/>
      </c>
      <c r="Y565" s="7">
        <f>IF($AB565="","",Z565-X565)</f>
        <v/>
      </c>
      <c r="Z565" s="7">
        <f>IF($AB565="","",S565+V565+Q565)</f>
        <v/>
      </c>
      <c r="AA565" s="7">
        <f>IF($AB565="","",Z565-X565-M565)</f>
        <v/>
      </c>
      <c r="AB565" s="13">
        <f>IF(ROWS($AB$2:$AB565)&lt;=MAX('Per Line'!$AK$2:$AK$4001),MATCH(ROWS($AB$2:$AB565),'Per Line'!$AK$2:$AK$4001,0),"")</f>
        <v/>
      </c>
      <c r="AC565" s="14">
        <f>IF($AB565="","",M565-L565*Z565/100)</f>
        <v/>
      </c>
    </row>
    <row r="566">
      <c r="A566" s="12" t="n"/>
      <c r="B566">
        <f>IF($AB566="","",INDEX('Per Line'!$C$2:$C$4001,$AB566)&amp;"")</f>
        <v/>
      </c>
      <c r="C566">
        <f>IF($AB566="","",INDEX('Per Line'!$D$2:$D$4001,$AB566)&amp;"")</f>
        <v/>
      </c>
      <c r="D566">
        <f>IF($AB566="","",INDEX('Per Line'!$B$2:$B$4001,$AB566)&amp;"")</f>
        <v/>
      </c>
      <c r="E566">
        <f>IF($AB566="","",INDEX('Per Line'!$A$2:$A$4001,$AB566))</f>
        <v/>
      </c>
      <c r="F566" s="11">
        <f>IF($AB566="","",INDEX('Per Line'!$E$2:$E$4001,$AB566))</f>
        <v/>
      </c>
      <c r="G566">
        <f>IF($AB566="","",INDEX('Per Line'!$F$2:$F$4001,$AB566)&amp;"")</f>
        <v/>
      </c>
      <c r="H566">
        <f>IF($AB566="","",INDEX('Per Line'!$H$2:$H$4001,$AB566)&amp;"")</f>
        <v/>
      </c>
      <c r="I566">
        <f>IF($AB566="","",INDEX('Per Line'!$I$2:$I$4001,$AB566)&amp;"")</f>
        <v/>
      </c>
      <c r="J566">
        <f>IF($AB566="","",INDEX('Per Line'!$J$2:$J$4001,$AB566)&amp;"")</f>
        <v/>
      </c>
      <c r="K566">
        <f>IF($AB566="","",INDEX('Per Line'!$K$2:$K$4001,$AB566)&amp;"")</f>
        <v/>
      </c>
      <c r="L566">
        <f>IF($AB566="","",INDEX('Per Line'!$L$2:$L$4001,$AB566))</f>
        <v/>
      </c>
      <c r="M566" s="7">
        <f>IF($AB566="","",IF(AND(ISNUMBER(O566),O566&gt;0,Z566&gt;O566),L566*O566/100+(Z566-O566),L566*Z566/100))</f>
        <v/>
      </c>
      <c r="N566">
        <f>IF($AB566="","",INDEX('Per Line'!$V$2:$V$4001,$AB566)&amp;"")</f>
        <v/>
      </c>
      <c r="O566">
        <f>IF($AB566="","",INDEX('Per Line'!$Z$2:$Z$4001,$AB566))</f>
        <v/>
      </c>
      <c r="P566">
        <f>IF($AB566="","",IF(AND(ISNUMBER(O566),O566&gt;0),Z566&gt;O566,FALSE))</f>
        <v/>
      </c>
      <c r="Q566" s="7">
        <f>IF($AB566="","",SUMIFS('Per Line'!$U$2:$U$4001,'Per Line'!$C$2:$C$4001,$B566,'Per Line'!$AM$2:$AM$4001,1))</f>
        <v/>
      </c>
      <c r="R566">
        <f>IF($AB566="","",Settings!$C$7)</f>
        <v/>
      </c>
      <c r="S566" s="7">
        <f>IF($AB566="","",SUMIFS('Per Line'!$U$2:$U$4001,'Per Line'!$C$2:$C$4001,$B566,'Per Line'!$AL$2:$AL$4001,0,'Per Line'!$AM$2:$AM$4001,0))</f>
        <v/>
      </c>
      <c r="T566" s="7">
        <f>IF($AB566="","",S566*R566)</f>
        <v/>
      </c>
      <c r="U566">
        <f>IF($AB566="","",Settings!$C$6)</f>
        <v/>
      </c>
      <c r="V566" s="7">
        <f>IF($AB566="","",SUMIFS('Per Line'!$U$2:$U$4001,'Per Line'!$C$2:$C$4001,$B566,'Per Line'!$AL$2:$AL$4001,1,'Per Line'!$AM$2:$AM$4001,0))</f>
        <v/>
      </c>
      <c r="W566" s="7">
        <f>IF($AB566="","",V566*U566)</f>
        <v/>
      </c>
      <c r="X566" s="7">
        <f>IF($AB566="","",W566+T566)</f>
        <v/>
      </c>
      <c r="Y566" s="7">
        <f>IF($AB566="","",Z566-X566)</f>
        <v/>
      </c>
      <c r="Z566" s="7">
        <f>IF($AB566="","",S566+V566+Q566)</f>
        <v/>
      </c>
      <c r="AA566" s="7">
        <f>IF($AB566="","",Z566-X566-M566)</f>
        <v/>
      </c>
      <c r="AB566" s="13">
        <f>IF(ROWS($AB$2:$AB566)&lt;=MAX('Per Line'!$AK$2:$AK$4001),MATCH(ROWS($AB$2:$AB566),'Per Line'!$AK$2:$AK$4001,0),"")</f>
        <v/>
      </c>
      <c r="AC566" s="14">
        <f>IF($AB566="","",M566-L566*Z566/100)</f>
        <v/>
      </c>
    </row>
    <row r="567">
      <c r="A567" s="12" t="n"/>
      <c r="B567">
        <f>IF($AB567="","",INDEX('Per Line'!$C$2:$C$4001,$AB567)&amp;"")</f>
        <v/>
      </c>
      <c r="C567">
        <f>IF($AB567="","",INDEX('Per Line'!$D$2:$D$4001,$AB567)&amp;"")</f>
        <v/>
      </c>
      <c r="D567">
        <f>IF($AB567="","",INDEX('Per Line'!$B$2:$B$4001,$AB567)&amp;"")</f>
        <v/>
      </c>
      <c r="E567">
        <f>IF($AB567="","",INDEX('Per Line'!$A$2:$A$4001,$AB567))</f>
        <v/>
      </c>
      <c r="F567" s="11">
        <f>IF($AB567="","",INDEX('Per Line'!$E$2:$E$4001,$AB567))</f>
        <v/>
      </c>
      <c r="G567">
        <f>IF($AB567="","",INDEX('Per Line'!$F$2:$F$4001,$AB567)&amp;"")</f>
        <v/>
      </c>
      <c r="H567">
        <f>IF($AB567="","",INDEX('Per Line'!$H$2:$H$4001,$AB567)&amp;"")</f>
        <v/>
      </c>
      <c r="I567">
        <f>IF($AB567="","",INDEX('Per Line'!$I$2:$I$4001,$AB567)&amp;"")</f>
        <v/>
      </c>
      <c r="J567">
        <f>IF($AB567="","",INDEX('Per Line'!$J$2:$J$4001,$AB567)&amp;"")</f>
        <v/>
      </c>
      <c r="K567">
        <f>IF($AB567="","",INDEX('Per Line'!$K$2:$K$4001,$AB567)&amp;"")</f>
        <v/>
      </c>
      <c r="L567">
        <f>IF($AB567="","",INDEX('Per Line'!$L$2:$L$4001,$AB567))</f>
        <v/>
      </c>
      <c r="M567" s="7">
        <f>IF($AB567="","",IF(AND(ISNUMBER(O567),O567&gt;0,Z567&gt;O567),L567*O567/100+(Z567-O567),L567*Z567/100))</f>
        <v/>
      </c>
      <c r="N567">
        <f>IF($AB567="","",INDEX('Per Line'!$V$2:$V$4001,$AB567)&amp;"")</f>
        <v/>
      </c>
      <c r="O567">
        <f>IF($AB567="","",INDEX('Per Line'!$Z$2:$Z$4001,$AB567))</f>
        <v/>
      </c>
      <c r="P567">
        <f>IF($AB567="","",IF(AND(ISNUMBER(O567),O567&gt;0),Z567&gt;O567,FALSE))</f>
        <v/>
      </c>
      <c r="Q567" s="7">
        <f>IF($AB567="","",SUMIFS('Per Line'!$U$2:$U$4001,'Per Line'!$C$2:$C$4001,$B567,'Per Line'!$AM$2:$AM$4001,1))</f>
        <v/>
      </c>
      <c r="R567">
        <f>IF($AB567="","",Settings!$C$7)</f>
        <v/>
      </c>
      <c r="S567" s="7">
        <f>IF($AB567="","",SUMIFS('Per Line'!$U$2:$U$4001,'Per Line'!$C$2:$C$4001,$B567,'Per Line'!$AL$2:$AL$4001,0,'Per Line'!$AM$2:$AM$4001,0))</f>
        <v/>
      </c>
      <c r="T567" s="7">
        <f>IF($AB567="","",S567*R567)</f>
        <v/>
      </c>
      <c r="U567">
        <f>IF($AB567="","",Settings!$C$6)</f>
        <v/>
      </c>
      <c r="V567" s="7">
        <f>IF($AB567="","",SUMIFS('Per Line'!$U$2:$U$4001,'Per Line'!$C$2:$C$4001,$B567,'Per Line'!$AL$2:$AL$4001,1,'Per Line'!$AM$2:$AM$4001,0))</f>
        <v/>
      </c>
      <c r="W567" s="7">
        <f>IF($AB567="","",V567*U567)</f>
        <v/>
      </c>
      <c r="X567" s="7">
        <f>IF($AB567="","",W567+T567)</f>
        <v/>
      </c>
      <c r="Y567" s="7">
        <f>IF($AB567="","",Z567-X567)</f>
        <v/>
      </c>
      <c r="Z567" s="7">
        <f>IF($AB567="","",S567+V567+Q567)</f>
        <v/>
      </c>
      <c r="AA567" s="7">
        <f>IF($AB567="","",Z567-X567-M567)</f>
        <v/>
      </c>
      <c r="AB567" s="13">
        <f>IF(ROWS($AB$2:$AB567)&lt;=MAX('Per Line'!$AK$2:$AK$4001),MATCH(ROWS($AB$2:$AB567),'Per Line'!$AK$2:$AK$4001,0),"")</f>
        <v/>
      </c>
      <c r="AC567" s="14">
        <f>IF($AB567="","",M567-L567*Z567/100)</f>
        <v/>
      </c>
    </row>
    <row r="568">
      <c r="A568" s="12" t="n"/>
      <c r="B568">
        <f>IF($AB568="","",INDEX('Per Line'!$C$2:$C$4001,$AB568)&amp;"")</f>
        <v/>
      </c>
      <c r="C568">
        <f>IF($AB568="","",INDEX('Per Line'!$D$2:$D$4001,$AB568)&amp;"")</f>
        <v/>
      </c>
      <c r="D568">
        <f>IF($AB568="","",INDEX('Per Line'!$B$2:$B$4001,$AB568)&amp;"")</f>
        <v/>
      </c>
      <c r="E568">
        <f>IF($AB568="","",INDEX('Per Line'!$A$2:$A$4001,$AB568))</f>
        <v/>
      </c>
      <c r="F568" s="11">
        <f>IF($AB568="","",INDEX('Per Line'!$E$2:$E$4001,$AB568))</f>
        <v/>
      </c>
      <c r="G568">
        <f>IF($AB568="","",INDEX('Per Line'!$F$2:$F$4001,$AB568)&amp;"")</f>
        <v/>
      </c>
      <c r="H568">
        <f>IF($AB568="","",INDEX('Per Line'!$H$2:$H$4001,$AB568)&amp;"")</f>
        <v/>
      </c>
      <c r="I568">
        <f>IF($AB568="","",INDEX('Per Line'!$I$2:$I$4001,$AB568)&amp;"")</f>
        <v/>
      </c>
      <c r="J568">
        <f>IF($AB568="","",INDEX('Per Line'!$J$2:$J$4001,$AB568)&amp;"")</f>
        <v/>
      </c>
      <c r="K568">
        <f>IF($AB568="","",INDEX('Per Line'!$K$2:$K$4001,$AB568)&amp;"")</f>
        <v/>
      </c>
      <c r="L568">
        <f>IF($AB568="","",INDEX('Per Line'!$L$2:$L$4001,$AB568))</f>
        <v/>
      </c>
      <c r="M568" s="7">
        <f>IF($AB568="","",IF(AND(ISNUMBER(O568),O568&gt;0,Z568&gt;O568),L568*O568/100+(Z568-O568),L568*Z568/100))</f>
        <v/>
      </c>
      <c r="N568">
        <f>IF($AB568="","",INDEX('Per Line'!$V$2:$V$4001,$AB568)&amp;"")</f>
        <v/>
      </c>
      <c r="O568">
        <f>IF($AB568="","",INDEX('Per Line'!$Z$2:$Z$4001,$AB568))</f>
        <v/>
      </c>
      <c r="P568">
        <f>IF($AB568="","",IF(AND(ISNUMBER(O568),O568&gt;0),Z568&gt;O568,FALSE))</f>
        <v/>
      </c>
      <c r="Q568" s="7">
        <f>IF($AB568="","",SUMIFS('Per Line'!$U$2:$U$4001,'Per Line'!$C$2:$C$4001,$B568,'Per Line'!$AM$2:$AM$4001,1))</f>
        <v/>
      </c>
      <c r="R568">
        <f>IF($AB568="","",Settings!$C$7)</f>
        <v/>
      </c>
      <c r="S568" s="7">
        <f>IF($AB568="","",SUMIFS('Per Line'!$U$2:$U$4001,'Per Line'!$C$2:$C$4001,$B568,'Per Line'!$AL$2:$AL$4001,0,'Per Line'!$AM$2:$AM$4001,0))</f>
        <v/>
      </c>
      <c r="T568" s="7">
        <f>IF($AB568="","",S568*R568)</f>
        <v/>
      </c>
      <c r="U568">
        <f>IF($AB568="","",Settings!$C$6)</f>
        <v/>
      </c>
      <c r="V568" s="7">
        <f>IF($AB568="","",SUMIFS('Per Line'!$U$2:$U$4001,'Per Line'!$C$2:$C$4001,$B568,'Per Line'!$AL$2:$AL$4001,1,'Per Line'!$AM$2:$AM$4001,0))</f>
        <v/>
      </c>
      <c r="W568" s="7">
        <f>IF($AB568="","",V568*U568)</f>
        <v/>
      </c>
      <c r="X568" s="7">
        <f>IF($AB568="","",W568+T568)</f>
        <v/>
      </c>
      <c r="Y568" s="7">
        <f>IF($AB568="","",Z568-X568)</f>
        <v/>
      </c>
      <c r="Z568" s="7">
        <f>IF($AB568="","",S568+V568+Q568)</f>
        <v/>
      </c>
      <c r="AA568" s="7">
        <f>IF($AB568="","",Z568-X568-M568)</f>
        <v/>
      </c>
      <c r="AB568" s="13">
        <f>IF(ROWS($AB$2:$AB568)&lt;=MAX('Per Line'!$AK$2:$AK$4001),MATCH(ROWS($AB$2:$AB568),'Per Line'!$AK$2:$AK$4001,0),"")</f>
        <v/>
      </c>
      <c r="AC568" s="14">
        <f>IF($AB568="","",M568-L568*Z568/100)</f>
        <v/>
      </c>
    </row>
    <row r="569">
      <c r="A569" s="12" t="n"/>
      <c r="B569">
        <f>IF($AB569="","",INDEX('Per Line'!$C$2:$C$4001,$AB569)&amp;"")</f>
        <v/>
      </c>
      <c r="C569">
        <f>IF($AB569="","",INDEX('Per Line'!$D$2:$D$4001,$AB569)&amp;"")</f>
        <v/>
      </c>
      <c r="D569">
        <f>IF($AB569="","",INDEX('Per Line'!$B$2:$B$4001,$AB569)&amp;"")</f>
        <v/>
      </c>
      <c r="E569">
        <f>IF($AB569="","",INDEX('Per Line'!$A$2:$A$4001,$AB569))</f>
        <v/>
      </c>
      <c r="F569" s="11">
        <f>IF($AB569="","",INDEX('Per Line'!$E$2:$E$4001,$AB569))</f>
        <v/>
      </c>
      <c r="G569">
        <f>IF($AB569="","",INDEX('Per Line'!$F$2:$F$4001,$AB569)&amp;"")</f>
        <v/>
      </c>
      <c r="H569">
        <f>IF($AB569="","",INDEX('Per Line'!$H$2:$H$4001,$AB569)&amp;"")</f>
        <v/>
      </c>
      <c r="I569">
        <f>IF($AB569="","",INDEX('Per Line'!$I$2:$I$4001,$AB569)&amp;"")</f>
        <v/>
      </c>
      <c r="J569">
        <f>IF($AB569="","",INDEX('Per Line'!$J$2:$J$4001,$AB569)&amp;"")</f>
        <v/>
      </c>
      <c r="K569">
        <f>IF($AB569="","",INDEX('Per Line'!$K$2:$K$4001,$AB569)&amp;"")</f>
        <v/>
      </c>
      <c r="L569">
        <f>IF($AB569="","",INDEX('Per Line'!$L$2:$L$4001,$AB569))</f>
        <v/>
      </c>
      <c r="M569" s="7">
        <f>IF($AB569="","",IF(AND(ISNUMBER(O569),O569&gt;0,Z569&gt;O569),L569*O569/100+(Z569-O569),L569*Z569/100))</f>
        <v/>
      </c>
      <c r="N569">
        <f>IF($AB569="","",INDEX('Per Line'!$V$2:$V$4001,$AB569)&amp;"")</f>
        <v/>
      </c>
      <c r="O569">
        <f>IF($AB569="","",INDEX('Per Line'!$Z$2:$Z$4001,$AB569))</f>
        <v/>
      </c>
      <c r="P569">
        <f>IF($AB569="","",IF(AND(ISNUMBER(O569),O569&gt;0),Z569&gt;O569,FALSE))</f>
        <v/>
      </c>
      <c r="Q569" s="7">
        <f>IF($AB569="","",SUMIFS('Per Line'!$U$2:$U$4001,'Per Line'!$C$2:$C$4001,$B569,'Per Line'!$AM$2:$AM$4001,1))</f>
        <v/>
      </c>
      <c r="R569">
        <f>IF($AB569="","",Settings!$C$7)</f>
        <v/>
      </c>
      <c r="S569" s="7">
        <f>IF($AB569="","",SUMIFS('Per Line'!$U$2:$U$4001,'Per Line'!$C$2:$C$4001,$B569,'Per Line'!$AL$2:$AL$4001,0,'Per Line'!$AM$2:$AM$4001,0))</f>
        <v/>
      </c>
      <c r="T569" s="7">
        <f>IF($AB569="","",S569*R569)</f>
        <v/>
      </c>
      <c r="U569">
        <f>IF($AB569="","",Settings!$C$6)</f>
        <v/>
      </c>
      <c r="V569" s="7">
        <f>IF($AB569="","",SUMIFS('Per Line'!$U$2:$U$4001,'Per Line'!$C$2:$C$4001,$B569,'Per Line'!$AL$2:$AL$4001,1,'Per Line'!$AM$2:$AM$4001,0))</f>
        <v/>
      </c>
      <c r="W569" s="7">
        <f>IF($AB569="","",V569*U569)</f>
        <v/>
      </c>
      <c r="X569" s="7">
        <f>IF($AB569="","",W569+T569)</f>
        <v/>
      </c>
      <c r="Y569" s="7">
        <f>IF($AB569="","",Z569-X569)</f>
        <v/>
      </c>
      <c r="Z569" s="7">
        <f>IF($AB569="","",S569+V569+Q569)</f>
        <v/>
      </c>
      <c r="AA569" s="7">
        <f>IF($AB569="","",Z569-X569-M569)</f>
        <v/>
      </c>
      <c r="AB569" s="13">
        <f>IF(ROWS($AB$2:$AB569)&lt;=MAX('Per Line'!$AK$2:$AK$4001),MATCH(ROWS($AB$2:$AB569),'Per Line'!$AK$2:$AK$4001,0),"")</f>
        <v/>
      </c>
      <c r="AC569" s="14">
        <f>IF($AB569="","",M569-L569*Z569/100)</f>
        <v/>
      </c>
    </row>
    <row r="570">
      <c r="A570" s="12" t="n"/>
      <c r="B570">
        <f>IF($AB570="","",INDEX('Per Line'!$C$2:$C$4001,$AB570)&amp;"")</f>
        <v/>
      </c>
      <c r="C570">
        <f>IF($AB570="","",INDEX('Per Line'!$D$2:$D$4001,$AB570)&amp;"")</f>
        <v/>
      </c>
      <c r="D570">
        <f>IF($AB570="","",INDEX('Per Line'!$B$2:$B$4001,$AB570)&amp;"")</f>
        <v/>
      </c>
      <c r="E570">
        <f>IF($AB570="","",INDEX('Per Line'!$A$2:$A$4001,$AB570))</f>
        <v/>
      </c>
      <c r="F570" s="11">
        <f>IF($AB570="","",INDEX('Per Line'!$E$2:$E$4001,$AB570))</f>
        <v/>
      </c>
      <c r="G570">
        <f>IF($AB570="","",INDEX('Per Line'!$F$2:$F$4001,$AB570)&amp;"")</f>
        <v/>
      </c>
      <c r="H570">
        <f>IF($AB570="","",INDEX('Per Line'!$H$2:$H$4001,$AB570)&amp;"")</f>
        <v/>
      </c>
      <c r="I570">
        <f>IF($AB570="","",INDEX('Per Line'!$I$2:$I$4001,$AB570)&amp;"")</f>
        <v/>
      </c>
      <c r="J570">
        <f>IF($AB570="","",INDEX('Per Line'!$J$2:$J$4001,$AB570)&amp;"")</f>
        <v/>
      </c>
      <c r="K570">
        <f>IF($AB570="","",INDEX('Per Line'!$K$2:$K$4001,$AB570)&amp;"")</f>
        <v/>
      </c>
      <c r="L570">
        <f>IF($AB570="","",INDEX('Per Line'!$L$2:$L$4001,$AB570))</f>
        <v/>
      </c>
      <c r="M570" s="7">
        <f>IF($AB570="","",IF(AND(ISNUMBER(O570),O570&gt;0,Z570&gt;O570),L570*O570/100+(Z570-O570),L570*Z570/100))</f>
        <v/>
      </c>
      <c r="N570">
        <f>IF($AB570="","",INDEX('Per Line'!$V$2:$V$4001,$AB570)&amp;"")</f>
        <v/>
      </c>
      <c r="O570">
        <f>IF($AB570="","",INDEX('Per Line'!$Z$2:$Z$4001,$AB570))</f>
        <v/>
      </c>
      <c r="P570">
        <f>IF($AB570="","",IF(AND(ISNUMBER(O570),O570&gt;0),Z570&gt;O570,FALSE))</f>
        <v/>
      </c>
      <c r="Q570" s="7">
        <f>IF($AB570="","",SUMIFS('Per Line'!$U$2:$U$4001,'Per Line'!$C$2:$C$4001,$B570,'Per Line'!$AM$2:$AM$4001,1))</f>
        <v/>
      </c>
      <c r="R570">
        <f>IF($AB570="","",Settings!$C$7)</f>
        <v/>
      </c>
      <c r="S570" s="7">
        <f>IF($AB570="","",SUMIFS('Per Line'!$U$2:$U$4001,'Per Line'!$C$2:$C$4001,$B570,'Per Line'!$AL$2:$AL$4001,0,'Per Line'!$AM$2:$AM$4001,0))</f>
        <v/>
      </c>
      <c r="T570" s="7">
        <f>IF($AB570="","",S570*R570)</f>
        <v/>
      </c>
      <c r="U570">
        <f>IF($AB570="","",Settings!$C$6)</f>
        <v/>
      </c>
      <c r="V570" s="7">
        <f>IF($AB570="","",SUMIFS('Per Line'!$U$2:$U$4001,'Per Line'!$C$2:$C$4001,$B570,'Per Line'!$AL$2:$AL$4001,1,'Per Line'!$AM$2:$AM$4001,0))</f>
        <v/>
      </c>
      <c r="W570" s="7">
        <f>IF($AB570="","",V570*U570)</f>
        <v/>
      </c>
      <c r="X570" s="7">
        <f>IF($AB570="","",W570+T570)</f>
        <v/>
      </c>
      <c r="Y570" s="7">
        <f>IF($AB570="","",Z570-X570)</f>
        <v/>
      </c>
      <c r="Z570" s="7">
        <f>IF($AB570="","",S570+V570+Q570)</f>
        <v/>
      </c>
      <c r="AA570" s="7">
        <f>IF($AB570="","",Z570-X570-M570)</f>
        <v/>
      </c>
      <c r="AB570" s="13">
        <f>IF(ROWS($AB$2:$AB570)&lt;=MAX('Per Line'!$AK$2:$AK$4001),MATCH(ROWS($AB$2:$AB570),'Per Line'!$AK$2:$AK$4001,0),"")</f>
        <v/>
      </c>
      <c r="AC570" s="14">
        <f>IF($AB570="","",M570-L570*Z570/100)</f>
        <v/>
      </c>
    </row>
    <row r="571">
      <c r="A571" s="12" t="n"/>
      <c r="B571">
        <f>IF($AB571="","",INDEX('Per Line'!$C$2:$C$4001,$AB571)&amp;"")</f>
        <v/>
      </c>
      <c r="C571">
        <f>IF($AB571="","",INDEX('Per Line'!$D$2:$D$4001,$AB571)&amp;"")</f>
        <v/>
      </c>
      <c r="D571">
        <f>IF($AB571="","",INDEX('Per Line'!$B$2:$B$4001,$AB571)&amp;"")</f>
        <v/>
      </c>
      <c r="E571">
        <f>IF($AB571="","",INDEX('Per Line'!$A$2:$A$4001,$AB571))</f>
        <v/>
      </c>
      <c r="F571" s="11">
        <f>IF($AB571="","",INDEX('Per Line'!$E$2:$E$4001,$AB571))</f>
        <v/>
      </c>
      <c r="G571">
        <f>IF($AB571="","",INDEX('Per Line'!$F$2:$F$4001,$AB571)&amp;"")</f>
        <v/>
      </c>
      <c r="H571">
        <f>IF($AB571="","",INDEX('Per Line'!$H$2:$H$4001,$AB571)&amp;"")</f>
        <v/>
      </c>
      <c r="I571">
        <f>IF($AB571="","",INDEX('Per Line'!$I$2:$I$4001,$AB571)&amp;"")</f>
        <v/>
      </c>
      <c r="J571">
        <f>IF($AB571="","",INDEX('Per Line'!$J$2:$J$4001,$AB571)&amp;"")</f>
        <v/>
      </c>
      <c r="K571">
        <f>IF($AB571="","",INDEX('Per Line'!$K$2:$K$4001,$AB571)&amp;"")</f>
        <v/>
      </c>
      <c r="L571">
        <f>IF($AB571="","",INDEX('Per Line'!$L$2:$L$4001,$AB571))</f>
        <v/>
      </c>
      <c r="M571" s="7">
        <f>IF($AB571="","",IF(AND(ISNUMBER(O571),O571&gt;0,Z571&gt;O571),L571*O571/100+(Z571-O571),L571*Z571/100))</f>
        <v/>
      </c>
      <c r="N571">
        <f>IF($AB571="","",INDEX('Per Line'!$V$2:$V$4001,$AB571)&amp;"")</f>
        <v/>
      </c>
      <c r="O571">
        <f>IF($AB571="","",INDEX('Per Line'!$Z$2:$Z$4001,$AB571))</f>
        <v/>
      </c>
      <c r="P571">
        <f>IF($AB571="","",IF(AND(ISNUMBER(O571),O571&gt;0),Z571&gt;O571,FALSE))</f>
        <v/>
      </c>
      <c r="Q571" s="7">
        <f>IF($AB571="","",SUMIFS('Per Line'!$U$2:$U$4001,'Per Line'!$C$2:$C$4001,$B571,'Per Line'!$AM$2:$AM$4001,1))</f>
        <v/>
      </c>
      <c r="R571">
        <f>IF($AB571="","",Settings!$C$7)</f>
        <v/>
      </c>
      <c r="S571" s="7">
        <f>IF($AB571="","",SUMIFS('Per Line'!$U$2:$U$4001,'Per Line'!$C$2:$C$4001,$B571,'Per Line'!$AL$2:$AL$4001,0,'Per Line'!$AM$2:$AM$4001,0))</f>
        <v/>
      </c>
      <c r="T571" s="7">
        <f>IF($AB571="","",S571*R571)</f>
        <v/>
      </c>
      <c r="U571">
        <f>IF($AB571="","",Settings!$C$6)</f>
        <v/>
      </c>
      <c r="V571" s="7">
        <f>IF($AB571="","",SUMIFS('Per Line'!$U$2:$U$4001,'Per Line'!$C$2:$C$4001,$B571,'Per Line'!$AL$2:$AL$4001,1,'Per Line'!$AM$2:$AM$4001,0))</f>
        <v/>
      </c>
      <c r="W571" s="7">
        <f>IF($AB571="","",V571*U571)</f>
        <v/>
      </c>
      <c r="X571" s="7">
        <f>IF($AB571="","",W571+T571)</f>
        <v/>
      </c>
      <c r="Y571" s="7">
        <f>IF($AB571="","",Z571-X571)</f>
        <v/>
      </c>
      <c r="Z571" s="7">
        <f>IF($AB571="","",S571+V571+Q571)</f>
        <v/>
      </c>
      <c r="AA571" s="7">
        <f>IF($AB571="","",Z571-X571-M571)</f>
        <v/>
      </c>
      <c r="AB571" s="13">
        <f>IF(ROWS($AB$2:$AB571)&lt;=MAX('Per Line'!$AK$2:$AK$4001),MATCH(ROWS($AB$2:$AB571),'Per Line'!$AK$2:$AK$4001,0),"")</f>
        <v/>
      </c>
      <c r="AC571" s="14">
        <f>IF($AB571="","",M571-L571*Z571/100)</f>
        <v/>
      </c>
    </row>
    <row r="572">
      <c r="A572" s="12" t="n"/>
      <c r="B572">
        <f>IF($AB572="","",INDEX('Per Line'!$C$2:$C$4001,$AB572)&amp;"")</f>
        <v/>
      </c>
      <c r="C572">
        <f>IF($AB572="","",INDEX('Per Line'!$D$2:$D$4001,$AB572)&amp;"")</f>
        <v/>
      </c>
      <c r="D572">
        <f>IF($AB572="","",INDEX('Per Line'!$B$2:$B$4001,$AB572)&amp;"")</f>
        <v/>
      </c>
      <c r="E572">
        <f>IF($AB572="","",INDEX('Per Line'!$A$2:$A$4001,$AB572))</f>
        <v/>
      </c>
      <c r="F572" s="11">
        <f>IF($AB572="","",INDEX('Per Line'!$E$2:$E$4001,$AB572))</f>
        <v/>
      </c>
      <c r="G572">
        <f>IF($AB572="","",INDEX('Per Line'!$F$2:$F$4001,$AB572)&amp;"")</f>
        <v/>
      </c>
      <c r="H572">
        <f>IF($AB572="","",INDEX('Per Line'!$H$2:$H$4001,$AB572)&amp;"")</f>
        <v/>
      </c>
      <c r="I572">
        <f>IF($AB572="","",INDEX('Per Line'!$I$2:$I$4001,$AB572)&amp;"")</f>
        <v/>
      </c>
      <c r="J572">
        <f>IF($AB572="","",INDEX('Per Line'!$J$2:$J$4001,$AB572)&amp;"")</f>
        <v/>
      </c>
      <c r="K572">
        <f>IF($AB572="","",INDEX('Per Line'!$K$2:$K$4001,$AB572)&amp;"")</f>
        <v/>
      </c>
      <c r="L572">
        <f>IF($AB572="","",INDEX('Per Line'!$L$2:$L$4001,$AB572))</f>
        <v/>
      </c>
      <c r="M572" s="7">
        <f>IF($AB572="","",IF(AND(ISNUMBER(O572),O572&gt;0,Z572&gt;O572),L572*O572/100+(Z572-O572),L572*Z572/100))</f>
        <v/>
      </c>
      <c r="N572">
        <f>IF($AB572="","",INDEX('Per Line'!$V$2:$V$4001,$AB572)&amp;"")</f>
        <v/>
      </c>
      <c r="O572">
        <f>IF($AB572="","",INDEX('Per Line'!$Z$2:$Z$4001,$AB572))</f>
        <v/>
      </c>
      <c r="P572">
        <f>IF($AB572="","",IF(AND(ISNUMBER(O572),O572&gt;0),Z572&gt;O572,FALSE))</f>
        <v/>
      </c>
      <c r="Q572" s="7">
        <f>IF($AB572="","",SUMIFS('Per Line'!$U$2:$U$4001,'Per Line'!$C$2:$C$4001,$B572,'Per Line'!$AM$2:$AM$4001,1))</f>
        <v/>
      </c>
      <c r="R572">
        <f>IF($AB572="","",Settings!$C$7)</f>
        <v/>
      </c>
      <c r="S572" s="7">
        <f>IF($AB572="","",SUMIFS('Per Line'!$U$2:$U$4001,'Per Line'!$C$2:$C$4001,$B572,'Per Line'!$AL$2:$AL$4001,0,'Per Line'!$AM$2:$AM$4001,0))</f>
        <v/>
      </c>
      <c r="T572" s="7">
        <f>IF($AB572="","",S572*R572)</f>
        <v/>
      </c>
      <c r="U572">
        <f>IF($AB572="","",Settings!$C$6)</f>
        <v/>
      </c>
      <c r="V572" s="7">
        <f>IF($AB572="","",SUMIFS('Per Line'!$U$2:$U$4001,'Per Line'!$C$2:$C$4001,$B572,'Per Line'!$AL$2:$AL$4001,1,'Per Line'!$AM$2:$AM$4001,0))</f>
        <v/>
      </c>
      <c r="W572" s="7">
        <f>IF($AB572="","",V572*U572)</f>
        <v/>
      </c>
      <c r="X572" s="7">
        <f>IF($AB572="","",W572+T572)</f>
        <v/>
      </c>
      <c r="Y572" s="7">
        <f>IF($AB572="","",Z572-X572)</f>
        <v/>
      </c>
      <c r="Z572" s="7">
        <f>IF($AB572="","",S572+V572+Q572)</f>
        <v/>
      </c>
      <c r="AA572" s="7">
        <f>IF($AB572="","",Z572-X572-M572)</f>
        <v/>
      </c>
      <c r="AB572" s="13">
        <f>IF(ROWS($AB$2:$AB572)&lt;=MAX('Per Line'!$AK$2:$AK$4001),MATCH(ROWS($AB$2:$AB572),'Per Line'!$AK$2:$AK$4001,0),"")</f>
        <v/>
      </c>
      <c r="AC572" s="14">
        <f>IF($AB572="","",M572-L572*Z572/100)</f>
        <v/>
      </c>
    </row>
    <row r="573">
      <c r="A573" s="12" t="n"/>
      <c r="B573">
        <f>IF($AB573="","",INDEX('Per Line'!$C$2:$C$4001,$AB573)&amp;"")</f>
        <v/>
      </c>
      <c r="C573">
        <f>IF($AB573="","",INDEX('Per Line'!$D$2:$D$4001,$AB573)&amp;"")</f>
        <v/>
      </c>
      <c r="D573">
        <f>IF($AB573="","",INDEX('Per Line'!$B$2:$B$4001,$AB573)&amp;"")</f>
        <v/>
      </c>
      <c r="E573">
        <f>IF($AB573="","",INDEX('Per Line'!$A$2:$A$4001,$AB573))</f>
        <v/>
      </c>
      <c r="F573" s="11">
        <f>IF($AB573="","",INDEX('Per Line'!$E$2:$E$4001,$AB573))</f>
        <v/>
      </c>
      <c r="G573">
        <f>IF($AB573="","",INDEX('Per Line'!$F$2:$F$4001,$AB573)&amp;"")</f>
        <v/>
      </c>
      <c r="H573">
        <f>IF($AB573="","",INDEX('Per Line'!$H$2:$H$4001,$AB573)&amp;"")</f>
        <v/>
      </c>
      <c r="I573">
        <f>IF($AB573="","",INDEX('Per Line'!$I$2:$I$4001,$AB573)&amp;"")</f>
        <v/>
      </c>
      <c r="J573">
        <f>IF($AB573="","",INDEX('Per Line'!$J$2:$J$4001,$AB573)&amp;"")</f>
        <v/>
      </c>
      <c r="K573">
        <f>IF($AB573="","",INDEX('Per Line'!$K$2:$K$4001,$AB573)&amp;"")</f>
        <v/>
      </c>
      <c r="L573">
        <f>IF($AB573="","",INDEX('Per Line'!$L$2:$L$4001,$AB573))</f>
        <v/>
      </c>
      <c r="M573" s="7">
        <f>IF($AB573="","",IF(AND(ISNUMBER(O573),O573&gt;0,Z573&gt;O573),L573*O573/100+(Z573-O573),L573*Z573/100))</f>
        <v/>
      </c>
      <c r="N573">
        <f>IF($AB573="","",INDEX('Per Line'!$V$2:$V$4001,$AB573)&amp;"")</f>
        <v/>
      </c>
      <c r="O573">
        <f>IF($AB573="","",INDEX('Per Line'!$Z$2:$Z$4001,$AB573))</f>
        <v/>
      </c>
      <c r="P573">
        <f>IF($AB573="","",IF(AND(ISNUMBER(O573),O573&gt;0),Z573&gt;O573,FALSE))</f>
        <v/>
      </c>
      <c r="Q573" s="7">
        <f>IF($AB573="","",SUMIFS('Per Line'!$U$2:$U$4001,'Per Line'!$C$2:$C$4001,$B573,'Per Line'!$AM$2:$AM$4001,1))</f>
        <v/>
      </c>
      <c r="R573">
        <f>IF($AB573="","",Settings!$C$7)</f>
        <v/>
      </c>
      <c r="S573" s="7">
        <f>IF($AB573="","",SUMIFS('Per Line'!$U$2:$U$4001,'Per Line'!$C$2:$C$4001,$B573,'Per Line'!$AL$2:$AL$4001,0,'Per Line'!$AM$2:$AM$4001,0))</f>
        <v/>
      </c>
      <c r="T573" s="7">
        <f>IF($AB573="","",S573*R573)</f>
        <v/>
      </c>
      <c r="U573">
        <f>IF($AB573="","",Settings!$C$6)</f>
        <v/>
      </c>
      <c r="V573" s="7">
        <f>IF($AB573="","",SUMIFS('Per Line'!$U$2:$U$4001,'Per Line'!$C$2:$C$4001,$B573,'Per Line'!$AL$2:$AL$4001,1,'Per Line'!$AM$2:$AM$4001,0))</f>
        <v/>
      </c>
      <c r="W573" s="7">
        <f>IF($AB573="","",V573*U573)</f>
        <v/>
      </c>
      <c r="X573" s="7">
        <f>IF($AB573="","",W573+T573)</f>
        <v/>
      </c>
      <c r="Y573" s="7">
        <f>IF($AB573="","",Z573-X573)</f>
        <v/>
      </c>
      <c r="Z573" s="7">
        <f>IF($AB573="","",S573+V573+Q573)</f>
        <v/>
      </c>
      <c r="AA573" s="7">
        <f>IF($AB573="","",Z573-X573-M573)</f>
        <v/>
      </c>
      <c r="AB573" s="13">
        <f>IF(ROWS($AB$2:$AB573)&lt;=MAX('Per Line'!$AK$2:$AK$4001),MATCH(ROWS($AB$2:$AB573),'Per Line'!$AK$2:$AK$4001,0),"")</f>
        <v/>
      </c>
      <c r="AC573" s="14">
        <f>IF($AB573="","",M573-L573*Z573/100)</f>
        <v/>
      </c>
    </row>
    <row r="574">
      <c r="A574" s="12" t="n"/>
      <c r="B574">
        <f>IF($AB574="","",INDEX('Per Line'!$C$2:$C$4001,$AB574)&amp;"")</f>
        <v/>
      </c>
      <c r="C574">
        <f>IF($AB574="","",INDEX('Per Line'!$D$2:$D$4001,$AB574)&amp;"")</f>
        <v/>
      </c>
      <c r="D574">
        <f>IF($AB574="","",INDEX('Per Line'!$B$2:$B$4001,$AB574)&amp;"")</f>
        <v/>
      </c>
      <c r="E574">
        <f>IF($AB574="","",INDEX('Per Line'!$A$2:$A$4001,$AB574))</f>
        <v/>
      </c>
      <c r="F574" s="11">
        <f>IF($AB574="","",INDEX('Per Line'!$E$2:$E$4001,$AB574))</f>
        <v/>
      </c>
      <c r="G574">
        <f>IF($AB574="","",INDEX('Per Line'!$F$2:$F$4001,$AB574)&amp;"")</f>
        <v/>
      </c>
      <c r="H574">
        <f>IF($AB574="","",INDEX('Per Line'!$H$2:$H$4001,$AB574)&amp;"")</f>
        <v/>
      </c>
      <c r="I574">
        <f>IF($AB574="","",INDEX('Per Line'!$I$2:$I$4001,$AB574)&amp;"")</f>
        <v/>
      </c>
      <c r="J574">
        <f>IF($AB574="","",INDEX('Per Line'!$J$2:$J$4001,$AB574)&amp;"")</f>
        <v/>
      </c>
      <c r="K574">
        <f>IF($AB574="","",INDEX('Per Line'!$K$2:$K$4001,$AB574)&amp;"")</f>
        <v/>
      </c>
      <c r="L574">
        <f>IF($AB574="","",INDEX('Per Line'!$L$2:$L$4001,$AB574))</f>
        <v/>
      </c>
      <c r="M574" s="7">
        <f>IF($AB574="","",IF(AND(ISNUMBER(O574),O574&gt;0,Z574&gt;O574),L574*O574/100+(Z574-O574),L574*Z574/100))</f>
        <v/>
      </c>
      <c r="N574">
        <f>IF($AB574="","",INDEX('Per Line'!$V$2:$V$4001,$AB574)&amp;"")</f>
        <v/>
      </c>
      <c r="O574">
        <f>IF($AB574="","",INDEX('Per Line'!$Z$2:$Z$4001,$AB574))</f>
        <v/>
      </c>
      <c r="P574">
        <f>IF($AB574="","",IF(AND(ISNUMBER(O574),O574&gt;0),Z574&gt;O574,FALSE))</f>
        <v/>
      </c>
      <c r="Q574" s="7">
        <f>IF($AB574="","",SUMIFS('Per Line'!$U$2:$U$4001,'Per Line'!$C$2:$C$4001,$B574,'Per Line'!$AM$2:$AM$4001,1))</f>
        <v/>
      </c>
      <c r="R574">
        <f>IF($AB574="","",Settings!$C$7)</f>
        <v/>
      </c>
      <c r="S574" s="7">
        <f>IF($AB574="","",SUMIFS('Per Line'!$U$2:$U$4001,'Per Line'!$C$2:$C$4001,$B574,'Per Line'!$AL$2:$AL$4001,0,'Per Line'!$AM$2:$AM$4001,0))</f>
        <v/>
      </c>
      <c r="T574" s="7">
        <f>IF($AB574="","",S574*R574)</f>
        <v/>
      </c>
      <c r="U574">
        <f>IF($AB574="","",Settings!$C$6)</f>
        <v/>
      </c>
      <c r="V574" s="7">
        <f>IF($AB574="","",SUMIFS('Per Line'!$U$2:$U$4001,'Per Line'!$C$2:$C$4001,$B574,'Per Line'!$AL$2:$AL$4001,1,'Per Line'!$AM$2:$AM$4001,0))</f>
        <v/>
      </c>
      <c r="W574" s="7">
        <f>IF($AB574="","",V574*U574)</f>
        <v/>
      </c>
      <c r="X574" s="7">
        <f>IF($AB574="","",W574+T574)</f>
        <v/>
      </c>
      <c r="Y574" s="7">
        <f>IF($AB574="","",Z574-X574)</f>
        <v/>
      </c>
      <c r="Z574" s="7">
        <f>IF($AB574="","",S574+V574+Q574)</f>
        <v/>
      </c>
      <c r="AA574" s="7">
        <f>IF($AB574="","",Z574-X574-M574)</f>
        <v/>
      </c>
      <c r="AB574" s="13">
        <f>IF(ROWS($AB$2:$AB574)&lt;=MAX('Per Line'!$AK$2:$AK$4001),MATCH(ROWS($AB$2:$AB574),'Per Line'!$AK$2:$AK$4001,0),"")</f>
        <v/>
      </c>
      <c r="AC574" s="14">
        <f>IF($AB574="","",M574-L574*Z574/100)</f>
        <v/>
      </c>
    </row>
    <row r="575">
      <c r="A575" s="12" t="n"/>
      <c r="B575">
        <f>IF($AB575="","",INDEX('Per Line'!$C$2:$C$4001,$AB575)&amp;"")</f>
        <v/>
      </c>
      <c r="C575">
        <f>IF($AB575="","",INDEX('Per Line'!$D$2:$D$4001,$AB575)&amp;"")</f>
        <v/>
      </c>
      <c r="D575">
        <f>IF($AB575="","",INDEX('Per Line'!$B$2:$B$4001,$AB575)&amp;"")</f>
        <v/>
      </c>
      <c r="E575">
        <f>IF($AB575="","",INDEX('Per Line'!$A$2:$A$4001,$AB575))</f>
        <v/>
      </c>
      <c r="F575" s="11">
        <f>IF($AB575="","",INDEX('Per Line'!$E$2:$E$4001,$AB575))</f>
        <v/>
      </c>
      <c r="G575">
        <f>IF($AB575="","",INDEX('Per Line'!$F$2:$F$4001,$AB575)&amp;"")</f>
        <v/>
      </c>
      <c r="H575">
        <f>IF($AB575="","",INDEX('Per Line'!$H$2:$H$4001,$AB575)&amp;"")</f>
        <v/>
      </c>
      <c r="I575">
        <f>IF($AB575="","",INDEX('Per Line'!$I$2:$I$4001,$AB575)&amp;"")</f>
        <v/>
      </c>
      <c r="J575">
        <f>IF($AB575="","",INDEX('Per Line'!$J$2:$J$4001,$AB575)&amp;"")</f>
        <v/>
      </c>
      <c r="K575">
        <f>IF($AB575="","",INDEX('Per Line'!$K$2:$K$4001,$AB575)&amp;"")</f>
        <v/>
      </c>
      <c r="L575">
        <f>IF($AB575="","",INDEX('Per Line'!$L$2:$L$4001,$AB575))</f>
        <v/>
      </c>
      <c r="M575" s="7">
        <f>IF($AB575="","",IF(AND(ISNUMBER(O575),O575&gt;0,Z575&gt;O575),L575*O575/100+(Z575-O575),L575*Z575/100))</f>
        <v/>
      </c>
      <c r="N575">
        <f>IF($AB575="","",INDEX('Per Line'!$V$2:$V$4001,$AB575)&amp;"")</f>
        <v/>
      </c>
      <c r="O575">
        <f>IF($AB575="","",INDEX('Per Line'!$Z$2:$Z$4001,$AB575))</f>
        <v/>
      </c>
      <c r="P575">
        <f>IF($AB575="","",IF(AND(ISNUMBER(O575),O575&gt;0),Z575&gt;O575,FALSE))</f>
        <v/>
      </c>
      <c r="Q575" s="7">
        <f>IF($AB575="","",SUMIFS('Per Line'!$U$2:$U$4001,'Per Line'!$C$2:$C$4001,$B575,'Per Line'!$AM$2:$AM$4001,1))</f>
        <v/>
      </c>
      <c r="R575">
        <f>IF($AB575="","",Settings!$C$7)</f>
        <v/>
      </c>
      <c r="S575" s="7">
        <f>IF($AB575="","",SUMIFS('Per Line'!$U$2:$U$4001,'Per Line'!$C$2:$C$4001,$B575,'Per Line'!$AL$2:$AL$4001,0,'Per Line'!$AM$2:$AM$4001,0))</f>
        <v/>
      </c>
      <c r="T575" s="7">
        <f>IF($AB575="","",S575*R575)</f>
        <v/>
      </c>
      <c r="U575">
        <f>IF($AB575="","",Settings!$C$6)</f>
        <v/>
      </c>
      <c r="V575" s="7">
        <f>IF($AB575="","",SUMIFS('Per Line'!$U$2:$U$4001,'Per Line'!$C$2:$C$4001,$B575,'Per Line'!$AL$2:$AL$4001,1,'Per Line'!$AM$2:$AM$4001,0))</f>
        <v/>
      </c>
      <c r="W575" s="7">
        <f>IF($AB575="","",V575*U575)</f>
        <v/>
      </c>
      <c r="X575" s="7">
        <f>IF($AB575="","",W575+T575)</f>
        <v/>
      </c>
      <c r="Y575" s="7">
        <f>IF($AB575="","",Z575-X575)</f>
        <v/>
      </c>
      <c r="Z575" s="7">
        <f>IF($AB575="","",S575+V575+Q575)</f>
        <v/>
      </c>
      <c r="AA575" s="7">
        <f>IF($AB575="","",Z575-X575-M575)</f>
        <v/>
      </c>
      <c r="AB575" s="13">
        <f>IF(ROWS($AB$2:$AB575)&lt;=MAX('Per Line'!$AK$2:$AK$4001),MATCH(ROWS($AB$2:$AB575),'Per Line'!$AK$2:$AK$4001,0),"")</f>
        <v/>
      </c>
      <c r="AC575" s="14">
        <f>IF($AB575="","",M575-L575*Z575/100)</f>
        <v/>
      </c>
    </row>
    <row r="576">
      <c r="A576" s="12" t="n"/>
      <c r="B576">
        <f>IF($AB576="","",INDEX('Per Line'!$C$2:$C$4001,$AB576)&amp;"")</f>
        <v/>
      </c>
      <c r="C576">
        <f>IF($AB576="","",INDEX('Per Line'!$D$2:$D$4001,$AB576)&amp;"")</f>
        <v/>
      </c>
      <c r="D576">
        <f>IF($AB576="","",INDEX('Per Line'!$B$2:$B$4001,$AB576)&amp;"")</f>
        <v/>
      </c>
      <c r="E576">
        <f>IF($AB576="","",INDEX('Per Line'!$A$2:$A$4001,$AB576))</f>
        <v/>
      </c>
      <c r="F576" s="11">
        <f>IF($AB576="","",INDEX('Per Line'!$E$2:$E$4001,$AB576))</f>
        <v/>
      </c>
      <c r="G576">
        <f>IF($AB576="","",INDEX('Per Line'!$F$2:$F$4001,$AB576)&amp;"")</f>
        <v/>
      </c>
      <c r="H576">
        <f>IF($AB576="","",INDEX('Per Line'!$H$2:$H$4001,$AB576)&amp;"")</f>
        <v/>
      </c>
      <c r="I576">
        <f>IF($AB576="","",INDEX('Per Line'!$I$2:$I$4001,$AB576)&amp;"")</f>
        <v/>
      </c>
      <c r="J576">
        <f>IF($AB576="","",INDEX('Per Line'!$J$2:$J$4001,$AB576)&amp;"")</f>
        <v/>
      </c>
      <c r="K576">
        <f>IF($AB576="","",INDEX('Per Line'!$K$2:$K$4001,$AB576)&amp;"")</f>
        <v/>
      </c>
      <c r="L576">
        <f>IF($AB576="","",INDEX('Per Line'!$L$2:$L$4001,$AB576))</f>
        <v/>
      </c>
      <c r="M576" s="7">
        <f>IF($AB576="","",IF(AND(ISNUMBER(O576),O576&gt;0,Z576&gt;O576),L576*O576/100+(Z576-O576),L576*Z576/100))</f>
        <v/>
      </c>
      <c r="N576">
        <f>IF($AB576="","",INDEX('Per Line'!$V$2:$V$4001,$AB576)&amp;"")</f>
        <v/>
      </c>
      <c r="O576">
        <f>IF($AB576="","",INDEX('Per Line'!$Z$2:$Z$4001,$AB576))</f>
        <v/>
      </c>
      <c r="P576">
        <f>IF($AB576="","",IF(AND(ISNUMBER(O576),O576&gt;0),Z576&gt;O576,FALSE))</f>
        <v/>
      </c>
      <c r="Q576" s="7">
        <f>IF($AB576="","",SUMIFS('Per Line'!$U$2:$U$4001,'Per Line'!$C$2:$C$4001,$B576,'Per Line'!$AM$2:$AM$4001,1))</f>
        <v/>
      </c>
      <c r="R576">
        <f>IF($AB576="","",Settings!$C$7)</f>
        <v/>
      </c>
      <c r="S576" s="7">
        <f>IF($AB576="","",SUMIFS('Per Line'!$U$2:$U$4001,'Per Line'!$C$2:$C$4001,$B576,'Per Line'!$AL$2:$AL$4001,0,'Per Line'!$AM$2:$AM$4001,0))</f>
        <v/>
      </c>
      <c r="T576" s="7">
        <f>IF($AB576="","",S576*R576)</f>
        <v/>
      </c>
      <c r="U576">
        <f>IF($AB576="","",Settings!$C$6)</f>
        <v/>
      </c>
      <c r="V576" s="7">
        <f>IF($AB576="","",SUMIFS('Per Line'!$U$2:$U$4001,'Per Line'!$C$2:$C$4001,$B576,'Per Line'!$AL$2:$AL$4001,1,'Per Line'!$AM$2:$AM$4001,0))</f>
        <v/>
      </c>
      <c r="W576" s="7">
        <f>IF($AB576="","",V576*U576)</f>
        <v/>
      </c>
      <c r="X576" s="7">
        <f>IF($AB576="","",W576+T576)</f>
        <v/>
      </c>
      <c r="Y576" s="7">
        <f>IF($AB576="","",Z576-X576)</f>
        <v/>
      </c>
      <c r="Z576" s="7">
        <f>IF($AB576="","",S576+V576+Q576)</f>
        <v/>
      </c>
      <c r="AA576" s="7">
        <f>IF($AB576="","",Z576-X576-M576)</f>
        <v/>
      </c>
      <c r="AB576" s="13">
        <f>IF(ROWS($AB$2:$AB576)&lt;=MAX('Per Line'!$AK$2:$AK$4001),MATCH(ROWS($AB$2:$AB576),'Per Line'!$AK$2:$AK$4001,0),"")</f>
        <v/>
      </c>
      <c r="AC576" s="14">
        <f>IF($AB576="","",M576-L576*Z576/100)</f>
        <v/>
      </c>
    </row>
    <row r="577">
      <c r="A577" s="12" t="n"/>
      <c r="B577">
        <f>IF($AB577="","",INDEX('Per Line'!$C$2:$C$4001,$AB577)&amp;"")</f>
        <v/>
      </c>
      <c r="C577">
        <f>IF($AB577="","",INDEX('Per Line'!$D$2:$D$4001,$AB577)&amp;"")</f>
        <v/>
      </c>
      <c r="D577">
        <f>IF($AB577="","",INDEX('Per Line'!$B$2:$B$4001,$AB577)&amp;"")</f>
        <v/>
      </c>
      <c r="E577">
        <f>IF($AB577="","",INDEX('Per Line'!$A$2:$A$4001,$AB577))</f>
        <v/>
      </c>
      <c r="F577" s="11">
        <f>IF($AB577="","",INDEX('Per Line'!$E$2:$E$4001,$AB577))</f>
        <v/>
      </c>
      <c r="G577">
        <f>IF($AB577="","",INDEX('Per Line'!$F$2:$F$4001,$AB577)&amp;"")</f>
        <v/>
      </c>
      <c r="H577">
        <f>IF($AB577="","",INDEX('Per Line'!$H$2:$H$4001,$AB577)&amp;"")</f>
        <v/>
      </c>
      <c r="I577">
        <f>IF($AB577="","",INDEX('Per Line'!$I$2:$I$4001,$AB577)&amp;"")</f>
        <v/>
      </c>
      <c r="J577">
        <f>IF($AB577="","",INDEX('Per Line'!$J$2:$J$4001,$AB577)&amp;"")</f>
        <v/>
      </c>
      <c r="K577">
        <f>IF($AB577="","",INDEX('Per Line'!$K$2:$K$4001,$AB577)&amp;"")</f>
        <v/>
      </c>
      <c r="L577">
        <f>IF($AB577="","",INDEX('Per Line'!$L$2:$L$4001,$AB577))</f>
        <v/>
      </c>
      <c r="M577" s="7">
        <f>IF($AB577="","",IF(AND(ISNUMBER(O577),O577&gt;0,Z577&gt;O577),L577*O577/100+(Z577-O577),L577*Z577/100))</f>
        <v/>
      </c>
      <c r="N577">
        <f>IF($AB577="","",INDEX('Per Line'!$V$2:$V$4001,$AB577)&amp;"")</f>
        <v/>
      </c>
      <c r="O577">
        <f>IF($AB577="","",INDEX('Per Line'!$Z$2:$Z$4001,$AB577))</f>
        <v/>
      </c>
      <c r="P577">
        <f>IF($AB577="","",IF(AND(ISNUMBER(O577),O577&gt;0),Z577&gt;O577,FALSE))</f>
        <v/>
      </c>
      <c r="Q577" s="7">
        <f>IF($AB577="","",SUMIFS('Per Line'!$U$2:$U$4001,'Per Line'!$C$2:$C$4001,$B577,'Per Line'!$AM$2:$AM$4001,1))</f>
        <v/>
      </c>
      <c r="R577">
        <f>IF($AB577="","",Settings!$C$7)</f>
        <v/>
      </c>
      <c r="S577" s="7">
        <f>IF($AB577="","",SUMIFS('Per Line'!$U$2:$U$4001,'Per Line'!$C$2:$C$4001,$B577,'Per Line'!$AL$2:$AL$4001,0,'Per Line'!$AM$2:$AM$4001,0))</f>
        <v/>
      </c>
      <c r="T577" s="7">
        <f>IF($AB577="","",S577*R577)</f>
        <v/>
      </c>
      <c r="U577">
        <f>IF($AB577="","",Settings!$C$6)</f>
        <v/>
      </c>
      <c r="V577" s="7">
        <f>IF($AB577="","",SUMIFS('Per Line'!$U$2:$U$4001,'Per Line'!$C$2:$C$4001,$B577,'Per Line'!$AL$2:$AL$4001,1,'Per Line'!$AM$2:$AM$4001,0))</f>
        <v/>
      </c>
      <c r="W577" s="7">
        <f>IF($AB577="","",V577*U577)</f>
        <v/>
      </c>
      <c r="X577" s="7">
        <f>IF($AB577="","",W577+T577)</f>
        <v/>
      </c>
      <c r="Y577" s="7">
        <f>IF($AB577="","",Z577-X577)</f>
        <v/>
      </c>
      <c r="Z577" s="7">
        <f>IF($AB577="","",S577+V577+Q577)</f>
        <v/>
      </c>
      <c r="AA577" s="7">
        <f>IF($AB577="","",Z577-X577-M577)</f>
        <v/>
      </c>
      <c r="AB577" s="13">
        <f>IF(ROWS($AB$2:$AB577)&lt;=MAX('Per Line'!$AK$2:$AK$4001),MATCH(ROWS($AB$2:$AB577),'Per Line'!$AK$2:$AK$4001,0),"")</f>
        <v/>
      </c>
      <c r="AC577" s="14">
        <f>IF($AB577="","",M577-L577*Z577/100)</f>
        <v/>
      </c>
    </row>
    <row r="578">
      <c r="A578" s="12" t="n"/>
      <c r="B578">
        <f>IF($AB578="","",INDEX('Per Line'!$C$2:$C$4001,$AB578)&amp;"")</f>
        <v/>
      </c>
      <c r="C578">
        <f>IF($AB578="","",INDEX('Per Line'!$D$2:$D$4001,$AB578)&amp;"")</f>
        <v/>
      </c>
      <c r="D578">
        <f>IF($AB578="","",INDEX('Per Line'!$B$2:$B$4001,$AB578)&amp;"")</f>
        <v/>
      </c>
      <c r="E578">
        <f>IF($AB578="","",INDEX('Per Line'!$A$2:$A$4001,$AB578))</f>
        <v/>
      </c>
      <c r="F578" s="11">
        <f>IF($AB578="","",INDEX('Per Line'!$E$2:$E$4001,$AB578))</f>
        <v/>
      </c>
      <c r="G578">
        <f>IF($AB578="","",INDEX('Per Line'!$F$2:$F$4001,$AB578)&amp;"")</f>
        <v/>
      </c>
      <c r="H578">
        <f>IF($AB578="","",INDEX('Per Line'!$H$2:$H$4001,$AB578)&amp;"")</f>
        <v/>
      </c>
      <c r="I578">
        <f>IF($AB578="","",INDEX('Per Line'!$I$2:$I$4001,$AB578)&amp;"")</f>
        <v/>
      </c>
      <c r="J578">
        <f>IF($AB578="","",INDEX('Per Line'!$J$2:$J$4001,$AB578)&amp;"")</f>
        <v/>
      </c>
      <c r="K578">
        <f>IF($AB578="","",INDEX('Per Line'!$K$2:$K$4001,$AB578)&amp;"")</f>
        <v/>
      </c>
      <c r="L578">
        <f>IF($AB578="","",INDEX('Per Line'!$L$2:$L$4001,$AB578))</f>
        <v/>
      </c>
      <c r="M578" s="7">
        <f>IF($AB578="","",IF(AND(ISNUMBER(O578),O578&gt;0,Z578&gt;O578),L578*O578/100+(Z578-O578),L578*Z578/100))</f>
        <v/>
      </c>
      <c r="N578">
        <f>IF($AB578="","",INDEX('Per Line'!$V$2:$V$4001,$AB578)&amp;"")</f>
        <v/>
      </c>
      <c r="O578">
        <f>IF($AB578="","",INDEX('Per Line'!$Z$2:$Z$4001,$AB578))</f>
        <v/>
      </c>
      <c r="P578">
        <f>IF($AB578="","",IF(AND(ISNUMBER(O578),O578&gt;0),Z578&gt;O578,FALSE))</f>
        <v/>
      </c>
      <c r="Q578" s="7">
        <f>IF($AB578="","",SUMIFS('Per Line'!$U$2:$U$4001,'Per Line'!$C$2:$C$4001,$B578,'Per Line'!$AM$2:$AM$4001,1))</f>
        <v/>
      </c>
      <c r="R578">
        <f>IF($AB578="","",Settings!$C$7)</f>
        <v/>
      </c>
      <c r="S578" s="7">
        <f>IF($AB578="","",SUMIFS('Per Line'!$U$2:$U$4001,'Per Line'!$C$2:$C$4001,$B578,'Per Line'!$AL$2:$AL$4001,0,'Per Line'!$AM$2:$AM$4001,0))</f>
        <v/>
      </c>
      <c r="T578" s="7">
        <f>IF($AB578="","",S578*R578)</f>
        <v/>
      </c>
      <c r="U578">
        <f>IF($AB578="","",Settings!$C$6)</f>
        <v/>
      </c>
      <c r="V578" s="7">
        <f>IF($AB578="","",SUMIFS('Per Line'!$U$2:$U$4001,'Per Line'!$C$2:$C$4001,$B578,'Per Line'!$AL$2:$AL$4001,1,'Per Line'!$AM$2:$AM$4001,0))</f>
        <v/>
      </c>
      <c r="W578" s="7">
        <f>IF($AB578="","",V578*U578)</f>
        <v/>
      </c>
      <c r="X578" s="7">
        <f>IF($AB578="","",W578+T578)</f>
        <v/>
      </c>
      <c r="Y578" s="7">
        <f>IF($AB578="","",Z578-X578)</f>
        <v/>
      </c>
      <c r="Z578" s="7">
        <f>IF($AB578="","",S578+V578+Q578)</f>
        <v/>
      </c>
      <c r="AA578" s="7">
        <f>IF($AB578="","",Z578-X578-M578)</f>
        <v/>
      </c>
      <c r="AB578" s="13">
        <f>IF(ROWS($AB$2:$AB578)&lt;=MAX('Per Line'!$AK$2:$AK$4001),MATCH(ROWS($AB$2:$AB578),'Per Line'!$AK$2:$AK$4001,0),"")</f>
        <v/>
      </c>
      <c r="AC578" s="14">
        <f>IF($AB578="","",M578-L578*Z578/100)</f>
        <v/>
      </c>
    </row>
    <row r="579">
      <c r="A579" s="12" t="n"/>
      <c r="B579">
        <f>IF($AB579="","",INDEX('Per Line'!$C$2:$C$4001,$AB579)&amp;"")</f>
        <v/>
      </c>
      <c r="C579">
        <f>IF($AB579="","",INDEX('Per Line'!$D$2:$D$4001,$AB579)&amp;"")</f>
        <v/>
      </c>
      <c r="D579">
        <f>IF($AB579="","",INDEX('Per Line'!$B$2:$B$4001,$AB579)&amp;"")</f>
        <v/>
      </c>
      <c r="E579">
        <f>IF($AB579="","",INDEX('Per Line'!$A$2:$A$4001,$AB579))</f>
        <v/>
      </c>
      <c r="F579" s="11">
        <f>IF($AB579="","",INDEX('Per Line'!$E$2:$E$4001,$AB579))</f>
        <v/>
      </c>
      <c r="G579">
        <f>IF($AB579="","",INDEX('Per Line'!$F$2:$F$4001,$AB579)&amp;"")</f>
        <v/>
      </c>
      <c r="H579">
        <f>IF($AB579="","",INDEX('Per Line'!$H$2:$H$4001,$AB579)&amp;"")</f>
        <v/>
      </c>
      <c r="I579">
        <f>IF($AB579="","",INDEX('Per Line'!$I$2:$I$4001,$AB579)&amp;"")</f>
        <v/>
      </c>
      <c r="J579">
        <f>IF($AB579="","",INDEX('Per Line'!$J$2:$J$4001,$AB579)&amp;"")</f>
        <v/>
      </c>
      <c r="K579">
        <f>IF($AB579="","",INDEX('Per Line'!$K$2:$K$4001,$AB579)&amp;"")</f>
        <v/>
      </c>
      <c r="L579">
        <f>IF($AB579="","",INDEX('Per Line'!$L$2:$L$4001,$AB579))</f>
        <v/>
      </c>
      <c r="M579" s="7">
        <f>IF($AB579="","",IF(AND(ISNUMBER(O579),O579&gt;0,Z579&gt;O579),L579*O579/100+(Z579-O579),L579*Z579/100))</f>
        <v/>
      </c>
      <c r="N579">
        <f>IF($AB579="","",INDEX('Per Line'!$V$2:$V$4001,$AB579)&amp;"")</f>
        <v/>
      </c>
      <c r="O579">
        <f>IF($AB579="","",INDEX('Per Line'!$Z$2:$Z$4001,$AB579))</f>
        <v/>
      </c>
      <c r="P579">
        <f>IF($AB579="","",IF(AND(ISNUMBER(O579),O579&gt;0),Z579&gt;O579,FALSE))</f>
        <v/>
      </c>
      <c r="Q579" s="7">
        <f>IF($AB579="","",SUMIFS('Per Line'!$U$2:$U$4001,'Per Line'!$C$2:$C$4001,$B579,'Per Line'!$AM$2:$AM$4001,1))</f>
        <v/>
      </c>
      <c r="R579">
        <f>IF($AB579="","",Settings!$C$7)</f>
        <v/>
      </c>
      <c r="S579" s="7">
        <f>IF($AB579="","",SUMIFS('Per Line'!$U$2:$U$4001,'Per Line'!$C$2:$C$4001,$B579,'Per Line'!$AL$2:$AL$4001,0,'Per Line'!$AM$2:$AM$4001,0))</f>
        <v/>
      </c>
      <c r="T579" s="7">
        <f>IF($AB579="","",S579*R579)</f>
        <v/>
      </c>
      <c r="U579">
        <f>IF($AB579="","",Settings!$C$6)</f>
        <v/>
      </c>
      <c r="V579" s="7">
        <f>IF($AB579="","",SUMIFS('Per Line'!$U$2:$U$4001,'Per Line'!$C$2:$C$4001,$B579,'Per Line'!$AL$2:$AL$4001,1,'Per Line'!$AM$2:$AM$4001,0))</f>
        <v/>
      </c>
      <c r="W579" s="7">
        <f>IF($AB579="","",V579*U579)</f>
        <v/>
      </c>
      <c r="X579" s="7">
        <f>IF($AB579="","",W579+T579)</f>
        <v/>
      </c>
      <c r="Y579" s="7">
        <f>IF($AB579="","",Z579-X579)</f>
        <v/>
      </c>
      <c r="Z579" s="7">
        <f>IF($AB579="","",S579+V579+Q579)</f>
        <v/>
      </c>
      <c r="AA579" s="7">
        <f>IF($AB579="","",Z579-X579-M579)</f>
        <v/>
      </c>
      <c r="AB579" s="13">
        <f>IF(ROWS($AB$2:$AB579)&lt;=MAX('Per Line'!$AK$2:$AK$4001),MATCH(ROWS($AB$2:$AB579),'Per Line'!$AK$2:$AK$4001,0),"")</f>
        <v/>
      </c>
      <c r="AC579" s="14">
        <f>IF($AB579="","",M579-L579*Z579/100)</f>
        <v/>
      </c>
    </row>
    <row r="580">
      <c r="A580" s="12" t="n"/>
      <c r="B580">
        <f>IF($AB580="","",INDEX('Per Line'!$C$2:$C$4001,$AB580)&amp;"")</f>
        <v/>
      </c>
      <c r="C580">
        <f>IF($AB580="","",INDEX('Per Line'!$D$2:$D$4001,$AB580)&amp;"")</f>
        <v/>
      </c>
      <c r="D580">
        <f>IF($AB580="","",INDEX('Per Line'!$B$2:$B$4001,$AB580)&amp;"")</f>
        <v/>
      </c>
      <c r="E580">
        <f>IF($AB580="","",INDEX('Per Line'!$A$2:$A$4001,$AB580))</f>
        <v/>
      </c>
      <c r="F580" s="11">
        <f>IF($AB580="","",INDEX('Per Line'!$E$2:$E$4001,$AB580))</f>
        <v/>
      </c>
      <c r="G580">
        <f>IF($AB580="","",INDEX('Per Line'!$F$2:$F$4001,$AB580)&amp;"")</f>
        <v/>
      </c>
      <c r="H580">
        <f>IF($AB580="","",INDEX('Per Line'!$H$2:$H$4001,$AB580)&amp;"")</f>
        <v/>
      </c>
      <c r="I580">
        <f>IF($AB580="","",INDEX('Per Line'!$I$2:$I$4001,$AB580)&amp;"")</f>
        <v/>
      </c>
      <c r="J580">
        <f>IF($AB580="","",INDEX('Per Line'!$J$2:$J$4001,$AB580)&amp;"")</f>
        <v/>
      </c>
      <c r="K580">
        <f>IF($AB580="","",INDEX('Per Line'!$K$2:$K$4001,$AB580)&amp;"")</f>
        <v/>
      </c>
      <c r="L580">
        <f>IF($AB580="","",INDEX('Per Line'!$L$2:$L$4001,$AB580))</f>
        <v/>
      </c>
      <c r="M580" s="7">
        <f>IF($AB580="","",IF(AND(ISNUMBER(O580),O580&gt;0,Z580&gt;O580),L580*O580/100+(Z580-O580),L580*Z580/100))</f>
        <v/>
      </c>
      <c r="N580">
        <f>IF($AB580="","",INDEX('Per Line'!$V$2:$V$4001,$AB580)&amp;"")</f>
        <v/>
      </c>
      <c r="O580">
        <f>IF($AB580="","",INDEX('Per Line'!$Z$2:$Z$4001,$AB580))</f>
        <v/>
      </c>
      <c r="P580">
        <f>IF($AB580="","",IF(AND(ISNUMBER(O580),O580&gt;0),Z580&gt;O580,FALSE))</f>
        <v/>
      </c>
      <c r="Q580" s="7">
        <f>IF($AB580="","",SUMIFS('Per Line'!$U$2:$U$4001,'Per Line'!$C$2:$C$4001,$B580,'Per Line'!$AM$2:$AM$4001,1))</f>
        <v/>
      </c>
      <c r="R580">
        <f>IF($AB580="","",Settings!$C$7)</f>
        <v/>
      </c>
      <c r="S580" s="7">
        <f>IF($AB580="","",SUMIFS('Per Line'!$U$2:$U$4001,'Per Line'!$C$2:$C$4001,$B580,'Per Line'!$AL$2:$AL$4001,0,'Per Line'!$AM$2:$AM$4001,0))</f>
        <v/>
      </c>
      <c r="T580" s="7">
        <f>IF($AB580="","",S580*R580)</f>
        <v/>
      </c>
      <c r="U580">
        <f>IF($AB580="","",Settings!$C$6)</f>
        <v/>
      </c>
      <c r="V580" s="7">
        <f>IF($AB580="","",SUMIFS('Per Line'!$U$2:$U$4001,'Per Line'!$C$2:$C$4001,$B580,'Per Line'!$AL$2:$AL$4001,1,'Per Line'!$AM$2:$AM$4001,0))</f>
        <v/>
      </c>
      <c r="W580" s="7">
        <f>IF($AB580="","",V580*U580)</f>
        <v/>
      </c>
      <c r="X580" s="7">
        <f>IF($AB580="","",W580+T580)</f>
        <v/>
      </c>
      <c r="Y580" s="7">
        <f>IF($AB580="","",Z580-X580)</f>
        <v/>
      </c>
      <c r="Z580" s="7">
        <f>IF($AB580="","",S580+V580+Q580)</f>
        <v/>
      </c>
      <c r="AA580" s="7">
        <f>IF($AB580="","",Z580-X580-M580)</f>
        <v/>
      </c>
      <c r="AB580" s="13">
        <f>IF(ROWS($AB$2:$AB580)&lt;=MAX('Per Line'!$AK$2:$AK$4001),MATCH(ROWS($AB$2:$AB580),'Per Line'!$AK$2:$AK$4001,0),"")</f>
        <v/>
      </c>
      <c r="AC580" s="14">
        <f>IF($AB580="","",M580-L580*Z580/100)</f>
        <v/>
      </c>
    </row>
    <row r="581">
      <c r="A581" s="12" t="n"/>
      <c r="B581">
        <f>IF($AB581="","",INDEX('Per Line'!$C$2:$C$4001,$AB581)&amp;"")</f>
        <v/>
      </c>
      <c r="C581">
        <f>IF($AB581="","",INDEX('Per Line'!$D$2:$D$4001,$AB581)&amp;"")</f>
        <v/>
      </c>
      <c r="D581">
        <f>IF($AB581="","",INDEX('Per Line'!$B$2:$B$4001,$AB581)&amp;"")</f>
        <v/>
      </c>
      <c r="E581">
        <f>IF($AB581="","",INDEX('Per Line'!$A$2:$A$4001,$AB581))</f>
        <v/>
      </c>
      <c r="F581" s="11">
        <f>IF($AB581="","",INDEX('Per Line'!$E$2:$E$4001,$AB581))</f>
        <v/>
      </c>
      <c r="G581">
        <f>IF($AB581="","",INDEX('Per Line'!$F$2:$F$4001,$AB581)&amp;"")</f>
        <v/>
      </c>
      <c r="H581">
        <f>IF($AB581="","",INDEX('Per Line'!$H$2:$H$4001,$AB581)&amp;"")</f>
        <v/>
      </c>
      <c r="I581">
        <f>IF($AB581="","",INDEX('Per Line'!$I$2:$I$4001,$AB581)&amp;"")</f>
        <v/>
      </c>
      <c r="J581">
        <f>IF($AB581="","",INDEX('Per Line'!$J$2:$J$4001,$AB581)&amp;"")</f>
        <v/>
      </c>
      <c r="K581">
        <f>IF($AB581="","",INDEX('Per Line'!$K$2:$K$4001,$AB581)&amp;"")</f>
        <v/>
      </c>
      <c r="L581">
        <f>IF($AB581="","",INDEX('Per Line'!$L$2:$L$4001,$AB581))</f>
        <v/>
      </c>
      <c r="M581" s="7">
        <f>IF($AB581="","",IF(AND(ISNUMBER(O581),O581&gt;0,Z581&gt;O581),L581*O581/100+(Z581-O581),L581*Z581/100))</f>
        <v/>
      </c>
      <c r="N581">
        <f>IF($AB581="","",INDEX('Per Line'!$V$2:$V$4001,$AB581)&amp;"")</f>
        <v/>
      </c>
      <c r="O581">
        <f>IF($AB581="","",INDEX('Per Line'!$Z$2:$Z$4001,$AB581))</f>
        <v/>
      </c>
      <c r="P581">
        <f>IF($AB581="","",IF(AND(ISNUMBER(O581),O581&gt;0),Z581&gt;O581,FALSE))</f>
        <v/>
      </c>
      <c r="Q581" s="7">
        <f>IF($AB581="","",SUMIFS('Per Line'!$U$2:$U$4001,'Per Line'!$C$2:$C$4001,$B581,'Per Line'!$AM$2:$AM$4001,1))</f>
        <v/>
      </c>
      <c r="R581">
        <f>IF($AB581="","",Settings!$C$7)</f>
        <v/>
      </c>
      <c r="S581" s="7">
        <f>IF($AB581="","",SUMIFS('Per Line'!$U$2:$U$4001,'Per Line'!$C$2:$C$4001,$B581,'Per Line'!$AL$2:$AL$4001,0,'Per Line'!$AM$2:$AM$4001,0))</f>
        <v/>
      </c>
      <c r="T581" s="7">
        <f>IF($AB581="","",S581*R581)</f>
        <v/>
      </c>
      <c r="U581">
        <f>IF($AB581="","",Settings!$C$6)</f>
        <v/>
      </c>
      <c r="V581" s="7">
        <f>IF($AB581="","",SUMIFS('Per Line'!$U$2:$U$4001,'Per Line'!$C$2:$C$4001,$B581,'Per Line'!$AL$2:$AL$4001,1,'Per Line'!$AM$2:$AM$4001,0))</f>
        <v/>
      </c>
      <c r="W581" s="7">
        <f>IF($AB581="","",V581*U581)</f>
        <v/>
      </c>
      <c r="X581" s="7">
        <f>IF($AB581="","",W581+T581)</f>
        <v/>
      </c>
      <c r="Y581" s="7">
        <f>IF($AB581="","",Z581-X581)</f>
        <v/>
      </c>
      <c r="Z581" s="7">
        <f>IF($AB581="","",S581+V581+Q581)</f>
        <v/>
      </c>
      <c r="AA581" s="7">
        <f>IF($AB581="","",Z581-X581-M581)</f>
        <v/>
      </c>
      <c r="AB581" s="13">
        <f>IF(ROWS($AB$2:$AB581)&lt;=MAX('Per Line'!$AK$2:$AK$4001),MATCH(ROWS($AB$2:$AB581),'Per Line'!$AK$2:$AK$4001,0),"")</f>
        <v/>
      </c>
      <c r="AC581" s="14">
        <f>IF($AB581="","",M581-L581*Z581/100)</f>
        <v/>
      </c>
    </row>
    <row r="582">
      <c r="A582" s="12" t="n"/>
      <c r="B582">
        <f>IF($AB582="","",INDEX('Per Line'!$C$2:$C$4001,$AB582)&amp;"")</f>
        <v/>
      </c>
      <c r="C582">
        <f>IF($AB582="","",INDEX('Per Line'!$D$2:$D$4001,$AB582)&amp;"")</f>
        <v/>
      </c>
      <c r="D582">
        <f>IF($AB582="","",INDEX('Per Line'!$B$2:$B$4001,$AB582)&amp;"")</f>
        <v/>
      </c>
      <c r="E582">
        <f>IF($AB582="","",INDEX('Per Line'!$A$2:$A$4001,$AB582))</f>
        <v/>
      </c>
      <c r="F582" s="11">
        <f>IF($AB582="","",INDEX('Per Line'!$E$2:$E$4001,$AB582))</f>
        <v/>
      </c>
      <c r="G582">
        <f>IF($AB582="","",INDEX('Per Line'!$F$2:$F$4001,$AB582)&amp;"")</f>
        <v/>
      </c>
      <c r="H582">
        <f>IF($AB582="","",INDEX('Per Line'!$H$2:$H$4001,$AB582)&amp;"")</f>
        <v/>
      </c>
      <c r="I582">
        <f>IF($AB582="","",INDEX('Per Line'!$I$2:$I$4001,$AB582)&amp;"")</f>
        <v/>
      </c>
      <c r="J582">
        <f>IF($AB582="","",INDEX('Per Line'!$J$2:$J$4001,$AB582)&amp;"")</f>
        <v/>
      </c>
      <c r="K582">
        <f>IF($AB582="","",INDEX('Per Line'!$K$2:$K$4001,$AB582)&amp;"")</f>
        <v/>
      </c>
      <c r="L582">
        <f>IF($AB582="","",INDEX('Per Line'!$L$2:$L$4001,$AB582))</f>
        <v/>
      </c>
      <c r="M582" s="7">
        <f>IF($AB582="","",IF(AND(ISNUMBER(O582),O582&gt;0,Z582&gt;O582),L582*O582/100+(Z582-O582),L582*Z582/100))</f>
        <v/>
      </c>
      <c r="N582">
        <f>IF($AB582="","",INDEX('Per Line'!$V$2:$V$4001,$AB582)&amp;"")</f>
        <v/>
      </c>
      <c r="O582">
        <f>IF($AB582="","",INDEX('Per Line'!$Z$2:$Z$4001,$AB582))</f>
        <v/>
      </c>
      <c r="P582">
        <f>IF($AB582="","",IF(AND(ISNUMBER(O582),O582&gt;0),Z582&gt;O582,FALSE))</f>
        <v/>
      </c>
      <c r="Q582" s="7">
        <f>IF($AB582="","",SUMIFS('Per Line'!$U$2:$U$4001,'Per Line'!$C$2:$C$4001,$B582,'Per Line'!$AM$2:$AM$4001,1))</f>
        <v/>
      </c>
      <c r="R582">
        <f>IF($AB582="","",Settings!$C$7)</f>
        <v/>
      </c>
      <c r="S582" s="7">
        <f>IF($AB582="","",SUMIFS('Per Line'!$U$2:$U$4001,'Per Line'!$C$2:$C$4001,$B582,'Per Line'!$AL$2:$AL$4001,0,'Per Line'!$AM$2:$AM$4001,0))</f>
        <v/>
      </c>
      <c r="T582" s="7">
        <f>IF($AB582="","",S582*R582)</f>
        <v/>
      </c>
      <c r="U582">
        <f>IF($AB582="","",Settings!$C$6)</f>
        <v/>
      </c>
      <c r="V582" s="7">
        <f>IF($AB582="","",SUMIFS('Per Line'!$U$2:$U$4001,'Per Line'!$C$2:$C$4001,$B582,'Per Line'!$AL$2:$AL$4001,1,'Per Line'!$AM$2:$AM$4001,0))</f>
        <v/>
      </c>
      <c r="W582" s="7">
        <f>IF($AB582="","",V582*U582)</f>
        <v/>
      </c>
      <c r="X582" s="7">
        <f>IF($AB582="","",W582+T582)</f>
        <v/>
      </c>
      <c r="Y582" s="7">
        <f>IF($AB582="","",Z582-X582)</f>
        <v/>
      </c>
      <c r="Z582" s="7">
        <f>IF($AB582="","",S582+V582+Q582)</f>
        <v/>
      </c>
      <c r="AA582" s="7">
        <f>IF($AB582="","",Z582-X582-M582)</f>
        <v/>
      </c>
      <c r="AB582" s="13">
        <f>IF(ROWS($AB$2:$AB582)&lt;=MAX('Per Line'!$AK$2:$AK$4001),MATCH(ROWS($AB$2:$AB582),'Per Line'!$AK$2:$AK$4001,0),"")</f>
        <v/>
      </c>
      <c r="AC582" s="14">
        <f>IF($AB582="","",M582-L582*Z582/100)</f>
        <v/>
      </c>
    </row>
    <row r="583">
      <c r="A583" s="12" t="n"/>
      <c r="B583">
        <f>IF($AB583="","",INDEX('Per Line'!$C$2:$C$4001,$AB583)&amp;"")</f>
        <v/>
      </c>
      <c r="C583">
        <f>IF($AB583="","",INDEX('Per Line'!$D$2:$D$4001,$AB583)&amp;"")</f>
        <v/>
      </c>
      <c r="D583">
        <f>IF($AB583="","",INDEX('Per Line'!$B$2:$B$4001,$AB583)&amp;"")</f>
        <v/>
      </c>
      <c r="E583">
        <f>IF($AB583="","",INDEX('Per Line'!$A$2:$A$4001,$AB583))</f>
        <v/>
      </c>
      <c r="F583" s="11">
        <f>IF($AB583="","",INDEX('Per Line'!$E$2:$E$4001,$AB583))</f>
        <v/>
      </c>
      <c r="G583">
        <f>IF($AB583="","",INDEX('Per Line'!$F$2:$F$4001,$AB583)&amp;"")</f>
        <v/>
      </c>
      <c r="H583">
        <f>IF($AB583="","",INDEX('Per Line'!$H$2:$H$4001,$AB583)&amp;"")</f>
        <v/>
      </c>
      <c r="I583">
        <f>IF($AB583="","",INDEX('Per Line'!$I$2:$I$4001,$AB583)&amp;"")</f>
        <v/>
      </c>
      <c r="J583">
        <f>IF($AB583="","",INDEX('Per Line'!$J$2:$J$4001,$AB583)&amp;"")</f>
        <v/>
      </c>
      <c r="K583">
        <f>IF($AB583="","",INDEX('Per Line'!$K$2:$K$4001,$AB583)&amp;"")</f>
        <v/>
      </c>
      <c r="L583">
        <f>IF($AB583="","",INDEX('Per Line'!$L$2:$L$4001,$AB583))</f>
        <v/>
      </c>
      <c r="M583" s="7">
        <f>IF($AB583="","",IF(AND(ISNUMBER(O583),O583&gt;0,Z583&gt;O583),L583*O583/100+(Z583-O583),L583*Z583/100))</f>
        <v/>
      </c>
      <c r="N583">
        <f>IF($AB583="","",INDEX('Per Line'!$V$2:$V$4001,$AB583)&amp;"")</f>
        <v/>
      </c>
      <c r="O583">
        <f>IF($AB583="","",INDEX('Per Line'!$Z$2:$Z$4001,$AB583))</f>
        <v/>
      </c>
      <c r="P583">
        <f>IF($AB583="","",IF(AND(ISNUMBER(O583),O583&gt;0),Z583&gt;O583,FALSE))</f>
        <v/>
      </c>
      <c r="Q583" s="7">
        <f>IF($AB583="","",SUMIFS('Per Line'!$U$2:$U$4001,'Per Line'!$C$2:$C$4001,$B583,'Per Line'!$AM$2:$AM$4001,1))</f>
        <v/>
      </c>
      <c r="R583">
        <f>IF($AB583="","",Settings!$C$7)</f>
        <v/>
      </c>
      <c r="S583" s="7">
        <f>IF($AB583="","",SUMIFS('Per Line'!$U$2:$U$4001,'Per Line'!$C$2:$C$4001,$B583,'Per Line'!$AL$2:$AL$4001,0,'Per Line'!$AM$2:$AM$4001,0))</f>
        <v/>
      </c>
      <c r="T583" s="7">
        <f>IF($AB583="","",S583*R583)</f>
        <v/>
      </c>
      <c r="U583">
        <f>IF($AB583="","",Settings!$C$6)</f>
        <v/>
      </c>
      <c r="V583" s="7">
        <f>IF($AB583="","",SUMIFS('Per Line'!$U$2:$U$4001,'Per Line'!$C$2:$C$4001,$B583,'Per Line'!$AL$2:$AL$4001,1,'Per Line'!$AM$2:$AM$4001,0))</f>
        <v/>
      </c>
      <c r="W583" s="7">
        <f>IF($AB583="","",V583*U583)</f>
        <v/>
      </c>
      <c r="X583" s="7">
        <f>IF($AB583="","",W583+T583)</f>
        <v/>
      </c>
      <c r="Y583" s="7">
        <f>IF($AB583="","",Z583-X583)</f>
        <v/>
      </c>
      <c r="Z583" s="7">
        <f>IF($AB583="","",S583+V583+Q583)</f>
        <v/>
      </c>
      <c r="AA583" s="7">
        <f>IF($AB583="","",Z583-X583-M583)</f>
        <v/>
      </c>
      <c r="AB583" s="13">
        <f>IF(ROWS($AB$2:$AB583)&lt;=MAX('Per Line'!$AK$2:$AK$4001),MATCH(ROWS($AB$2:$AB583),'Per Line'!$AK$2:$AK$4001,0),"")</f>
        <v/>
      </c>
      <c r="AC583" s="14">
        <f>IF($AB583="","",M583-L583*Z583/100)</f>
        <v/>
      </c>
    </row>
    <row r="584">
      <c r="A584" s="12" t="n"/>
      <c r="B584">
        <f>IF($AB584="","",INDEX('Per Line'!$C$2:$C$4001,$AB584)&amp;"")</f>
        <v/>
      </c>
      <c r="C584">
        <f>IF($AB584="","",INDEX('Per Line'!$D$2:$D$4001,$AB584)&amp;"")</f>
        <v/>
      </c>
      <c r="D584">
        <f>IF($AB584="","",INDEX('Per Line'!$B$2:$B$4001,$AB584)&amp;"")</f>
        <v/>
      </c>
      <c r="E584">
        <f>IF($AB584="","",INDEX('Per Line'!$A$2:$A$4001,$AB584))</f>
        <v/>
      </c>
      <c r="F584" s="11">
        <f>IF($AB584="","",INDEX('Per Line'!$E$2:$E$4001,$AB584))</f>
        <v/>
      </c>
      <c r="G584">
        <f>IF($AB584="","",INDEX('Per Line'!$F$2:$F$4001,$AB584)&amp;"")</f>
        <v/>
      </c>
      <c r="H584">
        <f>IF($AB584="","",INDEX('Per Line'!$H$2:$H$4001,$AB584)&amp;"")</f>
        <v/>
      </c>
      <c r="I584">
        <f>IF($AB584="","",INDEX('Per Line'!$I$2:$I$4001,$AB584)&amp;"")</f>
        <v/>
      </c>
      <c r="J584">
        <f>IF($AB584="","",INDEX('Per Line'!$J$2:$J$4001,$AB584)&amp;"")</f>
        <v/>
      </c>
      <c r="K584">
        <f>IF($AB584="","",INDEX('Per Line'!$K$2:$K$4001,$AB584)&amp;"")</f>
        <v/>
      </c>
      <c r="L584">
        <f>IF($AB584="","",INDEX('Per Line'!$L$2:$L$4001,$AB584))</f>
        <v/>
      </c>
      <c r="M584" s="7">
        <f>IF($AB584="","",IF(AND(ISNUMBER(O584),O584&gt;0,Z584&gt;O584),L584*O584/100+(Z584-O584),L584*Z584/100))</f>
        <v/>
      </c>
      <c r="N584">
        <f>IF($AB584="","",INDEX('Per Line'!$V$2:$V$4001,$AB584)&amp;"")</f>
        <v/>
      </c>
      <c r="O584">
        <f>IF($AB584="","",INDEX('Per Line'!$Z$2:$Z$4001,$AB584))</f>
        <v/>
      </c>
      <c r="P584">
        <f>IF($AB584="","",IF(AND(ISNUMBER(O584),O584&gt;0),Z584&gt;O584,FALSE))</f>
        <v/>
      </c>
      <c r="Q584" s="7">
        <f>IF($AB584="","",SUMIFS('Per Line'!$U$2:$U$4001,'Per Line'!$C$2:$C$4001,$B584,'Per Line'!$AM$2:$AM$4001,1))</f>
        <v/>
      </c>
      <c r="R584">
        <f>IF($AB584="","",Settings!$C$7)</f>
        <v/>
      </c>
      <c r="S584" s="7">
        <f>IF($AB584="","",SUMIFS('Per Line'!$U$2:$U$4001,'Per Line'!$C$2:$C$4001,$B584,'Per Line'!$AL$2:$AL$4001,0,'Per Line'!$AM$2:$AM$4001,0))</f>
        <v/>
      </c>
      <c r="T584" s="7">
        <f>IF($AB584="","",S584*R584)</f>
        <v/>
      </c>
      <c r="U584">
        <f>IF($AB584="","",Settings!$C$6)</f>
        <v/>
      </c>
      <c r="V584" s="7">
        <f>IF($AB584="","",SUMIFS('Per Line'!$U$2:$U$4001,'Per Line'!$C$2:$C$4001,$B584,'Per Line'!$AL$2:$AL$4001,1,'Per Line'!$AM$2:$AM$4001,0))</f>
        <v/>
      </c>
      <c r="W584" s="7">
        <f>IF($AB584="","",V584*U584)</f>
        <v/>
      </c>
      <c r="X584" s="7">
        <f>IF($AB584="","",W584+T584)</f>
        <v/>
      </c>
      <c r="Y584" s="7">
        <f>IF($AB584="","",Z584-X584)</f>
        <v/>
      </c>
      <c r="Z584" s="7">
        <f>IF($AB584="","",S584+V584+Q584)</f>
        <v/>
      </c>
      <c r="AA584" s="7">
        <f>IF($AB584="","",Z584-X584-M584)</f>
        <v/>
      </c>
      <c r="AB584" s="13">
        <f>IF(ROWS($AB$2:$AB584)&lt;=MAX('Per Line'!$AK$2:$AK$4001),MATCH(ROWS($AB$2:$AB584),'Per Line'!$AK$2:$AK$4001,0),"")</f>
        <v/>
      </c>
      <c r="AC584" s="14">
        <f>IF($AB584="","",M584-L584*Z584/100)</f>
        <v/>
      </c>
    </row>
    <row r="585">
      <c r="A585" s="12" t="n"/>
      <c r="B585">
        <f>IF($AB585="","",INDEX('Per Line'!$C$2:$C$4001,$AB585)&amp;"")</f>
        <v/>
      </c>
      <c r="C585">
        <f>IF($AB585="","",INDEX('Per Line'!$D$2:$D$4001,$AB585)&amp;"")</f>
        <v/>
      </c>
      <c r="D585">
        <f>IF($AB585="","",INDEX('Per Line'!$B$2:$B$4001,$AB585)&amp;"")</f>
        <v/>
      </c>
      <c r="E585">
        <f>IF($AB585="","",INDEX('Per Line'!$A$2:$A$4001,$AB585))</f>
        <v/>
      </c>
      <c r="F585" s="11">
        <f>IF($AB585="","",INDEX('Per Line'!$E$2:$E$4001,$AB585))</f>
        <v/>
      </c>
      <c r="G585">
        <f>IF($AB585="","",INDEX('Per Line'!$F$2:$F$4001,$AB585)&amp;"")</f>
        <v/>
      </c>
      <c r="H585">
        <f>IF($AB585="","",INDEX('Per Line'!$H$2:$H$4001,$AB585)&amp;"")</f>
        <v/>
      </c>
      <c r="I585">
        <f>IF($AB585="","",INDEX('Per Line'!$I$2:$I$4001,$AB585)&amp;"")</f>
        <v/>
      </c>
      <c r="J585">
        <f>IF($AB585="","",INDEX('Per Line'!$J$2:$J$4001,$AB585)&amp;"")</f>
        <v/>
      </c>
      <c r="K585">
        <f>IF($AB585="","",INDEX('Per Line'!$K$2:$K$4001,$AB585)&amp;"")</f>
        <v/>
      </c>
      <c r="L585">
        <f>IF($AB585="","",INDEX('Per Line'!$L$2:$L$4001,$AB585))</f>
        <v/>
      </c>
      <c r="M585" s="7">
        <f>IF($AB585="","",IF(AND(ISNUMBER(O585),O585&gt;0,Z585&gt;O585),L585*O585/100+(Z585-O585),L585*Z585/100))</f>
        <v/>
      </c>
      <c r="N585">
        <f>IF($AB585="","",INDEX('Per Line'!$V$2:$V$4001,$AB585)&amp;"")</f>
        <v/>
      </c>
      <c r="O585">
        <f>IF($AB585="","",INDEX('Per Line'!$Z$2:$Z$4001,$AB585))</f>
        <v/>
      </c>
      <c r="P585">
        <f>IF($AB585="","",IF(AND(ISNUMBER(O585),O585&gt;0),Z585&gt;O585,FALSE))</f>
        <v/>
      </c>
      <c r="Q585" s="7">
        <f>IF($AB585="","",SUMIFS('Per Line'!$U$2:$U$4001,'Per Line'!$C$2:$C$4001,$B585,'Per Line'!$AM$2:$AM$4001,1))</f>
        <v/>
      </c>
      <c r="R585">
        <f>IF($AB585="","",Settings!$C$7)</f>
        <v/>
      </c>
      <c r="S585" s="7">
        <f>IF($AB585="","",SUMIFS('Per Line'!$U$2:$U$4001,'Per Line'!$C$2:$C$4001,$B585,'Per Line'!$AL$2:$AL$4001,0,'Per Line'!$AM$2:$AM$4001,0))</f>
        <v/>
      </c>
      <c r="T585" s="7">
        <f>IF($AB585="","",S585*R585)</f>
        <v/>
      </c>
      <c r="U585">
        <f>IF($AB585="","",Settings!$C$6)</f>
        <v/>
      </c>
      <c r="V585" s="7">
        <f>IF($AB585="","",SUMIFS('Per Line'!$U$2:$U$4001,'Per Line'!$C$2:$C$4001,$B585,'Per Line'!$AL$2:$AL$4001,1,'Per Line'!$AM$2:$AM$4001,0))</f>
        <v/>
      </c>
      <c r="W585" s="7">
        <f>IF($AB585="","",V585*U585)</f>
        <v/>
      </c>
      <c r="X585" s="7">
        <f>IF($AB585="","",W585+T585)</f>
        <v/>
      </c>
      <c r="Y585" s="7">
        <f>IF($AB585="","",Z585-X585)</f>
        <v/>
      </c>
      <c r="Z585" s="7">
        <f>IF($AB585="","",S585+V585+Q585)</f>
        <v/>
      </c>
      <c r="AA585" s="7">
        <f>IF($AB585="","",Z585-X585-M585)</f>
        <v/>
      </c>
      <c r="AB585" s="13">
        <f>IF(ROWS($AB$2:$AB585)&lt;=MAX('Per Line'!$AK$2:$AK$4001),MATCH(ROWS($AB$2:$AB585),'Per Line'!$AK$2:$AK$4001,0),"")</f>
        <v/>
      </c>
      <c r="AC585" s="14">
        <f>IF($AB585="","",M585-L585*Z585/100)</f>
        <v/>
      </c>
    </row>
    <row r="586">
      <c r="A586" s="12" t="n"/>
      <c r="B586">
        <f>IF($AB586="","",INDEX('Per Line'!$C$2:$C$4001,$AB586)&amp;"")</f>
        <v/>
      </c>
      <c r="C586">
        <f>IF($AB586="","",INDEX('Per Line'!$D$2:$D$4001,$AB586)&amp;"")</f>
        <v/>
      </c>
      <c r="D586">
        <f>IF($AB586="","",INDEX('Per Line'!$B$2:$B$4001,$AB586)&amp;"")</f>
        <v/>
      </c>
      <c r="E586">
        <f>IF($AB586="","",INDEX('Per Line'!$A$2:$A$4001,$AB586))</f>
        <v/>
      </c>
      <c r="F586" s="11">
        <f>IF($AB586="","",INDEX('Per Line'!$E$2:$E$4001,$AB586))</f>
        <v/>
      </c>
      <c r="G586">
        <f>IF($AB586="","",INDEX('Per Line'!$F$2:$F$4001,$AB586)&amp;"")</f>
        <v/>
      </c>
      <c r="H586">
        <f>IF($AB586="","",INDEX('Per Line'!$H$2:$H$4001,$AB586)&amp;"")</f>
        <v/>
      </c>
      <c r="I586">
        <f>IF($AB586="","",INDEX('Per Line'!$I$2:$I$4001,$AB586)&amp;"")</f>
        <v/>
      </c>
      <c r="J586">
        <f>IF($AB586="","",INDEX('Per Line'!$J$2:$J$4001,$AB586)&amp;"")</f>
        <v/>
      </c>
      <c r="K586">
        <f>IF($AB586="","",INDEX('Per Line'!$K$2:$K$4001,$AB586)&amp;"")</f>
        <v/>
      </c>
      <c r="L586">
        <f>IF($AB586="","",INDEX('Per Line'!$L$2:$L$4001,$AB586))</f>
        <v/>
      </c>
      <c r="M586" s="7">
        <f>IF($AB586="","",IF(AND(ISNUMBER(O586),O586&gt;0,Z586&gt;O586),L586*O586/100+(Z586-O586),L586*Z586/100))</f>
        <v/>
      </c>
      <c r="N586">
        <f>IF($AB586="","",INDEX('Per Line'!$V$2:$V$4001,$AB586)&amp;"")</f>
        <v/>
      </c>
      <c r="O586">
        <f>IF($AB586="","",INDEX('Per Line'!$Z$2:$Z$4001,$AB586))</f>
        <v/>
      </c>
      <c r="P586">
        <f>IF($AB586="","",IF(AND(ISNUMBER(O586),O586&gt;0),Z586&gt;O586,FALSE))</f>
        <v/>
      </c>
      <c r="Q586" s="7">
        <f>IF($AB586="","",SUMIFS('Per Line'!$U$2:$U$4001,'Per Line'!$C$2:$C$4001,$B586,'Per Line'!$AM$2:$AM$4001,1))</f>
        <v/>
      </c>
      <c r="R586">
        <f>IF($AB586="","",Settings!$C$7)</f>
        <v/>
      </c>
      <c r="S586" s="7">
        <f>IF($AB586="","",SUMIFS('Per Line'!$U$2:$U$4001,'Per Line'!$C$2:$C$4001,$B586,'Per Line'!$AL$2:$AL$4001,0,'Per Line'!$AM$2:$AM$4001,0))</f>
        <v/>
      </c>
      <c r="T586" s="7">
        <f>IF($AB586="","",S586*R586)</f>
        <v/>
      </c>
      <c r="U586">
        <f>IF($AB586="","",Settings!$C$6)</f>
        <v/>
      </c>
      <c r="V586" s="7">
        <f>IF($AB586="","",SUMIFS('Per Line'!$U$2:$U$4001,'Per Line'!$C$2:$C$4001,$B586,'Per Line'!$AL$2:$AL$4001,1,'Per Line'!$AM$2:$AM$4001,0))</f>
        <v/>
      </c>
      <c r="W586" s="7">
        <f>IF($AB586="","",V586*U586)</f>
        <v/>
      </c>
      <c r="X586" s="7">
        <f>IF($AB586="","",W586+T586)</f>
        <v/>
      </c>
      <c r="Y586" s="7">
        <f>IF($AB586="","",Z586-X586)</f>
        <v/>
      </c>
      <c r="Z586" s="7">
        <f>IF($AB586="","",S586+V586+Q586)</f>
        <v/>
      </c>
      <c r="AA586" s="7">
        <f>IF($AB586="","",Z586-X586-M586)</f>
        <v/>
      </c>
      <c r="AB586" s="13">
        <f>IF(ROWS($AB$2:$AB586)&lt;=MAX('Per Line'!$AK$2:$AK$4001),MATCH(ROWS($AB$2:$AB586),'Per Line'!$AK$2:$AK$4001,0),"")</f>
        <v/>
      </c>
      <c r="AC586" s="14">
        <f>IF($AB586="","",M586-L586*Z586/100)</f>
        <v/>
      </c>
    </row>
    <row r="587">
      <c r="A587" s="12" t="n"/>
      <c r="B587">
        <f>IF($AB587="","",INDEX('Per Line'!$C$2:$C$4001,$AB587)&amp;"")</f>
        <v/>
      </c>
      <c r="C587">
        <f>IF($AB587="","",INDEX('Per Line'!$D$2:$D$4001,$AB587)&amp;"")</f>
        <v/>
      </c>
      <c r="D587">
        <f>IF($AB587="","",INDEX('Per Line'!$B$2:$B$4001,$AB587)&amp;"")</f>
        <v/>
      </c>
      <c r="E587">
        <f>IF($AB587="","",INDEX('Per Line'!$A$2:$A$4001,$AB587))</f>
        <v/>
      </c>
      <c r="F587" s="11">
        <f>IF($AB587="","",INDEX('Per Line'!$E$2:$E$4001,$AB587))</f>
        <v/>
      </c>
      <c r="G587">
        <f>IF($AB587="","",INDEX('Per Line'!$F$2:$F$4001,$AB587)&amp;"")</f>
        <v/>
      </c>
      <c r="H587">
        <f>IF($AB587="","",INDEX('Per Line'!$H$2:$H$4001,$AB587)&amp;"")</f>
        <v/>
      </c>
      <c r="I587">
        <f>IF($AB587="","",INDEX('Per Line'!$I$2:$I$4001,$AB587)&amp;"")</f>
        <v/>
      </c>
      <c r="J587">
        <f>IF($AB587="","",INDEX('Per Line'!$J$2:$J$4001,$AB587)&amp;"")</f>
        <v/>
      </c>
      <c r="K587">
        <f>IF($AB587="","",INDEX('Per Line'!$K$2:$K$4001,$AB587)&amp;"")</f>
        <v/>
      </c>
      <c r="L587">
        <f>IF($AB587="","",INDEX('Per Line'!$L$2:$L$4001,$AB587))</f>
        <v/>
      </c>
      <c r="M587" s="7">
        <f>IF($AB587="","",IF(AND(ISNUMBER(O587),O587&gt;0,Z587&gt;O587),L587*O587/100+(Z587-O587),L587*Z587/100))</f>
        <v/>
      </c>
      <c r="N587">
        <f>IF($AB587="","",INDEX('Per Line'!$V$2:$V$4001,$AB587)&amp;"")</f>
        <v/>
      </c>
      <c r="O587">
        <f>IF($AB587="","",INDEX('Per Line'!$Z$2:$Z$4001,$AB587))</f>
        <v/>
      </c>
      <c r="P587">
        <f>IF($AB587="","",IF(AND(ISNUMBER(O587),O587&gt;0),Z587&gt;O587,FALSE))</f>
        <v/>
      </c>
      <c r="Q587" s="7">
        <f>IF($AB587="","",SUMIFS('Per Line'!$U$2:$U$4001,'Per Line'!$C$2:$C$4001,$B587,'Per Line'!$AM$2:$AM$4001,1))</f>
        <v/>
      </c>
      <c r="R587">
        <f>IF($AB587="","",Settings!$C$7)</f>
        <v/>
      </c>
      <c r="S587" s="7">
        <f>IF($AB587="","",SUMIFS('Per Line'!$U$2:$U$4001,'Per Line'!$C$2:$C$4001,$B587,'Per Line'!$AL$2:$AL$4001,0,'Per Line'!$AM$2:$AM$4001,0))</f>
        <v/>
      </c>
      <c r="T587" s="7">
        <f>IF($AB587="","",S587*R587)</f>
        <v/>
      </c>
      <c r="U587">
        <f>IF($AB587="","",Settings!$C$6)</f>
        <v/>
      </c>
      <c r="V587" s="7">
        <f>IF($AB587="","",SUMIFS('Per Line'!$U$2:$U$4001,'Per Line'!$C$2:$C$4001,$B587,'Per Line'!$AL$2:$AL$4001,1,'Per Line'!$AM$2:$AM$4001,0))</f>
        <v/>
      </c>
      <c r="W587" s="7">
        <f>IF($AB587="","",V587*U587)</f>
        <v/>
      </c>
      <c r="X587" s="7">
        <f>IF($AB587="","",W587+T587)</f>
        <v/>
      </c>
      <c r="Y587" s="7">
        <f>IF($AB587="","",Z587-X587)</f>
        <v/>
      </c>
      <c r="Z587" s="7">
        <f>IF($AB587="","",S587+V587+Q587)</f>
        <v/>
      </c>
      <c r="AA587" s="7">
        <f>IF($AB587="","",Z587-X587-M587)</f>
        <v/>
      </c>
      <c r="AB587" s="13">
        <f>IF(ROWS($AB$2:$AB587)&lt;=MAX('Per Line'!$AK$2:$AK$4001),MATCH(ROWS($AB$2:$AB587),'Per Line'!$AK$2:$AK$4001,0),"")</f>
        <v/>
      </c>
      <c r="AC587" s="14">
        <f>IF($AB587="","",M587-L587*Z587/100)</f>
        <v/>
      </c>
    </row>
    <row r="588">
      <c r="A588" s="12" t="n"/>
      <c r="B588">
        <f>IF($AB588="","",INDEX('Per Line'!$C$2:$C$4001,$AB588)&amp;"")</f>
        <v/>
      </c>
      <c r="C588">
        <f>IF($AB588="","",INDEX('Per Line'!$D$2:$D$4001,$AB588)&amp;"")</f>
        <v/>
      </c>
      <c r="D588">
        <f>IF($AB588="","",INDEX('Per Line'!$B$2:$B$4001,$AB588)&amp;"")</f>
        <v/>
      </c>
      <c r="E588">
        <f>IF($AB588="","",INDEX('Per Line'!$A$2:$A$4001,$AB588))</f>
        <v/>
      </c>
      <c r="F588" s="11">
        <f>IF($AB588="","",INDEX('Per Line'!$E$2:$E$4001,$AB588))</f>
        <v/>
      </c>
      <c r="G588">
        <f>IF($AB588="","",INDEX('Per Line'!$F$2:$F$4001,$AB588)&amp;"")</f>
        <v/>
      </c>
      <c r="H588">
        <f>IF($AB588="","",INDEX('Per Line'!$H$2:$H$4001,$AB588)&amp;"")</f>
        <v/>
      </c>
      <c r="I588">
        <f>IF($AB588="","",INDEX('Per Line'!$I$2:$I$4001,$AB588)&amp;"")</f>
        <v/>
      </c>
      <c r="J588">
        <f>IF($AB588="","",INDEX('Per Line'!$J$2:$J$4001,$AB588)&amp;"")</f>
        <v/>
      </c>
      <c r="K588">
        <f>IF($AB588="","",INDEX('Per Line'!$K$2:$K$4001,$AB588)&amp;"")</f>
        <v/>
      </c>
      <c r="L588">
        <f>IF($AB588="","",INDEX('Per Line'!$L$2:$L$4001,$AB588))</f>
        <v/>
      </c>
      <c r="M588" s="7">
        <f>IF($AB588="","",IF(AND(ISNUMBER(O588),O588&gt;0,Z588&gt;O588),L588*O588/100+(Z588-O588),L588*Z588/100))</f>
        <v/>
      </c>
      <c r="N588">
        <f>IF($AB588="","",INDEX('Per Line'!$V$2:$V$4001,$AB588)&amp;"")</f>
        <v/>
      </c>
      <c r="O588">
        <f>IF($AB588="","",INDEX('Per Line'!$Z$2:$Z$4001,$AB588))</f>
        <v/>
      </c>
      <c r="P588">
        <f>IF($AB588="","",IF(AND(ISNUMBER(O588),O588&gt;0),Z588&gt;O588,FALSE))</f>
        <v/>
      </c>
      <c r="Q588" s="7">
        <f>IF($AB588="","",SUMIFS('Per Line'!$U$2:$U$4001,'Per Line'!$C$2:$C$4001,$B588,'Per Line'!$AM$2:$AM$4001,1))</f>
        <v/>
      </c>
      <c r="R588">
        <f>IF($AB588="","",Settings!$C$7)</f>
        <v/>
      </c>
      <c r="S588" s="7">
        <f>IF($AB588="","",SUMIFS('Per Line'!$U$2:$U$4001,'Per Line'!$C$2:$C$4001,$B588,'Per Line'!$AL$2:$AL$4001,0,'Per Line'!$AM$2:$AM$4001,0))</f>
        <v/>
      </c>
      <c r="T588" s="7">
        <f>IF($AB588="","",S588*R588)</f>
        <v/>
      </c>
      <c r="U588">
        <f>IF($AB588="","",Settings!$C$6)</f>
        <v/>
      </c>
      <c r="V588" s="7">
        <f>IF($AB588="","",SUMIFS('Per Line'!$U$2:$U$4001,'Per Line'!$C$2:$C$4001,$B588,'Per Line'!$AL$2:$AL$4001,1,'Per Line'!$AM$2:$AM$4001,0))</f>
        <v/>
      </c>
      <c r="W588" s="7">
        <f>IF($AB588="","",V588*U588)</f>
        <v/>
      </c>
      <c r="X588" s="7">
        <f>IF($AB588="","",W588+T588)</f>
        <v/>
      </c>
      <c r="Y588" s="7">
        <f>IF($AB588="","",Z588-X588)</f>
        <v/>
      </c>
      <c r="Z588" s="7">
        <f>IF($AB588="","",S588+V588+Q588)</f>
        <v/>
      </c>
      <c r="AA588" s="7">
        <f>IF($AB588="","",Z588-X588-M588)</f>
        <v/>
      </c>
      <c r="AB588" s="13">
        <f>IF(ROWS($AB$2:$AB588)&lt;=MAX('Per Line'!$AK$2:$AK$4001),MATCH(ROWS($AB$2:$AB588),'Per Line'!$AK$2:$AK$4001,0),"")</f>
        <v/>
      </c>
      <c r="AC588" s="14">
        <f>IF($AB588="","",M588-L588*Z588/100)</f>
        <v/>
      </c>
    </row>
    <row r="589">
      <c r="A589" s="12" t="n"/>
      <c r="B589">
        <f>IF($AB589="","",INDEX('Per Line'!$C$2:$C$4001,$AB589)&amp;"")</f>
        <v/>
      </c>
      <c r="C589">
        <f>IF($AB589="","",INDEX('Per Line'!$D$2:$D$4001,$AB589)&amp;"")</f>
        <v/>
      </c>
      <c r="D589">
        <f>IF($AB589="","",INDEX('Per Line'!$B$2:$B$4001,$AB589)&amp;"")</f>
        <v/>
      </c>
      <c r="E589">
        <f>IF($AB589="","",INDEX('Per Line'!$A$2:$A$4001,$AB589))</f>
        <v/>
      </c>
      <c r="F589" s="11">
        <f>IF($AB589="","",INDEX('Per Line'!$E$2:$E$4001,$AB589))</f>
        <v/>
      </c>
      <c r="G589">
        <f>IF($AB589="","",INDEX('Per Line'!$F$2:$F$4001,$AB589)&amp;"")</f>
        <v/>
      </c>
      <c r="H589">
        <f>IF($AB589="","",INDEX('Per Line'!$H$2:$H$4001,$AB589)&amp;"")</f>
        <v/>
      </c>
      <c r="I589">
        <f>IF($AB589="","",INDEX('Per Line'!$I$2:$I$4001,$AB589)&amp;"")</f>
        <v/>
      </c>
      <c r="J589">
        <f>IF($AB589="","",INDEX('Per Line'!$J$2:$J$4001,$AB589)&amp;"")</f>
        <v/>
      </c>
      <c r="K589">
        <f>IF($AB589="","",INDEX('Per Line'!$K$2:$K$4001,$AB589)&amp;"")</f>
        <v/>
      </c>
      <c r="L589">
        <f>IF($AB589="","",INDEX('Per Line'!$L$2:$L$4001,$AB589))</f>
        <v/>
      </c>
      <c r="M589" s="7">
        <f>IF($AB589="","",IF(AND(ISNUMBER(O589),O589&gt;0,Z589&gt;O589),L589*O589/100+(Z589-O589),L589*Z589/100))</f>
        <v/>
      </c>
      <c r="N589">
        <f>IF($AB589="","",INDEX('Per Line'!$V$2:$V$4001,$AB589)&amp;"")</f>
        <v/>
      </c>
      <c r="O589">
        <f>IF($AB589="","",INDEX('Per Line'!$Z$2:$Z$4001,$AB589))</f>
        <v/>
      </c>
      <c r="P589">
        <f>IF($AB589="","",IF(AND(ISNUMBER(O589),O589&gt;0),Z589&gt;O589,FALSE))</f>
        <v/>
      </c>
      <c r="Q589" s="7">
        <f>IF($AB589="","",SUMIFS('Per Line'!$U$2:$U$4001,'Per Line'!$C$2:$C$4001,$B589,'Per Line'!$AM$2:$AM$4001,1))</f>
        <v/>
      </c>
      <c r="R589">
        <f>IF($AB589="","",Settings!$C$7)</f>
        <v/>
      </c>
      <c r="S589" s="7">
        <f>IF($AB589="","",SUMIFS('Per Line'!$U$2:$U$4001,'Per Line'!$C$2:$C$4001,$B589,'Per Line'!$AL$2:$AL$4001,0,'Per Line'!$AM$2:$AM$4001,0))</f>
        <v/>
      </c>
      <c r="T589" s="7">
        <f>IF($AB589="","",S589*R589)</f>
        <v/>
      </c>
      <c r="U589">
        <f>IF($AB589="","",Settings!$C$6)</f>
        <v/>
      </c>
      <c r="V589" s="7">
        <f>IF($AB589="","",SUMIFS('Per Line'!$U$2:$U$4001,'Per Line'!$C$2:$C$4001,$B589,'Per Line'!$AL$2:$AL$4001,1,'Per Line'!$AM$2:$AM$4001,0))</f>
        <v/>
      </c>
      <c r="W589" s="7">
        <f>IF($AB589="","",V589*U589)</f>
        <v/>
      </c>
      <c r="X589" s="7">
        <f>IF($AB589="","",W589+T589)</f>
        <v/>
      </c>
      <c r="Y589" s="7">
        <f>IF($AB589="","",Z589-X589)</f>
        <v/>
      </c>
      <c r="Z589" s="7">
        <f>IF($AB589="","",S589+V589+Q589)</f>
        <v/>
      </c>
      <c r="AA589" s="7">
        <f>IF($AB589="","",Z589-X589-M589)</f>
        <v/>
      </c>
      <c r="AB589" s="13">
        <f>IF(ROWS($AB$2:$AB589)&lt;=MAX('Per Line'!$AK$2:$AK$4001),MATCH(ROWS($AB$2:$AB589),'Per Line'!$AK$2:$AK$4001,0),"")</f>
        <v/>
      </c>
      <c r="AC589" s="14">
        <f>IF($AB589="","",M589-L589*Z589/100)</f>
        <v/>
      </c>
    </row>
    <row r="590">
      <c r="A590" s="12" t="n"/>
      <c r="B590">
        <f>IF($AB590="","",INDEX('Per Line'!$C$2:$C$4001,$AB590)&amp;"")</f>
        <v/>
      </c>
      <c r="C590">
        <f>IF($AB590="","",INDEX('Per Line'!$D$2:$D$4001,$AB590)&amp;"")</f>
        <v/>
      </c>
      <c r="D590">
        <f>IF($AB590="","",INDEX('Per Line'!$B$2:$B$4001,$AB590)&amp;"")</f>
        <v/>
      </c>
      <c r="E590">
        <f>IF($AB590="","",INDEX('Per Line'!$A$2:$A$4001,$AB590))</f>
        <v/>
      </c>
      <c r="F590" s="11">
        <f>IF($AB590="","",INDEX('Per Line'!$E$2:$E$4001,$AB590))</f>
        <v/>
      </c>
      <c r="G590">
        <f>IF($AB590="","",INDEX('Per Line'!$F$2:$F$4001,$AB590)&amp;"")</f>
        <v/>
      </c>
      <c r="H590">
        <f>IF($AB590="","",INDEX('Per Line'!$H$2:$H$4001,$AB590)&amp;"")</f>
        <v/>
      </c>
      <c r="I590">
        <f>IF($AB590="","",INDEX('Per Line'!$I$2:$I$4001,$AB590)&amp;"")</f>
        <v/>
      </c>
      <c r="J590">
        <f>IF($AB590="","",INDEX('Per Line'!$J$2:$J$4001,$AB590)&amp;"")</f>
        <v/>
      </c>
      <c r="K590">
        <f>IF($AB590="","",INDEX('Per Line'!$K$2:$K$4001,$AB590)&amp;"")</f>
        <v/>
      </c>
      <c r="L590">
        <f>IF($AB590="","",INDEX('Per Line'!$L$2:$L$4001,$AB590))</f>
        <v/>
      </c>
      <c r="M590" s="7">
        <f>IF($AB590="","",IF(AND(ISNUMBER(O590),O590&gt;0,Z590&gt;O590),L590*O590/100+(Z590-O590),L590*Z590/100))</f>
        <v/>
      </c>
      <c r="N590">
        <f>IF($AB590="","",INDEX('Per Line'!$V$2:$V$4001,$AB590)&amp;"")</f>
        <v/>
      </c>
      <c r="O590">
        <f>IF($AB590="","",INDEX('Per Line'!$Z$2:$Z$4001,$AB590))</f>
        <v/>
      </c>
      <c r="P590">
        <f>IF($AB590="","",IF(AND(ISNUMBER(O590),O590&gt;0),Z590&gt;O590,FALSE))</f>
        <v/>
      </c>
      <c r="Q590" s="7">
        <f>IF($AB590="","",SUMIFS('Per Line'!$U$2:$U$4001,'Per Line'!$C$2:$C$4001,$B590,'Per Line'!$AM$2:$AM$4001,1))</f>
        <v/>
      </c>
      <c r="R590">
        <f>IF($AB590="","",Settings!$C$7)</f>
        <v/>
      </c>
      <c r="S590" s="7">
        <f>IF($AB590="","",SUMIFS('Per Line'!$U$2:$U$4001,'Per Line'!$C$2:$C$4001,$B590,'Per Line'!$AL$2:$AL$4001,0,'Per Line'!$AM$2:$AM$4001,0))</f>
        <v/>
      </c>
      <c r="T590" s="7">
        <f>IF($AB590="","",S590*R590)</f>
        <v/>
      </c>
      <c r="U590">
        <f>IF($AB590="","",Settings!$C$6)</f>
        <v/>
      </c>
      <c r="V590" s="7">
        <f>IF($AB590="","",SUMIFS('Per Line'!$U$2:$U$4001,'Per Line'!$C$2:$C$4001,$B590,'Per Line'!$AL$2:$AL$4001,1,'Per Line'!$AM$2:$AM$4001,0))</f>
        <v/>
      </c>
      <c r="W590" s="7">
        <f>IF($AB590="","",V590*U590)</f>
        <v/>
      </c>
      <c r="X590" s="7">
        <f>IF($AB590="","",W590+T590)</f>
        <v/>
      </c>
      <c r="Y590" s="7">
        <f>IF($AB590="","",Z590-X590)</f>
        <v/>
      </c>
      <c r="Z590" s="7">
        <f>IF($AB590="","",S590+V590+Q590)</f>
        <v/>
      </c>
      <c r="AA590" s="7">
        <f>IF($AB590="","",Z590-X590-M590)</f>
        <v/>
      </c>
      <c r="AB590" s="13">
        <f>IF(ROWS($AB$2:$AB590)&lt;=MAX('Per Line'!$AK$2:$AK$4001),MATCH(ROWS($AB$2:$AB590),'Per Line'!$AK$2:$AK$4001,0),"")</f>
        <v/>
      </c>
      <c r="AC590" s="14">
        <f>IF($AB590="","",M590-L590*Z590/100)</f>
        <v/>
      </c>
    </row>
    <row r="591">
      <c r="A591" s="12" t="n"/>
      <c r="B591">
        <f>IF($AB591="","",INDEX('Per Line'!$C$2:$C$4001,$AB591)&amp;"")</f>
        <v/>
      </c>
      <c r="C591">
        <f>IF($AB591="","",INDEX('Per Line'!$D$2:$D$4001,$AB591)&amp;"")</f>
        <v/>
      </c>
      <c r="D591">
        <f>IF($AB591="","",INDEX('Per Line'!$B$2:$B$4001,$AB591)&amp;"")</f>
        <v/>
      </c>
      <c r="E591">
        <f>IF($AB591="","",INDEX('Per Line'!$A$2:$A$4001,$AB591))</f>
        <v/>
      </c>
      <c r="F591" s="11">
        <f>IF($AB591="","",INDEX('Per Line'!$E$2:$E$4001,$AB591))</f>
        <v/>
      </c>
      <c r="G591">
        <f>IF($AB591="","",INDEX('Per Line'!$F$2:$F$4001,$AB591)&amp;"")</f>
        <v/>
      </c>
      <c r="H591">
        <f>IF($AB591="","",INDEX('Per Line'!$H$2:$H$4001,$AB591)&amp;"")</f>
        <v/>
      </c>
      <c r="I591">
        <f>IF($AB591="","",INDEX('Per Line'!$I$2:$I$4001,$AB591)&amp;"")</f>
        <v/>
      </c>
      <c r="J591">
        <f>IF($AB591="","",INDEX('Per Line'!$J$2:$J$4001,$AB591)&amp;"")</f>
        <v/>
      </c>
      <c r="K591">
        <f>IF($AB591="","",INDEX('Per Line'!$K$2:$K$4001,$AB591)&amp;"")</f>
        <v/>
      </c>
      <c r="L591">
        <f>IF($AB591="","",INDEX('Per Line'!$L$2:$L$4001,$AB591))</f>
        <v/>
      </c>
      <c r="M591" s="7">
        <f>IF($AB591="","",IF(AND(ISNUMBER(O591),O591&gt;0,Z591&gt;O591),L591*O591/100+(Z591-O591),L591*Z591/100))</f>
        <v/>
      </c>
      <c r="N591">
        <f>IF($AB591="","",INDEX('Per Line'!$V$2:$V$4001,$AB591)&amp;"")</f>
        <v/>
      </c>
      <c r="O591">
        <f>IF($AB591="","",INDEX('Per Line'!$Z$2:$Z$4001,$AB591))</f>
        <v/>
      </c>
      <c r="P591">
        <f>IF($AB591="","",IF(AND(ISNUMBER(O591),O591&gt;0),Z591&gt;O591,FALSE))</f>
        <v/>
      </c>
      <c r="Q591" s="7">
        <f>IF($AB591="","",SUMIFS('Per Line'!$U$2:$U$4001,'Per Line'!$C$2:$C$4001,$B591,'Per Line'!$AM$2:$AM$4001,1))</f>
        <v/>
      </c>
      <c r="R591">
        <f>IF($AB591="","",Settings!$C$7)</f>
        <v/>
      </c>
      <c r="S591" s="7">
        <f>IF($AB591="","",SUMIFS('Per Line'!$U$2:$U$4001,'Per Line'!$C$2:$C$4001,$B591,'Per Line'!$AL$2:$AL$4001,0,'Per Line'!$AM$2:$AM$4001,0))</f>
        <v/>
      </c>
      <c r="T591" s="7">
        <f>IF($AB591="","",S591*R591)</f>
        <v/>
      </c>
      <c r="U591">
        <f>IF($AB591="","",Settings!$C$6)</f>
        <v/>
      </c>
      <c r="V591" s="7">
        <f>IF($AB591="","",SUMIFS('Per Line'!$U$2:$U$4001,'Per Line'!$C$2:$C$4001,$B591,'Per Line'!$AL$2:$AL$4001,1,'Per Line'!$AM$2:$AM$4001,0))</f>
        <v/>
      </c>
      <c r="W591" s="7">
        <f>IF($AB591="","",V591*U591)</f>
        <v/>
      </c>
      <c r="X591" s="7">
        <f>IF($AB591="","",W591+T591)</f>
        <v/>
      </c>
      <c r="Y591" s="7">
        <f>IF($AB591="","",Z591-X591)</f>
        <v/>
      </c>
      <c r="Z591" s="7">
        <f>IF($AB591="","",S591+V591+Q591)</f>
        <v/>
      </c>
      <c r="AA591" s="7">
        <f>IF($AB591="","",Z591-X591-M591)</f>
        <v/>
      </c>
      <c r="AB591" s="13">
        <f>IF(ROWS($AB$2:$AB591)&lt;=MAX('Per Line'!$AK$2:$AK$4001),MATCH(ROWS($AB$2:$AB591),'Per Line'!$AK$2:$AK$4001,0),"")</f>
        <v/>
      </c>
      <c r="AC591" s="14">
        <f>IF($AB591="","",M591-L591*Z591/100)</f>
        <v/>
      </c>
    </row>
    <row r="592">
      <c r="A592" s="12" t="n"/>
      <c r="B592">
        <f>IF($AB592="","",INDEX('Per Line'!$C$2:$C$4001,$AB592)&amp;"")</f>
        <v/>
      </c>
      <c r="C592">
        <f>IF($AB592="","",INDEX('Per Line'!$D$2:$D$4001,$AB592)&amp;"")</f>
        <v/>
      </c>
      <c r="D592">
        <f>IF($AB592="","",INDEX('Per Line'!$B$2:$B$4001,$AB592)&amp;"")</f>
        <v/>
      </c>
      <c r="E592">
        <f>IF($AB592="","",INDEX('Per Line'!$A$2:$A$4001,$AB592))</f>
        <v/>
      </c>
      <c r="F592" s="11">
        <f>IF($AB592="","",INDEX('Per Line'!$E$2:$E$4001,$AB592))</f>
        <v/>
      </c>
      <c r="G592">
        <f>IF($AB592="","",INDEX('Per Line'!$F$2:$F$4001,$AB592)&amp;"")</f>
        <v/>
      </c>
      <c r="H592">
        <f>IF($AB592="","",INDEX('Per Line'!$H$2:$H$4001,$AB592)&amp;"")</f>
        <v/>
      </c>
      <c r="I592">
        <f>IF($AB592="","",INDEX('Per Line'!$I$2:$I$4001,$AB592)&amp;"")</f>
        <v/>
      </c>
      <c r="J592">
        <f>IF($AB592="","",INDEX('Per Line'!$J$2:$J$4001,$AB592)&amp;"")</f>
        <v/>
      </c>
      <c r="K592">
        <f>IF($AB592="","",INDEX('Per Line'!$K$2:$K$4001,$AB592)&amp;"")</f>
        <v/>
      </c>
      <c r="L592">
        <f>IF($AB592="","",INDEX('Per Line'!$L$2:$L$4001,$AB592))</f>
        <v/>
      </c>
      <c r="M592" s="7">
        <f>IF($AB592="","",IF(AND(ISNUMBER(O592),O592&gt;0,Z592&gt;O592),L592*O592/100+(Z592-O592),L592*Z592/100))</f>
        <v/>
      </c>
      <c r="N592">
        <f>IF($AB592="","",INDEX('Per Line'!$V$2:$V$4001,$AB592)&amp;"")</f>
        <v/>
      </c>
      <c r="O592">
        <f>IF($AB592="","",INDEX('Per Line'!$Z$2:$Z$4001,$AB592))</f>
        <v/>
      </c>
      <c r="P592">
        <f>IF($AB592="","",IF(AND(ISNUMBER(O592),O592&gt;0),Z592&gt;O592,FALSE))</f>
        <v/>
      </c>
      <c r="Q592" s="7">
        <f>IF($AB592="","",SUMIFS('Per Line'!$U$2:$U$4001,'Per Line'!$C$2:$C$4001,$B592,'Per Line'!$AM$2:$AM$4001,1))</f>
        <v/>
      </c>
      <c r="R592">
        <f>IF($AB592="","",Settings!$C$7)</f>
        <v/>
      </c>
      <c r="S592" s="7">
        <f>IF($AB592="","",SUMIFS('Per Line'!$U$2:$U$4001,'Per Line'!$C$2:$C$4001,$B592,'Per Line'!$AL$2:$AL$4001,0,'Per Line'!$AM$2:$AM$4001,0))</f>
        <v/>
      </c>
      <c r="T592" s="7">
        <f>IF($AB592="","",S592*R592)</f>
        <v/>
      </c>
      <c r="U592">
        <f>IF($AB592="","",Settings!$C$6)</f>
        <v/>
      </c>
      <c r="V592" s="7">
        <f>IF($AB592="","",SUMIFS('Per Line'!$U$2:$U$4001,'Per Line'!$C$2:$C$4001,$B592,'Per Line'!$AL$2:$AL$4001,1,'Per Line'!$AM$2:$AM$4001,0))</f>
        <v/>
      </c>
      <c r="W592" s="7">
        <f>IF($AB592="","",V592*U592)</f>
        <v/>
      </c>
      <c r="X592" s="7">
        <f>IF($AB592="","",W592+T592)</f>
        <v/>
      </c>
      <c r="Y592" s="7">
        <f>IF($AB592="","",Z592-X592)</f>
        <v/>
      </c>
      <c r="Z592" s="7">
        <f>IF($AB592="","",S592+V592+Q592)</f>
        <v/>
      </c>
      <c r="AA592" s="7">
        <f>IF($AB592="","",Z592-X592-M592)</f>
        <v/>
      </c>
      <c r="AB592" s="13">
        <f>IF(ROWS($AB$2:$AB592)&lt;=MAX('Per Line'!$AK$2:$AK$4001),MATCH(ROWS($AB$2:$AB592),'Per Line'!$AK$2:$AK$4001,0),"")</f>
        <v/>
      </c>
      <c r="AC592" s="14">
        <f>IF($AB592="","",M592-L592*Z592/100)</f>
        <v/>
      </c>
    </row>
    <row r="593">
      <c r="A593" s="12" t="n"/>
      <c r="B593">
        <f>IF($AB593="","",INDEX('Per Line'!$C$2:$C$4001,$AB593)&amp;"")</f>
        <v/>
      </c>
      <c r="C593">
        <f>IF($AB593="","",INDEX('Per Line'!$D$2:$D$4001,$AB593)&amp;"")</f>
        <v/>
      </c>
      <c r="D593">
        <f>IF($AB593="","",INDEX('Per Line'!$B$2:$B$4001,$AB593)&amp;"")</f>
        <v/>
      </c>
      <c r="E593">
        <f>IF($AB593="","",INDEX('Per Line'!$A$2:$A$4001,$AB593))</f>
        <v/>
      </c>
      <c r="F593" s="11">
        <f>IF($AB593="","",INDEX('Per Line'!$E$2:$E$4001,$AB593))</f>
        <v/>
      </c>
      <c r="G593">
        <f>IF($AB593="","",INDEX('Per Line'!$F$2:$F$4001,$AB593)&amp;"")</f>
        <v/>
      </c>
      <c r="H593">
        <f>IF($AB593="","",INDEX('Per Line'!$H$2:$H$4001,$AB593)&amp;"")</f>
        <v/>
      </c>
      <c r="I593">
        <f>IF($AB593="","",INDEX('Per Line'!$I$2:$I$4001,$AB593)&amp;"")</f>
        <v/>
      </c>
      <c r="J593">
        <f>IF($AB593="","",INDEX('Per Line'!$J$2:$J$4001,$AB593)&amp;"")</f>
        <v/>
      </c>
      <c r="K593">
        <f>IF($AB593="","",INDEX('Per Line'!$K$2:$K$4001,$AB593)&amp;"")</f>
        <v/>
      </c>
      <c r="L593">
        <f>IF($AB593="","",INDEX('Per Line'!$L$2:$L$4001,$AB593))</f>
        <v/>
      </c>
      <c r="M593" s="7">
        <f>IF($AB593="","",IF(AND(ISNUMBER(O593),O593&gt;0,Z593&gt;O593),L593*O593/100+(Z593-O593),L593*Z593/100))</f>
        <v/>
      </c>
      <c r="N593">
        <f>IF($AB593="","",INDEX('Per Line'!$V$2:$V$4001,$AB593)&amp;"")</f>
        <v/>
      </c>
      <c r="O593">
        <f>IF($AB593="","",INDEX('Per Line'!$Z$2:$Z$4001,$AB593))</f>
        <v/>
      </c>
      <c r="P593">
        <f>IF($AB593="","",IF(AND(ISNUMBER(O593),O593&gt;0),Z593&gt;O593,FALSE))</f>
        <v/>
      </c>
      <c r="Q593" s="7">
        <f>IF($AB593="","",SUMIFS('Per Line'!$U$2:$U$4001,'Per Line'!$C$2:$C$4001,$B593,'Per Line'!$AM$2:$AM$4001,1))</f>
        <v/>
      </c>
      <c r="R593">
        <f>IF($AB593="","",Settings!$C$7)</f>
        <v/>
      </c>
      <c r="S593" s="7">
        <f>IF($AB593="","",SUMIFS('Per Line'!$U$2:$U$4001,'Per Line'!$C$2:$C$4001,$B593,'Per Line'!$AL$2:$AL$4001,0,'Per Line'!$AM$2:$AM$4001,0))</f>
        <v/>
      </c>
      <c r="T593" s="7">
        <f>IF($AB593="","",S593*R593)</f>
        <v/>
      </c>
      <c r="U593">
        <f>IF($AB593="","",Settings!$C$6)</f>
        <v/>
      </c>
      <c r="V593" s="7">
        <f>IF($AB593="","",SUMIFS('Per Line'!$U$2:$U$4001,'Per Line'!$C$2:$C$4001,$B593,'Per Line'!$AL$2:$AL$4001,1,'Per Line'!$AM$2:$AM$4001,0))</f>
        <v/>
      </c>
      <c r="W593" s="7">
        <f>IF($AB593="","",V593*U593)</f>
        <v/>
      </c>
      <c r="X593" s="7">
        <f>IF($AB593="","",W593+T593)</f>
        <v/>
      </c>
      <c r="Y593" s="7">
        <f>IF($AB593="","",Z593-X593)</f>
        <v/>
      </c>
      <c r="Z593" s="7">
        <f>IF($AB593="","",S593+V593+Q593)</f>
        <v/>
      </c>
      <c r="AA593" s="7">
        <f>IF($AB593="","",Z593-X593-M593)</f>
        <v/>
      </c>
      <c r="AB593" s="13">
        <f>IF(ROWS($AB$2:$AB593)&lt;=MAX('Per Line'!$AK$2:$AK$4001),MATCH(ROWS($AB$2:$AB593),'Per Line'!$AK$2:$AK$4001,0),"")</f>
        <v/>
      </c>
      <c r="AC593" s="14">
        <f>IF($AB593="","",M593-L593*Z593/100)</f>
        <v/>
      </c>
    </row>
    <row r="594">
      <c r="A594" s="12" t="n"/>
      <c r="B594">
        <f>IF($AB594="","",INDEX('Per Line'!$C$2:$C$4001,$AB594)&amp;"")</f>
        <v/>
      </c>
      <c r="C594">
        <f>IF($AB594="","",INDEX('Per Line'!$D$2:$D$4001,$AB594)&amp;"")</f>
        <v/>
      </c>
      <c r="D594">
        <f>IF($AB594="","",INDEX('Per Line'!$B$2:$B$4001,$AB594)&amp;"")</f>
        <v/>
      </c>
      <c r="E594">
        <f>IF($AB594="","",INDEX('Per Line'!$A$2:$A$4001,$AB594))</f>
        <v/>
      </c>
      <c r="F594" s="11">
        <f>IF($AB594="","",INDEX('Per Line'!$E$2:$E$4001,$AB594))</f>
        <v/>
      </c>
      <c r="G594">
        <f>IF($AB594="","",INDEX('Per Line'!$F$2:$F$4001,$AB594)&amp;"")</f>
        <v/>
      </c>
      <c r="H594">
        <f>IF($AB594="","",INDEX('Per Line'!$H$2:$H$4001,$AB594)&amp;"")</f>
        <v/>
      </c>
      <c r="I594">
        <f>IF($AB594="","",INDEX('Per Line'!$I$2:$I$4001,$AB594)&amp;"")</f>
        <v/>
      </c>
      <c r="J594">
        <f>IF($AB594="","",INDEX('Per Line'!$J$2:$J$4001,$AB594)&amp;"")</f>
        <v/>
      </c>
      <c r="K594">
        <f>IF($AB594="","",INDEX('Per Line'!$K$2:$K$4001,$AB594)&amp;"")</f>
        <v/>
      </c>
      <c r="L594">
        <f>IF($AB594="","",INDEX('Per Line'!$L$2:$L$4001,$AB594))</f>
        <v/>
      </c>
      <c r="M594" s="7">
        <f>IF($AB594="","",IF(AND(ISNUMBER(O594),O594&gt;0,Z594&gt;O594),L594*O594/100+(Z594-O594),L594*Z594/100))</f>
        <v/>
      </c>
      <c r="N594">
        <f>IF($AB594="","",INDEX('Per Line'!$V$2:$V$4001,$AB594)&amp;"")</f>
        <v/>
      </c>
      <c r="O594">
        <f>IF($AB594="","",INDEX('Per Line'!$Z$2:$Z$4001,$AB594))</f>
        <v/>
      </c>
      <c r="P594">
        <f>IF($AB594="","",IF(AND(ISNUMBER(O594),O594&gt;0),Z594&gt;O594,FALSE))</f>
        <v/>
      </c>
      <c r="Q594" s="7">
        <f>IF($AB594="","",SUMIFS('Per Line'!$U$2:$U$4001,'Per Line'!$C$2:$C$4001,$B594,'Per Line'!$AM$2:$AM$4001,1))</f>
        <v/>
      </c>
      <c r="R594">
        <f>IF($AB594="","",Settings!$C$7)</f>
        <v/>
      </c>
      <c r="S594" s="7">
        <f>IF($AB594="","",SUMIFS('Per Line'!$U$2:$U$4001,'Per Line'!$C$2:$C$4001,$B594,'Per Line'!$AL$2:$AL$4001,0,'Per Line'!$AM$2:$AM$4001,0))</f>
        <v/>
      </c>
      <c r="T594" s="7">
        <f>IF($AB594="","",S594*R594)</f>
        <v/>
      </c>
      <c r="U594">
        <f>IF($AB594="","",Settings!$C$6)</f>
        <v/>
      </c>
      <c r="V594" s="7">
        <f>IF($AB594="","",SUMIFS('Per Line'!$U$2:$U$4001,'Per Line'!$C$2:$C$4001,$B594,'Per Line'!$AL$2:$AL$4001,1,'Per Line'!$AM$2:$AM$4001,0))</f>
        <v/>
      </c>
      <c r="W594" s="7">
        <f>IF($AB594="","",V594*U594)</f>
        <v/>
      </c>
      <c r="X594" s="7">
        <f>IF($AB594="","",W594+T594)</f>
        <v/>
      </c>
      <c r="Y594" s="7">
        <f>IF($AB594="","",Z594-X594)</f>
        <v/>
      </c>
      <c r="Z594" s="7">
        <f>IF($AB594="","",S594+V594+Q594)</f>
        <v/>
      </c>
      <c r="AA594" s="7">
        <f>IF($AB594="","",Z594-X594-M594)</f>
        <v/>
      </c>
      <c r="AB594" s="13">
        <f>IF(ROWS($AB$2:$AB594)&lt;=MAX('Per Line'!$AK$2:$AK$4001),MATCH(ROWS($AB$2:$AB594),'Per Line'!$AK$2:$AK$4001,0),"")</f>
        <v/>
      </c>
      <c r="AC594" s="14">
        <f>IF($AB594="","",M594-L594*Z594/100)</f>
        <v/>
      </c>
    </row>
    <row r="595">
      <c r="A595" s="12" t="n"/>
      <c r="B595">
        <f>IF($AB595="","",INDEX('Per Line'!$C$2:$C$4001,$AB595)&amp;"")</f>
        <v/>
      </c>
      <c r="C595">
        <f>IF($AB595="","",INDEX('Per Line'!$D$2:$D$4001,$AB595)&amp;"")</f>
        <v/>
      </c>
      <c r="D595">
        <f>IF($AB595="","",INDEX('Per Line'!$B$2:$B$4001,$AB595)&amp;"")</f>
        <v/>
      </c>
      <c r="E595">
        <f>IF($AB595="","",INDEX('Per Line'!$A$2:$A$4001,$AB595))</f>
        <v/>
      </c>
      <c r="F595" s="11">
        <f>IF($AB595="","",INDEX('Per Line'!$E$2:$E$4001,$AB595))</f>
        <v/>
      </c>
      <c r="G595">
        <f>IF($AB595="","",INDEX('Per Line'!$F$2:$F$4001,$AB595)&amp;"")</f>
        <v/>
      </c>
      <c r="H595">
        <f>IF($AB595="","",INDEX('Per Line'!$H$2:$H$4001,$AB595)&amp;"")</f>
        <v/>
      </c>
      <c r="I595">
        <f>IF($AB595="","",INDEX('Per Line'!$I$2:$I$4001,$AB595)&amp;"")</f>
        <v/>
      </c>
      <c r="J595">
        <f>IF($AB595="","",INDEX('Per Line'!$J$2:$J$4001,$AB595)&amp;"")</f>
        <v/>
      </c>
      <c r="K595">
        <f>IF($AB595="","",INDEX('Per Line'!$K$2:$K$4001,$AB595)&amp;"")</f>
        <v/>
      </c>
      <c r="L595">
        <f>IF($AB595="","",INDEX('Per Line'!$L$2:$L$4001,$AB595))</f>
        <v/>
      </c>
      <c r="M595" s="7">
        <f>IF($AB595="","",IF(AND(ISNUMBER(O595),O595&gt;0,Z595&gt;O595),L595*O595/100+(Z595-O595),L595*Z595/100))</f>
        <v/>
      </c>
      <c r="N595">
        <f>IF($AB595="","",INDEX('Per Line'!$V$2:$V$4001,$AB595)&amp;"")</f>
        <v/>
      </c>
      <c r="O595">
        <f>IF($AB595="","",INDEX('Per Line'!$Z$2:$Z$4001,$AB595))</f>
        <v/>
      </c>
      <c r="P595">
        <f>IF($AB595="","",IF(AND(ISNUMBER(O595),O595&gt;0),Z595&gt;O595,FALSE))</f>
        <v/>
      </c>
      <c r="Q595" s="7">
        <f>IF($AB595="","",SUMIFS('Per Line'!$U$2:$U$4001,'Per Line'!$C$2:$C$4001,$B595,'Per Line'!$AM$2:$AM$4001,1))</f>
        <v/>
      </c>
      <c r="R595">
        <f>IF($AB595="","",Settings!$C$7)</f>
        <v/>
      </c>
      <c r="S595" s="7">
        <f>IF($AB595="","",SUMIFS('Per Line'!$U$2:$U$4001,'Per Line'!$C$2:$C$4001,$B595,'Per Line'!$AL$2:$AL$4001,0,'Per Line'!$AM$2:$AM$4001,0))</f>
        <v/>
      </c>
      <c r="T595" s="7">
        <f>IF($AB595="","",S595*R595)</f>
        <v/>
      </c>
      <c r="U595">
        <f>IF($AB595="","",Settings!$C$6)</f>
        <v/>
      </c>
      <c r="V595" s="7">
        <f>IF($AB595="","",SUMIFS('Per Line'!$U$2:$U$4001,'Per Line'!$C$2:$C$4001,$B595,'Per Line'!$AL$2:$AL$4001,1,'Per Line'!$AM$2:$AM$4001,0))</f>
        <v/>
      </c>
      <c r="W595" s="7">
        <f>IF($AB595="","",V595*U595)</f>
        <v/>
      </c>
      <c r="X595" s="7">
        <f>IF($AB595="","",W595+T595)</f>
        <v/>
      </c>
      <c r="Y595" s="7">
        <f>IF($AB595="","",Z595-X595)</f>
        <v/>
      </c>
      <c r="Z595" s="7">
        <f>IF($AB595="","",S595+V595+Q595)</f>
        <v/>
      </c>
      <c r="AA595" s="7">
        <f>IF($AB595="","",Z595-X595-M595)</f>
        <v/>
      </c>
      <c r="AB595" s="13">
        <f>IF(ROWS($AB$2:$AB595)&lt;=MAX('Per Line'!$AK$2:$AK$4001),MATCH(ROWS($AB$2:$AB595),'Per Line'!$AK$2:$AK$4001,0),"")</f>
        <v/>
      </c>
      <c r="AC595" s="14">
        <f>IF($AB595="","",M595-L595*Z595/100)</f>
        <v/>
      </c>
    </row>
    <row r="596">
      <c r="A596" s="12" t="n"/>
      <c r="B596">
        <f>IF($AB596="","",INDEX('Per Line'!$C$2:$C$4001,$AB596)&amp;"")</f>
        <v/>
      </c>
      <c r="C596">
        <f>IF($AB596="","",INDEX('Per Line'!$D$2:$D$4001,$AB596)&amp;"")</f>
        <v/>
      </c>
      <c r="D596">
        <f>IF($AB596="","",INDEX('Per Line'!$B$2:$B$4001,$AB596)&amp;"")</f>
        <v/>
      </c>
      <c r="E596">
        <f>IF($AB596="","",INDEX('Per Line'!$A$2:$A$4001,$AB596))</f>
        <v/>
      </c>
      <c r="F596" s="11">
        <f>IF($AB596="","",INDEX('Per Line'!$E$2:$E$4001,$AB596))</f>
        <v/>
      </c>
      <c r="G596">
        <f>IF($AB596="","",INDEX('Per Line'!$F$2:$F$4001,$AB596)&amp;"")</f>
        <v/>
      </c>
      <c r="H596">
        <f>IF($AB596="","",INDEX('Per Line'!$H$2:$H$4001,$AB596)&amp;"")</f>
        <v/>
      </c>
      <c r="I596">
        <f>IF($AB596="","",INDEX('Per Line'!$I$2:$I$4001,$AB596)&amp;"")</f>
        <v/>
      </c>
      <c r="J596">
        <f>IF($AB596="","",INDEX('Per Line'!$J$2:$J$4001,$AB596)&amp;"")</f>
        <v/>
      </c>
      <c r="K596">
        <f>IF($AB596="","",INDEX('Per Line'!$K$2:$K$4001,$AB596)&amp;"")</f>
        <v/>
      </c>
      <c r="L596">
        <f>IF($AB596="","",INDEX('Per Line'!$L$2:$L$4001,$AB596))</f>
        <v/>
      </c>
      <c r="M596" s="7">
        <f>IF($AB596="","",IF(AND(ISNUMBER(O596),O596&gt;0,Z596&gt;O596),L596*O596/100+(Z596-O596),L596*Z596/100))</f>
        <v/>
      </c>
      <c r="N596">
        <f>IF($AB596="","",INDEX('Per Line'!$V$2:$V$4001,$AB596)&amp;"")</f>
        <v/>
      </c>
      <c r="O596">
        <f>IF($AB596="","",INDEX('Per Line'!$Z$2:$Z$4001,$AB596))</f>
        <v/>
      </c>
      <c r="P596">
        <f>IF($AB596="","",IF(AND(ISNUMBER(O596),O596&gt;0),Z596&gt;O596,FALSE))</f>
        <v/>
      </c>
      <c r="Q596" s="7">
        <f>IF($AB596="","",SUMIFS('Per Line'!$U$2:$U$4001,'Per Line'!$C$2:$C$4001,$B596,'Per Line'!$AM$2:$AM$4001,1))</f>
        <v/>
      </c>
      <c r="R596">
        <f>IF($AB596="","",Settings!$C$7)</f>
        <v/>
      </c>
      <c r="S596" s="7">
        <f>IF($AB596="","",SUMIFS('Per Line'!$U$2:$U$4001,'Per Line'!$C$2:$C$4001,$B596,'Per Line'!$AL$2:$AL$4001,0,'Per Line'!$AM$2:$AM$4001,0))</f>
        <v/>
      </c>
      <c r="T596" s="7">
        <f>IF($AB596="","",S596*R596)</f>
        <v/>
      </c>
      <c r="U596">
        <f>IF($AB596="","",Settings!$C$6)</f>
        <v/>
      </c>
      <c r="V596" s="7">
        <f>IF($AB596="","",SUMIFS('Per Line'!$U$2:$U$4001,'Per Line'!$C$2:$C$4001,$B596,'Per Line'!$AL$2:$AL$4001,1,'Per Line'!$AM$2:$AM$4001,0))</f>
        <v/>
      </c>
      <c r="W596" s="7">
        <f>IF($AB596="","",V596*U596)</f>
        <v/>
      </c>
      <c r="X596" s="7">
        <f>IF($AB596="","",W596+T596)</f>
        <v/>
      </c>
      <c r="Y596" s="7">
        <f>IF($AB596="","",Z596-X596)</f>
        <v/>
      </c>
      <c r="Z596" s="7">
        <f>IF($AB596="","",S596+V596+Q596)</f>
        <v/>
      </c>
      <c r="AA596" s="7">
        <f>IF($AB596="","",Z596-X596-M596)</f>
        <v/>
      </c>
      <c r="AB596" s="13">
        <f>IF(ROWS($AB$2:$AB596)&lt;=MAX('Per Line'!$AK$2:$AK$4001),MATCH(ROWS($AB$2:$AB596),'Per Line'!$AK$2:$AK$4001,0),"")</f>
        <v/>
      </c>
      <c r="AC596" s="14">
        <f>IF($AB596="","",M596-L596*Z596/100)</f>
        <v/>
      </c>
    </row>
    <row r="597">
      <c r="A597" s="12" t="n"/>
      <c r="B597">
        <f>IF($AB597="","",INDEX('Per Line'!$C$2:$C$4001,$AB597)&amp;"")</f>
        <v/>
      </c>
      <c r="C597">
        <f>IF($AB597="","",INDEX('Per Line'!$D$2:$D$4001,$AB597)&amp;"")</f>
        <v/>
      </c>
      <c r="D597">
        <f>IF($AB597="","",INDEX('Per Line'!$B$2:$B$4001,$AB597)&amp;"")</f>
        <v/>
      </c>
      <c r="E597">
        <f>IF($AB597="","",INDEX('Per Line'!$A$2:$A$4001,$AB597))</f>
        <v/>
      </c>
      <c r="F597" s="11">
        <f>IF($AB597="","",INDEX('Per Line'!$E$2:$E$4001,$AB597))</f>
        <v/>
      </c>
      <c r="G597">
        <f>IF($AB597="","",INDEX('Per Line'!$F$2:$F$4001,$AB597)&amp;"")</f>
        <v/>
      </c>
      <c r="H597">
        <f>IF($AB597="","",INDEX('Per Line'!$H$2:$H$4001,$AB597)&amp;"")</f>
        <v/>
      </c>
      <c r="I597">
        <f>IF($AB597="","",INDEX('Per Line'!$I$2:$I$4001,$AB597)&amp;"")</f>
        <v/>
      </c>
      <c r="J597">
        <f>IF($AB597="","",INDEX('Per Line'!$J$2:$J$4001,$AB597)&amp;"")</f>
        <v/>
      </c>
      <c r="K597">
        <f>IF($AB597="","",INDEX('Per Line'!$K$2:$K$4001,$AB597)&amp;"")</f>
        <v/>
      </c>
      <c r="L597">
        <f>IF($AB597="","",INDEX('Per Line'!$L$2:$L$4001,$AB597))</f>
        <v/>
      </c>
      <c r="M597" s="7">
        <f>IF($AB597="","",IF(AND(ISNUMBER(O597),O597&gt;0,Z597&gt;O597),L597*O597/100+(Z597-O597),L597*Z597/100))</f>
        <v/>
      </c>
      <c r="N597">
        <f>IF($AB597="","",INDEX('Per Line'!$V$2:$V$4001,$AB597)&amp;"")</f>
        <v/>
      </c>
      <c r="O597">
        <f>IF($AB597="","",INDEX('Per Line'!$Z$2:$Z$4001,$AB597))</f>
        <v/>
      </c>
      <c r="P597">
        <f>IF($AB597="","",IF(AND(ISNUMBER(O597),O597&gt;0),Z597&gt;O597,FALSE))</f>
        <v/>
      </c>
      <c r="Q597" s="7">
        <f>IF($AB597="","",SUMIFS('Per Line'!$U$2:$U$4001,'Per Line'!$C$2:$C$4001,$B597,'Per Line'!$AM$2:$AM$4001,1))</f>
        <v/>
      </c>
      <c r="R597">
        <f>IF($AB597="","",Settings!$C$7)</f>
        <v/>
      </c>
      <c r="S597" s="7">
        <f>IF($AB597="","",SUMIFS('Per Line'!$U$2:$U$4001,'Per Line'!$C$2:$C$4001,$B597,'Per Line'!$AL$2:$AL$4001,0,'Per Line'!$AM$2:$AM$4001,0))</f>
        <v/>
      </c>
      <c r="T597" s="7">
        <f>IF($AB597="","",S597*R597)</f>
        <v/>
      </c>
      <c r="U597">
        <f>IF($AB597="","",Settings!$C$6)</f>
        <v/>
      </c>
      <c r="V597" s="7">
        <f>IF($AB597="","",SUMIFS('Per Line'!$U$2:$U$4001,'Per Line'!$C$2:$C$4001,$B597,'Per Line'!$AL$2:$AL$4001,1,'Per Line'!$AM$2:$AM$4001,0))</f>
        <v/>
      </c>
      <c r="W597" s="7">
        <f>IF($AB597="","",V597*U597)</f>
        <v/>
      </c>
      <c r="X597" s="7">
        <f>IF($AB597="","",W597+T597)</f>
        <v/>
      </c>
      <c r="Y597" s="7">
        <f>IF($AB597="","",Z597-X597)</f>
        <v/>
      </c>
      <c r="Z597" s="7">
        <f>IF($AB597="","",S597+V597+Q597)</f>
        <v/>
      </c>
      <c r="AA597" s="7">
        <f>IF($AB597="","",Z597-X597-M597)</f>
        <v/>
      </c>
      <c r="AB597" s="13">
        <f>IF(ROWS($AB$2:$AB597)&lt;=MAX('Per Line'!$AK$2:$AK$4001),MATCH(ROWS($AB$2:$AB597),'Per Line'!$AK$2:$AK$4001,0),"")</f>
        <v/>
      </c>
      <c r="AC597" s="14">
        <f>IF($AB597="","",M597-L597*Z597/100)</f>
        <v/>
      </c>
    </row>
    <row r="598">
      <c r="A598" s="12" t="n"/>
      <c r="B598">
        <f>IF($AB598="","",INDEX('Per Line'!$C$2:$C$4001,$AB598)&amp;"")</f>
        <v/>
      </c>
      <c r="C598">
        <f>IF($AB598="","",INDEX('Per Line'!$D$2:$D$4001,$AB598)&amp;"")</f>
        <v/>
      </c>
      <c r="D598">
        <f>IF($AB598="","",INDEX('Per Line'!$B$2:$B$4001,$AB598)&amp;"")</f>
        <v/>
      </c>
      <c r="E598">
        <f>IF($AB598="","",INDEX('Per Line'!$A$2:$A$4001,$AB598))</f>
        <v/>
      </c>
      <c r="F598" s="11">
        <f>IF($AB598="","",INDEX('Per Line'!$E$2:$E$4001,$AB598))</f>
        <v/>
      </c>
      <c r="G598">
        <f>IF($AB598="","",INDEX('Per Line'!$F$2:$F$4001,$AB598)&amp;"")</f>
        <v/>
      </c>
      <c r="H598">
        <f>IF($AB598="","",INDEX('Per Line'!$H$2:$H$4001,$AB598)&amp;"")</f>
        <v/>
      </c>
      <c r="I598">
        <f>IF($AB598="","",INDEX('Per Line'!$I$2:$I$4001,$AB598)&amp;"")</f>
        <v/>
      </c>
      <c r="J598">
        <f>IF($AB598="","",INDEX('Per Line'!$J$2:$J$4001,$AB598)&amp;"")</f>
        <v/>
      </c>
      <c r="K598">
        <f>IF($AB598="","",INDEX('Per Line'!$K$2:$K$4001,$AB598)&amp;"")</f>
        <v/>
      </c>
      <c r="L598">
        <f>IF($AB598="","",INDEX('Per Line'!$L$2:$L$4001,$AB598))</f>
        <v/>
      </c>
      <c r="M598" s="7">
        <f>IF($AB598="","",IF(AND(ISNUMBER(O598),O598&gt;0,Z598&gt;O598),L598*O598/100+(Z598-O598),L598*Z598/100))</f>
        <v/>
      </c>
      <c r="N598">
        <f>IF($AB598="","",INDEX('Per Line'!$V$2:$V$4001,$AB598)&amp;"")</f>
        <v/>
      </c>
      <c r="O598">
        <f>IF($AB598="","",INDEX('Per Line'!$Z$2:$Z$4001,$AB598))</f>
        <v/>
      </c>
      <c r="P598">
        <f>IF($AB598="","",IF(AND(ISNUMBER(O598),O598&gt;0),Z598&gt;O598,FALSE))</f>
        <v/>
      </c>
      <c r="Q598" s="7">
        <f>IF($AB598="","",SUMIFS('Per Line'!$U$2:$U$4001,'Per Line'!$C$2:$C$4001,$B598,'Per Line'!$AM$2:$AM$4001,1))</f>
        <v/>
      </c>
      <c r="R598">
        <f>IF($AB598="","",Settings!$C$7)</f>
        <v/>
      </c>
      <c r="S598" s="7">
        <f>IF($AB598="","",SUMIFS('Per Line'!$U$2:$U$4001,'Per Line'!$C$2:$C$4001,$B598,'Per Line'!$AL$2:$AL$4001,0,'Per Line'!$AM$2:$AM$4001,0))</f>
        <v/>
      </c>
      <c r="T598" s="7">
        <f>IF($AB598="","",S598*R598)</f>
        <v/>
      </c>
      <c r="U598">
        <f>IF($AB598="","",Settings!$C$6)</f>
        <v/>
      </c>
      <c r="V598" s="7">
        <f>IF($AB598="","",SUMIFS('Per Line'!$U$2:$U$4001,'Per Line'!$C$2:$C$4001,$B598,'Per Line'!$AL$2:$AL$4001,1,'Per Line'!$AM$2:$AM$4001,0))</f>
        <v/>
      </c>
      <c r="W598" s="7">
        <f>IF($AB598="","",V598*U598)</f>
        <v/>
      </c>
      <c r="X598" s="7">
        <f>IF($AB598="","",W598+T598)</f>
        <v/>
      </c>
      <c r="Y598" s="7">
        <f>IF($AB598="","",Z598-X598)</f>
        <v/>
      </c>
      <c r="Z598" s="7">
        <f>IF($AB598="","",S598+V598+Q598)</f>
        <v/>
      </c>
      <c r="AA598" s="7">
        <f>IF($AB598="","",Z598-X598-M598)</f>
        <v/>
      </c>
      <c r="AB598" s="13">
        <f>IF(ROWS($AB$2:$AB598)&lt;=MAX('Per Line'!$AK$2:$AK$4001),MATCH(ROWS($AB$2:$AB598),'Per Line'!$AK$2:$AK$4001,0),"")</f>
        <v/>
      </c>
      <c r="AC598" s="14">
        <f>IF($AB598="","",M598-L598*Z598/100)</f>
        <v/>
      </c>
    </row>
    <row r="599">
      <c r="A599" s="12" t="n"/>
      <c r="B599">
        <f>IF($AB599="","",INDEX('Per Line'!$C$2:$C$4001,$AB599)&amp;"")</f>
        <v/>
      </c>
      <c r="C599">
        <f>IF($AB599="","",INDEX('Per Line'!$D$2:$D$4001,$AB599)&amp;"")</f>
        <v/>
      </c>
      <c r="D599">
        <f>IF($AB599="","",INDEX('Per Line'!$B$2:$B$4001,$AB599)&amp;"")</f>
        <v/>
      </c>
      <c r="E599">
        <f>IF($AB599="","",INDEX('Per Line'!$A$2:$A$4001,$AB599))</f>
        <v/>
      </c>
      <c r="F599" s="11">
        <f>IF($AB599="","",INDEX('Per Line'!$E$2:$E$4001,$AB599))</f>
        <v/>
      </c>
      <c r="G599">
        <f>IF($AB599="","",INDEX('Per Line'!$F$2:$F$4001,$AB599)&amp;"")</f>
        <v/>
      </c>
      <c r="H599">
        <f>IF($AB599="","",INDEX('Per Line'!$H$2:$H$4001,$AB599)&amp;"")</f>
        <v/>
      </c>
      <c r="I599">
        <f>IF($AB599="","",INDEX('Per Line'!$I$2:$I$4001,$AB599)&amp;"")</f>
        <v/>
      </c>
      <c r="J599">
        <f>IF($AB599="","",INDEX('Per Line'!$J$2:$J$4001,$AB599)&amp;"")</f>
        <v/>
      </c>
      <c r="K599">
        <f>IF($AB599="","",INDEX('Per Line'!$K$2:$K$4001,$AB599)&amp;"")</f>
        <v/>
      </c>
      <c r="L599">
        <f>IF($AB599="","",INDEX('Per Line'!$L$2:$L$4001,$AB599))</f>
        <v/>
      </c>
      <c r="M599" s="7">
        <f>IF($AB599="","",IF(AND(ISNUMBER(O599),O599&gt;0,Z599&gt;O599),L599*O599/100+(Z599-O599),L599*Z599/100))</f>
        <v/>
      </c>
      <c r="N599">
        <f>IF($AB599="","",INDEX('Per Line'!$V$2:$V$4001,$AB599)&amp;"")</f>
        <v/>
      </c>
      <c r="O599">
        <f>IF($AB599="","",INDEX('Per Line'!$Z$2:$Z$4001,$AB599))</f>
        <v/>
      </c>
      <c r="P599">
        <f>IF($AB599="","",IF(AND(ISNUMBER(O599),O599&gt;0),Z599&gt;O599,FALSE))</f>
        <v/>
      </c>
      <c r="Q599" s="7">
        <f>IF($AB599="","",SUMIFS('Per Line'!$U$2:$U$4001,'Per Line'!$C$2:$C$4001,$B599,'Per Line'!$AM$2:$AM$4001,1))</f>
        <v/>
      </c>
      <c r="R599">
        <f>IF($AB599="","",Settings!$C$7)</f>
        <v/>
      </c>
      <c r="S599" s="7">
        <f>IF($AB599="","",SUMIFS('Per Line'!$U$2:$U$4001,'Per Line'!$C$2:$C$4001,$B599,'Per Line'!$AL$2:$AL$4001,0,'Per Line'!$AM$2:$AM$4001,0))</f>
        <v/>
      </c>
      <c r="T599" s="7">
        <f>IF($AB599="","",S599*R599)</f>
        <v/>
      </c>
      <c r="U599">
        <f>IF($AB599="","",Settings!$C$6)</f>
        <v/>
      </c>
      <c r="V599" s="7">
        <f>IF($AB599="","",SUMIFS('Per Line'!$U$2:$U$4001,'Per Line'!$C$2:$C$4001,$B599,'Per Line'!$AL$2:$AL$4001,1,'Per Line'!$AM$2:$AM$4001,0))</f>
        <v/>
      </c>
      <c r="W599" s="7">
        <f>IF($AB599="","",V599*U599)</f>
        <v/>
      </c>
      <c r="X599" s="7">
        <f>IF($AB599="","",W599+T599)</f>
        <v/>
      </c>
      <c r="Y599" s="7">
        <f>IF($AB599="","",Z599-X599)</f>
        <v/>
      </c>
      <c r="Z599" s="7">
        <f>IF($AB599="","",S599+V599+Q599)</f>
        <v/>
      </c>
      <c r="AA599" s="7">
        <f>IF($AB599="","",Z599-X599-M599)</f>
        <v/>
      </c>
      <c r="AB599" s="13">
        <f>IF(ROWS($AB$2:$AB599)&lt;=MAX('Per Line'!$AK$2:$AK$4001),MATCH(ROWS($AB$2:$AB599),'Per Line'!$AK$2:$AK$4001,0),"")</f>
        <v/>
      </c>
      <c r="AC599" s="14">
        <f>IF($AB599="","",M599-L599*Z599/100)</f>
        <v/>
      </c>
    </row>
    <row r="600">
      <c r="A600" s="12" t="n"/>
      <c r="B600">
        <f>IF($AB600="","",INDEX('Per Line'!$C$2:$C$4001,$AB600)&amp;"")</f>
        <v/>
      </c>
      <c r="C600">
        <f>IF($AB600="","",INDEX('Per Line'!$D$2:$D$4001,$AB600)&amp;"")</f>
        <v/>
      </c>
      <c r="D600">
        <f>IF($AB600="","",INDEX('Per Line'!$B$2:$B$4001,$AB600)&amp;"")</f>
        <v/>
      </c>
      <c r="E600">
        <f>IF($AB600="","",INDEX('Per Line'!$A$2:$A$4001,$AB600))</f>
        <v/>
      </c>
      <c r="F600" s="11">
        <f>IF($AB600="","",INDEX('Per Line'!$E$2:$E$4001,$AB600))</f>
        <v/>
      </c>
      <c r="G600">
        <f>IF($AB600="","",INDEX('Per Line'!$F$2:$F$4001,$AB600)&amp;"")</f>
        <v/>
      </c>
      <c r="H600">
        <f>IF($AB600="","",INDEX('Per Line'!$H$2:$H$4001,$AB600)&amp;"")</f>
        <v/>
      </c>
      <c r="I600">
        <f>IF($AB600="","",INDEX('Per Line'!$I$2:$I$4001,$AB600)&amp;"")</f>
        <v/>
      </c>
      <c r="J600">
        <f>IF($AB600="","",INDEX('Per Line'!$J$2:$J$4001,$AB600)&amp;"")</f>
        <v/>
      </c>
      <c r="K600">
        <f>IF($AB600="","",INDEX('Per Line'!$K$2:$K$4001,$AB600)&amp;"")</f>
        <v/>
      </c>
      <c r="L600">
        <f>IF($AB600="","",INDEX('Per Line'!$L$2:$L$4001,$AB600))</f>
        <v/>
      </c>
      <c r="M600" s="7">
        <f>IF($AB600="","",IF(AND(ISNUMBER(O600),O600&gt;0,Z600&gt;O600),L600*O600/100+(Z600-O600),L600*Z600/100))</f>
        <v/>
      </c>
      <c r="N600">
        <f>IF($AB600="","",INDEX('Per Line'!$V$2:$V$4001,$AB600)&amp;"")</f>
        <v/>
      </c>
      <c r="O600">
        <f>IF($AB600="","",INDEX('Per Line'!$Z$2:$Z$4001,$AB600))</f>
        <v/>
      </c>
      <c r="P600">
        <f>IF($AB600="","",IF(AND(ISNUMBER(O600),O600&gt;0),Z600&gt;O600,FALSE))</f>
        <v/>
      </c>
      <c r="Q600" s="7">
        <f>IF($AB600="","",SUMIFS('Per Line'!$U$2:$U$4001,'Per Line'!$C$2:$C$4001,$B600,'Per Line'!$AM$2:$AM$4001,1))</f>
        <v/>
      </c>
      <c r="R600">
        <f>IF($AB600="","",Settings!$C$7)</f>
        <v/>
      </c>
      <c r="S600" s="7">
        <f>IF($AB600="","",SUMIFS('Per Line'!$U$2:$U$4001,'Per Line'!$C$2:$C$4001,$B600,'Per Line'!$AL$2:$AL$4001,0,'Per Line'!$AM$2:$AM$4001,0))</f>
        <v/>
      </c>
      <c r="T600" s="7">
        <f>IF($AB600="","",S600*R600)</f>
        <v/>
      </c>
      <c r="U600">
        <f>IF($AB600="","",Settings!$C$6)</f>
        <v/>
      </c>
      <c r="V600" s="7">
        <f>IF($AB600="","",SUMIFS('Per Line'!$U$2:$U$4001,'Per Line'!$C$2:$C$4001,$B600,'Per Line'!$AL$2:$AL$4001,1,'Per Line'!$AM$2:$AM$4001,0))</f>
        <v/>
      </c>
      <c r="W600" s="7">
        <f>IF($AB600="","",V600*U600)</f>
        <v/>
      </c>
      <c r="X600" s="7">
        <f>IF($AB600="","",W600+T600)</f>
        <v/>
      </c>
      <c r="Y600" s="7">
        <f>IF($AB600="","",Z600-X600)</f>
        <v/>
      </c>
      <c r="Z600" s="7">
        <f>IF($AB600="","",S600+V600+Q600)</f>
        <v/>
      </c>
      <c r="AA600" s="7">
        <f>IF($AB600="","",Z600-X600-M600)</f>
        <v/>
      </c>
      <c r="AB600" s="13">
        <f>IF(ROWS($AB$2:$AB600)&lt;=MAX('Per Line'!$AK$2:$AK$4001),MATCH(ROWS($AB$2:$AB600),'Per Line'!$AK$2:$AK$4001,0),"")</f>
        <v/>
      </c>
      <c r="AC600" s="14">
        <f>IF($AB600="","",M600-L600*Z600/100)</f>
        <v/>
      </c>
    </row>
    <row r="601">
      <c r="A601" s="12" t="n"/>
      <c r="B601">
        <f>IF($AB601="","",INDEX('Per Line'!$C$2:$C$4001,$AB601)&amp;"")</f>
        <v/>
      </c>
      <c r="C601">
        <f>IF($AB601="","",INDEX('Per Line'!$D$2:$D$4001,$AB601)&amp;"")</f>
        <v/>
      </c>
      <c r="D601">
        <f>IF($AB601="","",INDEX('Per Line'!$B$2:$B$4001,$AB601)&amp;"")</f>
        <v/>
      </c>
      <c r="E601">
        <f>IF($AB601="","",INDEX('Per Line'!$A$2:$A$4001,$AB601))</f>
        <v/>
      </c>
      <c r="F601" s="11">
        <f>IF($AB601="","",INDEX('Per Line'!$E$2:$E$4001,$AB601))</f>
        <v/>
      </c>
      <c r="G601">
        <f>IF($AB601="","",INDEX('Per Line'!$F$2:$F$4001,$AB601)&amp;"")</f>
        <v/>
      </c>
      <c r="H601">
        <f>IF($AB601="","",INDEX('Per Line'!$H$2:$H$4001,$AB601)&amp;"")</f>
        <v/>
      </c>
      <c r="I601">
        <f>IF($AB601="","",INDEX('Per Line'!$I$2:$I$4001,$AB601)&amp;"")</f>
        <v/>
      </c>
      <c r="J601">
        <f>IF($AB601="","",INDEX('Per Line'!$J$2:$J$4001,$AB601)&amp;"")</f>
        <v/>
      </c>
      <c r="K601">
        <f>IF($AB601="","",INDEX('Per Line'!$K$2:$K$4001,$AB601)&amp;"")</f>
        <v/>
      </c>
      <c r="L601">
        <f>IF($AB601="","",INDEX('Per Line'!$L$2:$L$4001,$AB601))</f>
        <v/>
      </c>
      <c r="M601" s="7">
        <f>IF($AB601="","",IF(AND(ISNUMBER(O601),O601&gt;0,Z601&gt;O601),L601*O601/100+(Z601-O601),L601*Z601/100))</f>
        <v/>
      </c>
      <c r="N601">
        <f>IF($AB601="","",INDEX('Per Line'!$V$2:$V$4001,$AB601)&amp;"")</f>
        <v/>
      </c>
      <c r="O601">
        <f>IF($AB601="","",INDEX('Per Line'!$Z$2:$Z$4001,$AB601))</f>
        <v/>
      </c>
      <c r="P601">
        <f>IF($AB601="","",IF(AND(ISNUMBER(O601),O601&gt;0),Z601&gt;O601,FALSE))</f>
        <v/>
      </c>
      <c r="Q601" s="7">
        <f>IF($AB601="","",SUMIFS('Per Line'!$U$2:$U$4001,'Per Line'!$C$2:$C$4001,$B601,'Per Line'!$AM$2:$AM$4001,1))</f>
        <v/>
      </c>
      <c r="R601">
        <f>IF($AB601="","",Settings!$C$7)</f>
        <v/>
      </c>
      <c r="S601" s="7">
        <f>IF($AB601="","",SUMIFS('Per Line'!$U$2:$U$4001,'Per Line'!$C$2:$C$4001,$B601,'Per Line'!$AL$2:$AL$4001,0,'Per Line'!$AM$2:$AM$4001,0))</f>
        <v/>
      </c>
      <c r="T601" s="7">
        <f>IF($AB601="","",S601*R601)</f>
        <v/>
      </c>
      <c r="U601">
        <f>IF($AB601="","",Settings!$C$6)</f>
        <v/>
      </c>
      <c r="V601" s="7">
        <f>IF($AB601="","",SUMIFS('Per Line'!$U$2:$U$4001,'Per Line'!$C$2:$C$4001,$B601,'Per Line'!$AL$2:$AL$4001,1,'Per Line'!$AM$2:$AM$4001,0))</f>
        <v/>
      </c>
      <c r="W601" s="7">
        <f>IF($AB601="","",V601*U601)</f>
        <v/>
      </c>
      <c r="X601" s="7">
        <f>IF($AB601="","",W601+T601)</f>
        <v/>
      </c>
      <c r="Y601" s="7">
        <f>IF($AB601="","",Z601-X601)</f>
        <v/>
      </c>
      <c r="Z601" s="7">
        <f>IF($AB601="","",S601+V601+Q601)</f>
        <v/>
      </c>
      <c r="AA601" s="7">
        <f>IF($AB601="","",Z601-X601-M601)</f>
        <v/>
      </c>
      <c r="AB601" s="13">
        <f>IF(ROWS($AB$2:$AB601)&lt;=MAX('Per Line'!$AK$2:$AK$4001),MATCH(ROWS($AB$2:$AB601),'Per Line'!$AK$2:$AK$4001,0),"")</f>
        <v/>
      </c>
      <c r="AC601" s="14">
        <f>IF($AB601="","",M601-L601*Z601/100)</f>
        <v/>
      </c>
    </row>
    <row r="602">
      <c r="A602" s="12" t="n"/>
      <c r="B602">
        <f>IF($AB602="","",INDEX('Per Line'!$C$2:$C$4001,$AB602)&amp;"")</f>
        <v/>
      </c>
      <c r="C602">
        <f>IF($AB602="","",INDEX('Per Line'!$D$2:$D$4001,$AB602)&amp;"")</f>
        <v/>
      </c>
      <c r="D602">
        <f>IF($AB602="","",INDEX('Per Line'!$B$2:$B$4001,$AB602)&amp;"")</f>
        <v/>
      </c>
      <c r="E602">
        <f>IF($AB602="","",INDEX('Per Line'!$A$2:$A$4001,$AB602))</f>
        <v/>
      </c>
      <c r="F602" s="11">
        <f>IF($AB602="","",INDEX('Per Line'!$E$2:$E$4001,$AB602))</f>
        <v/>
      </c>
      <c r="G602">
        <f>IF($AB602="","",INDEX('Per Line'!$F$2:$F$4001,$AB602)&amp;"")</f>
        <v/>
      </c>
      <c r="H602">
        <f>IF($AB602="","",INDEX('Per Line'!$H$2:$H$4001,$AB602)&amp;"")</f>
        <v/>
      </c>
      <c r="I602">
        <f>IF($AB602="","",INDEX('Per Line'!$I$2:$I$4001,$AB602)&amp;"")</f>
        <v/>
      </c>
      <c r="J602">
        <f>IF($AB602="","",INDEX('Per Line'!$J$2:$J$4001,$AB602)&amp;"")</f>
        <v/>
      </c>
      <c r="K602">
        <f>IF($AB602="","",INDEX('Per Line'!$K$2:$K$4001,$AB602)&amp;"")</f>
        <v/>
      </c>
      <c r="L602">
        <f>IF($AB602="","",INDEX('Per Line'!$L$2:$L$4001,$AB602))</f>
        <v/>
      </c>
      <c r="M602" s="7">
        <f>IF($AB602="","",IF(AND(ISNUMBER(O602),O602&gt;0,Z602&gt;O602),L602*O602/100+(Z602-O602),L602*Z602/100))</f>
        <v/>
      </c>
      <c r="N602">
        <f>IF($AB602="","",INDEX('Per Line'!$V$2:$V$4001,$AB602)&amp;"")</f>
        <v/>
      </c>
      <c r="O602">
        <f>IF($AB602="","",INDEX('Per Line'!$Z$2:$Z$4001,$AB602))</f>
        <v/>
      </c>
      <c r="P602">
        <f>IF($AB602="","",IF(AND(ISNUMBER(O602),O602&gt;0),Z602&gt;O602,FALSE))</f>
        <v/>
      </c>
      <c r="Q602" s="7">
        <f>IF($AB602="","",SUMIFS('Per Line'!$U$2:$U$4001,'Per Line'!$C$2:$C$4001,$B602,'Per Line'!$AM$2:$AM$4001,1))</f>
        <v/>
      </c>
      <c r="R602">
        <f>IF($AB602="","",Settings!$C$7)</f>
        <v/>
      </c>
      <c r="S602" s="7">
        <f>IF($AB602="","",SUMIFS('Per Line'!$U$2:$U$4001,'Per Line'!$C$2:$C$4001,$B602,'Per Line'!$AL$2:$AL$4001,0,'Per Line'!$AM$2:$AM$4001,0))</f>
        <v/>
      </c>
      <c r="T602" s="7">
        <f>IF($AB602="","",S602*R602)</f>
        <v/>
      </c>
      <c r="U602">
        <f>IF($AB602="","",Settings!$C$6)</f>
        <v/>
      </c>
      <c r="V602" s="7">
        <f>IF($AB602="","",SUMIFS('Per Line'!$U$2:$U$4001,'Per Line'!$C$2:$C$4001,$B602,'Per Line'!$AL$2:$AL$4001,1,'Per Line'!$AM$2:$AM$4001,0))</f>
        <v/>
      </c>
      <c r="W602" s="7">
        <f>IF($AB602="","",V602*U602)</f>
        <v/>
      </c>
      <c r="X602" s="7">
        <f>IF($AB602="","",W602+T602)</f>
        <v/>
      </c>
      <c r="Y602" s="7">
        <f>IF($AB602="","",Z602-X602)</f>
        <v/>
      </c>
      <c r="Z602" s="7">
        <f>IF($AB602="","",S602+V602+Q602)</f>
        <v/>
      </c>
      <c r="AA602" s="7">
        <f>IF($AB602="","",Z602-X602-M602)</f>
        <v/>
      </c>
      <c r="AB602" s="13">
        <f>IF(ROWS($AB$2:$AB602)&lt;=MAX('Per Line'!$AK$2:$AK$4001),MATCH(ROWS($AB$2:$AB602),'Per Line'!$AK$2:$AK$4001,0),"")</f>
        <v/>
      </c>
      <c r="AC602" s="14">
        <f>IF($AB602="","",M602-L602*Z602/100)</f>
        <v/>
      </c>
    </row>
    <row r="603">
      <c r="A603" s="12" t="n"/>
      <c r="B603">
        <f>IF($AB603="","",INDEX('Per Line'!$C$2:$C$4001,$AB603)&amp;"")</f>
        <v/>
      </c>
      <c r="C603">
        <f>IF($AB603="","",INDEX('Per Line'!$D$2:$D$4001,$AB603)&amp;"")</f>
        <v/>
      </c>
      <c r="D603">
        <f>IF($AB603="","",INDEX('Per Line'!$B$2:$B$4001,$AB603)&amp;"")</f>
        <v/>
      </c>
      <c r="E603">
        <f>IF($AB603="","",INDEX('Per Line'!$A$2:$A$4001,$AB603))</f>
        <v/>
      </c>
      <c r="F603" s="11">
        <f>IF($AB603="","",INDEX('Per Line'!$E$2:$E$4001,$AB603))</f>
        <v/>
      </c>
      <c r="G603">
        <f>IF($AB603="","",INDEX('Per Line'!$F$2:$F$4001,$AB603)&amp;"")</f>
        <v/>
      </c>
      <c r="H603">
        <f>IF($AB603="","",INDEX('Per Line'!$H$2:$H$4001,$AB603)&amp;"")</f>
        <v/>
      </c>
      <c r="I603">
        <f>IF($AB603="","",INDEX('Per Line'!$I$2:$I$4001,$AB603)&amp;"")</f>
        <v/>
      </c>
      <c r="J603">
        <f>IF($AB603="","",INDEX('Per Line'!$J$2:$J$4001,$AB603)&amp;"")</f>
        <v/>
      </c>
      <c r="K603">
        <f>IF($AB603="","",INDEX('Per Line'!$K$2:$K$4001,$AB603)&amp;"")</f>
        <v/>
      </c>
      <c r="L603">
        <f>IF($AB603="","",INDEX('Per Line'!$L$2:$L$4001,$AB603))</f>
        <v/>
      </c>
      <c r="M603" s="7">
        <f>IF($AB603="","",IF(AND(ISNUMBER(O603),O603&gt;0,Z603&gt;O603),L603*O603/100+(Z603-O603),L603*Z603/100))</f>
        <v/>
      </c>
      <c r="N603">
        <f>IF($AB603="","",INDEX('Per Line'!$V$2:$V$4001,$AB603)&amp;"")</f>
        <v/>
      </c>
      <c r="O603">
        <f>IF($AB603="","",INDEX('Per Line'!$Z$2:$Z$4001,$AB603))</f>
        <v/>
      </c>
      <c r="P603">
        <f>IF($AB603="","",IF(AND(ISNUMBER(O603),O603&gt;0),Z603&gt;O603,FALSE))</f>
        <v/>
      </c>
      <c r="Q603" s="7">
        <f>IF($AB603="","",SUMIFS('Per Line'!$U$2:$U$4001,'Per Line'!$C$2:$C$4001,$B603,'Per Line'!$AM$2:$AM$4001,1))</f>
        <v/>
      </c>
      <c r="R603">
        <f>IF($AB603="","",Settings!$C$7)</f>
        <v/>
      </c>
      <c r="S603" s="7">
        <f>IF($AB603="","",SUMIFS('Per Line'!$U$2:$U$4001,'Per Line'!$C$2:$C$4001,$B603,'Per Line'!$AL$2:$AL$4001,0,'Per Line'!$AM$2:$AM$4001,0))</f>
        <v/>
      </c>
      <c r="T603" s="7">
        <f>IF($AB603="","",S603*R603)</f>
        <v/>
      </c>
      <c r="U603">
        <f>IF($AB603="","",Settings!$C$6)</f>
        <v/>
      </c>
      <c r="V603" s="7">
        <f>IF($AB603="","",SUMIFS('Per Line'!$U$2:$U$4001,'Per Line'!$C$2:$C$4001,$B603,'Per Line'!$AL$2:$AL$4001,1,'Per Line'!$AM$2:$AM$4001,0))</f>
        <v/>
      </c>
      <c r="W603" s="7">
        <f>IF($AB603="","",V603*U603)</f>
        <v/>
      </c>
      <c r="X603" s="7">
        <f>IF($AB603="","",W603+T603)</f>
        <v/>
      </c>
      <c r="Y603" s="7">
        <f>IF($AB603="","",Z603-X603)</f>
        <v/>
      </c>
      <c r="Z603" s="7">
        <f>IF($AB603="","",S603+V603+Q603)</f>
        <v/>
      </c>
      <c r="AA603" s="7">
        <f>IF($AB603="","",Z603-X603-M603)</f>
        <v/>
      </c>
      <c r="AB603" s="13">
        <f>IF(ROWS($AB$2:$AB603)&lt;=MAX('Per Line'!$AK$2:$AK$4001),MATCH(ROWS($AB$2:$AB603),'Per Line'!$AK$2:$AK$4001,0),"")</f>
        <v/>
      </c>
      <c r="AC603" s="14">
        <f>IF($AB603="","",M603-L603*Z603/100)</f>
        <v/>
      </c>
    </row>
    <row r="604">
      <c r="A604" s="12" t="n"/>
      <c r="B604">
        <f>IF($AB604="","",INDEX('Per Line'!$C$2:$C$4001,$AB604)&amp;"")</f>
        <v/>
      </c>
      <c r="C604">
        <f>IF($AB604="","",INDEX('Per Line'!$D$2:$D$4001,$AB604)&amp;"")</f>
        <v/>
      </c>
      <c r="D604">
        <f>IF($AB604="","",INDEX('Per Line'!$B$2:$B$4001,$AB604)&amp;"")</f>
        <v/>
      </c>
      <c r="E604">
        <f>IF($AB604="","",INDEX('Per Line'!$A$2:$A$4001,$AB604))</f>
        <v/>
      </c>
      <c r="F604" s="11">
        <f>IF($AB604="","",INDEX('Per Line'!$E$2:$E$4001,$AB604))</f>
        <v/>
      </c>
      <c r="G604">
        <f>IF($AB604="","",INDEX('Per Line'!$F$2:$F$4001,$AB604)&amp;"")</f>
        <v/>
      </c>
      <c r="H604">
        <f>IF($AB604="","",INDEX('Per Line'!$H$2:$H$4001,$AB604)&amp;"")</f>
        <v/>
      </c>
      <c r="I604">
        <f>IF($AB604="","",INDEX('Per Line'!$I$2:$I$4001,$AB604)&amp;"")</f>
        <v/>
      </c>
      <c r="J604">
        <f>IF($AB604="","",INDEX('Per Line'!$J$2:$J$4001,$AB604)&amp;"")</f>
        <v/>
      </c>
      <c r="K604">
        <f>IF($AB604="","",INDEX('Per Line'!$K$2:$K$4001,$AB604)&amp;"")</f>
        <v/>
      </c>
      <c r="L604">
        <f>IF($AB604="","",INDEX('Per Line'!$L$2:$L$4001,$AB604))</f>
        <v/>
      </c>
      <c r="M604" s="7">
        <f>IF($AB604="","",IF(AND(ISNUMBER(O604),O604&gt;0,Z604&gt;O604),L604*O604/100+(Z604-O604),L604*Z604/100))</f>
        <v/>
      </c>
      <c r="N604">
        <f>IF($AB604="","",INDEX('Per Line'!$V$2:$V$4001,$AB604)&amp;"")</f>
        <v/>
      </c>
      <c r="O604">
        <f>IF($AB604="","",INDEX('Per Line'!$Z$2:$Z$4001,$AB604))</f>
        <v/>
      </c>
      <c r="P604">
        <f>IF($AB604="","",IF(AND(ISNUMBER(O604),O604&gt;0),Z604&gt;O604,FALSE))</f>
        <v/>
      </c>
      <c r="Q604" s="7">
        <f>IF($AB604="","",SUMIFS('Per Line'!$U$2:$U$4001,'Per Line'!$C$2:$C$4001,$B604,'Per Line'!$AM$2:$AM$4001,1))</f>
        <v/>
      </c>
      <c r="R604">
        <f>IF($AB604="","",Settings!$C$7)</f>
        <v/>
      </c>
      <c r="S604" s="7">
        <f>IF($AB604="","",SUMIFS('Per Line'!$U$2:$U$4001,'Per Line'!$C$2:$C$4001,$B604,'Per Line'!$AL$2:$AL$4001,0,'Per Line'!$AM$2:$AM$4001,0))</f>
        <v/>
      </c>
      <c r="T604" s="7">
        <f>IF($AB604="","",S604*R604)</f>
        <v/>
      </c>
      <c r="U604">
        <f>IF($AB604="","",Settings!$C$6)</f>
        <v/>
      </c>
      <c r="V604" s="7">
        <f>IF($AB604="","",SUMIFS('Per Line'!$U$2:$U$4001,'Per Line'!$C$2:$C$4001,$B604,'Per Line'!$AL$2:$AL$4001,1,'Per Line'!$AM$2:$AM$4001,0))</f>
        <v/>
      </c>
      <c r="W604" s="7">
        <f>IF($AB604="","",V604*U604)</f>
        <v/>
      </c>
      <c r="X604" s="7">
        <f>IF($AB604="","",W604+T604)</f>
        <v/>
      </c>
      <c r="Y604" s="7">
        <f>IF($AB604="","",Z604-X604)</f>
        <v/>
      </c>
      <c r="Z604" s="7">
        <f>IF($AB604="","",S604+V604+Q604)</f>
        <v/>
      </c>
      <c r="AA604" s="7">
        <f>IF($AB604="","",Z604-X604-M604)</f>
        <v/>
      </c>
      <c r="AB604" s="13">
        <f>IF(ROWS($AB$2:$AB604)&lt;=MAX('Per Line'!$AK$2:$AK$4001),MATCH(ROWS($AB$2:$AB604),'Per Line'!$AK$2:$AK$4001,0),"")</f>
        <v/>
      </c>
      <c r="AC604" s="14">
        <f>IF($AB604="","",M604-L604*Z604/100)</f>
        <v/>
      </c>
    </row>
    <row r="605">
      <c r="A605" s="12" t="n"/>
      <c r="B605">
        <f>IF($AB605="","",INDEX('Per Line'!$C$2:$C$4001,$AB605)&amp;"")</f>
        <v/>
      </c>
      <c r="C605">
        <f>IF($AB605="","",INDEX('Per Line'!$D$2:$D$4001,$AB605)&amp;"")</f>
        <v/>
      </c>
      <c r="D605">
        <f>IF($AB605="","",INDEX('Per Line'!$B$2:$B$4001,$AB605)&amp;"")</f>
        <v/>
      </c>
      <c r="E605">
        <f>IF($AB605="","",INDEX('Per Line'!$A$2:$A$4001,$AB605))</f>
        <v/>
      </c>
      <c r="F605" s="11">
        <f>IF($AB605="","",INDEX('Per Line'!$E$2:$E$4001,$AB605))</f>
        <v/>
      </c>
      <c r="G605">
        <f>IF($AB605="","",INDEX('Per Line'!$F$2:$F$4001,$AB605)&amp;"")</f>
        <v/>
      </c>
      <c r="H605">
        <f>IF($AB605="","",INDEX('Per Line'!$H$2:$H$4001,$AB605)&amp;"")</f>
        <v/>
      </c>
      <c r="I605">
        <f>IF($AB605="","",INDEX('Per Line'!$I$2:$I$4001,$AB605)&amp;"")</f>
        <v/>
      </c>
      <c r="J605">
        <f>IF($AB605="","",INDEX('Per Line'!$J$2:$J$4001,$AB605)&amp;"")</f>
        <v/>
      </c>
      <c r="K605">
        <f>IF($AB605="","",INDEX('Per Line'!$K$2:$K$4001,$AB605)&amp;"")</f>
        <v/>
      </c>
      <c r="L605">
        <f>IF($AB605="","",INDEX('Per Line'!$L$2:$L$4001,$AB605))</f>
        <v/>
      </c>
      <c r="M605" s="7">
        <f>IF($AB605="","",IF(AND(ISNUMBER(O605),O605&gt;0,Z605&gt;O605),L605*O605/100+(Z605-O605),L605*Z605/100))</f>
        <v/>
      </c>
      <c r="N605">
        <f>IF($AB605="","",INDEX('Per Line'!$V$2:$V$4001,$AB605)&amp;"")</f>
        <v/>
      </c>
      <c r="O605">
        <f>IF($AB605="","",INDEX('Per Line'!$Z$2:$Z$4001,$AB605))</f>
        <v/>
      </c>
      <c r="P605">
        <f>IF($AB605="","",IF(AND(ISNUMBER(O605),O605&gt;0),Z605&gt;O605,FALSE))</f>
        <v/>
      </c>
      <c r="Q605" s="7">
        <f>IF($AB605="","",SUMIFS('Per Line'!$U$2:$U$4001,'Per Line'!$C$2:$C$4001,$B605,'Per Line'!$AM$2:$AM$4001,1))</f>
        <v/>
      </c>
      <c r="R605">
        <f>IF($AB605="","",Settings!$C$7)</f>
        <v/>
      </c>
      <c r="S605" s="7">
        <f>IF($AB605="","",SUMIFS('Per Line'!$U$2:$U$4001,'Per Line'!$C$2:$C$4001,$B605,'Per Line'!$AL$2:$AL$4001,0,'Per Line'!$AM$2:$AM$4001,0))</f>
        <v/>
      </c>
      <c r="T605" s="7">
        <f>IF($AB605="","",S605*R605)</f>
        <v/>
      </c>
      <c r="U605">
        <f>IF($AB605="","",Settings!$C$6)</f>
        <v/>
      </c>
      <c r="V605" s="7">
        <f>IF($AB605="","",SUMIFS('Per Line'!$U$2:$U$4001,'Per Line'!$C$2:$C$4001,$B605,'Per Line'!$AL$2:$AL$4001,1,'Per Line'!$AM$2:$AM$4001,0))</f>
        <v/>
      </c>
      <c r="W605" s="7">
        <f>IF($AB605="","",V605*U605)</f>
        <v/>
      </c>
      <c r="X605" s="7">
        <f>IF($AB605="","",W605+T605)</f>
        <v/>
      </c>
      <c r="Y605" s="7">
        <f>IF($AB605="","",Z605-X605)</f>
        <v/>
      </c>
      <c r="Z605" s="7">
        <f>IF($AB605="","",S605+V605+Q605)</f>
        <v/>
      </c>
      <c r="AA605" s="7">
        <f>IF($AB605="","",Z605-X605-M605)</f>
        <v/>
      </c>
      <c r="AB605" s="13">
        <f>IF(ROWS($AB$2:$AB605)&lt;=MAX('Per Line'!$AK$2:$AK$4001),MATCH(ROWS($AB$2:$AB605),'Per Line'!$AK$2:$AK$4001,0),"")</f>
        <v/>
      </c>
      <c r="AC605" s="14">
        <f>IF($AB605="","",M605-L605*Z605/100)</f>
        <v/>
      </c>
    </row>
    <row r="606">
      <c r="A606" s="12" t="n"/>
      <c r="B606">
        <f>IF($AB606="","",INDEX('Per Line'!$C$2:$C$4001,$AB606)&amp;"")</f>
        <v/>
      </c>
      <c r="C606">
        <f>IF($AB606="","",INDEX('Per Line'!$D$2:$D$4001,$AB606)&amp;"")</f>
        <v/>
      </c>
      <c r="D606">
        <f>IF($AB606="","",INDEX('Per Line'!$B$2:$B$4001,$AB606)&amp;"")</f>
        <v/>
      </c>
      <c r="E606">
        <f>IF($AB606="","",INDEX('Per Line'!$A$2:$A$4001,$AB606))</f>
        <v/>
      </c>
      <c r="F606" s="11">
        <f>IF($AB606="","",INDEX('Per Line'!$E$2:$E$4001,$AB606))</f>
        <v/>
      </c>
      <c r="G606">
        <f>IF($AB606="","",INDEX('Per Line'!$F$2:$F$4001,$AB606)&amp;"")</f>
        <v/>
      </c>
      <c r="H606">
        <f>IF($AB606="","",INDEX('Per Line'!$H$2:$H$4001,$AB606)&amp;"")</f>
        <v/>
      </c>
      <c r="I606">
        <f>IF($AB606="","",INDEX('Per Line'!$I$2:$I$4001,$AB606)&amp;"")</f>
        <v/>
      </c>
      <c r="J606">
        <f>IF($AB606="","",INDEX('Per Line'!$J$2:$J$4001,$AB606)&amp;"")</f>
        <v/>
      </c>
      <c r="K606">
        <f>IF($AB606="","",INDEX('Per Line'!$K$2:$K$4001,$AB606)&amp;"")</f>
        <v/>
      </c>
      <c r="L606">
        <f>IF($AB606="","",INDEX('Per Line'!$L$2:$L$4001,$AB606))</f>
        <v/>
      </c>
      <c r="M606" s="7">
        <f>IF($AB606="","",IF(AND(ISNUMBER(O606),O606&gt;0,Z606&gt;O606),L606*O606/100+(Z606-O606),L606*Z606/100))</f>
        <v/>
      </c>
      <c r="N606">
        <f>IF($AB606="","",INDEX('Per Line'!$V$2:$V$4001,$AB606)&amp;"")</f>
        <v/>
      </c>
      <c r="O606">
        <f>IF($AB606="","",INDEX('Per Line'!$Z$2:$Z$4001,$AB606))</f>
        <v/>
      </c>
      <c r="P606">
        <f>IF($AB606="","",IF(AND(ISNUMBER(O606),O606&gt;0),Z606&gt;O606,FALSE))</f>
        <v/>
      </c>
      <c r="Q606" s="7">
        <f>IF($AB606="","",SUMIFS('Per Line'!$U$2:$U$4001,'Per Line'!$C$2:$C$4001,$B606,'Per Line'!$AM$2:$AM$4001,1))</f>
        <v/>
      </c>
      <c r="R606">
        <f>IF($AB606="","",Settings!$C$7)</f>
        <v/>
      </c>
      <c r="S606" s="7">
        <f>IF($AB606="","",SUMIFS('Per Line'!$U$2:$U$4001,'Per Line'!$C$2:$C$4001,$B606,'Per Line'!$AL$2:$AL$4001,0,'Per Line'!$AM$2:$AM$4001,0))</f>
        <v/>
      </c>
      <c r="T606" s="7">
        <f>IF($AB606="","",S606*R606)</f>
        <v/>
      </c>
      <c r="U606">
        <f>IF($AB606="","",Settings!$C$6)</f>
        <v/>
      </c>
      <c r="V606" s="7">
        <f>IF($AB606="","",SUMIFS('Per Line'!$U$2:$U$4001,'Per Line'!$C$2:$C$4001,$B606,'Per Line'!$AL$2:$AL$4001,1,'Per Line'!$AM$2:$AM$4001,0))</f>
        <v/>
      </c>
      <c r="W606" s="7">
        <f>IF($AB606="","",V606*U606)</f>
        <v/>
      </c>
      <c r="X606" s="7">
        <f>IF($AB606="","",W606+T606)</f>
        <v/>
      </c>
      <c r="Y606" s="7">
        <f>IF($AB606="","",Z606-X606)</f>
        <v/>
      </c>
      <c r="Z606" s="7">
        <f>IF($AB606="","",S606+V606+Q606)</f>
        <v/>
      </c>
      <c r="AA606" s="7">
        <f>IF($AB606="","",Z606-X606-M606)</f>
        <v/>
      </c>
      <c r="AB606" s="13">
        <f>IF(ROWS($AB$2:$AB606)&lt;=MAX('Per Line'!$AK$2:$AK$4001),MATCH(ROWS($AB$2:$AB606),'Per Line'!$AK$2:$AK$4001,0),"")</f>
        <v/>
      </c>
      <c r="AC606" s="14">
        <f>IF($AB606="","",M606-L606*Z606/100)</f>
        <v/>
      </c>
    </row>
    <row r="607">
      <c r="A607" s="12" t="n"/>
      <c r="B607">
        <f>IF($AB607="","",INDEX('Per Line'!$C$2:$C$4001,$AB607)&amp;"")</f>
        <v/>
      </c>
      <c r="C607">
        <f>IF($AB607="","",INDEX('Per Line'!$D$2:$D$4001,$AB607)&amp;"")</f>
        <v/>
      </c>
      <c r="D607">
        <f>IF($AB607="","",INDEX('Per Line'!$B$2:$B$4001,$AB607)&amp;"")</f>
        <v/>
      </c>
      <c r="E607">
        <f>IF($AB607="","",INDEX('Per Line'!$A$2:$A$4001,$AB607))</f>
        <v/>
      </c>
      <c r="F607" s="11">
        <f>IF($AB607="","",INDEX('Per Line'!$E$2:$E$4001,$AB607))</f>
        <v/>
      </c>
      <c r="G607">
        <f>IF($AB607="","",INDEX('Per Line'!$F$2:$F$4001,$AB607)&amp;"")</f>
        <v/>
      </c>
      <c r="H607">
        <f>IF($AB607="","",INDEX('Per Line'!$H$2:$H$4001,$AB607)&amp;"")</f>
        <v/>
      </c>
      <c r="I607">
        <f>IF($AB607="","",INDEX('Per Line'!$I$2:$I$4001,$AB607)&amp;"")</f>
        <v/>
      </c>
      <c r="J607">
        <f>IF($AB607="","",INDEX('Per Line'!$J$2:$J$4001,$AB607)&amp;"")</f>
        <v/>
      </c>
      <c r="K607">
        <f>IF($AB607="","",INDEX('Per Line'!$K$2:$K$4001,$AB607)&amp;"")</f>
        <v/>
      </c>
      <c r="L607">
        <f>IF($AB607="","",INDEX('Per Line'!$L$2:$L$4001,$AB607))</f>
        <v/>
      </c>
      <c r="M607" s="7">
        <f>IF($AB607="","",IF(AND(ISNUMBER(O607),O607&gt;0,Z607&gt;O607),L607*O607/100+(Z607-O607),L607*Z607/100))</f>
        <v/>
      </c>
      <c r="N607">
        <f>IF($AB607="","",INDEX('Per Line'!$V$2:$V$4001,$AB607)&amp;"")</f>
        <v/>
      </c>
      <c r="O607">
        <f>IF($AB607="","",INDEX('Per Line'!$Z$2:$Z$4001,$AB607))</f>
        <v/>
      </c>
      <c r="P607">
        <f>IF($AB607="","",IF(AND(ISNUMBER(O607),O607&gt;0),Z607&gt;O607,FALSE))</f>
        <v/>
      </c>
      <c r="Q607" s="7">
        <f>IF($AB607="","",SUMIFS('Per Line'!$U$2:$U$4001,'Per Line'!$C$2:$C$4001,$B607,'Per Line'!$AM$2:$AM$4001,1))</f>
        <v/>
      </c>
      <c r="R607">
        <f>IF($AB607="","",Settings!$C$7)</f>
        <v/>
      </c>
      <c r="S607" s="7">
        <f>IF($AB607="","",SUMIFS('Per Line'!$U$2:$U$4001,'Per Line'!$C$2:$C$4001,$B607,'Per Line'!$AL$2:$AL$4001,0,'Per Line'!$AM$2:$AM$4001,0))</f>
        <v/>
      </c>
      <c r="T607" s="7">
        <f>IF($AB607="","",S607*R607)</f>
        <v/>
      </c>
      <c r="U607">
        <f>IF($AB607="","",Settings!$C$6)</f>
        <v/>
      </c>
      <c r="V607" s="7">
        <f>IF($AB607="","",SUMIFS('Per Line'!$U$2:$U$4001,'Per Line'!$C$2:$C$4001,$B607,'Per Line'!$AL$2:$AL$4001,1,'Per Line'!$AM$2:$AM$4001,0))</f>
        <v/>
      </c>
      <c r="W607" s="7">
        <f>IF($AB607="","",V607*U607)</f>
        <v/>
      </c>
      <c r="X607" s="7">
        <f>IF($AB607="","",W607+T607)</f>
        <v/>
      </c>
      <c r="Y607" s="7">
        <f>IF($AB607="","",Z607-X607)</f>
        <v/>
      </c>
      <c r="Z607" s="7">
        <f>IF($AB607="","",S607+V607+Q607)</f>
        <v/>
      </c>
      <c r="AA607" s="7">
        <f>IF($AB607="","",Z607-X607-M607)</f>
        <v/>
      </c>
      <c r="AB607" s="13">
        <f>IF(ROWS($AB$2:$AB607)&lt;=MAX('Per Line'!$AK$2:$AK$4001),MATCH(ROWS($AB$2:$AB607),'Per Line'!$AK$2:$AK$4001,0),"")</f>
        <v/>
      </c>
      <c r="AC607" s="14">
        <f>IF($AB607="","",M607-L607*Z607/100)</f>
        <v/>
      </c>
    </row>
    <row r="608">
      <c r="A608" s="12" t="n"/>
      <c r="B608">
        <f>IF($AB608="","",INDEX('Per Line'!$C$2:$C$4001,$AB608)&amp;"")</f>
        <v/>
      </c>
      <c r="C608">
        <f>IF($AB608="","",INDEX('Per Line'!$D$2:$D$4001,$AB608)&amp;"")</f>
        <v/>
      </c>
      <c r="D608">
        <f>IF($AB608="","",INDEX('Per Line'!$B$2:$B$4001,$AB608)&amp;"")</f>
        <v/>
      </c>
      <c r="E608">
        <f>IF($AB608="","",INDEX('Per Line'!$A$2:$A$4001,$AB608))</f>
        <v/>
      </c>
      <c r="F608" s="11">
        <f>IF($AB608="","",INDEX('Per Line'!$E$2:$E$4001,$AB608))</f>
        <v/>
      </c>
      <c r="G608">
        <f>IF($AB608="","",INDEX('Per Line'!$F$2:$F$4001,$AB608)&amp;"")</f>
        <v/>
      </c>
      <c r="H608">
        <f>IF($AB608="","",INDEX('Per Line'!$H$2:$H$4001,$AB608)&amp;"")</f>
        <v/>
      </c>
      <c r="I608">
        <f>IF($AB608="","",INDEX('Per Line'!$I$2:$I$4001,$AB608)&amp;"")</f>
        <v/>
      </c>
      <c r="J608">
        <f>IF($AB608="","",INDEX('Per Line'!$J$2:$J$4001,$AB608)&amp;"")</f>
        <v/>
      </c>
      <c r="K608">
        <f>IF($AB608="","",INDEX('Per Line'!$K$2:$K$4001,$AB608)&amp;"")</f>
        <v/>
      </c>
      <c r="L608">
        <f>IF($AB608="","",INDEX('Per Line'!$L$2:$L$4001,$AB608))</f>
        <v/>
      </c>
      <c r="M608" s="7">
        <f>IF($AB608="","",IF(AND(ISNUMBER(O608),O608&gt;0,Z608&gt;O608),L608*O608/100+(Z608-O608),L608*Z608/100))</f>
        <v/>
      </c>
      <c r="N608">
        <f>IF($AB608="","",INDEX('Per Line'!$V$2:$V$4001,$AB608)&amp;"")</f>
        <v/>
      </c>
      <c r="O608">
        <f>IF($AB608="","",INDEX('Per Line'!$Z$2:$Z$4001,$AB608))</f>
        <v/>
      </c>
      <c r="P608">
        <f>IF($AB608="","",IF(AND(ISNUMBER(O608),O608&gt;0),Z608&gt;O608,FALSE))</f>
        <v/>
      </c>
      <c r="Q608" s="7">
        <f>IF($AB608="","",SUMIFS('Per Line'!$U$2:$U$4001,'Per Line'!$C$2:$C$4001,$B608,'Per Line'!$AM$2:$AM$4001,1))</f>
        <v/>
      </c>
      <c r="R608">
        <f>IF($AB608="","",Settings!$C$7)</f>
        <v/>
      </c>
      <c r="S608" s="7">
        <f>IF($AB608="","",SUMIFS('Per Line'!$U$2:$U$4001,'Per Line'!$C$2:$C$4001,$B608,'Per Line'!$AL$2:$AL$4001,0,'Per Line'!$AM$2:$AM$4001,0))</f>
        <v/>
      </c>
      <c r="T608" s="7">
        <f>IF($AB608="","",S608*R608)</f>
        <v/>
      </c>
      <c r="U608">
        <f>IF($AB608="","",Settings!$C$6)</f>
        <v/>
      </c>
      <c r="V608" s="7">
        <f>IF($AB608="","",SUMIFS('Per Line'!$U$2:$U$4001,'Per Line'!$C$2:$C$4001,$B608,'Per Line'!$AL$2:$AL$4001,1,'Per Line'!$AM$2:$AM$4001,0))</f>
        <v/>
      </c>
      <c r="W608" s="7">
        <f>IF($AB608="","",V608*U608)</f>
        <v/>
      </c>
      <c r="X608" s="7">
        <f>IF($AB608="","",W608+T608)</f>
        <v/>
      </c>
      <c r="Y608" s="7">
        <f>IF($AB608="","",Z608-X608)</f>
        <v/>
      </c>
      <c r="Z608" s="7">
        <f>IF($AB608="","",S608+V608+Q608)</f>
        <v/>
      </c>
      <c r="AA608" s="7">
        <f>IF($AB608="","",Z608-X608-M608)</f>
        <v/>
      </c>
      <c r="AB608" s="13">
        <f>IF(ROWS($AB$2:$AB608)&lt;=MAX('Per Line'!$AK$2:$AK$4001),MATCH(ROWS($AB$2:$AB608),'Per Line'!$AK$2:$AK$4001,0),"")</f>
        <v/>
      </c>
      <c r="AC608" s="14">
        <f>IF($AB608="","",M608-L608*Z608/100)</f>
        <v/>
      </c>
    </row>
    <row r="609">
      <c r="A609" s="12" t="n"/>
      <c r="B609">
        <f>IF($AB609="","",INDEX('Per Line'!$C$2:$C$4001,$AB609)&amp;"")</f>
        <v/>
      </c>
      <c r="C609">
        <f>IF($AB609="","",INDEX('Per Line'!$D$2:$D$4001,$AB609)&amp;"")</f>
        <v/>
      </c>
      <c r="D609">
        <f>IF($AB609="","",INDEX('Per Line'!$B$2:$B$4001,$AB609)&amp;"")</f>
        <v/>
      </c>
      <c r="E609">
        <f>IF($AB609="","",INDEX('Per Line'!$A$2:$A$4001,$AB609))</f>
        <v/>
      </c>
      <c r="F609" s="11">
        <f>IF($AB609="","",INDEX('Per Line'!$E$2:$E$4001,$AB609))</f>
        <v/>
      </c>
      <c r="G609">
        <f>IF($AB609="","",INDEX('Per Line'!$F$2:$F$4001,$AB609)&amp;"")</f>
        <v/>
      </c>
      <c r="H609">
        <f>IF($AB609="","",INDEX('Per Line'!$H$2:$H$4001,$AB609)&amp;"")</f>
        <v/>
      </c>
      <c r="I609">
        <f>IF($AB609="","",INDEX('Per Line'!$I$2:$I$4001,$AB609)&amp;"")</f>
        <v/>
      </c>
      <c r="J609">
        <f>IF($AB609="","",INDEX('Per Line'!$J$2:$J$4001,$AB609)&amp;"")</f>
        <v/>
      </c>
      <c r="K609">
        <f>IF($AB609="","",INDEX('Per Line'!$K$2:$K$4001,$AB609)&amp;"")</f>
        <v/>
      </c>
      <c r="L609">
        <f>IF($AB609="","",INDEX('Per Line'!$L$2:$L$4001,$AB609))</f>
        <v/>
      </c>
      <c r="M609" s="7">
        <f>IF($AB609="","",IF(AND(ISNUMBER(O609),O609&gt;0,Z609&gt;O609),L609*O609/100+(Z609-O609),L609*Z609/100))</f>
        <v/>
      </c>
      <c r="N609">
        <f>IF($AB609="","",INDEX('Per Line'!$V$2:$V$4001,$AB609)&amp;"")</f>
        <v/>
      </c>
      <c r="O609">
        <f>IF($AB609="","",INDEX('Per Line'!$Z$2:$Z$4001,$AB609))</f>
        <v/>
      </c>
      <c r="P609">
        <f>IF($AB609="","",IF(AND(ISNUMBER(O609),O609&gt;0),Z609&gt;O609,FALSE))</f>
        <v/>
      </c>
      <c r="Q609" s="7">
        <f>IF($AB609="","",SUMIFS('Per Line'!$U$2:$U$4001,'Per Line'!$C$2:$C$4001,$B609,'Per Line'!$AM$2:$AM$4001,1))</f>
        <v/>
      </c>
      <c r="R609">
        <f>IF($AB609="","",Settings!$C$7)</f>
        <v/>
      </c>
      <c r="S609" s="7">
        <f>IF($AB609="","",SUMIFS('Per Line'!$U$2:$U$4001,'Per Line'!$C$2:$C$4001,$B609,'Per Line'!$AL$2:$AL$4001,0,'Per Line'!$AM$2:$AM$4001,0))</f>
        <v/>
      </c>
      <c r="T609" s="7">
        <f>IF($AB609="","",S609*R609)</f>
        <v/>
      </c>
      <c r="U609">
        <f>IF($AB609="","",Settings!$C$6)</f>
        <v/>
      </c>
      <c r="V609" s="7">
        <f>IF($AB609="","",SUMIFS('Per Line'!$U$2:$U$4001,'Per Line'!$C$2:$C$4001,$B609,'Per Line'!$AL$2:$AL$4001,1,'Per Line'!$AM$2:$AM$4001,0))</f>
        <v/>
      </c>
      <c r="W609" s="7">
        <f>IF($AB609="","",V609*U609)</f>
        <v/>
      </c>
      <c r="X609" s="7">
        <f>IF($AB609="","",W609+T609)</f>
        <v/>
      </c>
      <c r="Y609" s="7">
        <f>IF($AB609="","",Z609-X609)</f>
        <v/>
      </c>
      <c r="Z609" s="7">
        <f>IF($AB609="","",S609+V609+Q609)</f>
        <v/>
      </c>
      <c r="AA609" s="7">
        <f>IF($AB609="","",Z609-X609-M609)</f>
        <v/>
      </c>
      <c r="AB609" s="13">
        <f>IF(ROWS($AB$2:$AB609)&lt;=MAX('Per Line'!$AK$2:$AK$4001),MATCH(ROWS($AB$2:$AB609),'Per Line'!$AK$2:$AK$4001,0),"")</f>
        <v/>
      </c>
      <c r="AC609" s="14">
        <f>IF($AB609="","",M609-L609*Z609/100)</f>
        <v/>
      </c>
    </row>
    <row r="610">
      <c r="A610" s="12" t="n"/>
      <c r="B610">
        <f>IF($AB610="","",INDEX('Per Line'!$C$2:$C$4001,$AB610)&amp;"")</f>
        <v/>
      </c>
      <c r="C610">
        <f>IF($AB610="","",INDEX('Per Line'!$D$2:$D$4001,$AB610)&amp;"")</f>
        <v/>
      </c>
      <c r="D610">
        <f>IF($AB610="","",INDEX('Per Line'!$B$2:$B$4001,$AB610)&amp;"")</f>
        <v/>
      </c>
      <c r="E610">
        <f>IF($AB610="","",INDEX('Per Line'!$A$2:$A$4001,$AB610))</f>
        <v/>
      </c>
      <c r="F610" s="11">
        <f>IF($AB610="","",INDEX('Per Line'!$E$2:$E$4001,$AB610))</f>
        <v/>
      </c>
      <c r="G610">
        <f>IF($AB610="","",INDEX('Per Line'!$F$2:$F$4001,$AB610)&amp;"")</f>
        <v/>
      </c>
      <c r="H610">
        <f>IF($AB610="","",INDEX('Per Line'!$H$2:$H$4001,$AB610)&amp;"")</f>
        <v/>
      </c>
      <c r="I610">
        <f>IF($AB610="","",INDEX('Per Line'!$I$2:$I$4001,$AB610)&amp;"")</f>
        <v/>
      </c>
      <c r="J610">
        <f>IF($AB610="","",INDEX('Per Line'!$J$2:$J$4001,$AB610)&amp;"")</f>
        <v/>
      </c>
      <c r="K610">
        <f>IF($AB610="","",INDEX('Per Line'!$K$2:$K$4001,$AB610)&amp;"")</f>
        <v/>
      </c>
      <c r="L610">
        <f>IF($AB610="","",INDEX('Per Line'!$L$2:$L$4001,$AB610))</f>
        <v/>
      </c>
      <c r="M610" s="7">
        <f>IF($AB610="","",IF(AND(ISNUMBER(O610),O610&gt;0,Z610&gt;O610),L610*O610/100+(Z610-O610),L610*Z610/100))</f>
        <v/>
      </c>
      <c r="N610">
        <f>IF($AB610="","",INDEX('Per Line'!$V$2:$V$4001,$AB610)&amp;"")</f>
        <v/>
      </c>
      <c r="O610">
        <f>IF($AB610="","",INDEX('Per Line'!$Z$2:$Z$4001,$AB610))</f>
        <v/>
      </c>
      <c r="P610">
        <f>IF($AB610="","",IF(AND(ISNUMBER(O610),O610&gt;0),Z610&gt;O610,FALSE))</f>
        <v/>
      </c>
      <c r="Q610" s="7">
        <f>IF($AB610="","",SUMIFS('Per Line'!$U$2:$U$4001,'Per Line'!$C$2:$C$4001,$B610,'Per Line'!$AM$2:$AM$4001,1))</f>
        <v/>
      </c>
      <c r="R610">
        <f>IF($AB610="","",Settings!$C$7)</f>
        <v/>
      </c>
      <c r="S610" s="7">
        <f>IF($AB610="","",SUMIFS('Per Line'!$U$2:$U$4001,'Per Line'!$C$2:$C$4001,$B610,'Per Line'!$AL$2:$AL$4001,0,'Per Line'!$AM$2:$AM$4001,0))</f>
        <v/>
      </c>
      <c r="T610" s="7">
        <f>IF($AB610="","",S610*R610)</f>
        <v/>
      </c>
      <c r="U610">
        <f>IF($AB610="","",Settings!$C$6)</f>
        <v/>
      </c>
      <c r="V610" s="7">
        <f>IF($AB610="","",SUMIFS('Per Line'!$U$2:$U$4001,'Per Line'!$C$2:$C$4001,$B610,'Per Line'!$AL$2:$AL$4001,1,'Per Line'!$AM$2:$AM$4001,0))</f>
        <v/>
      </c>
      <c r="W610" s="7">
        <f>IF($AB610="","",V610*U610)</f>
        <v/>
      </c>
      <c r="X610" s="7">
        <f>IF($AB610="","",W610+T610)</f>
        <v/>
      </c>
      <c r="Y610" s="7">
        <f>IF($AB610="","",Z610-X610)</f>
        <v/>
      </c>
      <c r="Z610" s="7">
        <f>IF($AB610="","",S610+V610+Q610)</f>
        <v/>
      </c>
      <c r="AA610" s="7">
        <f>IF($AB610="","",Z610-X610-M610)</f>
        <v/>
      </c>
      <c r="AB610" s="13">
        <f>IF(ROWS($AB$2:$AB610)&lt;=MAX('Per Line'!$AK$2:$AK$4001),MATCH(ROWS($AB$2:$AB610),'Per Line'!$AK$2:$AK$4001,0),"")</f>
        <v/>
      </c>
      <c r="AC610" s="14">
        <f>IF($AB610="","",M610-L610*Z610/100)</f>
        <v/>
      </c>
    </row>
    <row r="611">
      <c r="A611" s="12" t="n"/>
      <c r="B611">
        <f>IF($AB611="","",INDEX('Per Line'!$C$2:$C$4001,$AB611)&amp;"")</f>
        <v/>
      </c>
      <c r="C611">
        <f>IF($AB611="","",INDEX('Per Line'!$D$2:$D$4001,$AB611)&amp;"")</f>
        <v/>
      </c>
      <c r="D611">
        <f>IF($AB611="","",INDEX('Per Line'!$B$2:$B$4001,$AB611)&amp;"")</f>
        <v/>
      </c>
      <c r="E611">
        <f>IF($AB611="","",INDEX('Per Line'!$A$2:$A$4001,$AB611))</f>
        <v/>
      </c>
      <c r="F611" s="11">
        <f>IF($AB611="","",INDEX('Per Line'!$E$2:$E$4001,$AB611))</f>
        <v/>
      </c>
      <c r="G611">
        <f>IF($AB611="","",INDEX('Per Line'!$F$2:$F$4001,$AB611)&amp;"")</f>
        <v/>
      </c>
      <c r="H611">
        <f>IF($AB611="","",INDEX('Per Line'!$H$2:$H$4001,$AB611)&amp;"")</f>
        <v/>
      </c>
      <c r="I611">
        <f>IF($AB611="","",INDEX('Per Line'!$I$2:$I$4001,$AB611)&amp;"")</f>
        <v/>
      </c>
      <c r="J611">
        <f>IF($AB611="","",INDEX('Per Line'!$J$2:$J$4001,$AB611)&amp;"")</f>
        <v/>
      </c>
      <c r="K611">
        <f>IF($AB611="","",INDEX('Per Line'!$K$2:$K$4001,$AB611)&amp;"")</f>
        <v/>
      </c>
      <c r="L611">
        <f>IF($AB611="","",INDEX('Per Line'!$L$2:$L$4001,$AB611))</f>
        <v/>
      </c>
      <c r="M611" s="7">
        <f>IF($AB611="","",IF(AND(ISNUMBER(O611),O611&gt;0,Z611&gt;O611),L611*O611/100+(Z611-O611),L611*Z611/100))</f>
        <v/>
      </c>
      <c r="N611">
        <f>IF($AB611="","",INDEX('Per Line'!$V$2:$V$4001,$AB611)&amp;"")</f>
        <v/>
      </c>
      <c r="O611">
        <f>IF($AB611="","",INDEX('Per Line'!$Z$2:$Z$4001,$AB611))</f>
        <v/>
      </c>
      <c r="P611">
        <f>IF($AB611="","",IF(AND(ISNUMBER(O611),O611&gt;0),Z611&gt;O611,FALSE))</f>
        <v/>
      </c>
      <c r="Q611" s="7">
        <f>IF($AB611="","",SUMIFS('Per Line'!$U$2:$U$4001,'Per Line'!$C$2:$C$4001,$B611,'Per Line'!$AM$2:$AM$4001,1))</f>
        <v/>
      </c>
      <c r="R611">
        <f>IF($AB611="","",Settings!$C$7)</f>
        <v/>
      </c>
      <c r="S611" s="7">
        <f>IF($AB611="","",SUMIFS('Per Line'!$U$2:$U$4001,'Per Line'!$C$2:$C$4001,$B611,'Per Line'!$AL$2:$AL$4001,0,'Per Line'!$AM$2:$AM$4001,0))</f>
        <v/>
      </c>
      <c r="T611" s="7">
        <f>IF($AB611="","",S611*R611)</f>
        <v/>
      </c>
      <c r="U611">
        <f>IF($AB611="","",Settings!$C$6)</f>
        <v/>
      </c>
      <c r="V611" s="7">
        <f>IF($AB611="","",SUMIFS('Per Line'!$U$2:$U$4001,'Per Line'!$C$2:$C$4001,$B611,'Per Line'!$AL$2:$AL$4001,1,'Per Line'!$AM$2:$AM$4001,0))</f>
        <v/>
      </c>
      <c r="W611" s="7">
        <f>IF($AB611="","",V611*U611)</f>
        <v/>
      </c>
      <c r="X611" s="7">
        <f>IF($AB611="","",W611+T611)</f>
        <v/>
      </c>
      <c r="Y611" s="7">
        <f>IF($AB611="","",Z611-X611)</f>
        <v/>
      </c>
      <c r="Z611" s="7">
        <f>IF($AB611="","",S611+V611+Q611)</f>
        <v/>
      </c>
      <c r="AA611" s="7">
        <f>IF($AB611="","",Z611-X611-M611)</f>
        <v/>
      </c>
      <c r="AB611" s="13">
        <f>IF(ROWS($AB$2:$AB611)&lt;=MAX('Per Line'!$AK$2:$AK$4001),MATCH(ROWS($AB$2:$AB611),'Per Line'!$AK$2:$AK$4001,0),"")</f>
        <v/>
      </c>
      <c r="AC611" s="14">
        <f>IF($AB611="","",M611-L611*Z611/100)</f>
        <v/>
      </c>
    </row>
    <row r="612">
      <c r="A612" s="12" t="n"/>
      <c r="B612">
        <f>IF($AB612="","",INDEX('Per Line'!$C$2:$C$4001,$AB612)&amp;"")</f>
        <v/>
      </c>
      <c r="C612">
        <f>IF($AB612="","",INDEX('Per Line'!$D$2:$D$4001,$AB612)&amp;"")</f>
        <v/>
      </c>
      <c r="D612">
        <f>IF($AB612="","",INDEX('Per Line'!$B$2:$B$4001,$AB612)&amp;"")</f>
        <v/>
      </c>
      <c r="E612">
        <f>IF($AB612="","",INDEX('Per Line'!$A$2:$A$4001,$AB612))</f>
        <v/>
      </c>
      <c r="F612" s="11">
        <f>IF($AB612="","",INDEX('Per Line'!$E$2:$E$4001,$AB612))</f>
        <v/>
      </c>
      <c r="G612">
        <f>IF($AB612="","",INDEX('Per Line'!$F$2:$F$4001,$AB612)&amp;"")</f>
        <v/>
      </c>
      <c r="H612">
        <f>IF($AB612="","",INDEX('Per Line'!$H$2:$H$4001,$AB612)&amp;"")</f>
        <v/>
      </c>
      <c r="I612">
        <f>IF($AB612="","",INDEX('Per Line'!$I$2:$I$4001,$AB612)&amp;"")</f>
        <v/>
      </c>
      <c r="J612">
        <f>IF($AB612="","",INDEX('Per Line'!$J$2:$J$4001,$AB612)&amp;"")</f>
        <v/>
      </c>
      <c r="K612">
        <f>IF($AB612="","",INDEX('Per Line'!$K$2:$K$4001,$AB612)&amp;"")</f>
        <v/>
      </c>
      <c r="L612">
        <f>IF($AB612="","",INDEX('Per Line'!$L$2:$L$4001,$AB612))</f>
        <v/>
      </c>
      <c r="M612" s="7">
        <f>IF($AB612="","",IF(AND(ISNUMBER(O612),O612&gt;0,Z612&gt;O612),L612*O612/100+(Z612-O612),L612*Z612/100))</f>
        <v/>
      </c>
      <c r="N612">
        <f>IF($AB612="","",INDEX('Per Line'!$V$2:$V$4001,$AB612)&amp;"")</f>
        <v/>
      </c>
      <c r="O612">
        <f>IF($AB612="","",INDEX('Per Line'!$Z$2:$Z$4001,$AB612))</f>
        <v/>
      </c>
      <c r="P612">
        <f>IF($AB612="","",IF(AND(ISNUMBER(O612),O612&gt;0),Z612&gt;O612,FALSE))</f>
        <v/>
      </c>
      <c r="Q612" s="7">
        <f>IF($AB612="","",SUMIFS('Per Line'!$U$2:$U$4001,'Per Line'!$C$2:$C$4001,$B612,'Per Line'!$AM$2:$AM$4001,1))</f>
        <v/>
      </c>
      <c r="R612">
        <f>IF($AB612="","",Settings!$C$7)</f>
        <v/>
      </c>
      <c r="S612" s="7">
        <f>IF($AB612="","",SUMIFS('Per Line'!$U$2:$U$4001,'Per Line'!$C$2:$C$4001,$B612,'Per Line'!$AL$2:$AL$4001,0,'Per Line'!$AM$2:$AM$4001,0))</f>
        <v/>
      </c>
      <c r="T612" s="7">
        <f>IF($AB612="","",S612*R612)</f>
        <v/>
      </c>
      <c r="U612">
        <f>IF($AB612="","",Settings!$C$6)</f>
        <v/>
      </c>
      <c r="V612" s="7">
        <f>IF($AB612="","",SUMIFS('Per Line'!$U$2:$U$4001,'Per Line'!$C$2:$C$4001,$B612,'Per Line'!$AL$2:$AL$4001,1,'Per Line'!$AM$2:$AM$4001,0))</f>
        <v/>
      </c>
      <c r="W612" s="7">
        <f>IF($AB612="","",V612*U612)</f>
        <v/>
      </c>
      <c r="X612" s="7">
        <f>IF($AB612="","",W612+T612)</f>
        <v/>
      </c>
      <c r="Y612" s="7">
        <f>IF($AB612="","",Z612-X612)</f>
        <v/>
      </c>
      <c r="Z612" s="7">
        <f>IF($AB612="","",S612+V612+Q612)</f>
        <v/>
      </c>
      <c r="AA612" s="7">
        <f>IF($AB612="","",Z612-X612-M612)</f>
        <v/>
      </c>
      <c r="AB612" s="13">
        <f>IF(ROWS($AB$2:$AB612)&lt;=MAX('Per Line'!$AK$2:$AK$4001),MATCH(ROWS($AB$2:$AB612),'Per Line'!$AK$2:$AK$4001,0),"")</f>
        <v/>
      </c>
      <c r="AC612" s="14">
        <f>IF($AB612="","",M612-L612*Z612/100)</f>
        <v/>
      </c>
    </row>
    <row r="613">
      <c r="A613" s="12" t="n"/>
      <c r="B613">
        <f>IF($AB613="","",INDEX('Per Line'!$C$2:$C$4001,$AB613)&amp;"")</f>
        <v/>
      </c>
      <c r="C613">
        <f>IF($AB613="","",INDEX('Per Line'!$D$2:$D$4001,$AB613)&amp;"")</f>
        <v/>
      </c>
      <c r="D613">
        <f>IF($AB613="","",INDEX('Per Line'!$B$2:$B$4001,$AB613)&amp;"")</f>
        <v/>
      </c>
      <c r="E613">
        <f>IF($AB613="","",INDEX('Per Line'!$A$2:$A$4001,$AB613))</f>
        <v/>
      </c>
      <c r="F613" s="11">
        <f>IF($AB613="","",INDEX('Per Line'!$E$2:$E$4001,$AB613))</f>
        <v/>
      </c>
      <c r="G613">
        <f>IF($AB613="","",INDEX('Per Line'!$F$2:$F$4001,$AB613)&amp;"")</f>
        <v/>
      </c>
      <c r="H613">
        <f>IF($AB613="","",INDEX('Per Line'!$H$2:$H$4001,$AB613)&amp;"")</f>
        <v/>
      </c>
      <c r="I613">
        <f>IF($AB613="","",INDEX('Per Line'!$I$2:$I$4001,$AB613)&amp;"")</f>
        <v/>
      </c>
      <c r="J613">
        <f>IF($AB613="","",INDEX('Per Line'!$J$2:$J$4001,$AB613)&amp;"")</f>
        <v/>
      </c>
      <c r="K613">
        <f>IF($AB613="","",INDEX('Per Line'!$K$2:$K$4001,$AB613)&amp;"")</f>
        <v/>
      </c>
      <c r="L613">
        <f>IF($AB613="","",INDEX('Per Line'!$L$2:$L$4001,$AB613))</f>
        <v/>
      </c>
      <c r="M613" s="7">
        <f>IF($AB613="","",IF(AND(ISNUMBER(O613),O613&gt;0,Z613&gt;O613),L613*O613/100+(Z613-O613),L613*Z613/100))</f>
        <v/>
      </c>
      <c r="N613">
        <f>IF($AB613="","",INDEX('Per Line'!$V$2:$V$4001,$AB613)&amp;"")</f>
        <v/>
      </c>
      <c r="O613">
        <f>IF($AB613="","",INDEX('Per Line'!$Z$2:$Z$4001,$AB613))</f>
        <v/>
      </c>
      <c r="P613">
        <f>IF($AB613="","",IF(AND(ISNUMBER(O613),O613&gt;0),Z613&gt;O613,FALSE))</f>
        <v/>
      </c>
      <c r="Q613" s="7">
        <f>IF($AB613="","",SUMIFS('Per Line'!$U$2:$U$4001,'Per Line'!$C$2:$C$4001,$B613,'Per Line'!$AM$2:$AM$4001,1))</f>
        <v/>
      </c>
      <c r="R613">
        <f>IF($AB613="","",Settings!$C$7)</f>
        <v/>
      </c>
      <c r="S613" s="7">
        <f>IF($AB613="","",SUMIFS('Per Line'!$U$2:$U$4001,'Per Line'!$C$2:$C$4001,$B613,'Per Line'!$AL$2:$AL$4001,0,'Per Line'!$AM$2:$AM$4001,0))</f>
        <v/>
      </c>
      <c r="T613" s="7">
        <f>IF($AB613="","",S613*R613)</f>
        <v/>
      </c>
      <c r="U613">
        <f>IF($AB613="","",Settings!$C$6)</f>
        <v/>
      </c>
      <c r="V613" s="7">
        <f>IF($AB613="","",SUMIFS('Per Line'!$U$2:$U$4001,'Per Line'!$C$2:$C$4001,$B613,'Per Line'!$AL$2:$AL$4001,1,'Per Line'!$AM$2:$AM$4001,0))</f>
        <v/>
      </c>
      <c r="W613" s="7">
        <f>IF($AB613="","",V613*U613)</f>
        <v/>
      </c>
      <c r="X613" s="7">
        <f>IF($AB613="","",W613+T613)</f>
        <v/>
      </c>
      <c r="Y613" s="7">
        <f>IF($AB613="","",Z613-X613)</f>
        <v/>
      </c>
      <c r="Z613" s="7">
        <f>IF($AB613="","",S613+V613+Q613)</f>
        <v/>
      </c>
      <c r="AA613" s="7">
        <f>IF($AB613="","",Z613-X613-M613)</f>
        <v/>
      </c>
      <c r="AB613" s="13">
        <f>IF(ROWS($AB$2:$AB613)&lt;=MAX('Per Line'!$AK$2:$AK$4001),MATCH(ROWS($AB$2:$AB613),'Per Line'!$AK$2:$AK$4001,0),"")</f>
        <v/>
      </c>
      <c r="AC613" s="14">
        <f>IF($AB613="","",M613-L613*Z613/100)</f>
        <v/>
      </c>
    </row>
    <row r="614">
      <c r="A614" s="12" t="n"/>
      <c r="B614">
        <f>IF($AB614="","",INDEX('Per Line'!$C$2:$C$4001,$AB614)&amp;"")</f>
        <v/>
      </c>
      <c r="C614">
        <f>IF($AB614="","",INDEX('Per Line'!$D$2:$D$4001,$AB614)&amp;"")</f>
        <v/>
      </c>
      <c r="D614">
        <f>IF($AB614="","",INDEX('Per Line'!$B$2:$B$4001,$AB614)&amp;"")</f>
        <v/>
      </c>
      <c r="E614">
        <f>IF($AB614="","",INDEX('Per Line'!$A$2:$A$4001,$AB614))</f>
        <v/>
      </c>
      <c r="F614" s="11">
        <f>IF($AB614="","",INDEX('Per Line'!$E$2:$E$4001,$AB614))</f>
        <v/>
      </c>
      <c r="G614">
        <f>IF($AB614="","",INDEX('Per Line'!$F$2:$F$4001,$AB614)&amp;"")</f>
        <v/>
      </c>
      <c r="H614">
        <f>IF($AB614="","",INDEX('Per Line'!$H$2:$H$4001,$AB614)&amp;"")</f>
        <v/>
      </c>
      <c r="I614">
        <f>IF($AB614="","",INDEX('Per Line'!$I$2:$I$4001,$AB614)&amp;"")</f>
        <v/>
      </c>
      <c r="J614">
        <f>IF($AB614="","",INDEX('Per Line'!$J$2:$J$4001,$AB614)&amp;"")</f>
        <v/>
      </c>
      <c r="K614">
        <f>IF($AB614="","",INDEX('Per Line'!$K$2:$K$4001,$AB614)&amp;"")</f>
        <v/>
      </c>
      <c r="L614">
        <f>IF($AB614="","",INDEX('Per Line'!$L$2:$L$4001,$AB614))</f>
        <v/>
      </c>
      <c r="M614" s="7">
        <f>IF($AB614="","",IF(AND(ISNUMBER(O614),O614&gt;0,Z614&gt;O614),L614*O614/100+(Z614-O614),L614*Z614/100))</f>
        <v/>
      </c>
      <c r="N614">
        <f>IF($AB614="","",INDEX('Per Line'!$V$2:$V$4001,$AB614)&amp;"")</f>
        <v/>
      </c>
      <c r="O614">
        <f>IF($AB614="","",INDEX('Per Line'!$Z$2:$Z$4001,$AB614))</f>
        <v/>
      </c>
      <c r="P614">
        <f>IF($AB614="","",IF(AND(ISNUMBER(O614),O614&gt;0),Z614&gt;O614,FALSE))</f>
        <v/>
      </c>
      <c r="Q614" s="7">
        <f>IF($AB614="","",SUMIFS('Per Line'!$U$2:$U$4001,'Per Line'!$C$2:$C$4001,$B614,'Per Line'!$AM$2:$AM$4001,1))</f>
        <v/>
      </c>
      <c r="R614">
        <f>IF($AB614="","",Settings!$C$7)</f>
        <v/>
      </c>
      <c r="S614" s="7">
        <f>IF($AB614="","",SUMIFS('Per Line'!$U$2:$U$4001,'Per Line'!$C$2:$C$4001,$B614,'Per Line'!$AL$2:$AL$4001,0,'Per Line'!$AM$2:$AM$4001,0))</f>
        <v/>
      </c>
      <c r="T614" s="7">
        <f>IF($AB614="","",S614*R614)</f>
        <v/>
      </c>
      <c r="U614">
        <f>IF($AB614="","",Settings!$C$6)</f>
        <v/>
      </c>
      <c r="V614" s="7">
        <f>IF($AB614="","",SUMIFS('Per Line'!$U$2:$U$4001,'Per Line'!$C$2:$C$4001,$B614,'Per Line'!$AL$2:$AL$4001,1,'Per Line'!$AM$2:$AM$4001,0))</f>
        <v/>
      </c>
      <c r="W614" s="7">
        <f>IF($AB614="","",V614*U614)</f>
        <v/>
      </c>
      <c r="X614" s="7">
        <f>IF($AB614="","",W614+T614)</f>
        <v/>
      </c>
      <c r="Y614" s="7">
        <f>IF($AB614="","",Z614-X614)</f>
        <v/>
      </c>
      <c r="Z614" s="7">
        <f>IF($AB614="","",S614+V614+Q614)</f>
        <v/>
      </c>
      <c r="AA614" s="7">
        <f>IF($AB614="","",Z614-X614-M614)</f>
        <v/>
      </c>
      <c r="AB614" s="13">
        <f>IF(ROWS($AB$2:$AB614)&lt;=MAX('Per Line'!$AK$2:$AK$4001),MATCH(ROWS($AB$2:$AB614),'Per Line'!$AK$2:$AK$4001,0),"")</f>
        <v/>
      </c>
      <c r="AC614" s="14">
        <f>IF($AB614="","",M614-L614*Z614/100)</f>
        <v/>
      </c>
    </row>
    <row r="615">
      <c r="A615" s="12" t="n"/>
      <c r="B615">
        <f>IF($AB615="","",INDEX('Per Line'!$C$2:$C$4001,$AB615)&amp;"")</f>
        <v/>
      </c>
      <c r="C615">
        <f>IF($AB615="","",INDEX('Per Line'!$D$2:$D$4001,$AB615)&amp;"")</f>
        <v/>
      </c>
      <c r="D615">
        <f>IF($AB615="","",INDEX('Per Line'!$B$2:$B$4001,$AB615)&amp;"")</f>
        <v/>
      </c>
      <c r="E615">
        <f>IF($AB615="","",INDEX('Per Line'!$A$2:$A$4001,$AB615))</f>
        <v/>
      </c>
      <c r="F615" s="11">
        <f>IF($AB615="","",INDEX('Per Line'!$E$2:$E$4001,$AB615))</f>
        <v/>
      </c>
      <c r="G615">
        <f>IF($AB615="","",INDEX('Per Line'!$F$2:$F$4001,$AB615)&amp;"")</f>
        <v/>
      </c>
      <c r="H615">
        <f>IF($AB615="","",INDEX('Per Line'!$H$2:$H$4001,$AB615)&amp;"")</f>
        <v/>
      </c>
      <c r="I615">
        <f>IF($AB615="","",INDEX('Per Line'!$I$2:$I$4001,$AB615)&amp;"")</f>
        <v/>
      </c>
      <c r="J615">
        <f>IF($AB615="","",INDEX('Per Line'!$J$2:$J$4001,$AB615)&amp;"")</f>
        <v/>
      </c>
      <c r="K615">
        <f>IF($AB615="","",INDEX('Per Line'!$K$2:$K$4001,$AB615)&amp;"")</f>
        <v/>
      </c>
      <c r="L615">
        <f>IF($AB615="","",INDEX('Per Line'!$L$2:$L$4001,$AB615))</f>
        <v/>
      </c>
      <c r="M615" s="7">
        <f>IF($AB615="","",IF(AND(ISNUMBER(O615),O615&gt;0,Z615&gt;O615),L615*O615/100+(Z615-O615),L615*Z615/100))</f>
        <v/>
      </c>
      <c r="N615">
        <f>IF($AB615="","",INDEX('Per Line'!$V$2:$V$4001,$AB615)&amp;"")</f>
        <v/>
      </c>
      <c r="O615">
        <f>IF($AB615="","",INDEX('Per Line'!$Z$2:$Z$4001,$AB615))</f>
        <v/>
      </c>
      <c r="P615">
        <f>IF($AB615="","",IF(AND(ISNUMBER(O615),O615&gt;0),Z615&gt;O615,FALSE))</f>
        <v/>
      </c>
      <c r="Q615" s="7">
        <f>IF($AB615="","",SUMIFS('Per Line'!$U$2:$U$4001,'Per Line'!$C$2:$C$4001,$B615,'Per Line'!$AM$2:$AM$4001,1))</f>
        <v/>
      </c>
      <c r="R615">
        <f>IF($AB615="","",Settings!$C$7)</f>
        <v/>
      </c>
      <c r="S615" s="7">
        <f>IF($AB615="","",SUMIFS('Per Line'!$U$2:$U$4001,'Per Line'!$C$2:$C$4001,$B615,'Per Line'!$AL$2:$AL$4001,0,'Per Line'!$AM$2:$AM$4001,0))</f>
        <v/>
      </c>
      <c r="T615" s="7">
        <f>IF($AB615="","",S615*R615)</f>
        <v/>
      </c>
      <c r="U615">
        <f>IF($AB615="","",Settings!$C$6)</f>
        <v/>
      </c>
      <c r="V615" s="7">
        <f>IF($AB615="","",SUMIFS('Per Line'!$U$2:$U$4001,'Per Line'!$C$2:$C$4001,$B615,'Per Line'!$AL$2:$AL$4001,1,'Per Line'!$AM$2:$AM$4001,0))</f>
        <v/>
      </c>
      <c r="W615" s="7">
        <f>IF($AB615="","",V615*U615)</f>
        <v/>
      </c>
      <c r="X615" s="7">
        <f>IF($AB615="","",W615+T615)</f>
        <v/>
      </c>
      <c r="Y615" s="7">
        <f>IF($AB615="","",Z615-X615)</f>
        <v/>
      </c>
      <c r="Z615" s="7">
        <f>IF($AB615="","",S615+V615+Q615)</f>
        <v/>
      </c>
      <c r="AA615" s="7">
        <f>IF($AB615="","",Z615-X615-M615)</f>
        <v/>
      </c>
      <c r="AB615" s="13">
        <f>IF(ROWS($AB$2:$AB615)&lt;=MAX('Per Line'!$AK$2:$AK$4001),MATCH(ROWS($AB$2:$AB615),'Per Line'!$AK$2:$AK$4001,0),"")</f>
        <v/>
      </c>
      <c r="AC615" s="14">
        <f>IF($AB615="","",M615-L615*Z615/100)</f>
        <v/>
      </c>
    </row>
    <row r="616">
      <c r="A616" s="12" t="n"/>
      <c r="B616">
        <f>IF($AB616="","",INDEX('Per Line'!$C$2:$C$4001,$AB616)&amp;"")</f>
        <v/>
      </c>
      <c r="C616">
        <f>IF($AB616="","",INDEX('Per Line'!$D$2:$D$4001,$AB616)&amp;"")</f>
        <v/>
      </c>
      <c r="D616">
        <f>IF($AB616="","",INDEX('Per Line'!$B$2:$B$4001,$AB616)&amp;"")</f>
        <v/>
      </c>
      <c r="E616">
        <f>IF($AB616="","",INDEX('Per Line'!$A$2:$A$4001,$AB616))</f>
        <v/>
      </c>
      <c r="F616" s="11">
        <f>IF($AB616="","",INDEX('Per Line'!$E$2:$E$4001,$AB616))</f>
        <v/>
      </c>
      <c r="G616">
        <f>IF($AB616="","",INDEX('Per Line'!$F$2:$F$4001,$AB616)&amp;"")</f>
        <v/>
      </c>
      <c r="H616">
        <f>IF($AB616="","",INDEX('Per Line'!$H$2:$H$4001,$AB616)&amp;"")</f>
        <v/>
      </c>
      <c r="I616">
        <f>IF($AB616="","",INDEX('Per Line'!$I$2:$I$4001,$AB616)&amp;"")</f>
        <v/>
      </c>
      <c r="J616">
        <f>IF($AB616="","",INDEX('Per Line'!$J$2:$J$4001,$AB616)&amp;"")</f>
        <v/>
      </c>
      <c r="K616">
        <f>IF($AB616="","",INDEX('Per Line'!$K$2:$K$4001,$AB616)&amp;"")</f>
        <v/>
      </c>
      <c r="L616">
        <f>IF($AB616="","",INDEX('Per Line'!$L$2:$L$4001,$AB616))</f>
        <v/>
      </c>
      <c r="M616" s="7">
        <f>IF($AB616="","",IF(AND(ISNUMBER(O616),O616&gt;0,Z616&gt;O616),L616*O616/100+(Z616-O616),L616*Z616/100))</f>
        <v/>
      </c>
      <c r="N616">
        <f>IF($AB616="","",INDEX('Per Line'!$V$2:$V$4001,$AB616)&amp;"")</f>
        <v/>
      </c>
      <c r="O616">
        <f>IF($AB616="","",INDEX('Per Line'!$Z$2:$Z$4001,$AB616))</f>
        <v/>
      </c>
      <c r="P616">
        <f>IF($AB616="","",IF(AND(ISNUMBER(O616),O616&gt;0),Z616&gt;O616,FALSE))</f>
        <v/>
      </c>
      <c r="Q616" s="7">
        <f>IF($AB616="","",SUMIFS('Per Line'!$U$2:$U$4001,'Per Line'!$C$2:$C$4001,$B616,'Per Line'!$AM$2:$AM$4001,1))</f>
        <v/>
      </c>
      <c r="R616">
        <f>IF($AB616="","",Settings!$C$7)</f>
        <v/>
      </c>
      <c r="S616" s="7">
        <f>IF($AB616="","",SUMIFS('Per Line'!$U$2:$U$4001,'Per Line'!$C$2:$C$4001,$B616,'Per Line'!$AL$2:$AL$4001,0,'Per Line'!$AM$2:$AM$4001,0))</f>
        <v/>
      </c>
      <c r="T616" s="7">
        <f>IF($AB616="","",S616*R616)</f>
        <v/>
      </c>
      <c r="U616">
        <f>IF($AB616="","",Settings!$C$6)</f>
        <v/>
      </c>
      <c r="V616" s="7">
        <f>IF($AB616="","",SUMIFS('Per Line'!$U$2:$U$4001,'Per Line'!$C$2:$C$4001,$B616,'Per Line'!$AL$2:$AL$4001,1,'Per Line'!$AM$2:$AM$4001,0))</f>
        <v/>
      </c>
      <c r="W616" s="7">
        <f>IF($AB616="","",V616*U616)</f>
        <v/>
      </c>
      <c r="X616" s="7">
        <f>IF($AB616="","",W616+T616)</f>
        <v/>
      </c>
      <c r="Y616" s="7">
        <f>IF($AB616="","",Z616-X616)</f>
        <v/>
      </c>
      <c r="Z616" s="7">
        <f>IF($AB616="","",S616+V616+Q616)</f>
        <v/>
      </c>
      <c r="AA616" s="7">
        <f>IF($AB616="","",Z616-X616-M616)</f>
        <v/>
      </c>
      <c r="AB616" s="13">
        <f>IF(ROWS($AB$2:$AB616)&lt;=MAX('Per Line'!$AK$2:$AK$4001),MATCH(ROWS($AB$2:$AB616),'Per Line'!$AK$2:$AK$4001,0),"")</f>
        <v/>
      </c>
      <c r="AC616" s="14">
        <f>IF($AB616="","",M616-L616*Z616/100)</f>
        <v/>
      </c>
    </row>
    <row r="617">
      <c r="A617" s="12" t="n"/>
      <c r="B617">
        <f>IF($AB617="","",INDEX('Per Line'!$C$2:$C$4001,$AB617)&amp;"")</f>
        <v/>
      </c>
      <c r="C617">
        <f>IF($AB617="","",INDEX('Per Line'!$D$2:$D$4001,$AB617)&amp;"")</f>
        <v/>
      </c>
      <c r="D617">
        <f>IF($AB617="","",INDEX('Per Line'!$B$2:$B$4001,$AB617)&amp;"")</f>
        <v/>
      </c>
      <c r="E617">
        <f>IF($AB617="","",INDEX('Per Line'!$A$2:$A$4001,$AB617))</f>
        <v/>
      </c>
      <c r="F617" s="11">
        <f>IF($AB617="","",INDEX('Per Line'!$E$2:$E$4001,$AB617))</f>
        <v/>
      </c>
      <c r="G617">
        <f>IF($AB617="","",INDEX('Per Line'!$F$2:$F$4001,$AB617)&amp;"")</f>
        <v/>
      </c>
      <c r="H617">
        <f>IF($AB617="","",INDEX('Per Line'!$H$2:$H$4001,$AB617)&amp;"")</f>
        <v/>
      </c>
      <c r="I617">
        <f>IF($AB617="","",INDEX('Per Line'!$I$2:$I$4001,$AB617)&amp;"")</f>
        <v/>
      </c>
      <c r="J617">
        <f>IF($AB617="","",INDEX('Per Line'!$J$2:$J$4001,$AB617)&amp;"")</f>
        <v/>
      </c>
      <c r="K617">
        <f>IF($AB617="","",INDEX('Per Line'!$K$2:$K$4001,$AB617)&amp;"")</f>
        <v/>
      </c>
      <c r="L617">
        <f>IF($AB617="","",INDEX('Per Line'!$L$2:$L$4001,$AB617))</f>
        <v/>
      </c>
      <c r="M617" s="7">
        <f>IF($AB617="","",IF(AND(ISNUMBER(O617),O617&gt;0,Z617&gt;O617),L617*O617/100+(Z617-O617),L617*Z617/100))</f>
        <v/>
      </c>
      <c r="N617">
        <f>IF($AB617="","",INDEX('Per Line'!$V$2:$V$4001,$AB617)&amp;"")</f>
        <v/>
      </c>
      <c r="O617">
        <f>IF($AB617="","",INDEX('Per Line'!$Z$2:$Z$4001,$AB617))</f>
        <v/>
      </c>
      <c r="P617">
        <f>IF($AB617="","",IF(AND(ISNUMBER(O617),O617&gt;0),Z617&gt;O617,FALSE))</f>
        <v/>
      </c>
      <c r="Q617" s="7">
        <f>IF($AB617="","",SUMIFS('Per Line'!$U$2:$U$4001,'Per Line'!$C$2:$C$4001,$B617,'Per Line'!$AM$2:$AM$4001,1))</f>
        <v/>
      </c>
      <c r="R617">
        <f>IF($AB617="","",Settings!$C$7)</f>
        <v/>
      </c>
      <c r="S617" s="7">
        <f>IF($AB617="","",SUMIFS('Per Line'!$U$2:$U$4001,'Per Line'!$C$2:$C$4001,$B617,'Per Line'!$AL$2:$AL$4001,0,'Per Line'!$AM$2:$AM$4001,0))</f>
        <v/>
      </c>
      <c r="T617" s="7">
        <f>IF($AB617="","",S617*R617)</f>
        <v/>
      </c>
      <c r="U617">
        <f>IF($AB617="","",Settings!$C$6)</f>
        <v/>
      </c>
      <c r="V617" s="7">
        <f>IF($AB617="","",SUMIFS('Per Line'!$U$2:$U$4001,'Per Line'!$C$2:$C$4001,$B617,'Per Line'!$AL$2:$AL$4001,1,'Per Line'!$AM$2:$AM$4001,0))</f>
        <v/>
      </c>
      <c r="W617" s="7">
        <f>IF($AB617="","",V617*U617)</f>
        <v/>
      </c>
      <c r="X617" s="7">
        <f>IF($AB617="","",W617+T617)</f>
        <v/>
      </c>
      <c r="Y617" s="7">
        <f>IF($AB617="","",Z617-X617)</f>
        <v/>
      </c>
      <c r="Z617" s="7">
        <f>IF($AB617="","",S617+V617+Q617)</f>
        <v/>
      </c>
      <c r="AA617" s="7">
        <f>IF($AB617="","",Z617-X617-M617)</f>
        <v/>
      </c>
      <c r="AB617" s="13">
        <f>IF(ROWS($AB$2:$AB617)&lt;=MAX('Per Line'!$AK$2:$AK$4001),MATCH(ROWS($AB$2:$AB617),'Per Line'!$AK$2:$AK$4001,0),"")</f>
        <v/>
      </c>
      <c r="AC617" s="14">
        <f>IF($AB617="","",M617-L617*Z617/100)</f>
        <v/>
      </c>
    </row>
    <row r="618">
      <c r="A618" s="12" t="n"/>
      <c r="B618">
        <f>IF($AB618="","",INDEX('Per Line'!$C$2:$C$4001,$AB618)&amp;"")</f>
        <v/>
      </c>
      <c r="C618">
        <f>IF($AB618="","",INDEX('Per Line'!$D$2:$D$4001,$AB618)&amp;"")</f>
        <v/>
      </c>
      <c r="D618">
        <f>IF($AB618="","",INDEX('Per Line'!$B$2:$B$4001,$AB618)&amp;"")</f>
        <v/>
      </c>
      <c r="E618">
        <f>IF($AB618="","",INDEX('Per Line'!$A$2:$A$4001,$AB618))</f>
        <v/>
      </c>
      <c r="F618" s="11">
        <f>IF($AB618="","",INDEX('Per Line'!$E$2:$E$4001,$AB618))</f>
        <v/>
      </c>
      <c r="G618">
        <f>IF($AB618="","",INDEX('Per Line'!$F$2:$F$4001,$AB618)&amp;"")</f>
        <v/>
      </c>
      <c r="H618">
        <f>IF($AB618="","",INDEX('Per Line'!$H$2:$H$4001,$AB618)&amp;"")</f>
        <v/>
      </c>
      <c r="I618">
        <f>IF($AB618="","",INDEX('Per Line'!$I$2:$I$4001,$AB618)&amp;"")</f>
        <v/>
      </c>
      <c r="J618">
        <f>IF($AB618="","",INDEX('Per Line'!$J$2:$J$4001,$AB618)&amp;"")</f>
        <v/>
      </c>
      <c r="K618">
        <f>IF($AB618="","",INDEX('Per Line'!$K$2:$K$4001,$AB618)&amp;"")</f>
        <v/>
      </c>
      <c r="L618">
        <f>IF($AB618="","",INDEX('Per Line'!$L$2:$L$4001,$AB618))</f>
        <v/>
      </c>
      <c r="M618" s="7">
        <f>IF($AB618="","",IF(AND(ISNUMBER(O618),O618&gt;0,Z618&gt;O618),L618*O618/100+(Z618-O618),L618*Z618/100))</f>
        <v/>
      </c>
      <c r="N618">
        <f>IF($AB618="","",INDEX('Per Line'!$V$2:$V$4001,$AB618)&amp;"")</f>
        <v/>
      </c>
      <c r="O618">
        <f>IF($AB618="","",INDEX('Per Line'!$Z$2:$Z$4001,$AB618))</f>
        <v/>
      </c>
      <c r="P618">
        <f>IF($AB618="","",IF(AND(ISNUMBER(O618),O618&gt;0),Z618&gt;O618,FALSE))</f>
        <v/>
      </c>
      <c r="Q618" s="7">
        <f>IF($AB618="","",SUMIFS('Per Line'!$U$2:$U$4001,'Per Line'!$C$2:$C$4001,$B618,'Per Line'!$AM$2:$AM$4001,1))</f>
        <v/>
      </c>
      <c r="R618">
        <f>IF($AB618="","",Settings!$C$7)</f>
        <v/>
      </c>
      <c r="S618" s="7">
        <f>IF($AB618="","",SUMIFS('Per Line'!$U$2:$U$4001,'Per Line'!$C$2:$C$4001,$B618,'Per Line'!$AL$2:$AL$4001,0,'Per Line'!$AM$2:$AM$4001,0))</f>
        <v/>
      </c>
      <c r="T618" s="7">
        <f>IF($AB618="","",S618*R618)</f>
        <v/>
      </c>
      <c r="U618">
        <f>IF($AB618="","",Settings!$C$6)</f>
        <v/>
      </c>
      <c r="V618" s="7">
        <f>IF($AB618="","",SUMIFS('Per Line'!$U$2:$U$4001,'Per Line'!$C$2:$C$4001,$B618,'Per Line'!$AL$2:$AL$4001,1,'Per Line'!$AM$2:$AM$4001,0))</f>
        <v/>
      </c>
      <c r="W618" s="7">
        <f>IF($AB618="","",V618*U618)</f>
        <v/>
      </c>
      <c r="X618" s="7">
        <f>IF($AB618="","",W618+T618)</f>
        <v/>
      </c>
      <c r="Y618" s="7">
        <f>IF($AB618="","",Z618-X618)</f>
        <v/>
      </c>
      <c r="Z618" s="7">
        <f>IF($AB618="","",S618+V618+Q618)</f>
        <v/>
      </c>
      <c r="AA618" s="7">
        <f>IF($AB618="","",Z618-X618-M618)</f>
        <v/>
      </c>
      <c r="AB618" s="13">
        <f>IF(ROWS($AB$2:$AB618)&lt;=MAX('Per Line'!$AK$2:$AK$4001),MATCH(ROWS($AB$2:$AB618),'Per Line'!$AK$2:$AK$4001,0),"")</f>
        <v/>
      </c>
      <c r="AC618" s="14">
        <f>IF($AB618="","",M618-L618*Z618/100)</f>
        <v/>
      </c>
    </row>
    <row r="619">
      <c r="A619" s="12" t="n"/>
      <c r="B619">
        <f>IF($AB619="","",INDEX('Per Line'!$C$2:$C$4001,$AB619)&amp;"")</f>
        <v/>
      </c>
      <c r="C619">
        <f>IF($AB619="","",INDEX('Per Line'!$D$2:$D$4001,$AB619)&amp;"")</f>
        <v/>
      </c>
      <c r="D619">
        <f>IF($AB619="","",INDEX('Per Line'!$B$2:$B$4001,$AB619)&amp;"")</f>
        <v/>
      </c>
      <c r="E619">
        <f>IF($AB619="","",INDEX('Per Line'!$A$2:$A$4001,$AB619))</f>
        <v/>
      </c>
      <c r="F619" s="11">
        <f>IF($AB619="","",INDEX('Per Line'!$E$2:$E$4001,$AB619))</f>
        <v/>
      </c>
      <c r="G619">
        <f>IF($AB619="","",INDEX('Per Line'!$F$2:$F$4001,$AB619)&amp;"")</f>
        <v/>
      </c>
      <c r="H619">
        <f>IF($AB619="","",INDEX('Per Line'!$H$2:$H$4001,$AB619)&amp;"")</f>
        <v/>
      </c>
      <c r="I619">
        <f>IF($AB619="","",INDEX('Per Line'!$I$2:$I$4001,$AB619)&amp;"")</f>
        <v/>
      </c>
      <c r="J619">
        <f>IF($AB619="","",INDEX('Per Line'!$J$2:$J$4001,$AB619)&amp;"")</f>
        <v/>
      </c>
      <c r="K619">
        <f>IF($AB619="","",INDEX('Per Line'!$K$2:$K$4001,$AB619)&amp;"")</f>
        <v/>
      </c>
      <c r="L619">
        <f>IF($AB619="","",INDEX('Per Line'!$L$2:$L$4001,$AB619))</f>
        <v/>
      </c>
      <c r="M619" s="7">
        <f>IF($AB619="","",IF(AND(ISNUMBER(O619),O619&gt;0,Z619&gt;O619),L619*O619/100+(Z619-O619),L619*Z619/100))</f>
        <v/>
      </c>
      <c r="N619">
        <f>IF($AB619="","",INDEX('Per Line'!$V$2:$V$4001,$AB619)&amp;"")</f>
        <v/>
      </c>
      <c r="O619">
        <f>IF($AB619="","",INDEX('Per Line'!$Z$2:$Z$4001,$AB619))</f>
        <v/>
      </c>
      <c r="P619">
        <f>IF($AB619="","",IF(AND(ISNUMBER(O619),O619&gt;0),Z619&gt;O619,FALSE))</f>
        <v/>
      </c>
      <c r="Q619" s="7">
        <f>IF($AB619="","",SUMIFS('Per Line'!$U$2:$U$4001,'Per Line'!$C$2:$C$4001,$B619,'Per Line'!$AM$2:$AM$4001,1))</f>
        <v/>
      </c>
      <c r="R619">
        <f>IF($AB619="","",Settings!$C$7)</f>
        <v/>
      </c>
      <c r="S619" s="7">
        <f>IF($AB619="","",SUMIFS('Per Line'!$U$2:$U$4001,'Per Line'!$C$2:$C$4001,$B619,'Per Line'!$AL$2:$AL$4001,0,'Per Line'!$AM$2:$AM$4001,0))</f>
        <v/>
      </c>
      <c r="T619" s="7">
        <f>IF($AB619="","",S619*R619)</f>
        <v/>
      </c>
      <c r="U619">
        <f>IF($AB619="","",Settings!$C$6)</f>
        <v/>
      </c>
      <c r="V619" s="7">
        <f>IF($AB619="","",SUMIFS('Per Line'!$U$2:$U$4001,'Per Line'!$C$2:$C$4001,$B619,'Per Line'!$AL$2:$AL$4001,1,'Per Line'!$AM$2:$AM$4001,0))</f>
        <v/>
      </c>
      <c r="W619" s="7">
        <f>IF($AB619="","",V619*U619)</f>
        <v/>
      </c>
      <c r="X619" s="7">
        <f>IF($AB619="","",W619+T619)</f>
        <v/>
      </c>
      <c r="Y619" s="7">
        <f>IF($AB619="","",Z619-X619)</f>
        <v/>
      </c>
      <c r="Z619" s="7">
        <f>IF($AB619="","",S619+V619+Q619)</f>
        <v/>
      </c>
      <c r="AA619" s="7">
        <f>IF($AB619="","",Z619-X619-M619)</f>
        <v/>
      </c>
      <c r="AB619" s="13">
        <f>IF(ROWS($AB$2:$AB619)&lt;=MAX('Per Line'!$AK$2:$AK$4001),MATCH(ROWS($AB$2:$AB619),'Per Line'!$AK$2:$AK$4001,0),"")</f>
        <v/>
      </c>
      <c r="AC619" s="14">
        <f>IF($AB619="","",M619-L619*Z619/100)</f>
        <v/>
      </c>
    </row>
    <row r="620">
      <c r="A620" s="12" t="n"/>
      <c r="B620">
        <f>IF($AB620="","",INDEX('Per Line'!$C$2:$C$4001,$AB620)&amp;"")</f>
        <v/>
      </c>
      <c r="C620">
        <f>IF($AB620="","",INDEX('Per Line'!$D$2:$D$4001,$AB620)&amp;"")</f>
        <v/>
      </c>
      <c r="D620">
        <f>IF($AB620="","",INDEX('Per Line'!$B$2:$B$4001,$AB620)&amp;"")</f>
        <v/>
      </c>
      <c r="E620">
        <f>IF($AB620="","",INDEX('Per Line'!$A$2:$A$4001,$AB620))</f>
        <v/>
      </c>
      <c r="F620" s="11">
        <f>IF($AB620="","",INDEX('Per Line'!$E$2:$E$4001,$AB620))</f>
        <v/>
      </c>
      <c r="G620">
        <f>IF($AB620="","",INDEX('Per Line'!$F$2:$F$4001,$AB620)&amp;"")</f>
        <v/>
      </c>
      <c r="H620">
        <f>IF($AB620="","",INDEX('Per Line'!$H$2:$H$4001,$AB620)&amp;"")</f>
        <v/>
      </c>
      <c r="I620">
        <f>IF($AB620="","",INDEX('Per Line'!$I$2:$I$4001,$AB620)&amp;"")</f>
        <v/>
      </c>
      <c r="J620">
        <f>IF($AB620="","",INDEX('Per Line'!$J$2:$J$4001,$AB620)&amp;"")</f>
        <v/>
      </c>
      <c r="K620">
        <f>IF($AB620="","",INDEX('Per Line'!$K$2:$K$4001,$AB620)&amp;"")</f>
        <v/>
      </c>
      <c r="L620">
        <f>IF($AB620="","",INDEX('Per Line'!$L$2:$L$4001,$AB620))</f>
        <v/>
      </c>
      <c r="M620" s="7">
        <f>IF($AB620="","",IF(AND(ISNUMBER(O620),O620&gt;0,Z620&gt;O620),L620*O620/100+(Z620-O620),L620*Z620/100))</f>
        <v/>
      </c>
      <c r="N620">
        <f>IF($AB620="","",INDEX('Per Line'!$V$2:$V$4001,$AB620)&amp;"")</f>
        <v/>
      </c>
      <c r="O620">
        <f>IF($AB620="","",INDEX('Per Line'!$Z$2:$Z$4001,$AB620))</f>
        <v/>
      </c>
      <c r="P620">
        <f>IF($AB620="","",IF(AND(ISNUMBER(O620),O620&gt;0),Z620&gt;O620,FALSE))</f>
        <v/>
      </c>
      <c r="Q620" s="7">
        <f>IF($AB620="","",SUMIFS('Per Line'!$U$2:$U$4001,'Per Line'!$C$2:$C$4001,$B620,'Per Line'!$AM$2:$AM$4001,1))</f>
        <v/>
      </c>
      <c r="R620">
        <f>IF($AB620="","",Settings!$C$7)</f>
        <v/>
      </c>
      <c r="S620" s="7">
        <f>IF($AB620="","",SUMIFS('Per Line'!$U$2:$U$4001,'Per Line'!$C$2:$C$4001,$B620,'Per Line'!$AL$2:$AL$4001,0,'Per Line'!$AM$2:$AM$4001,0))</f>
        <v/>
      </c>
      <c r="T620" s="7">
        <f>IF($AB620="","",S620*R620)</f>
        <v/>
      </c>
      <c r="U620">
        <f>IF($AB620="","",Settings!$C$6)</f>
        <v/>
      </c>
      <c r="V620" s="7">
        <f>IF($AB620="","",SUMIFS('Per Line'!$U$2:$U$4001,'Per Line'!$C$2:$C$4001,$B620,'Per Line'!$AL$2:$AL$4001,1,'Per Line'!$AM$2:$AM$4001,0))</f>
        <v/>
      </c>
      <c r="W620" s="7">
        <f>IF($AB620="","",V620*U620)</f>
        <v/>
      </c>
      <c r="X620" s="7">
        <f>IF($AB620="","",W620+T620)</f>
        <v/>
      </c>
      <c r="Y620" s="7">
        <f>IF($AB620="","",Z620-X620)</f>
        <v/>
      </c>
      <c r="Z620" s="7">
        <f>IF($AB620="","",S620+V620+Q620)</f>
        <v/>
      </c>
      <c r="AA620" s="7">
        <f>IF($AB620="","",Z620-X620-M620)</f>
        <v/>
      </c>
      <c r="AB620" s="13">
        <f>IF(ROWS($AB$2:$AB620)&lt;=MAX('Per Line'!$AK$2:$AK$4001),MATCH(ROWS($AB$2:$AB620),'Per Line'!$AK$2:$AK$4001,0),"")</f>
        <v/>
      </c>
      <c r="AC620" s="14">
        <f>IF($AB620="","",M620-L620*Z620/100)</f>
        <v/>
      </c>
    </row>
    <row r="621">
      <c r="A621" s="12" t="n"/>
      <c r="B621">
        <f>IF($AB621="","",INDEX('Per Line'!$C$2:$C$4001,$AB621)&amp;"")</f>
        <v/>
      </c>
      <c r="C621">
        <f>IF($AB621="","",INDEX('Per Line'!$D$2:$D$4001,$AB621)&amp;"")</f>
        <v/>
      </c>
      <c r="D621">
        <f>IF($AB621="","",INDEX('Per Line'!$B$2:$B$4001,$AB621)&amp;"")</f>
        <v/>
      </c>
      <c r="E621">
        <f>IF($AB621="","",INDEX('Per Line'!$A$2:$A$4001,$AB621))</f>
        <v/>
      </c>
      <c r="F621" s="11">
        <f>IF($AB621="","",INDEX('Per Line'!$E$2:$E$4001,$AB621))</f>
        <v/>
      </c>
      <c r="G621">
        <f>IF($AB621="","",INDEX('Per Line'!$F$2:$F$4001,$AB621)&amp;"")</f>
        <v/>
      </c>
      <c r="H621">
        <f>IF($AB621="","",INDEX('Per Line'!$H$2:$H$4001,$AB621)&amp;"")</f>
        <v/>
      </c>
      <c r="I621">
        <f>IF($AB621="","",INDEX('Per Line'!$I$2:$I$4001,$AB621)&amp;"")</f>
        <v/>
      </c>
      <c r="J621">
        <f>IF($AB621="","",INDEX('Per Line'!$J$2:$J$4001,$AB621)&amp;"")</f>
        <v/>
      </c>
      <c r="K621">
        <f>IF($AB621="","",INDEX('Per Line'!$K$2:$K$4001,$AB621)&amp;"")</f>
        <v/>
      </c>
      <c r="L621">
        <f>IF($AB621="","",INDEX('Per Line'!$L$2:$L$4001,$AB621))</f>
        <v/>
      </c>
      <c r="M621" s="7">
        <f>IF($AB621="","",IF(AND(ISNUMBER(O621),O621&gt;0,Z621&gt;O621),L621*O621/100+(Z621-O621),L621*Z621/100))</f>
        <v/>
      </c>
      <c r="N621">
        <f>IF($AB621="","",INDEX('Per Line'!$V$2:$V$4001,$AB621)&amp;"")</f>
        <v/>
      </c>
      <c r="O621">
        <f>IF($AB621="","",INDEX('Per Line'!$Z$2:$Z$4001,$AB621))</f>
        <v/>
      </c>
      <c r="P621">
        <f>IF($AB621="","",IF(AND(ISNUMBER(O621),O621&gt;0),Z621&gt;O621,FALSE))</f>
        <v/>
      </c>
      <c r="Q621" s="7">
        <f>IF($AB621="","",SUMIFS('Per Line'!$U$2:$U$4001,'Per Line'!$C$2:$C$4001,$B621,'Per Line'!$AM$2:$AM$4001,1))</f>
        <v/>
      </c>
      <c r="R621">
        <f>IF($AB621="","",Settings!$C$7)</f>
        <v/>
      </c>
      <c r="S621" s="7">
        <f>IF($AB621="","",SUMIFS('Per Line'!$U$2:$U$4001,'Per Line'!$C$2:$C$4001,$B621,'Per Line'!$AL$2:$AL$4001,0,'Per Line'!$AM$2:$AM$4001,0))</f>
        <v/>
      </c>
      <c r="T621" s="7">
        <f>IF($AB621="","",S621*R621)</f>
        <v/>
      </c>
      <c r="U621">
        <f>IF($AB621="","",Settings!$C$6)</f>
        <v/>
      </c>
      <c r="V621" s="7">
        <f>IF($AB621="","",SUMIFS('Per Line'!$U$2:$U$4001,'Per Line'!$C$2:$C$4001,$B621,'Per Line'!$AL$2:$AL$4001,1,'Per Line'!$AM$2:$AM$4001,0))</f>
        <v/>
      </c>
      <c r="W621" s="7">
        <f>IF($AB621="","",V621*U621)</f>
        <v/>
      </c>
      <c r="X621" s="7">
        <f>IF($AB621="","",W621+T621)</f>
        <v/>
      </c>
      <c r="Y621" s="7">
        <f>IF($AB621="","",Z621-X621)</f>
        <v/>
      </c>
      <c r="Z621" s="7">
        <f>IF($AB621="","",S621+V621+Q621)</f>
        <v/>
      </c>
      <c r="AA621" s="7">
        <f>IF($AB621="","",Z621-X621-M621)</f>
        <v/>
      </c>
      <c r="AB621" s="13">
        <f>IF(ROWS($AB$2:$AB621)&lt;=MAX('Per Line'!$AK$2:$AK$4001),MATCH(ROWS($AB$2:$AB621),'Per Line'!$AK$2:$AK$4001,0),"")</f>
        <v/>
      </c>
      <c r="AC621" s="14">
        <f>IF($AB621="","",M621-L621*Z621/100)</f>
        <v/>
      </c>
    </row>
    <row r="622">
      <c r="A622" s="12" t="n"/>
      <c r="B622">
        <f>IF($AB622="","",INDEX('Per Line'!$C$2:$C$4001,$AB622)&amp;"")</f>
        <v/>
      </c>
      <c r="C622">
        <f>IF($AB622="","",INDEX('Per Line'!$D$2:$D$4001,$AB622)&amp;"")</f>
        <v/>
      </c>
      <c r="D622">
        <f>IF($AB622="","",INDEX('Per Line'!$B$2:$B$4001,$AB622)&amp;"")</f>
        <v/>
      </c>
      <c r="E622">
        <f>IF($AB622="","",INDEX('Per Line'!$A$2:$A$4001,$AB622))</f>
        <v/>
      </c>
      <c r="F622" s="11">
        <f>IF($AB622="","",INDEX('Per Line'!$E$2:$E$4001,$AB622))</f>
        <v/>
      </c>
      <c r="G622">
        <f>IF($AB622="","",INDEX('Per Line'!$F$2:$F$4001,$AB622)&amp;"")</f>
        <v/>
      </c>
      <c r="H622">
        <f>IF($AB622="","",INDEX('Per Line'!$H$2:$H$4001,$AB622)&amp;"")</f>
        <v/>
      </c>
      <c r="I622">
        <f>IF($AB622="","",INDEX('Per Line'!$I$2:$I$4001,$AB622)&amp;"")</f>
        <v/>
      </c>
      <c r="J622">
        <f>IF($AB622="","",INDEX('Per Line'!$J$2:$J$4001,$AB622)&amp;"")</f>
        <v/>
      </c>
      <c r="K622">
        <f>IF($AB622="","",INDEX('Per Line'!$K$2:$K$4001,$AB622)&amp;"")</f>
        <v/>
      </c>
      <c r="L622">
        <f>IF($AB622="","",INDEX('Per Line'!$L$2:$L$4001,$AB622))</f>
        <v/>
      </c>
      <c r="M622" s="7">
        <f>IF($AB622="","",IF(AND(ISNUMBER(O622),O622&gt;0,Z622&gt;O622),L622*O622/100+(Z622-O622),L622*Z622/100))</f>
        <v/>
      </c>
      <c r="N622">
        <f>IF($AB622="","",INDEX('Per Line'!$V$2:$V$4001,$AB622)&amp;"")</f>
        <v/>
      </c>
      <c r="O622">
        <f>IF($AB622="","",INDEX('Per Line'!$Z$2:$Z$4001,$AB622))</f>
        <v/>
      </c>
      <c r="P622">
        <f>IF($AB622="","",IF(AND(ISNUMBER(O622),O622&gt;0),Z622&gt;O622,FALSE))</f>
        <v/>
      </c>
      <c r="Q622" s="7">
        <f>IF($AB622="","",SUMIFS('Per Line'!$U$2:$U$4001,'Per Line'!$C$2:$C$4001,$B622,'Per Line'!$AM$2:$AM$4001,1))</f>
        <v/>
      </c>
      <c r="R622">
        <f>IF($AB622="","",Settings!$C$7)</f>
        <v/>
      </c>
      <c r="S622" s="7">
        <f>IF($AB622="","",SUMIFS('Per Line'!$U$2:$U$4001,'Per Line'!$C$2:$C$4001,$B622,'Per Line'!$AL$2:$AL$4001,0,'Per Line'!$AM$2:$AM$4001,0))</f>
        <v/>
      </c>
      <c r="T622" s="7">
        <f>IF($AB622="","",S622*R622)</f>
        <v/>
      </c>
      <c r="U622">
        <f>IF($AB622="","",Settings!$C$6)</f>
        <v/>
      </c>
      <c r="V622" s="7">
        <f>IF($AB622="","",SUMIFS('Per Line'!$U$2:$U$4001,'Per Line'!$C$2:$C$4001,$B622,'Per Line'!$AL$2:$AL$4001,1,'Per Line'!$AM$2:$AM$4001,0))</f>
        <v/>
      </c>
      <c r="W622" s="7">
        <f>IF($AB622="","",V622*U622)</f>
        <v/>
      </c>
      <c r="X622" s="7">
        <f>IF($AB622="","",W622+T622)</f>
        <v/>
      </c>
      <c r="Y622" s="7">
        <f>IF($AB622="","",Z622-X622)</f>
        <v/>
      </c>
      <c r="Z622" s="7">
        <f>IF($AB622="","",S622+V622+Q622)</f>
        <v/>
      </c>
      <c r="AA622" s="7">
        <f>IF($AB622="","",Z622-X622-M622)</f>
        <v/>
      </c>
      <c r="AB622" s="13">
        <f>IF(ROWS($AB$2:$AB622)&lt;=MAX('Per Line'!$AK$2:$AK$4001),MATCH(ROWS($AB$2:$AB622),'Per Line'!$AK$2:$AK$4001,0),"")</f>
        <v/>
      </c>
      <c r="AC622" s="14">
        <f>IF($AB622="","",M622-L622*Z622/100)</f>
        <v/>
      </c>
    </row>
    <row r="623">
      <c r="A623" s="12" t="n"/>
      <c r="B623">
        <f>IF($AB623="","",INDEX('Per Line'!$C$2:$C$4001,$AB623)&amp;"")</f>
        <v/>
      </c>
      <c r="C623">
        <f>IF($AB623="","",INDEX('Per Line'!$D$2:$D$4001,$AB623)&amp;"")</f>
        <v/>
      </c>
      <c r="D623">
        <f>IF($AB623="","",INDEX('Per Line'!$B$2:$B$4001,$AB623)&amp;"")</f>
        <v/>
      </c>
      <c r="E623">
        <f>IF($AB623="","",INDEX('Per Line'!$A$2:$A$4001,$AB623))</f>
        <v/>
      </c>
      <c r="F623" s="11">
        <f>IF($AB623="","",INDEX('Per Line'!$E$2:$E$4001,$AB623))</f>
        <v/>
      </c>
      <c r="G623">
        <f>IF($AB623="","",INDEX('Per Line'!$F$2:$F$4001,$AB623)&amp;"")</f>
        <v/>
      </c>
      <c r="H623">
        <f>IF($AB623="","",INDEX('Per Line'!$H$2:$H$4001,$AB623)&amp;"")</f>
        <v/>
      </c>
      <c r="I623">
        <f>IF($AB623="","",INDEX('Per Line'!$I$2:$I$4001,$AB623)&amp;"")</f>
        <v/>
      </c>
      <c r="J623">
        <f>IF($AB623="","",INDEX('Per Line'!$J$2:$J$4001,$AB623)&amp;"")</f>
        <v/>
      </c>
      <c r="K623">
        <f>IF($AB623="","",INDEX('Per Line'!$K$2:$K$4001,$AB623)&amp;"")</f>
        <v/>
      </c>
      <c r="L623">
        <f>IF($AB623="","",INDEX('Per Line'!$L$2:$L$4001,$AB623))</f>
        <v/>
      </c>
      <c r="M623" s="7">
        <f>IF($AB623="","",IF(AND(ISNUMBER(O623),O623&gt;0,Z623&gt;O623),L623*O623/100+(Z623-O623),L623*Z623/100))</f>
        <v/>
      </c>
      <c r="N623">
        <f>IF($AB623="","",INDEX('Per Line'!$V$2:$V$4001,$AB623)&amp;"")</f>
        <v/>
      </c>
      <c r="O623">
        <f>IF($AB623="","",INDEX('Per Line'!$Z$2:$Z$4001,$AB623))</f>
        <v/>
      </c>
      <c r="P623">
        <f>IF($AB623="","",IF(AND(ISNUMBER(O623),O623&gt;0),Z623&gt;O623,FALSE))</f>
        <v/>
      </c>
      <c r="Q623" s="7">
        <f>IF($AB623="","",SUMIFS('Per Line'!$U$2:$U$4001,'Per Line'!$C$2:$C$4001,$B623,'Per Line'!$AM$2:$AM$4001,1))</f>
        <v/>
      </c>
      <c r="R623">
        <f>IF($AB623="","",Settings!$C$7)</f>
        <v/>
      </c>
      <c r="S623" s="7">
        <f>IF($AB623="","",SUMIFS('Per Line'!$U$2:$U$4001,'Per Line'!$C$2:$C$4001,$B623,'Per Line'!$AL$2:$AL$4001,0,'Per Line'!$AM$2:$AM$4001,0))</f>
        <v/>
      </c>
      <c r="T623" s="7">
        <f>IF($AB623="","",S623*R623)</f>
        <v/>
      </c>
      <c r="U623">
        <f>IF($AB623="","",Settings!$C$6)</f>
        <v/>
      </c>
      <c r="V623" s="7">
        <f>IF($AB623="","",SUMIFS('Per Line'!$U$2:$U$4001,'Per Line'!$C$2:$C$4001,$B623,'Per Line'!$AL$2:$AL$4001,1,'Per Line'!$AM$2:$AM$4001,0))</f>
        <v/>
      </c>
      <c r="W623" s="7">
        <f>IF($AB623="","",V623*U623)</f>
        <v/>
      </c>
      <c r="X623" s="7">
        <f>IF($AB623="","",W623+T623)</f>
        <v/>
      </c>
      <c r="Y623" s="7">
        <f>IF($AB623="","",Z623-X623)</f>
        <v/>
      </c>
      <c r="Z623" s="7">
        <f>IF($AB623="","",S623+V623+Q623)</f>
        <v/>
      </c>
      <c r="AA623" s="7">
        <f>IF($AB623="","",Z623-X623-M623)</f>
        <v/>
      </c>
      <c r="AB623" s="13">
        <f>IF(ROWS($AB$2:$AB623)&lt;=MAX('Per Line'!$AK$2:$AK$4001),MATCH(ROWS($AB$2:$AB623),'Per Line'!$AK$2:$AK$4001,0),"")</f>
        <v/>
      </c>
      <c r="AC623" s="14">
        <f>IF($AB623="","",M623-L623*Z623/100)</f>
        <v/>
      </c>
    </row>
    <row r="624">
      <c r="A624" s="12" t="n"/>
      <c r="B624">
        <f>IF($AB624="","",INDEX('Per Line'!$C$2:$C$4001,$AB624)&amp;"")</f>
        <v/>
      </c>
      <c r="C624">
        <f>IF($AB624="","",INDEX('Per Line'!$D$2:$D$4001,$AB624)&amp;"")</f>
        <v/>
      </c>
      <c r="D624">
        <f>IF($AB624="","",INDEX('Per Line'!$B$2:$B$4001,$AB624)&amp;"")</f>
        <v/>
      </c>
      <c r="E624">
        <f>IF($AB624="","",INDEX('Per Line'!$A$2:$A$4001,$AB624))</f>
        <v/>
      </c>
      <c r="F624" s="11">
        <f>IF($AB624="","",INDEX('Per Line'!$E$2:$E$4001,$AB624))</f>
        <v/>
      </c>
      <c r="G624">
        <f>IF($AB624="","",INDEX('Per Line'!$F$2:$F$4001,$AB624)&amp;"")</f>
        <v/>
      </c>
      <c r="H624">
        <f>IF($AB624="","",INDEX('Per Line'!$H$2:$H$4001,$AB624)&amp;"")</f>
        <v/>
      </c>
      <c r="I624">
        <f>IF($AB624="","",INDEX('Per Line'!$I$2:$I$4001,$AB624)&amp;"")</f>
        <v/>
      </c>
      <c r="J624">
        <f>IF($AB624="","",INDEX('Per Line'!$J$2:$J$4001,$AB624)&amp;"")</f>
        <v/>
      </c>
      <c r="K624">
        <f>IF($AB624="","",INDEX('Per Line'!$K$2:$K$4001,$AB624)&amp;"")</f>
        <v/>
      </c>
      <c r="L624">
        <f>IF($AB624="","",INDEX('Per Line'!$L$2:$L$4001,$AB624))</f>
        <v/>
      </c>
      <c r="M624" s="7">
        <f>IF($AB624="","",IF(AND(ISNUMBER(O624),O624&gt;0,Z624&gt;O624),L624*O624/100+(Z624-O624),L624*Z624/100))</f>
        <v/>
      </c>
      <c r="N624">
        <f>IF($AB624="","",INDEX('Per Line'!$V$2:$V$4001,$AB624)&amp;"")</f>
        <v/>
      </c>
      <c r="O624">
        <f>IF($AB624="","",INDEX('Per Line'!$Z$2:$Z$4001,$AB624))</f>
        <v/>
      </c>
      <c r="P624">
        <f>IF($AB624="","",IF(AND(ISNUMBER(O624),O624&gt;0),Z624&gt;O624,FALSE))</f>
        <v/>
      </c>
      <c r="Q624" s="7">
        <f>IF($AB624="","",SUMIFS('Per Line'!$U$2:$U$4001,'Per Line'!$C$2:$C$4001,$B624,'Per Line'!$AM$2:$AM$4001,1))</f>
        <v/>
      </c>
      <c r="R624">
        <f>IF($AB624="","",Settings!$C$7)</f>
        <v/>
      </c>
      <c r="S624" s="7">
        <f>IF($AB624="","",SUMIFS('Per Line'!$U$2:$U$4001,'Per Line'!$C$2:$C$4001,$B624,'Per Line'!$AL$2:$AL$4001,0,'Per Line'!$AM$2:$AM$4001,0))</f>
        <v/>
      </c>
      <c r="T624" s="7">
        <f>IF($AB624="","",S624*R624)</f>
        <v/>
      </c>
      <c r="U624">
        <f>IF($AB624="","",Settings!$C$6)</f>
        <v/>
      </c>
      <c r="V624" s="7">
        <f>IF($AB624="","",SUMIFS('Per Line'!$U$2:$U$4001,'Per Line'!$C$2:$C$4001,$B624,'Per Line'!$AL$2:$AL$4001,1,'Per Line'!$AM$2:$AM$4001,0))</f>
        <v/>
      </c>
      <c r="W624" s="7">
        <f>IF($AB624="","",V624*U624)</f>
        <v/>
      </c>
      <c r="X624" s="7">
        <f>IF($AB624="","",W624+T624)</f>
        <v/>
      </c>
      <c r="Y624" s="7">
        <f>IF($AB624="","",Z624-X624)</f>
        <v/>
      </c>
      <c r="Z624" s="7">
        <f>IF($AB624="","",S624+V624+Q624)</f>
        <v/>
      </c>
      <c r="AA624" s="7">
        <f>IF($AB624="","",Z624-X624-M624)</f>
        <v/>
      </c>
      <c r="AB624" s="13">
        <f>IF(ROWS($AB$2:$AB624)&lt;=MAX('Per Line'!$AK$2:$AK$4001),MATCH(ROWS($AB$2:$AB624),'Per Line'!$AK$2:$AK$4001,0),"")</f>
        <v/>
      </c>
      <c r="AC624" s="14">
        <f>IF($AB624="","",M624-L624*Z624/100)</f>
        <v/>
      </c>
    </row>
    <row r="625">
      <c r="A625" s="12" t="n"/>
      <c r="B625">
        <f>IF($AB625="","",INDEX('Per Line'!$C$2:$C$4001,$AB625)&amp;"")</f>
        <v/>
      </c>
      <c r="C625">
        <f>IF($AB625="","",INDEX('Per Line'!$D$2:$D$4001,$AB625)&amp;"")</f>
        <v/>
      </c>
      <c r="D625">
        <f>IF($AB625="","",INDEX('Per Line'!$B$2:$B$4001,$AB625)&amp;"")</f>
        <v/>
      </c>
      <c r="E625">
        <f>IF($AB625="","",INDEX('Per Line'!$A$2:$A$4001,$AB625))</f>
        <v/>
      </c>
      <c r="F625" s="11">
        <f>IF($AB625="","",INDEX('Per Line'!$E$2:$E$4001,$AB625))</f>
        <v/>
      </c>
      <c r="G625">
        <f>IF($AB625="","",INDEX('Per Line'!$F$2:$F$4001,$AB625)&amp;"")</f>
        <v/>
      </c>
      <c r="H625">
        <f>IF($AB625="","",INDEX('Per Line'!$H$2:$H$4001,$AB625)&amp;"")</f>
        <v/>
      </c>
      <c r="I625">
        <f>IF($AB625="","",INDEX('Per Line'!$I$2:$I$4001,$AB625)&amp;"")</f>
        <v/>
      </c>
      <c r="J625">
        <f>IF($AB625="","",INDEX('Per Line'!$J$2:$J$4001,$AB625)&amp;"")</f>
        <v/>
      </c>
      <c r="K625">
        <f>IF($AB625="","",INDEX('Per Line'!$K$2:$K$4001,$AB625)&amp;"")</f>
        <v/>
      </c>
      <c r="L625">
        <f>IF($AB625="","",INDEX('Per Line'!$L$2:$L$4001,$AB625))</f>
        <v/>
      </c>
      <c r="M625" s="7">
        <f>IF($AB625="","",IF(AND(ISNUMBER(O625),O625&gt;0,Z625&gt;O625),L625*O625/100+(Z625-O625),L625*Z625/100))</f>
        <v/>
      </c>
      <c r="N625">
        <f>IF($AB625="","",INDEX('Per Line'!$V$2:$V$4001,$AB625)&amp;"")</f>
        <v/>
      </c>
      <c r="O625">
        <f>IF($AB625="","",INDEX('Per Line'!$Z$2:$Z$4001,$AB625))</f>
        <v/>
      </c>
      <c r="P625">
        <f>IF($AB625="","",IF(AND(ISNUMBER(O625),O625&gt;0),Z625&gt;O625,FALSE))</f>
        <v/>
      </c>
      <c r="Q625" s="7">
        <f>IF($AB625="","",SUMIFS('Per Line'!$U$2:$U$4001,'Per Line'!$C$2:$C$4001,$B625,'Per Line'!$AM$2:$AM$4001,1))</f>
        <v/>
      </c>
      <c r="R625">
        <f>IF($AB625="","",Settings!$C$7)</f>
        <v/>
      </c>
      <c r="S625" s="7">
        <f>IF($AB625="","",SUMIFS('Per Line'!$U$2:$U$4001,'Per Line'!$C$2:$C$4001,$B625,'Per Line'!$AL$2:$AL$4001,0,'Per Line'!$AM$2:$AM$4001,0))</f>
        <v/>
      </c>
      <c r="T625" s="7">
        <f>IF($AB625="","",S625*R625)</f>
        <v/>
      </c>
      <c r="U625">
        <f>IF($AB625="","",Settings!$C$6)</f>
        <v/>
      </c>
      <c r="V625" s="7">
        <f>IF($AB625="","",SUMIFS('Per Line'!$U$2:$U$4001,'Per Line'!$C$2:$C$4001,$B625,'Per Line'!$AL$2:$AL$4001,1,'Per Line'!$AM$2:$AM$4001,0))</f>
        <v/>
      </c>
      <c r="W625" s="7">
        <f>IF($AB625="","",V625*U625)</f>
        <v/>
      </c>
      <c r="X625" s="7">
        <f>IF($AB625="","",W625+T625)</f>
        <v/>
      </c>
      <c r="Y625" s="7">
        <f>IF($AB625="","",Z625-X625)</f>
        <v/>
      </c>
      <c r="Z625" s="7">
        <f>IF($AB625="","",S625+V625+Q625)</f>
        <v/>
      </c>
      <c r="AA625" s="7">
        <f>IF($AB625="","",Z625-X625-M625)</f>
        <v/>
      </c>
      <c r="AB625" s="13">
        <f>IF(ROWS($AB$2:$AB625)&lt;=MAX('Per Line'!$AK$2:$AK$4001),MATCH(ROWS($AB$2:$AB625),'Per Line'!$AK$2:$AK$4001,0),"")</f>
        <v/>
      </c>
      <c r="AC625" s="14">
        <f>IF($AB625="","",M625-L625*Z625/100)</f>
        <v/>
      </c>
    </row>
    <row r="626">
      <c r="A626" s="12" t="n"/>
      <c r="B626">
        <f>IF($AB626="","",INDEX('Per Line'!$C$2:$C$4001,$AB626)&amp;"")</f>
        <v/>
      </c>
      <c r="C626">
        <f>IF($AB626="","",INDEX('Per Line'!$D$2:$D$4001,$AB626)&amp;"")</f>
        <v/>
      </c>
      <c r="D626">
        <f>IF($AB626="","",INDEX('Per Line'!$B$2:$B$4001,$AB626)&amp;"")</f>
        <v/>
      </c>
      <c r="E626">
        <f>IF($AB626="","",INDEX('Per Line'!$A$2:$A$4001,$AB626))</f>
        <v/>
      </c>
      <c r="F626" s="11">
        <f>IF($AB626="","",INDEX('Per Line'!$E$2:$E$4001,$AB626))</f>
        <v/>
      </c>
      <c r="G626">
        <f>IF($AB626="","",INDEX('Per Line'!$F$2:$F$4001,$AB626)&amp;"")</f>
        <v/>
      </c>
      <c r="H626">
        <f>IF($AB626="","",INDEX('Per Line'!$H$2:$H$4001,$AB626)&amp;"")</f>
        <v/>
      </c>
      <c r="I626">
        <f>IF($AB626="","",INDEX('Per Line'!$I$2:$I$4001,$AB626)&amp;"")</f>
        <v/>
      </c>
      <c r="J626">
        <f>IF($AB626="","",INDEX('Per Line'!$J$2:$J$4001,$AB626)&amp;"")</f>
        <v/>
      </c>
      <c r="K626">
        <f>IF($AB626="","",INDEX('Per Line'!$K$2:$K$4001,$AB626)&amp;"")</f>
        <v/>
      </c>
      <c r="L626">
        <f>IF($AB626="","",INDEX('Per Line'!$L$2:$L$4001,$AB626))</f>
        <v/>
      </c>
      <c r="M626" s="7">
        <f>IF($AB626="","",IF(AND(ISNUMBER(O626),O626&gt;0,Z626&gt;O626),L626*O626/100+(Z626-O626),L626*Z626/100))</f>
        <v/>
      </c>
      <c r="N626">
        <f>IF($AB626="","",INDEX('Per Line'!$V$2:$V$4001,$AB626)&amp;"")</f>
        <v/>
      </c>
      <c r="O626">
        <f>IF($AB626="","",INDEX('Per Line'!$Z$2:$Z$4001,$AB626))</f>
        <v/>
      </c>
      <c r="P626">
        <f>IF($AB626="","",IF(AND(ISNUMBER(O626),O626&gt;0),Z626&gt;O626,FALSE))</f>
        <v/>
      </c>
      <c r="Q626" s="7">
        <f>IF($AB626="","",SUMIFS('Per Line'!$U$2:$U$4001,'Per Line'!$C$2:$C$4001,$B626,'Per Line'!$AM$2:$AM$4001,1))</f>
        <v/>
      </c>
      <c r="R626">
        <f>IF($AB626="","",Settings!$C$7)</f>
        <v/>
      </c>
      <c r="S626" s="7">
        <f>IF($AB626="","",SUMIFS('Per Line'!$U$2:$U$4001,'Per Line'!$C$2:$C$4001,$B626,'Per Line'!$AL$2:$AL$4001,0,'Per Line'!$AM$2:$AM$4001,0))</f>
        <v/>
      </c>
      <c r="T626" s="7">
        <f>IF($AB626="","",S626*R626)</f>
        <v/>
      </c>
      <c r="U626">
        <f>IF($AB626="","",Settings!$C$6)</f>
        <v/>
      </c>
      <c r="V626" s="7">
        <f>IF($AB626="","",SUMIFS('Per Line'!$U$2:$U$4001,'Per Line'!$C$2:$C$4001,$B626,'Per Line'!$AL$2:$AL$4001,1,'Per Line'!$AM$2:$AM$4001,0))</f>
        <v/>
      </c>
      <c r="W626" s="7">
        <f>IF($AB626="","",V626*U626)</f>
        <v/>
      </c>
      <c r="X626" s="7">
        <f>IF($AB626="","",W626+T626)</f>
        <v/>
      </c>
      <c r="Y626" s="7">
        <f>IF($AB626="","",Z626-X626)</f>
        <v/>
      </c>
      <c r="Z626" s="7">
        <f>IF($AB626="","",S626+V626+Q626)</f>
        <v/>
      </c>
      <c r="AA626" s="7">
        <f>IF($AB626="","",Z626-X626-M626)</f>
        <v/>
      </c>
      <c r="AB626" s="13">
        <f>IF(ROWS($AB$2:$AB626)&lt;=MAX('Per Line'!$AK$2:$AK$4001),MATCH(ROWS($AB$2:$AB626),'Per Line'!$AK$2:$AK$4001,0),"")</f>
        <v/>
      </c>
      <c r="AC626" s="14">
        <f>IF($AB626="","",M626-L626*Z626/100)</f>
        <v/>
      </c>
    </row>
    <row r="627">
      <c r="A627" s="12" t="n"/>
      <c r="B627">
        <f>IF($AB627="","",INDEX('Per Line'!$C$2:$C$4001,$AB627)&amp;"")</f>
        <v/>
      </c>
      <c r="C627">
        <f>IF($AB627="","",INDEX('Per Line'!$D$2:$D$4001,$AB627)&amp;"")</f>
        <v/>
      </c>
      <c r="D627">
        <f>IF($AB627="","",INDEX('Per Line'!$B$2:$B$4001,$AB627)&amp;"")</f>
        <v/>
      </c>
      <c r="E627">
        <f>IF($AB627="","",INDEX('Per Line'!$A$2:$A$4001,$AB627))</f>
        <v/>
      </c>
      <c r="F627" s="11">
        <f>IF($AB627="","",INDEX('Per Line'!$E$2:$E$4001,$AB627))</f>
        <v/>
      </c>
      <c r="G627">
        <f>IF($AB627="","",INDEX('Per Line'!$F$2:$F$4001,$AB627)&amp;"")</f>
        <v/>
      </c>
      <c r="H627">
        <f>IF($AB627="","",INDEX('Per Line'!$H$2:$H$4001,$AB627)&amp;"")</f>
        <v/>
      </c>
      <c r="I627">
        <f>IF($AB627="","",INDEX('Per Line'!$I$2:$I$4001,$AB627)&amp;"")</f>
        <v/>
      </c>
      <c r="J627">
        <f>IF($AB627="","",INDEX('Per Line'!$J$2:$J$4001,$AB627)&amp;"")</f>
        <v/>
      </c>
      <c r="K627">
        <f>IF($AB627="","",INDEX('Per Line'!$K$2:$K$4001,$AB627)&amp;"")</f>
        <v/>
      </c>
      <c r="L627">
        <f>IF($AB627="","",INDEX('Per Line'!$L$2:$L$4001,$AB627))</f>
        <v/>
      </c>
      <c r="M627" s="7">
        <f>IF($AB627="","",IF(AND(ISNUMBER(O627),O627&gt;0,Z627&gt;O627),L627*O627/100+(Z627-O627),L627*Z627/100))</f>
        <v/>
      </c>
      <c r="N627">
        <f>IF($AB627="","",INDEX('Per Line'!$V$2:$V$4001,$AB627)&amp;"")</f>
        <v/>
      </c>
      <c r="O627">
        <f>IF($AB627="","",INDEX('Per Line'!$Z$2:$Z$4001,$AB627))</f>
        <v/>
      </c>
      <c r="P627">
        <f>IF($AB627="","",IF(AND(ISNUMBER(O627),O627&gt;0),Z627&gt;O627,FALSE))</f>
        <v/>
      </c>
      <c r="Q627" s="7">
        <f>IF($AB627="","",SUMIFS('Per Line'!$U$2:$U$4001,'Per Line'!$C$2:$C$4001,$B627,'Per Line'!$AM$2:$AM$4001,1))</f>
        <v/>
      </c>
      <c r="R627">
        <f>IF($AB627="","",Settings!$C$7)</f>
        <v/>
      </c>
      <c r="S627" s="7">
        <f>IF($AB627="","",SUMIFS('Per Line'!$U$2:$U$4001,'Per Line'!$C$2:$C$4001,$B627,'Per Line'!$AL$2:$AL$4001,0,'Per Line'!$AM$2:$AM$4001,0))</f>
        <v/>
      </c>
      <c r="T627" s="7">
        <f>IF($AB627="","",S627*R627)</f>
        <v/>
      </c>
      <c r="U627">
        <f>IF($AB627="","",Settings!$C$6)</f>
        <v/>
      </c>
      <c r="V627" s="7">
        <f>IF($AB627="","",SUMIFS('Per Line'!$U$2:$U$4001,'Per Line'!$C$2:$C$4001,$B627,'Per Line'!$AL$2:$AL$4001,1,'Per Line'!$AM$2:$AM$4001,0))</f>
        <v/>
      </c>
      <c r="W627" s="7">
        <f>IF($AB627="","",V627*U627)</f>
        <v/>
      </c>
      <c r="X627" s="7">
        <f>IF($AB627="","",W627+T627)</f>
        <v/>
      </c>
      <c r="Y627" s="7">
        <f>IF($AB627="","",Z627-X627)</f>
        <v/>
      </c>
      <c r="Z627" s="7">
        <f>IF($AB627="","",S627+V627+Q627)</f>
        <v/>
      </c>
      <c r="AA627" s="7">
        <f>IF($AB627="","",Z627-X627-M627)</f>
        <v/>
      </c>
      <c r="AB627" s="13">
        <f>IF(ROWS($AB$2:$AB627)&lt;=MAX('Per Line'!$AK$2:$AK$4001),MATCH(ROWS($AB$2:$AB627),'Per Line'!$AK$2:$AK$4001,0),"")</f>
        <v/>
      </c>
      <c r="AC627" s="14">
        <f>IF($AB627="","",M627-L627*Z627/100)</f>
        <v/>
      </c>
    </row>
    <row r="628">
      <c r="A628" s="12" t="n"/>
      <c r="B628">
        <f>IF($AB628="","",INDEX('Per Line'!$C$2:$C$4001,$AB628)&amp;"")</f>
        <v/>
      </c>
      <c r="C628">
        <f>IF($AB628="","",INDEX('Per Line'!$D$2:$D$4001,$AB628)&amp;"")</f>
        <v/>
      </c>
      <c r="D628">
        <f>IF($AB628="","",INDEX('Per Line'!$B$2:$B$4001,$AB628)&amp;"")</f>
        <v/>
      </c>
      <c r="E628">
        <f>IF($AB628="","",INDEX('Per Line'!$A$2:$A$4001,$AB628))</f>
        <v/>
      </c>
      <c r="F628" s="11">
        <f>IF($AB628="","",INDEX('Per Line'!$E$2:$E$4001,$AB628))</f>
        <v/>
      </c>
      <c r="G628">
        <f>IF($AB628="","",INDEX('Per Line'!$F$2:$F$4001,$AB628)&amp;"")</f>
        <v/>
      </c>
      <c r="H628">
        <f>IF($AB628="","",INDEX('Per Line'!$H$2:$H$4001,$AB628)&amp;"")</f>
        <v/>
      </c>
      <c r="I628">
        <f>IF($AB628="","",INDEX('Per Line'!$I$2:$I$4001,$AB628)&amp;"")</f>
        <v/>
      </c>
      <c r="J628">
        <f>IF($AB628="","",INDEX('Per Line'!$J$2:$J$4001,$AB628)&amp;"")</f>
        <v/>
      </c>
      <c r="K628">
        <f>IF($AB628="","",INDEX('Per Line'!$K$2:$K$4001,$AB628)&amp;"")</f>
        <v/>
      </c>
      <c r="L628">
        <f>IF($AB628="","",INDEX('Per Line'!$L$2:$L$4001,$AB628))</f>
        <v/>
      </c>
      <c r="M628" s="7">
        <f>IF($AB628="","",IF(AND(ISNUMBER(O628),O628&gt;0,Z628&gt;O628),L628*O628/100+(Z628-O628),L628*Z628/100))</f>
        <v/>
      </c>
      <c r="N628">
        <f>IF($AB628="","",INDEX('Per Line'!$V$2:$V$4001,$AB628)&amp;"")</f>
        <v/>
      </c>
      <c r="O628">
        <f>IF($AB628="","",INDEX('Per Line'!$Z$2:$Z$4001,$AB628))</f>
        <v/>
      </c>
      <c r="P628">
        <f>IF($AB628="","",IF(AND(ISNUMBER(O628),O628&gt;0),Z628&gt;O628,FALSE))</f>
        <v/>
      </c>
      <c r="Q628" s="7">
        <f>IF($AB628="","",SUMIFS('Per Line'!$U$2:$U$4001,'Per Line'!$C$2:$C$4001,$B628,'Per Line'!$AM$2:$AM$4001,1))</f>
        <v/>
      </c>
      <c r="R628">
        <f>IF($AB628="","",Settings!$C$7)</f>
        <v/>
      </c>
      <c r="S628" s="7">
        <f>IF($AB628="","",SUMIFS('Per Line'!$U$2:$U$4001,'Per Line'!$C$2:$C$4001,$B628,'Per Line'!$AL$2:$AL$4001,0,'Per Line'!$AM$2:$AM$4001,0))</f>
        <v/>
      </c>
      <c r="T628" s="7">
        <f>IF($AB628="","",S628*R628)</f>
        <v/>
      </c>
      <c r="U628">
        <f>IF($AB628="","",Settings!$C$6)</f>
        <v/>
      </c>
      <c r="V628" s="7">
        <f>IF($AB628="","",SUMIFS('Per Line'!$U$2:$U$4001,'Per Line'!$C$2:$C$4001,$B628,'Per Line'!$AL$2:$AL$4001,1,'Per Line'!$AM$2:$AM$4001,0))</f>
        <v/>
      </c>
      <c r="W628" s="7">
        <f>IF($AB628="","",V628*U628)</f>
        <v/>
      </c>
      <c r="X628" s="7">
        <f>IF($AB628="","",W628+T628)</f>
        <v/>
      </c>
      <c r="Y628" s="7">
        <f>IF($AB628="","",Z628-X628)</f>
        <v/>
      </c>
      <c r="Z628" s="7">
        <f>IF($AB628="","",S628+V628+Q628)</f>
        <v/>
      </c>
      <c r="AA628" s="7">
        <f>IF($AB628="","",Z628-X628-M628)</f>
        <v/>
      </c>
      <c r="AB628" s="13">
        <f>IF(ROWS($AB$2:$AB628)&lt;=MAX('Per Line'!$AK$2:$AK$4001),MATCH(ROWS($AB$2:$AB628),'Per Line'!$AK$2:$AK$4001,0),"")</f>
        <v/>
      </c>
      <c r="AC628" s="14">
        <f>IF($AB628="","",M628-L628*Z628/100)</f>
        <v/>
      </c>
    </row>
    <row r="629">
      <c r="A629" s="12" t="n"/>
      <c r="B629">
        <f>IF($AB629="","",INDEX('Per Line'!$C$2:$C$4001,$AB629)&amp;"")</f>
        <v/>
      </c>
      <c r="C629">
        <f>IF($AB629="","",INDEX('Per Line'!$D$2:$D$4001,$AB629)&amp;"")</f>
        <v/>
      </c>
      <c r="D629">
        <f>IF($AB629="","",INDEX('Per Line'!$B$2:$B$4001,$AB629)&amp;"")</f>
        <v/>
      </c>
      <c r="E629">
        <f>IF($AB629="","",INDEX('Per Line'!$A$2:$A$4001,$AB629))</f>
        <v/>
      </c>
      <c r="F629" s="11">
        <f>IF($AB629="","",INDEX('Per Line'!$E$2:$E$4001,$AB629))</f>
        <v/>
      </c>
      <c r="G629">
        <f>IF($AB629="","",INDEX('Per Line'!$F$2:$F$4001,$AB629)&amp;"")</f>
        <v/>
      </c>
      <c r="H629">
        <f>IF($AB629="","",INDEX('Per Line'!$H$2:$H$4001,$AB629)&amp;"")</f>
        <v/>
      </c>
      <c r="I629">
        <f>IF($AB629="","",INDEX('Per Line'!$I$2:$I$4001,$AB629)&amp;"")</f>
        <v/>
      </c>
      <c r="J629">
        <f>IF($AB629="","",INDEX('Per Line'!$J$2:$J$4001,$AB629)&amp;"")</f>
        <v/>
      </c>
      <c r="K629">
        <f>IF($AB629="","",INDEX('Per Line'!$K$2:$K$4001,$AB629)&amp;"")</f>
        <v/>
      </c>
      <c r="L629">
        <f>IF($AB629="","",INDEX('Per Line'!$L$2:$L$4001,$AB629))</f>
        <v/>
      </c>
      <c r="M629" s="7">
        <f>IF($AB629="","",IF(AND(ISNUMBER(O629),O629&gt;0,Z629&gt;O629),L629*O629/100+(Z629-O629),L629*Z629/100))</f>
        <v/>
      </c>
      <c r="N629">
        <f>IF($AB629="","",INDEX('Per Line'!$V$2:$V$4001,$AB629)&amp;"")</f>
        <v/>
      </c>
      <c r="O629">
        <f>IF($AB629="","",INDEX('Per Line'!$Z$2:$Z$4001,$AB629))</f>
        <v/>
      </c>
      <c r="P629">
        <f>IF($AB629="","",IF(AND(ISNUMBER(O629),O629&gt;0),Z629&gt;O629,FALSE))</f>
        <v/>
      </c>
      <c r="Q629" s="7">
        <f>IF($AB629="","",SUMIFS('Per Line'!$U$2:$U$4001,'Per Line'!$C$2:$C$4001,$B629,'Per Line'!$AM$2:$AM$4001,1))</f>
        <v/>
      </c>
      <c r="R629">
        <f>IF($AB629="","",Settings!$C$7)</f>
        <v/>
      </c>
      <c r="S629" s="7">
        <f>IF($AB629="","",SUMIFS('Per Line'!$U$2:$U$4001,'Per Line'!$C$2:$C$4001,$B629,'Per Line'!$AL$2:$AL$4001,0,'Per Line'!$AM$2:$AM$4001,0))</f>
        <v/>
      </c>
      <c r="T629" s="7">
        <f>IF($AB629="","",S629*R629)</f>
        <v/>
      </c>
      <c r="U629">
        <f>IF($AB629="","",Settings!$C$6)</f>
        <v/>
      </c>
      <c r="V629" s="7">
        <f>IF($AB629="","",SUMIFS('Per Line'!$U$2:$U$4001,'Per Line'!$C$2:$C$4001,$B629,'Per Line'!$AL$2:$AL$4001,1,'Per Line'!$AM$2:$AM$4001,0))</f>
        <v/>
      </c>
      <c r="W629" s="7">
        <f>IF($AB629="","",V629*U629)</f>
        <v/>
      </c>
      <c r="X629" s="7">
        <f>IF($AB629="","",W629+T629)</f>
        <v/>
      </c>
      <c r="Y629" s="7">
        <f>IF($AB629="","",Z629-X629)</f>
        <v/>
      </c>
      <c r="Z629" s="7">
        <f>IF($AB629="","",S629+V629+Q629)</f>
        <v/>
      </c>
      <c r="AA629" s="7">
        <f>IF($AB629="","",Z629-X629-M629)</f>
        <v/>
      </c>
      <c r="AB629" s="13">
        <f>IF(ROWS($AB$2:$AB629)&lt;=MAX('Per Line'!$AK$2:$AK$4001),MATCH(ROWS($AB$2:$AB629),'Per Line'!$AK$2:$AK$4001,0),"")</f>
        <v/>
      </c>
      <c r="AC629" s="14">
        <f>IF($AB629="","",M629-L629*Z629/100)</f>
        <v/>
      </c>
    </row>
    <row r="630">
      <c r="A630" s="12" t="n"/>
      <c r="B630">
        <f>IF($AB630="","",INDEX('Per Line'!$C$2:$C$4001,$AB630)&amp;"")</f>
        <v/>
      </c>
      <c r="C630">
        <f>IF($AB630="","",INDEX('Per Line'!$D$2:$D$4001,$AB630)&amp;"")</f>
        <v/>
      </c>
      <c r="D630">
        <f>IF($AB630="","",INDEX('Per Line'!$B$2:$B$4001,$AB630)&amp;"")</f>
        <v/>
      </c>
      <c r="E630">
        <f>IF($AB630="","",INDEX('Per Line'!$A$2:$A$4001,$AB630))</f>
        <v/>
      </c>
      <c r="F630" s="11">
        <f>IF($AB630="","",INDEX('Per Line'!$E$2:$E$4001,$AB630))</f>
        <v/>
      </c>
      <c r="G630">
        <f>IF($AB630="","",INDEX('Per Line'!$F$2:$F$4001,$AB630)&amp;"")</f>
        <v/>
      </c>
      <c r="H630">
        <f>IF($AB630="","",INDEX('Per Line'!$H$2:$H$4001,$AB630)&amp;"")</f>
        <v/>
      </c>
      <c r="I630">
        <f>IF($AB630="","",INDEX('Per Line'!$I$2:$I$4001,$AB630)&amp;"")</f>
        <v/>
      </c>
      <c r="J630">
        <f>IF($AB630="","",INDEX('Per Line'!$J$2:$J$4001,$AB630)&amp;"")</f>
        <v/>
      </c>
      <c r="K630">
        <f>IF($AB630="","",INDEX('Per Line'!$K$2:$K$4001,$AB630)&amp;"")</f>
        <v/>
      </c>
      <c r="L630">
        <f>IF($AB630="","",INDEX('Per Line'!$L$2:$L$4001,$AB630))</f>
        <v/>
      </c>
      <c r="M630" s="7">
        <f>IF($AB630="","",IF(AND(ISNUMBER(O630),O630&gt;0,Z630&gt;O630),L630*O630/100+(Z630-O630),L630*Z630/100))</f>
        <v/>
      </c>
      <c r="N630">
        <f>IF($AB630="","",INDEX('Per Line'!$V$2:$V$4001,$AB630)&amp;"")</f>
        <v/>
      </c>
      <c r="O630">
        <f>IF($AB630="","",INDEX('Per Line'!$Z$2:$Z$4001,$AB630))</f>
        <v/>
      </c>
      <c r="P630">
        <f>IF($AB630="","",IF(AND(ISNUMBER(O630),O630&gt;0),Z630&gt;O630,FALSE))</f>
        <v/>
      </c>
      <c r="Q630" s="7">
        <f>IF($AB630="","",SUMIFS('Per Line'!$U$2:$U$4001,'Per Line'!$C$2:$C$4001,$B630,'Per Line'!$AM$2:$AM$4001,1))</f>
        <v/>
      </c>
      <c r="R630">
        <f>IF($AB630="","",Settings!$C$7)</f>
        <v/>
      </c>
      <c r="S630" s="7">
        <f>IF($AB630="","",SUMIFS('Per Line'!$U$2:$U$4001,'Per Line'!$C$2:$C$4001,$B630,'Per Line'!$AL$2:$AL$4001,0,'Per Line'!$AM$2:$AM$4001,0))</f>
        <v/>
      </c>
      <c r="T630" s="7">
        <f>IF($AB630="","",S630*R630)</f>
        <v/>
      </c>
      <c r="U630">
        <f>IF($AB630="","",Settings!$C$6)</f>
        <v/>
      </c>
      <c r="V630" s="7">
        <f>IF($AB630="","",SUMIFS('Per Line'!$U$2:$U$4001,'Per Line'!$C$2:$C$4001,$B630,'Per Line'!$AL$2:$AL$4001,1,'Per Line'!$AM$2:$AM$4001,0))</f>
        <v/>
      </c>
      <c r="W630" s="7">
        <f>IF($AB630="","",V630*U630)</f>
        <v/>
      </c>
      <c r="X630" s="7">
        <f>IF($AB630="","",W630+T630)</f>
        <v/>
      </c>
      <c r="Y630" s="7">
        <f>IF($AB630="","",Z630-X630)</f>
        <v/>
      </c>
      <c r="Z630" s="7">
        <f>IF($AB630="","",S630+V630+Q630)</f>
        <v/>
      </c>
      <c r="AA630" s="7">
        <f>IF($AB630="","",Z630-X630-M630)</f>
        <v/>
      </c>
      <c r="AB630" s="13">
        <f>IF(ROWS($AB$2:$AB630)&lt;=MAX('Per Line'!$AK$2:$AK$4001),MATCH(ROWS($AB$2:$AB630),'Per Line'!$AK$2:$AK$4001,0),"")</f>
        <v/>
      </c>
      <c r="AC630" s="14">
        <f>IF($AB630="","",M630-L630*Z630/100)</f>
        <v/>
      </c>
    </row>
    <row r="631">
      <c r="A631" s="12" t="n"/>
      <c r="B631">
        <f>IF($AB631="","",INDEX('Per Line'!$C$2:$C$4001,$AB631)&amp;"")</f>
        <v/>
      </c>
      <c r="C631">
        <f>IF($AB631="","",INDEX('Per Line'!$D$2:$D$4001,$AB631)&amp;"")</f>
        <v/>
      </c>
      <c r="D631">
        <f>IF($AB631="","",INDEX('Per Line'!$B$2:$B$4001,$AB631)&amp;"")</f>
        <v/>
      </c>
      <c r="E631">
        <f>IF($AB631="","",INDEX('Per Line'!$A$2:$A$4001,$AB631))</f>
        <v/>
      </c>
      <c r="F631" s="11">
        <f>IF($AB631="","",INDEX('Per Line'!$E$2:$E$4001,$AB631))</f>
        <v/>
      </c>
      <c r="G631">
        <f>IF($AB631="","",INDEX('Per Line'!$F$2:$F$4001,$AB631)&amp;"")</f>
        <v/>
      </c>
      <c r="H631">
        <f>IF($AB631="","",INDEX('Per Line'!$H$2:$H$4001,$AB631)&amp;"")</f>
        <v/>
      </c>
      <c r="I631">
        <f>IF($AB631="","",INDEX('Per Line'!$I$2:$I$4001,$AB631)&amp;"")</f>
        <v/>
      </c>
      <c r="J631">
        <f>IF($AB631="","",INDEX('Per Line'!$J$2:$J$4001,$AB631)&amp;"")</f>
        <v/>
      </c>
      <c r="K631">
        <f>IF($AB631="","",INDEX('Per Line'!$K$2:$K$4001,$AB631)&amp;"")</f>
        <v/>
      </c>
      <c r="L631">
        <f>IF($AB631="","",INDEX('Per Line'!$L$2:$L$4001,$AB631))</f>
        <v/>
      </c>
      <c r="M631" s="7">
        <f>IF($AB631="","",IF(AND(ISNUMBER(O631),O631&gt;0,Z631&gt;O631),L631*O631/100+(Z631-O631),L631*Z631/100))</f>
        <v/>
      </c>
      <c r="N631">
        <f>IF($AB631="","",INDEX('Per Line'!$V$2:$V$4001,$AB631)&amp;"")</f>
        <v/>
      </c>
      <c r="O631">
        <f>IF($AB631="","",INDEX('Per Line'!$Z$2:$Z$4001,$AB631))</f>
        <v/>
      </c>
      <c r="P631">
        <f>IF($AB631="","",IF(AND(ISNUMBER(O631),O631&gt;0),Z631&gt;O631,FALSE))</f>
        <v/>
      </c>
      <c r="Q631" s="7">
        <f>IF($AB631="","",SUMIFS('Per Line'!$U$2:$U$4001,'Per Line'!$C$2:$C$4001,$B631,'Per Line'!$AM$2:$AM$4001,1))</f>
        <v/>
      </c>
      <c r="R631">
        <f>IF($AB631="","",Settings!$C$7)</f>
        <v/>
      </c>
      <c r="S631" s="7">
        <f>IF($AB631="","",SUMIFS('Per Line'!$U$2:$U$4001,'Per Line'!$C$2:$C$4001,$B631,'Per Line'!$AL$2:$AL$4001,0,'Per Line'!$AM$2:$AM$4001,0))</f>
        <v/>
      </c>
      <c r="T631" s="7">
        <f>IF($AB631="","",S631*R631)</f>
        <v/>
      </c>
      <c r="U631">
        <f>IF($AB631="","",Settings!$C$6)</f>
        <v/>
      </c>
      <c r="V631" s="7">
        <f>IF($AB631="","",SUMIFS('Per Line'!$U$2:$U$4001,'Per Line'!$C$2:$C$4001,$B631,'Per Line'!$AL$2:$AL$4001,1,'Per Line'!$AM$2:$AM$4001,0))</f>
        <v/>
      </c>
      <c r="W631" s="7">
        <f>IF($AB631="","",V631*U631)</f>
        <v/>
      </c>
      <c r="X631" s="7">
        <f>IF($AB631="","",W631+T631)</f>
        <v/>
      </c>
      <c r="Y631" s="7">
        <f>IF($AB631="","",Z631-X631)</f>
        <v/>
      </c>
      <c r="Z631" s="7">
        <f>IF($AB631="","",S631+V631+Q631)</f>
        <v/>
      </c>
      <c r="AA631" s="7">
        <f>IF($AB631="","",Z631-X631-M631)</f>
        <v/>
      </c>
      <c r="AB631" s="13">
        <f>IF(ROWS($AB$2:$AB631)&lt;=MAX('Per Line'!$AK$2:$AK$4001),MATCH(ROWS($AB$2:$AB631),'Per Line'!$AK$2:$AK$4001,0),"")</f>
        <v/>
      </c>
      <c r="AC631" s="14">
        <f>IF($AB631="","",M631-L631*Z631/100)</f>
        <v/>
      </c>
    </row>
    <row r="632">
      <c r="A632" s="12" t="n"/>
      <c r="B632">
        <f>IF($AB632="","",INDEX('Per Line'!$C$2:$C$4001,$AB632)&amp;"")</f>
        <v/>
      </c>
      <c r="C632">
        <f>IF($AB632="","",INDEX('Per Line'!$D$2:$D$4001,$AB632)&amp;"")</f>
        <v/>
      </c>
      <c r="D632">
        <f>IF($AB632="","",INDEX('Per Line'!$B$2:$B$4001,$AB632)&amp;"")</f>
        <v/>
      </c>
      <c r="E632">
        <f>IF($AB632="","",INDEX('Per Line'!$A$2:$A$4001,$AB632))</f>
        <v/>
      </c>
      <c r="F632" s="11">
        <f>IF($AB632="","",INDEX('Per Line'!$E$2:$E$4001,$AB632))</f>
        <v/>
      </c>
      <c r="G632">
        <f>IF($AB632="","",INDEX('Per Line'!$F$2:$F$4001,$AB632)&amp;"")</f>
        <v/>
      </c>
      <c r="H632">
        <f>IF($AB632="","",INDEX('Per Line'!$H$2:$H$4001,$AB632)&amp;"")</f>
        <v/>
      </c>
      <c r="I632">
        <f>IF($AB632="","",INDEX('Per Line'!$I$2:$I$4001,$AB632)&amp;"")</f>
        <v/>
      </c>
      <c r="J632">
        <f>IF($AB632="","",INDEX('Per Line'!$J$2:$J$4001,$AB632)&amp;"")</f>
        <v/>
      </c>
      <c r="K632">
        <f>IF($AB632="","",INDEX('Per Line'!$K$2:$K$4001,$AB632)&amp;"")</f>
        <v/>
      </c>
      <c r="L632">
        <f>IF($AB632="","",INDEX('Per Line'!$L$2:$L$4001,$AB632))</f>
        <v/>
      </c>
      <c r="M632" s="7">
        <f>IF($AB632="","",IF(AND(ISNUMBER(O632),O632&gt;0,Z632&gt;O632),L632*O632/100+(Z632-O632),L632*Z632/100))</f>
        <v/>
      </c>
      <c r="N632">
        <f>IF($AB632="","",INDEX('Per Line'!$V$2:$V$4001,$AB632)&amp;"")</f>
        <v/>
      </c>
      <c r="O632">
        <f>IF($AB632="","",INDEX('Per Line'!$Z$2:$Z$4001,$AB632))</f>
        <v/>
      </c>
      <c r="P632">
        <f>IF($AB632="","",IF(AND(ISNUMBER(O632),O632&gt;0),Z632&gt;O632,FALSE))</f>
        <v/>
      </c>
      <c r="Q632" s="7">
        <f>IF($AB632="","",SUMIFS('Per Line'!$U$2:$U$4001,'Per Line'!$C$2:$C$4001,$B632,'Per Line'!$AM$2:$AM$4001,1))</f>
        <v/>
      </c>
      <c r="R632">
        <f>IF($AB632="","",Settings!$C$7)</f>
        <v/>
      </c>
      <c r="S632" s="7">
        <f>IF($AB632="","",SUMIFS('Per Line'!$U$2:$U$4001,'Per Line'!$C$2:$C$4001,$B632,'Per Line'!$AL$2:$AL$4001,0,'Per Line'!$AM$2:$AM$4001,0))</f>
        <v/>
      </c>
      <c r="T632" s="7">
        <f>IF($AB632="","",S632*R632)</f>
        <v/>
      </c>
      <c r="U632">
        <f>IF($AB632="","",Settings!$C$6)</f>
        <v/>
      </c>
      <c r="V632" s="7">
        <f>IF($AB632="","",SUMIFS('Per Line'!$U$2:$U$4001,'Per Line'!$C$2:$C$4001,$B632,'Per Line'!$AL$2:$AL$4001,1,'Per Line'!$AM$2:$AM$4001,0))</f>
        <v/>
      </c>
      <c r="W632" s="7">
        <f>IF($AB632="","",V632*U632)</f>
        <v/>
      </c>
      <c r="X632" s="7">
        <f>IF($AB632="","",W632+T632)</f>
        <v/>
      </c>
      <c r="Y632" s="7">
        <f>IF($AB632="","",Z632-X632)</f>
        <v/>
      </c>
      <c r="Z632" s="7">
        <f>IF($AB632="","",S632+V632+Q632)</f>
        <v/>
      </c>
      <c r="AA632" s="7">
        <f>IF($AB632="","",Z632-X632-M632)</f>
        <v/>
      </c>
      <c r="AB632" s="13">
        <f>IF(ROWS($AB$2:$AB632)&lt;=MAX('Per Line'!$AK$2:$AK$4001),MATCH(ROWS($AB$2:$AB632),'Per Line'!$AK$2:$AK$4001,0),"")</f>
        <v/>
      </c>
      <c r="AC632" s="14">
        <f>IF($AB632="","",M632-L632*Z632/100)</f>
        <v/>
      </c>
    </row>
    <row r="633">
      <c r="A633" s="12" t="n"/>
      <c r="B633">
        <f>IF($AB633="","",INDEX('Per Line'!$C$2:$C$4001,$AB633)&amp;"")</f>
        <v/>
      </c>
      <c r="C633">
        <f>IF($AB633="","",INDEX('Per Line'!$D$2:$D$4001,$AB633)&amp;"")</f>
        <v/>
      </c>
      <c r="D633">
        <f>IF($AB633="","",INDEX('Per Line'!$B$2:$B$4001,$AB633)&amp;"")</f>
        <v/>
      </c>
      <c r="E633">
        <f>IF($AB633="","",INDEX('Per Line'!$A$2:$A$4001,$AB633))</f>
        <v/>
      </c>
      <c r="F633" s="11">
        <f>IF($AB633="","",INDEX('Per Line'!$E$2:$E$4001,$AB633))</f>
        <v/>
      </c>
      <c r="G633">
        <f>IF($AB633="","",INDEX('Per Line'!$F$2:$F$4001,$AB633)&amp;"")</f>
        <v/>
      </c>
      <c r="H633">
        <f>IF($AB633="","",INDEX('Per Line'!$H$2:$H$4001,$AB633)&amp;"")</f>
        <v/>
      </c>
      <c r="I633">
        <f>IF($AB633="","",INDEX('Per Line'!$I$2:$I$4001,$AB633)&amp;"")</f>
        <v/>
      </c>
      <c r="J633">
        <f>IF($AB633="","",INDEX('Per Line'!$J$2:$J$4001,$AB633)&amp;"")</f>
        <v/>
      </c>
      <c r="K633">
        <f>IF($AB633="","",INDEX('Per Line'!$K$2:$K$4001,$AB633)&amp;"")</f>
        <v/>
      </c>
      <c r="L633">
        <f>IF($AB633="","",INDEX('Per Line'!$L$2:$L$4001,$AB633))</f>
        <v/>
      </c>
      <c r="M633" s="7">
        <f>IF($AB633="","",IF(AND(ISNUMBER(O633),O633&gt;0,Z633&gt;O633),L633*O633/100+(Z633-O633),L633*Z633/100))</f>
        <v/>
      </c>
      <c r="N633">
        <f>IF($AB633="","",INDEX('Per Line'!$V$2:$V$4001,$AB633)&amp;"")</f>
        <v/>
      </c>
      <c r="O633">
        <f>IF($AB633="","",INDEX('Per Line'!$Z$2:$Z$4001,$AB633))</f>
        <v/>
      </c>
      <c r="P633">
        <f>IF($AB633="","",IF(AND(ISNUMBER(O633),O633&gt;0),Z633&gt;O633,FALSE))</f>
        <v/>
      </c>
      <c r="Q633" s="7">
        <f>IF($AB633="","",SUMIFS('Per Line'!$U$2:$U$4001,'Per Line'!$C$2:$C$4001,$B633,'Per Line'!$AM$2:$AM$4001,1))</f>
        <v/>
      </c>
      <c r="R633">
        <f>IF($AB633="","",Settings!$C$7)</f>
        <v/>
      </c>
      <c r="S633" s="7">
        <f>IF($AB633="","",SUMIFS('Per Line'!$U$2:$U$4001,'Per Line'!$C$2:$C$4001,$B633,'Per Line'!$AL$2:$AL$4001,0,'Per Line'!$AM$2:$AM$4001,0))</f>
        <v/>
      </c>
      <c r="T633" s="7">
        <f>IF($AB633="","",S633*R633)</f>
        <v/>
      </c>
      <c r="U633">
        <f>IF($AB633="","",Settings!$C$6)</f>
        <v/>
      </c>
      <c r="V633" s="7">
        <f>IF($AB633="","",SUMIFS('Per Line'!$U$2:$U$4001,'Per Line'!$C$2:$C$4001,$B633,'Per Line'!$AL$2:$AL$4001,1,'Per Line'!$AM$2:$AM$4001,0))</f>
        <v/>
      </c>
      <c r="W633" s="7">
        <f>IF($AB633="","",V633*U633)</f>
        <v/>
      </c>
      <c r="X633" s="7">
        <f>IF($AB633="","",W633+T633)</f>
        <v/>
      </c>
      <c r="Y633" s="7">
        <f>IF($AB633="","",Z633-X633)</f>
        <v/>
      </c>
      <c r="Z633" s="7">
        <f>IF($AB633="","",S633+V633+Q633)</f>
        <v/>
      </c>
      <c r="AA633" s="7">
        <f>IF($AB633="","",Z633-X633-M633)</f>
        <v/>
      </c>
      <c r="AB633" s="13">
        <f>IF(ROWS($AB$2:$AB633)&lt;=MAX('Per Line'!$AK$2:$AK$4001),MATCH(ROWS($AB$2:$AB633),'Per Line'!$AK$2:$AK$4001,0),"")</f>
        <v/>
      </c>
      <c r="AC633" s="14">
        <f>IF($AB633="","",M633-L633*Z633/100)</f>
        <v/>
      </c>
    </row>
    <row r="634">
      <c r="A634" s="12" t="n"/>
      <c r="B634">
        <f>IF($AB634="","",INDEX('Per Line'!$C$2:$C$4001,$AB634)&amp;"")</f>
        <v/>
      </c>
      <c r="C634">
        <f>IF($AB634="","",INDEX('Per Line'!$D$2:$D$4001,$AB634)&amp;"")</f>
        <v/>
      </c>
      <c r="D634">
        <f>IF($AB634="","",INDEX('Per Line'!$B$2:$B$4001,$AB634)&amp;"")</f>
        <v/>
      </c>
      <c r="E634">
        <f>IF($AB634="","",INDEX('Per Line'!$A$2:$A$4001,$AB634))</f>
        <v/>
      </c>
      <c r="F634" s="11">
        <f>IF($AB634="","",INDEX('Per Line'!$E$2:$E$4001,$AB634))</f>
        <v/>
      </c>
      <c r="G634">
        <f>IF($AB634="","",INDEX('Per Line'!$F$2:$F$4001,$AB634)&amp;"")</f>
        <v/>
      </c>
      <c r="H634">
        <f>IF($AB634="","",INDEX('Per Line'!$H$2:$H$4001,$AB634)&amp;"")</f>
        <v/>
      </c>
      <c r="I634">
        <f>IF($AB634="","",INDEX('Per Line'!$I$2:$I$4001,$AB634)&amp;"")</f>
        <v/>
      </c>
      <c r="J634">
        <f>IF($AB634="","",INDEX('Per Line'!$J$2:$J$4001,$AB634)&amp;"")</f>
        <v/>
      </c>
      <c r="K634">
        <f>IF($AB634="","",INDEX('Per Line'!$K$2:$K$4001,$AB634)&amp;"")</f>
        <v/>
      </c>
      <c r="L634">
        <f>IF($AB634="","",INDEX('Per Line'!$L$2:$L$4001,$AB634))</f>
        <v/>
      </c>
      <c r="M634" s="7">
        <f>IF($AB634="","",IF(AND(ISNUMBER(O634),O634&gt;0,Z634&gt;O634),L634*O634/100+(Z634-O634),L634*Z634/100))</f>
        <v/>
      </c>
      <c r="N634">
        <f>IF($AB634="","",INDEX('Per Line'!$V$2:$V$4001,$AB634)&amp;"")</f>
        <v/>
      </c>
      <c r="O634">
        <f>IF($AB634="","",INDEX('Per Line'!$Z$2:$Z$4001,$AB634))</f>
        <v/>
      </c>
      <c r="P634">
        <f>IF($AB634="","",IF(AND(ISNUMBER(O634),O634&gt;0),Z634&gt;O634,FALSE))</f>
        <v/>
      </c>
      <c r="Q634" s="7">
        <f>IF($AB634="","",SUMIFS('Per Line'!$U$2:$U$4001,'Per Line'!$C$2:$C$4001,$B634,'Per Line'!$AM$2:$AM$4001,1))</f>
        <v/>
      </c>
      <c r="R634">
        <f>IF($AB634="","",Settings!$C$7)</f>
        <v/>
      </c>
      <c r="S634" s="7">
        <f>IF($AB634="","",SUMIFS('Per Line'!$U$2:$U$4001,'Per Line'!$C$2:$C$4001,$B634,'Per Line'!$AL$2:$AL$4001,0,'Per Line'!$AM$2:$AM$4001,0))</f>
        <v/>
      </c>
      <c r="T634" s="7">
        <f>IF($AB634="","",S634*R634)</f>
        <v/>
      </c>
      <c r="U634">
        <f>IF($AB634="","",Settings!$C$6)</f>
        <v/>
      </c>
      <c r="V634" s="7">
        <f>IF($AB634="","",SUMIFS('Per Line'!$U$2:$U$4001,'Per Line'!$C$2:$C$4001,$B634,'Per Line'!$AL$2:$AL$4001,1,'Per Line'!$AM$2:$AM$4001,0))</f>
        <v/>
      </c>
      <c r="W634" s="7">
        <f>IF($AB634="","",V634*U634)</f>
        <v/>
      </c>
      <c r="X634" s="7">
        <f>IF($AB634="","",W634+T634)</f>
        <v/>
      </c>
      <c r="Y634" s="7">
        <f>IF($AB634="","",Z634-X634)</f>
        <v/>
      </c>
      <c r="Z634" s="7">
        <f>IF($AB634="","",S634+V634+Q634)</f>
        <v/>
      </c>
      <c r="AA634" s="7">
        <f>IF($AB634="","",Z634-X634-M634)</f>
        <v/>
      </c>
      <c r="AB634" s="13">
        <f>IF(ROWS($AB$2:$AB634)&lt;=MAX('Per Line'!$AK$2:$AK$4001),MATCH(ROWS($AB$2:$AB634),'Per Line'!$AK$2:$AK$4001,0),"")</f>
        <v/>
      </c>
      <c r="AC634" s="14">
        <f>IF($AB634="","",M634-L634*Z634/100)</f>
        <v/>
      </c>
    </row>
    <row r="635">
      <c r="A635" s="12" t="n"/>
      <c r="B635">
        <f>IF($AB635="","",INDEX('Per Line'!$C$2:$C$4001,$AB635)&amp;"")</f>
        <v/>
      </c>
      <c r="C635">
        <f>IF($AB635="","",INDEX('Per Line'!$D$2:$D$4001,$AB635)&amp;"")</f>
        <v/>
      </c>
      <c r="D635">
        <f>IF($AB635="","",INDEX('Per Line'!$B$2:$B$4001,$AB635)&amp;"")</f>
        <v/>
      </c>
      <c r="E635">
        <f>IF($AB635="","",INDEX('Per Line'!$A$2:$A$4001,$AB635))</f>
        <v/>
      </c>
      <c r="F635" s="11">
        <f>IF($AB635="","",INDEX('Per Line'!$E$2:$E$4001,$AB635))</f>
        <v/>
      </c>
      <c r="G635">
        <f>IF($AB635="","",INDEX('Per Line'!$F$2:$F$4001,$AB635)&amp;"")</f>
        <v/>
      </c>
      <c r="H635">
        <f>IF($AB635="","",INDEX('Per Line'!$H$2:$H$4001,$AB635)&amp;"")</f>
        <v/>
      </c>
      <c r="I635">
        <f>IF($AB635="","",INDEX('Per Line'!$I$2:$I$4001,$AB635)&amp;"")</f>
        <v/>
      </c>
      <c r="J635">
        <f>IF($AB635="","",INDEX('Per Line'!$J$2:$J$4001,$AB635)&amp;"")</f>
        <v/>
      </c>
      <c r="K635">
        <f>IF($AB635="","",INDEX('Per Line'!$K$2:$K$4001,$AB635)&amp;"")</f>
        <v/>
      </c>
      <c r="L635">
        <f>IF($AB635="","",INDEX('Per Line'!$L$2:$L$4001,$AB635))</f>
        <v/>
      </c>
      <c r="M635" s="7">
        <f>IF($AB635="","",IF(AND(ISNUMBER(O635),O635&gt;0,Z635&gt;O635),L635*O635/100+(Z635-O635),L635*Z635/100))</f>
        <v/>
      </c>
      <c r="N635">
        <f>IF($AB635="","",INDEX('Per Line'!$V$2:$V$4001,$AB635)&amp;"")</f>
        <v/>
      </c>
      <c r="O635">
        <f>IF($AB635="","",INDEX('Per Line'!$Z$2:$Z$4001,$AB635))</f>
        <v/>
      </c>
      <c r="P635">
        <f>IF($AB635="","",IF(AND(ISNUMBER(O635),O635&gt;0),Z635&gt;O635,FALSE))</f>
        <v/>
      </c>
      <c r="Q635" s="7">
        <f>IF($AB635="","",SUMIFS('Per Line'!$U$2:$U$4001,'Per Line'!$C$2:$C$4001,$B635,'Per Line'!$AM$2:$AM$4001,1))</f>
        <v/>
      </c>
      <c r="R635">
        <f>IF($AB635="","",Settings!$C$7)</f>
        <v/>
      </c>
      <c r="S635" s="7">
        <f>IF($AB635="","",SUMIFS('Per Line'!$U$2:$U$4001,'Per Line'!$C$2:$C$4001,$B635,'Per Line'!$AL$2:$AL$4001,0,'Per Line'!$AM$2:$AM$4001,0))</f>
        <v/>
      </c>
      <c r="T635" s="7">
        <f>IF($AB635="","",S635*R635)</f>
        <v/>
      </c>
      <c r="U635">
        <f>IF($AB635="","",Settings!$C$6)</f>
        <v/>
      </c>
      <c r="V635" s="7">
        <f>IF($AB635="","",SUMIFS('Per Line'!$U$2:$U$4001,'Per Line'!$C$2:$C$4001,$B635,'Per Line'!$AL$2:$AL$4001,1,'Per Line'!$AM$2:$AM$4001,0))</f>
        <v/>
      </c>
      <c r="W635" s="7">
        <f>IF($AB635="","",V635*U635)</f>
        <v/>
      </c>
      <c r="X635" s="7">
        <f>IF($AB635="","",W635+T635)</f>
        <v/>
      </c>
      <c r="Y635" s="7">
        <f>IF($AB635="","",Z635-X635)</f>
        <v/>
      </c>
      <c r="Z635" s="7">
        <f>IF($AB635="","",S635+V635+Q635)</f>
        <v/>
      </c>
      <c r="AA635" s="7">
        <f>IF($AB635="","",Z635-X635-M635)</f>
        <v/>
      </c>
      <c r="AB635" s="13">
        <f>IF(ROWS($AB$2:$AB635)&lt;=MAX('Per Line'!$AK$2:$AK$4001),MATCH(ROWS($AB$2:$AB635),'Per Line'!$AK$2:$AK$4001,0),"")</f>
        <v/>
      </c>
      <c r="AC635" s="14">
        <f>IF($AB635="","",M635-L635*Z635/100)</f>
        <v/>
      </c>
    </row>
    <row r="636">
      <c r="A636" s="12" t="n"/>
      <c r="B636">
        <f>IF($AB636="","",INDEX('Per Line'!$C$2:$C$4001,$AB636)&amp;"")</f>
        <v/>
      </c>
      <c r="C636">
        <f>IF($AB636="","",INDEX('Per Line'!$D$2:$D$4001,$AB636)&amp;"")</f>
        <v/>
      </c>
      <c r="D636">
        <f>IF($AB636="","",INDEX('Per Line'!$B$2:$B$4001,$AB636)&amp;"")</f>
        <v/>
      </c>
      <c r="E636">
        <f>IF($AB636="","",INDEX('Per Line'!$A$2:$A$4001,$AB636))</f>
        <v/>
      </c>
      <c r="F636" s="11">
        <f>IF($AB636="","",INDEX('Per Line'!$E$2:$E$4001,$AB636))</f>
        <v/>
      </c>
      <c r="G636">
        <f>IF($AB636="","",INDEX('Per Line'!$F$2:$F$4001,$AB636)&amp;"")</f>
        <v/>
      </c>
      <c r="H636">
        <f>IF($AB636="","",INDEX('Per Line'!$H$2:$H$4001,$AB636)&amp;"")</f>
        <v/>
      </c>
      <c r="I636">
        <f>IF($AB636="","",INDEX('Per Line'!$I$2:$I$4001,$AB636)&amp;"")</f>
        <v/>
      </c>
      <c r="J636">
        <f>IF($AB636="","",INDEX('Per Line'!$J$2:$J$4001,$AB636)&amp;"")</f>
        <v/>
      </c>
      <c r="K636">
        <f>IF($AB636="","",INDEX('Per Line'!$K$2:$K$4001,$AB636)&amp;"")</f>
        <v/>
      </c>
      <c r="L636">
        <f>IF($AB636="","",INDEX('Per Line'!$L$2:$L$4001,$AB636))</f>
        <v/>
      </c>
      <c r="M636" s="7">
        <f>IF($AB636="","",IF(AND(ISNUMBER(O636),O636&gt;0,Z636&gt;O636),L636*O636/100+(Z636-O636),L636*Z636/100))</f>
        <v/>
      </c>
      <c r="N636">
        <f>IF($AB636="","",INDEX('Per Line'!$V$2:$V$4001,$AB636)&amp;"")</f>
        <v/>
      </c>
      <c r="O636">
        <f>IF($AB636="","",INDEX('Per Line'!$Z$2:$Z$4001,$AB636))</f>
        <v/>
      </c>
      <c r="P636">
        <f>IF($AB636="","",IF(AND(ISNUMBER(O636),O636&gt;0),Z636&gt;O636,FALSE))</f>
        <v/>
      </c>
      <c r="Q636" s="7">
        <f>IF($AB636="","",SUMIFS('Per Line'!$U$2:$U$4001,'Per Line'!$C$2:$C$4001,$B636,'Per Line'!$AM$2:$AM$4001,1))</f>
        <v/>
      </c>
      <c r="R636">
        <f>IF($AB636="","",Settings!$C$7)</f>
        <v/>
      </c>
      <c r="S636" s="7">
        <f>IF($AB636="","",SUMIFS('Per Line'!$U$2:$U$4001,'Per Line'!$C$2:$C$4001,$B636,'Per Line'!$AL$2:$AL$4001,0,'Per Line'!$AM$2:$AM$4001,0))</f>
        <v/>
      </c>
      <c r="T636" s="7">
        <f>IF($AB636="","",S636*R636)</f>
        <v/>
      </c>
      <c r="U636">
        <f>IF($AB636="","",Settings!$C$6)</f>
        <v/>
      </c>
      <c r="V636" s="7">
        <f>IF($AB636="","",SUMIFS('Per Line'!$U$2:$U$4001,'Per Line'!$C$2:$C$4001,$B636,'Per Line'!$AL$2:$AL$4001,1,'Per Line'!$AM$2:$AM$4001,0))</f>
        <v/>
      </c>
      <c r="W636" s="7">
        <f>IF($AB636="","",V636*U636)</f>
        <v/>
      </c>
      <c r="X636" s="7">
        <f>IF($AB636="","",W636+T636)</f>
        <v/>
      </c>
      <c r="Y636" s="7">
        <f>IF($AB636="","",Z636-X636)</f>
        <v/>
      </c>
      <c r="Z636" s="7">
        <f>IF($AB636="","",S636+V636+Q636)</f>
        <v/>
      </c>
      <c r="AA636" s="7">
        <f>IF($AB636="","",Z636-X636-M636)</f>
        <v/>
      </c>
      <c r="AB636" s="13">
        <f>IF(ROWS($AB$2:$AB636)&lt;=MAX('Per Line'!$AK$2:$AK$4001),MATCH(ROWS($AB$2:$AB636),'Per Line'!$AK$2:$AK$4001,0),"")</f>
        <v/>
      </c>
      <c r="AC636" s="14">
        <f>IF($AB636="","",M636-L636*Z636/100)</f>
        <v/>
      </c>
    </row>
    <row r="637">
      <c r="A637" s="12" t="n"/>
      <c r="B637">
        <f>IF($AB637="","",INDEX('Per Line'!$C$2:$C$4001,$AB637)&amp;"")</f>
        <v/>
      </c>
      <c r="C637">
        <f>IF($AB637="","",INDEX('Per Line'!$D$2:$D$4001,$AB637)&amp;"")</f>
        <v/>
      </c>
      <c r="D637">
        <f>IF($AB637="","",INDEX('Per Line'!$B$2:$B$4001,$AB637)&amp;"")</f>
        <v/>
      </c>
      <c r="E637">
        <f>IF($AB637="","",INDEX('Per Line'!$A$2:$A$4001,$AB637))</f>
        <v/>
      </c>
      <c r="F637" s="11">
        <f>IF($AB637="","",INDEX('Per Line'!$E$2:$E$4001,$AB637))</f>
        <v/>
      </c>
      <c r="G637">
        <f>IF($AB637="","",INDEX('Per Line'!$F$2:$F$4001,$AB637)&amp;"")</f>
        <v/>
      </c>
      <c r="H637">
        <f>IF($AB637="","",INDEX('Per Line'!$H$2:$H$4001,$AB637)&amp;"")</f>
        <v/>
      </c>
      <c r="I637">
        <f>IF($AB637="","",INDEX('Per Line'!$I$2:$I$4001,$AB637)&amp;"")</f>
        <v/>
      </c>
      <c r="J637">
        <f>IF($AB637="","",INDEX('Per Line'!$J$2:$J$4001,$AB637)&amp;"")</f>
        <v/>
      </c>
      <c r="K637">
        <f>IF($AB637="","",INDEX('Per Line'!$K$2:$K$4001,$AB637)&amp;"")</f>
        <v/>
      </c>
      <c r="L637">
        <f>IF($AB637="","",INDEX('Per Line'!$L$2:$L$4001,$AB637))</f>
        <v/>
      </c>
      <c r="M637" s="7">
        <f>IF($AB637="","",IF(AND(ISNUMBER(O637),O637&gt;0,Z637&gt;O637),L637*O637/100+(Z637-O637),L637*Z637/100))</f>
        <v/>
      </c>
      <c r="N637">
        <f>IF($AB637="","",INDEX('Per Line'!$V$2:$V$4001,$AB637)&amp;"")</f>
        <v/>
      </c>
      <c r="O637">
        <f>IF($AB637="","",INDEX('Per Line'!$Z$2:$Z$4001,$AB637))</f>
        <v/>
      </c>
      <c r="P637">
        <f>IF($AB637="","",IF(AND(ISNUMBER(O637),O637&gt;0),Z637&gt;O637,FALSE))</f>
        <v/>
      </c>
      <c r="Q637" s="7">
        <f>IF($AB637="","",SUMIFS('Per Line'!$U$2:$U$4001,'Per Line'!$C$2:$C$4001,$B637,'Per Line'!$AM$2:$AM$4001,1))</f>
        <v/>
      </c>
      <c r="R637">
        <f>IF($AB637="","",Settings!$C$7)</f>
        <v/>
      </c>
      <c r="S637" s="7">
        <f>IF($AB637="","",SUMIFS('Per Line'!$U$2:$U$4001,'Per Line'!$C$2:$C$4001,$B637,'Per Line'!$AL$2:$AL$4001,0,'Per Line'!$AM$2:$AM$4001,0))</f>
        <v/>
      </c>
      <c r="T637" s="7">
        <f>IF($AB637="","",S637*R637)</f>
        <v/>
      </c>
      <c r="U637">
        <f>IF($AB637="","",Settings!$C$6)</f>
        <v/>
      </c>
      <c r="V637" s="7">
        <f>IF($AB637="","",SUMIFS('Per Line'!$U$2:$U$4001,'Per Line'!$C$2:$C$4001,$B637,'Per Line'!$AL$2:$AL$4001,1,'Per Line'!$AM$2:$AM$4001,0))</f>
        <v/>
      </c>
      <c r="W637" s="7">
        <f>IF($AB637="","",V637*U637)</f>
        <v/>
      </c>
      <c r="X637" s="7">
        <f>IF($AB637="","",W637+T637)</f>
        <v/>
      </c>
      <c r="Y637" s="7">
        <f>IF($AB637="","",Z637-X637)</f>
        <v/>
      </c>
      <c r="Z637" s="7">
        <f>IF($AB637="","",S637+V637+Q637)</f>
        <v/>
      </c>
      <c r="AA637" s="7">
        <f>IF($AB637="","",Z637-X637-M637)</f>
        <v/>
      </c>
      <c r="AB637" s="13">
        <f>IF(ROWS($AB$2:$AB637)&lt;=MAX('Per Line'!$AK$2:$AK$4001),MATCH(ROWS($AB$2:$AB637),'Per Line'!$AK$2:$AK$4001,0),"")</f>
        <v/>
      </c>
      <c r="AC637" s="14">
        <f>IF($AB637="","",M637-L637*Z637/100)</f>
        <v/>
      </c>
    </row>
    <row r="638">
      <c r="A638" s="12" t="n"/>
      <c r="B638">
        <f>IF($AB638="","",INDEX('Per Line'!$C$2:$C$4001,$AB638)&amp;"")</f>
        <v/>
      </c>
      <c r="C638">
        <f>IF($AB638="","",INDEX('Per Line'!$D$2:$D$4001,$AB638)&amp;"")</f>
        <v/>
      </c>
      <c r="D638">
        <f>IF($AB638="","",INDEX('Per Line'!$B$2:$B$4001,$AB638)&amp;"")</f>
        <v/>
      </c>
      <c r="E638">
        <f>IF($AB638="","",INDEX('Per Line'!$A$2:$A$4001,$AB638))</f>
        <v/>
      </c>
      <c r="F638" s="11">
        <f>IF($AB638="","",INDEX('Per Line'!$E$2:$E$4001,$AB638))</f>
        <v/>
      </c>
      <c r="G638">
        <f>IF($AB638="","",INDEX('Per Line'!$F$2:$F$4001,$AB638)&amp;"")</f>
        <v/>
      </c>
      <c r="H638">
        <f>IF($AB638="","",INDEX('Per Line'!$H$2:$H$4001,$AB638)&amp;"")</f>
        <v/>
      </c>
      <c r="I638">
        <f>IF($AB638="","",INDEX('Per Line'!$I$2:$I$4001,$AB638)&amp;"")</f>
        <v/>
      </c>
      <c r="J638">
        <f>IF($AB638="","",INDEX('Per Line'!$J$2:$J$4001,$AB638)&amp;"")</f>
        <v/>
      </c>
      <c r="K638">
        <f>IF($AB638="","",INDEX('Per Line'!$K$2:$K$4001,$AB638)&amp;"")</f>
        <v/>
      </c>
      <c r="L638">
        <f>IF($AB638="","",INDEX('Per Line'!$L$2:$L$4001,$AB638))</f>
        <v/>
      </c>
      <c r="M638" s="7">
        <f>IF($AB638="","",IF(AND(ISNUMBER(O638),O638&gt;0,Z638&gt;O638),L638*O638/100+(Z638-O638),L638*Z638/100))</f>
        <v/>
      </c>
      <c r="N638">
        <f>IF($AB638="","",INDEX('Per Line'!$V$2:$V$4001,$AB638)&amp;"")</f>
        <v/>
      </c>
      <c r="O638">
        <f>IF($AB638="","",INDEX('Per Line'!$Z$2:$Z$4001,$AB638))</f>
        <v/>
      </c>
      <c r="P638">
        <f>IF($AB638="","",IF(AND(ISNUMBER(O638),O638&gt;0),Z638&gt;O638,FALSE))</f>
        <v/>
      </c>
      <c r="Q638" s="7">
        <f>IF($AB638="","",SUMIFS('Per Line'!$U$2:$U$4001,'Per Line'!$C$2:$C$4001,$B638,'Per Line'!$AM$2:$AM$4001,1))</f>
        <v/>
      </c>
      <c r="R638">
        <f>IF($AB638="","",Settings!$C$7)</f>
        <v/>
      </c>
      <c r="S638" s="7">
        <f>IF($AB638="","",SUMIFS('Per Line'!$U$2:$U$4001,'Per Line'!$C$2:$C$4001,$B638,'Per Line'!$AL$2:$AL$4001,0,'Per Line'!$AM$2:$AM$4001,0))</f>
        <v/>
      </c>
      <c r="T638" s="7">
        <f>IF($AB638="","",S638*R638)</f>
        <v/>
      </c>
      <c r="U638">
        <f>IF($AB638="","",Settings!$C$6)</f>
        <v/>
      </c>
      <c r="V638" s="7">
        <f>IF($AB638="","",SUMIFS('Per Line'!$U$2:$U$4001,'Per Line'!$C$2:$C$4001,$B638,'Per Line'!$AL$2:$AL$4001,1,'Per Line'!$AM$2:$AM$4001,0))</f>
        <v/>
      </c>
      <c r="W638" s="7">
        <f>IF($AB638="","",V638*U638)</f>
        <v/>
      </c>
      <c r="X638" s="7">
        <f>IF($AB638="","",W638+T638)</f>
        <v/>
      </c>
      <c r="Y638" s="7">
        <f>IF($AB638="","",Z638-X638)</f>
        <v/>
      </c>
      <c r="Z638" s="7">
        <f>IF($AB638="","",S638+V638+Q638)</f>
        <v/>
      </c>
      <c r="AA638" s="7">
        <f>IF($AB638="","",Z638-X638-M638)</f>
        <v/>
      </c>
      <c r="AB638" s="13">
        <f>IF(ROWS($AB$2:$AB638)&lt;=MAX('Per Line'!$AK$2:$AK$4001),MATCH(ROWS($AB$2:$AB638),'Per Line'!$AK$2:$AK$4001,0),"")</f>
        <v/>
      </c>
      <c r="AC638" s="14">
        <f>IF($AB638="","",M638-L638*Z638/100)</f>
        <v/>
      </c>
    </row>
    <row r="639">
      <c r="A639" s="12" t="n"/>
      <c r="B639">
        <f>IF($AB639="","",INDEX('Per Line'!$C$2:$C$4001,$AB639)&amp;"")</f>
        <v/>
      </c>
      <c r="C639">
        <f>IF($AB639="","",INDEX('Per Line'!$D$2:$D$4001,$AB639)&amp;"")</f>
        <v/>
      </c>
      <c r="D639">
        <f>IF($AB639="","",INDEX('Per Line'!$B$2:$B$4001,$AB639)&amp;"")</f>
        <v/>
      </c>
      <c r="E639">
        <f>IF($AB639="","",INDEX('Per Line'!$A$2:$A$4001,$AB639))</f>
        <v/>
      </c>
      <c r="F639" s="11">
        <f>IF($AB639="","",INDEX('Per Line'!$E$2:$E$4001,$AB639))</f>
        <v/>
      </c>
      <c r="G639">
        <f>IF($AB639="","",INDEX('Per Line'!$F$2:$F$4001,$AB639)&amp;"")</f>
        <v/>
      </c>
      <c r="H639">
        <f>IF($AB639="","",INDEX('Per Line'!$H$2:$H$4001,$AB639)&amp;"")</f>
        <v/>
      </c>
      <c r="I639">
        <f>IF($AB639="","",INDEX('Per Line'!$I$2:$I$4001,$AB639)&amp;"")</f>
        <v/>
      </c>
      <c r="J639">
        <f>IF($AB639="","",INDEX('Per Line'!$J$2:$J$4001,$AB639)&amp;"")</f>
        <v/>
      </c>
      <c r="K639">
        <f>IF($AB639="","",INDEX('Per Line'!$K$2:$K$4001,$AB639)&amp;"")</f>
        <v/>
      </c>
      <c r="L639">
        <f>IF($AB639="","",INDEX('Per Line'!$L$2:$L$4001,$AB639))</f>
        <v/>
      </c>
      <c r="M639" s="7">
        <f>IF($AB639="","",IF(AND(ISNUMBER(O639),O639&gt;0,Z639&gt;O639),L639*O639/100+(Z639-O639),L639*Z639/100))</f>
        <v/>
      </c>
      <c r="N639">
        <f>IF($AB639="","",INDEX('Per Line'!$V$2:$V$4001,$AB639)&amp;"")</f>
        <v/>
      </c>
      <c r="O639">
        <f>IF($AB639="","",INDEX('Per Line'!$Z$2:$Z$4001,$AB639))</f>
        <v/>
      </c>
      <c r="P639">
        <f>IF($AB639="","",IF(AND(ISNUMBER(O639),O639&gt;0),Z639&gt;O639,FALSE))</f>
        <v/>
      </c>
      <c r="Q639" s="7">
        <f>IF($AB639="","",SUMIFS('Per Line'!$U$2:$U$4001,'Per Line'!$C$2:$C$4001,$B639,'Per Line'!$AM$2:$AM$4001,1))</f>
        <v/>
      </c>
      <c r="R639">
        <f>IF($AB639="","",Settings!$C$7)</f>
        <v/>
      </c>
      <c r="S639" s="7">
        <f>IF($AB639="","",SUMIFS('Per Line'!$U$2:$U$4001,'Per Line'!$C$2:$C$4001,$B639,'Per Line'!$AL$2:$AL$4001,0,'Per Line'!$AM$2:$AM$4001,0))</f>
        <v/>
      </c>
      <c r="T639" s="7">
        <f>IF($AB639="","",S639*R639)</f>
        <v/>
      </c>
      <c r="U639">
        <f>IF($AB639="","",Settings!$C$6)</f>
        <v/>
      </c>
      <c r="V639" s="7">
        <f>IF($AB639="","",SUMIFS('Per Line'!$U$2:$U$4001,'Per Line'!$C$2:$C$4001,$B639,'Per Line'!$AL$2:$AL$4001,1,'Per Line'!$AM$2:$AM$4001,0))</f>
        <v/>
      </c>
      <c r="W639" s="7">
        <f>IF($AB639="","",V639*U639)</f>
        <v/>
      </c>
      <c r="X639" s="7">
        <f>IF($AB639="","",W639+T639)</f>
        <v/>
      </c>
      <c r="Y639" s="7">
        <f>IF($AB639="","",Z639-X639)</f>
        <v/>
      </c>
      <c r="Z639" s="7">
        <f>IF($AB639="","",S639+V639+Q639)</f>
        <v/>
      </c>
      <c r="AA639" s="7">
        <f>IF($AB639="","",Z639-X639-M639)</f>
        <v/>
      </c>
      <c r="AB639" s="13">
        <f>IF(ROWS($AB$2:$AB639)&lt;=MAX('Per Line'!$AK$2:$AK$4001),MATCH(ROWS($AB$2:$AB639),'Per Line'!$AK$2:$AK$4001,0),"")</f>
        <v/>
      </c>
      <c r="AC639" s="14">
        <f>IF($AB639="","",M639-L639*Z639/100)</f>
        <v/>
      </c>
    </row>
    <row r="640">
      <c r="A640" s="12" t="n"/>
      <c r="B640">
        <f>IF($AB640="","",INDEX('Per Line'!$C$2:$C$4001,$AB640)&amp;"")</f>
        <v/>
      </c>
      <c r="C640">
        <f>IF($AB640="","",INDEX('Per Line'!$D$2:$D$4001,$AB640)&amp;"")</f>
        <v/>
      </c>
      <c r="D640">
        <f>IF($AB640="","",INDEX('Per Line'!$B$2:$B$4001,$AB640)&amp;"")</f>
        <v/>
      </c>
      <c r="E640">
        <f>IF($AB640="","",INDEX('Per Line'!$A$2:$A$4001,$AB640))</f>
        <v/>
      </c>
      <c r="F640" s="11">
        <f>IF($AB640="","",INDEX('Per Line'!$E$2:$E$4001,$AB640))</f>
        <v/>
      </c>
      <c r="G640">
        <f>IF($AB640="","",INDEX('Per Line'!$F$2:$F$4001,$AB640)&amp;"")</f>
        <v/>
      </c>
      <c r="H640">
        <f>IF($AB640="","",INDEX('Per Line'!$H$2:$H$4001,$AB640)&amp;"")</f>
        <v/>
      </c>
      <c r="I640">
        <f>IF($AB640="","",INDEX('Per Line'!$I$2:$I$4001,$AB640)&amp;"")</f>
        <v/>
      </c>
      <c r="J640">
        <f>IF($AB640="","",INDEX('Per Line'!$J$2:$J$4001,$AB640)&amp;"")</f>
        <v/>
      </c>
      <c r="K640">
        <f>IF($AB640="","",INDEX('Per Line'!$K$2:$K$4001,$AB640)&amp;"")</f>
        <v/>
      </c>
      <c r="L640">
        <f>IF($AB640="","",INDEX('Per Line'!$L$2:$L$4001,$AB640))</f>
        <v/>
      </c>
      <c r="M640" s="7">
        <f>IF($AB640="","",IF(AND(ISNUMBER(O640),O640&gt;0,Z640&gt;O640),L640*O640/100+(Z640-O640),L640*Z640/100))</f>
        <v/>
      </c>
      <c r="N640">
        <f>IF($AB640="","",INDEX('Per Line'!$V$2:$V$4001,$AB640)&amp;"")</f>
        <v/>
      </c>
      <c r="O640">
        <f>IF($AB640="","",INDEX('Per Line'!$Z$2:$Z$4001,$AB640))</f>
        <v/>
      </c>
      <c r="P640">
        <f>IF($AB640="","",IF(AND(ISNUMBER(O640),O640&gt;0),Z640&gt;O640,FALSE))</f>
        <v/>
      </c>
      <c r="Q640" s="7">
        <f>IF($AB640="","",SUMIFS('Per Line'!$U$2:$U$4001,'Per Line'!$C$2:$C$4001,$B640,'Per Line'!$AM$2:$AM$4001,1))</f>
        <v/>
      </c>
      <c r="R640">
        <f>IF($AB640="","",Settings!$C$7)</f>
        <v/>
      </c>
      <c r="S640" s="7">
        <f>IF($AB640="","",SUMIFS('Per Line'!$U$2:$U$4001,'Per Line'!$C$2:$C$4001,$B640,'Per Line'!$AL$2:$AL$4001,0,'Per Line'!$AM$2:$AM$4001,0))</f>
        <v/>
      </c>
      <c r="T640" s="7">
        <f>IF($AB640="","",S640*R640)</f>
        <v/>
      </c>
      <c r="U640">
        <f>IF($AB640="","",Settings!$C$6)</f>
        <v/>
      </c>
      <c r="V640" s="7">
        <f>IF($AB640="","",SUMIFS('Per Line'!$U$2:$U$4001,'Per Line'!$C$2:$C$4001,$B640,'Per Line'!$AL$2:$AL$4001,1,'Per Line'!$AM$2:$AM$4001,0))</f>
        <v/>
      </c>
      <c r="W640" s="7">
        <f>IF($AB640="","",V640*U640)</f>
        <v/>
      </c>
      <c r="X640" s="7">
        <f>IF($AB640="","",W640+T640)</f>
        <v/>
      </c>
      <c r="Y640" s="7">
        <f>IF($AB640="","",Z640-X640)</f>
        <v/>
      </c>
      <c r="Z640" s="7">
        <f>IF($AB640="","",S640+V640+Q640)</f>
        <v/>
      </c>
      <c r="AA640" s="7">
        <f>IF($AB640="","",Z640-X640-M640)</f>
        <v/>
      </c>
      <c r="AB640" s="13">
        <f>IF(ROWS($AB$2:$AB640)&lt;=MAX('Per Line'!$AK$2:$AK$4001),MATCH(ROWS($AB$2:$AB640),'Per Line'!$AK$2:$AK$4001,0),"")</f>
        <v/>
      </c>
      <c r="AC640" s="14">
        <f>IF($AB640="","",M640-L640*Z640/100)</f>
        <v/>
      </c>
    </row>
    <row r="641">
      <c r="A641" s="12" t="n"/>
      <c r="B641">
        <f>IF($AB641="","",INDEX('Per Line'!$C$2:$C$4001,$AB641)&amp;"")</f>
        <v/>
      </c>
      <c r="C641">
        <f>IF($AB641="","",INDEX('Per Line'!$D$2:$D$4001,$AB641)&amp;"")</f>
        <v/>
      </c>
      <c r="D641">
        <f>IF($AB641="","",INDEX('Per Line'!$B$2:$B$4001,$AB641)&amp;"")</f>
        <v/>
      </c>
      <c r="E641">
        <f>IF($AB641="","",INDEX('Per Line'!$A$2:$A$4001,$AB641))</f>
        <v/>
      </c>
      <c r="F641" s="11">
        <f>IF($AB641="","",INDEX('Per Line'!$E$2:$E$4001,$AB641))</f>
        <v/>
      </c>
      <c r="G641">
        <f>IF($AB641="","",INDEX('Per Line'!$F$2:$F$4001,$AB641)&amp;"")</f>
        <v/>
      </c>
      <c r="H641">
        <f>IF($AB641="","",INDEX('Per Line'!$H$2:$H$4001,$AB641)&amp;"")</f>
        <v/>
      </c>
      <c r="I641">
        <f>IF($AB641="","",INDEX('Per Line'!$I$2:$I$4001,$AB641)&amp;"")</f>
        <v/>
      </c>
      <c r="J641">
        <f>IF($AB641="","",INDEX('Per Line'!$J$2:$J$4001,$AB641)&amp;"")</f>
        <v/>
      </c>
      <c r="K641">
        <f>IF($AB641="","",INDEX('Per Line'!$K$2:$K$4001,$AB641)&amp;"")</f>
        <v/>
      </c>
      <c r="L641">
        <f>IF($AB641="","",INDEX('Per Line'!$L$2:$L$4001,$AB641))</f>
        <v/>
      </c>
      <c r="M641" s="7">
        <f>IF($AB641="","",IF(AND(ISNUMBER(O641),O641&gt;0,Z641&gt;O641),L641*O641/100+(Z641-O641),L641*Z641/100))</f>
        <v/>
      </c>
      <c r="N641">
        <f>IF($AB641="","",INDEX('Per Line'!$V$2:$V$4001,$AB641)&amp;"")</f>
        <v/>
      </c>
      <c r="O641">
        <f>IF($AB641="","",INDEX('Per Line'!$Z$2:$Z$4001,$AB641))</f>
        <v/>
      </c>
      <c r="P641">
        <f>IF($AB641="","",IF(AND(ISNUMBER(O641),O641&gt;0),Z641&gt;O641,FALSE))</f>
        <v/>
      </c>
      <c r="Q641" s="7">
        <f>IF($AB641="","",SUMIFS('Per Line'!$U$2:$U$4001,'Per Line'!$C$2:$C$4001,$B641,'Per Line'!$AM$2:$AM$4001,1))</f>
        <v/>
      </c>
      <c r="R641">
        <f>IF($AB641="","",Settings!$C$7)</f>
        <v/>
      </c>
      <c r="S641" s="7">
        <f>IF($AB641="","",SUMIFS('Per Line'!$U$2:$U$4001,'Per Line'!$C$2:$C$4001,$B641,'Per Line'!$AL$2:$AL$4001,0,'Per Line'!$AM$2:$AM$4001,0))</f>
        <v/>
      </c>
      <c r="T641" s="7">
        <f>IF($AB641="","",S641*R641)</f>
        <v/>
      </c>
      <c r="U641">
        <f>IF($AB641="","",Settings!$C$6)</f>
        <v/>
      </c>
      <c r="V641" s="7">
        <f>IF($AB641="","",SUMIFS('Per Line'!$U$2:$U$4001,'Per Line'!$C$2:$C$4001,$B641,'Per Line'!$AL$2:$AL$4001,1,'Per Line'!$AM$2:$AM$4001,0))</f>
        <v/>
      </c>
      <c r="W641" s="7">
        <f>IF($AB641="","",V641*U641)</f>
        <v/>
      </c>
      <c r="X641" s="7">
        <f>IF($AB641="","",W641+T641)</f>
        <v/>
      </c>
      <c r="Y641" s="7">
        <f>IF($AB641="","",Z641-X641)</f>
        <v/>
      </c>
      <c r="Z641" s="7">
        <f>IF($AB641="","",S641+V641+Q641)</f>
        <v/>
      </c>
      <c r="AA641" s="7">
        <f>IF($AB641="","",Z641-X641-M641)</f>
        <v/>
      </c>
      <c r="AB641" s="13">
        <f>IF(ROWS($AB$2:$AB641)&lt;=MAX('Per Line'!$AK$2:$AK$4001),MATCH(ROWS($AB$2:$AB641),'Per Line'!$AK$2:$AK$4001,0),"")</f>
        <v/>
      </c>
      <c r="AC641" s="14">
        <f>IF($AB641="","",M641-L641*Z641/100)</f>
        <v/>
      </c>
    </row>
    <row r="642">
      <c r="A642" s="12" t="n"/>
      <c r="B642">
        <f>IF($AB642="","",INDEX('Per Line'!$C$2:$C$4001,$AB642)&amp;"")</f>
        <v/>
      </c>
      <c r="C642">
        <f>IF($AB642="","",INDEX('Per Line'!$D$2:$D$4001,$AB642)&amp;"")</f>
        <v/>
      </c>
      <c r="D642">
        <f>IF($AB642="","",INDEX('Per Line'!$B$2:$B$4001,$AB642)&amp;"")</f>
        <v/>
      </c>
      <c r="E642">
        <f>IF($AB642="","",INDEX('Per Line'!$A$2:$A$4001,$AB642))</f>
        <v/>
      </c>
      <c r="F642" s="11">
        <f>IF($AB642="","",INDEX('Per Line'!$E$2:$E$4001,$AB642))</f>
        <v/>
      </c>
      <c r="G642">
        <f>IF($AB642="","",INDEX('Per Line'!$F$2:$F$4001,$AB642)&amp;"")</f>
        <v/>
      </c>
      <c r="H642">
        <f>IF($AB642="","",INDEX('Per Line'!$H$2:$H$4001,$AB642)&amp;"")</f>
        <v/>
      </c>
      <c r="I642">
        <f>IF($AB642="","",INDEX('Per Line'!$I$2:$I$4001,$AB642)&amp;"")</f>
        <v/>
      </c>
      <c r="J642">
        <f>IF($AB642="","",INDEX('Per Line'!$J$2:$J$4001,$AB642)&amp;"")</f>
        <v/>
      </c>
      <c r="K642">
        <f>IF($AB642="","",INDEX('Per Line'!$K$2:$K$4001,$AB642)&amp;"")</f>
        <v/>
      </c>
      <c r="L642">
        <f>IF($AB642="","",INDEX('Per Line'!$L$2:$L$4001,$AB642))</f>
        <v/>
      </c>
      <c r="M642" s="7">
        <f>IF($AB642="","",IF(AND(ISNUMBER(O642),O642&gt;0,Z642&gt;O642),L642*O642/100+(Z642-O642),L642*Z642/100))</f>
        <v/>
      </c>
      <c r="N642">
        <f>IF($AB642="","",INDEX('Per Line'!$V$2:$V$4001,$AB642)&amp;"")</f>
        <v/>
      </c>
      <c r="O642">
        <f>IF($AB642="","",INDEX('Per Line'!$Z$2:$Z$4001,$AB642))</f>
        <v/>
      </c>
      <c r="P642">
        <f>IF($AB642="","",IF(AND(ISNUMBER(O642),O642&gt;0),Z642&gt;O642,FALSE))</f>
        <v/>
      </c>
      <c r="Q642" s="7">
        <f>IF($AB642="","",SUMIFS('Per Line'!$U$2:$U$4001,'Per Line'!$C$2:$C$4001,$B642,'Per Line'!$AM$2:$AM$4001,1))</f>
        <v/>
      </c>
      <c r="R642">
        <f>IF($AB642="","",Settings!$C$7)</f>
        <v/>
      </c>
      <c r="S642" s="7">
        <f>IF($AB642="","",SUMIFS('Per Line'!$U$2:$U$4001,'Per Line'!$C$2:$C$4001,$B642,'Per Line'!$AL$2:$AL$4001,0,'Per Line'!$AM$2:$AM$4001,0))</f>
        <v/>
      </c>
      <c r="T642" s="7">
        <f>IF($AB642="","",S642*R642)</f>
        <v/>
      </c>
      <c r="U642">
        <f>IF($AB642="","",Settings!$C$6)</f>
        <v/>
      </c>
      <c r="V642" s="7">
        <f>IF($AB642="","",SUMIFS('Per Line'!$U$2:$U$4001,'Per Line'!$C$2:$C$4001,$B642,'Per Line'!$AL$2:$AL$4001,1,'Per Line'!$AM$2:$AM$4001,0))</f>
        <v/>
      </c>
      <c r="W642" s="7">
        <f>IF($AB642="","",V642*U642)</f>
        <v/>
      </c>
      <c r="X642" s="7">
        <f>IF($AB642="","",W642+T642)</f>
        <v/>
      </c>
      <c r="Y642" s="7">
        <f>IF($AB642="","",Z642-X642)</f>
        <v/>
      </c>
      <c r="Z642" s="7">
        <f>IF($AB642="","",S642+V642+Q642)</f>
        <v/>
      </c>
      <c r="AA642" s="7">
        <f>IF($AB642="","",Z642-X642-M642)</f>
        <v/>
      </c>
      <c r="AB642" s="13">
        <f>IF(ROWS($AB$2:$AB642)&lt;=MAX('Per Line'!$AK$2:$AK$4001),MATCH(ROWS($AB$2:$AB642),'Per Line'!$AK$2:$AK$4001,0),"")</f>
        <v/>
      </c>
      <c r="AC642" s="14">
        <f>IF($AB642="","",M642-L642*Z642/100)</f>
        <v/>
      </c>
    </row>
    <row r="643">
      <c r="A643" s="12" t="n"/>
      <c r="B643">
        <f>IF($AB643="","",INDEX('Per Line'!$C$2:$C$4001,$AB643)&amp;"")</f>
        <v/>
      </c>
      <c r="C643">
        <f>IF($AB643="","",INDEX('Per Line'!$D$2:$D$4001,$AB643)&amp;"")</f>
        <v/>
      </c>
      <c r="D643">
        <f>IF($AB643="","",INDEX('Per Line'!$B$2:$B$4001,$AB643)&amp;"")</f>
        <v/>
      </c>
      <c r="E643">
        <f>IF($AB643="","",INDEX('Per Line'!$A$2:$A$4001,$AB643))</f>
        <v/>
      </c>
      <c r="F643" s="11">
        <f>IF($AB643="","",INDEX('Per Line'!$E$2:$E$4001,$AB643))</f>
        <v/>
      </c>
      <c r="G643">
        <f>IF($AB643="","",INDEX('Per Line'!$F$2:$F$4001,$AB643)&amp;"")</f>
        <v/>
      </c>
      <c r="H643">
        <f>IF($AB643="","",INDEX('Per Line'!$H$2:$H$4001,$AB643)&amp;"")</f>
        <v/>
      </c>
      <c r="I643">
        <f>IF($AB643="","",INDEX('Per Line'!$I$2:$I$4001,$AB643)&amp;"")</f>
        <v/>
      </c>
      <c r="J643">
        <f>IF($AB643="","",INDEX('Per Line'!$J$2:$J$4001,$AB643)&amp;"")</f>
        <v/>
      </c>
      <c r="K643">
        <f>IF($AB643="","",INDEX('Per Line'!$K$2:$K$4001,$AB643)&amp;"")</f>
        <v/>
      </c>
      <c r="L643">
        <f>IF($AB643="","",INDEX('Per Line'!$L$2:$L$4001,$AB643))</f>
        <v/>
      </c>
      <c r="M643" s="7">
        <f>IF($AB643="","",IF(AND(ISNUMBER(O643),O643&gt;0,Z643&gt;O643),L643*O643/100+(Z643-O643),L643*Z643/100))</f>
        <v/>
      </c>
      <c r="N643">
        <f>IF($AB643="","",INDEX('Per Line'!$V$2:$V$4001,$AB643)&amp;"")</f>
        <v/>
      </c>
      <c r="O643">
        <f>IF($AB643="","",INDEX('Per Line'!$Z$2:$Z$4001,$AB643))</f>
        <v/>
      </c>
      <c r="P643">
        <f>IF($AB643="","",IF(AND(ISNUMBER(O643),O643&gt;0),Z643&gt;O643,FALSE))</f>
        <v/>
      </c>
      <c r="Q643" s="7">
        <f>IF($AB643="","",SUMIFS('Per Line'!$U$2:$U$4001,'Per Line'!$C$2:$C$4001,$B643,'Per Line'!$AM$2:$AM$4001,1))</f>
        <v/>
      </c>
      <c r="R643">
        <f>IF($AB643="","",Settings!$C$7)</f>
        <v/>
      </c>
      <c r="S643" s="7">
        <f>IF($AB643="","",SUMIFS('Per Line'!$U$2:$U$4001,'Per Line'!$C$2:$C$4001,$B643,'Per Line'!$AL$2:$AL$4001,0,'Per Line'!$AM$2:$AM$4001,0))</f>
        <v/>
      </c>
      <c r="T643" s="7">
        <f>IF($AB643="","",S643*R643)</f>
        <v/>
      </c>
      <c r="U643">
        <f>IF($AB643="","",Settings!$C$6)</f>
        <v/>
      </c>
      <c r="V643" s="7">
        <f>IF($AB643="","",SUMIFS('Per Line'!$U$2:$U$4001,'Per Line'!$C$2:$C$4001,$B643,'Per Line'!$AL$2:$AL$4001,1,'Per Line'!$AM$2:$AM$4001,0))</f>
        <v/>
      </c>
      <c r="W643" s="7">
        <f>IF($AB643="","",V643*U643)</f>
        <v/>
      </c>
      <c r="X643" s="7">
        <f>IF($AB643="","",W643+T643)</f>
        <v/>
      </c>
      <c r="Y643" s="7">
        <f>IF($AB643="","",Z643-X643)</f>
        <v/>
      </c>
      <c r="Z643" s="7">
        <f>IF($AB643="","",S643+V643+Q643)</f>
        <v/>
      </c>
      <c r="AA643" s="7">
        <f>IF($AB643="","",Z643-X643-M643)</f>
        <v/>
      </c>
      <c r="AB643" s="13">
        <f>IF(ROWS($AB$2:$AB643)&lt;=MAX('Per Line'!$AK$2:$AK$4001),MATCH(ROWS($AB$2:$AB643),'Per Line'!$AK$2:$AK$4001,0),"")</f>
        <v/>
      </c>
      <c r="AC643" s="14">
        <f>IF($AB643="","",M643-L643*Z643/100)</f>
        <v/>
      </c>
    </row>
    <row r="644">
      <c r="A644" s="12" t="n"/>
      <c r="B644">
        <f>IF($AB644="","",INDEX('Per Line'!$C$2:$C$4001,$AB644)&amp;"")</f>
        <v/>
      </c>
      <c r="C644">
        <f>IF($AB644="","",INDEX('Per Line'!$D$2:$D$4001,$AB644)&amp;"")</f>
        <v/>
      </c>
      <c r="D644">
        <f>IF($AB644="","",INDEX('Per Line'!$B$2:$B$4001,$AB644)&amp;"")</f>
        <v/>
      </c>
      <c r="E644">
        <f>IF($AB644="","",INDEX('Per Line'!$A$2:$A$4001,$AB644))</f>
        <v/>
      </c>
      <c r="F644" s="11">
        <f>IF($AB644="","",INDEX('Per Line'!$E$2:$E$4001,$AB644))</f>
        <v/>
      </c>
      <c r="G644">
        <f>IF($AB644="","",INDEX('Per Line'!$F$2:$F$4001,$AB644)&amp;"")</f>
        <v/>
      </c>
      <c r="H644">
        <f>IF($AB644="","",INDEX('Per Line'!$H$2:$H$4001,$AB644)&amp;"")</f>
        <v/>
      </c>
      <c r="I644">
        <f>IF($AB644="","",INDEX('Per Line'!$I$2:$I$4001,$AB644)&amp;"")</f>
        <v/>
      </c>
      <c r="J644">
        <f>IF($AB644="","",INDEX('Per Line'!$J$2:$J$4001,$AB644)&amp;"")</f>
        <v/>
      </c>
      <c r="K644">
        <f>IF($AB644="","",INDEX('Per Line'!$K$2:$K$4001,$AB644)&amp;"")</f>
        <v/>
      </c>
      <c r="L644">
        <f>IF($AB644="","",INDEX('Per Line'!$L$2:$L$4001,$AB644))</f>
        <v/>
      </c>
      <c r="M644" s="7">
        <f>IF($AB644="","",IF(AND(ISNUMBER(O644),O644&gt;0,Z644&gt;O644),L644*O644/100+(Z644-O644),L644*Z644/100))</f>
        <v/>
      </c>
      <c r="N644">
        <f>IF($AB644="","",INDEX('Per Line'!$V$2:$V$4001,$AB644)&amp;"")</f>
        <v/>
      </c>
      <c r="O644">
        <f>IF($AB644="","",INDEX('Per Line'!$Z$2:$Z$4001,$AB644))</f>
        <v/>
      </c>
      <c r="P644">
        <f>IF($AB644="","",IF(AND(ISNUMBER(O644),O644&gt;0),Z644&gt;O644,FALSE))</f>
        <v/>
      </c>
      <c r="Q644" s="7">
        <f>IF($AB644="","",SUMIFS('Per Line'!$U$2:$U$4001,'Per Line'!$C$2:$C$4001,$B644,'Per Line'!$AM$2:$AM$4001,1))</f>
        <v/>
      </c>
      <c r="R644">
        <f>IF($AB644="","",Settings!$C$7)</f>
        <v/>
      </c>
      <c r="S644" s="7">
        <f>IF($AB644="","",SUMIFS('Per Line'!$U$2:$U$4001,'Per Line'!$C$2:$C$4001,$B644,'Per Line'!$AL$2:$AL$4001,0,'Per Line'!$AM$2:$AM$4001,0))</f>
        <v/>
      </c>
      <c r="T644" s="7">
        <f>IF($AB644="","",S644*R644)</f>
        <v/>
      </c>
      <c r="U644">
        <f>IF($AB644="","",Settings!$C$6)</f>
        <v/>
      </c>
      <c r="V644" s="7">
        <f>IF($AB644="","",SUMIFS('Per Line'!$U$2:$U$4001,'Per Line'!$C$2:$C$4001,$B644,'Per Line'!$AL$2:$AL$4001,1,'Per Line'!$AM$2:$AM$4001,0))</f>
        <v/>
      </c>
      <c r="W644" s="7">
        <f>IF($AB644="","",V644*U644)</f>
        <v/>
      </c>
      <c r="X644" s="7">
        <f>IF($AB644="","",W644+T644)</f>
        <v/>
      </c>
      <c r="Y644" s="7">
        <f>IF($AB644="","",Z644-X644)</f>
        <v/>
      </c>
      <c r="Z644" s="7">
        <f>IF($AB644="","",S644+V644+Q644)</f>
        <v/>
      </c>
      <c r="AA644" s="7">
        <f>IF($AB644="","",Z644-X644-M644)</f>
        <v/>
      </c>
      <c r="AB644" s="13">
        <f>IF(ROWS($AB$2:$AB644)&lt;=MAX('Per Line'!$AK$2:$AK$4001),MATCH(ROWS($AB$2:$AB644),'Per Line'!$AK$2:$AK$4001,0),"")</f>
        <v/>
      </c>
      <c r="AC644" s="14">
        <f>IF($AB644="","",M644-L644*Z644/100)</f>
        <v/>
      </c>
    </row>
    <row r="645">
      <c r="A645" s="12" t="n"/>
      <c r="B645">
        <f>IF($AB645="","",INDEX('Per Line'!$C$2:$C$4001,$AB645)&amp;"")</f>
        <v/>
      </c>
      <c r="C645">
        <f>IF($AB645="","",INDEX('Per Line'!$D$2:$D$4001,$AB645)&amp;"")</f>
        <v/>
      </c>
      <c r="D645">
        <f>IF($AB645="","",INDEX('Per Line'!$B$2:$B$4001,$AB645)&amp;"")</f>
        <v/>
      </c>
      <c r="E645">
        <f>IF($AB645="","",INDEX('Per Line'!$A$2:$A$4001,$AB645))</f>
        <v/>
      </c>
      <c r="F645" s="11">
        <f>IF($AB645="","",INDEX('Per Line'!$E$2:$E$4001,$AB645))</f>
        <v/>
      </c>
      <c r="G645">
        <f>IF($AB645="","",INDEX('Per Line'!$F$2:$F$4001,$AB645)&amp;"")</f>
        <v/>
      </c>
      <c r="H645">
        <f>IF($AB645="","",INDEX('Per Line'!$H$2:$H$4001,$AB645)&amp;"")</f>
        <v/>
      </c>
      <c r="I645">
        <f>IF($AB645="","",INDEX('Per Line'!$I$2:$I$4001,$AB645)&amp;"")</f>
        <v/>
      </c>
      <c r="J645">
        <f>IF($AB645="","",INDEX('Per Line'!$J$2:$J$4001,$AB645)&amp;"")</f>
        <v/>
      </c>
      <c r="K645">
        <f>IF($AB645="","",INDEX('Per Line'!$K$2:$K$4001,$AB645)&amp;"")</f>
        <v/>
      </c>
      <c r="L645">
        <f>IF($AB645="","",INDEX('Per Line'!$L$2:$L$4001,$AB645))</f>
        <v/>
      </c>
      <c r="M645" s="7">
        <f>IF($AB645="","",IF(AND(ISNUMBER(O645),O645&gt;0,Z645&gt;O645),L645*O645/100+(Z645-O645),L645*Z645/100))</f>
        <v/>
      </c>
      <c r="N645">
        <f>IF($AB645="","",INDEX('Per Line'!$V$2:$V$4001,$AB645)&amp;"")</f>
        <v/>
      </c>
      <c r="O645">
        <f>IF($AB645="","",INDEX('Per Line'!$Z$2:$Z$4001,$AB645))</f>
        <v/>
      </c>
      <c r="P645">
        <f>IF($AB645="","",IF(AND(ISNUMBER(O645),O645&gt;0),Z645&gt;O645,FALSE))</f>
        <v/>
      </c>
      <c r="Q645" s="7">
        <f>IF($AB645="","",SUMIFS('Per Line'!$U$2:$U$4001,'Per Line'!$C$2:$C$4001,$B645,'Per Line'!$AM$2:$AM$4001,1))</f>
        <v/>
      </c>
      <c r="R645">
        <f>IF($AB645="","",Settings!$C$7)</f>
        <v/>
      </c>
      <c r="S645" s="7">
        <f>IF($AB645="","",SUMIFS('Per Line'!$U$2:$U$4001,'Per Line'!$C$2:$C$4001,$B645,'Per Line'!$AL$2:$AL$4001,0,'Per Line'!$AM$2:$AM$4001,0))</f>
        <v/>
      </c>
      <c r="T645" s="7">
        <f>IF($AB645="","",S645*R645)</f>
        <v/>
      </c>
      <c r="U645">
        <f>IF($AB645="","",Settings!$C$6)</f>
        <v/>
      </c>
      <c r="V645" s="7">
        <f>IF($AB645="","",SUMIFS('Per Line'!$U$2:$U$4001,'Per Line'!$C$2:$C$4001,$B645,'Per Line'!$AL$2:$AL$4001,1,'Per Line'!$AM$2:$AM$4001,0))</f>
        <v/>
      </c>
      <c r="W645" s="7">
        <f>IF($AB645="","",V645*U645)</f>
        <v/>
      </c>
      <c r="X645" s="7">
        <f>IF($AB645="","",W645+T645)</f>
        <v/>
      </c>
      <c r="Y645" s="7">
        <f>IF($AB645="","",Z645-X645)</f>
        <v/>
      </c>
      <c r="Z645" s="7">
        <f>IF($AB645="","",S645+V645+Q645)</f>
        <v/>
      </c>
      <c r="AA645" s="7">
        <f>IF($AB645="","",Z645-X645-M645)</f>
        <v/>
      </c>
      <c r="AB645" s="13">
        <f>IF(ROWS($AB$2:$AB645)&lt;=MAX('Per Line'!$AK$2:$AK$4001),MATCH(ROWS($AB$2:$AB645),'Per Line'!$AK$2:$AK$4001,0),"")</f>
        <v/>
      </c>
      <c r="AC645" s="14">
        <f>IF($AB645="","",M645-L645*Z645/100)</f>
        <v/>
      </c>
    </row>
    <row r="646">
      <c r="A646" s="12" t="n"/>
      <c r="B646">
        <f>IF($AB646="","",INDEX('Per Line'!$C$2:$C$4001,$AB646)&amp;"")</f>
        <v/>
      </c>
      <c r="C646">
        <f>IF($AB646="","",INDEX('Per Line'!$D$2:$D$4001,$AB646)&amp;"")</f>
        <v/>
      </c>
      <c r="D646">
        <f>IF($AB646="","",INDEX('Per Line'!$B$2:$B$4001,$AB646)&amp;"")</f>
        <v/>
      </c>
      <c r="E646">
        <f>IF($AB646="","",INDEX('Per Line'!$A$2:$A$4001,$AB646))</f>
        <v/>
      </c>
      <c r="F646" s="11">
        <f>IF($AB646="","",INDEX('Per Line'!$E$2:$E$4001,$AB646))</f>
        <v/>
      </c>
      <c r="G646">
        <f>IF($AB646="","",INDEX('Per Line'!$F$2:$F$4001,$AB646)&amp;"")</f>
        <v/>
      </c>
      <c r="H646">
        <f>IF($AB646="","",INDEX('Per Line'!$H$2:$H$4001,$AB646)&amp;"")</f>
        <v/>
      </c>
      <c r="I646">
        <f>IF($AB646="","",INDEX('Per Line'!$I$2:$I$4001,$AB646)&amp;"")</f>
        <v/>
      </c>
      <c r="J646">
        <f>IF($AB646="","",INDEX('Per Line'!$J$2:$J$4001,$AB646)&amp;"")</f>
        <v/>
      </c>
      <c r="K646">
        <f>IF($AB646="","",INDEX('Per Line'!$K$2:$K$4001,$AB646)&amp;"")</f>
        <v/>
      </c>
      <c r="L646">
        <f>IF($AB646="","",INDEX('Per Line'!$L$2:$L$4001,$AB646))</f>
        <v/>
      </c>
      <c r="M646" s="7">
        <f>IF($AB646="","",IF(AND(ISNUMBER(O646),O646&gt;0,Z646&gt;O646),L646*O646/100+(Z646-O646),L646*Z646/100))</f>
        <v/>
      </c>
      <c r="N646">
        <f>IF($AB646="","",INDEX('Per Line'!$V$2:$V$4001,$AB646)&amp;"")</f>
        <v/>
      </c>
      <c r="O646">
        <f>IF($AB646="","",INDEX('Per Line'!$Z$2:$Z$4001,$AB646))</f>
        <v/>
      </c>
      <c r="P646">
        <f>IF($AB646="","",IF(AND(ISNUMBER(O646),O646&gt;0),Z646&gt;O646,FALSE))</f>
        <v/>
      </c>
      <c r="Q646" s="7">
        <f>IF($AB646="","",SUMIFS('Per Line'!$U$2:$U$4001,'Per Line'!$C$2:$C$4001,$B646,'Per Line'!$AM$2:$AM$4001,1))</f>
        <v/>
      </c>
      <c r="R646">
        <f>IF($AB646="","",Settings!$C$7)</f>
        <v/>
      </c>
      <c r="S646" s="7">
        <f>IF($AB646="","",SUMIFS('Per Line'!$U$2:$U$4001,'Per Line'!$C$2:$C$4001,$B646,'Per Line'!$AL$2:$AL$4001,0,'Per Line'!$AM$2:$AM$4001,0))</f>
        <v/>
      </c>
      <c r="T646" s="7">
        <f>IF($AB646="","",S646*R646)</f>
        <v/>
      </c>
      <c r="U646">
        <f>IF($AB646="","",Settings!$C$6)</f>
        <v/>
      </c>
      <c r="V646" s="7">
        <f>IF($AB646="","",SUMIFS('Per Line'!$U$2:$U$4001,'Per Line'!$C$2:$C$4001,$B646,'Per Line'!$AL$2:$AL$4001,1,'Per Line'!$AM$2:$AM$4001,0))</f>
        <v/>
      </c>
      <c r="W646" s="7">
        <f>IF($AB646="","",V646*U646)</f>
        <v/>
      </c>
      <c r="X646" s="7">
        <f>IF($AB646="","",W646+T646)</f>
        <v/>
      </c>
      <c r="Y646" s="7">
        <f>IF($AB646="","",Z646-X646)</f>
        <v/>
      </c>
      <c r="Z646" s="7">
        <f>IF($AB646="","",S646+V646+Q646)</f>
        <v/>
      </c>
      <c r="AA646" s="7">
        <f>IF($AB646="","",Z646-X646-M646)</f>
        <v/>
      </c>
      <c r="AB646" s="13">
        <f>IF(ROWS($AB$2:$AB646)&lt;=MAX('Per Line'!$AK$2:$AK$4001),MATCH(ROWS($AB$2:$AB646),'Per Line'!$AK$2:$AK$4001,0),"")</f>
        <v/>
      </c>
      <c r="AC646" s="14">
        <f>IF($AB646="","",M646-L646*Z646/100)</f>
        <v/>
      </c>
    </row>
    <row r="647">
      <c r="A647" s="12" t="n"/>
      <c r="B647">
        <f>IF($AB647="","",INDEX('Per Line'!$C$2:$C$4001,$AB647)&amp;"")</f>
        <v/>
      </c>
      <c r="C647">
        <f>IF($AB647="","",INDEX('Per Line'!$D$2:$D$4001,$AB647)&amp;"")</f>
        <v/>
      </c>
      <c r="D647">
        <f>IF($AB647="","",INDEX('Per Line'!$B$2:$B$4001,$AB647)&amp;"")</f>
        <v/>
      </c>
      <c r="E647">
        <f>IF($AB647="","",INDEX('Per Line'!$A$2:$A$4001,$AB647))</f>
        <v/>
      </c>
      <c r="F647" s="11">
        <f>IF($AB647="","",INDEX('Per Line'!$E$2:$E$4001,$AB647))</f>
        <v/>
      </c>
      <c r="G647">
        <f>IF($AB647="","",INDEX('Per Line'!$F$2:$F$4001,$AB647)&amp;"")</f>
        <v/>
      </c>
      <c r="H647">
        <f>IF($AB647="","",INDEX('Per Line'!$H$2:$H$4001,$AB647)&amp;"")</f>
        <v/>
      </c>
      <c r="I647">
        <f>IF($AB647="","",INDEX('Per Line'!$I$2:$I$4001,$AB647)&amp;"")</f>
        <v/>
      </c>
      <c r="J647">
        <f>IF($AB647="","",INDEX('Per Line'!$J$2:$J$4001,$AB647)&amp;"")</f>
        <v/>
      </c>
      <c r="K647">
        <f>IF($AB647="","",INDEX('Per Line'!$K$2:$K$4001,$AB647)&amp;"")</f>
        <v/>
      </c>
      <c r="L647">
        <f>IF($AB647="","",INDEX('Per Line'!$L$2:$L$4001,$AB647))</f>
        <v/>
      </c>
      <c r="M647" s="7">
        <f>IF($AB647="","",IF(AND(ISNUMBER(O647),O647&gt;0,Z647&gt;O647),L647*O647/100+(Z647-O647),L647*Z647/100))</f>
        <v/>
      </c>
      <c r="N647">
        <f>IF($AB647="","",INDEX('Per Line'!$V$2:$V$4001,$AB647)&amp;"")</f>
        <v/>
      </c>
      <c r="O647">
        <f>IF($AB647="","",INDEX('Per Line'!$Z$2:$Z$4001,$AB647))</f>
        <v/>
      </c>
      <c r="P647">
        <f>IF($AB647="","",IF(AND(ISNUMBER(O647),O647&gt;0),Z647&gt;O647,FALSE))</f>
        <v/>
      </c>
      <c r="Q647" s="7">
        <f>IF($AB647="","",SUMIFS('Per Line'!$U$2:$U$4001,'Per Line'!$C$2:$C$4001,$B647,'Per Line'!$AM$2:$AM$4001,1))</f>
        <v/>
      </c>
      <c r="R647">
        <f>IF($AB647="","",Settings!$C$7)</f>
        <v/>
      </c>
      <c r="S647" s="7">
        <f>IF($AB647="","",SUMIFS('Per Line'!$U$2:$U$4001,'Per Line'!$C$2:$C$4001,$B647,'Per Line'!$AL$2:$AL$4001,0,'Per Line'!$AM$2:$AM$4001,0))</f>
        <v/>
      </c>
      <c r="T647" s="7">
        <f>IF($AB647="","",S647*R647)</f>
        <v/>
      </c>
      <c r="U647">
        <f>IF($AB647="","",Settings!$C$6)</f>
        <v/>
      </c>
      <c r="V647" s="7">
        <f>IF($AB647="","",SUMIFS('Per Line'!$U$2:$U$4001,'Per Line'!$C$2:$C$4001,$B647,'Per Line'!$AL$2:$AL$4001,1,'Per Line'!$AM$2:$AM$4001,0))</f>
        <v/>
      </c>
      <c r="W647" s="7">
        <f>IF($AB647="","",V647*U647)</f>
        <v/>
      </c>
      <c r="X647" s="7">
        <f>IF($AB647="","",W647+T647)</f>
        <v/>
      </c>
      <c r="Y647" s="7">
        <f>IF($AB647="","",Z647-X647)</f>
        <v/>
      </c>
      <c r="Z647" s="7">
        <f>IF($AB647="","",S647+V647+Q647)</f>
        <v/>
      </c>
      <c r="AA647" s="7">
        <f>IF($AB647="","",Z647-X647-M647)</f>
        <v/>
      </c>
      <c r="AB647" s="13">
        <f>IF(ROWS($AB$2:$AB647)&lt;=MAX('Per Line'!$AK$2:$AK$4001),MATCH(ROWS($AB$2:$AB647),'Per Line'!$AK$2:$AK$4001,0),"")</f>
        <v/>
      </c>
      <c r="AC647" s="14">
        <f>IF($AB647="","",M647-L647*Z647/100)</f>
        <v/>
      </c>
    </row>
    <row r="648">
      <c r="A648" s="12" t="n"/>
      <c r="B648">
        <f>IF($AB648="","",INDEX('Per Line'!$C$2:$C$4001,$AB648)&amp;"")</f>
        <v/>
      </c>
      <c r="C648">
        <f>IF($AB648="","",INDEX('Per Line'!$D$2:$D$4001,$AB648)&amp;"")</f>
        <v/>
      </c>
      <c r="D648">
        <f>IF($AB648="","",INDEX('Per Line'!$B$2:$B$4001,$AB648)&amp;"")</f>
        <v/>
      </c>
      <c r="E648">
        <f>IF($AB648="","",INDEX('Per Line'!$A$2:$A$4001,$AB648))</f>
        <v/>
      </c>
      <c r="F648" s="11">
        <f>IF($AB648="","",INDEX('Per Line'!$E$2:$E$4001,$AB648))</f>
        <v/>
      </c>
      <c r="G648">
        <f>IF($AB648="","",INDEX('Per Line'!$F$2:$F$4001,$AB648)&amp;"")</f>
        <v/>
      </c>
      <c r="H648">
        <f>IF($AB648="","",INDEX('Per Line'!$H$2:$H$4001,$AB648)&amp;"")</f>
        <v/>
      </c>
      <c r="I648">
        <f>IF($AB648="","",INDEX('Per Line'!$I$2:$I$4001,$AB648)&amp;"")</f>
        <v/>
      </c>
      <c r="J648">
        <f>IF($AB648="","",INDEX('Per Line'!$J$2:$J$4001,$AB648)&amp;"")</f>
        <v/>
      </c>
      <c r="K648">
        <f>IF($AB648="","",INDEX('Per Line'!$K$2:$K$4001,$AB648)&amp;"")</f>
        <v/>
      </c>
      <c r="L648">
        <f>IF($AB648="","",INDEX('Per Line'!$L$2:$L$4001,$AB648))</f>
        <v/>
      </c>
      <c r="M648" s="7">
        <f>IF($AB648="","",IF(AND(ISNUMBER(O648),O648&gt;0,Z648&gt;O648),L648*O648/100+(Z648-O648),L648*Z648/100))</f>
        <v/>
      </c>
      <c r="N648">
        <f>IF($AB648="","",INDEX('Per Line'!$V$2:$V$4001,$AB648)&amp;"")</f>
        <v/>
      </c>
      <c r="O648">
        <f>IF($AB648="","",INDEX('Per Line'!$Z$2:$Z$4001,$AB648))</f>
        <v/>
      </c>
      <c r="P648">
        <f>IF($AB648="","",IF(AND(ISNUMBER(O648),O648&gt;0),Z648&gt;O648,FALSE))</f>
        <v/>
      </c>
      <c r="Q648" s="7">
        <f>IF($AB648="","",SUMIFS('Per Line'!$U$2:$U$4001,'Per Line'!$C$2:$C$4001,$B648,'Per Line'!$AM$2:$AM$4001,1))</f>
        <v/>
      </c>
      <c r="R648">
        <f>IF($AB648="","",Settings!$C$7)</f>
        <v/>
      </c>
      <c r="S648" s="7">
        <f>IF($AB648="","",SUMIFS('Per Line'!$U$2:$U$4001,'Per Line'!$C$2:$C$4001,$B648,'Per Line'!$AL$2:$AL$4001,0,'Per Line'!$AM$2:$AM$4001,0))</f>
        <v/>
      </c>
      <c r="T648" s="7">
        <f>IF($AB648="","",S648*R648)</f>
        <v/>
      </c>
      <c r="U648">
        <f>IF($AB648="","",Settings!$C$6)</f>
        <v/>
      </c>
      <c r="V648" s="7">
        <f>IF($AB648="","",SUMIFS('Per Line'!$U$2:$U$4001,'Per Line'!$C$2:$C$4001,$B648,'Per Line'!$AL$2:$AL$4001,1,'Per Line'!$AM$2:$AM$4001,0))</f>
        <v/>
      </c>
      <c r="W648" s="7">
        <f>IF($AB648="","",V648*U648)</f>
        <v/>
      </c>
      <c r="X648" s="7">
        <f>IF($AB648="","",W648+T648)</f>
        <v/>
      </c>
      <c r="Y648" s="7">
        <f>IF($AB648="","",Z648-X648)</f>
        <v/>
      </c>
      <c r="Z648" s="7">
        <f>IF($AB648="","",S648+V648+Q648)</f>
        <v/>
      </c>
      <c r="AA648" s="7">
        <f>IF($AB648="","",Z648-X648-M648)</f>
        <v/>
      </c>
      <c r="AB648" s="13">
        <f>IF(ROWS($AB$2:$AB648)&lt;=MAX('Per Line'!$AK$2:$AK$4001),MATCH(ROWS($AB$2:$AB648),'Per Line'!$AK$2:$AK$4001,0),"")</f>
        <v/>
      </c>
      <c r="AC648" s="14">
        <f>IF($AB648="","",M648-L648*Z648/100)</f>
        <v/>
      </c>
    </row>
    <row r="649">
      <c r="A649" s="12" t="n"/>
      <c r="B649">
        <f>IF($AB649="","",INDEX('Per Line'!$C$2:$C$4001,$AB649)&amp;"")</f>
        <v/>
      </c>
      <c r="C649">
        <f>IF($AB649="","",INDEX('Per Line'!$D$2:$D$4001,$AB649)&amp;"")</f>
        <v/>
      </c>
      <c r="D649">
        <f>IF($AB649="","",INDEX('Per Line'!$B$2:$B$4001,$AB649)&amp;"")</f>
        <v/>
      </c>
      <c r="E649">
        <f>IF($AB649="","",INDEX('Per Line'!$A$2:$A$4001,$AB649))</f>
        <v/>
      </c>
      <c r="F649" s="11">
        <f>IF($AB649="","",INDEX('Per Line'!$E$2:$E$4001,$AB649))</f>
        <v/>
      </c>
      <c r="G649">
        <f>IF($AB649="","",INDEX('Per Line'!$F$2:$F$4001,$AB649)&amp;"")</f>
        <v/>
      </c>
      <c r="H649">
        <f>IF($AB649="","",INDEX('Per Line'!$H$2:$H$4001,$AB649)&amp;"")</f>
        <v/>
      </c>
      <c r="I649">
        <f>IF($AB649="","",INDEX('Per Line'!$I$2:$I$4001,$AB649)&amp;"")</f>
        <v/>
      </c>
      <c r="J649">
        <f>IF($AB649="","",INDEX('Per Line'!$J$2:$J$4001,$AB649)&amp;"")</f>
        <v/>
      </c>
      <c r="K649">
        <f>IF($AB649="","",INDEX('Per Line'!$K$2:$K$4001,$AB649)&amp;"")</f>
        <v/>
      </c>
      <c r="L649">
        <f>IF($AB649="","",INDEX('Per Line'!$L$2:$L$4001,$AB649))</f>
        <v/>
      </c>
      <c r="M649" s="7">
        <f>IF($AB649="","",IF(AND(ISNUMBER(O649),O649&gt;0,Z649&gt;O649),L649*O649/100+(Z649-O649),L649*Z649/100))</f>
        <v/>
      </c>
      <c r="N649">
        <f>IF($AB649="","",INDEX('Per Line'!$V$2:$V$4001,$AB649)&amp;"")</f>
        <v/>
      </c>
      <c r="O649">
        <f>IF($AB649="","",INDEX('Per Line'!$Z$2:$Z$4001,$AB649))</f>
        <v/>
      </c>
      <c r="P649">
        <f>IF($AB649="","",IF(AND(ISNUMBER(O649),O649&gt;0),Z649&gt;O649,FALSE))</f>
        <v/>
      </c>
      <c r="Q649" s="7">
        <f>IF($AB649="","",SUMIFS('Per Line'!$U$2:$U$4001,'Per Line'!$C$2:$C$4001,$B649,'Per Line'!$AM$2:$AM$4001,1))</f>
        <v/>
      </c>
      <c r="R649">
        <f>IF($AB649="","",Settings!$C$7)</f>
        <v/>
      </c>
      <c r="S649" s="7">
        <f>IF($AB649="","",SUMIFS('Per Line'!$U$2:$U$4001,'Per Line'!$C$2:$C$4001,$B649,'Per Line'!$AL$2:$AL$4001,0,'Per Line'!$AM$2:$AM$4001,0))</f>
        <v/>
      </c>
      <c r="T649" s="7">
        <f>IF($AB649="","",S649*R649)</f>
        <v/>
      </c>
      <c r="U649">
        <f>IF($AB649="","",Settings!$C$6)</f>
        <v/>
      </c>
      <c r="V649" s="7">
        <f>IF($AB649="","",SUMIFS('Per Line'!$U$2:$U$4001,'Per Line'!$C$2:$C$4001,$B649,'Per Line'!$AL$2:$AL$4001,1,'Per Line'!$AM$2:$AM$4001,0))</f>
        <v/>
      </c>
      <c r="W649" s="7">
        <f>IF($AB649="","",V649*U649)</f>
        <v/>
      </c>
      <c r="X649" s="7">
        <f>IF($AB649="","",W649+T649)</f>
        <v/>
      </c>
      <c r="Y649" s="7">
        <f>IF($AB649="","",Z649-X649)</f>
        <v/>
      </c>
      <c r="Z649" s="7">
        <f>IF($AB649="","",S649+V649+Q649)</f>
        <v/>
      </c>
      <c r="AA649" s="7">
        <f>IF($AB649="","",Z649-X649-M649)</f>
        <v/>
      </c>
      <c r="AB649" s="13">
        <f>IF(ROWS($AB$2:$AB649)&lt;=MAX('Per Line'!$AK$2:$AK$4001),MATCH(ROWS($AB$2:$AB649),'Per Line'!$AK$2:$AK$4001,0),"")</f>
        <v/>
      </c>
      <c r="AC649" s="14">
        <f>IF($AB649="","",M649-L649*Z649/100)</f>
        <v/>
      </c>
    </row>
    <row r="650">
      <c r="A650" s="12" t="n"/>
      <c r="B650">
        <f>IF($AB650="","",INDEX('Per Line'!$C$2:$C$4001,$AB650)&amp;"")</f>
        <v/>
      </c>
      <c r="C650">
        <f>IF($AB650="","",INDEX('Per Line'!$D$2:$D$4001,$AB650)&amp;"")</f>
        <v/>
      </c>
      <c r="D650">
        <f>IF($AB650="","",INDEX('Per Line'!$B$2:$B$4001,$AB650)&amp;"")</f>
        <v/>
      </c>
      <c r="E650">
        <f>IF($AB650="","",INDEX('Per Line'!$A$2:$A$4001,$AB650))</f>
        <v/>
      </c>
      <c r="F650" s="11">
        <f>IF($AB650="","",INDEX('Per Line'!$E$2:$E$4001,$AB650))</f>
        <v/>
      </c>
      <c r="G650">
        <f>IF($AB650="","",INDEX('Per Line'!$F$2:$F$4001,$AB650)&amp;"")</f>
        <v/>
      </c>
      <c r="H650">
        <f>IF($AB650="","",INDEX('Per Line'!$H$2:$H$4001,$AB650)&amp;"")</f>
        <v/>
      </c>
      <c r="I650">
        <f>IF($AB650="","",INDEX('Per Line'!$I$2:$I$4001,$AB650)&amp;"")</f>
        <v/>
      </c>
      <c r="J650">
        <f>IF($AB650="","",INDEX('Per Line'!$J$2:$J$4001,$AB650)&amp;"")</f>
        <v/>
      </c>
      <c r="K650">
        <f>IF($AB650="","",INDEX('Per Line'!$K$2:$K$4001,$AB650)&amp;"")</f>
        <v/>
      </c>
      <c r="L650">
        <f>IF($AB650="","",INDEX('Per Line'!$L$2:$L$4001,$AB650))</f>
        <v/>
      </c>
      <c r="M650" s="7">
        <f>IF($AB650="","",IF(AND(ISNUMBER(O650),O650&gt;0,Z650&gt;O650),L650*O650/100+(Z650-O650),L650*Z650/100))</f>
        <v/>
      </c>
      <c r="N650">
        <f>IF($AB650="","",INDEX('Per Line'!$V$2:$V$4001,$AB650)&amp;"")</f>
        <v/>
      </c>
      <c r="O650">
        <f>IF($AB650="","",INDEX('Per Line'!$Z$2:$Z$4001,$AB650))</f>
        <v/>
      </c>
      <c r="P650">
        <f>IF($AB650="","",IF(AND(ISNUMBER(O650),O650&gt;0),Z650&gt;O650,FALSE))</f>
        <v/>
      </c>
      <c r="Q650" s="7">
        <f>IF($AB650="","",SUMIFS('Per Line'!$U$2:$U$4001,'Per Line'!$C$2:$C$4001,$B650,'Per Line'!$AM$2:$AM$4001,1))</f>
        <v/>
      </c>
      <c r="R650">
        <f>IF($AB650="","",Settings!$C$7)</f>
        <v/>
      </c>
      <c r="S650" s="7">
        <f>IF($AB650="","",SUMIFS('Per Line'!$U$2:$U$4001,'Per Line'!$C$2:$C$4001,$B650,'Per Line'!$AL$2:$AL$4001,0,'Per Line'!$AM$2:$AM$4001,0))</f>
        <v/>
      </c>
      <c r="T650" s="7">
        <f>IF($AB650="","",S650*R650)</f>
        <v/>
      </c>
      <c r="U650">
        <f>IF($AB650="","",Settings!$C$6)</f>
        <v/>
      </c>
      <c r="V650" s="7">
        <f>IF($AB650="","",SUMIFS('Per Line'!$U$2:$U$4001,'Per Line'!$C$2:$C$4001,$B650,'Per Line'!$AL$2:$AL$4001,1,'Per Line'!$AM$2:$AM$4001,0))</f>
        <v/>
      </c>
      <c r="W650" s="7">
        <f>IF($AB650="","",V650*U650)</f>
        <v/>
      </c>
      <c r="X650" s="7">
        <f>IF($AB650="","",W650+T650)</f>
        <v/>
      </c>
      <c r="Y650" s="7">
        <f>IF($AB650="","",Z650-X650)</f>
        <v/>
      </c>
      <c r="Z650" s="7">
        <f>IF($AB650="","",S650+V650+Q650)</f>
        <v/>
      </c>
      <c r="AA650" s="7">
        <f>IF($AB650="","",Z650-X650-M650)</f>
        <v/>
      </c>
      <c r="AB650" s="13">
        <f>IF(ROWS($AB$2:$AB650)&lt;=MAX('Per Line'!$AK$2:$AK$4001),MATCH(ROWS($AB$2:$AB650),'Per Line'!$AK$2:$AK$4001,0),"")</f>
        <v/>
      </c>
      <c r="AC650" s="14">
        <f>IF($AB650="","",M650-L650*Z650/100)</f>
        <v/>
      </c>
    </row>
    <row r="651">
      <c r="A651" s="12" t="n"/>
      <c r="B651">
        <f>IF($AB651="","",INDEX('Per Line'!$C$2:$C$4001,$AB651)&amp;"")</f>
        <v/>
      </c>
      <c r="C651">
        <f>IF($AB651="","",INDEX('Per Line'!$D$2:$D$4001,$AB651)&amp;"")</f>
        <v/>
      </c>
      <c r="D651">
        <f>IF($AB651="","",INDEX('Per Line'!$B$2:$B$4001,$AB651)&amp;"")</f>
        <v/>
      </c>
      <c r="E651">
        <f>IF($AB651="","",INDEX('Per Line'!$A$2:$A$4001,$AB651))</f>
        <v/>
      </c>
      <c r="F651" s="11">
        <f>IF($AB651="","",INDEX('Per Line'!$E$2:$E$4001,$AB651))</f>
        <v/>
      </c>
      <c r="G651">
        <f>IF($AB651="","",INDEX('Per Line'!$F$2:$F$4001,$AB651)&amp;"")</f>
        <v/>
      </c>
      <c r="H651">
        <f>IF($AB651="","",INDEX('Per Line'!$H$2:$H$4001,$AB651)&amp;"")</f>
        <v/>
      </c>
      <c r="I651">
        <f>IF($AB651="","",INDEX('Per Line'!$I$2:$I$4001,$AB651)&amp;"")</f>
        <v/>
      </c>
      <c r="J651">
        <f>IF($AB651="","",INDEX('Per Line'!$J$2:$J$4001,$AB651)&amp;"")</f>
        <v/>
      </c>
      <c r="K651">
        <f>IF($AB651="","",INDEX('Per Line'!$K$2:$K$4001,$AB651)&amp;"")</f>
        <v/>
      </c>
      <c r="L651">
        <f>IF($AB651="","",INDEX('Per Line'!$L$2:$L$4001,$AB651))</f>
        <v/>
      </c>
      <c r="M651" s="7">
        <f>IF($AB651="","",IF(AND(ISNUMBER(O651),O651&gt;0,Z651&gt;O651),L651*O651/100+(Z651-O651),L651*Z651/100))</f>
        <v/>
      </c>
      <c r="N651">
        <f>IF($AB651="","",INDEX('Per Line'!$V$2:$V$4001,$AB651)&amp;"")</f>
        <v/>
      </c>
      <c r="O651">
        <f>IF($AB651="","",INDEX('Per Line'!$Z$2:$Z$4001,$AB651))</f>
        <v/>
      </c>
      <c r="P651">
        <f>IF($AB651="","",IF(AND(ISNUMBER(O651),O651&gt;0),Z651&gt;O651,FALSE))</f>
        <v/>
      </c>
      <c r="Q651" s="7">
        <f>IF($AB651="","",SUMIFS('Per Line'!$U$2:$U$4001,'Per Line'!$C$2:$C$4001,$B651,'Per Line'!$AM$2:$AM$4001,1))</f>
        <v/>
      </c>
      <c r="R651">
        <f>IF($AB651="","",Settings!$C$7)</f>
        <v/>
      </c>
      <c r="S651" s="7">
        <f>IF($AB651="","",SUMIFS('Per Line'!$U$2:$U$4001,'Per Line'!$C$2:$C$4001,$B651,'Per Line'!$AL$2:$AL$4001,0,'Per Line'!$AM$2:$AM$4001,0))</f>
        <v/>
      </c>
      <c r="T651" s="7">
        <f>IF($AB651="","",S651*R651)</f>
        <v/>
      </c>
      <c r="U651">
        <f>IF($AB651="","",Settings!$C$6)</f>
        <v/>
      </c>
      <c r="V651" s="7">
        <f>IF($AB651="","",SUMIFS('Per Line'!$U$2:$U$4001,'Per Line'!$C$2:$C$4001,$B651,'Per Line'!$AL$2:$AL$4001,1,'Per Line'!$AM$2:$AM$4001,0))</f>
        <v/>
      </c>
      <c r="W651" s="7">
        <f>IF($AB651="","",V651*U651)</f>
        <v/>
      </c>
      <c r="X651" s="7">
        <f>IF($AB651="","",W651+T651)</f>
        <v/>
      </c>
      <c r="Y651" s="7">
        <f>IF($AB651="","",Z651-X651)</f>
        <v/>
      </c>
      <c r="Z651" s="7">
        <f>IF($AB651="","",S651+V651+Q651)</f>
        <v/>
      </c>
      <c r="AA651" s="7">
        <f>IF($AB651="","",Z651-X651-M651)</f>
        <v/>
      </c>
      <c r="AB651" s="13">
        <f>IF(ROWS($AB$2:$AB651)&lt;=MAX('Per Line'!$AK$2:$AK$4001),MATCH(ROWS($AB$2:$AB651),'Per Line'!$AK$2:$AK$4001,0),"")</f>
        <v/>
      </c>
      <c r="AC651" s="14">
        <f>IF($AB651="","",M651-L651*Z651/100)</f>
        <v/>
      </c>
    </row>
    <row r="652">
      <c r="A652" s="12" t="n"/>
      <c r="B652">
        <f>IF($AB652="","",INDEX('Per Line'!$C$2:$C$4001,$AB652)&amp;"")</f>
        <v/>
      </c>
      <c r="C652">
        <f>IF($AB652="","",INDEX('Per Line'!$D$2:$D$4001,$AB652)&amp;"")</f>
        <v/>
      </c>
      <c r="D652">
        <f>IF($AB652="","",INDEX('Per Line'!$B$2:$B$4001,$AB652)&amp;"")</f>
        <v/>
      </c>
      <c r="E652">
        <f>IF($AB652="","",INDEX('Per Line'!$A$2:$A$4001,$AB652))</f>
        <v/>
      </c>
      <c r="F652" s="11">
        <f>IF($AB652="","",INDEX('Per Line'!$E$2:$E$4001,$AB652))</f>
        <v/>
      </c>
      <c r="G652">
        <f>IF($AB652="","",INDEX('Per Line'!$F$2:$F$4001,$AB652)&amp;"")</f>
        <v/>
      </c>
      <c r="H652">
        <f>IF($AB652="","",INDEX('Per Line'!$H$2:$H$4001,$AB652)&amp;"")</f>
        <v/>
      </c>
      <c r="I652">
        <f>IF($AB652="","",INDEX('Per Line'!$I$2:$I$4001,$AB652)&amp;"")</f>
        <v/>
      </c>
      <c r="J652">
        <f>IF($AB652="","",INDEX('Per Line'!$J$2:$J$4001,$AB652)&amp;"")</f>
        <v/>
      </c>
      <c r="K652">
        <f>IF($AB652="","",INDEX('Per Line'!$K$2:$K$4001,$AB652)&amp;"")</f>
        <v/>
      </c>
      <c r="L652">
        <f>IF($AB652="","",INDEX('Per Line'!$L$2:$L$4001,$AB652))</f>
        <v/>
      </c>
      <c r="M652" s="7">
        <f>IF($AB652="","",IF(AND(ISNUMBER(O652),O652&gt;0,Z652&gt;O652),L652*O652/100+(Z652-O652),L652*Z652/100))</f>
        <v/>
      </c>
      <c r="N652">
        <f>IF($AB652="","",INDEX('Per Line'!$V$2:$V$4001,$AB652)&amp;"")</f>
        <v/>
      </c>
      <c r="O652">
        <f>IF($AB652="","",INDEX('Per Line'!$Z$2:$Z$4001,$AB652))</f>
        <v/>
      </c>
      <c r="P652">
        <f>IF($AB652="","",IF(AND(ISNUMBER(O652),O652&gt;0),Z652&gt;O652,FALSE))</f>
        <v/>
      </c>
      <c r="Q652" s="7">
        <f>IF($AB652="","",SUMIFS('Per Line'!$U$2:$U$4001,'Per Line'!$C$2:$C$4001,$B652,'Per Line'!$AM$2:$AM$4001,1))</f>
        <v/>
      </c>
      <c r="R652">
        <f>IF($AB652="","",Settings!$C$7)</f>
        <v/>
      </c>
      <c r="S652" s="7">
        <f>IF($AB652="","",SUMIFS('Per Line'!$U$2:$U$4001,'Per Line'!$C$2:$C$4001,$B652,'Per Line'!$AL$2:$AL$4001,0,'Per Line'!$AM$2:$AM$4001,0))</f>
        <v/>
      </c>
      <c r="T652" s="7">
        <f>IF($AB652="","",S652*R652)</f>
        <v/>
      </c>
      <c r="U652">
        <f>IF($AB652="","",Settings!$C$6)</f>
        <v/>
      </c>
      <c r="V652" s="7">
        <f>IF($AB652="","",SUMIFS('Per Line'!$U$2:$U$4001,'Per Line'!$C$2:$C$4001,$B652,'Per Line'!$AL$2:$AL$4001,1,'Per Line'!$AM$2:$AM$4001,0))</f>
        <v/>
      </c>
      <c r="W652" s="7">
        <f>IF($AB652="","",V652*U652)</f>
        <v/>
      </c>
      <c r="X652" s="7">
        <f>IF($AB652="","",W652+T652)</f>
        <v/>
      </c>
      <c r="Y652" s="7">
        <f>IF($AB652="","",Z652-X652)</f>
        <v/>
      </c>
      <c r="Z652" s="7">
        <f>IF($AB652="","",S652+V652+Q652)</f>
        <v/>
      </c>
      <c r="AA652" s="7">
        <f>IF($AB652="","",Z652-X652-M652)</f>
        <v/>
      </c>
      <c r="AB652" s="13">
        <f>IF(ROWS($AB$2:$AB652)&lt;=MAX('Per Line'!$AK$2:$AK$4001),MATCH(ROWS($AB$2:$AB652),'Per Line'!$AK$2:$AK$4001,0),"")</f>
        <v/>
      </c>
      <c r="AC652" s="14">
        <f>IF($AB652="","",M652-L652*Z652/100)</f>
        <v/>
      </c>
    </row>
    <row r="653">
      <c r="A653" s="12" t="n"/>
      <c r="B653">
        <f>IF($AB653="","",INDEX('Per Line'!$C$2:$C$4001,$AB653)&amp;"")</f>
        <v/>
      </c>
      <c r="C653">
        <f>IF($AB653="","",INDEX('Per Line'!$D$2:$D$4001,$AB653)&amp;"")</f>
        <v/>
      </c>
      <c r="D653">
        <f>IF($AB653="","",INDEX('Per Line'!$B$2:$B$4001,$AB653)&amp;"")</f>
        <v/>
      </c>
      <c r="E653">
        <f>IF($AB653="","",INDEX('Per Line'!$A$2:$A$4001,$AB653))</f>
        <v/>
      </c>
      <c r="F653" s="11">
        <f>IF($AB653="","",INDEX('Per Line'!$E$2:$E$4001,$AB653))</f>
        <v/>
      </c>
      <c r="G653">
        <f>IF($AB653="","",INDEX('Per Line'!$F$2:$F$4001,$AB653)&amp;"")</f>
        <v/>
      </c>
      <c r="H653">
        <f>IF($AB653="","",INDEX('Per Line'!$H$2:$H$4001,$AB653)&amp;"")</f>
        <v/>
      </c>
      <c r="I653">
        <f>IF($AB653="","",INDEX('Per Line'!$I$2:$I$4001,$AB653)&amp;"")</f>
        <v/>
      </c>
      <c r="J653">
        <f>IF($AB653="","",INDEX('Per Line'!$J$2:$J$4001,$AB653)&amp;"")</f>
        <v/>
      </c>
      <c r="K653">
        <f>IF($AB653="","",INDEX('Per Line'!$K$2:$K$4001,$AB653)&amp;"")</f>
        <v/>
      </c>
      <c r="L653">
        <f>IF($AB653="","",INDEX('Per Line'!$L$2:$L$4001,$AB653))</f>
        <v/>
      </c>
      <c r="M653" s="7">
        <f>IF($AB653="","",IF(AND(ISNUMBER(O653),O653&gt;0,Z653&gt;O653),L653*O653/100+(Z653-O653),L653*Z653/100))</f>
        <v/>
      </c>
      <c r="N653">
        <f>IF($AB653="","",INDEX('Per Line'!$V$2:$V$4001,$AB653)&amp;"")</f>
        <v/>
      </c>
      <c r="O653">
        <f>IF($AB653="","",INDEX('Per Line'!$Z$2:$Z$4001,$AB653))</f>
        <v/>
      </c>
      <c r="P653">
        <f>IF($AB653="","",IF(AND(ISNUMBER(O653),O653&gt;0),Z653&gt;O653,FALSE))</f>
        <v/>
      </c>
      <c r="Q653" s="7">
        <f>IF($AB653="","",SUMIFS('Per Line'!$U$2:$U$4001,'Per Line'!$C$2:$C$4001,$B653,'Per Line'!$AM$2:$AM$4001,1))</f>
        <v/>
      </c>
      <c r="R653">
        <f>IF($AB653="","",Settings!$C$7)</f>
        <v/>
      </c>
      <c r="S653" s="7">
        <f>IF($AB653="","",SUMIFS('Per Line'!$U$2:$U$4001,'Per Line'!$C$2:$C$4001,$B653,'Per Line'!$AL$2:$AL$4001,0,'Per Line'!$AM$2:$AM$4001,0))</f>
        <v/>
      </c>
      <c r="T653" s="7">
        <f>IF($AB653="","",S653*R653)</f>
        <v/>
      </c>
      <c r="U653">
        <f>IF($AB653="","",Settings!$C$6)</f>
        <v/>
      </c>
      <c r="V653" s="7">
        <f>IF($AB653="","",SUMIFS('Per Line'!$U$2:$U$4001,'Per Line'!$C$2:$C$4001,$B653,'Per Line'!$AL$2:$AL$4001,1,'Per Line'!$AM$2:$AM$4001,0))</f>
        <v/>
      </c>
      <c r="W653" s="7">
        <f>IF($AB653="","",V653*U653)</f>
        <v/>
      </c>
      <c r="X653" s="7">
        <f>IF($AB653="","",W653+T653)</f>
        <v/>
      </c>
      <c r="Y653" s="7">
        <f>IF($AB653="","",Z653-X653)</f>
        <v/>
      </c>
      <c r="Z653" s="7">
        <f>IF($AB653="","",S653+V653+Q653)</f>
        <v/>
      </c>
      <c r="AA653" s="7">
        <f>IF($AB653="","",Z653-X653-M653)</f>
        <v/>
      </c>
      <c r="AB653" s="13">
        <f>IF(ROWS($AB$2:$AB653)&lt;=MAX('Per Line'!$AK$2:$AK$4001),MATCH(ROWS($AB$2:$AB653),'Per Line'!$AK$2:$AK$4001,0),"")</f>
        <v/>
      </c>
      <c r="AC653" s="14">
        <f>IF($AB653="","",M653-L653*Z653/100)</f>
        <v/>
      </c>
    </row>
    <row r="654">
      <c r="A654" s="12" t="n"/>
      <c r="B654">
        <f>IF($AB654="","",INDEX('Per Line'!$C$2:$C$4001,$AB654)&amp;"")</f>
        <v/>
      </c>
      <c r="C654">
        <f>IF($AB654="","",INDEX('Per Line'!$D$2:$D$4001,$AB654)&amp;"")</f>
        <v/>
      </c>
      <c r="D654">
        <f>IF($AB654="","",INDEX('Per Line'!$B$2:$B$4001,$AB654)&amp;"")</f>
        <v/>
      </c>
      <c r="E654">
        <f>IF($AB654="","",INDEX('Per Line'!$A$2:$A$4001,$AB654))</f>
        <v/>
      </c>
      <c r="F654" s="11">
        <f>IF($AB654="","",INDEX('Per Line'!$E$2:$E$4001,$AB654))</f>
        <v/>
      </c>
      <c r="G654">
        <f>IF($AB654="","",INDEX('Per Line'!$F$2:$F$4001,$AB654)&amp;"")</f>
        <v/>
      </c>
      <c r="H654">
        <f>IF($AB654="","",INDEX('Per Line'!$H$2:$H$4001,$AB654)&amp;"")</f>
        <v/>
      </c>
      <c r="I654">
        <f>IF($AB654="","",INDEX('Per Line'!$I$2:$I$4001,$AB654)&amp;"")</f>
        <v/>
      </c>
      <c r="J654">
        <f>IF($AB654="","",INDEX('Per Line'!$J$2:$J$4001,$AB654)&amp;"")</f>
        <v/>
      </c>
      <c r="K654">
        <f>IF($AB654="","",INDEX('Per Line'!$K$2:$K$4001,$AB654)&amp;"")</f>
        <v/>
      </c>
      <c r="L654">
        <f>IF($AB654="","",INDEX('Per Line'!$L$2:$L$4001,$AB654))</f>
        <v/>
      </c>
      <c r="M654" s="7">
        <f>IF($AB654="","",IF(AND(ISNUMBER(O654),O654&gt;0,Z654&gt;O654),L654*O654/100+(Z654-O654),L654*Z654/100))</f>
        <v/>
      </c>
      <c r="N654">
        <f>IF($AB654="","",INDEX('Per Line'!$V$2:$V$4001,$AB654)&amp;"")</f>
        <v/>
      </c>
      <c r="O654">
        <f>IF($AB654="","",INDEX('Per Line'!$Z$2:$Z$4001,$AB654))</f>
        <v/>
      </c>
      <c r="P654">
        <f>IF($AB654="","",IF(AND(ISNUMBER(O654),O654&gt;0),Z654&gt;O654,FALSE))</f>
        <v/>
      </c>
      <c r="Q654" s="7">
        <f>IF($AB654="","",SUMIFS('Per Line'!$U$2:$U$4001,'Per Line'!$C$2:$C$4001,$B654,'Per Line'!$AM$2:$AM$4001,1))</f>
        <v/>
      </c>
      <c r="R654">
        <f>IF($AB654="","",Settings!$C$7)</f>
        <v/>
      </c>
      <c r="S654" s="7">
        <f>IF($AB654="","",SUMIFS('Per Line'!$U$2:$U$4001,'Per Line'!$C$2:$C$4001,$B654,'Per Line'!$AL$2:$AL$4001,0,'Per Line'!$AM$2:$AM$4001,0))</f>
        <v/>
      </c>
      <c r="T654" s="7">
        <f>IF($AB654="","",S654*R654)</f>
        <v/>
      </c>
      <c r="U654">
        <f>IF($AB654="","",Settings!$C$6)</f>
        <v/>
      </c>
      <c r="V654" s="7">
        <f>IF($AB654="","",SUMIFS('Per Line'!$U$2:$U$4001,'Per Line'!$C$2:$C$4001,$B654,'Per Line'!$AL$2:$AL$4001,1,'Per Line'!$AM$2:$AM$4001,0))</f>
        <v/>
      </c>
      <c r="W654" s="7">
        <f>IF($AB654="","",V654*U654)</f>
        <v/>
      </c>
      <c r="X654" s="7">
        <f>IF($AB654="","",W654+T654)</f>
        <v/>
      </c>
      <c r="Y654" s="7">
        <f>IF($AB654="","",Z654-X654)</f>
        <v/>
      </c>
      <c r="Z654" s="7">
        <f>IF($AB654="","",S654+V654+Q654)</f>
        <v/>
      </c>
      <c r="AA654" s="7">
        <f>IF($AB654="","",Z654-X654-M654)</f>
        <v/>
      </c>
      <c r="AB654" s="13">
        <f>IF(ROWS($AB$2:$AB654)&lt;=MAX('Per Line'!$AK$2:$AK$4001),MATCH(ROWS($AB$2:$AB654),'Per Line'!$AK$2:$AK$4001,0),"")</f>
        <v/>
      </c>
      <c r="AC654" s="14">
        <f>IF($AB654="","",M654-L654*Z654/100)</f>
        <v/>
      </c>
    </row>
    <row r="655">
      <c r="A655" s="12" t="n"/>
      <c r="B655">
        <f>IF($AB655="","",INDEX('Per Line'!$C$2:$C$4001,$AB655)&amp;"")</f>
        <v/>
      </c>
      <c r="C655">
        <f>IF($AB655="","",INDEX('Per Line'!$D$2:$D$4001,$AB655)&amp;"")</f>
        <v/>
      </c>
      <c r="D655">
        <f>IF($AB655="","",INDEX('Per Line'!$B$2:$B$4001,$AB655)&amp;"")</f>
        <v/>
      </c>
      <c r="E655">
        <f>IF($AB655="","",INDEX('Per Line'!$A$2:$A$4001,$AB655))</f>
        <v/>
      </c>
      <c r="F655" s="11">
        <f>IF($AB655="","",INDEX('Per Line'!$E$2:$E$4001,$AB655))</f>
        <v/>
      </c>
      <c r="G655">
        <f>IF($AB655="","",INDEX('Per Line'!$F$2:$F$4001,$AB655)&amp;"")</f>
        <v/>
      </c>
      <c r="H655">
        <f>IF($AB655="","",INDEX('Per Line'!$H$2:$H$4001,$AB655)&amp;"")</f>
        <v/>
      </c>
      <c r="I655">
        <f>IF($AB655="","",INDEX('Per Line'!$I$2:$I$4001,$AB655)&amp;"")</f>
        <v/>
      </c>
      <c r="J655">
        <f>IF($AB655="","",INDEX('Per Line'!$J$2:$J$4001,$AB655)&amp;"")</f>
        <v/>
      </c>
      <c r="K655">
        <f>IF($AB655="","",INDEX('Per Line'!$K$2:$K$4001,$AB655)&amp;"")</f>
        <v/>
      </c>
      <c r="L655">
        <f>IF($AB655="","",INDEX('Per Line'!$L$2:$L$4001,$AB655))</f>
        <v/>
      </c>
      <c r="M655" s="7">
        <f>IF($AB655="","",IF(AND(ISNUMBER(O655),O655&gt;0,Z655&gt;O655),L655*O655/100+(Z655-O655),L655*Z655/100))</f>
        <v/>
      </c>
      <c r="N655">
        <f>IF($AB655="","",INDEX('Per Line'!$V$2:$V$4001,$AB655)&amp;"")</f>
        <v/>
      </c>
      <c r="O655">
        <f>IF($AB655="","",INDEX('Per Line'!$Z$2:$Z$4001,$AB655))</f>
        <v/>
      </c>
      <c r="P655">
        <f>IF($AB655="","",IF(AND(ISNUMBER(O655),O655&gt;0),Z655&gt;O655,FALSE))</f>
        <v/>
      </c>
      <c r="Q655" s="7">
        <f>IF($AB655="","",SUMIFS('Per Line'!$U$2:$U$4001,'Per Line'!$C$2:$C$4001,$B655,'Per Line'!$AM$2:$AM$4001,1))</f>
        <v/>
      </c>
      <c r="R655">
        <f>IF($AB655="","",Settings!$C$7)</f>
        <v/>
      </c>
      <c r="S655" s="7">
        <f>IF($AB655="","",SUMIFS('Per Line'!$U$2:$U$4001,'Per Line'!$C$2:$C$4001,$B655,'Per Line'!$AL$2:$AL$4001,0,'Per Line'!$AM$2:$AM$4001,0))</f>
        <v/>
      </c>
      <c r="T655" s="7">
        <f>IF($AB655="","",S655*R655)</f>
        <v/>
      </c>
      <c r="U655">
        <f>IF($AB655="","",Settings!$C$6)</f>
        <v/>
      </c>
      <c r="V655" s="7">
        <f>IF($AB655="","",SUMIFS('Per Line'!$U$2:$U$4001,'Per Line'!$C$2:$C$4001,$B655,'Per Line'!$AL$2:$AL$4001,1,'Per Line'!$AM$2:$AM$4001,0))</f>
        <v/>
      </c>
      <c r="W655" s="7">
        <f>IF($AB655="","",V655*U655)</f>
        <v/>
      </c>
      <c r="X655" s="7">
        <f>IF($AB655="","",W655+T655)</f>
        <v/>
      </c>
      <c r="Y655" s="7">
        <f>IF($AB655="","",Z655-X655)</f>
        <v/>
      </c>
      <c r="Z655" s="7">
        <f>IF($AB655="","",S655+V655+Q655)</f>
        <v/>
      </c>
      <c r="AA655" s="7">
        <f>IF($AB655="","",Z655-X655-M655)</f>
        <v/>
      </c>
      <c r="AB655" s="13">
        <f>IF(ROWS($AB$2:$AB655)&lt;=MAX('Per Line'!$AK$2:$AK$4001),MATCH(ROWS($AB$2:$AB655),'Per Line'!$AK$2:$AK$4001,0),"")</f>
        <v/>
      </c>
      <c r="AC655" s="14">
        <f>IF($AB655="","",M655-L655*Z655/100)</f>
        <v/>
      </c>
    </row>
    <row r="656">
      <c r="A656" s="12" t="n"/>
      <c r="B656">
        <f>IF($AB656="","",INDEX('Per Line'!$C$2:$C$4001,$AB656)&amp;"")</f>
        <v/>
      </c>
      <c r="C656">
        <f>IF($AB656="","",INDEX('Per Line'!$D$2:$D$4001,$AB656)&amp;"")</f>
        <v/>
      </c>
      <c r="D656">
        <f>IF($AB656="","",INDEX('Per Line'!$B$2:$B$4001,$AB656)&amp;"")</f>
        <v/>
      </c>
      <c r="E656">
        <f>IF($AB656="","",INDEX('Per Line'!$A$2:$A$4001,$AB656))</f>
        <v/>
      </c>
      <c r="F656" s="11">
        <f>IF($AB656="","",INDEX('Per Line'!$E$2:$E$4001,$AB656))</f>
        <v/>
      </c>
      <c r="G656">
        <f>IF($AB656="","",INDEX('Per Line'!$F$2:$F$4001,$AB656)&amp;"")</f>
        <v/>
      </c>
      <c r="H656">
        <f>IF($AB656="","",INDEX('Per Line'!$H$2:$H$4001,$AB656)&amp;"")</f>
        <v/>
      </c>
      <c r="I656">
        <f>IF($AB656="","",INDEX('Per Line'!$I$2:$I$4001,$AB656)&amp;"")</f>
        <v/>
      </c>
      <c r="J656">
        <f>IF($AB656="","",INDEX('Per Line'!$J$2:$J$4001,$AB656)&amp;"")</f>
        <v/>
      </c>
      <c r="K656">
        <f>IF($AB656="","",INDEX('Per Line'!$K$2:$K$4001,$AB656)&amp;"")</f>
        <v/>
      </c>
      <c r="L656">
        <f>IF($AB656="","",INDEX('Per Line'!$L$2:$L$4001,$AB656))</f>
        <v/>
      </c>
      <c r="M656" s="7">
        <f>IF($AB656="","",IF(AND(ISNUMBER(O656),O656&gt;0,Z656&gt;O656),L656*O656/100+(Z656-O656),L656*Z656/100))</f>
        <v/>
      </c>
      <c r="N656">
        <f>IF($AB656="","",INDEX('Per Line'!$V$2:$V$4001,$AB656)&amp;"")</f>
        <v/>
      </c>
      <c r="O656">
        <f>IF($AB656="","",INDEX('Per Line'!$Z$2:$Z$4001,$AB656))</f>
        <v/>
      </c>
      <c r="P656">
        <f>IF($AB656="","",IF(AND(ISNUMBER(O656),O656&gt;0),Z656&gt;O656,FALSE))</f>
        <v/>
      </c>
      <c r="Q656" s="7">
        <f>IF($AB656="","",SUMIFS('Per Line'!$U$2:$U$4001,'Per Line'!$C$2:$C$4001,$B656,'Per Line'!$AM$2:$AM$4001,1))</f>
        <v/>
      </c>
      <c r="R656">
        <f>IF($AB656="","",Settings!$C$7)</f>
        <v/>
      </c>
      <c r="S656" s="7">
        <f>IF($AB656="","",SUMIFS('Per Line'!$U$2:$U$4001,'Per Line'!$C$2:$C$4001,$B656,'Per Line'!$AL$2:$AL$4001,0,'Per Line'!$AM$2:$AM$4001,0))</f>
        <v/>
      </c>
      <c r="T656" s="7">
        <f>IF($AB656="","",S656*R656)</f>
        <v/>
      </c>
      <c r="U656">
        <f>IF($AB656="","",Settings!$C$6)</f>
        <v/>
      </c>
      <c r="V656" s="7">
        <f>IF($AB656="","",SUMIFS('Per Line'!$U$2:$U$4001,'Per Line'!$C$2:$C$4001,$B656,'Per Line'!$AL$2:$AL$4001,1,'Per Line'!$AM$2:$AM$4001,0))</f>
        <v/>
      </c>
      <c r="W656" s="7">
        <f>IF($AB656="","",V656*U656)</f>
        <v/>
      </c>
      <c r="X656" s="7">
        <f>IF($AB656="","",W656+T656)</f>
        <v/>
      </c>
      <c r="Y656" s="7">
        <f>IF($AB656="","",Z656-X656)</f>
        <v/>
      </c>
      <c r="Z656" s="7">
        <f>IF($AB656="","",S656+V656+Q656)</f>
        <v/>
      </c>
      <c r="AA656" s="7">
        <f>IF($AB656="","",Z656-X656-M656)</f>
        <v/>
      </c>
      <c r="AB656" s="13">
        <f>IF(ROWS($AB$2:$AB656)&lt;=MAX('Per Line'!$AK$2:$AK$4001),MATCH(ROWS($AB$2:$AB656),'Per Line'!$AK$2:$AK$4001,0),"")</f>
        <v/>
      </c>
      <c r="AC656" s="14">
        <f>IF($AB656="","",M656-L656*Z656/100)</f>
        <v/>
      </c>
    </row>
    <row r="657">
      <c r="A657" s="12" t="n"/>
      <c r="B657">
        <f>IF($AB657="","",INDEX('Per Line'!$C$2:$C$4001,$AB657)&amp;"")</f>
        <v/>
      </c>
      <c r="C657">
        <f>IF($AB657="","",INDEX('Per Line'!$D$2:$D$4001,$AB657)&amp;"")</f>
        <v/>
      </c>
      <c r="D657">
        <f>IF($AB657="","",INDEX('Per Line'!$B$2:$B$4001,$AB657)&amp;"")</f>
        <v/>
      </c>
      <c r="E657">
        <f>IF($AB657="","",INDEX('Per Line'!$A$2:$A$4001,$AB657))</f>
        <v/>
      </c>
      <c r="F657" s="11">
        <f>IF($AB657="","",INDEX('Per Line'!$E$2:$E$4001,$AB657))</f>
        <v/>
      </c>
      <c r="G657">
        <f>IF($AB657="","",INDEX('Per Line'!$F$2:$F$4001,$AB657)&amp;"")</f>
        <v/>
      </c>
      <c r="H657">
        <f>IF($AB657="","",INDEX('Per Line'!$H$2:$H$4001,$AB657)&amp;"")</f>
        <v/>
      </c>
      <c r="I657">
        <f>IF($AB657="","",INDEX('Per Line'!$I$2:$I$4001,$AB657)&amp;"")</f>
        <v/>
      </c>
      <c r="J657">
        <f>IF($AB657="","",INDEX('Per Line'!$J$2:$J$4001,$AB657)&amp;"")</f>
        <v/>
      </c>
      <c r="K657">
        <f>IF($AB657="","",INDEX('Per Line'!$K$2:$K$4001,$AB657)&amp;"")</f>
        <v/>
      </c>
      <c r="L657">
        <f>IF($AB657="","",INDEX('Per Line'!$L$2:$L$4001,$AB657))</f>
        <v/>
      </c>
      <c r="M657" s="7">
        <f>IF($AB657="","",IF(AND(ISNUMBER(O657),O657&gt;0,Z657&gt;O657),L657*O657/100+(Z657-O657),L657*Z657/100))</f>
        <v/>
      </c>
      <c r="N657">
        <f>IF($AB657="","",INDEX('Per Line'!$V$2:$V$4001,$AB657)&amp;"")</f>
        <v/>
      </c>
      <c r="O657">
        <f>IF($AB657="","",INDEX('Per Line'!$Z$2:$Z$4001,$AB657))</f>
        <v/>
      </c>
      <c r="P657">
        <f>IF($AB657="","",IF(AND(ISNUMBER(O657),O657&gt;0),Z657&gt;O657,FALSE))</f>
        <v/>
      </c>
      <c r="Q657" s="7">
        <f>IF($AB657="","",SUMIFS('Per Line'!$U$2:$U$4001,'Per Line'!$C$2:$C$4001,$B657,'Per Line'!$AM$2:$AM$4001,1))</f>
        <v/>
      </c>
      <c r="R657">
        <f>IF($AB657="","",Settings!$C$7)</f>
        <v/>
      </c>
      <c r="S657" s="7">
        <f>IF($AB657="","",SUMIFS('Per Line'!$U$2:$U$4001,'Per Line'!$C$2:$C$4001,$B657,'Per Line'!$AL$2:$AL$4001,0,'Per Line'!$AM$2:$AM$4001,0))</f>
        <v/>
      </c>
      <c r="T657" s="7">
        <f>IF($AB657="","",S657*R657)</f>
        <v/>
      </c>
      <c r="U657">
        <f>IF($AB657="","",Settings!$C$6)</f>
        <v/>
      </c>
      <c r="V657" s="7">
        <f>IF($AB657="","",SUMIFS('Per Line'!$U$2:$U$4001,'Per Line'!$C$2:$C$4001,$B657,'Per Line'!$AL$2:$AL$4001,1,'Per Line'!$AM$2:$AM$4001,0))</f>
        <v/>
      </c>
      <c r="W657" s="7">
        <f>IF($AB657="","",V657*U657)</f>
        <v/>
      </c>
      <c r="X657" s="7">
        <f>IF($AB657="","",W657+T657)</f>
        <v/>
      </c>
      <c r="Y657" s="7">
        <f>IF($AB657="","",Z657-X657)</f>
        <v/>
      </c>
      <c r="Z657" s="7">
        <f>IF($AB657="","",S657+V657+Q657)</f>
        <v/>
      </c>
      <c r="AA657" s="7">
        <f>IF($AB657="","",Z657-X657-M657)</f>
        <v/>
      </c>
      <c r="AB657" s="13">
        <f>IF(ROWS($AB$2:$AB657)&lt;=MAX('Per Line'!$AK$2:$AK$4001),MATCH(ROWS($AB$2:$AB657),'Per Line'!$AK$2:$AK$4001,0),"")</f>
        <v/>
      </c>
      <c r="AC657" s="14">
        <f>IF($AB657="","",M657-L657*Z657/100)</f>
        <v/>
      </c>
    </row>
    <row r="658">
      <c r="A658" s="12" t="n"/>
      <c r="B658">
        <f>IF($AB658="","",INDEX('Per Line'!$C$2:$C$4001,$AB658)&amp;"")</f>
        <v/>
      </c>
      <c r="C658">
        <f>IF($AB658="","",INDEX('Per Line'!$D$2:$D$4001,$AB658)&amp;"")</f>
        <v/>
      </c>
      <c r="D658">
        <f>IF($AB658="","",INDEX('Per Line'!$B$2:$B$4001,$AB658)&amp;"")</f>
        <v/>
      </c>
      <c r="E658">
        <f>IF($AB658="","",INDEX('Per Line'!$A$2:$A$4001,$AB658))</f>
        <v/>
      </c>
      <c r="F658" s="11">
        <f>IF($AB658="","",INDEX('Per Line'!$E$2:$E$4001,$AB658))</f>
        <v/>
      </c>
      <c r="G658">
        <f>IF($AB658="","",INDEX('Per Line'!$F$2:$F$4001,$AB658)&amp;"")</f>
        <v/>
      </c>
      <c r="H658">
        <f>IF($AB658="","",INDEX('Per Line'!$H$2:$H$4001,$AB658)&amp;"")</f>
        <v/>
      </c>
      <c r="I658">
        <f>IF($AB658="","",INDEX('Per Line'!$I$2:$I$4001,$AB658)&amp;"")</f>
        <v/>
      </c>
      <c r="J658">
        <f>IF($AB658="","",INDEX('Per Line'!$J$2:$J$4001,$AB658)&amp;"")</f>
        <v/>
      </c>
      <c r="K658">
        <f>IF($AB658="","",INDEX('Per Line'!$K$2:$K$4001,$AB658)&amp;"")</f>
        <v/>
      </c>
      <c r="L658">
        <f>IF($AB658="","",INDEX('Per Line'!$L$2:$L$4001,$AB658))</f>
        <v/>
      </c>
      <c r="M658" s="7">
        <f>IF($AB658="","",IF(AND(ISNUMBER(O658),O658&gt;0,Z658&gt;O658),L658*O658/100+(Z658-O658),L658*Z658/100))</f>
        <v/>
      </c>
      <c r="N658">
        <f>IF($AB658="","",INDEX('Per Line'!$V$2:$V$4001,$AB658)&amp;"")</f>
        <v/>
      </c>
      <c r="O658">
        <f>IF($AB658="","",INDEX('Per Line'!$Z$2:$Z$4001,$AB658))</f>
        <v/>
      </c>
      <c r="P658">
        <f>IF($AB658="","",IF(AND(ISNUMBER(O658),O658&gt;0),Z658&gt;O658,FALSE))</f>
        <v/>
      </c>
      <c r="Q658" s="7">
        <f>IF($AB658="","",SUMIFS('Per Line'!$U$2:$U$4001,'Per Line'!$C$2:$C$4001,$B658,'Per Line'!$AM$2:$AM$4001,1))</f>
        <v/>
      </c>
      <c r="R658">
        <f>IF($AB658="","",Settings!$C$7)</f>
        <v/>
      </c>
      <c r="S658" s="7">
        <f>IF($AB658="","",SUMIFS('Per Line'!$U$2:$U$4001,'Per Line'!$C$2:$C$4001,$B658,'Per Line'!$AL$2:$AL$4001,0,'Per Line'!$AM$2:$AM$4001,0))</f>
        <v/>
      </c>
      <c r="T658" s="7">
        <f>IF($AB658="","",S658*R658)</f>
        <v/>
      </c>
      <c r="U658">
        <f>IF($AB658="","",Settings!$C$6)</f>
        <v/>
      </c>
      <c r="V658" s="7">
        <f>IF($AB658="","",SUMIFS('Per Line'!$U$2:$U$4001,'Per Line'!$C$2:$C$4001,$B658,'Per Line'!$AL$2:$AL$4001,1,'Per Line'!$AM$2:$AM$4001,0))</f>
        <v/>
      </c>
      <c r="W658" s="7">
        <f>IF($AB658="","",V658*U658)</f>
        <v/>
      </c>
      <c r="X658" s="7">
        <f>IF($AB658="","",W658+T658)</f>
        <v/>
      </c>
      <c r="Y658" s="7">
        <f>IF($AB658="","",Z658-X658)</f>
        <v/>
      </c>
      <c r="Z658" s="7">
        <f>IF($AB658="","",S658+V658+Q658)</f>
        <v/>
      </c>
      <c r="AA658" s="7">
        <f>IF($AB658="","",Z658-X658-M658)</f>
        <v/>
      </c>
      <c r="AB658" s="13">
        <f>IF(ROWS($AB$2:$AB658)&lt;=MAX('Per Line'!$AK$2:$AK$4001),MATCH(ROWS($AB$2:$AB658),'Per Line'!$AK$2:$AK$4001,0),"")</f>
        <v/>
      </c>
      <c r="AC658" s="14">
        <f>IF($AB658="","",M658-L658*Z658/100)</f>
        <v/>
      </c>
    </row>
    <row r="659">
      <c r="A659" s="12" t="n"/>
      <c r="B659">
        <f>IF($AB659="","",INDEX('Per Line'!$C$2:$C$4001,$AB659)&amp;"")</f>
        <v/>
      </c>
      <c r="C659">
        <f>IF($AB659="","",INDEX('Per Line'!$D$2:$D$4001,$AB659)&amp;"")</f>
        <v/>
      </c>
      <c r="D659">
        <f>IF($AB659="","",INDEX('Per Line'!$B$2:$B$4001,$AB659)&amp;"")</f>
        <v/>
      </c>
      <c r="E659">
        <f>IF($AB659="","",INDEX('Per Line'!$A$2:$A$4001,$AB659))</f>
        <v/>
      </c>
      <c r="F659" s="11">
        <f>IF($AB659="","",INDEX('Per Line'!$E$2:$E$4001,$AB659))</f>
        <v/>
      </c>
      <c r="G659">
        <f>IF($AB659="","",INDEX('Per Line'!$F$2:$F$4001,$AB659)&amp;"")</f>
        <v/>
      </c>
      <c r="H659">
        <f>IF($AB659="","",INDEX('Per Line'!$H$2:$H$4001,$AB659)&amp;"")</f>
        <v/>
      </c>
      <c r="I659">
        <f>IF($AB659="","",INDEX('Per Line'!$I$2:$I$4001,$AB659)&amp;"")</f>
        <v/>
      </c>
      <c r="J659">
        <f>IF($AB659="","",INDEX('Per Line'!$J$2:$J$4001,$AB659)&amp;"")</f>
        <v/>
      </c>
      <c r="K659">
        <f>IF($AB659="","",INDEX('Per Line'!$K$2:$K$4001,$AB659)&amp;"")</f>
        <v/>
      </c>
      <c r="L659">
        <f>IF($AB659="","",INDEX('Per Line'!$L$2:$L$4001,$AB659))</f>
        <v/>
      </c>
      <c r="M659" s="7">
        <f>IF($AB659="","",IF(AND(ISNUMBER(O659),O659&gt;0,Z659&gt;O659),L659*O659/100+(Z659-O659),L659*Z659/100))</f>
        <v/>
      </c>
      <c r="N659">
        <f>IF($AB659="","",INDEX('Per Line'!$V$2:$V$4001,$AB659)&amp;"")</f>
        <v/>
      </c>
      <c r="O659">
        <f>IF($AB659="","",INDEX('Per Line'!$Z$2:$Z$4001,$AB659))</f>
        <v/>
      </c>
      <c r="P659">
        <f>IF($AB659="","",IF(AND(ISNUMBER(O659),O659&gt;0),Z659&gt;O659,FALSE))</f>
        <v/>
      </c>
      <c r="Q659" s="7">
        <f>IF($AB659="","",SUMIFS('Per Line'!$U$2:$U$4001,'Per Line'!$C$2:$C$4001,$B659,'Per Line'!$AM$2:$AM$4001,1))</f>
        <v/>
      </c>
      <c r="R659">
        <f>IF($AB659="","",Settings!$C$7)</f>
        <v/>
      </c>
      <c r="S659" s="7">
        <f>IF($AB659="","",SUMIFS('Per Line'!$U$2:$U$4001,'Per Line'!$C$2:$C$4001,$B659,'Per Line'!$AL$2:$AL$4001,0,'Per Line'!$AM$2:$AM$4001,0))</f>
        <v/>
      </c>
      <c r="T659" s="7">
        <f>IF($AB659="","",S659*R659)</f>
        <v/>
      </c>
      <c r="U659">
        <f>IF($AB659="","",Settings!$C$6)</f>
        <v/>
      </c>
      <c r="V659" s="7">
        <f>IF($AB659="","",SUMIFS('Per Line'!$U$2:$U$4001,'Per Line'!$C$2:$C$4001,$B659,'Per Line'!$AL$2:$AL$4001,1,'Per Line'!$AM$2:$AM$4001,0))</f>
        <v/>
      </c>
      <c r="W659" s="7">
        <f>IF($AB659="","",V659*U659)</f>
        <v/>
      </c>
      <c r="X659" s="7">
        <f>IF($AB659="","",W659+T659)</f>
        <v/>
      </c>
      <c r="Y659" s="7">
        <f>IF($AB659="","",Z659-X659)</f>
        <v/>
      </c>
      <c r="Z659" s="7">
        <f>IF($AB659="","",S659+V659+Q659)</f>
        <v/>
      </c>
      <c r="AA659" s="7">
        <f>IF($AB659="","",Z659-X659-M659)</f>
        <v/>
      </c>
      <c r="AB659" s="13">
        <f>IF(ROWS($AB$2:$AB659)&lt;=MAX('Per Line'!$AK$2:$AK$4001),MATCH(ROWS($AB$2:$AB659),'Per Line'!$AK$2:$AK$4001,0),"")</f>
        <v/>
      </c>
      <c r="AC659" s="14">
        <f>IF($AB659="","",M659-L659*Z659/100)</f>
        <v/>
      </c>
    </row>
    <row r="660">
      <c r="A660" s="12" t="n"/>
      <c r="B660">
        <f>IF($AB660="","",INDEX('Per Line'!$C$2:$C$4001,$AB660)&amp;"")</f>
        <v/>
      </c>
      <c r="C660">
        <f>IF($AB660="","",INDEX('Per Line'!$D$2:$D$4001,$AB660)&amp;"")</f>
        <v/>
      </c>
      <c r="D660">
        <f>IF($AB660="","",INDEX('Per Line'!$B$2:$B$4001,$AB660)&amp;"")</f>
        <v/>
      </c>
      <c r="E660">
        <f>IF($AB660="","",INDEX('Per Line'!$A$2:$A$4001,$AB660))</f>
        <v/>
      </c>
      <c r="F660" s="11">
        <f>IF($AB660="","",INDEX('Per Line'!$E$2:$E$4001,$AB660))</f>
        <v/>
      </c>
      <c r="G660">
        <f>IF($AB660="","",INDEX('Per Line'!$F$2:$F$4001,$AB660)&amp;"")</f>
        <v/>
      </c>
      <c r="H660">
        <f>IF($AB660="","",INDEX('Per Line'!$H$2:$H$4001,$AB660)&amp;"")</f>
        <v/>
      </c>
      <c r="I660">
        <f>IF($AB660="","",INDEX('Per Line'!$I$2:$I$4001,$AB660)&amp;"")</f>
        <v/>
      </c>
      <c r="J660">
        <f>IF($AB660="","",INDEX('Per Line'!$J$2:$J$4001,$AB660)&amp;"")</f>
        <v/>
      </c>
      <c r="K660">
        <f>IF($AB660="","",INDEX('Per Line'!$K$2:$K$4001,$AB660)&amp;"")</f>
        <v/>
      </c>
      <c r="L660">
        <f>IF($AB660="","",INDEX('Per Line'!$L$2:$L$4001,$AB660))</f>
        <v/>
      </c>
      <c r="M660" s="7">
        <f>IF($AB660="","",IF(AND(ISNUMBER(O660),O660&gt;0,Z660&gt;O660),L660*O660/100+(Z660-O660),L660*Z660/100))</f>
        <v/>
      </c>
      <c r="N660">
        <f>IF($AB660="","",INDEX('Per Line'!$V$2:$V$4001,$AB660)&amp;"")</f>
        <v/>
      </c>
      <c r="O660">
        <f>IF($AB660="","",INDEX('Per Line'!$Z$2:$Z$4001,$AB660))</f>
        <v/>
      </c>
      <c r="P660">
        <f>IF($AB660="","",IF(AND(ISNUMBER(O660),O660&gt;0),Z660&gt;O660,FALSE))</f>
        <v/>
      </c>
      <c r="Q660" s="7">
        <f>IF($AB660="","",SUMIFS('Per Line'!$U$2:$U$4001,'Per Line'!$C$2:$C$4001,$B660,'Per Line'!$AM$2:$AM$4001,1))</f>
        <v/>
      </c>
      <c r="R660">
        <f>IF($AB660="","",Settings!$C$7)</f>
        <v/>
      </c>
      <c r="S660" s="7">
        <f>IF($AB660="","",SUMIFS('Per Line'!$U$2:$U$4001,'Per Line'!$C$2:$C$4001,$B660,'Per Line'!$AL$2:$AL$4001,0,'Per Line'!$AM$2:$AM$4001,0))</f>
        <v/>
      </c>
      <c r="T660" s="7">
        <f>IF($AB660="","",S660*R660)</f>
        <v/>
      </c>
      <c r="U660">
        <f>IF($AB660="","",Settings!$C$6)</f>
        <v/>
      </c>
      <c r="V660" s="7">
        <f>IF($AB660="","",SUMIFS('Per Line'!$U$2:$U$4001,'Per Line'!$C$2:$C$4001,$B660,'Per Line'!$AL$2:$AL$4001,1,'Per Line'!$AM$2:$AM$4001,0))</f>
        <v/>
      </c>
      <c r="W660" s="7">
        <f>IF($AB660="","",V660*U660)</f>
        <v/>
      </c>
      <c r="X660" s="7">
        <f>IF($AB660="","",W660+T660)</f>
        <v/>
      </c>
      <c r="Y660" s="7">
        <f>IF($AB660="","",Z660-X660)</f>
        <v/>
      </c>
      <c r="Z660" s="7">
        <f>IF($AB660="","",S660+V660+Q660)</f>
        <v/>
      </c>
      <c r="AA660" s="7">
        <f>IF($AB660="","",Z660-X660-M660)</f>
        <v/>
      </c>
      <c r="AB660" s="13">
        <f>IF(ROWS($AB$2:$AB660)&lt;=MAX('Per Line'!$AK$2:$AK$4001),MATCH(ROWS($AB$2:$AB660),'Per Line'!$AK$2:$AK$4001,0),"")</f>
        <v/>
      </c>
      <c r="AC660" s="14">
        <f>IF($AB660="","",M660-L660*Z660/100)</f>
        <v/>
      </c>
    </row>
    <row r="661">
      <c r="A661" s="12" t="n"/>
      <c r="B661">
        <f>IF($AB661="","",INDEX('Per Line'!$C$2:$C$4001,$AB661)&amp;"")</f>
        <v/>
      </c>
      <c r="C661">
        <f>IF($AB661="","",INDEX('Per Line'!$D$2:$D$4001,$AB661)&amp;"")</f>
        <v/>
      </c>
      <c r="D661">
        <f>IF($AB661="","",INDEX('Per Line'!$B$2:$B$4001,$AB661)&amp;"")</f>
        <v/>
      </c>
      <c r="E661">
        <f>IF($AB661="","",INDEX('Per Line'!$A$2:$A$4001,$AB661))</f>
        <v/>
      </c>
      <c r="F661" s="11">
        <f>IF($AB661="","",INDEX('Per Line'!$E$2:$E$4001,$AB661))</f>
        <v/>
      </c>
      <c r="G661">
        <f>IF($AB661="","",INDEX('Per Line'!$F$2:$F$4001,$AB661)&amp;"")</f>
        <v/>
      </c>
      <c r="H661">
        <f>IF($AB661="","",INDEX('Per Line'!$H$2:$H$4001,$AB661)&amp;"")</f>
        <v/>
      </c>
      <c r="I661">
        <f>IF($AB661="","",INDEX('Per Line'!$I$2:$I$4001,$AB661)&amp;"")</f>
        <v/>
      </c>
      <c r="J661">
        <f>IF($AB661="","",INDEX('Per Line'!$J$2:$J$4001,$AB661)&amp;"")</f>
        <v/>
      </c>
      <c r="K661">
        <f>IF($AB661="","",INDEX('Per Line'!$K$2:$K$4001,$AB661)&amp;"")</f>
        <v/>
      </c>
      <c r="L661">
        <f>IF($AB661="","",INDEX('Per Line'!$L$2:$L$4001,$AB661))</f>
        <v/>
      </c>
      <c r="M661" s="7">
        <f>IF($AB661="","",IF(AND(ISNUMBER(O661),O661&gt;0,Z661&gt;O661),L661*O661/100+(Z661-O661),L661*Z661/100))</f>
        <v/>
      </c>
      <c r="N661">
        <f>IF($AB661="","",INDEX('Per Line'!$V$2:$V$4001,$AB661)&amp;"")</f>
        <v/>
      </c>
      <c r="O661">
        <f>IF($AB661="","",INDEX('Per Line'!$Z$2:$Z$4001,$AB661))</f>
        <v/>
      </c>
      <c r="P661">
        <f>IF($AB661="","",IF(AND(ISNUMBER(O661),O661&gt;0),Z661&gt;O661,FALSE))</f>
        <v/>
      </c>
      <c r="Q661" s="7">
        <f>IF($AB661="","",SUMIFS('Per Line'!$U$2:$U$4001,'Per Line'!$C$2:$C$4001,$B661,'Per Line'!$AM$2:$AM$4001,1))</f>
        <v/>
      </c>
      <c r="R661">
        <f>IF($AB661="","",Settings!$C$7)</f>
        <v/>
      </c>
      <c r="S661" s="7">
        <f>IF($AB661="","",SUMIFS('Per Line'!$U$2:$U$4001,'Per Line'!$C$2:$C$4001,$B661,'Per Line'!$AL$2:$AL$4001,0,'Per Line'!$AM$2:$AM$4001,0))</f>
        <v/>
      </c>
      <c r="T661" s="7">
        <f>IF($AB661="","",S661*R661)</f>
        <v/>
      </c>
      <c r="U661">
        <f>IF($AB661="","",Settings!$C$6)</f>
        <v/>
      </c>
      <c r="V661" s="7">
        <f>IF($AB661="","",SUMIFS('Per Line'!$U$2:$U$4001,'Per Line'!$C$2:$C$4001,$B661,'Per Line'!$AL$2:$AL$4001,1,'Per Line'!$AM$2:$AM$4001,0))</f>
        <v/>
      </c>
      <c r="W661" s="7">
        <f>IF($AB661="","",V661*U661)</f>
        <v/>
      </c>
      <c r="X661" s="7">
        <f>IF($AB661="","",W661+T661)</f>
        <v/>
      </c>
      <c r="Y661" s="7">
        <f>IF($AB661="","",Z661-X661)</f>
        <v/>
      </c>
      <c r="Z661" s="7">
        <f>IF($AB661="","",S661+V661+Q661)</f>
        <v/>
      </c>
      <c r="AA661" s="7">
        <f>IF($AB661="","",Z661-X661-M661)</f>
        <v/>
      </c>
      <c r="AB661" s="13">
        <f>IF(ROWS($AB$2:$AB661)&lt;=MAX('Per Line'!$AK$2:$AK$4001),MATCH(ROWS($AB$2:$AB661),'Per Line'!$AK$2:$AK$4001,0),"")</f>
        <v/>
      </c>
      <c r="AC661" s="14">
        <f>IF($AB661="","",M661-L661*Z661/100)</f>
        <v/>
      </c>
    </row>
    <row r="662">
      <c r="A662" s="12" t="n"/>
      <c r="B662">
        <f>IF($AB662="","",INDEX('Per Line'!$C$2:$C$4001,$AB662)&amp;"")</f>
        <v/>
      </c>
      <c r="C662">
        <f>IF($AB662="","",INDEX('Per Line'!$D$2:$D$4001,$AB662)&amp;"")</f>
        <v/>
      </c>
      <c r="D662">
        <f>IF($AB662="","",INDEX('Per Line'!$B$2:$B$4001,$AB662)&amp;"")</f>
        <v/>
      </c>
      <c r="E662">
        <f>IF($AB662="","",INDEX('Per Line'!$A$2:$A$4001,$AB662))</f>
        <v/>
      </c>
      <c r="F662" s="11">
        <f>IF($AB662="","",INDEX('Per Line'!$E$2:$E$4001,$AB662))</f>
        <v/>
      </c>
      <c r="G662">
        <f>IF($AB662="","",INDEX('Per Line'!$F$2:$F$4001,$AB662)&amp;"")</f>
        <v/>
      </c>
      <c r="H662">
        <f>IF($AB662="","",INDEX('Per Line'!$H$2:$H$4001,$AB662)&amp;"")</f>
        <v/>
      </c>
      <c r="I662">
        <f>IF($AB662="","",INDEX('Per Line'!$I$2:$I$4001,$AB662)&amp;"")</f>
        <v/>
      </c>
      <c r="J662">
        <f>IF($AB662="","",INDEX('Per Line'!$J$2:$J$4001,$AB662)&amp;"")</f>
        <v/>
      </c>
      <c r="K662">
        <f>IF($AB662="","",INDEX('Per Line'!$K$2:$K$4001,$AB662)&amp;"")</f>
        <v/>
      </c>
      <c r="L662">
        <f>IF($AB662="","",INDEX('Per Line'!$L$2:$L$4001,$AB662))</f>
        <v/>
      </c>
      <c r="M662" s="7">
        <f>IF($AB662="","",IF(AND(ISNUMBER(O662),O662&gt;0,Z662&gt;O662),L662*O662/100+(Z662-O662),L662*Z662/100))</f>
        <v/>
      </c>
      <c r="N662">
        <f>IF($AB662="","",INDEX('Per Line'!$V$2:$V$4001,$AB662)&amp;"")</f>
        <v/>
      </c>
      <c r="O662">
        <f>IF($AB662="","",INDEX('Per Line'!$Z$2:$Z$4001,$AB662))</f>
        <v/>
      </c>
      <c r="P662">
        <f>IF($AB662="","",IF(AND(ISNUMBER(O662),O662&gt;0),Z662&gt;O662,FALSE))</f>
        <v/>
      </c>
      <c r="Q662" s="7">
        <f>IF($AB662="","",SUMIFS('Per Line'!$U$2:$U$4001,'Per Line'!$C$2:$C$4001,$B662,'Per Line'!$AM$2:$AM$4001,1))</f>
        <v/>
      </c>
      <c r="R662">
        <f>IF($AB662="","",Settings!$C$7)</f>
        <v/>
      </c>
      <c r="S662" s="7">
        <f>IF($AB662="","",SUMIFS('Per Line'!$U$2:$U$4001,'Per Line'!$C$2:$C$4001,$B662,'Per Line'!$AL$2:$AL$4001,0,'Per Line'!$AM$2:$AM$4001,0))</f>
        <v/>
      </c>
      <c r="T662" s="7">
        <f>IF($AB662="","",S662*R662)</f>
        <v/>
      </c>
      <c r="U662">
        <f>IF($AB662="","",Settings!$C$6)</f>
        <v/>
      </c>
      <c r="V662" s="7">
        <f>IF($AB662="","",SUMIFS('Per Line'!$U$2:$U$4001,'Per Line'!$C$2:$C$4001,$B662,'Per Line'!$AL$2:$AL$4001,1,'Per Line'!$AM$2:$AM$4001,0))</f>
        <v/>
      </c>
      <c r="W662" s="7">
        <f>IF($AB662="","",V662*U662)</f>
        <v/>
      </c>
      <c r="X662" s="7">
        <f>IF($AB662="","",W662+T662)</f>
        <v/>
      </c>
      <c r="Y662" s="7">
        <f>IF($AB662="","",Z662-X662)</f>
        <v/>
      </c>
      <c r="Z662" s="7">
        <f>IF($AB662="","",S662+V662+Q662)</f>
        <v/>
      </c>
      <c r="AA662" s="7">
        <f>IF($AB662="","",Z662-X662-M662)</f>
        <v/>
      </c>
      <c r="AB662" s="13">
        <f>IF(ROWS($AB$2:$AB662)&lt;=MAX('Per Line'!$AK$2:$AK$4001),MATCH(ROWS($AB$2:$AB662),'Per Line'!$AK$2:$AK$4001,0),"")</f>
        <v/>
      </c>
      <c r="AC662" s="14">
        <f>IF($AB662="","",M662-L662*Z662/100)</f>
        <v/>
      </c>
    </row>
    <row r="663">
      <c r="A663" s="12" t="n"/>
      <c r="B663">
        <f>IF($AB663="","",INDEX('Per Line'!$C$2:$C$4001,$AB663)&amp;"")</f>
        <v/>
      </c>
      <c r="C663">
        <f>IF($AB663="","",INDEX('Per Line'!$D$2:$D$4001,$AB663)&amp;"")</f>
        <v/>
      </c>
      <c r="D663">
        <f>IF($AB663="","",INDEX('Per Line'!$B$2:$B$4001,$AB663)&amp;"")</f>
        <v/>
      </c>
      <c r="E663">
        <f>IF($AB663="","",INDEX('Per Line'!$A$2:$A$4001,$AB663))</f>
        <v/>
      </c>
      <c r="F663" s="11">
        <f>IF($AB663="","",INDEX('Per Line'!$E$2:$E$4001,$AB663))</f>
        <v/>
      </c>
      <c r="G663">
        <f>IF($AB663="","",INDEX('Per Line'!$F$2:$F$4001,$AB663)&amp;"")</f>
        <v/>
      </c>
      <c r="H663">
        <f>IF($AB663="","",INDEX('Per Line'!$H$2:$H$4001,$AB663)&amp;"")</f>
        <v/>
      </c>
      <c r="I663">
        <f>IF($AB663="","",INDEX('Per Line'!$I$2:$I$4001,$AB663)&amp;"")</f>
        <v/>
      </c>
      <c r="J663">
        <f>IF($AB663="","",INDEX('Per Line'!$J$2:$J$4001,$AB663)&amp;"")</f>
        <v/>
      </c>
      <c r="K663">
        <f>IF($AB663="","",INDEX('Per Line'!$K$2:$K$4001,$AB663)&amp;"")</f>
        <v/>
      </c>
      <c r="L663">
        <f>IF($AB663="","",INDEX('Per Line'!$L$2:$L$4001,$AB663))</f>
        <v/>
      </c>
      <c r="M663" s="7">
        <f>IF($AB663="","",IF(AND(ISNUMBER(O663),O663&gt;0,Z663&gt;O663),L663*O663/100+(Z663-O663),L663*Z663/100))</f>
        <v/>
      </c>
      <c r="N663">
        <f>IF($AB663="","",INDEX('Per Line'!$V$2:$V$4001,$AB663)&amp;"")</f>
        <v/>
      </c>
      <c r="O663">
        <f>IF($AB663="","",INDEX('Per Line'!$Z$2:$Z$4001,$AB663))</f>
        <v/>
      </c>
      <c r="P663">
        <f>IF($AB663="","",IF(AND(ISNUMBER(O663),O663&gt;0),Z663&gt;O663,FALSE))</f>
        <v/>
      </c>
      <c r="Q663" s="7">
        <f>IF($AB663="","",SUMIFS('Per Line'!$U$2:$U$4001,'Per Line'!$C$2:$C$4001,$B663,'Per Line'!$AM$2:$AM$4001,1))</f>
        <v/>
      </c>
      <c r="R663">
        <f>IF($AB663="","",Settings!$C$7)</f>
        <v/>
      </c>
      <c r="S663" s="7">
        <f>IF($AB663="","",SUMIFS('Per Line'!$U$2:$U$4001,'Per Line'!$C$2:$C$4001,$B663,'Per Line'!$AL$2:$AL$4001,0,'Per Line'!$AM$2:$AM$4001,0))</f>
        <v/>
      </c>
      <c r="T663" s="7">
        <f>IF($AB663="","",S663*R663)</f>
        <v/>
      </c>
      <c r="U663">
        <f>IF($AB663="","",Settings!$C$6)</f>
        <v/>
      </c>
      <c r="V663" s="7">
        <f>IF($AB663="","",SUMIFS('Per Line'!$U$2:$U$4001,'Per Line'!$C$2:$C$4001,$B663,'Per Line'!$AL$2:$AL$4001,1,'Per Line'!$AM$2:$AM$4001,0))</f>
        <v/>
      </c>
      <c r="W663" s="7">
        <f>IF($AB663="","",V663*U663)</f>
        <v/>
      </c>
      <c r="X663" s="7">
        <f>IF($AB663="","",W663+T663)</f>
        <v/>
      </c>
      <c r="Y663" s="7">
        <f>IF($AB663="","",Z663-X663)</f>
        <v/>
      </c>
      <c r="Z663" s="7">
        <f>IF($AB663="","",S663+V663+Q663)</f>
        <v/>
      </c>
      <c r="AA663" s="7">
        <f>IF($AB663="","",Z663-X663-M663)</f>
        <v/>
      </c>
      <c r="AB663" s="13">
        <f>IF(ROWS($AB$2:$AB663)&lt;=MAX('Per Line'!$AK$2:$AK$4001),MATCH(ROWS($AB$2:$AB663),'Per Line'!$AK$2:$AK$4001,0),"")</f>
        <v/>
      </c>
      <c r="AC663" s="14">
        <f>IF($AB663="","",M663-L663*Z663/100)</f>
        <v/>
      </c>
    </row>
    <row r="664">
      <c r="A664" s="12" t="n"/>
      <c r="B664">
        <f>IF($AB664="","",INDEX('Per Line'!$C$2:$C$4001,$AB664)&amp;"")</f>
        <v/>
      </c>
      <c r="C664">
        <f>IF($AB664="","",INDEX('Per Line'!$D$2:$D$4001,$AB664)&amp;"")</f>
        <v/>
      </c>
      <c r="D664">
        <f>IF($AB664="","",INDEX('Per Line'!$B$2:$B$4001,$AB664)&amp;"")</f>
        <v/>
      </c>
      <c r="E664">
        <f>IF($AB664="","",INDEX('Per Line'!$A$2:$A$4001,$AB664))</f>
        <v/>
      </c>
      <c r="F664" s="11">
        <f>IF($AB664="","",INDEX('Per Line'!$E$2:$E$4001,$AB664))</f>
        <v/>
      </c>
      <c r="G664">
        <f>IF($AB664="","",INDEX('Per Line'!$F$2:$F$4001,$AB664)&amp;"")</f>
        <v/>
      </c>
      <c r="H664">
        <f>IF($AB664="","",INDEX('Per Line'!$H$2:$H$4001,$AB664)&amp;"")</f>
        <v/>
      </c>
      <c r="I664">
        <f>IF($AB664="","",INDEX('Per Line'!$I$2:$I$4001,$AB664)&amp;"")</f>
        <v/>
      </c>
      <c r="J664">
        <f>IF($AB664="","",INDEX('Per Line'!$J$2:$J$4001,$AB664)&amp;"")</f>
        <v/>
      </c>
      <c r="K664">
        <f>IF($AB664="","",INDEX('Per Line'!$K$2:$K$4001,$AB664)&amp;"")</f>
        <v/>
      </c>
      <c r="L664">
        <f>IF($AB664="","",INDEX('Per Line'!$L$2:$L$4001,$AB664))</f>
        <v/>
      </c>
      <c r="M664" s="7">
        <f>IF($AB664="","",IF(AND(ISNUMBER(O664),O664&gt;0,Z664&gt;O664),L664*O664/100+(Z664-O664),L664*Z664/100))</f>
        <v/>
      </c>
      <c r="N664">
        <f>IF($AB664="","",INDEX('Per Line'!$V$2:$V$4001,$AB664)&amp;"")</f>
        <v/>
      </c>
      <c r="O664">
        <f>IF($AB664="","",INDEX('Per Line'!$Z$2:$Z$4001,$AB664))</f>
        <v/>
      </c>
      <c r="P664">
        <f>IF($AB664="","",IF(AND(ISNUMBER(O664),O664&gt;0),Z664&gt;O664,FALSE))</f>
        <v/>
      </c>
      <c r="Q664" s="7">
        <f>IF($AB664="","",SUMIFS('Per Line'!$U$2:$U$4001,'Per Line'!$C$2:$C$4001,$B664,'Per Line'!$AM$2:$AM$4001,1))</f>
        <v/>
      </c>
      <c r="R664">
        <f>IF($AB664="","",Settings!$C$7)</f>
        <v/>
      </c>
      <c r="S664" s="7">
        <f>IF($AB664="","",SUMIFS('Per Line'!$U$2:$U$4001,'Per Line'!$C$2:$C$4001,$B664,'Per Line'!$AL$2:$AL$4001,0,'Per Line'!$AM$2:$AM$4001,0))</f>
        <v/>
      </c>
      <c r="T664" s="7">
        <f>IF($AB664="","",S664*R664)</f>
        <v/>
      </c>
      <c r="U664">
        <f>IF($AB664="","",Settings!$C$6)</f>
        <v/>
      </c>
      <c r="V664" s="7">
        <f>IF($AB664="","",SUMIFS('Per Line'!$U$2:$U$4001,'Per Line'!$C$2:$C$4001,$B664,'Per Line'!$AL$2:$AL$4001,1,'Per Line'!$AM$2:$AM$4001,0))</f>
        <v/>
      </c>
      <c r="W664" s="7">
        <f>IF($AB664="","",V664*U664)</f>
        <v/>
      </c>
      <c r="X664" s="7">
        <f>IF($AB664="","",W664+T664)</f>
        <v/>
      </c>
      <c r="Y664" s="7">
        <f>IF($AB664="","",Z664-X664)</f>
        <v/>
      </c>
      <c r="Z664" s="7">
        <f>IF($AB664="","",S664+V664+Q664)</f>
        <v/>
      </c>
      <c r="AA664" s="7">
        <f>IF($AB664="","",Z664-X664-M664)</f>
        <v/>
      </c>
      <c r="AB664" s="13">
        <f>IF(ROWS($AB$2:$AB664)&lt;=MAX('Per Line'!$AK$2:$AK$4001),MATCH(ROWS($AB$2:$AB664),'Per Line'!$AK$2:$AK$4001,0),"")</f>
        <v/>
      </c>
      <c r="AC664" s="14">
        <f>IF($AB664="","",M664-L664*Z664/100)</f>
        <v/>
      </c>
    </row>
    <row r="665">
      <c r="A665" s="12" t="n"/>
      <c r="B665">
        <f>IF($AB665="","",INDEX('Per Line'!$C$2:$C$4001,$AB665)&amp;"")</f>
        <v/>
      </c>
      <c r="C665">
        <f>IF($AB665="","",INDEX('Per Line'!$D$2:$D$4001,$AB665)&amp;"")</f>
        <v/>
      </c>
      <c r="D665">
        <f>IF($AB665="","",INDEX('Per Line'!$B$2:$B$4001,$AB665)&amp;"")</f>
        <v/>
      </c>
      <c r="E665">
        <f>IF($AB665="","",INDEX('Per Line'!$A$2:$A$4001,$AB665))</f>
        <v/>
      </c>
      <c r="F665" s="11">
        <f>IF($AB665="","",INDEX('Per Line'!$E$2:$E$4001,$AB665))</f>
        <v/>
      </c>
      <c r="G665">
        <f>IF($AB665="","",INDEX('Per Line'!$F$2:$F$4001,$AB665)&amp;"")</f>
        <v/>
      </c>
      <c r="H665">
        <f>IF($AB665="","",INDEX('Per Line'!$H$2:$H$4001,$AB665)&amp;"")</f>
        <v/>
      </c>
      <c r="I665">
        <f>IF($AB665="","",INDEX('Per Line'!$I$2:$I$4001,$AB665)&amp;"")</f>
        <v/>
      </c>
      <c r="J665">
        <f>IF($AB665="","",INDEX('Per Line'!$J$2:$J$4001,$AB665)&amp;"")</f>
        <v/>
      </c>
      <c r="K665">
        <f>IF($AB665="","",INDEX('Per Line'!$K$2:$K$4001,$AB665)&amp;"")</f>
        <v/>
      </c>
      <c r="L665">
        <f>IF($AB665="","",INDEX('Per Line'!$L$2:$L$4001,$AB665))</f>
        <v/>
      </c>
      <c r="M665" s="7">
        <f>IF($AB665="","",IF(AND(ISNUMBER(O665),O665&gt;0,Z665&gt;O665),L665*O665/100+(Z665-O665),L665*Z665/100))</f>
        <v/>
      </c>
      <c r="N665">
        <f>IF($AB665="","",INDEX('Per Line'!$V$2:$V$4001,$AB665)&amp;"")</f>
        <v/>
      </c>
      <c r="O665">
        <f>IF($AB665="","",INDEX('Per Line'!$Z$2:$Z$4001,$AB665))</f>
        <v/>
      </c>
      <c r="P665">
        <f>IF($AB665="","",IF(AND(ISNUMBER(O665),O665&gt;0),Z665&gt;O665,FALSE))</f>
        <v/>
      </c>
      <c r="Q665" s="7">
        <f>IF($AB665="","",SUMIFS('Per Line'!$U$2:$U$4001,'Per Line'!$C$2:$C$4001,$B665,'Per Line'!$AM$2:$AM$4001,1))</f>
        <v/>
      </c>
      <c r="R665">
        <f>IF($AB665="","",Settings!$C$7)</f>
        <v/>
      </c>
      <c r="S665" s="7">
        <f>IF($AB665="","",SUMIFS('Per Line'!$U$2:$U$4001,'Per Line'!$C$2:$C$4001,$B665,'Per Line'!$AL$2:$AL$4001,0,'Per Line'!$AM$2:$AM$4001,0))</f>
        <v/>
      </c>
      <c r="T665" s="7">
        <f>IF($AB665="","",S665*R665)</f>
        <v/>
      </c>
      <c r="U665">
        <f>IF($AB665="","",Settings!$C$6)</f>
        <v/>
      </c>
      <c r="V665" s="7">
        <f>IF($AB665="","",SUMIFS('Per Line'!$U$2:$U$4001,'Per Line'!$C$2:$C$4001,$B665,'Per Line'!$AL$2:$AL$4001,1,'Per Line'!$AM$2:$AM$4001,0))</f>
        <v/>
      </c>
      <c r="W665" s="7">
        <f>IF($AB665="","",V665*U665)</f>
        <v/>
      </c>
      <c r="X665" s="7">
        <f>IF($AB665="","",W665+T665)</f>
        <v/>
      </c>
      <c r="Y665" s="7">
        <f>IF($AB665="","",Z665-X665)</f>
        <v/>
      </c>
      <c r="Z665" s="7">
        <f>IF($AB665="","",S665+V665+Q665)</f>
        <v/>
      </c>
      <c r="AA665" s="7">
        <f>IF($AB665="","",Z665-X665-M665)</f>
        <v/>
      </c>
      <c r="AB665" s="13">
        <f>IF(ROWS($AB$2:$AB665)&lt;=MAX('Per Line'!$AK$2:$AK$4001),MATCH(ROWS($AB$2:$AB665),'Per Line'!$AK$2:$AK$4001,0),"")</f>
        <v/>
      </c>
      <c r="AC665" s="14">
        <f>IF($AB665="","",M665-L665*Z665/100)</f>
        <v/>
      </c>
    </row>
    <row r="666">
      <c r="A666" s="12" t="n"/>
      <c r="B666">
        <f>IF($AB666="","",INDEX('Per Line'!$C$2:$C$4001,$AB666)&amp;"")</f>
        <v/>
      </c>
      <c r="C666">
        <f>IF($AB666="","",INDEX('Per Line'!$D$2:$D$4001,$AB666)&amp;"")</f>
        <v/>
      </c>
      <c r="D666">
        <f>IF($AB666="","",INDEX('Per Line'!$B$2:$B$4001,$AB666)&amp;"")</f>
        <v/>
      </c>
      <c r="E666">
        <f>IF($AB666="","",INDEX('Per Line'!$A$2:$A$4001,$AB666))</f>
        <v/>
      </c>
      <c r="F666" s="11">
        <f>IF($AB666="","",INDEX('Per Line'!$E$2:$E$4001,$AB666))</f>
        <v/>
      </c>
      <c r="G666">
        <f>IF($AB666="","",INDEX('Per Line'!$F$2:$F$4001,$AB666)&amp;"")</f>
        <v/>
      </c>
      <c r="H666">
        <f>IF($AB666="","",INDEX('Per Line'!$H$2:$H$4001,$AB666)&amp;"")</f>
        <v/>
      </c>
      <c r="I666">
        <f>IF($AB666="","",INDEX('Per Line'!$I$2:$I$4001,$AB666)&amp;"")</f>
        <v/>
      </c>
      <c r="J666">
        <f>IF($AB666="","",INDEX('Per Line'!$J$2:$J$4001,$AB666)&amp;"")</f>
        <v/>
      </c>
      <c r="K666">
        <f>IF($AB666="","",INDEX('Per Line'!$K$2:$K$4001,$AB666)&amp;"")</f>
        <v/>
      </c>
      <c r="L666">
        <f>IF($AB666="","",INDEX('Per Line'!$L$2:$L$4001,$AB666))</f>
        <v/>
      </c>
      <c r="M666" s="7">
        <f>IF($AB666="","",IF(AND(ISNUMBER(O666),O666&gt;0,Z666&gt;O666),L666*O666/100+(Z666-O666),L666*Z666/100))</f>
        <v/>
      </c>
      <c r="N666">
        <f>IF($AB666="","",INDEX('Per Line'!$V$2:$V$4001,$AB666)&amp;"")</f>
        <v/>
      </c>
      <c r="O666">
        <f>IF($AB666="","",INDEX('Per Line'!$Z$2:$Z$4001,$AB666))</f>
        <v/>
      </c>
      <c r="P666">
        <f>IF($AB666="","",IF(AND(ISNUMBER(O666),O666&gt;0),Z666&gt;O666,FALSE))</f>
        <v/>
      </c>
      <c r="Q666" s="7">
        <f>IF($AB666="","",SUMIFS('Per Line'!$U$2:$U$4001,'Per Line'!$C$2:$C$4001,$B666,'Per Line'!$AM$2:$AM$4001,1))</f>
        <v/>
      </c>
      <c r="R666">
        <f>IF($AB666="","",Settings!$C$7)</f>
        <v/>
      </c>
      <c r="S666" s="7">
        <f>IF($AB666="","",SUMIFS('Per Line'!$U$2:$U$4001,'Per Line'!$C$2:$C$4001,$B666,'Per Line'!$AL$2:$AL$4001,0,'Per Line'!$AM$2:$AM$4001,0))</f>
        <v/>
      </c>
      <c r="T666" s="7">
        <f>IF($AB666="","",S666*R666)</f>
        <v/>
      </c>
      <c r="U666">
        <f>IF($AB666="","",Settings!$C$6)</f>
        <v/>
      </c>
      <c r="V666" s="7">
        <f>IF($AB666="","",SUMIFS('Per Line'!$U$2:$U$4001,'Per Line'!$C$2:$C$4001,$B666,'Per Line'!$AL$2:$AL$4001,1,'Per Line'!$AM$2:$AM$4001,0))</f>
        <v/>
      </c>
      <c r="W666" s="7">
        <f>IF($AB666="","",V666*U666)</f>
        <v/>
      </c>
      <c r="X666" s="7">
        <f>IF($AB666="","",W666+T666)</f>
        <v/>
      </c>
      <c r="Y666" s="7">
        <f>IF($AB666="","",Z666-X666)</f>
        <v/>
      </c>
      <c r="Z666" s="7">
        <f>IF($AB666="","",S666+V666+Q666)</f>
        <v/>
      </c>
      <c r="AA666" s="7">
        <f>IF($AB666="","",Z666-X666-M666)</f>
        <v/>
      </c>
      <c r="AB666" s="13">
        <f>IF(ROWS($AB$2:$AB666)&lt;=MAX('Per Line'!$AK$2:$AK$4001),MATCH(ROWS($AB$2:$AB666),'Per Line'!$AK$2:$AK$4001,0),"")</f>
        <v/>
      </c>
      <c r="AC666" s="14">
        <f>IF($AB666="","",M666-L666*Z666/100)</f>
        <v/>
      </c>
    </row>
    <row r="667">
      <c r="A667" s="12" t="n"/>
      <c r="B667">
        <f>IF($AB667="","",INDEX('Per Line'!$C$2:$C$4001,$AB667)&amp;"")</f>
        <v/>
      </c>
      <c r="C667">
        <f>IF($AB667="","",INDEX('Per Line'!$D$2:$D$4001,$AB667)&amp;"")</f>
        <v/>
      </c>
      <c r="D667">
        <f>IF($AB667="","",INDEX('Per Line'!$B$2:$B$4001,$AB667)&amp;"")</f>
        <v/>
      </c>
      <c r="E667">
        <f>IF($AB667="","",INDEX('Per Line'!$A$2:$A$4001,$AB667))</f>
        <v/>
      </c>
      <c r="F667" s="11">
        <f>IF($AB667="","",INDEX('Per Line'!$E$2:$E$4001,$AB667))</f>
        <v/>
      </c>
      <c r="G667">
        <f>IF($AB667="","",INDEX('Per Line'!$F$2:$F$4001,$AB667)&amp;"")</f>
        <v/>
      </c>
      <c r="H667">
        <f>IF($AB667="","",INDEX('Per Line'!$H$2:$H$4001,$AB667)&amp;"")</f>
        <v/>
      </c>
      <c r="I667">
        <f>IF($AB667="","",INDEX('Per Line'!$I$2:$I$4001,$AB667)&amp;"")</f>
        <v/>
      </c>
      <c r="J667">
        <f>IF($AB667="","",INDEX('Per Line'!$J$2:$J$4001,$AB667)&amp;"")</f>
        <v/>
      </c>
      <c r="K667">
        <f>IF($AB667="","",INDEX('Per Line'!$K$2:$K$4001,$AB667)&amp;"")</f>
        <v/>
      </c>
      <c r="L667">
        <f>IF($AB667="","",INDEX('Per Line'!$L$2:$L$4001,$AB667))</f>
        <v/>
      </c>
      <c r="M667" s="7">
        <f>IF($AB667="","",IF(AND(ISNUMBER(O667),O667&gt;0,Z667&gt;O667),L667*O667/100+(Z667-O667),L667*Z667/100))</f>
        <v/>
      </c>
      <c r="N667">
        <f>IF($AB667="","",INDEX('Per Line'!$V$2:$V$4001,$AB667)&amp;"")</f>
        <v/>
      </c>
      <c r="O667">
        <f>IF($AB667="","",INDEX('Per Line'!$Z$2:$Z$4001,$AB667))</f>
        <v/>
      </c>
      <c r="P667">
        <f>IF($AB667="","",IF(AND(ISNUMBER(O667),O667&gt;0),Z667&gt;O667,FALSE))</f>
        <v/>
      </c>
      <c r="Q667" s="7">
        <f>IF($AB667="","",SUMIFS('Per Line'!$U$2:$U$4001,'Per Line'!$C$2:$C$4001,$B667,'Per Line'!$AM$2:$AM$4001,1))</f>
        <v/>
      </c>
      <c r="R667">
        <f>IF($AB667="","",Settings!$C$7)</f>
        <v/>
      </c>
      <c r="S667" s="7">
        <f>IF($AB667="","",SUMIFS('Per Line'!$U$2:$U$4001,'Per Line'!$C$2:$C$4001,$B667,'Per Line'!$AL$2:$AL$4001,0,'Per Line'!$AM$2:$AM$4001,0))</f>
        <v/>
      </c>
      <c r="T667" s="7">
        <f>IF($AB667="","",S667*R667)</f>
        <v/>
      </c>
      <c r="U667">
        <f>IF($AB667="","",Settings!$C$6)</f>
        <v/>
      </c>
      <c r="V667" s="7">
        <f>IF($AB667="","",SUMIFS('Per Line'!$U$2:$U$4001,'Per Line'!$C$2:$C$4001,$B667,'Per Line'!$AL$2:$AL$4001,1,'Per Line'!$AM$2:$AM$4001,0))</f>
        <v/>
      </c>
      <c r="W667" s="7">
        <f>IF($AB667="","",V667*U667)</f>
        <v/>
      </c>
      <c r="X667" s="7">
        <f>IF($AB667="","",W667+T667)</f>
        <v/>
      </c>
      <c r="Y667" s="7">
        <f>IF($AB667="","",Z667-X667)</f>
        <v/>
      </c>
      <c r="Z667" s="7">
        <f>IF($AB667="","",S667+V667+Q667)</f>
        <v/>
      </c>
      <c r="AA667" s="7">
        <f>IF($AB667="","",Z667-X667-M667)</f>
        <v/>
      </c>
      <c r="AB667" s="13">
        <f>IF(ROWS($AB$2:$AB667)&lt;=MAX('Per Line'!$AK$2:$AK$4001),MATCH(ROWS($AB$2:$AB667),'Per Line'!$AK$2:$AK$4001,0),"")</f>
        <v/>
      </c>
      <c r="AC667" s="14">
        <f>IF($AB667="","",M667-L667*Z667/100)</f>
        <v/>
      </c>
    </row>
    <row r="668">
      <c r="A668" s="12" t="n"/>
      <c r="B668">
        <f>IF($AB668="","",INDEX('Per Line'!$C$2:$C$4001,$AB668)&amp;"")</f>
        <v/>
      </c>
      <c r="C668">
        <f>IF($AB668="","",INDEX('Per Line'!$D$2:$D$4001,$AB668)&amp;"")</f>
        <v/>
      </c>
      <c r="D668">
        <f>IF($AB668="","",INDEX('Per Line'!$B$2:$B$4001,$AB668)&amp;"")</f>
        <v/>
      </c>
      <c r="E668">
        <f>IF($AB668="","",INDEX('Per Line'!$A$2:$A$4001,$AB668))</f>
        <v/>
      </c>
      <c r="F668" s="11">
        <f>IF($AB668="","",INDEX('Per Line'!$E$2:$E$4001,$AB668))</f>
        <v/>
      </c>
      <c r="G668">
        <f>IF($AB668="","",INDEX('Per Line'!$F$2:$F$4001,$AB668)&amp;"")</f>
        <v/>
      </c>
      <c r="H668">
        <f>IF($AB668="","",INDEX('Per Line'!$H$2:$H$4001,$AB668)&amp;"")</f>
        <v/>
      </c>
      <c r="I668">
        <f>IF($AB668="","",INDEX('Per Line'!$I$2:$I$4001,$AB668)&amp;"")</f>
        <v/>
      </c>
      <c r="J668">
        <f>IF($AB668="","",INDEX('Per Line'!$J$2:$J$4001,$AB668)&amp;"")</f>
        <v/>
      </c>
      <c r="K668">
        <f>IF($AB668="","",INDEX('Per Line'!$K$2:$K$4001,$AB668)&amp;"")</f>
        <v/>
      </c>
      <c r="L668">
        <f>IF($AB668="","",INDEX('Per Line'!$L$2:$L$4001,$AB668))</f>
        <v/>
      </c>
      <c r="M668" s="7">
        <f>IF($AB668="","",IF(AND(ISNUMBER(O668),O668&gt;0,Z668&gt;O668),L668*O668/100+(Z668-O668),L668*Z668/100))</f>
        <v/>
      </c>
      <c r="N668">
        <f>IF($AB668="","",INDEX('Per Line'!$V$2:$V$4001,$AB668)&amp;"")</f>
        <v/>
      </c>
      <c r="O668">
        <f>IF($AB668="","",INDEX('Per Line'!$Z$2:$Z$4001,$AB668))</f>
        <v/>
      </c>
      <c r="P668">
        <f>IF($AB668="","",IF(AND(ISNUMBER(O668),O668&gt;0),Z668&gt;O668,FALSE))</f>
        <v/>
      </c>
      <c r="Q668" s="7">
        <f>IF($AB668="","",SUMIFS('Per Line'!$U$2:$U$4001,'Per Line'!$C$2:$C$4001,$B668,'Per Line'!$AM$2:$AM$4001,1))</f>
        <v/>
      </c>
      <c r="R668">
        <f>IF($AB668="","",Settings!$C$7)</f>
        <v/>
      </c>
      <c r="S668" s="7">
        <f>IF($AB668="","",SUMIFS('Per Line'!$U$2:$U$4001,'Per Line'!$C$2:$C$4001,$B668,'Per Line'!$AL$2:$AL$4001,0,'Per Line'!$AM$2:$AM$4001,0))</f>
        <v/>
      </c>
      <c r="T668" s="7">
        <f>IF($AB668="","",S668*R668)</f>
        <v/>
      </c>
      <c r="U668">
        <f>IF($AB668="","",Settings!$C$6)</f>
        <v/>
      </c>
      <c r="V668" s="7">
        <f>IF($AB668="","",SUMIFS('Per Line'!$U$2:$U$4001,'Per Line'!$C$2:$C$4001,$B668,'Per Line'!$AL$2:$AL$4001,1,'Per Line'!$AM$2:$AM$4001,0))</f>
        <v/>
      </c>
      <c r="W668" s="7">
        <f>IF($AB668="","",V668*U668)</f>
        <v/>
      </c>
      <c r="X668" s="7">
        <f>IF($AB668="","",W668+T668)</f>
        <v/>
      </c>
      <c r="Y668" s="7">
        <f>IF($AB668="","",Z668-X668)</f>
        <v/>
      </c>
      <c r="Z668" s="7">
        <f>IF($AB668="","",S668+V668+Q668)</f>
        <v/>
      </c>
      <c r="AA668" s="7">
        <f>IF($AB668="","",Z668-X668-M668)</f>
        <v/>
      </c>
      <c r="AB668" s="13">
        <f>IF(ROWS($AB$2:$AB668)&lt;=MAX('Per Line'!$AK$2:$AK$4001),MATCH(ROWS($AB$2:$AB668),'Per Line'!$AK$2:$AK$4001,0),"")</f>
        <v/>
      </c>
      <c r="AC668" s="14">
        <f>IF($AB668="","",M668-L668*Z668/100)</f>
        <v/>
      </c>
    </row>
    <row r="669">
      <c r="A669" s="12" t="n"/>
      <c r="B669">
        <f>IF($AB669="","",INDEX('Per Line'!$C$2:$C$4001,$AB669)&amp;"")</f>
        <v/>
      </c>
      <c r="C669">
        <f>IF($AB669="","",INDEX('Per Line'!$D$2:$D$4001,$AB669)&amp;"")</f>
        <v/>
      </c>
      <c r="D669">
        <f>IF($AB669="","",INDEX('Per Line'!$B$2:$B$4001,$AB669)&amp;"")</f>
        <v/>
      </c>
      <c r="E669">
        <f>IF($AB669="","",INDEX('Per Line'!$A$2:$A$4001,$AB669))</f>
        <v/>
      </c>
      <c r="F669" s="11">
        <f>IF($AB669="","",INDEX('Per Line'!$E$2:$E$4001,$AB669))</f>
        <v/>
      </c>
      <c r="G669">
        <f>IF($AB669="","",INDEX('Per Line'!$F$2:$F$4001,$AB669)&amp;"")</f>
        <v/>
      </c>
      <c r="H669">
        <f>IF($AB669="","",INDEX('Per Line'!$H$2:$H$4001,$AB669)&amp;"")</f>
        <v/>
      </c>
      <c r="I669">
        <f>IF($AB669="","",INDEX('Per Line'!$I$2:$I$4001,$AB669)&amp;"")</f>
        <v/>
      </c>
      <c r="J669">
        <f>IF($AB669="","",INDEX('Per Line'!$J$2:$J$4001,$AB669)&amp;"")</f>
        <v/>
      </c>
      <c r="K669">
        <f>IF($AB669="","",INDEX('Per Line'!$K$2:$K$4001,$AB669)&amp;"")</f>
        <v/>
      </c>
      <c r="L669">
        <f>IF($AB669="","",INDEX('Per Line'!$L$2:$L$4001,$AB669))</f>
        <v/>
      </c>
      <c r="M669" s="7">
        <f>IF($AB669="","",IF(AND(ISNUMBER(O669),O669&gt;0,Z669&gt;O669),L669*O669/100+(Z669-O669),L669*Z669/100))</f>
        <v/>
      </c>
      <c r="N669">
        <f>IF($AB669="","",INDEX('Per Line'!$V$2:$V$4001,$AB669)&amp;"")</f>
        <v/>
      </c>
      <c r="O669">
        <f>IF($AB669="","",INDEX('Per Line'!$Z$2:$Z$4001,$AB669))</f>
        <v/>
      </c>
      <c r="P669">
        <f>IF($AB669="","",IF(AND(ISNUMBER(O669),O669&gt;0),Z669&gt;O669,FALSE))</f>
        <v/>
      </c>
      <c r="Q669" s="7">
        <f>IF($AB669="","",SUMIFS('Per Line'!$U$2:$U$4001,'Per Line'!$C$2:$C$4001,$B669,'Per Line'!$AM$2:$AM$4001,1))</f>
        <v/>
      </c>
      <c r="R669">
        <f>IF($AB669="","",Settings!$C$7)</f>
        <v/>
      </c>
      <c r="S669" s="7">
        <f>IF($AB669="","",SUMIFS('Per Line'!$U$2:$U$4001,'Per Line'!$C$2:$C$4001,$B669,'Per Line'!$AL$2:$AL$4001,0,'Per Line'!$AM$2:$AM$4001,0))</f>
        <v/>
      </c>
      <c r="T669" s="7">
        <f>IF($AB669="","",S669*R669)</f>
        <v/>
      </c>
      <c r="U669">
        <f>IF($AB669="","",Settings!$C$6)</f>
        <v/>
      </c>
      <c r="V669" s="7">
        <f>IF($AB669="","",SUMIFS('Per Line'!$U$2:$U$4001,'Per Line'!$C$2:$C$4001,$B669,'Per Line'!$AL$2:$AL$4001,1,'Per Line'!$AM$2:$AM$4001,0))</f>
        <v/>
      </c>
      <c r="W669" s="7">
        <f>IF($AB669="","",V669*U669)</f>
        <v/>
      </c>
      <c r="X669" s="7">
        <f>IF($AB669="","",W669+T669)</f>
        <v/>
      </c>
      <c r="Y669" s="7">
        <f>IF($AB669="","",Z669-X669)</f>
        <v/>
      </c>
      <c r="Z669" s="7">
        <f>IF($AB669="","",S669+V669+Q669)</f>
        <v/>
      </c>
      <c r="AA669" s="7">
        <f>IF($AB669="","",Z669-X669-M669)</f>
        <v/>
      </c>
      <c r="AB669" s="13">
        <f>IF(ROWS($AB$2:$AB669)&lt;=MAX('Per Line'!$AK$2:$AK$4001),MATCH(ROWS($AB$2:$AB669),'Per Line'!$AK$2:$AK$4001,0),"")</f>
        <v/>
      </c>
      <c r="AC669" s="14">
        <f>IF($AB669="","",M669-L669*Z669/100)</f>
        <v/>
      </c>
    </row>
    <row r="670">
      <c r="A670" s="12" t="n"/>
      <c r="B670">
        <f>IF($AB670="","",INDEX('Per Line'!$C$2:$C$4001,$AB670)&amp;"")</f>
        <v/>
      </c>
      <c r="C670">
        <f>IF($AB670="","",INDEX('Per Line'!$D$2:$D$4001,$AB670)&amp;"")</f>
        <v/>
      </c>
      <c r="D670">
        <f>IF($AB670="","",INDEX('Per Line'!$B$2:$B$4001,$AB670)&amp;"")</f>
        <v/>
      </c>
      <c r="E670">
        <f>IF($AB670="","",INDEX('Per Line'!$A$2:$A$4001,$AB670))</f>
        <v/>
      </c>
      <c r="F670" s="11">
        <f>IF($AB670="","",INDEX('Per Line'!$E$2:$E$4001,$AB670))</f>
        <v/>
      </c>
      <c r="G670">
        <f>IF($AB670="","",INDEX('Per Line'!$F$2:$F$4001,$AB670)&amp;"")</f>
        <v/>
      </c>
      <c r="H670">
        <f>IF($AB670="","",INDEX('Per Line'!$H$2:$H$4001,$AB670)&amp;"")</f>
        <v/>
      </c>
      <c r="I670">
        <f>IF($AB670="","",INDEX('Per Line'!$I$2:$I$4001,$AB670)&amp;"")</f>
        <v/>
      </c>
      <c r="J670">
        <f>IF($AB670="","",INDEX('Per Line'!$J$2:$J$4001,$AB670)&amp;"")</f>
        <v/>
      </c>
      <c r="K670">
        <f>IF($AB670="","",INDEX('Per Line'!$K$2:$K$4001,$AB670)&amp;"")</f>
        <v/>
      </c>
      <c r="L670">
        <f>IF($AB670="","",INDEX('Per Line'!$L$2:$L$4001,$AB670))</f>
        <v/>
      </c>
      <c r="M670" s="7">
        <f>IF($AB670="","",IF(AND(ISNUMBER(O670),O670&gt;0,Z670&gt;O670),L670*O670/100+(Z670-O670),L670*Z670/100))</f>
        <v/>
      </c>
      <c r="N670">
        <f>IF($AB670="","",INDEX('Per Line'!$V$2:$V$4001,$AB670)&amp;"")</f>
        <v/>
      </c>
      <c r="O670">
        <f>IF($AB670="","",INDEX('Per Line'!$Z$2:$Z$4001,$AB670))</f>
        <v/>
      </c>
      <c r="P670">
        <f>IF($AB670="","",IF(AND(ISNUMBER(O670),O670&gt;0),Z670&gt;O670,FALSE))</f>
        <v/>
      </c>
      <c r="Q670" s="7">
        <f>IF($AB670="","",SUMIFS('Per Line'!$U$2:$U$4001,'Per Line'!$C$2:$C$4001,$B670,'Per Line'!$AM$2:$AM$4001,1))</f>
        <v/>
      </c>
      <c r="R670">
        <f>IF($AB670="","",Settings!$C$7)</f>
        <v/>
      </c>
      <c r="S670" s="7">
        <f>IF($AB670="","",SUMIFS('Per Line'!$U$2:$U$4001,'Per Line'!$C$2:$C$4001,$B670,'Per Line'!$AL$2:$AL$4001,0,'Per Line'!$AM$2:$AM$4001,0))</f>
        <v/>
      </c>
      <c r="T670" s="7">
        <f>IF($AB670="","",S670*R670)</f>
        <v/>
      </c>
      <c r="U670">
        <f>IF($AB670="","",Settings!$C$6)</f>
        <v/>
      </c>
      <c r="V670" s="7">
        <f>IF($AB670="","",SUMIFS('Per Line'!$U$2:$U$4001,'Per Line'!$C$2:$C$4001,$B670,'Per Line'!$AL$2:$AL$4001,1,'Per Line'!$AM$2:$AM$4001,0))</f>
        <v/>
      </c>
      <c r="W670" s="7">
        <f>IF($AB670="","",V670*U670)</f>
        <v/>
      </c>
      <c r="X670" s="7">
        <f>IF($AB670="","",W670+T670)</f>
        <v/>
      </c>
      <c r="Y670" s="7">
        <f>IF($AB670="","",Z670-X670)</f>
        <v/>
      </c>
      <c r="Z670" s="7">
        <f>IF($AB670="","",S670+V670+Q670)</f>
        <v/>
      </c>
      <c r="AA670" s="7">
        <f>IF($AB670="","",Z670-X670-M670)</f>
        <v/>
      </c>
      <c r="AB670" s="13">
        <f>IF(ROWS($AB$2:$AB670)&lt;=MAX('Per Line'!$AK$2:$AK$4001),MATCH(ROWS($AB$2:$AB670),'Per Line'!$AK$2:$AK$4001,0),"")</f>
        <v/>
      </c>
      <c r="AC670" s="14">
        <f>IF($AB670="","",M670-L670*Z670/100)</f>
        <v/>
      </c>
    </row>
    <row r="671">
      <c r="A671" s="12" t="n"/>
      <c r="B671">
        <f>IF($AB671="","",INDEX('Per Line'!$C$2:$C$4001,$AB671)&amp;"")</f>
        <v/>
      </c>
      <c r="C671">
        <f>IF($AB671="","",INDEX('Per Line'!$D$2:$D$4001,$AB671)&amp;"")</f>
        <v/>
      </c>
      <c r="D671">
        <f>IF($AB671="","",INDEX('Per Line'!$B$2:$B$4001,$AB671)&amp;"")</f>
        <v/>
      </c>
      <c r="E671">
        <f>IF($AB671="","",INDEX('Per Line'!$A$2:$A$4001,$AB671))</f>
        <v/>
      </c>
      <c r="F671" s="11">
        <f>IF($AB671="","",INDEX('Per Line'!$E$2:$E$4001,$AB671))</f>
        <v/>
      </c>
      <c r="G671">
        <f>IF($AB671="","",INDEX('Per Line'!$F$2:$F$4001,$AB671)&amp;"")</f>
        <v/>
      </c>
      <c r="H671">
        <f>IF($AB671="","",INDEX('Per Line'!$H$2:$H$4001,$AB671)&amp;"")</f>
        <v/>
      </c>
      <c r="I671">
        <f>IF($AB671="","",INDEX('Per Line'!$I$2:$I$4001,$AB671)&amp;"")</f>
        <v/>
      </c>
      <c r="J671">
        <f>IF($AB671="","",INDEX('Per Line'!$J$2:$J$4001,$AB671)&amp;"")</f>
        <v/>
      </c>
      <c r="K671">
        <f>IF($AB671="","",INDEX('Per Line'!$K$2:$K$4001,$AB671)&amp;"")</f>
        <v/>
      </c>
      <c r="L671">
        <f>IF($AB671="","",INDEX('Per Line'!$L$2:$L$4001,$AB671))</f>
        <v/>
      </c>
      <c r="M671" s="7">
        <f>IF($AB671="","",IF(AND(ISNUMBER(O671),O671&gt;0,Z671&gt;O671),L671*O671/100+(Z671-O671),L671*Z671/100))</f>
        <v/>
      </c>
      <c r="N671">
        <f>IF($AB671="","",INDEX('Per Line'!$V$2:$V$4001,$AB671)&amp;"")</f>
        <v/>
      </c>
      <c r="O671">
        <f>IF($AB671="","",INDEX('Per Line'!$Z$2:$Z$4001,$AB671))</f>
        <v/>
      </c>
      <c r="P671">
        <f>IF($AB671="","",IF(AND(ISNUMBER(O671),O671&gt;0),Z671&gt;O671,FALSE))</f>
        <v/>
      </c>
      <c r="Q671" s="7">
        <f>IF($AB671="","",SUMIFS('Per Line'!$U$2:$U$4001,'Per Line'!$C$2:$C$4001,$B671,'Per Line'!$AM$2:$AM$4001,1))</f>
        <v/>
      </c>
      <c r="R671">
        <f>IF($AB671="","",Settings!$C$7)</f>
        <v/>
      </c>
      <c r="S671" s="7">
        <f>IF($AB671="","",SUMIFS('Per Line'!$U$2:$U$4001,'Per Line'!$C$2:$C$4001,$B671,'Per Line'!$AL$2:$AL$4001,0,'Per Line'!$AM$2:$AM$4001,0))</f>
        <v/>
      </c>
      <c r="T671" s="7">
        <f>IF($AB671="","",S671*R671)</f>
        <v/>
      </c>
      <c r="U671">
        <f>IF($AB671="","",Settings!$C$6)</f>
        <v/>
      </c>
      <c r="V671" s="7">
        <f>IF($AB671="","",SUMIFS('Per Line'!$U$2:$U$4001,'Per Line'!$C$2:$C$4001,$B671,'Per Line'!$AL$2:$AL$4001,1,'Per Line'!$AM$2:$AM$4001,0))</f>
        <v/>
      </c>
      <c r="W671" s="7">
        <f>IF($AB671="","",V671*U671)</f>
        <v/>
      </c>
      <c r="X671" s="7">
        <f>IF($AB671="","",W671+T671)</f>
        <v/>
      </c>
      <c r="Y671" s="7">
        <f>IF($AB671="","",Z671-X671)</f>
        <v/>
      </c>
      <c r="Z671" s="7">
        <f>IF($AB671="","",S671+V671+Q671)</f>
        <v/>
      </c>
      <c r="AA671" s="7">
        <f>IF($AB671="","",Z671-X671-M671)</f>
        <v/>
      </c>
      <c r="AB671" s="13">
        <f>IF(ROWS($AB$2:$AB671)&lt;=MAX('Per Line'!$AK$2:$AK$4001),MATCH(ROWS($AB$2:$AB671),'Per Line'!$AK$2:$AK$4001,0),"")</f>
        <v/>
      </c>
      <c r="AC671" s="14">
        <f>IF($AB671="","",M671-L671*Z671/100)</f>
        <v/>
      </c>
    </row>
    <row r="672">
      <c r="A672" s="12" t="n"/>
      <c r="B672">
        <f>IF($AB672="","",INDEX('Per Line'!$C$2:$C$4001,$AB672)&amp;"")</f>
        <v/>
      </c>
      <c r="C672">
        <f>IF($AB672="","",INDEX('Per Line'!$D$2:$D$4001,$AB672)&amp;"")</f>
        <v/>
      </c>
      <c r="D672">
        <f>IF($AB672="","",INDEX('Per Line'!$B$2:$B$4001,$AB672)&amp;"")</f>
        <v/>
      </c>
      <c r="E672">
        <f>IF($AB672="","",INDEX('Per Line'!$A$2:$A$4001,$AB672))</f>
        <v/>
      </c>
      <c r="F672" s="11">
        <f>IF($AB672="","",INDEX('Per Line'!$E$2:$E$4001,$AB672))</f>
        <v/>
      </c>
      <c r="G672">
        <f>IF($AB672="","",INDEX('Per Line'!$F$2:$F$4001,$AB672)&amp;"")</f>
        <v/>
      </c>
      <c r="H672">
        <f>IF($AB672="","",INDEX('Per Line'!$H$2:$H$4001,$AB672)&amp;"")</f>
        <v/>
      </c>
      <c r="I672">
        <f>IF($AB672="","",INDEX('Per Line'!$I$2:$I$4001,$AB672)&amp;"")</f>
        <v/>
      </c>
      <c r="J672">
        <f>IF($AB672="","",INDEX('Per Line'!$J$2:$J$4001,$AB672)&amp;"")</f>
        <v/>
      </c>
      <c r="K672">
        <f>IF($AB672="","",INDEX('Per Line'!$K$2:$K$4001,$AB672)&amp;"")</f>
        <v/>
      </c>
      <c r="L672">
        <f>IF($AB672="","",INDEX('Per Line'!$L$2:$L$4001,$AB672))</f>
        <v/>
      </c>
      <c r="M672" s="7">
        <f>IF($AB672="","",IF(AND(ISNUMBER(O672),O672&gt;0,Z672&gt;O672),L672*O672/100+(Z672-O672),L672*Z672/100))</f>
        <v/>
      </c>
      <c r="N672">
        <f>IF($AB672="","",INDEX('Per Line'!$V$2:$V$4001,$AB672)&amp;"")</f>
        <v/>
      </c>
      <c r="O672">
        <f>IF($AB672="","",INDEX('Per Line'!$Z$2:$Z$4001,$AB672))</f>
        <v/>
      </c>
      <c r="P672">
        <f>IF($AB672="","",IF(AND(ISNUMBER(O672),O672&gt;0),Z672&gt;O672,FALSE))</f>
        <v/>
      </c>
      <c r="Q672" s="7">
        <f>IF($AB672="","",SUMIFS('Per Line'!$U$2:$U$4001,'Per Line'!$C$2:$C$4001,$B672,'Per Line'!$AM$2:$AM$4001,1))</f>
        <v/>
      </c>
      <c r="R672">
        <f>IF($AB672="","",Settings!$C$7)</f>
        <v/>
      </c>
      <c r="S672" s="7">
        <f>IF($AB672="","",SUMIFS('Per Line'!$U$2:$U$4001,'Per Line'!$C$2:$C$4001,$B672,'Per Line'!$AL$2:$AL$4001,0,'Per Line'!$AM$2:$AM$4001,0))</f>
        <v/>
      </c>
      <c r="T672" s="7">
        <f>IF($AB672="","",S672*R672)</f>
        <v/>
      </c>
      <c r="U672">
        <f>IF($AB672="","",Settings!$C$6)</f>
        <v/>
      </c>
      <c r="V672" s="7">
        <f>IF($AB672="","",SUMIFS('Per Line'!$U$2:$U$4001,'Per Line'!$C$2:$C$4001,$B672,'Per Line'!$AL$2:$AL$4001,1,'Per Line'!$AM$2:$AM$4001,0))</f>
        <v/>
      </c>
      <c r="W672" s="7">
        <f>IF($AB672="","",V672*U672)</f>
        <v/>
      </c>
      <c r="X672" s="7">
        <f>IF($AB672="","",W672+T672)</f>
        <v/>
      </c>
      <c r="Y672" s="7">
        <f>IF($AB672="","",Z672-X672)</f>
        <v/>
      </c>
      <c r="Z672" s="7">
        <f>IF($AB672="","",S672+V672+Q672)</f>
        <v/>
      </c>
      <c r="AA672" s="7">
        <f>IF($AB672="","",Z672-X672-M672)</f>
        <v/>
      </c>
      <c r="AB672" s="13">
        <f>IF(ROWS($AB$2:$AB672)&lt;=MAX('Per Line'!$AK$2:$AK$4001),MATCH(ROWS($AB$2:$AB672),'Per Line'!$AK$2:$AK$4001,0),"")</f>
        <v/>
      </c>
      <c r="AC672" s="14">
        <f>IF($AB672="","",M672-L672*Z672/100)</f>
        <v/>
      </c>
    </row>
    <row r="673">
      <c r="A673" s="12" t="n"/>
      <c r="B673">
        <f>IF($AB673="","",INDEX('Per Line'!$C$2:$C$4001,$AB673)&amp;"")</f>
        <v/>
      </c>
      <c r="C673">
        <f>IF($AB673="","",INDEX('Per Line'!$D$2:$D$4001,$AB673)&amp;"")</f>
        <v/>
      </c>
      <c r="D673">
        <f>IF($AB673="","",INDEX('Per Line'!$B$2:$B$4001,$AB673)&amp;"")</f>
        <v/>
      </c>
      <c r="E673">
        <f>IF($AB673="","",INDEX('Per Line'!$A$2:$A$4001,$AB673))</f>
        <v/>
      </c>
      <c r="F673" s="11">
        <f>IF($AB673="","",INDEX('Per Line'!$E$2:$E$4001,$AB673))</f>
        <v/>
      </c>
      <c r="G673">
        <f>IF($AB673="","",INDEX('Per Line'!$F$2:$F$4001,$AB673)&amp;"")</f>
        <v/>
      </c>
      <c r="H673">
        <f>IF($AB673="","",INDEX('Per Line'!$H$2:$H$4001,$AB673)&amp;"")</f>
        <v/>
      </c>
      <c r="I673">
        <f>IF($AB673="","",INDEX('Per Line'!$I$2:$I$4001,$AB673)&amp;"")</f>
        <v/>
      </c>
      <c r="J673">
        <f>IF($AB673="","",INDEX('Per Line'!$J$2:$J$4001,$AB673)&amp;"")</f>
        <v/>
      </c>
      <c r="K673">
        <f>IF($AB673="","",INDEX('Per Line'!$K$2:$K$4001,$AB673)&amp;"")</f>
        <v/>
      </c>
      <c r="L673">
        <f>IF($AB673="","",INDEX('Per Line'!$L$2:$L$4001,$AB673))</f>
        <v/>
      </c>
      <c r="M673" s="7">
        <f>IF($AB673="","",IF(AND(ISNUMBER(O673),O673&gt;0,Z673&gt;O673),L673*O673/100+(Z673-O673),L673*Z673/100))</f>
        <v/>
      </c>
      <c r="N673">
        <f>IF($AB673="","",INDEX('Per Line'!$V$2:$V$4001,$AB673)&amp;"")</f>
        <v/>
      </c>
      <c r="O673">
        <f>IF($AB673="","",INDEX('Per Line'!$Z$2:$Z$4001,$AB673))</f>
        <v/>
      </c>
      <c r="P673">
        <f>IF($AB673="","",IF(AND(ISNUMBER(O673),O673&gt;0),Z673&gt;O673,FALSE))</f>
        <v/>
      </c>
      <c r="Q673" s="7">
        <f>IF($AB673="","",SUMIFS('Per Line'!$U$2:$U$4001,'Per Line'!$C$2:$C$4001,$B673,'Per Line'!$AM$2:$AM$4001,1))</f>
        <v/>
      </c>
      <c r="R673">
        <f>IF($AB673="","",Settings!$C$7)</f>
        <v/>
      </c>
      <c r="S673" s="7">
        <f>IF($AB673="","",SUMIFS('Per Line'!$U$2:$U$4001,'Per Line'!$C$2:$C$4001,$B673,'Per Line'!$AL$2:$AL$4001,0,'Per Line'!$AM$2:$AM$4001,0))</f>
        <v/>
      </c>
      <c r="T673" s="7">
        <f>IF($AB673="","",S673*R673)</f>
        <v/>
      </c>
      <c r="U673">
        <f>IF($AB673="","",Settings!$C$6)</f>
        <v/>
      </c>
      <c r="V673" s="7">
        <f>IF($AB673="","",SUMIFS('Per Line'!$U$2:$U$4001,'Per Line'!$C$2:$C$4001,$B673,'Per Line'!$AL$2:$AL$4001,1,'Per Line'!$AM$2:$AM$4001,0))</f>
        <v/>
      </c>
      <c r="W673" s="7">
        <f>IF($AB673="","",V673*U673)</f>
        <v/>
      </c>
      <c r="X673" s="7">
        <f>IF($AB673="","",W673+T673)</f>
        <v/>
      </c>
      <c r="Y673" s="7">
        <f>IF($AB673="","",Z673-X673)</f>
        <v/>
      </c>
      <c r="Z673" s="7">
        <f>IF($AB673="","",S673+V673+Q673)</f>
        <v/>
      </c>
      <c r="AA673" s="7">
        <f>IF($AB673="","",Z673-X673-M673)</f>
        <v/>
      </c>
      <c r="AB673" s="13">
        <f>IF(ROWS($AB$2:$AB673)&lt;=MAX('Per Line'!$AK$2:$AK$4001),MATCH(ROWS($AB$2:$AB673),'Per Line'!$AK$2:$AK$4001,0),"")</f>
        <v/>
      </c>
      <c r="AC673" s="14">
        <f>IF($AB673="","",M673-L673*Z673/100)</f>
        <v/>
      </c>
    </row>
    <row r="674">
      <c r="A674" s="12" t="n"/>
      <c r="B674">
        <f>IF($AB674="","",INDEX('Per Line'!$C$2:$C$4001,$AB674)&amp;"")</f>
        <v/>
      </c>
      <c r="C674">
        <f>IF($AB674="","",INDEX('Per Line'!$D$2:$D$4001,$AB674)&amp;"")</f>
        <v/>
      </c>
      <c r="D674">
        <f>IF($AB674="","",INDEX('Per Line'!$B$2:$B$4001,$AB674)&amp;"")</f>
        <v/>
      </c>
      <c r="E674">
        <f>IF($AB674="","",INDEX('Per Line'!$A$2:$A$4001,$AB674))</f>
        <v/>
      </c>
      <c r="F674" s="11">
        <f>IF($AB674="","",INDEX('Per Line'!$E$2:$E$4001,$AB674))</f>
        <v/>
      </c>
      <c r="G674">
        <f>IF($AB674="","",INDEX('Per Line'!$F$2:$F$4001,$AB674)&amp;"")</f>
        <v/>
      </c>
      <c r="H674">
        <f>IF($AB674="","",INDEX('Per Line'!$H$2:$H$4001,$AB674)&amp;"")</f>
        <v/>
      </c>
      <c r="I674">
        <f>IF($AB674="","",INDEX('Per Line'!$I$2:$I$4001,$AB674)&amp;"")</f>
        <v/>
      </c>
      <c r="J674">
        <f>IF($AB674="","",INDEX('Per Line'!$J$2:$J$4001,$AB674)&amp;"")</f>
        <v/>
      </c>
      <c r="K674">
        <f>IF($AB674="","",INDEX('Per Line'!$K$2:$K$4001,$AB674)&amp;"")</f>
        <v/>
      </c>
      <c r="L674">
        <f>IF($AB674="","",INDEX('Per Line'!$L$2:$L$4001,$AB674))</f>
        <v/>
      </c>
      <c r="M674" s="7">
        <f>IF($AB674="","",IF(AND(ISNUMBER(O674),O674&gt;0,Z674&gt;O674),L674*O674/100+(Z674-O674),L674*Z674/100))</f>
        <v/>
      </c>
      <c r="N674">
        <f>IF($AB674="","",INDEX('Per Line'!$V$2:$V$4001,$AB674)&amp;"")</f>
        <v/>
      </c>
      <c r="O674">
        <f>IF($AB674="","",INDEX('Per Line'!$Z$2:$Z$4001,$AB674))</f>
        <v/>
      </c>
      <c r="P674">
        <f>IF($AB674="","",IF(AND(ISNUMBER(O674),O674&gt;0),Z674&gt;O674,FALSE))</f>
        <v/>
      </c>
      <c r="Q674" s="7">
        <f>IF($AB674="","",SUMIFS('Per Line'!$U$2:$U$4001,'Per Line'!$C$2:$C$4001,$B674,'Per Line'!$AM$2:$AM$4001,1))</f>
        <v/>
      </c>
      <c r="R674">
        <f>IF($AB674="","",Settings!$C$7)</f>
        <v/>
      </c>
      <c r="S674" s="7">
        <f>IF($AB674="","",SUMIFS('Per Line'!$U$2:$U$4001,'Per Line'!$C$2:$C$4001,$B674,'Per Line'!$AL$2:$AL$4001,0,'Per Line'!$AM$2:$AM$4001,0))</f>
        <v/>
      </c>
      <c r="T674" s="7">
        <f>IF($AB674="","",S674*R674)</f>
        <v/>
      </c>
      <c r="U674">
        <f>IF($AB674="","",Settings!$C$6)</f>
        <v/>
      </c>
      <c r="V674" s="7">
        <f>IF($AB674="","",SUMIFS('Per Line'!$U$2:$U$4001,'Per Line'!$C$2:$C$4001,$B674,'Per Line'!$AL$2:$AL$4001,1,'Per Line'!$AM$2:$AM$4001,0))</f>
        <v/>
      </c>
      <c r="W674" s="7">
        <f>IF($AB674="","",V674*U674)</f>
        <v/>
      </c>
      <c r="X674" s="7">
        <f>IF($AB674="","",W674+T674)</f>
        <v/>
      </c>
      <c r="Y674" s="7">
        <f>IF($AB674="","",Z674-X674)</f>
        <v/>
      </c>
      <c r="Z674" s="7">
        <f>IF($AB674="","",S674+V674+Q674)</f>
        <v/>
      </c>
      <c r="AA674" s="7">
        <f>IF($AB674="","",Z674-X674-M674)</f>
        <v/>
      </c>
      <c r="AB674" s="13">
        <f>IF(ROWS($AB$2:$AB674)&lt;=MAX('Per Line'!$AK$2:$AK$4001),MATCH(ROWS($AB$2:$AB674),'Per Line'!$AK$2:$AK$4001,0),"")</f>
        <v/>
      </c>
      <c r="AC674" s="14">
        <f>IF($AB674="","",M674-L674*Z674/100)</f>
        <v/>
      </c>
    </row>
    <row r="675">
      <c r="A675" s="12" t="n"/>
      <c r="B675">
        <f>IF($AB675="","",INDEX('Per Line'!$C$2:$C$4001,$AB675)&amp;"")</f>
        <v/>
      </c>
      <c r="C675">
        <f>IF($AB675="","",INDEX('Per Line'!$D$2:$D$4001,$AB675)&amp;"")</f>
        <v/>
      </c>
      <c r="D675">
        <f>IF($AB675="","",INDEX('Per Line'!$B$2:$B$4001,$AB675)&amp;"")</f>
        <v/>
      </c>
      <c r="E675">
        <f>IF($AB675="","",INDEX('Per Line'!$A$2:$A$4001,$AB675))</f>
        <v/>
      </c>
      <c r="F675" s="11">
        <f>IF($AB675="","",INDEX('Per Line'!$E$2:$E$4001,$AB675))</f>
        <v/>
      </c>
      <c r="G675">
        <f>IF($AB675="","",INDEX('Per Line'!$F$2:$F$4001,$AB675)&amp;"")</f>
        <v/>
      </c>
      <c r="H675">
        <f>IF($AB675="","",INDEX('Per Line'!$H$2:$H$4001,$AB675)&amp;"")</f>
        <v/>
      </c>
      <c r="I675">
        <f>IF($AB675="","",INDEX('Per Line'!$I$2:$I$4001,$AB675)&amp;"")</f>
        <v/>
      </c>
      <c r="J675">
        <f>IF($AB675="","",INDEX('Per Line'!$J$2:$J$4001,$AB675)&amp;"")</f>
        <v/>
      </c>
      <c r="K675">
        <f>IF($AB675="","",INDEX('Per Line'!$K$2:$K$4001,$AB675)&amp;"")</f>
        <v/>
      </c>
      <c r="L675">
        <f>IF($AB675="","",INDEX('Per Line'!$L$2:$L$4001,$AB675))</f>
        <v/>
      </c>
      <c r="M675" s="7">
        <f>IF($AB675="","",IF(AND(ISNUMBER(O675),O675&gt;0,Z675&gt;O675),L675*O675/100+(Z675-O675),L675*Z675/100))</f>
        <v/>
      </c>
      <c r="N675">
        <f>IF($AB675="","",INDEX('Per Line'!$V$2:$V$4001,$AB675)&amp;"")</f>
        <v/>
      </c>
      <c r="O675">
        <f>IF($AB675="","",INDEX('Per Line'!$Z$2:$Z$4001,$AB675))</f>
        <v/>
      </c>
      <c r="P675">
        <f>IF($AB675="","",IF(AND(ISNUMBER(O675),O675&gt;0),Z675&gt;O675,FALSE))</f>
        <v/>
      </c>
      <c r="Q675" s="7">
        <f>IF($AB675="","",SUMIFS('Per Line'!$U$2:$U$4001,'Per Line'!$C$2:$C$4001,$B675,'Per Line'!$AM$2:$AM$4001,1))</f>
        <v/>
      </c>
      <c r="R675">
        <f>IF($AB675="","",Settings!$C$7)</f>
        <v/>
      </c>
      <c r="S675" s="7">
        <f>IF($AB675="","",SUMIFS('Per Line'!$U$2:$U$4001,'Per Line'!$C$2:$C$4001,$B675,'Per Line'!$AL$2:$AL$4001,0,'Per Line'!$AM$2:$AM$4001,0))</f>
        <v/>
      </c>
      <c r="T675" s="7">
        <f>IF($AB675="","",S675*R675)</f>
        <v/>
      </c>
      <c r="U675">
        <f>IF($AB675="","",Settings!$C$6)</f>
        <v/>
      </c>
      <c r="V675" s="7">
        <f>IF($AB675="","",SUMIFS('Per Line'!$U$2:$U$4001,'Per Line'!$C$2:$C$4001,$B675,'Per Line'!$AL$2:$AL$4001,1,'Per Line'!$AM$2:$AM$4001,0))</f>
        <v/>
      </c>
      <c r="W675" s="7">
        <f>IF($AB675="","",V675*U675)</f>
        <v/>
      </c>
      <c r="X675" s="7">
        <f>IF($AB675="","",W675+T675)</f>
        <v/>
      </c>
      <c r="Y675" s="7">
        <f>IF($AB675="","",Z675-X675)</f>
        <v/>
      </c>
      <c r="Z675" s="7">
        <f>IF($AB675="","",S675+V675+Q675)</f>
        <v/>
      </c>
      <c r="AA675" s="7">
        <f>IF($AB675="","",Z675-X675-M675)</f>
        <v/>
      </c>
      <c r="AB675" s="13">
        <f>IF(ROWS($AB$2:$AB675)&lt;=MAX('Per Line'!$AK$2:$AK$4001),MATCH(ROWS($AB$2:$AB675),'Per Line'!$AK$2:$AK$4001,0),"")</f>
        <v/>
      </c>
      <c r="AC675" s="14">
        <f>IF($AB675="","",M675-L675*Z675/100)</f>
        <v/>
      </c>
    </row>
    <row r="676">
      <c r="A676" s="12" t="n"/>
      <c r="B676">
        <f>IF($AB676="","",INDEX('Per Line'!$C$2:$C$4001,$AB676)&amp;"")</f>
        <v/>
      </c>
      <c r="C676">
        <f>IF($AB676="","",INDEX('Per Line'!$D$2:$D$4001,$AB676)&amp;"")</f>
        <v/>
      </c>
      <c r="D676">
        <f>IF($AB676="","",INDEX('Per Line'!$B$2:$B$4001,$AB676)&amp;"")</f>
        <v/>
      </c>
      <c r="E676">
        <f>IF($AB676="","",INDEX('Per Line'!$A$2:$A$4001,$AB676))</f>
        <v/>
      </c>
      <c r="F676" s="11">
        <f>IF($AB676="","",INDEX('Per Line'!$E$2:$E$4001,$AB676))</f>
        <v/>
      </c>
      <c r="G676">
        <f>IF($AB676="","",INDEX('Per Line'!$F$2:$F$4001,$AB676)&amp;"")</f>
        <v/>
      </c>
      <c r="H676">
        <f>IF($AB676="","",INDEX('Per Line'!$H$2:$H$4001,$AB676)&amp;"")</f>
        <v/>
      </c>
      <c r="I676">
        <f>IF($AB676="","",INDEX('Per Line'!$I$2:$I$4001,$AB676)&amp;"")</f>
        <v/>
      </c>
      <c r="J676">
        <f>IF($AB676="","",INDEX('Per Line'!$J$2:$J$4001,$AB676)&amp;"")</f>
        <v/>
      </c>
      <c r="K676">
        <f>IF($AB676="","",INDEX('Per Line'!$K$2:$K$4001,$AB676)&amp;"")</f>
        <v/>
      </c>
      <c r="L676">
        <f>IF($AB676="","",INDEX('Per Line'!$L$2:$L$4001,$AB676))</f>
        <v/>
      </c>
      <c r="M676" s="7">
        <f>IF($AB676="","",IF(AND(ISNUMBER(O676),O676&gt;0,Z676&gt;O676),L676*O676/100+(Z676-O676),L676*Z676/100))</f>
        <v/>
      </c>
      <c r="N676">
        <f>IF($AB676="","",INDEX('Per Line'!$V$2:$V$4001,$AB676)&amp;"")</f>
        <v/>
      </c>
      <c r="O676">
        <f>IF($AB676="","",INDEX('Per Line'!$Z$2:$Z$4001,$AB676))</f>
        <v/>
      </c>
      <c r="P676">
        <f>IF($AB676="","",IF(AND(ISNUMBER(O676),O676&gt;0),Z676&gt;O676,FALSE))</f>
        <v/>
      </c>
      <c r="Q676" s="7">
        <f>IF($AB676="","",SUMIFS('Per Line'!$U$2:$U$4001,'Per Line'!$C$2:$C$4001,$B676,'Per Line'!$AM$2:$AM$4001,1))</f>
        <v/>
      </c>
      <c r="R676">
        <f>IF($AB676="","",Settings!$C$7)</f>
        <v/>
      </c>
      <c r="S676" s="7">
        <f>IF($AB676="","",SUMIFS('Per Line'!$U$2:$U$4001,'Per Line'!$C$2:$C$4001,$B676,'Per Line'!$AL$2:$AL$4001,0,'Per Line'!$AM$2:$AM$4001,0))</f>
        <v/>
      </c>
      <c r="T676" s="7">
        <f>IF($AB676="","",S676*R676)</f>
        <v/>
      </c>
      <c r="U676">
        <f>IF($AB676="","",Settings!$C$6)</f>
        <v/>
      </c>
      <c r="V676" s="7">
        <f>IF($AB676="","",SUMIFS('Per Line'!$U$2:$U$4001,'Per Line'!$C$2:$C$4001,$B676,'Per Line'!$AL$2:$AL$4001,1,'Per Line'!$AM$2:$AM$4001,0))</f>
        <v/>
      </c>
      <c r="W676" s="7">
        <f>IF($AB676="","",V676*U676)</f>
        <v/>
      </c>
      <c r="X676" s="7">
        <f>IF($AB676="","",W676+T676)</f>
        <v/>
      </c>
      <c r="Y676" s="7">
        <f>IF($AB676="","",Z676-X676)</f>
        <v/>
      </c>
      <c r="Z676" s="7">
        <f>IF($AB676="","",S676+V676+Q676)</f>
        <v/>
      </c>
      <c r="AA676" s="7">
        <f>IF($AB676="","",Z676-X676-M676)</f>
        <v/>
      </c>
      <c r="AB676" s="13">
        <f>IF(ROWS($AB$2:$AB676)&lt;=MAX('Per Line'!$AK$2:$AK$4001),MATCH(ROWS($AB$2:$AB676),'Per Line'!$AK$2:$AK$4001,0),"")</f>
        <v/>
      </c>
      <c r="AC676" s="14">
        <f>IF($AB676="","",M676-L676*Z676/100)</f>
        <v/>
      </c>
    </row>
    <row r="677">
      <c r="A677" s="12" t="n"/>
      <c r="B677">
        <f>IF($AB677="","",INDEX('Per Line'!$C$2:$C$4001,$AB677)&amp;"")</f>
        <v/>
      </c>
      <c r="C677">
        <f>IF($AB677="","",INDEX('Per Line'!$D$2:$D$4001,$AB677)&amp;"")</f>
        <v/>
      </c>
      <c r="D677">
        <f>IF($AB677="","",INDEX('Per Line'!$B$2:$B$4001,$AB677)&amp;"")</f>
        <v/>
      </c>
      <c r="E677">
        <f>IF($AB677="","",INDEX('Per Line'!$A$2:$A$4001,$AB677))</f>
        <v/>
      </c>
      <c r="F677" s="11">
        <f>IF($AB677="","",INDEX('Per Line'!$E$2:$E$4001,$AB677))</f>
        <v/>
      </c>
      <c r="G677">
        <f>IF($AB677="","",INDEX('Per Line'!$F$2:$F$4001,$AB677)&amp;"")</f>
        <v/>
      </c>
      <c r="H677">
        <f>IF($AB677="","",INDEX('Per Line'!$H$2:$H$4001,$AB677)&amp;"")</f>
        <v/>
      </c>
      <c r="I677">
        <f>IF($AB677="","",INDEX('Per Line'!$I$2:$I$4001,$AB677)&amp;"")</f>
        <v/>
      </c>
      <c r="J677">
        <f>IF($AB677="","",INDEX('Per Line'!$J$2:$J$4001,$AB677)&amp;"")</f>
        <v/>
      </c>
      <c r="K677">
        <f>IF($AB677="","",INDEX('Per Line'!$K$2:$K$4001,$AB677)&amp;"")</f>
        <v/>
      </c>
      <c r="L677">
        <f>IF($AB677="","",INDEX('Per Line'!$L$2:$L$4001,$AB677))</f>
        <v/>
      </c>
      <c r="M677" s="7">
        <f>IF($AB677="","",IF(AND(ISNUMBER(O677),O677&gt;0,Z677&gt;O677),L677*O677/100+(Z677-O677),L677*Z677/100))</f>
        <v/>
      </c>
      <c r="N677">
        <f>IF($AB677="","",INDEX('Per Line'!$V$2:$V$4001,$AB677)&amp;"")</f>
        <v/>
      </c>
      <c r="O677">
        <f>IF($AB677="","",INDEX('Per Line'!$Z$2:$Z$4001,$AB677))</f>
        <v/>
      </c>
      <c r="P677">
        <f>IF($AB677="","",IF(AND(ISNUMBER(O677),O677&gt;0),Z677&gt;O677,FALSE))</f>
        <v/>
      </c>
      <c r="Q677" s="7">
        <f>IF($AB677="","",SUMIFS('Per Line'!$U$2:$U$4001,'Per Line'!$C$2:$C$4001,$B677,'Per Line'!$AM$2:$AM$4001,1))</f>
        <v/>
      </c>
      <c r="R677">
        <f>IF($AB677="","",Settings!$C$7)</f>
        <v/>
      </c>
      <c r="S677" s="7">
        <f>IF($AB677="","",SUMIFS('Per Line'!$U$2:$U$4001,'Per Line'!$C$2:$C$4001,$B677,'Per Line'!$AL$2:$AL$4001,0,'Per Line'!$AM$2:$AM$4001,0))</f>
        <v/>
      </c>
      <c r="T677" s="7">
        <f>IF($AB677="","",S677*R677)</f>
        <v/>
      </c>
      <c r="U677">
        <f>IF($AB677="","",Settings!$C$6)</f>
        <v/>
      </c>
      <c r="V677" s="7">
        <f>IF($AB677="","",SUMIFS('Per Line'!$U$2:$U$4001,'Per Line'!$C$2:$C$4001,$B677,'Per Line'!$AL$2:$AL$4001,1,'Per Line'!$AM$2:$AM$4001,0))</f>
        <v/>
      </c>
      <c r="W677" s="7">
        <f>IF($AB677="","",V677*U677)</f>
        <v/>
      </c>
      <c r="X677" s="7">
        <f>IF($AB677="","",W677+T677)</f>
        <v/>
      </c>
      <c r="Y677" s="7">
        <f>IF($AB677="","",Z677-X677)</f>
        <v/>
      </c>
      <c r="Z677" s="7">
        <f>IF($AB677="","",S677+V677+Q677)</f>
        <v/>
      </c>
      <c r="AA677" s="7">
        <f>IF($AB677="","",Z677-X677-M677)</f>
        <v/>
      </c>
      <c r="AB677" s="13">
        <f>IF(ROWS($AB$2:$AB677)&lt;=MAX('Per Line'!$AK$2:$AK$4001),MATCH(ROWS($AB$2:$AB677),'Per Line'!$AK$2:$AK$4001,0),"")</f>
        <v/>
      </c>
      <c r="AC677" s="14">
        <f>IF($AB677="","",M677-L677*Z677/100)</f>
        <v/>
      </c>
    </row>
    <row r="678">
      <c r="A678" s="12" t="n"/>
      <c r="B678">
        <f>IF($AB678="","",INDEX('Per Line'!$C$2:$C$4001,$AB678)&amp;"")</f>
        <v/>
      </c>
      <c r="C678">
        <f>IF($AB678="","",INDEX('Per Line'!$D$2:$D$4001,$AB678)&amp;"")</f>
        <v/>
      </c>
      <c r="D678">
        <f>IF($AB678="","",INDEX('Per Line'!$B$2:$B$4001,$AB678)&amp;"")</f>
        <v/>
      </c>
      <c r="E678">
        <f>IF($AB678="","",INDEX('Per Line'!$A$2:$A$4001,$AB678))</f>
        <v/>
      </c>
      <c r="F678" s="11">
        <f>IF($AB678="","",INDEX('Per Line'!$E$2:$E$4001,$AB678))</f>
        <v/>
      </c>
      <c r="G678">
        <f>IF($AB678="","",INDEX('Per Line'!$F$2:$F$4001,$AB678)&amp;"")</f>
        <v/>
      </c>
      <c r="H678">
        <f>IF($AB678="","",INDEX('Per Line'!$H$2:$H$4001,$AB678)&amp;"")</f>
        <v/>
      </c>
      <c r="I678">
        <f>IF($AB678="","",INDEX('Per Line'!$I$2:$I$4001,$AB678)&amp;"")</f>
        <v/>
      </c>
      <c r="J678">
        <f>IF($AB678="","",INDEX('Per Line'!$J$2:$J$4001,$AB678)&amp;"")</f>
        <v/>
      </c>
      <c r="K678">
        <f>IF($AB678="","",INDEX('Per Line'!$K$2:$K$4001,$AB678)&amp;"")</f>
        <v/>
      </c>
      <c r="L678">
        <f>IF($AB678="","",INDEX('Per Line'!$L$2:$L$4001,$AB678))</f>
        <v/>
      </c>
      <c r="M678" s="7">
        <f>IF($AB678="","",IF(AND(ISNUMBER(O678),O678&gt;0,Z678&gt;O678),L678*O678/100+(Z678-O678),L678*Z678/100))</f>
        <v/>
      </c>
      <c r="N678">
        <f>IF($AB678="","",INDEX('Per Line'!$V$2:$V$4001,$AB678)&amp;"")</f>
        <v/>
      </c>
      <c r="O678">
        <f>IF($AB678="","",INDEX('Per Line'!$Z$2:$Z$4001,$AB678))</f>
        <v/>
      </c>
      <c r="P678">
        <f>IF($AB678="","",IF(AND(ISNUMBER(O678),O678&gt;0),Z678&gt;O678,FALSE))</f>
        <v/>
      </c>
      <c r="Q678" s="7">
        <f>IF($AB678="","",SUMIFS('Per Line'!$U$2:$U$4001,'Per Line'!$C$2:$C$4001,$B678,'Per Line'!$AM$2:$AM$4001,1))</f>
        <v/>
      </c>
      <c r="R678">
        <f>IF($AB678="","",Settings!$C$7)</f>
        <v/>
      </c>
      <c r="S678" s="7">
        <f>IF($AB678="","",SUMIFS('Per Line'!$U$2:$U$4001,'Per Line'!$C$2:$C$4001,$B678,'Per Line'!$AL$2:$AL$4001,0,'Per Line'!$AM$2:$AM$4001,0))</f>
        <v/>
      </c>
      <c r="T678" s="7">
        <f>IF($AB678="","",S678*R678)</f>
        <v/>
      </c>
      <c r="U678">
        <f>IF($AB678="","",Settings!$C$6)</f>
        <v/>
      </c>
      <c r="V678" s="7">
        <f>IF($AB678="","",SUMIFS('Per Line'!$U$2:$U$4001,'Per Line'!$C$2:$C$4001,$B678,'Per Line'!$AL$2:$AL$4001,1,'Per Line'!$AM$2:$AM$4001,0))</f>
        <v/>
      </c>
      <c r="W678" s="7">
        <f>IF($AB678="","",V678*U678)</f>
        <v/>
      </c>
      <c r="X678" s="7">
        <f>IF($AB678="","",W678+T678)</f>
        <v/>
      </c>
      <c r="Y678" s="7">
        <f>IF($AB678="","",Z678-X678)</f>
        <v/>
      </c>
      <c r="Z678" s="7">
        <f>IF($AB678="","",S678+V678+Q678)</f>
        <v/>
      </c>
      <c r="AA678" s="7">
        <f>IF($AB678="","",Z678-X678-M678)</f>
        <v/>
      </c>
      <c r="AB678" s="13">
        <f>IF(ROWS($AB$2:$AB678)&lt;=MAX('Per Line'!$AK$2:$AK$4001),MATCH(ROWS($AB$2:$AB678),'Per Line'!$AK$2:$AK$4001,0),"")</f>
        <v/>
      </c>
      <c r="AC678" s="14">
        <f>IF($AB678="","",M678-L678*Z678/100)</f>
        <v/>
      </c>
    </row>
    <row r="679">
      <c r="A679" s="12" t="n"/>
      <c r="B679">
        <f>IF($AB679="","",INDEX('Per Line'!$C$2:$C$4001,$AB679)&amp;"")</f>
        <v/>
      </c>
      <c r="C679">
        <f>IF($AB679="","",INDEX('Per Line'!$D$2:$D$4001,$AB679)&amp;"")</f>
        <v/>
      </c>
      <c r="D679">
        <f>IF($AB679="","",INDEX('Per Line'!$B$2:$B$4001,$AB679)&amp;"")</f>
        <v/>
      </c>
      <c r="E679">
        <f>IF($AB679="","",INDEX('Per Line'!$A$2:$A$4001,$AB679))</f>
        <v/>
      </c>
      <c r="F679" s="11">
        <f>IF($AB679="","",INDEX('Per Line'!$E$2:$E$4001,$AB679))</f>
        <v/>
      </c>
      <c r="G679">
        <f>IF($AB679="","",INDEX('Per Line'!$F$2:$F$4001,$AB679)&amp;"")</f>
        <v/>
      </c>
      <c r="H679">
        <f>IF($AB679="","",INDEX('Per Line'!$H$2:$H$4001,$AB679)&amp;"")</f>
        <v/>
      </c>
      <c r="I679">
        <f>IF($AB679="","",INDEX('Per Line'!$I$2:$I$4001,$AB679)&amp;"")</f>
        <v/>
      </c>
      <c r="J679">
        <f>IF($AB679="","",INDEX('Per Line'!$J$2:$J$4001,$AB679)&amp;"")</f>
        <v/>
      </c>
      <c r="K679">
        <f>IF($AB679="","",INDEX('Per Line'!$K$2:$K$4001,$AB679)&amp;"")</f>
        <v/>
      </c>
      <c r="L679">
        <f>IF($AB679="","",INDEX('Per Line'!$L$2:$L$4001,$AB679))</f>
        <v/>
      </c>
      <c r="M679" s="7">
        <f>IF($AB679="","",IF(AND(ISNUMBER(O679),O679&gt;0,Z679&gt;O679),L679*O679/100+(Z679-O679),L679*Z679/100))</f>
        <v/>
      </c>
      <c r="N679">
        <f>IF($AB679="","",INDEX('Per Line'!$V$2:$V$4001,$AB679)&amp;"")</f>
        <v/>
      </c>
      <c r="O679">
        <f>IF($AB679="","",INDEX('Per Line'!$Z$2:$Z$4001,$AB679))</f>
        <v/>
      </c>
      <c r="P679">
        <f>IF($AB679="","",IF(AND(ISNUMBER(O679),O679&gt;0),Z679&gt;O679,FALSE))</f>
        <v/>
      </c>
      <c r="Q679" s="7">
        <f>IF($AB679="","",SUMIFS('Per Line'!$U$2:$U$4001,'Per Line'!$C$2:$C$4001,$B679,'Per Line'!$AM$2:$AM$4001,1))</f>
        <v/>
      </c>
      <c r="R679">
        <f>IF($AB679="","",Settings!$C$7)</f>
        <v/>
      </c>
      <c r="S679" s="7">
        <f>IF($AB679="","",SUMIFS('Per Line'!$U$2:$U$4001,'Per Line'!$C$2:$C$4001,$B679,'Per Line'!$AL$2:$AL$4001,0,'Per Line'!$AM$2:$AM$4001,0))</f>
        <v/>
      </c>
      <c r="T679" s="7">
        <f>IF($AB679="","",S679*R679)</f>
        <v/>
      </c>
      <c r="U679">
        <f>IF($AB679="","",Settings!$C$6)</f>
        <v/>
      </c>
      <c r="V679" s="7">
        <f>IF($AB679="","",SUMIFS('Per Line'!$U$2:$U$4001,'Per Line'!$C$2:$C$4001,$B679,'Per Line'!$AL$2:$AL$4001,1,'Per Line'!$AM$2:$AM$4001,0))</f>
        <v/>
      </c>
      <c r="W679" s="7">
        <f>IF($AB679="","",V679*U679)</f>
        <v/>
      </c>
      <c r="X679" s="7">
        <f>IF($AB679="","",W679+T679)</f>
        <v/>
      </c>
      <c r="Y679" s="7">
        <f>IF($AB679="","",Z679-X679)</f>
        <v/>
      </c>
      <c r="Z679" s="7">
        <f>IF($AB679="","",S679+V679+Q679)</f>
        <v/>
      </c>
      <c r="AA679" s="7">
        <f>IF($AB679="","",Z679-X679-M679)</f>
        <v/>
      </c>
      <c r="AB679" s="13">
        <f>IF(ROWS($AB$2:$AB679)&lt;=MAX('Per Line'!$AK$2:$AK$4001),MATCH(ROWS($AB$2:$AB679),'Per Line'!$AK$2:$AK$4001,0),"")</f>
        <v/>
      </c>
      <c r="AC679" s="14">
        <f>IF($AB679="","",M679-L679*Z679/100)</f>
        <v/>
      </c>
    </row>
    <row r="680">
      <c r="A680" s="12" t="n"/>
      <c r="B680">
        <f>IF($AB680="","",INDEX('Per Line'!$C$2:$C$4001,$AB680)&amp;"")</f>
        <v/>
      </c>
      <c r="C680">
        <f>IF($AB680="","",INDEX('Per Line'!$D$2:$D$4001,$AB680)&amp;"")</f>
        <v/>
      </c>
      <c r="D680">
        <f>IF($AB680="","",INDEX('Per Line'!$B$2:$B$4001,$AB680)&amp;"")</f>
        <v/>
      </c>
      <c r="E680">
        <f>IF($AB680="","",INDEX('Per Line'!$A$2:$A$4001,$AB680))</f>
        <v/>
      </c>
      <c r="F680" s="11">
        <f>IF($AB680="","",INDEX('Per Line'!$E$2:$E$4001,$AB680))</f>
        <v/>
      </c>
      <c r="G680">
        <f>IF($AB680="","",INDEX('Per Line'!$F$2:$F$4001,$AB680)&amp;"")</f>
        <v/>
      </c>
      <c r="H680">
        <f>IF($AB680="","",INDEX('Per Line'!$H$2:$H$4001,$AB680)&amp;"")</f>
        <v/>
      </c>
      <c r="I680">
        <f>IF($AB680="","",INDEX('Per Line'!$I$2:$I$4001,$AB680)&amp;"")</f>
        <v/>
      </c>
      <c r="J680">
        <f>IF($AB680="","",INDEX('Per Line'!$J$2:$J$4001,$AB680)&amp;"")</f>
        <v/>
      </c>
      <c r="K680">
        <f>IF($AB680="","",INDEX('Per Line'!$K$2:$K$4001,$AB680)&amp;"")</f>
        <v/>
      </c>
      <c r="L680">
        <f>IF($AB680="","",INDEX('Per Line'!$L$2:$L$4001,$AB680))</f>
        <v/>
      </c>
      <c r="M680" s="7">
        <f>IF($AB680="","",IF(AND(ISNUMBER(O680),O680&gt;0,Z680&gt;O680),L680*O680/100+(Z680-O680),L680*Z680/100))</f>
        <v/>
      </c>
      <c r="N680">
        <f>IF($AB680="","",INDEX('Per Line'!$V$2:$V$4001,$AB680)&amp;"")</f>
        <v/>
      </c>
      <c r="O680">
        <f>IF($AB680="","",INDEX('Per Line'!$Z$2:$Z$4001,$AB680))</f>
        <v/>
      </c>
      <c r="P680">
        <f>IF($AB680="","",IF(AND(ISNUMBER(O680),O680&gt;0),Z680&gt;O680,FALSE))</f>
        <v/>
      </c>
      <c r="Q680" s="7">
        <f>IF($AB680="","",SUMIFS('Per Line'!$U$2:$U$4001,'Per Line'!$C$2:$C$4001,$B680,'Per Line'!$AM$2:$AM$4001,1))</f>
        <v/>
      </c>
      <c r="R680">
        <f>IF($AB680="","",Settings!$C$7)</f>
        <v/>
      </c>
      <c r="S680" s="7">
        <f>IF($AB680="","",SUMIFS('Per Line'!$U$2:$U$4001,'Per Line'!$C$2:$C$4001,$B680,'Per Line'!$AL$2:$AL$4001,0,'Per Line'!$AM$2:$AM$4001,0))</f>
        <v/>
      </c>
      <c r="T680" s="7">
        <f>IF($AB680="","",S680*R680)</f>
        <v/>
      </c>
      <c r="U680">
        <f>IF($AB680="","",Settings!$C$6)</f>
        <v/>
      </c>
      <c r="V680" s="7">
        <f>IF($AB680="","",SUMIFS('Per Line'!$U$2:$U$4001,'Per Line'!$C$2:$C$4001,$B680,'Per Line'!$AL$2:$AL$4001,1,'Per Line'!$AM$2:$AM$4001,0))</f>
        <v/>
      </c>
      <c r="W680" s="7">
        <f>IF($AB680="","",V680*U680)</f>
        <v/>
      </c>
      <c r="X680" s="7">
        <f>IF($AB680="","",W680+T680)</f>
        <v/>
      </c>
      <c r="Y680" s="7">
        <f>IF($AB680="","",Z680-X680)</f>
        <v/>
      </c>
      <c r="Z680" s="7">
        <f>IF($AB680="","",S680+V680+Q680)</f>
        <v/>
      </c>
      <c r="AA680" s="7">
        <f>IF($AB680="","",Z680-X680-M680)</f>
        <v/>
      </c>
      <c r="AB680" s="13">
        <f>IF(ROWS($AB$2:$AB680)&lt;=MAX('Per Line'!$AK$2:$AK$4001),MATCH(ROWS($AB$2:$AB680),'Per Line'!$AK$2:$AK$4001,0),"")</f>
        <v/>
      </c>
      <c r="AC680" s="14">
        <f>IF($AB680="","",M680-L680*Z680/100)</f>
        <v/>
      </c>
    </row>
    <row r="681">
      <c r="A681" s="12" t="n"/>
      <c r="B681">
        <f>IF($AB681="","",INDEX('Per Line'!$C$2:$C$4001,$AB681)&amp;"")</f>
        <v/>
      </c>
      <c r="C681">
        <f>IF($AB681="","",INDEX('Per Line'!$D$2:$D$4001,$AB681)&amp;"")</f>
        <v/>
      </c>
      <c r="D681">
        <f>IF($AB681="","",INDEX('Per Line'!$B$2:$B$4001,$AB681)&amp;"")</f>
        <v/>
      </c>
      <c r="E681">
        <f>IF($AB681="","",INDEX('Per Line'!$A$2:$A$4001,$AB681))</f>
        <v/>
      </c>
      <c r="F681" s="11">
        <f>IF($AB681="","",INDEX('Per Line'!$E$2:$E$4001,$AB681))</f>
        <v/>
      </c>
      <c r="G681">
        <f>IF($AB681="","",INDEX('Per Line'!$F$2:$F$4001,$AB681)&amp;"")</f>
        <v/>
      </c>
      <c r="H681">
        <f>IF($AB681="","",INDEX('Per Line'!$H$2:$H$4001,$AB681)&amp;"")</f>
        <v/>
      </c>
      <c r="I681">
        <f>IF($AB681="","",INDEX('Per Line'!$I$2:$I$4001,$AB681)&amp;"")</f>
        <v/>
      </c>
      <c r="J681">
        <f>IF($AB681="","",INDEX('Per Line'!$J$2:$J$4001,$AB681)&amp;"")</f>
        <v/>
      </c>
      <c r="K681">
        <f>IF($AB681="","",INDEX('Per Line'!$K$2:$K$4001,$AB681)&amp;"")</f>
        <v/>
      </c>
      <c r="L681">
        <f>IF($AB681="","",INDEX('Per Line'!$L$2:$L$4001,$AB681))</f>
        <v/>
      </c>
      <c r="M681" s="7">
        <f>IF($AB681="","",IF(AND(ISNUMBER(O681),O681&gt;0,Z681&gt;O681),L681*O681/100+(Z681-O681),L681*Z681/100))</f>
        <v/>
      </c>
      <c r="N681">
        <f>IF($AB681="","",INDEX('Per Line'!$V$2:$V$4001,$AB681)&amp;"")</f>
        <v/>
      </c>
      <c r="O681">
        <f>IF($AB681="","",INDEX('Per Line'!$Z$2:$Z$4001,$AB681))</f>
        <v/>
      </c>
      <c r="P681">
        <f>IF($AB681="","",IF(AND(ISNUMBER(O681),O681&gt;0),Z681&gt;O681,FALSE))</f>
        <v/>
      </c>
      <c r="Q681" s="7">
        <f>IF($AB681="","",SUMIFS('Per Line'!$U$2:$U$4001,'Per Line'!$C$2:$C$4001,$B681,'Per Line'!$AM$2:$AM$4001,1))</f>
        <v/>
      </c>
      <c r="R681">
        <f>IF($AB681="","",Settings!$C$7)</f>
        <v/>
      </c>
      <c r="S681" s="7">
        <f>IF($AB681="","",SUMIFS('Per Line'!$U$2:$U$4001,'Per Line'!$C$2:$C$4001,$B681,'Per Line'!$AL$2:$AL$4001,0,'Per Line'!$AM$2:$AM$4001,0))</f>
        <v/>
      </c>
      <c r="T681" s="7">
        <f>IF($AB681="","",S681*R681)</f>
        <v/>
      </c>
      <c r="U681">
        <f>IF($AB681="","",Settings!$C$6)</f>
        <v/>
      </c>
      <c r="V681" s="7">
        <f>IF($AB681="","",SUMIFS('Per Line'!$U$2:$U$4001,'Per Line'!$C$2:$C$4001,$B681,'Per Line'!$AL$2:$AL$4001,1,'Per Line'!$AM$2:$AM$4001,0))</f>
        <v/>
      </c>
      <c r="W681" s="7">
        <f>IF($AB681="","",V681*U681)</f>
        <v/>
      </c>
      <c r="X681" s="7">
        <f>IF($AB681="","",W681+T681)</f>
        <v/>
      </c>
      <c r="Y681" s="7">
        <f>IF($AB681="","",Z681-X681)</f>
        <v/>
      </c>
      <c r="Z681" s="7">
        <f>IF($AB681="","",S681+V681+Q681)</f>
        <v/>
      </c>
      <c r="AA681" s="7">
        <f>IF($AB681="","",Z681-X681-M681)</f>
        <v/>
      </c>
      <c r="AB681" s="13">
        <f>IF(ROWS($AB$2:$AB681)&lt;=MAX('Per Line'!$AK$2:$AK$4001),MATCH(ROWS($AB$2:$AB681),'Per Line'!$AK$2:$AK$4001,0),"")</f>
        <v/>
      </c>
      <c r="AC681" s="14">
        <f>IF($AB681="","",M681-L681*Z681/100)</f>
        <v/>
      </c>
    </row>
    <row r="682">
      <c r="A682" s="12" t="n"/>
      <c r="B682">
        <f>IF($AB682="","",INDEX('Per Line'!$C$2:$C$4001,$AB682)&amp;"")</f>
        <v/>
      </c>
      <c r="C682">
        <f>IF($AB682="","",INDEX('Per Line'!$D$2:$D$4001,$AB682)&amp;"")</f>
        <v/>
      </c>
      <c r="D682">
        <f>IF($AB682="","",INDEX('Per Line'!$B$2:$B$4001,$AB682)&amp;"")</f>
        <v/>
      </c>
      <c r="E682">
        <f>IF($AB682="","",INDEX('Per Line'!$A$2:$A$4001,$AB682))</f>
        <v/>
      </c>
      <c r="F682" s="11">
        <f>IF($AB682="","",INDEX('Per Line'!$E$2:$E$4001,$AB682))</f>
        <v/>
      </c>
      <c r="G682">
        <f>IF($AB682="","",INDEX('Per Line'!$F$2:$F$4001,$AB682)&amp;"")</f>
        <v/>
      </c>
      <c r="H682">
        <f>IF($AB682="","",INDEX('Per Line'!$H$2:$H$4001,$AB682)&amp;"")</f>
        <v/>
      </c>
      <c r="I682">
        <f>IF($AB682="","",INDEX('Per Line'!$I$2:$I$4001,$AB682)&amp;"")</f>
        <v/>
      </c>
      <c r="J682">
        <f>IF($AB682="","",INDEX('Per Line'!$J$2:$J$4001,$AB682)&amp;"")</f>
        <v/>
      </c>
      <c r="K682">
        <f>IF($AB682="","",INDEX('Per Line'!$K$2:$K$4001,$AB682)&amp;"")</f>
        <v/>
      </c>
      <c r="L682">
        <f>IF($AB682="","",INDEX('Per Line'!$L$2:$L$4001,$AB682))</f>
        <v/>
      </c>
      <c r="M682" s="7">
        <f>IF($AB682="","",IF(AND(ISNUMBER(O682),O682&gt;0,Z682&gt;O682),L682*O682/100+(Z682-O682),L682*Z682/100))</f>
        <v/>
      </c>
      <c r="N682">
        <f>IF($AB682="","",INDEX('Per Line'!$V$2:$V$4001,$AB682)&amp;"")</f>
        <v/>
      </c>
      <c r="O682">
        <f>IF($AB682="","",INDEX('Per Line'!$Z$2:$Z$4001,$AB682))</f>
        <v/>
      </c>
      <c r="P682">
        <f>IF($AB682="","",IF(AND(ISNUMBER(O682),O682&gt;0),Z682&gt;O682,FALSE))</f>
        <v/>
      </c>
      <c r="Q682" s="7">
        <f>IF($AB682="","",SUMIFS('Per Line'!$U$2:$U$4001,'Per Line'!$C$2:$C$4001,$B682,'Per Line'!$AM$2:$AM$4001,1))</f>
        <v/>
      </c>
      <c r="R682">
        <f>IF($AB682="","",Settings!$C$7)</f>
        <v/>
      </c>
      <c r="S682" s="7">
        <f>IF($AB682="","",SUMIFS('Per Line'!$U$2:$U$4001,'Per Line'!$C$2:$C$4001,$B682,'Per Line'!$AL$2:$AL$4001,0,'Per Line'!$AM$2:$AM$4001,0))</f>
        <v/>
      </c>
      <c r="T682" s="7">
        <f>IF($AB682="","",S682*R682)</f>
        <v/>
      </c>
      <c r="U682">
        <f>IF($AB682="","",Settings!$C$6)</f>
        <v/>
      </c>
      <c r="V682" s="7">
        <f>IF($AB682="","",SUMIFS('Per Line'!$U$2:$U$4001,'Per Line'!$C$2:$C$4001,$B682,'Per Line'!$AL$2:$AL$4001,1,'Per Line'!$AM$2:$AM$4001,0))</f>
        <v/>
      </c>
      <c r="W682" s="7">
        <f>IF($AB682="","",V682*U682)</f>
        <v/>
      </c>
      <c r="X682" s="7">
        <f>IF($AB682="","",W682+T682)</f>
        <v/>
      </c>
      <c r="Y682" s="7">
        <f>IF($AB682="","",Z682-X682)</f>
        <v/>
      </c>
      <c r="Z682" s="7">
        <f>IF($AB682="","",S682+V682+Q682)</f>
        <v/>
      </c>
      <c r="AA682" s="7">
        <f>IF($AB682="","",Z682-X682-M682)</f>
        <v/>
      </c>
      <c r="AB682" s="13">
        <f>IF(ROWS($AB$2:$AB682)&lt;=MAX('Per Line'!$AK$2:$AK$4001),MATCH(ROWS($AB$2:$AB682),'Per Line'!$AK$2:$AK$4001,0),"")</f>
        <v/>
      </c>
      <c r="AC682" s="14">
        <f>IF($AB682="","",M682-L682*Z682/100)</f>
        <v/>
      </c>
    </row>
    <row r="683">
      <c r="A683" s="12" t="n"/>
      <c r="B683">
        <f>IF($AB683="","",INDEX('Per Line'!$C$2:$C$4001,$AB683)&amp;"")</f>
        <v/>
      </c>
      <c r="C683">
        <f>IF($AB683="","",INDEX('Per Line'!$D$2:$D$4001,$AB683)&amp;"")</f>
        <v/>
      </c>
      <c r="D683">
        <f>IF($AB683="","",INDEX('Per Line'!$B$2:$B$4001,$AB683)&amp;"")</f>
        <v/>
      </c>
      <c r="E683">
        <f>IF($AB683="","",INDEX('Per Line'!$A$2:$A$4001,$AB683))</f>
        <v/>
      </c>
      <c r="F683" s="11">
        <f>IF($AB683="","",INDEX('Per Line'!$E$2:$E$4001,$AB683))</f>
        <v/>
      </c>
      <c r="G683">
        <f>IF($AB683="","",INDEX('Per Line'!$F$2:$F$4001,$AB683)&amp;"")</f>
        <v/>
      </c>
      <c r="H683">
        <f>IF($AB683="","",INDEX('Per Line'!$H$2:$H$4001,$AB683)&amp;"")</f>
        <v/>
      </c>
      <c r="I683">
        <f>IF($AB683="","",INDEX('Per Line'!$I$2:$I$4001,$AB683)&amp;"")</f>
        <v/>
      </c>
      <c r="J683">
        <f>IF($AB683="","",INDEX('Per Line'!$J$2:$J$4001,$AB683)&amp;"")</f>
        <v/>
      </c>
      <c r="K683">
        <f>IF($AB683="","",INDEX('Per Line'!$K$2:$K$4001,$AB683)&amp;"")</f>
        <v/>
      </c>
      <c r="L683">
        <f>IF($AB683="","",INDEX('Per Line'!$L$2:$L$4001,$AB683))</f>
        <v/>
      </c>
      <c r="M683" s="7">
        <f>IF($AB683="","",IF(AND(ISNUMBER(O683),O683&gt;0,Z683&gt;O683),L683*O683/100+(Z683-O683),L683*Z683/100))</f>
        <v/>
      </c>
      <c r="N683">
        <f>IF($AB683="","",INDEX('Per Line'!$V$2:$V$4001,$AB683)&amp;"")</f>
        <v/>
      </c>
      <c r="O683">
        <f>IF($AB683="","",INDEX('Per Line'!$Z$2:$Z$4001,$AB683))</f>
        <v/>
      </c>
      <c r="P683">
        <f>IF($AB683="","",IF(AND(ISNUMBER(O683),O683&gt;0),Z683&gt;O683,FALSE))</f>
        <v/>
      </c>
      <c r="Q683" s="7">
        <f>IF($AB683="","",SUMIFS('Per Line'!$U$2:$U$4001,'Per Line'!$C$2:$C$4001,$B683,'Per Line'!$AM$2:$AM$4001,1))</f>
        <v/>
      </c>
      <c r="R683">
        <f>IF($AB683="","",Settings!$C$7)</f>
        <v/>
      </c>
      <c r="S683" s="7">
        <f>IF($AB683="","",SUMIFS('Per Line'!$U$2:$U$4001,'Per Line'!$C$2:$C$4001,$B683,'Per Line'!$AL$2:$AL$4001,0,'Per Line'!$AM$2:$AM$4001,0))</f>
        <v/>
      </c>
      <c r="T683" s="7">
        <f>IF($AB683="","",S683*R683)</f>
        <v/>
      </c>
      <c r="U683">
        <f>IF($AB683="","",Settings!$C$6)</f>
        <v/>
      </c>
      <c r="V683" s="7">
        <f>IF($AB683="","",SUMIFS('Per Line'!$U$2:$U$4001,'Per Line'!$C$2:$C$4001,$B683,'Per Line'!$AL$2:$AL$4001,1,'Per Line'!$AM$2:$AM$4001,0))</f>
        <v/>
      </c>
      <c r="W683" s="7">
        <f>IF($AB683="","",V683*U683)</f>
        <v/>
      </c>
      <c r="X683" s="7">
        <f>IF($AB683="","",W683+T683)</f>
        <v/>
      </c>
      <c r="Y683" s="7">
        <f>IF($AB683="","",Z683-X683)</f>
        <v/>
      </c>
      <c r="Z683" s="7">
        <f>IF($AB683="","",S683+V683+Q683)</f>
        <v/>
      </c>
      <c r="AA683" s="7">
        <f>IF($AB683="","",Z683-X683-M683)</f>
        <v/>
      </c>
      <c r="AB683" s="13">
        <f>IF(ROWS($AB$2:$AB683)&lt;=MAX('Per Line'!$AK$2:$AK$4001),MATCH(ROWS($AB$2:$AB683),'Per Line'!$AK$2:$AK$4001,0),"")</f>
        <v/>
      </c>
      <c r="AC683" s="14">
        <f>IF($AB683="","",M683-L683*Z683/100)</f>
        <v/>
      </c>
    </row>
    <row r="684">
      <c r="A684" s="12" t="n"/>
      <c r="B684">
        <f>IF($AB684="","",INDEX('Per Line'!$C$2:$C$4001,$AB684)&amp;"")</f>
        <v/>
      </c>
      <c r="C684">
        <f>IF($AB684="","",INDEX('Per Line'!$D$2:$D$4001,$AB684)&amp;"")</f>
        <v/>
      </c>
      <c r="D684">
        <f>IF($AB684="","",INDEX('Per Line'!$B$2:$B$4001,$AB684)&amp;"")</f>
        <v/>
      </c>
      <c r="E684">
        <f>IF($AB684="","",INDEX('Per Line'!$A$2:$A$4001,$AB684))</f>
        <v/>
      </c>
      <c r="F684" s="11">
        <f>IF($AB684="","",INDEX('Per Line'!$E$2:$E$4001,$AB684))</f>
        <v/>
      </c>
      <c r="G684">
        <f>IF($AB684="","",INDEX('Per Line'!$F$2:$F$4001,$AB684)&amp;"")</f>
        <v/>
      </c>
      <c r="H684">
        <f>IF($AB684="","",INDEX('Per Line'!$H$2:$H$4001,$AB684)&amp;"")</f>
        <v/>
      </c>
      <c r="I684">
        <f>IF($AB684="","",INDEX('Per Line'!$I$2:$I$4001,$AB684)&amp;"")</f>
        <v/>
      </c>
      <c r="J684">
        <f>IF($AB684="","",INDEX('Per Line'!$J$2:$J$4001,$AB684)&amp;"")</f>
        <v/>
      </c>
      <c r="K684">
        <f>IF($AB684="","",INDEX('Per Line'!$K$2:$K$4001,$AB684)&amp;"")</f>
        <v/>
      </c>
      <c r="L684">
        <f>IF($AB684="","",INDEX('Per Line'!$L$2:$L$4001,$AB684))</f>
        <v/>
      </c>
      <c r="M684" s="7">
        <f>IF($AB684="","",IF(AND(ISNUMBER(O684),O684&gt;0,Z684&gt;O684),L684*O684/100+(Z684-O684),L684*Z684/100))</f>
        <v/>
      </c>
      <c r="N684">
        <f>IF($AB684="","",INDEX('Per Line'!$V$2:$V$4001,$AB684)&amp;"")</f>
        <v/>
      </c>
      <c r="O684">
        <f>IF($AB684="","",INDEX('Per Line'!$Z$2:$Z$4001,$AB684))</f>
        <v/>
      </c>
      <c r="P684">
        <f>IF($AB684="","",IF(AND(ISNUMBER(O684),O684&gt;0),Z684&gt;O684,FALSE))</f>
        <v/>
      </c>
      <c r="Q684" s="7">
        <f>IF($AB684="","",SUMIFS('Per Line'!$U$2:$U$4001,'Per Line'!$C$2:$C$4001,$B684,'Per Line'!$AM$2:$AM$4001,1))</f>
        <v/>
      </c>
      <c r="R684">
        <f>IF($AB684="","",Settings!$C$7)</f>
        <v/>
      </c>
      <c r="S684" s="7">
        <f>IF($AB684="","",SUMIFS('Per Line'!$U$2:$U$4001,'Per Line'!$C$2:$C$4001,$B684,'Per Line'!$AL$2:$AL$4001,0,'Per Line'!$AM$2:$AM$4001,0))</f>
        <v/>
      </c>
      <c r="T684" s="7">
        <f>IF($AB684="","",S684*R684)</f>
        <v/>
      </c>
      <c r="U684">
        <f>IF($AB684="","",Settings!$C$6)</f>
        <v/>
      </c>
      <c r="V684" s="7">
        <f>IF($AB684="","",SUMIFS('Per Line'!$U$2:$U$4001,'Per Line'!$C$2:$C$4001,$B684,'Per Line'!$AL$2:$AL$4001,1,'Per Line'!$AM$2:$AM$4001,0))</f>
        <v/>
      </c>
      <c r="W684" s="7">
        <f>IF($AB684="","",V684*U684)</f>
        <v/>
      </c>
      <c r="X684" s="7">
        <f>IF($AB684="","",W684+T684)</f>
        <v/>
      </c>
      <c r="Y684" s="7">
        <f>IF($AB684="","",Z684-X684)</f>
        <v/>
      </c>
      <c r="Z684" s="7">
        <f>IF($AB684="","",S684+V684+Q684)</f>
        <v/>
      </c>
      <c r="AA684" s="7">
        <f>IF($AB684="","",Z684-X684-M684)</f>
        <v/>
      </c>
      <c r="AB684" s="13">
        <f>IF(ROWS($AB$2:$AB684)&lt;=MAX('Per Line'!$AK$2:$AK$4001),MATCH(ROWS($AB$2:$AB684),'Per Line'!$AK$2:$AK$4001,0),"")</f>
        <v/>
      </c>
      <c r="AC684" s="14">
        <f>IF($AB684="","",M684-L684*Z684/100)</f>
        <v/>
      </c>
    </row>
    <row r="685">
      <c r="A685" s="12" t="n"/>
      <c r="B685">
        <f>IF($AB685="","",INDEX('Per Line'!$C$2:$C$4001,$AB685)&amp;"")</f>
        <v/>
      </c>
      <c r="C685">
        <f>IF($AB685="","",INDEX('Per Line'!$D$2:$D$4001,$AB685)&amp;"")</f>
        <v/>
      </c>
      <c r="D685">
        <f>IF($AB685="","",INDEX('Per Line'!$B$2:$B$4001,$AB685)&amp;"")</f>
        <v/>
      </c>
      <c r="E685">
        <f>IF($AB685="","",INDEX('Per Line'!$A$2:$A$4001,$AB685))</f>
        <v/>
      </c>
      <c r="F685" s="11">
        <f>IF($AB685="","",INDEX('Per Line'!$E$2:$E$4001,$AB685))</f>
        <v/>
      </c>
      <c r="G685">
        <f>IF($AB685="","",INDEX('Per Line'!$F$2:$F$4001,$AB685)&amp;"")</f>
        <v/>
      </c>
      <c r="H685">
        <f>IF($AB685="","",INDEX('Per Line'!$H$2:$H$4001,$AB685)&amp;"")</f>
        <v/>
      </c>
      <c r="I685">
        <f>IF($AB685="","",INDEX('Per Line'!$I$2:$I$4001,$AB685)&amp;"")</f>
        <v/>
      </c>
      <c r="J685">
        <f>IF($AB685="","",INDEX('Per Line'!$J$2:$J$4001,$AB685)&amp;"")</f>
        <v/>
      </c>
      <c r="K685">
        <f>IF($AB685="","",INDEX('Per Line'!$K$2:$K$4001,$AB685)&amp;"")</f>
        <v/>
      </c>
      <c r="L685">
        <f>IF($AB685="","",INDEX('Per Line'!$L$2:$L$4001,$AB685))</f>
        <v/>
      </c>
      <c r="M685" s="7">
        <f>IF($AB685="","",IF(AND(ISNUMBER(O685),O685&gt;0,Z685&gt;O685),L685*O685/100+(Z685-O685),L685*Z685/100))</f>
        <v/>
      </c>
      <c r="N685">
        <f>IF($AB685="","",INDEX('Per Line'!$V$2:$V$4001,$AB685)&amp;"")</f>
        <v/>
      </c>
      <c r="O685">
        <f>IF($AB685="","",INDEX('Per Line'!$Z$2:$Z$4001,$AB685))</f>
        <v/>
      </c>
      <c r="P685">
        <f>IF($AB685="","",IF(AND(ISNUMBER(O685),O685&gt;0),Z685&gt;O685,FALSE))</f>
        <v/>
      </c>
      <c r="Q685" s="7">
        <f>IF($AB685="","",SUMIFS('Per Line'!$U$2:$U$4001,'Per Line'!$C$2:$C$4001,$B685,'Per Line'!$AM$2:$AM$4001,1))</f>
        <v/>
      </c>
      <c r="R685">
        <f>IF($AB685="","",Settings!$C$7)</f>
        <v/>
      </c>
      <c r="S685" s="7">
        <f>IF($AB685="","",SUMIFS('Per Line'!$U$2:$U$4001,'Per Line'!$C$2:$C$4001,$B685,'Per Line'!$AL$2:$AL$4001,0,'Per Line'!$AM$2:$AM$4001,0))</f>
        <v/>
      </c>
      <c r="T685" s="7">
        <f>IF($AB685="","",S685*R685)</f>
        <v/>
      </c>
      <c r="U685">
        <f>IF($AB685="","",Settings!$C$6)</f>
        <v/>
      </c>
      <c r="V685" s="7">
        <f>IF($AB685="","",SUMIFS('Per Line'!$U$2:$U$4001,'Per Line'!$C$2:$C$4001,$B685,'Per Line'!$AL$2:$AL$4001,1,'Per Line'!$AM$2:$AM$4001,0))</f>
        <v/>
      </c>
      <c r="W685" s="7">
        <f>IF($AB685="","",V685*U685)</f>
        <v/>
      </c>
      <c r="X685" s="7">
        <f>IF($AB685="","",W685+T685)</f>
        <v/>
      </c>
      <c r="Y685" s="7">
        <f>IF($AB685="","",Z685-X685)</f>
        <v/>
      </c>
      <c r="Z685" s="7">
        <f>IF($AB685="","",S685+V685+Q685)</f>
        <v/>
      </c>
      <c r="AA685" s="7">
        <f>IF($AB685="","",Z685-X685-M685)</f>
        <v/>
      </c>
      <c r="AB685" s="13">
        <f>IF(ROWS($AB$2:$AB685)&lt;=MAX('Per Line'!$AK$2:$AK$4001),MATCH(ROWS($AB$2:$AB685),'Per Line'!$AK$2:$AK$4001,0),"")</f>
        <v/>
      </c>
      <c r="AC685" s="14">
        <f>IF($AB685="","",M685-L685*Z685/100)</f>
        <v/>
      </c>
    </row>
    <row r="686">
      <c r="A686" s="12" t="n"/>
      <c r="B686">
        <f>IF($AB686="","",INDEX('Per Line'!$C$2:$C$4001,$AB686)&amp;"")</f>
        <v/>
      </c>
      <c r="C686">
        <f>IF($AB686="","",INDEX('Per Line'!$D$2:$D$4001,$AB686)&amp;"")</f>
        <v/>
      </c>
      <c r="D686">
        <f>IF($AB686="","",INDEX('Per Line'!$B$2:$B$4001,$AB686)&amp;"")</f>
        <v/>
      </c>
      <c r="E686">
        <f>IF($AB686="","",INDEX('Per Line'!$A$2:$A$4001,$AB686))</f>
        <v/>
      </c>
      <c r="F686" s="11">
        <f>IF($AB686="","",INDEX('Per Line'!$E$2:$E$4001,$AB686))</f>
        <v/>
      </c>
      <c r="G686">
        <f>IF($AB686="","",INDEX('Per Line'!$F$2:$F$4001,$AB686)&amp;"")</f>
        <v/>
      </c>
      <c r="H686">
        <f>IF($AB686="","",INDEX('Per Line'!$H$2:$H$4001,$AB686)&amp;"")</f>
        <v/>
      </c>
      <c r="I686">
        <f>IF($AB686="","",INDEX('Per Line'!$I$2:$I$4001,$AB686)&amp;"")</f>
        <v/>
      </c>
      <c r="J686">
        <f>IF($AB686="","",INDEX('Per Line'!$J$2:$J$4001,$AB686)&amp;"")</f>
        <v/>
      </c>
      <c r="K686">
        <f>IF($AB686="","",INDEX('Per Line'!$K$2:$K$4001,$AB686)&amp;"")</f>
        <v/>
      </c>
      <c r="L686">
        <f>IF($AB686="","",INDEX('Per Line'!$L$2:$L$4001,$AB686))</f>
        <v/>
      </c>
      <c r="M686" s="7">
        <f>IF($AB686="","",IF(AND(ISNUMBER(O686),O686&gt;0,Z686&gt;O686),L686*O686/100+(Z686-O686),L686*Z686/100))</f>
        <v/>
      </c>
      <c r="N686">
        <f>IF($AB686="","",INDEX('Per Line'!$V$2:$V$4001,$AB686)&amp;"")</f>
        <v/>
      </c>
      <c r="O686">
        <f>IF($AB686="","",INDEX('Per Line'!$Z$2:$Z$4001,$AB686))</f>
        <v/>
      </c>
      <c r="P686">
        <f>IF($AB686="","",IF(AND(ISNUMBER(O686),O686&gt;0),Z686&gt;O686,FALSE))</f>
        <v/>
      </c>
      <c r="Q686" s="7">
        <f>IF($AB686="","",SUMIFS('Per Line'!$U$2:$U$4001,'Per Line'!$C$2:$C$4001,$B686,'Per Line'!$AM$2:$AM$4001,1))</f>
        <v/>
      </c>
      <c r="R686">
        <f>IF($AB686="","",Settings!$C$7)</f>
        <v/>
      </c>
      <c r="S686" s="7">
        <f>IF($AB686="","",SUMIFS('Per Line'!$U$2:$U$4001,'Per Line'!$C$2:$C$4001,$B686,'Per Line'!$AL$2:$AL$4001,0,'Per Line'!$AM$2:$AM$4001,0))</f>
        <v/>
      </c>
      <c r="T686" s="7">
        <f>IF($AB686="","",S686*R686)</f>
        <v/>
      </c>
      <c r="U686">
        <f>IF($AB686="","",Settings!$C$6)</f>
        <v/>
      </c>
      <c r="V686" s="7">
        <f>IF($AB686="","",SUMIFS('Per Line'!$U$2:$U$4001,'Per Line'!$C$2:$C$4001,$B686,'Per Line'!$AL$2:$AL$4001,1,'Per Line'!$AM$2:$AM$4001,0))</f>
        <v/>
      </c>
      <c r="W686" s="7">
        <f>IF($AB686="","",V686*U686)</f>
        <v/>
      </c>
      <c r="X686" s="7">
        <f>IF($AB686="","",W686+T686)</f>
        <v/>
      </c>
      <c r="Y686" s="7">
        <f>IF($AB686="","",Z686-X686)</f>
        <v/>
      </c>
      <c r="Z686" s="7">
        <f>IF($AB686="","",S686+V686+Q686)</f>
        <v/>
      </c>
      <c r="AA686" s="7">
        <f>IF($AB686="","",Z686-X686-M686)</f>
        <v/>
      </c>
      <c r="AB686" s="13">
        <f>IF(ROWS($AB$2:$AB686)&lt;=MAX('Per Line'!$AK$2:$AK$4001),MATCH(ROWS($AB$2:$AB686),'Per Line'!$AK$2:$AK$4001,0),"")</f>
        <v/>
      </c>
      <c r="AC686" s="14">
        <f>IF($AB686="","",M686-L686*Z686/100)</f>
        <v/>
      </c>
    </row>
    <row r="687">
      <c r="A687" s="12" t="n"/>
      <c r="B687">
        <f>IF($AB687="","",INDEX('Per Line'!$C$2:$C$4001,$AB687)&amp;"")</f>
        <v/>
      </c>
      <c r="C687">
        <f>IF($AB687="","",INDEX('Per Line'!$D$2:$D$4001,$AB687)&amp;"")</f>
        <v/>
      </c>
      <c r="D687">
        <f>IF($AB687="","",INDEX('Per Line'!$B$2:$B$4001,$AB687)&amp;"")</f>
        <v/>
      </c>
      <c r="E687">
        <f>IF($AB687="","",INDEX('Per Line'!$A$2:$A$4001,$AB687))</f>
        <v/>
      </c>
      <c r="F687" s="11">
        <f>IF($AB687="","",INDEX('Per Line'!$E$2:$E$4001,$AB687))</f>
        <v/>
      </c>
      <c r="G687">
        <f>IF($AB687="","",INDEX('Per Line'!$F$2:$F$4001,$AB687)&amp;"")</f>
        <v/>
      </c>
      <c r="H687">
        <f>IF($AB687="","",INDEX('Per Line'!$H$2:$H$4001,$AB687)&amp;"")</f>
        <v/>
      </c>
      <c r="I687">
        <f>IF($AB687="","",INDEX('Per Line'!$I$2:$I$4001,$AB687)&amp;"")</f>
        <v/>
      </c>
      <c r="J687">
        <f>IF($AB687="","",INDEX('Per Line'!$J$2:$J$4001,$AB687)&amp;"")</f>
        <v/>
      </c>
      <c r="K687">
        <f>IF($AB687="","",INDEX('Per Line'!$K$2:$K$4001,$AB687)&amp;"")</f>
        <v/>
      </c>
      <c r="L687">
        <f>IF($AB687="","",INDEX('Per Line'!$L$2:$L$4001,$AB687))</f>
        <v/>
      </c>
      <c r="M687" s="7">
        <f>IF($AB687="","",IF(AND(ISNUMBER(O687),O687&gt;0,Z687&gt;O687),L687*O687/100+(Z687-O687),L687*Z687/100))</f>
        <v/>
      </c>
      <c r="N687">
        <f>IF($AB687="","",INDEX('Per Line'!$V$2:$V$4001,$AB687)&amp;"")</f>
        <v/>
      </c>
      <c r="O687">
        <f>IF($AB687="","",INDEX('Per Line'!$Z$2:$Z$4001,$AB687))</f>
        <v/>
      </c>
      <c r="P687">
        <f>IF($AB687="","",IF(AND(ISNUMBER(O687),O687&gt;0),Z687&gt;O687,FALSE))</f>
        <v/>
      </c>
      <c r="Q687" s="7">
        <f>IF($AB687="","",SUMIFS('Per Line'!$U$2:$U$4001,'Per Line'!$C$2:$C$4001,$B687,'Per Line'!$AM$2:$AM$4001,1))</f>
        <v/>
      </c>
      <c r="R687">
        <f>IF($AB687="","",Settings!$C$7)</f>
        <v/>
      </c>
      <c r="S687" s="7">
        <f>IF($AB687="","",SUMIFS('Per Line'!$U$2:$U$4001,'Per Line'!$C$2:$C$4001,$B687,'Per Line'!$AL$2:$AL$4001,0,'Per Line'!$AM$2:$AM$4001,0))</f>
        <v/>
      </c>
      <c r="T687" s="7">
        <f>IF($AB687="","",S687*R687)</f>
        <v/>
      </c>
      <c r="U687">
        <f>IF($AB687="","",Settings!$C$6)</f>
        <v/>
      </c>
      <c r="V687" s="7">
        <f>IF($AB687="","",SUMIFS('Per Line'!$U$2:$U$4001,'Per Line'!$C$2:$C$4001,$B687,'Per Line'!$AL$2:$AL$4001,1,'Per Line'!$AM$2:$AM$4001,0))</f>
        <v/>
      </c>
      <c r="W687" s="7">
        <f>IF($AB687="","",V687*U687)</f>
        <v/>
      </c>
      <c r="X687" s="7">
        <f>IF($AB687="","",W687+T687)</f>
        <v/>
      </c>
      <c r="Y687" s="7">
        <f>IF($AB687="","",Z687-X687)</f>
        <v/>
      </c>
      <c r="Z687" s="7">
        <f>IF($AB687="","",S687+V687+Q687)</f>
        <v/>
      </c>
      <c r="AA687" s="7">
        <f>IF($AB687="","",Z687-X687-M687)</f>
        <v/>
      </c>
      <c r="AB687" s="13">
        <f>IF(ROWS($AB$2:$AB687)&lt;=MAX('Per Line'!$AK$2:$AK$4001),MATCH(ROWS($AB$2:$AB687),'Per Line'!$AK$2:$AK$4001,0),"")</f>
        <v/>
      </c>
      <c r="AC687" s="14">
        <f>IF($AB687="","",M687-L687*Z687/100)</f>
        <v/>
      </c>
    </row>
    <row r="688">
      <c r="A688" s="12" t="n"/>
      <c r="B688">
        <f>IF($AB688="","",INDEX('Per Line'!$C$2:$C$4001,$AB688)&amp;"")</f>
        <v/>
      </c>
      <c r="C688">
        <f>IF($AB688="","",INDEX('Per Line'!$D$2:$D$4001,$AB688)&amp;"")</f>
        <v/>
      </c>
      <c r="D688">
        <f>IF($AB688="","",INDEX('Per Line'!$B$2:$B$4001,$AB688)&amp;"")</f>
        <v/>
      </c>
      <c r="E688">
        <f>IF($AB688="","",INDEX('Per Line'!$A$2:$A$4001,$AB688))</f>
        <v/>
      </c>
      <c r="F688" s="11">
        <f>IF($AB688="","",INDEX('Per Line'!$E$2:$E$4001,$AB688))</f>
        <v/>
      </c>
      <c r="G688">
        <f>IF($AB688="","",INDEX('Per Line'!$F$2:$F$4001,$AB688)&amp;"")</f>
        <v/>
      </c>
      <c r="H688">
        <f>IF($AB688="","",INDEX('Per Line'!$H$2:$H$4001,$AB688)&amp;"")</f>
        <v/>
      </c>
      <c r="I688">
        <f>IF($AB688="","",INDEX('Per Line'!$I$2:$I$4001,$AB688)&amp;"")</f>
        <v/>
      </c>
      <c r="J688">
        <f>IF($AB688="","",INDEX('Per Line'!$J$2:$J$4001,$AB688)&amp;"")</f>
        <v/>
      </c>
      <c r="K688">
        <f>IF($AB688="","",INDEX('Per Line'!$K$2:$K$4001,$AB688)&amp;"")</f>
        <v/>
      </c>
      <c r="L688">
        <f>IF($AB688="","",INDEX('Per Line'!$L$2:$L$4001,$AB688))</f>
        <v/>
      </c>
      <c r="M688" s="7">
        <f>IF($AB688="","",IF(AND(ISNUMBER(O688),O688&gt;0,Z688&gt;O688),L688*O688/100+(Z688-O688),L688*Z688/100))</f>
        <v/>
      </c>
      <c r="N688">
        <f>IF($AB688="","",INDEX('Per Line'!$V$2:$V$4001,$AB688)&amp;"")</f>
        <v/>
      </c>
      <c r="O688">
        <f>IF($AB688="","",INDEX('Per Line'!$Z$2:$Z$4001,$AB688))</f>
        <v/>
      </c>
      <c r="P688">
        <f>IF($AB688="","",IF(AND(ISNUMBER(O688),O688&gt;0),Z688&gt;O688,FALSE))</f>
        <v/>
      </c>
      <c r="Q688" s="7">
        <f>IF($AB688="","",SUMIFS('Per Line'!$U$2:$U$4001,'Per Line'!$C$2:$C$4001,$B688,'Per Line'!$AM$2:$AM$4001,1))</f>
        <v/>
      </c>
      <c r="R688">
        <f>IF($AB688="","",Settings!$C$7)</f>
        <v/>
      </c>
      <c r="S688" s="7">
        <f>IF($AB688="","",SUMIFS('Per Line'!$U$2:$U$4001,'Per Line'!$C$2:$C$4001,$B688,'Per Line'!$AL$2:$AL$4001,0,'Per Line'!$AM$2:$AM$4001,0))</f>
        <v/>
      </c>
      <c r="T688" s="7">
        <f>IF($AB688="","",S688*R688)</f>
        <v/>
      </c>
      <c r="U688">
        <f>IF($AB688="","",Settings!$C$6)</f>
        <v/>
      </c>
      <c r="V688" s="7">
        <f>IF($AB688="","",SUMIFS('Per Line'!$U$2:$U$4001,'Per Line'!$C$2:$C$4001,$B688,'Per Line'!$AL$2:$AL$4001,1,'Per Line'!$AM$2:$AM$4001,0))</f>
        <v/>
      </c>
      <c r="W688" s="7">
        <f>IF($AB688="","",V688*U688)</f>
        <v/>
      </c>
      <c r="X688" s="7">
        <f>IF($AB688="","",W688+T688)</f>
        <v/>
      </c>
      <c r="Y688" s="7">
        <f>IF($AB688="","",Z688-X688)</f>
        <v/>
      </c>
      <c r="Z688" s="7">
        <f>IF($AB688="","",S688+V688+Q688)</f>
        <v/>
      </c>
      <c r="AA688" s="7">
        <f>IF($AB688="","",Z688-X688-M688)</f>
        <v/>
      </c>
      <c r="AB688" s="13">
        <f>IF(ROWS($AB$2:$AB688)&lt;=MAX('Per Line'!$AK$2:$AK$4001),MATCH(ROWS($AB$2:$AB688),'Per Line'!$AK$2:$AK$4001,0),"")</f>
        <v/>
      </c>
      <c r="AC688" s="14">
        <f>IF($AB688="","",M688-L688*Z688/100)</f>
        <v/>
      </c>
    </row>
    <row r="689">
      <c r="A689" s="12" t="n"/>
      <c r="B689">
        <f>IF($AB689="","",INDEX('Per Line'!$C$2:$C$4001,$AB689)&amp;"")</f>
        <v/>
      </c>
      <c r="C689">
        <f>IF($AB689="","",INDEX('Per Line'!$D$2:$D$4001,$AB689)&amp;"")</f>
        <v/>
      </c>
      <c r="D689">
        <f>IF($AB689="","",INDEX('Per Line'!$B$2:$B$4001,$AB689)&amp;"")</f>
        <v/>
      </c>
      <c r="E689">
        <f>IF($AB689="","",INDEX('Per Line'!$A$2:$A$4001,$AB689))</f>
        <v/>
      </c>
      <c r="F689" s="11">
        <f>IF($AB689="","",INDEX('Per Line'!$E$2:$E$4001,$AB689))</f>
        <v/>
      </c>
      <c r="G689">
        <f>IF($AB689="","",INDEX('Per Line'!$F$2:$F$4001,$AB689)&amp;"")</f>
        <v/>
      </c>
      <c r="H689">
        <f>IF($AB689="","",INDEX('Per Line'!$H$2:$H$4001,$AB689)&amp;"")</f>
        <v/>
      </c>
      <c r="I689">
        <f>IF($AB689="","",INDEX('Per Line'!$I$2:$I$4001,$AB689)&amp;"")</f>
        <v/>
      </c>
      <c r="J689">
        <f>IF($AB689="","",INDEX('Per Line'!$J$2:$J$4001,$AB689)&amp;"")</f>
        <v/>
      </c>
      <c r="K689">
        <f>IF($AB689="","",INDEX('Per Line'!$K$2:$K$4001,$AB689)&amp;"")</f>
        <v/>
      </c>
      <c r="L689">
        <f>IF($AB689="","",INDEX('Per Line'!$L$2:$L$4001,$AB689))</f>
        <v/>
      </c>
      <c r="M689" s="7">
        <f>IF($AB689="","",IF(AND(ISNUMBER(O689),O689&gt;0,Z689&gt;O689),L689*O689/100+(Z689-O689),L689*Z689/100))</f>
        <v/>
      </c>
      <c r="N689">
        <f>IF($AB689="","",INDEX('Per Line'!$V$2:$V$4001,$AB689)&amp;"")</f>
        <v/>
      </c>
      <c r="O689">
        <f>IF($AB689="","",INDEX('Per Line'!$Z$2:$Z$4001,$AB689))</f>
        <v/>
      </c>
      <c r="P689">
        <f>IF($AB689="","",IF(AND(ISNUMBER(O689),O689&gt;0),Z689&gt;O689,FALSE))</f>
        <v/>
      </c>
      <c r="Q689" s="7">
        <f>IF($AB689="","",SUMIFS('Per Line'!$U$2:$U$4001,'Per Line'!$C$2:$C$4001,$B689,'Per Line'!$AM$2:$AM$4001,1))</f>
        <v/>
      </c>
      <c r="R689">
        <f>IF($AB689="","",Settings!$C$7)</f>
        <v/>
      </c>
      <c r="S689" s="7">
        <f>IF($AB689="","",SUMIFS('Per Line'!$U$2:$U$4001,'Per Line'!$C$2:$C$4001,$B689,'Per Line'!$AL$2:$AL$4001,0,'Per Line'!$AM$2:$AM$4001,0))</f>
        <v/>
      </c>
      <c r="T689" s="7">
        <f>IF($AB689="","",S689*R689)</f>
        <v/>
      </c>
      <c r="U689">
        <f>IF($AB689="","",Settings!$C$6)</f>
        <v/>
      </c>
      <c r="V689" s="7">
        <f>IF($AB689="","",SUMIFS('Per Line'!$U$2:$U$4001,'Per Line'!$C$2:$C$4001,$B689,'Per Line'!$AL$2:$AL$4001,1,'Per Line'!$AM$2:$AM$4001,0))</f>
        <v/>
      </c>
      <c r="W689" s="7">
        <f>IF($AB689="","",V689*U689)</f>
        <v/>
      </c>
      <c r="X689" s="7">
        <f>IF($AB689="","",W689+T689)</f>
        <v/>
      </c>
      <c r="Y689" s="7">
        <f>IF($AB689="","",Z689-X689)</f>
        <v/>
      </c>
      <c r="Z689" s="7">
        <f>IF($AB689="","",S689+V689+Q689)</f>
        <v/>
      </c>
      <c r="AA689" s="7">
        <f>IF($AB689="","",Z689-X689-M689)</f>
        <v/>
      </c>
      <c r="AB689" s="13">
        <f>IF(ROWS($AB$2:$AB689)&lt;=MAX('Per Line'!$AK$2:$AK$4001),MATCH(ROWS($AB$2:$AB689),'Per Line'!$AK$2:$AK$4001,0),"")</f>
        <v/>
      </c>
      <c r="AC689" s="14">
        <f>IF($AB689="","",M689-L689*Z689/100)</f>
        <v/>
      </c>
    </row>
    <row r="690">
      <c r="A690" s="12" t="n"/>
      <c r="B690">
        <f>IF($AB690="","",INDEX('Per Line'!$C$2:$C$4001,$AB690)&amp;"")</f>
        <v/>
      </c>
      <c r="C690">
        <f>IF($AB690="","",INDEX('Per Line'!$D$2:$D$4001,$AB690)&amp;"")</f>
        <v/>
      </c>
      <c r="D690">
        <f>IF($AB690="","",INDEX('Per Line'!$B$2:$B$4001,$AB690)&amp;"")</f>
        <v/>
      </c>
      <c r="E690">
        <f>IF($AB690="","",INDEX('Per Line'!$A$2:$A$4001,$AB690))</f>
        <v/>
      </c>
      <c r="F690" s="11">
        <f>IF($AB690="","",INDEX('Per Line'!$E$2:$E$4001,$AB690))</f>
        <v/>
      </c>
      <c r="G690">
        <f>IF($AB690="","",INDEX('Per Line'!$F$2:$F$4001,$AB690)&amp;"")</f>
        <v/>
      </c>
      <c r="H690">
        <f>IF($AB690="","",INDEX('Per Line'!$H$2:$H$4001,$AB690)&amp;"")</f>
        <v/>
      </c>
      <c r="I690">
        <f>IF($AB690="","",INDEX('Per Line'!$I$2:$I$4001,$AB690)&amp;"")</f>
        <v/>
      </c>
      <c r="J690">
        <f>IF($AB690="","",INDEX('Per Line'!$J$2:$J$4001,$AB690)&amp;"")</f>
        <v/>
      </c>
      <c r="K690">
        <f>IF($AB690="","",INDEX('Per Line'!$K$2:$K$4001,$AB690)&amp;"")</f>
        <v/>
      </c>
      <c r="L690">
        <f>IF($AB690="","",INDEX('Per Line'!$L$2:$L$4001,$AB690))</f>
        <v/>
      </c>
      <c r="M690" s="7">
        <f>IF($AB690="","",IF(AND(ISNUMBER(O690),O690&gt;0,Z690&gt;O690),L690*O690/100+(Z690-O690),L690*Z690/100))</f>
        <v/>
      </c>
      <c r="N690">
        <f>IF($AB690="","",INDEX('Per Line'!$V$2:$V$4001,$AB690)&amp;"")</f>
        <v/>
      </c>
      <c r="O690">
        <f>IF($AB690="","",INDEX('Per Line'!$Z$2:$Z$4001,$AB690))</f>
        <v/>
      </c>
      <c r="P690">
        <f>IF($AB690="","",IF(AND(ISNUMBER(O690),O690&gt;0),Z690&gt;O690,FALSE))</f>
        <v/>
      </c>
      <c r="Q690" s="7">
        <f>IF($AB690="","",SUMIFS('Per Line'!$U$2:$U$4001,'Per Line'!$C$2:$C$4001,$B690,'Per Line'!$AM$2:$AM$4001,1))</f>
        <v/>
      </c>
      <c r="R690">
        <f>IF($AB690="","",Settings!$C$7)</f>
        <v/>
      </c>
      <c r="S690" s="7">
        <f>IF($AB690="","",SUMIFS('Per Line'!$U$2:$U$4001,'Per Line'!$C$2:$C$4001,$B690,'Per Line'!$AL$2:$AL$4001,0,'Per Line'!$AM$2:$AM$4001,0))</f>
        <v/>
      </c>
      <c r="T690" s="7">
        <f>IF($AB690="","",S690*R690)</f>
        <v/>
      </c>
      <c r="U690">
        <f>IF($AB690="","",Settings!$C$6)</f>
        <v/>
      </c>
      <c r="V690" s="7">
        <f>IF($AB690="","",SUMIFS('Per Line'!$U$2:$U$4001,'Per Line'!$C$2:$C$4001,$B690,'Per Line'!$AL$2:$AL$4001,1,'Per Line'!$AM$2:$AM$4001,0))</f>
        <v/>
      </c>
      <c r="W690" s="7">
        <f>IF($AB690="","",V690*U690)</f>
        <v/>
      </c>
      <c r="X690" s="7">
        <f>IF($AB690="","",W690+T690)</f>
        <v/>
      </c>
      <c r="Y690" s="7">
        <f>IF($AB690="","",Z690-X690)</f>
        <v/>
      </c>
      <c r="Z690" s="7">
        <f>IF($AB690="","",S690+V690+Q690)</f>
        <v/>
      </c>
      <c r="AA690" s="7">
        <f>IF($AB690="","",Z690-X690-M690)</f>
        <v/>
      </c>
      <c r="AB690" s="13">
        <f>IF(ROWS($AB$2:$AB690)&lt;=MAX('Per Line'!$AK$2:$AK$4001),MATCH(ROWS($AB$2:$AB690),'Per Line'!$AK$2:$AK$4001,0),"")</f>
        <v/>
      </c>
      <c r="AC690" s="14">
        <f>IF($AB690="","",M690-L690*Z690/100)</f>
        <v/>
      </c>
    </row>
    <row r="691">
      <c r="A691" s="12" t="n"/>
      <c r="B691">
        <f>IF($AB691="","",INDEX('Per Line'!$C$2:$C$4001,$AB691)&amp;"")</f>
        <v/>
      </c>
      <c r="C691">
        <f>IF($AB691="","",INDEX('Per Line'!$D$2:$D$4001,$AB691)&amp;"")</f>
        <v/>
      </c>
      <c r="D691">
        <f>IF($AB691="","",INDEX('Per Line'!$B$2:$B$4001,$AB691)&amp;"")</f>
        <v/>
      </c>
      <c r="E691">
        <f>IF($AB691="","",INDEX('Per Line'!$A$2:$A$4001,$AB691))</f>
        <v/>
      </c>
      <c r="F691" s="11">
        <f>IF($AB691="","",INDEX('Per Line'!$E$2:$E$4001,$AB691))</f>
        <v/>
      </c>
      <c r="G691">
        <f>IF($AB691="","",INDEX('Per Line'!$F$2:$F$4001,$AB691)&amp;"")</f>
        <v/>
      </c>
      <c r="H691">
        <f>IF($AB691="","",INDEX('Per Line'!$H$2:$H$4001,$AB691)&amp;"")</f>
        <v/>
      </c>
      <c r="I691">
        <f>IF($AB691="","",INDEX('Per Line'!$I$2:$I$4001,$AB691)&amp;"")</f>
        <v/>
      </c>
      <c r="J691">
        <f>IF($AB691="","",INDEX('Per Line'!$J$2:$J$4001,$AB691)&amp;"")</f>
        <v/>
      </c>
      <c r="K691">
        <f>IF($AB691="","",INDEX('Per Line'!$K$2:$K$4001,$AB691)&amp;"")</f>
        <v/>
      </c>
      <c r="L691">
        <f>IF($AB691="","",INDEX('Per Line'!$L$2:$L$4001,$AB691))</f>
        <v/>
      </c>
      <c r="M691" s="7">
        <f>IF($AB691="","",IF(AND(ISNUMBER(O691),O691&gt;0,Z691&gt;O691),L691*O691/100+(Z691-O691),L691*Z691/100))</f>
        <v/>
      </c>
      <c r="N691">
        <f>IF($AB691="","",INDEX('Per Line'!$V$2:$V$4001,$AB691)&amp;"")</f>
        <v/>
      </c>
      <c r="O691">
        <f>IF($AB691="","",INDEX('Per Line'!$Z$2:$Z$4001,$AB691))</f>
        <v/>
      </c>
      <c r="P691">
        <f>IF($AB691="","",IF(AND(ISNUMBER(O691),O691&gt;0),Z691&gt;O691,FALSE))</f>
        <v/>
      </c>
      <c r="Q691" s="7">
        <f>IF($AB691="","",SUMIFS('Per Line'!$U$2:$U$4001,'Per Line'!$C$2:$C$4001,$B691,'Per Line'!$AM$2:$AM$4001,1))</f>
        <v/>
      </c>
      <c r="R691">
        <f>IF($AB691="","",Settings!$C$7)</f>
        <v/>
      </c>
      <c r="S691" s="7">
        <f>IF($AB691="","",SUMIFS('Per Line'!$U$2:$U$4001,'Per Line'!$C$2:$C$4001,$B691,'Per Line'!$AL$2:$AL$4001,0,'Per Line'!$AM$2:$AM$4001,0))</f>
        <v/>
      </c>
      <c r="T691" s="7">
        <f>IF($AB691="","",S691*R691)</f>
        <v/>
      </c>
      <c r="U691">
        <f>IF($AB691="","",Settings!$C$6)</f>
        <v/>
      </c>
      <c r="V691" s="7">
        <f>IF($AB691="","",SUMIFS('Per Line'!$U$2:$U$4001,'Per Line'!$C$2:$C$4001,$B691,'Per Line'!$AL$2:$AL$4001,1,'Per Line'!$AM$2:$AM$4001,0))</f>
        <v/>
      </c>
      <c r="W691" s="7">
        <f>IF($AB691="","",V691*U691)</f>
        <v/>
      </c>
      <c r="X691" s="7">
        <f>IF($AB691="","",W691+T691)</f>
        <v/>
      </c>
      <c r="Y691" s="7">
        <f>IF($AB691="","",Z691-X691)</f>
        <v/>
      </c>
      <c r="Z691" s="7">
        <f>IF($AB691="","",S691+V691+Q691)</f>
        <v/>
      </c>
      <c r="AA691" s="7">
        <f>IF($AB691="","",Z691-X691-M691)</f>
        <v/>
      </c>
      <c r="AB691" s="13">
        <f>IF(ROWS($AB$2:$AB691)&lt;=MAX('Per Line'!$AK$2:$AK$4001),MATCH(ROWS($AB$2:$AB691),'Per Line'!$AK$2:$AK$4001,0),"")</f>
        <v/>
      </c>
      <c r="AC691" s="14">
        <f>IF($AB691="","",M691-L691*Z691/100)</f>
        <v/>
      </c>
    </row>
    <row r="692">
      <c r="A692" s="12" t="n"/>
      <c r="B692">
        <f>IF($AB692="","",INDEX('Per Line'!$C$2:$C$4001,$AB692)&amp;"")</f>
        <v/>
      </c>
      <c r="C692">
        <f>IF($AB692="","",INDEX('Per Line'!$D$2:$D$4001,$AB692)&amp;"")</f>
        <v/>
      </c>
      <c r="D692">
        <f>IF($AB692="","",INDEX('Per Line'!$B$2:$B$4001,$AB692)&amp;"")</f>
        <v/>
      </c>
      <c r="E692">
        <f>IF($AB692="","",INDEX('Per Line'!$A$2:$A$4001,$AB692))</f>
        <v/>
      </c>
      <c r="F692" s="11">
        <f>IF($AB692="","",INDEX('Per Line'!$E$2:$E$4001,$AB692))</f>
        <v/>
      </c>
      <c r="G692">
        <f>IF($AB692="","",INDEX('Per Line'!$F$2:$F$4001,$AB692)&amp;"")</f>
        <v/>
      </c>
      <c r="H692">
        <f>IF($AB692="","",INDEX('Per Line'!$H$2:$H$4001,$AB692)&amp;"")</f>
        <v/>
      </c>
      <c r="I692">
        <f>IF($AB692="","",INDEX('Per Line'!$I$2:$I$4001,$AB692)&amp;"")</f>
        <v/>
      </c>
      <c r="J692">
        <f>IF($AB692="","",INDEX('Per Line'!$J$2:$J$4001,$AB692)&amp;"")</f>
        <v/>
      </c>
      <c r="K692">
        <f>IF($AB692="","",INDEX('Per Line'!$K$2:$K$4001,$AB692)&amp;"")</f>
        <v/>
      </c>
      <c r="L692">
        <f>IF($AB692="","",INDEX('Per Line'!$L$2:$L$4001,$AB692))</f>
        <v/>
      </c>
      <c r="M692" s="7">
        <f>IF($AB692="","",IF(AND(ISNUMBER(O692),O692&gt;0,Z692&gt;O692),L692*O692/100+(Z692-O692),L692*Z692/100))</f>
        <v/>
      </c>
      <c r="N692">
        <f>IF($AB692="","",INDEX('Per Line'!$V$2:$V$4001,$AB692)&amp;"")</f>
        <v/>
      </c>
      <c r="O692">
        <f>IF($AB692="","",INDEX('Per Line'!$Z$2:$Z$4001,$AB692))</f>
        <v/>
      </c>
      <c r="P692">
        <f>IF($AB692="","",IF(AND(ISNUMBER(O692),O692&gt;0),Z692&gt;O692,FALSE))</f>
        <v/>
      </c>
      <c r="Q692" s="7">
        <f>IF($AB692="","",SUMIFS('Per Line'!$U$2:$U$4001,'Per Line'!$C$2:$C$4001,$B692,'Per Line'!$AM$2:$AM$4001,1))</f>
        <v/>
      </c>
      <c r="R692">
        <f>IF($AB692="","",Settings!$C$7)</f>
        <v/>
      </c>
      <c r="S692" s="7">
        <f>IF($AB692="","",SUMIFS('Per Line'!$U$2:$U$4001,'Per Line'!$C$2:$C$4001,$B692,'Per Line'!$AL$2:$AL$4001,0,'Per Line'!$AM$2:$AM$4001,0))</f>
        <v/>
      </c>
      <c r="T692" s="7">
        <f>IF($AB692="","",S692*R692)</f>
        <v/>
      </c>
      <c r="U692">
        <f>IF($AB692="","",Settings!$C$6)</f>
        <v/>
      </c>
      <c r="V692" s="7">
        <f>IF($AB692="","",SUMIFS('Per Line'!$U$2:$U$4001,'Per Line'!$C$2:$C$4001,$B692,'Per Line'!$AL$2:$AL$4001,1,'Per Line'!$AM$2:$AM$4001,0))</f>
        <v/>
      </c>
      <c r="W692" s="7">
        <f>IF($AB692="","",V692*U692)</f>
        <v/>
      </c>
      <c r="X692" s="7">
        <f>IF($AB692="","",W692+T692)</f>
        <v/>
      </c>
      <c r="Y692" s="7">
        <f>IF($AB692="","",Z692-X692)</f>
        <v/>
      </c>
      <c r="Z692" s="7">
        <f>IF($AB692="","",S692+V692+Q692)</f>
        <v/>
      </c>
      <c r="AA692" s="7">
        <f>IF($AB692="","",Z692-X692-M692)</f>
        <v/>
      </c>
      <c r="AB692" s="13">
        <f>IF(ROWS($AB$2:$AB692)&lt;=MAX('Per Line'!$AK$2:$AK$4001),MATCH(ROWS($AB$2:$AB692),'Per Line'!$AK$2:$AK$4001,0),"")</f>
        <v/>
      </c>
      <c r="AC692" s="14">
        <f>IF($AB692="","",M692-L692*Z692/100)</f>
        <v/>
      </c>
    </row>
    <row r="693">
      <c r="A693" s="12" t="n"/>
      <c r="B693">
        <f>IF($AB693="","",INDEX('Per Line'!$C$2:$C$4001,$AB693)&amp;"")</f>
        <v/>
      </c>
      <c r="C693">
        <f>IF($AB693="","",INDEX('Per Line'!$D$2:$D$4001,$AB693)&amp;"")</f>
        <v/>
      </c>
      <c r="D693">
        <f>IF($AB693="","",INDEX('Per Line'!$B$2:$B$4001,$AB693)&amp;"")</f>
        <v/>
      </c>
      <c r="E693">
        <f>IF($AB693="","",INDEX('Per Line'!$A$2:$A$4001,$AB693))</f>
        <v/>
      </c>
      <c r="F693" s="11">
        <f>IF($AB693="","",INDEX('Per Line'!$E$2:$E$4001,$AB693))</f>
        <v/>
      </c>
      <c r="G693">
        <f>IF($AB693="","",INDEX('Per Line'!$F$2:$F$4001,$AB693)&amp;"")</f>
        <v/>
      </c>
      <c r="H693">
        <f>IF($AB693="","",INDEX('Per Line'!$H$2:$H$4001,$AB693)&amp;"")</f>
        <v/>
      </c>
      <c r="I693">
        <f>IF($AB693="","",INDEX('Per Line'!$I$2:$I$4001,$AB693)&amp;"")</f>
        <v/>
      </c>
      <c r="J693">
        <f>IF($AB693="","",INDEX('Per Line'!$J$2:$J$4001,$AB693)&amp;"")</f>
        <v/>
      </c>
      <c r="K693">
        <f>IF($AB693="","",INDEX('Per Line'!$K$2:$K$4001,$AB693)&amp;"")</f>
        <v/>
      </c>
      <c r="L693">
        <f>IF($AB693="","",INDEX('Per Line'!$L$2:$L$4001,$AB693))</f>
        <v/>
      </c>
      <c r="M693" s="7">
        <f>IF($AB693="","",IF(AND(ISNUMBER(O693),O693&gt;0,Z693&gt;O693),L693*O693/100+(Z693-O693),L693*Z693/100))</f>
        <v/>
      </c>
      <c r="N693">
        <f>IF($AB693="","",INDEX('Per Line'!$V$2:$V$4001,$AB693)&amp;"")</f>
        <v/>
      </c>
      <c r="O693">
        <f>IF($AB693="","",INDEX('Per Line'!$Z$2:$Z$4001,$AB693))</f>
        <v/>
      </c>
      <c r="P693">
        <f>IF($AB693="","",IF(AND(ISNUMBER(O693),O693&gt;0),Z693&gt;O693,FALSE))</f>
        <v/>
      </c>
      <c r="Q693" s="7">
        <f>IF($AB693="","",SUMIFS('Per Line'!$U$2:$U$4001,'Per Line'!$C$2:$C$4001,$B693,'Per Line'!$AM$2:$AM$4001,1))</f>
        <v/>
      </c>
      <c r="R693">
        <f>IF($AB693="","",Settings!$C$7)</f>
        <v/>
      </c>
      <c r="S693" s="7">
        <f>IF($AB693="","",SUMIFS('Per Line'!$U$2:$U$4001,'Per Line'!$C$2:$C$4001,$B693,'Per Line'!$AL$2:$AL$4001,0,'Per Line'!$AM$2:$AM$4001,0))</f>
        <v/>
      </c>
      <c r="T693" s="7">
        <f>IF($AB693="","",S693*R693)</f>
        <v/>
      </c>
      <c r="U693">
        <f>IF($AB693="","",Settings!$C$6)</f>
        <v/>
      </c>
      <c r="V693" s="7">
        <f>IF($AB693="","",SUMIFS('Per Line'!$U$2:$U$4001,'Per Line'!$C$2:$C$4001,$B693,'Per Line'!$AL$2:$AL$4001,1,'Per Line'!$AM$2:$AM$4001,0))</f>
        <v/>
      </c>
      <c r="W693" s="7">
        <f>IF($AB693="","",V693*U693)</f>
        <v/>
      </c>
      <c r="X693" s="7">
        <f>IF($AB693="","",W693+T693)</f>
        <v/>
      </c>
      <c r="Y693" s="7">
        <f>IF($AB693="","",Z693-X693)</f>
        <v/>
      </c>
      <c r="Z693" s="7">
        <f>IF($AB693="","",S693+V693+Q693)</f>
        <v/>
      </c>
      <c r="AA693" s="7">
        <f>IF($AB693="","",Z693-X693-M693)</f>
        <v/>
      </c>
      <c r="AB693" s="13">
        <f>IF(ROWS($AB$2:$AB693)&lt;=MAX('Per Line'!$AK$2:$AK$4001),MATCH(ROWS($AB$2:$AB693),'Per Line'!$AK$2:$AK$4001,0),"")</f>
        <v/>
      </c>
      <c r="AC693" s="14">
        <f>IF($AB693="","",M693-L693*Z693/100)</f>
        <v/>
      </c>
    </row>
    <row r="694">
      <c r="A694" s="12" t="n"/>
      <c r="B694">
        <f>IF($AB694="","",INDEX('Per Line'!$C$2:$C$4001,$AB694)&amp;"")</f>
        <v/>
      </c>
      <c r="C694">
        <f>IF($AB694="","",INDEX('Per Line'!$D$2:$D$4001,$AB694)&amp;"")</f>
        <v/>
      </c>
      <c r="D694">
        <f>IF($AB694="","",INDEX('Per Line'!$B$2:$B$4001,$AB694)&amp;"")</f>
        <v/>
      </c>
      <c r="E694">
        <f>IF($AB694="","",INDEX('Per Line'!$A$2:$A$4001,$AB694))</f>
        <v/>
      </c>
      <c r="F694" s="11">
        <f>IF($AB694="","",INDEX('Per Line'!$E$2:$E$4001,$AB694))</f>
        <v/>
      </c>
      <c r="G694">
        <f>IF($AB694="","",INDEX('Per Line'!$F$2:$F$4001,$AB694)&amp;"")</f>
        <v/>
      </c>
      <c r="H694">
        <f>IF($AB694="","",INDEX('Per Line'!$H$2:$H$4001,$AB694)&amp;"")</f>
        <v/>
      </c>
      <c r="I694">
        <f>IF($AB694="","",INDEX('Per Line'!$I$2:$I$4001,$AB694)&amp;"")</f>
        <v/>
      </c>
      <c r="J694">
        <f>IF($AB694="","",INDEX('Per Line'!$J$2:$J$4001,$AB694)&amp;"")</f>
        <v/>
      </c>
      <c r="K694">
        <f>IF($AB694="","",INDEX('Per Line'!$K$2:$K$4001,$AB694)&amp;"")</f>
        <v/>
      </c>
      <c r="L694">
        <f>IF($AB694="","",INDEX('Per Line'!$L$2:$L$4001,$AB694))</f>
        <v/>
      </c>
      <c r="M694" s="7">
        <f>IF($AB694="","",IF(AND(ISNUMBER(O694),O694&gt;0,Z694&gt;O694),L694*O694/100+(Z694-O694),L694*Z694/100))</f>
        <v/>
      </c>
      <c r="N694">
        <f>IF($AB694="","",INDEX('Per Line'!$V$2:$V$4001,$AB694)&amp;"")</f>
        <v/>
      </c>
      <c r="O694">
        <f>IF($AB694="","",INDEX('Per Line'!$Z$2:$Z$4001,$AB694))</f>
        <v/>
      </c>
      <c r="P694">
        <f>IF($AB694="","",IF(AND(ISNUMBER(O694),O694&gt;0),Z694&gt;O694,FALSE))</f>
        <v/>
      </c>
      <c r="Q694" s="7">
        <f>IF($AB694="","",SUMIFS('Per Line'!$U$2:$U$4001,'Per Line'!$C$2:$C$4001,$B694,'Per Line'!$AM$2:$AM$4001,1))</f>
        <v/>
      </c>
      <c r="R694">
        <f>IF($AB694="","",Settings!$C$7)</f>
        <v/>
      </c>
      <c r="S694" s="7">
        <f>IF($AB694="","",SUMIFS('Per Line'!$U$2:$U$4001,'Per Line'!$C$2:$C$4001,$B694,'Per Line'!$AL$2:$AL$4001,0,'Per Line'!$AM$2:$AM$4001,0))</f>
        <v/>
      </c>
      <c r="T694" s="7">
        <f>IF($AB694="","",S694*R694)</f>
        <v/>
      </c>
      <c r="U694">
        <f>IF($AB694="","",Settings!$C$6)</f>
        <v/>
      </c>
      <c r="V694" s="7">
        <f>IF($AB694="","",SUMIFS('Per Line'!$U$2:$U$4001,'Per Line'!$C$2:$C$4001,$B694,'Per Line'!$AL$2:$AL$4001,1,'Per Line'!$AM$2:$AM$4001,0))</f>
        <v/>
      </c>
      <c r="W694" s="7">
        <f>IF($AB694="","",V694*U694)</f>
        <v/>
      </c>
      <c r="X694" s="7">
        <f>IF($AB694="","",W694+T694)</f>
        <v/>
      </c>
      <c r="Y694" s="7">
        <f>IF($AB694="","",Z694-X694)</f>
        <v/>
      </c>
      <c r="Z694" s="7">
        <f>IF($AB694="","",S694+V694+Q694)</f>
        <v/>
      </c>
      <c r="AA694" s="7">
        <f>IF($AB694="","",Z694-X694-M694)</f>
        <v/>
      </c>
      <c r="AB694" s="13">
        <f>IF(ROWS($AB$2:$AB694)&lt;=MAX('Per Line'!$AK$2:$AK$4001),MATCH(ROWS($AB$2:$AB694),'Per Line'!$AK$2:$AK$4001,0),"")</f>
        <v/>
      </c>
      <c r="AC694" s="14">
        <f>IF($AB694="","",M694-L694*Z694/100)</f>
        <v/>
      </c>
    </row>
    <row r="695">
      <c r="A695" s="12" t="n"/>
      <c r="B695">
        <f>IF($AB695="","",INDEX('Per Line'!$C$2:$C$4001,$AB695)&amp;"")</f>
        <v/>
      </c>
      <c r="C695">
        <f>IF($AB695="","",INDEX('Per Line'!$D$2:$D$4001,$AB695)&amp;"")</f>
        <v/>
      </c>
      <c r="D695">
        <f>IF($AB695="","",INDEX('Per Line'!$B$2:$B$4001,$AB695)&amp;"")</f>
        <v/>
      </c>
      <c r="E695">
        <f>IF($AB695="","",INDEX('Per Line'!$A$2:$A$4001,$AB695))</f>
        <v/>
      </c>
      <c r="F695" s="11">
        <f>IF($AB695="","",INDEX('Per Line'!$E$2:$E$4001,$AB695))</f>
        <v/>
      </c>
      <c r="G695">
        <f>IF($AB695="","",INDEX('Per Line'!$F$2:$F$4001,$AB695)&amp;"")</f>
        <v/>
      </c>
      <c r="H695">
        <f>IF($AB695="","",INDEX('Per Line'!$H$2:$H$4001,$AB695)&amp;"")</f>
        <v/>
      </c>
      <c r="I695">
        <f>IF($AB695="","",INDEX('Per Line'!$I$2:$I$4001,$AB695)&amp;"")</f>
        <v/>
      </c>
      <c r="J695">
        <f>IF($AB695="","",INDEX('Per Line'!$J$2:$J$4001,$AB695)&amp;"")</f>
        <v/>
      </c>
      <c r="K695">
        <f>IF($AB695="","",INDEX('Per Line'!$K$2:$K$4001,$AB695)&amp;"")</f>
        <v/>
      </c>
      <c r="L695">
        <f>IF($AB695="","",INDEX('Per Line'!$L$2:$L$4001,$AB695))</f>
        <v/>
      </c>
      <c r="M695" s="7">
        <f>IF($AB695="","",IF(AND(ISNUMBER(O695),O695&gt;0,Z695&gt;O695),L695*O695/100+(Z695-O695),L695*Z695/100))</f>
        <v/>
      </c>
      <c r="N695">
        <f>IF($AB695="","",INDEX('Per Line'!$V$2:$V$4001,$AB695)&amp;"")</f>
        <v/>
      </c>
      <c r="O695">
        <f>IF($AB695="","",INDEX('Per Line'!$Z$2:$Z$4001,$AB695))</f>
        <v/>
      </c>
      <c r="P695">
        <f>IF($AB695="","",IF(AND(ISNUMBER(O695),O695&gt;0),Z695&gt;O695,FALSE))</f>
        <v/>
      </c>
      <c r="Q695" s="7">
        <f>IF($AB695="","",SUMIFS('Per Line'!$U$2:$U$4001,'Per Line'!$C$2:$C$4001,$B695,'Per Line'!$AM$2:$AM$4001,1))</f>
        <v/>
      </c>
      <c r="R695">
        <f>IF($AB695="","",Settings!$C$7)</f>
        <v/>
      </c>
      <c r="S695" s="7">
        <f>IF($AB695="","",SUMIFS('Per Line'!$U$2:$U$4001,'Per Line'!$C$2:$C$4001,$B695,'Per Line'!$AL$2:$AL$4001,0,'Per Line'!$AM$2:$AM$4001,0))</f>
        <v/>
      </c>
      <c r="T695" s="7">
        <f>IF($AB695="","",S695*R695)</f>
        <v/>
      </c>
      <c r="U695">
        <f>IF($AB695="","",Settings!$C$6)</f>
        <v/>
      </c>
      <c r="V695" s="7">
        <f>IF($AB695="","",SUMIFS('Per Line'!$U$2:$U$4001,'Per Line'!$C$2:$C$4001,$B695,'Per Line'!$AL$2:$AL$4001,1,'Per Line'!$AM$2:$AM$4001,0))</f>
        <v/>
      </c>
      <c r="W695" s="7">
        <f>IF($AB695="","",V695*U695)</f>
        <v/>
      </c>
      <c r="X695" s="7">
        <f>IF($AB695="","",W695+T695)</f>
        <v/>
      </c>
      <c r="Y695" s="7">
        <f>IF($AB695="","",Z695-X695)</f>
        <v/>
      </c>
      <c r="Z695" s="7">
        <f>IF($AB695="","",S695+V695+Q695)</f>
        <v/>
      </c>
      <c r="AA695" s="7">
        <f>IF($AB695="","",Z695-X695-M695)</f>
        <v/>
      </c>
      <c r="AB695" s="13">
        <f>IF(ROWS($AB$2:$AB695)&lt;=MAX('Per Line'!$AK$2:$AK$4001),MATCH(ROWS($AB$2:$AB695),'Per Line'!$AK$2:$AK$4001,0),"")</f>
        <v/>
      </c>
      <c r="AC695" s="14">
        <f>IF($AB695="","",M695-L695*Z695/100)</f>
        <v/>
      </c>
    </row>
    <row r="696">
      <c r="A696" s="12" t="n"/>
      <c r="B696">
        <f>IF($AB696="","",INDEX('Per Line'!$C$2:$C$4001,$AB696)&amp;"")</f>
        <v/>
      </c>
      <c r="C696">
        <f>IF($AB696="","",INDEX('Per Line'!$D$2:$D$4001,$AB696)&amp;"")</f>
        <v/>
      </c>
      <c r="D696">
        <f>IF($AB696="","",INDEX('Per Line'!$B$2:$B$4001,$AB696)&amp;"")</f>
        <v/>
      </c>
      <c r="E696">
        <f>IF($AB696="","",INDEX('Per Line'!$A$2:$A$4001,$AB696))</f>
        <v/>
      </c>
      <c r="F696" s="11">
        <f>IF($AB696="","",INDEX('Per Line'!$E$2:$E$4001,$AB696))</f>
        <v/>
      </c>
      <c r="G696">
        <f>IF($AB696="","",INDEX('Per Line'!$F$2:$F$4001,$AB696)&amp;"")</f>
        <v/>
      </c>
      <c r="H696">
        <f>IF($AB696="","",INDEX('Per Line'!$H$2:$H$4001,$AB696)&amp;"")</f>
        <v/>
      </c>
      <c r="I696">
        <f>IF($AB696="","",INDEX('Per Line'!$I$2:$I$4001,$AB696)&amp;"")</f>
        <v/>
      </c>
      <c r="J696">
        <f>IF($AB696="","",INDEX('Per Line'!$J$2:$J$4001,$AB696)&amp;"")</f>
        <v/>
      </c>
      <c r="K696">
        <f>IF($AB696="","",INDEX('Per Line'!$K$2:$K$4001,$AB696)&amp;"")</f>
        <v/>
      </c>
      <c r="L696">
        <f>IF($AB696="","",INDEX('Per Line'!$L$2:$L$4001,$AB696))</f>
        <v/>
      </c>
      <c r="M696" s="7">
        <f>IF($AB696="","",IF(AND(ISNUMBER(O696),O696&gt;0,Z696&gt;O696),L696*O696/100+(Z696-O696),L696*Z696/100))</f>
        <v/>
      </c>
      <c r="N696">
        <f>IF($AB696="","",INDEX('Per Line'!$V$2:$V$4001,$AB696)&amp;"")</f>
        <v/>
      </c>
      <c r="O696">
        <f>IF($AB696="","",INDEX('Per Line'!$Z$2:$Z$4001,$AB696))</f>
        <v/>
      </c>
      <c r="P696">
        <f>IF($AB696="","",IF(AND(ISNUMBER(O696),O696&gt;0),Z696&gt;O696,FALSE))</f>
        <v/>
      </c>
      <c r="Q696" s="7">
        <f>IF($AB696="","",SUMIFS('Per Line'!$U$2:$U$4001,'Per Line'!$C$2:$C$4001,$B696,'Per Line'!$AM$2:$AM$4001,1))</f>
        <v/>
      </c>
      <c r="R696">
        <f>IF($AB696="","",Settings!$C$7)</f>
        <v/>
      </c>
      <c r="S696" s="7">
        <f>IF($AB696="","",SUMIFS('Per Line'!$U$2:$U$4001,'Per Line'!$C$2:$C$4001,$B696,'Per Line'!$AL$2:$AL$4001,0,'Per Line'!$AM$2:$AM$4001,0))</f>
        <v/>
      </c>
      <c r="T696" s="7">
        <f>IF($AB696="","",S696*R696)</f>
        <v/>
      </c>
      <c r="U696">
        <f>IF($AB696="","",Settings!$C$6)</f>
        <v/>
      </c>
      <c r="V696" s="7">
        <f>IF($AB696="","",SUMIFS('Per Line'!$U$2:$U$4001,'Per Line'!$C$2:$C$4001,$B696,'Per Line'!$AL$2:$AL$4001,1,'Per Line'!$AM$2:$AM$4001,0))</f>
        <v/>
      </c>
      <c r="W696" s="7">
        <f>IF($AB696="","",V696*U696)</f>
        <v/>
      </c>
      <c r="X696" s="7">
        <f>IF($AB696="","",W696+T696)</f>
        <v/>
      </c>
      <c r="Y696" s="7">
        <f>IF($AB696="","",Z696-X696)</f>
        <v/>
      </c>
      <c r="Z696" s="7">
        <f>IF($AB696="","",S696+V696+Q696)</f>
        <v/>
      </c>
      <c r="AA696" s="7">
        <f>IF($AB696="","",Z696-X696-M696)</f>
        <v/>
      </c>
      <c r="AB696" s="13">
        <f>IF(ROWS($AB$2:$AB696)&lt;=MAX('Per Line'!$AK$2:$AK$4001),MATCH(ROWS($AB$2:$AB696),'Per Line'!$AK$2:$AK$4001,0),"")</f>
        <v/>
      </c>
      <c r="AC696" s="14">
        <f>IF($AB696="","",M696-L696*Z696/100)</f>
        <v/>
      </c>
    </row>
    <row r="697">
      <c r="A697" s="12" t="n"/>
      <c r="B697">
        <f>IF($AB697="","",INDEX('Per Line'!$C$2:$C$4001,$AB697)&amp;"")</f>
        <v/>
      </c>
      <c r="C697">
        <f>IF($AB697="","",INDEX('Per Line'!$D$2:$D$4001,$AB697)&amp;"")</f>
        <v/>
      </c>
      <c r="D697">
        <f>IF($AB697="","",INDEX('Per Line'!$B$2:$B$4001,$AB697)&amp;"")</f>
        <v/>
      </c>
      <c r="E697">
        <f>IF($AB697="","",INDEX('Per Line'!$A$2:$A$4001,$AB697))</f>
        <v/>
      </c>
      <c r="F697" s="11">
        <f>IF($AB697="","",INDEX('Per Line'!$E$2:$E$4001,$AB697))</f>
        <v/>
      </c>
      <c r="G697">
        <f>IF($AB697="","",INDEX('Per Line'!$F$2:$F$4001,$AB697)&amp;"")</f>
        <v/>
      </c>
      <c r="H697">
        <f>IF($AB697="","",INDEX('Per Line'!$H$2:$H$4001,$AB697)&amp;"")</f>
        <v/>
      </c>
      <c r="I697">
        <f>IF($AB697="","",INDEX('Per Line'!$I$2:$I$4001,$AB697)&amp;"")</f>
        <v/>
      </c>
      <c r="J697">
        <f>IF($AB697="","",INDEX('Per Line'!$J$2:$J$4001,$AB697)&amp;"")</f>
        <v/>
      </c>
      <c r="K697">
        <f>IF($AB697="","",INDEX('Per Line'!$K$2:$K$4001,$AB697)&amp;"")</f>
        <v/>
      </c>
      <c r="L697">
        <f>IF($AB697="","",INDEX('Per Line'!$L$2:$L$4001,$AB697))</f>
        <v/>
      </c>
      <c r="M697" s="7">
        <f>IF($AB697="","",IF(AND(ISNUMBER(O697),O697&gt;0,Z697&gt;O697),L697*O697/100+(Z697-O697),L697*Z697/100))</f>
        <v/>
      </c>
      <c r="N697">
        <f>IF($AB697="","",INDEX('Per Line'!$V$2:$V$4001,$AB697)&amp;"")</f>
        <v/>
      </c>
      <c r="O697">
        <f>IF($AB697="","",INDEX('Per Line'!$Z$2:$Z$4001,$AB697))</f>
        <v/>
      </c>
      <c r="P697">
        <f>IF($AB697="","",IF(AND(ISNUMBER(O697),O697&gt;0),Z697&gt;O697,FALSE))</f>
        <v/>
      </c>
      <c r="Q697" s="7">
        <f>IF($AB697="","",SUMIFS('Per Line'!$U$2:$U$4001,'Per Line'!$C$2:$C$4001,$B697,'Per Line'!$AM$2:$AM$4001,1))</f>
        <v/>
      </c>
      <c r="R697">
        <f>IF($AB697="","",Settings!$C$7)</f>
        <v/>
      </c>
      <c r="S697" s="7">
        <f>IF($AB697="","",SUMIFS('Per Line'!$U$2:$U$4001,'Per Line'!$C$2:$C$4001,$B697,'Per Line'!$AL$2:$AL$4001,0,'Per Line'!$AM$2:$AM$4001,0))</f>
        <v/>
      </c>
      <c r="T697" s="7">
        <f>IF($AB697="","",S697*R697)</f>
        <v/>
      </c>
      <c r="U697">
        <f>IF($AB697="","",Settings!$C$6)</f>
        <v/>
      </c>
      <c r="V697" s="7">
        <f>IF($AB697="","",SUMIFS('Per Line'!$U$2:$U$4001,'Per Line'!$C$2:$C$4001,$B697,'Per Line'!$AL$2:$AL$4001,1,'Per Line'!$AM$2:$AM$4001,0))</f>
        <v/>
      </c>
      <c r="W697" s="7">
        <f>IF($AB697="","",V697*U697)</f>
        <v/>
      </c>
      <c r="X697" s="7">
        <f>IF($AB697="","",W697+T697)</f>
        <v/>
      </c>
      <c r="Y697" s="7">
        <f>IF($AB697="","",Z697-X697)</f>
        <v/>
      </c>
      <c r="Z697" s="7">
        <f>IF($AB697="","",S697+V697+Q697)</f>
        <v/>
      </c>
      <c r="AA697" s="7">
        <f>IF($AB697="","",Z697-X697-M697)</f>
        <v/>
      </c>
      <c r="AB697" s="13">
        <f>IF(ROWS($AB$2:$AB697)&lt;=MAX('Per Line'!$AK$2:$AK$4001),MATCH(ROWS($AB$2:$AB697),'Per Line'!$AK$2:$AK$4001,0),"")</f>
        <v/>
      </c>
      <c r="AC697" s="14">
        <f>IF($AB697="","",M697-L697*Z697/100)</f>
        <v/>
      </c>
    </row>
    <row r="698">
      <c r="A698" s="12" t="n"/>
      <c r="B698">
        <f>IF($AB698="","",INDEX('Per Line'!$C$2:$C$4001,$AB698)&amp;"")</f>
        <v/>
      </c>
      <c r="C698">
        <f>IF($AB698="","",INDEX('Per Line'!$D$2:$D$4001,$AB698)&amp;"")</f>
        <v/>
      </c>
      <c r="D698">
        <f>IF($AB698="","",INDEX('Per Line'!$B$2:$B$4001,$AB698)&amp;"")</f>
        <v/>
      </c>
      <c r="E698">
        <f>IF($AB698="","",INDEX('Per Line'!$A$2:$A$4001,$AB698))</f>
        <v/>
      </c>
      <c r="F698" s="11">
        <f>IF($AB698="","",INDEX('Per Line'!$E$2:$E$4001,$AB698))</f>
        <v/>
      </c>
      <c r="G698">
        <f>IF($AB698="","",INDEX('Per Line'!$F$2:$F$4001,$AB698)&amp;"")</f>
        <v/>
      </c>
      <c r="H698">
        <f>IF($AB698="","",INDEX('Per Line'!$H$2:$H$4001,$AB698)&amp;"")</f>
        <v/>
      </c>
      <c r="I698">
        <f>IF($AB698="","",INDEX('Per Line'!$I$2:$I$4001,$AB698)&amp;"")</f>
        <v/>
      </c>
      <c r="J698">
        <f>IF($AB698="","",INDEX('Per Line'!$J$2:$J$4001,$AB698)&amp;"")</f>
        <v/>
      </c>
      <c r="K698">
        <f>IF($AB698="","",INDEX('Per Line'!$K$2:$K$4001,$AB698)&amp;"")</f>
        <v/>
      </c>
      <c r="L698">
        <f>IF($AB698="","",INDEX('Per Line'!$L$2:$L$4001,$AB698))</f>
        <v/>
      </c>
      <c r="M698" s="7">
        <f>IF($AB698="","",IF(AND(ISNUMBER(O698),O698&gt;0,Z698&gt;O698),L698*O698/100+(Z698-O698),L698*Z698/100))</f>
        <v/>
      </c>
      <c r="N698">
        <f>IF($AB698="","",INDEX('Per Line'!$V$2:$V$4001,$AB698)&amp;"")</f>
        <v/>
      </c>
      <c r="O698">
        <f>IF($AB698="","",INDEX('Per Line'!$Z$2:$Z$4001,$AB698))</f>
        <v/>
      </c>
      <c r="P698">
        <f>IF($AB698="","",IF(AND(ISNUMBER(O698),O698&gt;0),Z698&gt;O698,FALSE))</f>
        <v/>
      </c>
      <c r="Q698" s="7">
        <f>IF($AB698="","",SUMIFS('Per Line'!$U$2:$U$4001,'Per Line'!$C$2:$C$4001,$B698,'Per Line'!$AM$2:$AM$4001,1))</f>
        <v/>
      </c>
      <c r="R698">
        <f>IF($AB698="","",Settings!$C$7)</f>
        <v/>
      </c>
      <c r="S698" s="7">
        <f>IF($AB698="","",SUMIFS('Per Line'!$U$2:$U$4001,'Per Line'!$C$2:$C$4001,$B698,'Per Line'!$AL$2:$AL$4001,0,'Per Line'!$AM$2:$AM$4001,0))</f>
        <v/>
      </c>
      <c r="T698" s="7">
        <f>IF($AB698="","",S698*R698)</f>
        <v/>
      </c>
      <c r="U698">
        <f>IF($AB698="","",Settings!$C$6)</f>
        <v/>
      </c>
      <c r="V698" s="7">
        <f>IF($AB698="","",SUMIFS('Per Line'!$U$2:$U$4001,'Per Line'!$C$2:$C$4001,$B698,'Per Line'!$AL$2:$AL$4001,1,'Per Line'!$AM$2:$AM$4001,0))</f>
        <v/>
      </c>
      <c r="W698" s="7">
        <f>IF($AB698="","",V698*U698)</f>
        <v/>
      </c>
      <c r="X698" s="7">
        <f>IF($AB698="","",W698+T698)</f>
        <v/>
      </c>
      <c r="Y698" s="7">
        <f>IF($AB698="","",Z698-X698)</f>
        <v/>
      </c>
      <c r="Z698" s="7">
        <f>IF($AB698="","",S698+V698+Q698)</f>
        <v/>
      </c>
      <c r="AA698" s="7">
        <f>IF($AB698="","",Z698-X698-M698)</f>
        <v/>
      </c>
      <c r="AB698" s="13">
        <f>IF(ROWS($AB$2:$AB698)&lt;=MAX('Per Line'!$AK$2:$AK$4001),MATCH(ROWS($AB$2:$AB698),'Per Line'!$AK$2:$AK$4001,0),"")</f>
        <v/>
      </c>
      <c r="AC698" s="14">
        <f>IF($AB698="","",M698-L698*Z698/100)</f>
        <v/>
      </c>
    </row>
    <row r="699">
      <c r="A699" s="12" t="n"/>
      <c r="B699">
        <f>IF($AB699="","",INDEX('Per Line'!$C$2:$C$4001,$AB699)&amp;"")</f>
        <v/>
      </c>
      <c r="C699">
        <f>IF($AB699="","",INDEX('Per Line'!$D$2:$D$4001,$AB699)&amp;"")</f>
        <v/>
      </c>
      <c r="D699">
        <f>IF($AB699="","",INDEX('Per Line'!$B$2:$B$4001,$AB699)&amp;"")</f>
        <v/>
      </c>
      <c r="E699">
        <f>IF($AB699="","",INDEX('Per Line'!$A$2:$A$4001,$AB699))</f>
        <v/>
      </c>
      <c r="F699" s="11">
        <f>IF($AB699="","",INDEX('Per Line'!$E$2:$E$4001,$AB699))</f>
        <v/>
      </c>
      <c r="G699">
        <f>IF($AB699="","",INDEX('Per Line'!$F$2:$F$4001,$AB699)&amp;"")</f>
        <v/>
      </c>
      <c r="H699">
        <f>IF($AB699="","",INDEX('Per Line'!$H$2:$H$4001,$AB699)&amp;"")</f>
        <v/>
      </c>
      <c r="I699">
        <f>IF($AB699="","",INDEX('Per Line'!$I$2:$I$4001,$AB699)&amp;"")</f>
        <v/>
      </c>
      <c r="J699">
        <f>IF($AB699="","",INDEX('Per Line'!$J$2:$J$4001,$AB699)&amp;"")</f>
        <v/>
      </c>
      <c r="K699">
        <f>IF($AB699="","",INDEX('Per Line'!$K$2:$K$4001,$AB699)&amp;"")</f>
        <v/>
      </c>
      <c r="L699">
        <f>IF($AB699="","",INDEX('Per Line'!$L$2:$L$4001,$AB699))</f>
        <v/>
      </c>
      <c r="M699" s="7">
        <f>IF($AB699="","",IF(AND(ISNUMBER(O699),O699&gt;0,Z699&gt;O699),L699*O699/100+(Z699-O699),L699*Z699/100))</f>
        <v/>
      </c>
      <c r="N699">
        <f>IF($AB699="","",INDEX('Per Line'!$V$2:$V$4001,$AB699)&amp;"")</f>
        <v/>
      </c>
      <c r="O699">
        <f>IF($AB699="","",INDEX('Per Line'!$Z$2:$Z$4001,$AB699))</f>
        <v/>
      </c>
      <c r="P699">
        <f>IF($AB699="","",IF(AND(ISNUMBER(O699),O699&gt;0),Z699&gt;O699,FALSE))</f>
        <v/>
      </c>
      <c r="Q699" s="7">
        <f>IF($AB699="","",SUMIFS('Per Line'!$U$2:$U$4001,'Per Line'!$C$2:$C$4001,$B699,'Per Line'!$AM$2:$AM$4001,1))</f>
        <v/>
      </c>
      <c r="R699">
        <f>IF($AB699="","",Settings!$C$7)</f>
        <v/>
      </c>
      <c r="S699" s="7">
        <f>IF($AB699="","",SUMIFS('Per Line'!$U$2:$U$4001,'Per Line'!$C$2:$C$4001,$B699,'Per Line'!$AL$2:$AL$4001,0,'Per Line'!$AM$2:$AM$4001,0))</f>
        <v/>
      </c>
      <c r="T699" s="7">
        <f>IF($AB699="","",S699*R699)</f>
        <v/>
      </c>
      <c r="U699">
        <f>IF($AB699="","",Settings!$C$6)</f>
        <v/>
      </c>
      <c r="V699" s="7">
        <f>IF($AB699="","",SUMIFS('Per Line'!$U$2:$U$4001,'Per Line'!$C$2:$C$4001,$B699,'Per Line'!$AL$2:$AL$4001,1,'Per Line'!$AM$2:$AM$4001,0))</f>
        <v/>
      </c>
      <c r="W699" s="7">
        <f>IF($AB699="","",V699*U699)</f>
        <v/>
      </c>
      <c r="X699" s="7">
        <f>IF($AB699="","",W699+T699)</f>
        <v/>
      </c>
      <c r="Y699" s="7">
        <f>IF($AB699="","",Z699-X699)</f>
        <v/>
      </c>
      <c r="Z699" s="7">
        <f>IF($AB699="","",S699+V699+Q699)</f>
        <v/>
      </c>
      <c r="AA699" s="7">
        <f>IF($AB699="","",Z699-X699-M699)</f>
        <v/>
      </c>
      <c r="AB699" s="13">
        <f>IF(ROWS($AB$2:$AB699)&lt;=MAX('Per Line'!$AK$2:$AK$4001),MATCH(ROWS($AB$2:$AB699),'Per Line'!$AK$2:$AK$4001,0),"")</f>
        <v/>
      </c>
      <c r="AC699" s="14">
        <f>IF($AB699="","",M699-L699*Z699/100)</f>
        <v/>
      </c>
    </row>
    <row r="700">
      <c r="A700" s="12" t="n"/>
      <c r="B700">
        <f>IF($AB700="","",INDEX('Per Line'!$C$2:$C$4001,$AB700)&amp;"")</f>
        <v/>
      </c>
      <c r="C700">
        <f>IF($AB700="","",INDEX('Per Line'!$D$2:$D$4001,$AB700)&amp;"")</f>
        <v/>
      </c>
      <c r="D700">
        <f>IF($AB700="","",INDEX('Per Line'!$B$2:$B$4001,$AB700)&amp;"")</f>
        <v/>
      </c>
      <c r="E700">
        <f>IF($AB700="","",INDEX('Per Line'!$A$2:$A$4001,$AB700))</f>
        <v/>
      </c>
      <c r="F700" s="11">
        <f>IF($AB700="","",INDEX('Per Line'!$E$2:$E$4001,$AB700))</f>
        <v/>
      </c>
      <c r="G700">
        <f>IF($AB700="","",INDEX('Per Line'!$F$2:$F$4001,$AB700)&amp;"")</f>
        <v/>
      </c>
      <c r="H700">
        <f>IF($AB700="","",INDEX('Per Line'!$H$2:$H$4001,$AB700)&amp;"")</f>
        <v/>
      </c>
      <c r="I700">
        <f>IF($AB700="","",INDEX('Per Line'!$I$2:$I$4001,$AB700)&amp;"")</f>
        <v/>
      </c>
      <c r="J700">
        <f>IF($AB700="","",INDEX('Per Line'!$J$2:$J$4001,$AB700)&amp;"")</f>
        <v/>
      </c>
      <c r="K700">
        <f>IF($AB700="","",INDEX('Per Line'!$K$2:$K$4001,$AB700)&amp;"")</f>
        <v/>
      </c>
      <c r="L700">
        <f>IF($AB700="","",INDEX('Per Line'!$L$2:$L$4001,$AB700))</f>
        <v/>
      </c>
      <c r="M700" s="7">
        <f>IF($AB700="","",IF(AND(ISNUMBER(O700),O700&gt;0,Z700&gt;O700),L700*O700/100+(Z700-O700),L700*Z700/100))</f>
        <v/>
      </c>
      <c r="N700">
        <f>IF($AB700="","",INDEX('Per Line'!$V$2:$V$4001,$AB700)&amp;"")</f>
        <v/>
      </c>
      <c r="O700">
        <f>IF($AB700="","",INDEX('Per Line'!$Z$2:$Z$4001,$AB700))</f>
        <v/>
      </c>
      <c r="P700">
        <f>IF($AB700="","",IF(AND(ISNUMBER(O700),O700&gt;0),Z700&gt;O700,FALSE))</f>
        <v/>
      </c>
      <c r="Q700" s="7">
        <f>IF($AB700="","",SUMIFS('Per Line'!$U$2:$U$4001,'Per Line'!$C$2:$C$4001,$B700,'Per Line'!$AM$2:$AM$4001,1))</f>
        <v/>
      </c>
      <c r="R700">
        <f>IF($AB700="","",Settings!$C$7)</f>
        <v/>
      </c>
      <c r="S700" s="7">
        <f>IF($AB700="","",SUMIFS('Per Line'!$U$2:$U$4001,'Per Line'!$C$2:$C$4001,$B700,'Per Line'!$AL$2:$AL$4001,0,'Per Line'!$AM$2:$AM$4001,0))</f>
        <v/>
      </c>
      <c r="T700" s="7">
        <f>IF($AB700="","",S700*R700)</f>
        <v/>
      </c>
      <c r="U700">
        <f>IF($AB700="","",Settings!$C$6)</f>
        <v/>
      </c>
      <c r="V700" s="7">
        <f>IF($AB700="","",SUMIFS('Per Line'!$U$2:$U$4001,'Per Line'!$C$2:$C$4001,$B700,'Per Line'!$AL$2:$AL$4001,1,'Per Line'!$AM$2:$AM$4001,0))</f>
        <v/>
      </c>
      <c r="W700" s="7">
        <f>IF($AB700="","",V700*U700)</f>
        <v/>
      </c>
      <c r="X700" s="7">
        <f>IF($AB700="","",W700+T700)</f>
        <v/>
      </c>
      <c r="Y700" s="7">
        <f>IF($AB700="","",Z700-X700)</f>
        <v/>
      </c>
      <c r="Z700" s="7">
        <f>IF($AB700="","",S700+V700+Q700)</f>
        <v/>
      </c>
      <c r="AA700" s="7">
        <f>IF($AB700="","",Z700-X700-M700)</f>
        <v/>
      </c>
      <c r="AB700" s="13">
        <f>IF(ROWS($AB$2:$AB700)&lt;=MAX('Per Line'!$AK$2:$AK$4001),MATCH(ROWS($AB$2:$AB700),'Per Line'!$AK$2:$AK$4001,0),"")</f>
        <v/>
      </c>
      <c r="AC700" s="14">
        <f>IF($AB700="","",M700-L700*Z700/100)</f>
        <v/>
      </c>
    </row>
    <row r="701">
      <c r="A701" s="12" t="n"/>
      <c r="B701">
        <f>IF($AB701="","",INDEX('Per Line'!$C$2:$C$4001,$AB701)&amp;"")</f>
        <v/>
      </c>
      <c r="C701">
        <f>IF($AB701="","",INDEX('Per Line'!$D$2:$D$4001,$AB701)&amp;"")</f>
        <v/>
      </c>
      <c r="D701">
        <f>IF($AB701="","",INDEX('Per Line'!$B$2:$B$4001,$AB701)&amp;"")</f>
        <v/>
      </c>
      <c r="E701">
        <f>IF($AB701="","",INDEX('Per Line'!$A$2:$A$4001,$AB701))</f>
        <v/>
      </c>
      <c r="F701" s="11">
        <f>IF($AB701="","",INDEX('Per Line'!$E$2:$E$4001,$AB701))</f>
        <v/>
      </c>
      <c r="G701">
        <f>IF($AB701="","",INDEX('Per Line'!$F$2:$F$4001,$AB701)&amp;"")</f>
        <v/>
      </c>
      <c r="H701">
        <f>IF($AB701="","",INDEX('Per Line'!$H$2:$H$4001,$AB701)&amp;"")</f>
        <v/>
      </c>
      <c r="I701">
        <f>IF($AB701="","",INDEX('Per Line'!$I$2:$I$4001,$AB701)&amp;"")</f>
        <v/>
      </c>
      <c r="J701">
        <f>IF($AB701="","",INDEX('Per Line'!$J$2:$J$4001,$AB701)&amp;"")</f>
        <v/>
      </c>
      <c r="K701">
        <f>IF($AB701="","",INDEX('Per Line'!$K$2:$K$4001,$AB701)&amp;"")</f>
        <v/>
      </c>
      <c r="L701">
        <f>IF($AB701="","",INDEX('Per Line'!$L$2:$L$4001,$AB701))</f>
        <v/>
      </c>
      <c r="M701" s="7">
        <f>IF($AB701="","",IF(AND(ISNUMBER(O701),O701&gt;0,Z701&gt;O701),L701*O701/100+(Z701-O701),L701*Z701/100))</f>
        <v/>
      </c>
      <c r="N701">
        <f>IF($AB701="","",INDEX('Per Line'!$V$2:$V$4001,$AB701)&amp;"")</f>
        <v/>
      </c>
      <c r="O701">
        <f>IF($AB701="","",INDEX('Per Line'!$Z$2:$Z$4001,$AB701))</f>
        <v/>
      </c>
      <c r="P701">
        <f>IF($AB701="","",IF(AND(ISNUMBER(O701),O701&gt;0),Z701&gt;O701,FALSE))</f>
        <v/>
      </c>
      <c r="Q701" s="7">
        <f>IF($AB701="","",SUMIFS('Per Line'!$U$2:$U$4001,'Per Line'!$C$2:$C$4001,$B701,'Per Line'!$AM$2:$AM$4001,1))</f>
        <v/>
      </c>
      <c r="R701">
        <f>IF($AB701="","",Settings!$C$7)</f>
        <v/>
      </c>
      <c r="S701" s="7">
        <f>IF($AB701="","",SUMIFS('Per Line'!$U$2:$U$4001,'Per Line'!$C$2:$C$4001,$B701,'Per Line'!$AL$2:$AL$4001,0,'Per Line'!$AM$2:$AM$4001,0))</f>
        <v/>
      </c>
      <c r="T701" s="7">
        <f>IF($AB701="","",S701*R701)</f>
        <v/>
      </c>
      <c r="U701">
        <f>IF($AB701="","",Settings!$C$6)</f>
        <v/>
      </c>
      <c r="V701" s="7">
        <f>IF($AB701="","",SUMIFS('Per Line'!$U$2:$U$4001,'Per Line'!$C$2:$C$4001,$B701,'Per Line'!$AL$2:$AL$4001,1,'Per Line'!$AM$2:$AM$4001,0))</f>
        <v/>
      </c>
      <c r="W701" s="7">
        <f>IF($AB701="","",V701*U701)</f>
        <v/>
      </c>
      <c r="X701" s="7">
        <f>IF($AB701="","",W701+T701)</f>
        <v/>
      </c>
      <c r="Y701" s="7">
        <f>IF($AB701="","",Z701-X701)</f>
        <v/>
      </c>
      <c r="Z701" s="7">
        <f>IF($AB701="","",S701+V701+Q701)</f>
        <v/>
      </c>
      <c r="AA701" s="7">
        <f>IF($AB701="","",Z701-X701-M701)</f>
        <v/>
      </c>
      <c r="AB701" s="13">
        <f>IF(ROWS($AB$2:$AB701)&lt;=MAX('Per Line'!$AK$2:$AK$4001),MATCH(ROWS($AB$2:$AB701),'Per Line'!$AK$2:$AK$4001,0),"")</f>
        <v/>
      </c>
      <c r="AC701" s="14">
        <f>IF($AB701="","",M701-L701*Z701/100)</f>
        <v/>
      </c>
    </row>
    <row r="702">
      <c r="A702" s="12" t="n"/>
      <c r="B702">
        <f>IF($AB702="","",INDEX('Per Line'!$C$2:$C$4001,$AB702)&amp;"")</f>
        <v/>
      </c>
      <c r="C702">
        <f>IF($AB702="","",INDEX('Per Line'!$D$2:$D$4001,$AB702)&amp;"")</f>
        <v/>
      </c>
      <c r="D702">
        <f>IF($AB702="","",INDEX('Per Line'!$B$2:$B$4001,$AB702)&amp;"")</f>
        <v/>
      </c>
      <c r="E702">
        <f>IF($AB702="","",INDEX('Per Line'!$A$2:$A$4001,$AB702))</f>
        <v/>
      </c>
      <c r="F702" s="11">
        <f>IF($AB702="","",INDEX('Per Line'!$E$2:$E$4001,$AB702))</f>
        <v/>
      </c>
      <c r="G702">
        <f>IF($AB702="","",INDEX('Per Line'!$F$2:$F$4001,$AB702)&amp;"")</f>
        <v/>
      </c>
      <c r="H702">
        <f>IF($AB702="","",INDEX('Per Line'!$H$2:$H$4001,$AB702)&amp;"")</f>
        <v/>
      </c>
      <c r="I702">
        <f>IF($AB702="","",INDEX('Per Line'!$I$2:$I$4001,$AB702)&amp;"")</f>
        <v/>
      </c>
      <c r="J702">
        <f>IF($AB702="","",INDEX('Per Line'!$J$2:$J$4001,$AB702)&amp;"")</f>
        <v/>
      </c>
      <c r="K702">
        <f>IF($AB702="","",INDEX('Per Line'!$K$2:$K$4001,$AB702)&amp;"")</f>
        <v/>
      </c>
      <c r="L702">
        <f>IF($AB702="","",INDEX('Per Line'!$L$2:$L$4001,$AB702))</f>
        <v/>
      </c>
      <c r="M702" s="7">
        <f>IF($AB702="","",IF(AND(ISNUMBER(O702),O702&gt;0,Z702&gt;O702),L702*O702/100+(Z702-O702),L702*Z702/100))</f>
        <v/>
      </c>
      <c r="N702">
        <f>IF($AB702="","",INDEX('Per Line'!$V$2:$V$4001,$AB702)&amp;"")</f>
        <v/>
      </c>
      <c r="O702">
        <f>IF($AB702="","",INDEX('Per Line'!$Z$2:$Z$4001,$AB702))</f>
        <v/>
      </c>
      <c r="P702">
        <f>IF($AB702="","",IF(AND(ISNUMBER(O702),O702&gt;0),Z702&gt;O702,FALSE))</f>
        <v/>
      </c>
      <c r="Q702" s="7">
        <f>IF($AB702="","",SUMIFS('Per Line'!$U$2:$U$4001,'Per Line'!$C$2:$C$4001,$B702,'Per Line'!$AM$2:$AM$4001,1))</f>
        <v/>
      </c>
      <c r="R702">
        <f>IF($AB702="","",Settings!$C$7)</f>
        <v/>
      </c>
      <c r="S702" s="7">
        <f>IF($AB702="","",SUMIFS('Per Line'!$U$2:$U$4001,'Per Line'!$C$2:$C$4001,$B702,'Per Line'!$AL$2:$AL$4001,0,'Per Line'!$AM$2:$AM$4001,0))</f>
        <v/>
      </c>
      <c r="T702" s="7">
        <f>IF($AB702="","",S702*R702)</f>
        <v/>
      </c>
      <c r="U702">
        <f>IF($AB702="","",Settings!$C$6)</f>
        <v/>
      </c>
      <c r="V702" s="7">
        <f>IF($AB702="","",SUMIFS('Per Line'!$U$2:$U$4001,'Per Line'!$C$2:$C$4001,$B702,'Per Line'!$AL$2:$AL$4001,1,'Per Line'!$AM$2:$AM$4001,0))</f>
        <v/>
      </c>
      <c r="W702" s="7">
        <f>IF($AB702="","",V702*U702)</f>
        <v/>
      </c>
      <c r="X702" s="7">
        <f>IF($AB702="","",W702+T702)</f>
        <v/>
      </c>
      <c r="Y702" s="7">
        <f>IF($AB702="","",Z702-X702)</f>
        <v/>
      </c>
      <c r="Z702" s="7">
        <f>IF($AB702="","",S702+V702+Q702)</f>
        <v/>
      </c>
      <c r="AA702" s="7">
        <f>IF($AB702="","",Z702-X702-M702)</f>
        <v/>
      </c>
      <c r="AB702" s="13">
        <f>IF(ROWS($AB$2:$AB702)&lt;=MAX('Per Line'!$AK$2:$AK$4001),MATCH(ROWS($AB$2:$AB702),'Per Line'!$AK$2:$AK$4001,0),"")</f>
        <v/>
      </c>
      <c r="AC702" s="14">
        <f>IF($AB702="","",M702-L702*Z702/100)</f>
        <v/>
      </c>
    </row>
    <row r="703">
      <c r="A703" s="12" t="n"/>
      <c r="B703">
        <f>IF($AB703="","",INDEX('Per Line'!$C$2:$C$4001,$AB703)&amp;"")</f>
        <v/>
      </c>
      <c r="C703">
        <f>IF($AB703="","",INDEX('Per Line'!$D$2:$D$4001,$AB703)&amp;"")</f>
        <v/>
      </c>
      <c r="D703">
        <f>IF($AB703="","",INDEX('Per Line'!$B$2:$B$4001,$AB703)&amp;"")</f>
        <v/>
      </c>
      <c r="E703">
        <f>IF($AB703="","",INDEX('Per Line'!$A$2:$A$4001,$AB703))</f>
        <v/>
      </c>
      <c r="F703" s="11">
        <f>IF($AB703="","",INDEX('Per Line'!$E$2:$E$4001,$AB703))</f>
        <v/>
      </c>
      <c r="G703">
        <f>IF($AB703="","",INDEX('Per Line'!$F$2:$F$4001,$AB703)&amp;"")</f>
        <v/>
      </c>
      <c r="H703">
        <f>IF($AB703="","",INDEX('Per Line'!$H$2:$H$4001,$AB703)&amp;"")</f>
        <v/>
      </c>
      <c r="I703">
        <f>IF($AB703="","",INDEX('Per Line'!$I$2:$I$4001,$AB703)&amp;"")</f>
        <v/>
      </c>
      <c r="J703">
        <f>IF($AB703="","",INDEX('Per Line'!$J$2:$J$4001,$AB703)&amp;"")</f>
        <v/>
      </c>
      <c r="K703">
        <f>IF($AB703="","",INDEX('Per Line'!$K$2:$K$4001,$AB703)&amp;"")</f>
        <v/>
      </c>
      <c r="L703">
        <f>IF($AB703="","",INDEX('Per Line'!$L$2:$L$4001,$AB703))</f>
        <v/>
      </c>
      <c r="M703" s="7">
        <f>IF($AB703="","",IF(AND(ISNUMBER(O703),O703&gt;0,Z703&gt;O703),L703*O703/100+(Z703-O703),L703*Z703/100))</f>
        <v/>
      </c>
      <c r="N703">
        <f>IF($AB703="","",INDEX('Per Line'!$V$2:$V$4001,$AB703)&amp;"")</f>
        <v/>
      </c>
      <c r="O703">
        <f>IF($AB703="","",INDEX('Per Line'!$Z$2:$Z$4001,$AB703))</f>
        <v/>
      </c>
      <c r="P703">
        <f>IF($AB703="","",IF(AND(ISNUMBER(O703),O703&gt;0),Z703&gt;O703,FALSE))</f>
        <v/>
      </c>
      <c r="Q703" s="7">
        <f>IF($AB703="","",SUMIFS('Per Line'!$U$2:$U$4001,'Per Line'!$C$2:$C$4001,$B703,'Per Line'!$AM$2:$AM$4001,1))</f>
        <v/>
      </c>
      <c r="R703">
        <f>IF($AB703="","",Settings!$C$7)</f>
        <v/>
      </c>
      <c r="S703" s="7">
        <f>IF($AB703="","",SUMIFS('Per Line'!$U$2:$U$4001,'Per Line'!$C$2:$C$4001,$B703,'Per Line'!$AL$2:$AL$4001,0,'Per Line'!$AM$2:$AM$4001,0))</f>
        <v/>
      </c>
      <c r="T703" s="7">
        <f>IF($AB703="","",S703*R703)</f>
        <v/>
      </c>
      <c r="U703">
        <f>IF($AB703="","",Settings!$C$6)</f>
        <v/>
      </c>
      <c r="V703" s="7">
        <f>IF($AB703="","",SUMIFS('Per Line'!$U$2:$U$4001,'Per Line'!$C$2:$C$4001,$B703,'Per Line'!$AL$2:$AL$4001,1,'Per Line'!$AM$2:$AM$4001,0))</f>
        <v/>
      </c>
      <c r="W703" s="7">
        <f>IF($AB703="","",V703*U703)</f>
        <v/>
      </c>
      <c r="X703" s="7">
        <f>IF($AB703="","",W703+T703)</f>
        <v/>
      </c>
      <c r="Y703" s="7">
        <f>IF($AB703="","",Z703-X703)</f>
        <v/>
      </c>
      <c r="Z703" s="7">
        <f>IF($AB703="","",S703+V703+Q703)</f>
        <v/>
      </c>
      <c r="AA703" s="7">
        <f>IF($AB703="","",Z703-X703-M703)</f>
        <v/>
      </c>
      <c r="AB703" s="13">
        <f>IF(ROWS($AB$2:$AB703)&lt;=MAX('Per Line'!$AK$2:$AK$4001),MATCH(ROWS($AB$2:$AB703),'Per Line'!$AK$2:$AK$4001,0),"")</f>
        <v/>
      </c>
      <c r="AC703" s="14">
        <f>IF($AB703="","",M703-L703*Z703/100)</f>
        <v/>
      </c>
    </row>
    <row r="704">
      <c r="A704" s="12" t="n"/>
      <c r="B704">
        <f>IF($AB704="","",INDEX('Per Line'!$C$2:$C$4001,$AB704)&amp;"")</f>
        <v/>
      </c>
      <c r="C704">
        <f>IF($AB704="","",INDEX('Per Line'!$D$2:$D$4001,$AB704)&amp;"")</f>
        <v/>
      </c>
      <c r="D704">
        <f>IF($AB704="","",INDEX('Per Line'!$B$2:$B$4001,$AB704)&amp;"")</f>
        <v/>
      </c>
      <c r="E704">
        <f>IF($AB704="","",INDEX('Per Line'!$A$2:$A$4001,$AB704))</f>
        <v/>
      </c>
      <c r="F704" s="11">
        <f>IF($AB704="","",INDEX('Per Line'!$E$2:$E$4001,$AB704))</f>
        <v/>
      </c>
      <c r="G704">
        <f>IF($AB704="","",INDEX('Per Line'!$F$2:$F$4001,$AB704)&amp;"")</f>
        <v/>
      </c>
      <c r="H704">
        <f>IF($AB704="","",INDEX('Per Line'!$H$2:$H$4001,$AB704)&amp;"")</f>
        <v/>
      </c>
      <c r="I704">
        <f>IF($AB704="","",INDEX('Per Line'!$I$2:$I$4001,$AB704)&amp;"")</f>
        <v/>
      </c>
      <c r="J704">
        <f>IF($AB704="","",INDEX('Per Line'!$J$2:$J$4001,$AB704)&amp;"")</f>
        <v/>
      </c>
      <c r="K704">
        <f>IF($AB704="","",INDEX('Per Line'!$K$2:$K$4001,$AB704)&amp;"")</f>
        <v/>
      </c>
      <c r="L704">
        <f>IF($AB704="","",INDEX('Per Line'!$L$2:$L$4001,$AB704))</f>
        <v/>
      </c>
      <c r="M704" s="7">
        <f>IF($AB704="","",IF(AND(ISNUMBER(O704),O704&gt;0,Z704&gt;O704),L704*O704/100+(Z704-O704),L704*Z704/100))</f>
        <v/>
      </c>
      <c r="N704">
        <f>IF($AB704="","",INDEX('Per Line'!$V$2:$V$4001,$AB704)&amp;"")</f>
        <v/>
      </c>
      <c r="O704">
        <f>IF($AB704="","",INDEX('Per Line'!$Z$2:$Z$4001,$AB704))</f>
        <v/>
      </c>
      <c r="P704">
        <f>IF($AB704="","",IF(AND(ISNUMBER(O704),O704&gt;0),Z704&gt;O704,FALSE))</f>
        <v/>
      </c>
      <c r="Q704" s="7">
        <f>IF($AB704="","",SUMIFS('Per Line'!$U$2:$U$4001,'Per Line'!$C$2:$C$4001,$B704,'Per Line'!$AM$2:$AM$4001,1))</f>
        <v/>
      </c>
      <c r="R704">
        <f>IF($AB704="","",Settings!$C$7)</f>
        <v/>
      </c>
      <c r="S704" s="7">
        <f>IF($AB704="","",SUMIFS('Per Line'!$U$2:$U$4001,'Per Line'!$C$2:$C$4001,$B704,'Per Line'!$AL$2:$AL$4001,0,'Per Line'!$AM$2:$AM$4001,0))</f>
        <v/>
      </c>
      <c r="T704" s="7">
        <f>IF($AB704="","",S704*R704)</f>
        <v/>
      </c>
      <c r="U704">
        <f>IF($AB704="","",Settings!$C$6)</f>
        <v/>
      </c>
      <c r="V704" s="7">
        <f>IF($AB704="","",SUMIFS('Per Line'!$U$2:$U$4001,'Per Line'!$C$2:$C$4001,$B704,'Per Line'!$AL$2:$AL$4001,1,'Per Line'!$AM$2:$AM$4001,0))</f>
        <v/>
      </c>
      <c r="W704" s="7">
        <f>IF($AB704="","",V704*U704)</f>
        <v/>
      </c>
      <c r="X704" s="7">
        <f>IF($AB704="","",W704+T704)</f>
        <v/>
      </c>
      <c r="Y704" s="7">
        <f>IF($AB704="","",Z704-X704)</f>
        <v/>
      </c>
      <c r="Z704" s="7">
        <f>IF($AB704="","",S704+V704+Q704)</f>
        <v/>
      </c>
      <c r="AA704" s="7">
        <f>IF($AB704="","",Z704-X704-M704)</f>
        <v/>
      </c>
      <c r="AB704" s="13">
        <f>IF(ROWS($AB$2:$AB704)&lt;=MAX('Per Line'!$AK$2:$AK$4001),MATCH(ROWS($AB$2:$AB704),'Per Line'!$AK$2:$AK$4001,0),"")</f>
        <v/>
      </c>
      <c r="AC704" s="14">
        <f>IF($AB704="","",M704-L704*Z704/100)</f>
        <v/>
      </c>
    </row>
    <row r="705">
      <c r="A705" s="12" t="n"/>
      <c r="B705">
        <f>IF($AB705="","",INDEX('Per Line'!$C$2:$C$4001,$AB705)&amp;"")</f>
        <v/>
      </c>
      <c r="C705">
        <f>IF($AB705="","",INDEX('Per Line'!$D$2:$D$4001,$AB705)&amp;"")</f>
        <v/>
      </c>
      <c r="D705">
        <f>IF($AB705="","",INDEX('Per Line'!$B$2:$B$4001,$AB705)&amp;"")</f>
        <v/>
      </c>
      <c r="E705">
        <f>IF($AB705="","",INDEX('Per Line'!$A$2:$A$4001,$AB705))</f>
        <v/>
      </c>
      <c r="F705" s="11">
        <f>IF($AB705="","",INDEX('Per Line'!$E$2:$E$4001,$AB705))</f>
        <v/>
      </c>
      <c r="G705">
        <f>IF($AB705="","",INDEX('Per Line'!$F$2:$F$4001,$AB705)&amp;"")</f>
        <v/>
      </c>
      <c r="H705">
        <f>IF($AB705="","",INDEX('Per Line'!$H$2:$H$4001,$AB705)&amp;"")</f>
        <v/>
      </c>
      <c r="I705">
        <f>IF($AB705="","",INDEX('Per Line'!$I$2:$I$4001,$AB705)&amp;"")</f>
        <v/>
      </c>
      <c r="J705">
        <f>IF($AB705="","",INDEX('Per Line'!$J$2:$J$4001,$AB705)&amp;"")</f>
        <v/>
      </c>
      <c r="K705">
        <f>IF($AB705="","",INDEX('Per Line'!$K$2:$K$4001,$AB705)&amp;"")</f>
        <v/>
      </c>
      <c r="L705">
        <f>IF($AB705="","",INDEX('Per Line'!$L$2:$L$4001,$AB705))</f>
        <v/>
      </c>
      <c r="M705" s="7">
        <f>IF($AB705="","",IF(AND(ISNUMBER(O705),O705&gt;0,Z705&gt;O705),L705*O705/100+(Z705-O705),L705*Z705/100))</f>
        <v/>
      </c>
      <c r="N705">
        <f>IF($AB705="","",INDEX('Per Line'!$V$2:$V$4001,$AB705)&amp;"")</f>
        <v/>
      </c>
      <c r="O705">
        <f>IF($AB705="","",INDEX('Per Line'!$Z$2:$Z$4001,$AB705))</f>
        <v/>
      </c>
      <c r="P705">
        <f>IF($AB705="","",IF(AND(ISNUMBER(O705),O705&gt;0),Z705&gt;O705,FALSE))</f>
        <v/>
      </c>
      <c r="Q705" s="7">
        <f>IF($AB705="","",SUMIFS('Per Line'!$U$2:$U$4001,'Per Line'!$C$2:$C$4001,$B705,'Per Line'!$AM$2:$AM$4001,1))</f>
        <v/>
      </c>
      <c r="R705">
        <f>IF($AB705="","",Settings!$C$7)</f>
        <v/>
      </c>
      <c r="S705" s="7">
        <f>IF($AB705="","",SUMIFS('Per Line'!$U$2:$U$4001,'Per Line'!$C$2:$C$4001,$B705,'Per Line'!$AL$2:$AL$4001,0,'Per Line'!$AM$2:$AM$4001,0))</f>
        <v/>
      </c>
      <c r="T705" s="7">
        <f>IF($AB705="","",S705*R705)</f>
        <v/>
      </c>
      <c r="U705">
        <f>IF($AB705="","",Settings!$C$6)</f>
        <v/>
      </c>
      <c r="V705" s="7">
        <f>IF($AB705="","",SUMIFS('Per Line'!$U$2:$U$4001,'Per Line'!$C$2:$C$4001,$B705,'Per Line'!$AL$2:$AL$4001,1,'Per Line'!$AM$2:$AM$4001,0))</f>
        <v/>
      </c>
      <c r="W705" s="7">
        <f>IF($AB705="","",V705*U705)</f>
        <v/>
      </c>
      <c r="X705" s="7">
        <f>IF($AB705="","",W705+T705)</f>
        <v/>
      </c>
      <c r="Y705" s="7">
        <f>IF($AB705="","",Z705-X705)</f>
        <v/>
      </c>
      <c r="Z705" s="7">
        <f>IF($AB705="","",S705+V705+Q705)</f>
        <v/>
      </c>
      <c r="AA705" s="7">
        <f>IF($AB705="","",Z705-X705-M705)</f>
        <v/>
      </c>
      <c r="AB705" s="13">
        <f>IF(ROWS($AB$2:$AB705)&lt;=MAX('Per Line'!$AK$2:$AK$4001),MATCH(ROWS($AB$2:$AB705),'Per Line'!$AK$2:$AK$4001,0),"")</f>
        <v/>
      </c>
      <c r="AC705" s="14">
        <f>IF($AB705="","",M705-L705*Z705/100)</f>
        <v/>
      </c>
    </row>
    <row r="706">
      <c r="A706" s="12" t="n"/>
      <c r="B706">
        <f>IF($AB706="","",INDEX('Per Line'!$C$2:$C$4001,$AB706)&amp;"")</f>
        <v/>
      </c>
      <c r="C706">
        <f>IF($AB706="","",INDEX('Per Line'!$D$2:$D$4001,$AB706)&amp;"")</f>
        <v/>
      </c>
      <c r="D706">
        <f>IF($AB706="","",INDEX('Per Line'!$B$2:$B$4001,$AB706)&amp;"")</f>
        <v/>
      </c>
      <c r="E706">
        <f>IF($AB706="","",INDEX('Per Line'!$A$2:$A$4001,$AB706))</f>
        <v/>
      </c>
      <c r="F706" s="11">
        <f>IF($AB706="","",INDEX('Per Line'!$E$2:$E$4001,$AB706))</f>
        <v/>
      </c>
      <c r="G706">
        <f>IF($AB706="","",INDEX('Per Line'!$F$2:$F$4001,$AB706)&amp;"")</f>
        <v/>
      </c>
      <c r="H706">
        <f>IF($AB706="","",INDEX('Per Line'!$H$2:$H$4001,$AB706)&amp;"")</f>
        <v/>
      </c>
      <c r="I706">
        <f>IF($AB706="","",INDEX('Per Line'!$I$2:$I$4001,$AB706)&amp;"")</f>
        <v/>
      </c>
      <c r="J706">
        <f>IF($AB706="","",INDEX('Per Line'!$J$2:$J$4001,$AB706)&amp;"")</f>
        <v/>
      </c>
      <c r="K706">
        <f>IF($AB706="","",INDEX('Per Line'!$K$2:$K$4001,$AB706)&amp;"")</f>
        <v/>
      </c>
      <c r="L706">
        <f>IF($AB706="","",INDEX('Per Line'!$L$2:$L$4001,$AB706))</f>
        <v/>
      </c>
      <c r="M706" s="7">
        <f>IF($AB706="","",IF(AND(ISNUMBER(O706),O706&gt;0,Z706&gt;O706),L706*O706/100+(Z706-O706),L706*Z706/100))</f>
        <v/>
      </c>
      <c r="N706">
        <f>IF($AB706="","",INDEX('Per Line'!$V$2:$V$4001,$AB706)&amp;"")</f>
        <v/>
      </c>
      <c r="O706">
        <f>IF($AB706="","",INDEX('Per Line'!$Z$2:$Z$4001,$AB706))</f>
        <v/>
      </c>
      <c r="P706">
        <f>IF($AB706="","",IF(AND(ISNUMBER(O706),O706&gt;0),Z706&gt;O706,FALSE))</f>
        <v/>
      </c>
      <c r="Q706" s="7">
        <f>IF($AB706="","",SUMIFS('Per Line'!$U$2:$U$4001,'Per Line'!$C$2:$C$4001,$B706,'Per Line'!$AM$2:$AM$4001,1))</f>
        <v/>
      </c>
      <c r="R706">
        <f>IF($AB706="","",Settings!$C$7)</f>
        <v/>
      </c>
      <c r="S706" s="7">
        <f>IF($AB706="","",SUMIFS('Per Line'!$U$2:$U$4001,'Per Line'!$C$2:$C$4001,$B706,'Per Line'!$AL$2:$AL$4001,0,'Per Line'!$AM$2:$AM$4001,0))</f>
        <v/>
      </c>
      <c r="T706" s="7">
        <f>IF($AB706="","",S706*R706)</f>
        <v/>
      </c>
      <c r="U706">
        <f>IF($AB706="","",Settings!$C$6)</f>
        <v/>
      </c>
      <c r="V706" s="7">
        <f>IF($AB706="","",SUMIFS('Per Line'!$U$2:$U$4001,'Per Line'!$C$2:$C$4001,$B706,'Per Line'!$AL$2:$AL$4001,1,'Per Line'!$AM$2:$AM$4001,0))</f>
        <v/>
      </c>
      <c r="W706" s="7">
        <f>IF($AB706="","",V706*U706)</f>
        <v/>
      </c>
      <c r="X706" s="7">
        <f>IF($AB706="","",W706+T706)</f>
        <v/>
      </c>
      <c r="Y706" s="7">
        <f>IF($AB706="","",Z706-X706)</f>
        <v/>
      </c>
      <c r="Z706" s="7">
        <f>IF($AB706="","",S706+V706+Q706)</f>
        <v/>
      </c>
      <c r="AA706" s="7">
        <f>IF($AB706="","",Z706-X706-M706)</f>
        <v/>
      </c>
      <c r="AB706" s="13">
        <f>IF(ROWS($AB$2:$AB706)&lt;=MAX('Per Line'!$AK$2:$AK$4001),MATCH(ROWS($AB$2:$AB706),'Per Line'!$AK$2:$AK$4001,0),"")</f>
        <v/>
      </c>
      <c r="AC706" s="14">
        <f>IF($AB706="","",M706-L706*Z706/100)</f>
        <v/>
      </c>
    </row>
    <row r="707">
      <c r="A707" s="12" t="n"/>
      <c r="B707">
        <f>IF($AB707="","",INDEX('Per Line'!$C$2:$C$4001,$AB707)&amp;"")</f>
        <v/>
      </c>
      <c r="C707">
        <f>IF($AB707="","",INDEX('Per Line'!$D$2:$D$4001,$AB707)&amp;"")</f>
        <v/>
      </c>
      <c r="D707">
        <f>IF($AB707="","",INDEX('Per Line'!$B$2:$B$4001,$AB707)&amp;"")</f>
        <v/>
      </c>
      <c r="E707">
        <f>IF($AB707="","",INDEX('Per Line'!$A$2:$A$4001,$AB707))</f>
        <v/>
      </c>
      <c r="F707" s="11">
        <f>IF($AB707="","",INDEX('Per Line'!$E$2:$E$4001,$AB707))</f>
        <v/>
      </c>
      <c r="G707">
        <f>IF($AB707="","",INDEX('Per Line'!$F$2:$F$4001,$AB707)&amp;"")</f>
        <v/>
      </c>
      <c r="H707">
        <f>IF($AB707="","",INDEX('Per Line'!$H$2:$H$4001,$AB707)&amp;"")</f>
        <v/>
      </c>
      <c r="I707">
        <f>IF($AB707="","",INDEX('Per Line'!$I$2:$I$4001,$AB707)&amp;"")</f>
        <v/>
      </c>
      <c r="J707">
        <f>IF($AB707="","",INDEX('Per Line'!$J$2:$J$4001,$AB707)&amp;"")</f>
        <v/>
      </c>
      <c r="K707">
        <f>IF($AB707="","",INDEX('Per Line'!$K$2:$K$4001,$AB707)&amp;"")</f>
        <v/>
      </c>
      <c r="L707">
        <f>IF($AB707="","",INDEX('Per Line'!$L$2:$L$4001,$AB707))</f>
        <v/>
      </c>
      <c r="M707" s="7">
        <f>IF($AB707="","",IF(AND(ISNUMBER(O707),O707&gt;0,Z707&gt;O707),L707*O707/100+(Z707-O707),L707*Z707/100))</f>
        <v/>
      </c>
      <c r="N707">
        <f>IF($AB707="","",INDEX('Per Line'!$V$2:$V$4001,$AB707)&amp;"")</f>
        <v/>
      </c>
      <c r="O707">
        <f>IF($AB707="","",INDEX('Per Line'!$Z$2:$Z$4001,$AB707))</f>
        <v/>
      </c>
      <c r="P707">
        <f>IF($AB707="","",IF(AND(ISNUMBER(O707),O707&gt;0),Z707&gt;O707,FALSE))</f>
        <v/>
      </c>
      <c r="Q707" s="7">
        <f>IF($AB707="","",SUMIFS('Per Line'!$U$2:$U$4001,'Per Line'!$C$2:$C$4001,$B707,'Per Line'!$AM$2:$AM$4001,1))</f>
        <v/>
      </c>
      <c r="R707">
        <f>IF($AB707="","",Settings!$C$7)</f>
        <v/>
      </c>
      <c r="S707" s="7">
        <f>IF($AB707="","",SUMIFS('Per Line'!$U$2:$U$4001,'Per Line'!$C$2:$C$4001,$B707,'Per Line'!$AL$2:$AL$4001,0,'Per Line'!$AM$2:$AM$4001,0))</f>
        <v/>
      </c>
      <c r="T707" s="7">
        <f>IF($AB707="","",S707*R707)</f>
        <v/>
      </c>
      <c r="U707">
        <f>IF($AB707="","",Settings!$C$6)</f>
        <v/>
      </c>
      <c r="V707" s="7">
        <f>IF($AB707="","",SUMIFS('Per Line'!$U$2:$U$4001,'Per Line'!$C$2:$C$4001,$B707,'Per Line'!$AL$2:$AL$4001,1,'Per Line'!$AM$2:$AM$4001,0))</f>
        <v/>
      </c>
      <c r="W707" s="7">
        <f>IF($AB707="","",V707*U707)</f>
        <v/>
      </c>
      <c r="X707" s="7">
        <f>IF($AB707="","",W707+T707)</f>
        <v/>
      </c>
      <c r="Y707" s="7">
        <f>IF($AB707="","",Z707-X707)</f>
        <v/>
      </c>
      <c r="Z707" s="7">
        <f>IF($AB707="","",S707+V707+Q707)</f>
        <v/>
      </c>
      <c r="AA707" s="7">
        <f>IF($AB707="","",Z707-X707-M707)</f>
        <v/>
      </c>
      <c r="AB707" s="13">
        <f>IF(ROWS($AB$2:$AB707)&lt;=MAX('Per Line'!$AK$2:$AK$4001),MATCH(ROWS($AB$2:$AB707),'Per Line'!$AK$2:$AK$4001,0),"")</f>
        <v/>
      </c>
      <c r="AC707" s="14">
        <f>IF($AB707="","",M707-L707*Z707/100)</f>
        <v/>
      </c>
    </row>
    <row r="708">
      <c r="A708" s="12" t="n"/>
      <c r="B708">
        <f>IF($AB708="","",INDEX('Per Line'!$C$2:$C$4001,$AB708)&amp;"")</f>
        <v/>
      </c>
      <c r="C708">
        <f>IF($AB708="","",INDEX('Per Line'!$D$2:$D$4001,$AB708)&amp;"")</f>
        <v/>
      </c>
      <c r="D708">
        <f>IF($AB708="","",INDEX('Per Line'!$B$2:$B$4001,$AB708)&amp;"")</f>
        <v/>
      </c>
      <c r="E708">
        <f>IF($AB708="","",INDEX('Per Line'!$A$2:$A$4001,$AB708))</f>
        <v/>
      </c>
      <c r="F708" s="11">
        <f>IF($AB708="","",INDEX('Per Line'!$E$2:$E$4001,$AB708))</f>
        <v/>
      </c>
      <c r="G708">
        <f>IF($AB708="","",INDEX('Per Line'!$F$2:$F$4001,$AB708)&amp;"")</f>
        <v/>
      </c>
      <c r="H708">
        <f>IF($AB708="","",INDEX('Per Line'!$H$2:$H$4001,$AB708)&amp;"")</f>
        <v/>
      </c>
      <c r="I708">
        <f>IF($AB708="","",INDEX('Per Line'!$I$2:$I$4001,$AB708)&amp;"")</f>
        <v/>
      </c>
      <c r="J708">
        <f>IF($AB708="","",INDEX('Per Line'!$J$2:$J$4001,$AB708)&amp;"")</f>
        <v/>
      </c>
      <c r="K708">
        <f>IF($AB708="","",INDEX('Per Line'!$K$2:$K$4001,$AB708)&amp;"")</f>
        <v/>
      </c>
      <c r="L708">
        <f>IF($AB708="","",INDEX('Per Line'!$L$2:$L$4001,$AB708))</f>
        <v/>
      </c>
      <c r="M708" s="7">
        <f>IF($AB708="","",IF(AND(ISNUMBER(O708),O708&gt;0,Z708&gt;O708),L708*O708/100+(Z708-O708),L708*Z708/100))</f>
        <v/>
      </c>
      <c r="N708">
        <f>IF($AB708="","",INDEX('Per Line'!$V$2:$V$4001,$AB708)&amp;"")</f>
        <v/>
      </c>
      <c r="O708">
        <f>IF($AB708="","",INDEX('Per Line'!$Z$2:$Z$4001,$AB708))</f>
        <v/>
      </c>
      <c r="P708">
        <f>IF($AB708="","",IF(AND(ISNUMBER(O708),O708&gt;0),Z708&gt;O708,FALSE))</f>
        <v/>
      </c>
      <c r="Q708" s="7">
        <f>IF($AB708="","",SUMIFS('Per Line'!$U$2:$U$4001,'Per Line'!$C$2:$C$4001,$B708,'Per Line'!$AM$2:$AM$4001,1))</f>
        <v/>
      </c>
      <c r="R708">
        <f>IF($AB708="","",Settings!$C$7)</f>
        <v/>
      </c>
      <c r="S708" s="7">
        <f>IF($AB708="","",SUMIFS('Per Line'!$U$2:$U$4001,'Per Line'!$C$2:$C$4001,$B708,'Per Line'!$AL$2:$AL$4001,0,'Per Line'!$AM$2:$AM$4001,0))</f>
        <v/>
      </c>
      <c r="T708" s="7">
        <f>IF($AB708="","",S708*R708)</f>
        <v/>
      </c>
      <c r="U708">
        <f>IF($AB708="","",Settings!$C$6)</f>
        <v/>
      </c>
      <c r="V708" s="7">
        <f>IF($AB708="","",SUMIFS('Per Line'!$U$2:$U$4001,'Per Line'!$C$2:$C$4001,$B708,'Per Line'!$AL$2:$AL$4001,1,'Per Line'!$AM$2:$AM$4001,0))</f>
        <v/>
      </c>
      <c r="W708" s="7">
        <f>IF($AB708="","",V708*U708)</f>
        <v/>
      </c>
      <c r="X708" s="7">
        <f>IF($AB708="","",W708+T708)</f>
        <v/>
      </c>
      <c r="Y708" s="7">
        <f>IF($AB708="","",Z708-X708)</f>
        <v/>
      </c>
      <c r="Z708" s="7">
        <f>IF($AB708="","",S708+V708+Q708)</f>
        <v/>
      </c>
      <c r="AA708" s="7">
        <f>IF($AB708="","",Z708-X708-M708)</f>
        <v/>
      </c>
      <c r="AB708" s="13">
        <f>IF(ROWS($AB$2:$AB708)&lt;=MAX('Per Line'!$AK$2:$AK$4001),MATCH(ROWS($AB$2:$AB708),'Per Line'!$AK$2:$AK$4001,0),"")</f>
        <v/>
      </c>
      <c r="AC708" s="14">
        <f>IF($AB708="","",M708-L708*Z708/100)</f>
        <v/>
      </c>
    </row>
    <row r="709">
      <c r="A709" s="12" t="n"/>
      <c r="B709">
        <f>IF($AB709="","",INDEX('Per Line'!$C$2:$C$4001,$AB709)&amp;"")</f>
        <v/>
      </c>
      <c r="C709">
        <f>IF($AB709="","",INDEX('Per Line'!$D$2:$D$4001,$AB709)&amp;"")</f>
        <v/>
      </c>
      <c r="D709">
        <f>IF($AB709="","",INDEX('Per Line'!$B$2:$B$4001,$AB709)&amp;"")</f>
        <v/>
      </c>
      <c r="E709">
        <f>IF($AB709="","",INDEX('Per Line'!$A$2:$A$4001,$AB709))</f>
        <v/>
      </c>
      <c r="F709" s="11">
        <f>IF($AB709="","",INDEX('Per Line'!$E$2:$E$4001,$AB709))</f>
        <v/>
      </c>
      <c r="G709">
        <f>IF($AB709="","",INDEX('Per Line'!$F$2:$F$4001,$AB709)&amp;"")</f>
        <v/>
      </c>
      <c r="H709">
        <f>IF($AB709="","",INDEX('Per Line'!$H$2:$H$4001,$AB709)&amp;"")</f>
        <v/>
      </c>
      <c r="I709">
        <f>IF($AB709="","",INDEX('Per Line'!$I$2:$I$4001,$AB709)&amp;"")</f>
        <v/>
      </c>
      <c r="J709">
        <f>IF($AB709="","",INDEX('Per Line'!$J$2:$J$4001,$AB709)&amp;"")</f>
        <v/>
      </c>
      <c r="K709">
        <f>IF($AB709="","",INDEX('Per Line'!$K$2:$K$4001,$AB709)&amp;"")</f>
        <v/>
      </c>
      <c r="L709">
        <f>IF($AB709="","",INDEX('Per Line'!$L$2:$L$4001,$AB709))</f>
        <v/>
      </c>
      <c r="M709" s="7">
        <f>IF($AB709="","",IF(AND(ISNUMBER(O709),O709&gt;0,Z709&gt;O709),L709*O709/100+(Z709-O709),L709*Z709/100))</f>
        <v/>
      </c>
      <c r="N709">
        <f>IF($AB709="","",INDEX('Per Line'!$V$2:$V$4001,$AB709)&amp;"")</f>
        <v/>
      </c>
      <c r="O709">
        <f>IF($AB709="","",INDEX('Per Line'!$Z$2:$Z$4001,$AB709))</f>
        <v/>
      </c>
      <c r="P709">
        <f>IF($AB709="","",IF(AND(ISNUMBER(O709),O709&gt;0),Z709&gt;O709,FALSE))</f>
        <v/>
      </c>
      <c r="Q709" s="7">
        <f>IF($AB709="","",SUMIFS('Per Line'!$U$2:$U$4001,'Per Line'!$C$2:$C$4001,$B709,'Per Line'!$AM$2:$AM$4001,1))</f>
        <v/>
      </c>
      <c r="R709">
        <f>IF($AB709="","",Settings!$C$7)</f>
        <v/>
      </c>
      <c r="S709" s="7">
        <f>IF($AB709="","",SUMIFS('Per Line'!$U$2:$U$4001,'Per Line'!$C$2:$C$4001,$B709,'Per Line'!$AL$2:$AL$4001,0,'Per Line'!$AM$2:$AM$4001,0))</f>
        <v/>
      </c>
      <c r="T709" s="7">
        <f>IF($AB709="","",S709*R709)</f>
        <v/>
      </c>
      <c r="U709">
        <f>IF($AB709="","",Settings!$C$6)</f>
        <v/>
      </c>
      <c r="V709" s="7">
        <f>IF($AB709="","",SUMIFS('Per Line'!$U$2:$U$4001,'Per Line'!$C$2:$C$4001,$B709,'Per Line'!$AL$2:$AL$4001,1,'Per Line'!$AM$2:$AM$4001,0))</f>
        <v/>
      </c>
      <c r="W709" s="7">
        <f>IF($AB709="","",V709*U709)</f>
        <v/>
      </c>
      <c r="X709" s="7">
        <f>IF($AB709="","",W709+T709)</f>
        <v/>
      </c>
      <c r="Y709" s="7">
        <f>IF($AB709="","",Z709-X709)</f>
        <v/>
      </c>
      <c r="Z709" s="7">
        <f>IF($AB709="","",S709+V709+Q709)</f>
        <v/>
      </c>
      <c r="AA709" s="7">
        <f>IF($AB709="","",Z709-X709-M709)</f>
        <v/>
      </c>
      <c r="AB709" s="13">
        <f>IF(ROWS($AB$2:$AB709)&lt;=MAX('Per Line'!$AK$2:$AK$4001),MATCH(ROWS($AB$2:$AB709),'Per Line'!$AK$2:$AK$4001,0),"")</f>
        <v/>
      </c>
      <c r="AC709" s="14">
        <f>IF($AB709="","",M709-L709*Z709/100)</f>
        <v/>
      </c>
    </row>
    <row r="710">
      <c r="A710" s="12" t="n"/>
      <c r="B710">
        <f>IF($AB710="","",INDEX('Per Line'!$C$2:$C$4001,$AB710)&amp;"")</f>
        <v/>
      </c>
      <c r="C710">
        <f>IF($AB710="","",INDEX('Per Line'!$D$2:$D$4001,$AB710)&amp;"")</f>
        <v/>
      </c>
      <c r="D710">
        <f>IF($AB710="","",INDEX('Per Line'!$B$2:$B$4001,$AB710)&amp;"")</f>
        <v/>
      </c>
      <c r="E710">
        <f>IF($AB710="","",INDEX('Per Line'!$A$2:$A$4001,$AB710))</f>
        <v/>
      </c>
      <c r="F710" s="11">
        <f>IF($AB710="","",INDEX('Per Line'!$E$2:$E$4001,$AB710))</f>
        <v/>
      </c>
      <c r="G710">
        <f>IF($AB710="","",INDEX('Per Line'!$F$2:$F$4001,$AB710)&amp;"")</f>
        <v/>
      </c>
      <c r="H710">
        <f>IF($AB710="","",INDEX('Per Line'!$H$2:$H$4001,$AB710)&amp;"")</f>
        <v/>
      </c>
      <c r="I710">
        <f>IF($AB710="","",INDEX('Per Line'!$I$2:$I$4001,$AB710)&amp;"")</f>
        <v/>
      </c>
      <c r="J710">
        <f>IF($AB710="","",INDEX('Per Line'!$J$2:$J$4001,$AB710)&amp;"")</f>
        <v/>
      </c>
      <c r="K710">
        <f>IF($AB710="","",INDEX('Per Line'!$K$2:$K$4001,$AB710)&amp;"")</f>
        <v/>
      </c>
      <c r="L710">
        <f>IF($AB710="","",INDEX('Per Line'!$L$2:$L$4001,$AB710))</f>
        <v/>
      </c>
      <c r="M710" s="7">
        <f>IF($AB710="","",IF(AND(ISNUMBER(O710),O710&gt;0,Z710&gt;O710),L710*O710/100+(Z710-O710),L710*Z710/100))</f>
        <v/>
      </c>
      <c r="N710">
        <f>IF($AB710="","",INDEX('Per Line'!$V$2:$V$4001,$AB710)&amp;"")</f>
        <v/>
      </c>
      <c r="O710">
        <f>IF($AB710="","",INDEX('Per Line'!$Z$2:$Z$4001,$AB710))</f>
        <v/>
      </c>
      <c r="P710">
        <f>IF($AB710="","",IF(AND(ISNUMBER(O710),O710&gt;0),Z710&gt;O710,FALSE))</f>
        <v/>
      </c>
      <c r="Q710" s="7">
        <f>IF($AB710="","",SUMIFS('Per Line'!$U$2:$U$4001,'Per Line'!$C$2:$C$4001,$B710,'Per Line'!$AM$2:$AM$4001,1))</f>
        <v/>
      </c>
      <c r="R710">
        <f>IF($AB710="","",Settings!$C$7)</f>
        <v/>
      </c>
      <c r="S710" s="7">
        <f>IF($AB710="","",SUMIFS('Per Line'!$U$2:$U$4001,'Per Line'!$C$2:$C$4001,$B710,'Per Line'!$AL$2:$AL$4001,0,'Per Line'!$AM$2:$AM$4001,0))</f>
        <v/>
      </c>
      <c r="T710" s="7">
        <f>IF($AB710="","",S710*R710)</f>
        <v/>
      </c>
      <c r="U710">
        <f>IF($AB710="","",Settings!$C$6)</f>
        <v/>
      </c>
      <c r="V710" s="7">
        <f>IF($AB710="","",SUMIFS('Per Line'!$U$2:$U$4001,'Per Line'!$C$2:$C$4001,$B710,'Per Line'!$AL$2:$AL$4001,1,'Per Line'!$AM$2:$AM$4001,0))</f>
        <v/>
      </c>
      <c r="W710" s="7">
        <f>IF($AB710="","",V710*U710)</f>
        <v/>
      </c>
      <c r="X710" s="7">
        <f>IF($AB710="","",W710+T710)</f>
        <v/>
      </c>
      <c r="Y710" s="7">
        <f>IF($AB710="","",Z710-X710)</f>
        <v/>
      </c>
      <c r="Z710" s="7">
        <f>IF($AB710="","",S710+V710+Q710)</f>
        <v/>
      </c>
      <c r="AA710" s="7">
        <f>IF($AB710="","",Z710-X710-M710)</f>
        <v/>
      </c>
      <c r="AB710" s="13">
        <f>IF(ROWS($AB$2:$AB710)&lt;=MAX('Per Line'!$AK$2:$AK$4001),MATCH(ROWS($AB$2:$AB710),'Per Line'!$AK$2:$AK$4001,0),"")</f>
        <v/>
      </c>
      <c r="AC710" s="14">
        <f>IF($AB710="","",M710-L710*Z710/100)</f>
        <v/>
      </c>
    </row>
    <row r="711">
      <c r="A711" s="12" t="n"/>
      <c r="B711">
        <f>IF($AB711="","",INDEX('Per Line'!$C$2:$C$4001,$AB711)&amp;"")</f>
        <v/>
      </c>
      <c r="C711">
        <f>IF($AB711="","",INDEX('Per Line'!$D$2:$D$4001,$AB711)&amp;"")</f>
        <v/>
      </c>
      <c r="D711">
        <f>IF($AB711="","",INDEX('Per Line'!$B$2:$B$4001,$AB711)&amp;"")</f>
        <v/>
      </c>
      <c r="E711">
        <f>IF($AB711="","",INDEX('Per Line'!$A$2:$A$4001,$AB711))</f>
        <v/>
      </c>
      <c r="F711" s="11">
        <f>IF($AB711="","",INDEX('Per Line'!$E$2:$E$4001,$AB711))</f>
        <v/>
      </c>
      <c r="G711">
        <f>IF($AB711="","",INDEX('Per Line'!$F$2:$F$4001,$AB711)&amp;"")</f>
        <v/>
      </c>
      <c r="H711">
        <f>IF($AB711="","",INDEX('Per Line'!$H$2:$H$4001,$AB711)&amp;"")</f>
        <v/>
      </c>
      <c r="I711">
        <f>IF($AB711="","",INDEX('Per Line'!$I$2:$I$4001,$AB711)&amp;"")</f>
        <v/>
      </c>
      <c r="J711">
        <f>IF($AB711="","",INDEX('Per Line'!$J$2:$J$4001,$AB711)&amp;"")</f>
        <v/>
      </c>
      <c r="K711">
        <f>IF($AB711="","",INDEX('Per Line'!$K$2:$K$4001,$AB711)&amp;"")</f>
        <v/>
      </c>
      <c r="L711">
        <f>IF($AB711="","",INDEX('Per Line'!$L$2:$L$4001,$AB711))</f>
        <v/>
      </c>
      <c r="M711" s="7">
        <f>IF($AB711="","",IF(AND(ISNUMBER(O711),O711&gt;0,Z711&gt;O711),L711*O711/100+(Z711-O711),L711*Z711/100))</f>
        <v/>
      </c>
      <c r="N711">
        <f>IF($AB711="","",INDEX('Per Line'!$V$2:$V$4001,$AB711)&amp;"")</f>
        <v/>
      </c>
      <c r="O711">
        <f>IF($AB711="","",INDEX('Per Line'!$Z$2:$Z$4001,$AB711))</f>
        <v/>
      </c>
      <c r="P711">
        <f>IF($AB711="","",IF(AND(ISNUMBER(O711),O711&gt;0),Z711&gt;O711,FALSE))</f>
        <v/>
      </c>
      <c r="Q711" s="7">
        <f>IF($AB711="","",SUMIFS('Per Line'!$U$2:$U$4001,'Per Line'!$C$2:$C$4001,$B711,'Per Line'!$AM$2:$AM$4001,1))</f>
        <v/>
      </c>
      <c r="R711">
        <f>IF($AB711="","",Settings!$C$7)</f>
        <v/>
      </c>
      <c r="S711" s="7">
        <f>IF($AB711="","",SUMIFS('Per Line'!$U$2:$U$4001,'Per Line'!$C$2:$C$4001,$B711,'Per Line'!$AL$2:$AL$4001,0,'Per Line'!$AM$2:$AM$4001,0))</f>
        <v/>
      </c>
      <c r="T711" s="7">
        <f>IF($AB711="","",S711*R711)</f>
        <v/>
      </c>
      <c r="U711">
        <f>IF($AB711="","",Settings!$C$6)</f>
        <v/>
      </c>
      <c r="V711" s="7">
        <f>IF($AB711="","",SUMIFS('Per Line'!$U$2:$U$4001,'Per Line'!$C$2:$C$4001,$B711,'Per Line'!$AL$2:$AL$4001,1,'Per Line'!$AM$2:$AM$4001,0))</f>
        <v/>
      </c>
      <c r="W711" s="7">
        <f>IF($AB711="","",V711*U711)</f>
        <v/>
      </c>
      <c r="X711" s="7">
        <f>IF($AB711="","",W711+T711)</f>
        <v/>
      </c>
      <c r="Y711" s="7">
        <f>IF($AB711="","",Z711-X711)</f>
        <v/>
      </c>
      <c r="Z711" s="7">
        <f>IF($AB711="","",S711+V711+Q711)</f>
        <v/>
      </c>
      <c r="AA711" s="7">
        <f>IF($AB711="","",Z711-X711-M711)</f>
        <v/>
      </c>
      <c r="AB711" s="13">
        <f>IF(ROWS($AB$2:$AB711)&lt;=MAX('Per Line'!$AK$2:$AK$4001),MATCH(ROWS($AB$2:$AB711),'Per Line'!$AK$2:$AK$4001,0),"")</f>
        <v/>
      </c>
      <c r="AC711" s="14">
        <f>IF($AB711="","",M711-L711*Z711/100)</f>
        <v/>
      </c>
    </row>
    <row r="712">
      <c r="A712" s="12" t="n"/>
      <c r="B712">
        <f>IF($AB712="","",INDEX('Per Line'!$C$2:$C$4001,$AB712)&amp;"")</f>
        <v/>
      </c>
      <c r="C712">
        <f>IF($AB712="","",INDEX('Per Line'!$D$2:$D$4001,$AB712)&amp;"")</f>
        <v/>
      </c>
      <c r="D712">
        <f>IF($AB712="","",INDEX('Per Line'!$B$2:$B$4001,$AB712)&amp;"")</f>
        <v/>
      </c>
      <c r="E712">
        <f>IF($AB712="","",INDEX('Per Line'!$A$2:$A$4001,$AB712))</f>
        <v/>
      </c>
      <c r="F712" s="11">
        <f>IF($AB712="","",INDEX('Per Line'!$E$2:$E$4001,$AB712))</f>
        <v/>
      </c>
      <c r="G712">
        <f>IF($AB712="","",INDEX('Per Line'!$F$2:$F$4001,$AB712)&amp;"")</f>
        <v/>
      </c>
      <c r="H712">
        <f>IF($AB712="","",INDEX('Per Line'!$H$2:$H$4001,$AB712)&amp;"")</f>
        <v/>
      </c>
      <c r="I712">
        <f>IF($AB712="","",INDEX('Per Line'!$I$2:$I$4001,$AB712)&amp;"")</f>
        <v/>
      </c>
      <c r="J712">
        <f>IF($AB712="","",INDEX('Per Line'!$J$2:$J$4001,$AB712)&amp;"")</f>
        <v/>
      </c>
      <c r="K712">
        <f>IF($AB712="","",INDEX('Per Line'!$K$2:$K$4001,$AB712)&amp;"")</f>
        <v/>
      </c>
      <c r="L712">
        <f>IF($AB712="","",INDEX('Per Line'!$L$2:$L$4001,$AB712))</f>
        <v/>
      </c>
      <c r="M712" s="7">
        <f>IF($AB712="","",IF(AND(ISNUMBER(O712),O712&gt;0,Z712&gt;O712),L712*O712/100+(Z712-O712),L712*Z712/100))</f>
        <v/>
      </c>
      <c r="N712">
        <f>IF($AB712="","",INDEX('Per Line'!$V$2:$V$4001,$AB712)&amp;"")</f>
        <v/>
      </c>
      <c r="O712">
        <f>IF($AB712="","",INDEX('Per Line'!$Z$2:$Z$4001,$AB712))</f>
        <v/>
      </c>
      <c r="P712">
        <f>IF($AB712="","",IF(AND(ISNUMBER(O712),O712&gt;0),Z712&gt;O712,FALSE))</f>
        <v/>
      </c>
      <c r="Q712" s="7">
        <f>IF($AB712="","",SUMIFS('Per Line'!$U$2:$U$4001,'Per Line'!$C$2:$C$4001,$B712,'Per Line'!$AM$2:$AM$4001,1))</f>
        <v/>
      </c>
      <c r="R712">
        <f>IF($AB712="","",Settings!$C$7)</f>
        <v/>
      </c>
      <c r="S712" s="7">
        <f>IF($AB712="","",SUMIFS('Per Line'!$U$2:$U$4001,'Per Line'!$C$2:$C$4001,$B712,'Per Line'!$AL$2:$AL$4001,0,'Per Line'!$AM$2:$AM$4001,0))</f>
        <v/>
      </c>
      <c r="T712" s="7">
        <f>IF($AB712="","",S712*R712)</f>
        <v/>
      </c>
      <c r="U712">
        <f>IF($AB712="","",Settings!$C$6)</f>
        <v/>
      </c>
      <c r="V712" s="7">
        <f>IF($AB712="","",SUMIFS('Per Line'!$U$2:$U$4001,'Per Line'!$C$2:$C$4001,$B712,'Per Line'!$AL$2:$AL$4001,1,'Per Line'!$AM$2:$AM$4001,0))</f>
        <v/>
      </c>
      <c r="W712" s="7">
        <f>IF($AB712="","",V712*U712)</f>
        <v/>
      </c>
      <c r="X712" s="7">
        <f>IF($AB712="","",W712+T712)</f>
        <v/>
      </c>
      <c r="Y712" s="7">
        <f>IF($AB712="","",Z712-X712)</f>
        <v/>
      </c>
      <c r="Z712" s="7">
        <f>IF($AB712="","",S712+V712+Q712)</f>
        <v/>
      </c>
      <c r="AA712" s="7">
        <f>IF($AB712="","",Z712-X712-M712)</f>
        <v/>
      </c>
      <c r="AB712" s="13">
        <f>IF(ROWS($AB$2:$AB712)&lt;=MAX('Per Line'!$AK$2:$AK$4001),MATCH(ROWS($AB$2:$AB712),'Per Line'!$AK$2:$AK$4001,0),"")</f>
        <v/>
      </c>
      <c r="AC712" s="14">
        <f>IF($AB712="","",M712-L712*Z712/100)</f>
        <v/>
      </c>
    </row>
    <row r="713">
      <c r="A713" s="12" t="n"/>
      <c r="B713">
        <f>IF($AB713="","",INDEX('Per Line'!$C$2:$C$4001,$AB713)&amp;"")</f>
        <v/>
      </c>
      <c r="C713">
        <f>IF($AB713="","",INDEX('Per Line'!$D$2:$D$4001,$AB713)&amp;"")</f>
        <v/>
      </c>
      <c r="D713">
        <f>IF($AB713="","",INDEX('Per Line'!$B$2:$B$4001,$AB713)&amp;"")</f>
        <v/>
      </c>
      <c r="E713">
        <f>IF($AB713="","",INDEX('Per Line'!$A$2:$A$4001,$AB713))</f>
        <v/>
      </c>
      <c r="F713" s="11">
        <f>IF($AB713="","",INDEX('Per Line'!$E$2:$E$4001,$AB713))</f>
        <v/>
      </c>
      <c r="G713">
        <f>IF($AB713="","",INDEX('Per Line'!$F$2:$F$4001,$AB713)&amp;"")</f>
        <v/>
      </c>
      <c r="H713">
        <f>IF($AB713="","",INDEX('Per Line'!$H$2:$H$4001,$AB713)&amp;"")</f>
        <v/>
      </c>
      <c r="I713">
        <f>IF($AB713="","",INDEX('Per Line'!$I$2:$I$4001,$AB713)&amp;"")</f>
        <v/>
      </c>
      <c r="J713">
        <f>IF($AB713="","",INDEX('Per Line'!$J$2:$J$4001,$AB713)&amp;"")</f>
        <v/>
      </c>
      <c r="K713">
        <f>IF($AB713="","",INDEX('Per Line'!$K$2:$K$4001,$AB713)&amp;"")</f>
        <v/>
      </c>
      <c r="L713">
        <f>IF($AB713="","",INDEX('Per Line'!$L$2:$L$4001,$AB713))</f>
        <v/>
      </c>
      <c r="M713" s="7">
        <f>IF($AB713="","",IF(AND(ISNUMBER(O713),O713&gt;0,Z713&gt;O713),L713*O713/100+(Z713-O713),L713*Z713/100))</f>
        <v/>
      </c>
      <c r="N713">
        <f>IF($AB713="","",INDEX('Per Line'!$V$2:$V$4001,$AB713)&amp;"")</f>
        <v/>
      </c>
      <c r="O713">
        <f>IF($AB713="","",INDEX('Per Line'!$Z$2:$Z$4001,$AB713))</f>
        <v/>
      </c>
      <c r="P713">
        <f>IF($AB713="","",IF(AND(ISNUMBER(O713),O713&gt;0),Z713&gt;O713,FALSE))</f>
        <v/>
      </c>
      <c r="Q713" s="7">
        <f>IF($AB713="","",SUMIFS('Per Line'!$U$2:$U$4001,'Per Line'!$C$2:$C$4001,$B713,'Per Line'!$AM$2:$AM$4001,1))</f>
        <v/>
      </c>
      <c r="R713">
        <f>IF($AB713="","",Settings!$C$7)</f>
        <v/>
      </c>
      <c r="S713" s="7">
        <f>IF($AB713="","",SUMIFS('Per Line'!$U$2:$U$4001,'Per Line'!$C$2:$C$4001,$B713,'Per Line'!$AL$2:$AL$4001,0,'Per Line'!$AM$2:$AM$4001,0))</f>
        <v/>
      </c>
      <c r="T713" s="7">
        <f>IF($AB713="","",S713*R713)</f>
        <v/>
      </c>
      <c r="U713">
        <f>IF($AB713="","",Settings!$C$6)</f>
        <v/>
      </c>
      <c r="V713" s="7">
        <f>IF($AB713="","",SUMIFS('Per Line'!$U$2:$U$4001,'Per Line'!$C$2:$C$4001,$B713,'Per Line'!$AL$2:$AL$4001,1,'Per Line'!$AM$2:$AM$4001,0))</f>
        <v/>
      </c>
      <c r="W713" s="7">
        <f>IF($AB713="","",V713*U713)</f>
        <v/>
      </c>
      <c r="X713" s="7">
        <f>IF($AB713="","",W713+T713)</f>
        <v/>
      </c>
      <c r="Y713" s="7">
        <f>IF($AB713="","",Z713-X713)</f>
        <v/>
      </c>
      <c r="Z713" s="7">
        <f>IF($AB713="","",S713+V713+Q713)</f>
        <v/>
      </c>
      <c r="AA713" s="7">
        <f>IF($AB713="","",Z713-X713-M713)</f>
        <v/>
      </c>
      <c r="AB713" s="13">
        <f>IF(ROWS($AB$2:$AB713)&lt;=MAX('Per Line'!$AK$2:$AK$4001),MATCH(ROWS($AB$2:$AB713),'Per Line'!$AK$2:$AK$4001,0),"")</f>
        <v/>
      </c>
      <c r="AC713" s="14">
        <f>IF($AB713="","",M713-L713*Z713/100)</f>
        <v/>
      </c>
    </row>
    <row r="714">
      <c r="A714" s="12" t="n"/>
      <c r="B714">
        <f>IF($AB714="","",INDEX('Per Line'!$C$2:$C$4001,$AB714)&amp;"")</f>
        <v/>
      </c>
      <c r="C714">
        <f>IF($AB714="","",INDEX('Per Line'!$D$2:$D$4001,$AB714)&amp;"")</f>
        <v/>
      </c>
      <c r="D714">
        <f>IF($AB714="","",INDEX('Per Line'!$B$2:$B$4001,$AB714)&amp;"")</f>
        <v/>
      </c>
      <c r="E714">
        <f>IF($AB714="","",INDEX('Per Line'!$A$2:$A$4001,$AB714))</f>
        <v/>
      </c>
      <c r="F714" s="11">
        <f>IF($AB714="","",INDEX('Per Line'!$E$2:$E$4001,$AB714))</f>
        <v/>
      </c>
      <c r="G714">
        <f>IF($AB714="","",INDEX('Per Line'!$F$2:$F$4001,$AB714)&amp;"")</f>
        <v/>
      </c>
      <c r="H714">
        <f>IF($AB714="","",INDEX('Per Line'!$H$2:$H$4001,$AB714)&amp;"")</f>
        <v/>
      </c>
      <c r="I714">
        <f>IF($AB714="","",INDEX('Per Line'!$I$2:$I$4001,$AB714)&amp;"")</f>
        <v/>
      </c>
      <c r="J714">
        <f>IF($AB714="","",INDEX('Per Line'!$J$2:$J$4001,$AB714)&amp;"")</f>
        <v/>
      </c>
      <c r="K714">
        <f>IF($AB714="","",INDEX('Per Line'!$K$2:$K$4001,$AB714)&amp;"")</f>
        <v/>
      </c>
      <c r="L714">
        <f>IF($AB714="","",INDEX('Per Line'!$L$2:$L$4001,$AB714))</f>
        <v/>
      </c>
      <c r="M714" s="7">
        <f>IF($AB714="","",IF(AND(ISNUMBER(O714),O714&gt;0,Z714&gt;O714),L714*O714/100+(Z714-O714),L714*Z714/100))</f>
        <v/>
      </c>
      <c r="N714">
        <f>IF($AB714="","",INDEX('Per Line'!$V$2:$V$4001,$AB714)&amp;"")</f>
        <v/>
      </c>
      <c r="O714">
        <f>IF($AB714="","",INDEX('Per Line'!$Z$2:$Z$4001,$AB714))</f>
        <v/>
      </c>
      <c r="P714">
        <f>IF($AB714="","",IF(AND(ISNUMBER(O714),O714&gt;0),Z714&gt;O714,FALSE))</f>
        <v/>
      </c>
      <c r="Q714" s="7">
        <f>IF($AB714="","",SUMIFS('Per Line'!$U$2:$U$4001,'Per Line'!$C$2:$C$4001,$B714,'Per Line'!$AM$2:$AM$4001,1))</f>
        <v/>
      </c>
      <c r="R714">
        <f>IF($AB714="","",Settings!$C$7)</f>
        <v/>
      </c>
      <c r="S714" s="7">
        <f>IF($AB714="","",SUMIFS('Per Line'!$U$2:$U$4001,'Per Line'!$C$2:$C$4001,$B714,'Per Line'!$AL$2:$AL$4001,0,'Per Line'!$AM$2:$AM$4001,0))</f>
        <v/>
      </c>
      <c r="T714" s="7">
        <f>IF($AB714="","",S714*R714)</f>
        <v/>
      </c>
      <c r="U714">
        <f>IF($AB714="","",Settings!$C$6)</f>
        <v/>
      </c>
      <c r="V714" s="7">
        <f>IF($AB714="","",SUMIFS('Per Line'!$U$2:$U$4001,'Per Line'!$C$2:$C$4001,$B714,'Per Line'!$AL$2:$AL$4001,1,'Per Line'!$AM$2:$AM$4001,0))</f>
        <v/>
      </c>
      <c r="W714" s="7">
        <f>IF($AB714="","",V714*U714)</f>
        <v/>
      </c>
      <c r="X714" s="7">
        <f>IF($AB714="","",W714+T714)</f>
        <v/>
      </c>
      <c r="Y714" s="7">
        <f>IF($AB714="","",Z714-X714)</f>
        <v/>
      </c>
      <c r="Z714" s="7">
        <f>IF($AB714="","",S714+V714+Q714)</f>
        <v/>
      </c>
      <c r="AA714" s="7">
        <f>IF($AB714="","",Z714-X714-M714)</f>
        <v/>
      </c>
      <c r="AB714" s="13">
        <f>IF(ROWS($AB$2:$AB714)&lt;=MAX('Per Line'!$AK$2:$AK$4001),MATCH(ROWS($AB$2:$AB714),'Per Line'!$AK$2:$AK$4001,0),"")</f>
        <v/>
      </c>
      <c r="AC714" s="14">
        <f>IF($AB714="","",M714-L714*Z714/100)</f>
        <v/>
      </c>
    </row>
    <row r="715">
      <c r="A715" s="12" t="n"/>
      <c r="B715">
        <f>IF($AB715="","",INDEX('Per Line'!$C$2:$C$4001,$AB715)&amp;"")</f>
        <v/>
      </c>
      <c r="C715">
        <f>IF($AB715="","",INDEX('Per Line'!$D$2:$D$4001,$AB715)&amp;"")</f>
        <v/>
      </c>
      <c r="D715">
        <f>IF($AB715="","",INDEX('Per Line'!$B$2:$B$4001,$AB715)&amp;"")</f>
        <v/>
      </c>
      <c r="E715">
        <f>IF($AB715="","",INDEX('Per Line'!$A$2:$A$4001,$AB715))</f>
        <v/>
      </c>
      <c r="F715" s="11">
        <f>IF($AB715="","",INDEX('Per Line'!$E$2:$E$4001,$AB715))</f>
        <v/>
      </c>
      <c r="G715">
        <f>IF($AB715="","",INDEX('Per Line'!$F$2:$F$4001,$AB715)&amp;"")</f>
        <v/>
      </c>
      <c r="H715">
        <f>IF($AB715="","",INDEX('Per Line'!$H$2:$H$4001,$AB715)&amp;"")</f>
        <v/>
      </c>
      <c r="I715">
        <f>IF($AB715="","",INDEX('Per Line'!$I$2:$I$4001,$AB715)&amp;"")</f>
        <v/>
      </c>
      <c r="J715">
        <f>IF($AB715="","",INDEX('Per Line'!$J$2:$J$4001,$AB715)&amp;"")</f>
        <v/>
      </c>
      <c r="K715">
        <f>IF($AB715="","",INDEX('Per Line'!$K$2:$K$4001,$AB715)&amp;"")</f>
        <v/>
      </c>
      <c r="L715">
        <f>IF($AB715="","",INDEX('Per Line'!$L$2:$L$4001,$AB715))</f>
        <v/>
      </c>
      <c r="M715" s="7">
        <f>IF($AB715="","",IF(AND(ISNUMBER(O715),O715&gt;0,Z715&gt;O715),L715*O715/100+(Z715-O715),L715*Z715/100))</f>
        <v/>
      </c>
      <c r="N715">
        <f>IF($AB715="","",INDEX('Per Line'!$V$2:$V$4001,$AB715)&amp;"")</f>
        <v/>
      </c>
      <c r="O715">
        <f>IF($AB715="","",INDEX('Per Line'!$Z$2:$Z$4001,$AB715))</f>
        <v/>
      </c>
      <c r="P715">
        <f>IF($AB715="","",IF(AND(ISNUMBER(O715),O715&gt;0),Z715&gt;O715,FALSE))</f>
        <v/>
      </c>
      <c r="Q715" s="7">
        <f>IF($AB715="","",SUMIFS('Per Line'!$U$2:$U$4001,'Per Line'!$C$2:$C$4001,$B715,'Per Line'!$AM$2:$AM$4001,1))</f>
        <v/>
      </c>
      <c r="R715">
        <f>IF($AB715="","",Settings!$C$7)</f>
        <v/>
      </c>
      <c r="S715" s="7">
        <f>IF($AB715="","",SUMIFS('Per Line'!$U$2:$U$4001,'Per Line'!$C$2:$C$4001,$B715,'Per Line'!$AL$2:$AL$4001,0,'Per Line'!$AM$2:$AM$4001,0))</f>
        <v/>
      </c>
      <c r="T715" s="7">
        <f>IF($AB715="","",S715*R715)</f>
        <v/>
      </c>
      <c r="U715">
        <f>IF($AB715="","",Settings!$C$6)</f>
        <v/>
      </c>
      <c r="V715" s="7">
        <f>IF($AB715="","",SUMIFS('Per Line'!$U$2:$U$4001,'Per Line'!$C$2:$C$4001,$B715,'Per Line'!$AL$2:$AL$4001,1,'Per Line'!$AM$2:$AM$4001,0))</f>
        <v/>
      </c>
      <c r="W715" s="7">
        <f>IF($AB715="","",V715*U715)</f>
        <v/>
      </c>
      <c r="X715" s="7">
        <f>IF($AB715="","",W715+T715)</f>
        <v/>
      </c>
      <c r="Y715" s="7">
        <f>IF($AB715="","",Z715-X715)</f>
        <v/>
      </c>
      <c r="Z715" s="7">
        <f>IF($AB715="","",S715+V715+Q715)</f>
        <v/>
      </c>
      <c r="AA715" s="7">
        <f>IF($AB715="","",Z715-X715-M715)</f>
        <v/>
      </c>
      <c r="AB715" s="13">
        <f>IF(ROWS($AB$2:$AB715)&lt;=MAX('Per Line'!$AK$2:$AK$4001),MATCH(ROWS($AB$2:$AB715),'Per Line'!$AK$2:$AK$4001,0),"")</f>
        <v/>
      </c>
      <c r="AC715" s="14">
        <f>IF($AB715="","",M715-L715*Z715/100)</f>
        <v/>
      </c>
    </row>
    <row r="716">
      <c r="A716" s="12" t="n"/>
      <c r="B716">
        <f>IF($AB716="","",INDEX('Per Line'!$C$2:$C$4001,$AB716)&amp;"")</f>
        <v/>
      </c>
      <c r="C716">
        <f>IF($AB716="","",INDEX('Per Line'!$D$2:$D$4001,$AB716)&amp;"")</f>
        <v/>
      </c>
      <c r="D716">
        <f>IF($AB716="","",INDEX('Per Line'!$B$2:$B$4001,$AB716)&amp;"")</f>
        <v/>
      </c>
      <c r="E716">
        <f>IF($AB716="","",INDEX('Per Line'!$A$2:$A$4001,$AB716))</f>
        <v/>
      </c>
      <c r="F716" s="11">
        <f>IF($AB716="","",INDEX('Per Line'!$E$2:$E$4001,$AB716))</f>
        <v/>
      </c>
      <c r="G716">
        <f>IF($AB716="","",INDEX('Per Line'!$F$2:$F$4001,$AB716)&amp;"")</f>
        <v/>
      </c>
      <c r="H716">
        <f>IF($AB716="","",INDEX('Per Line'!$H$2:$H$4001,$AB716)&amp;"")</f>
        <v/>
      </c>
      <c r="I716">
        <f>IF($AB716="","",INDEX('Per Line'!$I$2:$I$4001,$AB716)&amp;"")</f>
        <v/>
      </c>
      <c r="J716">
        <f>IF($AB716="","",INDEX('Per Line'!$J$2:$J$4001,$AB716)&amp;"")</f>
        <v/>
      </c>
      <c r="K716">
        <f>IF($AB716="","",INDEX('Per Line'!$K$2:$K$4001,$AB716)&amp;"")</f>
        <v/>
      </c>
      <c r="L716">
        <f>IF($AB716="","",INDEX('Per Line'!$L$2:$L$4001,$AB716))</f>
        <v/>
      </c>
      <c r="M716" s="7">
        <f>IF($AB716="","",IF(AND(ISNUMBER(O716),O716&gt;0,Z716&gt;O716),L716*O716/100+(Z716-O716),L716*Z716/100))</f>
        <v/>
      </c>
      <c r="N716">
        <f>IF($AB716="","",INDEX('Per Line'!$V$2:$V$4001,$AB716)&amp;"")</f>
        <v/>
      </c>
      <c r="O716">
        <f>IF($AB716="","",INDEX('Per Line'!$Z$2:$Z$4001,$AB716))</f>
        <v/>
      </c>
      <c r="P716">
        <f>IF($AB716="","",IF(AND(ISNUMBER(O716),O716&gt;0),Z716&gt;O716,FALSE))</f>
        <v/>
      </c>
      <c r="Q716" s="7">
        <f>IF($AB716="","",SUMIFS('Per Line'!$U$2:$U$4001,'Per Line'!$C$2:$C$4001,$B716,'Per Line'!$AM$2:$AM$4001,1))</f>
        <v/>
      </c>
      <c r="R716">
        <f>IF($AB716="","",Settings!$C$7)</f>
        <v/>
      </c>
      <c r="S716" s="7">
        <f>IF($AB716="","",SUMIFS('Per Line'!$U$2:$U$4001,'Per Line'!$C$2:$C$4001,$B716,'Per Line'!$AL$2:$AL$4001,0,'Per Line'!$AM$2:$AM$4001,0))</f>
        <v/>
      </c>
      <c r="T716" s="7">
        <f>IF($AB716="","",S716*R716)</f>
        <v/>
      </c>
      <c r="U716">
        <f>IF($AB716="","",Settings!$C$6)</f>
        <v/>
      </c>
      <c r="V716" s="7">
        <f>IF($AB716="","",SUMIFS('Per Line'!$U$2:$U$4001,'Per Line'!$C$2:$C$4001,$B716,'Per Line'!$AL$2:$AL$4001,1,'Per Line'!$AM$2:$AM$4001,0))</f>
        <v/>
      </c>
      <c r="W716" s="7">
        <f>IF($AB716="","",V716*U716)</f>
        <v/>
      </c>
      <c r="X716" s="7">
        <f>IF($AB716="","",W716+T716)</f>
        <v/>
      </c>
      <c r="Y716" s="7">
        <f>IF($AB716="","",Z716-X716)</f>
        <v/>
      </c>
      <c r="Z716" s="7">
        <f>IF($AB716="","",S716+V716+Q716)</f>
        <v/>
      </c>
      <c r="AA716" s="7">
        <f>IF($AB716="","",Z716-X716-M716)</f>
        <v/>
      </c>
      <c r="AB716" s="13">
        <f>IF(ROWS($AB$2:$AB716)&lt;=MAX('Per Line'!$AK$2:$AK$4001),MATCH(ROWS($AB$2:$AB716),'Per Line'!$AK$2:$AK$4001,0),"")</f>
        <v/>
      </c>
      <c r="AC716" s="14">
        <f>IF($AB716="","",M716-L716*Z716/100)</f>
        <v/>
      </c>
    </row>
    <row r="717">
      <c r="A717" s="12" t="n"/>
      <c r="B717">
        <f>IF($AB717="","",INDEX('Per Line'!$C$2:$C$4001,$AB717)&amp;"")</f>
        <v/>
      </c>
      <c r="C717">
        <f>IF($AB717="","",INDEX('Per Line'!$D$2:$D$4001,$AB717)&amp;"")</f>
        <v/>
      </c>
      <c r="D717">
        <f>IF($AB717="","",INDEX('Per Line'!$B$2:$B$4001,$AB717)&amp;"")</f>
        <v/>
      </c>
      <c r="E717">
        <f>IF($AB717="","",INDEX('Per Line'!$A$2:$A$4001,$AB717))</f>
        <v/>
      </c>
      <c r="F717" s="11">
        <f>IF($AB717="","",INDEX('Per Line'!$E$2:$E$4001,$AB717))</f>
        <v/>
      </c>
      <c r="G717">
        <f>IF($AB717="","",INDEX('Per Line'!$F$2:$F$4001,$AB717)&amp;"")</f>
        <v/>
      </c>
      <c r="H717">
        <f>IF($AB717="","",INDEX('Per Line'!$H$2:$H$4001,$AB717)&amp;"")</f>
        <v/>
      </c>
      <c r="I717">
        <f>IF($AB717="","",INDEX('Per Line'!$I$2:$I$4001,$AB717)&amp;"")</f>
        <v/>
      </c>
      <c r="J717">
        <f>IF($AB717="","",INDEX('Per Line'!$J$2:$J$4001,$AB717)&amp;"")</f>
        <v/>
      </c>
      <c r="K717">
        <f>IF($AB717="","",INDEX('Per Line'!$K$2:$K$4001,$AB717)&amp;"")</f>
        <v/>
      </c>
      <c r="L717">
        <f>IF($AB717="","",INDEX('Per Line'!$L$2:$L$4001,$AB717))</f>
        <v/>
      </c>
      <c r="M717" s="7">
        <f>IF($AB717="","",IF(AND(ISNUMBER(O717),O717&gt;0,Z717&gt;O717),L717*O717/100+(Z717-O717),L717*Z717/100))</f>
        <v/>
      </c>
      <c r="N717">
        <f>IF($AB717="","",INDEX('Per Line'!$V$2:$V$4001,$AB717)&amp;"")</f>
        <v/>
      </c>
      <c r="O717">
        <f>IF($AB717="","",INDEX('Per Line'!$Z$2:$Z$4001,$AB717))</f>
        <v/>
      </c>
      <c r="P717">
        <f>IF($AB717="","",IF(AND(ISNUMBER(O717),O717&gt;0),Z717&gt;O717,FALSE))</f>
        <v/>
      </c>
      <c r="Q717" s="7">
        <f>IF($AB717="","",SUMIFS('Per Line'!$U$2:$U$4001,'Per Line'!$C$2:$C$4001,$B717,'Per Line'!$AM$2:$AM$4001,1))</f>
        <v/>
      </c>
      <c r="R717">
        <f>IF($AB717="","",Settings!$C$7)</f>
        <v/>
      </c>
      <c r="S717" s="7">
        <f>IF($AB717="","",SUMIFS('Per Line'!$U$2:$U$4001,'Per Line'!$C$2:$C$4001,$B717,'Per Line'!$AL$2:$AL$4001,0,'Per Line'!$AM$2:$AM$4001,0))</f>
        <v/>
      </c>
      <c r="T717" s="7">
        <f>IF($AB717="","",S717*R717)</f>
        <v/>
      </c>
      <c r="U717">
        <f>IF($AB717="","",Settings!$C$6)</f>
        <v/>
      </c>
      <c r="V717" s="7">
        <f>IF($AB717="","",SUMIFS('Per Line'!$U$2:$U$4001,'Per Line'!$C$2:$C$4001,$B717,'Per Line'!$AL$2:$AL$4001,1,'Per Line'!$AM$2:$AM$4001,0))</f>
        <v/>
      </c>
      <c r="W717" s="7">
        <f>IF($AB717="","",V717*U717)</f>
        <v/>
      </c>
      <c r="X717" s="7">
        <f>IF($AB717="","",W717+T717)</f>
        <v/>
      </c>
      <c r="Y717" s="7">
        <f>IF($AB717="","",Z717-X717)</f>
        <v/>
      </c>
      <c r="Z717" s="7">
        <f>IF($AB717="","",S717+V717+Q717)</f>
        <v/>
      </c>
      <c r="AA717" s="7">
        <f>IF($AB717="","",Z717-X717-M717)</f>
        <v/>
      </c>
      <c r="AB717" s="13">
        <f>IF(ROWS($AB$2:$AB717)&lt;=MAX('Per Line'!$AK$2:$AK$4001),MATCH(ROWS($AB$2:$AB717),'Per Line'!$AK$2:$AK$4001,0),"")</f>
        <v/>
      </c>
      <c r="AC717" s="14">
        <f>IF($AB717="","",M717-L717*Z717/100)</f>
        <v/>
      </c>
    </row>
    <row r="718">
      <c r="A718" s="12" t="n"/>
      <c r="B718">
        <f>IF($AB718="","",INDEX('Per Line'!$C$2:$C$4001,$AB718)&amp;"")</f>
        <v/>
      </c>
      <c r="C718">
        <f>IF($AB718="","",INDEX('Per Line'!$D$2:$D$4001,$AB718)&amp;"")</f>
        <v/>
      </c>
      <c r="D718">
        <f>IF($AB718="","",INDEX('Per Line'!$B$2:$B$4001,$AB718)&amp;"")</f>
        <v/>
      </c>
      <c r="E718">
        <f>IF($AB718="","",INDEX('Per Line'!$A$2:$A$4001,$AB718))</f>
        <v/>
      </c>
      <c r="F718" s="11">
        <f>IF($AB718="","",INDEX('Per Line'!$E$2:$E$4001,$AB718))</f>
        <v/>
      </c>
      <c r="G718">
        <f>IF($AB718="","",INDEX('Per Line'!$F$2:$F$4001,$AB718)&amp;"")</f>
        <v/>
      </c>
      <c r="H718">
        <f>IF($AB718="","",INDEX('Per Line'!$H$2:$H$4001,$AB718)&amp;"")</f>
        <v/>
      </c>
      <c r="I718">
        <f>IF($AB718="","",INDEX('Per Line'!$I$2:$I$4001,$AB718)&amp;"")</f>
        <v/>
      </c>
      <c r="J718">
        <f>IF($AB718="","",INDEX('Per Line'!$J$2:$J$4001,$AB718)&amp;"")</f>
        <v/>
      </c>
      <c r="K718">
        <f>IF($AB718="","",INDEX('Per Line'!$K$2:$K$4001,$AB718)&amp;"")</f>
        <v/>
      </c>
      <c r="L718">
        <f>IF($AB718="","",INDEX('Per Line'!$L$2:$L$4001,$AB718))</f>
        <v/>
      </c>
      <c r="M718" s="7">
        <f>IF($AB718="","",IF(AND(ISNUMBER(O718),O718&gt;0,Z718&gt;O718),L718*O718/100+(Z718-O718),L718*Z718/100))</f>
        <v/>
      </c>
      <c r="N718">
        <f>IF($AB718="","",INDEX('Per Line'!$V$2:$V$4001,$AB718)&amp;"")</f>
        <v/>
      </c>
      <c r="O718">
        <f>IF($AB718="","",INDEX('Per Line'!$Z$2:$Z$4001,$AB718))</f>
        <v/>
      </c>
      <c r="P718">
        <f>IF($AB718="","",IF(AND(ISNUMBER(O718),O718&gt;0),Z718&gt;O718,FALSE))</f>
        <v/>
      </c>
      <c r="Q718" s="7">
        <f>IF($AB718="","",SUMIFS('Per Line'!$U$2:$U$4001,'Per Line'!$C$2:$C$4001,$B718,'Per Line'!$AM$2:$AM$4001,1))</f>
        <v/>
      </c>
      <c r="R718">
        <f>IF($AB718="","",Settings!$C$7)</f>
        <v/>
      </c>
      <c r="S718" s="7">
        <f>IF($AB718="","",SUMIFS('Per Line'!$U$2:$U$4001,'Per Line'!$C$2:$C$4001,$B718,'Per Line'!$AL$2:$AL$4001,0,'Per Line'!$AM$2:$AM$4001,0))</f>
        <v/>
      </c>
      <c r="T718" s="7">
        <f>IF($AB718="","",S718*R718)</f>
        <v/>
      </c>
      <c r="U718">
        <f>IF($AB718="","",Settings!$C$6)</f>
        <v/>
      </c>
      <c r="V718" s="7">
        <f>IF($AB718="","",SUMIFS('Per Line'!$U$2:$U$4001,'Per Line'!$C$2:$C$4001,$B718,'Per Line'!$AL$2:$AL$4001,1,'Per Line'!$AM$2:$AM$4001,0))</f>
        <v/>
      </c>
      <c r="W718" s="7">
        <f>IF($AB718="","",V718*U718)</f>
        <v/>
      </c>
      <c r="X718" s="7">
        <f>IF($AB718="","",W718+T718)</f>
        <v/>
      </c>
      <c r="Y718" s="7">
        <f>IF($AB718="","",Z718-X718)</f>
        <v/>
      </c>
      <c r="Z718" s="7">
        <f>IF($AB718="","",S718+V718+Q718)</f>
        <v/>
      </c>
      <c r="AA718" s="7">
        <f>IF($AB718="","",Z718-X718-M718)</f>
        <v/>
      </c>
      <c r="AB718" s="13">
        <f>IF(ROWS($AB$2:$AB718)&lt;=MAX('Per Line'!$AK$2:$AK$4001),MATCH(ROWS($AB$2:$AB718),'Per Line'!$AK$2:$AK$4001,0),"")</f>
        <v/>
      </c>
      <c r="AC718" s="14">
        <f>IF($AB718="","",M718-L718*Z718/100)</f>
        <v/>
      </c>
    </row>
    <row r="719">
      <c r="A719" s="12" t="n"/>
      <c r="B719">
        <f>IF($AB719="","",INDEX('Per Line'!$C$2:$C$4001,$AB719)&amp;"")</f>
        <v/>
      </c>
      <c r="C719">
        <f>IF($AB719="","",INDEX('Per Line'!$D$2:$D$4001,$AB719)&amp;"")</f>
        <v/>
      </c>
      <c r="D719">
        <f>IF($AB719="","",INDEX('Per Line'!$B$2:$B$4001,$AB719)&amp;"")</f>
        <v/>
      </c>
      <c r="E719">
        <f>IF($AB719="","",INDEX('Per Line'!$A$2:$A$4001,$AB719))</f>
        <v/>
      </c>
      <c r="F719" s="11">
        <f>IF($AB719="","",INDEX('Per Line'!$E$2:$E$4001,$AB719))</f>
        <v/>
      </c>
      <c r="G719">
        <f>IF($AB719="","",INDEX('Per Line'!$F$2:$F$4001,$AB719)&amp;"")</f>
        <v/>
      </c>
      <c r="H719">
        <f>IF($AB719="","",INDEX('Per Line'!$H$2:$H$4001,$AB719)&amp;"")</f>
        <v/>
      </c>
      <c r="I719">
        <f>IF($AB719="","",INDEX('Per Line'!$I$2:$I$4001,$AB719)&amp;"")</f>
        <v/>
      </c>
      <c r="J719">
        <f>IF($AB719="","",INDEX('Per Line'!$J$2:$J$4001,$AB719)&amp;"")</f>
        <v/>
      </c>
      <c r="K719">
        <f>IF($AB719="","",INDEX('Per Line'!$K$2:$K$4001,$AB719)&amp;"")</f>
        <v/>
      </c>
      <c r="L719">
        <f>IF($AB719="","",INDEX('Per Line'!$L$2:$L$4001,$AB719))</f>
        <v/>
      </c>
      <c r="M719" s="7">
        <f>IF($AB719="","",IF(AND(ISNUMBER(O719),O719&gt;0,Z719&gt;O719),L719*O719/100+(Z719-O719),L719*Z719/100))</f>
        <v/>
      </c>
      <c r="N719">
        <f>IF($AB719="","",INDEX('Per Line'!$V$2:$V$4001,$AB719)&amp;"")</f>
        <v/>
      </c>
      <c r="O719">
        <f>IF($AB719="","",INDEX('Per Line'!$Z$2:$Z$4001,$AB719))</f>
        <v/>
      </c>
      <c r="P719">
        <f>IF($AB719="","",IF(AND(ISNUMBER(O719),O719&gt;0),Z719&gt;O719,FALSE))</f>
        <v/>
      </c>
      <c r="Q719" s="7">
        <f>IF($AB719="","",SUMIFS('Per Line'!$U$2:$U$4001,'Per Line'!$C$2:$C$4001,$B719,'Per Line'!$AM$2:$AM$4001,1))</f>
        <v/>
      </c>
      <c r="R719">
        <f>IF($AB719="","",Settings!$C$7)</f>
        <v/>
      </c>
      <c r="S719" s="7">
        <f>IF($AB719="","",SUMIFS('Per Line'!$U$2:$U$4001,'Per Line'!$C$2:$C$4001,$B719,'Per Line'!$AL$2:$AL$4001,0,'Per Line'!$AM$2:$AM$4001,0))</f>
        <v/>
      </c>
      <c r="T719" s="7">
        <f>IF($AB719="","",S719*R719)</f>
        <v/>
      </c>
      <c r="U719">
        <f>IF($AB719="","",Settings!$C$6)</f>
        <v/>
      </c>
      <c r="V719" s="7">
        <f>IF($AB719="","",SUMIFS('Per Line'!$U$2:$U$4001,'Per Line'!$C$2:$C$4001,$B719,'Per Line'!$AL$2:$AL$4001,1,'Per Line'!$AM$2:$AM$4001,0))</f>
        <v/>
      </c>
      <c r="W719" s="7">
        <f>IF($AB719="","",V719*U719)</f>
        <v/>
      </c>
      <c r="X719" s="7">
        <f>IF($AB719="","",W719+T719)</f>
        <v/>
      </c>
      <c r="Y719" s="7">
        <f>IF($AB719="","",Z719-X719)</f>
        <v/>
      </c>
      <c r="Z719" s="7">
        <f>IF($AB719="","",S719+V719+Q719)</f>
        <v/>
      </c>
      <c r="AA719" s="7">
        <f>IF($AB719="","",Z719-X719-M719)</f>
        <v/>
      </c>
      <c r="AB719" s="13">
        <f>IF(ROWS($AB$2:$AB719)&lt;=MAX('Per Line'!$AK$2:$AK$4001),MATCH(ROWS($AB$2:$AB719),'Per Line'!$AK$2:$AK$4001,0),"")</f>
        <v/>
      </c>
      <c r="AC719" s="14">
        <f>IF($AB719="","",M719-L719*Z719/100)</f>
        <v/>
      </c>
    </row>
    <row r="720">
      <c r="A720" s="12" t="n"/>
      <c r="B720">
        <f>IF($AB720="","",INDEX('Per Line'!$C$2:$C$4001,$AB720)&amp;"")</f>
        <v/>
      </c>
      <c r="C720">
        <f>IF($AB720="","",INDEX('Per Line'!$D$2:$D$4001,$AB720)&amp;"")</f>
        <v/>
      </c>
      <c r="D720">
        <f>IF($AB720="","",INDEX('Per Line'!$B$2:$B$4001,$AB720)&amp;"")</f>
        <v/>
      </c>
      <c r="E720">
        <f>IF($AB720="","",INDEX('Per Line'!$A$2:$A$4001,$AB720))</f>
        <v/>
      </c>
      <c r="F720" s="11">
        <f>IF($AB720="","",INDEX('Per Line'!$E$2:$E$4001,$AB720))</f>
        <v/>
      </c>
      <c r="G720">
        <f>IF($AB720="","",INDEX('Per Line'!$F$2:$F$4001,$AB720)&amp;"")</f>
        <v/>
      </c>
      <c r="H720">
        <f>IF($AB720="","",INDEX('Per Line'!$H$2:$H$4001,$AB720)&amp;"")</f>
        <v/>
      </c>
      <c r="I720">
        <f>IF($AB720="","",INDEX('Per Line'!$I$2:$I$4001,$AB720)&amp;"")</f>
        <v/>
      </c>
      <c r="J720">
        <f>IF($AB720="","",INDEX('Per Line'!$J$2:$J$4001,$AB720)&amp;"")</f>
        <v/>
      </c>
      <c r="K720">
        <f>IF($AB720="","",INDEX('Per Line'!$K$2:$K$4001,$AB720)&amp;"")</f>
        <v/>
      </c>
      <c r="L720">
        <f>IF($AB720="","",INDEX('Per Line'!$L$2:$L$4001,$AB720))</f>
        <v/>
      </c>
      <c r="M720" s="7">
        <f>IF($AB720="","",IF(AND(ISNUMBER(O720),O720&gt;0,Z720&gt;O720),L720*O720/100+(Z720-O720),L720*Z720/100))</f>
        <v/>
      </c>
      <c r="N720">
        <f>IF($AB720="","",INDEX('Per Line'!$V$2:$V$4001,$AB720)&amp;"")</f>
        <v/>
      </c>
      <c r="O720">
        <f>IF($AB720="","",INDEX('Per Line'!$Z$2:$Z$4001,$AB720))</f>
        <v/>
      </c>
      <c r="P720">
        <f>IF($AB720="","",IF(AND(ISNUMBER(O720),O720&gt;0),Z720&gt;O720,FALSE))</f>
        <v/>
      </c>
      <c r="Q720" s="7">
        <f>IF($AB720="","",SUMIFS('Per Line'!$U$2:$U$4001,'Per Line'!$C$2:$C$4001,$B720,'Per Line'!$AM$2:$AM$4001,1))</f>
        <v/>
      </c>
      <c r="R720">
        <f>IF($AB720="","",Settings!$C$7)</f>
        <v/>
      </c>
      <c r="S720" s="7">
        <f>IF($AB720="","",SUMIFS('Per Line'!$U$2:$U$4001,'Per Line'!$C$2:$C$4001,$B720,'Per Line'!$AL$2:$AL$4001,0,'Per Line'!$AM$2:$AM$4001,0))</f>
        <v/>
      </c>
      <c r="T720" s="7">
        <f>IF($AB720="","",S720*R720)</f>
        <v/>
      </c>
      <c r="U720">
        <f>IF($AB720="","",Settings!$C$6)</f>
        <v/>
      </c>
      <c r="V720" s="7">
        <f>IF($AB720="","",SUMIFS('Per Line'!$U$2:$U$4001,'Per Line'!$C$2:$C$4001,$B720,'Per Line'!$AL$2:$AL$4001,1,'Per Line'!$AM$2:$AM$4001,0))</f>
        <v/>
      </c>
      <c r="W720" s="7">
        <f>IF($AB720="","",V720*U720)</f>
        <v/>
      </c>
      <c r="X720" s="7">
        <f>IF($AB720="","",W720+T720)</f>
        <v/>
      </c>
      <c r="Y720" s="7">
        <f>IF($AB720="","",Z720-X720)</f>
        <v/>
      </c>
      <c r="Z720" s="7">
        <f>IF($AB720="","",S720+V720+Q720)</f>
        <v/>
      </c>
      <c r="AA720" s="7">
        <f>IF($AB720="","",Z720-X720-M720)</f>
        <v/>
      </c>
      <c r="AB720" s="13">
        <f>IF(ROWS($AB$2:$AB720)&lt;=MAX('Per Line'!$AK$2:$AK$4001),MATCH(ROWS($AB$2:$AB720),'Per Line'!$AK$2:$AK$4001,0),"")</f>
        <v/>
      </c>
      <c r="AC720" s="14">
        <f>IF($AB720="","",M720-L720*Z720/100)</f>
        <v/>
      </c>
    </row>
    <row r="721">
      <c r="A721" s="12" t="n"/>
      <c r="B721">
        <f>IF($AB721="","",INDEX('Per Line'!$C$2:$C$4001,$AB721)&amp;"")</f>
        <v/>
      </c>
      <c r="C721">
        <f>IF($AB721="","",INDEX('Per Line'!$D$2:$D$4001,$AB721)&amp;"")</f>
        <v/>
      </c>
      <c r="D721">
        <f>IF($AB721="","",INDEX('Per Line'!$B$2:$B$4001,$AB721)&amp;"")</f>
        <v/>
      </c>
      <c r="E721">
        <f>IF($AB721="","",INDEX('Per Line'!$A$2:$A$4001,$AB721))</f>
        <v/>
      </c>
      <c r="F721" s="11">
        <f>IF($AB721="","",INDEX('Per Line'!$E$2:$E$4001,$AB721))</f>
        <v/>
      </c>
      <c r="G721">
        <f>IF($AB721="","",INDEX('Per Line'!$F$2:$F$4001,$AB721)&amp;"")</f>
        <v/>
      </c>
      <c r="H721">
        <f>IF($AB721="","",INDEX('Per Line'!$H$2:$H$4001,$AB721)&amp;"")</f>
        <v/>
      </c>
      <c r="I721">
        <f>IF($AB721="","",INDEX('Per Line'!$I$2:$I$4001,$AB721)&amp;"")</f>
        <v/>
      </c>
      <c r="J721">
        <f>IF($AB721="","",INDEX('Per Line'!$J$2:$J$4001,$AB721)&amp;"")</f>
        <v/>
      </c>
      <c r="K721">
        <f>IF($AB721="","",INDEX('Per Line'!$K$2:$K$4001,$AB721)&amp;"")</f>
        <v/>
      </c>
      <c r="L721">
        <f>IF($AB721="","",INDEX('Per Line'!$L$2:$L$4001,$AB721))</f>
        <v/>
      </c>
      <c r="M721" s="7">
        <f>IF($AB721="","",IF(AND(ISNUMBER(O721),O721&gt;0,Z721&gt;O721),L721*O721/100+(Z721-O721),L721*Z721/100))</f>
        <v/>
      </c>
      <c r="N721">
        <f>IF($AB721="","",INDEX('Per Line'!$V$2:$V$4001,$AB721)&amp;"")</f>
        <v/>
      </c>
      <c r="O721">
        <f>IF($AB721="","",INDEX('Per Line'!$Z$2:$Z$4001,$AB721))</f>
        <v/>
      </c>
      <c r="P721">
        <f>IF($AB721="","",IF(AND(ISNUMBER(O721),O721&gt;0),Z721&gt;O721,FALSE))</f>
        <v/>
      </c>
      <c r="Q721" s="7">
        <f>IF($AB721="","",SUMIFS('Per Line'!$U$2:$U$4001,'Per Line'!$C$2:$C$4001,$B721,'Per Line'!$AM$2:$AM$4001,1))</f>
        <v/>
      </c>
      <c r="R721">
        <f>IF($AB721="","",Settings!$C$7)</f>
        <v/>
      </c>
      <c r="S721" s="7">
        <f>IF($AB721="","",SUMIFS('Per Line'!$U$2:$U$4001,'Per Line'!$C$2:$C$4001,$B721,'Per Line'!$AL$2:$AL$4001,0,'Per Line'!$AM$2:$AM$4001,0))</f>
        <v/>
      </c>
      <c r="T721" s="7">
        <f>IF($AB721="","",S721*R721)</f>
        <v/>
      </c>
      <c r="U721">
        <f>IF($AB721="","",Settings!$C$6)</f>
        <v/>
      </c>
      <c r="V721" s="7">
        <f>IF($AB721="","",SUMIFS('Per Line'!$U$2:$U$4001,'Per Line'!$C$2:$C$4001,$B721,'Per Line'!$AL$2:$AL$4001,1,'Per Line'!$AM$2:$AM$4001,0))</f>
        <v/>
      </c>
      <c r="W721" s="7">
        <f>IF($AB721="","",V721*U721)</f>
        <v/>
      </c>
      <c r="X721" s="7">
        <f>IF($AB721="","",W721+T721)</f>
        <v/>
      </c>
      <c r="Y721" s="7">
        <f>IF($AB721="","",Z721-X721)</f>
        <v/>
      </c>
      <c r="Z721" s="7">
        <f>IF($AB721="","",S721+V721+Q721)</f>
        <v/>
      </c>
      <c r="AA721" s="7">
        <f>IF($AB721="","",Z721-X721-M721)</f>
        <v/>
      </c>
      <c r="AB721" s="13">
        <f>IF(ROWS($AB$2:$AB721)&lt;=MAX('Per Line'!$AK$2:$AK$4001),MATCH(ROWS($AB$2:$AB721),'Per Line'!$AK$2:$AK$4001,0),"")</f>
        <v/>
      </c>
      <c r="AC721" s="14">
        <f>IF($AB721="","",M721-L721*Z721/100)</f>
        <v/>
      </c>
    </row>
    <row r="722">
      <c r="A722" s="12" t="n"/>
      <c r="B722">
        <f>IF($AB722="","",INDEX('Per Line'!$C$2:$C$4001,$AB722)&amp;"")</f>
        <v/>
      </c>
      <c r="C722">
        <f>IF($AB722="","",INDEX('Per Line'!$D$2:$D$4001,$AB722)&amp;"")</f>
        <v/>
      </c>
      <c r="D722">
        <f>IF($AB722="","",INDEX('Per Line'!$B$2:$B$4001,$AB722)&amp;"")</f>
        <v/>
      </c>
      <c r="E722">
        <f>IF($AB722="","",INDEX('Per Line'!$A$2:$A$4001,$AB722))</f>
        <v/>
      </c>
      <c r="F722" s="11">
        <f>IF($AB722="","",INDEX('Per Line'!$E$2:$E$4001,$AB722))</f>
        <v/>
      </c>
      <c r="G722">
        <f>IF($AB722="","",INDEX('Per Line'!$F$2:$F$4001,$AB722)&amp;"")</f>
        <v/>
      </c>
      <c r="H722">
        <f>IF($AB722="","",INDEX('Per Line'!$H$2:$H$4001,$AB722)&amp;"")</f>
        <v/>
      </c>
      <c r="I722">
        <f>IF($AB722="","",INDEX('Per Line'!$I$2:$I$4001,$AB722)&amp;"")</f>
        <v/>
      </c>
      <c r="J722">
        <f>IF($AB722="","",INDEX('Per Line'!$J$2:$J$4001,$AB722)&amp;"")</f>
        <v/>
      </c>
      <c r="K722">
        <f>IF($AB722="","",INDEX('Per Line'!$K$2:$K$4001,$AB722)&amp;"")</f>
        <v/>
      </c>
      <c r="L722">
        <f>IF($AB722="","",INDEX('Per Line'!$L$2:$L$4001,$AB722))</f>
        <v/>
      </c>
      <c r="M722" s="7">
        <f>IF($AB722="","",IF(AND(ISNUMBER(O722),O722&gt;0,Z722&gt;O722),L722*O722/100+(Z722-O722),L722*Z722/100))</f>
        <v/>
      </c>
      <c r="N722">
        <f>IF($AB722="","",INDEX('Per Line'!$V$2:$V$4001,$AB722)&amp;"")</f>
        <v/>
      </c>
      <c r="O722">
        <f>IF($AB722="","",INDEX('Per Line'!$Z$2:$Z$4001,$AB722))</f>
        <v/>
      </c>
      <c r="P722">
        <f>IF($AB722="","",IF(AND(ISNUMBER(O722),O722&gt;0),Z722&gt;O722,FALSE))</f>
        <v/>
      </c>
      <c r="Q722" s="7">
        <f>IF($AB722="","",SUMIFS('Per Line'!$U$2:$U$4001,'Per Line'!$C$2:$C$4001,$B722,'Per Line'!$AM$2:$AM$4001,1))</f>
        <v/>
      </c>
      <c r="R722">
        <f>IF($AB722="","",Settings!$C$7)</f>
        <v/>
      </c>
      <c r="S722" s="7">
        <f>IF($AB722="","",SUMIFS('Per Line'!$U$2:$U$4001,'Per Line'!$C$2:$C$4001,$B722,'Per Line'!$AL$2:$AL$4001,0,'Per Line'!$AM$2:$AM$4001,0))</f>
        <v/>
      </c>
      <c r="T722" s="7">
        <f>IF($AB722="","",S722*R722)</f>
        <v/>
      </c>
      <c r="U722">
        <f>IF($AB722="","",Settings!$C$6)</f>
        <v/>
      </c>
      <c r="V722" s="7">
        <f>IF($AB722="","",SUMIFS('Per Line'!$U$2:$U$4001,'Per Line'!$C$2:$C$4001,$B722,'Per Line'!$AL$2:$AL$4001,1,'Per Line'!$AM$2:$AM$4001,0))</f>
        <v/>
      </c>
      <c r="W722" s="7">
        <f>IF($AB722="","",V722*U722)</f>
        <v/>
      </c>
      <c r="X722" s="7">
        <f>IF($AB722="","",W722+T722)</f>
        <v/>
      </c>
      <c r="Y722" s="7">
        <f>IF($AB722="","",Z722-X722)</f>
        <v/>
      </c>
      <c r="Z722" s="7">
        <f>IF($AB722="","",S722+V722+Q722)</f>
        <v/>
      </c>
      <c r="AA722" s="7">
        <f>IF($AB722="","",Z722-X722-M722)</f>
        <v/>
      </c>
      <c r="AB722" s="13">
        <f>IF(ROWS($AB$2:$AB722)&lt;=MAX('Per Line'!$AK$2:$AK$4001),MATCH(ROWS($AB$2:$AB722),'Per Line'!$AK$2:$AK$4001,0),"")</f>
        <v/>
      </c>
      <c r="AC722" s="14">
        <f>IF($AB722="","",M722-L722*Z722/100)</f>
        <v/>
      </c>
    </row>
    <row r="723">
      <c r="A723" s="12" t="n"/>
      <c r="B723">
        <f>IF($AB723="","",INDEX('Per Line'!$C$2:$C$4001,$AB723)&amp;"")</f>
        <v/>
      </c>
      <c r="C723">
        <f>IF($AB723="","",INDEX('Per Line'!$D$2:$D$4001,$AB723)&amp;"")</f>
        <v/>
      </c>
      <c r="D723">
        <f>IF($AB723="","",INDEX('Per Line'!$B$2:$B$4001,$AB723)&amp;"")</f>
        <v/>
      </c>
      <c r="E723">
        <f>IF($AB723="","",INDEX('Per Line'!$A$2:$A$4001,$AB723))</f>
        <v/>
      </c>
      <c r="F723" s="11">
        <f>IF($AB723="","",INDEX('Per Line'!$E$2:$E$4001,$AB723))</f>
        <v/>
      </c>
      <c r="G723">
        <f>IF($AB723="","",INDEX('Per Line'!$F$2:$F$4001,$AB723)&amp;"")</f>
        <v/>
      </c>
      <c r="H723">
        <f>IF($AB723="","",INDEX('Per Line'!$H$2:$H$4001,$AB723)&amp;"")</f>
        <v/>
      </c>
      <c r="I723">
        <f>IF($AB723="","",INDEX('Per Line'!$I$2:$I$4001,$AB723)&amp;"")</f>
        <v/>
      </c>
      <c r="J723">
        <f>IF($AB723="","",INDEX('Per Line'!$J$2:$J$4001,$AB723)&amp;"")</f>
        <v/>
      </c>
      <c r="K723">
        <f>IF($AB723="","",INDEX('Per Line'!$K$2:$K$4001,$AB723)&amp;"")</f>
        <v/>
      </c>
      <c r="L723">
        <f>IF($AB723="","",INDEX('Per Line'!$L$2:$L$4001,$AB723))</f>
        <v/>
      </c>
      <c r="M723" s="7">
        <f>IF($AB723="","",IF(AND(ISNUMBER(O723),O723&gt;0,Z723&gt;O723),L723*O723/100+(Z723-O723),L723*Z723/100))</f>
        <v/>
      </c>
      <c r="N723">
        <f>IF($AB723="","",INDEX('Per Line'!$V$2:$V$4001,$AB723)&amp;"")</f>
        <v/>
      </c>
      <c r="O723">
        <f>IF($AB723="","",INDEX('Per Line'!$Z$2:$Z$4001,$AB723))</f>
        <v/>
      </c>
      <c r="P723">
        <f>IF($AB723="","",IF(AND(ISNUMBER(O723),O723&gt;0),Z723&gt;O723,FALSE))</f>
        <v/>
      </c>
      <c r="Q723" s="7">
        <f>IF($AB723="","",SUMIFS('Per Line'!$U$2:$U$4001,'Per Line'!$C$2:$C$4001,$B723,'Per Line'!$AM$2:$AM$4001,1))</f>
        <v/>
      </c>
      <c r="R723">
        <f>IF($AB723="","",Settings!$C$7)</f>
        <v/>
      </c>
      <c r="S723" s="7">
        <f>IF($AB723="","",SUMIFS('Per Line'!$U$2:$U$4001,'Per Line'!$C$2:$C$4001,$B723,'Per Line'!$AL$2:$AL$4001,0,'Per Line'!$AM$2:$AM$4001,0))</f>
        <v/>
      </c>
      <c r="T723" s="7">
        <f>IF($AB723="","",S723*R723)</f>
        <v/>
      </c>
      <c r="U723">
        <f>IF($AB723="","",Settings!$C$6)</f>
        <v/>
      </c>
      <c r="V723" s="7">
        <f>IF($AB723="","",SUMIFS('Per Line'!$U$2:$U$4001,'Per Line'!$C$2:$C$4001,$B723,'Per Line'!$AL$2:$AL$4001,1,'Per Line'!$AM$2:$AM$4001,0))</f>
        <v/>
      </c>
      <c r="W723" s="7">
        <f>IF($AB723="","",V723*U723)</f>
        <v/>
      </c>
      <c r="X723" s="7">
        <f>IF($AB723="","",W723+T723)</f>
        <v/>
      </c>
      <c r="Y723" s="7">
        <f>IF($AB723="","",Z723-X723)</f>
        <v/>
      </c>
      <c r="Z723" s="7">
        <f>IF($AB723="","",S723+V723+Q723)</f>
        <v/>
      </c>
      <c r="AA723" s="7">
        <f>IF($AB723="","",Z723-X723-M723)</f>
        <v/>
      </c>
      <c r="AB723" s="13">
        <f>IF(ROWS($AB$2:$AB723)&lt;=MAX('Per Line'!$AK$2:$AK$4001),MATCH(ROWS($AB$2:$AB723),'Per Line'!$AK$2:$AK$4001,0),"")</f>
        <v/>
      </c>
      <c r="AC723" s="14">
        <f>IF($AB723="","",M723-L723*Z723/100)</f>
        <v/>
      </c>
    </row>
    <row r="724">
      <c r="A724" s="12" t="n"/>
      <c r="B724">
        <f>IF($AB724="","",INDEX('Per Line'!$C$2:$C$4001,$AB724)&amp;"")</f>
        <v/>
      </c>
      <c r="C724">
        <f>IF($AB724="","",INDEX('Per Line'!$D$2:$D$4001,$AB724)&amp;"")</f>
        <v/>
      </c>
      <c r="D724">
        <f>IF($AB724="","",INDEX('Per Line'!$B$2:$B$4001,$AB724)&amp;"")</f>
        <v/>
      </c>
      <c r="E724">
        <f>IF($AB724="","",INDEX('Per Line'!$A$2:$A$4001,$AB724))</f>
        <v/>
      </c>
      <c r="F724" s="11">
        <f>IF($AB724="","",INDEX('Per Line'!$E$2:$E$4001,$AB724))</f>
        <v/>
      </c>
      <c r="G724">
        <f>IF($AB724="","",INDEX('Per Line'!$F$2:$F$4001,$AB724)&amp;"")</f>
        <v/>
      </c>
      <c r="H724">
        <f>IF($AB724="","",INDEX('Per Line'!$H$2:$H$4001,$AB724)&amp;"")</f>
        <v/>
      </c>
      <c r="I724">
        <f>IF($AB724="","",INDEX('Per Line'!$I$2:$I$4001,$AB724)&amp;"")</f>
        <v/>
      </c>
      <c r="J724">
        <f>IF($AB724="","",INDEX('Per Line'!$J$2:$J$4001,$AB724)&amp;"")</f>
        <v/>
      </c>
      <c r="K724">
        <f>IF($AB724="","",INDEX('Per Line'!$K$2:$K$4001,$AB724)&amp;"")</f>
        <v/>
      </c>
      <c r="L724">
        <f>IF($AB724="","",INDEX('Per Line'!$L$2:$L$4001,$AB724))</f>
        <v/>
      </c>
      <c r="M724" s="7">
        <f>IF($AB724="","",IF(AND(ISNUMBER(O724),O724&gt;0,Z724&gt;O724),L724*O724/100+(Z724-O724),L724*Z724/100))</f>
        <v/>
      </c>
      <c r="N724">
        <f>IF($AB724="","",INDEX('Per Line'!$V$2:$V$4001,$AB724)&amp;"")</f>
        <v/>
      </c>
      <c r="O724">
        <f>IF($AB724="","",INDEX('Per Line'!$Z$2:$Z$4001,$AB724))</f>
        <v/>
      </c>
      <c r="P724">
        <f>IF($AB724="","",IF(AND(ISNUMBER(O724),O724&gt;0),Z724&gt;O724,FALSE))</f>
        <v/>
      </c>
      <c r="Q724" s="7">
        <f>IF($AB724="","",SUMIFS('Per Line'!$U$2:$U$4001,'Per Line'!$C$2:$C$4001,$B724,'Per Line'!$AM$2:$AM$4001,1))</f>
        <v/>
      </c>
      <c r="R724">
        <f>IF($AB724="","",Settings!$C$7)</f>
        <v/>
      </c>
      <c r="S724" s="7">
        <f>IF($AB724="","",SUMIFS('Per Line'!$U$2:$U$4001,'Per Line'!$C$2:$C$4001,$B724,'Per Line'!$AL$2:$AL$4001,0,'Per Line'!$AM$2:$AM$4001,0))</f>
        <v/>
      </c>
      <c r="T724" s="7">
        <f>IF($AB724="","",S724*R724)</f>
        <v/>
      </c>
      <c r="U724">
        <f>IF($AB724="","",Settings!$C$6)</f>
        <v/>
      </c>
      <c r="V724" s="7">
        <f>IF($AB724="","",SUMIFS('Per Line'!$U$2:$U$4001,'Per Line'!$C$2:$C$4001,$B724,'Per Line'!$AL$2:$AL$4001,1,'Per Line'!$AM$2:$AM$4001,0))</f>
        <v/>
      </c>
      <c r="W724" s="7">
        <f>IF($AB724="","",V724*U724)</f>
        <v/>
      </c>
      <c r="X724" s="7">
        <f>IF($AB724="","",W724+T724)</f>
        <v/>
      </c>
      <c r="Y724" s="7">
        <f>IF($AB724="","",Z724-X724)</f>
        <v/>
      </c>
      <c r="Z724" s="7">
        <f>IF($AB724="","",S724+V724+Q724)</f>
        <v/>
      </c>
      <c r="AA724" s="7">
        <f>IF($AB724="","",Z724-X724-M724)</f>
        <v/>
      </c>
      <c r="AB724" s="13">
        <f>IF(ROWS($AB$2:$AB724)&lt;=MAX('Per Line'!$AK$2:$AK$4001),MATCH(ROWS($AB$2:$AB724),'Per Line'!$AK$2:$AK$4001,0),"")</f>
        <v/>
      </c>
      <c r="AC724" s="14">
        <f>IF($AB724="","",M724-L724*Z724/100)</f>
        <v/>
      </c>
    </row>
    <row r="725">
      <c r="A725" s="12" t="n"/>
      <c r="B725">
        <f>IF($AB725="","",INDEX('Per Line'!$C$2:$C$4001,$AB725)&amp;"")</f>
        <v/>
      </c>
      <c r="C725">
        <f>IF($AB725="","",INDEX('Per Line'!$D$2:$D$4001,$AB725)&amp;"")</f>
        <v/>
      </c>
      <c r="D725">
        <f>IF($AB725="","",INDEX('Per Line'!$B$2:$B$4001,$AB725)&amp;"")</f>
        <v/>
      </c>
      <c r="E725">
        <f>IF($AB725="","",INDEX('Per Line'!$A$2:$A$4001,$AB725))</f>
        <v/>
      </c>
      <c r="F725" s="11">
        <f>IF($AB725="","",INDEX('Per Line'!$E$2:$E$4001,$AB725))</f>
        <v/>
      </c>
      <c r="G725">
        <f>IF($AB725="","",INDEX('Per Line'!$F$2:$F$4001,$AB725)&amp;"")</f>
        <v/>
      </c>
      <c r="H725">
        <f>IF($AB725="","",INDEX('Per Line'!$H$2:$H$4001,$AB725)&amp;"")</f>
        <v/>
      </c>
      <c r="I725">
        <f>IF($AB725="","",INDEX('Per Line'!$I$2:$I$4001,$AB725)&amp;"")</f>
        <v/>
      </c>
      <c r="J725">
        <f>IF($AB725="","",INDEX('Per Line'!$J$2:$J$4001,$AB725)&amp;"")</f>
        <v/>
      </c>
      <c r="K725">
        <f>IF($AB725="","",INDEX('Per Line'!$K$2:$K$4001,$AB725)&amp;"")</f>
        <v/>
      </c>
      <c r="L725">
        <f>IF($AB725="","",INDEX('Per Line'!$L$2:$L$4001,$AB725))</f>
        <v/>
      </c>
      <c r="M725" s="7">
        <f>IF($AB725="","",IF(AND(ISNUMBER(O725),O725&gt;0,Z725&gt;O725),L725*O725/100+(Z725-O725),L725*Z725/100))</f>
        <v/>
      </c>
      <c r="N725">
        <f>IF($AB725="","",INDEX('Per Line'!$V$2:$V$4001,$AB725)&amp;"")</f>
        <v/>
      </c>
      <c r="O725">
        <f>IF($AB725="","",INDEX('Per Line'!$Z$2:$Z$4001,$AB725))</f>
        <v/>
      </c>
      <c r="P725">
        <f>IF($AB725="","",IF(AND(ISNUMBER(O725),O725&gt;0),Z725&gt;O725,FALSE))</f>
        <v/>
      </c>
      <c r="Q725" s="7">
        <f>IF($AB725="","",SUMIFS('Per Line'!$U$2:$U$4001,'Per Line'!$C$2:$C$4001,$B725,'Per Line'!$AM$2:$AM$4001,1))</f>
        <v/>
      </c>
      <c r="R725">
        <f>IF($AB725="","",Settings!$C$7)</f>
        <v/>
      </c>
      <c r="S725" s="7">
        <f>IF($AB725="","",SUMIFS('Per Line'!$U$2:$U$4001,'Per Line'!$C$2:$C$4001,$B725,'Per Line'!$AL$2:$AL$4001,0,'Per Line'!$AM$2:$AM$4001,0))</f>
        <v/>
      </c>
      <c r="T725" s="7">
        <f>IF($AB725="","",S725*R725)</f>
        <v/>
      </c>
      <c r="U725">
        <f>IF($AB725="","",Settings!$C$6)</f>
        <v/>
      </c>
      <c r="V725" s="7">
        <f>IF($AB725="","",SUMIFS('Per Line'!$U$2:$U$4001,'Per Line'!$C$2:$C$4001,$B725,'Per Line'!$AL$2:$AL$4001,1,'Per Line'!$AM$2:$AM$4001,0))</f>
        <v/>
      </c>
      <c r="W725" s="7">
        <f>IF($AB725="","",V725*U725)</f>
        <v/>
      </c>
      <c r="X725" s="7">
        <f>IF($AB725="","",W725+T725)</f>
        <v/>
      </c>
      <c r="Y725" s="7">
        <f>IF($AB725="","",Z725-X725)</f>
        <v/>
      </c>
      <c r="Z725" s="7">
        <f>IF($AB725="","",S725+V725+Q725)</f>
        <v/>
      </c>
      <c r="AA725" s="7">
        <f>IF($AB725="","",Z725-X725-M725)</f>
        <v/>
      </c>
      <c r="AB725" s="13">
        <f>IF(ROWS($AB$2:$AB725)&lt;=MAX('Per Line'!$AK$2:$AK$4001),MATCH(ROWS($AB$2:$AB725),'Per Line'!$AK$2:$AK$4001,0),"")</f>
        <v/>
      </c>
      <c r="AC725" s="14">
        <f>IF($AB725="","",M725-L725*Z725/100)</f>
        <v/>
      </c>
    </row>
    <row r="726">
      <c r="A726" s="12" t="n"/>
      <c r="B726">
        <f>IF($AB726="","",INDEX('Per Line'!$C$2:$C$4001,$AB726)&amp;"")</f>
        <v/>
      </c>
      <c r="C726">
        <f>IF($AB726="","",INDEX('Per Line'!$D$2:$D$4001,$AB726)&amp;"")</f>
        <v/>
      </c>
      <c r="D726">
        <f>IF($AB726="","",INDEX('Per Line'!$B$2:$B$4001,$AB726)&amp;"")</f>
        <v/>
      </c>
      <c r="E726">
        <f>IF($AB726="","",INDEX('Per Line'!$A$2:$A$4001,$AB726))</f>
        <v/>
      </c>
      <c r="F726" s="11">
        <f>IF($AB726="","",INDEX('Per Line'!$E$2:$E$4001,$AB726))</f>
        <v/>
      </c>
      <c r="G726">
        <f>IF($AB726="","",INDEX('Per Line'!$F$2:$F$4001,$AB726)&amp;"")</f>
        <v/>
      </c>
      <c r="H726">
        <f>IF($AB726="","",INDEX('Per Line'!$H$2:$H$4001,$AB726)&amp;"")</f>
        <v/>
      </c>
      <c r="I726">
        <f>IF($AB726="","",INDEX('Per Line'!$I$2:$I$4001,$AB726)&amp;"")</f>
        <v/>
      </c>
      <c r="J726">
        <f>IF($AB726="","",INDEX('Per Line'!$J$2:$J$4001,$AB726)&amp;"")</f>
        <v/>
      </c>
      <c r="K726">
        <f>IF($AB726="","",INDEX('Per Line'!$K$2:$K$4001,$AB726)&amp;"")</f>
        <v/>
      </c>
      <c r="L726">
        <f>IF($AB726="","",INDEX('Per Line'!$L$2:$L$4001,$AB726))</f>
        <v/>
      </c>
      <c r="M726" s="7">
        <f>IF($AB726="","",IF(AND(ISNUMBER(O726),O726&gt;0,Z726&gt;O726),L726*O726/100+(Z726-O726),L726*Z726/100))</f>
        <v/>
      </c>
      <c r="N726">
        <f>IF($AB726="","",INDEX('Per Line'!$V$2:$V$4001,$AB726)&amp;"")</f>
        <v/>
      </c>
      <c r="O726">
        <f>IF($AB726="","",INDEX('Per Line'!$Z$2:$Z$4001,$AB726))</f>
        <v/>
      </c>
      <c r="P726">
        <f>IF($AB726="","",IF(AND(ISNUMBER(O726),O726&gt;0),Z726&gt;O726,FALSE))</f>
        <v/>
      </c>
      <c r="Q726" s="7">
        <f>IF($AB726="","",SUMIFS('Per Line'!$U$2:$U$4001,'Per Line'!$C$2:$C$4001,$B726,'Per Line'!$AM$2:$AM$4001,1))</f>
        <v/>
      </c>
      <c r="R726">
        <f>IF($AB726="","",Settings!$C$7)</f>
        <v/>
      </c>
      <c r="S726" s="7">
        <f>IF($AB726="","",SUMIFS('Per Line'!$U$2:$U$4001,'Per Line'!$C$2:$C$4001,$B726,'Per Line'!$AL$2:$AL$4001,0,'Per Line'!$AM$2:$AM$4001,0))</f>
        <v/>
      </c>
      <c r="T726" s="7">
        <f>IF($AB726="","",S726*R726)</f>
        <v/>
      </c>
      <c r="U726">
        <f>IF($AB726="","",Settings!$C$6)</f>
        <v/>
      </c>
      <c r="V726" s="7">
        <f>IF($AB726="","",SUMIFS('Per Line'!$U$2:$U$4001,'Per Line'!$C$2:$C$4001,$B726,'Per Line'!$AL$2:$AL$4001,1,'Per Line'!$AM$2:$AM$4001,0))</f>
        <v/>
      </c>
      <c r="W726" s="7">
        <f>IF($AB726="","",V726*U726)</f>
        <v/>
      </c>
      <c r="X726" s="7">
        <f>IF($AB726="","",W726+T726)</f>
        <v/>
      </c>
      <c r="Y726" s="7">
        <f>IF($AB726="","",Z726-X726)</f>
        <v/>
      </c>
      <c r="Z726" s="7">
        <f>IF($AB726="","",S726+V726+Q726)</f>
        <v/>
      </c>
      <c r="AA726" s="7">
        <f>IF($AB726="","",Z726-X726-M726)</f>
        <v/>
      </c>
      <c r="AB726" s="13">
        <f>IF(ROWS($AB$2:$AB726)&lt;=MAX('Per Line'!$AK$2:$AK$4001),MATCH(ROWS($AB$2:$AB726),'Per Line'!$AK$2:$AK$4001,0),"")</f>
        <v/>
      </c>
      <c r="AC726" s="14">
        <f>IF($AB726="","",M726-L726*Z726/100)</f>
        <v/>
      </c>
    </row>
    <row r="727">
      <c r="A727" s="12" t="n"/>
      <c r="B727">
        <f>IF($AB727="","",INDEX('Per Line'!$C$2:$C$4001,$AB727)&amp;"")</f>
        <v/>
      </c>
      <c r="C727">
        <f>IF($AB727="","",INDEX('Per Line'!$D$2:$D$4001,$AB727)&amp;"")</f>
        <v/>
      </c>
      <c r="D727">
        <f>IF($AB727="","",INDEX('Per Line'!$B$2:$B$4001,$AB727)&amp;"")</f>
        <v/>
      </c>
      <c r="E727">
        <f>IF($AB727="","",INDEX('Per Line'!$A$2:$A$4001,$AB727))</f>
        <v/>
      </c>
      <c r="F727" s="11">
        <f>IF($AB727="","",INDEX('Per Line'!$E$2:$E$4001,$AB727))</f>
        <v/>
      </c>
      <c r="G727">
        <f>IF($AB727="","",INDEX('Per Line'!$F$2:$F$4001,$AB727)&amp;"")</f>
        <v/>
      </c>
      <c r="H727">
        <f>IF($AB727="","",INDEX('Per Line'!$H$2:$H$4001,$AB727)&amp;"")</f>
        <v/>
      </c>
      <c r="I727">
        <f>IF($AB727="","",INDEX('Per Line'!$I$2:$I$4001,$AB727)&amp;"")</f>
        <v/>
      </c>
      <c r="J727">
        <f>IF($AB727="","",INDEX('Per Line'!$J$2:$J$4001,$AB727)&amp;"")</f>
        <v/>
      </c>
      <c r="K727">
        <f>IF($AB727="","",INDEX('Per Line'!$K$2:$K$4001,$AB727)&amp;"")</f>
        <v/>
      </c>
      <c r="L727">
        <f>IF($AB727="","",INDEX('Per Line'!$L$2:$L$4001,$AB727))</f>
        <v/>
      </c>
      <c r="M727" s="7">
        <f>IF($AB727="","",IF(AND(ISNUMBER(O727),O727&gt;0,Z727&gt;O727),L727*O727/100+(Z727-O727),L727*Z727/100))</f>
        <v/>
      </c>
      <c r="N727">
        <f>IF($AB727="","",INDEX('Per Line'!$V$2:$V$4001,$AB727)&amp;"")</f>
        <v/>
      </c>
      <c r="O727">
        <f>IF($AB727="","",INDEX('Per Line'!$Z$2:$Z$4001,$AB727))</f>
        <v/>
      </c>
      <c r="P727">
        <f>IF($AB727="","",IF(AND(ISNUMBER(O727),O727&gt;0),Z727&gt;O727,FALSE))</f>
        <v/>
      </c>
      <c r="Q727" s="7">
        <f>IF($AB727="","",SUMIFS('Per Line'!$U$2:$U$4001,'Per Line'!$C$2:$C$4001,$B727,'Per Line'!$AM$2:$AM$4001,1))</f>
        <v/>
      </c>
      <c r="R727">
        <f>IF($AB727="","",Settings!$C$7)</f>
        <v/>
      </c>
      <c r="S727" s="7">
        <f>IF($AB727="","",SUMIFS('Per Line'!$U$2:$U$4001,'Per Line'!$C$2:$C$4001,$B727,'Per Line'!$AL$2:$AL$4001,0,'Per Line'!$AM$2:$AM$4001,0))</f>
        <v/>
      </c>
      <c r="T727" s="7">
        <f>IF($AB727="","",S727*R727)</f>
        <v/>
      </c>
      <c r="U727">
        <f>IF($AB727="","",Settings!$C$6)</f>
        <v/>
      </c>
      <c r="V727" s="7">
        <f>IF($AB727="","",SUMIFS('Per Line'!$U$2:$U$4001,'Per Line'!$C$2:$C$4001,$B727,'Per Line'!$AL$2:$AL$4001,1,'Per Line'!$AM$2:$AM$4001,0))</f>
        <v/>
      </c>
      <c r="W727" s="7">
        <f>IF($AB727="","",V727*U727)</f>
        <v/>
      </c>
      <c r="X727" s="7">
        <f>IF($AB727="","",W727+T727)</f>
        <v/>
      </c>
      <c r="Y727" s="7">
        <f>IF($AB727="","",Z727-X727)</f>
        <v/>
      </c>
      <c r="Z727" s="7">
        <f>IF($AB727="","",S727+V727+Q727)</f>
        <v/>
      </c>
      <c r="AA727" s="7">
        <f>IF($AB727="","",Z727-X727-M727)</f>
        <v/>
      </c>
      <c r="AB727" s="13">
        <f>IF(ROWS($AB$2:$AB727)&lt;=MAX('Per Line'!$AK$2:$AK$4001),MATCH(ROWS($AB$2:$AB727),'Per Line'!$AK$2:$AK$4001,0),"")</f>
        <v/>
      </c>
      <c r="AC727" s="14">
        <f>IF($AB727="","",M727-L727*Z727/100)</f>
        <v/>
      </c>
    </row>
    <row r="728">
      <c r="A728" s="12" t="n"/>
      <c r="B728">
        <f>IF($AB728="","",INDEX('Per Line'!$C$2:$C$4001,$AB728)&amp;"")</f>
        <v/>
      </c>
      <c r="C728">
        <f>IF($AB728="","",INDEX('Per Line'!$D$2:$D$4001,$AB728)&amp;"")</f>
        <v/>
      </c>
      <c r="D728">
        <f>IF($AB728="","",INDEX('Per Line'!$B$2:$B$4001,$AB728)&amp;"")</f>
        <v/>
      </c>
      <c r="E728">
        <f>IF($AB728="","",INDEX('Per Line'!$A$2:$A$4001,$AB728))</f>
        <v/>
      </c>
      <c r="F728" s="11">
        <f>IF($AB728="","",INDEX('Per Line'!$E$2:$E$4001,$AB728))</f>
        <v/>
      </c>
      <c r="G728">
        <f>IF($AB728="","",INDEX('Per Line'!$F$2:$F$4001,$AB728)&amp;"")</f>
        <v/>
      </c>
      <c r="H728">
        <f>IF($AB728="","",INDEX('Per Line'!$H$2:$H$4001,$AB728)&amp;"")</f>
        <v/>
      </c>
      <c r="I728">
        <f>IF($AB728="","",INDEX('Per Line'!$I$2:$I$4001,$AB728)&amp;"")</f>
        <v/>
      </c>
      <c r="J728">
        <f>IF($AB728="","",INDEX('Per Line'!$J$2:$J$4001,$AB728)&amp;"")</f>
        <v/>
      </c>
      <c r="K728">
        <f>IF($AB728="","",INDEX('Per Line'!$K$2:$K$4001,$AB728)&amp;"")</f>
        <v/>
      </c>
      <c r="L728">
        <f>IF($AB728="","",INDEX('Per Line'!$L$2:$L$4001,$AB728))</f>
        <v/>
      </c>
      <c r="M728" s="7">
        <f>IF($AB728="","",IF(AND(ISNUMBER(O728),O728&gt;0,Z728&gt;O728),L728*O728/100+(Z728-O728),L728*Z728/100))</f>
        <v/>
      </c>
      <c r="N728">
        <f>IF($AB728="","",INDEX('Per Line'!$V$2:$V$4001,$AB728)&amp;"")</f>
        <v/>
      </c>
      <c r="O728">
        <f>IF($AB728="","",INDEX('Per Line'!$Z$2:$Z$4001,$AB728))</f>
        <v/>
      </c>
      <c r="P728">
        <f>IF($AB728="","",IF(AND(ISNUMBER(O728),O728&gt;0),Z728&gt;O728,FALSE))</f>
        <v/>
      </c>
      <c r="Q728" s="7">
        <f>IF($AB728="","",SUMIFS('Per Line'!$U$2:$U$4001,'Per Line'!$C$2:$C$4001,$B728,'Per Line'!$AM$2:$AM$4001,1))</f>
        <v/>
      </c>
      <c r="R728">
        <f>IF($AB728="","",Settings!$C$7)</f>
        <v/>
      </c>
      <c r="S728" s="7">
        <f>IF($AB728="","",SUMIFS('Per Line'!$U$2:$U$4001,'Per Line'!$C$2:$C$4001,$B728,'Per Line'!$AL$2:$AL$4001,0,'Per Line'!$AM$2:$AM$4001,0))</f>
        <v/>
      </c>
      <c r="T728" s="7">
        <f>IF($AB728="","",S728*R728)</f>
        <v/>
      </c>
      <c r="U728">
        <f>IF($AB728="","",Settings!$C$6)</f>
        <v/>
      </c>
      <c r="V728" s="7">
        <f>IF($AB728="","",SUMIFS('Per Line'!$U$2:$U$4001,'Per Line'!$C$2:$C$4001,$B728,'Per Line'!$AL$2:$AL$4001,1,'Per Line'!$AM$2:$AM$4001,0))</f>
        <v/>
      </c>
      <c r="W728" s="7">
        <f>IF($AB728="","",V728*U728)</f>
        <v/>
      </c>
      <c r="X728" s="7">
        <f>IF($AB728="","",W728+T728)</f>
        <v/>
      </c>
      <c r="Y728" s="7">
        <f>IF($AB728="","",Z728-X728)</f>
        <v/>
      </c>
      <c r="Z728" s="7">
        <f>IF($AB728="","",S728+V728+Q728)</f>
        <v/>
      </c>
      <c r="AA728" s="7">
        <f>IF($AB728="","",Z728-X728-M728)</f>
        <v/>
      </c>
      <c r="AB728" s="13">
        <f>IF(ROWS($AB$2:$AB728)&lt;=MAX('Per Line'!$AK$2:$AK$4001),MATCH(ROWS($AB$2:$AB728),'Per Line'!$AK$2:$AK$4001,0),"")</f>
        <v/>
      </c>
      <c r="AC728" s="14">
        <f>IF($AB728="","",M728-L728*Z728/100)</f>
        <v/>
      </c>
    </row>
    <row r="729">
      <c r="A729" s="12" t="n"/>
      <c r="B729">
        <f>IF($AB729="","",INDEX('Per Line'!$C$2:$C$4001,$AB729)&amp;"")</f>
        <v/>
      </c>
      <c r="C729">
        <f>IF($AB729="","",INDEX('Per Line'!$D$2:$D$4001,$AB729)&amp;"")</f>
        <v/>
      </c>
      <c r="D729">
        <f>IF($AB729="","",INDEX('Per Line'!$B$2:$B$4001,$AB729)&amp;"")</f>
        <v/>
      </c>
      <c r="E729">
        <f>IF($AB729="","",INDEX('Per Line'!$A$2:$A$4001,$AB729))</f>
        <v/>
      </c>
      <c r="F729" s="11">
        <f>IF($AB729="","",INDEX('Per Line'!$E$2:$E$4001,$AB729))</f>
        <v/>
      </c>
      <c r="G729">
        <f>IF($AB729="","",INDEX('Per Line'!$F$2:$F$4001,$AB729)&amp;"")</f>
        <v/>
      </c>
      <c r="H729">
        <f>IF($AB729="","",INDEX('Per Line'!$H$2:$H$4001,$AB729)&amp;"")</f>
        <v/>
      </c>
      <c r="I729">
        <f>IF($AB729="","",INDEX('Per Line'!$I$2:$I$4001,$AB729)&amp;"")</f>
        <v/>
      </c>
      <c r="J729">
        <f>IF($AB729="","",INDEX('Per Line'!$J$2:$J$4001,$AB729)&amp;"")</f>
        <v/>
      </c>
      <c r="K729">
        <f>IF($AB729="","",INDEX('Per Line'!$K$2:$K$4001,$AB729)&amp;"")</f>
        <v/>
      </c>
      <c r="L729">
        <f>IF($AB729="","",INDEX('Per Line'!$L$2:$L$4001,$AB729))</f>
        <v/>
      </c>
      <c r="M729" s="7">
        <f>IF($AB729="","",IF(AND(ISNUMBER(O729),O729&gt;0,Z729&gt;O729),L729*O729/100+(Z729-O729),L729*Z729/100))</f>
        <v/>
      </c>
      <c r="N729">
        <f>IF($AB729="","",INDEX('Per Line'!$V$2:$V$4001,$AB729)&amp;"")</f>
        <v/>
      </c>
      <c r="O729">
        <f>IF($AB729="","",INDEX('Per Line'!$Z$2:$Z$4001,$AB729))</f>
        <v/>
      </c>
      <c r="P729">
        <f>IF($AB729="","",IF(AND(ISNUMBER(O729),O729&gt;0),Z729&gt;O729,FALSE))</f>
        <v/>
      </c>
      <c r="Q729" s="7">
        <f>IF($AB729="","",SUMIFS('Per Line'!$U$2:$U$4001,'Per Line'!$C$2:$C$4001,$B729,'Per Line'!$AM$2:$AM$4001,1))</f>
        <v/>
      </c>
      <c r="R729">
        <f>IF($AB729="","",Settings!$C$7)</f>
        <v/>
      </c>
      <c r="S729" s="7">
        <f>IF($AB729="","",SUMIFS('Per Line'!$U$2:$U$4001,'Per Line'!$C$2:$C$4001,$B729,'Per Line'!$AL$2:$AL$4001,0,'Per Line'!$AM$2:$AM$4001,0))</f>
        <v/>
      </c>
      <c r="T729" s="7">
        <f>IF($AB729="","",S729*R729)</f>
        <v/>
      </c>
      <c r="U729">
        <f>IF($AB729="","",Settings!$C$6)</f>
        <v/>
      </c>
      <c r="V729" s="7">
        <f>IF($AB729="","",SUMIFS('Per Line'!$U$2:$U$4001,'Per Line'!$C$2:$C$4001,$B729,'Per Line'!$AL$2:$AL$4001,1,'Per Line'!$AM$2:$AM$4001,0))</f>
        <v/>
      </c>
      <c r="W729" s="7">
        <f>IF($AB729="","",V729*U729)</f>
        <v/>
      </c>
      <c r="X729" s="7">
        <f>IF($AB729="","",W729+T729)</f>
        <v/>
      </c>
      <c r="Y729" s="7">
        <f>IF($AB729="","",Z729-X729)</f>
        <v/>
      </c>
      <c r="Z729" s="7">
        <f>IF($AB729="","",S729+V729+Q729)</f>
        <v/>
      </c>
      <c r="AA729" s="7">
        <f>IF($AB729="","",Z729-X729-M729)</f>
        <v/>
      </c>
      <c r="AB729" s="13">
        <f>IF(ROWS($AB$2:$AB729)&lt;=MAX('Per Line'!$AK$2:$AK$4001),MATCH(ROWS($AB$2:$AB729),'Per Line'!$AK$2:$AK$4001,0),"")</f>
        <v/>
      </c>
      <c r="AC729" s="14">
        <f>IF($AB729="","",M729-L729*Z729/100)</f>
        <v/>
      </c>
    </row>
    <row r="730">
      <c r="A730" s="12" t="n"/>
      <c r="B730">
        <f>IF($AB730="","",INDEX('Per Line'!$C$2:$C$4001,$AB730)&amp;"")</f>
        <v/>
      </c>
      <c r="C730">
        <f>IF($AB730="","",INDEX('Per Line'!$D$2:$D$4001,$AB730)&amp;"")</f>
        <v/>
      </c>
      <c r="D730">
        <f>IF($AB730="","",INDEX('Per Line'!$B$2:$B$4001,$AB730)&amp;"")</f>
        <v/>
      </c>
      <c r="E730">
        <f>IF($AB730="","",INDEX('Per Line'!$A$2:$A$4001,$AB730))</f>
        <v/>
      </c>
      <c r="F730" s="11">
        <f>IF($AB730="","",INDEX('Per Line'!$E$2:$E$4001,$AB730))</f>
        <v/>
      </c>
      <c r="G730">
        <f>IF($AB730="","",INDEX('Per Line'!$F$2:$F$4001,$AB730)&amp;"")</f>
        <v/>
      </c>
      <c r="H730">
        <f>IF($AB730="","",INDEX('Per Line'!$H$2:$H$4001,$AB730)&amp;"")</f>
        <v/>
      </c>
      <c r="I730">
        <f>IF($AB730="","",INDEX('Per Line'!$I$2:$I$4001,$AB730)&amp;"")</f>
        <v/>
      </c>
      <c r="J730">
        <f>IF($AB730="","",INDEX('Per Line'!$J$2:$J$4001,$AB730)&amp;"")</f>
        <v/>
      </c>
      <c r="K730">
        <f>IF($AB730="","",INDEX('Per Line'!$K$2:$K$4001,$AB730)&amp;"")</f>
        <v/>
      </c>
      <c r="L730">
        <f>IF($AB730="","",INDEX('Per Line'!$L$2:$L$4001,$AB730))</f>
        <v/>
      </c>
      <c r="M730" s="7">
        <f>IF($AB730="","",IF(AND(ISNUMBER(O730),O730&gt;0,Z730&gt;O730),L730*O730/100+(Z730-O730),L730*Z730/100))</f>
        <v/>
      </c>
      <c r="N730">
        <f>IF($AB730="","",INDEX('Per Line'!$V$2:$V$4001,$AB730)&amp;"")</f>
        <v/>
      </c>
      <c r="O730">
        <f>IF($AB730="","",INDEX('Per Line'!$Z$2:$Z$4001,$AB730))</f>
        <v/>
      </c>
      <c r="P730">
        <f>IF($AB730="","",IF(AND(ISNUMBER(O730),O730&gt;0),Z730&gt;O730,FALSE))</f>
        <v/>
      </c>
      <c r="Q730" s="7">
        <f>IF($AB730="","",SUMIFS('Per Line'!$U$2:$U$4001,'Per Line'!$C$2:$C$4001,$B730,'Per Line'!$AM$2:$AM$4001,1))</f>
        <v/>
      </c>
      <c r="R730">
        <f>IF($AB730="","",Settings!$C$7)</f>
        <v/>
      </c>
      <c r="S730" s="7">
        <f>IF($AB730="","",SUMIFS('Per Line'!$U$2:$U$4001,'Per Line'!$C$2:$C$4001,$B730,'Per Line'!$AL$2:$AL$4001,0,'Per Line'!$AM$2:$AM$4001,0))</f>
        <v/>
      </c>
      <c r="T730" s="7">
        <f>IF($AB730="","",S730*R730)</f>
        <v/>
      </c>
      <c r="U730">
        <f>IF($AB730="","",Settings!$C$6)</f>
        <v/>
      </c>
      <c r="V730" s="7">
        <f>IF($AB730="","",SUMIFS('Per Line'!$U$2:$U$4001,'Per Line'!$C$2:$C$4001,$B730,'Per Line'!$AL$2:$AL$4001,1,'Per Line'!$AM$2:$AM$4001,0))</f>
        <v/>
      </c>
      <c r="W730" s="7">
        <f>IF($AB730="","",V730*U730)</f>
        <v/>
      </c>
      <c r="X730" s="7">
        <f>IF($AB730="","",W730+T730)</f>
        <v/>
      </c>
      <c r="Y730" s="7">
        <f>IF($AB730="","",Z730-X730)</f>
        <v/>
      </c>
      <c r="Z730" s="7">
        <f>IF($AB730="","",S730+V730+Q730)</f>
        <v/>
      </c>
      <c r="AA730" s="7">
        <f>IF($AB730="","",Z730-X730-M730)</f>
        <v/>
      </c>
      <c r="AB730" s="13">
        <f>IF(ROWS($AB$2:$AB730)&lt;=MAX('Per Line'!$AK$2:$AK$4001),MATCH(ROWS($AB$2:$AB730),'Per Line'!$AK$2:$AK$4001,0),"")</f>
        <v/>
      </c>
      <c r="AC730" s="14">
        <f>IF($AB730="","",M730-L730*Z730/100)</f>
        <v/>
      </c>
    </row>
    <row r="731">
      <c r="A731" s="12" t="n"/>
      <c r="B731">
        <f>IF($AB731="","",INDEX('Per Line'!$C$2:$C$4001,$AB731)&amp;"")</f>
        <v/>
      </c>
      <c r="C731">
        <f>IF($AB731="","",INDEX('Per Line'!$D$2:$D$4001,$AB731)&amp;"")</f>
        <v/>
      </c>
      <c r="D731">
        <f>IF($AB731="","",INDEX('Per Line'!$B$2:$B$4001,$AB731)&amp;"")</f>
        <v/>
      </c>
      <c r="E731">
        <f>IF($AB731="","",INDEX('Per Line'!$A$2:$A$4001,$AB731))</f>
        <v/>
      </c>
      <c r="F731" s="11">
        <f>IF($AB731="","",INDEX('Per Line'!$E$2:$E$4001,$AB731))</f>
        <v/>
      </c>
      <c r="G731">
        <f>IF($AB731="","",INDEX('Per Line'!$F$2:$F$4001,$AB731)&amp;"")</f>
        <v/>
      </c>
      <c r="H731">
        <f>IF($AB731="","",INDEX('Per Line'!$H$2:$H$4001,$AB731)&amp;"")</f>
        <v/>
      </c>
      <c r="I731">
        <f>IF($AB731="","",INDEX('Per Line'!$I$2:$I$4001,$AB731)&amp;"")</f>
        <v/>
      </c>
      <c r="J731">
        <f>IF($AB731="","",INDEX('Per Line'!$J$2:$J$4001,$AB731)&amp;"")</f>
        <v/>
      </c>
      <c r="K731">
        <f>IF($AB731="","",INDEX('Per Line'!$K$2:$K$4001,$AB731)&amp;"")</f>
        <v/>
      </c>
      <c r="L731">
        <f>IF($AB731="","",INDEX('Per Line'!$L$2:$L$4001,$AB731))</f>
        <v/>
      </c>
      <c r="M731" s="7">
        <f>IF($AB731="","",IF(AND(ISNUMBER(O731),O731&gt;0,Z731&gt;O731),L731*O731/100+(Z731-O731),L731*Z731/100))</f>
        <v/>
      </c>
      <c r="N731">
        <f>IF($AB731="","",INDEX('Per Line'!$V$2:$V$4001,$AB731)&amp;"")</f>
        <v/>
      </c>
      <c r="O731">
        <f>IF($AB731="","",INDEX('Per Line'!$Z$2:$Z$4001,$AB731))</f>
        <v/>
      </c>
      <c r="P731">
        <f>IF($AB731="","",IF(AND(ISNUMBER(O731),O731&gt;0),Z731&gt;O731,FALSE))</f>
        <v/>
      </c>
      <c r="Q731" s="7">
        <f>IF($AB731="","",SUMIFS('Per Line'!$U$2:$U$4001,'Per Line'!$C$2:$C$4001,$B731,'Per Line'!$AM$2:$AM$4001,1))</f>
        <v/>
      </c>
      <c r="R731">
        <f>IF($AB731="","",Settings!$C$7)</f>
        <v/>
      </c>
      <c r="S731" s="7">
        <f>IF($AB731="","",SUMIFS('Per Line'!$U$2:$U$4001,'Per Line'!$C$2:$C$4001,$B731,'Per Line'!$AL$2:$AL$4001,0,'Per Line'!$AM$2:$AM$4001,0))</f>
        <v/>
      </c>
      <c r="T731" s="7">
        <f>IF($AB731="","",S731*R731)</f>
        <v/>
      </c>
      <c r="U731">
        <f>IF($AB731="","",Settings!$C$6)</f>
        <v/>
      </c>
      <c r="V731" s="7">
        <f>IF($AB731="","",SUMIFS('Per Line'!$U$2:$U$4001,'Per Line'!$C$2:$C$4001,$B731,'Per Line'!$AL$2:$AL$4001,1,'Per Line'!$AM$2:$AM$4001,0))</f>
        <v/>
      </c>
      <c r="W731" s="7">
        <f>IF($AB731="","",V731*U731)</f>
        <v/>
      </c>
      <c r="X731" s="7">
        <f>IF($AB731="","",W731+T731)</f>
        <v/>
      </c>
      <c r="Y731" s="7">
        <f>IF($AB731="","",Z731-X731)</f>
        <v/>
      </c>
      <c r="Z731" s="7">
        <f>IF($AB731="","",S731+V731+Q731)</f>
        <v/>
      </c>
      <c r="AA731" s="7">
        <f>IF($AB731="","",Z731-X731-M731)</f>
        <v/>
      </c>
      <c r="AB731" s="13">
        <f>IF(ROWS($AB$2:$AB731)&lt;=MAX('Per Line'!$AK$2:$AK$4001),MATCH(ROWS($AB$2:$AB731),'Per Line'!$AK$2:$AK$4001,0),"")</f>
        <v/>
      </c>
      <c r="AC731" s="14">
        <f>IF($AB731="","",M731-L731*Z731/100)</f>
        <v/>
      </c>
    </row>
    <row r="732">
      <c r="A732" s="12" t="n"/>
      <c r="B732">
        <f>IF($AB732="","",INDEX('Per Line'!$C$2:$C$4001,$AB732)&amp;"")</f>
        <v/>
      </c>
      <c r="C732">
        <f>IF($AB732="","",INDEX('Per Line'!$D$2:$D$4001,$AB732)&amp;"")</f>
        <v/>
      </c>
      <c r="D732">
        <f>IF($AB732="","",INDEX('Per Line'!$B$2:$B$4001,$AB732)&amp;"")</f>
        <v/>
      </c>
      <c r="E732">
        <f>IF($AB732="","",INDEX('Per Line'!$A$2:$A$4001,$AB732))</f>
        <v/>
      </c>
      <c r="F732" s="11">
        <f>IF($AB732="","",INDEX('Per Line'!$E$2:$E$4001,$AB732))</f>
        <v/>
      </c>
      <c r="G732">
        <f>IF($AB732="","",INDEX('Per Line'!$F$2:$F$4001,$AB732)&amp;"")</f>
        <v/>
      </c>
      <c r="H732">
        <f>IF($AB732="","",INDEX('Per Line'!$H$2:$H$4001,$AB732)&amp;"")</f>
        <v/>
      </c>
      <c r="I732">
        <f>IF($AB732="","",INDEX('Per Line'!$I$2:$I$4001,$AB732)&amp;"")</f>
        <v/>
      </c>
      <c r="J732">
        <f>IF($AB732="","",INDEX('Per Line'!$J$2:$J$4001,$AB732)&amp;"")</f>
        <v/>
      </c>
      <c r="K732">
        <f>IF($AB732="","",INDEX('Per Line'!$K$2:$K$4001,$AB732)&amp;"")</f>
        <v/>
      </c>
      <c r="L732">
        <f>IF($AB732="","",INDEX('Per Line'!$L$2:$L$4001,$AB732))</f>
        <v/>
      </c>
      <c r="M732" s="7">
        <f>IF($AB732="","",IF(AND(ISNUMBER(O732),O732&gt;0,Z732&gt;O732),L732*O732/100+(Z732-O732),L732*Z732/100))</f>
        <v/>
      </c>
      <c r="N732">
        <f>IF($AB732="","",INDEX('Per Line'!$V$2:$V$4001,$AB732)&amp;"")</f>
        <v/>
      </c>
      <c r="O732">
        <f>IF($AB732="","",INDEX('Per Line'!$Z$2:$Z$4001,$AB732))</f>
        <v/>
      </c>
      <c r="P732">
        <f>IF($AB732="","",IF(AND(ISNUMBER(O732),O732&gt;0),Z732&gt;O732,FALSE))</f>
        <v/>
      </c>
      <c r="Q732" s="7">
        <f>IF($AB732="","",SUMIFS('Per Line'!$U$2:$U$4001,'Per Line'!$C$2:$C$4001,$B732,'Per Line'!$AM$2:$AM$4001,1))</f>
        <v/>
      </c>
      <c r="R732">
        <f>IF($AB732="","",Settings!$C$7)</f>
        <v/>
      </c>
      <c r="S732" s="7">
        <f>IF($AB732="","",SUMIFS('Per Line'!$U$2:$U$4001,'Per Line'!$C$2:$C$4001,$B732,'Per Line'!$AL$2:$AL$4001,0,'Per Line'!$AM$2:$AM$4001,0))</f>
        <v/>
      </c>
      <c r="T732" s="7">
        <f>IF($AB732="","",S732*R732)</f>
        <v/>
      </c>
      <c r="U732">
        <f>IF($AB732="","",Settings!$C$6)</f>
        <v/>
      </c>
      <c r="V732" s="7">
        <f>IF($AB732="","",SUMIFS('Per Line'!$U$2:$U$4001,'Per Line'!$C$2:$C$4001,$B732,'Per Line'!$AL$2:$AL$4001,1,'Per Line'!$AM$2:$AM$4001,0))</f>
        <v/>
      </c>
      <c r="W732" s="7">
        <f>IF($AB732="","",V732*U732)</f>
        <v/>
      </c>
      <c r="X732" s="7">
        <f>IF($AB732="","",W732+T732)</f>
        <v/>
      </c>
      <c r="Y732" s="7">
        <f>IF($AB732="","",Z732-X732)</f>
        <v/>
      </c>
      <c r="Z732" s="7">
        <f>IF($AB732="","",S732+V732+Q732)</f>
        <v/>
      </c>
      <c r="AA732" s="7">
        <f>IF($AB732="","",Z732-X732-M732)</f>
        <v/>
      </c>
      <c r="AB732" s="13">
        <f>IF(ROWS($AB$2:$AB732)&lt;=MAX('Per Line'!$AK$2:$AK$4001),MATCH(ROWS($AB$2:$AB732),'Per Line'!$AK$2:$AK$4001,0),"")</f>
        <v/>
      </c>
      <c r="AC732" s="14">
        <f>IF($AB732="","",M732-L732*Z732/100)</f>
        <v/>
      </c>
    </row>
    <row r="733">
      <c r="A733" s="12" t="n"/>
      <c r="B733">
        <f>IF($AB733="","",INDEX('Per Line'!$C$2:$C$4001,$AB733)&amp;"")</f>
        <v/>
      </c>
      <c r="C733">
        <f>IF($AB733="","",INDEX('Per Line'!$D$2:$D$4001,$AB733)&amp;"")</f>
        <v/>
      </c>
      <c r="D733">
        <f>IF($AB733="","",INDEX('Per Line'!$B$2:$B$4001,$AB733)&amp;"")</f>
        <v/>
      </c>
      <c r="E733">
        <f>IF($AB733="","",INDEX('Per Line'!$A$2:$A$4001,$AB733))</f>
        <v/>
      </c>
      <c r="F733" s="11">
        <f>IF($AB733="","",INDEX('Per Line'!$E$2:$E$4001,$AB733))</f>
        <v/>
      </c>
      <c r="G733">
        <f>IF($AB733="","",INDEX('Per Line'!$F$2:$F$4001,$AB733)&amp;"")</f>
        <v/>
      </c>
      <c r="H733">
        <f>IF($AB733="","",INDEX('Per Line'!$H$2:$H$4001,$AB733)&amp;"")</f>
        <v/>
      </c>
      <c r="I733">
        <f>IF($AB733="","",INDEX('Per Line'!$I$2:$I$4001,$AB733)&amp;"")</f>
        <v/>
      </c>
      <c r="J733">
        <f>IF($AB733="","",INDEX('Per Line'!$J$2:$J$4001,$AB733)&amp;"")</f>
        <v/>
      </c>
      <c r="K733">
        <f>IF($AB733="","",INDEX('Per Line'!$K$2:$K$4001,$AB733)&amp;"")</f>
        <v/>
      </c>
      <c r="L733">
        <f>IF($AB733="","",INDEX('Per Line'!$L$2:$L$4001,$AB733))</f>
        <v/>
      </c>
      <c r="M733" s="7">
        <f>IF($AB733="","",IF(AND(ISNUMBER(O733),O733&gt;0,Z733&gt;O733),L733*O733/100+(Z733-O733),L733*Z733/100))</f>
        <v/>
      </c>
      <c r="N733">
        <f>IF($AB733="","",INDEX('Per Line'!$V$2:$V$4001,$AB733)&amp;"")</f>
        <v/>
      </c>
      <c r="O733">
        <f>IF($AB733="","",INDEX('Per Line'!$Z$2:$Z$4001,$AB733))</f>
        <v/>
      </c>
      <c r="P733">
        <f>IF($AB733="","",IF(AND(ISNUMBER(O733),O733&gt;0),Z733&gt;O733,FALSE))</f>
        <v/>
      </c>
      <c r="Q733" s="7">
        <f>IF($AB733="","",SUMIFS('Per Line'!$U$2:$U$4001,'Per Line'!$C$2:$C$4001,$B733,'Per Line'!$AM$2:$AM$4001,1))</f>
        <v/>
      </c>
      <c r="R733">
        <f>IF($AB733="","",Settings!$C$7)</f>
        <v/>
      </c>
      <c r="S733" s="7">
        <f>IF($AB733="","",SUMIFS('Per Line'!$U$2:$U$4001,'Per Line'!$C$2:$C$4001,$B733,'Per Line'!$AL$2:$AL$4001,0,'Per Line'!$AM$2:$AM$4001,0))</f>
        <v/>
      </c>
      <c r="T733" s="7">
        <f>IF($AB733="","",S733*R733)</f>
        <v/>
      </c>
      <c r="U733">
        <f>IF($AB733="","",Settings!$C$6)</f>
        <v/>
      </c>
      <c r="V733" s="7">
        <f>IF($AB733="","",SUMIFS('Per Line'!$U$2:$U$4001,'Per Line'!$C$2:$C$4001,$B733,'Per Line'!$AL$2:$AL$4001,1,'Per Line'!$AM$2:$AM$4001,0))</f>
        <v/>
      </c>
      <c r="W733" s="7">
        <f>IF($AB733="","",V733*U733)</f>
        <v/>
      </c>
      <c r="X733" s="7">
        <f>IF($AB733="","",W733+T733)</f>
        <v/>
      </c>
      <c r="Y733" s="7">
        <f>IF($AB733="","",Z733-X733)</f>
        <v/>
      </c>
      <c r="Z733" s="7">
        <f>IF($AB733="","",S733+V733+Q733)</f>
        <v/>
      </c>
      <c r="AA733" s="7">
        <f>IF($AB733="","",Z733-X733-M733)</f>
        <v/>
      </c>
      <c r="AB733" s="13">
        <f>IF(ROWS($AB$2:$AB733)&lt;=MAX('Per Line'!$AK$2:$AK$4001),MATCH(ROWS($AB$2:$AB733),'Per Line'!$AK$2:$AK$4001,0),"")</f>
        <v/>
      </c>
      <c r="AC733" s="14">
        <f>IF($AB733="","",M733-L733*Z733/100)</f>
        <v/>
      </c>
    </row>
    <row r="734">
      <c r="A734" s="12" t="n"/>
      <c r="B734">
        <f>IF($AB734="","",INDEX('Per Line'!$C$2:$C$4001,$AB734)&amp;"")</f>
        <v/>
      </c>
      <c r="C734">
        <f>IF($AB734="","",INDEX('Per Line'!$D$2:$D$4001,$AB734)&amp;"")</f>
        <v/>
      </c>
      <c r="D734">
        <f>IF($AB734="","",INDEX('Per Line'!$B$2:$B$4001,$AB734)&amp;"")</f>
        <v/>
      </c>
      <c r="E734">
        <f>IF($AB734="","",INDEX('Per Line'!$A$2:$A$4001,$AB734))</f>
        <v/>
      </c>
      <c r="F734" s="11">
        <f>IF($AB734="","",INDEX('Per Line'!$E$2:$E$4001,$AB734))</f>
        <v/>
      </c>
      <c r="G734">
        <f>IF($AB734="","",INDEX('Per Line'!$F$2:$F$4001,$AB734)&amp;"")</f>
        <v/>
      </c>
      <c r="H734">
        <f>IF($AB734="","",INDEX('Per Line'!$H$2:$H$4001,$AB734)&amp;"")</f>
        <v/>
      </c>
      <c r="I734">
        <f>IF($AB734="","",INDEX('Per Line'!$I$2:$I$4001,$AB734)&amp;"")</f>
        <v/>
      </c>
      <c r="J734">
        <f>IF($AB734="","",INDEX('Per Line'!$J$2:$J$4001,$AB734)&amp;"")</f>
        <v/>
      </c>
      <c r="K734">
        <f>IF($AB734="","",INDEX('Per Line'!$K$2:$K$4001,$AB734)&amp;"")</f>
        <v/>
      </c>
      <c r="L734">
        <f>IF($AB734="","",INDEX('Per Line'!$L$2:$L$4001,$AB734))</f>
        <v/>
      </c>
      <c r="M734" s="7">
        <f>IF($AB734="","",IF(AND(ISNUMBER(O734),O734&gt;0,Z734&gt;O734),L734*O734/100+(Z734-O734),L734*Z734/100))</f>
        <v/>
      </c>
      <c r="N734">
        <f>IF($AB734="","",INDEX('Per Line'!$V$2:$V$4001,$AB734)&amp;"")</f>
        <v/>
      </c>
      <c r="O734">
        <f>IF($AB734="","",INDEX('Per Line'!$Z$2:$Z$4001,$AB734))</f>
        <v/>
      </c>
      <c r="P734">
        <f>IF($AB734="","",IF(AND(ISNUMBER(O734),O734&gt;0),Z734&gt;O734,FALSE))</f>
        <v/>
      </c>
      <c r="Q734" s="7">
        <f>IF($AB734="","",SUMIFS('Per Line'!$U$2:$U$4001,'Per Line'!$C$2:$C$4001,$B734,'Per Line'!$AM$2:$AM$4001,1))</f>
        <v/>
      </c>
      <c r="R734">
        <f>IF($AB734="","",Settings!$C$7)</f>
        <v/>
      </c>
      <c r="S734" s="7">
        <f>IF($AB734="","",SUMIFS('Per Line'!$U$2:$U$4001,'Per Line'!$C$2:$C$4001,$B734,'Per Line'!$AL$2:$AL$4001,0,'Per Line'!$AM$2:$AM$4001,0))</f>
        <v/>
      </c>
      <c r="T734" s="7">
        <f>IF($AB734="","",S734*R734)</f>
        <v/>
      </c>
      <c r="U734">
        <f>IF($AB734="","",Settings!$C$6)</f>
        <v/>
      </c>
      <c r="V734" s="7">
        <f>IF($AB734="","",SUMIFS('Per Line'!$U$2:$U$4001,'Per Line'!$C$2:$C$4001,$B734,'Per Line'!$AL$2:$AL$4001,1,'Per Line'!$AM$2:$AM$4001,0))</f>
        <v/>
      </c>
      <c r="W734" s="7">
        <f>IF($AB734="","",V734*U734)</f>
        <v/>
      </c>
      <c r="X734" s="7">
        <f>IF($AB734="","",W734+T734)</f>
        <v/>
      </c>
      <c r="Y734" s="7">
        <f>IF($AB734="","",Z734-X734)</f>
        <v/>
      </c>
      <c r="Z734" s="7">
        <f>IF($AB734="","",S734+V734+Q734)</f>
        <v/>
      </c>
      <c r="AA734" s="7">
        <f>IF($AB734="","",Z734-X734-M734)</f>
        <v/>
      </c>
      <c r="AB734" s="13">
        <f>IF(ROWS($AB$2:$AB734)&lt;=MAX('Per Line'!$AK$2:$AK$4001),MATCH(ROWS($AB$2:$AB734),'Per Line'!$AK$2:$AK$4001,0),"")</f>
        <v/>
      </c>
      <c r="AC734" s="14">
        <f>IF($AB734="","",M734-L734*Z734/100)</f>
        <v/>
      </c>
    </row>
    <row r="735">
      <c r="A735" s="12" t="n"/>
      <c r="B735">
        <f>IF($AB735="","",INDEX('Per Line'!$C$2:$C$4001,$AB735)&amp;"")</f>
        <v/>
      </c>
      <c r="C735">
        <f>IF($AB735="","",INDEX('Per Line'!$D$2:$D$4001,$AB735)&amp;"")</f>
        <v/>
      </c>
      <c r="D735">
        <f>IF($AB735="","",INDEX('Per Line'!$B$2:$B$4001,$AB735)&amp;"")</f>
        <v/>
      </c>
      <c r="E735">
        <f>IF($AB735="","",INDEX('Per Line'!$A$2:$A$4001,$AB735))</f>
        <v/>
      </c>
      <c r="F735" s="11">
        <f>IF($AB735="","",INDEX('Per Line'!$E$2:$E$4001,$AB735))</f>
        <v/>
      </c>
      <c r="G735">
        <f>IF($AB735="","",INDEX('Per Line'!$F$2:$F$4001,$AB735)&amp;"")</f>
        <v/>
      </c>
      <c r="H735">
        <f>IF($AB735="","",INDEX('Per Line'!$H$2:$H$4001,$AB735)&amp;"")</f>
        <v/>
      </c>
      <c r="I735">
        <f>IF($AB735="","",INDEX('Per Line'!$I$2:$I$4001,$AB735)&amp;"")</f>
        <v/>
      </c>
      <c r="J735">
        <f>IF($AB735="","",INDEX('Per Line'!$J$2:$J$4001,$AB735)&amp;"")</f>
        <v/>
      </c>
      <c r="K735">
        <f>IF($AB735="","",INDEX('Per Line'!$K$2:$K$4001,$AB735)&amp;"")</f>
        <v/>
      </c>
      <c r="L735">
        <f>IF($AB735="","",INDEX('Per Line'!$L$2:$L$4001,$AB735))</f>
        <v/>
      </c>
      <c r="M735" s="7">
        <f>IF($AB735="","",IF(AND(ISNUMBER(O735),O735&gt;0,Z735&gt;O735),L735*O735/100+(Z735-O735),L735*Z735/100))</f>
        <v/>
      </c>
      <c r="N735">
        <f>IF($AB735="","",INDEX('Per Line'!$V$2:$V$4001,$AB735)&amp;"")</f>
        <v/>
      </c>
      <c r="O735">
        <f>IF($AB735="","",INDEX('Per Line'!$Z$2:$Z$4001,$AB735))</f>
        <v/>
      </c>
      <c r="P735">
        <f>IF($AB735="","",IF(AND(ISNUMBER(O735),O735&gt;0),Z735&gt;O735,FALSE))</f>
        <v/>
      </c>
      <c r="Q735" s="7">
        <f>IF($AB735="","",SUMIFS('Per Line'!$U$2:$U$4001,'Per Line'!$C$2:$C$4001,$B735,'Per Line'!$AM$2:$AM$4001,1))</f>
        <v/>
      </c>
      <c r="R735">
        <f>IF($AB735="","",Settings!$C$7)</f>
        <v/>
      </c>
      <c r="S735" s="7">
        <f>IF($AB735="","",SUMIFS('Per Line'!$U$2:$U$4001,'Per Line'!$C$2:$C$4001,$B735,'Per Line'!$AL$2:$AL$4001,0,'Per Line'!$AM$2:$AM$4001,0))</f>
        <v/>
      </c>
      <c r="T735" s="7">
        <f>IF($AB735="","",S735*R735)</f>
        <v/>
      </c>
      <c r="U735">
        <f>IF($AB735="","",Settings!$C$6)</f>
        <v/>
      </c>
      <c r="V735" s="7">
        <f>IF($AB735="","",SUMIFS('Per Line'!$U$2:$U$4001,'Per Line'!$C$2:$C$4001,$B735,'Per Line'!$AL$2:$AL$4001,1,'Per Line'!$AM$2:$AM$4001,0))</f>
        <v/>
      </c>
      <c r="W735" s="7">
        <f>IF($AB735="","",V735*U735)</f>
        <v/>
      </c>
      <c r="X735" s="7">
        <f>IF($AB735="","",W735+T735)</f>
        <v/>
      </c>
      <c r="Y735" s="7">
        <f>IF($AB735="","",Z735-X735)</f>
        <v/>
      </c>
      <c r="Z735" s="7">
        <f>IF($AB735="","",S735+V735+Q735)</f>
        <v/>
      </c>
      <c r="AA735" s="7">
        <f>IF($AB735="","",Z735-X735-M735)</f>
        <v/>
      </c>
      <c r="AB735" s="13">
        <f>IF(ROWS($AB$2:$AB735)&lt;=MAX('Per Line'!$AK$2:$AK$4001),MATCH(ROWS($AB$2:$AB735),'Per Line'!$AK$2:$AK$4001,0),"")</f>
        <v/>
      </c>
      <c r="AC735" s="14">
        <f>IF($AB735="","",M735-L735*Z735/100)</f>
        <v/>
      </c>
    </row>
    <row r="736">
      <c r="A736" s="12" t="n"/>
      <c r="B736">
        <f>IF($AB736="","",INDEX('Per Line'!$C$2:$C$4001,$AB736)&amp;"")</f>
        <v/>
      </c>
      <c r="C736">
        <f>IF($AB736="","",INDEX('Per Line'!$D$2:$D$4001,$AB736)&amp;"")</f>
        <v/>
      </c>
      <c r="D736">
        <f>IF($AB736="","",INDEX('Per Line'!$B$2:$B$4001,$AB736)&amp;"")</f>
        <v/>
      </c>
      <c r="E736">
        <f>IF($AB736="","",INDEX('Per Line'!$A$2:$A$4001,$AB736))</f>
        <v/>
      </c>
      <c r="F736" s="11">
        <f>IF($AB736="","",INDEX('Per Line'!$E$2:$E$4001,$AB736))</f>
        <v/>
      </c>
      <c r="G736">
        <f>IF($AB736="","",INDEX('Per Line'!$F$2:$F$4001,$AB736)&amp;"")</f>
        <v/>
      </c>
      <c r="H736">
        <f>IF($AB736="","",INDEX('Per Line'!$H$2:$H$4001,$AB736)&amp;"")</f>
        <v/>
      </c>
      <c r="I736">
        <f>IF($AB736="","",INDEX('Per Line'!$I$2:$I$4001,$AB736)&amp;"")</f>
        <v/>
      </c>
      <c r="J736">
        <f>IF($AB736="","",INDEX('Per Line'!$J$2:$J$4001,$AB736)&amp;"")</f>
        <v/>
      </c>
      <c r="K736">
        <f>IF($AB736="","",INDEX('Per Line'!$K$2:$K$4001,$AB736)&amp;"")</f>
        <v/>
      </c>
      <c r="L736">
        <f>IF($AB736="","",INDEX('Per Line'!$L$2:$L$4001,$AB736))</f>
        <v/>
      </c>
      <c r="M736" s="7">
        <f>IF($AB736="","",IF(AND(ISNUMBER(O736),O736&gt;0,Z736&gt;O736),L736*O736/100+(Z736-O736),L736*Z736/100))</f>
        <v/>
      </c>
      <c r="N736">
        <f>IF($AB736="","",INDEX('Per Line'!$V$2:$V$4001,$AB736)&amp;"")</f>
        <v/>
      </c>
      <c r="O736">
        <f>IF($AB736="","",INDEX('Per Line'!$Z$2:$Z$4001,$AB736))</f>
        <v/>
      </c>
      <c r="P736">
        <f>IF($AB736="","",IF(AND(ISNUMBER(O736),O736&gt;0),Z736&gt;O736,FALSE))</f>
        <v/>
      </c>
      <c r="Q736" s="7">
        <f>IF($AB736="","",SUMIFS('Per Line'!$U$2:$U$4001,'Per Line'!$C$2:$C$4001,$B736,'Per Line'!$AM$2:$AM$4001,1))</f>
        <v/>
      </c>
      <c r="R736">
        <f>IF($AB736="","",Settings!$C$7)</f>
        <v/>
      </c>
      <c r="S736" s="7">
        <f>IF($AB736="","",SUMIFS('Per Line'!$U$2:$U$4001,'Per Line'!$C$2:$C$4001,$B736,'Per Line'!$AL$2:$AL$4001,0,'Per Line'!$AM$2:$AM$4001,0))</f>
        <v/>
      </c>
      <c r="T736" s="7">
        <f>IF($AB736="","",S736*R736)</f>
        <v/>
      </c>
      <c r="U736">
        <f>IF($AB736="","",Settings!$C$6)</f>
        <v/>
      </c>
      <c r="V736" s="7">
        <f>IF($AB736="","",SUMIFS('Per Line'!$U$2:$U$4001,'Per Line'!$C$2:$C$4001,$B736,'Per Line'!$AL$2:$AL$4001,1,'Per Line'!$AM$2:$AM$4001,0))</f>
        <v/>
      </c>
      <c r="W736" s="7">
        <f>IF($AB736="","",V736*U736)</f>
        <v/>
      </c>
      <c r="X736" s="7">
        <f>IF($AB736="","",W736+T736)</f>
        <v/>
      </c>
      <c r="Y736" s="7">
        <f>IF($AB736="","",Z736-X736)</f>
        <v/>
      </c>
      <c r="Z736" s="7">
        <f>IF($AB736="","",S736+V736+Q736)</f>
        <v/>
      </c>
      <c r="AA736" s="7">
        <f>IF($AB736="","",Z736-X736-M736)</f>
        <v/>
      </c>
      <c r="AB736" s="13">
        <f>IF(ROWS($AB$2:$AB736)&lt;=MAX('Per Line'!$AK$2:$AK$4001),MATCH(ROWS($AB$2:$AB736),'Per Line'!$AK$2:$AK$4001,0),"")</f>
        <v/>
      </c>
      <c r="AC736" s="14">
        <f>IF($AB736="","",M736-L736*Z736/100)</f>
        <v/>
      </c>
    </row>
    <row r="737">
      <c r="A737" s="12" t="n"/>
      <c r="B737">
        <f>IF($AB737="","",INDEX('Per Line'!$C$2:$C$4001,$AB737)&amp;"")</f>
        <v/>
      </c>
      <c r="C737">
        <f>IF($AB737="","",INDEX('Per Line'!$D$2:$D$4001,$AB737)&amp;"")</f>
        <v/>
      </c>
      <c r="D737">
        <f>IF($AB737="","",INDEX('Per Line'!$B$2:$B$4001,$AB737)&amp;"")</f>
        <v/>
      </c>
      <c r="E737">
        <f>IF($AB737="","",INDEX('Per Line'!$A$2:$A$4001,$AB737))</f>
        <v/>
      </c>
      <c r="F737" s="11">
        <f>IF($AB737="","",INDEX('Per Line'!$E$2:$E$4001,$AB737))</f>
        <v/>
      </c>
      <c r="G737">
        <f>IF($AB737="","",INDEX('Per Line'!$F$2:$F$4001,$AB737)&amp;"")</f>
        <v/>
      </c>
      <c r="H737">
        <f>IF($AB737="","",INDEX('Per Line'!$H$2:$H$4001,$AB737)&amp;"")</f>
        <v/>
      </c>
      <c r="I737">
        <f>IF($AB737="","",INDEX('Per Line'!$I$2:$I$4001,$AB737)&amp;"")</f>
        <v/>
      </c>
      <c r="J737">
        <f>IF($AB737="","",INDEX('Per Line'!$J$2:$J$4001,$AB737)&amp;"")</f>
        <v/>
      </c>
      <c r="K737">
        <f>IF($AB737="","",INDEX('Per Line'!$K$2:$K$4001,$AB737)&amp;"")</f>
        <v/>
      </c>
      <c r="L737">
        <f>IF($AB737="","",INDEX('Per Line'!$L$2:$L$4001,$AB737))</f>
        <v/>
      </c>
      <c r="M737" s="7">
        <f>IF($AB737="","",IF(AND(ISNUMBER(O737),O737&gt;0,Z737&gt;O737),L737*O737/100+(Z737-O737),L737*Z737/100))</f>
        <v/>
      </c>
      <c r="N737">
        <f>IF($AB737="","",INDEX('Per Line'!$V$2:$V$4001,$AB737)&amp;"")</f>
        <v/>
      </c>
      <c r="O737">
        <f>IF($AB737="","",INDEX('Per Line'!$Z$2:$Z$4001,$AB737))</f>
        <v/>
      </c>
      <c r="P737">
        <f>IF($AB737="","",IF(AND(ISNUMBER(O737),O737&gt;0),Z737&gt;O737,FALSE))</f>
        <v/>
      </c>
      <c r="Q737" s="7">
        <f>IF($AB737="","",SUMIFS('Per Line'!$U$2:$U$4001,'Per Line'!$C$2:$C$4001,$B737,'Per Line'!$AM$2:$AM$4001,1))</f>
        <v/>
      </c>
      <c r="R737">
        <f>IF($AB737="","",Settings!$C$7)</f>
        <v/>
      </c>
      <c r="S737" s="7">
        <f>IF($AB737="","",SUMIFS('Per Line'!$U$2:$U$4001,'Per Line'!$C$2:$C$4001,$B737,'Per Line'!$AL$2:$AL$4001,0,'Per Line'!$AM$2:$AM$4001,0))</f>
        <v/>
      </c>
      <c r="T737" s="7">
        <f>IF($AB737="","",S737*R737)</f>
        <v/>
      </c>
      <c r="U737">
        <f>IF($AB737="","",Settings!$C$6)</f>
        <v/>
      </c>
      <c r="V737" s="7">
        <f>IF($AB737="","",SUMIFS('Per Line'!$U$2:$U$4001,'Per Line'!$C$2:$C$4001,$B737,'Per Line'!$AL$2:$AL$4001,1,'Per Line'!$AM$2:$AM$4001,0))</f>
        <v/>
      </c>
      <c r="W737" s="7">
        <f>IF($AB737="","",V737*U737)</f>
        <v/>
      </c>
      <c r="X737" s="7">
        <f>IF($AB737="","",W737+T737)</f>
        <v/>
      </c>
      <c r="Y737" s="7">
        <f>IF($AB737="","",Z737-X737)</f>
        <v/>
      </c>
      <c r="Z737" s="7">
        <f>IF($AB737="","",S737+V737+Q737)</f>
        <v/>
      </c>
      <c r="AA737" s="7">
        <f>IF($AB737="","",Z737-X737-M737)</f>
        <v/>
      </c>
      <c r="AB737" s="13">
        <f>IF(ROWS($AB$2:$AB737)&lt;=MAX('Per Line'!$AK$2:$AK$4001),MATCH(ROWS($AB$2:$AB737),'Per Line'!$AK$2:$AK$4001,0),"")</f>
        <v/>
      </c>
      <c r="AC737" s="14">
        <f>IF($AB737="","",M737-L737*Z737/100)</f>
        <v/>
      </c>
    </row>
    <row r="738">
      <c r="A738" s="12" t="n"/>
      <c r="B738">
        <f>IF($AB738="","",INDEX('Per Line'!$C$2:$C$4001,$AB738)&amp;"")</f>
        <v/>
      </c>
      <c r="C738">
        <f>IF($AB738="","",INDEX('Per Line'!$D$2:$D$4001,$AB738)&amp;"")</f>
        <v/>
      </c>
      <c r="D738">
        <f>IF($AB738="","",INDEX('Per Line'!$B$2:$B$4001,$AB738)&amp;"")</f>
        <v/>
      </c>
      <c r="E738">
        <f>IF($AB738="","",INDEX('Per Line'!$A$2:$A$4001,$AB738))</f>
        <v/>
      </c>
      <c r="F738" s="11">
        <f>IF($AB738="","",INDEX('Per Line'!$E$2:$E$4001,$AB738))</f>
        <v/>
      </c>
      <c r="G738">
        <f>IF($AB738="","",INDEX('Per Line'!$F$2:$F$4001,$AB738)&amp;"")</f>
        <v/>
      </c>
      <c r="H738">
        <f>IF($AB738="","",INDEX('Per Line'!$H$2:$H$4001,$AB738)&amp;"")</f>
        <v/>
      </c>
      <c r="I738">
        <f>IF($AB738="","",INDEX('Per Line'!$I$2:$I$4001,$AB738)&amp;"")</f>
        <v/>
      </c>
      <c r="J738">
        <f>IF($AB738="","",INDEX('Per Line'!$J$2:$J$4001,$AB738)&amp;"")</f>
        <v/>
      </c>
      <c r="K738">
        <f>IF($AB738="","",INDEX('Per Line'!$K$2:$K$4001,$AB738)&amp;"")</f>
        <v/>
      </c>
      <c r="L738">
        <f>IF($AB738="","",INDEX('Per Line'!$L$2:$L$4001,$AB738))</f>
        <v/>
      </c>
      <c r="M738" s="7">
        <f>IF($AB738="","",IF(AND(ISNUMBER(O738),O738&gt;0,Z738&gt;O738),L738*O738/100+(Z738-O738),L738*Z738/100))</f>
        <v/>
      </c>
      <c r="N738">
        <f>IF($AB738="","",INDEX('Per Line'!$V$2:$V$4001,$AB738)&amp;"")</f>
        <v/>
      </c>
      <c r="O738">
        <f>IF($AB738="","",INDEX('Per Line'!$Z$2:$Z$4001,$AB738))</f>
        <v/>
      </c>
      <c r="P738">
        <f>IF($AB738="","",IF(AND(ISNUMBER(O738),O738&gt;0),Z738&gt;O738,FALSE))</f>
        <v/>
      </c>
      <c r="Q738" s="7">
        <f>IF($AB738="","",SUMIFS('Per Line'!$U$2:$U$4001,'Per Line'!$C$2:$C$4001,$B738,'Per Line'!$AM$2:$AM$4001,1))</f>
        <v/>
      </c>
      <c r="R738">
        <f>IF($AB738="","",Settings!$C$7)</f>
        <v/>
      </c>
      <c r="S738" s="7">
        <f>IF($AB738="","",SUMIFS('Per Line'!$U$2:$U$4001,'Per Line'!$C$2:$C$4001,$B738,'Per Line'!$AL$2:$AL$4001,0,'Per Line'!$AM$2:$AM$4001,0))</f>
        <v/>
      </c>
      <c r="T738" s="7">
        <f>IF($AB738="","",S738*R738)</f>
        <v/>
      </c>
      <c r="U738">
        <f>IF($AB738="","",Settings!$C$6)</f>
        <v/>
      </c>
      <c r="V738" s="7">
        <f>IF($AB738="","",SUMIFS('Per Line'!$U$2:$U$4001,'Per Line'!$C$2:$C$4001,$B738,'Per Line'!$AL$2:$AL$4001,1,'Per Line'!$AM$2:$AM$4001,0))</f>
        <v/>
      </c>
      <c r="W738" s="7">
        <f>IF($AB738="","",V738*U738)</f>
        <v/>
      </c>
      <c r="X738" s="7">
        <f>IF($AB738="","",W738+T738)</f>
        <v/>
      </c>
      <c r="Y738" s="7">
        <f>IF($AB738="","",Z738-X738)</f>
        <v/>
      </c>
      <c r="Z738" s="7">
        <f>IF($AB738="","",S738+V738+Q738)</f>
        <v/>
      </c>
      <c r="AA738" s="7">
        <f>IF($AB738="","",Z738-X738-M738)</f>
        <v/>
      </c>
      <c r="AB738" s="13">
        <f>IF(ROWS($AB$2:$AB738)&lt;=MAX('Per Line'!$AK$2:$AK$4001),MATCH(ROWS($AB$2:$AB738),'Per Line'!$AK$2:$AK$4001,0),"")</f>
        <v/>
      </c>
      <c r="AC738" s="14">
        <f>IF($AB738="","",M738-L738*Z738/100)</f>
        <v/>
      </c>
    </row>
    <row r="739">
      <c r="A739" s="12" t="n"/>
      <c r="B739">
        <f>IF($AB739="","",INDEX('Per Line'!$C$2:$C$4001,$AB739)&amp;"")</f>
        <v/>
      </c>
      <c r="C739">
        <f>IF($AB739="","",INDEX('Per Line'!$D$2:$D$4001,$AB739)&amp;"")</f>
        <v/>
      </c>
      <c r="D739">
        <f>IF($AB739="","",INDEX('Per Line'!$B$2:$B$4001,$AB739)&amp;"")</f>
        <v/>
      </c>
      <c r="E739">
        <f>IF($AB739="","",INDEX('Per Line'!$A$2:$A$4001,$AB739))</f>
        <v/>
      </c>
      <c r="F739" s="11">
        <f>IF($AB739="","",INDEX('Per Line'!$E$2:$E$4001,$AB739))</f>
        <v/>
      </c>
      <c r="G739">
        <f>IF($AB739="","",INDEX('Per Line'!$F$2:$F$4001,$AB739)&amp;"")</f>
        <v/>
      </c>
      <c r="H739">
        <f>IF($AB739="","",INDEX('Per Line'!$H$2:$H$4001,$AB739)&amp;"")</f>
        <v/>
      </c>
      <c r="I739">
        <f>IF($AB739="","",INDEX('Per Line'!$I$2:$I$4001,$AB739)&amp;"")</f>
        <v/>
      </c>
      <c r="J739">
        <f>IF($AB739="","",INDEX('Per Line'!$J$2:$J$4001,$AB739)&amp;"")</f>
        <v/>
      </c>
      <c r="K739">
        <f>IF($AB739="","",INDEX('Per Line'!$K$2:$K$4001,$AB739)&amp;"")</f>
        <v/>
      </c>
      <c r="L739">
        <f>IF($AB739="","",INDEX('Per Line'!$L$2:$L$4001,$AB739))</f>
        <v/>
      </c>
      <c r="M739" s="7">
        <f>IF($AB739="","",IF(AND(ISNUMBER(O739),O739&gt;0,Z739&gt;O739),L739*O739/100+(Z739-O739),L739*Z739/100))</f>
        <v/>
      </c>
      <c r="N739">
        <f>IF($AB739="","",INDEX('Per Line'!$V$2:$V$4001,$AB739)&amp;"")</f>
        <v/>
      </c>
      <c r="O739">
        <f>IF($AB739="","",INDEX('Per Line'!$Z$2:$Z$4001,$AB739))</f>
        <v/>
      </c>
      <c r="P739">
        <f>IF($AB739="","",IF(AND(ISNUMBER(O739),O739&gt;0),Z739&gt;O739,FALSE))</f>
        <v/>
      </c>
      <c r="Q739" s="7">
        <f>IF($AB739="","",SUMIFS('Per Line'!$U$2:$U$4001,'Per Line'!$C$2:$C$4001,$B739,'Per Line'!$AM$2:$AM$4001,1))</f>
        <v/>
      </c>
      <c r="R739">
        <f>IF($AB739="","",Settings!$C$7)</f>
        <v/>
      </c>
      <c r="S739" s="7">
        <f>IF($AB739="","",SUMIFS('Per Line'!$U$2:$U$4001,'Per Line'!$C$2:$C$4001,$B739,'Per Line'!$AL$2:$AL$4001,0,'Per Line'!$AM$2:$AM$4001,0))</f>
        <v/>
      </c>
      <c r="T739" s="7">
        <f>IF($AB739="","",S739*R739)</f>
        <v/>
      </c>
      <c r="U739">
        <f>IF($AB739="","",Settings!$C$6)</f>
        <v/>
      </c>
      <c r="V739" s="7">
        <f>IF($AB739="","",SUMIFS('Per Line'!$U$2:$U$4001,'Per Line'!$C$2:$C$4001,$B739,'Per Line'!$AL$2:$AL$4001,1,'Per Line'!$AM$2:$AM$4001,0))</f>
        <v/>
      </c>
      <c r="W739" s="7">
        <f>IF($AB739="","",V739*U739)</f>
        <v/>
      </c>
      <c r="X739" s="7">
        <f>IF($AB739="","",W739+T739)</f>
        <v/>
      </c>
      <c r="Y739" s="7">
        <f>IF($AB739="","",Z739-X739)</f>
        <v/>
      </c>
      <c r="Z739" s="7">
        <f>IF($AB739="","",S739+V739+Q739)</f>
        <v/>
      </c>
      <c r="AA739" s="7">
        <f>IF($AB739="","",Z739-X739-M739)</f>
        <v/>
      </c>
      <c r="AB739" s="13">
        <f>IF(ROWS($AB$2:$AB739)&lt;=MAX('Per Line'!$AK$2:$AK$4001),MATCH(ROWS($AB$2:$AB739),'Per Line'!$AK$2:$AK$4001,0),"")</f>
        <v/>
      </c>
      <c r="AC739" s="14">
        <f>IF($AB739="","",M739-L739*Z739/100)</f>
        <v/>
      </c>
    </row>
    <row r="740">
      <c r="A740" s="12" t="n"/>
      <c r="B740">
        <f>IF($AB740="","",INDEX('Per Line'!$C$2:$C$4001,$AB740)&amp;"")</f>
        <v/>
      </c>
      <c r="C740">
        <f>IF($AB740="","",INDEX('Per Line'!$D$2:$D$4001,$AB740)&amp;"")</f>
        <v/>
      </c>
      <c r="D740">
        <f>IF($AB740="","",INDEX('Per Line'!$B$2:$B$4001,$AB740)&amp;"")</f>
        <v/>
      </c>
      <c r="E740">
        <f>IF($AB740="","",INDEX('Per Line'!$A$2:$A$4001,$AB740))</f>
        <v/>
      </c>
      <c r="F740" s="11">
        <f>IF($AB740="","",INDEX('Per Line'!$E$2:$E$4001,$AB740))</f>
        <v/>
      </c>
      <c r="G740">
        <f>IF($AB740="","",INDEX('Per Line'!$F$2:$F$4001,$AB740)&amp;"")</f>
        <v/>
      </c>
      <c r="H740">
        <f>IF($AB740="","",INDEX('Per Line'!$H$2:$H$4001,$AB740)&amp;"")</f>
        <v/>
      </c>
      <c r="I740">
        <f>IF($AB740="","",INDEX('Per Line'!$I$2:$I$4001,$AB740)&amp;"")</f>
        <v/>
      </c>
      <c r="J740">
        <f>IF($AB740="","",INDEX('Per Line'!$J$2:$J$4001,$AB740)&amp;"")</f>
        <v/>
      </c>
      <c r="K740">
        <f>IF($AB740="","",INDEX('Per Line'!$K$2:$K$4001,$AB740)&amp;"")</f>
        <v/>
      </c>
      <c r="L740">
        <f>IF($AB740="","",INDEX('Per Line'!$L$2:$L$4001,$AB740))</f>
        <v/>
      </c>
      <c r="M740" s="7">
        <f>IF($AB740="","",IF(AND(ISNUMBER(O740),O740&gt;0,Z740&gt;O740),L740*O740/100+(Z740-O740),L740*Z740/100))</f>
        <v/>
      </c>
      <c r="N740">
        <f>IF($AB740="","",INDEX('Per Line'!$V$2:$V$4001,$AB740)&amp;"")</f>
        <v/>
      </c>
      <c r="O740">
        <f>IF($AB740="","",INDEX('Per Line'!$Z$2:$Z$4001,$AB740))</f>
        <v/>
      </c>
      <c r="P740">
        <f>IF($AB740="","",IF(AND(ISNUMBER(O740),O740&gt;0),Z740&gt;O740,FALSE))</f>
        <v/>
      </c>
      <c r="Q740" s="7">
        <f>IF($AB740="","",SUMIFS('Per Line'!$U$2:$U$4001,'Per Line'!$C$2:$C$4001,$B740,'Per Line'!$AM$2:$AM$4001,1))</f>
        <v/>
      </c>
      <c r="R740">
        <f>IF($AB740="","",Settings!$C$7)</f>
        <v/>
      </c>
      <c r="S740" s="7">
        <f>IF($AB740="","",SUMIFS('Per Line'!$U$2:$U$4001,'Per Line'!$C$2:$C$4001,$B740,'Per Line'!$AL$2:$AL$4001,0,'Per Line'!$AM$2:$AM$4001,0))</f>
        <v/>
      </c>
      <c r="T740" s="7">
        <f>IF($AB740="","",S740*R740)</f>
        <v/>
      </c>
      <c r="U740">
        <f>IF($AB740="","",Settings!$C$6)</f>
        <v/>
      </c>
      <c r="V740" s="7">
        <f>IF($AB740="","",SUMIFS('Per Line'!$U$2:$U$4001,'Per Line'!$C$2:$C$4001,$B740,'Per Line'!$AL$2:$AL$4001,1,'Per Line'!$AM$2:$AM$4001,0))</f>
        <v/>
      </c>
      <c r="W740" s="7">
        <f>IF($AB740="","",V740*U740)</f>
        <v/>
      </c>
      <c r="X740" s="7">
        <f>IF($AB740="","",W740+T740)</f>
        <v/>
      </c>
      <c r="Y740" s="7">
        <f>IF($AB740="","",Z740-X740)</f>
        <v/>
      </c>
      <c r="Z740" s="7">
        <f>IF($AB740="","",S740+V740+Q740)</f>
        <v/>
      </c>
      <c r="AA740" s="7">
        <f>IF($AB740="","",Z740-X740-M740)</f>
        <v/>
      </c>
      <c r="AB740" s="13">
        <f>IF(ROWS($AB$2:$AB740)&lt;=MAX('Per Line'!$AK$2:$AK$4001),MATCH(ROWS($AB$2:$AB740),'Per Line'!$AK$2:$AK$4001,0),"")</f>
        <v/>
      </c>
      <c r="AC740" s="14">
        <f>IF($AB740="","",M740-L740*Z740/100)</f>
        <v/>
      </c>
    </row>
    <row r="741">
      <c r="A741" s="12" t="n"/>
      <c r="B741">
        <f>IF($AB741="","",INDEX('Per Line'!$C$2:$C$4001,$AB741)&amp;"")</f>
        <v/>
      </c>
      <c r="C741">
        <f>IF($AB741="","",INDEX('Per Line'!$D$2:$D$4001,$AB741)&amp;"")</f>
        <v/>
      </c>
      <c r="D741">
        <f>IF($AB741="","",INDEX('Per Line'!$B$2:$B$4001,$AB741)&amp;"")</f>
        <v/>
      </c>
      <c r="E741">
        <f>IF($AB741="","",INDEX('Per Line'!$A$2:$A$4001,$AB741))</f>
        <v/>
      </c>
      <c r="F741" s="11">
        <f>IF($AB741="","",INDEX('Per Line'!$E$2:$E$4001,$AB741))</f>
        <v/>
      </c>
      <c r="G741">
        <f>IF($AB741="","",INDEX('Per Line'!$F$2:$F$4001,$AB741)&amp;"")</f>
        <v/>
      </c>
      <c r="H741">
        <f>IF($AB741="","",INDEX('Per Line'!$H$2:$H$4001,$AB741)&amp;"")</f>
        <v/>
      </c>
      <c r="I741">
        <f>IF($AB741="","",INDEX('Per Line'!$I$2:$I$4001,$AB741)&amp;"")</f>
        <v/>
      </c>
      <c r="J741">
        <f>IF($AB741="","",INDEX('Per Line'!$J$2:$J$4001,$AB741)&amp;"")</f>
        <v/>
      </c>
      <c r="K741">
        <f>IF($AB741="","",INDEX('Per Line'!$K$2:$K$4001,$AB741)&amp;"")</f>
        <v/>
      </c>
      <c r="L741">
        <f>IF($AB741="","",INDEX('Per Line'!$L$2:$L$4001,$AB741))</f>
        <v/>
      </c>
      <c r="M741" s="7">
        <f>IF($AB741="","",IF(AND(ISNUMBER(O741),O741&gt;0,Z741&gt;O741),L741*O741/100+(Z741-O741),L741*Z741/100))</f>
        <v/>
      </c>
      <c r="N741">
        <f>IF($AB741="","",INDEX('Per Line'!$V$2:$V$4001,$AB741)&amp;"")</f>
        <v/>
      </c>
      <c r="O741">
        <f>IF($AB741="","",INDEX('Per Line'!$Z$2:$Z$4001,$AB741))</f>
        <v/>
      </c>
      <c r="P741">
        <f>IF($AB741="","",IF(AND(ISNUMBER(O741),O741&gt;0),Z741&gt;O741,FALSE))</f>
        <v/>
      </c>
      <c r="Q741" s="7">
        <f>IF($AB741="","",SUMIFS('Per Line'!$U$2:$U$4001,'Per Line'!$C$2:$C$4001,$B741,'Per Line'!$AM$2:$AM$4001,1))</f>
        <v/>
      </c>
      <c r="R741">
        <f>IF($AB741="","",Settings!$C$7)</f>
        <v/>
      </c>
      <c r="S741" s="7">
        <f>IF($AB741="","",SUMIFS('Per Line'!$U$2:$U$4001,'Per Line'!$C$2:$C$4001,$B741,'Per Line'!$AL$2:$AL$4001,0,'Per Line'!$AM$2:$AM$4001,0))</f>
        <v/>
      </c>
      <c r="T741" s="7">
        <f>IF($AB741="","",S741*R741)</f>
        <v/>
      </c>
      <c r="U741">
        <f>IF($AB741="","",Settings!$C$6)</f>
        <v/>
      </c>
      <c r="V741" s="7">
        <f>IF($AB741="","",SUMIFS('Per Line'!$U$2:$U$4001,'Per Line'!$C$2:$C$4001,$B741,'Per Line'!$AL$2:$AL$4001,1,'Per Line'!$AM$2:$AM$4001,0))</f>
        <v/>
      </c>
      <c r="W741" s="7">
        <f>IF($AB741="","",V741*U741)</f>
        <v/>
      </c>
      <c r="X741" s="7">
        <f>IF($AB741="","",W741+T741)</f>
        <v/>
      </c>
      <c r="Y741" s="7">
        <f>IF($AB741="","",Z741-X741)</f>
        <v/>
      </c>
      <c r="Z741" s="7">
        <f>IF($AB741="","",S741+V741+Q741)</f>
        <v/>
      </c>
      <c r="AA741" s="7">
        <f>IF($AB741="","",Z741-X741-M741)</f>
        <v/>
      </c>
      <c r="AB741" s="13">
        <f>IF(ROWS($AB$2:$AB741)&lt;=MAX('Per Line'!$AK$2:$AK$4001),MATCH(ROWS($AB$2:$AB741),'Per Line'!$AK$2:$AK$4001,0),"")</f>
        <v/>
      </c>
      <c r="AC741" s="14">
        <f>IF($AB741="","",M741-L741*Z741/100)</f>
        <v/>
      </c>
    </row>
    <row r="742">
      <c r="A742" s="12" t="n"/>
      <c r="B742">
        <f>IF($AB742="","",INDEX('Per Line'!$C$2:$C$4001,$AB742)&amp;"")</f>
        <v/>
      </c>
      <c r="C742">
        <f>IF($AB742="","",INDEX('Per Line'!$D$2:$D$4001,$AB742)&amp;"")</f>
        <v/>
      </c>
      <c r="D742">
        <f>IF($AB742="","",INDEX('Per Line'!$B$2:$B$4001,$AB742)&amp;"")</f>
        <v/>
      </c>
      <c r="E742">
        <f>IF($AB742="","",INDEX('Per Line'!$A$2:$A$4001,$AB742))</f>
        <v/>
      </c>
      <c r="F742" s="11">
        <f>IF($AB742="","",INDEX('Per Line'!$E$2:$E$4001,$AB742))</f>
        <v/>
      </c>
      <c r="G742">
        <f>IF($AB742="","",INDEX('Per Line'!$F$2:$F$4001,$AB742)&amp;"")</f>
        <v/>
      </c>
      <c r="H742">
        <f>IF($AB742="","",INDEX('Per Line'!$H$2:$H$4001,$AB742)&amp;"")</f>
        <v/>
      </c>
      <c r="I742">
        <f>IF($AB742="","",INDEX('Per Line'!$I$2:$I$4001,$AB742)&amp;"")</f>
        <v/>
      </c>
      <c r="J742">
        <f>IF($AB742="","",INDEX('Per Line'!$J$2:$J$4001,$AB742)&amp;"")</f>
        <v/>
      </c>
      <c r="K742">
        <f>IF($AB742="","",INDEX('Per Line'!$K$2:$K$4001,$AB742)&amp;"")</f>
        <v/>
      </c>
      <c r="L742">
        <f>IF($AB742="","",INDEX('Per Line'!$L$2:$L$4001,$AB742))</f>
        <v/>
      </c>
      <c r="M742" s="7">
        <f>IF($AB742="","",IF(AND(ISNUMBER(O742),O742&gt;0,Z742&gt;O742),L742*O742/100+(Z742-O742),L742*Z742/100))</f>
        <v/>
      </c>
      <c r="N742">
        <f>IF($AB742="","",INDEX('Per Line'!$V$2:$V$4001,$AB742)&amp;"")</f>
        <v/>
      </c>
      <c r="O742">
        <f>IF($AB742="","",INDEX('Per Line'!$Z$2:$Z$4001,$AB742))</f>
        <v/>
      </c>
      <c r="P742">
        <f>IF($AB742="","",IF(AND(ISNUMBER(O742),O742&gt;0),Z742&gt;O742,FALSE))</f>
        <v/>
      </c>
      <c r="Q742" s="7">
        <f>IF($AB742="","",SUMIFS('Per Line'!$U$2:$U$4001,'Per Line'!$C$2:$C$4001,$B742,'Per Line'!$AM$2:$AM$4001,1))</f>
        <v/>
      </c>
      <c r="R742">
        <f>IF($AB742="","",Settings!$C$7)</f>
        <v/>
      </c>
      <c r="S742" s="7">
        <f>IF($AB742="","",SUMIFS('Per Line'!$U$2:$U$4001,'Per Line'!$C$2:$C$4001,$B742,'Per Line'!$AL$2:$AL$4001,0,'Per Line'!$AM$2:$AM$4001,0))</f>
        <v/>
      </c>
      <c r="T742" s="7">
        <f>IF($AB742="","",S742*R742)</f>
        <v/>
      </c>
      <c r="U742">
        <f>IF($AB742="","",Settings!$C$6)</f>
        <v/>
      </c>
      <c r="V742" s="7">
        <f>IF($AB742="","",SUMIFS('Per Line'!$U$2:$U$4001,'Per Line'!$C$2:$C$4001,$B742,'Per Line'!$AL$2:$AL$4001,1,'Per Line'!$AM$2:$AM$4001,0))</f>
        <v/>
      </c>
      <c r="W742" s="7">
        <f>IF($AB742="","",V742*U742)</f>
        <v/>
      </c>
      <c r="X742" s="7">
        <f>IF($AB742="","",W742+T742)</f>
        <v/>
      </c>
      <c r="Y742" s="7">
        <f>IF($AB742="","",Z742-X742)</f>
        <v/>
      </c>
      <c r="Z742" s="7">
        <f>IF($AB742="","",S742+V742+Q742)</f>
        <v/>
      </c>
      <c r="AA742" s="7">
        <f>IF($AB742="","",Z742-X742-M742)</f>
        <v/>
      </c>
      <c r="AB742" s="13">
        <f>IF(ROWS($AB$2:$AB742)&lt;=MAX('Per Line'!$AK$2:$AK$4001),MATCH(ROWS($AB$2:$AB742),'Per Line'!$AK$2:$AK$4001,0),"")</f>
        <v/>
      </c>
      <c r="AC742" s="14">
        <f>IF($AB742="","",M742-L742*Z742/100)</f>
        <v/>
      </c>
    </row>
    <row r="743">
      <c r="A743" s="12" t="n"/>
      <c r="B743">
        <f>IF($AB743="","",INDEX('Per Line'!$C$2:$C$4001,$AB743)&amp;"")</f>
        <v/>
      </c>
      <c r="C743">
        <f>IF($AB743="","",INDEX('Per Line'!$D$2:$D$4001,$AB743)&amp;"")</f>
        <v/>
      </c>
      <c r="D743">
        <f>IF($AB743="","",INDEX('Per Line'!$B$2:$B$4001,$AB743)&amp;"")</f>
        <v/>
      </c>
      <c r="E743">
        <f>IF($AB743="","",INDEX('Per Line'!$A$2:$A$4001,$AB743))</f>
        <v/>
      </c>
      <c r="F743" s="11">
        <f>IF($AB743="","",INDEX('Per Line'!$E$2:$E$4001,$AB743))</f>
        <v/>
      </c>
      <c r="G743">
        <f>IF($AB743="","",INDEX('Per Line'!$F$2:$F$4001,$AB743)&amp;"")</f>
        <v/>
      </c>
      <c r="H743">
        <f>IF($AB743="","",INDEX('Per Line'!$H$2:$H$4001,$AB743)&amp;"")</f>
        <v/>
      </c>
      <c r="I743">
        <f>IF($AB743="","",INDEX('Per Line'!$I$2:$I$4001,$AB743)&amp;"")</f>
        <v/>
      </c>
      <c r="J743">
        <f>IF($AB743="","",INDEX('Per Line'!$J$2:$J$4001,$AB743)&amp;"")</f>
        <v/>
      </c>
      <c r="K743">
        <f>IF($AB743="","",INDEX('Per Line'!$K$2:$K$4001,$AB743)&amp;"")</f>
        <v/>
      </c>
      <c r="L743">
        <f>IF($AB743="","",INDEX('Per Line'!$L$2:$L$4001,$AB743))</f>
        <v/>
      </c>
      <c r="M743" s="7">
        <f>IF($AB743="","",IF(AND(ISNUMBER(O743),O743&gt;0,Z743&gt;O743),L743*O743/100+(Z743-O743),L743*Z743/100))</f>
        <v/>
      </c>
      <c r="N743">
        <f>IF($AB743="","",INDEX('Per Line'!$V$2:$V$4001,$AB743)&amp;"")</f>
        <v/>
      </c>
      <c r="O743">
        <f>IF($AB743="","",INDEX('Per Line'!$Z$2:$Z$4001,$AB743))</f>
        <v/>
      </c>
      <c r="P743">
        <f>IF($AB743="","",IF(AND(ISNUMBER(O743),O743&gt;0),Z743&gt;O743,FALSE))</f>
        <v/>
      </c>
      <c r="Q743" s="7">
        <f>IF($AB743="","",SUMIFS('Per Line'!$U$2:$U$4001,'Per Line'!$C$2:$C$4001,$B743,'Per Line'!$AM$2:$AM$4001,1))</f>
        <v/>
      </c>
      <c r="R743">
        <f>IF($AB743="","",Settings!$C$7)</f>
        <v/>
      </c>
      <c r="S743" s="7">
        <f>IF($AB743="","",SUMIFS('Per Line'!$U$2:$U$4001,'Per Line'!$C$2:$C$4001,$B743,'Per Line'!$AL$2:$AL$4001,0,'Per Line'!$AM$2:$AM$4001,0))</f>
        <v/>
      </c>
      <c r="T743" s="7">
        <f>IF($AB743="","",S743*R743)</f>
        <v/>
      </c>
      <c r="U743">
        <f>IF($AB743="","",Settings!$C$6)</f>
        <v/>
      </c>
      <c r="V743" s="7">
        <f>IF($AB743="","",SUMIFS('Per Line'!$U$2:$U$4001,'Per Line'!$C$2:$C$4001,$B743,'Per Line'!$AL$2:$AL$4001,1,'Per Line'!$AM$2:$AM$4001,0))</f>
        <v/>
      </c>
      <c r="W743" s="7">
        <f>IF($AB743="","",V743*U743)</f>
        <v/>
      </c>
      <c r="X743" s="7">
        <f>IF($AB743="","",W743+T743)</f>
        <v/>
      </c>
      <c r="Y743" s="7">
        <f>IF($AB743="","",Z743-X743)</f>
        <v/>
      </c>
      <c r="Z743" s="7">
        <f>IF($AB743="","",S743+V743+Q743)</f>
        <v/>
      </c>
      <c r="AA743" s="7">
        <f>IF($AB743="","",Z743-X743-M743)</f>
        <v/>
      </c>
      <c r="AB743" s="13">
        <f>IF(ROWS($AB$2:$AB743)&lt;=MAX('Per Line'!$AK$2:$AK$4001),MATCH(ROWS($AB$2:$AB743),'Per Line'!$AK$2:$AK$4001,0),"")</f>
        <v/>
      </c>
      <c r="AC743" s="14">
        <f>IF($AB743="","",M743-L743*Z743/100)</f>
        <v/>
      </c>
    </row>
    <row r="744">
      <c r="A744" s="12" t="n"/>
      <c r="B744">
        <f>IF($AB744="","",INDEX('Per Line'!$C$2:$C$4001,$AB744)&amp;"")</f>
        <v/>
      </c>
      <c r="C744">
        <f>IF($AB744="","",INDEX('Per Line'!$D$2:$D$4001,$AB744)&amp;"")</f>
        <v/>
      </c>
      <c r="D744">
        <f>IF($AB744="","",INDEX('Per Line'!$B$2:$B$4001,$AB744)&amp;"")</f>
        <v/>
      </c>
      <c r="E744">
        <f>IF($AB744="","",INDEX('Per Line'!$A$2:$A$4001,$AB744))</f>
        <v/>
      </c>
      <c r="F744" s="11">
        <f>IF($AB744="","",INDEX('Per Line'!$E$2:$E$4001,$AB744))</f>
        <v/>
      </c>
      <c r="G744">
        <f>IF($AB744="","",INDEX('Per Line'!$F$2:$F$4001,$AB744)&amp;"")</f>
        <v/>
      </c>
      <c r="H744">
        <f>IF($AB744="","",INDEX('Per Line'!$H$2:$H$4001,$AB744)&amp;"")</f>
        <v/>
      </c>
      <c r="I744">
        <f>IF($AB744="","",INDEX('Per Line'!$I$2:$I$4001,$AB744)&amp;"")</f>
        <v/>
      </c>
      <c r="J744">
        <f>IF($AB744="","",INDEX('Per Line'!$J$2:$J$4001,$AB744)&amp;"")</f>
        <v/>
      </c>
      <c r="K744">
        <f>IF($AB744="","",INDEX('Per Line'!$K$2:$K$4001,$AB744)&amp;"")</f>
        <v/>
      </c>
      <c r="L744">
        <f>IF($AB744="","",INDEX('Per Line'!$L$2:$L$4001,$AB744))</f>
        <v/>
      </c>
      <c r="M744" s="7">
        <f>IF($AB744="","",IF(AND(ISNUMBER(O744),O744&gt;0,Z744&gt;O744),L744*O744/100+(Z744-O744),L744*Z744/100))</f>
        <v/>
      </c>
      <c r="N744">
        <f>IF($AB744="","",INDEX('Per Line'!$V$2:$V$4001,$AB744)&amp;"")</f>
        <v/>
      </c>
      <c r="O744">
        <f>IF($AB744="","",INDEX('Per Line'!$Z$2:$Z$4001,$AB744))</f>
        <v/>
      </c>
      <c r="P744">
        <f>IF($AB744="","",IF(AND(ISNUMBER(O744),O744&gt;0),Z744&gt;O744,FALSE))</f>
        <v/>
      </c>
      <c r="Q744" s="7">
        <f>IF($AB744="","",SUMIFS('Per Line'!$U$2:$U$4001,'Per Line'!$C$2:$C$4001,$B744,'Per Line'!$AM$2:$AM$4001,1))</f>
        <v/>
      </c>
      <c r="R744">
        <f>IF($AB744="","",Settings!$C$7)</f>
        <v/>
      </c>
      <c r="S744" s="7">
        <f>IF($AB744="","",SUMIFS('Per Line'!$U$2:$U$4001,'Per Line'!$C$2:$C$4001,$B744,'Per Line'!$AL$2:$AL$4001,0,'Per Line'!$AM$2:$AM$4001,0))</f>
        <v/>
      </c>
      <c r="T744" s="7">
        <f>IF($AB744="","",S744*R744)</f>
        <v/>
      </c>
      <c r="U744">
        <f>IF($AB744="","",Settings!$C$6)</f>
        <v/>
      </c>
      <c r="V744" s="7">
        <f>IF($AB744="","",SUMIFS('Per Line'!$U$2:$U$4001,'Per Line'!$C$2:$C$4001,$B744,'Per Line'!$AL$2:$AL$4001,1,'Per Line'!$AM$2:$AM$4001,0))</f>
        <v/>
      </c>
      <c r="W744" s="7">
        <f>IF($AB744="","",V744*U744)</f>
        <v/>
      </c>
      <c r="X744" s="7">
        <f>IF($AB744="","",W744+T744)</f>
        <v/>
      </c>
      <c r="Y744" s="7">
        <f>IF($AB744="","",Z744-X744)</f>
        <v/>
      </c>
      <c r="Z744" s="7">
        <f>IF($AB744="","",S744+V744+Q744)</f>
        <v/>
      </c>
      <c r="AA744" s="7">
        <f>IF($AB744="","",Z744-X744-M744)</f>
        <v/>
      </c>
      <c r="AB744" s="13">
        <f>IF(ROWS($AB$2:$AB744)&lt;=MAX('Per Line'!$AK$2:$AK$4001),MATCH(ROWS($AB$2:$AB744),'Per Line'!$AK$2:$AK$4001,0),"")</f>
        <v/>
      </c>
      <c r="AC744" s="14">
        <f>IF($AB744="","",M744-L744*Z744/100)</f>
        <v/>
      </c>
    </row>
    <row r="745">
      <c r="A745" s="12" t="n"/>
      <c r="B745">
        <f>IF($AB745="","",INDEX('Per Line'!$C$2:$C$4001,$AB745)&amp;"")</f>
        <v/>
      </c>
      <c r="C745">
        <f>IF($AB745="","",INDEX('Per Line'!$D$2:$D$4001,$AB745)&amp;"")</f>
        <v/>
      </c>
      <c r="D745">
        <f>IF($AB745="","",INDEX('Per Line'!$B$2:$B$4001,$AB745)&amp;"")</f>
        <v/>
      </c>
      <c r="E745">
        <f>IF($AB745="","",INDEX('Per Line'!$A$2:$A$4001,$AB745))</f>
        <v/>
      </c>
      <c r="F745" s="11">
        <f>IF($AB745="","",INDEX('Per Line'!$E$2:$E$4001,$AB745))</f>
        <v/>
      </c>
      <c r="G745">
        <f>IF($AB745="","",INDEX('Per Line'!$F$2:$F$4001,$AB745)&amp;"")</f>
        <v/>
      </c>
      <c r="H745">
        <f>IF($AB745="","",INDEX('Per Line'!$H$2:$H$4001,$AB745)&amp;"")</f>
        <v/>
      </c>
      <c r="I745">
        <f>IF($AB745="","",INDEX('Per Line'!$I$2:$I$4001,$AB745)&amp;"")</f>
        <v/>
      </c>
      <c r="J745">
        <f>IF($AB745="","",INDEX('Per Line'!$J$2:$J$4001,$AB745)&amp;"")</f>
        <v/>
      </c>
      <c r="K745">
        <f>IF($AB745="","",INDEX('Per Line'!$K$2:$K$4001,$AB745)&amp;"")</f>
        <v/>
      </c>
      <c r="L745">
        <f>IF($AB745="","",INDEX('Per Line'!$L$2:$L$4001,$AB745))</f>
        <v/>
      </c>
      <c r="M745" s="7">
        <f>IF($AB745="","",IF(AND(ISNUMBER(O745),O745&gt;0,Z745&gt;O745),L745*O745/100+(Z745-O745),L745*Z745/100))</f>
        <v/>
      </c>
      <c r="N745">
        <f>IF($AB745="","",INDEX('Per Line'!$V$2:$V$4001,$AB745)&amp;"")</f>
        <v/>
      </c>
      <c r="O745">
        <f>IF($AB745="","",INDEX('Per Line'!$Z$2:$Z$4001,$AB745))</f>
        <v/>
      </c>
      <c r="P745">
        <f>IF($AB745="","",IF(AND(ISNUMBER(O745),O745&gt;0),Z745&gt;O745,FALSE))</f>
        <v/>
      </c>
      <c r="Q745" s="7">
        <f>IF($AB745="","",SUMIFS('Per Line'!$U$2:$U$4001,'Per Line'!$C$2:$C$4001,$B745,'Per Line'!$AM$2:$AM$4001,1))</f>
        <v/>
      </c>
      <c r="R745">
        <f>IF($AB745="","",Settings!$C$7)</f>
        <v/>
      </c>
      <c r="S745" s="7">
        <f>IF($AB745="","",SUMIFS('Per Line'!$U$2:$U$4001,'Per Line'!$C$2:$C$4001,$B745,'Per Line'!$AL$2:$AL$4001,0,'Per Line'!$AM$2:$AM$4001,0))</f>
        <v/>
      </c>
      <c r="T745" s="7">
        <f>IF($AB745="","",S745*R745)</f>
        <v/>
      </c>
      <c r="U745">
        <f>IF($AB745="","",Settings!$C$6)</f>
        <v/>
      </c>
      <c r="V745" s="7">
        <f>IF($AB745="","",SUMIFS('Per Line'!$U$2:$U$4001,'Per Line'!$C$2:$C$4001,$B745,'Per Line'!$AL$2:$AL$4001,1,'Per Line'!$AM$2:$AM$4001,0))</f>
        <v/>
      </c>
      <c r="W745" s="7">
        <f>IF($AB745="","",V745*U745)</f>
        <v/>
      </c>
      <c r="X745" s="7">
        <f>IF($AB745="","",W745+T745)</f>
        <v/>
      </c>
      <c r="Y745" s="7">
        <f>IF($AB745="","",Z745-X745)</f>
        <v/>
      </c>
      <c r="Z745" s="7">
        <f>IF($AB745="","",S745+V745+Q745)</f>
        <v/>
      </c>
      <c r="AA745" s="7">
        <f>IF($AB745="","",Z745-X745-M745)</f>
        <v/>
      </c>
      <c r="AB745" s="13">
        <f>IF(ROWS($AB$2:$AB745)&lt;=MAX('Per Line'!$AK$2:$AK$4001),MATCH(ROWS($AB$2:$AB745),'Per Line'!$AK$2:$AK$4001,0),"")</f>
        <v/>
      </c>
      <c r="AC745" s="14">
        <f>IF($AB745="","",M745-L745*Z745/100)</f>
        <v/>
      </c>
    </row>
    <row r="746">
      <c r="A746" s="12" t="n"/>
      <c r="B746">
        <f>IF($AB746="","",INDEX('Per Line'!$C$2:$C$4001,$AB746)&amp;"")</f>
        <v/>
      </c>
      <c r="C746">
        <f>IF($AB746="","",INDEX('Per Line'!$D$2:$D$4001,$AB746)&amp;"")</f>
        <v/>
      </c>
      <c r="D746">
        <f>IF($AB746="","",INDEX('Per Line'!$B$2:$B$4001,$AB746)&amp;"")</f>
        <v/>
      </c>
      <c r="E746">
        <f>IF($AB746="","",INDEX('Per Line'!$A$2:$A$4001,$AB746))</f>
        <v/>
      </c>
      <c r="F746" s="11">
        <f>IF($AB746="","",INDEX('Per Line'!$E$2:$E$4001,$AB746))</f>
        <v/>
      </c>
      <c r="G746">
        <f>IF($AB746="","",INDEX('Per Line'!$F$2:$F$4001,$AB746)&amp;"")</f>
        <v/>
      </c>
      <c r="H746">
        <f>IF($AB746="","",INDEX('Per Line'!$H$2:$H$4001,$AB746)&amp;"")</f>
        <v/>
      </c>
      <c r="I746">
        <f>IF($AB746="","",INDEX('Per Line'!$I$2:$I$4001,$AB746)&amp;"")</f>
        <v/>
      </c>
      <c r="J746">
        <f>IF($AB746="","",INDEX('Per Line'!$J$2:$J$4001,$AB746)&amp;"")</f>
        <v/>
      </c>
      <c r="K746">
        <f>IF($AB746="","",INDEX('Per Line'!$K$2:$K$4001,$AB746)&amp;"")</f>
        <v/>
      </c>
      <c r="L746">
        <f>IF($AB746="","",INDEX('Per Line'!$L$2:$L$4001,$AB746))</f>
        <v/>
      </c>
      <c r="M746" s="7">
        <f>IF($AB746="","",IF(AND(ISNUMBER(O746),O746&gt;0,Z746&gt;O746),L746*O746/100+(Z746-O746),L746*Z746/100))</f>
        <v/>
      </c>
      <c r="N746">
        <f>IF($AB746="","",INDEX('Per Line'!$V$2:$V$4001,$AB746)&amp;"")</f>
        <v/>
      </c>
      <c r="O746">
        <f>IF($AB746="","",INDEX('Per Line'!$Z$2:$Z$4001,$AB746))</f>
        <v/>
      </c>
      <c r="P746">
        <f>IF($AB746="","",IF(AND(ISNUMBER(O746),O746&gt;0),Z746&gt;O746,FALSE))</f>
        <v/>
      </c>
      <c r="Q746" s="7">
        <f>IF($AB746="","",SUMIFS('Per Line'!$U$2:$U$4001,'Per Line'!$C$2:$C$4001,$B746,'Per Line'!$AM$2:$AM$4001,1))</f>
        <v/>
      </c>
      <c r="R746">
        <f>IF($AB746="","",Settings!$C$7)</f>
        <v/>
      </c>
      <c r="S746" s="7">
        <f>IF($AB746="","",SUMIFS('Per Line'!$U$2:$U$4001,'Per Line'!$C$2:$C$4001,$B746,'Per Line'!$AL$2:$AL$4001,0,'Per Line'!$AM$2:$AM$4001,0))</f>
        <v/>
      </c>
      <c r="T746" s="7">
        <f>IF($AB746="","",S746*R746)</f>
        <v/>
      </c>
      <c r="U746">
        <f>IF($AB746="","",Settings!$C$6)</f>
        <v/>
      </c>
      <c r="V746" s="7">
        <f>IF($AB746="","",SUMIFS('Per Line'!$U$2:$U$4001,'Per Line'!$C$2:$C$4001,$B746,'Per Line'!$AL$2:$AL$4001,1,'Per Line'!$AM$2:$AM$4001,0))</f>
        <v/>
      </c>
      <c r="W746" s="7">
        <f>IF($AB746="","",V746*U746)</f>
        <v/>
      </c>
      <c r="X746" s="7">
        <f>IF($AB746="","",W746+T746)</f>
        <v/>
      </c>
      <c r="Y746" s="7">
        <f>IF($AB746="","",Z746-X746)</f>
        <v/>
      </c>
      <c r="Z746" s="7">
        <f>IF($AB746="","",S746+V746+Q746)</f>
        <v/>
      </c>
      <c r="AA746" s="7">
        <f>IF($AB746="","",Z746-X746-M746)</f>
        <v/>
      </c>
      <c r="AB746" s="13">
        <f>IF(ROWS($AB$2:$AB746)&lt;=MAX('Per Line'!$AK$2:$AK$4001),MATCH(ROWS($AB$2:$AB746),'Per Line'!$AK$2:$AK$4001,0),"")</f>
        <v/>
      </c>
      <c r="AC746" s="14">
        <f>IF($AB746="","",M746-L746*Z746/100)</f>
        <v/>
      </c>
    </row>
    <row r="747">
      <c r="A747" s="12" t="n"/>
      <c r="B747">
        <f>IF($AB747="","",INDEX('Per Line'!$C$2:$C$4001,$AB747)&amp;"")</f>
        <v/>
      </c>
      <c r="C747">
        <f>IF($AB747="","",INDEX('Per Line'!$D$2:$D$4001,$AB747)&amp;"")</f>
        <v/>
      </c>
      <c r="D747">
        <f>IF($AB747="","",INDEX('Per Line'!$B$2:$B$4001,$AB747)&amp;"")</f>
        <v/>
      </c>
      <c r="E747">
        <f>IF($AB747="","",INDEX('Per Line'!$A$2:$A$4001,$AB747))</f>
        <v/>
      </c>
      <c r="F747" s="11">
        <f>IF($AB747="","",INDEX('Per Line'!$E$2:$E$4001,$AB747))</f>
        <v/>
      </c>
      <c r="G747">
        <f>IF($AB747="","",INDEX('Per Line'!$F$2:$F$4001,$AB747)&amp;"")</f>
        <v/>
      </c>
      <c r="H747">
        <f>IF($AB747="","",INDEX('Per Line'!$H$2:$H$4001,$AB747)&amp;"")</f>
        <v/>
      </c>
      <c r="I747">
        <f>IF($AB747="","",INDEX('Per Line'!$I$2:$I$4001,$AB747)&amp;"")</f>
        <v/>
      </c>
      <c r="J747">
        <f>IF($AB747="","",INDEX('Per Line'!$J$2:$J$4001,$AB747)&amp;"")</f>
        <v/>
      </c>
      <c r="K747">
        <f>IF($AB747="","",INDEX('Per Line'!$K$2:$K$4001,$AB747)&amp;"")</f>
        <v/>
      </c>
      <c r="L747">
        <f>IF($AB747="","",INDEX('Per Line'!$L$2:$L$4001,$AB747))</f>
        <v/>
      </c>
      <c r="M747" s="7">
        <f>IF($AB747="","",IF(AND(ISNUMBER(O747),O747&gt;0,Z747&gt;O747),L747*O747/100+(Z747-O747),L747*Z747/100))</f>
        <v/>
      </c>
      <c r="N747">
        <f>IF($AB747="","",INDEX('Per Line'!$V$2:$V$4001,$AB747)&amp;"")</f>
        <v/>
      </c>
      <c r="O747">
        <f>IF($AB747="","",INDEX('Per Line'!$Z$2:$Z$4001,$AB747))</f>
        <v/>
      </c>
      <c r="P747">
        <f>IF($AB747="","",IF(AND(ISNUMBER(O747),O747&gt;0),Z747&gt;O747,FALSE))</f>
        <v/>
      </c>
      <c r="Q747" s="7">
        <f>IF($AB747="","",SUMIFS('Per Line'!$U$2:$U$4001,'Per Line'!$C$2:$C$4001,$B747,'Per Line'!$AM$2:$AM$4001,1))</f>
        <v/>
      </c>
      <c r="R747">
        <f>IF($AB747="","",Settings!$C$7)</f>
        <v/>
      </c>
      <c r="S747" s="7">
        <f>IF($AB747="","",SUMIFS('Per Line'!$U$2:$U$4001,'Per Line'!$C$2:$C$4001,$B747,'Per Line'!$AL$2:$AL$4001,0,'Per Line'!$AM$2:$AM$4001,0))</f>
        <v/>
      </c>
      <c r="T747" s="7">
        <f>IF($AB747="","",S747*R747)</f>
        <v/>
      </c>
      <c r="U747">
        <f>IF($AB747="","",Settings!$C$6)</f>
        <v/>
      </c>
      <c r="V747" s="7">
        <f>IF($AB747="","",SUMIFS('Per Line'!$U$2:$U$4001,'Per Line'!$C$2:$C$4001,$B747,'Per Line'!$AL$2:$AL$4001,1,'Per Line'!$AM$2:$AM$4001,0))</f>
        <v/>
      </c>
      <c r="W747" s="7">
        <f>IF($AB747="","",V747*U747)</f>
        <v/>
      </c>
      <c r="X747" s="7">
        <f>IF($AB747="","",W747+T747)</f>
        <v/>
      </c>
      <c r="Y747" s="7">
        <f>IF($AB747="","",Z747-X747)</f>
        <v/>
      </c>
      <c r="Z747" s="7">
        <f>IF($AB747="","",S747+V747+Q747)</f>
        <v/>
      </c>
      <c r="AA747" s="7">
        <f>IF($AB747="","",Z747-X747-M747)</f>
        <v/>
      </c>
      <c r="AB747" s="13">
        <f>IF(ROWS($AB$2:$AB747)&lt;=MAX('Per Line'!$AK$2:$AK$4001),MATCH(ROWS($AB$2:$AB747),'Per Line'!$AK$2:$AK$4001,0),"")</f>
        <v/>
      </c>
      <c r="AC747" s="14">
        <f>IF($AB747="","",M747-L747*Z747/100)</f>
        <v/>
      </c>
    </row>
    <row r="748">
      <c r="A748" s="12" t="n"/>
      <c r="B748">
        <f>IF($AB748="","",INDEX('Per Line'!$C$2:$C$4001,$AB748)&amp;"")</f>
        <v/>
      </c>
      <c r="C748">
        <f>IF($AB748="","",INDEX('Per Line'!$D$2:$D$4001,$AB748)&amp;"")</f>
        <v/>
      </c>
      <c r="D748">
        <f>IF($AB748="","",INDEX('Per Line'!$B$2:$B$4001,$AB748)&amp;"")</f>
        <v/>
      </c>
      <c r="E748">
        <f>IF($AB748="","",INDEX('Per Line'!$A$2:$A$4001,$AB748))</f>
        <v/>
      </c>
      <c r="F748" s="11">
        <f>IF($AB748="","",INDEX('Per Line'!$E$2:$E$4001,$AB748))</f>
        <v/>
      </c>
      <c r="G748">
        <f>IF($AB748="","",INDEX('Per Line'!$F$2:$F$4001,$AB748)&amp;"")</f>
        <v/>
      </c>
      <c r="H748">
        <f>IF($AB748="","",INDEX('Per Line'!$H$2:$H$4001,$AB748)&amp;"")</f>
        <v/>
      </c>
      <c r="I748">
        <f>IF($AB748="","",INDEX('Per Line'!$I$2:$I$4001,$AB748)&amp;"")</f>
        <v/>
      </c>
      <c r="J748">
        <f>IF($AB748="","",INDEX('Per Line'!$J$2:$J$4001,$AB748)&amp;"")</f>
        <v/>
      </c>
      <c r="K748">
        <f>IF($AB748="","",INDEX('Per Line'!$K$2:$K$4001,$AB748)&amp;"")</f>
        <v/>
      </c>
      <c r="L748">
        <f>IF($AB748="","",INDEX('Per Line'!$L$2:$L$4001,$AB748))</f>
        <v/>
      </c>
      <c r="M748" s="7">
        <f>IF($AB748="","",IF(AND(ISNUMBER(O748),O748&gt;0,Z748&gt;O748),L748*O748/100+(Z748-O748),L748*Z748/100))</f>
        <v/>
      </c>
      <c r="N748">
        <f>IF($AB748="","",INDEX('Per Line'!$V$2:$V$4001,$AB748)&amp;"")</f>
        <v/>
      </c>
      <c r="O748">
        <f>IF($AB748="","",INDEX('Per Line'!$Z$2:$Z$4001,$AB748))</f>
        <v/>
      </c>
      <c r="P748">
        <f>IF($AB748="","",IF(AND(ISNUMBER(O748),O748&gt;0),Z748&gt;O748,FALSE))</f>
        <v/>
      </c>
      <c r="Q748" s="7">
        <f>IF($AB748="","",SUMIFS('Per Line'!$U$2:$U$4001,'Per Line'!$C$2:$C$4001,$B748,'Per Line'!$AM$2:$AM$4001,1))</f>
        <v/>
      </c>
      <c r="R748">
        <f>IF($AB748="","",Settings!$C$7)</f>
        <v/>
      </c>
      <c r="S748" s="7">
        <f>IF($AB748="","",SUMIFS('Per Line'!$U$2:$U$4001,'Per Line'!$C$2:$C$4001,$B748,'Per Line'!$AL$2:$AL$4001,0,'Per Line'!$AM$2:$AM$4001,0))</f>
        <v/>
      </c>
      <c r="T748" s="7">
        <f>IF($AB748="","",S748*R748)</f>
        <v/>
      </c>
      <c r="U748">
        <f>IF($AB748="","",Settings!$C$6)</f>
        <v/>
      </c>
      <c r="V748" s="7">
        <f>IF($AB748="","",SUMIFS('Per Line'!$U$2:$U$4001,'Per Line'!$C$2:$C$4001,$B748,'Per Line'!$AL$2:$AL$4001,1,'Per Line'!$AM$2:$AM$4001,0))</f>
        <v/>
      </c>
      <c r="W748" s="7">
        <f>IF($AB748="","",V748*U748)</f>
        <v/>
      </c>
      <c r="X748" s="7">
        <f>IF($AB748="","",W748+T748)</f>
        <v/>
      </c>
      <c r="Y748" s="7">
        <f>IF($AB748="","",Z748-X748)</f>
        <v/>
      </c>
      <c r="Z748" s="7">
        <f>IF($AB748="","",S748+V748+Q748)</f>
        <v/>
      </c>
      <c r="AA748" s="7">
        <f>IF($AB748="","",Z748-X748-M748)</f>
        <v/>
      </c>
      <c r="AB748" s="13">
        <f>IF(ROWS($AB$2:$AB748)&lt;=MAX('Per Line'!$AK$2:$AK$4001),MATCH(ROWS($AB$2:$AB748),'Per Line'!$AK$2:$AK$4001,0),"")</f>
        <v/>
      </c>
      <c r="AC748" s="14">
        <f>IF($AB748="","",M748-L748*Z748/100)</f>
        <v/>
      </c>
    </row>
    <row r="749">
      <c r="A749" s="12" t="n"/>
      <c r="B749">
        <f>IF($AB749="","",INDEX('Per Line'!$C$2:$C$4001,$AB749)&amp;"")</f>
        <v/>
      </c>
      <c r="C749">
        <f>IF($AB749="","",INDEX('Per Line'!$D$2:$D$4001,$AB749)&amp;"")</f>
        <v/>
      </c>
      <c r="D749">
        <f>IF($AB749="","",INDEX('Per Line'!$B$2:$B$4001,$AB749)&amp;"")</f>
        <v/>
      </c>
      <c r="E749">
        <f>IF($AB749="","",INDEX('Per Line'!$A$2:$A$4001,$AB749))</f>
        <v/>
      </c>
      <c r="F749" s="11">
        <f>IF($AB749="","",INDEX('Per Line'!$E$2:$E$4001,$AB749))</f>
        <v/>
      </c>
      <c r="G749">
        <f>IF($AB749="","",INDEX('Per Line'!$F$2:$F$4001,$AB749)&amp;"")</f>
        <v/>
      </c>
      <c r="H749">
        <f>IF($AB749="","",INDEX('Per Line'!$H$2:$H$4001,$AB749)&amp;"")</f>
        <v/>
      </c>
      <c r="I749">
        <f>IF($AB749="","",INDEX('Per Line'!$I$2:$I$4001,$AB749)&amp;"")</f>
        <v/>
      </c>
      <c r="J749">
        <f>IF($AB749="","",INDEX('Per Line'!$J$2:$J$4001,$AB749)&amp;"")</f>
        <v/>
      </c>
      <c r="K749">
        <f>IF($AB749="","",INDEX('Per Line'!$K$2:$K$4001,$AB749)&amp;"")</f>
        <v/>
      </c>
      <c r="L749">
        <f>IF($AB749="","",INDEX('Per Line'!$L$2:$L$4001,$AB749))</f>
        <v/>
      </c>
      <c r="M749" s="7">
        <f>IF($AB749="","",IF(AND(ISNUMBER(O749),O749&gt;0,Z749&gt;O749),L749*O749/100+(Z749-O749),L749*Z749/100))</f>
        <v/>
      </c>
      <c r="N749">
        <f>IF($AB749="","",INDEX('Per Line'!$V$2:$V$4001,$AB749)&amp;"")</f>
        <v/>
      </c>
      <c r="O749">
        <f>IF($AB749="","",INDEX('Per Line'!$Z$2:$Z$4001,$AB749))</f>
        <v/>
      </c>
      <c r="P749">
        <f>IF($AB749="","",IF(AND(ISNUMBER(O749),O749&gt;0),Z749&gt;O749,FALSE))</f>
        <v/>
      </c>
      <c r="Q749" s="7">
        <f>IF($AB749="","",SUMIFS('Per Line'!$U$2:$U$4001,'Per Line'!$C$2:$C$4001,$B749,'Per Line'!$AM$2:$AM$4001,1))</f>
        <v/>
      </c>
      <c r="R749">
        <f>IF($AB749="","",Settings!$C$7)</f>
        <v/>
      </c>
      <c r="S749" s="7">
        <f>IF($AB749="","",SUMIFS('Per Line'!$U$2:$U$4001,'Per Line'!$C$2:$C$4001,$B749,'Per Line'!$AL$2:$AL$4001,0,'Per Line'!$AM$2:$AM$4001,0))</f>
        <v/>
      </c>
      <c r="T749" s="7">
        <f>IF($AB749="","",S749*R749)</f>
        <v/>
      </c>
      <c r="U749">
        <f>IF($AB749="","",Settings!$C$6)</f>
        <v/>
      </c>
      <c r="V749" s="7">
        <f>IF($AB749="","",SUMIFS('Per Line'!$U$2:$U$4001,'Per Line'!$C$2:$C$4001,$B749,'Per Line'!$AL$2:$AL$4001,1,'Per Line'!$AM$2:$AM$4001,0))</f>
        <v/>
      </c>
      <c r="W749" s="7">
        <f>IF($AB749="","",V749*U749)</f>
        <v/>
      </c>
      <c r="X749" s="7">
        <f>IF($AB749="","",W749+T749)</f>
        <v/>
      </c>
      <c r="Y749" s="7">
        <f>IF($AB749="","",Z749-X749)</f>
        <v/>
      </c>
      <c r="Z749" s="7">
        <f>IF($AB749="","",S749+V749+Q749)</f>
        <v/>
      </c>
      <c r="AA749" s="7">
        <f>IF($AB749="","",Z749-X749-M749)</f>
        <v/>
      </c>
      <c r="AB749" s="13">
        <f>IF(ROWS($AB$2:$AB749)&lt;=MAX('Per Line'!$AK$2:$AK$4001),MATCH(ROWS($AB$2:$AB749),'Per Line'!$AK$2:$AK$4001,0),"")</f>
        <v/>
      </c>
      <c r="AC749" s="14">
        <f>IF($AB749="","",M749-L749*Z749/100)</f>
        <v/>
      </c>
    </row>
    <row r="750">
      <c r="A750" s="12" t="n"/>
      <c r="B750">
        <f>IF($AB750="","",INDEX('Per Line'!$C$2:$C$4001,$AB750)&amp;"")</f>
        <v/>
      </c>
      <c r="C750">
        <f>IF($AB750="","",INDEX('Per Line'!$D$2:$D$4001,$AB750)&amp;"")</f>
        <v/>
      </c>
      <c r="D750">
        <f>IF($AB750="","",INDEX('Per Line'!$B$2:$B$4001,$AB750)&amp;"")</f>
        <v/>
      </c>
      <c r="E750">
        <f>IF($AB750="","",INDEX('Per Line'!$A$2:$A$4001,$AB750))</f>
        <v/>
      </c>
      <c r="F750" s="11">
        <f>IF($AB750="","",INDEX('Per Line'!$E$2:$E$4001,$AB750))</f>
        <v/>
      </c>
      <c r="G750">
        <f>IF($AB750="","",INDEX('Per Line'!$F$2:$F$4001,$AB750)&amp;"")</f>
        <v/>
      </c>
      <c r="H750">
        <f>IF($AB750="","",INDEX('Per Line'!$H$2:$H$4001,$AB750)&amp;"")</f>
        <v/>
      </c>
      <c r="I750">
        <f>IF($AB750="","",INDEX('Per Line'!$I$2:$I$4001,$AB750)&amp;"")</f>
        <v/>
      </c>
      <c r="J750">
        <f>IF($AB750="","",INDEX('Per Line'!$J$2:$J$4001,$AB750)&amp;"")</f>
        <v/>
      </c>
      <c r="K750">
        <f>IF($AB750="","",INDEX('Per Line'!$K$2:$K$4001,$AB750)&amp;"")</f>
        <v/>
      </c>
      <c r="L750">
        <f>IF($AB750="","",INDEX('Per Line'!$L$2:$L$4001,$AB750))</f>
        <v/>
      </c>
      <c r="M750" s="7">
        <f>IF($AB750="","",IF(AND(ISNUMBER(O750),O750&gt;0,Z750&gt;O750),L750*O750/100+(Z750-O750),L750*Z750/100))</f>
        <v/>
      </c>
      <c r="N750">
        <f>IF($AB750="","",INDEX('Per Line'!$V$2:$V$4001,$AB750)&amp;"")</f>
        <v/>
      </c>
      <c r="O750">
        <f>IF($AB750="","",INDEX('Per Line'!$Z$2:$Z$4001,$AB750))</f>
        <v/>
      </c>
      <c r="P750">
        <f>IF($AB750="","",IF(AND(ISNUMBER(O750),O750&gt;0),Z750&gt;O750,FALSE))</f>
        <v/>
      </c>
      <c r="Q750" s="7">
        <f>IF($AB750="","",SUMIFS('Per Line'!$U$2:$U$4001,'Per Line'!$C$2:$C$4001,$B750,'Per Line'!$AM$2:$AM$4001,1))</f>
        <v/>
      </c>
      <c r="R750">
        <f>IF($AB750="","",Settings!$C$7)</f>
        <v/>
      </c>
      <c r="S750" s="7">
        <f>IF($AB750="","",SUMIFS('Per Line'!$U$2:$U$4001,'Per Line'!$C$2:$C$4001,$B750,'Per Line'!$AL$2:$AL$4001,0,'Per Line'!$AM$2:$AM$4001,0))</f>
        <v/>
      </c>
      <c r="T750" s="7">
        <f>IF($AB750="","",S750*R750)</f>
        <v/>
      </c>
      <c r="U750">
        <f>IF($AB750="","",Settings!$C$6)</f>
        <v/>
      </c>
      <c r="V750" s="7">
        <f>IF($AB750="","",SUMIFS('Per Line'!$U$2:$U$4001,'Per Line'!$C$2:$C$4001,$B750,'Per Line'!$AL$2:$AL$4001,1,'Per Line'!$AM$2:$AM$4001,0))</f>
        <v/>
      </c>
      <c r="W750" s="7">
        <f>IF($AB750="","",V750*U750)</f>
        <v/>
      </c>
      <c r="X750" s="7">
        <f>IF($AB750="","",W750+T750)</f>
        <v/>
      </c>
      <c r="Y750" s="7">
        <f>IF($AB750="","",Z750-X750)</f>
        <v/>
      </c>
      <c r="Z750" s="7">
        <f>IF($AB750="","",S750+V750+Q750)</f>
        <v/>
      </c>
      <c r="AA750" s="7">
        <f>IF($AB750="","",Z750-X750-M750)</f>
        <v/>
      </c>
      <c r="AB750" s="13">
        <f>IF(ROWS($AB$2:$AB750)&lt;=MAX('Per Line'!$AK$2:$AK$4001),MATCH(ROWS($AB$2:$AB750),'Per Line'!$AK$2:$AK$4001,0),"")</f>
        <v/>
      </c>
      <c r="AC750" s="14">
        <f>IF($AB750="","",M750-L750*Z750/100)</f>
        <v/>
      </c>
    </row>
    <row r="751">
      <c r="A751" s="12" t="n"/>
      <c r="B751">
        <f>IF($AB751="","",INDEX('Per Line'!$C$2:$C$4001,$AB751)&amp;"")</f>
        <v/>
      </c>
      <c r="C751">
        <f>IF($AB751="","",INDEX('Per Line'!$D$2:$D$4001,$AB751)&amp;"")</f>
        <v/>
      </c>
      <c r="D751">
        <f>IF($AB751="","",INDEX('Per Line'!$B$2:$B$4001,$AB751)&amp;"")</f>
        <v/>
      </c>
      <c r="E751">
        <f>IF($AB751="","",INDEX('Per Line'!$A$2:$A$4001,$AB751))</f>
        <v/>
      </c>
      <c r="F751" s="11">
        <f>IF($AB751="","",INDEX('Per Line'!$E$2:$E$4001,$AB751))</f>
        <v/>
      </c>
      <c r="G751">
        <f>IF($AB751="","",INDEX('Per Line'!$F$2:$F$4001,$AB751)&amp;"")</f>
        <v/>
      </c>
      <c r="H751">
        <f>IF($AB751="","",INDEX('Per Line'!$H$2:$H$4001,$AB751)&amp;"")</f>
        <v/>
      </c>
      <c r="I751">
        <f>IF($AB751="","",INDEX('Per Line'!$I$2:$I$4001,$AB751)&amp;"")</f>
        <v/>
      </c>
      <c r="J751">
        <f>IF($AB751="","",INDEX('Per Line'!$J$2:$J$4001,$AB751)&amp;"")</f>
        <v/>
      </c>
      <c r="K751">
        <f>IF($AB751="","",INDEX('Per Line'!$K$2:$K$4001,$AB751)&amp;"")</f>
        <v/>
      </c>
      <c r="L751">
        <f>IF($AB751="","",INDEX('Per Line'!$L$2:$L$4001,$AB751))</f>
        <v/>
      </c>
      <c r="M751" s="7">
        <f>IF($AB751="","",IF(AND(ISNUMBER(O751),O751&gt;0,Z751&gt;O751),L751*O751/100+(Z751-O751),L751*Z751/100))</f>
        <v/>
      </c>
      <c r="N751">
        <f>IF($AB751="","",INDEX('Per Line'!$V$2:$V$4001,$AB751)&amp;"")</f>
        <v/>
      </c>
      <c r="O751">
        <f>IF($AB751="","",INDEX('Per Line'!$Z$2:$Z$4001,$AB751))</f>
        <v/>
      </c>
      <c r="P751">
        <f>IF($AB751="","",IF(AND(ISNUMBER(O751),O751&gt;0),Z751&gt;O751,FALSE))</f>
        <v/>
      </c>
      <c r="Q751" s="7">
        <f>IF($AB751="","",SUMIFS('Per Line'!$U$2:$U$4001,'Per Line'!$C$2:$C$4001,$B751,'Per Line'!$AM$2:$AM$4001,1))</f>
        <v/>
      </c>
      <c r="R751">
        <f>IF($AB751="","",Settings!$C$7)</f>
        <v/>
      </c>
      <c r="S751" s="7">
        <f>IF($AB751="","",SUMIFS('Per Line'!$U$2:$U$4001,'Per Line'!$C$2:$C$4001,$B751,'Per Line'!$AL$2:$AL$4001,0,'Per Line'!$AM$2:$AM$4001,0))</f>
        <v/>
      </c>
      <c r="T751" s="7">
        <f>IF($AB751="","",S751*R751)</f>
        <v/>
      </c>
      <c r="U751">
        <f>IF($AB751="","",Settings!$C$6)</f>
        <v/>
      </c>
      <c r="V751" s="7">
        <f>IF($AB751="","",SUMIFS('Per Line'!$U$2:$U$4001,'Per Line'!$C$2:$C$4001,$B751,'Per Line'!$AL$2:$AL$4001,1,'Per Line'!$AM$2:$AM$4001,0))</f>
        <v/>
      </c>
      <c r="W751" s="7">
        <f>IF($AB751="","",V751*U751)</f>
        <v/>
      </c>
      <c r="X751" s="7">
        <f>IF($AB751="","",W751+T751)</f>
        <v/>
      </c>
      <c r="Y751" s="7">
        <f>IF($AB751="","",Z751-X751)</f>
        <v/>
      </c>
      <c r="Z751" s="7">
        <f>IF($AB751="","",S751+V751+Q751)</f>
        <v/>
      </c>
      <c r="AA751" s="7">
        <f>IF($AB751="","",Z751-X751-M751)</f>
        <v/>
      </c>
      <c r="AB751" s="13">
        <f>IF(ROWS($AB$2:$AB751)&lt;=MAX('Per Line'!$AK$2:$AK$4001),MATCH(ROWS($AB$2:$AB751),'Per Line'!$AK$2:$AK$4001,0),"")</f>
        <v/>
      </c>
      <c r="AC751" s="14">
        <f>IF($AB751="","",M751-L751*Z751/100)</f>
        <v/>
      </c>
    </row>
    <row r="752">
      <c r="A752" s="12" t="n"/>
      <c r="B752">
        <f>IF($AB752="","",INDEX('Per Line'!$C$2:$C$4001,$AB752)&amp;"")</f>
        <v/>
      </c>
      <c r="C752">
        <f>IF($AB752="","",INDEX('Per Line'!$D$2:$D$4001,$AB752)&amp;"")</f>
        <v/>
      </c>
      <c r="D752">
        <f>IF($AB752="","",INDEX('Per Line'!$B$2:$B$4001,$AB752)&amp;"")</f>
        <v/>
      </c>
      <c r="E752">
        <f>IF($AB752="","",INDEX('Per Line'!$A$2:$A$4001,$AB752))</f>
        <v/>
      </c>
      <c r="F752" s="11">
        <f>IF($AB752="","",INDEX('Per Line'!$E$2:$E$4001,$AB752))</f>
        <v/>
      </c>
      <c r="G752">
        <f>IF($AB752="","",INDEX('Per Line'!$F$2:$F$4001,$AB752)&amp;"")</f>
        <v/>
      </c>
      <c r="H752">
        <f>IF($AB752="","",INDEX('Per Line'!$H$2:$H$4001,$AB752)&amp;"")</f>
        <v/>
      </c>
      <c r="I752">
        <f>IF($AB752="","",INDEX('Per Line'!$I$2:$I$4001,$AB752)&amp;"")</f>
        <v/>
      </c>
      <c r="J752">
        <f>IF($AB752="","",INDEX('Per Line'!$J$2:$J$4001,$AB752)&amp;"")</f>
        <v/>
      </c>
      <c r="K752">
        <f>IF($AB752="","",INDEX('Per Line'!$K$2:$K$4001,$AB752)&amp;"")</f>
        <v/>
      </c>
      <c r="L752">
        <f>IF($AB752="","",INDEX('Per Line'!$L$2:$L$4001,$AB752))</f>
        <v/>
      </c>
      <c r="M752" s="7">
        <f>IF($AB752="","",IF(AND(ISNUMBER(O752),O752&gt;0,Z752&gt;O752),L752*O752/100+(Z752-O752),L752*Z752/100))</f>
        <v/>
      </c>
      <c r="N752">
        <f>IF($AB752="","",INDEX('Per Line'!$V$2:$V$4001,$AB752)&amp;"")</f>
        <v/>
      </c>
      <c r="O752">
        <f>IF($AB752="","",INDEX('Per Line'!$Z$2:$Z$4001,$AB752))</f>
        <v/>
      </c>
      <c r="P752">
        <f>IF($AB752="","",IF(AND(ISNUMBER(O752),O752&gt;0),Z752&gt;O752,FALSE))</f>
        <v/>
      </c>
      <c r="Q752" s="7">
        <f>IF($AB752="","",SUMIFS('Per Line'!$U$2:$U$4001,'Per Line'!$C$2:$C$4001,$B752,'Per Line'!$AM$2:$AM$4001,1))</f>
        <v/>
      </c>
      <c r="R752">
        <f>IF($AB752="","",Settings!$C$7)</f>
        <v/>
      </c>
      <c r="S752" s="7">
        <f>IF($AB752="","",SUMIFS('Per Line'!$U$2:$U$4001,'Per Line'!$C$2:$C$4001,$B752,'Per Line'!$AL$2:$AL$4001,0,'Per Line'!$AM$2:$AM$4001,0))</f>
        <v/>
      </c>
      <c r="T752" s="7">
        <f>IF($AB752="","",S752*R752)</f>
        <v/>
      </c>
      <c r="U752">
        <f>IF($AB752="","",Settings!$C$6)</f>
        <v/>
      </c>
      <c r="V752" s="7">
        <f>IF($AB752="","",SUMIFS('Per Line'!$U$2:$U$4001,'Per Line'!$C$2:$C$4001,$B752,'Per Line'!$AL$2:$AL$4001,1,'Per Line'!$AM$2:$AM$4001,0))</f>
        <v/>
      </c>
      <c r="W752" s="7">
        <f>IF($AB752="","",V752*U752)</f>
        <v/>
      </c>
      <c r="X752" s="7">
        <f>IF($AB752="","",W752+T752)</f>
        <v/>
      </c>
      <c r="Y752" s="7">
        <f>IF($AB752="","",Z752-X752)</f>
        <v/>
      </c>
      <c r="Z752" s="7">
        <f>IF($AB752="","",S752+V752+Q752)</f>
        <v/>
      </c>
      <c r="AA752" s="7">
        <f>IF($AB752="","",Z752-X752-M752)</f>
        <v/>
      </c>
      <c r="AB752" s="13">
        <f>IF(ROWS($AB$2:$AB752)&lt;=MAX('Per Line'!$AK$2:$AK$4001),MATCH(ROWS($AB$2:$AB752),'Per Line'!$AK$2:$AK$4001,0),"")</f>
        <v/>
      </c>
      <c r="AC752" s="14">
        <f>IF($AB752="","",M752-L752*Z752/100)</f>
        <v/>
      </c>
    </row>
    <row r="753">
      <c r="A753" s="12" t="n"/>
      <c r="B753">
        <f>IF($AB753="","",INDEX('Per Line'!$C$2:$C$4001,$AB753)&amp;"")</f>
        <v/>
      </c>
      <c r="C753">
        <f>IF($AB753="","",INDEX('Per Line'!$D$2:$D$4001,$AB753)&amp;"")</f>
        <v/>
      </c>
      <c r="D753">
        <f>IF($AB753="","",INDEX('Per Line'!$B$2:$B$4001,$AB753)&amp;"")</f>
        <v/>
      </c>
      <c r="E753">
        <f>IF($AB753="","",INDEX('Per Line'!$A$2:$A$4001,$AB753))</f>
        <v/>
      </c>
      <c r="F753" s="11">
        <f>IF($AB753="","",INDEX('Per Line'!$E$2:$E$4001,$AB753))</f>
        <v/>
      </c>
      <c r="G753">
        <f>IF($AB753="","",INDEX('Per Line'!$F$2:$F$4001,$AB753)&amp;"")</f>
        <v/>
      </c>
      <c r="H753">
        <f>IF($AB753="","",INDEX('Per Line'!$H$2:$H$4001,$AB753)&amp;"")</f>
        <v/>
      </c>
      <c r="I753">
        <f>IF($AB753="","",INDEX('Per Line'!$I$2:$I$4001,$AB753)&amp;"")</f>
        <v/>
      </c>
      <c r="J753">
        <f>IF($AB753="","",INDEX('Per Line'!$J$2:$J$4001,$AB753)&amp;"")</f>
        <v/>
      </c>
      <c r="K753">
        <f>IF($AB753="","",INDEX('Per Line'!$K$2:$K$4001,$AB753)&amp;"")</f>
        <v/>
      </c>
      <c r="L753">
        <f>IF($AB753="","",INDEX('Per Line'!$L$2:$L$4001,$AB753))</f>
        <v/>
      </c>
      <c r="M753" s="7">
        <f>IF($AB753="","",IF(AND(ISNUMBER(O753),O753&gt;0,Z753&gt;O753),L753*O753/100+(Z753-O753),L753*Z753/100))</f>
        <v/>
      </c>
      <c r="N753">
        <f>IF($AB753="","",INDEX('Per Line'!$V$2:$V$4001,$AB753)&amp;"")</f>
        <v/>
      </c>
      <c r="O753">
        <f>IF($AB753="","",INDEX('Per Line'!$Z$2:$Z$4001,$AB753))</f>
        <v/>
      </c>
      <c r="P753">
        <f>IF($AB753="","",IF(AND(ISNUMBER(O753),O753&gt;0),Z753&gt;O753,FALSE))</f>
        <v/>
      </c>
      <c r="Q753" s="7">
        <f>IF($AB753="","",SUMIFS('Per Line'!$U$2:$U$4001,'Per Line'!$C$2:$C$4001,$B753,'Per Line'!$AM$2:$AM$4001,1))</f>
        <v/>
      </c>
      <c r="R753">
        <f>IF($AB753="","",Settings!$C$7)</f>
        <v/>
      </c>
      <c r="S753" s="7">
        <f>IF($AB753="","",SUMIFS('Per Line'!$U$2:$U$4001,'Per Line'!$C$2:$C$4001,$B753,'Per Line'!$AL$2:$AL$4001,0,'Per Line'!$AM$2:$AM$4001,0))</f>
        <v/>
      </c>
      <c r="T753" s="7">
        <f>IF($AB753="","",S753*R753)</f>
        <v/>
      </c>
      <c r="U753">
        <f>IF($AB753="","",Settings!$C$6)</f>
        <v/>
      </c>
      <c r="V753" s="7">
        <f>IF($AB753="","",SUMIFS('Per Line'!$U$2:$U$4001,'Per Line'!$C$2:$C$4001,$B753,'Per Line'!$AL$2:$AL$4001,1,'Per Line'!$AM$2:$AM$4001,0))</f>
        <v/>
      </c>
      <c r="W753" s="7">
        <f>IF($AB753="","",V753*U753)</f>
        <v/>
      </c>
      <c r="X753" s="7">
        <f>IF($AB753="","",W753+T753)</f>
        <v/>
      </c>
      <c r="Y753" s="7">
        <f>IF($AB753="","",Z753-X753)</f>
        <v/>
      </c>
      <c r="Z753" s="7">
        <f>IF($AB753="","",S753+V753+Q753)</f>
        <v/>
      </c>
      <c r="AA753" s="7">
        <f>IF($AB753="","",Z753-X753-M753)</f>
        <v/>
      </c>
      <c r="AB753" s="13">
        <f>IF(ROWS($AB$2:$AB753)&lt;=MAX('Per Line'!$AK$2:$AK$4001),MATCH(ROWS($AB$2:$AB753),'Per Line'!$AK$2:$AK$4001,0),"")</f>
        <v/>
      </c>
      <c r="AC753" s="14">
        <f>IF($AB753="","",M753-L753*Z753/100)</f>
        <v/>
      </c>
    </row>
    <row r="754">
      <c r="A754" s="12" t="n"/>
      <c r="B754">
        <f>IF($AB754="","",INDEX('Per Line'!$C$2:$C$4001,$AB754)&amp;"")</f>
        <v/>
      </c>
      <c r="C754">
        <f>IF($AB754="","",INDEX('Per Line'!$D$2:$D$4001,$AB754)&amp;"")</f>
        <v/>
      </c>
      <c r="D754">
        <f>IF($AB754="","",INDEX('Per Line'!$B$2:$B$4001,$AB754)&amp;"")</f>
        <v/>
      </c>
      <c r="E754">
        <f>IF($AB754="","",INDEX('Per Line'!$A$2:$A$4001,$AB754))</f>
        <v/>
      </c>
      <c r="F754" s="11">
        <f>IF($AB754="","",INDEX('Per Line'!$E$2:$E$4001,$AB754))</f>
        <v/>
      </c>
      <c r="G754">
        <f>IF($AB754="","",INDEX('Per Line'!$F$2:$F$4001,$AB754)&amp;"")</f>
        <v/>
      </c>
      <c r="H754">
        <f>IF($AB754="","",INDEX('Per Line'!$H$2:$H$4001,$AB754)&amp;"")</f>
        <v/>
      </c>
      <c r="I754">
        <f>IF($AB754="","",INDEX('Per Line'!$I$2:$I$4001,$AB754)&amp;"")</f>
        <v/>
      </c>
      <c r="J754">
        <f>IF($AB754="","",INDEX('Per Line'!$J$2:$J$4001,$AB754)&amp;"")</f>
        <v/>
      </c>
      <c r="K754">
        <f>IF($AB754="","",INDEX('Per Line'!$K$2:$K$4001,$AB754)&amp;"")</f>
        <v/>
      </c>
      <c r="L754">
        <f>IF($AB754="","",INDEX('Per Line'!$L$2:$L$4001,$AB754))</f>
        <v/>
      </c>
      <c r="M754" s="7">
        <f>IF($AB754="","",IF(AND(ISNUMBER(O754),O754&gt;0,Z754&gt;O754),L754*O754/100+(Z754-O754),L754*Z754/100))</f>
        <v/>
      </c>
      <c r="N754">
        <f>IF($AB754="","",INDEX('Per Line'!$V$2:$V$4001,$AB754)&amp;"")</f>
        <v/>
      </c>
      <c r="O754">
        <f>IF($AB754="","",INDEX('Per Line'!$Z$2:$Z$4001,$AB754))</f>
        <v/>
      </c>
      <c r="P754">
        <f>IF($AB754="","",IF(AND(ISNUMBER(O754),O754&gt;0),Z754&gt;O754,FALSE))</f>
        <v/>
      </c>
      <c r="Q754" s="7">
        <f>IF($AB754="","",SUMIFS('Per Line'!$U$2:$U$4001,'Per Line'!$C$2:$C$4001,$B754,'Per Line'!$AM$2:$AM$4001,1))</f>
        <v/>
      </c>
      <c r="R754">
        <f>IF($AB754="","",Settings!$C$7)</f>
        <v/>
      </c>
      <c r="S754" s="7">
        <f>IF($AB754="","",SUMIFS('Per Line'!$U$2:$U$4001,'Per Line'!$C$2:$C$4001,$B754,'Per Line'!$AL$2:$AL$4001,0,'Per Line'!$AM$2:$AM$4001,0))</f>
        <v/>
      </c>
      <c r="T754" s="7">
        <f>IF($AB754="","",S754*R754)</f>
        <v/>
      </c>
      <c r="U754">
        <f>IF($AB754="","",Settings!$C$6)</f>
        <v/>
      </c>
      <c r="V754" s="7">
        <f>IF($AB754="","",SUMIFS('Per Line'!$U$2:$U$4001,'Per Line'!$C$2:$C$4001,$B754,'Per Line'!$AL$2:$AL$4001,1,'Per Line'!$AM$2:$AM$4001,0))</f>
        <v/>
      </c>
      <c r="W754" s="7">
        <f>IF($AB754="","",V754*U754)</f>
        <v/>
      </c>
      <c r="X754" s="7">
        <f>IF($AB754="","",W754+T754)</f>
        <v/>
      </c>
      <c r="Y754" s="7">
        <f>IF($AB754="","",Z754-X754)</f>
        <v/>
      </c>
      <c r="Z754" s="7">
        <f>IF($AB754="","",S754+V754+Q754)</f>
        <v/>
      </c>
      <c r="AA754" s="7">
        <f>IF($AB754="","",Z754-X754-M754)</f>
        <v/>
      </c>
      <c r="AB754" s="13">
        <f>IF(ROWS($AB$2:$AB754)&lt;=MAX('Per Line'!$AK$2:$AK$4001),MATCH(ROWS($AB$2:$AB754),'Per Line'!$AK$2:$AK$4001,0),"")</f>
        <v/>
      </c>
      <c r="AC754" s="14">
        <f>IF($AB754="","",M754-L754*Z754/100)</f>
        <v/>
      </c>
    </row>
    <row r="755">
      <c r="A755" s="12" t="n"/>
      <c r="B755">
        <f>IF($AB755="","",INDEX('Per Line'!$C$2:$C$4001,$AB755)&amp;"")</f>
        <v/>
      </c>
      <c r="C755">
        <f>IF($AB755="","",INDEX('Per Line'!$D$2:$D$4001,$AB755)&amp;"")</f>
        <v/>
      </c>
      <c r="D755">
        <f>IF($AB755="","",INDEX('Per Line'!$B$2:$B$4001,$AB755)&amp;"")</f>
        <v/>
      </c>
      <c r="E755">
        <f>IF($AB755="","",INDEX('Per Line'!$A$2:$A$4001,$AB755))</f>
        <v/>
      </c>
      <c r="F755" s="11">
        <f>IF($AB755="","",INDEX('Per Line'!$E$2:$E$4001,$AB755))</f>
        <v/>
      </c>
      <c r="G755">
        <f>IF($AB755="","",INDEX('Per Line'!$F$2:$F$4001,$AB755)&amp;"")</f>
        <v/>
      </c>
      <c r="H755">
        <f>IF($AB755="","",INDEX('Per Line'!$H$2:$H$4001,$AB755)&amp;"")</f>
        <v/>
      </c>
      <c r="I755">
        <f>IF($AB755="","",INDEX('Per Line'!$I$2:$I$4001,$AB755)&amp;"")</f>
        <v/>
      </c>
      <c r="J755">
        <f>IF($AB755="","",INDEX('Per Line'!$J$2:$J$4001,$AB755)&amp;"")</f>
        <v/>
      </c>
      <c r="K755">
        <f>IF($AB755="","",INDEX('Per Line'!$K$2:$K$4001,$AB755)&amp;"")</f>
        <v/>
      </c>
      <c r="L755">
        <f>IF($AB755="","",INDEX('Per Line'!$L$2:$L$4001,$AB755))</f>
        <v/>
      </c>
      <c r="M755" s="7">
        <f>IF($AB755="","",IF(AND(ISNUMBER(O755),O755&gt;0,Z755&gt;O755),L755*O755/100+(Z755-O755),L755*Z755/100))</f>
        <v/>
      </c>
      <c r="N755">
        <f>IF($AB755="","",INDEX('Per Line'!$V$2:$V$4001,$AB755)&amp;"")</f>
        <v/>
      </c>
      <c r="O755">
        <f>IF($AB755="","",INDEX('Per Line'!$Z$2:$Z$4001,$AB755))</f>
        <v/>
      </c>
      <c r="P755">
        <f>IF($AB755="","",IF(AND(ISNUMBER(O755),O755&gt;0),Z755&gt;O755,FALSE))</f>
        <v/>
      </c>
      <c r="Q755" s="7">
        <f>IF($AB755="","",SUMIFS('Per Line'!$U$2:$U$4001,'Per Line'!$C$2:$C$4001,$B755,'Per Line'!$AM$2:$AM$4001,1))</f>
        <v/>
      </c>
      <c r="R755">
        <f>IF($AB755="","",Settings!$C$7)</f>
        <v/>
      </c>
      <c r="S755" s="7">
        <f>IF($AB755="","",SUMIFS('Per Line'!$U$2:$U$4001,'Per Line'!$C$2:$C$4001,$B755,'Per Line'!$AL$2:$AL$4001,0,'Per Line'!$AM$2:$AM$4001,0))</f>
        <v/>
      </c>
      <c r="T755" s="7">
        <f>IF($AB755="","",S755*R755)</f>
        <v/>
      </c>
      <c r="U755">
        <f>IF($AB755="","",Settings!$C$6)</f>
        <v/>
      </c>
      <c r="V755" s="7">
        <f>IF($AB755="","",SUMIFS('Per Line'!$U$2:$U$4001,'Per Line'!$C$2:$C$4001,$B755,'Per Line'!$AL$2:$AL$4001,1,'Per Line'!$AM$2:$AM$4001,0))</f>
        <v/>
      </c>
      <c r="W755" s="7">
        <f>IF($AB755="","",V755*U755)</f>
        <v/>
      </c>
      <c r="X755" s="7">
        <f>IF($AB755="","",W755+T755)</f>
        <v/>
      </c>
      <c r="Y755" s="7">
        <f>IF($AB755="","",Z755-X755)</f>
        <v/>
      </c>
      <c r="Z755" s="7">
        <f>IF($AB755="","",S755+V755+Q755)</f>
        <v/>
      </c>
      <c r="AA755" s="7">
        <f>IF($AB755="","",Z755-X755-M755)</f>
        <v/>
      </c>
      <c r="AB755" s="13">
        <f>IF(ROWS($AB$2:$AB755)&lt;=MAX('Per Line'!$AK$2:$AK$4001),MATCH(ROWS($AB$2:$AB755),'Per Line'!$AK$2:$AK$4001,0),"")</f>
        <v/>
      </c>
      <c r="AC755" s="14">
        <f>IF($AB755="","",M755-L755*Z755/100)</f>
        <v/>
      </c>
    </row>
    <row r="756">
      <c r="A756" s="12" t="n"/>
      <c r="B756">
        <f>IF($AB756="","",INDEX('Per Line'!$C$2:$C$4001,$AB756)&amp;"")</f>
        <v/>
      </c>
      <c r="C756">
        <f>IF($AB756="","",INDEX('Per Line'!$D$2:$D$4001,$AB756)&amp;"")</f>
        <v/>
      </c>
      <c r="D756">
        <f>IF($AB756="","",INDEX('Per Line'!$B$2:$B$4001,$AB756)&amp;"")</f>
        <v/>
      </c>
      <c r="E756">
        <f>IF($AB756="","",INDEX('Per Line'!$A$2:$A$4001,$AB756))</f>
        <v/>
      </c>
      <c r="F756" s="11">
        <f>IF($AB756="","",INDEX('Per Line'!$E$2:$E$4001,$AB756))</f>
        <v/>
      </c>
      <c r="G756">
        <f>IF($AB756="","",INDEX('Per Line'!$F$2:$F$4001,$AB756)&amp;"")</f>
        <v/>
      </c>
      <c r="H756">
        <f>IF($AB756="","",INDEX('Per Line'!$H$2:$H$4001,$AB756)&amp;"")</f>
        <v/>
      </c>
      <c r="I756">
        <f>IF($AB756="","",INDEX('Per Line'!$I$2:$I$4001,$AB756)&amp;"")</f>
        <v/>
      </c>
      <c r="J756">
        <f>IF($AB756="","",INDEX('Per Line'!$J$2:$J$4001,$AB756)&amp;"")</f>
        <v/>
      </c>
      <c r="K756">
        <f>IF($AB756="","",INDEX('Per Line'!$K$2:$K$4001,$AB756)&amp;"")</f>
        <v/>
      </c>
      <c r="L756">
        <f>IF($AB756="","",INDEX('Per Line'!$L$2:$L$4001,$AB756))</f>
        <v/>
      </c>
      <c r="M756" s="7">
        <f>IF($AB756="","",IF(AND(ISNUMBER(O756),O756&gt;0,Z756&gt;O756),L756*O756/100+(Z756-O756),L756*Z756/100))</f>
        <v/>
      </c>
      <c r="N756">
        <f>IF($AB756="","",INDEX('Per Line'!$V$2:$V$4001,$AB756)&amp;"")</f>
        <v/>
      </c>
      <c r="O756">
        <f>IF($AB756="","",INDEX('Per Line'!$Z$2:$Z$4001,$AB756))</f>
        <v/>
      </c>
      <c r="P756">
        <f>IF($AB756="","",IF(AND(ISNUMBER(O756),O756&gt;0),Z756&gt;O756,FALSE))</f>
        <v/>
      </c>
      <c r="Q756" s="7">
        <f>IF($AB756="","",SUMIFS('Per Line'!$U$2:$U$4001,'Per Line'!$C$2:$C$4001,$B756,'Per Line'!$AM$2:$AM$4001,1))</f>
        <v/>
      </c>
      <c r="R756">
        <f>IF($AB756="","",Settings!$C$7)</f>
        <v/>
      </c>
      <c r="S756" s="7">
        <f>IF($AB756="","",SUMIFS('Per Line'!$U$2:$U$4001,'Per Line'!$C$2:$C$4001,$B756,'Per Line'!$AL$2:$AL$4001,0,'Per Line'!$AM$2:$AM$4001,0))</f>
        <v/>
      </c>
      <c r="T756" s="7">
        <f>IF($AB756="","",S756*R756)</f>
        <v/>
      </c>
      <c r="U756">
        <f>IF($AB756="","",Settings!$C$6)</f>
        <v/>
      </c>
      <c r="V756" s="7">
        <f>IF($AB756="","",SUMIFS('Per Line'!$U$2:$U$4001,'Per Line'!$C$2:$C$4001,$B756,'Per Line'!$AL$2:$AL$4001,1,'Per Line'!$AM$2:$AM$4001,0))</f>
        <v/>
      </c>
      <c r="W756" s="7">
        <f>IF($AB756="","",V756*U756)</f>
        <v/>
      </c>
      <c r="X756" s="7">
        <f>IF($AB756="","",W756+T756)</f>
        <v/>
      </c>
      <c r="Y756" s="7">
        <f>IF($AB756="","",Z756-X756)</f>
        <v/>
      </c>
      <c r="Z756" s="7">
        <f>IF($AB756="","",S756+V756+Q756)</f>
        <v/>
      </c>
      <c r="AA756" s="7">
        <f>IF($AB756="","",Z756-X756-M756)</f>
        <v/>
      </c>
      <c r="AB756" s="13">
        <f>IF(ROWS($AB$2:$AB756)&lt;=MAX('Per Line'!$AK$2:$AK$4001),MATCH(ROWS($AB$2:$AB756),'Per Line'!$AK$2:$AK$4001,0),"")</f>
        <v/>
      </c>
      <c r="AC756" s="14">
        <f>IF($AB756="","",M756-L756*Z756/100)</f>
        <v/>
      </c>
    </row>
    <row r="757">
      <c r="A757" s="12" t="n"/>
      <c r="B757">
        <f>IF($AB757="","",INDEX('Per Line'!$C$2:$C$4001,$AB757)&amp;"")</f>
        <v/>
      </c>
      <c r="C757">
        <f>IF($AB757="","",INDEX('Per Line'!$D$2:$D$4001,$AB757)&amp;"")</f>
        <v/>
      </c>
      <c r="D757">
        <f>IF($AB757="","",INDEX('Per Line'!$B$2:$B$4001,$AB757)&amp;"")</f>
        <v/>
      </c>
      <c r="E757">
        <f>IF($AB757="","",INDEX('Per Line'!$A$2:$A$4001,$AB757))</f>
        <v/>
      </c>
      <c r="F757" s="11">
        <f>IF($AB757="","",INDEX('Per Line'!$E$2:$E$4001,$AB757))</f>
        <v/>
      </c>
      <c r="G757">
        <f>IF($AB757="","",INDEX('Per Line'!$F$2:$F$4001,$AB757)&amp;"")</f>
        <v/>
      </c>
      <c r="H757">
        <f>IF($AB757="","",INDEX('Per Line'!$H$2:$H$4001,$AB757)&amp;"")</f>
        <v/>
      </c>
      <c r="I757">
        <f>IF($AB757="","",INDEX('Per Line'!$I$2:$I$4001,$AB757)&amp;"")</f>
        <v/>
      </c>
      <c r="J757">
        <f>IF($AB757="","",INDEX('Per Line'!$J$2:$J$4001,$AB757)&amp;"")</f>
        <v/>
      </c>
      <c r="K757">
        <f>IF($AB757="","",INDEX('Per Line'!$K$2:$K$4001,$AB757)&amp;"")</f>
        <v/>
      </c>
      <c r="L757">
        <f>IF($AB757="","",INDEX('Per Line'!$L$2:$L$4001,$AB757))</f>
        <v/>
      </c>
      <c r="M757" s="7">
        <f>IF($AB757="","",IF(AND(ISNUMBER(O757),O757&gt;0,Z757&gt;O757),L757*O757/100+(Z757-O757),L757*Z757/100))</f>
        <v/>
      </c>
      <c r="N757">
        <f>IF($AB757="","",INDEX('Per Line'!$V$2:$V$4001,$AB757)&amp;"")</f>
        <v/>
      </c>
      <c r="O757">
        <f>IF($AB757="","",INDEX('Per Line'!$Z$2:$Z$4001,$AB757))</f>
        <v/>
      </c>
      <c r="P757">
        <f>IF($AB757="","",IF(AND(ISNUMBER(O757),O757&gt;0),Z757&gt;O757,FALSE))</f>
        <v/>
      </c>
      <c r="Q757" s="7">
        <f>IF($AB757="","",SUMIFS('Per Line'!$U$2:$U$4001,'Per Line'!$C$2:$C$4001,$B757,'Per Line'!$AM$2:$AM$4001,1))</f>
        <v/>
      </c>
      <c r="R757">
        <f>IF($AB757="","",Settings!$C$7)</f>
        <v/>
      </c>
      <c r="S757" s="7">
        <f>IF($AB757="","",SUMIFS('Per Line'!$U$2:$U$4001,'Per Line'!$C$2:$C$4001,$B757,'Per Line'!$AL$2:$AL$4001,0,'Per Line'!$AM$2:$AM$4001,0))</f>
        <v/>
      </c>
      <c r="T757" s="7">
        <f>IF($AB757="","",S757*R757)</f>
        <v/>
      </c>
      <c r="U757">
        <f>IF($AB757="","",Settings!$C$6)</f>
        <v/>
      </c>
      <c r="V757" s="7">
        <f>IF($AB757="","",SUMIFS('Per Line'!$U$2:$U$4001,'Per Line'!$C$2:$C$4001,$B757,'Per Line'!$AL$2:$AL$4001,1,'Per Line'!$AM$2:$AM$4001,0))</f>
        <v/>
      </c>
      <c r="W757" s="7">
        <f>IF($AB757="","",V757*U757)</f>
        <v/>
      </c>
      <c r="X757" s="7">
        <f>IF($AB757="","",W757+T757)</f>
        <v/>
      </c>
      <c r="Y757" s="7">
        <f>IF($AB757="","",Z757-X757)</f>
        <v/>
      </c>
      <c r="Z757" s="7">
        <f>IF($AB757="","",S757+V757+Q757)</f>
        <v/>
      </c>
      <c r="AA757" s="7">
        <f>IF($AB757="","",Z757-X757-M757)</f>
        <v/>
      </c>
      <c r="AB757" s="13">
        <f>IF(ROWS($AB$2:$AB757)&lt;=MAX('Per Line'!$AK$2:$AK$4001),MATCH(ROWS($AB$2:$AB757),'Per Line'!$AK$2:$AK$4001,0),"")</f>
        <v/>
      </c>
      <c r="AC757" s="14">
        <f>IF($AB757="","",M757-L757*Z757/100)</f>
        <v/>
      </c>
    </row>
    <row r="758">
      <c r="A758" s="12" t="n"/>
      <c r="B758">
        <f>IF($AB758="","",INDEX('Per Line'!$C$2:$C$4001,$AB758)&amp;"")</f>
        <v/>
      </c>
      <c r="C758">
        <f>IF($AB758="","",INDEX('Per Line'!$D$2:$D$4001,$AB758)&amp;"")</f>
        <v/>
      </c>
      <c r="D758">
        <f>IF($AB758="","",INDEX('Per Line'!$B$2:$B$4001,$AB758)&amp;"")</f>
        <v/>
      </c>
      <c r="E758">
        <f>IF($AB758="","",INDEX('Per Line'!$A$2:$A$4001,$AB758))</f>
        <v/>
      </c>
      <c r="F758" s="11">
        <f>IF($AB758="","",INDEX('Per Line'!$E$2:$E$4001,$AB758))</f>
        <v/>
      </c>
      <c r="G758">
        <f>IF($AB758="","",INDEX('Per Line'!$F$2:$F$4001,$AB758)&amp;"")</f>
        <v/>
      </c>
      <c r="H758">
        <f>IF($AB758="","",INDEX('Per Line'!$H$2:$H$4001,$AB758)&amp;"")</f>
        <v/>
      </c>
      <c r="I758">
        <f>IF($AB758="","",INDEX('Per Line'!$I$2:$I$4001,$AB758)&amp;"")</f>
        <v/>
      </c>
      <c r="J758">
        <f>IF($AB758="","",INDEX('Per Line'!$J$2:$J$4001,$AB758)&amp;"")</f>
        <v/>
      </c>
      <c r="K758">
        <f>IF($AB758="","",INDEX('Per Line'!$K$2:$K$4001,$AB758)&amp;"")</f>
        <v/>
      </c>
      <c r="L758">
        <f>IF($AB758="","",INDEX('Per Line'!$L$2:$L$4001,$AB758))</f>
        <v/>
      </c>
      <c r="M758" s="7">
        <f>IF($AB758="","",IF(AND(ISNUMBER(O758),O758&gt;0,Z758&gt;O758),L758*O758/100+(Z758-O758),L758*Z758/100))</f>
        <v/>
      </c>
      <c r="N758">
        <f>IF($AB758="","",INDEX('Per Line'!$V$2:$V$4001,$AB758)&amp;"")</f>
        <v/>
      </c>
      <c r="O758">
        <f>IF($AB758="","",INDEX('Per Line'!$Z$2:$Z$4001,$AB758))</f>
        <v/>
      </c>
      <c r="P758">
        <f>IF($AB758="","",IF(AND(ISNUMBER(O758),O758&gt;0),Z758&gt;O758,FALSE))</f>
        <v/>
      </c>
      <c r="Q758" s="7">
        <f>IF($AB758="","",SUMIFS('Per Line'!$U$2:$U$4001,'Per Line'!$C$2:$C$4001,$B758,'Per Line'!$AM$2:$AM$4001,1))</f>
        <v/>
      </c>
      <c r="R758">
        <f>IF($AB758="","",Settings!$C$7)</f>
        <v/>
      </c>
      <c r="S758" s="7">
        <f>IF($AB758="","",SUMIFS('Per Line'!$U$2:$U$4001,'Per Line'!$C$2:$C$4001,$B758,'Per Line'!$AL$2:$AL$4001,0,'Per Line'!$AM$2:$AM$4001,0))</f>
        <v/>
      </c>
      <c r="T758" s="7">
        <f>IF($AB758="","",S758*R758)</f>
        <v/>
      </c>
      <c r="U758">
        <f>IF($AB758="","",Settings!$C$6)</f>
        <v/>
      </c>
      <c r="V758" s="7">
        <f>IF($AB758="","",SUMIFS('Per Line'!$U$2:$U$4001,'Per Line'!$C$2:$C$4001,$B758,'Per Line'!$AL$2:$AL$4001,1,'Per Line'!$AM$2:$AM$4001,0))</f>
        <v/>
      </c>
      <c r="W758" s="7">
        <f>IF($AB758="","",V758*U758)</f>
        <v/>
      </c>
      <c r="X758" s="7">
        <f>IF($AB758="","",W758+T758)</f>
        <v/>
      </c>
      <c r="Y758" s="7">
        <f>IF($AB758="","",Z758-X758)</f>
        <v/>
      </c>
      <c r="Z758" s="7">
        <f>IF($AB758="","",S758+V758+Q758)</f>
        <v/>
      </c>
      <c r="AA758" s="7">
        <f>IF($AB758="","",Z758-X758-M758)</f>
        <v/>
      </c>
      <c r="AB758" s="13">
        <f>IF(ROWS($AB$2:$AB758)&lt;=MAX('Per Line'!$AK$2:$AK$4001),MATCH(ROWS($AB$2:$AB758),'Per Line'!$AK$2:$AK$4001,0),"")</f>
        <v/>
      </c>
      <c r="AC758" s="14">
        <f>IF($AB758="","",M758-L758*Z758/100)</f>
        <v/>
      </c>
    </row>
    <row r="759">
      <c r="A759" s="12" t="n"/>
      <c r="B759">
        <f>IF($AB759="","",INDEX('Per Line'!$C$2:$C$4001,$AB759)&amp;"")</f>
        <v/>
      </c>
      <c r="C759">
        <f>IF($AB759="","",INDEX('Per Line'!$D$2:$D$4001,$AB759)&amp;"")</f>
        <v/>
      </c>
      <c r="D759">
        <f>IF($AB759="","",INDEX('Per Line'!$B$2:$B$4001,$AB759)&amp;"")</f>
        <v/>
      </c>
      <c r="E759">
        <f>IF($AB759="","",INDEX('Per Line'!$A$2:$A$4001,$AB759))</f>
        <v/>
      </c>
      <c r="F759" s="11">
        <f>IF($AB759="","",INDEX('Per Line'!$E$2:$E$4001,$AB759))</f>
        <v/>
      </c>
      <c r="G759">
        <f>IF($AB759="","",INDEX('Per Line'!$F$2:$F$4001,$AB759)&amp;"")</f>
        <v/>
      </c>
      <c r="H759">
        <f>IF($AB759="","",INDEX('Per Line'!$H$2:$H$4001,$AB759)&amp;"")</f>
        <v/>
      </c>
      <c r="I759">
        <f>IF($AB759="","",INDEX('Per Line'!$I$2:$I$4001,$AB759)&amp;"")</f>
        <v/>
      </c>
      <c r="J759">
        <f>IF($AB759="","",INDEX('Per Line'!$J$2:$J$4001,$AB759)&amp;"")</f>
        <v/>
      </c>
      <c r="K759">
        <f>IF($AB759="","",INDEX('Per Line'!$K$2:$K$4001,$AB759)&amp;"")</f>
        <v/>
      </c>
      <c r="L759">
        <f>IF($AB759="","",INDEX('Per Line'!$L$2:$L$4001,$AB759))</f>
        <v/>
      </c>
      <c r="M759" s="7">
        <f>IF($AB759="","",IF(AND(ISNUMBER(O759),O759&gt;0,Z759&gt;O759),L759*O759/100+(Z759-O759),L759*Z759/100))</f>
        <v/>
      </c>
      <c r="N759">
        <f>IF($AB759="","",INDEX('Per Line'!$V$2:$V$4001,$AB759)&amp;"")</f>
        <v/>
      </c>
      <c r="O759">
        <f>IF($AB759="","",INDEX('Per Line'!$Z$2:$Z$4001,$AB759))</f>
        <v/>
      </c>
      <c r="P759">
        <f>IF($AB759="","",IF(AND(ISNUMBER(O759),O759&gt;0),Z759&gt;O759,FALSE))</f>
        <v/>
      </c>
      <c r="Q759" s="7">
        <f>IF($AB759="","",SUMIFS('Per Line'!$U$2:$U$4001,'Per Line'!$C$2:$C$4001,$B759,'Per Line'!$AM$2:$AM$4001,1))</f>
        <v/>
      </c>
      <c r="R759">
        <f>IF($AB759="","",Settings!$C$7)</f>
        <v/>
      </c>
      <c r="S759" s="7">
        <f>IF($AB759="","",SUMIFS('Per Line'!$U$2:$U$4001,'Per Line'!$C$2:$C$4001,$B759,'Per Line'!$AL$2:$AL$4001,0,'Per Line'!$AM$2:$AM$4001,0))</f>
        <v/>
      </c>
      <c r="T759" s="7">
        <f>IF($AB759="","",S759*R759)</f>
        <v/>
      </c>
      <c r="U759">
        <f>IF($AB759="","",Settings!$C$6)</f>
        <v/>
      </c>
      <c r="V759" s="7">
        <f>IF($AB759="","",SUMIFS('Per Line'!$U$2:$U$4001,'Per Line'!$C$2:$C$4001,$B759,'Per Line'!$AL$2:$AL$4001,1,'Per Line'!$AM$2:$AM$4001,0))</f>
        <v/>
      </c>
      <c r="W759" s="7">
        <f>IF($AB759="","",V759*U759)</f>
        <v/>
      </c>
      <c r="X759" s="7">
        <f>IF($AB759="","",W759+T759)</f>
        <v/>
      </c>
      <c r="Y759" s="7">
        <f>IF($AB759="","",Z759-X759)</f>
        <v/>
      </c>
      <c r="Z759" s="7">
        <f>IF($AB759="","",S759+V759+Q759)</f>
        <v/>
      </c>
      <c r="AA759" s="7">
        <f>IF($AB759="","",Z759-X759-M759)</f>
        <v/>
      </c>
      <c r="AB759" s="13">
        <f>IF(ROWS($AB$2:$AB759)&lt;=MAX('Per Line'!$AK$2:$AK$4001),MATCH(ROWS($AB$2:$AB759),'Per Line'!$AK$2:$AK$4001,0),"")</f>
        <v/>
      </c>
      <c r="AC759" s="14">
        <f>IF($AB759="","",M759-L759*Z759/100)</f>
        <v/>
      </c>
    </row>
    <row r="760">
      <c r="A760" s="12" t="n"/>
      <c r="B760">
        <f>IF($AB760="","",INDEX('Per Line'!$C$2:$C$4001,$AB760)&amp;"")</f>
        <v/>
      </c>
      <c r="C760">
        <f>IF($AB760="","",INDEX('Per Line'!$D$2:$D$4001,$AB760)&amp;"")</f>
        <v/>
      </c>
      <c r="D760">
        <f>IF($AB760="","",INDEX('Per Line'!$B$2:$B$4001,$AB760)&amp;"")</f>
        <v/>
      </c>
      <c r="E760">
        <f>IF($AB760="","",INDEX('Per Line'!$A$2:$A$4001,$AB760))</f>
        <v/>
      </c>
      <c r="F760" s="11">
        <f>IF($AB760="","",INDEX('Per Line'!$E$2:$E$4001,$AB760))</f>
        <v/>
      </c>
      <c r="G760">
        <f>IF($AB760="","",INDEX('Per Line'!$F$2:$F$4001,$AB760)&amp;"")</f>
        <v/>
      </c>
      <c r="H760">
        <f>IF($AB760="","",INDEX('Per Line'!$H$2:$H$4001,$AB760)&amp;"")</f>
        <v/>
      </c>
      <c r="I760">
        <f>IF($AB760="","",INDEX('Per Line'!$I$2:$I$4001,$AB760)&amp;"")</f>
        <v/>
      </c>
      <c r="J760">
        <f>IF($AB760="","",INDEX('Per Line'!$J$2:$J$4001,$AB760)&amp;"")</f>
        <v/>
      </c>
      <c r="K760">
        <f>IF($AB760="","",INDEX('Per Line'!$K$2:$K$4001,$AB760)&amp;"")</f>
        <v/>
      </c>
      <c r="L760">
        <f>IF($AB760="","",INDEX('Per Line'!$L$2:$L$4001,$AB760))</f>
        <v/>
      </c>
      <c r="M760" s="7">
        <f>IF($AB760="","",IF(AND(ISNUMBER(O760),O760&gt;0,Z760&gt;O760),L760*O760/100+(Z760-O760),L760*Z760/100))</f>
        <v/>
      </c>
      <c r="N760">
        <f>IF($AB760="","",INDEX('Per Line'!$V$2:$V$4001,$AB760)&amp;"")</f>
        <v/>
      </c>
      <c r="O760">
        <f>IF($AB760="","",INDEX('Per Line'!$Z$2:$Z$4001,$AB760))</f>
        <v/>
      </c>
      <c r="P760">
        <f>IF($AB760="","",IF(AND(ISNUMBER(O760),O760&gt;0),Z760&gt;O760,FALSE))</f>
        <v/>
      </c>
      <c r="Q760" s="7">
        <f>IF($AB760="","",SUMIFS('Per Line'!$U$2:$U$4001,'Per Line'!$C$2:$C$4001,$B760,'Per Line'!$AM$2:$AM$4001,1))</f>
        <v/>
      </c>
      <c r="R760">
        <f>IF($AB760="","",Settings!$C$7)</f>
        <v/>
      </c>
      <c r="S760" s="7">
        <f>IF($AB760="","",SUMIFS('Per Line'!$U$2:$U$4001,'Per Line'!$C$2:$C$4001,$B760,'Per Line'!$AL$2:$AL$4001,0,'Per Line'!$AM$2:$AM$4001,0))</f>
        <v/>
      </c>
      <c r="T760" s="7">
        <f>IF($AB760="","",S760*R760)</f>
        <v/>
      </c>
      <c r="U760">
        <f>IF($AB760="","",Settings!$C$6)</f>
        <v/>
      </c>
      <c r="V760" s="7">
        <f>IF($AB760="","",SUMIFS('Per Line'!$U$2:$U$4001,'Per Line'!$C$2:$C$4001,$B760,'Per Line'!$AL$2:$AL$4001,1,'Per Line'!$AM$2:$AM$4001,0))</f>
        <v/>
      </c>
      <c r="W760" s="7">
        <f>IF($AB760="","",V760*U760)</f>
        <v/>
      </c>
      <c r="X760" s="7">
        <f>IF($AB760="","",W760+T760)</f>
        <v/>
      </c>
      <c r="Y760" s="7">
        <f>IF($AB760="","",Z760-X760)</f>
        <v/>
      </c>
      <c r="Z760" s="7">
        <f>IF($AB760="","",S760+V760+Q760)</f>
        <v/>
      </c>
      <c r="AA760" s="7">
        <f>IF($AB760="","",Z760-X760-M760)</f>
        <v/>
      </c>
      <c r="AB760" s="13">
        <f>IF(ROWS($AB$2:$AB760)&lt;=MAX('Per Line'!$AK$2:$AK$4001),MATCH(ROWS($AB$2:$AB760),'Per Line'!$AK$2:$AK$4001,0),"")</f>
        <v/>
      </c>
      <c r="AC760" s="14">
        <f>IF($AB760="","",M760-L760*Z760/100)</f>
        <v/>
      </c>
    </row>
    <row r="761">
      <c r="A761" s="12" t="n"/>
      <c r="B761">
        <f>IF($AB761="","",INDEX('Per Line'!$C$2:$C$4001,$AB761)&amp;"")</f>
        <v/>
      </c>
      <c r="C761">
        <f>IF($AB761="","",INDEX('Per Line'!$D$2:$D$4001,$AB761)&amp;"")</f>
        <v/>
      </c>
      <c r="D761">
        <f>IF($AB761="","",INDEX('Per Line'!$B$2:$B$4001,$AB761)&amp;"")</f>
        <v/>
      </c>
      <c r="E761">
        <f>IF($AB761="","",INDEX('Per Line'!$A$2:$A$4001,$AB761))</f>
        <v/>
      </c>
      <c r="F761" s="11">
        <f>IF($AB761="","",INDEX('Per Line'!$E$2:$E$4001,$AB761))</f>
        <v/>
      </c>
      <c r="G761">
        <f>IF($AB761="","",INDEX('Per Line'!$F$2:$F$4001,$AB761)&amp;"")</f>
        <v/>
      </c>
      <c r="H761">
        <f>IF($AB761="","",INDEX('Per Line'!$H$2:$H$4001,$AB761)&amp;"")</f>
        <v/>
      </c>
      <c r="I761">
        <f>IF($AB761="","",INDEX('Per Line'!$I$2:$I$4001,$AB761)&amp;"")</f>
        <v/>
      </c>
      <c r="J761">
        <f>IF($AB761="","",INDEX('Per Line'!$J$2:$J$4001,$AB761)&amp;"")</f>
        <v/>
      </c>
      <c r="K761">
        <f>IF($AB761="","",INDEX('Per Line'!$K$2:$K$4001,$AB761)&amp;"")</f>
        <v/>
      </c>
      <c r="L761">
        <f>IF($AB761="","",INDEX('Per Line'!$L$2:$L$4001,$AB761))</f>
        <v/>
      </c>
      <c r="M761" s="7">
        <f>IF($AB761="","",IF(AND(ISNUMBER(O761),O761&gt;0,Z761&gt;O761),L761*O761/100+(Z761-O761),L761*Z761/100))</f>
        <v/>
      </c>
      <c r="N761">
        <f>IF($AB761="","",INDEX('Per Line'!$V$2:$V$4001,$AB761)&amp;"")</f>
        <v/>
      </c>
      <c r="O761">
        <f>IF($AB761="","",INDEX('Per Line'!$Z$2:$Z$4001,$AB761))</f>
        <v/>
      </c>
      <c r="P761">
        <f>IF($AB761="","",IF(AND(ISNUMBER(O761),O761&gt;0),Z761&gt;O761,FALSE))</f>
        <v/>
      </c>
      <c r="Q761" s="7">
        <f>IF($AB761="","",SUMIFS('Per Line'!$U$2:$U$4001,'Per Line'!$C$2:$C$4001,$B761,'Per Line'!$AM$2:$AM$4001,1))</f>
        <v/>
      </c>
      <c r="R761">
        <f>IF($AB761="","",Settings!$C$7)</f>
        <v/>
      </c>
      <c r="S761" s="7">
        <f>IF($AB761="","",SUMIFS('Per Line'!$U$2:$U$4001,'Per Line'!$C$2:$C$4001,$B761,'Per Line'!$AL$2:$AL$4001,0,'Per Line'!$AM$2:$AM$4001,0))</f>
        <v/>
      </c>
      <c r="T761" s="7">
        <f>IF($AB761="","",S761*R761)</f>
        <v/>
      </c>
      <c r="U761">
        <f>IF($AB761="","",Settings!$C$6)</f>
        <v/>
      </c>
      <c r="V761" s="7">
        <f>IF($AB761="","",SUMIFS('Per Line'!$U$2:$U$4001,'Per Line'!$C$2:$C$4001,$B761,'Per Line'!$AL$2:$AL$4001,1,'Per Line'!$AM$2:$AM$4001,0))</f>
        <v/>
      </c>
      <c r="W761" s="7">
        <f>IF($AB761="","",V761*U761)</f>
        <v/>
      </c>
      <c r="X761" s="7">
        <f>IF($AB761="","",W761+T761)</f>
        <v/>
      </c>
      <c r="Y761" s="7">
        <f>IF($AB761="","",Z761-X761)</f>
        <v/>
      </c>
      <c r="Z761" s="7">
        <f>IF($AB761="","",S761+V761+Q761)</f>
        <v/>
      </c>
      <c r="AA761" s="7">
        <f>IF($AB761="","",Z761-X761-M761)</f>
        <v/>
      </c>
      <c r="AB761" s="13">
        <f>IF(ROWS($AB$2:$AB761)&lt;=MAX('Per Line'!$AK$2:$AK$4001),MATCH(ROWS($AB$2:$AB761),'Per Line'!$AK$2:$AK$4001,0),"")</f>
        <v/>
      </c>
      <c r="AC761" s="14">
        <f>IF($AB761="","",M761-L761*Z761/100)</f>
        <v/>
      </c>
    </row>
    <row r="762">
      <c r="A762" s="12" t="n"/>
      <c r="B762">
        <f>IF($AB762="","",INDEX('Per Line'!$C$2:$C$4001,$AB762)&amp;"")</f>
        <v/>
      </c>
      <c r="C762">
        <f>IF($AB762="","",INDEX('Per Line'!$D$2:$D$4001,$AB762)&amp;"")</f>
        <v/>
      </c>
      <c r="D762">
        <f>IF($AB762="","",INDEX('Per Line'!$B$2:$B$4001,$AB762)&amp;"")</f>
        <v/>
      </c>
      <c r="E762">
        <f>IF($AB762="","",INDEX('Per Line'!$A$2:$A$4001,$AB762))</f>
        <v/>
      </c>
      <c r="F762" s="11">
        <f>IF($AB762="","",INDEX('Per Line'!$E$2:$E$4001,$AB762))</f>
        <v/>
      </c>
      <c r="G762">
        <f>IF($AB762="","",INDEX('Per Line'!$F$2:$F$4001,$AB762)&amp;"")</f>
        <v/>
      </c>
      <c r="H762">
        <f>IF($AB762="","",INDEX('Per Line'!$H$2:$H$4001,$AB762)&amp;"")</f>
        <v/>
      </c>
      <c r="I762">
        <f>IF($AB762="","",INDEX('Per Line'!$I$2:$I$4001,$AB762)&amp;"")</f>
        <v/>
      </c>
      <c r="J762">
        <f>IF($AB762="","",INDEX('Per Line'!$J$2:$J$4001,$AB762)&amp;"")</f>
        <v/>
      </c>
      <c r="K762">
        <f>IF($AB762="","",INDEX('Per Line'!$K$2:$K$4001,$AB762)&amp;"")</f>
        <v/>
      </c>
      <c r="L762">
        <f>IF($AB762="","",INDEX('Per Line'!$L$2:$L$4001,$AB762))</f>
        <v/>
      </c>
      <c r="M762" s="7">
        <f>IF($AB762="","",IF(AND(ISNUMBER(O762),O762&gt;0,Z762&gt;O762),L762*O762/100+(Z762-O762),L762*Z762/100))</f>
        <v/>
      </c>
      <c r="N762">
        <f>IF($AB762="","",INDEX('Per Line'!$V$2:$V$4001,$AB762)&amp;"")</f>
        <v/>
      </c>
      <c r="O762">
        <f>IF($AB762="","",INDEX('Per Line'!$Z$2:$Z$4001,$AB762))</f>
        <v/>
      </c>
      <c r="P762">
        <f>IF($AB762="","",IF(AND(ISNUMBER(O762),O762&gt;0),Z762&gt;O762,FALSE))</f>
        <v/>
      </c>
      <c r="Q762" s="7">
        <f>IF($AB762="","",SUMIFS('Per Line'!$U$2:$U$4001,'Per Line'!$C$2:$C$4001,$B762,'Per Line'!$AM$2:$AM$4001,1))</f>
        <v/>
      </c>
      <c r="R762">
        <f>IF($AB762="","",Settings!$C$7)</f>
        <v/>
      </c>
      <c r="S762" s="7">
        <f>IF($AB762="","",SUMIFS('Per Line'!$U$2:$U$4001,'Per Line'!$C$2:$C$4001,$B762,'Per Line'!$AL$2:$AL$4001,0,'Per Line'!$AM$2:$AM$4001,0))</f>
        <v/>
      </c>
      <c r="T762" s="7">
        <f>IF($AB762="","",S762*R762)</f>
        <v/>
      </c>
      <c r="U762">
        <f>IF($AB762="","",Settings!$C$6)</f>
        <v/>
      </c>
      <c r="V762" s="7">
        <f>IF($AB762="","",SUMIFS('Per Line'!$U$2:$U$4001,'Per Line'!$C$2:$C$4001,$B762,'Per Line'!$AL$2:$AL$4001,1,'Per Line'!$AM$2:$AM$4001,0))</f>
        <v/>
      </c>
      <c r="W762" s="7">
        <f>IF($AB762="","",V762*U762)</f>
        <v/>
      </c>
      <c r="X762" s="7">
        <f>IF($AB762="","",W762+T762)</f>
        <v/>
      </c>
      <c r="Y762" s="7">
        <f>IF($AB762="","",Z762-X762)</f>
        <v/>
      </c>
      <c r="Z762" s="7">
        <f>IF($AB762="","",S762+V762+Q762)</f>
        <v/>
      </c>
      <c r="AA762" s="7">
        <f>IF($AB762="","",Z762-X762-M762)</f>
        <v/>
      </c>
      <c r="AB762" s="13">
        <f>IF(ROWS($AB$2:$AB762)&lt;=MAX('Per Line'!$AK$2:$AK$4001),MATCH(ROWS($AB$2:$AB762),'Per Line'!$AK$2:$AK$4001,0),"")</f>
        <v/>
      </c>
      <c r="AC762" s="14">
        <f>IF($AB762="","",M762-L762*Z762/100)</f>
        <v/>
      </c>
    </row>
    <row r="763">
      <c r="A763" s="12" t="n"/>
      <c r="B763">
        <f>IF($AB763="","",INDEX('Per Line'!$C$2:$C$4001,$AB763)&amp;"")</f>
        <v/>
      </c>
      <c r="C763">
        <f>IF($AB763="","",INDEX('Per Line'!$D$2:$D$4001,$AB763)&amp;"")</f>
        <v/>
      </c>
      <c r="D763">
        <f>IF($AB763="","",INDEX('Per Line'!$B$2:$B$4001,$AB763)&amp;"")</f>
        <v/>
      </c>
      <c r="E763">
        <f>IF($AB763="","",INDEX('Per Line'!$A$2:$A$4001,$AB763))</f>
        <v/>
      </c>
      <c r="F763" s="11">
        <f>IF($AB763="","",INDEX('Per Line'!$E$2:$E$4001,$AB763))</f>
        <v/>
      </c>
      <c r="G763">
        <f>IF($AB763="","",INDEX('Per Line'!$F$2:$F$4001,$AB763)&amp;"")</f>
        <v/>
      </c>
      <c r="H763">
        <f>IF($AB763="","",INDEX('Per Line'!$H$2:$H$4001,$AB763)&amp;"")</f>
        <v/>
      </c>
      <c r="I763">
        <f>IF($AB763="","",INDEX('Per Line'!$I$2:$I$4001,$AB763)&amp;"")</f>
        <v/>
      </c>
      <c r="J763">
        <f>IF($AB763="","",INDEX('Per Line'!$J$2:$J$4001,$AB763)&amp;"")</f>
        <v/>
      </c>
      <c r="K763">
        <f>IF($AB763="","",INDEX('Per Line'!$K$2:$K$4001,$AB763)&amp;"")</f>
        <v/>
      </c>
      <c r="L763">
        <f>IF($AB763="","",INDEX('Per Line'!$L$2:$L$4001,$AB763))</f>
        <v/>
      </c>
      <c r="M763" s="7">
        <f>IF($AB763="","",IF(AND(ISNUMBER(O763),O763&gt;0,Z763&gt;O763),L763*O763/100+(Z763-O763),L763*Z763/100))</f>
        <v/>
      </c>
      <c r="N763">
        <f>IF($AB763="","",INDEX('Per Line'!$V$2:$V$4001,$AB763)&amp;"")</f>
        <v/>
      </c>
      <c r="O763">
        <f>IF($AB763="","",INDEX('Per Line'!$Z$2:$Z$4001,$AB763))</f>
        <v/>
      </c>
      <c r="P763">
        <f>IF($AB763="","",IF(AND(ISNUMBER(O763),O763&gt;0),Z763&gt;O763,FALSE))</f>
        <v/>
      </c>
      <c r="Q763" s="7">
        <f>IF($AB763="","",SUMIFS('Per Line'!$U$2:$U$4001,'Per Line'!$C$2:$C$4001,$B763,'Per Line'!$AM$2:$AM$4001,1))</f>
        <v/>
      </c>
      <c r="R763">
        <f>IF($AB763="","",Settings!$C$7)</f>
        <v/>
      </c>
      <c r="S763" s="7">
        <f>IF($AB763="","",SUMIFS('Per Line'!$U$2:$U$4001,'Per Line'!$C$2:$C$4001,$B763,'Per Line'!$AL$2:$AL$4001,0,'Per Line'!$AM$2:$AM$4001,0))</f>
        <v/>
      </c>
      <c r="T763" s="7">
        <f>IF($AB763="","",S763*R763)</f>
        <v/>
      </c>
      <c r="U763">
        <f>IF($AB763="","",Settings!$C$6)</f>
        <v/>
      </c>
      <c r="V763" s="7">
        <f>IF($AB763="","",SUMIFS('Per Line'!$U$2:$U$4001,'Per Line'!$C$2:$C$4001,$B763,'Per Line'!$AL$2:$AL$4001,1,'Per Line'!$AM$2:$AM$4001,0))</f>
        <v/>
      </c>
      <c r="W763" s="7">
        <f>IF($AB763="","",V763*U763)</f>
        <v/>
      </c>
      <c r="X763" s="7">
        <f>IF($AB763="","",W763+T763)</f>
        <v/>
      </c>
      <c r="Y763" s="7">
        <f>IF($AB763="","",Z763-X763)</f>
        <v/>
      </c>
      <c r="Z763" s="7">
        <f>IF($AB763="","",S763+V763+Q763)</f>
        <v/>
      </c>
      <c r="AA763" s="7">
        <f>IF($AB763="","",Z763-X763-M763)</f>
        <v/>
      </c>
      <c r="AB763" s="13">
        <f>IF(ROWS($AB$2:$AB763)&lt;=MAX('Per Line'!$AK$2:$AK$4001),MATCH(ROWS($AB$2:$AB763),'Per Line'!$AK$2:$AK$4001,0),"")</f>
        <v/>
      </c>
      <c r="AC763" s="14">
        <f>IF($AB763="","",M763-L763*Z763/100)</f>
        <v/>
      </c>
    </row>
    <row r="764">
      <c r="A764" s="12" t="n"/>
      <c r="B764">
        <f>IF($AB764="","",INDEX('Per Line'!$C$2:$C$4001,$AB764)&amp;"")</f>
        <v/>
      </c>
      <c r="C764">
        <f>IF($AB764="","",INDEX('Per Line'!$D$2:$D$4001,$AB764)&amp;"")</f>
        <v/>
      </c>
      <c r="D764">
        <f>IF($AB764="","",INDEX('Per Line'!$B$2:$B$4001,$AB764)&amp;"")</f>
        <v/>
      </c>
      <c r="E764">
        <f>IF($AB764="","",INDEX('Per Line'!$A$2:$A$4001,$AB764))</f>
        <v/>
      </c>
      <c r="F764" s="11">
        <f>IF($AB764="","",INDEX('Per Line'!$E$2:$E$4001,$AB764))</f>
        <v/>
      </c>
      <c r="G764">
        <f>IF($AB764="","",INDEX('Per Line'!$F$2:$F$4001,$AB764)&amp;"")</f>
        <v/>
      </c>
      <c r="H764">
        <f>IF($AB764="","",INDEX('Per Line'!$H$2:$H$4001,$AB764)&amp;"")</f>
        <v/>
      </c>
      <c r="I764">
        <f>IF($AB764="","",INDEX('Per Line'!$I$2:$I$4001,$AB764)&amp;"")</f>
        <v/>
      </c>
      <c r="J764">
        <f>IF($AB764="","",INDEX('Per Line'!$J$2:$J$4001,$AB764)&amp;"")</f>
        <v/>
      </c>
      <c r="K764">
        <f>IF($AB764="","",INDEX('Per Line'!$K$2:$K$4001,$AB764)&amp;"")</f>
        <v/>
      </c>
      <c r="L764">
        <f>IF($AB764="","",INDEX('Per Line'!$L$2:$L$4001,$AB764))</f>
        <v/>
      </c>
      <c r="M764" s="7">
        <f>IF($AB764="","",IF(AND(ISNUMBER(O764),O764&gt;0,Z764&gt;O764),L764*O764/100+(Z764-O764),L764*Z764/100))</f>
        <v/>
      </c>
      <c r="N764">
        <f>IF($AB764="","",INDEX('Per Line'!$V$2:$V$4001,$AB764)&amp;"")</f>
        <v/>
      </c>
      <c r="O764">
        <f>IF($AB764="","",INDEX('Per Line'!$Z$2:$Z$4001,$AB764))</f>
        <v/>
      </c>
      <c r="P764">
        <f>IF($AB764="","",IF(AND(ISNUMBER(O764),O764&gt;0),Z764&gt;O764,FALSE))</f>
        <v/>
      </c>
      <c r="Q764" s="7">
        <f>IF($AB764="","",SUMIFS('Per Line'!$U$2:$U$4001,'Per Line'!$C$2:$C$4001,$B764,'Per Line'!$AM$2:$AM$4001,1))</f>
        <v/>
      </c>
      <c r="R764">
        <f>IF($AB764="","",Settings!$C$7)</f>
        <v/>
      </c>
      <c r="S764" s="7">
        <f>IF($AB764="","",SUMIFS('Per Line'!$U$2:$U$4001,'Per Line'!$C$2:$C$4001,$B764,'Per Line'!$AL$2:$AL$4001,0,'Per Line'!$AM$2:$AM$4001,0))</f>
        <v/>
      </c>
      <c r="T764" s="7">
        <f>IF($AB764="","",S764*R764)</f>
        <v/>
      </c>
      <c r="U764">
        <f>IF($AB764="","",Settings!$C$6)</f>
        <v/>
      </c>
      <c r="V764" s="7">
        <f>IF($AB764="","",SUMIFS('Per Line'!$U$2:$U$4001,'Per Line'!$C$2:$C$4001,$B764,'Per Line'!$AL$2:$AL$4001,1,'Per Line'!$AM$2:$AM$4001,0))</f>
        <v/>
      </c>
      <c r="W764" s="7">
        <f>IF($AB764="","",V764*U764)</f>
        <v/>
      </c>
      <c r="X764" s="7">
        <f>IF($AB764="","",W764+T764)</f>
        <v/>
      </c>
      <c r="Y764" s="7">
        <f>IF($AB764="","",Z764-X764)</f>
        <v/>
      </c>
      <c r="Z764" s="7">
        <f>IF($AB764="","",S764+V764+Q764)</f>
        <v/>
      </c>
      <c r="AA764" s="7">
        <f>IF($AB764="","",Z764-X764-M764)</f>
        <v/>
      </c>
      <c r="AB764" s="13">
        <f>IF(ROWS($AB$2:$AB764)&lt;=MAX('Per Line'!$AK$2:$AK$4001),MATCH(ROWS($AB$2:$AB764),'Per Line'!$AK$2:$AK$4001,0),"")</f>
        <v/>
      </c>
      <c r="AC764" s="14">
        <f>IF($AB764="","",M764-L764*Z764/100)</f>
        <v/>
      </c>
    </row>
    <row r="765">
      <c r="A765" s="12" t="n"/>
      <c r="B765">
        <f>IF($AB765="","",INDEX('Per Line'!$C$2:$C$4001,$AB765)&amp;"")</f>
        <v/>
      </c>
      <c r="C765">
        <f>IF($AB765="","",INDEX('Per Line'!$D$2:$D$4001,$AB765)&amp;"")</f>
        <v/>
      </c>
      <c r="D765">
        <f>IF($AB765="","",INDEX('Per Line'!$B$2:$B$4001,$AB765)&amp;"")</f>
        <v/>
      </c>
      <c r="E765">
        <f>IF($AB765="","",INDEX('Per Line'!$A$2:$A$4001,$AB765))</f>
        <v/>
      </c>
      <c r="F765" s="11">
        <f>IF($AB765="","",INDEX('Per Line'!$E$2:$E$4001,$AB765))</f>
        <v/>
      </c>
      <c r="G765">
        <f>IF($AB765="","",INDEX('Per Line'!$F$2:$F$4001,$AB765)&amp;"")</f>
        <v/>
      </c>
      <c r="H765">
        <f>IF($AB765="","",INDEX('Per Line'!$H$2:$H$4001,$AB765)&amp;"")</f>
        <v/>
      </c>
      <c r="I765">
        <f>IF($AB765="","",INDEX('Per Line'!$I$2:$I$4001,$AB765)&amp;"")</f>
        <v/>
      </c>
      <c r="J765">
        <f>IF($AB765="","",INDEX('Per Line'!$J$2:$J$4001,$AB765)&amp;"")</f>
        <v/>
      </c>
      <c r="K765">
        <f>IF($AB765="","",INDEX('Per Line'!$K$2:$K$4001,$AB765)&amp;"")</f>
        <v/>
      </c>
      <c r="L765">
        <f>IF($AB765="","",INDEX('Per Line'!$L$2:$L$4001,$AB765))</f>
        <v/>
      </c>
      <c r="M765" s="7">
        <f>IF($AB765="","",IF(AND(ISNUMBER(O765),O765&gt;0,Z765&gt;O765),L765*O765/100+(Z765-O765),L765*Z765/100))</f>
        <v/>
      </c>
      <c r="N765">
        <f>IF($AB765="","",INDEX('Per Line'!$V$2:$V$4001,$AB765)&amp;"")</f>
        <v/>
      </c>
      <c r="O765">
        <f>IF($AB765="","",INDEX('Per Line'!$Z$2:$Z$4001,$AB765))</f>
        <v/>
      </c>
      <c r="P765">
        <f>IF($AB765="","",IF(AND(ISNUMBER(O765),O765&gt;0),Z765&gt;O765,FALSE))</f>
        <v/>
      </c>
      <c r="Q765" s="7">
        <f>IF($AB765="","",SUMIFS('Per Line'!$U$2:$U$4001,'Per Line'!$C$2:$C$4001,$B765,'Per Line'!$AM$2:$AM$4001,1))</f>
        <v/>
      </c>
      <c r="R765">
        <f>IF($AB765="","",Settings!$C$7)</f>
        <v/>
      </c>
      <c r="S765" s="7">
        <f>IF($AB765="","",SUMIFS('Per Line'!$U$2:$U$4001,'Per Line'!$C$2:$C$4001,$B765,'Per Line'!$AL$2:$AL$4001,0,'Per Line'!$AM$2:$AM$4001,0))</f>
        <v/>
      </c>
      <c r="T765" s="7">
        <f>IF($AB765="","",S765*R765)</f>
        <v/>
      </c>
      <c r="U765">
        <f>IF($AB765="","",Settings!$C$6)</f>
        <v/>
      </c>
      <c r="V765" s="7">
        <f>IF($AB765="","",SUMIFS('Per Line'!$U$2:$U$4001,'Per Line'!$C$2:$C$4001,$B765,'Per Line'!$AL$2:$AL$4001,1,'Per Line'!$AM$2:$AM$4001,0))</f>
        <v/>
      </c>
      <c r="W765" s="7">
        <f>IF($AB765="","",V765*U765)</f>
        <v/>
      </c>
      <c r="X765" s="7">
        <f>IF($AB765="","",W765+T765)</f>
        <v/>
      </c>
      <c r="Y765" s="7">
        <f>IF($AB765="","",Z765-X765)</f>
        <v/>
      </c>
      <c r="Z765" s="7">
        <f>IF($AB765="","",S765+V765+Q765)</f>
        <v/>
      </c>
      <c r="AA765" s="7">
        <f>IF($AB765="","",Z765-X765-M765)</f>
        <v/>
      </c>
      <c r="AB765" s="13">
        <f>IF(ROWS($AB$2:$AB765)&lt;=MAX('Per Line'!$AK$2:$AK$4001),MATCH(ROWS($AB$2:$AB765),'Per Line'!$AK$2:$AK$4001,0),"")</f>
        <v/>
      </c>
      <c r="AC765" s="14">
        <f>IF($AB765="","",M765-L765*Z765/100)</f>
        <v/>
      </c>
    </row>
    <row r="766">
      <c r="A766" s="12" t="n"/>
      <c r="B766">
        <f>IF($AB766="","",INDEX('Per Line'!$C$2:$C$4001,$AB766)&amp;"")</f>
        <v/>
      </c>
      <c r="C766">
        <f>IF($AB766="","",INDEX('Per Line'!$D$2:$D$4001,$AB766)&amp;"")</f>
        <v/>
      </c>
      <c r="D766">
        <f>IF($AB766="","",INDEX('Per Line'!$B$2:$B$4001,$AB766)&amp;"")</f>
        <v/>
      </c>
      <c r="E766">
        <f>IF($AB766="","",INDEX('Per Line'!$A$2:$A$4001,$AB766))</f>
        <v/>
      </c>
      <c r="F766" s="11">
        <f>IF($AB766="","",INDEX('Per Line'!$E$2:$E$4001,$AB766))</f>
        <v/>
      </c>
      <c r="G766">
        <f>IF($AB766="","",INDEX('Per Line'!$F$2:$F$4001,$AB766)&amp;"")</f>
        <v/>
      </c>
      <c r="H766">
        <f>IF($AB766="","",INDEX('Per Line'!$H$2:$H$4001,$AB766)&amp;"")</f>
        <v/>
      </c>
      <c r="I766">
        <f>IF($AB766="","",INDEX('Per Line'!$I$2:$I$4001,$AB766)&amp;"")</f>
        <v/>
      </c>
      <c r="J766">
        <f>IF($AB766="","",INDEX('Per Line'!$J$2:$J$4001,$AB766)&amp;"")</f>
        <v/>
      </c>
      <c r="K766">
        <f>IF($AB766="","",INDEX('Per Line'!$K$2:$K$4001,$AB766)&amp;"")</f>
        <v/>
      </c>
      <c r="L766">
        <f>IF($AB766="","",INDEX('Per Line'!$L$2:$L$4001,$AB766))</f>
        <v/>
      </c>
      <c r="M766" s="7">
        <f>IF($AB766="","",IF(AND(ISNUMBER(O766),O766&gt;0,Z766&gt;O766),L766*O766/100+(Z766-O766),L766*Z766/100))</f>
        <v/>
      </c>
      <c r="N766">
        <f>IF($AB766="","",INDEX('Per Line'!$V$2:$V$4001,$AB766)&amp;"")</f>
        <v/>
      </c>
      <c r="O766">
        <f>IF($AB766="","",INDEX('Per Line'!$Z$2:$Z$4001,$AB766))</f>
        <v/>
      </c>
      <c r="P766">
        <f>IF($AB766="","",IF(AND(ISNUMBER(O766),O766&gt;0),Z766&gt;O766,FALSE))</f>
        <v/>
      </c>
      <c r="Q766" s="7">
        <f>IF($AB766="","",SUMIFS('Per Line'!$U$2:$U$4001,'Per Line'!$C$2:$C$4001,$B766,'Per Line'!$AM$2:$AM$4001,1))</f>
        <v/>
      </c>
      <c r="R766">
        <f>IF($AB766="","",Settings!$C$7)</f>
        <v/>
      </c>
      <c r="S766" s="7">
        <f>IF($AB766="","",SUMIFS('Per Line'!$U$2:$U$4001,'Per Line'!$C$2:$C$4001,$B766,'Per Line'!$AL$2:$AL$4001,0,'Per Line'!$AM$2:$AM$4001,0))</f>
        <v/>
      </c>
      <c r="T766" s="7">
        <f>IF($AB766="","",S766*R766)</f>
        <v/>
      </c>
      <c r="U766">
        <f>IF($AB766="","",Settings!$C$6)</f>
        <v/>
      </c>
      <c r="V766" s="7">
        <f>IF($AB766="","",SUMIFS('Per Line'!$U$2:$U$4001,'Per Line'!$C$2:$C$4001,$B766,'Per Line'!$AL$2:$AL$4001,1,'Per Line'!$AM$2:$AM$4001,0))</f>
        <v/>
      </c>
      <c r="W766" s="7">
        <f>IF($AB766="","",V766*U766)</f>
        <v/>
      </c>
      <c r="X766" s="7">
        <f>IF($AB766="","",W766+T766)</f>
        <v/>
      </c>
      <c r="Y766" s="7">
        <f>IF($AB766="","",Z766-X766)</f>
        <v/>
      </c>
      <c r="Z766" s="7">
        <f>IF($AB766="","",S766+V766+Q766)</f>
        <v/>
      </c>
      <c r="AA766" s="7">
        <f>IF($AB766="","",Z766-X766-M766)</f>
        <v/>
      </c>
      <c r="AB766" s="13">
        <f>IF(ROWS($AB$2:$AB766)&lt;=MAX('Per Line'!$AK$2:$AK$4001),MATCH(ROWS($AB$2:$AB766),'Per Line'!$AK$2:$AK$4001,0),"")</f>
        <v/>
      </c>
      <c r="AC766" s="14">
        <f>IF($AB766="","",M766-L766*Z766/100)</f>
        <v/>
      </c>
    </row>
    <row r="767">
      <c r="A767" s="12" t="n"/>
      <c r="B767">
        <f>IF($AB767="","",INDEX('Per Line'!$C$2:$C$4001,$AB767)&amp;"")</f>
        <v/>
      </c>
      <c r="C767">
        <f>IF($AB767="","",INDEX('Per Line'!$D$2:$D$4001,$AB767)&amp;"")</f>
        <v/>
      </c>
      <c r="D767">
        <f>IF($AB767="","",INDEX('Per Line'!$B$2:$B$4001,$AB767)&amp;"")</f>
        <v/>
      </c>
      <c r="E767">
        <f>IF($AB767="","",INDEX('Per Line'!$A$2:$A$4001,$AB767))</f>
        <v/>
      </c>
      <c r="F767" s="11">
        <f>IF($AB767="","",INDEX('Per Line'!$E$2:$E$4001,$AB767))</f>
        <v/>
      </c>
      <c r="G767">
        <f>IF($AB767="","",INDEX('Per Line'!$F$2:$F$4001,$AB767)&amp;"")</f>
        <v/>
      </c>
      <c r="H767">
        <f>IF($AB767="","",INDEX('Per Line'!$H$2:$H$4001,$AB767)&amp;"")</f>
        <v/>
      </c>
      <c r="I767">
        <f>IF($AB767="","",INDEX('Per Line'!$I$2:$I$4001,$AB767)&amp;"")</f>
        <v/>
      </c>
      <c r="J767">
        <f>IF($AB767="","",INDEX('Per Line'!$J$2:$J$4001,$AB767)&amp;"")</f>
        <v/>
      </c>
      <c r="K767">
        <f>IF($AB767="","",INDEX('Per Line'!$K$2:$K$4001,$AB767)&amp;"")</f>
        <v/>
      </c>
      <c r="L767">
        <f>IF($AB767="","",INDEX('Per Line'!$L$2:$L$4001,$AB767))</f>
        <v/>
      </c>
      <c r="M767" s="7">
        <f>IF($AB767="","",IF(AND(ISNUMBER(O767),O767&gt;0,Z767&gt;O767),L767*O767/100+(Z767-O767),L767*Z767/100))</f>
        <v/>
      </c>
      <c r="N767">
        <f>IF($AB767="","",INDEX('Per Line'!$V$2:$V$4001,$AB767)&amp;"")</f>
        <v/>
      </c>
      <c r="O767">
        <f>IF($AB767="","",INDEX('Per Line'!$Z$2:$Z$4001,$AB767))</f>
        <v/>
      </c>
      <c r="P767">
        <f>IF($AB767="","",IF(AND(ISNUMBER(O767),O767&gt;0),Z767&gt;O767,FALSE))</f>
        <v/>
      </c>
      <c r="Q767" s="7">
        <f>IF($AB767="","",SUMIFS('Per Line'!$U$2:$U$4001,'Per Line'!$C$2:$C$4001,$B767,'Per Line'!$AM$2:$AM$4001,1))</f>
        <v/>
      </c>
      <c r="R767">
        <f>IF($AB767="","",Settings!$C$7)</f>
        <v/>
      </c>
      <c r="S767" s="7">
        <f>IF($AB767="","",SUMIFS('Per Line'!$U$2:$U$4001,'Per Line'!$C$2:$C$4001,$B767,'Per Line'!$AL$2:$AL$4001,0,'Per Line'!$AM$2:$AM$4001,0))</f>
        <v/>
      </c>
      <c r="T767" s="7">
        <f>IF($AB767="","",S767*R767)</f>
        <v/>
      </c>
      <c r="U767">
        <f>IF($AB767="","",Settings!$C$6)</f>
        <v/>
      </c>
      <c r="V767" s="7">
        <f>IF($AB767="","",SUMIFS('Per Line'!$U$2:$U$4001,'Per Line'!$C$2:$C$4001,$B767,'Per Line'!$AL$2:$AL$4001,1,'Per Line'!$AM$2:$AM$4001,0))</f>
        <v/>
      </c>
      <c r="W767" s="7">
        <f>IF($AB767="","",V767*U767)</f>
        <v/>
      </c>
      <c r="X767" s="7">
        <f>IF($AB767="","",W767+T767)</f>
        <v/>
      </c>
      <c r="Y767" s="7">
        <f>IF($AB767="","",Z767-X767)</f>
        <v/>
      </c>
      <c r="Z767" s="7">
        <f>IF($AB767="","",S767+V767+Q767)</f>
        <v/>
      </c>
      <c r="AA767" s="7">
        <f>IF($AB767="","",Z767-X767-M767)</f>
        <v/>
      </c>
      <c r="AB767" s="13">
        <f>IF(ROWS($AB$2:$AB767)&lt;=MAX('Per Line'!$AK$2:$AK$4001),MATCH(ROWS($AB$2:$AB767),'Per Line'!$AK$2:$AK$4001,0),"")</f>
        <v/>
      </c>
      <c r="AC767" s="14">
        <f>IF($AB767="","",M767-L767*Z767/100)</f>
        <v/>
      </c>
    </row>
    <row r="768">
      <c r="A768" s="12" t="n"/>
      <c r="B768">
        <f>IF($AB768="","",INDEX('Per Line'!$C$2:$C$4001,$AB768)&amp;"")</f>
        <v/>
      </c>
      <c r="C768">
        <f>IF($AB768="","",INDEX('Per Line'!$D$2:$D$4001,$AB768)&amp;"")</f>
        <v/>
      </c>
      <c r="D768">
        <f>IF($AB768="","",INDEX('Per Line'!$B$2:$B$4001,$AB768)&amp;"")</f>
        <v/>
      </c>
      <c r="E768">
        <f>IF($AB768="","",INDEX('Per Line'!$A$2:$A$4001,$AB768))</f>
        <v/>
      </c>
      <c r="F768" s="11">
        <f>IF($AB768="","",INDEX('Per Line'!$E$2:$E$4001,$AB768))</f>
        <v/>
      </c>
      <c r="G768">
        <f>IF($AB768="","",INDEX('Per Line'!$F$2:$F$4001,$AB768)&amp;"")</f>
        <v/>
      </c>
      <c r="H768">
        <f>IF($AB768="","",INDEX('Per Line'!$H$2:$H$4001,$AB768)&amp;"")</f>
        <v/>
      </c>
      <c r="I768">
        <f>IF($AB768="","",INDEX('Per Line'!$I$2:$I$4001,$AB768)&amp;"")</f>
        <v/>
      </c>
      <c r="J768">
        <f>IF($AB768="","",INDEX('Per Line'!$J$2:$J$4001,$AB768)&amp;"")</f>
        <v/>
      </c>
      <c r="K768">
        <f>IF($AB768="","",INDEX('Per Line'!$K$2:$K$4001,$AB768)&amp;"")</f>
        <v/>
      </c>
      <c r="L768">
        <f>IF($AB768="","",INDEX('Per Line'!$L$2:$L$4001,$AB768))</f>
        <v/>
      </c>
      <c r="M768" s="7">
        <f>IF($AB768="","",IF(AND(ISNUMBER(O768),O768&gt;0,Z768&gt;O768),L768*O768/100+(Z768-O768),L768*Z768/100))</f>
        <v/>
      </c>
      <c r="N768">
        <f>IF($AB768="","",INDEX('Per Line'!$V$2:$V$4001,$AB768)&amp;"")</f>
        <v/>
      </c>
      <c r="O768">
        <f>IF($AB768="","",INDEX('Per Line'!$Z$2:$Z$4001,$AB768))</f>
        <v/>
      </c>
      <c r="P768">
        <f>IF($AB768="","",IF(AND(ISNUMBER(O768),O768&gt;0),Z768&gt;O768,FALSE))</f>
        <v/>
      </c>
      <c r="Q768" s="7">
        <f>IF($AB768="","",SUMIFS('Per Line'!$U$2:$U$4001,'Per Line'!$C$2:$C$4001,$B768,'Per Line'!$AM$2:$AM$4001,1))</f>
        <v/>
      </c>
      <c r="R768">
        <f>IF($AB768="","",Settings!$C$7)</f>
        <v/>
      </c>
      <c r="S768" s="7">
        <f>IF($AB768="","",SUMIFS('Per Line'!$U$2:$U$4001,'Per Line'!$C$2:$C$4001,$B768,'Per Line'!$AL$2:$AL$4001,0,'Per Line'!$AM$2:$AM$4001,0))</f>
        <v/>
      </c>
      <c r="T768" s="7">
        <f>IF($AB768="","",S768*R768)</f>
        <v/>
      </c>
      <c r="U768">
        <f>IF($AB768="","",Settings!$C$6)</f>
        <v/>
      </c>
      <c r="V768" s="7">
        <f>IF($AB768="","",SUMIFS('Per Line'!$U$2:$U$4001,'Per Line'!$C$2:$C$4001,$B768,'Per Line'!$AL$2:$AL$4001,1,'Per Line'!$AM$2:$AM$4001,0))</f>
        <v/>
      </c>
      <c r="W768" s="7">
        <f>IF($AB768="","",V768*U768)</f>
        <v/>
      </c>
      <c r="X768" s="7">
        <f>IF($AB768="","",W768+T768)</f>
        <v/>
      </c>
      <c r="Y768" s="7">
        <f>IF($AB768="","",Z768-X768)</f>
        <v/>
      </c>
      <c r="Z768" s="7">
        <f>IF($AB768="","",S768+V768+Q768)</f>
        <v/>
      </c>
      <c r="AA768" s="7">
        <f>IF($AB768="","",Z768-X768-M768)</f>
        <v/>
      </c>
      <c r="AB768" s="13">
        <f>IF(ROWS($AB$2:$AB768)&lt;=MAX('Per Line'!$AK$2:$AK$4001),MATCH(ROWS($AB$2:$AB768),'Per Line'!$AK$2:$AK$4001,0),"")</f>
        <v/>
      </c>
      <c r="AC768" s="14">
        <f>IF($AB768="","",M768-L768*Z768/100)</f>
        <v/>
      </c>
    </row>
    <row r="769">
      <c r="A769" s="12" t="n"/>
      <c r="B769">
        <f>IF($AB769="","",INDEX('Per Line'!$C$2:$C$4001,$AB769)&amp;"")</f>
        <v/>
      </c>
      <c r="C769">
        <f>IF($AB769="","",INDEX('Per Line'!$D$2:$D$4001,$AB769)&amp;"")</f>
        <v/>
      </c>
      <c r="D769">
        <f>IF($AB769="","",INDEX('Per Line'!$B$2:$B$4001,$AB769)&amp;"")</f>
        <v/>
      </c>
      <c r="E769">
        <f>IF($AB769="","",INDEX('Per Line'!$A$2:$A$4001,$AB769))</f>
        <v/>
      </c>
      <c r="F769" s="11">
        <f>IF($AB769="","",INDEX('Per Line'!$E$2:$E$4001,$AB769))</f>
        <v/>
      </c>
      <c r="G769">
        <f>IF($AB769="","",INDEX('Per Line'!$F$2:$F$4001,$AB769)&amp;"")</f>
        <v/>
      </c>
      <c r="H769">
        <f>IF($AB769="","",INDEX('Per Line'!$H$2:$H$4001,$AB769)&amp;"")</f>
        <v/>
      </c>
      <c r="I769">
        <f>IF($AB769="","",INDEX('Per Line'!$I$2:$I$4001,$AB769)&amp;"")</f>
        <v/>
      </c>
      <c r="J769">
        <f>IF($AB769="","",INDEX('Per Line'!$J$2:$J$4001,$AB769)&amp;"")</f>
        <v/>
      </c>
      <c r="K769">
        <f>IF($AB769="","",INDEX('Per Line'!$K$2:$K$4001,$AB769)&amp;"")</f>
        <v/>
      </c>
      <c r="L769">
        <f>IF($AB769="","",INDEX('Per Line'!$L$2:$L$4001,$AB769))</f>
        <v/>
      </c>
      <c r="M769" s="7">
        <f>IF($AB769="","",IF(AND(ISNUMBER(O769),O769&gt;0,Z769&gt;O769),L769*O769/100+(Z769-O769),L769*Z769/100))</f>
        <v/>
      </c>
      <c r="N769">
        <f>IF($AB769="","",INDEX('Per Line'!$V$2:$V$4001,$AB769)&amp;"")</f>
        <v/>
      </c>
      <c r="O769">
        <f>IF($AB769="","",INDEX('Per Line'!$Z$2:$Z$4001,$AB769))</f>
        <v/>
      </c>
      <c r="P769">
        <f>IF($AB769="","",IF(AND(ISNUMBER(O769),O769&gt;0),Z769&gt;O769,FALSE))</f>
        <v/>
      </c>
      <c r="Q769" s="7">
        <f>IF($AB769="","",SUMIFS('Per Line'!$U$2:$U$4001,'Per Line'!$C$2:$C$4001,$B769,'Per Line'!$AM$2:$AM$4001,1))</f>
        <v/>
      </c>
      <c r="R769">
        <f>IF($AB769="","",Settings!$C$7)</f>
        <v/>
      </c>
      <c r="S769" s="7">
        <f>IF($AB769="","",SUMIFS('Per Line'!$U$2:$U$4001,'Per Line'!$C$2:$C$4001,$B769,'Per Line'!$AL$2:$AL$4001,0,'Per Line'!$AM$2:$AM$4001,0))</f>
        <v/>
      </c>
      <c r="T769" s="7">
        <f>IF($AB769="","",S769*R769)</f>
        <v/>
      </c>
      <c r="U769">
        <f>IF($AB769="","",Settings!$C$6)</f>
        <v/>
      </c>
      <c r="V769" s="7">
        <f>IF($AB769="","",SUMIFS('Per Line'!$U$2:$U$4001,'Per Line'!$C$2:$C$4001,$B769,'Per Line'!$AL$2:$AL$4001,1,'Per Line'!$AM$2:$AM$4001,0))</f>
        <v/>
      </c>
      <c r="W769" s="7">
        <f>IF($AB769="","",V769*U769)</f>
        <v/>
      </c>
      <c r="X769" s="7">
        <f>IF($AB769="","",W769+T769)</f>
        <v/>
      </c>
      <c r="Y769" s="7">
        <f>IF($AB769="","",Z769-X769)</f>
        <v/>
      </c>
      <c r="Z769" s="7">
        <f>IF($AB769="","",S769+V769+Q769)</f>
        <v/>
      </c>
      <c r="AA769" s="7">
        <f>IF($AB769="","",Z769-X769-M769)</f>
        <v/>
      </c>
      <c r="AB769" s="13">
        <f>IF(ROWS($AB$2:$AB769)&lt;=MAX('Per Line'!$AK$2:$AK$4001),MATCH(ROWS($AB$2:$AB769),'Per Line'!$AK$2:$AK$4001,0),"")</f>
        <v/>
      </c>
      <c r="AC769" s="14">
        <f>IF($AB769="","",M769-L769*Z769/100)</f>
        <v/>
      </c>
    </row>
    <row r="770">
      <c r="A770" s="12" t="n"/>
      <c r="B770">
        <f>IF($AB770="","",INDEX('Per Line'!$C$2:$C$4001,$AB770)&amp;"")</f>
        <v/>
      </c>
      <c r="C770">
        <f>IF($AB770="","",INDEX('Per Line'!$D$2:$D$4001,$AB770)&amp;"")</f>
        <v/>
      </c>
      <c r="D770">
        <f>IF($AB770="","",INDEX('Per Line'!$B$2:$B$4001,$AB770)&amp;"")</f>
        <v/>
      </c>
      <c r="E770">
        <f>IF($AB770="","",INDEX('Per Line'!$A$2:$A$4001,$AB770))</f>
        <v/>
      </c>
      <c r="F770" s="11">
        <f>IF($AB770="","",INDEX('Per Line'!$E$2:$E$4001,$AB770))</f>
        <v/>
      </c>
      <c r="G770">
        <f>IF($AB770="","",INDEX('Per Line'!$F$2:$F$4001,$AB770)&amp;"")</f>
        <v/>
      </c>
      <c r="H770">
        <f>IF($AB770="","",INDEX('Per Line'!$H$2:$H$4001,$AB770)&amp;"")</f>
        <v/>
      </c>
      <c r="I770">
        <f>IF($AB770="","",INDEX('Per Line'!$I$2:$I$4001,$AB770)&amp;"")</f>
        <v/>
      </c>
      <c r="J770">
        <f>IF($AB770="","",INDEX('Per Line'!$J$2:$J$4001,$AB770)&amp;"")</f>
        <v/>
      </c>
      <c r="K770">
        <f>IF($AB770="","",INDEX('Per Line'!$K$2:$K$4001,$AB770)&amp;"")</f>
        <v/>
      </c>
      <c r="L770">
        <f>IF($AB770="","",INDEX('Per Line'!$L$2:$L$4001,$AB770))</f>
        <v/>
      </c>
      <c r="M770" s="7">
        <f>IF($AB770="","",IF(AND(ISNUMBER(O770),O770&gt;0,Z770&gt;O770),L770*O770/100+(Z770-O770),L770*Z770/100))</f>
        <v/>
      </c>
      <c r="N770">
        <f>IF($AB770="","",INDEX('Per Line'!$V$2:$V$4001,$AB770)&amp;"")</f>
        <v/>
      </c>
      <c r="O770">
        <f>IF($AB770="","",INDEX('Per Line'!$Z$2:$Z$4001,$AB770))</f>
        <v/>
      </c>
      <c r="P770">
        <f>IF($AB770="","",IF(AND(ISNUMBER(O770),O770&gt;0),Z770&gt;O770,FALSE))</f>
        <v/>
      </c>
      <c r="Q770" s="7">
        <f>IF($AB770="","",SUMIFS('Per Line'!$U$2:$U$4001,'Per Line'!$C$2:$C$4001,$B770,'Per Line'!$AM$2:$AM$4001,1))</f>
        <v/>
      </c>
      <c r="R770">
        <f>IF($AB770="","",Settings!$C$7)</f>
        <v/>
      </c>
      <c r="S770" s="7">
        <f>IF($AB770="","",SUMIFS('Per Line'!$U$2:$U$4001,'Per Line'!$C$2:$C$4001,$B770,'Per Line'!$AL$2:$AL$4001,0,'Per Line'!$AM$2:$AM$4001,0))</f>
        <v/>
      </c>
      <c r="T770" s="7">
        <f>IF($AB770="","",S770*R770)</f>
        <v/>
      </c>
      <c r="U770">
        <f>IF($AB770="","",Settings!$C$6)</f>
        <v/>
      </c>
      <c r="V770" s="7">
        <f>IF($AB770="","",SUMIFS('Per Line'!$U$2:$U$4001,'Per Line'!$C$2:$C$4001,$B770,'Per Line'!$AL$2:$AL$4001,1,'Per Line'!$AM$2:$AM$4001,0))</f>
        <v/>
      </c>
      <c r="W770" s="7">
        <f>IF($AB770="","",V770*U770)</f>
        <v/>
      </c>
      <c r="X770" s="7">
        <f>IF($AB770="","",W770+T770)</f>
        <v/>
      </c>
      <c r="Y770" s="7">
        <f>IF($AB770="","",Z770-X770)</f>
        <v/>
      </c>
      <c r="Z770" s="7">
        <f>IF($AB770="","",S770+V770+Q770)</f>
        <v/>
      </c>
      <c r="AA770" s="7">
        <f>IF($AB770="","",Z770-X770-M770)</f>
        <v/>
      </c>
      <c r="AB770" s="13">
        <f>IF(ROWS($AB$2:$AB770)&lt;=MAX('Per Line'!$AK$2:$AK$4001),MATCH(ROWS($AB$2:$AB770),'Per Line'!$AK$2:$AK$4001,0),"")</f>
        <v/>
      </c>
      <c r="AC770" s="14">
        <f>IF($AB770="","",M770-L770*Z770/100)</f>
        <v/>
      </c>
    </row>
    <row r="771">
      <c r="A771" s="12" t="n"/>
      <c r="B771">
        <f>IF($AB771="","",INDEX('Per Line'!$C$2:$C$4001,$AB771)&amp;"")</f>
        <v/>
      </c>
      <c r="C771">
        <f>IF($AB771="","",INDEX('Per Line'!$D$2:$D$4001,$AB771)&amp;"")</f>
        <v/>
      </c>
      <c r="D771">
        <f>IF($AB771="","",INDEX('Per Line'!$B$2:$B$4001,$AB771)&amp;"")</f>
        <v/>
      </c>
      <c r="E771">
        <f>IF($AB771="","",INDEX('Per Line'!$A$2:$A$4001,$AB771))</f>
        <v/>
      </c>
      <c r="F771" s="11">
        <f>IF($AB771="","",INDEX('Per Line'!$E$2:$E$4001,$AB771))</f>
        <v/>
      </c>
      <c r="G771">
        <f>IF($AB771="","",INDEX('Per Line'!$F$2:$F$4001,$AB771)&amp;"")</f>
        <v/>
      </c>
      <c r="H771">
        <f>IF($AB771="","",INDEX('Per Line'!$H$2:$H$4001,$AB771)&amp;"")</f>
        <v/>
      </c>
      <c r="I771">
        <f>IF($AB771="","",INDEX('Per Line'!$I$2:$I$4001,$AB771)&amp;"")</f>
        <v/>
      </c>
      <c r="J771">
        <f>IF($AB771="","",INDEX('Per Line'!$J$2:$J$4001,$AB771)&amp;"")</f>
        <v/>
      </c>
      <c r="K771">
        <f>IF($AB771="","",INDEX('Per Line'!$K$2:$K$4001,$AB771)&amp;"")</f>
        <v/>
      </c>
      <c r="L771">
        <f>IF($AB771="","",INDEX('Per Line'!$L$2:$L$4001,$AB771))</f>
        <v/>
      </c>
      <c r="M771" s="7">
        <f>IF($AB771="","",IF(AND(ISNUMBER(O771),O771&gt;0,Z771&gt;O771),L771*O771/100+(Z771-O771),L771*Z771/100))</f>
        <v/>
      </c>
      <c r="N771">
        <f>IF($AB771="","",INDEX('Per Line'!$V$2:$V$4001,$AB771)&amp;"")</f>
        <v/>
      </c>
      <c r="O771">
        <f>IF($AB771="","",INDEX('Per Line'!$Z$2:$Z$4001,$AB771))</f>
        <v/>
      </c>
      <c r="P771">
        <f>IF($AB771="","",IF(AND(ISNUMBER(O771),O771&gt;0),Z771&gt;O771,FALSE))</f>
        <v/>
      </c>
      <c r="Q771" s="7">
        <f>IF($AB771="","",SUMIFS('Per Line'!$U$2:$U$4001,'Per Line'!$C$2:$C$4001,$B771,'Per Line'!$AM$2:$AM$4001,1))</f>
        <v/>
      </c>
      <c r="R771">
        <f>IF($AB771="","",Settings!$C$7)</f>
        <v/>
      </c>
      <c r="S771" s="7">
        <f>IF($AB771="","",SUMIFS('Per Line'!$U$2:$U$4001,'Per Line'!$C$2:$C$4001,$B771,'Per Line'!$AL$2:$AL$4001,0,'Per Line'!$AM$2:$AM$4001,0))</f>
        <v/>
      </c>
      <c r="T771" s="7">
        <f>IF($AB771="","",S771*R771)</f>
        <v/>
      </c>
      <c r="U771">
        <f>IF($AB771="","",Settings!$C$6)</f>
        <v/>
      </c>
      <c r="V771" s="7">
        <f>IF($AB771="","",SUMIFS('Per Line'!$U$2:$U$4001,'Per Line'!$C$2:$C$4001,$B771,'Per Line'!$AL$2:$AL$4001,1,'Per Line'!$AM$2:$AM$4001,0))</f>
        <v/>
      </c>
      <c r="W771" s="7">
        <f>IF($AB771="","",V771*U771)</f>
        <v/>
      </c>
      <c r="X771" s="7">
        <f>IF($AB771="","",W771+T771)</f>
        <v/>
      </c>
      <c r="Y771" s="7">
        <f>IF($AB771="","",Z771-X771)</f>
        <v/>
      </c>
      <c r="Z771" s="7">
        <f>IF($AB771="","",S771+V771+Q771)</f>
        <v/>
      </c>
      <c r="AA771" s="7">
        <f>IF($AB771="","",Z771-X771-M771)</f>
        <v/>
      </c>
      <c r="AB771" s="13">
        <f>IF(ROWS($AB$2:$AB771)&lt;=MAX('Per Line'!$AK$2:$AK$4001),MATCH(ROWS($AB$2:$AB771),'Per Line'!$AK$2:$AK$4001,0),"")</f>
        <v/>
      </c>
      <c r="AC771" s="14">
        <f>IF($AB771="","",M771-L771*Z771/100)</f>
        <v/>
      </c>
    </row>
    <row r="772">
      <c r="A772" s="12" t="n"/>
      <c r="B772">
        <f>IF($AB772="","",INDEX('Per Line'!$C$2:$C$4001,$AB772)&amp;"")</f>
        <v/>
      </c>
      <c r="C772">
        <f>IF($AB772="","",INDEX('Per Line'!$D$2:$D$4001,$AB772)&amp;"")</f>
        <v/>
      </c>
      <c r="D772">
        <f>IF($AB772="","",INDEX('Per Line'!$B$2:$B$4001,$AB772)&amp;"")</f>
        <v/>
      </c>
      <c r="E772">
        <f>IF($AB772="","",INDEX('Per Line'!$A$2:$A$4001,$AB772))</f>
        <v/>
      </c>
      <c r="F772" s="11">
        <f>IF($AB772="","",INDEX('Per Line'!$E$2:$E$4001,$AB772))</f>
        <v/>
      </c>
      <c r="G772">
        <f>IF($AB772="","",INDEX('Per Line'!$F$2:$F$4001,$AB772)&amp;"")</f>
        <v/>
      </c>
      <c r="H772">
        <f>IF($AB772="","",INDEX('Per Line'!$H$2:$H$4001,$AB772)&amp;"")</f>
        <v/>
      </c>
      <c r="I772">
        <f>IF($AB772="","",INDEX('Per Line'!$I$2:$I$4001,$AB772)&amp;"")</f>
        <v/>
      </c>
      <c r="J772">
        <f>IF($AB772="","",INDEX('Per Line'!$J$2:$J$4001,$AB772)&amp;"")</f>
        <v/>
      </c>
      <c r="K772">
        <f>IF($AB772="","",INDEX('Per Line'!$K$2:$K$4001,$AB772)&amp;"")</f>
        <v/>
      </c>
      <c r="L772">
        <f>IF($AB772="","",INDEX('Per Line'!$L$2:$L$4001,$AB772))</f>
        <v/>
      </c>
      <c r="M772" s="7">
        <f>IF($AB772="","",IF(AND(ISNUMBER(O772),O772&gt;0,Z772&gt;O772),L772*O772/100+(Z772-O772),L772*Z772/100))</f>
        <v/>
      </c>
      <c r="N772">
        <f>IF($AB772="","",INDEX('Per Line'!$V$2:$V$4001,$AB772)&amp;"")</f>
        <v/>
      </c>
      <c r="O772">
        <f>IF($AB772="","",INDEX('Per Line'!$Z$2:$Z$4001,$AB772))</f>
        <v/>
      </c>
      <c r="P772">
        <f>IF($AB772="","",IF(AND(ISNUMBER(O772),O772&gt;0),Z772&gt;O772,FALSE))</f>
        <v/>
      </c>
      <c r="Q772" s="7">
        <f>IF($AB772="","",SUMIFS('Per Line'!$U$2:$U$4001,'Per Line'!$C$2:$C$4001,$B772,'Per Line'!$AM$2:$AM$4001,1))</f>
        <v/>
      </c>
      <c r="R772">
        <f>IF($AB772="","",Settings!$C$7)</f>
        <v/>
      </c>
      <c r="S772" s="7">
        <f>IF($AB772="","",SUMIFS('Per Line'!$U$2:$U$4001,'Per Line'!$C$2:$C$4001,$B772,'Per Line'!$AL$2:$AL$4001,0,'Per Line'!$AM$2:$AM$4001,0))</f>
        <v/>
      </c>
      <c r="T772" s="7">
        <f>IF($AB772="","",S772*R772)</f>
        <v/>
      </c>
      <c r="U772">
        <f>IF($AB772="","",Settings!$C$6)</f>
        <v/>
      </c>
      <c r="V772" s="7">
        <f>IF($AB772="","",SUMIFS('Per Line'!$U$2:$U$4001,'Per Line'!$C$2:$C$4001,$B772,'Per Line'!$AL$2:$AL$4001,1,'Per Line'!$AM$2:$AM$4001,0))</f>
        <v/>
      </c>
      <c r="W772" s="7">
        <f>IF($AB772="","",V772*U772)</f>
        <v/>
      </c>
      <c r="X772" s="7">
        <f>IF($AB772="","",W772+T772)</f>
        <v/>
      </c>
      <c r="Y772" s="7">
        <f>IF($AB772="","",Z772-X772)</f>
        <v/>
      </c>
      <c r="Z772" s="7">
        <f>IF($AB772="","",S772+V772+Q772)</f>
        <v/>
      </c>
      <c r="AA772" s="7">
        <f>IF($AB772="","",Z772-X772-M772)</f>
        <v/>
      </c>
      <c r="AB772" s="13">
        <f>IF(ROWS($AB$2:$AB772)&lt;=MAX('Per Line'!$AK$2:$AK$4001),MATCH(ROWS($AB$2:$AB772),'Per Line'!$AK$2:$AK$4001,0),"")</f>
        <v/>
      </c>
      <c r="AC772" s="14">
        <f>IF($AB772="","",M772-L772*Z772/100)</f>
        <v/>
      </c>
    </row>
    <row r="773">
      <c r="A773" s="12" t="n"/>
      <c r="B773">
        <f>IF($AB773="","",INDEX('Per Line'!$C$2:$C$4001,$AB773)&amp;"")</f>
        <v/>
      </c>
      <c r="C773">
        <f>IF($AB773="","",INDEX('Per Line'!$D$2:$D$4001,$AB773)&amp;"")</f>
        <v/>
      </c>
      <c r="D773">
        <f>IF($AB773="","",INDEX('Per Line'!$B$2:$B$4001,$AB773)&amp;"")</f>
        <v/>
      </c>
      <c r="E773">
        <f>IF($AB773="","",INDEX('Per Line'!$A$2:$A$4001,$AB773))</f>
        <v/>
      </c>
      <c r="F773" s="11">
        <f>IF($AB773="","",INDEX('Per Line'!$E$2:$E$4001,$AB773))</f>
        <v/>
      </c>
      <c r="G773">
        <f>IF($AB773="","",INDEX('Per Line'!$F$2:$F$4001,$AB773)&amp;"")</f>
        <v/>
      </c>
      <c r="H773">
        <f>IF($AB773="","",INDEX('Per Line'!$H$2:$H$4001,$AB773)&amp;"")</f>
        <v/>
      </c>
      <c r="I773">
        <f>IF($AB773="","",INDEX('Per Line'!$I$2:$I$4001,$AB773)&amp;"")</f>
        <v/>
      </c>
      <c r="J773">
        <f>IF($AB773="","",INDEX('Per Line'!$J$2:$J$4001,$AB773)&amp;"")</f>
        <v/>
      </c>
      <c r="K773">
        <f>IF($AB773="","",INDEX('Per Line'!$K$2:$K$4001,$AB773)&amp;"")</f>
        <v/>
      </c>
      <c r="L773">
        <f>IF($AB773="","",INDEX('Per Line'!$L$2:$L$4001,$AB773))</f>
        <v/>
      </c>
      <c r="M773" s="7">
        <f>IF($AB773="","",IF(AND(ISNUMBER(O773),O773&gt;0,Z773&gt;O773),L773*O773/100+(Z773-O773),L773*Z773/100))</f>
        <v/>
      </c>
      <c r="N773">
        <f>IF($AB773="","",INDEX('Per Line'!$V$2:$V$4001,$AB773)&amp;"")</f>
        <v/>
      </c>
      <c r="O773">
        <f>IF($AB773="","",INDEX('Per Line'!$Z$2:$Z$4001,$AB773))</f>
        <v/>
      </c>
      <c r="P773">
        <f>IF($AB773="","",IF(AND(ISNUMBER(O773),O773&gt;0),Z773&gt;O773,FALSE))</f>
        <v/>
      </c>
      <c r="Q773" s="7">
        <f>IF($AB773="","",SUMIFS('Per Line'!$U$2:$U$4001,'Per Line'!$C$2:$C$4001,$B773,'Per Line'!$AM$2:$AM$4001,1))</f>
        <v/>
      </c>
      <c r="R773">
        <f>IF($AB773="","",Settings!$C$7)</f>
        <v/>
      </c>
      <c r="S773" s="7">
        <f>IF($AB773="","",SUMIFS('Per Line'!$U$2:$U$4001,'Per Line'!$C$2:$C$4001,$B773,'Per Line'!$AL$2:$AL$4001,0,'Per Line'!$AM$2:$AM$4001,0))</f>
        <v/>
      </c>
      <c r="T773" s="7">
        <f>IF($AB773="","",S773*R773)</f>
        <v/>
      </c>
      <c r="U773">
        <f>IF($AB773="","",Settings!$C$6)</f>
        <v/>
      </c>
      <c r="V773" s="7">
        <f>IF($AB773="","",SUMIFS('Per Line'!$U$2:$U$4001,'Per Line'!$C$2:$C$4001,$B773,'Per Line'!$AL$2:$AL$4001,1,'Per Line'!$AM$2:$AM$4001,0))</f>
        <v/>
      </c>
      <c r="W773" s="7">
        <f>IF($AB773="","",V773*U773)</f>
        <v/>
      </c>
      <c r="X773" s="7">
        <f>IF($AB773="","",W773+T773)</f>
        <v/>
      </c>
      <c r="Y773" s="7">
        <f>IF($AB773="","",Z773-X773)</f>
        <v/>
      </c>
      <c r="Z773" s="7">
        <f>IF($AB773="","",S773+V773+Q773)</f>
        <v/>
      </c>
      <c r="AA773" s="7">
        <f>IF($AB773="","",Z773-X773-M773)</f>
        <v/>
      </c>
      <c r="AB773" s="13">
        <f>IF(ROWS($AB$2:$AB773)&lt;=MAX('Per Line'!$AK$2:$AK$4001),MATCH(ROWS($AB$2:$AB773),'Per Line'!$AK$2:$AK$4001,0),"")</f>
        <v/>
      </c>
      <c r="AC773" s="14">
        <f>IF($AB773="","",M773-L773*Z773/100)</f>
        <v/>
      </c>
    </row>
    <row r="774">
      <c r="A774" s="12" t="n"/>
      <c r="B774">
        <f>IF($AB774="","",INDEX('Per Line'!$C$2:$C$4001,$AB774)&amp;"")</f>
        <v/>
      </c>
      <c r="C774">
        <f>IF($AB774="","",INDEX('Per Line'!$D$2:$D$4001,$AB774)&amp;"")</f>
        <v/>
      </c>
      <c r="D774">
        <f>IF($AB774="","",INDEX('Per Line'!$B$2:$B$4001,$AB774)&amp;"")</f>
        <v/>
      </c>
      <c r="E774">
        <f>IF($AB774="","",INDEX('Per Line'!$A$2:$A$4001,$AB774))</f>
        <v/>
      </c>
      <c r="F774" s="11">
        <f>IF($AB774="","",INDEX('Per Line'!$E$2:$E$4001,$AB774))</f>
        <v/>
      </c>
      <c r="G774">
        <f>IF($AB774="","",INDEX('Per Line'!$F$2:$F$4001,$AB774)&amp;"")</f>
        <v/>
      </c>
      <c r="H774">
        <f>IF($AB774="","",INDEX('Per Line'!$H$2:$H$4001,$AB774)&amp;"")</f>
        <v/>
      </c>
      <c r="I774">
        <f>IF($AB774="","",INDEX('Per Line'!$I$2:$I$4001,$AB774)&amp;"")</f>
        <v/>
      </c>
      <c r="J774">
        <f>IF($AB774="","",INDEX('Per Line'!$J$2:$J$4001,$AB774)&amp;"")</f>
        <v/>
      </c>
      <c r="K774">
        <f>IF($AB774="","",INDEX('Per Line'!$K$2:$K$4001,$AB774)&amp;"")</f>
        <v/>
      </c>
      <c r="L774">
        <f>IF($AB774="","",INDEX('Per Line'!$L$2:$L$4001,$AB774))</f>
        <v/>
      </c>
      <c r="M774" s="7">
        <f>IF($AB774="","",IF(AND(ISNUMBER(O774),O774&gt;0,Z774&gt;O774),L774*O774/100+(Z774-O774),L774*Z774/100))</f>
        <v/>
      </c>
      <c r="N774">
        <f>IF($AB774="","",INDEX('Per Line'!$V$2:$V$4001,$AB774)&amp;"")</f>
        <v/>
      </c>
      <c r="O774">
        <f>IF($AB774="","",INDEX('Per Line'!$Z$2:$Z$4001,$AB774))</f>
        <v/>
      </c>
      <c r="P774">
        <f>IF($AB774="","",IF(AND(ISNUMBER(O774),O774&gt;0),Z774&gt;O774,FALSE))</f>
        <v/>
      </c>
      <c r="Q774" s="7">
        <f>IF($AB774="","",SUMIFS('Per Line'!$U$2:$U$4001,'Per Line'!$C$2:$C$4001,$B774,'Per Line'!$AM$2:$AM$4001,1))</f>
        <v/>
      </c>
      <c r="R774">
        <f>IF($AB774="","",Settings!$C$7)</f>
        <v/>
      </c>
      <c r="S774" s="7">
        <f>IF($AB774="","",SUMIFS('Per Line'!$U$2:$U$4001,'Per Line'!$C$2:$C$4001,$B774,'Per Line'!$AL$2:$AL$4001,0,'Per Line'!$AM$2:$AM$4001,0))</f>
        <v/>
      </c>
      <c r="T774" s="7">
        <f>IF($AB774="","",S774*R774)</f>
        <v/>
      </c>
      <c r="U774">
        <f>IF($AB774="","",Settings!$C$6)</f>
        <v/>
      </c>
      <c r="V774" s="7">
        <f>IF($AB774="","",SUMIFS('Per Line'!$U$2:$U$4001,'Per Line'!$C$2:$C$4001,$B774,'Per Line'!$AL$2:$AL$4001,1,'Per Line'!$AM$2:$AM$4001,0))</f>
        <v/>
      </c>
      <c r="W774" s="7">
        <f>IF($AB774="","",V774*U774)</f>
        <v/>
      </c>
      <c r="X774" s="7">
        <f>IF($AB774="","",W774+T774)</f>
        <v/>
      </c>
      <c r="Y774" s="7">
        <f>IF($AB774="","",Z774-X774)</f>
        <v/>
      </c>
      <c r="Z774" s="7">
        <f>IF($AB774="","",S774+V774+Q774)</f>
        <v/>
      </c>
      <c r="AA774" s="7">
        <f>IF($AB774="","",Z774-X774-M774)</f>
        <v/>
      </c>
      <c r="AB774" s="13">
        <f>IF(ROWS($AB$2:$AB774)&lt;=MAX('Per Line'!$AK$2:$AK$4001),MATCH(ROWS($AB$2:$AB774),'Per Line'!$AK$2:$AK$4001,0),"")</f>
        <v/>
      </c>
      <c r="AC774" s="14">
        <f>IF($AB774="","",M774-L774*Z774/100)</f>
        <v/>
      </c>
    </row>
    <row r="775">
      <c r="A775" s="12" t="n"/>
      <c r="B775">
        <f>IF($AB775="","",INDEX('Per Line'!$C$2:$C$4001,$AB775)&amp;"")</f>
        <v/>
      </c>
      <c r="C775">
        <f>IF($AB775="","",INDEX('Per Line'!$D$2:$D$4001,$AB775)&amp;"")</f>
        <v/>
      </c>
      <c r="D775">
        <f>IF($AB775="","",INDEX('Per Line'!$B$2:$B$4001,$AB775)&amp;"")</f>
        <v/>
      </c>
      <c r="E775">
        <f>IF($AB775="","",INDEX('Per Line'!$A$2:$A$4001,$AB775))</f>
        <v/>
      </c>
      <c r="F775" s="11">
        <f>IF($AB775="","",INDEX('Per Line'!$E$2:$E$4001,$AB775))</f>
        <v/>
      </c>
      <c r="G775">
        <f>IF($AB775="","",INDEX('Per Line'!$F$2:$F$4001,$AB775)&amp;"")</f>
        <v/>
      </c>
      <c r="H775">
        <f>IF($AB775="","",INDEX('Per Line'!$H$2:$H$4001,$AB775)&amp;"")</f>
        <v/>
      </c>
      <c r="I775">
        <f>IF($AB775="","",INDEX('Per Line'!$I$2:$I$4001,$AB775)&amp;"")</f>
        <v/>
      </c>
      <c r="J775">
        <f>IF($AB775="","",INDEX('Per Line'!$J$2:$J$4001,$AB775)&amp;"")</f>
        <v/>
      </c>
      <c r="K775">
        <f>IF($AB775="","",INDEX('Per Line'!$K$2:$K$4001,$AB775)&amp;"")</f>
        <v/>
      </c>
      <c r="L775">
        <f>IF($AB775="","",INDEX('Per Line'!$L$2:$L$4001,$AB775))</f>
        <v/>
      </c>
      <c r="M775" s="7">
        <f>IF($AB775="","",IF(AND(ISNUMBER(O775),O775&gt;0,Z775&gt;O775),L775*O775/100+(Z775-O775),L775*Z775/100))</f>
        <v/>
      </c>
      <c r="N775">
        <f>IF($AB775="","",INDEX('Per Line'!$V$2:$V$4001,$AB775)&amp;"")</f>
        <v/>
      </c>
      <c r="O775">
        <f>IF($AB775="","",INDEX('Per Line'!$Z$2:$Z$4001,$AB775))</f>
        <v/>
      </c>
      <c r="P775">
        <f>IF($AB775="","",IF(AND(ISNUMBER(O775),O775&gt;0),Z775&gt;O775,FALSE))</f>
        <v/>
      </c>
      <c r="Q775" s="7">
        <f>IF($AB775="","",SUMIFS('Per Line'!$U$2:$U$4001,'Per Line'!$C$2:$C$4001,$B775,'Per Line'!$AM$2:$AM$4001,1))</f>
        <v/>
      </c>
      <c r="R775">
        <f>IF($AB775="","",Settings!$C$7)</f>
        <v/>
      </c>
      <c r="S775" s="7">
        <f>IF($AB775="","",SUMIFS('Per Line'!$U$2:$U$4001,'Per Line'!$C$2:$C$4001,$B775,'Per Line'!$AL$2:$AL$4001,0,'Per Line'!$AM$2:$AM$4001,0))</f>
        <v/>
      </c>
      <c r="T775" s="7">
        <f>IF($AB775="","",S775*R775)</f>
        <v/>
      </c>
      <c r="U775">
        <f>IF($AB775="","",Settings!$C$6)</f>
        <v/>
      </c>
      <c r="V775" s="7">
        <f>IF($AB775="","",SUMIFS('Per Line'!$U$2:$U$4001,'Per Line'!$C$2:$C$4001,$B775,'Per Line'!$AL$2:$AL$4001,1,'Per Line'!$AM$2:$AM$4001,0))</f>
        <v/>
      </c>
      <c r="W775" s="7">
        <f>IF($AB775="","",V775*U775)</f>
        <v/>
      </c>
      <c r="X775" s="7">
        <f>IF($AB775="","",W775+T775)</f>
        <v/>
      </c>
      <c r="Y775" s="7">
        <f>IF($AB775="","",Z775-X775)</f>
        <v/>
      </c>
      <c r="Z775" s="7">
        <f>IF($AB775="","",S775+V775+Q775)</f>
        <v/>
      </c>
      <c r="AA775" s="7">
        <f>IF($AB775="","",Z775-X775-M775)</f>
        <v/>
      </c>
      <c r="AB775" s="13">
        <f>IF(ROWS($AB$2:$AB775)&lt;=MAX('Per Line'!$AK$2:$AK$4001),MATCH(ROWS($AB$2:$AB775),'Per Line'!$AK$2:$AK$4001,0),"")</f>
        <v/>
      </c>
      <c r="AC775" s="14">
        <f>IF($AB775="","",M775-L775*Z775/100)</f>
        <v/>
      </c>
    </row>
    <row r="776">
      <c r="A776" s="12" t="n"/>
      <c r="B776">
        <f>IF($AB776="","",INDEX('Per Line'!$C$2:$C$4001,$AB776)&amp;"")</f>
        <v/>
      </c>
      <c r="C776">
        <f>IF($AB776="","",INDEX('Per Line'!$D$2:$D$4001,$AB776)&amp;"")</f>
        <v/>
      </c>
      <c r="D776">
        <f>IF($AB776="","",INDEX('Per Line'!$B$2:$B$4001,$AB776)&amp;"")</f>
        <v/>
      </c>
      <c r="E776">
        <f>IF($AB776="","",INDEX('Per Line'!$A$2:$A$4001,$AB776))</f>
        <v/>
      </c>
      <c r="F776" s="11">
        <f>IF($AB776="","",INDEX('Per Line'!$E$2:$E$4001,$AB776))</f>
        <v/>
      </c>
      <c r="G776">
        <f>IF($AB776="","",INDEX('Per Line'!$F$2:$F$4001,$AB776)&amp;"")</f>
        <v/>
      </c>
      <c r="H776">
        <f>IF($AB776="","",INDEX('Per Line'!$H$2:$H$4001,$AB776)&amp;"")</f>
        <v/>
      </c>
      <c r="I776">
        <f>IF($AB776="","",INDEX('Per Line'!$I$2:$I$4001,$AB776)&amp;"")</f>
        <v/>
      </c>
      <c r="J776">
        <f>IF($AB776="","",INDEX('Per Line'!$J$2:$J$4001,$AB776)&amp;"")</f>
        <v/>
      </c>
      <c r="K776">
        <f>IF($AB776="","",INDEX('Per Line'!$K$2:$K$4001,$AB776)&amp;"")</f>
        <v/>
      </c>
      <c r="L776">
        <f>IF($AB776="","",INDEX('Per Line'!$L$2:$L$4001,$AB776))</f>
        <v/>
      </c>
      <c r="M776" s="7">
        <f>IF($AB776="","",IF(AND(ISNUMBER(O776),O776&gt;0,Z776&gt;O776),L776*O776/100+(Z776-O776),L776*Z776/100))</f>
        <v/>
      </c>
      <c r="N776">
        <f>IF($AB776="","",INDEX('Per Line'!$V$2:$V$4001,$AB776)&amp;"")</f>
        <v/>
      </c>
      <c r="O776">
        <f>IF($AB776="","",INDEX('Per Line'!$Z$2:$Z$4001,$AB776))</f>
        <v/>
      </c>
      <c r="P776">
        <f>IF($AB776="","",IF(AND(ISNUMBER(O776),O776&gt;0),Z776&gt;O776,FALSE))</f>
        <v/>
      </c>
      <c r="Q776" s="7">
        <f>IF($AB776="","",SUMIFS('Per Line'!$U$2:$U$4001,'Per Line'!$C$2:$C$4001,$B776,'Per Line'!$AM$2:$AM$4001,1))</f>
        <v/>
      </c>
      <c r="R776">
        <f>IF($AB776="","",Settings!$C$7)</f>
        <v/>
      </c>
      <c r="S776" s="7">
        <f>IF($AB776="","",SUMIFS('Per Line'!$U$2:$U$4001,'Per Line'!$C$2:$C$4001,$B776,'Per Line'!$AL$2:$AL$4001,0,'Per Line'!$AM$2:$AM$4001,0))</f>
        <v/>
      </c>
      <c r="T776" s="7">
        <f>IF($AB776="","",S776*R776)</f>
        <v/>
      </c>
      <c r="U776">
        <f>IF($AB776="","",Settings!$C$6)</f>
        <v/>
      </c>
      <c r="V776" s="7">
        <f>IF($AB776="","",SUMIFS('Per Line'!$U$2:$U$4001,'Per Line'!$C$2:$C$4001,$B776,'Per Line'!$AL$2:$AL$4001,1,'Per Line'!$AM$2:$AM$4001,0))</f>
        <v/>
      </c>
      <c r="W776" s="7">
        <f>IF($AB776="","",V776*U776)</f>
        <v/>
      </c>
      <c r="X776" s="7">
        <f>IF($AB776="","",W776+T776)</f>
        <v/>
      </c>
      <c r="Y776" s="7">
        <f>IF($AB776="","",Z776-X776)</f>
        <v/>
      </c>
      <c r="Z776" s="7">
        <f>IF($AB776="","",S776+V776+Q776)</f>
        <v/>
      </c>
      <c r="AA776" s="7">
        <f>IF($AB776="","",Z776-X776-M776)</f>
        <v/>
      </c>
      <c r="AB776" s="13">
        <f>IF(ROWS($AB$2:$AB776)&lt;=MAX('Per Line'!$AK$2:$AK$4001),MATCH(ROWS($AB$2:$AB776),'Per Line'!$AK$2:$AK$4001,0),"")</f>
        <v/>
      </c>
      <c r="AC776" s="14">
        <f>IF($AB776="","",M776-L776*Z776/100)</f>
        <v/>
      </c>
    </row>
    <row r="777">
      <c r="A777" s="12" t="n"/>
      <c r="B777">
        <f>IF($AB777="","",INDEX('Per Line'!$C$2:$C$4001,$AB777)&amp;"")</f>
        <v/>
      </c>
      <c r="C777">
        <f>IF($AB777="","",INDEX('Per Line'!$D$2:$D$4001,$AB777)&amp;"")</f>
        <v/>
      </c>
      <c r="D777">
        <f>IF($AB777="","",INDEX('Per Line'!$B$2:$B$4001,$AB777)&amp;"")</f>
        <v/>
      </c>
      <c r="E777">
        <f>IF($AB777="","",INDEX('Per Line'!$A$2:$A$4001,$AB777))</f>
        <v/>
      </c>
      <c r="F777" s="11">
        <f>IF($AB777="","",INDEX('Per Line'!$E$2:$E$4001,$AB777))</f>
        <v/>
      </c>
      <c r="G777">
        <f>IF($AB777="","",INDEX('Per Line'!$F$2:$F$4001,$AB777)&amp;"")</f>
        <v/>
      </c>
      <c r="H777">
        <f>IF($AB777="","",INDEX('Per Line'!$H$2:$H$4001,$AB777)&amp;"")</f>
        <v/>
      </c>
      <c r="I777">
        <f>IF($AB777="","",INDEX('Per Line'!$I$2:$I$4001,$AB777)&amp;"")</f>
        <v/>
      </c>
      <c r="J777">
        <f>IF($AB777="","",INDEX('Per Line'!$J$2:$J$4001,$AB777)&amp;"")</f>
        <v/>
      </c>
      <c r="K777">
        <f>IF($AB777="","",INDEX('Per Line'!$K$2:$K$4001,$AB777)&amp;"")</f>
        <v/>
      </c>
      <c r="L777">
        <f>IF($AB777="","",INDEX('Per Line'!$L$2:$L$4001,$AB777))</f>
        <v/>
      </c>
      <c r="M777" s="7">
        <f>IF($AB777="","",IF(AND(ISNUMBER(O777),O777&gt;0,Z777&gt;O777),L777*O777/100+(Z777-O777),L777*Z777/100))</f>
        <v/>
      </c>
      <c r="N777">
        <f>IF($AB777="","",INDEX('Per Line'!$V$2:$V$4001,$AB777)&amp;"")</f>
        <v/>
      </c>
      <c r="O777">
        <f>IF($AB777="","",INDEX('Per Line'!$Z$2:$Z$4001,$AB777))</f>
        <v/>
      </c>
      <c r="P777">
        <f>IF($AB777="","",IF(AND(ISNUMBER(O777),O777&gt;0),Z777&gt;O777,FALSE))</f>
        <v/>
      </c>
      <c r="Q777" s="7">
        <f>IF($AB777="","",SUMIFS('Per Line'!$U$2:$U$4001,'Per Line'!$C$2:$C$4001,$B777,'Per Line'!$AM$2:$AM$4001,1))</f>
        <v/>
      </c>
      <c r="R777">
        <f>IF($AB777="","",Settings!$C$7)</f>
        <v/>
      </c>
      <c r="S777" s="7">
        <f>IF($AB777="","",SUMIFS('Per Line'!$U$2:$U$4001,'Per Line'!$C$2:$C$4001,$B777,'Per Line'!$AL$2:$AL$4001,0,'Per Line'!$AM$2:$AM$4001,0))</f>
        <v/>
      </c>
      <c r="T777" s="7">
        <f>IF($AB777="","",S777*R777)</f>
        <v/>
      </c>
      <c r="U777">
        <f>IF($AB777="","",Settings!$C$6)</f>
        <v/>
      </c>
      <c r="V777" s="7">
        <f>IF($AB777="","",SUMIFS('Per Line'!$U$2:$U$4001,'Per Line'!$C$2:$C$4001,$B777,'Per Line'!$AL$2:$AL$4001,1,'Per Line'!$AM$2:$AM$4001,0))</f>
        <v/>
      </c>
      <c r="W777" s="7">
        <f>IF($AB777="","",V777*U777)</f>
        <v/>
      </c>
      <c r="X777" s="7">
        <f>IF($AB777="","",W777+T777)</f>
        <v/>
      </c>
      <c r="Y777" s="7">
        <f>IF($AB777="","",Z777-X777)</f>
        <v/>
      </c>
      <c r="Z777" s="7">
        <f>IF($AB777="","",S777+V777+Q777)</f>
        <v/>
      </c>
      <c r="AA777" s="7">
        <f>IF($AB777="","",Z777-X777-M777)</f>
        <v/>
      </c>
      <c r="AB777" s="13">
        <f>IF(ROWS($AB$2:$AB777)&lt;=MAX('Per Line'!$AK$2:$AK$4001),MATCH(ROWS($AB$2:$AB777),'Per Line'!$AK$2:$AK$4001,0),"")</f>
        <v/>
      </c>
      <c r="AC777" s="14">
        <f>IF($AB777="","",M777-L777*Z777/100)</f>
        <v/>
      </c>
    </row>
    <row r="778">
      <c r="A778" s="12" t="n"/>
      <c r="B778">
        <f>IF($AB778="","",INDEX('Per Line'!$C$2:$C$4001,$AB778)&amp;"")</f>
        <v/>
      </c>
      <c r="C778">
        <f>IF($AB778="","",INDEX('Per Line'!$D$2:$D$4001,$AB778)&amp;"")</f>
        <v/>
      </c>
      <c r="D778">
        <f>IF($AB778="","",INDEX('Per Line'!$B$2:$B$4001,$AB778)&amp;"")</f>
        <v/>
      </c>
      <c r="E778">
        <f>IF($AB778="","",INDEX('Per Line'!$A$2:$A$4001,$AB778))</f>
        <v/>
      </c>
      <c r="F778" s="11">
        <f>IF($AB778="","",INDEX('Per Line'!$E$2:$E$4001,$AB778))</f>
        <v/>
      </c>
      <c r="G778">
        <f>IF($AB778="","",INDEX('Per Line'!$F$2:$F$4001,$AB778)&amp;"")</f>
        <v/>
      </c>
      <c r="H778">
        <f>IF($AB778="","",INDEX('Per Line'!$H$2:$H$4001,$AB778)&amp;"")</f>
        <v/>
      </c>
      <c r="I778">
        <f>IF($AB778="","",INDEX('Per Line'!$I$2:$I$4001,$AB778)&amp;"")</f>
        <v/>
      </c>
      <c r="J778">
        <f>IF($AB778="","",INDEX('Per Line'!$J$2:$J$4001,$AB778)&amp;"")</f>
        <v/>
      </c>
      <c r="K778">
        <f>IF($AB778="","",INDEX('Per Line'!$K$2:$K$4001,$AB778)&amp;"")</f>
        <v/>
      </c>
      <c r="L778">
        <f>IF($AB778="","",INDEX('Per Line'!$L$2:$L$4001,$AB778))</f>
        <v/>
      </c>
      <c r="M778" s="7">
        <f>IF($AB778="","",IF(AND(ISNUMBER(O778),O778&gt;0,Z778&gt;O778),L778*O778/100+(Z778-O778),L778*Z778/100))</f>
        <v/>
      </c>
      <c r="N778">
        <f>IF($AB778="","",INDEX('Per Line'!$V$2:$V$4001,$AB778)&amp;"")</f>
        <v/>
      </c>
      <c r="O778">
        <f>IF($AB778="","",INDEX('Per Line'!$Z$2:$Z$4001,$AB778))</f>
        <v/>
      </c>
      <c r="P778">
        <f>IF($AB778="","",IF(AND(ISNUMBER(O778),O778&gt;0),Z778&gt;O778,FALSE))</f>
        <v/>
      </c>
      <c r="Q778" s="7">
        <f>IF($AB778="","",SUMIFS('Per Line'!$U$2:$U$4001,'Per Line'!$C$2:$C$4001,$B778,'Per Line'!$AM$2:$AM$4001,1))</f>
        <v/>
      </c>
      <c r="R778">
        <f>IF($AB778="","",Settings!$C$7)</f>
        <v/>
      </c>
      <c r="S778" s="7">
        <f>IF($AB778="","",SUMIFS('Per Line'!$U$2:$U$4001,'Per Line'!$C$2:$C$4001,$B778,'Per Line'!$AL$2:$AL$4001,0,'Per Line'!$AM$2:$AM$4001,0))</f>
        <v/>
      </c>
      <c r="T778" s="7">
        <f>IF($AB778="","",S778*R778)</f>
        <v/>
      </c>
      <c r="U778">
        <f>IF($AB778="","",Settings!$C$6)</f>
        <v/>
      </c>
      <c r="V778" s="7">
        <f>IF($AB778="","",SUMIFS('Per Line'!$U$2:$U$4001,'Per Line'!$C$2:$C$4001,$B778,'Per Line'!$AL$2:$AL$4001,1,'Per Line'!$AM$2:$AM$4001,0))</f>
        <v/>
      </c>
      <c r="W778" s="7">
        <f>IF($AB778="","",V778*U778)</f>
        <v/>
      </c>
      <c r="X778" s="7">
        <f>IF($AB778="","",W778+T778)</f>
        <v/>
      </c>
      <c r="Y778" s="7">
        <f>IF($AB778="","",Z778-X778)</f>
        <v/>
      </c>
      <c r="Z778" s="7">
        <f>IF($AB778="","",S778+V778+Q778)</f>
        <v/>
      </c>
      <c r="AA778" s="7">
        <f>IF($AB778="","",Z778-X778-M778)</f>
        <v/>
      </c>
      <c r="AB778" s="13">
        <f>IF(ROWS($AB$2:$AB778)&lt;=MAX('Per Line'!$AK$2:$AK$4001),MATCH(ROWS($AB$2:$AB778),'Per Line'!$AK$2:$AK$4001,0),"")</f>
        <v/>
      </c>
      <c r="AC778" s="14">
        <f>IF($AB778="","",M778-L778*Z778/100)</f>
        <v/>
      </c>
    </row>
    <row r="779">
      <c r="A779" s="12" t="n"/>
      <c r="B779">
        <f>IF($AB779="","",INDEX('Per Line'!$C$2:$C$4001,$AB779)&amp;"")</f>
        <v/>
      </c>
      <c r="C779">
        <f>IF($AB779="","",INDEX('Per Line'!$D$2:$D$4001,$AB779)&amp;"")</f>
        <v/>
      </c>
      <c r="D779">
        <f>IF($AB779="","",INDEX('Per Line'!$B$2:$B$4001,$AB779)&amp;"")</f>
        <v/>
      </c>
      <c r="E779">
        <f>IF($AB779="","",INDEX('Per Line'!$A$2:$A$4001,$AB779))</f>
        <v/>
      </c>
      <c r="F779" s="11">
        <f>IF($AB779="","",INDEX('Per Line'!$E$2:$E$4001,$AB779))</f>
        <v/>
      </c>
      <c r="G779">
        <f>IF($AB779="","",INDEX('Per Line'!$F$2:$F$4001,$AB779)&amp;"")</f>
        <v/>
      </c>
      <c r="H779">
        <f>IF($AB779="","",INDEX('Per Line'!$H$2:$H$4001,$AB779)&amp;"")</f>
        <v/>
      </c>
      <c r="I779">
        <f>IF($AB779="","",INDEX('Per Line'!$I$2:$I$4001,$AB779)&amp;"")</f>
        <v/>
      </c>
      <c r="J779">
        <f>IF($AB779="","",INDEX('Per Line'!$J$2:$J$4001,$AB779)&amp;"")</f>
        <v/>
      </c>
      <c r="K779">
        <f>IF($AB779="","",INDEX('Per Line'!$K$2:$K$4001,$AB779)&amp;"")</f>
        <v/>
      </c>
      <c r="L779">
        <f>IF($AB779="","",INDEX('Per Line'!$L$2:$L$4001,$AB779))</f>
        <v/>
      </c>
      <c r="M779" s="7">
        <f>IF($AB779="","",IF(AND(ISNUMBER(O779),O779&gt;0,Z779&gt;O779),L779*O779/100+(Z779-O779),L779*Z779/100))</f>
        <v/>
      </c>
      <c r="N779">
        <f>IF($AB779="","",INDEX('Per Line'!$V$2:$V$4001,$AB779)&amp;"")</f>
        <v/>
      </c>
      <c r="O779">
        <f>IF($AB779="","",INDEX('Per Line'!$Z$2:$Z$4001,$AB779))</f>
        <v/>
      </c>
      <c r="P779">
        <f>IF($AB779="","",IF(AND(ISNUMBER(O779),O779&gt;0),Z779&gt;O779,FALSE))</f>
        <v/>
      </c>
      <c r="Q779" s="7">
        <f>IF($AB779="","",SUMIFS('Per Line'!$U$2:$U$4001,'Per Line'!$C$2:$C$4001,$B779,'Per Line'!$AM$2:$AM$4001,1))</f>
        <v/>
      </c>
      <c r="R779">
        <f>IF($AB779="","",Settings!$C$7)</f>
        <v/>
      </c>
      <c r="S779" s="7">
        <f>IF($AB779="","",SUMIFS('Per Line'!$U$2:$U$4001,'Per Line'!$C$2:$C$4001,$B779,'Per Line'!$AL$2:$AL$4001,0,'Per Line'!$AM$2:$AM$4001,0))</f>
        <v/>
      </c>
      <c r="T779" s="7">
        <f>IF($AB779="","",S779*R779)</f>
        <v/>
      </c>
      <c r="U779">
        <f>IF($AB779="","",Settings!$C$6)</f>
        <v/>
      </c>
      <c r="V779" s="7">
        <f>IF($AB779="","",SUMIFS('Per Line'!$U$2:$U$4001,'Per Line'!$C$2:$C$4001,$B779,'Per Line'!$AL$2:$AL$4001,1,'Per Line'!$AM$2:$AM$4001,0))</f>
        <v/>
      </c>
      <c r="W779" s="7">
        <f>IF($AB779="","",V779*U779)</f>
        <v/>
      </c>
      <c r="X779" s="7">
        <f>IF($AB779="","",W779+T779)</f>
        <v/>
      </c>
      <c r="Y779" s="7">
        <f>IF($AB779="","",Z779-X779)</f>
        <v/>
      </c>
      <c r="Z779" s="7">
        <f>IF($AB779="","",S779+V779+Q779)</f>
        <v/>
      </c>
      <c r="AA779" s="7">
        <f>IF($AB779="","",Z779-X779-M779)</f>
        <v/>
      </c>
      <c r="AB779" s="13">
        <f>IF(ROWS($AB$2:$AB779)&lt;=MAX('Per Line'!$AK$2:$AK$4001),MATCH(ROWS($AB$2:$AB779),'Per Line'!$AK$2:$AK$4001,0),"")</f>
        <v/>
      </c>
      <c r="AC779" s="14">
        <f>IF($AB779="","",M779-L779*Z779/100)</f>
        <v/>
      </c>
    </row>
    <row r="780">
      <c r="A780" s="12" t="n"/>
      <c r="B780">
        <f>IF($AB780="","",INDEX('Per Line'!$C$2:$C$4001,$AB780)&amp;"")</f>
        <v/>
      </c>
      <c r="C780">
        <f>IF($AB780="","",INDEX('Per Line'!$D$2:$D$4001,$AB780)&amp;"")</f>
        <v/>
      </c>
      <c r="D780">
        <f>IF($AB780="","",INDEX('Per Line'!$B$2:$B$4001,$AB780)&amp;"")</f>
        <v/>
      </c>
      <c r="E780">
        <f>IF($AB780="","",INDEX('Per Line'!$A$2:$A$4001,$AB780))</f>
        <v/>
      </c>
      <c r="F780" s="11">
        <f>IF($AB780="","",INDEX('Per Line'!$E$2:$E$4001,$AB780))</f>
        <v/>
      </c>
      <c r="G780">
        <f>IF($AB780="","",INDEX('Per Line'!$F$2:$F$4001,$AB780)&amp;"")</f>
        <v/>
      </c>
      <c r="H780">
        <f>IF($AB780="","",INDEX('Per Line'!$H$2:$H$4001,$AB780)&amp;"")</f>
        <v/>
      </c>
      <c r="I780">
        <f>IF($AB780="","",INDEX('Per Line'!$I$2:$I$4001,$AB780)&amp;"")</f>
        <v/>
      </c>
      <c r="J780">
        <f>IF($AB780="","",INDEX('Per Line'!$J$2:$J$4001,$AB780)&amp;"")</f>
        <v/>
      </c>
      <c r="K780">
        <f>IF($AB780="","",INDEX('Per Line'!$K$2:$K$4001,$AB780)&amp;"")</f>
        <v/>
      </c>
      <c r="L780">
        <f>IF($AB780="","",INDEX('Per Line'!$L$2:$L$4001,$AB780))</f>
        <v/>
      </c>
      <c r="M780" s="7">
        <f>IF($AB780="","",IF(AND(ISNUMBER(O780),O780&gt;0,Z780&gt;O780),L780*O780/100+(Z780-O780),L780*Z780/100))</f>
        <v/>
      </c>
      <c r="N780">
        <f>IF($AB780="","",INDEX('Per Line'!$V$2:$V$4001,$AB780)&amp;"")</f>
        <v/>
      </c>
      <c r="O780">
        <f>IF($AB780="","",INDEX('Per Line'!$Z$2:$Z$4001,$AB780))</f>
        <v/>
      </c>
      <c r="P780">
        <f>IF($AB780="","",IF(AND(ISNUMBER(O780),O780&gt;0),Z780&gt;O780,FALSE))</f>
        <v/>
      </c>
      <c r="Q780" s="7">
        <f>IF($AB780="","",SUMIFS('Per Line'!$U$2:$U$4001,'Per Line'!$C$2:$C$4001,$B780,'Per Line'!$AM$2:$AM$4001,1))</f>
        <v/>
      </c>
      <c r="R780">
        <f>IF($AB780="","",Settings!$C$7)</f>
        <v/>
      </c>
      <c r="S780" s="7">
        <f>IF($AB780="","",SUMIFS('Per Line'!$U$2:$U$4001,'Per Line'!$C$2:$C$4001,$B780,'Per Line'!$AL$2:$AL$4001,0,'Per Line'!$AM$2:$AM$4001,0))</f>
        <v/>
      </c>
      <c r="T780" s="7">
        <f>IF($AB780="","",S780*R780)</f>
        <v/>
      </c>
      <c r="U780">
        <f>IF($AB780="","",Settings!$C$6)</f>
        <v/>
      </c>
      <c r="V780" s="7">
        <f>IF($AB780="","",SUMIFS('Per Line'!$U$2:$U$4001,'Per Line'!$C$2:$C$4001,$B780,'Per Line'!$AL$2:$AL$4001,1,'Per Line'!$AM$2:$AM$4001,0))</f>
        <v/>
      </c>
      <c r="W780" s="7">
        <f>IF($AB780="","",V780*U780)</f>
        <v/>
      </c>
      <c r="X780" s="7">
        <f>IF($AB780="","",W780+T780)</f>
        <v/>
      </c>
      <c r="Y780" s="7">
        <f>IF($AB780="","",Z780-X780)</f>
        <v/>
      </c>
      <c r="Z780" s="7">
        <f>IF($AB780="","",S780+V780+Q780)</f>
        <v/>
      </c>
      <c r="AA780" s="7">
        <f>IF($AB780="","",Z780-X780-M780)</f>
        <v/>
      </c>
      <c r="AB780" s="13">
        <f>IF(ROWS($AB$2:$AB780)&lt;=MAX('Per Line'!$AK$2:$AK$4001),MATCH(ROWS($AB$2:$AB780),'Per Line'!$AK$2:$AK$4001,0),"")</f>
        <v/>
      </c>
      <c r="AC780" s="14">
        <f>IF($AB780="","",M780-L780*Z780/100)</f>
        <v/>
      </c>
    </row>
    <row r="781">
      <c r="A781" s="12" t="n"/>
      <c r="B781">
        <f>IF($AB781="","",INDEX('Per Line'!$C$2:$C$4001,$AB781)&amp;"")</f>
        <v/>
      </c>
      <c r="C781">
        <f>IF($AB781="","",INDEX('Per Line'!$D$2:$D$4001,$AB781)&amp;"")</f>
        <v/>
      </c>
      <c r="D781">
        <f>IF($AB781="","",INDEX('Per Line'!$B$2:$B$4001,$AB781)&amp;"")</f>
        <v/>
      </c>
      <c r="E781">
        <f>IF($AB781="","",INDEX('Per Line'!$A$2:$A$4001,$AB781))</f>
        <v/>
      </c>
      <c r="F781" s="11">
        <f>IF($AB781="","",INDEX('Per Line'!$E$2:$E$4001,$AB781))</f>
        <v/>
      </c>
      <c r="G781">
        <f>IF($AB781="","",INDEX('Per Line'!$F$2:$F$4001,$AB781)&amp;"")</f>
        <v/>
      </c>
      <c r="H781">
        <f>IF($AB781="","",INDEX('Per Line'!$H$2:$H$4001,$AB781)&amp;"")</f>
        <v/>
      </c>
      <c r="I781">
        <f>IF($AB781="","",INDEX('Per Line'!$I$2:$I$4001,$AB781)&amp;"")</f>
        <v/>
      </c>
      <c r="J781">
        <f>IF($AB781="","",INDEX('Per Line'!$J$2:$J$4001,$AB781)&amp;"")</f>
        <v/>
      </c>
      <c r="K781">
        <f>IF($AB781="","",INDEX('Per Line'!$K$2:$K$4001,$AB781)&amp;"")</f>
        <v/>
      </c>
      <c r="L781">
        <f>IF($AB781="","",INDEX('Per Line'!$L$2:$L$4001,$AB781))</f>
        <v/>
      </c>
      <c r="M781" s="7">
        <f>IF($AB781="","",IF(AND(ISNUMBER(O781),O781&gt;0,Z781&gt;O781),L781*O781/100+(Z781-O781),L781*Z781/100))</f>
        <v/>
      </c>
      <c r="N781">
        <f>IF($AB781="","",INDEX('Per Line'!$V$2:$V$4001,$AB781)&amp;"")</f>
        <v/>
      </c>
      <c r="O781">
        <f>IF($AB781="","",INDEX('Per Line'!$Z$2:$Z$4001,$AB781))</f>
        <v/>
      </c>
      <c r="P781">
        <f>IF($AB781="","",IF(AND(ISNUMBER(O781),O781&gt;0),Z781&gt;O781,FALSE))</f>
        <v/>
      </c>
      <c r="Q781" s="7">
        <f>IF($AB781="","",SUMIFS('Per Line'!$U$2:$U$4001,'Per Line'!$C$2:$C$4001,$B781,'Per Line'!$AM$2:$AM$4001,1))</f>
        <v/>
      </c>
      <c r="R781">
        <f>IF($AB781="","",Settings!$C$7)</f>
        <v/>
      </c>
      <c r="S781" s="7">
        <f>IF($AB781="","",SUMIFS('Per Line'!$U$2:$U$4001,'Per Line'!$C$2:$C$4001,$B781,'Per Line'!$AL$2:$AL$4001,0,'Per Line'!$AM$2:$AM$4001,0))</f>
        <v/>
      </c>
      <c r="T781" s="7">
        <f>IF($AB781="","",S781*R781)</f>
        <v/>
      </c>
      <c r="U781">
        <f>IF($AB781="","",Settings!$C$6)</f>
        <v/>
      </c>
      <c r="V781" s="7">
        <f>IF($AB781="","",SUMIFS('Per Line'!$U$2:$U$4001,'Per Line'!$C$2:$C$4001,$B781,'Per Line'!$AL$2:$AL$4001,1,'Per Line'!$AM$2:$AM$4001,0))</f>
        <v/>
      </c>
      <c r="W781" s="7">
        <f>IF($AB781="","",V781*U781)</f>
        <v/>
      </c>
      <c r="X781" s="7">
        <f>IF($AB781="","",W781+T781)</f>
        <v/>
      </c>
      <c r="Y781" s="7">
        <f>IF($AB781="","",Z781-X781)</f>
        <v/>
      </c>
      <c r="Z781" s="7">
        <f>IF($AB781="","",S781+V781+Q781)</f>
        <v/>
      </c>
      <c r="AA781" s="7">
        <f>IF($AB781="","",Z781-X781-M781)</f>
        <v/>
      </c>
      <c r="AB781" s="13">
        <f>IF(ROWS($AB$2:$AB781)&lt;=MAX('Per Line'!$AK$2:$AK$4001),MATCH(ROWS($AB$2:$AB781),'Per Line'!$AK$2:$AK$4001,0),"")</f>
        <v/>
      </c>
      <c r="AC781" s="14">
        <f>IF($AB781="","",M781-L781*Z781/100)</f>
        <v/>
      </c>
    </row>
    <row r="782">
      <c r="A782" s="12" t="n"/>
      <c r="B782">
        <f>IF($AB782="","",INDEX('Per Line'!$C$2:$C$4001,$AB782)&amp;"")</f>
        <v/>
      </c>
      <c r="C782">
        <f>IF($AB782="","",INDEX('Per Line'!$D$2:$D$4001,$AB782)&amp;"")</f>
        <v/>
      </c>
      <c r="D782">
        <f>IF($AB782="","",INDEX('Per Line'!$B$2:$B$4001,$AB782)&amp;"")</f>
        <v/>
      </c>
      <c r="E782">
        <f>IF($AB782="","",INDEX('Per Line'!$A$2:$A$4001,$AB782))</f>
        <v/>
      </c>
      <c r="F782" s="11">
        <f>IF($AB782="","",INDEX('Per Line'!$E$2:$E$4001,$AB782))</f>
        <v/>
      </c>
      <c r="G782">
        <f>IF($AB782="","",INDEX('Per Line'!$F$2:$F$4001,$AB782)&amp;"")</f>
        <v/>
      </c>
      <c r="H782">
        <f>IF($AB782="","",INDEX('Per Line'!$H$2:$H$4001,$AB782)&amp;"")</f>
        <v/>
      </c>
      <c r="I782">
        <f>IF($AB782="","",INDEX('Per Line'!$I$2:$I$4001,$AB782)&amp;"")</f>
        <v/>
      </c>
      <c r="J782">
        <f>IF($AB782="","",INDEX('Per Line'!$J$2:$J$4001,$AB782)&amp;"")</f>
        <v/>
      </c>
      <c r="K782">
        <f>IF($AB782="","",INDEX('Per Line'!$K$2:$K$4001,$AB782)&amp;"")</f>
        <v/>
      </c>
      <c r="L782">
        <f>IF($AB782="","",INDEX('Per Line'!$L$2:$L$4001,$AB782))</f>
        <v/>
      </c>
      <c r="M782" s="7">
        <f>IF($AB782="","",IF(AND(ISNUMBER(O782),O782&gt;0,Z782&gt;O782),L782*O782/100+(Z782-O782),L782*Z782/100))</f>
        <v/>
      </c>
      <c r="N782">
        <f>IF($AB782="","",INDEX('Per Line'!$V$2:$V$4001,$AB782)&amp;"")</f>
        <v/>
      </c>
      <c r="O782">
        <f>IF($AB782="","",INDEX('Per Line'!$Z$2:$Z$4001,$AB782))</f>
        <v/>
      </c>
      <c r="P782">
        <f>IF($AB782="","",IF(AND(ISNUMBER(O782),O782&gt;0),Z782&gt;O782,FALSE))</f>
        <v/>
      </c>
      <c r="Q782" s="7">
        <f>IF($AB782="","",SUMIFS('Per Line'!$U$2:$U$4001,'Per Line'!$C$2:$C$4001,$B782,'Per Line'!$AM$2:$AM$4001,1))</f>
        <v/>
      </c>
      <c r="R782">
        <f>IF($AB782="","",Settings!$C$7)</f>
        <v/>
      </c>
      <c r="S782" s="7">
        <f>IF($AB782="","",SUMIFS('Per Line'!$U$2:$U$4001,'Per Line'!$C$2:$C$4001,$B782,'Per Line'!$AL$2:$AL$4001,0,'Per Line'!$AM$2:$AM$4001,0))</f>
        <v/>
      </c>
      <c r="T782" s="7">
        <f>IF($AB782="","",S782*R782)</f>
        <v/>
      </c>
      <c r="U782">
        <f>IF($AB782="","",Settings!$C$6)</f>
        <v/>
      </c>
      <c r="V782" s="7">
        <f>IF($AB782="","",SUMIFS('Per Line'!$U$2:$U$4001,'Per Line'!$C$2:$C$4001,$B782,'Per Line'!$AL$2:$AL$4001,1,'Per Line'!$AM$2:$AM$4001,0))</f>
        <v/>
      </c>
      <c r="W782" s="7">
        <f>IF($AB782="","",V782*U782)</f>
        <v/>
      </c>
      <c r="X782" s="7">
        <f>IF($AB782="","",W782+T782)</f>
        <v/>
      </c>
      <c r="Y782" s="7">
        <f>IF($AB782="","",Z782-X782)</f>
        <v/>
      </c>
      <c r="Z782" s="7">
        <f>IF($AB782="","",S782+V782+Q782)</f>
        <v/>
      </c>
      <c r="AA782" s="7">
        <f>IF($AB782="","",Z782-X782-M782)</f>
        <v/>
      </c>
      <c r="AB782" s="13">
        <f>IF(ROWS($AB$2:$AB782)&lt;=MAX('Per Line'!$AK$2:$AK$4001),MATCH(ROWS($AB$2:$AB782),'Per Line'!$AK$2:$AK$4001,0),"")</f>
        <v/>
      </c>
      <c r="AC782" s="14">
        <f>IF($AB782="","",M782-L782*Z782/100)</f>
        <v/>
      </c>
    </row>
    <row r="783">
      <c r="A783" s="12" t="n"/>
      <c r="B783">
        <f>IF($AB783="","",INDEX('Per Line'!$C$2:$C$4001,$AB783)&amp;"")</f>
        <v/>
      </c>
      <c r="C783">
        <f>IF($AB783="","",INDEX('Per Line'!$D$2:$D$4001,$AB783)&amp;"")</f>
        <v/>
      </c>
      <c r="D783">
        <f>IF($AB783="","",INDEX('Per Line'!$B$2:$B$4001,$AB783)&amp;"")</f>
        <v/>
      </c>
      <c r="E783">
        <f>IF($AB783="","",INDEX('Per Line'!$A$2:$A$4001,$AB783))</f>
        <v/>
      </c>
      <c r="F783" s="11">
        <f>IF($AB783="","",INDEX('Per Line'!$E$2:$E$4001,$AB783))</f>
        <v/>
      </c>
      <c r="G783">
        <f>IF($AB783="","",INDEX('Per Line'!$F$2:$F$4001,$AB783)&amp;"")</f>
        <v/>
      </c>
      <c r="H783">
        <f>IF($AB783="","",INDEX('Per Line'!$H$2:$H$4001,$AB783)&amp;"")</f>
        <v/>
      </c>
      <c r="I783">
        <f>IF($AB783="","",INDEX('Per Line'!$I$2:$I$4001,$AB783)&amp;"")</f>
        <v/>
      </c>
      <c r="J783">
        <f>IF($AB783="","",INDEX('Per Line'!$J$2:$J$4001,$AB783)&amp;"")</f>
        <v/>
      </c>
      <c r="K783">
        <f>IF($AB783="","",INDEX('Per Line'!$K$2:$K$4001,$AB783)&amp;"")</f>
        <v/>
      </c>
      <c r="L783">
        <f>IF($AB783="","",INDEX('Per Line'!$L$2:$L$4001,$AB783))</f>
        <v/>
      </c>
      <c r="M783" s="7">
        <f>IF($AB783="","",IF(AND(ISNUMBER(O783),O783&gt;0,Z783&gt;O783),L783*O783/100+(Z783-O783),L783*Z783/100))</f>
        <v/>
      </c>
      <c r="N783">
        <f>IF($AB783="","",INDEX('Per Line'!$V$2:$V$4001,$AB783)&amp;"")</f>
        <v/>
      </c>
      <c r="O783">
        <f>IF($AB783="","",INDEX('Per Line'!$Z$2:$Z$4001,$AB783))</f>
        <v/>
      </c>
      <c r="P783">
        <f>IF($AB783="","",IF(AND(ISNUMBER(O783),O783&gt;0),Z783&gt;O783,FALSE))</f>
        <v/>
      </c>
      <c r="Q783" s="7">
        <f>IF($AB783="","",SUMIFS('Per Line'!$U$2:$U$4001,'Per Line'!$C$2:$C$4001,$B783,'Per Line'!$AM$2:$AM$4001,1))</f>
        <v/>
      </c>
      <c r="R783">
        <f>IF($AB783="","",Settings!$C$7)</f>
        <v/>
      </c>
      <c r="S783" s="7">
        <f>IF($AB783="","",SUMIFS('Per Line'!$U$2:$U$4001,'Per Line'!$C$2:$C$4001,$B783,'Per Line'!$AL$2:$AL$4001,0,'Per Line'!$AM$2:$AM$4001,0))</f>
        <v/>
      </c>
      <c r="T783" s="7">
        <f>IF($AB783="","",S783*R783)</f>
        <v/>
      </c>
      <c r="U783">
        <f>IF($AB783="","",Settings!$C$6)</f>
        <v/>
      </c>
      <c r="V783" s="7">
        <f>IF($AB783="","",SUMIFS('Per Line'!$U$2:$U$4001,'Per Line'!$C$2:$C$4001,$B783,'Per Line'!$AL$2:$AL$4001,1,'Per Line'!$AM$2:$AM$4001,0))</f>
        <v/>
      </c>
      <c r="W783" s="7">
        <f>IF($AB783="","",V783*U783)</f>
        <v/>
      </c>
      <c r="X783" s="7">
        <f>IF($AB783="","",W783+T783)</f>
        <v/>
      </c>
      <c r="Y783" s="7">
        <f>IF($AB783="","",Z783-X783)</f>
        <v/>
      </c>
      <c r="Z783" s="7">
        <f>IF($AB783="","",S783+V783+Q783)</f>
        <v/>
      </c>
      <c r="AA783" s="7">
        <f>IF($AB783="","",Z783-X783-M783)</f>
        <v/>
      </c>
      <c r="AB783" s="13">
        <f>IF(ROWS($AB$2:$AB783)&lt;=MAX('Per Line'!$AK$2:$AK$4001),MATCH(ROWS($AB$2:$AB783),'Per Line'!$AK$2:$AK$4001,0),"")</f>
        <v/>
      </c>
      <c r="AC783" s="14">
        <f>IF($AB783="","",M783-L783*Z783/100)</f>
        <v/>
      </c>
    </row>
    <row r="784">
      <c r="A784" s="12" t="n"/>
      <c r="B784">
        <f>IF($AB784="","",INDEX('Per Line'!$C$2:$C$4001,$AB784)&amp;"")</f>
        <v/>
      </c>
      <c r="C784">
        <f>IF($AB784="","",INDEX('Per Line'!$D$2:$D$4001,$AB784)&amp;"")</f>
        <v/>
      </c>
      <c r="D784">
        <f>IF($AB784="","",INDEX('Per Line'!$B$2:$B$4001,$AB784)&amp;"")</f>
        <v/>
      </c>
      <c r="E784">
        <f>IF($AB784="","",INDEX('Per Line'!$A$2:$A$4001,$AB784))</f>
        <v/>
      </c>
      <c r="F784" s="11">
        <f>IF($AB784="","",INDEX('Per Line'!$E$2:$E$4001,$AB784))</f>
        <v/>
      </c>
      <c r="G784">
        <f>IF($AB784="","",INDEX('Per Line'!$F$2:$F$4001,$AB784)&amp;"")</f>
        <v/>
      </c>
      <c r="H784">
        <f>IF($AB784="","",INDEX('Per Line'!$H$2:$H$4001,$AB784)&amp;"")</f>
        <v/>
      </c>
      <c r="I784">
        <f>IF($AB784="","",INDEX('Per Line'!$I$2:$I$4001,$AB784)&amp;"")</f>
        <v/>
      </c>
      <c r="J784">
        <f>IF($AB784="","",INDEX('Per Line'!$J$2:$J$4001,$AB784)&amp;"")</f>
        <v/>
      </c>
      <c r="K784">
        <f>IF($AB784="","",INDEX('Per Line'!$K$2:$K$4001,$AB784)&amp;"")</f>
        <v/>
      </c>
      <c r="L784">
        <f>IF($AB784="","",INDEX('Per Line'!$L$2:$L$4001,$AB784))</f>
        <v/>
      </c>
      <c r="M784" s="7">
        <f>IF($AB784="","",IF(AND(ISNUMBER(O784),O784&gt;0,Z784&gt;O784),L784*O784/100+(Z784-O784),L784*Z784/100))</f>
        <v/>
      </c>
      <c r="N784">
        <f>IF($AB784="","",INDEX('Per Line'!$V$2:$V$4001,$AB784)&amp;"")</f>
        <v/>
      </c>
      <c r="O784">
        <f>IF($AB784="","",INDEX('Per Line'!$Z$2:$Z$4001,$AB784))</f>
        <v/>
      </c>
      <c r="P784">
        <f>IF($AB784="","",IF(AND(ISNUMBER(O784),O784&gt;0),Z784&gt;O784,FALSE))</f>
        <v/>
      </c>
      <c r="Q784" s="7">
        <f>IF($AB784="","",SUMIFS('Per Line'!$U$2:$U$4001,'Per Line'!$C$2:$C$4001,$B784,'Per Line'!$AM$2:$AM$4001,1))</f>
        <v/>
      </c>
      <c r="R784">
        <f>IF($AB784="","",Settings!$C$7)</f>
        <v/>
      </c>
      <c r="S784" s="7">
        <f>IF($AB784="","",SUMIFS('Per Line'!$U$2:$U$4001,'Per Line'!$C$2:$C$4001,$B784,'Per Line'!$AL$2:$AL$4001,0,'Per Line'!$AM$2:$AM$4001,0))</f>
        <v/>
      </c>
      <c r="T784" s="7">
        <f>IF($AB784="","",S784*R784)</f>
        <v/>
      </c>
      <c r="U784">
        <f>IF($AB784="","",Settings!$C$6)</f>
        <v/>
      </c>
      <c r="V784" s="7">
        <f>IF($AB784="","",SUMIFS('Per Line'!$U$2:$U$4001,'Per Line'!$C$2:$C$4001,$B784,'Per Line'!$AL$2:$AL$4001,1,'Per Line'!$AM$2:$AM$4001,0))</f>
        <v/>
      </c>
      <c r="W784" s="7">
        <f>IF($AB784="","",V784*U784)</f>
        <v/>
      </c>
      <c r="X784" s="7">
        <f>IF($AB784="","",W784+T784)</f>
        <v/>
      </c>
      <c r="Y784" s="7">
        <f>IF($AB784="","",Z784-X784)</f>
        <v/>
      </c>
      <c r="Z784" s="7">
        <f>IF($AB784="","",S784+V784+Q784)</f>
        <v/>
      </c>
      <c r="AA784" s="7">
        <f>IF($AB784="","",Z784-X784-M784)</f>
        <v/>
      </c>
      <c r="AB784" s="13">
        <f>IF(ROWS($AB$2:$AB784)&lt;=MAX('Per Line'!$AK$2:$AK$4001),MATCH(ROWS($AB$2:$AB784),'Per Line'!$AK$2:$AK$4001,0),"")</f>
        <v/>
      </c>
      <c r="AC784" s="14">
        <f>IF($AB784="","",M784-L784*Z784/100)</f>
        <v/>
      </c>
    </row>
    <row r="785">
      <c r="A785" s="12" t="n"/>
      <c r="B785">
        <f>IF($AB785="","",INDEX('Per Line'!$C$2:$C$4001,$AB785)&amp;"")</f>
        <v/>
      </c>
      <c r="C785">
        <f>IF($AB785="","",INDEX('Per Line'!$D$2:$D$4001,$AB785)&amp;"")</f>
        <v/>
      </c>
      <c r="D785">
        <f>IF($AB785="","",INDEX('Per Line'!$B$2:$B$4001,$AB785)&amp;"")</f>
        <v/>
      </c>
      <c r="E785">
        <f>IF($AB785="","",INDEX('Per Line'!$A$2:$A$4001,$AB785))</f>
        <v/>
      </c>
      <c r="F785" s="11">
        <f>IF($AB785="","",INDEX('Per Line'!$E$2:$E$4001,$AB785))</f>
        <v/>
      </c>
      <c r="G785">
        <f>IF($AB785="","",INDEX('Per Line'!$F$2:$F$4001,$AB785)&amp;"")</f>
        <v/>
      </c>
      <c r="H785">
        <f>IF($AB785="","",INDEX('Per Line'!$H$2:$H$4001,$AB785)&amp;"")</f>
        <v/>
      </c>
      <c r="I785">
        <f>IF($AB785="","",INDEX('Per Line'!$I$2:$I$4001,$AB785)&amp;"")</f>
        <v/>
      </c>
      <c r="J785">
        <f>IF($AB785="","",INDEX('Per Line'!$J$2:$J$4001,$AB785)&amp;"")</f>
        <v/>
      </c>
      <c r="K785">
        <f>IF($AB785="","",INDEX('Per Line'!$K$2:$K$4001,$AB785)&amp;"")</f>
        <v/>
      </c>
      <c r="L785">
        <f>IF($AB785="","",INDEX('Per Line'!$L$2:$L$4001,$AB785))</f>
        <v/>
      </c>
      <c r="M785" s="7">
        <f>IF($AB785="","",IF(AND(ISNUMBER(O785),O785&gt;0,Z785&gt;O785),L785*O785/100+(Z785-O785),L785*Z785/100))</f>
        <v/>
      </c>
      <c r="N785">
        <f>IF($AB785="","",INDEX('Per Line'!$V$2:$V$4001,$AB785)&amp;"")</f>
        <v/>
      </c>
      <c r="O785">
        <f>IF($AB785="","",INDEX('Per Line'!$Z$2:$Z$4001,$AB785))</f>
        <v/>
      </c>
      <c r="P785">
        <f>IF($AB785="","",IF(AND(ISNUMBER(O785),O785&gt;0),Z785&gt;O785,FALSE))</f>
        <v/>
      </c>
      <c r="Q785" s="7">
        <f>IF($AB785="","",SUMIFS('Per Line'!$U$2:$U$4001,'Per Line'!$C$2:$C$4001,$B785,'Per Line'!$AM$2:$AM$4001,1))</f>
        <v/>
      </c>
      <c r="R785">
        <f>IF($AB785="","",Settings!$C$7)</f>
        <v/>
      </c>
      <c r="S785" s="7">
        <f>IF($AB785="","",SUMIFS('Per Line'!$U$2:$U$4001,'Per Line'!$C$2:$C$4001,$B785,'Per Line'!$AL$2:$AL$4001,0,'Per Line'!$AM$2:$AM$4001,0))</f>
        <v/>
      </c>
      <c r="T785" s="7">
        <f>IF($AB785="","",S785*R785)</f>
        <v/>
      </c>
      <c r="U785">
        <f>IF($AB785="","",Settings!$C$6)</f>
        <v/>
      </c>
      <c r="V785" s="7">
        <f>IF($AB785="","",SUMIFS('Per Line'!$U$2:$U$4001,'Per Line'!$C$2:$C$4001,$B785,'Per Line'!$AL$2:$AL$4001,1,'Per Line'!$AM$2:$AM$4001,0))</f>
        <v/>
      </c>
      <c r="W785" s="7">
        <f>IF($AB785="","",V785*U785)</f>
        <v/>
      </c>
      <c r="X785" s="7">
        <f>IF($AB785="","",W785+T785)</f>
        <v/>
      </c>
      <c r="Y785" s="7">
        <f>IF($AB785="","",Z785-X785)</f>
        <v/>
      </c>
      <c r="Z785" s="7">
        <f>IF($AB785="","",S785+V785+Q785)</f>
        <v/>
      </c>
      <c r="AA785" s="7">
        <f>IF($AB785="","",Z785-X785-M785)</f>
        <v/>
      </c>
      <c r="AB785" s="13">
        <f>IF(ROWS($AB$2:$AB785)&lt;=MAX('Per Line'!$AK$2:$AK$4001),MATCH(ROWS($AB$2:$AB785),'Per Line'!$AK$2:$AK$4001,0),"")</f>
        <v/>
      </c>
      <c r="AC785" s="14">
        <f>IF($AB785="","",M785-L785*Z785/100)</f>
        <v/>
      </c>
    </row>
    <row r="786">
      <c r="A786" s="12" t="n"/>
      <c r="B786">
        <f>IF($AB786="","",INDEX('Per Line'!$C$2:$C$4001,$AB786)&amp;"")</f>
        <v/>
      </c>
      <c r="C786">
        <f>IF($AB786="","",INDEX('Per Line'!$D$2:$D$4001,$AB786)&amp;"")</f>
        <v/>
      </c>
      <c r="D786">
        <f>IF($AB786="","",INDEX('Per Line'!$B$2:$B$4001,$AB786)&amp;"")</f>
        <v/>
      </c>
      <c r="E786">
        <f>IF($AB786="","",INDEX('Per Line'!$A$2:$A$4001,$AB786))</f>
        <v/>
      </c>
      <c r="F786" s="11">
        <f>IF($AB786="","",INDEX('Per Line'!$E$2:$E$4001,$AB786))</f>
        <v/>
      </c>
      <c r="G786">
        <f>IF($AB786="","",INDEX('Per Line'!$F$2:$F$4001,$AB786)&amp;"")</f>
        <v/>
      </c>
      <c r="H786">
        <f>IF($AB786="","",INDEX('Per Line'!$H$2:$H$4001,$AB786)&amp;"")</f>
        <v/>
      </c>
      <c r="I786">
        <f>IF($AB786="","",INDEX('Per Line'!$I$2:$I$4001,$AB786)&amp;"")</f>
        <v/>
      </c>
      <c r="J786">
        <f>IF($AB786="","",INDEX('Per Line'!$J$2:$J$4001,$AB786)&amp;"")</f>
        <v/>
      </c>
      <c r="K786">
        <f>IF($AB786="","",INDEX('Per Line'!$K$2:$K$4001,$AB786)&amp;"")</f>
        <v/>
      </c>
      <c r="L786">
        <f>IF($AB786="","",INDEX('Per Line'!$L$2:$L$4001,$AB786))</f>
        <v/>
      </c>
      <c r="M786" s="7">
        <f>IF($AB786="","",IF(AND(ISNUMBER(O786),O786&gt;0,Z786&gt;O786),L786*O786/100+(Z786-O786),L786*Z786/100))</f>
        <v/>
      </c>
      <c r="N786">
        <f>IF($AB786="","",INDEX('Per Line'!$V$2:$V$4001,$AB786)&amp;"")</f>
        <v/>
      </c>
      <c r="O786">
        <f>IF($AB786="","",INDEX('Per Line'!$Z$2:$Z$4001,$AB786))</f>
        <v/>
      </c>
      <c r="P786">
        <f>IF($AB786="","",IF(AND(ISNUMBER(O786),O786&gt;0),Z786&gt;O786,FALSE))</f>
        <v/>
      </c>
      <c r="Q786" s="7">
        <f>IF($AB786="","",SUMIFS('Per Line'!$U$2:$U$4001,'Per Line'!$C$2:$C$4001,$B786,'Per Line'!$AM$2:$AM$4001,1))</f>
        <v/>
      </c>
      <c r="R786">
        <f>IF($AB786="","",Settings!$C$7)</f>
        <v/>
      </c>
      <c r="S786" s="7">
        <f>IF($AB786="","",SUMIFS('Per Line'!$U$2:$U$4001,'Per Line'!$C$2:$C$4001,$B786,'Per Line'!$AL$2:$AL$4001,0,'Per Line'!$AM$2:$AM$4001,0))</f>
        <v/>
      </c>
      <c r="T786" s="7">
        <f>IF($AB786="","",S786*R786)</f>
        <v/>
      </c>
      <c r="U786">
        <f>IF($AB786="","",Settings!$C$6)</f>
        <v/>
      </c>
      <c r="V786" s="7">
        <f>IF($AB786="","",SUMIFS('Per Line'!$U$2:$U$4001,'Per Line'!$C$2:$C$4001,$B786,'Per Line'!$AL$2:$AL$4001,1,'Per Line'!$AM$2:$AM$4001,0))</f>
        <v/>
      </c>
      <c r="W786" s="7">
        <f>IF($AB786="","",V786*U786)</f>
        <v/>
      </c>
      <c r="X786" s="7">
        <f>IF($AB786="","",W786+T786)</f>
        <v/>
      </c>
      <c r="Y786" s="7">
        <f>IF($AB786="","",Z786-X786)</f>
        <v/>
      </c>
      <c r="Z786" s="7">
        <f>IF($AB786="","",S786+V786+Q786)</f>
        <v/>
      </c>
      <c r="AA786" s="7">
        <f>IF($AB786="","",Z786-X786-M786)</f>
        <v/>
      </c>
      <c r="AB786" s="13">
        <f>IF(ROWS($AB$2:$AB786)&lt;=MAX('Per Line'!$AK$2:$AK$4001),MATCH(ROWS($AB$2:$AB786),'Per Line'!$AK$2:$AK$4001,0),"")</f>
        <v/>
      </c>
      <c r="AC786" s="14">
        <f>IF($AB786="","",M786-L786*Z786/100)</f>
        <v/>
      </c>
    </row>
    <row r="787">
      <c r="A787" s="12" t="n"/>
      <c r="B787">
        <f>IF($AB787="","",INDEX('Per Line'!$C$2:$C$4001,$AB787)&amp;"")</f>
        <v/>
      </c>
      <c r="C787">
        <f>IF($AB787="","",INDEX('Per Line'!$D$2:$D$4001,$AB787)&amp;"")</f>
        <v/>
      </c>
      <c r="D787">
        <f>IF($AB787="","",INDEX('Per Line'!$B$2:$B$4001,$AB787)&amp;"")</f>
        <v/>
      </c>
      <c r="E787">
        <f>IF($AB787="","",INDEX('Per Line'!$A$2:$A$4001,$AB787))</f>
        <v/>
      </c>
      <c r="F787" s="11">
        <f>IF($AB787="","",INDEX('Per Line'!$E$2:$E$4001,$AB787))</f>
        <v/>
      </c>
      <c r="G787">
        <f>IF($AB787="","",INDEX('Per Line'!$F$2:$F$4001,$AB787)&amp;"")</f>
        <v/>
      </c>
      <c r="H787">
        <f>IF($AB787="","",INDEX('Per Line'!$H$2:$H$4001,$AB787)&amp;"")</f>
        <v/>
      </c>
      <c r="I787">
        <f>IF($AB787="","",INDEX('Per Line'!$I$2:$I$4001,$AB787)&amp;"")</f>
        <v/>
      </c>
      <c r="J787">
        <f>IF($AB787="","",INDEX('Per Line'!$J$2:$J$4001,$AB787)&amp;"")</f>
        <v/>
      </c>
      <c r="K787">
        <f>IF($AB787="","",INDEX('Per Line'!$K$2:$K$4001,$AB787)&amp;"")</f>
        <v/>
      </c>
      <c r="L787">
        <f>IF($AB787="","",INDEX('Per Line'!$L$2:$L$4001,$AB787))</f>
        <v/>
      </c>
      <c r="M787" s="7">
        <f>IF($AB787="","",IF(AND(ISNUMBER(O787),O787&gt;0,Z787&gt;O787),L787*O787/100+(Z787-O787),L787*Z787/100))</f>
        <v/>
      </c>
      <c r="N787">
        <f>IF($AB787="","",INDEX('Per Line'!$V$2:$V$4001,$AB787)&amp;"")</f>
        <v/>
      </c>
      <c r="O787">
        <f>IF($AB787="","",INDEX('Per Line'!$Z$2:$Z$4001,$AB787))</f>
        <v/>
      </c>
      <c r="P787">
        <f>IF($AB787="","",IF(AND(ISNUMBER(O787),O787&gt;0),Z787&gt;O787,FALSE))</f>
        <v/>
      </c>
      <c r="Q787" s="7">
        <f>IF($AB787="","",SUMIFS('Per Line'!$U$2:$U$4001,'Per Line'!$C$2:$C$4001,$B787,'Per Line'!$AM$2:$AM$4001,1))</f>
        <v/>
      </c>
      <c r="R787">
        <f>IF($AB787="","",Settings!$C$7)</f>
        <v/>
      </c>
      <c r="S787" s="7">
        <f>IF($AB787="","",SUMIFS('Per Line'!$U$2:$U$4001,'Per Line'!$C$2:$C$4001,$B787,'Per Line'!$AL$2:$AL$4001,0,'Per Line'!$AM$2:$AM$4001,0))</f>
        <v/>
      </c>
      <c r="T787" s="7">
        <f>IF($AB787="","",S787*R787)</f>
        <v/>
      </c>
      <c r="U787">
        <f>IF($AB787="","",Settings!$C$6)</f>
        <v/>
      </c>
      <c r="V787" s="7">
        <f>IF($AB787="","",SUMIFS('Per Line'!$U$2:$U$4001,'Per Line'!$C$2:$C$4001,$B787,'Per Line'!$AL$2:$AL$4001,1,'Per Line'!$AM$2:$AM$4001,0))</f>
        <v/>
      </c>
      <c r="W787" s="7">
        <f>IF($AB787="","",V787*U787)</f>
        <v/>
      </c>
      <c r="X787" s="7">
        <f>IF($AB787="","",W787+T787)</f>
        <v/>
      </c>
      <c r="Y787" s="7">
        <f>IF($AB787="","",Z787-X787)</f>
        <v/>
      </c>
      <c r="Z787" s="7">
        <f>IF($AB787="","",S787+V787+Q787)</f>
        <v/>
      </c>
      <c r="AA787" s="7">
        <f>IF($AB787="","",Z787-X787-M787)</f>
        <v/>
      </c>
      <c r="AB787" s="13">
        <f>IF(ROWS($AB$2:$AB787)&lt;=MAX('Per Line'!$AK$2:$AK$4001),MATCH(ROWS($AB$2:$AB787),'Per Line'!$AK$2:$AK$4001,0),"")</f>
        <v/>
      </c>
      <c r="AC787" s="14">
        <f>IF($AB787="","",M787-L787*Z787/100)</f>
        <v/>
      </c>
    </row>
    <row r="788">
      <c r="A788" s="12" t="n"/>
      <c r="B788">
        <f>IF($AB788="","",INDEX('Per Line'!$C$2:$C$4001,$AB788)&amp;"")</f>
        <v/>
      </c>
      <c r="C788">
        <f>IF($AB788="","",INDEX('Per Line'!$D$2:$D$4001,$AB788)&amp;"")</f>
        <v/>
      </c>
      <c r="D788">
        <f>IF($AB788="","",INDEX('Per Line'!$B$2:$B$4001,$AB788)&amp;"")</f>
        <v/>
      </c>
      <c r="E788">
        <f>IF($AB788="","",INDEX('Per Line'!$A$2:$A$4001,$AB788))</f>
        <v/>
      </c>
      <c r="F788" s="11">
        <f>IF($AB788="","",INDEX('Per Line'!$E$2:$E$4001,$AB788))</f>
        <v/>
      </c>
      <c r="G788">
        <f>IF($AB788="","",INDEX('Per Line'!$F$2:$F$4001,$AB788)&amp;"")</f>
        <v/>
      </c>
      <c r="H788">
        <f>IF($AB788="","",INDEX('Per Line'!$H$2:$H$4001,$AB788)&amp;"")</f>
        <v/>
      </c>
      <c r="I788">
        <f>IF($AB788="","",INDEX('Per Line'!$I$2:$I$4001,$AB788)&amp;"")</f>
        <v/>
      </c>
      <c r="J788">
        <f>IF($AB788="","",INDEX('Per Line'!$J$2:$J$4001,$AB788)&amp;"")</f>
        <v/>
      </c>
      <c r="K788">
        <f>IF($AB788="","",INDEX('Per Line'!$K$2:$K$4001,$AB788)&amp;"")</f>
        <v/>
      </c>
      <c r="L788">
        <f>IF($AB788="","",INDEX('Per Line'!$L$2:$L$4001,$AB788))</f>
        <v/>
      </c>
      <c r="M788" s="7">
        <f>IF($AB788="","",IF(AND(ISNUMBER(O788),O788&gt;0,Z788&gt;O788),L788*O788/100+(Z788-O788),L788*Z788/100))</f>
        <v/>
      </c>
      <c r="N788">
        <f>IF($AB788="","",INDEX('Per Line'!$V$2:$V$4001,$AB788)&amp;"")</f>
        <v/>
      </c>
      <c r="O788">
        <f>IF($AB788="","",INDEX('Per Line'!$Z$2:$Z$4001,$AB788))</f>
        <v/>
      </c>
      <c r="P788">
        <f>IF($AB788="","",IF(AND(ISNUMBER(O788),O788&gt;0),Z788&gt;O788,FALSE))</f>
        <v/>
      </c>
      <c r="Q788" s="7">
        <f>IF($AB788="","",SUMIFS('Per Line'!$U$2:$U$4001,'Per Line'!$C$2:$C$4001,$B788,'Per Line'!$AM$2:$AM$4001,1))</f>
        <v/>
      </c>
      <c r="R788">
        <f>IF($AB788="","",Settings!$C$7)</f>
        <v/>
      </c>
      <c r="S788" s="7">
        <f>IF($AB788="","",SUMIFS('Per Line'!$U$2:$U$4001,'Per Line'!$C$2:$C$4001,$B788,'Per Line'!$AL$2:$AL$4001,0,'Per Line'!$AM$2:$AM$4001,0))</f>
        <v/>
      </c>
      <c r="T788" s="7">
        <f>IF($AB788="","",S788*R788)</f>
        <v/>
      </c>
      <c r="U788">
        <f>IF($AB788="","",Settings!$C$6)</f>
        <v/>
      </c>
      <c r="V788" s="7">
        <f>IF($AB788="","",SUMIFS('Per Line'!$U$2:$U$4001,'Per Line'!$C$2:$C$4001,$B788,'Per Line'!$AL$2:$AL$4001,1,'Per Line'!$AM$2:$AM$4001,0))</f>
        <v/>
      </c>
      <c r="W788" s="7">
        <f>IF($AB788="","",V788*U788)</f>
        <v/>
      </c>
      <c r="X788" s="7">
        <f>IF($AB788="","",W788+T788)</f>
        <v/>
      </c>
      <c r="Y788" s="7">
        <f>IF($AB788="","",Z788-X788)</f>
        <v/>
      </c>
      <c r="Z788" s="7">
        <f>IF($AB788="","",S788+V788+Q788)</f>
        <v/>
      </c>
      <c r="AA788" s="7">
        <f>IF($AB788="","",Z788-X788-M788)</f>
        <v/>
      </c>
      <c r="AB788" s="13">
        <f>IF(ROWS($AB$2:$AB788)&lt;=MAX('Per Line'!$AK$2:$AK$4001),MATCH(ROWS($AB$2:$AB788),'Per Line'!$AK$2:$AK$4001,0),"")</f>
        <v/>
      </c>
      <c r="AC788" s="14">
        <f>IF($AB788="","",M788-L788*Z788/100)</f>
        <v/>
      </c>
    </row>
    <row r="789">
      <c r="A789" s="12" t="n"/>
      <c r="B789">
        <f>IF($AB789="","",INDEX('Per Line'!$C$2:$C$4001,$AB789)&amp;"")</f>
        <v/>
      </c>
      <c r="C789">
        <f>IF($AB789="","",INDEX('Per Line'!$D$2:$D$4001,$AB789)&amp;"")</f>
        <v/>
      </c>
      <c r="D789">
        <f>IF($AB789="","",INDEX('Per Line'!$B$2:$B$4001,$AB789)&amp;"")</f>
        <v/>
      </c>
      <c r="E789">
        <f>IF($AB789="","",INDEX('Per Line'!$A$2:$A$4001,$AB789))</f>
        <v/>
      </c>
      <c r="F789" s="11">
        <f>IF($AB789="","",INDEX('Per Line'!$E$2:$E$4001,$AB789))</f>
        <v/>
      </c>
      <c r="G789">
        <f>IF($AB789="","",INDEX('Per Line'!$F$2:$F$4001,$AB789)&amp;"")</f>
        <v/>
      </c>
      <c r="H789">
        <f>IF($AB789="","",INDEX('Per Line'!$H$2:$H$4001,$AB789)&amp;"")</f>
        <v/>
      </c>
      <c r="I789">
        <f>IF($AB789="","",INDEX('Per Line'!$I$2:$I$4001,$AB789)&amp;"")</f>
        <v/>
      </c>
      <c r="J789">
        <f>IF($AB789="","",INDEX('Per Line'!$J$2:$J$4001,$AB789)&amp;"")</f>
        <v/>
      </c>
      <c r="K789">
        <f>IF($AB789="","",INDEX('Per Line'!$K$2:$K$4001,$AB789)&amp;"")</f>
        <v/>
      </c>
      <c r="L789">
        <f>IF($AB789="","",INDEX('Per Line'!$L$2:$L$4001,$AB789))</f>
        <v/>
      </c>
      <c r="M789" s="7">
        <f>IF($AB789="","",IF(AND(ISNUMBER(O789),O789&gt;0,Z789&gt;O789),L789*O789/100+(Z789-O789),L789*Z789/100))</f>
        <v/>
      </c>
      <c r="N789">
        <f>IF($AB789="","",INDEX('Per Line'!$V$2:$V$4001,$AB789)&amp;"")</f>
        <v/>
      </c>
      <c r="O789">
        <f>IF($AB789="","",INDEX('Per Line'!$Z$2:$Z$4001,$AB789))</f>
        <v/>
      </c>
      <c r="P789">
        <f>IF($AB789="","",IF(AND(ISNUMBER(O789),O789&gt;0),Z789&gt;O789,FALSE))</f>
        <v/>
      </c>
      <c r="Q789" s="7">
        <f>IF($AB789="","",SUMIFS('Per Line'!$U$2:$U$4001,'Per Line'!$C$2:$C$4001,$B789,'Per Line'!$AM$2:$AM$4001,1))</f>
        <v/>
      </c>
      <c r="R789">
        <f>IF($AB789="","",Settings!$C$7)</f>
        <v/>
      </c>
      <c r="S789" s="7">
        <f>IF($AB789="","",SUMIFS('Per Line'!$U$2:$U$4001,'Per Line'!$C$2:$C$4001,$B789,'Per Line'!$AL$2:$AL$4001,0,'Per Line'!$AM$2:$AM$4001,0))</f>
        <v/>
      </c>
      <c r="T789" s="7">
        <f>IF($AB789="","",S789*R789)</f>
        <v/>
      </c>
      <c r="U789">
        <f>IF($AB789="","",Settings!$C$6)</f>
        <v/>
      </c>
      <c r="V789" s="7">
        <f>IF($AB789="","",SUMIFS('Per Line'!$U$2:$U$4001,'Per Line'!$C$2:$C$4001,$B789,'Per Line'!$AL$2:$AL$4001,1,'Per Line'!$AM$2:$AM$4001,0))</f>
        <v/>
      </c>
      <c r="W789" s="7">
        <f>IF($AB789="","",V789*U789)</f>
        <v/>
      </c>
      <c r="X789" s="7">
        <f>IF($AB789="","",W789+T789)</f>
        <v/>
      </c>
      <c r="Y789" s="7">
        <f>IF($AB789="","",Z789-X789)</f>
        <v/>
      </c>
      <c r="Z789" s="7">
        <f>IF($AB789="","",S789+V789+Q789)</f>
        <v/>
      </c>
      <c r="AA789" s="7">
        <f>IF($AB789="","",Z789-X789-M789)</f>
        <v/>
      </c>
      <c r="AB789" s="13">
        <f>IF(ROWS($AB$2:$AB789)&lt;=MAX('Per Line'!$AK$2:$AK$4001),MATCH(ROWS($AB$2:$AB789),'Per Line'!$AK$2:$AK$4001,0),"")</f>
        <v/>
      </c>
      <c r="AC789" s="14">
        <f>IF($AB789="","",M789-L789*Z789/100)</f>
        <v/>
      </c>
    </row>
    <row r="790">
      <c r="A790" s="12" t="n"/>
      <c r="B790">
        <f>IF($AB790="","",INDEX('Per Line'!$C$2:$C$4001,$AB790)&amp;"")</f>
        <v/>
      </c>
      <c r="C790">
        <f>IF($AB790="","",INDEX('Per Line'!$D$2:$D$4001,$AB790)&amp;"")</f>
        <v/>
      </c>
      <c r="D790">
        <f>IF($AB790="","",INDEX('Per Line'!$B$2:$B$4001,$AB790)&amp;"")</f>
        <v/>
      </c>
      <c r="E790">
        <f>IF($AB790="","",INDEX('Per Line'!$A$2:$A$4001,$AB790))</f>
        <v/>
      </c>
      <c r="F790" s="11">
        <f>IF($AB790="","",INDEX('Per Line'!$E$2:$E$4001,$AB790))</f>
        <v/>
      </c>
      <c r="G790">
        <f>IF($AB790="","",INDEX('Per Line'!$F$2:$F$4001,$AB790)&amp;"")</f>
        <v/>
      </c>
      <c r="H790">
        <f>IF($AB790="","",INDEX('Per Line'!$H$2:$H$4001,$AB790)&amp;"")</f>
        <v/>
      </c>
      <c r="I790">
        <f>IF($AB790="","",INDEX('Per Line'!$I$2:$I$4001,$AB790)&amp;"")</f>
        <v/>
      </c>
      <c r="J790">
        <f>IF($AB790="","",INDEX('Per Line'!$J$2:$J$4001,$AB790)&amp;"")</f>
        <v/>
      </c>
      <c r="K790">
        <f>IF($AB790="","",INDEX('Per Line'!$K$2:$K$4001,$AB790)&amp;"")</f>
        <v/>
      </c>
      <c r="L790">
        <f>IF($AB790="","",INDEX('Per Line'!$L$2:$L$4001,$AB790))</f>
        <v/>
      </c>
      <c r="M790" s="7">
        <f>IF($AB790="","",IF(AND(ISNUMBER(O790),O790&gt;0,Z790&gt;O790),L790*O790/100+(Z790-O790),L790*Z790/100))</f>
        <v/>
      </c>
      <c r="N790">
        <f>IF($AB790="","",INDEX('Per Line'!$V$2:$V$4001,$AB790)&amp;"")</f>
        <v/>
      </c>
      <c r="O790">
        <f>IF($AB790="","",INDEX('Per Line'!$Z$2:$Z$4001,$AB790))</f>
        <v/>
      </c>
      <c r="P790">
        <f>IF($AB790="","",IF(AND(ISNUMBER(O790),O790&gt;0),Z790&gt;O790,FALSE))</f>
        <v/>
      </c>
      <c r="Q790" s="7">
        <f>IF($AB790="","",SUMIFS('Per Line'!$U$2:$U$4001,'Per Line'!$C$2:$C$4001,$B790,'Per Line'!$AM$2:$AM$4001,1))</f>
        <v/>
      </c>
      <c r="R790">
        <f>IF($AB790="","",Settings!$C$7)</f>
        <v/>
      </c>
      <c r="S790" s="7">
        <f>IF($AB790="","",SUMIFS('Per Line'!$U$2:$U$4001,'Per Line'!$C$2:$C$4001,$B790,'Per Line'!$AL$2:$AL$4001,0,'Per Line'!$AM$2:$AM$4001,0))</f>
        <v/>
      </c>
      <c r="T790" s="7">
        <f>IF($AB790="","",S790*R790)</f>
        <v/>
      </c>
      <c r="U790">
        <f>IF($AB790="","",Settings!$C$6)</f>
        <v/>
      </c>
      <c r="V790" s="7">
        <f>IF($AB790="","",SUMIFS('Per Line'!$U$2:$U$4001,'Per Line'!$C$2:$C$4001,$B790,'Per Line'!$AL$2:$AL$4001,1,'Per Line'!$AM$2:$AM$4001,0))</f>
        <v/>
      </c>
      <c r="W790" s="7">
        <f>IF($AB790="","",V790*U790)</f>
        <v/>
      </c>
      <c r="X790" s="7">
        <f>IF($AB790="","",W790+T790)</f>
        <v/>
      </c>
      <c r="Y790" s="7">
        <f>IF($AB790="","",Z790-X790)</f>
        <v/>
      </c>
      <c r="Z790" s="7">
        <f>IF($AB790="","",S790+V790+Q790)</f>
        <v/>
      </c>
      <c r="AA790" s="7">
        <f>IF($AB790="","",Z790-X790-M790)</f>
        <v/>
      </c>
      <c r="AB790" s="13">
        <f>IF(ROWS($AB$2:$AB790)&lt;=MAX('Per Line'!$AK$2:$AK$4001),MATCH(ROWS($AB$2:$AB790),'Per Line'!$AK$2:$AK$4001,0),"")</f>
        <v/>
      </c>
      <c r="AC790" s="14">
        <f>IF($AB790="","",M790-L790*Z790/100)</f>
        <v/>
      </c>
    </row>
    <row r="791">
      <c r="A791" s="12" t="n"/>
      <c r="B791">
        <f>IF($AB791="","",INDEX('Per Line'!$C$2:$C$4001,$AB791)&amp;"")</f>
        <v/>
      </c>
      <c r="C791">
        <f>IF($AB791="","",INDEX('Per Line'!$D$2:$D$4001,$AB791)&amp;"")</f>
        <v/>
      </c>
      <c r="D791">
        <f>IF($AB791="","",INDEX('Per Line'!$B$2:$B$4001,$AB791)&amp;"")</f>
        <v/>
      </c>
      <c r="E791">
        <f>IF($AB791="","",INDEX('Per Line'!$A$2:$A$4001,$AB791))</f>
        <v/>
      </c>
      <c r="F791" s="11">
        <f>IF($AB791="","",INDEX('Per Line'!$E$2:$E$4001,$AB791))</f>
        <v/>
      </c>
      <c r="G791">
        <f>IF($AB791="","",INDEX('Per Line'!$F$2:$F$4001,$AB791)&amp;"")</f>
        <v/>
      </c>
      <c r="H791">
        <f>IF($AB791="","",INDEX('Per Line'!$H$2:$H$4001,$AB791)&amp;"")</f>
        <v/>
      </c>
      <c r="I791">
        <f>IF($AB791="","",INDEX('Per Line'!$I$2:$I$4001,$AB791)&amp;"")</f>
        <v/>
      </c>
      <c r="J791">
        <f>IF($AB791="","",INDEX('Per Line'!$J$2:$J$4001,$AB791)&amp;"")</f>
        <v/>
      </c>
      <c r="K791">
        <f>IF($AB791="","",INDEX('Per Line'!$K$2:$K$4001,$AB791)&amp;"")</f>
        <v/>
      </c>
      <c r="L791">
        <f>IF($AB791="","",INDEX('Per Line'!$L$2:$L$4001,$AB791))</f>
        <v/>
      </c>
      <c r="M791" s="7">
        <f>IF($AB791="","",IF(AND(ISNUMBER(O791),O791&gt;0,Z791&gt;O791),L791*O791/100+(Z791-O791),L791*Z791/100))</f>
        <v/>
      </c>
      <c r="N791">
        <f>IF($AB791="","",INDEX('Per Line'!$V$2:$V$4001,$AB791)&amp;"")</f>
        <v/>
      </c>
      <c r="O791">
        <f>IF($AB791="","",INDEX('Per Line'!$Z$2:$Z$4001,$AB791))</f>
        <v/>
      </c>
      <c r="P791">
        <f>IF($AB791="","",IF(AND(ISNUMBER(O791),O791&gt;0),Z791&gt;O791,FALSE))</f>
        <v/>
      </c>
      <c r="Q791" s="7">
        <f>IF($AB791="","",SUMIFS('Per Line'!$U$2:$U$4001,'Per Line'!$C$2:$C$4001,$B791,'Per Line'!$AM$2:$AM$4001,1))</f>
        <v/>
      </c>
      <c r="R791">
        <f>IF($AB791="","",Settings!$C$7)</f>
        <v/>
      </c>
      <c r="S791" s="7">
        <f>IF($AB791="","",SUMIFS('Per Line'!$U$2:$U$4001,'Per Line'!$C$2:$C$4001,$B791,'Per Line'!$AL$2:$AL$4001,0,'Per Line'!$AM$2:$AM$4001,0))</f>
        <v/>
      </c>
      <c r="T791" s="7">
        <f>IF($AB791="","",S791*R791)</f>
        <v/>
      </c>
      <c r="U791">
        <f>IF($AB791="","",Settings!$C$6)</f>
        <v/>
      </c>
      <c r="V791" s="7">
        <f>IF($AB791="","",SUMIFS('Per Line'!$U$2:$U$4001,'Per Line'!$C$2:$C$4001,$B791,'Per Line'!$AL$2:$AL$4001,1,'Per Line'!$AM$2:$AM$4001,0))</f>
        <v/>
      </c>
      <c r="W791" s="7">
        <f>IF($AB791="","",V791*U791)</f>
        <v/>
      </c>
      <c r="X791" s="7">
        <f>IF($AB791="","",W791+T791)</f>
        <v/>
      </c>
      <c r="Y791" s="7">
        <f>IF($AB791="","",Z791-X791)</f>
        <v/>
      </c>
      <c r="Z791" s="7">
        <f>IF($AB791="","",S791+V791+Q791)</f>
        <v/>
      </c>
      <c r="AA791" s="7">
        <f>IF($AB791="","",Z791-X791-M791)</f>
        <v/>
      </c>
      <c r="AB791" s="13">
        <f>IF(ROWS($AB$2:$AB791)&lt;=MAX('Per Line'!$AK$2:$AK$4001),MATCH(ROWS($AB$2:$AB791),'Per Line'!$AK$2:$AK$4001,0),"")</f>
        <v/>
      </c>
      <c r="AC791" s="14">
        <f>IF($AB791="","",M791-L791*Z791/100)</f>
        <v/>
      </c>
    </row>
    <row r="792">
      <c r="A792" s="12" t="n"/>
      <c r="B792">
        <f>IF($AB792="","",INDEX('Per Line'!$C$2:$C$4001,$AB792)&amp;"")</f>
        <v/>
      </c>
      <c r="C792">
        <f>IF($AB792="","",INDEX('Per Line'!$D$2:$D$4001,$AB792)&amp;"")</f>
        <v/>
      </c>
      <c r="D792">
        <f>IF($AB792="","",INDEX('Per Line'!$B$2:$B$4001,$AB792)&amp;"")</f>
        <v/>
      </c>
      <c r="E792">
        <f>IF($AB792="","",INDEX('Per Line'!$A$2:$A$4001,$AB792))</f>
        <v/>
      </c>
      <c r="F792" s="11">
        <f>IF($AB792="","",INDEX('Per Line'!$E$2:$E$4001,$AB792))</f>
        <v/>
      </c>
      <c r="G792">
        <f>IF($AB792="","",INDEX('Per Line'!$F$2:$F$4001,$AB792)&amp;"")</f>
        <v/>
      </c>
      <c r="H792">
        <f>IF($AB792="","",INDEX('Per Line'!$H$2:$H$4001,$AB792)&amp;"")</f>
        <v/>
      </c>
      <c r="I792">
        <f>IF($AB792="","",INDEX('Per Line'!$I$2:$I$4001,$AB792)&amp;"")</f>
        <v/>
      </c>
      <c r="J792">
        <f>IF($AB792="","",INDEX('Per Line'!$J$2:$J$4001,$AB792)&amp;"")</f>
        <v/>
      </c>
      <c r="K792">
        <f>IF($AB792="","",INDEX('Per Line'!$K$2:$K$4001,$AB792)&amp;"")</f>
        <v/>
      </c>
      <c r="L792">
        <f>IF($AB792="","",INDEX('Per Line'!$L$2:$L$4001,$AB792))</f>
        <v/>
      </c>
      <c r="M792" s="7">
        <f>IF($AB792="","",IF(AND(ISNUMBER(O792),O792&gt;0,Z792&gt;O792),L792*O792/100+(Z792-O792),L792*Z792/100))</f>
        <v/>
      </c>
      <c r="N792">
        <f>IF($AB792="","",INDEX('Per Line'!$V$2:$V$4001,$AB792)&amp;"")</f>
        <v/>
      </c>
      <c r="O792">
        <f>IF($AB792="","",INDEX('Per Line'!$Z$2:$Z$4001,$AB792))</f>
        <v/>
      </c>
      <c r="P792">
        <f>IF($AB792="","",IF(AND(ISNUMBER(O792),O792&gt;0),Z792&gt;O792,FALSE))</f>
        <v/>
      </c>
      <c r="Q792" s="7">
        <f>IF($AB792="","",SUMIFS('Per Line'!$U$2:$U$4001,'Per Line'!$C$2:$C$4001,$B792,'Per Line'!$AM$2:$AM$4001,1))</f>
        <v/>
      </c>
      <c r="R792">
        <f>IF($AB792="","",Settings!$C$7)</f>
        <v/>
      </c>
      <c r="S792" s="7">
        <f>IF($AB792="","",SUMIFS('Per Line'!$U$2:$U$4001,'Per Line'!$C$2:$C$4001,$B792,'Per Line'!$AL$2:$AL$4001,0,'Per Line'!$AM$2:$AM$4001,0))</f>
        <v/>
      </c>
      <c r="T792" s="7">
        <f>IF($AB792="","",S792*R792)</f>
        <v/>
      </c>
      <c r="U792">
        <f>IF($AB792="","",Settings!$C$6)</f>
        <v/>
      </c>
      <c r="V792" s="7">
        <f>IF($AB792="","",SUMIFS('Per Line'!$U$2:$U$4001,'Per Line'!$C$2:$C$4001,$B792,'Per Line'!$AL$2:$AL$4001,1,'Per Line'!$AM$2:$AM$4001,0))</f>
        <v/>
      </c>
      <c r="W792" s="7">
        <f>IF($AB792="","",V792*U792)</f>
        <v/>
      </c>
      <c r="X792" s="7">
        <f>IF($AB792="","",W792+T792)</f>
        <v/>
      </c>
      <c r="Y792" s="7">
        <f>IF($AB792="","",Z792-X792)</f>
        <v/>
      </c>
      <c r="Z792" s="7">
        <f>IF($AB792="","",S792+V792+Q792)</f>
        <v/>
      </c>
      <c r="AA792" s="7">
        <f>IF($AB792="","",Z792-X792-M792)</f>
        <v/>
      </c>
      <c r="AB792" s="13">
        <f>IF(ROWS($AB$2:$AB792)&lt;=MAX('Per Line'!$AK$2:$AK$4001),MATCH(ROWS($AB$2:$AB792),'Per Line'!$AK$2:$AK$4001,0),"")</f>
        <v/>
      </c>
      <c r="AC792" s="14">
        <f>IF($AB792="","",M792-L792*Z792/100)</f>
        <v/>
      </c>
    </row>
    <row r="793">
      <c r="A793" s="12" t="n"/>
      <c r="B793">
        <f>IF($AB793="","",INDEX('Per Line'!$C$2:$C$4001,$AB793)&amp;"")</f>
        <v/>
      </c>
      <c r="C793">
        <f>IF($AB793="","",INDEX('Per Line'!$D$2:$D$4001,$AB793)&amp;"")</f>
        <v/>
      </c>
      <c r="D793">
        <f>IF($AB793="","",INDEX('Per Line'!$B$2:$B$4001,$AB793)&amp;"")</f>
        <v/>
      </c>
      <c r="E793">
        <f>IF($AB793="","",INDEX('Per Line'!$A$2:$A$4001,$AB793))</f>
        <v/>
      </c>
      <c r="F793" s="11">
        <f>IF($AB793="","",INDEX('Per Line'!$E$2:$E$4001,$AB793))</f>
        <v/>
      </c>
      <c r="G793">
        <f>IF($AB793="","",INDEX('Per Line'!$F$2:$F$4001,$AB793)&amp;"")</f>
        <v/>
      </c>
      <c r="H793">
        <f>IF($AB793="","",INDEX('Per Line'!$H$2:$H$4001,$AB793)&amp;"")</f>
        <v/>
      </c>
      <c r="I793">
        <f>IF($AB793="","",INDEX('Per Line'!$I$2:$I$4001,$AB793)&amp;"")</f>
        <v/>
      </c>
      <c r="J793">
        <f>IF($AB793="","",INDEX('Per Line'!$J$2:$J$4001,$AB793)&amp;"")</f>
        <v/>
      </c>
      <c r="K793">
        <f>IF($AB793="","",INDEX('Per Line'!$K$2:$K$4001,$AB793)&amp;"")</f>
        <v/>
      </c>
      <c r="L793">
        <f>IF($AB793="","",INDEX('Per Line'!$L$2:$L$4001,$AB793))</f>
        <v/>
      </c>
      <c r="M793" s="7">
        <f>IF($AB793="","",IF(AND(ISNUMBER(O793),O793&gt;0,Z793&gt;O793),L793*O793/100+(Z793-O793),L793*Z793/100))</f>
        <v/>
      </c>
      <c r="N793">
        <f>IF($AB793="","",INDEX('Per Line'!$V$2:$V$4001,$AB793)&amp;"")</f>
        <v/>
      </c>
      <c r="O793">
        <f>IF($AB793="","",INDEX('Per Line'!$Z$2:$Z$4001,$AB793))</f>
        <v/>
      </c>
      <c r="P793">
        <f>IF($AB793="","",IF(AND(ISNUMBER(O793),O793&gt;0),Z793&gt;O793,FALSE))</f>
        <v/>
      </c>
      <c r="Q793" s="7">
        <f>IF($AB793="","",SUMIFS('Per Line'!$U$2:$U$4001,'Per Line'!$C$2:$C$4001,$B793,'Per Line'!$AM$2:$AM$4001,1))</f>
        <v/>
      </c>
      <c r="R793">
        <f>IF($AB793="","",Settings!$C$7)</f>
        <v/>
      </c>
      <c r="S793" s="7">
        <f>IF($AB793="","",SUMIFS('Per Line'!$U$2:$U$4001,'Per Line'!$C$2:$C$4001,$B793,'Per Line'!$AL$2:$AL$4001,0,'Per Line'!$AM$2:$AM$4001,0))</f>
        <v/>
      </c>
      <c r="T793" s="7">
        <f>IF($AB793="","",S793*R793)</f>
        <v/>
      </c>
      <c r="U793">
        <f>IF($AB793="","",Settings!$C$6)</f>
        <v/>
      </c>
      <c r="V793" s="7">
        <f>IF($AB793="","",SUMIFS('Per Line'!$U$2:$U$4001,'Per Line'!$C$2:$C$4001,$B793,'Per Line'!$AL$2:$AL$4001,1,'Per Line'!$AM$2:$AM$4001,0))</f>
        <v/>
      </c>
      <c r="W793" s="7">
        <f>IF($AB793="","",V793*U793)</f>
        <v/>
      </c>
      <c r="X793" s="7">
        <f>IF($AB793="","",W793+T793)</f>
        <v/>
      </c>
      <c r="Y793" s="7">
        <f>IF($AB793="","",Z793-X793)</f>
        <v/>
      </c>
      <c r="Z793" s="7">
        <f>IF($AB793="","",S793+V793+Q793)</f>
        <v/>
      </c>
      <c r="AA793" s="7">
        <f>IF($AB793="","",Z793-X793-M793)</f>
        <v/>
      </c>
      <c r="AB793" s="13">
        <f>IF(ROWS($AB$2:$AB793)&lt;=MAX('Per Line'!$AK$2:$AK$4001),MATCH(ROWS($AB$2:$AB793),'Per Line'!$AK$2:$AK$4001,0),"")</f>
        <v/>
      </c>
      <c r="AC793" s="14">
        <f>IF($AB793="","",M793-L793*Z793/100)</f>
        <v/>
      </c>
    </row>
    <row r="794">
      <c r="A794" s="12" t="n"/>
      <c r="B794">
        <f>IF($AB794="","",INDEX('Per Line'!$C$2:$C$4001,$AB794)&amp;"")</f>
        <v/>
      </c>
      <c r="C794">
        <f>IF($AB794="","",INDEX('Per Line'!$D$2:$D$4001,$AB794)&amp;"")</f>
        <v/>
      </c>
      <c r="D794">
        <f>IF($AB794="","",INDEX('Per Line'!$B$2:$B$4001,$AB794)&amp;"")</f>
        <v/>
      </c>
      <c r="E794">
        <f>IF($AB794="","",INDEX('Per Line'!$A$2:$A$4001,$AB794))</f>
        <v/>
      </c>
      <c r="F794" s="11">
        <f>IF($AB794="","",INDEX('Per Line'!$E$2:$E$4001,$AB794))</f>
        <v/>
      </c>
      <c r="G794">
        <f>IF($AB794="","",INDEX('Per Line'!$F$2:$F$4001,$AB794)&amp;"")</f>
        <v/>
      </c>
      <c r="H794">
        <f>IF($AB794="","",INDEX('Per Line'!$H$2:$H$4001,$AB794)&amp;"")</f>
        <v/>
      </c>
      <c r="I794">
        <f>IF($AB794="","",INDEX('Per Line'!$I$2:$I$4001,$AB794)&amp;"")</f>
        <v/>
      </c>
      <c r="J794">
        <f>IF($AB794="","",INDEX('Per Line'!$J$2:$J$4001,$AB794)&amp;"")</f>
        <v/>
      </c>
      <c r="K794">
        <f>IF($AB794="","",INDEX('Per Line'!$K$2:$K$4001,$AB794)&amp;"")</f>
        <v/>
      </c>
      <c r="L794">
        <f>IF($AB794="","",INDEX('Per Line'!$L$2:$L$4001,$AB794))</f>
        <v/>
      </c>
      <c r="M794" s="7">
        <f>IF($AB794="","",IF(AND(ISNUMBER(O794),O794&gt;0,Z794&gt;O794),L794*O794/100+(Z794-O794),L794*Z794/100))</f>
        <v/>
      </c>
      <c r="N794">
        <f>IF($AB794="","",INDEX('Per Line'!$V$2:$V$4001,$AB794)&amp;"")</f>
        <v/>
      </c>
      <c r="O794">
        <f>IF($AB794="","",INDEX('Per Line'!$Z$2:$Z$4001,$AB794))</f>
        <v/>
      </c>
      <c r="P794">
        <f>IF($AB794="","",IF(AND(ISNUMBER(O794),O794&gt;0),Z794&gt;O794,FALSE))</f>
        <v/>
      </c>
      <c r="Q794" s="7">
        <f>IF($AB794="","",SUMIFS('Per Line'!$U$2:$U$4001,'Per Line'!$C$2:$C$4001,$B794,'Per Line'!$AM$2:$AM$4001,1))</f>
        <v/>
      </c>
      <c r="R794">
        <f>IF($AB794="","",Settings!$C$7)</f>
        <v/>
      </c>
      <c r="S794" s="7">
        <f>IF($AB794="","",SUMIFS('Per Line'!$U$2:$U$4001,'Per Line'!$C$2:$C$4001,$B794,'Per Line'!$AL$2:$AL$4001,0,'Per Line'!$AM$2:$AM$4001,0))</f>
        <v/>
      </c>
      <c r="T794" s="7">
        <f>IF($AB794="","",S794*R794)</f>
        <v/>
      </c>
      <c r="U794">
        <f>IF($AB794="","",Settings!$C$6)</f>
        <v/>
      </c>
      <c r="V794" s="7">
        <f>IF($AB794="","",SUMIFS('Per Line'!$U$2:$U$4001,'Per Line'!$C$2:$C$4001,$B794,'Per Line'!$AL$2:$AL$4001,1,'Per Line'!$AM$2:$AM$4001,0))</f>
        <v/>
      </c>
      <c r="W794" s="7">
        <f>IF($AB794="","",V794*U794)</f>
        <v/>
      </c>
      <c r="X794" s="7">
        <f>IF($AB794="","",W794+T794)</f>
        <v/>
      </c>
      <c r="Y794" s="7">
        <f>IF($AB794="","",Z794-X794)</f>
        <v/>
      </c>
      <c r="Z794" s="7">
        <f>IF($AB794="","",S794+V794+Q794)</f>
        <v/>
      </c>
      <c r="AA794" s="7">
        <f>IF($AB794="","",Z794-X794-M794)</f>
        <v/>
      </c>
      <c r="AB794" s="13">
        <f>IF(ROWS($AB$2:$AB794)&lt;=MAX('Per Line'!$AK$2:$AK$4001),MATCH(ROWS($AB$2:$AB794),'Per Line'!$AK$2:$AK$4001,0),"")</f>
        <v/>
      </c>
      <c r="AC794" s="14">
        <f>IF($AB794="","",M794-L794*Z794/100)</f>
        <v/>
      </c>
    </row>
    <row r="795">
      <c r="A795" s="12" t="n"/>
      <c r="B795">
        <f>IF($AB795="","",INDEX('Per Line'!$C$2:$C$4001,$AB795)&amp;"")</f>
        <v/>
      </c>
      <c r="C795">
        <f>IF($AB795="","",INDEX('Per Line'!$D$2:$D$4001,$AB795)&amp;"")</f>
        <v/>
      </c>
      <c r="D795">
        <f>IF($AB795="","",INDEX('Per Line'!$B$2:$B$4001,$AB795)&amp;"")</f>
        <v/>
      </c>
      <c r="E795">
        <f>IF($AB795="","",INDEX('Per Line'!$A$2:$A$4001,$AB795))</f>
        <v/>
      </c>
      <c r="F795" s="11">
        <f>IF($AB795="","",INDEX('Per Line'!$E$2:$E$4001,$AB795))</f>
        <v/>
      </c>
      <c r="G795">
        <f>IF($AB795="","",INDEX('Per Line'!$F$2:$F$4001,$AB795)&amp;"")</f>
        <v/>
      </c>
      <c r="H795">
        <f>IF($AB795="","",INDEX('Per Line'!$H$2:$H$4001,$AB795)&amp;"")</f>
        <v/>
      </c>
      <c r="I795">
        <f>IF($AB795="","",INDEX('Per Line'!$I$2:$I$4001,$AB795)&amp;"")</f>
        <v/>
      </c>
      <c r="J795">
        <f>IF($AB795="","",INDEX('Per Line'!$J$2:$J$4001,$AB795)&amp;"")</f>
        <v/>
      </c>
      <c r="K795">
        <f>IF($AB795="","",INDEX('Per Line'!$K$2:$K$4001,$AB795)&amp;"")</f>
        <v/>
      </c>
      <c r="L795">
        <f>IF($AB795="","",INDEX('Per Line'!$L$2:$L$4001,$AB795))</f>
        <v/>
      </c>
      <c r="M795" s="7">
        <f>IF($AB795="","",IF(AND(ISNUMBER(O795),O795&gt;0,Z795&gt;O795),L795*O795/100+(Z795-O795),L795*Z795/100))</f>
        <v/>
      </c>
      <c r="N795">
        <f>IF($AB795="","",INDEX('Per Line'!$V$2:$V$4001,$AB795)&amp;"")</f>
        <v/>
      </c>
      <c r="O795">
        <f>IF($AB795="","",INDEX('Per Line'!$Z$2:$Z$4001,$AB795))</f>
        <v/>
      </c>
      <c r="P795">
        <f>IF($AB795="","",IF(AND(ISNUMBER(O795),O795&gt;0),Z795&gt;O795,FALSE))</f>
        <v/>
      </c>
      <c r="Q795" s="7">
        <f>IF($AB795="","",SUMIFS('Per Line'!$U$2:$U$4001,'Per Line'!$C$2:$C$4001,$B795,'Per Line'!$AM$2:$AM$4001,1))</f>
        <v/>
      </c>
      <c r="R795">
        <f>IF($AB795="","",Settings!$C$7)</f>
        <v/>
      </c>
      <c r="S795" s="7">
        <f>IF($AB795="","",SUMIFS('Per Line'!$U$2:$U$4001,'Per Line'!$C$2:$C$4001,$B795,'Per Line'!$AL$2:$AL$4001,0,'Per Line'!$AM$2:$AM$4001,0))</f>
        <v/>
      </c>
      <c r="T795" s="7">
        <f>IF($AB795="","",S795*R795)</f>
        <v/>
      </c>
      <c r="U795">
        <f>IF($AB795="","",Settings!$C$6)</f>
        <v/>
      </c>
      <c r="V795" s="7">
        <f>IF($AB795="","",SUMIFS('Per Line'!$U$2:$U$4001,'Per Line'!$C$2:$C$4001,$B795,'Per Line'!$AL$2:$AL$4001,1,'Per Line'!$AM$2:$AM$4001,0))</f>
        <v/>
      </c>
      <c r="W795" s="7">
        <f>IF($AB795="","",V795*U795)</f>
        <v/>
      </c>
      <c r="X795" s="7">
        <f>IF($AB795="","",W795+T795)</f>
        <v/>
      </c>
      <c r="Y795" s="7">
        <f>IF($AB795="","",Z795-X795)</f>
        <v/>
      </c>
      <c r="Z795" s="7">
        <f>IF($AB795="","",S795+V795+Q795)</f>
        <v/>
      </c>
      <c r="AA795" s="7">
        <f>IF($AB795="","",Z795-X795-M795)</f>
        <v/>
      </c>
      <c r="AB795" s="13">
        <f>IF(ROWS($AB$2:$AB795)&lt;=MAX('Per Line'!$AK$2:$AK$4001),MATCH(ROWS($AB$2:$AB795),'Per Line'!$AK$2:$AK$4001,0),"")</f>
        <v/>
      </c>
      <c r="AC795" s="14">
        <f>IF($AB795="","",M795-L795*Z795/100)</f>
        <v/>
      </c>
    </row>
    <row r="796">
      <c r="A796" s="12" t="n"/>
      <c r="B796">
        <f>IF($AB796="","",INDEX('Per Line'!$C$2:$C$4001,$AB796)&amp;"")</f>
        <v/>
      </c>
      <c r="C796">
        <f>IF($AB796="","",INDEX('Per Line'!$D$2:$D$4001,$AB796)&amp;"")</f>
        <v/>
      </c>
      <c r="D796">
        <f>IF($AB796="","",INDEX('Per Line'!$B$2:$B$4001,$AB796)&amp;"")</f>
        <v/>
      </c>
      <c r="E796">
        <f>IF($AB796="","",INDEX('Per Line'!$A$2:$A$4001,$AB796))</f>
        <v/>
      </c>
      <c r="F796" s="11">
        <f>IF($AB796="","",INDEX('Per Line'!$E$2:$E$4001,$AB796))</f>
        <v/>
      </c>
      <c r="G796">
        <f>IF($AB796="","",INDEX('Per Line'!$F$2:$F$4001,$AB796)&amp;"")</f>
        <v/>
      </c>
      <c r="H796">
        <f>IF($AB796="","",INDEX('Per Line'!$H$2:$H$4001,$AB796)&amp;"")</f>
        <v/>
      </c>
      <c r="I796">
        <f>IF($AB796="","",INDEX('Per Line'!$I$2:$I$4001,$AB796)&amp;"")</f>
        <v/>
      </c>
      <c r="J796">
        <f>IF($AB796="","",INDEX('Per Line'!$J$2:$J$4001,$AB796)&amp;"")</f>
        <v/>
      </c>
      <c r="K796">
        <f>IF($AB796="","",INDEX('Per Line'!$K$2:$K$4001,$AB796)&amp;"")</f>
        <v/>
      </c>
      <c r="L796">
        <f>IF($AB796="","",INDEX('Per Line'!$L$2:$L$4001,$AB796))</f>
        <v/>
      </c>
      <c r="M796" s="7">
        <f>IF($AB796="","",IF(AND(ISNUMBER(O796),O796&gt;0,Z796&gt;O796),L796*O796/100+(Z796-O796),L796*Z796/100))</f>
        <v/>
      </c>
      <c r="N796">
        <f>IF($AB796="","",INDEX('Per Line'!$V$2:$V$4001,$AB796)&amp;"")</f>
        <v/>
      </c>
      <c r="O796">
        <f>IF($AB796="","",INDEX('Per Line'!$Z$2:$Z$4001,$AB796))</f>
        <v/>
      </c>
      <c r="P796">
        <f>IF($AB796="","",IF(AND(ISNUMBER(O796),O796&gt;0),Z796&gt;O796,FALSE))</f>
        <v/>
      </c>
      <c r="Q796" s="7">
        <f>IF($AB796="","",SUMIFS('Per Line'!$U$2:$U$4001,'Per Line'!$C$2:$C$4001,$B796,'Per Line'!$AM$2:$AM$4001,1))</f>
        <v/>
      </c>
      <c r="R796">
        <f>IF($AB796="","",Settings!$C$7)</f>
        <v/>
      </c>
      <c r="S796" s="7">
        <f>IF($AB796="","",SUMIFS('Per Line'!$U$2:$U$4001,'Per Line'!$C$2:$C$4001,$B796,'Per Line'!$AL$2:$AL$4001,0,'Per Line'!$AM$2:$AM$4001,0))</f>
        <v/>
      </c>
      <c r="T796" s="7">
        <f>IF($AB796="","",S796*R796)</f>
        <v/>
      </c>
      <c r="U796">
        <f>IF($AB796="","",Settings!$C$6)</f>
        <v/>
      </c>
      <c r="V796" s="7">
        <f>IF($AB796="","",SUMIFS('Per Line'!$U$2:$U$4001,'Per Line'!$C$2:$C$4001,$B796,'Per Line'!$AL$2:$AL$4001,1,'Per Line'!$AM$2:$AM$4001,0))</f>
        <v/>
      </c>
      <c r="W796" s="7">
        <f>IF($AB796="","",V796*U796)</f>
        <v/>
      </c>
      <c r="X796" s="7">
        <f>IF($AB796="","",W796+T796)</f>
        <v/>
      </c>
      <c r="Y796" s="7">
        <f>IF($AB796="","",Z796-X796)</f>
        <v/>
      </c>
      <c r="Z796" s="7">
        <f>IF($AB796="","",S796+V796+Q796)</f>
        <v/>
      </c>
      <c r="AA796" s="7">
        <f>IF($AB796="","",Z796-X796-M796)</f>
        <v/>
      </c>
      <c r="AB796" s="13">
        <f>IF(ROWS($AB$2:$AB796)&lt;=MAX('Per Line'!$AK$2:$AK$4001),MATCH(ROWS($AB$2:$AB796),'Per Line'!$AK$2:$AK$4001,0),"")</f>
        <v/>
      </c>
      <c r="AC796" s="14">
        <f>IF($AB796="","",M796-L796*Z796/100)</f>
        <v/>
      </c>
    </row>
    <row r="797">
      <c r="A797" s="12" t="n"/>
      <c r="B797">
        <f>IF($AB797="","",INDEX('Per Line'!$C$2:$C$4001,$AB797)&amp;"")</f>
        <v/>
      </c>
      <c r="C797">
        <f>IF($AB797="","",INDEX('Per Line'!$D$2:$D$4001,$AB797)&amp;"")</f>
        <v/>
      </c>
      <c r="D797">
        <f>IF($AB797="","",INDEX('Per Line'!$B$2:$B$4001,$AB797)&amp;"")</f>
        <v/>
      </c>
      <c r="E797">
        <f>IF($AB797="","",INDEX('Per Line'!$A$2:$A$4001,$AB797))</f>
        <v/>
      </c>
      <c r="F797" s="11">
        <f>IF($AB797="","",INDEX('Per Line'!$E$2:$E$4001,$AB797))</f>
        <v/>
      </c>
      <c r="G797">
        <f>IF($AB797="","",INDEX('Per Line'!$F$2:$F$4001,$AB797)&amp;"")</f>
        <v/>
      </c>
      <c r="H797">
        <f>IF($AB797="","",INDEX('Per Line'!$H$2:$H$4001,$AB797)&amp;"")</f>
        <v/>
      </c>
      <c r="I797">
        <f>IF($AB797="","",INDEX('Per Line'!$I$2:$I$4001,$AB797)&amp;"")</f>
        <v/>
      </c>
      <c r="J797">
        <f>IF($AB797="","",INDEX('Per Line'!$J$2:$J$4001,$AB797)&amp;"")</f>
        <v/>
      </c>
      <c r="K797">
        <f>IF($AB797="","",INDEX('Per Line'!$K$2:$K$4001,$AB797)&amp;"")</f>
        <v/>
      </c>
      <c r="L797">
        <f>IF($AB797="","",INDEX('Per Line'!$L$2:$L$4001,$AB797))</f>
        <v/>
      </c>
      <c r="M797" s="7">
        <f>IF($AB797="","",IF(AND(ISNUMBER(O797),O797&gt;0,Z797&gt;O797),L797*O797/100+(Z797-O797),L797*Z797/100))</f>
        <v/>
      </c>
      <c r="N797">
        <f>IF($AB797="","",INDEX('Per Line'!$V$2:$V$4001,$AB797)&amp;"")</f>
        <v/>
      </c>
      <c r="O797">
        <f>IF($AB797="","",INDEX('Per Line'!$Z$2:$Z$4001,$AB797))</f>
        <v/>
      </c>
      <c r="P797">
        <f>IF($AB797="","",IF(AND(ISNUMBER(O797),O797&gt;0),Z797&gt;O797,FALSE))</f>
        <v/>
      </c>
      <c r="Q797" s="7">
        <f>IF($AB797="","",SUMIFS('Per Line'!$U$2:$U$4001,'Per Line'!$C$2:$C$4001,$B797,'Per Line'!$AM$2:$AM$4001,1))</f>
        <v/>
      </c>
      <c r="R797">
        <f>IF($AB797="","",Settings!$C$7)</f>
        <v/>
      </c>
      <c r="S797" s="7">
        <f>IF($AB797="","",SUMIFS('Per Line'!$U$2:$U$4001,'Per Line'!$C$2:$C$4001,$B797,'Per Line'!$AL$2:$AL$4001,0,'Per Line'!$AM$2:$AM$4001,0))</f>
        <v/>
      </c>
      <c r="T797" s="7">
        <f>IF($AB797="","",S797*R797)</f>
        <v/>
      </c>
      <c r="U797">
        <f>IF($AB797="","",Settings!$C$6)</f>
        <v/>
      </c>
      <c r="V797" s="7">
        <f>IF($AB797="","",SUMIFS('Per Line'!$U$2:$U$4001,'Per Line'!$C$2:$C$4001,$B797,'Per Line'!$AL$2:$AL$4001,1,'Per Line'!$AM$2:$AM$4001,0))</f>
        <v/>
      </c>
      <c r="W797" s="7">
        <f>IF($AB797="","",V797*U797)</f>
        <v/>
      </c>
      <c r="X797" s="7">
        <f>IF($AB797="","",W797+T797)</f>
        <v/>
      </c>
      <c r="Y797" s="7">
        <f>IF($AB797="","",Z797-X797)</f>
        <v/>
      </c>
      <c r="Z797" s="7">
        <f>IF($AB797="","",S797+V797+Q797)</f>
        <v/>
      </c>
      <c r="AA797" s="7">
        <f>IF($AB797="","",Z797-X797-M797)</f>
        <v/>
      </c>
      <c r="AB797" s="13">
        <f>IF(ROWS($AB$2:$AB797)&lt;=MAX('Per Line'!$AK$2:$AK$4001),MATCH(ROWS($AB$2:$AB797),'Per Line'!$AK$2:$AK$4001,0),"")</f>
        <v/>
      </c>
      <c r="AC797" s="14">
        <f>IF($AB797="","",M797-L797*Z797/100)</f>
        <v/>
      </c>
    </row>
    <row r="798">
      <c r="A798" s="12" t="n"/>
      <c r="B798">
        <f>IF($AB798="","",INDEX('Per Line'!$C$2:$C$4001,$AB798)&amp;"")</f>
        <v/>
      </c>
      <c r="C798">
        <f>IF($AB798="","",INDEX('Per Line'!$D$2:$D$4001,$AB798)&amp;"")</f>
        <v/>
      </c>
      <c r="D798">
        <f>IF($AB798="","",INDEX('Per Line'!$B$2:$B$4001,$AB798)&amp;"")</f>
        <v/>
      </c>
      <c r="E798">
        <f>IF($AB798="","",INDEX('Per Line'!$A$2:$A$4001,$AB798))</f>
        <v/>
      </c>
      <c r="F798" s="11">
        <f>IF($AB798="","",INDEX('Per Line'!$E$2:$E$4001,$AB798))</f>
        <v/>
      </c>
      <c r="G798">
        <f>IF($AB798="","",INDEX('Per Line'!$F$2:$F$4001,$AB798)&amp;"")</f>
        <v/>
      </c>
      <c r="H798">
        <f>IF($AB798="","",INDEX('Per Line'!$H$2:$H$4001,$AB798)&amp;"")</f>
        <v/>
      </c>
      <c r="I798">
        <f>IF($AB798="","",INDEX('Per Line'!$I$2:$I$4001,$AB798)&amp;"")</f>
        <v/>
      </c>
      <c r="J798">
        <f>IF($AB798="","",INDEX('Per Line'!$J$2:$J$4001,$AB798)&amp;"")</f>
        <v/>
      </c>
      <c r="K798">
        <f>IF($AB798="","",INDEX('Per Line'!$K$2:$K$4001,$AB798)&amp;"")</f>
        <v/>
      </c>
      <c r="L798">
        <f>IF($AB798="","",INDEX('Per Line'!$L$2:$L$4001,$AB798))</f>
        <v/>
      </c>
      <c r="M798" s="7">
        <f>IF($AB798="","",IF(AND(ISNUMBER(O798),O798&gt;0,Z798&gt;O798),L798*O798/100+(Z798-O798),L798*Z798/100))</f>
        <v/>
      </c>
      <c r="N798">
        <f>IF($AB798="","",INDEX('Per Line'!$V$2:$V$4001,$AB798)&amp;"")</f>
        <v/>
      </c>
      <c r="O798">
        <f>IF($AB798="","",INDEX('Per Line'!$Z$2:$Z$4001,$AB798))</f>
        <v/>
      </c>
      <c r="P798">
        <f>IF($AB798="","",IF(AND(ISNUMBER(O798),O798&gt;0),Z798&gt;O798,FALSE))</f>
        <v/>
      </c>
      <c r="Q798" s="7">
        <f>IF($AB798="","",SUMIFS('Per Line'!$U$2:$U$4001,'Per Line'!$C$2:$C$4001,$B798,'Per Line'!$AM$2:$AM$4001,1))</f>
        <v/>
      </c>
      <c r="R798">
        <f>IF($AB798="","",Settings!$C$7)</f>
        <v/>
      </c>
      <c r="S798" s="7">
        <f>IF($AB798="","",SUMIFS('Per Line'!$U$2:$U$4001,'Per Line'!$C$2:$C$4001,$B798,'Per Line'!$AL$2:$AL$4001,0,'Per Line'!$AM$2:$AM$4001,0))</f>
        <v/>
      </c>
      <c r="T798" s="7">
        <f>IF($AB798="","",S798*R798)</f>
        <v/>
      </c>
      <c r="U798">
        <f>IF($AB798="","",Settings!$C$6)</f>
        <v/>
      </c>
      <c r="V798" s="7">
        <f>IF($AB798="","",SUMIFS('Per Line'!$U$2:$U$4001,'Per Line'!$C$2:$C$4001,$B798,'Per Line'!$AL$2:$AL$4001,1,'Per Line'!$AM$2:$AM$4001,0))</f>
        <v/>
      </c>
      <c r="W798" s="7">
        <f>IF($AB798="","",V798*U798)</f>
        <v/>
      </c>
      <c r="X798" s="7">
        <f>IF($AB798="","",W798+T798)</f>
        <v/>
      </c>
      <c r="Y798" s="7">
        <f>IF($AB798="","",Z798-X798)</f>
        <v/>
      </c>
      <c r="Z798" s="7">
        <f>IF($AB798="","",S798+V798+Q798)</f>
        <v/>
      </c>
      <c r="AA798" s="7">
        <f>IF($AB798="","",Z798-X798-M798)</f>
        <v/>
      </c>
      <c r="AB798" s="13">
        <f>IF(ROWS($AB$2:$AB798)&lt;=MAX('Per Line'!$AK$2:$AK$4001),MATCH(ROWS($AB$2:$AB798),'Per Line'!$AK$2:$AK$4001,0),"")</f>
        <v/>
      </c>
      <c r="AC798" s="14">
        <f>IF($AB798="","",M798-L798*Z798/100)</f>
        <v/>
      </c>
    </row>
    <row r="799">
      <c r="A799" s="12" t="n"/>
      <c r="B799">
        <f>IF($AB799="","",INDEX('Per Line'!$C$2:$C$4001,$AB799)&amp;"")</f>
        <v/>
      </c>
      <c r="C799">
        <f>IF($AB799="","",INDEX('Per Line'!$D$2:$D$4001,$AB799)&amp;"")</f>
        <v/>
      </c>
      <c r="D799">
        <f>IF($AB799="","",INDEX('Per Line'!$B$2:$B$4001,$AB799)&amp;"")</f>
        <v/>
      </c>
      <c r="E799">
        <f>IF($AB799="","",INDEX('Per Line'!$A$2:$A$4001,$AB799))</f>
        <v/>
      </c>
      <c r="F799" s="11">
        <f>IF($AB799="","",INDEX('Per Line'!$E$2:$E$4001,$AB799))</f>
        <v/>
      </c>
      <c r="G799">
        <f>IF($AB799="","",INDEX('Per Line'!$F$2:$F$4001,$AB799)&amp;"")</f>
        <v/>
      </c>
      <c r="H799">
        <f>IF($AB799="","",INDEX('Per Line'!$H$2:$H$4001,$AB799)&amp;"")</f>
        <v/>
      </c>
      <c r="I799">
        <f>IF($AB799="","",INDEX('Per Line'!$I$2:$I$4001,$AB799)&amp;"")</f>
        <v/>
      </c>
      <c r="J799">
        <f>IF($AB799="","",INDEX('Per Line'!$J$2:$J$4001,$AB799)&amp;"")</f>
        <v/>
      </c>
      <c r="K799">
        <f>IF($AB799="","",INDEX('Per Line'!$K$2:$K$4001,$AB799)&amp;"")</f>
        <v/>
      </c>
      <c r="L799">
        <f>IF($AB799="","",INDEX('Per Line'!$L$2:$L$4001,$AB799))</f>
        <v/>
      </c>
      <c r="M799" s="7">
        <f>IF($AB799="","",IF(AND(ISNUMBER(O799),O799&gt;0,Z799&gt;O799),L799*O799/100+(Z799-O799),L799*Z799/100))</f>
        <v/>
      </c>
      <c r="N799">
        <f>IF($AB799="","",INDEX('Per Line'!$V$2:$V$4001,$AB799)&amp;"")</f>
        <v/>
      </c>
      <c r="O799">
        <f>IF($AB799="","",INDEX('Per Line'!$Z$2:$Z$4001,$AB799))</f>
        <v/>
      </c>
      <c r="P799">
        <f>IF($AB799="","",IF(AND(ISNUMBER(O799),O799&gt;0),Z799&gt;O799,FALSE))</f>
        <v/>
      </c>
      <c r="Q799" s="7">
        <f>IF($AB799="","",SUMIFS('Per Line'!$U$2:$U$4001,'Per Line'!$C$2:$C$4001,$B799,'Per Line'!$AM$2:$AM$4001,1))</f>
        <v/>
      </c>
      <c r="R799">
        <f>IF($AB799="","",Settings!$C$7)</f>
        <v/>
      </c>
      <c r="S799" s="7">
        <f>IF($AB799="","",SUMIFS('Per Line'!$U$2:$U$4001,'Per Line'!$C$2:$C$4001,$B799,'Per Line'!$AL$2:$AL$4001,0,'Per Line'!$AM$2:$AM$4001,0))</f>
        <v/>
      </c>
      <c r="T799" s="7">
        <f>IF($AB799="","",S799*R799)</f>
        <v/>
      </c>
      <c r="U799">
        <f>IF($AB799="","",Settings!$C$6)</f>
        <v/>
      </c>
      <c r="V799" s="7">
        <f>IF($AB799="","",SUMIFS('Per Line'!$U$2:$U$4001,'Per Line'!$C$2:$C$4001,$B799,'Per Line'!$AL$2:$AL$4001,1,'Per Line'!$AM$2:$AM$4001,0))</f>
        <v/>
      </c>
      <c r="W799" s="7">
        <f>IF($AB799="","",V799*U799)</f>
        <v/>
      </c>
      <c r="X799" s="7">
        <f>IF($AB799="","",W799+T799)</f>
        <v/>
      </c>
      <c r="Y799" s="7">
        <f>IF($AB799="","",Z799-X799)</f>
        <v/>
      </c>
      <c r="Z799" s="7">
        <f>IF($AB799="","",S799+V799+Q799)</f>
        <v/>
      </c>
      <c r="AA799" s="7">
        <f>IF($AB799="","",Z799-X799-M799)</f>
        <v/>
      </c>
      <c r="AB799" s="13">
        <f>IF(ROWS($AB$2:$AB799)&lt;=MAX('Per Line'!$AK$2:$AK$4001),MATCH(ROWS($AB$2:$AB799),'Per Line'!$AK$2:$AK$4001,0),"")</f>
        <v/>
      </c>
      <c r="AC799" s="14">
        <f>IF($AB799="","",M799-L799*Z799/100)</f>
        <v/>
      </c>
    </row>
    <row r="800">
      <c r="A800" s="12" t="n"/>
      <c r="B800">
        <f>IF($AB800="","",INDEX('Per Line'!$C$2:$C$4001,$AB800)&amp;"")</f>
        <v/>
      </c>
      <c r="C800">
        <f>IF($AB800="","",INDEX('Per Line'!$D$2:$D$4001,$AB800)&amp;"")</f>
        <v/>
      </c>
      <c r="D800">
        <f>IF($AB800="","",INDEX('Per Line'!$B$2:$B$4001,$AB800)&amp;"")</f>
        <v/>
      </c>
      <c r="E800">
        <f>IF($AB800="","",INDEX('Per Line'!$A$2:$A$4001,$AB800))</f>
        <v/>
      </c>
      <c r="F800" s="11">
        <f>IF($AB800="","",INDEX('Per Line'!$E$2:$E$4001,$AB800))</f>
        <v/>
      </c>
      <c r="G800">
        <f>IF($AB800="","",INDEX('Per Line'!$F$2:$F$4001,$AB800)&amp;"")</f>
        <v/>
      </c>
      <c r="H800">
        <f>IF($AB800="","",INDEX('Per Line'!$H$2:$H$4001,$AB800)&amp;"")</f>
        <v/>
      </c>
      <c r="I800">
        <f>IF($AB800="","",INDEX('Per Line'!$I$2:$I$4001,$AB800)&amp;"")</f>
        <v/>
      </c>
      <c r="J800">
        <f>IF($AB800="","",INDEX('Per Line'!$J$2:$J$4001,$AB800)&amp;"")</f>
        <v/>
      </c>
      <c r="K800">
        <f>IF($AB800="","",INDEX('Per Line'!$K$2:$K$4001,$AB800)&amp;"")</f>
        <v/>
      </c>
      <c r="L800">
        <f>IF($AB800="","",INDEX('Per Line'!$L$2:$L$4001,$AB800))</f>
        <v/>
      </c>
      <c r="M800" s="7">
        <f>IF($AB800="","",IF(AND(ISNUMBER(O800),O800&gt;0,Z800&gt;O800),L800*O800/100+(Z800-O800),L800*Z800/100))</f>
        <v/>
      </c>
      <c r="N800">
        <f>IF($AB800="","",INDEX('Per Line'!$V$2:$V$4001,$AB800)&amp;"")</f>
        <v/>
      </c>
      <c r="O800">
        <f>IF($AB800="","",INDEX('Per Line'!$Z$2:$Z$4001,$AB800))</f>
        <v/>
      </c>
      <c r="P800">
        <f>IF($AB800="","",IF(AND(ISNUMBER(O800),O800&gt;0),Z800&gt;O800,FALSE))</f>
        <v/>
      </c>
      <c r="Q800" s="7">
        <f>IF($AB800="","",SUMIFS('Per Line'!$U$2:$U$4001,'Per Line'!$C$2:$C$4001,$B800,'Per Line'!$AM$2:$AM$4001,1))</f>
        <v/>
      </c>
      <c r="R800">
        <f>IF($AB800="","",Settings!$C$7)</f>
        <v/>
      </c>
      <c r="S800" s="7">
        <f>IF($AB800="","",SUMIFS('Per Line'!$U$2:$U$4001,'Per Line'!$C$2:$C$4001,$B800,'Per Line'!$AL$2:$AL$4001,0,'Per Line'!$AM$2:$AM$4001,0))</f>
        <v/>
      </c>
      <c r="T800" s="7">
        <f>IF($AB800="","",S800*R800)</f>
        <v/>
      </c>
      <c r="U800">
        <f>IF($AB800="","",Settings!$C$6)</f>
        <v/>
      </c>
      <c r="V800" s="7">
        <f>IF($AB800="","",SUMIFS('Per Line'!$U$2:$U$4001,'Per Line'!$C$2:$C$4001,$B800,'Per Line'!$AL$2:$AL$4001,1,'Per Line'!$AM$2:$AM$4001,0))</f>
        <v/>
      </c>
      <c r="W800" s="7">
        <f>IF($AB800="","",V800*U800)</f>
        <v/>
      </c>
      <c r="X800" s="7">
        <f>IF($AB800="","",W800+T800)</f>
        <v/>
      </c>
      <c r="Y800" s="7">
        <f>IF($AB800="","",Z800-X800)</f>
        <v/>
      </c>
      <c r="Z800" s="7">
        <f>IF($AB800="","",S800+V800+Q800)</f>
        <v/>
      </c>
      <c r="AA800" s="7">
        <f>IF($AB800="","",Z800-X800-M800)</f>
        <v/>
      </c>
      <c r="AB800" s="13">
        <f>IF(ROWS($AB$2:$AB800)&lt;=MAX('Per Line'!$AK$2:$AK$4001),MATCH(ROWS($AB$2:$AB800),'Per Line'!$AK$2:$AK$4001,0),"")</f>
        <v/>
      </c>
      <c r="AC800" s="14">
        <f>IF($AB800="","",M800-L800*Z800/100)</f>
        <v/>
      </c>
    </row>
    <row r="801">
      <c r="A801" s="12" t="n"/>
      <c r="B801">
        <f>IF($AB801="","",INDEX('Per Line'!$C$2:$C$4001,$AB801)&amp;"")</f>
        <v/>
      </c>
      <c r="C801">
        <f>IF($AB801="","",INDEX('Per Line'!$D$2:$D$4001,$AB801)&amp;"")</f>
        <v/>
      </c>
      <c r="D801">
        <f>IF($AB801="","",INDEX('Per Line'!$B$2:$B$4001,$AB801)&amp;"")</f>
        <v/>
      </c>
      <c r="E801">
        <f>IF($AB801="","",INDEX('Per Line'!$A$2:$A$4001,$AB801))</f>
        <v/>
      </c>
      <c r="F801" s="11">
        <f>IF($AB801="","",INDEX('Per Line'!$E$2:$E$4001,$AB801))</f>
        <v/>
      </c>
      <c r="G801">
        <f>IF($AB801="","",INDEX('Per Line'!$F$2:$F$4001,$AB801)&amp;"")</f>
        <v/>
      </c>
      <c r="H801">
        <f>IF($AB801="","",INDEX('Per Line'!$H$2:$H$4001,$AB801)&amp;"")</f>
        <v/>
      </c>
      <c r="I801">
        <f>IF($AB801="","",INDEX('Per Line'!$I$2:$I$4001,$AB801)&amp;"")</f>
        <v/>
      </c>
      <c r="J801">
        <f>IF($AB801="","",INDEX('Per Line'!$J$2:$J$4001,$AB801)&amp;"")</f>
        <v/>
      </c>
      <c r="K801">
        <f>IF($AB801="","",INDEX('Per Line'!$K$2:$K$4001,$AB801)&amp;"")</f>
        <v/>
      </c>
      <c r="L801">
        <f>IF($AB801="","",INDEX('Per Line'!$L$2:$L$4001,$AB801))</f>
        <v/>
      </c>
      <c r="M801" s="7">
        <f>IF($AB801="","",IF(AND(ISNUMBER(O801),O801&gt;0,Z801&gt;O801),L801*O801/100+(Z801-O801),L801*Z801/100))</f>
        <v/>
      </c>
      <c r="N801">
        <f>IF($AB801="","",INDEX('Per Line'!$V$2:$V$4001,$AB801)&amp;"")</f>
        <v/>
      </c>
      <c r="O801">
        <f>IF($AB801="","",INDEX('Per Line'!$Z$2:$Z$4001,$AB801))</f>
        <v/>
      </c>
      <c r="P801">
        <f>IF($AB801="","",IF(AND(ISNUMBER(O801),O801&gt;0),Z801&gt;O801,FALSE))</f>
        <v/>
      </c>
      <c r="Q801" s="7">
        <f>IF($AB801="","",SUMIFS('Per Line'!$U$2:$U$4001,'Per Line'!$C$2:$C$4001,$B801,'Per Line'!$AM$2:$AM$4001,1))</f>
        <v/>
      </c>
      <c r="R801">
        <f>IF($AB801="","",Settings!$C$7)</f>
        <v/>
      </c>
      <c r="S801" s="7">
        <f>IF($AB801="","",SUMIFS('Per Line'!$U$2:$U$4001,'Per Line'!$C$2:$C$4001,$B801,'Per Line'!$AL$2:$AL$4001,0,'Per Line'!$AM$2:$AM$4001,0))</f>
        <v/>
      </c>
      <c r="T801" s="7">
        <f>IF($AB801="","",S801*R801)</f>
        <v/>
      </c>
      <c r="U801">
        <f>IF($AB801="","",Settings!$C$6)</f>
        <v/>
      </c>
      <c r="V801" s="7">
        <f>IF($AB801="","",SUMIFS('Per Line'!$U$2:$U$4001,'Per Line'!$C$2:$C$4001,$B801,'Per Line'!$AL$2:$AL$4001,1,'Per Line'!$AM$2:$AM$4001,0))</f>
        <v/>
      </c>
      <c r="W801" s="7">
        <f>IF($AB801="","",V801*U801)</f>
        <v/>
      </c>
      <c r="X801" s="7">
        <f>IF($AB801="","",W801+T801)</f>
        <v/>
      </c>
      <c r="Y801" s="7">
        <f>IF($AB801="","",Z801-X801)</f>
        <v/>
      </c>
      <c r="Z801" s="7">
        <f>IF($AB801="","",S801+V801+Q801)</f>
        <v/>
      </c>
      <c r="AA801" s="7">
        <f>IF($AB801="","",Z801-X801-M801)</f>
        <v/>
      </c>
      <c r="AB801" s="13">
        <f>IF(ROWS($AB$2:$AB801)&lt;=MAX('Per Line'!$AK$2:$AK$4001),MATCH(ROWS($AB$2:$AB801),'Per Line'!$AK$2:$AK$4001,0),"")</f>
        <v/>
      </c>
      <c r="AC801" s="14">
        <f>IF($AB801="","",M801-L801*Z801/100)</f>
        <v/>
      </c>
    </row>
    <row r="802">
      <c r="A802" s="12" t="n"/>
      <c r="B802">
        <f>IF($AB802="","",INDEX('Per Line'!$C$2:$C$4001,$AB802)&amp;"")</f>
        <v/>
      </c>
      <c r="C802">
        <f>IF($AB802="","",INDEX('Per Line'!$D$2:$D$4001,$AB802)&amp;"")</f>
        <v/>
      </c>
      <c r="D802">
        <f>IF($AB802="","",INDEX('Per Line'!$B$2:$B$4001,$AB802)&amp;"")</f>
        <v/>
      </c>
      <c r="E802">
        <f>IF($AB802="","",INDEX('Per Line'!$A$2:$A$4001,$AB802))</f>
        <v/>
      </c>
      <c r="F802" s="11">
        <f>IF($AB802="","",INDEX('Per Line'!$E$2:$E$4001,$AB802))</f>
        <v/>
      </c>
      <c r="G802">
        <f>IF($AB802="","",INDEX('Per Line'!$F$2:$F$4001,$AB802)&amp;"")</f>
        <v/>
      </c>
      <c r="H802">
        <f>IF($AB802="","",INDEX('Per Line'!$H$2:$H$4001,$AB802)&amp;"")</f>
        <v/>
      </c>
      <c r="I802">
        <f>IF($AB802="","",INDEX('Per Line'!$I$2:$I$4001,$AB802)&amp;"")</f>
        <v/>
      </c>
      <c r="J802">
        <f>IF($AB802="","",INDEX('Per Line'!$J$2:$J$4001,$AB802)&amp;"")</f>
        <v/>
      </c>
      <c r="K802">
        <f>IF($AB802="","",INDEX('Per Line'!$K$2:$K$4001,$AB802)&amp;"")</f>
        <v/>
      </c>
      <c r="L802">
        <f>IF($AB802="","",INDEX('Per Line'!$L$2:$L$4001,$AB802))</f>
        <v/>
      </c>
      <c r="M802" s="7">
        <f>IF($AB802="","",IF(AND(ISNUMBER(O802),O802&gt;0,Z802&gt;O802),L802*O802/100+(Z802-O802),L802*Z802/100))</f>
        <v/>
      </c>
      <c r="N802">
        <f>IF($AB802="","",INDEX('Per Line'!$V$2:$V$4001,$AB802)&amp;"")</f>
        <v/>
      </c>
      <c r="O802">
        <f>IF($AB802="","",INDEX('Per Line'!$Z$2:$Z$4001,$AB802))</f>
        <v/>
      </c>
      <c r="P802">
        <f>IF($AB802="","",IF(AND(ISNUMBER(O802),O802&gt;0),Z802&gt;O802,FALSE))</f>
        <v/>
      </c>
      <c r="Q802" s="7">
        <f>IF($AB802="","",SUMIFS('Per Line'!$U$2:$U$4001,'Per Line'!$C$2:$C$4001,$B802,'Per Line'!$AM$2:$AM$4001,1))</f>
        <v/>
      </c>
      <c r="R802">
        <f>IF($AB802="","",Settings!$C$7)</f>
        <v/>
      </c>
      <c r="S802" s="7">
        <f>IF($AB802="","",SUMIFS('Per Line'!$U$2:$U$4001,'Per Line'!$C$2:$C$4001,$B802,'Per Line'!$AL$2:$AL$4001,0,'Per Line'!$AM$2:$AM$4001,0))</f>
        <v/>
      </c>
      <c r="T802" s="7">
        <f>IF($AB802="","",S802*R802)</f>
        <v/>
      </c>
      <c r="U802">
        <f>IF($AB802="","",Settings!$C$6)</f>
        <v/>
      </c>
      <c r="V802" s="7">
        <f>IF($AB802="","",SUMIFS('Per Line'!$U$2:$U$4001,'Per Line'!$C$2:$C$4001,$B802,'Per Line'!$AL$2:$AL$4001,1,'Per Line'!$AM$2:$AM$4001,0))</f>
        <v/>
      </c>
      <c r="W802" s="7">
        <f>IF($AB802="","",V802*U802)</f>
        <v/>
      </c>
      <c r="X802" s="7">
        <f>IF($AB802="","",W802+T802)</f>
        <v/>
      </c>
      <c r="Y802" s="7">
        <f>IF($AB802="","",Z802-X802)</f>
        <v/>
      </c>
      <c r="Z802" s="7">
        <f>IF($AB802="","",S802+V802+Q802)</f>
        <v/>
      </c>
      <c r="AA802" s="7">
        <f>IF($AB802="","",Z802-X802-M802)</f>
        <v/>
      </c>
      <c r="AB802" s="13">
        <f>IF(ROWS($AB$2:$AB802)&lt;=MAX('Per Line'!$AK$2:$AK$4001),MATCH(ROWS($AB$2:$AB802),'Per Line'!$AK$2:$AK$4001,0),"")</f>
        <v/>
      </c>
      <c r="AC802" s="14">
        <f>IF($AB802="","",M802-L802*Z802/100)</f>
        <v/>
      </c>
    </row>
    <row r="803">
      <c r="A803" s="12" t="n"/>
      <c r="B803">
        <f>IF($AB803="","",INDEX('Per Line'!$C$2:$C$4001,$AB803)&amp;"")</f>
        <v/>
      </c>
      <c r="C803">
        <f>IF($AB803="","",INDEX('Per Line'!$D$2:$D$4001,$AB803)&amp;"")</f>
        <v/>
      </c>
      <c r="D803">
        <f>IF($AB803="","",INDEX('Per Line'!$B$2:$B$4001,$AB803)&amp;"")</f>
        <v/>
      </c>
      <c r="E803">
        <f>IF($AB803="","",INDEX('Per Line'!$A$2:$A$4001,$AB803))</f>
        <v/>
      </c>
      <c r="F803" s="11">
        <f>IF($AB803="","",INDEX('Per Line'!$E$2:$E$4001,$AB803))</f>
        <v/>
      </c>
      <c r="G803">
        <f>IF($AB803="","",INDEX('Per Line'!$F$2:$F$4001,$AB803)&amp;"")</f>
        <v/>
      </c>
      <c r="H803">
        <f>IF($AB803="","",INDEX('Per Line'!$H$2:$H$4001,$AB803)&amp;"")</f>
        <v/>
      </c>
      <c r="I803">
        <f>IF($AB803="","",INDEX('Per Line'!$I$2:$I$4001,$AB803)&amp;"")</f>
        <v/>
      </c>
      <c r="J803">
        <f>IF($AB803="","",INDEX('Per Line'!$J$2:$J$4001,$AB803)&amp;"")</f>
        <v/>
      </c>
      <c r="K803">
        <f>IF($AB803="","",INDEX('Per Line'!$K$2:$K$4001,$AB803)&amp;"")</f>
        <v/>
      </c>
      <c r="L803">
        <f>IF($AB803="","",INDEX('Per Line'!$L$2:$L$4001,$AB803))</f>
        <v/>
      </c>
      <c r="M803" s="7">
        <f>IF($AB803="","",IF(AND(ISNUMBER(O803),O803&gt;0,Z803&gt;O803),L803*O803/100+(Z803-O803),L803*Z803/100))</f>
        <v/>
      </c>
      <c r="N803">
        <f>IF($AB803="","",INDEX('Per Line'!$V$2:$V$4001,$AB803)&amp;"")</f>
        <v/>
      </c>
      <c r="O803">
        <f>IF($AB803="","",INDEX('Per Line'!$Z$2:$Z$4001,$AB803))</f>
        <v/>
      </c>
      <c r="P803">
        <f>IF($AB803="","",IF(AND(ISNUMBER(O803),O803&gt;0),Z803&gt;O803,FALSE))</f>
        <v/>
      </c>
      <c r="Q803" s="7">
        <f>IF($AB803="","",SUMIFS('Per Line'!$U$2:$U$4001,'Per Line'!$C$2:$C$4001,$B803,'Per Line'!$AM$2:$AM$4001,1))</f>
        <v/>
      </c>
      <c r="R803">
        <f>IF($AB803="","",Settings!$C$7)</f>
        <v/>
      </c>
      <c r="S803" s="7">
        <f>IF($AB803="","",SUMIFS('Per Line'!$U$2:$U$4001,'Per Line'!$C$2:$C$4001,$B803,'Per Line'!$AL$2:$AL$4001,0,'Per Line'!$AM$2:$AM$4001,0))</f>
        <v/>
      </c>
      <c r="T803" s="7">
        <f>IF($AB803="","",S803*R803)</f>
        <v/>
      </c>
      <c r="U803">
        <f>IF($AB803="","",Settings!$C$6)</f>
        <v/>
      </c>
      <c r="V803" s="7">
        <f>IF($AB803="","",SUMIFS('Per Line'!$U$2:$U$4001,'Per Line'!$C$2:$C$4001,$B803,'Per Line'!$AL$2:$AL$4001,1,'Per Line'!$AM$2:$AM$4001,0))</f>
        <v/>
      </c>
      <c r="W803" s="7">
        <f>IF($AB803="","",V803*U803)</f>
        <v/>
      </c>
      <c r="X803" s="7">
        <f>IF($AB803="","",W803+T803)</f>
        <v/>
      </c>
      <c r="Y803" s="7">
        <f>IF($AB803="","",Z803-X803)</f>
        <v/>
      </c>
      <c r="Z803" s="7">
        <f>IF($AB803="","",S803+V803+Q803)</f>
        <v/>
      </c>
      <c r="AA803" s="7">
        <f>IF($AB803="","",Z803-X803-M803)</f>
        <v/>
      </c>
      <c r="AB803" s="13">
        <f>IF(ROWS($AB$2:$AB803)&lt;=MAX('Per Line'!$AK$2:$AK$4001),MATCH(ROWS($AB$2:$AB803),'Per Line'!$AK$2:$AK$4001,0),"")</f>
        <v/>
      </c>
      <c r="AC803" s="14">
        <f>IF($AB803="","",M803-L803*Z803/100)</f>
        <v/>
      </c>
    </row>
    <row r="804">
      <c r="A804" s="12" t="n"/>
      <c r="B804">
        <f>IF($AB804="","",INDEX('Per Line'!$C$2:$C$4001,$AB804)&amp;"")</f>
        <v/>
      </c>
      <c r="C804">
        <f>IF($AB804="","",INDEX('Per Line'!$D$2:$D$4001,$AB804)&amp;"")</f>
        <v/>
      </c>
      <c r="D804">
        <f>IF($AB804="","",INDEX('Per Line'!$B$2:$B$4001,$AB804)&amp;"")</f>
        <v/>
      </c>
      <c r="E804">
        <f>IF($AB804="","",INDEX('Per Line'!$A$2:$A$4001,$AB804))</f>
        <v/>
      </c>
      <c r="F804" s="11">
        <f>IF($AB804="","",INDEX('Per Line'!$E$2:$E$4001,$AB804))</f>
        <v/>
      </c>
      <c r="G804">
        <f>IF($AB804="","",INDEX('Per Line'!$F$2:$F$4001,$AB804)&amp;"")</f>
        <v/>
      </c>
      <c r="H804">
        <f>IF($AB804="","",INDEX('Per Line'!$H$2:$H$4001,$AB804)&amp;"")</f>
        <v/>
      </c>
      <c r="I804">
        <f>IF($AB804="","",INDEX('Per Line'!$I$2:$I$4001,$AB804)&amp;"")</f>
        <v/>
      </c>
      <c r="J804">
        <f>IF($AB804="","",INDEX('Per Line'!$J$2:$J$4001,$AB804)&amp;"")</f>
        <v/>
      </c>
      <c r="K804">
        <f>IF($AB804="","",INDEX('Per Line'!$K$2:$K$4001,$AB804)&amp;"")</f>
        <v/>
      </c>
      <c r="L804">
        <f>IF($AB804="","",INDEX('Per Line'!$L$2:$L$4001,$AB804))</f>
        <v/>
      </c>
      <c r="M804" s="7">
        <f>IF($AB804="","",IF(AND(ISNUMBER(O804),O804&gt;0,Z804&gt;O804),L804*O804/100+(Z804-O804),L804*Z804/100))</f>
        <v/>
      </c>
      <c r="N804">
        <f>IF($AB804="","",INDEX('Per Line'!$V$2:$V$4001,$AB804)&amp;"")</f>
        <v/>
      </c>
      <c r="O804">
        <f>IF($AB804="","",INDEX('Per Line'!$Z$2:$Z$4001,$AB804))</f>
        <v/>
      </c>
      <c r="P804">
        <f>IF($AB804="","",IF(AND(ISNUMBER(O804),O804&gt;0),Z804&gt;O804,FALSE))</f>
        <v/>
      </c>
      <c r="Q804" s="7">
        <f>IF($AB804="","",SUMIFS('Per Line'!$U$2:$U$4001,'Per Line'!$C$2:$C$4001,$B804,'Per Line'!$AM$2:$AM$4001,1))</f>
        <v/>
      </c>
      <c r="R804">
        <f>IF($AB804="","",Settings!$C$7)</f>
        <v/>
      </c>
      <c r="S804" s="7">
        <f>IF($AB804="","",SUMIFS('Per Line'!$U$2:$U$4001,'Per Line'!$C$2:$C$4001,$B804,'Per Line'!$AL$2:$AL$4001,0,'Per Line'!$AM$2:$AM$4001,0))</f>
        <v/>
      </c>
      <c r="T804" s="7">
        <f>IF($AB804="","",S804*R804)</f>
        <v/>
      </c>
      <c r="U804">
        <f>IF($AB804="","",Settings!$C$6)</f>
        <v/>
      </c>
      <c r="V804" s="7">
        <f>IF($AB804="","",SUMIFS('Per Line'!$U$2:$U$4001,'Per Line'!$C$2:$C$4001,$B804,'Per Line'!$AL$2:$AL$4001,1,'Per Line'!$AM$2:$AM$4001,0))</f>
        <v/>
      </c>
      <c r="W804" s="7">
        <f>IF($AB804="","",V804*U804)</f>
        <v/>
      </c>
      <c r="X804" s="7">
        <f>IF($AB804="","",W804+T804)</f>
        <v/>
      </c>
      <c r="Y804" s="7">
        <f>IF($AB804="","",Z804-X804)</f>
        <v/>
      </c>
      <c r="Z804" s="7">
        <f>IF($AB804="","",S804+V804+Q804)</f>
        <v/>
      </c>
      <c r="AA804" s="7">
        <f>IF($AB804="","",Z804-X804-M804)</f>
        <v/>
      </c>
      <c r="AB804" s="13">
        <f>IF(ROWS($AB$2:$AB804)&lt;=MAX('Per Line'!$AK$2:$AK$4001),MATCH(ROWS($AB$2:$AB804),'Per Line'!$AK$2:$AK$4001,0),"")</f>
        <v/>
      </c>
      <c r="AC804" s="14">
        <f>IF($AB804="","",M804-L804*Z804/100)</f>
        <v/>
      </c>
    </row>
    <row r="805">
      <c r="A805" s="12" t="n"/>
      <c r="B805">
        <f>IF($AB805="","",INDEX('Per Line'!$C$2:$C$4001,$AB805)&amp;"")</f>
        <v/>
      </c>
      <c r="C805">
        <f>IF($AB805="","",INDEX('Per Line'!$D$2:$D$4001,$AB805)&amp;"")</f>
        <v/>
      </c>
      <c r="D805">
        <f>IF($AB805="","",INDEX('Per Line'!$B$2:$B$4001,$AB805)&amp;"")</f>
        <v/>
      </c>
      <c r="E805">
        <f>IF($AB805="","",INDEX('Per Line'!$A$2:$A$4001,$AB805))</f>
        <v/>
      </c>
      <c r="F805" s="11">
        <f>IF($AB805="","",INDEX('Per Line'!$E$2:$E$4001,$AB805))</f>
        <v/>
      </c>
      <c r="G805">
        <f>IF($AB805="","",INDEX('Per Line'!$F$2:$F$4001,$AB805)&amp;"")</f>
        <v/>
      </c>
      <c r="H805">
        <f>IF($AB805="","",INDEX('Per Line'!$H$2:$H$4001,$AB805)&amp;"")</f>
        <v/>
      </c>
      <c r="I805">
        <f>IF($AB805="","",INDEX('Per Line'!$I$2:$I$4001,$AB805)&amp;"")</f>
        <v/>
      </c>
      <c r="J805">
        <f>IF($AB805="","",INDEX('Per Line'!$J$2:$J$4001,$AB805)&amp;"")</f>
        <v/>
      </c>
      <c r="K805">
        <f>IF($AB805="","",INDEX('Per Line'!$K$2:$K$4001,$AB805)&amp;"")</f>
        <v/>
      </c>
      <c r="L805">
        <f>IF($AB805="","",INDEX('Per Line'!$L$2:$L$4001,$AB805))</f>
        <v/>
      </c>
      <c r="M805" s="7">
        <f>IF($AB805="","",IF(AND(ISNUMBER(O805),O805&gt;0,Z805&gt;O805),L805*O805/100+(Z805-O805),L805*Z805/100))</f>
        <v/>
      </c>
      <c r="N805">
        <f>IF($AB805="","",INDEX('Per Line'!$V$2:$V$4001,$AB805)&amp;"")</f>
        <v/>
      </c>
      <c r="O805">
        <f>IF($AB805="","",INDEX('Per Line'!$Z$2:$Z$4001,$AB805))</f>
        <v/>
      </c>
      <c r="P805">
        <f>IF($AB805="","",IF(AND(ISNUMBER(O805),O805&gt;0),Z805&gt;O805,FALSE))</f>
        <v/>
      </c>
      <c r="Q805" s="7">
        <f>IF($AB805="","",SUMIFS('Per Line'!$U$2:$U$4001,'Per Line'!$C$2:$C$4001,$B805,'Per Line'!$AM$2:$AM$4001,1))</f>
        <v/>
      </c>
      <c r="R805">
        <f>IF($AB805="","",Settings!$C$7)</f>
        <v/>
      </c>
      <c r="S805" s="7">
        <f>IF($AB805="","",SUMIFS('Per Line'!$U$2:$U$4001,'Per Line'!$C$2:$C$4001,$B805,'Per Line'!$AL$2:$AL$4001,0,'Per Line'!$AM$2:$AM$4001,0))</f>
        <v/>
      </c>
      <c r="T805" s="7">
        <f>IF($AB805="","",S805*R805)</f>
        <v/>
      </c>
      <c r="U805">
        <f>IF($AB805="","",Settings!$C$6)</f>
        <v/>
      </c>
      <c r="V805" s="7">
        <f>IF($AB805="","",SUMIFS('Per Line'!$U$2:$U$4001,'Per Line'!$C$2:$C$4001,$B805,'Per Line'!$AL$2:$AL$4001,1,'Per Line'!$AM$2:$AM$4001,0))</f>
        <v/>
      </c>
      <c r="W805" s="7">
        <f>IF($AB805="","",V805*U805)</f>
        <v/>
      </c>
      <c r="X805" s="7">
        <f>IF($AB805="","",W805+T805)</f>
        <v/>
      </c>
      <c r="Y805" s="7">
        <f>IF($AB805="","",Z805-X805)</f>
        <v/>
      </c>
      <c r="Z805" s="7">
        <f>IF($AB805="","",S805+V805+Q805)</f>
        <v/>
      </c>
      <c r="AA805" s="7">
        <f>IF($AB805="","",Z805-X805-M805)</f>
        <v/>
      </c>
      <c r="AB805" s="13">
        <f>IF(ROWS($AB$2:$AB805)&lt;=MAX('Per Line'!$AK$2:$AK$4001),MATCH(ROWS($AB$2:$AB805),'Per Line'!$AK$2:$AK$4001,0),"")</f>
        <v/>
      </c>
      <c r="AC805" s="14">
        <f>IF($AB805="","",M805-L805*Z805/100)</f>
        <v/>
      </c>
    </row>
    <row r="806">
      <c r="A806" s="12" t="n"/>
      <c r="B806">
        <f>IF($AB806="","",INDEX('Per Line'!$C$2:$C$4001,$AB806)&amp;"")</f>
        <v/>
      </c>
      <c r="C806">
        <f>IF($AB806="","",INDEX('Per Line'!$D$2:$D$4001,$AB806)&amp;"")</f>
        <v/>
      </c>
      <c r="D806">
        <f>IF($AB806="","",INDEX('Per Line'!$B$2:$B$4001,$AB806)&amp;"")</f>
        <v/>
      </c>
      <c r="E806">
        <f>IF($AB806="","",INDEX('Per Line'!$A$2:$A$4001,$AB806))</f>
        <v/>
      </c>
      <c r="F806" s="11">
        <f>IF($AB806="","",INDEX('Per Line'!$E$2:$E$4001,$AB806))</f>
        <v/>
      </c>
      <c r="G806">
        <f>IF($AB806="","",INDEX('Per Line'!$F$2:$F$4001,$AB806)&amp;"")</f>
        <v/>
      </c>
      <c r="H806">
        <f>IF($AB806="","",INDEX('Per Line'!$H$2:$H$4001,$AB806)&amp;"")</f>
        <v/>
      </c>
      <c r="I806">
        <f>IF($AB806="","",INDEX('Per Line'!$I$2:$I$4001,$AB806)&amp;"")</f>
        <v/>
      </c>
      <c r="J806">
        <f>IF($AB806="","",INDEX('Per Line'!$J$2:$J$4001,$AB806)&amp;"")</f>
        <v/>
      </c>
      <c r="K806">
        <f>IF($AB806="","",INDEX('Per Line'!$K$2:$K$4001,$AB806)&amp;"")</f>
        <v/>
      </c>
      <c r="L806">
        <f>IF($AB806="","",INDEX('Per Line'!$L$2:$L$4001,$AB806))</f>
        <v/>
      </c>
      <c r="M806" s="7">
        <f>IF($AB806="","",IF(AND(ISNUMBER(O806),O806&gt;0,Z806&gt;O806),L806*O806/100+(Z806-O806),L806*Z806/100))</f>
        <v/>
      </c>
      <c r="N806">
        <f>IF($AB806="","",INDEX('Per Line'!$V$2:$V$4001,$AB806)&amp;"")</f>
        <v/>
      </c>
      <c r="O806">
        <f>IF($AB806="","",INDEX('Per Line'!$Z$2:$Z$4001,$AB806))</f>
        <v/>
      </c>
      <c r="P806">
        <f>IF($AB806="","",IF(AND(ISNUMBER(O806),O806&gt;0),Z806&gt;O806,FALSE))</f>
        <v/>
      </c>
      <c r="Q806" s="7">
        <f>IF($AB806="","",SUMIFS('Per Line'!$U$2:$U$4001,'Per Line'!$C$2:$C$4001,$B806,'Per Line'!$AM$2:$AM$4001,1))</f>
        <v/>
      </c>
      <c r="R806">
        <f>IF($AB806="","",Settings!$C$7)</f>
        <v/>
      </c>
      <c r="S806" s="7">
        <f>IF($AB806="","",SUMIFS('Per Line'!$U$2:$U$4001,'Per Line'!$C$2:$C$4001,$B806,'Per Line'!$AL$2:$AL$4001,0,'Per Line'!$AM$2:$AM$4001,0))</f>
        <v/>
      </c>
      <c r="T806" s="7">
        <f>IF($AB806="","",S806*R806)</f>
        <v/>
      </c>
      <c r="U806">
        <f>IF($AB806="","",Settings!$C$6)</f>
        <v/>
      </c>
      <c r="V806" s="7">
        <f>IF($AB806="","",SUMIFS('Per Line'!$U$2:$U$4001,'Per Line'!$C$2:$C$4001,$B806,'Per Line'!$AL$2:$AL$4001,1,'Per Line'!$AM$2:$AM$4001,0))</f>
        <v/>
      </c>
      <c r="W806" s="7">
        <f>IF($AB806="","",V806*U806)</f>
        <v/>
      </c>
      <c r="X806" s="7">
        <f>IF($AB806="","",W806+T806)</f>
        <v/>
      </c>
      <c r="Y806" s="7">
        <f>IF($AB806="","",Z806-X806)</f>
        <v/>
      </c>
      <c r="Z806" s="7">
        <f>IF($AB806="","",S806+V806+Q806)</f>
        <v/>
      </c>
      <c r="AA806" s="7">
        <f>IF($AB806="","",Z806-X806-M806)</f>
        <v/>
      </c>
      <c r="AB806" s="13">
        <f>IF(ROWS($AB$2:$AB806)&lt;=MAX('Per Line'!$AK$2:$AK$4001),MATCH(ROWS($AB$2:$AB806),'Per Line'!$AK$2:$AK$4001,0),"")</f>
        <v/>
      </c>
      <c r="AC806" s="14">
        <f>IF($AB806="","",M806-L806*Z806/100)</f>
        <v/>
      </c>
    </row>
    <row r="807">
      <c r="A807" s="12" t="n"/>
      <c r="B807">
        <f>IF($AB807="","",INDEX('Per Line'!$C$2:$C$4001,$AB807)&amp;"")</f>
        <v/>
      </c>
      <c r="C807">
        <f>IF($AB807="","",INDEX('Per Line'!$D$2:$D$4001,$AB807)&amp;"")</f>
        <v/>
      </c>
      <c r="D807">
        <f>IF($AB807="","",INDEX('Per Line'!$B$2:$B$4001,$AB807)&amp;"")</f>
        <v/>
      </c>
      <c r="E807">
        <f>IF($AB807="","",INDEX('Per Line'!$A$2:$A$4001,$AB807))</f>
        <v/>
      </c>
      <c r="F807" s="11">
        <f>IF($AB807="","",INDEX('Per Line'!$E$2:$E$4001,$AB807))</f>
        <v/>
      </c>
      <c r="G807">
        <f>IF($AB807="","",INDEX('Per Line'!$F$2:$F$4001,$AB807)&amp;"")</f>
        <v/>
      </c>
      <c r="H807">
        <f>IF($AB807="","",INDEX('Per Line'!$H$2:$H$4001,$AB807)&amp;"")</f>
        <v/>
      </c>
      <c r="I807">
        <f>IF($AB807="","",INDEX('Per Line'!$I$2:$I$4001,$AB807)&amp;"")</f>
        <v/>
      </c>
      <c r="J807">
        <f>IF($AB807="","",INDEX('Per Line'!$J$2:$J$4001,$AB807)&amp;"")</f>
        <v/>
      </c>
      <c r="K807">
        <f>IF($AB807="","",INDEX('Per Line'!$K$2:$K$4001,$AB807)&amp;"")</f>
        <v/>
      </c>
      <c r="L807">
        <f>IF($AB807="","",INDEX('Per Line'!$L$2:$L$4001,$AB807))</f>
        <v/>
      </c>
      <c r="M807" s="7">
        <f>IF($AB807="","",IF(AND(ISNUMBER(O807),O807&gt;0,Z807&gt;O807),L807*O807/100+(Z807-O807),L807*Z807/100))</f>
        <v/>
      </c>
      <c r="N807">
        <f>IF($AB807="","",INDEX('Per Line'!$V$2:$V$4001,$AB807)&amp;"")</f>
        <v/>
      </c>
      <c r="O807">
        <f>IF($AB807="","",INDEX('Per Line'!$Z$2:$Z$4001,$AB807))</f>
        <v/>
      </c>
      <c r="P807">
        <f>IF($AB807="","",IF(AND(ISNUMBER(O807),O807&gt;0),Z807&gt;O807,FALSE))</f>
        <v/>
      </c>
      <c r="Q807" s="7">
        <f>IF($AB807="","",SUMIFS('Per Line'!$U$2:$U$4001,'Per Line'!$C$2:$C$4001,$B807,'Per Line'!$AM$2:$AM$4001,1))</f>
        <v/>
      </c>
      <c r="R807">
        <f>IF($AB807="","",Settings!$C$7)</f>
        <v/>
      </c>
      <c r="S807" s="7">
        <f>IF($AB807="","",SUMIFS('Per Line'!$U$2:$U$4001,'Per Line'!$C$2:$C$4001,$B807,'Per Line'!$AL$2:$AL$4001,0,'Per Line'!$AM$2:$AM$4001,0))</f>
        <v/>
      </c>
      <c r="T807" s="7">
        <f>IF($AB807="","",S807*R807)</f>
        <v/>
      </c>
      <c r="U807">
        <f>IF($AB807="","",Settings!$C$6)</f>
        <v/>
      </c>
      <c r="V807" s="7">
        <f>IF($AB807="","",SUMIFS('Per Line'!$U$2:$U$4001,'Per Line'!$C$2:$C$4001,$B807,'Per Line'!$AL$2:$AL$4001,1,'Per Line'!$AM$2:$AM$4001,0))</f>
        <v/>
      </c>
      <c r="W807" s="7">
        <f>IF($AB807="","",V807*U807)</f>
        <v/>
      </c>
      <c r="X807" s="7">
        <f>IF($AB807="","",W807+T807)</f>
        <v/>
      </c>
      <c r="Y807" s="7">
        <f>IF($AB807="","",Z807-X807)</f>
        <v/>
      </c>
      <c r="Z807" s="7">
        <f>IF($AB807="","",S807+V807+Q807)</f>
        <v/>
      </c>
      <c r="AA807" s="7">
        <f>IF($AB807="","",Z807-X807-M807)</f>
        <v/>
      </c>
      <c r="AB807" s="13">
        <f>IF(ROWS($AB$2:$AB807)&lt;=MAX('Per Line'!$AK$2:$AK$4001),MATCH(ROWS($AB$2:$AB807),'Per Line'!$AK$2:$AK$4001,0),"")</f>
        <v/>
      </c>
      <c r="AC807" s="14">
        <f>IF($AB807="","",M807-L807*Z807/100)</f>
        <v/>
      </c>
    </row>
    <row r="808">
      <c r="A808" s="12" t="n"/>
      <c r="B808">
        <f>IF($AB808="","",INDEX('Per Line'!$C$2:$C$4001,$AB808)&amp;"")</f>
        <v/>
      </c>
      <c r="C808">
        <f>IF($AB808="","",INDEX('Per Line'!$D$2:$D$4001,$AB808)&amp;"")</f>
        <v/>
      </c>
      <c r="D808">
        <f>IF($AB808="","",INDEX('Per Line'!$B$2:$B$4001,$AB808)&amp;"")</f>
        <v/>
      </c>
      <c r="E808">
        <f>IF($AB808="","",INDEX('Per Line'!$A$2:$A$4001,$AB808))</f>
        <v/>
      </c>
      <c r="F808" s="11">
        <f>IF($AB808="","",INDEX('Per Line'!$E$2:$E$4001,$AB808))</f>
        <v/>
      </c>
      <c r="G808">
        <f>IF($AB808="","",INDEX('Per Line'!$F$2:$F$4001,$AB808)&amp;"")</f>
        <v/>
      </c>
      <c r="H808">
        <f>IF($AB808="","",INDEX('Per Line'!$H$2:$H$4001,$AB808)&amp;"")</f>
        <v/>
      </c>
      <c r="I808">
        <f>IF($AB808="","",INDEX('Per Line'!$I$2:$I$4001,$AB808)&amp;"")</f>
        <v/>
      </c>
      <c r="J808">
        <f>IF($AB808="","",INDEX('Per Line'!$J$2:$J$4001,$AB808)&amp;"")</f>
        <v/>
      </c>
      <c r="K808">
        <f>IF($AB808="","",INDEX('Per Line'!$K$2:$K$4001,$AB808)&amp;"")</f>
        <v/>
      </c>
      <c r="L808">
        <f>IF($AB808="","",INDEX('Per Line'!$L$2:$L$4001,$AB808))</f>
        <v/>
      </c>
      <c r="M808" s="7">
        <f>IF($AB808="","",IF(AND(ISNUMBER(O808),O808&gt;0,Z808&gt;O808),L808*O808/100+(Z808-O808),L808*Z808/100))</f>
        <v/>
      </c>
      <c r="N808">
        <f>IF($AB808="","",INDEX('Per Line'!$V$2:$V$4001,$AB808)&amp;"")</f>
        <v/>
      </c>
      <c r="O808">
        <f>IF($AB808="","",INDEX('Per Line'!$Z$2:$Z$4001,$AB808))</f>
        <v/>
      </c>
      <c r="P808">
        <f>IF($AB808="","",IF(AND(ISNUMBER(O808),O808&gt;0),Z808&gt;O808,FALSE))</f>
        <v/>
      </c>
      <c r="Q808" s="7">
        <f>IF($AB808="","",SUMIFS('Per Line'!$U$2:$U$4001,'Per Line'!$C$2:$C$4001,$B808,'Per Line'!$AM$2:$AM$4001,1))</f>
        <v/>
      </c>
      <c r="R808">
        <f>IF($AB808="","",Settings!$C$7)</f>
        <v/>
      </c>
      <c r="S808" s="7">
        <f>IF($AB808="","",SUMIFS('Per Line'!$U$2:$U$4001,'Per Line'!$C$2:$C$4001,$B808,'Per Line'!$AL$2:$AL$4001,0,'Per Line'!$AM$2:$AM$4001,0))</f>
        <v/>
      </c>
      <c r="T808" s="7">
        <f>IF($AB808="","",S808*R808)</f>
        <v/>
      </c>
      <c r="U808">
        <f>IF($AB808="","",Settings!$C$6)</f>
        <v/>
      </c>
      <c r="V808" s="7">
        <f>IF($AB808="","",SUMIFS('Per Line'!$U$2:$U$4001,'Per Line'!$C$2:$C$4001,$B808,'Per Line'!$AL$2:$AL$4001,1,'Per Line'!$AM$2:$AM$4001,0))</f>
        <v/>
      </c>
      <c r="W808" s="7">
        <f>IF($AB808="","",V808*U808)</f>
        <v/>
      </c>
      <c r="X808" s="7">
        <f>IF($AB808="","",W808+T808)</f>
        <v/>
      </c>
      <c r="Y808" s="7">
        <f>IF($AB808="","",Z808-X808)</f>
        <v/>
      </c>
      <c r="Z808" s="7">
        <f>IF($AB808="","",S808+V808+Q808)</f>
        <v/>
      </c>
      <c r="AA808" s="7">
        <f>IF($AB808="","",Z808-X808-M808)</f>
        <v/>
      </c>
      <c r="AB808" s="13">
        <f>IF(ROWS($AB$2:$AB808)&lt;=MAX('Per Line'!$AK$2:$AK$4001),MATCH(ROWS($AB$2:$AB808),'Per Line'!$AK$2:$AK$4001,0),"")</f>
        <v/>
      </c>
      <c r="AC808" s="14">
        <f>IF($AB808="","",M808-L808*Z808/100)</f>
        <v/>
      </c>
    </row>
    <row r="809">
      <c r="A809" s="12" t="n"/>
      <c r="B809">
        <f>IF($AB809="","",INDEX('Per Line'!$C$2:$C$4001,$AB809)&amp;"")</f>
        <v/>
      </c>
      <c r="C809">
        <f>IF($AB809="","",INDEX('Per Line'!$D$2:$D$4001,$AB809)&amp;"")</f>
        <v/>
      </c>
      <c r="D809">
        <f>IF($AB809="","",INDEX('Per Line'!$B$2:$B$4001,$AB809)&amp;"")</f>
        <v/>
      </c>
      <c r="E809">
        <f>IF($AB809="","",INDEX('Per Line'!$A$2:$A$4001,$AB809))</f>
        <v/>
      </c>
      <c r="F809" s="11">
        <f>IF($AB809="","",INDEX('Per Line'!$E$2:$E$4001,$AB809))</f>
        <v/>
      </c>
      <c r="G809">
        <f>IF($AB809="","",INDEX('Per Line'!$F$2:$F$4001,$AB809)&amp;"")</f>
        <v/>
      </c>
      <c r="H809">
        <f>IF($AB809="","",INDEX('Per Line'!$H$2:$H$4001,$AB809)&amp;"")</f>
        <v/>
      </c>
      <c r="I809">
        <f>IF($AB809="","",INDEX('Per Line'!$I$2:$I$4001,$AB809)&amp;"")</f>
        <v/>
      </c>
      <c r="J809">
        <f>IF($AB809="","",INDEX('Per Line'!$J$2:$J$4001,$AB809)&amp;"")</f>
        <v/>
      </c>
      <c r="K809">
        <f>IF($AB809="","",INDEX('Per Line'!$K$2:$K$4001,$AB809)&amp;"")</f>
        <v/>
      </c>
      <c r="L809">
        <f>IF($AB809="","",INDEX('Per Line'!$L$2:$L$4001,$AB809))</f>
        <v/>
      </c>
      <c r="M809" s="7">
        <f>IF($AB809="","",IF(AND(ISNUMBER(O809),O809&gt;0,Z809&gt;O809),L809*O809/100+(Z809-O809),L809*Z809/100))</f>
        <v/>
      </c>
      <c r="N809">
        <f>IF($AB809="","",INDEX('Per Line'!$V$2:$V$4001,$AB809)&amp;"")</f>
        <v/>
      </c>
      <c r="O809">
        <f>IF($AB809="","",INDEX('Per Line'!$Z$2:$Z$4001,$AB809))</f>
        <v/>
      </c>
      <c r="P809">
        <f>IF($AB809="","",IF(AND(ISNUMBER(O809),O809&gt;0),Z809&gt;O809,FALSE))</f>
        <v/>
      </c>
      <c r="Q809" s="7">
        <f>IF($AB809="","",SUMIFS('Per Line'!$U$2:$U$4001,'Per Line'!$C$2:$C$4001,$B809,'Per Line'!$AM$2:$AM$4001,1))</f>
        <v/>
      </c>
      <c r="R809">
        <f>IF($AB809="","",Settings!$C$7)</f>
        <v/>
      </c>
      <c r="S809" s="7">
        <f>IF($AB809="","",SUMIFS('Per Line'!$U$2:$U$4001,'Per Line'!$C$2:$C$4001,$B809,'Per Line'!$AL$2:$AL$4001,0,'Per Line'!$AM$2:$AM$4001,0))</f>
        <v/>
      </c>
      <c r="T809" s="7">
        <f>IF($AB809="","",S809*R809)</f>
        <v/>
      </c>
      <c r="U809">
        <f>IF($AB809="","",Settings!$C$6)</f>
        <v/>
      </c>
      <c r="V809" s="7">
        <f>IF($AB809="","",SUMIFS('Per Line'!$U$2:$U$4001,'Per Line'!$C$2:$C$4001,$B809,'Per Line'!$AL$2:$AL$4001,1,'Per Line'!$AM$2:$AM$4001,0))</f>
        <v/>
      </c>
      <c r="W809" s="7">
        <f>IF($AB809="","",V809*U809)</f>
        <v/>
      </c>
      <c r="X809" s="7">
        <f>IF($AB809="","",W809+T809)</f>
        <v/>
      </c>
      <c r="Y809" s="7">
        <f>IF($AB809="","",Z809-X809)</f>
        <v/>
      </c>
      <c r="Z809" s="7">
        <f>IF($AB809="","",S809+V809+Q809)</f>
        <v/>
      </c>
      <c r="AA809" s="7">
        <f>IF($AB809="","",Z809-X809-M809)</f>
        <v/>
      </c>
      <c r="AB809" s="13">
        <f>IF(ROWS($AB$2:$AB809)&lt;=MAX('Per Line'!$AK$2:$AK$4001),MATCH(ROWS($AB$2:$AB809),'Per Line'!$AK$2:$AK$4001,0),"")</f>
        <v/>
      </c>
      <c r="AC809" s="14">
        <f>IF($AB809="","",M809-L809*Z809/100)</f>
        <v/>
      </c>
    </row>
    <row r="810">
      <c r="A810" s="12" t="n"/>
      <c r="B810">
        <f>IF($AB810="","",INDEX('Per Line'!$C$2:$C$4001,$AB810)&amp;"")</f>
        <v/>
      </c>
      <c r="C810">
        <f>IF($AB810="","",INDEX('Per Line'!$D$2:$D$4001,$AB810)&amp;"")</f>
        <v/>
      </c>
      <c r="D810">
        <f>IF($AB810="","",INDEX('Per Line'!$B$2:$B$4001,$AB810)&amp;"")</f>
        <v/>
      </c>
      <c r="E810">
        <f>IF($AB810="","",INDEX('Per Line'!$A$2:$A$4001,$AB810))</f>
        <v/>
      </c>
      <c r="F810" s="11">
        <f>IF($AB810="","",INDEX('Per Line'!$E$2:$E$4001,$AB810))</f>
        <v/>
      </c>
      <c r="G810">
        <f>IF($AB810="","",INDEX('Per Line'!$F$2:$F$4001,$AB810)&amp;"")</f>
        <v/>
      </c>
      <c r="H810">
        <f>IF($AB810="","",INDEX('Per Line'!$H$2:$H$4001,$AB810)&amp;"")</f>
        <v/>
      </c>
      <c r="I810">
        <f>IF($AB810="","",INDEX('Per Line'!$I$2:$I$4001,$AB810)&amp;"")</f>
        <v/>
      </c>
      <c r="J810">
        <f>IF($AB810="","",INDEX('Per Line'!$J$2:$J$4001,$AB810)&amp;"")</f>
        <v/>
      </c>
      <c r="K810">
        <f>IF($AB810="","",INDEX('Per Line'!$K$2:$K$4001,$AB810)&amp;"")</f>
        <v/>
      </c>
      <c r="L810">
        <f>IF($AB810="","",INDEX('Per Line'!$L$2:$L$4001,$AB810))</f>
        <v/>
      </c>
      <c r="M810" s="7">
        <f>IF($AB810="","",IF(AND(ISNUMBER(O810),O810&gt;0,Z810&gt;O810),L810*O810/100+(Z810-O810),L810*Z810/100))</f>
        <v/>
      </c>
      <c r="N810">
        <f>IF($AB810="","",INDEX('Per Line'!$V$2:$V$4001,$AB810)&amp;"")</f>
        <v/>
      </c>
      <c r="O810">
        <f>IF($AB810="","",INDEX('Per Line'!$Z$2:$Z$4001,$AB810))</f>
        <v/>
      </c>
      <c r="P810">
        <f>IF($AB810="","",IF(AND(ISNUMBER(O810),O810&gt;0),Z810&gt;O810,FALSE))</f>
        <v/>
      </c>
      <c r="Q810" s="7">
        <f>IF($AB810="","",SUMIFS('Per Line'!$U$2:$U$4001,'Per Line'!$C$2:$C$4001,$B810,'Per Line'!$AM$2:$AM$4001,1))</f>
        <v/>
      </c>
      <c r="R810">
        <f>IF($AB810="","",Settings!$C$7)</f>
        <v/>
      </c>
      <c r="S810" s="7">
        <f>IF($AB810="","",SUMIFS('Per Line'!$U$2:$U$4001,'Per Line'!$C$2:$C$4001,$B810,'Per Line'!$AL$2:$AL$4001,0,'Per Line'!$AM$2:$AM$4001,0))</f>
        <v/>
      </c>
      <c r="T810" s="7">
        <f>IF($AB810="","",S810*R810)</f>
        <v/>
      </c>
      <c r="U810">
        <f>IF($AB810="","",Settings!$C$6)</f>
        <v/>
      </c>
      <c r="V810" s="7">
        <f>IF($AB810="","",SUMIFS('Per Line'!$U$2:$U$4001,'Per Line'!$C$2:$C$4001,$B810,'Per Line'!$AL$2:$AL$4001,1,'Per Line'!$AM$2:$AM$4001,0))</f>
        <v/>
      </c>
      <c r="W810" s="7">
        <f>IF($AB810="","",V810*U810)</f>
        <v/>
      </c>
      <c r="X810" s="7">
        <f>IF($AB810="","",W810+T810)</f>
        <v/>
      </c>
      <c r="Y810" s="7">
        <f>IF($AB810="","",Z810-X810)</f>
        <v/>
      </c>
      <c r="Z810" s="7">
        <f>IF($AB810="","",S810+V810+Q810)</f>
        <v/>
      </c>
      <c r="AA810" s="7">
        <f>IF($AB810="","",Z810-X810-M810)</f>
        <v/>
      </c>
      <c r="AB810" s="13">
        <f>IF(ROWS($AB$2:$AB810)&lt;=MAX('Per Line'!$AK$2:$AK$4001),MATCH(ROWS($AB$2:$AB810),'Per Line'!$AK$2:$AK$4001,0),"")</f>
        <v/>
      </c>
      <c r="AC810" s="14">
        <f>IF($AB810="","",M810-L810*Z810/100)</f>
        <v/>
      </c>
    </row>
    <row r="811">
      <c r="A811" s="12" t="n"/>
      <c r="B811">
        <f>IF($AB811="","",INDEX('Per Line'!$C$2:$C$4001,$AB811)&amp;"")</f>
        <v/>
      </c>
      <c r="C811">
        <f>IF($AB811="","",INDEX('Per Line'!$D$2:$D$4001,$AB811)&amp;"")</f>
        <v/>
      </c>
      <c r="D811">
        <f>IF($AB811="","",INDEX('Per Line'!$B$2:$B$4001,$AB811)&amp;"")</f>
        <v/>
      </c>
      <c r="E811">
        <f>IF($AB811="","",INDEX('Per Line'!$A$2:$A$4001,$AB811))</f>
        <v/>
      </c>
      <c r="F811" s="11">
        <f>IF($AB811="","",INDEX('Per Line'!$E$2:$E$4001,$AB811))</f>
        <v/>
      </c>
      <c r="G811">
        <f>IF($AB811="","",INDEX('Per Line'!$F$2:$F$4001,$AB811)&amp;"")</f>
        <v/>
      </c>
      <c r="H811">
        <f>IF($AB811="","",INDEX('Per Line'!$H$2:$H$4001,$AB811)&amp;"")</f>
        <v/>
      </c>
      <c r="I811">
        <f>IF($AB811="","",INDEX('Per Line'!$I$2:$I$4001,$AB811)&amp;"")</f>
        <v/>
      </c>
      <c r="J811">
        <f>IF($AB811="","",INDEX('Per Line'!$J$2:$J$4001,$AB811)&amp;"")</f>
        <v/>
      </c>
      <c r="K811">
        <f>IF($AB811="","",INDEX('Per Line'!$K$2:$K$4001,$AB811)&amp;"")</f>
        <v/>
      </c>
      <c r="L811">
        <f>IF($AB811="","",INDEX('Per Line'!$L$2:$L$4001,$AB811))</f>
        <v/>
      </c>
      <c r="M811" s="7">
        <f>IF($AB811="","",IF(AND(ISNUMBER(O811),O811&gt;0,Z811&gt;O811),L811*O811/100+(Z811-O811),L811*Z811/100))</f>
        <v/>
      </c>
      <c r="N811">
        <f>IF($AB811="","",INDEX('Per Line'!$V$2:$V$4001,$AB811)&amp;"")</f>
        <v/>
      </c>
      <c r="O811">
        <f>IF($AB811="","",INDEX('Per Line'!$Z$2:$Z$4001,$AB811))</f>
        <v/>
      </c>
      <c r="P811">
        <f>IF($AB811="","",IF(AND(ISNUMBER(O811),O811&gt;0),Z811&gt;O811,FALSE))</f>
        <v/>
      </c>
      <c r="Q811" s="7">
        <f>IF($AB811="","",SUMIFS('Per Line'!$U$2:$U$4001,'Per Line'!$C$2:$C$4001,$B811,'Per Line'!$AM$2:$AM$4001,1))</f>
        <v/>
      </c>
      <c r="R811">
        <f>IF($AB811="","",Settings!$C$7)</f>
        <v/>
      </c>
      <c r="S811" s="7">
        <f>IF($AB811="","",SUMIFS('Per Line'!$U$2:$U$4001,'Per Line'!$C$2:$C$4001,$B811,'Per Line'!$AL$2:$AL$4001,0,'Per Line'!$AM$2:$AM$4001,0))</f>
        <v/>
      </c>
      <c r="T811" s="7">
        <f>IF($AB811="","",S811*R811)</f>
        <v/>
      </c>
      <c r="U811">
        <f>IF($AB811="","",Settings!$C$6)</f>
        <v/>
      </c>
      <c r="V811" s="7">
        <f>IF($AB811="","",SUMIFS('Per Line'!$U$2:$U$4001,'Per Line'!$C$2:$C$4001,$B811,'Per Line'!$AL$2:$AL$4001,1,'Per Line'!$AM$2:$AM$4001,0))</f>
        <v/>
      </c>
      <c r="W811" s="7">
        <f>IF($AB811="","",V811*U811)</f>
        <v/>
      </c>
      <c r="X811" s="7">
        <f>IF($AB811="","",W811+T811)</f>
        <v/>
      </c>
      <c r="Y811" s="7">
        <f>IF($AB811="","",Z811-X811)</f>
        <v/>
      </c>
      <c r="Z811" s="7">
        <f>IF($AB811="","",S811+V811+Q811)</f>
        <v/>
      </c>
      <c r="AA811" s="7">
        <f>IF($AB811="","",Z811-X811-M811)</f>
        <v/>
      </c>
      <c r="AB811" s="13">
        <f>IF(ROWS($AB$2:$AB811)&lt;=MAX('Per Line'!$AK$2:$AK$4001),MATCH(ROWS($AB$2:$AB811),'Per Line'!$AK$2:$AK$4001,0),"")</f>
        <v/>
      </c>
      <c r="AC811" s="14">
        <f>IF($AB811="","",M811-L811*Z811/100)</f>
        <v/>
      </c>
    </row>
    <row r="812">
      <c r="A812" s="12" t="n"/>
      <c r="B812">
        <f>IF($AB812="","",INDEX('Per Line'!$C$2:$C$4001,$AB812)&amp;"")</f>
        <v/>
      </c>
      <c r="C812">
        <f>IF($AB812="","",INDEX('Per Line'!$D$2:$D$4001,$AB812)&amp;"")</f>
        <v/>
      </c>
      <c r="D812">
        <f>IF($AB812="","",INDEX('Per Line'!$B$2:$B$4001,$AB812)&amp;"")</f>
        <v/>
      </c>
      <c r="E812">
        <f>IF($AB812="","",INDEX('Per Line'!$A$2:$A$4001,$AB812))</f>
        <v/>
      </c>
      <c r="F812" s="11">
        <f>IF($AB812="","",INDEX('Per Line'!$E$2:$E$4001,$AB812))</f>
        <v/>
      </c>
      <c r="G812">
        <f>IF($AB812="","",INDEX('Per Line'!$F$2:$F$4001,$AB812)&amp;"")</f>
        <v/>
      </c>
      <c r="H812">
        <f>IF($AB812="","",INDEX('Per Line'!$H$2:$H$4001,$AB812)&amp;"")</f>
        <v/>
      </c>
      <c r="I812">
        <f>IF($AB812="","",INDEX('Per Line'!$I$2:$I$4001,$AB812)&amp;"")</f>
        <v/>
      </c>
      <c r="J812">
        <f>IF($AB812="","",INDEX('Per Line'!$J$2:$J$4001,$AB812)&amp;"")</f>
        <v/>
      </c>
      <c r="K812">
        <f>IF($AB812="","",INDEX('Per Line'!$K$2:$K$4001,$AB812)&amp;"")</f>
        <v/>
      </c>
      <c r="L812">
        <f>IF($AB812="","",INDEX('Per Line'!$L$2:$L$4001,$AB812))</f>
        <v/>
      </c>
      <c r="M812" s="7">
        <f>IF($AB812="","",IF(AND(ISNUMBER(O812),O812&gt;0,Z812&gt;O812),L812*O812/100+(Z812-O812),L812*Z812/100))</f>
        <v/>
      </c>
      <c r="N812">
        <f>IF($AB812="","",INDEX('Per Line'!$V$2:$V$4001,$AB812)&amp;"")</f>
        <v/>
      </c>
      <c r="O812">
        <f>IF($AB812="","",INDEX('Per Line'!$Z$2:$Z$4001,$AB812))</f>
        <v/>
      </c>
      <c r="P812">
        <f>IF($AB812="","",IF(AND(ISNUMBER(O812),O812&gt;0),Z812&gt;O812,FALSE))</f>
        <v/>
      </c>
      <c r="Q812" s="7">
        <f>IF($AB812="","",SUMIFS('Per Line'!$U$2:$U$4001,'Per Line'!$C$2:$C$4001,$B812,'Per Line'!$AM$2:$AM$4001,1))</f>
        <v/>
      </c>
      <c r="R812">
        <f>IF($AB812="","",Settings!$C$7)</f>
        <v/>
      </c>
      <c r="S812" s="7">
        <f>IF($AB812="","",SUMIFS('Per Line'!$U$2:$U$4001,'Per Line'!$C$2:$C$4001,$B812,'Per Line'!$AL$2:$AL$4001,0,'Per Line'!$AM$2:$AM$4001,0))</f>
        <v/>
      </c>
      <c r="T812" s="7">
        <f>IF($AB812="","",S812*R812)</f>
        <v/>
      </c>
      <c r="U812">
        <f>IF($AB812="","",Settings!$C$6)</f>
        <v/>
      </c>
      <c r="V812" s="7">
        <f>IF($AB812="","",SUMIFS('Per Line'!$U$2:$U$4001,'Per Line'!$C$2:$C$4001,$B812,'Per Line'!$AL$2:$AL$4001,1,'Per Line'!$AM$2:$AM$4001,0))</f>
        <v/>
      </c>
      <c r="W812" s="7">
        <f>IF($AB812="","",V812*U812)</f>
        <v/>
      </c>
      <c r="X812" s="7">
        <f>IF($AB812="","",W812+T812)</f>
        <v/>
      </c>
      <c r="Y812" s="7">
        <f>IF($AB812="","",Z812-X812)</f>
        <v/>
      </c>
      <c r="Z812" s="7">
        <f>IF($AB812="","",S812+V812+Q812)</f>
        <v/>
      </c>
      <c r="AA812" s="7">
        <f>IF($AB812="","",Z812-X812-M812)</f>
        <v/>
      </c>
      <c r="AB812" s="13">
        <f>IF(ROWS($AB$2:$AB812)&lt;=MAX('Per Line'!$AK$2:$AK$4001),MATCH(ROWS($AB$2:$AB812),'Per Line'!$AK$2:$AK$4001,0),"")</f>
        <v/>
      </c>
      <c r="AC812" s="14">
        <f>IF($AB812="","",M812-L812*Z812/100)</f>
        <v/>
      </c>
    </row>
    <row r="813">
      <c r="A813" s="12" t="n"/>
      <c r="B813">
        <f>IF($AB813="","",INDEX('Per Line'!$C$2:$C$4001,$AB813)&amp;"")</f>
        <v/>
      </c>
      <c r="C813">
        <f>IF($AB813="","",INDEX('Per Line'!$D$2:$D$4001,$AB813)&amp;"")</f>
        <v/>
      </c>
      <c r="D813">
        <f>IF($AB813="","",INDEX('Per Line'!$B$2:$B$4001,$AB813)&amp;"")</f>
        <v/>
      </c>
      <c r="E813">
        <f>IF($AB813="","",INDEX('Per Line'!$A$2:$A$4001,$AB813))</f>
        <v/>
      </c>
      <c r="F813" s="11">
        <f>IF($AB813="","",INDEX('Per Line'!$E$2:$E$4001,$AB813))</f>
        <v/>
      </c>
      <c r="G813">
        <f>IF($AB813="","",INDEX('Per Line'!$F$2:$F$4001,$AB813)&amp;"")</f>
        <v/>
      </c>
      <c r="H813">
        <f>IF($AB813="","",INDEX('Per Line'!$H$2:$H$4001,$AB813)&amp;"")</f>
        <v/>
      </c>
      <c r="I813">
        <f>IF($AB813="","",INDEX('Per Line'!$I$2:$I$4001,$AB813)&amp;"")</f>
        <v/>
      </c>
      <c r="J813">
        <f>IF($AB813="","",INDEX('Per Line'!$J$2:$J$4001,$AB813)&amp;"")</f>
        <v/>
      </c>
      <c r="K813">
        <f>IF($AB813="","",INDEX('Per Line'!$K$2:$K$4001,$AB813)&amp;"")</f>
        <v/>
      </c>
      <c r="L813">
        <f>IF($AB813="","",INDEX('Per Line'!$L$2:$L$4001,$AB813))</f>
        <v/>
      </c>
      <c r="M813" s="7">
        <f>IF($AB813="","",IF(AND(ISNUMBER(O813),O813&gt;0,Z813&gt;O813),L813*O813/100+(Z813-O813),L813*Z813/100))</f>
        <v/>
      </c>
      <c r="N813">
        <f>IF($AB813="","",INDEX('Per Line'!$V$2:$V$4001,$AB813)&amp;"")</f>
        <v/>
      </c>
      <c r="O813">
        <f>IF($AB813="","",INDEX('Per Line'!$Z$2:$Z$4001,$AB813))</f>
        <v/>
      </c>
      <c r="P813">
        <f>IF($AB813="","",IF(AND(ISNUMBER(O813),O813&gt;0),Z813&gt;O813,FALSE))</f>
        <v/>
      </c>
      <c r="Q813" s="7">
        <f>IF($AB813="","",SUMIFS('Per Line'!$U$2:$U$4001,'Per Line'!$C$2:$C$4001,$B813,'Per Line'!$AM$2:$AM$4001,1))</f>
        <v/>
      </c>
      <c r="R813">
        <f>IF($AB813="","",Settings!$C$7)</f>
        <v/>
      </c>
      <c r="S813" s="7">
        <f>IF($AB813="","",SUMIFS('Per Line'!$U$2:$U$4001,'Per Line'!$C$2:$C$4001,$B813,'Per Line'!$AL$2:$AL$4001,0,'Per Line'!$AM$2:$AM$4001,0))</f>
        <v/>
      </c>
      <c r="T813" s="7">
        <f>IF($AB813="","",S813*R813)</f>
        <v/>
      </c>
      <c r="U813">
        <f>IF($AB813="","",Settings!$C$6)</f>
        <v/>
      </c>
      <c r="V813" s="7">
        <f>IF($AB813="","",SUMIFS('Per Line'!$U$2:$U$4001,'Per Line'!$C$2:$C$4001,$B813,'Per Line'!$AL$2:$AL$4001,1,'Per Line'!$AM$2:$AM$4001,0))</f>
        <v/>
      </c>
      <c r="W813" s="7">
        <f>IF($AB813="","",V813*U813)</f>
        <v/>
      </c>
      <c r="X813" s="7">
        <f>IF($AB813="","",W813+T813)</f>
        <v/>
      </c>
      <c r="Y813" s="7">
        <f>IF($AB813="","",Z813-X813)</f>
        <v/>
      </c>
      <c r="Z813" s="7">
        <f>IF($AB813="","",S813+V813+Q813)</f>
        <v/>
      </c>
      <c r="AA813" s="7">
        <f>IF($AB813="","",Z813-X813-M813)</f>
        <v/>
      </c>
      <c r="AB813" s="13">
        <f>IF(ROWS($AB$2:$AB813)&lt;=MAX('Per Line'!$AK$2:$AK$4001),MATCH(ROWS($AB$2:$AB813),'Per Line'!$AK$2:$AK$4001,0),"")</f>
        <v/>
      </c>
      <c r="AC813" s="14">
        <f>IF($AB813="","",M813-L813*Z813/100)</f>
        <v/>
      </c>
    </row>
    <row r="814">
      <c r="A814" s="12" t="n"/>
      <c r="B814">
        <f>IF($AB814="","",INDEX('Per Line'!$C$2:$C$4001,$AB814)&amp;"")</f>
        <v/>
      </c>
      <c r="C814">
        <f>IF($AB814="","",INDEX('Per Line'!$D$2:$D$4001,$AB814)&amp;"")</f>
        <v/>
      </c>
      <c r="D814">
        <f>IF($AB814="","",INDEX('Per Line'!$B$2:$B$4001,$AB814)&amp;"")</f>
        <v/>
      </c>
      <c r="E814">
        <f>IF($AB814="","",INDEX('Per Line'!$A$2:$A$4001,$AB814))</f>
        <v/>
      </c>
      <c r="F814" s="11">
        <f>IF($AB814="","",INDEX('Per Line'!$E$2:$E$4001,$AB814))</f>
        <v/>
      </c>
      <c r="G814">
        <f>IF($AB814="","",INDEX('Per Line'!$F$2:$F$4001,$AB814)&amp;"")</f>
        <v/>
      </c>
      <c r="H814">
        <f>IF($AB814="","",INDEX('Per Line'!$H$2:$H$4001,$AB814)&amp;"")</f>
        <v/>
      </c>
      <c r="I814">
        <f>IF($AB814="","",INDEX('Per Line'!$I$2:$I$4001,$AB814)&amp;"")</f>
        <v/>
      </c>
      <c r="J814">
        <f>IF($AB814="","",INDEX('Per Line'!$J$2:$J$4001,$AB814)&amp;"")</f>
        <v/>
      </c>
      <c r="K814">
        <f>IF($AB814="","",INDEX('Per Line'!$K$2:$K$4001,$AB814)&amp;"")</f>
        <v/>
      </c>
      <c r="L814">
        <f>IF($AB814="","",INDEX('Per Line'!$L$2:$L$4001,$AB814))</f>
        <v/>
      </c>
      <c r="M814" s="7">
        <f>IF($AB814="","",IF(AND(ISNUMBER(O814),O814&gt;0,Z814&gt;O814),L814*O814/100+(Z814-O814),L814*Z814/100))</f>
        <v/>
      </c>
      <c r="N814">
        <f>IF($AB814="","",INDEX('Per Line'!$V$2:$V$4001,$AB814)&amp;"")</f>
        <v/>
      </c>
      <c r="O814">
        <f>IF($AB814="","",INDEX('Per Line'!$Z$2:$Z$4001,$AB814))</f>
        <v/>
      </c>
      <c r="P814">
        <f>IF($AB814="","",IF(AND(ISNUMBER(O814),O814&gt;0),Z814&gt;O814,FALSE))</f>
        <v/>
      </c>
      <c r="Q814" s="7">
        <f>IF($AB814="","",SUMIFS('Per Line'!$U$2:$U$4001,'Per Line'!$C$2:$C$4001,$B814,'Per Line'!$AM$2:$AM$4001,1))</f>
        <v/>
      </c>
      <c r="R814">
        <f>IF($AB814="","",Settings!$C$7)</f>
        <v/>
      </c>
      <c r="S814" s="7">
        <f>IF($AB814="","",SUMIFS('Per Line'!$U$2:$U$4001,'Per Line'!$C$2:$C$4001,$B814,'Per Line'!$AL$2:$AL$4001,0,'Per Line'!$AM$2:$AM$4001,0))</f>
        <v/>
      </c>
      <c r="T814" s="7">
        <f>IF($AB814="","",S814*R814)</f>
        <v/>
      </c>
      <c r="U814">
        <f>IF($AB814="","",Settings!$C$6)</f>
        <v/>
      </c>
      <c r="V814" s="7">
        <f>IF($AB814="","",SUMIFS('Per Line'!$U$2:$U$4001,'Per Line'!$C$2:$C$4001,$B814,'Per Line'!$AL$2:$AL$4001,1,'Per Line'!$AM$2:$AM$4001,0))</f>
        <v/>
      </c>
      <c r="W814" s="7">
        <f>IF($AB814="","",V814*U814)</f>
        <v/>
      </c>
      <c r="X814" s="7">
        <f>IF($AB814="","",W814+T814)</f>
        <v/>
      </c>
      <c r="Y814" s="7">
        <f>IF($AB814="","",Z814-X814)</f>
        <v/>
      </c>
      <c r="Z814" s="7">
        <f>IF($AB814="","",S814+V814+Q814)</f>
        <v/>
      </c>
      <c r="AA814" s="7">
        <f>IF($AB814="","",Z814-X814-M814)</f>
        <v/>
      </c>
      <c r="AB814" s="13">
        <f>IF(ROWS($AB$2:$AB814)&lt;=MAX('Per Line'!$AK$2:$AK$4001),MATCH(ROWS($AB$2:$AB814),'Per Line'!$AK$2:$AK$4001,0),"")</f>
        <v/>
      </c>
      <c r="AC814" s="14">
        <f>IF($AB814="","",M814-L814*Z814/100)</f>
        <v/>
      </c>
    </row>
    <row r="815">
      <c r="A815" s="12" t="n"/>
      <c r="B815">
        <f>IF($AB815="","",INDEX('Per Line'!$C$2:$C$4001,$AB815)&amp;"")</f>
        <v/>
      </c>
      <c r="C815">
        <f>IF($AB815="","",INDEX('Per Line'!$D$2:$D$4001,$AB815)&amp;"")</f>
        <v/>
      </c>
      <c r="D815">
        <f>IF($AB815="","",INDEX('Per Line'!$B$2:$B$4001,$AB815)&amp;"")</f>
        <v/>
      </c>
      <c r="E815">
        <f>IF($AB815="","",INDEX('Per Line'!$A$2:$A$4001,$AB815))</f>
        <v/>
      </c>
      <c r="F815" s="11">
        <f>IF($AB815="","",INDEX('Per Line'!$E$2:$E$4001,$AB815))</f>
        <v/>
      </c>
      <c r="G815">
        <f>IF($AB815="","",INDEX('Per Line'!$F$2:$F$4001,$AB815)&amp;"")</f>
        <v/>
      </c>
      <c r="H815">
        <f>IF($AB815="","",INDEX('Per Line'!$H$2:$H$4001,$AB815)&amp;"")</f>
        <v/>
      </c>
      <c r="I815">
        <f>IF($AB815="","",INDEX('Per Line'!$I$2:$I$4001,$AB815)&amp;"")</f>
        <v/>
      </c>
      <c r="J815">
        <f>IF($AB815="","",INDEX('Per Line'!$J$2:$J$4001,$AB815)&amp;"")</f>
        <v/>
      </c>
      <c r="K815">
        <f>IF($AB815="","",INDEX('Per Line'!$K$2:$K$4001,$AB815)&amp;"")</f>
        <v/>
      </c>
      <c r="L815">
        <f>IF($AB815="","",INDEX('Per Line'!$L$2:$L$4001,$AB815))</f>
        <v/>
      </c>
      <c r="M815" s="7">
        <f>IF($AB815="","",IF(AND(ISNUMBER(O815),O815&gt;0,Z815&gt;O815),L815*O815/100+(Z815-O815),L815*Z815/100))</f>
        <v/>
      </c>
      <c r="N815">
        <f>IF($AB815="","",INDEX('Per Line'!$V$2:$V$4001,$AB815)&amp;"")</f>
        <v/>
      </c>
      <c r="O815">
        <f>IF($AB815="","",INDEX('Per Line'!$Z$2:$Z$4001,$AB815))</f>
        <v/>
      </c>
      <c r="P815">
        <f>IF($AB815="","",IF(AND(ISNUMBER(O815),O815&gt;0),Z815&gt;O815,FALSE))</f>
        <v/>
      </c>
      <c r="Q815" s="7">
        <f>IF($AB815="","",SUMIFS('Per Line'!$U$2:$U$4001,'Per Line'!$C$2:$C$4001,$B815,'Per Line'!$AM$2:$AM$4001,1))</f>
        <v/>
      </c>
      <c r="R815">
        <f>IF($AB815="","",Settings!$C$7)</f>
        <v/>
      </c>
      <c r="S815" s="7">
        <f>IF($AB815="","",SUMIFS('Per Line'!$U$2:$U$4001,'Per Line'!$C$2:$C$4001,$B815,'Per Line'!$AL$2:$AL$4001,0,'Per Line'!$AM$2:$AM$4001,0))</f>
        <v/>
      </c>
      <c r="T815" s="7">
        <f>IF($AB815="","",S815*R815)</f>
        <v/>
      </c>
      <c r="U815">
        <f>IF($AB815="","",Settings!$C$6)</f>
        <v/>
      </c>
      <c r="V815" s="7">
        <f>IF($AB815="","",SUMIFS('Per Line'!$U$2:$U$4001,'Per Line'!$C$2:$C$4001,$B815,'Per Line'!$AL$2:$AL$4001,1,'Per Line'!$AM$2:$AM$4001,0))</f>
        <v/>
      </c>
      <c r="W815" s="7">
        <f>IF($AB815="","",V815*U815)</f>
        <v/>
      </c>
      <c r="X815" s="7">
        <f>IF($AB815="","",W815+T815)</f>
        <v/>
      </c>
      <c r="Y815" s="7">
        <f>IF($AB815="","",Z815-X815)</f>
        <v/>
      </c>
      <c r="Z815" s="7">
        <f>IF($AB815="","",S815+V815+Q815)</f>
        <v/>
      </c>
      <c r="AA815" s="7">
        <f>IF($AB815="","",Z815-X815-M815)</f>
        <v/>
      </c>
      <c r="AB815" s="13">
        <f>IF(ROWS($AB$2:$AB815)&lt;=MAX('Per Line'!$AK$2:$AK$4001),MATCH(ROWS($AB$2:$AB815),'Per Line'!$AK$2:$AK$4001,0),"")</f>
        <v/>
      </c>
      <c r="AC815" s="14">
        <f>IF($AB815="","",M815-L815*Z815/100)</f>
        <v/>
      </c>
    </row>
    <row r="816">
      <c r="A816" s="12" t="n"/>
      <c r="B816">
        <f>IF($AB816="","",INDEX('Per Line'!$C$2:$C$4001,$AB816)&amp;"")</f>
        <v/>
      </c>
      <c r="C816">
        <f>IF($AB816="","",INDEX('Per Line'!$D$2:$D$4001,$AB816)&amp;"")</f>
        <v/>
      </c>
      <c r="D816">
        <f>IF($AB816="","",INDEX('Per Line'!$B$2:$B$4001,$AB816)&amp;"")</f>
        <v/>
      </c>
      <c r="E816">
        <f>IF($AB816="","",INDEX('Per Line'!$A$2:$A$4001,$AB816))</f>
        <v/>
      </c>
      <c r="F816" s="11">
        <f>IF($AB816="","",INDEX('Per Line'!$E$2:$E$4001,$AB816))</f>
        <v/>
      </c>
      <c r="G816">
        <f>IF($AB816="","",INDEX('Per Line'!$F$2:$F$4001,$AB816)&amp;"")</f>
        <v/>
      </c>
      <c r="H816">
        <f>IF($AB816="","",INDEX('Per Line'!$H$2:$H$4001,$AB816)&amp;"")</f>
        <v/>
      </c>
      <c r="I816">
        <f>IF($AB816="","",INDEX('Per Line'!$I$2:$I$4001,$AB816)&amp;"")</f>
        <v/>
      </c>
      <c r="J816">
        <f>IF($AB816="","",INDEX('Per Line'!$J$2:$J$4001,$AB816)&amp;"")</f>
        <v/>
      </c>
      <c r="K816">
        <f>IF($AB816="","",INDEX('Per Line'!$K$2:$K$4001,$AB816)&amp;"")</f>
        <v/>
      </c>
      <c r="L816">
        <f>IF($AB816="","",INDEX('Per Line'!$L$2:$L$4001,$AB816))</f>
        <v/>
      </c>
      <c r="M816" s="7">
        <f>IF($AB816="","",IF(AND(ISNUMBER(O816),O816&gt;0,Z816&gt;O816),L816*O816/100+(Z816-O816),L816*Z816/100))</f>
        <v/>
      </c>
      <c r="N816">
        <f>IF($AB816="","",INDEX('Per Line'!$V$2:$V$4001,$AB816)&amp;"")</f>
        <v/>
      </c>
      <c r="O816">
        <f>IF($AB816="","",INDEX('Per Line'!$Z$2:$Z$4001,$AB816))</f>
        <v/>
      </c>
      <c r="P816">
        <f>IF($AB816="","",IF(AND(ISNUMBER(O816),O816&gt;0),Z816&gt;O816,FALSE))</f>
        <v/>
      </c>
      <c r="Q816" s="7">
        <f>IF($AB816="","",SUMIFS('Per Line'!$U$2:$U$4001,'Per Line'!$C$2:$C$4001,$B816,'Per Line'!$AM$2:$AM$4001,1))</f>
        <v/>
      </c>
      <c r="R816">
        <f>IF($AB816="","",Settings!$C$7)</f>
        <v/>
      </c>
      <c r="S816" s="7">
        <f>IF($AB816="","",SUMIFS('Per Line'!$U$2:$U$4001,'Per Line'!$C$2:$C$4001,$B816,'Per Line'!$AL$2:$AL$4001,0,'Per Line'!$AM$2:$AM$4001,0))</f>
        <v/>
      </c>
      <c r="T816" s="7">
        <f>IF($AB816="","",S816*R816)</f>
        <v/>
      </c>
      <c r="U816">
        <f>IF($AB816="","",Settings!$C$6)</f>
        <v/>
      </c>
      <c r="V816" s="7">
        <f>IF($AB816="","",SUMIFS('Per Line'!$U$2:$U$4001,'Per Line'!$C$2:$C$4001,$B816,'Per Line'!$AL$2:$AL$4001,1,'Per Line'!$AM$2:$AM$4001,0))</f>
        <v/>
      </c>
      <c r="W816" s="7">
        <f>IF($AB816="","",V816*U816)</f>
        <v/>
      </c>
      <c r="X816" s="7">
        <f>IF($AB816="","",W816+T816)</f>
        <v/>
      </c>
      <c r="Y816" s="7">
        <f>IF($AB816="","",Z816-X816)</f>
        <v/>
      </c>
      <c r="Z816" s="7">
        <f>IF($AB816="","",S816+V816+Q816)</f>
        <v/>
      </c>
      <c r="AA816" s="7">
        <f>IF($AB816="","",Z816-X816-M816)</f>
        <v/>
      </c>
      <c r="AB816" s="13">
        <f>IF(ROWS($AB$2:$AB816)&lt;=MAX('Per Line'!$AK$2:$AK$4001),MATCH(ROWS($AB$2:$AB816),'Per Line'!$AK$2:$AK$4001,0),"")</f>
        <v/>
      </c>
      <c r="AC816" s="14">
        <f>IF($AB816="","",M816-L816*Z816/100)</f>
        <v/>
      </c>
    </row>
    <row r="817">
      <c r="A817" s="12" t="n"/>
      <c r="B817">
        <f>IF($AB817="","",INDEX('Per Line'!$C$2:$C$4001,$AB817)&amp;"")</f>
        <v/>
      </c>
      <c r="C817">
        <f>IF($AB817="","",INDEX('Per Line'!$D$2:$D$4001,$AB817)&amp;"")</f>
        <v/>
      </c>
      <c r="D817">
        <f>IF($AB817="","",INDEX('Per Line'!$B$2:$B$4001,$AB817)&amp;"")</f>
        <v/>
      </c>
      <c r="E817">
        <f>IF($AB817="","",INDEX('Per Line'!$A$2:$A$4001,$AB817))</f>
        <v/>
      </c>
      <c r="F817" s="11">
        <f>IF($AB817="","",INDEX('Per Line'!$E$2:$E$4001,$AB817))</f>
        <v/>
      </c>
      <c r="G817">
        <f>IF($AB817="","",INDEX('Per Line'!$F$2:$F$4001,$AB817)&amp;"")</f>
        <v/>
      </c>
      <c r="H817">
        <f>IF($AB817="","",INDEX('Per Line'!$H$2:$H$4001,$AB817)&amp;"")</f>
        <v/>
      </c>
      <c r="I817">
        <f>IF($AB817="","",INDEX('Per Line'!$I$2:$I$4001,$AB817)&amp;"")</f>
        <v/>
      </c>
      <c r="J817">
        <f>IF($AB817="","",INDEX('Per Line'!$J$2:$J$4001,$AB817)&amp;"")</f>
        <v/>
      </c>
      <c r="K817">
        <f>IF($AB817="","",INDEX('Per Line'!$K$2:$K$4001,$AB817)&amp;"")</f>
        <v/>
      </c>
      <c r="L817">
        <f>IF($AB817="","",INDEX('Per Line'!$L$2:$L$4001,$AB817))</f>
        <v/>
      </c>
      <c r="M817" s="7">
        <f>IF($AB817="","",IF(AND(ISNUMBER(O817),O817&gt;0,Z817&gt;O817),L817*O817/100+(Z817-O817),L817*Z817/100))</f>
        <v/>
      </c>
      <c r="N817">
        <f>IF($AB817="","",INDEX('Per Line'!$V$2:$V$4001,$AB817)&amp;"")</f>
        <v/>
      </c>
      <c r="O817">
        <f>IF($AB817="","",INDEX('Per Line'!$Z$2:$Z$4001,$AB817))</f>
        <v/>
      </c>
      <c r="P817">
        <f>IF($AB817="","",IF(AND(ISNUMBER(O817),O817&gt;0),Z817&gt;O817,FALSE))</f>
        <v/>
      </c>
      <c r="Q817" s="7">
        <f>IF($AB817="","",SUMIFS('Per Line'!$U$2:$U$4001,'Per Line'!$C$2:$C$4001,$B817,'Per Line'!$AM$2:$AM$4001,1))</f>
        <v/>
      </c>
      <c r="R817">
        <f>IF($AB817="","",Settings!$C$7)</f>
        <v/>
      </c>
      <c r="S817" s="7">
        <f>IF($AB817="","",SUMIFS('Per Line'!$U$2:$U$4001,'Per Line'!$C$2:$C$4001,$B817,'Per Line'!$AL$2:$AL$4001,0,'Per Line'!$AM$2:$AM$4001,0))</f>
        <v/>
      </c>
      <c r="T817" s="7">
        <f>IF($AB817="","",S817*R817)</f>
        <v/>
      </c>
      <c r="U817">
        <f>IF($AB817="","",Settings!$C$6)</f>
        <v/>
      </c>
      <c r="V817" s="7">
        <f>IF($AB817="","",SUMIFS('Per Line'!$U$2:$U$4001,'Per Line'!$C$2:$C$4001,$B817,'Per Line'!$AL$2:$AL$4001,1,'Per Line'!$AM$2:$AM$4001,0))</f>
        <v/>
      </c>
      <c r="W817" s="7">
        <f>IF($AB817="","",V817*U817)</f>
        <v/>
      </c>
      <c r="X817" s="7">
        <f>IF($AB817="","",W817+T817)</f>
        <v/>
      </c>
      <c r="Y817" s="7">
        <f>IF($AB817="","",Z817-X817)</f>
        <v/>
      </c>
      <c r="Z817" s="7">
        <f>IF($AB817="","",S817+V817+Q817)</f>
        <v/>
      </c>
      <c r="AA817" s="7">
        <f>IF($AB817="","",Z817-X817-M817)</f>
        <v/>
      </c>
      <c r="AB817" s="13">
        <f>IF(ROWS($AB$2:$AB817)&lt;=MAX('Per Line'!$AK$2:$AK$4001),MATCH(ROWS($AB$2:$AB817),'Per Line'!$AK$2:$AK$4001,0),"")</f>
        <v/>
      </c>
      <c r="AC817" s="14">
        <f>IF($AB817="","",M817-L817*Z817/100)</f>
        <v/>
      </c>
    </row>
    <row r="818">
      <c r="A818" s="12" t="n"/>
      <c r="B818">
        <f>IF($AB818="","",INDEX('Per Line'!$C$2:$C$4001,$AB818)&amp;"")</f>
        <v/>
      </c>
      <c r="C818">
        <f>IF($AB818="","",INDEX('Per Line'!$D$2:$D$4001,$AB818)&amp;"")</f>
        <v/>
      </c>
      <c r="D818">
        <f>IF($AB818="","",INDEX('Per Line'!$B$2:$B$4001,$AB818)&amp;"")</f>
        <v/>
      </c>
      <c r="E818">
        <f>IF($AB818="","",INDEX('Per Line'!$A$2:$A$4001,$AB818))</f>
        <v/>
      </c>
      <c r="F818" s="11">
        <f>IF($AB818="","",INDEX('Per Line'!$E$2:$E$4001,$AB818))</f>
        <v/>
      </c>
      <c r="G818">
        <f>IF($AB818="","",INDEX('Per Line'!$F$2:$F$4001,$AB818)&amp;"")</f>
        <v/>
      </c>
      <c r="H818">
        <f>IF($AB818="","",INDEX('Per Line'!$H$2:$H$4001,$AB818)&amp;"")</f>
        <v/>
      </c>
      <c r="I818">
        <f>IF($AB818="","",INDEX('Per Line'!$I$2:$I$4001,$AB818)&amp;"")</f>
        <v/>
      </c>
      <c r="J818">
        <f>IF($AB818="","",INDEX('Per Line'!$J$2:$J$4001,$AB818)&amp;"")</f>
        <v/>
      </c>
      <c r="K818">
        <f>IF($AB818="","",INDEX('Per Line'!$K$2:$K$4001,$AB818)&amp;"")</f>
        <v/>
      </c>
      <c r="L818">
        <f>IF($AB818="","",INDEX('Per Line'!$L$2:$L$4001,$AB818))</f>
        <v/>
      </c>
      <c r="M818" s="7">
        <f>IF($AB818="","",IF(AND(ISNUMBER(O818),O818&gt;0,Z818&gt;O818),L818*O818/100+(Z818-O818),L818*Z818/100))</f>
        <v/>
      </c>
      <c r="N818">
        <f>IF($AB818="","",INDEX('Per Line'!$V$2:$V$4001,$AB818)&amp;"")</f>
        <v/>
      </c>
      <c r="O818">
        <f>IF($AB818="","",INDEX('Per Line'!$Z$2:$Z$4001,$AB818))</f>
        <v/>
      </c>
      <c r="P818">
        <f>IF($AB818="","",IF(AND(ISNUMBER(O818),O818&gt;0),Z818&gt;O818,FALSE))</f>
        <v/>
      </c>
      <c r="Q818" s="7">
        <f>IF($AB818="","",SUMIFS('Per Line'!$U$2:$U$4001,'Per Line'!$C$2:$C$4001,$B818,'Per Line'!$AM$2:$AM$4001,1))</f>
        <v/>
      </c>
      <c r="R818">
        <f>IF($AB818="","",Settings!$C$7)</f>
        <v/>
      </c>
      <c r="S818" s="7">
        <f>IF($AB818="","",SUMIFS('Per Line'!$U$2:$U$4001,'Per Line'!$C$2:$C$4001,$B818,'Per Line'!$AL$2:$AL$4001,0,'Per Line'!$AM$2:$AM$4001,0))</f>
        <v/>
      </c>
      <c r="T818" s="7">
        <f>IF($AB818="","",S818*R818)</f>
        <v/>
      </c>
      <c r="U818">
        <f>IF($AB818="","",Settings!$C$6)</f>
        <v/>
      </c>
      <c r="V818" s="7">
        <f>IF($AB818="","",SUMIFS('Per Line'!$U$2:$U$4001,'Per Line'!$C$2:$C$4001,$B818,'Per Line'!$AL$2:$AL$4001,1,'Per Line'!$AM$2:$AM$4001,0))</f>
        <v/>
      </c>
      <c r="W818" s="7">
        <f>IF($AB818="","",V818*U818)</f>
        <v/>
      </c>
      <c r="X818" s="7">
        <f>IF($AB818="","",W818+T818)</f>
        <v/>
      </c>
      <c r="Y818" s="7">
        <f>IF($AB818="","",Z818-X818)</f>
        <v/>
      </c>
      <c r="Z818" s="7">
        <f>IF($AB818="","",S818+V818+Q818)</f>
        <v/>
      </c>
      <c r="AA818" s="7">
        <f>IF($AB818="","",Z818-X818-M818)</f>
        <v/>
      </c>
      <c r="AB818" s="13">
        <f>IF(ROWS($AB$2:$AB818)&lt;=MAX('Per Line'!$AK$2:$AK$4001),MATCH(ROWS($AB$2:$AB818),'Per Line'!$AK$2:$AK$4001,0),"")</f>
        <v/>
      </c>
      <c r="AC818" s="14">
        <f>IF($AB818="","",M818-L818*Z818/100)</f>
        <v/>
      </c>
    </row>
    <row r="819">
      <c r="A819" s="12" t="n"/>
      <c r="B819">
        <f>IF($AB819="","",INDEX('Per Line'!$C$2:$C$4001,$AB819)&amp;"")</f>
        <v/>
      </c>
      <c r="C819">
        <f>IF($AB819="","",INDEX('Per Line'!$D$2:$D$4001,$AB819)&amp;"")</f>
        <v/>
      </c>
      <c r="D819">
        <f>IF($AB819="","",INDEX('Per Line'!$B$2:$B$4001,$AB819)&amp;"")</f>
        <v/>
      </c>
      <c r="E819">
        <f>IF($AB819="","",INDEX('Per Line'!$A$2:$A$4001,$AB819))</f>
        <v/>
      </c>
      <c r="F819" s="11">
        <f>IF($AB819="","",INDEX('Per Line'!$E$2:$E$4001,$AB819))</f>
        <v/>
      </c>
      <c r="G819">
        <f>IF($AB819="","",INDEX('Per Line'!$F$2:$F$4001,$AB819)&amp;"")</f>
        <v/>
      </c>
      <c r="H819">
        <f>IF($AB819="","",INDEX('Per Line'!$H$2:$H$4001,$AB819)&amp;"")</f>
        <v/>
      </c>
      <c r="I819">
        <f>IF($AB819="","",INDEX('Per Line'!$I$2:$I$4001,$AB819)&amp;"")</f>
        <v/>
      </c>
      <c r="J819">
        <f>IF($AB819="","",INDEX('Per Line'!$J$2:$J$4001,$AB819)&amp;"")</f>
        <v/>
      </c>
      <c r="K819">
        <f>IF($AB819="","",INDEX('Per Line'!$K$2:$K$4001,$AB819)&amp;"")</f>
        <v/>
      </c>
      <c r="L819">
        <f>IF($AB819="","",INDEX('Per Line'!$L$2:$L$4001,$AB819))</f>
        <v/>
      </c>
      <c r="M819" s="7">
        <f>IF($AB819="","",IF(AND(ISNUMBER(O819),O819&gt;0,Z819&gt;O819),L819*O819/100+(Z819-O819),L819*Z819/100))</f>
        <v/>
      </c>
      <c r="N819">
        <f>IF($AB819="","",INDEX('Per Line'!$V$2:$V$4001,$AB819)&amp;"")</f>
        <v/>
      </c>
      <c r="O819">
        <f>IF($AB819="","",INDEX('Per Line'!$Z$2:$Z$4001,$AB819))</f>
        <v/>
      </c>
      <c r="P819">
        <f>IF($AB819="","",IF(AND(ISNUMBER(O819),O819&gt;0),Z819&gt;O819,FALSE))</f>
        <v/>
      </c>
      <c r="Q819" s="7">
        <f>IF($AB819="","",SUMIFS('Per Line'!$U$2:$U$4001,'Per Line'!$C$2:$C$4001,$B819,'Per Line'!$AM$2:$AM$4001,1))</f>
        <v/>
      </c>
      <c r="R819">
        <f>IF($AB819="","",Settings!$C$7)</f>
        <v/>
      </c>
      <c r="S819" s="7">
        <f>IF($AB819="","",SUMIFS('Per Line'!$U$2:$U$4001,'Per Line'!$C$2:$C$4001,$B819,'Per Line'!$AL$2:$AL$4001,0,'Per Line'!$AM$2:$AM$4001,0))</f>
        <v/>
      </c>
      <c r="T819" s="7">
        <f>IF($AB819="","",S819*R819)</f>
        <v/>
      </c>
      <c r="U819">
        <f>IF($AB819="","",Settings!$C$6)</f>
        <v/>
      </c>
      <c r="V819" s="7">
        <f>IF($AB819="","",SUMIFS('Per Line'!$U$2:$U$4001,'Per Line'!$C$2:$C$4001,$B819,'Per Line'!$AL$2:$AL$4001,1,'Per Line'!$AM$2:$AM$4001,0))</f>
        <v/>
      </c>
      <c r="W819" s="7">
        <f>IF($AB819="","",V819*U819)</f>
        <v/>
      </c>
      <c r="X819" s="7">
        <f>IF($AB819="","",W819+T819)</f>
        <v/>
      </c>
      <c r="Y819" s="7">
        <f>IF($AB819="","",Z819-X819)</f>
        <v/>
      </c>
      <c r="Z819" s="7">
        <f>IF($AB819="","",S819+V819+Q819)</f>
        <v/>
      </c>
      <c r="AA819" s="7">
        <f>IF($AB819="","",Z819-X819-M819)</f>
        <v/>
      </c>
      <c r="AB819" s="13">
        <f>IF(ROWS($AB$2:$AB819)&lt;=MAX('Per Line'!$AK$2:$AK$4001),MATCH(ROWS($AB$2:$AB819),'Per Line'!$AK$2:$AK$4001,0),"")</f>
        <v/>
      </c>
      <c r="AC819" s="14">
        <f>IF($AB819="","",M819-L819*Z819/100)</f>
        <v/>
      </c>
    </row>
    <row r="820">
      <c r="A820" s="12" t="n"/>
      <c r="B820">
        <f>IF($AB820="","",INDEX('Per Line'!$C$2:$C$4001,$AB820)&amp;"")</f>
        <v/>
      </c>
      <c r="C820">
        <f>IF($AB820="","",INDEX('Per Line'!$D$2:$D$4001,$AB820)&amp;"")</f>
        <v/>
      </c>
      <c r="D820">
        <f>IF($AB820="","",INDEX('Per Line'!$B$2:$B$4001,$AB820)&amp;"")</f>
        <v/>
      </c>
      <c r="E820">
        <f>IF($AB820="","",INDEX('Per Line'!$A$2:$A$4001,$AB820))</f>
        <v/>
      </c>
      <c r="F820" s="11">
        <f>IF($AB820="","",INDEX('Per Line'!$E$2:$E$4001,$AB820))</f>
        <v/>
      </c>
      <c r="G820">
        <f>IF($AB820="","",INDEX('Per Line'!$F$2:$F$4001,$AB820)&amp;"")</f>
        <v/>
      </c>
      <c r="H820">
        <f>IF($AB820="","",INDEX('Per Line'!$H$2:$H$4001,$AB820)&amp;"")</f>
        <v/>
      </c>
      <c r="I820">
        <f>IF($AB820="","",INDEX('Per Line'!$I$2:$I$4001,$AB820)&amp;"")</f>
        <v/>
      </c>
      <c r="J820">
        <f>IF($AB820="","",INDEX('Per Line'!$J$2:$J$4001,$AB820)&amp;"")</f>
        <v/>
      </c>
      <c r="K820">
        <f>IF($AB820="","",INDEX('Per Line'!$K$2:$K$4001,$AB820)&amp;"")</f>
        <v/>
      </c>
      <c r="L820">
        <f>IF($AB820="","",INDEX('Per Line'!$L$2:$L$4001,$AB820))</f>
        <v/>
      </c>
      <c r="M820" s="7">
        <f>IF($AB820="","",IF(AND(ISNUMBER(O820),O820&gt;0,Z820&gt;O820),L820*O820/100+(Z820-O820),L820*Z820/100))</f>
        <v/>
      </c>
      <c r="N820">
        <f>IF($AB820="","",INDEX('Per Line'!$V$2:$V$4001,$AB820)&amp;"")</f>
        <v/>
      </c>
      <c r="O820">
        <f>IF($AB820="","",INDEX('Per Line'!$Z$2:$Z$4001,$AB820))</f>
        <v/>
      </c>
      <c r="P820">
        <f>IF($AB820="","",IF(AND(ISNUMBER(O820),O820&gt;0),Z820&gt;O820,FALSE))</f>
        <v/>
      </c>
      <c r="Q820" s="7">
        <f>IF($AB820="","",SUMIFS('Per Line'!$U$2:$U$4001,'Per Line'!$C$2:$C$4001,$B820,'Per Line'!$AM$2:$AM$4001,1))</f>
        <v/>
      </c>
      <c r="R820">
        <f>IF($AB820="","",Settings!$C$7)</f>
        <v/>
      </c>
      <c r="S820" s="7">
        <f>IF($AB820="","",SUMIFS('Per Line'!$U$2:$U$4001,'Per Line'!$C$2:$C$4001,$B820,'Per Line'!$AL$2:$AL$4001,0,'Per Line'!$AM$2:$AM$4001,0))</f>
        <v/>
      </c>
      <c r="T820" s="7">
        <f>IF($AB820="","",S820*R820)</f>
        <v/>
      </c>
      <c r="U820">
        <f>IF($AB820="","",Settings!$C$6)</f>
        <v/>
      </c>
      <c r="V820" s="7">
        <f>IF($AB820="","",SUMIFS('Per Line'!$U$2:$U$4001,'Per Line'!$C$2:$C$4001,$B820,'Per Line'!$AL$2:$AL$4001,1,'Per Line'!$AM$2:$AM$4001,0))</f>
        <v/>
      </c>
      <c r="W820" s="7">
        <f>IF($AB820="","",V820*U820)</f>
        <v/>
      </c>
      <c r="X820" s="7">
        <f>IF($AB820="","",W820+T820)</f>
        <v/>
      </c>
      <c r="Y820" s="7">
        <f>IF($AB820="","",Z820-X820)</f>
        <v/>
      </c>
      <c r="Z820" s="7">
        <f>IF($AB820="","",S820+V820+Q820)</f>
        <v/>
      </c>
      <c r="AA820" s="7">
        <f>IF($AB820="","",Z820-X820-M820)</f>
        <v/>
      </c>
      <c r="AB820" s="13">
        <f>IF(ROWS($AB$2:$AB820)&lt;=MAX('Per Line'!$AK$2:$AK$4001),MATCH(ROWS($AB$2:$AB820),'Per Line'!$AK$2:$AK$4001,0),"")</f>
        <v/>
      </c>
      <c r="AC820" s="14">
        <f>IF($AB820="","",M820-L820*Z820/100)</f>
        <v/>
      </c>
    </row>
    <row r="821">
      <c r="A821" s="12" t="n"/>
      <c r="B821">
        <f>IF($AB821="","",INDEX('Per Line'!$C$2:$C$4001,$AB821)&amp;"")</f>
        <v/>
      </c>
      <c r="C821">
        <f>IF($AB821="","",INDEX('Per Line'!$D$2:$D$4001,$AB821)&amp;"")</f>
        <v/>
      </c>
      <c r="D821">
        <f>IF($AB821="","",INDEX('Per Line'!$B$2:$B$4001,$AB821)&amp;"")</f>
        <v/>
      </c>
      <c r="E821">
        <f>IF($AB821="","",INDEX('Per Line'!$A$2:$A$4001,$AB821))</f>
        <v/>
      </c>
      <c r="F821" s="11">
        <f>IF($AB821="","",INDEX('Per Line'!$E$2:$E$4001,$AB821))</f>
        <v/>
      </c>
      <c r="G821">
        <f>IF($AB821="","",INDEX('Per Line'!$F$2:$F$4001,$AB821)&amp;"")</f>
        <v/>
      </c>
      <c r="H821">
        <f>IF($AB821="","",INDEX('Per Line'!$H$2:$H$4001,$AB821)&amp;"")</f>
        <v/>
      </c>
      <c r="I821">
        <f>IF($AB821="","",INDEX('Per Line'!$I$2:$I$4001,$AB821)&amp;"")</f>
        <v/>
      </c>
      <c r="J821">
        <f>IF($AB821="","",INDEX('Per Line'!$J$2:$J$4001,$AB821)&amp;"")</f>
        <v/>
      </c>
      <c r="K821">
        <f>IF($AB821="","",INDEX('Per Line'!$K$2:$K$4001,$AB821)&amp;"")</f>
        <v/>
      </c>
      <c r="L821">
        <f>IF($AB821="","",INDEX('Per Line'!$L$2:$L$4001,$AB821))</f>
        <v/>
      </c>
      <c r="M821" s="7">
        <f>IF($AB821="","",IF(AND(ISNUMBER(O821),O821&gt;0,Z821&gt;O821),L821*O821/100+(Z821-O821),L821*Z821/100))</f>
        <v/>
      </c>
      <c r="N821">
        <f>IF($AB821="","",INDEX('Per Line'!$V$2:$V$4001,$AB821)&amp;"")</f>
        <v/>
      </c>
      <c r="O821">
        <f>IF($AB821="","",INDEX('Per Line'!$Z$2:$Z$4001,$AB821))</f>
        <v/>
      </c>
      <c r="P821">
        <f>IF($AB821="","",IF(AND(ISNUMBER(O821),O821&gt;0),Z821&gt;O821,FALSE))</f>
        <v/>
      </c>
      <c r="Q821" s="7">
        <f>IF($AB821="","",SUMIFS('Per Line'!$U$2:$U$4001,'Per Line'!$C$2:$C$4001,$B821,'Per Line'!$AM$2:$AM$4001,1))</f>
        <v/>
      </c>
      <c r="R821">
        <f>IF($AB821="","",Settings!$C$7)</f>
        <v/>
      </c>
      <c r="S821" s="7">
        <f>IF($AB821="","",SUMIFS('Per Line'!$U$2:$U$4001,'Per Line'!$C$2:$C$4001,$B821,'Per Line'!$AL$2:$AL$4001,0,'Per Line'!$AM$2:$AM$4001,0))</f>
        <v/>
      </c>
      <c r="T821" s="7">
        <f>IF($AB821="","",S821*R821)</f>
        <v/>
      </c>
      <c r="U821">
        <f>IF($AB821="","",Settings!$C$6)</f>
        <v/>
      </c>
      <c r="V821" s="7">
        <f>IF($AB821="","",SUMIFS('Per Line'!$U$2:$U$4001,'Per Line'!$C$2:$C$4001,$B821,'Per Line'!$AL$2:$AL$4001,1,'Per Line'!$AM$2:$AM$4001,0))</f>
        <v/>
      </c>
      <c r="W821" s="7">
        <f>IF($AB821="","",V821*U821)</f>
        <v/>
      </c>
      <c r="X821" s="7">
        <f>IF($AB821="","",W821+T821)</f>
        <v/>
      </c>
      <c r="Y821" s="7">
        <f>IF($AB821="","",Z821-X821)</f>
        <v/>
      </c>
      <c r="Z821" s="7">
        <f>IF($AB821="","",S821+V821+Q821)</f>
        <v/>
      </c>
      <c r="AA821" s="7">
        <f>IF($AB821="","",Z821-X821-M821)</f>
        <v/>
      </c>
      <c r="AB821" s="13">
        <f>IF(ROWS($AB$2:$AB821)&lt;=MAX('Per Line'!$AK$2:$AK$4001),MATCH(ROWS($AB$2:$AB821),'Per Line'!$AK$2:$AK$4001,0),"")</f>
        <v/>
      </c>
      <c r="AC821" s="14">
        <f>IF($AB821="","",M821-L821*Z821/100)</f>
        <v/>
      </c>
    </row>
    <row r="822">
      <c r="A822" s="12" t="n"/>
      <c r="B822">
        <f>IF($AB822="","",INDEX('Per Line'!$C$2:$C$4001,$AB822)&amp;"")</f>
        <v/>
      </c>
      <c r="C822">
        <f>IF($AB822="","",INDEX('Per Line'!$D$2:$D$4001,$AB822)&amp;"")</f>
        <v/>
      </c>
      <c r="D822">
        <f>IF($AB822="","",INDEX('Per Line'!$B$2:$B$4001,$AB822)&amp;"")</f>
        <v/>
      </c>
      <c r="E822">
        <f>IF($AB822="","",INDEX('Per Line'!$A$2:$A$4001,$AB822))</f>
        <v/>
      </c>
      <c r="F822" s="11">
        <f>IF($AB822="","",INDEX('Per Line'!$E$2:$E$4001,$AB822))</f>
        <v/>
      </c>
      <c r="G822">
        <f>IF($AB822="","",INDEX('Per Line'!$F$2:$F$4001,$AB822)&amp;"")</f>
        <v/>
      </c>
      <c r="H822">
        <f>IF($AB822="","",INDEX('Per Line'!$H$2:$H$4001,$AB822)&amp;"")</f>
        <v/>
      </c>
      <c r="I822">
        <f>IF($AB822="","",INDEX('Per Line'!$I$2:$I$4001,$AB822)&amp;"")</f>
        <v/>
      </c>
      <c r="J822">
        <f>IF($AB822="","",INDEX('Per Line'!$J$2:$J$4001,$AB822)&amp;"")</f>
        <v/>
      </c>
      <c r="K822">
        <f>IF($AB822="","",INDEX('Per Line'!$K$2:$K$4001,$AB822)&amp;"")</f>
        <v/>
      </c>
      <c r="L822">
        <f>IF($AB822="","",INDEX('Per Line'!$L$2:$L$4001,$AB822))</f>
        <v/>
      </c>
      <c r="M822" s="7">
        <f>IF($AB822="","",IF(AND(ISNUMBER(O822),O822&gt;0,Z822&gt;O822),L822*O822/100+(Z822-O822),L822*Z822/100))</f>
        <v/>
      </c>
      <c r="N822">
        <f>IF($AB822="","",INDEX('Per Line'!$V$2:$V$4001,$AB822)&amp;"")</f>
        <v/>
      </c>
      <c r="O822">
        <f>IF($AB822="","",INDEX('Per Line'!$Z$2:$Z$4001,$AB822))</f>
        <v/>
      </c>
      <c r="P822">
        <f>IF($AB822="","",IF(AND(ISNUMBER(O822),O822&gt;0),Z822&gt;O822,FALSE))</f>
        <v/>
      </c>
      <c r="Q822" s="7">
        <f>IF($AB822="","",SUMIFS('Per Line'!$U$2:$U$4001,'Per Line'!$C$2:$C$4001,$B822,'Per Line'!$AM$2:$AM$4001,1))</f>
        <v/>
      </c>
      <c r="R822">
        <f>IF($AB822="","",Settings!$C$7)</f>
        <v/>
      </c>
      <c r="S822" s="7">
        <f>IF($AB822="","",SUMIFS('Per Line'!$U$2:$U$4001,'Per Line'!$C$2:$C$4001,$B822,'Per Line'!$AL$2:$AL$4001,0,'Per Line'!$AM$2:$AM$4001,0))</f>
        <v/>
      </c>
      <c r="T822" s="7">
        <f>IF($AB822="","",S822*R822)</f>
        <v/>
      </c>
      <c r="U822">
        <f>IF($AB822="","",Settings!$C$6)</f>
        <v/>
      </c>
      <c r="V822" s="7">
        <f>IF($AB822="","",SUMIFS('Per Line'!$U$2:$U$4001,'Per Line'!$C$2:$C$4001,$B822,'Per Line'!$AL$2:$AL$4001,1,'Per Line'!$AM$2:$AM$4001,0))</f>
        <v/>
      </c>
      <c r="W822" s="7">
        <f>IF($AB822="","",V822*U822)</f>
        <v/>
      </c>
      <c r="X822" s="7">
        <f>IF($AB822="","",W822+T822)</f>
        <v/>
      </c>
      <c r="Y822" s="7">
        <f>IF($AB822="","",Z822-X822)</f>
        <v/>
      </c>
      <c r="Z822" s="7">
        <f>IF($AB822="","",S822+V822+Q822)</f>
        <v/>
      </c>
      <c r="AA822" s="7">
        <f>IF($AB822="","",Z822-X822-M822)</f>
        <v/>
      </c>
      <c r="AB822" s="13">
        <f>IF(ROWS($AB$2:$AB822)&lt;=MAX('Per Line'!$AK$2:$AK$4001),MATCH(ROWS($AB$2:$AB822),'Per Line'!$AK$2:$AK$4001,0),"")</f>
        <v/>
      </c>
      <c r="AC822" s="14">
        <f>IF($AB822="","",M822-L822*Z822/100)</f>
        <v/>
      </c>
    </row>
    <row r="823">
      <c r="A823" s="12" t="n"/>
      <c r="B823">
        <f>IF($AB823="","",INDEX('Per Line'!$C$2:$C$4001,$AB823)&amp;"")</f>
        <v/>
      </c>
      <c r="C823">
        <f>IF($AB823="","",INDEX('Per Line'!$D$2:$D$4001,$AB823)&amp;"")</f>
        <v/>
      </c>
      <c r="D823">
        <f>IF($AB823="","",INDEX('Per Line'!$B$2:$B$4001,$AB823)&amp;"")</f>
        <v/>
      </c>
      <c r="E823">
        <f>IF($AB823="","",INDEX('Per Line'!$A$2:$A$4001,$AB823))</f>
        <v/>
      </c>
      <c r="F823" s="11">
        <f>IF($AB823="","",INDEX('Per Line'!$E$2:$E$4001,$AB823))</f>
        <v/>
      </c>
      <c r="G823">
        <f>IF($AB823="","",INDEX('Per Line'!$F$2:$F$4001,$AB823)&amp;"")</f>
        <v/>
      </c>
      <c r="H823">
        <f>IF($AB823="","",INDEX('Per Line'!$H$2:$H$4001,$AB823)&amp;"")</f>
        <v/>
      </c>
      <c r="I823">
        <f>IF($AB823="","",INDEX('Per Line'!$I$2:$I$4001,$AB823)&amp;"")</f>
        <v/>
      </c>
      <c r="J823">
        <f>IF($AB823="","",INDEX('Per Line'!$J$2:$J$4001,$AB823)&amp;"")</f>
        <v/>
      </c>
      <c r="K823">
        <f>IF($AB823="","",INDEX('Per Line'!$K$2:$K$4001,$AB823)&amp;"")</f>
        <v/>
      </c>
      <c r="L823">
        <f>IF($AB823="","",INDEX('Per Line'!$L$2:$L$4001,$AB823))</f>
        <v/>
      </c>
      <c r="M823" s="7">
        <f>IF($AB823="","",IF(AND(ISNUMBER(O823),O823&gt;0,Z823&gt;O823),L823*O823/100+(Z823-O823),L823*Z823/100))</f>
        <v/>
      </c>
      <c r="N823">
        <f>IF($AB823="","",INDEX('Per Line'!$V$2:$V$4001,$AB823)&amp;"")</f>
        <v/>
      </c>
      <c r="O823">
        <f>IF($AB823="","",INDEX('Per Line'!$Z$2:$Z$4001,$AB823))</f>
        <v/>
      </c>
      <c r="P823">
        <f>IF($AB823="","",IF(AND(ISNUMBER(O823),O823&gt;0),Z823&gt;O823,FALSE))</f>
        <v/>
      </c>
      <c r="Q823" s="7">
        <f>IF($AB823="","",SUMIFS('Per Line'!$U$2:$U$4001,'Per Line'!$C$2:$C$4001,$B823,'Per Line'!$AM$2:$AM$4001,1))</f>
        <v/>
      </c>
      <c r="R823">
        <f>IF($AB823="","",Settings!$C$7)</f>
        <v/>
      </c>
      <c r="S823" s="7">
        <f>IF($AB823="","",SUMIFS('Per Line'!$U$2:$U$4001,'Per Line'!$C$2:$C$4001,$B823,'Per Line'!$AL$2:$AL$4001,0,'Per Line'!$AM$2:$AM$4001,0))</f>
        <v/>
      </c>
      <c r="T823" s="7">
        <f>IF($AB823="","",S823*R823)</f>
        <v/>
      </c>
      <c r="U823">
        <f>IF($AB823="","",Settings!$C$6)</f>
        <v/>
      </c>
      <c r="V823" s="7">
        <f>IF($AB823="","",SUMIFS('Per Line'!$U$2:$U$4001,'Per Line'!$C$2:$C$4001,$B823,'Per Line'!$AL$2:$AL$4001,1,'Per Line'!$AM$2:$AM$4001,0))</f>
        <v/>
      </c>
      <c r="W823" s="7">
        <f>IF($AB823="","",V823*U823)</f>
        <v/>
      </c>
      <c r="X823" s="7">
        <f>IF($AB823="","",W823+T823)</f>
        <v/>
      </c>
      <c r="Y823" s="7">
        <f>IF($AB823="","",Z823-X823)</f>
        <v/>
      </c>
      <c r="Z823" s="7">
        <f>IF($AB823="","",S823+V823+Q823)</f>
        <v/>
      </c>
      <c r="AA823" s="7">
        <f>IF($AB823="","",Z823-X823-M823)</f>
        <v/>
      </c>
      <c r="AB823" s="13">
        <f>IF(ROWS($AB$2:$AB823)&lt;=MAX('Per Line'!$AK$2:$AK$4001),MATCH(ROWS($AB$2:$AB823),'Per Line'!$AK$2:$AK$4001,0),"")</f>
        <v/>
      </c>
      <c r="AC823" s="14">
        <f>IF($AB823="","",M823-L823*Z823/100)</f>
        <v/>
      </c>
    </row>
    <row r="824">
      <c r="A824" s="12" t="n"/>
      <c r="B824">
        <f>IF($AB824="","",INDEX('Per Line'!$C$2:$C$4001,$AB824)&amp;"")</f>
        <v/>
      </c>
      <c r="C824">
        <f>IF($AB824="","",INDEX('Per Line'!$D$2:$D$4001,$AB824)&amp;"")</f>
        <v/>
      </c>
      <c r="D824">
        <f>IF($AB824="","",INDEX('Per Line'!$B$2:$B$4001,$AB824)&amp;"")</f>
        <v/>
      </c>
      <c r="E824">
        <f>IF($AB824="","",INDEX('Per Line'!$A$2:$A$4001,$AB824))</f>
        <v/>
      </c>
      <c r="F824" s="11">
        <f>IF($AB824="","",INDEX('Per Line'!$E$2:$E$4001,$AB824))</f>
        <v/>
      </c>
      <c r="G824">
        <f>IF($AB824="","",INDEX('Per Line'!$F$2:$F$4001,$AB824)&amp;"")</f>
        <v/>
      </c>
      <c r="H824">
        <f>IF($AB824="","",INDEX('Per Line'!$H$2:$H$4001,$AB824)&amp;"")</f>
        <v/>
      </c>
      <c r="I824">
        <f>IF($AB824="","",INDEX('Per Line'!$I$2:$I$4001,$AB824)&amp;"")</f>
        <v/>
      </c>
      <c r="J824">
        <f>IF($AB824="","",INDEX('Per Line'!$J$2:$J$4001,$AB824)&amp;"")</f>
        <v/>
      </c>
      <c r="K824">
        <f>IF($AB824="","",INDEX('Per Line'!$K$2:$K$4001,$AB824)&amp;"")</f>
        <v/>
      </c>
      <c r="L824">
        <f>IF($AB824="","",INDEX('Per Line'!$L$2:$L$4001,$AB824))</f>
        <v/>
      </c>
      <c r="M824" s="7">
        <f>IF($AB824="","",IF(AND(ISNUMBER(O824),O824&gt;0,Z824&gt;O824),L824*O824/100+(Z824-O824),L824*Z824/100))</f>
        <v/>
      </c>
      <c r="N824">
        <f>IF($AB824="","",INDEX('Per Line'!$V$2:$V$4001,$AB824)&amp;"")</f>
        <v/>
      </c>
      <c r="O824">
        <f>IF($AB824="","",INDEX('Per Line'!$Z$2:$Z$4001,$AB824))</f>
        <v/>
      </c>
      <c r="P824">
        <f>IF($AB824="","",IF(AND(ISNUMBER(O824),O824&gt;0),Z824&gt;O824,FALSE))</f>
        <v/>
      </c>
      <c r="Q824" s="7">
        <f>IF($AB824="","",SUMIFS('Per Line'!$U$2:$U$4001,'Per Line'!$C$2:$C$4001,$B824,'Per Line'!$AM$2:$AM$4001,1))</f>
        <v/>
      </c>
      <c r="R824">
        <f>IF($AB824="","",Settings!$C$7)</f>
        <v/>
      </c>
      <c r="S824" s="7">
        <f>IF($AB824="","",SUMIFS('Per Line'!$U$2:$U$4001,'Per Line'!$C$2:$C$4001,$B824,'Per Line'!$AL$2:$AL$4001,0,'Per Line'!$AM$2:$AM$4001,0))</f>
        <v/>
      </c>
      <c r="T824" s="7">
        <f>IF($AB824="","",S824*R824)</f>
        <v/>
      </c>
      <c r="U824">
        <f>IF($AB824="","",Settings!$C$6)</f>
        <v/>
      </c>
      <c r="V824" s="7">
        <f>IF($AB824="","",SUMIFS('Per Line'!$U$2:$U$4001,'Per Line'!$C$2:$C$4001,$B824,'Per Line'!$AL$2:$AL$4001,1,'Per Line'!$AM$2:$AM$4001,0))</f>
        <v/>
      </c>
      <c r="W824" s="7">
        <f>IF($AB824="","",V824*U824)</f>
        <v/>
      </c>
      <c r="X824" s="7">
        <f>IF($AB824="","",W824+T824)</f>
        <v/>
      </c>
      <c r="Y824" s="7">
        <f>IF($AB824="","",Z824-X824)</f>
        <v/>
      </c>
      <c r="Z824" s="7">
        <f>IF($AB824="","",S824+V824+Q824)</f>
        <v/>
      </c>
      <c r="AA824" s="7">
        <f>IF($AB824="","",Z824-X824-M824)</f>
        <v/>
      </c>
      <c r="AB824" s="13">
        <f>IF(ROWS($AB$2:$AB824)&lt;=MAX('Per Line'!$AK$2:$AK$4001),MATCH(ROWS($AB$2:$AB824),'Per Line'!$AK$2:$AK$4001,0),"")</f>
        <v/>
      </c>
      <c r="AC824" s="14">
        <f>IF($AB824="","",M824-L824*Z824/100)</f>
        <v/>
      </c>
    </row>
    <row r="825">
      <c r="A825" s="12" t="n"/>
      <c r="B825">
        <f>IF($AB825="","",INDEX('Per Line'!$C$2:$C$4001,$AB825)&amp;"")</f>
        <v/>
      </c>
      <c r="C825">
        <f>IF($AB825="","",INDEX('Per Line'!$D$2:$D$4001,$AB825)&amp;"")</f>
        <v/>
      </c>
      <c r="D825">
        <f>IF($AB825="","",INDEX('Per Line'!$B$2:$B$4001,$AB825)&amp;"")</f>
        <v/>
      </c>
      <c r="E825">
        <f>IF($AB825="","",INDEX('Per Line'!$A$2:$A$4001,$AB825))</f>
        <v/>
      </c>
      <c r="F825" s="11">
        <f>IF($AB825="","",INDEX('Per Line'!$E$2:$E$4001,$AB825))</f>
        <v/>
      </c>
      <c r="G825">
        <f>IF($AB825="","",INDEX('Per Line'!$F$2:$F$4001,$AB825)&amp;"")</f>
        <v/>
      </c>
      <c r="H825">
        <f>IF($AB825="","",INDEX('Per Line'!$H$2:$H$4001,$AB825)&amp;"")</f>
        <v/>
      </c>
      <c r="I825">
        <f>IF($AB825="","",INDEX('Per Line'!$I$2:$I$4001,$AB825)&amp;"")</f>
        <v/>
      </c>
      <c r="J825">
        <f>IF($AB825="","",INDEX('Per Line'!$J$2:$J$4001,$AB825)&amp;"")</f>
        <v/>
      </c>
      <c r="K825">
        <f>IF($AB825="","",INDEX('Per Line'!$K$2:$K$4001,$AB825)&amp;"")</f>
        <v/>
      </c>
      <c r="L825">
        <f>IF($AB825="","",INDEX('Per Line'!$L$2:$L$4001,$AB825))</f>
        <v/>
      </c>
      <c r="M825" s="7">
        <f>IF($AB825="","",IF(AND(ISNUMBER(O825),O825&gt;0,Z825&gt;O825),L825*O825/100+(Z825-O825),L825*Z825/100))</f>
        <v/>
      </c>
      <c r="N825">
        <f>IF($AB825="","",INDEX('Per Line'!$V$2:$V$4001,$AB825)&amp;"")</f>
        <v/>
      </c>
      <c r="O825">
        <f>IF($AB825="","",INDEX('Per Line'!$Z$2:$Z$4001,$AB825))</f>
        <v/>
      </c>
      <c r="P825">
        <f>IF($AB825="","",IF(AND(ISNUMBER(O825),O825&gt;0),Z825&gt;O825,FALSE))</f>
        <v/>
      </c>
      <c r="Q825" s="7">
        <f>IF($AB825="","",SUMIFS('Per Line'!$U$2:$U$4001,'Per Line'!$C$2:$C$4001,$B825,'Per Line'!$AM$2:$AM$4001,1))</f>
        <v/>
      </c>
      <c r="R825">
        <f>IF($AB825="","",Settings!$C$7)</f>
        <v/>
      </c>
      <c r="S825" s="7">
        <f>IF($AB825="","",SUMIFS('Per Line'!$U$2:$U$4001,'Per Line'!$C$2:$C$4001,$B825,'Per Line'!$AL$2:$AL$4001,0,'Per Line'!$AM$2:$AM$4001,0))</f>
        <v/>
      </c>
      <c r="T825" s="7">
        <f>IF($AB825="","",S825*R825)</f>
        <v/>
      </c>
      <c r="U825">
        <f>IF($AB825="","",Settings!$C$6)</f>
        <v/>
      </c>
      <c r="V825" s="7">
        <f>IF($AB825="","",SUMIFS('Per Line'!$U$2:$U$4001,'Per Line'!$C$2:$C$4001,$B825,'Per Line'!$AL$2:$AL$4001,1,'Per Line'!$AM$2:$AM$4001,0))</f>
        <v/>
      </c>
      <c r="W825" s="7">
        <f>IF($AB825="","",V825*U825)</f>
        <v/>
      </c>
      <c r="X825" s="7">
        <f>IF($AB825="","",W825+T825)</f>
        <v/>
      </c>
      <c r="Y825" s="7">
        <f>IF($AB825="","",Z825-X825)</f>
        <v/>
      </c>
      <c r="Z825" s="7">
        <f>IF($AB825="","",S825+V825+Q825)</f>
        <v/>
      </c>
      <c r="AA825" s="7">
        <f>IF($AB825="","",Z825-X825-M825)</f>
        <v/>
      </c>
      <c r="AB825" s="13">
        <f>IF(ROWS($AB$2:$AB825)&lt;=MAX('Per Line'!$AK$2:$AK$4001),MATCH(ROWS($AB$2:$AB825),'Per Line'!$AK$2:$AK$4001,0),"")</f>
        <v/>
      </c>
      <c r="AC825" s="14">
        <f>IF($AB825="","",M825-L825*Z825/100)</f>
        <v/>
      </c>
    </row>
    <row r="826">
      <c r="A826" s="12" t="n"/>
      <c r="B826">
        <f>IF($AB826="","",INDEX('Per Line'!$C$2:$C$4001,$AB826)&amp;"")</f>
        <v/>
      </c>
      <c r="C826">
        <f>IF($AB826="","",INDEX('Per Line'!$D$2:$D$4001,$AB826)&amp;"")</f>
        <v/>
      </c>
      <c r="D826">
        <f>IF($AB826="","",INDEX('Per Line'!$B$2:$B$4001,$AB826)&amp;"")</f>
        <v/>
      </c>
      <c r="E826">
        <f>IF($AB826="","",INDEX('Per Line'!$A$2:$A$4001,$AB826))</f>
        <v/>
      </c>
      <c r="F826" s="11">
        <f>IF($AB826="","",INDEX('Per Line'!$E$2:$E$4001,$AB826))</f>
        <v/>
      </c>
      <c r="G826">
        <f>IF($AB826="","",INDEX('Per Line'!$F$2:$F$4001,$AB826)&amp;"")</f>
        <v/>
      </c>
      <c r="H826">
        <f>IF($AB826="","",INDEX('Per Line'!$H$2:$H$4001,$AB826)&amp;"")</f>
        <v/>
      </c>
      <c r="I826">
        <f>IF($AB826="","",INDEX('Per Line'!$I$2:$I$4001,$AB826)&amp;"")</f>
        <v/>
      </c>
      <c r="J826">
        <f>IF($AB826="","",INDEX('Per Line'!$J$2:$J$4001,$AB826)&amp;"")</f>
        <v/>
      </c>
      <c r="K826">
        <f>IF($AB826="","",INDEX('Per Line'!$K$2:$K$4001,$AB826)&amp;"")</f>
        <v/>
      </c>
      <c r="L826">
        <f>IF($AB826="","",INDEX('Per Line'!$L$2:$L$4001,$AB826))</f>
        <v/>
      </c>
      <c r="M826" s="7">
        <f>IF($AB826="","",IF(AND(ISNUMBER(O826),O826&gt;0,Z826&gt;O826),L826*O826/100+(Z826-O826),L826*Z826/100))</f>
        <v/>
      </c>
      <c r="N826">
        <f>IF($AB826="","",INDEX('Per Line'!$V$2:$V$4001,$AB826)&amp;"")</f>
        <v/>
      </c>
      <c r="O826">
        <f>IF($AB826="","",INDEX('Per Line'!$Z$2:$Z$4001,$AB826))</f>
        <v/>
      </c>
      <c r="P826">
        <f>IF($AB826="","",IF(AND(ISNUMBER(O826),O826&gt;0),Z826&gt;O826,FALSE))</f>
        <v/>
      </c>
      <c r="Q826" s="7">
        <f>IF($AB826="","",SUMIFS('Per Line'!$U$2:$U$4001,'Per Line'!$C$2:$C$4001,$B826,'Per Line'!$AM$2:$AM$4001,1))</f>
        <v/>
      </c>
      <c r="R826">
        <f>IF($AB826="","",Settings!$C$7)</f>
        <v/>
      </c>
      <c r="S826" s="7">
        <f>IF($AB826="","",SUMIFS('Per Line'!$U$2:$U$4001,'Per Line'!$C$2:$C$4001,$B826,'Per Line'!$AL$2:$AL$4001,0,'Per Line'!$AM$2:$AM$4001,0))</f>
        <v/>
      </c>
      <c r="T826" s="7">
        <f>IF($AB826="","",S826*R826)</f>
        <v/>
      </c>
      <c r="U826">
        <f>IF($AB826="","",Settings!$C$6)</f>
        <v/>
      </c>
      <c r="V826" s="7">
        <f>IF($AB826="","",SUMIFS('Per Line'!$U$2:$U$4001,'Per Line'!$C$2:$C$4001,$B826,'Per Line'!$AL$2:$AL$4001,1,'Per Line'!$AM$2:$AM$4001,0))</f>
        <v/>
      </c>
      <c r="W826" s="7">
        <f>IF($AB826="","",V826*U826)</f>
        <v/>
      </c>
      <c r="X826" s="7">
        <f>IF($AB826="","",W826+T826)</f>
        <v/>
      </c>
      <c r="Y826" s="7">
        <f>IF($AB826="","",Z826-X826)</f>
        <v/>
      </c>
      <c r="Z826" s="7">
        <f>IF($AB826="","",S826+V826+Q826)</f>
        <v/>
      </c>
      <c r="AA826" s="7">
        <f>IF($AB826="","",Z826-X826-M826)</f>
        <v/>
      </c>
      <c r="AB826" s="13">
        <f>IF(ROWS($AB$2:$AB826)&lt;=MAX('Per Line'!$AK$2:$AK$4001),MATCH(ROWS($AB$2:$AB826),'Per Line'!$AK$2:$AK$4001,0),"")</f>
        <v/>
      </c>
      <c r="AC826" s="14">
        <f>IF($AB826="","",M826-L826*Z826/100)</f>
        <v/>
      </c>
    </row>
    <row r="827">
      <c r="A827" s="12" t="n"/>
      <c r="B827">
        <f>IF($AB827="","",INDEX('Per Line'!$C$2:$C$4001,$AB827)&amp;"")</f>
        <v/>
      </c>
      <c r="C827">
        <f>IF($AB827="","",INDEX('Per Line'!$D$2:$D$4001,$AB827)&amp;"")</f>
        <v/>
      </c>
      <c r="D827">
        <f>IF($AB827="","",INDEX('Per Line'!$B$2:$B$4001,$AB827)&amp;"")</f>
        <v/>
      </c>
      <c r="E827">
        <f>IF($AB827="","",INDEX('Per Line'!$A$2:$A$4001,$AB827))</f>
        <v/>
      </c>
      <c r="F827" s="11">
        <f>IF($AB827="","",INDEX('Per Line'!$E$2:$E$4001,$AB827))</f>
        <v/>
      </c>
      <c r="G827">
        <f>IF($AB827="","",INDEX('Per Line'!$F$2:$F$4001,$AB827)&amp;"")</f>
        <v/>
      </c>
      <c r="H827">
        <f>IF($AB827="","",INDEX('Per Line'!$H$2:$H$4001,$AB827)&amp;"")</f>
        <v/>
      </c>
      <c r="I827">
        <f>IF($AB827="","",INDEX('Per Line'!$I$2:$I$4001,$AB827)&amp;"")</f>
        <v/>
      </c>
      <c r="J827">
        <f>IF($AB827="","",INDEX('Per Line'!$J$2:$J$4001,$AB827)&amp;"")</f>
        <v/>
      </c>
      <c r="K827">
        <f>IF($AB827="","",INDEX('Per Line'!$K$2:$K$4001,$AB827)&amp;"")</f>
        <v/>
      </c>
      <c r="L827">
        <f>IF($AB827="","",INDEX('Per Line'!$L$2:$L$4001,$AB827))</f>
        <v/>
      </c>
      <c r="M827" s="7">
        <f>IF($AB827="","",IF(AND(ISNUMBER(O827),O827&gt;0,Z827&gt;O827),L827*O827/100+(Z827-O827),L827*Z827/100))</f>
        <v/>
      </c>
      <c r="N827">
        <f>IF($AB827="","",INDEX('Per Line'!$V$2:$V$4001,$AB827)&amp;"")</f>
        <v/>
      </c>
      <c r="O827">
        <f>IF($AB827="","",INDEX('Per Line'!$Z$2:$Z$4001,$AB827))</f>
        <v/>
      </c>
      <c r="P827">
        <f>IF($AB827="","",IF(AND(ISNUMBER(O827),O827&gt;0),Z827&gt;O827,FALSE))</f>
        <v/>
      </c>
      <c r="Q827" s="7">
        <f>IF($AB827="","",SUMIFS('Per Line'!$U$2:$U$4001,'Per Line'!$C$2:$C$4001,$B827,'Per Line'!$AM$2:$AM$4001,1))</f>
        <v/>
      </c>
      <c r="R827">
        <f>IF($AB827="","",Settings!$C$7)</f>
        <v/>
      </c>
      <c r="S827" s="7">
        <f>IF($AB827="","",SUMIFS('Per Line'!$U$2:$U$4001,'Per Line'!$C$2:$C$4001,$B827,'Per Line'!$AL$2:$AL$4001,0,'Per Line'!$AM$2:$AM$4001,0))</f>
        <v/>
      </c>
      <c r="T827" s="7">
        <f>IF($AB827="","",S827*R827)</f>
        <v/>
      </c>
      <c r="U827">
        <f>IF($AB827="","",Settings!$C$6)</f>
        <v/>
      </c>
      <c r="V827" s="7">
        <f>IF($AB827="","",SUMIFS('Per Line'!$U$2:$U$4001,'Per Line'!$C$2:$C$4001,$B827,'Per Line'!$AL$2:$AL$4001,1,'Per Line'!$AM$2:$AM$4001,0))</f>
        <v/>
      </c>
      <c r="W827" s="7">
        <f>IF($AB827="","",V827*U827)</f>
        <v/>
      </c>
      <c r="X827" s="7">
        <f>IF($AB827="","",W827+T827)</f>
        <v/>
      </c>
      <c r="Y827" s="7">
        <f>IF($AB827="","",Z827-X827)</f>
        <v/>
      </c>
      <c r="Z827" s="7">
        <f>IF($AB827="","",S827+V827+Q827)</f>
        <v/>
      </c>
      <c r="AA827" s="7">
        <f>IF($AB827="","",Z827-X827-M827)</f>
        <v/>
      </c>
      <c r="AB827" s="13">
        <f>IF(ROWS($AB$2:$AB827)&lt;=MAX('Per Line'!$AK$2:$AK$4001),MATCH(ROWS($AB$2:$AB827),'Per Line'!$AK$2:$AK$4001,0),"")</f>
        <v/>
      </c>
      <c r="AC827" s="14">
        <f>IF($AB827="","",M827-L827*Z827/100)</f>
        <v/>
      </c>
    </row>
    <row r="828">
      <c r="A828" s="12" t="n"/>
      <c r="B828">
        <f>IF($AB828="","",INDEX('Per Line'!$C$2:$C$4001,$AB828)&amp;"")</f>
        <v/>
      </c>
      <c r="C828">
        <f>IF($AB828="","",INDEX('Per Line'!$D$2:$D$4001,$AB828)&amp;"")</f>
        <v/>
      </c>
      <c r="D828">
        <f>IF($AB828="","",INDEX('Per Line'!$B$2:$B$4001,$AB828)&amp;"")</f>
        <v/>
      </c>
      <c r="E828">
        <f>IF($AB828="","",INDEX('Per Line'!$A$2:$A$4001,$AB828))</f>
        <v/>
      </c>
      <c r="F828" s="11">
        <f>IF($AB828="","",INDEX('Per Line'!$E$2:$E$4001,$AB828))</f>
        <v/>
      </c>
      <c r="G828">
        <f>IF($AB828="","",INDEX('Per Line'!$F$2:$F$4001,$AB828)&amp;"")</f>
        <v/>
      </c>
      <c r="H828">
        <f>IF($AB828="","",INDEX('Per Line'!$H$2:$H$4001,$AB828)&amp;"")</f>
        <v/>
      </c>
      <c r="I828">
        <f>IF($AB828="","",INDEX('Per Line'!$I$2:$I$4001,$AB828)&amp;"")</f>
        <v/>
      </c>
      <c r="J828">
        <f>IF($AB828="","",INDEX('Per Line'!$J$2:$J$4001,$AB828)&amp;"")</f>
        <v/>
      </c>
      <c r="K828">
        <f>IF($AB828="","",INDEX('Per Line'!$K$2:$K$4001,$AB828)&amp;"")</f>
        <v/>
      </c>
      <c r="L828">
        <f>IF($AB828="","",INDEX('Per Line'!$L$2:$L$4001,$AB828))</f>
        <v/>
      </c>
      <c r="M828" s="7">
        <f>IF($AB828="","",IF(AND(ISNUMBER(O828),O828&gt;0,Z828&gt;O828),L828*O828/100+(Z828-O828),L828*Z828/100))</f>
        <v/>
      </c>
      <c r="N828">
        <f>IF($AB828="","",INDEX('Per Line'!$V$2:$V$4001,$AB828)&amp;"")</f>
        <v/>
      </c>
      <c r="O828">
        <f>IF($AB828="","",INDEX('Per Line'!$Z$2:$Z$4001,$AB828))</f>
        <v/>
      </c>
      <c r="P828">
        <f>IF($AB828="","",IF(AND(ISNUMBER(O828),O828&gt;0),Z828&gt;O828,FALSE))</f>
        <v/>
      </c>
      <c r="Q828" s="7">
        <f>IF($AB828="","",SUMIFS('Per Line'!$U$2:$U$4001,'Per Line'!$C$2:$C$4001,$B828,'Per Line'!$AM$2:$AM$4001,1))</f>
        <v/>
      </c>
      <c r="R828">
        <f>IF($AB828="","",Settings!$C$7)</f>
        <v/>
      </c>
      <c r="S828" s="7">
        <f>IF($AB828="","",SUMIFS('Per Line'!$U$2:$U$4001,'Per Line'!$C$2:$C$4001,$B828,'Per Line'!$AL$2:$AL$4001,0,'Per Line'!$AM$2:$AM$4001,0))</f>
        <v/>
      </c>
      <c r="T828" s="7">
        <f>IF($AB828="","",S828*R828)</f>
        <v/>
      </c>
      <c r="U828">
        <f>IF($AB828="","",Settings!$C$6)</f>
        <v/>
      </c>
      <c r="V828" s="7">
        <f>IF($AB828="","",SUMIFS('Per Line'!$U$2:$U$4001,'Per Line'!$C$2:$C$4001,$B828,'Per Line'!$AL$2:$AL$4001,1,'Per Line'!$AM$2:$AM$4001,0))</f>
        <v/>
      </c>
      <c r="W828" s="7">
        <f>IF($AB828="","",V828*U828)</f>
        <v/>
      </c>
      <c r="X828" s="7">
        <f>IF($AB828="","",W828+T828)</f>
        <v/>
      </c>
      <c r="Y828" s="7">
        <f>IF($AB828="","",Z828-X828)</f>
        <v/>
      </c>
      <c r="Z828" s="7">
        <f>IF($AB828="","",S828+V828+Q828)</f>
        <v/>
      </c>
      <c r="AA828" s="7">
        <f>IF($AB828="","",Z828-X828-M828)</f>
        <v/>
      </c>
      <c r="AB828" s="13">
        <f>IF(ROWS($AB$2:$AB828)&lt;=MAX('Per Line'!$AK$2:$AK$4001),MATCH(ROWS($AB$2:$AB828),'Per Line'!$AK$2:$AK$4001,0),"")</f>
        <v/>
      </c>
      <c r="AC828" s="14">
        <f>IF($AB828="","",M828-L828*Z828/100)</f>
        <v/>
      </c>
    </row>
    <row r="829">
      <c r="A829" s="12" t="n"/>
      <c r="B829">
        <f>IF($AB829="","",INDEX('Per Line'!$C$2:$C$4001,$AB829)&amp;"")</f>
        <v/>
      </c>
      <c r="C829">
        <f>IF($AB829="","",INDEX('Per Line'!$D$2:$D$4001,$AB829)&amp;"")</f>
        <v/>
      </c>
      <c r="D829">
        <f>IF($AB829="","",INDEX('Per Line'!$B$2:$B$4001,$AB829)&amp;"")</f>
        <v/>
      </c>
      <c r="E829">
        <f>IF($AB829="","",INDEX('Per Line'!$A$2:$A$4001,$AB829))</f>
        <v/>
      </c>
      <c r="F829" s="11">
        <f>IF($AB829="","",INDEX('Per Line'!$E$2:$E$4001,$AB829))</f>
        <v/>
      </c>
      <c r="G829">
        <f>IF($AB829="","",INDEX('Per Line'!$F$2:$F$4001,$AB829)&amp;"")</f>
        <v/>
      </c>
      <c r="H829">
        <f>IF($AB829="","",INDEX('Per Line'!$H$2:$H$4001,$AB829)&amp;"")</f>
        <v/>
      </c>
      <c r="I829">
        <f>IF($AB829="","",INDEX('Per Line'!$I$2:$I$4001,$AB829)&amp;"")</f>
        <v/>
      </c>
      <c r="J829">
        <f>IF($AB829="","",INDEX('Per Line'!$J$2:$J$4001,$AB829)&amp;"")</f>
        <v/>
      </c>
      <c r="K829">
        <f>IF($AB829="","",INDEX('Per Line'!$K$2:$K$4001,$AB829)&amp;"")</f>
        <v/>
      </c>
      <c r="L829">
        <f>IF($AB829="","",INDEX('Per Line'!$L$2:$L$4001,$AB829))</f>
        <v/>
      </c>
      <c r="M829" s="7">
        <f>IF($AB829="","",IF(AND(ISNUMBER(O829),O829&gt;0,Z829&gt;O829),L829*O829/100+(Z829-O829),L829*Z829/100))</f>
        <v/>
      </c>
      <c r="N829">
        <f>IF($AB829="","",INDEX('Per Line'!$V$2:$V$4001,$AB829)&amp;"")</f>
        <v/>
      </c>
      <c r="O829">
        <f>IF($AB829="","",INDEX('Per Line'!$Z$2:$Z$4001,$AB829))</f>
        <v/>
      </c>
      <c r="P829">
        <f>IF($AB829="","",IF(AND(ISNUMBER(O829),O829&gt;0),Z829&gt;O829,FALSE))</f>
        <v/>
      </c>
      <c r="Q829" s="7">
        <f>IF($AB829="","",SUMIFS('Per Line'!$U$2:$U$4001,'Per Line'!$C$2:$C$4001,$B829,'Per Line'!$AM$2:$AM$4001,1))</f>
        <v/>
      </c>
      <c r="R829">
        <f>IF($AB829="","",Settings!$C$7)</f>
        <v/>
      </c>
      <c r="S829" s="7">
        <f>IF($AB829="","",SUMIFS('Per Line'!$U$2:$U$4001,'Per Line'!$C$2:$C$4001,$B829,'Per Line'!$AL$2:$AL$4001,0,'Per Line'!$AM$2:$AM$4001,0))</f>
        <v/>
      </c>
      <c r="T829" s="7">
        <f>IF($AB829="","",S829*R829)</f>
        <v/>
      </c>
      <c r="U829">
        <f>IF($AB829="","",Settings!$C$6)</f>
        <v/>
      </c>
      <c r="V829" s="7">
        <f>IF($AB829="","",SUMIFS('Per Line'!$U$2:$U$4001,'Per Line'!$C$2:$C$4001,$B829,'Per Line'!$AL$2:$AL$4001,1,'Per Line'!$AM$2:$AM$4001,0))</f>
        <v/>
      </c>
      <c r="W829" s="7">
        <f>IF($AB829="","",V829*U829)</f>
        <v/>
      </c>
      <c r="X829" s="7">
        <f>IF($AB829="","",W829+T829)</f>
        <v/>
      </c>
      <c r="Y829" s="7">
        <f>IF($AB829="","",Z829-X829)</f>
        <v/>
      </c>
      <c r="Z829" s="7">
        <f>IF($AB829="","",S829+V829+Q829)</f>
        <v/>
      </c>
      <c r="AA829" s="7">
        <f>IF($AB829="","",Z829-X829-M829)</f>
        <v/>
      </c>
      <c r="AB829" s="13">
        <f>IF(ROWS($AB$2:$AB829)&lt;=MAX('Per Line'!$AK$2:$AK$4001),MATCH(ROWS($AB$2:$AB829),'Per Line'!$AK$2:$AK$4001,0),"")</f>
        <v/>
      </c>
      <c r="AC829" s="14">
        <f>IF($AB829="","",M829-L829*Z829/100)</f>
        <v/>
      </c>
    </row>
    <row r="830">
      <c r="A830" s="12" t="n"/>
      <c r="B830">
        <f>IF($AB830="","",INDEX('Per Line'!$C$2:$C$4001,$AB830)&amp;"")</f>
        <v/>
      </c>
      <c r="C830">
        <f>IF($AB830="","",INDEX('Per Line'!$D$2:$D$4001,$AB830)&amp;"")</f>
        <v/>
      </c>
      <c r="D830">
        <f>IF($AB830="","",INDEX('Per Line'!$B$2:$B$4001,$AB830)&amp;"")</f>
        <v/>
      </c>
      <c r="E830">
        <f>IF($AB830="","",INDEX('Per Line'!$A$2:$A$4001,$AB830))</f>
        <v/>
      </c>
      <c r="F830" s="11">
        <f>IF($AB830="","",INDEX('Per Line'!$E$2:$E$4001,$AB830))</f>
        <v/>
      </c>
      <c r="G830">
        <f>IF($AB830="","",INDEX('Per Line'!$F$2:$F$4001,$AB830)&amp;"")</f>
        <v/>
      </c>
      <c r="H830">
        <f>IF($AB830="","",INDEX('Per Line'!$H$2:$H$4001,$AB830)&amp;"")</f>
        <v/>
      </c>
      <c r="I830">
        <f>IF($AB830="","",INDEX('Per Line'!$I$2:$I$4001,$AB830)&amp;"")</f>
        <v/>
      </c>
      <c r="J830">
        <f>IF($AB830="","",INDEX('Per Line'!$J$2:$J$4001,$AB830)&amp;"")</f>
        <v/>
      </c>
      <c r="K830">
        <f>IF($AB830="","",INDEX('Per Line'!$K$2:$K$4001,$AB830)&amp;"")</f>
        <v/>
      </c>
      <c r="L830">
        <f>IF($AB830="","",INDEX('Per Line'!$L$2:$L$4001,$AB830))</f>
        <v/>
      </c>
      <c r="M830" s="7">
        <f>IF($AB830="","",IF(AND(ISNUMBER(O830),O830&gt;0,Z830&gt;O830),L830*O830/100+(Z830-O830),L830*Z830/100))</f>
        <v/>
      </c>
      <c r="N830">
        <f>IF($AB830="","",INDEX('Per Line'!$V$2:$V$4001,$AB830)&amp;"")</f>
        <v/>
      </c>
      <c r="O830">
        <f>IF($AB830="","",INDEX('Per Line'!$Z$2:$Z$4001,$AB830))</f>
        <v/>
      </c>
      <c r="P830">
        <f>IF($AB830="","",IF(AND(ISNUMBER(O830),O830&gt;0),Z830&gt;O830,FALSE))</f>
        <v/>
      </c>
      <c r="Q830" s="7">
        <f>IF($AB830="","",SUMIFS('Per Line'!$U$2:$U$4001,'Per Line'!$C$2:$C$4001,$B830,'Per Line'!$AM$2:$AM$4001,1))</f>
        <v/>
      </c>
      <c r="R830">
        <f>IF($AB830="","",Settings!$C$7)</f>
        <v/>
      </c>
      <c r="S830" s="7">
        <f>IF($AB830="","",SUMIFS('Per Line'!$U$2:$U$4001,'Per Line'!$C$2:$C$4001,$B830,'Per Line'!$AL$2:$AL$4001,0,'Per Line'!$AM$2:$AM$4001,0))</f>
        <v/>
      </c>
      <c r="T830" s="7">
        <f>IF($AB830="","",S830*R830)</f>
        <v/>
      </c>
      <c r="U830">
        <f>IF($AB830="","",Settings!$C$6)</f>
        <v/>
      </c>
      <c r="V830" s="7">
        <f>IF($AB830="","",SUMIFS('Per Line'!$U$2:$U$4001,'Per Line'!$C$2:$C$4001,$B830,'Per Line'!$AL$2:$AL$4001,1,'Per Line'!$AM$2:$AM$4001,0))</f>
        <v/>
      </c>
      <c r="W830" s="7">
        <f>IF($AB830="","",V830*U830)</f>
        <v/>
      </c>
      <c r="X830" s="7">
        <f>IF($AB830="","",W830+T830)</f>
        <v/>
      </c>
      <c r="Y830" s="7">
        <f>IF($AB830="","",Z830-X830)</f>
        <v/>
      </c>
      <c r="Z830" s="7">
        <f>IF($AB830="","",S830+V830+Q830)</f>
        <v/>
      </c>
      <c r="AA830" s="7">
        <f>IF($AB830="","",Z830-X830-M830)</f>
        <v/>
      </c>
      <c r="AB830" s="13">
        <f>IF(ROWS($AB$2:$AB830)&lt;=MAX('Per Line'!$AK$2:$AK$4001),MATCH(ROWS($AB$2:$AB830),'Per Line'!$AK$2:$AK$4001,0),"")</f>
        <v/>
      </c>
      <c r="AC830" s="14">
        <f>IF($AB830="","",M830-L830*Z830/100)</f>
        <v/>
      </c>
    </row>
    <row r="831">
      <c r="A831" s="12" t="n"/>
      <c r="B831">
        <f>IF($AB831="","",INDEX('Per Line'!$C$2:$C$4001,$AB831)&amp;"")</f>
        <v/>
      </c>
      <c r="C831">
        <f>IF($AB831="","",INDEX('Per Line'!$D$2:$D$4001,$AB831)&amp;"")</f>
        <v/>
      </c>
      <c r="D831">
        <f>IF($AB831="","",INDEX('Per Line'!$B$2:$B$4001,$AB831)&amp;"")</f>
        <v/>
      </c>
      <c r="E831">
        <f>IF($AB831="","",INDEX('Per Line'!$A$2:$A$4001,$AB831))</f>
        <v/>
      </c>
      <c r="F831" s="11">
        <f>IF($AB831="","",INDEX('Per Line'!$E$2:$E$4001,$AB831))</f>
        <v/>
      </c>
      <c r="G831">
        <f>IF($AB831="","",INDEX('Per Line'!$F$2:$F$4001,$AB831)&amp;"")</f>
        <v/>
      </c>
      <c r="H831">
        <f>IF($AB831="","",INDEX('Per Line'!$H$2:$H$4001,$AB831)&amp;"")</f>
        <v/>
      </c>
      <c r="I831">
        <f>IF($AB831="","",INDEX('Per Line'!$I$2:$I$4001,$AB831)&amp;"")</f>
        <v/>
      </c>
      <c r="J831">
        <f>IF($AB831="","",INDEX('Per Line'!$J$2:$J$4001,$AB831)&amp;"")</f>
        <v/>
      </c>
      <c r="K831">
        <f>IF($AB831="","",INDEX('Per Line'!$K$2:$K$4001,$AB831)&amp;"")</f>
        <v/>
      </c>
      <c r="L831">
        <f>IF($AB831="","",INDEX('Per Line'!$L$2:$L$4001,$AB831))</f>
        <v/>
      </c>
      <c r="M831" s="7">
        <f>IF($AB831="","",IF(AND(ISNUMBER(O831),O831&gt;0,Z831&gt;O831),L831*O831/100+(Z831-O831),L831*Z831/100))</f>
        <v/>
      </c>
      <c r="N831">
        <f>IF($AB831="","",INDEX('Per Line'!$V$2:$V$4001,$AB831)&amp;"")</f>
        <v/>
      </c>
      <c r="O831">
        <f>IF($AB831="","",INDEX('Per Line'!$Z$2:$Z$4001,$AB831))</f>
        <v/>
      </c>
      <c r="P831">
        <f>IF($AB831="","",IF(AND(ISNUMBER(O831),O831&gt;0),Z831&gt;O831,FALSE))</f>
        <v/>
      </c>
      <c r="Q831" s="7">
        <f>IF($AB831="","",SUMIFS('Per Line'!$U$2:$U$4001,'Per Line'!$C$2:$C$4001,$B831,'Per Line'!$AM$2:$AM$4001,1))</f>
        <v/>
      </c>
      <c r="R831">
        <f>IF($AB831="","",Settings!$C$7)</f>
        <v/>
      </c>
      <c r="S831" s="7">
        <f>IF($AB831="","",SUMIFS('Per Line'!$U$2:$U$4001,'Per Line'!$C$2:$C$4001,$B831,'Per Line'!$AL$2:$AL$4001,0,'Per Line'!$AM$2:$AM$4001,0))</f>
        <v/>
      </c>
      <c r="T831" s="7">
        <f>IF($AB831="","",S831*R831)</f>
        <v/>
      </c>
      <c r="U831">
        <f>IF($AB831="","",Settings!$C$6)</f>
        <v/>
      </c>
      <c r="V831" s="7">
        <f>IF($AB831="","",SUMIFS('Per Line'!$U$2:$U$4001,'Per Line'!$C$2:$C$4001,$B831,'Per Line'!$AL$2:$AL$4001,1,'Per Line'!$AM$2:$AM$4001,0))</f>
        <v/>
      </c>
      <c r="W831" s="7">
        <f>IF($AB831="","",V831*U831)</f>
        <v/>
      </c>
      <c r="X831" s="7">
        <f>IF($AB831="","",W831+T831)</f>
        <v/>
      </c>
      <c r="Y831" s="7">
        <f>IF($AB831="","",Z831-X831)</f>
        <v/>
      </c>
      <c r="Z831" s="7">
        <f>IF($AB831="","",S831+V831+Q831)</f>
        <v/>
      </c>
      <c r="AA831" s="7">
        <f>IF($AB831="","",Z831-X831-M831)</f>
        <v/>
      </c>
      <c r="AB831" s="13">
        <f>IF(ROWS($AB$2:$AB831)&lt;=MAX('Per Line'!$AK$2:$AK$4001),MATCH(ROWS($AB$2:$AB831),'Per Line'!$AK$2:$AK$4001,0),"")</f>
        <v/>
      </c>
      <c r="AC831" s="14">
        <f>IF($AB831="","",M831-L831*Z831/100)</f>
        <v/>
      </c>
    </row>
    <row r="832">
      <c r="A832" s="12" t="n"/>
      <c r="B832">
        <f>IF($AB832="","",INDEX('Per Line'!$C$2:$C$4001,$AB832)&amp;"")</f>
        <v/>
      </c>
      <c r="C832">
        <f>IF($AB832="","",INDEX('Per Line'!$D$2:$D$4001,$AB832)&amp;"")</f>
        <v/>
      </c>
      <c r="D832">
        <f>IF($AB832="","",INDEX('Per Line'!$B$2:$B$4001,$AB832)&amp;"")</f>
        <v/>
      </c>
      <c r="E832">
        <f>IF($AB832="","",INDEX('Per Line'!$A$2:$A$4001,$AB832))</f>
        <v/>
      </c>
      <c r="F832" s="11">
        <f>IF($AB832="","",INDEX('Per Line'!$E$2:$E$4001,$AB832))</f>
        <v/>
      </c>
      <c r="G832">
        <f>IF($AB832="","",INDEX('Per Line'!$F$2:$F$4001,$AB832)&amp;"")</f>
        <v/>
      </c>
      <c r="H832">
        <f>IF($AB832="","",INDEX('Per Line'!$H$2:$H$4001,$AB832)&amp;"")</f>
        <v/>
      </c>
      <c r="I832">
        <f>IF($AB832="","",INDEX('Per Line'!$I$2:$I$4001,$AB832)&amp;"")</f>
        <v/>
      </c>
      <c r="J832">
        <f>IF($AB832="","",INDEX('Per Line'!$J$2:$J$4001,$AB832)&amp;"")</f>
        <v/>
      </c>
      <c r="K832">
        <f>IF($AB832="","",INDEX('Per Line'!$K$2:$K$4001,$AB832)&amp;"")</f>
        <v/>
      </c>
      <c r="L832">
        <f>IF($AB832="","",INDEX('Per Line'!$L$2:$L$4001,$AB832))</f>
        <v/>
      </c>
      <c r="M832" s="7">
        <f>IF($AB832="","",IF(AND(ISNUMBER(O832),O832&gt;0,Z832&gt;O832),L832*O832/100+(Z832-O832),L832*Z832/100))</f>
        <v/>
      </c>
      <c r="N832">
        <f>IF($AB832="","",INDEX('Per Line'!$V$2:$V$4001,$AB832)&amp;"")</f>
        <v/>
      </c>
      <c r="O832">
        <f>IF($AB832="","",INDEX('Per Line'!$Z$2:$Z$4001,$AB832))</f>
        <v/>
      </c>
      <c r="P832">
        <f>IF($AB832="","",IF(AND(ISNUMBER(O832),O832&gt;0),Z832&gt;O832,FALSE))</f>
        <v/>
      </c>
      <c r="Q832" s="7">
        <f>IF($AB832="","",SUMIFS('Per Line'!$U$2:$U$4001,'Per Line'!$C$2:$C$4001,$B832,'Per Line'!$AM$2:$AM$4001,1))</f>
        <v/>
      </c>
      <c r="R832">
        <f>IF($AB832="","",Settings!$C$7)</f>
        <v/>
      </c>
      <c r="S832" s="7">
        <f>IF($AB832="","",SUMIFS('Per Line'!$U$2:$U$4001,'Per Line'!$C$2:$C$4001,$B832,'Per Line'!$AL$2:$AL$4001,0,'Per Line'!$AM$2:$AM$4001,0))</f>
        <v/>
      </c>
      <c r="T832" s="7">
        <f>IF($AB832="","",S832*R832)</f>
        <v/>
      </c>
      <c r="U832">
        <f>IF($AB832="","",Settings!$C$6)</f>
        <v/>
      </c>
      <c r="V832" s="7">
        <f>IF($AB832="","",SUMIFS('Per Line'!$U$2:$U$4001,'Per Line'!$C$2:$C$4001,$B832,'Per Line'!$AL$2:$AL$4001,1,'Per Line'!$AM$2:$AM$4001,0))</f>
        <v/>
      </c>
      <c r="W832" s="7">
        <f>IF($AB832="","",V832*U832)</f>
        <v/>
      </c>
      <c r="X832" s="7">
        <f>IF($AB832="","",W832+T832)</f>
        <v/>
      </c>
      <c r="Y832" s="7">
        <f>IF($AB832="","",Z832-X832)</f>
        <v/>
      </c>
      <c r="Z832" s="7">
        <f>IF($AB832="","",S832+V832+Q832)</f>
        <v/>
      </c>
      <c r="AA832" s="7">
        <f>IF($AB832="","",Z832-X832-M832)</f>
        <v/>
      </c>
      <c r="AB832" s="13">
        <f>IF(ROWS($AB$2:$AB832)&lt;=MAX('Per Line'!$AK$2:$AK$4001),MATCH(ROWS($AB$2:$AB832),'Per Line'!$AK$2:$AK$4001,0),"")</f>
        <v/>
      </c>
      <c r="AC832" s="14">
        <f>IF($AB832="","",M832-L832*Z832/100)</f>
        <v/>
      </c>
    </row>
    <row r="833">
      <c r="A833" s="12" t="n"/>
      <c r="B833">
        <f>IF($AB833="","",INDEX('Per Line'!$C$2:$C$4001,$AB833)&amp;"")</f>
        <v/>
      </c>
      <c r="C833">
        <f>IF($AB833="","",INDEX('Per Line'!$D$2:$D$4001,$AB833)&amp;"")</f>
        <v/>
      </c>
      <c r="D833">
        <f>IF($AB833="","",INDEX('Per Line'!$B$2:$B$4001,$AB833)&amp;"")</f>
        <v/>
      </c>
      <c r="E833">
        <f>IF($AB833="","",INDEX('Per Line'!$A$2:$A$4001,$AB833))</f>
        <v/>
      </c>
      <c r="F833" s="11">
        <f>IF($AB833="","",INDEX('Per Line'!$E$2:$E$4001,$AB833))</f>
        <v/>
      </c>
      <c r="G833">
        <f>IF($AB833="","",INDEX('Per Line'!$F$2:$F$4001,$AB833)&amp;"")</f>
        <v/>
      </c>
      <c r="H833">
        <f>IF($AB833="","",INDEX('Per Line'!$H$2:$H$4001,$AB833)&amp;"")</f>
        <v/>
      </c>
      <c r="I833">
        <f>IF($AB833="","",INDEX('Per Line'!$I$2:$I$4001,$AB833)&amp;"")</f>
        <v/>
      </c>
      <c r="J833">
        <f>IF($AB833="","",INDEX('Per Line'!$J$2:$J$4001,$AB833)&amp;"")</f>
        <v/>
      </c>
      <c r="K833">
        <f>IF($AB833="","",INDEX('Per Line'!$K$2:$K$4001,$AB833)&amp;"")</f>
        <v/>
      </c>
      <c r="L833">
        <f>IF($AB833="","",INDEX('Per Line'!$L$2:$L$4001,$AB833))</f>
        <v/>
      </c>
      <c r="M833" s="7">
        <f>IF($AB833="","",IF(AND(ISNUMBER(O833),O833&gt;0,Z833&gt;O833),L833*O833/100+(Z833-O833),L833*Z833/100))</f>
        <v/>
      </c>
      <c r="N833">
        <f>IF($AB833="","",INDEX('Per Line'!$V$2:$V$4001,$AB833)&amp;"")</f>
        <v/>
      </c>
      <c r="O833">
        <f>IF($AB833="","",INDEX('Per Line'!$Z$2:$Z$4001,$AB833))</f>
        <v/>
      </c>
      <c r="P833">
        <f>IF($AB833="","",IF(AND(ISNUMBER(O833),O833&gt;0),Z833&gt;O833,FALSE))</f>
        <v/>
      </c>
      <c r="Q833" s="7">
        <f>IF($AB833="","",SUMIFS('Per Line'!$U$2:$U$4001,'Per Line'!$C$2:$C$4001,$B833,'Per Line'!$AM$2:$AM$4001,1))</f>
        <v/>
      </c>
      <c r="R833">
        <f>IF($AB833="","",Settings!$C$7)</f>
        <v/>
      </c>
      <c r="S833" s="7">
        <f>IF($AB833="","",SUMIFS('Per Line'!$U$2:$U$4001,'Per Line'!$C$2:$C$4001,$B833,'Per Line'!$AL$2:$AL$4001,0,'Per Line'!$AM$2:$AM$4001,0))</f>
        <v/>
      </c>
      <c r="T833" s="7">
        <f>IF($AB833="","",S833*R833)</f>
        <v/>
      </c>
      <c r="U833">
        <f>IF($AB833="","",Settings!$C$6)</f>
        <v/>
      </c>
      <c r="V833" s="7">
        <f>IF($AB833="","",SUMIFS('Per Line'!$U$2:$U$4001,'Per Line'!$C$2:$C$4001,$B833,'Per Line'!$AL$2:$AL$4001,1,'Per Line'!$AM$2:$AM$4001,0))</f>
        <v/>
      </c>
      <c r="W833" s="7">
        <f>IF($AB833="","",V833*U833)</f>
        <v/>
      </c>
      <c r="X833" s="7">
        <f>IF($AB833="","",W833+T833)</f>
        <v/>
      </c>
      <c r="Y833" s="7">
        <f>IF($AB833="","",Z833-X833)</f>
        <v/>
      </c>
      <c r="Z833" s="7">
        <f>IF($AB833="","",S833+V833+Q833)</f>
        <v/>
      </c>
      <c r="AA833" s="7">
        <f>IF($AB833="","",Z833-X833-M833)</f>
        <v/>
      </c>
      <c r="AB833" s="13">
        <f>IF(ROWS($AB$2:$AB833)&lt;=MAX('Per Line'!$AK$2:$AK$4001),MATCH(ROWS($AB$2:$AB833),'Per Line'!$AK$2:$AK$4001,0),"")</f>
        <v/>
      </c>
      <c r="AC833" s="14">
        <f>IF($AB833="","",M833-L833*Z833/100)</f>
        <v/>
      </c>
    </row>
    <row r="834">
      <c r="A834" s="12" t="n"/>
      <c r="B834">
        <f>IF($AB834="","",INDEX('Per Line'!$C$2:$C$4001,$AB834)&amp;"")</f>
        <v/>
      </c>
      <c r="C834">
        <f>IF($AB834="","",INDEX('Per Line'!$D$2:$D$4001,$AB834)&amp;"")</f>
        <v/>
      </c>
      <c r="D834">
        <f>IF($AB834="","",INDEX('Per Line'!$B$2:$B$4001,$AB834)&amp;"")</f>
        <v/>
      </c>
      <c r="E834">
        <f>IF($AB834="","",INDEX('Per Line'!$A$2:$A$4001,$AB834))</f>
        <v/>
      </c>
      <c r="F834" s="11">
        <f>IF($AB834="","",INDEX('Per Line'!$E$2:$E$4001,$AB834))</f>
        <v/>
      </c>
      <c r="G834">
        <f>IF($AB834="","",INDEX('Per Line'!$F$2:$F$4001,$AB834)&amp;"")</f>
        <v/>
      </c>
      <c r="H834">
        <f>IF($AB834="","",INDEX('Per Line'!$H$2:$H$4001,$AB834)&amp;"")</f>
        <v/>
      </c>
      <c r="I834">
        <f>IF($AB834="","",INDEX('Per Line'!$I$2:$I$4001,$AB834)&amp;"")</f>
        <v/>
      </c>
      <c r="J834">
        <f>IF($AB834="","",INDEX('Per Line'!$J$2:$J$4001,$AB834)&amp;"")</f>
        <v/>
      </c>
      <c r="K834">
        <f>IF($AB834="","",INDEX('Per Line'!$K$2:$K$4001,$AB834)&amp;"")</f>
        <v/>
      </c>
      <c r="L834">
        <f>IF($AB834="","",INDEX('Per Line'!$L$2:$L$4001,$AB834))</f>
        <v/>
      </c>
      <c r="M834" s="7">
        <f>IF($AB834="","",IF(AND(ISNUMBER(O834),O834&gt;0,Z834&gt;O834),L834*O834/100+(Z834-O834),L834*Z834/100))</f>
        <v/>
      </c>
      <c r="N834">
        <f>IF($AB834="","",INDEX('Per Line'!$V$2:$V$4001,$AB834)&amp;"")</f>
        <v/>
      </c>
      <c r="O834">
        <f>IF($AB834="","",INDEX('Per Line'!$Z$2:$Z$4001,$AB834))</f>
        <v/>
      </c>
      <c r="P834">
        <f>IF($AB834="","",IF(AND(ISNUMBER(O834),O834&gt;0),Z834&gt;O834,FALSE))</f>
        <v/>
      </c>
      <c r="Q834" s="7">
        <f>IF($AB834="","",SUMIFS('Per Line'!$U$2:$U$4001,'Per Line'!$C$2:$C$4001,$B834,'Per Line'!$AM$2:$AM$4001,1))</f>
        <v/>
      </c>
      <c r="R834">
        <f>IF($AB834="","",Settings!$C$7)</f>
        <v/>
      </c>
      <c r="S834" s="7">
        <f>IF($AB834="","",SUMIFS('Per Line'!$U$2:$U$4001,'Per Line'!$C$2:$C$4001,$B834,'Per Line'!$AL$2:$AL$4001,0,'Per Line'!$AM$2:$AM$4001,0))</f>
        <v/>
      </c>
      <c r="T834" s="7">
        <f>IF($AB834="","",S834*R834)</f>
        <v/>
      </c>
      <c r="U834">
        <f>IF($AB834="","",Settings!$C$6)</f>
        <v/>
      </c>
      <c r="V834" s="7">
        <f>IF($AB834="","",SUMIFS('Per Line'!$U$2:$U$4001,'Per Line'!$C$2:$C$4001,$B834,'Per Line'!$AL$2:$AL$4001,1,'Per Line'!$AM$2:$AM$4001,0))</f>
        <v/>
      </c>
      <c r="W834" s="7">
        <f>IF($AB834="","",V834*U834)</f>
        <v/>
      </c>
      <c r="X834" s="7">
        <f>IF($AB834="","",W834+T834)</f>
        <v/>
      </c>
      <c r="Y834" s="7">
        <f>IF($AB834="","",Z834-X834)</f>
        <v/>
      </c>
      <c r="Z834" s="7">
        <f>IF($AB834="","",S834+V834+Q834)</f>
        <v/>
      </c>
      <c r="AA834" s="7">
        <f>IF($AB834="","",Z834-X834-M834)</f>
        <v/>
      </c>
      <c r="AB834" s="13">
        <f>IF(ROWS($AB$2:$AB834)&lt;=MAX('Per Line'!$AK$2:$AK$4001),MATCH(ROWS($AB$2:$AB834),'Per Line'!$AK$2:$AK$4001,0),"")</f>
        <v/>
      </c>
      <c r="AC834" s="14">
        <f>IF($AB834="","",M834-L834*Z834/100)</f>
        <v/>
      </c>
    </row>
    <row r="835">
      <c r="A835" s="12" t="n"/>
      <c r="B835">
        <f>IF($AB835="","",INDEX('Per Line'!$C$2:$C$4001,$AB835)&amp;"")</f>
        <v/>
      </c>
      <c r="C835">
        <f>IF($AB835="","",INDEX('Per Line'!$D$2:$D$4001,$AB835)&amp;"")</f>
        <v/>
      </c>
      <c r="D835">
        <f>IF($AB835="","",INDEX('Per Line'!$B$2:$B$4001,$AB835)&amp;"")</f>
        <v/>
      </c>
      <c r="E835">
        <f>IF($AB835="","",INDEX('Per Line'!$A$2:$A$4001,$AB835))</f>
        <v/>
      </c>
      <c r="F835" s="11">
        <f>IF($AB835="","",INDEX('Per Line'!$E$2:$E$4001,$AB835))</f>
        <v/>
      </c>
      <c r="G835">
        <f>IF($AB835="","",INDEX('Per Line'!$F$2:$F$4001,$AB835)&amp;"")</f>
        <v/>
      </c>
      <c r="H835">
        <f>IF($AB835="","",INDEX('Per Line'!$H$2:$H$4001,$AB835)&amp;"")</f>
        <v/>
      </c>
      <c r="I835">
        <f>IF($AB835="","",INDEX('Per Line'!$I$2:$I$4001,$AB835)&amp;"")</f>
        <v/>
      </c>
      <c r="J835">
        <f>IF($AB835="","",INDEX('Per Line'!$J$2:$J$4001,$AB835)&amp;"")</f>
        <v/>
      </c>
      <c r="K835">
        <f>IF($AB835="","",INDEX('Per Line'!$K$2:$K$4001,$AB835)&amp;"")</f>
        <v/>
      </c>
      <c r="L835">
        <f>IF($AB835="","",INDEX('Per Line'!$L$2:$L$4001,$AB835))</f>
        <v/>
      </c>
      <c r="M835" s="7">
        <f>IF($AB835="","",IF(AND(ISNUMBER(O835),O835&gt;0,Z835&gt;O835),L835*O835/100+(Z835-O835),L835*Z835/100))</f>
        <v/>
      </c>
      <c r="N835">
        <f>IF($AB835="","",INDEX('Per Line'!$V$2:$V$4001,$AB835)&amp;"")</f>
        <v/>
      </c>
      <c r="O835">
        <f>IF($AB835="","",INDEX('Per Line'!$Z$2:$Z$4001,$AB835))</f>
        <v/>
      </c>
      <c r="P835">
        <f>IF($AB835="","",IF(AND(ISNUMBER(O835),O835&gt;0),Z835&gt;O835,FALSE))</f>
        <v/>
      </c>
      <c r="Q835" s="7">
        <f>IF($AB835="","",SUMIFS('Per Line'!$U$2:$U$4001,'Per Line'!$C$2:$C$4001,$B835,'Per Line'!$AM$2:$AM$4001,1))</f>
        <v/>
      </c>
      <c r="R835">
        <f>IF($AB835="","",Settings!$C$7)</f>
        <v/>
      </c>
      <c r="S835" s="7">
        <f>IF($AB835="","",SUMIFS('Per Line'!$U$2:$U$4001,'Per Line'!$C$2:$C$4001,$B835,'Per Line'!$AL$2:$AL$4001,0,'Per Line'!$AM$2:$AM$4001,0))</f>
        <v/>
      </c>
      <c r="T835" s="7">
        <f>IF($AB835="","",S835*R835)</f>
        <v/>
      </c>
      <c r="U835">
        <f>IF($AB835="","",Settings!$C$6)</f>
        <v/>
      </c>
      <c r="V835" s="7">
        <f>IF($AB835="","",SUMIFS('Per Line'!$U$2:$U$4001,'Per Line'!$C$2:$C$4001,$B835,'Per Line'!$AL$2:$AL$4001,1,'Per Line'!$AM$2:$AM$4001,0))</f>
        <v/>
      </c>
      <c r="W835" s="7">
        <f>IF($AB835="","",V835*U835)</f>
        <v/>
      </c>
      <c r="X835" s="7">
        <f>IF($AB835="","",W835+T835)</f>
        <v/>
      </c>
      <c r="Y835" s="7">
        <f>IF($AB835="","",Z835-X835)</f>
        <v/>
      </c>
      <c r="Z835" s="7">
        <f>IF($AB835="","",S835+V835+Q835)</f>
        <v/>
      </c>
      <c r="AA835" s="7">
        <f>IF($AB835="","",Z835-X835-M835)</f>
        <v/>
      </c>
      <c r="AB835" s="13">
        <f>IF(ROWS($AB$2:$AB835)&lt;=MAX('Per Line'!$AK$2:$AK$4001),MATCH(ROWS($AB$2:$AB835),'Per Line'!$AK$2:$AK$4001,0),"")</f>
        <v/>
      </c>
      <c r="AC835" s="14">
        <f>IF($AB835="","",M835-L835*Z835/100)</f>
        <v/>
      </c>
    </row>
    <row r="836">
      <c r="A836" s="12" t="n"/>
      <c r="B836">
        <f>IF($AB836="","",INDEX('Per Line'!$C$2:$C$4001,$AB836)&amp;"")</f>
        <v/>
      </c>
      <c r="C836">
        <f>IF($AB836="","",INDEX('Per Line'!$D$2:$D$4001,$AB836)&amp;"")</f>
        <v/>
      </c>
      <c r="D836">
        <f>IF($AB836="","",INDEX('Per Line'!$B$2:$B$4001,$AB836)&amp;"")</f>
        <v/>
      </c>
      <c r="E836">
        <f>IF($AB836="","",INDEX('Per Line'!$A$2:$A$4001,$AB836))</f>
        <v/>
      </c>
      <c r="F836" s="11">
        <f>IF($AB836="","",INDEX('Per Line'!$E$2:$E$4001,$AB836))</f>
        <v/>
      </c>
      <c r="G836">
        <f>IF($AB836="","",INDEX('Per Line'!$F$2:$F$4001,$AB836)&amp;"")</f>
        <v/>
      </c>
      <c r="H836">
        <f>IF($AB836="","",INDEX('Per Line'!$H$2:$H$4001,$AB836)&amp;"")</f>
        <v/>
      </c>
      <c r="I836">
        <f>IF($AB836="","",INDEX('Per Line'!$I$2:$I$4001,$AB836)&amp;"")</f>
        <v/>
      </c>
      <c r="J836">
        <f>IF($AB836="","",INDEX('Per Line'!$J$2:$J$4001,$AB836)&amp;"")</f>
        <v/>
      </c>
      <c r="K836">
        <f>IF($AB836="","",INDEX('Per Line'!$K$2:$K$4001,$AB836)&amp;"")</f>
        <v/>
      </c>
      <c r="L836">
        <f>IF($AB836="","",INDEX('Per Line'!$L$2:$L$4001,$AB836))</f>
        <v/>
      </c>
      <c r="M836" s="7">
        <f>IF($AB836="","",IF(AND(ISNUMBER(O836),O836&gt;0,Z836&gt;O836),L836*O836/100+(Z836-O836),L836*Z836/100))</f>
        <v/>
      </c>
      <c r="N836">
        <f>IF($AB836="","",INDEX('Per Line'!$V$2:$V$4001,$AB836)&amp;"")</f>
        <v/>
      </c>
      <c r="O836">
        <f>IF($AB836="","",INDEX('Per Line'!$Z$2:$Z$4001,$AB836))</f>
        <v/>
      </c>
      <c r="P836">
        <f>IF($AB836="","",IF(AND(ISNUMBER(O836),O836&gt;0),Z836&gt;O836,FALSE))</f>
        <v/>
      </c>
      <c r="Q836" s="7">
        <f>IF($AB836="","",SUMIFS('Per Line'!$U$2:$U$4001,'Per Line'!$C$2:$C$4001,$B836,'Per Line'!$AM$2:$AM$4001,1))</f>
        <v/>
      </c>
      <c r="R836">
        <f>IF($AB836="","",Settings!$C$7)</f>
        <v/>
      </c>
      <c r="S836" s="7">
        <f>IF($AB836="","",SUMIFS('Per Line'!$U$2:$U$4001,'Per Line'!$C$2:$C$4001,$B836,'Per Line'!$AL$2:$AL$4001,0,'Per Line'!$AM$2:$AM$4001,0))</f>
        <v/>
      </c>
      <c r="T836" s="7">
        <f>IF($AB836="","",S836*R836)</f>
        <v/>
      </c>
      <c r="U836">
        <f>IF($AB836="","",Settings!$C$6)</f>
        <v/>
      </c>
      <c r="V836" s="7">
        <f>IF($AB836="","",SUMIFS('Per Line'!$U$2:$U$4001,'Per Line'!$C$2:$C$4001,$B836,'Per Line'!$AL$2:$AL$4001,1,'Per Line'!$AM$2:$AM$4001,0))</f>
        <v/>
      </c>
      <c r="W836" s="7">
        <f>IF($AB836="","",V836*U836)</f>
        <v/>
      </c>
      <c r="X836" s="7">
        <f>IF($AB836="","",W836+T836)</f>
        <v/>
      </c>
      <c r="Y836" s="7">
        <f>IF($AB836="","",Z836-X836)</f>
        <v/>
      </c>
      <c r="Z836" s="7">
        <f>IF($AB836="","",S836+V836+Q836)</f>
        <v/>
      </c>
      <c r="AA836" s="7">
        <f>IF($AB836="","",Z836-X836-M836)</f>
        <v/>
      </c>
      <c r="AB836" s="13">
        <f>IF(ROWS($AB$2:$AB836)&lt;=MAX('Per Line'!$AK$2:$AK$4001),MATCH(ROWS($AB$2:$AB836),'Per Line'!$AK$2:$AK$4001,0),"")</f>
        <v/>
      </c>
      <c r="AC836" s="14">
        <f>IF($AB836="","",M836-L836*Z836/100)</f>
        <v/>
      </c>
    </row>
    <row r="837">
      <c r="A837" s="12" t="n"/>
      <c r="B837">
        <f>IF($AB837="","",INDEX('Per Line'!$C$2:$C$4001,$AB837)&amp;"")</f>
        <v/>
      </c>
      <c r="C837">
        <f>IF($AB837="","",INDEX('Per Line'!$D$2:$D$4001,$AB837)&amp;"")</f>
        <v/>
      </c>
      <c r="D837">
        <f>IF($AB837="","",INDEX('Per Line'!$B$2:$B$4001,$AB837)&amp;"")</f>
        <v/>
      </c>
      <c r="E837">
        <f>IF($AB837="","",INDEX('Per Line'!$A$2:$A$4001,$AB837))</f>
        <v/>
      </c>
      <c r="F837" s="11">
        <f>IF($AB837="","",INDEX('Per Line'!$E$2:$E$4001,$AB837))</f>
        <v/>
      </c>
      <c r="G837">
        <f>IF($AB837="","",INDEX('Per Line'!$F$2:$F$4001,$AB837)&amp;"")</f>
        <v/>
      </c>
      <c r="H837">
        <f>IF($AB837="","",INDEX('Per Line'!$H$2:$H$4001,$AB837)&amp;"")</f>
        <v/>
      </c>
      <c r="I837">
        <f>IF($AB837="","",INDEX('Per Line'!$I$2:$I$4001,$AB837)&amp;"")</f>
        <v/>
      </c>
      <c r="J837">
        <f>IF($AB837="","",INDEX('Per Line'!$J$2:$J$4001,$AB837)&amp;"")</f>
        <v/>
      </c>
      <c r="K837">
        <f>IF($AB837="","",INDEX('Per Line'!$K$2:$K$4001,$AB837)&amp;"")</f>
        <v/>
      </c>
      <c r="L837">
        <f>IF($AB837="","",INDEX('Per Line'!$L$2:$L$4001,$AB837))</f>
        <v/>
      </c>
      <c r="M837" s="7">
        <f>IF($AB837="","",IF(AND(ISNUMBER(O837),O837&gt;0,Z837&gt;O837),L837*O837/100+(Z837-O837),L837*Z837/100))</f>
        <v/>
      </c>
      <c r="N837">
        <f>IF($AB837="","",INDEX('Per Line'!$V$2:$V$4001,$AB837)&amp;"")</f>
        <v/>
      </c>
      <c r="O837">
        <f>IF($AB837="","",INDEX('Per Line'!$Z$2:$Z$4001,$AB837))</f>
        <v/>
      </c>
      <c r="P837">
        <f>IF($AB837="","",IF(AND(ISNUMBER(O837),O837&gt;0),Z837&gt;O837,FALSE))</f>
        <v/>
      </c>
      <c r="Q837" s="7">
        <f>IF($AB837="","",SUMIFS('Per Line'!$U$2:$U$4001,'Per Line'!$C$2:$C$4001,$B837,'Per Line'!$AM$2:$AM$4001,1))</f>
        <v/>
      </c>
      <c r="R837">
        <f>IF($AB837="","",Settings!$C$7)</f>
        <v/>
      </c>
      <c r="S837" s="7">
        <f>IF($AB837="","",SUMIFS('Per Line'!$U$2:$U$4001,'Per Line'!$C$2:$C$4001,$B837,'Per Line'!$AL$2:$AL$4001,0,'Per Line'!$AM$2:$AM$4001,0))</f>
        <v/>
      </c>
      <c r="T837" s="7">
        <f>IF($AB837="","",S837*R837)</f>
        <v/>
      </c>
      <c r="U837">
        <f>IF($AB837="","",Settings!$C$6)</f>
        <v/>
      </c>
      <c r="V837" s="7">
        <f>IF($AB837="","",SUMIFS('Per Line'!$U$2:$U$4001,'Per Line'!$C$2:$C$4001,$B837,'Per Line'!$AL$2:$AL$4001,1,'Per Line'!$AM$2:$AM$4001,0))</f>
        <v/>
      </c>
      <c r="W837" s="7">
        <f>IF($AB837="","",V837*U837)</f>
        <v/>
      </c>
      <c r="X837" s="7">
        <f>IF($AB837="","",W837+T837)</f>
        <v/>
      </c>
      <c r="Y837" s="7">
        <f>IF($AB837="","",Z837-X837)</f>
        <v/>
      </c>
      <c r="Z837" s="7">
        <f>IF($AB837="","",S837+V837+Q837)</f>
        <v/>
      </c>
      <c r="AA837" s="7">
        <f>IF($AB837="","",Z837-X837-M837)</f>
        <v/>
      </c>
      <c r="AB837" s="13">
        <f>IF(ROWS($AB$2:$AB837)&lt;=MAX('Per Line'!$AK$2:$AK$4001),MATCH(ROWS($AB$2:$AB837),'Per Line'!$AK$2:$AK$4001,0),"")</f>
        <v/>
      </c>
      <c r="AC837" s="14">
        <f>IF($AB837="","",M837-L837*Z837/100)</f>
        <v/>
      </c>
    </row>
    <row r="838">
      <c r="A838" s="12" t="n"/>
      <c r="B838">
        <f>IF($AB838="","",INDEX('Per Line'!$C$2:$C$4001,$AB838)&amp;"")</f>
        <v/>
      </c>
      <c r="C838">
        <f>IF($AB838="","",INDEX('Per Line'!$D$2:$D$4001,$AB838)&amp;"")</f>
        <v/>
      </c>
      <c r="D838">
        <f>IF($AB838="","",INDEX('Per Line'!$B$2:$B$4001,$AB838)&amp;"")</f>
        <v/>
      </c>
      <c r="E838">
        <f>IF($AB838="","",INDEX('Per Line'!$A$2:$A$4001,$AB838))</f>
        <v/>
      </c>
      <c r="F838" s="11">
        <f>IF($AB838="","",INDEX('Per Line'!$E$2:$E$4001,$AB838))</f>
        <v/>
      </c>
      <c r="G838">
        <f>IF($AB838="","",INDEX('Per Line'!$F$2:$F$4001,$AB838)&amp;"")</f>
        <v/>
      </c>
      <c r="H838">
        <f>IF($AB838="","",INDEX('Per Line'!$H$2:$H$4001,$AB838)&amp;"")</f>
        <v/>
      </c>
      <c r="I838">
        <f>IF($AB838="","",INDEX('Per Line'!$I$2:$I$4001,$AB838)&amp;"")</f>
        <v/>
      </c>
      <c r="J838">
        <f>IF($AB838="","",INDEX('Per Line'!$J$2:$J$4001,$AB838)&amp;"")</f>
        <v/>
      </c>
      <c r="K838">
        <f>IF($AB838="","",INDEX('Per Line'!$K$2:$K$4001,$AB838)&amp;"")</f>
        <v/>
      </c>
      <c r="L838">
        <f>IF($AB838="","",INDEX('Per Line'!$L$2:$L$4001,$AB838))</f>
        <v/>
      </c>
      <c r="M838" s="7">
        <f>IF($AB838="","",IF(AND(ISNUMBER(O838),O838&gt;0,Z838&gt;O838),L838*O838/100+(Z838-O838),L838*Z838/100))</f>
        <v/>
      </c>
      <c r="N838">
        <f>IF($AB838="","",INDEX('Per Line'!$V$2:$V$4001,$AB838)&amp;"")</f>
        <v/>
      </c>
      <c r="O838">
        <f>IF($AB838="","",INDEX('Per Line'!$Z$2:$Z$4001,$AB838))</f>
        <v/>
      </c>
      <c r="P838">
        <f>IF($AB838="","",IF(AND(ISNUMBER(O838),O838&gt;0),Z838&gt;O838,FALSE))</f>
        <v/>
      </c>
      <c r="Q838" s="7">
        <f>IF($AB838="","",SUMIFS('Per Line'!$U$2:$U$4001,'Per Line'!$C$2:$C$4001,$B838,'Per Line'!$AM$2:$AM$4001,1))</f>
        <v/>
      </c>
      <c r="R838">
        <f>IF($AB838="","",Settings!$C$7)</f>
        <v/>
      </c>
      <c r="S838" s="7">
        <f>IF($AB838="","",SUMIFS('Per Line'!$U$2:$U$4001,'Per Line'!$C$2:$C$4001,$B838,'Per Line'!$AL$2:$AL$4001,0,'Per Line'!$AM$2:$AM$4001,0))</f>
        <v/>
      </c>
      <c r="T838" s="7">
        <f>IF($AB838="","",S838*R838)</f>
        <v/>
      </c>
      <c r="U838">
        <f>IF($AB838="","",Settings!$C$6)</f>
        <v/>
      </c>
      <c r="V838" s="7">
        <f>IF($AB838="","",SUMIFS('Per Line'!$U$2:$U$4001,'Per Line'!$C$2:$C$4001,$B838,'Per Line'!$AL$2:$AL$4001,1,'Per Line'!$AM$2:$AM$4001,0))</f>
        <v/>
      </c>
      <c r="W838" s="7">
        <f>IF($AB838="","",V838*U838)</f>
        <v/>
      </c>
      <c r="X838" s="7">
        <f>IF($AB838="","",W838+T838)</f>
        <v/>
      </c>
      <c r="Y838" s="7">
        <f>IF($AB838="","",Z838-X838)</f>
        <v/>
      </c>
      <c r="Z838" s="7">
        <f>IF($AB838="","",S838+V838+Q838)</f>
        <v/>
      </c>
      <c r="AA838" s="7">
        <f>IF($AB838="","",Z838-X838-M838)</f>
        <v/>
      </c>
      <c r="AB838" s="13">
        <f>IF(ROWS($AB$2:$AB838)&lt;=MAX('Per Line'!$AK$2:$AK$4001),MATCH(ROWS($AB$2:$AB838),'Per Line'!$AK$2:$AK$4001,0),"")</f>
        <v/>
      </c>
      <c r="AC838" s="14">
        <f>IF($AB838="","",M838-L838*Z838/100)</f>
        <v/>
      </c>
    </row>
    <row r="839">
      <c r="A839" s="12" t="n"/>
      <c r="B839">
        <f>IF($AB839="","",INDEX('Per Line'!$C$2:$C$4001,$AB839)&amp;"")</f>
        <v/>
      </c>
      <c r="C839">
        <f>IF($AB839="","",INDEX('Per Line'!$D$2:$D$4001,$AB839)&amp;"")</f>
        <v/>
      </c>
      <c r="D839">
        <f>IF($AB839="","",INDEX('Per Line'!$B$2:$B$4001,$AB839)&amp;"")</f>
        <v/>
      </c>
      <c r="E839">
        <f>IF($AB839="","",INDEX('Per Line'!$A$2:$A$4001,$AB839))</f>
        <v/>
      </c>
      <c r="F839" s="11">
        <f>IF($AB839="","",INDEX('Per Line'!$E$2:$E$4001,$AB839))</f>
        <v/>
      </c>
      <c r="G839">
        <f>IF($AB839="","",INDEX('Per Line'!$F$2:$F$4001,$AB839)&amp;"")</f>
        <v/>
      </c>
      <c r="H839">
        <f>IF($AB839="","",INDEX('Per Line'!$H$2:$H$4001,$AB839)&amp;"")</f>
        <v/>
      </c>
      <c r="I839">
        <f>IF($AB839="","",INDEX('Per Line'!$I$2:$I$4001,$AB839)&amp;"")</f>
        <v/>
      </c>
      <c r="J839">
        <f>IF($AB839="","",INDEX('Per Line'!$J$2:$J$4001,$AB839)&amp;"")</f>
        <v/>
      </c>
      <c r="K839">
        <f>IF($AB839="","",INDEX('Per Line'!$K$2:$K$4001,$AB839)&amp;"")</f>
        <v/>
      </c>
      <c r="L839">
        <f>IF($AB839="","",INDEX('Per Line'!$L$2:$L$4001,$AB839))</f>
        <v/>
      </c>
      <c r="M839" s="7">
        <f>IF($AB839="","",IF(AND(ISNUMBER(O839),O839&gt;0,Z839&gt;O839),L839*O839/100+(Z839-O839),L839*Z839/100))</f>
        <v/>
      </c>
      <c r="N839">
        <f>IF($AB839="","",INDEX('Per Line'!$V$2:$V$4001,$AB839)&amp;"")</f>
        <v/>
      </c>
      <c r="O839">
        <f>IF($AB839="","",INDEX('Per Line'!$Z$2:$Z$4001,$AB839))</f>
        <v/>
      </c>
      <c r="P839">
        <f>IF($AB839="","",IF(AND(ISNUMBER(O839),O839&gt;0),Z839&gt;O839,FALSE))</f>
        <v/>
      </c>
      <c r="Q839" s="7">
        <f>IF($AB839="","",SUMIFS('Per Line'!$U$2:$U$4001,'Per Line'!$C$2:$C$4001,$B839,'Per Line'!$AM$2:$AM$4001,1))</f>
        <v/>
      </c>
      <c r="R839">
        <f>IF($AB839="","",Settings!$C$7)</f>
        <v/>
      </c>
      <c r="S839" s="7">
        <f>IF($AB839="","",SUMIFS('Per Line'!$U$2:$U$4001,'Per Line'!$C$2:$C$4001,$B839,'Per Line'!$AL$2:$AL$4001,0,'Per Line'!$AM$2:$AM$4001,0))</f>
        <v/>
      </c>
      <c r="T839" s="7">
        <f>IF($AB839="","",S839*R839)</f>
        <v/>
      </c>
      <c r="U839">
        <f>IF($AB839="","",Settings!$C$6)</f>
        <v/>
      </c>
      <c r="V839" s="7">
        <f>IF($AB839="","",SUMIFS('Per Line'!$U$2:$U$4001,'Per Line'!$C$2:$C$4001,$B839,'Per Line'!$AL$2:$AL$4001,1,'Per Line'!$AM$2:$AM$4001,0))</f>
        <v/>
      </c>
      <c r="W839" s="7">
        <f>IF($AB839="","",V839*U839)</f>
        <v/>
      </c>
      <c r="X839" s="7">
        <f>IF($AB839="","",W839+T839)</f>
        <v/>
      </c>
      <c r="Y839" s="7">
        <f>IF($AB839="","",Z839-X839)</f>
        <v/>
      </c>
      <c r="Z839" s="7">
        <f>IF($AB839="","",S839+V839+Q839)</f>
        <v/>
      </c>
      <c r="AA839" s="7">
        <f>IF($AB839="","",Z839-X839-M839)</f>
        <v/>
      </c>
      <c r="AB839" s="13">
        <f>IF(ROWS($AB$2:$AB839)&lt;=MAX('Per Line'!$AK$2:$AK$4001),MATCH(ROWS($AB$2:$AB839),'Per Line'!$AK$2:$AK$4001,0),"")</f>
        <v/>
      </c>
      <c r="AC839" s="14">
        <f>IF($AB839="","",M839-L839*Z839/100)</f>
        <v/>
      </c>
    </row>
    <row r="840">
      <c r="A840" s="12" t="n"/>
      <c r="B840">
        <f>IF($AB840="","",INDEX('Per Line'!$C$2:$C$4001,$AB840)&amp;"")</f>
        <v/>
      </c>
      <c r="C840">
        <f>IF($AB840="","",INDEX('Per Line'!$D$2:$D$4001,$AB840)&amp;"")</f>
        <v/>
      </c>
      <c r="D840">
        <f>IF($AB840="","",INDEX('Per Line'!$B$2:$B$4001,$AB840)&amp;"")</f>
        <v/>
      </c>
      <c r="E840">
        <f>IF($AB840="","",INDEX('Per Line'!$A$2:$A$4001,$AB840))</f>
        <v/>
      </c>
      <c r="F840" s="11">
        <f>IF($AB840="","",INDEX('Per Line'!$E$2:$E$4001,$AB840))</f>
        <v/>
      </c>
      <c r="G840">
        <f>IF($AB840="","",INDEX('Per Line'!$F$2:$F$4001,$AB840)&amp;"")</f>
        <v/>
      </c>
      <c r="H840">
        <f>IF($AB840="","",INDEX('Per Line'!$H$2:$H$4001,$AB840)&amp;"")</f>
        <v/>
      </c>
      <c r="I840">
        <f>IF($AB840="","",INDEX('Per Line'!$I$2:$I$4001,$AB840)&amp;"")</f>
        <v/>
      </c>
      <c r="J840">
        <f>IF($AB840="","",INDEX('Per Line'!$J$2:$J$4001,$AB840)&amp;"")</f>
        <v/>
      </c>
      <c r="K840">
        <f>IF($AB840="","",INDEX('Per Line'!$K$2:$K$4001,$AB840)&amp;"")</f>
        <v/>
      </c>
      <c r="L840">
        <f>IF($AB840="","",INDEX('Per Line'!$L$2:$L$4001,$AB840))</f>
        <v/>
      </c>
      <c r="M840" s="7">
        <f>IF($AB840="","",IF(AND(ISNUMBER(O840),O840&gt;0,Z840&gt;O840),L840*O840/100+(Z840-O840),L840*Z840/100))</f>
        <v/>
      </c>
      <c r="N840">
        <f>IF($AB840="","",INDEX('Per Line'!$V$2:$V$4001,$AB840)&amp;"")</f>
        <v/>
      </c>
      <c r="O840">
        <f>IF($AB840="","",INDEX('Per Line'!$Z$2:$Z$4001,$AB840))</f>
        <v/>
      </c>
      <c r="P840">
        <f>IF($AB840="","",IF(AND(ISNUMBER(O840),O840&gt;0),Z840&gt;O840,FALSE))</f>
        <v/>
      </c>
      <c r="Q840" s="7">
        <f>IF($AB840="","",SUMIFS('Per Line'!$U$2:$U$4001,'Per Line'!$C$2:$C$4001,$B840,'Per Line'!$AM$2:$AM$4001,1))</f>
        <v/>
      </c>
      <c r="R840">
        <f>IF($AB840="","",Settings!$C$7)</f>
        <v/>
      </c>
      <c r="S840" s="7">
        <f>IF($AB840="","",SUMIFS('Per Line'!$U$2:$U$4001,'Per Line'!$C$2:$C$4001,$B840,'Per Line'!$AL$2:$AL$4001,0,'Per Line'!$AM$2:$AM$4001,0))</f>
        <v/>
      </c>
      <c r="T840" s="7">
        <f>IF($AB840="","",S840*R840)</f>
        <v/>
      </c>
      <c r="U840">
        <f>IF($AB840="","",Settings!$C$6)</f>
        <v/>
      </c>
      <c r="V840" s="7">
        <f>IF($AB840="","",SUMIFS('Per Line'!$U$2:$U$4001,'Per Line'!$C$2:$C$4001,$B840,'Per Line'!$AL$2:$AL$4001,1,'Per Line'!$AM$2:$AM$4001,0))</f>
        <v/>
      </c>
      <c r="W840" s="7">
        <f>IF($AB840="","",V840*U840)</f>
        <v/>
      </c>
      <c r="X840" s="7">
        <f>IF($AB840="","",W840+T840)</f>
        <v/>
      </c>
      <c r="Y840" s="7">
        <f>IF($AB840="","",Z840-X840)</f>
        <v/>
      </c>
      <c r="Z840" s="7">
        <f>IF($AB840="","",S840+V840+Q840)</f>
        <v/>
      </c>
      <c r="AA840" s="7">
        <f>IF($AB840="","",Z840-X840-M840)</f>
        <v/>
      </c>
      <c r="AB840" s="13">
        <f>IF(ROWS($AB$2:$AB840)&lt;=MAX('Per Line'!$AK$2:$AK$4001),MATCH(ROWS($AB$2:$AB840),'Per Line'!$AK$2:$AK$4001,0),"")</f>
        <v/>
      </c>
      <c r="AC840" s="14">
        <f>IF($AB840="","",M840-L840*Z840/100)</f>
        <v/>
      </c>
    </row>
    <row r="841">
      <c r="A841" s="12" t="n"/>
      <c r="B841">
        <f>IF($AB841="","",INDEX('Per Line'!$C$2:$C$4001,$AB841)&amp;"")</f>
        <v/>
      </c>
      <c r="C841">
        <f>IF($AB841="","",INDEX('Per Line'!$D$2:$D$4001,$AB841)&amp;"")</f>
        <v/>
      </c>
      <c r="D841">
        <f>IF($AB841="","",INDEX('Per Line'!$B$2:$B$4001,$AB841)&amp;"")</f>
        <v/>
      </c>
      <c r="E841">
        <f>IF($AB841="","",INDEX('Per Line'!$A$2:$A$4001,$AB841))</f>
        <v/>
      </c>
      <c r="F841" s="11">
        <f>IF($AB841="","",INDEX('Per Line'!$E$2:$E$4001,$AB841))</f>
        <v/>
      </c>
      <c r="G841">
        <f>IF($AB841="","",INDEX('Per Line'!$F$2:$F$4001,$AB841)&amp;"")</f>
        <v/>
      </c>
      <c r="H841">
        <f>IF($AB841="","",INDEX('Per Line'!$H$2:$H$4001,$AB841)&amp;"")</f>
        <v/>
      </c>
      <c r="I841">
        <f>IF($AB841="","",INDEX('Per Line'!$I$2:$I$4001,$AB841)&amp;"")</f>
        <v/>
      </c>
      <c r="J841">
        <f>IF($AB841="","",INDEX('Per Line'!$J$2:$J$4001,$AB841)&amp;"")</f>
        <v/>
      </c>
      <c r="K841">
        <f>IF($AB841="","",INDEX('Per Line'!$K$2:$K$4001,$AB841)&amp;"")</f>
        <v/>
      </c>
      <c r="L841">
        <f>IF($AB841="","",INDEX('Per Line'!$L$2:$L$4001,$AB841))</f>
        <v/>
      </c>
      <c r="M841" s="7">
        <f>IF($AB841="","",IF(AND(ISNUMBER(O841),O841&gt;0,Z841&gt;O841),L841*O841/100+(Z841-O841),L841*Z841/100))</f>
        <v/>
      </c>
      <c r="N841">
        <f>IF($AB841="","",INDEX('Per Line'!$V$2:$V$4001,$AB841)&amp;"")</f>
        <v/>
      </c>
      <c r="O841">
        <f>IF($AB841="","",INDEX('Per Line'!$Z$2:$Z$4001,$AB841))</f>
        <v/>
      </c>
      <c r="P841">
        <f>IF($AB841="","",IF(AND(ISNUMBER(O841),O841&gt;0),Z841&gt;O841,FALSE))</f>
        <v/>
      </c>
      <c r="Q841" s="7">
        <f>IF($AB841="","",SUMIFS('Per Line'!$U$2:$U$4001,'Per Line'!$C$2:$C$4001,$B841,'Per Line'!$AM$2:$AM$4001,1))</f>
        <v/>
      </c>
      <c r="R841">
        <f>IF($AB841="","",Settings!$C$7)</f>
        <v/>
      </c>
      <c r="S841" s="7">
        <f>IF($AB841="","",SUMIFS('Per Line'!$U$2:$U$4001,'Per Line'!$C$2:$C$4001,$B841,'Per Line'!$AL$2:$AL$4001,0,'Per Line'!$AM$2:$AM$4001,0))</f>
        <v/>
      </c>
      <c r="T841" s="7">
        <f>IF($AB841="","",S841*R841)</f>
        <v/>
      </c>
      <c r="U841">
        <f>IF($AB841="","",Settings!$C$6)</f>
        <v/>
      </c>
      <c r="V841" s="7">
        <f>IF($AB841="","",SUMIFS('Per Line'!$U$2:$U$4001,'Per Line'!$C$2:$C$4001,$B841,'Per Line'!$AL$2:$AL$4001,1,'Per Line'!$AM$2:$AM$4001,0))</f>
        <v/>
      </c>
      <c r="W841" s="7">
        <f>IF($AB841="","",V841*U841)</f>
        <v/>
      </c>
      <c r="X841" s="7">
        <f>IF($AB841="","",W841+T841)</f>
        <v/>
      </c>
      <c r="Y841" s="7">
        <f>IF($AB841="","",Z841-X841)</f>
        <v/>
      </c>
      <c r="Z841" s="7">
        <f>IF($AB841="","",S841+V841+Q841)</f>
        <v/>
      </c>
      <c r="AA841" s="7">
        <f>IF($AB841="","",Z841-X841-M841)</f>
        <v/>
      </c>
      <c r="AB841" s="13">
        <f>IF(ROWS($AB$2:$AB841)&lt;=MAX('Per Line'!$AK$2:$AK$4001),MATCH(ROWS($AB$2:$AB841),'Per Line'!$AK$2:$AK$4001,0),"")</f>
        <v/>
      </c>
      <c r="AC841" s="14">
        <f>IF($AB841="","",M841-L841*Z841/100)</f>
        <v/>
      </c>
    </row>
    <row r="842">
      <c r="A842" s="12" t="n"/>
      <c r="B842">
        <f>IF($AB842="","",INDEX('Per Line'!$C$2:$C$4001,$AB842)&amp;"")</f>
        <v/>
      </c>
      <c r="C842">
        <f>IF($AB842="","",INDEX('Per Line'!$D$2:$D$4001,$AB842)&amp;"")</f>
        <v/>
      </c>
      <c r="D842">
        <f>IF($AB842="","",INDEX('Per Line'!$B$2:$B$4001,$AB842)&amp;"")</f>
        <v/>
      </c>
      <c r="E842">
        <f>IF($AB842="","",INDEX('Per Line'!$A$2:$A$4001,$AB842))</f>
        <v/>
      </c>
      <c r="F842" s="11">
        <f>IF($AB842="","",INDEX('Per Line'!$E$2:$E$4001,$AB842))</f>
        <v/>
      </c>
      <c r="G842">
        <f>IF($AB842="","",INDEX('Per Line'!$F$2:$F$4001,$AB842)&amp;"")</f>
        <v/>
      </c>
      <c r="H842">
        <f>IF($AB842="","",INDEX('Per Line'!$H$2:$H$4001,$AB842)&amp;"")</f>
        <v/>
      </c>
      <c r="I842">
        <f>IF($AB842="","",INDEX('Per Line'!$I$2:$I$4001,$AB842)&amp;"")</f>
        <v/>
      </c>
      <c r="J842">
        <f>IF($AB842="","",INDEX('Per Line'!$J$2:$J$4001,$AB842)&amp;"")</f>
        <v/>
      </c>
      <c r="K842">
        <f>IF($AB842="","",INDEX('Per Line'!$K$2:$K$4001,$AB842)&amp;"")</f>
        <v/>
      </c>
      <c r="L842">
        <f>IF($AB842="","",INDEX('Per Line'!$L$2:$L$4001,$AB842))</f>
        <v/>
      </c>
      <c r="M842" s="7">
        <f>IF($AB842="","",IF(AND(ISNUMBER(O842),O842&gt;0,Z842&gt;O842),L842*O842/100+(Z842-O842),L842*Z842/100))</f>
        <v/>
      </c>
      <c r="N842">
        <f>IF($AB842="","",INDEX('Per Line'!$V$2:$V$4001,$AB842)&amp;"")</f>
        <v/>
      </c>
      <c r="O842">
        <f>IF($AB842="","",INDEX('Per Line'!$Z$2:$Z$4001,$AB842))</f>
        <v/>
      </c>
      <c r="P842">
        <f>IF($AB842="","",IF(AND(ISNUMBER(O842),O842&gt;0),Z842&gt;O842,FALSE))</f>
        <v/>
      </c>
      <c r="Q842" s="7">
        <f>IF($AB842="","",SUMIFS('Per Line'!$U$2:$U$4001,'Per Line'!$C$2:$C$4001,$B842,'Per Line'!$AM$2:$AM$4001,1))</f>
        <v/>
      </c>
      <c r="R842">
        <f>IF($AB842="","",Settings!$C$7)</f>
        <v/>
      </c>
      <c r="S842" s="7">
        <f>IF($AB842="","",SUMIFS('Per Line'!$U$2:$U$4001,'Per Line'!$C$2:$C$4001,$B842,'Per Line'!$AL$2:$AL$4001,0,'Per Line'!$AM$2:$AM$4001,0))</f>
        <v/>
      </c>
      <c r="T842" s="7">
        <f>IF($AB842="","",S842*R842)</f>
        <v/>
      </c>
      <c r="U842">
        <f>IF($AB842="","",Settings!$C$6)</f>
        <v/>
      </c>
      <c r="V842" s="7">
        <f>IF($AB842="","",SUMIFS('Per Line'!$U$2:$U$4001,'Per Line'!$C$2:$C$4001,$B842,'Per Line'!$AL$2:$AL$4001,1,'Per Line'!$AM$2:$AM$4001,0))</f>
        <v/>
      </c>
      <c r="W842" s="7">
        <f>IF($AB842="","",V842*U842)</f>
        <v/>
      </c>
      <c r="X842" s="7">
        <f>IF($AB842="","",W842+T842)</f>
        <v/>
      </c>
      <c r="Y842" s="7">
        <f>IF($AB842="","",Z842-X842)</f>
        <v/>
      </c>
      <c r="Z842" s="7">
        <f>IF($AB842="","",S842+V842+Q842)</f>
        <v/>
      </c>
      <c r="AA842" s="7">
        <f>IF($AB842="","",Z842-X842-M842)</f>
        <v/>
      </c>
      <c r="AB842" s="13">
        <f>IF(ROWS($AB$2:$AB842)&lt;=MAX('Per Line'!$AK$2:$AK$4001),MATCH(ROWS($AB$2:$AB842),'Per Line'!$AK$2:$AK$4001,0),"")</f>
        <v/>
      </c>
      <c r="AC842" s="14">
        <f>IF($AB842="","",M842-L842*Z842/100)</f>
        <v/>
      </c>
    </row>
    <row r="843">
      <c r="A843" s="12" t="n"/>
      <c r="B843">
        <f>IF($AB843="","",INDEX('Per Line'!$C$2:$C$4001,$AB843)&amp;"")</f>
        <v/>
      </c>
      <c r="C843">
        <f>IF($AB843="","",INDEX('Per Line'!$D$2:$D$4001,$AB843)&amp;"")</f>
        <v/>
      </c>
      <c r="D843">
        <f>IF($AB843="","",INDEX('Per Line'!$B$2:$B$4001,$AB843)&amp;"")</f>
        <v/>
      </c>
      <c r="E843">
        <f>IF($AB843="","",INDEX('Per Line'!$A$2:$A$4001,$AB843))</f>
        <v/>
      </c>
      <c r="F843" s="11">
        <f>IF($AB843="","",INDEX('Per Line'!$E$2:$E$4001,$AB843))</f>
        <v/>
      </c>
      <c r="G843">
        <f>IF($AB843="","",INDEX('Per Line'!$F$2:$F$4001,$AB843)&amp;"")</f>
        <v/>
      </c>
      <c r="H843">
        <f>IF($AB843="","",INDEX('Per Line'!$H$2:$H$4001,$AB843)&amp;"")</f>
        <v/>
      </c>
      <c r="I843">
        <f>IF($AB843="","",INDEX('Per Line'!$I$2:$I$4001,$AB843)&amp;"")</f>
        <v/>
      </c>
      <c r="J843">
        <f>IF($AB843="","",INDEX('Per Line'!$J$2:$J$4001,$AB843)&amp;"")</f>
        <v/>
      </c>
      <c r="K843">
        <f>IF($AB843="","",INDEX('Per Line'!$K$2:$K$4001,$AB843)&amp;"")</f>
        <v/>
      </c>
      <c r="L843">
        <f>IF($AB843="","",INDEX('Per Line'!$L$2:$L$4001,$AB843))</f>
        <v/>
      </c>
      <c r="M843" s="7">
        <f>IF($AB843="","",IF(AND(ISNUMBER(O843),O843&gt;0,Z843&gt;O843),L843*O843/100+(Z843-O843),L843*Z843/100))</f>
        <v/>
      </c>
      <c r="N843">
        <f>IF($AB843="","",INDEX('Per Line'!$V$2:$V$4001,$AB843)&amp;"")</f>
        <v/>
      </c>
      <c r="O843">
        <f>IF($AB843="","",INDEX('Per Line'!$Z$2:$Z$4001,$AB843))</f>
        <v/>
      </c>
      <c r="P843">
        <f>IF($AB843="","",IF(AND(ISNUMBER(O843),O843&gt;0),Z843&gt;O843,FALSE))</f>
        <v/>
      </c>
      <c r="Q843" s="7">
        <f>IF($AB843="","",SUMIFS('Per Line'!$U$2:$U$4001,'Per Line'!$C$2:$C$4001,$B843,'Per Line'!$AM$2:$AM$4001,1))</f>
        <v/>
      </c>
      <c r="R843">
        <f>IF($AB843="","",Settings!$C$7)</f>
        <v/>
      </c>
      <c r="S843" s="7">
        <f>IF($AB843="","",SUMIFS('Per Line'!$U$2:$U$4001,'Per Line'!$C$2:$C$4001,$B843,'Per Line'!$AL$2:$AL$4001,0,'Per Line'!$AM$2:$AM$4001,0))</f>
        <v/>
      </c>
      <c r="T843" s="7">
        <f>IF($AB843="","",S843*R843)</f>
        <v/>
      </c>
      <c r="U843">
        <f>IF($AB843="","",Settings!$C$6)</f>
        <v/>
      </c>
      <c r="V843" s="7">
        <f>IF($AB843="","",SUMIFS('Per Line'!$U$2:$U$4001,'Per Line'!$C$2:$C$4001,$B843,'Per Line'!$AL$2:$AL$4001,1,'Per Line'!$AM$2:$AM$4001,0))</f>
        <v/>
      </c>
      <c r="W843" s="7">
        <f>IF($AB843="","",V843*U843)</f>
        <v/>
      </c>
      <c r="X843" s="7">
        <f>IF($AB843="","",W843+T843)</f>
        <v/>
      </c>
      <c r="Y843" s="7">
        <f>IF($AB843="","",Z843-X843)</f>
        <v/>
      </c>
      <c r="Z843" s="7">
        <f>IF($AB843="","",S843+V843+Q843)</f>
        <v/>
      </c>
      <c r="AA843" s="7">
        <f>IF($AB843="","",Z843-X843-M843)</f>
        <v/>
      </c>
      <c r="AB843" s="13">
        <f>IF(ROWS($AB$2:$AB843)&lt;=MAX('Per Line'!$AK$2:$AK$4001),MATCH(ROWS($AB$2:$AB843),'Per Line'!$AK$2:$AK$4001,0),"")</f>
        <v/>
      </c>
      <c r="AC843" s="14">
        <f>IF($AB843="","",M843-L843*Z843/100)</f>
        <v/>
      </c>
    </row>
    <row r="844">
      <c r="A844" s="12" t="n"/>
      <c r="B844">
        <f>IF($AB844="","",INDEX('Per Line'!$C$2:$C$4001,$AB844)&amp;"")</f>
        <v/>
      </c>
      <c r="C844">
        <f>IF($AB844="","",INDEX('Per Line'!$D$2:$D$4001,$AB844)&amp;"")</f>
        <v/>
      </c>
      <c r="D844">
        <f>IF($AB844="","",INDEX('Per Line'!$B$2:$B$4001,$AB844)&amp;"")</f>
        <v/>
      </c>
      <c r="E844">
        <f>IF($AB844="","",INDEX('Per Line'!$A$2:$A$4001,$AB844))</f>
        <v/>
      </c>
      <c r="F844" s="11">
        <f>IF($AB844="","",INDEX('Per Line'!$E$2:$E$4001,$AB844))</f>
        <v/>
      </c>
      <c r="G844">
        <f>IF($AB844="","",INDEX('Per Line'!$F$2:$F$4001,$AB844)&amp;"")</f>
        <v/>
      </c>
      <c r="H844">
        <f>IF($AB844="","",INDEX('Per Line'!$H$2:$H$4001,$AB844)&amp;"")</f>
        <v/>
      </c>
      <c r="I844">
        <f>IF($AB844="","",INDEX('Per Line'!$I$2:$I$4001,$AB844)&amp;"")</f>
        <v/>
      </c>
      <c r="J844">
        <f>IF($AB844="","",INDEX('Per Line'!$J$2:$J$4001,$AB844)&amp;"")</f>
        <v/>
      </c>
      <c r="K844">
        <f>IF($AB844="","",INDEX('Per Line'!$K$2:$K$4001,$AB844)&amp;"")</f>
        <v/>
      </c>
      <c r="L844">
        <f>IF($AB844="","",INDEX('Per Line'!$L$2:$L$4001,$AB844))</f>
        <v/>
      </c>
      <c r="M844" s="7">
        <f>IF($AB844="","",IF(AND(ISNUMBER(O844),O844&gt;0,Z844&gt;O844),L844*O844/100+(Z844-O844),L844*Z844/100))</f>
        <v/>
      </c>
      <c r="N844">
        <f>IF($AB844="","",INDEX('Per Line'!$V$2:$V$4001,$AB844)&amp;"")</f>
        <v/>
      </c>
      <c r="O844">
        <f>IF($AB844="","",INDEX('Per Line'!$Z$2:$Z$4001,$AB844))</f>
        <v/>
      </c>
      <c r="P844">
        <f>IF($AB844="","",IF(AND(ISNUMBER(O844),O844&gt;0),Z844&gt;O844,FALSE))</f>
        <v/>
      </c>
      <c r="Q844" s="7">
        <f>IF($AB844="","",SUMIFS('Per Line'!$U$2:$U$4001,'Per Line'!$C$2:$C$4001,$B844,'Per Line'!$AM$2:$AM$4001,1))</f>
        <v/>
      </c>
      <c r="R844">
        <f>IF($AB844="","",Settings!$C$7)</f>
        <v/>
      </c>
      <c r="S844" s="7">
        <f>IF($AB844="","",SUMIFS('Per Line'!$U$2:$U$4001,'Per Line'!$C$2:$C$4001,$B844,'Per Line'!$AL$2:$AL$4001,0,'Per Line'!$AM$2:$AM$4001,0))</f>
        <v/>
      </c>
      <c r="T844" s="7">
        <f>IF($AB844="","",S844*R844)</f>
        <v/>
      </c>
      <c r="U844">
        <f>IF($AB844="","",Settings!$C$6)</f>
        <v/>
      </c>
      <c r="V844" s="7">
        <f>IF($AB844="","",SUMIFS('Per Line'!$U$2:$U$4001,'Per Line'!$C$2:$C$4001,$B844,'Per Line'!$AL$2:$AL$4001,1,'Per Line'!$AM$2:$AM$4001,0))</f>
        <v/>
      </c>
      <c r="W844" s="7">
        <f>IF($AB844="","",V844*U844)</f>
        <v/>
      </c>
      <c r="X844" s="7">
        <f>IF($AB844="","",W844+T844)</f>
        <v/>
      </c>
      <c r="Y844" s="7">
        <f>IF($AB844="","",Z844-X844)</f>
        <v/>
      </c>
      <c r="Z844" s="7">
        <f>IF($AB844="","",S844+V844+Q844)</f>
        <v/>
      </c>
      <c r="AA844" s="7">
        <f>IF($AB844="","",Z844-X844-M844)</f>
        <v/>
      </c>
      <c r="AB844" s="13">
        <f>IF(ROWS($AB$2:$AB844)&lt;=MAX('Per Line'!$AK$2:$AK$4001),MATCH(ROWS($AB$2:$AB844),'Per Line'!$AK$2:$AK$4001,0),"")</f>
        <v/>
      </c>
      <c r="AC844" s="14">
        <f>IF($AB844="","",M844-L844*Z844/100)</f>
        <v/>
      </c>
    </row>
    <row r="845">
      <c r="A845" s="12" t="n"/>
      <c r="B845">
        <f>IF($AB845="","",INDEX('Per Line'!$C$2:$C$4001,$AB845)&amp;"")</f>
        <v/>
      </c>
      <c r="C845">
        <f>IF($AB845="","",INDEX('Per Line'!$D$2:$D$4001,$AB845)&amp;"")</f>
        <v/>
      </c>
      <c r="D845">
        <f>IF($AB845="","",INDEX('Per Line'!$B$2:$B$4001,$AB845)&amp;"")</f>
        <v/>
      </c>
      <c r="E845">
        <f>IF($AB845="","",INDEX('Per Line'!$A$2:$A$4001,$AB845))</f>
        <v/>
      </c>
      <c r="F845" s="11">
        <f>IF($AB845="","",INDEX('Per Line'!$E$2:$E$4001,$AB845))</f>
        <v/>
      </c>
      <c r="G845">
        <f>IF($AB845="","",INDEX('Per Line'!$F$2:$F$4001,$AB845)&amp;"")</f>
        <v/>
      </c>
      <c r="H845">
        <f>IF($AB845="","",INDEX('Per Line'!$H$2:$H$4001,$AB845)&amp;"")</f>
        <v/>
      </c>
      <c r="I845">
        <f>IF($AB845="","",INDEX('Per Line'!$I$2:$I$4001,$AB845)&amp;"")</f>
        <v/>
      </c>
      <c r="J845">
        <f>IF($AB845="","",INDEX('Per Line'!$J$2:$J$4001,$AB845)&amp;"")</f>
        <v/>
      </c>
      <c r="K845">
        <f>IF($AB845="","",INDEX('Per Line'!$K$2:$K$4001,$AB845)&amp;"")</f>
        <v/>
      </c>
      <c r="L845">
        <f>IF($AB845="","",INDEX('Per Line'!$L$2:$L$4001,$AB845))</f>
        <v/>
      </c>
      <c r="M845" s="7">
        <f>IF($AB845="","",IF(AND(ISNUMBER(O845),O845&gt;0,Z845&gt;O845),L845*O845/100+(Z845-O845),L845*Z845/100))</f>
        <v/>
      </c>
      <c r="N845">
        <f>IF($AB845="","",INDEX('Per Line'!$V$2:$V$4001,$AB845)&amp;"")</f>
        <v/>
      </c>
      <c r="O845">
        <f>IF($AB845="","",INDEX('Per Line'!$Z$2:$Z$4001,$AB845))</f>
        <v/>
      </c>
      <c r="P845">
        <f>IF($AB845="","",IF(AND(ISNUMBER(O845),O845&gt;0),Z845&gt;O845,FALSE))</f>
        <v/>
      </c>
      <c r="Q845" s="7">
        <f>IF($AB845="","",SUMIFS('Per Line'!$U$2:$U$4001,'Per Line'!$C$2:$C$4001,$B845,'Per Line'!$AM$2:$AM$4001,1))</f>
        <v/>
      </c>
      <c r="R845">
        <f>IF($AB845="","",Settings!$C$7)</f>
        <v/>
      </c>
      <c r="S845" s="7">
        <f>IF($AB845="","",SUMIFS('Per Line'!$U$2:$U$4001,'Per Line'!$C$2:$C$4001,$B845,'Per Line'!$AL$2:$AL$4001,0,'Per Line'!$AM$2:$AM$4001,0))</f>
        <v/>
      </c>
      <c r="T845" s="7">
        <f>IF($AB845="","",S845*R845)</f>
        <v/>
      </c>
      <c r="U845">
        <f>IF($AB845="","",Settings!$C$6)</f>
        <v/>
      </c>
      <c r="V845" s="7">
        <f>IF($AB845="","",SUMIFS('Per Line'!$U$2:$U$4001,'Per Line'!$C$2:$C$4001,$B845,'Per Line'!$AL$2:$AL$4001,1,'Per Line'!$AM$2:$AM$4001,0))</f>
        <v/>
      </c>
      <c r="W845" s="7">
        <f>IF($AB845="","",V845*U845)</f>
        <v/>
      </c>
      <c r="X845" s="7">
        <f>IF($AB845="","",W845+T845)</f>
        <v/>
      </c>
      <c r="Y845" s="7">
        <f>IF($AB845="","",Z845-X845)</f>
        <v/>
      </c>
      <c r="Z845" s="7">
        <f>IF($AB845="","",S845+V845+Q845)</f>
        <v/>
      </c>
      <c r="AA845" s="7">
        <f>IF($AB845="","",Z845-X845-M845)</f>
        <v/>
      </c>
      <c r="AB845" s="13">
        <f>IF(ROWS($AB$2:$AB845)&lt;=MAX('Per Line'!$AK$2:$AK$4001),MATCH(ROWS($AB$2:$AB845),'Per Line'!$AK$2:$AK$4001,0),"")</f>
        <v/>
      </c>
      <c r="AC845" s="14">
        <f>IF($AB845="","",M845-L845*Z845/100)</f>
        <v/>
      </c>
    </row>
    <row r="846">
      <c r="A846" s="12" t="n"/>
      <c r="B846">
        <f>IF($AB846="","",INDEX('Per Line'!$C$2:$C$4001,$AB846)&amp;"")</f>
        <v/>
      </c>
      <c r="C846">
        <f>IF($AB846="","",INDEX('Per Line'!$D$2:$D$4001,$AB846)&amp;"")</f>
        <v/>
      </c>
      <c r="D846">
        <f>IF($AB846="","",INDEX('Per Line'!$B$2:$B$4001,$AB846)&amp;"")</f>
        <v/>
      </c>
      <c r="E846">
        <f>IF($AB846="","",INDEX('Per Line'!$A$2:$A$4001,$AB846))</f>
        <v/>
      </c>
      <c r="F846" s="11">
        <f>IF($AB846="","",INDEX('Per Line'!$E$2:$E$4001,$AB846))</f>
        <v/>
      </c>
      <c r="G846">
        <f>IF($AB846="","",INDEX('Per Line'!$F$2:$F$4001,$AB846)&amp;"")</f>
        <v/>
      </c>
      <c r="H846">
        <f>IF($AB846="","",INDEX('Per Line'!$H$2:$H$4001,$AB846)&amp;"")</f>
        <v/>
      </c>
      <c r="I846">
        <f>IF($AB846="","",INDEX('Per Line'!$I$2:$I$4001,$AB846)&amp;"")</f>
        <v/>
      </c>
      <c r="J846">
        <f>IF($AB846="","",INDEX('Per Line'!$J$2:$J$4001,$AB846)&amp;"")</f>
        <v/>
      </c>
      <c r="K846">
        <f>IF($AB846="","",INDEX('Per Line'!$K$2:$K$4001,$AB846)&amp;"")</f>
        <v/>
      </c>
      <c r="L846">
        <f>IF($AB846="","",INDEX('Per Line'!$L$2:$L$4001,$AB846))</f>
        <v/>
      </c>
      <c r="M846" s="7">
        <f>IF($AB846="","",IF(AND(ISNUMBER(O846),O846&gt;0,Z846&gt;O846),L846*O846/100+(Z846-O846),L846*Z846/100))</f>
        <v/>
      </c>
      <c r="N846">
        <f>IF($AB846="","",INDEX('Per Line'!$V$2:$V$4001,$AB846)&amp;"")</f>
        <v/>
      </c>
      <c r="O846">
        <f>IF($AB846="","",INDEX('Per Line'!$Z$2:$Z$4001,$AB846))</f>
        <v/>
      </c>
      <c r="P846">
        <f>IF($AB846="","",IF(AND(ISNUMBER(O846),O846&gt;0),Z846&gt;O846,FALSE))</f>
        <v/>
      </c>
      <c r="Q846" s="7">
        <f>IF($AB846="","",SUMIFS('Per Line'!$U$2:$U$4001,'Per Line'!$C$2:$C$4001,$B846,'Per Line'!$AM$2:$AM$4001,1))</f>
        <v/>
      </c>
      <c r="R846">
        <f>IF($AB846="","",Settings!$C$7)</f>
        <v/>
      </c>
      <c r="S846" s="7">
        <f>IF($AB846="","",SUMIFS('Per Line'!$U$2:$U$4001,'Per Line'!$C$2:$C$4001,$B846,'Per Line'!$AL$2:$AL$4001,0,'Per Line'!$AM$2:$AM$4001,0))</f>
        <v/>
      </c>
      <c r="T846" s="7">
        <f>IF($AB846="","",S846*R846)</f>
        <v/>
      </c>
      <c r="U846">
        <f>IF($AB846="","",Settings!$C$6)</f>
        <v/>
      </c>
      <c r="V846" s="7">
        <f>IF($AB846="","",SUMIFS('Per Line'!$U$2:$U$4001,'Per Line'!$C$2:$C$4001,$B846,'Per Line'!$AL$2:$AL$4001,1,'Per Line'!$AM$2:$AM$4001,0))</f>
        <v/>
      </c>
      <c r="W846" s="7">
        <f>IF($AB846="","",V846*U846)</f>
        <v/>
      </c>
      <c r="X846" s="7">
        <f>IF($AB846="","",W846+T846)</f>
        <v/>
      </c>
      <c r="Y846" s="7">
        <f>IF($AB846="","",Z846-X846)</f>
        <v/>
      </c>
      <c r="Z846" s="7">
        <f>IF($AB846="","",S846+V846+Q846)</f>
        <v/>
      </c>
      <c r="AA846" s="7">
        <f>IF($AB846="","",Z846-X846-M846)</f>
        <v/>
      </c>
      <c r="AB846" s="13">
        <f>IF(ROWS($AB$2:$AB846)&lt;=MAX('Per Line'!$AK$2:$AK$4001),MATCH(ROWS($AB$2:$AB846),'Per Line'!$AK$2:$AK$4001,0),"")</f>
        <v/>
      </c>
      <c r="AC846" s="14">
        <f>IF($AB846="","",M846-L846*Z846/100)</f>
        <v/>
      </c>
    </row>
    <row r="847">
      <c r="A847" s="12" t="n"/>
      <c r="B847">
        <f>IF($AB847="","",INDEX('Per Line'!$C$2:$C$4001,$AB847)&amp;"")</f>
        <v/>
      </c>
      <c r="C847">
        <f>IF($AB847="","",INDEX('Per Line'!$D$2:$D$4001,$AB847)&amp;"")</f>
        <v/>
      </c>
      <c r="D847">
        <f>IF($AB847="","",INDEX('Per Line'!$B$2:$B$4001,$AB847)&amp;"")</f>
        <v/>
      </c>
      <c r="E847">
        <f>IF($AB847="","",INDEX('Per Line'!$A$2:$A$4001,$AB847))</f>
        <v/>
      </c>
      <c r="F847" s="11">
        <f>IF($AB847="","",INDEX('Per Line'!$E$2:$E$4001,$AB847))</f>
        <v/>
      </c>
      <c r="G847">
        <f>IF($AB847="","",INDEX('Per Line'!$F$2:$F$4001,$AB847)&amp;"")</f>
        <v/>
      </c>
      <c r="H847">
        <f>IF($AB847="","",INDEX('Per Line'!$H$2:$H$4001,$AB847)&amp;"")</f>
        <v/>
      </c>
      <c r="I847">
        <f>IF($AB847="","",INDEX('Per Line'!$I$2:$I$4001,$AB847)&amp;"")</f>
        <v/>
      </c>
      <c r="J847">
        <f>IF($AB847="","",INDEX('Per Line'!$J$2:$J$4001,$AB847)&amp;"")</f>
        <v/>
      </c>
      <c r="K847">
        <f>IF($AB847="","",INDEX('Per Line'!$K$2:$K$4001,$AB847)&amp;"")</f>
        <v/>
      </c>
      <c r="L847">
        <f>IF($AB847="","",INDEX('Per Line'!$L$2:$L$4001,$AB847))</f>
        <v/>
      </c>
      <c r="M847" s="7">
        <f>IF($AB847="","",IF(AND(ISNUMBER(O847),O847&gt;0,Z847&gt;O847),L847*O847/100+(Z847-O847),L847*Z847/100))</f>
        <v/>
      </c>
      <c r="N847">
        <f>IF($AB847="","",INDEX('Per Line'!$V$2:$V$4001,$AB847)&amp;"")</f>
        <v/>
      </c>
      <c r="O847">
        <f>IF($AB847="","",INDEX('Per Line'!$Z$2:$Z$4001,$AB847))</f>
        <v/>
      </c>
      <c r="P847">
        <f>IF($AB847="","",IF(AND(ISNUMBER(O847),O847&gt;0),Z847&gt;O847,FALSE))</f>
        <v/>
      </c>
      <c r="Q847" s="7">
        <f>IF($AB847="","",SUMIFS('Per Line'!$U$2:$U$4001,'Per Line'!$C$2:$C$4001,$B847,'Per Line'!$AM$2:$AM$4001,1))</f>
        <v/>
      </c>
      <c r="R847">
        <f>IF($AB847="","",Settings!$C$7)</f>
        <v/>
      </c>
      <c r="S847" s="7">
        <f>IF($AB847="","",SUMIFS('Per Line'!$U$2:$U$4001,'Per Line'!$C$2:$C$4001,$B847,'Per Line'!$AL$2:$AL$4001,0,'Per Line'!$AM$2:$AM$4001,0))</f>
        <v/>
      </c>
      <c r="T847" s="7">
        <f>IF($AB847="","",S847*R847)</f>
        <v/>
      </c>
      <c r="U847">
        <f>IF($AB847="","",Settings!$C$6)</f>
        <v/>
      </c>
      <c r="V847" s="7">
        <f>IF($AB847="","",SUMIFS('Per Line'!$U$2:$U$4001,'Per Line'!$C$2:$C$4001,$B847,'Per Line'!$AL$2:$AL$4001,1,'Per Line'!$AM$2:$AM$4001,0))</f>
        <v/>
      </c>
      <c r="W847" s="7">
        <f>IF($AB847="","",V847*U847)</f>
        <v/>
      </c>
      <c r="X847" s="7">
        <f>IF($AB847="","",W847+T847)</f>
        <v/>
      </c>
      <c r="Y847" s="7">
        <f>IF($AB847="","",Z847-X847)</f>
        <v/>
      </c>
      <c r="Z847" s="7">
        <f>IF($AB847="","",S847+V847+Q847)</f>
        <v/>
      </c>
      <c r="AA847" s="7">
        <f>IF($AB847="","",Z847-X847-M847)</f>
        <v/>
      </c>
      <c r="AB847" s="13">
        <f>IF(ROWS($AB$2:$AB847)&lt;=MAX('Per Line'!$AK$2:$AK$4001),MATCH(ROWS($AB$2:$AB847),'Per Line'!$AK$2:$AK$4001,0),"")</f>
        <v/>
      </c>
      <c r="AC847" s="14">
        <f>IF($AB847="","",M847-L847*Z847/100)</f>
        <v/>
      </c>
    </row>
    <row r="848">
      <c r="A848" s="12" t="n"/>
      <c r="B848">
        <f>IF($AB848="","",INDEX('Per Line'!$C$2:$C$4001,$AB848)&amp;"")</f>
        <v/>
      </c>
      <c r="C848">
        <f>IF($AB848="","",INDEX('Per Line'!$D$2:$D$4001,$AB848)&amp;"")</f>
        <v/>
      </c>
      <c r="D848">
        <f>IF($AB848="","",INDEX('Per Line'!$B$2:$B$4001,$AB848)&amp;"")</f>
        <v/>
      </c>
      <c r="E848">
        <f>IF($AB848="","",INDEX('Per Line'!$A$2:$A$4001,$AB848))</f>
        <v/>
      </c>
      <c r="F848" s="11">
        <f>IF($AB848="","",INDEX('Per Line'!$E$2:$E$4001,$AB848))</f>
        <v/>
      </c>
      <c r="G848">
        <f>IF($AB848="","",INDEX('Per Line'!$F$2:$F$4001,$AB848)&amp;"")</f>
        <v/>
      </c>
      <c r="H848">
        <f>IF($AB848="","",INDEX('Per Line'!$H$2:$H$4001,$AB848)&amp;"")</f>
        <v/>
      </c>
      <c r="I848">
        <f>IF($AB848="","",INDEX('Per Line'!$I$2:$I$4001,$AB848)&amp;"")</f>
        <v/>
      </c>
      <c r="J848">
        <f>IF($AB848="","",INDEX('Per Line'!$J$2:$J$4001,$AB848)&amp;"")</f>
        <v/>
      </c>
      <c r="K848">
        <f>IF($AB848="","",INDEX('Per Line'!$K$2:$K$4001,$AB848)&amp;"")</f>
        <v/>
      </c>
      <c r="L848">
        <f>IF($AB848="","",INDEX('Per Line'!$L$2:$L$4001,$AB848))</f>
        <v/>
      </c>
      <c r="M848" s="7">
        <f>IF($AB848="","",IF(AND(ISNUMBER(O848),O848&gt;0,Z848&gt;O848),L848*O848/100+(Z848-O848),L848*Z848/100))</f>
        <v/>
      </c>
      <c r="N848">
        <f>IF($AB848="","",INDEX('Per Line'!$V$2:$V$4001,$AB848)&amp;"")</f>
        <v/>
      </c>
      <c r="O848">
        <f>IF($AB848="","",INDEX('Per Line'!$Z$2:$Z$4001,$AB848))</f>
        <v/>
      </c>
      <c r="P848">
        <f>IF($AB848="","",IF(AND(ISNUMBER(O848),O848&gt;0),Z848&gt;O848,FALSE))</f>
        <v/>
      </c>
      <c r="Q848" s="7">
        <f>IF($AB848="","",SUMIFS('Per Line'!$U$2:$U$4001,'Per Line'!$C$2:$C$4001,$B848,'Per Line'!$AM$2:$AM$4001,1))</f>
        <v/>
      </c>
      <c r="R848">
        <f>IF($AB848="","",Settings!$C$7)</f>
        <v/>
      </c>
      <c r="S848" s="7">
        <f>IF($AB848="","",SUMIFS('Per Line'!$U$2:$U$4001,'Per Line'!$C$2:$C$4001,$B848,'Per Line'!$AL$2:$AL$4001,0,'Per Line'!$AM$2:$AM$4001,0))</f>
        <v/>
      </c>
      <c r="T848" s="7">
        <f>IF($AB848="","",S848*R848)</f>
        <v/>
      </c>
      <c r="U848">
        <f>IF($AB848="","",Settings!$C$6)</f>
        <v/>
      </c>
      <c r="V848" s="7">
        <f>IF($AB848="","",SUMIFS('Per Line'!$U$2:$U$4001,'Per Line'!$C$2:$C$4001,$B848,'Per Line'!$AL$2:$AL$4001,1,'Per Line'!$AM$2:$AM$4001,0))</f>
        <v/>
      </c>
      <c r="W848" s="7">
        <f>IF($AB848="","",V848*U848)</f>
        <v/>
      </c>
      <c r="X848" s="7">
        <f>IF($AB848="","",W848+T848)</f>
        <v/>
      </c>
      <c r="Y848" s="7">
        <f>IF($AB848="","",Z848-X848)</f>
        <v/>
      </c>
      <c r="Z848" s="7">
        <f>IF($AB848="","",S848+V848+Q848)</f>
        <v/>
      </c>
      <c r="AA848" s="7">
        <f>IF($AB848="","",Z848-X848-M848)</f>
        <v/>
      </c>
      <c r="AB848" s="13">
        <f>IF(ROWS($AB$2:$AB848)&lt;=MAX('Per Line'!$AK$2:$AK$4001),MATCH(ROWS($AB$2:$AB848),'Per Line'!$AK$2:$AK$4001,0),"")</f>
        <v/>
      </c>
      <c r="AC848" s="14">
        <f>IF($AB848="","",M848-L848*Z848/100)</f>
        <v/>
      </c>
    </row>
    <row r="849">
      <c r="A849" s="12" t="n"/>
      <c r="B849">
        <f>IF($AB849="","",INDEX('Per Line'!$C$2:$C$4001,$AB849)&amp;"")</f>
        <v/>
      </c>
      <c r="C849">
        <f>IF($AB849="","",INDEX('Per Line'!$D$2:$D$4001,$AB849)&amp;"")</f>
        <v/>
      </c>
      <c r="D849">
        <f>IF($AB849="","",INDEX('Per Line'!$B$2:$B$4001,$AB849)&amp;"")</f>
        <v/>
      </c>
      <c r="E849">
        <f>IF($AB849="","",INDEX('Per Line'!$A$2:$A$4001,$AB849))</f>
        <v/>
      </c>
      <c r="F849" s="11">
        <f>IF($AB849="","",INDEX('Per Line'!$E$2:$E$4001,$AB849))</f>
        <v/>
      </c>
      <c r="G849">
        <f>IF($AB849="","",INDEX('Per Line'!$F$2:$F$4001,$AB849)&amp;"")</f>
        <v/>
      </c>
      <c r="H849">
        <f>IF($AB849="","",INDEX('Per Line'!$H$2:$H$4001,$AB849)&amp;"")</f>
        <v/>
      </c>
      <c r="I849">
        <f>IF($AB849="","",INDEX('Per Line'!$I$2:$I$4001,$AB849)&amp;"")</f>
        <v/>
      </c>
      <c r="J849">
        <f>IF($AB849="","",INDEX('Per Line'!$J$2:$J$4001,$AB849)&amp;"")</f>
        <v/>
      </c>
      <c r="K849">
        <f>IF($AB849="","",INDEX('Per Line'!$K$2:$K$4001,$AB849)&amp;"")</f>
        <v/>
      </c>
      <c r="L849">
        <f>IF($AB849="","",INDEX('Per Line'!$L$2:$L$4001,$AB849))</f>
        <v/>
      </c>
      <c r="M849" s="7">
        <f>IF($AB849="","",IF(AND(ISNUMBER(O849),O849&gt;0,Z849&gt;O849),L849*O849/100+(Z849-O849),L849*Z849/100))</f>
        <v/>
      </c>
      <c r="N849">
        <f>IF($AB849="","",INDEX('Per Line'!$V$2:$V$4001,$AB849)&amp;"")</f>
        <v/>
      </c>
      <c r="O849">
        <f>IF($AB849="","",INDEX('Per Line'!$Z$2:$Z$4001,$AB849))</f>
        <v/>
      </c>
      <c r="P849">
        <f>IF($AB849="","",IF(AND(ISNUMBER(O849),O849&gt;0),Z849&gt;O849,FALSE))</f>
        <v/>
      </c>
      <c r="Q849" s="7">
        <f>IF($AB849="","",SUMIFS('Per Line'!$U$2:$U$4001,'Per Line'!$C$2:$C$4001,$B849,'Per Line'!$AM$2:$AM$4001,1))</f>
        <v/>
      </c>
      <c r="R849">
        <f>IF($AB849="","",Settings!$C$7)</f>
        <v/>
      </c>
      <c r="S849" s="7">
        <f>IF($AB849="","",SUMIFS('Per Line'!$U$2:$U$4001,'Per Line'!$C$2:$C$4001,$B849,'Per Line'!$AL$2:$AL$4001,0,'Per Line'!$AM$2:$AM$4001,0))</f>
        <v/>
      </c>
      <c r="T849" s="7">
        <f>IF($AB849="","",S849*R849)</f>
        <v/>
      </c>
      <c r="U849">
        <f>IF($AB849="","",Settings!$C$6)</f>
        <v/>
      </c>
      <c r="V849" s="7">
        <f>IF($AB849="","",SUMIFS('Per Line'!$U$2:$U$4001,'Per Line'!$C$2:$C$4001,$B849,'Per Line'!$AL$2:$AL$4001,1,'Per Line'!$AM$2:$AM$4001,0))</f>
        <v/>
      </c>
      <c r="W849" s="7">
        <f>IF($AB849="","",V849*U849)</f>
        <v/>
      </c>
      <c r="X849" s="7">
        <f>IF($AB849="","",W849+T849)</f>
        <v/>
      </c>
      <c r="Y849" s="7">
        <f>IF($AB849="","",Z849-X849)</f>
        <v/>
      </c>
      <c r="Z849" s="7">
        <f>IF($AB849="","",S849+V849+Q849)</f>
        <v/>
      </c>
      <c r="AA849" s="7">
        <f>IF($AB849="","",Z849-X849-M849)</f>
        <v/>
      </c>
      <c r="AB849" s="13">
        <f>IF(ROWS($AB$2:$AB849)&lt;=MAX('Per Line'!$AK$2:$AK$4001),MATCH(ROWS($AB$2:$AB849),'Per Line'!$AK$2:$AK$4001,0),"")</f>
        <v/>
      </c>
      <c r="AC849" s="14">
        <f>IF($AB849="","",M849-L849*Z849/100)</f>
        <v/>
      </c>
    </row>
    <row r="850">
      <c r="A850" s="12" t="n"/>
      <c r="B850">
        <f>IF($AB850="","",INDEX('Per Line'!$C$2:$C$4001,$AB850)&amp;"")</f>
        <v/>
      </c>
      <c r="C850">
        <f>IF($AB850="","",INDEX('Per Line'!$D$2:$D$4001,$AB850)&amp;"")</f>
        <v/>
      </c>
      <c r="D850">
        <f>IF($AB850="","",INDEX('Per Line'!$B$2:$B$4001,$AB850)&amp;"")</f>
        <v/>
      </c>
      <c r="E850">
        <f>IF($AB850="","",INDEX('Per Line'!$A$2:$A$4001,$AB850))</f>
        <v/>
      </c>
      <c r="F850" s="11">
        <f>IF($AB850="","",INDEX('Per Line'!$E$2:$E$4001,$AB850))</f>
        <v/>
      </c>
      <c r="G850">
        <f>IF($AB850="","",INDEX('Per Line'!$F$2:$F$4001,$AB850)&amp;"")</f>
        <v/>
      </c>
      <c r="H850">
        <f>IF($AB850="","",INDEX('Per Line'!$H$2:$H$4001,$AB850)&amp;"")</f>
        <v/>
      </c>
      <c r="I850">
        <f>IF($AB850="","",INDEX('Per Line'!$I$2:$I$4001,$AB850)&amp;"")</f>
        <v/>
      </c>
      <c r="J850">
        <f>IF($AB850="","",INDEX('Per Line'!$J$2:$J$4001,$AB850)&amp;"")</f>
        <v/>
      </c>
      <c r="K850">
        <f>IF($AB850="","",INDEX('Per Line'!$K$2:$K$4001,$AB850)&amp;"")</f>
        <v/>
      </c>
      <c r="L850">
        <f>IF($AB850="","",INDEX('Per Line'!$L$2:$L$4001,$AB850))</f>
        <v/>
      </c>
      <c r="M850" s="7">
        <f>IF($AB850="","",IF(AND(ISNUMBER(O850),O850&gt;0,Z850&gt;O850),L850*O850/100+(Z850-O850),L850*Z850/100))</f>
        <v/>
      </c>
      <c r="N850">
        <f>IF($AB850="","",INDEX('Per Line'!$V$2:$V$4001,$AB850)&amp;"")</f>
        <v/>
      </c>
      <c r="O850">
        <f>IF($AB850="","",INDEX('Per Line'!$Z$2:$Z$4001,$AB850))</f>
        <v/>
      </c>
      <c r="P850">
        <f>IF($AB850="","",IF(AND(ISNUMBER(O850),O850&gt;0),Z850&gt;O850,FALSE))</f>
        <v/>
      </c>
      <c r="Q850" s="7">
        <f>IF($AB850="","",SUMIFS('Per Line'!$U$2:$U$4001,'Per Line'!$C$2:$C$4001,$B850,'Per Line'!$AM$2:$AM$4001,1))</f>
        <v/>
      </c>
      <c r="R850">
        <f>IF($AB850="","",Settings!$C$7)</f>
        <v/>
      </c>
      <c r="S850" s="7">
        <f>IF($AB850="","",SUMIFS('Per Line'!$U$2:$U$4001,'Per Line'!$C$2:$C$4001,$B850,'Per Line'!$AL$2:$AL$4001,0,'Per Line'!$AM$2:$AM$4001,0))</f>
        <v/>
      </c>
      <c r="T850" s="7">
        <f>IF($AB850="","",S850*R850)</f>
        <v/>
      </c>
      <c r="U850">
        <f>IF($AB850="","",Settings!$C$6)</f>
        <v/>
      </c>
      <c r="V850" s="7">
        <f>IF($AB850="","",SUMIFS('Per Line'!$U$2:$U$4001,'Per Line'!$C$2:$C$4001,$B850,'Per Line'!$AL$2:$AL$4001,1,'Per Line'!$AM$2:$AM$4001,0))</f>
        <v/>
      </c>
      <c r="W850" s="7">
        <f>IF($AB850="","",V850*U850)</f>
        <v/>
      </c>
      <c r="X850" s="7">
        <f>IF($AB850="","",W850+T850)</f>
        <v/>
      </c>
      <c r="Y850" s="7">
        <f>IF($AB850="","",Z850-X850)</f>
        <v/>
      </c>
      <c r="Z850" s="7">
        <f>IF($AB850="","",S850+V850+Q850)</f>
        <v/>
      </c>
      <c r="AA850" s="7">
        <f>IF($AB850="","",Z850-X850-M850)</f>
        <v/>
      </c>
      <c r="AB850" s="13">
        <f>IF(ROWS($AB$2:$AB850)&lt;=MAX('Per Line'!$AK$2:$AK$4001),MATCH(ROWS($AB$2:$AB850),'Per Line'!$AK$2:$AK$4001,0),"")</f>
        <v/>
      </c>
      <c r="AC850" s="14">
        <f>IF($AB850="","",M850-L850*Z850/100)</f>
        <v/>
      </c>
    </row>
    <row r="851">
      <c r="A851" s="12" t="n"/>
      <c r="B851">
        <f>IF($AB851="","",INDEX('Per Line'!$C$2:$C$4001,$AB851)&amp;"")</f>
        <v/>
      </c>
      <c r="C851">
        <f>IF($AB851="","",INDEX('Per Line'!$D$2:$D$4001,$AB851)&amp;"")</f>
        <v/>
      </c>
      <c r="D851">
        <f>IF($AB851="","",INDEX('Per Line'!$B$2:$B$4001,$AB851)&amp;"")</f>
        <v/>
      </c>
      <c r="E851">
        <f>IF($AB851="","",INDEX('Per Line'!$A$2:$A$4001,$AB851))</f>
        <v/>
      </c>
      <c r="F851" s="11">
        <f>IF($AB851="","",INDEX('Per Line'!$E$2:$E$4001,$AB851))</f>
        <v/>
      </c>
      <c r="G851">
        <f>IF($AB851="","",INDEX('Per Line'!$F$2:$F$4001,$AB851)&amp;"")</f>
        <v/>
      </c>
      <c r="H851">
        <f>IF($AB851="","",INDEX('Per Line'!$H$2:$H$4001,$AB851)&amp;"")</f>
        <v/>
      </c>
      <c r="I851">
        <f>IF($AB851="","",INDEX('Per Line'!$I$2:$I$4001,$AB851)&amp;"")</f>
        <v/>
      </c>
      <c r="J851">
        <f>IF($AB851="","",INDEX('Per Line'!$J$2:$J$4001,$AB851)&amp;"")</f>
        <v/>
      </c>
      <c r="K851">
        <f>IF($AB851="","",INDEX('Per Line'!$K$2:$K$4001,$AB851)&amp;"")</f>
        <v/>
      </c>
      <c r="L851">
        <f>IF($AB851="","",INDEX('Per Line'!$L$2:$L$4001,$AB851))</f>
        <v/>
      </c>
      <c r="M851" s="7">
        <f>IF($AB851="","",IF(AND(ISNUMBER(O851),O851&gt;0,Z851&gt;O851),L851*O851/100+(Z851-O851),L851*Z851/100))</f>
        <v/>
      </c>
      <c r="N851">
        <f>IF($AB851="","",INDEX('Per Line'!$V$2:$V$4001,$AB851)&amp;"")</f>
        <v/>
      </c>
      <c r="O851">
        <f>IF($AB851="","",INDEX('Per Line'!$Z$2:$Z$4001,$AB851))</f>
        <v/>
      </c>
      <c r="P851">
        <f>IF($AB851="","",IF(AND(ISNUMBER(O851),O851&gt;0),Z851&gt;O851,FALSE))</f>
        <v/>
      </c>
      <c r="Q851" s="7">
        <f>IF($AB851="","",SUMIFS('Per Line'!$U$2:$U$4001,'Per Line'!$C$2:$C$4001,$B851,'Per Line'!$AM$2:$AM$4001,1))</f>
        <v/>
      </c>
      <c r="R851">
        <f>IF($AB851="","",Settings!$C$7)</f>
        <v/>
      </c>
      <c r="S851" s="7">
        <f>IF($AB851="","",SUMIFS('Per Line'!$U$2:$U$4001,'Per Line'!$C$2:$C$4001,$B851,'Per Line'!$AL$2:$AL$4001,0,'Per Line'!$AM$2:$AM$4001,0))</f>
        <v/>
      </c>
      <c r="T851" s="7">
        <f>IF($AB851="","",S851*R851)</f>
        <v/>
      </c>
      <c r="U851">
        <f>IF($AB851="","",Settings!$C$6)</f>
        <v/>
      </c>
      <c r="V851" s="7">
        <f>IF($AB851="","",SUMIFS('Per Line'!$U$2:$U$4001,'Per Line'!$C$2:$C$4001,$B851,'Per Line'!$AL$2:$AL$4001,1,'Per Line'!$AM$2:$AM$4001,0))</f>
        <v/>
      </c>
      <c r="W851" s="7">
        <f>IF($AB851="","",V851*U851)</f>
        <v/>
      </c>
      <c r="X851" s="7">
        <f>IF($AB851="","",W851+T851)</f>
        <v/>
      </c>
      <c r="Y851" s="7">
        <f>IF($AB851="","",Z851-X851)</f>
        <v/>
      </c>
      <c r="Z851" s="7">
        <f>IF($AB851="","",S851+V851+Q851)</f>
        <v/>
      </c>
      <c r="AA851" s="7">
        <f>IF($AB851="","",Z851-X851-M851)</f>
        <v/>
      </c>
      <c r="AB851" s="13">
        <f>IF(ROWS($AB$2:$AB851)&lt;=MAX('Per Line'!$AK$2:$AK$4001),MATCH(ROWS($AB$2:$AB851),'Per Line'!$AK$2:$AK$4001,0),"")</f>
        <v/>
      </c>
      <c r="AC851" s="14">
        <f>IF($AB851="","",M851-L851*Z851/100)</f>
        <v/>
      </c>
    </row>
    <row r="852">
      <c r="A852" s="12" t="n"/>
      <c r="B852">
        <f>IF($AB852="","",INDEX('Per Line'!$C$2:$C$4001,$AB852)&amp;"")</f>
        <v/>
      </c>
      <c r="C852">
        <f>IF($AB852="","",INDEX('Per Line'!$D$2:$D$4001,$AB852)&amp;"")</f>
        <v/>
      </c>
      <c r="D852">
        <f>IF($AB852="","",INDEX('Per Line'!$B$2:$B$4001,$AB852)&amp;"")</f>
        <v/>
      </c>
      <c r="E852">
        <f>IF($AB852="","",INDEX('Per Line'!$A$2:$A$4001,$AB852))</f>
        <v/>
      </c>
      <c r="F852" s="11">
        <f>IF($AB852="","",INDEX('Per Line'!$E$2:$E$4001,$AB852))</f>
        <v/>
      </c>
      <c r="G852">
        <f>IF($AB852="","",INDEX('Per Line'!$F$2:$F$4001,$AB852)&amp;"")</f>
        <v/>
      </c>
      <c r="H852">
        <f>IF($AB852="","",INDEX('Per Line'!$H$2:$H$4001,$AB852)&amp;"")</f>
        <v/>
      </c>
      <c r="I852">
        <f>IF($AB852="","",INDEX('Per Line'!$I$2:$I$4001,$AB852)&amp;"")</f>
        <v/>
      </c>
      <c r="J852">
        <f>IF($AB852="","",INDEX('Per Line'!$J$2:$J$4001,$AB852)&amp;"")</f>
        <v/>
      </c>
      <c r="K852">
        <f>IF($AB852="","",INDEX('Per Line'!$K$2:$K$4001,$AB852)&amp;"")</f>
        <v/>
      </c>
      <c r="L852">
        <f>IF($AB852="","",INDEX('Per Line'!$L$2:$L$4001,$AB852))</f>
        <v/>
      </c>
      <c r="M852" s="7">
        <f>IF($AB852="","",IF(AND(ISNUMBER(O852),O852&gt;0,Z852&gt;O852),L852*O852/100+(Z852-O852),L852*Z852/100))</f>
        <v/>
      </c>
      <c r="N852">
        <f>IF($AB852="","",INDEX('Per Line'!$V$2:$V$4001,$AB852)&amp;"")</f>
        <v/>
      </c>
      <c r="O852">
        <f>IF($AB852="","",INDEX('Per Line'!$Z$2:$Z$4001,$AB852))</f>
        <v/>
      </c>
      <c r="P852">
        <f>IF($AB852="","",IF(AND(ISNUMBER(O852),O852&gt;0),Z852&gt;O852,FALSE))</f>
        <v/>
      </c>
      <c r="Q852" s="7">
        <f>IF($AB852="","",SUMIFS('Per Line'!$U$2:$U$4001,'Per Line'!$C$2:$C$4001,$B852,'Per Line'!$AM$2:$AM$4001,1))</f>
        <v/>
      </c>
      <c r="R852">
        <f>IF($AB852="","",Settings!$C$7)</f>
        <v/>
      </c>
      <c r="S852" s="7">
        <f>IF($AB852="","",SUMIFS('Per Line'!$U$2:$U$4001,'Per Line'!$C$2:$C$4001,$B852,'Per Line'!$AL$2:$AL$4001,0,'Per Line'!$AM$2:$AM$4001,0))</f>
        <v/>
      </c>
      <c r="T852" s="7">
        <f>IF($AB852="","",S852*R852)</f>
        <v/>
      </c>
      <c r="U852">
        <f>IF($AB852="","",Settings!$C$6)</f>
        <v/>
      </c>
      <c r="V852" s="7">
        <f>IF($AB852="","",SUMIFS('Per Line'!$U$2:$U$4001,'Per Line'!$C$2:$C$4001,$B852,'Per Line'!$AL$2:$AL$4001,1,'Per Line'!$AM$2:$AM$4001,0))</f>
        <v/>
      </c>
      <c r="W852" s="7">
        <f>IF($AB852="","",V852*U852)</f>
        <v/>
      </c>
      <c r="X852" s="7">
        <f>IF($AB852="","",W852+T852)</f>
        <v/>
      </c>
      <c r="Y852" s="7">
        <f>IF($AB852="","",Z852-X852)</f>
        <v/>
      </c>
      <c r="Z852" s="7">
        <f>IF($AB852="","",S852+V852+Q852)</f>
        <v/>
      </c>
      <c r="AA852" s="7">
        <f>IF($AB852="","",Z852-X852-M852)</f>
        <v/>
      </c>
      <c r="AB852" s="13">
        <f>IF(ROWS($AB$2:$AB852)&lt;=MAX('Per Line'!$AK$2:$AK$4001),MATCH(ROWS($AB$2:$AB852),'Per Line'!$AK$2:$AK$4001,0),"")</f>
        <v/>
      </c>
      <c r="AC852" s="14">
        <f>IF($AB852="","",M852-L852*Z852/100)</f>
        <v/>
      </c>
    </row>
    <row r="853">
      <c r="A853" s="12" t="n"/>
      <c r="B853">
        <f>IF($AB853="","",INDEX('Per Line'!$C$2:$C$4001,$AB853)&amp;"")</f>
        <v/>
      </c>
      <c r="C853">
        <f>IF($AB853="","",INDEX('Per Line'!$D$2:$D$4001,$AB853)&amp;"")</f>
        <v/>
      </c>
      <c r="D853">
        <f>IF($AB853="","",INDEX('Per Line'!$B$2:$B$4001,$AB853)&amp;"")</f>
        <v/>
      </c>
      <c r="E853">
        <f>IF($AB853="","",INDEX('Per Line'!$A$2:$A$4001,$AB853))</f>
        <v/>
      </c>
      <c r="F853" s="11">
        <f>IF($AB853="","",INDEX('Per Line'!$E$2:$E$4001,$AB853))</f>
        <v/>
      </c>
      <c r="G853">
        <f>IF($AB853="","",INDEX('Per Line'!$F$2:$F$4001,$AB853)&amp;"")</f>
        <v/>
      </c>
      <c r="H853">
        <f>IF($AB853="","",INDEX('Per Line'!$H$2:$H$4001,$AB853)&amp;"")</f>
        <v/>
      </c>
      <c r="I853">
        <f>IF($AB853="","",INDEX('Per Line'!$I$2:$I$4001,$AB853)&amp;"")</f>
        <v/>
      </c>
      <c r="J853">
        <f>IF($AB853="","",INDEX('Per Line'!$J$2:$J$4001,$AB853)&amp;"")</f>
        <v/>
      </c>
      <c r="K853">
        <f>IF($AB853="","",INDEX('Per Line'!$K$2:$K$4001,$AB853)&amp;"")</f>
        <v/>
      </c>
      <c r="L853">
        <f>IF($AB853="","",INDEX('Per Line'!$L$2:$L$4001,$AB853))</f>
        <v/>
      </c>
      <c r="M853" s="7">
        <f>IF($AB853="","",IF(AND(ISNUMBER(O853),O853&gt;0,Z853&gt;O853),L853*O853/100+(Z853-O853),L853*Z853/100))</f>
        <v/>
      </c>
      <c r="N853">
        <f>IF($AB853="","",INDEX('Per Line'!$V$2:$V$4001,$AB853)&amp;"")</f>
        <v/>
      </c>
      <c r="O853">
        <f>IF($AB853="","",INDEX('Per Line'!$Z$2:$Z$4001,$AB853))</f>
        <v/>
      </c>
      <c r="P853">
        <f>IF($AB853="","",IF(AND(ISNUMBER(O853),O853&gt;0),Z853&gt;O853,FALSE))</f>
        <v/>
      </c>
      <c r="Q853" s="7">
        <f>IF($AB853="","",SUMIFS('Per Line'!$U$2:$U$4001,'Per Line'!$C$2:$C$4001,$B853,'Per Line'!$AM$2:$AM$4001,1))</f>
        <v/>
      </c>
      <c r="R853">
        <f>IF($AB853="","",Settings!$C$7)</f>
        <v/>
      </c>
      <c r="S853" s="7">
        <f>IF($AB853="","",SUMIFS('Per Line'!$U$2:$U$4001,'Per Line'!$C$2:$C$4001,$B853,'Per Line'!$AL$2:$AL$4001,0,'Per Line'!$AM$2:$AM$4001,0))</f>
        <v/>
      </c>
      <c r="T853" s="7">
        <f>IF($AB853="","",S853*R853)</f>
        <v/>
      </c>
      <c r="U853">
        <f>IF($AB853="","",Settings!$C$6)</f>
        <v/>
      </c>
      <c r="V853" s="7">
        <f>IF($AB853="","",SUMIFS('Per Line'!$U$2:$U$4001,'Per Line'!$C$2:$C$4001,$B853,'Per Line'!$AL$2:$AL$4001,1,'Per Line'!$AM$2:$AM$4001,0))</f>
        <v/>
      </c>
      <c r="W853" s="7">
        <f>IF($AB853="","",V853*U853)</f>
        <v/>
      </c>
      <c r="X853" s="7">
        <f>IF($AB853="","",W853+T853)</f>
        <v/>
      </c>
      <c r="Y853" s="7">
        <f>IF($AB853="","",Z853-X853)</f>
        <v/>
      </c>
      <c r="Z853" s="7">
        <f>IF($AB853="","",S853+V853+Q853)</f>
        <v/>
      </c>
      <c r="AA853" s="7">
        <f>IF($AB853="","",Z853-X853-M853)</f>
        <v/>
      </c>
      <c r="AB853" s="13">
        <f>IF(ROWS($AB$2:$AB853)&lt;=MAX('Per Line'!$AK$2:$AK$4001),MATCH(ROWS($AB$2:$AB853),'Per Line'!$AK$2:$AK$4001,0),"")</f>
        <v/>
      </c>
      <c r="AC853" s="14">
        <f>IF($AB853="","",M853-L853*Z853/100)</f>
        <v/>
      </c>
    </row>
    <row r="854">
      <c r="A854" s="12" t="n"/>
      <c r="B854">
        <f>IF($AB854="","",INDEX('Per Line'!$C$2:$C$4001,$AB854)&amp;"")</f>
        <v/>
      </c>
      <c r="C854">
        <f>IF($AB854="","",INDEX('Per Line'!$D$2:$D$4001,$AB854)&amp;"")</f>
        <v/>
      </c>
      <c r="D854">
        <f>IF($AB854="","",INDEX('Per Line'!$B$2:$B$4001,$AB854)&amp;"")</f>
        <v/>
      </c>
      <c r="E854">
        <f>IF($AB854="","",INDEX('Per Line'!$A$2:$A$4001,$AB854))</f>
        <v/>
      </c>
      <c r="F854" s="11">
        <f>IF($AB854="","",INDEX('Per Line'!$E$2:$E$4001,$AB854))</f>
        <v/>
      </c>
      <c r="G854">
        <f>IF($AB854="","",INDEX('Per Line'!$F$2:$F$4001,$AB854)&amp;"")</f>
        <v/>
      </c>
      <c r="H854">
        <f>IF($AB854="","",INDEX('Per Line'!$H$2:$H$4001,$AB854)&amp;"")</f>
        <v/>
      </c>
      <c r="I854">
        <f>IF($AB854="","",INDEX('Per Line'!$I$2:$I$4001,$AB854)&amp;"")</f>
        <v/>
      </c>
      <c r="J854">
        <f>IF($AB854="","",INDEX('Per Line'!$J$2:$J$4001,$AB854)&amp;"")</f>
        <v/>
      </c>
      <c r="K854">
        <f>IF($AB854="","",INDEX('Per Line'!$K$2:$K$4001,$AB854)&amp;"")</f>
        <v/>
      </c>
      <c r="L854">
        <f>IF($AB854="","",INDEX('Per Line'!$L$2:$L$4001,$AB854))</f>
        <v/>
      </c>
      <c r="M854" s="7">
        <f>IF($AB854="","",IF(AND(ISNUMBER(O854),O854&gt;0,Z854&gt;O854),L854*O854/100+(Z854-O854),L854*Z854/100))</f>
        <v/>
      </c>
      <c r="N854">
        <f>IF($AB854="","",INDEX('Per Line'!$V$2:$V$4001,$AB854)&amp;"")</f>
        <v/>
      </c>
      <c r="O854">
        <f>IF($AB854="","",INDEX('Per Line'!$Z$2:$Z$4001,$AB854))</f>
        <v/>
      </c>
      <c r="P854">
        <f>IF($AB854="","",IF(AND(ISNUMBER(O854),O854&gt;0),Z854&gt;O854,FALSE))</f>
        <v/>
      </c>
      <c r="Q854" s="7">
        <f>IF($AB854="","",SUMIFS('Per Line'!$U$2:$U$4001,'Per Line'!$C$2:$C$4001,$B854,'Per Line'!$AM$2:$AM$4001,1))</f>
        <v/>
      </c>
      <c r="R854">
        <f>IF($AB854="","",Settings!$C$7)</f>
        <v/>
      </c>
      <c r="S854" s="7">
        <f>IF($AB854="","",SUMIFS('Per Line'!$U$2:$U$4001,'Per Line'!$C$2:$C$4001,$B854,'Per Line'!$AL$2:$AL$4001,0,'Per Line'!$AM$2:$AM$4001,0))</f>
        <v/>
      </c>
      <c r="T854" s="7">
        <f>IF($AB854="","",S854*R854)</f>
        <v/>
      </c>
      <c r="U854">
        <f>IF($AB854="","",Settings!$C$6)</f>
        <v/>
      </c>
      <c r="V854" s="7">
        <f>IF($AB854="","",SUMIFS('Per Line'!$U$2:$U$4001,'Per Line'!$C$2:$C$4001,$B854,'Per Line'!$AL$2:$AL$4001,1,'Per Line'!$AM$2:$AM$4001,0))</f>
        <v/>
      </c>
      <c r="W854" s="7">
        <f>IF($AB854="","",V854*U854)</f>
        <v/>
      </c>
      <c r="X854" s="7">
        <f>IF($AB854="","",W854+T854)</f>
        <v/>
      </c>
      <c r="Y854" s="7">
        <f>IF($AB854="","",Z854-X854)</f>
        <v/>
      </c>
      <c r="Z854" s="7">
        <f>IF($AB854="","",S854+V854+Q854)</f>
        <v/>
      </c>
      <c r="AA854" s="7">
        <f>IF($AB854="","",Z854-X854-M854)</f>
        <v/>
      </c>
      <c r="AB854" s="13">
        <f>IF(ROWS($AB$2:$AB854)&lt;=MAX('Per Line'!$AK$2:$AK$4001),MATCH(ROWS($AB$2:$AB854),'Per Line'!$AK$2:$AK$4001,0),"")</f>
        <v/>
      </c>
      <c r="AC854" s="14">
        <f>IF($AB854="","",M854-L854*Z854/100)</f>
        <v/>
      </c>
    </row>
    <row r="855">
      <c r="A855" s="12" t="n"/>
      <c r="B855">
        <f>IF($AB855="","",INDEX('Per Line'!$C$2:$C$4001,$AB855)&amp;"")</f>
        <v/>
      </c>
      <c r="C855">
        <f>IF($AB855="","",INDEX('Per Line'!$D$2:$D$4001,$AB855)&amp;"")</f>
        <v/>
      </c>
      <c r="D855">
        <f>IF($AB855="","",INDEX('Per Line'!$B$2:$B$4001,$AB855)&amp;"")</f>
        <v/>
      </c>
      <c r="E855">
        <f>IF($AB855="","",INDEX('Per Line'!$A$2:$A$4001,$AB855))</f>
        <v/>
      </c>
      <c r="F855" s="11">
        <f>IF($AB855="","",INDEX('Per Line'!$E$2:$E$4001,$AB855))</f>
        <v/>
      </c>
      <c r="G855">
        <f>IF($AB855="","",INDEX('Per Line'!$F$2:$F$4001,$AB855)&amp;"")</f>
        <v/>
      </c>
      <c r="H855">
        <f>IF($AB855="","",INDEX('Per Line'!$H$2:$H$4001,$AB855)&amp;"")</f>
        <v/>
      </c>
      <c r="I855">
        <f>IF($AB855="","",INDEX('Per Line'!$I$2:$I$4001,$AB855)&amp;"")</f>
        <v/>
      </c>
      <c r="J855">
        <f>IF($AB855="","",INDEX('Per Line'!$J$2:$J$4001,$AB855)&amp;"")</f>
        <v/>
      </c>
      <c r="K855">
        <f>IF($AB855="","",INDEX('Per Line'!$K$2:$K$4001,$AB855)&amp;"")</f>
        <v/>
      </c>
      <c r="L855">
        <f>IF($AB855="","",INDEX('Per Line'!$L$2:$L$4001,$AB855))</f>
        <v/>
      </c>
      <c r="M855" s="7">
        <f>IF($AB855="","",IF(AND(ISNUMBER(O855),O855&gt;0,Z855&gt;O855),L855*O855/100+(Z855-O855),L855*Z855/100))</f>
        <v/>
      </c>
      <c r="N855">
        <f>IF($AB855="","",INDEX('Per Line'!$V$2:$V$4001,$AB855)&amp;"")</f>
        <v/>
      </c>
      <c r="O855">
        <f>IF($AB855="","",INDEX('Per Line'!$Z$2:$Z$4001,$AB855))</f>
        <v/>
      </c>
      <c r="P855">
        <f>IF($AB855="","",IF(AND(ISNUMBER(O855),O855&gt;0),Z855&gt;O855,FALSE))</f>
        <v/>
      </c>
      <c r="Q855" s="7">
        <f>IF($AB855="","",SUMIFS('Per Line'!$U$2:$U$4001,'Per Line'!$C$2:$C$4001,$B855,'Per Line'!$AM$2:$AM$4001,1))</f>
        <v/>
      </c>
      <c r="R855">
        <f>IF($AB855="","",Settings!$C$7)</f>
        <v/>
      </c>
      <c r="S855" s="7">
        <f>IF($AB855="","",SUMIFS('Per Line'!$U$2:$U$4001,'Per Line'!$C$2:$C$4001,$B855,'Per Line'!$AL$2:$AL$4001,0,'Per Line'!$AM$2:$AM$4001,0))</f>
        <v/>
      </c>
      <c r="T855" s="7">
        <f>IF($AB855="","",S855*R855)</f>
        <v/>
      </c>
      <c r="U855">
        <f>IF($AB855="","",Settings!$C$6)</f>
        <v/>
      </c>
      <c r="V855" s="7">
        <f>IF($AB855="","",SUMIFS('Per Line'!$U$2:$U$4001,'Per Line'!$C$2:$C$4001,$B855,'Per Line'!$AL$2:$AL$4001,1,'Per Line'!$AM$2:$AM$4001,0))</f>
        <v/>
      </c>
      <c r="W855" s="7">
        <f>IF($AB855="","",V855*U855)</f>
        <v/>
      </c>
      <c r="X855" s="7">
        <f>IF($AB855="","",W855+T855)</f>
        <v/>
      </c>
      <c r="Y855" s="7">
        <f>IF($AB855="","",Z855-X855)</f>
        <v/>
      </c>
      <c r="Z855" s="7">
        <f>IF($AB855="","",S855+V855+Q855)</f>
        <v/>
      </c>
      <c r="AA855" s="7">
        <f>IF($AB855="","",Z855-X855-M855)</f>
        <v/>
      </c>
      <c r="AB855" s="13">
        <f>IF(ROWS($AB$2:$AB855)&lt;=MAX('Per Line'!$AK$2:$AK$4001),MATCH(ROWS($AB$2:$AB855),'Per Line'!$AK$2:$AK$4001,0),"")</f>
        <v/>
      </c>
      <c r="AC855" s="14">
        <f>IF($AB855="","",M855-L855*Z855/100)</f>
        <v/>
      </c>
    </row>
    <row r="856">
      <c r="A856" s="12" t="n"/>
      <c r="B856">
        <f>IF($AB856="","",INDEX('Per Line'!$C$2:$C$4001,$AB856)&amp;"")</f>
        <v/>
      </c>
      <c r="C856">
        <f>IF($AB856="","",INDEX('Per Line'!$D$2:$D$4001,$AB856)&amp;"")</f>
        <v/>
      </c>
      <c r="D856">
        <f>IF($AB856="","",INDEX('Per Line'!$B$2:$B$4001,$AB856)&amp;"")</f>
        <v/>
      </c>
      <c r="E856">
        <f>IF($AB856="","",INDEX('Per Line'!$A$2:$A$4001,$AB856))</f>
        <v/>
      </c>
      <c r="F856" s="11">
        <f>IF($AB856="","",INDEX('Per Line'!$E$2:$E$4001,$AB856))</f>
        <v/>
      </c>
      <c r="G856">
        <f>IF($AB856="","",INDEX('Per Line'!$F$2:$F$4001,$AB856)&amp;"")</f>
        <v/>
      </c>
      <c r="H856">
        <f>IF($AB856="","",INDEX('Per Line'!$H$2:$H$4001,$AB856)&amp;"")</f>
        <v/>
      </c>
      <c r="I856">
        <f>IF($AB856="","",INDEX('Per Line'!$I$2:$I$4001,$AB856)&amp;"")</f>
        <v/>
      </c>
      <c r="J856">
        <f>IF($AB856="","",INDEX('Per Line'!$J$2:$J$4001,$AB856)&amp;"")</f>
        <v/>
      </c>
      <c r="K856">
        <f>IF($AB856="","",INDEX('Per Line'!$K$2:$K$4001,$AB856)&amp;"")</f>
        <v/>
      </c>
      <c r="L856">
        <f>IF($AB856="","",INDEX('Per Line'!$L$2:$L$4001,$AB856))</f>
        <v/>
      </c>
      <c r="M856" s="7">
        <f>IF($AB856="","",IF(AND(ISNUMBER(O856),O856&gt;0,Z856&gt;O856),L856*O856/100+(Z856-O856),L856*Z856/100))</f>
        <v/>
      </c>
      <c r="N856">
        <f>IF($AB856="","",INDEX('Per Line'!$V$2:$V$4001,$AB856)&amp;"")</f>
        <v/>
      </c>
      <c r="O856">
        <f>IF($AB856="","",INDEX('Per Line'!$Z$2:$Z$4001,$AB856))</f>
        <v/>
      </c>
      <c r="P856">
        <f>IF($AB856="","",IF(AND(ISNUMBER(O856),O856&gt;0),Z856&gt;O856,FALSE))</f>
        <v/>
      </c>
      <c r="Q856" s="7">
        <f>IF($AB856="","",SUMIFS('Per Line'!$U$2:$U$4001,'Per Line'!$C$2:$C$4001,$B856,'Per Line'!$AM$2:$AM$4001,1))</f>
        <v/>
      </c>
      <c r="R856">
        <f>IF($AB856="","",Settings!$C$7)</f>
        <v/>
      </c>
      <c r="S856" s="7">
        <f>IF($AB856="","",SUMIFS('Per Line'!$U$2:$U$4001,'Per Line'!$C$2:$C$4001,$B856,'Per Line'!$AL$2:$AL$4001,0,'Per Line'!$AM$2:$AM$4001,0))</f>
        <v/>
      </c>
      <c r="T856" s="7">
        <f>IF($AB856="","",S856*R856)</f>
        <v/>
      </c>
      <c r="U856">
        <f>IF($AB856="","",Settings!$C$6)</f>
        <v/>
      </c>
      <c r="V856" s="7">
        <f>IF($AB856="","",SUMIFS('Per Line'!$U$2:$U$4001,'Per Line'!$C$2:$C$4001,$B856,'Per Line'!$AL$2:$AL$4001,1,'Per Line'!$AM$2:$AM$4001,0))</f>
        <v/>
      </c>
      <c r="W856" s="7">
        <f>IF($AB856="","",V856*U856)</f>
        <v/>
      </c>
      <c r="X856" s="7">
        <f>IF($AB856="","",W856+T856)</f>
        <v/>
      </c>
      <c r="Y856" s="7">
        <f>IF($AB856="","",Z856-X856)</f>
        <v/>
      </c>
      <c r="Z856" s="7">
        <f>IF($AB856="","",S856+V856+Q856)</f>
        <v/>
      </c>
      <c r="AA856" s="7">
        <f>IF($AB856="","",Z856-X856-M856)</f>
        <v/>
      </c>
      <c r="AB856" s="13">
        <f>IF(ROWS($AB$2:$AB856)&lt;=MAX('Per Line'!$AK$2:$AK$4001),MATCH(ROWS($AB$2:$AB856),'Per Line'!$AK$2:$AK$4001,0),"")</f>
        <v/>
      </c>
      <c r="AC856" s="14">
        <f>IF($AB856="","",M856-L856*Z856/100)</f>
        <v/>
      </c>
    </row>
    <row r="857">
      <c r="A857" s="12" t="n"/>
      <c r="B857">
        <f>IF($AB857="","",INDEX('Per Line'!$C$2:$C$4001,$AB857)&amp;"")</f>
        <v/>
      </c>
      <c r="C857">
        <f>IF($AB857="","",INDEX('Per Line'!$D$2:$D$4001,$AB857)&amp;"")</f>
        <v/>
      </c>
      <c r="D857">
        <f>IF($AB857="","",INDEX('Per Line'!$B$2:$B$4001,$AB857)&amp;"")</f>
        <v/>
      </c>
      <c r="E857">
        <f>IF($AB857="","",INDEX('Per Line'!$A$2:$A$4001,$AB857))</f>
        <v/>
      </c>
      <c r="F857" s="11">
        <f>IF($AB857="","",INDEX('Per Line'!$E$2:$E$4001,$AB857))</f>
        <v/>
      </c>
      <c r="G857">
        <f>IF($AB857="","",INDEX('Per Line'!$F$2:$F$4001,$AB857)&amp;"")</f>
        <v/>
      </c>
      <c r="H857">
        <f>IF($AB857="","",INDEX('Per Line'!$H$2:$H$4001,$AB857)&amp;"")</f>
        <v/>
      </c>
      <c r="I857">
        <f>IF($AB857="","",INDEX('Per Line'!$I$2:$I$4001,$AB857)&amp;"")</f>
        <v/>
      </c>
      <c r="J857">
        <f>IF($AB857="","",INDEX('Per Line'!$J$2:$J$4001,$AB857)&amp;"")</f>
        <v/>
      </c>
      <c r="K857">
        <f>IF($AB857="","",INDEX('Per Line'!$K$2:$K$4001,$AB857)&amp;"")</f>
        <v/>
      </c>
      <c r="L857">
        <f>IF($AB857="","",INDEX('Per Line'!$L$2:$L$4001,$AB857))</f>
        <v/>
      </c>
      <c r="M857" s="7">
        <f>IF($AB857="","",IF(AND(ISNUMBER(O857),O857&gt;0,Z857&gt;O857),L857*O857/100+(Z857-O857),L857*Z857/100))</f>
        <v/>
      </c>
      <c r="N857">
        <f>IF($AB857="","",INDEX('Per Line'!$V$2:$V$4001,$AB857)&amp;"")</f>
        <v/>
      </c>
      <c r="O857">
        <f>IF($AB857="","",INDEX('Per Line'!$Z$2:$Z$4001,$AB857))</f>
        <v/>
      </c>
      <c r="P857">
        <f>IF($AB857="","",IF(AND(ISNUMBER(O857),O857&gt;0),Z857&gt;O857,FALSE))</f>
        <v/>
      </c>
      <c r="Q857" s="7">
        <f>IF($AB857="","",SUMIFS('Per Line'!$U$2:$U$4001,'Per Line'!$C$2:$C$4001,$B857,'Per Line'!$AM$2:$AM$4001,1))</f>
        <v/>
      </c>
      <c r="R857">
        <f>IF($AB857="","",Settings!$C$7)</f>
        <v/>
      </c>
      <c r="S857" s="7">
        <f>IF($AB857="","",SUMIFS('Per Line'!$U$2:$U$4001,'Per Line'!$C$2:$C$4001,$B857,'Per Line'!$AL$2:$AL$4001,0,'Per Line'!$AM$2:$AM$4001,0))</f>
        <v/>
      </c>
      <c r="T857" s="7">
        <f>IF($AB857="","",S857*R857)</f>
        <v/>
      </c>
      <c r="U857">
        <f>IF($AB857="","",Settings!$C$6)</f>
        <v/>
      </c>
      <c r="V857" s="7">
        <f>IF($AB857="","",SUMIFS('Per Line'!$U$2:$U$4001,'Per Line'!$C$2:$C$4001,$B857,'Per Line'!$AL$2:$AL$4001,1,'Per Line'!$AM$2:$AM$4001,0))</f>
        <v/>
      </c>
      <c r="W857" s="7">
        <f>IF($AB857="","",V857*U857)</f>
        <v/>
      </c>
      <c r="X857" s="7">
        <f>IF($AB857="","",W857+T857)</f>
        <v/>
      </c>
      <c r="Y857" s="7">
        <f>IF($AB857="","",Z857-X857)</f>
        <v/>
      </c>
      <c r="Z857" s="7">
        <f>IF($AB857="","",S857+V857+Q857)</f>
        <v/>
      </c>
      <c r="AA857" s="7">
        <f>IF($AB857="","",Z857-X857-M857)</f>
        <v/>
      </c>
      <c r="AB857" s="13">
        <f>IF(ROWS($AB$2:$AB857)&lt;=MAX('Per Line'!$AK$2:$AK$4001),MATCH(ROWS($AB$2:$AB857),'Per Line'!$AK$2:$AK$4001,0),"")</f>
        <v/>
      </c>
      <c r="AC857" s="14">
        <f>IF($AB857="","",M857-L857*Z857/100)</f>
        <v/>
      </c>
    </row>
    <row r="858">
      <c r="A858" s="12" t="n"/>
      <c r="B858">
        <f>IF($AB858="","",INDEX('Per Line'!$C$2:$C$4001,$AB858)&amp;"")</f>
        <v/>
      </c>
      <c r="C858">
        <f>IF($AB858="","",INDEX('Per Line'!$D$2:$D$4001,$AB858)&amp;"")</f>
        <v/>
      </c>
      <c r="D858">
        <f>IF($AB858="","",INDEX('Per Line'!$B$2:$B$4001,$AB858)&amp;"")</f>
        <v/>
      </c>
      <c r="E858">
        <f>IF($AB858="","",INDEX('Per Line'!$A$2:$A$4001,$AB858))</f>
        <v/>
      </c>
      <c r="F858" s="11">
        <f>IF($AB858="","",INDEX('Per Line'!$E$2:$E$4001,$AB858))</f>
        <v/>
      </c>
      <c r="G858">
        <f>IF($AB858="","",INDEX('Per Line'!$F$2:$F$4001,$AB858)&amp;"")</f>
        <v/>
      </c>
      <c r="H858">
        <f>IF($AB858="","",INDEX('Per Line'!$H$2:$H$4001,$AB858)&amp;"")</f>
        <v/>
      </c>
      <c r="I858">
        <f>IF($AB858="","",INDEX('Per Line'!$I$2:$I$4001,$AB858)&amp;"")</f>
        <v/>
      </c>
      <c r="J858">
        <f>IF($AB858="","",INDEX('Per Line'!$J$2:$J$4001,$AB858)&amp;"")</f>
        <v/>
      </c>
      <c r="K858">
        <f>IF($AB858="","",INDEX('Per Line'!$K$2:$K$4001,$AB858)&amp;"")</f>
        <v/>
      </c>
      <c r="L858">
        <f>IF($AB858="","",INDEX('Per Line'!$L$2:$L$4001,$AB858))</f>
        <v/>
      </c>
      <c r="M858" s="7">
        <f>IF($AB858="","",IF(AND(ISNUMBER(O858),O858&gt;0,Z858&gt;O858),L858*O858/100+(Z858-O858),L858*Z858/100))</f>
        <v/>
      </c>
      <c r="N858">
        <f>IF($AB858="","",INDEX('Per Line'!$V$2:$V$4001,$AB858)&amp;"")</f>
        <v/>
      </c>
      <c r="O858">
        <f>IF($AB858="","",INDEX('Per Line'!$Z$2:$Z$4001,$AB858))</f>
        <v/>
      </c>
      <c r="P858">
        <f>IF($AB858="","",IF(AND(ISNUMBER(O858),O858&gt;0),Z858&gt;O858,FALSE))</f>
        <v/>
      </c>
      <c r="Q858" s="7">
        <f>IF($AB858="","",SUMIFS('Per Line'!$U$2:$U$4001,'Per Line'!$C$2:$C$4001,$B858,'Per Line'!$AM$2:$AM$4001,1))</f>
        <v/>
      </c>
      <c r="R858">
        <f>IF($AB858="","",Settings!$C$7)</f>
        <v/>
      </c>
      <c r="S858" s="7">
        <f>IF($AB858="","",SUMIFS('Per Line'!$U$2:$U$4001,'Per Line'!$C$2:$C$4001,$B858,'Per Line'!$AL$2:$AL$4001,0,'Per Line'!$AM$2:$AM$4001,0))</f>
        <v/>
      </c>
      <c r="T858" s="7">
        <f>IF($AB858="","",S858*R858)</f>
        <v/>
      </c>
      <c r="U858">
        <f>IF($AB858="","",Settings!$C$6)</f>
        <v/>
      </c>
      <c r="V858" s="7">
        <f>IF($AB858="","",SUMIFS('Per Line'!$U$2:$U$4001,'Per Line'!$C$2:$C$4001,$B858,'Per Line'!$AL$2:$AL$4001,1,'Per Line'!$AM$2:$AM$4001,0))</f>
        <v/>
      </c>
      <c r="W858" s="7">
        <f>IF($AB858="","",V858*U858)</f>
        <v/>
      </c>
      <c r="X858" s="7">
        <f>IF($AB858="","",W858+T858)</f>
        <v/>
      </c>
      <c r="Y858" s="7">
        <f>IF($AB858="","",Z858-X858)</f>
        <v/>
      </c>
      <c r="Z858" s="7">
        <f>IF($AB858="","",S858+V858+Q858)</f>
        <v/>
      </c>
      <c r="AA858" s="7">
        <f>IF($AB858="","",Z858-X858-M858)</f>
        <v/>
      </c>
      <c r="AB858" s="13">
        <f>IF(ROWS($AB$2:$AB858)&lt;=MAX('Per Line'!$AK$2:$AK$4001),MATCH(ROWS($AB$2:$AB858),'Per Line'!$AK$2:$AK$4001,0),"")</f>
        <v/>
      </c>
      <c r="AC858" s="14">
        <f>IF($AB858="","",M858-L858*Z858/100)</f>
        <v/>
      </c>
    </row>
    <row r="859">
      <c r="A859" s="12" t="n"/>
      <c r="B859">
        <f>IF($AB859="","",INDEX('Per Line'!$C$2:$C$4001,$AB859)&amp;"")</f>
        <v/>
      </c>
      <c r="C859">
        <f>IF($AB859="","",INDEX('Per Line'!$D$2:$D$4001,$AB859)&amp;"")</f>
        <v/>
      </c>
      <c r="D859">
        <f>IF($AB859="","",INDEX('Per Line'!$B$2:$B$4001,$AB859)&amp;"")</f>
        <v/>
      </c>
      <c r="E859">
        <f>IF($AB859="","",INDEX('Per Line'!$A$2:$A$4001,$AB859))</f>
        <v/>
      </c>
      <c r="F859" s="11">
        <f>IF($AB859="","",INDEX('Per Line'!$E$2:$E$4001,$AB859))</f>
        <v/>
      </c>
      <c r="G859">
        <f>IF($AB859="","",INDEX('Per Line'!$F$2:$F$4001,$AB859)&amp;"")</f>
        <v/>
      </c>
      <c r="H859">
        <f>IF($AB859="","",INDEX('Per Line'!$H$2:$H$4001,$AB859)&amp;"")</f>
        <v/>
      </c>
      <c r="I859">
        <f>IF($AB859="","",INDEX('Per Line'!$I$2:$I$4001,$AB859)&amp;"")</f>
        <v/>
      </c>
      <c r="J859">
        <f>IF($AB859="","",INDEX('Per Line'!$J$2:$J$4001,$AB859)&amp;"")</f>
        <v/>
      </c>
      <c r="K859">
        <f>IF($AB859="","",INDEX('Per Line'!$K$2:$K$4001,$AB859)&amp;"")</f>
        <v/>
      </c>
      <c r="L859">
        <f>IF($AB859="","",INDEX('Per Line'!$L$2:$L$4001,$AB859))</f>
        <v/>
      </c>
      <c r="M859" s="7">
        <f>IF($AB859="","",IF(AND(ISNUMBER(O859),O859&gt;0,Z859&gt;O859),L859*O859/100+(Z859-O859),L859*Z859/100))</f>
        <v/>
      </c>
      <c r="N859">
        <f>IF($AB859="","",INDEX('Per Line'!$V$2:$V$4001,$AB859)&amp;"")</f>
        <v/>
      </c>
      <c r="O859">
        <f>IF($AB859="","",INDEX('Per Line'!$Z$2:$Z$4001,$AB859))</f>
        <v/>
      </c>
      <c r="P859">
        <f>IF($AB859="","",IF(AND(ISNUMBER(O859),O859&gt;0),Z859&gt;O859,FALSE))</f>
        <v/>
      </c>
      <c r="Q859" s="7">
        <f>IF($AB859="","",SUMIFS('Per Line'!$U$2:$U$4001,'Per Line'!$C$2:$C$4001,$B859,'Per Line'!$AM$2:$AM$4001,1))</f>
        <v/>
      </c>
      <c r="R859">
        <f>IF($AB859="","",Settings!$C$7)</f>
        <v/>
      </c>
      <c r="S859" s="7">
        <f>IF($AB859="","",SUMIFS('Per Line'!$U$2:$U$4001,'Per Line'!$C$2:$C$4001,$B859,'Per Line'!$AL$2:$AL$4001,0,'Per Line'!$AM$2:$AM$4001,0))</f>
        <v/>
      </c>
      <c r="T859" s="7">
        <f>IF($AB859="","",S859*R859)</f>
        <v/>
      </c>
      <c r="U859">
        <f>IF($AB859="","",Settings!$C$6)</f>
        <v/>
      </c>
      <c r="V859" s="7">
        <f>IF($AB859="","",SUMIFS('Per Line'!$U$2:$U$4001,'Per Line'!$C$2:$C$4001,$B859,'Per Line'!$AL$2:$AL$4001,1,'Per Line'!$AM$2:$AM$4001,0))</f>
        <v/>
      </c>
      <c r="W859" s="7">
        <f>IF($AB859="","",V859*U859)</f>
        <v/>
      </c>
      <c r="X859" s="7">
        <f>IF($AB859="","",W859+T859)</f>
        <v/>
      </c>
      <c r="Y859" s="7">
        <f>IF($AB859="","",Z859-X859)</f>
        <v/>
      </c>
      <c r="Z859" s="7">
        <f>IF($AB859="","",S859+V859+Q859)</f>
        <v/>
      </c>
      <c r="AA859" s="7">
        <f>IF($AB859="","",Z859-X859-M859)</f>
        <v/>
      </c>
      <c r="AB859" s="13">
        <f>IF(ROWS($AB$2:$AB859)&lt;=MAX('Per Line'!$AK$2:$AK$4001),MATCH(ROWS($AB$2:$AB859),'Per Line'!$AK$2:$AK$4001,0),"")</f>
        <v/>
      </c>
      <c r="AC859" s="14">
        <f>IF($AB859="","",M859-L859*Z859/100)</f>
        <v/>
      </c>
    </row>
    <row r="860">
      <c r="A860" s="12" t="n"/>
      <c r="B860">
        <f>IF($AB860="","",INDEX('Per Line'!$C$2:$C$4001,$AB860)&amp;"")</f>
        <v/>
      </c>
      <c r="C860">
        <f>IF($AB860="","",INDEX('Per Line'!$D$2:$D$4001,$AB860)&amp;"")</f>
        <v/>
      </c>
      <c r="D860">
        <f>IF($AB860="","",INDEX('Per Line'!$B$2:$B$4001,$AB860)&amp;"")</f>
        <v/>
      </c>
      <c r="E860">
        <f>IF($AB860="","",INDEX('Per Line'!$A$2:$A$4001,$AB860))</f>
        <v/>
      </c>
      <c r="F860" s="11">
        <f>IF($AB860="","",INDEX('Per Line'!$E$2:$E$4001,$AB860))</f>
        <v/>
      </c>
      <c r="G860">
        <f>IF($AB860="","",INDEX('Per Line'!$F$2:$F$4001,$AB860)&amp;"")</f>
        <v/>
      </c>
      <c r="H860">
        <f>IF($AB860="","",INDEX('Per Line'!$H$2:$H$4001,$AB860)&amp;"")</f>
        <v/>
      </c>
      <c r="I860">
        <f>IF($AB860="","",INDEX('Per Line'!$I$2:$I$4001,$AB860)&amp;"")</f>
        <v/>
      </c>
      <c r="J860">
        <f>IF($AB860="","",INDEX('Per Line'!$J$2:$J$4001,$AB860)&amp;"")</f>
        <v/>
      </c>
      <c r="K860">
        <f>IF($AB860="","",INDEX('Per Line'!$K$2:$K$4001,$AB860)&amp;"")</f>
        <v/>
      </c>
      <c r="L860">
        <f>IF($AB860="","",INDEX('Per Line'!$L$2:$L$4001,$AB860))</f>
        <v/>
      </c>
      <c r="M860" s="7">
        <f>IF($AB860="","",IF(AND(ISNUMBER(O860),O860&gt;0,Z860&gt;O860),L860*O860/100+(Z860-O860),L860*Z860/100))</f>
        <v/>
      </c>
      <c r="N860">
        <f>IF($AB860="","",INDEX('Per Line'!$V$2:$V$4001,$AB860)&amp;"")</f>
        <v/>
      </c>
      <c r="O860">
        <f>IF($AB860="","",INDEX('Per Line'!$Z$2:$Z$4001,$AB860))</f>
        <v/>
      </c>
      <c r="P860">
        <f>IF($AB860="","",IF(AND(ISNUMBER(O860),O860&gt;0),Z860&gt;O860,FALSE))</f>
        <v/>
      </c>
      <c r="Q860" s="7">
        <f>IF($AB860="","",SUMIFS('Per Line'!$U$2:$U$4001,'Per Line'!$C$2:$C$4001,$B860,'Per Line'!$AM$2:$AM$4001,1))</f>
        <v/>
      </c>
      <c r="R860">
        <f>IF($AB860="","",Settings!$C$7)</f>
        <v/>
      </c>
      <c r="S860" s="7">
        <f>IF($AB860="","",SUMIFS('Per Line'!$U$2:$U$4001,'Per Line'!$C$2:$C$4001,$B860,'Per Line'!$AL$2:$AL$4001,0,'Per Line'!$AM$2:$AM$4001,0))</f>
        <v/>
      </c>
      <c r="T860" s="7">
        <f>IF($AB860="","",S860*R860)</f>
        <v/>
      </c>
      <c r="U860">
        <f>IF($AB860="","",Settings!$C$6)</f>
        <v/>
      </c>
      <c r="V860" s="7">
        <f>IF($AB860="","",SUMIFS('Per Line'!$U$2:$U$4001,'Per Line'!$C$2:$C$4001,$B860,'Per Line'!$AL$2:$AL$4001,1,'Per Line'!$AM$2:$AM$4001,0))</f>
        <v/>
      </c>
      <c r="W860" s="7">
        <f>IF($AB860="","",V860*U860)</f>
        <v/>
      </c>
      <c r="X860" s="7">
        <f>IF($AB860="","",W860+T860)</f>
        <v/>
      </c>
      <c r="Y860" s="7">
        <f>IF($AB860="","",Z860-X860)</f>
        <v/>
      </c>
      <c r="Z860" s="7">
        <f>IF($AB860="","",S860+V860+Q860)</f>
        <v/>
      </c>
      <c r="AA860" s="7">
        <f>IF($AB860="","",Z860-X860-M860)</f>
        <v/>
      </c>
      <c r="AB860" s="13">
        <f>IF(ROWS($AB$2:$AB860)&lt;=MAX('Per Line'!$AK$2:$AK$4001),MATCH(ROWS($AB$2:$AB860),'Per Line'!$AK$2:$AK$4001,0),"")</f>
        <v/>
      </c>
      <c r="AC860" s="14">
        <f>IF($AB860="","",M860-L860*Z860/100)</f>
        <v/>
      </c>
    </row>
    <row r="861">
      <c r="A861" s="12" t="n"/>
      <c r="B861">
        <f>IF($AB861="","",INDEX('Per Line'!$C$2:$C$4001,$AB861)&amp;"")</f>
        <v/>
      </c>
      <c r="C861">
        <f>IF($AB861="","",INDEX('Per Line'!$D$2:$D$4001,$AB861)&amp;"")</f>
        <v/>
      </c>
      <c r="D861">
        <f>IF($AB861="","",INDEX('Per Line'!$B$2:$B$4001,$AB861)&amp;"")</f>
        <v/>
      </c>
      <c r="E861">
        <f>IF($AB861="","",INDEX('Per Line'!$A$2:$A$4001,$AB861))</f>
        <v/>
      </c>
      <c r="F861" s="11">
        <f>IF($AB861="","",INDEX('Per Line'!$E$2:$E$4001,$AB861))</f>
        <v/>
      </c>
      <c r="G861">
        <f>IF($AB861="","",INDEX('Per Line'!$F$2:$F$4001,$AB861)&amp;"")</f>
        <v/>
      </c>
      <c r="H861">
        <f>IF($AB861="","",INDEX('Per Line'!$H$2:$H$4001,$AB861)&amp;"")</f>
        <v/>
      </c>
      <c r="I861">
        <f>IF($AB861="","",INDEX('Per Line'!$I$2:$I$4001,$AB861)&amp;"")</f>
        <v/>
      </c>
      <c r="J861">
        <f>IF($AB861="","",INDEX('Per Line'!$J$2:$J$4001,$AB861)&amp;"")</f>
        <v/>
      </c>
      <c r="K861">
        <f>IF($AB861="","",INDEX('Per Line'!$K$2:$K$4001,$AB861)&amp;"")</f>
        <v/>
      </c>
      <c r="L861">
        <f>IF($AB861="","",INDEX('Per Line'!$L$2:$L$4001,$AB861))</f>
        <v/>
      </c>
      <c r="M861" s="7">
        <f>IF($AB861="","",IF(AND(ISNUMBER(O861),O861&gt;0,Z861&gt;O861),L861*O861/100+(Z861-O861),L861*Z861/100))</f>
        <v/>
      </c>
      <c r="N861">
        <f>IF($AB861="","",INDEX('Per Line'!$V$2:$V$4001,$AB861)&amp;"")</f>
        <v/>
      </c>
      <c r="O861">
        <f>IF($AB861="","",INDEX('Per Line'!$Z$2:$Z$4001,$AB861))</f>
        <v/>
      </c>
      <c r="P861">
        <f>IF($AB861="","",IF(AND(ISNUMBER(O861),O861&gt;0),Z861&gt;O861,FALSE))</f>
        <v/>
      </c>
      <c r="Q861" s="7">
        <f>IF($AB861="","",SUMIFS('Per Line'!$U$2:$U$4001,'Per Line'!$C$2:$C$4001,$B861,'Per Line'!$AM$2:$AM$4001,1))</f>
        <v/>
      </c>
      <c r="R861">
        <f>IF($AB861="","",Settings!$C$7)</f>
        <v/>
      </c>
      <c r="S861" s="7">
        <f>IF($AB861="","",SUMIFS('Per Line'!$U$2:$U$4001,'Per Line'!$C$2:$C$4001,$B861,'Per Line'!$AL$2:$AL$4001,0,'Per Line'!$AM$2:$AM$4001,0))</f>
        <v/>
      </c>
      <c r="T861" s="7">
        <f>IF($AB861="","",S861*R861)</f>
        <v/>
      </c>
      <c r="U861">
        <f>IF($AB861="","",Settings!$C$6)</f>
        <v/>
      </c>
      <c r="V861" s="7">
        <f>IF($AB861="","",SUMIFS('Per Line'!$U$2:$U$4001,'Per Line'!$C$2:$C$4001,$B861,'Per Line'!$AL$2:$AL$4001,1,'Per Line'!$AM$2:$AM$4001,0))</f>
        <v/>
      </c>
      <c r="W861" s="7">
        <f>IF($AB861="","",V861*U861)</f>
        <v/>
      </c>
      <c r="X861" s="7">
        <f>IF($AB861="","",W861+T861)</f>
        <v/>
      </c>
      <c r="Y861" s="7">
        <f>IF($AB861="","",Z861-X861)</f>
        <v/>
      </c>
      <c r="Z861" s="7">
        <f>IF($AB861="","",S861+V861+Q861)</f>
        <v/>
      </c>
      <c r="AA861" s="7">
        <f>IF($AB861="","",Z861-X861-M861)</f>
        <v/>
      </c>
      <c r="AB861" s="13">
        <f>IF(ROWS($AB$2:$AB861)&lt;=MAX('Per Line'!$AK$2:$AK$4001),MATCH(ROWS($AB$2:$AB861),'Per Line'!$AK$2:$AK$4001,0),"")</f>
        <v/>
      </c>
      <c r="AC861" s="14">
        <f>IF($AB861="","",M861-L861*Z861/100)</f>
        <v/>
      </c>
    </row>
    <row r="862">
      <c r="A862" s="12" t="n"/>
      <c r="B862">
        <f>IF($AB862="","",INDEX('Per Line'!$C$2:$C$4001,$AB862)&amp;"")</f>
        <v/>
      </c>
      <c r="C862">
        <f>IF($AB862="","",INDEX('Per Line'!$D$2:$D$4001,$AB862)&amp;"")</f>
        <v/>
      </c>
      <c r="D862">
        <f>IF($AB862="","",INDEX('Per Line'!$B$2:$B$4001,$AB862)&amp;"")</f>
        <v/>
      </c>
      <c r="E862">
        <f>IF($AB862="","",INDEX('Per Line'!$A$2:$A$4001,$AB862))</f>
        <v/>
      </c>
      <c r="F862" s="11">
        <f>IF($AB862="","",INDEX('Per Line'!$E$2:$E$4001,$AB862))</f>
        <v/>
      </c>
      <c r="G862">
        <f>IF($AB862="","",INDEX('Per Line'!$F$2:$F$4001,$AB862)&amp;"")</f>
        <v/>
      </c>
      <c r="H862">
        <f>IF($AB862="","",INDEX('Per Line'!$H$2:$H$4001,$AB862)&amp;"")</f>
        <v/>
      </c>
      <c r="I862">
        <f>IF($AB862="","",INDEX('Per Line'!$I$2:$I$4001,$AB862)&amp;"")</f>
        <v/>
      </c>
      <c r="J862">
        <f>IF($AB862="","",INDEX('Per Line'!$J$2:$J$4001,$AB862)&amp;"")</f>
        <v/>
      </c>
      <c r="K862">
        <f>IF($AB862="","",INDEX('Per Line'!$K$2:$K$4001,$AB862)&amp;"")</f>
        <v/>
      </c>
      <c r="L862">
        <f>IF($AB862="","",INDEX('Per Line'!$L$2:$L$4001,$AB862))</f>
        <v/>
      </c>
      <c r="M862" s="7">
        <f>IF($AB862="","",IF(AND(ISNUMBER(O862),O862&gt;0,Z862&gt;O862),L862*O862/100+(Z862-O862),L862*Z862/100))</f>
        <v/>
      </c>
      <c r="N862">
        <f>IF($AB862="","",INDEX('Per Line'!$V$2:$V$4001,$AB862)&amp;"")</f>
        <v/>
      </c>
      <c r="O862">
        <f>IF($AB862="","",INDEX('Per Line'!$Z$2:$Z$4001,$AB862))</f>
        <v/>
      </c>
      <c r="P862">
        <f>IF($AB862="","",IF(AND(ISNUMBER(O862),O862&gt;0),Z862&gt;O862,FALSE))</f>
        <v/>
      </c>
      <c r="Q862" s="7">
        <f>IF($AB862="","",SUMIFS('Per Line'!$U$2:$U$4001,'Per Line'!$C$2:$C$4001,$B862,'Per Line'!$AM$2:$AM$4001,1))</f>
        <v/>
      </c>
      <c r="R862">
        <f>IF($AB862="","",Settings!$C$7)</f>
        <v/>
      </c>
      <c r="S862" s="7">
        <f>IF($AB862="","",SUMIFS('Per Line'!$U$2:$U$4001,'Per Line'!$C$2:$C$4001,$B862,'Per Line'!$AL$2:$AL$4001,0,'Per Line'!$AM$2:$AM$4001,0))</f>
        <v/>
      </c>
      <c r="T862" s="7">
        <f>IF($AB862="","",S862*R862)</f>
        <v/>
      </c>
      <c r="U862">
        <f>IF($AB862="","",Settings!$C$6)</f>
        <v/>
      </c>
      <c r="V862" s="7">
        <f>IF($AB862="","",SUMIFS('Per Line'!$U$2:$U$4001,'Per Line'!$C$2:$C$4001,$B862,'Per Line'!$AL$2:$AL$4001,1,'Per Line'!$AM$2:$AM$4001,0))</f>
        <v/>
      </c>
      <c r="W862" s="7">
        <f>IF($AB862="","",V862*U862)</f>
        <v/>
      </c>
      <c r="X862" s="7">
        <f>IF($AB862="","",W862+T862)</f>
        <v/>
      </c>
      <c r="Y862" s="7">
        <f>IF($AB862="","",Z862-X862)</f>
        <v/>
      </c>
      <c r="Z862" s="7">
        <f>IF($AB862="","",S862+V862+Q862)</f>
        <v/>
      </c>
      <c r="AA862" s="7">
        <f>IF($AB862="","",Z862-X862-M862)</f>
        <v/>
      </c>
      <c r="AB862" s="13">
        <f>IF(ROWS($AB$2:$AB862)&lt;=MAX('Per Line'!$AK$2:$AK$4001),MATCH(ROWS($AB$2:$AB862),'Per Line'!$AK$2:$AK$4001,0),"")</f>
        <v/>
      </c>
      <c r="AC862" s="14">
        <f>IF($AB862="","",M862-L862*Z862/100)</f>
        <v/>
      </c>
    </row>
    <row r="863">
      <c r="A863" s="12" t="n"/>
      <c r="B863">
        <f>IF($AB863="","",INDEX('Per Line'!$C$2:$C$4001,$AB863)&amp;"")</f>
        <v/>
      </c>
      <c r="C863">
        <f>IF($AB863="","",INDEX('Per Line'!$D$2:$D$4001,$AB863)&amp;"")</f>
        <v/>
      </c>
      <c r="D863">
        <f>IF($AB863="","",INDEX('Per Line'!$B$2:$B$4001,$AB863)&amp;"")</f>
        <v/>
      </c>
      <c r="E863">
        <f>IF($AB863="","",INDEX('Per Line'!$A$2:$A$4001,$AB863))</f>
        <v/>
      </c>
      <c r="F863" s="11">
        <f>IF($AB863="","",INDEX('Per Line'!$E$2:$E$4001,$AB863))</f>
        <v/>
      </c>
      <c r="G863">
        <f>IF($AB863="","",INDEX('Per Line'!$F$2:$F$4001,$AB863)&amp;"")</f>
        <v/>
      </c>
      <c r="H863">
        <f>IF($AB863="","",INDEX('Per Line'!$H$2:$H$4001,$AB863)&amp;"")</f>
        <v/>
      </c>
      <c r="I863">
        <f>IF($AB863="","",INDEX('Per Line'!$I$2:$I$4001,$AB863)&amp;"")</f>
        <v/>
      </c>
      <c r="J863">
        <f>IF($AB863="","",INDEX('Per Line'!$J$2:$J$4001,$AB863)&amp;"")</f>
        <v/>
      </c>
      <c r="K863">
        <f>IF($AB863="","",INDEX('Per Line'!$K$2:$K$4001,$AB863)&amp;"")</f>
        <v/>
      </c>
      <c r="L863">
        <f>IF($AB863="","",INDEX('Per Line'!$L$2:$L$4001,$AB863))</f>
        <v/>
      </c>
      <c r="M863" s="7">
        <f>IF($AB863="","",IF(AND(ISNUMBER(O863),O863&gt;0,Z863&gt;O863),L863*O863/100+(Z863-O863),L863*Z863/100))</f>
        <v/>
      </c>
      <c r="N863">
        <f>IF($AB863="","",INDEX('Per Line'!$V$2:$V$4001,$AB863)&amp;"")</f>
        <v/>
      </c>
      <c r="O863">
        <f>IF($AB863="","",INDEX('Per Line'!$Z$2:$Z$4001,$AB863))</f>
        <v/>
      </c>
      <c r="P863">
        <f>IF($AB863="","",IF(AND(ISNUMBER(O863),O863&gt;0),Z863&gt;O863,FALSE))</f>
        <v/>
      </c>
      <c r="Q863" s="7">
        <f>IF($AB863="","",SUMIFS('Per Line'!$U$2:$U$4001,'Per Line'!$C$2:$C$4001,$B863,'Per Line'!$AM$2:$AM$4001,1))</f>
        <v/>
      </c>
      <c r="R863">
        <f>IF($AB863="","",Settings!$C$7)</f>
        <v/>
      </c>
      <c r="S863" s="7">
        <f>IF($AB863="","",SUMIFS('Per Line'!$U$2:$U$4001,'Per Line'!$C$2:$C$4001,$B863,'Per Line'!$AL$2:$AL$4001,0,'Per Line'!$AM$2:$AM$4001,0))</f>
        <v/>
      </c>
      <c r="T863" s="7">
        <f>IF($AB863="","",S863*R863)</f>
        <v/>
      </c>
      <c r="U863">
        <f>IF($AB863="","",Settings!$C$6)</f>
        <v/>
      </c>
      <c r="V863" s="7">
        <f>IF($AB863="","",SUMIFS('Per Line'!$U$2:$U$4001,'Per Line'!$C$2:$C$4001,$B863,'Per Line'!$AL$2:$AL$4001,1,'Per Line'!$AM$2:$AM$4001,0))</f>
        <v/>
      </c>
      <c r="W863" s="7">
        <f>IF($AB863="","",V863*U863)</f>
        <v/>
      </c>
      <c r="X863" s="7">
        <f>IF($AB863="","",W863+T863)</f>
        <v/>
      </c>
      <c r="Y863" s="7">
        <f>IF($AB863="","",Z863-X863)</f>
        <v/>
      </c>
      <c r="Z863" s="7">
        <f>IF($AB863="","",S863+V863+Q863)</f>
        <v/>
      </c>
      <c r="AA863" s="7">
        <f>IF($AB863="","",Z863-X863-M863)</f>
        <v/>
      </c>
      <c r="AB863" s="13">
        <f>IF(ROWS($AB$2:$AB863)&lt;=MAX('Per Line'!$AK$2:$AK$4001),MATCH(ROWS($AB$2:$AB863),'Per Line'!$AK$2:$AK$4001,0),"")</f>
        <v/>
      </c>
      <c r="AC863" s="14">
        <f>IF($AB863="","",M863-L863*Z863/100)</f>
        <v/>
      </c>
    </row>
    <row r="864">
      <c r="A864" s="12" t="n"/>
      <c r="B864">
        <f>IF($AB864="","",INDEX('Per Line'!$C$2:$C$4001,$AB864)&amp;"")</f>
        <v/>
      </c>
      <c r="C864">
        <f>IF($AB864="","",INDEX('Per Line'!$D$2:$D$4001,$AB864)&amp;"")</f>
        <v/>
      </c>
      <c r="D864">
        <f>IF($AB864="","",INDEX('Per Line'!$B$2:$B$4001,$AB864)&amp;"")</f>
        <v/>
      </c>
      <c r="E864">
        <f>IF($AB864="","",INDEX('Per Line'!$A$2:$A$4001,$AB864))</f>
        <v/>
      </c>
      <c r="F864" s="11">
        <f>IF($AB864="","",INDEX('Per Line'!$E$2:$E$4001,$AB864))</f>
        <v/>
      </c>
      <c r="G864">
        <f>IF($AB864="","",INDEX('Per Line'!$F$2:$F$4001,$AB864)&amp;"")</f>
        <v/>
      </c>
      <c r="H864">
        <f>IF($AB864="","",INDEX('Per Line'!$H$2:$H$4001,$AB864)&amp;"")</f>
        <v/>
      </c>
      <c r="I864">
        <f>IF($AB864="","",INDEX('Per Line'!$I$2:$I$4001,$AB864)&amp;"")</f>
        <v/>
      </c>
      <c r="J864">
        <f>IF($AB864="","",INDEX('Per Line'!$J$2:$J$4001,$AB864)&amp;"")</f>
        <v/>
      </c>
      <c r="K864">
        <f>IF($AB864="","",INDEX('Per Line'!$K$2:$K$4001,$AB864)&amp;"")</f>
        <v/>
      </c>
      <c r="L864">
        <f>IF($AB864="","",INDEX('Per Line'!$L$2:$L$4001,$AB864))</f>
        <v/>
      </c>
      <c r="M864" s="7">
        <f>IF($AB864="","",IF(AND(ISNUMBER(O864),O864&gt;0,Z864&gt;O864),L864*O864/100+(Z864-O864),L864*Z864/100))</f>
        <v/>
      </c>
      <c r="N864">
        <f>IF($AB864="","",INDEX('Per Line'!$V$2:$V$4001,$AB864)&amp;"")</f>
        <v/>
      </c>
      <c r="O864">
        <f>IF($AB864="","",INDEX('Per Line'!$Z$2:$Z$4001,$AB864))</f>
        <v/>
      </c>
      <c r="P864">
        <f>IF($AB864="","",IF(AND(ISNUMBER(O864),O864&gt;0),Z864&gt;O864,FALSE))</f>
        <v/>
      </c>
      <c r="Q864" s="7">
        <f>IF($AB864="","",SUMIFS('Per Line'!$U$2:$U$4001,'Per Line'!$C$2:$C$4001,$B864,'Per Line'!$AM$2:$AM$4001,1))</f>
        <v/>
      </c>
      <c r="R864">
        <f>IF($AB864="","",Settings!$C$7)</f>
        <v/>
      </c>
      <c r="S864" s="7">
        <f>IF($AB864="","",SUMIFS('Per Line'!$U$2:$U$4001,'Per Line'!$C$2:$C$4001,$B864,'Per Line'!$AL$2:$AL$4001,0,'Per Line'!$AM$2:$AM$4001,0))</f>
        <v/>
      </c>
      <c r="T864" s="7">
        <f>IF($AB864="","",S864*R864)</f>
        <v/>
      </c>
      <c r="U864">
        <f>IF($AB864="","",Settings!$C$6)</f>
        <v/>
      </c>
      <c r="V864" s="7">
        <f>IF($AB864="","",SUMIFS('Per Line'!$U$2:$U$4001,'Per Line'!$C$2:$C$4001,$B864,'Per Line'!$AL$2:$AL$4001,1,'Per Line'!$AM$2:$AM$4001,0))</f>
        <v/>
      </c>
      <c r="W864" s="7">
        <f>IF($AB864="","",V864*U864)</f>
        <v/>
      </c>
      <c r="X864" s="7">
        <f>IF($AB864="","",W864+T864)</f>
        <v/>
      </c>
      <c r="Y864" s="7">
        <f>IF($AB864="","",Z864-X864)</f>
        <v/>
      </c>
      <c r="Z864" s="7">
        <f>IF($AB864="","",S864+V864+Q864)</f>
        <v/>
      </c>
      <c r="AA864" s="7">
        <f>IF($AB864="","",Z864-X864-M864)</f>
        <v/>
      </c>
      <c r="AB864" s="13">
        <f>IF(ROWS($AB$2:$AB864)&lt;=MAX('Per Line'!$AK$2:$AK$4001),MATCH(ROWS($AB$2:$AB864),'Per Line'!$AK$2:$AK$4001,0),"")</f>
        <v/>
      </c>
      <c r="AC864" s="14">
        <f>IF($AB864="","",M864-L864*Z864/100)</f>
        <v/>
      </c>
    </row>
    <row r="865">
      <c r="A865" s="12" t="n"/>
      <c r="B865">
        <f>IF($AB865="","",INDEX('Per Line'!$C$2:$C$4001,$AB865)&amp;"")</f>
        <v/>
      </c>
      <c r="C865">
        <f>IF($AB865="","",INDEX('Per Line'!$D$2:$D$4001,$AB865)&amp;"")</f>
        <v/>
      </c>
      <c r="D865">
        <f>IF($AB865="","",INDEX('Per Line'!$B$2:$B$4001,$AB865)&amp;"")</f>
        <v/>
      </c>
      <c r="E865">
        <f>IF($AB865="","",INDEX('Per Line'!$A$2:$A$4001,$AB865))</f>
        <v/>
      </c>
      <c r="F865" s="11">
        <f>IF($AB865="","",INDEX('Per Line'!$E$2:$E$4001,$AB865))</f>
        <v/>
      </c>
      <c r="G865">
        <f>IF($AB865="","",INDEX('Per Line'!$F$2:$F$4001,$AB865)&amp;"")</f>
        <v/>
      </c>
      <c r="H865">
        <f>IF($AB865="","",INDEX('Per Line'!$H$2:$H$4001,$AB865)&amp;"")</f>
        <v/>
      </c>
      <c r="I865">
        <f>IF($AB865="","",INDEX('Per Line'!$I$2:$I$4001,$AB865)&amp;"")</f>
        <v/>
      </c>
      <c r="J865">
        <f>IF($AB865="","",INDEX('Per Line'!$J$2:$J$4001,$AB865)&amp;"")</f>
        <v/>
      </c>
      <c r="K865">
        <f>IF($AB865="","",INDEX('Per Line'!$K$2:$K$4001,$AB865)&amp;"")</f>
        <v/>
      </c>
      <c r="L865">
        <f>IF($AB865="","",INDEX('Per Line'!$L$2:$L$4001,$AB865))</f>
        <v/>
      </c>
      <c r="M865" s="7">
        <f>IF($AB865="","",IF(AND(ISNUMBER(O865),O865&gt;0,Z865&gt;O865),L865*O865/100+(Z865-O865),L865*Z865/100))</f>
        <v/>
      </c>
      <c r="N865">
        <f>IF($AB865="","",INDEX('Per Line'!$V$2:$V$4001,$AB865)&amp;"")</f>
        <v/>
      </c>
      <c r="O865">
        <f>IF($AB865="","",INDEX('Per Line'!$Z$2:$Z$4001,$AB865))</f>
        <v/>
      </c>
      <c r="P865">
        <f>IF($AB865="","",IF(AND(ISNUMBER(O865),O865&gt;0),Z865&gt;O865,FALSE))</f>
        <v/>
      </c>
      <c r="Q865" s="7">
        <f>IF($AB865="","",SUMIFS('Per Line'!$U$2:$U$4001,'Per Line'!$C$2:$C$4001,$B865,'Per Line'!$AM$2:$AM$4001,1))</f>
        <v/>
      </c>
      <c r="R865">
        <f>IF($AB865="","",Settings!$C$7)</f>
        <v/>
      </c>
      <c r="S865" s="7">
        <f>IF($AB865="","",SUMIFS('Per Line'!$U$2:$U$4001,'Per Line'!$C$2:$C$4001,$B865,'Per Line'!$AL$2:$AL$4001,0,'Per Line'!$AM$2:$AM$4001,0))</f>
        <v/>
      </c>
      <c r="T865" s="7">
        <f>IF($AB865="","",S865*R865)</f>
        <v/>
      </c>
      <c r="U865">
        <f>IF($AB865="","",Settings!$C$6)</f>
        <v/>
      </c>
      <c r="V865" s="7">
        <f>IF($AB865="","",SUMIFS('Per Line'!$U$2:$U$4001,'Per Line'!$C$2:$C$4001,$B865,'Per Line'!$AL$2:$AL$4001,1,'Per Line'!$AM$2:$AM$4001,0))</f>
        <v/>
      </c>
      <c r="W865" s="7">
        <f>IF($AB865="","",V865*U865)</f>
        <v/>
      </c>
      <c r="X865" s="7">
        <f>IF($AB865="","",W865+T865)</f>
        <v/>
      </c>
      <c r="Y865" s="7">
        <f>IF($AB865="","",Z865-X865)</f>
        <v/>
      </c>
      <c r="Z865" s="7">
        <f>IF($AB865="","",S865+V865+Q865)</f>
        <v/>
      </c>
      <c r="AA865" s="7">
        <f>IF($AB865="","",Z865-X865-M865)</f>
        <v/>
      </c>
      <c r="AB865" s="13">
        <f>IF(ROWS($AB$2:$AB865)&lt;=MAX('Per Line'!$AK$2:$AK$4001),MATCH(ROWS($AB$2:$AB865),'Per Line'!$AK$2:$AK$4001,0),"")</f>
        <v/>
      </c>
      <c r="AC865" s="14">
        <f>IF($AB865="","",M865-L865*Z865/100)</f>
        <v/>
      </c>
    </row>
    <row r="866">
      <c r="A866" s="12" t="n"/>
      <c r="B866">
        <f>IF($AB866="","",INDEX('Per Line'!$C$2:$C$4001,$AB866)&amp;"")</f>
        <v/>
      </c>
      <c r="C866">
        <f>IF($AB866="","",INDEX('Per Line'!$D$2:$D$4001,$AB866)&amp;"")</f>
        <v/>
      </c>
      <c r="D866">
        <f>IF($AB866="","",INDEX('Per Line'!$B$2:$B$4001,$AB866)&amp;"")</f>
        <v/>
      </c>
      <c r="E866">
        <f>IF($AB866="","",INDEX('Per Line'!$A$2:$A$4001,$AB866))</f>
        <v/>
      </c>
      <c r="F866" s="11">
        <f>IF($AB866="","",INDEX('Per Line'!$E$2:$E$4001,$AB866))</f>
        <v/>
      </c>
      <c r="G866">
        <f>IF($AB866="","",INDEX('Per Line'!$F$2:$F$4001,$AB866)&amp;"")</f>
        <v/>
      </c>
      <c r="H866">
        <f>IF($AB866="","",INDEX('Per Line'!$H$2:$H$4001,$AB866)&amp;"")</f>
        <v/>
      </c>
      <c r="I866">
        <f>IF($AB866="","",INDEX('Per Line'!$I$2:$I$4001,$AB866)&amp;"")</f>
        <v/>
      </c>
      <c r="J866">
        <f>IF($AB866="","",INDEX('Per Line'!$J$2:$J$4001,$AB866)&amp;"")</f>
        <v/>
      </c>
      <c r="K866">
        <f>IF($AB866="","",INDEX('Per Line'!$K$2:$K$4001,$AB866)&amp;"")</f>
        <v/>
      </c>
      <c r="L866">
        <f>IF($AB866="","",INDEX('Per Line'!$L$2:$L$4001,$AB866))</f>
        <v/>
      </c>
      <c r="M866" s="7">
        <f>IF($AB866="","",IF(AND(ISNUMBER(O866),O866&gt;0,Z866&gt;O866),L866*O866/100+(Z866-O866),L866*Z866/100))</f>
        <v/>
      </c>
      <c r="N866">
        <f>IF($AB866="","",INDEX('Per Line'!$V$2:$V$4001,$AB866)&amp;"")</f>
        <v/>
      </c>
      <c r="O866">
        <f>IF($AB866="","",INDEX('Per Line'!$Z$2:$Z$4001,$AB866))</f>
        <v/>
      </c>
      <c r="P866">
        <f>IF($AB866="","",IF(AND(ISNUMBER(O866),O866&gt;0),Z866&gt;O866,FALSE))</f>
        <v/>
      </c>
      <c r="Q866" s="7">
        <f>IF($AB866="","",SUMIFS('Per Line'!$U$2:$U$4001,'Per Line'!$C$2:$C$4001,$B866,'Per Line'!$AM$2:$AM$4001,1))</f>
        <v/>
      </c>
      <c r="R866">
        <f>IF($AB866="","",Settings!$C$7)</f>
        <v/>
      </c>
      <c r="S866" s="7">
        <f>IF($AB866="","",SUMIFS('Per Line'!$U$2:$U$4001,'Per Line'!$C$2:$C$4001,$B866,'Per Line'!$AL$2:$AL$4001,0,'Per Line'!$AM$2:$AM$4001,0))</f>
        <v/>
      </c>
      <c r="T866" s="7">
        <f>IF($AB866="","",S866*R866)</f>
        <v/>
      </c>
      <c r="U866">
        <f>IF($AB866="","",Settings!$C$6)</f>
        <v/>
      </c>
      <c r="V866" s="7">
        <f>IF($AB866="","",SUMIFS('Per Line'!$U$2:$U$4001,'Per Line'!$C$2:$C$4001,$B866,'Per Line'!$AL$2:$AL$4001,1,'Per Line'!$AM$2:$AM$4001,0))</f>
        <v/>
      </c>
      <c r="W866" s="7">
        <f>IF($AB866="","",V866*U866)</f>
        <v/>
      </c>
      <c r="X866" s="7">
        <f>IF($AB866="","",W866+T866)</f>
        <v/>
      </c>
      <c r="Y866" s="7">
        <f>IF($AB866="","",Z866-X866)</f>
        <v/>
      </c>
      <c r="Z866" s="7">
        <f>IF($AB866="","",S866+V866+Q866)</f>
        <v/>
      </c>
      <c r="AA866" s="7">
        <f>IF($AB866="","",Z866-X866-M866)</f>
        <v/>
      </c>
      <c r="AB866" s="13">
        <f>IF(ROWS($AB$2:$AB866)&lt;=MAX('Per Line'!$AK$2:$AK$4001),MATCH(ROWS($AB$2:$AB866),'Per Line'!$AK$2:$AK$4001,0),"")</f>
        <v/>
      </c>
      <c r="AC866" s="14">
        <f>IF($AB866="","",M866-L866*Z866/100)</f>
        <v/>
      </c>
    </row>
    <row r="867">
      <c r="A867" s="12" t="n"/>
      <c r="B867">
        <f>IF($AB867="","",INDEX('Per Line'!$C$2:$C$4001,$AB867)&amp;"")</f>
        <v/>
      </c>
      <c r="C867">
        <f>IF($AB867="","",INDEX('Per Line'!$D$2:$D$4001,$AB867)&amp;"")</f>
        <v/>
      </c>
      <c r="D867">
        <f>IF($AB867="","",INDEX('Per Line'!$B$2:$B$4001,$AB867)&amp;"")</f>
        <v/>
      </c>
      <c r="E867">
        <f>IF($AB867="","",INDEX('Per Line'!$A$2:$A$4001,$AB867))</f>
        <v/>
      </c>
      <c r="F867" s="11">
        <f>IF($AB867="","",INDEX('Per Line'!$E$2:$E$4001,$AB867))</f>
        <v/>
      </c>
      <c r="G867">
        <f>IF($AB867="","",INDEX('Per Line'!$F$2:$F$4001,$AB867)&amp;"")</f>
        <v/>
      </c>
      <c r="H867">
        <f>IF($AB867="","",INDEX('Per Line'!$H$2:$H$4001,$AB867)&amp;"")</f>
        <v/>
      </c>
      <c r="I867">
        <f>IF($AB867="","",INDEX('Per Line'!$I$2:$I$4001,$AB867)&amp;"")</f>
        <v/>
      </c>
      <c r="J867">
        <f>IF($AB867="","",INDEX('Per Line'!$J$2:$J$4001,$AB867)&amp;"")</f>
        <v/>
      </c>
      <c r="K867">
        <f>IF($AB867="","",INDEX('Per Line'!$K$2:$K$4001,$AB867)&amp;"")</f>
        <v/>
      </c>
      <c r="L867">
        <f>IF($AB867="","",INDEX('Per Line'!$L$2:$L$4001,$AB867))</f>
        <v/>
      </c>
      <c r="M867" s="7">
        <f>IF($AB867="","",IF(AND(ISNUMBER(O867),O867&gt;0,Z867&gt;O867),L867*O867/100+(Z867-O867),L867*Z867/100))</f>
        <v/>
      </c>
      <c r="N867">
        <f>IF($AB867="","",INDEX('Per Line'!$V$2:$V$4001,$AB867)&amp;"")</f>
        <v/>
      </c>
      <c r="O867">
        <f>IF($AB867="","",INDEX('Per Line'!$Z$2:$Z$4001,$AB867))</f>
        <v/>
      </c>
      <c r="P867">
        <f>IF($AB867="","",IF(AND(ISNUMBER(O867),O867&gt;0),Z867&gt;O867,FALSE))</f>
        <v/>
      </c>
      <c r="Q867" s="7">
        <f>IF($AB867="","",SUMIFS('Per Line'!$U$2:$U$4001,'Per Line'!$C$2:$C$4001,$B867,'Per Line'!$AM$2:$AM$4001,1))</f>
        <v/>
      </c>
      <c r="R867">
        <f>IF($AB867="","",Settings!$C$7)</f>
        <v/>
      </c>
      <c r="S867" s="7">
        <f>IF($AB867="","",SUMIFS('Per Line'!$U$2:$U$4001,'Per Line'!$C$2:$C$4001,$B867,'Per Line'!$AL$2:$AL$4001,0,'Per Line'!$AM$2:$AM$4001,0))</f>
        <v/>
      </c>
      <c r="T867" s="7">
        <f>IF($AB867="","",S867*R867)</f>
        <v/>
      </c>
      <c r="U867">
        <f>IF($AB867="","",Settings!$C$6)</f>
        <v/>
      </c>
      <c r="V867" s="7">
        <f>IF($AB867="","",SUMIFS('Per Line'!$U$2:$U$4001,'Per Line'!$C$2:$C$4001,$B867,'Per Line'!$AL$2:$AL$4001,1,'Per Line'!$AM$2:$AM$4001,0))</f>
        <v/>
      </c>
      <c r="W867" s="7">
        <f>IF($AB867="","",V867*U867)</f>
        <v/>
      </c>
      <c r="X867" s="7">
        <f>IF($AB867="","",W867+T867)</f>
        <v/>
      </c>
      <c r="Y867" s="7">
        <f>IF($AB867="","",Z867-X867)</f>
        <v/>
      </c>
      <c r="Z867" s="7">
        <f>IF($AB867="","",S867+V867+Q867)</f>
        <v/>
      </c>
      <c r="AA867" s="7">
        <f>IF($AB867="","",Z867-X867-M867)</f>
        <v/>
      </c>
      <c r="AB867" s="13">
        <f>IF(ROWS($AB$2:$AB867)&lt;=MAX('Per Line'!$AK$2:$AK$4001),MATCH(ROWS($AB$2:$AB867),'Per Line'!$AK$2:$AK$4001,0),"")</f>
        <v/>
      </c>
      <c r="AC867" s="14">
        <f>IF($AB867="","",M867-L867*Z867/100)</f>
        <v/>
      </c>
    </row>
    <row r="868">
      <c r="A868" s="12" t="n"/>
      <c r="B868">
        <f>IF($AB868="","",INDEX('Per Line'!$C$2:$C$4001,$AB868)&amp;"")</f>
        <v/>
      </c>
      <c r="C868">
        <f>IF($AB868="","",INDEX('Per Line'!$D$2:$D$4001,$AB868)&amp;"")</f>
        <v/>
      </c>
      <c r="D868">
        <f>IF($AB868="","",INDEX('Per Line'!$B$2:$B$4001,$AB868)&amp;"")</f>
        <v/>
      </c>
      <c r="E868">
        <f>IF($AB868="","",INDEX('Per Line'!$A$2:$A$4001,$AB868))</f>
        <v/>
      </c>
      <c r="F868" s="11">
        <f>IF($AB868="","",INDEX('Per Line'!$E$2:$E$4001,$AB868))</f>
        <v/>
      </c>
      <c r="G868">
        <f>IF($AB868="","",INDEX('Per Line'!$F$2:$F$4001,$AB868)&amp;"")</f>
        <v/>
      </c>
      <c r="H868">
        <f>IF($AB868="","",INDEX('Per Line'!$H$2:$H$4001,$AB868)&amp;"")</f>
        <v/>
      </c>
      <c r="I868">
        <f>IF($AB868="","",INDEX('Per Line'!$I$2:$I$4001,$AB868)&amp;"")</f>
        <v/>
      </c>
      <c r="J868">
        <f>IF($AB868="","",INDEX('Per Line'!$J$2:$J$4001,$AB868)&amp;"")</f>
        <v/>
      </c>
      <c r="K868">
        <f>IF($AB868="","",INDEX('Per Line'!$K$2:$K$4001,$AB868)&amp;"")</f>
        <v/>
      </c>
      <c r="L868">
        <f>IF($AB868="","",INDEX('Per Line'!$L$2:$L$4001,$AB868))</f>
        <v/>
      </c>
      <c r="M868" s="7">
        <f>IF($AB868="","",IF(AND(ISNUMBER(O868),O868&gt;0,Z868&gt;O868),L868*O868/100+(Z868-O868),L868*Z868/100))</f>
        <v/>
      </c>
      <c r="N868">
        <f>IF($AB868="","",INDEX('Per Line'!$V$2:$V$4001,$AB868)&amp;"")</f>
        <v/>
      </c>
      <c r="O868">
        <f>IF($AB868="","",INDEX('Per Line'!$Z$2:$Z$4001,$AB868))</f>
        <v/>
      </c>
      <c r="P868">
        <f>IF($AB868="","",IF(AND(ISNUMBER(O868),O868&gt;0),Z868&gt;O868,FALSE))</f>
        <v/>
      </c>
      <c r="Q868" s="7">
        <f>IF($AB868="","",SUMIFS('Per Line'!$U$2:$U$4001,'Per Line'!$C$2:$C$4001,$B868,'Per Line'!$AM$2:$AM$4001,1))</f>
        <v/>
      </c>
      <c r="R868">
        <f>IF($AB868="","",Settings!$C$7)</f>
        <v/>
      </c>
      <c r="S868" s="7">
        <f>IF($AB868="","",SUMIFS('Per Line'!$U$2:$U$4001,'Per Line'!$C$2:$C$4001,$B868,'Per Line'!$AL$2:$AL$4001,0,'Per Line'!$AM$2:$AM$4001,0))</f>
        <v/>
      </c>
      <c r="T868" s="7">
        <f>IF($AB868="","",S868*R868)</f>
        <v/>
      </c>
      <c r="U868">
        <f>IF($AB868="","",Settings!$C$6)</f>
        <v/>
      </c>
      <c r="V868" s="7">
        <f>IF($AB868="","",SUMIFS('Per Line'!$U$2:$U$4001,'Per Line'!$C$2:$C$4001,$B868,'Per Line'!$AL$2:$AL$4001,1,'Per Line'!$AM$2:$AM$4001,0))</f>
        <v/>
      </c>
      <c r="W868" s="7">
        <f>IF($AB868="","",V868*U868)</f>
        <v/>
      </c>
      <c r="X868" s="7">
        <f>IF($AB868="","",W868+T868)</f>
        <v/>
      </c>
      <c r="Y868" s="7">
        <f>IF($AB868="","",Z868-X868)</f>
        <v/>
      </c>
      <c r="Z868" s="7">
        <f>IF($AB868="","",S868+V868+Q868)</f>
        <v/>
      </c>
      <c r="AA868" s="7">
        <f>IF($AB868="","",Z868-X868-M868)</f>
        <v/>
      </c>
      <c r="AB868" s="13">
        <f>IF(ROWS($AB$2:$AB868)&lt;=MAX('Per Line'!$AK$2:$AK$4001),MATCH(ROWS($AB$2:$AB868),'Per Line'!$AK$2:$AK$4001,0),"")</f>
        <v/>
      </c>
      <c r="AC868" s="14">
        <f>IF($AB868="","",M868-L868*Z868/100)</f>
        <v/>
      </c>
    </row>
    <row r="869">
      <c r="A869" s="12" t="n"/>
      <c r="B869">
        <f>IF($AB869="","",INDEX('Per Line'!$C$2:$C$4001,$AB869)&amp;"")</f>
        <v/>
      </c>
      <c r="C869">
        <f>IF($AB869="","",INDEX('Per Line'!$D$2:$D$4001,$AB869)&amp;"")</f>
        <v/>
      </c>
      <c r="D869">
        <f>IF($AB869="","",INDEX('Per Line'!$B$2:$B$4001,$AB869)&amp;"")</f>
        <v/>
      </c>
      <c r="E869">
        <f>IF($AB869="","",INDEX('Per Line'!$A$2:$A$4001,$AB869))</f>
        <v/>
      </c>
      <c r="F869" s="11">
        <f>IF($AB869="","",INDEX('Per Line'!$E$2:$E$4001,$AB869))</f>
        <v/>
      </c>
      <c r="G869">
        <f>IF($AB869="","",INDEX('Per Line'!$F$2:$F$4001,$AB869)&amp;"")</f>
        <v/>
      </c>
      <c r="H869">
        <f>IF($AB869="","",INDEX('Per Line'!$H$2:$H$4001,$AB869)&amp;"")</f>
        <v/>
      </c>
      <c r="I869">
        <f>IF($AB869="","",INDEX('Per Line'!$I$2:$I$4001,$AB869)&amp;"")</f>
        <v/>
      </c>
      <c r="J869">
        <f>IF($AB869="","",INDEX('Per Line'!$J$2:$J$4001,$AB869)&amp;"")</f>
        <v/>
      </c>
      <c r="K869">
        <f>IF($AB869="","",INDEX('Per Line'!$K$2:$K$4001,$AB869)&amp;"")</f>
        <v/>
      </c>
      <c r="L869">
        <f>IF($AB869="","",INDEX('Per Line'!$L$2:$L$4001,$AB869))</f>
        <v/>
      </c>
      <c r="M869" s="7">
        <f>IF($AB869="","",IF(AND(ISNUMBER(O869),O869&gt;0,Z869&gt;O869),L869*O869/100+(Z869-O869),L869*Z869/100))</f>
        <v/>
      </c>
      <c r="N869">
        <f>IF($AB869="","",INDEX('Per Line'!$V$2:$V$4001,$AB869)&amp;"")</f>
        <v/>
      </c>
      <c r="O869">
        <f>IF($AB869="","",INDEX('Per Line'!$Z$2:$Z$4001,$AB869))</f>
        <v/>
      </c>
      <c r="P869">
        <f>IF($AB869="","",IF(AND(ISNUMBER(O869),O869&gt;0),Z869&gt;O869,FALSE))</f>
        <v/>
      </c>
      <c r="Q869" s="7">
        <f>IF($AB869="","",SUMIFS('Per Line'!$U$2:$U$4001,'Per Line'!$C$2:$C$4001,$B869,'Per Line'!$AM$2:$AM$4001,1))</f>
        <v/>
      </c>
      <c r="R869">
        <f>IF($AB869="","",Settings!$C$7)</f>
        <v/>
      </c>
      <c r="S869" s="7">
        <f>IF($AB869="","",SUMIFS('Per Line'!$U$2:$U$4001,'Per Line'!$C$2:$C$4001,$B869,'Per Line'!$AL$2:$AL$4001,0,'Per Line'!$AM$2:$AM$4001,0))</f>
        <v/>
      </c>
      <c r="T869" s="7">
        <f>IF($AB869="","",S869*R869)</f>
        <v/>
      </c>
      <c r="U869">
        <f>IF($AB869="","",Settings!$C$6)</f>
        <v/>
      </c>
      <c r="V869" s="7">
        <f>IF($AB869="","",SUMIFS('Per Line'!$U$2:$U$4001,'Per Line'!$C$2:$C$4001,$B869,'Per Line'!$AL$2:$AL$4001,1,'Per Line'!$AM$2:$AM$4001,0))</f>
        <v/>
      </c>
      <c r="W869" s="7">
        <f>IF($AB869="","",V869*U869)</f>
        <v/>
      </c>
      <c r="X869" s="7">
        <f>IF($AB869="","",W869+T869)</f>
        <v/>
      </c>
      <c r="Y869" s="7">
        <f>IF($AB869="","",Z869-X869)</f>
        <v/>
      </c>
      <c r="Z869" s="7">
        <f>IF($AB869="","",S869+V869+Q869)</f>
        <v/>
      </c>
      <c r="AA869" s="7">
        <f>IF($AB869="","",Z869-X869-M869)</f>
        <v/>
      </c>
      <c r="AB869" s="13">
        <f>IF(ROWS($AB$2:$AB869)&lt;=MAX('Per Line'!$AK$2:$AK$4001),MATCH(ROWS($AB$2:$AB869),'Per Line'!$AK$2:$AK$4001,0),"")</f>
        <v/>
      </c>
      <c r="AC869" s="14">
        <f>IF($AB869="","",M869-L869*Z869/100)</f>
        <v/>
      </c>
    </row>
    <row r="870">
      <c r="A870" s="12" t="n"/>
      <c r="B870">
        <f>IF($AB870="","",INDEX('Per Line'!$C$2:$C$4001,$AB870)&amp;"")</f>
        <v/>
      </c>
      <c r="C870">
        <f>IF($AB870="","",INDEX('Per Line'!$D$2:$D$4001,$AB870)&amp;"")</f>
        <v/>
      </c>
      <c r="D870">
        <f>IF($AB870="","",INDEX('Per Line'!$B$2:$B$4001,$AB870)&amp;"")</f>
        <v/>
      </c>
      <c r="E870">
        <f>IF($AB870="","",INDEX('Per Line'!$A$2:$A$4001,$AB870))</f>
        <v/>
      </c>
      <c r="F870" s="11">
        <f>IF($AB870="","",INDEX('Per Line'!$E$2:$E$4001,$AB870))</f>
        <v/>
      </c>
      <c r="G870">
        <f>IF($AB870="","",INDEX('Per Line'!$F$2:$F$4001,$AB870)&amp;"")</f>
        <v/>
      </c>
      <c r="H870">
        <f>IF($AB870="","",INDEX('Per Line'!$H$2:$H$4001,$AB870)&amp;"")</f>
        <v/>
      </c>
      <c r="I870">
        <f>IF($AB870="","",INDEX('Per Line'!$I$2:$I$4001,$AB870)&amp;"")</f>
        <v/>
      </c>
      <c r="J870">
        <f>IF($AB870="","",INDEX('Per Line'!$J$2:$J$4001,$AB870)&amp;"")</f>
        <v/>
      </c>
      <c r="K870">
        <f>IF($AB870="","",INDEX('Per Line'!$K$2:$K$4001,$AB870)&amp;"")</f>
        <v/>
      </c>
      <c r="L870">
        <f>IF($AB870="","",INDEX('Per Line'!$L$2:$L$4001,$AB870))</f>
        <v/>
      </c>
      <c r="M870" s="7">
        <f>IF($AB870="","",IF(AND(ISNUMBER(O870),O870&gt;0,Z870&gt;O870),L870*O870/100+(Z870-O870),L870*Z870/100))</f>
        <v/>
      </c>
      <c r="N870">
        <f>IF($AB870="","",INDEX('Per Line'!$V$2:$V$4001,$AB870)&amp;"")</f>
        <v/>
      </c>
      <c r="O870">
        <f>IF($AB870="","",INDEX('Per Line'!$Z$2:$Z$4001,$AB870))</f>
        <v/>
      </c>
      <c r="P870">
        <f>IF($AB870="","",IF(AND(ISNUMBER(O870),O870&gt;0),Z870&gt;O870,FALSE))</f>
        <v/>
      </c>
      <c r="Q870" s="7">
        <f>IF($AB870="","",SUMIFS('Per Line'!$U$2:$U$4001,'Per Line'!$C$2:$C$4001,$B870,'Per Line'!$AM$2:$AM$4001,1))</f>
        <v/>
      </c>
      <c r="R870">
        <f>IF($AB870="","",Settings!$C$7)</f>
        <v/>
      </c>
      <c r="S870" s="7">
        <f>IF($AB870="","",SUMIFS('Per Line'!$U$2:$U$4001,'Per Line'!$C$2:$C$4001,$B870,'Per Line'!$AL$2:$AL$4001,0,'Per Line'!$AM$2:$AM$4001,0))</f>
        <v/>
      </c>
      <c r="T870" s="7">
        <f>IF($AB870="","",S870*R870)</f>
        <v/>
      </c>
      <c r="U870">
        <f>IF($AB870="","",Settings!$C$6)</f>
        <v/>
      </c>
      <c r="V870" s="7">
        <f>IF($AB870="","",SUMIFS('Per Line'!$U$2:$U$4001,'Per Line'!$C$2:$C$4001,$B870,'Per Line'!$AL$2:$AL$4001,1,'Per Line'!$AM$2:$AM$4001,0))</f>
        <v/>
      </c>
      <c r="W870" s="7">
        <f>IF($AB870="","",V870*U870)</f>
        <v/>
      </c>
      <c r="X870" s="7">
        <f>IF($AB870="","",W870+T870)</f>
        <v/>
      </c>
      <c r="Y870" s="7">
        <f>IF($AB870="","",Z870-X870)</f>
        <v/>
      </c>
      <c r="Z870" s="7">
        <f>IF($AB870="","",S870+V870+Q870)</f>
        <v/>
      </c>
      <c r="AA870" s="7">
        <f>IF($AB870="","",Z870-X870-M870)</f>
        <v/>
      </c>
      <c r="AB870" s="13">
        <f>IF(ROWS($AB$2:$AB870)&lt;=MAX('Per Line'!$AK$2:$AK$4001),MATCH(ROWS($AB$2:$AB870),'Per Line'!$AK$2:$AK$4001,0),"")</f>
        <v/>
      </c>
      <c r="AC870" s="14">
        <f>IF($AB870="","",M870-L870*Z870/100)</f>
        <v/>
      </c>
    </row>
    <row r="871">
      <c r="A871" s="12" t="n"/>
      <c r="B871">
        <f>IF($AB871="","",INDEX('Per Line'!$C$2:$C$4001,$AB871)&amp;"")</f>
        <v/>
      </c>
      <c r="C871">
        <f>IF($AB871="","",INDEX('Per Line'!$D$2:$D$4001,$AB871)&amp;"")</f>
        <v/>
      </c>
      <c r="D871">
        <f>IF($AB871="","",INDEX('Per Line'!$B$2:$B$4001,$AB871)&amp;"")</f>
        <v/>
      </c>
      <c r="E871">
        <f>IF($AB871="","",INDEX('Per Line'!$A$2:$A$4001,$AB871))</f>
        <v/>
      </c>
      <c r="F871" s="11">
        <f>IF($AB871="","",INDEX('Per Line'!$E$2:$E$4001,$AB871))</f>
        <v/>
      </c>
      <c r="G871">
        <f>IF($AB871="","",INDEX('Per Line'!$F$2:$F$4001,$AB871)&amp;"")</f>
        <v/>
      </c>
      <c r="H871">
        <f>IF($AB871="","",INDEX('Per Line'!$H$2:$H$4001,$AB871)&amp;"")</f>
        <v/>
      </c>
      <c r="I871">
        <f>IF($AB871="","",INDEX('Per Line'!$I$2:$I$4001,$AB871)&amp;"")</f>
        <v/>
      </c>
      <c r="J871">
        <f>IF($AB871="","",INDEX('Per Line'!$J$2:$J$4001,$AB871)&amp;"")</f>
        <v/>
      </c>
      <c r="K871">
        <f>IF($AB871="","",INDEX('Per Line'!$K$2:$K$4001,$AB871)&amp;"")</f>
        <v/>
      </c>
      <c r="L871">
        <f>IF($AB871="","",INDEX('Per Line'!$L$2:$L$4001,$AB871))</f>
        <v/>
      </c>
      <c r="M871" s="7">
        <f>IF($AB871="","",IF(AND(ISNUMBER(O871),O871&gt;0,Z871&gt;O871),L871*O871/100+(Z871-O871),L871*Z871/100))</f>
        <v/>
      </c>
      <c r="N871">
        <f>IF($AB871="","",INDEX('Per Line'!$V$2:$V$4001,$AB871)&amp;"")</f>
        <v/>
      </c>
      <c r="O871">
        <f>IF($AB871="","",INDEX('Per Line'!$Z$2:$Z$4001,$AB871))</f>
        <v/>
      </c>
      <c r="P871">
        <f>IF($AB871="","",IF(AND(ISNUMBER(O871),O871&gt;0),Z871&gt;O871,FALSE))</f>
        <v/>
      </c>
      <c r="Q871" s="7">
        <f>IF($AB871="","",SUMIFS('Per Line'!$U$2:$U$4001,'Per Line'!$C$2:$C$4001,$B871,'Per Line'!$AM$2:$AM$4001,1))</f>
        <v/>
      </c>
      <c r="R871">
        <f>IF($AB871="","",Settings!$C$7)</f>
        <v/>
      </c>
      <c r="S871" s="7">
        <f>IF($AB871="","",SUMIFS('Per Line'!$U$2:$U$4001,'Per Line'!$C$2:$C$4001,$B871,'Per Line'!$AL$2:$AL$4001,0,'Per Line'!$AM$2:$AM$4001,0))</f>
        <v/>
      </c>
      <c r="T871" s="7">
        <f>IF($AB871="","",S871*R871)</f>
        <v/>
      </c>
      <c r="U871">
        <f>IF($AB871="","",Settings!$C$6)</f>
        <v/>
      </c>
      <c r="V871" s="7">
        <f>IF($AB871="","",SUMIFS('Per Line'!$U$2:$U$4001,'Per Line'!$C$2:$C$4001,$B871,'Per Line'!$AL$2:$AL$4001,1,'Per Line'!$AM$2:$AM$4001,0))</f>
        <v/>
      </c>
      <c r="W871" s="7">
        <f>IF($AB871="","",V871*U871)</f>
        <v/>
      </c>
      <c r="X871" s="7">
        <f>IF($AB871="","",W871+T871)</f>
        <v/>
      </c>
      <c r="Y871" s="7">
        <f>IF($AB871="","",Z871-X871)</f>
        <v/>
      </c>
      <c r="Z871" s="7">
        <f>IF($AB871="","",S871+V871+Q871)</f>
        <v/>
      </c>
      <c r="AA871" s="7">
        <f>IF($AB871="","",Z871-X871-M871)</f>
        <v/>
      </c>
      <c r="AB871" s="13">
        <f>IF(ROWS($AB$2:$AB871)&lt;=MAX('Per Line'!$AK$2:$AK$4001),MATCH(ROWS($AB$2:$AB871),'Per Line'!$AK$2:$AK$4001,0),"")</f>
        <v/>
      </c>
      <c r="AC871" s="14">
        <f>IF($AB871="","",M871-L871*Z871/100)</f>
        <v/>
      </c>
    </row>
    <row r="872">
      <c r="A872" s="12" t="n"/>
      <c r="B872">
        <f>IF($AB872="","",INDEX('Per Line'!$C$2:$C$4001,$AB872)&amp;"")</f>
        <v/>
      </c>
      <c r="C872">
        <f>IF($AB872="","",INDEX('Per Line'!$D$2:$D$4001,$AB872)&amp;"")</f>
        <v/>
      </c>
      <c r="D872">
        <f>IF($AB872="","",INDEX('Per Line'!$B$2:$B$4001,$AB872)&amp;"")</f>
        <v/>
      </c>
      <c r="E872">
        <f>IF($AB872="","",INDEX('Per Line'!$A$2:$A$4001,$AB872))</f>
        <v/>
      </c>
      <c r="F872" s="11">
        <f>IF($AB872="","",INDEX('Per Line'!$E$2:$E$4001,$AB872))</f>
        <v/>
      </c>
      <c r="G872">
        <f>IF($AB872="","",INDEX('Per Line'!$F$2:$F$4001,$AB872)&amp;"")</f>
        <v/>
      </c>
      <c r="H872">
        <f>IF($AB872="","",INDEX('Per Line'!$H$2:$H$4001,$AB872)&amp;"")</f>
        <v/>
      </c>
      <c r="I872">
        <f>IF($AB872="","",INDEX('Per Line'!$I$2:$I$4001,$AB872)&amp;"")</f>
        <v/>
      </c>
      <c r="J872">
        <f>IF($AB872="","",INDEX('Per Line'!$J$2:$J$4001,$AB872)&amp;"")</f>
        <v/>
      </c>
      <c r="K872">
        <f>IF($AB872="","",INDEX('Per Line'!$K$2:$K$4001,$AB872)&amp;"")</f>
        <v/>
      </c>
      <c r="L872">
        <f>IF($AB872="","",INDEX('Per Line'!$L$2:$L$4001,$AB872))</f>
        <v/>
      </c>
      <c r="M872" s="7">
        <f>IF($AB872="","",IF(AND(ISNUMBER(O872),O872&gt;0,Z872&gt;O872),L872*O872/100+(Z872-O872),L872*Z872/100))</f>
        <v/>
      </c>
      <c r="N872">
        <f>IF($AB872="","",INDEX('Per Line'!$V$2:$V$4001,$AB872)&amp;"")</f>
        <v/>
      </c>
      <c r="O872">
        <f>IF($AB872="","",INDEX('Per Line'!$Z$2:$Z$4001,$AB872))</f>
        <v/>
      </c>
      <c r="P872">
        <f>IF($AB872="","",IF(AND(ISNUMBER(O872),O872&gt;0),Z872&gt;O872,FALSE))</f>
        <v/>
      </c>
      <c r="Q872" s="7">
        <f>IF($AB872="","",SUMIFS('Per Line'!$U$2:$U$4001,'Per Line'!$C$2:$C$4001,$B872,'Per Line'!$AM$2:$AM$4001,1))</f>
        <v/>
      </c>
      <c r="R872">
        <f>IF($AB872="","",Settings!$C$7)</f>
        <v/>
      </c>
      <c r="S872" s="7">
        <f>IF($AB872="","",SUMIFS('Per Line'!$U$2:$U$4001,'Per Line'!$C$2:$C$4001,$B872,'Per Line'!$AL$2:$AL$4001,0,'Per Line'!$AM$2:$AM$4001,0))</f>
        <v/>
      </c>
      <c r="T872" s="7">
        <f>IF($AB872="","",S872*R872)</f>
        <v/>
      </c>
      <c r="U872">
        <f>IF($AB872="","",Settings!$C$6)</f>
        <v/>
      </c>
      <c r="V872" s="7">
        <f>IF($AB872="","",SUMIFS('Per Line'!$U$2:$U$4001,'Per Line'!$C$2:$C$4001,$B872,'Per Line'!$AL$2:$AL$4001,1,'Per Line'!$AM$2:$AM$4001,0))</f>
        <v/>
      </c>
      <c r="W872" s="7">
        <f>IF($AB872="","",V872*U872)</f>
        <v/>
      </c>
      <c r="X872" s="7">
        <f>IF($AB872="","",W872+T872)</f>
        <v/>
      </c>
      <c r="Y872" s="7">
        <f>IF($AB872="","",Z872-X872)</f>
        <v/>
      </c>
      <c r="Z872" s="7">
        <f>IF($AB872="","",S872+V872+Q872)</f>
        <v/>
      </c>
      <c r="AA872" s="7">
        <f>IF($AB872="","",Z872-X872-M872)</f>
        <v/>
      </c>
      <c r="AB872" s="13">
        <f>IF(ROWS($AB$2:$AB872)&lt;=MAX('Per Line'!$AK$2:$AK$4001),MATCH(ROWS($AB$2:$AB872),'Per Line'!$AK$2:$AK$4001,0),"")</f>
        <v/>
      </c>
      <c r="AC872" s="14">
        <f>IF($AB872="","",M872-L872*Z872/100)</f>
        <v/>
      </c>
    </row>
    <row r="873">
      <c r="A873" s="12" t="n"/>
      <c r="B873">
        <f>IF($AB873="","",INDEX('Per Line'!$C$2:$C$4001,$AB873)&amp;"")</f>
        <v/>
      </c>
      <c r="C873">
        <f>IF($AB873="","",INDEX('Per Line'!$D$2:$D$4001,$AB873)&amp;"")</f>
        <v/>
      </c>
      <c r="D873">
        <f>IF($AB873="","",INDEX('Per Line'!$B$2:$B$4001,$AB873)&amp;"")</f>
        <v/>
      </c>
      <c r="E873">
        <f>IF($AB873="","",INDEX('Per Line'!$A$2:$A$4001,$AB873))</f>
        <v/>
      </c>
      <c r="F873" s="11">
        <f>IF($AB873="","",INDEX('Per Line'!$E$2:$E$4001,$AB873))</f>
        <v/>
      </c>
      <c r="G873">
        <f>IF($AB873="","",INDEX('Per Line'!$F$2:$F$4001,$AB873)&amp;"")</f>
        <v/>
      </c>
      <c r="H873">
        <f>IF($AB873="","",INDEX('Per Line'!$H$2:$H$4001,$AB873)&amp;"")</f>
        <v/>
      </c>
      <c r="I873">
        <f>IF($AB873="","",INDEX('Per Line'!$I$2:$I$4001,$AB873)&amp;"")</f>
        <v/>
      </c>
      <c r="J873">
        <f>IF($AB873="","",INDEX('Per Line'!$J$2:$J$4001,$AB873)&amp;"")</f>
        <v/>
      </c>
      <c r="K873">
        <f>IF($AB873="","",INDEX('Per Line'!$K$2:$K$4001,$AB873)&amp;"")</f>
        <v/>
      </c>
      <c r="L873">
        <f>IF($AB873="","",INDEX('Per Line'!$L$2:$L$4001,$AB873))</f>
        <v/>
      </c>
      <c r="M873" s="7">
        <f>IF($AB873="","",IF(AND(ISNUMBER(O873),O873&gt;0,Z873&gt;O873),L873*O873/100+(Z873-O873),L873*Z873/100))</f>
        <v/>
      </c>
      <c r="N873">
        <f>IF($AB873="","",INDEX('Per Line'!$V$2:$V$4001,$AB873)&amp;"")</f>
        <v/>
      </c>
      <c r="O873">
        <f>IF($AB873="","",INDEX('Per Line'!$Z$2:$Z$4001,$AB873))</f>
        <v/>
      </c>
      <c r="P873">
        <f>IF($AB873="","",IF(AND(ISNUMBER(O873),O873&gt;0),Z873&gt;O873,FALSE))</f>
        <v/>
      </c>
      <c r="Q873" s="7">
        <f>IF($AB873="","",SUMIFS('Per Line'!$U$2:$U$4001,'Per Line'!$C$2:$C$4001,$B873,'Per Line'!$AM$2:$AM$4001,1))</f>
        <v/>
      </c>
      <c r="R873">
        <f>IF($AB873="","",Settings!$C$7)</f>
        <v/>
      </c>
      <c r="S873" s="7">
        <f>IF($AB873="","",SUMIFS('Per Line'!$U$2:$U$4001,'Per Line'!$C$2:$C$4001,$B873,'Per Line'!$AL$2:$AL$4001,0,'Per Line'!$AM$2:$AM$4001,0))</f>
        <v/>
      </c>
      <c r="T873" s="7">
        <f>IF($AB873="","",S873*R873)</f>
        <v/>
      </c>
      <c r="U873">
        <f>IF($AB873="","",Settings!$C$6)</f>
        <v/>
      </c>
      <c r="V873" s="7">
        <f>IF($AB873="","",SUMIFS('Per Line'!$U$2:$U$4001,'Per Line'!$C$2:$C$4001,$B873,'Per Line'!$AL$2:$AL$4001,1,'Per Line'!$AM$2:$AM$4001,0))</f>
        <v/>
      </c>
      <c r="W873" s="7">
        <f>IF($AB873="","",V873*U873)</f>
        <v/>
      </c>
      <c r="X873" s="7">
        <f>IF($AB873="","",W873+T873)</f>
        <v/>
      </c>
      <c r="Y873" s="7">
        <f>IF($AB873="","",Z873-X873)</f>
        <v/>
      </c>
      <c r="Z873" s="7">
        <f>IF($AB873="","",S873+V873+Q873)</f>
        <v/>
      </c>
      <c r="AA873" s="7">
        <f>IF($AB873="","",Z873-X873-M873)</f>
        <v/>
      </c>
      <c r="AB873" s="13">
        <f>IF(ROWS($AB$2:$AB873)&lt;=MAX('Per Line'!$AK$2:$AK$4001),MATCH(ROWS($AB$2:$AB873),'Per Line'!$AK$2:$AK$4001,0),"")</f>
        <v/>
      </c>
      <c r="AC873" s="14">
        <f>IF($AB873="","",M873-L873*Z873/100)</f>
        <v/>
      </c>
    </row>
    <row r="874">
      <c r="A874" s="12" t="n"/>
      <c r="B874">
        <f>IF($AB874="","",INDEX('Per Line'!$C$2:$C$4001,$AB874)&amp;"")</f>
        <v/>
      </c>
      <c r="C874">
        <f>IF($AB874="","",INDEX('Per Line'!$D$2:$D$4001,$AB874)&amp;"")</f>
        <v/>
      </c>
      <c r="D874">
        <f>IF($AB874="","",INDEX('Per Line'!$B$2:$B$4001,$AB874)&amp;"")</f>
        <v/>
      </c>
      <c r="E874">
        <f>IF($AB874="","",INDEX('Per Line'!$A$2:$A$4001,$AB874))</f>
        <v/>
      </c>
      <c r="F874" s="11">
        <f>IF($AB874="","",INDEX('Per Line'!$E$2:$E$4001,$AB874))</f>
        <v/>
      </c>
      <c r="G874">
        <f>IF($AB874="","",INDEX('Per Line'!$F$2:$F$4001,$AB874)&amp;"")</f>
        <v/>
      </c>
      <c r="H874">
        <f>IF($AB874="","",INDEX('Per Line'!$H$2:$H$4001,$AB874)&amp;"")</f>
        <v/>
      </c>
      <c r="I874">
        <f>IF($AB874="","",INDEX('Per Line'!$I$2:$I$4001,$AB874)&amp;"")</f>
        <v/>
      </c>
      <c r="J874">
        <f>IF($AB874="","",INDEX('Per Line'!$J$2:$J$4001,$AB874)&amp;"")</f>
        <v/>
      </c>
      <c r="K874">
        <f>IF($AB874="","",INDEX('Per Line'!$K$2:$K$4001,$AB874)&amp;"")</f>
        <v/>
      </c>
      <c r="L874">
        <f>IF($AB874="","",INDEX('Per Line'!$L$2:$L$4001,$AB874))</f>
        <v/>
      </c>
      <c r="M874" s="7">
        <f>IF($AB874="","",IF(AND(ISNUMBER(O874),O874&gt;0,Z874&gt;O874),L874*O874/100+(Z874-O874),L874*Z874/100))</f>
        <v/>
      </c>
      <c r="N874">
        <f>IF($AB874="","",INDEX('Per Line'!$V$2:$V$4001,$AB874)&amp;"")</f>
        <v/>
      </c>
      <c r="O874">
        <f>IF($AB874="","",INDEX('Per Line'!$Z$2:$Z$4001,$AB874))</f>
        <v/>
      </c>
      <c r="P874">
        <f>IF($AB874="","",IF(AND(ISNUMBER(O874),O874&gt;0),Z874&gt;O874,FALSE))</f>
        <v/>
      </c>
      <c r="Q874" s="7">
        <f>IF($AB874="","",SUMIFS('Per Line'!$U$2:$U$4001,'Per Line'!$C$2:$C$4001,$B874,'Per Line'!$AM$2:$AM$4001,1))</f>
        <v/>
      </c>
      <c r="R874">
        <f>IF($AB874="","",Settings!$C$7)</f>
        <v/>
      </c>
      <c r="S874" s="7">
        <f>IF($AB874="","",SUMIFS('Per Line'!$U$2:$U$4001,'Per Line'!$C$2:$C$4001,$B874,'Per Line'!$AL$2:$AL$4001,0,'Per Line'!$AM$2:$AM$4001,0))</f>
        <v/>
      </c>
      <c r="T874" s="7">
        <f>IF($AB874="","",S874*R874)</f>
        <v/>
      </c>
      <c r="U874">
        <f>IF($AB874="","",Settings!$C$6)</f>
        <v/>
      </c>
      <c r="V874" s="7">
        <f>IF($AB874="","",SUMIFS('Per Line'!$U$2:$U$4001,'Per Line'!$C$2:$C$4001,$B874,'Per Line'!$AL$2:$AL$4001,1,'Per Line'!$AM$2:$AM$4001,0))</f>
        <v/>
      </c>
      <c r="W874" s="7">
        <f>IF($AB874="","",V874*U874)</f>
        <v/>
      </c>
      <c r="X874" s="7">
        <f>IF($AB874="","",W874+T874)</f>
        <v/>
      </c>
      <c r="Y874" s="7">
        <f>IF($AB874="","",Z874-X874)</f>
        <v/>
      </c>
      <c r="Z874" s="7">
        <f>IF($AB874="","",S874+V874+Q874)</f>
        <v/>
      </c>
      <c r="AA874" s="7">
        <f>IF($AB874="","",Z874-X874-M874)</f>
        <v/>
      </c>
      <c r="AB874" s="13">
        <f>IF(ROWS($AB$2:$AB874)&lt;=MAX('Per Line'!$AK$2:$AK$4001),MATCH(ROWS($AB$2:$AB874),'Per Line'!$AK$2:$AK$4001,0),"")</f>
        <v/>
      </c>
      <c r="AC874" s="14">
        <f>IF($AB874="","",M874-L874*Z874/100)</f>
        <v/>
      </c>
    </row>
    <row r="875">
      <c r="A875" s="12" t="n"/>
      <c r="B875">
        <f>IF($AB875="","",INDEX('Per Line'!$C$2:$C$4001,$AB875)&amp;"")</f>
        <v/>
      </c>
      <c r="C875">
        <f>IF($AB875="","",INDEX('Per Line'!$D$2:$D$4001,$AB875)&amp;"")</f>
        <v/>
      </c>
      <c r="D875">
        <f>IF($AB875="","",INDEX('Per Line'!$B$2:$B$4001,$AB875)&amp;"")</f>
        <v/>
      </c>
      <c r="E875">
        <f>IF($AB875="","",INDEX('Per Line'!$A$2:$A$4001,$AB875))</f>
        <v/>
      </c>
      <c r="F875" s="11">
        <f>IF($AB875="","",INDEX('Per Line'!$E$2:$E$4001,$AB875))</f>
        <v/>
      </c>
      <c r="G875">
        <f>IF($AB875="","",INDEX('Per Line'!$F$2:$F$4001,$AB875)&amp;"")</f>
        <v/>
      </c>
      <c r="H875">
        <f>IF($AB875="","",INDEX('Per Line'!$H$2:$H$4001,$AB875)&amp;"")</f>
        <v/>
      </c>
      <c r="I875">
        <f>IF($AB875="","",INDEX('Per Line'!$I$2:$I$4001,$AB875)&amp;"")</f>
        <v/>
      </c>
      <c r="J875">
        <f>IF($AB875="","",INDEX('Per Line'!$J$2:$J$4001,$AB875)&amp;"")</f>
        <v/>
      </c>
      <c r="K875">
        <f>IF($AB875="","",INDEX('Per Line'!$K$2:$K$4001,$AB875)&amp;"")</f>
        <v/>
      </c>
      <c r="L875">
        <f>IF($AB875="","",INDEX('Per Line'!$L$2:$L$4001,$AB875))</f>
        <v/>
      </c>
      <c r="M875" s="7">
        <f>IF($AB875="","",IF(AND(ISNUMBER(O875),O875&gt;0,Z875&gt;O875),L875*O875/100+(Z875-O875),L875*Z875/100))</f>
        <v/>
      </c>
      <c r="N875">
        <f>IF($AB875="","",INDEX('Per Line'!$V$2:$V$4001,$AB875)&amp;"")</f>
        <v/>
      </c>
      <c r="O875">
        <f>IF($AB875="","",INDEX('Per Line'!$Z$2:$Z$4001,$AB875))</f>
        <v/>
      </c>
      <c r="P875">
        <f>IF($AB875="","",IF(AND(ISNUMBER(O875),O875&gt;0),Z875&gt;O875,FALSE))</f>
        <v/>
      </c>
      <c r="Q875" s="7">
        <f>IF($AB875="","",SUMIFS('Per Line'!$U$2:$U$4001,'Per Line'!$C$2:$C$4001,$B875,'Per Line'!$AM$2:$AM$4001,1))</f>
        <v/>
      </c>
      <c r="R875">
        <f>IF($AB875="","",Settings!$C$7)</f>
        <v/>
      </c>
      <c r="S875" s="7">
        <f>IF($AB875="","",SUMIFS('Per Line'!$U$2:$U$4001,'Per Line'!$C$2:$C$4001,$B875,'Per Line'!$AL$2:$AL$4001,0,'Per Line'!$AM$2:$AM$4001,0))</f>
        <v/>
      </c>
      <c r="T875" s="7">
        <f>IF($AB875="","",S875*R875)</f>
        <v/>
      </c>
      <c r="U875">
        <f>IF($AB875="","",Settings!$C$6)</f>
        <v/>
      </c>
      <c r="V875" s="7">
        <f>IF($AB875="","",SUMIFS('Per Line'!$U$2:$U$4001,'Per Line'!$C$2:$C$4001,$B875,'Per Line'!$AL$2:$AL$4001,1,'Per Line'!$AM$2:$AM$4001,0))</f>
        <v/>
      </c>
      <c r="W875" s="7">
        <f>IF($AB875="","",V875*U875)</f>
        <v/>
      </c>
      <c r="X875" s="7">
        <f>IF($AB875="","",W875+T875)</f>
        <v/>
      </c>
      <c r="Y875" s="7">
        <f>IF($AB875="","",Z875-X875)</f>
        <v/>
      </c>
      <c r="Z875" s="7">
        <f>IF($AB875="","",S875+V875+Q875)</f>
        <v/>
      </c>
      <c r="AA875" s="7">
        <f>IF($AB875="","",Z875-X875-M875)</f>
        <v/>
      </c>
      <c r="AB875" s="13">
        <f>IF(ROWS($AB$2:$AB875)&lt;=MAX('Per Line'!$AK$2:$AK$4001),MATCH(ROWS($AB$2:$AB875),'Per Line'!$AK$2:$AK$4001,0),"")</f>
        <v/>
      </c>
      <c r="AC875" s="14">
        <f>IF($AB875="","",M875-L875*Z875/100)</f>
        <v/>
      </c>
    </row>
    <row r="876">
      <c r="A876" s="12" t="n"/>
      <c r="B876">
        <f>IF($AB876="","",INDEX('Per Line'!$C$2:$C$4001,$AB876)&amp;"")</f>
        <v/>
      </c>
      <c r="C876">
        <f>IF($AB876="","",INDEX('Per Line'!$D$2:$D$4001,$AB876)&amp;"")</f>
        <v/>
      </c>
      <c r="D876">
        <f>IF($AB876="","",INDEX('Per Line'!$B$2:$B$4001,$AB876)&amp;"")</f>
        <v/>
      </c>
      <c r="E876">
        <f>IF($AB876="","",INDEX('Per Line'!$A$2:$A$4001,$AB876))</f>
        <v/>
      </c>
      <c r="F876" s="11">
        <f>IF($AB876="","",INDEX('Per Line'!$E$2:$E$4001,$AB876))</f>
        <v/>
      </c>
      <c r="G876">
        <f>IF($AB876="","",INDEX('Per Line'!$F$2:$F$4001,$AB876)&amp;"")</f>
        <v/>
      </c>
      <c r="H876">
        <f>IF($AB876="","",INDEX('Per Line'!$H$2:$H$4001,$AB876)&amp;"")</f>
        <v/>
      </c>
      <c r="I876">
        <f>IF($AB876="","",INDEX('Per Line'!$I$2:$I$4001,$AB876)&amp;"")</f>
        <v/>
      </c>
      <c r="J876">
        <f>IF($AB876="","",INDEX('Per Line'!$J$2:$J$4001,$AB876)&amp;"")</f>
        <v/>
      </c>
      <c r="K876">
        <f>IF($AB876="","",INDEX('Per Line'!$K$2:$K$4001,$AB876)&amp;"")</f>
        <v/>
      </c>
      <c r="L876">
        <f>IF($AB876="","",INDEX('Per Line'!$L$2:$L$4001,$AB876))</f>
        <v/>
      </c>
      <c r="M876" s="7">
        <f>IF($AB876="","",IF(AND(ISNUMBER(O876),O876&gt;0,Z876&gt;O876),L876*O876/100+(Z876-O876),L876*Z876/100))</f>
        <v/>
      </c>
      <c r="N876">
        <f>IF($AB876="","",INDEX('Per Line'!$V$2:$V$4001,$AB876)&amp;"")</f>
        <v/>
      </c>
      <c r="O876">
        <f>IF($AB876="","",INDEX('Per Line'!$Z$2:$Z$4001,$AB876))</f>
        <v/>
      </c>
      <c r="P876">
        <f>IF($AB876="","",IF(AND(ISNUMBER(O876),O876&gt;0),Z876&gt;O876,FALSE))</f>
        <v/>
      </c>
      <c r="Q876" s="7">
        <f>IF($AB876="","",SUMIFS('Per Line'!$U$2:$U$4001,'Per Line'!$C$2:$C$4001,$B876,'Per Line'!$AM$2:$AM$4001,1))</f>
        <v/>
      </c>
      <c r="R876">
        <f>IF($AB876="","",Settings!$C$7)</f>
        <v/>
      </c>
      <c r="S876" s="7">
        <f>IF($AB876="","",SUMIFS('Per Line'!$U$2:$U$4001,'Per Line'!$C$2:$C$4001,$B876,'Per Line'!$AL$2:$AL$4001,0,'Per Line'!$AM$2:$AM$4001,0))</f>
        <v/>
      </c>
      <c r="T876" s="7">
        <f>IF($AB876="","",S876*R876)</f>
        <v/>
      </c>
      <c r="U876">
        <f>IF($AB876="","",Settings!$C$6)</f>
        <v/>
      </c>
      <c r="V876" s="7">
        <f>IF($AB876="","",SUMIFS('Per Line'!$U$2:$U$4001,'Per Line'!$C$2:$C$4001,$B876,'Per Line'!$AL$2:$AL$4001,1,'Per Line'!$AM$2:$AM$4001,0))</f>
        <v/>
      </c>
      <c r="W876" s="7">
        <f>IF($AB876="","",V876*U876)</f>
        <v/>
      </c>
      <c r="X876" s="7">
        <f>IF($AB876="","",W876+T876)</f>
        <v/>
      </c>
      <c r="Y876" s="7">
        <f>IF($AB876="","",Z876-X876)</f>
        <v/>
      </c>
      <c r="Z876" s="7">
        <f>IF($AB876="","",S876+V876+Q876)</f>
        <v/>
      </c>
      <c r="AA876" s="7">
        <f>IF($AB876="","",Z876-X876-M876)</f>
        <v/>
      </c>
      <c r="AB876" s="13">
        <f>IF(ROWS($AB$2:$AB876)&lt;=MAX('Per Line'!$AK$2:$AK$4001),MATCH(ROWS($AB$2:$AB876),'Per Line'!$AK$2:$AK$4001,0),"")</f>
        <v/>
      </c>
      <c r="AC876" s="14">
        <f>IF($AB876="","",M876-L876*Z876/100)</f>
        <v/>
      </c>
    </row>
    <row r="877">
      <c r="A877" s="12" t="n"/>
      <c r="B877">
        <f>IF($AB877="","",INDEX('Per Line'!$C$2:$C$4001,$AB877)&amp;"")</f>
        <v/>
      </c>
      <c r="C877">
        <f>IF($AB877="","",INDEX('Per Line'!$D$2:$D$4001,$AB877)&amp;"")</f>
        <v/>
      </c>
      <c r="D877">
        <f>IF($AB877="","",INDEX('Per Line'!$B$2:$B$4001,$AB877)&amp;"")</f>
        <v/>
      </c>
      <c r="E877">
        <f>IF($AB877="","",INDEX('Per Line'!$A$2:$A$4001,$AB877))</f>
        <v/>
      </c>
      <c r="F877" s="11">
        <f>IF($AB877="","",INDEX('Per Line'!$E$2:$E$4001,$AB877))</f>
        <v/>
      </c>
      <c r="G877">
        <f>IF($AB877="","",INDEX('Per Line'!$F$2:$F$4001,$AB877)&amp;"")</f>
        <v/>
      </c>
      <c r="H877">
        <f>IF($AB877="","",INDEX('Per Line'!$H$2:$H$4001,$AB877)&amp;"")</f>
        <v/>
      </c>
      <c r="I877">
        <f>IF($AB877="","",INDEX('Per Line'!$I$2:$I$4001,$AB877)&amp;"")</f>
        <v/>
      </c>
      <c r="J877">
        <f>IF($AB877="","",INDEX('Per Line'!$J$2:$J$4001,$AB877)&amp;"")</f>
        <v/>
      </c>
      <c r="K877">
        <f>IF($AB877="","",INDEX('Per Line'!$K$2:$K$4001,$AB877)&amp;"")</f>
        <v/>
      </c>
      <c r="L877">
        <f>IF($AB877="","",INDEX('Per Line'!$L$2:$L$4001,$AB877))</f>
        <v/>
      </c>
      <c r="M877" s="7">
        <f>IF($AB877="","",IF(AND(ISNUMBER(O877),O877&gt;0,Z877&gt;O877),L877*O877/100+(Z877-O877),L877*Z877/100))</f>
        <v/>
      </c>
      <c r="N877">
        <f>IF($AB877="","",INDEX('Per Line'!$V$2:$V$4001,$AB877)&amp;"")</f>
        <v/>
      </c>
      <c r="O877">
        <f>IF($AB877="","",INDEX('Per Line'!$Z$2:$Z$4001,$AB877))</f>
        <v/>
      </c>
      <c r="P877">
        <f>IF($AB877="","",IF(AND(ISNUMBER(O877),O877&gt;0),Z877&gt;O877,FALSE))</f>
        <v/>
      </c>
      <c r="Q877" s="7">
        <f>IF($AB877="","",SUMIFS('Per Line'!$U$2:$U$4001,'Per Line'!$C$2:$C$4001,$B877,'Per Line'!$AM$2:$AM$4001,1))</f>
        <v/>
      </c>
      <c r="R877">
        <f>IF($AB877="","",Settings!$C$7)</f>
        <v/>
      </c>
      <c r="S877" s="7">
        <f>IF($AB877="","",SUMIFS('Per Line'!$U$2:$U$4001,'Per Line'!$C$2:$C$4001,$B877,'Per Line'!$AL$2:$AL$4001,0,'Per Line'!$AM$2:$AM$4001,0))</f>
        <v/>
      </c>
      <c r="T877" s="7">
        <f>IF($AB877="","",S877*R877)</f>
        <v/>
      </c>
      <c r="U877">
        <f>IF($AB877="","",Settings!$C$6)</f>
        <v/>
      </c>
      <c r="V877" s="7">
        <f>IF($AB877="","",SUMIFS('Per Line'!$U$2:$U$4001,'Per Line'!$C$2:$C$4001,$B877,'Per Line'!$AL$2:$AL$4001,1,'Per Line'!$AM$2:$AM$4001,0))</f>
        <v/>
      </c>
      <c r="W877" s="7">
        <f>IF($AB877="","",V877*U877)</f>
        <v/>
      </c>
      <c r="X877" s="7">
        <f>IF($AB877="","",W877+T877)</f>
        <v/>
      </c>
      <c r="Y877" s="7">
        <f>IF($AB877="","",Z877-X877)</f>
        <v/>
      </c>
      <c r="Z877" s="7">
        <f>IF($AB877="","",S877+V877+Q877)</f>
        <v/>
      </c>
      <c r="AA877" s="7">
        <f>IF($AB877="","",Z877-X877-M877)</f>
        <v/>
      </c>
      <c r="AB877" s="13">
        <f>IF(ROWS($AB$2:$AB877)&lt;=MAX('Per Line'!$AK$2:$AK$4001),MATCH(ROWS($AB$2:$AB877),'Per Line'!$AK$2:$AK$4001,0),"")</f>
        <v/>
      </c>
      <c r="AC877" s="14">
        <f>IF($AB877="","",M877-L877*Z877/100)</f>
        <v/>
      </c>
    </row>
    <row r="878">
      <c r="A878" s="12" t="n"/>
      <c r="B878">
        <f>IF($AB878="","",INDEX('Per Line'!$C$2:$C$4001,$AB878)&amp;"")</f>
        <v/>
      </c>
      <c r="C878">
        <f>IF($AB878="","",INDEX('Per Line'!$D$2:$D$4001,$AB878)&amp;"")</f>
        <v/>
      </c>
      <c r="D878">
        <f>IF($AB878="","",INDEX('Per Line'!$B$2:$B$4001,$AB878)&amp;"")</f>
        <v/>
      </c>
      <c r="E878">
        <f>IF($AB878="","",INDEX('Per Line'!$A$2:$A$4001,$AB878))</f>
        <v/>
      </c>
      <c r="F878" s="11">
        <f>IF($AB878="","",INDEX('Per Line'!$E$2:$E$4001,$AB878))</f>
        <v/>
      </c>
      <c r="G878">
        <f>IF($AB878="","",INDEX('Per Line'!$F$2:$F$4001,$AB878)&amp;"")</f>
        <v/>
      </c>
      <c r="H878">
        <f>IF($AB878="","",INDEX('Per Line'!$H$2:$H$4001,$AB878)&amp;"")</f>
        <v/>
      </c>
      <c r="I878">
        <f>IF($AB878="","",INDEX('Per Line'!$I$2:$I$4001,$AB878)&amp;"")</f>
        <v/>
      </c>
      <c r="J878">
        <f>IF($AB878="","",INDEX('Per Line'!$J$2:$J$4001,$AB878)&amp;"")</f>
        <v/>
      </c>
      <c r="K878">
        <f>IF($AB878="","",INDEX('Per Line'!$K$2:$K$4001,$AB878)&amp;"")</f>
        <v/>
      </c>
      <c r="L878">
        <f>IF($AB878="","",INDEX('Per Line'!$L$2:$L$4001,$AB878))</f>
        <v/>
      </c>
      <c r="M878" s="7">
        <f>IF($AB878="","",IF(AND(ISNUMBER(O878),O878&gt;0,Z878&gt;O878),L878*O878/100+(Z878-O878),L878*Z878/100))</f>
        <v/>
      </c>
      <c r="N878">
        <f>IF($AB878="","",INDEX('Per Line'!$V$2:$V$4001,$AB878)&amp;"")</f>
        <v/>
      </c>
      <c r="O878">
        <f>IF($AB878="","",INDEX('Per Line'!$Z$2:$Z$4001,$AB878))</f>
        <v/>
      </c>
      <c r="P878">
        <f>IF($AB878="","",IF(AND(ISNUMBER(O878),O878&gt;0),Z878&gt;O878,FALSE))</f>
        <v/>
      </c>
      <c r="Q878" s="7">
        <f>IF($AB878="","",SUMIFS('Per Line'!$U$2:$U$4001,'Per Line'!$C$2:$C$4001,$B878,'Per Line'!$AM$2:$AM$4001,1))</f>
        <v/>
      </c>
      <c r="R878">
        <f>IF($AB878="","",Settings!$C$7)</f>
        <v/>
      </c>
      <c r="S878" s="7">
        <f>IF($AB878="","",SUMIFS('Per Line'!$U$2:$U$4001,'Per Line'!$C$2:$C$4001,$B878,'Per Line'!$AL$2:$AL$4001,0,'Per Line'!$AM$2:$AM$4001,0))</f>
        <v/>
      </c>
      <c r="T878" s="7">
        <f>IF($AB878="","",S878*R878)</f>
        <v/>
      </c>
      <c r="U878">
        <f>IF($AB878="","",Settings!$C$6)</f>
        <v/>
      </c>
      <c r="V878" s="7">
        <f>IF($AB878="","",SUMIFS('Per Line'!$U$2:$U$4001,'Per Line'!$C$2:$C$4001,$B878,'Per Line'!$AL$2:$AL$4001,1,'Per Line'!$AM$2:$AM$4001,0))</f>
        <v/>
      </c>
      <c r="W878" s="7">
        <f>IF($AB878="","",V878*U878)</f>
        <v/>
      </c>
      <c r="X878" s="7">
        <f>IF($AB878="","",W878+T878)</f>
        <v/>
      </c>
      <c r="Y878" s="7">
        <f>IF($AB878="","",Z878-X878)</f>
        <v/>
      </c>
      <c r="Z878" s="7">
        <f>IF($AB878="","",S878+V878+Q878)</f>
        <v/>
      </c>
      <c r="AA878" s="7">
        <f>IF($AB878="","",Z878-X878-M878)</f>
        <v/>
      </c>
      <c r="AB878" s="13">
        <f>IF(ROWS($AB$2:$AB878)&lt;=MAX('Per Line'!$AK$2:$AK$4001),MATCH(ROWS($AB$2:$AB878),'Per Line'!$AK$2:$AK$4001,0),"")</f>
        <v/>
      </c>
      <c r="AC878" s="14">
        <f>IF($AB878="","",M878-L878*Z878/100)</f>
        <v/>
      </c>
    </row>
    <row r="879">
      <c r="A879" s="12" t="n"/>
      <c r="B879">
        <f>IF($AB879="","",INDEX('Per Line'!$C$2:$C$4001,$AB879)&amp;"")</f>
        <v/>
      </c>
      <c r="C879">
        <f>IF($AB879="","",INDEX('Per Line'!$D$2:$D$4001,$AB879)&amp;"")</f>
        <v/>
      </c>
      <c r="D879">
        <f>IF($AB879="","",INDEX('Per Line'!$B$2:$B$4001,$AB879)&amp;"")</f>
        <v/>
      </c>
      <c r="E879">
        <f>IF($AB879="","",INDEX('Per Line'!$A$2:$A$4001,$AB879))</f>
        <v/>
      </c>
      <c r="F879" s="11">
        <f>IF($AB879="","",INDEX('Per Line'!$E$2:$E$4001,$AB879))</f>
        <v/>
      </c>
      <c r="G879">
        <f>IF($AB879="","",INDEX('Per Line'!$F$2:$F$4001,$AB879)&amp;"")</f>
        <v/>
      </c>
      <c r="H879">
        <f>IF($AB879="","",INDEX('Per Line'!$H$2:$H$4001,$AB879)&amp;"")</f>
        <v/>
      </c>
      <c r="I879">
        <f>IF($AB879="","",INDEX('Per Line'!$I$2:$I$4001,$AB879)&amp;"")</f>
        <v/>
      </c>
      <c r="J879">
        <f>IF($AB879="","",INDEX('Per Line'!$J$2:$J$4001,$AB879)&amp;"")</f>
        <v/>
      </c>
      <c r="K879">
        <f>IF($AB879="","",INDEX('Per Line'!$K$2:$K$4001,$AB879)&amp;"")</f>
        <v/>
      </c>
      <c r="L879">
        <f>IF($AB879="","",INDEX('Per Line'!$L$2:$L$4001,$AB879))</f>
        <v/>
      </c>
      <c r="M879" s="7">
        <f>IF($AB879="","",IF(AND(ISNUMBER(O879),O879&gt;0,Z879&gt;O879),L879*O879/100+(Z879-O879),L879*Z879/100))</f>
        <v/>
      </c>
      <c r="N879">
        <f>IF($AB879="","",INDEX('Per Line'!$V$2:$V$4001,$AB879)&amp;"")</f>
        <v/>
      </c>
      <c r="O879">
        <f>IF($AB879="","",INDEX('Per Line'!$Z$2:$Z$4001,$AB879))</f>
        <v/>
      </c>
      <c r="P879">
        <f>IF($AB879="","",IF(AND(ISNUMBER(O879),O879&gt;0),Z879&gt;O879,FALSE))</f>
        <v/>
      </c>
      <c r="Q879" s="7">
        <f>IF($AB879="","",SUMIFS('Per Line'!$U$2:$U$4001,'Per Line'!$C$2:$C$4001,$B879,'Per Line'!$AM$2:$AM$4001,1))</f>
        <v/>
      </c>
      <c r="R879">
        <f>IF($AB879="","",Settings!$C$7)</f>
        <v/>
      </c>
      <c r="S879" s="7">
        <f>IF($AB879="","",SUMIFS('Per Line'!$U$2:$U$4001,'Per Line'!$C$2:$C$4001,$B879,'Per Line'!$AL$2:$AL$4001,0,'Per Line'!$AM$2:$AM$4001,0))</f>
        <v/>
      </c>
      <c r="T879" s="7">
        <f>IF($AB879="","",S879*R879)</f>
        <v/>
      </c>
      <c r="U879">
        <f>IF($AB879="","",Settings!$C$6)</f>
        <v/>
      </c>
      <c r="V879" s="7">
        <f>IF($AB879="","",SUMIFS('Per Line'!$U$2:$U$4001,'Per Line'!$C$2:$C$4001,$B879,'Per Line'!$AL$2:$AL$4001,1,'Per Line'!$AM$2:$AM$4001,0))</f>
        <v/>
      </c>
      <c r="W879" s="7">
        <f>IF($AB879="","",V879*U879)</f>
        <v/>
      </c>
      <c r="X879" s="7">
        <f>IF($AB879="","",W879+T879)</f>
        <v/>
      </c>
      <c r="Y879" s="7">
        <f>IF($AB879="","",Z879-X879)</f>
        <v/>
      </c>
      <c r="Z879" s="7">
        <f>IF($AB879="","",S879+V879+Q879)</f>
        <v/>
      </c>
      <c r="AA879" s="7">
        <f>IF($AB879="","",Z879-X879-M879)</f>
        <v/>
      </c>
      <c r="AB879" s="13">
        <f>IF(ROWS($AB$2:$AB879)&lt;=MAX('Per Line'!$AK$2:$AK$4001),MATCH(ROWS($AB$2:$AB879),'Per Line'!$AK$2:$AK$4001,0),"")</f>
        <v/>
      </c>
      <c r="AC879" s="14">
        <f>IF($AB879="","",M879-L879*Z879/100)</f>
        <v/>
      </c>
    </row>
    <row r="880">
      <c r="A880" s="12" t="n"/>
      <c r="B880">
        <f>IF($AB880="","",INDEX('Per Line'!$C$2:$C$4001,$AB880)&amp;"")</f>
        <v/>
      </c>
      <c r="C880">
        <f>IF($AB880="","",INDEX('Per Line'!$D$2:$D$4001,$AB880)&amp;"")</f>
        <v/>
      </c>
      <c r="D880">
        <f>IF($AB880="","",INDEX('Per Line'!$B$2:$B$4001,$AB880)&amp;"")</f>
        <v/>
      </c>
      <c r="E880">
        <f>IF($AB880="","",INDEX('Per Line'!$A$2:$A$4001,$AB880))</f>
        <v/>
      </c>
      <c r="F880" s="11">
        <f>IF($AB880="","",INDEX('Per Line'!$E$2:$E$4001,$AB880))</f>
        <v/>
      </c>
      <c r="G880">
        <f>IF($AB880="","",INDEX('Per Line'!$F$2:$F$4001,$AB880)&amp;"")</f>
        <v/>
      </c>
      <c r="H880">
        <f>IF($AB880="","",INDEX('Per Line'!$H$2:$H$4001,$AB880)&amp;"")</f>
        <v/>
      </c>
      <c r="I880">
        <f>IF($AB880="","",INDEX('Per Line'!$I$2:$I$4001,$AB880)&amp;"")</f>
        <v/>
      </c>
      <c r="J880">
        <f>IF($AB880="","",INDEX('Per Line'!$J$2:$J$4001,$AB880)&amp;"")</f>
        <v/>
      </c>
      <c r="K880">
        <f>IF($AB880="","",INDEX('Per Line'!$K$2:$K$4001,$AB880)&amp;"")</f>
        <v/>
      </c>
      <c r="L880">
        <f>IF($AB880="","",INDEX('Per Line'!$L$2:$L$4001,$AB880))</f>
        <v/>
      </c>
      <c r="M880" s="7">
        <f>IF($AB880="","",IF(AND(ISNUMBER(O880),O880&gt;0,Z880&gt;O880),L880*O880/100+(Z880-O880),L880*Z880/100))</f>
        <v/>
      </c>
      <c r="N880">
        <f>IF($AB880="","",INDEX('Per Line'!$V$2:$V$4001,$AB880)&amp;"")</f>
        <v/>
      </c>
      <c r="O880">
        <f>IF($AB880="","",INDEX('Per Line'!$Z$2:$Z$4001,$AB880))</f>
        <v/>
      </c>
      <c r="P880">
        <f>IF($AB880="","",IF(AND(ISNUMBER(O880),O880&gt;0),Z880&gt;O880,FALSE))</f>
        <v/>
      </c>
      <c r="Q880" s="7">
        <f>IF($AB880="","",SUMIFS('Per Line'!$U$2:$U$4001,'Per Line'!$C$2:$C$4001,$B880,'Per Line'!$AM$2:$AM$4001,1))</f>
        <v/>
      </c>
      <c r="R880">
        <f>IF($AB880="","",Settings!$C$7)</f>
        <v/>
      </c>
      <c r="S880" s="7">
        <f>IF($AB880="","",SUMIFS('Per Line'!$U$2:$U$4001,'Per Line'!$C$2:$C$4001,$B880,'Per Line'!$AL$2:$AL$4001,0,'Per Line'!$AM$2:$AM$4001,0))</f>
        <v/>
      </c>
      <c r="T880" s="7">
        <f>IF($AB880="","",S880*R880)</f>
        <v/>
      </c>
      <c r="U880">
        <f>IF($AB880="","",Settings!$C$6)</f>
        <v/>
      </c>
      <c r="V880" s="7">
        <f>IF($AB880="","",SUMIFS('Per Line'!$U$2:$U$4001,'Per Line'!$C$2:$C$4001,$B880,'Per Line'!$AL$2:$AL$4001,1,'Per Line'!$AM$2:$AM$4001,0))</f>
        <v/>
      </c>
      <c r="W880" s="7">
        <f>IF($AB880="","",V880*U880)</f>
        <v/>
      </c>
      <c r="X880" s="7">
        <f>IF($AB880="","",W880+T880)</f>
        <v/>
      </c>
      <c r="Y880" s="7">
        <f>IF($AB880="","",Z880-X880)</f>
        <v/>
      </c>
      <c r="Z880" s="7">
        <f>IF($AB880="","",S880+V880+Q880)</f>
        <v/>
      </c>
      <c r="AA880" s="7">
        <f>IF($AB880="","",Z880-X880-M880)</f>
        <v/>
      </c>
      <c r="AB880" s="13">
        <f>IF(ROWS($AB$2:$AB880)&lt;=MAX('Per Line'!$AK$2:$AK$4001),MATCH(ROWS($AB$2:$AB880),'Per Line'!$AK$2:$AK$4001,0),"")</f>
        <v/>
      </c>
      <c r="AC880" s="14">
        <f>IF($AB880="","",M880-L880*Z880/100)</f>
        <v/>
      </c>
    </row>
    <row r="881">
      <c r="A881" s="12" t="n"/>
      <c r="B881">
        <f>IF($AB881="","",INDEX('Per Line'!$C$2:$C$4001,$AB881)&amp;"")</f>
        <v/>
      </c>
      <c r="C881">
        <f>IF($AB881="","",INDEX('Per Line'!$D$2:$D$4001,$AB881)&amp;"")</f>
        <v/>
      </c>
      <c r="D881">
        <f>IF($AB881="","",INDEX('Per Line'!$B$2:$B$4001,$AB881)&amp;"")</f>
        <v/>
      </c>
      <c r="E881">
        <f>IF($AB881="","",INDEX('Per Line'!$A$2:$A$4001,$AB881))</f>
        <v/>
      </c>
      <c r="F881" s="11">
        <f>IF($AB881="","",INDEX('Per Line'!$E$2:$E$4001,$AB881))</f>
        <v/>
      </c>
      <c r="G881">
        <f>IF($AB881="","",INDEX('Per Line'!$F$2:$F$4001,$AB881)&amp;"")</f>
        <v/>
      </c>
      <c r="H881">
        <f>IF($AB881="","",INDEX('Per Line'!$H$2:$H$4001,$AB881)&amp;"")</f>
        <v/>
      </c>
      <c r="I881">
        <f>IF($AB881="","",INDEX('Per Line'!$I$2:$I$4001,$AB881)&amp;"")</f>
        <v/>
      </c>
      <c r="J881">
        <f>IF($AB881="","",INDEX('Per Line'!$J$2:$J$4001,$AB881)&amp;"")</f>
        <v/>
      </c>
      <c r="K881">
        <f>IF($AB881="","",INDEX('Per Line'!$K$2:$K$4001,$AB881)&amp;"")</f>
        <v/>
      </c>
      <c r="L881">
        <f>IF($AB881="","",INDEX('Per Line'!$L$2:$L$4001,$AB881))</f>
        <v/>
      </c>
      <c r="M881" s="7">
        <f>IF($AB881="","",IF(AND(ISNUMBER(O881),O881&gt;0,Z881&gt;O881),L881*O881/100+(Z881-O881),L881*Z881/100))</f>
        <v/>
      </c>
      <c r="N881">
        <f>IF($AB881="","",INDEX('Per Line'!$V$2:$V$4001,$AB881)&amp;"")</f>
        <v/>
      </c>
      <c r="O881">
        <f>IF($AB881="","",INDEX('Per Line'!$Z$2:$Z$4001,$AB881))</f>
        <v/>
      </c>
      <c r="P881">
        <f>IF($AB881="","",IF(AND(ISNUMBER(O881),O881&gt;0),Z881&gt;O881,FALSE))</f>
        <v/>
      </c>
      <c r="Q881" s="7">
        <f>IF($AB881="","",SUMIFS('Per Line'!$U$2:$U$4001,'Per Line'!$C$2:$C$4001,$B881,'Per Line'!$AM$2:$AM$4001,1))</f>
        <v/>
      </c>
      <c r="R881">
        <f>IF($AB881="","",Settings!$C$7)</f>
        <v/>
      </c>
      <c r="S881" s="7">
        <f>IF($AB881="","",SUMIFS('Per Line'!$U$2:$U$4001,'Per Line'!$C$2:$C$4001,$B881,'Per Line'!$AL$2:$AL$4001,0,'Per Line'!$AM$2:$AM$4001,0))</f>
        <v/>
      </c>
      <c r="T881" s="7">
        <f>IF($AB881="","",S881*R881)</f>
        <v/>
      </c>
      <c r="U881">
        <f>IF($AB881="","",Settings!$C$6)</f>
        <v/>
      </c>
      <c r="V881" s="7">
        <f>IF($AB881="","",SUMIFS('Per Line'!$U$2:$U$4001,'Per Line'!$C$2:$C$4001,$B881,'Per Line'!$AL$2:$AL$4001,1,'Per Line'!$AM$2:$AM$4001,0))</f>
        <v/>
      </c>
      <c r="W881" s="7">
        <f>IF($AB881="","",V881*U881)</f>
        <v/>
      </c>
      <c r="X881" s="7">
        <f>IF($AB881="","",W881+T881)</f>
        <v/>
      </c>
      <c r="Y881" s="7">
        <f>IF($AB881="","",Z881-X881)</f>
        <v/>
      </c>
      <c r="Z881" s="7">
        <f>IF($AB881="","",S881+V881+Q881)</f>
        <v/>
      </c>
      <c r="AA881" s="7">
        <f>IF($AB881="","",Z881-X881-M881)</f>
        <v/>
      </c>
      <c r="AB881" s="13">
        <f>IF(ROWS($AB$2:$AB881)&lt;=MAX('Per Line'!$AK$2:$AK$4001),MATCH(ROWS($AB$2:$AB881),'Per Line'!$AK$2:$AK$4001,0),"")</f>
        <v/>
      </c>
      <c r="AC881" s="14">
        <f>IF($AB881="","",M881-L881*Z881/100)</f>
        <v/>
      </c>
    </row>
    <row r="882">
      <c r="A882" s="12" t="n"/>
      <c r="B882">
        <f>IF($AB882="","",INDEX('Per Line'!$C$2:$C$4001,$AB882)&amp;"")</f>
        <v/>
      </c>
      <c r="C882">
        <f>IF($AB882="","",INDEX('Per Line'!$D$2:$D$4001,$AB882)&amp;"")</f>
        <v/>
      </c>
      <c r="D882">
        <f>IF($AB882="","",INDEX('Per Line'!$B$2:$B$4001,$AB882)&amp;"")</f>
        <v/>
      </c>
      <c r="E882">
        <f>IF($AB882="","",INDEX('Per Line'!$A$2:$A$4001,$AB882))</f>
        <v/>
      </c>
      <c r="F882" s="11">
        <f>IF($AB882="","",INDEX('Per Line'!$E$2:$E$4001,$AB882))</f>
        <v/>
      </c>
      <c r="G882">
        <f>IF($AB882="","",INDEX('Per Line'!$F$2:$F$4001,$AB882)&amp;"")</f>
        <v/>
      </c>
      <c r="H882">
        <f>IF($AB882="","",INDEX('Per Line'!$H$2:$H$4001,$AB882)&amp;"")</f>
        <v/>
      </c>
      <c r="I882">
        <f>IF($AB882="","",INDEX('Per Line'!$I$2:$I$4001,$AB882)&amp;"")</f>
        <v/>
      </c>
      <c r="J882">
        <f>IF($AB882="","",INDEX('Per Line'!$J$2:$J$4001,$AB882)&amp;"")</f>
        <v/>
      </c>
      <c r="K882">
        <f>IF($AB882="","",INDEX('Per Line'!$K$2:$K$4001,$AB882)&amp;"")</f>
        <v/>
      </c>
      <c r="L882">
        <f>IF($AB882="","",INDEX('Per Line'!$L$2:$L$4001,$AB882))</f>
        <v/>
      </c>
      <c r="M882" s="7">
        <f>IF($AB882="","",IF(AND(ISNUMBER(O882),O882&gt;0,Z882&gt;O882),L882*O882/100+(Z882-O882),L882*Z882/100))</f>
        <v/>
      </c>
      <c r="N882">
        <f>IF($AB882="","",INDEX('Per Line'!$V$2:$V$4001,$AB882)&amp;"")</f>
        <v/>
      </c>
      <c r="O882">
        <f>IF($AB882="","",INDEX('Per Line'!$Z$2:$Z$4001,$AB882))</f>
        <v/>
      </c>
      <c r="P882">
        <f>IF($AB882="","",IF(AND(ISNUMBER(O882),O882&gt;0),Z882&gt;O882,FALSE))</f>
        <v/>
      </c>
      <c r="Q882" s="7">
        <f>IF($AB882="","",SUMIFS('Per Line'!$U$2:$U$4001,'Per Line'!$C$2:$C$4001,$B882,'Per Line'!$AM$2:$AM$4001,1))</f>
        <v/>
      </c>
      <c r="R882">
        <f>IF($AB882="","",Settings!$C$7)</f>
        <v/>
      </c>
      <c r="S882" s="7">
        <f>IF($AB882="","",SUMIFS('Per Line'!$U$2:$U$4001,'Per Line'!$C$2:$C$4001,$B882,'Per Line'!$AL$2:$AL$4001,0,'Per Line'!$AM$2:$AM$4001,0))</f>
        <v/>
      </c>
      <c r="T882" s="7">
        <f>IF($AB882="","",S882*R882)</f>
        <v/>
      </c>
      <c r="U882">
        <f>IF($AB882="","",Settings!$C$6)</f>
        <v/>
      </c>
      <c r="V882" s="7">
        <f>IF($AB882="","",SUMIFS('Per Line'!$U$2:$U$4001,'Per Line'!$C$2:$C$4001,$B882,'Per Line'!$AL$2:$AL$4001,1,'Per Line'!$AM$2:$AM$4001,0))</f>
        <v/>
      </c>
      <c r="W882" s="7">
        <f>IF($AB882="","",V882*U882)</f>
        <v/>
      </c>
      <c r="X882" s="7">
        <f>IF($AB882="","",W882+T882)</f>
        <v/>
      </c>
      <c r="Y882" s="7">
        <f>IF($AB882="","",Z882-X882)</f>
        <v/>
      </c>
      <c r="Z882" s="7">
        <f>IF($AB882="","",S882+V882+Q882)</f>
        <v/>
      </c>
      <c r="AA882" s="7">
        <f>IF($AB882="","",Z882-X882-M882)</f>
        <v/>
      </c>
      <c r="AB882" s="13">
        <f>IF(ROWS($AB$2:$AB882)&lt;=MAX('Per Line'!$AK$2:$AK$4001),MATCH(ROWS($AB$2:$AB882),'Per Line'!$AK$2:$AK$4001,0),"")</f>
        <v/>
      </c>
      <c r="AC882" s="14">
        <f>IF($AB882="","",M882-L882*Z882/100)</f>
        <v/>
      </c>
    </row>
    <row r="883">
      <c r="A883" s="12" t="n"/>
      <c r="B883">
        <f>IF($AB883="","",INDEX('Per Line'!$C$2:$C$4001,$AB883)&amp;"")</f>
        <v/>
      </c>
      <c r="C883">
        <f>IF($AB883="","",INDEX('Per Line'!$D$2:$D$4001,$AB883)&amp;"")</f>
        <v/>
      </c>
      <c r="D883">
        <f>IF($AB883="","",INDEX('Per Line'!$B$2:$B$4001,$AB883)&amp;"")</f>
        <v/>
      </c>
      <c r="E883">
        <f>IF($AB883="","",INDEX('Per Line'!$A$2:$A$4001,$AB883))</f>
        <v/>
      </c>
      <c r="F883" s="11">
        <f>IF($AB883="","",INDEX('Per Line'!$E$2:$E$4001,$AB883))</f>
        <v/>
      </c>
      <c r="G883">
        <f>IF($AB883="","",INDEX('Per Line'!$F$2:$F$4001,$AB883)&amp;"")</f>
        <v/>
      </c>
      <c r="H883">
        <f>IF($AB883="","",INDEX('Per Line'!$H$2:$H$4001,$AB883)&amp;"")</f>
        <v/>
      </c>
      <c r="I883">
        <f>IF($AB883="","",INDEX('Per Line'!$I$2:$I$4001,$AB883)&amp;"")</f>
        <v/>
      </c>
      <c r="J883">
        <f>IF($AB883="","",INDEX('Per Line'!$J$2:$J$4001,$AB883)&amp;"")</f>
        <v/>
      </c>
      <c r="K883">
        <f>IF($AB883="","",INDEX('Per Line'!$K$2:$K$4001,$AB883)&amp;"")</f>
        <v/>
      </c>
      <c r="L883">
        <f>IF($AB883="","",INDEX('Per Line'!$L$2:$L$4001,$AB883))</f>
        <v/>
      </c>
      <c r="M883" s="7">
        <f>IF($AB883="","",IF(AND(ISNUMBER(O883),O883&gt;0,Z883&gt;O883),L883*O883/100+(Z883-O883),L883*Z883/100))</f>
        <v/>
      </c>
      <c r="N883">
        <f>IF($AB883="","",INDEX('Per Line'!$V$2:$V$4001,$AB883)&amp;"")</f>
        <v/>
      </c>
      <c r="O883">
        <f>IF($AB883="","",INDEX('Per Line'!$Z$2:$Z$4001,$AB883))</f>
        <v/>
      </c>
      <c r="P883">
        <f>IF($AB883="","",IF(AND(ISNUMBER(O883),O883&gt;0),Z883&gt;O883,FALSE))</f>
        <v/>
      </c>
      <c r="Q883" s="7">
        <f>IF($AB883="","",SUMIFS('Per Line'!$U$2:$U$4001,'Per Line'!$C$2:$C$4001,$B883,'Per Line'!$AM$2:$AM$4001,1))</f>
        <v/>
      </c>
      <c r="R883">
        <f>IF($AB883="","",Settings!$C$7)</f>
        <v/>
      </c>
      <c r="S883" s="7">
        <f>IF($AB883="","",SUMIFS('Per Line'!$U$2:$U$4001,'Per Line'!$C$2:$C$4001,$B883,'Per Line'!$AL$2:$AL$4001,0,'Per Line'!$AM$2:$AM$4001,0))</f>
        <v/>
      </c>
      <c r="T883" s="7">
        <f>IF($AB883="","",S883*R883)</f>
        <v/>
      </c>
      <c r="U883">
        <f>IF($AB883="","",Settings!$C$6)</f>
        <v/>
      </c>
      <c r="V883" s="7">
        <f>IF($AB883="","",SUMIFS('Per Line'!$U$2:$U$4001,'Per Line'!$C$2:$C$4001,$B883,'Per Line'!$AL$2:$AL$4001,1,'Per Line'!$AM$2:$AM$4001,0))</f>
        <v/>
      </c>
      <c r="W883" s="7">
        <f>IF($AB883="","",V883*U883)</f>
        <v/>
      </c>
      <c r="X883" s="7">
        <f>IF($AB883="","",W883+T883)</f>
        <v/>
      </c>
      <c r="Y883" s="7">
        <f>IF($AB883="","",Z883-X883)</f>
        <v/>
      </c>
      <c r="Z883" s="7">
        <f>IF($AB883="","",S883+V883+Q883)</f>
        <v/>
      </c>
      <c r="AA883" s="7">
        <f>IF($AB883="","",Z883-X883-M883)</f>
        <v/>
      </c>
      <c r="AB883" s="13">
        <f>IF(ROWS($AB$2:$AB883)&lt;=MAX('Per Line'!$AK$2:$AK$4001),MATCH(ROWS($AB$2:$AB883),'Per Line'!$AK$2:$AK$4001,0),"")</f>
        <v/>
      </c>
      <c r="AC883" s="14">
        <f>IF($AB883="","",M883-L883*Z883/100)</f>
        <v/>
      </c>
    </row>
    <row r="884">
      <c r="A884" s="12" t="n"/>
      <c r="B884">
        <f>IF($AB884="","",INDEX('Per Line'!$C$2:$C$4001,$AB884)&amp;"")</f>
        <v/>
      </c>
      <c r="C884">
        <f>IF($AB884="","",INDEX('Per Line'!$D$2:$D$4001,$AB884)&amp;"")</f>
        <v/>
      </c>
      <c r="D884">
        <f>IF($AB884="","",INDEX('Per Line'!$B$2:$B$4001,$AB884)&amp;"")</f>
        <v/>
      </c>
      <c r="E884">
        <f>IF($AB884="","",INDEX('Per Line'!$A$2:$A$4001,$AB884))</f>
        <v/>
      </c>
      <c r="F884" s="11">
        <f>IF($AB884="","",INDEX('Per Line'!$E$2:$E$4001,$AB884))</f>
        <v/>
      </c>
      <c r="G884">
        <f>IF($AB884="","",INDEX('Per Line'!$F$2:$F$4001,$AB884)&amp;"")</f>
        <v/>
      </c>
      <c r="H884">
        <f>IF($AB884="","",INDEX('Per Line'!$H$2:$H$4001,$AB884)&amp;"")</f>
        <v/>
      </c>
      <c r="I884">
        <f>IF($AB884="","",INDEX('Per Line'!$I$2:$I$4001,$AB884)&amp;"")</f>
        <v/>
      </c>
      <c r="J884">
        <f>IF($AB884="","",INDEX('Per Line'!$J$2:$J$4001,$AB884)&amp;"")</f>
        <v/>
      </c>
      <c r="K884">
        <f>IF($AB884="","",INDEX('Per Line'!$K$2:$K$4001,$AB884)&amp;"")</f>
        <v/>
      </c>
      <c r="L884">
        <f>IF($AB884="","",INDEX('Per Line'!$L$2:$L$4001,$AB884))</f>
        <v/>
      </c>
      <c r="M884" s="7">
        <f>IF($AB884="","",IF(AND(ISNUMBER(O884),O884&gt;0,Z884&gt;O884),L884*O884/100+(Z884-O884),L884*Z884/100))</f>
        <v/>
      </c>
      <c r="N884">
        <f>IF($AB884="","",INDEX('Per Line'!$V$2:$V$4001,$AB884)&amp;"")</f>
        <v/>
      </c>
      <c r="O884">
        <f>IF($AB884="","",INDEX('Per Line'!$Z$2:$Z$4001,$AB884))</f>
        <v/>
      </c>
      <c r="P884">
        <f>IF($AB884="","",IF(AND(ISNUMBER(O884),O884&gt;0),Z884&gt;O884,FALSE))</f>
        <v/>
      </c>
      <c r="Q884" s="7">
        <f>IF($AB884="","",SUMIFS('Per Line'!$U$2:$U$4001,'Per Line'!$C$2:$C$4001,$B884,'Per Line'!$AM$2:$AM$4001,1))</f>
        <v/>
      </c>
      <c r="R884">
        <f>IF($AB884="","",Settings!$C$7)</f>
        <v/>
      </c>
      <c r="S884" s="7">
        <f>IF($AB884="","",SUMIFS('Per Line'!$U$2:$U$4001,'Per Line'!$C$2:$C$4001,$B884,'Per Line'!$AL$2:$AL$4001,0,'Per Line'!$AM$2:$AM$4001,0))</f>
        <v/>
      </c>
      <c r="T884" s="7">
        <f>IF($AB884="","",S884*R884)</f>
        <v/>
      </c>
      <c r="U884">
        <f>IF($AB884="","",Settings!$C$6)</f>
        <v/>
      </c>
      <c r="V884" s="7">
        <f>IF($AB884="","",SUMIFS('Per Line'!$U$2:$U$4001,'Per Line'!$C$2:$C$4001,$B884,'Per Line'!$AL$2:$AL$4001,1,'Per Line'!$AM$2:$AM$4001,0))</f>
        <v/>
      </c>
      <c r="W884" s="7">
        <f>IF($AB884="","",V884*U884)</f>
        <v/>
      </c>
      <c r="X884" s="7">
        <f>IF($AB884="","",W884+T884)</f>
        <v/>
      </c>
      <c r="Y884" s="7">
        <f>IF($AB884="","",Z884-X884)</f>
        <v/>
      </c>
      <c r="Z884" s="7">
        <f>IF($AB884="","",S884+V884+Q884)</f>
        <v/>
      </c>
      <c r="AA884" s="7">
        <f>IF($AB884="","",Z884-X884-M884)</f>
        <v/>
      </c>
      <c r="AB884" s="13">
        <f>IF(ROWS($AB$2:$AB884)&lt;=MAX('Per Line'!$AK$2:$AK$4001),MATCH(ROWS($AB$2:$AB884),'Per Line'!$AK$2:$AK$4001,0),"")</f>
        <v/>
      </c>
      <c r="AC884" s="14">
        <f>IF($AB884="","",M884-L884*Z884/100)</f>
        <v/>
      </c>
    </row>
    <row r="885">
      <c r="A885" s="12" t="n"/>
      <c r="B885">
        <f>IF($AB885="","",INDEX('Per Line'!$C$2:$C$4001,$AB885)&amp;"")</f>
        <v/>
      </c>
      <c r="C885">
        <f>IF($AB885="","",INDEX('Per Line'!$D$2:$D$4001,$AB885)&amp;"")</f>
        <v/>
      </c>
      <c r="D885">
        <f>IF($AB885="","",INDEX('Per Line'!$B$2:$B$4001,$AB885)&amp;"")</f>
        <v/>
      </c>
      <c r="E885">
        <f>IF($AB885="","",INDEX('Per Line'!$A$2:$A$4001,$AB885))</f>
        <v/>
      </c>
      <c r="F885" s="11">
        <f>IF($AB885="","",INDEX('Per Line'!$E$2:$E$4001,$AB885))</f>
        <v/>
      </c>
      <c r="G885">
        <f>IF($AB885="","",INDEX('Per Line'!$F$2:$F$4001,$AB885)&amp;"")</f>
        <v/>
      </c>
      <c r="H885">
        <f>IF($AB885="","",INDEX('Per Line'!$H$2:$H$4001,$AB885)&amp;"")</f>
        <v/>
      </c>
      <c r="I885">
        <f>IF($AB885="","",INDEX('Per Line'!$I$2:$I$4001,$AB885)&amp;"")</f>
        <v/>
      </c>
      <c r="J885">
        <f>IF($AB885="","",INDEX('Per Line'!$J$2:$J$4001,$AB885)&amp;"")</f>
        <v/>
      </c>
      <c r="K885">
        <f>IF($AB885="","",INDEX('Per Line'!$K$2:$K$4001,$AB885)&amp;"")</f>
        <v/>
      </c>
      <c r="L885">
        <f>IF($AB885="","",INDEX('Per Line'!$L$2:$L$4001,$AB885))</f>
        <v/>
      </c>
      <c r="M885" s="7">
        <f>IF($AB885="","",IF(AND(ISNUMBER(O885),O885&gt;0,Z885&gt;O885),L885*O885/100+(Z885-O885),L885*Z885/100))</f>
        <v/>
      </c>
      <c r="N885">
        <f>IF($AB885="","",INDEX('Per Line'!$V$2:$V$4001,$AB885)&amp;"")</f>
        <v/>
      </c>
      <c r="O885">
        <f>IF($AB885="","",INDEX('Per Line'!$Z$2:$Z$4001,$AB885))</f>
        <v/>
      </c>
      <c r="P885">
        <f>IF($AB885="","",IF(AND(ISNUMBER(O885),O885&gt;0),Z885&gt;O885,FALSE))</f>
        <v/>
      </c>
      <c r="Q885" s="7">
        <f>IF($AB885="","",SUMIFS('Per Line'!$U$2:$U$4001,'Per Line'!$C$2:$C$4001,$B885,'Per Line'!$AM$2:$AM$4001,1))</f>
        <v/>
      </c>
      <c r="R885">
        <f>IF($AB885="","",Settings!$C$7)</f>
        <v/>
      </c>
      <c r="S885" s="7">
        <f>IF($AB885="","",SUMIFS('Per Line'!$U$2:$U$4001,'Per Line'!$C$2:$C$4001,$B885,'Per Line'!$AL$2:$AL$4001,0,'Per Line'!$AM$2:$AM$4001,0))</f>
        <v/>
      </c>
      <c r="T885" s="7">
        <f>IF($AB885="","",S885*R885)</f>
        <v/>
      </c>
      <c r="U885">
        <f>IF($AB885="","",Settings!$C$6)</f>
        <v/>
      </c>
      <c r="V885" s="7">
        <f>IF($AB885="","",SUMIFS('Per Line'!$U$2:$U$4001,'Per Line'!$C$2:$C$4001,$B885,'Per Line'!$AL$2:$AL$4001,1,'Per Line'!$AM$2:$AM$4001,0))</f>
        <v/>
      </c>
      <c r="W885" s="7">
        <f>IF($AB885="","",V885*U885)</f>
        <v/>
      </c>
      <c r="X885" s="7">
        <f>IF($AB885="","",W885+T885)</f>
        <v/>
      </c>
      <c r="Y885" s="7">
        <f>IF($AB885="","",Z885-X885)</f>
        <v/>
      </c>
      <c r="Z885" s="7">
        <f>IF($AB885="","",S885+V885+Q885)</f>
        <v/>
      </c>
      <c r="AA885" s="7">
        <f>IF($AB885="","",Z885-X885-M885)</f>
        <v/>
      </c>
      <c r="AB885" s="13">
        <f>IF(ROWS($AB$2:$AB885)&lt;=MAX('Per Line'!$AK$2:$AK$4001),MATCH(ROWS($AB$2:$AB885),'Per Line'!$AK$2:$AK$4001,0),"")</f>
        <v/>
      </c>
      <c r="AC885" s="14">
        <f>IF($AB885="","",M885-L885*Z885/100)</f>
        <v/>
      </c>
    </row>
    <row r="886">
      <c r="A886" s="12" t="n"/>
      <c r="B886">
        <f>IF($AB886="","",INDEX('Per Line'!$C$2:$C$4001,$AB886)&amp;"")</f>
        <v/>
      </c>
      <c r="C886">
        <f>IF($AB886="","",INDEX('Per Line'!$D$2:$D$4001,$AB886)&amp;"")</f>
        <v/>
      </c>
      <c r="D886">
        <f>IF($AB886="","",INDEX('Per Line'!$B$2:$B$4001,$AB886)&amp;"")</f>
        <v/>
      </c>
      <c r="E886">
        <f>IF($AB886="","",INDEX('Per Line'!$A$2:$A$4001,$AB886))</f>
        <v/>
      </c>
      <c r="F886" s="11">
        <f>IF($AB886="","",INDEX('Per Line'!$E$2:$E$4001,$AB886))</f>
        <v/>
      </c>
      <c r="G886">
        <f>IF($AB886="","",INDEX('Per Line'!$F$2:$F$4001,$AB886)&amp;"")</f>
        <v/>
      </c>
      <c r="H886">
        <f>IF($AB886="","",INDEX('Per Line'!$H$2:$H$4001,$AB886)&amp;"")</f>
        <v/>
      </c>
      <c r="I886">
        <f>IF($AB886="","",INDEX('Per Line'!$I$2:$I$4001,$AB886)&amp;"")</f>
        <v/>
      </c>
      <c r="J886">
        <f>IF($AB886="","",INDEX('Per Line'!$J$2:$J$4001,$AB886)&amp;"")</f>
        <v/>
      </c>
      <c r="K886">
        <f>IF($AB886="","",INDEX('Per Line'!$K$2:$K$4001,$AB886)&amp;"")</f>
        <v/>
      </c>
      <c r="L886">
        <f>IF($AB886="","",INDEX('Per Line'!$L$2:$L$4001,$AB886))</f>
        <v/>
      </c>
      <c r="M886" s="7">
        <f>IF($AB886="","",IF(AND(ISNUMBER(O886),O886&gt;0,Z886&gt;O886),L886*O886/100+(Z886-O886),L886*Z886/100))</f>
        <v/>
      </c>
      <c r="N886">
        <f>IF($AB886="","",INDEX('Per Line'!$V$2:$V$4001,$AB886)&amp;"")</f>
        <v/>
      </c>
      <c r="O886">
        <f>IF($AB886="","",INDEX('Per Line'!$Z$2:$Z$4001,$AB886))</f>
        <v/>
      </c>
      <c r="P886">
        <f>IF($AB886="","",IF(AND(ISNUMBER(O886),O886&gt;0),Z886&gt;O886,FALSE))</f>
        <v/>
      </c>
      <c r="Q886" s="7">
        <f>IF($AB886="","",SUMIFS('Per Line'!$U$2:$U$4001,'Per Line'!$C$2:$C$4001,$B886,'Per Line'!$AM$2:$AM$4001,1))</f>
        <v/>
      </c>
      <c r="R886">
        <f>IF($AB886="","",Settings!$C$7)</f>
        <v/>
      </c>
      <c r="S886" s="7">
        <f>IF($AB886="","",SUMIFS('Per Line'!$U$2:$U$4001,'Per Line'!$C$2:$C$4001,$B886,'Per Line'!$AL$2:$AL$4001,0,'Per Line'!$AM$2:$AM$4001,0))</f>
        <v/>
      </c>
      <c r="T886" s="7">
        <f>IF($AB886="","",S886*R886)</f>
        <v/>
      </c>
      <c r="U886">
        <f>IF($AB886="","",Settings!$C$6)</f>
        <v/>
      </c>
      <c r="V886" s="7">
        <f>IF($AB886="","",SUMIFS('Per Line'!$U$2:$U$4001,'Per Line'!$C$2:$C$4001,$B886,'Per Line'!$AL$2:$AL$4001,1,'Per Line'!$AM$2:$AM$4001,0))</f>
        <v/>
      </c>
      <c r="W886" s="7">
        <f>IF($AB886="","",V886*U886)</f>
        <v/>
      </c>
      <c r="X886" s="7">
        <f>IF($AB886="","",W886+T886)</f>
        <v/>
      </c>
      <c r="Y886" s="7">
        <f>IF($AB886="","",Z886-X886)</f>
        <v/>
      </c>
      <c r="Z886" s="7">
        <f>IF($AB886="","",S886+V886+Q886)</f>
        <v/>
      </c>
      <c r="AA886" s="7">
        <f>IF($AB886="","",Z886-X886-M886)</f>
        <v/>
      </c>
      <c r="AB886" s="13">
        <f>IF(ROWS($AB$2:$AB886)&lt;=MAX('Per Line'!$AK$2:$AK$4001),MATCH(ROWS($AB$2:$AB886),'Per Line'!$AK$2:$AK$4001,0),"")</f>
        <v/>
      </c>
      <c r="AC886" s="14">
        <f>IF($AB886="","",M886-L886*Z886/100)</f>
        <v/>
      </c>
    </row>
    <row r="887">
      <c r="A887" s="12" t="n"/>
      <c r="B887">
        <f>IF($AB887="","",INDEX('Per Line'!$C$2:$C$4001,$AB887)&amp;"")</f>
        <v/>
      </c>
      <c r="C887">
        <f>IF($AB887="","",INDEX('Per Line'!$D$2:$D$4001,$AB887)&amp;"")</f>
        <v/>
      </c>
      <c r="D887">
        <f>IF($AB887="","",INDEX('Per Line'!$B$2:$B$4001,$AB887)&amp;"")</f>
        <v/>
      </c>
      <c r="E887">
        <f>IF($AB887="","",INDEX('Per Line'!$A$2:$A$4001,$AB887))</f>
        <v/>
      </c>
      <c r="F887" s="11">
        <f>IF($AB887="","",INDEX('Per Line'!$E$2:$E$4001,$AB887))</f>
        <v/>
      </c>
      <c r="G887">
        <f>IF($AB887="","",INDEX('Per Line'!$F$2:$F$4001,$AB887)&amp;"")</f>
        <v/>
      </c>
      <c r="H887">
        <f>IF($AB887="","",INDEX('Per Line'!$H$2:$H$4001,$AB887)&amp;"")</f>
        <v/>
      </c>
      <c r="I887">
        <f>IF($AB887="","",INDEX('Per Line'!$I$2:$I$4001,$AB887)&amp;"")</f>
        <v/>
      </c>
      <c r="J887">
        <f>IF($AB887="","",INDEX('Per Line'!$J$2:$J$4001,$AB887)&amp;"")</f>
        <v/>
      </c>
      <c r="K887">
        <f>IF($AB887="","",INDEX('Per Line'!$K$2:$K$4001,$AB887)&amp;"")</f>
        <v/>
      </c>
      <c r="L887">
        <f>IF($AB887="","",INDEX('Per Line'!$L$2:$L$4001,$AB887))</f>
        <v/>
      </c>
      <c r="M887" s="7">
        <f>IF($AB887="","",IF(AND(ISNUMBER(O887),O887&gt;0,Z887&gt;O887),L887*O887/100+(Z887-O887),L887*Z887/100))</f>
        <v/>
      </c>
      <c r="N887">
        <f>IF($AB887="","",INDEX('Per Line'!$V$2:$V$4001,$AB887)&amp;"")</f>
        <v/>
      </c>
      <c r="O887">
        <f>IF($AB887="","",INDEX('Per Line'!$Z$2:$Z$4001,$AB887))</f>
        <v/>
      </c>
      <c r="P887">
        <f>IF($AB887="","",IF(AND(ISNUMBER(O887),O887&gt;0),Z887&gt;O887,FALSE))</f>
        <v/>
      </c>
      <c r="Q887" s="7">
        <f>IF($AB887="","",SUMIFS('Per Line'!$U$2:$U$4001,'Per Line'!$C$2:$C$4001,$B887,'Per Line'!$AM$2:$AM$4001,1))</f>
        <v/>
      </c>
      <c r="R887">
        <f>IF($AB887="","",Settings!$C$7)</f>
        <v/>
      </c>
      <c r="S887" s="7">
        <f>IF($AB887="","",SUMIFS('Per Line'!$U$2:$U$4001,'Per Line'!$C$2:$C$4001,$B887,'Per Line'!$AL$2:$AL$4001,0,'Per Line'!$AM$2:$AM$4001,0))</f>
        <v/>
      </c>
      <c r="T887" s="7">
        <f>IF($AB887="","",S887*R887)</f>
        <v/>
      </c>
      <c r="U887">
        <f>IF($AB887="","",Settings!$C$6)</f>
        <v/>
      </c>
      <c r="V887" s="7">
        <f>IF($AB887="","",SUMIFS('Per Line'!$U$2:$U$4001,'Per Line'!$C$2:$C$4001,$B887,'Per Line'!$AL$2:$AL$4001,1,'Per Line'!$AM$2:$AM$4001,0))</f>
        <v/>
      </c>
      <c r="W887" s="7">
        <f>IF($AB887="","",V887*U887)</f>
        <v/>
      </c>
      <c r="X887" s="7">
        <f>IF($AB887="","",W887+T887)</f>
        <v/>
      </c>
      <c r="Y887" s="7">
        <f>IF($AB887="","",Z887-X887)</f>
        <v/>
      </c>
      <c r="Z887" s="7">
        <f>IF($AB887="","",S887+V887+Q887)</f>
        <v/>
      </c>
      <c r="AA887" s="7">
        <f>IF($AB887="","",Z887-X887-M887)</f>
        <v/>
      </c>
      <c r="AB887" s="13">
        <f>IF(ROWS($AB$2:$AB887)&lt;=MAX('Per Line'!$AK$2:$AK$4001),MATCH(ROWS($AB$2:$AB887),'Per Line'!$AK$2:$AK$4001,0),"")</f>
        <v/>
      </c>
      <c r="AC887" s="14">
        <f>IF($AB887="","",M887-L887*Z887/100)</f>
        <v/>
      </c>
    </row>
    <row r="888">
      <c r="A888" s="12" t="n"/>
      <c r="B888">
        <f>IF($AB888="","",INDEX('Per Line'!$C$2:$C$4001,$AB888)&amp;"")</f>
        <v/>
      </c>
      <c r="C888">
        <f>IF($AB888="","",INDEX('Per Line'!$D$2:$D$4001,$AB888)&amp;"")</f>
        <v/>
      </c>
      <c r="D888">
        <f>IF($AB888="","",INDEX('Per Line'!$B$2:$B$4001,$AB888)&amp;"")</f>
        <v/>
      </c>
      <c r="E888">
        <f>IF($AB888="","",INDEX('Per Line'!$A$2:$A$4001,$AB888))</f>
        <v/>
      </c>
      <c r="F888" s="11">
        <f>IF($AB888="","",INDEX('Per Line'!$E$2:$E$4001,$AB888))</f>
        <v/>
      </c>
      <c r="G888">
        <f>IF($AB888="","",INDEX('Per Line'!$F$2:$F$4001,$AB888)&amp;"")</f>
        <v/>
      </c>
      <c r="H888">
        <f>IF($AB888="","",INDEX('Per Line'!$H$2:$H$4001,$AB888)&amp;"")</f>
        <v/>
      </c>
      <c r="I888">
        <f>IF($AB888="","",INDEX('Per Line'!$I$2:$I$4001,$AB888)&amp;"")</f>
        <v/>
      </c>
      <c r="J888">
        <f>IF($AB888="","",INDEX('Per Line'!$J$2:$J$4001,$AB888)&amp;"")</f>
        <v/>
      </c>
      <c r="K888">
        <f>IF($AB888="","",INDEX('Per Line'!$K$2:$K$4001,$AB888)&amp;"")</f>
        <v/>
      </c>
      <c r="L888">
        <f>IF($AB888="","",INDEX('Per Line'!$L$2:$L$4001,$AB888))</f>
        <v/>
      </c>
      <c r="M888" s="7">
        <f>IF($AB888="","",IF(AND(ISNUMBER(O888),O888&gt;0,Z888&gt;O888),L888*O888/100+(Z888-O888),L888*Z888/100))</f>
        <v/>
      </c>
      <c r="N888">
        <f>IF($AB888="","",INDEX('Per Line'!$V$2:$V$4001,$AB888)&amp;"")</f>
        <v/>
      </c>
      <c r="O888">
        <f>IF($AB888="","",INDEX('Per Line'!$Z$2:$Z$4001,$AB888))</f>
        <v/>
      </c>
      <c r="P888">
        <f>IF($AB888="","",IF(AND(ISNUMBER(O888),O888&gt;0),Z888&gt;O888,FALSE))</f>
        <v/>
      </c>
      <c r="Q888" s="7">
        <f>IF($AB888="","",SUMIFS('Per Line'!$U$2:$U$4001,'Per Line'!$C$2:$C$4001,$B888,'Per Line'!$AM$2:$AM$4001,1))</f>
        <v/>
      </c>
      <c r="R888">
        <f>IF($AB888="","",Settings!$C$7)</f>
        <v/>
      </c>
      <c r="S888" s="7">
        <f>IF($AB888="","",SUMIFS('Per Line'!$U$2:$U$4001,'Per Line'!$C$2:$C$4001,$B888,'Per Line'!$AL$2:$AL$4001,0,'Per Line'!$AM$2:$AM$4001,0))</f>
        <v/>
      </c>
      <c r="T888" s="7">
        <f>IF($AB888="","",S888*R888)</f>
        <v/>
      </c>
      <c r="U888">
        <f>IF($AB888="","",Settings!$C$6)</f>
        <v/>
      </c>
      <c r="V888" s="7">
        <f>IF($AB888="","",SUMIFS('Per Line'!$U$2:$U$4001,'Per Line'!$C$2:$C$4001,$B888,'Per Line'!$AL$2:$AL$4001,1,'Per Line'!$AM$2:$AM$4001,0))</f>
        <v/>
      </c>
      <c r="W888" s="7">
        <f>IF($AB888="","",V888*U888)</f>
        <v/>
      </c>
      <c r="X888" s="7">
        <f>IF($AB888="","",W888+T888)</f>
        <v/>
      </c>
      <c r="Y888" s="7">
        <f>IF($AB888="","",Z888-X888)</f>
        <v/>
      </c>
      <c r="Z888" s="7">
        <f>IF($AB888="","",S888+V888+Q888)</f>
        <v/>
      </c>
      <c r="AA888" s="7">
        <f>IF($AB888="","",Z888-X888-M888)</f>
        <v/>
      </c>
      <c r="AB888" s="13">
        <f>IF(ROWS($AB$2:$AB888)&lt;=MAX('Per Line'!$AK$2:$AK$4001),MATCH(ROWS($AB$2:$AB888),'Per Line'!$AK$2:$AK$4001,0),"")</f>
        <v/>
      </c>
      <c r="AC888" s="14">
        <f>IF($AB888="","",M888-L888*Z888/100)</f>
        <v/>
      </c>
    </row>
    <row r="889">
      <c r="A889" s="12" t="n"/>
      <c r="B889">
        <f>IF($AB889="","",INDEX('Per Line'!$C$2:$C$4001,$AB889)&amp;"")</f>
        <v/>
      </c>
      <c r="C889">
        <f>IF($AB889="","",INDEX('Per Line'!$D$2:$D$4001,$AB889)&amp;"")</f>
        <v/>
      </c>
      <c r="D889">
        <f>IF($AB889="","",INDEX('Per Line'!$B$2:$B$4001,$AB889)&amp;"")</f>
        <v/>
      </c>
      <c r="E889">
        <f>IF($AB889="","",INDEX('Per Line'!$A$2:$A$4001,$AB889))</f>
        <v/>
      </c>
      <c r="F889" s="11">
        <f>IF($AB889="","",INDEX('Per Line'!$E$2:$E$4001,$AB889))</f>
        <v/>
      </c>
      <c r="G889">
        <f>IF($AB889="","",INDEX('Per Line'!$F$2:$F$4001,$AB889)&amp;"")</f>
        <v/>
      </c>
      <c r="H889">
        <f>IF($AB889="","",INDEX('Per Line'!$H$2:$H$4001,$AB889)&amp;"")</f>
        <v/>
      </c>
      <c r="I889">
        <f>IF($AB889="","",INDEX('Per Line'!$I$2:$I$4001,$AB889)&amp;"")</f>
        <v/>
      </c>
      <c r="J889">
        <f>IF($AB889="","",INDEX('Per Line'!$J$2:$J$4001,$AB889)&amp;"")</f>
        <v/>
      </c>
      <c r="K889">
        <f>IF($AB889="","",INDEX('Per Line'!$K$2:$K$4001,$AB889)&amp;"")</f>
        <v/>
      </c>
      <c r="L889">
        <f>IF($AB889="","",INDEX('Per Line'!$L$2:$L$4001,$AB889))</f>
        <v/>
      </c>
      <c r="M889" s="7">
        <f>IF($AB889="","",IF(AND(ISNUMBER(O889),O889&gt;0,Z889&gt;O889),L889*O889/100+(Z889-O889),L889*Z889/100))</f>
        <v/>
      </c>
      <c r="N889">
        <f>IF($AB889="","",INDEX('Per Line'!$V$2:$V$4001,$AB889)&amp;"")</f>
        <v/>
      </c>
      <c r="O889">
        <f>IF($AB889="","",INDEX('Per Line'!$Z$2:$Z$4001,$AB889))</f>
        <v/>
      </c>
      <c r="P889">
        <f>IF($AB889="","",IF(AND(ISNUMBER(O889),O889&gt;0),Z889&gt;O889,FALSE))</f>
        <v/>
      </c>
      <c r="Q889" s="7">
        <f>IF($AB889="","",SUMIFS('Per Line'!$U$2:$U$4001,'Per Line'!$C$2:$C$4001,$B889,'Per Line'!$AM$2:$AM$4001,1))</f>
        <v/>
      </c>
      <c r="R889">
        <f>IF($AB889="","",Settings!$C$7)</f>
        <v/>
      </c>
      <c r="S889" s="7">
        <f>IF($AB889="","",SUMIFS('Per Line'!$U$2:$U$4001,'Per Line'!$C$2:$C$4001,$B889,'Per Line'!$AL$2:$AL$4001,0,'Per Line'!$AM$2:$AM$4001,0))</f>
        <v/>
      </c>
      <c r="T889" s="7">
        <f>IF($AB889="","",S889*R889)</f>
        <v/>
      </c>
      <c r="U889">
        <f>IF($AB889="","",Settings!$C$6)</f>
        <v/>
      </c>
      <c r="V889" s="7">
        <f>IF($AB889="","",SUMIFS('Per Line'!$U$2:$U$4001,'Per Line'!$C$2:$C$4001,$B889,'Per Line'!$AL$2:$AL$4001,1,'Per Line'!$AM$2:$AM$4001,0))</f>
        <v/>
      </c>
      <c r="W889" s="7">
        <f>IF($AB889="","",V889*U889)</f>
        <v/>
      </c>
      <c r="X889" s="7">
        <f>IF($AB889="","",W889+T889)</f>
        <v/>
      </c>
      <c r="Y889" s="7">
        <f>IF($AB889="","",Z889-X889)</f>
        <v/>
      </c>
      <c r="Z889" s="7">
        <f>IF($AB889="","",S889+V889+Q889)</f>
        <v/>
      </c>
      <c r="AA889" s="7">
        <f>IF($AB889="","",Z889-X889-M889)</f>
        <v/>
      </c>
      <c r="AB889" s="13">
        <f>IF(ROWS($AB$2:$AB889)&lt;=MAX('Per Line'!$AK$2:$AK$4001),MATCH(ROWS($AB$2:$AB889),'Per Line'!$AK$2:$AK$4001,0),"")</f>
        <v/>
      </c>
      <c r="AC889" s="14">
        <f>IF($AB889="","",M889-L889*Z889/100)</f>
        <v/>
      </c>
    </row>
    <row r="890">
      <c r="A890" s="12" t="n"/>
      <c r="B890">
        <f>IF($AB890="","",INDEX('Per Line'!$C$2:$C$4001,$AB890)&amp;"")</f>
        <v/>
      </c>
      <c r="C890">
        <f>IF($AB890="","",INDEX('Per Line'!$D$2:$D$4001,$AB890)&amp;"")</f>
        <v/>
      </c>
      <c r="D890">
        <f>IF($AB890="","",INDEX('Per Line'!$B$2:$B$4001,$AB890)&amp;"")</f>
        <v/>
      </c>
      <c r="E890">
        <f>IF($AB890="","",INDEX('Per Line'!$A$2:$A$4001,$AB890))</f>
        <v/>
      </c>
      <c r="F890" s="11">
        <f>IF($AB890="","",INDEX('Per Line'!$E$2:$E$4001,$AB890))</f>
        <v/>
      </c>
      <c r="G890">
        <f>IF($AB890="","",INDEX('Per Line'!$F$2:$F$4001,$AB890)&amp;"")</f>
        <v/>
      </c>
      <c r="H890">
        <f>IF($AB890="","",INDEX('Per Line'!$H$2:$H$4001,$AB890)&amp;"")</f>
        <v/>
      </c>
      <c r="I890">
        <f>IF($AB890="","",INDEX('Per Line'!$I$2:$I$4001,$AB890)&amp;"")</f>
        <v/>
      </c>
      <c r="J890">
        <f>IF($AB890="","",INDEX('Per Line'!$J$2:$J$4001,$AB890)&amp;"")</f>
        <v/>
      </c>
      <c r="K890">
        <f>IF($AB890="","",INDEX('Per Line'!$K$2:$K$4001,$AB890)&amp;"")</f>
        <v/>
      </c>
      <c r="L890">
        <f>IF($AB890="","",INDEX('Per Line'!$L$2:$L$4001,$AB890))</f>
        <v/>
      </c>
      <c r="M890" s="7">
        <f>IF($AB890="","",IF(AND(ISNUMBER(O890),O890&gt;0,Z890&gt;O890),L890*O890/100+(Z890-O890),L890*Z890/100))</f>
        <v/>
      </c>
      <c r="N890">
        <f>IF($AB890="","",INDEX('Per Line'!$V$2:$V$4001,$AB890)&amp;"")</f>
        <v/>
      </c>
      <c r="O890">
        <f>IF($AB890="","",INDEX('Per Line'!$Z$2:$Z$4001,$AB890))</f>
        <v/>
      </c>
      <c r="P890">
        <f>IF($AB890="","",IF(AND(ISNUMBER(O890),O890&gt;0),Z890&gt;O890,FALSE))</f>
        <v/>
      </c>
      <c r="Q890" s="7">
        <f>IF($AB890="","",SUMIFS('Per Line'!$U$2:$U$4001,'Per Line'!$C$2:$C$4001,$B890,'Per Line'!$AM$2:$AM$4001,1))</f>
        <v/>
      </c>
      <c r="R890">
        <f>IF($AB890="","",Settings!$C$7)</f>
        <v/>
      </c>
      <c r="S890" s="7">
        <f>IF($AB890="","",SUMIFS('Per Line'!$U$2:$U$4001,'Per Line'!$C$2:$C$4001,$B890,'Per Line'!$AL$2:$AL$4001,0,'Per Line'!$AM$2:$AM$4001,0))</f>
        <v/>
      </c>
      <c r="T890" s="7">
        <f>IF($AB890="","",S890*R890)</f>
        <v/>
      </c>
      <c r="U890">
        <f>IF($AB890="","",Settings!$C$6)</f>
        <v/>
      </c>
      <c r="V890" s="7">
        <f>IF($AB890="","",SUMIFS('Per Line'!$U$2:$U$4001,'Per Line'!$C$2:$C$4001,$B890,'Per Line'!$AL$2:$AL$4001,1,'Per Line'!$AM$2:$AM$4001,0))</f>
        <v/>
      </c>
      <c r="W890" s="7">
        <f>IF($AB890="","",V890*U890)</f>
        <v/>
      </c>
      <c r="X890" s="7">
        <f>IF($AB890="","",W890+T890)</f>
        <v/>
      </c>
      <c r="Y890" s="7">
        <f>IF($AB890="","",Z890-X890)</f>
        <v/>
      </c>
      <c r="Z890" s="7">
        <f>IF($AB890="","",S890+V890+Q890)</f>
        <v/>
      </c>
      <c r="AA890" s="7">
        <f>IF($AB890="","",Z890-X890-M890)</f>
        <v/>
      </c>
      <c r="AB890" s="13">
        <f>IF(ROWS($AB$2:$AB890)&lt;=MAX('Per Line'!$AK$2:$AK$4001),MATCH(ROWS($AB$2:$AB890),'Per Line'!$AK$2:$AK$4001,0),"")</f>
        <v/>
      </c>
      <c r="AC890" s="14">
        <f>IF($AB890="","",M890-L890*Z890/100)</f>
        <v/>
      </c>
    </row>
    <row r="891">
      <c r="A891" s="12" t="n"/>
      <c r="B891">
        <f>IF($AB891="","",INDEX('Per Line'!$C$2:$C$4001,$AB891)&amp;"")</f>
        <v/>
      </c>
      <c r="C891">
        <f>IF($AB891="","",INDEX('Per Line'!$D$2:$D$4001,$AB891)&amp;"")</f>
        <v/>
      </c>
      <c r="D891">
        <f>IF($AB891="","",INDEX('Per Line'!$B$2:$B$4001,$AB891)&amp;"")</f>
        <v/>
      </c>
      <c r="E891">
        <f>IF($AB891="","",INDEX('Per Line'!$A$2:$A$4001,$AB891))</f>
        <v/>
      </c>
      <c r="F891" s="11">
        <f>IF($AB891="","",INDEX('Per Line'!$E$2:$E$4001,$AB891))</f>
        <v/>
      </c>
      <c r="G891">
        <f>IF($AB891="","",INDEX('Per Line'!$F$2:$F$4001,$AB891)&amp;"")</f>
        <v/>
      </c>
      <c r="H891">
        <f>IF($AB891="","",INDEX('Per Line'!$H$2:$H$4001,$AB891)&amp;"")</f>
        <v/>
      </c>
      <c r="I891">
        <f>IF($AB891="","",INDEX('Per Line'!$I$2:$I$4001,$AB891)&amp;"")</f>
        <v/>
      </c>
      <c r="J891">
        <f>IF($AB891="","",INDEX('Per Line'!$J$2:$J$4001,$AB891)&amp;"")</f>
        <v/>
      </c>
      <c r="K891">
        <f>IF($AB891="","",INDEX('Per Line'!$K$2:$K$4001,$AB891)&amp;"")</f>
        <v/>
      </c>
      <c r="L891">
        <f>IF($AB891="","",INDEX('Per Line'!$L$2:$L$4001,$AB891))</f>
        <v/>
      </c>
      <c r="M891" s="7">
        <f>IF($AB891="","",IF(AND(ISNUMBER(O891),O891&gt;0,Z891&gt;O891),L891*O891/100+(Z891-O891),L891*Z891/100))</f>
        <v/>
      </c>
      <c r="N891">
        <f>IF($AB891="","",INDEX('Per Line'!$V$2:$V$4001,$AB891)&amp;"")</f>
        <v/>
      </c>
      <c r="O891">
        <f>IF($AB891="","",INDEX('Per Line'!$Z$2:$Z$4001,$AB891))</f>
        <v/>
      </c>
      <c r="P891">
        <f>IF($AB891="","",IF(AND(ISNUMBER(O891),O891&gt;0),Z891&gt;O891,FALSE))</f>
        <v/>
      </c>
      <c r="Q891" s="7">
        <f>IF($AB891="","",SUMIFS('Per Line'!$U$2:$U$4001,'Per Line'!$C$2:$C$4001,$B891,'Per Line'!$AM$2:$AM$4001,1))</f>
        <v/>
      </c>
      <c r="R891">
        <f>IF($AB891="","",Settings!$C$7)</f>
        <v/>
      </c>
      <c r="S891" s="7">
        <f>IF($AB891="","",SUMIFS('Per Line'!$U$2:$U$4001,'Per Line'!$C$2:$C$4001,$B891,'Per Line'!$AL$2:$AL$4001,0,'Per Line'!$AM$2:$AM$4001,0))</f>
        <v/>
      </c>
      <c r="T891" s="7">
        <f>IF($AB891="","",S891*R891)</f>
        <v/>
      </c>
      <c r="U891">
        <f>IF($AB891="","",Settings!$C$6)</f>
        <v/>
      </c>
      <c r="V891" s="7">
        <f>IF($AB891="","",SUMIFS('Per Line'!$U$2:$U$4001,'Per Line'!$C$2:$C$4001,$B891,'Per Line'!$AL$2:$AL$4001,1,'Per Line'!$AM$2:$AM$4001,0))</f>
        <v/>
      </c>
      <c r="W891" s="7">
        <f>IF($AB891="","",V891*U891)</f>
        <v/>
      </c>
      <c r="X891" s="7">
        <f>IF($AB891="","",W891+T891)</f>
        <v/>
      </c>
      <c r="Y891" s="7">
        <f>IF($AB891="","",Z891-X891)</f>
        <v/>
      </c>
      <c r="Z891" s="7">
        <f>IF($AB891="","",S891+V891+Q891)</f>
        <v/>
      </c>
      <c r="AA891" s="7">
        <f>IF($AB891="","",Z891-X891-M891)</f>
        <v/>
      </c>
      <c r="AB891" s="13">
        <f>IF(ROWS($AB$2:$AB891)&lt;=MAX('Per Line'!$AK$2:$AK$4001),MATCH(ROWS($AB$2:$AB891),'Per Line'!$AK$2:$AK$4001,0),"")</f>
        <v/>
      </c>
      <c r="AC891" s="14">
        <f>IF($AB891="","",M891-L891*Z891/100)</f>
        <v/>
      </c>
    </row>
    <row r="892">
      <c r="A892" s="12" t="n"/>
      <c r="B892">
        <f>IF($AB892="","",INDEX('Per Line'!$C$2:$C$4001,$AB892)&amp;"")</f>
        <v/>
      </c>
      <c r="C892">
        <f>IF($AB892="","",INDEX('Per Line'!$D$2:$D$4001,$AB892)&amp;"")</f>
        <v/>
      </c>
      <c r="D892">
        <f>IF($AB892="","",INDEX('Per Line'!$B$2:$B$4001,$AB892)&amp;"")</f>
        <v/>
      </c>
      <c r="E892">
        <f>IF($AB892="","",INDEX('Per Line'!$A$2:$A$4001,$AB892))</f>
        <v/>
      </c>
      <c r="F892" s="11">
        <f>IF($AB892="","",INDEX('Per Line'!$E$2:$E$4001,$AB892))</f>
        <v/>
      </c>
      <c r="G892">
        <f>IF($AB892="","",INDEX('Per Line'!$F$2:$F$4001,$AB892)&amp;"")</f>
        <v/>
      </c>
      <c r="H892">
        <f>IF($AB892="","",INDEX('Per Line'!$H$2:$H$4001,$AB892)&amp;"")</f>
        <v/>
      </c>
      <c r="I892">
        <f>IF($AB892="","",INDEX('Per Line'!$I$2:$I$4001,$AB892)&amp;"")</f>
        <v/>
      </c>
      <c r="J892">
        <f>IF($AB892="","",INDEX('Per Line'!$J$2:$J$4001,$AB892)&amp;"")</f>
        <v/>
      </c>
      <c r="K892">
        <f>IF($AB892="","",INDEX('Per Line'!$K$2:$K$4001,$AB892)&amp;"")</f>
        <v/>
      </c>
      <c r="L892">
        <f>IF($AB892="","",INDEX('Per Line'!$L$2:$L$4001,$AB892))</f>
        <v/>
      </c>
      <c r="M892" s="7">
        <f>IF($AB892="","",IF(AND(ISNUMBER(O892),O892&gt;0,Z892&gt;O892),L892*O892/100+(Z892-O892),L892*Z892/100))</f>
        <v/>
      </c>
      <c r="N892">
        <f>IF($AB892="","",INDEX('Per Line'!$V$2:$V$4001,$AB892)&amp;"")</f>
        <v/>
      </c>
      <c r="O892">
        <f>IF($AB892="","",INDEX('Per Line'!$Z$2:$Z$4001,$AB892))</f>
        <v/>
      </c>
      <c r="P892">
        <f>IF($AB892="","",IF(AND(ISNUMBER(O892),O892&gt;0),Z892&gt;O892,FALSE))</f>
        <v/>
      </c>
      <c r="Q892" s="7">
        <f>IF($AB892="","",SUMIFS('Per Line'!$U$2:$U$4001,'Per Line'!$C$2:$C$4001,$B892,'Per Line'!$AM$2:$AM$4001,1))</f>
        <v/>
      </c>
      <c r="R892">
        <f>IF($AB892="","",Settings!$C$7)</f>
        <v/>
      </c>
      <c r="S892" s="7">
        <f>IF($AB892="","",SUMIFS('Per Line'!$U$2:$U$4001,'Per Line'!$C$2:$C$4001,$B892,'Per Line'!$AL$2:$AL$4001,0,'Per Line'!$AM$2:$AM$4001,0))</f>
        <v/>
      </c>
      <c r="T892" s="7">
        <f>IF($AB892="","",S892*R892)</f>
        <v/>
      </c>
      <c r="U892">
        <f>IF($AB892="","",Settings!$C$6)</f>
        <v/>
      </c>
      <c r="V892" s="7">
        <f>IF($AB892="","",SUMIFS('Per Line'!$U$2:$U$4001,'Per Line'!$C$2:$C$4001,$B892,'Per Line'!$AL$2:$AL$4001,1,'Per Line'!$AM$2:$AM$4001,0))</f>
        <v/>
      </c>
      <c r="W892" s="7">
        <f>IF($AB892="","",V892*U892)</f>
        <v/>
      </c>
      <c r="X892" s="7">
        <f>IF($AB892="","",W892+T892)</f>
        <v/>
      </c>
      <c r="Y892" s="7">
        <f>IF($AB892="","",Z892-X892)</f>
        <v/>
      </c>
      <c r="Z892" s="7">
        <f>IF($AB892="","",S892+V892+Q892)</f>
        <v/>
      </c>
      <c r="AA892" s="7">
        <f>IF($AB892="","",Z892-X892-M892)</f>
        <v/>
      </c>
      <c r="AB892" s="13">
        <f>IF(ROWS($AB$2:$AB892)&lt;=MAX('Per Line'!$AK$2:$AK$4001),MATCH(ROWS($AB$2:$AB892),'Per Line'!$AK$2:$AK$4001,0),"")</f>
        <v/>
      </c>
      <c r="AC892" s="14">
        <f>IF($AB892="","",M892-L892*Z892/100)</f>
        <v/>
      </c>
    </row>
    <row r="893">
      <c r="A893" s="12" t="n"/>
      <c r="B893">
        <f>IF($AB893="","",INDEX('Per Line'!$C$2:$C$4001,$AB893)&amp;"")</f>
        <v/>
      </c>
      <c r="C893">
        <f>IF($AB893="","",INDEX('Per Line'!$D$2:$D$4001,$AB893)&amp;"")</f>
        <v/>
      </c>
      <c r="D893">
        <f>IF($AB893="","",INDEX('Per Line'!$B$2:$B$4001,$AB893)&amp;"")</f>
        <v/>
      </c>
      <c r="E893">
        <f>IF($AB893="","",INDEX('Per Line'!$A$2:$A$4001,$AB893))</f>
        <v/>
      </c>
      <c r="F893" s="11">
        <f>IF($AB893="","",INDEX('Per Line'!$E$2:$E$4001,$AB893))</f>
        <v/>
      </c>
      <c r="G893">
        <f>IF($AB893="","",INDEX('Per Line'!$F$2:$F$4001,$AB893)&amp;"")</f>
        <v/>
      </c>
      <c r="H893">
        <f>IF($AB893="","",INDEX('Per Line'!$H$2:$H$4001,$AB893)&amp;"")</f>
        <v/>
      </c>
      <c r="I893">
        <f>IF($AB893="","",INDEX('Per Line'!$I$2:$I$4001,$AB893)&amp;"")</f>
        <v/>
      </c>
      <c r="J893">
        <f>IF($AB893="","",INDEX('Per Line'!$J$2:$J$4001,$AB893)&amp;"")</f>
        <v/>
      </c>
      <c r="K893">
        <f>IF($AB893="","",INDEX('Per Line'!$K$2:$K$4001,$AB893)&amp;"")</f>
        <v/>
      </c>
      <c r="L893">
        <f>IF($AB893="","",INDEX('Per Line'!$L$2:$L$4001,$AB893))</f>
        <v/>
      </c>
      <c r="M893" s="7">
        <f>IF($AB893="","",IF(AND(ISNUMBER(O893),O893&gt;0,Z893&gt;O893),L893*O893/100+(Z893-O893),L893*Z893/100))</f>
        <v/>
      </c>
      <c r="N893">
        <f>IF($AB893="","",INDEX('Per Line'!$V$2:$V$4001,$AB893)&amp;"")</f>
        <v/>
      </c>
      <c r="O893">
        <f>IF($AB893="","",INDEX('Per Line'!$Z$2:$Z$4001,$AB893))</f>
        <v/>
      </c>
      <c r="P893">
        <f>IF($AB893="","",IF(AND(ISNUMBER(O893),O893&gt;0),Z893&gt;O893,FALSE))</f>
        <v/>
      </c>
      <c r="Q893" s="7">
        <f>IF($AB893="","",SUMIFS('Per Line'!$U$2:$U$4001,'Per Line'!$C$2:$C$4001,$B893,'Per Line'!$AM$2:$AM$4001,1))</f>
        <v/>
      </c>
      <c r="R893">
        <f>IF($AB893="","",Settings!$C$7)</f>
        <v/>
      </c>
      <c r="S893" s="7">
        <f>IF($AB893="","",SUMIFS('Per Line'!$U$2:$U$4001,'Per Line'!$C$2:$C$4001,$B893,'Per Line'!$AL$2:$AL$4001,0,'Per Line'!$AM$2:$AM$4001,0))</f>
        <v/>
      </c>
      <c r="T893" s="7">
        <f>IF($AB893="","",S893*R893)</f>
        <v/>
      </c>
      <c r="U893">
        <f>IF($AB893="","",Settings!$C$6)</f>
        <v/>
      </c>
      <c r="V893" s="7">
        <f>IF($AB893="","",SUMIFS('Per Line'!$U$2:$U$4001,'Per Line'!$C$2:$C$4001,$B893,'Per Line'!$AL$2:$AL$4001,1,'Per Line'!$AM$2:$AM$4001,0))</f>
        <v/>
      </c>
      <c r="W893" s="7">
        <f>IF($AB893="","",V893*U893)</f>
        <v/>
      </c>
      <c r="X893" s="7">
        <f>IF($AB893="","",W893+T893)</f>
        <v/>
      </c>
      <c r="Y893" s="7">
        <f>IF($AB893="","",Z893-X893)</f>
        <v/>
      </c>
      <c r="Z893" s="7">
        <f>IF($AB893="","",S893+V893+Q893)</f>
        <v/>
      </c>
      <c r="AA893" s="7">
        <f>IF($AB893="","",Z893-X893-M893)</f>
        <v/>
      </c>
      <c r="AB893" s="13">
        <f>IF(ROWS($AB$2:$AB893)&lt;=MAX('Per Line'!$AK$2:$AK$4001),MATCH(ROWS($AB$2:$AB893),'Per Line'!$AK$2:$AK$4001,0),"")</f>
        <v/>
      </c>
      <c r="AC893" s="14">
        <f>IF($AB893="","",M893-L893*Z893/100)</f>
        <v/>
      </c>
    </row>
    <row r="894">
      <c r="A894" s="12" t="n"/>
      <c r="B894">
        <f>IF($AB894="","",INDEX('Per Line'!$C$2:$C$4001,$AB894)&amp;"")</f>
        <v/>
      </c>
      <c r="C894">
        <f>IF($AB894="","",INDEX('Per Line'!$D$2:$D$4001,$AB894)&amp;"")</f>
        <v/>
      </c>
      <c r="D894">
        <f>IF($AB894="","",INDEX('Per Line'!$B$2:$B$4001,$AB894)&amp;"")</f>
        <v/>
      </c>
      <c r="E894">
        <f>IF($AB894="","",INDEX('Per Line'!$A$2:$A$4001,$AB894))</f>
        <v/>
      </c>
      <c r="F894" s="11">
        <f>IF($AB894="","",INDEX('Per Line'!$E$2:$E$4001,$AB894))</f>
        <v/>
      </c>
      <c r="G894">
        <f>IF($AB894="","",INDEX('Per Line'!$F$2:$F$4001,$AB894)&amp;"")</f>
        <v/>
      </c>
      <c r="H894">
        <f>IF($AB894="","",INDEX('Per Line'!$H$2:$H$4001,$AB894)&amp;"")</f>
        <v/>
      </c>
      <c r="I894">
        <f>IF($AB894="","",INDEX('Per Line'!$I$2:$I$4001,$AB894)&amp;"")</f>
        <v/>
      </c>
      <c r="J894">
        <f>IF($AB894="","",INDEX('Per Line'!$J$2:$J$4001,$AB894)&amp;"")</f>
        <v/>
      </c>
      <c r="K894">
        <f>IF($AB894="","",INDEX('Per Line'!$K$2:$K$4001,$AB894)&amp;"")</f>
        <v/>
      </c>
      <c r="L894">
        <f>IF($AB894="","",INDEX('Per Line'!$L$2:$L$4001,$AB894))</f>
        <v/>
      </c>
      <c r="M894" s="7">
        <f>IF($AB894="","",IF(AND(ISNUMBER(O894),O894&gt;0,Z894&gt;O894),L894*O894/100+(Z894-O894),L894*Z894/100))</f>
        <v/>
      </c>
      <c r="N894">
        <f>IF($AB894="","",INDEX('Per Line'!$V$2:$V$4001,$AB894)&amp;"")</f>
        <v/>
      </c>
      <c r="O894">
        <f>IF($AB894="","",INDEX('Per Line'!$Z$2:$Z$4001,$AB894))</f>
        <v/>
      </c>
      <c r="P894">
        <f>IF($AB894="","",IF(AND(ISNUMBER(O894),O894&gt;0),Z894&gt;O894,FALSE))</f>
        <v/>
      </c>
      <c r="Q894" s="7">
        <f>IF($AB894="","",SUMIFS('Per Line'!$U$2:$U$4001,'Per Line'!$C$2:$C$4001,$B894,'Per Line'!$AM$2:$AM$4001,1))</f>
        <v/>
      </c>
      <c r="R894">
        <f>IF($AB894="","",Settings!$C$7)</f>
        <v/>
      </c>
      <c r="S894" s="7">
        <f>IF($AB894="","",SUMIFS('Per Line'!$U$2:$U$4001,'Per Line'!$C$2:$C$4001,$B894,'Per Line'!$AL$2:$AL$4001,0,'Per Line'!$AM$2:$AM$4001,0))</f>
        <v/>
      </c>
      <c r="T894" s="7">
        <f>IF($AB894="","",S894*R894)</f>
        <v/>
      </c>
      <c r="U894">
        <f>IF($AB894="","",Settings!$C$6)</f>
        <v/>
      </c>
      <c r="V894" s="7">
        <f>IF($AB894="","",SUMIFS('Per Line'!$U$2:$U$4001,'Per Line'!$C$2:$C$4001,$B894,'Per Line'!$AL$2:$AL$4001,1,'Per Line'!$AM$2:$AM$4001,0))</f>
        <v/>
      </c>
      <c r="W894" s="7">
        <f>IF($AB894="","",V894*U894)</f>
        <v/>
      </c>
      <c r="X894" s="7">
        <f>IF($AB894="","",W894+T894)</f>
        <v/>
      </c>
      <c r="Y894" s="7">
        <f>IF($AB894="","",Z894-X894)</f>
        <v/>
      </c>
      <c r="Z894" s="7">
        <f>IF($AB894="","",S894+V894+Q894)</f>
        <v/>
      </c>
      <c r="AA894" s="7">
        <f>IF($AB894="","",Z894-X894-M894)</f>
        <v/>
      </c>
      <c r="AB894" s="13">
        <f>IF(ROWS($AB$2:$AB894)&lt;=MAX('Per Line'!$AK$2:$AK$4001),MATCH(ROWS($AB$2:$AB894),'Per Line'!$AK$2:$AK$4001,0),"")</f>
        <v/>
      </c>
      <c r="AC894" s="14">
        <f>IF($AB894="","",M894-L894*Z894/100)</f>
        <v/>
      </c>
    </row>
    <row r="895">
      <c r="A895" s="12" t="n"/>
      <c r="B895">
        <f>IF($AB895="","",INDEX('Per Line'!$C$2:$C$4001,$AB895)&amp;"")</f>
        <v/>
      </c>
      <c r="C895">
        <f>IF($AB895="","",INDEX('Per Line'!$D$2:$D$4001,$AB895)&amp;"")</f>
        <v/>
      </c>
      <c r="D895">
        <f>IF($AB895="","",INDEX('Per Line'!$B$2:$B$4001,$AB895)&amp;"")</f>
        <v/>
      </c>
      <c r="E895">
        <f>IF($AB895="","",INDEX('Per Line'!$A$2:$A$4001,$AB895))</f>
        <v/>
      </c>
      <c r="F895" s="11">
        <f>IF($AB895="","",INDEX('Per Line'!$E$2:$E$4001,$AB895))</f>
        <v/>
      </c>
      <c r="G895">
        <f>IF($AB895="","",INDEX('Per Line'!$F$2:$F$4001,$AB895)&amp;"")</f>
        <v/>
      </c>
      <c r="H895">
        <f>IF($AB895="","",INDEX('Per Line'!$H$2:$H$4001,$AB895)&amp;"")</f>
        <v/>
      </c>
      <c r="I895">
        <f>IF($AB895="","",INDEX('Per Line'!$I$2:$I$4001,$AB895)&amp;"")</f>
        <v/>
      </c>
      <c r="J895">
        <f>IF($AB895="","",INDEX('Per Line'!$J$2:$J$4001,$AB895)&amp;"")</f>
        <v/>
      </c>
      <c r="K895">
        <f>IF($AB895="","",INDEX('Per Line'!$K$2:$K$4001,$AB895)&amp;"")</f>
        <v/>
      </c>
      <c r="L895">
        <f>IF($AB895="","",INDEX('Per Line'!$L$2:$L$4001,$AB895))</f>
        <v/>
      </c>
      <c r="M895" s="7">
        <f>IF($AB895="","",IF(AND(ISNUMBER(O895),O895&gt;0,Z895&gt;O895),L895*O895/100+(Z895-O895),L895*Z895/100))</f>
        <v/>
      </c>
      <c r="N895">
        <f>IF($AB895="","",INDEX('Per Line'!$V$2:$V$4001,$AB895)&amp;"")</f>
        <v/>
      </c>
      <c r="O895">
        <f>IF($AB895="","",INDEX('Per Line'!$Z$2:$Z$4001,$AB895))</f>
        <v/>
      </c>
      <c r="P895">
        <f>IF($AB895="","",IF(AND(ISNUMBER(O895),O895&gt;0),Z895&gt;O895,FALSE))</f>
        <v/>
      </c>
      <c r="Q895" s="7">
        <f>IF($AB895="","",SUMIFS('Per Line'!$U$2:$U$4001,'Per Line'!$C$2:$C$4001,$B895,'Per Line'!$AM$2:$AM$4001,1))</f>
        <v/>
      </c>
      <c r="R895">
        <f>IF($AB895="","",Settings!$C$7)</f>
        <v/>
      </c>
      <c r="S895" s="7">
        <f>IF($AB895="","",SUMIFS('Per Line'!$U$2:$U$4001,'Per Line'!$C$2:$C$4001,$B895,'Per Line'!$AL$2:$AL$4001,0,'Per Line'!$AM$2:$AM$4001,0))</f>
        <v/>
      </c>
      <c r="T895" s="7">
        <f>IF($AB895="","",S895*R895)</f>
        <v/>
      </c>
      <c r="U895">
        <f>IF($AB895="","",Settings!$C$6)</f>
        <v/>
      </c>
      <c r="V895" s="7">
        <f>IF($AB895="","",SUMIFS('Per Line'!$U$2:$U$4001,'Per Line'!$C$2:$C$4001,$B895,'Per Line'!$AL$2:$AL$4001,1,'Per Line'!$AM$2:$AM$4001,0))</f>
        <v/>
      </c>
      <c r="W895" s="7">
        <f>IF($AB895="","",V895*U895)</f>
        <v/>
      </c>
      <c r="X895" s="7">
        <f>IF($AB895="","",W895+T895)</f>
        <v/>
      </c>
      <c r="Y895" s="7">
        <f>IF($AB895="","",Z895-X895)</f>
        <v/>
      </c>
      <c r="Z895" s="7">
        <f>IF($AB895="","",S895+V895+Q895)</f>
        <v/>
      </c>
      <c r="AA895" s="7">
        <f>IF($AB895="","",Z895-X895-M895)</f>
        <v/>
      </c>
      <c r="AB895" s="13">
        <f>IF(ROWS($AB$2:$AB895)&lt;=MAX('Per Line'!$AK$2:$AK$4001),MATCH(ROWS($AB$2:$AB895),'Per Line'!$AK$2:$AK$4001,0),"")</f>
        <v/>
      </c>
      <c r="AC895" s="14">
        <f>IF($AB895="","",M895-L895*Z895/100)</f>
        <v/>
      </c>
    </row>
    <row r="896">
      <c r="A896" s="12" t="n"/>
      <c r="B896">
        <f>IF($AB896="","",INDEX('Per Line'!$C$2:$C$4001,$AB896)&amp;"")</f>
        <v/>
      </c>
      <c r="C896">
        <f>IF($AB896="","",INDEX('Per Line'!$D$2:$D$4001,$AB896)&amp;"")</f>
        <v/>
      </c>
      <c r="D896">
        <f>IF($AB896="","",INDEX('Per Line'!$B$2:$B$4001,$AB896)&amp;"")</f>
        <v/>
      </c>
      <c r="E896">
        <f>IF($AB896="","",INDEX('Per Line'!$A$2:$A$4001,$AB896))</f>
        <v/>
      </c>
      <c r="F896" s="11">
        <f>IF($AB896="","",INDEX('Per Line'!$E$2:$E$4001,$AB896))</f>
        <v/>
      </c>
      <c r="G896">
        <f>IF($AB896="","",INDEX('Per Line'!$F$2:$F$4001,$AB896)&amp;"")</f>
        <v/>
      </c>
      <c r="H896">
        <f>IF($AB896="","",INDEX('Per Line'!$H$2:$H$4001,$AB896)&amp;"")</f>
        <v/>
      </c>
      <c r="I896">
        <f>IF($AB896="","",INDEX('Per Line'!$I$2:$I$4001,$AB896)&amp;"")</f>
        <v/>
      </c>
      <c r="J896">
        <f>IF($AB896="","",INDEX('Per Line'!$J$2:$J$4001,$AB896)&amp;"")</f>
        <v/>
      </c>
      <c r="K896">
        <f>IF($AB896="","",INDEX('Per Line'!$K$2:$K$4001,$AB896)&amp;"")</f>
        <v/>
      </c>
      <c r="L896">
        <f>IF($AB896="","",INDEX('Per Line'!$L$2:$L$4001,$AB896))</f>
        <v/>
      </c>
      <c r="M896" s="7">
        <f>IF($AB896="","",IF(AND(ISNUMBER(O896),O896&gt;0,Z896&gt;O896),L896*O896/100+(Z896-O896),L896*Z896/100))</f>
        <v/>
      </c>
      <c r="N896">
        <f>IF($AB896="","",INDEX('Per Line'!$V$2:$V$4001,$AB896)&amp;"")</f>
        <v/>
      </c>
      <c r="O896">
        <f>IF($AB896="","",INDEX('Per Line'!$Z$2:$Z$4001,$AB896))</f>
        <v/>
      </c>
      <c r="P896">
        <f>IF($AB896="","",IF(AND(ISNUMBER(O896),O896&gt;0),Z896&gt;O896,FALSE))</f>
        <v/>
      </c>
      <c r="Q896" s="7">
        <f>IF($AB896="","",SUMIFS('Per Line'!$U$2:$U$4001,'Per Line'!$C$2:$C$4001,$B896,'Per Line'!$AM$2:$AM$4001,1))</f>
        <v/>
      </c>
      <c r="R896">
        <f>IF($AB896="","",Settings!$C$7)</f>
        <v/>
      </c>
      <c r="S896" s="7">
        <f>IF($AB896="","",SUMIFS('Per Line'!$U$2:$U$4001,'Per Line'!$C$2:$C$4001,$B896,'Per Line'!$AL$2:$AL$4001,0,'Per Line'!$AM$2:$AM$4001,0))</f>
        <v/>
      </c>
      <c r="T896" s="7">
        <f>IF($AB896="","",S896*R896)</f>
        <v/>
      </c>
      <c r="U896">
        <f>IF($AB896="","",Settings!$C$6)</f>
        <v/>
      </c>
      <c r="V896" s="7">
        <f>IF($AB896="","",SUMIFS('Per Line'!$U$2:$U$4001,'Per Line'!$C$2:$C$4001,$B896,'Per Line'!$AL$2:$AL$4001,1,'Per Line'!$AM$2:$AM$4001,0))</f>
        <v/>
      </c>
      <c r="W896" s="7">
        <f>IF($AB896="","",V896*U896)</f>
        <v/>
      </c>
      <c r="X896" s="7">
        <f>IF($AB896="","",W896+T896)</f>
        <v/>
      </c>
      <c r="Y896" s="7">
        <f>IF($AB896="","",Z896-X896)</f>
        <v/>
      </c>
      <c r="Z896" s="7">
        <f>IF($AB896="","",S896+V896+Q896)</f>
        <v/>
      </c>
      <c r="AA896" s="7">
        <f>IF($AB896="","",Z896-X896-M896)</f>
        <v/>
      </c>
      <c r="AB896" s="13">
        <f>IF(ROWS($AB$2:$AB896)&lt;=MAX('Per Line'!$AK$2:$AK$4001),MATCH(ROWS($AB$2:$AB896),'Per Line'!$AK$2:$AK$4001,0),"")</f>
        <v/>
      </c>
      <c r="AC896" s="14">
        <f>IF($AB896="","",M896-L896*Z896/100)</f>
        <v/>
      </c>
    </row>
    <row r="897">
      <c r="A897" s="12" t="n"/>
      <c r="B897">
        <f>IF($AB897="","",INDEX('Per Line'!$C$2:$C$4001,$AB897)&amp;"")</f>
        <v/>
      </c>
      <c r="C897">
        <f>IF($AB897="","",INDEX('Per Line'!$D$2:$D$4001,$AB897)&amp;"")</f>
        <v/>
      </c>
      <c r="D897">
        <f>IF($AB897="","",INDEX('Per Line'!$B$2:$B$4001,$AB897)&amp;"")</f>
        <v/>
      </c>
      <c r="E897">
        <f>IF($AB897="","",INDEX('Per Line'!$A$2:$A$4001,$AB897))</f>
        <v/>
      </c>
      <c r="F897" s="11">
        <f>IF($AB897="","",INDEX('Per Line'!$E$2:$E$4001,$AB897))</f>
        <v/>
      </c>
      <c r="G897">
        <f>IF($AB897="","",INDEX('Per Line'!$F$2:$F$4001,$AB897)&amp;"")</f>
        <v/>
      </c>
      <c r="H897">
        <f>IF($AB897="","",INDEX('Per Line'!$H$2:$H$4001,$AB897)&amp;"")</f>
        <v/>
      </c>
      <c r="I897">
        <f>IF($AB897="","",INDEX('Per Line'!$I$2:$I$4001,$AB897)&amp;"")</f>
        <v/>
      </c>
      <c r="J897">
        <f>IF($AB897="","",INDEX('Per Line'!$J$2:$J$4001,$AB897)&amp;"")</f>
        <v/>
      </c>
      <c r="K897">
        <f>IF($AB897="","",INDEX('Per Line'!$K$2:$K$4001,$AB897)&amp;"")</f>
        <v/>
      </c>
      <c r="L897">
        <f>IF($AB897="","",INDEX('Per Line'!$L$2:$L$4001,$AB897))</f>
        <v/>
      </c>
      <c r="M897" s="7">
        <f>IF($AB897="","",IF(AND(ISNUMBER(O897),O897&gt;0,Z897&gt;O897),L897*O897/100+(Z897-O897),L897*Z897/100))</f>
        <v/>
      </c>
      <c r="N897">
        <f>IF($AB897="","",INDEX('Per Line'!$V$2:$V$4001,$AB897)&amp;"")</f>
        <v/>
      </c>
      <c r="O897">
        <f>IF($AB897="","",INDEX('Per Line'!$Z$2:$Z$4001,$AB897))</f>
        <v/>
      </c>
      <c r="P897">
        <f>IF($AB897="","",IF(AND(ISNUMBER(O897),O897&gt;0),Z897&gt;O897,FALSE))</f>
        <v/>
      </c>
      <c r="Q897" s="7">
        <f>IF($AB897="","",SUMIFS('Per Line'!$U$2:$U$4001,'Per Line'!$C$2:$C$4001,$B897,'Per Line'!$AM$2:$AM$4001,1))</f>
        <v/>
      </c>
      <c r="R897">
        <f>IF($AB897="","",Settings!$C$7)</f>
        <v/>
      </c>
      <c r="S897" s="7">
        <f>IF($AB897="","",SUMIFS('Per Line'!$U$2:$U$4001,'Per Line'!$C$2:$C$4001,$B897,'Per Line'!$AL$2:$AL$4001,0,'Per Line'!$AM$2:$AM$4001,0))</f>
        <v/>
      </c>
      <c r="T897" s="7">
        <f>IF($AB897="","",S897*R897)</f>
        <v/>
      </c>
      <c r="U897">
        <f>IF($AB897="","",Settings!$C$6)</f>
        <v/>
      </c>
      <c r="V897" s="7">
        <f>IF($AB897="","",SUMIFS('Per Line'!$U$2:$U$4001,'Per Line'!$C$2:$C$4001,$B897,'Per Line'!$AL$2:$AL$4001,1,'Per Line'!$AM$2:$AM$4001,0))</f>
        <v/>
      </c>
      <c r="W897" s="7">
        <f>IF($AB897="","",V897*U897)</f>
        <v/>
      </c>
      <c r="X897" s="7">
        <f>IF($AB897="","",W897+T897)</f>
        <v/>
      </c>
      <c r="Y897" s="7">
        <f>IF($AB897="","",Z897-X897)</f>
        <v/>
      </c>
      <c r="Z897" s="7">
        <f>IF($AB897="","",S897+V897+Q897)</f>
        <v/>
      </c>
      <c r="AA897" s="7">
        <f>IF($AB897="","",Z897-X897-M897)</f>
        <v/>
      </c>
      <c r="AB897" s="13">
        <f>IF(ROWS($AB$2:$AB897)&lt;=MAX('Per Line'!$AK$2:$AK$4001),MATCH(ROWS($AB$2:$AB897),'Per Line'!$AK$2:$AK$4001,0),"")</f>
        <v/>
      </c>
      <c r="AC897" s="14">
        <f>IF($AB897="","",M897-L897*Z897/100)</f>
        <v/>
      </c>
    </row>
    <row r="898">
      <c r="A898" s="12" t="n"/>
      <c r="B898">
        <f>IF($AB898="","",INDEX('Per Line'!$C$2:$C$4001,$AB898)&amp;"")</f>
        <v/>
      </c>
      <c r="C898">
        <f>IF($AB898="","",INDEX('Per Line'!$D$2:$D$4001,$AB898)&amp;"")</f>
        <v/>
      </c>
      <c r="D898">
        <f>IF($AB898="","",INDEX('Per Line'!$B$2:$B$4001,$AB898)&amp;"")</f>
        <v/>
      </c>
      <c r="E898">
        <f>IF($AB898="","",INDEX('Per Line'!$A$2:$A$4001,$AB898))</f>
        <v/>
      </c>
      <c r="F898" s="11">
        <f>IF($AB898="","",INDEX('Per Line'!$E$2:$E$4001,$AB898))</f>
        <v/>
      </c>
      <c r="G898">
        <f>IF($AB898="","",INDEX('Per Line'!$F$2:$F$4001,$AB898)&amp;"")</f>
        <v/>
      </c>
      <c r="H898">
        <f>IF($AB898="","",INDEX('Per Line'!$H$2:$H$4001,$AB898)&amp;"")</f>
        <v/>
      </c>
      <c r="I898">
        <f>IF($AB898="","",INDEX('Per Line'!$I$2:$I$4001,$AB898)&amp;"")</f>
        <v/>
      </c>
      <c r="J898">
        <f>IF($AB898="","",INDEX('Per Line'!$J$2:$J$4001,$AB898)&amp;"")</f>
        <v/>
      </c>
      <c r="K898">
        <f>IF($AB898="","",INDEX('Per Line'!$K$2:$K$4001,$AB898)&amp;"")</f>
        <v/>
      </c>
      <c r="L898">
        <f>IF($AB898="","",INDEX('Per Line'!$L$2:$L$4001,$AB898))</f>
        <v/>
      </c>
      <c r="M898" s="7">
        <f>IF($AB898="","",IF(AND(ISNUMBER(O898),O898&gt;0,Z898&gt;O898),L898*O898/100+(Z898-O898),L898*Z898/100))</f>
        <v/>
      </c>
      <c r="N898">
        <f>IF($AB898="","",INDEX('Per Line'!$V$2:$V$4001,$AB898)&amp;"")</f>
        <v/>
      </c>
      <c r="O898">
        <f>IF($AB898="","",INDEX('Per Line'!$Z$2:$Z$4001,$AB898))</f>
        <v/>
      </c>
      <c r="P898">
        <f>IF($AB898="","",IF(AND(ISNUMBER(O898),O898&gt;0),Z898&gt;O898,FALSE))</f>
        <v/>
      </c>
      <c r="Q898" s="7">
        <f>IF($AB898="","",SUMIFS('Per Line'!$U$2:$U$4001,'Per Line'!$C$2:$C$4001,$B898,'Per Line'!$AM$2:$AM$4001,1))</f>
        <v/>
      </c>
      <c r="R898">
        <f>IF($AB898="","",Settings!$C$7)</f>
        <v/>
      </c>
      <c r="S898" s="7">
        <f>IF($AB898="","",SUMIFS('Per Line'!$U$2:$U$4001,'Per Line'!$C$2:$C$4001,$B898,'Per Line'!$AL$2:$AL$4001,0,'Per Line'!$AM$2:$AM$4001,0))</f>
        <v/>
      </c>
      <c r="T898" s="7">
        <f>IF($AB898="","",S898*R898)</f>
        <v/>
      </c>
      <c r="U898">
        <f>IF($AB898="","",Settings!$C$6)</f>
        <v/>
      </c>
      <c r="V898" s="7">
        <f>IF($AB898="","",SUMIFS('Per Line'!$U$2:$U$4001,'Per Line'!$C$2:$C$4001,$B898,'Per Line'!$AL$2:$AL$4001,1,'Per Line'!$AM$2:$AM$4001,0))</f>
        <v/>
      </c>
      <c r="W898" s="7">
        <f>IF($AB898="","",V898*U898)</f>
        <v/>
      </c>
      <c r="X898" s="7">
        <f>IF($AB898="","",W898+T898)</f>
        <v/>
      </c>
      <c r="Y898" s="7">
        <f>IF($AB898="","",Z898-X898)</f>
        <v/>
      </c>
      <c r="Z898" s="7">
        <f>IF($AB898="","",S898+V898+Q898)</f>
        <v/>
      </c>
      <c r="AA898" s="7">
        <f>IF($AB898="","",Z898-X898-M898)</f>
        <v/>
      </c>
      <c r="AB898" s="13">
        <f>IF(ROWS($AB$2:$AB898)&lt;=MAX('Per Line'!$AK$2:$AK$4001),MATCH(ROWS($AB$2:$AB898),'Per Line'!$AK$2:$AK$4001,0),"")</f>
        <v/>
      </c>
      <c r="AC898" s="14">
        <f>IF($AB898="","",M898-L898*Z898/100)</f>
        <v/>
      </c>
    </row>
    <row r="899">
      <c r="A899" s="12" t="n"/>
      <c r="B899">
        <f>IF($AB899="","",INDEX('Per Line'!$C$2:$C$4001,$AB899)&amp;"")</f>
        <v/>
      </c>
      <c r="C899">
        <f>IF($AB899="","",INDEX('Per Line'!$D$2:$D$4001,$AB899)&amp;"")</f>
        <v/>
      </c>
      <c r="D899">
        <f>IF($AB899="","",INDEX('Per Line'!$B$2:$B$4001,$AB899)&amp;"")</f>
        <v/>
      </c>
      <c r="E899">
        <f>IF($AB899="","",INDEX('Per Line'!$A$2:$A$4001,$AB899))</f>
        <v/>
      </c>
      <c r="F899" s="11">
        <f>IF($AB899="","",INDEX('Per Line'!$E$2:$E$4001,$AB899))</f>
        <v/>
      </c>
      <c r="G899">
        <f>IF($AB899="","",INDEX('Per Line'!$F$2:$F$4001,$AB899)&amp;"")</f>
        <v/>
      </c>
      <c r="H899">
        <f>IF($AB899="","",INDEX('Per Line'!$H$2:$H$4001,$AB899)&amp;"")</f>
        <v/>
      </c>
      <c r="I899">
        <f>IF($AB899="","",INDEX('Per Line'!$I$2:$I$4001,$AB899)&amp;"")</f>
        <v/>
      </c>
      <c r="J899">
        <f>IF($AB899="","",INDEX('Per Line'!$J$2:$J$4001,$AB899)&amp;"")</f>
        <v/>
      </c>
      <c r="K899">
        <f>IF($AB899="","",INDEX('Per Line'!$K$2:$K$4001,$AB899)&amp;"")</f>
        <v/>
      </c>
      <c r="L899">
        <f>IF($AB899="","",INDEX('Per Line'!$L$2:$L$4001,$AB899))</f>
        <v/>
      </c>
      <c r="M899" s="7">
        <f>IF($AB899="","",IF(AND(ISNUMBER(O899),O899&gt;0,Z899&gt;O899),L899*O899/100+(Z899-O899),L899*Z899/100))</f>
        <v/>
      </c>
      <c r="N899">
        <f>IF($AB899="","",INDEX('Per Line'!$V$2:$V$4001,$AB899)&amp;"")</f>
        <v/>
      </c>
      <c r="O899">
        <f>IF($AB899="","",INDEX('Per Line'!$Z$2:$Z$4001,$AB899))</f>
        <v/>
      </c>
      <c r="P899">
        <f>IF($AB899="","",IF(AND(ISNUMBER(O899),O899&gt;0),Z899&gt;O899,FALSE))</f>
        <v/>
      </c>
      <c r="Q899" s="7">
        <f>IF($AB899="","",SUMIFS('Per Line'!$U$2:$U$4001,'Per Line'!$C$2:$C$4001,$B899,'Per Line'!$AM$2:$AM$4001,1))</f>
        <v/>
      </c>
      <c r="R899">
        <f>IF($AB899="","",Settings!$C$7)</f>
        <v/>
      </c>
      <c r="S899" s="7">
        <f>IF($AB899="","",SUMIFS('Per Line'!$U$2:$U$4001,'Per Line'!$C$2:$C$4001,$B899,'Per Line'!$AL$2:$AL$4001,0,'Per Line'!$AM$2:$AM$4001,0))</f>
        <v/>
      </c>
      <c r="T899" s="7">
        <f>IF($AB899="","",S899*R899)</f>
        <v/>
      </c>
      <c r="U899">
        <f>IF($AB899="","",Settings!$C$6)</f>
        <v/>
      </c>
      <c r="V899" s="7">
        <f>IF($AB899="","",SUMIFS('Per Line'!$U$2:$U$4001,'Per Line'!$C$2:$C$4001,$B899,'Per Line'!$AL$2:$AL$4001,1,'Per Line'!$AM$2:$AM$4001,0))</f>
        <v/>
      </c>
      <c r="W899" s="7">
        <f>IF($AB899="","",V899*U899)</f>
        <v/>
      </c>
      <c r="X899" s="7">
        <f>IF($AB899="","",W899+T899)</f>
        <v/>
      </c>
      <c r="Y899" s="7">
        <f>IF($AB899="","",Z899-X899)</f>
        <v/>
      </c>
      <c r="Z899" s="7">
        <f>IF($AB899="","",S899+V899+Q899)</f>
        <v/>
      </c>
      <c r="AA899" s="7">
        <f>IF($AB899="","",Z899-X899-M899)</f>
        <v/>
      </c>
      <c r="AB899" s="13">
        <f>IF(ROWS($AB$2:$AB899)&lt;=MAX('Per Line'!$AK$2:$AK$4001),MATCH(ROWS($AB$2:$AB899),'Per Line'!$AK$2:$AK$4001,0),"")</f>
        <v/>
      </c>
      <c r="AC899" s="14">
        <f>IF($AB899="","",M899-L899*Z899/100)</f>
        <v/>
      </c>
    </row>
    <row r="900">
      <c r="A900" s="12" t="n"/>
      <c r="B900">
        <f>IF($AB900="","",INDEX('Per Line'!$C$2:$C$4001,$AB900)&amp;"")</f>
        <v/>
      </c>
      <c r="C900">
        <f>IF($AB900="","",INDEX('Per Line'!$D$2:$D$4001,$AB900)&amp;"")</f>
        <v/>
      </c>
      <c r="D900">
        <f>IF($AB900="","",INDEX('Per Line'!$B$2:$B$4001,$AB900)&amp;"")</f>
        <v/>
      </c>
      <c r="E900">
        <f>IF($AB900="","",INDEX('Per Line'!$A$2:$A$4001,$AB900))</f>
        <v/>
      </c>
      <c r="F900" s="11">
        <f>IF($AB900="","",INDEX('Per Line'!$E$2:$E$4001,$AB900))</f>
        <v/>
      </c>
      <c r="G900">
        <f>IF($AB900="","",INDEX('Per Line'!$F$2:$F$4001,$AB900)&amp;"")</f>
        <v/>
      </c>
      <c r="H900">
        <f>IF($AB900="","",INDEX('Per Line'!$H$2:$H$4001,$AB900)&amp;"")</f>
        <v/>
      </c>
      <c r="I900">
        <f>IF($AB900="","",INDEX('Per Line'!$I$2:$I$4001,$AB900)&amp;"")</f>
        <v/>
      </c>
      <c r="J900">
        <f>IF($AB900="","",INDEX('Per Line'!$J$2:$J$4001,$AB900)&amp;"")</f>
        <v/>
      </c>
      <c r="K900">
        <f>IF($AB900="","",INDEX('Per Line'!$K$2:$K$4001,$AB900)&amp;"")</f>
        <v/>
      </c>
      <c r="L900">
        <f>IF($AB900="","",INDEX('Per Line'!$L$2:$L$4001,$AB900))</f>
        <v/>
      </c>
      <c r="M900" s="7">
        <f>IF($AB900="","",IF(AND(ISNUMBER(O900),O900&gt;0,Z900&gt;O900),L900*O900/100+(Z900-O900),L900*Z900/100))</f>
        <v/>
      </c>
      <c r="N900">
        <f>IF($AB900="","",INDEX('Per Line'!$V$2:$V$4001,$AB900)&amp;"")</f>
        <v/>
      </c>
      <c r="O900">
        <f>IF($AB900="","",INDEX('Per Line'!$Z$2:$Z$4001,$AB900))</f>
        <v/>
      </c>
      <c r="P900">
        <f>IF($AB900="","",IF(AND(ISNUMBER(O900),O900&gt;0),Z900&gt;O900,FALSE))</f>
        <v/>
      </c>
      <c r="Q900" s="7">
        <f>IF($AB900="","",SUMIFS('Per Line'!$U$2:$U$4001,'Per Line'!$C$2:$C$4001,$B900,'Per Line'!$AM$2:$AM$4001,1))</f>
        <v/>
      </c>
      <c r="R900">
        <f>IF($AB900="","",Settings!$C$7)</f>
        <v/>
      </c>
      <c r="S900" s="7">
        <f>IF($AB900="","",SUMIFS('Per Line'!$U$2:$U$4001,'Per Line'!$C$2:$C$4001,$B900,'Per Line'!$AL$2:$AL$4001,0,'Per Line'!$AM$2:$AM$4001,0))</f>
        <v/>
      </c>
      <c r="T900" s="7">
        <f>IF($AB900="","",S900*R900)</f>
        <v/>
      </c>
      <c r="U900">
        <f>IF($AB900="","",Settings!$C$6)</f>
        <v/>
      </c>
      <c r="V900" s="7">
        <f>IF($AB900="","",SUMIFS('Per Line'!$U$2:$U$4001,'Per Line'!$C$2:$C$4001,$B900,'Per Line'!$AL$2:$AL$4001,1,'Per Line'!$AM$2:$AM$4001,0))</f>
        <v/>
      </c>
      <c r="W900" s="7">
        <f>IF($AB900="","",V900*U900)</f>
        <v/>
      </c>
      <c r="X900" s="7">
        <f>IF($AB900="","",W900+T900)</f>
        <v/>
      </c>
      <c r="Y900" s="7">
        <f>IF($AB900="","",Z900-X900)</f>
        <v/>
      </c>
      <c r="Z900" s="7">
        <f>IF($AB900="","",S900+V900+Q900)</f>
        <v/>
      </c>
      <c r="AA900" s="7">
        <f>IF($AB900="","",Z900-X900-M900)</f>
        <v/>
      </c>
      <c r="AB900" s="13">
        <f>IF(ROWS($AB$2:$AB900)&lt;=MAX('Per Line'!$AK$2:$AK$4001),MATCH(ROWS($AB$2:$AB900),'Per Line'!$AK$2:$AK$4001,0),"")</f>
        <v/>
      </c>
      <c r="AC900" s="14">
        <f>IF($AB900="","",M900-L900*Z900/100)</f>
        <v/>
      </c>
    </row>
    <row r="901">
      <c r="A901" s="12" t="n"/>
      <c r="B901">
        <f>IF($AB901="","",INDEX('Per Line'!$C$2:$C$4001,$AB901)&amp;"")</f>
        <v/>
      </c>
      <c r="C901">
        <f>IF($AB901="","",INDEX('Per Line'!$D$2:$D$4001,$AB901)&amp;"")</f>
        <v/>
      </c>
      <c r="D901">
        <f>IF($AB901="","",INDEX('Per Line'!$B$2:$B$4001,$AB901)&amp;"")</f>
        <v/>
      </c>
      <c r="E901">
        <f>IF($AB901="","",INDEX('Per Line'!$A$2:$A$4001,$AB901))</f>
        <v/>
      </c>
      <c r="F901" s="11">
        <f>IF($AB901="","",INDEX('Per Line'!$E$2:$E$4001,$AB901))</f>
        <v/>
      </c>
      <c r="G901">
        <f>IF($AB901="","",INDEX('Per Line'!$F$2:$F$4001,$AB901)&amp;"")</f>
        <v/>
      </c>
      <c r="H901">
        <f>IF($AB901="","",INDEX('Per Line'!$H$2:$H$4001,$AB901)&amp;"")</f>
        <v/>
      </c>
      <c r="I901">
        <f>IF($AB901="","",INDEX('Per Line'!$I$2:$I$4001,$AB901)&amp;"")</f>
        <v/>
      </c>
      <c r="J901">
        <f>IF($AB901="","",INDEX('Per Line'!$J$2:$J$4001,$AB901)&amp;"")</f>
        <v/>
      </c>
      <c r="K901">
        <f>IF($AB901="","",INDEX('Per Line'!$K$2:$K$4001,$AB901)&amp;"")</f>
        <v/>
      </c>
      <c r="L901">
        <f>IF($AB901="","",INDEX('Per Line'!$L$2:$L$4001,$AB901))</f>
        <v/>
      </c>
      <c r="M901" s="7">
        <f>IF($AB901="","",IF(AND(ISNUMBER(O901),O901&gt;0,Z901&gt;O901),L901*O901/100+(Z901-O901),L901*Z901/100))</f>
        <v/>
      </c>
      <c r="N901">
        <f>IF($AB901="","",INDEX('Per Line'!$V$2:$V$4001,$AB901)&amp;"")</f>
        <v/>
      </c>
      <c r="O901">
        <f>IF($AB901="","",INDEX('Per Line'!$Z$2:$Z$4001,$AB901))</f>
        <v/>
      </c>
      <c r="P901">
        <f>IF($AB901="","",IF(AND(ISNUMBER(O901),O901&gt;0),Z901&gt;O901,FALSE))</f>
        <v/>
      </c>
      <c r="Q901" s="7">
        <f>IF($AB901="","",SUMIFS('Per Line'!$U$2:$U$4001,'Per Line'!$C$2:$C$4001,$B901,'Per Line'!$AM$2:$AM$4001,1))</f>
        <v/>
      </c>
      <c r="R901">
        <f>IF($AB901="","",Settings!$C$7)</f>
        <v/>
      </c>
      <c r="S901" s="7">
        <f>IF($AB901="","",SUMIFS('Per Line'!$U$2:$U$4001,'Per Line'!$C$2:$C$4001,$B901,'Per Line'!$AL$2:$AL$4001,0,'Per Line'!$AM$2:$AM$4001,0))</f>
        <v/>
      </c>
      <c r="T901" s="7">
        <f>IF($AB901="","",S901*R901)</f>
        <v/>
      </c>
      <c r="U901">
        <f>IF($AB901="","",Settings!$C$6)</f>
        <v/>
      </c>
      <c r="V901" s="7">
        <f>IF($AB901="","",SUMIFS('Per Line'!$U$2:$U$4001,'Per Line'!$C$2:$C$4001,$B901,'Per Line'!$AL$2:$AL$4001,1,'Per Line'!$AM$2:$AM$4001,0))</f>
        <v/>
      </c>
      <c r="W901" s="7">
        <f>IF($AB901="","",V901*U901)</f>
        <v/>
      </c>
      <c r="X901" s="7">
        <f>IF($AB901="","",W901+T901)</f>
        <v/>
      </c>
      <c r="Y901" s="7">
        <f>IF($AB901="","",Z901-X901)</f>
        <v/>
      </c>
      <c r="Z901" s="7">
        <f>IF($AB901="","",S901+V901+Q901)</f>
        <v/>
      </c>
      <c r="AA901" s="7">
        <f>IF($AB901="","",Z901-X901-M901)</f>
        <v/>
      </c>
      <c r="AB901" s="13">
        <f>IF(ROWS($AB$2:$AB901)&lt;=MAX('Per Line'!$AK$2:$AK$4001),MATCH(ROWS($AB$2:$AB901),'Per Line'!$AK$2:$AK$4001,0),"")</f>
        <v/>
      </c>
      <c r="AC901" s="14">
        <f>IF($AB901="","",M901-L901*Z901/100)</f>
        <v/>
      </c>
    </row>
    <row r="902">
      <c r="A902" s="12" t="n"/>
      <c r="B902">
        <f>IF($AB902="","",INDEX('Per Line'!$C$2:$C$4001,$AB902)&amp;"")</f>
        <v/>
      </c>
      <c r="C902">
        <f>IF($AB902="","",INDEX('Per Line'!$D$2:$D$4001,$AB902)&amp;"")</f>
        <v/>
      </c>
      <c r="D902">
        <f>IF($AB902="","",INDEX('Per Line'!$B$2:$B$4001,$AB902)&amp;"")</f>
        <v/>
      </c>
      <c r="E902">
        <f>IF($AB902="","",INDEX('Per Line'!$A$2:$A$4001,$AB902))</f>
        <v/>
      </c>
      <c r="F902" s="11">
        <f>IF($AB902="","",INDEX('Per Line'!$E$2:$E$4001,$AB902))</f>
        <v/>
      </c>
      <c r="G902">
        <f>IF($AB902="","",INDEX('Per Line'!$F$2:$F$4001,$AB902)&amp;"")</f>
        <v/>
      </c>
      <c r="H902">
        <f>IF($AB902="","",INDEX('Per Line'!$H$2:$H$4001,$AB902)&amp;"")</f>
        <v/>
      </c>
      <c r="I902">
        <f>IF($AB902="","",INDEX('Per Line'!$I$2:$I$4001,$AB902)&amp;"")</f>
        <v/>
      </c>
      <c r="J902">
        <f>IF($AB902="","",INDEX('Per Line'!$J$2:$J$4001,$AB902)&amp;"")</f>
        <v/>
      </c>
      <c r="K902">
        <f>IF($AB902="","",INDEX('Per Line'!$K$2:$K$4001,$AB902)&amp;"")</f>
        <v/>
      </c>
      <c r="L902">
        <f>IF($AB902="","",INDEX('Per Line'!$L$2:$L$4001,$AB902))</f>
        <v/>
      </c>
      <c r="M902" s="7">
        <f>IF($AB902="","",IF(AND(ISNUMBER(O902),O902&gt;0,Z902&gt;O902),L902*O902/100+(Z902-O902),L902*Z902/100))</f>
        <v/>
      </c>
      <c r="N902">
        <f>IF($AB902="","",INDEX('Per Line'!$V$2:$V$4001,$AB902)&amp;"")</f>
        <v/>
      </c>
      <c r="O902">
        <f>IF($AB902="","",INDEX('Per Line'!$Z$2:$Z$4001,$AB902))</f>
        <v/>
      </c>
      <c r="P902">
        <f>IF($AB902="","",IF(AND(ISNUMBER(O902),O902&gt;0),Z902&gt;O902,FALSE))</f>
        <v/>
      </c>
      <c r="Q902" s="7">
        <f>IF($AB902="","",SUMIFS('Per Line'!$U$2:$U$4001,'Per Line'!$C$2:$C$4001,$B902,'Per Line'!$AM$2:$AM$4001,1))</f>
        <v/>
      </c>
      <c r="R902">
        <f>IF($AB902="","",Settings!$C$7)</f>
        <v/>
      </c>
      <c r="S902" s="7">
        <f>IF($AB902="","",SUMIFS('Per Line'!$U$2:$U$4001,'Per Line'!$C$2:$C$4001,$B902,'Per Line'!$AL$2:$AL$4001,0,'Per Line'!$AM$2:$AM$4001,0))</f>
        <v/>
      </c>
      <c r="T902" s="7">
        <f>IF($AB902="","",S902*R902)</f>
        <v/>
      </c>
      <c r="U902">
        <f>IF($AB902="","",Settings!$C$6)</f>
        <v/>
      </c>
      <c r="V902" s="7">
        <f>IF($AB902="","",SUMIFS('Per Line'!$U$2:$U$4001,'Per Line'!$C$2:$C$4001,$B902,'Per Line'!$AL$2:$AL$4001,1,'Per Line'!$AM$2:$AM$4001,0))</f>
        <v/>
      </c>
      <c r="W902" s="7">
        <f>IF($AB902="","",V902*U902)</f>
        <v/>
      </c>
      <c r="X902" s="7">
        <f>IF($AB902="","",W902+T902)</f>
        <v/>
      </c>
      <c r="Y902" s="7">
        <f>IF($AB902="","",Z902-X902)</f>
        <v/>
      </c>
      <c r="Z902" s="7">
        <f>IF($AB902="","",S902+V902+Q902)</f>
        <v/>
      </c>
      <c r="AA902" s="7">
        <f>IF($AB902="","",Z902-X902-M902)</f>
        <v/>
      </c>
      <c r="AB902" s="13">
        <f>IF(ROWS($AB$2:$AB902)&lt;=MAX('Per Line'!$AK$2:$AK$4001),MATCH(ROWS($AB$2:$AB902),'Per Line'!$AK$2:$AK$4001,0),"")</f>
        <v/>
      </c>
      <c r="AC902" s="14">
        <f>IF($AB902="","",M902-L902*Z902/100)</f>
        <v/>
      </c>
    </row>
    <row r="903">
      <c r="A903" s="12" t="n"/>
      <c r="B903">
        <f>IF($AB903="","",INDEX('Per Line'!$C$2:$C$4001,$AB903)&amp;"")</f>
        <v/>
      </c>
      <c r="C903">
        <f>IF($AB903="","",INDEX('Per Line'!$D$2:$D$4001,$AB903)&amp;"")</f>
        <v/>
      </c>
      <c r="D903">
        <f>IF($AB903="","",INDEX('Per Line'!$B$2:$B$4001,$AB903)&amp;"")</f>
        <v/>
      </c>
      <c r="E903">
        <f>IF($AB903="","",INDEX('Per Line'!$A$2:$A$4001,$AB903))</f>
        <v/>
      </c>
      <c r="F903" s="11">
        <f>IF($AB903="","",INDEX('Per Line'!$E$2:$E$4001,$AB903))</f>
        <v/>
      </c>
      <c r="G903">
        <f>IF($AB903="","",INDEX('Per Line'!$F$2:$F$4001,$AB903)&amp;"")</f>
        <v/>
      </c>
      <c r="H903">
        <f>IF($AB903="","",INDEX('Per Line'!$H$2:$H$4001,$AB903)&amp;"")</f>
        <v/>
      </c>
      <c r="I903">
        <f>IF($AB903="","",INDEX('Per Line'!$I$2:$I$4001,$AB903)&amp;"")</f>
        <v/>
      </c>
      <c r="J903">
        <f>IF($AB903="","",INDEX('Per Line'!$J$2:$J$4001,$AB903)&amp;"")</f>
        <v/>
      </c>
      <c r="K903">
        <f>IF($AB903="","",INDEX('Per Line'!$K$2:$K$4001,$AB903)&amp;"")</f>
        <v/>
      </c>
      <c r="L903">
        <f>IF($AB903="","",INDEX('Per Line'!$L$2:$L$4001,$AB903))</f>
        <v/>
      </c>
      <c r="M903" s="7">
        <f>IF($AB903="","",IF(AND(ISNUMBER(O903),O903&gt;0,Z903&gt;O903),L903*O903/100+(Z903-O903),L903*Z903/100))</f>
        <v/>
      </c>
      <c r="N903">
        <f>IF($AB903="","",INDEX('Per Line'!$V$2:$V$4001,$AB903)&amp;"")</f>
        <v/>
      </c>
      <c r="O903">
        <f>IF($AB903="","",INDEX('Per Line'!$Z$2:$Z$4001,$AB903))</f>
        <v/>
      </c>
      <c r="P903">
        <f>IF($AB903="","",IF(AND(ISNUMBER(O903),O903&gt;0),Z903&gt;O903,FALSE))</f>
        <v/>
      </c>
      <c r="Q903" s="7">
        <f>IF($AB903="","",SUMIFS('Per Line'!$U$2:$U$4001,'Per Line'!$C$2:$C$4001,$B903,'Per Line'!$AM$2:$AM$4001,1))</f>
        <v/>
      </c>
      <c r="R903">
        <f>IF($AB903="","",Settings!$C$7)</f>
        <v/>
      </c>
      <c r="S903" s="7">
        <f>IF($AB903="","",SUMIFS('Per Line'!$U$2:$U$4001,'Per Line'!$C$2:$C$4001,$B903,'Per Line'!$AL$2:$AL$4001,0,'Per Line'!$AM$2:$AM$4001,0))</f>
        <v/>
      </c>
      <c r="T903" s="7">
        <f>IF($AB903="","",S903*R903)</f>
        <v/>
      </c>
      <c r="U903">
        <f>IF($AB903="","",Settings!$C$6)</f>
        <v/>
      </c>
      <c r="V903" s="7">
        <f>IF($AB903="","",SUMIFS('Per Line'!$U$2:$U$4001,'Per Line'!$C$2:$C$4001,$B903,'Per Line'!$AL$2:$AL$4001,1,'Per Line'!$AM$2:$AM$4001,0))</f>
        <v/>
      </c>
      <c r="W903" s="7">
        <f>IF($AB903="","",V903*U903)</f>
        <v/>
      </c>
      <c r="X903" s="7">
        <f>IF($AB903="","",W903+T903)</f>
        <v/>
      </c>
      <c r="Y903" s="7">
        <f>IF($AB903="","",Z903-X903)</f>
        <v/>
      </c>
      <c r="Z903" s="7">
        <f>IF($AB903="","",S903+V903+Q903)</f>
        <v/>
      </c>
      <c r="AA903" s="7">
        <f>IF($AB903="","",Z903-X903-M903)</f>
        <v/>
      </c>
      <c r="AB903" s="13">
        <f>IF(ROWS($AB$2:$AB903)&lt;=MAX('Per Line'!$AK$2:$AK$4001),MATCH(ROWS($AB$2:$AB903),'Per Line'!$AK$2:$AK$4001,0),"")</f>
        <v/>
      </c>
      <c r="AC903" s="14">
        <f>IF($AB903="","",M903-L903*Z903/100)</f>
        <v/>
      </c>
    </row>
    <row r="904">
      <c r="A904" s="12" t="n"/>
      <c r="B904">
        <f>IF($AB904="","",INDEX('Per Line'!$C$2:$C$4001,$AB904)&amp;"")</f>
        <v/>
      </c>
      <c r="C904">
        <f>IF($AB904="","",INDEX('Per Line'!$D$2:$D$4001,$AB904)&amp;"")</f>
        <v/>
      </c>
      <c r="D904">
        <f>IF($AB904="","",INDEX('Per Line'!$B$2:$B$4001,$AB904)&amp;"")</f>
        <v/>
      </c>
      <c r="E904">
        <f>IF($AB904="","",INDEX('Per Line'!$A$2:$A$4001,$AB904))</f>
        <v/>
      </c>
      <c r="F904" s="11">
        <f>IF($AB904="","",INDEX('Per Line'!$E$2:$E$4001,$AB904))</f>
        <v/>
      </c>
      <c r="G904">
        <f>IF($AB904="","",INDEX('Per Line'!$F$2:$F$4001,$AB904)&amp;"")</f>
        <v/>
      </c>
      <c r="H904">
        <f>IF($AB904="","",INDEX('Per Line'!$H$2:$H$4001,$AB904)&amp;"")</f>
        <v/>
      </c>
      <c r="I904">
        <f>IF($AB904="","",INDEX('Per Line'!$I$2:$I$4001,$AB904)&amp;"")</f>
        <v/>
      </c>
      <c r="J904">
        <f>IF($AB904="","",INDEX('Per Line'!$J$2:$J$4001,$AB904)&amp;"")</f>
        <v/>
      </c>
      <c r="K904">
        <f>IF($AB904="","",INDEX('Per Line'!$K$2:$K$4001,$AB904)&amp;"")</f>
        <v/>
      </c>
      <c r="L904">
        <f>IF($AB904="","",INDEX('Per Line'!$L$2:$L$4001,$AB904))</f>
        <v/>
      </c>
      <c r="M904" s="7">
        <f>IF($AB904="","",IF(AND(ISNUMBER(O904),O904&gt;0,Z904&gt;O904),L904*O904/100+(Z904-O904),L904*Z904/100))</f>
        <v/>
      </c>
      <c r="N904">
        <f>IF($AB904="","",INDEX('Per Line'!$V$2:$V$4001,$AB904)&amp;"")</f>
        <v/>
      </c>
      <c r="O904">
        <f>IF($AB904="","",INDEX('Per Line'!$Z$2:$Z$4001,$AB904))</f>
        <v/>
      </c>
      <c r="P904">
        <f>IF($AB904="","",IF(AND(ISNUMBER(O904),O904&gt;0),Z904&gt;O904,FALSE))</f>
        <v/>
      </c>
      <c r="Q904" s="7">
        <f>IF($AB904="","",SUMIFS('Per Line'!$U$2:$U$4001,'Per Line'!$C$2:$C$4001,$B904,'Per Line'!$AM$2:$AM$4001,1))</f>
        <v/>
      </c>
      <c r="R904">
        <f>IF($AB904="","",Settings!$C$7)</f>
        <v/>
      </c>
      <c r="S904" s="7">
        <f>IF($AB904="","",SUMIFS('Per Line'!$U$2:$U$4001,'Per Line'!$C$2:$C$4001,$B904,'Per Line'!$AL$2:$AL$4001,0,'Per Line'!$AM$2:$AM$4001,0))</f>
        <v/>
      </c>
      <c r="T904" s="7">
        <f>IF($AB904="","",S904*R904)</f>
        <v/>
      </c>
      <c r="U904">
        <f>IF($AB904="","",Settings!$C$6)</f>
        <v/>
      </c>
      <c r="V904" s="7">
        <f>IF($AB904="","",SUMIFS('Per Line'!$U$2:$U$4001,'Per Line'!$C$2:$C$4001,$B904,'Per Line'!$AL$2:$AL$4001,1,'Per Line'!$AM$2:$AM$4001,0))</f>
        <v/>
      </c>
      <c r="W904" s="7">
        <f>IF($AB904="","",V904*U904)</f>
        <v/>
      </c>
      <c r="X904" s="7">
        <f>IF($AB904="","",W904+T904)</f>
        <v/>
      </c>
      <c r="Y904" s="7">
        <f>IF($AB904="","",Z904-X904)</f>
        <v/>
      </c>
      <c r="Z904" s="7">
        <f>IF($AB904="","",S904+V904+Q904)</f>
        <v/>
      </c>
      <c r="AA904" s="7">
        <f>IF($AB904="","",Z904-X904-M904)</f>
        <v/>
      </c>
      <c r="AB904" s="13">
        <f>IF(ROWS($AB$2:$AB904)&lt;=MAX('Per Line'!$AK$2:$AK$4001),MATCH(ROWS($AB$2:$AB904),'Per Line'!$AK$2:$AK$4001,0),"")</f>
        <v/>
      </c>
      <c r="AC904" s="14">
        <f>IF($AB904="","",M904-L904*Z904/100)</f>
        <v/>
      </c>
    </row>
    <row r="905">
      <c r="A905" s="12" t="n"/>
      <c r="B905">
        <f>IF($AB905="","",INDEX('Per Line'!$C$2:$C$4001,$AB905)&amp;"")</f>
        <v/>
      </c>
      <c r="C905">
        <f>IF($AB905="","",INDEX('Per Line'!$D$2:$D$4001,$AB905)&amp;"")</f>
        <v/>
      </c>
      <c r="D905">
        <f>IF($AB905="","",INDEX('Per Line'!$B$2:$B$4001,$AB905)&amp;"")</f>
        <v/>
      </c>
      <c r="E905">
        <f>IF($AB905="","",INDEX('Per Line'!$A$2:$A$4001,$AB905))</f>
        <v/>
      </c>
      <c r="F905" s="11">
        <f>IF($AB905="","",INDEX('Per Line'!$E$2:$E$4001,$AB905))</f>
        <v/>
      </c>
      <c r="G905">
        <f>IF($AB905="","",INDEX('Per Line'!$F$2:$F$4001,$AB905)&amp;"")</f>
        <v/>
      </c>
      <c r="H905">
        <f>IF($AB905="","",INDEX('Per Line'!$H$2:$H$4001,$AB905)&amp;"")</f>
        <v/>
      </c>
      <c r="I905">
        <f>IF($AB905="","",INDEX('Per Line'!$I$2:$I$4001,$AB905)&amp;"")</f>
        <v/>
      </c>
      <c r="J905">
        <f>IF($AB905="","",INDEX('Per Line'!$J$2:$J$4001,$AB905)&amp;"")</f>
        <v/>
      </c>
      <c r="K905">
        <f>IF($AB905="","",INDEX('Per Line'!$K$2:$K$4001,$AB905)&amp;"")</f>
        <v/>
      </c>
      <c r="L905">
        <f>IF($AB905="","",INDEX('Per Line'!$L$2:$L$4001,$AB905))</f>
        <v/>
      </c>
      <c r="M905" s="7">
        <f>IF($AB905="","",IF(AND(ISNUMBER(O905),O905&gt;0,Z905&gt;O905),L905*O905/100+(Z905-O905),L905*Z905/100))</f>
        <v/>
      </c>
      <c r="N905">
        <f>IF($AB905="","",INDEX('Per Line'!$V$2:$V$4001,$AB905)&amp;"")</f>
        <v/>
      </c>
      <c r="O905">
        <f>IF($AB905="","",INDEX('Per Line'!$Z$2:$Z$4001,$AB905))</f>
        <v/>
      </c>
      <c r="P905">
        <f>IF($AB905="","",IF(AND(ISNUMBER(O905),O905&gt;0),Z905&gt;O905,FALSE))</f>
        <v/>
      </c>
      <c r="Q905" s="7">
        <f>IF($AB905="","",SUMIFS('Per Line'!$U$2:$U$4001,'Per Line'!$C$2:$C$4001,$B905,'Per Line'!$AM$2:$AM$4001,1))</f>
        <v/>
      </c>
      <c r="R905">
        <f>IF($AB905="","",Settings!$C$7)</f>
        <v/>
      </c>
      <c r="S905" s="7">
        <f>IF($AB905="","",SUMIFS('Per Line'!$U$2:$U$4001,'Per Line'!$C$2:$C$4001,$B905,'Per Line'!$AL$2:$AL$4001,0,'Per Line'!$AM$2:$AM$4001,0))</f>
        <v/>
      </c>
      <c r="T905" s="7">
        <f>IF($AB905="","",S905*R905)</f>
        <v/>
      </c>
      <c r="U905">
        <f>IF($AB905="","",Settings!$C$6)</f>
        <v/>
      </c>
      <c r="V905" s="7">
        <f>IF($AB905="","",SUMIFS('Per Line'!$U$2:$U$4001,'Per Line'!$C$2:$C$4001,$B905,'Per Line'!$AL$2:$AL$4001,1,'Per Line'!$AM$2:$AM$4001,0))</f>
        <v/>
      </c>
      <c r="W905" s="7">
        <f>IF($AB905="","",V905*U905)</f>
        <v/>
      </c>
      <c r="X905" s="7">
        <f>IF($AB905="","",W905+T905)</f>
        <v/>
      </c>
      <c r="Y905" s="7">
        <f>IF($AB905="","",Z905-X905)</f>
        <v/>
      </c>
      <c r="Z905" s="7">
        <f>IF($AB905="","",S905+V905+Q905)</f>
        <v/>
      </c>
      <c r="AA905" s="7">
        <f>IF($AB905="","",Z905-X905-M905)</f>
        <v/>
      </c>
      <c r="AB905" s="13">
        <f>IF(ROWS($AB$2:$AB905)&lt;=MAX('Per Line'!$AK$2:$AK$4001),MATCH(ROWS($AB$2:$AB905),'Per Line'!$AK$2:$AK$4001,0),"")</f>
        <v/>
      </c>
      <c r="AC905" s="14">
        <f>IF($AB905="","",M905-L905*Z905/100)</f>
        <v/>
      </c>
    </row>
    <row r="906">
      <c r="A906" s="12" t="n"/>
      <c r="B906">
        <f>IF($AB906="","",INDEX('Per Line'!$C$2:$C$4001,$AB906)&amp;"")</f>
        <v/>
      </c>
      <c r="C906">
        <f>IF($AB906="","",INDEX('Per Line'!$D$2:$D$4001,$AB906)&amp;"")</f>
        <v/>
      </c>
      <c r="D906">
        <f>IF($AB906="","",INDEX('Per Line'!$B$2:$B$4001,$AB906)&amp;"")</f>
        <v/>
      </c>
      <c r="E906">
        <f>IF($AB906="","",INDEX('Per Line'!$A$2:$A$4001,$AB906))</f>
        <v/>
      </c>
      <c r="F906" s="11">
        <f>IF($AB906="","",INDEX('Per Line'!$E$2:$E$4001,$AB906))</f>
        <v/>
      </c>
      <c r="G906">
        <f>IF($AB906="","",INDEX('Per Line'!$F$2:$F$4001,$AB906)&amp;"")</f>
        <v/>
      </c>
      <c r="H906">
        <f>IF($AB906="","",INDEX('Per Line'!$H$2:$H$4001,$AB906)&amp;"")</f>
        <v/>
      </c>
      <c r="I906">
        <f>IF($AB906="","",INDEX('Per Line'!$I$2:$I$4001,$AB906)&amp;"")</f>
        <v/>
      </c>
      <c r="J906">
        <f>IF($AB906="","",INDEX('Per Line'!$J$2:$J$4001,$AB906)&amp;"")</f>
        <v/>
      </c>
      <c r="K906">
        <f>IF($AB906="","",INDEX('Per Line'!$K$2:$K$4001,$AB906)&amp;"")</f>
        <v/>
      </c>
      <c r="L906">
        <f>IF($AB906="","",INDEX('Per Line'!$L$2:$L$4001,$AB906))</f>
        <v/>
      </c>
      <c r="M906" s="7">
        <f>IF($AB906="","",IF(AND(ISNUMBER(O906),O906&gt;0,Z906&gt;O906),L906*O906/100+(Z906-O906),L906*Z906/100))</f>
        <v/>
      </c>
      <c r="N906">
        <f>IF($AB906="","",INDEX('Per Line'!$V$2:$V$4001,$AB906)&amp;"")</f>
        <v/>
      </c>
      <c r="O906">
        <f>IF($AB906="","",INDEX('Per Line'!$Z$2:$Z$4001,$AB906))</f>
        <v/>
      </c>
      <c r="P906">
        <f>IF($AB906="","",IF(AND(ISNUMBER(O906),O906&gt;0),Z906&gt;O906,FALSE))</f>
        <v/>
      </c>
      <c r="Q906" s="7">
        <f>IF($AB906="","",SUMIFS('Per Line'!$U$2:$U$4001,'Per Line'!$C$2:$C$4001,$B906,'Per Line'!$AM$2:$AM$4001,1))</f>
        <v/>
      </c>
      <c r="R906">
        <f>IF($AB906="","",Settings!$C$7)</f>
        <v/>
      </c>
      <c r="S906" s="7">
        <f>IF($AB906="","",SUMIFS('Per Line'!$U$2:$U$4001,'Per Line'!$C$2:$C$4001,$B906,'Per Line'!$AL$2:$AL$4001,0,'Per Line'!$AM$2:$AM$4001,0))</f>
        <v/>
      </c>
      <c r="T906" s="7">
        <f>IF($AB906="","",S906*R906)</f>
        <v/>
      </c>
      <c r="U906">
        <f>IF($AB906="","",Settings!$C$6)</f>
        <v/>
      </c>
      <c r="V906" s="7">
        <f>IF($AB906="","",SUMIFS('Per Line'!$U$2:$U$4001,'Per Line'!$C$2:$C$4001,$B906,'Per Line'!$AL$2:$AL$4001,1,'Per Line'!$AM$2:$AM$4001,0))</f>
        <v/>
      </c>
      <c r="W906" s="7">
        <f>IF($AB906="","",V906*U906)</f>
        <v/>
      </c>
      <c r="X906" s="7">
        <f>IF($AB906="","",W906+T906)</f>
        <v/>
      </c>
      <c r="Y906" s="7">
        <f>IF($AB906="","",Z906-X906)</f>
        <v/>
      </c>
      <c r="Z906" s="7">
        <f>IF($AB906="","",S906+V906+Q906)</f>
        <v/>
      </c>
      <c r="AA906" s="7">
        <f>IF($AB906="","",Z906-X906-M906)</f>
        <v/>
      </c>
      <c r="AB906" s="13">
        <f>IF(ROWS($AB$2:$AB906)&lt;=MAX('Per Line'!$AK$2:$AK$4001),MATCH(ROWS($AB$2:$AB906),'Per Line'!$AK$2:$AK$4001,0),"")</f>
        <v/>
      </c>
      <c r="AC906" s="14">
        <f>IF($AB906="","",M906-L906*Z906/100)</f>
        <v/>
      </c>
    </row>
    <row r="907">
      <c r="A907" s="12" t="n"/>
      <c r="B907">
        <f>IF($AB907="","",INDEX('Per Line'!$C$2:$C$4001,$AB907)&amp;"")</f>
        <v/>
      </c>
      <c r="C907">
        <f>IF($AB907="","",INDEX('Per Line'!$D$2:$D$4001,$AB907)&amp;"")</f>
        <v/>
      </c>
      <c r="D907">
        <f>IF($AB907="","",INDEX('Per Line'!$B$2:$B$4001,$AB907)&amp;"")</f>
        <v/>
      </c>
      <c r="E907">
        <f>IF($AB907="","",INDEX('Per Line'!$A$2:$A$4001,$AB907))</f>
        <v/>
      </c>
      <c r="F907" s="11">
        <f>IF($AB907="","",INDEX('Per Line'!$E$2:$E$4001,$AB907))</f>
        <v/>
      </c>
      <c r="G907">
        <f>IF($AB907="","",INDEX('Per Line'!$F$2:$F$4001,$AB907)&amp;"")</f>
        <v/>
      </c>
      <c r="H907">
        <f>IF($AB907="","",INDEX('Per Line'!$H$2:$H$4001,$AB907)&amp;"")</f>
        <v/>
      </c>
      <c r="I907">
        <f>IF($AB907="","",INDEX('Per Line'!$I$2:$I$4001,$AB907)&amp;"")</f>
        <v/>
      </c>
      <c r="J907">
        <f>IF($AB907="","",INDEX('Per Line'!$J$2:$J$4001,$AB907)&amp;"")</f>
        <v/>
      </c>
      <c r="K907">
        <f>IF($AB907="","",INDEX('Per Line'!$K$2:$K$4001,$AB907)&amp;"")</f>
        <v/>
      </c>
      <c r="L907">
        <f>IF($AB907="","",INDEX('Per Line'!$L$2:$L$4001,$AB907))</f>
        <v/>
      </c>
      <c r="M907" s="7">
        <f>IF($AB907="","",IF(AND(ISNUMBER(O907),O907&gt;0,Z907&gt;O907),L907*O907/100+(Z907-O907),L907*Z907/100))</f>
        <v/>
      </c>
      <c r="N907">
        <f>IF($AB907="","",INDEX('Per Line'!$V$2:$V$4001,$AB907)&amp;"")</f>
        <v/>
      </c>
      <c r="O907">
        <f>IF($AB907="","",INDEX('Per Line'!$Z$2:$Z$4001,$AB907))</f>
        <v/>
      </c>
      <c r="P907">
        <f>IF($AB907="","",IF(AND(ISNUMBER(O907),O907&gt;0),Z907&gt;O907,FALSE))</f>
        <v/>
      </c>
      <c r="Q907" s="7">
        <f>IF($AB907="","",SUMIFS('Per Line'!$U$2:$U$4001,'Per Line'!$C$2:$C$4001,$B907,'Per Line'!$AM$2:$AM$4001,1))</f>
        <v/>
      </c>
      <c r="R907">
        <f>IF($AB907="","",Settings!$C$7)</f>
        <v/>
      </c>
      <c r="S907" s="7">
        <f>IF($AB907="","",SUMIFS('Per Line'!$U$2:$U$4001,'Per Line'!$C$2:$C$4001,$B907,'Per Line'!$AL$2:$AL$4001,0,'Per Line'!$AM$2:$AM$4001,0))</f>
        <v/>
      </c>
      <c r="T907" s="7">
        <f>IF($AB907="","",S907*R907)</f>
        <v/>
      </c>
      <c r="U907">
        <f>IF($AB907="","",Settings!$C$6)</f>
        <v/>
      </c>
      <c r="V907" s="7">
        <f>IF($AB907="","",SUMIFS('Per Line'!$U$2:$U$4001,'Per Line'!$C$2:$C$4001,$B907,'Per Line'!$AL$2:$AL$4001,1,'Per Line'!$AM$2:$AM$4001,0))</f>
        <v/>
      </c>
      <c r="W907" s="7">
        <f>IF($AB907="","",V907*U907)</f>
        <v/>
      </c>
      <c r="X907" s="7">
        <f>IF($AB907="","",W907+T907)</f>
        <v/>
      </c>
      <c r="Y907" s="7">
        <f>IF($AB907="","",Z907-X907)</f>
        <v/>
      </c>
      <c r="Z907" s="7">
        <f>IF($AB907="","",S907+V907+Q907)</f>
        <v/>
      </c>
      <c r="AA907" s="7">
        <f>IF($AB907="","",Z907-X907-M907)</f>
        <v/>
      </c>
      <c r="AB907" s="13">
        <f>IF(ROWS($AB$2:$AB907)&lt;=MAX('Per Line'!$AK$2:$AK$4001),MATCH(ROWS($AB$2:$AB907),'Per Line'!$AK$2:$AK$4001,0),"")</f>
        <v/>
      </c>
      <c r="AC907" s="14">
        <f>IF($AB907="","",M907-L907*Z907/100)</f>
        <v/>
      </c>
    </row>
    <row r="908">
      <c r="A908" s="12" t="n"/>
      <c r="B908">
        <f>IF($AB908="","",INDEX('Per Line'!$C$2:$C$4001,$AB908)&amp;"")</f>
        <v/>
      </c>
      <c r="C908">
        <f>IF($AB908="","",INDEX('Per Line'!$D$2:$D$4001,$AB908)&amp;"")</f>
        <v/>
      </c>
      <c r="D908">
        <f>IF($AB908="","",INDEX('Per Line'!$B$2:$B$4001,$AB908)&amp;"")</f>
        <v/>
      </c>
      <c r="E908">
        <f>IF($AB908="","",INDEX('Per Line'!$A$2:$A$4001,$AB908))</f>
        <v/>
      </c>
      <c r="F908" s="11">
        <f>IF($AB908="","",INDEX('Per Line'!$E$2:$E$4001,$AB908))</f>
        <v/>
      </c>
      <c r="G908">
        <f>IF($AB908="","",INDEX('Per Line'!$F$2:$F$4001,$AB908)&amp;"")</f>
        <v/>
      </c>
      <c r="H908">
        <f>IF($AB908="","",INDEX('Per Line'!$H$2:$H$4001,$AB908)&amp;"")</f>
        <v/>
      </c>
      <c r="I908">
        <f>IF($AB908="","",INDEX('Per Line'!$I$2:$I$4001,$AB908)&amp;"")</f>
        <v/>
      </c>
      <c r="J908">
        <f>IF($AB908="","",INDEX('Per Line'!$J$2:$J$4001,$AB908)&amp;"")</f>
        <v/>
      </c>
      <c r="K908">
        <f>IF($AB908="","",INDEX('Per Line'!$K$2:$K$4001,$AB908)&amp;"")</f>
        <v/>
      </c>
      <c r="L908">
        <f>IF($AB908="","",INDEX('Per Line'!$L$2:$L$4001,$AB908))</f>
        <v/>
      </c>
      <c r="M908" s="7">
        <f>IF($AB908="","",IF(AND(ISNUMBER(O908),O908&gt;0,Z908&gt;O908),L908*O908/100+(Z908-O908),L908*Z908/100))</f>
        <v/>
      </c>
      <c r="N908">
        <f>IF($AB908="","",INDEX('Per Line'!$V$2:$V$4001,$AB908)&amp;"")</f>
        <v/>
      </c>
      <c r="O908">
        <f>IF($AB908="","",INDEX('Per Line'!$Z$2:$Z$4001,$AB908))</f>
        <v/>
      </c>
      <c r="P908">
        <f>IF($AB908="","",IF(AND(ISNUMBER(O908),O908&gt;0),Z908&gt;O908,FALSE))</f>
        <v/>
      </c>
      <c r="Q908" s="7">
        <f>IF($AB908="","",SUMIFS('Per Line'!$U$2:$U$4001,'Per Line'!$C$2:$C$4001,$B908,'Per Line'!$AM$2:$AM$4001,1))</f>
        <v/>
      </c>
      <c r="R908">
        <f>IF($AB908="","",Settings!$C$7)</f>
        <v/>
      </c>
      <c r="S908" s="7">
        <f>IF($AB908="","",SUMIFS('Per Line'!$U$2:$U$4001,'Per Line'!$C$2:$C$4001,$B908,'Per Line'!$AL$2:$AL$4001,0,'Per Line'!$AM$2:$AM$4001,0))</f>
        <v/>
      </c>
      <c r="T908" s="7">
        <f>IF($AB908="","",S908*R908)</f>
        <v/>
      </c>
      <c r="U908">
        <f>IF($AB908="","",Settings!$C$6)</f>
        <v/>
      </c>
      <c r="V908" s="7">
        <f>IF($AB908="","",SUMIFS('Per Line'!$U$2:$U$4001,'Per Line'!$C$2:$C$4001,$B908,'Per Line'!$AL$2:$AL$4001,1,'Per Line'!$AM$2:$AM$4001,0))</f>
        <v/>
      </c>
      <c r="W908" s="7">
        <f>IF($AB908="","",V908*U908)</f>
        <v/>
      </c>
      <c r="X908" s="7">
        <f>IF($AB908="","",W908+T908)</f>
        <v/>
      </c>
      <c r="Y908" s="7">
        <f>IF($AB908="","",Z908-X908)</f>
        <v/>
      </c>
      <c r="Z908" s="7">
        <f>IF($AB908="","",S908+V908+Q908)</f>
        <v/>
      </c>
      <c r="AA908" s="7">
        <f>IF($AB908="","",Z908-X908-M908)</f>
        <v/>
      </c>
      <c r="AB908" s="13">
        <f>IF(ROWS($AB$2:$AB908)&lt;=MAX('Per Line'!$AK$2:$AK$4001),MATCH(ROWS($AB$2:$AB908),'Per Line'!$AK$2:$AK$4001,0),"")</f>
        <v/>
      </c>
      <c r="AC908" s="14">
        <f>IF($AB908="","",M908-L908*Z908/100)</f>
        <v/>
      </c>
    </row>
    <row r="909">
      <c r="A909" s="12" t="n"/>
      <c r="B909">
        <f>IF($AB909="","",INDEX('Per Line'!$C$2:$C$4001,$AB909)&amp;"")</f>
        <v/>
      </c>
      <c r="C909">
        <f>IF($AB909="","",INDEX('Per Line'!$D$2:$D$4001,$AB909)&amp;"")</f>
        <v/>
      </c>
      <c r="D909">
        <f>IF($AB909="","",INDEX('Per Line'!$B$2:$B$4001,$AB909)&amp;"")</f>
        <v/>
      </c>
      <c r="E909">
        <f>IF($AB909="","",INDEX('Per Line'!$A$2:$A$4001,$AB909))</f>
        <v/>
      </c>
      <c r="F909" s="11">
        <f>IF($AB909="","",INDEX('Per Line'!$E$2:$E$4001,$AB909))</f>
        <v/>
      </c>
      <c r="G909">
        <f>IF($AB909="","",INDEX('Per Line'!$F$2:$F$4001,$AB909)&amp;"")</f>
        <v/>
      </c>
      <c r="H909">
        <f>IF($AB909="","",INDEX('Per Line'!$H$2:$H$4001,$AB909)&amp;"")</f>
        <v/>
      </c>
      <c r="I909">
        <f>IF($AB909="","",INDEX('Per Line'!$I$2:$I$4001,$AB909)&amp;"")</f>
        <v/>
      </c>
      <c r="J909">
        <f>IF($AB909="","",INDEX('Per Line'!$J$2:$J$4001,$AB909)&amp;"")</f>
        <v/>
      </c>
      <c r="K909">
        <f>IF($AB909="","",INDEX('Per Line'!$K$2:$K$4001,$AB909)&amp;"")</f>
        <v/>
      </c>
      <c r="L909">
        <f>IF($AB909="","",INDEX('Per Line'!$L$2:$L$4001,$AB909))</f>
        <v/>
      </c>
      <c r="M909" s="7">
        <f>IF($AB909="","",IF(AND(ISNUMBER(O909),O909&gt;0,Z909&gt;O909),L909*O909/100+(Z909-O909),L909*Z909/100))</f>
        <v/>
      </c>
      <c r="N909">
        <f>IF($AB909="","",INDEX('Per Line'!$V$2:$V$4001,$AB909)&amp;"")</f>
        <v/>
      </c>
      <c r="O909">
        <f>IF($AB909="","",INDEX('Per Line'!$Z$2:$Z$4001,$AB909))</f>
        <v/>
      </c>
      <c r="P909">
        <f>IF($AB909="","",IF(AND(ISNUMBER(O909),O909&gt;0),Z909&gt;O909,FALSE))</f>
        <v/>
      </c>
      <c r="Q909" s="7">
        <f>IF($AB909="","",SUMIFS('Per Line'!$U$2:$U$4001,'Per Line'!$C$2:$C$4001,$B909,'Per Line'!$AM$2:$AM$4001,1))</f>
        <v/>
      </c>
      <c r="R909">
        <f>IF($AB909="","",Settings!$C$7)</f>
        <v/>
      </c>
      <c r="S909" s="7">
        <f>IF($AB909="","",SUMIFS('Per Line'!$U$2:$U$4001,'Per Line'!$C$2:$C$4001,$B909,'Per Line'!$AL$2:$AL$4001,0,'Per Line'!$AM$2:$AM$4001,0))</f>
        <v/>
      </c>
      <c r="T909" s="7">
        <f>IF($AB909="","",S909*R909)</f>
        <v/>
      </c>
      <c r="U909">
        <f>IF($AB909="","",Settings!$C$6)</f>
        <v/>
      </c>
      <c r="V909" s="7">
        <f>IF($AB909="","",SUMIFS('Per Line'!$U$2:$U$4001,'Per Line'!$C$2:$C$4001,$B909,'Per Line'!$AL$2:$AL$4001,1,'Per Line'!$AM$2:$AM$4001,0))</f>
        <v/>
      </c>
      <c r="W909" s="7">
        <f>IF($AB909="","",V909*U909)</f>
        <v/>
      </c>
      <c r="X909" s="7">
        <f>IF($AB909="","",W909+T909)</f>
        <v/>
      </c>
      <c r="Y909" s="7">
        <f>IF($AB909="","",Z909-X909)</f>
        <v/>
      </c>
      <c r="Z909" s="7">
        <f>IF($AB909="","",S909+V909+Q909)</f>
        <v/>
      </c>
      <c r="AA909" s="7">
        <f>IF($AB909="","",Z909-X909-M909)</f>
        <v/>
      </c>
      <c r="AB909" s="13">
        <f>IF(ROWS($AB$2:$AB909)&lt;=MAX('Per Line'!$AK$2:$AK$4001),MATCH(ROWS($AB$2:$AB909),'Per Line'!$AK$2:$AK$4001,0),"")</f>
        <v/>
      </c>
      <c r="AC909" s="14">
        <f>IF($AB909="","",M909-L909*Z909/100)</f>
        <v/>
      </c>
    </row>
    <row r="910">
      <c r="A910" s="12" t="n"/>
      <c r="B910">
        <f>IF($AB910="","",INDEX('Per Line'!$C$2:$C$4001,$AB910)&amp;"")</f>
        <v/>
      </c>
      <c r="C910">
        <f>IF($AB910="","",INDEX('Per Line'!$D$2:$D$4001,$AB910)&amp;"")</f>
        <v/>
      </c>
      <c r="D910">
        <f>IF($AB910="","",INDEX('Per Line'!$B$2:$B$4001,$AB910)&amp;"")</f>
        <v/>
      </c>
      <c r="E910">
        <f>IF($AB910="","",INDEX('Per Line'!$A$2:$A$4001,$AB910))</f>
        <v/>
      </c>
      <c r="F910" s="11">
        <f>IF($AB910="","",INDEX('Per Line'!$E$2:$E$4001,$AB910))</f>
        <v/>
      </c>
      <c r="G910">
        <f>IF($AB910="","",INDEX('Per Line'!$F$2:$F$4001,$AB910)&amp;"")</f>
        <v/>
      </c>
      <c r="H910">
        <f>IF($AB910="","",INDEX('Per Line'!$H$2:$H$4001,$AB910)&amp;"")</f>
        <v/>
      </c>
      <c r="I910">
        <f>IF($AB910="","",INDEX('Per Line'!$I$2:$I$4001,$AB910)&amp;"")</f>
        <v/>
      </c>
      <c r="J910">
        <f>IF($AB910="","",INDEX('Per Line'!$J$2:$J$4001,$AB910)&amp;"")</f>
        <v/>
      </c>
      <c r="K910">
        <f>IF($AB910="","",INDEX('Per Line'!$K$2:$K$4001,$AB910)&amp;"")</f>
        <v/>
      </c>
      <c r="L910">
        <f>IF($AB910="","",INDEX('Per Line'!$L$2:$L$4001,$AB910))</f>
        <v/>
      </c>
      <c r="M910" s="7">
        <f>IF($AB910="","",IF(AND(ISNUMBER(O910),O910&gt;0,Z910&gt;O910),L910*O910/100+(Z910-O910),L910*Z910/100))</f>
        <v/>
      </c>
      <c r="N910">
        <f>IF($AB910="","",INDEX('Per Line'!$V$2:$V$4001,$AB910)&amp;"")</f>
        <v/>
      </c>
      <c r="O910">
        <f>IF($AB910="","",INDEX('Per Line'!$Z$2:$Z$4001,$AB910))</f>
        <v/>
      </c>
      <c r="P910">
        <f>IF($AB910="","",IF(AND(ISNUMBER(O910),O910&gt;0),Z910&gt;O910,FALSE))</f>
        <v/>
      </c>
      <c r="Q910" s="7">
        <f>IF($AB910="","",SUMIFS('Per Line'!$U$2:$U$4001,'Per Line'!$C$2:$C$4001,$B910,'Per Line'!$AM$2:$AM$4001,1))</f>
        <v/>
      </c>
      <c r="R910">
        <f>IF($AB910="","",Settings!$C$7)</f>
        <v/>
      </c>
      <c r="S910" s="7">
        <f>IF($AB910="","",SUMIFS('Per Line'!$U$2:$U$4001,'Per Line'!$C$2:$C$4001,$B910,'Per Line'!$AL$2:$AL$4001,0,'Per Line'!$AM$2:$AM$4001,0))</f>
        <v/>
      </c>
      <c r="T910" s="7">
        <f>IF($AB910="","",S910*R910)</f>
        <v/>
      </c>
      <c r="U910">
        <f>IF($AB910="","",Settings!$C$6)</f>
        <v/>
      </c>
      <c r="V910" s="7">
        <f>IF($AB910="","",SUMIFS('Per Line'!$U$2:$U$4001,'Per Line'!$C$2:$C$4001,$B910,'Per Line'!$AL$2:$AL$4001,1,'Per Line'!$AM$2:$AM$4001,0))</f>
        <v/>
      </c>
      <c r="W910" s="7">
        <f>IF($AB910="","",V910*U910)</f>
        <v/>
      </c>
      <c r="X910" s="7">
        <f>IF($AB910="","",W910+T910)</f>
        <v/>
      </c>
      <c r="Y910" s="7">
        <f>IF($AB910="","",Z910-X910)</f>
        <v/>
      </c>
      <c r="Z910" s="7">
        <f>IF($AB910="","",S910+V910+Q910)</f>
        <v/>
      </c>
      <c r="AA910" s="7">
        <f>IF($AB910="","",Z910-X910-M910)</f>
        <v/>
      </c>
      <c r="AB910" s="13">
        <f>IF(ROWS($AB$2:$AB910)&lt;=MAX('Per Line'!$AK$2:$AK$4001),MATCH(ROWS($AB$2:$AB910),'Per Line'!$AK$2:$AK$4001,0),"")</f>
        <v/>
      </c>
      <c r="AC910" s="14">
        <f>IF($AB910="","",M910-L910*Z910/100)</f>
        <v/>
      </c>
    </row>
    <row r="911">
      <c r="A911" s="12" t="n"/>
      <c r="B911">
        <f>IF($AB911="","",INDEX('Per Line'!$C$2:$C$4001,$AB911)&amp;"")</f>
        <v/>
      </c>
      <c r="C911">
        <f>IF($AB911="","",INDEX('Per Line'!$D$2:$D$4001,$AB911)&amp;"")</f>
        <v/>
      </c>
      <c r="D911">
        <f>IF($AB911="","",INDEX('Per Line'!$B$2:$B$4001,$AB911)&amp;"")</f>
        <v/>
      </c>
      <c r="E911">
        <f>IF($AB911="","",INDEX('Per Line'!$A$2:$A$4001,$AB911))</f>
        <v/>
      </c>
      <c r="F911" s="11">
        <f>IF($AB911="","",INDEX('Per Line'!$E$2:$E$4001,$AB911))</f>
        <v/>
      </c>
      <c r="G911">
        <f>IF($AB911="","",INDEX('Per Line'!$F$2:$F$4001,$AB911)&amp;"")</f>
        <v/>
      </c>
      <c r="H911">
        <f>IF($AB911="","",INDEX('Per Line'!$H$2:$H$4001,$AB911)&amp;"")</f>
        <v/>
      </c>
      <c r="I911">
        <f>IF($AB911="","",INDEX('Per Line'!$I$2:$I$4001,$AB911)&amp;"")</f>
        <v/>
      </c>
      <c r="J911">
        <f>IF($AB911="","",INDEX('Per Line'!$J$2:$J$4001,$AB911)&amp;"")</f>
        <v/>
      </c>
      <c r="K911">
        <f>IF($AB911="","",INDEX('Per Line'!$K$2:$K$4001,$AB911)&amp;"")</f>
        <v/>
      </c>
      <c r="L911">
        <f>IF($AB911="","",INDEX('Per Line'!$L$2:$L$4001,$AB911))</f>
        <v/>
      </c>
      <c r="M911" s="7">
        <f>IF($AB911="","",IF(AND(ISNUMBER(O911),O911&gt;0,Z911&gt;O911),L911*O911/100+(Z911-O911),L911*Z911/100))</f>
        <v/>
      </c>
      <c r="N911">
        <f>IF($AB911="","",INDEX('Per Line'!$V$2:$V$4001,$AB911)&amp;"")</f>
        <v/>
      </c>
      <c r="O911">
        <f>IF($AB911="","",INDEX('Per Line'!$Z$2:$Z$4001,$AB911))</f>
        <v/>
      </c>
      <c r="P911">
        <f>IF($AB911="","",IF(AND(ISNUMBER(O911),O911&gt;0),Z911&gt;O911,FALSE))</f>
        <v/>
      </c>
      <c r="Q911" s="7">
        <f>IF($AB911="","",SUMIFS('Per Line'!$U$2:$U$4001,'Per Line'!$C$2:$C$4001,$B911,'Per Line'!$AM$2:$AM$4001,1))</f>
        <v/>
      </c>
      <c r="R911">
        <f>IF($AB911="","",Settings!$C$7)</f>
        <v/>
      </c>
      <c r="S911" s="7">
        <f>IF($AB911="","",SUMIFS('Per Line'!$U$2:$U$4001,'Per Line'!$C$2:$C$4001,$B911,'Per Line'!$AL$2:$AL$4001,0,'Per Line'!$AM$2:$AM$4001,0))</f>
        <v/>
      </c>
      <c r="T911" s="7">
        <f>IF($AB911="","",S911*R911)</f>
        <v/>
      </c>
      <c r="U911">
        <f>IF($AB911="","",Settings!$C$6)</f>
        <v/>
      </c>
      <c r="V911" s="7">
        <f>IF($AB911="","",SUMIFS('Per Line'!$U$2:$U$4001,'Per Line'!$C$2:$C$4001,$B911,'Per Line'!$AL$2:$AL$4001,1,'Per Line'!$AM$2:$AM$4001,0))</f>
        <v/>
      </c>
      <c r="W911" s="7">
        <f>IF($AB911="","",V911*U911)</f>
        <v/>
      </c>
      <c r="X911" s="7">
        <f>IF($AB911="","",W911+T911)</f>
        <v/>
      </c>
      <c r="Y911" s="7">
        <f>IF($AB911="","",Z911-X911)</f>
        <v/>
      </c>
      <c r="Z911" s="7">
        <f>IF($AB911="","",S911+V911+Q911)</f>
        <v/>
      </c>
      <c r="AA911" s="7">
        <f>IF($AB911="","",Z911-X911-M911)</f>
        <v/>
      </c>
      <c r="AB911" s="13">
        <f>IF(ROWS($AB$2:$AB911)&lt;=MAX('Per Line'!$AK$2:$AK$4001),MATCH(ROWS($AB$2:$AB911),'Per Line'!$AK$2:$AK$4001,0),"")</f>
        <v/>
      </c>
      <c r="AC911" s="14">
        <f>IF($AB911="","",M911-L911*Z911/100)</f>
        <v/>
      </c>
    </row>
    <row r="912">
      <c r="A912" s="12" t="n"/>
      <c r="B912">
        <f>IF($AB912="","",INDEX('Per Line'!$C$2:$C$4001,$AB912)&amp;"")</f>
        <v/>
      </c>
      <c r="C912">
        <f>IF($AB912="","",INDEX('Per Line'!$D$2:$D$4001,$AB912)&amp;"")</f>
        <v/>
      </c>
      <c r="D912">
        <f>IF($AB912="","",INDEX('Per Line'!$B$2:$B$4001,$AB912)&amp;"")</f>
        <v/>
      </c>
      <c r="E912">
        <f>IF($AB912="","",INDEX('Per Line'!$A$2:$A$4001,$AB912))</f>
        <v/>
      </c>
      <c r="F912" s="11">
        <f>IF($AB912="","",INDEX('Per Line'!$E$2:$E$4001,$AB912))</f>
        <v/>
      </c>
      <c r="G912">
        <f>IF($AB912="","",INDEX('Per Line'!$F$2:$F$4001,$AB912)&amp;"")</f>
        <v/>
      </c>
      <c r="H912">
        <f>IF($AB912="","",INDEX('Per Line'!$H$2:$H$4001,$AB912)&amp;"")</f>
        <v/>
      </c>
      <c r="I912">
        <f>IF($AB912="","",INDEX('Per Line'!$I$2:$I$4001,$AB912)&amp;"")</f>
        <v/>
      </c>
      <c r="J912">
        <f>IF($AB912="","",INDEX('Per Line'!$J$2:$J$4001,$AB912)&amp;"")</f>
        <v/>
      </c>
      <c r="K912">
        <f>IF($AB912="","",INDEX('Per Line'!$K$2:$K$4001,$AB912)&amp;"")</f>
        <v/>
      </c>
      <c r="L912">
        <f>IF($AB912="","",INDEX('Per Line'!$L$2:$L$4001,$AB912))</f>
        <v/>
      </c>
      <c r="M912" s="7">
        <f>IF($AB912="","",IF(AND(ISNUMBER(O912),O912&gt;0,Z912&gt;O912),L912*O912/100+(Z912-O912),L912*Z912/100))</f>
        <v/>
      </c>
      <c r="N912">
        <f>IF($AB912="","",INDEX('Per Line'!$V$2:$V$4001,$AB912)&amp;"")</f>
        <v/>
      </c>
      <c r="O912">
        <f>IF($AB912="","",INDEX('Per Line'!$Z$2:$Z$4001,$AB912))</f>
        <v/>
      </c>
      <c r="P912">
        <f>IF($AB912="","",IF(AND(ISNUMBER(O912),O912&gt;0),Z912&gt;O912,FALSE))</f>
        <v/>
      </c>
      <c r="Q912" s="7">
        <f>IF($AB912="","",SUMIFS('Per Line'!$U$2:$U$4001,'Per Line'!$C$2:$C$4001,$B912,'Per Line'!$AM$2:$AM$4001,1))</f>
        <v/>
      </c>
      <c r="R912">
        <f>IF($AB912="","",Settings!$C$7)</f>
        <v/>
      </c>
      <c r="S912" s="7">
        <f>IF($AB912="","",SUMIFS('Per Line'!$U$2:$U$4001,'Per Line'!$C$2:$C$4001,$B912,'Per Line'!$AL$2:$AL$4001,0,'Per Line'!$AM$2:$AM$4001,0))</f>
        <v/>
      </c>
      <c r="T912" s="7">
        <f>IF($AB912="","",S912*R912)</f>
        <v/>
      </c>
      <c r="U912">
        <f>IF($AB912="","",Settings!$C$6)</f>
        <v/>
      </c>
      <c r="V912" s="7">
        <f>IF($AB912="","",SUMIFS('Per Line'!$U$2:$U$4001,'Per Line'!$C$2:$C$4001,$B912,'Per Line'!$AL$2:$AL$4001,1,'Per Line'!$AM$2:$AM$4001,0))</f>
        <v/>
      </c>
      <c r="W912" s="7">
        <f>IF($AB912="","",V912*U912)</f>
        <v/>
      </c>
      <c r="X912" s="7">
        <f>IF($AB912="","",W912+T912)</f>
        <v/>
      </c>
      <c r="Y912" s="7">
        <f>IF($AB912="","",Z912-X912)</f>
        <v/>
      </c>
      <c r="Z912" s="7">
        <f>IF($AB912="","",S912+V912+Q912)</f>
        <v/>
      </c>
      <c r="AA912" s="7">
        <f>IF($AB912="","",Z912-X912-M912)</f>
        <v/>
      </c>
      <c r="AB912" s="13">
        <f>IF(ROWS($AB$2:$AB912)&lt;=MAX('Per Line'!$AK$2:$AK$4001),MATCH(ROWS($AB$2:$AB912),'Per Line'!$AK$2:$AK$4001,0),"")</f>
        <v/>
      </c>
      <c r="AC912" s="14">
        <f>IF($AB912="","",M912-L912*Z912/100)</f>
        <v/>
      </c>
    </row>
    <row r="913">
      <c r="A913" s="12" t="n"/>
      <c r="B913">
        <f>IF($AB913="","",INDEX('Per Line'!$C$2:$C$4001,$AB913)&amp;"")</f>
        <v/>
      </c>
      <c r="C913">
        <f>IF($AB913="","",INDEX('Per Line'!$D$2:$D$4001,$AB913)&amp;"")</f>
        <v/>
      </c>
      <c r="D913">
        <f>IF($AB913="","",INDEX('Per Line'!$B$2:$B$4001,$AB913)&amp;"")</f>
        <v/>
      </c>
      <c r="E913">
        <f>IF($AB913="","",INDEX('Per Line'!$A$2:$A$4001,$AB913))</f>
        <v/>
      </c>
      <c r="F913" s="11">
        <f>IF($AB913="","",INDEX('Per Line'!$E$2:$E$4001,$AB913))</f>
        <v/>
      </c>
      <c r="G913">
        <f>IF($AB913="","",INDEX('Per Line'!$F$2:$F$4001,$AB913)&amp;"")</f>
        <v/>
      </c>
      <c r="H913">
        <f>IF($AB913="","",INDEX('Per Line'!$H$2:$H$4001,$AB913)&amp;"")</f>
        <v/>
      </c>
      <c r="I913">
        <f>IF($AB913="","",INDEX('Per Line'!$I$2:$I$4001,$AB913)&amp;"")</f>
        <v/>
      </c>
      <c r="J913">
        <f>IF($AB913="","",INDEX('Per Line'!$J$2:$J$4001,$AB913)&amp;"")</f>
        <v/>
      </c>
      <c r="K913">
        <f>IF($AB913="","",INDEX('Per Line'!$K$2:$K$4001,$AB913)&amp;"")</f>
        <v/>
      </c>
      <c r="L913">
        <f>IF($AB913="","",INDEX('Per Line'!$L$2:$L$4001,$AB913))</f>
        <v/>
      </c>
      <c r="M913" s="7">
        <f>IF($AB913="","",IF(AND(ISNUMBER(O913),O913&gt;0,Z913&gt;O913),L913*O913/100+(Z913-O913),L913*Z913/100))</f>
        <v/>
      </c>
      <c r="N913">
        <f>IF($AB913="","",INDEX('Per Line'!$V$2:$V$4001,$AB913)&amp;"")</f>
        <v/>
      </c>
      <c r="O913">
        <f>IF($AB913="","",INDEX('Per Line'!$Z$2:$Z$4001,$AB913))</f>
        <v/>
      </c>
      <c r="P913">
        <f>IF($AB913="","",IF(AND(ISNUMBER(O913),O913&gt;0),Z913&gt;O913,FALSE))</f>
        <v/>
      </c>
      <c r="Q913" s="7">
        <f>IF($AB913="","",SUMIFS('Per Line'!$U$2:$U$4001,'Per Line'!$C$2:$C$4001,$B913,'Per Line'!$AM$2:$AM$4001,1))</f>
        <v/>
      </c>
      <c r="R913">
        <f>IF($AB913="","",Settings!$C$7)</f>
        <v/>
      </c>
      <c r="S913" s="7">
        <f>IF($AB913="","",SUMIFS('Per Line'!$U$2:$U$4001,'Per Line'!$C$2:$C$4001,$B913,'Per Line'!$AL$2:$AL$4001,0,'Per Line'!$AM$2:$AM$4001,0))</f>
        <v/>
      </c>
      <c r="T913" s="7">
        <f>IF($AB913="","",S913*R913)</f>
        <v/>
      </c>
      <c r="U913">
        <f>IF($AB913="","",Settings!$C$6)</f>
        <v/>
      </c>
      <c r="V913" s="7">
        <f>IF($AB913="","",SUMIFS('Per Line'!$U$2:$U$4001,'Per Line'!$C$2:$C$4001,$B913,'Per Line'!$AL$2:$AL$4001,1,'Per Line'!$AM$2:$AM$4001,0))</f>
        <v/>
      </c>
      <c r="W913" s="7">
        <f>IF($AB913="","",V913*U913)</f>
        <v/>
      </c>
      <c r="X913" s="7">
        <f>IF($AB913="","",W913+T913)</f>
        <v/>
      </c>
      <c r="Y913" s="7">
        <f>IF($AB913="","",Z913-X913)</f>
        <v/>
      </c>
      <c r="Z913" s="7">
        <f>IF($AB913="","",S913+V913+Q913)</f>
        <v/>
      </c>
      <c r="AA913" s="7">
        <f>IF($AB913="","",Z913-X913-M913)</f>
        <v/>
      </c>
      <c r="AB913" s="13">
        <f>IF(ROWS($AB$2:$AB913)&lt;=MAX('Per Line'!$AK$2:$AK$4001),MATCH(ROWS($AB$2:$AB913),'Per Line'!$AK$2:$AK$4001,0),"")</f>
        <v/>
      </c>
      <c r="AC913" s="14">
        <f>IF($AB913="","",M913-L913*Z913/100)</f>
        <v/>
      </c>
    </row>
    <row r="914">
      <c r="A914" s="12" t="n"/>
      <c r="B914">
        <f>IF($AB914="","",INDEX('Per Line'!$C$2:$C$4001,$AB914)&amp;"")</f>
        <v/>
      </c>
      <c r="C914">
        <f>IF($AB914="","",INDEX('Per Line'!$D$2:$D$4001,$AB914)&amp;"")</f>
        <v/>
      </c>
      <c r="D914">
        <f>IF($AB914="","",INDEX('Per Line'!$B$2:$B$4001,$AB914)&amp;"")</f>
        <v/>
      </c>
      <c r="E914">
        <f>IF($AB914="","",INDEX('Per Line'!$A$2:$A$4001,$AB914))</f>
        <v/>
      </c>
      <c r="F914" s="11">
        <f>IF($AB914="","",INDEX('Per Line'!$E$2:$E$4001,$AB914))</f>
        <v/>
      </c>
      <c r="G914">
        <f>IF($AB914="","",INDEX('Per Line'!$F$2:$F$4001,$AB914)&amp;"")</f>
        <v/>
      </c>
      <c r="H914">
        <f>IF($AB914="","",INDEX('Per Line'!$H$2:$H$4001,$AB914)&amp;"")</f>
        <v/>
      </c>
      <c r="I914">
        <f>IF($AB914="","",INDEX('Per Line'!$I$2:$I$4001,$AB914)&amp;"")</f>
        <v/>
      </c>
      <c r="J914">
        <f>IF($AB914="","",INDEX('Per Line'!$J$2:$J$4001,$AB914)&amp;"")</f>
        <v/>
      </c>
      <c r="K914">
        <f>IF($AB914="","",INDEX('Per Line'!$K$2:$K$4001,$AB914)&amp;"")</f>
        <v/>
      </c>
      <c r="L914">
        <f>IF($AB914="","",INDEX('Per Line'!$L$2:$L$4001,$AB914))</f>
        <v/>
      </c>
      <c r="M914" s="7">
        <f>IF($AB914="","",IF(AND(ISNUMBER(O914),O914&gt;0,Z914&gt;O914),L914*O914/100+(Z914-O914),L914*Z914/100))</f>
        <v/>
      </c>
      <c r="N914">
        <f>IF($AB914="","",INDEX('Per Line'!$V$2:$V$4001,$AB914)&amp;"")</f>
        <v/>
      </c>
      <c r="O914">
        <f>IF($AB914="","",INDEX('Per Line'!$Z$2:$Z$4001,$AB914))</f>
        <v/>
      </c>
      <c r="P914">
        <f>IF($AB914="","",IF(AND(ISNUMBER(O914),O914&gt;0),Z914&gt;O914,FALSE))</f>
        <v/>
      </c>
      <c r="Q914" s="7">
        <f>IF($AB914="","",SUMIFS('Per Line'!$U$2:$U$4001,'Per Line'!$C$2:$C$4001,$B914,'Per Line'!$AM$2:$AM$4001,1))</f>
        <v/>
      </c>
      <c r="R914">
        <f>IF($AB914="","",Settings!$C$7)</f>
        <v/>
      </c>
      <c r="S914" s="7">
        <f>IF($AB914="","",SUMIFS('Per Line'!$U$2:$U$4001,'Per Line'!$C$2:$C$4001,$B914,'Per Line'!$AL$2:$AL$4001,0,'Per Line'!$AM$2:$AM$4001,0))</f>
        <v/>
      </c>
      <c r="T914" s="7">
        <f>IF($AB914="","",S914*R914)</f>
        <v/>
      </c>
      <c r="U914">
        <f>IF($AB914="","",Settings!$C$6)</f>
        <v/>
      </c>
      <c r="V914" s="7">
        <f>IF($AB914="","",SUMIFS('Per Line'!$U$2:$U$4001,'Per Line'!$C$2:$C$4001,$B914,'Per Line'!$AL$2:$AL$4001,1,'Per Line'!$AM$2:$AM$4001,0))</f>
        <v/>
      </c>
      <c r="W914" s="7">
        <f>IF($AB914="","",V914*U914)</f>
        <v/>
      </c>
      <c r="X914" s="7">
        <f>IF($AB914="","",W914+T914)</f>
        <v/>
      </c>
      <c r="Y914" s="7">
        <f>IF($AB914="","",Z914-X914)</f>
        <v/>
      </c>
      <c r="Z914" s="7">
        <f>IF($AB914="","",S914+V914+Q914)</f>
        <v/>
      </c>
      <c r="AA914" s="7">
        <f>IF($AB914="","",Z914-X914-M914)</f>
        <v/>
      </c>
      <c r="AB914" s="13">
        <f>IF(ROWS($AB$2:$AB914)&lt;=MAX('Per Line'!$AK$2:$AK$4001),MATCH(ROWS($AB$2:$AB914),'Per Line'!$AK$2:$AK$4001,0),"")</f>
        <v/>
      </c>
      <c r="AC914" s="14">
        <f>IF($AB914="","",M914-L914*Z914/100)</f>
        <v/>
      </c>
    </row>
    <row r="915">
      <c r="A915" s="12" t="n"/>
      <c r="B915">
        <f>IF($AB915="","",INDEX('Per Line'!$C$2:$C$4001,$AB915)&amp;"")</f>
        <v/>
      </c>
      <c r="C915">
        <f>IF($AB915="","",INDEX('Per Line'!$D$2:$D$4001,$AB915)&amp;"")</f>
        <v/>
      </c>
      <c r="D915">
        <f>IF($AB915="","",INDEX('Per Line'!$B$2:$B$4001,$AB915)&amp;"")</f>
        <v/>
      </c>
      <c r="E915">
        <f>IF($AB915="","",INDEX('Per Line'!$A$2:$A$4001,$AB915))</f>
        <v/>
      </c>
      <c r="F915" s="11">
        <f>IF($AB915="","",INDEX('Per Line'!$E$2:$E$4001,$AB915))</f>
        <v/>
      </c>
      <c r="G915">
        <f>IF($AB915="","",INDEX('Per Line'!$F$2:$F$4001,$AB915)&amp;"")</f>
        <v/>
      </c>
      <c r="H915">
        <f>IF($AB915="","",INDEX('Per Line'!$H$2:$H$4001,$AB915)&amp;"")</f>
        <v/>
      </c>
      <c r="I915">
        <f>IF($AB915="","",INDEX('Per Line'!$I$2:$I$4001,$AB915)&amp;"")</f>
        <v/>
      </c>
      <c r="J915">
        <f>IF($AB915="","",INDEX('Per Line'!$J$2:$J$4001,$AB915)&amp;"")</f>
        <v/>
      </c>
      <c r="K915">
        <f>IF($AB915="","",INDEX('Per Line'!$K$2:$K$4001,$AB915)&amp;"")</f>
        <v/>
      </c>
      <c r="L915">
        <f>IF($AB915="","",INDEX('Per Line'!$L$2:$L$4001,$AB915))</f>
        <v/>
      </c>
      <c r="M915" s="7">
        <f>IF($AB915="","",IF(AND(ISNUMBER(O915),O915&gt;0,Z915&gt;O915),L915*O915/100+(Z915-O915),L915*Z915/100))</f>
        <v/>
      </c>
      <c r="N915">
        <f>IF($AB915="","",INDEX('Per Line'!$V$2:$V$4001,$AB915)&amp;"")</f>
        <v/>
      </c>
      <c r="O915">
        <f>IF($AB915="","",INDEX('Per Line'!$Z$2:$Z$4001,$AB915))</f>
        <v/>
      </c>
      <c r="P915">
        <f>IF($AB915="","",IF(AND(ISNUMBER(O915),O915&gt;0),Z915&gt;O915,FALSE))</f>
        <v/>
      </c>
      <c r="Q915" s="7">
        <f>IF($AB915="","",SUMIFS('Per Line'!$U$2:$U$4001,'Per Line'!$C$2:$C$4001,$B915,'Per Line'!$AM$2:$AM$4001,1))</f>
        <v/>
      </c>
      <c r="R915">
        <f>IF($AB915="","",Settings!$C$7)</f>
        <v/>
      </c>
      <c r="S915" s="7">
        <f>IF($AB915="","",SUMIFS('Per Line'!$U$2:$U$4001,'Per Line'!$C$2:$C$4001,$B915,'Per Line'!$AL$2:$AL$4001,0,'Per Line'!$AM$2:$AM$4001,0))</f>
        <v/>
      </c>
      <c r="T915" s="7">
        <f>IF($AB915="","",S915*R915)</f>
        <v/>
      </c>
      <c r="U915">
        <f>IF($AB915="","",Settings!$C$6)</f>
        <v/>
      </c>
      <c r="V915" s="7">
        <f>IF($AB915="","",SUMIFS('Per Line'!$U$2:$U$4001,'Per Line'!$C$2:$C$4001,$B915,'Per Line'!$AL$2:$AL$4001,1,'Per Line'!$AM$2:$AM$4001,0))</f>
        <v/>
      </c>
      <c r="W915" s="7">
        <f>IF($AB915="","",V915*U915)</f>
        <v/>
      </c>
      <c r="X915" s="7">
        <f>IF($AB915="","",W915+T915)</f>
        <v/>
      </c>
      <c r="Y915" s="7">
        <f>IF($AB915="","",Z915-X915)</f>
        <v/>
      </c>
      <c r="Z915" s="7">
        <f>IF($AB915="","",S915+V915+Q915)</f>
        <v/>
      </c>
      <c r="AA915" s="7">
        <f>IF($AB915="","",Z915-X915-M915)</f>
        <v/>
      </c>
      <c r="AB915" s="13">
        <f>IF(ROWS($AB$2:$AB915)&lt;=MAX('Per Line'!$AK$2:$AK$4001),MATCH(ROWS($AB$2:$AB915),'Per Line'!$AK$2:$AK$4001,0),"")</f>
        <v/>
      </c>
      <c r="AC915" s="14">
        <f>IF($AB915="","",M915-L915*Z915/100)</f>
        <v/>
      </c>
    </row>
    <row r="916">
      <c r="A916" s="12" t="n"/>
      <c r="B916">
        <f>IF($AB916="","",INDEX('Per Line'!$C$2:$C$4001,$AB916)&amp;"")</f>
        <v/>
      </c>
      <c r="C916">
        <f>IF($AB916="","",INDEX('Per Line'!$D$2:$D$4001,$AB916)&amp;"")</f>
        <v/>
      </c>
      <c r="D916">
        <f>IF($AB916="","",INDEX('Per Line'!$B$2:$B$4001,$AB916)&amp;"")</f>
        <v/>
      </c>
      <c r="E916">
        <f>IF($AB916="","",INDEX('Per Line'!$A$2:$A$4001,$AB916))</f>
        <v/>
      </c>
      <c r="F916" s="11">
        <f>IF($AB916="","",INDEX('Per Line'!$E$2:$E$4001,$AB916))</f>
        <v/>
      </c>
      <c r="G916">
        <f>IF($AB916="","",INDEX('Per Line'!$F$2:$F$4001,$AB916)&amp;"")</f>
        <v/>
      </c>
      <c r="H916">
        <f>IF($AB916="","",INDEX('Per Line'!$H$2:$H$4001,$AB916)&amp;"")</f>
        <v/>
      </c>
      <c r="I916">
        <f>IF($AB916="","",INDEX('Per Line'!$I$2:$I$4001,$AB916)&amp;"")</f>
        <v/>
      </c>
      <c r="J916">
        <f>IF($AB916="","",INDEX('Per Line'!$J$2:$J$4001,$AB916)&amp;"")</f>
        <v/>
      </c>
      <c r="K916">
        <f>IF($AB916="","",INDEX('Per Line'!$K$2:$K$4001,$AB916)&amp;"")</f>
        <v/>
      </c>
      <c r="L916">
        <f>IF($AB916="","",INDEX('Per Line'!$L$2:$L$4001,$AB916))</f>
        <v/>
      </c>
      <c r="M916" s="7">
        <f>IF($AB916="","",IF(AND(ISNUMBER(O916),O916&gt;0,Z916&gt;O916),L916*O916/100+(Z916-O916),L916*Z916/100))</f>
        <v/>
      </c>
      <c r="N916">
        <f>IF($AB916="","",INDEX('Per Line'!$V$2:$V$4001,$AB916)&amp;"")</f>
        <v/>
      </c>
      <c r="O916">
        <f>IF($AB916="","",INDEX('Per Line'!$Z$2:$Z$4001,$AB916))</f>
        <v/>
      </c>
      <c r="P916">
        <f>IF($AB916="","",IF(AND(ISNUMBER(O916),O916&gt;0),Z916&gt;O916,FALSE))</f>
        <v/>
      </c>
      <c r="Q916" s="7">
        <f>IF($AB916="","",SUMIFS('Per Line'!$U$2:$U$4001,'Per Line'!$C$2:$C$4001,$B916,'Per Line'!$AM$2:$AM$4001,1))</f>
        <v/>
      </c>
      <c r="R916">
        <f>IF($AB916="","",Settings!$C$7)</f>
        <v/>
      </c>
      <c r="S916" s="7">
        <f>IF($AB916="","",SUMIFS('Per Line'!$U$2:$U$4001,'Per Line'!$C$2:$C$4001,$B916,'Per Line'!$AL$2:$AL$4001,0,'Per Line'!$AM$2:$AM$4001,0))</f>
        <v/>
      </c>
      <c r="T916" s="7">
        <f>IF($AB916="","",S916*R916)</f>
        <v/>
      </c>
      <c r="U916">
        <f>IF($AB916="","",Settings!$C$6)</f>
        <v/>
      </c>
      <c r="V916" s="7">
        <f>IF($AB916="","",SUMIFS('Per Line'!$U$2:$U$4001,'Per Line'!$C$2:$C$4001,$B916,'Per Line'!$AL$2:$AL$4001,1,'Per Line'!$AM$2:$AM$4001,0))</f>
        <v/>
      </c>
      <c r="W916" s="7">
        <f>IF($AB916="","",V916*U916)</f>
        <v/>
      </c>
      <c r="X916" s="7">
        <f>IF($AB916="","",W916+T916)</f>
        <v/>
      </c>
      <c r="Y916" s="7">
        <f>IF($AB916="","",Z916-X916)</f>
        <v/>
      </c>
      <c r="Z916" s="7">
        <f>IF($AB916="","",S916+V916+Q916)</f>
        <v/>
      </c>
      <c r="AA916" s="7">
        <f>IF($AB916="","",Z916-X916-M916)</f>
        <v/>
      </c>
      <c r="AB916" s="13">
        <f>IF(ROWS($AB$2:$AB916)&lt;=MAX('Per Line'!$AK$2:$AK$4001),MATCH(ROWS($AB$2:$AB916),'Per Line'!$AK$2:$AK$4001,0),"")</f>
        <v/>
      </c>
      <c r="AC916" s="14">
        <f>IF($AB916="","",M916-L916*Z916/100)</f>
        <v/>
      </c>
    </row>
    <row r="917">
      <c r="A917" s="12" t="n"/>
      <c r="B917">
        <f>IF($AB917="","",INDEX('Per Line'!$C$2:$C$4001,$AB917)&amp;"")</f>
        <v/>
      </c>
      <c r="C917">
        <f>IF($AB917="","",INDEX('Per Line'!$D$2:$D$4001,$AB917)&amp;"")</f>
        <v/>
      </c>
      <c r="D917">
        <f>IF($AB917="","",INDEX('Per Line'!$B$2:$B$4001,$AB917)&amp;"")</f>
        <v/>
      </c>
      <c r="E917">
        <f>IF($AB917="","",INDEX('Per Line'!$A$2:$A$4001,$AB917))</f>
        <v/>
      </c>
      <c r="F917" s="11">
        <f>IF($AB917="","",INDEX('Per Line'!$E$2:$E$4001,$AB917))</f>
        <v/>
      </c>
      <c r="G917">
        <f>IF($AB917="","",INDEX('Per Line'!$F$2:$F$4001,$AB917)&amp;"")</f>
        <v/>
      </c>
      <c r="H917">
        <f>IF($AB917="","",INDEX('Per Line'!$H$2:$H$4001,$AB917)&amp;"")</f>
        <v/>
      </c>
      <c r="I917">
        <f>IF($AB917="","",INDEX('Per Line'!$I$2:$I$4001,$AB917)&amp;"")</f>
        <v/>
      </c>
      <c r="J917">
        <f>IF($AB917="","",INDEX('Per Line'!$J$2:$J$4001,$AB917)&amp;"")</f>
        <v/>
      </c>
      <c r="K917">
        <f>IF($AB917="","",INDEX('Per Line'!$K$2:$K$4001,$AB917)&amp;"")</f>
        <v/>
      </c>
      <c r="L917">
        <f>IF($AB917="","",INDEX('Per Line'!$L$2:$L$4001,$AB917))</f>
        <v/>
      </c>
      <c r="M917" s="7">
        <f>IF($AB917="","",IF(AND(ISNUMBER(O917),O917&gt;0,Z917&gt;O917),L917*O917/100+(Z917-O917),L917*Z917/100))</f>
        <v/>
      </c>
      <c r="N917">
        <f>IF($AB917="","",INDEX('Per Line'!$V$2:$V$4001,$AB917)&amp;"")</f>
        <v/>
      </c>
      <c r="O917">
        <f>IF($AB917="","",INDEX('Per Line'!$Z$2:$Z$4001,$AB917))</f>
        <v/>
      </c>
      <c r="P917">
        <f>IF($AB917="","",IF(AND(ISNUMBER(O917),O917&gt;0),Z917&gt;O917,FALSE))</f>
        <v/>
      </c>
      <c r="Q917" s="7">
        <f>IF($AB917="","",SUMIFS('Per Line'!$U$2:$U$4001,'Per Line'!$C$2:$C$4001,$B917,'Per Line'!$AM$2:$AM$4001,1))</f>
        <v/>
      </c>
      <c r="R917">
        <f>IF($AB917="","",Settings!$C$7)</f>
        <v/>
      </c>
      <c r="S917" s="7">
        <f>IF($AB917="","",SUMIFS('Per Line'!$U$2:$U$4001,'Per Line'!$C$2:$C$4001,$B917,'Per Line'!$AL$2:$AL$4001,0,'Per Line'!$AM$2:$AM$4001,0))</f>
        <v/>
      </c>
      <c r="T917" s="7">
        <f>IF($AB917="","",S917*R917)</f>
        <v/>
      </c>
      <c r="U917">
        <f>IF($AB917="","",Settings!$C$6)</f>
        <v/>
      </c>
      <c r="V917" s="7">
        <f>IF($AB917="","",SUMIFS('Per Line'!$U$2:$U$4001,'Per Line'!$C$2:$C$4001,$B917,'Per Line'!$AL$2:$AL$4001,1,'Per Line'!$AM$2:$AM$4001,0))</f>
        <v/>
      </c>
      <c r="W917" s="7">
        <f>IF($AB917="","",V917*U917)</f>
        <v/>
      </c>
      <c r="X917" s="7">
        <f>IF($AB917="","",W917+T917)</f>
        <v/>
      </c>
      <c r="Y917" s="7">
        <f>IF($AB917="","",Z917-X917)</f>
        <v/>
      </c>
      <c r="Z917" s="7">
        <f>IF($AB917="","",S917+V917+Q917)</f>
        <v/>
      </c>
      <c r="AA917" s="7">
        <f>IF($AB917="","",Z917-X917-M917)</f>
        <v/>
      </c>
      <c r="AB917" s="13">
        <f>IF(ROWS($AB$2:$AB917)&lt;=MAX('Per Line'!$AK$2:$AK$4001),MATCH(ROWS($AB$2:$AB917),'Per Line'!$AK$2:$AK$4001,0),"")</f>
        <v/>
      </c>
      <c r="AC917" s="14">
        <f>IF($AB917="","",M917-L917*Z917/100)</f>
        <v/>
      </c>
    </row>
    <row r="918">
      <c r="A918" s="12" t="n"/>
      <c r="B918">
        <f>IF($AB918="","",INDEX('Per Line'!$C$2:$C$4001,$AB918)&amp;"")</f>
        <v/>
      </c>
      <c r="C918">
        <f>IF($AB918="","",INDEX('Per Line'!$D$2:$D$4001,$AB918)&amp;"")</f>
        <v/>
      </c>
      <c r="D918">
        <f>IF($AB918="","",INDEX('Per Line'!$B$2:$B$4001,$AB918)&amp;"")</f>
        <v/>
      </c>
      <c r="E918">
        <f>IF($AB918="","",INDEX('Per Line'!$A$2:$A$4001,$AB918))</f>
        <v/>
      </c>
      <c r="F918" s="11">
        <f>IF($AB918="","",INDEX('Per Line'!$E$2:$E$4001,$AB918))</f>
        <v/>
      </c>
      <c r="G918">
        <f>IF($AB918="","",INDEX('Per Line'!$F$2:$F$4001,$AB918)&amp;"")</f>
        <v/>
      </c>
      <c r="H918">
        <f>IF($AB918="","",INDEX('Per Line'!$H$2:$H$4001,$AB918)&amp;"")</f>
        <v/>
      </c>
      <c r="I918">
        <f>IF($AB918="","",INDEX('Per Line'!$I$2:$I$4001,$AB918)&amp;"")</f>
        <v/>
      </c>
      <c r="J918">
        <f>IF($AB918="","",INDEX('Per Line'!$J$2:$J$4001,$AB918)&amp;"")</f>
        <v/>
      </c>
      <c r="K918">
        <f>IF($AB918="","",INDEX('Per Line'!$K$2:$K$4001,$AB918)&amp;"")</f>
        <v/>
      </c>
      <c r="L918">
        <f>IF($AB918="","",INDEX('Per Line'!$L$2:$L$4001,$AB918))</f>
        <v/>
      </c>
      <c r="M918" s="7">
        <f>IF($AB918="","",IF(AND(ISNUMBER(O918),O918&gt;0,Z918&gt;O918),L918*O918/100+(Z918-O918),L918*Z918/100))</f>
        <v/>
      </c>
      <c r="N918">
        <f>IF($AB918="","",INDEX('Per Line'!$V$2:$V$4001,$AB918)&amp;"")</f>
        <v/>
      </c>
      <c r="O918">
        <f>IF($AB918="","",INDEX('Per Line'!$Z$2:$Z$4001,$AB918))</f>
        <v/>
      </c>
      <c r="P918">
        <f>IF($AB918="","",IF(AND(ISNUMBER(O918),O918&gt;0),Z918&gt;O918,FALSE))</f>
        <v/>
      </c>
      <c r="Q918" s="7">
        <f>IF($AB918="","",SUMIFS('Per Line'!$U$2:$U$4001,'Per Line'!$C$2:$C$4001,$B918,'Per Line'!$AM$2:$AM$4001,1))</f>
        <v/>
      </c>
      <c r="R918">
        <f>IF($AB918="","",Settings!$C$7)</f>
        <v/>
      </c>
      <c r="S918" s="7">
        <f>IF($AB918="","",SUMIFS('Per Line'!$U$2:$U$4001,'Per Line'!$C$2:$C$4001,$B918,'Per Line'!$AL$2:$AL$4001,0,'Per Line'!$AM$2:$AM$4001,0))</f>
        <v/>
      </c>
      <c r="T918" s="7">
        <f>IF($AB918="","",S918*R918)</f>
        <v/>
      </c>
      <c r="U918">
        <f>IF($AB918="","",Settings!$C$6)</f>
        <v/>
      </c>
      <c r="V918" s="7">
        <f>IF($AB918="","",SUMIFS('Per Line'!$U$2:$U$4001,'Per Line'!$C$2:$C$4001,$B918,'Per Line'!$AL$2:$AL$4001,1,'Per Line'!$AM$2:$AM$4001,0))</f>
        <v/>
      </c>
      <c r="W918" s="7">
        <f>IF($AB918="","",V918*U918)</f>
        <v/>
      </c>
      <c r="X918" s="7">
        <f>IF($AB918="","",W918+T918)</f>
        <v/>
      </c>
      <c r="Y918" s="7">
        <f>IF($AB918="","",Z918-X918)</f>
        <v/>
      </c>
      <c r="Z918" s="7">
        <f>IF($AB918="","",S918+V918+Q918)</f>
        <v/>
      </c>
      <c r="AA918" s="7">
        <f>IF($AB918="","",Z918-X918-M918)</f>
        <v/>
      </c>
      <c r="AB918" s="13">
        <f>IF(ROWS($AB$2:$AB918)&lt;=MAX('Per Line'!$AK$2:$AK$4001),MATCH(ROWS($AB$2:$AB918),'Per Line'!$AK$2:$AK$4001,0),"")</f>
        <v/>
      </c>
      <c r="AC918" s="14">
        <f>IF($AB918="","",M918-L918*Z918/100)</f>
        <v/>
      </c>
    </row>
    <row r="919">
      <c r="A919" s="12" t="n"/>
      <c r="B919">
        <f>IF($AB919="","",INDEX('Per Line'!$C$2:$C$4001,$AB919)&amp;"")</f>
        <v/>
      </c>
      <c r="C919">
        <f>IF($AB919="","",INDEX('Per Line'!$D$2:$D$4001,$AB919)&amp;"")</f>
        <v/>
      </c>
      <c r="D919">
        <f>IF($AB919="","",INDEX('Per Line'!$B$2:$B$4001,$AB919)&amp;"")</f>
        <v/>
      </c>
      <c r="E919">
        <f>IF($AB919="","",INDEX('Per Line'!$A$2:$A$4001,$AB919))</f>
        <v/>
      </c>
      <c r="F919" s="11">
        <f>IF($AB919="","",INDEX('Per Line'!$E$2:$E$4001,$AB919))</f>
        <v/>
      </c>
      <c r="G919">
        <f>IF($AB919="","",INDEX('Per Line'!$F$2:$F$4001,$AB919)&amp;"")</f>
        <v/>
      </c>
      <c r="H919">
        <f>IF($AB919="","",INDEX('Per Line'!$H$2:$H$4001,$AB919)&amp;"")</f>
        <v/>
      </c>
      <c r="I919">
        <f>IF($AB919="","",INDEX('Per Line'!$I$2:$I$4001,$AB919)&amp;"")</f>
        <v/>
      </c>
      <c r="J919">
        <f>IF($AB919="","",INDEX('Per Line'!$J$2:$J$4001,$AB919)&amp;"")</f>
        <v/>
      </c>
      <c r="K919">
        <f>IF($AB919="","",INDEX('Per Line'!$K$2:$K$4001,$AB919)&amp;"")</f>
        <v/>
      </c>
      <c r="L919">
        <f>IF($AB919="","",INDEX('Per Line'!$L$2:$L$4001,$AB919))</f>
        <v/>
      </c>
      <c r="M919" s="7">
        <f>IF($AB919="","",IF(AND(ISNUMBER(O919),O919&gt;0,Z919&gt;O919),L919*O919/100+(Z919-O919),L919*Z919/100))</f>
        <v/>
      </c>
      <c r="N919">
        <f>IF($AB919="","",INDEX('Per Line'!$V$2:$V$4001,$AB919)&amp;"")</f>
        <v/>
      </c>
      <c r="O919">
        <f>IF($AB919="","",INDEX('Per Line'!$Z$2:$Z$4001,$AB919))</f>
        <v/>
      </c>
      <c r="P919">
        <f>IF($AB919="","",IF(AND(ISNUMBER(O919),O919&gt;0),Z919&gt;O919,FALSE))</f>
        <v/>
      </c>
      <c r="Q919" s="7">
        <f>IF($AB919="","",SUMIFS('Per Line'!$U$2:$U$4001,'Per Line'!$C$2:$C$4001,$B919,'Per Line'!$AM$2:$AM$4001,1))</f>
        <v/>
      </c>
      <c r="R919">
        <f>IF($AB919="","",Settings!$C$7)</f>
        <v/>
      </c>
      <c r="S919" s="7">
        <f>IF($AB919="","",SUMIFS('Per Line'!$U$2:$U$4001,'Per Line'!$C$2:$C$4001,$B919,'Per Line'!$AL$2:$AL$4001,0,'Per Line'!$AM$2:$AM$4001,0))</f>
        <v/>
      </c>
      <c r="T919" s="7">
        <f>IF($AB919="","",S919*R919)</f>
        <v/>
      </c>
      <c r="U919">
        <f>IF($AB919="","",Settings!$C$6)</f>
        <v/>
      </c>
      <c r="V919" s="7">
        <f>IF($AB919="","",SUMIFS('Per Line'!$U$2:$U$4001,'Per Line'!$C$2:$C$4001,$B919,'Per Line'!$AL$2:$AL$4001,1,'Per Line'!$AM$2:$AM$4001,0))</f>
        <v/>
      </c>
      <c r="W919" s="7">
        <f>IF($AB919="","",V919*U919)</f>
        <v/>
      </c>
      <c r="X919" s="7">
        <f>IF($AB919="","",W919+T919)</f>
        <v/>
      </c>
      <c r="Y919" s="7">
        <f>IF($AB919="","",Z919-X919)</f>
        <v/>
      </c>
      <c r="Z919" s="7">
        <f>IF($AB919="","",S919+V919+Q919)</f>
        <v/>
      </c>
      <c r="AA919" s="7">
        <f>IF($AB919="","",Z919-X919-M919)</f>
        <v/>
      </c>
      <c r="AB919" s="13">
        <f>IF(ROWS($AB$2:$AB919)&lt;=MAX('Per Line'!$AK$2:$AK$4001),MATCH(ROWS($AB$2:$AB919),'Per Line'!$AK$2:$AK$4001,0),"")</f>
        <v/>
      </c>
      <c r="AC919" s="14">
        <f>IF($AB919="","",M919-L919*Z919/100)</f>
        <v/>
      </c>
    </row>
    <row r="920">
      <c r="A920" s="12" t="n"/>
      <c r="B920">
        <f>IF($AB920="","",INDEX('Per Line'!$C$2:$C$4001,$AB920)&amp;"")</f>
        <v/>
      </c>
      <c r="C920">
        <f>IF($AB920="","",INDEX('Per Line'!$D$2:$D$4001,$AB920)&amp;"")</f>
        <v/>
      </c>
      <c r="D920">
        <f>IF($AB920="","",INDEX('Per Line'!$B$2:$B$4001,$AB920)&amp;"")</f>
        <v/>
      </c>
      <c r="E920">
        <f>IF($AB920="","",INDEX('Per Line'!$A$2:$A$4001,$AB920))</f>
        <v/>
      </c>
      <c r="F920" s="11">
        <f>IF($AB920="","",INDEX('Per Line'!$E$2:$E$4001,$AB920))</f>
        <v/>
      </c>
      <c r="G920">
        <f>IF($AB920="","",INDEX('Per Line'!$F$2:$F$4001,$AB920)&amp;"")</f>
        <v/>
      </c>
      <c r="H920">
        <f>IF($AB920="","",INDEX('Per Line'!$H$2:$H$4001,$AB920)&amp;"")</f>
        <v/>
      </c>
      <c r="I920">
        <f>IF($AB920="","",INDEX('Per Line'!$I$2:$I$4001,$AB920)&amp;"")</f>
        <v/>
      </c>
      <c r="J920">
        <f>IF($AB920="","",INDEX('Per Line'!$J$2:$J$4001,$AB920)&amp;"")</f>
        <v/>
      </c>
      <c r="K920">
        <f>IF($AB920="","",INDEX('Per Line'!$K$2:$K$4001,$AB920)&amp;"")</f>
        <v/>
      </c>
      <c r="L920">
        <f>IF($AB920="","",INDEX('Per Line'!$L$2:$L$4001,$AB920))</f>
        <v/>
      </c>
      <c r="M920" s="7">
        <f>IF($AB920="","",IF(AND(ISNUMBER(O920),O920&gt;0,Z920&gt;O920),L920*O920/100+(Z920-O920),L920*Z920/100))</f>
        <v/>
      </c>
      <c r="N920">
        <f>IF($AB920="","",INDEX('Per Line'!$V$2:$V$4001,$AB920)&amp;"")</f>
        <v/>
      </c>
      <c r="O920">
        <f>IF($AB920="","",INDEX('Per Line'!$Z$2:$Z$4001,$AB920))</f>
        <v/>
      </c>
      <c r="P920">
        <f>IF($AB920="","",IF(AND(ISNUMBER(O920),O920&gt;0),Z920&gt;O920,FALSE))</f>
        <v/>
      </c>
      <c r="Q920" s="7">
        <f>IF($AB920="","",SUMIFS('Per Line'!$U$2:$U$4001,'Per Line'!$C$2:$C$4001,$B920,'Per Line'!$AM$2:$AM$4001,1))</f>
        <v/>
      </c>
      <c r="R920">
        <f>IF($AB920="","",Settings!$C$7)</f>
        <v/>
      </c>
      <c r="S920" s="7">
        <f>IF($AB920="","",SUMIFS('Per Line'!$U$2:$U$4001,'Per Line'!$C$2:$C$4001,$B920,'Per Line'!$AL$2:$AL$4001,0,'Per Line'!$AM$2:$AM$4001,0))</f>
        <v/>
      </c>
      <c r="T920" s="7">
        <f>IF($AB920="","",S920*R920)</f>
        <v/>
      </c>
      <c r="U920">
        <f>IF($AB920="","",Settings!$C$6)</f>
        <v/>
      </c>
      <c r="V920" s="7">
        <f>IF($AB920="","",SUMIFS('Per Line'!$U$2:$U$4001,'Per Line'!$C$2:$C$4001,$B920,'Per Line'!$AL$2:$AL$4001,1,'Per Line'!$AM$2:$AM$4001,0))</f>
        <v/>
      </c>
      <c r="W920" s="7">
        <f>IF($AB920="","",V920*U920)</f>
        <v/>
      </c>
      <c r="X920" s="7">
        <f>IF($AB920="","",W920+T920)</f>
        <v/>
      </c>
      <c r="Y920" s="7">
        <f>IF($AB920="","",Z920-X920)</f>
        <v/>
      </c>
      <c r="Z920" s="7">
        <f>IF($AB920="","",S920+V920+Q920)</f>
        <v/>
      </c>
      <c r="AA920" s="7">
        <f>IF($AB920="","",Z920-X920-M920)</f>
        <v/>
      </c>
      <c r="AB920" s="13">
        <f>IF(ROWS($AB$2:$AB920)&lt;=MAX('Per Line'!$AK$2:$AK$4001),MATCH(ROWS($AB$2:$AB920),'Per Line'!$AK$2:$AK$4001,0),"")</f>
        <v/>
      </c>
      <c r="AC920" s="14">
        <f>IF($AB920="","",M920-L920*Z920/100)</f>
        <v/>
      </c>
    </row>
    <row r="921">
      <c r="A921" s="12" t="n"/>
      <c r="B921">
        <f>IF($AB921="","",INDEX('Per Line'!$C$2:$C$4001,$AB921)&amp;"")</f>
        <v/>
      </c>
      <c r="C921">
        <f>IF($AB921="","",INDEX('Per Line'!$D$2:$D$4001,$AB921)&amp;"")</f>
        <v/>
      </c>
      <c r="D921">
        <f>IF($AB921="","",INDEX('Per Line'!$B$2:$B$4001,$AB921)&amp;"")</f>
        <v/>
      </c>
      <c r="E921">
        <f>IF($AB921="","",INDEX('Per Line'!$A$2:$A$4001,$AB921))</f>
        <v/>
      </c>
      <c r="F921" s="11">
        <f>IF($AB921="","",INDEX('Per Line'!$E$2:$E$4001,$AB921))</f>
        <v/>
      </c>
      <c r="G921">
        <f>IF($AB921="","",INDEX('Per Line'!$F$2:$F$4001,$AB921)&amp;"")</f>
        <v/>
      </c>
      <c r="H921">
        <f>IF($AB921="","",INDEX('Per Line'!$H$2:$H$4001,$AB921)&amp;"")</f>
        <v/>
      </c>
      <c r="I921">
        <f>IF($AB921="","",INDEX('Per Line'!$I$2:$I$4001,$AB921)&amp;"")</f>
        <v/>
      </c>
      <c r="J921">
        <f>IF($AB921="","",INDEX('Per Line'!$J$2:$J$4001,$AB921)&amp;"")</f>
        <v/>
      </c>
      <c r="K921">
        <f>IF($AB921="","",INDEX('Per Line'!$K$2:$K$4001,$AB921)&amp;"")</f>
        <v/>
      </c>
      <c r="L921">
        <f>IF($AB921="","",INDEX('Per Line'!$L$2:$L$4001,$AB921))</f>
        <v/>
      </c>
      <c r="M921" s="7">
        <f>IF($AB921="","",IF(AND(ISNUMBER(O921),O921&gt;0,Z921&gt;O921),L921*O921/100+(Z921-O921),L921*Z921/100))</f>
        <v/>
      </c>
      <c r="N921">
        <f>IF($AB921="","",INDEX('Per Line'!$V$2:$V$4001,$AB921)&amp;"")</f>
        <v/>
      </c>
      <c r="O921">
        <f>IF($AB921="","",INDEX('Per Line'!$Z$2:$Z$4001,$AB921))</f>
        <v/>
      </c>
      <c r="P921">
        <f>IF($AB921="","",IF(AND(ISNUMBER(O921),O921&gt;0),Z921&gt;O921,FALSE))</f>
        <v/>
      </c>
      <c r="Q921" s="7">
        <f>IF($AB921="","",SUMIFS('Per Line'!$U$2:$U$4001,'Per Line'!$C$2:$C$4001,$B921,'Per Line'!$AM$2:$AM$4001,1))</f>
        <v/>
      </c>
      <c r="R921">
        <f>IF($AB921="","",Settings!$C$7)</f>
        <v/>
      </c>
      <c r="S921" s="7">
        <f>IF($AB921="","",SUMIFS('Per Line'!$U$2:$U$4001,'Per Line'!$C$2:$C$4001,$B921,'Per Line'!$AL$2:$AL$4001,0,'Per Line'!$AM$2:$AM$4001,0))</f>
        <v/>
      </c>
      <c r="T921" s="7">
        <f>IF($AB921="","",S921*R921)</f>
        <v/>
      </c>
      <c r="U921">
        <f>IF($AB921="","",Settings!$C$6)</f>
        <v/>
      </c>
      <c r="V921" s="7">
        <f>IF($AB921="","",SUMIFS('Per Line'!$U$2:$U$4001,'Per Line'!$C$2:$C$4001,$B921,'Per Line'!$AL$2:$AL$4001,1,'Per Line'!$AM$2:$AM$4001,0))</f>
        <v/>
      </c>
      <c r="W921" s="7">
        <f>IF($AB921="","",V921*U921)</f>
        <v/>
      </c>
      <c r="X921" s="7">
        <f>IF($AB921="","",W921+T921)</f>
        <v/>
      </c>
      <c r="Y921" s="7">
        <f>IF($AB921="","",Z921-X921)</f>
        <v/>
      </c>
      <c r="Z921" s="7">
        <f>IF($AB921="","",S921+V921+Q921)</f>
        <v/>
      </c>
      <c r="AA921" s="7">
        <f>IF($AB921="","",Z921-X921-M921)</f>
        <v/>
      </c>
      <c r="AB921" s="13">
        <f>IF(ROWS($AB$2:$AB921)&lt;=MAX('Per Line'!$AK$2:$AK$4001),MATCH(ROWS($AB$2:$AB921),'Per Line'!$AK$2:$AK$4001,0),"")</f>
        <v/>
      </c>
      <c r="AC921" s="14">
        <f>IF($AB921="","",M921-L921*Z921/100)</f>
        <v/>
      </c>
    </row>
    <row r="922">
      <c r="A922" s="12" t="n"/>
      <c r="B922">
        <f>IF($AB922="","",INDEX('Per Line'!$C$2:$C$4001,$AB922)&amp;"")</f>
        <v/>
      </c>
      <c r="C922">
        <f>IF($AB922="","",INDEX('Per Line'!$D$2:$D$4001,$AB922)&amp;"")</f>
        <v/>
      </c>
      <c r="D922">
        <f>IF($AB922="","",INDEX('Per Line'!$B$2:$B$4001,$AB922)&amp;"")</f>
        <v/>
      </c>
      <c r="E922">
        <f>IF($AB922="","",INDEX('Per Line'!$A$2:$A$4001,$AB922))</f>
        <v/>
      </c>
      <c r="F922" s="11">
        <f>IF($AB922="","",INDEX('Per Line'!$E$2:$E$4001,$AB922))</f>
        <v/>
      </c>
      <c r="G922">
        <f>IF($AB922="","",INDEX('Per Line'!$F$2:$F$4001,$AB922)&amp;"")</f>
        <v/>
      </c>
      <c r="H922">
        <f>IF($AB922="","",INDEX('Per Line'!$H$2:$H$4001,$AB922)&amp;"")</f>
        <v/>
      </c>
      <c r="I922">
        <f>IF($AB922="","",INDEX('Per Line'!$I$2:$I$4001,$AB922)&amp;"")</f>
        <v/>
      </c>
      <c r="J922">
        <f>IF($AB922="","",INDEX('Per Line'!$J$2:$J$4001,$AB922)&amp;"")</f>
        <v/>
      </c>
      <c r="K922">
        <f>IF($AB922="","",INDEX('Per Line'!$K$2:$K$4001,$AB922)&amp;"")</f>
        <v/>
      </c>
      <c r="L922">
        <f>IF($AB922="","",INDEX('Per Line'!$L$2:$L$4001,$AB922))</f>
        <v/>
      </c>
      <c r="M922" s="7">
        <f>IF($AB922="","",IF(AND(ISNUMBER(O922),O922&gt;0,Z922&gt;O922),L922*O922/100+(Z922-O922),L922*Z922/100))</f>
        <v/>
      </c>
      <c r="N922">
        <f>IF($AB922="","",INDEX('Per Line'!$V$2:$V$4001,$AB922)&amp;"")</f>
        <v/>
      </c>
      <c r="O922">
        <f>IF($AB922="","",INDEX('Per Line'!$Z$2:$Z$4001,$AB922))</f>
        <v/>
      </c>
      <c r="P922">
        <f>IF($AB922="","",IF(AND(ISNUMBER(O922),O922&gt;0),Z922&gt;O922,FALSE))</f>
        <v/>
      </c>
      <c r="Q922" s="7">
        <f>IF($AB922="","",SUMIFS('Per Line'!$U$2:$U$4001,'Per Line'!$C$2:$C$4001,$B922,'Per Line'!$AM$2:$AM$4001,1))</f>
        <v/>
      </c>
      <c r="R922">
        <f>IF($AB922="","",Settings!$C$7)</f>
        <v/>
      </c>
      <c r="S922" s="7">
        <f>IF($AB922="","",SUMIFS('Per Line'!$U$2:$U$4001,'Per Line'!$C$2:$C$4001,$B922,'Per Line'!$AL$2:$AL$4001,0,'Per Line'!$AM$2:$AM$4001,0))</f>
        <v/>
      </c>
      <c r="T922" s="7">
        <f>IF($AB922="","",S922*R922)</f>
        <v/>
      </c>
      <c r="U922">
        <f>IF($AB922="","",Settings!$C$6)</f>
        <v/>
      </c>
      <c r="V922" s="7">
        <f>IF($AB922="","",SUMIFS('Per Line'!$U$2:$U$4001,'Per Line'!$C$2:$C$4001,$B922,'Per Line'!$AL$2:$AL$4001,1,'Per Line'!$AM$2:$AM$4001,0))</f>
        <v/>
      </c>
      <c r="W922" s="7">
        <f>IF($AB922="","",V922*U922)</f>
        <v/>
      </c>
      <c r="X922" s="7">
        <f>IF($AB922="","",W922+T922)</f>
        <v/>
      </c>
      <c r="Y922" s="7">
        <f>IF($AB922="","",Z922-X922)</f>
        <v/>
      </c>
      <c r="Z922" s="7">
        <f>IF($AB922="","",S922+V922+Q922)</f>
        <v/>
      </c>
      <c r="AA922" s="7">
        <f>IF($AB922="","",Z922-X922-M922)</f>
        <v/>
      </c>
      <c r="AB922" s="13">
        <f>IF(ROWS($AB$2:$AB922)&lt;=MAX('Per Line'!$AK$2:$AK$4001),MATCH(ROWS($AB$2:$AB922),'Per Line'!$AK$2:$AK$4001,0),"")</f>
        <v/>
      </c>
      <c r="AC922" s="14">
        <f>IF($AB922="","",M922-L922*Z922/100)</f>
        <v/>
      </c>
    </row>
    <row r="923">
      <c r="A923" s="12" t="n"/>
      <c r="B923">
        <f>IF($AB923="","",INDEX('Per Line'!$C$2:$C$4001,$AB923)&amp;"")</f>
        <v/>
      </c>
      <c r="C923">
        <f>IF($AB923="","",INDEX('Per Line'!$D$2:$D$4001,$AB923)&amp;"")</f>
        <v/>
      </c>
      <c r="D923">
        <f>IF($AB923="","",INDEX('Per Line'!$B$2:$B$4001,$AB923)&amp;"")</f>
        <v/>
      </c>
      <c r="E923">
        <f>IF($AB923="","",INDEX('Per Line'!$A$2:$A$4001,$AB923))</f>
        <v/>
      </c>
      <c r="F923" s="11">
        <f>IF($AB923="","",INDEX('Per Line'!$E$2:$E$4001,$AB923))</f>
        <v/>
      </c>
      <c r="G923">
        <f>IF($AB923="","",INDEX('Per Line'!$F$2:$F$4001,$AB923)&amp;"")</f>
        <v/>
      </c>
      <c r="H923">
        <f>IF($AB923="","",INDEX('Per Line'!$H$2:$H$4001,$AB923)&amp;"")</f>
        <v/>
      </c>
      <c r="I923">
        <f>IF($AB923="","",INDEX('Per Line'!$I$2:$I$4001,$AB923)&amp;"")</f>
        <v/>
      </c>
      <c r="J923">
        <f>IF($AB923="","",INDEX('Per Line'!$J$2:$J$4001,$AB923)&amp;"")</f>
        <v/>
      </c>
      <c r="K923">
        <f>IF($AB923="","",INDEX('Per Line'!$K$2:$K$4001,$AB923)&amp;"")</f>
        <v/>
      </c>
      <c r="L923">
        <f>IF($AB923="","",INDEX('Per Line'!$L$2:$L$4001,$AB923))</f>
        <v/>
      </c>
      <c r="M923" s="7">
        <f>IF($AB923="","",IF(AND(ISNUMBER(O923),O923&gt;0,Z923&gt;O923),L923*O923/100+(Z923-O923),L923*Z923/100))</f>
        <v/>
      </c>
      <c r="N923">
        <f>IF($AB923="","",INDEX('Per Line'!$V$2:$V$4001,$AB923)&amp;"")</f>
        <v/>
      </c>
      <c r="O923">
        <f>IF($AB923="","",INDEX('Per Line'!$Z$2:$Z$4001,$AB923))</f>
        <v/>
      </c>
      <c r="P923">
        <f>IF($AB923="","",IF(AND(ISNUMBER(O923),O923&gt;0),Z923&gt;O923,FALSE))</f>
        <v/>
      </c>
      <c r="Q923" s="7">
        <f>IF($AB923="","",SUMIFS('Per Line'!$U$2:$U$4001,'Per Line'!$C$2:$C$4001,$B923,'Per Line'!$AM$2:$AM$4001,1))</f>
        <v/>
      </c>
      <c r="R923">
        <f>IF($AB923="","",Settings!$C$7)</f>
        <v/>
      </c>
      <c r="S923" s="7">
        <f>IF($AB923="","",SUMIFS('Per Line'!$U$2:$U$4001,'Per Line'!$C$2:$C$4001,$B923,'Per Line'!$AL$2:$AL$4001,0,'Per Line'!$AM$2:$AM$4001,0))</f>
        <v/>
      </c>
      <c r="T923" s="7">
        <f>IF($AB923="","",S923*R923)</f>
        <v/>
      </c>
      <c r="U923">
        <f>IF($AB923="","",Settings!$C$6)</f>
        <v/>
      </c>
      <c r="V923" s="7">
        <f>IF($AB923="","",SUMIFS('Per Line'!$U$2:$U$4001,'Per Line'!$C$2:$C$4001,$B923,'Per Line'!$AL$2:$AL$4001,1,'Per Line'!$AM$2:$AM$4001,0))</f>
        <v/>
      </c>
      <c r="W923" s="7">
        <f>IF($AB923="","",V923*U923)</f>
        <v/>
      </c>
      <c r="X923" s="7">
        <f>IF($AB923="","",W923+T923)</f>
        <v/>
      </c>
      <c r="Y923" s="7">
        <f>IF($AB923="","",Z923-X923)</f>
        <v/>
      </c>
      <c r="Z923" s="7">
        <f>IF($AB923="","",S923+V923+Q923)</f>
        <v/>
      </c>
      <c r="AA923" s="7">
        <f>IF($AB923="","",Z923-X923-M923)</f>
        <v/>
      </c>
      <c r="AB923" s="13">
        <f>IF(ROWS($AB$2:$AB923)&lt;=MAX('Per Line'!$AK$2:$AK$4001),MATCH(ROWS($AB$2:$AB923),'Per Line'!$AK$2:$AK$4001,0),"")</f>
        <v/>
      </c>
      <c r="AC923" s="14">
        <f>IF($AB923="","",M923-L923*Z923/100)</f>
        <v/>
      </c>
    </row>
    <row r="924">
      <c r="A924" s="12" t="n"/>
      <c r="B924">
        <f>IF($AB924="","",INDEX('Per Line'!$C$2:$C$4001,$AB924)&amp;"")</f>
        <v/>
      </c>
      <c r="C924">
        <f>IF($AB924="","",INDEX('Per Line'!$D$2:$D$4001,$AB924)&amp;"")</f>
        <v/>
      </c>
      <c r="D924">
        <f>IF($AB924="","",INDEX('Per Line'!$B$2:$B$4001,$AB924)&amp;"")</f>
        <v/>
      </c>
      <c r="E924">
        <f>IF($AB924="","",INDEX('Per Line'!$A$2:$A$4001,$AB924))</f>
        <v/>
      </c>
      <c r="F924" s="11">
        <f>IF($AB924="","",INDEX('Per Line'!$E$2:$E$4001,$AB924))</f>
        <v/>
      </c>
      <c r="G924">
        <f>IF($AB924="","",INDEX('Per Line'!$F$2:$F$4001,$AB924)&amp;"")</f>
        <v/>
      </c>
      <c r="H924">
        <f>IF($AB924="","",INDEX('Per Line'!$H$2:$H$4001,$AB924)&amp;"")</f>
        <v/>
      </c>
      <c r="I924">
        <f>IF($AB924="","",INDEX('Per Line'!$I$2:$I$4001,$AB924)&amp;"")</f>
        <v/>
      </c>
      <c r="J924">
        <f>IF($AB924="","",INDEX('Per Line'!$J$2:$J$4001,$AB924)&amp;"")</f>
        <v/>
      </c>
      <c r="K924">
        <f>IF($AB924="","",INDEX('Per Line'!$K$2:$K$4001,$AB924)&amp;"")</f>
        <v/>
      </c>
      <c r="L924">
        <f>IF($AB924="","",INDEX('Per Line'!$L$2:$L$4001,$AB924))</f>
        <v/>
      </c>
      <c r="M924" s="7">
        <f>IF($AB924="","",IF(AND(ISNUMBER(O924),O924&gt;0,Z924&gt;O924),L924*O924/100+(Z924-O924),L924*Z924/100))</f>
        <v/>
      </c>
      <c r="N924">
        <f>IF($AB924="","",INDEX('Per Line'!$V$2:$V$4001,$AB924)&amp;"")</f>
        <v/>
      </c>
      <c r="O924">
        <f>IF($AB924="","",INDEX('Per Line'!$Z$2:$Z$4001,$AB924))</f>
        <v/>
      </c>
      <c r="P924">
        <f>IF($AB924="","",IF(AND(ISNUMBER(O924),O924&gt;0),Z924&gt;O924,FALSE))</f>
        <v/>
      </c>
      <c r="Q924" s="7">
        <f>IF($AB924="","",SUMIFS('Per Line'!$U$2:$U$4001,'Per Line'!$C$2:$C$4001,$B924,'Per Line'!$AM$2:$AM$4001,1))</f>
        <v/>
      </c>
      <c r="R924">
        <f>IF($AB924="","",Settings!$C$7)</f>
        <v/>
      </c>
      <c r="S924" s="7">
        <f>IF($AB924="","",SUMIFS('Per Line'!$U$2:$U$4001,'Per Line'!$C$2:$C$4001,$B924,'Per Line'!$AL$2:$AL$4001,0,'Per Line'!$AM$2:$AM$4001,0))</f>
        <v/>
      </c>
      <c r="T924" s="7">
        <f>IF($AB924="","",S924*R924)</f>
        <v/>
      </c>
      <c r="U924">
        <f>IF($AB924="","",Settings!$C$6)</f>
        <v/>
      </c>
      <c r="V924" s="7">
        <f>IF($AB924="","",SUMIFS('Per Line'!$U$2:$U$4001,'Per Line'!$C$2:$C$4001,$B924,'Per Line'!$AL$2:$AL$4001,1,'Per Line'!$AM$2:$AM$4001,0))</f>
        <v/>
      </c>
      <c r="W924" s="7">
        <f>IF($AB924="","",V924*U924)</f>
        <v/>
      </c>
      <c r="X924" s="7">
        <f>IF($AB924="","",W924+T924)</f>
        <v/>
      </c>
      <c r="Y924" s="7">
        <f>IF($AB924="","",Z924-X924)</f>
        <v/>
      </c>
      <c r="Z924" s="7">
        <f>IF($AB924="","",S924+V924+Q924)</f>
        <v/>
      </c>
      <c r="AA924" s="7">
        <f>IF($AB924="","",Z924-X924-M924)</f>
        <v/>
      </c>
      <c r="AB924" s="13">
        <f>IF(ROWS($AB$2:$AB924)&lt;=MAX('Per Line'!$AK$2:$AK$4001),MATCH(ROWS($AB$2:$AB924),'Per Line'!$AK$2:$AK$4001,0),"")</f>
        <v/>
      </c>
      <c r="AC924" s="14">
        <f>IF($AB924="","",M924-L924*Z924/100)</f>
        <v/>
      </c>
    </row>
    <row r="925">
      <c r="A925" s="12" t="n"/>
      <c r="B925">
        <f>IF($AB925="","",INDEX('Per Line'!$C$2:$C$4001,$AB925)&amp;"")</f>
        <v/>
      </c>
      <c r="C925">
        <f>IF($AB925="","",INDEX('Per Line'!$D$2:$D$4001,$AB925)&amp;"")</f>
        <v/>
      </c>
      <c r="D925">
        <f>IF($AB925="","",INDEX('Per Line'!$B$2:$B$4001,$AB925)&amp;"")</f>
        <v/>
      </c>
      <c r="E925">
        <f>IF($AB925="","",INDEX('Per Line'!$A$2:$A$4001,$AB925))</f>
        <v/>
      </c>
      <c r="F925" s="11">
        <f>IF($AB925="","",INDEX('Per Line'!$E$2:$E$4001,$AB925))</f>
        <v/>
      </c>
      <c r="G925">
        <f>IF($AB925="","",INDEX('Per Line'!$F$2:$F$4001,$AB925)&amp;"")</f>
        <v/>
      </c>
      <c r="H925">
        <f>IF($AB925="","",INDEX('Per Line'!$H$2:$H$4001,$AB925)&amp;"")</f>
        <v/>
      </c>
      <c r="I925">
        <f>IF($AB925="","",INDEX('Per Line'!$I$2:$I$4001,$AB925)&amp;"")</f>
        <v/>
      </c>
      <c r="J925">
        <f>IF($AB925="","",INDEX('Per Line'!$J$2:$J$4001,$AB925)&amp;"")</f>
        <v/>
      </c>
      <c r="K925">
        <f>IF($AB925="","",INDEX('Per Line'!$K$2:$K$4001,$AB925)&amp;"")</f>
        <v/>
      </c>
      <c r="L925">
        <f>IF($AB925="","",INDEX('Per Line'!$L$2:$L$4001,$AB925))</f>
        <v/>
      </c>
      <c r="M925" s="7">
        <f>IF($AB925="","",IF(AND(ISNUMBER(O925),O925&gt;0,Z925&gt;O925),L925*O925/100+(Z925-O925),L925*Z925/100))</f>
        <v/>
      </c>
      <c r="N925">
        <f>IF($AB925="","",INDEX('Per Line'!$V$2:$V$4001,$AB925)&amp;"")</f>
        <v/>
      </c>
      <c r="O925">
        <f>IF($AB925="","",INDEX('Per Line'!$Z$2:$Z$4001,$AB925))</f>
        <v/>
      </c>
      <c r="P925">
        <f>IF($AB925="","",IF(AND(ISNUMBER(O925),O925&gt;0),Z925&gt;O925,FALSE))</f>
        <v/>
      </c>
      <c r="Q925" s="7">
        <f>IF($AB925="","",SUMIFS('Per Line'!$U$2:$U$4001,'Per Line'!$C$2:$C$4001,$B925,'Per Line'!$AM$2:$AM$4001,1))</f>
        <v/>
      </c>
      <c r="R925">
        <f>IF($AB925="","",Settings!$C$7)</f>
        <v/>
      </c>
      <c r="S925" s="7">
        <f>IF($AB925="","",SUMIFS('Per Line'!$U$2:$U$4001,'Per Line'!$C$2:$C$4001,$B925,'Per Line'!$AL$2:$AL$4001,0,'Per Line'!$AM$2:$AM$4001,0))</f>
        <v/>
      </c>
      <c r="T925" s="7">
        <f>IF($AB925="","",S925*R925)</f>
        <v/>
      </c>
      <c r="U925">
        <f>IF($AB925="","",Settings!$C$6)</f>
        <v/>
      </c>
      <c r="V925" s="7">
        <f>IF($AB925="","",SUMIFS('Per Line'!$U$2:$U$4001,'Per Line'!$C$2:$C$4001,$B925,'Per Line'!$AL$2:$AL$4001,1,'Per Line'!$AM$2:$AM$4001,0))</f>
        <v/>
      </c>
      <c r="W925" s="7">
        <f>IF($AB925="","",V925*U925)</f>
        <v/>
      </c>
      <c r="X925" s="7">
        <f>IF($AB925="","",W925+T925)</f>
        <v/>
      </c>
      <c r="Y925" s="7">
        <f>IF($AB925="","",Z925-X925)</f>
        <v/>
      </c>
      <c r="Z925" s="7">
        <f>IF($AB925="","",S925+V925+Q925)</f>
        <v/>
      </c>
      <c r="AA925" s="7">
        <f>IF($AB925="","",Z925-X925-M925)</f>
        <v/>
      </c>
      <c r="AB925" s="13">
        <f>IF(ROWS($AB$2:$AB925)&lt;=MAX('Per Line'!$AK$2:$AK$4001),MATCH(ROWS($AB$2:$AB925),'Per Line'!$AK$2:$AK$4001,0),"")</f>
        <v/>
      </c>
      <c r="AC925" s="14">
        <f>IF($AB925="","",M925-L925*Z925/100)</f>
        <v/>
      </c>
    </row>
    <row r="926">
      <c r="A926" s="12" t="n"/>
      <c r="B926">
        <f>IF($AB926="","",INDEX('Per Line'!$C$2:$C$4001,$AB926)&amp;"")</f>
        <v/>
      </c>
      <c r="C926">
        <f>IF($AB926="","",INDEX('Per Line'!$D$2:$D$4001,$AB926)&amp;"")</f>
        <v/>
      </c>
      <c r="D926">
        <f>IF($AB926="","",INDEX('Per Line'!$B$2:$B$4001,$AB926)&amp;"")</f>
        <v/>
      </c>
      <c r="E926">
        <f>IF($AB926="","",INDEX('Per Line'!$A$2:$A$4001,$AB926))</f>
        <v/>
      </c>
      <c r="F926" s="11">
        <f>IF($AB926="","",INDEX('Per Line'!$E$2:$E$4001,$AB926))</f>
        <v/>
      </c>
      <c r="G926">
        <f>IF($AB926="","",INDEX('Per Line'!$F$2:$F$4001,$AB926)&amp;"")</f>
        <v/>
      </c>
      <c r="H926">
        <f>IF($AB926="","",INDEX('Per Line'!$H$2:$H$4001,$AB926)&amp;"")</f>
        <v/>
      </c>
      <c r="I926">
        <f>IF($AB926="","",INDEX('Per Line'!$I$2:$I$4001,$AB926)&amp;"")</f>
        <v/>
      </c>
      <c r="J926">
        <f>IF($AB926="","",INDEX('Per Line'!$J$2:$J$4001,$AB926)&amp;"")</f>
        <v/>
      </c>
      <c r="K926">
        <f>IF($AB926="","",INDEX('Per Line'!$K$2:$K$4001,$AB926)&amp;"")</f>
        <v/>
      </c>
      <c r="L926">
        <f>IF($AB926="","",INDEX('Per Line'!$L$2:$L$4001,$AB926))</f>
        <v/>
      </c>
      <c r="M926" s="7">
        <f>IF($AB926="","",IF(AND(ISNUMBER(O926),O926&gt;0,Z926&gt;O926),L926*O926/100+(Z926-O926),L926*Z926/100))</f>
        <v/>
      </c>
      <c r="N926">
        <f>IF($AB926="","",INDEX('Per Line'!$V$2:$V$4001,$AB926)&amp;"")</f>
        <v/>
      </c>
      <c r="O926">
        <f>IF($AB926="","",INDEX('Per Line'!$Z$2:$Z$4001,$AB926))</f>
        <v/>
      </c>
      <c r="P926">
        <f>IF($AB926="","",IF(AND(ISNUMBER(O926),O926&gt;0),Z926&gt;O926,FALSE))</f>
        <v/>
      </c>
      <c r="Q926" s="7">
        <f>IF($AB926="","",SUMIFS('Per Line'!$U$2:$U$4001,'Per Line'!$C$2:$C$4001,$B926,'Per Line'!$AM$2:$AM$4001,1))</f>
        <v/>
      </c>
      <c r="R926">
        <f>IF($AB926="","",Settings!$C$7)</f>
        <v/>
      </c>
      <c r="S926" s="7">
        <f>IF($AB926="","",SUMIFS('Per Line'!$U$2:$U$4001,'Per Line'!$C$2:$C$4001,$B926,'Per Line'!$AL$2:$AL$4001,0,'Per Line'!$AM$2:$AM$4001,0))</f>
        <v/>
      </c>
      <c r="T926" s="7">
        <f>IF($AB926="","",S926*R926)</f>
        <v/>
      </c>
      <c r="U926">
        <f>IF($AB926="","",Settings!$C$6)</f>
        <v/>
      </c>
      <c r="V926" s="7">
        <f>IF($AB926="","",SUMIFS('Per Line'!$U$2:$U$4001,'Per Line'!$C$2:$C$4001,$B926,'Per Line'!$AL$2:$AL$4001,1,'Per Line'!$AM$2:$AM$4001,0))</f>
        <v/>
      </c>
      <c r="W926" s="7">
        <f>IF($AB926="","",V926*U926)</f>
        <v/>
      </c>
      <c r="X926" s="7">
        <f>IF($AB926="","",W926+T926)</f>
        <v/>
      </c>
      <c r="Y926" s="7">
        <f>IF($AB926="","",Z926-X926)</f>
        <v/>
      </c>
      <c r="Z926" s="7">
        <f>IF($AB926="","",S926+V926+Q926)</f>
        <v/>
      </c>
      <c r="AA926" s="7">
        <f>IF($AB926="","",Z926-X926-M926)</f>
        <v/>
      </c>
      <c r="AB926" s="13">
        <f>IF(ROWS($AB$2:$AB926)&lt;=MAX('Per Line'!$AK$2:$AK$4001),MATCH(ROWS($AB$2:$AB926),'Per Line'!$AK$2:$AK$4001,0),"")</f>
        <v/>
      </c>
      <c r="AC926" s="14">
        <f>IF($AB926="","",M926-L926*Z926/100)</f>
        <v/>
      </c>
    </row>
    <row r="927">
      <c r="A927" s="12" t="n"/>
      <c r="B927">
        <f>IF($AB927="","",INDEX('Per Line'!$C$2:$C$4001,$AB927)&amp;"")</f>
        <v/>
      </c>
      <c r="C927">
        <f>IF($AB927="","",INDEX('Per Line'!$D$2:$D$4001,$AB927)&amp;"")</f>
        <v/>
      </c>
      <c r="D927">
        <f>IF($AB927="","",INDEX('Per Line'!$B$2:$B$4001,$AB927)&amp;"")</f>
        <v/>
      </c>
      <c r="E927">
        <f>IF($AB927="","",INDEX('Per Line'!$A$2:$A$4001,$AB927))</f>
        <v/>
      </c>
      <c r="F927" s="11">
        <f>IF($AB927="","",INDEX('Per Line'!$E$2:$E$4001,$AB927))</f>
        <v/>
      </c>
      <c r="G927">
        <f>IF($AB927="","",INDEX('Per Line'!$F$2:$F$4001,$AB927)&amp;"")</f>
        <v/>
      </c>
      <c r="H927">
        <f>IF($AB927="","",INDEX('Per Line'!$H$2:$H$4001,$AB927)&amp;"")</f>
        <v/>
      </c>
      <c r="I927">
        <f>IF($AB927="","",INDEX('Per Line'!$I$2:$I$4001,$AB927)&amp;"")</f>
        <v/>
      </c>
      <c r="J927">
        <f>IF($AB927="","",INDEX('Per Line'!$J$2:$J$4001,$AB927)&amp;"")</f>
        <v/>
      </c>
      <c r="K927">
        <f>IF($AB927="","",INDEX('Per Line'!$K$2:$K$4001,$AB927)&amp;"")</f>
        <v/>
      </c>
      <c r="L927">
        <f>IF($AB927="","",INDEX('Per Line'!$L$2:$L$4001,$AB927))</f>
        <v/>
      </c>
      <c r="M927" s="7">
        <f>IF($AB927="","",IF(AND(ISNUMBER(O927),O927&gt;0,Z927&gt;O927),L927*O927/100+(Z927-O927),L927*Z927/100))</f>
        <v/>
      </c>
      <c r="N927">
        <f>IF($AB927="","",INDEX('Per Line'!$V$2:$V$4001,$AB927)&amp;"")</f>
        <v/>
      </c>
      <c r="O927">
        <f>IF($AB927="","",INDEX('Per Line'!$Z$2:$Z$4001,$AB927))</f>
        <v/>
      </c>
      <c r="P927">
        <f>IF($AB927="","",IF(AND(ISNUMBER(O927),O927&gt;0),Z927&gt;O927,FALSE))</f>
        <v/>
      </c>
      <c r="Q927" s="7">
        <f>IF($AB927="","",SUMIFS('Per Line'!$U$2:$U$4001,'Per Line'!$C$2:$C$4001,$B927,'Per Line'!$AM$2:$AM$4001,1))</f>
        <v/>
      </c>
      <c r="R927">
        <f>IF($AB927="","",Settings!$C$7)</f>
        <v/>
      </c>
      <c r="S927" s="7">
        <f>IF($AB927="","",SUMIFS('Per Line'!$U$2:$U$4001,'Per Line'!$C$2:$C$4001,$B927,'Per Line'!$AL$2:$AL$4001,0,'Per Line'!$AM$2:$AM$4001,0))</f>
        <v/>
      </c>
      <c r="T927" s="7">
        <f>IF($AB927="","",S927*R927)</f>
        <v/>
      </c>
      <c r="U927">
        <f>IF($AB927="","",Settings!$C$6)</f>
        <v/>
      </c>
      <c r="V927" s="7">
        <f>IF($AB927="","",SUMIFS('Per Line'!$U$2:$U$4001,'Per Line'!$C$2:$C$4001,$B927,'Per Line'!$AL$2:$AL$4001,1,'Per Line'!$AM$2:$AM$4001,0))</f>
        <v/>
      </c>
      <c r="W927" s="7">
        <f>IF($AB927="","",V927*U927)</f>
        <v/>
      </c>
      <c r="X927" s="7">
        <f>IF($AB927="","",W927+T927)</f>
        <v/>
      </c>
      <c r="Y927" s="7">
        <f>IF($AB927="","",Z927-X927)</f>
        <v/>
      </c>
      <c r="Z927" s="7">
        <f>IF($AB927="","",S927+V927+Q927)</f>
        <v/>
      </c>
      <c r="AA927" s="7">
        <f>IF($AB927="","",Z927-X927-M927)</f>
        <v/>
      </c>
      <c r="AB927" s="13">
        <f>IF(ROWS($AB$2:$AB927)&lt;=MAX('Per Line'!$AK$2:$AK$4001),MATCH(ROWS($AB$2:$AB927),'Per Line'!$AK$2:$AK$4001,0),"")</f>
        <v/>
      </c>
      <c r="AC927" s="14">
        <f>IF($AB927="","",M927-L927*Z927/100)</f>
        <v/>
      </c>
    </row>
    <row r="928">
      <c r="A928" s="12" t="n"/>
      <c r="B928">
        <f>IF($AB928="","",INDEX('Per Line'!$C$2:$C$4001,$AB928)&amp;"")</f>
        <v/>
      </c>
      <c r="C928">
        <f>IF($AB928="","",INDEX('Per Line'!$D$2:$D$4001,$AB928)&amp;"")</f>
        <v/>
      </c>
      <c r="D928">
        <f>IF($AB928="","",INDEX('Per Line'!$B$2:$B$4001,$AB928)&amp;"")</f>
        <v/>
      </c>
      <c r="E928">
        <f>IF($AB928="","",INDEX('Per Line'!$A$2:$A$4001,$AB928))</f>
        <v/>
      </c>
      <c r="F928" s="11">
        <f>IF($AB928="","",INDEX('Per Line'!$E$2:$E$4001,$AB928))</f>
        <v/>
      </c>
      <c r="G928">
        <f>IF($AB928="","",INDEX('Per Line'!$F$2:$F$4001,$AB928)&amp;"")</f>
        <v/>
      </c>
      <c r="H928">
        <f>IF($AB928="","",INDEX('Per Line'!$H$2:$H$4001,$AB928)&amp;"")</f>
        <v/>
      </c>
      <c r="I928">
        <f>IF($AB928="","",INDEX('Per Line'!$I$2:$I$4001,$AB928)&amp;"")</f>
        <v/>
      </c>
      <c r="J928">
        <f>IF($AB928="","",INDEX('Per Line'!$J$2:$J$4001,$AB928)&amp;"")</f>
        <v/>
      </c>
      <c r="K928">
        <f>IF($AB928="","",INDEX('Per Line'!$K$2:$K$4001,$AB928)&amp;"")</f>
        <v/>
      </c>
      <c r="L928">
        <f>IF($AB928="","",INDEX('Per Line'!$L$2:$L$4001,$AB928))</f>
        <v/>
      </c>
      <c r="M928" s="7">
        <f>IF($AB928="","",IF(AND(ISNUMBER(O928),O928&gt;0,Z928&gt;O928),L928*O928/100+(Z928-O928),L928*Z928/100))</f>
        <v/>
      </c>
      <c r="N928">
        <f>IF($AB928="","",INDEX('Per Line'!$V$2:$V$4001,$AB928)&amp;"")</f>
        <v/>
      </c>
      <c r="O928">
        <f>IF($AB928="","",INDEX('Per Line'!$Z$2:$Z$4001,$AB928))</f>
        <v/>
      </c>
      <c r="P928">
        <f>IF($AB928="","",IF(AND(ISNUMBER(O928),O928&gt;0),Z928&gt;O928,FALSE))</f>
        <v/>
      </c>
      <c r="Q928" s="7">
        <f>IF($AB928="","",SUMIFS('Per Line'!$U$2:$U$4001,'Per Line'!$C$2:$C$4001,$B928,'Per Line'!$AM$2:$AM$4001,1))</f>
        <v/>
      </c>
      <c r="R928">
        <f>IF($AB928="","",Settings!$C$7)</f>
        <v/>
      </c>
      <c r="S928" s="7">
        <f>IF($AB928="","",SUMIFS('Per Line'!$U$2:$U$4001,'Per Line'!$C$2:$C$4001,$B928,'Per Line'!$AL$2:$AL$4001,0,'Per Line'!$AM$2:$AM$4001,0))</f>
        <v/>
      </c>
      <c r="T928" s="7">
        <f>IF($AB928="","",S928*R928)</f>
        <v/>
      </c>
      <c r="U928">
        <f>IF($AB928="","",Settings!$C$6)</f>
        <v/>
      </c>
      <c r="V928" s="7">
        <f>IF($AB928="","",SUMIFS('Per Line'!$U$2:$U$4001,'Per Line'!$C$2:$C$4001,$B928,'Per Line'!$AL$2:$AL$4001,1,'Per Line'!$AM$2:$AM$4001,0))</f>
        <v/>
      </c>
      <c r="W928" s="7">
        <f>IF($AB928="","",V928*U928)</f>
        <v/>
      </c>
      <c r="X928" s="7">
        <f>IF($AB928="","",W928+T928)</f>
        <v/>
      </c>
      <c r="Y928" s="7">
        <f>IF($AB928="","",Z928-X928)</f>
        <v/>
      </c>
      <c r="Z928" s="7">
        <f>IF($AB928="","",S928+V928+Q928)</f>
        <v/>
      </c>
      <c r="AA928" s="7">
        <f>IF($AB928="","",Z928-X928-M928)</f>
        <v/>
      </c>
      <c r="AB928" s="13">
        <f>IF(ROWS($AB$2:$AB928)&lt;=MAX('Per Line'!$AK$2:$AK$4001),MATCH(ROWS($AB$2:$AB928),'Per Line'!$AK$2:$AK$4001,0),"")</f>
        <v/>
      </c>
      <c r="AC928" s="14">
        <f>IF($AB928="","",M928-L928*Z928/100)</f>
        <v/>
      </c>
    </row>
    <row r="929">
      <c r="A929" s="12" t="n"/>
      <c r="B929">
        <f>IF($AB929="","",INDEX('Per Line'!$C$2:$C$4001,$AB929)&amp;"")</f>
        <v/>
      </c>
      <c r="C929">
        <f>IF($AB929="","",INDEX('Per Line'!$D$2:$D$4001,$AB929)&amp;"")</f>
        <v/>
      </c>
      <c r="D929">
        <f>IF($AB929="","",INDEX('Per Line'!$B$2:$B$4001,$AB929)&amp;"")</f>
        <v/>
      </c>
      <c r="E929">
        <f>IF($AB929="","",INDEX('Per Line'!$A$2:$A$4001,$AB929))</f>
        <v/>
      </c>
      <c r="F929" s="11">
        <f>IF($AB929="","",INDEX('Per Line'!$E$2:$E$4001,$AB929))</f>
        <v/>
      </c>
      <c r="G929">
        <f>IF($AB929="","",INDEX('Per Line'!$F$2:$F$4001,$AB929)&amp;"")</f>
        <v/>
      </c>
      <c r="H929">
        <f>IF($AB929="","",INDEX('Per Line'!$H$2:$H$4001,$AB929)&amp;"")</f>
        <v/>
      </c>
      <c r="I929">
        <f>IF($AB929="","",INDEX('Per Line'!$I$2:$I$4001,$AB929)&amp;"")</f>
        <v/>
      </c>
      <c r="J929">
        <f>IF($AB929="","",INDEX('Per Line'!$J$2:$J$4001,$AB929)&amp;"")</f>
        <v/>
      </c>
      <c r="K929">
        <f>IF($AB929="","",INDEX('Per Line'!$K$2:$K$4001,$AB929)&amp;"")</f>
        <v/>
      </c>
      <c r="L929">
        <f>IF($AB929="","",INDEX('Per Line'!$L$2:$L$4001,$AB929))</f>
        <v/>
      </c>
      <c r="M929" s="7">
        <f>IF($AB929="","",IF(AND(ISNUMBER(O929),O929&gt;0,Z929&gt;O929),L929*O929/100+(Z929-O929),L929*Z929/100))</f>
        <v/>
      </c>
      <c r="N929">
        <f>IF($AB929="","",INDEX('Per Line'!$V$2:$V$4001,$AB929)&amp;"")</f>
        <v/>
      </c>
      <c r="O929">
        <f>IF($AB929="","",INDEX('Per Line'!$Z$2:$Z$4001,$AB929))</f>
        <v/>
      </c>
      <c r="P929">
        <f>IF($AB929="","",IF(AND(ISNUMBER(O929),O929&gt;0),Z929&gt;O929,FALSE))</f>
        <v/>
      </c>
      <c r="Q929" s="7">
        <f>IF($AB929="","",SUMIFS('Per Line'!$U$2:$U$4001,'Per Line'!$C$2:$C$4001,$B929,'Per Line'!$AM$2:$AM$4001,1))</f>
        <v/>
      </c>
      <c r="R929">
        <f>IF($AB929="","",Settings!$C$7)</f>
        <v/>
      </c>
      <c r="S929" s="7">
        <f>IF($AB929="","",SUMIFS('Per Line'!$U$2:$U$4001,'Per Line'!$C$2:$C$4001,$B929,'Per Line'!$AL$2:$AL$4001,0,'Per Line'!$AM$2:$AM$4001,0))</f>
        <v/>
      </c>
      <c r="T929" s="7">
        <f>IF($AB929="","",S929*R929)</f>
        <v/>
      </c>
      <c r="U929">
        <f>IF($AB929="","",Settings!$C$6)</f>
        <v/>
      </c>
      <c r="V929" s="7">
        <f>IF($AB929="","",SUMIFS('Per Line'!$U$2:$U$4001,'Per Line'!$C$2:$C$4001,$B929,'Per Line'!$AL$2:$AL$4001,1,'Per Line'!$AM$2:$AM$4001,0))</f>
        <v/>
      </c>
      <c r="W929" s="7">
        <f>IF($AB929="","",V929*U929)</f>
        <v/>
      </c>
      <c r="X929" s="7">
        <f>IF($AB929="","",W929+T929)</f>
        <v/>
      </c>
      <c r="Y929" s="7">
        <f>IF($AB929="","",Z929-X929)</f>
        <v/>
      </c>
      <c r="Z929" s="7">
        <f>IF($AB929="","",S929+V929+Q929)</f>
        <v/>
      </c>
      <c r="AA929" s="7">
        <f>IF($AB929="","",Z929-X929-M929)</f>
        <v/>
      </c>
      <c r="AB929" s="13">
        <f>IF(ROWS($AB$2:$AB929)&lt;=MAX('Per Line'!$AK$2:$AK$4001),MATCH(ROWS($AB$2:$AB929),'Per Line'!$AK$2:$AK$4001,0),"")</f>
        <v/>
      </c>
      <c r="AC929" s="14">
        <f>IF($AB929="","",M929-L929*Z929/100)</f>
        <v/>
      </c>
    </row>
    <row r="930">
      <c r="A930" s="12" t="n"/>
      <c r="B930">
        <f>IF($AB930="","",INDEX('Per Line'!$C$2:$C$4001,$AB930)&amp;"")</f>
        <v/>
      </c>
      <c r="C930">
        <f>IF($AB930="","",INDEX('Per Line'!$D$2:$D$4001,$AB930)&amp;"")</f>
        <v/>
      </c>
      <c r="D930">
        <f>IF($AB930="","",INDEX('Per Line'!$B$2:$B$4001,$AB930)&amp;"")</f>
        <v/>
      </c>
      <c r="E930">
        <f>IF($AB930="","",INDEX('Per Line'!$A$2:$A$4001,$AB930))</f>
        <v/>
      </c>
      <c r="F930" s="11">
        <f>IF($AB930="","",INDEX('Per Line'!$E$2:$E$4001,$AB930))</f>
        <v/>
      </c>
      <c r="G930">
        <f>IF($AB930="","",INDEX('Per Line'!$F$2:$F$4001,$AB930)&amp;"")</f>
        <v/>
      </c>
      <c r="H930">
        <f>IF($AB930="","",INDEX('Per Line'!$H$2:$H$4001,$AB930)&amp;"")</f>
        <v/>
      </c>
      <c r="I930">
        <f>IF($AB930="","",INDEX('Per Line'!$I$2:$I$4001,$AB930)&amp;"")</f>
        <v/>
      </c>
      <c r="J930">
        <f>IF($AB930="","",INDEX('Per Line'!$J$2:$J$4001,$AB930)&amp;"")</f>
        <v/>
      </c>
      <c r="K930">
        <f>IF($AB930="","",INDEX('Per Line'!$K$2:$K$4001,$AB930)&amp;"")</f>
        <v/>
      </c>
      <c r="L930">
        <f>IF($AB930="","",INDEX('Per Line'!$L$2:$L$4001,$AB930))</f>
        <v/>
      </c>
      <c r="M930" s="7">
        <f>IF($AB930="","",IF(AND(ISNUMBER(O930),O930&gt;0,Z930&gt;O930),L930*O930/100+(Z930-O930),L930*Z930/100))</f>
        <v/>
      </c>
      <c r="N930">
        <f>IF($AB930="","",INDEX('Per Line'!$V$2:$V$4001,$AB930)&amp;"")</f>
        <v/>
      </c>
      <c r="O930">
        <f>IF($AB930="","",INDEX('Per Line'!$Z$2:$Z$4001,$AB930))</f>
        <v/>
      </c>
      <c r="P930">
        <f>IF($AB930="","",IF(AND(ISNUMBER(O930),O930&gt;0),Z930&gt;O930,FALSE))</f>
        <v/>
      </c>
      <c r="Q930" s="7">
        <f>IF($AB930="","",SUMIFS('Per Line'!$U$2:$U$4001,'Per Line'!$C$2:$C$4001,$B930,'Per Line'!$AM$2:$AM$4001,1))</f>
        <v/>
      </c>
      <c r="R930">
        <f>IF($AB930="","",Settings!$C$7)</f>
        <v/>
      </c>
      <c r="S930" s="7">
        <f>IF($AB930="","",SUMIFS('Per Line'!$U$2:$U$4001,'Per Line'!$C$2:$C$4001,$B930,'Per Line'!$AL$2:$AL$4001,0,'Per Line'!$AM$2:$AM$4001,0))</f>
        <v/>
      </c>
      <c r="T930" s="7">
        <f>IF($AB930="","",S930*R930)</f>
        <v/>
      </c>
      <c r="U930">
        <f>IF($AB930="","",Settings!$C$6)</f>
        <v/>
      </c>
      <c r="V930" s="7">
        <f>IF($AB930="","",SUMIFS('Per Line'!$U$2:$U$4001,'Per Line'!$C$2:$C$4001,$B930,'Per Line'!$AL$2:$AL$4001,1,'Per Line'!$AM$2:$AM$4001,0))</f>
        <v/>
      </c>
      <c r="W930" s="7">
        <f>IF($AB930="","",V930*U930)</f>
        <v/>
      </c>
      <c r="X930" s="7">
        <f>IF($AB930="","",W930+T930)</f>
        <v/>
      </c>
      <c r="Y930" s="7">
        <f>IF($AB930="","",Z930-X930)</f>
        <v/>
      </c>
      <c r="Z930" s="7">
        <f>IF($AB930="","",S930+V930+Q930)</f>
        <v/>
      </c>
      <c r="AA930" s="7">
        <f>IF($AB930="","",Z930-X930-M930)</f>
        <v/>
      </c>
      <c r="AB930" s="13">
        <f>IF(ROWS($AB$2:$AB930)&lt;=MAX('Per Line'!$AK$2:$AK$4001),MATCH(ROWS($AB$2:$AB930),'Per Line'!$AK$2:$AK$4001,0),"")</f>
        <v/>
      </c>
      <c r="AC930" s="14">
        <f>IF($AB930="","",M930-L930*Z930/100)</f>
        <v/>
      </c>
    </row>
    <row r="931">
      <c r="A931" s="12" t="n"/>
      <c r="B931">
        <f>IF($AB931="","",INDEX('Per Line'!$C$2:$C$4001,$AB931)&amp;"")</f>
        <v/>
      </c>
      <c r="C931">
        <f>IF($AB931="","",INDEX('Per Line'!$D$2:$D$4001,$AB931)&amp;"")</f>
        <v/>
      </c>
      <c r="D931">
        <f>IF($AB931="","",INDEX('Per Line'!$B$2:$B$4001,$AB931)&amp;"")</f>
        <v/>
      </c>
      <c r="E931">
        <f>IF($AB931="","",INDEX('Per Line'!$A$2:$A$4001,$AB931))</f>
        <v/>
      </c>
      <c r="F931" s="11">
        <f>IF($AB931="","",INDEX('Per Line'!$E$2:$E$4001,$AB931))</f>
        <v/>
      </c>
      <c r="G931">
        <f>IF($AB931="","",INDEX('Per Line'!$F$2:$F$4001,$AB931)&amp;"")</f>
        <v/>
      </c>
      <c r="H931">
        <f>IF($AB931="","",INDEX('Per Line'!$H$2:$H$4001,$AB931)&amp;"")</f>
        <v/>
      </c>
      <c r="I931">
        <f>IF($AB931="","",INDEX('Per Line'!$I$2:$I$4001,$AB931)&amp;"")</f>
        <v/>
      </c>
      <c r="J931">
        <f>IF($AB931="","",INDEX('Per Line'!$J$2:$J$4001,$AB931)&amp;"")</f>
        <v/>
      </c>
      <c r="K931">
        <f>IF($AB931="","",INDEX('Per Line'!$K$2:$K$4001,$AB931)&amp;"")</f>
        <v/>
      </c>
      <c r="L931">
        <f>IF($AB931="","",INDEX('Per Line'!$L$2:$L$4001,$AB931))</f>
        <v/>
      </c>
      <c r="M931" s="7">
        <f>IF($AB931="","",IF(AND(ISNUMBER(O931),O931&gt;0,Z931&gt;O931),L931*O931/100+(Z931-O931),L931*Z931/100))</f>
        <v/>
      </c>
      <c r="N931">
        <f>IF($AB931="","",INDEX('Per Line'!$V$2:$V$4001,$AB931)&amp;"")</f>
        <v/>
      </c>
      <c r="O931">
        <f>IF($AB931="","",INDEX('Per Line'!$Z$2:$Z$4001,$AB931))</f>
        <v/>
      </c>
      <c r="P931">
        <f>IF($AB931="","",IF(AND(ISNUMBER(O931),O931&gt;0),Z931&gt;O931,FALSE))</f>
        <v/>
      </c>
      <c r="Q931" s="7">
        <f>IF($AB931="","",SUMIFS('Per Line'!$U$2:$U$4001,'Per Line'!$C$2:$C$4001,$B931,'Per Line'!$AM$2:$AM$4001,1))</f>
        <v/>
      </c>
      <c r="R931">
        <f>IF($AB931="","",Settings!$C$7)</f>
        <v/>
      </c>
      <c r="S931" s="7">
        <f>IF($AB931="","",SUMIFS('Per Line'!$U$2:$U$4001,'Per Line'!$C$2:$C$4001,$B931,'Per Line'!$AL$2:$AL$4001,0,'Per Line'!$AM$2:$AM$4001,0))</f>
        <v/>
      </c>
      <c r="T931" s="7">
        <f>IF($AB931="","",S931*R931)</f>
        <v/>
      </c>
      <c r="U931">
        <f>IF($AB931="","",Settings!$C$6)</f>
        <v/>
      </c>
      <c r="V931" s="7">
        <f>IF($AB931="","",SUMIFS('Per Line'!$U$2:$U$4001,'Per Line'!$C$2:$C$4001,$B931,'Per Line'!$AL$2:$AL$4001,1,'Per Line'!$AM$2:$AM$4001,0))</f>
        <v/>
      </c>
      <c r="W931" s="7">
        <f>IF($AB931="","",V931*U931)</f>
        <v/>
      </c>
      <c r="X931" s="7">
        <f>IF($AB931="","",W931+T931)</f>
        <v/>
      </c>
      <c r="Y931" s="7">
        <f>IF($AB931="","",Z931-X931)</f>
        <v/>
      </c>
      <c r="Z931" s="7">
        <f>IF($AB931="","",S931+V931+Q931)</f>
        <v/>
      </c>
      <c r="AA931" s="7">
        <f>IF($AB931="","",Z931-X931-M931)</f>
        <v/>
      </c>
      <c r="AB931" s="13">
        <f>IF(ROWS($AB$2:$AB931)&lt;=MAX('Per Line'!$AK$2:$AK$4001),MATCH(ROWS($AB$2:$AB931),'Per Line'!$AK$2:$AK$4001,0),"")</f>
        <v/>
      </c>
      <c r="AC931" s="14">
        <f>IF($AB931="","",M931-L931*Z931/100)</f>
        <v/>
      </c>
    </row>
    <row r="932">
      <c r="A932" s="12" t="n"/>
      <c r="B932">
        <f>IF($AB932="","",INDEX('Per Line'!$C$2:$C$4001,$AB932)&amp;"")</f>
        <v/>
      </c>
      <c r="C932">
        <f>IF($AB932="","",INDEX('Per Line'!$D$2:$D$4001,$AB932)&amp;"")</f>
        <v/>
      </c>
      <c r="D932">
        <f>IF($AB932="","",INDEX('Per Line'!$B$2:$B$4001,$AB932)&amp;"")</f>
        <v/>
      </c>
      <c r="E932">
        <f>IF($AB932="","",INDEX('Per Line'!$A$2:$A$4001,$AB932))</f>
        <v/>
      </c>
      <c r="F932" s="11">
        <f>IF($AB932="","",INDEX('Per Line'!$E$2:$E$4001,$AB932))</f>
        <v/>
      </c>
      <c r="G932">
        <f>IF($AB932="","",INDEX('Per Line'!$F$2:$F$4001,$AB932)&amp;"")</f>
        <v/>
      </c>
      <c r="H932">
        <f>IF($AB932="","",INDEX('Per Line'!$H$2:$H$4001,$AB932)&amp;"")</f>
        <v/>
      </c>
      <c r="I932">
        <f>IF($AB932="","",INDEX('Per Line'!$I$2:$I$4001,$AB932)&amp;"")</f>
        <v/>
      </c>
      <c r="J932">
        <f>IF($AB932="","",INDEX('Per Line'!$J$2:$J$4001,$AB932)&amp;"")</f>
        <v/>
      </c>
      <c r="K932">
        <f>IF($AB932="","",INDEX('Per Line'!$K$2:$K$4001,$AB932)&amp;"")</f>
        <v/>
      </c>
      <c r="L932">
        <f>IF($AB932="","",INDEX('Per Line'!$L$2:$L$4001,$AB932))</f>
        <v/>
      </c>
      <c r="M932" s="7">
        <f>IF($AB932="","",IF(AND(ISNUMBER(O932),O932&gt;0,Z932&gt;O932),L932*O932/100+(Z932-O932),L932*Z932/100))</f>
        <v/>
      </c>
      <c r="N932">
        <f>IF($AB932="","",INDEX('Per Line'!$V$2:$V$4001,$AB932)&amp;"")</f>
        <v/>
      </c>
      <c r="O932">
        <f>IF($AB932="","",INDEX('Per Line'!$Z$2:$Z$4001,$AB932))</f>
        <v/>
      </c>
      <c r="P932">
        <f>IF($AB932="","",IF(AND(ISNUMBER(O932),O932&gt;0),Z932&gt;O932,FALSE))</f>
        <v/>
      </c>
      <c r="Q932" s="7">
        <f>IF($AB932="","",SUMIFS('Per Line'!$U$2:$U$4001,'Per Line'!$C$2:$C$4001,$B932,'Per Line'!$AM$2:$AM$4001,1))</f>
        <v/>
      </c>
      <c r="R932">
        <f>IF($AB932="","",Settings!$C$7)</f>
        <v/>
      </c>
      <c r="S932" s="7">
        <f>IF($AB932="","",SUMIFS('Per Line'!$U$2:$U$4001,'Per Line'!$C$2:$C$4001,$B932,'Per Line'!$AL$2:$AL$4001,0,'Per Line'!$AM$2:$AM$4001,0))</f>
        <v/>
      </c>
      <c r="T932" s="7">
        <f>IF($AB932="","",S932*R932)</f>
        <v/>
      </c>
      <c r="U932">
        <f>IF($AB932="","",Settings!$C$6)</f>
        <v/>
      </c>
      <c r="V932" s="7">
        <f>IF($AB932="","",SUMIFS('Per Line'!$U$2:$U$4001,'Per Line'!$C$2:$C$4001,$B932,'Per Line'!$AL$2:$AL$4001,1,'Per Line'!$AM$2:$AM$4001,0))</f>
        <v/>
      </c>
      <c r="W932" s="7">
        <f>IF($AB932="","",V932*U932)</f>
        <v/>
      </c>
      <c r="X932" s="7">
        <f>IF($AB932="","",W932+T932)</f>
        <v/>
      </c>
      <c r="Y932" s="7">
        <f>IF($AB932="","",Z932-X932)</f>
        <v/>
      </c>
      <c r="Z932" s="7">
        <f>IF($AB932="","",S932+V932+Q932)</f>
        <v/>
      </c>
      <c r="AA932" s="7">
        <f>IF($AB932="","",Z932-X932-M932)</f>
        <v/>
      </c>
      <c r="AB932" s="13">
        <f>IF(ROWS($AB$2:$AB932)&lt;=MAX('Per Line'!$AK$2:$AK$4001),MATCH(ROWS($AB$2:$AB932),'Per Line'!$AK$2:$AK$4001,0),"")</f>
        <v/>
      </c>
      <c r="AC932" s="14">
        <f>IF($AB932="","",M932-L932*Z932/100)</f>
        <v/>
      </c>
    </row>
    <row r="933">
      <c r="A933" s="12" t="n"/>
      <c r="B933">
        <f>IF($AB933="","",INDEX('Per Line'!$C$2:$C$4001,$AB933)&amp;"")</f>
        <v/>
      </c>
      <c r="C933">
        <f>IF($AB933="","",INDEX('Per Line'!$D$2:$D$4001,$AB933)&amp;"")</f>
        <v/>
      </c>
      <c r="D933">
        <f>IF($AB933="","",INDEX('Per Line'!$B$2:$B$4001,$AB933)&amp;"")</f>
        <v/>
      </c>
      <c r="E933">
        <f>IF($AB933="","",INDEX('Per Line'!$A$2:$A$4001,$AB933))</f>
        <v/>
      </c>
      <c r="F933" s="11">
        <f>IF($AB933="","",INDEX('Per Line'!$E$2:$E$4001,$AB933))</f>
        <v/>
      </c>
      <c r="G933">
        <f>IF($AB933="","",INDEX('Per Line'!$F$2:$F$4001,$AB933)&amp;"")</f>
        <v/>
      </c>
      <c r="H933">
        <f>IF($AB933="","",INDEX('Per Line'!$H$2:$H$4001,$AB933)&amp;"")</f>
        <v/>
      </c>
      <c r="I933">
        <f>IF($AB933="","",INDEX('Per Line'!$I$2:$I$4001,$AB933)&amp;"")</f>
        <v/>
      </c>
      <c r="J933">
        <f>IF($AB933="","",INDEX('Per Line'!$J$2:$J$4001,$AB933)&amp;"")</f>
        <v/>
      </c>
      <c r="K933">
        <f>IF($AB933="","",INDEX('Per Line'!$K$2:$K$4001,$AB933)&amp;"")</f>
        <v/>
      </c>
      <c r="L933">
        <f>IF($AB933="","",INDEX('Per Line'!$L$2:$L$4001,$AB933))</f>
        <v/>
      </c>
      <c r="M933" s="7">
        <f>IF($AB933="","",IF(AND(ISNUMBER(O933),O933&gt;0,Z933&gt;O933),L933*O933/100+(Z933-O933),L933*Z933/100))</f>
        <v/>
      </c>
      <c r="N933">
        <f>IF($AB933="","",INDEX('Per Line'!$V$2:$V$4001,$AB933)&amp;"")</f>
        <v/>
      </c>
      <c r="O933">
        <f>IF($AB933="","",INDEX('Per Line'!$Z$2:$Z$4001,$AB933))</f>
        <v/>
      </c>
      <c r="P933">
        <f>IF($AB933="","",IF(AND(ISNUMBER(O933),O933&gt;0),Z933&gt;O933,FALSE))</f>
        <v/>
      </c>
      <c r="Q933" s="7">
        <f>IF($AB933="","",SUMIFS('Per Line'!$U$2:$U$4001,'Per Line'!$C$2:$C$4001,$B933,'Per Line'!$AM$2:$AM$4001,1))</f>
        <v/>
      </c>
      <c r="R933">
        <f>IF($AB933="","",Settings!$C$7)</f>
        <v/>
      </c>
      <c r="S933" s="7">
        <f>IF($AB933="","",SUMIFS('Per Line'!$U$2:$U$4001,'Per Line'!$C$2:$C$4001,$B933,'Per Line'!$AL$2:$AL$4001,0,'Per Line'!$AM$2:$AM$4001,0))</f>
        <v/>
      </c>
      <c r="T933" s="7">
        <f>IF($AB933="","",S933*R933)</f>
        <v/>
      </c>
      <c r="U933">
        <f>IF($AB933="","",Settings!$C$6)</f>
        <v/>
      </c>
      <c r="V933" s="7">
        <f>IF($AB933="","",SUMIFS('Per Line'!$U$2:$U$4001,'Per Line'!$C$2:$C$4001,$B933,'Per Line'!$AL$2:$AL$4001,1,'Per Line'!$AM$2:$AM$4001,0))</f>
        <v/>
      </c>
      <c r="W933" s="7">
        <f>IF($AB933="","",V933*U933)</f>
        <v/>
      </c>
      <c r="X933" s="7">
        <f>IF($AB933="","",W933+T933)</f>
        <v/>
      </c>
      <c r="Y933" s="7">
        <f>IF($AB933="","",Z933-X933)</f>
        <v/>
      </c>
      <c r="Z933" s="7">
        <f>IF($AB933="","",S933+V933+Q933)</f>
        <v/>
      </c>
      <c r="AA933" s="7">
        <f>IF($AB933="","",Z933-X933-M933)</f>
        <v/>
      </c>
      <c r="AB933" s="13">
        <f>IF(ROWS($AB$2:$AB933)&lt;=MAX('Per Line'!$AK$2:$AK$4001),MATCH(ROWS($AB$2:$AB933),'Per Line'!$AK$2:$AK$4001,0),"")</f>
        <v/>
      </c>
      <c r="AC933" s="14">
        <f>IF($AB933="","",M933-L933*Z933/100)</f>
        <v/>
      </c>
    </row>
    <row r="934">
      <c r="A934" s="12" t="n"/>
      <c r="B934">
        <f>IF($AB934="","",INDEX('Per Line'!$C$2:$C$4001,$AB934)&amp;"")</f>
        <v/>
      </c>
      <c r="C934">
        <f>IF($AB934="","",INDEX('Per Line'!$D$2:$D$4001,$AB934)&amp;"")</f>
        <v/>
      </c>
      <c r="D934">
        <f>IF($AB934="","",INDEX('Per Line'!$B$2:$B$4001,$AB934)&amp;"")</f>
        <v/>
      </c>
      <c r="E934">
        <f>IF($AB934="","",INDEX('Per Line'!$A$2:$A$4001,$AB934))</f>
        <v/>
      </c>
      <c r="F934" s="11">
        <f>IF($AB934="","",INDEX('Per Line'!$E$2:$E$4001,$AB934))</f>
        <v/>
      </c>
      <c r="G934">
        <f>IF($AB934="","",INDEX('Per Line'!$F$2:$F$4001,$AB934)&amp;"")</f>
        <v/>
      </c>
      <c r="H934">
        <f>IF($AB934="","",INDEX('Per Line'!$H$2:$H$4001,$AB934)&amp;"")</f>
        <v/>
      </c>
      <c r="I934">
        <f>IF($AB934="","",INDEX('Per Line'!$I$2:$I$4001,$AB934)&amp;"")</f>
        <v/>
      </c>
      <c r="J934">
        <f>IF($AB934="","",INDEX('Per Line'!$J$2:$J$4001,$AB934)&amp;"")</f>
        <v/>
      </c>
      <c r="K934">
        <f>IF($AB934="","",INDEX('Per Line'!$K$2:$K$4001,$AB934)&amp;"")</f>
        <v/>
      </c>
      <c r="L934">
        <f>IF($AB934="","",INDEX('Per Line'!$L$2:$L$4001,$AB934))</f>
        <v/>
      </c>
      <c r="M934" s="7">
        <f>IF($AB934="","",IF(AND(ISNUMBER(O934),O934&gt;0,Z934&gt;O934),L934*O934/100+(Z934-O934),L934*Z934/100))</f>
        <v/>
      </c>
      <c r="N934">
        <f>IF($AB934="","",INDEX('Per Line'!$V$2:$V$4001,$AB934)&amp;"")</f>
        <v/>
      </c>
      <c r="O934">
        <f>IF($AB934="","",INDEX('Per Line'!$Z$2:$Z$4001,$AB934))</f>
        <v/>
      </c>
      <c r="P934">
        <f>IF($AB934="","",IF(AND(ISNUMBER(O934),O934&gt;0),Z934&gt;O934,FALSE))</f>
        <v/>
      </c>
      <c r="Q934" s="7">
        <f>IF($AB934="","",SUMIFS('Per Line'!$U$2:$U$4001,'Per Line'!$C$2:$C$4001,$B934,'Per Line'!$AM$2:$AM$4001,1))</f>
        <v/>
      </c>
      <c r="R934">
        <f>IF($AB934="","",Settings!$C$7)</f>
        <v/>
      </c>
      <c r="S934" s="7">
        <f>IF($AB934="","",SUMIFS('Per Line'!$U$2:$U$4001,'Per Line'!$C$2:$C$4001,$B934,'Per Line'!$AL$2:$AL$4001,0,'Per Line'!$AM$2:$AM$4001,0))</f>
        <v/>
      </c>
      <c r="T934" s="7">
        <f>IF($AB934="","",S934*R934)</f>
        <v/>
      </c>
      <c r="U934">
        <f>IF($AB934="","",Settings!$C$6)</f>
        <v/>
      </c>
      <c r="V934" s="7">
        <f>IF($AB934="","",SUMIFS('Per Line'!$U$2:$U$4001,'Per Line'!$C$2:$C$4001,$B934,'Per Line'!$AL$2:$AL$4001,1,'Per Line'!$AM$2:$AM$4001,0))</f>
        <v/>
      </c>
      <c r="W934" s="7">
        <f>IF($AB934="","",V934*U934)</f>
        <v/>
      </c>
      <c r="X934" s="7">
        <f>IF($AB934="","",W934+T934)</f>
        <v/>
      </c>
      <c r="Y934" s="7">
        <f>IF($AB934="","",Z934-X934)</f>
        <v/>
      </c>
      <c r="Z934" s="7">
        <f>IF($AB934="","",S934+V934+Q934)</f>
        <v/>
      </c>
      <c r="AA934" s="7">
        <f>IF($AB934="","",Z934-X934-M934)</f>
        <v/>
      </c>
      <c r="AB934" s="13">
        <f>IF(ROWS($AB$2:$AB934)&lt;=MAX('Per Line'!$AK$2:$AK$4001),MATCH(ROWS($AB$2:$AB934),'Per Line'!$AK$2:$AK$4001,0),"")</f>
        <v/>
      </c>
      <c r="AC934" s="14">
        <f>IF($AB934="","",M934-L934*Z934/100)</f>
        <v/>
      </c>
    </row>
    <row r="935">
      <c r="A935" s="12" t="n"/>
      <c r="B935">
        <f>IF($AB935="","",INDEX('Per Line'!$C$2:$C$4001,$AB935)&amp;"")</f>
        <v/>
      </c>
      <c r="C935">
        <f>IF($AB935="","",INDEX('Per Line'!$D$2:$D$4001,$AB935)&amp;"")</f>
        <v/>
      </c>
      <c r="D935">
        <f>IF($AB935="","",INDEX('Per Line'!$B$2:$B$4001,$AB935)&amp;"")</f>
        <v/>
      </c>
      <c r="E935">
        <f>IF($AB935="","",INDEX('Per Line'!$A$2:$A$4001,$AB935))</f>
        <v/>
      </c>
      <c r="F935" s="11">
        <f>IF($AB935="","",INDEX('Per Line'!$E$2:$E$4001,$AB935))</f>
        <v/>
      </c>
      <c r="G935">
        <f>IF($AB935="","",INDEX('Per Line'!$F$2:$F$4001,$AB935)&amp;"")</f>
        <v/>
      </c>
      <c r="H935">
        <f>IF($AB935="","",INDEX('Per Line'!$H$2:$H$4001,$AB935)&amp;"")</f>
        <v/>
      </c>
      <c r="I935">
        <f>IF($AB935="","",INDEX('Per Line'!$I$2:$I$4001,$AB935)&amp;"")</f>
        <v/>
      </c>
      <c r="J935">
        <f>IF($AB935="","",INDEX('Per Line'!$J$2:$J$4001,$AB935)&amp;"")</f>
        <v/>
      </c>
      <c r="K935">
        <f>IF($AB935="","",INDEX('Per Line'!$K$2:$K$4001,$AB935)&amp;"")</f>
        <v/>
      </c>
      <c r="L935">
        <f>IF($AB935="","",INDEX('Per Line'!$L$2:$L$4001,$AB935))</f>
        <v/>
      </c>
      <c r="M935" s="7">
        <f>IF($AB935="","",IF(AND(ISNUMBER(O935),O935&gt;0,Z935&gt;O935),L935*O935/100+(Z935-O935),L935*Z935/100))</f>
        <v/>
      </c>
      <c r="N935">
        <f>IF($AB935="","",INDEX('Per Line'!$V$2:$V$4001,$AB935)&amp;"")</f>
        <v/>
      </c>
      <c r="O935">
        <f>IF($AB935="","",INDEX('Per Line'!$Z$2:$Z$4001,$AB935))</f>
        <v/>
      </c>
      <c r="P935">
        <f>IF($AB935="","",IF(AND(ISNUMBER(O935),O935&gt;0),Z935&gt;O935,FALSE))</f>
        <v/>
      </c>
      <c r="Q935" s="7">
        <f>IF($AB935="","",SUMIFS('Per Line'!$U$2:$U$4001,'Per Line'!$C$2:$C$4001,$B935,'Per Line'!$AM$2:$AM$4001,1))</f>
        <v/>
      </c>
      <c r="R935">
        <f>IF($AB935="","",Settings!$C$7)</f>
        <v/>
      </c>
      <c r="S935" s="7">
        <f>IF($AB935="","",SUMIFS('Per Line'!$U$2:$U$4001,'Per Line'!$C$2:$C$4001,$B935,'Per Line'!$AL$2:$AL$4001,0,'Per Line'!$AM$2:$AM$4001,0))</f>
        <v/>
      </c>
      <c r="T935" s="7">
        <f>IF($AB935="","",S935*R935)</f>
        <v/>
      </c>
      <c r="U935">
        <f>IF($AB935="","",Settings!$C$6)</f>
        <v/>
      </c>
      <c r="V935" s="7">
        <f>IF($AB935="","",SUMIFS('Per Line'!$U$2:$U$4001,'Per Line'!$C$2:$C$4001,$B935,'Per Line'!$AL$2:$AL$4001,1,'Per Line'!$AM$2:$AM$4001,0))</f>
        <v/>
      </c>
      <c r="W935" s="7">
        <f>IF($AB935="","",V935*U935)</f>
        <v/>
      </c>
      <c r="X935" s="7">
        <f>IF($AB935="","",W935+T935)</f>
        <v/>
      </c>
      <c r="Y935" s="7">
        <f>IF($AB935="","",Z935-X935)</f>
        <v/>
      </c>
      <c r="Z935" s="7">
        <f>IF($AB935="","",S935+V935+Q935)</f>
        <v/>
      </c>
      <c r="AA935" s="7">
        <f>IF($AB935="","",Z935-X935-M935)</f>
        <v/>
      </c>
      <c r="AB935" s="13">
        <f>IF(ROWS($AB$2:$AB935)&lt;=MAX('Per Line'!$AK$2:$AK$4001),MATCH(ROWS($AB$2:$AB935),'Per Line'!$AK$2:$AK$4001,0),"")</f>
        <v/>
      </c>
      <c r="AC935" s="14">
        <f>IF($AB935="","",M935-L935*Z935/100)</f>
        <v/>
      </c>
    </row>
    <row r="936">
      <c r="A936" s="12" t="n"/>
      <c r="B936">
        <f>IF($AB936="","",INDEX('Per Line'!$C$2:$C$4001,$AB936)&amp;"")</f>
        <v/>
      </c>
      <c r="C936">
        <f>IF($AB936="","",INDEX('Per Line'!$D$2:$D$4001,$AB936)&amp;"")</f>
        <v/>
      </c>
      <c r="D936">
        <f>IF($AB936="","",INDEX('Per Line'!$B$2:$B$4001,$AB936)&amp;"")</f>
        <v/>
      </c>
      <c r="E936">
        <f>IF($AB936="","",INDEX('Per Line'!$A$2:$A$4001,$AB936))</f>
        <v/>
      </c>
      <c r="F936" s="11">
        <f>IF($AB936="","",INDEX('Per Line'!$E$2:$E$4001,$AB936))</f>
        <v/>
      </c>
      <c r="G936">
        <f>IF($AB936="","",INDEX('Per Line'!$F$2:$F$4001,$AB936)&amp;"")</f>
        <v/>
      </c>
      <c r="H936">
        <f>IF($AB936="","",INDEX('Per Line'!$H$2:$H$4001,$AB936)&amp;"")</f>
        <v/>
      </c>
      <c r="I936">
        <f>IF($AB936="","",INDEX('Per Line'!$I$2:$I$4001,$AB936)&amp;"")</f>
        <v/>
      </c>
      <c r="J936">
        <f>IF($AB936="","",INDEX('Per Line'!$J$2:$J$4001,$AB936)&amp;"")</f>
        <v/>
      </c>
      <c r="K936">
        <f>IF($AB936="","",INDEX('Per Line'!$K$2:$K$4001,$AB936)&amp;"")</f>
        <v/>
      </c>
      <c r="L936">
        <f>IF($AB936="","",INDEX('Per Line'!$L$2:$L$4001,$AB936))</f>
        <v/>
      </c>
      <c r="M936" s="7">
        <f>IF($AB936="","",IF(AND(ISNUMBER(O936),O936&gt;0,Z936&gt;O936),L936*O936/100+(Z936-O936),L936*Z936/100))</f>
        <v/>
      </c>
      <c r="N936">
        <f>IF($AB936="","",INDEX('Per Line'!$V$2:$V$4001,$AB936)&amp;"")</f>
        <v/>
      </c>
      <c r="O936">
        <f>IF($AB936="","",INDEX('Per Line'!$Z$2:$Z$4001,$AB936))</f>
        <v/>
      </c>
      <c r="P936">
        <f>IF($AB936="","",IF(AND(ISNUMBER(O936),O936&gt;0),Z936&gt;O936,FALSE))</f>
        <v/>
      </c>
      <c r="Q936" s="7">
        <f>IF($AB936="","",SUMIFS('Per Line'!$U$2:$U$4001,'Per Line'!$C$2:$C$4001,$B936,'Per Line'!$AM$2:$AM$4001,1))</f>
        <v/>
      </c>
      <c r="R936">
        <f>IF($AB936="","",Settings!$C$7)</f>
        <v/>
      </c>
      <c r="S936" s="7">
        <f>IF($AB936="","",SUMIFS('Per Line'!$U$2:$U$4001,'Per Line'!$C$2:$C$4001,$B936,'Per Line'!$AL$2:$AL$4001,0,'Per Line'!$AM$2:$AM$4001,0))</f>
        <v/>
      </c>
      <c r="T936" s="7">
        <f>IF($AB936="","",S936*R936)</f>
        <v/>
      </c>
      <c r="U936">
        <f>IF($AB936="","",Settings!$C$6)</f>
        <v/>
      </c>
      <c r="V936" s="7">
        <f>IF($AB936="","",SUMIFS('Per Line'!$U$2:$U$4001,'Per Line'!$C$2:$C$4001,$B936,'Per Line'!$AL$2:$AL$4001,1,'Per Line'!$AM$2:$AM$4001,0))</f>
        <v/>
      </c>
      <c r="W936" s="7">
        <f>IF($AB936="","",V936*U936)</f>
        <v/>
      </c>
      <c r="X936" s="7">
        <f>IF($AB936="","",W936+T936)</f>
        <v/>
      </c>
      <c r="Y936" s="7">
        <f>IF($AB936="","",Z936-X936)</f>
        <v/>
      </c>
      <c r="Z936" s="7">
        <f>IF($AB936="","",S936+V936+Q936)</f>
        <v/>
      </c>
      <c r="AA936" s="7">
        <f>IF($AB936="","",Z936-X936-M936)</f>
        <v/>
      </c>
      <c r="AB936" s="13">
        <f>IF(ROWS($AB$2:$AB936)&lt;=MAX('Per Line'!$AK$2:$AK$4001),MATCH(ROWS($AB$2:$AB936),'Per Line'!$AK$2:$AK$4001,0),"")</f>
        <v/>
      </c>
      <c r="AC936" s="14">
        <f>IF($AB936="","",M936-L936*Z936/100)</f>
        <v/>
      </c>
    </row>
    <row r="937">
      <c r="A937" s="12" t="n"/>
      <c r="B937">
        <f>IF($AB937="","",INDEX('Per Line'!$C$2:$C$4001,$AB937)&amp;"")</f>
        <v/>
      </c>
      <c r="C937">
        <f>IF($AB937="","",INDEX('Per Line'!$D$2:$D$4001,$AB937)&amp;"")</f>
        <v/>
      </c>
      <c r="D937">
        <f>IF($AB937="","",INDEX('Per Line'!$B$2:$B$4001,$AB937)&amp;"")</f>
        <v/>
      </c>
      <c r="E937">
        <f>IF($AB937="","",INDEX('Per Line'!$A$2:$A$4001,$AB937))</f>
        <v/>
      </c>
      <c r="F937" s="11">
        <f>IF($AB937="","",INDEX('Per Line'!$E$2:$E$4001,$AB937))</f>
        <v/>
      </c>
      <c r="G937">
        <f>IF($AB937="","",INDEX('Per Line'!$F$2:$F$4001,$AB937)&amp;"")</f>
        <v/>
      </c>
      <c r="H937">
        <f>IF($AB937="","",INDEX('Per Line'!$H$2:$H$4001,$AB937)&amp;"")</f>
        <v/>
      </c>
      <c r="I937">
        <f>IF($AB937="","",INDEX('Per Line'!$I$2:$I$4001,$AB937)&amp;"")</f>
        <v/>
      </c>
      <c r="J937">
        <f>IF($AB937="","",INDEX('Per Line'!$J$2:$J$4001,$AB937)&amp;"")</f>
        <v/>
      </c>
      <c r="K937">
        <f>IF($AB937="","",INDEX('Per Line'!$K$2:$K$4001,$AB937)&amp;"")</f>
        <v/>
      </c>
      <c r="L937">
        <f>IF($AB937="","",INDEX('Per Line'!$L$2:$L$4001,$AB937))</f>
        <v/>
      </c>
      <c r="M937" s="7">
        <f>IF($AB937="","",IF(AND(ISNUMBER(O937),O937&gt;0,Z937&gt;O937),L937*O937/100+(Z937-O937),L937*Z937/100))</f>
        <v/>
      </c>
      <c r="N937">
        <f>IF($AB937="","",INDEX('Per Line'!$V$2:$V$4001,$AB937)&amp;"")</f>
        <v/>
      </c>
      <c r="O937">
        <f>IF($AB937="","",INDEX('Per Line'!$Z$2:$Z$4001,$AB937))</f>
        <v/>
      </c>
      <c r="P937">
        <f>IF($AB937="","",IF(AND(ISNUMBER(O937),O937&gt;0),Z937&gt;O937,FALSE))</f>
        <v/>
      </c>
      <c r="Q937" s="7">
        <f>IF($AB937="","",SUMIFS('Per Line'!$U$2:$U$4001,'Per Line'!$C$2:$C$4001,$B937,'Per Line'!$AM$2:$AM$4001,1))</f>
        <v/>
      </c>
      <c r="R937">
        <f>IF($AB937="","",Settings!$C$7)</f>
        <v/>
      </c>
      <c r="S937" s="7">
        <f>IF($AB937="","",SUMIFS('Per Line'!$U$2:$U$4001,'Per Line'!$C$2:$C$4001,$B937,'Per Line'!$AL$2:$AL$4001,0,'Per Line'!$AM$2:$AM$4001,0))</f>
        <v/>
      </c>
      <c r="T937" s="7">
        <f>IF($AB937="","",S937*R937)</f>
        <v/>
      </c>
      <c r="U937">
        <f>IF($AB937="","",Settings!$C$6)</f>
        <v/>
      </c>
      <c r="V937" s="7">
        <f>IF($AB937="","",SUMIFS('Per Line'!$U$2:$U$4001,'Per Line'!$C$2:$C$4001,$B937,'Per Line'!$AL$2:$AL$4001,1,'Per Line'!$AM$2:$AM$4001,0))</f>
        <v/>
      </c>
      <c r="W937" s="7">
        <f>IF($AB937="","",V937*U937)</f>
        <v/>
      </c>
      <c r="X937" s="7">
        <f>IF($AB937="","",W937+T937)</f>
        <v/>
      </c>
      <c r="Y937" s="7">
        <f>IF($AB937="","",Z937-X937)</f>
        <v/>
      </c>
      <c r="Z937" s="7">
        <f>IF($AB937="","",S937+V937+Q937)</f>
        <v/>
      </c>
      <c r="AA937" s="7">
        <f>IF($AB937="","",Z937-X937-M937)</f>
        <v/>
      </c>
      <c r="AB937" s="13">
        <f>IF(ROWS($AB$2:$AB937)&lt;=MAX('Per Line'!$AK$2:$AK$4001),MATCH(ROWS($AB$2:$AB937),'Per Line'!$AK$2:$AK$4001,0),"")</f>
        <v/>
      </c>
      <c r="AC937" s="14">
        <f>IF($AB937="","",M937-L937*Z937/100)</f>
        <v/>
      </c>
    </row>
    <row r="938">
      <c r="A938" s="12" t="n"/>
      <c r="B938">
        <f>IF($AB938="","",INDEX('Per Line'!$C$2:$C$4001,$AB938)&amp;"")</f>
        <v/>
      </c>
      <c r="C938">
        <f>IF($AB938="","",INDEX('Per Line'!$D$2:$D$4001,$AB938)&amp;"")</f>
        <v/>
      </c>
      <c r="D938">
        <f>IF($AB938="","",INDEX('Per Line'!$B$2:$B$4001,$AB938)&amp;"")</f>
        <v/>
      </c>
      <c r="E938">
        <f>IF($AB938="","",INDEX('Per Line'!$A$2:$A$4001,$AB938))</f>
        <v/>
      </c>
      <c r="F938" s="11">
        <f>IF($AB938="","",INDEX('Per Line'!$E$2:$E$4001,$AB938))</f>
        <v/>
      </c>
      <c r="G938">
        <f>IF($AB938="","",INDEX('Per Line'!$F$2:$F$4001,$AB938)&amp;"")</f>
        <v/>
      </c>
      <c r="H938">
        <f>IF($AB938="","",INDEX('Per Line'!$H$2:$H$4001,$AB938)&amp;"")</f>
        <v/>
      </c>
      <c r="I938">
        <f>IF($AB938="","",INDEX('Per Line'!$I$2:$I$4001,$AB938)&amp;"")</f>
        <v/>
      </c>
      <c r="J938">
        <f>IF($AB938="","",INDEX('Per Line'!$J$2:$J$4001,$AB938)&amp;"")</f>
        <v/>
      </c>
      <c r="K938">
        <f>IF($AB938="","",INDEX('Per Line'!$K$2:$K$4001,$AB938)&amp;"")</f>
        <v/>
      </c>
      <c r="L938">
        <f>IF($AB938="","",INDEX('Per Line'!$L$2:$L$4001,$AB938))</f>
        <v/>
      </c>
      <c r="M938" s="7">
        <f>IF($AB938="","",IF(AND(ISNUMBER(O938),O938&gt;0,Z938&gt;O938),L938*O938/100+(Z938-O938),L938*Z938/100))</f>
        <v/>
      </c>
      <c r="N938">
        <f>IF($AB938="","",INDEX('Per Line'!$V$2:$V$4001,$AB938)&amp;"")</f>
        <v/>
      </c>
      <c r="O938">
        <f>IF($AB938="","",INDEX('Per Line'!$Z$2:$Z$4001,$AB938))</f>
        <v/>
      </c>
      <c r="P938">
        <f>IF($AB938="","",IF(AND(ISNUMBER(O938),O938&gt;0),Z938&gt;O938,FALSE))</f>
        <v/>
      </c>
      <c r="Q938" s="7">
        <f>IF($AB938="","",SUMIFS('Per Line'!$U$2:$U$4001,'Per Line'!$C$2:$C$4001,$B938,'Per Line'!$AM$2:$AM$4001,1))</f>
        <v/>
      </c>
      <c r="R938">
        <f>IF($AB938="","",Settings!$C$7)</f>
        <v/>
      </c>
      <c r="S938" s="7">
        <f>IF($AB938="","",SUMIFS('Per Line'!$U$2:$U$4001,'Per Line'!$C$2:$C$4001,$B938,'Per Line'!$AL$2:$AL$4001,0,'Per Line'!$AM$2:$AM$4001,0))</f>
        <v/>
      </c>
      <c r="T938" s="7">
        <f>IF($AB938="","",S938*R938)</f>
        <v/>
      </c>
      <c r="U938">
        <f>IF($AB938="","",Settings!$C$6)</f>
        <v/>
      </c>
      <c r="V938" s="7">
        <f>IF($AB938="","",SUMIFS('Per Line'!$U$2:$U$4001,'Per Line'!$C$2:$C$4001,$B938,'Per Line'!$AL$2:$AL$4001,1,'Per Line'!$AM$2:$AM$4001,0))</f>
        <v/>
      </c>
      <c r="W938" s="7">
        <f>IF($AB938="","",V938*U938)</f>
        <v/>
      </c>
      <c r="X938" s="7">
        <f>IF($AB938="","",W938+T938)</f>
        <v/>
      </c>
      <c r="Y938" s="7">
        <f>IF($AB938="","",Z938-X938)</f>
        <v/>
      </c>
      <c r="Z938" s="7">
        <f>IF($AB938="","",S938+V938+Q938)</f>
        <v/>
      </c>
      <c r="AA938" s="7">
        <f>IF($AB938="","",Z938-X938-M938)</f>
        <v/>
      </c>
      <c r="AB938" s="13">
        <f>IF(ROWS($AB$2:$AB938)&lt;=MAX('Per Line'!$AK$2:$AK$4001),MATCH(ROWS($AB$2:$AB938),'Per Line'!$AK$2:$AK$4001,0),"")</f>
        <v/>
      </c>
      <c r="AC938" s="14">
        <f>IF($AB938="","",M938-L938*Z938/100)</f>
        <v/>
      </c>
    </row>
    <row r="939">
      <c r="A939" s="12" t="n"/>
      <c r="B939">
        <f>IF($AB939="","",INDEX('Per Line'!$C$2:$C$4001,$AB939)&amp;"")</f>
        <v/>
      </c>
      <c r="C939">
        <f>IF($AB939="","",INDEX('Per Line'!$D$2:$D$4001,$AB939)&amp;"")</f>
        <v/>
      </c>
      <c r="D939">
        <f>IF($AB939="","",INDEX('Per Line'!$B$2:$B$4001,$AB939)&amp;"")</f>
        <v/>
      </c>
      <c r="E939">
        <f>IF($AB939="","",INDEX('Per Line'!$A$2:$A$4001,$AB939))</f>
        <v/>
      </c>
      <c r="F939" s="11">
        <f>IF($AB939="","",INDEX('Per Line'!$E$2:$E$4001,$AB939))</f>
        <v/>
      </c>
      <c r="G939">
        <f>IF($AB939="","",INDEX('Per Line'!$F$2:$F$4001,$AB939)&amp;"")</f>
        <v/>
      </c>
      <c r="H939">
        <f>IF($AB939="","",INDEX('Per Line'!$H$2:$H$4001,$AB939)&amp;"")</f>
        <v/>
      </c>
      <c r="I939">
        <f>IF($AB939="","",INDEX('Per Line'!$I$2:$I$4001,$AB939)&amp;"")</f>
        <v/>
      </c>
      <c r="J939">
        <f>IF($AB939="","",INDEX('Per Line'!$J$2:$J$4001,$AB939)&amp;"")</f>
        <v/>
      </c>
      <c r="K939">
        <f>IF($AB939="","",INDEX('Per Line'!$K$2:$K$4001,$AB939)&amp;"")</f>
        <v/>
      </c>
      <c r="L939">
        <f>IF($AB939="","",INDEX('Per Line'!$L$2:$L$4001,$AB939))</f>
        <v/>
      </c>
      <c r="M939" s="7">
        <f>IF($AB939="","",IF(AND(ISNUMBER(O939),O939&gt;0,Z939&gt;O939),L939*O939/100+(Z939-O939),L939*Z939/100))</f>
        <v/>
      </c>
      <c r="N939">
        <f>IF($AB939="","",INDEX('Per Line'!$V$2:$V$4001,$AB939)&amp;"")</f>
        <v/>
      </c>
      <c r="O939">
        <f>IF($AB939="","",INDEX('Per Line'!$Z$2:$Z$4001,$AB939))</f>
        <v/>
      </c>
      <c r="P939">
        <f>IF($AB939="","",IF(AND(ISNUMBER(O939),O939&gt;0),Z939&gt;O939,FALSE))</f>
        <v/>
      </c>
      <c r="Q939" s="7">
        <f>IF($AB939="","",SUMIFS('Per Line'!$U$2:$U$4001,'Per Line'!$C$2:$C$4001,$B939,'Per Line'!$AM$2:$AM$4001,1))</f>
        <v/>
      </c>
      <c r="R939">
        <f>IF($AB939="","",Settings!$C$7)</f>
        <v/>
      </c>
      <c r="S939" s="7">
        <f>IF($AB939="","",SUMIFS('Per Line'!$U$2:$U$4001,'Per Line'!$C$2:$C$4001,$B939,'Per Line'!$AL$2:$AL$4001,0,'Per Line'!$AM$2:$AM$4001,0))</f>
        <v/>
      </c>
      <c r="T939" s="7">
        <f>IF($AB939="","",S939*R939)</f>
        <v/>
      </c>
      <c r="U939">
        <f>IF($AB939="","",Settings!$C$6)</f>
        <v/>
      </c>
      <c r="V939" s="7">
        <f>IF($AB939="","",SUMIFS('Per Line'!$U$2:$U$4001,'Per Line'!$C$2:$C$4001,$B939,'Per Line'!$AL$2:$AL$4001,1,'Per Line'!$AM$2:$AM$4001,0))</f>
        <v/>
      </c>
      <c r="W939" s="7">
        <f>IF($AB939="","",V939*U939)</f>
        <v/>
      </c>
      <c r="X939" s="7">
        <f>IF($AB939="","",W939+T939)</f>
        <v/>
      </c>
      <c r="Y939" s="7">
        <f>IF($AB939="","",Z939-X939)</f>
        <v/>
      </c>
      <c r="Z939" s="7">
        <f>IF($AB939="","",S939+V939+Q939)</f>
        <v/>
      </c>
      <c r="AA939" s="7">
        <f>IF($AB939="","",Z939-X939-M939)</f>
        <v/>
      </c>
      <c r="AB939" s="13">
        <f>IF(ROWS($AB$2:$AB939)&lt;=MAX('Per Line'!$AK$2:$AK$4001),MATCH(ROWS($AB$2:$AB939),'Per Line'!$AK$2:$AK$4001,0),"")</f>
        <v/>
      </c>
      <c r="AC939" s="14">
        <f>IF($AB939="","",M939-L939*Z939/100)</f>
        <v/>
      </c>
    </row>
    <row r="940">
      <c r="A940" s="12" t="n"/>
      <c r="B940">
        <f>IF($AB940="","",INDEX('Per Line'!$C$2:$C$4001,$AB940)&amp;"")</f>
        <v/>
      </c>
      <c r="C940">
        <f>IF($AB940="","",INDEX('Per Line'!$D$2:$D$4001,$AB940)&amp;"")</f>
        <v/>
      </c>
      <c r="D940">
        <f>IF($AB940="","",INDEX('Per Line'!$B$2:$B$4001,$AB940)&amp;"")</f>
        <v/>
      </c>
      <c r="E940">
        <f>IF($AB940="","",INDEX('Per Line'!$A$2:$A$4001,$AB940))</f>
        <v/>
      </c>
      <c r="F940" s="11">
        <f>IF($AB940="","",INDEX('Per Line'!$E$2:$E$4001,$AB940))</f>
        <v/>
      </c>
      <c r="G940">
        <f>IF($AB940="","",INDEX('Per Line'!$F$2:$F$4001,$AB940)&amp;"")</f>
        <v/>
      </c>
      <c r="H940">
        <f>IF($AB940="","",INDEX('Per Line'!$H$2:$H$4001,$AB940)&amp;"")</f>
        <v/>
      </c>
      <c r="I940">
        <f>IF($AB940="","",INDEX('Per Line'!$I$2:$I$4001,$AB940)&amp;"")</f>
        <v/>
      </c>
      <c r="J940">
        <f>IF($AB940="","",INDEX('Per Line'!$J$2:$J$4001,$AB940)&amp;"")</f>
        <v/>
      </c>
      <c r="K940">
        <f>IF($AB940="","",INDEX('Per Line'!$K$2:$K$4001,$AB940)&amp;"")</f>
        <v/>
      </c>
      <c r="L940">
        <f>IF($AB940="","",INDEX('Per Line'!$L$2:$L$4001,$AB940))</f>
        <v/>
      </c>
      <c r="M940" s="7">
        <f>IF($AB940="","",IF(AND(ISNUMBER(O940),O940&gt;0,Z940&gt;O940),L940*O940/100+(Z940-O940),L940*Z940/100))</f>
        <v/>
      </c>
      <c r="N940">
        <f>IF($AB940="","",INDEX('Per Line'!$V$2:$V$4001,$AB940)&amp;"")</f>
        <v/>
      </c>
      <c r="O940">
        <f>IF($AB940="","",INDEX('Per Line'!$Z$2:$Z$4001,$AB940))</f>
        <v/>
      </c>
      <c r="P940">
        <f>IF($AB940="","",IF(AND(ISNUMBER(O940),O940&gt;0),Z940&gt;O940,FALSE))</f>
        <v/>
      </c>
      <c r="Q940" s="7">
        <f>IF($AB940="","",SUMIFS('Per Line'!$U$2:$U$4001,'Per Line'!$C$2:$C$4001,$B940,'Per Line'!$AM$2:$AM$4001,1))</f>
        <v/>
      </c>
      <c r="R940">
        <f>IF($AB940="","",Settings!$C$7)</f>
        <v/>
      </c>
      <c r="S940" s="7">
        <f>IF($AB940="","",SUMIFS('Per Line'!$U$2:$U$4001,'Per Line'!$C$2:$C$4001,$B940,'Per Line'!$AL$2:$AL$4001,0,'Per Line'!$AM$2:$AM$4001,0))</f>
        <v/>
      </c>
      <c r="T940" s="7">
        <f>IF($AB940="","",S940*R940)</f>
        <v/>
      </c>
      <c r="U940">
        <f>IF($AB940="","",Settings!$C$6)</f>
        <v/>
      </c>
      <c r="V940" s="7">
        <f>IF($AB940="","",SUMIFS('Per Line'!$U$2:$U$4001,'Per Line'!$C$2:$C$4001,$B940,'Per Line'!$AL$2:$AL$4001,1,'Per Line'!$AM$2:$AM$4001,0))</f>
        <v/>
      </c>
      <c r="W940" s="7">
        <f>IF($AB940="","",V940*U940)</f>
        <v/>
      </c>
      <c r="X940" s="7">
        <f>IF($AB940="","",W940+T940)</f>
        <v/>
      </c>
      <c r="Y940" s="7">
        <f>IF($AB940="","",Z940-X940)</f>
        <v/>
      </c>
      <c r="Z940" s="7">
        <f>IF($AB940="","",S940+V940+Q940)</f>
        <v/>
      </c>
      <c r="AA940" s="7">
        <f>IF($AB940="","",Z940-X940-M940)</f>
        <v/>
      </c>
      <c r="AB940" s="13">
        <f>IF(ROWS($AB$2:$AB940)&lt;=MAX('Per Line'!$AK$2:$AK$4001),MATCH(ROWS($AB$2:$AB940),'Per Line'!$AK$2:$AK$4001,0),"")</f>
        <v/>
      </c>
      <c r="AC940" s="14">
        <f>IF($AB940="","",M940-L940*Z940/100)</f>
        <v/>
      </c>
    </row>
    <row r="941">
      <c r="A941" s="12" t="n"/>
      <c r="B941">
        <f>IF($AB941="","",INDEX('Per Line'!$C$2:$C$4001,$AB941)&amp;"")</f>
        <v/>
      </c>
      <c r="C941">
        <f>IF($AB941="","",INDEX('Per Line'!$D$2:$D$4001,$AB941)&amp;"")</f>
        <v/>
      </c>
      <c r="D941">
        <f>IF($AB941="","",INDEX('Per Line'!$B$2:$B$4001,$AB941)&amp;"")</f>
        <v/>
      </c>
      <c r="E941">
        <f>IF($AB941="","",INDEX('Per Line'!$A$2:$A$4001,$AB941))</f>
        <v/>
      </c>
      <c r="F941" s="11">
        <f>IF($AB941="","",INDEX('Per Line'!$E$2:$E$4001,$AB941))</f>
        <v/>
      </c>
      <c r="G941">
        <f>IF($AB941="","",INDEX('Per Line'!$F$2:$F$4001,$AB941)&amp;"")</f>
        <v/>
      </c>
      <c r="H941">
        <f>IF($AB941="","",INDEX('Per Line'!$H$2:$H$4001,$AB941)&amp;"")</f>
        <v/>
      </c>
      <c r="I941">
        <f>IF($AB941="","",INDEX('Per Line'!$I$2:$I$4001,$AB941)&amp;"")</f>
        <v/>
      </c>
      <c r="J941">
        <f>IF($AB941="","",INDEX('Per Line'!$J$2:$J$4001,$AB941)&amp;"")</f>
        <v/>
      </c>
      <c r="K941">
        <f>IF($AB941="","",INDEX('Per Line'!$K$2:$K$4001,$AB941)&amp;"")</f>
        <v/>
      </c>
      <c r="L941">
        <f>IF($AB941="","",INDEX('Per Line'!$L$2:$L$4001,$AB941))</f>
        <v/>
      </c>
      <c r="M941" s="7">
        <f>IF($AB941="","",IF(AND(ISNUMBER(O941),O941&gt;0,Z941&gt;O941),L941*O941/100+(Z941-O941),L941*Z941/100))</f>
        <v/>
      </c>
      <c r="N941">
        <f>IF($AB941="","",INDEX('Per Line'!$V$2:$V$4001,$AB941)&amp;"")</f>
        <v/>
      </c>
      <c r="O941">
        <f>IF($AB941="","",INDEX('Per Line'!$Z$2:$Z$4001,$AB941))</f>
        <v/>
      </c>
      <c r="P941">
        <f>IF($AB941="","",IF(AND(ISNUMBER(O941),O941&gt;0),Z941&gt;O941,FALSE))</f>
        <v/>
      </c>
      <c r="Q941" s="7">
        <f>IF($AB941="","",SUMIFS('Per Line'!$U$2:$U$4001,'Per Line'!$C$2:$C$4001,$B941,'Per Line'!$AM$2:$AM$4001,1))</f>
        <v/>
      </c>
      <c r="R941">
        <f>IF($AB941="","",Settings!$C$7)</f>
        <v/>
      </c>
      <c r="S941" s="7">
        <f>IF($AB941="","",SUMIFS('Per Line'!$U$2:$U$4001,'Per Line'!$C$2:$C$4001,$B941,'Per Line'!$AL$2:$AL$4001,0,'Per Line'!$AM$2:$AM$4001,0))</f>
        <v/>
      </c>
      <c r="T941" s="7">
        <f>IF($AB941="","",S941*R941)</f>
        <v/>
      </c>
      <c r="U941">
        <f>IF($AB941="","",Settings!$C$6)</f>
        <v/>
      </c>
      <c r="V941" s="7">
        <f>IF($AB941="","",SUMIFS('Per Line'!$U$2:$U$4001,'Per Line'!$C$2:$C$4001,$B941,'Per Line'!$AL$2:$AL$4001,1,'Per Line'!$AM$2:$AM$4001,0))</f>
        <v/>
      </c>
      <c r="W941" s="7">
        <f>IF($AB941="","",V941*U941)</f>
        <v/>
      </c>
      <c r="X941" s="7">
        <f>IF($AB941="","",W941+T941)</f>
        <v/>
      </c>
      <c r="Y941" s="7">
        <f>IF($AB941="","",Z941-X941)</f>
        <v/>
      </c>
      <c r="Z941" s="7">
        <f>IF($AB941="","",S941+V941+Q941)</f>
        <v/>
      </c>
      <c r="AA941" s="7">
        <f>IF($AB941="","",Z941-X941-M941)</f>
        <v/>
      </c>
      <c r="AB941" s="13">
        <f>IF(ROWS($AB$2:$AB941)&lt;=MAX('Per Line'!$AK$2:$AK$4001),MATCH(ROWS($AB$2:$AB941),'Per Line'!$AK$2:$AK$4001,0),"")</f>
        <v/>
      </c>
      <c r="AC941" s="14">
        <f>IF($AB941="","",M941-L941*Z941/100)</f>
        <v/>
      </c>
    </row>
    <row r="942">
      <c r="A942" s="12" t="n"/>
      <c r="B942">
        <f>IF($AB942="","",INDEX('Per Line'!$C$2:$C$4001,$AB942)&amp;"")</f>
        <v/>
      </c>
      <c r="C942">
        <f>IF($AB942="","",INDEX('Per Line'!$D$2:$D$4001,$AB942)&amp;"")</f>
        <v/>
      </c>
      <c r="D942">
        <f>IF($AB942="","",INDEX('Per Line'!$B$2:$B$4001,$AB942)&amp;"")</f>
        <v/>
      </c>
      <c r="E942">
        <f>IF($AB942="","",INDEX('Per Line'!$A$2:$A$4001,$AB942))</f>
        <v/>
      </c>
      <c r="F942" s="11">
        <f>IF($AB942="","",INDEX('Per Line'!$E$2:$E$4001,$AB942))</f>
        <v/>
      </c>
      <c r="G942">
        <f>IF($AB942="","",INDEX('Per Line'!$F$2:$F$4001,$AB942)&amp;"")</f>
        <v/>
      </c>
      <c r="H942">
        <f>IF($AB942="","",INDEX('Per Line'!$H$2:$H$4001,$AB942)&amp;"")</f>
        <v/>
      </c>
      <c r="I942">
        <f>IF($AB942="","",INDEX('Per Line'!$I$2:$I$4001,$AB942)&amp;"")</f>
        <v/>
      </c>
      <c r="J942">
        <f>IF($AB942="","",INDEX('Per Line'!$J$2:$J$4001,$AB942)&amp;"")</f>
        <v/>
      </c>
      <c r="K942">
        <f>IF($AB942="","",INDEX('Per Line'!$K$2:$K$4001,$AB942)&amp;"")</f>
        <v/>
      </c>
      <c r="L942">
        <f>IF($AB942="","",INDEX('Per Line'!$L$2:$L$4001,$AB942))</f>
        <v/>
      </c>
      <c r="M942" s="7">
        <f>IF($AB942="","",IF(AND(ISNUMBER(O942),O942&gt;0,Z942&gt;O942),L942*O942/100+(Z942-O942),L942*Z942/100))</f>
        <v/>
      </c>
      <c r="N942">
        <f>IF($AB942="","",INDEX('Per Line'!$V$2:$V$4001,$AB942)&amp;"")</f>
        <v/>
      </c>
      <c r="O942">
        <f>IF($AB942="","",INDEX('Per Line'!$Z$2:$Z$4001,$AB942))</f>
        <v/>
      </c>
      <c r="P942">
        <f>IF($AB942="","",IF(AND(ISNUMBER(O942),O942&gt;0),Z942&gt;O942,FALSE))</f>
        <v/>
      </c>
      <c r="Q942" s="7">
        <f>IF($AB942="","",SUMIFS('Per Line'!$U$2:$U$4001,'Per Line'!$C$2:$C$4001,$B942,'Per Line'!$AM$2:$AM$4001,1))</f>
        <v/>
      </c>
      <c r="R942">
        <f>IF($AB942="","",Settings!$C$7)</f>
        <v/>
      </c>
      <c r="S942" s="7">
        <f>IF($AB942="","",SUMIFS('Per Line'!$U$2:$U$4001,'Per Line'!$C$2:$C$4001,$B942,'Per Line'!$AL$2:$AL$4001,0,'Per Line'!$AM$2:$AM$4001,0))</f>
        <v/>
      </c>
      <c r="T942" s="7">
        <f>IF($AB942="","",S942*R942)</f>
        <v/>
      </c>
      <c r="U942">
        <f>IF($AB942="","",Settings!$C$6)</f>
        <v/>
      </c>
      <c r="V942" s="7">
        <f>IF($AB942="","",SUMIFS('Per Line'!$U$2:$U$4001,'Per Line'!$C$2:$C$4001,$B942,'Per Line'!$AL$2:$AL$4001,1,'Per Line'!$AM$2:$AM$4001,0))</f>
        <v/>
      </c>
      <c r="W942" s="7">
        <f>IF($AB942="","",V942*U942)</f>
        <v/>
      </c>
      <c r="X942" s="7">
        <f>IF($AB942="","",W942+T942)</f>
        <v/>
      </c>
      <c r="Y942" s="7">
        <f>IF($AB942="","",Z942-X942)</f>
        <v/>
      </c>
      <c r="Z942" s="7">
        <f>IF($AB942="","",S942+V942+Q942)</f>
        <v/>
      </c>
      <c r="AA942" s="7">
        <f>IF($AB942="","",Z942-X942-M942)</f>
        <v/>
      </c>
      <c r="AB942" s="13">
        <f>IF(ROWS($AB$2:$AB942)&lt;=MAX('Per Line'!$AK$2:$AK$4001),MATCH(ROWS($AB$2:$AB942),'Per Line'!$AK$2:$AK$4001,0),"")</f>
        <v/>
      </c>
      <c r="AC942" s="14">
        <f>IF($AB942="","",M942-L942*Z942/100)</f>
        <v/>
      </c>
    </row>
    <row r="943">
      <c r="A943" s="12" t="n"/>
      <c r="B943">
        <f>IF($AB943="","",INDEX('Per Line'!$C$2:$C$4001,$AB943)&amp;"")</f>
        <v/>
      </c>
      <c r="C943">
        <f>IF($AB943="","",INDEX('Per Line'!$D$2:$D$4001,$AB943)&amp;"")</f>
        <v/>
      </c>
      <c r="D943">
        <f>IF($AB943="","",INDEX('Per Line'!$B$2:$B$4001,$AB943)&amp;"")</f>
        <v/>
      </c>
      <c r="E943">
        <f>IF($AB943="","",INDEX('Per Line'!$A$2:$A$4001,$AB943))</f>
        <v/>
      </c>
      <c r="F943" s="11">
        <f>IF($AB943="","",INDEX('Per Line'!$E$2:$E$4001,$AB943))</f>
        <v/>
      </c>
      <c r="G943">
        <f>IF($AB943="","",INDEX('Per Line'!$F$2:$F$4001,$AB943)&amp;"")</f>
        <v/>
      </c>
      <c r="H943">
        <f>IF($AB943="","",INDEX('Per Line'!$H$2:$H$4001,$AB943)&amp;"")</f>
        <v/>
      </c>
      <c r="I943">
        <f>IF($AB943="","",INDEX('Per Line'!$I$2:$I$4001,$AB943)&amp;"")</f>
        <v/>
      </c>
      <c r="J943">
        <f>IF($AB943="","",INDEX('Per Line'!$J$2:$J$4001,$AB943)&amp;"")</f>
        <v/>
      </c>
      <c r="K943">
        <f>IF($AB943="","",INDEX('Per Line'!$K$2:$K$4001,$AB943)&amp;"")</f>
        <v/>
      </c>
      <c r="L943">
        <f>IF($AB943="","",INDEX('Per Line'!$L$2:$L$4001,$AB943))</f>
        <v/>
      </c>
      <c r="M943" s="7">
        <f>IF($AB943="","",IF(AND(ISNUMBER(O943),O943&gt;0,Z943&gt;O943),L943*O943/100+(Z943-O943),L943*Z943/100))</f>
        <v/>
      </c>
      <c r="N943">
        <f>IF($AB943="","",INDEX('Per Line'!$V$2:$V$4001,$AB943)&amp;"")</f>
        <v/>
      </c>
      <c r="O943">
        <f>IF($AB943="","",INDEX('Per Line'!$Z$2:$Z$4001,$AB943))</f>
        <v/>
      </c>
      <c r="P943">
        <f>IF($AB943="","",IF(AND(ISNUMBER(O943),O943&gt;0),Z943&gt;O943,FALSE))</f>
        <v/>
      </c>
      <c r="Q943" s="7">
        <f>IF($AB943="","",SUMIFS('Per Line'!$U$2:$U$4001,'Per Line'!$C$2:$C$4001,$B943,'Per Line'!$AM$2:$AM$4001,1))</f>
        <v/>
      </c>
      <c r="R943">
        <f>IF($AB943="","",Settings!$C$7)</f>
        <v/>
      </c>
      <c r="S943" s="7">
        <f>IF($AB943="","",SUMIFS('Per Line'!$U$2:$U$4001,'Per Line'!$C$2:$C$4001,$B943,'Per Line'!$AL$2:$AL$4001,0,'Per Line'!$AM$2:$AM$4001,0))</f>
        <v/>
      </c>
      <c r="T943" s="7">
        <f>IF($AB943="","",S943*R943)</f>
        <v/>
      </c>
      <c r="U943">
        <f>IF($AB943="","",Settings!$C$6)</f>
        <v/>
      </c>
      <c r="V943" s="7">
        <f>IF($AB943="","",SUMIFS('Per Line'!$U$2:$U$4001,'Per Line'!$C$2:$C$4001,$B943,'Per Line'!$AL$2:$AL$4001,1,'Per Line'!$AM$2:$AM$4001,0))</f>
        <v/>
      </c>
      <c r="W943" s="7">
        <f>IF($AB943="","",V943*U943)</f>
        <v/>
      </c>
      <c r="X943" s="7">
        <f>IF($AB943="","",W943+T943)</f>
        <v/>
      </c>
      <c r="Y943" s="7">
        <f>IF($AB943="","",Z943-X943)</f>
        <v/>
      </c>
      <c r="Z943" s="7">
        <f>IF($AB943="","",S943+V943+Q943)</f>
        <v/>
      </c>
      <c r="AA943" s="7">
        <f>IF($AB943="","",Z943-X943-M943)</f>
        <v/>
      </c>
      <c r="AB943" s="13">
        <f>IF(ROWS($AB$2:$AB943)&lt;=MAX('Per Line'!$AK$2:$AK$4001),MATCH(ROWS($AB$2:$AB943),'Per Line'!$AK$2:$AK$4001,0),"")</f>
        <v/>
      </c>
      <c r="AC943" s="14">
        <f>IF($AB943="","",M943-L943*Z943/100)</f>
        <v/>
      </c>
    </row>
    <row r="944">
      <c r="A944" s="12" t="n"/>
      <c r="B944">
        <f>IF($AB944="","",INDEX('Per Line'!$C$2:$C$4001,$AB944)&amp;"")</f>
        <v/>
      </c>
      <c r="C944">
        <f>IF($AB944="","",INDEX('Per Line'!$D$2:$D$4001,$AB944)&amp;"")</f>
        <v/>
      </c>
      <c r="D944">
        <f>IF($AB944="","",INDEX('Per Line'!$B$2:$B$4001,$AB944)&amp;"")</f>
        <v/>
      </c>
      <c r="E944">
        <f>IF($AB944="","",INDEX('Per Line'!$A$2:$A$4001,$AB944))</f>
        <v/>
      </c>
      <c r="F944" s="11">
        <f>IF($AB944="","",INDEX('Per Line'!$E$2:$E$4001,$AB944))</f>
        <v/>
      </c>
      <c r="G944">
        <f>IF($AB944="","",INDEX('Per Line'!$F$2:$F$4001,$AB944)&amp;"")</f>
        <v/>
      </c>
      <c r="H944">
        <f>IF($AB944="","",INDEX('Per Line'!$H$2:$H$4001,$AB944)&amp;"")</f>
        <v/>
      </c>
      <c r="I944">
        <f>IF($AB944="","",INDEX('Per Line'!$I$2:$I$4001,$AB944)&amp;"")</f>
        <v/>
      </c>
      <c r="J944">
        <f>IF($AB944="","",INDEX('Per Line'!$J$2:$J$4001,$AB944)&amp;"")</f>
        <v/>
      </c>
      <c r="K944">
        <f>IF($AB944="","",INDEX('Per Line'!$K$2:$K$4001,$AB944)&amp;"")</f>
        <v/>
      </c>
      <c r="L944">
        <f>IF($AB944="","",INDEX('Per Line'!$L$2:$L$4001,$AB944))</f>
        <v/>
      </c>
      <c r="M944" s="7">
        <f>IF($AB944="","",IF(AND(ISNUMBER(O944),O944&gt;0,Z944&gt;O944),L944*O944/100+(Z944-O944),L944*Z944/100))</f>
        <v/>
      </c>
      <c r="N944">
        <f>IF($AB944="","",INDEX('Per Line'!$V$2:$V$4001,$AB944)&amp;"")</f>
        <v/>
      </c>
      <c r="O944">
        <f>IF($AB944="","",INDEX('Per Line'!$Z$2:$Z$4001,$AB944))</f>
        <v/>
      </c>
      <c r="P944">
        <f>IF($AB944="","",IF(AND(ISNUMBER(O944),O944&gt;0),Z944&gt;O944,FALSE))</f>
        <v/>
      </c>
      <c r="Q944" s="7">
        <f>IF($AB944="","",SUMIFS('Per Line'!$U$2:$U$4001,'Per Line'!$C$2:$C$4001,$B944,'Per Line'!$AM$2:$AM$4001,1))</f>
        <v/>
      </c>
      <c r="R944">
        <f>IF($AB944="","",Settings!$C$7)</f>
        <v/>
      </c>
      <c r="S944" s="7">
        <f>IF($AB944="","",SUMIFS('Per Line'!$U$2:$U$4001,'Per Line'!$C$2:$C$4001,$B944,'Per Line'!$AL$2:$AL$4001,0,'Per Line'!$AM$2:$AM$4001,0))</f>
        <v/>
      </c>
      <c r="T944" s="7">
        <f>IF($AB944="","",S944*R944)</f>
        <v/>
      </c>
      <c r="U944">
        <f>IF($AB944="","",Settings!$C$6)</f>
        <v/>
      </c>
      <c r="V944" s="7">
        <f>IF($AB944="","",SUMIFS('Per Line'!$U$2:$U$4001,'Per Line'!$C$2:$C$4001,$B944,'Per Line'!$AL$2:$AL$4001,1,'Per Line'!$AM$2:$AM$4001,0))</f>
        <v/>
      </c>
      <c r="W944" s="7">
        <f>IF($AB944="","",V944*U944)</f>
        <v/>
      </c>
      <c r="X944" s="7">
        <f>IF($AB944="","",W944+T944)</f>
        <v/>
      </c>
      <c r="Y944" s="7">
        <f>IF($AB944="","",Z944-X944)</f>
        <v/>
      </c>
      <c r="Z944" s="7">
        <f>IF($AB944="","",S944+V944+Q944)</f>
        <v/>
      </c>
      <c r="AA944" s="7">
        <f>IF($AB944="","",Z944-X944-M944)</f>
        <v/>
      </c>
      <c r="AB944" s="13">
        <f>IF(ROWS($AB$2:$AB944)&lt;=MAX('Per Line'!$AK$2:$AK$4001),MATCH(ROWS($AB$2:$AB944),'Per Line'!$AK$2:$AK$4001,0),"")</f>
        <v/>
      </c>
      <c r="AC944" s="14">
        <f>IF($AB944="","",M944-L944*Z944/100)</f>
        <v/>
      </c>
    </row>
    <row r="945">
      <c r="A945" s="12" t="n"/>
      <c r="B945">
        <f>IF($AB945="","",INDEX('Per Line'!$C$2:$C$4001,$AB945)&amp;"")</f>
        <v/>
      </c>
      <c r="C945">
        <f>IF($AB945="","",INDEX('Per Line'!$D$2:$D$4001,$AB945)&amp;"")</f>
        <v/>
      </c>
      <c r="D945">
        <f>IF($AB945="","",INDEX('Per Line'!$B$2:$B$4001,$AB945)&amp;"")</f>
        <v/>
      </c>
      <c r="E945">
        <f>IF($AB945="","",INDEX('Per Line'!$A$2:$A$4001,$AB945))</f>
        <v/>
      </c>
      <c r="F945" s="11">
        <f>IF($AB945="","",INDEX('Per Line'!$E$2:$E$4001,$AB945))</f>
        <v/>
      </c>
      <c r="G945">
        <f>IF($AB945="","",INDEX('Per Line'!$F$2:$F$4001,$AB945)&amp;"")</f>
        <v/>
      </c>
      <c r="H945">
        <f>IF($AB945="","",INDEX('Per Line'!$H$2:$H$4001,$AB945)&amp;"")</f>
        <v/>
      </c>
      <c r="I945">
        <f>IF($AB945="","",INDEX('Per Line'!$I$2:$I$4001,$AB945)&amp;"")</f>
        <v/>
      </c>
      <c r="J945">
        <f>IF($AB945="","",INDEX('Per Line'!$J$2:$J$4001,$AB945)&amp;"")</f>
        <v/>
      </c>
      <c r="K945">
        <f>IF($AB945="","",INDEX('Per Line'!$K$2:$K$4001,$AB945)&amp;"")</f>
        <v/>
      </c>
      <c r="L945">
        <f>IF($AB945="","",INDEX('Per Line'!$L$2:$L$4001,$AB945))</f>
        <v/>
      </c>
      <c r="M945" s="7">
        <f>IF($AB945="","",IF(AND(ISNUMBER(O945),O945&gt;0,Z945&gt;O945),L945*O945/100+(Z945-O945),L945*Z945/100))</f>
        <v/>
      </c>
      <c r="N945">
        <f>IF($AB945="","",INDEX('Per Line'!$V$2:$V$4001,$AB945)&amp;"")</f>
        <v/>
      </c>
      <c r="O945">
        <f>IF($AB945="","",INDEX('Per Line'!$Z$2:$Z$4001,$AB945))</f>
        <v/>
      </c>
      <c r="P945">
        <f>IF($AB945="","",IF(AND(ISNUMBER(O945),O945&gt;0),Z945&gt;O945,FALSE))</f>
        <v/>
      </c>
      <c r="Q945" s="7">
        <f>IF($AB945="","",SUMIFS('Per Line'!$U$2:$U$4001,'Per Line'!$C$2:$C$4001,$B945,'Per Line'!$AM$2:$AM$4001,1))</f>
        <v/>
      </c>
      <c r="R945">
        <f>IF($AB945="","",Settings!$C$7)</f>
        <v/>
      </c>
      <c r="S945" s="7">
        <f>IF($AB945="","",SUMIFS('Per Line'!$U$2:$U$4001,'Per Line'!$C$2:$C$4001,$B945,'Per Line'!$AL$2:$AL$4001,0,'Per Line'!$AM$2:$AM$4001,0))</f>
        <v/>
      </c>
      <c r="T945" s="7">
        <f>IF($AB945="","",S945*R945)</f>
        <v/>
      </c>
      <c r="U945">
        <f>IF($AB945="","",Settings!$C$6)</f>
        <v/>
      </c>
      <c r="V945" s="7">
        <f>IF($AB945="","",SUMIFS('Per Line'!$U$2:$U$4001,'Per Line'!$C$2:$C$4001,$B945,'Per Line'!$AL$2:$AL$4001,1,'Per Line'!$AM$2:$AM$4001,0))</f>
        <v/>
      </c>
      <c r="W945" s="7">
        <f>IF($AB945="","",V945*U945)</f>
        <v/>
      </c>
      <c r="X945" s="7">
        <f>IF($AB945="","",W945+T945)</f>
        <v/>
      </c>
      <c r="Y945" s="7">
        <f>IF($AB945="","",Z945-X945)</f>
        <v/>
      </c>
      <c r="Z945" s="7">
        <f>IF($AB945="","",S945+V945+Q945)</f>
        <v/>
      </c>
      <c r="AA945" s="7">
        <f>IF($AB945="","",Z945-X945-M945)</f>
        <v/>
      </c>
      <c r="AB945" s="13">
        <f>IF(ROWS($AB$2:$AB945)&lt;=MAX('Per Line'!$AK$2:$AK$4001),MATCH(ROWS($AB$2:$AB945),'Per Line'!$AK$2:$AK$4001,0),"")</f>
        <v/>
      </c>
      <c r="AC945" s="14">
        <f>IF($AB945="","",M945-L945*Z945/100)</f>
        <v/>
      </c>
    </row>
    <row r="946">
      <c r="A946" s="12" t="n"/>
      <c r="B946">
        <f>IF($AB946="","",INDEX('Per Line'!$C$2:$C$4001,$AB946)&amp;"")</f>
        <v/>
      </c>
      <c r="C946">
        <f>IF($AB946="","",INDEX('Per Line'!$D$2:$D$4001,$AB946)&amp;"")</f>
        <v/>
      </c>
      <c r="D946">
        <f>IF($AB946="","",INDEX('Per Line'!$B$2:$B$4001,$AB946)&amp;"")</f>
        <v/>
      </c>
      <c r="E946">
        <f>IF($AB946="","",INDEX('Per Line'!$A$2:$A$4001,$AB946))</f>
        <v/>
      </c>
      <c r="F946" s="11">
        <f>IF($AB946="","",INDEX('Per Line'!$E$2:$E$4001,$AB946))</f>
        <v/>
      </c>
      <c r="G946">
        <f>IF($AB946="","",INDEX('Per Line'!$F$2:$F$4001,$AB946)&amp;"")</f>
        <v/>
      </c>
      <c r="H946">
        <f>IF($AB946="","",INDEX('Per Line'!$H$2:$H$4001,$AB946)&amp;"")</f>
        <v/>
      </c>
      <c r="I946">
        <f>IF($AB946="","",INDEX('Per Line'!$I$2:$I$4001,$AB946)&amp;"")</f>
        <v/>
      </c>
      <c r="J946">
        <f>IF($AB946="","",INDEX('Per Line'!$J$2:$J$4001,$AB946)&amp;"")</f>
        <v/>
      </c>
      <c r="K946">
        <f>IF($AB946="","",INDEX('Per Line'!$K$2:$K$4001,$AB946)&amp;"")</f>
        <v/>
      </c>
      <c r="L946">
        <f>IF($AB946="","",INDEX('Per Line'!$L$2:$L$4001,$AB946))</f>
        <v/>
      </c>
      <c r="M946" s="7">
        <f>IF($AB946="","",IF(AND(ISNUMBER(O946),O946&gt;0,Z946&gt;O946),L946*O946/100+(Z946-O946),L946*Z946/100))</f>
        <v/>
      </c>
      <c r="N946">
        <f>IF($AB946="","",INDEX('Per Line'!$V$2:$V$4001,$AB946)&amp;"")</f>
        <v/>
      </c>
      <c r="O946">
        <f>IF($AB946="","",INDEX('Per Line'!$Z$2:$Z$4001,$AB946))</f>
        <v/>
      </c>
      <c r="P946">
        <f>IF($AB946="","",IF(AND(ISNUMBER(O946),O946&gt;0),Z946&gt;O946,FALSE))</f>
        <v/>
      </c>
      <c r="Q946" s="7">
        <f>IF($AB946="","",SUMIFS('Per Line'!$U$2:$U$4001,'Per Line'!$C$2:$C$4001,$B946,'Per Line'!$AM$2:$AM$4001,1))</f>
        <v/>
      </c>
      <c r="R946">
        <f>IF($AB946="","",Settings!$C$7)</f>
        <v/>
      </c>
      <c r="S946" s="7">
        <f>IF($AB946="","",SUMIFS('Per Line'!$U$2:$U$4001,'Per Line'!$C$2:$C$4001,$B946,'Per Line'!$AL$2:$AL$4001,0,'Per Line'!$AM$2:$AM$4001,0))</f>
        <v/>
      </c>
      <c r="T946" s="7">
        <f>IF($AB946="","",S946*R946)</f>
        <v/>
      </c>
      <c r="U946">
        <f>IF($AB946="","",Settings!$C$6)</f>
        <v/>
      </c>
      <c r="V946" s="7">
        <f>IF($AB946="","",SUMIFS('Per Line'!$U$2:$U$4001,'Per Line'!$C$2:$C$4001,$B946,'Per Line'!$AL$2:$AL$4001,1,'Per Line'!$AM$2:$AM$4001,0))</f>
        <v/>
      </c>
      <c r="W946" s="7">
        <f>IF($AB946="","",V946*U946)</f>
        <v/>
      </c>
      <c r="X946" s="7">
        <f>IF($AB946="","",W946+T946)</f>
        <v/>
      </c>
      <c r="Y946" s="7">
        <f>IF($AB946="","",Z946-X946)</f>
        <v/>
      </c>
      <c r="Z946" s="7">
        <f>IF($AB946="","",S946+V946+Q946)</f>
        <v/>
      </c>
      <c r="AA946" s="7">
        <f>IF($AB946="","",Z946-X946-M946)</f>
        <v/>
      </c>
      <c r="AB946" s="13">
        <f>IF(ROWS($AB$2:$AB946)&lt;=MAX('Per Line'!$AK$2:$AK$4001),MATCH(ROWS($AB$2:$AB946),'Per Line'!$AK$2:$AK$4001,0),"")</f>
        <v/>
      </c>
      <c r="AC946" s="14">
        <f>IF($AB946="","",M946-L946*Z946/100)</f>
        <v/>
      </c>
    </row>
    <row r="947">
      <c r="A947" s="12" t="n"/>
      <c r="B947">
        <f>IF($AB947="","",INDEX('Per Line'!$C$2:$C$4001,$AB947)&amp;"")</f>
        <v/>
      </c>
      <c r="C947">
        <f>IF($AB947="","",INDEX('Per Line'!$D$2:$D$4001,$AB947)&amp;"")</f>
        <v/>
      </c>
      <c r="D947">
        <f>IF($AB947="","",INDEX('Per Line'!$B$2:$B$4001,$AB947)&amp;"")</f>
        <v/>
      </c>
      <c r="E947">
        <f>IF($AB947="","",INDEX('Per Line'!$A$2:$A$4001,$AB947))</f>
        <v/>
      </c>
      <c r="F947" s="11">
        <f>IF($AB947="","",INDEX('Per Line'!$E$2:$E$4001,$AB947))</f>
        <v/>
      </c>
      <c r="G947">
        <f>IF($AB947="","",INDEX('Per Line'!$F$2:$F$4001,$AB947)&amp;"")</f>
        <v/>
      </c>
      <c r="H947">
        <f>IF($AB947="","",INDEX('Per Line'!$H$2:$H$4001,$AB947)&amp;"")</f>
        <v/>
      </c>
      <c r="I947">
        <f>IF($AB947="","",INDEX('Per Line'!$I$2:$I$4001,$AB947)&amp;"")</f>
        <v/>
      </c>
      <c r="J947">
        <f>IF($AB947="","",INDEX('Per Line'!$J$2:$J$4001,$AB947)&amp;"")</f>
        <v/>
      </c>
      <c r="K947">
        <f>IF($AB947="","",INDEX('Per Line'!$K$2:$K$4001,$AB947)&amp;"")</f>
        <v/>
      </c>
      <c r="L947">
        <f>IF($AB947="","",INDEX('Per Line'!$L$2:$L$4001,$AB947))</f>
        <v/>
      </c>
      <c r="M947" s="7">
        <f>IF($AB947="","",IF(AND(ISNUMBER(O947),O947&gt;0,Z947&gt;O947),L947*O947/100+(Z947-O947),L947*Z947/100))</f>
        <v/>
      </c>
      <c r="N947">
        <f>IF($AB947="","",INDEX('Per Line'!$V$2:$V$4001,$AB947)&amp;"")</f>
        <v/>
      </c>
      <c r="O947">
        <f>IF($AB947="","",INDEX('Per Line'!$Z$2:$Z$4001,$AB947))</f>
        <v/>
      </c>
      <c r="P947">
        <f>IF($AB947="","",IF(AND(ISNUMBER(O947),O947&gt;0),Z947&gt;O947,FALSE))</f>
        <v/>
      </c>
      <c r="Q947" s="7">
        <f>IF($AB947="","",SUMIFS('Per Line'!$U$2:$U$4001,'Per Line'!$C$2:$C$4001,$B947,'Per Line'!$AM$2:$AM$4001,1))</f>
        <v/>
      </c>
      <c r="R947">
        <f>IF($AB947="","",Settings!$C$7)</f>
        <v/>
      </c>
      <c r="S947" s="7">
        <f>IF($AB947="","",SUMIFS('Per Line'!$U$2:$U$4001,'Per Line'!$C$2:$C$4001,$B947,'Per Line'!$AL$2:$AL$4001,0,'Per Line'!$AM$2:$AM$4001,0))</f>
        <v/>
      </c>
      <c r="T947" s="7">
        <f>IF($AB947="","",S947*R947)</f>
        <v/>
      </c>
      <c r="U947">
        <f>IF($AB947="","",Settings!$C$6)</f>
        <v/>
      </c>
      <c r="V947" s="7">
        <f>IF($AB947="","",SUMIFS('Per Line'!$U$2:$U$4001,'Per Line'!$C$2:$C$4001,$B947,'Per Line'!$AL$2:$AL$4001,1,'Per Line'!$AM$2:$AM$4001,0))</f>
        <v/>
      </c>
      <c r="W947" s="7">
        <f>IF($AB947="","",V947*U947)</f>
        <v/>
      </c>
      <c r="X947" s="7">
        <f>IF($AB947="","",W947+T947)</f>
        <v/>
      </c>
      <c r="Y947" s="7">
        <f>IF($AB947="","",Z947-X947)</f>
        <v/>
      </c>
      <c r="Z947" s="7">
        <f>IF($AB947="","",S947+V947+Q947)</f>
        <v/>
      </c>
      <c r="AA947" s="7">
        <f>IF($AB947="","",Z947-X947-M947)</f>
        <v/>
      </c>
      <c r="AB947" s="13">
        <f>IF(ROWS($AB$2:$AB947)&lt;=MAX('Per Line'!$AK$2:$AK$4001),MATCH(ROWS($AB$2:$AB947),'Per Line'!$AK$2:$AK$4001,0),"")</f>
        <v/>
      </c>
      <c r="AC947" s="14">
        <f>IF($AB947="","",M947-L947*Z947/100)</f>
        <v/>
      </c>
    </row>
    <row r="948">
      <c r="A948" s="12" t="n"/>
      <c r="B948">
        <f>IF($AB948="","",INDEX('Per Line'!$C$2:$C$4001,$AB948)&amp;"")</f>
        <v/>
      </c>
      <c r="C948">
        <f>IF($AB948="","",INDEX('Per Line'!$D$2:$D$4001,$AB948)&amp;"")</f>
        <v/>
      </c>
      <c r="D948">
        <f>IF($AB948="","",INDEX('Per Line'!$B$2:$B$4001,$AB948)&amp;"")</f>
        <v/>
      </c>
      <c r="E948">
        <f>IF($AB948="","",INDEX('Per Line'!$A$2:$A$4001,$AB948))</f>
        <v/>
      </c>
      <c r="F948" s="11">
        <f>IF($AB948="","",INDEX('Per Line'!$E$2:$E$4001,$AB948))</f>
        <v/>
      </c>
      <c r="G948">
        <f>IF($AB948="","",INDEX('Per Line'!$F$2:$F$4001,$AB948)&amp;"")</f>
        <v/>
      </c>
      <c r="H948">
        <f>IF($AB948="","",INDEX('Per Line'!$H$2:$H$4001,$AB948)&amp;"")</f>
        <v/>
      </c>
      <c r="I948">
        <f>IF($AB948="","",INDEX('Per Line'!$I$2:$I$4001,$AB948)&amp;"")</f>
        <v/>
      </c>
      <c r="J948">
        <f>IF($AB948="","",INDEX('Per Line'!$J$2:$J$4001,$AB948)&amp;"")</f>
        <v/>
      </c>
      <c r="K948">
        <f>IF($AB948="","",INDEX('Per Line'!$K$2:$K$4001,$AB948)&amp;"")</f>
        <v/>
      </c>
      <c r="L948">
        <f>IF($AB948="","",INDEX('Per Line'!$L$2:$L$4001,$AB948))</f>
        <v/>
      </c>
      <c r="M948" s="7">
        <f>IF($AB948="","",IF(AND(ISNUMBER(O948),O948&gt;0,Z948&gt;O948),L948*O948/100+(Z948-O948),L948*Z948/100))</f>
        <v/>
      </c>
      <c r="N948">
        <f>IF($AB948="","",INDEX('Per Line'!$V$2:$V$4001,$AB948)&amp;"")</f>
        <v/>
      </c>
      <c r="O948">
        <f>IF($AB948="","",INDEX('Per Line'!$Z$2:$Z$4001,$AB948))</f>
        <v/>
      </c>
      <c r="P948">
        <f>IF($AB948="","",IF(AND(ISNUMBER(O948),O948&gt;0),Z948&gt;O948,FALSE))</f>
        <v/>
      </c>
      <c r="Q948" s="7">
        <f>IF($AB948="","",SUMIFS('Per Line'!$U$2:$U$4001,'Per Line'!$C$2:$C$4001,$B948,'Per Line'!$AM$2:$AM$4001,1))</f>
        <v/>
      </c>
      <c r="R948">
        <f>IF($AB948="","",Settings!$C$7)</f>
        <v/>
      </c>
      <c r="S948" s="7">
        <f>IF($AB948="","",SUMIFS('Per Line'!$U$2:$U$4001,'Per Line'!$C$2:$C$4001,$B948,'Per Line'!$AL$2:$AL$4001,0,'Per Line'!$AM$2:$AM$4001,0))</f>
        <v/>
      </c>
      <c r="T948" s="7">
        <f>IF($AB948="","",S948*R948)</f>
        <v/>
      </c>
      <c r="U948">
        <f>IF($AB948="","",Settings!$C$6)</f>
        <v/>
      </c>
      <c r="V948" s="7">
        <f>IF($AB948="","",SUMIFS('Per Line'!$U$2:$U$4001,'Per Line'!$C$2:$C$4001,$B948,'Per Line'!$AL$2:$AL$4001,1,'Per Line'!$AM$2:$AM$4001,0))</f>
        <v/>
      </c>
      <c r="W948" s="7">
        <f>IF($AB948="","",V948*U948)</f>
        <v/>
      </c>
      <c r="X948" s="7">
        <f>IF($AB948="","",W948+T948)</f>
        <v/>
      </c>
      <c r="Y948" s="7">
        <f>IF($AB948="","",Z948-X948)</f>
        <v/>
      </c>
      <c r="Z948" s="7">
        <f>IF($AB948="","",S948+V948+Q948)</f>
        <v/>
      </c>
      <c r="AA948" s="7">
        <f>IF($AB948="","",Z948-X948-M948)</f>
        <v/>
      </c>
      <c r="AB948" s="13">
        <f>IF(ROWS($AB$2:$AB948)&lt;=MAX('Per Line'!$AK$2:$AK$4001),MATCH(ROWS($AB$2:$AB948),'Per Line'!$AK$2:$AK$4001,0),"")</f>
        <v/>
      </c>
      <c r="AC948" s="14">
        <f>IF($AB948="","",M948-L948*Z948/100)</f>
        <v/>
      </c>
    </row>
    <row r="949">
      <c r="A949" s="12" t="n"/>
      <c r="B949">
        <f>IF($AB949="","",INDEX('Per Line'!$C$2:$C$4001,$AB949)&amp;"")</f>
        <v/>
      </c>
      <c r="C949">
        <f>IF($AB949="","",INDEX('Per Line'!$D$2:$D$4001,$AB949)&amp;"")</f>
        <v/>
      </c>
      <c r="D949">
        <f>IF($AB949="","",INDEX('Per Line'!$B$2:$B$4001,$AB949)&amp;"")</f>
        <v/>
      </c>
      <c r="E949">
        <f>IF($AB949="","",INDEX('Per Line'!$A$2:$A$4001,$AB949))</f>
        <v/>
      </c>
      <c r="F949" s="11">
        <f>IF($AB949="","",INDEX('Per Line'!$E$2:$E$4001,$AB949))</f>
        <v/>
      </c>
      <c r="G949">
        <f>IF($AB949="","",INDEX('Per Line'!$F$2:$F$4001,$AB949)&amp;"")</f>
        <v/>
      </c>
      <c r="H949">
        <f>IF($AB949="","",INDEX('Per Line'!$H$2:$H$4001,$AB949)&amp;"")</f>
        <v/>
      </c>
      <c r="I949">
        <f>IF($AB949="","",INDEX('Per Line'!$I$2:$I$4001,$AB949)&amp;"")</f>
        <v/>
      </c>
      <c r="J949">
        <f>IF($AB949="","",INDEX('Per Line'!$J$2:$J$4001,$AB949)&amp;"")</f>
        <v/>
      </c>
      <c r="K949">
        <f>IF($AB949="","",INDEX('Per Line'!$K$2:$K$4001,$AB949)&amp;"")</f>
        <v/>
      </c>
      <c r="L949">
        <f>IF($AB949="","",INDEX('Per Line'!$L$2:$L$4001,$AB949))</f>
        <v/>
      </c>
      <c r="M949" s="7">
        <f>IF($AB949="","",IF(AND(ISNUMBER(O949),O949&gt;0,Z949&gt;O949),L949*O949/100+(Z949-O949),L949*Z949/100))</f>
        <v/>
      </c>
      <c r="N949">
        <f>IF($AB949="","",INDEX('Per Line'!$V$2:$V$4001,$AB949)&amp;"")</f>
        <v/>
      </c>
      <c r="O949">
        <f>IF($AB949="","",INDEX('Per Line'!$Z$2:$Z$4001,$AB949))</f>
        <v/>
      </c>
      <c r="P949">
        <f>IF($AB949="","",IF(AND(ISNUMBER(O949),O949&gt;0),Z949&gt;O949,FALSE))</f>
        <v/>
      </c>
      <c r="Q949" s="7">
        <f>IF($AB949="","",SUMIFS('Per Line'!$U$2:$U$4001,'Per Line'!$C$2:$C$4001,$B949,'Per Line'!$AM$2:$AM$4001,1))</f>
        <v/>
      </c>
      <c r="R949">
        <f>IF($AB949="","",Settings!$C$7)</f>
        <v/>
      </c>
      <c r="S949" s="7">
        <f>IF($AB949="","",SUMIFS('Per Line'!$U$2:$U$4001,'Per Line'!$C$2:$C$4001,$B949,'Per Line'!$AL$2:$AL$4001,0,'Per Line'!$AM$2:$AM$4001,0))</f>
        <v/>
      </c>
      <c r="T949" s="7">
        <f>IF($AB949="","",S949*R949)</f>
        <v/>
      </c>
      <c r="U949">
        <f>IF($AB949="","",Settings!$C$6)</f>
        <v/>
      </c>
      <c r="V949" s="7">
        <f>IF($AB949="","",SUMIFS('Per Line'!$U$2:$U$4001,'Per Line'!$C$2:$C$4001,$B949,'Per Line'!$AL$2:$AL$4001,1,'Per Line'!$AM$2:$AM$4001,0))</f>
        <v/>
      </c>
      <c r="W949" s="7">
        <f>IF($AB949="","",V949*U949)</f>
        <v/>
      </c>
      <c r="X949" s="7">
        <f>IF($AB949="","",W949+T949)</f>
        <v/>
      </c>
      <c r="Y949" s="7">
        <f>IF($AB949="","",Z949-X949)</f>
        <v/>
      </c>
      <c r="Z949" s="7">
        <f>IF($AB949="","",S949+V949+Q949)</f>
        <v/>
      </c>
      <c r="AA949" s="7">
        <f>IF($AB949="","",Z949-X949-M949)</f>
        <v/>
      </c>
      <c r="AB949" s="13">
        <f>IF(ROWS($AB$2:$AB949)&lt;=MAX('Per Line'!$AK$2:$AK$4001),MATCH(ROWS($AB$2:$AB949),'Per Line'!$AK$2:$AK$4001,0),"")</f>
        <v/>
      </c>
      <c r="AC949" s="14">
        <f>IF($AB949="","",M949-L949*Z949/100)</f>
        <v/>
      </c>
    </row>
    <row r="950">
      <c r="A950" s="12" t="n"/>
      <c r="B950">
        <f>IF($AB950="","",INDEX('Per Line'!$C$2:$C$4001,$AB950)&amp;"")</f>
        <v/>
      </c>
      <c r="C950">
        <f>IF($AB950="","",INDEX('Per Line'!$D$2:$D$4001,$AB950)&amp;"")</f>
        <v/>
      </c>
      <c r="D950">
        <f>IF($AB950="","",INDEX('Per Line'!$B$2:$B$4001,$AB950)&amp;"")</f>
        <v/>
      </c>
      <c r="E950">
        <f>IF($AB950="","",INDEX('Per Line'!$A$2:$A$4001,$AB950))</f>
        <v/>
      </c>
      <c r="F950" s="11">
        <f>IF($AB950="","",INDEX('Per Line'!$E$2:$E$4001,$AB950))</f>
        <v/>
      </c>
      <c r="G950">
        <f>IF($AB950="","",INDEX('Per Line'!$F$2:$F$4001,$AB950)&amp;"")</f>
        <v/>
      </c>
      <c r="H950">
        <f>IF($AB950="","",INDEX('Per Line'!$H$2:$H$4001,$AB950)&amp;"")</f>
        <v/>
      </c>
      <c r="I950">
        <f>IF($AB950="","",INDEX('Per Line'!$I$2:$I$4001,$AB950)&amp;"")</f>
        <v/>
      </c>
      <c r="J950">
        <f>IF($AB950="","",INDEX('Per Line'!$J$2:$J$4001,$AB950)&amp;"")</f>
        <v/>
      </c>
      <c r="K950">
        <f>IF($AB950="","",INDEX('Per Line'!$K$2:$K$4001,$AB950)&amp;"")</f>
        <v/>
      </c>
      <c r="L950">
        <f>IF($AB950="","",INDEX('Per Line'!$L$2:$L$4001,$AB950))</f>
        <v/>
      </c>
      <c r="M950" s="7">
        <f>IF($AB950="","",IF(AND(ISNUMBER(O950),O950&gt;0,Z950&gt;O950),L950*O950/100+(Z950-O950),L950*Z950/100))</f>
        <v/>
      </c>
      <c r="N950">
        <f>IF($AB950="","",INDEX('Per Line'!$V$2:$V$4001,$AB950)&amp;"")</f>
        <v/>
      </c>
      <c r="O950">
        <f>IF($AB950="","",INDEX('Per Line'!$Z$2:$Z$4001,$AB950))</f>
        <v/>
      </c>
      <c r="P950">
        <f>IF($AB950="","",IF(AND(ISNUMBER(O950),O950&gt;0),Z950&gt;O950,FALSE))</f>
        <v/>
      </c>
      <c r="Q950" s="7">
        <f>IF($AB950="","",SUMIFS('Per Line'!$U$2:$U$4001,'Per Line'!$C$2:$C$4001,$B950,'Per Line'!$AM$2:$AM$4001,1))</f>
        <v/>
      </c>
      <c r="R950">
        <f>IF($AB950="","",Settings!$C$7)</f>
        <v/>
      </c>
      <c r="S950" s="7">
        <f>IF($AB950="","",SUMIFS('Per Line'!$U$2:$U$4001,'Per Line'!$C$2:$C$4001,$B950,'Per Line'!$AL$2:$AL$4001,0,'Per Line'!$AM$2:$AM$4001,0))</f>
        <v/>
      </c>
      <c r="T950" s="7">
        <f>IF($AB950="","",S950*R950)</f>
        <v/>
      </c>
      <c r="U950">
        <f>IF($AB950="","",Settings!$C$6)</f>
        <v/>
      </c>
      <c r="V950" s="7">
        <f>IF($AB950="","",SUMIFS('Per Line'!$U$2:$U$4001,'Per Line'!$C$2:$C$4001,$B950,'Per Line'!$AL$2:$AL$4001,1,'Per Line'!$AM$2:$AM$4001,0))</f>
        <v/>
      </c>
      <c r="W950" s="7">
        <f>IF($AB950="","",V950*U950)</f>
        <v/>
      </c>
      <c r="X950" s="7">
        <f>IF($AB950="","",W950+T950)</f>
        <v/>
      </c>
      <c r="Y950" s="7">
        <f>IF($AB950="","",Z950-X950)</f>
        <v/>
      </c>
      <c r="Z950" s="7">
        <f>IF($AB950="","",S950+V950+Q950)</f>
        <v/>
      </c>
      <c r="AA950" s="7">
        <f>IF($AB950="","",Z950-X950-M950)</f>
        <v/>
      </c>
      <c r="AB950" s="13">
        <f>IF(ROWS($AB$2:$AB950)&lt;=MAX('Per Line'!$AK$2:$AK$4001),MATCH(ROWS($AB$2:$AB950),'Per Line'!$AK$2:$AK$4001,0),"")</f>
        <v/>
      </c>
      <c r="AC950" s="14">
        <f>IF($AB950="","",M950-L950*Z950/100)</f>
        <v/>
      </c>
    </row>
    <row r="951">
      <c r="A951" s="12" t="n"/>
      <c r="B951">
        <f>IF($AB951="","",INDEX('Per Line'!$C$2:$C$4001,$AB951)&amp;"")</f>
        <v/>
      </c>
      <c r="C951">
        <f>IF($AB951="","",INDEX('Per Line'!$D$2:$D$4001,$AB951)&amp;"")</f>
        <v/>
      </c>
      <c r="D951">
        <f>IF($AB951="","",INDEX('Per Line'!$B$2:$B$4001,$AB951)&amp;"")</f>
        <v/>
      </c>
      <c r="E951">
        <f>IF($AB951="","",INDEX('Per Line'!$A$2:$A$4001,$AB951))</f>
        <v/>
      </c>
      <c r="F951" s="11">
        <f>IF($AB951="","",INDEX('Per Line'!$E$2:$E$4001,$AB951))</f>
        <v/>
      </c>
      <c r="G951">
        <f>IF($AB951="","",INDEX('Per Line'!$F$2:$F$4001,$AB951)&amp;"")</f>
        <v/>
      </c>
      <c r="H951">
        <f>IF($AB951="","",INDEX('Per Line'!$H$2:$H$4001,$AB951)&amp;"")</f>
        <v/>
      </c>
      <c r="I951">
        <f>IF($AB951="","",INDEX('Per Line'!$I$2:$I$4001,$AB951)&amp;"")</f>
        <v/>
      </c>
      <c r="J951">
        <f>IF($AB951="","",INDEX('Per Line'!$J$2:$J$4001,$AB951)&amp;"")</f>
        <v/>
      </c>
      <c r="K951">
        <f>IF($AB951="","",INDEX('Per Line'!$K$2:$K$4001,$AB951)&amp;"")</f>
        <v/>
      </c>
      <c r="L951">
        <f>IF($AB951="","",INDEX('Per Line'!$L$2:$L$4001,$AB951))</f>
        <v/>
      </c>
      <c r="M951" s="7">
        <f>IF($AB951="","",IF(AND(ISNUMBER(O951),O951&gt;0,Z951&gt;O951),L951*O951/100+(Z951-O951),L951*Z951/100))</f>
        <v/>
      </c>
      <c r="N951">
        <f>IF($AB951="","",INDEX('Per Line'!$V$2:$V$4001,$AB951)&amp;"")</f>
        <v/>
      </c>
      <c r="O951">
        <f>IF($AB951="","",INDEX('Per Line'!$Z$2:$Z$4001,$AB951))</f>
        <v/>
      </c>
      <c r="P951">
        <f>IF($AB951="","",IF(AND(ISNUMBER(O951),O951&gt;0),Z951&gt;O951,FALSE))</f>
        <v/>
      </c>
      <c r="Q951" s="7">
        <f>IF($AB951="","",SUMIFS('Per Line'!$U$2:$U$4001,'Per Line'!$C$2:$C$4001,$B951,'Per Line'!$AM$2:$AM$4001,1))</f>
        <v/>
      </c>
      <c r="R951">
        <f>IF($AB951="","",Settings!$C$7)</f>
        <v/>
      </c>
      <c r="S951" s="7">
        <f>IF($AB951="","",SUMIFS('Per Line'!$U$2:$U$4001,'Per Line'!$C$2:$C$4001,$B951,'Per Line'!$AL$2:$AL$4001,0,'Per Line'!$AM$2:$AM$4001,0))</f>
        <v/>
      </c>
      <c r="T951" s="7">
        <f>IF($AB951="","",S951*R951)</f>
        <v/>
      </c>
      <c r="U951">
        <f>IF($AB951="","",Settings!$C$6)</f>
        <v/>
      </c>
      <c r="V951" s="7">
        <f>IF($AB951="","",SUMIFS('Per Line'!$U$2:$U$4001,'Per Line'!$C$2:$C$4001,$B951,'Per Line'!$AL$2:$AL$4001,1,'Per Line'!$AM$2:$AM$4001,0))</f>
        <v/>
      </c>
      <c r="W951" s="7">
        <f>IF($AB951="","",V951*U951)</f>
        <v/>
      </c>
      <c r="X951" s="7">
        <f>IF($AB951="","",W951+T951)</f>
        <v/>
      </c>
      <c r="Y951" s="7">
        <f>IF($AB951="","",Z951-X951)</f>
        <v/>
      </c>
      <c r="Z951" s="7">
        <f>IF($AB951="","",S951+V951+Q951)</f>
        <v/>
      </c>
      <c r="AA951" s="7">
        <f>IF($AB951="","",Z951-X951-M951)</f>
        <v/>
      </c>
      <c r="AB951" s="13">
        <f>IF(ROWS($AB$2:$AB951)&lt;=MAX('Per Line'!$AK$2:$AK$4001),MATCH(ROWS($AB$2:$AB951),'Per Line'!$AK$2:$AK$4001,0),"")</f>
        <v/>
      </c>
      <c r="AC951" s="14">
        <f>IF($AB951="","",M951-L951*Z951/100)</f>
        <v/>
      </c>
    </row>
    <row r="952">
      <c r="A952" s="12" t="n"/>
      <c r="B952">
        <f>IF($AB952="","",INDEX('Per Line'!$C$2:$C$4001,$AB952)&amp;"")</f>
        <v/>
      </c>
      <c r="C952">
        <f>IF($AB952="","",INDEX('Per Line'!$D$2:$D$4001,$AB952)&amp;"")</f>
        <v/>
      </c>
      <c r="D952">
        <f>IF($AB952="","",INDEX('Per Line'!$B$2:$B$4001,$AB952)&amp;"")</f>
        <v/>
      </c>
      <c r="E952">
        <f>IF($AB952="","",INDEX('Per Line'!$A$2:$A$4001,$AB952))</f>
        <v/>
      </c>
      <c r="F952" s="11">
        <f>IF($AB952="","",INDEX('Per Line'!$E$2:$E$4001,$AB952))</f>
        <v/>
      </c>
      <c r="G952">
        <f>IF($AB952="","",INDEX('Per Line'!$F$2:$F$4001,$AB952)&amp;"")</f>
        <v/>
      </c>
      <c r="H952">
        <f>IF($AB952="","",INDEX('Per Line'!$H$2:$H$4001,$AB952)&amp;"")</f>
        <v/>
      </c>
      <c r="I952">
        <f>IF($AB952="","",INDEX('Per Line'!$I$2:$I$4001,$AB952)&amp;"")</f>
        <v/>
      </c>
      <c r="J952">
        <f>IF($AB952="","",INDEX('Per Line'!$J$2:$J$4001,$AB952)&amp;"")</f>
        <v/>
      </c>
      <c r="K952">
        <f>IF($AB952="","",INDEX('Per Line'!$K$2:$K$4001,$AB952)&amp;"")</f>
        <v/>
      </c>
      <c r="L952">
        <f>IF($AB952="","",INDEX('Per Line'!$L$2:$L$4001,$AB952))</f>
        <v/>
      </c>
      <c r="M952" s="7">
        <f>IF($AB952="","",IF(AND(ISNUMBER(O952),O952&gt;0,Z952&gt;O952),L952*O952/100+(Z952-O952),L952*Z952/100))</f>
        <v/>
      </c>
      <c r="N952">
        <f>IF($AB952="","",INDEX('Per Line'!$V$2:$V$4001,$AB952)&amp;"")</f>
        <v/>
      </c>
      <c r="O952">
        <f>IF($AB952="","",INDEX('Per Line'!$Z$2:$Z$4001,$AB952))</f>
        <v/>
      </c>
      <c r="P952">
        <f>IF($AB952="","",IF(AND(ISNUMBER(O952),O952&gt;0),Z952&gt;O952,FALSE))</f>
        <v/>
      </c>
      <c r="Q952" s="7">
        <f>IF($AB952="","",SUMIFS('Per Line'!$U$2:$U$4001,'Per Line'!$C$2:$C$4001,$B952,'Per Line'!$AM$2:$AM$4001,1))</f>
        <v/>
      </c>
      <c r="R952">
        <f>IF($AB952="","",Settings!$C$7)</f>
        <v/>
      </c>
      <c r="S952" s="7">
        <f>IF($AB952="","",SUMIFS('Per Line'!$U$2:$U$4001,'Per Line'!$C$2:$C$4001,$B952,'Per Line'!$AL$2:$AL$4001,0,'Per Line'!$AM$2:$AM$4001,0))</f>
        <v/>
      </c>
      <c r="T952" s="7">
        <f>IF($AB952="","",S952*R952)</f>
        <v/>
      </c>
      <c r="U952">
        <f>IF($AB952="","",Settings!$C$6)</f>
        <v/>
      </c>
      <c r="V952" s="7">
        <f>IF($AB952="","",SUMIFS('Per Line'!$U$2:$U$4001,'Per Line'!$C$2:$C$4001,$B952,'Per Line'!$AL$2:$AL$4001,1,'Per Line'!$AM$2:$AM$4001,0))</f>
        <v/>
      </c>
      <c r="W952" s="7">
        <f>IF($AB952="","",V952*U952)</f>
        <v/>
      </c>
      <c r="X952" s="7">
        <f>IF($AB952="","",W952+T952)</f>
        <v/>
      </c>
      <c r="Y952" s="7">
        <f>IF($AB952="","",Z952-X952)</f>
        <v/>
      </c>
      <c r="Z952" s="7">
        <f>IF($AB952="","",S952+V952+Q952)</f>
        <v/>
      </c>
      <c r="AA952" s="7">
        <f>IF($AB952="","",Z952-X952-M952)</f>
        <v/>
      </c>
      <c r="AB952" s="13">
        <f>IF(ROWS($AB$2:$AB952)&lt;=MAX('Per Line'!$AK$2:$AK$4001),MATCH(ROWS($AB$2:$AB952),'Per Line'!$AK$2:$AK$4001,0),"")</f>
        <v/>
      </c>
      <c r="AC952" s="14">
        <f>IF($AB952="","",M952-L952*Z952/100)</f>
        <v/>
      </c>
    </row>
    <row r="953">
      <c r="A953" s="12" t="n"/>
      <c r="B953">
        <f>IF($AB953="","",INDEX('Per Line'!$C$2:$C$4001,$AB953)&amp;"")</f>
        <v/>
      </c>
      <c r="C953">
        <f>IF($AB953="","",INDEX('Per Line'!$D$2:$D$4001,$AB953)&amp;"")</f>
        <v/>
      </c>
      <c r="D953">
        <f>IF($AB953="","",INDEX('Per Line'!$B$2:$B$4001,$AB953)&amp;"")</f>
        <v/>
      </c>
      <c r="E953">
        <f>IF($AB953="","",INDEX('Per Line'!$A$2:$A$4001,$AB953))</f>
        <v/>
      </c>
      <c r="F953" s="11">
        <f>IF($AB953="","",INDEX('Per Line'!$E$2:$E$4001,$AB953))</f>
        <v/>
      </c>
      <c r="G953">
        <f>IF($AB953="","",INDEX('Per Line'!$F$2:$F$4001,$AB953)&amp;"")</f>
        <v/>
      </c>
      <c r="H953">
        <f>IF($AB953="","",INDEX('Per Line'!$H$2:$H$4001,$AB953)&amp;"")</f>
        <v/>
      </c>
      <c r="I953">
        <f>IF($AB953="","",INDEX('Per Line'!$I$2:$I$4001,$AB953)&amp;"")</f>
        <v/>
      </c>
      <c r="J953">
        <f>IF($AB953="","",INDEX('Per Line'!$J$2:$J$4001,$AB953)&amp;"")</f>
        <v/>
      </c>
      <c r="K953">
        <f>IF($AB953="","",INDEX('Per Line'!$K$2:$K$4001,$AB953)&amp;"")</f>
        <v/>
      </c>
      <c r="L953">
        <f>IF($AB953="","",INDEX('Per Line'!$L$2:$L$4001,$AB953))</f>
        <v/>
      </c>
      <c r="M953" s="7">
        <f>IF($AB953="","",IF(AND(ISNUMBER(O953),O953&gt;0,Z953&gt;O953),L953*O953/100+(Z953-O953),L953*Z953/100))</f>
        <v/>
      </c>
      <c r="N953">
        <f>IF($AB953="","",INDEX('Per Line'!$V$2:$V$4001,$AB953)&amp;"")</f>
        <v/>
      </c>
      <c r="O953">
        <f>IF($AB953="","",INDEX('Per Line'!$Z$2:$Z$4001,$AB953))</f>
        <v/>
      </c>
      <c r="P953">
        <f>IF($AB953="","",IF(AND(ISNUMBER(O953),O953&gt;0),Z953&gt;O953,FALSE))</f>
        <v/>
      </c>
      <c r="Q953" s="7">
        <f>IF($AB953="","",SUMIFS('Per Line'!$U$2:$U$4001,'Per Line'!$C$2:$C$4001,$B953,'Per Line'!$AM$2:$AM$4001,1))</f>
        <v/>
      </c>
      <c r="R953">
        <f>IF($AB953="","",Settings!$C$7)</f>
        <v/>
      </c>
      <c r="S953" s="7">
        <f>IF($AB953="","",SUMIFS('Per Line'!$U$2:$U$4001,'Per Line'!$C$2:$C$4001,$B953,'Per Line'!$AL$2:$AL$4001,0,'Per Line'!$AM$2:$AM$4001,0))</f>
        <v/>
      </c>
      <c r="T953" s="7">
        <f>IF($AB953="","",S953*R953)</f>
        <v/>
      </c>
      <c r="U953">
        <f>IF($AB953="","",Settings!$C$6)</f>
        <v/>
      </c>
      <c r="V953" s="7">
        <f>IF($AB953="","",SUMIFS('Per Line'!$U$2:$U$4001,'Per Line'!$C$2:$C$4001,$B953,'Per Line'!$AL$2:$AL$4001,1,'Per Line'!$AM$2:$AM$4001,0))</f>
        <v/>
      </c>
      <c r="W953" s="7">
        <f>IF($AB953="","",V953*U953)</f>
        <v/>
      </c>
      <c r="X953" s="7">
        <f>IF($AB953="","",W953+T953)</f>
        <v/>
      </c>
      <c r="Y953" s="7">
        <f>IF($AB953="","",Z953-X953)</f>
        <v/>
      </c>
      <c r="Z953" s="7">
        <f>IF($AB953="","",S953+V953+Q953)</f>
        <v/>
      </c>
      <c r="AA953" s="7">
        <f>IF($AB953="","",Z953-X953-M953)</f>
        <v/>
      </c>
      <c r="AB953" s="13">
        <f>IF(ROWS($AB$2:$AB953)&lt;=MAX('Per Line'!$AK$2:$AK$4001),MATCH(ROWS($AB$2:$AB953),'Per Line'!$AK$2:$AK$4001,0),"")</f>
        <v/>
      </c>
      <c r="AC953" s="14">
        <f>IF($AB953="","",M953-L953*Z953/100)</f>
        <v/>
      </c>
    </row>
    <row r="954">
      <c r="A954" s="12" t="n"/>
      <c r="B954">
        <f>IF($AB954="","",INDEX('Per Line'!$C$2:$C$4001,$AB954)&amp;"")</f>
        <v/>
      </c>
      <c r="C954">
        <f>IF($AB954="","",INDEX('Per Line'!$D$2:$D$4001,$AB954)&amp;"")</f>
        <v/>
      </c>
      <c r="D954">
        <f>IF($AB954="","",INDEX('Per Line'!$B$2:$B$4001,$AB954)&amp;"")</f>
        <v/>
      </c>
      <c r="E954">
        <f>IF($AB954="","",INDEX('Per Line'!$A$2:$A$4001,$AB954))</f>
        <v/>
      </c>
      <c r="F954" s="11">
        <f>IF($AB954="","",INDEX('Per Line'!$E$2:$E$4001,$AB954))</f>
        <v/>
      </c>
      <c r="G954">
        <f>IF($AB954="","",INDEX('Per Line'!$F$2:$F$4001,$AB954)&amp;"")</f>
        <v/>
      </c>
      <c r="H954">
        <f>IF($AB954="","",INDEX('Per Line'!$H$2:$H$4001,$AB954)&amp;"")</f>
        <v/>
      </c>
      <c r="I954">
        <f>IF($AB954="","",INDEX('Per Line'!$I$2:$I$4001,$AB954)&amp;"")</f>
        <v/>
      </c>
      <c r="J954">
        <f>IF($AB954="","",INDEX('Per Line'!$J$2:$J$4001,$AB954)&amp;"")</f>
        <v/>
      </c>
      <c r="K954">
        <f>IF($AB954="","",INDEX('Per Line'!$K$2:$K$4001,$AB954)&amp;"")</f>
        <v/>
      </c>
      <c r="L954">
        <f>IF($AB954="","",INDEX('Per Line'!$L$2:$L$4001,$AB954))</f>
        <v/>
      </c>
      <c r="M954" s="7">
        <f>IF($AB954="","",IF(AND(ISNUMBER(O954),O954&gt;0,Z954&gt;O954),L954*O954/100+(Z954-O954),L954*Z954/100))</f>
        <v/>
      </c>
      <c r="N954">
        <f>IF($AB954="","",INDEX('Per Line'!$V$2:$V$4001,$AB954)&amp;"")</f>
        <v/>
      </c>
      <c r="O954">
        <f>IF($AB954="","",INDEX('Per Line'!$Z$2:$Z$4001,$AB954))</f>
        <v/>
      </c>
      <c r="P954">
        <f>IF($AB954="","",IF(AND(ISNUMBER(O954),O954&gt;0),Z954&gt;O954,FALSE))</f>
        <v/>
      </c>
      <c r="Q954" s="7">
        <f>IF($AB954="","",SUMIFS('Per Line'!$U$2:$U$4001,'Per Line'!$C$2:$C$4001,$B954,'Per Line'!$AM$2:$AM$4001,1))</f>
        <v/>
      </c>
      <c r="R954">
        <f>IF($AB954="","",Settings!$C$7)</f>
        <v/>
      </c>
      <c r="S954" s="7">
        <f>IF($AB954="","",SUMIFS('Per Line'!$U$2:$U$4001,'Per Line'!$C$2:$C$4001,$B954,'Per Line'!$AL$2:$AL$4001,0,'Per Line'!$AM$2:$AM$4001,0))</f>
        <v/>
      </c>
      <c r="T954" s="7">
        <f>IF($AB954="","",S954*R954)</f>
        <v/>
      </c>
      <c r="U954">
        <f>IF($AB954="","",Settings!$C$6)</f>
        <v/>
      </c>
      <c r="V954" s="7">
        <f>IF($AB954="","",SUMIFS('Per Line'!$U$2:$U$4001,'Per Line'!$C$2:$C$4001,$B954,'Per Line'!$AL$2:$AL$4001,1,'Per Line'!$AM$2:$AM$4001,0))</f>
        <v/>
      </c>
      <c r="W954" s="7">
        <f>IF($AB954="","",V954*U954)</f>
        <v/>
      </c>
      <c r="X954" s="7">
        <f>IF($AB954="","",W954+T954)</f>
        <v/>
      </c>
      <c r="Y954" s="7">
        <f>IF($AB954="","",Z954-X954)</f>
        <v/>
      </c>
      <c r="Z954" s="7">
        <f>IF($AB954="","",S954+V954+Q954)</f>
        <v/>
      </c>
      <c r="AA954" s="7">
        <f>IF($AB954="","",Z954-X954-M954)</f>
        <v/>
      </c>
      <c r="AB954" s="13">
        <f>IF(ROWS($AB$2:$AB954)&lt;=MAX('Per Line'!$AK$2:$AK$4001),MATCH(ROWS($AB$2:$AB954),'Per Line'!$AK$2:$AK$4001,0),"")</f>
        <v/>
      </c>
      <c r="AC954" s="14">
        <f>IF($AB954="","",M954-L954*Z954/100)</f>
        <v/>
      </c>
    </row>
    <row r="955">
      <c r="A955" s="12" t="n"/>
      <c r="B955">
        <f>IF($AB955="","",INDEX('Per Line'!$C$2:$C$4001,$AB955)&amp;"")</f>
        <v/>
      </c>
      <c r="C955">
        <f>IF($AB955="","",INDEX('Per Line'!$D$2:$D$4001,$AB955)&amp;"")</f>
        <v/>
      </c>
      <c r="D955">
        <f>IF($AB955="","",INDEX('Per Line'!$B$2:$B$4001,$AB955)&amp;"")</f>
        <v/>
      </c>
      <c r="E955">
        <f>IF($AB955="","",INDEX('Per Line'!$A$2:$A$4001,$AB955))</f>
        <v/>
      </c>
      <c r="F955" s="11">
        <f>IF($AB955="","",INDEX('Per Line'!$E$2:$E$4001,$AB955))</f>
        <v/>
      </c>
      <c r="G955">
        <f>IF($AB955="","",INDEX('Per Line'!$F$2:$F$4001,$AB955)&amp;"")</f>
        <v/>
      </c>
      <c r="H955">
        <f>IF($AB955="","",INDEX('Per Line'!$H$2:$H$4001,$AB955)&amp;"")</f>
        <v/>
      </c>
      <c r="I955">
        <f>IF($AB955="","",INDEX('Per Line'!$I$2:$I$4001,$AB955)&amp;"")</f>
        <v/>
      </c>
      <c r="J955">
        <f>IF($AB955="","",INDEX('Per Line'!$J$2:$J$4001,$AB955)&amp;"")</f>
        <v/>
      </c>
      <c r="K955">
        <f>IF($AB955="","",INDEX('Per Line'!$K$2:$K$4001,$AB955)&amp;"")</f>
        <v/>
      </c>
      <c r="L955">
        <f>IF($AB955="","",INDEX('Per Line'!$L$2:$L$4001,$AB955))</f>
        <v/>
      </c>
      <c r="M955" s="7">
        <f>IF($AB955="","",IF(AND(ISNUMBER(O955),O955&gt;0,Z955&gt;O955),L955*O955/100+(Z955-O955),L955*Z955/100))</f>
        <v/>
      </c>
      <c r="N955">
        <f>IF($AB955="","",INDEX('Per Line'!$V$2:$V$4001,$AB955)&amp;"")</f>
        <v/>
      </c>
      <c r="O955">
        <f>IF($AB955="","",INDEX('Per Line'!$Z$2:$Z$4001,$AB955))</f>
        <v/>
      </c>
      <c r="P955">
        <f>IF($AB955="","",IF(AND(ISNUMBER(O955),O955&gt;0),Z955&gt;O955,FALSE))</f>
        <v/>
      </c>
      <c r="Q955" s="7">
        <f>IF($AB955="","",SUMIFS('Per Line'!$U$2:$U$4001,'Per Line'!$C$2:$C$4001,$B955,'Per Line'!$AM$2:$AM$4001,1))</f>
        <v/>
      </c>
      <c r="R955">
        <f>IF($AB955="","",Settings!$C$7)</f>
        <v/>
      </c>
      <c r="S955" s="7">
        <f>IF($AB955="","",SUMIFS('Per Line'!$U$2:$U$4001,'Per Line'!$C$2:$C$4001,$B955,'Per Line'!$AL$2:$AL$4001,0,'Per Line'!$AM$2:$AM$4001,0))</f>
        <v/>
      </c>
      <c r="T955" s="7">
        <f>IF($AB955="","",S955*R955)</f>
        <v/>
      </c>
      <c r="U955">
        <f>IF($AB955="","",Settings!$C$6)</f>
        <v/>
      </c>
      <c r="V955" s="7">
        <f>IF($AB955="","",SUMIFS('Per Line'!$U$2:$U$4001,'Per Line'!$C$2:$C$4001,$B955,'Per Line'!$AL$2:$AL$4001,1,'Per Line'!$AM$2:$AM$4001,0))</f>
        <v/>
      </c>
      <c r="W955" s="7">
        <f>IF($AB955="","",V955*U955)</f>
        <v/>
      </c>
      <c r="X955" s="7">
        <f>IF($AB955="","",W955+T955)</f>
        <v/>
      </c>
      <c r="Y955" s="7">
        <f>IF($AB955="","",Z955-X955)</f>
        <v/>
      </c>
      <c r="Z955" s="7">
        <f>IF($AB955="","",S955+V955+Q955)</f>
        <v/>
      </c>
      <c r="AA955" s="7">
        <f>IF($AB955="","",Z955-X955-M955)</f>
        <v/>
      </c>
      <c r="AB955" s="13">
        <f>IF(ROWS($AB$2:$AB955)&lt;=MAX('Per Line'!$AK$2:$AK$4001),MATCH(ROWS($AB$2:$AB955),'Per Line'!$AK$2:$AK$4001,0),"")</f>
        <v/>
      </c>
      <c r="AC955" s="14">
        <f>IF($AB955="","",M955-L955*Z955/100)</f>
        <v/>
      </c>
    </row>
    <row r="956">
      <c r="A956" s="12" t="n"/>
      <c r="B956">
        <f>IF($AB956="","",INDEX('Per Line'!$C$2:$C$4001,$AB956)&amp;"")</f>
        <v/>
      </c>
      <c r="C956">
        <f>IF($AB956="","",INDEX('Per Line'!$D$2:$D$4001,$AB956)&amp;"")</f>
        <v/>
      </c>
      <c r="D956">
        <f>IF($AB956="","",INDEX('Per Line'!$B$2:$B$4001,$AB956)&amp;"")</f>
        <v/>
      </c>
      <c r="E956">
        <f>IF($AB956="","",INDEX('Per Line'!$A$2:$A$4001,$AB956))</f>
        <v/>
      </c>
      <c r="F956" s="11">
        <f>IF($AB956="","",INDEX('Per Line'!$E$2:$E$4001,$AB956))</f>
        <v/>
      </c>
      <c r="G956">
        <f>IF($AB956="","",INDEX('Per Line'!$F$2:$F$4001,$AB956)&amp;"")</f>
        <v/>
      </c>
      <c r="H956">
        <f>IF($AB956="","",INDEX('Per Line'!$H$2:$H$4001,$AB956)&amp;"")</f>
        <v/>
      </c>
      <c r="I956">
        <f>IF($AB956="","",INDEX('Per Line'!$I$2:$I$4001,$AB956)&amp;"")</f>
        <v/>
      </c>
      <c r="J956">
        <f>IF($AB956="","",INDEX('Per Line'!$J$2:$J$4001,$AB956)&amp;"")</f>
        <v/>
      </c>
      <c r="K956">
        <f>IF($AB956="","",INDEX('Per Line'!$K$2:$K$4001,$AB956)&amp;"")</f>
        <v/>
      </c>
      <c r="L956">
        <f>IF($AB956="","",INDEX('Per Line'!$L$2:$L$4001,$AB956))</f>
        <v/>
      </c>
      <c r="M956" s="7">
        <f>IF($AB956="","",IF(AND(ISNUMBER(O956),O956&gt;0,Z956&gt;O956),L956*O956/100+(Z956-O956),L956*Z956/100))</f>
        <v/>
      </c>
      <c r="N956">
        <f>IF($AB956="","",INDEX('Per Line'!$V$2:$V$4001,$AB956)&amp;"")</f>
        <v/>
      </c>
      <c r="O956">
        <f>IF($AB956="","",INDEX('Per Line'!$Z$2:$Z$4001,$AB956))</f>
        <v/>
      </c>
      <c r="P956">
        <f>IF($AB956="","",IF(AND(ISNUMBER(O956),O956&gt;0),Z956&gt;O956,FALSE))</f>
        <v/>
      </c>
      <c r="Q956" s="7">
        <f>IF($AB956="","",SUMIFS('Per Line'!$U$2:$U$4001,'Per Line'!$C$2:$C$4001,$B956,'Per Line'!$AM$2:$AM$4001,1))</f>
        <v/>
      </c>
      <c r="R956">
        <f>IF($AB956="","",Settings!$C$7)</f>
        <v/>
      </c>
      <c r="S956" s="7">
        <f>IF($AB956="","",SUMIFS('Per Line'!$U$2:$U$4001,'Per Line'!$C$2:$C$4001,$B956,'Per Line'!$AL$2:$AL$4001,0,'Per Line'!$AM$2:$AM$4001,0))</f>
        <v/>
      </c>
      <c r="T956" s="7">
        <f>IF($AB956="","",S956*R956)</f>
        <v/>
      </c>
      <c r="U956">
        <f>IF($AB956="","",Settings!$C$6)</f>
        <v/>
      </c>
      <c r="V956" s="7">
        <f>IF($AB956="","",SUMIFS('Per Line'!$U$2:$U$4001,'Per Line'!$C$2:$C$4001,$B956,'Per Line'!$AL$2:$AL$4001,1,'Per Line'!$AM$2:$AM$4001,0))</f>
        <v/>
      </c>
      <c r="W956" s="7">
        <f>IF($AB956="","",V956*U956)</f>
        <v/>
      </c>
      <c r="X956" s="7">
        <f>IF($AB956="","",W956+T956)</f>
        <v/>
      </c>
      <c r="Y956" s="7">
        <f>IF($AB956="","",Z956-X956)</f>
        <v/>
      </c>
      <c r="Z956" s="7">
        <f>IF($AB956="","",S956+V956+Q956)</f>
        <v/>
      </c>
      <c r="AA956" s="7">
        <f>IF($AB956="","",Z956-X956-M956)</f>
        <v/>
      </c>
      <c r="AB956" s="13">
        <f>IF(ROWS($AB$2:$AB956)&lt;=MAX('Per Line'!$AK$2:$AK$4001),MATCH(ROWS($AB$2:$AB956),'Per Line'!$AK$2:$AK$4001,0),"")</f>
        <v/>
      </c>
      <c r="AC956" s="14">
        <f>IF($AB956="","",M956-L956*Z956/100)</f>
        <v/>
      </c>
    </row>
    <row r="957">
      <c r="A957" s="12" t="n"/>
      <c r="B957">
        <f>IF($AB957="","",INDEX('Per Line'!$C$2:$C$4001,$AB957)&amp;"")</f>
        <v/>
      </c>
      <c r="C957">
        <f>IF($AB957="","",INDEX('Per Line'!$D$2:$D$4001,$AB957)&amp;"")</f>
        <v/>
      </c>
      <c r="D957">
        <f>IF($AB957="","",INDEX('Per Line'!$B$2:$B$4001,$AB957)&amp;"")</f>
        <v/>
      </c>
      <c r="E957">
        <f>IF($AB957="","",INDEX('Per Line'!$A$2:$A$4001,$AB957))</f>
        <v/>
      </c>
      <c r="F957" s="11">
        <f>IF($AB957="","",INDEX('Per Line'!$E$2:$E$4001,$AB957))</f>
        <v/>
      </c>
      <c r="G957">
        <f>IF($AB957="","",INDEX('Per Line'!$F$2:$F$4001,$AB957)&amp;"")</f>
        <v/>
      </c>
      <c r="H957">
        <f>IF($AB957="","",INDEX('Per Line'!$H$2:$H$4001,$AB957)&amp;"")</f>
        <v/>
      </c>
      <c r="I957">
        <f>IF($AB957="","",INDEX('Per Line'!$I$2:$I$4001,$AB957)&amp;"")</f>
        <v/>
      </c>
      <c r="J957">
        <f>IF($AB957="","",INDEX('Per Line'!$J$2:$J$4001,$AB957)&amp;"")</f>
        <v/>
      </c>
      <c r="K957">
        <f>IF($AB957="","",INDEX('Per Line'!$K$2:$K$4001,$AB957)&amp;"")</f>
        <v/>
      </c>
      <c r="L957">
        <f>IF($AB957="","",INDEX('Per Line'!$L$2:$L$4001,$AB957))</f>
        <v/>
      </c>
      <c r="M957" s="7">
        <f>IF($AB957="","",IF(AND(ISNUMBER(O957),O957&gt;0,Z957&gt;O957),L957*O957/100+(Z957-O957),L957*Z957/100))</f>
        <v/>
      </c>
      <c r="N957">
        <f>IF($AB957="","",INDEX('Per Line'!$V$2:$V$4001,$AB957)&amp;"")</f>
        <v/>
      </c>
      <c r="O957">
        <f>IF($AB957="","",INDEX('Per Line'!$Z$2:$Z$4001,$AB957))</f>
        <v/>
      </c>
      <c r="P957">
        <f>IF($AB957="","",IF(AND(ISNUMBER(O957),O957&gt;0),Z957&gt;O957,FALSE))</f>
        <v/>
      </c>
      <c r="Q957" s="7">
        <f>IF($AB957="","",SUMIFS('Per Line'!$U$2:$U$4001,'Per Line'!$C$2:$C$4001,$B957,'Per Line'!$AM$2:$AM$4001,1))</f>
        <v/>
      </c>
      <c r="R957">
        <f>IF($AB957="","",Settings!$C$7)</f>
        <v/>
      </c>
      <c r="S957" s="7">
        <f>IF($AB957="","",SUMIFS('Per Line'!$U$2:$U$4001,'Per Line'!$C$2:$C$4001,$B957,'Per Line'!$AL$2:$AL$4001,0,'Per Line'!$AM$2:$AM$4001,0))</f>
        <v/>
      </c>
      <c r="T957" s="7">
        <f>IF($AB957="","",S957*R957)</f>
        <v/>
      </c>
      <c r="U957">
        <f>IF($AB957="","",Settings!$C$6)</f>
        <v/>
      </c>
      <c r="V957" s="7">
        <f>IF($AB957="","",SUMIFS('Per Line'!$U$2:$U$4001,'Per Line'!$C$2:$C$4001,$B957,'Per Line'!$AL$2:$AL$4001,1,'Per Line'!$AM$2:$AM$4001,0))</f>
        <v/>
      </c>
      <c r="W957" s="7">
        <f>IF($AB957="","",V957*U957)</f>
        <v/>
      </c>
      <c r="X957" s="7">
        <f>IF($AB957="","",W957+T957)</f>
        <v/>
      </c>
      <c r="Y957" s="7">
        <f>IF($AB957="","",Z957-X957)</f>
        <v/>
      </c>
      <c r="Z957" s="7">
        <f>IF($AB957="","",S957+V957+Q957)</f>
        <v/>
      </c>
      <c r="AA957" s="7">
        <f>IF($AB957="","",Z957-X957-M957)</f>
        <v/>
      </c>
      <c r="AB957" s="13">
        <f>IF(ROWS($AB$2:$AB957)&lt;=MAX('Per Line'!$AK$2:$AK$4001),MATCH(ROWS($AB$2:$AB957),'Per Line'!$AK$2:$AK$4001,0),"")</f>
        <v/>
      </c>
      <c r="AC957" s="14">
        <f>IF($AB957="","",M957-L957*Z957/100)</f>
        <v/>
      </c>
    </row>
    <row r="958">
      <c r="A958" s="12" t="n"/>
      <c r="B958">
        <f>IF($AB958="","",INDEX('Per Line'!$C$2:$C$4001,$AB958)&amp;"")</f>
        <v/>
      </c>
      <c r="C958">
        <f>IF($AB958="","",INDEX('Per Line'!$D$2:$D$4001,$AB958)&amp;"")</f>
        <v/>
      </c>
      <c r="D958">
        <f>IF($AB958="","",INDEX('Per Line'!$B$2:$B$4001,$AB958)&amp;"")</f>
        <v/>
      </c>
      <c r="E958">
        <f>IF($AB958="","",INDEX('Per Line'!$A$2:$A$4001,$AB958))</f>
        <v/>
      </c>
      <c r="F958" s="11">
        <f>IF($AB958="","",INDEX('Per Line'!$E$2:$E$4001,$AB958))</f>
        <v/>
      </c>
      <c r="G958">
        <f>IF($AB958="","",INDEX('Per Line'!$F$2:$F$4001,$AB958)&amp;"")</f>
        <v/>
      </c>
      <c r="H958">
        <f>IF($AB958="","",INDEX('Per Line'!$H$2:$H$4001,$AB958)&amp;"")</f>
        <v/>
      </c>
      <c r="I958">
        <f>IF($AB958="","",INDEX('Per Line'!$I$2:$I$4001,$AB958)&amp;"")</f>
        <v/>
      </c>
      <c r="J958">
        <f>IF($AB958="","",INDEX('Per Line'!$J$2:$J$4001,$AB958)&amp;"")</f>
        <v/>
      </c>
      <c r="K958">
        <f>IF($AB958="","",INDEX('Per Line'!$K$2:$K$4001,$AB958)&amp;"")</f>
        <v/>
      </c>
      <c r="L958">
        <f>IF($AB958="","",INDEX('Per Line'!$L$2:$L$4001,$AB958))</f>
        <v/>
      </c>
      <c r="M958" s="7">
        <f>IF($AB958="","",IF(AND(ISNUMBER(O958),O958&gt;0,Z958&gt;O958),L958*O958/100+(Z958-O958),L958*Z958/100))</f>
        <v/>
      </c>
      <c r="N958">
        <f>IF($AB958="","",INDEX('Per Line'!$V$2:$V$4001,$AB958)&amp;"")</f>
        <v/>
      </c>
      <c r="O958">
        <f>IF($AB958="","",INDEX('Per Line'!$Z$2:$Z$4001,$AB958))</f>
        <v/>
      </c>
      <c r="P958">
        <f>IF($AB958="","",IF(AND(ISNUMBER(O958),O958&gt;0),Z958&gt;O958,FALSE))</f>
        <v/>
      </c>
      <c r="Q958" s="7">
        <f>IF($AB958="","",SUMIFS('Per Line'!$U$2:$U$4001,'Per Line'!$C$2:$C$4001,$B958,'Per Line'!$AM$2:$AM$4001,1))</f>
        <v/>
      </c>
      <c r="R958">
        <f>IF($AB958="","",Settings!$C$7)</f>
        <v/>
      </c>
      <c r="S958" s="7">
        <f>IF($AB958="","",SUMIFS('Per Line'!$U$2:$U$4001,'Per Line'!$C$2:$C$4001,$B958,'Per Line'!$AL$2:$AL$4001,0,'Per Line'!$AM$2:$AM$4001,0))</f>
        <v/>
      </c>
      <c r="T958" s="7">
        <f>IF($AB958="","",S958*R958)</f>
        <v/>
      </c>
      <c r="U958">
        <f>IF($AB958="","",Settings!$C$6)</f>
        <v/>
      </c>
      <c r="V958" s="7">
        <f>IF($AB958="","",SUMIFS('Per Line'!$U$2:$U$4001,'Per Line'!$C$2:$C$4001,$B958,'Per Line'!$AL$2:$AL$4001,1,'Per Line'!$AM$2:$AM$4001,0))</f>
        <v/>
      </c>
      <c r="W958" s="7">
        <f>IF($AB958="","",V958*U958)</f>
        <v/>
      </c>
      <c r="X958" s="7">
        <f>IF($AB958="","",W958+T958)</f>
        <v/>
      </c>
      <c r="Y958" s="7">
        <f>IF($AB958="","",Z958-X958)</f>
        <v/>
      </c>
      <c r="Z958" s="7">
        <f>IF($AB958="","",S958+V958+Q958)</f>
        <v/>
      </c>
      <c r="AA958" s="7">
        <f>IF($AB958="","",Z958-X958-M958)</f>
        <v/>
      </c>
      <c r="AB958" s="13">
        <f>IF(ROWS($AB$2:$AB958)&lt;=MAX('Per Line'!$AK$2:$AK$4001),MATCH(ROWS($AB$2:$AB958),'Per Line'!$AK$2:$AK$4001,0),"")</f>
        <v/>
      </c>
      <c r="AC958" s="14">
        <f>IF($AB958="","",M958-L958*Z958/100)</f>
        <v/>
      </c>
    </row>
    <row r="959">
      <c r="A959" s="12" t="n"/>
      <c r="B959">
        <f>IF($AB959="","",INDEX('Per Line'!$C$2:$C$4001,$AB959)&amp;"")</f>
        <v/>
      </c>
      <c r="C959">
        <f>IF($AB959="","",INDEX('Per Line'!$D$2:$D$4001,$AB959)&amp;"")</f>
        <v/>
      </c>
      <c r="D959">
        <f>IF($AB959="","",INDEX('Per Line'!$B$2:$B$4001,$AB959)&amp;"")</f>
        <v/>
      </c>
      <c r="E959">
        <f>IF($AB959="","",INDEX('Per Line'!$A$2:$A$4001,$AB959))</f>
        <v/>
      </c>
      <c r="F959" s="11">
        <f>IF($AB959="","",INDEX('Per Line'!$E$2:$E$4001,$AB959))</f>
        <v/>
      </c>
      <c r="G959">
        <f>IF($AB959="","",INDEX('Per Line'!$F$2:$F$4001,$AB959)&amp;"")</f>
        <v/>
      </c>
      <c r="H959">
        <f>IF($AB959="","",INDEX('Per Line'!$H$2:$H$4001,$AB959)&amp;"")</f>
        <v/>
      </c>
      <c r="I959">
        <f>IF($AB959="","",INDEX('Per Line'!$I$2:$I$4001,$AB959)&amp;"")</f>
        <v/>
      </c>
      <c r="J959">
        <f>IF($AB959="","",INDEX('Per Line'!$J$2:$J$4001,$AB959)&amp;"")</f>
        <v/>
      </c>
      <c r="K959">
        <f>IF($AB959="","",INDEX('Per Line'!$K$2:$K$4001,$AB959)&amp;"")</f>
        <v/>
      </c>
      <c r="L959">
        <f>IF($AB959="","",INDEX('Per Line'!$L$2:$L$4001,$AB959))</f>
        <v/>
      </c>
      <c r="M959" s="7">
        <f>IF($AB959="","",IF(AND(ISNUMBER(O959),O959&gt;0,Z959&gt;O959),L959*O959/100+(Z959-O959),L959*Z959/100))</f>
        <v/>
      </c>
      <c r="N959">
        <f>IF($AB959="","",INDEX('Per Line'!$V$2:$V$4001,$AB959)&amp;"")</f>
        <v/>
      </c>
      <c r="O959">
        <f>IF($AB959="","",INDEX('Per Line'!$Z$2:$Z$4001,$AB959))</f>
        <v/>
      </c>
      <c r="P959">
        <f>IF($AB959="","",IF(AND(ISNUMBER(O959),O959&gt;0),Z959&gt;O959,FALSE))</f>
        <v/>
      </c>
      <c r="Q959" s="7">
        <f>IF($AB959="","",SUMIFS('Per Line'!$U$2:$U$4001,'Per Line'!$C$2:$C$4001,$B959,'Per Line'!$AM$2:$AM$4001,1))</f>
        <v/>
      </c>
      <c r="R959">
        <f>IF($AB959="","",Settings!$C$7)</f>
        <v/>
      </c>
      <c r="S959" s="7">
        <f>IF($AB959="","",SUMIFS('Per Line'!$U$2:$U$4001,'Per Line'!$C$2:$C$4001,$B959,'Per Line'!$AL$2:$AL$4001,0,'Per Line'!$AM$2:$AM$4001,0))</f>
        <v/>
      </c>
      <c r="T959" s="7">
        <f>IF($AB959="","",S959*R959)</f>
        <v/>
      </c>
      <c r="U959">
        <f>IF($AB959="","",Settings!$C$6)</f>
        <v/>
      </c>
      <c r="V959" s="7">
        <f>IF($AB959="","",SUMIFS('Per Line'!$U$2:$U$4001,'Per Line'!$C$2:$C$4001,$B959,'Per Line'!$AL$2:$AL$4001,1,'Per Line'!$AM$2:$AM$4001,0))</f>
        <v/>
      </c>
      <c r="W959" s="7">
        <f>IF($AB959="","",V959*U959)</f>
        <v/>
      </c>
      <c r="X959" s="7">
        <f>IF($AB959="","",W959+T959)</f>
        <v/>
      </c>
      <c r="Y959" s="7">
        <f>IF($AB959="","",Z959-X959)</f>
        <v/>
      </c>
      <c r="Z959" s="7">
        <f>IF($AB959="","",S959+V959+Q959)</f>
        <v/>
      </c>
      <c r="AA959" s="7">
        <f>IF($AB959="","",Z959-X959-M959)</f>
        <v/>
      </c>
      <c r="AB959" s="13">
        <f>IF(ROWS($AB$2:$AB959)&lt;=MAX('Per Line'!$AK$2:$AK$4001),MATCH(ROWS($AB$2:$AB959),'Per Line'!$AK$2:$AK$4001,0),"")</f>
        <v/>
      </c>
      <c r="AC959" s="14">
        <f>IF($AB959="","",M959-L959*Z959/100)</f>
        <v/>
      </c>
    </row>
    <row r="960">
      <c r="A960" s="12" t="n"/>
      <c r="B960">
        <f>IF($AB960="","",INDEX('Per Line'!$C$2:$C$4001,$AB960)&amp;"")</f>
        <v/>
      </c>
      <c r="C960">
        <f>IF($AB960="","",INDEX('Per Line'!$D$2:$D$4001,$AB960)&amp;"")</f>
        <v/>
      </c>
      <c r="D960">
        <f>IF($AB960="","",INDEX('Per Line'!$B$2:$B$4001,$AB960)&amp;"")</f>
        <v/>
      </c>
      <c r="E960">
        <f>IF($AB960="","",INDEX('Per Line'!$A$2:$A$4001,$AB960))</f>
        <v/>
      </c>
      <c r="F960" s="11">
        <f>IF($AB960="","",INDEX('Per Line'!$E$2:$E$4001,$AB960))</f>
        <v/>
      </c>
      <c r="G960">
        <f>IF($AB960="","",INDEX('Per Line'!$F$2:$F$4001,$AB960)&amp;"")</f>
        <v/>
      </c>
      <c r="H960">
        <f>IF($AB960="","",INDEX('Per Line'!$H$2:$H$4001,$AB960)&amp;"")</f>
        <v/>
      </c>
      <c r="I960">
        <f>IF($AB960="","",INDEX('Per Line'!$I$2:$I$4001,$AB960)&amp;"")</f>
        <v/>
      </c>
      <c r="J960">
        <f>IF($AB960="","",INDEX('Per Line'!$J$2:$J$4001,$AB960)&amp;"")</f>
        <v/>
      </c>
      <c r="K960">
        <f>IF($AB960="","",INDEX('Per Line'!$K$2:$K$4001,$AB960)&amp;"")</f>
        <v/>
      </c>
      <c r="L960">
        <f>IF($AB960="","",INDEX('Per Line'!$L$2:$L$4001,$AB960))</f>
        <v/>
      </c>
      <c r="M960" s="7">
        <f>IF($AB960="","",IF(AND(ISNUMBER(O960),O960&gt;0,Z960&gt;O960),L960*O960/100+(Z960-O960),L960*Z960/100))</f>
        <v/>
      </c>
      <c r="N960">
        <f>IF($AB960="","",INDEX('Per Line'!$V$2:$V$4001,$AB960)&amp;"")</f>
        <v/>
      </c>
      <c r="O960">
        <f>IF($AB960="","",INDEX('Per Line'!$Z$2:$Z$4001,$AB960))</f>
        <v/>
      </c>
      <c r="P960">
        <f>IF($AB960="","",IF(AND(ISNUMBER(O960),O960&gt;0),Z960&gt;O960,FALSE))</f>
        <v/>
      </c>
      <c r="Q960" s="7">
        <f>IF($AB960="","",SUMIFS('Per Line'!$U$2:$U$4001,'Per Line'!$C$2:$C$4001,$B960,'Per Line'!$AM$2:$AM$4001,1))</f>
        <v/>
      </c>
      <c r="R960">
        <f>IF($AB960="","",Settings!$C$7)</f>
        <v/>
      </c>
      <c r="S960" s="7">
        <f>IF($AB960="","",SUMIFS('Per Line'!$U$2:$U$4001,'Per Line'!$C$2:$C$4001,$B960,'Per Line'!$AL$2:$AL$4001,0,'Per Line'!$AM$2:$AM$4001,0))</f>
        <v/>
      </c>
      <c r="T960" s="7">
        <f>IF($AB960="","",S960*R960)</f>
        <v/>
      </c>
      <c r="U960">
        <f>IF($AB960="","",Settings!$C$6)</f>
        <v/>
      </c>
      <c r="V960" s="7">
        <f>IF($AB960="","",SUMIFS('Per Line'!$U$2:$U$4001,'Per Line'!$C$2:$C$4001,$B960,'Per Line'!$AL$2:$AL$4001,1,'Per Line'!$AM$2:$AM$4001,0))</f>
        <v/>
      </c>
      <c r="W960" s="7">
        <f>IF($AB960="","",V960*U960)</f>
        <v/>
      </c>
      <c r="X960" s="7">
        <f>IF($AB960="","",W960+T960)</f>
        <v/>
      </c>
      <c r="Y960" s="7">
        <f>IF($AB960="","",Z960-X960)</f>
        <v/>
      </c>
      <c r="Z960" s="7">
        <f>IF($AB960="","",S960+V960+Q960)</f>
        <v/>
      </c>
      <c r="AA960" s="7">
        <f>IF($AB960="","",Z960-X960-M960)</f>
        <v/>
      </c>
      <c r="AB960" s="13">
        <f>IF(ROWS($AB$2:$AB960)&lt;=MAX('Per Line'!$AK$2:$AK$4001),MATCH(ROWS($AB$2:$AB960),'Per Line'!$AK$2:$AK$4001,0),"")</f>
        <v/>
      </c>
      <c r="AC960" s="14">
        <f>IF($AB960="","",M960-L960*Z960/100)</f>
        <v/>
      </c>
    </row>
    <row r="961">
      <c r="A961" s="12" t="n"/>
      <c r="B961">
        <f>IF($AB961="","",INDEX('Per Line'!$C$2:$C$4001,$AB961)&amp;"")</f>
        <v/>
      </c>
      <c r="C961">
        <f>IF($AB961="","",INDEX('Per Line'!$D$2:$D$4001,$AB961)&amp;"")</f>
        <v/>
      </c>
      <c r="D961">
        <f>IF($AB961="","",INDEX('Per Line'!$B$2:$B$4001,$AB961)&amp;"")</f>
        <v/>
      </c>
      <c r="E961">
        <f>IF($AB961="","",INDEX('Per Line'!$A$2:$A$4001,$AB961))</f>
        <v/>
      </c>
      <c r="F961" s="11">
        <f>IF($AB961="","",INDEX('Per Line'!$E$2:$E$4001,$AB961))</f>
        <v/>
      </c>
      <c r="G961">
        <f>IF($AB961="","",INDEX('Per Line'!$F$2:$F$4001,$AB961)&amp;"")</f>
        <v/>
      </c>
      <c r="H961">
        <f>IF($AB961="","",INDEX('Per Line'!$H$2:$H$4001,$AB961)&amp;"")</f>
        <v/>
      </c>
      <c r="I961">
        <f>IF($AB961="","",INDEX('Per Line'!$I$2:$I$4001,$AB961)&amp;"")</f>
        <v/>
      </c>
      <c r="J961">
        <f>IF($AB961="","",INDEX('Per Line'!$J$2:$J$4001,$AB961)&amp;"")</f>
        <v/>
      </c>
      <c r="K961">
        <f>IF($AB961="","",INDEX('Per Line'!$K$2:$K$4001,$AB961)&amp;"")</f>
        <v/>
      </c>
      <c r="L961">
        <f>IF($AB961="","",INDEX('Per Line'!$L$2:$L$4001,$AB961))</f>
        <v/>
      </c>
      <c r="M961" s="7">
        <f>IF($AB961="","",IF(AND(ISNUMBER(O961),O961&gt;0,Z961&gt;O961),L961*O961/100+(Z961-O961),L961*Z961/100))</f>
        <v/>
      </c>
      <c r="N961">
        <f>IF($AB961="","",INDEX('Per Line'!$V$2:$V$4001,$AB961)&amp;"")</f>
        <v/>
      </c>
      <c r="O961">
        <f>IF($AB961="","",INDEX('Per Line'!$Z$2:$Z$4001,$AB961))</f>
        <v/>
      </c>
      <c r="P961">
        <f>IF($AB961="","",IF(AND(ISNUMBER(O961),O961&gt;0),Z961&gt;O961,FALSE))</f>
        <v/>
      </c>
      <c r="Q961" s="7">
        <f>IF($AB961="","",SUMIFS('Per Line'!$U$2:$U$4001,'Per Line'!$C$2:$C$4001,$B961,'Per Line'!$AM$2:$AM$4001,1))</f>
        <v/>
      </c>
      <c r="R961">
        <f>IF($AB961="","",Settings!$C$7)</f>
        <v/>
      </c>
      <c r="S961" s="7">
        <f>IF($AB961="","",SUMIFS('Per Line'!$U$2:$U$4001,'Per Line'!$C$2:$C$4001,$B961,'Per Line'!$AL$2:$AL$4001,0,'Per Line'!$AM$2:$AM$4001,0))</f>
        <v/>
      </c>
      <c r="T961" s="7">
        <f>IF($AB961="","",S961*R961)</f>
        <v/>
      </c>
      <c r="U961">
        <f>IF($AB961="","",Settings!$C$6)</f>
        <v/>
      </c>
      <c r="V961" s="7">
        <f>IF($AB961="","",SUMIFS('Per Line'!$U$2:$U$4001,'Per Line'!$C$2:$C$4001,$B961,'Per Line'!$AL$2:$AL$4001,1,'Per Line'!$AM$2:$AM$4001,0))</f>
        <v/>
      </c>
      <c r="W961" s="7">
        <f>IF($AB961="","",V961*U961)</f>
        <v/>
      </c>
      <c r="X961" s="7">
        <f>IF($AB961="","",W961+T961)</f>
        <v/>
      </c>
      <c r="Y961" s="7">
        <f>IF($AB961="","",Z961-X961)</f>
        <v/>
      </c>
      <c r="Z961" s="7">
        <f>IF($AB961="","",S961+V961+Q961)</f>
        <v/>
      </c>
      <c r="AA961" s="7">
        <f>IF($AB961="","",Z961-X961-M961)</f>
        <v/>
      </c>
      <c r="AB961" s="13">
        <f>IF(ROWS($AB$2:$AB961)&lt;=MAX('Per Line'!$AK$2:$AK$4001),MATCH(ROWS($AB$2:$AB961),'Per Line'!$AK$2:$AK$4001,0),"")</f>
        <v/>
      </c>
      <c r="AC961" s="14">
        <f>IF($AB961="","",M961-L961*Z961/100)</f>
        <v/>
      </c>
    </row>
    <row r="962">
      <c r="A962" s="12" t="n"/>
      <c r="B962">
        <f>IF($AB962="","",INDEX('Per Line'!$C$2:$C$4001,$AB962)&amp;"")</f>
        <v/>
      </c>
      <c r="C962">
        <f>IF($AB962="","",INDEX('Per Line'!$D$2:$D$4001,$AB962)&amp;"")</f>
        <v/>
      </c>
      <c r="D962">
        <f>IF($AB962="","",INDEX('Per Line'!$B$2:$B$4001,$AB962)&amp;"")</f>
        <v/>
      </c>
      <c r="E962">
        <f>IF($AB962="","",INDEX('Per Line'!$A$2:$A$4001,$AB962))</f>
        <v/>
      </c>
      <c r="F962" s="11">
        <f>IF($AB962="","",INDEX('Per Line'!$E$2:$E$4001,$AB962))</f>
        <v/>
      </c>
      <c r="G962">
        <f>IF($AB962="","",INDEX('Per Line'!$F$2:$F$4001,$AB962)&amp;"")</f>
        <v/>
      </c>
      <c r="H962">
        <f>IF($AB962="","",INDEX('Per Line'!$H$2:$H$4001,$AB962)&amp;"")</f>
        <v/>
      </c>
      <c r="I962">
        <f>IF($AB962="","",INDEX('Per Line'!$I$2:$I$4001,$AB962)&amp;"")</f>
        <v/>
      </c>
      <c r="J962">
        <f>IF($AB962="","",INDEX('Per Line'!$J$2:$J$4001,$AB962)&amp;"")</f>
        <v/>
      </c>
      <c r="K962">
        <f>IF($AB962="","",INDEX('Per Line'!$K$2:$K$4001,$AB962)&amp;"")</f>
        <v/>
      </c>
      <c r="L962">
        <f>IF($AB962="","",INDEX('Per Line'!$L$2:$L$4001,$AB962))</f>
        <v/>
      </c>
      <c r="M962" s="7">
        <f>IF($AB962="","",IF(AND(ISNUMBER(O962),O962&gt;0,Z962&gt;O962),L962*O962/100+(Z962-O962),L962*Z962/100))</f>
        <v/>
      </c>
      <c r="N962">
        <f>IF($AB962="","",INDEX('Per Line'!$V$2:$V$4001,$AB962)&amp;"")</f>
        <v/>
      </c>
      <c r="O962">
        <f>IF($AB962="","",INDEX('Per Line'!$Z$2:$Z$4001,$AB962))</f>
        <v/>
      </c>
      <c r="P962">
        <f>IF($AB962="","",IF(AND(ISNUMBER(O962),O962&gt;0),Z962&gt;O962,FALSE))</f>
        <v/>
      </c>
      <c r="Q962" s="7">
        <f>IF($AB962="","",SUMIFS('Per Line'!$U$2:$U$4001,'Per Line'!$C$2:$C$4001,$B962,'Per Line'!$AM$2:$AM$4001,1))</f>
        <v/>
      </c>
      <c r="R962">
        <f>IF($AB962="","",Settings!$C$7)</f>
        <v/>
      </c>
      <c r="S962" s="7">
        <f>IF($AB962="","",SUMIFS('Per Line'!$U$2:$U$4001,'Per Line'!$C$2:$C$4001,$B962,'Per Line'!$AL$2:$AL$4001,0,'Per Line'!$AM$2:$AM$4001,0))</f>
        <v/>
      </c>
      <c r="T962" s="7">
        <f>IF($AB962="","",S962*R962)</f>
        <v/>
      </c>
      <c r="U962">
        <f>IF($AB962="","",Settings!$C$6)</f>
        <v/>
      </c>
      <c r="V962" s="7">
        <f>IF($AB962="","",SUMIFS('Per Line'!$U$2:$U$4001,'Per Line'!$C$2:$C$4001,$B962,'Per Line'!$AL$2:$AL$4001,1,'Per Line'!$AM$2:$AM$4001,0))</f>
        <v/>
      </c>
      <c r="W962" s="7">
        <f>IF($AB962="","",V962*U962)</f>
        <v/>
      </c>
      <c r="X962" s="7">
        <f>IF($AB962="","",W962+T962)</f>
        <v/>
      </c>
      <c r="Y962" s="7">
        <f>IF($AB962="","",Z962-X962)</f>
        <v/>
      </c>
      <c r="Z962" s="7">
        <f>IF($AB962="","",S962+V962+Q962)</f>
        <v/>
      </c>
      <c r="AA962" s="7">
        <f>IF($AB962="","",Z962-X962-M962)</f>
        <v/>
      </c>
      <c r="AB962" s="13">
        <f>IF(ROWS($AB$2:$AB962)&lt;=MAX('Per Line'!$AK$2:$AK$4001),MATCH(ROWS($AB$2:$AB962),'Per Line'!$AK$2:$AK$4001,0),"")</f>
        <v/>
      </c>
      <c r="AC962" s="14">
        <f>IF($AB962="","",M962-L962*Z962/100)</f>
        <v/>
      </c>
    </row>
    <row r="963">
      <c r="A963" s="12" t="n"/>
      <c r="B963">
        <f>IF($AB963="","",INDEX('Per Line'!$C$2:$C$4001,$AB963)&amp;"")</f>
        <v/>
      </c>
      <c r="C963">
        <f>IF($AB963="","",INDEX('Per Line'!$D$2:$D$4001,$AB963)&amp;"")</f>
        <v/>
      </c>
      <c r="D963">
        <f>IF($AB963="","",INDEX('Per Line'!$B$2:$B$4001,$AB963)&amp;"")</f>
        <v/>
      </c>
      <c r="E963">
        <f>IF($AB963="","",INDEX('Per Line'!$A$2:$A$4001,$AB963))</f>
        <v/>
      </c>
      <c r="F963" s="11">
        <f>IF($AB963="","",INDEX('Per Line'!$E$2:$E$4001,$AB963))</f>
        <v/>
      </c>
      <c r="G963">
        <f>IF($AB963="","",INDEX('Per Line'!$F$2:$F$4001,$AB963)&amp;"")</f>
        <v/>
      </c>
      <c r="H963">
        <f>IF($AB963="","",INDEX('Per Line'!$H$2:$H$4001,$AB963)&amp;"")</f>
        <v/>
      </c>
      <c r="I963">
        <f>IF($AB963="","",INDEX('Per Line'!$I$2:$I$4001,$AB963)&amp;"")</f>
        <v/>
      </c>
      <c r="J963">
        <f>IF($AB963="","",INDEX('Per Line'!$J$2:$J$4001,$AB963)&amp;"")</f>
        <v/>
      </c>
      <c r="K963">
        <f>IF($AB963="","",INDEX('Per Line'!$K$2:$K$4001,$AB963)&amp;"")</f>
        <v/>
      </c>
      <c r="L963">
        <f>IF($AB963="","",INDEX('Per Line'!$L$2:$L$4001,$AB963))</f>
        <v/>
      </c>
      <c r="M963" s="7">
        <f>IF($AB963="","",IF(AND(ISNUMBER(O963),O963&gt;0,Z963&gt;O963),L963*O963/100+(Z963-O963),L963*Z963/100))</f>
        <v/>
      </c>
      <c r="N963">
        <f>IF($AB963="","",INDEX('Per Line'!$V$2:$V$4001,$AB963)&amp;"")</f>
        <v/>
      </c>
      <c r="O963">
        <f>IF($AB963="","",INDEX('Per Line'!$Z$2:$Z$4001,$AB963))</f>
        <v/>
      </c>
      <c r="P963">
        <f>IF($AB963="","",IF(AND(ISNUMBER(O963),O963&gt;0),Z963&gt;O963,FALSE))</f>
        <v/>
      </c>
      <c r="Q963" s="7">
        <f>IF($AB963="","",SUMIFS('Per Line'!$U$2:$U$4001,'Per Line'!$C$2:$C$4001,$B963,'Per Line'!$AM$2:$AM$4001,1))</f>
        <v/>
      </c>
      <c r="R963">
        <f>IF($AB963="","",Settings!$C$7)</f>
        <v/>
      </c>
      <c r="S963" s="7">
        <f>IF($AB963="","",SUMIFS('Per Line'!$U$2:$U$4001,'Per Line'!$C$2:$C$4001,$B963,'Per Line'!$AL$2:$AL$4001,0,'Per Line'!$AM$2:$AM$4001,0))</f>
        <v/>
      </c>
      <c r="T963" s="7">
        <f>IF($AB963="","",S963*R963)</f>
        <v/>
      </c>
      <c r="U963">
        <f>IF($AB963="","",Settings!$C$6)</f>
        <v/>
      </c>
      <c r="V963" s="7">
        <f>IF($AB963="","",SUMIFS('Per Line'!$U$2:$U$4001,'Per Line'!$C$2:$C$4001,$B963,'Per Line'!$AL$2:$AL$4001,1,'Per Line'!$AM$2:$AM$4001,0))</f>
        <v/>
      </c>
      <c r="W963" s="7">
        <f>IF($AB963="","",V963*U963)</f>
        <v/>
      </c>
      <c r="X963" s="7">
        <f>IF($AB963="","",W963+T963)</f>
        <v/>
      </c>
      <c r="Y963" s="7">
        <f>IF($AB963="","",Z963-X963)</f>
        <v/>
      </c>
      <c r="Z963" s="7">
        <f>IF($AB963="","",S963+V963+Q963)</f>
        <v/>
      </c>
      <c r="AA963" s="7">
        <f>IF($AB963="","",Z963-X963-M963)</f>
        <v/>
      </c>
      <c r="AB963" s="13">
        <f>IF(ROWS($AB$2:$AB963)&lt;=MAX('Per Line'!$AK$2:$AK$4001),MATCH(ROWS($AB$2:$AB963),'Per Line'!$AK$2:$AK$4001,0),"")</f>
        <v/>
      </c>
      <c r="AC963" s="14">
        <f>IF($AB963="","",M963-L963*Z963/100)</f>
        <v/>
      </c>
    </row>
    <row r="964">
      <c r="A964" s="12" t="n"/>
      <c r="B964">
        <f>IF($AB964="","",INDEX('Per Line'!$C$2:$C$4001,$AB964)&amp;"")</f>
        <v/>
      </c>
      <c r="C964">
        <f>IF($AB964="","",INDEX('Per Line'!$D$2:$D$4001,$AB964)&amp;"")</f>
        <v/>
      </c>
      <c r="D964">
        <f>IF($AB964="","",INDEX('Per Line'!$B$2:$B$4001,$AB964)&amp;"")</f>
        <v/>
      </c>
      <c r="E964">
        <f>IF($AB964="","",INDEX('Per Line'!$A$2:$A$4001,$AB964))</f>
        <v/>
      </c>
      <c r="F964" s="11">
        <f>IF($AB964="","",INDEX('Per Line'!$E$2:$E$4001,$AB964))</f>
        <v/>
      </c>
      <c r="G964">
        <f>IF($AB964="","",INDEX('Per Line'!$F$2:$F$4001,$AB964)&amp;"")</f>
        <v/>
      </c>
      <c r="H964">
        <f>IF($AB964="","",INDEX('Per Line'!$H$2:$H$4001,$AB964)&amp;"")</f>
        <v/>
      </c>
      <c r="I964">
        <f>IF($AB964="","",INDEX('Per Line'!$I$2:$I$4001,$AB964)&amp;"")</f>
        <v/>
      </c>
      <c r="J964">
        <f>IF($AB964="","",INDEX('Per Line'!$J$2:$J$4001,$AB964)&amp;"")</f>
        <v/>
      </c>
      <c r="K964">
        <f>IF($AB964="","",INDEX('Per Line'!$K$2:$K$4001,$AB964)&amp;"")</f>
        <v/>
      </c>
      <c r="L964">
        <f>IF($AB964="","",INDEX('Per Line'!$L$2:$L$4001,$AB964))</f>
        <v/>
      </c>
      <c r="M964" s="7">
        <f>IF($AB964="","",IF(AND(ISNUMBER(O964),O964&gt;0,Z964&gt;O964),L964*O964/100+(Z964-O964),L964*Z964/100))</f>
        <v/>
      </c>
      <c r="N964">
        <f>IF($AB964="","",INDEX('Per Line'!$V$2:$V$4001,$AB964)&amp;"")</f>
        <v/>
      </c>
      <c r="O964">
        <f>IF($AB964="","",INDEX('Per Line'!$Z$2:$Z$4001,$AB964))</f>
        <v/>
      </c>
      <c r="P964">
        <f>IF($AB964="","",IF(AND(ISNUMBER(O964),O964&gt;0),Z964&gt;O964,FALSE))</f>
        <v/>
      </c>
      <c r="Q964" s="7">
        <f>IF($AB964="","",SUMIFS('Per Line'!$U$2:$U$4001,'Per Line'!$C$2:$C$4001,$B964,'Per Line'!$AM$2:$AM$4001,1))</f>
        <v/>
      </c>
      <c r="R964">
        <f>IF($AB964="","",Settings!$C$7)</f>
        <v/>
      </c>
      <c r="S964" s="7">
        <f>IF($AB964="","",SUMIFS('Per Line'!$U$2:$U$4001,'Per Line'!$C$2:$C$4001,$B964,'Per Line'!$AL$2:$AL$4001,0,'Per Line'!$AM$2:$AM$4001,0))</f>
        <v/>
      </c>
      <c r="T964" s="7">
        <f>IF($AB964="","",S964*R964)</f>
        <v/>
      </c>
      <c r="U964">
        <f>IF($AB964="","",Settings!$C$6)</f>
        <v/>
      </c>
      <c r="V964" s="7">
        <f>IF($AB964="","",SUMIFS('Per Line'!$U$2:$U$4001,'Per Line'!$C$2:$C$4001,$B964,'Per Line'!$AL$2:$AL$4001,1,'Per Line'!$AM$2:$AM$4001,0))</f>
        <v/>
      </c>
      <c r="W964" s="7">
        <f>IF($AB964="","",V964*U964)</f>
        <v/>
      </c>
      <c r="X964" s="7">
        <f>IF($AB964="","",W964+T964)</f>
        <v/>
      </c>
      <c r="Y964" s="7">
        <f>IF($AB964="","",Z964-X964)</f>
        <v/>
      </c>
      <c r="Z964" s="7">
        <f>IF($AB964="","",S964+V964+Q964)</f>
        <v/>
      </c>
      <c r="AA964" s="7">
        <f>IF($AB964="","",Z964-X964-M964)</f>
        <v/>
      </c>
      <c r="AB964" s="13">
        <f>IF(ROWS($AB$2:$AB964)&lt;=MAX('Per Line'!$AK$2:$AK$4001),MATCH(ROWS($AB$2:$AB964),'Per Line'!$AK$2:$AK$4001,0),"")</f>
        <v/>
      </c>
      <c r="AC964" s="14">
        <f>IF($AB964="","",M964-L964*Z964/100)</f>
        <v/>
      </c>
    </row>
    <row r="965">
      <c r="A965" s="12" t="n"/>
      <c r="B965">
        <f>IF($AB965="","",INDEX('Per Line'!$C$2:$C$4001,$AB965)&amp;"")</f>
        <v/>
      </c>
      <c r="C965">
        <f>IF($AB965="","",INDEX('Per Line'!$D$2:$D$4001,$AB965)&amp;"")</f>
        <v/>
      </c>
      <c r="D965">
        <f>IF($AB965="","",INDEX('Per Line'!$B$2:$B$4001,$AB965)&amp;"")</f>
        <v/>
      </c>
      <c r="E965">
        <f>IF($AB965="","",INDEX('Per Line'!$A$2:$A$4001,$AB965))</f>
        <v/>
      </c>
      <c r="F965" s="11">
        <f>IF($AB965="","",INDEX('Per Line'!$E$2:$E$4001,$AB965))</f>
        <v/>
      </c>
      <c r="G965">
        <f>IF($AB965="","",INDEX('Per Line'!$F$2:$F$4001,$AB965)&amp;"")</f>
        <v/>
      </c>
      <c r="H965">
        <f>IF($AB965="","",INDEX('Per Line'!$H$2:$H$4001,$AB965)&amp;"")</f>
        <v/>
      </c>
      <c r="I965">
        <f>IF($AB965="","",INDEX('Per Line'!$I$2:$I$4001,$AB965)&amp;"")</f>
        <v/>
      </c>
      <c r="J965">
        <f>IF($AB965="","",INDEX('Per Line'!$J$2:$J$4001,$AB965)&amp;"")</f>
        <v/>
      </c>
      <c r="K965">
        <f>IF($AB965="","",INDEX('Per Line'!$K$2:$K$4001,$AB965)&amp;"")</f>
        <v/>
      </c>
      <c r="L965">
        <f>IF($AB965="","",INDEX('Per Line'!$L$2:$L$4001,$AB965))</f>
        <v/>
      </c>
      <c r="M965" s="7">
        <f>IF($AB965="","",IF(AND(ISNUMBER(O965),O965&gt;0,Z965&gt;O965),L965*O965/100+(Z965-O965),L965*Z965/100))</f>
        <v/>
      </c>
      <c r="N965">
        <f>IF($AB965="","",INDEX('Per Line'!$V$2:$V$4001,$AB965)&amp;"")</f>
        <v/>
      </c>
      <c r="O965">
        <f>IF($AB965="","",INDEX('Per Line'!$Z$2:$Z$4001,$AB965))</f>
        <v/>
      </c>
      <c r="P965">
        <f>IF($AB965="","",IF(AND(ISNUMBER(O965),O965&gt;0),Z965&gt;O965,FALSE))</f>
        <v/>
      </c>
      <c r="Q965" s="7">
        <f>IF($AB965="","",SUMIFS('Per Line'!$U$2:$U$4001,'Per Line'!$C$2:$C$4001,$B965,'Per Line'!$AM$2:$AM$4001,1))</f>
        <v/>
      </c>
      <c r="R965">
        <f>IF($AB965="","",Settings!$C$7)</f>
        <v/>
      </c>
      <c r="S965" s="7">
        <f>IF($AB965="","",SUMIFS('Per Line'!$U$2:$U$4001,'Per Line'!$C$2:$C$4001,$B965,'Per Line'!$AL$2:$AL$4001,0,'Per Line'!$AM$2:$AM$4001,0))</f>
        <v/>
      </c>
      <c r="T965" s="7">
        <f>IF($AB965="","",S965*R965)</f>
        <v/>
      </c>
      <c r="U965">
        <f>IF($AB965="","",Settings!$C$6)</f>
        <v/>
      </c>
      <c r="V965" s="7">
        <f>IF($AB965="","",SUMIFS('Per Line'!$U$2:$U$4001,'Per Line'!$C$2:$C$4001,$B965,'Per Line'!$AL$2:$AL$4001,1,'Per Line'!$AM$2:$AM$4001,0))</f>
        <v/>
      </c>
      <c r="W965" s="7">
        <f>IF($AB965="","",V965*U965)</f>
        <v/>
      </c>
      <c r="X965" s="7">
        <f>IF($AB965="","",W965+T965)</f>
        <v/>
      </c>
      <c r="Y965" s="7">
        <f>IF($AB965="","",Z965-X965)</f>
        <v/>
      </c>
      <c r="Z965" s="7">
        <f>IF($AB965="","",S965+V965+Q965)</f>
        <v/>
      </c>
      <c r="AA965" s="7">
        <f>IF($AB965="","",Z965-X965-M965)</f>
        <v/>
      </c>
      <c r="AB965" s="13">
        <f>IF(ROWS($AB$2:$AB965)&lt;=MAX('Per Line'!$AK$2:$AK$4001),MATCH(ROWS($AB$2:$AB965),'Per Line'!$AK$2:$AK$4001,0),"")</f>
        <v/>
      </c>
      <c r="AC965" s="14">
        <f>IF($AB965="","",M965-L965*Z965/100)</f>
        <v/>
      </c>
    </row>
    <row r="966">
      <c r="A966" s="12" t="n"/>
      <c r="B966">
        <f>IF($AB966="","",INDEX('Per Line'!$C$2:$C$4001,$AB966)&amp;"")</f>
        <v/>
      </c>
      <c r="C966">
        <f>IF($AB966="","",INDEX('Per Line'!$D$2:$D$4001,$AB966)&amp;"")</f>
        <v/>
      </c>
      <c r="D966">
        <f>IF($AB966="","",INDEX('Per Line'!$B$2:$B$4001,$AB966)&amp;"")</f>
        <v/>
      </c>
      <c r="E966">
        <f>IF($AB966="","",INDEX('Per Line'!$A$2:$A$4001,$AB966))</f>
        <v/>
      </c>
      <c r="F966" s="11">
        <f>IF($AB966="","",INDEX('Per Line'!$E$2:$E$4001,$AB966))</f>
        <v/>
      </c>
      <c r="G966">
        <f>IF($AB966="","",INDEX('Per Line'!$F$2:$F$4001,$AB966)&amp;"")</f>
        <v/>
      </c>
      <c r="H966">
        <f>IF($AB966="","",INDEX('Per Line'!$H$2:$H$4001,$AB966)&amp;"")</f>
        <v/>
      </c>
      <c r="I966">
        <f>IF($AB966="","",INDEX('Per Line'!$I$2:$I$4001,$AB966)&amp;"")</f>
        <v/>
      </c>
      <c r="J966">
        <f>IF($AB966="","",INDEX('Per Line'!$J$2:$J$4001,$AB966)&amp;"")</f>
        <v/>
      </c>
      <c r="K966">
        <f>IF($AB966="","",INDEX('Per Line'!$K$2:$K$4001,$AB966)&amp;"")</f>
        <v/>
      </c>
      <c r="L966">
        <f>IF($AB966="","",INDEX('Per Line'!$L$2:$L$4001,$AB966))</f>
        <v/>
      </c>
      <c r="M966" s="7">
        <f>IF($AB966="","",IF(AND(ISNUMBER(O966),O966&gt;0,Z966&gt;O966),L966*O966/100+(Z966-O966),L966*Z966/100))</f>
        <v/>
      </c>
      <c r="N966">
        <f>IF($AB966="","",INDEX('Per Line'!$V$2:$V$4001,$AB966)&amp;"")</f>
        <v/>
      </c>
      <c r="O966">
        <f>IF($AB966="","",INDEX('Per Line'!$Z$2:$Z$4001,$AB966))</f>
        <v/>
      </c>
      <c r="P966">
        <f>IF($AB966="","",IF(AND(ISNUMBER(O966),O966&gt;0),Z966&gt;O966,FALSE))</f>
        <v/>
      </c>
      <c r="Q966" s="7">
        <f>IF($AB966="","",SUMIFS('Per Line'!$U$2:$U$4001,'Per Line'!$C$2:$C$4001,$B966,'Per Line'!$AM$2:$AM$4001,1))</f>
        <v/>
      </c>
      <c r="R966">
        <f>IF($AB966="","",Settings!$C$7)</f>
        <v/>
      </c>
      <c r="S966" s="7">
        <f>IF($AB966="","",SUMIFS('Per Line'!$U$2:$U$4001,'Per Line'!$C$2:$C$4001,$B966,'Per Line'!$AL$2:$AL$4001,0,'Per Line'!$AM$2:$AM$4001,0))</f>
        <v/>
      </c>
      <c r="T966" s="7">
        <f>IF($AB966="","",S966*R966)</f>
        <v/>
      </c>
      <c r="U966">
        <f>IF($AB966="","",Settings!$C$6)</f>
        <v/>
      </c>
      <c r="V966" s="7">
        <f>IF($AB966="","",SUMIFS('Per Line'!$U$2:$U$4001,'Per Line'!$C$2:$C$4001,$B966,'Per Line'!$AL$2:$AL$4001,1,'Per Line'!$AM$2:$AM$4001,0))</f>
        <v/>
      </c>
      <c r="W966" s="7">
        <f>IF($AB966="","",V966*U966)</f>
        <v/>
      </c>
      <c r="X966" s="7">
        <f>IF($AB966="","",W966+T966)</f>
        <v/>
      </c>
      <c r="Y966" s="7">
        <f>IF($AB966="","",Z966-X966)</f>
        <v/>
      </c>
      <c r="Z966" s="7">
        <f>IF($AB966="","",S966+V966+Q966)</f>
        <v/>
      </c>
      <c r="AA966" s="7">
        <f>IF($AB966="","",Z966-X966-M966)</f>
        <v/>
      </c>
      <c r="AB966" s="13">
        <f>IF(ROWS($AB$2:$AB966)&lt;=MAX('Per Line'!$AK$2:$AK$4001),MATCH(ROWS($AB$2:$AB966),'Per Line'!$AK$2:$AK$4001,0),"")</f>
        <v/>
      </c>
      <c r="AC966" s="14">
        <f>IF($AB966="","",M966-L966*Z966/100)</f>
        <v/>
      </c>
    </row>
    <row r="967">
      <c r="A967" s="12" t="n"/>
      <c r="B967">
        <f>IF($AB967="","",INDEX('Per Line'!$C$2:$C$4001,$AB967)&amp;"")</f>
        <v/>
      </c>
      <c r="C967">
        <f>IF($AB967="","",INDEX('Per Line'!$D$2:$D$4001,$AB967)&amp;"")</f>
        <v/>
      </c>
      <c r="D967">
        <f>IF($AB967="","",INDEX('Per Line'!$B$2:$B$4001,$AB967)&amp;"")</f>
        <v/>
      </c>
      <c r="E967">
        <f>IF($AB967="","",INDEX('Per Line'!$A$2:$A$4001,$AB967))</f>
        <v/>
      </c>
      <c r="F967" s="11">
        <f>IF($AB967="","",INDEX('Per Line'!$E$2:$E$4001,$AB967))</f>
        <v/>
      </c>
      <c r="G967">
        <f>IF($AB967="","",INDEX('Per Line'!$F$2:$F$4001,$AB967)&amp;"")</f>
        <v/>
      </c>
      <c r="H967">
        <f>IF($AB967="","",INDEX('Per Line'!$H$2:$H$4001,$AB967)&amp;"")</f>
        <v/>
      </c>
      <c r="I967">
        <f>IF($AB967="","",INDEX('Per Line'!$I$2:$I$4001,$AB967)&amp;"")</f>
        <v/>
      </c>
      <c r="J967">
        <f>IF($AB967="","",INDEX('Per Line'!$J$2:$J$4001,$AB967)&amp;"")</f>
        <v/>
      </c>
      <c r="K967">
        <f>IF($AB967="","",INDEX('Per Line'!$K$2:$K$4001,$AB967)&amp;"")</f>
        <v/>
      </c>
      <c r="L967">
        <f>IF($AB967="","",INDEX('Per Line'!$L$2:$L$4001,$AB967))</f>
        <v/>
      </c>
      <c r="M967" s="7">
        <f>IF($AB967="","",IF(AND(ISNUMBER(O967),O967&gt;0,Z967&gt;O967),L967*O967/100+(Z967-O967),L967*Z967/100))</f>
        <v/>
      </c>
      <c r="N967">
        <f>IF($AB967="","",INDEX('Per Line'!$V$2:$V$4001,$AB967)&amp;"")</f>
        <v/>
      </c>
      <c r="O967">
        <f>IF($AB967="","",INDEX('Per Line'!$Z$2:$Z$4001,$AB967))</f>
        <v/>
      </c>
      <c r="P967">
        <f>IF($AB967="","",IF(AND(ISNUMBER(O967),O967&gt;0),Z967&gt;O967,FALSE))</f>
        <v/>
      </c>
      <c r="Q967" s="7">
        <f>IF($AB967="","",SUMIFS('Per Line'!$U$2:$U$4001,'Per Line'!$C$2:$C$4001,$B967,'Per Line'!$AM$2:$AM$4001,1))</f>
        <v/>
      </c>
      <c r="R967">
        <f>IF($AB967="","",Settings!$C$7)</f>
        <v/>
      </c>
      <c r="S967" s="7">
        <f>IF($AB967="","",SUMIFS('Per Line'!$U$2:$U$4001,'Per Line'!$C$2:$C$4001,$B967,'Per Line'!$AL$2:$AL$4001,0,'Per Line'!$AM$2:$AM$4001,0))</f>
        <v/>
      </c>
      <c r="T967" s="7">
        <f>IF($AB967="","",S967*R967)</f>
        <v/>
      </c>
      <c r="U967">
        <f>IF($AB967="","",Settings!$C$6)</f>
        <v/>
      </c>
      <c r="V967" s="7">
        <f>IF($AB967="","",SUMIFS('Per Line'!$U$2:$U$4001,'Per Line'!$C$2:$C$4001,$B967,'Per Line'!$AL$2:$AL$4001,1,'Per Line'!$AM$2:$AM$4001,0))</f>
        <v/>
      </c>
      <c r="W967" s="7">
        <f>IF($AB967="","",V967*U967)</f>
        <v/>
      </c>
      <c r="X967" s="7">
        <f>IF($AB967="","",W967+T967)</f>
        <v/>
      </c>
      <c r="Y967" s="7">
        <f>IF($AB967="","",Z967-X967)</f>
        <v/>
      </c>
      <c r="Z967" s="7">
        <f>IF($AB967="","",S967+V967+Q967)</f>
        <v/>
      </c>
      <c r="AA967" s="7">
        <f>IF($AB967="","",Z967-X967-M967)</f>
        <v/>
      </c>
      <c r="AB967" s="13">
        <f>IF(ROWS($AB$2:$AB967)&lt;=MAX('Per Line'!$AK$2:$AK$4001),MATCH(ROWS($AB$2:$AB967),'Per Line'!$AK$2:$AK$4001,0),"")</f>
        <v/>
      </c>
      <c r="AC967" s="14">
        <f>IF($AB967="","",M967-L967*Z967/100)</f>
        <v/>
      </c>
    </row>
    <row r="968">
      <c r="A968" s="12" t="n"/>
      <c r="B968">
        <f>IF($AB968="","",INDEX('Per Line'!$C$2:$C$4001,$AB968)&amp;"")</f>
        <v/>
      </c>
      <c r="C968">
        <f>IF($AB968="","",INDEX('Per Line'!$D$2:$D$4001,$AB968)&amp;"")</f>
        <v/>
      </c>
      <c r="D968">
        <f>IF($AB968="","",INDEX('Per Line'!$B$2:$B$4001,$AB968)&amp;"")</f>
        <v/>
      </c>
      <c r="E968">
        <f>IF($AB968="","",INDEX('Per Line'!$A$2:$A$4001,$AB968))</f>
        <v/>
      </c>
      <c r="F968" s="11">
        <f>IF($AB968="","",INDEX('Per Line'!$E$2:$E$4001,$AB968))</f>
        <v/>
      </c>
      <c r="G968">
        <f>IF($AB968="","",INDEX('Per Line'!$F$2:$F$4001,$AB968)&amp;"")</f>
        <v/>
      </c>
      <c r="H968">
        <f>IF($AB968="","",INDEX('Per Line'!$H$2:$H$4001,$AB968)&amp;"")</f>
        <v/>
      </c>
      <c r="I968">
        <f>IF($AB968="","",INDEX('Per Line'!$I$2:$I$4001,$AB968)&amp;"")</f>
        <v/>
      </c>
      <c r="J968">
        <f>IF($AB968="","",INDEX('Per Line'!$J$2:$J$4001,$AB968)&amp;"")</f>
        <v/>
      </c>
      <c r="K968">
        <f>IF($AB968="","",INDEX('Per Line'!$K$2:$K$4001,$AB968)&amp;"")</f>
        <v/>
      </c>
      <c r="L968">
        <f>IF($AB968="","",INDEX('Per Line'!$L$2:$L$4001,$AB968))</f>
        <v/>
      </c>
      <c r="M968" s="7">
        <f>IF($AB968="","",IF(AND(ISNUMBER(O968),O968&gt;0,Z968&gt;O968),L968*O968/100+(Z968-O968),L968*Z968/100))</f>
        <v/>
      </c>
      <c r="N968">
        <f>IF($AB968="","",INDEX('Per Line'!$V$2:$V$4001,$AB968)&amp;"")</f>
        <v/>
      </c>
      <c r="O968">
        <f>IF($AB968="","",INDEX('Per Line'!$Z$2:$Z$4001,$AB968))</f>
        <v/>
      </c>
      <c r="P968">
        <f>IF($AB968="","",IF(AND(ISNUMBER(O968),O968&gt;0),Z968&gt;O968,FALSE))</f>
        <v/>
      </c>
      <c r="Q968" s="7">
        <f>IF($AB968="","",SUMIFS('Per Line'!$U$2:$U$4001,'Per Line'!$C$2:$C$4001,$B968,'Per Line'!$AM$2:$AM$4001,1))</f>
        <v/>
      </c>
      <c r="R968">
        <f>IF($AB968="","",Settings!$C$7)</f>
        <v/>
      </c>
      <c r="S968" s="7">
        <f>IF($AB968="","",SUMIFS('Per Line'!$U$2:$U$4001,'Per Line'!$C$2:$C$4001,$B968,'Per Line'!$AL$2:$AL$4001,0,'Per Line'!$AM$2:$AM$4001,0))</f>
        <v/>
      </c>
      <c r="T968" s="7">
        <f>IF($AB968="","",S968*R968)</f>
        <v/>
      </c>
      <c r="U968">
        <f>IF($AB968="","",Settings!$C$6)</f>
        <v/>
      </c>
      <c r="V968" s="7">
        <f>IF($AB968="","",SUMIFS('Per Line'!$U$2:$U$4001,'Per Line'!$C$2:$C$4001,$B968,'Per Line'!$AL$2:$AL$4001,1,'Per Line'!$AM$2:$AM$4001,0))</f>
        <v/>
      </c>
      <c r="W968" s="7">
        <f>IF($AB968="","",V968*U968)</f>
        <v/>
      </c>
      <c r="X968" s="7">
        <f>IF($AB968="","",W968+T968)</f>
        <v/>
      </c>
      <c r="Y968" s="7">
        <f>IF($AB968="","",Z968-X968)</f>
        <v/>
      </c>
      <c r="Z968" s="7">
        <f>IF($AB968="","",S968+V968+Q968)</f>
        <v/>
      </c>
      <c r="AA968" s="7">
        <f>IF($AB968="","",Z968-X968-M968)</f>
        <v/>
      </c>
      <c r="AB968" s="13">
        <f>IF(ROWS($AB$2:$AB968)&lt;=MAX('Per Line'!$AK$2:$AK$4001),MATCH(ROWS($AB$2:$AB968),'Per Line'!$AK$2:$AK$4001,0),"")</f>
        <v/>
      </c>
      <c r="AC968" s="14">
        <f>IF($AB968="","",M968-L968*Z968/100)</f>
        <v/>
      </c>
    </row>
    <row r="969">
      <c r="A969" s="12" t="n"/>
      <c r="B969">
        <f>IF($AB969="","",INDEX('Per Line'!$C$2:$C$4001,$AB969)&amp;"")</f>
        <v/>
      </c>
      <c r="C969">
        <f>IF($AB969="","",INDEX('Per Line'!$D$2:$D$4001,$AB969)&amp;"")</f>
        <v/>
      </c>
      <c r="D969">
        <f>IF($AB969="","",INDEX('Per Line'!$B$2:$B$4001,$AB969)&amp;"")</f>
        <v/>
      </c>
      <c r="E969">
        <f>IF($AB969="","",INDEX('Per Line'!$A$2:$A$4001,$AB969))</f>
        <v/>
      </c>
      <c r="F969" s="11">
        <f>IF($AB969="","",INDEX('Per Line'!$E$2:$E$4001,$AB969))</f>
        <v/>
      </c>
      <c r="G969">
        <f>IF($AB969="","",INDEX('Per Line'!$F$2:$F$4001,$AB969)&amp;"")</f>
        <v/>
      </c>
      <c r="H969">
        <f>IF($AB969="","",INDEX('Per Line'!$H$2:$H$4001,$AB969)&amp;"")</f>
        <v/>
      </c>
      <c r="I969">
        <f>IF($AB969="","",INDEX('Per Line'!$I$2:$I$4001,$AB969)&amp;"")</f>
        <v/>
      </c>
      <c r="J969">
        <f>IF($AB969="","",INDEX('Per Line'!$J$2:$J$4001,$AB969)&amp;"")</f>
        <v/>
      </c>
      <c r="K969">
        <f>IF($AB969="","",INDEX('Per Line'!$K$2:$K$4001,$AB969)&amp;"")</f>
        <v/>
      </c>
      <c r="L969">
        <f>IF($AB969="","",INDEX('Per Line'!$L$2:$L$4001,$AB969))</f>
        <v/>
      </c>
      <c r="M969" s="7">
        <f>IF($AB969="","",IF(AND(ISNUMBER(O969),O969&gt;0,Z969&gt;O969),L969*O969/100+(Z969-O969),L969*Z969/100))</f>
        <v/>
      </c>
      <c r="N969">
        <f>IF($AB969="","",INDEX('Per Line'!$V$2:$V$4001,$AB969)&amp;"")</f>
        <v/>
      </c>
      <c r="O969">
        <f>IF($AB969="","",INDEX('Per Line'!$Z$2:$Z$4001,$AB969))</f>
        <v/>
      </c>
      <c r="P969">
        <f>IF($AB969="","",IF(AND(ISNUMBER(O969),O969&gt;0),Z969&gt;O969,FALSE))</f>
        <v/>
      </c>
      <c r="Q969" s="7">
        <f>IF($AB969="","",SUMIFS('Per Line'!$U$2:$U$4001,'Per Line'!$C$2:$C$4001,$B969,'Per Line'!$AM$2:$AM$4001,1))</f>
        <v/>
      </c>
      <c r="R969">
        <f>IF($AB969="","",Settings!$C$7)</f>
        <v/>
      </c>
      <c r="S969" s="7">
        <f>IF($AB969="","",SUMIFS('Per Line'!$U$2:$U$4001,'Per Line'!$C$2:$C$4001,$B969,'Per Line'!$AL$2:$AL$4001,0,'Per Line'!$AM$2:$AM$4001,0))</f>
        <v/>
      </c>
      <c r="T969" s="7">
        <f>IF($AB969="","",S969*R969)</f>
        <v/>
      </c>
      <c r="U969">
        <f>IF($AB969="","",Settings!$C$6)</f>
        <v/>
      </c>
      <c r="V969" s="7">
        <f>IF($AB969="","",SUMIFS('Per Line'!$U$2:$U$4001,'Per Line'!$C$2:$C$4001,$B969,'Per Line'!$AL$2:$AL$4001,1,'Per Line'!$AM$2:$AM$4001,0))</f>
        <v/>
      </c>
      <c r="W969" s="7">
        <f>IF($AB969="","",V969*U969)</f>
        <v/>
      </c>
      <c r="X969" s="7">
        <f>IF($AB969="","",W969+T969)</f>
        <v/>
      </c>
      <c r="Y969" s="7">
        <f>IF($AB969="","",Z969-X969)</f>
        <v/>
      </c>
      <c r="Z969" s="7">
        <f>IF($AB969="","",S969+V969+Q969)</f>
        <v/>
      </c>
      <c r="AA969" s="7">
        <f>IF($AB969="","",Z969-X969-M969)</f>
        <v/>
      </c>
      <c r="AB969" s="13">
        <f>IF(ROWS($AB$2:$AB969)&lt;=MAX('Per Line'!$AK$2:$AK$4001),MATCH(ROWS($AB$2:$AB969),'Per Line'!$AK$2:$AK$4001,0),"")</f>
        <v/>
      </c>
      <c r="AC969" s="14">
        <f>IF($AB969="","",M969-L969*Z969/100)</f>
        <v/>
      </c>
    </row>
    <row r="970">
      <c r="A970" s="12" t="n"/>
      <c r="B970">
        <f>IF($AB970="","",INDEX('Per Line'!$C$2:$C$4001,$AB970)&amp;"")</f>
        <v/>
      </c>
      <c r="C970">
        <f>IF($AB970="","",INDEX('Per Line'!$D$2:$D$4001,$AB970)&amp;"")</f>
        <v/>
      </c>
      <c r="D970">
        <f>IF($AB970="","",INDEX('Per Line'!$B$2:$B$4001,$AB970)&amp;"")</f>
        <v/>
      </c>
      <c r="E970">
        <f>IF($AB970="","",INDEX('Per Line'!$A$2:$A$4001,$AB970))</f>
        <v/>
      </c>
      <c r="F970" s="11">
        <f>IF($AB970="","",INDEX('Per Line'!$E$2:$E$4001,$AB970))</f>
        <v/>
      </c>
      <c r="G970">
        <f>IF($AB970="","",INDEX('Per Line'!$F$2:$F$4001,$AB970)&amp;"")</f>
        <v/>
      </c>
      <c r="H970">
        <f>IF($AB970="","",INDEX('Per Line'!$H$2:$H$4001,$AB970)&amp;"")</f>
        <v/>
      </c>
      <c r="I970">
        <f>IF($AB970="","",INDEX('Per Line'!$I$2:$I$4001,$AB970)&amp;"")</f>
        <v/>
      </c>
      <c r="J970">
        <f>IF($AB970="","",INDEX('Per Line'!$J$2:$J$4001,$AB970)&amp;"")</f>
        <v/>
      </c>
      <c r="K970">
        <f>IF($AB970="","",INDEX('Per Line'!$K$2:$K$4001,$AB970)&amp;"")</f>
        <v/>
      </c>
      <c r="L970">
        <f>IF($AB970="","",INDEX('Per Line'!$L$2:$L$4001,$AB970))</f>
        <v/>
      </c>
      <c r="M970" s="7">
        <f>IF($AB970="","",IF(AND(ISNUMBER(O970),O970&gt;0,Z970&gt;O970),L970*O970/100+(Z970-O970),L970*Z970/100))</f>
        <v/>
      </c>
      <c r="N970">
        <f>IF($AB970="","",INDEX('Per Line'!$V$2:$V$4001,$AB970)&amp;"")</f>
        <v/>
      </c>
      <c r="O970">
        <f>IF($AB970="","",INDEX('Per Line'!$Z$2:$Z$4001,$AB970))</f>
        <v/>
      </c>
      <c r="P970">
        <f>IF($AB970="","",IF(AND(ISNUMBER(O970),O970&gt;0),Z970&gt;O970,FALSE))</f>
        <v/>
      </c>
      <c r="Q970" s="7">
        <f>IF($AB970="","",SUMIFS('Per Line'!$U$2:$U$4001,'Per Line'!$C$2:$C$4001,$B970,'Per Line'!$AM$2:$AM$4001,1))</f>
        <v/>
      </c>
      <c r="R970">
        <f>IF($AB970="","",Settings!$C$7)</f>
        <v/>
      </c>
      <c r="S970" s="7">
        <f>IF($AB970="","",SUMIFS('Per Line'!$U$2:$U$4001,'Per Line'!$C$2:$C$4001,$B970,'Per Line'!$AL$2:$AL$4001,0,'Per Line'!$AM$2:$AM$4001,0))</f>
        <v/>
      </c>
      <c r="T970" s="7">
        <f>IF($AB970="","",S970*R970)</f>
        <v/>
      </c>
      <c r="U970">
        <f>IF($AB970="","",Settings!$C$6)</f>
        <v/>
      </c>
      <c r="V970" s="7">
        <f>IF($AB970="","",SUMIFS('Per Line'!$U$2:$U$4001,'Per Line'!$C$2:$C$4001,$B970,'Per Line'!$AL$2:$AL$4001,1,'Per Line'!$AM$2:$AM$4001,0))</f>
        <v/>
      </c>
      <c r="W970" s="7">
        <f>IF($AB970="","",V970*U970)</f>
        <v/>
      </c>
      <c r="X970" s="7">
        <f>IF($AB970="","",W970+T970)</f>
        <v/>
      </c>
      <c r="Y970" s="7">
        <f>IF($AB970="","",Z970-X970)</f>
        <v/>
      </c>
      <c r="Z970" s="7">
        <f>IF($AB970="","",S970+V970+Q970)</f>
        <v/>
      </c>
      <c r="AA970" s="7">
        <f>IF($AB970="","",Z970-X970-M970)</f>
        <v/>
      </c>
      <c r="AB970" s="13">
        <f>IF(ROWS($AB$2:$AB970)&lt;=MAX('Per Line'!$AK$2:$AK$4001),MATCH(ROWS($AB$2:$AB970),'Per Line'!$AK$2:$AK$4001,0),"")</f>
        <v/>
      </c>
      <c r="AC970" s="14">
        <f>IF($AB970="","",M970-L970*Z970/100)</f>
        <v/>
      </c>
    </row>
    <row r="971">
      <c r="A971" s="12" t="n"/>
      <c r="B971">
        <f>IF($AB971="","",INDEX('Per Line'!$C$2:$C$4001,$AB971)&amp;"")</f>
        <v/>
      </c>
      <c r="C971">
        <f>IF($AB971="","",INDEX('Per Line'!$D$2:$D$4001,$AB971)&amp;"")</f>
        <v/>
      </c>
      <c r="D971">
        <f>IF($AB971="","",INDEX('Per Line'!$B$2:$B$4001,$AB971)&amp;"")</f>
        <v/>
      </c>
      <c r="E971">
        <f>IF($AB971="","",INDEX('Per Line'!$A$2:$A$4001,$AB971))</f>
        <v/>
      </c>
      <c r="F971" s="11">
        <f>IF($AB971="","",INDEX('Per Line'!$E$2:$E$4001,$AB971))</f>
        <v/>
      </c>
      <c r="G971">
        <f>IF($AB971="","",INDEX('Per Line'!$F$2:$F$4001,$AB971)&amp;"")</f>
        <v/>
      </c>
      <c r="H971">
        <f>IF($AB971="","",INDEX('Per Line'!$H$2:$H$4001,$AB971)&amp;"")</f>
        <v/>
      </c>
      <c r="I971">
        <f>IF($AB971="","",INDEX('Per Line'!$I$2:$I$4001,$AB971)&amp;"")</f>
        <v/>
      </c>
      <c r="J971">
        <f>IF($AB971="","",INDEX('Per Line'!$J$2:$J$4001,$AB971)&amp;"")</f>
        <v/>
      </c>
      <c r="K971">
        <f>IF($AB971="","",INDEX('Per Line'!$K$2:$K$4001,$AB971)&amp;"")</f>
        <v/>
      </c>
      <c r="L971">
        <f>IF($AB971="","",INDEX('Per Line'!$L$2:$L$4001,$AB971))</f>
        <v/>
      </c>
      <c r="M971" s="7">
        <f>IF($AB971="","",IF(AND(ISNUMBER(O971),O971&gt;0,Z971&gt;O971),L971*O971/100+(Z971-O971),L971*Z971/100))</f>
        <v/>
      </c>
      <c r="N971">
        <f>IF($AB971="","",INDEX('Per Line'!$V$2:$V$4001,$AB971)&amp;"")</f>
        <v/>
      </c>
      <c r="O971">
        <f>IF($AB971="","",INDEX('Per Line'!$Z$2:$Z$4001,$AB971))</f>
        <v/>
      </c>
      <c r="P971">
        <f>IF($AB971="","",IF(AND(ISNUMBER(O971),O971&gt;0),Z971&gt;O971,FALSE))</f>
        <v/>
      </c>
      <c r="Q971" s="7">
        <f>IF($AB971="","",SUMIFS('Per Line'!$U$2:$U$4001,'Per Line'!$C$2:$C$4001,$B971,'Per Line'!$AM$2:$AM$4001,1))</f>
        <v/>
      </c>
      <c r="R971">
        <f>IF($AB971="","",Settings!$C$7)</f>
        <v/>
      </c>
      <c r="S971" s="7">
        <f>IF($AB971="","",SUMIFS('Per Line'!$U$2:$U$4001,'Per Line'!$C$2:$C$4001,$B971,'Per Line'!$AL$2:$AL$4001,0,'Per Line'!$AM$2:$AM$4001,0))</f>
        <v/>
      </c>
      <c r="T971" s="7">
        <f>IF($AB971="","",S971*R971)</f>
        <v/>
      </c>
      <c r="U971">
        <f>IF($AB971="","",Settings!$C$6)</f>
        <v/>
      </c>
      <c r="V971" s="7">
        <f>IF($AB971="","",SUMIFS('Per Line'!$U$2:$U$4001,'Per Line'!$C$2:$C$4001,$B971,'Per Line'!$AL$2:$AL$4001,1,'Per Line'!$AM$2:$AM$4001,0))</f>
        <v/>
      </c>
      <c r="W971" s="7">
        <f>IF($AB971="","",V971*U971)</f>
        <v/>
      </c>
      <c r="X971" s="7">
        <f>IF($AB971="","",W971+T971)</f>
        <v/>
      </c>
      <c r="Y971" s="7">
        <f>IF($AB971="","",Z971-X971)</f>
        <v/>
      </c>
      <c r="Z971" s="7">
        <f>IF($AB971="","",S971+V971+Q971)</f>
        <v/>
      </c>
      <c r="AA971" s="7">
        <f>IF($AB971="","",Z971-X971-M971)</f>
        <v/>
      </c>
      <c r="AB971" s="13">
        <f>IF(ROWS($AB$2:$AB971)&lt;=MAX('Per Line'!$AK$2:$AK$4001),MATCH(ROWS($AB$2:$AB971),'Per Line'!$AK$2:$AK$4001,0),"")</f>
        <v/>
      </c>
      <c r="AC971" s="14">
        <f>IF($AB971="","",M971-L971*Z971/100)</f>
        <v/>
      </c>
    </row>
    <row r="972">
      <c r="A972" s="12" t="n"/>
      <c r="B972">
        <f>IF($AB972="","",INDEX('Per Line'!$C$2:$C$4001,$AB972)&amp;"")</f>
        <v/>
      </c>
      <c r="C972">
        <f>IF($AB972="","",INDEX('Per Line'!$D$2:$D$4001,$AB972)&amp;"")</f>
        <v/>
      </c>
      <c r="D972">
        <f>IF($AB972="","",INDEX('Per Line'!$B$2:$B$4001,$AB972)&amp;"")</f>
        <v/>
      </c>
      <c r="E972">
        <f>IF($AB972="","",INDEX('Per Line'!$A$2:$A$4001,$AB972))</f>
        <v/>
      </c>
      <c r="F972" s="11">
        <f>IF($AB972="","",INDEX('Per Line'!$E$2:$E$4001,$AB972))</f>
        <v/>
      </c>
      <c r="G972">
        <f>IF($AB972="","",INDEX('Per Line'!$F$2:$F$4001,$AB972)&amp;"")</f>
        <v/>
      </c>
      <c r="H972">
        <f>IF($AB972="","",INDEX('Per Line'!$H$2:$H$4001,$AB972)&amp;"")</f>
        <v/>
      </c>
      <c r="I972">
        <f>IF($AB972="","",INDEX('Per Line'!$I$2:$I$4001,$AB972)&amp;"")</f>
        <v/>
      </c>
      <c r="J972">
        <f>IF($AB972="","",INDEX('Per Line'!$J$2:$J$4001,$AB972)&amp;"")</f>
        <v/>
      </c>
      <c r="K972">
        <f>IF($AB972="","",INDEX('Per Line'!$K$2:$K$4001,$AB972)&amp;"")</f>
        <v/>
      </c>
      <c r="L972">
        <f>IF($AB972="","",INDEX('Per Line'!$L$2:$L$4001,$AB972))</f>
        <v/>
      </c>
      <c r="M972" s="7">
        <f>IF($AB972="","",IF(AND(ISNUMBER(O972),O972&gt;0,Z972&gt;O972),L972*O972/100+(Z972-O972),L972*Z972/100))</f>
        <v/>
      </c>
      <c r="N972">
        <f>IF($AB972="","",INDEX('Per Line'!$V$2:$V$4001,$AB972)&amp;"")</f>
        <v/>
      </c>
      <c r="O972">
        <f>IF($AB972="","",INDEX('Per Line'!$Z$2:$Z$4001,$AB972))</f>
        <v/>
      </c>
      <c r="P972">
        <f>IF($AB972="","",IF(AND(ISNUMBER(O972),O972&gt;0),Z972&gt;O972,FALSE))</f>
        <v/>
      </c>
      <c r="Q972" s="7">
        <f>IF($AB972="","",SUMIFS('Per Line'!$U$2:$U$4001,'Per Line'!$C$2:$C$4001,$B972,'Per Line'!$AM$2:$AM$4001,1))</f>
        <v/>
      </c>
      <c r="R972">
        <f>IF($AB972="","",Settings!$C$7)</f>
        <v/>
      </c>
      <c r="S972" s="7">
        <f>IF($AB972="","",SUMIFS('Per Line'!$U$2:$U$4001,'Per Line'!$C$2:$C$4001,$B972,'Per Line'!$AL$2:$AL$4001,0,'Per Line'!$AM$2:$AM$4001,0))</f>
        <v/>
      </c>
      <c r="T972" s="7">
        <f>IF($AB972="","",S972*R972)</f>
        <v/>
      </c>
      <c r="U972">
        <f>IF($AB972="","",Settings!$C$6)</f>
        <v/>
      </c>
      <c r="V972" s="7">
        <f>IF($AB972="","",SUMIFS('Per Line'!$U$2:$U$4001,'Per Line'!$C$2:$C$4001,$B972,'Per Line'!$AL$2:$AL$4001,1,'Per Line'!$AM$2:$AM$4001,0))</f>
        <v/>
      </c>
      <c r="W972" s="7">
        <f>IF($AB972="","",V972*U972)</f>
        <v/>
      </c>
      <c r="X972" s="7">
        <f>IF($AB972="","",W972+T972)</f>
        <v/>
      </c>
      <c r="Y972" s="7">
        <f>IF($AB972="","",Z972-X972)</f>
        <v/>
      </c>
      <c r="Z972" s="7">
        <f>IF($AB972="","",S972+V972+Q972)</f>
        <v/>
      </c>
      <c r="AA972" s="7">
        <f>IF($AB972="","",Z972-X972-M972)</f>
        <v/>
      </c>
      <c r="AB972" s="13">
        <f>IF(ROWS($AB$2:$AB972)&lt;=MAX('Per Line'!$AK$2:$AK$4001),MATCH(ROWS($AB$2:$AB972),'Per Line'!$AK$2:$AK$4001,0),"")</f>
        <v/>
      </c>
      <c r="AC972" s="14">
        <f>IF($AB972="","",M972-L972*Z972/100)</f>
        <v/>
      </c>
    </row>
    <row r="973">
      <c r="A973" s="12" t="n"/>
      <c r="B973">
        <f>IF($AB973="","",INDEX('Per Line'!$C$2:$C$4001,$AB973)&amp;"")</f>
        <v/>
      </c>
      <c r="C973">
        <f>IF($AB973="","",INDEX('Per Line'!$D$2:$D$4001,$AB973)&amp;"")</f>
        <v/>
      </c>
      <c r="D973">
        <f>IF($AB973="","",INDEX('Per Line'!$B$2:$B$4001,$AB973)&amp;"")</f>
        <v/>
      </c>
      <c r="E973">
        <f>IF($AB973="","",INDEX('Per Line'!$A$2:$A$4001,$AB973))</f>
        <v/>
      </c>
      <c r="F973" s="11">
        <f>IF($AB973="","",INDEX('Per Line'!$E$2:$E$4001,$AB973))</f>
        <v/>
      </c>
      <c r="G973">
        <f>IF($AB973="","",INDEX('Per Line'!$F$2:$F$4001,$AB973)&amp;"")</f>
        <v/>
      </c>
      <c r="H973">
        <f>IF($AB973="","",INDEX('Per Line'!$H$2:$H$4001,$AB973)&amp;"")</f>
        <v/>
      </c>
      <c r="I973">
        <f>IF($AB973="","",INDEX('Per Line'!$I$2:$I$4001,$AB973)&amp;"")</f>
        <v/>
      </c>
      <c r="J973">
        <f>IF($AB973="","",INDEX('Per Line'!$J$2:$J$4001,$AB973)&amp;"")</f>
        <v/>
      </c>
      <c r="K973">
        <f>IF($AB973="","",INDEX('Per Line'!$K$2:$K$4001,$AB973)&amp;"")</f>
        <v/>
      </c>
      <c r="L973">
        <f>IF($AB973="","",INDEX('Per Line'!$L$2:$L$4001,$AB973))</f>
        <v/>
      </c>
      <c r="M973" s="7">
        <f>IF($AB973="","",IF(AND(ISNUMBER(O973),O973&gt;0,Z973&gt;O973),L973*O973/100+(Z973-O973),L973*Z973/100))</f>
        <v/>
      </c>
      <c r="N973">
        <f>IF($AB973="","",INDEX('Per Line'!$V$2:$V$4001,$AB973)&amp;"")</f>
        <v/>
      </c>
      <c r="O973">
        <f>IF($AB973="","",INDEX('Per Line'!$Z$2:$Z$4001,$AB973))</f>
        <v/>
      </c>
      <c r="P973">
        <f>IF($AB973="","",IF(AND(ISNUMBER(O973),O973&gt;0),Z973&gt;O973,FALSE))</f>
        <v/>
      </c>
      <c r="Q973" s="7">
        <f>IF($AB973="","",SUMIFS('Per Line'!$U$2:$U$4001,'Per Line'!$C$2:$C$4001,$B973,'Per Line'!$AM$2:$AM$4001,1))</f>
        <v/>
      </c>
      <c r="R973">
        <f>IF($AB973="","",Settings!$C$7)</f>
        <v/>
      </c>
      <c r="S973" s="7">
        <f>IF($AB973="","",SUMIFS('Per Line'!$U$2:$U$4001,'Per Line'!$C$2:$C$4001,$B973,'Per Line'!$AL$2:$AL$4001,0,'Per Line'!$AM$2:$AM$4001,0))</f>
        <v/>
      </c>
      <c r="T973" s="7">
        <f>IF($AB973="","",S973*R973)</f>
        <v/>
      </c>
      <c r="U973">
        <f>IF($AB973="","",Settings!$C$6)</f>
        <v/>
      </c>
      <c r="V973" s="7">
        <f>IF($AB973="","",SUMIFS('Per Line'!$U$2:$U$4001,'Per Line'!$C$2:$C$4001,$B973,'Per Line'!$AL$2:$AL$4001,1,'Per Line'!$AM$2:$AM$4001,0))</f>
        <v/>
      </c>
      <c r="W973" s="7">
        <f>IF($AB973="","",V973*U973)</f>
        <v/>
      </c>
      <c r="X973" s="7">
        <f>IF($AB973="","",W973+T973)</f>
        <v/>
      </c>
      <c r="Y973" s="7">
        <f>IF($AB973="","",Z973-X973)</f>
        <v/>
      </c>
      <c r="Z973" s="7">
        <f>IF($AB973="","",S973+V973+Q973)</f>
        <v/>
      </c>
      <c r="AA973" s="7">
        <f>IF($AB973="","",Z973-X973-M973)</f>
        <v/>
      </c>
      <c r="AB973" s="13">
        <f>IF(ROWS($AB$2:$AB973)&lt;=MAX('Per Line'!$AK$2:$AK$4001),MATCH(ROWS($AB$2:$AB973),'Per Line'!$AK$2:$AK$4001,0),"")</f>
        <v/>
      </c>
      <c r="AC973" s="14">
        <f>IF($AB973="","",M973-L973*Z973/100)</f>
        <v/>
      </c>
    </row>
    <row r="974">
      <c r="A974" s="12" t="n"/>
      <c r="B974">
        <f>IF($AB974="","",INDEX('Per Line'!$C$2:$C$4001,$AB974)&amp;"")</f>
        <v/>
      </c>
      <c r="C974">
        <f>IF($AB974="","",INDEX('Per Line'!$D$2:$D$4001,$AB974)&amp;"")</f>
        <v/>
      </c>
      <c r="D974">
        <f>IF($AB974="","",INDEX('Per Line'!$B$2:$B$4001,$AB974)&amp;"")</f>
        <v/>
      </c>
      <c r="E974">
        <f>IF($AB974="","",INDEX('Per Line'!$A$2:$A$4001,$AB974))</f>
        <v/>
      </c>
      <c r="F974" s="11">
        <f>IF($AB974="","",INDEX('Per Line'!$E$2:$E$4001,$AB974))</f>
        <v/>
      </c>
      <c r="G974">
        <f>IF($AB974="","",INDEX('Per Line'!$F$2:$F$4001,$AB974)&amp;"")</f>
        <v/>
      </c>
      <c r="H974">
        <f>IF($AB974="","",INDEX('Per Line'!$H$2:$H$4001,$AB974)&amp;"")</f>
        <v/>
      </c>
      <c r="I974">
        <f>IF($AB974="","",INDEX('Per Line'!$I$2:$I$4001,$AB974)&amp;"")</f>
        <v/>
      </c>
      <c r="J974">
        <f>IF($AB974="","",INDEX('Per Line'!$J$2:$J$4001,$AB974)&amp;"")</f>
        <v/>
      </c>
      <c r="K974">
        <f>IF($AB974="","",INDEX('Per Line'!$K$2:$K$4001,$AB974)&amp;"")</f>
        <v/>
      </c>
      <c r="L974">
        <f>IF($AB974="","",INDEX('Per Line'!$L$2:$L$4001,$AB974))</f>
        <v/>
      </c>
      <c r="M974" s="7">
        <f>IF($AB974="","",IF(AND(ISNUMBER(O974),O974&gt;0,Z974&gt;O974),L974*O974/100+(Z974-O974),L974*Z974/100))</f>
        <v/>
      </c>
      <c r="N974">
        <f>IF($AB974="","",INDEX('Per Line'!$V$2:$V$4001,$AB974)&amp;"")</f>
        <v/>
      </c>
      <c r="O974">
        <f>IF($AB974="","",INDEX('Per Line'!$Z$2:$Z$4001,$AB974))</f>
        <v/>
      </c>
      <c r="P974">
        <f>IF($AB974="","",IF(AND(ISNUMBER(O974),O974&gt;0),Z974&gt;O974,FALSE))</f>
        <v/>
      </c>
      <c r="Q974" s="7">
        <f>IF($AB974="","",SUMIFS('Per Line'!$U$2:$U$4001,'Per Line'!$C$2:$C$4001,$B974,'Per Line'!$AM$2:$AM$4001,1))</f>
        <v/>
      </c>
      <c r="R974">
        <f>IF($AB974="","",Settings!$C$7)</f>
        <v/>
      </c>
      <c r="S974" s="7">
        <f>IF($AB974="","",SUMIFS('Per Line'!$U$2:$U$4001,'Per Line'!$C$2:$C$4001,$B974,'Per Line'!$AL$2:$AL$4001,0,'Per Line'!$AM$2:$AM$4001,0))</f>
        <v/>
      </c>
      <c r="T974" s="7">
        <f>IF($AB974="","",S974*R974)</f>
        <v/>
      </c>
      <c r="U974">
        <f>IF($AB974="","",Settings!$C$6)</f>
        <v/>
      </c>
      <c r="V974" s="7">
        <f>IF($AB974="","",SUMIFS('Per Line'!$U$2:$U$4001,'Per Line'!$C$2:$C$4001,$B974,'Per Line'!$AL$2:$AL$4001,1,'Per Line'!$AM$2:$AM$4001,0))</f>
        <v/>
      </c>
      <c r="W974" s="7">
        <f>IF($AB974="","",V974*U974)</f>
        <v/>
      </c>
      <c r="X974" s="7">
        <f>IF($AB974="","",W974+T974)</f>
        <v/>
      </c>
      <c r="Y974" s="7">
        <f>IF($AB974="","",Z974-X974)</f>
        <v/>
      </c>
      <c r="Z974" s="7">
        <f>IF($AB974="","",S974+V974+Q974)</f>
        <v/>
      </c>
      <c r="AA974" s="7">
        <f>IF($AB974="","",Z974-X974-M974)</f>
        <v/>
      </c>
      <c r="AB974" s="13">
        <f>IF(ROWS($AB$2:$AB974)&lt;=MAX('Per Line'!$AK$2:$AK$4001),MATCH(ROWS($AB$2:$AB974),'Per Line'!$AK$2:$AK$4001,0),"")</f>
        <v/>
      </c>
      <c r="AC974" s="14">
        <f>IF($AB974="","",M974-L974*Z974/100)</f>
        <v/>
      </c>
    </row>
    <row r="975">
      <c r="A975" s="12" t="n"/>
      <c r="B975">
        <f>IF($AB975="","",INDEX('Per Line'!$C$2:$C$4001,$AB975)&amp;"")</f>
        <v/>
      </c>
      <c r="C975">
        <f>IF($AB975="","",INDEX('Per Line'!$D$2:$D$4001,$AB975)&amp;"")</f>
        <v/>
      </c>
      <c r="D975">
        <f>IF($AB975="","",INDEX('Per Line'!$B$2:$B$4001,$AB975)&amp;"")</f>
        <v/>
      </c>
      <c r="E975">
        <f>IF($AB975="","",INDEX('Per Line'!$A$2:$A$4001,$AB975))</f>
        <v/>
      </c>
      <c r="F975" s="11">
        <f>IF($AB975="","",INDEX('Per Line'!$E$2:$E$4001,$AB975))</f>
        <v/>
      </c>
      <c r="G975">
        <f>IF($AB975="","",INDEX('Per Line'!$F$2:$F$4001,$AB975)&amp;"")</f>
        <v/>
      </c>
      <c r="H975">
        <f>IF($AB975="","",INDEX('Per Line'!$H$2:$H$4001,$AB975)&amp;"")</f>
        <v/>
      </c>
      <c r="I975">
        <f>IF($AB975="","",INDEX('Per Line'!$I$2:$I$4001,$AB975)&amp;"")</f>
        <v/>
      </c>
      <c r="J975">
        <f>IF($AB975="","",INDEX('Per Line'!$J$2:$J$4001,$AB975)&amp;"")</f>
        <v/>
      </c>
      <c r="K975">
        <f>IF($AB975="","",INDEX('Per Line'!$K$2:$K$4001,$AB975)&amp;"")</f>
        <v/>
      </c>
      <c r="L975">
        <f>IF($AB975="","",INDEX('Per Line'!$L$2:$L$4001,$AB975))</f>
        <v/>
      </c>
      <c r="M975" s="7">
        <f>IF($AB975="","",IF(AND(ISNUMBER(O975),O975&gt;0,Z975&gt;O975),L975*O975/100+(Z975-O975),L975*Z975/100))</f>
        <v/>
      </c>
      <c r="N975">
        <f>IF($AB975="","",INDEX('Per Line'!$V$2:$V$4001,$AB975)&amp;"")</f>
        <v/>
      </c>
      <c r="O975">
        <f>IF($AB975="","",INDEX('Per Line'!$Z$2:$Z$4001,$AB975))</f>
        <v/>
      </c>
      <c r="P975">
        <f>IF($AB975="","",IF(AND(ISNUMBER(O975),O975&gt;0),Z975&gt;O975,FALSE))</f>
        <v/>
      </c>
      <c r="Q975" s="7">
        <f>IF($AB975="","",SUMIFS('Per Line'!$U$2:$U$4001,'Per Line'!$C$2:$C$4001,$B975,'Per Line'!$AM$2:$AM$4001,1))</f>
        <v/>
      </c>
      <c r="R975">
        <f>IF($AB975="","",Settings!$C$7)</f>
        <v/>
      </c>
      <c r="S975" s="7">
        <f>IF($AB975="","",SUMIFS('Per Line'!$U$2:$U$4001,'Per Line'!$C$2:$C$4001,$B975,'Per Line'!$AL$2:$AL$4001,0,'Per Line'!$AM$2:$AM$4001,0))</f>
        <v/>
      </c>
      <c r="T975" s="7">
        <f>IF($AB975="","",S975*R975)</f>
        <v/>
      </c>
      <c r="U975">
        <f>IF($AB975="","",Settings!$C$6)</f>
        <v/>
      </c>
      <c r="V975" s="7">
        <f>IF($AB975="","",SUMIFS('Per Line'!$U$2:$U$4001,'Per Line'!$C$2:$C$4001,$B975,'Per Line'!$AL$2:$AL$4001,1,'Per Line'!$AM$2:$AM$4001,0))</f>
        <v/>
      </c>
      <c r="W975" s="7">
        <f>IF($AB975="","",V975*U975)</f>
        <v/>
      </c>
      <c r="X975" s="7">
        <f>IF($AB975="","",W975+T975)</f>
        <v/>
      </c>
      <c r="Y975" s="7">
        <f>IF($AB975="","",Z975-X975)</f>
        <v/>
      </c>
      <c r="Z975" s="7">
        <f>IF($AB975="","",S975+V975+Q975)</f>
        <v/>
      </c>
      <c r="AA975" s="7">
        <f>IF($AB975="","",Z975-X975-M975)</f>
        <v/>
      </c>
      <c r="AB975" s="13">
        <f>IF(ROWS($AB$2:$AB975)&lt;=MAX('Per Line'!$AK$2:$AK$4001),MATCH(ROWS($AB$2:$AB975),'Per Line'!$AK$2:$AK$4001,0),"")</f>
        <v/>
      </c>
      <c r="AC975" s="14">
        <f>IF($AB975="","",M975-L975*Z975/100)</f>
        <v/>
      </c>
    </row>
    <row r="976">
      <c r="A976" s="12" t="n"/>
      <c r="B976">
        <f>IF($AB976="","",INDEX('Per Line'!$C$2:$C$4001,$AB976)&amp;"")</f>
        <v/>
      </c>
      <c r="C976">
        <f>IF($AB976="","",INDEX('Per Line'!$D$2:$D$4001,$AB976)&amp;"")</f>
        <v/>
      </c>
      <c r="D976">
        <f>IF($AB976="","",INDEX('Per Line'!$B$2:$B$4001,$AB976)&amp;"")</f>
        <v/>
      </c>
      <c r="E976">
        <f>IF($AB976="","",INDEX('Per Line'!$A$2:$A$4001,$AB976))</f>
        <v/>
      </c>
      <c r="F976" s="11">
        <f>IF($AB976="","",INDEX('Per Line'!$E$2:$E$4001,$AB976))</f>
        <v/>
      </c>
      <c r="G976">
        <f>IF($AB976="","",INDEX('Per Line'!$F$2:$F$4001,$AB976)&amp;"")</f>
        <v/>
      </c>
      <c r="H976">
        <f>IF($AB976="","",INDEX('Per Line'!$H$2:$H$4001,$AB976)&amp;"")</f>
        <v/>
      </c>
      <c r="I976">
        <f>IF($AB976="","",INDEX('Per Line'!$I$2:$I$4001,$AB976)&amp;"")</f>
        <v/>
      </c>
      <c r="J976">
        <f>IF($AB976="","",INDEX('Per Line'!$J$2:$J$4001,$AB976)&amp;"")</f>
        <v/>
      </c>
      <c r="K976">
        <f>IF($AB976="","",INDEX('Per Line'!$K$2:$K$4001,$AB976)&amp;"")</f>
        <v/>
      </c>
      <c r="L976">
        <f>IF($AB976="","",INDEX('Per Line'!$L$2:$L$4001,$AB976))</f>
        <v/>
      </c>
      <c r="M976" s="7">
        <f>IF($AB976="","",IF(AND(ISNUMBER(O976),O976&gt;0,Z976&gt;O976),L976*O976/100+(Z976-O976),L976*Z976/100))</f>
        <v/>
      </c>
      <c r="N976">
        <f>IF($AB976="","",INDEX('Per Line'!$V$2:$V$4001,$AB976)&amp;"")</f>
        <v/>
      </c>
      <c r="O976">
        <f>IF($AB976="","",INDEX('Per Line'!$Z$2:$Z$4001,$AB976))</f>
        <v/>
      </c>
      <c r="P976">
        <f>IF($AB976="","",IF(AND(ISNUMBER(O976),O976&gt;0),Z976&gt;O976,FALSE))</f>
        <v/>
      </c>
      <c r="Q976" s="7">
        <f>IF($AB976="","",SUMIFS('Per Line'!$U$2:$U$4001,'Per Line'!$C$2:$C$4001,$B976,'Per Line'!$AM$2:$AM$4001,1))</f>
        <v/>
      </c>
      <c r="R976">
        <f>IF($AB976="","",Settings!$C$7)</f>
        <v/>
      </c>
      <c r="S976" s="7">
        <f>IF($AB976="","",SUMIFS('Per Line'!$U$2:$U$4001,'Per Line'!$C$2:$C$4001,$B976,'Per Line'!$AL$2:$AL$4001,0,'Per Line'!$AM$2:$AM$4001,0))</f>
        <v/>
      </c>
      <c r="T976" s="7">
        <f>IF($AB976="","",S976*R976)</f>
        <v/>
      </c>
      <c r="U976">
        <f>IF($AB976="","",Settings!$C$6)</f>
        <v/>
      </c>
      <c r="V976" s="7">
        <f>IF($AB976="","",SUMIFS('Per Line'!$U$2:$U$4001,'Per Line'!$C$2:$C$4001,$B976,'Per Line'!$AL$2:$AL$4001,1,'Per Line'!$AM$2:$AM$4001,0))</f>
        <v/>
      </c>
      <c r="W976" s="7">
        <f>IF($AB976="","",V976*U976)</f>
        <v/>
      </c>
      <c r="X976" s="7">
        <f>IF($AB976="","",W976+T976)</f>
        <v/>
      </c>
      <c r="Y976" s="7">
        <f>IF($AB976="","",Z976-X976)</f>
        <v/>
      </c>
      <c r="Z976" s="7">
        <f>IF($AB976="","",S976+V976+Q976)</f>
        <v/>
      </c>
      <c r="AA976" s="7">
        <f>IF($AB976="","",Z976-X976-M976)</f>
        <v/>
      </c>
      <c r="AB976" s="13">
        <f>IF(ROWS($AB$2:$AB976)&lt;=MAX('Per Line'!$AK$2:$AK$4001),MATCH(ROWS($AB$2:$AB976),'Per Line'!$AK$2:$AK$4001,0),"")</f>
        <v/>
      </c>
      <c r="AC976" s="14">
        <f>IF($AB976="","",M976-L976*Z976/100)</f>
        <v/>
      </c>
    </row>
    <row r="977">
      <c r="A977" s="12" t="n"/>
      <c r="B977">
        <f>IF($AB977="","",INDEX('Per Line'!$C$2:$C$4001,$AB977)&amp;"")</f>
        <v/>
      </c>
      <c r="C977">
        <f>IF($AB977="","",INDEX('Per Line'!$D$2:$D$4001,$AB977)&amp;"")</f>
        <v/>
      </c>
      <c r="D977">
        <f>IF($AB977="","",INDEX('Per Line'!$B$2:$B$4001,$AB977)&amp;"")</f>
        <v/>
      </c>
      <c r="E977">
        <f>IF($AB977="","",INDEX('Per Line'!$A$2:$A$4001,$AB977))</f>
        <v/>
      </c>
      <c r="F977" s="11">
        <f>IF($AB977="","",INDEX('Per Line'!$E$2:$E$4001,$AB977))</f>
        <v/>
      </c>
      <c r="G977">
        <f>IF($AB977="","",INDEX('Per Line'!$F$2:$F$4001,$AB977)&amp;"")</f>
        <v/>
      </c>
      <c r="H977">
        <f>IF($AB977="","",INDEX('Per Line'!$H$2:$H$4001,$AB977)&amp;"")</f>
        <v/>
      </c>
      <c r="I977">
        <f>IF($AB977="","",INDEX('Per Line'!$I$2:$I$4001,$AB977)&amp;"")</f>
        <v/>
      </c>
      <c r="J977">
        <f>IF($AB977="","",INDEX('Per Line'!$J$2:$J$4001,$AB977)&amp;"")</f>
        <v/>
      </c>
      <c r="K977">
        <f>IF($AB977="","",INDEX('Per Line'!$K$2:$K$4001,$AB977)&amp;"")</f>
        <v/>
      </c>
      <c r="L977">
        <f>IF($AB977="","",INDEX('Per Line'!$L$2:$L$4001,$AB977))</f>
        <v/>
      </c>
      <c r="M977" s="7">
        <f>IF($AB977="","",IF(AND(ISNUMBER(O977),O977&gt;0,Z977&gt;O977),L977*O977/100+(Z977-O977),L977*Z977/100))</f>
        <v/>
      </c>
      <c r="N977">
        <f>IF($AB977="","",INDEX('Per Line'!$V$2:$V$4001,$AB977)&amp;"")</f>
        <v/>
      </c>
      <c r="O977">
        <f>IF($AB977="","",INDEX('Per Line'!$Z$2:$Z$4001,$AB977))</f>
        <v/>
      </c>
      <c r="P977">
        <f>IF($AB977="","",IF(AND(ISNUMBER(O977),O977&gt;0),Z977&gt;O977,FALSE))</f>
        <v/>
      </c>
      <c r="Q977" s="7">
        <f>IF($AB977="","",SUMIFS('Per Line'!$U$2:$U$4001,'Per Line'!$C$2:$C$4001,$B977,'Per Line'!$AM$2:$AM$4001,1))</f>
        <v/>
      </c>
      <c r="R977">
        <f>IF($AB977="","",Settings!$C$7)</f>
        <v/>
      </c>
      <c r="S977" s="7">
        <f>IF($AB977="","",SUMIFS('Per Line'!$U$2:$U$4001,'Per Line'!$C$2:$C$4001,$B977,'Per Line'!$AL$2:$AL$4001,0,'Per Line'!$AM$2:$AM$4001,0))</f>
        <v/>
      </c>
      <c r="T977" s="7">
        <f>IF($AB977="","",S977*R977)</f>
        <v/>
      </c>
      <c r="U977">
        <f>IF($AB977="","",Settings!$C$6)</f>
        <v/>
      </c>
      <c r="V977" s="7">
        <f>IF($AB977="","",SUMIFS('Per Line'!$U$2:$U$4001,'Per Line'!$C$2:$C$4001,$B977,'Per Line'!$AL$2:$AL$4001,1,'Per Line'!$AM$2:$AM$4001,0))</f>
        <v/>
      </c>
      <c r="W977" s="7">
        <f>IF($AB977="","",V977*U977)</f>
        <v/>
      </c>
      <c r="X977" s="7">
        <f>IF($AB977="","",W977+T977)</f>
        <v/>
      </c>
      <c r="Y977" s="7">
        <f>IF($AB977="","",Z977-X977)</f>
        <v/>
      </c>
      <c r="Z977" s="7">
        <f>IF($AB977="","",S977+V977+Q977)</f>
        <v/>
      </c>
      <c r="AA977" s="7">
        <f>IF($AB977="","",Z977-X977-M977)</f>
        <v/>
      </c>
      <c r="AB977" s="13">
        <f>IF(ROWS($AB$2:$AB977)&lt;=MAX('Per Line'!$AK$2:$AK$4001),MATCH(ROWS($AB$2:$AB977),'Per Line'!$AK$2:$AK$4001,0),"")</f>
        <v/>
      </c>
      <c r="AC977" s="14">
        <f>IF($AB977="","",M977-L977*Z977/100)</f>
        <v/>
      </c>
    </row>
    <row r="978">
      <c r="A978" s="12" t="n"/>
      <c r="B978">
        <f>IF($AB978="","",INDEX('Per Line'!$C$2:$C$4001,$AB978)&amp;"")</f>
        <v/>
      </c>
      <c r="C978">
        <f>IF($AB978="","",INDEX('Per Line'!$D$2:$D$4001,$AB978)&amp;"")</f>
        <v/>
      </c>
      <c r="D978">
        <f>IF($AB978="","",INDEX('Per Line'!$B$2:$B$4001,$AB978)&amp;"")</f>
        <v/>
      </c>
      <c r="E978">
        <f>IF($AB978="","",INDEX('Per Line'!$A$2:$A$4001,$AB978))</f>
        <v/>
      </c>
      <c r="F978" s="11">
        <f>IF($AB978="","",INDEX('Per Line'!$E$2:$E$4001,$AB978))</f>
        <v/>
      </c>
      <c r="G978">
        <f>IF($AB978="","",INDEX('Per Line'!$F$2:$F$4001,$AB978)&amp;"")</f>
        <v/>
      </c>
      <c r="H978">
        <f>IF($AB978="","",INDEX('Per Line'!$H$2:$H$4001,$AB978)&amp;"")</f>
        <v/>
      </c>
      <c r="I978">
        <f>IF($AB978="","",INDEX('Per Line'!$I$2:$I$4001,$AB978)&amp;"")</f>
        <v/>
      </c>
      <c r="J978">
        <f>IF($AB978="","",INDEX('Per Line'!$J$2:$J$4001,$AB978)&amp;"")</f>
        <v/>
      </c>
      <c r="K978">
        <f>IF($AB978="","",INDEX('Per Line'!$K$2:$K$4001,$AB978)&amp;"")</f>
        <v/>
      </c>
      <c r="L978">
        <f>IF($AB978="","",INDEX('Per Line'!$L$2:$L$4001,$AB978))</f>
        <v/>
      </c>
      <c r="M978" s="7">
        <f>IF($AB978="","",IF(AND(ISNUMBER(O978),O978&gt;0,Z978&gt;O978),L978*O978/100+(Z978-O978),L978*Z978/100))</f>
        <v/>
      </c>
      <c r="N978">
        <f>IF($AB978="","",INDEX('Per Line'!$V$2:$V$4001,$AB978)&amp;"")</f>
        <v/>
      </c>
      <c r="O978">
        <f>IF($AB978="","",INDEX('Per Line'!$Z$2:$Z$4001,$AB978))</f>
        <v/>
      </c>
      <c r="P978">
        <f>IF($AB978="","",IF(AND(ISNUMBER(O978),O978&gt;0),Z978&gt;O978,FALSE))</f>
        <v/>
      </c>
      <c r="Q978" s="7">
        <f>IF($AB978="","",SUMIFS('Per Line'!$U$2:$U$4001,'Per Line'!$C$2:$C$4001,$B978,'Per Line'!$AM$2:$AM$4001,1))</f>
        <v/>
      </c>
      <c r="R978">
        <f>IF($AB978="","",Settings!$C$7)</f>
        <v/>
      </c>
      <c r="S978" s="7">
        <f>IF($AB978="","",SUMIFS('Per Line'!$U$2:$U$4001,'Per Line'!$C$2:$C$4001,$B978,'Per Line'!$AL$2:$AL$4001,0,'Per Line'!$AM$2:$AM$4001,0))</f>
        <v/>
      </c>
      <c r="T978" s="7">
        <f>IF($AB978="","",S978*R978)</f>
        <v/>
      </c>
      <c r="U978">
        <f>IF($AB978="","",Settings!$C$6)</f>
        <v/>
      </c>
      <c r="V978" s="7">
        <f>IF($AB978="","",SUMIFS('Per Line'!$U$2:$U$4001,'Per Line'!$C$2:$C$4001,$B978,'Per Line'!$AL$2:$AL$4001,1,'Per Line'!$AM$2:$AM$4001,0))</f>
        <v/>
      </c>
      <c r="W978" s="7">
        <f>IF($AB978="","",V978*U978)</f>
        <v/>
      </c>
      <c r="X978" s="7">
        <f>IF($AB978="","",W978+T978)</f>
        <v/>
      </c>
      <c r="Y978" s="7">
        <f>IF($AB978="","",Z978-X978)</f>
        <v/>
      </c>
      <c r="Z978" s="7">
        <f>IF($AB978="","",S978+V978+Q978)</f>
        <v/>
      </c>
      <c r="AA978" s="7">
        <f>IF($AB978="","",Z978-X978-M978)</f>
        <v/>
      </c>
      <c r="AB978" s="13">
        <f>IF(ROWS($AB$2:$AB978)&lt;=MAX('Per Line'!$AK$2:$AK$4001),MATCH(ROWS($AB$2:$AB978),'Per Line'!$AK$2:$AK$4001,0),"")</f>
        <v/>
      </c>
      <c r="AC978" s="14">
        <f>IF($AB978="","",M978-L978*Z978/100)</f>
        <v/>
      </c>
    </row>
    <row r="979">
      <c r="A979" s="12" t="n"/>
      <c r="B979">
        <f>IF($AB979="","",INDEX('Per Line'!$C$2:$C$4001,$AB979)&amp;"")</f>
        <v/>
      </c>
      <c r="C979">
        <f>IF($AB979="","",INDEX('Per Line'!$D$2:$D$4001,$AB979)&amp;"")</f>
        <v/>
      </c>
      <c r="D979">
        <f>IF($AB979="","",INDEX('Per Line'!$B$2:$B$4001,$AB979)&amp;"")</f>
        <v/>
      </c>
      <c r="E979">
        <f>IF($AB979="","",INDEX('Per Line'!$A$2:$A$4001,$AB979))</f>
        <v/>
      </c>
      <c r="F979" s="11">
        <f>IF($AB979="","",INDEX('Per Line'!$E$2:$E$4001,$AB979))</f>
        <v/>
      </c>
      <c r="G979">
        <f>IF($AB979="","",INDEX('Per Line'!$F$2:$F$4001,$AB979)&amp;"")</f>
        <v/>
      </c>
      <c r="H979">
        <f>IF($AB979="","",INDEX('Per Line'!$H$2:$H$4001,$AB979)&amp;"")</f>
        <v/>
      </c>
      <c r="I979">
        <f>IF($AB979="","",INDEX('Per Line'!$I$2:$I$4001,$AB979)&amp;"")</f>
        <v/>
      </c>
      <c r="J979">
        <f>IF($AB979="","",INDEX('Per Line'!$J$2:$J$4001,$AB979)&amp;"")</f>
        <v/>
      </c>
      <c r="K979">
        <f>IF($AB979="","",INDEX('Per Line'!$K$2:$K$4001,$AB979)&amp;"")</f>
        <v/>
      </c>
      <c r="L979">
        <f>IF($AB979="","",INDEX('Per Line'!$L$2:$L$4001,$AB979))</f>
        <v/>
      </c>
      <c r="M979" s="7">
        <f>IF($AB979="","",IF(AND(ISNUMBER(O979),O979&gt;0,Z979&gt;O979),L979*O979/100+(Z979-O979),L979*Z979/100))</f>
        <v/>
      </c>
      <c r="N979">
        <f>IF($AB979="","",INDEX('Per Line'!$V$2:$V$4001,$AB979)&amp;"")</f>
        <v/>
      </c>
      <c r="O979">
        <f>IF($AB979="","",INDEX('Per Line'!$Z$2:$Z$4001,$AB979))</f>
        <v/>
      </c>
      <c r="P979">
        <f>IF($AB979="","",IF(AND(ISNUMBER(O979),O979&gt;0),Z979&gt;O979,FALSE))</f>
        <v/>
      </c>
      <c r="Q979" s="7">
        <f>IF($AB979="","",SUMIFS('Per Line'!$U$2:$U$4001,'Per Line'!$C$2:$C$4001,$B979,'Per Line'!$AM$2:$AM$4001,1))</f>
        <v/>
      </c>
      <c r="R979">
        <f>IF($AB979="","",Settings!$C$7)</f>
        <v/>
      </c>
      <c r="S979" s="7">
        <f>IF($AB979="","",SUMIFS('Per Line'!$U$2:$U$4001,'Per Line'!$C$2:$C$4001,$B979,'Per Line'!$AL$2:$AL$4001,0,'Per Line'!$AM$2:$AM$4001,0))</f>
        <v/>
      </c>
      <c r="T979" s="7">
        <f>IF($AB979="","",S979*R979)</f>
        <v/>
      </c>
      <c r="U979">
        <f>IF($AB979="","",Settings!$C$6)</f>
        <v/>
      </c>
      <c r="V979" s="7">
        <f>IF($AB979="","",SUMIFS('Per Line'!$U$2:$U$4001,'Per Line'!$C$2:$C$4001,$B979,'Per Line'!$AL$2:$AL$4001,1,'Per Line'!$AM$2:$AM$4001,0))</f>
        <v/>
      </c>
      <c r="W979" s="7">
        <f>IF($AB979="","",V979*U979)</f>
        <v/>
      </c>
      <c r="X979" s="7">
        <f>IF($AB979="","",W979+T979)</f>
        <v/>
      </c>
      <c r="Y979" s="7">
        <f>IF($AB979="","",Z979-X979)</f>
        <v/>
      </c>
      <c r="Z979" s="7">
        <f>IF($AB979="","",S979+V979+Q979)</f>
        <v/>
      </c>
      <c r="AA979" s="7">
        <f>IF($AB979="","",Z979-X979-M979)</f>
        <v/>
      </c>
      <c r="AB979" s="13">
        <f>IF(ROWS($AB$2:$AB979)&lt;=MAX('Per Line'!$AK$2:$AK$4001),MATCH(ROWS($AB$2:$AB979),'Per Line'!$AK$2:$AK$4001,0),"")</f>
        <v/>
      </c>
      <c r="AC979" s="14">
        <f>IF($AB979="","",M979-L979*Z979/100)</f>
        <v/>
      </c>
    </row>
    <row r="980">
      <c r="A980" s="12" t="n"/>
      <c r="B980">
        <f>IF($AB980="","",INDEX('Per Line'!$C$2:$C$4001,$AB980)&amp;"")</f>
        <v/>
      </c>
      <c r="C980">
        <f>IF($AB980="","",INDEX('Per Line'!$D$2:$D$4001,$AB980)&amp;"")</f>
        <v/>
      </c>
      <c r="D980">
        <f>IF($AB980="","",INDEX('Per Line'!$B$2:$B$4001,$AB980)&amp;"")</f>
        <v/>
      </c>
      <c r="E980">
        <f>IF($AB980="","",INDEX('Per Line'!$A$2:$A$4001,$AB980))</f>
        <v/>
      </c>
      <c r="F980" s="11">
        <f>IF($AB980="","",INDEX('Per Line'!$E$2:$E$4001,$AB980))</f>
        <v/>
      </c>
      <c r="G980">
        <f>IF($AB980="","",INDEX('Per Line'!$F$2:$F$4001,$AB980)&amp;"")</f>
        <v/>
      </c>
      <c r="H980">
        <f>IF($AB980="","",INDEX('Per Line'!$H$2:$H$4001,$AB980)&amp;"")</f>
        <v/>
      </c>
      <c r="I980">
        <f>IF($AB980="","",INDEX('Per Line'!$I$2:$I$4001,$AB980)&amp;"")</f>
        <v/>
      </c>
      <c r="J980">
        <f>IF($AB980="","",INDEX('Per Line'!$J$2:$J$4001,$AB980)&amp;"")</f>
        <v/>
      </c>
      <c r="K980">
        <f>IF($AB980="","",INDEX('Per Line'!$K$2:$K$4001,$AB980)&amp;"")</f>
        <v/>
      </c>
      <c r="L980">
        <f>IF($AB980="","",INDEX('Per Line'!$L$2:$L$4001,$AB980))</f>
        <v/>
      </c>
      <c r="M980" s="7">
        <f>IF($AB980="","",IF(AND(ISNUMBER(O980),O980&gt;0,Z980&gt;O980),L980*O980/100+(Z980-O980),L980*Z980/100))</f>
        <v/>
      </c>
      <c r="N980">
        <f>IF($AB980="","",INDEX('Per Line'!$V$2:$V$4001,$AB980)&amp;"")</f>
        <v/>
      </c>
      <c r="O980">
        <f>IF($AB980="","",INDEX('Per Line'!$Z$2:$Z$4001,$AB980))</f>
        <v/>
      </c>
      <c r="P980">
        <f>IF($AB980="","",IF(AND(ISNUMBER(O980),O980&gt;0),Z980&gt;O980,FALSE))</f>
        <v/>
      </c>
      <c r="Q980" s="7">
        <f>IF($AB980="","",SUMIFS('Per Line'!$U$2:$U$4001,'Per Line'!$C$2:$C$4001,$B980,'Per Line'!$AM$2:$AM$4001,1))</f>
        <v/>
      </c>
      <c r="R980">
        <f>IF($AB980="","",Settings!$C$7)</f>
        <v/>
      </c>
      <c r="S980" s="7">
        <f>IF($AB980="","",SUMIFS('Per Line'!$U$2:$U$4001,'Per Line'!$C$2:$C$4001,$B980,'Per Line'!$AL$2:$AL$4001,0,'Per Line'!$AM$2:$AM$4001,0))</f>
        <v/>
      </c>
      <c r="T980" s="7">
        <f>IF($AB980="","",S980*R980)</f>
        <v/>
      </c>
      <c r="U980">
        <f>IF($AB980="","",Settings!$C$6)</f>
        <v/>
      </c>
      <c r="V980" s="7">
        <f>IF($AB980="","",SUMIFS('Per Line'!$U$2:$U$4001,'Per Line'!$C$2:$C$4001,$B980,'Per Line'!$AL$2:$AL$4001,1,'Per Line'!$AM$2:$AM$4001,0))</f>
        <v/>
      </c>
      <c r="W980" s="7">
        <f>IF($AB980="","",V980*U980)</f>
        <v/>
      </c>
      <c r="X980" s="7">
        <f>IF($AB980="","",W980+T980)</f>
        <v/>
      </c>
      <c r="Y980" s="7">
        <f>IF($AB980="","",Z980-X980)</f>
        <v/>
      </c>
      <c r="Z980" s="7">
        <f>IF($AB980="","",S980+V980+Q980)</f>
        <v/>
      </c>
      <c r="AA980" s="7">
        <f>IF($AB980="","",Z980-X980-M980)</f>
        <v/>
      </c>
      <c r="AB980" s="13">
        <f>IF(ROWS($AB$2:$AB980)&lt;=MAX('Per Line'!$AK$2:$AK$4001),MATCH(ROWS($AB$2:$AB980),'Per Line'!$AK$2:$AK$4001,0),"")</f>
        <v/>
      </c>
      <c r="AC980" s="14">
        <f>IF($AB980="","",M980-L980*Z980/100)</f>
        <v/>
      </c>
    </row>
    <row r="981">
      <c r="A981" s="12" t="n"/>
      <c r="B981">
        <f>IF($AB981="","",INDEX('Per Line'!$C$2:$C$4001,$AB981)&amp;"")</f>
        <v/>
      </c>
      <c r="C981">
        <f>IF($AB981="","",INDEX('Per Line'!$D$2:$D$4001,$AB981)&amp;"")</f>
        <v/>
      </c>
      <c r="D981">
        <f>IF($AB981="","",INDEX('Per Line'!$B$2:$B$4001,$AB981)&amp;"")</f>
        <v/>
      </c>
      <c r="E981">
        <f>IF($AB981="","",INDEX('Per Line'!$A$2:$A$4001,$AB981))</f>
        <v/>
      </c>
      <c r="F981" s="11">
        <f>IF($AB981="","",INDEX('Per Line'!$E$2:$E$4001,$AB981))</f>
        <v/>
      </c>
      <c r="G981">
        <f>IF($AB981="","",INDEX('Per Line'!$F$2:$F$4001,$AB981)&amp;"")</f>
        <v/>
      </c>
      <c r="H981">
        <f>IF($AB981="","",INDEX('Per Line'!$H$2:$H$4001,$AB981)&amp;"")</f>
        <v/>
      </c>
      <c r="I981">
        <f>IF($AB981="","",INDEX('Per Line'!$I$2:$I$4001,$AB981)&amp;"")</f>
        <v/>
      </c>
      <c r="J981">
        <f>IF($AB981="","",INDEX('Per Line'!$J$2:$J$4001,$AB981)&amp;"")</f>
        <v/>
      </c>
      <c r="K981">
        <f>IF($AB981="","",INDEX('Per Line'!$K$2:$K$4001,$AB981)&amp;"")</f>
        <v/>
      </c>
      <c r="L981">
        <f>IF($AB981="","",INDEX('Per Line'!$L$2:$L$4001,$AB981))</f>
        <v/>
      </c>
      <c r="M981" s="7">
        <f>IF($AB981="","",IF(AND(ISNUMBER(O981),O981&gt;0,Z981&gt;O981),L981*O981/100+(Z981-O981),L981*Z981/100))</f>
        <v/>
      </c>
      <c r="N981">
        <f>IF($AB981="","",INDEX('Per Line'!$V$2:$V$4001,$AB981)&amp;"")</f>
        <v/>
      </c>
      <c r="O981">
        <f>IF($AB981="","",INDEX('Per Line'!$Z$2:$Z$4001,$AB981))</f>
        <v/>
      </c>
      <c r="P981">
        <f>IF($AB981="","",IF(AND(ISNUMBER(O981),O981&gt;0),Z981&gt;O981,FALSE))</f>
        <v/>
      </c>
      <c r="Q981" s="7">
        <f>IF($AB981="","",SUMIFS('Per Line'!$U$2:$U$4001,'Per Line'!$C$2:$C$4001,$B981,'Per Line'!$AM$2:$AM$4001,1))</f>
        <v/>
      </c>
      <c r="R981">
        <f>IF($AB981="","",Settings!$C$7)</f>
        <v/>
      </c>
      <c r="S981" s="7">
        <f>IF($AB981="","",SUMIFS('Per Line'!$U$2:$U$4001,'Per Line'!$C$2:$C$4001,$B981,'Per Line'!$AL$2:$AL$4001,0,'Per Line'!$AM$2:$AM$4001,0))</f>
        <v/>
      </c>
      <c r="T981" s="7">
        <f>IF($AB981="","",S981*R981)</f>
        <v/>
      </c>
      <c r="U981">
        <f>IF($AB981="","",Settings!$C$6)</f>
        <v/>
      </c>
      <c r="V981" s="7">
        <f>IF($AB981="","",SUMIFS('Per Line'!$U$2:$U$4001,'Per Line'!$C$2:$C$4001,$B981,'Per Line'!$AL$2:$AL$4001,1,'Per Line'!$AM$2:$AM$4001,0))</f>
        <v/>
      </c>
      <c r="W981" s="7">
        <f>IF($AB981="","",V981*U981)</f>
        <v/>
      </c>
      <c r="X981" s="7">
        <f>IF($AB981="","",W981+T981)</f>
        <v/>
      </c>
      <c r="Y981" s="7">
        <f>IF($AB981="","",Z981-X981)</f>
        <v/>
      </c>
      <c r="Z981" s="7">
        <f>IF($AB981="","",S981+V981+Q981)</f>
        <v/>
      </c>
      <c r="AA981" s="7">
        <f>IF($AB981="","",Z981-X981-M981)</f>
        <v/>
      </c>
      <c r="AB981" s="13">
        <f>IF(ROWS($AB$2:$AB981)&lt;=MAX('Per Line'!$AK$2:$AK$4001),MATCH(ROWS($AB$2:$AB981),'Per Line'!$AK$2:$AK$4001,0),"")</f>
        <v/>
      </c>
      <c r="AC981" s="14">
        <f>IF($AB981="","",M981-L981*Z981/100)</f>
        <v/>
      </c>
    </row>
    <row r="982">
      <c r="A982" s="12" t="n"/>
      <c r="B982">
        <f>IF($AB982="","",INDEX('Per Line'!$C$2:$C$4001,$AB982)&amp;"")</f>
        <v/>
      </c>
      <c r="C982">
        <f>IF($AB982="","",INDEX('Per Line'!$D$2:$D$4001,$AB982)&amp;"")</f>
        <v/>
      </c>
      <c r="D982">
        <f>IF($AB982="","",INDEX('Per Line'!$B$2:$B$4001,$AB982)&amp;"")</f>
        <v/>
      </c>
      <c r="E982">
        <f>IF($AB982="","",INDEX('Per Line'!$A$2:$A$4001,$AB982))</f>
        <v/>
      </c>
      <c r="F982" s="11">
        <f>IF($AB982="","",INDEX('Per Line'!$E$2:$E$4001,$AB982))</f>
        <v/>
      </c>
      <c r="G982">
        <f>IF($AB982="","",INDEX('Per Line'!$F$2:$F$4001,$AB982)&amp;"")</f>
        <v/>
      </c>
      <c r="H982">
        <f>IF($AB982="","",INDEX('Per Line'!$H$2:$H$4001,$AB982)&amp;"")</f>
        <v/>
      </c>
      <c r="I982">
        <f>IF($AB982="","",INDEX('Per Line'!$I$2:$I$4001,$AB982)&amp;"")</f>
        <v/>
      </c>
      <c r="J982">
        <f>IF($AB982="","",INDEX('Per Line'!$J$2:$J$4001,$AB982)&amp;"")</f>
        <v/>
      </c>
      <c r="K982">
        <f>IF($AB982="","",INDEX('Per Line'!$K$2:$K$4001,$AB982)&amp;"")</f>
        <v/>
      </c>
      <c r="L982">
        <f>IF($AB982="","",INDEX('Per Line'!$L$2:$L$4001,$AB982))</f>
        <v/>
      </c>
      <c r="M982" s="7">
        <f>IF($AB982="","",IF(AND(ISNUMBER(O982),O982&gt;0,Z982&gt;O982),L982*O982/100+(Z982-O982),L982*Z982/100))</f>
        <v/>
      </c>
      <c r="N982">
        <f>IF($AB982="","",INDEX('Per Line'!$V$2:$V$4001,$AB982)&amp;"")</f>
        <v/>
      </c>
      <c r="O982">
        <f>IF($AB982="","",INDEX('Per Line'!$Z$2:$Z$4001,$AB982))</f>
        <v/>
      </c>
      <c r="P982">
        <f>IF($AB982="","",IF(AND(ISNUMBER(O982),O982&gt;0),Z982&gt;O982,FALSE))</f>
        <v/>
      </c>
      <c r="Q982" s="7">
        <f>IF($AB982="","",SUMIFS('Per Line'!$U$2:$U$4001,'Per Line'!$C$2:$C$4001,$B982,'Per Line'!$AM$2:$AM$4001,1))</f>
        <v/>
      </c>
      <c r="R982">
        <f>IF($AB982="","",Settings!$C$7)</f>
        <v/>
      </c>
      <c r="S982" s="7">
        <f>IF($AB982="","",SUMIFS('Per Line'!$U$2:$U$4001,'Per Line'!$C$2:$C$4001,$B982,'Per Line'!$AL$2:$AL$4001,0,'Per Line'!$AM$2:$AM$4001,0))</f>
        <v/>
      </c>
      <c r="T982" s="7">
        <f>IF($AB982="","",S982*R982)</f>
        <v/>
      </c>
      <c r="U982">
        <f>IF($AB982="","",Settings!$C$6)</f>
        <v/>
      </c>
      <c r="V982" s="7">
        <f>IF($AB982="","",SUMIFS('Per Line'!$U$2:$U$4001,'Per Line'!$C$2:$C$4001,$B982,'Per Line'!$AL$2:$AL$4001,1,'Per Line'!$AM$2:$AM$4001,0))</f>
        <v/>
      </c>
      <c r="W982" s="7">
        <f>IF($AB982="","",V982*U982)</f>
        <v/>
      </c>
      <c r="X982" s="7">
        <f>IF($AB982="","",W982+T982)</f>
        <v/>
      </c>
      <c r="Y982" s="7">
        <f>IF($AB982="","",Z982-X982)</f>
        <v/>
      </c>
      <c r="Z982" s="7">
        <f>IF($AB982="","",S982+V982+Q982)</f>
        <v/>
      </c>
      <c r="AA982" s="7">
        <f>IF($AB982="","",Z982-X982-M982)</f>
        <v/>
      </c>
      <c r="AB982" s="13">
        <f>IF(ROWS($AB$2:$AB982)&lt;=MAX('Per Line'!$AK$2:$AK$4001),MATCH(ROWS($AB$2:$AB982),'Per Line'!$AK$2:$AK$4001,0),"")</f>
        <v/>
      </c>
      <c r="AC982" s="14">
        <f>IF($AB982="","",M982-L982*Z982/100)</f>
        <v/>
      </c>
    </row>
    <row r="983">
      <c r="A983" s="12" t="n"/>
      <c r="B983">
        <f>IF($AB983="","",INDEX('Per Line'!$C$2:$C$4001,$AB983)&amp;"")</f>
        <v/>
      </c>
      <c r="C983">
        <f>IF($AB983="","",INDEX('Per Line'!$D$2:$D$4001,$AB983)&amp;"")</f>
        <v/>
      </c>
      <c r="D983">
        <f>IF($AB983="","",INDEX('Per Line'!$B$2:$B$4001,$AB983)&amp;"")</f>
        <v/>
      </c>
      <c r="E983">
        <f>IF($AB983="","",INDEX('Per Line'!$A$2:$A$4001,$AB983))</f>
        <v/>
      </c>
      <c r="F983" s="11">
        <f>IF($AB983="","",INDEX('Per Line'!$E$2:$E$4001,$AB983))</f>
        <v/>
      </c>
      <c r="G983">
        <f>IF($AB983="","",INDEX('Per Line'!$F$2:$F$4001,$AB983)&amp;"")</f>
        <v/>
      </c>
      <c r="H983">
        <f>IF($AB983="","",INDEX('Per Line'!$H$2:$H$4001,$AB983)&amp;"")</f>
        <v/>
      </c>
      <c r="I983">
        <f>IF($AB983="","",INDEX('Per Line'!$I$2:$I$4001,$AB983)&amp;"")</f>
        <v/>
      </c>
      <c r="J983">
        <f>IF($AB983="","",INDEX('Per Line'!$J$2:$J$4001,$AB983)&amp;"")</f>
        <v/>
      </c>
      <c r="K983">
        <f>IF($AB983="","",INDEX('Per Line'!$K$2:$K$4001,$AB983)&amp;"")</f>
        <v/>
      </c>
      <c r="L983">
        <f>IF($AB983="","",INDEX('Per Line'!$L$2:$L$4001,$AB983))</f>
        <v/>
      </c>
      <c r="M983" s="7">
        <f>IF($AB983="","",IF(AND(ISNUMBER(O983),O983&gt;0,Z983&gt;O983),L983*O983/100+(Z983-O983),L983*Z983/100))</f>
        <v/>
      </c>
      <c r="N983">
        <f>IF($AB983="","",INDEX('Per Line'!$V$2:$V$4001,$AB983)&amp;"")</f>
        <v/>
      </c>
      <c r="O983">
        <f>IF($AB983="","",INDEX('Per Line'!$Z$2:$Z$4001,$AB983))</f>
        <v/>
      </c>
      <c r="P983">
        <f>IF($AB983="","",IF(AND(ISNUMBER(O983),O983&gt;0),Z983&gt;O983,FALSE))</f>
        <v/>
      </c>
      <c r="Q983" s="7">
        <f>IF($AB983="","",SUMIFS('Per Line'!$U$2:$U$4001,'Per Line'!$C$2:$C$4001,$B983,'Per Line'!$AM$2:$AM$4001,1))</f>
        <v/>
      </c>
      <c r="R983">
        <f>IF($AB983="","",Settings!$C$7)</f>
        <v/>
      </c>
      <c r="S983" s="7">
        <f>IF($AB983="","",SUMIFS('Per Line'!$U$2:$U$4001,'Per Line'!$C$2:$C$4001,$B983,'Per Line'!$AL$2:$AL$4001,0,'Per Line'!$AM$2:$AM$4001,0))</f>
        <v/>
      </c>
      <c r="T983" s="7">
        <f>IF($AB983="","",S983*R983)</f>
        <v/>
      </c>
      <c r="U983">
        <f>IF($AB983="","",Settings!$C$6)</f>
        <v/>
      </c>
      <c r="V983" s="7">
        <f>IF($AB983="","",SUMIFS('Per Line'!$U$2:$U$4001,'Per Line'!$C$2:$C$4001,$B983,'Per Line'!$AL$2:$AL$4001,1,'Per Line'!$AM$2:$AM$4001,0))</f>
        <v/>
      </c>
      <c r="W983" s="7">
        <f>IF($AB983="","",V983*U983)</f>
        <v/>
      </c>
      <c r="X983" s="7">
        <f>IF($AB983="","",W983+T983)</f>
        <v/>
      </c>
      <c r="Y983" s="7">
        <f>IF($AB983="","",Z983-X983)</f>
        <v/>
      </c>
      <c r="Z983" s="7">
        <f>IF($AB983="","",S983+V983+Q983)</f>
        <v/>
      </c>
      <c r="AA983" s="7">
        <f>IF($AB983="","",Z983-X983-M983)</f>
        <v/>
      </c>
      <c r="AB983" s="13">
        <f>IF(ROWS($AB$2:$AB983)&lt;=MAX('Per Line'!$AK$2:$AK$4001),MATCH(ROWS($AB$2:$AB983),'Per Line'!$AK$2:$AK$4001,0),"")</f>
        <v/>
      </c>
      <c r="AC983" s="14">
        <f>IF($AB983="","",M983-L983*Z983/100)</f>
        <v/>
      </c>
    </row>
    <row r="984">
      <c r="A984" s="12" t="n"/>
      <c r="B984">
        <f>IF($AB984="","",INDEX('Per Line'!$C$2:$C$4001,$AB984)&amp;"")</f>
        <v/>
      </c>
      <c r="C984">
        <f>IF($AB984="","",INDEX('Per Line'!$D$2:$D$4001,$AB984)&amp;"")</f>
        <v/>
      </c>
      <c r="D984">
        <f>IF($AB984="","",INDEX('Per Line'!$B$2:$B$4001,$AB984)&amp;"")</f>
        <v/>
      </c>
      <c r="E984">
        <f>IF($AB984="","",INDEX('Per Line'!$A$2:$A$4001,$AB984))</f>
        <v/>
      </c>
      <c r="F984" s="11">
        <f>IF($AB984="","",INDEX('Per Line'!$E$2:$E$4001,$AB984))</f>
        <v/>
      </c>
      <c r="G984">
        <f>IF($AB984="","",INDEX('Per Line'!$F$2:$F$4001,$AB984)&amp;"")</f>
        <v/>
      </c>
      <c r="H984">
        <f>IF($AB984="","",INDEX('Per Line'!$H$2:$H$4001,$AB984)&amp;"")</f>
        <v/>
      </c>
      <c r="I984">
        <f>IF($AB984="","",INDEX('Per Line'!$I$2:$I$4001,$AB984)&amp;"")</f>
        <v/>
      </c>
      <c r="J984">
        <f>IF($AB984="","",INDEX('Per Line'!$J$2:$J$4001,$AB984)&amp;"")</f>
        <v/>
      </c>
      <c r="K984">
        <f>IF($AB984="","",INDEX('Per Line'!$K$2:$K$4001,$AB984)&amp;"")</f>
        <v/>
      </c>
      <c r="L984">
        <f>IF($AB984="","",INDEX('Per Line'!$L$2:$L$4001,$AB984))</f>
        <v/>
      </c>
      <c r="M984" s="7">
        <f>IF($AB984="","",IF(AND(ISNUMBER(O984),O984&gt;0,Z984&gt;O984),L984*O984/100+(Z984-O984),L984*Z984/100))</f>
        <v/>
      </c>
      <c r="N984">
        <f>IF($AB984="","",INDEX('Per Line'!$V$2:$V$4001,$AB984)&amp;"")</f>
        <v/>
      </c>
      <c r="O984">
        <f>IF($AB984="","",INDEX('Per Line'!$Z$2:$Z$4001,$AB984))</f>
        <v/>
      </c>
      <c r="P984">
        <f>IF($AB984="","",IF(AND(ISNUMBER(O984),O984&gt;0),Z984&gt;O984,FALSE))</f>
        <v/>
      </c>
      <c r="Q984" s="7">
        <f>IF($AB984="","",SUMIFS('Per Line'!$U$2:$U$4001,'Per Line'!$C$2:$C$4001,$B984,'Per Line'!$AM$2:$AM$4001,1))</f>
        <v/>
      </c>
      <c r="R984">
        <f>IF($AB984="","",Settings!$C$7)</f>
        <v/>
      </c>
      <c r="S984" s="7">
        <f>IF($AB984="","",SUMIFS('Per Line'!$U$2:$U$4001,'Per Line'!$C$2:$C$4001,$B984,'Per Line'!$AL$2:$AL$4001,0,'Per Line'!$AM$2:$AM$4001,0))</f>
        <v/>
      </c>
      <c r="T984" s="7">
        <f>IF($AB984="","",S984*R984)</f>
        <v/>
      </c>
      <c r="U984">
        <f>IF($AB984="","",Settings!$C$6)</f>
        <v/>
      </c>
      <c r="V984" s="7">
        <f>IF($AB984="","",SUMIFS('Per Line'!$U$2:$U$4001,'Per Line'!$C$2:$C$4001,$B984,'Per Line'!$AL$2:$AL$4001,1,'Per Line'!$AM$2:$AM$4001,0))</f>
        <v/>
      </c>
      <c r="W984" s="7">
        <f>IF($AB984="","",V984*U984)</f>
        <v/>
      </c>
      <c r="X984" s="7">
        <f>IF($AB984="","",W984+T984)</f>
        <v/>
      </c>
      <c r="Y984" s="7">
        <f>IF($AB984="","",Z984-X984)</f>
        <v/>
      </c>
      <c r="Z984" s="7">
        <f>IF($AB984="","",S984+V984+Q984)</f>
        <v/>
      </c>
      <c r="AA984" s="7">
        <f>IF($AB984="","",Z984-X984-M984)</f>
        <v/>
      </c>
      <c r="AB984" s="13">
        <f>IF(ROWS($AB$2:$AB984)&lt;=MAX('Per Line'!$AK$2:$AK$4001),MATCH(ROWS($AB$2:$AB984),'Per Line'!$AK$2:$AK$4001,0),"")</f>
        <v/>
      </c>
      <c r="AC984" s="14">
        <f>IF($AB984="","",M984-L984*Z984/100)</f>
        <v/>
      </c>
    </row>
    <row r="985">
      <c r="A985" s="12" t="n"/>
      <c r="B985">
        <f>IF($AB985="","",INDEX('Per Line'!$C$2:$C$4001,$AB985)&amp;"")</f>
        <v/>
      </c>
      <c r="C985">
        <f>IF($AB985="","",INDEX('Per Line'!$D$2:$D$4001,$AB985)&amp;"")</f>
        <v/>
      </c>
      <c r="D985">
        <f>IF($AB985="","",INDEX('Per Line'!$B$2:$B$4001,$AB985)&amp;"")</f>
        <v/>
      </c>
      <c r="E985">
        <f>IF($AB985="","",INDEX('Per Line'!$A$2:$A$4001,$AB985))</f>
        <v/>
      </c>
      <c r="F985" s="11">
        <f>IF($AB985="","",INDEX('Per Line'!$E$2:$E$4001,$AB985))</f>
        <v/>
      </c>
      <c r="G985">
        <f>IF($AB985="","",INDEX('Per Line'!$F$2:$F$4001,$AB985)&amp;"")</f>
        <v/>
      </c>
      <c r="H985">
        <f>IF($AB985="","",INDEX('Per Line'!$H$2:$H$4001,$AB985)&amp;"")</f>
        <v/>
      </c>
      <c r="I985">
        <f>IF($AB985="","",INDEX('Per Line'!$I$2:$I$4001,$AB985)&amp;"")</f>
        <v/>
      </c>
      <c r="J985">
        <f>IF($AB985="","",INDEX('Per Line'!$J$2:$J$4001,$AB985)&amp;"")</f>
        <v/>
      </c>
      <c r="K985">
        <f>IF($AB985="","",INDEX('Per Line'!$K$2:$K$4001,$AB985)&amp;"")</f>
        <v/>
      </c>
      <c r="L985">
        <f>IF($AB985="","",INDEX('Per Line'!$L$2:$L$4001,$AB985))</f>
        <v/>
      </c>
      <c r="M985" s="7">
        <f>IF($AB985="","",IF(AND(ISNUMBER(O985),O985&gt;0,Z985&gt;O985),L985*O985/100+(Z985-O985),L985*Z985/100))</f>
        <v/>
      </c>
      <c r="N985">
        <f>IF($AB985="","",INDEX('Per Line'!$V$2:$V$4001,$AB985)&amp;"")</f>
        <v/>
      </c>
      <c r="O985">
        <f>IF($AB985="","",INDEX('Per Line'!$Z$2:$Z$4001,$AB985))</f>
        <v/>
      </c>
      <c r="P985">
        <f>IF($AB985="","",IF(AND(ISNUMBER(O985),O985&gt;0),Z985&gt;O985,FALSE))</f>
        <v/>
      </c>
      <c r="Q985" s="7">
        <f>IF($AB985="","",SUMIFS('Per Line'!$U$2:$U$4001,'Per Line'!$C$2:$C$4001,$B985,'Per Line'!$AM$2:$AM$4001,1))</f>
        <v/>
      </c>
      <c r="R985">
        <f>IF($AB985="","",Settings!$C$7)</f>
        <v/>
      </c>
      <c r="S985" s="7">
        <f>IF($AB985="","",SUMIFS('Per Line'!$U$2:$U$4001,'Per Line'!$C$2:$C$4001,$B985,'Per Line'!$AL$2:$AL$4001,0,'Per Line'!$AM$2:$AM$4001,0))</f>
        <v/>
      </c>
      <c r="T985" s="7">
        <f>IF($AB985="","",S985*R985)</f>
        <v/>
      </c>
      <c r="U985">
        <f>IF($AB985="","",Settings!$C$6)</f>
        <v/>
      </c>
      <c r="V985" s="7">
        <f>IF($AB985="","",SUMIFS('Per Line'!$U$2:$U$4001,'Per Line'!$C$2:$C$4001,$B985,'Per Line'!$AL$2:$AL$4001,1,'Per Line'!$AM$2:$AM$4001,0))</f>
        <v/>
      </c>
      <c r="W985" s="7">
        <f>IF($AB985="","",V985*U985)</f>
        <v/>
      </c>
      <c r="X985" s="7">
        <f>IF($AB985="","",W985+T985)</f>
        <v/>
      </c>
      <c r="Y985" s="7">
        <f>IF($AB985="","",Z985-X985)</f>
        <v/>
      </c>
      <c r="Z985" s="7">
        <f>IF($AB985="","",S985+V985+Q985)</f>
        <v/>
      </c>
      <c r="AA985" s="7">
        <f>IF($AB985="","",Z985-X985-M985)</f>
        <v/>
      </c>
      <c r="AB985" s="13">
        <f>IF(ROWS($AB$2:$AB985)&lt;=MAX('Per Line'!$AK$2:$AK$4001),MATCH(ROWS($AB$2:$AB985),'Per Line'!$AK$2:$AK$4001,0),"")</f>
        <v/>
      </c>
      <c r="AC985" s="14">
        <f>IF($AB985="","",M985-L985*Z985/100)</f>
        <v/>
      </c>
    </row>
    <row r="986">
      <c r="A986" s="12" t="n"/>
      <c r="B986">
        <f>IF($AB986="","",INDEX('Per Line'!$C$2:$C$4001,$AB986)&amp;"")</f>
        <v/>
      </c>
      <c r="C986">
        <f>IF($AB986="","",INDEX('Per Line'!$D$2:$D$4001,$AB986)&amp;"")</f>
        <v/>
      </c>
      <c r="D986">
        <f>IF($AB986="","",INDEX('Per Line'!$B$2:$B$4001,$AB986)&amp;"")</f>
        <v/>
      </c>
      <c r="E986">
        <f>IF($AB986="","",INDEX('Per Line'!$A$2:$A$4001,$AB986))</f>
        <v/>
      </c>
      <c r="F986" s="11">
        <f>IF($AB986="","",INDEX('Per Line'!$E$2:$E$4001,$AB986))</f>
        <v/>
      </c>
      <c r="G986">
        <f>IF($AB986="","",INDEX('Per Line'!$F$2:$F$4001,$AB986)&amp;"")</f>
        <v/>
      </c>
      <c r="H986">
        <f>IF($AB986="","",INDEX('Per Line'!$H$2:$H$4001,$AB986)&amp;"")</f>
        <v/>
      </c>
      <c r="I986">
        <f>IF($AB986="","",INDEX('Per Line'!$I$2:$I$4001,$AB986)&amp;"")</f>
        <v/>
      </c>
      <c r="J986">
        <f>IF($AB986="","",INDEX('Per Line'!$J$2:$J$4001,$AB986)&amp;"")</f>
        <v/>
      </c>
      <c r="K986">
        <f>IF($AB986="","",INDEX('Per Line'!$K$2:$K$4001,$AB986)&amp;"")</f>
        <v/>
      </c>
      <c r="L986">
        <f>IF($AB986="","",INDEX('Per Line'!$L$2:$L$4001,$AB986))</f>
        <v/>
      </c>
      <c r="M986" s="7">
        <f>IF($AB986="","",IF(AND(ISNUMBER(O986),O986&gt;0,Z986&gt;O986),L986*O986/100+(Z986-O986),L986*Z986/100))</f>
        <v/>
      </c>
      <c r="N986">
        <f>IF($AB986="","",INDEX('Per Line'!$V$2:$V$4001,$AB986)&amp;"")</f>
        <v/>
      </c>
      <c r="O986">
        <f>IF($AB986="","",INDEX('Per Line'!$Z$2:$Z$4001,$AB986))</f>
        <v/>
      </c>
      <c r="P986">
        <f>IF($AB986="","",IF(AND(ISNUMBER(O986),O986&gt;0),Z986&gt;O986,FALSE))</f>
        <v/>
      </c>
      <c r="Q986" s="7">
        <f>IF($AB986="","",SUMIFS('Per Line'!$U$2:$U$4001,'Per Line'!$C$2:$C$4001,$B986,'Per Line'!$AM$2:$AM$4001,1))</f>
        <v/>
      </c>
      <c r="R986">
        <f>IF($AB986="","",Settings!$C$7)</f>
        <v/>
      </c>
      <c r="S986" s="7">
        <f>IF($AB986="","",SUMIFS('Per Line'!$U$2:$U$4001,'Per Line'!$C$2:$C$4001,$B986,'Per Line'!$AL$2:$AL$4001,0,'Per Line'!$AM$2:$AM$4001,0))</f>
        <v/>
      </c>
      <c r="T986" s="7">
        <f>IF($AB986="","",S986*R986)</f>
        <v/>
      </c>
      <c r="U986">
        <f>IF($AB986="","",Settings!$C$6)</f>
        <v/>
      </c>
      <c r="V986" s="7">
        <f>IF($AB986="","",SUMIFS('Per Line'!$U$2:$U$4001,'Per Line'!$C$2:$C$4001,$B986,'Per Line'!$AL$2:$AL$4001,1,'Per Line'!$AM$2:$AM$4001,0))</f>
        <v/>
      </c>
      <c r="W986" s="7">
        <f>IF($AB986="","",V986*U986)</f>
        <v/>
      </c>
      <c r="X986" s="7">
        <f>IF($AB986="","",W986+T986)</f>
        <v/>
      </c>
      <c r="Y986" s="7">
        <f>IF($AB986="","",Z986-X986)</f>
        <v/>
      </c>
      <c r="Z986" s="7">
        <f>IF($AB986="","",S986+V986+Q986)</f>
        <v/>
      </c>
      <c r="AA986" s="7">
        <f>IF($AB986="","",Z986-X986-M986)</f>
        <v/>
      </c>
      <c r="AB986" s="13">
        <f>IF(ROWS($AB$2:$AB986)&lt;=MAX('Per Line'!$AK$2:$AK$4001),MATCH(ROWS($AB$2:$AB986),'Per Line'!$AK$2:$AK$4001,0),"")</f>
        <v/>
      </c>
      <c r="AC986" s="14">
        <f>IF($AB986="","",M986-L986*Z986/100)</f>
        <v/>
      </c>
    </row>
    <row r="987">
      <c r="A987" s="12" t="n"/>
      <c r="B987">
        <f>IF($AB987="","",INDEX('Per Line'!$C$2:$C$4001,$AB987)&amp;"")</f>
        <v/>
      </c>
      <c r="C987">
        <f>IF($AB987="","",INDEX('Per Line'!$D$2:$D$4001,$AB987)&amp;"")</f>
        <v/>
      </c>
      <c r="D987">
        <f>IF($AB987="","",INDEX('Per Line'!$B$2:$B$4001,$AB987)&amp;"")</f>
        <v/>
      </c>
      <c r="E987">
        <f>IF($AB987="","",INDEX('Per Line'!$A$2:$A$4001,$AB987))</f>
        <v/>
      </c>
      <c r="F987" s="11">
        <f>IF($AB987="","",INDEX('Per Line'!$E$2:$E$4001,$AB987))</f>
        <v/>
      </c>
      <c r="G987">
        <f>IF($AB987="","",INDEX('Per Line'!$F$2:$F$4001,$AB987)&amp;"")</f>
        <v/>
      </c>
      <c r="H987">
        <f>IF($AB987="","",INDEX('Per Line'!$H$2:$H$4001,$AB987)&amp;"")</f>
        <v/>
      </c>
      <c r="I987">
        <f>IF($AB987="","",INDEX('Per Line'!$I$2:$I$4001,$AB987)&amp;"")</f>
        <v/>
      </c>
      <c r="J987">
        <f>IF($AB987="","",INDEX('Per Line'!$J$2:$J$4001,$AB987)&amp;"")</f>
        <v/>
      </c>
      <c r="K987">
        <f>IF($AB987="","",INDEX('Per Line'!$K$2:$K$4001,$AB987)&amp;"")</f>
        <v/>
      </c>
      <c r="L987">
        <f>IF($AB987="","",INDEX('Per Line'!$L$2:$L$4001,$AB987))</f>
        <v/>
      </c>
      <c r="M987" s="7">
        <f>IF($AB987="","",IF(AND(ISNUMBER(O987),O987&gt;0,Z987&gt;O987),L987*O987/100+(Z987-O987),L987*Z987/100))</f>
        <v/>
      </c>
      <c r="N987">
        <f>IF($AB987="","",INDEX('Per Line'!$V$2:$V$4001,$AB987)&amp;"")</f>
        <v/>
      </c>
      <c r="O987">
        <f>IF($AB987="","",INDEX('Per Line'!$Z$2:$Z$4001,$AB987))</f>
        <v/>
      </c>
      <c r="P987">
        <f>IF($AB987="","",IF(AND(ISNUMBER(O987),O987&gt;0),Z987&gt;O987,FALSE))</f>
        <v/>
      </c>
      <c r="Q987" s="7">
        <f>IF($AB987="","",SUMIFS('Per Line'!$U$2:$U$4001,'Per Line'!$C$2:$C$4001,$B987,'Per Line'!$AM$2:$AM$4001,1))</f>
        <v/>
      </c>
      <c r="R987">
        <f>IF($AB987="","",Settings!$C$7)</f>
        <v/>
      </c>
      <c r="S987" s="7">
        <f>IF($AB987="","",SUMIFS('Per Line'!$U$2:$U$4001,'Per Line'!$C$2:$C$4001,$B987,'Per Line'!$AL$2:$AL$4001,0,'Per Line'!$AM$2:$AM$4001,0))</f>
        <v/>
      </c>
      <c r="T987" s="7">
        <f>IF($AB987="","",S987*R987)</f>
        <v/>
      </c>
      <c r="U987">
        <f>IF($AB987="","",Settings!$C$6)</f>
        <v/>
      </c>
      <c r="V987" s="7">
        <f>IF($AB987="","",SUMIFS('Per Line'!$U$2:$U$4001,'Per Line'!$C$2:$C$4001,$B987,'Per Line'!$AL$2:$AL$4001,1,'Per Line'!$AM$2:$AM$4001,0))</f>
        <v/>
      </c>
      <c r="W987" s="7">
        <f>IF($AB987="","",V987*U987)</f>
        <v/>
      </c>
      <c r="X987" s="7">
        <f>IF($AB987="","",W987+T987)</f>
        <v/>
      </c>
      <c r="Y987" s="7">
        <f>IF($AB987="","",Z987-X987)</f>
        <v/>
      </c>
      <c r="Z987" s="7">
        <f>IF($AB987="","",S987+V987+Q987)</f>
        <v/>
      </c>
      <c r="AA987" s="7">
        <f>IF($AB987="","",Z987-X987-M987)</f>
        <v/>
      </c>
      <c r="AB987" s="13">
        <f>IF(ROWS($AB$2:$AB987)&lt;=MAX('Per Line'!$AK$2:$AK$4001),MATCH(ROWS($AB$2:$AB987),'Per Line'!$AK$2:$AK$4001,0),"")</f>
        <v/>
      </c>
      <c r="AC987" s="14">
        <f>IF($AB987="","",M987-L987*Z987/100)</f>
        <v/>
      </c>
    </row>
    <row r="988">
      <c r="A988" s="12" t="n"/>
      <c r="B988">
        <f>IF($AB988="","",INDEX('Per Line'!$C$2:$C$4001,$AB988)&amp;"")</f>
        <v/>
      </c>
      <c r="C988">
        <f>IF($AB988="","",INDEX('Per Line'!$D$2:$D$4001,$AB988)&amp;"")</f>
        <v/>
      </c>
      <c r="D988">
        <f>IF($AB988="","",INDEX('Per Line'!$B$2:$B$4001,$AB988)&amp;"")</f>
        <v/>
      </c>
      <c r="E988">
        <f>IF($AB988="","",INDEX('Per Line'!$A$2:$A$4001,$AB988))</f>
        <v/>
      </c>
      <c r="F988" s="11">
        <f>IF($AB988="","",INDEX('Per Line'!$E$2:$E$4001,$AB988))</f>
        <v/>
      </c>
      <c r="G988">
        <f>IF($AB988="","",INDEX('Per Line'!$F$2:$F$4001,$AB988)&amp;"")</f>
        <v/>
      </c>
      <c r="H988">
        <f>IF($AB988="","",INDEX('Per Line'!$H$2:$H$4001,$AB988)&amp;"")</f>
        <v/>
      </c>
      <c r="I988">
        <f>IF($AB988="","",INDEX('Per Line'!$I$2:$I$4001,$AB988)&amp;"")</f>
        <v/>
      </c>
      <c r="J988">
        <f>IF($AB988="","",INDEX('Per Line'!$J$2:$J$4001,$AB988)&amp;"")</f>
        <v/>
      </c>
      <c r="K988">
        <f>IF($AB988="","",INDEX('Per Line'!$K$2:$K$4001,$AB988)&amp;"")</f>
        <v/>
      </c>
      <c r="L988">
        <f>IF($AB988="","",INDEX('Per Line'!$L$2:$L$4001,$AB988))</f>
        <v/>
      </c>
      <c r="M988" s="7">
        <f>IF($AB988="","",IF(AND(ISNUMBER(O988),O988&gt;0,Z988&gt;O988),L988*O988/100+(Z988-O988),L988*Z988/100))</f>
        <v/>
      </c>
      <c r="N988">
        <f>IF($AB988="","",INDEX('Per Line'!$V$2:$V$4001,$AB988)&amp;"")</f>
        <v/>
      </c>
      <c r="O988">
        <f>IF($AB988="","",INDEX('Per Line'!$Z$2:$Z$4001,$AB988))</f>
        <v/>
      </c>
      <c r="P988">
        <f>IF($AB988="","",IF(AND(ISNUMBER(O988),O988&gt;0),Z988&gt;O988,FALSE))</f>
        <v/>
      </c>
      <c r="Q988" s="7">
        <f>IF($AB988="","",SUMIFS('Per Line'!$U$2:$U$4001,'Per Line'!$C$2:$C$4001,$B988,'Per Line'!$AM$2:$AM$4001,1))</f>
        <v/>
      </c>
      <c r="R988">
        <f>IF($AB988="","",Settings!$C$7)</f>
        <v/>
      </c>
      <c r="S988" s="7">
        <f>IF($AB988="","",SUMIFS('Per Line'!$U$2:$U$4001,'Per Line'!$C$2:$C$4001,$B988,'Per Line'!$AL$2:$AL$4001,0,'Per Line'!$AM$2:$AM$4001,0))</f>
        <v/>
      </c>
      <c r="T988" s="7">
        <f>IF($AB988="","",S988*R988)</f>
        <v/>
      </c>
      <c r="U988">
        <f>IF($AB988="","",Settings!$C$6)</f>
        <v/>
      </c>
      <c r="V988" s="7">
        <f>IF($AB988="","",SUMIFS('Per Line'!$U$2:$U$4001,'Per Line'!$C$2:$C$4001,$B988,'Per Line'!$AL$2:$AL$4001,1,'Per Line'!$AM$2:$AM$4001,0))</f>
        <v/>
      </c>
      <c r="W988" s="7">
        <f>IF($AB988="","",V988*U988)</f>
        <v/>
      </c>
      <c r="X988" s="7">
        <f>IF($AB988="","",W988+T988)</f>
        <v/>
      </c>
      <c r="Y988" s="7">
        <f>IF($AB988="","",Z988-X988)</f>
        <v/>
      </c>
      <c r="Z988" s="7">
        <f>IF($AB988="","",S988+V988+Q988)</f>
        <v/>
      </c>
      <c r="AA988" s="7">
        <f>IF($AB988="","",Z988-X988-M988)</f>
        <v/>
      </c>
      <c r="AB988" s="13">
        <f>IF(ROWS($AB$2:$AB988)&lt;=MAX('Per Line'!$AK$2:$AK$4001),MATCH(ROWS($AB$2:$AB988),'Per Line'!$AK$2:$AK$4001,0),"")</f>
        <v/>
      </c>
      <c r="AC988" s="14">
        <f>IF($AB988="","",M988-L988*Z988/100)</f>
        <v/>
      </c>
    </row>
    <row r="989">
      <c r="A989" s="12" t="n"/>
      <c r="B989">
        <f>IF($AB989="","",INDEX('Per Line'!$C$2:$C$4001,$AB989)&amp;"")</f>
        <v/>
      </c>
      <c r="C989">
        <f>IF($AB989="","",INDEX('Per Line'!$D$2:$D$4001,$AB989)&amp;"")</f>
        <v/>
      </c>
      <c r="D989">
        <f>IF($AB989="","",INDEX('Per Line'!$B$2:$B$4001,$AB989)&amp;"")</f>
        <v/>
      </c>
      <c r="E989">
        <f>IF($AB989="","",INDEX('Per Line'!$A$2:$A$4001,$AB989))</f>
        <v/>
      </c>
      <c r="F989" s="11">
        <f>IF($AB989="","",INDEX('Per Line'!$E$2:$E$4001,$AB989))</f>
        <v/>
      </c>
      <c r="G989">
        <f>IF($AB989="","",INDEX('Per Line'!$F$2:$F$4001,$AB989)&amp;"")</f>
        <v/>
      </c>
      <c r="H989">
        <f>IF($AB989="","",INDEX('Per Line'!$H$2:$H$4001,$AB989)&amp;"")</f>
        <v/>
      </c>
      <c r="I989">
        <f>IF($AB989="","",INDEX('Per Line'!$I$2:$I$4001,$AB989)&amp;"")</f>
        <v/>
      </c>
      <c r="J989">
        <f>IF($AB989="","",INDEX('Per Line'!$J$2:$J$4001,$AB989)&amp;"")</f>
        <v/>
      </c>
      <c r="K989">
        <f>IF($AB989="","",INDEX('Per Line'!$K$2:$K$4001,$AB989)&amp;"")</f>
        <v/>
      </c>
      <c r="L989">
        <f>IF($AB989="","",INDEX('Per Line'!$L$2:$L$4001,$AB989))</f>
        <v/>
      </c>
      <c r="M989" s="7">
        <f>IF($AB989="","",IF(AND(ISNUMBER(O989),O989&gt;0,Z989&gt;O989),L989*O989/100+(Z989-O989),L989*Z989/100))</f>
        <v/>
      </c>
      <c r="N989">
        <f>IF($AB989="","",INDEX('Per Line'!$V$2:$V$4001,$AB989)&amp;"")</f>
        <v/>
      </c>
      <c r="O989">
        <f>IF($AB989="","",INDEX('Per Line'!$Z$2:$Z$4001,$AB989))</f>
        <v/>
      </c>
      <c r="P989">
        <f>IF($AB989="","",IF(AND(ISNUMBER(O989),O989&gt;0),Z989&gt;O989,FALSE))</f>
        <v/>
      </c>
      <c r="Q989" s="7">
        <f>IF($AB989="","",SUMIFS('Per Line'!$U$2:$U$4001,'Per Line'!$C$2:$C$4001,$B989,'Per Line'!$AM$2:$AM$4001,1))</f>
        <v/>
      </c>
      <c r="R989">
        <f>IF($AB989="","",Settings!$C$7)</f>
        <v/>
      </c>
      <c r="S989" s="7">
        <f>IF($AB989="","",SUMIFS('Per Line'!$U$2:$U$4001,'Per Line'!$C$2:$C$4001,$B989,'Per Line'!$AL$2:$AL$4001,0,'Per Line'!$AM$2:$AM$4001,0))</f>
        <v/>
      </c>
      <c r="T989" s="7">
        <f>IF($AB989="","",S989*R989)</f>
        <v/>
      </c>
      <c r="U989">
        <f>IF($AB989="","",Settings!$C$6)</f>
        <v/>
      </c>
      <c r="V989" s="7">
        <f>IF($AB989="","",SUMIFS('Per Line'!$U$2:$U$4001,'Per Line'!$C$2:$C$4001,$B989,'Per Line'!$AL$2:$AL$4001,1,'Per Line'!$AM$2:$AM$4001,0))</f>
        <v/>
      </c>
      <c r="W989" s="7">
        <f>IF($AB989="","",V989*U989)</f>
        <v/>
      </c>
      <c r="X989" s="7">
        <f>IF($AB989="","",W989+T989)</f>
        <v/>
      </c>
      <c r="Y989" s="7">
        <f>IF($AB989="","",Z989-X989)</f>
        <v/>
      </c>
      <c r="Z989" s="7">
        <f>IF($AB989="","",S989+V989+Q989)</f>
        <v/>
      </c>
      <c r="AA989" s="7">
        <f>IF($AB989="","",Z989-X989-M989)</f>
        <v/>
      </c>
      <c r="AB989" s="13">
        <f>IF(ROWS($AB$2:$AB989)&lt;=MAX('Per Line'!$AK$2:$AK$4001),MATCH(ROWS($AB$2:$AB989),'Per Line'!$AK$2:$AK$4001,0),"")</f>
        <v/>
      </c>
      <c r="AC989" s="14">
        <f>IF($AB989="","",M989-L989*Z989/100)</f>
        <v/>
      </c>
    </row>
    <row r="990">
      <c r="A990" s="12" t="n"/>
      <c r="B990">
        <f>IF($AB990="","",INDEX('Per Line'!$C$2:$C$4001,$AB990)&amp;"")</f>
        <v/>
      </c>
      <c r="C990">
        <f>IF($AB990="","",INDEX('Per Line'!$D$2:$D$4001,$AB990)&amp;"")</f>
        <v/>
      </c>
      <c r="D990">
        <f>IF($AB990="","",INDEX('Per Line'!$B$2:$B$4001,$AB990)&amp;"")</f>
        <v/>
      </c>
      <c r="E990">
        <f>IF($AB990="","",INDEX('Per Line'!$A$2:$A$4001,$AB990))</f>
        <v/>
      </c>
      <c r="F990" s="11">
        <f>IF($AB990="","",INDEX('Per Line'!$E$2:$E$4001,$AB990))</f>
        <v/>
      </c>
      <c r="G990">
        <f>IF($AB990="","",INDEX('Per Line'!$F$2:$F$4001,$AB990)&amp;"")</f>
        <v/>
      </c>
      <c r="H990">
        <f>IF($AB990="","",INDEX('Per Line'!$H$2:$H$4001,$AB990)&amp;"")</f>
        <v/>
      </c>
      <c r="I990">
        <f>IF($AB990="","",INDEX('Per Line'!$I$2:$I$4001,$AB990)&amp;"")</f>
        <v/>
      </c>
      <c r="J990">
        <f>IF($AB990="","",INDEX('Per Line'!$J$2:$J$4001,$AB990)&amp;"")</f>
        <v/>
      </c>
      <c r="K990">
        <f>IF($AB990="","",INDEX('Per Line'!$K$2:$K$4001,$AB990)&amp;"")</f>
        <v/>
      </c>
      <c r="L990">
        <f>IF($AB990="","",INDEX('Per Line'!$L$2:$L$4001,$AB990))</f>
        <v/>
      </c>
      <c r="M990" s="7">
        <f>IF($AB990="","",IF(AND(ISNUMBER(O990),O990&gt;0,Z990&gt;O990),L990*O990/100+(Z990-O990),L990*Z990/100))</f>
        <v/>
      </c>
      <c r="N990">
        <f>IF($AB990="","",INDEX('Per Line'!$V$2:$V$4001,$AB990)&amp;"")</f>
        <v/>
      </c>
      <c r="O990">
        <f>IF($AB990="","",INDEX('Per Line'!$Z$2:$Z$4001,$AB990))</f>
        <v/>
      </c>
      <c r="P990">
        <f>IF($AB990="","",IF(AND(ISNUMBER(O990),O990&gt;0),Z990&gt;O990,FALSE))</f>
        <v/>
      </c>
      <c r="Q990" s="7">
        <f>IF($AB990="","",SUMIFS('Per Line'!$U$2:$U$4001,'Per Line'!$C$2:$C$4001,$B990,'Per Line'!$AM$2:$AM$4001,1))</f>
        <v/>
      </c>
      <c r="R990">
        <f>IF($AB990="","",Settings!$C$7)</f>
        <v/>
      </c>
      <c r="S990" s="7">
        <f>IF($AB990="","",SUMIFS('Per Line'!$U$2:$U$4001,'Per Line'!$C$2:$C$4001,$B990,'Per Line'!$AL$2:$AL$4001,0,'Per Line'!$AM$2:$AM$4001,0))</f>
        <v/>
      </c>
      <c r="T990" s="7">
        <f>IF($AB990="","",S990*R990)</f>
        <v/>
      </c>
      <c r="U990">
        <f>IF($AB990="","",Settings!$C$6)</f>
        <v/>
      </c>
      <c r="V990" s="7">
        <f>IF($AB990="","",SUMIFS('Per Line'!$U$2:$U$4001,'Per Line'!$C$2:$C$4001,$B990,'Per Line'!$AL$2:$AL$4001,1,'Per Line'!$AM$2:$AM$4001,0))</f>
        <v/>
      </c>
      <c r="W990" s="7">
        <f>IF($AB990="","",V990*U990)</f>
        <v/>
      </c>
      <c r="X990" s="7">
        <f>IF($AB990="","",W990+T990)</f>
        <v/>
      </c>
      <c r="Y990" s="7">
        <f>IF($AB990="","",Z990-X990)</f>
        <v/>
      </c>
      <c r="Z990" s="7">
        <f>IF($AB990="","",S990+V990+Q990)</f>
        <v/>
      </c>
      <c r="AA990" s="7">
        <f>IF($AB990="","",Z990-X990-M990)</f>
        <v/>
      </c>
      <c r="AB990" s="13">
        <f>IF(ROWS($AB$2:$AB990)&lt;=MAX('Per Line'!$AK$2:$AK$4001),MATCH(ROWS($AB$2:$AB990),'Per Line'!$AK$2:$AK$4001,0),"")</f>
        <v/>
      </c>
      <c r="AC990" s="14">
        <f>IF($AB990="","",M990-L990*Z990/100)</f>
        <v/>
      </c>
    </row>
    <row r="991">
      <c r="A991" s="12" t="n"/>
      <c r="B991">
        <f>IF($AB991="","",INDEX('Per Line'!$C$2:$C$4001,$AB991)&amp;"")</f>
        <v/>
      </c>
      <c r="C991">
        <f>IF($AB991="","",INDEX('Per Line'!$D$2:$D$4001,$AB991)&amp;"")</f>
        <v/>
      </c>
      <c r="D991">
        <f>IF($AB991="","",INDEX('Per Line'!$B$2:$B$4001,$AB991)&amp;"")</f>
        <v/>
      </c>
      <c r="E991">
        <f>IF($AB991="","",INDEX('Per Line'!$A$2:$A$4001,$AB991))</f>
        <v/>
      </c>
      <c r="F991" s="11">
        <f>IF($AB991="","",INDEX('Per Line'!$E$2:$E$4001,$AB991))</f>
        <v/>
      </c>
      <c r="G991">
        <f>IF($AB991="","",INDEX('Per Line'!$F$2:$F$4001,$AB991)&amp;"")</f>
        <v/>
      </c>
      <c r="H991">
        <f>IF($AB991="","",INDEX('Per Line'!$H$2:$H$4001,$AB991)&amp;"")</f>
        <v/>
      </c>
      <c r="I991">
        <f>IF($AB991="","",INDEX('Per Line'!$I$2:$I$4001,$AB991)&amp;"")</f>
        <v/>
      </c>
      <c r="J991">
        <f>IF($AB991="","",INDEX('Per Line'!$J$2:$J$4001,$AB991)&amp;"")</f>
        <v/>
      </c>
      <c r="K991">
        <f>IF($AB991="","",INDEX('Per Line'!$K$2:$K$4001,$AB991)&amp;"")</f>
        <v/>
      </c>
      <c r="L991">
        <f>IF($AB991="","",INDEX('Per Line'!$L$2:$L$4001,$AB991))</f>
        <v/>
      </c>
      <c r="M991" s="7">
        <f>IF($AB991="","",IF(AND(ISNUMBER(O991),O991&gt;0,Z991&gt;O991),L991*O991/100+(Z991-O991),L991*Z991/100))</f>
        <v/>
      </c>
      <c r="N991">
        <f>IF($AB991="","",INDEX('Per Line'!$V$2:$V$4001,$AB991)&amp;"")</f>
        <v/>
      </c>
      <c r="O991">
        <f>IF($AB991="","",INDEX('Per Line'!$Z$2:$Z$4001,$AB991))</f>
        <v/>
      </c>
      <c r="P991">
        <f>IF($AB991="","",IF(AND(ISNUMBER(O991),O991&gt;0),Z991&gt;O991,FALSE))</f>
        <v/>
      </c>
      <c r="Q991" s="7">
        <f>IF($AB991="","",SUMIFS('Per Line'!$U$2:$U$4001,'Per Line'!$C$2:$C$4001,$B991,'Per Line'!$AM$2:$AM$4001,1))</f>
        <v/>
      </c>
      <c r="R991">
        <f>IF($AB991="","",Settings!$C$7)</f>
        <v/>
      </c>
      <c r="S991" s="7">
        <f>IF($AB991="","",SUMIFS('Per Line'!$U$2:$U$4001,'Per Line'!$C$2:$C$4001,$B991,'Per Line'!$AL$2:$AL$4001,0,'Per Line'!$AM$2:$AM$4001,0))</f>
        <v/>
      </c>
      <c r="T991" s="7">
        <f>IF($AB991="","",S991*R991)</f>
        <v/>
      </c>
      <c r="U991">
        <f>IF($AB991="","",Settings!$C$6)</f>
        <v/>
      </c>
      <c r="V991" s="7">
        <f>IF($AB991="","",SUMIFS('Per Line'!$U$2:$U$4001,'Per Line'!$C$2:$C$4001,$B991,'Per Line'!$AL$2:$AL$4001,1,'Per Line'!$AM$2:$AM$4001,0))</f>
        <v/>
      </c>
      <c r="W991" s="7">
        <f>IF($AB991="","",V991*U991)</f>
        <v/>
      </c>
      <c r="X991" s="7">
        <f>IF($AB991="","",W991+T991)</f>
        <v/>
      </c>
      <c r="Y991" s="7">
        <f>IF($AB991="","",Z991-X991)</f>
        <v/>
      </c>
      <c r="Z991" s="7">
        <f>IF($AB991="","",S991+V991+Q991)</f>
        <v/>
      </c>
      <c r="AA991" s="7">
        <f>IF($AB991="","",Z991-X991-M991)</f>
        <v/>
      </c>
      <c r="AB991" s="13">
        <f>IF(ROWS($AB$2:$AB991)&lt;=MAX('Per Line'!$AK$2:$AK$4001),MATCH(ROWS($AB$2:$AB991),'Per Line'!$AK$2:$AK$4001,0),"")</f>
        <v/>
      </c>
      <c r="AC991" s="14">
        <f>IF($AB991="","",M991-L991*Z991/100)</f>
        <v/>
      </c>
    </row>
    <row r="992">
      <c r="A992" s="12" t="n"/>
      <c r="B992">
        <f>IF($AB992="","",INDEX('Per Line'!$C$2:$C$4001,$AB992)&amp;"")</f>
        <v/>
      </c>
      <c r="C992">
        <f>IF($AB992="","",INDEX('Per Line'!$D$2:$D$4001,$AB992)&amp;"")</f>
        <v/>
      </c>
      <c r="D992">
        <f>IF($AB992="","",INDEX('Per Line'!$B$2:$B$4001,$AB992)&amp;"")</f>
        <v/>
      </c>
      <c r="E992">
        <f>IF($AB992="","",INDEX('Per Line'!$A$2:$A$4001,$AB992))</f>
        <v/>
      </c>
      <c r="F992" s="11">
        <f>IF($AB992="","",INDEX('Per Line'!$E$2:$E$4001,$AB992))</f>
        <v/>
      </c>
      <c r="G992">
        <f>IF($AB992="","",INDEX('Per Line'!$F$2:$F$4001,$AB992)&amp;"")</f>
        <v/>
      </c>
      <c r="H992">
        <f>IF($AB992="","",INDEX('Per Line'!$H$2:$H$4001,$AB992)&amp;"")</f>
        <v/>
      </c>
      <c r="I992">
        <f>IF($AB992="","",INDEX('Per Line'!$I$2:$I$4001,$AB992)&amp;"")</f>
        <v/>
      </c>
      <c r="J992">
        <f>IF($AB992="","",INDEX('Per Line'!$J$2:$J$4001,$AB992)&amp;"")</f>
        <v/>
      </c>
      <c r="K992">
        <f>IF($AB992="","",INDEX('Per Line'!$K$2:$K$4001,$AB992)&amp;"")</f>
        <v/>
      </c>
      <c r="L992">
        <f>IF($AB992="","",INDEX('Per Line'!$L$2:$L$4001,$AB992))</f>
        <v/>
      </c>
      <c r="M992" s="7">
        <f>IF($AB992="","",IF(AND(ISNUMBER(O992),O992&gt;0,Z992&gt;O992),L992*O992/100+(Z992-O992),L992*Z992/100))</f>
        <v/>
      </c>
      <c r="N992">
        <f>IF($AB992="","",INDEX('Per Line'!$V$2:$V$4001,$AB992)&amp;"")</f>
        <v/>
      </c>
      <c r="O992">
        <f>IF($AB992="","",INDEX('Per Line'!$Z$2:$Z$4001,$AB992))</f>
        <v/>
      </c>
      <c r="P992">
        <f>IF($AB992="","",IF(AND(ISNUMBER(O992),O992&gt;0),Z992&gt;O992,FALSE))</f>
        <v/>
      </c>
      <c r="Q992" s="7">
        <f>IF($AB992="","",SUMIFS('Per Line'!$U$2:$U$4001,'Per Line'!$C$2:$C$4001,$B992,'Per Line'!$AM$2:$AM$4001,1))</f>
        <v/>
      </c>
      <c r="R992">
        <f>IF($AB992="","",Settings!$C$7)</f>
        <v/>
      </c>
      <c r="S992" s="7">
        <f>IF($AB992="","",SUMIFS('Per Line'!$U$2:$U$4001,'Per Line'!$C$2:$C$4001,$B992,'Per Line'!$AL$2:$AL$4001,0,'Per Line'!$AM$2:$AM$4001,0))</f>
        <v/>
      </c>
      <c r="T992" s="7">
        <f>IF($AB992="","",S992*R992)</f>
        <v/>
      </c>
      <c r="U992">
        <f>IF($AB992="","",Settings!$C$6)</f>
        <v/>
      </c>
      <c r="V992" s="7">
        <f>IF($AB992="","",SUMIFS('Per Line'!$U$2:$U$4001,'Per Line'!$C$2:$C$4001,$B992,'Per Line'!$AL$2:$AL$4001,1,'Per Line'!$AM$2:$AM$4001,0))</f>
        <v/>
      </c>
      <c r="W992" s="7">
        <f>IF($AB992="","",V992*U992)</f>
        <v/>
      </c>
      <c r="X992" s="7">
        <f>IF($AB992="","",W992+T992)</f>
        <v/>
      </c>
      <c r="Y992" s="7">
        <f>IF($AB992="","",Z992-X992)</f>
        <v/>
      </c>
      <c r="Z992" s="7">
        <f>IF($AB992="","",S992+V992+Q992)</f>
        <v/>
      </c>
      <c r="AA992" s="7">
        <f>IF($AB992="","",Z992-X992-M992)</f>
        <v/>
      </c>
      <c r="AB992" s="13">
        <f>IF(ROWS($AB$2:$AB992)&lt;=MAX('Per Line'!$AK$2:$AK$4001),MATCH(ROWS($AB$2:$AB992),'Per Line'!$AK$2:$AK$4001,0),"")</f>
        <v/>
      </c>
      <c r="AC992" s="14">
        <f>IF($AB992="","",M992-L992*Z992/100)</f>
        <v/>
      </c>
    </row>
    <row r="993">
      <c r="A993" s="12" t="n"/>
      <c r="B993">
        <f>IF($AB993="","",INDEX('Per Line'!$C$2:$C$4001,$AB993)&amp;"")</f>
        <v/>
      </c>
      <c r="C993">
        <f>IF($AB993="","",INDEX('Per Line'!$D$2:$D$4001,$AB993)&amp;"")</f>
        <v/>
      </c>
      <c r="D993">
        <f>IF($AB993="","",INDEX('Per Line'!$B$2:$B$4001,$AB993)&amp;"")</f>
        <v/>
      </c>
      <c r="E993">
        <f>IF($AB993="","",INDEX('Per Line'!$A$2:$A$4001,$AB993))</f>
        <v/>
      </c>
      <c r="F993" s="11">
        <f>IF($AB993="","",INDEX('Per Line'!$E$2:$E$4001,$AB993))</f>
        <v/>
      </c>
      <c r="G993">
        <f>IF($AB993="","",INDEX('Per Line'!$F$2:$F$4001,$AB993)&amp;"")</f>
        <v/>
      </c>
      <c r="H993">
        <f>IF($AB993="","",INDEX('Per Line'!$H$2:$H$4001,$AB993)&amp;"")</f>
        <v/>
      </c>
      <c r="I993">
        <f>IF($AB993="","",INDEX('Per Line'!$I$2:$I$4001,$AB993)&amp;"")</f>
        <v/>
      </c>
      <c r="J993">
        <f>IF($AB993="","",INDEX('Per Line'!$J$2:$J$4001,$AB993)&amp;"")</f>
        <v/>
      </c>
      <c r="K993">
        <f>IF($AB993="","",INDEX('Per Line'!$K$2:$K$4001,$AB993)&amp;"")</f>
        <v/>
      </c>
      <c r="L993">
        <f>IF($AB993="","",INDEX('Per Line'!$L$2:$L$4001,$AB993))</f>
        <v/>
      </c>
      <c r="M993" s="7">
        <f>IF($AB993="","",IF(AND(ISNUMBER(O993),O993&gt;0,Z993&gt;O993),L993*O993/100+(Z993-O993),L993*Z993/100))</f>
        <v/>
      </c>
      <c r="N993">
        <f>IF($AB993="","",INDEX('Per Line'!$V$2:$V$4001,$AB993)&amp;"")</f>
        <v/>
      </c>
      <c r="O993">
        <f>IF($AB993="","",INDEX('Per Line'!$Z$2:$Z$4001,$AB993))</f>
        <v/>
      </c>
      <c r="P993">
        <f>IF($AB993="","",IF(AND(ISNUMBER(O993),O993&gt;0),Z993&gt;O993,FALSE))</f>
        <v/>
      </c>
      <c r="Q993" s="7">
        <f>IF($AB993="","",SUMIFS('Per Line'!$U$2:$U$4001,'Per Line'!$C$2:$C$4001,$B993,'Per Line'!$AM$2:$AM$4001,1))</f>
        <v/>
      </c>
      <c r="R993">
        <f>IF($AB993="","",Settings!$C$7)</f>
        <v/>
      </c>
      <c r="S993" s="7">
        <f>IF($AB993="","",SUMIFS('Per Line'!$U$2:$U$4001,'Per Line'!$C$2:$C$4001,$B993,'Per Line'!$AL$2:$AL$4001,0,'Per Line'!$AM$2:$AM$4001,0))</f>
        <v/>
      </c>
      <c r="T993" s="7">
        <f>IF($AB993="","",S993*R993)</f>
        <v/>
      </c>
      <c r="U993">
        <f>IF($AB993="","",Settings!$C$6)</f>
        <v/>
      </c>
      <c r="V993" s="7">
        <f>IF($AB993="","",SUMIFS('Per Line'!$U$2:$U$4001,'Per Line'!$C$2:$C$4001,$B993,'Per Line'!$AL$2:$AL$4001,1,'Per Line'!$AM$2:$AM$4001,0))</f>
        <v/>
      </c>
      <c r="W993" s="7">
        <f>IF($AB993="","",V993*U993)</f>
        <v/>
      </c>
      <c r="X993" s="7">
        <f>IF($AB993="","",W993+T993)</f>
        <v/>
      </c>
      <c r="Y993" s="7">
        <f>IF($AB993="","",Z993-X993)</f>
        <v/>
      </c>
      <c r="Z993" s="7">
        <f>IF($AB993="","",S993+V993+Q993)</f>
        <v/>
      </c>
      <c r="AA993" s="7">
        <f>IF($AB993="","",Z993-X993-M993)</f>
        <v/>
      </c>
      <c r="AB993" s="13">
        <f>IF(ROWS($AB$2:$AB993)&lt;=MAX('Per Line'!$AK$2:$AK$4001),MATCH(ROWS($AB$2:$AB993),'Per Line'!$AK$2:$AK$4001,0),"")</f>
        <v/>
      </c>
      <c r="AC993" s="14">
        <f>IF($AB993="","",M993-L993*Z993/100)</f>
        <v/>
      </c>
    </row>
    <row r="994">
      <c r="A994" s="12" t="n"/>
      <c r="B994">
        <f>IF($AB994="","",INDEX('Per Line'!$C$2:$C$4001,$AB994)&amp;"")</f>
        <v/>
      </c>
      <c r="C994">
        <f>IF($AB994="","",INDEX('Per Line'!$D$2:$D$4001,$AB994)&amp;"")</f>
        <v/>
      </c>
      <c r="D994">
        <f>IF($AB994="","",INDEX('Per Line'!$B$2:$B$4001,$AB994)&amp;"")</f>
        <v/>
      </c>
      <c r="E994">
        <f>IF($AB994="","",INDEX('Per Line'!$A$2:$A$4001,$AB994))</f>
        <v/>
      </c>
      <c r="F994" s="11">
        <f>IF($AB994="","",INDEX('Per Line'!$E$2:$E$4001,$AB994))</f>
        <v/>
      </c>
      <c r="G994">
        <f>IF($AB994="","",INDEX('Per Line'!$F$2:$F$4001,$AB994)&amp;"")</f>
        <v/>
      </c>
      <c r="H994">
        <f>IF($AB994="","",INDEX('Per Line'!$H$2:$H$4001,$AB994)&amp;"")</f>
        <v/>
      </c>
      <c r="I994">
        <f>IF($AB994="","",INDEX('Per Line'!$I$2:$I$4001,$AB994)&amp;"")</f>
        <v/>
      </c>
      <c r="J994">
        <f>IF($AB994="","",INDEX('Per Line'!$J$2:$J$4001,$AB994)&amp;"")</f>
        <v/>
      </c>
      <c r="K994">
        <f>IF($AB994="","",INDEX('Per Line'!$K$2:$K$4001,$AB994)&amp;"")</f>
        <v/>
      </c>
      <c r="L994">
        <f>IF($AB994="","",INDEX('Per Line'!$L$2:$L$4001,$AB994))</f>
        <v/>
      </c>
      <c r="M994" s="7">
        <f>IF($AB994="","",IF(AND(ISNUMBER(O994),O994&gt;0,Z994&gt;O994),L994*O994/100+(Z994-O994),L994*Z994/100))</f>
        <v/>
      </c>
      <c r="N994">
        <f>IF($AB994="","",INDEX('Per Line'!$V$2:$V$4001,$AB994)&amp;"")</f>
        <v/>
      </c>
      <c r="O994">
        <f>IF($AB994="","",INDEX('Per Line'!$Z$2:$Z$4001,$AB994))</f>
        <v/>
      </c>
      <c r="P994">
        <f>IF($AB994="","",IF(AND(ISNUMBER(O994),O994&gt;0),Z994&gt;O994,FALSE))</f>
        <v/>
      </c>
      <c r="Q994" s="7">
        <f>IF($AB994="","",SUMIFS('Per Line'!$U$2:$U$4001,'Per Line'!$C$2:$C$4001,$B994,'Per Line'!$AM$2:$AM$4001,1))</f>
        <v/>
      </c>
      <c r="R994">
        <f>IF($AB994="","",Settings!$C$7)</f>
        <v/>
      </c>
      <c r="S994" s="7">
        <f>IF($AB994="","",SUMIFS('Per Line'!$U$2:$U$4001,'Per Line'!$C$2:$C$4001,$B994,'Per Line'!$AL$2:$AL$4001,0,'Per Line'!$AM$2:$AM$4001,0))</f>
        <v/>
      </c>
      <c r="T994" s="7">
        <f>IF($AB994="","",S994*R994)</f>
        <v/>
      </c>
      <c r="U994">
        <f>IF($AB994="","",Settings!$C$6)</f>
        <v/>
      </c>
      <c r="V994" s="7">
        <f>IF($AB994="","",SUMIFS('Per Line'!$U$2:$U$4001,'Per Line'!$C$2:$C$4001,$B994,'Per Line'!$AL$2:$AL$4001,1,'Per Line'!$AM$2:$AM$4001,0))</f>
        <v/>
      </c>
      <c r="W994" s="7">
        <f>IF($AB994="","",V994*U994)</f>
        <v/>
      </c>
      <c r="X994" s="7">
        <f>IF($AB994="","",W994+T994)</f>
        <v/>
      </c>
      <c r="Y994" s="7">
        <f>IF($AB994="","",Z994-X994)</f>
        <v/>
      </c>
      <c r="Z994" s="7">
        <f>IF($AB994="","",S994+V994+Q994)</f>
        <v/>
      </c>
      <c r="AA994" s="7">
        <f>IF($AB994="","",Z994-X994-M994)</f>
        <v/>
      </c>
      <c r="AB994" s="13">
        <f>IF(ROWS($AB$2:$AB994)&lt;=MAX('Per Line'!$AK$2:$AK$4001),MATCH(ROWS($AB$2:$AB994),'Per Line'!$AK$2:$AK$4001,0),"")</f>
        <v/>
      </c>
      <c r="AC994" s="14">
        <f>IF($AB994="","",M994-L994*Z994/100)</f>
        <v/>
      </c>
    </row>
    <row r="995">
      <c r="A995" s="12" t="n"/>
      <c r="B995">
        <f>IF($AB995="","",INDEX('Per Line'!$C$2:$C$4001,$AB995)&amp;"")</f>
        <v/>
      </c>
      <c r="C995">
        <f>IF($AB995="","",INDEX('Per Line'!$D$2:$D$4001,$AB995)&amp;"")</f>
        <v/>
      </c>
      <c r="D995">
        <f>IF($AB995="","",INDEX('Per Line'!$B$2:$B$4001,$AB995)&amp;"")</f>
        <v/>
      </c>
      <c r="E995">
        <f>IF($AB995="","",INDEX('Per Line'!$A$2:$A$4001,$AB995))</f>
        <v/>
      </c>
      <c r="F995" s="11">
        <f>IF($AB995="","",INDEX('Per Line'!$E$2:$E$4001,$AB995))</f>
        <v/>
      </c>
      <c r="G995">
        <f>IF($AB995="","",INDEX('Per Line'!$F$2:$F$4001,$AB995)&amp;"")</f>
        <v/>
      </c>
      <c r="H995">
        <f>IF($AB995="","",INDEX('Per Line'!$H$2:$H$4001,$AB995)&amp;"")</f>
        <v/>
      </c>
      <c r="I995">
        <f>IF($AB995="","",INDEX('Per Line'!$I$2:$I$4001,$AB995)&amp;"")</f>
        <v/>
      </c>
      <c r="J995">
        <f>IF($AB995="","",INDEX('Per Line'!$J$2:$J$4001,$AB995)&amp;"")</f>
        <v/>
      </c>
      <c r="K995">
        <f>IF($AB995="","",INDEX('Per Line'!$K$2:$K$4001,$AB995)&amp;"")</f>
        <v/>
      </c>
      <c r="L995">
        <f>IF($AB995="","",INDEX('Per Line'!$L$2:$L$4001,$AB995))</f>
        <v/>
      </c>
      <c r="M995" s="7">
        <f>IF($AB995="","",IF(AND(ISNUMBER(O995),O995&gt;0,Z995&gt;O995),L995*O995/100+(Z995-O995),L995*Z995/100))</f>
        <v/>
      </c>
      <c r="N995">
        <f>IF($AB995="","",INDEX('Per Line'!$V$2:$V$4001,$AB995)&amp;"")</f>
        <v/>
      </c>
      <c r="O995">
        <f>IF($AB995="","",INDEX('Per Line'!$Z$2:$Z$4001,$AB995))</f>
        <v/>
      </c>
      <c r="P995">
        <f>IF($AB995="","",IF(AND(ISNUMBER(O995),O995&gt;0),Z995&gt;O995,FALSE))</f>
        <v/>
      </c>
      <c r="Q995" s="7">
        <f>IF($AB995="","",SUMIFS('Per Line'!$U$2:$U$4001,'Per Line'!$C$2:$C$4001,$B995,'Per Line'!$AM$2:$AM$4001,1))</f>
        <v/>
      </c>
      <c r="R995">
        <f>IF($AB995="","",Settings!$C$7)</f>
        <v/>
      </c>
      <c r="S995" s="7">
        <f>IF($AB995="","",SUMIFS('Per Line'!$U$2:$U$4001,'Per Line'!$C$2:$C$4001,$B995,'Per Line'!$AL$2:$AL$4001,0,'Per Line'!$AM$2:$AM$4001,0))</f>
        <v/>
      </c>
      <c r="T995" s="7">
        <f>IF($AB995="","",S995*R995)</f>
        <v/>
      </c>
      <c r="U995">
        <f>IF($AB995="","",Settings!$C$6)</f>
        <v/>
      </c>
      <c r="V995" s="7">
        <f>IF($AB995="","",SUMIFS('Per Line'!$U$2:$U$4001,'Per Line'!$C$2:$C$4001,$B995,'Per Line'!$AL$2:$AL$4001,1,'Per Line'!$AM$2:$AM$4001,0))</f>
        <v/>
      </c>
      <c r="W995" s="7">
        <f>IF($AB995="","",V995*U995)</f>
        <v/>
      </c>
      <c r="X995" s="7">
        <f>IF($AB995="","",W995+T995)</f>
        <v/>
      </c>
      <c r="Y995" s="7">
        <f>IF($AB995="","",Z995-X995)</f>
        <v/>
      </c>
      <c r="Z995" s="7">
        <f>IF($AB995="","",S995+V995+Q995)</f>
        <v/>
      </c>
      <c r="AA995" s="7">
        <f>IF($AB995="","",Z995-X995-M995)</f>
        <v/>
      </c>
      <c r="AB995" s="13">
        <f>IF(ROWS($AB$2:$AB995)&lt;=MAX('Per Line'!$AK$2:$AK$4001),MATCH(ROWS($AB$2:$AB995),'Per Line'!$AK$2:$AK$4001,0),"")</f>
        <v/>
      </c>
      <c r="AC995" s="14">
        <f>IF($AB995="","",M995-L995*Z995/100)</f>
        <v/>
      </c>
    </row>
    <row r="996">
      <c r="A996" s="12" t="n"/>
      <c r="B996">
        <f>IF($AB996="","",INDEX('Per Line'!$C$2:$C$4001,$AB996)&amp;"")</f>
        <v/>
      </c>
      <c r="C996">
        <f>IF($AB996="","",INDEX('Per Line'!$D$2:$D$4001,$AB996)&amp;"")</f>
        <v/>
      </c>
      <c r="D996">
        <f>IF($AB996="","",INDEX('Per Line'!$B$2:$B$4001,$AB996)&amp;"")</f>
        <v/>
      </c>
      <c r="E996">
        <f>IF($AB996="","",INDEX('Per Line'!$A$2:$A$4001,$AB996))</f>
        <v/>
      </c>
      <c r="F996" s="11">
        <f>IF($AB996="","",INDEX('Per Line'!$E$2:$E$4001,$AB996))</f>
        <v/>
      </c>
      <c r="G996">
        <f>IF($AB996="","",INDEX('Per Line'!$F$2:$F$4001,$AB996)&amp;"")</f>
        <v/>
      </c>
      <c r="H996">
        <f>IF($AB996="","",INDEX('Per Line'!$H$2:$H$4001,$AB996)&amp;"")</f>
        <v/>
      </c>
      <c r="I996">
        <f>IF($AB996="","",INDEX('Per Line'!$I$2:$I$4001,$AB996)&amp;"")</f>
        <v/>
      </c>
      <c r="J996">
        <f>IF($AB996="","",INDEX('Per Line'!$J$2:$J$4001,$AB996)&amp;"")</f>
        <v/>
      </c>
      <c r="K996">
        <f>IF($AB996="","",INDEX('Per Line'!$K$2:$K$4001,$AB996)&amp;"")</f>
        <v/>
      </c>
      <c r="L996">
        <f>IF($AB996="","",INDEX('Per Line'!$L$2:$L$4001,$AB996))</f>
        <v/>
      </c>
      <c r="M996" s="7">
        <f>IF($AB996="","",IF(AND(ISNUMBER(O996),O996&gt;0,Z996&gt;O996),L996*O996/100+(Z996-O996),L996*Z996/100))</f>
        <v/>
      </c>
      <c r="N996">
        <f>IF($AB996="","",INDEX('Per Line'!$V$2:$V$4001,$AB996)&amp;"")</f>
        <v/>
      </c>
      <c r="O996">
        <f>IF($AB996="","",INDEX('Per Line'!$Z$2:$Z$4001,$AB996))</f>
        <v/>
      </c>
      <c r="P996">
        <f>IF($AB996="","",IF(AND(ISNUMBER(O996),O996&gt;0),Z996&gt;O996,FALSE))</f>
        <v/>
      </c>
      <c r="Q996" s="7">
        <f>IF($AB996="","",SUMIFS('Per Line'!$U$2:$U$4001,'Per Line'!$C$2:$C$4001,$B996,'Per Line'!$AM$2:$AM$4001,1))</f>
        <v/>
      </c>
      <c r="R996">
        <f>IF($AB996="","",Settings!$C$7)</f>
        <v/>
      </c>
      <c r="S996" s="7">
        <f>IF($AB996="","",SUMIFS('Per Line'!$U$2:$U$4001,'Per Line'!$C$2:$C$4001,$B996,'Per Line'!$AL$2:$AL$4001,0,'Per Line'!$AM$2:$AM$4001,0))</f>
        <v/>
      </c>
      <c r="T996" s="7">
        <f>IF($AB996="","",S996*R996)</f>
        <v/>
      </c>
      <c r="U996">
        <f>IF($AB996="","",Settings!$C$6)</f>
        <v/>
      </c>
      <c r="V996" s="7">
        <f>IF($AB996="","",SUMIFS('Per Line'!$U$2:$U$4001,'Per Line'!$C$2:$C$4001,$B996,'Per Line'!$AL$2:$AL$4001,1,'Per Line'!$AM$2:$AM$4001,0))</f>
        <v/>
      </c>
      <c r="W996" s="7">
        <f>IF($AB996="","",V996*U996)</f>
        <v/>
      </c>
      <c r="X996" s="7">
        <f>IF($AB996="","",W996+T996)</f>
        <v/>
      </c>
      <c r="Y996" s="7">
        <f>IF($AB996="","",Z996-X996)</f>
        <v/>
      </c>
      <c r="Z996" s="7">
        <f>IF($AB996="","",S996+V996+Q996)</f>
        <v/>
      </c>
      <c r="AA996" s="7">
        <f>IF($AB996="","",Z996-X996-M996)</f>
        <v/>
      </c>
      <c r="AB996" s="13">
        <f>IF(ROWS($AB$2:$AB996)&lt;=MAX('Per Line'!$AK$2:$AK$4001),MATCH(ROWS($AB$2:$AB996),'Per Line'!$AK$2:$AK$4001,0),"")</f>
        <v/>
      </c>
      <c r="AC996" s="14">
        <f>IF($AB996="","",M996-L996*Z996/100)</f>
        <v/>
      </c>
    </row>
    <row r="997">
      <c r="A997" s="12" t="n"/>
      <c r="B997">
        <f>IF($AB997="","",INDEX('Per Line'!$C$2:$C$4001,$AB997)&amp;"")</f>
        <v/>
      </c>
      <c r="C997">
        <f>IF($AB997="","",INDEX('Per Line'!$D$2:$D$4001,$AB997)&amp;"")</f>
        <v/>
      </c>
      <c r="D997">
        <f>IF($AB997="","",INDEX('Per Line'!$B$2:$B$4001,$AB997)&amp;"")</f>
        <v/>
      </c>
      <c r="E997">
        <f>IF($AB997="","",INDEX('Per Line'!$A$2:$A$4001,$AB997))</f>
        <v/>
      </c>
      <c r="F997" s="11">
        <f>IF($AB997="","",INDEX('Per Line'!$E$2:$E$4001,$AB997))</f>
        <v/>
      </c>
      <c r="G997">
        <f>IF($AB997="","",INDEX('Per Line'!$F$2:$F$4001,$AB997)&amp;"")</f>
        <v/>
      </c>
      <c r="H997">
        <f>IF($AB997="","",INDEX('Per Line'!$H$2:$H$4001,$AB997)&amp;"")</f>
        <v/>
      </c>
      <c r="I997">
        <f>IF($AB997="","",INDEX('Per Line'!$I$2:$I$4001,$AB997)&amp;"")</f>
        <v/>
      </c>
      <c r="J997">
        <f>IF($AB997="","",INDEX('Per Line'!$J$2:$J$4001,$AB997)&amp;"")</f>
        <v/>
      </c>
      <c r="K997">
        <f>IF($AB997="","",INDEX('Per Line'!$K$2:$K$4001,$AB997)&amp;"")</f>
        <v/>
      </c>
      <c r="L997">
        <f>IF($AB997="","",INDEX('Per Line'!$L$2:$L$4001,$AB997))</f>
        <v/>
      </c>
      <c r="M997" s="7">
        <f>IF($AB997="","",IF(AND(ISNUMBER(O997),O997&gt;0,Z997&gt;O997),L997*O997/100+(Z997-O997),L997*Z997/100))</f>
        <v/>
      </c>
      <c r="N997">
        <f>IF($AB997="","",INDEX('Per Line'!$V$2:$V$4001,$AB997)&amp;"")</f>
        <v/>
      </c>
      <c r="O997">
        <f>IF($AB997="","",INDEX('Per Line'!$Z$2:$Z$4001,$AB997))</f>
        <v/>
      </c>
      <c r="P997">
        <f>IF($AB997="","",IF(AND(ISNUMBER(O997),O997&gt;0),Z997&gt;O997,FALSE))</f>
        <v/>
      </c>
      <c r="Q997" s="7">
        <f>IF($AB997="","",SUMIFS('Per Line'!$U$2:$U$4001,'Per Line'!$C$2:$C$4001,$B997,'Per Line'!$AM$2:$AM$4001,1))</f>
        <v/>
      </c>
      <c r="R997">
        <f>IF($AB997="","",Settings!$C$7)</f>
        <v/>
      </c>
      <c r="S997" s="7">
        <f>IF($AB997="","",SUMIFS('Per Line'!$U$2:$U$4001,'Per Line'!$C$2:$C$4001,$B997,'Per Line'!$AL$2:$AL$4001,0,'Per Line'!$AM$2:$AM$4001,0))</f>
        <v/>
      </c>
      <c r="T997" s="7">
        <f>IF($AB997="","",S997*R997)</f>
        <v/>
      </c>
      <c r="U997">
        <f>IF($AB997="","",Settings!$C$6)</f>
        <v/>
      </c>
      <c r="V997" s="7">
        <f>IF($AB997="","",SUMIFS('Per Line'!$U$2:$U$4001,'Per Line'!$C$2:$C$4001,$B997,'Per Line'!$AL$2:$AL$4001,1,'Per Line'!$AM$2:$AM$4001,0))</f>
        <v/>
      </c>
      <c r="W997" s="7">
        <f>IF($AB997="","",V997*U997)</f>
        <v/>
      </c>
      <c r="X997" s="7">
        <f>IF($AB997="","",W997+T997)</f>
        <v/>
      </c>
      <c r="Y997" s="7">
        <f>IF($AB997="","",Z997-X997)</f>
        <v/>
      </c>
      <c r="Z997" s="7">
        <f>IF($AB997="","",S997+V997+Q997)</f>
        <v/>
      </c>
      <c r="AA997" s="7">
        <f>IF($AB997="","",Z997-X997-M997)</f>
        <v/>
      </c>
      <c r="AB997" s="13">
        <f>IF(ROWS($AB$2:$AB997)&lt;=MAX('Per Line'!$AK$2:$AK$4001),MATCH(ROWS($AB$2:$AB997),'Per Line'!$AK$2:$AK$4001,0),"")</f>
        <v/>
      </c>
      <c r="AC997" s="14">
        <f>IF($AB997="","",M997-L997*Z997/100)</f>
        <v/>
      </c>
    </row>
    <row r="998">
      <c r="A998" s="12" t="n"/>
      <c r="B998">
        <f>IF($AB998="","",INDEX('Per Line'!$C$2:$C$4001,$AB998)&amp;"")</f>
        <v/>
      </c>
      <c r="C998">
        <f>IF($AB998="","",INDEX('Per Line'!$D$2:$D$4001,$AB998)&amp;"")</f>
        <v/>
      </c>
      <c r="D998">
        <f>IF($AB998="","",INDEX('Per Line'!$B$2:$B$4001,$AB998)&amp;"")</f>
        <v/>
      </c>
      <c r="E998">
        <f>IF($AB998="","",INDEX('Per Line'!$A$2:$A$4001,$AB998))</f>
        <v/>
      </c>
      <c r="F998" s="11">
        <f>IF($AB998="","",INDEX('Per Line'!$E$2:$E$4001,$AB998))</f>
        <v/>
      </c>
      <c r="G998">
        <f>IF($AB998="","",INDEX('Per Line'!$F$2:$F$4001,$AB998)&amp;"")</f>
        <v/>
      </c>
      <c r="H998">
        <f>IF($AB998="","",INDEX('Per Line'!$H$2:$H$4001,$AB998)&amp;"")</f>
        <v/>
      </c>
      <c r="I998">
        <f>IF($AB998="","",INDEX('Per Line'!$I$2:$I$4001,$AB998)&amp;"")</f>
        <v/>
      </c>
      <c r="J998">
        <f>IF($AB998="","",INDEX('Per Line'!$J$2:$J$4001,$AB998)&amp;"")</f>
        <v/>
      </c>
      <c r="K998">
        <f>IF($AB998="","",INDEX('Per Line'!$K$2:$K$4001,$AB998)&amp;"")</f>
        <v/>
      </c>
      <c r="L998">
        <f>IF($AB998="","",INDEX('Per Line'!$L$2:$L$4001,$AB998))</f>
        <v/>
      </c>
      <c r="M998" s="7">
        <f>IF($AB998="","",IF(AND(ISNUMBER(O998),O998&gt;0,Z998&gt;O998),L998*O998/100+(Z998-O998),L998*Z998/100))</f>
        <v/>
      </c>
      <c r="N998">
        <f>IF($AB998="","",INDEX('Per Line'!$V$2:$V$4001,$AB998)&amp;"")</f>
        <v/>
      </c>
      <c r="O998">
        <f>IF($AB998="","",INDEX('Per Line'!$Z$2:$Z$4001,$AB998))</f>
        <v/>
      </c>
      <c r="P998">
        <f>IF($AB998="","",IF(AND(ISNUMBER(O998),O998&gt;0),Z998&gt;O998,FALSE))</f>
        <v/>
      </c>
      <c r="Q998" s="7">
        <f>IF($AB998="","",SUMIFS('Per Line'!$U$2:$U$4001,'Per Line'!$C$2:$C$4001,$B998,'Per Line'!$AM$2:$AM$4001,1))</f>
        <v/>
      </c>
      <c r="R998">
        <f>IF($AB998="","",Settings!$C$7)</f>
        <v/>
      </c>
      <c r="S998" s="7">
        <f>IF($AB998="","",SUMIFS('Per Line'!$U$2:$U$4001,'Per Line'!$C$2:$C$4001,$B998,'Per Line'!$AL$2:$AL$4001,0,'Per Line'!$AM$2:$AM$4001,0))</f>
        <v/>
      </c>
      <c r="T998" s="7">
        <f>IF($AB998="","",S998*R998)</f>
        <v/>
      </c>
      <c r="U998">
        <f>IF($AB998="","",Settings!$C$6)</f>
        <v/>
      </c>
      <c r="V998" s="7">
        <f>IF($AB998="","",SUMIFS('Per Line'!$U$2:$U$4001,'Per Line'!$C$2:$C$4001,$B998,'Per Line'!$AL$2:$AL$4001,1,'Per Line'!$AM$2:$AM$4001,0))</f>
        <v/>
      </c>
      <c r="W998" s="7">
        <f>IF($AB998="","",V998*U998)</f>
        <v/>
      </c>
      <c r="X998" s="7">
        <f>IF($AB998="","",W998+T998)</f>
        <v/>
      </c>
      <c r="Y998" s="7">
        <f>IF($AB998="","",Z998-X998)</f>
        <v/>
      </c>
      <c r="Z998" s="7">
        <f>IF($AB998="","",S998+V998+Q998)</f>
        <v/>
      </c>
      <c r="AA998" s="7">
        <f>IF($AB998="","",Z998-X998-M998)</f>
        <v/>
      </c>
      <c r="AB998" s="13">
        <f>IF(ROWS($AB$2:$AB998)&lt;=MAX('Per Line'!$AK$2:$AK$4001),MATCH(ROWS($AB$2:$AB998),'Per Line'!$AK$2:$AK$4001,0),"")</f>
        <v/>
      </c>
      <c r="AC998" s="14">
        <f>IF($AB998="","",M998-L998*Z998/100)</f>
        <v/>
      </c>
    </row>
    <row r="999">
      <c r="A999" s="12" t="n"/>
      <c r="B999">
        <f>IF($AB999="","",INDEX('Per Line'!$C$2:$C$4001,$AB999)&amp;"")</f>
        <v/>
      </c>
      <c r="C999">
        <f>IF($AB999="","",INDEX('Per Line'!$D$2:$D$4001,$AB999)&amp;"")</f>
        <v/>
      </c>
      <c r="D999">
        <f>IF($AB999="","",INDEX('Per Line'!$B$2:$B$4001,$AB999)&amp;"")</f>
        <v/>
      </c>
      <c r="E999">
        <f>IF($AB999="","",INDEX('Per Line'!$A$2:$A$4001,$AB999))</f>
        <v/>
      </c>
      <c r="F999" s="11">
        <f>IF($AB999="","",INDEX('Per Line'!$E$2:$E$4001,$AB999))</f>
        <v/>
      </c>
      <c r="G999">
        <f>IF($AB999="","",INDEX('Per Line'!$F$2:$F$4001,$AB999)&amp;"")</f>
        <v/>
      </c>
      <c r="H999">
        <f>IF($AB999="","",INDEX('Per Line'!$H$2:$H$4001,$AB999)&amp;"")</f>
        <v/>
      </c>
      <c r="I999">
        <f>IF($AB999="","",INDEX('Per Line'!$I$2:$I$4001,$AB999)&amp;"")</f>
        <v/>
      </c>
      <c r="J999">
        <f>IF($AB999="","",INDEX('Per Line'!$J$2:$J$4001,$AB999)&amp;"")</f>
        <v/>
      </c>
      <c r="K999">
        <f>IF($AB999="","",INDEX('Per Line'!$K$2:$K$4001,$AB999)&amp;"")</f>
        <v/>
      </c>
      <c r="L999">
        <f>IF($AB999="","",INDEX('Per Line'!$L$2:$L$4001,$AB999))</f>
        <v/>
      </c>
      <c r="M999" s="7">
        <f>IF($AB999="","",IF(AND(ISNUMBER(O999),O999&gt;0,Z999&gt;O999),L999*O999/100+(Z999-O999),L999*Z999/100))</f>
        <v/>
      </c>
      <c r="N999">
        <f>IF($AB999="","",INDEX('Per Line'!$V$2:$V$4001,$AB999)&amp;"")</f>
        <v/>
      </c>
      <c r="O999">
        <f>IF($AB999="","",INDEX('Per Line'!$Z$2:$Z$4001,$AB999))</f>
        <v/>
      </c>
      <c r="P999">
        <f>IF($AB999="","",IF(AND(ISNUMBER(O999),O999&gt;0),Z999&gt;O999,FALSE))</f>
        <v/>
      </c>
      <c r="Q999" s="7">
        <f>IF($AB999="","",SUMIFS('Per Line'!$U$2:$U$4001,'Per Line'!$C$2:$C$4001,$B999,'Per Line'!$AM$2:$AM$4001,1))</f>
        <v/>
      </c>
      <c r="R999">
        <f>IF($AB999="","",Settings!$C$7)</f>
        <v/>
      </c>
      <c r="S999" s="7">
        <f>IF($AB999="","",SUMIFS('Per Line'!$U$2:$U$4001,'Per Line'!$C$2:$C$4001,$B999,'Per Line'!$AL$2:$AL$4001,0,'Per Line'!$AM$2:$AM$4001,0))</f>
        <v/>
      </c>
      <c r="T999" s="7">
        <f>IF($AB999="","",S999*R999)</f>
        <v/>
      </c>
      <c r="U999">
        <f>IF($AB999="","",Settings!$C$6)</f>
        <v/>
      </c>
      <c r="V999" s="7">
        <f>IF($AB999="","",SUMIFS('Per Line'!$U$2:$U$4001,'Per Line'!$C$2:$C$4001,$B999,'Per Line'!$AL$2:$AL$4001,1,'Per Line'!$AM$2:$AM$4001,0))</f>
        <v/>
      </c>
      <c r="W999" s="7">
        <f>IF($AB999="","",V999*U999)</f>
        <v/>
      </c>
      <c r="X999" s="7">
        <f>IF($AB999="","",W999+T999)</f>
        <v/>
      </c>
      <c r="Y999" s="7">
        <f>IF($AB999="","",Z999-X999)</f>
        <v/>
      </c>
      <c r="Z999" s="7">
        <f>IF($AB999="","",S999+V999+Q999)</f>
        <v/>
      </c>
      <c r="AA999" s="7">
        <f>IF($AB999="","",Z999-X999-M999)</f>
        <v/>
      </c>
      <c r="AB999" s="13">
        <f>IF(ROWS($AB$2:$AB999)&lt;=MAX('Per Line'!$AK$2:$AK$4001),MATCH(ROWS($AB$2:$AB999),'Per Line'!$AK$2:$AK$4001,0),"")</f>
        <v/>
      </c>
      <c r="AC999" s="14">
        <f>IF($AB999="","",M999-L999*Z999/100)</f>
        <v/>
      </c>
    </row>
    <row r="1000">
      <c r="A1000" s="12" t="n"/>
      <c r="B1000">
        <f>IF($AB1000="","",INDEX('Per Line'!$C$2:$C$4001,$AB1000)&amp;"")</f>
        <v/>
      </c>
      <c r="C1000">
        <f>IF($AB1000="","",INDEX('Per Line'!$D$2:$D$4001,$AB1000)&amp;"")</f>
        <v/>
      </c>
      <c r="D1000">
        <f>IF($AB1000="","",INDEX('Per Line'!$B$2:$B$4001,$AB1000)&amp;"")</f>
        <v/>
      </c>
      <c r="E1000">
        <f>IF($AB1000="","",INDEX('Per Line'!$A$2:$A$4001,$AB1000))</f>
        <v/>
      </c>
      <c r="F1000" s="11">
        <f>IF($AB1000="","",INDEX('Per Line'!$E$2:$E$4001,$AB1000))</f>
        <v/>
      </c>
      <c r="G1000">
        <f>IF($AB1000="","",INDEX('Per Line'!$F$2:$F$4001,$AB1000)&amp;"")</f>
        <v/>
      </c>
      <c r="H1000">
        <f>IF($AB1000="","",INDEX('Per Line'!$H$2:$H$4001,$AB1000)&amp;"")</f>
        <v/>
      </c>
      <c r="I1000">
        <f>IF($AB1000="","",INDEX('Per Line'!$I$2:$I$4001,$AB1000)&amp;"")</f>
        <v/>
      </c>
      <c r="J1000">
        <f>IF($AB1000="","",INDEX('Per Line'!$J$2:$J$4001,$AB1000)&amp;"")</f>
        <v/>
      </c>
      <c r="K1000">
        <f>IF($AB1000="","",INDEX('Per Line'!$K$2:$K$4001,$AB1000)&amp;"")</f>
        <v/>
      </c>
      <c r="L1000">
        <f>IF($AB1000="","",INDEX('Per Line'!$L$2:$L$4001,$AB1000))</f>
        <v/>
      </c>
      <c r="M1000" s="7">
        <f>IF($AB1000="","",IF(AND(ISNUMBER(O1000),O1000&gt;0,Z1000&gt;O1000),L1000*O1000/100+(Z1000-O1000),L1000*Z1000/100))</f>
        <v/>
      </c>
      <c r="N1000">
        <f>IF($AB1000="","",INDEX('Per Line'!$V$2:$V$4001,$AB1000)&amp;"")</f>
        <v/>
      </c>
      <c r="O1000">
        <f>IF($AB1000="","",INDEX('Per Line'!$Z$2:$Z$4001,$AB1000))</f>
        <v/>
      </c>
      <c r="P1000">
        <f>IF($AB1000="","",IF(AND(ISNUMBER(O1000),O1000&gt;0),Z1000&gt;O1000,FALSE))</f>
        <v/>
      </c>
      <c r="Q1000" s="7">
        <f>IF($AB1000="","",SUMIFS('Per Line'!$U$2:$U$4001,'Per Line'!$C$2:$C$4001,$B1000,'Per Line'!$AM$2:$AM$4001,1))</f>
        <v/>
      </c>
      <c r="R1000">
        <f>IF($AB1000="","",Settings!$C$7)</f>
        <v/>
      </c>
      <c r="S1000" s="7">
        <f>IF($AB1000="","",SUMIFS('Per Line'!$U$2:$U$4001,'Per Line'!$C$2:$C$4001,$B1000,'Per Line'!$AL$2:$AL$4001,0,'Per Line'!$AM$2:$AM$4001,0))</f>
        <v/>
      </c>
      <c r="T1000" s="7">
        <f>IF($AB1000="","",S1000*R1000)</f>
        <v/>
      </c>
      <c r="U1000">
        <f>IF($AB1000="","",Settings!$C$6)</f>
        <v/>
      </c>
      <c r="V1000" s="7">
        <f>IF($AB1000="","",SUMIFS('Per Line'!$U$2:$U$4001,'Per Line'!$C$2:$C$4001,$B1000,'Per Line'!$AL$2:$AL$4001,1,'Per Line'!$AM$2:$AM$4001,0))</f>
        <v/>
      </c>
      <c r="W1000" s="7">
        <f>IF($AB1000="","",V1000*U1000)</f>
        <v/>
      </c>
      <c r="X1000" s="7">
        <f>IF($AB1000="","",W1000+T1000)</f>
        <v/>
      </c>
      <c r="Y1000" s="7">
        <f>IF($AB1000="","",Z1000-X1000)</f>
        <v/>
      </c>
      <c r="Z1000" s="7">
        <f>IF($AB1000="","",S1000+V1000+Q1000)</f>
        <v/>
      </c>
      <c r="AA1000" s="7">
        <f>IF($AB1000="","",Z1000-X1000-M1000)</f>
        <v/>
      </c>
      <c r="AB1000" s="13">
        <f>IF(ROWS($AB$2:$AB1000)&lt;=MAX('Per Line'!$AK$2:$AK$4001),MATCH(ROWS($AB$2:$AB1000),'Per Line'!$AK$2:$AK$4001,0),"")</f>
        <v/>
      </c>
      <c r="AC1000" s="14">
        <f>IF($AB1000="","",M1000-L1000*Z1000/100)</f>
        <v/>
      </c>
    </row>
    <row r="1001">
      <c r="A1001" s="12" t="n"/>
      <c r="B1001">
        <f>IF($AB1001="","",INDEX('Per Line'!$C$2:$C$4001,$AB1001)&amp;"")</f>
        <v/>
      </c>
      <c r="C1001">
        <f>IF($AB1001="","",INDEX('Per Line'!$D$2:$D$4001,$AB1001)&amp;"")</f>
        <v/>
      </c>
      <c r="D1001">
        <f>IF($AB1001="","",INDEX('Per Line'!$B$2:$B$4001,$AB1001)&amp;"")</f>
        <v/>
      </c>
      <c r="E1001">
        <f>IF($AB1001="","",INDEX('Per Line'!$A$2:$A$4001,$AB1001))</f>
        <v/>
      </c>
      <c r="F1001" s="11">
        <f>IF($AB1001="","",INDEX('Per Line'!$E$2:$E$4001,$AB1001))</f>
        <v/>
      </c>
      <c r="G1001">
        <f>IF($AB1001="","",INDEX('Per Line'!$F$2:$F$4001,$AB1001)&amp;"")</f>
        <v/>
      </c>
      <c r="H1001">
        <f>IF($AB1001="","",INDEX('Per Line'!$H$2:$H$4001,$AB1001)&amp;"")</f>
        <v/>
      </c>
      <c r="I1001">
        <f>IF($AB1001="","",INDEX('Per Line'!$I$2:$I$4001,$AB1001)&amp;"")</f>
        <v/>
      </c>
      <c r="J1001">
        <f>IF($AB1001="","",INDEX('Per Line'!$J$2:$J$4001,$AB1001)&amp;"")</f>
        <v/>
      </c>
      <c r="K1001">
        <f>IF($AB1001="","",INDEX('Per Line'!$K$2:$K$4001,$AB1001)&amp;"")</f>
        <v/>
      </c>
      <c r="L1001">
        <f>IF($AB1001="","",INDEX('Per Line'!$L$2:$L$4001,$AB1001))</f>
        <v/>
      </c>
      <c r="M1001" s="7">
        <f>IF($AB1001="","",IF(AND(ISNUMBER(O1001),O1001&gt;0,Z1001&gt;O1001),L1001*O1001/100+(Z1001-O1001),L1001*Z1001/100))</f>
        <v/>
      </c>
      <c r="N1001">
        <f>IF($AB1001="","",INDEX('Per Line'!$V$2:$V$4001,$AB1001)&amp;"")</f>
        <v/>
      </c>
      <c r="O1001">
        <f>IF($AB1001="","",INDEX('Per Line'!$Z$2:$Z$4001,$AB1001))</f>
        <v/>
      </c>
      <c r="P1001">
        <f>IF($AB1001="","",IF(AND(ISNUMBER(O1001),O1001&gt;0),Z1001&gt;O1001,FALSE))</f>
        <v/>
      </c>
      <c r="Q1001" s="7">
        <f>IF($AB1001="","",SUMIFS('Per Line'!$U$2:$U$4001,'Per Line'!$C$2:$C$4001,$B1001,'Per Line'!$AM$2:$AM$4001,1))</f>
        <v/>
      </c>
      <c r="R1001">
        <f>IF($AB1001="","",Settings!$C$7)</f>
        <v/>
      </c>
      <c r="S1001" s="7">
        <f>IF($AB1001="","",SUMIFS('Per Line'!$U$2:$U$4001,'Per Line'!$C$2:$C$4001,$B1001,'Per Line'!$AL$2:$AL$4001,0,'Per Line'!$AM$2:$AM$4001,0))</f>
        <v/>
      </c>
      <c r="T1001" s="7">
        <f>IF($AB1001="","",S1001*R1001)</f>
        <v/>
      </c>
      <c r="U1001">
        <f>IF($AB1001="","",Settings!$C$6)</f>
        <v/>
      </c>
      <c r="V1001" s="7">
        <f>IF($AB1001="","",SUMIFS('Per Line'!$U$2:$U$4001,'Per Line'!$C$2:$C$4001,$B1001,'Per Line'!$AL$2:$AL$4001,1,'Per Line'!$AM$2:$AM$4001,0))</f>
        <v/>
      </c>
      <c r="W1001" s="7">
        <f>IF($AB1001="","",V1001*U1001)</f>
        <v/>
      </c>
      <c r="X1001" s="7">
        <f>IF($AB1001="","",W1001+T1001)</f>
        <v/>
      </c>
      <c r="Y1001" s="7">
        <f>IF($AB1001="","",Z1001-X1001)</f>
        <v/>
      </c>
      <c r="Z1001" s="7">
        <f>IF($AB1001="","",S1001+V1001+Q1001)</f>
        <v/>
      </c>
      <c r="AA1001" s="7">
        <f>IF($AB1001="","",Z1001-X1001-M1001)</f>
        <v/>
      </c>
      <c r="AB1001" s="13">
        <f>IF(ROWS($AB$2:$AB1001)&lt;=MAX('Per Line'!$AK$2:$AK$4001),MATCH(ROWS($AB$2:$AB1001),'Per Line'!$AK$2:$AK$4001,0),"")</f>
        <v/>
      </c>
      <c r="AC1001" s="14">
        <f>IF($AB1001="","",M1001-L1001*Z1001/100)</f>
        <v/>
      </c>
    </row>
  </sheetData>
  <autoFilter ref="A1:AC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2026-10-12T10:25:25Z</dcterms:created>
  <dcterms:modified xmlns:dcterms="http://purl.org/dc/terms/" xmlns:xsi="http://www.w3.org/2001/XMLSchema-instance" xsi:type="dcterms:W3CDTF">2026-10-12T10:25:26Z</dcterms:modified>
</cp:coreProperties>
</file>